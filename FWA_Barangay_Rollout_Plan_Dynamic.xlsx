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595959"/>
      <sz val="8.5"/>
    </font>
    <font>
      <name val="Calibri"/>
      <b val="1"/>
      <color rgb="001B365D"/>
      <sz val="18"/>
    </font>
    <font>
      <name val="Calibri"/>
      <i val="1"/>
      <color rgb="00595959"/>
      <sz val="8"/>
    </font>
    <font>
      <name val="Calibri"/>
      <i val="1"/>
      <color rgb="00595959"/>
      <sz val="9"/>
    </font>
    <font>
      <name val="Calibri"/>
      <i val="1"/>
      <color rgb="00B45309"/>
      <sz val="9.5"/>
    </font>
  </fonts>
  <fills count="11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  <fill>
      <patternFill patternType="solid">
        <fgColor rgb="00F0F4F8"/>
        <bgColor rgb="00F0F4F8"/>
      </patternFill>
    </fill>
    <fill>
      <patternFill patternType="solid">
        <fgColor rgb="00F8FAFC"/>
        <bgColor rgb="00F8FAFC"/>
      </patternFill>
    </fill>
    <fill>
      <patternFill patternType="solid">
        <fgColor rgb="000077B6"/>
        <bgColor rgb="000077B6"/>
      </patternFill>
    </fill>
    <fill>
      <patternFill patternType="solid">
        <fgColor rgb="0000B4D8"/>
        <bgColor rgb="0000B4D8"/>
      </patternFill>
    </fill>
    <fill>
      <patternFill patternType="solid">
        <fgColor rgb="004B6F8A"/>
        <bgColor rgb="004B6F8A"/>
      </patternFill>
    </fill>
    <fill>
      <patternFill patternType="solid">
        <fgColor rgb="00FEF3C7"/>
        <bgColor rgb="00FEF3C7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top style="medium">
        <color rgb="001B365D"/>
      </top>
      <bottom style="double">
        <color rgb="001B365D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5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3" fontId="6" fillId="0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5" fillId="6" borderId="1" applyAlignment="1" pivotButton="0" quotePrefix="0" xfId="0">
      <alignment horizontal="left"/>
    </xf>
    <xf numFmtId="3" fontId="6" fillId="6" borderId="1" applyAlignment="1" pivotButton="0" quotePrefix="0" xfId="0">
      <alignment horizontal="right"/>
    </xf>
    <xf numFmtId="164" fontId="6" fillId="6" borderId="1" applyAlignment="1" pivotButton="0" quotePrefix="0" xfId="0">
      <alignment horizontal="right"/>
    </xf>
    <xf numFmtId="2" fontId="6" fillId="6" borderId="1" applyAlignment="1" pivotButton="0" quotePrefix="0" xfId="0">
      <alignment horizontal="right"/>
    </xf>
    <xf numFmtId="0" fontId="5" fillId="0" borderId="3" pivotButton="0" quotePrefix="0" xfId="0"/>
    <xf numFmtId="3" fontId="5" fillId="0" borderId="3" applyAlignment="1" pivotButton="0" quotePrefix="0" xfId="0">
      <alignment horizontal="right"/>
    </xf>
    <xf numFmtId="3" fontId="5" fillId="4" borderId="3" applyAlignment="1" pivotButton="0" quotePrefix="0" xfId="0">
      <alignment horizontal="right"/>
    </xf>
    <xf numFmtId="164" fontId="5" fillId="0" borderId="3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0" fontId="10" fillId="0" borderId="0" pivotButton="0" quotePrefix="0" xfId="0"/>
    <xf numFmtId="0" fontId="4" fillId="3" borderId="0" applyAlignment="1" pivotButton="0" quotePrefix="0" xfId="0">
      <alignment horizontal="center"/>
    </xf>
    <xf numFmtId="0" fontId="5" fillId="6" borderId="1" pivotButton="0" quotePrefix="0" xfId="0"/>
    <xf numFmtId="0" fontId="6" fillId="6" borderId="1" pivotButton="0" quotePrefix="0" xfId="0"/>
    <xf numFmtId="3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165" fontId="6" fillId="0" borderId="1" applyAlignment="1" pivotButton="0" quotePrefix="0" xfId="0">
      <alignment horizontal="right"/>
    </xf>
    <xf numFmtId="3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3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165" fontId="6" fillId="6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2" fontId="5" fillId="6" borderId="1" applyAlignment="1" pivotButton="0" quotePrefix="0" xfId="0">
      <alignment horizontal="right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5" fillId="0" borderId="8" pivotButton="0" quotePrefix="0" xfId="0"/>
    <xf numFmtId="166" fontId="5" fillId="10" borderId="8" applyAlignment="1" pivotButton="0" quotePrefix="0" xfId="0">
      <alignment horizontal="right"/>
    </xf>
    <xf numFmtId="0" fontId="6" fillId="0" borderId="8" applyAlignment="1" pivotButton="0" quotePrefix="0" xfId="0">
      <alignment horizontal="center"/>
    </xf>
    <xf numFmtId="0" fontId="6" fillId="0" borderId="8" pivotButton="0" quotePrefix="0" xfId="0"/>
    <xf numFmtId="0" fontId="5" fillId="6" borderId="8" pivotButton="0" quotePrefix="0" xfId="0"/>
    <xf numFmtId="0" fontId="6" fillId="6" borderId="8" applyAlignment="1" pivotButton="0" quotePrefix="0" xfId="0">
      <alignment horizontal="center"/>
    </xf>
    <xf numFmtId="3" fontId="5" fillId="10" borderId="8" applyAlignment="1" pivotButton="0" quotePrefix="0" xfId="0">
      <alignment horizontal="right"/>
    </xf>
    <xf numFmtId="164" fontId="5" fillId="10" borderId="8" applyAlignment="1" pivotButton="0" quotePrefix="0" xfId="0">
      <alignment horizontal="right"/>
    </xf>
    <xf numFmtId="1" fontId="5" fillId="10" borderId="8" applyAlignment="1" pivotButton="0" quotePrefix="0" xfId="0">
      <alignment horizontal="right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4" customWidth="1" min="2" max="2"/>
    <col width="22" customWidth="1" min="3" max="3"/>
    <col width="28" customWidth="1" min="4" max="4"/>
    <col width="68" customWidth="1" min="5" max="5"/>
  </cols>
  <sheetData>
    <row r="1">
      <c r="A1" s="1" t="inlineStr">
        <is>
          <t>Philippine 5G FWA Barangay Rollout Plan — Band n50 Dimensioning &amp; Site Prioritization Model</t>
        </is>
      </c>
    </row>
    <row r="2">
      <c r="A2" s="2" t="inlineStr">
        <is>
          <t>Dynamic Production Release 2.0 | Live Formula Edition | Option A Architecture | 1,000 Subscribers per BTS Total</t>
        </is>
      </c>
    </row>
    <row r="4" ht="24" customHeight="1">
      <c r="A4" s="3" t="inlineStr">
        <is>
          <t>1. EXECUTIVE OVERVIEW &amp; CORE TELECOM SPECIFICATIONS</t>
        </is>
      </c>
      <c r="B4" s="52" t="n"/>
      <c r="C4" s="52" t="n"/>
      <c r="D4" s="52" t="n"/>
      <c r="E4" s="53" t="n"/>
    </row>
    <row r="5" ht="22" customHeight="1">
      <c r="A5" s="5" t="inlineStr">
        <is>
          <t>Parameter</t>
        </is>
      </c>
      <c r="B5" s="5" t="inlineStr">
        <is>
          <t>Technical Specification</t>
        </is>
      </c>
      <c r="C5" s="5" t="inlineStr">
        <is>
          <t>Operational Description</t>
        </is>
      </c>
    </row>
    <row r="6" ht="20" customHeight="1">
      <c r="A6" s="6" t="inlineStr">
        <is>
          <t>Spectrum Carrier</t>
        </is>
      </c>
      <c r="B6" s="7" t="inlineStr">
        <is>
          <t>Band n50 (1432–1517 MHz, 1.5 GHz L-Band TDD)</t>
        </is>
      </c>
      <c r="C6" s="7" t="inlineStr">
        <is>
          <t>Primary sub-2 GHz FWA coverage carrier offering superior indoor penetration and 2.5–3.5 km rural cell radius.</t>
        </is>
      </c>
      <c r="D6" s="52" t="n"/>
      <c r="E6" s="53" t="n"/>
    </row>
    <row r="7" ht="20" customHeight="1">
      <c r="A7" s="6" t="inlineStr">
        <is>
          <t>Carrier Bandwidth</t>
        </is>
      </c>
      <c r="B7" s="7" t="inlineStr">
        <is>
          <t>60 MHz Contiguous TDD</t>
        </is>
      </c>
      <c r="C7" s="7" t="inlineStr">
        <is>
          <t>Delivers 499 Mbps aggregate DL capacity per BTS (planning SE = 4.5 bps/Hz, 70% DL frame split).</t>
        </is>
      </c>
      <c r="D7" s="52" t="n"/>
      <c r="E7" s="53" t="n"/>
    </row>
    <row r="8" ht="20" customHeight="1">
      <c r="A8" s="6" t="inlineStr">
        <is>
          <t>Radio Configuration</t>
        </is>
      </c>
      <c r="B8" s="7" t="inlineStr">
        <is>
          <t>3 Sectors @ 4T4R MIMO AAUs + Distributed BBU</t>
        </is>
      </c>
      <c r="C8" s="7" t="inlineStr">
        <is>
          <t>Standard 3-sector macro deployment (~120° azimuth per sector) with 256-QAM and multi-user MIMO.</t>
        </is>
      </c>
      <c r="D8" s="52" t="n"/>
      <c r="E8" s="53" t="n"/>
    </row>
    <row r="9" ht="20" customHeight="1">
      <c r="A9" s="6" t="inlineStr">
        <is>
          <t>Design Subscriber Load</t>
        </is>
      </c>
      <c r="B9" s="7" t="inlineStr">
        <is>
          <t>1,000 Subscribers per BTS Total</t>
        </is>
      </c>
      <c r="C9" s="7" t="inlineStr">
        <is>
          <t>Dimensioned for ~333 active subscribers per sector, sustaining 15–25 Mbps busy-hour bursts with high QoE.</t>
        </is>
      </c>
      <c r="D9" s="52" t="n"/>
      <c r="E9" s="53" t="n"/>
    </row>
    <row r="10" ht="20" customHeight="1">
      <c r="A10" s="6" t="inlineStr">
        <is>
          <t>Target Take-Rate</t>
        </is>
      </c>
      <c r="B10" s="7" t="inlineStr">
        <is>
          <t>30% Addressable Households</t>
        </is>
      </c>
      <c r="C10" s="7" t="inlineStr">
        <is>
          <t>Standard commercial adoption ceiling within target barangay catchments.</t>
        </is>
      </c>
      <c r="D10" s="52" t="n"/>
      <c r="E10" s="53" t="n"/>
    </row>
    <row r="11" ht="20" customHeight="1">
      <c r="A11" s="6" t="inlineStr">
        <is>
          <t>Optical Backhaul Anchor</t>
        </is>
      </c>
      <c r="B11" s="7" t="inlineStr">
        <is>
          <t>Converge ICT Backbone Infrastructure</t>
        </is>
      </c>
      <c r="C11" s="7" t="inlineStr">
        <is>
          <t>Anchored on Converge's 2,405 active backbone nodes and 334,462 fiber line vertices.</t>
        </is>
      </c>
      <c r="D11" s="52" t="n"/>
      <c r="E11" s="53" t="n"/>
    </row>
    <row r="13" ht="24" customHeight="1">
      <c r="A13" s="3" t="inlineStr">
        <is>
          <t>2. WORKBOOK DIRECTORY &amp; TAB NAVIGATION GUIDE</t>
        </is>
      </c>
      <c r="B13" s="52" t="n"/>
      <c r="C13" s="52" t="n"/>
      <c r="D13" s="52" t="n"/>
      <c r="E13" s="53" t="n"/>
    </row>
    <row r="14" ht="22" customHeight="1">
      <c r="A14" s="5" t="inlineStr">
        <is>
          <t>Tab Name</t>
        </is>
      </c>
      <c r="B14" s="5" t="inlineStr">
        <is>
          <t>Tab Index</t>
        </is>
      </c>
      <c r="C14" s="5" t="inlineStr">
        <is>
          <t>Contents &amp; Operational Purpose</t>
        </is>
      </c>
    </row>
    <row r="15" ht="20" customHeight="1">
      <c r="A15" s="6" t="inlineStr">
        <is>
          <t>Read Me</t>
        </is>
      </c>
      <c r="B15" s="8" t="inlineStr">
        <is>
          <t>Sheet 1 (Active)</t>
        </is>
      </c>
      <c r="C15" s="7" t="inlineStr">
        <is>
          <t>Executive overview, Option A architecture, methodology, and exhaustive data dictionary defining all headers.</t>
        </is>
      </c>
      <c r="D15" s="52" t="n"/>
      <c r="E15" s="53" t="n"/>
    </row>
    <row r="16" ht="20" customHeight="1">
      <c r="A16" s="6" t="inlineStr">
        <is>
          <t>Executive Summary</t>
        </is>
      </c>
      <c r="B16" s="8" t="inlineStr">
        <is>
          <t>Sheet 2</t>
        </is>
      </c>
      <c r="C16" s="7" t="inlineStr">
        <is>
          <t>High-level rollout comparison across Batches 1 to 5, key performance indicators, single-digit reconciled stats.</t>
        </is>
      </c>
      <c r="D16" s="52" t="n"/>
      <c r="E16" s="53" t="n"/>
    </row>
    <row r="17" ht="20" customHeight="1">
      <c r="A17" s="6" t="inlineStr">
        <is>
          <t>Methodology &amp; Assumptions</t>
        </is>
      </c>
      <c r="B17" s="8" t="inlineStr">
        <is>
          <t>Sheet 3</t>
        </is>
      </c>
      <c r="C17" s="7" t="inlineStr">
        <is>
          <t>Mathematical scoring formulas, weights, distance decay parameters, sweet spot definitions, and penalties.</t>
        </is>
      </c>
      <c r="D17" s="52" t="n"/>
      <c r="E17" s="53" t="n"/>
    </row>
    <row r="18" ht="20" customHeight="1">
      <c r="A18" s="6" t="inlineStr">
        <is>
          <t>Batch 1 (First 1,000)</t>
        </is>
      </c>
      <c r="B18" s="8" t="inlineStr">
        <is>
          <t>Sheet 4</t>
        </is>
      </c>
      <c r="C18" s="7" t="inlineStr">
        <is>
          <t>Phase 1 priority launch sites (Rank 1 to 1,000) with complete 25-column production schema.</t>
        </is>
      </c>
      <c r="D18" s="52" t="n"/>
      <c r="E18" s="53" t="n"/>
    </row>
    <row r="19" ht="20" customHeight="1">
      <c r="A19" s="6" t="inlineStr">
        <is>
          <t>Batch 2 (1,001 - 2,000)</t>
        </is>
      </c>
      <c r="B19" s="8" t="inlineStr">
        <is>
          <t>Sheet 5</t>
        </is>
      </c>
      <c r="C19" s="7" t="inlineStr">
        <is>
          <t>Phase 2 expansion sites (Rank 1,001 to 2,000) with complete 25-column production schema.</t>
        </is>
      </c>
      <c r="D19" s="52" t="n"/>
      <c r="E19" s="53" t="n"/>
    </row>
    <row r="20" ht="20" customHeight="1">
      <c r="A20" s="6" t="inlineStr">
        <is>
          <t>Batch 3 (2,001 - 3,000)</t>
        </is>
      </c>
      <c r="B20" s="8" t="inlineStr">
        <is>
          <t>Sheet 6</t>
        </is>
      </c>
      <c r="C20" s="7" t="inlineStr">
        <is>
          <t>Phase 3 expansion sites (Rank 2,001 to 3,000) with complete 25-column production schema.</t>
        </is>
      </c>
      <c r="D20" s="52" t="n"/>
      <c r="E20" s="53" t="n"/>
    </row>
    <row r="21" ht="20" customHeight="1">
      <c r="A21" s="6" t="inlineStr">
        <is>
          <t>Batch 4 &amp; 5 (3,001 - 5,000)</t>
        </is>
      </c>
      <c r="B21" s="8" t="inlineStr">
        <is>
          <t>Sheet 7</t>
        </is>
      </c>
      <c r="C21" s="7" t="inlineStr">
        <is>
          <t>Phase 4 &amp; 5 nationwide rural expansion sites (Rank 3,001 to 5,000) with complete 25-column production schema.</t>
        </is>
      </c>
      <c r="D21" s="52" t="n"/>
      <c r="E21" s="53" t="n"/>
    </row>
    <row r="22" ht="20" customHeight="1">
      <c r="A22" s="6" t="inlineStr">
        <is>
          <t>Provincial Summary</t>
        </is>
      </c>
      <c r="B22" s="8" t="inlineStr">
        <is>
          <t>Sheet 8</t>
        </is>
      </c>
      <c r="C22" s="7" t="inlineStr">
        <is>
          <t>Breakdown of barangay counts, population reach, and total n50 BTS capacity by Province across all 5 phases.</t>
        </is>
      </c>
      <c r="D22" s="52" t="n"/>
      <c r="E22" s="53" t="n"/>
    </row>
    <row r="24" ht="24" customHeight="1">
      <c r="A24" s="3" t="inlineStr">
        <is>
          <t>3. OPTION A ARCHITECTURAL FRAMEWORK: DAY 1 BUILD VS. PEAK DEMAND CAPACITY</t>
        </is>
      </c>
      <c r="B24" s="52" t="n"/>
      <c r="C24" s="52" t="n"/>
      <c r="D24" s="52" t="n"/>
      <c r="E24" s="53" t="n"/>
    </row>
    <row r="25" ht="22" customHeight="1">
      <c r="A25" s="5" t="inlineStr">
        <is>
          <t>Architectural Concept</t>
        </is>
      </c>
      <c r="B25" s="5" t="inlineStr">
        <is>
          <t>Metric / Scope</t>
        </is>
      </c>
      <c r="C25" s="5" t="inlineStr">
        <is>
          <t>Telecom Engineering &amp; Operational Implementation</t>
        </is>
      </c>
    </row>
    <row r="26" ht="24" customHeight="1">
      <c r="A26" s="6" t="inlineStr">
        <is>
          <t>Initial Day 1 Build (BTS)</t>
        </is>
      </c>
      <c r="B26" s="7" t="inlineStr">
        <is>
          <t>1,000 BTS per Batch / 5,000 BTS Total</t>
        </is>
      </c>
      <c r="C26" s="7" t="inlineStr">
        <is>
          <t>CAPEX Deployment: Exactly 1 BTS installed per priority barangay on Day 1 to establish immediate market presence, fast time-to-market, and initial coverage without speculative overbuilding.</t>
        </is>
      </c>
      <c r="D26" s="52" t="n"/>
      <c r="E26" s="53" t="n"/>
    </row>
    <row r="27" ht="24" customHeight="1">
      <c r="A27" s="6" t="inlineStr">
        <is>
          <t>Peak 30% Demand Capacity (BTS)</t>
        </is>
      </c>
      <c r="B27" s="7" t="inlineStr">
        <is>
          <t>1,143 BTS in Batch 1 / 5,559 BTS Total</t>
        </is>
      </c>
      <c r="C27" s="7" t="inlineStr">
        <is>
          <t>Theoretical Market Ceiling: Total radio capacity required if full 30% household penetration is reached (@ 1,000 subs/BTS). In Batch 1, 903 barangays need 1 BTS, 72 need 2 BTS, 14 need 3 BTS, and 11 need 4+ BTS.</t>
        </is>
      </c>
      <c r="D27" s="52" t="n"/>
      <c r="E27" s="53" t="n"/>
    </row>
    <row r="28" ht="24" customHeight="1">
      <c r="A28" s="6" t="inlineStr">
        <is>
          <t>Capacity Upgrade (Same Tower)</t>
        </is>
      </c>
      <c r="B28" s="7" t="inlineStr">
        <is>
          <t>2nd Carrier / Sector Split (3 to 6 Sectors)</t>
        </is>
      </c>
      <c r="C28" s="7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  <c r="D28" s="52" t="n"/>
      <c r="E28" s="53" t="n"/>
    </row>
    <row r="29" ht="24" customHeight="1">
      <c r="A29" s="6" t="inlineStr">
        <is>
          <t>Coverage Upgrade (Dispersed Sitios)</t>
        </is>
      </c>
      <c r="B29" s="7" t="inlineStr">
        <is>
          <t>2nd Physical Tower / Co-location Site</t>
        </is>
      </c>
      <c r="C29" s="7" t="inlineStr">
        <is>
          <t>In large rural barangays (20-40 km²) where settlements are 5-8 km apart, radio propagation requires a second physical tower site or TowerCo co-location in the separate distant sitio.</t>
        </is>
      </c>
      <c r="D29" s="52" t="n"/>
      <c r="E29" s="53" t="n"/>
    </row>
    <row r="31" ht="24" customHeight="1">
      <c r="A31" s="3" t="inlineStr">
        <is>
          <t>4. THE THREE CORE SELECTION PILLARS (SCORING ENGINE)</t>
        </is>
      </c>
      <c r="B31" s="52" t="n"/>
      <c r="C31" s="52" t="n"/>
      <c r="D31" s="52" t="n"/>
      <c r="E31" s="53" t="n"/>
    </row>
    <row r="32" ht="22" customHeight="1">
      <c r="A32" s="5" t="inlineStr">
        <is>
          <t>Pillar Name</t>
        </is>
      </c>
      <c r="B32" s="5" t="inlineStr">
        <is>
          <t>Weight</t>
        </is>
      </c>
      <c r="C32" s="5" t="inlineStr">
        <is>
          <t>Core Objective</t>
        </is>
      </c>
      <c r="D32" s="5" t="inlineStr">
        <is>
          <t>Algorithmic Definition &amp; Scoring Mechanics</t>
        </is>
      </c>
    </row>
    <row r="33" ht="28" customHeight="1">
      <c r="A33" s="6" t="inlineStr">
        <is>
          <t>Pillar 1: Necessity</t>
        </is>
      </c>
      <c r="B33" s="9" t="inlineStr">
        <is>
          <t>30% Weight</t>
        </is>
      </c>
      <c r="C33" s="7" t="inlineStr">
        <is>
          <t>Direct Broadband Deficit &amp; Lack of Internet Service</t>
        </is>
      </c>
      <c r="D33" s="7" t="inlineStr">
        <is>
          <t>Evaluates lack of commercial wireline FTTH/cable. PSA Rural ('R') status receives 85 pts; off-net municipalities receive 100 pts; 4th-6th class income towns receive up to 90 pts; heavily penalizes saturated metro FTTH markets like NCR (-20 pts).</t>
        </is>
      </c>
      <c r="E33" s="53" t="n"/>
    </row>
    <row r="34" ht="28" customHeight="1">
      <c r="A34" s="6" t="inlineStr">
        <is>
          <t>Pillar 2: Business Viability</t>
        </is>
      </c>
      <c r="B34" s="9" t="inlineStr">
        <is>
          <t>35% Weight</t>
        </is>
      </c>
      <c r="C34" s="7" t="inlineStr">
        <is>
          <t>Economic Activity to Generate Sales &amp; Rapid Payback</t>
        </is>
      </c>
      <c r="D34" s="7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multipliers.</t>
        </is>
      </c>
      <c r="E34" s="53" t="n"/>
    </row>
    <row r="35" ht="28" customHeight="1">
      <c r="A35" s="6" t="inlineStr">
        <is>
          <t>Pillar 3: Ease of Deployment</t>
        </is>
      </c>
      <c r="B35" s="9" t="inlineStr">
        <is>
          <t>35% Weight</t>
        </is>
      </c>
      <c r="C35" s="7" t="inlineStr">
        <is>
          <t>Tower Erection, Right-of-Way, Fiber &amp; Power Proximity</t>
        </is>
      </c>
      <c r="D35" s="7" t="inlineStr">
        <is>
          <t>Evaluates physical buildability. Based on true great-circle Haversine distance to Converge's 2,405 nodes (100 * exp(-d / 3.0)), fiber line corridor bonus (+10 pts within 2 km), commercial 220V power grid reliability, and existing TowerCo assets.</t>
        </is>
      </c>
      <c r="E35" s="53" t="n"/>
    </row>
    <row r="37" ht="24" customHeight="1">
      <c r="A37" s="3" t="inlineStr">
        <is>
          <t>5. DATA DICTIONARY: EXHAUSTIVE DEFINITION OF ALL 25 BATCH SHEET HEADERS</t>
        </is>
      </c>
      <c r="B37" s="52" t="n"/>
      <c r="C37" s="52" t="n"/>
      <c r="D37" s="52" t="n"/>
      <c r="E37" s="53" t="n"/>
    </row>
    <row r="38" ht="22" customHeight="1">
      <c r="A38" s="5" t="inlineStr">
        <is>
          <t>Col</t>
        </is>
      </c>
      <c r="B38" s="5" t="inlineStr">
        <is>
          <t>Header Name</t>
        </is>
      </c>
      <c r="C38" s="5" t="inlineStr">
        <is>
          <t>Data Type</t>
        </is>
      </c>
      <c r="D38" s="5" t="inlineStr">
        <is>
          <t>Primary Source</t>
        </is>
      </c>
      <c r="E38" s="5" t="inlineStr">
        <is>
          <t>Detailed Operational &amp; Engineering Definition</t>
        </is>
      </c>
    </row>
    <row r="39" ht="24" customHeight="1">
      <c r="A39" s="9" t="inlineStr">
        <is>
          <t>A</t>
        </is>
      </c>
      <c r="B39" s="6" t="inlineStr">
        <is>
          <t>Batch Rank</t>
        </is>
      </c>
      <c r="C39" s="7" t="inlineStr">
        <is>
          <t>Integer (1 - 1,000)</t>
        </is>
      </c>
      <c r="D39" s="7" t="inlineStr">
        <is>
          <t>Ranking Engine</t>
        </is>
      </c>
      <c r="E39" s="10" t="inlineStr">
        <is>
          <t>Sequential priority ranking (1 to 1,000) within the specific batch, sorted strictly by Composite Score descending.</t>
        </is>
      </c>
    </row>
    <row r="40" ht="24" customHeight="1">
      <c r="A40" s="9" t="inlineStr">
        <is>
          <t>B</t>
        </is>
      </c>
      <c r="B40" s="6" t="inlineStr">
        <is>
          <t>Overall Rank</t>
        </is>
      </c>
      <c r="C40" s="7" t="inlineStr">
        <is>
          <t>Integer (1 - 5,000)</t>
        </is>
      </c>
      <c r="D40" s="7" t="inlineStr">
        <is>
          <t>Ranking Engine</t>
        </is>
      </c>
      <c r="E40" s="10" t="inlineStr">
        <is>
          <t>National commercial priority rank across all 41,976 evaluated Philippine barangays.</t>
        </is>
      </c>
    </row>
    <row r="41" ht="24" customHeight="1">
      <c r="A41" s="9" t="inlineStr">
        <is>
          <t>C</t>
        </is>
      </c>
      <c r="B41" s="6" t="inlineStr">
        <is>
          <t>PSGC Code</t>
        </is>
      </c>
      <c r="C41" s="7" t="inlineStr">
        <is>
          <t>Text (9-10 digits)</t>
        </is>
      </c>
      <c r="D41" s="7" t="inlineStr">
        <is>
          <t>PSA 2020 CPH</t>
        </is>
      </c>
      <c r="E41" s="10" t="inlineStr">
        <is>
          <t>Official Philippine Standard Geographic Code uniquely identifying the administrative barangay entity.</t>
        </is>
      </c>
    </row>
    <row r="42" ht="24" customHeight="1">
      <c r="A42" s="9" t="inlineStr">
        <is>
          <t>D</t>
        </is>
      </c>
      <c r="B42" s="6" t="inlineStr">
        <is>
          <t>Region</t>
        </is>
      </c>
      <c r="C42" s="7" t="inlineStr">
        <is>
          <t>Text</t>
        </is>
      </c>
      <c r="D42" s="7" t="inlineStr">
        <is>
          <t>PSA / NEDA</t>
        </is>
      </c>
      <c r="E42" s="10" t="inlineStr">
        <is>
          <t>Administrative Region of the Philippines (e.g., Region IV-A CALABARZON, Region III Central Luzon, Region VII Central Visayas).</t>
        </is>
      </c>
    </row>
    <row r="43" ht="24" customHeight="1">
      <c r="A43" s="9" t="inlineStr">
        <is>
          <t>E</t>
        </is>
      </c>
      <c r="B43" s="6" t="inlineStr">
        <is>
          <t>Province</t>
        </is>
      </c>
      <c r="C43" s="7" t="inlineStr">
        <is>
          <t>Text</t>
        </is>
      </c>
      <c r="D43" s="7" t="inlineStr">
        <is>
          <t>PSA / DILG</t>
        </is>
      </c>
      <c r="E43" s="10" t="inlineStr">
        <is>
          <t>Province name under which the municipality and barangay are administratively governed.</t>
        </is>
      </c>
    </row>
    <row r="44" ht="24" customHeight="1">
      <c r="A44" s="9" t="inlineStr">
        <is>
          <t>F</t>
        </is>
      </c>
      <c r="B44" s="6" t="inlineStr">
        <is>
          <t>Municipality</t>
        </is>
      </c>
      <c r="C44" s="7" t="inlineStr">
        <is>
          <t>Text</t>
        </is>
      </c>
      <c r="D44" s="7" t="inlineStr">
        <is>
          <t>PSA / DILG</t>
        </is>
      </c>
      <c r="E44" s="10" t="inlineStr">
        <is>
          <t>City or Municipality administrative entity.</t>
        </is>
      </c>
    </row>
    <row r="45" ht="24" customHeight="1">
      <c r="A45" s="9" t="inlineStr">
        <is>
          <t>G</t>
        </is>
      </c>
      <c r="B45" s="6" t="inlineStr">
        <is>
          <t>Barangay</t>
        </is>
      </c>
      <c r="C45" s="7" t="inlineStr">
        <is>
          <t>Text</t>
        </is>
      </c>
      <c r="D45" s="7" t="inlineStr">
        <is>
          <t>PSA / DILG</t>
        </is>
      </c>
      <c r="E45" s="10" t="inlineStr">
        <is>
          <t>Official name of the barangay (primary administrative and operational unit for FWA BTS siting).</t>
        </is>
      </c>
    </row>
    <row r="46" ht="24" customHeight="1">
      <c r="A46" s="9" t="inlineStr">
        <is>
          <t>H</t>
        </is>
      </c>
      <c r="B46" s="6" t="inlineStr">
        <is>
          <t>Latitude</t>
        </is>
      </c>
      <c r="C46" s="7" t="inlineStr">
        <is>
          <t>Decimal Degrees (WGS84)</t>
        </is>
      </c>
      <c r="D46" s="7" t="inlineStr">
        <is>
          <t>DICT GIDA Tool</t>
        </is>
      </c>
      <c r="E46" s="10" t="inlineStr">
        <is>
          <t>Verified north-south geographic coordinate of the barangay center point.</t>
        </is>
      </c>
    </row>
    <row r="47" ht="24" customHeight="1">
      <c r="A47" s="9" t="inlineStr">
        <is>
          <t>I</t>
        </is>
      </c>
      <c r="B47" s="6" t="inlineStr">
        <is>
          <t>Longitude</t>
        </is>
      </c>
      <c r="C47" s="7" t="inlineStr">
        <is>
          <t>Decimal Degrees (WGS84)</t>
        </is>
      </c>
      <c r="D47" s="7" t="inlineStr">
        <is>
          <t>DICT GIDA Tool</t>
        </is>
      </c>
      <c r="E47" s="10" t="inlineStr">
        <is>
          <t>Verified east-west geographic coordinate of the barangay center point.</t>
        </is>
      </c>
    </row>
    <row r="48" ht="24" customHeight="1">
      <c r="A48" s="9" t="inlineStr">
        <is>
          <t>J</t>
        </is>
      </c>
      <c r="B48" s="6" t="inlineStr">
        <is>
          <t>Urban / Rural</t>
        </is>
      </c>
      <c r="C48" s="7" t="inlineStr">
        <is>
          <t>Text Code ('U' / 'R')</t>
        </is>
      </c>
      <c r="D48" s="7" t="inlineStr">
        <is>
          <t>PSA 2020 CPH</t>
        </is>
      </c>
      <c r="E48" s="10" t="inlineStr">
        <is>
          <t>Official demographic classification: 'R' for Rural (59.4% of total rollout) or 'U' for Urban/Peri-urban. Used for broadband deficit scoring.</t>
        </is>
      </c>
    </row>
    <row r="49" ht="24" customHeight="1">
      <c r="A49" s="9" t="inlineStr">
        <is>
          <t>K</t>
        </is>
      </c>
      <c r="B49" s="6" t="inlineStr">
        <is>
          <t>Municipal Income Class</t>
        </is>
      </c>
      <c r="C49" s="7" t="inlineStr">
        <is>
          <t>Text</t>
        </is>
      </c>
      <c r="D49" s="7" t="inlineStr">
        <is>
          <t>DOF BLGF</t>
        </is>
      </c>
      <c r="E49" s="10" t="inlineStr">
        <is>
          <t>Department of Finance income classification (1st to 6th Class, Special, or HUC), serving as proxy for local commercial purchasing power.</t>
        </is>
      </c>
    </row>
    <row r="50" ht="24" customHeight="1">
      <c r="A50" s="9" t="inlineStr">
        <is>
          <t>L</t>
        </is>
      </c>
      <c r="B50" s="6" t="inlineStr">
        <is>
          <t>2020 Pop</t>
        </is>
      </c>
      <c r="C50" s="7" t="inlineStr">
        <is>
          <t>Integer</t>
        </is>
      </c>
      <c r="D50" s="7" t="inlineStr">
        <is>
          <t>PSA 2020 CPH</t>
        </is>
      </c>
      <c r="E50" s="10" t="inlineStr">
        <is>
          <t>Official resident population count as of the May 2020 Census of Population and Housing.</t>
        </is>
      </c>
    </row>
    <row r="51" ht="24" customHeight="1">
      <c r="A51" s="9" t="inlineStr">
        <is>
          <t>M</t>
        </is>
      </c>
      <c r="B51" s="6" t="inlineStr">
        <is>
          <t>Avg HH Size</t>
        </is>
      </c>
      <c r="C51" s="7" t="inlineStr">
        <is>
          <t>Decimal (Persons/HH)</t>
        </is>
      </c>
      <c r="D51" s="7" t="inlineStr">
        <is>
          <t>PSA 2020 CPH Matrix</t>
        </is>
      </c>
      <c r="E51" s="10" t="inlineStr">
        <is>
          <t>Average household size factor (persons per household) calibrated specifically per province and region.</t>
        </is>
      </c>
    </row>
    <row r="52" ht="24" customHeight="1">
      <c r="A52" s="9" t="inlineStr">
        <is>
          <t>N</t>
        </is>
      </c>
      <c r="B52" s="6" t="inlineStr">
        <is>
          <t>Households</t>
        </is>
      </c>
      <c r="C52" s="7" t="inlineStr">
        <is>
          <t>Integer</t>
        </is>
      </c>
      <c r="D52" s="7" t="inlineStr">
        <is>
          <t>Demographic Model</t>
        </is>
      </c>
      <c r="E52" s="10" t="inlineStr">
        <is>
          <t>Total addressable households within the barangay, calculated as: [2020 Pop] / [Avg HH Size].</t>
        </is>
      </c>
    </row>
    <row r="53" ht="24" customHeight="1">
      <c r="A53" s="9" t="inlineStr">
        <is>
          <t>O</t>
        </is>
      </c>
      <c r="B53" s="6" t="inlineStr">
        <is>
          <t>Subs @ 30%</t>
        </is>
      </c>
      <c r="C53" s="7" t="inlineStr">
        <is>
          <t>Integer</t>
        </is>
      </c>
      <c r="D53" s="7" t="inlineStr">
        <is>
          <t>Commercial Planning</t>
        </is>
      </c>
      <c r="E53" s="10" t="inlineStr">
        <is>
          <t>Target addressable paying subscriber count based on a standard 30% commercial take-rate of addressable households ([Households] * 0.30).</t>
        </is>
      </c>
    </row>
    <row r="54" ht="24" customHeight="1">
      <c r="A54" s="9" t="inlineStr">
        <is>
          <t>P</t>
        </is>
      </c>
      <c r="B54" s="6" t="inlineStr">
        <is>
          <t>Carrier Spectrum</t>
        </is>
      </c>
      <c r="C54" s="7" t="inlineStr">
        <is>
          <t>Text</t>
        </is>
      </c>
      <c r="D54" s="7" t="inlineStr">
        <is>
          <t>Spectrum Allocation</t>
        </is>
      </c>
      <c r="E54" s="10" t="inlineStr">
        <is>
          <t>Assigned access radio carrier: Band n50 (1432–1517 MHz, 1.5 GHz L-Band TDD) configured with 60 MHz contiguous channel bandwidth.</t>
        </is>
      </c>
    </row>
    <row r="55" ht="24" customHeight="1">
      <c r="A55" s="9" t="inlineStr">
        <is>
          <t>Q</t>
        </is>
      </c>
      <c r="B55" s="11" t="inlineStr">
        <is>
          <t>Peak 30% Demand Capacity (BTS)</t>
        </is>
      </c>
      <c r="C55" s="7" t="inlineStr">
        <is>
          <t>Integer (BTS Units)</t>
        </is>
      </c>
      <c r="D55" s="7" t="inlineStr">
        <is>
          <t>Dimensioning Engine</t>
        </is>
      </c>
      <c r="E55" s="10" t="inlineStr">
        <is>
          <t>Total theoretical BTS required to serve 30% household penetration at full market maturity (ceil([Subs @ 30%] / 1,000)). Dimensioned at 1,000 subscribers per BTS total across 3 sectors (~333 per sector).</t>
        </is>
      </c>
    </row>
    <row r="56" ht="24" customHeight="1">
      <c r="A56" s="9" t="inlineStr">
        <is>
          <t>R</t>
        </is>
      </c>
      <c r="B56" s="11" t="inlineStr">
        <is>
          <t>Initial Day 1 Build (BTS)</t>
        </is>
      </c>
      <c r="C56" s="7" t="inlineStr">
        <is>
          <t>Integer (BTS Units)</t>
        </is>
      </c>
      <c r="D56" s="7" t="inlineStr">
        <is>
          <t>Rollout Strategy</t>
        </is>
      </c>
      <c r="E56" s="10" t="inlineStr">
        <is>
          <t>Actual physical macro BTS units deployed on Day 1 (fixed at 1 BTS per priority barangay) to secure immediate commercial presence without overbuilding.</t>
        </is>
      </c>
    </row>
    <row r="57" ht="24" customHeight="1">
      <c r="A57" s="9" t="inlineStr">
        <is>
          <t>S</t>
        </is>
      </c>
      <c r="B57" s="6" t="inlineStr">
        <is>
          <t>Dist. to Nearest Node (km)</t>
        </is>
      </c>
      <c r="C57" s="7" t="inlineStr">
        <is>
          <t>Decimal (km)</t>
        </is>
      </c>
      <c r="D57" s="7" t="inlineStr">
        <is>
          <t>Spatial Haversine</t>
        </is>
      </c>
      <c r="E57" s="10" t="inlineStr">
        <is>
          <t>Exact great-circle Haversine point-to-point distance in kilometers from barangay coordinates to the nearest of Converge's 2,405 backbone nodes.</t>
        </is>
      </c>
    </row>
    <row r="58" ht="24" customHeight="1">
      <c r="A58" s="9" t="inlineStr">
        <is>
          <t>T</t>
        </is>
      </c>
      <c r="B58" s="6" t="inlineStr">
        <is>
          <t>Dist. to Fiber Line (km)</t>
        </is>
      </c>
      <c r="C58" s="7" t="inlineStr">
        <is>
          <t>Decimal (km)</t>
        </is>
      </c>
      <c r="D58" s="7" t="inlineStr">
        <is>
          <t>Spatial Index (334k pts)</t>
        </is>
      </c>
      <c r="E58" s="10" t="inlineStr">
        <is>
          <t>Exact point-to-point geometric distance in kilometers from barangay coordinates to the nearest Converge backbone fiber line vertex.</t>
        </is>
      </c>
    </row>
    <row r="59" ht="24" customHeight="1">
      <c r="A59" s="9" t="inlineStr">
        <is>
          <t>U</t>
        </is>
      </c>
      <c r="B59" s="6" t="inlineStr">
        <is>
          <t>Deploy Tier</t>
        </is>
      </c>
      <c r="C59" s="7" t="inlineStr">
        <is>
          <t>Text</t>
        </is>
      </c>
      <c r="D59" s="7" t="inlineStr">
        <is>
          <t>Operational Engineering</t>
        </is>
      </c>
      <c r="E59" s="10" t="inlineStr">
        <is>
          <t>Engineering deployment tier based on backhaul lateral distance: Tier 1: Ultra-Close (&lt;1km), Tier 2: Near (&lt;3km), Tier 3: Moderate (&lt;5km), Tier 4: Greenfield.</t>
        </is>
      </c>
    </row>
    <row r="60" ht="24" customHeight="1">
      <c r="A60" s="9" t="inlineStr">
        <is>
          <t>V</t>
        </is>
      </c>
      <c r="B60" s="6" t="inlineStr">
        <is>
          <t>Deploy Score (35%)</t>
        </is>
      </c>
      <c r="C60" s="7" t="inlineStr">
        <is>
          <t>Decimal (0 - 100)</t>
        </is>
      </c>
      <c r="D60" s="7" t="inlineStr">
        <is>
          <t>Pillar 3 Algorithm</t>
        </is>
      </c>
      <c r="E60" s="10" t="inlineStr">
        <is>
          <t>Ease of Deployment score (35% weight). Evaluates point-to-point fiber distance via exponential decay (100 * exp(-dist / 3.0)), fiber corridor proximity bonus (+10 pts within 2 km), commercial 220V grid power, and tower infrastructure availability.</t>
        </is>
      </c>
    </row>
    <row r="61" ht="24" customHeight="1">
      <c r="A61" s="9" t="inlineStr">
        <is>
          <t>W</t>
        </is>
      </c>
      <c r="B61" s="6" t="inlineStr">
        <is>
          <t>Viability Score (35%)</t>
        </is>
      </c>
      <c r="C61" s="7" t="inlineStr">
        <is>
          <t>Decimal (0 - 100)</t>
        </is>
      </c>
      <c r="D61" s="7" t="inlineStr">
        <is>
          <t>Pillar 2 Algorithm</t>
        </is>
      </c>
      <c r="E61" s="10" t="inlineStr">
        <is>
          <t>Business Viability score (35% weight). Evaluates commercial demand density and ability to sustain recurring retail sales (₱599-₱999/mo). Full 100% score awarded for demand between 300 and 1,000 target subscribers (sweet spot for 1 BTS ROI), scaled for smaller or larger catchments, plus municipal income class weighting.</t>
        </is>
      </c>
    </row>
    <row r="62" ht="24" customHeight="1">
      <c r="A62" s="9" t="inlineStr">
        <is>
          <t>X</t>
        </is>
      </c>
      <c r="B62" s="6" t="inlineStr">
        <is>
          <t>Necessity Score (30%)</t>
        </is>
      </c>
      <c r="C62" s="7" t="inlineStr">
        <is>
          <t>Decimal (0 - 100)</t>
        </is>
      </c>
      <c r="D62" s="7" t="inlineStr">
        <is>
          <t>Pillar 1 Algorithm</t>
        </is>
      </c>
      <c r="E62" s="10" t="inlineStr">
        <is>
          <t>Necessity / Broadband Deficit score (30% weight). Directly measures lack of commercial internet service: Rural barangays receive 85 pts; off-net municipalities receive 100 pts; Class 4-6 towns receive up to 90 pts; saturated wireline FTTH metros (NCR) receive a -20 pt penalty.</t>
        </is>
      </c>
    </row>
    <row r="63" ht="24" customHeight="1">
      <c r="A63" s="9" t="inlineStr">
        <is>
          <t>Y</t>
        </is>
      </c>
      <c r="B63" s="6" t="inlineStr">
        <is>
          <t>Composite Score</t>
        </is>
      </c>
      <c r="C63" s="7" t="inlineStr">
        <is>
          <t>Decimal (0 - 100)</t>
        </is>
      </c>
      <c r="D63" s="7" t="inlineStr">
        <is>
          <t>Multi-Criteria Engine</t>
        </is>
      </c>
      <c r="E63" s="10" t="inlineStr">
        <is>
          <t>Final weighted ranking score: (Deploy Score * 0.35) + (Viability Score * 0.35) + (Necessity Score * 0.30). Used to sort and schedule all 5,000 barangays across Batches 1 to 5.</t>
        </is>
      </c>
    </row>
    <row r="65" ht="24" customHeight="1">
      <c r="A65" s="3" t="inlineStr">
        <is>
          <t>6. EXECUTIVE SUMMARY &amp; PROVINCIAL SUMMARY HEADERS DEFINITION</t>
        </is>
      </c>
      <c r="B65" s="52" t="n"/>
      <c r="C65" s="52" t="n"/>
      <c r="D65" s="52" t="n"/>
      <c r="E65" s="53" t="n"/>
    </row>
    <row r="66" ht="22" customHeight="1">
      <c r="A66" s="5" t="inlineStr">
        <is>
          <t>Summary Header</t>
        </is>
      </c>
      <c r="B66" s="5" t="inlineStr">
        <is>
          <t>Data Type</t>
        </is>
      </c>
      <c r="C66" s="5" t="inlineStr">
        <is>
          <t>Category</t>
        </is>
      </c>
      <c r="D66" s="5" t="inlineStr">
        <is>
          <t>Operational Definition &amp; Purpose</t>
        </is>
      </c>
    </row>
    <row r="67" ht="20" customHeight="1">
      <c r="A67" s="6" t="inlineStr">
        <is>
          <t>Rollout Phase</t>
        </is>
      </c>
      <c r="B67" s="7" t="inlineStr">
        <is>
          <t>Categorical (Batches 1 to 5)</t>
        </is>
      </c>
      <c r="C67" s="7" t="inlineStr">
        <is>
          <t>Executive Phasing</t>
        </is>
      </c>
      <c r="D67" s="7" t="inlineStr">
        <is>
          <t>Commercial deployment tranche grouping 1,000 priority barangays per phase.</t>
        </is>
      </c>
      <c r="E67" s="53" t="n"/>
    </row>
    <row r="68" ht="20" customHeight="1">
      <c r="A68" s="6" t="inlineStr">
        <is>
          <t>Barangays</t>
        </is>
      </c>
      <c r="B68" s="7" t="inlineStr">
        <is>
          <t>Integer (1,000 / batch)</t>
        </is>
      </c>
      <c r="C68" s="7" t="inlineStr">
        <is>
          <t>Site Siting</t>
        </is>
      </c>
      <c r="D68" s="7" t="inlineStr">
        <is>
          <t>Total count of priority barangays scheduled for deployment in that phase.</t>
        </is>
      </c>
      <c r="E68" s="53" t="n"/>
    </row>
    <row r="69" ht="20" customHeight="1">
      <c r="A69" s="6" t="inlineStr">
        <is>
          <t>Initial Day 1 Build (BTS)</t>
        </is>
      </c>
      <c r="B69" s="7" t="inlineStr">
        <is>
          <t>Integer (1,000 / batch)</t>
        </is>
      </c>
      <c r="C69" s="7" t="inlineStr">
        <is>
          <t>CAPEX Commitment</t>
        </is>
      </c>
      <c r="D69" s="7" t="inlineStr">
        <is>
          <t>Physical macro BTS deployed on Day 1 (1 BTS per barangay) to secure territory without overbuilding.</t>
        </is>
      </c>
      <c r="E69" s="53" t="n"/>
    </row>
    <row r="70" ht="20" customHeight="1">
      <c r="A70" s="6" t="inlineStr">
        <is>
          <t>Peak 30% Demand Capacity (BTS)</t>
        </is>
      </c>
      <c r="B70" s="7" t="inlineStr">
        <is>
          <t>Integer (1,061 to 1,143)</t>
        </is>
      </c>
      <c r="C70" s="7" t="inlineStr">
        <is>
          <t>Dimensioning</t>
        </is>
      </c>
      <c r="D70" s="7" t="inlineStr">
        <is>
          <t>Total theoretical BTS capacity required if full 30% household penetration is reached (@ 1,000 subs/BTS).</t>
        </is>
      </c>
      <c r="E70" s="53" t="n"/>
    </row>
    <row r="71" ht="20" customHeight="1">
      <c r="A71" s="6" t="inlineStr">
        <is>
          <t>Population</t>
        </is>
      </c>
      <c r="B71" s="7" t="inlineStr">
        <is>
          <t>Integer</t>
        </is>
      </c>
      <c r="C71" s="7" t="inlineStr">
        <is>
          <t>PSA 2020 CPH</t>
        </is>
      </c>
      <c r="D71" s="7" t="inlineStr">
        <is>
          <t>Sum of resident population in the batch according to the 2020 census.</t>
        </is>
      </c>
      <c r="E71" s="53" t="n"/>
    </row>
    <row r="72" ht="20" customHeight="1">
      <c r="A72" s="6" t="inlineStr">
        <is>
          <t>Households</t>
        </is>
      </c>
      <c r="B72" s="7" t="inlineStr">
        <is>
          <t>Integer</t>
        </is>
      </c>
      <c r="C72" s="7" t="inlineStr">
        <is>
          <t>Demographic Matrix</t>
        </is>
      </c>
      <c r="D72" s="7" t="inlineStr">
        <is>
          <t>Sum of addressable households in the batch based on provincial household size factors.</t>
        </is>
      </c>
      <c r="E72" s="53" t="n"/>
    </row>
    <row r="73" ht="20" customHeight="1">
      <c r="A73" s="6" t="inlineStr">
        <is>
          <t>Subs @ 30%</t>
        </is>
      </c>
      <c r="B73" s="7" t="inlineStr">
        <is>
          <t>Integer</t>
        </is>
      </c>
      <c r="C73" s="7" t="inlineStr">
        <is>
          <t>Commercial Model</t>
        </is>
      </c>
      <c r="D73" s="7" t="inlineStr">
        <is>
          <t>Target addressable subscriber base at 30% market share across the batch.</t>
        </is>
      </c>
      <c r="E73" s="53" t="n"/>
    </row>
    <row r="74" ht="20" customHeight="1">
      <c r="A74" s="6" t="inlineStr">
        <is>
          <t>Rural %</t>
        </is>
      </c>
      <c r="B74" s="7" t="inlineStr">
        <is>
          <t>Percentage</t>
        </is>
      </c>
      <c r="C74" s="7" t="inlineStr">
        <is>
          <t>Demographic Classification</t>
        </is>
      </c>
      <c r="D74" s="7" t="inlineStr">
        <is>
          <t>Proportion of barangays in the batch officially classified as Rural ('R') by PSA.</t>
        </is>
      </c>
      <c r="E74" s="53" t="n"/>
    </row>
    <row r="75" ht="20" customHeight="1">
      <c r="A75" s="6" t="inlineStr">
        <is>
          <t>Avg Distance to Node (km)</t>
        </is>
      </c>
      <c r="B75" s="7" t="inlineStr">
        <is>
          <t>Decimal (km)</t>
        </is>
      </c>
      <c r="C75" s="7" t="inlineStr">
        <is>
          <t>Spatial Analysis</t>
        </is>
      </c>
      <c r="D75" s="7" t="inlineStr">
        <is>
          <t>Mean great-circle Haversine distance from barangay centers in the batch to the nearest Converge node.</t>
        </is>
      </c>
      <c r="E75" s="53" t="n"/>
    </row>
    <row r="76" ht="20" customHeight="1">
      <c r="A76" s="6" t="inlineStr">
        <is>
          <t>Avg Deploy Score</t>
        </is>
      </c>
      <c r="B76" s="7" t="inlineStr">
        <is>
          <t>Decimal (0 - 100)</t>
        </is>
      </c>
      <c r="C76" s="7" t="inlineStr">
        <is>
          <t>Pillar 3 Summary</t>
        </is>
      </c>
      <c r="D76" s="7" t="inlineStr">
        <is>
          <t>Mean Ease of Deployment score across all barangays in the batch.</t>
        </is>
      </c>
      <c r="E76" s="53" t="n"/>
    </row>
    <row r="77" ht="20" customHeight="1">
      <c r="A77" s="6" t="inlineStr">
        <is>
          <t>Avg Viability</t>
        </is>
      </c>
      <c r="B77" s="7" t="inlineStr">
        <is>
          <t>Decimal (0 - 100)</t>
        </is>
      </c>
      <c r="C77" s="7" t="inlineStr">
        <is>
          <t>Pillar 2 Summary</t>
        </is>
      </c>
      <c r="D77" s="7" t="inlineStr">
        <is>
          <t>Mean Business Viability score across all barangays in the batch.</t>
        </is>
      </c>
      <c r="E77" s="53" t="n"/>
    </row>
    <row r="78" ht="20" customHeight="1">
      <c r="A78" s="6" t="inlineStr">
        <is>
          <t>Avg Necessity</t>
        </is>
      </c>
      <c r="B78" s="7" t="inlineStr">
        <is>
          <t>Decimal (0 - 100)</t>
        </is>
      </c>
      <c r="C78" s="7" t="inlineStr">
        <is>
          <t>Pillar 1 Summary</t>
        </is>
      </c>
      <c r="D78" s="7" t="inlineStr">
        <is>
          <t>Mean Necessity / Broadband Deficit score across all barangays in the batch.</t>
        </is>
      </c>
      <c r="E78" s="53" t="n"/>
    </row>
    <row r="79" ht="20" customHeight="1">
      <c r="A79" s="6" t="inlineStr">
        <is>
          <t>Avg Composite Score</t>
        </is>
      </c>
      <c r="B79" s="7" t="inlineStr">
        <is>
          <t>Decimal (0 - 100)</t>
        </is>
      </c>
      <c r="C79" s="7" t="inlineStr">
        <is>
          <t>Overall Ranking</t>
        </is>
      </c>
      <c r="D79" s="7" t="inlineStr">
        <is>
          <t>Mean overall composite prioritization score across all barangays in the batch.</t>
        </is>
      </c>
      <c r="E79" s="53" t="n"/>
    </row>
    <row r="81" ht="24" customHeight="1">
      <c r="A81" s="3" t="inlineStr">
        <is>
          <t>7. DOCUMENT CONTROL &amp; PRODUCTION METADATA</t>
        </is>
      </c>
      <c r="B81" s="52" t="n"/>
      <c r="C81" s="52" t="n"/>
      <c r="D81" s="52" t="n"/>
      <c r="E81" s="53" t="n"/>
    </row>
    <row r="82" ht="20" customHeight="1">
      <c r="A82" s="6" t="inlineStr">
        <is>
          <t>Model Name</t>
        </is>
      </c>
      <c r="B82" s="7" t="inlineStr">
        <is>
          <t>Philippine 5G FWA Barangay Rollout Plan &amp; BTS Sizing Engine</t>
        </is>
      </c>
      <c r="C82" s="52" t="n"/>
      <c r="D82" s="52" t="n"/>
      <c r="E82" s="53" t="n"/>
    </row>
    <row r="83" ht="20" customHeight="1">
      <c r="A83" s="6" t="inlineStr">
        <is>
          <t>Model Version</t>
        </is>
      </c>
      <c r="B83" s="7" t="inlineStr">
        <is>
          <t>2.0 Production Release (Audit Remediated &amp; Option A Reconciled)</t>
        </is>
      </c>
      <c r="C83" s="52" t="n"/>
      <c r="D83" s="52" t="n"/>
      <c r="E83" s="53" t="n"/>
    </row>
    <row r="84" ht="20" customHeight="1">
      <c r="A84" s="6" t="inlineStr">
        <is>
          <t>Radio Access Carrier</t>
        </is>
      </c>
      <c r="B84" s="7" t="inlineStr">
        <is>
          <t>Band n50 (1432–1517 MHz, 1.5 GHz L-Band TDD, 60 MHz Carrier Bandwidth)</t>
        </is>
      </c>
      <c r="C84" s="52" t="n"/>
      <c r="D84" s="52" t="n"/>
      <c r="E84" s="53" t="n"/>
    </row>
    <row r="85" ht="20" customHeight="1">
      <c r="A85" s="6" t="inlineStr">
        <is>
          <t>Target Dimensioning</t>
        </is>
      </c>
      <c r="B85" s="7" t="inlineStr">
        <is>
          <t>1,000 Subscribers per BTS Total (~333 per sector across 3 sectors)</t>
        </is>
      </c>
      <c r="C85" s="52" t="n"/>
      <c r="D85" s="52" t="n"/>
      <c r="E85" s="53" t="n"/>
    </row>
    <row r="86" ht="20" customHeight="1">
      <c r="A86" s="6" t="inlineStr">
        <is>
          <t>Total Universe Evaluated</t>
        </is>
      </c>
      <c r="B86" s="7" t="inlineStr">
        <is>
          <t>41,976 Valid Barangays (2020 PSA Census of Population)</t>
        </is>
      </c>
      <c r="C86" s="52" t="n"/>
      <c r="D86" s="52" t="n"/>
      <c r="E86" s="53" t="n"/>
    </row>
    <row r="87" ht="20" customHeight="1">
      <c r="A87" s="6" t="inlineStr">
        <is>
          <t>Priority Universe Selected</t>
        </is>
      </c>
      <c r="B87" s="7" t="inlineStr">
        <is>
          <t>Top 5,000 Barangays across 5 Batches of 1,000 Sites</t>
        </is>
      </c>
      <c r="C87" s="52" t="n"/>
      <c r="D87" s="52" t="n"/>
      <c r="E87" s="53" t="n"/>
    </row>
    <row r="88" ht="20" customHeight="1">
      <c r="A88" s="6" t="inlineStr">
        <is>
          <t>Backhaul Network Anchor</t>
        </is>
      </c>
      <c r="B88" s="7" t="inlineStr">
        <is>
          <t>Converge ICT Solutions Optical Backbone (2,405 Nodes / 334k Line Vertices)</t>
        </is>
      </c>
      <c r="C88" s="52" t="n"/>
      <c r="D88" s="52" t="n"/>
      <c r="E88" s="53" t="n"/>
    </row>
    <row r="89" ht="20" customHeight="1">
      <c r="A89" s="6" t="inlineStr">
        <is>
          <t>Remote Repository</t>
        </is>
      </c>
      <c r="B89" s="7" t="inlineStr">
        <is>
          <t>https://github.com/quizoli/fwa-5g-presentation.git</t>
        </is>
      </c>
      <c r="C89" s="52" t="n"/>
      <c r="D89" s="52" t="n"/>
      <c r="E89" s="53" t="n"/>
    </row>
    <row r="90" ht="20" customHeight="1">
      <c r="A90" s="6" t="inlineStr">
        <is>
          <t>Audit Sign-off</t>
        </is>
      </c>
      <c r="B90" s="7" t="inlineStr">
        <is>
          <t>100% Mathematical Reconciliation between .xlsx, .md, and HTML presentation decks.</t>
        </is>
      </c>
      <c r="C90" s="52" t="n"/>
      <c r="D90" s="52" t="n"/>
      <c r="E90" s="53" t="n"/>
    </row>
  </sheetData>
  <mergeCells count="55">
    <mergeCell ref="C16:E16"/>
    <mergeCell ref="D69:E69"/>
    <mergeCell ref="C29:E29"/>
    <mergeCell ref="A24:E24"/>
    <mergeCell ref="B83:E83"/>
    <mergeCell ref="D34:E34"/>
    <mergeCell ref="C22:E22"/>
    <mergeCell ref="C9:E9"/>
    <mergeCell ref="C21:E21"/>
    <mergeCell ref="B89:E89"/>
    <mergeCell ref="B85:E85"/>
    <mergeCell ref="D77:E77"/>
    <mergeCell ref="C11:E11"/>
    <mergeCell ref="A65:E65"/>
    <mergeCell ref="C27:E27"/>
    <mergeCell ref="D76:E76"/>
    <mergeCell ref="C8:E8"/>
    <mergeCell ref="C17:E17"/>
    <mergeCell ref="D32:E32"/>
    <mergeCell ref="A37:E37"/>
    <mergeCell ref="B90:E90"/>
    <mergeCell ref="D70:E70"/>
    <mergeCell ref="C7:E7"/>
    <mergeCell ref="D66:E66"/>
    <mergeCell ref="D75:E75"/>
    <mergeCell ref="C28:E28"/>
    <mergeCell ref="C19:E19"/>
    <mergeCell ref="D72:E72"/>
    <mergeCell ref="D78:E78"/>
    <mergeCell ref="B86:E86"/>
    <mergeCell ref="C18:E18"/>
    <mergeCell ref="D71:E71"/>
    <mergeCell ref="C15:E15"/>
    <mergeCell ref="C6:E6"/>
    <mergeCell ref="D74:E74"/>
    <mergeCell ref="A4:E4"/>
    <mergeCell ref="C14:E14"/>
    <mergeCell ref="D68:E68"/>
    <mergeCell ref="C5:E5"/>
    <mergeCell ref="A81:E81"/>
    <mergeCell ref="B84:E84"/>
    <mergeCell ref="D33:E33"/>
    <mergeCell ref="B88:E88"/>
    <mergeCell ref="D67:E67"/>
    <mergeCell ref="D73:E73"/>
    <mergeCell ref="B82:E82"/>
    <mergeCell ref="C26:E26"/>
    <mergeCell ref="B87:E87"/>
    <mergeCell ref="A13:E13"/>
    <mergeCell ref="A31:E31"/>
    <mergeCell ref="C20:E20"/>
    <mergeCell ref="D79:E79"/>
    <mergeCell ref="C25:E25"/>
    <mergeCell ref="D35:E3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Philippine FWA Rollout — Band n50 Dynamic Dimensioning &amp; Executive Model</t>
        </is>
      </c>
    </row>
    <row r="2">
      <c r="A2" s="2" t="inlineStr">
        <is>
          <t>Fully dynamic executive comparison across 5 phases. All metrics recalculate live when parameters are updated in 'Methodology &amp; Assumptions'.</t>
        </is>
      </c>
    </row>
    <row r="5">
      <c r="A5" s="12" t="inlineStr">
        <is>
          <t>PHASE 1 BTS DEPLOYED</t>
        </is>
      </c>
      <c r="B5" s="53" t="n"/>
      <c r="C5" s="12" t="inlineStr">
        <is>
          <t>POPULATION REACHED</t>
        </is>
      </c>
      <c r="D5" s="53" t="n"/>
      <c r="E5" s="12" t="inlineStr">
        <is>
          <t>ADDRESSABLE HOUSEHOLDS</t>
        </is>
      </c>
      <c r="F5" s="53" t="n"/>
      <c r="G5" s="12" t="inlineStr">
        <is>
          <t>TARGET SUBS @ 30%</t>
        </is>
      </c>
      <c r="H5" s="53" t="n"/>
      <c r="I5" s="12" t="inlineStr">
        <is>
          <t>RURAL CATCHMENTS</t>
        </is>
      </c>
      <c r="J5" s="53" t="n"/>
      <c r="K5" s="12" t="inlineStr">
        <is>
          <t>FIBER PROXIMITY (&lt;3KM)</t>
        </is>
      </c>
      <c r="L5" s="53" t="n"/>
    </row>
    <row r="6">
      <c r="A6" s="13">
        <f>C11</f>
        <v/>
      </c>
      <c r="B6" s="53" t="n"/>
      <c r="C6" s="13">
        <f>E11</f>
        <v/>
      </c>
      <c r="D6" s="53" t="n"/>
      <c r="E6" s="13">
        <f>F11</f>
        <v/>
      </c>
      <c r="F6" s="53" t="n"/>
      <c r="G6" s="13">
        <f>G11</f>
        <v/>
      </c>
      <c r="H6" s="53" t="n"/>
      <c r="I6" s="13" t="inlineStr">
        <is>
          <t>554 (55.4%)</t>
        </is>
      </c>
      <c r="J6" s="53" t="n"/>
      <c r="K6" s="13" t="inlineStr">
        <is>
          <t>1000 (100.0%)</t>
        </is>
      </c>
      <c r="L6" s="53" t="n"/>
    </row>
    <row r="7">
      <c r="A7" s="14" t="inlineStr">
        <is>
          <t>1 BTS / Priority Barangay</t>
        </is>
      </c>
      <c r="B7" s="53" t="n"/>
      <c r="C7" s="14" t="inlineStr">
        <is>
          <t>PSA 2020 Census (Batch 1)</t>
        </is>
      </c>
      <c r="D7" s="53" t="n"/>
      <c r="E7" s="14" t="inlineStr">
        <is>
          <t>DOF / Provincial HH Multipliers</t>
        </is>
      </c>
      <c r="F7" s="53" t="n"/>
      <c r="G7" s="14" t="inlineStr">
        <is>
          <t>Avg 480 subs/site (Runway to 1k)</t>
        </is>
      </c>
      <c r="H7" s="53" t="n"/>
      <c r="I7" s="14" t="inlineStr">
        <is>
          <t>PSA 2020 Classification</t>
        </is>
      </c>
      <c r="J7" s="53" t="n"/>
      <c r="K7" s="14" t="inlineStr">
        <is>
          <t>Direct Optical Backhaul</t>
        </is>
      </c>
      <c r="L7" s="53" t="n"/>
    </row>
    <row r="9">
      <c r="A9" s="15" t="inlineStr">
        <is>
          <t>ROLLOUT BATCH COMPARISON (5,000 BARANGAYS ACROSS 5 PHASES)</t>
        </is>
      </c>
    </row>
    <row r="10" ht="28" customHeight="1">
      <c r="A10" s="16" t="inlineStr">
        <is>
          <t>Rollout Phase</t>
        </is>
      </c>
      <c r="B10" s="16" t="inlineStr">
        <is>
          <t>Barangays</t>
        </is>
      </c>
      <c r="C10" s="16" t="inlineStr">
        <is>
          <t>Initial Day 1 Build (BTS)</t>
        </is>
      </c>
      <c r="D10" s="16" t="inlineStr">
        <is>
          <t>Peak 30% Demand Capacity (BTS)</t>
        </is>
      </c>
      <c r="E10" s="16" t="inlineStr">
        <is>
          <t>Population</t>
        </is>
      </c>
      <c r="F10" s="16" t="inlineStr">
        <is>
          <t>Households</t>
        </is>
      </c>
      <c r="G10" s="16" t="inlineStr">
        <is>
          <t>Subs @ 30%</t>
        </is>
      </c>
      <c r="H10" s="16" t="inlineStr">
        <is>
          <t>Rural %</t>
        </is>
      </c>
      <c r="I10" s="16" t="inlineStr">
        <is>
          <t>Avg Distance to Node (km)</t>
        </is>
      </c>
      <c r="J10" s="16" t="inlineStr">
        <is>
          <t>Avg Deploy Score</t>
        </is>
      </c>
      <c r="K10" s="16" t="inlineStr">
        <is>
          <t>Avg Viability</t>
        </is>
      </c>
      <c r="L10" s="16" t="inlineStr">
        <is>
          <t>Avg Necessity</t>
        </is>
      </c>
      <c r="M10" s="16" t="inlineStr">
        <is>
          <t>Avg Composite Score</t>
        </is>
      </c>
    </row>
    <row r="11" ht="20" customHeight="1">
      <c r="A11" s="17" t="inlineStr">
        <is>
          <t>Batch 1 (Phase 1)</t>
        </is>
      </c>
      <c r="B11" s="18">
        <f>COUNT('Batch 1 (First 1,000)'!A5:A1004)</f>
        <v/>
      </c>
      <c r="C11" s="19">
        <f>SUM('Batch 1 (First 1,000)'!R5:R1004)</f>
        <v/>
      </c>
      <c r="D11" s="19">
        <f>SUM('Batch 1 (First 1,000)'!Q5:Q1004)</f>
        <v/>
      </c>
      <c r="E11" s="18">
        <f>SUM('Batch 1 (First 1,000)'!L5:L1004)</f>
        <v/>
      </c>
      <c r="F11" s="18">
        <f>SUM('Batch 1 (First 1,000)'!N5:N1004)</f>
        <v/>
      </c>
      <c r="G11" s="18">
        <f>SUM('Batch 1 (First 1,000)'!O5:O1004)</f>
        <v/>
      </c>
      <c r="H11" s="20">
        <f>COUNTIF('Batch 1 (First 1,000)'!J5:J1004, "R")/B11</f>
        <v/>
      </c>
      <c r="I11" s="21">
        <f>AVERAGE('Batch 1 (First 1,000)'!S5:S1004)</f>
        <v/>
      </c>
      <c r="J11" s="20">
        <f>AVERAGE('Batch 1 (First 1,000)'!V5:V1004)</f>
        <v/>
      </c>
      <c r="K11" s="20">
        <f>AVERAGE('Batch 1 (First 1,000)'!W5:W1004)</f>
        <v/>
      </c>
      <c r="L11" s="20">
        <f>AVERAGE('Batch 1 (First 1,000)'!X5:X1004)</f>
        <v/>
      </c>
      <c r="M11" s="21">
        <f>AVERAGE('Batch 1 (First 1,000)'!Y5:Y1004)</f>
        <v/>
      </c>
    </row>
    <row r="12" ht="20" customHeight="1">
      <c r="A12" s="22" t="inlineStr">
        <is>
          <t>Batch 2 (Phase 2)</t>
        </is>
      </c>
      <c r="B12" s="23">
        <f>COUNT('Batch 2 (1,001 - 2,000)'!A5:A1004)</f>
        <v/>
      </c>
      <c r="C12" s="19">
        <f>SUM('Batch 2 (1,001 - 2,000)'!R5:R1004)</f>
        <v/>
      </c>
      <c r="D12" s="19">
        <f>SUM('Batch 2 (1,001 - 2,000)'!Q5:Q1004)</f>
        <v/>
      </c>
      <c r="E12" s="23">
        <f>SUM('Batch 2 (1,001 - 2,000)'!L5:L1004)</f>
        <v/>
      </c>
      <c r="F12" s="23">
        <f>SUM('Batch 2 (1,001 - 2,000)'!N5:N1004)</f>
        <v/>
      </c>
      <c r="G12" s="23">
        <f>SUM('Batch 2 (1,001 - 2,000)'!O5:O1004)</f>
        <v/>
      </c>
      <c r="H12" s="24">
        <f>COUNTIF('Batch 2 (1,001 - 2,000)'!J5:J1004, "R")/B12</f>
        <v/>
      </c>
      <c r="I12" s="25">
        <f>AVERAGE('Batch 2 (1,001 - 2,000)'!S5:S1004)</f>
        <v/>
      </c>
      <c r="J12" s="24">
        <f>AVERAGE('Batch 2 (1,001 - 2,000)'!V5:V1004)</f>
        <v/>
      </c>
      <c r="K12" s="24">
        <f>AVERAGE('Batch 2 (1,001 - 2,000)'!W5:W1004)</f>
        <v/>
      </c>
      <c r="L12" s="24">
        <f>AVERAGE('Batch 2 (1,001 - 2,000)'!X5:X1004)</f>
        <v/>
      </c>
      <c r="M12" s="25">
        <f>AVERAGE('Batch 2 (1,001 - 2,000)'!Y5:Y1004)</f>
        <v/>
      </c>
    </row>
    <row r="13" ht="20" customHeight="1">
      <c r="A13" s="17" t="inlineStr">
        <is>
          <t>Batch 3 (Phase 3)</t>
        </is>
      </c>
      <c r="B13" s="18">
        <f>COUNT('Batch 3 (2,001 - 3,000)'!A5:A1004)</f>
        <v/>
      </c>
      <c r="C13" s="19">
        <f>SUM('Batch 3 (2,001 - 3,000)'!R5:R1004)</f>
        <v/>
      </c>
      <c r="D13" s="19">
        <f>SUM('Batch 3 (2,001 - 3,000)'!Q5:Q1004)</f>
        <v/>
      </c>
      <c r="E13" s="18">
        <f>SUM('Batch 3 (2,001 - 3,000)'!L5:L1004)</f>
        <v/>
      </c>
      <c r="F13" s="18">
        <f>SUM('Batch 3 (2,001 - 3,000)'!N5:N1004)</f>
        <v/>
      </c>
      <c r="G13" s="18">
        <f>SUM('Batch 3 (2,001 - 3,000)'!O5:O1004)</f>
        <v/>
      </c>
      <c r="H13" s="20">
        <f>COUNTIF('Batch 3 (2,001 - 3,000)'!J5:J1004, "R")/B13</f>
        <v/>
      </c>
      <c r="I13" s="21">
        <f>AVERAGE('Batch 3 (2,001 - 3,000)'!S5:S1004)</f>
        <v/>
      </c>
      <c r="J13" s="20">
        <f>AVERAGE('Batch 3 (2,001 - 3,000)'!V5:V1004)</f>
        <v/>
      </c>
      <c r="K13" s="20">
        <f>AVERAGE('Batch 3 (2,001 - 3,000)'!W5:W1004)</f>
        <v/>
      </c>
      <c r="L13" s="20">
        <f>AVERAGE('Batch 3 (2,001 - 3,000)'!X5:X1004)</f>
        <v/>
      </c>
      <c r="M13" s="21">
        <f>AVERAGE('Batch 3 (2,001 - 3,000)'!Y5:Y1004)</f>
        <v/>
      </c>
    </row>
    <row r="14" ht="20" customHeight="1">
      <c r="A14" s="22" t="inlineStr">
        <is>
          <t>Batch 4 (Phase 4)</t>
        </is>
      </c>
      <c r="B14" s="23">
        <f>COUNT('Batch 4 &amp; 5 (3,001 - 5,000)'!A5:A1004)</f>
        <v/>
      </c>
      <c r="C14" s="19">
        <f>SUM('Batch 4 &amp; 5 (3,001 - 5,000)'!R5:R1004)</f>
        <v/>
      </c>
      <c r="D14" s="19">
        <f>SUM('Batch 4 &amp; 5 (3,001 - 5,000)'!Q5:Q1004)</f>
        <v/>
      </c>
      <c r="E14" s="23">
        <f>SUM('Batch 4 &amp; 5 (3,001 - 5,000)'!L5:L1004)</f>
        <v/>
      </c>
      <c r="F14" s="23">
        <f>SUM('Batch 4 &amp; 5 (3,001 - 5,000)'!N5:N1004)</f>
        <v/>
      </c>
      <c r="G14" s="23">
        <f>SUM('Batch 4 &amp; 5 (3,001 - 5,000)'!O5:O1004)</f>
        <v/>
      </c>
      <c r="H14" s="24">
        <f>COUNTIF('Batch 4 &amp; 5 (3,001 - 5,000)'!J5:J1004, "R")/B14</f>
        <v/>
      </c>
      <c r="I14" s="25">
        <f>AVERAGE('Batch 4 &amp; 5 (3,001 - 5,000)'!S5:S1004)</f>
        <v/>
      </c>
      <c r="J14" s="24">
        <f>AVERAGE('Batch 4 &amp; 5 (3,001 - 5,000)'!V5:V1004)</f>
        <v/>
      </c>
      <c r="K14" s="24">
        <f>AVERAGE('Batch 4 &amp; 5 (3,001 - 5,000)'!W5:W1004)</f>
        <v/>
      </c>
      <c r="L14" s="24">
        <f>AVERAGE('Batch 4 &amp; 5 (3,001 - 5,000)'!X5:X1004)</f>
        <v/>
      </c>
      <c r="M14" s="25">
        <f>AVERAGE('Batch 4 &amp; 5 (3,001 - 5,000)'!Y5:Y1004)</f>
        <v/>
      </c>
    </row>
    <row r="15" ht="20" customHeight="1">
      <c r="A15" s="17" t="inlineStr">
        <is>
          <t>Batch 5 (Phase 5)</t>
        </is>
      </c>
      <c r="B15" s="18">
        <f>COUNT('Batch 4 &amp; 5 (3,001 - 5,000)'!A1005:A2004)</f>
        <v/>
      </c>
      <c r="C15" s="19">
        <f>SUM('Batch 4 &amp; 5 (3,001 - 5,000)'!R1005:R2004)</f>
        <v/>
      </c>
      <c r="D15" s="19">
        <f>SUM('Batch 4 &amp; 5 (3,001 - 5,000)'!Q1005:Q2004)</f>
        <v/>
      </c>
      <c r="E15" s="18">
        <f>SUM('Batch 4 &amp; 5 (3,001 - 5,000)'!L1005:L2004)</f>
        <v/>
      </c>
      <c r="F15" s="18">
        <f>SUM('Batch 4 &amp; 5 (3,001 - 5,000)'!N1005:N2004)</f>
        <v/>
      </c>
      <c r="G15" s="18">
        <f>SUM('Batch 4 &amp; 5 (3,001 - 5,000)'!O1005:O2004)</f>
        <v/>
      </c>
      <c r="H15" s="20">
        <f>COUNTIF('Batch 4 &amp; 5 (3,001 - 5,000)'!J1005:J2004, "R")/B15</f>
        <v/>
      </c>
      <c r="I15" s="21">
        <f>AVERAGE('Batch 4 &amp; 5 (3,001 - 5,000)'!S1005:S2004)</f>
        <v/>
      </c>
      <c r="J15" s="20">
        <f>AVERAGE('Batch 4 &amp; 5 (3,001 - 5,000)'!V1005:V2004)</f>
        <v/>
      </c>
      <c r="K15" s="20">
        <f>AVERAGE('Batch 4 &amp; 5 (3,001 - 5,000)'!W1005:W2004)</f>
        <v/>
      </c>
      <c r="L15" s="20">
        <f>AVERAGE('Batch 4 &amp; 5 (3,001 - 5,000)'!X1005:X2004)</f>
        <v/>
      </c>
      <c r="M15" s="21">
        <f>AVERAGE('Batch 4 &amp; 5 (3,001 - 5,000)'!Y1005:Y2004)</f>
        <v/>
      </c>
    </row>
    <row r="16" ht="22" customHeight="1">
      <c r="A16" s="26" t="inlineStr">
        <is>
          <t>TOTAL (Batches 1 - 5)</t>
        </is>
      </c>
      <c r="B16" s="27">
        <f>SUM(B11:B15)</f>
        <v/>
      </c>
      <c r="C16" s="28">
        <f>SUM(C11:C15)</f>
        <v/>
      </c>
      <c r="D16" s="28">
        <f>SUM(D11:D15)</f>
        <v/>
      </c>
      <c r="E16" s="27">
        <f>SUM(E11:E15)</f>
        <v/>
      </c>
      <c r="F16" s="27">
        <f>SUM(F11:F15)</f>
        <v/>
      </c>
      <c r="G16" s="27">
        <f>SUM(G11:G15)</f>
        <v/>
      </c>
      <c r="H16" s="29">
        <f>(COUNTIF('Batch 1 (First 1,000)'!J5:J1004, "R")+COUNTIF('Batch 2 (1,001 - 2,000)'!J5:J1004, "R")+COUNTIF('Batch 3 (2,001 - 3,000)'!J5:J1004, "R")+COUNTIF('Batch 4 &amp; 5 (3,001 - 5,000)'!J5:J2004, "R"))/B16</f>
        <v/>
      </c>
      <c r="I16" s="30">
        <f>AVERAGE(I11:I15)</f>
        <v/>
      </c>
      <c r="J16" s="29">
        <f>AVERAGE(J11:J15)</f>
        <v/>
      </c>
      <c r="K16" s="29">
        <f>AVERAGE(K11:K15)</f>
        <v/>
      </c>
      <c r="L16" s="29">
        <f>AVERAGE(L11:L15)</f>
        <v/>
      </c>
      <c r="M16" s="30">
        <f>AVERAGE(M11:M15)</f>
        <v/>
      </c>
    </row>
    <row r="18">
      <c r="A18" s="31" t="inlineStr">
        <is>
          <t>Operational Note on BTS Metrics: 'Initial Day 1 Build' represents the immediate CAPEX rollout (1 BTS per priority barangay) to secure territory without overbuilding. 'Peak 30% Demand Capacity' represents the total subscriber absorption potential (at 1,000 subs/BTS) if full 30% household penetration is reached, unlocking organic expansion BTS on existing site footprints without new land acquisition.</t>
        </is>
      </c>
    </row>
  </sheetData>
  <mergeCells count="19">
    <mergeCell ref="C6:D6"/>
    <mergeCell ref="I6:J6"/>
    <mergeCell ref="C5:D5"/>
    <mergeCell ref="E5:F5"/>
    <mergeCell ref="K5:L5"/>
    <mergeCell ref="A6:B6"/>
    <mergeCell ref="A7:B7"/>
    <mergeCell ref="G7:H7"/>
    <mergeCell ref="I7:J7"/>
    <mergeCell ref="G6:H6"/>
    <mergeCell ref="E6:F6"/>
    <mergeCell ref="A5:B5"/>
    <mergeCell ref="G5:H5"/>
    <mergeCell ref="I5:J5"/>
    <mergeCell ref="K7:L7"/>
    <mergeCell ref="C7:D7"/>
    <mergeCell ref="E7:F7"/>
    <mergeCell ref="A18:M18"/>
    <mergeCell ref="K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22" customWidth="1" min="2" max="2"/>
    <col width="16" customWidth="1" min="3" max="3"/>
    <col width="72" customWidth="1" min="4" max="4"/>
  </cols>
  <sheetData>
    <row r="1">
      <c r="A1" s="1" t="inlineStr">
        <is>
          <t>Dynamic FWA Model Parameters &amp; Sensitivity Inputs (Editable)</t>
        </is>
      </c>
    </row>
    <row r="2">
      <c r="A2" s="2" t="inlineStr">
        <is>
          <t>Changes to any parameter below immediately and dynamically recalculate all batch sheets and executive summary tables.</t>
        </is>
      </c>
    </row>
    <row r="4" ht="24" customHeight="1">
      <c r="A4" s="49" t="inlineStr">
        <is>
          <t>Parameter</t>
        </is>
      </c>
      <c r="B4" s="49" t="inlineStr">
        <is>
          <t>Dynamic Input Value</t>
        </is>
      </c>
      <c r="C4" s="49" t="inlineStr">
        <is>
          <t>Unit / Format</t>
        </is>
      </c>
      <c r="D4" s="49" t="inlineStr">
        <is>
          <t>Sensitivity Guidance &amp; Operational Rationale</t>
        </is>
      </c>
    </row>
    <row r="5" ht="21" customHeight="1">
      <c r="A5" s="54" t="inlineStr">
        <is>
          <t>Viability Weight</t>
        </is>
      </c>
      <c r="B5" s="55" t="n">
        <v>0.35</v>
      </c>
      <c r="C5" s="56" t="inlineStr">
        <is>
          <t>% Weight</t>
        </is>
      </c>
      <c r="D5" s="57" t="inlineStr">
        <is>
          <t>Commercial demand density and retail sales velocity (range: 25% - 45%).</t>
        </is>
      </c>
    </row>
    <row r="6" ht="21" customHeight="1">
      <c r="A6" s="58" t="inlineStr">
        <is>
          <t>Deployment Ease Weight</t>
        </is>
      </c>
      <c r="B6" s="55" t="n">
        <v>0.35</v>
      </c>
      <c r="C6" s="59" t="inlineStr">
        <is>
          <t>% Weight</t>
        </is>
      </c>
      <c r="D6" s="57" t="inlineStr">
        <is>
          <t>Point-to-point physical proximity to Converge nodes &amp; fiber lines (range: 25% - 45%).</t>
        </is>
      </c>
    </row>
    <row r="7" ht="21" customHeight="1">
      <c r="A7" s="54" t="inlineStr">
        <is>
          <t>Necessity Weight</t>
        </is>
      </c>
      <c r="B7" s="55" t="n">
        <v>0.3</v>
      </c>
      <c r="C7" s="56" t="inlineStr">
        <is>
          <t>% Weight</t>
        </is>
      </c>
      <c r="D7" s="57" t="inlineStr">
        <is>
          <t>Lack of commercial internet service and rural broadband deficit (range: 20% - 40%).</t>
        </is>
      </c>
    </row>
    <row r="8" ht="21" customHeight="1">
      <c r="A8" s="58" t="inlineStr">
        <is>
          <t>Penetration Rate</t>
        </is>
      </c>
      <c r="B8" s="55" t="n">
        <v>0.3</v>
      </c>
      <c r="C8" s="59" t="inlineStr">
        <is>
          <t>% Take-Rate</t>
        </is>
      </c>
      <c r="D8" s="57" t="inlineStr">
        <is>
          <t>Commercial target penetration of addressable households (range: 15% - 50%).</t>
        </is>
      </c>
    </row>
    <row r="9" ht="21" customHeight="1">
      <c r="A9" s="54" t="inlineStr">
        <is>
          <t>n50 BTS Capacity</t>
        </is>
      </c>
      <c r="B9" s="60" t="n">
        <v>1000</v>
      </c>
      <c r="C9" s="56" t="inlineStr">
        <is>
          <t>Subs / BTS</t>
        </is>
      </c>
      <c r="D9" s="57" t="inlineStr">
        <is>
          <t>3-sector 4T4R macro BTS subscriber design limit (~333 subs/sector; range: 600 - 1,200).</t>
        </is>
      </c>
    </row>
    <row r="10" ht="21" customHeight="1">
      <c r="A10" s="58" t="inlineStr">
        <is>
          <t>Viability Sweet Spot Low</t>
        </is>
      </c>
      <c r="B10" s="60" t="n">
        <v>300</v>
      </c>
      <c r="C10" s="59" t="inlineStr">
        <is>
          <t>Min Subs</t>
        </is>
      </c>
      <c r="D10" s="57" t="inlineStr">
        <is>
          <t>Minimum target subscribers for efficient 1-BTS amortization with high ROI.</t>
        </is>
      </c>
    </row>
    <row r="11" ht="21" customHeight="1">
      <c r="A11" s="54" t="inlineStr">
        <is>
          <t>Viability Sweet Spot High</t>
        </is>
      </c>
      <c r="B11" s="60" t="n">
        <v>1000</v>
      </c>
      <c r="C11" s="56" t="inlineStr">
        <is>
          <t>Max Subs</t>
        </is>
      </c>
      <c r="D11" s="57" t="inlineStr">
        <is>
          <t>Maximum subscriber capacity for 1 BTS (scores 100% viability).</t>
        </is>
      </c>
    </row>
    <row r="12" ht="21" customHeight="1">
      <c r="A12" s="58" t="inlineStr">
        <is>
          <t>Deploy Decay Factor</t>
        </is>
      </c>
      <c r="B12" s="61" t="n">
        <v>3</v>
      </c>
      <c r="C12" s="59" t="inlineStr">
        <is>
          <t>km</t>
        </is>
      </c>
      <c r="D12" s="57" t="inlineStr">
        <is>
          <t>Distance decay constant: score = 100 * exp(-dist / 3.0).</t>
        </is>
      </c>
    </row>
    <row r="13" ht="21" customHeight="1">
      <c r="A13" s="54" t="inlineStr">
        <is>
          <t>Fiber Corridor Radius</t>
        </is>
      </c>
      <c r="B13" s="61" t="n">
        <v>2</v>
      </c>
      <c r="C13" s="56" t="inlineStr">
        <is>
          <t>km</t>
        </is>
      </c>
      <c r="D13" s="57" t="inlineStr">
        <is>
          <t>Bonus threshold: +10 pts if within 2.0 km of a backbone fiber line.</t>
        </is>
      </c>
    </row>
    <row r="14" ht="21" customHeight="1">
      <c r="A14" s="58" t="inlineStr">
        <is>
          <t>NCR Metro Penalty</t>
        </is>
      </c>
      <c r="B14" s="62" t="n">
        <v>-20</v>
      </c>
      <c r="C14" s="59" t="inlineStr">
        <is>
          <t>pts</t>
        </is>
      </c>
      <c r="D14" s="57" t="inlineStr">
        <is>
          <t>Heavy FTTH wireline incumbent saturation penalty.</t>
        </is>
      </c>
    </row>
    <row r="15" ht="21" customHeight="1">
      <c r="A15" s="54" t="inlineStr">
        <is>
          <t>BARMM Risk Adjustment</t>
        </is>
      </c>
      <c r="B15" s="62" t="n">
        <v>-10</v>
      </c>
      <c r="C15" s="56" t="inlineStr">
        <is>
          <t>pts</t>
        </is>
      </c>
      <c r="D15" s="57" t="inlineStr">
        <is>
          <t>Early-phase operational deployment risk adjustment.</t>
        </is>
      </c>
    </row>
    <row r="17">
      <c r="A17" s="63" t="inlineStr">
        <is>
          <t>💡 Quick Tip: Yellow-highlighted cells in Column B are live inputs. Edit Penetration Rate (B8), BTS Capacity (B9), or Weights (B5:B7) to see instant changes across all sheets.</t>
        </is>
      </c>
    </row>
  </sheetData>
  <mergeCells count="1">
    <mergeCell ref="A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1 — First 1,000 Priority Sites</t>
        </is>
      </c>
    </row>
    <row r="2">
      <c r="A2" s="2" t="inlineStr">
        <is>
          <t>Dynamic commercial deployment rollout schedule (1,000 sites), linked to live parameters in 'Methodology &amp; Assumptions'.</t>
        </is>
      </c>
    </row>
    <row r="4" ht="28" customHeight="1">
      <c r="A4" s="16" t="inlineStr">
        <is>
          <t>Batch Rank</t>
        </is>
      </c>
      <c r="B4" s="16" t="inlineStr">
        <is>
          <t>Overall Rank</t>
        </is>
      </c>
      <c r="C4" s="16" t="inlineStr">
        <is>
          <t>PSGC Code</t>
        </is>
      </c>
      <c r="D4" s="16" t="inlineStr">
        <is>
          <t>Region</t>
        </is>
      </c>
      <c r="E4" s="16" t="inlineStr">
        <is>
          <t>Province</t>
        </is>
      </c>
      <c r="F4" s="16" t="inlineStr">
        <is>
          <t>Municipality</t>
        </is>
      </c>
      <c r="G4" s="16" t="inlineStr">
        <is>
          <t>Barangay</t>
        </is>
      </c>
      <c r="H4" s="16" t="inlineStr">
        <is>
          <t>Latitude</t>
        </is>
      </c>
      <c r="I4" s="16" t="inlineStr">
        <is>
          <t>Longitude</t>
        </is>
      </c>
      <c r="J4" s="16" t="inlineStr">
        <is>
          <t>Urban / Rural</t>
        </is>
      </c>
      <c r="K4" s="16" t="inlineStr">
        <is>
          <t>Municipal Income Class</t>
        </is>
      </c>
      <c r="L4" s="16" t="inlineStr">
        <is>
          <t>2020 Pop</t>
        </is>
      </c>
      <c r="M4" s="16" t="inlineStr">
        <is>
          <t>Avg HH Size</t>
        </is>
      </c>
      <c r="N4" s="16" t="inlineStr">
        <is>
          <t>Households</t>
        </is>
      </c>
      <c r="O4" s="16" t="inlineStr">
        <is>
          <t>Subs @ 30%</t>
        </is>
      </c>
      <c r="P4" s="16" t="inlineStr">
        <is>
          <t>Carrier Spectrum</t>
        </is>
      </c>
      <c r="Q4" s="16" t="inlineStr">
        <is>
          <t>Peak 30% Demand Capacity (BTS)</t>
        </is>
      </c>
      <c r="R4" s="16" t="inlineStr">
        <is>
          <t>Initial Day 1 Build (BTS)</t>
        </is>
      </c>
      <c r="S4" s="16" t="inlineStr">
        <is>
          <t>Dist. to Nearest Node (km)</t>
        </is>
      </c>
      <c r="T4" s="16" t="inlineStr">
        <is>
          <t>Dist. to Fiber Line (km)</t>
        </is>
      </c>
      <c r="U4" s="16" t="inlineStr">
        <is>
          <t>Deploy Tier</t>
        </is>
      </c>
      <c r="V4" s="16" t="inlineStr">
        <is>
          <t>Deploy Score (35%)</t>
        </is>
      </c>
      <c r="W4" s="16" t="inlineStr">
        <is>
          <t>Viability Score (35%)</t>
        </is>
      </c>
      <c r="X4" s="16" t="inlineStr">
        <is>
          <t>Necessity Score (30%)</t>
        </is>
      </c>
      <c r="Y4" s="16" t="inlineStr">
        <is>
          <t>Composite Score</t>
        </is>
      </c>
    </row>
    <row r="5" ht="19" customHeight="1">
      <c r="A5" s="35" t="n">
        <v>1</v>
      </c>
      <c r="B5" s="35" t="n">
        <v>1</v>
      </c>
      <c r="C5" s="36" t="inlineStr">
        <is>
          <t>0205705004</t>
        </is>
      </c>
      <c r="D5" s="36" t="inlineStr">
        <is>
          <t>Region II (Cagayan Valley)</t>
        </is>
      </c>
      <c r="E5" s="36" t="inlineStr">
        <is>
          <t>Quirino</t>
        </is>
      </c>
      <c r="F5" s="36" t="inlineStr">
        <is>
          <t>Saguday</t>
        </is>
      </c>
      <c r="G5" s="36" t="inlineStr">
        <is>
          <t>Rizal</t>
        </is>
      </c>
      <c r="H5" s="37" t="n">
        <v>16.544939</v>
      </c>
      <c r="I5" s="37" t="n">
        <v>121.562689</v>
      </c>
      <c r="J5" s="8" t="inlineStr">
        <is>
          <t>R</t>
        </is>
      </c>
      <c r="K5" s="36" t="inlineStr">
        <is>
          <t>4th</t>
        </is>
      </c>
      <c r="L5" s="18" t="n">
        <v>3336</v>
      </c>
      <c r="M5" s="20" t="n">
        <v>4.03</v>
      </c>
      <c r="N5" s="18">
        <f>ROUND(L5/M5, 0)</f>
        <v/>
      </c>
      <c r="O5" s="18">
        <f>ROUND(N5*'Methodology &amp; Assumptions'!$B$8, 0)</f>
        <v/>
      </c>
      <c r="P5" s="8" t="inlineStr">
        <is>
          <t>Band n50 (1.5 GHz, 60 MHz)</t>
        </is>
      </c>
      <c r="Q5" s="38">
        <f>ROUNDUP(O5/'Methodology &amp; Assumptions'!$B$9, 0)</f>
        <v/>
      </c>
      <c r="R5" s="39" t="n">
        <v>1</v>
      </c>
      <c r="S5" s="21" t="n">
        <v>0.14</v>
      </c>
      <c r="T5" s="21" t="n">
        <v>0.15</v>
      </c>
      <c r="U5" s="36" t="inlineStr">
        <is>
          <t>Tier 1A (Direct Coloc, &lt;1 km)</t>
        </is>
      </c>
      <c r="V5" s="20" t="n">
        <v>100</v>
      </c>
      <c r="W5" s="20" t="n">
        <v>90.09999999999999</v>
      </c>
      <c r="X5" s="20" t="n">
        <v>83.5</v>
      </c>
      <c r="Y5" s="40">
        <f>ROUND((V5*'Methodology &amp; Assumptions'!$B$6)+(W5*'Methodology &amp; Assumptions'!$B$5)+(X5*'Methodology &amp; Assumptions'!$B$7), 2)</f>
        <v/>
      </c>
    </row>
    <row r="6" ht="19" customHeight="1">
      <c r="A6" s="41" t="n">
        <v>2</v>
      </c>
      <c r="B6" s="41" t="n">
        <v>2</v>
      </c>
      <c r="C6" s="42" t="inlineStr">
        <is>
          <t>0603042010</t>
        </is>
      </c>
      <c r="D6" s="42" t="inlineStr">
        <is>
          <t>Region VI (Western Visayas)</t>
        </is>
      </c>
      <c r="E6" s="42" t="inlineStr">
        <is>
          <t>Iloilo</t>
        </is>
      </c>
      <c r="F6" s="42" t="inlineStr">
        <is>
          <t>San Rafael</t>
        </is>
      </c>
      <c r="G6" s="42" t="inlineStr">
        <is>
          <t>Poblacion</t>
        </is>
      </c>
      <c r="H6" s="43" t="n">
        <v>11.178909</v>
      </c>
      <c r="I6" s="43" t="n">
        <v>122.827502</v>
      </c>
      <c r="J6" s="44" t="inlineStr">
        <is>
          <t>R</t>
        </is>
      </c>
      <c r="K6" s="42" t="inlineStr">
        <is>
          <t>4th</t>
        </is>
      </c>
      <c r="L6" s="23" t="n">
        <v>4460</v>
      </c>
      <c r="M6" s="24" t="n">
        <v>4.29</v>
      </c>
      <c r="N6" s="23">
        <f>ROUND(L6/M6, 0)</f>
        <v/>
      </c>
      <c r="O6" s="23">
        <f>ROUND(N6*'Methodology &amp; Assumptions'!$B$8, 0)</f>
        <v/>
      </c>
      <c r="P6" s="44" t="inlineStr">
        <is>
          <t>Band n50 (1.5 GHz, 60 MHz)</t>
        </is>
      </c>
      <c r="Q6" s="38">
        <f>ROUNDUP(O6/'Methodology &amp; Assumptions'!$B$9, 0)</f>
        <v/>
      </c>
      <c r="R6" s="39" t="n">
        <v>1</v>
      </c>
      <c r="S6" s="25" t="n">
        <v>0.27</v>
      </c>
      <c r="T6" s="25" t="n">
        <v>0.1</v>
      </c>
      <c r="U6" s="42" t="inlineStr">
        <is>
          <t>Tier 1A (Direct Coloc, &lt;1 km)</t>
        </is>
      </c>
      <c r="V6" s="24" t="n">
        <v>100</v>
      </c>
      <c r="W6" s="24" t="n">
        <v>100</v>
      </c>
      <c r="X6" s="24" t="n">
        <v>68.5</v>
      </c>
      <c r="Y6" s="45">
        <f>ROUND((V6*'Methodology &amp; Assumptions'!$B$6)+(W6*'Methodology &amp; Assumptions'!$B$5)+(X6*'Methodology &amp; Assumptions'!$B$7), 2)</f>
        <v/>
      </c>
    </row>
    <row r="7" ht="19" customHeight="1">
      <c r="A7" s="35" t="n">
        <v>3</v>
      </c>
      <c r="B7" s="35" t="n">
        <v>3</v>
      </c>
      <c r="C7" s="36" t="inlineStr">
        <is>
          <t>1208007005</t>
        </is>
      </c>
      <c r="D7" s="36" t="inlineStr">
        <is>
          <t>Region XII (SOCCSKSARGEN)</t>
        </is>
      </c>
      <c r="E7" s="36" t="inlineStr">
        <is>
          <t>Sarangani</t>
        </is>
      </c>
      <c r="F7" s="36" t="inlineStr">
        <is>
          <t>Malungon</t>
        </is>
      </c>
      <c r="G7" s="36" t="inlineStr">
        <is>
          <t>Banate</t>
        </is>
      </c>
      <c r="H7" s="37" t="n">
        <v>6.475481</v>
      </c>
      <c r="I7" s="37" t="n">
        <v>125.320868</v>
      </c>
      <c r="J7" s="8" t="inlineStr">
        <is>
          <t>R</t>
        </is>
      </c>
      <c r="K7" s="36" t="inlineStr">
        <is>
          <t>Class 1-3 / Urban</t>
        </is>
      </c>
      <c r="L7" s="18" t="n">
        <v>3944</v>
      </c>
      <c r="M7" s="20" t="n">
        <v>4.1</v>
      </c>
      <c r="N7" s="18">
        <f>ROUND(L7/M7, 0)</f>
        <v/>
      </c>
      <c r="O7" s="18">
        <f>ROUND(N7*'Methodology &amp; Assumptions'!$B$8, 0)</f>
        <v/>
      </c>
      <c r="P7" s="8" t="inlineStr">
        <is>
          <t>Band n50 (1.5 GHz, 60 MHz)</t>
        </is>
      </c>
      <c r="Q7" s="38">
        <f>ROUNDUP(O7/'Methodology &amp; Assumptions'!$B$9, 0)</f>
        <v/>
      </c>
      <c r="R7" s="39" t="n">
        <v>1</v>
      </c>
      <c r="S7" s="21" t="n">
        <v>0.47</v>
      </c>
      <c r="T7" s="21" t="n">
        <v>0.06</v>
      </c>
      <c r="U7" s="36" t="inlineStr">
        <is>
          <t>Tier 1A (Direct Coloc, &lt;1 km)</t>
        </is>
      </c>
      <c r="V7" s="20" t="n">
        <v>95.59999999999999</v>
      </c>
      <c r="W7" s="20" t="n">
        <v>100</v>
      </c>
      <c r="X7" s="20" t="n">
        <v>73</v>
      </c>
      <c r="Y7" s="40">
        <f>ROUND((V7*'Methodology &amp; Assumptions'!$B$6)+(W7*'Methodology &amp; Assumptions'!$B$5)+(X7*'Methodology &amp; Assumptions'!$B$7), 2)</f>
        <v/>
      </c>
    </row>
    <row r="8" ht="19" customHeight="1">
      <c r="A8" s="41" t="n">
        <v>4</v>
      </c>
      <c r="B8" s="41" t="n">
        <v>4</v>
      </c>
      <c r="C8" s="42" t="inlineStr">
        <is>
          <t>0403412010</t>
        </is>
      </c>
      <c r="D8" s="42" t="inlineStr">
        <is>
          <t>Region IV-A (CALABARZON)</t>
        </is>
      </c>
      <c r="E8" s="42" t="inlineStr">
        <is>
          <t>Laguna</t>
        </is>
      </c>
      <c r="F8" s="42" t="inlineStr">
        <is>
          <t>Luisiana</t>
        </is>
      </c>
      <c r="G8" s="42" t="inlineStr">
        <is>
          <t>San Antonio</t>
        </is>
      </c>
      <c r="H8" s="43" t="n">
        <v>14.185892</v>
      </c>
      <c r="I8" s="43" t="n">
        <v>121.506719</v>
      </c>
      <c r="J8" s="44" t="inlineStr">
        <is>
          <t>R</t>
        </is>
      </c>
      <c r="K8" s="42" t="inlineStr">
        <is>
          <t>4th</t>
        </is>
      </c>
      <c r="L8" s="23" t="n">
        <v>3289</v>
      </c>
      <c r="M8" s="24" t="n">
        <v>4.07</v>
      </c>
      <c r="N8" s="23">
        <f>ROUND(L8/M8, 0)</f>
        <v/>
      </c>
      <c r="O8" s="23">
        <f>ROUND(N8*'Methodology &amp; Assumptions'!$B$8, 0)</f>
        <v/>
      </c>
      <c r="P8" s="44" t="inlineStr">
        <is>
          <t>Band n50 (1.5 GHz, 60 MHz)</t>
        </is>
      </c>
      <c r="Q8" s="38">
        <f>ROUNDUP(O8/'Methodology &amp; Assumptions'!$B$9, 0)</f>
        <v/>
      </c>
      <c r="R8" s="39" t="n">
        <v>1</v>
      </c>
      <c r="S8" s="25" t="n">
        <v>0.19</v>
      </c>
      <c r="T8" s="25" t="n">
        <v>4.07</v>
      </c>
      <c r="U8" s="42" t="inlineStr">
        <is>
          <t>Tier 1A (Direct Coloc, &lt;1 km)</t>
        </is>
      </c>
      <c r="V8" s="24" t="n">
        <v>93.8</v>
      </c>
      <c r="W8" s="24" t="n">
        <v>88.5</v>
      </c>
      <c r="X8" s="24" t="n">
        <v>83.5</v>
      </c>
      <c r="Y8" s="45">
        <f>ROUND((V8*'Methodology &amp; Assumptions'!$B$6)+(W8*'Methodology &amp; Assumptions'!$B$5)+(X8*'Methodology &amp; Assumptions'!$B$7), 2)</f>
        <v/>
      </c>
    </row>
    <row r="9" ht="19" customHeight="1">
      <c r="A9" s="35" t="n">
        <v>5</v>
      </c>
      <c r="B9" s="35" t="n">
        <v>5</v>
      </c>
      <c r="C9" s="36" t="inlineStr">
        <is>
          <t>0504102020</t>
        </is>
      </c>
      <c r="D9" s="36" t="inlineStr">
        <is>
          <t>Region V (Bicol Region)</t>
        </is>
      </c>
      <c r="E9" s="36" t="inlineStr">
        <is>
          <t>Masbate</t>
        </is>
      </c>
      <c r="F9" s="36" t="inlineStr">
        <is>
          <t>Baleno</t>
        </is>
      </c>
      <c r="G9" s="36" t="inlineStr">
        <is>
          <t>Poblacion</t>
        </is>
      </c>
      <c r="H9" s="37" t="n">
        <v>12.474103</v>
      </c>
      <c r="I9" s="37" t="n">
        <v>123.497203</v>
      </c>
      <c r="J9" s="8" t="inlineStr">
        <is>
          <t>R</t>
        </is>
      </c>
      <c r="K9" s="36" t="inlineStr">
        <is>
          <t>2nd</t>
        </is>
      </c>
      <c r="L9" s="18" t="n">
        <v>4025</v>
      </c>
      <c r="M9" s="20" t="n">
        <v>4.83</v>
      </c>
      <c r="N9" s="18">
        <f>ROUND(L9/M9, 0)</f>
        <v/>
      </c>
      <c r="O9" s="18">
        <f>ROUND(N9*'Methodology &amp; Assumptions'!$B$8, 0)</f>
        <v/>
      </c>
      <c r="P9" s="8" t="inlineStr">
        <is>
          <t>Band n50 (1.5 GHz, 60 MHz)</t>
        </is>
      </c>
      <c r="Q9" s="38">
        <f>ROUNDUP(O9/'Methodology &amp; Assumptions'!$B$9, 0)</f>
        <v/>
      </c>
      <c r="R9" s="39" t="n">
        <v>1</v>
      </c>
      <c r="S9" s="21" t="n">
        <v>0.25</v>
      </c>
      <c r="T9" s="21" t="n">
        <v>0.24</v>
      </c>
      <c r="U9" s="36" t="inlineStr">
        <is>
          <t>Tier 1A (Direct Coloc, &lt;1 km)</t>
        </is>
      </c>
      <c r="V9" s="20" t="n">
        <v>100</v>
      </c>
      <c r="W9" s="20" t="n">
        <v>90.7</v>
      </c>
      <c r="X9" s="20" t="n">
        <v>73</v>
      </c>
      <c r="Y9" s="40">
        <f>ROUND((V9*'Methodology &amp; Assumptions'!$B$6)+(W9*'Methodology &amp; Assumptions'!$B$5)+(X9*'Methodology &amp; Assumptions'!$B$7), 2)</f>
        <v/>
      </c>
    </row>
    <row r="10" ht="19" customHeight="1">
      <c r="A10" s="41" t="n">
        <v>6</v>
      </c>
      <c r="B10" s="41" t="n">
        <v>6</v>
      </c>
      <c r="C10" s="42" t="inlineStr">
        <is>
          <t>0806408007</t>
        </is>
      </c>
      <c r="D10" s="42" t="inlineStr">
        <is>
          <t>Region VIII (Eastern Visayas)</t>
        </is>
      </c>
      <c r="E10" s="42" t="inlineStr">
        <is>
          <t>Southern Leyte</t>
        </is>
      </c>
      <c r="F10" s="42" t="inlineStr">
        <is>
          <t>Macrohon</t>
        </is>
      </c>
      <c r="G10" s="42" t="inlineStr">
        <is>
          <t>Ichon</t>
        </is>
      </c>
      <c r="H10" s="43" t="n">
        <v>10.10761</v>
      </c>
      <c r="I10" s="43" t="n">
        <v>124.9009</v>
      </c>
      <c r="J10" s="44" t="inlineStr">
        <is>
          <t>R</t>
        </is>
      </c>
      <c r="K10" s="42" t="inlineStr">
        <is>
          <t>3rd</t>
        </is>
      </c>
      <c r="L10" s="23" t="n">
        <v>3801</v>
      </c>
      <c r="M10" s="24" t="n">
        <v>4.32</v>
      </c>
      <c r="N10" s="23">
        <f>ROUND(L10/M10, 0)</f>
        <v/>
      </c>
      <c r="O10" s="23">
        <f>ROUND(N10*'Methodology &amp; Assumptions'!$B$8, 0)</f>
        <v/>
      </c>
      <c r="P10" s="44" t="inlineStr">
        <is>
          <t>Band n50 (1.5 GHz, 60 MHz)</t>
        </is>
      </c>
      <c r="Q10" s="38">
        <f>ROUNDUP(O10/'Methodology &amp; Assumptions'!$B$9, 0)</f>
        <v/>
      </c>
      <c r="R10" s="39" t="n">
        <v>1</v>
      </c>
      <c r="S10" s="25" t="n">
        <v>0.46</v>
      </c>
      <c r="T10" s="25" t="n">
        <v>0.05</v>
      </c>
      <c r="U10" s="42" t="inlineStr">
        <is>
          <t>Tier 1A (Direct Coloc, &lt;1 km)</t>
        </is>
      </c>
      <c r="V10" s="24" t="n">
        <v>95.8</v>
      </c>
      <c r="W10" s="24" t="n">
        <v>94.40000000000001</v>
      </c>
      <c r="X10" s="24" t="n">
        <v>73</v>
      </c>
      <c r="Y10" s="45">
        <f>ROUND((V10*'Methodology &amp; Assumptions'!$B$6)+(W10*'Methodology &amp; Assumptions'!$B$5)+(X10*'Methodology &amp; Assumptions'!$B$7), 2)</f>
        <v/>
      </c>
    </row>
    <row r="11" ht="19" customHeight="1">
      <c r="A11" s="35" t="n">
        <v>7</v>
      </c>
      <c r="B11" s="35" t="n">
        <v>7</v>
      </c>
      <c r="C11" s="36" t="inlineStr">
        <is>
          <t>1004313008</t>
        </is>
      </c>
      <c r="D11" s="36" t="inlineStr">
        <is>
          <t>Region X (Northern Mindanao)</t>
        </is>
      </c>
      <c r="E11" s="36" t="inlineStr">
        <is>
          <t>Misamis Oriental</t>
        </is>
      </c>
      <c r="F11" s="36" t="inlineStr">
        <is>
          <t>Lagonglong</t>
        </is>
      </c>
      <c r="G11" s="36" t="inlineStr">
        <is>
          <t>Poblacion</t>
        </is>
      </c>
      <c r="H11" s="37" t="n">
        <v>8.806659</v>
      </c>
      <c r="I11" s="37" t="n">
        <v>124.787844</v>
      </c>
      <c r="J11" s="8" t="inlineStr">
        <is>
          <t>R</t>
        </is>
      </c>
      <c r="K11" s="36" t="inlineStr">
        <is>
          <t>4th</t>
        </is>
      </c>
      <c r="L11" s="18" t="n">
        <v>4104</v>
      </c>
      <c r="M11" s="20" t="n">
        <v>4.72</v>
      </c>
      <c r="N11" s="18">
        <f>ROUND(L11/M11, 0)</f>
        <v/>
      </c>
      <c r="O11" s="18">
        <f>ROUND(N11*'Methodology &amp; Assumptions'!$B$8, 0)</f>
        <v/>
      </c>
      <c r="P11" s="8" t="inlineStr">
        <is>
          <t>Band n50 (1.5 GHz, 60 MHz)</t>
        </is>
      </c>
      <c r="Q11" s="38">
        <f>ROUNDUP(O11/'Methodology &amp; Assumptions'!$B$9, 0)</f>
        <v/>
      </c>
      <c r="R11" s="39" t="n">
        <v>1</v>
      </c>
      <c r="S11" s="21" t="n">
        <v>0.29</v>
      </c>
      <c r="T11" s="21" t="n">
        <v>0.05</v>
      </c>
      <c r="U11" s="36" t="inlineStr">
        <is>
          <t>Tier 1A (Direct Coloc, &lt;1 km)</t>
        </is>
      </c>
      <c r="V11" s="20" t="n">
        <v>100</v>
      </c>
      <c r="W11" s="20" t="n">
        <v>93.59999999999999</v>
      </c>
      <c r="X11" s="20" t="n">
        <v>68.5</v>
      </c>
      <c r="Y11" s="40">
        <f>ROUND((V11*'Methodology &amp; Assumptions'!$B$6)+(W11*'Methodology &amp; Assumptions'!$B$5)+(X11*'Methodology &amp; Assumptions'!$B$7), 2)</f>
        <v/>
      </c>
    </row>
    <row r="12" ht="19" customHeight="1">
      <c r="A12" s="41" t="n">
        <v>8</v>
      </c>
      <c r="B12" s="41" t="n">
        <v>8</v>
      </c>
      <c r="C12" s="42" t="inlineStr">
        <is>
          <t>0501604008</t>
        </is>
      </c>
      <c r="D12" s="42" t="inlineStr">
        <is>
          <t>Region V (Bicol Region)</t>
        </is>
      </c>
      <c r="E12" s="42" t="inlineStr">
        <is>
          <t>Camarines Norte</t>
        </is>
      </c>
      <c r="F12" s="42" t="inlineStr">
        <is>
          <t>San Lorenzo Ruiz</t>
        </is>
      </c>
      <c r="G12" s="42" t="inlineStr">
        <is>
          <t>Matacong</t>
        </is>
      </c>
      <c r="H12" s="43" t="n">
        <v>14.034224</v>
      </c>
      <c r="I12" s="43" t="n">
        <v>122.862904</v>
      </c>
      <c r="J12" s="44" t="inlineStr">
        <is>
          <t>R</t>
        </is>
      </c>
      <c r="K12" s="42" t="inlineStr">
        <is>
          <t>5th</t>
        </is>
      </c>
      <c r="L12" s="23" t="n">
        <v>3989</v>
      </c>
      <c r="M12" s="24" t="n">
        <v>4.42</v>
      </c>
      <c r="N12" s="23">
        <f>ROUND(L12/M12, 0)</f>
        <v/>
      </c>
      <c r="O12" s="23">
        <f>ROUND(N12*'Methodology &amp; Assumptions'!$B$8, 0)</f>
        <v/>
      </c>
      <c r="P12" s="44" t="inlineStr">
        <is>
          <t>Band n50 (1.5 GHz, 60 MHz)</t>
        </is>
      </c>
      <c r="Q12" s="38">
        <f>ROUNDUP(O12/'Methodology &amp; Assumptions'!$B$9, 0)</f>
        <v/>
      </c>
      <c r="R12" s="39" t="n">
        <v>1</v>
      </c>
      <c r="S12" s="25" t="n">
        <v>0.23</v>
      </c>
      <c r="T12" s="25" t="n">
        <v>7.27</v>
      </c>
      <c r="U12" s="42" t="inlineStr">
        <is>
          <t>Tier 1A (Direct Coloc, &lt;1 km)</t>
        </is>
      </c>
      <c r="V12" s="24" t="n">
        <v>92.59999999999999</v>
      </c>
      <c r="W12" s="24" t="n">
        <v>96.3</v>
      </c>
      <c r="X12" s="24" t="n">
        <v>73</v>
      </c>
      <c r="Y12" s="45">
        <f>ROUND((V12*'Methodology &amp; Assumptions'!$B$6)+(W12*'Methodology &amp; Assumptions'!$B$5)+(X12*'Methodology &amp; Assumptions'!$B$7), 2)</f>
        <v/>
      </c>
    </row>
    <row r="13" ht="19" customHeight="1">
      <c r="A13" s="35" t="n">
        <v>9</v>
      </c>
      <c r="B13" s="35" t="n">
        <v>9</v>
      </c>
      <c r="C13" s="36" t="inlineStr">
        <is>
          <t>0305410001</t>
        </is>
      </c>
      <c r="D13" s="36" t="inlineStr">
        <is>
          <t>Region III (Central Luzon)</t>
        </is>
      </c>
      <c r="E13" s="36" t="inlineStr">
        <is>
          <t>Pampanga</t>
        </is>
      </c>
      <c r="F13" s="36" t="inlineStr">
        <is>
          <t>Macabebe</t>
        </is>
      </c>
      <c r="G13" s="36" t="inlineStr">
        <is>
          <t>Batasan</t>
        </is>
      </c>
      <c r="H13" s="37" t="n">
        <v>14.892725</v>
      </c>
      <c r="I13" s="37" t="n">
        <v>120.713821</v>
      </c>
      <c r="J13" s="8" t="inlineStr">
        <is>
          <t>R</t>
        </is>
      </c>
      <c r="K13" s="36" t="inlineStr">
        <is>
          <t>Class 1-3 / Urban</t>
        </is>
      </c>
      <c r="L13" s="18" t="n">
        <v>4450</v>
      </c>
      <c r="M13" s="20" t="n">
        <v>4.63</v>
      </c>
      <c r="N13" s="18">
        <f>ROUND(L13/M13, 0)</f>
        <v/>
      </c>
      <c r="O13" s="18">
        <f>ROUND(N13*'Methodology &amp; Assumptions'!$B$8, 0)</f>
        <v/>
      </c>
      <c r="P13" s="8" t="inlineStr">
        <is>
          <t>Band n50 (1.5 GHz, 60 MHz)</t>
        </is>
      </c>
      <c r="Q13" s="38">
        <f>ROUNDUP(O13/'Methodology &amp; Assumptions'!$B$9, 0)</f>
        <v/>
      </c>
      <c r="R13" s="39" t="n">
        <v>1</v>
      </c>
      <c r="S13" s="21" t="n">
        <v>0.77</v>
      </c>
      <c r="T13" s="21" t="n">
        <v>1</v>
      </c>
      <c r="U13" s="36" t="inlineStr">
        <is>
          <t>Tier 1A (Direct Coloc, &lt;1 km)</t>
        </is>
      </c>
      <c r="V13" s="20" t="n">
        <v>87.3</v>
      </c>
      <c r="W13" s="20" t="n">
        <v>100</v>
      </c>
      <c r="X13" s="20" t="n">
        <v>73</v>
      </c>
      <c r="Y13" s="40">
        <f>ROUND((V13*'Methodology &amp; Assumptions'!$B$6)+(W13*'Methodology &amp; Assumptions'!$B$5)+(X13*'Methodology &amp; Assumptions'!$B$7), 2)</f>
        <v/>
      </c>
    </row>
    <row r="14" ht="19" customHeight="1">
      <c r="A14" s="41" t="n">
        <v>10</v>
      </c>
      <c r="B14" s="41" t="n">
        <v>10</v>
      </c>
      <c r="C14" s="42" t="inlineStr">
        <is>
          <t>0405803007</t>
        </is>
      </c>
      <c r="D14" s="42" t="inlineStr">
        <is>
          <t>Region IV-A (CALABARZON)</t>
        </is>
      </c>
      <c r="E14" s="42" t="inlineStr">
        <is>
          <t>Rizal</t>
        </is>
      </c>
      <c r="F14" s="42" t="inlineStr">
        <is>
          <t>Baras</t>
        </is>
      </c>
      <c r="G14" s="42" t="inlineStr">
        <is>
          <t>San Juan</t>
        </is>
      </c>
      <c r="H14" s="43" t="n">
        <v>14.524041</v>
      </c>
      <c r="I14" s="43" t="n">
        <v>121.267679</v>
      </c>
      <c r="J14" s="44" t="inlineStr">
        <is>
          <t>R</t>
        </is>
      </c>
      <c r="K14" s="42" t="inlineStr">
        <is>
          <t>1st</t>
        </is>
      </c>
      <c r="L14" s="23" t="n">
        <v>4838</v>
      </c>
      <c r="M14" s="24" t="n">
        <v>4.14</v>
      </c>
      <c r="N14" s="23">
        <f>ROUND(L14/M14, 0)</f>
        <v/>
      </c>
      <c r="O14" s="23">
        <f>ROUND(N14*'Methodology &amp; Assumptions'!$B$8, 0)</f>
        <v/>
      </c>
      <c r="P14" s="44" t="inlineStr">
        <is>
          <t>Band n50 (1.5 GHz, 60 MHz)</t>
        </is>
      </c>
      <c r="Q14" s="38">
        <f>ROUNDUP(O14/'Methodology &amp; Assumptions'!$B$9, 0)</f>
        <v/>
      </c>
      <c r="R14" s="39" t="n">
        <v>1</v>
      </c>
      <c r="S14" s="25" t="n">
        <v>0.28</v>
      </c>
      <c r="T14" s="25" t="n">
        <v>0.24</v>
      </c>
      <c r="U14" s="42" t="inlineStr">
        <is>
          <t>Tier 1A (Direct Coloc, &lt;1 km)</t>
        </is>
      </c>
      <c r="V14" s="24" t="n">
        <v>100</v>
      </c>
      <c r="W14" s="24" t="n">
        <v>100</v>
      </c>
      <c r="X14" s="24" t="n">
        <v>58</v>
      </c>
      <c r="Y14" s="45">
        <f>ROUND((V14*'Methodology &amp; Assumptions'!$B$6)+(W14*'Methodology &amp; Assumptions'!$B$5)+(X14*'Methodology &amp; Assumptions'!$B$7), 2)</f>
        <v/>
      </c>
    </row>
    <row r="15" ht="19" customHeight="1">
      <c r="A15" s="35" t="n">
        <v>11</v>
      </c>
      <c r="B15" s="35" t="n">
        <v>11</v>
      </c>
      <c r="C15" s="36" t="inlineStr">
        <is>
          <t>0604502006</t>
        </is>
      </c>
      <c r="D15" s="36" t="inlineStr">
        <is>
          <t>Region VI (Western Visayas)</t>
        </is>
      </c>
      <c r="E15" s="36" t="inlineStr">
        <is>
          <t>Negros Occidental</t>
        </is>
      </c>
      <c r="F15" s="36" t="inlineStr">
        <is>
          <t>City of Bago</t>
        </is>
      </c>
      <c r="G15" s="36" t="inlineStr">
        <is>
          <t>Balingasag</t>
        </is>
      </c>
      <c r="H15" s="37" t="n">
        <v>10.530131</v>
      </c>
      <c r="I15" s="37" t="n">
        <v>122.845175</v>
      </c>
      <c r="J15" s="8" t="inlineStr">
        <is>
          <t>R</t>
        </is>
      </c>
      <c r="K15" s="36" t="inlineStr">
        <is>
          <t>Class 1-3 / Urban</t>
        </is>
      </c>
      <c r="L15" s="18" t="n">
        <v>4822</v>
      </c>
      <c r="M15" s="20" t="n">
        <v>4.33</v>
      </c>
      <c r="N15" s="18">
        <f>ROUND(L15/M15, 0)</f>
        <v/>
      </c>
      <c r="O15" s="18">
        <f>ROUND(N15*'Methodology &amp; Assumptions'!$B$8, 0)</f>
        <v/>
      </c>
      <c r="P15" s="8" t="inlineStr">
        <is>
          <t>Band n50 (1.5 GHz, 60 MHz)</t>
        </is>
      </c>
      <c r="Q15" s="38">
        <f>ROUNDUP(O15/'Methodology &amp; Assumptions'!$B$9, 0)</f>
        <v/>
      </c>
      <c r="R15" s="39" t="n">
        <v>1</v>
      </c>
      <c r="S15" s="21" t="n">
        <v>0.17</v>
      </c>
      <c r="T15" s="21" t="n">
        <v>0.17</v>
      </c>
      <c r="U15" s="36" t="inlineStr">
        <is>
          <t>Tier 1A (Direct Coloc, &lt;1 km)</t>
        </is>
      </c>
      <c r="V15" s="20" t="n">
        <v>100</v>
      </c>
      <c r="W15" s="20" t="n">
        <v>100</v>
      </c>
      <c r="X15" s="20" t="n">
        <v>58</v>
      </c>
      <c r="Y15" s="40">
        <f>ROUND((V15*'Methodology &amp; Assumptions'!$B$6)+(W15*'Methodology &amp; Assumptions'!$B$5)+(X15*'Methodology &amp; Assumptions'!$B$7), 2)</f>
        <v/>
      </c>
    </row>
    <row r="16" ht="19" customHeight="1">
      <c r="A16" s="41" t="n">
        <v>12</v>
      </c>
      <c r="B16" s="41" t="n">
        <v>12</v>
      </c>
      <c r="C16" s="42" t="inlineStr">
        <is>
          <t>0401023021</t>
        </is>
      </c>
      <c r="D16" s="42" t="inlineStr">
        <is>
          <t>Region IV-A (CALABARZON)</t>
        </is>
      </c>
      <c r="E16" s="42" t="inlineStr">
        <is>
          <t>Batangas</t>
        </is>
      </c>
      <c r="F16" s="42" t="inlineStr">
        <is>
          <t>San Juan</t>
        </is>
      </c>
      <c r="G16" s="42" t="inlineStr">
        <is>
          <t>Mabalanoy</t>
        </is>
      </c>
      <c r="H16" s="43" t="n">
        <v>13.818392</v>
      </c>
      <c r="I16" s="43" t="n">
        <v>121.397389</v>
      </c>
      <c r="J16" s="44" t="inlineStr">
        <is>
          <t>R</t>
        </is>
      </c>
      <c r="K16" s="42" t="inlineStr">
        <is>
          <t>Class 1-3 / Urban</t>
        </is>
      </c>
      <c r="L16" s="23" t="n">
        <v>4764</v>
      </c>
      <c r="M16" s="24" t="n">
        <v>4.62</v>
      </c>
      <c r="N16" s="23">
        <f>ROUND(L16/M16, 0)</f>
        <v/>
      </c>
      <c r="O16" s="23">
        <f>ROUND(N16*'Methodology &amp; Assumptions'!$B$8, 0)</f>
        <v/>
      </c>
      <c r="P16" s="44" t="inlineStr">
        <is>
          <t>Band n50 (1.5 GHz, 60 MHz)</t>
        </is>
      </c>
      <c r="Q16" s="38">
        <f>ROUNDUP(O16/'Methodology &amp; Assumptions'!$B$9, 0)</f>
        <v/>
      </c>
      <c r="R16" s="39" t="n">
        <v>1</v>
      </c>
      <c r="S16" s="25" t="n">
        <v>0.31</v>
      </c>
      <c r="T16" s="25" t="n">
        <v>0.3</v>
      </c>
      <c r="U16" s="42" t="inlineStr">
        <is>
          <t>Tier 1A (Direct Coloc, &lt;1 km)</t>
        </is>
      </c>
      <c r="V16" s="24" t="n">
        <v>100</v>
      </c>
      <c r="W16" s="24" t="n">
        <v>100</v>
      </c>
      <c r="X16" s="24" t="n">
        <v>58</v>
      </c>
      <c r="Y16" s="45">
        <f>ROUND((V16*'Methodology &amp; Assumptions'!$B$6)+(W16*'Methodology &amp; Assumptions'!$B$5)+(X16*'Methodology &amp; Assumptions'!$B$7), 2)</f>
        <v/>
      </c>
    </row>
    <row r="17" ht="19" customHeight="1">
      <c r="A17" s="35" t="n">
        <v>13</v>
      </c>
      <c r="B17" s="35" t="n">
        <v>13</v>
      </c>
      <c r="C17" s="36" t="inlineStr">
        <is>
          <t>0405622007</t>
        </is>
      </c>
      <c r="D17" s="36" t="inlineStr">
        <is>
          <t>Region IV-A (CALABARZON)</t>
        </is>
      </c>
      <c r="E17" s="36" t="inlineStr">
        <is>
          <t>Quezon</t>
        </is>
      </c>
      <c r="F17" s="36" t="inlineStr">
        <is>
          <t>Lopez</t>
        </is>
      </c>
      <c r="G17" s="36" t="inlineStr">
        <is>
          <t>Magsaysay</t>
        </is>
      </c>
      <c r="H17" s="37" t="n">
        <v>13.886518</v>
      </c>
      <c r="I17" s="37" t="n">
        <v>122.263262</v>
      </c>
      <c r="J17" s="8" t="inlineStr">
        <is>
          <t>R</t>
        </is>
      </c>
      <c r="K17" s="36" t="inlineStr">
        <is>
          <t>Class 1-3 / Urban</t>
        </is>
      </c>
      <c r="L17" s="18" t="n">
        <v>4709</v>
      </c>
      <c r="M17" s="20" t="n">
        <v>4.46</v>
      </c>
      <c r="N17" s="18">
        <f>ROUND(L17/M17, 0)</f>
        <v/>
      </c>
      <c r="O17" s="18">
        <f>ROUND(N17*'Methodology &amp; Assumptions'!$B$8, 0)</f>
        <v/>
      </c>
      <c r="P17" s="8" t="inlineStr">
        <is>
          <t>Band n50 (1.5 GHz, 60 MHz)</t>
        </is>
      </c>
      <c r="Q17" s="38">
        <f>ROUNDUP(O17/'Methodology &amp; Assumptions'!$B$9, 0)</f>
        <v/>
      </c>
      <c r="R17" s="39" t="n">
        <v>1</v>
      </c>
      <c r="S17" s="21" t="n">
        <v>0.14</v>
      </c>
      <c r="T17" s="21" t="n">
        <v>0.09</v>
      </c>
      <c r="U17" s="36" t="inlineStr">
        <is>
          <t>Tier 1A (Direct Coloc, &lt;1 km)</t>
        </is>
      </c>
      <c r="V17" s="20" t="n">
        <v>100</v>
      </c>
      <c r="W17" s="20" t="n">
        <v>100</v>
      </c>
      <c r="X17" s="20" t="n">
        <v>58</v>
      </c>
      <c r="Y17" s="40">
        <f>ROUND((V17*'Methodology &amp; Assumptions'!$B$6)+(W17*'Methodology &amp; Assumptions'!$B$5)+(X17*'Methodology &amp; Assumptions'!$B$7), 2)</f>
        <v/>
      </c>
    </row>
    <row r="18" ht="19" customHeight="1">
      <c r="A18" s="41" t="n">
        <v>14</v>
      </c>
      <c r="B18" s="41" t="n">
        <v>14</v>
      </c>
      <c r="C18" s="42" t="inlineStr">
        <is>
          <t>0702215007</t>
        </is>
      </c>
      <c r="D18" s="42" t="inlineStr">
        <is>
          <t>Region VII (Central Visayas)</t>
        </is>
      </c>
      <c r="E18" s="42" t="inlineStr">
        <is>
          <t>Cebu</t>
        </is>
      </c>
      <c r="F18" s="42" t="inlineStr">
        <is>
          <t>Carmen</t>
        </is>
      </c>
      <c r="G18" s="42" t="inlineStr">
        <is>
          <t>Dawis Norte</t>
        </is>
      </c>
      <c r="H18" s="43" t="n">
        <v>10.575344</v>
      </c>
      <c r="I18" s="43" t="n">
        <v>124.019211</v>
      </c>
      <c r="J18" s="44" t="inlineStr">
        <is>
          <t>R</t>
        </is>
      </c>
      <c r="K18" s="42" t="inlineStr">
        <is>
          <t>Class 1-3 / Urban</t>
        </is>
      </c>
      <c r="L18" s="23" t="n">
        <v>4701</v>
      </c>
      <c r="M18" s="24" t="n">
        <v>4.42</v>
      </c>
      <c r="N18" s="23">
        <f>ROUND(L18/M18, 0)</f>
        <v/>
      </c>
      <c r="O18" s="23">
        <f>ROUND(N18*'Methodology &amp; Assumptions'!$B$8, 0)</f>
        <v/>
      </c>
      <c r="P18" s="44" t="inlineStr">
        <is>
          <t>Band n50 (1.5 GHz, 60 MHz)</t>
        </is>
      </c>
      <c r="Q18" s="38">
        <f>ROUNDUP(O18/'Methodology &amp; Assumptions'!$B$9, 0)</f>
        <v/>
      </c>
      <c r="R18" s="39" t="n">
        <v>1</v>
      </c>
      <c r="S18" s="25" t="n">
        <v>0.16</v>
      </c>
      <c r="T18" s="25" t="n">
        <v>0.16</v>
      </c>
      <c r="U18" s="42" t="inlineStr">
        <is>
          <t>Tier 1A (Direct Coloc, &lt;1 km)</t>
        </is>
      </c>
      <c r="V18" s="24" t="n">
        <v>100</v>
      </c>
      <c r="W18" s="24" t="n">
        <v>100</v>
      </c>
      <c r="X18" s="24" t="n">
        <v>58</v>
      </c>
      <c r="Y18" s="45">
        <f>ROUND((V18*'Methodology &amp; Assumptions'!$B$6)+(W18*'Methodology &amp; Assumptions'!$B$5)+(X18*'Methodology &amp; Assumptions'!$B$7), 2)</f>
        <v/>
      </c>
    </row>
    <row r="19" ht="19" customHeight="1">
      <c r="A19" s="35" t="n">
        <v>15</v>
      </c>
      <c r="B19" s="35" t="n">
        <v>15</v>
      </c>
      <c r="C19" s="36" t="inlineStr">
        <is>
          <t>0803714016</t>
        </is>
      </c>
      <c r="D19" s="36" t="inlineStr">
        <is>
          <t>Region VIII (Eastern Visayas)</t>
        </is>
      </c>
      <c r="E19" s="36" t="inlineStr">
        <is>
          <t>Leyte</t>
        </is>
      </c>
      <c r="F19" s="36" t="inlineStr">
        <is>
          <t>Capoocan</t>
        </is>
      </c>
      <c r="G19" s="36" t="inlineStr">
        <is>
          <t>Poblacion Zone II</t>
        </is>
      </c>
      <c r="H19" s="37" t="n">
        <v>11.294811</v>
      </c>
      <c r="I19" s="37" t="n">
        <v>124.635032</v>
      </c>
      <c r="J19" s="8" t="inlineStr">
        <is>
          <t>R</t>
        </is>
      </c>
      <c r="K19" s="36" t="inlineStr">
        <is>
          <t>2nd</t>
        </is>
      </c>
      <c r="L19" s="18" t="n">
        <v>4668</v>
      </c>
      <c r="M19" s="20" t="n">
        <v>4.58</v>
      </c>
      <c r="N19" s="18">
        <f>ROUND(L19/M19, 0)</f>
        <v/>
      </c>
      <c r="O19" s="18">
        <f>ROUND(N19*'Methodology &amp; Assumptions'!$B$8, 0)</f>
        <v/>
      </c>
      <c r="P19" s="8" t="inlineStr">
        <is>
          <t>Band n50 (1.5 GHz, 60 MHz)</t>
        </is>
      </c>
      <c r="Q19" s="38">
        <f>ROUNDUP(O19/'Methodology &amp; Assumptions'!$B$9, 0)</f>
        <v/>
      </c>
      <c r="R19" s="39" t="n">
        <v>1</v>
      </c>
      <c r="S19" s="21" t="n">
        <v>0.1</v>
      </c>
      <c r="T19" s="21" t="n">
        <v>0.02</v>
      </c>
      <c r="U19" s="36" t="inlineStr">
        <is>
          <t>Tier 1A (Direct Coloc, &lt;1 km)</t>
        </is>
      </c>
      <c r="V19" s="20" t="n">
        <v>100</v>
      </c>
      <c r="W19" s="20" t="n">
        <v>100</v>
      </c>
      <c r="X19" s="20" t="n">
        <v>58</v>
      </c>
      <c r="Y19" s="40">
        <f>ROUND((V19*'Methodology &amp; Assumptions'!$B$6)+(W19*'Methodology &amp; Assumptions'!$B$5)+(X19*'Methodology &amp; Assumptions'!$B$7), 2)</f>
        <v/>
      </c>
    </row>
    <row r="20" ht="19" customHeight="1">
      <c r="A20" s="41" t="n">
        <v>16</v>
      </c>
      <c r="B20" s="41" t="n">
        <v>16</v>
      </c>
      <c r="C20" s="42" t="inlineStr">
        <is>
          <t>0506209002</t>
        </is>
      </c>
      <c r="D20" s="42" t="inlineStr">
        <is>
          <t>Region V (Bicol Region)</t>
        </is>
      </c>
      <c r="E20" s="42" t="inlineStr">
        <is>
          <t>Sorsogon</t>
        </is>
      </c>
      <c r="F20" s="42" t="inlineStr">
        <is>
          <t>Irosin</t>
        </is>
      </c>
      <c r="G20" s="42" t="inlineStr">
        <is>
          <t>Bacolod</t>
        </is>
      </c>
      <c r="H20" s="43" t="n">
        <v>12.701058</v>
      </c>
      <c r="I20" s="43" t="n">
        <v>124.034325</v>
      </c>
      <c r="J20" s="44" t="inlineStr">
        <is>
          <t>R</t>
        </is>
      </c>
      <c r="K20" s="42" t="inlineStr">
        <is>
          <t>Class 1-3 / Urban</t>
        </is>
      </c>
      <c r="L20" s="23" t="n">
        <v>4645</v>
      </c>
      <c r="M20" s="24" t="n">
        <v>4.58</v>
      </c>
      <c r="N20" s="23">
        <f>ROUND(L20/M20, 0)</f>
        <v/>
      </c>
      <c r="O20" s="23">
        <f>ROUND(N20*'Methodology &amp; Assumptions'!$B$8, 0)</f>
        <v/>
      </c>
      <c r="P20" s="44" t="inlineStr">
        <is>
          <t>Band n50 (1.5 GHz, 60 MHz)</t>
        </is>
      </c>
      <c r="Q20" s="38">
        <f>ROUNDUP(O20/'Methodology &amp; Assumptions'!$B$9, 0)</f>
        <v/>
      </c>
      <c r="R20" s="39" t="n">
        <v>1</v>
      </c>
      <c r="S20" s="25" t="n">
        <v>0.2</v>
      </c>
      <c r="T20" s="25" t="n">
        <v>0.29</v>
      </c>
      <c r="U20" s="42" t="inlineStr">
        <is>
          <t>Tier 1A (Direct Coloc, &lt;1 km)</t>
        </is>
      </c>
      <c r="V20" s="24" t="n">
        <v>100</v>
      </c>
      <c r="W20" s="24" t="n">
        <v>100</v>
      </c>
      <c r="X20" s="24" t="n">
        <v>58</v>
      </c>
      <c r="Y20" s="45">
        <f>ROUND((V20*'Methodology &amp; Assumptions'!$B$6)+(W20*'Methodology &amp; Assumptions'!$B$5)+(X20*'Methodology &amp; Assumptions'!$B$7), 2)</f>
        <v/>
      </c>
    </row>
    <row r="21" ht="19" customHeight="1">
      <c r="A21" s="35" t="n">
        <v>17</v>
      </c>
      <c r="B21" s="35" t="n">
        <v>17</v>
      </c>
      <c r="C21" s="36" t="inlineStr">
        <is>
          <t>0702241013</t>
        </is>
      </c>
      <c r="D21" s="36" t="inlineStr">
        <is>
          <t>Region VII (Central Visayas)</t>
        </is>
      </c>
      <c r="E21" s="36" t="inlineStr">
        <is>
          <t>Cebu</t>
        </is>
      </c>
      <c r="F21" s="36" t="inlineStr">
        <is>
          <t>San Fernando</t>
        </is>
      </c>
      <c r="G21" s="36" t="inlineStr">
        <is>
          <t>Poblacion North</t>
        </is>
      </c>
      <c r="H21" s="37" t="n">
        <v>10.16501</v>
      </c>
      <c r="I21" s="37" t="n">
        <v>123.7078</v>
      </c>
      <c r="J21" s="8" t="inlineStr">
        <is>
          <t>R</t>
        </is>
      </c>
      <c r="K21" s="36" t="inlineStr">
        <is>
          <t>Class 1-3 / Urban</t>
        </is>
      </c>
      <c r="L21" s="18" t="n">
        <v>4606</v>
      </c>
      <c r="M21" s="20" t="n">
        <v>4.42</v>
      </c>
      <c r="N21" s="18">
        <f>ROUND(L21/M21, 0)</f>
        <v/>
      </c>
      <c r="O21" s="18">
        <f>ROUND(N21*'Methodology &amp; Assumptions'!$B$8, 0)</f>
        <v/>
      </c>
      <c r="P21" s="8" t="inlineStr">
        <is>
          <t>Band n50 (1.5 GHz, 60 MHz)</t>
        </is>
      </c>
      <c r="Q21" s="38">
        <f>ROUNDUP(O21/'Methodology &amp; Assumptions'!$B$9, 0)</f>
        <v/>
      </c>
      <c r="R21" s="39" t="n">
        <v>1</v>
      </c>
      <c r="S21" s="21" t="n">
        <v>0.3</v>
      </c>
      <c r="T21" s="21" t="n">
        <v>0.15</v>
      </c>
      <c r="U21" s="36" t="inlineStr">
        <is>
          <t>Tier 1A (Direct Coloc, &lt;1 km)</t>
        </is>
      </c>
      <c r="V21" s="20" t="n">
        <v>100</v>
      </c>
      <c r="W21" s="20" t="n">
        <v>100</v>
      </c>
      <c r="X21" s="20" t="n">
        <v>58</v>
      </c>
      <c r="Y21" s="40">
        <f>ROUND((V21*'Methodology &amp; Assumptions'!$B$6)+(W21*'Methodology &amp; Assumptions'!$B$5)+(X21*'Methodology &amp; Assumptions'!$B$7), 2)</f>
        <v/>
      </c>
    </row>
    <row r="22" ht="19" customHeight="1">
      <c r="A22" s="41" t="n">
        <v>18</v>
      </c>
      <c r="B22" s="41" t="n">
        <v>18</v>
      </c>
      <c r="C22" s="42" t="inlineStr">
        <is>
          <t>0506216001</t>
        </is>
      </c>
      <c r="D22" s="42" t="inlineStr">
        <is>
          <t>Region V (Bicol Region)</t>
        </is>
      </c>
      <c r="E22" s="42" t="inlineStr">
        <is>
          <t>Sorsogon</t>
        </is>
      </c>
      <c r="F22" s="42" t="inlineStr">
        <is>
          <t>City of Sorsogon</t>
        </is>
      </c>
      <c r="G22" s="42" t="inlineStr">
        <is>
          <t>Abuyog</t>
        </is>
      </c>
      <c r="H22" s="43" t="n">
        <v>12.946119</v>
      </c>
      <c r="I22" s="43" t="n">
        <v>124.052233</v>
      </c>
      <c r="J22" s="44" t="inlineStr">
        <is>
          <t>R</t>
        </is>
      </c>
      <c r="K22" s="42" t="inlineStr">
        <is>
          <t>Class 1-3 / Urban</t>
        </is>
      </c>
      <c r="L22" s="23" t="n">
        <v>4579</v>
      </c>
      <c r="M22" s="24" t="n">
        <v>4.58</v>
      </c>
      <c r="N22" s="23">
        <f>ROUND(L22/M22, 0)</f>
        <v/>
      </c>
      <c r="O22" s="23">
        <f>ROUND(N22*'Methodology &amp; Assumptions'!$B$8, 0)</f>
        <v/>
      </c>
      <c r="P22" s="44" t="inlineStr">
        <is>
          <t>Band n50 (1.5 GHz, 60 MHz)</t>
        </is>
      </c>
      <c r="Q22" s="38">
        <f>ROUNDUP(O22/'Methodology &amp; Assumptions'!$B$9, 0)</f>
        <v/>
      </c>
      <c r="R22" s="39" t="n">
        <v>1</v>
      </c>
      <c r="S22" s="25" t="n">
        <v>0.09</v>
      </c>
      <c r="T22" s="25" t="n">
        <v>0.31</v>
      </c>
      <c r="U22" s="42" t="inlineStr">
        <is>
          <t>Tier 1A (Direct Coloc, &lt;1 km)</t>
        </is>
      </c>
      <c r="V22" s="24" t="n">
        <v>100</v>
      </c>
      <c r="W22" s="24" t="n">
        <v>100</v>
      </c>
      <c r="X22" s="24" t="n">
        <v>58</v>
      </c>
      <c r="Y22" s="45">
        <f>ROUND((V22*'Methodology &amp; Assumptions'!$B$6)+(W22*'Methodology &amp; Assumptions'!$B$5)+(X22*'Methodology &amp; Assumptions'!$B$7), 2)</f>
        <v/>
      </c>
    </row>
    <row r="23" ht="19" customHeight="1">
      <c r="A23" s="35" t="n">
        <v>19</v>
      </c>
      <c r="B23" s="35" t="n">
        <v>19</v>
      </c>
      <c r="C23" s="36" t="inlineStr">
        <is>
          <t>0601912026</t>
        </is>
      </c>
      <c r="D23" s="36" t="inlineStr">
        <is>
          <t>Region VI (Western Visayas)</t>
        </is>
      </c>
      <c r="E23" s="36" t="inlineStr">
        <is>
          <t>Capiz</t>
        </is>
      </c>
      <c r="F23" s="36" t="inlineStr">
        <is>
          <t>Pontevedra</t>
        </is>
      </c>
      <c r="G23" s="36" t="inlineStr">
        <is>
          <t>Tacas</t>
        </is>
      </c>
      <c r="H23" s="37" t="n">
        <v>11.478668</v>
      </c>
      <c r="I23" s="37" t="n">
        <v>122.832811</v>
      </c>
      <c r="J23" s="8" t="inlineStr">
        <is>
          <t>R</t>
        </is>
      </c>
      <c r="K23" s="36" t="inlineStr">
        <is>
          <t>Class 1-3 / Urban</t>
        </is>
      </c>
      <c r="L23" s="18" t="n">
        <v>4515</v>
      </c>
      <c r="M23" s="20" t="n">
        <v>4.2</v>
      </c>
      <c r="N23" s="18">
        <f>ROUND(L23/M23, 0)</f>
        <v/>
      </c>
      <c r="O23" s="18">
        <f>ROUND(N23*'Methodology &amp; Assumptions'!$B$8, 0)</f>
        <v/>
      </c>
      <c r="P23" s="8" t="inlineStr">
        <is>
          <t>Band n50 (1.5 GHz, 60 MHz)</t>
        </is>
      </c>
      <c r="Q23" s="38">
        <f>ROUNDUP(O23/'Methodology &amp; Assumptions'!$B$9, 0)</f>
        <v/>
      </c>
      <c r="R23" s="39" t="n">
        <v>1</v>
      </c>
      <c r="S23" s="21" t="n">
        <v>0.15</v>
      </c>
      <c r="T23" s="21" t="n">
        <v>0.11</v>
      </c>
      <c r="U23" s="36" t="inlineStr">
        <is>
          <t>Tier 1A (Direct Coloc, &lt;1 km)</t>
        </is>
      </c>
      <c r="V23" s="20" t="n">
        <v>100</v>
      </c>
      <c r="W23" s="20" t="n">
        <v>100</v>
      </c>
      <c r="X23" s="20" t="n">
        <v>58</v>
      </c>
      <c r="Y23" s="40">
        <f>ROUND((V23*'Methodology &amp; Assumptions'!$B$6)+(W23*'Methodology &amp; Assumptions'!$B$5)+(X23*'Methodology &amp; Assumptions'!$B$7), 2)</f>
        <v/>
      </c>
    </row>
    <row r="24" ht="19" customHeight="1">
      <c r="A24" s="41" t="n">
        <v>20</v>
      </c>
      <c r="B24" s="41" t="n">
        <v>20</v>
      </c>
      <c r="C24" s="42" t="inlineStr">
        <is>
          <t>0304908016</t>
        </is>
      </c>
      <c r="D24" s="42" t="inlineStr">
        <is>
          <t>Region III (Central Luzon)</t>
        </is>
      </c>
      <c r="E24" s="42" t="inlineStr">
        <is>
          <t>Nueva Ecija</t>
        </is>
      </c>
      <c r="F24" s="42" t="inlineStr">
        <is>
          <t>City of Gapan</t>
        </is>
      </c>
      <c r="G24" s="42" t="inlineStr">
        <is>
          <t>Santo Cristo Sur</t>
        </is>
      </c>
      <c r="H24" s="43" t="n">
        <v>15.26489</v>
      </c>
      <c r="I24" s="43" t="n">
        <v>120.951208</v>
      </c>
      <c r="J24" s="44" t="inlineStr">
        <is>
          <t>R</t>
        </is>
      </c>
      <c r="K24" s="42" t="inlineStr">
        <is>
          <t>Class 1-3 / Urban</t>
        </is>
      </c>
      <c r="L24" s="23" t="n">
        <v>4483</v>
      </c>
      <c r="M24" s="24" t="n">
        <v>4.32</v>
      </c>
      <c r="N24" s="23">
        <f>ROUND(L24/M24, 0)</f>
        <v/>
      </c>
      <c r="O24" s="23">
        <f>ROUND(N24*'Methodology &amp; Assumptions'!$B$8, 0)</f>
        <v/>
      </c>
      <c r="P24" s="44" t="inlineStr">
        <is>
          <t>Band n50 (1.5 GHz, 60 MHz)</t>
        </is>
      </c>
      <c r="Q24" s="38">
        <f>ROUNDUP(O24/'Methodology &amp; Assumptions'!$B$9, 0)</f>
        <v/>
      </c>
      <c r="R24" s="39" t="n">
        <v>1</v>
      </c>
      <c r="S24" s="25" t="n">
        <v>0.02</v>
      </c>
      <c r="T24" s="25" t="n">
        <v>0.05</v>
      </c>
      <c r="U24" s="42" t="inlineStr">
        <is>
          <t>Tier 1A (Direct Coloc, &lt;1 km)</t>
        </is>
      </c>
      <c r="V24" s="24" t="n">
        <v>100</v>
      </c>
      <c r="W24" s="24" t="n">
        <v>100</v>
      </c>
      <c r="X24" s="24" t="n">
        <v>58</v>
      </c>
      <c r="Y24" s="45">
        <f>ROUND((V24*'Methodology &amp; Assumptions'!$B$6)+(W24*'Methodology &amp; Assumptions'!$B$5)+(X24*'Methodology &amp; Assumptions'!$B$7), 2)</f>
        <v/>
      </c>
    </row>
    <row r="25" ht="19" customHeight="1">
      <c r="A25" s="35" t="n">
        <v>21</v>
      </c>
      <c r="B25" s="35" t="n">
        <v>21</v>
      </c>
      <c r="C25" s="36" t="inlineStr">
        <is>
          <t>0307706009</t>
        </is>
      </c>
      <c r="D25" s="36" t="inlineStr">
        <is>
          <t>Region III (Central Luzon)</t>
        </is>
      </c>
      <c r="E25" s="36" t="inlineStr">
        <is>
          <t>Aurora</t>
        </is>
      </c>
      <c r="F25" s="36" t="inlineStr">
        <is>
          <t>Dipaculao</t>
        </is>
      </c>
      <c r="G25" s="36" t="inlineStr">
        <is>
          <t>Dinadiawan</t>
        </is>
      </c>
      <c r="H25" s="37" t="n">
        <v>16.07596</v>
      </c>
      <c r="I25" s="37" t="n">
        <v>121.768664</v>
      </c>
      <c r="J25" s="8" t="inlineStr">
        <is>
          <t>R</t>
        </is>
      </c>
      <c r="K25" s="36" t="inlineStr">
        <is>
          <t>Class 1-3 / Urban</t>
        </is>
      </c>
      <c r="L25" s="18" t="n">
        <v>4344</v>
      </c>
      <c r="M25" s="20" t="n">
        <v>4.24</v>
      </c>
      <c r="N25" s="18">
        <f>ROUND(L25/M25, 0)</f>
        <v/>
      </c>
      <c r="O25" s="18">
        <f>ROUND(N25*'Methodology &amp; Assumptions'!$B$8, 0)</f>
        <v/>
      </c>
      <c r="P25" s="8" t="inlineStr">
        <is>
          <t>Band n50 (1.5 GHz, 60 MHz)</t>
        </is>
      </c>
      <c r="Q25" s="38">
        <f>ROUNDUP(O25/'Methodology &amp; Assumptions'!$B$9, 0)</f>
        <v/>
      </c>
      <c r="R25" s="39" t="n">
        <v>1</v>
      </c>
      <c r="S25" s="21" t="n">
        <v>0.26</v>
      </c>
      <c r="T25" s="21" t="n">
        <v>0.18</v>
      </c>
      <c r="U25" s="36" t="inlineStr">
        <is>
          <t>Tier 1A (Direct Coloc, &lt;1 km)</t>
        </is>
      </c>
      <c r="V25" s="20" t="n">
        <v>100</v>
      </c>
      <c r="W25" s="20" t="n">
        <v>100</v>
      </c>
      <c r="X25" s="20" t="n">
        <v>58</v>
      </c>
      <c r="Y25" s="40">
        <f>ROUND((V25*'Methodology &amp; Assumptions'!$B$6)+(W25*'Methodology &amp; Assumptions'!$B$5)+(X25*'Methodology &amp; Assumptions'!$B$7), 2)</f>
        <v/>
      </c>
    </row>
    <row r="26" ht="19" customHeight="1">
      <c r="A26" s="41" t="n">
        <v>22</v>
      </c>
      <c r="B26" s="41" t="n">
        <v>22</v>
      </c>
      <c r="C26" s="42" t="inlineStr">
        <is>
          <t>1004311014</t>
        </is>
      </c>
      <c r="D26" s="42" t="inlineStr">
        <is>
          <t>Region X (Northern Mindanao)</t>
        </is>
      </c>
      <c r="E26" s="42" t="inlineStr">
        <is>
          <t>Misamis Oriental</t>
        </is>
      </c>
      <c r="F26" s="42" t="inlineStr">
        <is>
          <t>Jasaan</t>
        </is>
      </c>
      <c r="G26" s="42" t="inlineStr">
        <is>
          <t>Upper Jasaan</t>
        </is>
      </c>
      <c r="H26" s="43" t="n">
        <v>8.651788</v>
      </c>
      <c r="I26" s="43" t="n">
        <v>124.755999</v>
      </c>
      <c r="J26" s="44" t="inlineStr">
        <is>
          <t>R</t>
        </is>
      </c>
      <c r="K26" s="42" t="inlineStr">
        <is>
          <t>Class 1-3 / Urban</t>
        </is>
      </c>
      <c r="L26" s="23" t="n">
        <v>4328</v>
      </c>
      <c r="M26" s="24" t="n">
        <v>4.54</v>
      </c>
      <c r="N26" s="23">
        <f>ROUND(L26/M26, 0)</f>
        <v/>
      </c>
      <c r="O26" s="23">
        <f>ROUND(N26*'Methodology &amp; Assumptions'!$B$8, 0)</f>
        <v/>
      </c>
      <c r="P26" s="44" t="inlineStr">
        <is>
          <t>Band n50 (1.5 GHz, 60 MHz)</t>
        </is>
      </c>
      <c r="Q26" s="38">
        <f>ROUNDUP(O26/'Methodology &amp; Assumptions'!$B$9, 0)</f>
        <v/>
      </c>
      <c r="R26" s="39" t="n">
        <v>1</v>
      </c>
      <c r="S26" s="25" t="n">
        <v>0.29</v>
      </c>
      <c r="T26" s="25" t="n">
        <v>0.24</v>
      </c>
      <c r="U26" s="42" t="inlineStr">
        <is>
          <t>Tier 1A (Direct Coloc, &lt;1 km)</t>
        </is>
      </c>
      <c r="V26" s="24" t="n">
        <v>100</v>
      </c>
      <c r="W26" s="24" t="n">
        <v>100</v>
      </c>
      <c r="X26" s="24" t="n">
        <v>58</v>
      </c>
      <c r="Y26" s="45">
        <f>ROUND((V26*'Methodology &amp; Assumptions'!$B$6)+(W26*'Methodology &amp; Assumptions'!$B$5)+(X26*'Methodology &amp; Assumptions'!$B$7), 2)</f>
        <v/>
      </c>
    </row>
    <row r="27" ht="19" customHeight="1">
      <c r="A27" s="35" t="n">
        <v>23</v>
      </c>
      <c r="B27" s="35" t="n">
        <v>23</v>
      </c>
      <c r="C27" s="36" t="inlineStr">
        <is>
          <t>0405803001</t>
        </is>
      </c>
      <c r="D27" s="36" t="inlineStr">
        <is>
          <t>Region IV-A (CALABARZON)</t>
        </is>
      </c>
      <c r="E27" s="36" t="inlineStr">
        <is>
          <t>Rizal</t>
        </is>
      </c>
      <c r="F27" s="36" t="inlineStr">
        <is>
          <t>Baras</t>
        </is>
      </c>
      <c r="G27" s="36" t="inlineStr">
        <is>
          <t>Evangelista</t>
        </is>
      </c>
      <c r="H27" s="37" t="n">
        <v>14.51765</v>
      </c>
      <c r="I27" s="37" t="n">
        <v>121.276578</v>
      </c>
      <c r="J27" s="8" t="inlineStr">
        <is>
          <t>R</t>
        </is>
      </c>
      <c r="K27" s="36" t="inlineStr">
        <is>
          <t>1st</t>
        </is>
      </c>
      <c r="L27" s="18" t="n">
        <v>4245</v>
      </c>
      <c r="M27" s="20" t="n">
        <v>4.14</v>
      </c>
      <c r="N27" s="18">
        <f>ROUND(L27/M27, 0)</f>
        <v/>
      </c>
      <c r="O27" s="18">
        <f>ROUND(N27*'Methodology &amp; Assumptions'!$B$8, 0)</f>
        <v/>
      </c>
      <c r="P27" s="8" t="inlineStr">
        <is>
          <t>Band n50 (1.5 GHz, 60 MHz)</t>
        </is>
      </c>
      <c r="Q27" s="38">
        <f>ROUNDUP(O27/'Methodology &amp; Assumptions'!$B$9, 0)</f>
        <v/>
      </c>
      <c r="R27" s="39" t="n">
        <v>1</v>
      </c>
      <c r="S27" s="21" t="n">
        <v>0.05</v>
      </c>
      <c r="T27" s="21" t="n">
        <v>0.06</v>
      </c>
      <c r="U27" s="36" t="inlineStr">
        <is>
          <t>Tier 1A (Direct Coloc, &lt;1 km)</t>
        </is>
      </c>
      <c r="V27" s="20" t="n">
        <v>100</v>
      </c>
      <c r="W27" s="20" t="n">
        <v>100</v>
      </c>
      <c r="X27" s="20" t="n">
        <v>58</v>
      </c>
      <c r="Y27" s="40">
        <f>ROUND((V27*'Methodology &amp; Assumptions'!$B$6)+(W27*'Methodology &amp; Assumptions'!$B$5)+(X27*'Methodology &amp; Assumptions'!$B$7), 2)</f>
        <v/>
      </c>
    </row>
    <row r="28" ht="19" customHeight="1">
      <c r="A28" s="41" t="n">
        <v>24</v>
      </c>
      <c r="B28" s="41" t="n">
        <v>24</v>
      </c>
      <c r="C28" s="42" t="inlineStr">
        <is>
          <t>0604518003</t>
        </is>
      </c>
      <c r="D28" s="42" t="inlineStr">
        <is>
          <t>Region VI (Western Visayas)</t>
        </is>
      </c>
      <c r="E28" s="42" t="inlineStr">
        <is>
          <t>Negros Occidental</t>
        </is>
      </c>
      <c r="F28" s="42" t="inlineStr">
        <is>
          <t>Manapla</t>
        </is>
      </c>
      <c r="G28" s="42" t="inlineStr">
        <is>
          <t>Barangay I-A</t>
        </is>
      </c>
      <c r="H28" s="43" t="n">
        <v>10.950676</v>
      </c>
      <c r="I28" s="43" t="n">
        <v>123.129127</v>
      </c>
      <c r="J28" s="44" t="inlineStr">
        <is>
          <t>R</t>
        </is>
      </c>
      <c r="K28" s="42" t="inlineStr">
        <is>
          <t>Class 1-3 / Urban</t>
        </is>
      </c>
      <c r="L28" s="23" t="n">
        <v>4242</v>
      </c>
      <c r="M28" s="24" t="n">
        <v>4.33</v>
      </c>
      <c r="N28" s="23">
        <f>ROUND(L28/M28, 0)</f>
        <v/>
      </c>
      <c r="O28" s="23">
        <f>ROUND(N28*'Methodology &amp; Assumptions'!$B$8, 0)</f>
        <v/>
      </c>
      <c r="P28" s="44" t="inlineStr">
        <is>
          <t>Band n50 (1.5 GHz, 60 MHz)</t>
        </is>
      </c>
      <c r="Q28" s="38">
        <f>ROUNDUP(O28/'Methodology &amp; Assumptions'!$B$9, 0)</f>
        <v/>
      </c>
      <c r="R28" s="39" t="n">
        <v>1</v>
      </c>
      <c r="S28" s="25" t="n">
        <v>0.07000000000000001</v>
      </c>
      <c r="T28" s="25" t="n">
        <v>0.77</v>
      </c>
      <c r="U28" s="42" t="inlineStr">
        <is>
          <t>Tier 1A (Direct Coloc, &lt;1 km)</t>
        </is>
      </c>
      <c r="V28" s="24" t="n">
        <v>100</v>
      </c>
      <c r="W28" s="24" t="n">
        <v>100</v>
      </c>
      <c r="X28" s="24" t="n">
        <v>58</v>
      </c>
      <c r="Y28" s="45">
        <f>ROUND((V28*'Methodology &amp; Assumptions'!$B$6)+(W28*'Methodology &amp; Assumptions'!$B$5)+(X28*'Methodology &amp; Assumptions'!$B$7), 2)</f>
        <v/>
      </c>
    </row>
    <row r="29" ht="19" customHeight="1">
      <c r="A29" s="35" t="n">
        <v>25</v>
      </c>
      <c r="B29" s="35" t="n">
        <v>25</v>
      </c>
      <c r="C29" s="36" t="inlineStr">
        <is>
          <t>0403416035</t>
        </is>
      </c>
      <c r="D29" s="36" t="inlineStr">
        <is>
          <t>Region IV-A (CALABARZON)</t>
        </is>
      </c>
      <c r="E29" s="36" t="inlineStr">
        <is>
          <t>Laguna</t>
        </is>
      </c>
      <c r="F29" s="36" t="inlineStr">
        <is>
          <t>Majayjay</t>
        </is>
      </c>
      <c r="G29" s="36" t="inlineStr">
        <is>
          <t>San Miguel</t>
        </is>
      </c>
      <c r="H29" s="37" t="n">
        <v>14.145299</v>
      </c>
      <c r="I29" s="37" t="n">
        <v>121.470391</v>
      </c>
      <c r="J29" s="8" t="inlineStr">
        <is>
          <t>R</t>
        </is>
      </c>
      <c r="K29" s="36" t="inlineStr">
        <is>
          <t>3rd</t>
        </is>
      </c>
      <c r="L29" s="18" t="n">
        <v>4132</v>
      </c>
      <c r="M29" s="20" t="n">
        <v>4.18</v>
      </c>
      <c r="N29" s="18">
        <f>ROUND(L29/M29, 0)</f>
        <v/>
      </c>
      <c r="O29" s="18">
        <f>ROUND(N29*'Methodology &amp; Assumptions'!$B$8, 0)</f>
        <v/>
      </c>
      <c r="P29" s="8" t="inlineStr">
        <is>
          <t>Band n50 (1.5 GHz, 60 MHz)</t>
        </is>
      </c>
      <c r="Q29" s="38">
        <f>ROUNDUP(O29/'Methodology &amp; Assumptions'!$B$9, 0)</f>
        <v/>
      </c>
      <c r="R29" s="39" t="n">
        <v>1</v>
      </c>
      <c r="S29" s="21" t="n">
        <v>0.25</v>
      </c>
      <c r="T29" s="21" t="n">
        <v>0.14</v>
      </c>
      <c r="U29" s="36" t="inlineStr">
        <is>
          <t>Tier 1A (Direct Coloc, &lt;1 km)</t>
        </is>
      </c>
      <c r="V29" s="20" t="n">
        <v>100</v>
      </c>
      <c r="W29" s="20" t="n">
        <v>100</v>
      </c>
      <c r="X29" s="20" t="n">
        <v>58</v>
      </c>
      <c r="Y29" s="40">
        <f>ROUND((V29*'Methodology &amp; Assumptions'!$B$6)+(W29*'Methodology &amp; Assumptions'!$B$5)+(X29*'Methodology &amp; Assumptions'!$B$7), 2)</f>
        <v/>
      </c>
    </row>
    <row r="30" ht="19" customHeight="1">
      <c r="A30" s="41" t="n">
        <v>26</v>
      </c>
      <c r="B30" s="41" t="n">
        <v>26</v>
      </c>
      <c r="C30" s="42" t="inlineStr">
        <is>
          <t>0403402002</t>
        </is>
      </c>
      <c r="D30" s="42" t="inlineStr">
        <is>
          <t>Region IV-A (CALABARZON)</t>
        </is>
      </c>
      <c r="E30" s="42" t="inlineStr">
        <is>
          <t>Laguna</t>
        </is>
      </c>
      <c r="F30" s="42" t="inlineStr">
        <is>
          <t>Bay</t>
        </is>
      </c>
      <c r="G30" s="42" t="inlineStr">
        <is>
          <t>Calo</t>
        </is>
      </c>
      <c r="H30" s="43" t="n">
        <v>14.181165</v>
      </c>
      <c r="I30" s="43" t="n">
        <v>121.280153</v>
      </c>
      <c r="J30" s="44" t="inlineStr">
        <is>
          <t>R</t>
        </is>
      </c>
      <c r="K30" s="42" t="inlineStr">
        <is>
          <t>Class 1-3 / Urban</t>
        </is>
      </c>
      <c r="L30" s="23" t="n">
        <v>4100</v>
      </c>
      <c r="M30" s="24" t="n">
        <v>4.2</v>
      </c>
      <c r="N30" s="23">
        <f>ROUND(L30/M30, 0)</f>
        <v/>
      </c>
      <c r="O30" s="23">
        <f>ROUND(N30*'Methodology &amp; Assumptions'!$B$8, 0)</f>
        <v/>
      </c>
      <c r="P30" s="44" t="inlineStr">
        <is>
          <t>Band n50 (1.5 GHz, 60 MHz)</t>
        </is>
      </c>
      <c r="Q30" s="38">
        <f>ROUNDUP(O30/'Methodology &amp; Assumptions'!$B$9, 0)</f>
        <v/>
      </c>
      <c r="R30" s="39" t="n">
        <v>1</v>
      </c>
      <c r="S30" s="25" t="n">
        <v>0.04</v>
      </c>
      <c r="T30" s="25" t="n">
        <v>0.18</v>
      </c>
      <c r="U30" s="42" t="inlineStr">
        <is>
          <t>Tier 1A (Direct Coloc, &lt;1 km)</t>
        </is>
      </c>
      <c r="V30" s="24" t="n">
        <v>100</v>
      </c>
      <c r="W30" s="24" t="n">
        <v>100</v>
      </c>
      <c r="X30" s="24" t="n">
        <v>58</v>
      </c>
      <c r="Y30" s="45">
        <f>ROUND((V30*'Methodology &amp; Assumptions'!$B$6)+(W30*'Methodology &amp; Assumptions'!$B$5)+(X30*'Methodology &amp; Assumptions'!$B$7), 2)</f>
        <v/>
      </c>
    </row>
    <row r="31" ht="19" customHeight="1">
      <c r="A31" s="35" t="n">
        <v>27</v>
      </c>
      <c r="B31" s="35" t="n">
        <v>27</v>
      </c>
      <c r="C31" s="36" t="inlineStr">
        <is>
          <t>0403430001</t>
        </is>
      </c>
      <c r="D31" s="36" t="inlineStr">
        <is>
          <t>Region IV-A (CALABARZON)</t>
        </is>
      </c>
      <c r="E31" s="36" t="inlineStr">
        <is>
          <t>Laguna</t>
        </is>
      </c>
      <c r="F31" s="36" t="inlineStr">
        <is>
          <t>Victoria</t>
        </is>
      </c>
      <c r="G31" s="36" t="inlineStr">
        <is>
          <t>Banca-banca</t>
        </is>
      </c>
      <c r="H31" s="37" t="n">
        <v>14.20751</v>
      </c>
      <c r="I31" s="37" t="n">
        <v>121.350057</v>
      </c>
      <c r="J31" s="8" t="inlineStr">
        <is>
          <t>R</t>
        </is>
      </c>
      <c r="K31" s="36" t="inlineStr">
        <is>
          <t>2nd</t>
        </is>
      </c>
      <c r="L31" s="18" t="n">
        <v>3905</v>
      </c>
      <c r="M31" s="20" t="n">
        <v>3.63</v>
      </c>
      <c r="N31" s="18">
        <f>ROUND(L31/M31, 0)</f>
        <v/>
      </c>
      <c r="O31" s="18">
        <f>ROUND(N31*'Methodology &amp; Assumptions'!$B$8, 0)</f>
        <v/>
      </c>
      <c r="P31" s="8" t="inlineStr">
        <is>
          <t>Band n50 (1.5 GHz, 60 MHz)</t>
        </is>
      </c>
      <c r="Q31" s="38">
        <f>ROUNDUP(O31/'Methodology &amp; Assumptions'!$B$9, 0)</f>
        <v/>
      </c>
      <c r="R31" s="39" t="n">
        <v>1</v>
      </c>
      <c r="S31" s="21" t="n">
        <v>0.3</v>
      </c>
      <c r="T31" s="21" t="n">
        <v>0.01</v>
      </c>
      <c r="U31" s="36" t="inlineStr">
        <is>
          <t>Tier 1A (Direct Coloc, &lt;1 km)</t>
        </is>
      </c>
      <c r="V31" s="20" t="n">
        <v>100</v>
      </c>
      <c r="W31" s="20" t="n">
        <v>100</v>
      </c>
      <c r="X31" s="20" t="n">
        <v>58</v>
      </c>
      <c r="Y31" s="40">
        <f>ROUND((V31*'Methodology &amp; Assumptions'!$B$6)+(W31*'Methodology &amp; Assumptions'!$B$5)+(X31*'Methodology &amp; Assumptions'!$B$7), 2)</f>
        <v/>
      </c>
    </row>
    <row r="32" ht="19" customHeight="1">
      <c r="A32" s="41" t="n">
        <v>28</v>
      </c>
      <c r="B32" s="41" t="n">
        <v>28</v>
      </c>
      <c r="C32" s="42" t="inlineStr">
        <is>
          <t>1004301010</t>
        </is>
      </c>
      <c r="D32" s="42" t="inlineStr">
        <is>
          <t>Region X (Northern Mindanao)</t>
        </is>
      </c>
      <c r="E32" s="42" t="inlineStr">
        <is>
          <t>Misamis Oriental</t>
        </is>
      </c>
      <c r="F32" s="42" t="inlineStr">
        <is>
          <t>Alubijid</t>
        </is>
      </c>
      <c r="G32" s="42" t="inlineStr">
        <is>
          <t>Poblacion</t>
        </is>
      </c>
      <c r="H32" s="43" t="n">
        <v>8.570379000000001</v>
      </c>
      <c r="I32" s="43" t="n">
        <v>124.473505</v>
      </c>
      <c r="J32" s="44" t="inlineStr">
        <is>
          <t>R</t>
        </is>
      </c>
      <c r="K32" s="42" t="inlineStr">
        <is>
          <t>1st</t>
        </is>
      </c>
      <c r="L32" s="23" t="n">
        <v>3680</v>
      </c>
      <c r="M32" s="24" t="n">
        <v>3.84</v>
      </c>
      <c r="N32" s="23">
        <f>ROUND(L32/M32, 0)</f>
        <v/>
      </c>
      <c r="O32" s="23">
        <f>ROUND(N32*'Methodology &amp; Assumptions'!$B$8, 0)</f>
        <v/>
      </c>
      <c r="P32" s="44" t="inlineStr">
        <is>
          <t>Band n50 (1.5 GHz, 60 MHz)</t>
        </is>
      </c>
      <c r="Q32" s="38">
        <f>ROUNDUP(O32/'Methodology &amp; Assumptions'!$B$9, 0)</f>
        <v/>
      </c>
      <c r="R32" s="39" t="n">
        <v>1</v>
      </c>
      <c r="S32" s="25" t="n">
        <v>0.15</v>
      </c>
      <c r="T32" s="25" t="n">
        <v>0.37</v>
      </c>
      <c r="U32" s="42" t="inlineStr">
        <is>
          <t>Tier 1A (Direct Coloc, &lt;1 km)</t>
        </is>
      </c>
      <c r="V32" s="24" t="n">
        <v>100</v>
      </c>
      <c r="W32" s="24" t="n">
        <v>100</v>
      </c>
      <c r="X32" s="24" t="n">
        <v>58</v>
      </c>
      <c r="Y32" s="45">
        <f>ROUND((V32*'Methodology &amp; Assumptions'!$B$6)+(W32*'Methodology &amp; Assumptions'!$B$5)+(X32*'Methodology &amp; Assumptions'!$B$7), 2)</f>
        <v/>
      </c>
    </row>
    <row r="33" ht="19" customHeight="1">
      <c r="A33" s="35" t="n">
        <v>29</v>
      </c>
      <c r="B33" s="35" t="n">
        <v>29</v>
      </c>
      <c r="C33" s="36" t="inlineStr">
        <is>
          <t>0307104012</t>
        </is>
      </c>
      <c r="D33" s="36" t="inlineStr">
        <is>
          <t>Region III (Central Luzon)</t>
        </is>
      </c>
      <c r="E33" s="36" t="inlineStr">
        <is>
          <t>Zambales</t>
        </is>
      </c>
      <c r="F33" s="36" t="inlineStr">
        <is>
          <t>Castillejos</t>
        </is>
      </c>
      <c r="G33" s="36" t="inlineStr">
        <is>
          <t>San Nicolas</t>
        </is>
      </c>
      <c r="H33" s="37" t="n">
        <v>14.92694</v>
      </c>
      <c r="I33" s="37" t="n">
        <v>120.2015</v>
      </c>
      <c r="J33" s="8" t="inlineStr">
        <is>
          <t>R</t>
        </is>
      </c>
      <c r="K33" s="36" t="inlineStr">
        <is>
          <t>Class 1-3 / Urban</t>
        </is>
      </c>
      <c r="L33" s="18" t="n">
        <v>4388</v>
      </c>
      <c r="M33" s="20" t="n">
        <v>4.05</v>
      </c>
      <c r="N33" s="18">
        <f>ROUND(L33/M33, 0)</f>
        <v/>
      </c>
      <c r="O33" s="18">
        <f>ROUND(N33*'Methodology &amp; Assumptions'!$B$8, 0)</f>
        <v/>
      </c>
      <c r="P33" s="8" t="inlineStr">
        <is>
          <t>Band n50 (1.5 GHz, 60 MHz)</t>
        </is>
      </c>
      <c r="Q33" s="38">
        <f>ROUNDUP(O33/'Methodology &amp; Assumptions'!$B$9, 0)</f>
        <v/>
      </c>
      <c r="R33" s="39" t="n">
        <v>1</v>
      </c>
      <c r="S33" s="21" t="n">
        <v>0.32</v>
      </c>
      <c r="T33" s="21" t="n">
        <v>0.33</v>
      </c>
      <c r="U33" s="36" t="inlineStr">
        <is>
          <t>Tier 1A (Direct Coloc, &lt;1 km)</t>
        </is>
      </c>
      <c r="V33" s="20" t="n">
        <v>99.90000000000001</v>
      </c>
      <c r="W33" s="20" t="n">
        <v>100</v>
      </c>
      <c r="X33" s="20" t="n">
        <v>58</v>
      </c>
      <c r="Y33" s="40">
        <f>ROUND((V33*'Methodology &amp; Assumptions'!$B$6)+(W33*'Methodology &amp; Assumptions'!$B$5)+(X33*'Methodology &amp; Assumptions'!$B$7), 2)</f>
        <v/>
      </c>
    </row>
    <row r="34" ht="19" customHeight="1">
      <c r="A34" s="41" t="n">
        <v>30</v>
      </c>
      <c r="B34" s="41" t="n">
        <v>30</v>
      </c>
      <c r="C34" s="42" t="inlineStr">
        <is>
          <t>0604527002</t>
        </is>
      </c>
      <c r="D34" s="42" t="inlineStr">
        <is>
          <t>Region VI (Western Visayas)</t>
        </is>
      </c>
      <c r="E34" s="42" t="inlineStr">
        <is>
          <t>Negros Occidental</t>
        </is>
      </c>
      <c r="F34" s="42" t="inlineStr">
        <is>
          <t>City of Sipalay</t>
        </is>
      </c>
      <c r="G34" s="42" t="inlineStr">
        <is>
          <t>Barangay 2</t>
        </is>
      </c>
      <c r="H34" s="43" t="n">
        <v>9.747058000000001</v>
      </c>
      <c r="I34" s="43" t="n">
        <v>122.400781</v>
      </c>
      <c r="J34" s="44" t="inlineStr">
        <is>
          <t>R</t>
        </is>
      </c>
      <c r="K34" s="42" t="inlineStr">
        <is>
          <t>Class 1-3 / Urban</t>
        </is>
      </c>
      <c r="L34" s="23" t="n">
        <v>4087</v>
      </c>
      <c r="M34" s="24" t="n">
        <v>4.33</v>
      </c>
      <c r="N34" s="23">
        <f>ROUND(L34/M34, 0)</f>
        <v/>
      </c>
      <c r="O34" s="23">
        <f>ROUND(N34*'Methodology &amp; Assumptions'!$B$8, 0)</f>
        <v/>
      </c>
      <c r="P34" s="44" t="inlineStr">
        <is>
          <t>Band n50 (1.5 GHz, 60 MHz)</t>
        </is>
      </c>
      <c r="Q34" s="38">
        <f>ROUNDUP(O34/'Methodology &amp; Assumptions'!$B$9, 0)</f>
        <v/>
      </c>
      <c r="R34" s="39" t="n">
        <v>1</v>
      </c>
      <c r="S34" s="25" t="n">
        <v>0.28</v>
      </c>
      <c r="T34" s="25" t="n">
        <v>0.33</v>
      </c>
      <c r="U34" s="42" t="inlineStr">
        <is>
          <t>Tier 1A (Direct Coloc, &lt;1 km)</t>
        </is>
      </c>
      <c r="V34" s="24" t="n">
        <v>100</v>
      </c>
      <c r="W34" s="24" t="n">
        <v>99.5</v>
      </c>
      <c r="X34" s="24" t="n">
        <v>58</v>
      </c>
      <c r="Y34" s="45">
        <f>ROUND((V34*'Methodology &amp; Assumptions'!$B$6)+(W34*'Methodology &amp; Assumptions'!$B$5)+(X34*'Methodology &amp; Assumptions'!$B$7), 2)</f>
        <v/>
      </c>
    </row>
    <row r="35" ht="19" customHeight="1">
      <c r="A35" s="35" t="n">
        <v>31</v>
      </c>
      <c r="B35" s="35" t="n">
        <v>31</v>
      </c>
      <c r="C35" s="36" t="inlineStr">
        <is>
          <t>0402106072</t>
        </is>
      </c>
      <c r="D35" s="36" t="inlineStr">
        <is>
          <t>Region IV-A (CALABARZON)</t>
        </is>
      </c>
      <c r="E35" s="36" t="inlineStr">
        <is>
          <t>Cavite</t>
        </is>
      </c>
      <c r="F35" s="36" t="inlineStr">
        <is>
          <t>City of Dasmariñas</t>
        </is>
      </c>
      <c r="G35" s="36" t="inlineStr">
        <is>
          <t>San Luis II</t>
        </is>
      </c>
      <c r="H35" s="37" t="n">
        <v>14.312847</v>
      </c>
      <c r="I35" s="37" t="n">
        <v>120.962602</v>
      </c>
      <c r="J35" s="8" t="inlineStr">
        <is>
          <t>R</t>
        </is>
      </c>
      <c r="K35" s="36" t="inlineStr">
        <is>
          <t>Class 1-3 / Urban</t>
        </is>
      </c>
      <c r="L35" s="18" t="n">
        <v>4336</v>
      </c>
      <c r="M35" s="20" t="n">
        <v>4.49</v>
      </c>
      <c r="N35" s="18">
        <f>ROUND(L35/M35, 0)</f>
        <v/>
      </c>
      <c r="O35" s="18">
        <f>ROUND(N35*'Methodology &amp; Assumptions'!$B$8, 0)</f>
        <v/>
      </c>
      <c r="P35" s="8" t="inlineStr">
        <is>
          <t>Band n50 (1.5 GHz, 60 MHz)</t>
        </is>
      </c>
      <c r="Q35" s="38">
        <f>ROUNDUP(O35/'Methodology &amp; Assumptions'!$B$9, 0)</f>
        <v/>
      </c>
      <c r="R35" s="39" t="n">
        <v>1</v>
      </c>
      <c r="S35" s="21" t="n">
        <v>0.34</v>
      </c>
      <c r="T35" s="21" t="n">
        <v>1.54</v>
      </c>
      <c r="U35" s="36" t="inlineStr">
        <is>
          <t>Tier 1A (Direct Coloc, &lt;1 km)</t>
        </is>
      </c>
      <c r="V35" s="20" t="n">
        <v>99.40000000000001</v>
      </c>
      <c r="W35" s="20" t="n">
        <v>100</v>
      </c>
      <c r="X35" s="20" t="n">
        <v>58</v>
      </c>
      <c r="Y35" s="40">
        <f>ROUND((V35*'Methodology &amp; Assumptions'!$B$6)+(W35*'Methodology &amp; Assumptions'!$B$5)+(X35*'Methodology &amp; Assumptions'!$B$7), 2)</f>
        <v/>
      </c>
    </row>
    <row r="36" ht="19" customHeight="1">
      <c r="A36" s="41" t="n">
        <v>32</v>
      </c>
      <c r="B36" s="41" t="n">
        <v>32</v>
      </c>
      <c r="C36" s="42" t="inlineStr">
        <is>
          <t>0604531010</t>
        </is>
      </c>
      <c r="D36" s="42" t="inlineStr">
        <is>
          <t>Region VI (Western Visayas)</t>
        </is>
      </c>
      <c r="E36" s="42" t="inlineStr">
        <is>
          <t>Negros Occidental</t>
        </is>
      </c>
      <c r="F36" s="42" t="inlineStr">
        <is>
          <t>City of Victorias</t>
        </is>
      </c>
      <c r="G36" s="42" t="inlineStr">
        <is>
          <t>Barangay VII</t>
        </is>
      </c>
      <c r="H36" s="43" t="n">
        <v>10.89671</v>
      </c>
      <c r="I36" s="43" t="n">
        <v>123.075138</v>
      </c>
      <c r="J36" s="44" t="inlineStr">
        <is>
          <t>R</t>
        </is>
      </c>
      <c r="K36" s="42" t="inlineStr">
        <is>
          <t>Class 1-3 / Urban</t>
        </is>
      </c>
      <c r="L36" s="23" t="n">
        <v>3799</v>
      </c>
      <c r="M36" s="24" t="n">
        <v>4.33</v>
      </c>
      <c r="N36" s="23">
        <f>ROUND(L36/M36, 0)</f>
        <v/>
      </c>
      <c r="O36" s="23">
        <f>ROUND(N36*'Methodology &amp; Assumptions'!$B$8, 0)</f>
        <v/>
      </c>
      <c r="P36" s="44" t="inlineStr">
        <is>
          <t>Band n50 (1.5 GHz, 60 MHz)</t>
        </is>
      </c>
      <c r="Q36" s="38">
        <f>ROUNDUP(O36/'Methodology &amp; Assumptions'!$B$9, 0)</f>
        <v/>
      </c>
      <c r="R36" s="39" t="n">
        <v>1</v>
      </c>
      <c r="S36" s="25" t="n">
        <v>0.58</v>
      </c>
      <c r="T36" s="25" t="n">
        <v>0.34</v>
      </c>
      <c r="U36" s="42" t="inlineStr">
        <is>
          <t>Tier 1A (Direct Coloc, &lt;1 km)</t>
        </is>
      </c>
      <c r="V36" s="24" t="n">
        <v>92.3</v>
      </c>
      <c r="W36" s="24" t="n">
        <v>94.09999999999999</v>
      </c>
      <c r="X36" s="24" t="n">
        <v>73</v>
      </c>
      <c r="Y36" s="45">
        <f>ROUND((V36*'Methodology &amp; Assumptions'!$B$6)+(W36*'Methodology &amp; Assumptions'!$B$5)+(X36*'Methodology &amp; Assumptions'!$B$7), 2)</f>
        <v/>
      </c>
    </row>
    <row r="37" ht="19" customHeight="1">
      <c r="A37" s="35" t="n">
        <v>33</v>
      </c>
      <c r="B37" s="35" t="n">
        <v>33</v>
      </c>
      <c r="C37" s="36" t="inlineStr">
        <is>
          <t>0603034020</t>
        </is>
      </c>
      <c r="D37" s="36" t="inlineStr">
        <is>
          <t>Region VI (Western Visayas)</t>
        </is>
      </c>
      <c r="E37" s="36" t="inlineStr">
        <is>
          <t>Iloilo</t>
        </is>
      </c>
      <c r="F37" s="36" t="inlineStr">
        <is>
          <t>Oton</t>
        </is>
      </c>
      <c r="G37" s="36" t="inlineStr">
        <is>
          <t>Poblacion East</t>
        </is>
      </c>
      <c r="H37" s="37" t="n">
        <v>10.690097</v>
      </c>
      <c r="I37" s="37" t="n">
        <v>122.481412</v>
      </c>
      <c r="J37" s="8" t="inlineStr">
        <is>
          <t>R</t>
        </is>
      </c>
      <c r="K37" s="36" t="inlineStr">
        <is>
          <t>Class 1-3 / Urban</t>
        </is>
      </c>
      <c r="L37" s="18" t="n">
        <v>4239</v>
      </c>
      <c r="M37" s="20" t="n">
        <v>4.39</v>
      </c>
      <c r="N37" s="18">
        <f>ROUND(L37/M37, 0)</f>
        <v/>
      </c>
      <c r="O37" s="18">
        <f>ROUND(N37*'Methodology &amp; Assumptions'!$B$8, 0)</f>
        <v/>
      </c>
      <c r="P37" s="8" t="inlineStr">
        <is>
          <t>Band n50 (1.5 GHz, 60 MHz)</t>
        </is>
      </c>
      <c r="Q37" s="38">
        <f>ROUNDUP(O37/'Methodology &amp; Assumptions'!$B$9, 0)</f>
        <v/>
      </c>
      <c r="R37" s="39" t="n">
        <v>1</v>
      </c>
      <c r="S37" s="21" t="n">
        <v>0.35</v>
      </c>
      <c r="T37" s="21" t="n">
        <v>0.34</v>
      </c>
      <c r="U37" s="36" t="inlineStr">
        <is>
          <t>Tier 1A (Direct Coloc, &lt;1 km)</t>
        </is>
      </c>
      <c r="V37" s="20" t="n">
        <v>99.09999999999999</v>
      </c>
      <c r="W37" s="20" t="n">
        <v>100</v>
      </c>
      <c r="X37" s="20" t="n">
        <v>58</v>
      </c>
      <c r="Y37" s="40">
        <f>ROUND((V37*'Methodology &amp; Assumptions'!$B$6)+(W37*'Methodology &amp; Assumptions'!$B$5)+(X37*'Methodology &amp; Assumptions'!$B$7), 2)</f>
        <v/>
      </c>
    </row>
    <row r="38" ht="19" customHeight="1">
      <c r="A38" s="41" t="n">
        <v>34</v>
      </c>
      <c r="B38" s="41" t="n">
        <v>34</v>
      </c>
      <c r="C38" s="42" t="inlineStr">
        <is>
          <t>1004326011</t>
        </is>
      </c>
      <c r="D38" s="42" t="inlineStr">
        <is>
          <t>Region X (Northern Mindanao)</t>
        </is>
      </c>
      <c r="E38" s="42" t="inlineStr">
        <is>
          <t>Misamis Oriental</t>
        </is>
      </c>
      <c r="F38" s="42" t="inlineStr">
        <is>
          <t>Villanueva</t>
        </is>
      </c>
      <c r="G38" s="42" t="inlineStr">
        <is>
          <t>Looc</t>
        </is>
      </c>
      <c r="H38" s="43" t="n">
        <v>8.591803000000001</v>
      </c>
      <c r="I38" s="43" t="n">
        <v>124.772611</v>
      </c>
      <c r="J38" s="44" t="inlineStr">
        <is>
          <t>R</t>
        </is>
      </c>
      <c r="K38" s="42" t="inlineStr">
        <is>
          <t>Class 1-3 / Urban</t>
        </is>
      </c>
      <c r="L38" s="23" t="n">
        <v>4911</v>
      </c>
      <c r="M38" s="24" t="n">
        <v>4.54</v>
      </c>
      <c r="N38" s="23">
        <f>ROUND(L38/M38, 0)</f>
        <v/>
      </c>
      <c r="O38" s="23">
        <f>ROUND(N38*'Methodology &amp; Assumptions'!$B$8, 0)</f>
        <v/>
      </c>
      <c r="P38" s="44" t="inlineStr">
        <is>
          <t>Band n50 (1.5 GHz, 60 MHz)</t>
        </is>
      </c>
      <c r="Q38" s="38">
        <f>ROUNDUP(O38/'Methodology &amp; Assumptions'!$B$9, 0)</f>
        <v/>
      </c>
      <c r="R38" s="39" t="n">
        <v>1</v>
      </c>
      <c r="S38" s="25" t="n">
        <v>0.35</v>
      </c>
      <c r="T38" s="25" t="n">
        <v>0.24</v>
      </c>
      <c r="U38" s="42" t="inlineStr">
        <is>
          <t>Tier 1A (Direct Coloc, &lt;1 km)</t>
        </is>
      </c>
      <c r="V38" s="24" t="n">
        <v>98.90000000000001</v>
      </c>
      <c r="W38" s="24" t="n">
        <v>100</v>
      </c>
      <c r="X38" s="24" t="n">
        <v>58</v>
      </c>
      <c r="Y38" s="45">
        <f>ROUND((V38*'Methodology &amp; Assumptions'!$B$6)+(W38*'Methodology &amp; Assumptions'!$B$5)+(X38*'Methodology &amp; Assumptions'!$B$7), 2)</f>
        <v/>
      </c>
    </row>
    <row r="39" ht="19" customHeight="1">
      <c r="A39" s="35" t="n">
        <v>35</v>
      </c>
      <c r="B39" s="35" t="n">
        <v>35</v>
      </c>
      <c r="C39" s="36" t="inlineStr">
        <is>
          <t>1600210011</t>
        </is>
      </c>
      <c r="D39" s="36" t="inlineStr">
        <is>
          <t>Region XIII (Caraga)</t>
        </is>
      </c>
      <c r="E39" s="36" t="inlineStr">
        <is>
          <t>Agusan del Norte</t>
        </is>
      </c>
      <c r="F39" s="36" t="inlineStr">
        <is>
          <t>Santiago</t>
        </is>
      </c>
      <c r="G39" s="36" t="inlineStr">
        <is>
          <t>Poblacion II</t>
        </is>
      </c>
      <c r="H39" s="37" t="n">
        <v>9.267310999999999</v>
      </c>
      <c r="I39" s="37" t="n">
        <v>125.558066</v>
      </c>
      <c r="J39" s="8" t="inlineStr">
        <is>
          <t>R</t>
        </is>
      </c>
      <c r="K39" s="36" t="inlineStr">
        <is>
          <t>1st</t>
        </is>
      </c>
      <c r="L39" s="18" t="n">
        <v>4785</v>
      </c>
      <c r="M39" s="20" t="n">
        <v>5.11</v>
      </c>
      <c r="N39" s="18">
        <f>ROUND(L39/M39, 0)</f>
        <v/>
      </c>
      <c r="O39" s="18">
        <f>ROUND(N39*'Methodology &amp; Assumptions'!$B$8, 0)</f>
        <v/>
      </c>
      <c r="P39" s="8" t="inlineStr">
        <is>
          <t>Band n50 (1.5 GHz, 60 MHz)</t>
        </is>
      </c>
      <c r="Q39" s="38">
        <f>ROUNDUP(O39/'Methodology &amp; Assumptions'!$B$9, 0)</f>
        <v/>
      </c>
      <c r="R39" s="39" t="n">
        <v>1</v>
      </c>
      <c r="S39" s="21" t="n">
        <v>0.16</v>
      </c>
      <c r="T39" s="21" t="n">
        <v>0.08</v>
      </c>
      <c r="U39" s="36" t="inlineStr">
        <is>
          <t>Tier 1A (Direct Coloc, &lt;1 km)</t>
        </is>
      </c>
      <c r="V39" s="20" t="n">
        <v>100</v>
      </c>
      <c r="W39" s="20" t="n">
        <v>98.90000000000001</v>
      </c>
      <c r="X39" s="20" t="n">
        <v>58</v>
      </c>
      <c r="Y39" s="40">
        <f>ROUND((V39*'Methodology &amp; Assumptions'!$B$6)+(W39*'Methodology &amp; Assumptions'!$B$5)+(X39*'Methodology &amp; Assumptions'!$B$7), 2)</f>
        <v/>
      </c>
    </row>
    <row r="40" ht="19" customHeight="1">
      <c r="A40" s="41" t="n">
        <v>36</v>
      </c>
      <c r="B40" s="41" t="n">
        <v>36</v>
      </c>
      <c r="C40" s="42" t="inlineStr">
        <is>
          <t>0506206029</t>
        </is>
      </c>
      <c r="D40" s="42" t="inlineStr">
        <is>
          <t>Region V (Bicol Region)</t>
        </is>
      </c>
      <c r="E40" s="42" t="inlineStr">
        <is>
          <t>Sorsogon</t>
        </is>
      </c>
      <c r="F40" s="42" t="inlineStr">
        <is>
          <t>Castilla</t>
        </is>
      </c>
      <c r="G40" s="42" t="inlineStr">
        <is>
          <t>San Isidro</t>
        </is>
      </c>
      <c r="H40" s="43" t="n">
        <v>12.974535</v>
      </c>
      <c r="I40" s="43" t="n">
        <v>123.842798</v>
      </c>
      <c r="J40" s="44" t="inlineStr">
        <is>
          <t>R</t>
        </is>
      </c>
      <c r="K40" s="42" t="inlineStr">
        <is>
          <t>Class 1-3 / Urban</t>
        </is>
      </c>
      <c r="L40" s="23" t="n">
        <v>4292</v>
      </c>
      <c r="M40" s="24" t="n">
        <v>4.58</v>
      </c>
      <c r="N40" s="23">
        <f>ROUND(L40/M40, 0)</f>
        <v/>
      </c>
      <c r="O40" s="23">
        <f>ROUND(N40*'Methodology &amp; Assumptions'!$B$8, 0)</f>
        <v/>
      </c>
      <c r="P40" s="44" t="inlineStr">
        <is>
          <t>Band n50 (1.5 GHz, 60 MHz)</t>
        </is>
      </c>
      <c r="Q40" s="38">
        <f>ROUNDUP(O40/'Methodology &amp; Assumptions'!$B$9, 0)</f>
        <v/>
      </c>
      <c r="R40" s="39" t="n">
        <v>1</v>
      </c>
      <c r="S40" s="25" t="n">
        <v>0.02</v>
      </c>
      <c r="T40" s="25" t="n">
        <v>0.03</v>
      </c>
      <c r="U40" s="42" t="inlineStr">
        <is>
          <t>Tier 1A (Direct Coloc, &lt;1 km)</t>
        </is>
      </c>
      <c r="V40" s="24" t="n">
        <v>100</v>
      </c>
      <c r="W40" s="24" t="n">
        <v>98.90000000000001</v>
      </c>
      <c r="X40" s="24" t="n">
        <v>58</v>
      </c>
      <c r="Y40" s="45">
        <f>ROUND((V40*'Methodology &amp; Assumptions'!$B$6)+(W40*'Methodology &amp; Assumptions'!$B$5)+(X40*'Methodology &amp; Assumptions'!$B$7), 2)</f>
        <v/>
      </c>
    </row>
    <row r="41" ht="19" customHeight="1">
      <c r="A41" s="35" t="n">
        <v>37</v>
      </c>
      <c r="B41" s="35" t="n">
        <v>37</v>
      </c>
      <c r="C41" s="36" t="inlineStr">
        <is>
          <t>0105535008</t>
        </is>
      </c>
      <c r="D41" s="36" t="inlineStr">
        <is>
          <t>Region I (Ilocos Region)</t>
        </is>
      </c>
      <c r="E41" s="36" t="inlineStr">
        <is>
          <t>Pangasinan</t>
        </is>
      </c>
      <c r="F41" s="36" t="inlineStr">
        <is>
          <t>San Manuel</t>
        </is>
      </c>
      <c r="G41" s="36" t="inlineStr">
        <is>
          <t>Guiset Sur</t>
        </is>
      </c>
      <c r="H41" s="37" t="n">
        <v>16.063455</v>
      </c>
      <c r="I41" s="37" t="n">
        <v>120.666412</v>
      </c>
      <c r="J41" s="8" t="inlineStr">
        <is>
          <t>R</t>
        </is>
      </c>
      <c r="K41" s="36" t="inlineStr">
        <is>
          <t>Class 1-3 / Urban</t>
        </is>
      </c>
      <c r="L41" s="18" t="n">
        <v>4821</v>
      </c>
      <c r="M41" s="20" t="n">
        <v>4.39</v>
      </c>
      <c r="N41" s="18">
        <f>ROUND(L41/M41, 0)</f>
        <v/>
      </c>
      <c r="O41" s="18">
        <f>ROUND(N41*'Methodology &amp; Assumptions'!$B$8, 0)</f>
        <v/>
      </c>
      <c r="P41" s="8" t="inlineStr">
        <is>
          <t>Band n50 (1.5 GHz, 60 MHz)</t>
        </is>
      </c>
      <c r="Q41" s="38">
        <f>ROUNDUP(O41/'Methodology &amp; Assumptions'!$B$9, 0)</f>
        <v/>
      </c>
      <c r="R41" s="39" t="n">
        <v>1</v>
      </c>
      <c r="S41" s="21" t="n">
        <v>0.36</v>
      </c>
      <c r="T41" s="21" t="n">
        <v>0.45</v>
      </c>
      <c r="U41" s="36" t="inlineStr">
        <is>
          <t>Tier 1A (Direct Coloc, &lt;1 km)</t>
        </is>
      </c>
      <c r="V41" s="20" t="n">
        <v>98.7</v>
      </c>
      <c r="W41" s="20" t="n">
        <v>100</v>
      </c>
      <c r="X41" s="20" t="n">
        <v>58</v>
      </c>
      <c r="Y41" s="40">
        <f>ROUND((V41*'Methodology &amp; Assumptions'!$B$6)+(W41*'Methodology &amp; Assumptions'!$B$5)+(X41*'Methodology &amp; Assumptions'!$B$7), 2)</f>
        <v/>
      </c>
    </row>
    <row r="42" ht="19" customHeight="1">
      <c r="A42" s="41" t="n">
        <v>38</v>
      </c>
      <c r="B42" s="41" t="n">
        <v>38</v>
      </c>
      <c r="C42" s="42" t="inlineStr">
        <is>
          <t>0600401011</t>
        </is>
      </c>
      <c r="D42" s="42" t="inlineStr">
        <is>
          <t>Region VI (Western Visayas)</t>
        </is>
      </c>
      <c r="E42" s="42" t="inlineStr">
        <is>
          <t>Aklan</t>
        </is>
      </c>
      <c r="F42" s="42" t="inlineStr">
        <is>
          <t>Altavas</t>
        </is>
      </c>
      <c r="G42" s="42" t="inlineStr">
        <is>
          <t>Poblacion</t>
        </is>
      </c>
      <c r="H42" s="43" t="n">
        <v>11.53731</v>
      </c>
      <c r="I42" s="43" t="n">
        <v>122.48746</v>
      </c>
      <c r="J42" s="44" t="inlineStr">
        <is>
          <t>R</t>
        </is>
      </c>
      <c r="K42" s="42" t="inlineStr">
        <is>
          <t>3rd</t>
        </is>
      </c>
      <c r="L42" s="23" t="n">
        <v>4652</v>
      </c>
      <c r="M42" s="24" t="n">
        <v>4.1</v>
      </c>
      <c r="N42" s="23">
        <f>ROUND(L42/M42, 0)</f>
        <v/>
      </c>
      <c r="O42" s="23">
        <f>ROUND(N42*'Methodology &amp; Assumptions'!$B$8, 0)</f>
        <v/>
      </c>
      <c r="P42" s="44" t="inlineStr">
        <is>
          <t>Band n50 (1.5 GHz, 60 MHz)</t>
        </is>
      </c>
      <c r="Q42" s="38">
        <f>ROUNDUP(O42/'Methodology &amp; Assumptions'!$B$9, 0)</f>
        <v/>
      </c>
      <c r="R42" s="39" t="n">
        <v>1</v>
      </c>
      <c r="S42" s="25" t="n">
        <v>0.36</v>
      </c>
      <c r="T42" s="25" t="n">
        <v>0.24</v>
      </c>
      <c r="U42" s="42" t="inlineStr">
        <is>
          <t>Tier 1A (Direct Coloc, &lt;1 km)</t>
        </is>
      </c>
      <c r="V42" s="24" t="n">
        <v>98.7</v>
      </c>
      <c r="W42" s="24" t="n">
        <v>100</v>
      </c>
      <c r="X42" s="24" t="n">
        <v>58</v>
      </c>
      <c r="Y42" s="45">
        <f>ROUND((V42*'Methodology &amp; Assumptions'!$B$6)+(W42*'Methodology &amp; Assumptions'!$B$5)+(X42*'Methodology &amp; Assumptions'!$B$7), 2)</f>
        <v/>
      </c>
    </row>
    <row r="43" ht="19" customHeight="1">
      <c r="A43" s="35" t="n">
        <v>39</v>
      </c>
      <c r="B43" s="35" t="n">
        <v>39</v>
      </c>
      <c r="C43" s="36" t="inlineStr">
        <is>
          <t>0501705020</t>
        </is>
      </c>
      <c r="D43" s="36" t="inlineStr">
        <is>
          <t>Region V (Bicol Region)</t>
        </is>
      </c>
      <c r="E43" s="36" t="inlineStr">
        <is>
          <t>Camarines Sur</t>
        </is>
      </c>
      <c r="F43" s="36" t="inlineStr">
        <is>
          <t>Buhi</t>
        </is>
      </c>
      <c r="G43" s="36" t="inlineStr">
        <is>
          <t>Sagrada Familia</t>
        </is>
      </c>
      <c r="H43" s="37" t="n">
        <v>13.416626</v>
      </c>
      <c r="I43" s="37" t="n">
        <v>123.514645</v>
      </c>
      <c r="J43" s="8" t="inlineStr">
        <is>
          <t>R</t>
        </is>
      </c>
      <c r="K43" s="36" t="inlineStr">
        <is>
          <t>Class 1-3 / Urban</t>
        </is>
      </c>
      <c r="L43" s="18" t="n">
        <v>4577</v>
      </c>
      <c r="M43" s="20" t="n">
        <v>4.9</v>
      </c>
      <c r="N43" s="18">
        <f>ROUND(L43/M43, 0)</f>
        <v/>
      </c>
      <c r="O43" s="18">
        <f>ROUND(N43*'Methodology &amp; Assumptions'!$B$8, 0)</f>
        <v/>
      </c>
      <c r="P43" s="8" t="inlineStr">
        <is>
          <t>Band n50 (1.5 GHz, 60 MHz)</t>
        </is>
      </c>
      <c r="Q43" s="38">
        <f>ROUNDUP(O43/'Methodology &amp; Assumptions'!$B$9, 0)</f>
        <v/>
      </c>
      <c r="R43" s="39" t="n">
        <v>1</v>
      </c>
      <c r="S43" s="21" t="n">
        <v>0.08</v>
      </c>
      <c r="T43" s="21" t="n">
        <v>0.34</v>
      </c>
      <c r="U43" s="36" t="inlineStr">
        <is>
          <t>Tier 1A (Direct Coloc, &lt;1 km)</t>
        </is>
      </c>
      <c r="V43" s="20" t="n">
        <v>100</v>
      </c>
      <c r="W43" s="20" t="n">
        <v>98.7</v>
      </c>
      <c r="X43" s="20" t="n">
        <v>58</v>
      </c>
      <c r="Y43" s="40">
        <f>ROUND((V43*'Methodology &amp; Assumptions'!$B$6)+(W43*'Methodology &amp; Assumptions'!$B$5)+(X43*'Methodology &amp; Assumptions'!$B$7), 2)</f>
        <v/>
      </c>
    </row>
    <row r="44" ht="19" customHeight="1">
      <c r="A44" s="41" t="n">
        <v>40</v>
      </c>
      <c r="B44" s="41" t="n">
        <v>40</v>
      </c>
      <c r="C44" s="42" t="inlineStr">
        <is>
          <t>0401010006</t>
        </is>
      </c>
      <c r="D44" s="42" t="inlineStr">
        <is>
          <t>Region IV-A (CALABARZON)</t>
        </is>
      </c>
      <c r="E44" s="42" t="inlineStr">
        <is>
          <t>Batangas</t>
        </is>
      </c>
      <c r="F44" s="42" t="inlineStr">
        <is>
          <t>Ibaan</t>
        </is>
      </c>
      <c r="G44" s="42" t="inlineStr">
        <is>
          <t>Coliat</t>
        </is>
      </c>
      <c r="H44" s="43" t="n">
        <v>13.8153</v>
      </c>
      <c r="I44" s="43" t="n">
        <v>121.1276</v>
      </c>
      <c r="J44" s="44" t="inlineStr">
        <is>
          <t>R</t>
        </is>
      </c>
      <c r="K44" s="42" t="inlineStr">
        <is>
          <t>Class 1-3 / Urban</t>
        </is>
      </c>
      <c r="L44" s="23" t="n">
        <v>4320</v>
      </c>
      <c r="M44" s="24" t="n">
        <v>4.62</v>
      </c>
      <c r="N44" s="23">
        <f>ROUND(L44/M44, 0)</f>
        <v/>
      </c>
      <c r="O44" s="23">
        <f>ROUND(N44*'Methodology &amp; Assumptions'!$B$8, 0)</f>
        <v/>
      </c>
      <c r="P44" s="44" t="inlineStr">
        <is>
          <t>Band n50 (1.5 GHz, 60 MHz)</t>
        </is>
      </c>
      <c r="Q44" s="38">
        <f>ROUNDUP(O44/'Methodology &amp; Assumptions'!$B$9, 0)</f>
        <v/>
      </c>
      <c r="R44" s="39" t="n">
        <v>1</v>
      </c>
      <c r="S44" s="25" t="n">
        <v>0.1</v>
      </c>
      <c r="T44" s="25" t="n">
        <v>0.07000000000000001</v>
      </c>
      <c r="U44" s="42" t="inlineStr">
        <is>
          <t>Tier 1A (Direct Coloc, &lt;1 km)</t>
        </is>
      </c>
      <c r="V44" s="24" t="n">
        <v>100</v>
      </c>
      <c r="W44" s="24" t="n">
        <v>98.7</v>
      </c>
      <c r="X44" s="24" t="n">
        <v>58</v>
      </c>
      <c r="Y44" s="45">
        <f>ROUND((V44*'Methodology &amp; Assumptions'!$B$6)+(W44*'Methodology &amp; Assumptions'!$B$5)+(X44*'Methodology &amp; Assumptions'!$B$7), 2)</f>
        <v/>
      </c>
    </row>
    <row r="45" ht="19" customHeight="1">
      <c r="A45" s="35" t="n">
        <v>41</v>
      </c>
      <c r="B45" s="35" t="n">
        <v>41</v>
      </c>
      <c r="C45" s="36" t="inlineStr">
        <is>
          <t>0306910001</t>
        </is>
      </c>
      <c r="D45" s="36" t="inlineStr">
        <is>
          <t>Region III (Central Luzon)</t>
        </is>
      </c>
      <c r="E45" s="36" t="inlineStr">
        <is>
          <t>Tarlac</t>
        </is>
      </c>
      <c r="F45" s="36" t="inlineStr">
        <is>
          <t>Paniqui</t>
        </is>
      </c>
      <c r="G45" s="36" t="inlineStr">
        <is>
          <t>Abogado</t>
        </is>
      </c>
      <c r="H45" s="37" t="n">
        <v>15.670833</v>
      </c>
      <c r="I45" s="37" t="n">
        <v>120.588889</v>
      </c>
      <c r="J45" s="8" t="inlineStr">
        <is>
          <t>R</t>
        </is>
      </c>
      <c r="K45" s="36" t="inlineStr">
        <is>
          <t>Class 1-3 / Urban</t>
        </is>
      </c>
      <c r="L45" s="18" t="n">
        <v>4612</v>
      </c>
      <c r="M45" s="20" t="n">
        <v>4.3</v>
      </c>
      <c r="N45" s="18">
        <f>ROUND(L45/M45, 0)</f>
        <v/>
      </c>
      <c r="O45" s="18">
        <f>ROUND(N45*'Methodology &amp; Assumptions'!$B$8, 0)</f>
        <v/>
      </c>
      <c r="P45" s="8" t="inlineStr">
        <is>
          <t>Band n50 (1.5 GHz, 60 MHz)</t>
        </is>
      </c>
      <c r="Q45" s="38">
        <f>ROUNDUP(O45/'Methodology &amp; Assumptions'!$B$9, 0)</f>
        <v/>
      </c>
      <c r="R45" s="39" t="n">
        <v>1</v>
      </c>
      <c r="S45" s="21" t="n">
        <v>0.37</v>
      </c>
      <c r="T45" s="21" t="n">
        <v>0.35</v>
      </c>
      <c r="U45" s="36" t="inlineStr">
        <is>
          <t>Tier 1A (Direct Coloc, &lt;1 km)</t>
        </is>
      </c>
      <c r="V45" s="20" t="n">
        <v>98.5</v>
      </c>
      <c r="W45" s="20" t="n">
        <v>100</v>
      </c>
      <c r="X45" s="20" t="n">
        <v>58</v>
      </c>
      <c r="Y45" s="40">
        <f>ROUND((V45*'Methodology &amp; Assumptions'!$B$6)+(W45*'Methodology &amp; Assumptions'!$B$5)+(X45*'Methodology &amp; Assumptions'!$B$7), 2)</f>
        <v/>
      </c>
    </row>
    <row r="46" ht="19" customHeight="1">
      <c r="A46" s="41" t="n">
        <v>42</v>
      </c>
      <c r="B46" s="41" t="n">
        <v>42</v>
      </c>
      <c r="C46" s="42" t="inlineStr">
        <is>
          <t>0307106011</t>
        </is>
      </c>
      <c r="D46" s="42" t="inlineStr">
        <is>
          <t>Region III (Central Luzon)</t>
        </is>
      </c>
      <c r="E46" s="42" t="inlineStr">
        <is>
          <t>Zambales</t>
        </is>
      </c>
      <c r="F46" s="42" t="inlineStr">
        <is>
          <t>Masinloc</t>
        </is>
      </c>
      <c r="G46" s="42" t="inlineStr">
        <is>
          <t>South Poblacion</t>
        </is>
      </c>
      <c r="H46" s="43" t="n">
        <v>15.5361</v>
      </c>
      <c r="I46" s="43" t="n">
        <v>119.9494</v>
      </c>
      <c r="J46" s="44" t="inlineStr">
        <is>
          <t>R</t>
        </is>
      </c>
      <c r="K46" s="42" t="inlineStr">
        <is>
          <t>Class 1-3 / Urban</t>
        </is>
      </c>
      <c r="L46" s="23" t="n">
        <v>4403</v>
      </c>
      <c r="M46" s="24" t="n">
        <v>4.05</v>
      </c>
      <c r="N46" s="23">
        <f>ROUND(L46/M46, 0)</f>
        <v/>
      </c>
      <c r="O46" s="23">
        <f>ROUND(N46*'Methodology &amp; Assumptions'!$B$8, 0)</f>
        <v/>
      </c>
      <c r="P46" s="44" t="inlineStr">
        <is>
          <t>Band n50 (1.5 GHz, 60 MHz)</t>
        </is>
      </c>
      <c r="Q46" s="38">
        <f>ROUNDUP(O46/'Methodology &amp; Assumptions'!$B$9, 0)</f>
        <v/>
      </c>
      <c r="R46" s="39" t="n">
        <v>1</v>
      </c>
      <c r="S46" s="25" t="n">
        <v>0.4</v>
      </c>
      <c r="T46" s="25" t="n">
        <v>0.41</v>
      </c>
      <c r="U46" s="42" t="inlineStr">
        <is>
          <t>Tier 1A (Direct Coloc, &lt;1 km)</t>
        </is>
      </c>
      <c r="V46" s="24" t="n">
        <v>97.59999999999999</v>
      </c>
      <c r="W46" s="24" t="n">
        <v>100</v>
      </c>
      <c r="X46" s="24" t="n">
        <v>58</v>
      </c>
      <c r="Y46" s="45">
        <f>ROUND((V46*'Methodology &amp; Assumptions'!$B$6)+(W46*'Methodology &amp; Assumptions'!$B$5)+(X46*'Methodology &amp; Assumptions'!$B$7), 2)</f>
        <v/>
      </c>
    </row>
    <row r="47" ht="19" customHeight="1">
      <c r="A47" s="35" t="n">
        <v>43</v>
      </c>
      <c r="B47" s="35" t="n">
        <v>43</v>
      </c>
      <c r="C47" s="36" t="inlineStr">
        <is>
          <t>0405619010</t>
        </is>
      </c>
      <c r="D47" s="36" t="inlineStr">
        <is>
          <t>Region IV-A (CALABARZON)</t>
        </is>
      </c>
      <c r="E47" s="36" t="inlineStr">
        <is>
          <t>Quezon</t>
        </is>
      </c>
      <c r="F47" s="36" t="inlineStr">
        <is>
          <t>Gumaca</t>
        </is>
      </c>
      <c r="G47" s="36" t="inlineStr">
        <is>
          <t>Buensuceso</t>
        </is>
      </c>
      <c r="H47" s="37" t="n">
        <v>13.921155</v>
      </c>
      <c r="I47" s="37" t="n">
        <v>122.104457</v>
      </c>
      <c r="J47" s="8" t="inlineStr">
        <is>
          <t>R</t>
        </is>
      </c>
      <c r="K47" s="36" t="inlineStr">
        <is>
          <t>Class 1-3 / Urban</t>
        </is>
      </c>
      <c r="L47" s="18" t="n">
        <v>4507</v>
      </c>
      <c r="M47" s="20" t="n">
        <v>4.46</v>
      </c>
      <c r="N47" s="18">
        <f>ROUND(L47/M47, 0)</f>
        <v/>
      </c>
      <c r="O47" s="18">
        <f>ROUND(N47*'Methodology &amp; Assumptions'!$B$8, 0)</f>
        <v/>
      </c>
      <c r="P47" s="8" t="inlineStr">
        <is>
          <t>Band n50 (1.5 GHz, 60 MHz)</t>
        </is>
      </c>
      <c r="Q47" s="38">
        <f>ROUNDUP(O47/'Methodology &amp; Assumptions'!$B$9, 0)</f>
        <v/>
      </c>
      <c r="R47" s="39" t="n">
        <v>1</v>
      </c>
      <c r="S47" s="21" t="n">
        <v>0.4</v>
      </c>
      <c r="T47" s="21" t="n">
        <v>0.05</v>
      </c>
      <c r="U47" s="36" t="inlineStr">
        <is>
          <t>Tier 1A (Direct Coloc, &lt;1 km)</t>
        </is>
      </c>
      <c r="V47" s="20" t="n">
        <v>97.40000000000001</v>
      </c>
      <c r="W47" s="20" t="n">
        <v>100</v>
      </c>
      <c r="X47" s="20" t="n">
        <v>58</v>
      </c>
      <c r="Y47" s="40">
        <f>ROUND((V47*'Methodology &amp; Assumptions'!$B$6)+(W47*'Methodology &amp; Assumptions'!$B$5)+(X47*'Methodology &amp; Assumptions'!$B$7), 2)</f>
        <v/>
      </c>
    </row>
    <row r="48" ht="19" customHeight="1">
      <c r="A48" s="41" t="n">
        <v>44</v>
      </c>
      <c r="B48" s="41" t="n">
        <v>44</v>
      </c>
      <c r="C48" s="42" t="inlineStr">
        <is>
          <t>1004323008</t>
        </is>
      </c>
      <c r="D48" s="42" t="inlineStr">
        <is>
          <t>Region X (Northern Mindanao)</t>
        </is>
      </c>
      <c r="E48" s="42" t="inlineStr">
        <is>
          <t>Misamis Oriental</t>
        </is>
      </c>
      <c r="F48" s="42" t="inlineStr">
        <is>
          <t>Sugbongcogon</t>
        </is>
      </c>
      <c r="G48" s="42" t="inlineStr">
        <is>
          <t>Poblacion</t>
        </is>
      </c>
      <c r="H48" s="43" t="n">
        <v>8.957908</v>
      </c>
      <c r="I48" s="43" t="n">
        <v>124.786562</v>
      </c>
      <c r="J48" s="44" t="inlineStr">
        <is>
          <t>R</t>
        </is>
      </c>
      <c r="K48" s="42" t="inlineStr">
        <is>
          <t>5th</t>
        </is>
      </c>
      <c r="L48" s="23" t="n">
        <v>3628</v>
      </c>
      <c r="M48" s="24" t="n">
        <v>4.82</v>
      </c>
      <c r="N48" s="23">
        <f>ROUND(L48/M48, 0)</f>
        <v/>
      </c>
      <c r="O48" s="23">
        <f>ROUND(N48*'Methodology &amp; Assumptions'!$B$8, 0)</f>
        <v/>
      </c>
      <c r="P48" s="44" t="inlineStr">
        <is>
          <t>Band n50 (1.5 GHz, 60 MHz)</t>
        </is>
      </c>
      <c r="Q48" s="38">
        <f>ROUNDUP(O48/'Methodology &amp; Assumptions'!$B$9, 0)</f>
        <v/>
      </c>
      <c r="R48" s="39" t="n">
        <v>1</v>
      </c>
      <c r="S48" s="25" t="n">
        <v>0.27</v>
      </c>
      <c r="T48" s="25" t="n">
        <v>0.34</v>
      </c>
      <c r="U48" s="42" t="inlineStr">
        <is>
          <t>Tier 1A (Direct Coloc, &lt;1 km)</t>
        </is>
      </c>
      <c r="V48" s="24" t="n">
        <v>100</v>
      </c>
      <c r="W48" s="24" t="n">
        <v>84.3</v>
      </c>
      <c r="X48" s="24" t="n">
        <v>73</v>
      </c>
      <c r="Y48" s="45">
        <f>ROUND((V48*'Methodology &amp; Assumptions'!$B$6)+(W48*'Methodology &amp; Assumptions'!$B$5)+(X48*'Methodology &amp; Assumptions'!$B$7), 2)</f>
        <v/>
      </c>
    </row>
    <row r="49" ht="19" customHeight="1">
      <c r="A49" s="35" t="n">
        <v>45</v>
      </c>
      <c r="B49" s="35" t="n">
        <v>45</v>
      </c>
      <c r="C49" s="36" t="inlineStr">
        <is>
          <t>1001314006</t>
        </is>
      </c>
      <c r="D49" s="36" t="inlineStr">
        <is>
          <t>Region X (Northern Mindanao)</t>
        </is>
      </c>
      <c r="E49" s="36" t="inlineStr">
        <is>
          <t>Bukidnon</t>
        </is>
      </c>
      <c r="F49" s="36" t="inlineStr">
        <is>
          <t>Manolo Fortich</t>
        </is>
      </c>
      <c r="G49" s="36" t="inlineStr">
        <is>
          <t>Diclum</t>
        </is>
      </c>
      <c r="H49" s="37" t="n">
        <v>8.373182999999999</v>
      </c>
      <c r="I49" s="37" t="n">
        <v>124.849698</v>
      </c>
      <c r="J49" s="8" t="inlineStr">
        <is>
          <t>R</t>
        </is>
      </c>
      <c r="K49" s="36" t="inlineStr">
        <is>
          <t>Class 1-3 / Urban</t>
        </is>
      </c>
      <c r="L49" s="18" t="n">
        <v>4507</v>
      </c>
      <c r="M49" s="20" t="n">
        <v>4.63</v>
      </c>
      <c r="N49" s="18">
        <f>ROUND(L49/M49, 0)</f>
        <v/>
      </c>
      <c r="O49" s="18">
        <f>ROUND(N49*'Methodology &amp; Assumptions'!$B$8, 0)</f>
        <v/>
      </c>
      <c r="P49" s="8" t="inlineStr">
        <is>
          <t>Band n50 (1.5 GHz, 60 MHz)</t>
        </is>
      </c>
      <c r="Q49" s="38">
        <f>ROUNDUP(O49/'Methodology &amp; Assumptions'!$B$9, 0)</f>
        <v/>
      </c>
      <c r="R49" s="39" t="n">
        <v>1</v>
      </c>
      <c r="S49" s="21" t="n">
        <v>0.41</v>
      </c>
      <c r="T49" s="21" t="n">
        <v>0.14</v>
      </c>
      <c r="U49" s="36" t="inlineStr">
        <is>
          <t>Tier 1A (Direct Coloc, &lt;1 km)</t>
        </is>
      </c>
      <c r="V49" s="20" t="n">
        <v>97.09999999999999</v>
      </c>
      <c r="W49" s="20" t="n">
        <v>100</v>
      </c>
      <c r="X49" s="20" t="n">
        <v>58</v>
      </c>
      <c r="Y49" s="40">
        <f>ROUND((V49*'Methodology &amp; Assumptions'!$B$6)+(W49*'Methodology &amp; Assumptions'!$B$5)+(X49*'Methodology &amp; Assumptions'!$B$7), 2)</f>
        <v/>
      </c>
    </row>
    <row r="50" ht="19" customHeight="1">
      <c r="A50" s="41" t="n">
        <v>46</v>
      </c>
      <c r="B50" s="41" t="n">
        <v>46</v>
      </c>
      <c r="C50" s="42" t="inlineStr">
        <is>
          <t>0300809010</t>
        </is>
      </c>
      <c r="D50" s="42" t="inlineStr">
        <is>
          <t>Region III (Central Luzon)</t>
        </is>
      </c>
      <c r="E50" s="42" t="inlineStr">
        <is>
          <t>Bataan</t>
        </is>
      </c>
      <c r="F50" s="42" t="inlineStr">
        <is>
          <t>Orani</t>
        </is>
      </c>
      <c r="G50" s="42" t="inlineStr">
        <is>
          <t>Mulawin</t>
        </is>
      </c>
      <c r="H50" s="43" t="n">
        <v>14.801523</v>
      </c>
      <c r="I50" s="43" t="n">
        <v>120.532395</v>
      </c>
      <c r="J50" s="44" t="inlineStr">
        <is>
          <t>R</t>
        </is>
      </c>
      <c r="K50" s="42" t="inlineStr">
        <is>
          <t>Class 1-3 / Urban</t>
        </is>
      </c>
      <c r="L50" s="23" t="n">
        <v>4746</v>
      </c>
      <c r="M50" s="24" t="n">
        <v>4.57</v>
      </c>
      <c r="N50" s="23">
        <f>ROUND(L50/M50, 0)</f>
        <v/>
      </c>
      <c r="O50" s="23">
        <f>ROUND(N50*'Methodology &amp; Assumptions'!$B$8, 0)</f>
        <v/>
      </c>
      <c r="P50" s="44" t="inlineStr">
        <is>
          <t>Band n50 (1.5 GHz, 60 MHz)</t>
        </is>
      </c>
      <c r="Q50" s="38">
        <f>ROUNDUP(O50/'Methodology &amp; Assumptions'!$B$9, 0)</f>
        <v/>
      </c>
      <c r="R50" s="39" t="n">
        <v>1</v>
      </c>
      <c r="S50" s="25" t="n">
        <v>0.43</v>
      </c>
      <c r="T50" s="25" t="n">
        <v>0.13</v>
      </c>
      <c r="U50" s="42" t="inlineStr">
        <is>
          <t>Tier 1A (Direct Coloc, &lt;1 km)</t>
        </is>
      </c>
      <c r="V50" s="24" t="n">
        <v>96.59999999999999</v>
      </c>
      <c r="W50" s="24" t="n">
        <v>100</v>
      </c>
      <c r="X50" s="24" t="n">
        <v>58</v>
      </c>
      <c r="Y50" s="45">
        <f>ROUND((V50*'Methodology &amp; Assumptions'!$B$6)+(W50*'Methodology &amp; Assumptions'!$B$5)+(X50*'Methodology &amp; Assumptions'!$B$7), 2)</f>
        <v/>
      </c>
    </row>
    <row r="51" ht="19" customHeight="1">
      <c r="A51" s="35" t="n">
        <v>47</v>
      </c>
      <c r="B51" s="35" t="n">
        <v>47</v>
      </c>
      <c r="C51" s="36" t="inlineStr">
        <is>
          <t>0201527003</t>
        </is>
      </c>
      <c r="D51" s="36" t="inlineStr">
        <is>
          <t>Region II (Cagayan Valley)</t>
        </is>
      </c>
      <c r="E51" s="36" t="inlineStr">
        <is>
          <t>Cagayan</t>
        </is>
      </c>
      <c r="F51" s="36" t="inlineStr">
        <is>
          <t>Solana</t>
        </is>
      </c>
      <c r="G51" s="36" t="inlineStr">
        <is>
          <t>Bangag</t>
        </is>
      </c>
      <c r="H51" s="37" t="n">
        <v>17.7083</v>
      </c>
      <c r="I51" s="37" t="n">
        <v>121.6978</v>
      </c>
      <c r="J51" s="8" t="inlineStr">
        <is>
          <t>R</t>
        </is>
      </c>
      <c r="K51" s="36" t="inlineStr">
        <is>
          <t>Class 1-3 / Urban</t>
        </is>
      </c>
      <c r="L51" s="18" t="n">
        <v>4529</v>
      </c>
      <c r="M51" s="20" t="n">
        <v>4.38</v>
      </c>
      <c r="N51" s="18">
        <f>ROUND(L51/M51, 0)</f>
        <v/>
      </c>
      <c r="O51" s="18">
        <f>ROUND(N51*'Methodology &amp; Assumptions'!$B$8, 0)</f>
        <v/>
      </c>
      <c r="P51" s="8" t="inlineStr">
        <is>
          <t>Band n50 (1.5 GHz, 60 MHz)</t>
        </is>
      </c>
      <c r="Q51" s="38">
        <f>ROUNDUP(O51/'Methodology &amp; Assumptions'!$B$9, 0)</f>
        <v/>
      </c>
      <c r="R51" s="39" t="n">
        <v>1</v>
      </c>
      <c r="S51" s="21" t="n">
        <v>0.1</v>
      </c>
      <c r="T51" s="21" t="n">
        <v>4.58</v>
      </c>
      <c r="U51" s="36" t="inlineStr">
        <is>
          <t>Tier 1A (Direct Coloc, &lt;1 km)</t>
        </is>
      </c>
      <c r="V51" s="20" t="n">
        <v>96.59999999999999</v>
      </c>
      <c r="W51" s="20" t="n">
        <v>100</v>
      </c>
      <c r="X51" s="20" t="n">
        <v>58</v>
      </c>
      <c r="Y51" s="40">
        <f>ROUND((V51*'Methodology &amp; Assumptions'!$B$6)+(W51*'Methodology &amp; Assumptions'!$B$5)+(X51*'Methodology &amp; Assumptions'!$B$7), 2)</f>
        <v/>
      </c>
    </row>
    <row r="52" ht="19" customHeight="1">
      <c r="A52" s="41" t="n">
        <v>48</v>
      </c>
      <c r="B52" s="41" t="n">
        <v>48</v>
      </c>
      <c r="C52" s="42" t="inlineStr">
        <is>
          <t>0501601025</t>
        </is>
      </c>
      <c r="D52" s="42" t="inlineStr">
        <is>
          <t>Region V (Bicol Region)</t>
        </is>
      </c>
      <c r="E52" s="42" t="inlineStr">
        <is>
          <t>Camarines Norte</t>
        </is>
      </c>
      <c r="F52" s="42" t="inlineStr">
        <is>
          <t>Basud</t>
        </is>
      </c>
      <c r="G52" s="42" t="inlineStr">
        <is>
          <t>San Felipe</t>
        </is>
      </c>
      <c r="H52" s="43" t="n">
        <v>14.01456</v>
      </c>
      <c r="I52" s="43" t="n">
        <v>122.930833</v>
      </c>
      <c r="J52" s="44" t="inlineStr">
        <is>
          <t>R</t>
        </is>
      </c>
      <c r="K52" s="42" t="inlineStr">
        <is>
          <t>Class 1-3 / Urban</t>
        </is>
      </c>
      <c r="L52" s="23" t="n">
        <v>3992</v>
      </c>
      <c r="M52" s="24" t="n">
        <v>4.4</v>
      </c>
      <c r="N52" s="23">
        <f>ROUND(L52/M52, 0)</f>
        <v/>
      </c>
      <c r="O52" s="23">
        <f>ROUND(N52*'Methodology &amp; Assumptions'!$B$8, 0)</f>
        <v/>
      </c>
      <c r="P52" s="44" t="inlineStr">
        <is>
          <t>Band n50 (1.5 GHz, 60 MHz)</t>
        </is>
      </c>
      <c r="Q52" s="38">
        <f>ROUNDUP(O52/'Methodology &amp; Assumptions'!$B$9, 0)</f>
        <v/>
      </c>
      <c r="R52" s="39" t="n">
        <v>1</v>
      </c>
      <c r="S52" s="25" t="n">
        <v>0.2</v>
      </c>
      <c r="T52" s="25" t="n">
        <v>0.38</v>
      </c>
      <c r="U52" s="42" t="inlineStr">
        <is>
          <t>Tier 1A (Direct Coloc, &lt;1 km)</t>
        </is>
      </c>
      <c r="V52" s="24" t="n">
        <v>100</v>
      </c>
      <c r="W52" s="24" t="n">
        <v>96.5</v>
      </c>
      <c r="X52" s="24" t="n">
        <v>58</v>
      </c>
      <c r="Y52" s="45">
        <f>ROUND((V52*'Methodology &amp; Assumptions'!$B$6)+(W52*'Methodology &amp; Assumptions'!$B$5)+(X52*'Methodology &amp; Assumptions'!$B$7), 2)</f>
        <v/>
      </c>
    </row>
    <row r="53" ht="19" customHeight="1">
      <c r="A53" s="35" t="n">
        <v>49</v>
      </c>
      <c r="B53" s="35" t="n">
        <v>49</v>
      </c>
      <c r="C53" s="36" t="inlineStr">
        <is>
          <t>0401007016</t>
        </is>
      </c>
      <c r="D53" s="36" t="inlineStr">
        <is>
          <t>Region IV-A (CALABARZON)</t>
        </is>
      </c>
      <c r="E53" s="36" t="inlineStr">
        <is>
          <t>Batangas</t>
        </is>
      </c>
      <c r="F53" s="36" t="inlineStr">
        <is>
          <t>City of Calaca</t>
        </is>
      </c>
      <c r="G53" s="36" t="inlineStr">
        <is>
          <t>Camastilisan</t>
        </is>
      </c>
      <c r="H53" s="37" t="n">
        <v>13.927006</v>
      </c>
      <c r="I53" s="37" t="n">
        <v>120.81323</v>
      </c>
      <c r="J53" s="8" t="inlineStr">
        <is>
          <t>R</t>
        </is>
      </c>
      <c r="K53" s="36" t="inlineStr">
        <is>
          <t>Class 1-3 / Urban</t>
        </is>
      </c>
      <c r="L53" s="18" t="n">
        <v>4172</v>
      </c>
      <c r="M53" s="20" t="n">
        <v>4.62</v>
      </c>
      <c r="N53" s="18">
        <f>ROUND(L53/M53, 0)</f>
        <v/>
      </c>
      <c r="O53" s="18">
        <f>ROUND(N53*'Methodology &amp; Assumptions'!$B$8, 0)</f>
        <v/>
      </c>
      <c r="P53" s="8" t="inlineStr">
        <is>
          <t>Band n50 (1.5 GHz, 60 MHz)</t>
        </is>
      </c>
      <c r="Q53" s="38">
        <f>ROUNDUP(O53/'Methodology &amp; Assumptions'!$B$9, 0)</f>
        <v/>
      </c>
      <c r="R53" s="39" t="n">
        <v>1</v>
      </c>
      <c r="S53" s="21" t="n">
        <v>0.1</v>
      </c>
      <c r="T53" s="21" t="n">
        <v>0.07000000000000001</v>
      </c>
      <c r="U53" s="36" t="inlineStr">
        <is>
          <t>Tier 1A (Direct Coloc, &lt;1 km)</t>
        </is>
      </c>
      <c r="V53" s="20" t="n">
        <v>100</v>
      </c>
      <c r="W53" s="20" t="n">
        <v>96.3</v>
      </c>
      <c r="X53" s="20" t="n">
        <v>58</v>
      </c>
      <c r="Y53" s="40">
        <f>ROUND((V53*'Methodology &amp; Assumptions'!$B$6)+(W53*'Methodology &amp; Assumptions'!$B$5)+(X53*'Methodology &amp; Assumptions'!$B$7), 2)</f>
        <v/>
      </c>
    </row>
    <row r="54" ht="19" customHeight="1">
      <c r="A54" s="41" t="n">
        <v>50</v>
      </c>
      <c r="B54" s="41" t="n">
        <v>50</v>
      </c>
      <c r="C54" s="42" t="inlineStr">
        <is>
          <t>0603019022</t>
        </is>
      </c>
      <c r="D54" s="42" t="inlineStr">
        <is>
          <t>Region VI (Western Visayas)</t>
        </is>
      </c>
      <c r="E54" s="42" t="inlineStr">
        <is>
          <t>Iloilo</t>
        </is>
      </c>
      <c r="F54" s="42" t="inlineStr">
        <is>
          <t>Estancia</t>
        </is>
      </c>
      <c r="G54" s="42" t="inlineStr">
        <is>
          <t>Tacbuyan</t>
        </is>
      </c>
      <c r="H54" s="43" t="n">
        <v>11.460199</v>
      </c>
      <c r="I54" s="43" t="n">
        <v>123.122971</v>
      </c>
      <c r="J54" s="44" t="inlineStr">
        <is>
          <t>R</t>
        </is>
      </c>
      <c r="K54" s="42" t="inlineStr">
        <is>
          <t>Class 1-3 / Urban</t>
        </is>
      </c>
      <c r="L54" s="23" t="n">
        <v>4504</v>
      </c>
      <c r="M54" s="24" t="n">
        <v>4.39</v>
      </c>
      <c r="N54" s="23">
        <f>ROUND(L54/M54, 0)</f>
        <v/>
      </c>
      <c r="O54" s="23">
        <f>ROUND(N54*'Methodology &amp; Assumptions'!$B$8, 0)</f>
        <v/>
      </c>
      <c r="P54" s="44" t="inlineStr">
        <is>
          <t>Band n50 (1.5 GHz, 60 MHz)</t>
        </is>
      </c>
      <c r="Q54" s="38">
        <f>ROUNDUP(O54/'Methodology &amp; Assumptions'!$B$9, 0)</f>
        <v/>
      </c>
      <c r="R54" s="39" t="n">
        <v>1</v>
      </c>
      <c r="S54" s="25" t="n">
        <v>0.44</v>
      </c>
      <c r="T54" s="25" t="n">
        <v>1.33</v>
      </c>
      <c r="U54" s="42" t="inlineStr">
        <is>
          <t>Tier 1A (Direct Coloc, &lt;1 km)</t>
        </is>
      </c>
      <c r="V54" s="24" t="n">
        <v>96.2</v>
      </c>
      <c r="W54" s="24" t="n">
        <v>100</v>
      </c>
      <c r="X54" s="24" t="n">
        <v>58</v>
      </c>
      <c r="Y54" s="45">
        <f>ROUND((V54*'Methodology &amp; Assumptions'!$B$6)+(W54*'Methodology &amp; Assumptions'!$B$5)+(X54*'Methodology &amp; Assumptions'!$B$7), 2)</f>
        <v/>
      </c>
    </row>
    <row r="55" ht="19" customHeight="1">
      <c r="A55" s="35" t="n">
        <v>51</v>
      </c>
      <c r="B55" s="35" t="n">
        <v>51</v>
      </c>
      <c r="C55" s="36" t="inlineStr">
        <is>
          <t>0401013004</t>
        </is>
      </c>
      <c r="D55" s="36" t="inlineStr">
        <is>
          <t>Region IV-A (CALABARZON)</t>
        </is>
      </c>
      <c r="E55" s="36" t="inlineStr">
        <is>
          <t>Batangas</t>
        </is>
      </c>
      <c r="F55" s="36" t="inlineStr">
        <is>
          <t>Lian</t>
        </is>
      </c>
      <c r="G55" s="36" t="inlineStr">
        <is>
          <t>Binubusan</t>
        </is>
      </c>
      <c r="H55" s="37" t="n">
        <v>13.963261</v>
      </c>
      <c r="I55" s="37" t="n">
        <v>120.636129</v>
      </c>
      <c r="J55" s="8" t="inlineStr">
        <is>
          <t>R</t>
        </is>
      </c>
      <c r="K55" s="36" t="inlineStr">
        <is>
          <t>Class 1-3 / Urban</t>
        </is>
      </c>
      <c r="L55" s="18" t="n">
        <v>4533</v>
      </c>
      <c r="M55" s="20" t="n">
        <v>4.62</v>
      </c>
      <c r="N55" s="18">
        <f>ROUND(L55/M55, 0)</f>
        <v/>
      </c>
      <c r="O55" s="18">
        <f>ROUND(N55*'Methodology &amp; Assumptions'!$B$8, 0)</f>
        <v/>
      </c>
      <c r="P55" s="8" t="inlineStr">
        <is>
          <t>Band n50 (1.5 GHz, 60 MHz)</t>
        </is>
      </c>
      <c r="Q55" s="38">
        <f>ROUNDUP(O55/'Methodology &amp; Assumptions'!$B$9, 0)</f>
        <v/>
      </c>
      <c r="R55" s="39" t="n">
        <v>1</v>
      </c>
      <c r="S55" s="21" t="n">
        <v>0.45</v>
      </c>
      <c r="T55" s="21" t="n">
        <v>0.75</v>
      </c>
      <c r="U55" s="36" t="inlineStr">
        <is>
          <t>Tier 1A (Direct Coloc, &lt;1 km)</t>
        </is>
      </c>
      <c r="V55" s="20" t="n">
        <v>96.09999999999999</v>
      </c>
      <c r="W55" s="20" t="n">
        <v>100</v>
      </c>
      <c r="X55" s="20" t="n">
        <v>58</v>
      </c>
      <c r="Y55" s="40">
        <f>ROUND((V55*'Methodology &amp; Assumptions'!$B$6)+(W55*'Methodology &amp; Assumptions'!$B$5)+(X55*'Methodology &amp; Assumptions'!$B$7), 2)</f>
        <v/>
      </c>
    </row>
    <row r="56" ht="19" customHeight="1">
      <c r="A56" s="41" t="n">
        <v>52</v>
      </c>
      <c r="B56" s="41" t="n">
        <v>52</v>
      </c>
      <c r="C56" s="42" t="inlineStr">
        <is>
          <t>0402109055</t>
        </is>
      </c>
      <c r="D56" s="42" t="inlineStr">
        <is>
          <t>Region IV-A (CALABARZON)</t>
        </is>
      </c>
      <c r="E56" s="42" t="inlineStr">
        <is>
          <t>Cavite</t>
        </is>
      </c>
      <c r="F56" s="42" t="inlineStr">
        <is>
          <t>City of Imus</t>
        </is>
      </c>
      <c r="G56" s="42" t="inlineStr">
        <is>
          <t>Magdalo</t>
        </is>
      </c>
      <c r="H56" s="43" t="n">
        <v>14.393466</v>
      </c>
      <c r="I56" s="43" t="n">
        <v>120.963601</v>
      </c>
      <c r="J56" s="44" t="inlineStr">
        <is>
          <t>R</t>
        </is>
      </c>
      <c r="K56" s="42" t="inlineStr">
        <is>
          <t>Class 1-3 / Urban</t>
        </is>
      </c>
      <c r="L56" s="23" t="n">
        <v>4479</v>
      </c>
      <c r="M56" s="24" t="n">
        <v>4.49</v>
      </c>
      <c r="N56" s="23">
        <f>ROUND(L56/M56, 0)</f>
        <v/>
      </c>
      <c r="O56" s="23">
        <f>ROUND(N56*'Methodology &amp; Assumptions'!$B$8, 0)</f>
        <v/>
      </c>
      <c r="P56" s="44" t="inlineStr">
        <is>
          <t>Band n50 (1.5 GHz, 60 MHz)</t>
        </is>
      </c>
      <c r="Q56" s="38">
        <f>ROUNDUP(O56/'Methodology &amp; Assumptions'!$B$9, 0)</f>
        <v/>
      </c>
      <c r="R56" s="39" t="n">
        <v>1</v>
      </c>
      <c r="S56" s="25" t="n">
        <v>0.12</v>
      </c>
      <c r="T56" s="25" t="n">
        <v>5.88</v>
      </c>
      <c r="U56" s="42" t="inlineStr">
        <is>
          <t>Tier 1A (Direct Coloc, &lt;1 km)</t>
        </is>
      </c>
      <c r="V56" s="24" t="n">
        <v>96.2</v>
      </c>
      <c r="W56" s="24" t="n">
        <v>100</v>
      </c>
      <c r="X56" s="24" t="n">
        <v>58</v>
      </c>
      <c r="Y56" s="45">
        <f>ROUND((V56*'Methodology &amp; Assumptions'!$B$6)+(W56*'Methodology &amp; Assumptions'!$B$5)+(X56*'Methodology &amp; Assumptions'!$B$7), 2)</f>
        <v/>
      </c>
    </row>
    <row r="57" ht="19" customHeight="1">
      <c r="A57" s="35" t="n">
        <v>53</v>
      </c>
      <c r="B57" s="35" t="n">
        <v>53</v>
      </c>
      <c r="C57" s="36" t="inlineStr">
        <is>
          <t>0702202006</t>
        </is>
      </c>
      <c r="D57" s="36" t="inlineStr">
        <is>
          <t>Region VII (Central Visayas)</t>
        </is>
      </c>
      <c r="E57" s="36" t="inlineStr">
        <is>
          <t>Cebu</t>
        </is>
      </c>
      <c r="F57" s="36" t="inlineStr">
        <is>
          <t>Alcoy</t>
        </is>
      </c>
      <c r="G57" s="36" t="inlineStr">
        <is>
          <t>Poblacion</t>
        </is>
      </c>
      <c r="H57" s="37" t="n">
        <v>9.708397</v>
      </c>
      <c r="I57" s="37" t="n">
        <v>123.505714</v>
      </c>
      <c r="J57" s="8" t="inlineStr">
        <is>
          <t>R</t>
        </is>
      </c>
      <c r="K57" s="36" t="inlineStr">
        <is>
          <t>4th</t>
        </is>
      </c>
      <c r="L57" s="18" t="n">
        <v>3943</v>
      </c>
      <c r="M57" s="20" t="n">
        <v>5.01</v>
      </c>
      <c r="N57" s="18">
        <f>ROUND(L57/M57, 0)</f>
        <v/>
      </c>
      <c r="O57" s="18">
        <f>ROUND(N57*'Methodology &amp; Assumptions'!$B$8, 0)</f>
        <v/>
      </c>
      <c r="P57" s="8" t="inlineStr">
        <is>
          <t>Band n50 (1.5 GHz, 60 MHz)</t>
        </is>
      </c>
      <c r="Q57" s="38">
        <f>ROUNDUP(O57/'Methodology &amp; Assumptions'!$B$9, 0)</f>
        <v/>
      </c>
      <c r="R57" s="39" t="n">
        <v>1</v>
      </c>
      <c r="S57" s="21" t="n">
        <v>0.1</v>
      </c>
      <c r="T57" s="21" t="n">
        <v>0.1</v>
      </c>
      <c r="U57" s="36" t="inlineStr">
        <is>
          <t>Tier 1A (Direct Coloc, &lt;1 km)</t>
        </is>
      </c>
      <c r="V57" s="20" t="n">
        <v>100</v>
      </c>
      <c r="W57" s="20" t="n">
        <v>86.90000000000001</v>
      </c>
      <c r="X57" s="20" t="n">
        <v>68.5</v>
      </c>
      <c r="Y57" s="40">
        <f>ROUND((V57*'Methodology &amp; Assumptions'!$B$6)+(W57*'Methodology &amp; Assumptions'!$B$5)+(X57*'Methodology &amp; Assumptions'!$B$7), 2)</f>
        <v/>
      </c>
    </row>
    <row r="58" ht="19" customHeight="1">
      <c r="A58" s="41" t="n">
        <v>54</v>
      </c>
      <c r="B58" s="41" t="n">
        <v>54</v>
      </c>
      <c r="C58" s="42" t="inlineStr">
        <is>
          <t>0300805024</t>
        </is>
      </c>
      <c r="D58" s="42" t="inlineStr">
        <is>
          <t>Region III (Central Luzon)</t>
        </is>
      </c>
      <c r="E58" s="42" t="inlineStr">
        <is>
          <t>Bataan</t>
        </is>
      </c>
      <c r="F58" s="42" t="inlineStr">
        <is>
          <t>Hermosa</t>
        </is>
      </c>
      <c r="G58" s="42" t="inlineStr">
        <is>
          <t>Judge Roman Cruz Sr.</t>
        </is>
      </c>
      <c r="H58" s="43" t="n">
        <v>14.831127</v>
      </c>
      <c r="I58" s="43" t="n">
        <v>120.484724</v>
      </c>
      <c r="J58" s="44" t="inlineStr">
        <is>
          <t>R</t>
        </is>
      </c>
      <c r="K58" s="42" t="inlineStr">
        <is>
          <t>Class 1-3 / Urban</t>
        </is>
      </c>
      <c r="L58" s="23" t="n">
        <v>4544</v>
      </c>
      <c r="M58" s="24" t="n">
        <v>4.57</v>
      </c>
      <c r="N58" s="23">
        <f>ROUND(L58/M58, 0)</f>
        <v/>
      </c>
      <c r="O58" s="23">
        <f>ROUND(N58*'Methodology &amp; Assumptions'!$B$8, 0)</f>
        <v/>
      </c>
      <c r="P58" s="44" t="inlineStr">
        <is>
          <t>Band n50 (1.5 GHz, 60 MHz)</t>
        </is>
      </c>
      <c r="Q58" s="38">
        <f>ROUNDUP(O58/'Methodology &amp; Assumptions'!$B$9, 0)</f>
        <v/>
      </c>
      <c r="R58" s="39" t="n">
        <v>1</v>
      </c>
      <c r="S58" s="25" t="n">
        <v>0.48</v>
      </c>
      <c r="T58" s="25" t="n">
        <v>0.47</v>
      </c>
      <c r="U58" s="42" t="inlineStr">
        <is>
          <t>Tier 1A (Direct Coloc, &lt;1 km)</t>
        </is>
      </c>
      <c r="V58" s="24" t="n">
        <v>95.3</v>
      </c>
      <c r="W58" s="24" t="n">
        <v>100</v>
      </c>
      <c r="X58" s="24" t="n">
        <v>58</v>
      </c>
      <c r="Y58" s="45">
        <f>ROUND((V58*'Methodology &amp; Assumptions'!$B$6)+(W58*'Methodology &amp; Assumptions'!$B$5)+(X58*'Methodology &amp; Assumptions'!$B$7), 2)</f>
        <v/>
      </c>
    </row>
    <row r="59" ht="19" customHeight="1">
      <c r="A59" s="35" t="n">
        <v>55</v>
      </c>
      <c r="B59" s="35" t="n">
        <v>55</v>
      </c>
      <c r="C59" s="36" t="inlineStr">
        <is>
          <t>1001309026</t>
        </is>
      </c>
      <c r="D59" s="36" t="inlineStr">
        <is>
          <t>Region X (Northern Mindanao)</t>
        </is>
      </c>
      <c r="E59" s="36" t="inlineStr">
        <is>
          <t>Bukidnon</t>
        </is>
      </c>
      <c r="F59" s="36" t="inlineStr">
        <is>
          <t>Kitaotao</t>
        </is>
      </c>
      <c r="G59" s="36" t="inlineStr">
        <is>
          <t>Poblacion</t>
        </is>
      </c>
      <c r="H59" s="37" t="n">
        <v>7.641509</v>
      </c>
      <c r="I59" s="37" t="n">
        <v>125.009073</v>
      </c>
      <c r="J59" s="8" t="inlineStr">
        <is>
          <t>R</t>
        </is>
      </c>
      <c r="K59" s="36" t="inlineStr">
        <is>
          <t>Class 1-3 / Urban</t>
        </is>
      </c>
      <c r="L59" s="18" t="n">
        <v>4794</v>
      </c>
      <c r="M59" s="20" t="n">
        <v>4.63</v>
      </c>
      <c r="N59" s="18">
        <f>ROUND(L59/M59, 0)</f>
        <v/>
      </c>
      <c r="O59" s="18">
        <f>ROUND(N59*'Methodology &amp; Assumptions'!$B$8, 0)</f>
        <v/>
      </c>
      <c r="P59" s="8" t="inlineStr">
        <is>
          <t>Band n50 (1.5 GHz, 60 MHz)</t>
        </is>
      </c>
      <c r="Q59" s="38">
        <f>ROUNDUP(O59/'Methodology &amp; Assumptions'!$B$9, 0)</f>
        <v/>
      </c>
      <c r="R59" s="39" t="n">
        <v>1</v>
      </c>
      <c r="S59" s="21" t="n">
        <v>0.48</v>
      </c>
      <c r="T59" s="21" t="n">
        <v>0.23</v>
      </c>
      <c r="U59" s="36" t="inlineStr">
        <is>
          <t>Tier 1A (Direct Coloc, &lt;1 km)</t>
        </is>
      </c>
      <c r="V59" s="20" t="n">
        <v>95.2</v>
      </c>
      <c r="W59" s="20" t="n">
        <v>100</v>
      </c>
      <c r="X59" s="20" t="n">
        <v>58</v>
      </c>
      <c r="Y59" s="40">
        <f>ROUND((V59*'Methodology &amp; Assumptions'!$B$6)+(W59*'Methodology &amp; Assumptions'!$B$5)+(X59*'Methodology &amp; Assumptions'!$B$7), 2)</f>
        <v/>
      </c>
    </row>
    <row r="60" ht="19" customHeight="1">
      <c r="A60" s="41" t="n">
        <v>56</v>
      </c>
      <c r="B60" s="41" t="n">
        <v>56</v>
      </c>
      <c r="C60" s="42" t="inlineStr">
        <is>
          <t>0504101001</t>
        </is>
      </c>
      <c r="D60" s="42" t="inlineStr">
        <is>
          <t>Region V (Bicol Region)</t>
        </is>
      </c>
      <c r="E60" s="42" t="inlineStr">
        <is>
          <t>Masbate</t>
        </is>
      </c>
      <c r="F60" s="42" t="inlineStr">
        <is>
          <t>Aroroy</t>
        </is>
      </c>
      <c r="G60" s="42" t="inlineStr">
        <is>
          <t>Ambolong</t>
        </is>
      </c>
      <c r="H60" s="43" t="n">
        <v>12.510469</v>
      </c>
      <c r="I60" s="43" t="n">
        <v>123.400244</v>
      </c>
      <c r="J60" s="44" t="inlineStr">
        <is>
          <t>R</t>
        </is>
      </c>
      <c r="K60" s="42" t="inlineStr">
        <is>
          <t>Class 1-3 / Urban</t>
        </is>
      </c>
      <c r="L60" s="23" t="n">
        <v>4632</v>
      </c>
      <c r="M60" s="24" t="n">
        <v>4.6</v>
      </c>
      <c r="N60" s="23">
        <f>ROUND(L60/M60, 0)</f>
        <v/>
      </c>
      <c r="O60" s="23">
        <f>ROUND(N60*'Methodology &amp; Assumptions'!$B$8, 0)</f>
        <v/>
      </c>
      <c r="P60" s="44" t="inlineStr">
        <is>
          <t>Band n50 (1.5 GHz, 60 MHz)</t>
        </is>
      </c>
      <c r="Q60" s="38">
        <f>ROUNDUP(O60/'Methodology &amp; Assumptions'!$B$9, 0)</f>
        <v/>
      </c>
      <c r="R60" s="39" t="n">
        <v>1</v>
      </c>
      <c r="S60" s="25" t="n">
        <v>0.15</v>
      </c>
      <c r="T60" s="25" t="n">
        <v>3.88</v>
      </c>
      <c r="U60" s="42" t="inlineStr">
        <is>
          <t>Tier 1A (Direct Coloc, &lt;1 km)</t>
        </is>
      </c>
      <c r="V60" s="24" t="n">
        <v>95</v>
      </c>
      <c r="W60" s="24" t="n">
        <v>100</v>
      </c>
      <c r="X60" s="24" t="n">
        <v>58</v>
      </c>
      <c r="Y60" s="45">
        <f>ROUND((V60*'Methodology &amp; Assumptions'!$B$6)+(W60*'Methodology &amp; Assumptions'!$B$5)+(X60*'Methodology &amp; Assumptions'!$B$7), 2)</f>
        <v/>
      </c>
    </row>
    <row r="61" ht="19" customHeight="1">
      <c r="A61" s="35" t="n">
        <v>57</v>
      </c>
      <c r="B61" s="35" t="n">
        <v>57</v>
      </c>
      <c r="C61" s="36" t="inlineStr">
        <is>
          <t>0501715003</t>
        </is>
      </c>
      <c r="D61" s="36" t="inlineStr">
        <is>
          <t>Region V (Bicol Region)</t>
        </is>
      </c>
      <c r="E61" s="36" t="inlineStr">
        <is>
          <t>Camarines Sur</t>
        </is>
      </c>
      <c r="F61" s="36" t="inlineStr">
        <is>
          <t>Goa</t>
        </is>
      </c>
      <c r="G61" s="36" t="inlineStr">
        <is>
          <t>Bagumbayan Pequeño</t>
        </is>
      </c>
      <c r="H61" s="37" t="n">
        <v>13.695039</v>
      </c>
      <c r="I61" s="37" t="n">
        <v>123.48749</v>
      </c>
      <c r="J61" s="8" t="inlineStr">
        <is>
          <t>R</t>
        </is>
      </c>
      <c r="K61" s="36" t="inlineStr">
        <is>
          <t>Class 1-3 / Urban</t>
        </is>
      </c>
      <c r="L61" s="18" t="n">
        <v>4344</v>
      </c>
      <c r="M61" s="20" t="n">
        <v>4.9</v>
      </c>
      <c r="N61" s="18">
        <f>ROUND(L61/M61, 0)</f>
        <v/>
      </c>
      <c r="O61" s="18">
        <f>ROUND(N61*'Methodology &amp; Assumptions'!$B$8, 0)</f>
        <v/>
      </c>
      <c r="P61" s="8" t="inlineStr">
        <is>
          <t>Band n50 (1.5 GHz, 60 MHz)</t>
        </is>
      </c>
      <c r="Q61" s="38">
        <f>ROUNDUP(O61/'Methodology &amp; Assumptions'!$B$9, 0)</f>
        <v/>
      </c>
      <c r="R61" s="39" t="n">
        <v>1</v>
      </c>
      <c r="S61" s="21" t="n">
        <v>0.09</v>
      </c>
      <c r="T61" s="21" t="n">
        <v>0.13</v>
      </c>
      <c r="U61" s="36" t="inlineStr">
        <is>
          <t>Tier 1A (Direct Coloc, &lt;1 km)</t>
        </is>
      </c>
      <c r="V61" s="20" t="n">
        <v>100</v>
      </c>
      <c r="W61" s="20" t="n">
        <v>94.90000000000001</v>
      </c>
      <c r="X61" s="20" t="n">
        <v>58</v>
      </c>
      <c r="Y61" s="40">
        <f>ROUND((V61*'Methodology &amp; Assumptions'!$B$6)+(W61*'Methodology &amp; Assumptions'!$B$5)+(X61*'Methodology &amp; Assumptions'!$B$7), 2)</f>
        <v/>
      </c>
    </row>
    <row r="62" ht="19" customHeight="1">
      <c r="A62" s="41" t="n">
        <v>58</v>
      </c>
      <c r="B62" s="41" t="n">
        <v>58</v>
      </c>
      <c r="C62" s="42" t="inlineStr">
        <is>
          <t>0300810016</t>
        </is>
      </c>
      <c r="D62" s="42" t="inlineStr">
        <is>
          <t>Region III (Central Luzon)</t>
        </is>
      </c>
      <c r="E62" s="42" t="inlineStr">
        <is>
          <t>Bataan</t>
        </is>
      </c>
      <c r="F62" s="42" t="inlineStr">
        <is>
          <t>Orion</t>
        </is>
      </c>
      <c r="G62" s="42" t="inlineStr">
        <is>
          <t>Kapunitan</t>
        </is>
      </c>
      <c r="H62" s="43" t="n">
        <v>14.616243</v>
      </c>
      <c r="I62" s="43" t="n">
        <v>120.58246</v>
      </c>
      <c r="J62" s="44" t="inlineStr">
        <is>
          <t>R</t>
        </is>
      </c>
      <c r="K62" s="42" t="inlineStr">
        <is>
          <t>Class 1-3 / Urban</t>
        </is>
      </c>
      <c r="L62" s="23" t="n">
        <v>4137</v>
      </c>
      <c r="M62" s="24" t="n">
        <v>4.57</v>
      </c>
      <c r="N62" s="23">
        <f>ROUND(L62/M62, 0)</f>
        <v/>
      </c>
      <c r="O62" s="23">
        <f>ROUND(N62*'Methodology &amp; Assumptions'!$B$8, 0)</f>
        <v/>
      </c>
      <c r="P62" s="44" t="inlineStr">
        <is>
          <t>Band n50 (1.5 GHz, 60 MHz)</t>
        </is>
      </c>
      <c r="Q62" s="38">
        <f>ROUNDUP(O62/'Methodology &amp; Assumptions'!$B$9, 0)</f>
        <v/>
      </c>
      <c r="R62" s="39" t="n">
        <v>1</v>
      </c>
      <c r="S62" s="25" t="n">
        <v>0.37</v>
      </c>
      <c r="T62" s="25" t="n">
        <v>0.37</v>
      </c>
      <c r="U62" s="42" t="inlineStr">
        <is>
          <t>Tier 1A (Direct Coloc, &lt;1 km)</t>
        </is>
      </c>
      <c r="V62" s="24" t="n">
        <v>98.3</v>
      </c>
      <c r="W62" s="24" t="n">
        <v>96.5</v>
      </c>
      <c r="X62" s="24" t="n">
        <v>58</v>
      </c>
      <c r="Y62" s="45">
        <f>ROUND((V62*'Methodology &amp; Assumptions'!$B$6)+(W62*'Methodology &amp; Assumptions'!$B$5)+(X62*'Methodology &amp; Assumptions'!$B$7), 2)</f>
        <v/>
      </c>
    </row>
    <row r="63" ht="19" customHeight="1">
      <c r="A63" s="35" t="n">
        <v>59</v>
      </c>
      <c r="B63" s="35" t="n">
        <v>59</v>
      </c>
      <c r="C63" s="36" t="inlineStr">
        <is>
          <t>0405807015</t>
        </is>
      </c>
      <c r="D63" s="36" t="inlineStr">
        <is>
          <t>Region IV-A (CALABARZON)</t>
        </is>
      </c>
      <c r="E63" s="36" t="inlineStr">
        <is>
          <t>Rizal</t>
        </is>
      </c>
      <c r="F63" s="36" t="inlineStr">
        <is>
          <t>Jala-Jala</t>
        </is>
      </c>
      <c r="G63" s="36" t="inlineStr">
        <is>
          <t>Special District</t>
        </is>
      </c>
      <c r="H63" s="37" t="n">
        <v>14.357351</v>
      </c>
      <c r="I63" s="37" t="n">
        <v>121.326999</v>
      </c>
      <c r="J63" s="8" t="inlineStr">
        <is>
          <t>R</t>
        </is>
      </c>
      <c r="K63" s="36" t="inlineStr">
        <is>
          <t>3rd</t>
        </is>
      </c>
      <c r="L63" s="18" t="n">
        <v>4513</v>
      </c>
      <c r="M63" s="20" t="n">
        <v>4.64</v>
      </c>
      <c r="N63" s="18">
        <f>ROUND(L63/M63, 0)</f>
        <v/>
      </c>
      <c r="O63" s="18">
        <f>ROUND(N63*'Methodology &amp; Assumptions'!$B$8, 0)</f>
        <v/>
      </c>
      <c r="P63" s="8" t="inlineStr">
        <is>
          <t>Band n50 (1.5 GHz, 60 MHz)</t>
        </is>
      </c>
      <c r="Q63" s="38">
        <f>ROUNDUP(O63/'Methodology &amp; Assumptions'!$B$9, 0)</f>
        <v/>
      </c>
      <c r="R63" s="39" t="n">
        <v>1</v>
      </c>
      <c r="S63" s="21" t="n">
        <v>0.17</v>
      </c>
      <c r="T63" s="21" t="n">
        <v>11.18</v>
      </c>
      <c r="U63" s="36" t="inlineStr">
        <is>
          <t>Tier 1A (Direct Coloc, &lt;1 km)</t>
        </is>
      </c>
      <c r="V63" s="20" t="n">
        <v>94.40000000000001</v>
      </c>
      <c r="W63" s="20" t="n">
        <v>100</v>
      </c>
      <c r="X63" s="20" t="n">
        <v>58</v>
      </c>
      <c r="Y63" s="40">
        <f>ROUND((V63*'Methodology &amp; Assumptions'!$B$6)+(W63*'Methodology &amp; Assumptions'!$B$5)+(X63*'Methodology &amp; Assumptions'!$B$7), 2)</f>
        <v/>
      </c>
    </row>
    <row r="64" ht="19" customHeight="1">
      <c r="A64" s="41" t="n">
        <v>60</v>
      </c>
      <c r="B64" s="41" t="n">
        <v>60</v>
      </c>
      <c r="C64" s="42" t="inlineStr">
        <is>
          <t>0501606051</t>
        </is>
      </c>
      <c r="D64" s="42" t="inlineStr">
        <is>
          <t>Region V (Bicol Region)</t>
        </is>
      </c>
      <c r="E64" s="42" t="inlineStr">
        <is>
          <t>Camarines Norte</t>
        </is>
      </c>
      <c r="F64" s="42" t="inlineStr">
        <is>
          <t>Labo</t>
        </is>
      </c>
      <c r="G64" s="42" t="inlineStr">
        <is>
          <t>Talobatib</t>
        </is>
      </c>
      <c r="H64" s="43" t="n">
        <v>14.181845</v>
      </c>
      <c r="I64" s="43" t="n">
        <v>122.785056</v>
      </c>
      <c r="J64" s="44" t="inlineStr">
        <is>
          <t>R</t>
        </is>
      </c>
      <c r="K64" s="42" t="inlineStr">
        <is>
          <t>Class 1-3 / Urban</t>
        </is>
      </c>
      <c r="L64" s="23" t="n">
        <v>4118</v>
      </c>
      <c r="M64" s="24" t="n">
        <v>4.4</v>
      </c>
      <c r="N64" s="23">
        <f>ROUND(L64/M64, 0)</f>
        <v/>
      </c>
      <c r="O64" s="23">
        <f>ROUND(N64*'Methodology &amp; Assumptions'!$B$8, 0)</f>
        <v/>
      </c>
      <c r="P64" s="44" t="inlineStr">
        <is>
          <t>Band n50 (1.5 GHz, 60 MHz)</t>
        </is>
      </c>
      <c r="Q64" s="38">
        <f>ROUNDUP(O64/'Methodology &amp; Assumptions'!$B$9, 0)</f>
        <v/>
      </c>
      <c r="R64" s="39" t="n">
        <v>1</v>
      </c>
      <c r="S64" s="25" t="n">
        <v>0.47</v>
      </c>
      <c r="T64" s="25" t="n">
        <v>1.63</v>
      </c>
      <c r="U64" s="42" t="inlineStr">
        <is>
          <t>Tier 1A (Direct Coloc, &lt;1 km)</t>
        </is>
      </c>
      <c r="V64" s="24" t="n">
        <v>95.40000000000001</v>
      </c>
      <c r="W64" s="24" t="n">
        <v>98.90000000000001</v>
      </c>
      <c r="X64" s="24" t="n">
        <v>58</v>
      </c>
      <c r="Y64" s="45">
        <f>ROUND((V64*'Methodology &amp; Assumptions'!$B$6)+(W64*'Methodology &amp; Assumptions'!$B$5)+(X64*'Methodology &amp; Assumptions'!$B$7), 2)</f>
        <v/>
      </c>
    </row>
    <row r="65" ht="19" customHeight="1">
      <c r="A65" s="35" t="n">
        <v>61</v>
      </c>
      <c r="B65" s="35" t="n">
        <v>61</v>
      </c>
      <c r="C65" s="36" t="inlineStr">
        <is>
          <t>0103307033</t>
        </is>
      </c>
      <c r="D65" s="36" t="inlineStr">
        <is>
          <t>Region I (Ilocos Region)</t>
        </is>
      </c>
      <c r="E65" s="36" t="inlineStr">
        <is>
          <t>La Union</t>
        </is>
      </c>
      <c r="F65" s="36" t="inlineStr">
        <is>
          <t>Bauang</t>
        </is>
      </c>
      <c r="G65" s="36" t="inlineStr">
        <is>
          <t>Quinavite</t>
        </is>
      </c>
      <c r="H65" s="37" t="n">
        <v>16.532906</v>
      </c>
      <c r="I65" s="37" t="n">
        <v>120.32981</v>
      </c>
      <c r="J65" s="8" t="inlineStr">
        <is>
          <t>R</t>
        </is>
      </c>
      <c r="K65" s="36" t="inlineStr">
        <is>
          <t>Class 1-3 / Urban</t>
        </is>
      </c>
      <c r="L65" s="18" t="n">
        <v>3880</v>
      </c>
      <c r="M65" s="20" t="n">
        <v>4.42</v>
      </c>
      <c r="N65" s="18">
        <f>ROUND(L65/M65, 0)</f>
        <v/>
      </c>
      <c r="O65" s="18">
        <f>ROUND(N65*'Methodology &amp; Assumptions'!$B$8, 0)</f>
        <v/>
      </c>
      <c r="P65" s="8" t="inlineStr">
        <is>
          <t>Band n50 (1.5 GHz, 60 MHz)</t>
        </is>
      </c>
      <c r="Q65" s="38">
        <f>ROUNDUP(O65/'Methodology &amp; Assumptions'!$B$9, 0)</f>
        <v/>
      </c>
      <c r="R65" s="39" t="n">
        <v>1</v>
      </c>
      <c r="S65" s="21" t="n">
        <v>0.14</v>
      </c>
      <c r="T65" s="21" t="n">
        <v>0.09</v>
      </c>
      <c r="U65" s="36" t="inlineStr">
        <is>
          <t>Tier 1A (Direct Coloc, &lt;1 km)</t>
        </is>
      </c>
      <c r="V65" s="20" t="n">
        <v>100</v>
      </c>
      <c r="W65" s="20" t="n">
        <v>94.09999999999999</v>
      </c>
      <c r="X65" s="20" t="n">
        <v>58</v>
      </c>
      <c r="Y65" s="40">
        <f>ROUND((V65*'Methodology &amp; Assumptions'!$B$6)+(W65*'Methodology &amp; Assumptions'!$B$5)+(X65*'Methodology &amp; Assumptions'!$B$7), 2)</f>
        <v/>
      </c>
    </row>
    <row r="66" ht="19" customHeight="1">
      <c r="A66" s="41" t="n">
        <v>62</v>
      </c>
      <c r="B66" s="41" t="n">
        <v>62</v>
      </c>
      <c r="C66" s="42" t="inlineStr">
        <is>
          <t>0403425020</t>
        </is>
      </c>
      <c r="D66" s="42" t="inlineStr">
        <is>
          <t>Region IV-A (CALABARZON)</t>
        </is>
      </c>
      <c r="E66" s="42" t="inlineStr">
        <is>
          <t>Laguna</t>
        </is>
      </c>
      <c r="F66" s="42" t="inlineStr">
        <is>
          <t>City of San Pedro</t>
        </is>
      </c>
      <c r="G66" s="42" t="inlineStr">
        <is>
          <t>Sampaguita Village</t>
        </is>
      </c>
      <c r="H66" s="43" t="n">
        <v>14.344472</v>
      </c>
      <c r="I66" s="43" t="n">
        <v>121.035417</v>
      </c>
      <c r="J66" s="44" t="inlineStr">
        <is>
          <t>R</t>
        </is>
      </c>
      <c r="K66" s="42" t="inlineStr">
        <is>
          <t>Class 1-3 / Urban</t>
        </is>
      </c>
      <c r="L66" s="23" t="n">
        <v>4941</v>
      </c>
      <c r="M66" s="24" t="n">
        <v>4.2</v>
      </c>
      <c r="N66" s="23">
        <f>ROUND(L66/M66, 0)</f>
        <v/>
      </c>
      <c r="O66" s="23">
        <f>ROUND(N66*'Methodology &amp; Assumptions'!$B$8, 0)</f>
        <v/>
      </c>
      <c r="P66" s="44" t="inlineStr">
        <is>
          <t>Band n50 (1.5 GHz, 60 MHz)</t>
        </is>
      </c>
      <c r="Q66" s="38">
        <f>ROUNDUP(O66/'Methodology &amp; Assumptions'!$B$9, 0)</f>
        <v/>
      </c>
      <c r="R66" s="39" t="n">
        <v>1</v>
      </c>
      <c r="S66" s="25" t="n">
        <v>0.52</v>
      </c>
      <c r="T66" s="25" t="n">
        <v>0.53</v>
      </c>
      <c r="U66" s="42" t="inlineStr">
        <is>
          <t>Tier 1A (Direct Coloc, &lt;1 km)</t>
        </is>
      </c>
      <c r="V66" s="24" t="n">
        <v>94.09999999999999</v>
      </c>
      <c r="W66" s="24" t="n">
        <v>100</v>
      </c>
      <c r="X66" s="24" t="n">
        <v>58</v>
      </c>
      <c r="Y66" s="45">
        <f>ROUND((V66*'Methodology &amp; Assumptions'!$B$6)+(W66*'Methodology &amp; Assumptions'!$B$5)+(X66*'Methodology &amp; Assumptions'!$B$7), 2)</f>
        <v/>
      </c>
    </row>
    <row r="67" ht="19" customHeight="1">
      <c r="A67" s="35" t="n">
        <v>63</v>
      </c>
      <c r="B67" s="35" t="n">
        <v>63</v>
      </c>
      <c r="C67" s="36" t="inlineStr">
        <is>
          <t>0105543023</t>
        </is>
      </c>
      <c r="D67" s="36" t="inlineStr">
        <is>
          <t>Region I (Ilocos Region)</t>
        </is>
      </c>
      <c r="E67" s="36" t="inlineStr">
        <is>
          <t>Pangasinan</t>
        </is>
      </c>
      <c r="F67" s="36" t="inlineStr">
        <is>
          <t>Tayug</t>
        </is>
      </c>
      <c r="G67" s="36" t="inlineStr">
        <is>
          <t>Trenchera</t>
        </is>
      </c>
      <c r="H67" s="37" t="n">
        <v>16.02285</v>
      </c>
      <c r="I67" s="37" t="n">
        <v>120.75015</v>
      </c>
      <c r="J67" s="8" t="inlineStr">
        <is>
          <t>R</t>
        </is>
      </c>
      <c r="K67" s="36" t="inlineStr">
        <is>
          <t>Class 1-3 / Urban</t>
        </is>
      </c>
      <c r="L67" s="18" t="n">
        <v>4310</v>
      </c>
      <c r="M67" s="20" t="n">
        <v>4.39</v>
      </c>
      <c r="N67" s="18">
        <f>ROUND(L67/M67, 0)</f>
        <v/>
      </c>
      <c r="O67" s="18">
        <f>ROUND(N67*'Methodology &amp; Assumptions'!$B$8, 0)</f>
        <v/>
      </c>
      <c r="P67" s="8" t="inlineStr">
        <is>
          <t>Band n50 (1.5 GHz, 60 MHz)</t>
        </is>
      </c>
      <c r="Q67" s="38">
        <f>ROUNDUP(O67/'Methodology &amp; Assumptions'!$B$9, 0)</f>
        <v/>
      </c>
      <c r="R67" s="39" t="n">
        <v>1</v>
      </c>
      <c r="S67" s="21" t="n">
        <v>0.52</v>
      </c>
      <c r="T67" s="21" t="n">
        <v>0.37</v>
      </c>
      <c r="U67" s="36" t="inlineStr">
        <is>
          <t>Tier 1A (Direct Coloc, &lt;1 km)</t>
        </is>
      </c>
      <c r="V67" s="20" t="n">
        <v>94.09999999999999</v>
      </c>
      <c r="W67" s="20" t="n">
        <v>100</v>
      </c>
      <c r="X67" s="20" t="n">
        <v>58</v>
      </c>
      <c r="Y67" s="40">
        <f>ROUND((V67*'Methodology &amp; Assumptions'!$B$6)+(W67*'Methodology &amp; Assumptions'!$B$5)+(X67*'Methodology &amp; Assumptions'!$B$7), 2)</f>
        <v/>
      </c>
    </row>
    <row r="68" ht="19" customHeight="1">
      <c r="A68" s="41" t="n">
        <v>64</v>
      </c>
      <c r="B68" s="41" t="n">
        <v>64</v>
      </c>
      <c r="C68" s="42" t="inlineStr">
        <is>
          <t>0702212005</t>
        </is>
      </c>
      <c r="D68" s="42" t="inlineStr">
        <is>
          <t>Region VII (Central Visayas)</t>
        </is>
      </c>
      <c r="E68" s="42" t="inlineStr">
        <is>
          <t>Cebu</t>
        </is>
      </c>
      <c r="F68" s="42" t="inlineStr">
        <is>
          <t>Boljoon</t>
        </is>
      </c>
      <c r="G68" s="42" t="inlineStr">
        <is>
          <t>Poblacion</t>
        </is>
      </c>
      <c r="H68" s="43" t="n">
        <v>9.629092</v>
      </c>
      <c r="I68" s="43" t="n">
        <v>123.47995</v>
      </c>
      <c r="J68" s="44" t="inlineStr">
        <is>
          <t>R</t>
        </is>
      </c>
      <c r="K68" s="42" t="inlineStr">
        <is>
          <t>4th</t>
        </is>
      </c>
      <c r="L68" s="23" t="n">
        <v>4169</v>
      </c>
      <c r="M68" s="24" t="n">
        <v>4.84</v>
      </c>
      <c r="N68" s="23">
        <f>ROUND(L68/M68, 0)</f>
        <v/>
      </c>
      <c r="O68" s="23">
        <f>ROUND(N68*'Methodology &amp; Assumptions'!$B$8, 0)</f>
        <v/>
      </c>
      <c r="P68" s="44" t="inlineStr">
        <is>
          <t>Band n50 (1.5 GHz, 60 MHz)</t>
        </is>
      </c>
      <c r="Q68" s="38">
        <f>ROUNDUP(O68/'Methodology &amp; Assumptions'!$B$9, 0)</f>
        <v/>
      </c>
      <c r="R68" s="39" t="n">
        <v>1</v>
      </c>
      <c r="S68" s="25" t="n">
        <v>0.6</v>
      </c>
      <c r="T68" s="25" t="n">
        <v>0.24</v>
      </c>
      <c r="U68" s="42" t="inlineStr">
        <is>
          <t>Tier 1A (Direct Coloc, &lt;1 km)</t>
        </is>
      </c>
      <c r="V68" s="24" t="n">
        <v>91.90000000000001</v>
      </c>
      <c r="W68" s="24" t="n">
        <v>92.8</v>
      </c>
      <c r="X68" s="24" t="n">
        <v>68.5</v>
      </c>
      <c r="Y68" s="45">
        <f>ROUND((V68*'Methodology &amp; Assumptions'!$B$6)+(W68*'Methodology &amp; Assumptions'!$B$5)+(X68*'Methodology &amp; Assumptions'!$B$7), 2)</f>
        <v/>
      </c>
    </row>
    <row r="69" ht="19" customHeight="1">
      <c r="A69" s="35" t="n">
        <v>65</v>
      </c>
      <c r="B69" s="35" t="n">
        <v>65</v>
      </c>
      <c r="C69" s="36" t="inlineStr">
        <is>
          <t>0301420032</t>
        </is>
      </c>
      <c r="D69" s="36" t="inlineStr">
        <is>
          <t>Region III (Central Luzon)</t>
        </is>
      </c>
      <c r="E69" s="36" t="inlineStr">
        <is>
          <t>Bulacan</t>
        </is>
      </c>
      <c r="F69" s="36" t="inlineStr">
        <is>
          <t>City of San Jose Del Monte</t>
        </is>
      </c>
      <c r="G69" s="36" t="inlineStr">
        <is>
          <t>Gumaoc Central</t>
        </is>
      </c>
      <c r="H69" s="37" t="n">
        <v>14.799886</v>
      </c>
      <c r="I69" s="37" t="n">
        <v>121.065581</v>
      </c>
      <c r="J69" s="8" t="inlineStr">
        <is>
          <t>R</t>
        </is>
      </c>
      <c r="K69" s="36" t="inlineStr">
        <is>
          <t>Class 1-3 / Urban</t>
        </is>
      </c>
      <c r="L69" s="18" t="n">
        <v>4123</v>
      </c>
      <c r="M69" s="20" t="n">
        <v>4.1</v>
      </c>
      <c r="N69" s="18">
        <f>ROUND(L69/M69, 0)</f>
        <v/>
      </c>
      <c r="O69" s="18">
        <f>ROUND(N69*'Methodology &amp; Assumptions'!$B$8, 0)</f>
        <v/>
      </c>
      <c r="P69" s="8" t="inlineStr">
        <is>
          <t>Band n50 (1.5 GHz, 60 MHz)</t>
        </is>
      </c>
      <c r="Q69" s="38">
        <f>ROUNDUP(O69/'Methodology &amp; Assumptions'!$B$9, 0)</f>
        <v/>
      </c>
      <c r="R69" s="39" t="n">
        <v>1</v>
      </c>
      <c r="S69" s="21" t="n">
        <v>0.54</v>
      </c>
      <c r="T69" s="21" t="n">
        <v>0.89</v>
      </c>
      <c r="U69" s="36" t="inlineStr">
        <is>
          <t>Tier 1A (Direct Coloc, &lt;1 km)</t>
        </is>
      </c>
      <c r="V69" s="20" t="n">
        <v>93.40000000000001</v>
      </c>
      <c r="W69" s="20" t="n">
        <v>100</v>
      </c>
      <c r="X69" s="20" t="n">
        <v>58</v>
      </c>
      <c r="Y69" s="40">
        <f>ROUND((V69*'Methodology &amp; Assumptions'!$B$6)+(W69*'Methodology &amp; Assumptions'!$B$5)+(X69*'Methodology &amp; Assumptions'!$B$7), 2)</f>
        <v/>
      </c>
    </row>
    <row r="70" ht="19" customHeight="1">
      <c r="A70" s="41" t="n">
        <v>66</v>
      </c>
      <c r="B70" s="41" t="n">
        <v>66</v>
      </c>
      <c r="C70" s="42" t="inlineStr">
        <is>
          <t>1600212001</t>
        </is>
      </c>
      <c r="D70" s="42" t="inlineStr">
        <is>
          <t>Region XIII (Caraga)</t>
        </is>
      </c>
      <c r="E70" s="42" t="inlineStr">
        <is>
          <t>Agusan del Norte</t>
        </is>
      </c>
      <c r="F70" s="42" t="inlineStr">
        <is>
          <t>Remedios T. Romualdez</t>
        </is>
      </c>
      <c r="G70" s="42" t="inlineStr">
        <is>
          <t>Poblacion I</t>
        </is>
      </c>
      <c r="H70" s="43" t="n">
        <v>9.054040000000001</v>
      </c>
      <c r="I70" s="43" t="n">
        <v>125.585871</v>
      </c>
      <c r="J70" s="44" t="inlineStr">
        <is>
          <t>R</t>
        </is>
      </c>
      <c r="K70" s="42" t="inlineStr">
        <is>
          <t>4th</t>
        </is>
      </c>
      <c r="L70" s="23" t="n">
        <v>2703</v>
      </c>
      <c r="M70" s="24" t="n">
        <v>4.56</v>
      </c>
      <c r="N70" s="23">
        <f>ROUND(L70/M70, 0)</f>
        <v/>
      </c>
      <c r="O70" s="23">
        <f>ROUND(N70*'Methodology &amp; Assumptions'!$B$8, 0)</f>
        <v/>
      </c>
      <c r="P70" s="44" t="inlineStr">
        <is>
          <t>Band n50 (1.5 GHz, 60 MHz)</t>
        </is>
      </c>
      <c r="Q70" s="38">
        <f>ROUNDUP(O70/'Methodology &amp; Assumptions'!$B$9, 0)</f>
        <v/>
      </c>
      <c r="R70" s="39" t="n">
        <v>1</v>
      </c>
      <c r="S70" s="25" t="n">
        <v>0.23</v>
      </c>
      <c r="T70" s="25" t="n">
        <v>0.3</v>
      </c>
      <c r="U70" s="42" t="inlineStr">
        <is>
          <t>Tier 1A (Direct Coloc, &lt;1 km)</t>
        </is>
      </c>
      <c r="V70" s="24" t="n">
        <v>100</v>
      </c>
      <c r="W70" s="24" t="n">
        <v>71.5</v>
      </c>
      <c r="X70" s="24" t="n">
        <v>83.5</v>
      </c>
      <c r="Y70" s="45">
        <f>ROUND((V70*'Methodology &amp; Assumptions'!$B$6)+(W70*'Methodology &amp; Assumptions'!$B$5)+(X70*'Methodology &amp; Assumptions'!$B$7), 2)</f>
        <v/>
      </c>
    </row>
    <row r="71" ht="19" customHeight="1">
      <c r="A71" s="35" t="n">
        <v>67</v>
      </c>
      <c r="B71" s="35" t="n">
        <v>67</v>
      </c>
      <c r="C71" s="36" t="inlineStr">
        <is>
          <t>1705319005</t>
        </is>
      </c>
      <c r="D71" s="36" t="inlineStr">
        <is>
          <t>MIMAROPA Region</t>
        </is>
      </c>
      <c r="E71" s="36" t="inlineStr">
        <is>
          <t>Palawan</t>
        </is>
      </c>
      <c r="F71" s="36" t="inlineStr">
        <is>
          <t>San Vicente</t>
        </is>
      </c>
      <c r="G71" s="36" t="inlineStr">
        <is>
          <t>New Agutaya</t>
        </is>
      </c>
      <c r="H71" s="37" t="n">
        <v>10.54019</v>
      </c>
      <c r="I71" s="37" t="n">
        <v>119.2788</v>
      </c>
      <c r="J71" s="8" t="inlineStr">
        <is>
          <t>R</t>
        </is>
      </c>
      <c r="K71" s="36" t="inlineStr">
        <is>
          <t>Class 1-3 / Urban</t>
        </is>
      </c>
      <c r="L71" s="18" t="n">
        <v>4374</v>
      </c>
      <c r="M71" s="20" t="n">
        <v>4.35</v>
      </c>
      <c r="N71" s="18">
        <f>ROUND(L71/M71, 0)</f>
        <v/>
      </c>
      <c r="O71" s="18">
        <f>ROUND(N71*'Methodology &amp; Assumptions'!$B$8, 0)</f>
        <v/>
      </c>
      <c r="P71" s="8" t="inlineStr">
        <is>
          <t>Band n50 (1.5 GHz, 60 MHz)</t>
        </is>
      </c>
      <c r="Q71" s="38">
        <f>ROUNDUP(O71/'Methodology &amp; Assumptions'!$B$9, 0)</f>
        <v/>
      </c>
      <c r="R71" s="39" t="n">
        <v>1</v>
      </c>
      <c r="S71" s="21" t="n">
        <v>0.21</v>
      </c>
      <c r="T71" s="21" t="n">
        <v>9.08</v>
      </c>
      <c r="U71" s="36" t="inlineStr">
        <is>
          <t>Tier 1A (Direct Coloc, &lt;1 km)</t>
        </is>
      </c>
      <c r="V71" s="20" t="n">
        <v>93.2</v>
      </c>
      <c r="W71" s="20" t="n">
        <v>100</v>
      </c>
      <c r="X71" s="20" t="n">
        <v>58</v>
      </c>
      <c r="Y71" s="40">
        <f>ROUND((V71*'Methodology &amp; Assumptions'!$B$6)+(W71*'Methodology &amp; Assumptions'!$B$5)+(X71*'Methodology &amp; Assumptions'!$B$7), 2)</f>
        <v/>
      </c>
    </row>
    <row r="72" ht="19" customHeight="1">
      <c r="A72" s="41" t="n">
        <v>68</v>
      </c>
      <c r="B72" s="41" t="n">
        <v>68</v>
      </c>
      <c r="C72" s="42" t="inlineStr">
        <is>
          <t>0506216030</t>
        </is>
      </c>
      <c r="D72" s="42" t="inlineStr">
        <is>
          <t>Region V (Bicol Region)</t>
        </is>
      </c>
      <c r="E72" s="42" t="inlineStr">
        <is>
          <t>Sorsogon</t>
        </is>
      </c>
      <c r="F72" s="42" t="inlineStr">
        <is>
          <t>City of Sorsogon</t>
        </is>
      </c>
      <c r="G72" s="42" t="inlineStr">
        <is>
          <t>Sampaloc</t>
        </is>
      </c>
      <c r="H72" s="43" t="n">
        <v>12.969828</v>
      </c>
      <c r="I72" s="43" t="n">
        <v>124.008517</v>
      </c>
      <c r="J72" s="44" t="inlineStr">
        <is>
          <t>R</t>
        </is>
      </c>
      <c r="K72" s="42" t="inlineStr">
        <is>
          <t>Class 1-3 / Urban</t>
        </is>
      </c>
      <c r="L72" s="23" t="n">
        <v>4594</v>
      </c>
      <c r="M72" s="24" t="n">
        <v>4.58</v>
      </c>
      <c r="N72" s="23">
        <f>ROUND(L72/M72, 0)</f>
        <v/>
      </c>
      <c r="O72" s="23">
        <f>ROUND(N72*'Methodology &amp; Assumptions'!$B$8, 0)</f>
        <v/>
      </c>
      <c r="P72" s="44" t="inlineStr">
        <is>
          <t>Band n50 (1.5 GHz, 60 MHz)</t>
        </is>
      </c>
      <c r="Q72" s="38">
        <f>ROUNDUP(O72/'Methodology &amp; Assumptions'!$B$9, 0)</f>
        <v/>
      </c>
      <c r="R72" s="39" t="n">
        <v>1</v>
      </c>
      <c r="S72" s="25" t="n">
        <v>0.5600000000000001</v>
      </c>
      <c r="T72" s="25" t="n">
        <v>0.44</v>
      </c>
      <c r="U72" s="42" t="inlineStr">
        <is>
          <t>Tier 1A (Direct Coloc, &lt;1 km)</t>
        </is>
      </c>
      <c r="V72" s="24" t="n">
        <v>93.09999999999999</v>
      </c>
      <c r="W72" s="24" t="n">
        <v>100</v>
      </c>
      <c r="X72" s="24" t="n">
        <v>58</v>
      </c>
      <c r="Y72" s="45">
        <f>ROUND((V72*'Methodology &amp; Assumptions'!$B$6)+(W72*'Methodology &amp; Assumptions'!$B$5)+(X72*'Methodology &amp; Assumptions'!$B$7), 2)</f>
        <v/>
      </c>
    </row>
    <row r="73" ht="19" customHeight="1">
      <c r="A73" s="35" t="n">
        <v>69</v>
      </c>
      <c r="B73" s="35" t="n">
        <v>69</v>
      </c>
      <c r="C73" s="36" t="inlineStr">
        <is>
          <t>0803740022</t>
        </is>
      </c>
      <c r="D73" s="36" t="inlineStr">
        <is>
          <t>Region VIII (Eastern Visayas)</t>
        </is>
      </c>
      <c r="E73" s="36" t="inlineStr">
        <is>
          <t>Leyte</t>
        </is>
      </c>
      <c r="F73" s="36" t="inlineStr">
        <is>
          <t>Palompon</t>
        </is>
      </c>
      <c r="G73" s="36" t="inlineStr">
        <is>
          <t>Mazawalo Pob.</t>
        </is>
      </c>
      <c r="H73" s="37" t="n">
        <v>11.046642</v>
      </c>
      <c r="I73" s="37" t="n">
        <v>124.385489</v>
      </c>
      <c r="J73" s="8" t="inlineStr">
        <is>
          <t>R</t>
        </is>
      </c>
      <c r="K73" s="36" t="inlineStr">
        <is>
          <t>Class 1-3 / Urban</t>
        </is>
      </c>
      <c r="L73" s="18" t="n">
        <v>4510</v>
      </c>
      <c r="M73" s="20" t="n">
        <v>4.24</v>
      </c>
      <c r="N73" s="18">
        <f>ROUND(L73/M73, 0)</f>
        <v/>
      </c>
      <c r="O73" s="18">
        <f>ROUND(N73*'Methodology &amp; Assumptions'!$B$8, 0)</f>
        <v/>
      </c>
      <c r="P73" s="8" t="inlineStr">
        <is>
          <t>Band n50 (1.5 GHz, 60 MHz)</t>
        </is>
      </c>
      <c r="Q73" s="38">
        <f>ROUNDUP(O73/'Methodology &amp; Assumptions'!$B$9, 0)</f>
        <v/>
      </c>
      <c r="R73" s="39" t="n">
        <v>1</v>
      </c>
      <c r="S73" s="21" t="n">
        <v>0.5600000000000001</v>
      </c>
      <c r="T73" s="21" t="n">
        <v>0.34</v>
      </c>
      <c r="U73" s="36" t="inlineStr">
        <is>
          <t>Tier 1A (Direct Coloc, &lt;1 km)</t>
        </is>
      </c>
      <c r="V73" s="20" t="n">
        <v>93.09999999999999</v>
      </c>
      <c r="W73" s="20" t="n">
        <v>100</v>
      </c>
      <c r="X73" s="20" t="n">
        <v>58</v>
      </c>
      <c r="Y73" s="40">
        <f>ROUND((V73*'Methodology &amp; Assumptions'!$B$6)+(W73*'Methodology &amp; Assumptions'!$B$5)+(X73*'Methodology &amp; Assumptions'!$B$7), 2)</f>
        <v/>
      </c>
    </row>
    <row r="74" ht="19" customHeight="1">
      <c r="A74" s="41" t="n">
        <v>70</v>
      </c>
      <c r="B74" s="41" t="n">
        <v>70</v>
      </c>
      <c r="C74" s="42" t="inlineStr">
        <is>
          <t>0803744015</t>
        </is>
      </c>
      <c r="D74" s="42" t="inlineStr">
        <is>
          <t>Region VIII (Eastern Visayas)</t>
        </is>
      </c>
      <c r="E74" s="42" t="inlineStr">
        <is>
          <t>Leyte</t>
        </is>
      </c>
      <c r="F74" s="42" t="inlineStr">
        <is>
          <t>Santa Fe</t>
        </is>
      </c>
      <c r="G74" s="42" t="inlineStr">
        <is>
          <t>San Roque</t>
        </is>
      </c>
      <c r="H74" s="43" t="n">
        <v>11.107863</v>
      </c>
      <c r="I74" s="43" t="n">
        <v>125.019739</v>
      </c>
      <c r="J74" s="44" t="inlineStr">
        <is>
          <t>R</t>
        </is>
      </c>
      <c r="K74" s="42" t="inlineStr">
        <is>
          <t>4th</t>
        </is>
      </c>
      <c r="L74" s="23" t="n">
        <v>2543</v>
      </c>
      <c r="M74" s="24" t="n">
        <v>4.31</v>
      </c>
      <c r="N74" s="23">
        <f>ROUND(L74/M74, 0)</f>
        <v/>
      </c>
      <c r="O74" s="23">
        <f>ROUND(N74*'Methodology &amp; Assumptions'!$B$8, 0)</f>
        <v/>
      </c>
      <c r="P74" s="44" t="inlineStr">
        <is>
          <t>Band n50 (1.5 GHz, 60 MHz)</t>
        </is>
      </c>
      <c r="Q74" s="38">
        <f>ROUNDUP(O74/'Methodology &amp; Assumptions'!$B$9, 0)</f>
        <v/>
      </c>
      <c r="R74" s="39" t="n">
        <v>1</v>
      </c>
      <c r="S74" s="25" t="n">
        <v>0.28</v>
      </c>
      <c r="T74" s="25" t="n">
        <v>0.21</v>
      </c>
      <c r="U74" s="42" t="inlineStr">
        <is>
          <t>Tier 1A (Direct Coloc, &lt;1 km)</t>
        </is>
      </c>
      <c r="V74" s="24" t="n">
        <v>100</v>
      </c>
      <c r="W74" s="24" t="n">
        <v>71.2</v>
      </c>
      <c r="X74" s="24" t="n">
        <v>83.5</v>
      </c>
      <c r="Y74" s="45">
        <f>ROUND((V74*'Methodology &amp; Assumptions'!$B$6)+(W74*'Methodology &amp; Assumptions'!$B$5)+(X74*'Methodology &amp; Assumptions'!$B$7), 2)</f>
        <v/>
      </c>
    </row>
    <row r="75" ht="19" customHeight="1">
      <c r="A75" s="35" t="n">
        <v>71</v>
      </c>
      <c r="B75" s="35" t="n">
        <v>71</v>
      </c>
      <c r="C75" s="36" t="inlineStr">
        <is>
          <t>0304908005</t>
        </is>
      </c>
      <c r="D75" s="36" t="inlineStr">
        <is>
          <t>Region III (Central Luzon)</t>
        </is>
      </c>
      <c r="E75" s="36" t="inlineStr">
        <is>
          <t>Nueva Ecija</t>
        </is>
      </c>
      <c r="F75" s="36" t="inlineStr">
        <is>
          <t>City of Gapan</t>
        </is>
      </c>
      <c r="G75" s="36" t="inlineStr">
        <is>
          <t>Malimba</t>
        </is>
      </c>
      <c r="H75" s="37" t="n">
        <v>15.256038</v>
      </c>
      <c r="I75" s="37" t="n">
        <v>120.951339</v>
      </c>
      <c r="J75" s="8" t="inlineStr">
        <is>
          <t>R</t>
        </is>
      </c>
      <c r="K75" s="36" t="inlineStr">
        <is>
          <t>Class 1-3 / Urban</t>
        </is>
      </c>
      <c r="L75" s="18" t="n">
        <v>3711</v>
      </c>
      <c r="M75" s="20" t="n">
        <v>4.32</v>
      </c>
      <c r="N75" s="18">
        <f>ROUND(L75/M75, 0)</f>
        <v/>
      </c>
      <c r="O75" s="18">
        <f>ROUND(N75*'Methodology &amp; Assumptions'!$B$8, 0)</f>
        <v/>
      </c>
      <c r="P75" s="8" t="inlineStr">
        <is>
          <t>Band n50 (1.5 GHz, 60 MHz)</t>
        </is>
      </c>
      <c r="Q75" s="38">
        <f>ROUNDUP(O75/'Methodology &amp; Assumptions'!$B$9, 0)</f>
        <v/>
      </c>
      <c r="R75" s="39" t="n">
        <v>1</v>
      </c>
      <c r="S75" s="21" t="n">
        <v>0.01</v>
      </c>
      <c r="T75" s="21" t="n">
        <v>0.09</v>
      </c>
      <c r="U75" s="36" t="inlineStr">
        <is>
          <t>Tier 1A (Direct Coloc, &lt;1 km)</t>
        </is>
      </c>
      <c r="V75" s="20" t="n">
        <v>100</v>
      </c>
      <c r="W75" s="20" t="n">
        <v>92.8</v>
      </c>
      <c r="X75" s="20" t="n">
        <v>58</v>
      </c>
      <c r="Y75" s="40">
        <f>ROUND((V75*'Methodology &amp; Assumptions'!$B$6)+(W75*'Methodology &amp; Assumptions'!$B$5)+(X75*'Methodology &amp; Assumptions'!$B$7), 2)</f>
        <v/>
      </c>
    </row>
    <row r="76" ht="19" customHeight="1">
      <c r="A76" s="41" t="n">
        <v>72</v>
      </c>
      <c r="B76" s="41" t="n">
        <v>72</v>
      </c>
      <c r="C76" s="42" t="inlineStr">
        <is>
          <t>0304932005</t>
        </is>
      </c>
      <c r="D76" s="42" t="inlineStr">
        <is>
          <t>Region III (Central Luzon)</t>
        </is>
      </c>
      <c r="E76" s="42" t="inlineStr">
        <is>
          <t>Nueva Ecija</t>
        </is>
      </c>
      <c r="F76" s="42" t="inlineStr">
        <is>
          <t>Zaragoza</t>
        </is>
      </c>
      <c r="G76" s="42" t="inlineStr">
        <is>
          <t>Del Pilar</t>
        </is>
      </c>
      <c r="H76" s="43" t="n">
        <v>15.451944</v>
      </c>
      <c r="I76" s="43" t="n">
        <v>120.793333</v>
      </c>
      <c r="J76" s="44" t="inlineStr">
        <is>
          <t>R</t>
        </is>
      </c>
      <c r="K76" s="42" t="inlineStr">
        <is>
          <t>Class 1-3 / Urban</t>
        </is>
      </c>
      <c r="L76" s="23" t="n">
        <v>3746</v>
      </c>
      <c r="M76" s="24" t="n">
        <v>4.32</v>
      </c>
      <c r="N76" s="23">
        <f>ROUND(L76/M76, 0)</f>
        <v/>
      </c>
      <c r="O76" s="23">
        <f>ROUND(N76*'Methodology &amp; Assumptions'!$B$8, 0)</f>
        <v/>
      </c>
      <c r="P76" s="44" t="inlineStr">
        <is>
          <t>Band n50 (1.5 GHz, 60 MHz)</t>
        </is>
      </c>
      <c r="Q76" s="38">
        <f>ROUNDUP(O76/'Methodology &amp; Assumptions'!$B$9, 0)</f>
        <v/>
      </c>
      <c r="R76" s="39" t="n">
        <v>1</v>
      </c>
      <c r="S76" s="25" t="n">
        <v>0.35</v>
      </c>
      <c r="T76" s="25" t="n">
        <v>0.28</v>
      </c>
      <c r="U76" s="42" t="inlineStr">
        <is>
          <t>Tier 1A (Direct Coloc, &lt;1 km)</t>
        </is>
      </c>
      <c r="V76" s="24" t="n">
        <v>98.90000000000001</v>
      </c>
      <c r="W76" s="24" t="n">
        <v>93.3</v>
      </c>
      <c r="X76" s="24" t="n">
        <v>58</v>
      </c>
      <c r="Y76" s="45">
        <f>ROUND((V76*'Methodology &amp; Assumptions'!$B$6)+(W76*'Methodology &amp; Assumptions'!$B$5)+(X76*'Methodology &amp; Assumptions'!$B$7), 2)</f>
        <v/>
      </c>
    </row>
    <row r="77" ht="19" customHeight="1">
      <c r="A77" s="35" t="n">
        <v>73</v>
      </c>
      <c r="B77" s="35" t="n">
        <v>73</v>
      </c>
      <c r="C77" s="36" t="inlineStr">
        <is>
          <t>0300804026</t>
        </is>
      </c>
      <c r="D77" s="36" t="inlineStr">
        <is>
          <t>Region III (Central Luzon)</t>
        </is>
      </c>
      <c r="E77" s="36" t="inlineStr">
        <is>
          <t>Bataan</t>
        </is>
      </c>
      <c r="F77" s="36" t="inlineStr">
        <is>
          <t>Dinalupihan</t>
        </is>
      </c>
      <c r="G77" s="36" t="inlineStr">
        <is>
          <t>Pinulot</t>
        </is>
      </c>
      <c r="H77" s="37" t="n">
        <v>14.849241</v>
      </c>
      <c r="I77" s="37" t="n">
        <v>120.39208</v>
      </c>
      <c r="J77" s="8" t="inlineStr">
        <is>
          <t>R</t>
        </is>
      </c>
      <c r="K77" s="36" t="inlineStr">
        <is>
          <t>Class 1-3 / Urban</t>
        </is>
      </c>
      <c r="L77" s="18" t="n">
        <v>4555</v>
      </c>
      <c r="M77" s="20" t="n">
        <v>4.57</v>
      </c>
      <c r="N77" s="18">
        <f>ROUND(L77/M77, 0)</f>
        <v/>
      </c>
      <c r="O77" s="18">
        <f>ROUND(N77*'Methodology &amp; Assumptions'!$B$8, 0)</f>
        <v/>
      </c>
      <c r="P77" s="8" t="inlineStr">
        <is>
          <t>Band n50 (1.5 GHz, 60 MHz)</t>
        </is>
      </c>
      <c r="Q77" s="38">
        <f>ROUNDUP(O77/'Methodology &amp; Assumptions'!$B$9, 0)</f>
        <v/>
      </c>
      <c r="R77" s="39" t="n">
        <v>1</v>
      </c>
      <c r="S77" s="21" t="n">
        <v>0.59</v>
      </c>
      <c r="T77" s="21" t="n">
        <v>0.05</v>
      </c>
      <c r="U77" s="36" t="inlineStr">
        <is>
          <t>Tier 1A (Direct Coloc, &lt;1 km)</t>
        </is>
      </c>
      <c r="V77" s="20" t="n">
        <v>92.2</v>
      </c>
      <c r="W77" s="20" t="n">
        <v>100</v>
      </c>
      <c r="X77" s="20" t="n">
        <v>58</v>
      </c>
      <c r="Y77" s="40">
        <f>ROUND((V77*'Methodology &amp; Assumptions'!$B$6)+(W77*'Methodology &amp; Assumptions'!$B$5)+(X77*'Methodology &amp; Assumptions'!$B$7), 2)</f>
        <v/>
      </c>
    </row>
    <row r="78" ht="19" customHeight="1">
      <c r="A78" s="41" t="n">
        <v>74</v>
      </c>
      <c r="B78" s="41" t="n">
        <v>74</v>
      </c>
      <c r="C78" s="42" t="inlineStr">
        <is>
          <t>0304930055</t>
        </is>
      </c>
      <c r="D78" s="42" t="inlineStr">
        <is>
          <t>Region III (Central Luzon)</t>
        </is>
      </c>
      <c r="E78" s="42" t="inlineStr">
        <is>
          <t>Nueva Ecija</t>
        </is>
      </c>
      <c r="F78" s="42" t="inlineStr">
        <is>
          <t>Talavera</t>
        </is>
      </c>
      <c r="G78" s="42" t="inlineStr">
        <is>
          <t>Tabacao</t>
        </is>
      </c>
      <c r="H78" s="43" t="n">
        <v>15.587137</v>
      </c>
      <c r="I78" s="43" t="n">
        <v>120.921231</v>
      </c>
      <c r="J78" s="44" t="inlineStr">
        <is>
          <t>R</t>
        </is>
      </c>
      <c r="K78" s="42" t="inlineStr">
        <is>
          <t>Class 1-3 / Urban</t>
        </is>
      </c>
      <c r="L78" s="23" t="n">
        <v>4455</v>
      </c>
      <c r="M78" s="24" t="n">
        <v>4.32</v>
      </c>
      <c r="N78" s="23">
        <f>ROUND(L78/M78, 0)</f>
        <v/>
      </c>
      <c r="O78" s="23">
        <f>ROUND(N78*'Methodology &amp; Assumptions'!$B$8, 0)</f>
        <v/>
      </c>
      <c r="P78" s="44" t="inlineStr">
        <is>
          <t>Band n50 (1.5 GHz, 60 MHz)</t>
        </is>
      </c>
      <c r="Q78" s="38">
        <f>ROUNDUP(O78/'Methodology &amp; Assumptions'!$B$9, 0)</f>
        <v/>
      </c>
      <c r="R78" s="39" t="n">
        <v>1</v>
      </c>
      <c r="S78" s="25" t="n">
        <v>0.61</v>
      </c>
      <c r="T78" s="25" t="n">
        <v>0.28</v>
      </c>
      <c r="U78" s="42" t="inlineStr">
        <is>
          <t>Tier 1A (Direct Coloc, &lt;1 km)</t>
        </is>
      </c>
      <c r="V78" s="24" t="n">
        <v>91.59999999999999</v>
      </c>
      <c r="W78" s="24" t="n">
        <v>100</v>
      </c>
      <c r="X78" s="24" t="n">
        <v>58</v>
      </c>
      <c r="Y78" s="45">
        <f>ROUND((V78*'Methodology &amp; Assumptions'!$B$6)+(W78*'Methodology &amp; Assumptions'!$B$5)+(X78*'Methodology &amp; Assumptions'!$B$7), 2)</f>
        <v/>
      </c>
    </row>
    <row r="79" ht="19" customHeight="1">
      <c r="A79" s="35" t="n">
        <v>75</v>
      </c>
      <c r="B79" s="35" t="n">
        <v>75</v>
      </c>
      <c r="C79" s="36" t="inlineStr">
        <is>
          <t>0307701013</t>
        </is>
      </c>
      <c r="D79" s="36" t="inlineStr">
        <is>
          <t>Region III (Central Luzon)</t>
        </is>
      </c>
      <c r="E79" s="36" t="inlineStr">
        <is>
          <t>Aurora</t>
        </is>
      </c>
      <c r="F79" s="36" t="inlineStr">
        <is>
          <t>Baler</t>
        </is>
      </c>
      <c r="G79" s="36" t="inlineStr">
        <is>
          <t>Zabali</t>
        </is>
      </c>
      <c r="H79" s="37" t="n">
        <v>15.755472</v>
      </c>
      <c r="I79" s="37" t="n">
        <v>121.565059</v>
      </c>
      <c r="J79" s="8" t="inlineStr">
        <is>
          <t>R</t>
        </is>
      </c>
      <c r="K79" s="36" t="inlineStr">
        <is>
          <t>Class 1-3 / Urban</t>
        </is>
      </c>
      <c r="L79" s="18" t="n">
        <v>4949</v>
      </c>
      <c r="M79" s="20" t="n">
        <v>4.24</v>
      </c>
      <c r="N79" s="18">
        <f>ROUND(L79/M79, 0)</f>
        <v/>
      </c>
      <c r="O79" s="18">
        <f>ROUND(N79*'Methodology &amp; Assumptions'!$B$8, 0)</f>
        <v/>
      </c>
      <c r="P79" s="8" t="inlineStr">
        <is>
          <t>Band n50 (1.5 GHz, 60 MHz)</t>
        </is>
      </c>
      <c r="Q79" s="38">
        <f>ROUNDUP(O79/'Methodology &amp; Assumptions'!$B$9, 0)</f>
        <v/>
      </c>
      <c r="R79" s="39" t="n">
        <v>1</v>
      </c>
      <c r="S79" s="21" t="n">
        <v>0.61</v>
      </c>
      <c r="T79" s="21" t="n">
        <v>0.47</v>
      </c>
      <c r="U79" s="36" t="inlineStr">
        <is>
          <t>Tier 1A (Direct Coloc, &lt;1 km)</t>
        </is>
      </c>
      <c r="V79" s="20" t="n">
        <v>91.59999999999999</v>
      </c>
      <c r="W79" s="20" t="n">
        <v>100</v>
      </c>
      <c r="X79" s="20" t="n">
        <v>58</v>
      </c>
      <c r="Y79" s="40">
        <f>ROUND((V79*'Methodology &amp; Assumptions'!$B$6)+(W79*'Methodology &amp; Assumptions'!$B$5)+(X79*'Methodology &amp; Assumptions'!$B$7), 2)</f>
        <v/>
      </c>
    </row>
    <row r="80" ht="19" customHeight="1">
      <c r="A80" s="41" t="n">
        <v>76</v>
      </c>
      <c r="B80" s="41" t="n">
        <v>76</v>
      </c>
      <c r="C80" s="42" t="inlineStr">
        <is>
          <t>0403425021</t>
        </is>
      </c>
      <c r="D80" s="42" t="inlineStr">
        <is>
          <t>Region IV-A (CALABARZON)</t>
        </is>
      </c>
      <c r="E80" s="42" t="inlineStr">
        <is>
          <t>Laguna</t>
        </is>
      </c>
      <c r="F80" s="42" t="inlineStr">
        <is>
          <t>City of San Pedro</t>
        </is>
      </c>
      <c r="G80" s="42" t="inlineStr">
        <is>
          <t>Calendola</t>
        </is>
      </c>
      <c r="H80" s="43" t="n">
        <v>14.343278</v>
      </c>
      <c r="I80" s="43" t="n">
        <v>121.035972</v>
      </c>
      <c r="J80" s="44" t="inlineStr">
        <is>
          <t>R</t>
        </is>
      </c>
      <c r="K80" s="42" t="inlineStr">
        <is>
          <t>Class 1-3 / Urban</t>
        </is>
      </c>
      <c r="L80" s="23" t="n">
        <v>3797</v>
      </c>
      <c r="M80" s="24" t="n">
        <v>4.2</v>
      </c>
      <c r="N80" s="23">
        <f>ROUND(L80/M80, 0)</f>
        <v/>
      </c>
      <c r="O80" s="23">
        <f>ROUND(N80*'Methodology &amp; Assumptions'!$B$8, 0)</f>
        <v/>
      </c>
      <c r="P80" s="44" t="inlineStr">
        <is>
          <t>Band n50 (1.5 GHz, 60 MHz)</t>
        </is>
      </c>
      <c r="Q80" s="38">
        <f>ROUNDUP(O80/'Methodology &amp; Assumptions'!$B$9, 0)</f>
        <v/>
      </c>
      <c r="R80" s="39" t="n">
        <v>1</v>
      </c>
      <c r="S80" s="25" t="n">
        <v>0.48</v>
      </c>
      <c r="T80" s="25" t="n">
        <v>0.5</v>
      </c>
      <c r="U80" s="42" t="inlineStr">
        <is>
          <t>Tier 1A (Direct Coloc, &lt;1 km)</t>
        </is>
      </c>
      <c r="V80" s="24" t="n">
        <v>95.3</v>
      </c>
      <c r="W80" s="24" t="n">
        <v>96.3</v>
      </c>
      <c r="X80" s="24" t="n">
        <v>58</v>
      </c>
      <c r="Y80" s="45">
        <f>ROUND((V80*'Methodology &amp; Assumptions'!$B$6)+(W80*'Methodology &amp; Assumptions'!$B$5)+(X80*'Methodology &amp; Assumptions'!$B$7), 2)</f>
        <v/>
      </c>
    </row>
    <row r="81" ht="19" customHeight="1">
      <c r="A81" s="35" t="n">
        <v>77</v>
      </c>
      <c r="B81" s="35" t="n">
        <v>77</v>
      </c>
      <c r="C81" s="36" t="inlineStr">
        <is>
          <t>0403412012</t>
        </is>
      </c>
      <c r="D81" s="36" t="inlineStr">
        <is>
          <t>Region IV-A (CALABARZON)</t>
        </is>
      </c>
      <c r="E81" s="36" t="inlineStr">
        <is>
          <t>Laguna</t>
        </is>
      </c>
      <c r="F81" s="36" t="inlineStr">
        <is>
          <t>Luisiana</t>
        </is>
      </c>
      <c r="G81" s="36" t="inlineStr">
        <is>
          <t>San Diego</t>
        </is>
      </c>
      <c r="H81" s="37" t="n">
        <v>14.185534</v>
      </c>
      <c r="I81" s="37" t="n">
        <v>121.50564</v>
      </c>
      <c r="J81" s="8" t="inlineStr">
        <is>
          <t>R</t>
        </is>
      </c>
      <c r="K81" s="36" t="inlineStr">
        <is>
          <t>4th</t>
        </is>
      </c>
      <c r="L81" s="18" t="n">
        <v>2705</v>
      </c>
      <c r="M81" s="20" t="n">
        <v>4.07</v>
      </c>
      <c r="N81" s="18">
        <f>ROUND(L81/M81, 0)</f>
        <v/>
      </c>
      <c r="O81" s="18">
        <f>ROUND(N81*'Methodology &amp; Assumptions'!$B$8, 0)</f>
        <v/>
      </c>
      <c r="P81" s="8" t="inlineStr">
        <is>
          <t>Band n50 (1.5 GHz, 60 MHz)</t>
        </is>
      </c>
      <c r="Q81" s="38">
        <f>ROUNDUP(O81/'Methodology &amp; Assumptions'!$B$9, 0)</f>
        <v/>
      </c>
      <c r="R81" s="39" t="n">
        <v>1</v>
      </c>
      <c r="S81" s="21" t="n">
        <v>0.24</v>
      </c>
      <c r="T81" s="21" t="n">
        <v>3.99</v>
      </c>
      <c r="U81" s="36" t="inlineStr">
        <is>
          <t>Tier 1A (Direct Coloc, &lt;1 km)</t>
        </is>
      </c>
      <c r="V81" s="20" t="n">
        <v>92.3</v>
      </c>
      <c r="W81" s="20" t="n">
        <v>77.3</v>
      </c>
      <c r="X81" s="20" t="n">
        <v>83.5</v>
      </c>
      <c r="Y81" s="40">
        <f>ROUND((V81*'Methodology &amp; Assumptions'!$B$6)+(W81*'Methodology &amp; Assumptions'!$B$5)+(X81*'Methodology &amp; Assumptions'!$B$7), 2)</f>
        <v/>
      </c>
    </row>
    <row r="82" ht="19" customHeight="1">
      <c r="A82" s="41" t="n">
        <v>78</v>
      </c>
      <c r="B82" s="41" t="n">
        <v>78</v>
      </c>
      <c r="C82" s="42" t="inlineStr">
        <is>
          <t>0201508016</t>
        </is>
      </c>
      <c r="D82" s="42" t="inlineStr">
        <is>
          <t>Region II (Cagayan Valley)</t>
        </is>
      </c>
      <c r="E82" s="42" t="inlineStr">
        <is>
          <t>Cagayan</t>
        </is>
      </c>
      <c r="F82" s="42" t="inlineStr">
        <is>
          <t>Buguey</t>
        </is>
      </c>
      <c r="G82" s="42" t="inlineStr">
        <is>
          <t>Pattao</t>
        </is>
      </c>
      <c r="H82" s="43" t="n">
        <v>18.249614</v>
      </c>
      <c r="I82" s="43" t="n">
        <v>121.814979</v>
      </c>
      <c r="J82" s="44" t="inlineStr">
        <is>
          <t>R</t>
        </is>
      </c>
      <c r="K82" s="42" t="inlineStr">
        <is>
          <t>Class 1-3 / Urban</t>
        </is>
      </c>
      <c r="L82" s="23" t="n">
        <v>3695</v>
      </c>
      <c r="M82" s="24" t="n">
        <v>4.38</v>
      </c>
      <c r="N82" s="23">
        <f>ROUND(L82/M82, 0)</f>
        <v/>
      </c>
      <c r="O82" s="23">
        <f>ROUND(N82*'Methodology &amp; Assumptions'!$B$8, 0)</f>
        <v/>
      </c>
      <c r="P82" s="44" t="inlineStr">
        <is>
          <t>Band n50 (1.5 GHz, 60 MHz)</t>
        </is>
      </c>
      <c r="Q82" s="38">
        <f>ROUNDUP(O82/'Methodology &amp; Assumptions'!$B$9, 0)</f>
        <v/>
      </c>
      <c r="R82" s="39" t="n">
        <v>1</v>
      </c>
      <c r="S82" s="25" t="n">
        <v>0.14</v>
      </c>
      <c r="T82" s="25" t="n">
        <v>0.14</v>
      </c>
      <c r="U82" s="42" t="inlineStr">
        <is>
          <t>Tier 1A (Direct Coloc, &lt;1 km)</t>
        </is>
      </c>
      <c r="V82" s="24" t="n">
        <v>100</v>
      </c>
      <c r="W82" s="24" t="n">
        <v>91.5</v>
      </c>
      <c r="X82" s="24" t="n">
        <v>58</v>
      </c>
      <c r="Y82" s="45">
        <f>ROUND((V82*'Methodology &amp; Assumptions'!$B$6)+(W82*'Methodology &amp; Assumptions'!$B$5)+(X82*'Methodology &amp; Assumptions'!$B$7), 2)</f>
        <v/>
      </c>
    </row>
    <row r="83" ht="19" customHeight="1">
      <c r="A83" s="35" t="n">
        <v>79</v>
      </c>
      <c r="B83" s="35" t="n">
        <v>79</v>
      </c>
      <c r="C83" s="36" t="inlineStr">
        <is>
          <t>0500508049</t>
        </is>
      </c>
      <c r="D83" s="36" t="inlineStr">
        <is>
          <t>Region V (Bicol Region)</t>
        </is>
      </c>
      <c r="E83" s="36" t="inlineStr">
        <is>
          <t>Albay</t>
        </is>
      </c>
      <c r="F83" s="36" t="inlineStr">
        <is>
          <t>City of Ligao</t>
        </is>
      </c>
      <c r="G83" s="36" t="inlineStr">
        <is>
          <t>Tinago</t>
        </is>
      </c>
      <c r="H83" s="37" t="n">
        <v>13.242635</v>
      </c>
      <c r="I83" s="37" t="n">
        <v>123.539948</v>
      </c>
      <c r="J83" s="8" t="inlineStr">
        <is>
          <t>R</t>
        </is>
      </c>
      <c r="K83" s="36" t="inlineStr">
        <is>
          <t>Class 1-3 / Urban</t>
        </is>
      </c>
      <c r="L83" s="18" t="n">
        <v>4806</v>
      </c>
      <c r="M83" s="20" t="n">
        <v>4.67</v>
      </c>
      <c r="N83" s="18">
        <f>ROUND(L83/M83, 0)</f>
        <v/>
      </c>
      <c r="O83" s="18">
        <f>ROUND(N83*'Methodology &amp; Assumptions'!$B$8, 0)</f>
        <v/>
      </c>
      <c r="P83" s="8" t="inlineStr">
        <is>
          <t>Band n50 (1.5 GHz, 60 MHz)</t>
        </is>
      </c>
      <c r="Q83" s="38">
        <f>ROUNDUP(O83/'Methodology &amp; Assumptions'!$B$9, 0)</f>
        <v/>
      </c>
      <c r="R83" s="39" t="n">
        <v>1</v>
      </c>
      <c r="S83" s="21" t="n">
        <v>0.62</v>
      </c>
      <c r="T83" s="21" t="n">
        <v>0.29</v>
      </c>
      <c r="U83" s="36" t="inlineStr">
        <is>
          <t>Tier 1A (Direct Coloc, &lt;1 km)</t>
        </is>
      </c>
      <c r="V83" s="20" t="n">
        <v>91.40000000000001</v>
      </c>
      <c r="W83" s="20" t="n">
        <v>100</v>
      </c>
      <c r="X83" s="20" t="n">
        <v>58</v>
      </c>
      <c r="Y83" s="40">
        <f>ROUND((V83*'Methodology &amp; Assumptions'!$B$6)+(W83*'Methodology &amp; Assumptions'!$B$5)+(X83*'Methodology &amp; Assumptions'!$B$7), 2)</f>
        <v/>
      </c>
    </row>
    <row r="84" ht="19" customHeight="1">
      <c r="A84" s="41" t="n">
        <v>80</v>
      </c>
      <c r="B84" s="41" t="n">
        <v>80</v>
      </c>
      <c r="C84" s="42" t="inlineStr">
        <is>
          <t>0405628018</t>
        </is>
      </c>
      <c r="D84" s="42" t="inlineStr">
        <is>
          <t>Region IV-A (CALABARZON)</t>
        </is>
      </c>
      <c r="E84" s="42" t="inlineStr">
        <is>
          <t>Quezon</t>
        </is>
      </c>
      <c r="F84" s="42" t="inlineStr">
        <is>
          <t>Mulanay</t>
        </is>
      </c>
      <c r="G84" s="42" t="inlineStr">
        <is>
          <t>Ibabang Cambuga</t>
        </is>
      </c>
      <c r="H84" s="43" t="n">
        <v>13.571261</v>
      </c>
      <c r="I84" s="43" t="n">
        <v>122.448606</v>
      </c>
      <c r="J84" s="44" t="inlineStr">
        <is>
          <t>R</t>
        </is>
      </c>
      <c r="K84" s="42" t="inlineStr">
        <is>
          <t>Class 1-3 / Urban</t>
        </is>
      </c>
      <c r="L84" s="23" t="n">
        <v>4201</v>
      </c>
      <c r="M84" s="24" t="n">
        <v>4.46</v>
      </c>
      <c r="N84" s="23">
        <f>ROUND(L84/M84, 0)</f>
        <v/>
      </c>
      <c r="O84" s="23">
        <f>ROUND(N84*'Methodology &amp; Assumptions'!$B$8, 0)</f>
        <v/>
      </c>
      <c r="P84" s="44" t="inlineStr">
        <is>
          <t>Band n50 (1.5 GHz, 60 MHz)</t>
        </is>
      </c>
      <c r="Q84" s="38">
        <f>ROUNDUP(O84/'Methodology &amp; Assumptions'!$B$9, 0)</f>
        <v/>
      </c>
      <c r="R84" s="39" t="n">
        <v>1</v>
      </c>
      <c r="S84" s="25" t="n">
        <v>0.61</v>
      </c>
      <c r="T84" s="25" t="n">
        <v>0.07000000000000001</v>
      </c>
      <c r="U84" s="42" t="inlineStr">
        <is>
          <t>Tier 1A (Direct Coloc, &lt;1 km)</t>
        </is>
      </c>
      <c r="V84" s="24" t="n">
        <v>91.7</v>
      </c>
      <c r="W84" s="24" t="n">
        <v>99.5</v>
      </c>
      <c r="X84" s="24" t="n">
        <v>58</v>
      </c>
      <c r="Y84" s="45">
        <f>ROUND((V84*'Methodology &amp; Assumptions'!$B$6)+(W84*'Methodology &amp; Assumptions'!$B$5)+(X84*'Methodology &amp; Assumptions'!$B$7), 2)</f>
        <v/>
      </c>
    </row>
    <row r="85" ht="19" customHeight="1">
      <c r="A85" s="35" t="n">
        <v>81</v>
      </c>
      <c r="B85" s="35" t="n">
        <v>81</v>
      </c>
      <c r="C85" s="36" t="inlineStr">
        <is>
          <t>0702247016</t>
        </is>
      </c>
      <c r="D85" s="36" t="inlineStr">
        <is>
          <t>Region VII (Central Visayas)</t>
        </is>
      </c>
      <c r="E85" s="36" t="inlineStr">
        <is>
          <t>Cebu</t>
        </is>
      </c>
      <c r="F85" s="36" t="inlineStr">
        <is>
          <t>Sogod</t>
        </is>
      </c>
      <c r="G85" s="36" t="inlineStr">
        <is>
          <t>Poblacion</t>
        </is>
      </c>
      <c r="H85" s="37" t="n">
        <v>10.74873</v>
      </c>
      <c r="I85" s="37" t="n">
        <v>124.00494</v>
      </c>
      <c r="J85" s="8" t="inlineStr">
        <is>
          <t>R</t>
        </is>
      </c>
      <c r="K85" s="36" t="inlineStr">
        <is>
          <t>2nd</t>
        </is>
      </c>
      <c r="L85" s="18" t="n">
        <v>3557</v>
      </c>
      <c r="M85" s="20" t="n">
        <v>4.15</v>
      </c>
      <c r="N85" s="18">
        <f>ROUND(L85/M85, 0)</f>
        <v/>
      </c>
      <c r="O85" s="18">
        <f>ROUND(N85*'Methodology &amp; Assumptions'!$B$8, 0)</f>
        <v/>
      </c>
      <c r="P85" s="8" t="inlineStr">
        <is>
          <t>Band n50 (1.5 GHz, 60 MHz)</t>
        </is>
      </c>
      <c r="Q85" s="38">
        <f>ROUNDUP(O85/'Methodology &amp; Assumptions'!$B$9, 0)</f>
        <v/>
      </c>
      <c r="R85" s="39" t="n">
        <v>1</v>
      </c>
      <c r="S85" s="21" t="n">
        <v>0.36</v>
      </c>
      <c r="T85" s="21" t="n">
        <v>0.16</v>
      </c>
      <c r="U85" s="36" t="inlineStr">
        <is>
          <t>Tier 1A (Direct Coloc, &lt;1 km)</t>
        </is>
      </c>
      <c r="V85" s="20" t="n">
        <v>98.59999999999999</v>
      </c>
      <c r="W85" s="20" t="n">
        <v>92.5</v>
      </c>
      <c r="X85" s="20" t="n">
        <v>58</v>
      </c>
      <c r="Y85" s="40">
        <f>ROUND((V85*'Methodology &amp; Assumptions'!$B$6)+(W85*'Methodology &amp; Assumptions'!$B$5)+(X85*'Methodology &amp; Assumptions'!$B$7), 2)</f>
        <v/>
      </c>
    </row>
    <row r="86" ht="19" customHeight="1">
      <c r="A86" s="41" t="n">
        <v>82</v>
      </c>
      <c r="B86" s="41" t="n">
        <v>82</v>
      </c>
      <c r="C86" s="42" t="inlineStr">
        <is>
          <t>0301421043</t>
        </is>
      </c>
      <c r="D86" s="42" t="inlineStr">
        <is>
          <t>Region III (Central Luzon)</t>
        </is>
      </c>
      <c r="E86" s="42" t="inlineStr">
        <is>
          <t>Bulacan</t>
        </is>
      </c>
      <c r="F86" s="42" t="inlineStr">
        <is>
          <t>San Miguel</t>
        </is>
      </c>
      <c r="G86" s="42" t="inlineStr">
        <is>
          <t>San Agustin</t>
        </is>
      </c>
      <c r="H86" s="43" t="n">
        <v>15.138429</v>
      </c>
      <c r="I86" s="43" t="n">
        <v>120.961637</v>
      </c>
      <c r="J86" s="44" t="inlineStr">
        <is>
          <t>R</t>
        </is>
      </c>
      <c r="K86" s="42" t="inlineStr">
        <is>
          <t>Class 1-3 / Urban</t>
        </is>
      </c>
      <c r="L86" s="23" t="n">
        <v>4323</v>
      </c>
      <c r="M86" s="24" t="n">
        <v>4.1</v>
      </c>
      <c r="N86" s="23">
        <f>ROUND(L86/M86, 0)</f>
        <v/>
      </c>
      <c r="O86" s="23">
        <f>ROUND(N86*'Methodology &amp; Assumptions'!$B$8, 0)</f>
        <v/>
      </c>
      <c r="P86" s="44" t="inlineStr">
        <is>
          <t>Band n50 (1.5 GHz, 60 MHz)</t>
        </is>
      </c>
      <c r="Q86" s="38">
        <f>ROUNDUP(O86/'Methodology &amp; Assumptions'!$B$9, 0)</f>
        <v/>
      </c>
      <c r="R86" s="39" t="n">
        <v>1</v>
      </c>
      <c r="S86" s="25" t="n">
        <v>0.64</v>
      </c>
      <c r="T86" s="25" t="n">
        <v>0.51</v>
      </c>
      <c r="U86" s="42" t="inlineStr">
        <is>
          <t>Tier 1A (Direct Coloc, &lt;1 km)</t>
        </is>
      </c>
      <c r="V86" s="24" t="n">
        <v>90.90000000000001</v>
      </c>
      <c r="W86" s="24" t="n">
        <v>100</v>
      </c>
      <c r="X86" s="24" t="n">
        <v>58</v>
      </c>
      <c r="Y86" s="45">
        <f>ROUND((V86*'Methodology &amp; Assumptions'!$B$6)+(W86*'Methodology &amp; Assumptions'!$B$5)+(X86*'Methodology &amp; Assumptions'!$B$7), 2)</f>
        <v/>
      </c>
    </row>
    <row r="87" ht="19" customHeight="1">
      <c r="A87" s="35" t="n">
        <v>83</v>
      </c>
      <c r="B87" s="35" t="n">
        <v>83</v>
      </c>
      <c r="C87" s="36" t="inlineStr">
        <is>
          <t>1102319003</t>
        </is>
      </c>
      <c r="D87" s="36" t="inlineStr">
        <is>
          <t>Region XI (Davao Region)</t>
        </is>
      </c>
      <c r="E87" s="36" t="inlineStr">
        <is>
          <t>Davao del Norte</t>
        </is>
      </c>
      <c r="F87" s="36" t="inlineStr">
        <is>
          <t>City of Tagum</t>
        </is>
      </c>
      <c r="G87" s="36" t="inlineStr">
        <is>
          <t>Bincungan</t>
        </is>
      </c>
      <c r="H87" s="37" t="n">
        <v>7.377198</v>
      </c>
      <c r="I87" s="37" t="n">
        <v>125.754534</v>
      </c>
      <c r="J87" s="8" t="inlineStr">
        <is>
          <t>R</t>
        </is>
      </c>
      <c r="K87" s="36" t="inlineStr">
        <is>
          <t>Class 1-3 / Urban</t>
        </is>
      </c>
      <c r="L87" s="18" t="n">
        <v>4045</v>
      </c>
      <c r="M87" s="20" t="n">
        <v>4.25</v>
      </c>
      <c r="N87" s="18">
        <f>ROUND(L87/M87, 0)</f>
        <v/>
      </c>
      <c r="O87" s="18">
        <f>ROUND(N87*'Methodology &amp; Assumptions'!$B$8, 0)</f>
        <v/>
      </c>
      <c r="P87" s="8" t="inlineStr">
        <is>
          <t>Band n50 (1.5 GHz, 60 MHz)</t>
        </is>
      </c>
      <c r="Q87" s="38">
        <f>ROUNDUP(O87/'Methodology &amp; Assumptions'!$B$9, 0)</f>
        <v/>
      </c>
      <c r="R87" s="39" t="n">
        <v>1</v>
      </c>
      <c r="S87" s="21" t="n">
        <v>0.64</v>
      </c>
      <c r="T87" s="21" t="n">
        <v>0.37</v>
      </c>
      <c r="U87" s="36" t="inlineStr">
        <is>
          <t>Tier 1A (Direct Coloc, &lt;1 km)</t>
        </is>
      </c>
      <c r="V87" s="20" t="n">
        <v>90.7</v>
      </c>
      <c r="W87" s="20" t="n">
        <v>100</v>
      </c>
      <c r="X87" s="20" t="n">
        <v>58</v>
      </c>
      <c r="Y87" s="40">
        <f>ROUND((V87*'Methodology &amp; Assumptions'!$B$6)+(W87*'Methodology &amp; Assumptions'!$B$5)+(X87*'Methodology &amp; Assumptions'!$B$7), 2)</f>
        <v/>
      </c>
    </row>
    <row r="88" ht="19" customHeight="1">
      <c r="A88" s="41" t="n">
        <v>84</v>
      </c>
      <c r="B88" s="41" t="n">
        <v>84</v>
      </c>
      <c r="C88" s="42" t="inlineStr">
        <is>
          <t>0803748046</t>
        </is>
      </c>
      <c r="D88" s="42" t="inlineStr">
        <is>
          <t>Region VIII (Eastern Visayas)</t>
        </is>
      </c>
      <c r="E88" s="42" t="inlineStr">
        <is>
          <t>Leyte</t>
        </is>
      </c>
      <c r="F88" s="42" t="inlineStr">
        <is>
          <t>Tanauan</t>
        </is>
      </c>
      <c r="G88" s="42" t="inlineStr">
        <is>
          <t>San Roque</t>
        </is>
      </c>
      <c r="H88" s="43" t="n">
        <v>11.107883</v>
      </c>
      <c r="I88" s="43" t="n">
        <v>125.019747</v>
      </c>
      <c r="J88" s="44" t="inlineStr">
        <is>
          <t>R</t>
        </is>
      </c>
      <c r="K88" s="42" t="inlineStr">
        <is>
          <t>Class 1-3 / Urban</t>
        </is>
      </c>
      <c r="L88" s="23" t="n">
        <v>3541</v>
      </c>
      <c r="M88" s="24" t="n">
        <v>4.24</v>
      </c>
      <c r="N88" s="23">
        <f>ROUND(L88/M88, 0)</f>
        <v/>
      </c>
      <c r="O88" s="23">
        <f>ROUND(N88*'Methodology &amp; Assumptions'!$B$8, 0)</f>
        <v/>
      </c>
      <c r="P88" s="44" t="inlineStr">
        <is>
          <t>Band n50 (1.5 GHz, 60 MHz)</t>
        </is>
      </c>
      <c r="Q88" s="38">
        <f>ROUNDUP(O88/'Methodology &amp; Assumptions'!$B$9, 0)</f>
        <v/>
      </c>
      <c r="R88" s="39" t="n">
        <v>1</v>
      </c>
      <c r="S88" s="25" t="n">
        <v>0.29</v>
      </c>
      <c r="T88" s="25" t="n">
        <v>0.21</v>
      </c>
      <c r="U88" s="42" t="inlineStr">
        <is>
          <t>Tier 1A (Direct Coloc, &lt;1 km)</t>
        </is>
      </c>
      <c r="V88" s="24" t="n">
        <v>100</v>
      </c>
      <c r="W88" s="24" t="n">
        <v>90.7</v>
      </c>
      <c r="X88" s="24" t="n">
        <v>58</v>
      </c>
      <c r="Y88" s="45">
        <f>ROUND((V88*'Methodology &amp; Assumptions'!$B$6)+(W88*'Methodology &amp; Assumptions'!$B$5)+(X88*'Methodology &amp; Assumptions'!$B$7), 2)</f>
        <v/>
      </c>
    </row>
    <row r="89" ht="19" customHeight="1">
      <c r="A89" s="35" t="n">
        <v>85</v>
      </c>
      <c r="B89" s="35" t="n">
        <v>85</v>
      </c>
      <c r="C89" s="36" t="inlineStr">
        <is>
          <t>0704603015</t>
        </is>
      </c>
      <c r="D89" s="36" t="inlineStr">
        <is>
          <t>Region VII (Central Visayas)</t>
        </is>
      </c>
      <c r="E89" s="36" t="inlineStr">
        <is>
          <t>Negros Oriental</t>
        </is>
      </c>
      <c r="F89" s="36" t="inlineStr">
        <is>
          <t>Bacong</t>
        </is>
      </c>
      <c r="G89" s="36" t="inlineStr">
        <is>
          <t>Sacsac</t>
        </is>
      </c>
      <c r="H89" s="37" t="n">
        <v>9.255689</v>
      </c>
      <c r="I89" s="37" t="n">
        <v>123.2947</v>
      </c>
      <c r="J89" s="8" t="inlineStr">
        <is>
          <t>R</t>
        </is>
      </c>
      <c r="K89" s="36" t="inlineStr">
        <is>
          <t>2nd</t>
        </is>
      </c>
      <c r="L89" s="18" t="n">
        <v>4199</v>
      </c>
      <c r="M89" s="20" t="n">
        <v>4.41</v>
      </c>
      <c r="N89" s="18">
        <f>ROUND(L89/M89, 0)</f>
        <v/>
      </c>
      <c r="O89" s="18">
        <f>ROUND(N89*'Methodology &amp; Assumptions'!$B$8, 0)</f>
        <v/>
      </c>
      <c r="P89" s="8" t="inlineStr">
        <is>
          <t>Band n50 (1.5 GHz, 60 MHz)</t>
        </is>
      </c>
      <c r="Q89" s="38">
        <f>ROUNDUP(O89/'Methodology &amp; Assumptions'!$B$9, 0)</f>
        <v/>
      </c>
      <c r="R89" s="39" t="n">
        <v>1</v>
      </c>
      <c r="S89" s="21" t="n">
        <v>0.65</v>
      </c>
      <c r="T89" s="21" t="n">
        <v>0.03</v>
      </c>
      <c r="U89" s="36" t="inlineStr">
        <is>
          <t>Tier 1A (Direct Coloc, &lt;1 km)</t>
        </is>
      </c>
      <c r="V89" s="20" t="n">
        <v>90.40000000000001</v>
      </c>
      <c r="W89" s="20" t="n">
        <v>100</v>
      </c>
      <c r="X89" s="20" t="n">
        <v>58</v>
      </c>
      <c r="Y89" s="40">
        <f>ROUND((V89*'Methodology &amp; Assumptions'!$B$6)+(W89*'Methodology &amp; Assumptions'!$B$5)+(X89*'Methodology &amp; Assumptions'!$B$7), 2)</f>
        <v/>
      </c>
    </row>
    <row r="90" ht="19" customHeight="1">
      <c r="A90" s="41" t="n">
        <v>86</v>
      </c>
      <c r="B90" s="41" t="n">
        <v>86</v>
      </c>
      <c r="C90" s="42" t="inlineStr">
        <is>
          <t>0500517019</t>
        </is>
      </c>
      <c r="D90" s="42" t="inlineStr">
        <is>
          <t>Region V (Bicol Region)</t>
        </is>
      </c>
      <c r="E90" s="42" t="inlineStr">
        <is>
          <t>Albay</t>
        </is>
      </c>
      <c r="F90" s="42" t="inlineStr">
        <is>
          <t>City of Tabaco</t>
        </is>
      </c>
      <c r="G90" s="42" t="inlineStr">
        <is>
          <t>Fatima</t>
        </is>
      </c>
      <c r="H90" s="43" t="n">
        <v>13.349149</v>
      </c>
      <c r="I90" s="43" t="n">
        <v>123.735418</v>
      </c>
      <c r="J90" s="44" t="inlineStr">
        <is>
          <t>R</t>
        </is>
      </c>
      <c r="K90" s="42" t="inlineStr">
        <is>
          <t>Class 1-3 / Urban</t>
        </is>
      </c>
      <c r="L90" s="23" t="n">
        <v>4350</v>
      </c>
      <c r="M90" s="24" t="n">
        <v>4.67</v>
      </c>
      <c r="N90" s="23">
        <f>ROUND(L90/M90, 0)</f>
        <v/>
      </c>
      <c r="O90" s="23">
        <f>ROUND(N90*'Methodology &amp; Assumptions'!$B$8, 0)</f>
        <v/>
      </c>
      <c r="P90" s="44" t="inlineStr">
        <is>
          <t>Band n50 (1.5 GHz, 60 MHz)</t>
        </is>
      </c>
      <c r="Q90" s="38">
        <f>ROUNDUP(O90/'Methodology &amp; Assumptions'!$B$9, 0)</f>
        <v/>
      </c>
      <c r="R90" s="39" t="n">
        <v>1</v>
      </c>
      <c r="S90" s="25" t="n">
        <v>0.6</v>
      </c>
      <c r="T90" s="25" t="n">
        <v>0.34</v>
      </c>
      <c r="U90" s="42" t="inlineStr">
        <is>
          <t>Tier 1A (Direct Coloc, &lt;1 km)</t>
        </is>
      </c>
      <c r="V90" s="24" t="n">
        <v>92</v>
      </c>
      <c r="W90" s="24" t="n">
        <v>98.40000000000001</v>
      </c>
      <c r="X90" s="24" t="n">
        <v>58</v>
      </c>
      <c r="Y90" s="45">
        <f>ROUND((V90*'Methodology &amp; Assumptions'!$B$6)+(W90*'Methodology &amp; Assumptions'!$B$5)+(X90*'Methodology &amp; Assumptions'!$B$7), 2)</f>
        <v/>
      </c>
    </row>
    <row r="91" ht="19" customHeight="1">
      <c r="A91" s="35" t="n">
        <v>87</v>
      </c>
      <c r="B91" s="35" t="n">
        <v>87</v>
      </c>
      <c r="C91" s="36" t="inlineStr">
        <is>
          <t>0604532004</t>
        </is>
      </c>
      <c r="D91" s="36" t="inlineStr">
        <is>
          <t>Region VI (Western Visayas)</t>
        </is>
      </c>
      <c r="E91" s="36" t="inlineStr">
        <is>
          <t>Negros Occidental</t>
        </is>
      </c>
      <c r="F91" s="36" t="inlineStr">
        <is>
          <t>Salvador Benedicto</t>
        </is>
      </c>
      <c r="G91" s="36" t="inlineStr">
        <is>
          <t>Igmaya-an</t>
        </is>
      </c>
      <c r="H91" s="37" t="n">
        <v>10.558611</v>
      </c>
      <c r="I91" s="37" t="n">
        <v>123.194893</v>
      </c>
      <c r="J91" s="8" t="inlineStr">
        <is>
          <t>R</t>
        </is>
      </c>
      <c r="K91" s="36" t="inlineStr">
        <is>
          <t>3rd</t>
        </is>
      </c>
      <c r="L91" s="18" t="n">
        <v>4271</v>
      </c>
      <c r="M91" s="20" t="n">
        <v>4.37</v>
      </c>
      <c r="N91" s="18">
        <f>ROUND(L91/M91, 0)</f>
        <v/>
      </c>
      <c r="O91" s="18">
        <f>ROUND(N91*'Methodology &amp; Assumptions'!$B$8, 0)</f>
        <v/>
      </c>
      <c r="P91" s="8" t="inlineStr">
        <is>
          <t>Band n50 (1.5 GHz, 60 MHz)</t>
        </is>
      </c>
      <c r="Q91" s="38">
        <f>ROUNDUP(O91/'Methodology &amp; Assumptions'!$B$9, 0)</f>
        <v/>
      </c>
      <c r="R91" s="39" t="n">
        <v>1</v>
      </c>
      <c r="S91" s="21" t="n">
        <v>0.66</v>
      </c>
      <c r="T91" s="21" t="n">
        <v>0.28</v>
      </c>
      <c r="U91" s="36" t="inlineStr">
        <is>
          <t>Tier 1A (Direct Coloc, &lt;1 km)</t>
        </is>
      </c>
      <c r="V91" s="20" t="n">
        <v>90.2</v>
      </c>
      <c r="W91" s="20" t="n">
        <v>100</v>
      </c>
      <c r="X91" s="20" t="n">
        <v>58</v>
      </c>
      <c r="Y91" s="40">
        <f>ROUND((V91*'Methodology &amp; Assumptions'!$B$6)+(W91*'Methodology &amp; Assumptions'!$B$5)+(X91*'Methodology &amp; Assumptions'!$B$7), 2)</f>
        <v/>
      </c>
    </row>
    <row r="92" ht="19" customHeight="1">
      <c r="A92" s="41" t="n">
        <v>88</v>
      </c>
      <c r="B92" s="41" t="n">
        <v>88</v>
      </c>
      <c r="C92" s="42" t="inlineStr">
        <is>
          <t>0405812009</t>
        </is>
      </c>
      <c r="D92" s="42" t="inlineStr">
        <is>
          <t>Region IV-A (CALABARZON)</t>
        </is>
      </c>
      <c r="E92" s="42" t="inlineStr">
        <is>
          <t>Rizal</t>
        </is>
      </c>
      <c r="F92" s="42" t="inlineStr">
        <is>
          <t>Tanay</t>
        </is>
      </c>
      <c r="G92" s="42" t="inlineStr">
        <is>
          <t>Pinagkamaligan</t>
        </is>
      </c>
      <c r="H92" s="43" t="n">
        <v>14.4953</v>
      </c>
      <c r="I92" s="43" t="n">
        <v>121.28615</v>
      </c>
      <c r="J92" s="44" t="inlineStr">
        <is>
          <t>R</t>
        </is>
      </c>
      <c r="K92" s="42" t="inlineStr">
        <is>
          <t>Class 1-3 / Urban</t>
        </is>
      </c>
      <c r="L92" s="23" t="n">
        <v>3626</v>
      </c>
      <c r="M92" s="24" t="n">
        <v>4.39</v>
      </c>
      <c r="N92" s="23">
        <f>ROUND(L92/M92, 0)</f>
        <v/>
      </c>
      <c r="O92" s="23">
        <f>ROUND(N92*'Methodology &amp; Assumptions'!$B$8, 0)</f>
        <v/>
      </c>
      <c r="P92" s="44" t="inlineStr">
        <is>
          <t>Band n50 (1.5 GHz, 60 MHz)</t>
        </is>
      </c>
      <c r="Q92" s="38">
        <f>ROUNDUP(O92/'Methodology &amp; Assumptions'!$B$9, 0)</f>
        <v/>
      </c>
      <c r="R92" s="39" t="n">
        <v>1</v>
      </c>
      <c r="S92" s="25" t="n">
        <v>0.29</v>
      </c>
      <c r="T92" s="25" t="n">
        <v>0.23</v>
      </c>
      <c r="U92" s="42" t="inlineStr">
        <is>
          <t>Tier 1A (Direct Coloc, &lt;1 km)</t>
        </is>
      </c>
      <c r="V92" s="24" t="n">
        <v>100</v>
      </c>
      <c r="W92" s="24" t="n">
        <v>90.09999999999999</v>
      </c>
      <c r="X92" s="24" t="n">
        <v>58</v>
      </c>
      <c r="Y92" s="45">
        <f>ROUND((V92*'Methodology &amp; Assumptions'!$B$6)+(W92*'Methodology &amp; Assumptions'!$B$5)+(X92*'Methodology &amp; Assumptions'!$B$7), 2)</f>
        <v/>
      </c>
    </row>
    <row r="93" ht="19" customHeight="1">
      <c r="A93" s="35" t="n">
        <v>89</v>
      </c>
      <c r="B93" s="35" t="n">
        <v>89</v>
      </c>
      <c r="C93" s="36" t="inlineStr">
        <is>
          <t>0301414007</t>
        </is>
      </c>
      <c r="D93" s="36" t="inlineStr">
        <is>
          <t>Region III (Central Luzon)</t>
        </is>
      </c>
      <c r="E93" s="36" t="inlineStr">
        <is>
          <t>Bulacan</t>
        </is>
      </c>
      <c r="F93" s="36" t="inlineStr">
        <is>
          <t>Obando</t>
        </is>
      </c>
      <c r="G93" s="36" t="inlineStr">
        <is>
          <t>Pag-asa</t>
        </is>
      </c>
      <c r="H93" s="37" t="n">
        <v>14.70973</v>
      </c>
      <c r="I93" s="37" t="n">
        <v>120.936579</v>
      </c>
      <c r="J93" s="8" t="inlineStr">
        <is>
          <t>R</t>
        </is>
      </c>
      <c r="K93" s="36" t="inlineStr">
        <is>
          <t>Class 1-3 / Urban</t>
        </is>
      </c>
      <c r="L93" s="18" t="n">
        <v>3448</v>
      </c>
      <c r="M93" s="20" t="n">
        <v>4.1</v>
      </c>
      <c r="N93" s="18">
        <f>ROUND(L93/M93, 0)</f>
        <v/>
      </c>
      <c r="O93" s="18">
        <f>ROUND(N93*'Methodology &amp; Assumptions'!$B$8, 0)</f>
        <v/>
      </c>
      <c r="P93" s="8" t="inlineStr">
        <is>
          <t>Band n50 (1.5 GHz, 60 MHz)</t>
        </is>
      </c>
      <c r="Q93" s="38">
        <f>ROUNDUP(O93/'Methodology &amp; Assumptions'!$B$9, 0)</f>
        <v/>
      </c>
      <c r="R93" s="39" t="n">
        <v>1</v>
      </c>
      <c r="S93" s="21" t="n">
        <v>0.03</v>
      </c>
      <c r="T93" s="21" t="n">
        <v>2.2</v>
      </c>
      <c r="U93" s="36" t="inlineStr">
        <is>
          <t>Tier 1A (Direct Coloc, &lt;1 km)</t>
        </is>
      </c>
      <c r="V93" s="20" t="n">
        <v>98.90000000000001</v>
      </c>
      <c r="W93" s="20" t="n">
        <v>91.2</v>
      </c>
      <c r="X93" s="20" t="n">
        <v>58</v>
      </c>
      <c r="Y93" s="40">
        <f>ROUND((V93*'Methodology &amp; Assumptions'!$B$6)+(W93*'Methodology &amp; Assumptions'!$B$5)+(X93*'Methodology &amp; Assumptions'!$B$7), 2)</f>
        <v/>
      </c>
    </row>
    <row r="94" ht="19" customHeight="1">
      <c r="A94" s="41" t="n">
        <v>90</v>
      </c>
      <c r="B94" s="41" t="n">
        <v>90</v>
      </c>
      <c r="C94" s="42" t="inlineStr">
        <is>
          <t>0205006010</t>
        </is>
      </c>
      <c r="D94" s="42" t="inlineStr">
        <is>
          <t>Region II (Cagayan Valley)</t>
        </is>
      </c>
      <c r="E94" s="42" t="inlineStr">
        <is>
          <t>Nueva Vizcaya</t>
        </is>
      </c>
      <c r="F94" s="42" t="inlineStr">
        <is>
          <t>Diadi</t>
        </is>
      </c>
      <c r="G94" s="42" t="inlineStr">
        <is>
          <t>Poblacion</t>
        </is>
      </c>
      <c r="H94" s="43" t="n">
        <v>16.661144</v>
      </c>
      <c r="I94" s="43" t="n">
        <v>121.365003</v>
      </c>
      <c r="J94" s="44" t="inlineStr">
        <is>
          <t>R</t>
        </is>
      </c>
      <c r="K94" s="42" t="inlineStr">
        <is>
          <t>3rd</t>
        </is>
      </c>
      <c r="L94" s="23" t="n">
        <v>3542</v>
      </c>
      <c r="M94" s="24" t="n">
        <v>4.08</v>
      </c>
      <c r="N94" s="23">
        <f>ROUND(L94/M94, 0)</f>
        <v/>
      </c>
      <c r="O94" s="23">
        <f>ROUND(N94*'Methodology &amp; Assumptions'!$B$8, 0)</f>
        <v/>
      </c>
      <c r="P94" s="44" t="inlineStr">
        <is>
          <t>Band n50 (1.5 GHz, 60 MHz)</t>
        </is>
      </c>
      <c r="Q94" s="38">
        <f>ROUNDUP(O94/'Methodology &amp; Assumptions'!$B$9, 0)</f>
        <v/>
      </c>
      <c r="R94" s="39" t="n">
        <v>1</v>
      </c>
      <c r="S94" s="25" t="n">
        <v>0.43</v>
      </c>
      <c r="T94" s="25" t="n">
        <v>0.02</v>
      </c>
      <c r="U94" s="42" t="inlineStr">
        <is>
          <t>Tier 1A (Direct Coloc, &lt;1 km)</t>
        </is>
      </c>
      <c r="V94" s="24" t="n">
        <v>96.7</v>
      </c>
      <c r="W94" s="24" t="n">
        <v>93.3</v>
      </c>
      <c r="X94" s="24" t="n">
        <v>58</v>
      </c>
      <c r="Y94" s="45">
        <f>ROUND((V94*'Methodology &amp; Assumptions'!$B$6)+(W94*'Methodology &amp; Assumptions'!$B$5)+(X94*'Methodology &amp; Assumptions'!$B$7), 2)</f>
        <v/>
      </c>
    </row>
    <row r="95" ht="19" customHeight="1">
      <c r="A95" s="35" t="n">
        <v>91</v>
      </c>
      <c r="B95" s="35" t="n">
        <v>91</v>
      </c>
      <c r="C95" s="36" t="inlineStr">
        <is>
          <t>0304916007</t>
        </is>
      </c>
      <c r="D95" s="36" t="inlineStr">
        <is>
          <t>Region III (Central Luzon)</t>
        </is>
      </c>
      <c r="E95" s="36" t="inlineStr">
        <is>
          <t>Nueva Ecija</t>
        </is>
      </c>
      <c r="F95" s="36" t="inlineStr">
        <is>
          <t>Lupao</t>
        </is>
      </c>
      <c r="G95" s="36" t="inlineStr">
        <is>
          <t>Bagong Flores</t>
        </is>
      </c>
      <c r="H95" s="37" t="n">
        <v>15.889736</v>
      </c>
      <c r="I95" s="37" t="n">
        <v>120.899786</v>
      </c>
      <c r="J95" s="8" t="inlineStr">
        <is>
          <t>R</t>
        </is>
      </c>
      <c r="K95" s="36" t="inlineStr">
        <is>
          <t>Class 1-3 / Urban</t>
        </is>
      </c>
      <c r="L95" s="18" t="n">
        <v>3971</v>
      </c>
      <c r="M95" s="20" t="n">
        <v>4.32</v>
      </c>
      <c r="N95" s="18">
        <f>ROUND(L95/M95, 0)</f>
        <v/>
      </c>
      <c r="O95" s="18">
        <f>ROUND(N95*'Methodology &amp; Assumptions'!$B$8, 0)</f>
        <v/>
      </c>
      <c r="P95" s="8" t="inlineStr">
        <is>
          <t>Band n50 (1.5 GHz, 60 MHz)</t>
        </is>
      </c>
      <c r="Q95" s="38">
        <f>ROUNDUP(O95/'Methodology &amp; Assumptions'!$B$9, 0)</f>
        <v/>
      </c>
      <c r="R95" s="39" t="n">
        <v>1</v>
      </c>
      <c r="S95" s="21" t="n">
        <v>0.59</v>
      </c>
      <c r="T95" s="21" t="n">
        <v>1.65</v>
      </c>
      <c r="U95" s="36" t="inlineStr">
        <is>
          <t>Tier 1A (Direct Coloc, &lt;1 km)</t>
        </is>
      </c>
      <c r="V95" s="20" t="n">
        <v>92.3</v>
      </c>
      <c r="W95" s="20" t="n">
        <v>97.59999999999999</v>
      </c>
      <c r="X95" s="20" t="n">
        <v>58</v>
      </c>
      <c r="Y95" s="40">
        <f>ROUND((V95*'Methodology &amp; Assumptions'!$B$6)+(W95*'Methodology &amp; Assumptions'!$B$5)+(X95*'Methodology &amp; Assumptions'!$B$7), 2)</f>
        <v/>
      </c>
    </row>
    <row r="96" ht="19" customHeight="1">
      <c r="A96" s="41" t="n">
        <v>92</v>
      </c>
      <c r="B96" s="41" t="n">
        <v>92</v>
      </c>
      <c r="C96" s="42" t="inlineStr">
        <is>
          <t>0403423009</t>
        </is>
      </c>
      <c r="D96" s="42" t="inlineStr">
        <is>
          <t>Region IV-A (CALABARZON)</t>
        </is>
      </c>
      <c r="E96" s="42" t="inlineStr">
        <is>
          <t>Laguna</t>
        </is>
      </c>
      <c r="F96" s="42" t="inlineStr">
        <is>
          <t>Rizal</t>
        </is>
      </c>
      <c r="G96" s="42" t="inlineStr">
        <is>
          <t>Tala</t>
        </is>
      </c>
      <c r="H96" s="43" t="n">
        <v>14.109533</v>
      </c>
      <c r="I96" s="43" t="n">
        <v>121.393007</v>
      </c>
      <c r="J96" s="44" t="inlineStr">
        <is>
          <t>R</t>
        </is>
      </c>
      <c r="K96" s="42" t="inlineStr">
        <is>
          <t>4th</t>
        </is>
      </c>
      <c r="L96" s="23" t="n">
        <v>3014</v>
      </c>
      <c r="M96" s="24" t="n">
        <v>4.24</v>
      </c>
      <c r="N96" s="23">
        <f>ROUND(L96/M96, 0)</f>
        <v/>
      </c>
      <c r="O96" s="23">
        <f>ROUND(N96*'Methodology &amp; Assumptions'!$B$8, 0)</f>
        <v/>
      </c>
      <c r="P96" s="44" t="inlineStr">
        <is>
          <t>Band n50 (1.5 GHz, 60 MHz)</t>
        </is>
      </c>
      <c r="Q96" s="38">
        <f>ROUNDUP(O96/'Methodology &amp; Assumptions'!$B$9, 0)</f>
        <v/>
      </c>
      <c r="R96" s="39" t="n">
        <v>1</v>
      </c>
      <c r="S96" s="25" t="n">
        <v>0.11</v>
      </c>
      <c r="T96" s="25" t="n">
        <v>0.09</v>
      </c>
      <c r="U96" s="42" t="inlineStr">
        <is>
          <t>Tier 1A (Direct Coloc, &lt;1 km)</t>
        </is>
      </c>
      <c r="V96" s="24" t="n">
        <v>100</v>
      </c>
      <c r="W96" s="24" t="n">
        <v>80.8</v>
      </c>
      <c r="X96" s="24" t="n">
        <v>68.5</v>
      </c>
      <c r="Y96" s="45">
        <f>ROUND((V96*'Methodology &amp; Assumptions'!$B$6)+(W96*'Methodology &amp; Assumptions'!$B$5)+(X96*'Methodology &amp; Assumptions'!$B$7), 2)</f>
        <v/>
      </c>
    </row>
    <row r="97" ht="19" customHeight="1">
      <c r="A97" s="35" t="n">
        <v>93</v>
      </c>
      <c r="B97" s="35" t="n">
        <v>93</v>
      </c>
      <c r="C97" s="36" t="inlineStr">
        <is>
          <t>0403419010</t>
        </is>
      </c>
      <c r="D97" s="36" t="inlineStr">
        <is>
          <t>Region IV-A (CALABARZON)</t>
        </is>
      </c>
      <c r="E97" s="36" t="inlineStr">
        <is>
          <t>Laguna</t>
        </is>
      </c>
      <c r="F97" s="36" t="inlineStr">
        <is>
          <t>Pagsanjan</t>
        </is>
      </c>
      <c r="G97" s="36" t="inlineStr">
        <is>
          <t>Maulawin</t>
        </is>
      </c>
      <c r="H97" s="37" t="n">
        <v>14.270303</v>
      </c>
      <c r="I97" s="37" t="n">
        <v>121.455592</v>
      </c>
      <c r="J97" s="8" t="inlineStr">
        <is>
          <t>R</t>
        </is>
      </c>
      <c r="K97" s="36" t="inlineStr">
        <is>
          <t>Class 1-3 / Urban</t>
        </is>
      </c>
      <c r="L97" s="18" t="n">
        <v>4221</v>
      </c>
      <c r="M97" s="20" t="n">
        <v>4.2</v>
      </c>
      <c r="N97" s="18">
        <f>ROUND(L97/M97, 0)</f>
        <v/>
      </c>
      <c r="O97" s="18">
        <f>ROUND(N97*'Methodology &amp; Assumptions'!$B$8, 0)</f>
        <v/>
      </c>
      <c r="P97" s="8" t="inlineStr">
        <is>
          <t>Band n50 (1.5 GHz, 60 MHz)</t>
        </is>
      </c>
      <c r="Q97" s="38">
        <f>ROUNDUP(O97/'Methodology &amp; Assumptions'!$B$9, 0)</f>
        <v/>
      </c>
      <c r="R97" s="39" t="n">
        <v>1</v>
      </c>
      <c r="S97" s="21" t="n">
        <v>0.68</v>
      </c>
      <c r="T97" s="21" t="n">
        <v>0.26</v>
      </c>
      <c r="U97" s="36" t="inlineStr">
        <is>
          <t>Tier 1A (Direct Coloc, &lt;1 km)</t>
        </is>
      </c>
      <c r="V97" s="20" t="n">
        <v>89.8</v>
      </c>
      <c r="W97" s="20" t="n">
        <v>100</v>
      </c>
      <c r="X97" s="20" t="n">
        <v>58</v>
      </c>
      <c r="Y97" s="40">
        <f>ROUND((V97*'Methodology &amp; Assumptions'!$B$6)+(W97*'Methodology &amp; Assumptions'!$B$5)+(X97*'Methodology &amp; Assumptions'!$B$7), 2)</f>
        <v/>
      </c>
    </row>
    <row r="98" ht="19" customHeight="1">
      <c r="A98" s="41" t="n">
        <v>94</v>
      </c>
      <c r="B98" s="41" t="n">
        <v>94</v>
      </c>
      <c r="C98" s="42" t="inlineStr">
        <is>
          <t>0604531004</t>
        </is>
      </c>
      <c r="D98" s="42" t="inlineStr">
        <is>
          <t>Region VI (Western Visayas)</t>
        </is>
      </c>
      <c r="E98" s="42" t="inlineStr">
        <is>
          <t>Negros Occidental</t>
        </is>
      </c>
      <c r="F98" s="42" t="inlineStr">
        <is>
          <t>City of Victorias</t>
        </is>
      </c>
      <c r="G98" s="42" t="inlineStr">
        <is>
          <t>Barangay I</t>
        </is>
      </c>
      <c r="H98" s="43" t="n">
        <v>10.903559</v>
      </c>
      <c r="I98" s="43" t="n">
        <v>123.066138</v>
      </c>
      <c r="J98" s="44" t="inlineStr">
        <is>
          <t>R</t>
        </is>
      </c>
      <c r="K98" s="42" t="inlineStr">
        <is>
          <t>Class 1-3 / Urban</t>
        </is>
      </c>
      <c r="L98" s="23" t="n">
        <v>3585</v>
      </c>
      <c r="M98" s="24" t="n">
        <v>4.33</v>
      </c>
      <c r="N98" s="23">
        <f>ROUND(L98/M98, 0)</f>
        <v/>
      </c>
      <c r="O98" s="23">
        <f>ROUND(N98*'Methodology &amp; Assumptions'!$B$8, 0)</f>
        <v/>
      </c>
      <c r="P98" s="44" t="inlineStr">
        <is>
          <t>Band n50 (1.5 GHz, 60 MHz)</t>
        </is>
      </c>
      <c r="Q98" s="38">
        <f>ROUNDUP(O98/'Methodology &amp; Assumptions'!$B$9, 0)</f>
        <v/>
      </c>
      <c r="R98" s="39" t="n">
        <v>1</v>
      </c>
      <c r="S98" s="25" t="n">
        <v>0.8</v>
      </c>
      <c r="T98" s="25" t="n">
        <v>0.52</v>
      </c>
      <c r="U98" s="42" t="inlineStr">
        <is>
          <t>Tier 1A (Direct Coloc, &lt;1 km)</t>
        </is>
      </c>
      <c r="V98" s="24" t="n">
        <v>86.7</v>
      </c>
      <c r="W98" s="24" t="n">
        <v>90.09999999999999</v>
      </c>
      <c r="X98" s="24" t="n">
        <v>73</v>
      </c>
      <c r="Y98" s="45">
        <f>ROUND((V98*'Methodology &amp; Assumptions'!$B$6)+(W98*'Methodology &amp; Assumptions'!$B$5)+(X98*'Methodology &amp; Assumptions'!$B$7), 2)</f>
        <v/>
      </c>
    </row>
    <row r="99" ht="19" customHeight="1">
      <c r="A99" s="35" t="n">
        <v>95</v>
      </c>
      <c r="B99" s="35" t="n">
        <v>95</v>
      </c>
      <c r="C99" s="36" t="inlineStr">
        <is>
          <t>0604515017</t>
        </is>
      </c>
      <c r="D99" s="36" t="inlineStr">
        <is>
          <t>Region VI (Western Visayas)</t>
        </is>
      </c>
      <c r="E99" s="36" t="inlineStr">
        <is>
          <t>Negros Occidental</t>
        </is>
      </c>
      <c r="F99" s="36" t="inlineStr">
        <is>
          <t>City of Kabankalan</t>
        </is>
      </c>
      <c r="G99" s="36" t="inlineStr">
        <is>
          <t>Barangay 6</t>
        </is>
      </c>
      <c r="H99" s="37" t="n">
        <v>9.990734</v>
      </c>
      <c r="I99" s="37" t="n">
        <v>122.809922</v>
      </c>
      <c r="J99" s="8" t="inlineStr">
        <is>
          <t>R</t>
        </is>
      </c>
      <c r="K99" s="36" t="inlineStr">
        <is>
          <t>Class 1-3 / Urban</t>
        </is>
      </c>
      <c r="L99" s="18" t="n">
        <v>3086</v>
      </c>
      <c r="M99" s="20" t="n">
        <v>4.33</v>
      </c>
      <c r="N99" s="18">
        <f>ROUND(L99/M99, 0)</f>
        <v/>
      </c>
      <c r="O99" s="18">
        <f>ROUND(N99*'Methodology &amp; Assumptions'!$B$8, 0)</f>
        <v/>
      </c>
      <c r="P99" s="8" t="inlineStr">
        <is>
          <t>Band n50 (1.5 GHz, 60 MHz)</t>
        </is>
      </c>
      <c r="Q99" s="38">
        <f>ROUNDUP(O99/'Methodology &amp; Assumptions'!$B$9, 0)</f>
        <v/>
      </c>
      <c r="R99" s="39" t="n">
        <v>1</v>
      </c>
      <c r="S99" s="21" t="n">
        <v>0.46</v>
      </c>
      <c r="T99" s="21" t="n">
        <v>0.43</v>
      </c>
      <c r="U99" s="36" t="inlineStr">
        <is>
          <t>Tier 1A (Direct Coloc, &lt;1 km)</t>
        </is>
      </c>
      <c r="V99" s="20" t="n">
        <v>95.8</v>
      </c>
      <c r="W99" s="20" t="n">
        <v>81.09999999999999</v>
      </c>
      <c r="X99" s="20" t="n">
        <v>73</v>
      </c>
      <c r="Y99" s="40">
        <f>ROUND((V99*'Methodology &amp; Assumptions'!$B$6)+(W99*'Methodology &amp; Assumptions'!$B$5)+(X99*'Methodology &amp; Assumptions'!$B$7), 2)</f>
        <v/>
      </c>
    </row>
    <row r="100" ht="19" customHeight="1">
      <c r="A100" s="41" t="n">
        <v>96</v>
      </c>
      <c r="B100" s="41" t="n">
        <v>96</v>
      </c>
      <c r="C100" s="42" t="inlineStr">
        <is>
          <t>0203131029</t>
        </is>
      </c>
      <c r="D100" s="42" t="inlineStr">
        <is>
          <t>Region II (Cagayan Valley)</t>
        </is>
      </c>
      <c r="E100" s="42" t="inlineStr">
        <is>
          <t>Isabela</t>
        </is>
      </c>
      <c r="F100" s="42" t="inlineStr">
        <is>
          <t>San Mariano</t>
        </is>
      </c>
      <c r="G100" s="42" t="inlineStr">
        <is>
          <t>Zone III</t>
        </is>
      </c>
      <c r="H100" s="43" t="n">
        <v>16.986291</v>
      </c>
      <c r="I100" s="43" t="n">
        <v>122.013268</v>
      </c>
      <c r="J100" s="44" t="inlineStr">
        <is>
          <t>R</t>
        </is>
      </c>
      <c r="K100" s="42" t="inlineStr">
        <is>
          <t>Class 1-3 / Urban</t>
        </is>
      </c>
      <c r="L100" s="23" t="n">
        <v>3722</v>
      </c>
      <c r="M100" s="24" t="n">
        <v>4.3</v>
      </c>
      <c r="N100" s="23">
        <f>ROUND(L100/M100, 0)</f>
        <v/>
      </c>
      <c r="O100" s="23">
        <f>ROUND(N100*'Methodology &amp; Assumptions'!$B$8, 0)</f>
        <v/>
      </c>
      <c r="P100" s="44" t="inlineStr">
        <is>
          <t>Band n50 (1.5 GHz, 60 MHz)</t>
        </is>
      </c>
      <c r="Q100" s="38">
        <f>ROUNDUP(O100/'Methodology &amp; Assumptions'!$B$9, 0)</f>
        <v/>
      </c>
      <c r="R100" s="39" t="n">
        <v>1</v>
      </c>
      <c r="S100" s="25" t="n">
        <v>0.12</v>
      </c>
      <c r="T100" s="25" t="n">
        <v>16.76</v>
      </c>
      <c r="U100" s="42" t="inlineStr">
        <is>
          <t>Tier 1A (Direct Coloc, &lt;1 km)</t>
        </is>
      </c>
      <c r="V100" s="24" t="n">
        <v>96.2</v>
      </c>
      <c r="W100" s="24" t="n">
        <v>93.3</v>
      </c>
      <c r="X100" s="24" t="n">
        <v>58</v>
      </c>
      <c r="Y100" s="45">
        <f>ROUND((V100*'Methodology &amp; Assumptions'!$B$6)+(W100*'Methodology &amp; Assumptions'!$B$5)+(X100*'Methodology &amp; Assumptions'!$B$7), 2)</f>
        <v/>
      </c>
    </row>
    <row r="101" ht="19" customHeight="1">
      <c r="A101" s="35" t="n">
        <v>97</v>
      </c>
      <c r="B101" s="35" t="n">
        <v>97</v>
      </c>
      <c r="C101" s="36" t="inlineStr">
        <is>
          <t>0403413005</t>
        </is>
      </c>
      <c r="D101" s="36" t="inlineStr">
        <is>
          <t>Region IV-A (CALABARZON)</t>
        </is>
      </c>
      <c r="E101" s="36" t="inlineStr">
        <is>
          <t>Laguna</t>
        </is>
      </c>
      <c r="F101" s="36" t="inlineStr">
        <is>
          <t>Lumban</t>
        </is>
      </c>
      <c r="G101" s="36" t="inlineStr">
        <is>
          <t>Concepcion</t>
        </is>
      </c>
      <c r="H101" s="37" t="n">
        <v>14.300476</v>
      </c>
      <c r="I101" s="37" t="n">
        <v>121.457019</v>
      </c>
      <c r="J101" s="8" t="inlineStr">
        <is>
          <t>R</t>
        </is>
      </c>
      <c r="K101" s="36" t="inlineStr">
        <is>
          <t>Class 1-3 / Urban</t>
        </is>
      </c>
      <c r="L101" s="18" t="n">
        <v>4298</v>
      </c>
      <c r="M101" s="20" t="n">
        <v>4.2</v>
      </c>
      <c r="N101" s="18">
        <f>ROUND(L101/M101, 0)</f>
        <v/>
      </c>
      <c r="O101" s="18">
        <f>ROUND(N101*'Methodology &amp; Assumptions'!$B$8, 0)</f>
        <v/>
      </c>
      <c r="P101" s="8" t="inlineStr">
        <is>
          <t>Band n50 (1.5 GHz, 60 MHz)</t>
        </is>
      </c>
      <c r="Q101" s="38">
        <f>ROUNDUP(O101/'Methodology &amp; Assumptions'!$B$9, 0)</f>
        <v/>
      </c>
      <c r="R101" s="39" t="n">
        <v>1</v>
      </c>
      <c r="S101" s="21" t="n">
        <v>0.6899999999999999</v>
      </c>
      <c r="T101" s="21" t="n">
        <v>0.77</v>
      </c>
      <c r="U101" s="36" t="inlineStr">
        <is>
          <t>Tier 1A (Direct Coloc, &lt;1 km)</t>
        </is>
      </c>
      <c r="V101" s="20" t="n">
        <v>89.5</v>
      </c>
      <c r="W101" s="20" t="n">
        <v>100</v>
      </c>
      <c r="X101" s="20" t="n">
        <v>58</v>
      </c>
      <c r="Y101" s="40">
        <f>ROUND((V101*'Methodology &amp; Assumptions'!$B$6)+(W101*'Methodology &amp; Assumptions'!$B$5)+(X101*'Methodology &amp; Assumptions'!$B$7), 2)</f>
        <v/>
      </c>
    </row>
    <row r="102" ht="19" customHeight="1">
      <c r="A102" s="41" t="n">
        <v>98</v>
      </c>
      <c r="B102" s="41" t="n">
        <v>98</v>
      </c>
      <c r="C102" s="42" t="inlineStr">
        <is>
          <t>0604520018</t>
        </is>
      </c>
      <c r="D102" s="42" t="inlineStr">
        <is>
          <t>Region VI (Western Visayas)</t>
        </is>
      </c>
      <c r="E102" s="42" t="inlineStr">
        <is>
          <t>Negros Occidental</t>
        </is>
      </c>
      <c r="F102" s="42" t="inlineStr">
        <is>
          <t>Murcia</t>
        </is>
      </c>
      <c r="G102" s="42" t="inlineStr">
        <is>
          <t>Lopez Jaena</t>
        </is>
      </c>
      <c r="H102" s="43" t="n">
        <v>10.572258</v>
      </c>
      <c r="I102" s="43" t="n">
        <v>123.075767</v>
      </c>
      <c r="J102" s="44" t="inlineStr">
        <is>
          <t>R</t>
        </is>
      </c>
      <c r="K102" s="42" t="inlineStr">
        <is>
          <t>Class 1-3 / Urban</t>
        </is>
      </c>
      <c r="L102" s="23" t="n">
        <v>4404</v>
      </c>
      <c r="M102" s="24" t="n">
        <v>4.33</v>
      </c>
      <c r="N102" s="23">
        <f>ROUND(L102/M102, 0)</f>
        <v/>
      </c>
      <c r="O102" s="23">
        <f>ROUND(N102*'Methodology &amp; Assumptions'!$B$8, 0)</f>
        <v/>
      </c>
      <c r="P102" s="44" t="inlineStr">
        <is>
          <t>Band n50 (1.5 GHz, 60 MHz)</t>
        </is>
      </c>
      <c r="Q102" s="38">
        <f>ROUNDUP(O102/'Methodology &amp; Assumptions'!$B$9, 0)</f>
        <v/>
      </c>
      <c r="R102" s="39" t="n">
        <v>1</v>
      </c>
      <c r="S102" s="25" t="n">
        <v>0.7</v>
      </c>
      <c r="T102" s="25" t="n">
        <v>0.21</v>
      </c>
      <c r="U102" s="42" t="inlineStr">
        <is>
          <t>Tier 1A (Direct Coloc, &lt;1 km)</t>
        </is>
      </c>
      <c r="V102" s="24" t="n">
        <v>89.09999999999999</v>
      </c>
      <c r="W102" s="24" t="n">
        <v>100</v>
      </c>
      <c r="X102" s="24" t="n">
        <v>58</v>
      </c>
      <c r="Y102" s="45">
        <f>ROUND((V102*'Methodology &amp; Assumptions'!$B$6)+(W102*'Methodology &amp; Assumptions'!$B$5)+(X102*'Methodology &amp; Assumptions'!$B$7), 2)</f>
        <v/>
      </c>
    </row>
    <row r="103" ht="19" customHeight="1">
      <c r="A103" s="35" t="n">
        <v>99</v>
      </c>
      <c r="B103" s="35" t="n">
        <v>99</v>
      </c>
      <c r="C103" s="36" t="inlineStr">
        <is>
          <t>0301410019</t>
        </is>
      </c>
      <c r="D103" s="36" t="inlineStr">
        <is>
          <t>Region III (Central Luzon)</t>
        </is>
      </c>
      <c r="E103" s="36" t="inlineStr">
        <is>
          <t>Bulacan</t>
        </is>
      </c>
      <c r="F103" s="36" t="inlineStr">
        <is>
          <t>City of Malolos</t>
        </is>
      </c>
      <c r="G103" s="36" t="inlineStr">
        <is>
          <t>Canalate</t>
        </is>
      </c>
      <c r="H103" s="37" t="n">
        <v>14.850538</v>
      </c>
      <c r="I103" s="37" t="n">
        <v>120.816491</v>
      </c>
      <c r="J103" s="8" t="inlineStr">
        <is>
          <t>R</t>
        </is>
      </c>
      <c r="K103" s="36" t="inlineStr">
        <is>
          <t>Class 1-3 / Urban</t>
        </is>
      </c>
      <c r="L103" s="18" t="n">
        <v>3632</v>
      </c>
      <c r="M103" s="20" t="n">
        <v>4.1</v>
      </c>
      <c r="N103" s="18">
        <f>ROUND(L103/M103, 0)</f>
        <v/>
      </c>
      <c r="O103" s="18">
        <f>ROUND(N103*'Methodology &amp; Assumptions'!$B$8, 0)</f>
        <v/>
      </c>
      <c r="P103" s="8" t="inlineStr">
        <is>
          <t>Band n50 (1.5 GHz, 60 MHz)</t>
        </is>
      </c>
      <c r="Q103" s="38">
        <f>ROUNDUP(O103/'Methodology &amp; Assumptions'!$B$9, 0)</f>
        <v/>
      </c>
      <c r="R103" s="39" t="n">
        <v>1</v>
      </c>
      <c r="S103" s="21" t="n">
        <v>0.52</v>
      </c>
      <c r="T103" s="21" t="n">
        <v>0.13</v>
      </c>
      <c r="U103" s="36" t="inlineStr">
        <is>
          <t>Tier 1A (Direct Coloc, &lt;1 km)</t>
        </is>
      </c>
      <c r="V103" s="20" t="n">
        <v>94.2</v>
      </c>
      <c r="W103" s="20" t="n">
        <v>94.90000000000001</v>
      </c>
      <c r="X103" s="20" t="n">
        <v>58</v>
      </c>
      <c r="Y103" s="40">
        <f>ROUND((V103*'Methodology &amp; Assumptions'!$B$6)+(W103*'Methodology &amp; Assumptions'!$B$5)+(X103*'Methodology &amp; Assumptions'!$B$7), 2)</f>
        <v/>
      </c>
    </row>
    <row r="104" ht="19" customHeight="1">
      <c r="A104" s="41" t="n">
        <v>100</v>
      </c>
      <c r="B104" s="41" t="n">
        <v>100</v>
      </c>
      <c r="C104" s="42" t="inlineStr">
        <is>
          <t>0304923002</t>
        </is>
      </c>
      <c r="D104" s="42" t="inlineStr">
        <is>
          <t>Region III (Central Luzon)</t>
        </is>
      </c>
      <c r="E104" s="42" t="inlineStr">
        <is>
          <t>Nueva Ecija</t>
        </is>
      </c>
      <c r="F104" s="42" t="inlineStr">
        <is>
          <t>Rizal</t>
        </is>
      </c>
      <c r="G104" s="42" t="inlineStr">
        <is>
          <t>Agbannawag</t>
        </is>
      </c>
      <c r="H104" s="43" t="n">
        <v>15.585783</v>
      </c>
      <c r="I104" s="43" t="n">
        <v>120.924577</v>
      </c>
      <c r="J104" s="44" t="inlineStr">
        <is>
          <t>R</t>
        </is>
      </c>
      <c r="K104" s="42" t="inlineStr">
        <is>
          <t>Class 1-3 / Urban</t>
        </is>
      </c>
      <c r="L104" s="23" t="n">
        <v>4292</v>
      </c>
      <c r="M104" s="24" t="n">
        <v>4.32</v>
      </c>
      <c r="N104" s="23">
        <f>ROUND(L104/M104, 0)</f>
        <v/>
      </c>
      <c r="O104" s="23">
        <f>ROUND(N104*'Methodology &amp; Assumptions'!$B$8, 0)</f>
        <v/>
      </c>
      <c r="P104" s="44" t="inlineStr">
        <is>
          <t>Band n50 (1.5 GHz, 60 MHz)</t>
        </is>
      </c>
      <c r="Q104" s="38">
        <f>ROUNDUP(O104/'Methodology &amp; Assumptions'!$B$9, 0)</f>
        <v/>
      </c>
      <c r="R104" s="39" t="n">
        <v>1</v>
      </c>
      <c r="S104" s="25" t="n">
        <v>0.71</v>
      </c>
      <c r="T104" s="25" t="n">
        <v>0.52</v>
      </c>
      <c r="U104" s="42" t="inlineStr">
        <is>
          <t>Tier 1A (Direct Coloc, &lt;1 km)</t>
        </is>
      </c>
      <c r="V104" s="24" t="n">
        <v>89</v>
      </c>
      <c r="W104" s="24" t="n">
        <v>100</v>
      </c>
      <c r="X104" s="24" t="n">
        <v>58</v>
      </c>
      <c r="Y104" s="45">
        <f>ROUND((V104*'Methodology &amp; Assumptions'!$B$6)+(W104*'Methodology &amp; Assumptions'!$B$5)+(X104*'Methodology &amp; Assumptions'!$B$7), 2)</f>
        <v/>
      </c>
    </row>
    <row r="105" ht="19" customHeight="1">
      <c r="A105" s="35" t="n">
        <v>101</v>
      </c>
      <c r="B105" s="35" t="n">
        <v>101</v>
      </c>
      <c r="C105" s="36" t="inlineStr">
        <is>
          <t>0305412019</t>
        </is>
      </c>
      <c r="D105" s="36" t="inlineStr">
        <is>
          <t>Region III (Central Luzon)</t>
        </is>
      </c>
      <c r="E105" s="36" t="inlineStr">
        <is>
          <t>Pampanga</t>
        </is>
      </c>
      <c r="F105" s="36" t="inlineStr">
        <is>
          <t>Masantol</t>
        </is>
      </c>
      <c r="G105" s="36" t="inlineStr">
        <is>
          <t>San Nicolas</t>
        </is>
      </c>
      <c r="H105" s="37" t="n">
        <v>14.891868</v>
      </c>
      <c r="I105" s="37" t="n">
        <v>120.709128</v>
      </c>
      <c r="J105" s="8" t="inlineStr">
        <is>
          <t>R</t>
        </is>
      </c>
      <c r="K105" s="36" t="inlineStr">
        <is>
          <t>Class 1-3 / Urban</t>
        </is>
      </c>
      <c r="L105" s="18" t="n">
        <v>3751</v>
      </c>
      <c r="M105" s="20" t="n">
        <v>4.63</v>
      </c>
      <c r="N105" s="18">
        <f>ROUND(L105/M105, 0)</f>
        <v/>
      </c>
      <c r="O105" s="18">
        <f>ROUND(N105*'Methodology &amp; Assumptions'!$B$8, 0)</f>
        <v/>
      </c>
      <c r="P105" s="8" t="inlineStr">
        <is>
          <t>Band n50 (1.5 GHz, 60 MHz)</t>
        </is>
      </c>
      <c r="Q105" s="38">
        <f>ROUNDUP(O105/'Methodology &amp; Assumptions'!$B$9, 0)</f>
        <v/>
      </c>
      <c r="R105" s="39" t="n">
        <v>1</v>
      </c>
      <c r="S105" s="21" t="n">
        <v>0.26</v>
      </c>
      <c r="T105" s="21" t="n">
        <v>1.38</v>
      </c>
      <c r="U105" s="36" t="inlineStr">
        <is>
          <t>Tier 1A (Direct Coloc, &lt;1 km)</t>
        </is>
      </c>
      <c r="V105" s="20" t="n">
        <v>100</v>
      </c>
      <c r="W105" s="20" t="n">
        <v>88.8</v>
      </c>
      <c r="X105" s="20" t="n">
        <v>58</v>
      </c>
      <c r="Y105" s="40">
        <f>ROUND((V105*'Methodology &amp; Assumptions'!$B$6)+(W105*'Methodology &amp; Assumptions'!$B$5)+(X105*'Methodology &amp; Assumptions'!$B$7), 2)</f>
        <v/>
      </c>
    </row>
    <row r="106" ht="19" customHeight="1">
      <c r="A106" s="41" t="n">
        <v>102</v>
      </c>
      <c r="B106" s="41" t="n">
        <v>102</v>
      </c>
      <c r="C106" s="42" t="inlineStr">
        <is>
          <t>0704603006</t>
        </is>
      </c>
      <c r="D106" s="42" t="inlineStr">
        <is>
          <t>Region VII (Central Visayas)</t>
        </is>
      </c>
      <c r="E106" s="42" t="inlineStr">
        <is>
          <t>Negros Oriental</t>
        </is>
      </c>
      <c r="F106" s="42" t="inlineStr">
        <is>
          <t>Bacong</t>
        </is>
      </c>
      <c r="G106" s="42" t="inlineStr">
        <is>
          <t>Combado</t>
        </is>
      </c>
      <c r="H106" s="43" t="n">
        <v>9.251412</v>
      </c>
      <c r="I106" s="43" t="n">
        <v>123.2858</v>
      </c>
      <c r="J106" s="44" t="inlineStr">
        <is>
          <t>R</t>
        </is>
      </c>
      <c r="K106" s="42" t="inlineStr">
        <is>
          <t>2nd</t>
        </is>
      </c>
      <c r="L106" s="23" t="n">
        <v>3759</v>
      </c>
      <c r="M106" s="24" t="n">
        <v>4.41</v>
      </c>
      <c r="N106" s="23">
        <f>ROUND(L106/M106, 0)</f>
        <v/>
      </c>
      <c r="O106" s="23">
        <f>ROUND(N106*'Methodology &amp; Assumptions'!$B$8, 0)</f>
        <v/>
      </c>
      <c r="P106" s="44" t="inlineStr">
        <is>
          <t>Band n50 (1.5 GHz, 60 MHz)</t>
        </is>
      </c>
      <c r="Q106" s="38">
        <f>ROUNDUP(O106/'Methodology &amp; Assumptions'!$B$9, 0)</f>
        <v/>
      </c>
      <c r="R106" s="39" t="n">
        <v>1</v>
      </c>
      <c r="S106" s="25" t="n">
        <v>0.44</v>
      </c>
      <c r="T106" s="25" t="n">
        <v>0.43</v>
      </c>
      <c r="U106" s="42" t="inlineStr">
        <is>
          <t>Tier 1A (Direct Coloc, &lt;1 km)</t>
        </is>
      </c>
      <c r="V106" s="24" t="n">
        <v>96.5</v>
      </c>
      <c r="W106" s="24" t="n">
        <v>92.3</v>
      </c>
      <c r="X106" s="24" t="n">
        <v>58</v>
      </c>
      <c r="Y106" s="45">
        <f>ROUND((V106*'Methodology &amp; Assumptions'!$B$6)+(W106*'Methodology &amp; Assumptions'!$B$5)+(X106*'Methodology &amp; Assumptions'!$B$7), 2)</f>
        <v/>
      </c>
    </row>
    <row r="107" ht="19" customHeight="1">
      <c r="A107" s="35" t="n">
        <v>103</v>
      </c>
      <c r="B107" s="35" t="n">
        <v>103</v>
      </c>
      <c r="C107" s="36" t="inlineStr">
        <is>
          <t>0604521020</t>
        </is>
      </c>
      <c r="D107" s="36" t="inlineStr">
        <is>
          <t>Region VI (Western Visayas)</t>
        </is>
      </c>
      <c r="E107" s="36" t="inlineStr">
        <is>
          <t>Negros Occidental</t>
        </is>
      </c>
      <c r="F107" s="36" t="inlineStr">
        <is>
          <t>Pontevedra</t>
        </is>
      </c>
      <c r="G107" s="36" t="inlineStr">
        <is>
          <t>San Juan</t>
        </is>
      </c>
      <c r="H107" s="37" t="n">
        <v>10.379225</v>
      </c>
      <c r="I107" s="37" t="n">
        <v>122.867217</v>
      </c>
      <c r="J107" s="8" t="inlineStr">
        <is>
          <t>R</t>
        </is>
      </c>
      <c r="K107" s="36" t="inlineStr">
        <is>
          <t>Class 1-3 / Urban</t>
        </is>
      </c>
      <c r="L107" s="18" t="n">
        <v>4497</v>
      </c>
      <c r="M107" s="20" t="n">
        <v>4.33</v>
      </c>
      <c r="N107" s="18">
        <f>ROUND(L107/M107, 0)</f>
        <v/>
      </c>
      <c r="O107" s="18">
        <f>ROUND(N107*'Methodology &amp; Assumptions'!$B$8, 0)</f>
        <v/>
      </c>
      <c r="P107" s="8" t="inlineStr">
        <is>
          <t>Band n50 (1.5 GHz, 60 MHz)</t>
        </is>
      </c>
      <c r="Q107" s="38">
        <f>ROUNDUP(O107/'Methodology &amp; Assumptions'!$B$9, 0)</f>
        <v/>
      </c>
      <c r="R107" s="39" t="n">
        <v>1</v>
      </c>
      <c r="S107" s="21" t="n">
        <v>0.72</v>
      </c>
      <c r="T107" s="21" t="n">
        <v>0.11</v>
      </c>
      <c r="U107" s="36" t="inlineStr">
        <is>
          <t>Tier 1A (Direct Coloc, &lt;1 km)</t>
        </is>
      </c>
      <c r="V107" s="20" t="n">
        <v>88.7</v>
      </c>
      <c r="W107" s="20" t="n">
        <v>100</v>
      </c>
      <c r="X107" s="20" t="n">
        <v>58</v>
      </c>
      <c r="Y107" s="40">
        <f>ROUND((V107*'Methodology &amp; Assumptions'!$B$6)+(W107*'Methodology &amp; Assumptions'!$B$5)+(X107*'Methodology &amp; Assumptions'!$B$7), 2)</f>
        <v/>
      </c>
    </row>
    <row r="108" ht="19" customHeight="1">
      <c r="A108" s="41" t="n">
        <v>104</v>
      </c>
      <c r="B108" s="41" t="n">
        <v>104</v>
      </c>
      <c r="C108" s="42" t="inlineStr">
        <is>
          <t>1430300135</t>
        </is>
      </c>
      <c r="D108" s="42" t="inlineStr">
        <is>
          <t>Cordillera Administrative Region (CAR)</t>
        </is>
      </c>
      <c r="E108" s="42" t="inlineStr">
        <is>
          <t>Benguet</t>
        </is>
      </c>
      <c r="F108" s="42" t="inlineStr">
        <is>
          <t>City of Baguio</t>
        </is>
      </c>
      <c r="G108" s="42" t="inlineStr">
        <is>
          <t>Dominican Hill-Mirador</t>
        </is>
      </c>
      <c r="H108" s="43" t="n">
        <v>16.40893</v>
      </c>
      <c r="I108" s="43" t="n">
        <v>120.58289</v>
      </c>
      <c r="J108" s="44" t="inlineStr">
        <is>
          <t>R</t>
        </is>
      </c>
      <c r="K108" s="42" t="inlineStr">
        <is>
          <t>Class 1-3 / Urban</t>
        </is>
      </c>
      <c r="L108" s="23" t="n">
        <v>4818</v>
      </c>
      <c r="M108" s="24" t="n">
        <v>4.58</v>
      </c>
      <c r="N108" s="23">
        <f>ROUND(L108/M108, 0)</f>
        <v/>
      </c>
      <c r="O108" s="23">
        <f>ROUND(N108*'Methodology &amp; Assumptions'!$B$8, 0)</f>
        <v/>
      </c>
      <c r="P108" s="44" t="inlineStr">
        <is>
          <t>Band n50 (1.5 GHz, 60 MHz)</t>
        </is>
      </c>
      <c r="Q108" s="38">
        <f>ROUNDUP(O108/'Methodology &amp; Assumptions'!$B$9, 0)</f>
        <v/>
      </c>
      <c r="R108" s="39" t="n">
        <v>1</v>
      </c>
      <c r="S108" s="25" t="n">
        <v>0.72</v>
      </c>
      <c r="T108" s="25" t="n">
        <v>0.06</v>
      </c>
      <c r="U108" s="42" t="inlineStr">
        <is>
          <t>Tier 1A (Direct Coloc, &lt;1 km)</t>
        </is>
      </c>
      <c r="V108" s="24" t="n">
        <v>88.59999999999999</v>
      </c>
      <c r="W108" s="24" t="n">
        <v>100</v>
      </c>
      <c r="X108" s="24" t="n">
        <v>58</v>
      </c>
      <c r="Y108" s="45">
        <f>ROUND((V108*'Methodology &amp; Assumptions'!$B$6)+(W108*'Methodology &amp; Assumptions'!$B$5)+(X108*'Methodology &amp; Assumptions'!$B$7), 2)</f>
        <v/>
      </c>
    </row>
    <row r="109" ht="19" customHeight="1">
      <c r="A109" s="35" t="n">
        <v>105</v>
      </c>
      <c r="B109" s="35" t="n">
        <v>105</v>
      </c>
      <c r="C109" s="36" t="inlineStr">
        <is>
          <t>0501608022</t>
        </is>
      </c>
      <c r="D109" s="36" t="inlineStr">
        <is>
          <t>Region V (Bicol Region)</t>
        </is>
      </c>
      <c r="E109" s="36" t="inlineStr">
        <is>
          <t>Camarines Norte</t>
        </is>
      </c>
      <c r="F109" s="36" t="inlineStr">
        <is>
          <t>Paracale</t>
        </is>
      </c>
      <c r="G109" s="36" t="inlineStr">
        <is>
          <t>Poblacion Norte</t>
        </is>
      </c>
      <c r="H109" s="37" t="n">
        <v>14.281584</v>
      </c>
      <c r="I109" s="37" t="n">
        <v>122.787354</v>
      </c>
      <c r="J109" s="8" t="inlineStr">
        <is>
          <t>R</t>
        </is>
      </c>
      <c r="K109" s="36" t="inlineStr">
        <is>
          <t>Class 1-3 / Urban</t>
        </is>
      </c>
      <c r="L109" s="18" t="n">
        <v>4001</v>
      </c>
      <c r="M109" s="20" t="n">
        <v>4.4</v>
      </c>
      <c r="N109" s="18">
        <f>ROUND(L109/M109, 0)</f>
        <v/>
      </c>
      <c r="O109" s="18">
        <f>ROUND(N109*'Methodology &amp; Assumptions'!$B$8, 0)</f>
        <v/>
      </c>
      <c r="P109" s="8" t="inlineStr">
        <is>
          <t>Band n50 (1.5 GHz, 60 MHz)</t>
        </is>
      </c>
      <c r="Q109" s="38">
        <f>ROUNDUP(O109/'Methodology &amp; Assumptions'!$B$9, 0)</f>
        <v/>
      </c>
      <c r="R109" s="39" t="n">
        <v>1</v>
      </c>
      <c r="S109" s="21" t="n">
        <v>0.26</v>
      </c>
      <c r="T109" s="21" t="n">
        <v>9.56</v>
      </c>
      <c r="U109" s="36" t="inlineStr">
        <is>
          <t>Tier 1A (Direct Coloc, &lt;1 km)</t>
        </is>
      </c>
      <c r="V109" s="20" t="n">
        <v>91.8</v>
      </c>
      <c r="W109" s="20" t="n">
        <v>96.8</v>
      </c>
      <c r="X109" s="20" t="n">
        <v>58</v>
      </c>
      <c r="Y109" s="40">
        <f>ROUND((V109*'Methodology &amp; Assumptions'!$B$6)+(W109*'Methodology &amp; Assumptions'!$B$5)+(X109*'Methodology &amp; Assumptions'!$B$7), 2)</f>
        <v/>
      </c>
    </row>
    <row r="110" ht="19" customHeight="1">
      <c r="A110" s="41" t="n">
        <v>106</v>
      </c>
      <c r="B110" s="41" t="n">
        <v>106</v>
      </c>
      <c r="C110" s="42" t="inlineStr">
        <is>
          <t>1108204013</t>
        </is>
      </c>
      <c r="D110" s="42" t="inlineStr">
        <is>
          <t>Region XI (Davao Region)</t>
        </is>
      </c>
      <c r="E110" s="42" t="inlineStr">
        <is>
          <t>Davao de Oro</t>
        </is>
      </c>
      <c r="F110" s="42" t="inlineStr">
        <is>
          <t>Maco</t>
        </is>
      </c>
      <c r="G110" s="42" t="inlineStr">
        <is>
          <t>Langgam</t>
        </is>
      </c>
      <c r="H110" s="43" t="n">
        <v>7.355532</v>
      </c>
      <c r="I110" s="43" t="n">
        <v>125.859541</v>
      </c>
      <c r="J110" s="44" t="inlineStr">
        <is>
          <t>R</t>
        </is>
      </c>
      <c r="K110" s="42" t="inlineStr">
        <is>
          <t>Class 1-3 / Urban</t>
        </is>
      </c>
      <c r="L110" s="23" t="n">
        <v>3433</v>
      </c>
      <c r="M110" s="24" t="n">
        <v>4.1</v>
      </c>
      <c r="N110" s="23">
        <f>ROUND(L110/M110, 0)</f>
        <v/>
      </c>
      <c r="O110" s="23">
        <f>ROUND(N110*'Methodology &amp; Assumptions'!$B$8, 0)</f>
        <v/>
      </c>
      <c r="P110" s="44" t="inlineStr">
        <is>
          <t>Band n50 (1.5 GHz, 60 MHz)</t>
        </is>
      </c>
      <c r="Q110" s="38">
        <f>ROUNDUP(O110/'Methodology &amp; Assumptions'!$B$9, 0)</f>
        <v/>
      </c>
      <c r="R110" s="39" t="n">
        <v>1</v>
      </c>
      <c r="S110" s="25" t="n">
        <v>0.4</v>
      </c>
      <c r="T110" s="25" t="n">
        <v>0.4</v>
      </c>
      <c r="U110" s="42" t="inlineStr">
        <is>
          <t>Tier 1A (Direct Coloc, &lt;1 km)</t>
        </is>
      </c>
      <c r="V110" s="24" t="n">
        <v>97.5</v>
      </c>
      <c r="W110" s="24" t="n">
        <v>90.90000000000001</v>
      </c>
      <c r="X110" s="24" t="n">
        <v>58</v>
      </c>
      <c r="Y110" s="45">
        <f>ROUND((V110*'Methodology &amp; Assumptions'!$B$6)+(W110*'Methodology &amp; Assumptions'!$B$5)+(X110*'Methodology &amp; Assumptions'!$B$7), 2)</f>
        <v/>
      </c>
    </row>
    <row r="111" ht="19" customHeight="1">
      <c r="A111" s="35" t="n">
        <v>107</v>
      </c>
      <c r="B111" s="35" t="n">
        <v>107</v>
      </c>
      <c r="C111" s="36" t="inlineStr">
        <is>
          <t>1404402015</t>
        </is>
      </c>
      <c r="D111" s="36" t="inlineStr">
        <is>
          <t>Cordillera Administrative Region (CAR)</t>
        </is>
      </c>
      <c r="E111" s="36" t="inlineStr">
        <is>
          <t>Mountain Province</t>
        </is>
      </c>
      <c r="F111" s="36" t="inlineStr">
        <is>
          <t>Bauko</t>
        </is>
      </c>
      <c r="G111" s="36" t="inlineStr">
        <is>
          <t>Monamon Sur</t>
        </is>
      </c>
      <c r="H111" s="37" t="n">
        <v>16.866528</v>
      </c>
      <c r="I111" s="37" t="n">
        <v>120.875452</v>
      </c>
      <c r="J111" s="8" t="inlineStr">
        <is>
          <t>R</t>
        </is>
      </c>
      <c r="K111" s="36" t="inlineStr">
        <is>
          <t>2nd</t>
        </is>
      </c>
      <c r="L111" s="18" t="n">
        <v>3877</v>
      </c>
      <c r="M111" s="20" t="n">
        <v>4.55</v>
      </c>
      <c r="N111" s="18">
        <f>ROUND(L111/M111, 0)</f>
        <v/>
      </c>
      <c r="O111" s="18">
        <f>ROUND(N111*'Methodology &amp; Assumptions'!$B$8, 0)</f>
        <v/>
      </c>
      <c r="P111" s="8" t="inlineStr">
        <is>
          <t>Band n50 (1.5 GHz, 60 MHz)</t>
        </is>
      </c>
      <c r="Q111" s="38">
        <f>ROUNDUP(O111/'Methodology &amp; Assumptions'!$B$9, 0)</f>
        <v/>
      </c>
      <c r="R111" s="39" t="n">
        <v>1</v>
      </c>
      <c r="S111" s="21" t="n">
        <v>0.07000000000000001</v>
      </c>
      <c r="T111" s="21" t="n">
        <v>0.09</v>
      </c>
      <c r="U111" s="36" t="inlineStr">
        <is>
          <t>Tier 1A (Direct Coloc, &lt;1 km)</t>
        </is>
      </c>
      <c r="V111" s="20" t="n">
        <v>100</v>
      </c>
      <c r="W111" s="20" t="n">
        <v>88.3</v>
      </c>
      <c r="X111" s="20" t="n">
        <v>58</v>
      </c>
      <c r="Y111" s="40">
        <f>ROUND((V111*'Methodology &amp; Assumptions'!$B$6)+(W111*'Methodology &amp; Assumptions'!$B$5)+(X111*'Methodology &amp; Assumptions'!$B$7), 2)</f>
        <v/>
      </c>
    </row>
    <row r="112" ht="19" customHeight="1">
      <c r="A112" s="41" t="n">
        <v>108</v>
      </c>
      <c r="B112" s="41" t="n">
        <v>108</v>
      </c>
      <c r="C112" s="42" t="inlineStr">
        <is>
          <t>0702245008</t>
        </is>
      </c>
      <c r="D112" s="42" t="inlineStr">
        <is>
          <t>Region VII (Central Visayas)</t>
        </is>
      </c>
      <c r="E112" s="42" t="inlineStr">
        <is>
          <t>Cebu</t>
        </is>
      </c>
      <c r="F112" s="42" t="inlineStr">
        <is>
          <t>Santander</t>
        </is>
      </c>
      <c r="G112" s="42" t="inlineStr">
        <is>
          <t>Poblacion</t>
        </is>
      </c>
      <c r="H112" s="43" t="n">
        <v>9.417149999999999</v>
      </c>
      <c r="I112" s="43" t="n">
        <v>123.33355</v>
      </c>
      <c r="J112" s="44" t="inlineStr">
        <is>
          <t>R</t>
        </is>
      </c>
      <c r="K112" s="42" t="inlineStr">
        <is>
          <t>4th</t>
        </is>
      </c>
      <c r="L112" s="23" t="n">
        <v>2902</v>
      </c>
      <c r="M112" s="24" t="n">
        <v>4.2</v>
      </c>
      <c r="N112" s="23">
        <f>ROUND(L112/M112, 0)</f>
        <v/>
      </c>
      <c r="O112" s="23">
        <f>ROUND(N112*'Methodology &amp; Assumptions'!$B$8, 0)</f>
        <v/>
      </c>
      <c r="P112" s="44" t="inlineStr">
        <is>
          <t>Band n50 (1.5 GHz, 60 MHz)</t>
        </is>
      </c>
      <c r="Q112" s="38">
        <f>ROUNDUP(O112/'Methodology &amp; Assumptions'!$B$9, 0)</f>
        <v/>
      </c>
      <c r="R112" s="39" t="n">
        <v>1</v>
      </c>
      <c r="S112" s="25" t="n">
        <v>0.24</v>
      </c>
      <c r="T112" s="25" t="n">
        <v>0.24</v>
      </c>
      <c r="U112" s="42" t="inlineStr">
        <is>
          <t>Tier 1A (Direct Coloc, &lt;1 km)</t>
        </is>
      </c>
      <c r="V112" s="24" t="n">
        <v>100</v>
      </c>
      <c r="W112" s="24" t="n">
        <v>79.2</v>
      </c>
      <c r="X112" s="24" t="n">
        <v>68.5</v>
      </c>
      <c r="Y112" s="45">
        <f>ROUND((V112*'Methodology &amp; Assumptions'!$B$6)+(W112*'Methodology &amp; Assumptions'!$B$5)+(X112*'Methodology &amp; Assumptions'!$B$7), 2)</f>
        <v/>
      </c>
    </row>
    <row r="113" ht="19" customHeight="1">
      <c r="A113" s="35" t="n">
        <v>109</v>
      </c>
      <c r="B113" s="35" t="n">
        <v>109</v>
      </c>
      <c r="C113" s="36" t="inlineStr">
        <is>
          <t>0500517005</t>
        </is>
      </c>
      <c r="D113" s="36" t="inlineStr">
        <is>
          <t>Region V (Bicol Region)</t>
        </is>
      </c>
      <c r="E113" s="36" t="inlineStr">
        <is>
          <t>Albay</t>
        </is>
      </c>
      <c r="F113" s="36" t="inlineStr">
        <is>
          <t>City of Tabaco</t>
        </is>
      </c>
      <c r="G113" s="36" t="inlineStr">
        <is>
          <t>Baranghawon</t>
        </is>
      </c>
      <c r="H113" s="37" t="n">
        <v>13.352977</v>
      </c>
      <c r="I113" s="37" t="n">
        <v>123.724431</v>
      </c>
      <c r="J113" s="8" t="inlineStr">
        <is>
          <t>R</t>
        </is>
      </c>
      <c r="K113" s="36" t="inlineStr">
        <is>
          <t>Class 1-3 / Urban</t>
        </is>
      </c>
      <c r="L113" s="18" t="n">
        <v>4787</v>
      </c>
      <c r="M113" s="20" t="n">
        <v>4.67</v>
      </c>
      <c r="N113" s="18">
        <f>ROUND(L113/M113, 0)</f>
        <v/>
      </c>
      <c r="O113" s="18">
        <f>ROUND(N113*'Methodology &amp; Assumptions'!$B$8, 0)</f>
        <v/>
      </c>
      <c r="P113" s="8" t="inlineStr">
        <is>
          <t>Band n50 (1.5 GHz, 60 MHz)</t>
        </is>
      </c>
      <c r="Q113" s="38">
        <f>ROUNDUP(O113/'Methodology &amp; Assumptions'!$B$9, 0)</f>
        <v/>
      </c>
      <c r="R113" s="39" t="n">
        <v>1</v>
      </c>
      <c r="S113" s="21" t="n">
        <v>0.75</v>
      </c>
      <c r="T113" s="21" t="n">
        <v>0.41</v>
      </c>
      <c r="U113" s="36" t="inlineStr">
        <is>
          <t>Tier 1A (Direct Coloc, &lt;1 km)</t>
        </is>
      </c>
      <c r="V113" s="20" t="n">
        <v>87.90000000000001</v>
      </c>
      <c r="W113" s="20" t="n">
        <v>100</v>
      </c>
      <c r="X113" s="20" t="n">
        <v>58</v>
      </c>
      <c r="Y113" s="40">
        <f>ROUND((V113*'Methodology &amp; Assumptions'!$B$6)+(W113*'Methodology &amp; Assumptions'!$B$5)+(X113*'Methodology &amp; Assumptions'!$B$7), 2)</f>
        <v/>
      </c>
    </row>
    <row r="114" ht="19" customHeight="1">
      <c r="A114" s="41" t="n">
        <v>110</v>
      </c>
      <c r="B114" s="41" t="n">
        <v>110</v>
      </c>
      <c r="C114" s="42" t="inlineStr">
        <is>
          <t>1401111012</t>
        </is>
      </c>
      <c r="D114" s="42" t="inlineStr">
        <is>
          <t>Cordillera Administrative Region (CAR)</t>
        </is>
      </c>
      <c r="E114" s="42" t="inlineStr">
        <is>
          <t>Benguet</t>
        </is>
      </c>
      <c r="F114" s="42" t="inlineStr">
        <is>
          <t>Mankayan</t>
        </is>
      </c>
      <c r="G114" s="42" t="inlineStr">
        <is>
          <t>Tabio</t>
        </is>
      </c>
      <c r="H114" s="43" t="n">
        <v>16.85866</v>
      </c>
      <c r="I114" s="43" t="n">
        <v>120.79512</v>
      </c>
      <c r="J114" s="44" t="inlineStr">
        <is>
          <t>R</t>
        </is>
      </c>
      <c r="K114" s="42" t="inlineStr">
        <is>
          <t>Class 1-3 / Urban</t>
        </is>
      </c>
      <c r="L114" s="23" t="n">
        <v>3566</v>
      </c>
      <c r="M114" s="24" t="n">
        <v>4.58</v>
      </c>
      <c r="N114" s="23">
        <f>ROUND(L114/M114, 0)</f>
        <v/>
      </c>
      <c r="O114" s="23">
        <f>ROUND(N114*'Methodology &amp; Assumptions'!$B$8, 0)</f>
        <v/>
      </c>
      <c r="P114" s="44" t="inlineStr">
        <is>
          <t>Band n50 (1.5 GHz, 60 MHz)</t>
        </is>
      </c>
      <c r="Q114" s="38">
        <f>ROUNDUP(O114/'Methodology &amp; Assumptions'!$B$9, 0)</f>
        <v/>
      </c>
      <c r="R114" s="39" t="n">
        <v>1</v>
      </c>
      <c r="S114" s="25" t="n">
        <v>0.58</v>
      </c>
      <c r="T114" s="25" t="n">
        <v>0.16</v>
      </c>
      <c r="U114" s="42" t="inlineStr">
        <is>
          <t>Tier 1A (Direct Coloc, &lt;1 km)</t>
        </is>
      </c>
      <c r="V114" s="24" t="n">
        <v>92.5</v>
      </c>
      <c r="W114" s="24" t="n">
        <v>82.40000000000001</v>
      </c>
      <c r="X114" s="24" t="n">
        <v>73</v>
      </c>
      <c r="Y114" s="45">
        <f>ROUND((V114*'Methodology &amp; Assumptions'!$B$6)+(W114*'Methodology &amp; Assumptions'!$B$5)+(X114*'Methodology &amp; Assumptions'!$B$7), 2)</f>
        <v/>
      </c>
    </row>
    <row r="115" ht="19" customHeight="1">
      <c r="A115" s="35" t="n">
        <v>111</v>
      </c>
      <c r="B115" s="35" t="n">
        <v>111</v>
      </c>
      <c r="C115" s="36" t="inlineStr">
        <is>
          <t>1004317008</t>
        </is>
      </c>
      <c r="D115" s="36" t="inlineStr">
        <is>
          <t>Region X (Northern Mindanao)</t>
        </is>
      </c>
      <c r="E115" s="36" t="inlineStr">
        <is>
          <t>Misamis Oriental</t>
        </is>
      </c>
      <c r="F115" s="36" t="inlineStr">
        <is>
          <t>Magsaysay</t>
        </is>
      </c>
      <c r="G115" s="36" t="inlineStr">
        <is>
          <t>Consuelo</t>
        </is>
      </c>
      <c r="H115" s="37" t="n">
        <v>8.912383</v>
      </c>
      <c r="I115" s="37" t="n">
        <v>125.1866</v>
      </c>
      <c r="J115" s="8" t="inlineStr">
        <is>
          <t>R</t>
        </is>
      </c>
      <c r="K115" s="36" t="inlineStr">
        <is>
          <t>2nd</t>
        </is>
      </c>
      <c r="L115" s="18" t="n">
        <v>3923</v>
      </c>
      <c r="M115" s="20" t="n">
        <v>4.95</v>
      </c>
      <c r="N115" s="18">
        <f>ROUND(L115/M115, 0)</f>
        <v/>
      </c>
      <c r="O115" s="18">
        <f>ROUND(N115*'Methodology &amp; Assumptions'!$B$8, 0)</f>
        <v/>
      </c>
      <c r="P115" s="8" t="inlineStr">
        <is>
          <t>Band n50 (1.5 GHz, 60 MHz)</t>
        </is>
      </c>
      <c r="Q115" s="38">
        <f>ROUNDUP(O115/'Methodology &amp; Assumptions'!$B$9, 0)</f>
        <v/>
      </c>
      <c r="R115" s="39" t="n">
        <v>1</v>
      </c>
      <c r="S115" s="21" t="n">
        <v>0.05</v>
      </c>
      <c r="T115" s="21" t="n">
        <v>0.15</v>
      </c>
      <c r="U115" s="36" t="inlineStr">
        <is>
          <t>Tier 1A (Direct Coloc, &lt;1 km)</t>
        </is>
      </c>
      <c r="V115" s="20" t="n">
        <v>100</v>
      </c>
      <c r="W115" s="20" t="n">
        <v>87.5</v>
      </c>
      <c r="X115" s="20" t="n">
        <v>58</v>
      </c>
      <c r="Y115" s="40">
        <f>ROUND((V115*'Methodology &amp; Assumptions'!$B$6)+(W115*'Methodology &amp; Assumptions'!$B$5)+(X115*'Methodology &amp; Assumptions'!$B$7), 2)</f>
        <v/>
      </c>
    </row>
    <row r="116" ht="19" customHeight="1">
      <c r="A116" s="41" t="n">
        <v>112</v>
      </c>
      <c r="B116" s="41" t="n">
        <v>112</v>
      </c>
      <c r="C116" s="42" t="inlineStr">
        <is>
          <t>0405647039</t>
        </is>
      </c>
      <c r="D116" s="42" t="inlineStr">
        <is>
          <t>Region IV-A (CALABARZON)</t>
        </is>
      </c>
      <c r="E116" s="42" t="inlineStr">
        <is>
          <t>Quezon</t>
        </is>
      </c>
      <c r="F116" s="42" t="inlineStr">
        <is>
          <t>City of Tayabas</t>
        </is>
      </c>
      <c r="G116" s="42" t="inlineStr">
        <is>
          <t>Lita</t>
        </is>
      </c>
      <c r="H116" s="43" t="n">
        <v>14.01848</v>
      </c>
      <c r="I116" s="43" t="n">
        <v>121.59632</v>
      </c>
      <c r="J116" s="44" t="inlineStr">
        <is>
          <t>R</t>
        </is>
      </c>
      <c r="K116" s="42" t="inlineStr">
        <is>
          <t>Class 1-3 / Urban</t>
        </is>
      </c>
      <c r="L116" s="23" t="n">
        <v>4079</v>
      </c>
      <c r="M116" s="24" t="n">
        <v>4.46</v>
      </c>
      <c r="N116" s="23">
        <f>ROUND(L116/M116, 0)</f>
        <v/>
      </c>
      <c r="O116" s="23">
        <f>ROUND(N116*'Methodology &amp; Assumptions'!$B$8, 0)</f>
        <v/>
      </c>
      <c r="P116" s="44" t="inlineStr">
        <is>
          <t>Band n50 (1.5 GHz, 60 MHz)</t>
        </is>
      </c>
      <c r="Q116" s="38">
        <f>ROUNDUP(O116/'Methodology &amp; Assumptions'!$B$9, 0)</f>
        <v/>
      </c>
      <c r="R116" s="39" t="n">
        <v>1</v>
      </c>
      <c r="S116" s="25" t="n">
        <v>0.66</v>
      </c>
      <c r="T116" s="25" t="n">
        <v>0.22</v>
      </c>
      <c r="U116" s="42" t="inlineStr">
        <is>
          <t>Tier 1A (Direct Coloc, &lt;1 km)</t>
        </is>
      </c>
      <c r="V116" s="24" t="n">
        <v>90.3</v>
      </c>
      <c r="W116" s="24" t="n">
        <v>97.09999999999999</v>
      </c>
      <c r="X116" s="24" t="n">
        <v>58</v>
      </c>
      <c r="Y116" s="45">
        <f>ROUND((V116*'Methodology &amp; Assumptions'!$B$6)+(W116*'Methodology &amp; Assumptions'!$B$5)+(X116*'Methodology &amp; Assumptions'!$B$7), 2)</f>
        <v/>
      </c>
    </row>
    <row r="117" ht="19" customHeight="1">
      <c r="A117" s="35" t="n">
        <v>113</v>
      </c>
      <c r="B117" s="35" t="n">
        <v>113</v>
      </c>
      <c r="C117" s="36" t="inlineStr">
        <is>
          <t>1630400054</t>
        </is>
      </c>
      <c r="D117" s="36" t="inlineStr">
        <is>
          <t>Region XIII (Caraga)</t>
        </is>
      </c>
      <c r="E117" s="36" t="inlineStr">
        <is>
          <t>Agusan del Norte</t>
        </is>
      </c>
      <c r="F117" s="36" t="inlineStr">
        <is>
          <t>City of Butuan</t>
        </is>
      </c>
      <c r="G117" s="36" t="inlineStr">
        <is>
          <t>Libertad</t>
        </is>
      </c>
      <c r="H117" s="37" t="n">
        <v>8.943453</v>
      </c>
      <c r="I117" s="37" t="n">
        <v>125.502104</v>
      </c>
      <c r="J117" s="8" t="inlineStr">
        <is>
          <t>U</t>
        </is>
      </c>
      <c r="K117" s="36" t="inlineStr">
        <is>
          <t>Class 1-3 / Urban</t>
        </is>
      </c>
      <c r="L117" s="18" t="n">
        <v>25296</v>
      </c>
      <c r="M117" s="20" t="n">
        <v>4.63</v>
      </c>
      <c r="N117" s="18">
        <f>ROUND(L117/M117, 0)</f>
        <v/>
      </c>
      <c r="O117" s="18">
        <f>ROUND(N117*'Methodology &amp; Assumptions'!$B$8, 0)</f>
        <v/>
      </c>
      <c r="P117" s="8" t="inlineStr">
        <is>
          <t>Band n50 (1.5 GHz, 60 MHz)</t>
        </is>
      </c>
      <c r="Q117" s="38">
        <f>ROUNDUP(O117/'Methodology &amp; Assumptions'!$B$9, 0)</f>
        <v/>
      </c>
      <c r="R117" s="39" t="n">
        <v>1</v>
      </c>
      <c r="S117" s="21" t="n">
        <v>0.03</v>
      </c>
      <c r="T117" s="21" t="n">
        <v>0.04</v>
      </c>
      <c r="U117" s="36" t="inlineStr">
        <is>
          <t>Tier 1A (Direct Coloc, &lt;1 km)</t>
        </is>
      </c>
      <c r="V117" s="20" t="n">
        <v>100</v>
      </c>
      <c r="W117" s="20" t="n">
        <v>100</v>
      </c>
      <c r="X117" s="20" t="n">
        <v>43</v>
      </c>
      <c r="Y117" s="40">
        <f>ROUND((V117*'Methodology &amp; Assumptions'!$B$6)+(W117*'Methodology &amp; Assumptions'!$B$5)+(X117*'Methodology &amp; Assumptions'!$B$7), 2)</f>
        <v/>
      </c>
    </row>
    <row r="118" ht="19" customHeight="1">
      <c r="A118" s="41" t="n">
        <v>114</v>
      </c>
      <c r="B118" s="41" t="n">
        <v>114</v>
      </c>
      <c r="C118" s="42" t="inlineStr">
        <is>
          <t>1208007019</t>
        </is>
      </c>
      <c r="D118" s="42" t="inlineStr">
        <is>
          <t>Region XII (SOCCSKSARGEN)</t>
        </is>
      </c>
      <c r="E118" s="42" t="inlineStr">
        <is>
          <t>Sarangani</t>
        </is>
      </c>
      <c r="F118" s="42" t="inlineStr">
        <is>
          <t>Malungon</t>
        </is>
      </c>
      <c r="G118" s="42" t="inlineStr">
        <is>
          <t>Malandag</t>
        </is>
      </c>
      <c r="H118" s="43" t="n">
        <v>6.309239</v>
      </c>
      <c r="I118" s="43" t="n">
        <v>125.251992</v>
      </c>
      <c r="J118" s="44" t="inlineStr">
        <is>
          <t>U</t>
        </is>
      </c>
      <c r="K118" s="42" t="inlineStr">
        <is>
          <t>Class 1-3 / Urban</t>
        </is>
      </c>
      <c r="L118" s="23" t="n">
        <v>15975</v>
      </c>
      <c r="M118" s="24" t="n">
        <v>4.1</v>
      </c>
      <c r="N118" s="23">
        <f>ROUND(L118/M118, 0)</f>
        <v/>
      </c>
      <c r="O118" s="23">
        <f>ROUND(N118*'Methodology &amp; Assumptions'!$B$8, 0)</f>
        <v/>
      </c>
      <c r="P118" s="44" t="inlineStr">
        <is>
          <t>Band n50 (1.5 GHz, 60 MHz)</t>
        </is>
      </c>
      <c r="Q118" s="38">
        <f>ROUNDUP(O118/'Methodology &amp; Assumptions'!$B$9, 0)</f>
        <v/>
      </c>
      <c r="R118" s="39" t="n">
        <v>1</v>
      </c>
      <c r="S118" s="25" t="n">
        <v>0.26</v>
      </c>
      <c r="T118" s="25" t="n">
        <v>0.11</v>
      </c>
      <c r="U118" s="42" t="inlineStr">
        <is>
          <t>Tier 1A (Direct Coloc, &lt;1 km)</t>
        </is>
      </c>
      <c r="V118" s="24" t="n">
        <v>100</v>
      </c>
      <c r="W118" s="24" t="n">
        <v>100</v>
      </c>
      <c r="X118" s="24" t="n">
        <v>43</v>
      </c>
      <c r="Y118" s="45">
        <f>ROUND((V118*'Methodology &amp; Assumptions'!$B$6)+(W118*'Methodology &amp; Assumptions'!$B$5)+(X118*'Methodology &amp; Assumptions'!$B$7), 2)</f>
        <v/>
      </c>
    </row>
    <row r="119" ht="19" customHeight="1">
      <c r="A119" s="35" t="n">
        <v>115</v>
      </c>
      <c r="B119" s="35" t="n">
        <v>115</v>
      </c>
      <c r="C119" s="36" t="inlineStr">
        <is>
          <t>0307114014</t>
        </is>
      </c>
      <c r="D119" s="36" t="inlineStr">
        <is>
          <t>Region III (Central Luzon)</t>
        </is>
      </c>
      <c r="E119" s="36" t="inlineStr">
        <is>
          <t>Zambales</t>
        </is>
      </c>
      <c r="F119" s="36" t="inlineStr">
        <is>
          <t>Subic</t>
        </is>
      </c>
      <c r="G119" s="36" t="inlineStr">
        <is>
          <t>Mangan-Vaca</t>
        </is>
      </c>
      <c r="H119" s="37" t="n">
        <v>14.888907</v>
      </c>
      <c r="I119" s="37" t="n">
        <v>120.237835</v>
      </c>
      <c r="J119" s="8" t="inlineStr">
        <is>
          <t>U</t>
        </is>
      </c>
      <c r="K119" s="36" t="inlineStr">
        <is>
          <t>Class 1-3 / Urban</t>
        </is>
      </c>
      <c r="L119" s="18" t="n">
        <v>13563</v>
      </c>
      <c r="M119" s="20" t="n">
        <v>4.05</v>
      </c>
      <c r="N119" s="18">
        <f>ROUND(L119/M119, 0)</f>
        <v/>
      </c>
      <c r="O119" s="18">
        <f>ROUND(N119*'Methodology &amp; Assumptions'!$B$8, 0)</f>
        <v/>
      </c>
      <c r="P119" s="8" t="inlineStr">
        <is>
          <t>Band n50 (1.5 GHz, 60 MHz)</t>
        </is>
      </c>
      <c r="Q119" s="38">
        <f>ROUNDUP(O119/'Methodology &amp; Assumptions'!$B$9, 0)</f>
        <v/>
      </c>
      <c r="R119" s="39" t="n">
        <v>1</v>
      </c>
      <c r="S119" s="21" t="n">
        <v>0.01</v>
      </c>
      <c r="T119" s="21" t="n">
        <v>0.29</v>
      </c>
      <c r="U119" s="36" t="inlineStr">
        <is>
          <t>Tier 1A (Direct Coloc, &lt;1 km)</t>
        </is>
      </c>
      <c r="V119" s="20" t="n">
        <v>100</v>
      </c>
      <c r="W119" s="20" t="n">
        <v>100</v>
      </c>
      <c r="X119" s="20" t="n">
        <v>43</v>
      </c>
      <c r="Y119" s="40">
        <f>ROUND((V119*'Methodology &amp; Assumptions'!$B$6)+(W119*'Methodology &amp; Assumptions'!$B$5)+(X119*'Methodology &amp; Assumptions'!$B$7), 2)</f>
        <v/>
      </c>
    </row>
    <row r="120" ht="19" customHeight="1">
      <c r="A120" s="41" t="n">
        <v>116</v>
      </c>
      <c r="B120" s="41" t="n">
        <v>116</v>
      </c>
      <c r="C120" s="42" t="inlineStr">
        <is>
          <t>0304925004</t>
        </is>
      </c>
      <c r="D120" s="42" t="inlineStr">
        <is>
          <t>Region III (Central Luzon)</t>
        </is>
      </c>
      <c r="E120" s="42" t="inlineStr">
        <is>
          <t>Nueva Ecija</t>
        </is>
      </c>
      <c r="F120" s="42" t="inlineStr">
        <is>
          <t>San Isidro</t>
        </is>
      </c>
      <c r="G120" s="42" t="inlineStr">
        <is>
          <t>Malapit</t>
        </is>
      </c>
      <c r="H120" s="43" t="n">
        <v>15.307451</v>
      </c>
      <c r="I120" s="43" t="n">
        <v>120.92033</v>
      </c>
      <c r="J120" s="44" t="inlineStr">
        <is>
          <t>U</t>
        </is>
      </c>
      <c r="K120" s="42" t="inlineStr">
        <is>
          <t>Class 1-3 / Urban</t>
        </is>
      </c>
      <c r="L120" s="23" t="n">
        <v>9596</v>
      </c>
      <c r="M120" s="24" t="n">
        <v>4.32</v>
      </c>
      <c r="N120" s="23">
        <f>ROUND(L120/M120, 0)</f>
        <v/>
      </c>
      <c r="O120" s="23">
        <f>ROUND(N120*'Methodology &amp; Assumptions'!$B$8, 0)</f>
        <v/>
      </c>
      <c r="P120" s="44" t="inlineStr">
        <is>
          <t>Band n50 (1.5 GHz, 60 MHz)</t>
        </is>
      </c>
      <c r="Q120" s="38">
        <f>ROUNDUP(O120/'Methodology &amp; Assumptions'!$B$9, 0)</f>
        <v/>
      </c>
      <c r="R120" s="39" t="n">
        <v>1</v>
      </c>
      <c r="S120" s="25" t="n">
        <v>0.02</v>
      </c>
      <c r="T120" s="25" t="n">
        <v>0.07000000000000001</v>
      </c>
      <c r="U120" s="42" t="inlineStr">
        <is>
          <t>Tier 1A (Direct Coloc, &lt;1 km)</t>
        </is>
      </c>
      <c r="V120" s="24" t="n">
        <v>100</v>
      </c>
      <c r="W120" s="24" t="n">
        <v>100</v>
      </c>
      <c r="X120" s="24" t="n">
        <v>43</v>
      </c>
      <c r="Y120" s="45">
        <f>ROUND((V120*'Methodology &amp; Assumptions'!$B$6)+(W120*'Methodology &amp; Assumptions'!$B$5)+(X120*'Methodology &amp; Assumptions'!$B$7), 2)</f>
        <v/>
      </c>
    </row>
    <row r="121" ht="19" customHeight="1">
      <c r="A121" s="35" t="n">
        <v>117</v>
      </c>
      <c r="B121" s="35" t="n">
        <v>117</v>
      </c>
      <c r="C121" s="36" t="inlineStr">
        <is>
          <t>0304925006</t>
        </is>
      </c>
      <c r="D121" s="36" t="inlineStr">
        <is>
          <t>Region III (Central Luzon)</t>
        </is>
      </c>
      <c r="E121" s="36" t="inlineStr">
        <is>
          <t>Nueva Ecija</t>
        </is>
      </c>
      <c r="F121" s="36" t="inlineStr">
        <is>
          <t>San Isidro</t>
        </is>
      </c>
      <c r="G121" s="36" t="inlineStr">
        <is>
          <t>Poblacion</t>
        </is>
      </c>
      <c r="H121" s="37" t="n">
        <v>15.308193</v>
      </c>
      <c r="I121" s="37" t="n">
        <v>120.906627</v>
      </c>
      <c r="J121" s="8" t="inlineStr">
        <is>
          <t>U</t>
        </is>
      </c>
      <c r="K121" s="36" t="inlineStr">
        <is>
          <t>Class 1-3 / Urban</t>
        </is>
      </c>
      <c r="L121" s="18" t="n">
        <v>7464</v>
      </c>
      <c r="M121" s="20" t="n">
        <v>4.32</v>
      </c>
      <c r="N121" s="18">
        <f>ROUND(L121/M121, 0)</f>
        <v/>
      </c>
      <c r="O121" s="18">
        <f>ROUND(N121*'Methodology &amp; Assumptions'!$B$8, 0)</f>
        <v/>
      </c>
      <c r="P121" s="8" t="inlineStr">
        <is>
          <t>Band n50 (1.5 GHz, 60 MHz)</t>
        </is>
      </c>
      <c r="Q121" s="38">
        <f>ROUNDUP(O121/'Methodology &amp; Assumptions'!$B$9, 0)</f>
        <v/>
      </c>
      <c r="R121" s="39" t="n">
        <v>1</v>
      </c>
      <c r="S121" s="21" t="n">
        <v>0.24</v>
      </c>
      <c r="T121" s="21" t="n">
        <v>0.24</v>
      </c>
      <c r="U121" s="36" t="inlineStr">
        <is>
          <t>Tier 1A (Direct Coloc, &lt;1 km)</t>
        </is>
      </c>
      <c r="V121" s="20" t="n">
        <v>100</v>
      </c>
      <c r="W121" s="20" t="n">
        <v>100</v>
      </c>
      <c r="X121" s="20" t="n">
        <v>43</v>
      </c>
      <c r="Y121" s="40">
        <f>ROUND((V121*'Methodology &amp; Assumptions'!$B$6)+(W121*'Methodology &amp; Assumptions'!$B$5)+(X121*'Methodology &amp; Assumptions'!$B$7), 2)</f>
        <v/>
      </c>
    </row>
    <row r="122" ht="19" customHeight="1">
      <c r="A122" s="41" t="n">
        <v>118</v>
      </c>
      <c r="B122" s="41" t="n">
        <v>118</v>
      </c>
      <c r="C122" s="42" t="inlineStr">
        <is>
          <t>0600613017</t>
        </is>
      </c>
      <c r="D122" s="42" t="inlineStr">
        <is>
          <t>Region VI (Western Visayas)</t>
        </is>
      </c>
      <c r="E122" s="42" t="inlineStr">
        <is>
          <t>Antique</t>
        </is>
      </c>
      <c r="F122" s="42" t="inlineStr">
        <is>
          <t>San Jose</t>
        </is>
      </c>
      <c r="G122" s="42" t="inlineStr">
        <is>
          <t>Funda-Dalipe</t>
        </is>
      </c>
      <c r="H122" s="43" t="n">
        <v>10.763832</v>
      </c>
      <c r="I122" s="43" t="n">
        <v>121.938482</v>
      </c>
      <c r="J122" s="44" t="inlineStr">
        <is>
          <t>U</t>
        </is>
      </c>
      <c r="K122" s="42" t="inlineStr">
        <is>
          <t>Class 1-3 / Urban</t>
        </is>
      </c>
      <c r="L122" s="23" t="n">
        <v>7071</v>
      </c>
      <c r="M122" s="24" t="n">
        <v>4.43</v>
      </c>
      <c r="N122" s="23">
        <f>ROUND(L122/M122, 0)</f>
        <v/>
      </c>
      <c r="O122" s="23">
        <f>ROUND(N122*'Methodology &amp; Assumptions'!$B$8, 0)</f>
        <v/>
      </c>
      <c r="P122" s="44" t="inlineStr">
        <is>
          <t>Band n50 (1.5 GHz, 60 MHz)</t>
        </is>
      </c>
      <c r="Q122" s="38">
        <f>ROUNDUP(O122/'Methodology &amp; Assumptions'!$B$9, 0)</f>
        <v/>
      </c>
      <c r="R122" s="39" t="n">
        <v>1</v>
      </c>
      <c r="S122" s="25" t="n">
        <v>0.18</v>
      </c>
      <c r="T122" s="25" t="n">
        <v>0.17</v>
      </c>
      <c r="U122" s="42" t="inlineStr">
        <is>
          <t>Tier 1A (Direct Coloc, &lt;1 km)</t>
        </is>
      </c>
      <c r="V122" s="24" t="n">
        <v>100</v>
      </c>
      <c r="W122" s="24" t="n">
        <v>100</v>
      </c>
      <c r="X122" s="24" t="n">
        <v>43</v>
      </c>
      <c r="Y122" s="45">
        <f>ROUND((V122*'Methodology &amp; Assumptions'!$B$6)+(W122*'Methodology &amp; Assumptions'!$B$5)+(X122*'Methodology &amp; Assumptions'!$B$7), 2)</f>
        <v/>
      </c>
    </row>
    <row r="123" ht="19" customHeight="1">
      <c r="A123" s="35" t="n">
        <v>119</v>
      </c>
      <c r="B123" s="35" t="n">
        <v>119</v>
      </c>
      <c r="C123" s="36" t="inlineStr">
        <is>
          <t>0304920012</t>
        </is>
      </c>
      <c r="D123" s="36" t="inlineStr">
        <is>
          <t>Region III (Central Luzon)</t>
        </is>
      </c>
      <c r="E123" s="36" t="inlineStr">
        <is>
          <t>Nueva Ecija</t>
        </is>
      </c>
      <c r="F123" s="36" t="inlineStr">
        <is>
          <t>Pantabangan</t>
        </is>
      </c>
      <c r="G123" s="36" t="inlineStr">
        <is>
          <t>Poblacion East</t>
        </is>
      </c>
      <c r="H123" s="37" t="n">
        <v>15.805625</v>
      </c>
      <c r="I123" s="37" t="n">
        <v>121.143493</v>
      </c>
      <c r="J123" s="8" t="inlineStr">
        <is>
          <t>R</t>
        </is>
      </c>
      <c r="K123" s="36" t="inlineStr">
        <is>
          <t>Class 1-3 / Urban</t>
        </is>
      </c>
      <c r="L123" s="18" t="n">
        <v>3757</v>
      </c>
      <c r="M123" s="20" t="n">
        <v>4.32</v>
      </c>
      <c r="N123" s="18">
        <f>ROUND(L123/M123, 0)</f>
        <v/>
      </c>
      <c r="O123" s="18">
        <f>ROUND(N123*'Methodology &amp; Assumptions'!$B$8, 0)</f>
        <v/>
      </c>
      <c r="P123" s="8" t="inlineStr">
        <is>
          <t>Band n50 (1.5 GHz, 60 MHz)</t>
        </is>
      </c>
      <c r="Q123" s="38">
        <f>ROUNDUP(O123/'Methodology &amp; Assumptions'!$B$9, 0)</f>
        <v/>
      </c>
      <c r="R123" s="39" t="n">
        <v>1</v>
      </c>
      <c r="S123" s="21" t="n">
        <v>0.21</v>
      </c>
      <c r="T123" s="21" t="n">
        <v>10.9</v>
      </c>
      <c r="U123" s="36" t="inlineStr">
        <is>
          <t>Tier 1A (Direct Coloc, &lt;1 km)</t>
        </is>
      </c>
      <c r="V123" s="20" t="n">
        <v>93.3</v>
      </c>
      <c r="W123" s="20" t="n">
        <v>93.59999999999999</v>
      </c>
      <c r="X123" s="20" t="n">
        <v>58</v>
      </c>
      <c r="Y123" s="40">
        <f>ROUND((V123*'Methodology &amp; Assumptions'!$B$6)+(W123*'Methodology &amp; Assumptions'!$B$5)+(X123*'Methodology &amp; Assumptions'!$B$7), 2)</f>
        <v/>
      </c>
    </row>
    <row r="124" ht="19" customHeight="1">
      <c r="A124" s="41" t="n">
        <v>120</v>
      </c>
      <c r="B124" s="41" t="n">
        <v>120</v>
      </c>
      <c r="C124" s="42" t="inlineStr">
        <is>
          <t>0405617001</t>
        </is>
      </c>
      <c r="D124" s="42" t="inlineStr">
        <is>
          <t>Region IV-A (CALABARZON)</t>
        </is>
      </c>
      <c r="E124" s="42" t="inlineStr">
        <is>
          <t>Quezon</t>
        </is>
      </c>
      <c r="F124" s="42" t="inlineStr">
        <is>
          <t>General Nakar</t>
        </is>
      </c>
      <c r="G124" s="42" t="inlineStr">
        <is>
          <t>Anoling</t>
        </is>
      </c>
      <c r="H124" s="43" t="n">
        <v>14.758141</v>
      </c>
      <c r="I124" s="43" t="n">
        <v>121.625367</v>
      </c>
      <c r="J124" s="44" t="inlineStr">
        <is>
          <t>R</t>
        </is>
      </c>
      <c r="K124" s="42" t="inlineStr">
        <is>
          <t>Class 1-3 / Urban</t>
        </is>
      </c>
      <c r="L124" s="23" t="n">
        <v>4247</v>
      </c>
      <c r="M124" s="24" t="n">
        <v>4.46</v>
      </c>
      <c r="N124" s="23">
        <f>ROUND(L124/M124, 0)</f>
        <v/>
      </c>
      <c r="O124" s="23">
        <f>ROUND(N124*'Methodology &amp; Assumptions'!$B$8, 0)</f>
        <v/>
      </c>
      <c r="P124" s="44" t="inlineStr">
        <is>
          <t>Band n50 (1.5 GHz, 60 MHz)</t>
        </is>
      </c>
      <c r="Q124" s="38">
        <f>ROUNDUP(O124/'Methodology &amp; Assumptions'!$B$9, 0)</f>
        <v/>
      </c>
      <c r="R124" s="39" t="n">
        <v>1</v>
      </c>
      <c r="S124" s="25" t="n">
        <v>0.42</v>
      </c>
      <c r="T124" s="25" t="n">
        <v>40.55</v>
      </c>
      <c r="U124" s="42" t="inlineStr">
        <is>
          <t>Tier 1A (Direct Coloc, &lt;1 km)</t>
        </is>
      </c>
      <c r="V124" s="24" t="n">
        <v>86.90000000000001</v>
      </c>
      <c r="W124" s="24" t="n">
        <v>100</v>
      </c>
      <c r="X124" s="24" t="n">
        <v>58</v>
      </c>
      <c r="Y124" s="45">
        <f>ROUND((V124*'Methodology &amp; Assumptions'!$B$6)+(W124*'Methodology &amp; Assumptions'!$B$5)+(X124*'Methodology &amp; Assumptions'!$B$7), 2)</f>
        <v/>
      </c>
    </row>
    <row r="125" ht="19" customHeight="1">
      <c r="A125" s="35" t="n">
        <v>121</v>
      </c>
      <c r="B125" s="35" t="n">
        <v>121</v>
      </c>
      <c r="C125" s="36" t="inlineStr">
        <is>
          <t>0305414013</t>
        </is>
      </c>
      <c r="D125" s="36" t="inlineStr">
        <is>
          <t>Region III (Central Luzon)</t>
        </is>
      </c>
      <c r="E125" s="36" t="inlineStr">
        <is>
          <t>Pampanga</t>
        </is>
      </c>
      <c r="F125" s="36" t="inlineStr">
        <is>
          <t>Minalin</t>
        </is>
      </c>
      <c r="G125" s="36" t="inlineStr">
        <is>
          <t>Sta. Rita</t>
        </is>
      </c>
      <c r="H125" s="37" t="n">
        <v>14.979043</v>
      </c>
      <c r="I125" s="37" t="n">
        <v>120.691615</v>
      </c>
      <c r="J125" s="8" t="inlineStr">
        <is>
          <t>R</t>
        </is>
      </c>
      <c r="K125" s="36" t="inlineStr">
        <is>
          <t>2nd</t>
        </is>
      </c>
      <c r="L125" s="18" t="n">
        <v>4516</v>
      </c>
      <c r="M125" s="20" t="n">
        <v>4.8</v>
      </c>
      <c r="N125" s="18">
        <f>ROUND(L125/M125, 0)</f>
        <v/>
      </c>
      <c r="O125" s="18">
        <f>ROUND(N125*'Methodology &amp; Assumptions'!$B$8, 0)</f>
        <v/>
      </c>
      <c r="P125" s="8" t="inlineStr">
        <is>
          <t>Band n50 (1.5 GHz, 60 MHz)</t>
        </is>
      </c>
      <c r="Q125" s="38">
        <f>ROUNDUP(O125/'Methodology &amp; Assumptions'!$B$9, 0)</f>
        <v/>
      </c>
      <c r="R125" s="39" t="n">
        <v>1</v>
      </c>
      <c r="S125" s="21" t="n">
        <v>0.87</v>
      </c>
      <c r="T125" s="21" t="n">
        <v>3.87</v>
      </c>
      <c r="U125" s="36" t="inlineStr">
        <is>
          <t>Tier 1A (Direct Coloc, &lt;1 km)</t>
        </is>
      </c>
      <c r="V125" s="20" t="n">
        <v>74.7</v>
      </c>
      <c r="W125" s="20" t="n">
        <v>99.2</v>
      </c>
      <c r="X125" s="20" t="n">
        <v>73</v>
      </c>
      <c r="Y125" s="40">
        <f>ROUND((V125*'Methodology &amp; Assumptions'!$B$6)+(W125*'Methodology &amp; Assumptions'!$B$5)+(X125*'Methodology &amp; Assumptions'!$B$7), 2)</f>
        <v/>
      </c>
    </row>
    <row r="126" ht="19" customHeight="1">
      <c r="A126" s="41" t="n">
        <v>122</v>
      </c>
      <c r="B126" s="41" t="n">
        <v>122</v>
      </c>
      <c r="C126" s="42" t="inlineStr">
        <is>
          <t>0504112020</t>
        </is>
      </c>
      <c r="D126" s="42" t="inlineStr">
        <is>
          <t>Region V (Bicol Region)</t>
        </is>
      </c>
      <c r="E126" s="42" t="inlineStr">
        <is>
          <t>Masbate</t>
        </is>
      </c>
      <c r="F126" s="42" t="inlineStr">
        <is>
          <t>Milagros</t>
        </is>
      </c>
      <c r="G126" s="42" t="inlineStr">
        <is>
          <t>Poblacion West</t>
        </is>
      </c>
      <c r="H126" s="43" t="n">
        <v>12.218329</v>
      </c>
      <c r="I126" s="43" t="n">
        <v>123.504558</v>
      </c>
      <c r="J126" s="44" t="inlineStr">
        <is>
          <t>R</t>
        </is>
      </c>
      <c r="K126" s="42" t="inlineStr">
        <is>
          <t>Class 1-3 / Urban</t>
        </is>
      </c>
      <c r="L126" s="23" t="n">
        <v>4006</v>
      </c>
      <c r="M126" s="24" t="n">
        <v>4.6</v>
      </c>
      <c r="N126" s="23">
        <f>ROUND(L126/M126, 0)</f>
        <v/>
      </c>
      <c r="O126" s="23">
        <f>ROUND(N126*'Methodology &amp; Assumptions'!$B$8, 0)</f>
        <v/>
      </c>
      <c r="P126" s="44" t="inlineStr">
        <is>
          <t>Band n50 (1.5 GHz, 60 MHz)</t>
        </is>
      </c>
      <c r="Q126" s="38">
        <f>ROUNDUP(O126/'Methodology &amp; Assumptions'!$B$9, 0)</f>
        <v/>
      </c>
      <c r="R126" s="39" t="n">
        <v>1</v>
      </c>
      <c r="S126" s="25" t="n">
        <v>0.5600000000000001</v>
      </c>
      <c r="T126" s="25" t="n">
        <v>0.43</v>
      </c>
      <c r="U126" s="42" t="inlineStr">
        <is>
          <t>Tier 1A (Direct Coloc, &lt;1 km)</t>
        </is>
      </c>
      <c r="V126" s="24" t="n">
        <v>93</v>
      </c>
      <c r="W126" s="24" t="n">
        <v>93.59999999999999</v>
      </c>
      <c r="X126" s="24" t="n">
        <v>58</v>
      </c>
      <c r="Y126" s="45">
        <f>ROUND((V126*'Methodology &amp; Assumptions'!$B$6)+(W126*'Methodology &amp; Assumptions'!$B$5)+(X126*'Methodology &amp; Assumptions'!$B$7), 2)</f>
        <v/>
      </c>
    </row>
    <row r="127" ht="19" customHeight="1">
      <c r="A127" s="35" t="n">
        <v>123</v>
      </c>
      <c r="B127" s="35" t="n">
        <v>123</v>
      </c>
      <c r="C127" s="36" t="inlineStr">
        <is>
          <t>0304921013</t>
        </is>
      </c>
      <c r="D127" s="36" t="inlineStr">
        <is>
          <t>Region III (Central Luzon)</t>
        </is>
      </c>
      <c r="E127" s="36" t="inlineStr">
        <is>
          <t>Nueva Ecija</t>
        </is>
      </c>
      <c r="F127" s="36" t="inlineStr">
        <is>
          <t>Peñaranda</t>
        </is>
      </c>
      <c r="G127" s="36" t="inlineStr">
        <is>
          <t>Sinasajan</t>
        </is>
      </c>
      <c r="H127" s="37" t="n">
        <v>15.353449</v>
      </c>
      <c r="I127" s="37" t="n">
        <v>121.017</v>
      </c>
      <c r="J127" s="8" t="inlineStr">
        <is>
          <t>U</t>
        </is>
      </c>
      <c r="K127" s="36" t="inlineStr">
        <is>
          <t>2nd</t>
        </is>
      </c>
      <c r="L127" s="18" t="n">
        <v>5130</v>
      </c>
      <c r="M127" s="20" t="n">
        <v>4.33</v>
      </c>
      <c r="N127" s="18">
        <f>ROUND(L127/M127, 0)</f>
        <v/>
      </c>
      <c r="O127" s="18">
        <f>ROUND(N127*'Methodology &amp; Assumptions'!$B$8, 0)</f>
        <v/>
      </c>
      <c r="P127" s="8" t="inlineStr">
        <is>
          <t>Band n50 (1.5 GHz, 60 MHz)</t>
        </is>
      </c>
      <c r="Q127" s="38">
        <f>ROUNDUP(O127/'Methodology &amp; Assumptions'!$B$9, 0)</f>
        <v/>
      </c>
      <c r="R127" s="39" t="n">
        <v>1</v>
      </c>
      <c r="S127" s="21" t="n">
        <v>0.02</v>
      </c>
      <c r="T127" s="21" t="n">
        <v>7.76</v>
      </c>
      <c r="U127" s="36" t="inlineStr">
        <is>
          <t>Tier 1A (Direct Coloc, &lt;1 km)</t>
        </is>
      </c>
      <c r="V127" s="20" t="n">
        <v>99.3</v>
      </c>
      <c r="W127" s="20" t="n">
        <v>100</v>
      </c>
      <c r="X127" s="20" t="n">
        <v>43</v>
      </c>
      <c r="Y127" s="40">
        <f>ROUND((V127*'Methodology &amp; Assumptions'!$B$6)+(W127*'Methodology &amp; Assumptions'!$B$5)+(X127*'Methodology &amp; Assumptions'!$B$7), 2)</f>
        <v/>
      </c>
    </row>
    <row r="128" ht="19" customHeight="1">
      <c r="A128" s="41" t="n">
        <v>124</v>
      </c>
      <c r="B128" s="41" t="n">
        <v>124</v>
      </c>
      <c r="C128" s="42" t="inlineStr">
        <is>
          <t>0601905013</t>
        </is>
      </c>
      <c r="D128" s="42" t="inlineStr">
        <is>
          <t>Region VI (Western Visayas)</t>
        </is>
      </c>
      <c r="E128" s="42" t="inlineStr">
        <is>
          <t>Capiz</t>
        </is>
      </c>
      <c r="F128" s="42" t="inlineStr">
        <is>
          <t>Ivisan</t>
        </is>
      </c>
      <c r="G128" s="42" t="inlineStr">
        <is>
          <t>Poblacion Norte</t>
        </is>
      </c>
      <c r="H128" s="43" t="n">
        <v>11.521118</v>
      </c>
      <c r="I128" s="43" t="n">
        <v>122.692011</v>
      </c>
      <c r="J128" s="44" t="inlineStr">
        <is>
          <t>R</t>
        </is>
      </c>
      <c r="K128" s="42" t="inlineStr">
        <is>
          <t>3rd</t>
        </is>
      </c>
      <c r="L128" s="23" t="n">
        <v>2676</v>
      </c>
      <c r="M128" s="24" t="n">
        <v>4.31</v>
      </c>
      <c r="N128" s="23">
        <f>ROUND(L128/M128, 0)</f>
        <v/>
      </c>
      <c r="O128" s="23">
        <f>ROUND(N128*'Methodology &amp; Assumptions'!$B$8, 0)</f>
        <v/>
      </c>
      <c r="P128" s="44" t="inlineStr">
        <is>
          <t>Band n50 (1.5 GHz, 60 MHz)</t>
        </is>
      </c>
      <c r="Q128" s="38">
        <f>ROUNDUP(O128/'Methodology &amp; Assumptions'!$B$9, 0)</f>
        <v/>
      </c>
      <c r="R128" s="39" t="n">
        <v>1</v>
      </c>
      <c r="S128" s="25" t="n">
        <v>0.22</v>
      </c>
      <c r="T128" s="25" t="n">
        <v>0.09</v>
      </c>
      <c r="U128" s="42" t="inlineStr">
        <is>
          <t>Tier 1A (Direct Coloc, &lt;1 km)</t>
        </is>
      </c>
      <c r="V128" s="24" t="n">
        <v>100</v>
      </c>
      <c r="W128" s="24" t="n">
        <v>73.59999999999999</v>
      </c>
      <c r="X128" s="24" t="n">
        <v>73</v>
      </c>
      <c r="Y128" s="45">
        <f>ROUND((V128*'Methodology &amp; Assumptions'!$B$6)+(W128*'Methodology &amp; Assumptions'!$B$5)+(X128*'Methodology &amp; Assumptions'!$B$7), 2)</f>
        <v/>
      </c>
    </row>
    <row r="129" ht="19" customHeight="1">
      <c r="A129" s="35" t="n">
        <v>125</v>
      </c>
      <c r="B129" s="35" t="n">
        <v>125</v>
      </c>
      <c r="C129" s="36" t="inlineStr">
        <is>
          <t>0307113017</t>
        </is>
      </c>
      <c r="D129" s="36" t="inlineStr">
        <is>
          <t>Region III (Central Luzon)</t>
        </is>
      </c>
      <c r="E129" s="36" t="inlineStr">
        <is>
          <t>Zambales</t>
        </is>
      </c>
      <c r="F129" s="36" t="inlineStr">
        <is>
          <t>Santa Cruz</t>
        </is>
      </c>
      <c r="G129" s="36" t="inlineStr">
        <is>
          <t>Poblacion North</t>
        </is>
      </c>
      <c r="H129" s="37" t="n">
        <v>15.76906</v>
      </c>
      <c r="I129" s="37" t="n">
        <v>119.908121</v>
      </c>
      <c r="J129" s="8" t="inlineStr">
        <is>
          <t>R</t>
        </is>
      </c>
      <c r="K129" s="36" t="inlineStr">
        <is>
          <t>Class 1-3 / Urban</t>
        </is>
      </c>
      <c r="L129" s="18" t="n">
        <v>3163</v>
      </c>
      <c r="M129" s="20" t="n">
        <v>4.05</v>
      </c>
      <c r="N129" s="18">
        <f>ROUND(L129/M129, 0)</f>
        <v/>
      </c>
      <c r="O129" s="18">
        <f>ROUND(N129*'Methodology &amp; Assumptions'!$B$8, 0)</f>
        <v/>
      </c>
      <c r="P129" s="8" t="inlineStr">
        <is>
          <t>Band n50 (1.5 GHz, 60 MHz)</t>
        </is>
      </c>
      <c r="Q129" s="38">
        <f>ROUNDUP(O129/'Methodology &amp; Assumptions'!$B$9, 0)</f>
        <v/>
      </c>
      <c r="R129" s="39" t="n">
        <v>1</v>
      </c>
      <c r="S129" s="21" t="n">
        <v>0.19</v>
      </c>
      <c r="T129" s="21" t="n">
        <v>0.12</v>
      </c>
      <c r="U129" s="36" t="inlineStr">
        <is>
          <t>Tier 1A (Direct Coloc, &lt;1 km)</t>
        </is>
      </c>
      <c r="V129" s="20" t="n">
        <v>100</v>
      </c>
      <c r="W129" s="20" t="n">
        <v>86.40000000000001</v>
      </c>
      <c r="X129" s="20" t="n">
        <v>58</v>
      </c>
      <c r="Y129" s="40">
        <f>ROUND((V129*'Methodology &amp; Assumptions'!$B$6)+(W129*'Methodology &amp; Assumptions'!$B$5)+(X129*'Methodology &amp; Assumptions'!$B$7), 2)</f>
        <v/>
      </c>
    </row>
    <row r="130" ht="19" customHeight="1">
      <c r="A130" s="41" t="n">
        <v>126</v>
      </c>
      <c r="B130" s="41" t="n">
        <v>126</v>
      </c>
      <c r="C130" s="42" t="inlineStr">
        <is>
          <t>0304919013</t>
        </is>
      </c>
      <c r="D130" s="42" t="inlineStr">
        <is>
          <t>Region III (Central Luzon)</t>
        </is>
      </c>
      <c r="E130" s="42" t="inlineStr">
        <is>
          <t>Nueva Ecija</t>
        </is>
      </c>
      <c r="F130" s="42" t="inlineStr">
        <is>
          <t>City of Palayan</t>
        </is>
      </c>
      <c r="G130" s="42" t="inlineStr">
        <is>
          <t>Atate</t>
        </is>
      </c>
      <c r="H130" s="43" t="n">
        <v>15.552086</v>
      </c>
      <c r="I130" s="43" t="n">
        <v>121.105622</v>
      </c>
      <c r="J130" s="44" t="inlineStr">
        <is>
          <t>R</t>
        </is>
      </c>
      <c r="K130" s="42" t="inlineStr">
        <is>
          <t>Class 1-3 / Urban</t>
        </is>
      </c>
      <c r="L130" s="23" t="n">
        <v>3942</v>
      </c>
      <c r="M130" s="24" t="n">
        <v>4.32</v>
      </c>
      <c r="N130" s="23">
        <f>ROUND(L130/M130, 0)</f>
        <v/>
      </c>
      <c r="O130" s="23">
        <f>ROUND(N130*'Methodology &amp; Assumptions'!$B$8, 0)</f>
        <v/>
      </c>
      <c r="P130" s="44" t="inlineStr">
        <is>
          <t>Band n50 (1.5 GHz, 60 MHz)</t>
        </is>
      </c>
      <c r="Q130" s="38">
        <f>ROUNDUP(O130/'Methodology &amp; Assumptions'!$B$9, 0)</f>
        <v/>
      </c>
      <c r="R130" s="39" t="n">
        <v>1</v>
      </c>
      <c r="S130" s="25" t="n">
        <v>0.7</v>
      </c>
      <c r="T130" s="25" t="n">
        <v>0.84</v>
      </c>
      <c r="U130" s="42" t="inlineStr">
        <is>
          <t>Tier 1A (Direct Coloc, &lt;1 km)</t>
        </is>
      </c>
      <c r="V130" s="24" t="n">
        <v>89.3</v>
      </c>
      <c r="W130" s="24" t="n">
        <v>97.09999999999999</v>
      </c>
      <c r="X130" s="24" t="n">
        <v>58</v>
      </c>
      <c r="Y130" s="45">
        <f>ROUND((V130*'Methodology &amp; Assumptions'!$B$6)+(W130*'Methodology &amp; Assumptions'!$B$5)+(X130*'Methodology &amp; Assumptions'!$B$7), 2)</f>
        <v/>
      </c>
    </row>
    <row r="131" ht="19" customHeight="1">
      <c r="A131" s="35" t="n">
        <v>127</v>
      </c>
      <c r="B131" s="35" t="n">
        <v>127</v>
      </c>
      <c r="C131" s="36" t="inlineStr">
        <is>
          <t>0402106052</t>
        </is>
      </c>
      <c r="D131" s="36" t="inlineStr">
        <is>
          <t>Region IV-A (CALABARZON)</t>
        </is>
      </c>
      <c r="E131" s="36" t="inlineStr">
        <is>
          <t>Cavite</t>
        </is>
      </c>
      <c r="F131" s="36" t="inlineStr">
        <is>
          <t>City of Dasmariñas</t>
        </is>
      </c>
      <c r="G131" s="36" t="inlineStr">
        <is>
          <t>Fatima III</t>
        </is>
      </c>
      <c r="H131" s="37" t="n">
        <v>14.309259</v>
      </c>
      <c r="I131" s="37" t="n">
        <v>120.96792</v>
      </c>
      <c r="J131" s="8" t="inlineStr">
        <is>
          <t>R</t>
        </is>
      </c>
      <c r="K131" s="36" t="inlineStr">
        <is>
          <t>Class 1-3 / Urban</t>
        </is>
      </c>
      <c r="L131" s="18" t="n">
        <v>3684</v>
      </c>
      <c r="M131" s="20" t="n">
        <v>4.49</v>
      </c>
      <c r="N131" s="18">
        <f>ROUND(L131/M131, 0)</f>
        <v/>
      </c>
      <c r="O131" s="18">
        <f>ROUND(N131*'Methodology &amp; Assumptions'!$B$8, 0)</f>
        <v/>
      </c>
      <c r="P131" s="8" t="inlineStr">
        <is>
          <t>Band n50 (1.5 GHz, 60 MHz)</t>
        </is>
      </c>
      <c r="Q131" s="38">
        <f>ROUNDUP(O131/'Methodology &amp; Assumptions'!$B$9, 0)</f>
        <v/>
      </c>
      <c r="R131" s="39" t="n">
        <v>1</v>
      </c>
      <c r="S131" s="21" t="n">
        <v>0.43</v>
      </c>
      <c r="T131" s="21" t="n">
        <v>1.53</v>
      </c>
      <c r="U131" s="36" t="inlineStr">
        <is>
          <t>Tier 1A (Direct Coloc, &lt;1 km)</t>
        </is>
      </c>
      <c r="V131" s="20" t="n">
        <v>96.7</v>
      </c>
      <c r="W131" s="20" t="n">
        <v>89.59999999999999</v>
      </c>
      <c r="X131" s="20" t="n">
        <v>58</v>
      </c>
      <c r="Y131" s="40">
        <f>ROUND((V131*'Methodology &amp; Assumptions'!$B$6)+(W131*'Methodology &amp; Assumptions'!$B$5)+(X131*'Methodology &amp; Assumptions'!$B$7), 2)</f>
        <v/>
      </c>
    </row>
    <row r="132" ht="19" customHeight="1">
      <c r="A132" s="41" t="n">
        <v>128</v>
      </c>
      <c r="B132" s="41" t="n">
        <v>128</v>
      </c>
      <c r="C132" s="42" t="inlineStr">
        <is>
          <t>1401103005</t>
        </is>
      </c>
      <c r="D132" s="42" t="inlineStr">
        <is>
          <t>Cordillera Administrative Region (CAR)</t>
        </is>
      </c>
      <c r="E132" s="42" t="inlineStr">
        <is>
          <t>Benguet</t>
        </is>
      </c>
      <c r="F132" s="42" t="inlineStr">
        <is>
          <t>Bakun</t>
        </is>
      </c>
      <c r="G132" s="42" t="inlineStr">
        <is>
          <t>Gambang</t>
        </is>
      </c>
      <c r="H132" s="43" t="n">
        <v>16.72275</v>
      </c>
      <c r="I132" s="43" t="n">
        <v>120.77914</v>
      </c>
      <c r="J132" s="44" t="inlineStr">
        <is>
          <t>R</t>
        </is>
      </c>
      <c r="K132" s="42" t="inlineStr">
        <is>
          <t>Class 1-3 / Urban</t>
        </is>
      </c>
      <c r="L132" s="23" t="n">
        <v>3783</v>
      </c>
      <c r="M132" s="24" t="n">
        <v>4.58</v>
      </c>
      <c r="N132" s="23">
        <f>ROUND(L132/M132, 0)</f>
        <v/>
      </c>
      <c r="O132" s="23">
        <f>ROUND(N132*'Methodology &amp; Assumptions'!$B$8, 0)</f>
        <v/>
      </c>
      <c r="P132" s="44" t="inlineStr">
        <is>
          <t>Band n50 (1.5 GHz, 60 MHz)</t>
        </is>
      </c>
      <c r="Q132" s="38">
        <f>ROUNDUP(O132/'Methodology &amp; Assumptions'!$B$9, 0)</f>
        <v/>
      </c>
      <c r="R132" s="39" t="n">
        <v>1</v>
      </c>
      <c r="S132" s="25" t="n">
        <v>0.06</v>
      </c>
      <c r="T132" s="25" t="n">
        <v>0.11</v>
      </c>
      <c r="U132" s="42" t="inlineStr">
        <is>
          <t>Tier 1A (Direct Coloc, &lt;1 km)</t>
        </is>
      </c>
      <c r="V132" s="24" t="n">
        <v>100</v>
      </c>
      <c r="W132" s="24" t="n">
        <v>86.09999999999999</v>
      </c>
      <c r="X132" s="24" t="n">
        <v>58</v>
      </c>
      <c r="Y132" s="45">
        <f>ROUND((V132*'Methodology &amp; Assumptions'!$B$6)+(W132*'Methodology &amp; Assumptions'!$B$5)+(X132*'Methodology &amp; Assumptions'!$B$7), 2)</f>
        <v/>
      </c>
    </row>
    <row r="133" ht="19" customHeight="1">
      <c r="A133" s="35" t="n">
        <v>129</v>
      </c>
      <c r="B133" s="35" t="n">
        <v>129</v>
      </c>
      <c r="C133" s="36" t="inlineStr">
        <is>
          <t>0405646037</t>
        </is>
      </c>
      <c r="D133" s="36" t="inlineStr">
        <is>
          <t>Region IV-A (CALABARZON)</t>
        </is>
      </c>
      <c r="E133" s="36" t="inlineStr">
        <is>
          <t>Quezon</t>
        </is>
      </c>
      <c r="F133" s="36" t="inlineStr">
        <is>
          <t>Tagkawayan</t>
        </is>
      </c>
      <c r="G133" s="36" t="inlineStr">
        <is>
          <t>Santa Cecilia</t>
        </is>
      </c>
      <c r="H133" s="37" t="n">
        <v>13.970391</v>
      </c>
      <c r="I133" s="37" t="n">
        <v>122.536459</v>
      </c>
      <c r="J133" s="8" t="inlineStr">
        <is>
          <t>R</t>
        </is>
      </c>
      <c r="K133" s="36" t="inlineStr">
        <is>
          <t>Class 1-3 / Urban</t>
        </is>
      </c>
      <c r="L133" s="18" t="n">
        <v>4215</v>
      </c>
      <c r="M133" s="20" t="n">
        <v>4.46</v>
      </c>
      <c r="N133" s="18">
        <f>ROUND(L133/M133, 0)</f>
        <v/>
      </c>
      <c r="O133" s="18">
        <f>ROUND(N133*'Methodology &amp; Assumptions'!$B$8, 0)</f>
        <v/>
      </c>
      <c r="P133" s="8" t="inlineStr">
        <is>
          <t>Band n50 (1.5 GHz, 60 MHz)</t>
        </is>
      </c>
      <c r="Q133" s="38">
        <f>ROUNDUP(O133/'Methodology &amp; Assumptions'!$B$9, 0)</f>
        <v/>
      </c>
      <c r="R133" s="39" t="n">
        <v>1</v>
      </c>
      <c r="S133" s="21" t="n">
        <v>0.8100000000000001</v>
      </c>
      <c r="T133" s="21" t="n">
        <v>0.03</v>
      </c>
      <c r="U133" s="36" t="inlineStr">
        <is>
          <t>Tier 1A (Direct Coloc, &lt;1 km)</t>
        </is>
      </c>
      <c r="V133" s="20" t="n">
        <v>86.2</v>
      </c>
      <c r="W133" s="20" t="n">
        <v>99.7</v>
      </c>
      <c r="X133" s="20" t="n">
        <v>58</v>
      </c>
      <c r="Y133" s="40">
        <f>ROUND((V133*'Methodology &amp; Assumptions'!$B$6)+(W133*'Methodology &amp; Assumptions'!$B$5)+(X133*'Methodology &amp; Assumptions'!$B$7), 2)</f>
        <v/>
      </c>
    </row>
    <row r="134" ht="19" customHeight="1">
      <c r="A134" s="41" t="n">
        <v>130</v>
      </c>
      <c r="B134" s="41" t="n">
        <v>130</v>
      </c>
      <c r="C134" s="42" t="inlineStr">
        <is>
          <t>0704619020</t>
        </is>
      </c>
      <c r="D134" s="42" t="inlineStr">
        <is>
          <t>Region VII (Central Visayas)</t>
        </is>
      </c>
      <c r="E134" s="42" t="inlineStr">
        <is>
          <t>Negros Oriental</t>
        </is>
      </c>
      <c r="F134" s="42" t="inlineStr">
        <is>
          <t>Siaton</t>
        </is>
      </c>
      <c r="G134" s="42" t="inlineStr">
        <is>
          <t>Poblacion III</t>
        </is>
      </c>
      <c r="H134" s="43" t="n">
        <v>9.05836</v>
      </c>
      <c r="I134" s="43" t="n">
        <v>123.03464</v>
      </c>
      <c r="J134" s="44" t="inlineStr">
        <is>
          <t>R</t>
        </is>
      </c>
      <c r="K134" s="42" t="inlineStr">
        <is>
          <t>Class 1-3 / Urban</t>
        </is>
      </c>
      <c r="L134" s="23" t="n">
        <v>3608</v>
      </c>
      <c r="M134" s="24" t="n">
        <v>4.33</v>
      </c>
      <c r="N134" s="23">
        <f>ROUND(L134/M134, 0)</f>
        <v/>
      </c>
      <c r="O134" s="23">
        <f>ROUND(N134*'Methodology &amp; Assumptions'!$B$8, 0)</f>
        <v/>
      </c>
      <c r="P134" s="44" t="inlineStr">
        <is>
          <t>Band n50 (1.5 GHz, 60 MHz)</t>
        </is>
      </c>
      <c r="Q134" s="38">
        <f>ROUNDUP(O134/'Methodology &amp; Assumptions'!$B$9, 0)</f>
        <v/>
      </c>
      <c r="R134" s="39" t="n">
        <v>1</v>
      </c>
      <c r="S134" s="25" t="n">
        <v>0.48</v>
      </c>
      <c r="T134" s="25" t="n">
        <v>0.48</v>
      </c>
      <c r="U134" s="42" t="inlineStr">
        <is>
          <t>Tier 1A (Direct Coloc, &lt;1 km)</t>
        </is>
      </c>
      <c r="V134" s="24" t="n">
        <v>95.09999999999999</v>
      </c>
      <c r="W134" s="24" t="n">
        <v>90.7</v>
      </c>
      <c r="X134" s="24" t="n">
        <v>58</v>
      </c>
      <c r="Y134" s="45">
        <f>ROUND((V134*'Methodology &amp; Assumptions'!$B$6)+(W134*'Methodology &amp; Assumptions'!$B$5)+(X134*'Methodology &amp; Assumptions'!$B$7), 2)</f>
        <v/>
      </c>
    </row>
    <row r="135" ht="19" customHeight="1">
      <c r="A135" s="35" t="n">
        <v>131</v>
      </c>
      <c r="B135" s="35" t="n">
        <v>131</v>
      </c>
      <c r="C135" s="36" t="inlineStr">
        <is>
          <t>0203114079</t>
        </is>
      </c>
      <c r="D135" s="36" t="inlineStr">
        <is>
          <t>Region II (Cagayan Valley)</t>
        </is>
      </c>
      <c r="E135" s="36" t="inlineStr">
        <is>
          <t>Isabela</t>
        </is>
      </c>
      <c r="F135" s="36" t="inlineStr">
        <is>
          <t>City of Ilagan</t>
        </is>
      </c>
      <c r="G135" s="36" t="inlineStr">
        <is>
          <t>Centro - San Antonio</t>
        </is>
      </c>
      <c r="H135" s="37" t="n">
        <v>17.092641</v>
      </c>
      <c r="I135" s="37" t="n">
        <v>121.958325</v>
      </c>
      <c r="J135" s="8" t="inlineStr">
        <is>
          <t>R</t>
        </is>
      </c>
      <c r="K135" s="36" t="inlineStr">
        <is>
          <t>Class 1-3 / Urban</t>
        </is>
      </c>
      <c r="L135" s="18" t="n">
        <v>4631</v>
      </c>
      <c r="M135" s="20" t="n">
        <v>4.3</v>
      </c>
      <c r="N135" s="18">
        <f>ROUND(L135/M135, 0)</f>
        <v/>
      </c>
      <c r="O135" s="18">
        <f>ROUND(N135*'Methodology &amp; Assumptions'!$B$8, 0)</f>
        <v/>
      </c>
      <c r="P135" s="8" t="inlineStr">
        <is>
          <t>Band n50 (1.5 GHz, 60 MHz)</t>
        </is>
      </c>
      <c r="Q135" s="38">
        <f>ROUNDUP(O135/'Methodology &amp; Assumptions'!$B$9, 0)</f>
        <v/>
      </c>
      <c r="R135" s="39" t="n">
        <v>1</v>
      </c>
      <c r="S135" s="21" t="n">
        <v>0.47</v>
      </c>
      <c r="T135" s="21" t="n">
        <v>6.3</v>
      </c>
      <c r="U135" s="36" t="inlineStr">
        <is>
          <t>Tier 1A (Direct Coloc, &lt;1 km)</t>
        </is>
      </c>
      <c r="V135" s="20" t="n">
        <v>85.59999999999999</v>
      </c>
      <c r="W135" s="20" t="n">
        <v>100</v>
      </c>
      <c r="X135" s="20" t="n">
        <v>58</v>
      </c>
      <c r="Y135" s="40">
        <f>ROUND((V135*'Methodology &amp; Assumptions'!$B$6)+(W135*'Methodology &amp; Assumptions'!$B$5)+(X135*'Methodology &amp; Assumptions'!$B$7), 2)</f>
        <v/>
      </c>
    </row>
    <row r="136" ht="19" customHeight="1">
      <c r="A136" s="41" t="n">
        <v>132</v>
      </c>
      <c r="B136" s="41" t="n">
        <v>132</v>
      </c>
      <c r="C136" s="42" t="inlineStr">
        <is>
          <t>0506203064</t>
        </is>
      </c>
      <c r="D136" s="42" t="inlineStr">
        <is>
          <t>Region V (Bicol Region)</t>
        </is>
      </c>
      <c r="E136" s="42" t="inlineStr">
        <is>
          <t>Sorsogon</t>
        </is>
      </c>
      <c r="F136" s="42" t="inlineStr">
        <is>
          <t>Bulan</t>
        </is>
      </c>
      <c r="G136" s="42" t="inlineStr">
        <is>
          <t>Zone VII Pob.</t>
        </is>
      </c>
      <c r="H136" s="43" t="n">
        <v>12.675619</v>
      </c>
      <c r="I136" s="43" t="n">
        <v>123.871353</v>
      </c>
      <c r="J136" s="44" t="inlineStr">
        <is>
          <t>R</t>
        </is>
      </c>
      <c r="K136" s="42" t="inlineStr">
        <is>
          <t>Class 1-3 / Urban</t>
        </is>
      </c>
      <c r="L136" s="23" t="n">
        <v>4108</v>
      </c>
      <c r="M136" s="24" t="n">
        <v>4.58</v>
      </c>
      <c r="N136" s="23">
        <f>ROUND(L136/M136, 0)</f>
        <v/>
      </c>
      <c r="O136" s="23">
        <f>ROUND(N136*'Methodology &amp; Assumptions'!$B$8, 0)</f>
        <v/>
      </c>
      <c r="P136" s="44" t="inlineStr">
        <is>
          <t>Band n50 (1.5 GHz, 60 MHz)</t>
        </is>
      </c>
      <c r="Q136" s="38">
        <f>ROUNDUP(O136/'Methodology &amp; Assumptions'!$B$9, 0)</f>
        <v/>
      </c>
      <c r="R136" s="39" t="n">
        <v>1</v>
      </c>
      <c r="S136" s="25" t="n">
        <v>0.67</v>
      </c>
      <c r="T136" s="25" t="n">
        <v>0.37</v>
      </c>
      <c r="U136" s="42" t="inlineStr">
        <is>
          <t>Tier 1A (Direct Coloc, &lt;1 km)</t>
        </is>
      </c>
      <c r="V136" s="24" t="n">
        <v>89.90000000000001</v>
      </c>
      <c r="W136" s="24" t="n">
        <v>95.7</v>
      </c>
      <c r="X136" s="24" t="n">
        <v>58</v>
      </c>
      <c r="Y136" s="45">
        <f>ROUND((V136*'Methodology &amp; Assumptions'!$B$6)+(W136*'Methodology &amp; Assumptions'!$B$5)+(X136*'Methodology &amp; Assumptions'!$B$7), 2)</f>
        <v/>
      </c>
    </row>
    <row r="137" ht="19" customHeight="1">
      <c r="A137" s="35" t="n">
        <v>133</v>
      </c>
      <c r="B137" s="35" t="n">
        <v>133</v>
      </c>
      <c r="C137" s="36" t="inlineStr">
        <is>
          <t>0500501017</t>
        </is>
      </c>
      <c r="D137" s="36" t="inlineStr">
        <is>
          <t>Region V (Bicol Region)</t>
        </is>
      </c>
      <c r="E137" s="36" t="inlineStr">
        <is>
          <t>Albay</t>
        </is>
      </c>
      <c r="F137" s="36" t="inlineStr">
        <is>
          <t>Bacacay</t>
        </is>
      </c>
      <c r="G137" s="36" t="inlineStr">
        <is>
          <t>Hindi</t>
        </is>
      </c>
      <c r="H137" s="37" t="n">
        <v>13.296715</v>
      </c>
      <c r="I137" s="37" t="n">
        <v>123.777541</v>
      </c>
      <c r="J137" s="8" t="inlineStr">
        <is>
          <t>R</t>
        </is>
      </c>
      <c r="K137" s="36" t="inlineStr">
        <is>
          <t>Class 1-3 / Urban</t>
        </is>
      </c>
      <c r="L137" s="18" t="n">
        <v>4299</v>
      </c>
      <c r="M137" s="20" t="n">
        <v>4.67</v>
      </c>
      <c r="N137" s="18">
        <f>ROUND(L137/M137, 0)</f>
        <v/>
      </c>
      <c r="O137" s="18">
        <f>ROUND(N137*'Methodology &amp; Assumptions'!$B$8, 0)</f>
        <v/>
      </c>
      <c r="P137" s="8" t="inlineStr">
        <is>
          <t>Band n50 (1.5 GHz, 60 MHz)</t>
        </is>
      </c>
      <c r="Q137" s="38">
        <f>ROUNDUP(O137/'Methodology &amp; Assumptions'!$B$9, 0)</f>
        <v/>
      </c>
      <c r="R137" s="39" t="n">
        <v>1</v>
      </c>
      <c r="S137" s="21" t="n">
        <v>0.38</v>
      </c>
      <c r="T137" s="21" t="n">
        <v>2.01</v>
      </c>
      <c r="U137" s="36" t="inlineStr">
        <is>
          <t>Tier 1A (Direct Coloc, &lt;1 km)</t>
        </is>
      </c>
      <c r="V137" s="20" t="n">
        <v>88</v>
      </c>
      <c r="W137" s="20" t="n">
        <v>97.59999999999999</v>
      </c>
      <c r="X137" s="20" t="n">
        <v>58</v>
      </c>
      <c r="Y137" s="40">
        <f>ROUND((V137*'Methodology &amp; Assumptions'!$B$6)+(W137*'Methodology &amp; Assumptions'!$B$5)+(X137*'Methodology &amp; Assumptions'!$B$7), 2)</f>
        <v/>
      </c>
    </row>
    <row r="138" ht="19" customHeight="1">
      <c r="A138" s="41" t="n">
        <v>134</v>
      </c>
      <c r="B138" s="41" t="n">
        <v>134</v>
      </c>
      <c r="C138" s="42" t="inlineStr">
        <is>
          <t>0307701011</t>
        </is>
      </c>
      <c r="D138" s="42" t="inlineStr">
        <is>
          <t>Region III (Central Luzon)</t>
        </is>
      </c>
      <c r="E138" s="42" t="inlineStr">
        <is>
          <t>Aurora</t>
        </is>
      </c>
      <c r="F138" s="42" t="inlineStr">
        <is>
          <t>Baler</t>
        </is>
      </c>
      <c r="G138" s="42" t="inlineStr">
        <is>
          <t>Sabang</t>
        </is>
      </c>
      <c r="H138" s="43" t="n">
        <v>15.757037</v>
      </c>
      <c r="I138" s="43" t="n">
        <v>121.570392</v>
      </c>
      <c r="J138" s="44" t="inlineStr">
        <is>
          <t>R</t>
        </is>
      </c>
      <c r="K138" s="42" t="inlineStr">
        <is>
          <t>Class 1-3 / Urban</t>
        </is>
      </c>
      <c r="L138" s="23" t="n">
        <v>4423</v>
      </c>
      <c r="M138" s="24" t="n">
        <v>4.24</v>
      </c>
      <c r="N138" s="23">
        <f>ROUND(L138/M138, 0)</f>
        <v/>
      </c>
      <c r="O138" s="23">
        <f>ROUND(N138*'Methodology &amp; Assumptions'!$B$8, 0)</f>
        <v/>
      </c>
      <c r="P138" s="44" t="inlineStr">
        <is>
          <t>Band n50 (1.5 GHz, 60 MHz)</t>
        </is>
      </c>
      <c r="Q138" s="38">
        <f>ROUNDUP(O138/'Methodology &amp; Assumptions'!$B$9, 0)</f>
        <v/>
      </c>
      <c r="R138" s="39" t="n">
        <v>1</v>
      </c>
      <c r="S138" s="25" t="n">
        <v>0.85</v>
      </c>
      <c r="T138" s="25" t="n">
        <v>0.64</v>
      </c>
      <c r="U138" s="42" t="inlineStr">
        <is>
          <t>Tier 1A (Direct Coloc, &lt;1 km)</t>
        </is>
      </c>
      <c r="V138" s="24" t="n">
        <v>85.2</v>
      </c>
      <c r="W138" s="24" t="n">
        <v>100</v>
      </c>
      <c r="X138" s="24" t="n">
        <v>58</v>
      </c>
      <c r="Y138" s="45">
        <f>ROUND((V138*'Methodology &amp; Assumptions'!$B$6)+(W138*'Methodology &amp; Assumptions'!$B$5)+(X138*'Methodology &amp; Assumptions'!$B$7), 2)</f>
        <v/>
      </c>
    </row>
    <row r="139" ht="19" customHeight="1">
      <c r="A139" s="35" t="n">
        <v>135</v>
      </c>
      <c r="B139" s="35" t="n">
        <v>135</v>
      </c>
      <c r="C139" s="36" t="inlineStr">
        <is>
          <t>0305403009</t>
        </is>
      </c>
      <c r="D139" s="36" t="inlineStr">
        <is>
          <t>Region III (Central Luzon)</t>
        </is>
      </c>
      <c r="E139" s="36" t="inlineStr">
        <is>
          <t>Pampanga</t>
        </is>
      </c>
      <c r="F139" s="36" t="inlineStr">
        <is>
          <t>Arayat</t>
        </is>
      </c>
      <c r="G139" s="36" t="inlineStr">
        <is>
          <t>Guemasan</t>
        </is>
      </c>
      <c r="H139" s="37" t="n">
        <v>15.147344</v>
      </c>
      <c r="I139" s="37" t="n">
        <v>120.775526</v>
      </c>
      <c r="J139" s="8" t="inlineStr">
        <is>
          <t>R</t>
        </is>
      </c>
      <c r="K139" s="36" t="inlineStr">
        <is>
          <t>Class 1-3 / Urban</t>
        </is>
      </c>
      <c r="L139" s="18" t="n">
        <v>4170</v>
      </c>
      <c r="M139" s="20" t="n">
        <v>4.63</v>
      </c>
      <c r="N139" s="18">
        <f>ROUND(L139/M139, 0)</f>
        <v/>
      </c>
      <c r="O139" s="18">
        <f>ROUND(N139*'Methodology &amp; Assumptions'!$B$8, 0)</f>
        <v/>
      </c>
      <c r="P139" s="8" t="inlineStr">
        <is>
          <t>Band n50 (1.5 GHz, 60 MHz)</t>
        </is>
      </c>
      <c r="Q139" s="38">
        <f>ROUNDUP(O139/'Methodology &amp; Assumptions'!$B$9, 0)</f>
        <v/>
      </c>
      <c r="R139" s="39" t="n">
        <v>1</v>
      </c>
      <c r="S139" s="21" t="n">
        <v>0.7</v>
      </c>
      <c r="T139" s="21" t="n">
        <v>0.63</v>
      </c>
      <c r="U139" s="36" t="inlineStr">
        <is>
          <t>Tier 1A (Direct Coloc, &lt;1 km)</t>
        </is>
      </c>
      <c r="V139" s="20" t="n">
        <v>89.2</v>
      </c>
      <c r="W139" s="20" t="n">
        <v>96</v>
      </c>
      <c r="X139" s="20" t="n">
        <v>58</v>
      </c>
      <c r="Y139" s="40">
        <f>ROUND((V139*'Methodology &amp; Assumptions'!$B$6)+(W139*'Methodology &amp; Assumptions'!$B$5)+(X139*'Methodology &amp; Assumptions'!$B$7), 2)</f>
        <v/>
      </c>
    </row>
    <row r="140" ht="19" customHeight="1">
      <c r="A140" s="41" t="n">
        <v>136</v>
      </c>
      <c r="B140" s="41" t="n">
        <v>136</v>
      </c>
      <c r="C140" s="42" t="inlineStr">
        <is>
          <t>0304915023</t>
        </is>
      </c>
      <c r="D140" s="42" t="inlineStr">
        <is>
          <t>Region III (Central Luzon)</t>
        </is>
      </c>
      <c r="E140" s="42" t="inlineStr">
        <is>
          <t>Nueva Ecija</t>
        </is>
      </c>
      <c r="F140" s="42" t="inlineStr">
        <is>
          <t>Llanera</t>
        </is>
      </c>
      <c r="G140" s="42" t="inlineStr">
        <is>
          <t>Victoria</t>
        </is>
      </c>
      <c r="H140" s="43" t="n">
        <v>15.665681</v>
      </c>
      <c r="I140" s="43" t="n">
        <v>121.019219</v>
      </c>
      <c r="J140" s="44" t="inlineStr">
        <is>
          <t>R</t>
        </is>
      </c>
      <c r="K140" s="42" t="inlineStr">
        <is>
          <t>2nd</t>
        </is>
      </c>
      <c r="L140" s="23" t="n">
        <v>3185</v>
      </c>
      <c r="M140" s="24" t="n">
        <v>4.14</v>
      </c>
      <c r="N140" s="23">
        <f>ROUND(L140/M140, 0)</f>
        <v/>
      </c>
      <c r="O140" s="23">
        <f>ROUND(N140*'Methodology &amp; Assumptions'!$B$8, 0)</f>
        <v/>
      </c>
      <c r="P140" s="44" t="inlineStr">
        <is>
          <t>Band n50 (1.5 GHz, 60 MHz)</t>
        </is>
      </c>
      <c r="Q140" s="38">
        <f>ROUNDUP(O140/'Methodology &amp; Assumptions'!$B$9, 0)</f>
        <v/>
      </c>
      <c r="R140" s="39" t="n">
        <v>1</v>
      </c>
      <c r="S140" s="25" t="n">
        <v>0.01</v>
      </c>
      <c r="T140" s="25" t="n">
        <v>4.96</v>
      </c>
      <c r="U140" s="42" t="inlineStr">
        <is>
          <t>Tier 1A (Direct Coloc, &lt;1 km)</t>
        </is>
      </c>
      <c r="V140" s="24" t="n">
        <v>99.5</v>
      </c>
      <c r="W140" s="24" t="n">
        <v>85.59999999999999</v>
      </c>
      <c r="X140" s="24" t="n">
        <v>58</v>
      </c>
      <c r="Y140" s="45">
        <f>ROUND((V140*'Methodology &amp; Assumptions'!$B$6)+(W140*'Methodology &amp; Assumptions'!$B$5)+(X140*'Methodology &amp; Assumptions'!$B$7), 2)</f>
        <v/>
      </c>
    </row>
    <row r="141" ht="19" customHeight="1">
      <c r="A141" s="35" t="n">
        <v>137</v>
      </c>
      <c r="B141" s="35" t="n">
        <v>137</v>
      </c>
      <c r="C141" s="36" t="inlineStr">
        <is>
          <t>0304903056</t>
        </is>
      </c>
      <c r="D141" s="36" t="inlineStr">
        <is>
          <t>Region III (Central Luzon)</t>
        </is>
      </c>
      <c r="E141" s="36" t="inlineStr">
        <is>
          <t>Nueva Ecija</t>
        </is>
      </c>
      <c r="F141" s="36" t="inlineStr">
        <is>
          <t>City of Cabanatuan</t>
        </is>
      </c>
      <c r="G141" s="36" t="inlineStr">
        <is>
          <t>Padre Crisostomo</t>
        </is>
      </c>
      <c r="H141" s="37" t="n">
        <v>15.479998</v>
      </c>
      <c r="I141" s="37" t="n">
        <v>120.968979</v>
      </c>
      <c r="J141" s="8" t="inlineStr">
        <is>
          <t>R</t>
        </is>
      </c>
      <c r="K141" s="36" t="inlineStr">
        <is>
          <t>Class 1-3 / Urban</t>
        </is>
      </c>
      <c r="L141" s="18" t="n">
        <v>4298</v>
      </c>
      <c r="M141" s="20" t="n">
        <v>4.32</v>
      </c>
      <c r="N141" s="18">
        <f>ROUND(L141/M141, 0)</f>
        <v/>
      </c>
      <c r="O141" s="18">
        <f>ROUND(N141*'Methodology &amp; Assumptions'!$B$8, 0)</f>
        <v/>
      </c>
      <c r="P141" s="8" t="inlineStr">
        <is>
          <t>Band n50 (1.5 GHz, 60 MHz)</t>
        </is>
      </c>
      <c r="Q141" s="38">
        <f>ROUNDUP(O141/'Methodology &amp; Assumptions'!$B$9, 0)</f>
        <v/>
      </c>
      <c r="R141" s="39" t="n">
        <v>1</v>
      </c>
      <c r="S141" s="21" t="n">
        <v>0.86</v>
      </c>
      <c r="T141" s="21" t="n">
        <v>0.5</v>
      </c>
      <c r="U141" s="36" t="inlineStr">
        <is>
          <t>Tier 1A (Direct Coloc, &lt;1 km)</t>
        </is>
      </c>
      <c r="V141" s="20" t="n">
        <v>85.09999999999999</v>
      </c>
      <c r="W141" s="20" t="n">
        <v>100</v>
      </c>
      <c r="X141" s="20" t="n">
        <v>58</v>
      </c>
      <c r="Y141" s="40">
        <f>ROUND((V141*'Methodology &amp; Assumptions'!$B$6)+(W141*'Methodology &amp; Assumptions'!$B$5)+(X141*'Methodology &amp; Assumptions'!$B$7), 2)</f>
        <v/>
      </c>
    </row>
    <row r="142" ht="19" customHeight="1">
      <c r="A142" s="41" t="n">
        <v>138</v>
      </c>
      <c r="B142" s="41" t="n">
        <v>138</v>
      </c>
      <c r="C142" s="42" t="inlineStr">
        <is>
          <t>0501608019</t>
        </is>
      </c>
      <c r="D142" s="42" t="inlineStr">
        <is>
          <t>Region V (Bicol Region)</t>
        </is>
      </c>
      <c r="E142" s="42" t="inlineStr">
        <is>
          <t>Camarines Norte</t>
        </is>
      </c>
      <c r="F142" s="42" t="inlineStr">
        <is>
          <t>Paracale</t>
        </is>
      </c>
      <c r="G142" s="42" t="inlineStr">
        <is>
          <t>Palanas</t>
        </is>
      </c>
      <c r="H142" s="43" t="n">
        <v>14.2801</v>
      </c>
      <c r="I142" s="43" t="n">
        <v>122.7911</v>
      </c>
      <c r="J142" s="44" t="inlineStr">
        <is>
          <t>R</t>
        </is>
      </c>
      <c r="K142" s="42" t="inlineStr">
        <is>
          <t>Class 1-3 / Urban</t>
        </is>
      </c>
      <c r="L142" s="23" t="n">
        <v>4295</v>
      </c>
      <c r="M142" s="24" t="n">
        <v>4.4</v>
      </c>
      <c r="N142" s="23">
        <f>ROUND(L142/M142, 0)</f>
        <v/>
      </c>
      <c r="O142" s="23">
        <f>ROUND(N142*'Methodology &amp; Assumptions'!$B$8, 0)</f>
        <v/>
      </c>
      <c r="P142" s="44" t="inlineStr">
        <is>
          <t>Band n50 (1.5 GHz, 60 MHz)</t>
        </is>
      </c>
      <c r="Q142" s="38">
        <f>ROUNDUP(O142/'Methodology &amp; Assumptions'!$B$9, 0)</f>
        <v/>
      </c>
      <c r="R142" s="39" t="n">
        <v>1</v>
      </c>
      <c r="S142" s="25" t="n">
        <v>0.49</v>
      </c>
      <c r="T142" s="25" t="n">
        <v>9.44</v>
      </c>
      <c r="U142" s="42" t="inlineStr">
        <is>
          <t>Tier 1A (Direct Coloc, &lt;1 km)</t>
        </is>
      </c>
      <c r="V142" s="24" t="n">
        <v>85</v>
      </c>
      <c r="W142" s="24" t="n">
        <v>100</v>
      </c>
      <c r="X142" s="24" t="n">
        <v>58</v>
      </c>
      <c r="Y142" s="45">
        <f>ROUND((V142*'Methodology &amp; Assumptions'!$B$6)+(W142*'Methodology &amp; Assumptions'!$B$5)+(X142*'Methodology &amp; Assumptions'!$B$7), 2)</f>
        <v/>
      </c>
    </row>
    <row r="143" ht="19" customHeight="1">
      <c r="A143" s="35" t="n">
        <v>139</v>
      </c>
      <c r="B143" s="35" t="n">
        <v>139</v>
      </c>
      <c r="C143" s="36" t="inlineStr">
        <is>
          <t>1004306015</t>
        </is>
      </c>
      <c r="D143" s="36" t="inlineStr">
        <is>
          <t>Region X (Northern Mindanao)</t>
        </is>
      </c>
      <c r="E143" s="36" t="inlineStr">
        <is>
          <t>Misamis Oriental</t>
        </is>
      </c>
      <c r="F143" s="36" t="inlineStr">
        <is>
          <t>Claveria</t>
        </is>
      </c>
      <c r="G143" s="36" t="inlineStr">
        <is>
          <t>Mat-i</t>
        </is>
      </c>
      <c r="H143" s="37" t="n">
        <v>8.633972999999999</v>
      </c>
      <c r="I143" s="37" t="n">
        <v>124.987331</v>
      </c>
      <c r="J143" s="8" t="inlineStr">
        <is>
          <t>R</t>
        </is>
      </c>
      <c r="K143" s="36" t="inlineStr">
        <is>
          <t>Class 1-3 / Urban</t>
        </is>
      </c>
      <c r="L143" s="18" t="n">
        <v>4671</v>
      </c>
      <c r="M143" s="20" t="n">
        <v>4.54</v>
      </c>
      <c r="N143" s="18">
        <f>ROUND(L143/M143, 0)</f>
        <v/>
      </c>
      <c r="O143" s="18">
        <f>ROUND(N143*'Methodology &amp; Assumptions'!$B$8, 0)</f>
        <v/>
      </c>
      <c r="P143" s="8" t="inlineStr">
        <is>
          <t>Band n50 (1.5 GHz, 60 MHz)</t>
        </is>
      </c>
      <c r="Q143" s="38">
        <f>ROUNDUP(O143/'Methodology &amp; Assumptions'!$B$9, 0)</f>
        <v/>
      </c>
      <c r="R143" s="39" t="n">
        <v>1</v>
      </c>
      <c r="S143" s="21" t="n">
        <v>0.49</v>
      </c>
      <c r="T143" s="21" t="n">
        <v>23.77</v>
      </c>
      <c r="U143" s="36" t="inlineStr">
        <is>
          <t>Tier 1A (Direct Coloc, &lt;1 km)</t>
        </is>
      </c>
      <c r="V143" s="20" t="n">
        <v>84.8</v>
      </c>
      <c r="W143" s="20" t="n">
        <v>100</v>
      </c>
      <c r="X143" s="20" t="n">
        <v>58</v>
      </c>
      <c r="Y143" s="40">
        <f>ROUND((V143*'Methodology &amp; Assumptions'!$B$6)+(W143*'Methodology &amp; Assumptions'!$B$5)+(X143*'Methodology &amp; Assumptions'!$B$7), 2)</f>
        <v/>
      </c>
    </row>
    <row r="144" ht="19" customHeight="1">
      <c r="A144" s="41" t="n">
        <v>140</v>
      </c>
      <c r="B144" s="41" t="n">
        <v>140</v>
      </c>
      <c r="C144" s="42" t="inlineStr">
        <is>
          <t>1600212008</t>
        </is>
      </c>
      <c r="D144" s="42" t="inlineStr">
        <is>
          <t>Region XIII (Caraga)</t>
        </is>
      </c>
      <c r="E144" s="42" t="inlineStr">
        <is>
          <t>Agusan del Norte</t>
        </is>
      </c>
      <c r="F144" s="42" t="inlineStr">
        <is>
          <t>Remedios T. Romualdez</t>
        </is>
      </c>
      <c r="G144" s="42" t="inlineStr">
        <is>
          <t>Poblacion II</t>
        </is>
      </c>
      <c r="H144" s="43" t="n">
        <v>9.051081999999999</v>
      </c>
      <c r="I144" s="43" t="n">
        <v>125.587332</v>
      </c>
      <c r="J144" s="44" t="inlineStr">
        <is>
          <t>R</t>
        </is>
      </c>
      <c r="K144" s="42" t="inlineStr">
        <is>
          <t>4th</t>
        </is>
      </c>
      <c r="L144" s="23" t="n">
        <v>2216</v>
      </c>
      <c r="M144" s="24" t="n">
        <v>4.56</v>
      </c>
      <c r="N144" s="23">
        <f>ROUND(L144/M144, 0)</f>
        <v/>
      </c>
      <c r="O144" s="23">
        <f>ROUND(N144*'Methodology &amp; Assumptions'!$B$8, 0)</f>
        <v/>
      </c>
      <c r="P144" s="44" t="inlineStr">
        <is>
          <t>Band n50 (1.5 GHz, 60 MHz)</t>
        </is>
      </c>
      <c r="Q144" s="38">
        <f>ROUNDUP(O144/'Methodology &amp; Assumptions'!$B$9, 0)</f>
        <v/>
      </c>
      <c r="R144" s="39" t="n">
        <v>1</v>
      </c>
      <c r="S144" s="25" t="n">
        <v>0.19</v>
      </c>
      <c r="T144" s="25" t="n">
        <v>0.16</v>
      </c>
      <c r="U144" s="42" t="inlineStr">
        <is>
          <t>Tier 1A (Direct Coloc, &lt;1 km)</t>
        </is>
      </c>
      <c r="V144" s="24" t="n">
        <v>100</v>
      </c>
      <c r="W144" s="24" t="n">
        <v>62.9</v>
      </c>
      <c r="X144" s="24" t="n">
        <v>83.5</v>
      </c>
      <c r="Y144" s="45">
        <f>ROUND((V144*'Methodology &amp; Assumptions'!$B$6)+(W144*'Methodology &amp; Assumptions'!$B$5)+(X144*'Methodology &amp; Assumptions'!$B$7), 2)</f>
        <v/>
      </c>
    </row>
    <row r="145" ht="19" customHeight="1">
      <c r="A145" s="35" t="n">
        <v>141</v>
      </c>
      <c r="B145" s="35" t="n">
        <v>141</v>
      </c>
      <c r="C145" s="36" t="inlineStr">
        <is>
          <t>1004318010</t>
        </is>
      </c>
      <c r="D145" s="36" t="inlineStr">
        <is>
          <t>Region X (Northern Mindanao)</t>
        </is>
      </c>
      <c r="E145" s="36" t="inlineStr">
        <is>
          <t>Misamis Oriental</t>
        </is>
      </c>
      <c r="F145" s="36" t="inlineStr">
        <is>
          <t>Manticao</t>
        </is>
      </c>
      <c r="G145" s="36" t="inlineStr">
        <is>
          <t>Poblacion</t>
        </is>
      </c>
      <c r="H145" s="37" t="n">
        <v>8.403238</v>
      </c>
      <c r="I145" s="37" t="n">
        <v>124.289158</v>
      </c>
      <c r="J145" s="8" t="inlineStr">
        <is>
          <t>U</t>
        </is>
      </c>
      <c r="K145" s="36" t="inlineStr">
        <is>
          <t>2nd</t>
        </is>
      </c>
      <c r="L145" s="18" t="n">
        <v>8781</v>
      </c>
      <c r="M145" s="20" t="n">
        <v>4.4</v>
      </c>
      <c r="N145" s="18">
        <f>ROUND(L145/M145, 0)</f>
        <v/>
      </c>
      <c r="O145" s="18">
        <f>ROUND(N145*'Methodology &amp; Assumptions'!$B$8, 0)</f>
        <v/>
      </c>
      <c r="P145" s="8" t="inlineStr">
        <is>
          <t>Band n50 (1.5 GHz, 60 MHz)</t>
        </is>
      </c>
      <c r="Q145" s="38">
        <f>ROUNDUP(O145/'Methodology &amp; Assumptions'!$B$9, 0)</f>
        <v/>
      </c>
      <c r="R145" s="39" t="n">
        <v>1</v>
      </c>
      <c r="S145" s="21" t="n">
        <v>0.4</v>
      </c>
      <c r="T145" s="21" t="n">
        <v>0.48</v>
      </c>
      <c r="U145" s="36" t="inlineStr">
        <is>
          <t>Tier 1A (Direct Coloc, &lt;1 km)</t>
        </is>
      </c>
      <c r="V145" s="20" t="n">
        <v>97.59999999999999</v>
      </c>
      <c r="W145" s="20" t="n">
        <v>100</v>
      </c>
      <c r="X145" s="20" t="n">
        <v>43</v>
      </c>
      <c r="Y145" s="40">
        <f>ROUND((V145*'Methodology &amp; Assumptions'!$B$6)+(W145*'Methodology &amp; Assumptions'!$B$5)+(X145*'Methodology &amp; Assumptions'!$B$7), 2)</f>
        <v/>
      </c>
    </row>
    <row r="146" ht="19" customHeight="1">
      <c r="A146" s="41" t="n">
        <v>142</v>
      </c>
      <c r="B146" s="41" t="n">
        <v>142</v>
      </c>
      <c r="C146" s="42" t="inlineStr">
        <is>
          <t>0401020001</t>
        </is>
      </c>
      <c r="D146" s="42" t="inlineStr">
        <is>
          <t>Region IV-A (CALABARZON)</t>
        </is>
      </c>
      <c r="E146" s="42" t="inlineStr">
        <is>
          <t>Batangas</t>
        </is>
      </c>
      <c r="F146" s="42" t="inlineStr">
        <is>
          <t>Padre Garcia</t>
        </is>
      </c>
      <c r="G146" s="42" t="inlineStr">
        <is>
          <t>Banaba</t>
        </is>
      </c>
      <c r="H146" s="43" t="n">
        <v>13.882925</v>
      </c>
      <c r="I146" s="43" t="n">
        <v>121.219725</v>
      </c>
      <c r="J146" s="44" t="inlineStr">
        <is>
          <t>R</t>
        </is>
      </c>
      <c r="K146" s="42" t="inlineStr">
        <is>
          <t>Class 1-3 / Urban</t>
        </is>
      </c>
      <c r="L146" s="23" t="n">
        <v>3835</v>
      </c>
      <c r="M146" s="24" t="n">
        <v>4.62</v>
      </c>
      <c r="N146" s="23">
        <f>ROUND(L146/M146, 0)</f>
        <v/>
      </c>
      <c r="O146" s="23">
        <f>ROUND(N146*'Methodology &amp; Assumptions'!$B$8, 0)</f>
        <v/>
      </c>
      <c r="P146" s="44" t="inlineStr">
        <is>
          <t>Band n50 (1.5 GHz, 60 MHz)</t>
        </is>
      </c>
      <c r="Q146" s="38">
        <f>ROUNDUP(O146/'Methodology &amp; Assumptions'!$B$9, 0)</f>
        <v/>
      </c>
      <c r="R146" s="39" t="n">
        <v>1</v>
      </c>
      <c r="S146" s="25" t="n">
        <v>0.51</v>
      </c>
      <c r="T146" s="25" t="n">
        <v>0.19</v>
      </c>
      <c r="U146" s="42" t="inlineStr">
        <is>
          <t>Tier 1A (Direct Coloc, &lt;1 km)</t>
        </is>
      </c>
      <c r="V146" s="24" t="n">
        <v>94.3</v>
      </c>
      <c r="W146" s="24" t="n">
        <v>90.40000000000001</v>
      </c>
      <c r="X146" s="24" t="n">
        <v>58</v>
      </c>
      <c r="Y146" s="45">
        <f>ROUND((V146*'Methodology &amp; Assumptions'!$B$6)+(W146*'Methodology &amp; Assumptions'!$B$5)+(X146*'Methodology &amp; Assumptions'!$B$7), 2)</f>
        <v/>
      </c>
    </row>
    <row r="147" ht="19" customHeight="1">
      <c r="A147" s="35" t="n">
        <v>143</v>
      </c>
      <c r="B147" s="35" t="n">
        <v>143</v>
      </c>
      <c r="C147" s="36" t="inlineStr">
        <is>
          <t>0405809006</t>
        </is>
      </c>
      <c r="D147" s="36" t="inlineStr">
        <is>
          <t>Region IV-A (CALABARZON)</t>
        </is>
      </c>
      <c r="E147" s="36" t="inlineStr">
        <is>
          <t>Rizal</t>
        </is>
      </c>
      <c r="F147" s="36" t="inlineStr">
        <is>
          <t>Morong</t>
        </is>
      </c>
      <c r="G147" s="36" t="inlineStr">
        <is>
          <t>San Jose</t>
        </is>
      </c>
      <c r="H147" s="37" t="n">
        <v>14.51374</v>
      </c>
      <c r="I147" s="37" t="n">
        <v>121.23792</v>
      </c>
      <c r="J147" s="8" t="inlineStr">
        <is>
          <t>R</t>
        </is>
      </c>
      <c r="K147" s="36" t="inlineStr">
        <is>
          <t>Class 1-3 / Urban</t>
        </is>
      </c>
      <c r="L147" s="18" t="n">
        <v>4293</v>
      </c>
      <c r="M147" s="20" t="n">
        <v>4.39</v>
      </c>
      <c r="N147" s="18">
        <f>ROUND(L147/M147, 0)</f>
        <v/>
      </c>
      <c r="O147" s="18">
        <f>ROUND(N147*'Methodology &amp; Assumptions'!$B$8, 0)</f>
        <v/>
      </c>
      <c r="P147" s="8" t="inlineStr">
        <is>
          <t>Band n50 (1.5 GHz, 60 MHz)</t>
        </is>
      </c>
      <c r="Q147" s="38">
        <f>ROUNDUP(O147/'Methodology &amp; Assumptions'!$B$9, 0)</f>
        <v/>
      </c>
      <c r="R147" s="39" t="n">
        <v>1</v>
      </c>
      <c r="S147" s="21" t="n">
        <v>0.88</v>
      </c>
      <c r="T147" s="21" t="n">
        <v>0.2</v>
      </c>
      <c r="U147" s="36" t="inlineStr">
        <is>
          <t>Tier 1A (Direct Coloc, &lt;1 km)</t>
        </is>
      </c>
      <c r="V147" s="20" t="n">
        <v>84.7</v>
      </c>
      <c r="W147" s="20" t="n">
        <v>100</v>
      </c>
      <c r="X147" s="20" t="n">
        <v>58</v>
      </c>
      <c r="Y147" s="40">
        <f>ROUND((V147*'Methodology &amp; Assumptions'!$B$6)+(W147*'Methodology &amp; Assumptions'!$B$5)+(X147*'Methodology &amp; Assumptions'!$B$7), 2)</f>
        <v/>
      </c>
    </row>
    <row r="148" ht="19" customHeight="1">
      <c r="A148" s="41" t="n">
        <v>144</v>
      </c>
      <c r="B148" s="41" t="n">
        <v>144</v>
      </c>
      <c r="C148" s="42" t="inlineStr">
        <is>
          <t>0603032022</t>
        </is>
      </c>
      <c r="D148" s="42" t="inlineStr">
        <is>
          <t>Region VI (Western Visayas)</t>
        </is>
      </c>
      <c r="E148" s="42" t="inlineStr">
        <is>
          <t>Iloilo</t>
        </is>
      </c>
      <c r="F148" s="42" t="inlineStr">
        <is>
          <t>New Lucena</t>
        </is>
      </c>
      <c r="G148" s="42" t="inlineStr">
        <is>
          <t>Poblacion</t>
        </is>
      </c>
      <c r="H148" s="43" t="n">
        <v>10.875176</v>
      </c>
      <c r="I148" s="43" t="n">
        <v>122.597136</v>
      </c>
      <c r="J148" s="44" t="inlineStr">
        <is>
          <t>R</t>
        </is>
      </c>
      <c r="K148" s="42" t="inlineStr">
        <is>
          <t>4th</t>
        </is>
      </c>
      <c r="L148" s="23" t="n">
        <v>3137</v>
      </c>
      <c r="M148" s="24" t="n">
        <v>4.64</v>
      </c>
      <c r="N148" s="23">
        <f>ROUND(L148/M148, 0)</f>
        <v/>
      </c>
      <c r="O148" s="23">
        <f>ROUND(N148*'Methodology &amp; Assumptions'!$B$8, 0)</f>
        <v/>
      </c>
      <c r="P148" s="44" t="inlineStr">
        <is>
          <t>Band n50 (1.5 GHz, 60 MHz)</t>
        </is>
      </c>
      <c r="Q148" s="38">
        <f>ROUNDUP(O148/'Methodology &amp; Assumptions'!$B$9, 0)</f>
        <v/>
      </c>
      <c r="R148" s="39" t="n">
        <v>1</v>
      </c>
      <c r="S148" s="25" t="n">
        <v>0.4</v>
      </c>
      <c r="T148" s="25" t="n">
        <v>1.55</v>
      </c>
      <c r="U148" s="42" t="inlineStr">
        <is>
          <t>Tier 1A (Direct Coloc, &lt;1 km)</t>
        </is>
      </c>
      <c r="V148" s="24" t="n">
        <v>97.5</v>
      </c>
      <c r="W148" s="24" t="n">
        <v>78.09999999999999</v>
      </c>
      <c r="X148" s="24" t="n">
        <v>68.5</v>
      </c>
      <c r="Y148" s="45">
        <f>ROUND((V148*'Methodology &amp; Assumptions'!$B$6)+(W148*'Methodology &amp; Assumptions'!$B$5)+(X148*'Methodology &amp; Assumptions'!$B$7), 2)</f>
        <v/>
      </c>
    </row>
    <row r="149" ht="19" customHeight="1">
      <c r="A149" s="35" t="n">
        <v>145</v>
      </c>
      <c r="B149" s="35" t="n">
        <v>145</v>
      </c>
      <c r="C149" s="36" t="inlineStr">
        <is>
          <t>1004308003</t>
        </is>
      </c>
      <c r="D149" s="36" t="inlineStr">
        <is>
          <t>Region X (Northern Mindanao)</t>
        </is>
      </c>
      <c r="E149" s="36" t="inlineStr">
        <is>
          <t>Misamis Oriental</t>
        </is>
      </c>
      <c r="F149" s="36" t="inlineStr">
        <is>
          <t>City of Gingoog</t>
        </is>
      </c>
      <c r="G149" s="36" t="inlineStr">
        <is>
          <t>Anakan</t>
        </is>
      </c>
      <c r="H149" s="37" t="n">
        <v>8.847168999999999</v>
      </c>
      <c r="I149" s="37" t="n">
        <v>125.155496</v>
      </c>
      <c r="J149" s="8" t="inlineStr">
        <is>
          <t>R</t>
        </is>
      </c>
      <c r="K149" s="36" t="inlineStr">
        <is>
          <t>Class 1-3 / Urban</t>
        </is>
      </c>
      <c r="L149" s="18" t="n">
        <v>3654</v>
      </c>
      <c r="M149" s="20" t="n">
        <v>4.54</v>
      </c>
      <c r="N149" s="18">
        <f>ROUND(L149/M149, 0)</f>
        <v/>
      </c>
      <c r="O149" s="18">
        <f>ROUND(N149*'Methodology &amp; Assumptions'!$B$8, 0)</f>
        <v/>
      </c>
      <c r="P149" s="8" t="inlineStr">
        <is>
          <t>Band n50 (1.5 GHz, 60 MHz)</t>
        </is>
      </c>
      <c r="Q149" s="38">
        <f>ROUNDUP(O149/'Methodology &amp; Assumptions'!$B$9, 0)</f>
        <v/>
      </c>
      <c r="R149" s="39" t="n">
        <v>1</v>
      </c>
      <c r="S149" s="21" t="n">
        <v>0.45</v>
      </c>
      <c r="T149" s="21" t="n">
        <v>0.44</v>
      </c>
      <c r="U149" s="36" t="inlineStr">
        <is>
          <t>Tier 1A (Direct Coloc, &lt;1 km)</t>
        </is>
      </c>
      <c r="V149" s="20" t="n">
        <v>96.09999999999999</v>
      </c>
      <c r="W149" s="20" t="n">
        <v>88.5</v>
      </c>
      <c r="X149" s="20" t="n">
        <v>58</v>
      </c>
      <c r="Y149" s="40">
        <f>ROUND((V149*'Methodology &amp; Assumptions'!$B$6)+(W149*'Methodology &amp; Assumptions'!$B$5)+(X149*'Methodology &amp; Assumptions'!$B$7), 2)</f>
        <v/>
      </c>
    </row>
    <row r="150" ht="19" customHeight="1">
      <c r="A150" s="41" t="n">
        <v>146</v>
      </c>
      <c r="B150" s="41" t="n">
        <v>146</v>
      </c>
      <c r="C150" s="42" t="inlineStr">
        <is>
          <t>0401005082</t>
        </is>
      </c>
      <c r="D150" s="42" t="inlineStr">
        <is>
          <t>Region IV-A (CALABARZON)</t>
        </is>
      </c>
      <c r="E150" s="42" t="inlineStr">
        <is>
          <t>Batangas</t>
        </is>
      </c>
      <c r="F150" s="42" t="inlineStr">
        <is>
          <t>Batangas City</t>
        </is>
      </c>
      <c r="G150" s="42" t="inlineStr">
        <is>
          <t>Sampaga</t>
        </is>
      </c>
      <c r="H150" s="43" t="n">
        <v>13.755672</v>
      </c>
      <c r="I150" s="43" t="n">
        <v>121.104466</v>
      </c>
      <c r="J150" s="44" t="inlineStr">
        <is>
          <t>R</t>
        </is>
      </c>
      <c r="K150" s="42" t="inlineStr">
        <is>
          <t>Class 1-3 / Urban</t>
        </is>
      </c>
      <c r="L150" s="23" t="n">
        <v>4458</v>
      </c>
      <c r="M150" s="24" t="n">
        <v>4.62</v>
      </c>
      <c r="N150" s="23">
        <f>ROUND(L150/M150, 0)</f>
        <v/>
      </c>
      <c r="O150" s="23">
        <f>ROUND(N150*'Methodology &amp; Assumptions'!$B$8, 0)</f>
        <v/>
      </c>
      <c r="P150" s="44" t="inlineStr">
        <is>
          <t>Band n50 (1.5 GHz, 60 MHz)</t>
        </is>
      </c>
      <c r="Q150" s="38">
        <f>ROUNDUP(O150/'Methodology &amp; Assumptions'!$B$9, 0)</f>
        <v/>
      </c>
      <c r="R150" s="39" t="n">
        <v>1</v>
      </c>
      <c r="S150" s="25" t="n">
        <v>0.51</v>
      </c>
      <c r="T150" s="25" t="n">
        <v>4.12</v>
      </c>
      <c r="U150" s="42" t="inlineStr">
        <is>
          <t>Tier 1A (Direct Coloc, &lt;1 km)</t>
        </is>
      </c>
      <c r="V150" s="24" t="n">
        <v>84.40000000000001</v>
      </c>
      <c r="W150" s="24" t="n">
        <v>100</v>
      </c>
      <c r="X150" s="24" t="n">
        <v>58</v>
      </c>
      <c r="Y150" s="45">
        <f>ROUND((V150*'Methodology &amp; Assumptions'!$B$6)+(W150*'Methodology &amp; Assumptions'!$B$5)+(X150*'Methodology &amp; Assumptions'!$B$7), 2)</f>
        <v/>
      </c>
    </row>
    <row r="151" ht="19" customHeight="1">
      <c r="A151" s="35" t="n">
        <v>147</v>
      </c>
      <c r="B151" s="35" t="n">
        <v>147</v>
      </c>
      <c r="C151" s="36" t="inlineStr">
        <is>
          <t>0402114002</t>
        </is>
      </c>
      <c r="D151" s="36" t="inlineStr">
        <is>
          <t>Region IV-A (CALABARZON)</t>
        </is>
      </c>
      <c r="E151" s="36" t="inlineStr">
        <is>
          <t>Cavite</t>
        </is>
      </c>
      <c r="F151" s="36" t="inlineStr">
        <is>
          <t>Mendez</t>
        </is>
      </c>
      <c r="G151" s="36" t="inlineStr">
        <is>
          <t>Asis I</t>
        </is>
      </c>
      <c r="H151" s="37" t="n">
        <v>14.136994</v>
      </c>
      <c r="I151" s="37" t="n">
        <v>120.900148</v>
      </c>
      <c r="J151" s="8" t="inlineStr">
        <is>
          <t>R</t>
        </is>
      </c>
      <c r="K151" s="36" t="inlineStr">
        <is>
          <t>2nd</t>
        </is>
      </c>
      <c r="L151" s="18" t="n">
        <v>3650</v>
      </c>
      <c r="M151" s="20" t="n">
        <v>4.37</v>
      </c>
      <c r="N151" s="18">
        <f>ROUND(L151/M151, 0)</f>
        <v/>
      </c>
      <c r="O151" s="18">
        <f>ROUND(N151*'Methodology &amp; Assumptions'!$B$8, 0)</f>
        <v/>
      </c>
      <c r="P151" s="8" t="inlineStr">
        <is>
          <t>Band n50 (1.5 GHz, 60 MHz)</t>
        </is>
      </c>
      <c r="Q151" s="38">
        <f>ROUNDUP(O151/'Methodology &amp; Assumptions'!$B$9, 0)</f>
        <v/>
      </c>
      <c r="R151" s="39" t="n">
        <v>1</v>
      </c>
      <c r="S151" s="21" t="n">
        <v>0.2</v>
      </c>
      <c r="T151" s="21" t="n">
        <v>4.85</v>
      </c>
      <c r="U151" s="36" t="inlineStr">
        <is>
          <t>Tier 1A (Direct Coloc, &lt;1 km)</t>
        </is>
      </c>
      <c r="V151" s="20" t="n">
        <v>93.7</v>
      </c>
      <c r="W151" s="20" t="n">
        <v>90.7</v>
      </c>
      <c r="X151" s="20" t="n">
        <v>58</v>
      </c>
      <c r="Y151" s="40">
        <f>ROUND((V151*'Methodology &amp; Assumptions'!$B$6)+(W151*'Methodology &amp; Assumptions'!$B$5)+(X151*'Methodology &amp; Assumptions'!$B$7), 2)</f>
        <v/>
      </c>
    </row>
    <row r="152" ht="19" customHeight="1">
      <c r="A152" s="41" t="n">
        <v>148</v>
      </c>
      <c r="B152" s="41" t="n">
        <v>148</v>
      </c>
      <c r="C152" s="42" t="inlineStr">
        <is>
          <t>0205014009</t>
        </is>
      </c>
      <c r="D152" s="42" t="inlineStr">
        <is>
          <t>Region II (Cagayan Valley)</t>
        </is>
      </c>
      <c r="E152" s="42" t="inlineStr">
        <is>
          <t>Nueva Vizcaya</t>
        </is>
      </c>
      <c r="F152" s="42" t="inlineStr">
        <is>
          <t>Villaverde</t>
        </is>
      </c>
      <c r="G152" s="42" t="inlineStr">
        <is>
          <t>Bintawan Norte</t>
        </is>
      </c>
      <c r="H152" s="43" t="n">
        <v>16.580941</v>
      </c>
      <c r="I152" s="43" t="n">
        <v>121.189228</v>
      </c>
      <c r="J152" s="44" t="inlineStr">
        <is>
          <t>R</t>
        </is>
      </c>
      <c r="K152" s="42" t="inlineStr">
        <is>
          <t>4th</t>
        </is>
      </c>
      <c r="L152" s="23" t="n">
        <v>2732</v>
      </c>
      <c r="M152" s="24" t="n">
        <v>4.16</v>
      </c>
      <c r="N152" s="23">
        <f>ROUND(L152/M152, 0)</f>
        <v/>
      </c>
      <c r="O152" s="23">
        <f>ROUND(N152*'Methodology &amp; Assumptions'!$B$8, 0)</f>
        <v/>
      </c>
      <c r="P152" s="44" t="inlineStr">
        <is>
          <t>Band n50 (1.5 GHz, 60 MHz)</t>
        </is>
      </c>
      <c r="Q152" s="38">
        <f>ROUNDUP(O152/'Methodology &amp; Assumptions'!$B$9, 0)</f>
        <v/>
      </c>
      <c r="R152" s="39" t="n">
        <v>1</v>
      </c>
      <c r="S152" s="25" t="n">
        <v>0.04</v>
      </c>
      <c r="T152" s="25" t="n">
        <v>5.86</v>
      </c>
      <c r="U152" s="42" t="inlineStr">
        <is>
          <t>Tier 1A (Direct Coloc, &lt;1 km)</t>
        </is>
      </c>
      <c r="V152" s="24" t="n">
        <v>98.8</v>
      </c>
      <c r="W152" s="24" t="n">
        <v>76.5</v>
      </c>
      <c r="X152" s="24" t="n">
        <v>68.5</v>
      </c>
      <c r="Y152" s="45">
        <f>ROUND((V152*'Methodology &amp; Assumptions'!$B$6)+(W152*'Methodology &amp; Assumptions'!$B$5)+(X152*'Methodology &amp; Assumptions'!$B$7), 2)</f>
        <v/>
      </c>
    </row>
    <row r="153" ht="19" customHeight="1">
      <c r="A153" s="35" t="n">
        <v>149</v>
      </c>
      <c r="B153" s="35" t="n">
        <v>149</v>
      </c>
      <c r="C153" s="36" t="inlineStr">
        <is>
          <t>0304923007</t>
        </is>
      </c>
      <c r="D153" s="36" t="inlineStr">
        <is>
          <t>Region III (Central Luzon)</t>
        </is>
      </c>
      <c r="E153" s="36" t="inlineStr">
        <is>
          <t>Nueva Ecija</t>
        </is>
      </c>
      <c r="F153" s="36" t="inlineStr">
        <is>
          <t>Rizal</t>
        </is>
      </c>
      <c r="G153" s="36" t="inlineStr">
        <is>
          <t>Calaocan District</t>
        </is>
      </c>
      <c r="H153" s="37" t="n">
        <v>15.585783</v>
      </c>
      <c r="I153" s="37" t="n">
        <v>120.924577</v>
      </c>
      <c r="J153" s="8" t="inlineStr">
        <is>
          <t>R</t>
        </is>
      </c>
      <c r="K153" s="36" t="inlineStr">
        <is>
          <t>Class 1-3 / Urban</t>
        </is>
      </c>
      <c r="L153" s="18" t="n">
        <v>3842</v>
      </c>
      <c r="M153" s="20" t="n">
        <v>4.32</v>
      </c>
      <c r="N153" s="18">
        <f>ROUND(L153/M153, 0)</f>
        <v/>
      </c>
      <c r="O153" s="18">
        <f>ROUND(N153*'Methodology &amp; Assumptions'!$B$8, 0)</f>
        <v/>
      </c>
      <c r="P153" s="8" t="inlineStr">
        <is>
          <t>Band n50 (1.5 GHz, 60 MHz)</t>
        </is>
      </c>
      <c r="Q153" s="38">
        <f>ROUNDUP(O153/'Methodology &amp; Assumptions'!$B$9, 0)</f>
        <v/>
      </c>
      <c r="R153" s="39" t="n">
        <v>1</v>
      </c>
      <c r="S153" s="21" t="n">
        <v>0.71</v>
      </c>
      <c r="T153" s="21" t="n">
        <v>0.52</v>
      </c>
      <c r="U153" s="36" t="inlineStr">
        <is>
          <t>Tier 1A (Direct Coloc, &lt;1 km)</t>
        </is>
      </c>
      <c r="V153" s="20" t="n">
        <v>89</v>
      </c>
      <c r="W153" s="20" t="n">
        <v>95.2</v>
      </c>
      <c r="X153" s="20" t="n">
        <v>58</v>
      </c>
      <c r="Y153" s="40">
        <f>ROUND((V153*'Methodology &amp; Assumptions'!$B$6)+(W153*'Methodology &amp; Assumptions'!$B$5)+(X153*'Methodology &amp; Assumptions'!$B$7), 2)</f>
        <v/>
      </c>
    </row>
    <row r="154" ht="19" customHeight="1">
      <c r="A154" s="41" t="n">
        <v>150</v>
      </c>
      <c r="B154" s="41" t="n">
        <v>150</v>
      </c>
      <c r="C154" s="42" t="inlineStr">
        <is>
          <t>0304912029</t>
        </is>
      </c>
      <c r="D154" s="42" t="inlineStr">
        <is>
          <t>Region III (Central Luzon)</t>
        </is>
      </c>
      <c r="E154" s="42" t="inlineStr">
        <is>
          <t>Nueva Ecija</t>
        </is>
      </c>
      <c r="F154" s="42" t="inlineStr">
        <is>
          <t>Jaen</t>
        </is>
      </c>
      <c r="G154" s="42" t="inlineStr">
        <is>
          <t>Sapang</t>
        </is>
      </c>
      <c r="H154" s="43" t="n">
        <v>15.32373</v>
      </c>
      <c r="I154" s="43" t="n">
        <v>120.905643</v>
      </c>
      <c r="J154" s="44" t="inlineStr">
        <is>
          <t>R</t>
        </is>
      </c>
      <c r="K154" s="42" t="inlineStr">
        <is>
          <t>Class 1-3 / Urban</t>
        </is>
      </c>
      <c r="L154" s="23" t="n">
        <v>4109</v>
      </c>
      <c r="M154" s="24" t="n">
        <v>4.32</v>
      </c>
      <c r="N154" s="23">
        <f>ROUND(L154/M154, 0)</f>
        <v/>
      </c>
      <c r="O154" s="23">
        <f>ROUND(N154*'Methodology &amp; Assumptions'!$B$8, 0)</f>
        <v/>
      </c>
      <c r="P154" s="44" t="inlineStr">
        <is>
          <t>Band n50 (1.5 GHz, 60 MHz)</t>
        </is>
      </c>
      <c r="Q154" s="38">
        <f>ROUNDUP(O154/'Methodology &amp; Assumptions'!$B$9, 0)</f>
        <v/>
      </c>
      <c r="R154" s="39" t="n">
        <v>1</v>
      </c>
      <c r="S154" s="25" t="n">
        <v>0.9</v>
      </c>
      <c r="T154" s="25" t="n">
        <v>1.63</v>
      </c>
      <c r="U154" s="42" t="inlineStr">
        <is>
          <t>Tier 1A (Direct Coloc, &lt;1 km)</t>
        </is>
      </c>
      <c r="V154" s="24" t="n">
        <v>84.2</v>
      </c>
      <c r="W154" s="24" t="n">
        <v>100</v>
      </c>
      <c r="X154" s="24" t="n">
        <v>58</v>
      </c>
      <c r="Y154" s="45">
        <f>ROUND((V154*'Methodology &amp; Assumptions'!$B$6)+(W154*'Methodology &amp; Assumptions'!$B$5)+(X154*'Methodology &amp; Assumptions'!$B$7), 2)</f>
        <v/>
      </c>
    </row>
    <row r="155" ht="19" customHeight="1">
      <c r="A155" s="35" t="n">
        <v>151</v>
      </c>
      <c r="B155" s="35" t="n">
        <v>151</v>
      </c>
      <c r="C155" s="36" t="inlineStr">
        <is>
          <t>0403426024</t>
        </is>
      </c>
      <c r="D155" s="36" t="inlineStr">
        <is>
          <t>Region IV-A (CALABARZON)</t>
        </is>
      </c>
      <c r="E155" s="36" t="inlineStr">
        <is>
          <t>Laguna</t>
        </is>
      </c>
      <c r="F155" s="36" t="inlineStr">
        <is>
          <t>Santa Cruz</t>
        </is>
      </c>
      <c r="G155" s="36" t="inlineStr">
        <is>
          <t>Santo Angel Central</t>
        </is>
      </c>
      <c r="H155" s="37" t="n">
        <v>14.285535</v>
      </c>
      <c r="I155" s="37" t="n">
        <v>121.408027</v>
      </c>
      <c r="J155" s="8" t="inlineStr">
        <is>
          <t>R</t>
        </is>
      </c>
      <c r="K155" s="36" t="inlineStr">
        <is>
          <t>Class 1-3 / Urban</t>
        </is>
      </c>
      <c r="L155" s="18" t="n">
        <v>4588</v>
      </c>
      <c r="M155" s="20" t="n">
        <v>4.2</v>
      </c>
      <c r="N155" s="18">
        <f>ROUND(L155/M155, 0)</f>
        <v/>
      </c>
      <c r="O155" s="18">
        <f>ROUND(N155*'Methodology &amp; Assumptions'!$B$8, 0)</f>
        <v/>
      </c>
      <c r="P155" s="8" t="inlineStr">
        <is>
          <t>Band n50 (1.5 GHz, 60 MHz)</t>
        </is>
      </c>
      <c r="Q155" s="38">
        <f>ROUNDUP(O155/'Methodology &amp; Assumptions'!$B$9, 0)</f>
        <v/>
      </c>
      <c r="R155" s="39" t="n">
        <v>1</v>
      </c>
      <c r="S155" s="21" t="n">
        <v>0.9</v>
      </c>
      <c r="T155" s="21" t="n">
        <v>0.89</v>
      </c>
      <c r="U155" s="36" t="inlineStr">
        <is>
          <t>Tier 1A (Direct Coloc, &lt;1 km)</t>
        </is>
      </c>
      <c r="V155" s="20" t="n">
        <v>84.09999999999999</v>
      </c>
      <c r="W155" s="20" t="n">
        <v>100</v>
      </c>
      <c r="X155" s="20" t="n">
        <v>58</v>
      </c>
      <c r="Y155" s="40">
        <f>ROUND((V155*'Methodology &amp; Assumptions'!$B$6)+(W155*'Methodology &amp; Assumptions'!$B$5)+(X155*'Methodology &amp; Assumptions'!$B$7), 2)</f>
        <v/>
      </c>
    </row>
    <row r="156" ht="19" customHeight="1">
      <c r="A156" s="41" t="n">
        <v>152</v>
      </c>
      <c r="B156" s="41" t="n">
        <v>152</v>
      </c>
      <c r="C156" s="42" t="inlineStr">
        <is>
          <t>0600613002</t>
        </is>
      </c>
      <c r="D156" s="42" t="inlineStr">
        <is>
          <t>Region VI (Western Visayas)</t>
        </is>
      </c>
      <c r="E156" s="42" t="inlineStr">
        <is>
          <t>Antique</t>
        </is>
      </c>
      <c r="F156" s="42" t="inlineStr">
        <is>
          <t>San Jose</t>
        </is>
      </c>
      <c r="G156" s="42" t="inlineStr">
        <is>
          <t>Badiang</t>
        </is>
      </c>
      <c r="H156" s="43" t="n">
        <v>10.767437</v>
      </c>
      <c r="I156" s="43" t="n">
        <v>121.944321</v>
      </c>
      <c r="J156" s="44" t="inlineStr">
        <is>
          <t>R</t>
        </is>
      </c>
      <c r="K156" s="42" t="inlineStr">
        <is>
          <t>Class 1-3 / Urban</t>
        </is>
      </c>
      <c r="L156" s="23" t="n">
        <v>3476</v>
      </c>
      <c r="M156" s="24" t="n">
        <v>4.43</v>
      </c>
      <c r="N156" s="23">
        <f>ROUND(L156/M156, 0)</f>
        <v/>
      </c>
      <c r="O156" s="23">
        <f>ROUND(N156*'Methodology &amp; Assumptions'!$B$8, 0)</f>
        <v/>
      </c>
      <c r="P156" s="44" t="inlineStr">
        <is>
          <t>Band n50 (1.5 GHz, 60 MHz)</t>
        </is>
      </c>
      <c r="Q156" s="38">
        <f>ROUNDUP(O156/'Methodology &amp; Assumptions'!$B$9, 0)</f>
        <v/>
      </c>
      <c r="R156" s="39" t="n">
        <v>1</v>
      </c>
      <c r="S156" s="25" t="n">
        <v>0.9</v>
      </c>
      <c r="T156" s="25" t="n">
        <v>0.64</v>
      </c>
      <c r="U156" s="42" t="inlineStr">
        <is>
          <t>Tier 1A (Direct Coloc, &lt;1 km)</t>
        </is>
      </c>
      <c r="V156" s="24" t="n">
        <v>84.2</v>
      </c>
      <c r="W156" s="24" t="n">
        <v>86.90000000000001</v>
      </c>
      <c r="X156" s="24" t="n">
        <v>73</v>
      </c>
      <c r="Y156" s="45">
        <f>ROUND((V156*'Methodology &amp; Assumptions'!$B$6)+(W156*'Methodology &amp; Assumptions'!$B$5)+(X156*'Methodology &amp; Assumptions'!$B$7), 2)</f>
        <v/>
      </c>
    </row>
    <row r="157" ht="19" customHeight="1">
      <c r="A157" s="35" t="n">
        <v>153</v>
      </c>
      <c r="B157" s="35" t="n">
        <v>153</v>
      </c>
      <c r="C157" s="36" t="inlineStr">
        <is>
          <t>0831600151</t>
        </is>
      </c>
      <c r="D157" s="36" t="inlineStr">
        <is>
          <t>Region VIII (Eastern Visayas)</t>
        </is>
      </c>
      <c r="E157" s="36" t="inlineStr">
        <is>
          <t>Leyte</t>
        </is>
      </c>
      <c r="F157" s="36" t="inlineStr">
        <is>
          <t>City of Tacloban</t>
        </is>
      </c>
      <c r="G157" s="36" t="inlineStr">
        <is>
          <t>Barangay 83-C</t>
        </is>
      </c>
      <c r="H157" s="37" t="n">
        <v>11.205693</v>
      </c>
      <c r="I157" s="37" t="n">
        <v>125.012399</v>
      </c>
      <c r="J157" s="8" t="inlineStr">
        <is>
          <t>R</t>
        </is>
      </c>
      <c r="K157" s="36" t="inlineStr">
        <is>
          <t>Class 1-3 / Urban</t>
        </is>
      </c>
      <c r="L157" s="18" t="n">
        <v>3919</v>
      </c>
      <c r="M157" s="20" t="n">
        <v>4.24</v>
      </c>
      <c r="N157" s="18">
        <f>ROUND(L157/M157, 0)</f>
        <v/>
      </c>
      <c r="O157" s="18">
        <f>ROUND(N157*'Methodology &amp; Assumptions'!$B$8, 0)</f>
        <v/>
      </c>
      <c r="P157" s="8" t="inlineStr">
        <is>
          <t>Band n50 (1.5 GHz, 60 MHz)</t>
        </is>
      </c>
      <c r="Q157" s="38">
        <f>ROUNDUP(O157/'Methodology &amp; Assumptions'!$B$9, 0)</f>
        <v/>
      </c>
      <c r="R157" s="39" t="n">
        <v>1</v>
      </c>
      <c r="S157" s="21" t="n">
        <v>0.82</v>
      </c>
      <c r="T157" s="21" t="n">
        <v>0.45</v>
      </c>
      <c r="U157" s="36" t="inlineStr">
        <is>
          <t>Tier 1A (Direct Coloc, &lt;1 km)</t>
        </is>
      </c>
      <c r="V157" s="20" t="n">
        <v>86.09999999999999</v>
      </c>
      <c r="W157" s="20" t="n">
        <v>97.90000000000001</v>
      </c>
      <c r="X157" s="20" t="n">
        <v>58</v>
      </c>
      <c r="Y157" s="40">
        <f>ROUND((V157*'Methodology &amp; Assumptions'!$B$6)+(W157*'Methodology &amp; Assumptions'!$B$5)+(X157*'Methodology &amp; Assumptions'!$B$7), 2)</f>
        <v/>
      </c>
    </row>
    <row r="158" ht="19" customHeight="1">
      <c r="A158" s="41" t="n">
        <v>154</v>
      </c>
      <c r="B158" s="41" t="n">
        <v>154</v>
      </c>
      <c r="C158" s="42" t="inlineStr">
        <is>
          <t>0405645017</t>
        </is>
      </c>
      <c r="D158" s="42" t="inlineStr">
        <is>
          <t>Region IV-A (CALABARZON)</t>
        </is>
      </c>
      <c r="E158" s="42" t="inlineStr">
        <is>
          <t>Quezon</t>
        </is>
      </c>
      <c r="F158" s="42" t="inlineStr">
        <is>
          <t>Sariaya</t>
        </is>
      </c>
      <c r="G158" s="42" t="inlineStr">
        <is>
          <t>Guisguis-Talon</t>
        </is>
      </c>
      <c r="H158" s="43" t="n">
        <v>13.868597</v>
      </c>
      <c r="I158" s="43" t="n">
        <v>121.504411</v>
      </c>
      <c r="J158" s="44" t="inlineStr">
        <is>
          <t>R</t>
        </is>
      </c>
      <c r="K158" s="42" t="inlineStr">
        <is>
          <t>Class 1-3 / Urban</t>
        </is>
      </c>
      <c r="L158" s="23" t="n">
        <v>4376</v>
      </c>
      <c r="M158" s="24" t="n">
        <v>4.46</v>
      </c>
      <c r="N158" s="23">
        <f>ROUND(L158/M158, 0)</f>
        <v/>
      </c>
      <c r="O158" s="23">
        <f>ROUND(N158*'Methodology &amp; Assumptions'!$B$8, 0)</f>
        <v/>
      </c>
      <c r="P158" s="44" t="inlineStr">
        <is>
          <t>Band n50 (1.5 GHz, 60 MHz)</t>
        </is>
      </c>
      <c r="Q158" s="38">
        <f>ROUNDUP(O158/'Methodology &amp; Assumptions'!$B$9, 0)</f>
        <v/>
      </c>
      <c r="R158" s="39" t="n">
        <v>1</v>
      </c>
      <c r="S158" s="25" t="n">
        <v>0.91</v>
      </c>
      <c r="T158" s="25" t="n">
        <v>0.98</v>
      </c>
      <c r="U158" s="42" t="inlineStr">
        <is>
          <t>Tier 1A (Direct Coloc, &lt;1 km)</t>
        </is>
      </c>
      <c r="V158" s="24" t="n">
        <v>83.90000000000001</v>
      </c>
      <c r="W158" s="24" t="n">
        <v>100</v>
      </c>
      <c r="X158" s="24" t="n">
        <v>58</v>
      </c>
      <c r="Y158" s="45">
        <f>ROUND((V158*'Methodology &amp; Assumptions'!$B$6)+(W158*'Methodology &amp; Assumptions'!$B$5)+(X158*'Methodology &amp; Assumptions'!$B$7), 2)</f>
        <v/>
      </c>
    </row>
    <row r="159" ht="19" customHeight="1">
      <c r="A159" s="35" t="n">
        <v>155</v>
      </c>
      <c r="B159" s="35" t="n">
        <v>155</v>
      </c>
      <c r="C159" s="36" t="inlineStr">
        <is>
          <t>1004322019</t>
        </is>
      </c>
      <c r="D159" s="36" t="inlineStr">
        <is>
          <t>Region X (Northern Mindanao)</t>
        </is>
      </c>
      <c r="E159" s="36" t="inlineStr">
        <is>
          <t>Misamis Oriental</t>
        </is>
      </c>
      <c r="F159" s="36" t="inlineStr">
        <is>
          <t>Salay</t>
        </is>
      </c>
      <c r="G159" s="36" t="inlineStr">
        <is>
          <t>Casulog</t>
        </is>
      </c>
      <c r="H159" s="37" t="n">
        <v>8.855596</v>
      </c>
      <c r="I159" s="37" t="n">
        <v>124.786549</v>
      </c>
      <c r="J159" s="8" t="inlineStr">
        <is>
          <t>R</t>
        </is>
      </c>
      <c r="K159" s="36" t="inlineStr">
        <is>
          <t>2nd</t>
        </is>
      </c>
      <c r="L159" s="18" t="n">
        <v>3369</v>
      </c>
      <c r="M159" s="20" t="n">
        <v>4.51</v>
      </c>
      <c r="N159" s="18">
        <f>ROUND(L159/M159, 0)</f>
        <v/>
      </c>
      <c r="O159" s="18">
        <f>ROUND(N159*'Methodology &amp; Assumptions'!$B$8, 0)</f>
        <v/>
      </c>
      <c r="P159" s="8" t="inlineStr">
        <is>
          <t>Band n50 (1.5 GHz, 60 MHz)</t>
        </is>
      </c>
      <c r="Q159" s="38">
        <f>ROUNDUP(O159/'Methodology &amp; Assumptions'!$B$9, 0)</f>
        <v/>
      </c>
      <c r="R159" s="39" t="n">
        <v>1</v>
      </c>
      <c r="S159" s="21" t="n">
        <v>0.23</v>
      </c>
      <c r="T159" s="21" t="n">
        <v>0.35</v>
      </c>
      <c r="U159" s="36" t="inlineStr">
        <is>
          <t>Tier 1A (Direct Coloc, &lt;1 km)</t>
        </is>
      </c>
      <c r="V159" s="20" t="n">
        <v>100</v>
      </c>
      <c r="W159" s="20" t="n">
        <v>83.7</v>
      </c>
      <c r="X159" s="20" t="n">
        <v>58</v>
      </c>
      <c r="Y159" s="40">
        <f>ROUND((V159*'Methodology &amp; Assumptions'!$B$6)+(W159*'Methodology &amp; Assumptions'!$B$5)+(X159*'Methodology &amp; Assumptions'!$B$7), 2)</f>
        <v/>
      </c>
    </row>
    <row r="160" ht="19" customHeight="1">
      <c r="A160" s="41" t="n">
        <v>156</v>
      </c>
      <c r="B160" s="41" t="n">
        <v>156</v>
      </c>
      <c r="C160" s="42" t="inlineStr">
        <is>
          <t>0304923029</t>
        </is>
      </c>
      <c r="D160" s="42" t="inlineStr">
        <is>
          <t>Region III (Central Luzon)</t>
        </is>
      </c>
      <c r="E160" s="42" t="inlineStr">
        <is>
          <t>Nueva Ecija</t>
        </is>
      </c>
      <c r="F160" s="42" t="inlineStr">
        <is>
          <t>Rizal</t>
        </is>
      </c>
      <c r="G160" s="42" t="inlineStr">
        <is>
          <t>Poblacion West</t>
        </is>
      </c>
      <c r="H160" s="43" t="n">
        <v>15.585783</v>
      </c>
      <c r="I160" s="43" t="n">
        <v>120.924577</v>
      </c>
      <c r="J160" s="44" t="inlineStr">
        <is>
          <t>R</t>
        </is>
      </c>
      <c r="K160" s="42" t="inlineStr">
        <is>
          <t>Class 1-3 / Urban</t>
        </is>
      </c>
      <c r="L160" s="23" t="n">
        <v>3814</v>
      </c>
      <c r="M160" s="24" t="n">
        <v>4.32</v>
      </c>
      <c r="N160" s="23">
        <f>ROUND(L160/M160, 0)</f>
        <v/>
      </c>
      <c r="O160" s="23">
        <f>ROUND(N160*'Methodology &amp; Assumptions'!$B$8, 0)</f>
        <v/>
      </c>
      <c r="P160" s="44" t="inlineStr">
        <is>
          <t>Band n50 (1.5 GHz, 60 MHz)</t>
        </is>
      </c>
      <c r="Q160" s="38">
        <f>ROUNDUP(O160/'Methodology &amp; Assumptions'!$B$9, 0)</f>
        <v/>
      </c>
      <c r="R160" s="39" t="n">
        <v>1</v>
      </c>
      <c r="S160" s="25" t="n">
        <v>0.71</v>
      </c>
      <c r="T160" s="25" t="n">
        <v>0.52</v>
      </c>
      <c r="U160" s="42" t="inlineStr">
        <is>
          <t>Tier 1A (Direct Coloc, &lt;1 km)</t>
        </is>
      </c>
      <c r="V160" s="24" t="n">
        <v>89</v>
      </c>
      <c r="W160" s="24" t="n">
        <v>94.7</v>
      </c>
      <c r="X160" s="24" t="n">
        <v>58</v>
      </c>
      <c r="Y160" s="45">
        <f>ROUND((V160*'Methodology &amp; Assumptions'!$B$6)+(W160*'Methodology &amp; Assumptions'!$B$5)+(X160*'Methodology &amp; Assumptions'!$B$7), 2)</f>
        <v/>
      </c>
    </row>
    <row r="161" ht="19" customHeight="1">
      <c r="A161" s="35" t="n">
        <v>157</v>
      </c>
      <c r="B161" s="35" t="n">
        <v>157</v>
      </c>
      <c r="C161" s="36" t="inlineStr">
        <is>
          <t>0402106071</t>
        </is>
      </c>
      <c r="D161" s="36" t="inlineStr">
        <is>
          <t>Region IV-A (CALABARZON)</t>
        </is>
      </c>
      <c r="E161" s="36" t="inlineStr">
        <is>
          <t>Cavite</t>
        </is>
      </c>
      <c r="F161" s="36" t="inlineStr">
        <is>
          <t>City of Dasmariñas</t>
        </is>
      </c>
      <c r="G161" s="36" t="inlineStr">
        <is>
          <t>San Lorenzo Ruiz II</t>
        </is>
      </c>
      <c r="H161" s="37" t="n">
        <v>14.312637</v>
      </c>
      <c r="I161" s="37" t="n">
        <v>120.957157</v>
      </c>
      <c r="J161" s="8" t="inlineStr">
        <is>
          <t>R</t>
        </is>
      </c>
      <c r="K161" s="36" t="inlineStr">
        <is>
          <t>Class 1-3 / Urban</t>
        </is>
      </c>
      <c r="L161" s="18" t="n">
        <v>4275</v>
      </c>
      <c r="M161" s="20" t="n">
        <v>4.49</v>
      </c>
      <c r="N161" s="18">
        <f>ROUND(L161/M161, 0)</f>
        <v/>
      </c>
      <c r="O161" s="18">
        <f>ROUND(N161*'Methodology &amp; Assumptions'!$B$8, 0)</f>
        <v/>
      </c>
      <c r="P161" s="8" t="inlineStr">
        <is>
          <t>Band n50 (1.5 GHz, 60 MHz)</t>
        </is>
      </c>
      <c r="Q161" s="38">
        <f>ROUNDUP(O161/'Methodology &amp; Assumptions'!$B$9, 0)</f>
        <v/>
      </c>
      <c r="R161" s="39" t="n">
        <v>1</v>
      </c>
      <c r="S161" s="21" t="n">
        <v>0.92</v>
      </c>
      <c r="T161" s="21" t="n">
        <v>1.28</v>
      </c>
      <c r="U161" s="36" t="inlineStr">
        <is>
          <t>Tier 1A (Direct Coloc, &lt;1 km)</t>
        </is>
      </c>
      <c r="V161" s="20" t="n">
        <v>83.59999999999999</v>
      </c>
      <c r="W161" s="20" t="n">
        <v>100</v>
      </c>
      <c r="X161" s="20" t="n">
        <v>58</v>
      </c>
      <c r="Y161" s="40">
        <f>ROUND((V161*'Methodology &amp; Assumptions'!$B$6)+(W161*'Methodology &amp; Assumptions'!$B$5)+(X161*'Methodology &amp; Assumptions'!$B$7), 2)</f>
        <v/>
      </c>
    </row>
    <row r="162" ht="19" customHeight="1">
      <c r="A162" s="41" t="n">
        <v>158</v>
      </c>
      <c r="B162" s="41" t="n">
        <v>158</v>
      </c>
      <c r="C162" s="42" t="inlineStr">
        <is>
          <t>0403405005</t>
        </is>
      </c>
      <c r="D162" s="42" t="inlineStr">
        <is>
          <t>Region IV-A (CALABARZON)</t>
        </is>
      </c>
      <c r="E162" s="42" t="inlineStr">
        <is>
          <t>Laguna</t>
        </is>
      </c>
      <c r="F162" s="42" t="inlineStr">
        <is>
          <t>City of Calamba</t>
        </is>
      </c>
      <c r="G162" s="42" t="inlineStr">
        <is>
          <t>Bubuyan</t>
        </is>
      </c>
      <c r="H162" s="43" t="n">
        <v>14.173106</v>
      </c>
      <c r="I162" s="43" t="n">
        <v>121.106054</v>
      </c>
      <c r="J162" s="44" t="inlineStr">
        <is>
          <t>R</t>
        </is>
      </c>
      <c r="K162" s="42" t="inlineStr">
        <is>
          <t>Class 1-3 / Urban</t>
        </is>
      </c>
      <c r="L162" s="23" t="n">
        <v>3193</v>
      </c>
      <c r="M162" s="24" t="n">
        <v>4.2</v>
      </c>
      <c r="N162" s="23">
        <f>ROUND(L162/M162, 0)</f>
        <v/>
      </c>
      <c r="O162" s="23">
        <f>ROUND(N162*'Methodology &amp; Assumptions'!$B$8, 0)</f>
        <v/>
      </c>
      <c r="P162" s="44" t="inlineStr">
        <is>
          <t>Band n50 (1.5 GHz, 60 MHz)</t>
        </is>
      </c>
      <c r="Q162" s="38">
        <f>ROUNDUP(O162/'Methodology &amp; Assumptions'!$B$9, 0)</f>
        <v/>
      </c>
      <c r="R162" s="39" t="n">
        <v>1</v>
      </c>
      <c r="S162" s="25" t="n">
        <v>0.36</v>
      </c>
      <c r="T162" s="25" t="n">
        <v>0.25</v>
      </c>
      <c r="U162" s="42" t="inlineStr">
        <is>
          <t>Tier 1A (Direct Coloc, &lt;1 km)</t>
        </is>
      </c>
      <c r="V162" s="24" t="n">
        <v>98.8</v>
      </c>
      <c r="W162" s="24" t="n">
        <v>84.8</v>
      </c>
      <c r="X162" s="24" t="n">
        <v>58</v>
      </c>
      <c r="Y162" s="45">
        <f>ROUND((V162*'Methodology &amp; Assumptions'!$B$6)+(W162*'Methodology &amp; Assumptions'!$B$5)+(X162*'Methodology &amp; Assumptions'!$B$7), 2)</f>
        <v/>
      </c>
    </row>
    <row r="163" ht="19" customHeight="1">
      <c r="A163" s="35" t="n">
        <v>159</v>
      </c>
      <c r="B163" s="35" t="n">
        <v>159</v>
      </c>
      <c r="C163" s="36" t="inlineStr">
        <is>
          <t>0307110011</t>
        </is>
      </c>
      <c r="D163" s="36" t="inlineStr">
        <is>
          <t>Region III (Central Luzon)</t>
        </is>
      </c>
      <c r="E163" s="36" t="inlineStr">
        <is>
          <t>Zambales</t>
        </is>
      </c>
      <c r="F163" s="36" t="inlineStr">
        <is>
          <t>San Felipe</t>
        </is>
      </c>
      <c r="G163" s="36" t="inlineStr">
        <is>
          <t>Sto. Niño</t>
        </is>
      </c>
      <c r="H163" s="37" t="n">
        <v>15.060281</v>
      </c>
      <c r="I163" s="37" t="n">
        <v>120.061715</v>
      </c>
      <c r="J163" s="8" t="inlineStr">
        <is>
          <t>R</t>
        </is>
      </c>
      <c r="K163" s="36" t="inlineStr">
        <is>
          <t>3rd</t>
        </is>
      </c>
      <c r="L163" s="18" t="n">
        <v>4896</v>
      </c>
      <c r="M163" s="20" t="n">
        <v>4.04</v>
      </c>
      <c r="N163" s="18">
        <f>ROUND(L163/M163, 0)</f>
        <v/>
      </c>
      <c r="O163" s="18">
        <f>ROUND(N163*'Methodology &amp; Assumptions'!$B$8, 0)</f>
        <v/>
      </c>
      <c r="P163" s="8" t="inlineStr">
        <is>
          <t>Band n50 (1.5 GHz, 60 MHz)</t>
        </is>
      </c>
      <c r="Q163" s="38">
        <f>ROUNDUP(O163/'Methodology &amp; Assumptions'!$B$9, 0)</f>
        <v/>
      </c>
      <c r="R163" s="39" t="n">
        <v>1</v>
      </c>
      <c r="S163" s="21" t="n">
        <v>0.93</v>
      </c>
      <c r="T163" s="21" t="n">
        <v>0.9</v>
      </c>
      <c r="U163" s="36" t="inlineStr">
        <is>
          <t>Tier 1A (Direct Coloc, &lt;1 km)</t>
        </is>
      </c>
      <c r="V163" s="20" t="n">
        <v>83.40000000000001</v>
      </c>
      <c r="W163" s="20" t="n">
        <v>100</v>
      </c>
      <c r="X163" s="20" t="n">
        <v>58</v>
      </c>
      <c r="Y163" s="40">
        <f>ROUND((V163*'Methodology &amp; Assumptions'!$B$6)+(W163*'Methodology &amp; Assumptions'!$B$5)+(X163*'Methodology &amp; Assumptions'!$B$7), 2)</f>
        <v/>
      </c>
    </row>
    <row r="164" ht="19" customHeight="1">
      <c r="A164" s="41" t="n">
        <v>160</v>
      </c>
      <c r="B164" s="41" t="n">
        <v>160</v>
      </c>
      <c r="C164" s="42" t="inlineStr">
        <is>
          <t>0403418009</t>
        </is>
      </c>
      <c r="D164" s="42" t="inlineStr">
        <is>
          <t>Region IV-A (CALABARZON)</t>
        </is>
      </c>
      <c r="E164" s="42" t="inlineStr">
        <is>
          <t>Laguna</t>
        </is>
      </c>
      <c r="F164" s="42" t="inlineStr">
        <is>
          <t>Paete</t>
        </is>
      </c>
      <c r="G164" s="42" t="inlineStr">
        <is>
          <t>Quinale</t>
        </is>
      </c>
      <c r="H164" s="43" t="n">
        <v>14.358598</v>
      </c>
      <c r="I164" s="43" t="n">
        <v>121.484276</v>
      </c>
      <c r="J164" s="44" t="inlineStr">
        <is>
          <t>U</t>
        </is>
      </c>
      <c r="K164" s="42" t="inlineStr">
        <is>
          <t>4th</t>
        </is>
      </c>
      <c r="L164" s="23" t="n">
        <v>7255</v>
      </c>
      <c r="M164" s="24" t="n">
        <v>4.48</v>
      </c>
      <c r="N164" s="23">
        <f>ROUND(L164/M164, 0)</f>
        <v/>
      </c>
      <c r="O164" s="23">
        <f>ROUND(N164*'Methodology &amp; Assumptions'!$B$8, 0)</f>
        <v/>
      </c>
      <c r="P164" s="44" t="inlineStr">
        <is>
          <t>Band n50 (1.5 GHz, 60 MHz)</t>
        </is>
      </c>
      <c r="Q164" s="38">
        <f>ROUNDUP(O164/'Methodology &amp; Assumptions'!$B$9, 0)</f>
        <v/>
      </c>
      <c r="R164" s="39" t="n">
        <v>1</v>
      </c>
      <c r="S164" s="25" t="n">
        <v>0.31</v>
      </c>
      <c r="T164" s="25" t="n">
        <v>0.29</v>
      </c>
      <c r="U164" s="42" t="inlineStr">
        <is>
          <t>Tier 1A (Direct Coloc, &lt;1 km)</t>
        </is>
      </c>
      <c r="V164" s="24" t="n">
        <v>100</v>
      </c>
      <c r="W164" s="24" t="n">
        <v>100</v>
      </c>
      <c r="X164" s="24" t="n">
        <v>38.5</v>
      </c>
      <c r="Y164" s="45">
        <f>ROUND((V164*'Methodology &amp; Assumptions'!$B$6)+(W164*'Methodology &amp; Assumptions'!$B$5)+(X164*'Methodology &amp; Assumptions'!$B$7), 2)</f>
        <v/>
      </c>
    </row>
    <row r="165" ht="19" customHeight="1">
      <c r="A165" s="35" t="n">
        <v>161</v>
      </c>
      <c r="B165" s="35" t="n">
        <v>161</v>
      </c>
      <c r="C165" s="36" t="inlineStr">
        <is>
          <t>1401114006</t>
        </is>
      </c>
      <c r="D165" s="36" t="inlineStr">
        <is>
          <t>Cordillera Administrative Region (CAR)</t>
        </is>
      </c>
      <c r="E165" s="36" t="inlineStr">
        <is>
          <t>Benguet</t>
        </is>
      </c>
      <c r="F165" s="36" t="inlineStr">
        <is>
          <t>Tublay</t>
        </is>
      </c>
      <c r="G165" s="36" t="inlineStr">
        <is>
          <t>Caponga</t>
        </is>
      </c>
      <c r="H165" s="37" t="n">
        <v>16.47495</v>
      </c>
      <c r="I165" s="37" t="n">
        <v>120.63449</v>
      </c>
      <c r="J165" s="8" t="inlineStr">
        <is>
          <t>U</t>
        </is>
      </c>
      <c r="K165" s="36" t="inlineStr">
        <is>
          <t>4th</t>
        </is>
      </c>
      <c r="L165" s="18" t="n">
        <v>5220</v>
      </c>
      <c r="M165" s="20" t="n">
        <v>4.64</v>
      </c>
      <c r="N165" s="18">
        <f>ROUND(L165/M165, 0)</f>
        <v/>
      </c>
      <c r="O165" s="18">
        <f>ROUND(N165*'Methodology &amp; Assumptions'!$B$8, 0)</f>
        <v/>
      </c>
      <c r="P165" s="8" t="inlineStr">
        <is>
          <t>Band n50 (1.5 GHz, 60 MHz)</t>
        </is>
      </c>
      <c r="Q165" s="38">
        <f>ROUNDUP(O165/'Methodology &amp; Assumptions'!$B$9, 0)</f>
        <v/>
      </c>
      <c r="R165" s="39" t="n">
        <v>1</v>
      </c>
      <c r="S165" s="21" t="n">
        <v>0.3</v>
      </c>
      <c r="T165" s="21" t="n">
        <v>0.19</v>
      </c>
      <c r="U165" s="36" t="inlineStr">
        <is>
          <t>Tier 1A (Direct Coloc, &lt;1 km)</t>
        </is>
      </c>
      <c r="V165" s="20" t="n">
        <v>100</v>
      </c>
      <c r="W165" s="20" t="n">
        <v>100</v>
      </c>
      <c r="X165" s="20" t="n">
        <v>38.5</v>
      </c>
      <c r="Y165" s="40">
        <f>ROUND((V165*'Methodology &amp; Assumptions'!$B$6)+(W165*'Methodology &amp; Assumptions'!$B$5)+(X165*'Methodology &amp; Assumptions'!$B$7), 2)</f>
        <v/>
      </c>
    </row>
    <row r="166" ht="19" customHeight="1">
      <c r="A166" s="41" t="n">
        <v>162</v>
      </c>
      <c r="B166" s="41" t="n">
        <v>162</v>
      </c>
      <c r="C166" s="42" t="inlineStr">
        <is>
          <t>0306906036</t>
        </is>
      </c>
      <c r="D166" s="42" t="inlineStr">
        <is>
          <t>Region III (Central Luzon)</t>
        </is>
      </c>
      <c r="E166" s="42" t="inlineStr">
        <is>
          <t>Tarlac</t>
        </is>
      </c>
      <c r="F166" s="42" t="inlineStr">
        <is>
          <t>Gerona</t>
        </is>
      </c>
      <c r="G166" s="42" t="inlineStr">
        <is>
          <t>San Antonio</t>
        </is>
      </c>
      <c r="H166" s="43" t="n">
        <v>15.598056</v>
      </c>
      <c r="I166" s="43" t="n">
        <v>120.604722</v>
      </c>
      <c r="J166" s="44" t="inlineStr">
        <is>
          <t>R</t>
        </is>
      </c>
      <c r="K166" s="42" t="inlineStr">
        <is>
          <t>Class 1-3 / Urban</t>
        </is>
      </c>
      <c r="L166" s="23" t="n">
        <v>3186</v>
      </c>
      <c r="M166" s="24" t="n">
        <v>4.3</v>
      </c>
      <c r="N166" s="23">
        <f>ROUND(L166/M166, 0)</f>
        <v/>
      </c>
      <c r="O166" s="23">
        <f>ROUND(N166*'Methodology &amp; Assumptions'!$B$8, 0)</f>
        <v/>
      </c>
      <c r="P166" s="44" t="inlineStr">
        <is>
          <t>Band n50 (1.5 GHz, 60 MHz)</t>
        </is>
      </c>
      <c r="Q166" s="38">
        <f>ROUNDUP(O166/'Methodology &amp; Assumptions'!$B$9, 0)</f>
        <v/>
      </c>
      <c r="R166" s="39" t="n">
        <v>1</v>
      </c>
      <c r="S166" s="25" t="n">
        <v>0.16</v>
      </c>
      <c r="T166" s="25" t="n">
        <v>0.17</v>
      </c>
      <c r="U166" s="42" t="inlineStr">
        <is>
          <t>Tier 1A (Direct Coloc, &lt;1 km)</t>
        </is>
      </c>
      <c r="V166" s="24" t="n">
        <v>100</v>
      </c>
      <c r="W166" s="24" t="n">
        <v>83.2</v>
      </c>
      <c r="X166" s="24" t="n">
        <v>58</v>
      </c>
      <c r="Y166" s="45">
        <f>ROUND((V166*'Methodology &amp; Assumptions'!$B$6)+(W166*'Methodology &amp; Assumptions'!$B$5)+(X166*'Methodology &amp; Assumptions'!$B$7), 2)</f>
        <v/>
      </c>
    </row>
    <row r="167" ht="19" customHeight="1">
      <c r="A167" s="35" t="n">
        <v>163</v>
      </c>
      <c r="B167" s="35" t="n">
        <v>163</v>
      </c>
      <c r="C167" s="36" t="inlineStr">
        <is>
          <t>1401106006</t>
        </is>
      </c>
      <c r="D167" s="36" t="inlineStr">
        <is>
          <t>Cordillera Administrative Region (CAR)</t>
        </is>
      </c>
      <c r="E167" s="36" t="inlineStr">
        <is>
          <t>Benguet</t>
        </is>
      </c>
      <c r="F167" s="36" t="inlineStr">
        <is>
          <t>Itogon</t>
        </is>
      </c>
      <c r="G167" s="36" t="inlineStr">
        <is>
          <t>Tinongdan</t>
        </is>
      </c>
      <c r="H167" s="37" t="n">
        <v>16.37584</v>
      </c>
      <c r="I167" s="37" t="n">
        <v>120.71915</v>
      </c>
      <c r="J167" s="8" t="inlineStr">
        <is>
          <t>R</t>
        </is>
      </c>
      <c r="K167" s="36" t="inlineStr">
        <is>
          <t>Class 1-3 / Urban</t>
        </is>
      </c>
      <c r="L167" s="18" t="n">
        <v>3646</v>
      </c>
      <c r="M167" s="20" t="n">
        <v>4.58</v>
      </c>
      <c r="N167" s="18">
        <f>ROUND(L167/M167, 0)</f>
        <v/>
      </c>
      <c r="O167" s="18">
        <f>ROUND(N167*'Methodology &amp; Assumptions'!$B$8, 0)</f>
        <v/>
      </c>
      <c r="P167" s="8" t="inlineStr">
        <is>
          <t>Band n50 (1.5 GHz, 60 MHz)</t>
        </is>
      </c>
      <c r="Q167" s="38">
        <f>ROUNDUP(O167/'Methodology &amp; Assumptions'!$B$9, 0)</f>
        <v/>
      </c>
      <c r="R167" s="39" t="n">
        <v>1</v>
      </c>
      <c r="S167" s="21" t="n">
        <v>0.02</v>
      </c>
      <c r="T167" s="21" t="n">
        <v>4.4</v>
      </c>
      <c r="U167" s="36" t="inlineStr">
        <is>
          <t>Tier 1A (Direct Coloc, &lt;1 km)</t>
        </is>
      </c>
      <c r="V167" s="20" t="n">
        <v>99.40000000000001</v>
      </c>
      <c r="W167" s="20" t="n">
        <v>83.7</v>
      </c>
      <c r="X167" s="20" t="n">
        <v>58</v>
      </c>
      <c r="Y167" s="40">
        <f>ROUND((V167*'Methodology &amp; Assumptions'!$B$6)+(W167*'Methodology &amp; Assumptions'!$B$5)+(X167*'Methodology &amp; Assumptions'!$B$7), 2)</f>
        <v/>
      </c>
    </row>
    <row r="168" ht="19" customHeight="1">
      <c r="A168" s="41" t="n">
        <v>164</v>
      </c>
      <c r="B168" s="41" t="n">
        <v>164</v>
      </c>
      <c r="C168" s="42" t="inlineStr">
        <is>
          <t>0205014001</t>
        </is>
      </c>
      <c r="D168" s="42" t="inlineStr">
        <is>
          <t>Region II (Cagayan Valley)</t>
        </is>
      </c>
      <c r="E168" s="42" t="inlineStr">
        <is>
          <t>Nueva Vizcaya</t>
        </is>
      </c>
      <c r="F168" s="42" t="inlineStr">
        <is>
          <t>Villaverde</t>
        </is>
      </c>
      <c r="G168" s="42" t="inlineStr">
        <is>
          <t>Bintawan Sur</t>
        </is>
      </c>
      <c r="H168" s="43" t="n">
        <v>16.579338</v>
      </c>
      <c r="I168" s="43" t="n">
        <v>121.190141</v>
      </c>
      <c r="J168" s="44" t="inlineStr">
        <is>
          <t>R</t>
        </is>
      </c>
      <c r="K168" s="42" t="inlineStr">
        <is>
          <t>4th</t>
        </is>
      </c>
      <c r="L168" s="23" t="n">
        <v>2995</v>
      </c>
      <c r="M168" s="24" t="n">
        <v>4.16</v>
      </c>
      <c r="N168" s="23">
        <f>ROUND(L168/M168, 0)</f>
        <v/>
      </c>
      <c r="O168" s="23">
        <f>ROUND(N168*'Methodology &amp; Assumptions'!$B$8, 0)</f>
        <v/>
      </c>
      <c r="P168" s="44" t="inlineStr">
        <is>
          <t>Band n50 (1.5 GHz, 60 MHz)</t>
        </is>
      </c>
      <c r="Q168" s="38">
        <f>ROUNDUP(O168/'Methodology &amp; Assumptions'!$B$9, 0)</f>
        <v/>
      </c>
      <c r="R168" s="39" t="n">
        <v>1</v>
      </c>
      <c r="S168" s="25" t="n">
        <v>0.24</v>
      </c>
      <c r="T168" s="25" t="n">
        <v>5.87</v>
      </c>
      <c r="U168" s="42" t="inlineStr">
        <is>
          <t>Tier 1A (Direct Coloc, &lt;1 km)</t>
        </is>
      </c>
      <c r="V168" s="24" t="n">
        <v>92.40000000000001</v>
      </c>
      <c r="W168" s="24" t="n">
        <v>81.59999999999999</v>
      </c>
      <c r="X168" s="24" t="n">
        <v>68.5</v>
      </c>
      <c r="Y168" s="45">
        <f>ROUND((V168*'Methodology &amp; Assumptions'!$B$6)+(W168*'Methodology &amp; Assumptions'!$B$5)+(X168*'Methodology &amp; Assumptions'!$B$7), 2)</f>
        <v/>
      </c>
    </row>
    <row r="169" ht="19" customHeight="1">
      <c r="A169" s="35" t="n">
        <v>165</v>
      </c>
      <c r="B169" s="35" t="n">
        <v>165</v>
      </c>
      <c r="C169" s="36" t="inlineStr">
        <is>
          <t>1600205011</t>
        </is>
      </c>
      <c r="D169" s="36" t="inlineStr">
        <is>
          <t>Region XIII (Caraga)</t>
        </is>
      </c>
      <c r="E169" s="36" t="inlineStr">
        <is>
          <t>Agusan del Norte</t>
        </is>
      </c>
      <c r="F169" s="36" t="inlineStr">
        <is>
          <t>Jabonga</t>
        </is>
      </c>
      <c r="G169" s="36" t="inlineStr">
        <is>
          <t>Poblacion</t>
        </is>
      </c>
      <c r="H169" s="37" t="n">
        <v>9.340750999999999</v>
      </c>
      <c r="I169" s="37" t="n">
        <v>125.5166</v>
      </c>
      <c r="J169" s="8" t="inlineStr">
        <is>
          <t>R</t>
        </is>
      </c>
      <c r="K169" s="36" t="inlineStr">
        <is>
          <t>Class 1-3 / Urban</t>
        </is>
      </c>
      <c r="L169" s="18" t="n">
        <v>4004</v>
      </c>
      <c r="M169" s="20" t="n">
        <v>4.63</v>
      </c>
      <c r="N169" s="18">
        <f>ROUND(L169/M169, 0)</f>
        <v/>
      </c>
      <c r="O169" s="18">
        <f>ROUND(N169*'Methodology &amp; Assumptions'!$B$8, 0)</f>
        <v/>
      </c>
      <c r="P169" s="8" t="inlineStr">
        <is>
          <t>Band n50 (1.5 GHz, 60 MHz)</t>
        </is>
      </c>
      <c r="Q169" s="38">
        <f>ROUNDUP(O169/'Methodology &amp; Assumptions'!$B$9, 0)</f>
        <v/>
      </c>
      <c r="R169" s="39" t="n">
        <v>1</v>
      </c>
      <c r="S169" s="21" t="n">
        <v>0.33</v>
      </c>
      <c r="T169" s="21" t="n">
        <v>3.63</v>
      </c>
      <c r="U169" s="36" t="inlineStr">
        <is>
          <t>Tier 1A (Direct Coloc, &lt;1 km)</t>
        </is>
      </c>
      <c r="V169" s="20" t="n">
        <v>89.59999999999999</v>
      </c>
      <c r="W169" s="20" t="n">
        <v>93.3</v>
      </c>
      <c r="X169" s="20" t="n">
        <v>58</v>
      </c>
      <c r="Y169" s="40">
        <f>ROUND((V169*'Methodology &amp; Assumptions'!$B$6)+(W169*'Methodology &amp; Assumptions'!$B$5)+(X169*'Methodology &amp; Assumptions'!$B$7), 2)</f>
        <v/>
      </c>
    </row>
    <row r="170" ht="19" customHeight="1">
      <c r="A170" s="41" t="n">
        <v>166</v>
      </c>
      <c r="B170" s="41" t="n">
        <v>166</v>
      </c>
      <c r="C170" s="42" t="inlineStr">
        <is>
          <t>0301418011</t>
        </is>
      </c>
      <c r="D170" s="42" t="inlineStr">
        <is>
          <t>Region III (Central Luzon)</t>
        </is>
      </c>
      <c r="E170" s="42" t="inlineStr">
        <is>
          <t>Bulacan</t>
        </is>
      </c>
      <c r="F170" s="42" t="inlineStr">
        <is>
          <t>Pulilan</t>
        </is>
      </c>
      <c r="G170" s="42" t="inlineStr">
        <is>
          <t>Lumbac</t>
        </is>
      </c>
      <c r="H170" s="43" t="n">
        <v>14.901763</v>
      </c>
      <c r="I170" s="43" t="n">
        <v>120.841743</v>
      </c>
      <c r="J170" s="44" t="inlineStr">
        <is>
          <t>R</t>
        </is>
      </c>
      <c r="K170" s="42" t="inlineStr">
        <is>
          <t>Class 1-3 / Urban</t>
        </is>
      </c>
      <c r="L170" s="23" t="n">
        <v>4766</v>
      </c>
      <c r="M170" s="24" t="n">
        <v>4.1</v>
      </c>
      <c r="N170" s="23">
        <f>ROUND(L170/M170, 0)</f>
        <v/>
      </c>
      <c r="O170" s="23">
        <f>ROUND(N170*'Methodology &amp; Assumptions'!$B$8, 0)</f>
        <v/>
      </c>
      <c r="P170" s="44" t="inlineStr">
        <is>
          <t>Band n50 (1.5 GHz, 60 MHz)</t>
        </is>
      </c>
      <c r="Q170" s="38">
        <f>ROUNDUP(O170/'Methodology &amp; Assumptions'!$B$9, 0)</f>
        <v/>
      </c>
      <c r="R170" s="39" t="n">
        <v>1</v>
      </c>
      <c r="S170" s="25" t="n">
        <v>0.96</v>
      </c>
      <c r="T170" s="25" t="n">
        <v>0.07000000000000001</v>
      </c>
      <c r="U170" s="42" t="inlineStr">
        <is>
          <t>Tier 1A (Direct Coloc, &lt;1 km)</t>
        </is>
      </c>
      <c r="V170" s="24" t="n">
        <v>82.7</v>
      </c>
      <c r="W170" s="24" t="n">
        <v>100</v>
      </c>
      <c r="X170" s="24" t="n">
        <v>58</v>
      </c>
      <c r="Y170" s="45">
        <f>ROUND((V170*'Methodology &amp; Assumptions'!$B$6)+(W170*'Methodology &amp; Assumptions'!$B$5)+(X170*'Methodology &amp; Assumptions'!$B$7), 2)</f>
        <v/>
      </c>
    </row>
    <row r="171" ht="19" customHeight="1">
      <c r="A171" s="35" t="n">
        <v>167</v>
      </c>
      <c r="B171" s="35" t="n">
        <v>167</v>
      </c>
      <c r="C171" s="36" t="inlineStr">
        <is>
          <t>0604531013</t>
        </is>
      </c>
      <c r="D171" s="36" t="inlineStr">
        <is>
          <t>Region VI (Western Visayas)</t>
        </is>
      </c>
      <c r="E171" s="36" t="inlineStr">
        <is>
          <t>Negros Occidental</t>
        </is>
      </c>
      <c r="F171" s="36" t="inlineStr">
        <is>
          <t>City of Victorias</t>
        </is>
      </c>
      <c r="G171" s="36" t="inlineStr">
        <is>
          <t>Barangay X</t>
        </is>
      </c>
      <c r="H171" s="37" t="n">
        <v>10.904277</v>
      </c>
      <c r="I171" s="37" t="n">
        <v>123.07649</v>
      </c>
      <c r="J171" s="8" t="inlineStr">
        <is>
          <t>U</t>
        </is>
      </c>
      <c r="K171" s="36" t="inlineStr">
        <is>
          <t>Class 1-3 / Urban</t>
        </is>
      </c>
      <c r="L171" s="18" t="n">
        <v>5395</v>
      </c>
      <c r="M171" s="20" t="n">
        <v>4.33</v>
      </c>
      <c r="N171" s="18">
        <f>ROUND(L171/M171, 0)</f>
        <v/>
      </c>
      <c r="O171" s="18">
        <f>ROUND(N171*'Methodology &amp; Assumptions'!$B$8, 0)</f>
        <v/>
      </c>
      <c r="P171" s="8" t="inlineStr">
        <is>
          <t>Band n50 (1.5 GHz, 60 MHz)</t>
        </is>
      </c>
      <c r="Q171" s="38">
        <f>ROUNDUP(O171/'Methodology &amp; Assumptions'!$B$9, 0)</f>
        <v/>
      </c>
      <c r="R171" s="39" t="n">
        <v>1</v>
      </c>
      <c r="S171" s="21" t="n">
        <v>0.47</v>
      </c>
      <c r="T171" s="21" t="n">
        <v>0.17</v>
      </c>
      <c r="U171" s="36" t="inlineStr">
        <is>
          <t>Tier 1A (Direct Coloc, &lt;1 km)</t>
        </is>
      </c>
      <c r="V171" s="20" t="n">
        <v>95.40000000000001</v>
      </c>
      <c r="W171" s="20" t="n">
        <v>100</v>
      </c>
      <c r="X171" s="20" t="n">
        <v>43</v>
      </c>
      <c r="Y171" s="40">
        <f>ROUND((V171*'Methodology &amp; Assumptions'!$B$6)+(W171*'Methodology &amp; Assumptions'!$B$5)+(X171*'Methodology &amp; Assumptions'!$B$7), 2)</f>
        <v/>
      </c>
    </row>
    <row r="172" ht="19" customHeight="1">
      <c r="A172" s="41" t="n">
        <v>168</v>
      </c>
      <c r="B172" s="41" t="n">
        <v>168</v>
      </c>
      <c r="C172" s="42" t="inlineStr">
        <is>
          <t>0803708092</t>
        </is>
      </c>
      <c r="D172" s="42" t="inlineStr">
        <is>
          <t>Region VIII (Eastern Visayas)</t>
        </is>
      </c>
      <c r="E172" s="42" t="inlineStr">
        <is>
          <t>Leyte</t>
        </is>
      </c>
      <c r="F172" s="42" t="inlineStr">
        <is>
          <t>City of Baybay</t>
        </is>
      </c>
      <c r="G172" s="42" t="inlineStr">
        <is>
          <t>Poblacion Zone 1</t>
        </is>
      </c>
      <c r="H172" s="43" t="n">
        <v>10.680973</v>
      </c>
      <c r="I172" s="43" t="n">
        <v>124.804351</v>
      </c>
      <c r="J172" s="44" t="inlineStr">
        <is>
          <t>R</t>
        </is>
      </c>
      <c r="K172" s="42" t="inlineStr">
        <is>
          <t>Class 1-3 / Urban</t>
        </is>
      </c>
      <c r="L172" s="23" t="n">
        <v>3122</v>
      </c>
      <c r="M172" s="24" t="n">
        <v>4.24</v>
      </c>
      <c r="N172" s="23">
        <f>ROUND(L172/M172, 0)</f>
        <v/>
      </c>
      <c r="O172" s="23">
        <f>ROUND(N172*'Methodology &amp; Assumptions'!$B$8, 0)</f>
        <v/>
      </c>
      <c r="P172" s="44" t="inlineStr">
        <is>
          <t>Band n50 (1.5 GHz, 60 MHz)</t>
        </is>
      </c>
      <c r="Q172" s="38">
        <f>ROUNDUP(O172/'Methodology &amp; Assumptions'!$B$9, 0)</f>
        <v/>
      </c>
      <c r="R172" s="39" t="n">
        <v>1</v>
      </c>
      <c r="S172" s="25" t="n">
        <v>0.33</v>
      </c>
      <c r="T172" s="25" t="n">
        <v>0.03</v>
      </c>
      <c r="U172" s="42" t="inlineStr">
        <is>
          <t>Tier 1A (Direct Coloc, &lt;1 km)</t>
        </is>
      </c>
      <c r="V172" s="24" t="n">
        <v>99.5</v>
      </c>
      <c r="W172" s="24" t="n">
        <v>82.90000000000001</v>
      </c>
      <c r="X172" s="24" t="n">
        <v>58</v>
      </c>
      <c r="Y172" s="45">
        <f>ROUND((V172*'Methodology &amp; Assumptions'!$B$6)+(W172*'Methodology &amp; Assumptions'!$B$5)+(X172*'Methodology &amp; Assumptions'!$B$7), 2)</f>
        <v/>
      </c>
    </row>
    <row r="173" ht="19" customHeight="1">
      <c r="A173" s="35" t="n">
        <v>169</v>
      </c>
      <c r="B173" s="35" t="n">
        <v>169</v>
      </c>
      <c r="C173" s="36" t="inlineStr">
        <is>
          <t>0702221014</t>
        </is>
      </c>
      <c r="D173" s="36" t="inlineStr">
        <is>
          <t>Region VII (Central Visayas)</t>
        </is>
      </c>
      <c r="E173" s="36" t="inlineStr">
        <is>
          <t>Cebu</t>
        </is>
      </c>
      <c r="F173" s="36" t="inlineStr">
        <is>
          <t>Daanbantayan</t>
        </is>
      </c>
      <c r="G173" s="36" t="inlineStr">
        <is>
          <t>Pajo</t>
        </is>
      </c>
      <c r="H173" s="37" t="n">
        <v>11.240805</v>
      </c>
      <c r="I173" s="37" t="n">
        <v>124.010332</v>
      </c>
      <c r="J173" s="8" t="inlineStr">
        <is>
          <t>R</t>
        </is>
      </c>
      <c r="K173" s="36" t="inlineStr">
        <is>
          <t>Class 1-3 / Urban</t>
        </is>
      </c>
      <c r="L173" s="18" t="n">
        <v>4453</v>
      </c>
      <c r="M173" s="20" t="n">
        <v>4.42</v>
      </c>
      <c r="N173" s="18">
        <f>ROUND(L173/M173, 0)</f>
        <v/>
      </c>
      <c r="O173" s="18">
        <f>ROUND(N173*'Methodology &amp; Assumptions'!$B$8, 0)</f>
        <v/>
      </c>
      <c r="P173" s="8" t="inlineStr">
        <is>
          <t>Band n50 (1.5 GHz, 60 MHz)</t>
        </is>
      </c>
      <c r="Q173" s="38">
        <f>ROUNDUP(O173/'Methodology &amp; Assumptions'!$B$9, 0)</f>
        <v/>
      </c>
      <c r="R173" s="39" t="n">
        <v>1</v>
      </c>
      <c r="S173" s="21" t="n">
        <v>0.98</v>
      </c>
      <c r="T173" s="21" t="n">
        <v>0.24</v>
      </c>
      <c r="U173" s="36" t="inlineStr">
        <is>
          <t>Tier 1A (Direct Coloc, &lt;1 km)</t>
        </is>
      </c>
      <c r="V173" s="20" t="n">
        <v>82.09999999999999</v>
      </c>
      <c r="W173" s="20" t="n">
        <v>100</v>
      </c>
      <c r="X173" s="20" t="n">
        <v>58</v>
      </c>
      <c r="Y173" s="40">
        <f>ROUND((V173*'Methodology &amp; Assumptions'!$B$6)+(W173*'Methodology &amp; Assumptions'!$B$5)+(X173*'Methodology &amp; Assumptions'!$B$7), 2)</f>
        <v/>
      </c>
    </row>
    <row r="174" ht="19" customHeight="1">
      <c r="A174" s="41" t="n">
        <v>170</v>
      </c>
      <c r="B174" s="41" t="n">
        <v>170</v>
      </c>
      <c r="C174" s="42" t="inlineStr">
        <is>
          <t>0300802016</t>
        </is>
      </c>
      <c r="D174" s="42" t="inlineStr">
        <is>
          <t>Region III (Central Luzon)</t>
        </is>
      </c>
      <c r="E174" s="42" t="inlineStr">
        <is>
          <t>Bataan</t>
        </is>
      </c>
      <c r="F174" s="42" t="inlineStr">
        <is>
          <t>Bagac</t>
        </is>
      </c>
      <c r="G174" s="42" t="inlineStr">
        <is>
          <t>Atilano L. Ricardo</t>
        </is>
      </c>
      <c r="H174" s="43" t="n">
        <v>14.605826</v>
      </c>
      <c r="I174" s="43" t="n">
        <v>120.398836</v>
      </c>
      <c r="J174" s="44" t="inlineStr">
        <is>
          <t>R</t>
        </is>
      </c>
      <c r="K174" s="42" t="inlineStr">
        <is>
          <t>Class 1-3 / Urban</t>
        </is>
      </c>
      <c r="L174" s="23" t="n">
        <v>3319</v>
      </c>
      <c r="M174" s="24" t="n">
        <v>4.57</v>
      </c>
      <c r="N174" s="23">
        <f>ROUND(L174/M174, 0)</f>
        <v/>
      </c>
      <c r="O174" s="23">
        <f>ROUND(N174*'Methodology &amp; Assumptions'!$B$8, 0)</f>
        <v/>
      </c>
      <c r="P174" s="44" t="inlineStr">
        <is>
          <t>Band n50 (1.5 GHz, 60 MHz)</t>
        </is>
      </c>
      <c r="Q174" s="38">
        <f>ROUNDUP(O174/'Methodology &amp; Assumptions'!$B$9, 0)</f>
        <v/>
      </c>
      <c r="R174" s="39" t="n">
        <v>1</v>
      </c>
      <c r="S174" s="25" t="n">
        <v>0.09</v>
      </c>
      <c r="T174" s="25" t="n">
        <v>0.03</v>
      </c>
      <c r="U174" s="42" t="inlineStr">
        <is>
          <t>Tier 1A (Direct Coloc, &lt;1 km)</t>
        </is>
      </c>
      <c r="V174" s="24" t="n">
        <v>100</v>
      </c>
      <c r="W174" s="24" t="n">
        <v>82.09999999999999</v>
      </c>
      <c r="X174" s="24" t="n">
        <v>58</v>
      </c>
      <c r="Y174" s="45">
        <f>ROUND((V174*'Methodology &amp; Assumptions'!$B$6)+(W174*'Methodology &amp; Assumptions'!$B$5)+(X174*'Methodology &amp; Assumptions'!$B$7), 2)</f>
        <v/>
      </c>
    </row>
    <row r="175" ht="19" customHeight="1">
      <c r="A175" s="35" t="n">
        <v>171</v>
      </c>
      <c r="B175" s="35" t="n">
        <v>171</v>
      </c>
      <c r="C175" s="36" t="inlineStr">
        <is>
          <t>0304924001</t>
        </is>
      </c>
      <c r="D175" s="36" t="inlineStr">
        <is>
          <t>Region III (Central Luzon)</t>
        </is>
      </c>
      <c r="E175" s="36" t="inlineStr">
        <is>
          <t>Nueva Ecija</t>
        </is>
      </c>
      <c r="F175" s="36" t="inlineStr">
        <is>
          <t>San Antonio</t>
        </is>
      </c>
      <c r="G175" s="36" t="inlineStr">
        <is>
          <t>Buliran</t>
        </is>
      </c>
      <c r="H175" s="37" t="n">
        <v>15.270989</v>
      </c>
      <c r="I175" s="37" t="n">
        <v>120.86438</v>
      </c>
      <c r="J175" s="8" t="inlineStr">
        <is>
          <t>R</t>
        </is>
      </c>
      <c r="K175" s="36" t="inlineStr">
        <is>
          <t>Class 1-3 / Urban</t>
        </is>
      </c>
      <c r="L175" s="18" t="n">
        <v>4631</v>
      </c>
      <c r="M175" s="20" t="n">
        <v>4.32</v>
      </c>
      <c r="N175" s="18">
        <f>ROUND(L175/M175, 0)</f>
        <v/>
      </c>
      <c r="O175" s="18">
        <f>ROUND(N175*'Methodology &amp; Assumptions'!$B$8, 0)</f>
        <v/>
      </c>
      <c r="P175" s="8" t="inlineStr">
        <is>
          <t>Band n50 (1.5 GHz, 60 MHz)</t>
        </is>
      </c>
      <c r="Q175" s="38">
        <f>ROUNDUP(O175/'Methodology &amp; Assumptions'!$B$9, 0)</f>
        <v/>
      </c>
      <c r="R175" s="39" t="n">
        <v>1</v>
      </c>
      <c r="S175" s="21" t="n">
        <v>0.98</v>
      </c>
      <c r="T175" s="21" t="n">
        <v>0.92</v>
      </c>
      <c r="U175" s="36" t="inlineStr">
        <is>
          <t>Tier 1A (Direct Coloc, &lt;1 km)</t>
        </is>
      </c>
      <c r="V175" s="20" t="n">
        <v>82.09999999999999</v>
      </c>
      <c r="W175" s="20" t="n">
        <v>100</v>
      </c>
      <c r="X175" s="20" t="n">
        <v>58</v>
      </c>
      <c r="Y175" s="40">
        <f>ROUND((V175*'Methodology &amp; Assumptions'!$B$6)+(W175*'Methodology &amp; Assumptions'!$B$5)+(X175*'Methodology &amp; Assumptions'!$B$7), 2)</f>
        <v/>
      </c>
    </row>
    <row r="176" ht="19" customHeight="1">
      <c r="A176" s="41" t="n">
        <v>172</v>
      </c>
      <c r="B176" s="41" t="n">
        <v>172</v>
      </c>
      <c r="C176" s="42" t="inlineStr">
        <is>
          <t>0405814009</t>
        </is>
      </c>
      <c r="D176" s="42" t="inlineStr">
        <is>
          <t>Region IV-A (CALABARZON)</t>
        </is>
      </c>
      <c r="E176" s="42" t="inlineStr">
        <is>
          <t>Rizal</t>
        </is>
      </c>
      <c r="F176" s="42" t="inlineStr">
        <is>
          <t>Teresa</t>
        </is>
      </c>
      <c r="G176" s="42" t="inlineStr">
        <is>
          <t>San Roque</t>
        </is>
      </c>
      <c r="H176" s="43" t="n">
        <v>14.582976</v>
      </c>
      <c r="I176" s="43" t="n">
        <v>121.171966</v>
      </c>
      <c r="J176" s="44" t="inlineStr">
        <is>
          <t>R</t>
        </is>
      </c>
      <c r="K176" s="42" t="inlineStr">
        <is>
          <t>Class 1-3 / Urban</t>
        </is>
      </c>
      <c r="L176" s="23" t="n">
        <v>3474</v>
      </c>
      <c r="M176" s="24" t="n">
        <v>4.39</v>
      </c>
      <c r="N176" s="23">
        <f>ROUND(L176/M176, 0)</f>
        <v/>
      </c>
      <c r="O176" s="23">
        <f>ROUND(N176*'Methodology &amp; Assumptions'!$B$8, 0)</f>
        <v/>
      </c>
      <c r="P176" s="44" t="inlineStr">
        <is>
          <t>Band n50 (1.5 GHz, 60 MHz)</t>
        </is>
      </c>
      <c r="Q176" s="38">
        <f>ROUNDUP(O176/'Methodology &amp; Assumptions'!$B$9, 0)</f>
        <v/>
      </c>
      <c r="R176" s="39" t="n">
        <v>1</v>
      </c>
      <c r="S176" s="25" t="n">
        <v>0.49</v>
      </c>
      <c r="T176" s="25" t="n">
        <v>0.33</v>
      </c>
      <c r="U176" s="42" t="inlineStr">
        <is>
          <t>Tier 1A (Direct Coloc, &lt;1 km)</t>
        </is>
      </c>
      <c r="V176" s="24" t="n">
        <v>94.90000000000001</v>
      </c>
      <c r="W176" s="24" t="n">
        <v>87.2</v>
      </c>
      <c r="X176" s="24" t="n">
        <v>58</v>
      </c>
      <c r="Y176" s="45">
        <f>ROUND((V176*'Methodology &amp; Assumptions'!$B$6)+(W176*'Methodology &amp; Assumptions'!$B$5)+(X176*'Methodology &amp; Assumptions'!$B$7), 2)</f>
        <v/>
      </c>
    </row>
    <row r="177" ht="19" customHeight="1">
      <c r="A177" s="35" t="n">
        <v>173</v>
      </c>
      <c r="B177" s="35" t="n">
        <v>173</v>
      </c>
      <c r="C177" s="36" t="inlineStr">
        <is>
          <t>0604531015</t>
        </is>
      </c>
      <c r="D177" s="36" t="inlineStr">
        <is>
          <t>Region VI (Western Visayas)</t>
        </is>
      </c>
      <c r="E177" s="36" t="inlineStr">
        <is>
          <t>Negros Occidental</t>
        </is>
      </c>
      <c r="F177" s="36" t="inlineStr">
        <is>
          <t>City of Victorias</t>
        </is>
      </c>
      <c r="G177" s="36" t="inlineStr">
        <is>
          <t>Barangay XII</t>
        </is>
      </c>
      <c r="H177" s="37" t="n">
        <v>10.887748</v>
      </c>
      <c r="I177" s="37" t="n">
        <v>123.076226</v>
      </c>
      <c r="J177" s="8" t="inlineStr">
        <is>
          <t>R</t>
        </is>
      </c>
      <c r="K177" s="36" t="inlineStr">
        <is>
          <t>Class 1-3 / Urban</t>
        </is>
      </c>
      <c r="L177" s="18" t="n">
        <v>4124</v>
      </c>
      <c r="M177" s="20" t="n">
        <v>4.33</v>
      </c>
      <c r="N177" s="18">
        <f>ROUND(L177/M177, 0)</f>
        <v/>
      </c>
      <c r="O177" s="18">
        <f>ROUND(N177*'Methodology &amp; Assumptions'!$B$8, 0)</f>
        <v/>
      </c>
      <c r="P177" s="8" t="inlineStr">
        <is>
          <t>Band n50 (1.5 GHz, 60 MHz)</t>
        </is>
      </c>
      <c r="Q177" s="38">
        <f>ROUNDUP(O177/'Methodology &amp; Assumptions'!$B$9, 0)</f>
        <v/>
      </c>
      <c r="R177" s="39" t="n">
        <v>1</v>
      </c>
      <c r="S177" s="21" t="n">
        <v>1.58</v>
      </c>
      <c r="T177" s="21" t="n">
        <v>1.34</v>
      </c>
      <c r="U177" s="36" t="inlineStr">
        <is>
          <t>Tier 1B (Micro Drop, 1-3 km)</t>
        </is>
      </c>
      <c r="V177" s="20" t="n">
        <v>69.2</v>
      </c>
      <c r="W177" s="20" t="n">
        <v>100</v>
      </c>
      <c r="X177" s="20" t="n">
        <v>73</v>
      </c>
      <c r="Y177" s="40">
        <f>ROUND((V177*'Methodology &amp; Assumptions'!$B$6)+(W177*'Methodology &amp; Assumptions'!$B$5)+(X177*'Methodology &amp; Assumptions'!$B$7), 2)</f>
        <v/>
      </c>
    </row>
    <row r="178" ht="19" customHeight="1">
      <c r="A178" s="41" t="n">
        <v>174</v>
      </c>
      <c r="B178" s="41" t="n">
        <v>174</v>
      </c>
      <c r="C178" s="42" t="inlineStr">
        <is>
          <t>0203130002</t>
        </is>
      </c>
      <c r="D178" s="42" t="inlineStr">
        <is>
          <t>Region II (Cagayan Valley)</t>
        </is>
      </c>
      <c r="E178" s="42" t="inlineStr">
        <is>
          <t>Isabela</t>
        </is>
      </c>
      <c r="F178" s="42" t="inlineStr">
        <is>
          <t>San Manuel</t>
        </is>
      </c>
      <c r="G178" s="42" t="inlineStr">
        <is>
          <t>Babanuang</t>
        </is>
      </c>
      <c r="H178" s="43" t="n">
        <v>17.049224</v>
      </c>
      <c r="I178" s="43" t="n">
        <v>121.62781</v>
      </c>
      <c r="J178" s="44" t="inlineStr">
        <is>
          <t>R</t>
        </is>
      </c>
      <c r="K178" s="42" t="inlineStr">
        <is>
          <t>2nd</t>
        </is>
      </c>
      <c r="L178" s="23" t="n">
        <v>3027</v>
      </c>
      <c r="M178" s="24" t="n">
        <v>4.18</v>
      </c>
      <c r="N178" s="23">
        <f>ROUND(L178/M178, 0)</f>
        <v/>
      </c>
      <c r="O178" s="23">
        <f>ROUND(N178*'Methodology &amp; Assumptions'!$B$8, 0)</f>
        <v/>
      </c>
      <c r="P178" s="44" t="inlineStr">
        <is>
          <t>Band n50 (1.5 GHz, 60 MHz)</t>
        </is>
      </c>
      <c r="Q178" s="38">
        <f>ROUNDUP(O178/'Methodology &amp; Assumptions'!$B$9, 0)</f>
        <v/>
      </c>
      <c r="R178" s="39" t="n">
        <v>1</v>
      </c>
      <c r="S178" s="25" t="n">
        <v>0.07000000000000001</v>
      </c>
      <c r="T178" s="25" t="n">
        <v>0.19</v>
      </c>
      <c r="U178" s="42" t="inlineStr">
        <is>
          <t>Tier 1A (Direct Coloc, &lt;1 km)</t>
        </is>
      </c>
      <c r="V178" s="24" t="n">
        <v>100</v>
      </c>
      <c r="W178" s="24" t="n">
        <v>81.90000000000001</v>
      </c>
      <c r="X178" s="24" t="n">
        <v>58</v>
      </c>
      <c r="Y178" s="45">
        <f>ROUND((V178*'Methodology &amp; Assumptions'!$B$6)+(W178*'Methodology &amp; Assumptions'!$B$5)+(X178*'Methodology &amp; Assumptions'!$B$7), 2)</f>
        <v/>
      </c>
    </row>
    <row r="179" ht="19" customHeight="1">
      <c r="A179" s="35" t="n">
        <v>175</v>
      </c>
      <c r="B179" s="35" t="n">
        <v>175</v>
      </c>
      <c r="C179" s="36" t="inlineStr">
        <is>
          <t>0603043061</t>
        </is>
      </c>
      <c r="D179" s="36" t="inlineStr">
        <is>
          <t>Region VI (Western Visayas)</t>
        </is>
      </c>
      <c r="E179" s="36" t="inlineStr">
        <is>
          <t>Iloilo</t>
        </is>
      </c>
      <c r="F179" s="36" t="inlineStr">
        <is>
          <t>Santa Barbara</t>
        </is>
      </c>
      <c r="G179" s="36" t="inlineStr">
        <is>
          <t>Barangay Zone VI</t>
        </is>
      </c>
      <c r="H179" s="37" t="n">
        <v>10.823194</v>
      </c>
      <c r="I179" s="37" t="n">
        <v>122.537184</v>
      </c>
      <c r="J179" s="8" t="inlineStr">
        <is>
          <t>R</t>
        </is>
      </c>
      <c r="K179" s="36" t="inlineStr">
        <is>
          <t>Class 1-3 / Urban</t>
        </is>
      </c>
      <c r="L179" s="18" t="n">
        <v>3530</v>
      </c>
      <c r="M179" s="20" t="n">
        <v>4.39</v>
      </c>
      <c r="N179" s="18">
        <f>ROUND(L179/M179, 0)</f>
        <v/>
      </c>
      <c r="O179" s="18">
        <f>ROUND(N179*'Methodology &amp; Assumptions'!$B$8, 0)</f>
        <v/>
      </c>
      <c r="P179" s="8" t="inlineStr">
        <is>
          <t>Band n50 (1.5 GHz, 60 MHz)</t>
        </is>
      </c>
      <c r="Q179" s="38">
        <f>ROUNDUP(O179/'Methodology &amp; Assumptions'!$B$9, 0)</f>
        <v/>
      </c>
      <c r="R179" s="39" t="n">
        <v>1</v>
      </c>
      <c r="S179" s="21" t="n">
        <v>0.54</v>
      </c>
      <c r="T179" s="21" t="n">
        <v>0.55</v>
      </c>
      <c r="U179" s="36" t="inlineStr">
        <is>
          <t>Tier 1A (Direct Coloc, &lt;1 km)</t>
        </is>
      </c>
      <c r="V179" s="20" t="n">
        <v>93.5</v>
      </c>
      <c r="W179" s="20" t="n">
        <v>88.3</v>
      </c>
      <c r="X179" s="20" t="n">
        <v>58</v>
      </c>
      <c r="Y179" s="40">
        <f>ROUND((V179*'Methodology &amp; Assumptions'!$B$6)+(W179*'Methodology &amp; Assumptions'!$B$5)+(X179*'Methodology &amp; Assumptions'!$B$7), 2)</f>
        <v/>
      </c>
    </row>
    <row r="180" ht="19" customHeight="1">
      <c r="A180" s="41" t="n">
        <v>176</v>
      </c>
      <c r="B180" s="41" t="n">
        <v>176</v>
      </c>
      <c r="C180" s="42" t="inlineStr">
        <is>
          <t>0601905014</t>
        </is>
      </c>
      <c r="D180" s="42" t="inlineStr">
        <is>
          <t>Region VI (Western Visayas)</t>
        </is>
      </c>
      <c r="E180" s="42" t="inlineStr">
        <is>
          <t>Capiz</t>
        </is>
      </c>
      <c r="F180" s="42" t="inlineStr">
        <is>
          <t>Ivisan</t>
        </is>
      </c>
      <c r="G180" s="42" t="inlineStr">
        <is>
          <t>Poblacion Sur</t>
        </is>
      </c>
      <c r="H180" s="43" t="n">
        <v>11.520278</v>
      </c>
      <c r="I180" s="43" t="n">
        <v>122.692116</v>
      </c>
      <c r="J180" s="44" t="inlineStr">
        <is>
          <t>R</t>
        </is>
      </c>
      <c r="K180" s="42" t="inlineStr">
        <is>
          <t>3rd</t>
        </is>
      </c>
      <c r="L180" s="23" t="n">
        <v>2413</v>
      </c>
      <c r="M180" s="24" t="n">
        <v>4.31</v>
      </c>
      <c r="N180" s="23">
        <f>ROUND(L180/M180, 0)</f>
        <v/>
      </c>
      <c r="O180" s="23">
        <f>ROUND(N180*'Methodology &amp; Assumptions'!$B$8, 0)</f>
        <v/>
      </c>
      <c r="P180" s="44" t="inlineStr">
        <is>
          <t>Band n50 (1.5 GHz, 60 MHz)</t>
        </is>
      </c>
      <c r="Q180" s="38">
        <f>ROUNDUP(O180/'Methodology &amp; Assumptions'!$B$9, 0)</f>
        <v/>
      </c>
      <c r="R180" s="39" t="n">
        <v>1</v>
      </c>
      <c r="S180" s="25" t="n">
        <v>0.22</v>
      </c>
      <c r="T180" s="25" t="n">
        <v>0.02</v>
      </c>
      <c r="U180" s="42" t="inlineStr">
        <is>
          <t>Tier 1A (Direct Coloc, &lt;1 km)</t>
        </is>
      </c>
      <c r="V180" s="24" t="n">
        <v>100</v>
      </c>
      <c r="W180" s="24" t="n">
        <v>68.8</v>
      </c>
      <c r="X180" s="24" t="n">
        <v>73</v>
      </c>
      <c r="Y180" s="45">
        <f>ROUND((V180*'Methodology &amp; Assumptions'!$B$6)+(W180*'Methodology &amp; Assumptions'!$B$5)+(X180*'Methodology &amp; Assumptions'!$B$7), 2)</f>
        <v/>
      </c>
    </row>
    <row r="181" ht="19" customHeight="1">
      <c r="A181" s="35" t="n">
        <v>177</v>
      </c>
      <c r="B181" s="35" t="n">
        <v>177</v>
      </c>
      <c r="C181" s="36" t="inlineStr">
        <is>
          <t>0304928002</t>
        </is>
      </c>
      <c r="D181" s="36" t="inlineStr">
        <is>
          <t>Region III (Central Luzon)</t>
        </is>
      </c>
      <c r="E181" s="36" t="inlineStr">
        <is>
          <t>Nueva Ecija</t>
        </is>
      </c>
      <c r="F181" s="36" t="inlineStr">
        <is>
          <t>Santa Rosa</t>
        </is>
      </c>
      <c r="G181" s="36" t="inlineStr">
        <is>
          <t>La Fuente</t>
        </is>
      </c>
      <c r="H181" s="37" t="n">
        <v>15.425414</v>
      </c>
      <c r="I181" s="37" t="n">
        <v>120.932894</v>
      </c>
      <c r="J181" s="8" t="inlineStr">
        <is>
          <t>R</t>
        </is>
      </c>
      <c r="K181" s="36" t="inlineStr">
        <is>
          <t>Class 1-3 / Urban</t>
        </is>
      </c>
      <c r="L181" s="18" t="n">
        <v>3107</v>
      </c>
      <c r="M181" s="20" t="n">
        <v>4.32</v>
      </c>
      <c r="N181" s="18">
        <f>ROUND(L181/M181, 0)</f>
        <v/>
      </c>
      <c r="O181" s="18">
        <f>ROUND(N181*'Methodology &amp; Assumptions'!$B$8, 0)</f>
        <v/>
      </c>
      <c r="P181" s="8" t="inlineStr">
        <is>
          <t>Band n50 (1.5 GHz, 60 MHz)</t>
        </is>
      </c>
      <c r="Q181" s="38">
        <f>ROUNDUP(O181/'Methodology &amp; Assumptions'!$B$9, 0)</f>
        <v/>
      </c>
      <c r="R181" s="39" t="n">
        <v>1</v>
      </c>
      <c r="S181" s="21" t="n">
        <v>0.07000000000000001</v>
      </c>
      <c r="T181" s="21" t="n">
        <v>0.05</v>
      </c>
      <c r="U181" s="36" t="inlineStr">
        <is>
          <t>Tier 1A (Direct Coloc, &lt;1 km)</t>
        </is>
      </c>
      <c r="V181" s="20" t="n">
        <v>100</v>
      </c>
      <c r="W181" s="20" t="n">
        <v>81.59999999999999</v>
      </c>
      <c r="X181" s="20" t="n">
        <v>58</v>
      </c>
      <c r="Y181" s="40">
        <f>ROUND((V181*'Methodology &amp; Assumptions'!$B$6)+(W181*'Methodology &amp; Assumptions'!$B$5)+(X181*'Methodology &amp; Assumptions'!$B$7), 2)</f>
        <v/>
      </c>
    </row>
    <row r="182" ht="19" customHeight="1">
      <c r="A182" s="41" t="n">
        <v>178</v>
      </c>
      <c r="B182" s="41" t="n">
        <v>178</v>
      </c>
      <c r="C182" s="42" t="inlineStr">
        <is>
          <t>1630400071</t>
        </is>
      </c>
      <c r="D182" s="42" t="inlineStr">
        <is>
          <t>Region XIII (Caraga)</t>
        </is>
      </c>
      <c r="E182" s="42" t="inlineStr">
        <is>
          <t>Agusan del Norte</t>
        </is>
      </c>
      <c r="F182" s="42" t="inlineStr">
        <is>
          <t>City of Butuan</t>
        </is>
      </c>
      <c r="G182" s="42" t="inlineStr">
        <is>
          <t>Ong Yiu Pob.</t>
        </is>
      </c>
      <c r="H182" s="43" t="n">
        <v>8.95499</v>
      </c>
      <c r="I182" s="43" t="n">
        <v>125.54119</v>
      </c>
      <c r="J182" s="44" t="inlineStr">
        <is>
          <t>U</t>
        </is>
      </c>
      <c r="K182" s="42" t="inlineStr">
        <is>
          <t>Class 1-3 / Urban</t>
        </is>
      </c>
      <c r="L182" s="23" t="n">
        <v>5327</v>
      </c>
      <c r="M182" s="24" t="n">
        <v>4.63</v>
      </c>
      <c r="N182" s="23">
        <f>ROUND(L182/M182, 0)</f>
        <v/>
      </c>
      <c r="O182" s="23">
        <f>ROUND(N182*'Methodology &amp; Assumptions'!$B$8, 0)</f>
        <v/>
      </c>
      <c r="P182" s="44" t="inlineStr">
        <is>
          <t>Band n50 (1.5 GHz, 60 MHz)</t>
        </is>
      </c>
      <c r="Q182" s="38">
        <f>ROUNDUP(O182/'Methodology &amp; Assumptions'!$B$9, 0)</f>
        <v/>
      </c>
      <c r="R182" s="39" t="n">
        <v>1</v>
      </c>
      <c r="S182" s="25" t="n">
        <v>0.51</v>
      </c>
      <c r="T182" s="25" t="n">
        <v>0.51</v>
      </c>
      <c r="U182" s="42" t="inlineStr">
        <is>
          <t>Tier 1A (Direct Coloc, &lt;1 km)</t>
        </is>
      </c>
      <c r="V182" s="24" t="n">
        <v>94.2</v>
      </c>
      <c r="W182" s="24" t="n">
        <v>100</v>
      </c>
      <c r="X182" s="24" t="n">
        <v>43</v>
      </c>
      <c r="Y182" s="45">
        <f>ROUND((V182*'Methodology &amp; Assumptions'!$B$6)+(W182*'Methodology &amp; Assumptions'!$B$5)+(X182*'Methodology &amp; Assumptions'!$B$7), 2)</f>
        <v/>
      </c>
    </row>
    <row r="183" ht="19" customHeight="1">
      <c r="A183" s="35" t="n">
        <v>179</v>
      </c>
      <c r="B183" s="35" t="n">
        <v>179</v>
      </c>
      <c r="C183" s="36" t="inlineStr">
        <is>
          <t>0304919014</t>
        </is>
      </c>
      <c r="D183" s="36" t="inlineStr">
        <is>
          <t>Region III (Central Luzon)</t>
        </is>
      </c>
      <c r="E183" s="36" t="inlineStr">
        <is>
          <t>Nueva Ecija</t>
        </is>
      </c>
      <c r="F183" s="36" t="inlineStr">
        <is>
          <t>City of Palayan</t>
        </is>
      </c>
      <c r="G183" s="36" t="inlineStr">
        <is>
          <t>Caballero</t>
        </is>
      </c>
      <c r="H183" s="37" t="n">
        <v>15.542886</v>
      </c>
      <c r="I183" s="37" t="n">
        <v>121.092342</v>
      </c>
      <c r="J183" s="8" t="inlineStr">
        <is>
          <t>R</t>
        </is>
      </c>
      <c r="K183" s="36" t="inlineStr">
        <is>
          <t>Class 1-3 / Urban</t>
        </is>
      </c>
      <c r="L183" s="18" t="n">
        <v>3614</v>
      </c>
      <c r="M183" s="20" t="n">
        <v>4.32</v>
      </c>
      <c r="N183" s="18">
        <f>ROUND(L183/M183, 0)</f>
        <v/>
      </c>
      <c r="O183" s="18">
        <f>ROUND(N183*'Methodology &amp; Assumptions'!$B$8, 0)</f>
        <v/>
      </c>
      <c r="P183" s="8" t="inlineStr">
        <is>
          <t>Band n50 (1.5 GHz, 60 MHz)</t>
        </is>
      </c>
      <c r="Q183" s="38">
        <f>ROUNDUP(O183/'Methodology &amp; Assumptions'!$B$9, 0)</f>
        <v/>
      </c>
      <c r="R183" s="39" t="n">
        <v>1</v>
      </c>
      <c r="S183" s="21" t="n">
        <v>0.65</v>
      </c>
      <c r="T183" s="21" t="n">
        <v>0.68</v>
      </c>
      <c r="U183" s="36" t="inlineStr">
        <is>
          <t>Tier 1A (Direct Coloc, &lt;1 km)</t>
        </is>
      </c>
      <c r="V183" s="20" t="n">
        <v>90.40000000000001</v>
      </c>
      <c r="W183" s="20" t="n">
        <v>90.90000000000001</v>
      </c>
      <c r="X183" s="20" t="n">
        <v>58</v>
      </c>
      <c r="Y183" s="40">
        <f>ROUND((V183*'Methodology &amp; Assumptions'!$B$6)+(W183*'Methodology &amp; Assumptions'!$B$5)+(X183*'Methodology &amp; Assumptions'!$B$7), 2)</f>
        <v/>
      </c>
    </row>
    <row r="184" ht="19" customHeight="1">
      <c r="A184" s="41" t="n">
        <v>180</v>
      </c>
      <c r="B184" s="41" t="n">
        <v>180</v>
      </c>
      <c r="C184" s="42" t="inlineStr">
        <is>
          <t>0402106035</t>
        </is>
      </c>
      <c r="D184" s="42" t="inlineStr">
        <is>
          <t>Region IV-A (CALABARZON)</t>
        </is>
      </c>
      <c r="E184" s="42" t="inlineStr">
        <is>
          <t>Cavite</t>
        </is>
      </c>
      <c r="F184" s="42" t="inlineStr">
        <is>
          <t>City of Dasmariñas</t>
        </is>
      </c>
      <c r="G184" s="42" t="inlineStr">
        <is>
          <t>San Mateo</t>
        </is>
      </c>
      <c r="H184" s="43" t="n">
        <v>14.317065</v>
      </c>
      <c r="I184" s="43" t="n">
        <v>120.968965</v>
      </c>
      <c r="J184" s="44" t="inlineStr">
        <is>
          <t>R</t>
        </is>
      </c>
      <c r="K184" s="42" t="inlineStr">
        <is>
          <t>Class 1-3 / Urban</t>
        </is>
      </c>
      <c r="L184" s="23" t="n">
        <v>4950</v>
      </c>
      <c r="M184" s="24" t="n">
        <v>4.49</v>
      </c>
      <c r="N184" s="23">
        <f>ROUND(L184/M184, 0)</f>
        <v/>
      </c>
      <c r="O184" s="23">
        <f>ROUND(N184*'Methodology &amp; Assumptions'!$B$8, 0)</f>
        <v/>
      </c>
      <c r="P184" s="44" t="inlineStr">
        <is>
          <t>Band n50 (1.5 GHz, 60 MHz)</t>
        </is>
      </c>
      <c r="Q184" s="38">
        <f>ROUNDUP(O184/'Methodology &amp; Assumptions'!$B$9, 0)</f>
        <v/>
      </c>
      <c r="R184" s="39" t="n">
        <v>1</v>
      </c>
      <c r="S184" s="25" t="n">
        <v>0.62</v>
      </c>
      <c r="T184" s="25" t="n">
        <v>2.27</v>
      </c>
      <c r="U184" s="42" t="inlineStr">
        <is>
          <t>Tier 1A (Direct Coloc, &lt;1 km)</t>
        </is>
      </c>
      <c r="V184" s="24" t="n">
        <v>81.2</v>
      </c>
      <c r="W184" s="24" t="n">
        <v>100</v>
      </c>
      <c r="X184" s="24" t="n">
        <v>58</v>
      </c>
      <c r="Y184" s="45">
        <f>ROUND((V184*'Methodology &amp; Assumptions'!$B$6)+(W184*'Methodology &amp; Assumptions'!$B$5)+(X184*'Methodology &amp; Assumptions'!$B$7), 2)</f>
        <v/>
      </c>
    </row>
    <row r="185" ht="19" customHeight="1">
      <c r="A185" s="35" t="n">
        <v>181</v>
      </c>
      <c r="B185" s="35" t="n">
        <v>181</v>
      </c>
      <c r="C185" s="36" t="inlineStr">
        <is>
          <t>0603027021</t>
        </is>
      </c>
      <c r="D185" s="36" t="inlineStr">
        <is>
          <t>Region VI (Western Visayas)</t>
        </is>
      </c>
      <c r="E185" s="36" t="inlineStr">
        <is>
          <t>Iloilo</t>
        </is>
      </c>
      <c r="F185" s="36" t="inlineStr">
        <is>
          <t>Lemery</t>
        </is>
      </c>
      <c r="G185" s="36" t="inlineStr">
        <is>
          <t>Poblacion SE Zone</t>
        </is>
      </c>
      <c r="H185" s="37" t="n">
        <v>11.224881</v>
      </c>
      <c r="I185" s="37" t="n">
        <v>122.929917</v>
      </c>
      <c r="J185" s="8" t="inlineStr">
        <is>
          <t>R</t>
        </is>
      </c>
      <c r="K185" s="36" t="inlineStr">
        <is>
          <t>3rd</t>
        </is>
      </c>
      <c r="L185" s="18" t="n">
        <v>2811</v>
      </c>
      <c r="M185" s="20" t="n">
        <v>3.93</v>
      </c>
      <c r="N185" s="18">
        <f>ROUND(L185/M185, 0)</f>
        <v/>
      </c>
      <c r="O185" s="18">
        <f>ROUND(N185*'Methodology &amp; Assumptions'!$B$8, 0)</f>
        <v/>
      </c>
      <c r="P185" s="8" t="inlineStr">
        <is>
          <t>Band n50 (1.5 GHz, 60 MHz)</t>
        </is>
      </c>
      <c r="Q185" s="38">
        <f>ROUNDUP(O185/'Methodology &amp; Assumptions'!$B$9, 0)</f>
        <v/>
      </c>
      <c r="R185" s="39" t="n">
        <v>1</v>
      </c>
      <c r="S185" s="21" t="n">
        <v>0.18</v>
      </c>
      <c r="T185" s="21" t="n">
        <v>0.34</v>
      </c>
      <c r="U185" s="36" t="inlineStr">
        <is>
          <t>Tier 1A (Direct Coloc, &lt;1 km)</t>
        </is>
      </c>
      <c r="V185" s="20" t="n">
        <v>100</v>
      </c>
      <c r="W185" s="20" t="n">
        <v>81.09999999999999</v>
      </c>
      <c r="X185" s="20" t="n">
        <v>58</v>
      </c>
      <c r="Y185" s="40">
        <f>ROUND((V185*'Methodology &amp; Assumptions'!$B$6)+(W185*'Methodology &amp; Assumptions'!$B$5)+(X185*'Methodology &amp; Assumptions'!$B$7), 2)</f>
        <v/>
      </c>
    </row>
    <row r="186" ht="19" customHeight="1">
      <c r="A186" s="41" t="n">
        <v>182</v>
      </c>
      <c r="B186" s="41" t="n">
        <v>182</v>
      </c>
      <c r="C186" s="42" t="inlineStr">
        <is>
          <t>0401025013</t>
        </is>
      </c>
      <c r="D186" s="42" t="inlineStr">
        <is>
          <t>Region IV-A (CALABARZON)</t>
        </is>
      </c>
      <c r="E186" s="42" t="inlineStr">
        <is>
          <t>Batangas</t>
        </is>
      </c>
      <c r="F186" s="42" t="inlineStr">
        <is>
          <t>San Nicolas</t>
        </is>
      </c>
      <c r="G186" s="42" t="inlineStr">
        <is>
          <t>Poblacion</t>
        </is>
      </c>
      <c r="H186" s="43" t="n">
        <v>13.92938</v>
      </c>
      <c r="I186" s="43" t="n">
        <v>120.951128</v>
      </c>
      <c r="J186" s="44" t="inlineStr">
        <is>
          <t>R</t>
        </is>
      </c>
      <c r="K186" s="42" t="inlineStr">
        <is>
          <t>4th</t>
        </is>
      </c>
      <c r="L186" s="23" t="n">
        <v>3178</v>
      </c>
      <c r="M186" s="24" t="n">
        <v>5.04</v>
      </c>
      <c r="N186" s="23">
        <f>ROUND(L186/M186, 0)</f>
        <v/>
      </c>
      <c r="O186" s="23">
        <f>ROUND(N186*'Methodology &amp; Assumptions'!$B$8, 0)</f>
        <v/>
      </c>
      <c r="P186" s="44" t="inlineStr">
        <is>
          <t>Band n50 (1.5 GHz, 60 MHz)</t>
        </is>
      </c>
      <c r="Q186" s="38">
        <f>ROUNDUP(O186/'Methodology &amp; Assumptions'!$B$9, 0)</f>
        <v/>
      </c>
      <c r="R186" s="39" t="n">
        <v>1</v>
      </c>
      <c r="S186" s="25" t="n">
        <v>0.07000000000000001</v>
      </c>
      <c r="T186" s="25" t="n">
        <v>4.59</v>
      </c>
      <c r="U186" s="42" t="inlineStr">
        <is>
          <t>Tier 1A (Direct Coloc, &lt;1 km)</t>
        </is>
      </c>
      <c r="V186" s="24" t="n">
        <v>97.59999999999999</v>
      </c>
      <c r="W186" s="24" t="n">
        <v>74.40000000000001</v>
      </c>
      <c r="X186" s="24" t="n">
        <v>68.5</v>
      </c>
      <c r="Y186" s="45">
        <f>ROUND((V186*'Methodology &amp; Assumptions'!$B$6)+(W186*'Methodology &amp; Assumptions'!$B$5)+(X186*'Methodology &amp; Assumptions'!$B$7), 2)</f>
        <v/>
      </c>
    </row>
    <row r="187" ht="19" customHeight="1">
      <c r="A187" s="35" t="n">
        <v>183</v>
      </c>
      <c r="B187" s="35" t="n">
        <v>183</v>
      </c>
      <c r="C187" s="36" t="inlineStr">
        <is>
          <t>0601902016</t>
        </is>
      </c>
      <c r="D187" s="36" t="inlineStr">
        <is>
          <t>Region VI (Western Visayas)</t>
        </is>
      </c>
      <c r="E187" s="36" t="inlineStr">
        <is>
          <t>Capiz</t>
        </is>
      </c>
      <c r="F187" s="36" t="inlineStr">
        <is>
          <t>Dao</t>
        </is>
      </c>
      <c r="G187" s="36" t="inlineStr">
        <is>
          <t>Matagnop</t>
        </is>
      </c>
      <c r="H187" s="37" t="n">
        <v>11.390768</v>
      </c>
      <c r="I187" s="37" t="n">
        <v>122.693658</v>
      </c>
      <c r="J187" s="8" t="inlineStr">
        <is>
          <t>R</t>
        </is>
      </c>
      <c r="K187" s="36" t="inlineStr">
        <is>
          <t>3rd</t>
        </is>
      </c>
      <c r="L187" s="18" t="n">
        <v>4008</v>
      </c>
      <c r="M187" s="20" t="n">
        <v>4.19</v>
      </c>
      <c r="N187" s="18">
        <f>ROUND(L187/M187, 0)</f>
        <v/>
      </c>
      <c r="O187" s="18">
        <f>ROUND(N187*'Methodology &amp; Assumptions'!$B$8, 0)</f>
        <v/>
      </c>
      <c r="P187" s="8" t="inlineStr">
        <is>
          <t>Band n50 (1.5 GHz, 60 MHz)</t>
        </is>
      </c>
      <c r="Q187" s="38">
        <f>ROUNDUP(O187/'Methodology &amp; Assumptions'!$B$9, 0)</f>
        <v/>
      </c>
      <c r="R187" s="39" t="n">
        <v>1</v>
      </c>
      <c r="S187" s="21" t="n">
        <v>1.03</v>
      </c>
      <c r="T187" s="21" t="n">
        <v>1.84</v>
      </c>
      <c r="U187" s="36" t="inlineStr">
        <is>
          <t>Tier 1B (Micro Drop, 1-3 km)</t>
        </is>
      </c>
      <c r="V187" s="20" t="n">
        <v>81</v>
      </c>
      <c r="W187" s="20" t="n">
        <v>100</v>
      </c>
      <c r="X187" s="20" t="n">
        <v>58</v>
      </c>
      <c r="Y187" s="40">
        <f>ROUND((V187*'Methodology &amp; Assumptions'!$B$6)+(W187*'Methodology &amp; Assumptions'!$B$5)+(X187*'Methodology &amp; Assumptions'!$B$7), 2)</f>
        <v/>
      </c>
    </row>
    <row r="188" ht="19" customHeight="1">
      <c r="A188" s="41" t="n">
        <v>184</v>
      </c>
      <c r="B188" s="41" t="n">
        <v>184</v>
      </c>
      <c r="C188" s="42" t="inlineStr">
        <is>
          <t>0105520012</t>
        </is>
      </c>
      <c r="D188" s="42" t="inlineStr">
        <is>
          <t>Region I (Ilocos Region)</t>
        </is>
      </c>
      <c r="E188" s="42" t="inlineStr">
        <is>
          <t>Pangasinan</t>
        </is>
      </c>
      <c r="F188" s="42" t="inlineStr">
        <is>
          <t>Infanta</t>
        </is>
      </c>
      <c r="G188" s="42" t="inlineStr">
        <is>
          <t>Poblacion</t>
        </is>
      </c>
      <c r="H188" s="43" t="n">
        <v>15.8254</v>
      </c>
      <c r="I188" s="43" t="n">
        <v>119.9061</v>
      </c>
      <c r="J188" s="44" t="inlineStr">
        <is>
          <t>R</t>
        </is>
      </c>
      <c r="K188" s="42" t="inlineStr">
        <is>
          <t>Class 1-3 / Urban</t>
        </is>
      </c>
      <c r="L188" s="23" t="n">
        <v>3250</v>
      </c>
      <c r="M188" s="24" t="n">
        <v>4.39</v>
      </c>
      <c r="N188" s="23">
        <f>ROUND(L188/M188, 0)</f>
        <v/>
      </c>
      <c r="O188" s="23">
        <f>ROUND(N188*'Methodology &amp; Assumptions'!$B$8, 0)</f>
        <v/>
      </c>
      <c r="P188" s="44" t="inlineStr">
        <is>
          <t>Band n50 (1.5 GHz, 60 MHz)</t>
        </is>
      </c>
      <c r="Q188" s="38">
        <f>ROUNDUP(O188/'Methodology &amp; Assumptions'!$B$9, 0)</f>
        <v/>
      </c>
      <c r="R188" s="39" t="n">
        <v>1</v>
      </c>
      <c r="S188" s="25" t="n">
        <v>0.39</v>
      </c>
      <c r="T188" s="25" t="n">
        <v>0.44</v>
      </c>
      <c r="U188" s="42" t="inlineStr">
        <is>
          <t>Tier 1A (Direct Coloc, &lt;1 km)</t>
        </is>
      </c>
      <c r="V188" s="24" t="n">
        <v>97.8</v>
      </c>
      <c r="W188" s="24" t="n">
        <v>83.2</v>
      </c>
      <c r="X188" s="24" t="n">
        <v>58</v>
      </c>
      <c r="Y188" s="45">
        <f>ROUND((V188*'Methodology &amp; Assumptions'!$B$6)+(W188*'Methodology &amp; Assumptions'!$B$5)+(X188*'Methodology &amp; Assumptions'!$B$7), 2)</f>
        <v/>
      </c>
    </row>
    <row r="189" ht="19" customHeight="1">
      <c r="A189" s="35" t="n">
        <v>185</v>
      </c>
      <c r="B189" s="35" t="n">
        <v>185</v>
      </c>
      <c r="C189" s="36" t="inlineStr">
        <is>
          <t>1004309009</t>
        </is>
      </c>
      <c r="D189" s="36" t="inlineStr">
        <is>
          <t>Region X (Northern Mindanao)</t>
        </is>
      </c>
      <c r="E189" s="36" t="inlineStr">
        <is>
          <t>Misamis Oriental</t>
        </is>
      </c>
      <c r="F189" s="36" t="inlineStr">
        <is>
          <t>Gitagum</t>
        </is>
      </c>
      <c r="G189" s="36" t="inlineStr">
        <is>
          <t>Poblacion</t>
        </is>
      </c>
      <c r="H189" s="37" t="n">
        <v>8.595027</v>
      </c>
      <c r="I189" s="37" t="n">
        <v>124.40758</v>
      </c>
      <c r="J189" s="8" t="inlineStr">
        <is>
          <t>R</t>
        </is>
      </c>
      <c r="K189" s="36" t="inlineStr">
        <is>
          <t>2nd</t>
        </is>
      </c>
      <c r="L189" s="18" t="n">
        <v>3091</v>
      </c>
      <c r="M189" s="20" t="n">
        <v>4.2</v>
      </c>
      <c r="N189" s="18">
        <f>ROUND(L189/M189, 0)</f>
        <v/>
      </c>
      <c r="O189" s="18">
        <f>ROUND(N189*'Methodology &amp; Assumptions'!$B$8, 0)</f>
        <v/>
      </c>
      <c r="P189" s="8" t="inlineStr">
        <is>
          <t>Band n50 (1.5 GHz, 60 MHz)</t>
        </is>
      </c>
      <c r="Q189" s="38">
        <f>ROUNDUP(O189/'Methodology &amp; Assumptions'!$B$9, 0)</f>
        <v/>
      </c>
      <c r="R189" s="39" t="n">
        <v>1</v>
      </c>
      <c r="S189" s="21" t="n">
        <v>0.38</v>
      </c>
      <c r="T189" s="21" t="n">
        <v>0.26</v>
      </c>
      <c r="U189" s="36" t="inlineStr">
        <is>
          <t>Tier 1A (Direct Coloc, &lt;1 km)</t>
        </is>
      </c>
      <c r="V189" s="20" t="n">
        <v>98.09999999999999</v>
      </c>
      <c r="W189" s="20" t="n">
        <v>82.90000000000001</v>
      </c>
      <c r="X189" s="20" t="n">
        <v>58</v>
      </c>
      <c r="Y189" s="40">
        <f>ROUND((V189*'Methodology &amp; Assumptions'!$B$6)+(W189*'Methodology &amp; Assumptions'!$B$5)+(X189*'Methodology &amp; Assumptions'!$B$7), 2)</f>
        <v/>
      </c>
    </row>
    <row r="190" ht="19" customHeight="1">
      <c r="A190" s="41" t="n">
        <v>186</v>
      </c>
      <c r="B190" s="41" t="n">
        <v>186</v>
      </c>
      <c r="C190" s="42" t="inlineStr">
        <is>
          <t>0306917019</t>
        </is>
      </c>
      <c r="D190" s="42" t="inlineStr">
        <is>
          <t>Region III (Central Luzon)</t>
        </is>
      </c>
      <c r="E190" s="42" t="inlineStr">
        <is>
          <t>Tarlac</t>
        </is>
      </c>
      <c r="F190" s="42" t="inlineStr">
        <is>
          <t>Victoria</t>
        </is>
      </c>
      <c r="G190" s="42" t="inlineStr">
        <is>
          <t>San Fernando</t>
        </is>
      </c>
      <c r="H190" s="43" t="n">
        <v>15.57405</v>
      </c>
      <c r="I190" s="43" t="n">
        <v>120.6795</v>
      </c>
      <c r="J190" s="44" t="inlineStr">
        <is>
          <t>R</t>
        </is>
      </c>
      <c r="K190" s="42" t="inlineStr">
        <is>
          <t>Class 1-3 / Urban</t>
        </is>
      </c>
      <c r="L190" s="23" t="n">
        <v>3329</v>
      </c>
      <c r="M190" s="24" t="n">
        <v>4.3</v>
      </c>
      <c r="N190" s="23">
        <f>ROUND(L190/M190, 0)</f>
        <v/>
      </c>
      <c r="O190" s="23">
        <f>ROUND(N190*'Methodology &amp; Assumptions'!$B$8, 0)</f>
        <v/>
      </c>
      <c r="P190" s="44" t="inlineStr">
        <is>
          <t>Band n50 (1.5 GHz, 60 MHz)</t>
        </is>
      </c>
      <c r="Q190" s="38">
        <f>ROUNDUP(O190/'Methodology &amp; Assumptions'!$B$9, 0)</f>
        <v/>
      </c>
      <c r="R190" s="39" t="n">
        <v>1</v>
      </c>
      <c r="S190" s="25" t="n">
        <v>0.15</v>
      </c>
      <c r="T190" s="25" t="n">
        <v>6.27</v>
      </c>
      <c r="U190" s="42" t="inlineStr">
        <is>
          <t>Tier 1A (Direct Coloc, &lt;1 km)</t>
        </is>
      </c>
      <c r="V190" s="24" t="n">
        <v>95</v>
      </c>
      <c r="W190" s="24" t="n">
        <v>85.90000000000001</v>
      </c>
      <c r="X190" s="24" t="n">
        <v>58</v>
      </c>
      <c r="Y190" s="45">
        <f>ROUND((V190*'Methodology &amp; Assumptions'!$B$6)+(W190*'Methodology &amp; Assumptions'!$B$5)+(X190*'Methodology &amp; Assumptions'!$B$7), 2)</f>
        <v/>
      </c>
    </row>
    <row r="191" ht="19" customHeight="1">
      <c r="A191" s="35" t="n">
        <v>187</v>
      </c>
      <c r="B191" s="35" t="n">
        <v>187</v>
      </c>
      <c r="C191" s="36" t="inlineStr">
        <is>
          <t>0307104010</t>
        </is>
      </c>
      <c r="D191" s="36" t="inlineStr">
        <is>
          <t>Region III (Central Luzon)</t>
        </is>
      </c>
      <c r="E191" s="36" t="inlineStr">
        <is>
          <t>Zambales</t>
        </is>
      </c>
      <c r="F191" s="36" t="inlineStr">
        <is>
          <t>Castillejos</t>
        </is>
      </c>
      <c r="G191" s="36" t="inlineStr">
        <is>
          <t>San Jose</t>
        </is>
      </c>
      <c r="H191" s="37" t="n">
        <v>14.937764</v>
      </c>
      <c r="I191" s="37" t="n">
        <v>120.196449</v>
      </c>
      <c r="J191" s="8" t="inlineStr">
        <is>
          <t>R</t>
        </is>
      </c>
      <c r="K191" s="36" t="inlineStr">
        <is>
          <t>Class 1-3 / Urban</t>
        </is>
      </c>
      <c r="L191" s="18" t="n">
        <v>3792</v>
      </c>
      <c r="M191" s="20" t="n">
        <v>4.05</v>
      </c>
      <c r="N191" s="18">
        <f>ROUND(L191/M191, 0)</f>
        <v/>
      </c>
      <c r="O191" s="18">
        <f>ROUND(N191*'Methodology &amp; Assumptions'!$B$8, 0)</f>
        <v/>
      </c>
      <c r="P191" s="8" t="inlineStr">
        <is>
          <t>Band n50 (1.5 GHz, 60 MHz)</t>
        </is>
      </c>
      <c r="Q191" s="38">
        <f>ROUNDUP(O191/'Methodology &amp; Assumptions'!$B$9, 0)</f>
        <v/>
      </c>
      <c r="R191" s="39" t="n">
        <v>1</v>
      </c>
      <c r="S191" s="21" t="n">
        <v>0.99</v>
      </c>
      <c r="T191" s="21" t="n">
        <v>0.13</v>
      </c>
      <c r="U191" s="36" t="inlineStr">
        <is>
          <t>Tier 1A (Direct Coloc, &lt;1 km)</t>
        </is>
      </c>
      <c r="V191" s="20" t="n">
        <v>81.90000000000001</v>
      </c>
      <c r="W191" s="20" t="n">
        <v>98.90000000000001</v>
      </c>
      <c r="X191" s="20" t="n">
        <v>58</v>
      </c>
      <c r="Y191" s="40">
        <f>ROUND((V191*'Methodology &amp; Assumptions'!$B$6)+(W191*'Methodology &amp; Assumptions'!$B$5)+(X191*'Methodology &amp; Assumptions'!$B$7), 2)</f>
        <v/>
      </c>
    </row>
    <row r="192" ht="19" customHeight="1">
      <c r="A192" s="41" t="n">
        <v>188</v>
      </c>
      <c r="B192" s="41" t="n">
        <v>188</v>
      </c>
      <c r="C192" s="42" t="inlineStr">
        <is>
          <t>0304927016</t>
        </is>
      </c>
      <c r="D192" s="42" t="inlineStr">
        <is>
          <t>Region III (Central Luzon)</t>
        </is>
      </c>
      <c r="E192" s="42" t="inlineStr">
        <is>
          <t>Nueva Ecija</t>
        </is>
      </c>
      <c r="F192" s="42" t="inlineStr">
        <is>
          <t>San Leonardo</t>
        </is>
      </c>
      <c r="G192" s="42" t="inlineStr">
        <is>
          <t>Tambo Adorable</t>
        </is>
      </c>
      <c r="H192" s="43" t="n">
        <v>15.365856</v>
      </c>
      <c r="I192" s="43" t="n">
        <v>120.933363</v>
      </c>
      <c r="J192" s="44" t="inlineStr">
        <is>
          <t>U</t>
        </is>
      </c>
      <c r="K192" s="42" t="inlineStr">
        <is>
          <t>Class 1-3 / Urban</t>
        </is>
      </c>
      <c r="L192" s="23" t="n">
        <v>5870</v>
      </c>
      <c r="M192" s="24" t="n">
        <v>4.32</v>
      </c>
      <c r="N192" s="23">
        <f>ROUND(L192/M192, 0)</f>
        <v/>
      </c>
      <c r="O192" s="23">
        <f>ROUND(N192*'Methodology &amp; Assumptions'!$B$8, 0)</f>
        <v/>
      </c>
      <c r="P192" s="44" t="inlineStr">
        <is>
          <t>Band n50 (1.5 GHz, 60 MHz)</t>
        </is>
      </c>
      <c r="Q192" s="38">
        <f>ROUNDUP(O192/'Methodology &amp; Assumptions'!$B$9, 0)</f>
        <v/>
      </c>
      <c r="R192" s="39" t="n">
        <v>1</v>
      </c>
      <c r="S192" s="25" t="n">
        <v>0.53</v>
      </c>
      <c r="T192" s="25" t="n">
        <v>0.7</v>
      </c>
      <c r="U192" s="42" t="inlineStr">
        <is>
          <t>Tier 1A (Direct Coloc, &lt;1 km)</t>
        </is>
      </c>
      <c r="V192" s="24" t="n">
        <v>93.7</v>
      </c>
      <c r="W192" s="24" t="n">
        <v>100</v>
      </c>
      <c r="X192" s="24" t="n">
        <v>43</v>
      </c>
      <c r="Y192" s="45">
        <f>ROUND((V192*'Methodology &amp; Assumptions'!$B$6)+(W192*'Methodology &amp; Assumptions'!$B$5)+(X192*'Methodology &amp; Assumptions'!$B$7), 2)</f>
        <v/>
      </c>
    </row>
    <row r="193" ht="19" customHeight="1">
      <c r="A193" s="35" t="n">
        <v>189</v>
      </c>
      <c r="B193" s="35" t="n">
        <v>189</v>
      </c>
      <c r="C193" s="36" t="inlineStr">
        <is>
          <t>0402117010</t>
        </is>
      </c>
      <c r="D193" s="36" t="inlineStr">
        <is>
          <t>Region IV-A (CALABARZON)</t>
        </is>
      </c>
      <c r="E193" s="36" t="inlineStr">
        <is>
          <t>Cavite</t>
        </is>
      </c>
      <c r="F193" s="36" t="inlineStr">
        <is>
          <t>Rosario</t>
        </is>
      </c>
      <c r="G193" s="36" t="inlineStr">
        <is>
          <t>Tejeros Convention</t>
        </is>
      </c>
      <c r="H193" s="37" t="n">
        <v>14.402913</v>
      </c>
      <c r="I193" s="37" t="n">
        <v>120.860939</v>
      </c>
      <c r="J193" s="8" t="inlineStr">
        <is>
          <t>U</t>
        </is>
      </c>
      <c r="K193" s="36" t="inlineStr">
        <is>
          <t>Class 1-3 / Urban</t>
        </is>
      </c>
      <c r="L193" s="18" t="n">
        <v>20499</v>
      </c>
      <c r="M193" s="20" t="n">
        <v>4.49</v>
      </c>
      <c r="N193" s="18">
        <f>ROUND(L193/M193, 0)</f>
        <v/>
      </c>
      <c r="O193" s="18">
        <f>ROUND(N193*'Methodology &amp; Assumptions'!$B$8, 0)</f>
        <v/>
      </c>
      <c r="P193" s="8" t="inlineStr">
        <is>
          <t>Band n50 (1.5 GHz, 60 MHz)</t>
        </is>
      </c>
      <c r="Q193" s="38">
        <f>ROUNDUP(O193/'Methodology &amp; Assumptions'!$B$9, 0)</f>
        <v/>
      </c>
      <c r="R193" s="39" t="n">
        <v>1</v>
      </c>
      <c r="S193" s="21" t="n">
        <v>0.54</v>
      </c>
      <c r="T193" s="21" t="n">
        <v>0.8</v>
      </c>
      <c r="U193" s="36" t="inlineStr">
        <is>
          <t>Tier 1A (Direct Coloc, &lt;1 km)</t>
        </is>
      </c>
      <c r="V193" s="20" t="n">
        <v>93.59999999999999</v>
      </c>
      <c r="W193" s="20" t="n">
        <v>100</v>
      </c>
      <c r="X193" s="20" t="n">
        <v>43</v>
      </c>
      <c r="Y193" s="40">
        <f>ROUND((V193*'Methodology &amp; Assumptions'!$B$6)+(W193*'Methodology &amp; Assumptions'!$B$5)+(X193*'Methodology &amp; Assumptions'!$B$7), 2)</f>
        <v/>
      </c>
    </row>
    <row r="194" ht="19" customHeight="1">
      <c r="A194" s="41" t="n">
        <v>190</v>
      </c>
      <c r="B194" s="41" t="n">
        <v>190</v>
      </c>
      <c r="C194" s="42" t="inlineStr">
        <is>
          <t>0102817009</t>
        </is>
      </c>
      <c r="D194" s="42" t="inlineStr">
        <is>
          <t>Region I (Ilocos Region)</t>
        </is>
      </c>
      <c r="E194" s="42" t="inlineStr">
        <is>
          <t>Ilocos Norte</t>
        </is>
      </c>
      <c r="F194" s="42" t="inlineStr">
        <is>
          <t>Pasuquin</t>
        </is>
      </c>
      <c r="G194" s="42" t="inlineStr">
        <is>
          <t>Davila</t>
        </is>
      </c>
      <c r="H194" s="43" t="n">
        <v>18.466899</v>
      </c>
      <c r="I194" s="43" t="n">
        <v>120.57802</v>
      </c>
      <c r="J194" s="44" t="inlineStr">
        <is>
          <t>R</t>
        </is>
      </c>
      <c r="K194" s="42" t="inlineStr">
        <is>
          <t>Class 1-3 / Urban</t>
        </is>
      </c>
      <c r="L194" s="23" t="n">
        <v>3989</v>
      </c>
      <c r="M194" s="24" t="n">
        <v>4.35</v>
      </c>
      <c r="N194" s="23">
        <f>ROUND(L194/M194, 0)</f>
        <v/>
      </c>
      <c r="O194" s="23">
        <f>ROUND(N194*'Methodology &amp; Assumptions'!$B$8, 0)</f>
        <v/>
      </c>
      <c r="P194" s="44" t="inlineStr">
        <is>
          <t>Band n50 (1.5 GHz, 60 MHz)</t>
        </is>
      </c>
      <c r="Q194" s="38">
        <f>ROUNDUP(O194/'Methodology &amp; Assumptions'!$B$9, 0)</f>
        <v/>
      </c>
      <c r="R194" s="39" t="n">
        <v>1</v>
      </c>
      <c r="S194" s="25" t="n">
        <v>0.93</v>
      </c>
      <c r="T194" s="25" t="n">
        <v>0.22</v>
      </c>
      <c r="U194" s="42" t="inlineStr">
        <is>
          <t>Tier 1A (Direct Coloc, &lt;1 km)</t>
        </is>
      </c>
      <c r="V194" s="24" t="n">
        <v>83.40000000000001</v>
      </c>
      <c r="W194" s="24" t="n">
        <v>97.3</v>
      </c>
      <c r="X194" s="24" t="n">
        <v>58</v>
      </c>
      <c r="Y194" s="45">
        <f>ROUND((V194*'Methodology &amp; Assumptions'!$B$6)+(W194*'Methodology &amp; Assumptions'!$B$5)+(X194*'Methodology &amp; Assumptions'!$B$7), 2)</f>
        <v/>
      </c>
    </row>
    <row r="195" ht="19" customHeight="1">
      <c r="A195" s="35" t="n">
        <v>191</v>
      </c>
      <c r="B195" s="35" t="n">
        <v>191</v>
      </c>
      <c r="C195" s="36" t="inlineStr">
        <is>
          <t>0702233011</t>
        </is>
      </c>
      <c r="D195" s="36" t="inlineStr">
        <is>
          <t>Region VII (Central Visayas)</t>
        </is>
      </c>
      <c r="E195" s="36" t="inlineStr">
        <is>
          <t>Cebu</t>
        </is>
      </c>
      <c r="F195" s="36" t="inlineStr">
        <is>
          <t>Moalboal</t>
        </is>
      </c>
      <c r="G195" s="36" t="inlineStr">
        <is>
          <t>Poblacion West</t>
        </is>
      </c>
      <c r="H195" s="37" t="n">
        <v>9.93877</v>
      </c>
      <c r="I195" s="37" t="n">
        <v>123.38875</v>
      </c>
      <c r="J195" s="8" t="inlineStr">
        <is>
          <t>R</t>
        </is>
      </c>
      <c r="K195" s="36" t="inlineStr">
        <is>
          <t>1st</t>
        </is>
      </c>
      <c r="L195" s="18" t="n">
        <v>3567</v>
      </c>
      <c r="M195" s="20" t="n">
        <v>4.27</v>
      </c>
      <c r="N195" s="18">
        <f>ROUND(L195/M195, 0)</f>
        <v/>
      </c>
      <c r="O195" s="18">
        <f>ROUND(N195*'Methodology &amp; Assumptions'!$B$8, 0)</f>
        <v/>
      </c>
      <c r="P195" s="8" t="inlineStr">
        <is>
          <t>Band n50 (1.5 GHz, 60 MHz)</t>
        </is>
      </c>
      <c r="Q195" s="38">
        <f>ROUNDUP(O195/'Methodology &amp; Assumptions'!$B$9, 0)</f>
        <v/>
      </c>
      <c r="R195" s="39" t="n">
        <v>1</v>
      </c>
      <c r="S195" s="21" t="n">
        <v>0.67</v>
      </c>
      <c r="T195" s="21" t="n">
        <v>0.71</v>
      </c>
      <c r="U195" s="36" t="inlineStr">
        <is>
          <t>Tier 1A (Direct Coloc, &lt;1 km)</t>
        </is>
      </c>
      <c r="V195" s="20" t="n">
        <v>90.09999999999999</v>
      </c>
      <c r="W195" s="20" t="n">
        <v>90.7</v>
      </c>
      <c r="X195" s="20" t="n">
        <v>58</v>
      </c>
      <c r="Y195" s="40">
        <f>ROUND((V195*'Methodology &amp; Assumptions'!$B$6)+(W195*'Methodology &amp; Assumptions'!$B$5)+(X195*'Methodology &amp; Assumptions'!$B$7), 2)</f>
        <v/>
      </c>
    </row>
    <row r="196" ht="19" customHeight="1">
      <c r="A196" s="41" t="n">
        <v>192</v>
      </c>
      <c r="B196" s="41" t="n">
        <v>192</v>
      </c>
      <c r="C196" s="42" t="inlineStr">
        <is>
          <t>0702251014</t>
        </is>
      </c>
      <c r="D196" s="42" t="inlineStr">
        <is>
          <t>Region VII (Central Visayas)</t>
        </is>
      </c>
      <c r="E196" s="42" t="inlineStr">
        <is>
          <t>Cebu</t>
        </is>
      </c>
      <c r="F196" s="42" t="inlineStr">
        <is>
          <t>City of Toledo</t>
        </is>
      </c>
      <c r="G196" s="42" t="inlineStr">
        <is>
          <t>Carmen</t>
        </is>
      </c>
      <c r="H196" s="43" t="n">
        <v>10.393054</v>
      </c>
      <c r="I196" s="43" t="n">
        <v>123.663193</v>
      </c>
      <c r="J196" s="44" t="inlineStr">
        <is>
          <t>R</t>
        </is>
      </c>
      <c r="K196" s="42" t="inlineStr">
        <is>
          <t>Class 1-3 / Urban</t>
        </is>
      </c>
      <c r="L196" s="23" t="n">
        <v>4857</v>
      </c>
      <c r="M196" s="24" t="n">
        <v>4.42</v>
      </c>
      <c r="N196" s="23">
        <f>ROUND(L196/M196, 0)</f>
        <v/>
      </c>
      <c r="O196" s="23">
        <f>ROUND(N196*'Methodology &amp; Assumptions'!$B$8, 0)</f>
        <v/>
      </c>
      <c r="P196" s="44" t="inlineStr">
        <is>
          <t>Band n50 (1.5 GHz, 60 MHz)</t>
        </is>
      </c>
      <c r="Q196" s="38">
        <f>ROUNDUP(O196/'Methodology &amp; Assumptions'!$B$9, 0)</f>
        <v/>
      </c>
      <c r="R196" s="39" t="n">
        <v>1</v>
      </c>
      <c r="S196" s="25" t="n">
        <v>1.04</v>
      </c>
      <c r="T196" s="25" t="n">
        <v>0.59</v>
      </c>
      <c r="U196" s="42" t="inlineStr">
        <is>
          <t>Tier 1B (Micro Drop, 1-3 km)</t>
        </is>
      </c>
      <c r="V196" s="24" t="n">
        <v>80.7</v>
      </c>
      <c r="W196" s="24" t="n">
        <v>100</v>
      </c>
      <c r="X196" s="24" t="n">
        <v>58</v>
      </c>
      <c r="Y196" s="45">
        <f>ROUND((V196*'Methodology &amp; Assumptions'!$B$6)+(W196*'Methodology &amp; Assumptions'!$B$5)+(X196*'Methodology &amp; Assumptions'!$B$7), 2)</f>
        <v/>
      </c>
    </row>
    <row r="197" ht="19" customHeight="1">
      <c r="A197" s="35" t="n">
        <v>193</v>
      </c>
      <c r="B197" s="35" t="n">
        <v>193</v>
      </c>
      <c r="C197" s="36" t="inlineStr">
        <is>
          <t>0405639018</t>
        </is>
      </c>
      <c r="D197" s="36" t="inlineStr">
        <is>
          <t>Region IV-A (CALABARZON)</t>
        </is>
      </c>
      <c r="E197" s="36" t="inlineStr">
        <is>
          <t>Quezon</t>
        </is>
      </c>
      <c r="F197" s="36" t="inlineStr">
        <is>
          <t>Sampaloc</t>
        </is>
      </c>
      <c r="G197" s="36" t="inlineStr">
        <is>
          <t>San Roque</t>
        </is>
      </c>
      <c r="H197" s="37" t="n">
        <v>14.16235</v>
      </c>
      <c r="I197" s="37" t="n">
        <v>121.638108</v>
      </c>
      <c r="J197" s="8" t="inlineStr">
        <is>
          <t>R</t>
        </is>
      </c>
      <c r="K197" s="36" t="inlineStr">
        <is>
          <t>4th</t>
        </is>
      </c>
      <c r="L197" s="18" t="n">
        <v>2786</v>
      </c>
      <c r="M197" s="20" t="n">
        <v>4.56</v>
      </c>
      <c r="N197" s="18">
        <f>ROUND(L197/M197, 0)</f>
        <v/>
      </c>
      <c r="O197" s="18">
        <f>ROUND(N197*'Methodology &amp; Assumptions'!$B$8, 0)</f>
        <v/>
      </c>
      <c r="P197" s="8" t="inlineStr">
        <is>
          <t>Band n50 (1.5 GHz, 60 MHz)</t>
        </is>
      </c>
      <c r="Q197" s="38">
        <f>ROUNDUP(O197/'Methodology &amp; Assumptions'!$B$9, 0)</f>
        <v/>
      </c>
      <c r="R197" s="39" t="n">
        <v>1</v>
      </c>
      <c r="S197" s="21" t="n">
        <v>0.04</v>
      </c>
      <c r="T197" s="21" t="n">
        <v>9.56</v>
      </c>
      <c r="U197" s="36" t="inlineStr">
        <is>
          <t>Tier 1A (Direct Coloc, &lt;1 km)</t>
        </is>
      </c>
      <c r="V197" s="20" t="n">
        <v>98.8</v>
      </c>
      <c r="W197" s="20" t="n">
        <v>72.8</v>
      </c>
      <c r="X197" s="20" t="n">
        <v>68.5</v>
      </c>
      <c r="Y197" s="40">
        <f>ROUND((V197*'Methodology &amp; Assumptions'!$B$6)+(W197*'Methodology &amp; Assumptions'!$B$5)+(X197*'Methodology &amp; Assumptions'!$B$7), 2)</f>
        <v/>
      </c>
    </row>
    <row r="198" ht="19" customHeight="1">
      <c r="A198" s="41" t="n">
        <v>194</v>
      </c>
      <c r="B198" s="41" t="n">
        <v>194</v>
      </c>
      <c r="C198" s="42" t="inlineStr">
        <is>
          <t>0205005025</t>
        </is>
      </c>
      <c r="D198" s="42" t="inlineStr">
        <is>
          <t>Region II (Cagayan Valley)</t>
        </is>
      </c>
      <c r="E198" s="42" t="inlineStr">
        <is>
          <t>Nueva Vizcaya</t>
        </is>
      </c>
      <c r="F198" s="42" t="inlineStr">
        <is>
          <t>Bayombong</t>
        </is>
      </c>
      <c r="G198" s="42" t="inlineStr">
        <is>
          <t>Salvacion</t>
        </is>
      </c>
      <c r="H198" s="43" t="n">
        <v>16.478533</v>
      </c>
      <c r="I198" s="43" t="n">
        <v>121.149388</v>
      </c>
      <c r="J198" s="44" t="inlineStr">
        <is>
          <t>R</t>
        </is>
      </c>
      <c r="K198" s="42" t="inlineStr">
        <is>
          <t>Class 1-3 / Urban</t>
        </is>
      </c>
      <c r="L198" s="23" t="n">
        <v>4014</v>
      </c>
      <c r="M198" s="24" t="n">
        <v>4.19</v>
      </c>
      <c r="N198" s="23">
        <f>ROUND(L198/M198, 0)</f>
        <v/>
      </c>
      <c r="O198" s="23">
        <f>ROUND(N198*'Methodology &amp; Assumptions'!$B$8, 0)</f>
        <v/>
      </c>
      <c r="P198" s="44" t="inlineStr">
        <is>
          <t>Band n50 (1.5 GHz, 60 MHz)</t>
        </is>
      </c>
      <c r="Q198" s="38">
        <f>ROUNDUP(O198/'Methodology &amp; Assumptions'!$B$9, 0)</f>
        <v/>
      </c>
      <c r="R198" s="39" t="n">
        <v>1</v>
      </c>
      <c r="S198" s="25" t="n">
        <v>1.05</v>
      </c>
      <c r="T198" s="25" t="n">
        <v>1.02</v>
      </c>
      <c r="U198" s="42" t="inlineStr">
        <is>
          <t>Tier 1B (Micro Drop, 1-3 km)</t>
        </is>
      </c>
      <c r="V198" s="24" t="n">
        <v>80.5</v>
      </c>
      <c r="W198" s="24" t="n">
        <v>100</v>
      </c>
      <c r="X198" s="24" t="n">
        <v>58</v>
      </c>
      <c r="Y198" s="45">
        <f>ROUND((V198*'Methodology &amp; Assumptions'!$B$6)+(W198*'Methodology &amp; Assumptions'!$B$5)+(X198*'Methodology &amp; Assumptions'!$B$7), 2)</f>
        <v/>
      </c>
    </row>
    <row r="199" ht="19" customHeight="1">
      <c r="A199" s="35" t="n">
        <v>195</v>
      </c>
      <c r="B199" s="35" t="n">
        <v>195</v>
      </c>
      <c r="C199" s="36" t="inlineStr">
        <is>
          <t>0501704001</t>
        </is>
      </c>
      <c r="D199" s="36" t="inlineStr">
        <is>
          <t>Region V (Bicol Region)</t>
        </is>
      </c>
      <c r="E199" s="36" t="inlineStr">
        <is>
          <t>Camarines Sur</t>
        </is>
      </c>
      <c r="F199" s="36" t="inlineStr">
        <is>
          <t>Bombon</t>
        </is>
      </c>
      <c r="G199" s="36" t="inlineStr">
        <is>
          <t>San Antonio</t>
        </is>
      </c>
      <c r="H199" s="37" t="n">
        <v>13.688698</v>
      </c>
      <c r="I199" s="37" t="n">
        <v>123.209395</v>
      </c>
      <c r="J199" s="8" t="inlineStr">
        <is>
          <t>R</t>
        </is>
      </c>
      <c r="K199" s="36" t="inlineStr">
        <is>
          <t>4th</t>
        </is>
      </c>
      <c r="L199" s="18" t="n">
        <v>4372</v>
      </c>
      <c r="M199" s="20" t="n">
        <v>4.77</v>
      </c>
      <c r="N199" s="18">
        <f>ROUND(L199/M199, 0)</f>
        <v/>
      </c>
      <c r="O199" s="18">
        <f>ROUND(N199*'Methodology &amp; Assumptions'!$B$8, 0)</f>
        <v/>
      </c>
      <c r="P199" s="8" t="inlineStr">
        <is>
          <t>Band n50 (1.5 GHz, 60 MHz)</t>
        </is>
      </c>
      <c r="Q199" s="38">
        <f>ROUNDUP(O199/'Methodology &amp; Assumptions'!$B$9, 0)</f>
        <v/>
      </c>
      <c r="R199" s="39" t="n">
        <v>1</v>
      </c>
      <c r="S199" s="21" t="n">
        <v>2.01</v>
      </c>
      <c r="T199" s="21" t="n">
        <v>0.93</v>
      </c>
      <c r="U199" s="36" t="inlineStr">
        <is>
          <t>Tier 1B (Micro Drop, 1-3 km)</t>
        </is>
      </c>
      <c r="V199" s="20" t="n">
        <v>61.3</v>
      </c>
      <c r="W199" s="20" t="n">
        <v>97.3</v>
      </c>
      <c r="X199" s="20" t="n">
        <v>83.5</v>
      </c>
      <c r="Y199" s="40">
        <f>ROUND((V199*'Methodology &amp; Assumptions'!$B$6)+(W199*'Methodology &amp; Assumptions'!$B$5)+(X199*'Methodology &amp; Assumptions'!$B$7), 2)</f>
        <v/>
      </c>
    </row>
    <row r="200" ht="19" customHeight="1">
      <c r="A200" s="41" t="n">
        <v>196</v>
      </c>
      <c r="B200" s="41" t="n">
        <v>196</v>
      </c>
      <c r="C200" s="42" t="inlineStr">
        <is>
          <t>0803738057</t>
        </is>
      </c>
      <c r="D200" s="42" t="inlineStr">
        <is>
          <t>Region VIII (Eastern Visayas)</t>
        </is>
      </c>
      <c r="E200" s="42" t="inlineStr">
        <is>
          <t>Leyte</t>
        </is>
      </c>
      <c r="F200" s="42" t="inlineStr">
        <is>
          <t>Ormoc City</t>
        </is>
      </c>
      <c r="G200" s="42" t="inlineStr">
        <is>
          <t>Lao</t>
        </is>
      </c>
      <c r="H200" s="43" t="n">
        <v>11.015169</v>
      </c>
      <c r="I200" s="43" t="n">
        <v>124.591781</v>
      </c>
      <c r="J200" s="44" t="inlineStr">
        <is>
          <t>R</t>
        </is>
      </c>
      <c r="K200" s="42" t="inlineStr">
        <is>
          <t>Class 1-3 / Urban</t>
        </is>
      </c>
      <c r="L200" s="23" t="n">
        <v>4374</v>
      </c>
      <c r="M200" s="24" t="n">
        <v>4.24</v>
      </c>
      <c r="N200" s="23">
        <f>ROUND(L200/M200, 0)</f>
        <v/>
      </c>
      <c r="O200" s="23">
        <f>ROUND(N200*'Methodology &amp; Assumptions'!$B$8, 0)</f>
        <v/>
      </c>
      <c r="P200" s="44" t="inlineStr">
        <is>
          <t>Band n50 (1.5 GHz, 60 MHz)</t>
        </is>
      </c>
      <c r="Q200" s="38">
        <f>ROUNDUP(O200/'Methodology &amp; Assumptions'!$B$9, 0)</f>
        <v/>
      </c>
      <c r="R200" s="39" t="n">
        <v>1</v>
      </c>
      <c r="S200" s="25" t="n">
        <v>1.05</v>
      </c>
      <c r="T200" s="25" t="n">
        <v>0.79</v>
      </c>
      <c r="U200" s="42" t="inlineStr">
        <is>
          <t>Tier 1B (Micro Drop, 1-3 km)</t>
        </is>
      </c>
      <c r="V200" s="24" t="n">
        <v>80.40000000000001</v>
      </c>
      <c r="W200" s="24" t="n">
        <v>100</v>
      </c>
      <c r="X200" s="24" t="n">
        <v>58</v>
      </c>
      <c r="Y200" s="45">
        <f>ROUND((V200*'Methodology &amp; Assumptions'!$B$6)+(W200*'Methodology &amp; Assumptions'!$B$5)+(X200*'Methodology &amp; Assumptions'!$B$7), 2)</f>
        <v/>
      </c>
    </row>
    <row r="201" ht="19" customHeight="1">
      <c r="A201" s="35" t="n">
        <v>197</v>
      </c>
      <c r="B201" s="35" t="n">
        <v>197</v>
      </c>
      <c r="C201" s="36" t="inlineStr">
        <is>
          <t>0403410022</t>
        </is>
      </c>
      <c r="D201" s="36" t="inlineStr">
        <is>
          <t>Region IV-A (CALABARZON)</t>
        </is>
      </c>
      <c r="E201" s="36" t="inlineStr">
        <is>
          <t>Laguna</t>
        </is>
      </c>
      <c r="F201" s="36" t="inlineStr">
        <is>
          <t>Liliw</t>
        </is>
      </c>
      <c r="G201" s="36" t="inlineStr">
        <is>
          <t>Kanlurang Bukal</t>
        </is>
      </c>
      <c r="H201" s="37" t="n">
        <v>14.127366</v>
      </c>
      <c r="I201" s="37" t="n">
        <v>121.439629</v>
      </c>
      <c r="J201" s="8" t="inlineStr">
        <is>
          <t>R</t>
        </is>
      </c>
      <c r="K201" s="36" t="inlineStr">
        <is>
          <t>3rd</t>
        </is>
      </c>
      <c r="L201" s="18" t="n">
        <v>4423</v>
      </c>
      <c r="M201" s="20" t="n">
        <v>3.93</v>
      </c>
      <c r="N201" s="18">
        <f>ROUND(L201/M201, 0)</f>
        <v/>
      </c>
      <c r="O201" s="18">
        <f>ROUND(N201*'Methodology &amp; Assumptions'!$B$8, 0)</f>
        <v/>
      </c>
      <c r="P201" s="8" t="inlineStr">
        <is>
          <t>Band n50 (1.5 GHz, 60 MHz)</t>
        </is>
      </c>
      <c r="Q201" s="38">
        <f>ROUNDUP(O201/'Methodology &amp; Assumptions'!$B$9, 0)</f>
        <v/>
      </c>
      <c r="R201" s="39" t="n">
        <v>1</v>
      </c>
      <c r="S201" s="21" t="n">
        <v>1.05</v>
      </c>
      <c r="T201" s="21" t="n">
        <v>0.46</v>
      </c>
      <c r="U201" s="36" t="inlineStr">
        <is>
          <t>Tier 1B (Micro Drop, 1-3 km)</t>
        </is>
      </c>
      <c r="V201" s="20" t="n">
        <v>80.40000000000001</v>
      </c>
      <c r="W201" s="20" t="n">
        <v>100</v>
      </c>
      <c r="X201" s="20" t="n">
        <v>58</v>
      </c>
      <c r="Y201" s="40">
        <f>ROUND((V201*'Methodology &amp; Assumptions'!$B$6)+(W201*'Methodology &amp; Assumptions'!$B$5)+(X201*'Methodology &amp; Assumptions'!$B$7), 2)</f>
        <v/>
      </c>
    </row>
    <row r="202" ht="19" customHeight="1">
      <c r="A202" s="41" t="n">
        <v>198</v>
      </c>
      <c r="B202" s="41" t="n">
        <v>198</v>
      </c>
      <c r="C202" s="42" t="inlineStr">
        <is>
          <t>0803703015</t>
        </is>
      </c>
      <c r="D202" s="42" t="inlineStr">
        <is>
          <t>Region VIII (Eastern Visayas)</t>
        </is>
      </c>
      <c r="E202" s="42" t="inlineStr">
        <is>
          <t>Leyte</t>
        </is>
      </c>
      <c r="F202" s="42" t="inlineStr">
        <is>
          <t>Albuera</t>
        </is>
      </c>
      <c r="G202" s="42" t="inlineStr">
        <is>
          <t>Tabgas</t>
        </is>
      </c>
      <c r="H202" s="43" t="n">
        <v>10.898837</v>
      </c>
      <c r="I202" s="43" t="n">
        <v>124.707674</v>
      </c>
      <c r="J202" s="44" t="inlineStr">
        <is>
          <t>R</t>
        </is>
      </c>
      <c r="K202" s="42" t="inlineStr">
        <is>
          <t>Class 1-3 / Urban</t>
        </is>
      </c>
      <c r="L202" s="23" t="n">
        <v>3090</v>
      </c>
      <c r="M202" s="24" t="n">
        <v>4.24</v>
      </c>
      <c r="N202" s="23">
        <f>ROUND(L202/M202, 0)</f>
        <v/>
      </c>
      <c r="O202" s="23">
        <f>ROUND(N202*'Methodology &amp; Assumptions'!$B$8, 0)</f>
        <v/>
      </c>
      <c r="P202" s="44" t="inlineStr">
        <is>
          <t>Band n50 (1.5 GHz, 60 MHz)</t>
        </is>
      </c>
      <c r="Q202" s="38">
        <f>ROUNDUP(O202/'Methodology &amp; Assumptions'!$B$9, 0)</f>
        <v/>
      </c>
      <c r="R202" s="39" t="n">
        <v>1</v>
      </c>
      <c r="S202" s="25" t="n">
        <v>0.39</v>
      </c>
      <c r="T202" s="25" t="n">
        <v>0.06</v>
      </c>
      <c r="U202" s="42" t="inlineStr">
        <is>
          <t>Tier 1A (Direct Coloc, &lt;1 km)</t>
        </is>
      </c>
      <c r="V202" s="24" t="n">
        <v>97.90000000000001</v>
      </c>
      <c r="W202" s="24" t="n">
        <v>82.40000000000001</v>
      </c>
      <c r="X202" s="24" t="n">
        <v>58</v>
      </c>
      <c r="Y202" s="45">
        <f>ROUND((V202*'Methodology &amp; Assumptions'!$B$6)+(W202*'Methodology &amp; Assumptions'!$B$5)+(X202*'Methodology &amp; Assumptions'!$B$7), 2)</f>
        <v/>
      </c>
    </row>
    <row r="203" ht="19" customHeight="1">
      <c r="A203" s="35" t="n">
        <v>199</v>
      </c>
      <c r="B203" s="35" t="n">
        <v>199</v>
      </c>
      <c r="C203" s="36" t="inlineStr">
        <is>
          <t>0401019002</t>
        </is>
      </c>
      <c r="D203" s="36" t="inlineStr">
        <is>
          <t>Region IV-A (CALABARZON)</t>
        </is>
      </c>
      <c r="E203" s="36" t="inlineStr">
        <is>
          <t>Batangas</t>
        </is>
      </c>
      <c r="F203" s="36" t="inlineStr">
        <is>
          <t>Nasugbu</t>
        </is>
      </c>
      <c r="G203" s="36" t="inlineStr">
        <is>
          <t>Balaytigui</t>
        </is>
      </c>
      <c r="H203" s="37" t="n">
        <v>14.130131</v>
      </c>
      <c r="I203" s="37" t="n">
        <v>120.60201</v>
      </c>
      <c r="J203" s="8" t="inlineStr">
        <is>
          <t>R</t>
        </is>
      </c>
      <c r="K203" s="36" t="inlineStr">
        <is>
          <t>Class 1-3 / Urban</t>
        </is>
      </c>
      <c r="L203" s="18" t="n">
        <v>4572</v>
      </c>
      <c r="M203" s="20" t="n">
        <v>4.62</v>
      </c>
      <c r="N203" s="18">
        <f>ROUND(L203/M203, 0)</f>
        <v/>
      </c>
      <c r="O203" s="18">
        <f>ROUND(N203*'Methodology &amp; Assumptions'!$B$8, 0)</f>
        <v/>
      </c>
      <c r="P203" s="8" t="inlineStr">
        <is>
          <t>Band n50 (1.5 GHz, 60 MHz)</t>
        </is>
      </c>
      <c r="Q203" s="38">
        <f>ROUNDUP(O203/'Methodology &amp; Assumptions'!$B$9, 0)</f>
        <v/>
      </c>
      <c r="R203" s="39" t="n">
        <v>1</v>
      </c>
      <c r="S203" s="21" t="n">
        <v>0.66</v>
      </c>
      <c r="T203" s="21" t="n">
        <v>6.17</v>
      </c>
      <c r="U203" s="36" t="inlineStr">
        <is>
          <t>Tier 1A (Direct Coloc, &lt;1 km)</t>
        </is>
      </c>
      <c r="V203" s="20" t="n">
        <v>80.3</v>
      </c>
      <c r="W203" s="20" t="n">
        <v>100</v>
      </c>
      <c r="X203" s="20" t="n">
        <v>58</v>
      </c>
      <c r="Y203" s="40">
        <f>ROUND((V203*'Methodology &amp; Assumptions'!$B$6)+(W203*'Methodology &amp; Assumptions'!$B$5)+(X203*'Methodology &amp; Assumptions'!$B$7), 2)</f>
        <v/>
      </c>
    </row>
    <row r="204" ht="19" customHeight="1">
      <c r="A204" s="41" t="n">
        <v>200</v>
      </c>
      <c r="B204" s="41" t="n">
        <v>200</v>
      </c>
      <c r="C204" s="42" t="inlineStr">
        <is>
          <t>0403412013</t>
        </is>
      </c>
      <c r="D204" s="42" t="inlineStr">
        <is>
          <t>Region IV-A (CALABARZON)</t>
        </is>
      </c>
      <c r="E204" s="42" t="inlineStr">
        <is>
          <t>Laguna</t>
        </is>
      </c>
      <c r="F204" s="42" t="inlineStr">
        <is>
          <t>Luisiana</t>
        </is>
      </c>
      <c r="G204" s="42" t="inlineStr">
        <is>
          <t>San Isidro</t>
        </is>
      </c>
      <c r="H204" s="43" t="n">
        <v>14.182025</v>
      </c>
      <c r="I204" s="43" t="n">
        <v>121.508967</v>
      </c>
      <c r="J204" s="44" t="inlineStr">
        <is>
          <t>R</t>
        </is>
      </c>
      <c r="K204" s="42" t="inlineStr">
        <is>
          <t>4th</t>
        </is>
      </c>
      <c r="L204" s="23" t="n">
        <v>2783</v>
      </c>
      <c r="M204" s="24" t="n">
        <v>4.07</v>
      </c>
      <c r="N204" s="23">
        <f>ROUND(L204/M204, 0)</f>
        <v/>
      </c>
      <c r="O204" s="23">
        <f>ROUND(N204*'Methodology &amp; Assumptions'!$B$8, 0)</f>
        <v/>
      </c>
      <c r="P204" s="44" t="inlineStr">
        <is>
          <t>Band n50 (1.5 GHz, 60 MHz)</t>
        </is>
      </c>
      <c r="Q204" s="38">
        <f>ROUNDUP(O204/'Methodology &amp; Assumptions'!$B$9, 0)</f>
        <v/>
      </c>
      <c r="R204" s="39" t="n">
        <v>1</v>
      </c>
      <c r="S204" s="25" t="n">
        <v>0.68</v>
      </c>
      <c r="T204" s="25" t="n">
        <v>3.8</v>
      </c>
      <c r="U204" s="42" t="inlineStr">
        <is>
          <t>Tier 1A (Direct Coloc, &lt;1 km)</t>
        </is>
      </c>
      <c r="V204" s="24" t="n">
        <v>79.7</v>
      </c>
      <c r="W204" s="24" t="n">
        <v>78.7</v>
      </c>
      <c r="X204" s="24" t="n">
        <v>83.5</v>
      </c>
      <c r="Y204" s="45">
        <f>ROUND((V204*'Methodology &amp; Assumptions'!$B$6)+(W204*'Methodology &amp; Assumptions'!$B$5)+(X204*'Methodology &amp; Assumptions'!$B$7), 2)</f>
        <v/>
      </c>
    </row>
    <row r="205" ht="19" customHeight="1">
      <c r="A205" s="35" t="n">
        <v>201</v>
      </c>
      <c r="B205" s="35" t="n">
        <v>201</v>
      </c>
      <c r="C205" s="36" t="inlineStr">
        <is>
          <t>1430300087</t>
        </is>
      </c>
      <c r="D205" s="36" t="inlineStr">
        <is>
          <t>Cordillera Administrative Region (CAR)</t>
        </is>
      </c>
      <c r="E205" s="36" t="inlineStr">
        <is>
          <t>Benguet</t>
        </is>
      </c>
      <c r="F205" s="36" t="inlineStr">
        <is>
          <t>City of Baguio</t>
        </is>
      </c>
      <c r="G205" s="36" t="inlineStr">
        <is>
          <t>Pinsao Pilot Project</t>
        </is>
      </c>
      <c r="H205" s="37" t="n">
        <v>16.42611</v>
      </c>
      <c r="I205" s="37" t="n">
        <v>120.5838</v>
      </c>
      <c r="J205" s="8" t="inlineStr">
        <is>
          <t>R</t>
        </is>
      </c>
      <c r="K205" s="36" t="inlineStr">
        <is>
          <t>Class 1-3 / Urban</t>
        </is>
      </c>
      <c r="L205" s="18" t="n">
        <v>4763</v>
      </c>
      <c r="M205" s="20" t="n">
        <v>4.58</v>
      </c>
      <c r="N205" s="18">
        <f>ROUND(L205/M205, 0)</f>
        <v/>
      </c>
      <c r="O205" s="18">
        <f>ROUND(N205*'Methodology &amp; Assumptions'!$B$8, 0)</f>
        <v/>
      </c>
      <c r="P205" s="8" t="inlineStr">
        <is>
          <t>Band n50 (1.5 GHz, 60 MHz)</t>
        </is>
      </c>
      <c r="Q205" s="38">
        <f>ROUNDUP(O205/'Methodology &amp; Assumptions'!$B$9, 0)</f>
        <v/>
      </c>
      <c r="R205" s="39" t="n">
        <v>1</v>
      </c>
      <c r="S205" s="21" t="n">
        <v>1.06</v>
      </c>
      <c r="T205" s="21" t="n">
        <v>1.45</v>
      </c>
      <c r="U205" s="36" t="inlineStr">
        <is>
          <t>Tier 1B (Micro Drop, 1-3 km)</t>
        </is>
      </c>
      <c r="V205" s="20" t="n">
        <v>80.2</v>
      </c>
      <c r="W205" s="20" t="n">
        <v>100</v>
      </c>
      <c r="X205" s="20" t="n">
        <v>58</v>
      </c>
      <c r="Y205" s="40">
        <f>ROUND((V205*'Methodology &amp; Assumptions'!$B$6)+(W205*'Methodology &amp; Assumptions'!$B$5)+(X205*'Methodology &amp; Assumptions'!$B$7), 2)</f>
        <v/>
      </c>
    </row>
    <row r="206" ht="19" customHeight="1">
      <c r="A206" s="41" t="n">
        <v>202</v>
      </c>
      <c r="B206" s="41" t="n">
        <v>202</v>
      </c>
      <c r="C206" s="42" t="inlineStr">
        <is>
          <t>1102401025</t>
        </is>
      </c>
      <c r="D206" s="42" t="inlineStr">
        <is>
          <t>Region XI (Davao Region)</t>
        </is>
      </c>
      <c r="E206" s="42" t="inlineStr">
        <is>
          <t>Davao del Sur</t>
        </is>
      </c>
      <c r="F206" s="42" t="inlineStr">
        <is>
          <t>Bansalan</t>
        </is>
      </c>
      <c r="G206" s="42" t="inlineStr">
        <is>
          <t>Poblacion Dos</t>
        </is>
      </c>
      <c r="H206" s="43" t="n">
        <v>6.786154</v>
      </c>
      <c r="I206" s="43" t="n">
        <v>125.209196</v>
      </c>
      <c r="J206" s="44" t="inlineStr">
        <is>
          <t>U</t>
        </is>
      </c>
      <c r="K206" s="42" t="inlineStr">
        <is>
          <t>Class 1-3 / Urban</t>
        </is>
      </c>
      <c r="L206" s="23" t="n">
        <v>10532</v>
      </c>
      <c r="M206" s="24" t="n">
        <v>4.1</v>
      </c>
      <c r="N206" s="23">
        <f>ROUND(L206/M206, 0)</f>
        <v/>
      </c>
      <c r="O206" s="23">
        <f>ROUND(N206*'Methodology &amp; Assumptions'!$B$8, 0)</f>
        <v/>
      </c>
      <c r="P206" s="44" t="inlineStr">
        <is>
          <t>Band n50 (1.5 GHz, 60 MHz)</t>
        </is>
      </c>
      <c r="Q206" s="38">
        <f>ROUNDUP(O206/'Methodology &amp; Assumptions'!$B$9, 0)</f>
        <v/>
      </c>
      <c r="R206" s="39" t="n">
        <v>1</v>
      </c>
      <c r="S206" s="25" t="n">
        <v>0.22</v>
      </c>
      <c r="T206" s="25" t="n">
        <v>16.94</v>
      </c>
      <c r="U206" s="42" t="inlineStr">
        <is>
          <t>Tier 1A (Direct Coloc, &lt;1 km)</t>
        </is>
      </c>
      <c r="V206" s="24" t="n">
        <v>93.09999999999999</v>
      </c>
      <c r="W206" s="24" t="n">
        <v>100</v>
      </c>
      <c r="X206" s="24" t="n">
        <v>43</v>
      </c>
      <c r="Y206" s="45">
        <f>ROUND((V206*'Methodology &amp; Assumptions'!$B$6)+(W206*'Methodology &amp; Assumptions'!$B$5)+(X206*'Methodology &amp; Assumptions'!$B$7), 2)</f>
        <v/>
      </c>
    </row>
    <row r="207" ht="19" customHeight="1">
      <c r="A207" s="35" t="n">
        <v>203</v>
      </c>
      <c r="B207" s="35" t="n">
        <v>203</v>
      </c>
      <c r="C207" s="36" t="inlineStr">
        <is>
          <t>0601902004</t>
        </is>
      </c>
      <c r="D207" s="36" t="inlineStr">
        <is>
          <t>Region VI (Western Visayas)</t>
        </is>
      </c>
      <c r="E207" s="36" t="inlineStr">
        <is>
          <t>Capiz</t>
        </is>
      </c>
      <c r="F207" s="36" t="inlineStr">
        <is>
          <t>Dao</t>
        </is>
      </c>
      <c r="G207" s="36" t="inlineStr">
        <is>
          <t>Balucuan</t>
        </is>
      </c>
      <c r="H207" s="37" t="n">
        <v>11.397045</v>
      </c>
      <c r="I207" s="37" t="n">
        <v>122.680029</v>
      </c>
      <c r="J207" s="8" t="inlineStr">
        <is>
          <t>R</t>
        </is>
      </c>
      <c r="K207" s="36" t="inlineStr">
        <is>
          <t>3rd</t>
        </is>
      </c>
      <c r="L207" s="18" t="n">
        <v>3389</v>
      </c>
      <c r="M207" s="20" t="n">
        <v>4.19</v>
      </c>
      <c r="N207" s="18">
        <f>ROUND(L207/M207, 0)</f>
        <v/>
      </c>
      <c r="O207" s="18">
        <f>ROUND(N207*'Methodology &amp; Assumptions'!$B$8, 0)</f>
        <v/>
      </c>
      <c r="P207" s="8" t="inlineStr">
        <is>
          <t>Band n50 (1.5 GHz, 60 MHz)</t>
        </is>
      </c>
      <c r="Q207" s="38">
        <f>ROUNDUP(O207/'Methodology &amp; Assumptions'!$B$9, 0)</f>
        <v/>
      </c>
      <c r="R207" s="39" t="n">
        <v>1</v>
      </c>
      <c r="S207" s="21" t="n">
        <v>0.62</v>
      </c>
      <c r="T207" s="21" t="n">
        <v>0.49</v>
      </c>
      <c r="U207" s="36" t="inlineStr">
        <is>
          <t>Tier 1A (Direct Coloc, &lt;1 km)</t>
        </is>
      </c>
      <c r="V207" s="20" t="n">
        <v>91.40000000000001</v>
      </c>
      <c r="W207" s="20" t="n">
        <v>88.8</v>
      </c>
      <c r="X207" s="20" t="n">
        <v>58</v>
      </c>
      <c r="Y207" s="40">
        <f>ROUND((V207*'Methodology &amp; Assumptions'!$B$6)+(W207*'Methodology &amp; Assumptions'!$B$5)+(X207*'Methodology &amp; Assumptions'!$B$7), 2)</f>
        <v/>
      </c>
    </row>
    <row r="208" ht="19" customHeight="1">
      <c r="A208" s="41" t="n">
        <v>204</v>
      </c>
      <c r="B208" s="41" t="n">
        <v>204</v>
      </c>
      <c r="C208" s="42" t="inlineStr">
        <is>
          <t>0405806027</t>
        </is>
      </c>
      <c r="D208" s="42" t="inlineStr">
        <is>
          <t>Region IV-A (CALABARZON)</t>
        </is>
      </c>
      <c r="E208" s="42" t="inlineStr">
        <is>
          <t>Rizal</t>
        </is>
      </c>
      <c r="F208" s="42" t="inlineStr">
        <is>
          <t>Cardona</t>
        </is>
      </c>
      <c r="G208" s="42" t="inlineStr">
        <is>
          <t>San Roque</t>
        </is>
      </c>
      <c r="H208" s="43" t="n">
        <v>14.48375</v>
      </c>
      <c r="I208" s="43" t="n">
        <v>121.22798</v>
      </c>
      <c r="J208" s="44" t="inlineStr">
        <is>
          <t>R</t>
        </is>
      </c>
      <c r="K208" s="42" t="inlineStr">
        <is>
          <t>Class 1-3 / Urban</t>
        </is>
      </c>
      <c r="L208" s="23" t="n">
        <v>3076</v>
      </c>
      <c r="M208" s="24" t="n">
        <v>4.39</v>
      </c>
      <c r="N208" s="23">
        <f>ROUND(L208/M208, 0)</f>
        <v/>
      </c>
      <c r="O208" s="23">
        <f>ROUND(N208*'Methodology &amp; Assumptions'!$B$8, 0)</f>
        <v/>
      </c>
      <c r="P208" s="44" t="inlineStr">
        <is>
          <t>Band n50 (1.5 GHz, 60 MHz)</t>
        </is>
      </c>
      <c r="Q208" s="38">
        <f>ROUNDUP(O208/'Methodology &amp; Assumptions'!$B$9, 0)</f>
        <v/>
      </c>
      <c r="R208" s="39" t="n">
        <v>1</v>
      </c>
      <c r="S208" s="25" t="n">
        <v>0.3</v>
      </c>
      <c r="T208" s="25" t="n">
        <v>0.01</v>
      </c>
      <c r="U208" s="42" t="inlineStr">
        <is>
          <t>Tier 1A (Direct Coloc, &lt;1 km)</t>
        </is>
      </c>
      <c r="V208" s="24" t="n">
        <v>100</v>
      </c>
      <c r="W208" s="24" t="n">
        <v>80</v>
      </c>
      <c r="X208" s="24" t="n">
        <v>58</v>
      </c>
      <c r="Y208" s="45">
        <f>ROUND((V208*'Methodology &amp; Assumptions'!$B$6)+(W208*'Methodology &amp; Assumptions'!$B$5)+(X208*'Methodology &amp; Assumptions'!$B$7), 2)</f>
        <v/>
      </c>
    </row>
    <row r="209" ht="19" customHeight="1">
      <c r="A209" s="35" t="n">
        <v>205</v>
      </c>
      <c r="B209" s="35" t="n">
        <v>205</v>
      </c>
      <c r="C209" s="36" t="inlineStr">
        <is>
          <t>1600306023</t>
        </is>
      </c>
      <c r="D209" s="36" t="inlineStr">
        <is>
          <t>Region XIII (Caraga)</t>
        </is>
      </c>
      <c r="E209" s="36" t="inlineStr">
        <is>
          <t>Agusan del Sur</t>
        </is>
      </c>
      <c r="F209" s="36" t="inlineStr">
        <is>
          <t>Prosperidad</t>
        </is>
      </c>
      <c r="G209" s="36" t="inlineStr">
        <is>
          <t>San Jose</t>
        </is>
      </c>
      <c r="H209" s="37" t="n">
        <v>8.679548</v>
      </c>
      <c r="I209" s="37" t="n">
        <v>125.8393</v>
      </c>
      <c r="J209" s="8" t="inlineStr">
        <is>
          <t>R</t>
        </is>
      </c>
      <c r="K209" s="36" t="inlineStr">
        <is>
          <t>Class 1-3 / Urban</t>
        </is>
      </c>
      <c r="L209" s="18" t="n">
        <v>2870</v>
      </c>
      <c r="M209" s="20" t="n">
        <v>4.1</v>
      </c>
      <c r="N209" s="18">
        <f>ROUND(L209/M209, 0)</f>
        <v/>
      </c>
      <c r="O209" s="18">
        <f>ROUND(N209*'Methodology &amp; Assumptions'!$B$8, 0)</f>
        <v/>
      </c>
      <c r="P209" s="8" t="inlineStr">
        <is>
          <t>Band n50 (1.5 GHz, 60 MHz)</t>
        </is>
      </c>
      <c r="Q209" s="38">
        <f>ROUNDUP(O209/'Methodology &amp; Assumptions'!$B$9, 0)</f>
        <v/>
      </c>
      <c r="R209" s="39" t="n">
        <v>1</v>
      </c>
      <c r="S209" s="21" t="n">
        <v>0.09</v>
      </c>
      <c r="T209" s="21" t="n">
        <v>0.3</v>
      </c>
      <c r="U209" s="36" t="inlineStr">
        <is>
          <t>Tier 1A (Direct Coloc, &lt;1 km)</t>
        </is>
      </c>
      <c r="V209" s="20" t="n">
        <v>100</v>
      </c>
      <c r="W209" s="20" t="n">
        <v>80</v>
      </c>
      <c r="X209" s="20" t="n">
        <v>58</v>
      </c>
      <c r="Y209" s="40">
        <f>ROUND((V209*'Methodology &amp; Assumptions'!$B$6)+(W209*'Methodology &amp; Assumptions'!$B$5)+(X209*'Methodology &amp; Assumptions'!$B$7), 2)</f>
        <v/>
      </c>
    </row>
    <row r="210" ht="19" customHeight="1">
      <c r="A210" s="41" t="n">
        <v>206</v>
      </c>
      <c r="B210" s="41" t="n">
        <v>206</v>
      </c>
      <c r="C210" s="42" t="inlineStr">
        <is>
          <t>0306905019</t>
        </is>
      </c>
      <c r="D210" s="42" t="inlineStr">
        <is>
          <t>Region III (Central Luzon)</t>
        </is>
      </c>
      <c r="E210" s="42" t="inlineStr">
        <is>
          <t>Tarlac</t>
        </is>
      </c>
      <c r="F210" s="42" t="inlineStr">
        <is>
          <t>Concepcion</t>
        </is>
      </c>
      <c r="G210" s="42" t="inlineStr">
        <is>
          <t>Minane</t>
        </is>
      </c>
      <c r="H210" s="43" t="n">
        <v>15.318671</v>
      </c>
      <c r="I210" s="43" t="n">
        <v>120.648863</v>
      </c>
      <c r="J210" s="44" t="inlineStr">
        <is>
          <t>R</t>
        </is>
      </c>
      <c r="K210" s="42" t="inlineStr">
        <is>
          <t>Class 1-3 / Urban</t>
        </is>
      </c>
      <c r="L210" s="23" t="n">
        <v>3719</v>
      </c>
      <c r="M210" s="24" t="n">
        <v>4.3</v>
      </c>
      <c r="N210" s="23">
        <f>ROUND(L210/M210, 0)</f>
        <v/>
      </c>
      <c r="O210" s="23">
        <f>ROUND(N210*'Methodology &amp; Assumptions'!$B$8, 0)</f>
        <v/>
      </c>
      <c r="P210" s="44" t="inlineStr">
        <is>
          <t>Band n50 (1.5 GHz, 60 MHz)</t>
        </is>
      </c>
      <c r="Q210" s="38">
        <f>ROUNDUP(O210/'Methodology &amp; Assumptions'!$B$9, 0)</f>
        <v/>
      </c>
      <c r="R210" s="39" t="n">
        <v>1</v>
      </c>
      <c r="S210" s="25" t="n">
        <v>0.8</v>
      </c>
      <c r="T210" s="25" t="n">
        <v>0.19</v>
      </c>
      <c r="U210" s="42" t="inlineStr">
        <is>
          <t>Tier 1A (Direct Coloc, &lt;1 km)</t>
        </is>
      </c>
      <c r="V210" s="24" t="n">
        <v>86.59999999999999</v>
      </c>
      <c r="W210" s="24" t="n">
        <v>93.3</v>
      </c>
      <c r="X210" s="24" t="n">
        <v>58</v>
      </c>
      <c r="Y210" s="45">
        <f>ROUND((V210*'Methodology &amp; Assumptions'!$B$6)+(W210*'Methodology &amp; Assumptions'!$B$5)+(X210*'Methodology &amp; Assumptions'!$B$7), 2)</f>
        <v/>
      </c>
    </row>
    <row r="211" ht="19" customHeight="1">
      <c r="A211" s="35" t="n">
        <v>207</v>
      </c>
      <c r="B211" s="35" t="n">
        <v>207</v>
      </c>
      <c r="C211" s="36" t="inlineStr">
        <is>
          <t>0402117005</t>
        </is>
      </c>
      <c r="D211" s="36" t="inlineStr">
        <is>
          <t>Region IV-A (CALABARZON)</t>
        </is>
      </c>
      <c r="E211" s="36" t="inlineStr">
        <is>
          <t>Cavite</t>
        </is>
      </c>
      <c r="F211" s="36" t="inlineStr">
        <is>
          <t>Rosario</t>
        </is>
      </c>
      <c r="G211" s="36" t="inlineStr">
        <is>
          <t>Ligtong I</t>
        </is>
      </c>
      <c r="H211" s="37" t="n">
        <v>14.427859</v>
      </c>
      <c r="I211" s="37" t="n">
        <v>120.867469</v>
      </c>
      <c r="J211" s="8" t="inlineStr">
        <is>
          <t>R</t>
        </is>
      </c>
      <c r="K211" s="36" t="inlineStr">
        <is>
          <t>Class 1-3 / Urban</t>
        </is>
      </c>
      <c r="L211" s="18" t="n">
        <v>4792</v>
      </c>
      <c r="M211" s="20" t="n">
        <v>4.49</v>
      </c>
      <c r="N211" s="18">
        <f>ROUND(L211/M211, 0)</f>
        <v/>
      </c>
      <c r="O211" s="18">
        <f>ROUND(N211*'Methodology &amp; Assumptions'!$B$8, 0)</f>
        <v/>
      </c>
      <c r="P211" s="8" t="inlineStr">
        <is>
          <t>Band n50 (1.5 GHz, 60 MHz)</t>
        </is>
      </c>
      <c r="Q211" s="38">
        <f>ROUNDUP(O211/'Methodology &amp; Assumptions'!$B$9, 0)</f>
        <v/>
      </c>
      <c r="R211" s="39" t="n">
        <v>1</v>
      </c>
      <c r="S211" s="21" t="n">
        <v>1.68</v>
      </c>
      <c r="T211" s="21" t="n">
        <v>1.65</v>
      </c>
      <c r="U211" s="36" t="inlineStr">
        <is>
          <t>Tier 1B (Micro Drop, 1-3 km)</t>
        </is>
      </c>
      <c r="V211" s="20" t="n">
        <v>67</v>
      </c>
      <c r="W211" s="20" t="n">
        <v>100</v>
      </c>
      <c r="X211" s="20" t="n">
        <v>73</v>
      </c>
      <c r="Y211" s="40">
        <f>ROUND((V211*'Methodology &amp; Assumptions'!$B$6)+(W211*'Methodology &amp; Assumptions'!$B$5)+(X211*'Methodology &amp; Assumptions'!$B$7), 2)</f>
        <v/>
      </c>
    </row>
    <row r="212" ht="19" customHeight="1">
      <c r="A212" s="41" t="n">
        <v>208</v>
      </c>
      <c r="B212" s="41" t="n">
        <v>208</v>
      </c>
      <c r="C212" s="42" t="inlineStr">
        <is>
          <t>0604515021</t>
        </is>
      </c>
      <c r="D212" s="42" t="inlineStr">
        <is>
          <t>Region VI (Western Visayas)</t>
        </is>
      </c>
      <c r="E212" s="42" t="inlineStr">
        <is>
          <t>Negros Occidental</t>
        </is>
      </c>
      <c r="F212" s="42" t="inlineStr">
        <is>
          <t>City of Kabankalan</t>
        </is>
      </c>
      <c r="G212" s="42" t="inlineStr">
        <is>
          <t>Barangay 1</t>
        </is>
      </c>
      <c r="H212" s="43" t="n">
        <v>9.995189</v>
      </c>
      <c r="I212" s="43" t="n">
        <v>122.817865</v>
      </c>
      <c r="J212" s="44" t="inlineStr">
        <is>
          <t>U</t>
        </is>
      </c>
      <c r="K212" s="42" t="inlineStr">
        <is>
          <t>Class 1-3 / Urban</t>
        </is>
      </c>
      <c r="L212" s="23" t="n">
        <v>6259</v>
      </c>
      <c r="M212" s="24" t="n">
        <v>4.33</v>
      </c>
      <c r="N212" s="23">
        <f>ROUND(L212/M212, 0)</f>
        <v/>
      </c>
      <c r="O212" s="23">
        <f>ROUND(N212*'Methodology &amp; Assumptions'!$B$8, 0)</f>
        <v/>
      </c>
      <c r="P212" s="44" t="inlineStr">
        <is>
          <t>Band n50 (1.5 GHz, 60 MHz)</t>
        </is>
      </c>
      <c r="Q212" s="38">
        <f>ROUNDUP(O212/'Methodology &amp; Assumptions'!$B$9, 0)</f>
        <v/>
      </c>
      <c r="R212" s="39" t="n">
        <v>1</v>
      </c>
      <c r="S212" s="25" t="n">
        <v>0.57</v>
      </c>
      <c r="T212" s="25" t="n">
        <v>0.26</v>
      </c>
      <c r="U212" s="42" t="inlineStr">
        <is>
          <t>Tier 1A (Direct Coloc, &lt;1 km)</t>
        </is>
      </c>
      <c r="V212" s="24" t="n">
        <v>92.59999999999999</v>
      </c>
      <c r="W212" s="24" t="n">
        <v>100</v>
      </c>
      <c r="X212" s="24" t="n">
        <v>43</v>
      </c>
      <c r="Y212" s="45">
        <f>ROUND((V212*'Methodology &amp; Assumptions'!$B$6)+(W212*'Methodology &amp; Assumptions'!$B$5)+(X212*'Methodology &amp; Assumptions'!$B$7), 2)</f>
        <v/>
      </c>
    </row>
    <row r="213" ht="19" customHeight="1">
      <c r="A213" s="35" t="n">
        <v>209</v>
      </c>
      <c r="B213" s="35" t="n">
        <v>209</v>
      </c>
      <c r="C213" s="36" t="inlineStr">
        <is>
          <t>0402104019</t>
        </is>
      </c>
      <c r="D213" s="36" t="inlineStr">
        <is>
          <t>Region IV-A (CALABARZON)</t>
        </is>
      </c>
      <c r="E213" s="36" t="inlineStr">
        <is>
          <t>Cavite</t>
        </is>
      </c>
      <c r="F213" s="36" t="inlineStr">
        <is>
          <t>Carmona</t>
        </is>
      </c>
      <c r="G213" s="36" t="inlineStr">
        <is>
          <t>Barangay 8</t>
        </is>
      </c>
      <c r="H213" s="37" t="n">
        <v>14.311477</v>
      </c>
      <c r="I213" s="37" t="n">
        <v>121.050767</v>
      </c>
      <c r="J213" s="8" t="inlineStr">
        <is>
          <t>R</t>
        </is>
      </c>
      <c r="K213" s="36" t="inlineStr">
        <is>
          <t>Class 1-3 / Urban</t>
        </is>
      </c>
      <c r="L213" s="18" t="n">
        <v>3125</v>
      </c>
      <c r="M213" s="20" t="n">
        <v>4.49</v>
      </c>
      <c r="N213" s="18">
        <f>ROUND(L213/M213, 0)</f>
        <v/>
      </c>
      <c r="O213" s="18">
        <f>ROUND(N213*'Methodology &amp; Assumptions'!$B$8, 0)</f>
        <v/>
      </c>
      <c r="P213" s="8" t="inlineStr">
        <is>
          <t>Band n50 (1.5 GHz, 60 MHz)</t>
        </is>
      </c>
      <c r="Q213" s="38">
        <f>ROUNDUP(O213/'Methodology &amp; Assumptions'!$B$9, 0)</f>
        <v/>
      </c>
      <c r="R213" s="39" t="n">
        <v>1</v>
      </c>
      <c r="S213" s="21" t="n">
        <v>0.1</v>
      </c>
      <c r="T213" s="21" t="n">
        <v>0.1</v>
      </c>
      <c r="U213" s="36" t="inlineStr">
        <is>
          <t>Tier 1A (Direct Coloc, &lt;1 km)</t>
        </is>
      </c>
      <c r="V213" s="20" t="n">
        <v>100</v>
      </c>
      <c r="W213" s="20" t="n">
        <v>79.7</v>
      </c>
      <c r="X213" s="20" t="n">
        <v>58</v>
      </c>
      <c r="Y213" s="40">
        <f>ROUND((V213*'Methodology &amp; Assumptions'!$B$6)+(W213*'Methodology &amp; Assumptions'!$B$5)+(X213*'Methodology &amp; Assumptions'!$B$7), 2)</f>
        <v/>
      </c>
    </row>
    <row r="214" ht="19" customHeight="1">
      <c r="A214" s="41" t="n">
        <v>210</v>
      </c>
      <c r="B214" s="41" t="n">
        <v>210</v>
      </c>
      <c r="C214" s="42" t="inlineStr">
        <is>
          <t>0403418004</t>
        </is>
      </c>
      <c r="D214" s="42" t="inlineStr">
        <is>
          <t>Region IV-A (CALABARZON)</t>
        </is>
      </c>
      <c r="E214" s="42" t="inlineStr">
        <is>
          <t>Laguna</t>
        </is>
      </c>
      <c r="F214" s="42" t="inlineStr">
        <is>
          <t>Paete</t>
        </is>
      </c>
      <c r="G214" s="42" t="inlineStr">
        <is>
          <t>Ibaba del Norte</t>
        </is>
      </c>
      <c r="H214" s="43" t="n">
        <v>14.364369</v>
      </c>
      <c r="I214" s="43" t="n">
        <v>121.480846</v>
      </c>
      <c r="J214" s="44" t="inlineStr">
        <is>
          <t>R</t>
        </is>
      </c>
      <c r="K214" s="42" t="inlineStr">
        <is>
          <t>4th</t>
        </is>
      </c>
      <c r="L214" s="23" t="n">
        <v>3108</v>
      </c>
      <c r="M214" s="24" t="n">
        <v>4.48</v>
      </c>
      <c r="N214" s="23">
        <f>ROUND(L214/M214, 0)</f>
        <v/>
      </c>
      <c r="O214" s="23">
        <f>ROUND(N214*'Methodology &amp; Assumptions'!$B$8, 0)</f>
        <v/>
      </c>
      <c r="P214" s="44" t="inlineStr">
        <is>
          <t>Band n50 (1.5 GHz, 60 MHz)</t>
        </is>
      </c>
      <c r="Q214" s="38">
        <f>ROUNDUP(O214/'Methodology &amp; Assumptions'!$B$9, 0)</f>
        <v/>
      </c>
      <c r="R214" s="39" t="n">
        <v>1</v>
      </c>
      <c r="S214" s="25" t="n">
        <v>0.62</v>
      </c>
      <c r="T214" s="25" t="n">
        <v>0.21</v>
      </c>
      <c r="U214" s="42" t="inlineStr">
        <is>
          <t>Tier 1A (Direct Coloc, &lt;1 km)</t>
        </is>
      </c>
      <c r="V214" s="24" t="n">
        <v>91.2</v>
      </c>
      <c r="W214" s="24" t="n">
        <v>79.5</v>
      </c>
      <c r="X214" s="24" t="n">
        <v>68.5</v>
      </c>
      <c r="Y214" s="45">
        <f>ROUND((V214*'Methodology &amp; Assumptions'!$B$6)+(W214*'Methodology &amp; Assumptions'!$B$5)+(X214*'Methodology &amp; Assumptions'!$B$7), 2)</f>
        <v/>
      </c>
    </row>
    <row r="215" ht="19" customHeight="1">
      <c r="A215" s="35" t="n">
        <v>211</v>
      </c>
      <c r="B215" s="35" t="n">
        <v>211</v>
      </c>
      <c r="C215" s="36" t="inlineStr">
        <is>
          <t>0403413001</t>
        </is>
      </c>
      <c r="D215" s="36" t="inlineStr">
        <is>
          <t>Region IV-A (CALABARZON)</t>
        </is>
      </c>
      <c r="E215" s="36" t="inlineStr">
        <is>
          <t>Laguna</t>
        </is>
      </c>
      <c r="F215" s="36" t="inlineStr">
        <is>
          <t>Lumban</t>
        </is>
      </c>
      <c r="G215" s="36" t="inlineStr">
        <is>
          <t>Bagong Silang</t>
        </is>
      </c>
      <c r="H215" s="37" t="n">
        <v>14.292743</v>
      </c>
      <c r="I215" s="37" t="n">
        <v>121.462297</v>
      </c>
      <c r="J215" s="8" t="inlineStr">
        <is>
          <t>R</t>
        </is>
      </c>
      <c r="K215" s="36" t="inlineStr">
        <is>
          <t>Class 1-3 / Urban</t>
        </is>
      </c>
      <c r="L215" s="18" t="n">
        <v>2963</v>
      </c>
      <c r="M215" s="20" t="n">
        <v>4.2</v>
      </c>
      <c r="N215" s="18">
        <f>ROUND(L215/M215, 0)</f>
        <v/>
      </c>
      <c r="O215" s="18">
        <f>ROUND(N215*'Methodology &amp; Assumptions'!$B$8, 0)</f>
        <v/>
      </c>
      <c r="P215" s="8" t="inlineStr">
        <is>
          <t>Band n50 (1.5 GHz, 60 MHz)</t>
        </is>
      </c>
      <c r="Q215" s="38">
        <f>ROUNDUP(O215/'Methodology &amp; Assumptions'!$B$9, 0)</f>
        <v/>
      </c>
      <c r="R215" s="39" t="n">
        <v>1</v>
      </c>
      <c r="S215" s="21" t="n">
        <v>0.35</v>
      </c>
      <c r="T215" s="21" t="n">
        <v>0.02</v>
      </c>
      <c r="U215" s="36" t="inlineStr">
        <is>
          <t>Tier 1A (Direct Coloc, &lt;1 km)</t>
        </is>
      </c>
      <c r="V215" s="20" t="n">
        <v>99.09999999999999</v>
      </c>
      <c r="W215" s="20" t="n">
        <v>80.5</v>
      </c>
      <c r="X215" s="20" t="n">
        <v>58</v>
      </c>
      <c r="Y215" s="40">
        <f>ROUND((V215*'Methodology &amp; Assumptions'!$B$6)+(W215*'Methodology &amp; Assumptions'!$B$5)+(X215*'Methodology &amp; Assumptions'!$B$7), 2)</f>
        <v/>
      </c>
    </row>
    <row r="216" ht="19" customHeight="1">
      <c r="A216" s="41" t="n">
        <v>212</v>
      </c>
      <c r="B216" s="41" t="n">
        <v>212</v>
      </c>
      <c r="C216" s="42" t="inlineStr">
        <is>
          <t>0304912006</t>
        </is>
      </c>
      <c r="D216" s="42" t="inlineStr">
        <is>
          <t>Region III (Central Luzon)</t>
        </is>
      </c>
      <c r="E216" s="42" t="inlineStr">
        <is>
          <t>Nueva Ecija</t>
        </is>
      </c>
      <c r="F216" s="42" t="inlineStr">
        <is>
          <t>Jaen</t>
        </is>
      </c>
      <c r="G216" s="42" t="inlineStr">
        <is>
          <t>Lambakin</t>
        </is>
      </c>
      <c r="H216" s="43" t="n">
        <v>15.371132</v>
      </c>
      <c r="I216" s="43" t="n">
        <v>120.863135</v>
      </c>
      <c r="J216" s="44" t="inlineStr">
        <is>
          <t>R</t>
        </is>
      </c>
      <c r="K216" s="42" t="inlineStr">
        <is>
          <t>Class 1-3 / Urban</t>
        </is>
      </c>
      <c r="L216" s="23" t="n">
        <v>4019</v>
      </c>
      <c r="M216" s="24" t="n">
        <v>4.32</v>
      </c>
      <c r="N216" s="23">
        <f>ROUND(L216/M216, 0)</f>
        <v/>
      </c>
      <c r="O216" s="23">
        <f>ROUND(N216*'Methodology &amp; Assumptions'!$B$8, 0)</f>
        <v/>
      </c>
      <c r="P216" s="44" t="inlineStr">
        <is>
          <t>Band n50 (1.5 GHz, 60 MHz)</t>
        </is>
      </c>
      <c r="Q216" s="38">
        <f>ROUNDUP(O216/'Methodology &amp; Assumptions'!$B$9, 0)</f>
        <v/>
      </c>
      <c r="R216" s="39" t="n">
        <v>1</v>
      </c>
      <c r="S216" s="25" t="n">
        <v>0.63</v>
      </c>
      <c r="T216" s="25" t="n">
        <v>7.31</v>
      </c>
      <c r="U216" s="42" t="inlineStr">
        <is>
          <t>Tier 1A (Direct Coloc, &lt;1 km)</t>
        </is>
      </c>
      <c r="V216" s="24" t="n">
        <v>81.09999999999999</v>
      </c>
      <c r="W216" s="24" t="n">
        <v>98.40000000000001</v>
      </c>
      <c r="X216" s="24" t="n">
        <v>58</v>
      </c>
      <c r="Y216" s="45">
        <f>ROUND((V216*'Methodology &amp; Assumptions'!$B$6)+(W216*'Methodology &amp; Assumptions'!$B$5)+(X216*'Methodology &amp; Assumptions'!$B$7), 2)</f>
        <v/>
      </c>
    </row>
    <row r="217" ht="19" customHeight="1">
      <c r="A217" s="35" t="n">
        <v>213</v>
      </c>
      <c r="B217" s="35" t="n">
        <v>213</v>
      </c>
      <c r="C217" s="36" t="inlineStr">
        <is>
          <t>0305417014</t>
        </is>
      </c>
      <c r="D217" s="36" t="inlineStr">
        <is>
          <t>Region III (Central Luzon)</t>
        </is>
      </c>
      <c r="E217" s="36" t="inlineStr">
        <is>
          <t>Pampanga</t>
        </is>
      </c>
      <c r="F217" s="36" t="inlineStr">
        <is>
          <t>San Luis</t>
        </is>
      </c>
      <c r="G217" s="36" t="inlineStr">
        <is>
          <t>Santa Monica</t>
        </is>
      </c>
      <c r="H217" s="37" t="n">
        <v>15.036713</v>
      </c>
      <c r="I217" s="37" t="n">
        <v>120.789231</v>
      </c>
      <c r="J217" s="8" t="inlineStr">
        <is>
          <t>R</t>
        </is>
      </c>
      <c r="K217" s="36" t="inlineStr">
        <is>
          <t>Class 1-3 / Urban</t>
        </is>
      </c>
      <c r="L217" s="18" t="n">
        <v>3207</v>
      </c>
      <c r="M217" s="20" t="n">
        <v>4.63</v>
      </c>
      <c r="N217" s="18">
        <f>ROUND(L217/M217, 0)</f>
        <v/>
      </c>
      <c r="O217" s="18">
        <f>ROUND(N217*'Methodology &amp; Assumptions'!$B$8, 0)</f>
        <v/>
      </c>
      <c r="P217" s="8" t="inlineStr">
        <is>
          <t>Band n50 (1.5 GHz, 60 MHz)</t>
        </is>
      </c>
      <c r="Q217" s="38">
        <f>ROUNDUP(O217/'Methodology &amp; Assumptions'!$B$9, 0)</f>
        <v/>
      </c>
      <c r="R217" s="39" t="n">
        <v>1</v>
      </c>
      <c r="S217" s="21" t="n">
        <v>0.27</v>
      </c>
      <c r="T217" s="21" t="n">
        <v>0.14</v>
      </c>
      <c r="U217" s="36" t="inlineStr">
        <is>
          <t>Tier 1A (Direct Coloc, &lt;1 km)</t>
        </is>
      </c>
      <c r="V217" s="20" t="n">
        <v>100</v>
      </c>
      <c r="W217" s="20" t="n">
        <v>79.5</v>
      </c>
      <c r="X217" s="20" t="n">
        <v>58</v>
      </c>
      <c r="Y217" s="40">
        <f>ROUND((V217*'Methodology &amp; Assumptions'!$B$6)+(W217*'Methodology &amp; Assumptions'!$B$5)+(X217*'Methodology &amp; Assumptions'!$B$7), 2)</f>
        <v/>
      </c>
    </row>
    <row r="218" ht="19" customHeight="1">
      <c r="A218" s="41" t="n">
        <v>214</v>
      </c>
      <c r="B218" s="41" t="n">
        <v>214</v>
      </c>
      <c r="C218" s="42" t="inlineStr">
        <is>
          <t>0831600148</t>
        </is>
      </c>
      <c r="D218" s="42" t="inlineStr">
        <is>
          <t>Region VIII (Eastern Visayas)</t>
        </is>
      </c>
      <c r="E218" s="42" t="inlineStr">
        <is>
          <t>Leyte</t>
        </is>
      </c>
      <c r="F218" s="42" t="inlineStr">
        <is>
          <t>City of Tacloban</t>
        </is>
      </c>
      <c r="G218" s="42" t="inlineStr">
        <is>
          <t>Barangay 62-A</t>
        </is>
      </c>
      <c r="H218" s="43" t="n">
        <v>11.220729</v>
      </c>
      <c r="I218" s="43" t="n">
        <v>125.003954</v>
      </c>
      <c r="J218" s="44" t="inlineStr">
        <is>
          <t>R</t>
        </is>
      </c>
      <c r="K218" s="42" t="inlineStr">
        <is>
          <t>Class 1-3 / Urban</t>
        </is>
      </c>
      <c r="L218" s="23" t="n">
        <v>4988</v>
      </c>
      <c r="M218" s="24" t="n">
        <v>4.24</v>
      </c>
      <c r="N218" s="23">
        <f>ROUND(L218/M218, 0)</f>
        <v/>
      </c>
      <c r="O218" s="23">
        <f>ROUND(N218*'Methodology &amp; Assumptions'!$B$8, 0)</f>
        <v/>
      </c>
      <c r="P218" s="44" t="inlineStr">
        <is>
          <t>Band n50 (1.5 GHz, 60 MHz)</t>
        </is>
      </c>
      <c r="Q218" s="38">
        <f>ROUNDUP(O218/'Methodology &amp; Assumptions'!$B$9, 0)</f>
        <v/>
      </c>
      <c r="R218" s="39" t="n">
        <v>1</v>
      </c>
      <c r="S218" s="25" t="n">
        <v>1.1</v>
      </c>
      <c r="T218" s="25" t="n">
        <v>1.09</v>
      </c>
      <c r="U218" s="42" t="inlineStr">
        <is>
          <t>Tier 1B (Micro Drop, 1-3 km)</t>
        </is>
      </c>
      <c r="V218" s="24" t="n">
        <v>79.40000000000001</v>
      </c>
      <c r="W218" s="24" t="n">
        <v>100</v>
      </c>
      <c r="X218" s="24" t="n">
        <v>58</v>
      </c>
      <c r="Y218" s="45">
        <f>ROUND((V218*'Methodology &amp; Assumptions'!$B$6)+(W218*'Methodology &amp; Assumptions'!$B$5)+(X218*'Methodology &amp; Assumptions'!$B$7), 2)</f>
        <v/>
      </c>
    </row>
    <row r="219" ht="19" customHeight="1">
      <c r="A219" s="35" t="n">
        <v>215</v>
      </c>
      <c r="B219" s="35" t="n">
        <v>215</v>
      </c>
      <c r="C219" s="36" t="inlineStr">
        <is>
          <t>0304932027</t>
        </is>
      </c>
      <c r="D219" s="36" t="inlineStr">
        <is>
          <t>Region III (Central Luzon)</t>
        </is>
      </c>
      <c r="E219" s="36" t="inlineStr">
        <is>
          <t>Nueva Ecija</t>
        </is>
      </c>
      <c r="F219" s="36" t="inlineStr">
        <is>
          <t>Zaragoza</t>
        </is>
      </c>
      <c r="G219" s="36" t="inlineStr">
        <is>
          <t>Santo Rosario Young</t>
        </is>
      </c>
      <c r="H219" s="37" t="n">
        <v>15.446111</v>
      </c>
      <c r="I219" s="37" t="n">
        <v>120.783611</v>
      </c>
      <c r="J219" s="8" t="inlineStr">
        <is>
          <t>R</t>
        </is>
      </c>
      <c r="K219" s="36" t="inlineStr">
        <is>
          <t>Class 1-3 / Urban</t>
        </is>
      </c>
      <c r="L219" s="18" t="n">
        <v>3884</v>
      </c>
      <c r="M219" s="20" t="n">
        <v>4.32</v>
      </c>
      <c r="N219" s="18">
        <f>ROUND(L219/M219, 0)</f>
        <v/>
      </c>
      <c r="O219" s="18">
        <f>ROUND(N219*'Methodology &amp; Assumptions'!$B$8, 0)</f>
        <v/>
      </c>
      <c r="P219" s="8" t="inlineStr">
        <is>
          <t>Band n50 (1.5 GHz, 60 MHz)</t>
        </is>
      </c>
      <c r="Q219" s="38">
        <f>ROUNDUP(O219/'Methodology &amp; Assumptions'!$B$9, 0)</f>
        <v/>
      </c>
      <c r="R219" s="39" t="n">
        <v>1</v>
      </c>
      <c r="S219" s="21" t="n">
        <v>0.93</v>
      </c>
      <c r="T219" s="21" t="n">
        <v>0.07000000000000001</v>
      </c>
      <c r="U219" s="36" t="inlineStr">
        <is>
          <t>Tier 1A (Direct Coloc, &lt;1 km)</t>
        </is>
      </c>
      <c r="V219" s="20" t="n">
        <v>83.3</v>
      </c>
      <c r="W219" s="20" t="n">
        <v>96</v>
      </c>
      <c r="X219" s="20" t="n">
        <v>58</v>
      </c>
      <c r="Y219" s="40">
        <f>ROUND((V219*'Methodology &amp; Assumptions'!$B$6)+(W219*'Methodology &amp; Assumptions'!$B$5)+(X219*'Methodology &amp; Assumptions'!$B$7), 2)</f>
        <v/>
      </c>
    </row>
    <row r="220" ht="19" customHeight="1">
      <c r="A220" s="41" t="n">
        <v>216</v>
      </c>
      <c r="B220" s="41" t="n">
        <v>216</v>
      </c>
      <c r="C220" s="42" t="inlineStr">
        <is>
          <t>0500517015</t>
        </is>
      </c>
      <c r="D220" s="42" t="inlineStr">
        <is>
          <t>Region V (Bicol Region)</t>
        </is>
      </c>
      <c r="E220" s="42" t="inlineStr">
        <is>
          <t>Albay</t>
        </is>
      </c>
      <c r="F220" s="42" t="inlineStr">
        <is>
          <t>City of Tabaco</t>
        </is>
      </c>
      <c r="G220" s="42" t="inlineStr">
        <is>
          <t>Cobo</t>
        </is>
      </c>
      <c r="H220" s="43" t="n">
        <v>13.350918</v>
      </c>
      <c r="I220" s="43" t="n">
        <v>123.727739</v>
      </c>
      <c r="J220" s="44" t="inlineStr">
        <is>
          <t>R</t>
        </is>
      </c>
      <c r="K220" s="42" t="inlineStr">
        <is>
          <t>Class 1-3 / Urban</t>
        </is>
      </c>
      <c r="L220" s="23" t="n">
        <v>3439</v>
      </c>
      <c r="M220" s="24" t="n">
        <v>4.67</v>
      </c>
      <c r="N220" s="23">
        <f>ROUND(L220/M220, 0)</f>
        <v/>
      </c>
      <c r="O220" s="23">
        <f>ROUND(N220*'Methodology &amp; Assumptions'!$B$8, 0)</f>
        <v/>
      </c>
      <c r="P220" s="44" t="inlineStr">
        <is>
          <t>Band n50 (1.5 GHz, 60 MHz)</t>
        </is>
      </c>
      <c r="Q220" s="38">
        <f>ROUNDUP(O220/'Methodology &amp; Assumptions'!$B$9, 0)</f>
        <v/>
      </c>
      <c r="R220" s="39" t="n">
        <v>1</v>
      </c>
      <c r="S220" s="25" t="n">
        <v>0.44</v>
      </c>
      <c r="T220" s="25" t="n">
        <v>0.42</v>
      </c>
      <c r="U220" s="42" t="inlineStr">
        <is>
          <t>Tier 1A (Direct Coloc, &lt;1 km)</t>
        </is>
      </c>
      <c r="V220" s="24" t="n">
        <v>96.40000000000001</v>
      </c>
      <c r="W220" s="24" t="n">
        <v>82.90000000000001</v>
      </c>
      <c r="X220" s="24" t="n">
        <v>58</v>
      </c>
      <c r="Y220" s="45">
        <f>ROUND((V220*'Methodology &amp; Assumptions'!$B$6)+(W220*'Methodology &amp; Assumptions'!$B$5)+(X220*'Methodology &amp; Assumptions'!$B$7), 2)</f>
        <v/>
      </c>
    </row>
    <row r="221" ht="19" customHeight="1">
      <c r="A221" s="35" t="n">
        <v>217</v>
      </c>
      <c r="B221" s="35" t="n">
        <v>217</v>
      </c>
      <c r="C221" s="36" t="inlineStr">
        <is>
          <t>0304917027</t>
        </is>
      </c>
      <c r="D221" s="36" t="inlineStr">
        <is>
          <t>Region III (Central Luzon)</t>
        </is>
      </c>
      <c r="E221" s="36" t="inlineStr">
        <is>
          <t>Nueva Ecija</t>
        </is>
      </c>
      <c r="F221" s="36" t="inlineStr">
        <is>
          <t>Science City of Muñoz</t>
        </is>
      </c>
      <c r="G221" s="36" t="inlineStr">
        <is>
          <t>Poblacion North</t>
        </is>
      </c>
      <c r="H221" s="37" t="n">
        <v>15.72091</v>
      </c>
      <c r="I221" s="37" t="n">
        <v>120.90364</v>
      </c>
      <c r="J221" s="8" t="inlineStr">
        <is>
          <t>R</t>
        </is>
      </c>
      <c r="K221" s="36" t="inlineStr">
        <is>
          <t>Class 1-3 / Urban</t>
        </is>
      </c>
      <c r="L221" s="18" t="n">
        <v>2707</v>
      </c>
      <c r="M221" s="20" t="n">
        <v>4.32</v>
      </c>
      <c r="N221" s="18">
        <f>ROUND(L221/M221, 0)</f>
        <v/>
      </c>
      <c r="O221" s="18">
        <f>ROUND(N221*'Methodology &amp; Assumptions'!$B$8, 0)</f>
        <v/>
      </c>
      <c r="P221" s="8" t="inlineStr">
        <is>
          <t>Band n50 (1.5 GHz, 60 MHz)</t>
        </is>
      </c>
      <c r="Q221" s="38">
        <f>ROUNDUP(O221/'Methodology &amp; Assumptions'!$B$9, 0)</f>
        <v/>
      </c>
      <c r="R221" s="39" t="n">
        <v>1</v>
      </c>
      <c r="S221" s="21" t="n">
        <v>0.59</v>
      </c>
      <c r="T221" s="21" t="n">
        <v>0.05</v>
      </c>
      <c r="U221" s="36" t="inlineStr">
        <is>
          <t>Tier 1A (Direct Coloc, &lt;1 km)</t>
        </is>
      </c>
      <c r="V221" s="20" t="n">
        <v>92.2</v>
      </c>
      <c r="W221" s="20" t="n">
        <v>74.09999999999999</v>
      </c>
      <c r="X221" s="20" t="n">
        <v>73</v>
      </c>
      <c r="Y221" s="40">
        <f>ROUND((V221*'Methodology &amp; Assumptions'!$B$6)+(W221*'Methodology &amp; Assumptions'!$B$5)+(X221*'Methodology &amp; Assumptions'!$B$7), 2)</f>
        <v/>
      </c>
    </row>
    <row r="222" ht="19" customHeight="1">
      <c r="A222" s="41" t="n">
        <v>218</v>
      </c>
      <c r="B222" s="41" t="n">
        <v>218</v>
      </c>
      <c r="C222" s="42" t="inlineStr">
        <is>
          <t>0500511010</t>
        </is>
      </c>
      <c r="D222" s="42" t="inlineStr">
        <is>
          <t>Region V (Bicol Region)</t>
        </is>
      </c>
      <c r="E222" s="42" t="inlineStr">
        <is>
          <t>Albay</t>
        </is>
      </c>
      <c r="F222" s="42" t="inlineStr">
        <is>
          <t>Manito</t>
        </is>
      </c>
      <c r="G222" s="42" t="inlineStr">
        <is>
          <t>It-Ba</t>
        </is>
      </c>
      <c r="H222" s="43" t="n">
        <v>13.123147</v>
      </c>
      <c r="I222" s="43" t="n">
        <v>123.87043</v>
      </c>
      <c r="J222" s="44" t="inlineStr">
        <is>
          <t>R</t>
        </is>
      </c>
      <c r="K222" s="42" t="inlineStr">
        <is>
          <t>2nd</t>
        </is>
      </c>
      <c r="L222" s="23" t="n">
        <v>3737</v>
      </c>
      <c r="M222" s="24" t="n">
        <v>4.84</v>
      </c>
      <c r="N222" s="23">
        <f>ROUND(L222/M222, 0)</f>
        <v/>
      </c>
      <c r="O222" s="23">
        <f>ROUND(N222*'Methodology &amp; Assumptions'!$B$8, 0)</f>
        <v/>
      </c>
      <c r="P222" s="44" t="inlineStr">
        <is>
          <t>Band n50 (1.5 GHz, 60 MHz)</t>
        </is>
      </c>
      <c r="Q222" s="38">
        <f>ROUNDUP(O222/'Methodology &amp; Assumptions'!$B$9, 0)</f>
        <v/>
      </c>
      <c r="R222" s="39" t="n">
        <v>1</v>
      </c>
      <c r="S222" s="25" t="n">
        <v>0.21</v>
      </c>
      <c r="T222" s="25" t="n">
        <v>12.88</v>
      </c>
      <c r="U222" s="42" t="inlineStr">
        <is>
          <t>Tier 1A (Direct Coloc, &lt;1 km)</t>
        </is>
      </c>
      <c r="V222" s="24" t="n">
        <v>93.3</v>
      </c>
      <c r="W222" s="24" t="n">
        <v>85.90000000000001</v>
      </c>
      <c r="X222" s="24" t="n">
        <v>58</v>
      </c>
      <c r="Y222" s="45">
        <f>ROUND((V222*'Methodology &amp; Assumptions'!$B$6)+(W222*'Methodology &amp; Assumptions'!$B$5)+(X222*'Methodology &amp; Assumptions'!$B$7), 2)</f>
        <v/>
      </c>
    </row>
    <row r="223" ht="19" customHeight="1">
      <c r="A223" s="35" t="n">
        <v>219</v>
      </c>
      <c r="B223" s="35" t="n">
        <v>219</v>
      </c>
      <c r="C223" s="36" t="inlineStr">
        <is>
          <t>1401112011</t>
        </is>
      </c>
      <c r="D223" s="36" t="inlineStr">
        <is>
          <t>Cordillera Administrative Region (CAR)</t>
        </is>
      </c>
      <c r="E223" s="36" t="inlineStr">
        <is>
          <t>Benguet</t>
        </is>
      </c>
      <c r="F223" s="36" t="inlineStr">
        <is>
          <t>Sablan</t>
        </is>
      </c>
      <c r="G223" s="36" t="inlineStr">
        <is>
          <t>Poblacion</t>
        </is>
      </c>
      <c r="H223" s="37" t="n">
        <v>16.49731</v>
      </c>
      <c r="I223" s="37" t="n">
        <v>120.48723</v>
      </c>
      <c r="J223" s="8" t="inlineStr">
        <is>
          <t>R</t>
        </is>
      </c>
      <c r="K223" s="36" t="inlineStr">
        <is>
          <t>4th</t>
        </is>
      </c>
      <c r="L223" s="18" t="n">
        <v>2742</v>
      </c>
      <c r="M223" s="20" t="n">
        <v>4.39</v>
      </c>
      <c r="N223" s="18">
        <f>ROUND(L223/M223, 0)</f>
        <v/>
      </c>
      <c r="O223" s="18">
        <f>ROUND(N223*'Methodology &amp; Assumptions'!$B$8, 0)</f>
        <v/>
      </c>
      <c r="P223" s="8" t="inlineStr">
        <is>
          <t>Band n50 (1.5 GHz, 60 MHz)</t>
        </is>
      </c>
      <c r="Q223" s="38">
        <f>ROUNDUP(O223/'Methodology &amp; Assumptions'!$B$9, 0)</f>
        <v/>
      </c>
      <c r="R223" s="39" t="n">
        <v>1</v>
      </c>
      <c r="S223" s="21" t="n">
        <v>0.22</v>
      </c>
      <c r="T223" s="21" t="n">
        <v>0.04</v>
      </c>
      <c r="U223" s="36" t="inlineStr">
        <is>
          <t>Tier 1A (Direct Coloc, &lt;1 km)</t>
        </is>
      </c>
      <c r="V223" s="20" t="n">
        <v>100</v>
      </c>
      <c r="W223" s="20" t="n">
        <v>70.09999999999999</v>
      </c>
      <c r="X223" s="20" t="n">
        <v>68.5</v>
      </c>
      <c r="Y223" s="40">
        <f>ROUND((V223*'Methodology &amp; Assumptions'!$B$6)+(W223*'Methodology &amp; Assumptions'!$B$5)+(X223*'Methodology &amp; Assumptions'!$B$7), 2)</f>
        <v/>
      </c>
    </row>
    <row r="224" ht="19" customHeight="1">
      <c r="A224" s="41" t="n">
        <v>220</v>
      </c>
      <c r="B224" s="41" t="n">
        <v>220</v>
      </c>
      <c r="C224" s="42" t="inlineStr">
        <is>
          <t>0603035033</t>
        </is>
      </c>
      <c r="D224" s="42" t="inlineStr">
        <is>
          <t>Region VI (Western Visayas)</t>
        </is>
      </c>
      <c r="E224" s="42" t="inlineStr">
        <is>
          <t>Iloilo</t>
        </is>
      </c>
      <c r="F224" s="42" t="inlineStr">
        <is>
          <t>City of Passi</t>
        </is>
      </c>
      <c r="G224" s="42" t="inlineStr">
        <is>
          <t>Man-it</t>
        </is>
      </c>
      <c r="H224" s="43" t="n">
        <v>11.098971</v>
      </c>
      <c r="I224" s="43" t="n">
        <v>122.63824</v>
      </c>
      <c r="J224" s="44" t="inlineStr">
        <is>
          <t>R</t>
        </is>
      </c>
      <c r="K224" s="42" t="inlineStr">
        <is>
          <t>Class 1-3 / Urban</t>
        </is>
      </c>
      <c r="L224" s="23" t="n">
        <v>4633</v>
      </c>
      <c r="M224" s="24" t="n">
        <v>4.39</v>
      </c>
      <c r="N224" s="23">
        <f>ROUND(L224/M224, 0)</f>
        <v/>
      </c>
      <c r="O224" s="23">
        <f>ROUND(N224*'Methodology &amp; Assumptions'!$B$8, 0)</f>
        <v/>
      </c>
      <c r="P224" s="44" t="inlineStr">
        <is>
          <t>Band n50 (1.5 GHz, 60 MHz)</t>
        </is>
      </c>
      <c r="Q224" s="38">
        <f>ROUNDUP(O224/'Methodology &amp; Assumptions'!$B$9, 0)</f>
        <v/>
      </c>
      <c r="R224" s="39" t="n">
        <v>1</v>
      </c>
      <c r="S224" s="25" t="n">
        <v>1.12</v>
      </c>
      <c r="T224" s="25" t="n">
        <v>0.31</v>
      </c>
      <c r="U224" s="42" t="inlineStr">
        <is>
          <t>Tier 1B (Micro Drop, 1-3 km)</t>
        </is>
      </c>
      <c r="V224" s="24" t="n">
        <v>78.90000000000001</v>
      </c>
      <c r="W224" s="24" t="n">
        <v>100</v>
      </c>
      <c r="X224" s="24" t="n">
        <v>58</v>
      </c>
      <c r="Y224" s="45">
        <f>ROUND((V224*'Methodology &amp; Assumptions'!$B$6)+(W224*'Methodology &amp; Assumptions'!$B$5)+(X224*'Methodology &amp; Assumptions'!$B$7), 2)</f>
        <v/>
      </c>
    </row>
    <row r="225" ht="19" customHeight="1">
      <c r="A225" s="35" t="n">
        <v>221</v>
      </c>
      <c r="B225" s="35" t="n">
        <v>221</v>
      </c>
      <c r="C225" s="36" t="inlineStr">
        <is>
          <t>0300805013</t>
        </is>
      </c>
      <c r="D225" s="36" t="inlineStr">
        <is>
          <t>Region III (Central Luzon)</t>
        </is>
      </c>
      <c r="E225" s="36" t="inlineStr">
        <is>
          <t>Bataan</t>
        </is>
      </c>
      <c r="F225" s="36" t="inlineStr">
        <is>
          <t>Hermosa</t>
        </is>
      </c>
      <c r="G225" s="36" t="inlineStr">
        <is>
          <t>Mambog - Mandama</t>
        </is>
      </c>
      <c r="H225" s="37" t="n">
        <v>14.831137</v>
      </c>
      <c r="I225" s="37" t="n">
        <v>120.49326</v>
      </c>
      <c r="J225" s="8" t="inlineStr">
        <is>
          <t>R</t>
        </is>
      </c>
      <c r="K225" s="36" t="inlineStr">
        <is>
          <t>Class 1-3 / Urban</t>
        </is>
      </c>
      <c r="L225" s="18" t="n">
        <v>3699</v>
      </c>
      <c r="M225" s="20" t="n">
        <v>4.57</v>
      </c>
      <c r="N225" s="18">
        <f>ROUND(L225/M225, 0)</f>
        <v/>
      </c>
      <c r="O225" s="18">
        <f>ROUND(N225*'Methodology &amp; Assumptions'!$B$8, 0)</f>
        <v/>
      </c>
      <c r="P225" s="8" t="inlineStr">
        <is>
          <t>Band n50 (1.5 GHz, 60 MHz)</t>
        </is>
      </c>
      <c r="Q225" s="38">
        <f>ROUNDUP(O225/'Methodology &amp; Assumptions'!$B$9, 0)</f>
        <v/>
      </c>
      <c r="R225" s="39" t="n">
        <v>1</v>
      </c>
      <c r="S225" s="21" t="n">
        <v>0.67</v>
      </c>
      <c r="T225" s="21" t="n">
        <v>0.32</v>
      </c>
      <c r="U225" s="36" t="inlineStr">
        <is>
          <t>Tier 1A (Direct Coloc, &lt;1 km)</t>
        </is>
      </c>
      <c r="V225" s="20" t="n">
        <v>90</v>
      </c>
      <c r="W225" s="20" t="n">
        <v>88.8</v>
      </c>
      <c r="X225" s="20" t="n">
        <v>58</v>
      </c>
      <c r="Y225" s="40">
        <f>ROUND((V225*'Methodology &amp; Assumptions'!$B$6)+(W225*'Methodology &amp; Assumptions'!$B$5)+(X225*'Methodology &amp; Assumptions'!$B$7), 2)</f>
        <v/>
      </c>
    </row>
    <row r="226" ht="19" customHeight="1">
      <c r="A226" s="41" t="n">
        <v>222</v>
      </c>
      <c r="B226" s="41" t="n">
        <v>222</v>
      </c>
      <c r="C226" s="42" t="inlineStr">
        <is>
          <t>0201523008</t>
        </is>
      </c>
      <c r="D226" s="42" t="inlineStr">
        <is>
          <t>Region II (Cagayan Valley)</t>
        </is>
      </c>
      <c r="E226" s="42" t="inlineStr">
        <is>
          <t>Cagayan</t>
        </is>
      </c>
      <c r="F226" s="42" t="inlineStr">
        <is>
          <t>Santa Ana</t>
        </is>
      </c>
      <c r="G226" s="42" t="inlineStr">
        <is>
          <t>Palawig</t>
        </is>
      </c>
      <c r="H226" s="43" t="n">
        <v>18.4744</v>
      </c>
      <c r="I226" s="43" t="n">
        <v>122.1509</v>
      </c>
      <c r="J226" s="44" t="inlineStr">
        <is>
          <t>R</t>
        </is>
      </c>
      <c r="K226" s="42" t="inlineStr">
        <is>
          <t>Class 1-3 / Urban</t>
        </is>
      </c>
      <c r="L226" s="23" t="n">
        <v>2998</v>
      </c>
      <c r="M226" s="24" t="n">
        <v>4.38</v>
      </c>
      <c r="N226" s="23">
        <f>ROUND(L226/M226, 0)</f>
        <v/>
      </c>
      <c r="O226" s="23">
        <f>ROUND(N226*'Methodology &amp; Assumptions'!$B$8, 0)</f>
        <v/>
      </c>
      <c r="P226" s="44" t="inlineStr">
        <is>
          <t>Band n50 (1.5 GHz, 60 MHz)</t>
        </is>
      </c>
      <c r="Q226" s="38">
        <f>ROUNDUP(O226/'Methodology &amp; Assumptions'!$B$9, 0)</f>
        <v/>
      </c>
      <c r="R226" s="39" t="n">
        <v>1</v>
      </c>
      <c r="S226" s="25" t="n">
        <v>0.12</v>
      </c>
      <c r="T226" s="25" t="n">
        <v>0.01</v>
      </c>
      <c r="U226" s="42" t="inlineStr">
        <is>
          <t>Tier 1A (Direct Coloc, &lt;1 km)</t>
        </is>
      </c>
      <c r="V226" s="24" t="n">
        <v>100</v>
      </c>
      <c r="W226" s="24" t="n">
        <v>78.7</v>
      </c>
      <c r="X226" s="24" t="n">
        <v>58</v>
      </c>
      <c r="Y226" s="45">
        <f>ROUND((V226*'Methodology &amp; Assumptions'!$B$6)+(W226*'Methodology &amp; Assumptions'!$B$5)+(X226*'Methodology &amp; Assumptions'!$B$7), 2)</f>
        <v/>
      </c>
    </row>
    <row r="227" ht="19" customHeight="1">
      <c r="A227" s="35" t="n">
        <v>223</v>
      </c>
      <c r="B227" s="35" t="n">
        <v>223</v>
      </c>
      <c r="C227" s="36" t="inlineStr">
        <is>
          <t>0631000029</t>
        </is>
      </c>
      <c r="D227" s="36" t="inlineStr">
        <is>
          <t>Region VI (Western Visayas)</t>
        </is>
      </c>
      <c r="E227" s="36" t="inlineStr">
        <is>
          <t>Iloilo</t>
        </is>
      </c>
      <c r="F227" s="36" t="inlineStr">
        <is>
          <t>City of Iloilo</t>
        </is>
      </c>
      <c r="G227" s="36" t="inlineStr">
        <is>
          <t>Caingin</t>
        </is>
      </c>
      <c r="H227" s="37" t="n">
        <v>10.718495</v>
      </c>
      <c r="I227" s="37" t="n">
        <v>122.577142</v>
      </c>
      <c r="J227" s="8" t="inlineStr">
        <is>
          <t>R</t>
        </is>
      </c>
      <c r="K227" s="36" t="inlineStr">
        <is>
          <t>Class 1-3 / Urban</t>
        </is>
      </c>
      <c r="L227" s="18" t="n">
        <v>4695</v>
      </c>
      <c r="M227" s="20" t="n">
        <v>4.39</v>
      </c>
      <c r="N227" s="18">
        <f>ROUND(L227/M227, 0)</f>
        <v/>
      </c>
      <c r="O227" s="18">
        <f>ROUND(N227*'Methodology &amp; Assumptions'!$B$8, 0)</f>
        <v/>
      </c>
      <c r="P227" s="8" t="inlineStr">
        <is>
          <t>Band n50 (1.5 GHz, 60 MHz)</t>
        </is>
      </c>
      <c r="Q227" s="38">
        <f>ROUNDUP(O227/'Methodology &amp; Assumptions'!$B$9, 0)</f>
        <v/>
      </c>
      <c r="R227" s="39" t="n">
        <v>1</v>
      </c>
      <c r="S227" s="21" t="n">
        <v>1.13</v>
      </c>
      <c r="T227" s="21" t="n">
        <v>1.51</v>
      </c>
      <c r="U227" s="36" t="inlineStr">
        <is>
          <t>Tier 1B (Micro Drop, 1-3 km)</t>
        </is>
      </c>
      <c r="V227" s="20" t="n">
        <v>78.59999999999999</v>
      </c>
      <c r="W227" s="20" t="n">
        <v>100</v>
      </c>
      <c r="X227" s="20" t="n">
        <v>58</v>
      </c>
      <c r="Y227" s="40">
        <f>ROUND((V227*'Methodology &amp; Assumptions'!$B$6)+(W227*'Methodology &amp; Assumptions'!$B$5)+(X227*'Methodology &amp; Assumptions'!$B$7), 2)</f>
        <v/>
      </c>
    </row>
    <row r="228" ht="19" customHeight="1">
      <c r="A228" s="41" t="n">
        <v>224</v>
      </c>
      <c r="B228" s="41" t="n">
        <v>224</v>
      </c>
      <c r="C228" s="42" t="inlineStr">
        <is>
          <t>0803739014</t>
        </is>
      </c>
      <c r="D228" s="42" t="inlineStr">
        <is>
          <t>Region VIII (Eastern Visayas)</t>
        </is>
      </c>
      <c r="E228" s="42" t="inlineStr">
        <is>
          <t>Leyte</t>
        </is>
      </c>
      <c r="F228" s="42" t="inlineStr">
        <is>
          <t>Palo</t>
        </is>
      </c>
      <c r="G228" s="42" t="inlineStr">
        <is>
          <t>Cogon</t>
        </is>
      </c>
      <c r="H228" s="43" t="n">
        <v>11.146792</v>
      </c>
      <c r="I228" s="43" t="n">
        <v>125.001358</v>
      </c>
      <c r="J228" s="44" t="inlineStr">
        <is>
          <t>R</t>
        </is>
      </c>
      <c r="K228" s="42" t="inlineStr">
        <is>
          <t>Class 1-3 / Urban</t>
        </is>
      </c>
      <c r="L228" s="23" t="n">
        <v>2969</v>
      </c>
      <c r="M228" s="24" t="n">
        <v>4.24</v>
      </c>
      <c r="N228" s="23">
        <f>ROUND(L228/M228, 0)</f>
        <v/>
      </c>
      <c r="O228" s="23">
        <f>ROUND(N228*'Methodology &amp; Assumptions'!$B$8, 0)</f>
        <v/>
      </c>
      <c r="P228" s="44" t="inlineStr">
        <is>
          <t>Band n50 (1.5 GHz, 60 MHz)</t>
        </is>
      </c>
      <c r="Q228" s="38">
        <f>ROUNDUP(O228/'Methodology &amp; Assumptions'!$B$9, 0)</f>
        <v/>
      </c>
      <c r="R228" s="39" t="n">
        <v>1</v>
      </c>
      <c r="S228" s="25" t="n">
        <v>0.36</v>
      </c>
      <c r="T228" s="25" t="n">
        <v>0.41</v>
      </c>
      <c r="U228" s="42" t="inlineStr">
        <is>
          <t>Tier 1A (Direct Coloc, &lt;1 km)</t>
        </is>
      </c>
      <c r="V228" s="24" t="n">
        <v>98.59999999999999</v>
      </c>
      <c r="W228" s="24" t="n">
        <v>80</v>
      </c>
      <c r="X228" s="24" t="n">
        <v>58</v>
      </c>
      <c r="Y228" s="45">
        <f>ROUND((V228*'Methodology &amp; Assumptions'!$B$6)+(W228*'Methodology &amp; Assumptions'!$B$5)+(X228*'Methodology &amp; Assumptions'!$B$7), 2)</f>
        <v/>
      </c>
    </row>
    <row r="229" ht="19" customHeight="1">
      <c r="A229" s="35" t="n">
        <v>225</v>
      </c>
      <c r="B229" s="35" t="n">
        <v>225</v>
      </c>
      <c r="C229" s="36" t="inlineStr">
        <is>
          <t>0501606005</t>
        </is>
      </c>
      <c r="D229" s="36" t="inlineStr">
        <is>
          <t>Region V (Bicol Region)</t>
        </is>
      </c>
      <c r="E229" s="36" t="inlineStr">
        <is>
          <t>Camarines Norte</t>
        </is>
      </c>
      <c r="F229" s="36" t="inlineStr">
        <is>
          <t>Labo</t>
        </is>
      </c>
      <c r="G229" s="36" t="inlineStr">
        <is>
          <t>Bagong Silang I</t>
        </is>
      </c>
      <c r="H229" s="37" t="n">
        <v>14.178861</v>
      </c>
      <c r="I229" s="37" t="n">
        <v>122.623013</v>
      </c>
      <c r="J229" s="8" t="inlineStr">
        <is>
          <t>R</t>
        </is>
      </c>
      <c r="K229" s="36" t="inlineStr">
        <is>
          <t>Class 1-3 / Urban</t>
        </is>
      </c>
      <c r="L229" s="18" t="n">
        <v>3285</v>
      </c>
      <c r="M229" s="20" t="n">
        <v>4.4</v>
      </c>
      <c r="N229" s="18">
        <f>ROUND(L229/M229, 0)</f>
        <v/>
      </c>
      <c r="O229" s="18">
        <f>ROUND(N229*'Methodology &amp; Assumptions'!$B$8, 0)</f>
        <v/>
      </c>
      <c r="P229" s="8" t="inlineStr">
        <is>
          <t>Band n50 (1.5 GHz, 60 MHz)</t>
        </is>
      </c>
      <c r="Q229" s="38">
        <f>ROUNDUP(O229/'Methodology &amp; Assumptions'!$B$9, 0)</f>
        <v/>
      </c>
      <c r="R229" s="39" t="n">
        <v>1</v>
      </c>
      <c r="S229" s="21" t="n">
        <v>0.5</v>
      </c>
      <c r="T229" s="21" t="n">
        <v>1.8</v>
      </c>
      <c r="U229" s="36" t="inlineStr">
        <is>
          <t>Tier 1A (Direct Coloc, &lt;1 km)</t>
        </is>
      </c>
      <c r="V229" s="20" t="n">
        <v>94.7</v>
      </c>
      <c r="W229" s="20" t="n">
        <v>83.7</v>
      </c>
      <c r="X229" s="20" t="n">
        <v>58</v>
      </c>
      <c r="Y229" s="40">
        <f>ROUND((V229*'Methodology &amp; Assumptions'!$B$6)+(W229*'Methodology &amp; Assumptions'!$B$5)+(X229*'Methodology &amp; Assumptions'!$B$7), 2)</f>
        <v/>
      </c>
    </row>
    <row r="230" ht="19" customHeight="1">
      <c r="A230" s="41" t="n">
        <v>226</v>
      </c>
      <c r="B230" s="41" t="n">
        <v>226</v>
      </c>
      <c r="C230" s="42" t="inlineStr">
        <is>
          <t>0203110005</t>
        </is>
      </c>
      <c r="D230" s="42" t="inlineStr">
        <is>
          <t>Region II (Cagayan Valley)</t>
        </is>
      </c>
      <c r="E230" s="42" t="inlineStr">
        <is>
          <t>Isabela</t>
        </is>
      </c>
      <c r="F230" s="42" t="inlineStr">
        <is>
          <t>Dinapigue</t>
        </is>
      </c>
      <c r="G230" s="42" t="inlineStr">
        <is>
          <t>Digumased</t>
        </is>
      </c>
      <c r="H230" s="43" t="n">
        <v>16.525545</v>
      </c>
      <c r="I230" s="43" t="n">
        <v>122.262361</v>
      </c>
      <c r="J230" s="44" t="inlineStr">
        <is>
          <t>R</t>
        </is>
      </c>
      <c r="K230" s="42" t="inlineStr">
        <is>
          <t>Class 1-3 / Urban</t>
        </is>
      </c>
      <c r="L230" s="23" t="n">
        <v>2918</v>
      </c>
      <c r="M230" s="24" t="n">
        <v>4.3</v>
      </c>
      <c r="N230" s="23">
        <f>ROUND(L230/M230, 0)</f>
        <v/>
      </c>
      <c r="O230" s="23">
        <f>ROUND(N230*'Methodology &amp; Assumptions'!$B$8, 0)</f>
        <v/>
      </c>
      <c r="P230" s="44" t="inlineStr">
        <is>
          <t>Band n50 (1.5 GHz, 60 MHz)</t>
        </is>
      </c>
      <c r="Q230" s="38">
        <f>ROUNDUP(O230/'Methodology &amp; Assumptions'!$B$9, 0)</f>
        <v/>
      </c>
      <c r="R230" s="39" t="n">
        <v>1</v>
      </c>
      <c r="S230" s="25" t="n">
        <v>0.17</v>
      </c>
      <c r="T230" s="25" t="n">
        <v>0.29</v>
      </c>
      <c r="U230" s="42" t="inlineStr">
        <is>
          <t>Tier 1A (Direct Coloc, &lt;1 km)</t>
        </is>
      </c>
      <c r="V230" s="24" t="n">
        <v>100</v>
      </c>
      <c r="W230" s="24" t="n">
        <v>78.40000000000001</v>
      </c>
      <c r="X230" s="24" t="n">
        <v>58</v>
      </c>
      <c r="Y230" s="45">
        <f>ROUND((V230*'Methodology &amp; Assumptions'!$B$6)+(W230*'Methodology &amp; Assumptions'!$B$5)+(X230*'Methodology &amp; Assumptions'!$B$7), 2)</f>
        <v/>
      </c>
    </row>
    <row r="231" ht="19" customHeight="1">
      <c r="A231" s="35" t="n">
        <v>227</v>
      </c>
      <c r="B231" s="35" t="n">
        <v>227</v>
      </c>
      <c r="C231" s="36" t="inlineStr">
        <is>
          <t>0405801007</t>
        </is>
      </c>
      <c r="D231" s="36" t="inlineStr">
        <is>
          <t>Region IV-A (CALABARZON)</t>
        </is>
      </c>
      <c r="E231" s="36" t="inlineStr">
        <is>
          <t>Rizal</t>
        </is>
      </c>
      <c r="F231" s="36" t="inlineStr">
        <is>
          <t>Angono</t>
        </is>
      </c>
      <c r="G231" s="36" t="inlineStr">
        <is>
          <t>Poblacion Ibaba</t>
        </is>
      </c>
      <c r="H231" s="37" t="n">
        <v>14.52369</v>
      </c>
      <c r="I231" s="37" t="n">
        <v>121.1491</v>
      </c>
      <c r="J231" s="8" t="inlineStr">
        <is>
          <t>R</t>
        </is>
      </c>
      <c r="K231" s="36" t="inlineStr">
        <is>
          <t>Class 1-3 / Urban</t>
        </is>
      </c>
      <c r="L231" s="18" t="n">
        <v>3627</v>
      </c>
      <c r="M231" s="20" t="n">
        <v>4.39</v>
      </c>
      <c r="N231" s="18">
        <f>ROUND(L231/M231, 0)</f>
        <v/>
      </c>
      <c r="O231" s="18">
        <f>ROUND(N231*'Methodology &amp; Assumptions'!$B$8, 0)</f>
        <v/>
      </c>
      <c r="P231" s="8" t="inlineStr">
        <is>
          <t>Band n50 (1.5 GHz, 60 MHz)</t>
        </is>
      </c>
      <c r="Q231" s="38">
        <f>ROUNDUP(O231/'Methodology &amp; Assumptions'!$B$9, 0)</f>
        <v/>
      </c>
      <c r="R231" s="39" t="n">
        <v>1</v>
      </c>
      <c r="S231" s="21" t="n">
        <v>0.74</v>
      </c>
      <c r="T231" s="21" t="n">
        <v>0.42</v>
      </c>
      <c r="U231" s="36" t="inlineStr">
        <is>
          <t>Tier 1A (Direct Coloc, &lt;1 km)</t>
        </is>
      </c>
      <c r="V231" s="20" t="n">
        <v>88.2</v>
      </c>
      <c r="W231" s="20" t="n">
        <v>90.09999999999999</v>
      </c>
      <c r="X231" s="20" t="n">
        <v>58</v>
      </c>
      <c r="Y231" s="40">
        <f>ROUND((V231*'Methodology &amp; Assumptions'!$B$6)+(W231*'Methodology &amp; Assumptions'!$B$5)+(X231*'Methodology &amp; Assumptions'!$B$7), 2)</f>
        <v/>
      </c>
    </row>
    <row r="232" ht="19" customHeight="1">
      <c r="A232" s="41" t="n">
        <v>228</v>
      </c>
      <c r="B232" s="41" t="n">
        <v>228</v>
      </c>
      <c r="C232" s="42" t="inlineStr">
        <is>
          <t>0803703012</t>
        </is>
      </c>
      <c r="D232" s="42" t="inlineStr">
        <is>
          <t>Region VIII (Eastern Visayas)</t>
        </is>
      </c>
      <c r="E232" s="42" t="inlineStr">
        <is>
          <t>Leyte</t>
        </is>
      </c>
      <c r="F232" s="42" t="inlineStr">
        <is>
          <t>Albuera</t>
        </is>
      </c>
      <c r="G232" s="42" t="inlineStr">
        <is>
          <t>San Pedro</t>
        </is>
      </c>
      <c r="H232" s="43" t="n">
        <v>10.904697</v>
      </c>
      <c r="I232" s="43" t="n">
        <v>124.70498</v>
      </c>
      <c r="J232" s="44" t="inlineStr">
        <is>
          <t>R</t>
        </is>
      </c>
      <c r="K232" s="42" t="inlineStr">
        <is>
          <t>Class 1-3 / Urban</t>
        </is>
      </c>
      <c r="L232" s="23" t="n">
        <v>3968</v>
      </c>
      <c r="M232" s="24" t="n">
        <v>4.24</v>
      </c>
      <c r="N232" s="23">
        <f>ROUND(L232/M232, 0)</f>
        <v/>
      </c>
      <c r="O232" s="23">
        <f>ROUND(N232*'Methodology &amp; Assumptions'!$B$8, 0)</f>
        <v/>
      </c>
      <c r="P232" s="44" t="inlineStr">
        <is>
          <t>Band n50 (1.5 GHz, 60 MHz)</t>
        </is>
      </c>
      <c r="Q232" s="38">
        <f>ROUNDUP(O232/'Methodology &amp; Assumptions'!$B$9, 0)</f>
        <v/>
      </c>
      <c r="R232" s="39" t="n">
        <v>1</v>
      </c>
      <c r="S232" s="25" t="n">
        <v>1.1</v>
      </c>
      <c r="T232" s="25" t="n">
        <v>0.29</v>
      </c>
      <c r="U232" s="42" t="inlineStr">
        <is>
          <t>Tier 1B (Micro Drop, 1-3 km)</t>
        </is>
      </c>
      <c r="V232" s="24" t="n">
        <v>79.40000000000001</v>
      </c>
      <c r="W232" s="24" t="n">
        <v>98.90000000000001</v>
      </c>
      <c r="X232" s="24" t="n">
        <v>58</v>
      </c>
      <c r="Y232" s="45">
        <f>ROUND((V232*'Methodology &amp; Assumptions'!$B$6)+(W232*'Methodology &amp; Assumptions'!$B$5)+(X232*'Methodology &amp; Assumptions'!$B$7), 2)</f>
        <v/>
      </c>
    </row>
    <row r="233" ht="19" customHeight="1">
      <c r="A233" s="35" t="n">
        <v>229</v>
      </c>
      <c r="B233" s="35" t="n">
        <v>229</v>
      </c>
      <c r="C233" s="36" t="inlineStr">
        <is>
          <t>0403413016</t>
        </is>
      </c>
      <c r="D233" s="36" t="inlineStr">
        <is>
          <t>Region IV-A (CALABARZON)</t>
        </is>
      </c>
      <c r="E233" s="36" t="inlineStr">
        <is>
          <t>Laguna</t>
        </is>
      </c>
      <c r="F233" s="36" t="inlineStr">
        <is>
          <t>Lumban</t>
        </is>
      </c>
      <c r="G233" s="36" t="inlineStr">
        <is>
          <t>Wawa</t>
        </is>
      </c>
      <c r="H233" s="37" t="n">
        <v>14.305841</v>
      </c>
      <c r="I233" s="37" t="n">
        <v>121.458945</v>
      </c>
      <c r="J233" s="8" t="inlineStr">
        <is>
          <t>R</t>
        </is>
      </c>
      <c r="K233" s="36" t="inlineStr">
        <is>
          <t>Class 1-3 / Urban</t>
        </is>
      </c>
      <c r="L233" s="18" t="n">
        <v>4084</v>
      </c>
      <c r="M233" s="20" t="n">
        <v>4.2</v>
      </c>
      <c r="N233" s="18">
        <f>ROUND(L233/M233, 0)</f>
        <v/>
      </c>
      <c r="O233" s="18">
        <f>ROUND(N233*'Methodology &amp; Assumptions'!$B$8, 0)</f>
        <v/>
      </c>
      <c r="P233" s="8" t="inlineStr">
        <is>
          <t>Band n50 (1.5 GHz, 60 MHz)</t>
        </is>
      </c>
      <c r="Q233" s="38">
        <f>ROUNDUP(O233/'Methodology &amp; Assumptions'!$B$9, 0)</f>
        <v/>
      </c>
      <c r="R233" s="39" t="n">
        <v>1</v>
      </c>
      <c r="S233" s="21" t="n">
        <v>1.16</v>
      </c>
      <c r="T233" s="21" t="n">
        <v>0.8100000000000001</v>
      </c>
      <c r="U233" s="36" t="inlineStr">
        <is>
          <t>Tier 1B (Micro Drop, 1-3 km)</t>
        </is>
      </c>
      <c r="V233" s="20" t="n">
        <v>77.90000000000001</v>
      </c>
      <c r="W233" s="20" t="n">
        <v>100</v>
      </c>
      <c r="X233" s="20" t="n">
        <v>58</v>
      </c>
      <c r="Y233" s="40">
        <f>ROUND((V233*'Methodology &amp; Assumptions'!$B$6)+(W233*'Methodology &amp; Assumptions'!$B$5)+(X233*'Methodology &amp; Assumptions'!$B$7), 2)</f>
        <v/>
      </c>
    </row>
    <row r="234" ht="19" customHeight="1">
      <c r="A234" s="41" t="n">
        <v>230</v>
      </c>
      <c r="B234" s="41" t="n">
        <v>230</v>
      </c>
      <c r="C234" s="42" t="inlineStr">
        <is>
          <t>0307105010</t>
        </is>
      </c>
      <c r="D234" s="42" t="inlineStr">
        <is>
          <t>Region III (Central Luzon)</t>
        </is>
      </c>
      <c r="E234" s="42" t="inlineStr">
        <is>
          <t>Zambales</t>
        </is>
      </c>
      <c r="F234" s="42" t="inlineStr">
        <is>
          <t>Iba</t>
        </is>
      </c>
      <c r="G234" s="42" t="inlineStr">
        <is>
          <t>Lipay-Dingin-Panibuatan</t>
        </is>
      </c>
      <c r="H234" s="43" t="n">
        <v>15.321384</v>
      </c>
      <c r="I234" s="43" t="n">
        <v>119.973228</v>
      </c>
      <c r="J234" s="44" t="inlineStr">
        <is>
          <t>R</t>
        </is>
      </c>
      <c r="K234" s="42" t="inlineStr">
        <is>
          <t>Class 1-3 / Urban</t>
        </is>
      </c>
      <c r="L234" s="23" t="n">
        <v>3406</v>
      </c>
      <c r="M234" s="24" t="n">
        <v>4.05</v>
      </c>
      <c r="N234" s="23">
        <f>ROUND(L234/M234, 0)</f>
        <v/>
      </c>
      <c r="O234" s="23">
        <f>ROUND(N234*'Methodology &amp; Assumptions'!$B$8, 0)</f>
        <v/>
      </c>
      <c r="P234" s="44" t="inlineStr">
        <is>
          <t>Band n50 (1.5 GHz, 60 MHz)</t>
        </is>
      </c>
      <c r="Q234" s="38">
        <f>ROUNDUP(O234/'Methodology &amp; Assumptions'!$B$9, 0)</f>
        <v/>
      </c>
      <c r="R234" s="39" t="n">
        <v>1</v>
      </c>
      <c r="S234" s="25" t="n">
        <v>0.8</v>
      </c>
      <c r="T234" s="25" t="n">
        <v>0.77</v>
      </c>
      <c r="U234" s="42" t="inlineStr">
        <is>
          <t>Tier 1A (Direct Coloc, &lt;1 km)</t>
        </is>
      </c>
      <c r="V234" s="24" t="n">
        <v>86.7</v>
      </c>
      <c r="W234" s="24" t="n">
        <v>91.2</v>
      </c>
      <c r="X234" s="24" t="n">
        <v>58</v>
      </c>
      <c r="Y234" s="45">
        <f>ROUND((V234*'Methodology &amp; Assumptions'!$B$6)+(W234*'Methodology &amp; Assumptions'!$B$5)+(X234*'Methodology &amp; Assumptions'!$B$7), 2)</f>
        <v/>
      </c>
    </row>
    <row r="235" ht="19" customHeight="1">
      <c r="A235" s="35" t="n">
        <v>231</v>
      </c>
      <c r="B235" s="35" t="n">
        <v>231</v>
      </c>
      <c r="C235" s="36" t="inlineStr">
        <is>
          <t>0305410006</t>
        </is>
      </c>
      <c r="D235" s="36" t="inlineStr">
        <is>
          <t>Region III (Central Luzon)</t>
        </is>
      </c>
      <c r="E235" s="36" t="inlineStr">
        <is>
          <t>Pampanga</t>
        </is>
      </c>
      <c r="F235" s="36" t="inlineStr">
        <is>
          <t>Macabebe</t>
        </is>
      </c>
      <c r="G235" s="36" t="inlineStr">
        <is>
          <t>Dalayap</t>
        </is>
      </c>
      <c r="H235" s="37" t="n">
        <v>15.01827</v>
      </c>
      <c r="I235" s="37" t="n">
        <v>120.866834</v>
      </c>
      <c r="J235" s="8" t="inlineStr">
        <is>
          <t>R</t>
        </is>
      </c>
      <c r="K235" s="36" t="inlineStr">
        <is>
          <t>Class 1-3 / Urban</t>
        </is>
      </c>
      <c r="L235" s="18" t="n">
        <v>2668</v>
      </c>
      <c r="M235" s="20" t="n">
        <v>4.63</v>
      </c>
      <c r="N235" s="18">
        <f>ROUND(L235/M235, 0)</f>
        <v/>
      </c>
      <c r="O235" s="18">
        <f>ROUND(N235*'Methodology &amp; Assumptions'!$B$8, 0)</f>
        <v/>
      </c>
      <c r="P235" s="8" t="inlineStr">
        <is>
          <t>Band n50 (1.5 GHz, 60 MHz)</t>
        </is>
      </c>
      <c r="Q235" s="38">
        <f>ROUNDUP(O235/'Methodology &amp; Assumptions'!$B$9, 0)</f>
        <v/>
      </c>
      <c r="R235" s="39" t="n">
        <v>1</v>
      </c>
      <c r="S235" s="21" t="n">
        <v>0.5</v>
      </c>
      <c r="T235" s="21" t="n">
        <v>0.03</v>
      </c>
      <c r="U235" s="36" t="inlineStr">
        <is>
          <t>Tier 1A (Direct Coloc, &lt;1 km)</t>
        </is>
      </c>
      <c r="V235" s="20" t="n">
        <v>94.7</v>
      </c>
      <c r="W235" s="20" t="n">
        <v>70.09999999999999</v>
      </c>
      <c r="X235" s="20" t="n">
        <v>73</v>
      </c>
      <c r="Y235" s="40">
        <f>ROUND((V235*'Methodology &amp; Assumptions'!$B$6)+(W235*'Methodology &amp; Assumptions'!$B$5)+(X235*'Methodology &amp; Assumptions'!$B$7), 2)</f>
        <v/>
      </c>
    </row>
    <row r="236" ht="19" customHeight="1">
      <c r="A236" s="41" t="n">
        <v>232</v>
      </c>
      <c r="B236" s="41" t="n">
        <v>232</v>
      </c>
      <c r="C236" s="42" t="inlineStr">
        <is>
          <t>0301421015</t>
        </is>
      </c>
      <c r="D236" s="42" t="inlineStr">
        <is>
          <t>Region III (Central Luzon)</t>
        </is>
      </c>
      <c r="E236" s="42" t="inlineStr">
        <is>
          <t>Bulacan</t>
        </is>
      </c>
      <c r="F236" s="42" t="inlineStr">
        <is>
          <t>San Miguel</t>
        </is>
      </c>
      <c r="G236" s="42" t="inlineStr">
        <is>
          <t>Bulualto</t>
        </is>
      </c>
      <c r="H236" s="43" t="n">
        <v>15.220053</v>
      </c>
      <c r="I236" s="43" t="n">
        <v>120.954448</v>
      </c>
      <c r="J236" s="44" t="inlineStr">
        <is>
          <t>R</t>
        </is>
      </c>
      <c r="K236" s="42" t="inlineStr">
        <is>
          <t>Class 1-3 / Urban</t>
        </is>
      </c>
      <c r="L236" s="23" t="n">
        <v>2890</v>
      </c>
      <c r="M236" s="24" t="n">
        <v>4.1</v>
      </c>
      <c r="N236" s="23">
        <f>ROUND(L236/M236, 0)</f>
        <v/>
      </c>
      <c r="O236" s="23">
        <f>ROUND(N236*'Methodology &amp; Assumptions'!$B$8, 0)</f>
        <v/>
      </c>
      <c r="P236" s="44" t="inlineStr">
        <is>
          <t>Band n50 (1.5 GHz, 60 MHz)</t>
        </is>
      </c>
      <c r="Q236" s="38">
        <f>ROUNDUP(O236/'Methodology &amp; Assumptions'!$B$9, 0)</f>
        <v/>
      </c>
      <c r="R236" s="39" t="n">
        <v>1</v>
      </c>
      <c r="S236" s="25" t="n">
        <v>0.42</v>
      </c>
      <c r="T236" s="25" t="n">
        <v>0.16</v>
      </c>
      <c r="U236" s="42" t="inlineStr">
        <is>
          <t>Tier 1A (Direct Coloc, &lt;1 km)</t>
        </is>
      </c>
      <c r="V236" s="24" t="n">
        <v>97.09999999999999</v>
      </c>
      <c r="W236" s="24" t="n">
        <v>80.5</v>
      </c>
      <c r="X236" s="24" t="n">
        <v>58</v>
      </c>
      <c r="Y236" s="45">
        <f>ROUND((V236*'Methodology &amp; Assumptions'!$B$6)+(W236*'Methodology &amp; Assumptions'!$B$5)+(X236*'Methodology &amp; Assumptions'!$B$7), 2)</f>
        <v/>
      </c>
    </row>
    <row r="237" ht="19" customHeight="1">
      <c r="A237" s="35" t="n">
        <v>233</v>
      </c>
      <c r="B237" s="35" t="n">
        <v>233</v>
      </c>
      <c r="C237" s="36" t="inlineStr">
        <is>
          <t>0105521010</t>
        </is>
      </c>
      <c r="D237" s="36" t="inlineStr">
        <is>
          <t>Region I (Ilocos Region)</t>
        </is>
      </c>
      <c r="E237" s="36" t="inlineStr">
        <is>
          <t>Pangasinan</t>
        </is>
      </c>
      <c r="F237" s="36" t="inlineStr">
        <is>
          <t>Labrador</t>
        </is>
      </c>
      <c r="G237" s="36" t="inlineStr">
        <is>
          <t>Uyong</t>
        </is>
      </c>
      <c r="H237" s="37" t="n">
        <v>16.04999</v>
      </c>
      <c r="I237" s="37" t="n">
        <v>120.1193</v>
      </c>
      <c r="J237" s="8" t="inlineStr">
        <is>
          <t>R</t>
        </is>
      </c>
      <c r="K237" s="36" t="inlineStr">
        <is>
          <t>3rd</t>
        </is>
      </c>
      <c r="L237" s="18" t="n">
        <v>2829</v>
      </c>
      <c r="M237" s="20" t="n">
        <v>4.22</v>
      </c>
      <c r="N237" s="18">
        <f>ROUND(L237/M237, 0)</f>
        <v/>
      </c>
      <c r="O237" s="18">
        <f>ROUND(N237*'Methodology &amp; Assumptions'!$B$8, 0)</f>
        <v/>
      </c>
      <c r="P237" s="8" t="inlineStr">
        <is>
          <t>Band n50 (1.5 GHz, 60 MHz)</t>
        </is>
      </c>
      <c r="Q237" s="38">
        <f>ROUNDUP(O237/'Methodology &amp; Assumptions'!$B$9, 0)</f>
        <v/>
      </c>
      <c r="R237" s="39" t="n">
        <v>1</v>
      </c>
      <c r="S237" s="21" t="n">
        <v>0.2</v>
      </c>
      <c r="T237" s="21" t="n">
        <v>0.21</v>
      </c>
      <c r="U237" s="36" t="inlineStr">
        <is>
          <t>Tier 1A (Direct Coloc, &lt;1 km)</t>
        </is>
      </c>
      <c r="V237" s="20" t="n">
        <v>100</v>
      </c>
      <c r="W237" s="20" t="n">
        <v>77.59999999999999</v>
      </c>
      <c r="X237" s="20" t="n">
        <v>58</v>
      </c>
      <c r="Y237" s="40">
        <f>ROUND((V237*'Methodology &amp; Assumptions'!$B$6)+(W237*'Methodology &amp; Assumptions'!$B$5)+(X237*'Methodology &amp; Assumptions'!$B$7), 2)</f>
        <v/>
      </c>
    </row>
    <row r="238" ht="19" customHeight="1">
      <c r="A238" s="41" t="n">
        <v>234</v>
      </c>
      <c r="B238" s="41" t="n">
        <v>234</v>
      </c>
      <c r="C238" s="42" t="inlineStr">
        <is>
          <t>0403425017</t>
        </is>
      </c>
      <c r="D238" s="42" t="inlineStr">
        <is>
          <t>Region IV-A (CALABARZON)</t>
        </is>
      </c>
      <c r="E238" s="42" t="inlineStr">
        <is>
          <t>Laguna</t>
        </is>
      </c>
      <c r="F238" s="42" t="inlineStr">
        <is>
          <t>City of San Pedro</t>
        </is>
      </c>
      <c r="G238" s="42" t="inlineStr">
        <is>
          <t>Santo Niño</t>
        </is>
      </c>
      <c r="H238" s="43" t="n">
        <v>14.34559</v>
      </c>
      <c r="I238" s="43" t="n">
        <v>121.055199</v>
      </c>
      <c r="J238" s="44" t="inlineStr">
        <is>
          <t>R</t>
        </is>
      </c>
      <c r="K238" s="42" t="inlineStr">
        <is>
          <t>Class 1-3 / Urban</t>
        </is>
      </c>
      <c r="L238" s="23" t="n">
        <v>3892</v>
      </c>
      <c r="M238" s="24" t="n">
        <v>4.2</v>
      </c>
      <c r="N238" s="23">
        <f>ROUND(L238/M238, 0)</f>
        <v/>
      </c>
      <c r="O238" s="23">
        <f>ROUND(N238*'Methodology &amp; Assumptions'!$B$8, 0)</f>
        <v/>
      </c>
      <c r="P238" s="44" t="inlineStr">
        <is>
          <t>Band n50 (1.5 GHz, 60 MHz)</t>
        </is>
      </c>
      <c r="Q238" s="38">
        <f>ROUNDUP(O238/'Methodology &amp; Assumptions'!$B$9, 0)</f>
        <v/>
      </c>
      <c r="R238" s="39" t="n">
        <v>1</v>
      </c>
      <c r="S238" s="25" t="n">
        <v>1.1</v>
      </c>
      <c r="T238" s="25" t="n">
        <v>0.25</v>
      </c>
      <c r="U238" s="42" t="inlineStr">
        <is>
          <t>Tier 1B (Micro Drop, 1-3 km)</t>
        </is>
      </c>
      <c r="V238" s="24" t="n">
        <v>79.40000000000001</v>
      </c>
      <c r="W238" s="24" t="n">
        <v>98.09999999999999</v>
      </c>
      <c r="X238" s="24" t="n">
        <v>58</v>
      </c>
      <c r="Y238" s="45">
        <f>ROUND((V238*'Methodology &amp; Assumptions'!$B$6)+(W238*'Methodology &amp; Assumptions'!$B$5)+(X238*'Methodology &amp; Assumptions'!$B$7), 2)</f>
        <v/>
      </c>
    </row>
    <row r="239" ht="19" customHeight="1">
      <c r="A239" s="35" t="n">
        <v>235</v>
      </c>
      <c r="B239" s="35" t="n">
        <v>235</v>
      </c>
      <c r="C239" s="36" t="inlineStr">
        <is>
          <t>0102814009</t>
        </is>
      </c>
      <c r="D239" s="36" t="inlineStr">
        <is>
          <t>Region I (Ilocos Region)</t>
        </is>
      </c>
      <c r="E239" s="36" t="inlineStr">
        <is>
          <t>Ilocos Norte</t>
        </is>
      </c>
      <c r="F239" s="36" t="inlineStr">
        <is>
          <t>Nueva Era</t>
        </is>
      </c>
      <c r="G239" s="36" t="inlineStr">
        <is>
          <t>Poblacion</t>
        </is>
      </c>
      <c r="H239" s="37" t="n">
        <v>17.916972</v>
      </c>
      <c r="I239" s="37" t="n">
        <v>120.663626</v>
      </c>
      <c r="J239" s="8" t="inlineStr">
        <is>
          <t>R</t>
        </is>
      </c>
      <c r="K239" s="36" t="inlineStr">
        <is>
          <t>Class 1-3 / Urban</t>
        </is>
      </c>
      <c r="L239" s="18" t="n">
        <v>3206</v>
      </c>
      <c r="M239" s="20" t="n">
        <v>4.35</v>
      </c>
      <c r="N239" s="18">
        <f>ROUND(L239/M239, 0)</f>
        <v/>
      </c>
      <c r="O239" s="18">
        <f>ROUND(N239*'Methodology &amp; Assumptions'!$B$8, 0)</f>
        <v/>
      </c>
      <c r="P239" s="8" t="inlineStr">
        <is>
          <t>Band n50 (1.5 GHz, 60 MHz)</t>
        </is>
      </c>
      <c r="Q239" s="38">
        <f>ROUNDUP(O239/'Methodology &amp; Assumptions'!$B$9, 0)</f>
        <v/>
      </c>
      <c r="R239" s="39" t="n">
        <v>1</v>
      </c>
      <c r="S239" s="21" t="n">
        <v>0.5</v>
      </c>
      <c r="T239" s="21" t="n">
        <v>0.2</v>
      </c>
      <c r="U239" s="36" t="inlineStr">
        <is>
          <t>Tier 1A (Direct Coloc, &lt;1 km)</t>
        </is>
      </c>
      <c r="V239" s="20" t="n">
        <v>94.59999999999999</v>
      </c>
      <c r="W239" s="20" t="n">
        <v>82.90000000000001</v>
      </c>
      <c r="X239" s="20" t="n">
        <v>58</v>
      </c>
      <c r="Y239" s="40">
        <f>ROUND((V239*'Methodology &amp; Assumptions'!$B$6)+(W239*'Methodology &amp; Assumptions'!$B$5)+(X239*'Methodology &amp; Assumptions'!$B$7), 2)</f>
        <v/>
      </c>
    </row>
    <row r="240" ht="19" customHeight="1">
      <c r="A240" s="41" t="n">
        <v>236</v>
      </c>
      <c r="B240" s="41" t="n">
        <v>236</v>
      </c>
      <c r="C240" s="42" t="inlineStr">
        <is>
          <t>1630400055</t>
        </is>
      </c>
      <c r="D240" s="42" t="inlineStr">
        <is>
          <t>Region XIII (Caraga)</t>
        </is>
      </c>
      <c r="E240" s="42" t="inlineStr">
        <is>
          <t>Agusan del Norte</t>
        </is>
      </c>
      <c r="F240" s="42" t="inlineStr">
        <is>
          <t>City of Butuan</t>
        </is>
      </c>
      <c r="G240" s="42" t="inlineStr">
        <is>
          <t>Limaha Pob.</t>
        </is>
      </c>
      <c r="H240" s="43" t="n">
        <v>8.952066</v>
      </c>
      <c r="I240" s="43" t="n">
        <v>125.532655</v>
      </c>
      <c r="J240" s="44" t="inlineStr">
        <is>
          <t>U</t>
        </is>
      </c>
      <c r="K240" s="42" t="inlineStr">
        <is>
          <t>Class 1-3 / Urban</t>
        </is>
      </c>
      <c r="L240" s="23" t="n">
        <v>5579</v>
      </c>
      <c r="M240" s="24" t="n">
        <v>4.63</v>
      </c>
      <c r="N240" s="23">
        <f>ROUND(L240/M240, 0)</f>
        <v/>
      </c>
      <c r="O240" s="23">
        <f>ROUND(N240*'Methodology &amp; Assumptions'!$B$8, 0)</f>
        <v/>
      </c>
      <c r="P240" s="44" t="inlineStr">
        <is>
          <t>Band n50 (1.5 GHz, 60 MHz)</t>
        </is>
      </c>
      <c r="Q240" s="38">
        <f>ROUNDUP(O240/'Methodology &amp; Assumptions'!$B$9, 0)</f>
        <v/>
      </c>
      <c r="R240" s="39" t="n">
        <v>1</v>
      </c>
      <c r="S240" s="25" t="n">
        <v>0.66</v>
      </c>
      <c r="T240" s="25" t="n">
        <v>0.32</v>
      </c>
      <c r="U240" s="42" t="inlineStr">
        <is>
          <t>Tier 1A (Direct Coloc, &lt;1 km)</t>
        </is>
      </c>
      <c r="V240" s="24" t="n">
        <v>90.3</v>
      </c>
      <c r="W240" s="24" t="n">
        <v>100</v>
      </c>
      <c r="X240" s="24" t="n">
        <v>43</v>
      </c>
      <c r="Y240" s="45">
        <f>ROUND((V240*'Methodology &amp; Assumptions'!$B$6)+(W240*'Methodology &amp; Assumptions'!$B$5)+(X240*'Methodology &amp; Assumptions'!$B$7), 2)</f>
        <v/>
      </c>
    </row>
    <row r="241" ht="19" customHeight="1">
      <c r="A241" s="35" t="n">
        <v>237</v>
      </c>
      <c r="B241" s="35" t="n">
        <v>237</v>
      </c>
      <c r="C241" s="36" t="inlineStr">
        <is>
          <t>0405628031</t>
        </is>
      </c>
      <c r="D241" s="36" t="inlineStr">
        <is>
          <t>Region IV-A (CALABARZON)</t>
        </is>
      </c>
      <c r="E241" s="36" t="inlineStr">
        <is>
          <t>Quezon</t>
        </is>
      </c>
      <c r="F241" s="36" t="inlineStr">
        <is>
          <t>Mulanay</t>
        </is>
      </c>
      <c r="G241" s="36" t="inlineStr">
        <is>
          <t>Santa Rosa</t>
        </is>
      </c>
      <c r="H241" s="37" t="n">
        <v>13.53342</v>
      </c>
      <c r="I241" s="37" t="n">
        <v>122.3888</v>
      </c>
      <c r="J241" s="8" t="inlineStr">
        <is>
          <t>R</t>
        </is>
      </c>
      <c r="K241" s="36" t="inlineStr">
        <is>
          <t>Class 1-3 / Urban</t>
        </is>
      </c>
      <c r="L241" s="18" t="n">
        <v>3933</v>
      </c>
      <c r="M241" s="20" t="n">
        <v>4.46</v>
      </c>
      <c r="N241" s="18">
        <f>ROUND(L241/M241, 0)</f>
        <v/>
      </c>
      <c r="O241" s="18">
        <f>ROUND(N241*'Methodology &amp; Assumptions'!$B$8, 0)</f>
        <v/>
      </c>
      <c r="P241" s="8" t="inlineStr">
        <is>
          <t>Band n50 (1.5 GHz, 60 MHz)</t>
        </is>
      </c>
      <c r="Q241" s="38">
        <f>ROUNDUP(O241/'Methodology &amp; Assumptions'!$B$9, 0)</f>
        <v/>
      </c>
      <c r="R241" s="39" t="n">
        <v>1</v>
      </c>
      <c r="S241" s="21" t="n">
        <v>0.96</v>
      </c>
      <c r="T241" s="21" t="n">
        <v>0.11</v>
      </c>
      <c r="U241" s="36" t="inlineStr">
        <is>
          <t>Tier 1A (Direct Coloc, &lt;1 km)</t>
        </is>
      </c>
      <c r="V241" s="20" t="n">
        <v>82.7</v>
      </c>
      <c r="W241" s="20" t="n">
        <v>94.7</v>
      </c>
      <c r="X241" s="20" t="n">
        <v>58</v>
      </c>
      <c r="Y241" s="40">
        <f>ROUND((V241*'Methodology &amp; Assumptions'!$B$6)+(W241*'Methodology &amp; Assumptions'!$B$5)+(X241*'Methodology &amp; Assumptions'!$B$7), 2)</f>
        <v/>
      </c>
    </row>
    <row r="242" ht="19" customHeight="1">
      <c r="A242" s="41" t="n">
        <v>238</v>
      </c>
      <c r="B242" s="41" t="n">
        <v>238</v>
      </c>
      <c r="C242" s="42" t="inlineStr">
        <is>
          <t>0304923011</t>
        </is>
      </c>
      <c r="D242" s="42" t="inlineStr">
        <is>
          <t>Region III (Central Luzon)</t>
        </is>
      </c>
      <c r="E242" s="42" t="inlineStr">
        <is>
          <t>Nueva Ecija</t>
        </is>
      </c>
      <c r="F242" s="42" t="inlineStr">
        <is>
          <t>Rizal</t>
        </is>
      </c>
      <c r="G242" s="42" t="inlineStr">
        <is>
          <t>Aglipay</t>
        </is>
      </c>
      <c r="H242" s="43" t="n">
        <v>15.585783</v>
      </c>
      <c r="I242" s="43" t="n">
        <v>120.924577</v>
      </c>
      <c r="J242" s="44" t="inlineStr">
        <is>
          <t>R</t>
        </is>
      </c>
      <c r="K242" s="42" t="inlineStr">
        <is>
          <t>Class 1-3 / Urban</t>
        </is>
      </c>
      <c r="L242" s="23" t="n">
        <v>3463</v>
      </c>
      <c r="M242" s="24" t="n">
        <v>4.32</v>
      </c>
      <c r="N242" s="23">
        <f>ROUND(L242/M242, 0)</f>
        <v/>
      </c>
      <c r="O242" s="23">
        <f>ROUND(N242*'Methodology &amp; Assumptions'!$B$8, 0)</f>
        <v/>
      </c>
      <c r="P242" s="44" t="inlineStr">
        <is>
          <t>Band n50 (1.5 GHz, 60 MHz)</t>
        </is>
      </c>
      <c r="Q242" s="38">
        <f>ROUNDUP(O242/'Methodology &amp; Assumptions'!$B$9, 0)</f>
        <v/>
      </c>
      <c r="R242" s="39" t="n">
        <v>1</v>
      </c>
      <c r="S242" s="25" t="n">
        <v>0.71</v>
      </c>
      <c r="T242" s="25" t="n">
        <v>0.52</v>
      </c>
      <c r="U242" s="42" t="inlineStr">
        <is>
          <t>Tier 1A (Direct Coloc, &lt;1 km)</t>
        </is>
      </c>
      <c r="V242" s="24" t="n">
        <v>89</v>
      </c>
      <c r="W242" s="24" t="n">
        <v>88.3</v>
      </c>
      <c r="X242" s="24" t="n">
        <v>58</v>
      </c>
      <c r="Y242" s="45">
        <f>ROUND((V242*'Methodology &amp; Assumptions'!$B$6)+(W242*'Methodology &amp; Assumptions'!$B$5)+(X242*'Methodology &amp; Assumptions'!$B$7), 2)</f>
        <v/>
      </c>
    </row>
    <row r="243" ht="19" customHeight="1">
      <c r="A243" s="35" t="n">
        <v>239</v>
      </c>
      <c r="B243" s="35" t="n">
        <v>239</v>
      </c>
      <c r="C243" s="36" t="inlineStr">
        <is>
          <t>1102404021</t>
        </is>
      </c>
      <c r="D243" s="36" t="inlineStr">
        <is>
          <t>Region XI (Davao Region)</t>
        </is>
      </c>
      <c r="E243" s="36" t="inlineStr">
        <is>
          <t>Davao del Sur</t>
        </is>
      </c>
      <c r="F243" s="36" t="inlineStr">
        <is>
          <t>Hagonoy</t>
        </is>
      </c>
      <c r="G243" s="36" t="inlineStr">
        <is>
          <t>Poblacion</t>
        </is>
      </c>
      <c r="H243" s="37" t="n">
        <v>6.683969</v>
      </c>
      <c r="I243" s="37" t="n">
        <v>125.303239</v>
      </c>
      <c r="J243" s="8" t="inlineStr">
        <is>
          <t>R</t>
        </is>
      </c>
      <c r="K243" s="36" t="inlineStr">
        <is>
          <t>Class 1-3 / Urban</t>
        </is>
      </c>
      <c r="L243" s="18" t="n">
        <v>4487</v>
      </c>
      <c r="M243" s="20" t="n">
        <v>4.1</v>
      </c>
      <c r="N243" s="18">
        <f>ROUND(L243/M243, 0)</f>
        <v/>
      </c>
      <c r="O243" s="18">
        <f>ROUND(N243*'Methodology &amp; Assumptions'!$B$8, 0)</f>
        <v/>
      </c>
      <c r="P243" s="8" t="inlineStr">
        <is>
          <t>Band n50 (1.5 GHz, 60 MHz)</t>
        </is>
      </c>
      <c r="Q243" s="38">
        <f>ROUNDUP(O243/'Methodology &amp; Assumptions'!$B$9, 0)</f>
        <v/>
      </c>
      <c r="R243" s="39" t="n">
        <v>1</v>
      </c>
      <c r="S243" s="21" t="n">
        <v>0.77</v>
      </c>
      <c r="T243" s="21" t="n">
        <v>4.35</v>
      </c>
      <c r="U243" s="36" t="inlineStr">
        <is>
          <t>Tier 1A (Direct Coloc, &lt;1 km)</t>
        </is>
      </c>
      <c r="V243" s="20" t="n">
        <v>77.2</v>
      </c>
      <c r="W243" s="20" t="n">
        <v>100</v>
      </c>
      <c r="X243" s="20" t="n">
        <v>58</v>
      </c>
      <c r="Y243" s="40">
        <f>ROUND((V243*'Methodology &amp; Assumptions'!$B$6)+(W243*'Methodology &amp; Assumptions'!$B$5)+(X243*'Methodology &amp; Assumptions'!$B$7), 2)</f>
        <v/>
      </c>
    </row>
    <row r="244" ht="19" customHeight="1">
      <c r="A244" s="41" t="n">
        <v>240</v>
      </c>
      <c r="B244" s="41" t="n">
        <v>240</v>
      </c>
      <c r="C244" s="42" t="inlineStr">
        <is>
          <t>0702223042</t>
        </is>
      </c>
      <c r="D244" s="42" t="inlineStr">
        <is>
          <t>Region VII (Central Visayas)</t>
        </is>
      </c>
      <c r="E244" s="42" t="inlineStr">
        <is>
          <t>Cebu</t>
        </is>
      </c>
      <c r="F244" s="42" t="inlineStr">
        <is>
          <t>Danao City</t>
        </is>
      </c>
      <c r="G244" s="42" t="inlineStr">
        <is>
          <t>Taytay</t>
        </is>
      </c>
      <c r="H244" s="43" t="n">
        <v>10.53249</v>
      </c>
      <c r="I244" s="43" t="n">
        <v>124.02742</v>
      </c>
      <c r="J244" s="44" t="inlineStr">
        <is>
          <t>R</t>
        </is>
      </c>
      <c r="K244" s="42" t="inlineStr">
        <is>
          <t>Class 1-3 / Urban</t>
        </is>
      </c>
      <c r="L244" s="23" t="n">
        <v>4639</v>
      </c>
      <c r="M244" s="24" t="n">
        <v>4.42</v>
      </c>
      <c r="N244" s="23">
        <f>ROUND(L244/M244, 0)</f>
        <v/>
      </c>
      <c r="O244" s="23">
        <f>ROUND(N244*'Methodology &amp; Assumptions'!$B$8, 0)</f>
        <v/>
      </c>
      <c r="P244" s="44" t="inlineStr">
        <is>
          <t>Band n50 (1.5 GHz, 60 MHz)</t>
        </is>
      </c>
      <c r="Q244" s="38">
        <f>ROUNDUP(O244/'Methodology &amp; Assumptions'!$B$9, 0)</f>
        <v/>
      </c>
      <c r="R244" s="39" t="n">
        <v>1</v>
      </c>
      <c r="S244" s="25" t="n">
        <v>1.19</v>
      </c>
      <c r="T244" s="25" t="n">
        <v>0.24</v>
      </c>
      <c r="U244" s="42" t="inlineStr">
        <is>
          <t>Tier 1B (Micro Drop, 1-3 km)</t>
        </is>
      </c>
      <c r="V244" s="24" t="n">
        <v>77.2</v>
      </c>
      <c r="W244" s="24" t="n">
        <v>100</v>
      </c>
      <c r="X244" s="24" t="n">
        <v>58</v>
      </c>
      <c r="Y244" s="45">
        <f>ROUND((V244*'Methodology &amp; Assumptions'!$B$6)+(W244*'Methodology &amp; Assumptions'!$B$5)+(X244*'Methodology &amp; Assumptions'!$B$7), 2)</f>
        <v/>
      </c>
    </row>
    <row r="245" ht="19" customHeight="1">
      <c r="A245" s="35" t="n">
        <v>241</v>
      </c>
      <c r="B245" s="35" t="n">
        <v>241</v>
      </c>
      <c r="C245" s="36" t="inlineStr">
        <is>
          <t>0908305009</t>
        </is>
      </c>
      <c r="D245" s="36" t="inlineStr">
        <is>
          <t>Region IX (Zamboanga Peninsula)</t>
        </is>
      </c>
      <c r="E245" s="36" t="inlineStr">
        <is>
          <t>Zamboanga Sibugay</t>
        </is>
      </c>
      <c r="F245" s="36" t="inlineStr">
        <is>
          <t>Ipil</t>
        </is>
      </c>
      <c r="G245" s="36" t="inlineStr">
        <is>
          <t>Ipil Heights</t>
        </is>
      </c>
      <c r="H245" s="37" t="n">
        <v>7.786288</v>
      </c>
      <c r="I245" s="37" t="n">
        <v>122.581895</v>
      </c>
      <c r="J245" s="8" t="inlineStr">
        <is>
          <t>R</t>
        </is>
      </c>
      <c r="K245" s="36" t="inlineStr">
        <is>
          <t>Class 1-3 / Urban</t>
        </is>
      </c>
      <c r="L245" s="18" t="n">
        <v>4026</v>
      </c>
      <c r="M245" s="20" t="n">
        <v>5.06</v>
      </c>
      <c r="N245" s="18">
        <f>ROUND(L245/M245, 0)</f>
        <v/>
      </c>
      <c r="O245" s="18">
        <f>ROUND(N245*'Methodology &amp; Assumptions'!$B$8, 0)</f>
        <v/>
      </c>
      <c r="P245" s="8" t="inlineStr">
        <is>
          <t>Band n50 (1.5 GHz, 60 MHz)</t>
        </is>
      </c>
      <c r="Q245" s="38">
        <f>ROUNDUP(O245/'Methodology &amp; Assumptions'!$B$9, 0)</f>
        <v/>
      </c>
      <c r="R245" s="39" t="n">
        <v>1</v>
      </c>
      <c r="S245" s="21" t="n">
        <v>0.6899999999999999</v>
      </c>
      <c r="T245" s="21" t="n">
        <v>0.6899999999999999</v>
      </c>
      <c r="U245" s="36" t="inlineStr">
        <is>
          <t>Tier 1A (Direct Coloc, &lt;1 km)</t>
        </is>
      </c>
      <c r="V245" s="20" t="n">
        <v>89.5</v>
      </c>
      <c r="W245" s="20" t="n">
        <v>87.7</v>
      </c>
      <c r="X245" s="20" t="n">
        <v>58</v>
      </c>
      <c r="Y245" s="40">
        <f>ROUND((V245*'Methodology &amp; Assumptions'!$B$6)+(W245*'Methodology &amp; Assumptions'!$B$5)+(X245*'Methodology &amp; Assumptions'!$B$7), 2)</f>
        <v/>
      </c>
    </row>
    <row r="246" ht="19" customHeight="1">
      <c r="A246" s="41" t="n">
        <v>242</v>
      </c>
      <c r="B246" s="41" t="n">
        <v>242</v>
      </c>
      <c r="C246" s="42" t="inlineStr">
        <is>
          <t>0305416013</t>
        </is>
      </c>
      <c r="D246" s="42" t="inlineStr">
        <is>
          <t>Region III (Central Luzon)</t>
        </is>
      </c>
      <c r="E246" s="42" t="inlineStr">
        <is>
          <t>Pampanga</t>
        </is>
      </c>
      <c r="F246" s="42" t="inlineStr">
        <is>
          <t>City of San Fernando</t>
        </is>
      </c>
      <c r="G246" s="42" t="inlineStr">
        <is>
          <t>Lourdes</t>
        </is>
      </c>
      <c r="H246" s="43" t="n">
        <v>15.143232</v>
      </c>
      <c r="I246" s="43" t="n">
        <v>120.593275</v>
      </c>
      <c r="J246" s="44" t="inlineStr">
        <is>
          <t>R</t>
        </is>
      </c>
      <c r="K246" s="42" t="inlineStr">
        <is>
          <t>Class 1-3 / Urban</t>
        </is>
      </c>
      <c r="L246" s="23" t="n">
        <v>4045</v>
      </c>
      <c r="M246" s="24" t="n">
        <v>4.63</v>
      </c>
      <c r="N246" s="23">
        <f>ROUND(L246/M246, 0)</f>
        <v/>
      </c>
      <c r="O246" s="23">
        <f>ROUND(N246*'Methodology &amp; Assumptions'!$B$8, 0)</f>
        <v/>
      </c>
      <c r="P246" s="44" t="inlineStr">
        <is>
          <t>Band n50 (1.5 GHz, 60 MHz)</t>
        </is>
      </c>
      <c r="Q246" s="38">
        <f>ROUNDUP(O246/'Methodology &amp; Assumptions'!$B$9, 0)</f>
        <v/>
      </c>
      <c r="R246" s="39" t="n">
        <v>1</v>
      </c>
      <c r="S246" s="25" t="n">
        <v>0.9399999999999999</v>
      </c>
      <c r="T246" s="25" t="n">
        <v>0.31</v>
      </c>
      <c r="U246" s="42" t="inlineStr">
        <is>
          <t>Tier 1A (Direct Coloc, &lt;1 km)</t>
        </is>
      </c>
      <c r="V246" s="24" t="n">
        <v>83.2</v>
      </c>
      <c r="W246" s="24" t="n">
        <v>93.90000000000001</v>
      </c>
      <c r="X246" s="24" t="n">
        <v>58</v>
      </c>
      <c r="Y246" s="45">
        <f>ROUND((V246*'Methodology &amp; Assumptions'!$B$6)+(W246*'Methodology &amp; Assumptions'!$B$5)+(X246*'Methodology &amp; Assumptions'!$B$7), 2)</f>
        <v/>
      </c>
    </row>
    <row r="247" ht="19" customHeight="1">
      <c r="A247" s="35" t="n">
        <v>243</v>
      </c>
      <c r="B247" s="35" t="n">
        <v>243</v>
      </c>
      <c r="C247" s="36" t="inlineStr">
        <is>
          <t>0403426022</t>
        </is>
      </c>
      <c r="D247" s="36" t="inlineStr">
        <is>
          <t>Region IV-A (CALABARZON)</t>
        </is>
      </c>
      <c r="E247" s="36" t="inlineStr">
        <is>
          <t>Laguna</t>
        </is>
      </c>
      <c r="F247" s="36" t="inlineStr">
        <is>
          <t>Santa Cruz</t>
        </is>
      </c>
      <c r="G247" s="36" t="inlineStr">
        <is>
          <t>San Pablo Sur</t>
        </is>
      </c>
      <c r="H247" s="37" t="n">
        <v>14.282909</v>
      </c>
      <c r="I247" s="37" t="n">
        <v>121.416962</v>
      </c>
      <c r="J247" s="8" t="inlineStr">
        <is>
          <t>R</t>
        </is>
      </c>
      <c r="K247" s="36" t="inlineStr">
        <is>
          <t>Class 1-3 / Urban</t>
        </is>
      </c>
      <c r="L247" s="18" t="n">
        <v>3200</v>
      </c>
      <c r="M247" s="20" t="n">
        <v>4.2</v>
      </c>
      <c r="N247" s="18">
        <f>ROUND(L247/M247, 0)</f>
        <v/>
      </c>
      <c r="O247" s="18">
        <f>ROUND(N247*'Methodology &amp; Assumptions'!$B$8, 0)</f>
        <v/>
      </c>
      <c r="P247" s="8" t="inlineStr">
        <is>
          <t>Band n50 (1.5 GHz, 60 MHz)</t>
        </is>
      </c>
      <c r="Q247" s="38">
        <f>ROUNDUP(O247/'Methodology &amp; Assumptions'!$B$9, 0)</f>
        <v/>
      </c>
      <c r="R247" s="39" t="n">
        <v>1</v>
      </c>
      <c r="S247" s="21" t="n">
        <v>0.6</v>
      </c>
      <c r="T247" s="21" t="n">
        <v>0.29</v>
      </c>
      <c r="U247" s="36" t="inlineStr">
        <is>
          <t>Tier 1A (Direct Coloc, &lt;1 km)</t>
        </is>
      </c>
      <c r="V247" s="20" t="n">
        <v>92</v>
      </c>
      <c r="W247" s="20" t="n">
        <v>85.09999999999999</v>
      </c>
      <c r="X247" s="20" t="n">
        <v>58</v>
      </c>
      <c r="Y247" s="40">
        <f>ROUND((V247*'Methodology &amp; Assumptions'!$B$6)+(W247*'Methodology &amp; Assumptions'!$B$5)+(X247*'Methodology &amp; Assumptions'!$B$7), 2)</f>
        <v/>
      </c>
    </row>
    <row r="248" ht="19" customHeight="1">
      <c r="A248" s="41" t="n">
        <v>244</v>
      </c>
      <c r="B248" s="41" t="n">
        <v>244</v>
      </c>
      <c r="C248" s="42" t="inlineStr">
        <is>
          <t>0205003018</t>
        </is>
      </c>
      <c r="D248" s="42" t="inlineStr">
        <is>
          <t>Region II (Cagayan Valley)</t>
        </is>
      </c>
      <c r="E248" s="42" t="inlineStr">
        <is>
          <t>Nueva Vizcaya</t>
        </is>
      </c>
      <c r="F248" s="42" t="inlineStr">
        <is>
          <t>Bagabag</t>
        </is>
      </c>
      <c r="G248" s="42" t="inlineStr">
        <is>
          <t>Tuao South</t>
        </is>
      </c>
      <c r="H248" s="43" t="n">
        <v>16.567861</v>
      </c>
      <c r="I248" s="43" t="n">
        <v>121.248518</v>
      </c>
      <c r="J248" s="44" t="inlineStr">
        <is>
          <t>R</t>
        </is>
      </c>
      <c r="K248" s="42" t="inlineStr">
        <is>
          <t>Class 1-3 / Urban</t>
        </is>
      </c>
      <c r="L248" s="23" t="n">
        <v>2650</v>
      </c>
      <c r="M248" s="24" t="n">
        <v>4.19</v>
      </c>
      <c r="N248" s="23">
        <f>ROUND(L248/M248, 0)</f>
        <v/>
      </c>
      <c r="O248" s="23">
        <f>ROUND(N248*'Methodology &amp; Assumptions'!$B$8, 0)</f>
        <v/>
      </c>
      <c r="P248" s="44" t="inlineStr">
        <is>
          <t>Band n50 (1.5 GHz, 60 MHz)</t>
        </is>
      </c>
      <c r="Q248" s="38">
        <f>ROUNDUP(O248/'Methodology &amp; Assumptions'!$B$9, 0)</f>
        <v/>
      </c>
      <c r="R248" s="39" t="n">
        <v>1</v>
      </c>
      <c r="S248" s="25" t="n">
        <v>0.6899999999999999</v>
      </c>
      <c r="T248" s="25" t="n">
        <v>0.1</v>
      </c>
      <c r="U248" s="42" t="inlineStr">
        <is>
          <t>Tier 1A (Direct Coloc, &lt;1 km)</t>
        </is>
      </c>
      <c r="V248" s="24" t="n">
        <v>89.5</v>
      </c>
      <c r="W248" s="24" t="n">
        <v>74.7</v>
      </c>
      <c r="X248" s="24" t="n">
        <v>73</v>
      </c>
      <c r="Y248" s="45">
        <f>ROUND((V248*'Methodology &amp; Assumptions'!$B$6)+(W248*'Methodology &amp; Assumptions'!$B$5)+(X248*'Methodology &amp; Assumptions'!$B$7), 2)</f>
        <v/>
      </c>
    </row>
    <row r="249" ht="19" customHeight="1">
      <c r="A249" s="35" t="n">
        <v>245</v>
      </c>
      <c r="B249" s="35" t="n">
        <v>245</v>
      </c>
      <c r="C249" s="36" t="inlineStr">
        <is>
          <t>0105520005</t>
        </is>
      </c>
      <c r="D249" s="36" t="inlineStr">
        <is>
          <t>Region I (Ilocos Region)</t>
        </is>
      </c>
      <c r="E249" s="36" t="inlineStr">
        <is>
          <t>Pangasinan</t>
        </is>
      </c>
      <c r="F249" s="36" t="inlineStr">
        <is>
          <t>Infanta</t>
        </is>
      </c>
      <c r="G249" s="36" t="inlineStr">
        <is>
          <t>Cato</t>
        </is>
      </c>
      <c r="H249" s="37" t="n">
        <v>15.835729</v>
      </c>
      <c r="I249" s="37" t="n">
        <v>119.91533</v>
      </c>
      <c r="J249" s="8" t="inlineStr">
        <is>
          <t>R</t>
        </is>
      </c>
      <c r="K249" s="36" t="inlineStr">
        <is>
          <t>Class 1-3 / Urban</t>
        </is>
      </c>
      <c r="L249" s="18" t="n">
        <v>4849</v>
      </c>
      <c r="M249" s="20" t="n">
        <v>4.39</v>
      </c>
      <c r="N249" s="18">
        <f>ROUND(L249/M249, 0)</f>
        <v/>
      </c>
      <c r="O249" s="18">
        <f>ROUND(N249*'Methodology &amp; Assumptions'!$B$8, 0)</f>
        <v/>
      </c>
      <c r="P249" s="8" t="inlineStr">
        <is>
          <t>Band n50 (1.5 GHz, 60 MHz)</t>
        </is>
      </c>
      <c r="Q249" s="38">
        <f>ROUNDUP(O249/'Methodology &amp; Assumptions'!$B$9, 0)</f>
        <v/>
      </c>
      <c r="R249" s="39" t="n">
        <v>1</v>
      </c>
      <c r="S249" s="21" t="n">
        <v>1.2</v>
      </c>
      <c r="T249" s="21" t="n">
        <v>0.15</v>
      </c>
      <c r="U249" s="36" t="inlineStr">
        <is>
          <t>Tier 1B (Micro Drop, 1-3 km)</t>
        </is>
      </c>
      <c r="V249" s="20" t="n">
        <v>77</v>
      </c>
      <c r="W249" s="20" t="n">
        <v>100</v>
      </c>
      <c r="X249" s="20" t="n">
        <v>58</v>
      </c>
      <c r="Y249" s="40">
        <f>ROUND((V249*'Methodology &amp; Assumptions'!$B$6)+(W249*'Methodology &amp; Assumptions'!$B$5)+(X249*'Methodology &amp; Assumptions'!$B$7), 2)</f>
        <v/>
      </c>
    </row>
    <row r="250" ht="19" customHeight="1">
      <c r="A250" s="41" t="n">
        <v>246</v>
      </c>
      <c r="B250" s="41" t="n">
        <v>246</v>
      </c>
      <c r="C250" s="42" t="inlineStr">
        <is>
          <t>0402115028</t>
        </is>
      </c>
      <c r="D250" s="42" t="inlineStr">
        <is>
          <t>Region IV-A (CALABARZON)</t>
        </is>
      </c>
      <c r="E250" s="42" t="inlineStr">
        <is>
          <t>Cavite</t>
        </is>
      </c>
      <c r="F250" s="42" t="inlineStr">
        <is>
          <t>Naic</t>
        </is>
      </c>
      <c r="G250" s="42" t="inlineStr">
        <is>
          <t>San Roque</t>
        </is>
      </c>
      <c r="H250" s="43" t="n">
        <v>14.310762</v>
      </c>
      <c r="I250" s="43" t="n">
        <v>120.771699</v>
      </c>
      <c r="J250" s="44" t="inlineStr">
        <is>
          <t>R</t>
        </is>
      </c>
      <c r="K250" s="42" t="inlineStr">
        <is>
          <t>Class 1-3 / Urban</t>
        </is>
      </c>
      <c r="L250" s="23" t="n">
        <v>4568</v>
      </c>
      <c r="M250" s="24" t="n">
        <v>4.49</v>
      </c>
      <c r="N250" s="23">
        <f>ROUND(L250/M250, 0)</f>
        <v/>
      </c>
      <c r="O250" s="23">
        <f>ROUND(N250*'Methodology &amp; Assumptions'!$B$8, 0)</f>
        <v/>
      </c>
      <c r="P250" s="44" t="inlineStr">
        <is>
          <t>Band n50 (1.5 GHz, 60 MHz)</t>
        </is>
      </c>
      <c r="Q250" s="38">
        <f>ROUNDUP(O250/'Methodology &amp; Assumptions'!$B$9, 0)</f>
        <v/>
      </c>
      <c r="R250" s="39" t="n">
        <v>1</v>
      </c>
      <c r="S250" s="25" t="n">
        <v>1.21</v>
      </c>
      <c r="T250" s="25" t="n">
        <v>0.06</v>
      </c>
      <c r="U250" s="42" t="inlineStr">
        <is>
          <t>Tier 1B (Micro Drop, 1-3 km)</t>
        </is>
      </c>
      <c r="V250" s="24" t="n">
        <v>76.8</v>
      </c>
      <c r="W250" s="24" t="n">
        <v>100</v>
      </c>
      <c r="X250" s="24" t="n">
        <v>58</v>
      </c>
      <c r="Y250" s="45">
        <f>ROUND((V250*'Methodology &amp; Assumptions'!$B$6)+(W250*'Methodology &amp; Assumptions'!$B$5)+(X250*'Methodology &amp; Assumptions'!$B$7), 2)</f>
        <v/>
      </c>
    </row>
    <row r="251" ht="19" customHeight="1">
      <c r="A251" s="35" t="n">
        <v>247</v>
      </c>
      <c r="B251" s="35" t="n">
        <v>247</v>
      </c>
      <c r="C251" s="36" t="inlineStr">
        <is>
          <t>0403423010</t>
        </is>
      </c>
      <c r="D251" s="36" t="inlineStr">
        <is>
          <t>Region IV-A (CALABARZON)</t>
        </is>
      </c>
      <c r="E251" s="36" t="inlineStr">
        <is>
          <t>Laguna</t>
        </is>
      </c>
      <c r="F251" s="36" t="inlineStr">
        <is>
          <t>Rizal</t>
        </is>
      </c>
      <c r="G251" s="36" t="inlineStr">
        <is>
          <t>Talaga</t>
        </is>
      </c>
      <c r="H251" s="37" t="n">
        <v>14.111132</v>
      </c>
      <c r="I251" s="37" t="n">
        <v>121.390858</v>
      </c>
      <c r="J251" s="8" t="inlineStr">
        <is>
          <t>R</t>
        </is>
      </c>
      <c r="K251" s="36" t="inlineStr">
        <is>
          <t>4th</t>
        </is>
      </c>
      <c r="L251" s="18" t="n">
        <v>2319</v>
      </c>
      <c r="M251" s="20" t="n">
        <v>4.24</v>
      </c>
      <c r="N251" s="18">
        <f>ROUND(L251/M251, 0)</f>
        <v/>
      </c>
      <c r="O251" s="18">
        <f>ROUND(N251*'Methodology &amp; Assumptions'!$B$8, 0)</f>
        <v/>
      </c>
      <c r="P251" s="8" t="inlineStr">
        <is>
          <t>Band n50 (1.5 GHz, 60 MHz)</t>
        </is>
      </c>
      <c r="Q251" s="38">
        <f>ROUNDUP(O251/'Methodology &amp; Assumptions'!$B$9, 0)</f>
        <v/>
      </c>
      <c r="R251" s="39" t="n">
        <v>1</v>
      </c>
      <c r="S251" s="21" t="n">
        <v>0.22</v>
      </c>
      <c r="T251" s="21" t="n">
        <v>0.14</v>
      </c>
      <c r="U251" s="36" t="inlineStr">
        <is>
          <t>Tier 1A (Direct Coloc, &lt;1 km)</t>
        </is>
      </c>
      <c r="V251" s="20" t="n">
        <v>100</v>
      </c>
      <c r="W251" s="20" t="n">
        <v>67.7</v>
      </c>
      <c r="X251" s="20" t="n">
        <v>68.5</v>
      </c>
      <c r="Y251" s="40">
        <f>ROUND((V251*'Methodology &amp; Assumptions'!$B$6)+(W251*'Methodology &amp; Assumptions'!$B$5)+(X251*'Methodology &amp; Assumptions'!$B$7), 2)</f>
        <v/>
      </c>
    </row>
    <row r="252" ht="19" customHeight="1">
      <c r="A252" s="41" t="n">
        <v>248</v>
      </c>
      <c r="B252" s="41" t="n">
        <v>248</v>
      </c>
      <c r="C252" s="42" t="inlineStr">
        <is>
          <t>1705205029</t>
        </is>
      </c>
      <c r="D252" s="42" t="inlineStr">
        <is>
          <t>MIMAROPA Region</t>
        </is>
      </c>
      <c r="E252" s="42" t="inlineStr">
        <is>
          <t>Oriental Mindoro</t>
        </is>
      </c>
      <c r="F252" s="42" t="inlineStr">
        <is>
          <t>City of Calapan</t>
        </is>
      </c>
      <c r="G252" s="42" t="inlineStr">
        <is>
          <t>Lazareto</t>
        </is>
      </c>
      <c r="H252" s="43" t="n">
        <v>13.428973</v>
      </c>
      <c r="I252" s="43" t="n">
        <v>121.199756</v>
      </c>
      <c r="J252" s="44" t="inlineStr">
        <is>
          <t>R</t>
        </is>
      </c>
      <c r="K252" s="42" t="inlineStr">
        <is>
          <t>Class 1-3 / Urban</t>
        </is>
      </c>
      <c r="L252" s="23" t="n">
        <v>4799</v>
      </c>
      <c r="M252" s="24" t="n">
        <v>4.41</v>
      </c>
      <c r="N252" s="23">
        <f>ROUND(L252/M252, 0)</f>
        <v/>
      </c>
      <c r="O252" s="23">
        <f>ROUND(N252*'Methodology &amp; Assumptions'!$B$8, 0)</f>
        <v/>
      </c>
      <c r="P252" s="44" t="inlineStr">
        <is>
          <t>Band n50 (1.5 GHz, 60 MHz)</t>
        </is>
      </c>
      <c r="Q252" s="38">
        <f>ROUNDUP(O252/'Methodology &amp; Assumptions'!$B$9, 0)</f>
        <v/>
      </c>
      <c r="R252" s="39" t="n">
        <v>1</v>
      </c>
      <c r="S252" s="25" t="n">
        <v>0.8</v>
      </c>
      <c r="T252" s="25" t="n">
        <v>6.92</v>
      </c>
      <c r="U252" s="42" t="inlineStr">
        <is>
          <t>Tier 1A (Direct Coloc, &lt;1 km)</t>
        </is>
      </c>
      <c r="V252" s="24" t="n">
        <v>76.7</v>
      </c>
      <c r="W252" s="24" t="n">
        <v>100</v>
      </c>
      <c r="X252" s="24" t="n">
        <v>58</v>
      </c>
      <c r="Y252" s="45">
        <f>ROUND((V252*'Methodology &amp; Assumptions'!$B$6)+(W252*'Methodology &amp; Assumptions'!$B$5)+(X252*'Methodology &amp; Assumptions'!$B$7), 2)</f>
        <v/>
      </c>
    </row>
    <row r="253" ht="19" customHeight="1">
      <c r="A253" s="35" t="n">
        <v>249</v>
      </c>
      <c r="B253" s="35" t="n">
        <v>249</v>
      </c>
      <c r="C253" s="36" t="inlineStr">
        <is>
          <t>0501605008</t>
        </is>
      </c>
      <c r="D253" s="36" t="inlineStr">
        <is>
          <t>Region V (Bicol Region)</t>
        </is>
      </c>
      <c r="E253" s="36" t="inlineStr">
        <is>
          <t>Camarines Norte</t>
        </is>
      </c>
      <c r="F253" s="36" t="inlineStr">
        <is>
          <t>Jose Panganiban</t>
        </is>
      </c>
      <c r="G253" s="36" t="inlineStr">
        <is>
          <t>Motherlode</t>
        </is>
      </c>
      <c r="H253" s="37" t="n">
        <v>14.282801</v>
      </c>
      <c r="I253" s="37" t="n">
        <v>122.697792</v>
      </c>
      <c r="J253" s="8" t="inlineStr">
        <is>
          <t>R</t>
        </is>
      </c>
      <c r="K253" s="36" t="inlineStr">
        <is>
          <t>Class 1-3 / Urban</t>
        </is>
      </c>
      <c r="L253" s="18" t="n">
        <v>3086</v>
      </c>
      <c r="M253" s="20" t="n">
        <v>4.4</v>
      </c>
      <c r="N253" s="18">
        <f>ROUND(L253/M253, 0)</f>
        <v/>
      </c>
      <c r="O253" s="18">
        <f>ROUND(N253*'Methodology &amp; Assumptions'!$B$8, 0)</f>
        <v/>
      </c>
      <c r="P253" s="8" t="inlineStr">
        <is>
          <t>Band n50 (1.5 GHz, 60 MHz)</t>
        </is>
      </c>
      <c r="Q253" s="38">
        <f>ROUNDUP(O253/'Methodology &amp; Assumptions'!$B$9, 0)</f>
        <v/>
      </c>
      <c r="R253" s="39" t="n">
        <v>1</v>
      </c>
      <c r="S253" s="21" t="n">
        <v>0.1</v>
      </c>
      <c r="T253" s="21" t="n">
        <v>9.949999999999999</v>
      </c>
      <c r="U253" s="36" t="inlineStr">
        <is>
          <t>Tier 1A (Direct Coloc, &lt;1 km)</t>
        </is>
      </c>
      <c r="V253" s="20" t="n">
        <v>96.7</v>
      </c>
      <c r="W253" s="20" t="n">
        <v>80</v>
      </c>
      <c r="X253" s="20" t="n">
        <v>58</v>
      </c>
      <c r="Y253" s="40">
        <f>ROUND((V253*'Methodology &amp; Assumptions'!$B$6)+(W253*'Methodology &amp; Assumptions'!$B$5)+(X253*'Methodology &amp; Assumptions'!$B$7), 2)</f>
        <v/>
      </c>
    </row>
    <row r="254" ht="19" customHeight="1">
      <c r="A254" s="41" t="n">
        <v>250</v>
      </c>
      <c r="B254" s="41" t="n">
        <v>250</v>
      </c>
      <c r="C254" s="42" t="inlineStr">
        <is>
          <t>0403408006</t>
        </is>
      </c>
      <c r="D254" s="42" t="inlineStr">
        <is>
          <t>Region IV-A (CALABARZON)</t>
        </is>
      </c>
      <c r="E254" s="42" t="inlineStr">
        <is>
          <t>Laguna</t>
        </is>
      </c>
      <c r="F254" s="42" t="inlineStr">
        <is>
          <t>Famy</t>
        </is>
      </c>
      <c r="G254" s="42" t="inlineStr">
        <is>
          <t>Batuhan</t>
        </is>
      </c>
      <c r="H254" s="43" t="n">
        <v>14.43873</v>
      </c>
      <c r="I254" s="43" t="n">
        <v>121.442619</v>
      </c>
      <c r="J254" s="44" t="inlineStr">
        <is>
          <t>R</t>
        </is>
      </c>
      <c r="K254" s="42" t="inlineStr">
        <is>
          <t>4th</t>
        </is>
      </c>
      <c r="L254" s="23" t="n">
        <v>2974</v>
      </c>
      <c r="M254" s="24" t="n">
        <v>4.03</v>
      </c>
      <c r="N254" s="23">
        <f>ROUND(L254/M254, 0)</f>
        <v/>
      </c>
      <c r="O254" s="23">
        <f>ROUND(N254*'Methodology &amp; Assumptions'!$B$8, 0)</f>
        <v/>
      </c>
      <c r="P254" s="44" t="inlineStr">
        <is>
          <t>Band n50 (1.5 GHz, 60 MHz)</t>
        </is>
      </c>
      <c r="Q254" s="38">
        <f>ROUNDUP(O254/'Methodology &amp; Assumptions'!$B$9, 0)</f>
        <v/>
      </c>
      <c r="R254" s="39" t="n">
        <v>1</v>
      </c>
      <c r="S254" s="25" t="n">
        <v>0.88</v>
      </c>
      <c r="T254" s="25" t="n">
        <v>0.13</v>
      </c>
      <c r="U254" s="42" t="inlineStr">
        <is>
          <t>Tier 1A (Direct Coloc, &lt;1 km)</t>
        </is>
      </c>
      <c r="V254" s="24" t="n">
        <v>84.7</v>
      </c>
      <c r="W254" s="24" t="n">
        <v>82.90000000000001</v>
      </c>
      <c r="X254" s="24" t="n">
        <v>68.5</v>
      </c>
      <c r="Y254" s="45">
        <f>ROUND((V254*'Methodology &amp; Assumptions'!$B$6)+(W254*'Methodology &amp; Assumptions'!$B$5)+(X254*'Methodology &amp; Assumptions'!$B$7), 2)</f>
        <v/>
      </c>
    </row>
    <row r="255" ht="19" customHeight="1">
      <c r="A255" s="35" t="n">
        <v>251</v>
      </c>
      <c r="B255" s="35" t="n">
        <v>251</v>
      </c>
      <c r="C255" s="36" t="inlineStr">
        <is>
          <t>0506203025</t>
        </is>
      </c>
      <c r="D255" s="36" t="inlineStr">
        <is>
          <t>Region V (Bicol Region)</t>
        </is>
      </c>
      <c r="E255" s="36" t="inlineStr">
        <is>
          <t>Sorsogon</t>
        </is>
      </c>
      <c r="F255" s="36" t="inlineStr">
        <is>
          <t>Bulan</t>
        </is>
      </c>
      <c r="G255" s="36" t="inlineStr">
        <is>
          <t>Benigno S. Aquino</t>
        </is>
      </c>
      <c r="H255" s="37" t="n">
        <v>12.675428</v>
      </c>
      <c r="I255" s="37" t="n">
        <v>123.874331</v>
      </c>
      <c r="J255" s="8" t="inlineStr">
        <is>
          <t>R</t>
        </is>
      </c>
      <c r="K255" s="36" t="inlineStr">
        <is>
          <t>Class 1-3 / Urban</t>
        </is>
      </c>
      <c r="L255" s="18" t="n">
        <v>3560</v>
      </c>
      <c r="M255" s="20" t="n">
        <v>4.58</v>
      </c>
      <c r="N255" s="18">
        <f>ROUND(L255/M255, 0)</f>
        <v/>
      </c>
      <c r="O255" s="18">
        <f>ROUND(N255*'Methodology &amp; Assumptions'!$B$8, 0)</f>
        <v/>
      </c>
      <c r="P255" s="8" t="inlineStr">
        <is>
          <t>Band n50 (1.5 GHz, 60 MHz)</t>
        </is>
      </c>
      <c r="Q255" s="38">
        <f>ROUNDUP(O255/'Methodology &amp; Assumptions'!$B$9, 0)</f>
        <v/>
      </c>
      <c r="R255" s="39" t="n">
        <v>1</v>
      </c>
      <c r="S255" s="21" t="n">
        <v>0.65</v>
      </c>
      <c r="T255" s="21" t="n">
        <v>0.07000000000000001</v>
      </c>
      <c r="U255" s="36" t="inlineStr">
        <is>
          <t>Tier 1A (Direct Coloc, &lt;1 km)</t>
        </is>
      </c>
      <c r="V255" s="20" t="n">
        <v>90.5</v>
      </c>
      <c r="W255" s="20" t="n">
        <v>86.09999999999999</v>
      </c>
      <c r="X255" s="20" t="n">
        <v>58</v>
      </c>
      <c r="Y255" s="40">
        <f>ROUND((V255*'Methodology &amp; Assumptions'!$B$6)+(W255*'Methodology &amp; Assumptions'!$B$5)+(X255*'Methodology &amp; Assumptions'!$B$7), 2)</f>
        <v/>
      </c>
    </row>
    <row r="256" ht="19" customHeight="1">
      <c r="A256" s="41" t="n">
        <v>252</v>
      </c>
      <c r="B256" s="41" t="n">
        <v>252</v>
      </c>
      <c r="C256" s="42" t="inlineStr">
        <is>
          <t>0304902008</t>
        </is>
      </c>
      <c r="D256" s="42" t="inlineStr">
        <is>
          <t>Region III (Central Luzon)</t>
        </is>
      </c>
      <c r="E256" s="42" t="inlineStr">
        <is>
          <t>Nueva Ecija</t>
        </is>
      </c>
      <c r="F256" s="42" t="inlineStr">
        <is>
          <t>Bongabon</t>
        </is>
      </c>
      <c r="G256" s="42" t="inlineStr">
        <is>
          <t>Curva</t>
        </is>
      </c>
      <c r="H256" s="43" t="n">
        <v>15.623784</v>
      </c>
      <c r="I256" s="43" t="n">
        <v>121.137306</v>
      </c>
      <c r="J256" s="44" t="inlineStr">
        <is>
          <t>R</t>
        </is>
      </c>
      <c r="K256" s="42" t="inlineStr">
        <is>
          <t>Class 1-3 / Urban</t>
        </is>
      </c>
      <c r="L256" s="23" t="n">
        <v>3819</v>
      </c>
      <c r="M256" s="24" t="n">
        <v>4.32</v>
      </c>
      <c r="N256" s="23">
        <f>ROUND(L256/M256, 0)</f>
        <v/>
      </c>
      <c r="O256" s="23">
        <f>ROUND(N256*'Methodology &amp; Assumptions'!$B$8, 0)</f>
        <v/>
      </c>
      <c r="P256" s="44" t="inlineStr">
        <is>
          <t>Band n50 (1.5 GHz, 60 MHz)</t>
        </is>
      </c>
      <c r="Q256" s="38">
        <f>ROUNDUP(O256/'Methodology &amp; Assumptions'!$B$9, 0)</f>
        <v/>
      </c>
      <c r="R256" s="39" t="n">
        <v>1</v>
      </c>
      <c r="S256" s="25" t="n">
        <v>0.99</v>
      </c>
      <c r="T256" s="25" t="n">
        <v>0.99</v>
      </c>
      <c r="U256" s="42" t="inlineStr">
        <is>
          <t>Tier 1A (Direct Coloc, &lt;1 km)</t>
        </is>
      </c>
      <c r="V256" s="24" t="n">
        <v>81.90000000000001</v>
      </c>
      <c r="W256" s="24" t="n">
        <v>94.7</v>
      </c>
      <c r="X256" s="24" t="n">
        <v>58</v>
      </c>
      <c r="Y256" s="45">
        <f>ROUND((V256*'Methodology &amp; Assumptions'!$B$6)+(W256*'Methodology &amp; Assumptions'!$B$5)+(X256*'Methodology &amp; Assumptions'!$B$7), 2)</f>
        <v/>
      </c>
    </row>
    <row r="257" ht="19" customHeight="1">
      <c r="A257" s="35" t="n">
        <v>253</v>
      </c>
      <c r="B257" s="35" t="n">
        <v>253</v>
      </c>
      <c r="C257" s="36" t="inlineStr">
        <is>
          <t>0203106002</t>
        </is>
      </c>
      <c r="D257" s="36" t="inlineStr">
        <is>
          <t>Region II (Cagayan Valley)</t>
        </is>
      </c>
      <c r="E257" s="36" t="inlineStr">
        <is>
          <t>Isabela</t>
        </is>
      </c>
      <c r="F257" s="36" t="inlineStr">
        <is>
          <t>Cabagan</t>
        </is>
      </c>
      <c r="G257" s="36" t="inlineStr">
        <is>
          <t>Anao</t>
        </is>
      </c>
      <c r="H257" s="37" t="n">
        <v>17.423275</v>
      </c>
      <c r="I257" s="37" t="n">
        <v>121.769234</v>
      </c>
      <c r="J257" s="8" t="inlineStr">
        <is>
          <t>R</t>
        </is>
      </c>
      <c r="K257" s="36" t="inlineStr">
        <is>
          <t>Class 1-3 / Urban</t>
        </is>
      </c>
      <c r="L257" s="18" t="n">
        <v>3598</v>
      </c>
      <c r="M257" s="20" t="n">
        <v>4.3</v>
      </c>
      <c r="N257" s="18">
        <f>ROUND(L257/M257, 0)</f>
        <v/>
      </c>
      <c r="O257" s="18">
        <f>ROUND(N257*'Methodology &amp; Assumptions'!$B$8, 0)</f>
        <v/>
      </c>
      <c r="P257" s="8" t="inlineStr">
        <is>
          <t>Band n50 (1.5 GHz, 60 MHz)</t>
        </is>
      </c>
      <c r="Q257" s="38">
        <f>ROUNDUP(O257/'Methodology &amp; Assumptions'!$B$9, 0)</f>
        <v/>
      </c>
      <c r="R257" s="39" t="n">
        <v>1</v>
      </c>
      <c r="S257" s="21" t="n">
        <v>0.84</v>
      </c>
      <c r="T257" s="21" t="n">
        <v>0.6</v>
      </c>
      <c r="U257" s="36" t="inlineStr">
        <is>
          <t>Tier 1A (Direct Coloc, &lt;1 km)</t>
        </is>
      </c>
      <c r="V257" s="20" t="n">
        <v>85.7</v>
      </c>
      <c r="W257" s="20" t="n">
        <v>90.90000000000001</v>
      </c>
      <c r="X257" s="20" t="n">
        <v>58</v>
      </c>
      <c r="Y257" s="40">
        <f>ROUND((V257*'Methodology &amp; Assumptions'!$B$6)+(W257*'Methodology &amp; Assumptions'!$B$5)+(X257*'Methodology &amp; Assumptions'!$B$7), 2)</f>
        <v/>
      </c>
    </row>
    <row r="258" ht="19" customHeight="1">
      <c r="A258" s="41" t="n">
        <v>254</v>
      </c>
      <c r="B258" s="41" t="n">
        <v>254</v>
      </c>
      <c r="C258" s="42" t="inlineStr">
        <is>
          <t>0304923021</t>
        </is>
      </c>
      <c r="D258" s="42" t="inlineStr">
        <is>
          <t>Region III (Central Luzon)</t>
        </is>
      </c>
      <c r="E258" s="42" t="inlineStr">
        <is>
          <t>Nueva Ecija</t>
        </is>
      </c>
      <c r="F258" s="42" t="inlineStr">
        <is>
          <t>Rizal</t>
        </is>
      </c>
      <c r="G258" s="42" t="inlineStr">
        <is>
          <t>Paco Roman</t>
        </is>
      </c>
      <c r="H258" s="43" t="n">
        <v>15.585783</v>
      </c>
      <c r="I258" s="43" t="n">
        <v>120.924577</v>
      </c>
      <c r="J258" s="44" t="inlineStr">
        <is>
          <t>R</t>
        </is>
      </c>
      <c r="K258" s="42" t="inlineStr">
        <is>
          <t>Class 1-3 / Urban</t>
        </is>
      </c>
      <c r="L258" s="23" t="n">
        <v>3425</v>
      </c>
      <c r="M258" s="24" t="n">
        <v>4.32</v>
      </c>
      <c r="N258" s="23">
        <f>ROUND(L258/M258, 0)</f>
        <v/>
      </c>
      <c r="O258" s="23">
        <f>ROUND(N258*'Methodology &amp; Assumptions'!$B$8, 0)</f>
        <v/>
      </c>
      <c r="P258" s="44" t="inlineStr">
        <is>
          <t>Band n50 (1.5 GHz, 60 MHz)</t>
        </is>
      </c>
      <c r="Q258" s="38">
        <f>ROUNDUP(O258/'Methodology &amp; Assumptions'!$B$9, 0)</f>
        <v/>
      </c>
      <c r="R258" s="39" t="n">
        <v>1</v>
      </c>
      <c r="S258" s="25" t="n">
        <v>0.71</v>
      </c>
      <c r="T258" s="25" t="n">
        <v>0.52</v>
      </c>
      <c r="U258" s="42" t="inlineStr">
        <is>
          <t>Tier 1A (Direct Coloc, &lt;1 km)</t>
        </is>
      </c>
      <c r="V258" s="24" t="n">
        <v>89</v>
      </c>
      <c r="W258" s="24" t="n">
        <v>87.5</v>
      </c>
      <c r="X258" s="24" t="n">
        <v>58</v>
      </c>
      <c r="Y258" s="45">
        <f>ROUND((V258*'Methodology &amp; Assumptions'!$B$6)+(W258*'Methodology &amp; Assumptions'!$B$5)+(X258*'Methodology &amp; Assumptions'!$B$7), 2)</f>
        <v/>
      </c>
    </row>
    <row r="259" ht="19" customHeight="1">
      <c r="A259" s="35" t="n">
        <v>255</v>
      </c>
      <c r="B259" s="35" t="n">
        <v>255</v>
      </c>
      <c r="C259" s="36" t="inlineStr">
        <is>
          <t>1630400007</t>
        </is>
      </c>
      <c r="D259" s="36" t="inlineStr">
        <is>
          <t>Region XIII (Caraga)</t>
        </is>
      </c>
      <c r="E259" s="36" t="inlineStr">
        <is>
          <t>Agusan del Norte</t>
        </is>
      </c>
      <c r="F259" s="36" t="inlineStr">
        <is>
          <t>City of Butuan</t>
        </is>
      </c>
      <c r="G259" s="36" t="inlineStr">
        <is>
          <t>Ampayon</t>
        </is>
      </c>
      <c r="H259" s="37" t="n">
        <v>8.956306</v>
      </c>
      <c r="I259" s="37" t="n">
        <v>125.605246</v>
      </c>
      <c r="J259" s="8" t="inlineStr">
        <is>
          <t>U</t>
        </is>
      </c>
      <c r="K259" s="36" t="inlineStr">
        <is>
          <t>Class 1-3 / Urban</t>
        </is>
      </c>
      <c r="L259" s="18" t="n">
        <v>13820</v>
      </c>
      <c r="M259" s="20" t="n">
        <v>4.63</v>
      </c>
      <c r="N259" s="18">
        <f>ROUND(L259/M259, 0)</f>
        <v/>
      </c>
      <c r="O259" s="18">
        <f>ROUND(N259*'Methodology &amp; Assumptions'!$B$8, 0)</f>
        <v/>
      </c>
      <c r="P259" s="8" t="inlineStr">
        <is>
          <t>Band n50 (1.5 GHz, 60 MHz)</t>
        </is>
      </c>
      <c r="Q259" s="38">
        <f>ROUNDUP(O259/'Methodology &amp; Assumptions'!$B$9, 0)</f>
        <v/>
      </c>
      <c r="R259" s="39" t="n">
        <v>1</v>
      </c>
      <c r="S259" s="21" t="n">
        <v>0.7</v>
      </c>
      <c r="T259" s="21" t="n">
        <v>0.38</v>
      </c>
      <c r="U259" s="36" t="inlineStr">
        <is>
          <t>Tier 1A (Direct Coloc, &lt;1 km)</t>
        </is>
      </c>
      <c r="V259" s="20" t="n">
        <v>89.3</v>
      </c>
      <c r="W259" s="20" t="n">
        <v>100</v>
      </c>
      <c r="X259" s="20" t="n">
        <v>43</v>
      </c>
      <c r="Y259" s="40">
        <f>ROUND((V259*'Methodology &amp; Assumptions'!$B$6)+(W259*'Methodology &amp; Assumptions'!$B$5)+(X259*'Methodology &amp; Assumptions'!$B$7), 2)</f>
        <v/>
      </c>
    </row>
    <row r="260" ht="19" customHeight="1">
      <c r="A260" s="41" t="n">
        <v>256</v>
      </c>
      <c r="B260" s="41" t="n">
        <v>256</v>
      </c>
      <c r="C260" s="42" t="inlineStr">
        <is>
          <t>0702247011</t>
        </is>
      </c>
      <c r="D260" s="42" t="inlineStr">
        <is>
          <t>Region VII (Central Visayas)</t>
        </is>
      </c>
      <c r="E260" s="42" t="inlineStr">
        <is>
          <t>Cebu</t>
        </is>
      </c>
      <c r="F260" s="42" t="inlineStr">
        <is>
          <t>Sogod</t>
        </is>
      </c>
      <c r="G260" s="42" t="inlineStr">
        <is>
          <t>Ibabao</t>
        </is>
      </c>
      <c r="H260" s="43" t="n">
        <v>10.74934</v>
      </c>
      <c r="I260" s="43" t="n">
        <v>124.00194</v>
      </c>
      <c r="J260" s="44" t="inlineStr">
        <is>
          <t>R</t>
        </is>
      </c>
      <c r="K260" s="42" t="inlineStr">
        <is>
          <t>2nd</t>
        </is>
      </c>
      <c r="L260" s="23" t="n">
        <v>2814</v>
      </c>
      <c r="M260" s="24" t="n">
        <v>4.15</v>
      </c>
      <c r="N260" s="23">
        <f>ROUND(L260/M260, 0)</f>
        <v/>
      </c>
      <c r="O260" s="23">
        <f>ROUND(N260*'Methodology &amp; Assumptions'!$B$8, 0)</f>
        <v/>
      </c>
      <c r="P260" s="44" t="inlineStr">
        <is>
          <t>Band n50 (1.5 GHz, 60 MHz)</t>
        </is>
      </c>
      <c r="Q260" s="38">
        <f>ROUNDUP(O260/'Methodology &amp; Assumptions'!$B$9, 0)</f>
        <v/>
      </c>
      <c r="R260" s="39" t="n">
        <v>1</v>
      </c>
      <c r="S260" s="25" t="n">
        <v>0.37</v>
      </c>
      <c r="T260" s="25" t="n">
        <v>0.33</v>
      </c>
      <c r="U260" s="42" t="inlineStr">
        <is>
          <t>Tier 1A (Direct Coloc, &lt;1 km)</t>
        </is>
      </c>
      <c r="V260" s="24" t="n">
        <v>98.3</v>
      </c>
      <c r="W260" s="24" t="n">
        <v>78.09999999999999</v>
      </c>
      <c r="X260" s="24" t="n">
        <v>58</v>
      </c>
      <c r="Y260" s="45">
        <f>ROUND((V260*'Methodology &amp; Assumptions'!$B$6)+(W260*'Methodology &amp; Assumptions'!$B$5)+(X260*'Methodology &amp; Assumptions'!$B$7), 2)</f>
        <v/>
      </c>
    </row>
    <row r="261" ht="19" customHeight="1">
      <c r="A261" s="35" t="n">
        <v>257</v>
      </c>
      <c r="B261" s="35" t="n">
        <v>257</v>
      </c>
      <c r="C261" s="36" t="inlineStr">
        <is>
          <t>0307104008</t>
        </is>
      </c>
      <c r="D261" s="36" t="inlineStr">
        <is>
          <t>Region III (Central Luzon)</t>
        </is>
      </c>
      <c r="E261" s="36" t="inlineStr">
        <is>
          <t>Zambales</t>
        </is>
      </c>
      <c r="F261" s="36" t="inlineStr">
        <is>
          <t>Castillejos</t>
        </is>
      </c>
      <c r="G261" s="36" t="inlineStr">
        <is>
          <t>San Agustin</t>
        </is>
      </c>
      <c r="H261" s="37" t="n">
        <v>14.935431</v>
      </c>
      <c r="I261" s="37" t="n">
        <v>120.190822</v>
      </c>
      <c r="J261" s="8" t="inlineStr">
        <is>
          <t>R</t>
        </is>
      </c>
      <c r="K261" s="36" t="inlineStr">
        <is>
          <t>Class 1-3 / Urban</t>
        </is>
      </c>
      <c r="L261" s="18" t="n">
        <v>4827</v>
      </c>
      <c r="M261" s="20" t="n">
        <v>4.05</v>
      </c>
      <c r="N261" s="18">
        <f>ROUND(L261/M261, 0)</f>
        <v/>
      </c>
      <c r="O261" s="18">
        <f>ROUND(N261*'Methodology &amp; Assumptions'!$B$8, 0)</f>
        <v/>
      </c>
      <c r="P261" s="8" t="inlineStr">
        <is>
          <t>Band n50 (1.5 GHz, 60 MHz)</t>
        </is>
      </c>
      <c r="Q261" s="38">
        <f>ROUNDUP(O261/'Methodology &amp; Assumptions'!$B$9, 0)</f>
        <v/>
      </c>
      <c r="R261" s="39" t="n">
        <v>1</v>
      </c>
      <c r="S261" s="21" t="n">
        <v>1.24</v>
      </c>
      <c r="T261" s="21" t="n">
        <v>0.64</v>
      </c>
      <c r="U261" s="36" t="inlineStr">
        <is>
          <t>Tier 1B (Micro Drop, 1-3 km)</t>
        </is>
      </c>
      <c r="V261" s="20" t="n">
        <v>76.2</v>
      </c>
      <c r="W261" s="20" t="n">
        <v>100</v>
      </c>
      <c r="X261" s="20" t="n">
        <v>58</v>
      </c>
      <c r="Y261" s="40">
        <f>ROUND((V261*'Methodology &amp; Assumptions'!$B$6)+(W261*'Methodology &amp; Assumptions'!$B$5)+(X261*'Methodology &amp; Assumptions'!$B$7), 2)</f>
        <v/>
      </c>
    </row>
    <row r="262" ht="19" customHeight="1">
      <c r="A262" s="41" t="n">
        <v>258</v>
      </c>
      <c r="B262" s="41" t="n">
        <v>258</v>
      </c>
      <c r="C262" s="42" t="inlineStr">
        <is>
          <t>0603006024</t>
        </is>
      </c>
      <c r="D262" s="42" t="inlineStr">
        <is>
          <t>Region VI (Western Visayas)</t>
        </is>
      </c>
      <c r="E262" s="42" t="inlineStr">
        <is>
          <t>Iloilo</t>
        </is>
      </c>
      <c r="F262" s="42" t="inlineStr">
        <is>
          <t>Banate</t>
        </is>
      </c>
      <c r="G262" s="42" t="inlineStr">
        <is>
          <t>Merced</t>
        </is>
      </c>
      <c r="H262" s="43" t="n">
        <v>11.000997</v>
      </c>
      <c r="I262" s="43" t="n">
        <v>122.815498</v>
      </c>
      <c r="J262" s="44" t="inlineStr">
        <is>
          <t>R</t>
        </is>
      </c>
      <c r="K262" s="42" t="inlineStr">
        <is>
          <t>2nd</t>
        </is>
      </c>
      <c r="L262" s="23" t="n">
        <v>2646</v>
      </c>
      <c r="M262" s="24" t="n">
        <v>4.06</v>
      </c>
      <c r="N262" s="23">
        <f>ROUND(L262/M262, 0)</f>
        <v/>
      </c>
      <c r="O262" s="23">
        <f>ROUND(N262*'Methodology &amp; Assumptions'!$B$8, 0)</f>
        <v/>
      </c>
      <c r="P262" s="44" t="inlineStr">
        <is>
          <t>Band n50 (1.5 GHz, 60 MHz)</t>
        </is>
      </c>
      <c r="Q262" s="38">
        <f>ROUNDUP(O262/'Methodology &amp; Assumptions'!$B$9, 0)</f>
        <v/>
      </c>
      <c r="R262" s="39" t="n">
        <v>1</v>
      </c>
      <c r="S262" s="25" t="n">
        <v>0.06</v>
      </c>
      <c r="T262" s="25" t="n">
        <v>0.06</v>
      </c>
      <c r="U262" s="42" t="inlineStr">
        <is>
          <t>Tier 1A (Direct Coloc, &lt;1 km)</t>
        </is>
      </c>
      <c r="V262" s="24" t="n">
        <v>100</v>
      </c>
      <c r="W262" s="24" t="n">
        <v>76.3</v>
      </c>
      <c r="X262" s="24" t="n">
        <v>58</v>
      </c>
      <c r="Y262" s="45">
        <f>ROUND((V262*'Methodology &amp; Assumptions'!$B$6)+(W262*'Methodology &amp; Assumptions'!$B$5)+(X262*'Methodology &amp; Assumptions'!$B$7), 2)</f>
        <v/>
      </c>
    </row>
    <row r="263" ht="19" customHeight="1">
      <c r="A263" s="35" t="n">
        <v>259</v>
      </c>
      <c r="B263" s="35" t="n">
        <v>259</v>
      </c>
      <c r="C263" s="36" t="inlineStr">
        <is>
          <t>0205003014</t>
        </is>
      </c>
      <c r="D263" s="36" t="inlineStr">
        <is>
          <t>Region II (Cagayan Valley)</t>
        </is>
      </c>
      <c r="E263" s="36" t="inlineStr">
        <is>
          <t>Nueva Vizcaya</t>
        </is>
      </c>
      <c r="F263" s="36" t="inlineStr">
        <is>
          <t>Bagabag</t>
        </is>
      </c>
      <c r="G263" s="36" t="inlineStr">
        <is>
          <t>Tuao North</t>
        </is>
      </c>
      <c r="H263" s="37" t="n">
        <v>16.573982</v>
      </c>
      <c r="I263" s="37" t="n">
        <v>121.249259</v>
      </c>
      <c r="J263" s="8" t="inlineStr">
        <is>
          <t>R</t>
        </is>
      </c>
      <c r="K263" s="36" t="inlineStr">
        <is>
          <t>Class 1-3 / Urban</t>
        </is>
      </c>
      <c r="L263" s="18" t="n">
        <v>2051</v>
      </c>
      <c r="M263" s="20" t="n">
        <v>4.19</v>
      </c>
      <c r="N263" s="18">
        <f>ROUND(L263/M263, 0)</f>
        <v/>
      </c>
      <c r="O263" s="18">
        <f>ROUND(N263*'Methodology &amp; Assumptions'!$B$8, 0)</f>
        <v/>
      </c>
      <c r="P263" s="8" t="inlineStr">
        <is>
          <t>Band n50 (1.5 GHz, 60 MHz)</t>
        </is>
      </c>
      <c r="Q263" s="38">
        <f>ROUNDUP(O263/'Methodology &amp; Assumptions'!$B$9, 0)</f>
        <v/>
      </c>
      <c r="R263" s="39" t="n">
        <v>1</v>
      </c>
      <c r="S263" s="21" t="n">
        <v>0.02</v>
      </c>
      <c r="T263" s="21" t="n">
        <v>0.13</v>
      </c>
      <c r="U263" s="36" t="inlineStr">
        <is>
          <t>Tier 1A (Direct Coloc, &lt;1 km)</t>
        </is>
      </c>
      <c r="V263" s="20" t="n">
        <v>100</v>
      </c>
      <c r="W263" s="20" t="n">
        <v>63.2</v>
      </c>
      <c r="X263" s="20" t="n">
        <v>73</v>
      </c>
      <c r="Y263" s="40">
        <f>ROUND((V263*'Methodology &amp; Assumptions'!$B$6)+(W263*'Methodology &amp; Assumptions'!$B$5)+(X263*'Methodology &amp; Assumptions'!$B$7), 2)</f>
        <v/>
      </c>
    </row>
    <row r="264" ht="19" customHeight="1">
      <c r="A264" s="41" t="n">
        <v>260</v>
      </c>
      <c r="B264" s="41" t="n">
        <v>260</v>
      </c>
      <c r="C264" s="42" t="inlineStr">
        <is>
          <t>0305410014</t>
        </is>
      </c>
      <c r="D264" s="42" t="inlineStr">
        <is>
          <t>Region III (Central Luzon)</t>
        </is>
      </c>
      <c r="E264" s="42" t="inlineStr">
        <is>
          <t>Pampanga</t>
        </is>
      </c>
      <c r="F264" s="42" t="inlineStr">
        <is>
          <t>Macabebe</t>
        </is>
      </c>
      <c r="G264" s="42" t="inlineStr">
        <is>
          <t>San Rafael</t>
        </is>
      </c>
      <c r="H264" s="43" t="n">
        <v>14.963496</v>
      </c>
      <c r="I264" s="43" t="n">
        <v>120.634819</v>
      </c>
      <c r="J264" s="44" t="inlineStr">
        <is>
          <t>R</t>
        </is>
      </c>
      <c r="K264" s="42" t="inlineStr">
        <is>
          <t>Class 1-3 / Urban</t>
        </is>
      </c>
      <c r="L264" s="23" t="n">
        <v>3592</v>
      </c>
      <c r="M264" s="24" t="n">
        <v>4.63</v>
      </c>
      <c r="N264" s="23">
        <f>ROUND(L264/M264, 0)</f>
        <v/>
      </c>
      <c r="O264" s="23">
        <f>ROUND(N264*'Methodology &amp; Assumptions'!$B$8, 0)</f>
        <v/>
      </c>
      <c r="P264" s="44" t="inlineStr">
        <is>
          <t>Band n50 (1.5 GHz, 60 MHz)</t>
        </is>
      </c>
      <c r="Q264" s="38">
        <f>ROUNDUP(O264/'Methodology &amp; Assumptions'!$B$9, 0)</f>
        <v/>
      </c>
      <c r="R264" s="39" t="n">
        <v>1</v>
      </c>
      <c r="S264" s="25" t="n">
        <v>1.2</v>
      </c>
      <c r="T264" s="25" t="n">
        <v>0.41</v>
      </c>
      <c r="U264" s="42" t="inlineStr">
        <is>
          <t>Tier 1B (Micro Drop, 1-3 km)</t>
        </is>
      </c>
      <c r="V264" s="24" t="n">
        <v>77</v>
      </c>
      <c r="W264" s="24" t="n">
        <v>86.09999999999999</v>
      </c>
      <c r="X264" s="24" t="n">
        <v>73</v>
      </c>
      <c r="Y264" s="45">
        <f>ROUND((V264*'Methodology &amp; Assumptions'!$B$6)+(W264*'Methodology &amp; Assumptions'!$B$5)+(X264*'Methodology &amp; Assumptions'!$B$7), 2)</f>
        <v/>
      </c>
    </row>
    <row r="265" ht="19" customHeight="1">
      <c r="A265" s="35" t="n">
        <v>261</v>
      </c>
      <c r="B265" s="35" t="n">
        <v>261</v>
      </c>
      <c r="C265" s="36" t="inlineStr">
        <is>
          <t>0506203032</t>
        </is>
      </c>
      <c r="D265" s="36" t="inlineStr">
        <is>
          <t>Region V (Bicol Region)</t>
        </is>
      </c>
      <c r="E265" s="36" t="inlineStr">
        <is>
          <t>Sorsogon</t>
        </is>
      </c>
      <c r="F265" s="36" t="inlineStr">
        <is>
          <t>Bulan</t>
        </is>
      </c>
      <c r="G265" s="36" t="inlineStr">
        <is>
          <t>Managanaga</t>
        </is>
      </c>
      <c r="H265" s="37" t="n">
        <v>12.671642</v>
      </c>
      <c r="I265" s="37" t="n">
        <v>123.877452</v>
      </c>
      <c r="J265" s="8" t="inlineStr">
        <is>
          <t>R</t>
        </is>
      </c>
      <c r="K265" s="36" t="inlineStr">
        <is>
          <t>Class 1-3 / Urban</t>
        </is>
      </c>
      <c r="L265" s="18" t="n">
        <v>3347</v>
      </c>
      <c r="M265" s="20" t="n">
        <v>4.58</v>
      </c>
      <c r="N265" s="18">
        <f>ROUND(L265/M265, 0)</f>
        <v/>
      </c>
      <c r="O265" s="18">
        <f>ROUND(N265*'Methodology &amp; Assumptions'!$B$8, 0)</f>
        <v/>
      </c>
      <c r="P265" s="8" t="inlineStr">
        <is>
          <t>Band n50 (1.5 GHz, 60 MHz)</t>
        </is>
      </c>
      <c r="Q265" s="38">
        <f>ROUNDUP(O265/'Methodology &amp; Assumptions'!$B$9, 0)</f>
        <v/>
      </c>
      <c r="R265" s="39" t="n">
        <v>1</v>
      </c>
      <c r="S265" s="21" t="n">
        <v>0.54</v>
      </c>
      <c r="T265" s="21" t="n">
        <v>0.53</v>
      </c>
      <c r="U265" s="36" t="inlineStr">
        <is>
          <t>Tier 1A (Direct Coloc, &lt;1 km)</t>
        </is>
      </c>
      <c r="V265" s="20" t="n">
        <v>93.5</v>
      </c>
      <c r="W265" s="20" t="n">
        <v>82.40000000000001</v>
      </c>
      <c r="X265" s="20" t="n">
        <v>58</v>
      </c>
      <c r="Y265" s="40">
        <f>ROUND((V265*'Methodology &amp; Assumptions'!$B$6)+(W265*'Methodology &amp; Assumptions'!$B$5)+(X265*'Methodology &amp; Assumptions'!$B$7), 2)</f>
        <v/>
      </c>
    </row>
    <row r="266" ht="19" customHeight="1">
      <c r="A266" s="41" t="n">
        <v>262</v>
      </c>
      <c r="B266" s="41" t="n">
        <v>262</v>
      </c>
      <c r="C266" s="42" t="inlineStr">
        <is>
          <t>0500508013</t>
        </is>
      </c>
      <c r="D266" s="42" t="inlineStr">
        <is>
          <t>Region V (Bicol Region)</t>
        </is>
      </c>
      <c r="E266" s="42" t="inlineStr">
        <is>
          <t>Albay</t>
        </is>
      </c>
      <c r="F266" s="42" t="inlineStr">
        <is>
          <t>City of Ligao</t>
        </is>
      </c>
      <c r="G266" s="42" t="inlineStr">
        <is>
          <t>Binatagan</t>
        </is>
      </c>
      <c r="H266" s="43" t="n">
        <v>13.242988</v>
      </c>
      <c r="I266" s="43" t="n">
        <v>123.527635</v>
      </c>
      <c r="J266" s="44" t="inlineStr">
        <is>
          <t>R</t>
        </is>
      </c>
      <c r="K266" s="42" t="inlineStr">
        <is>
          <t>Class 1-3 / Urban</t>
        </is>
      </c>
      <c r="L266" s="23" t="n">
        <v>3989</v>
      </c>
      <c r="M266" s="24" t="n">
        <v>4.67</v>
      </c>
      <c r="N266" s="23">
        <f>ROUND(L266/M266, 0)</f>
        <v/>
      </c>
      <c r="O266" s="23">
        <f>ROUND(N266*'Methodology &amp; Assumptions'!$B$8, 0)</f>
        <v/>
      </c>
      <c r="P266" s="44" t="inlineStr">
        <is>
          <t>Band n50 (1.5 GHz, 60 MHz)</t>
        </is>
      </c>
      <c r="Q266" s="38">
        <f>ROUNDUP(O266/'Methodology &amp; Assumptions'!$B$9, 0)</f>
        <v/>
      </c>
      <c r="R266" s="39" t="n">
        <v>1</v>
      </c>
      <c r="S266" s="25" t="n">
        <v>0.92</v>
      </c>
      <c r="T266" s="25" t="n">
        <v>0.21</v>
      </c>
      <c r="U266" s="42" t="inlineStr">
        <is>
          <t>Tier 1A (Direct Coloc, &lt;1 km)</t>
        </is>
      </c>
      <c r="V266" s="24" t="n">
        <v>83.59999999999999</v>
      </c>
      <c r="W266" s="24" t="n">
        <v>92.3</v>
      </c>
      <c r="X266" s="24" t="n">
        <v>58</v>
      </c>
      <c r="Y266" s="45">
        <f>ROUND((V266*'Methodology &amp; Assumptions'!$B$6)+(W266*'Methodology &amp; Assumptions'!$B$5)+(X266*'Methodology &amp; Assumptions'!$B$7), 2)</f>
        <v/>
      </c>
    </row>
    <row r="267" ht="19" customHeight="1">
      <c r="A267" s="35" t="n">
        <v>263</v>
      </c>
      <c r="B267" s="35" t="n">
        <v>263</v>
      </c>
      <c r="C267" s="36" t="inlineStr">
        <is>
          <t>0501606036</t>
        </is>
      </c>
      <c r="D267" s="36" t="inlineStr">
        <is>
          <t>Region V (Bicol Region)</t>
        </is>
      </c>
      <c r="E267" s="36" t="inlineStr">
        <is>
          <t>Camarines Norte</t>
        </is>
      </c>
      <c r="F267" s="36" t="inlineStr">
        <is>
          <t>Labo</t>
        </is>
      </c>
      <c r="G267" s="36" t="inlineStr">
        <is>
          <t>Malasugui</t>
        </is>
      </c>
      <c r="H267" s="37" t="n">
        <v>14.153825</v>
      </c>
      <c r="I267" s="37" t="n">
        <v>122.845652</v>
      </c>
      <c r="J267" s="8" t="inlineStr">
        <is>
          <t>R</t>
        </is>
      </c>
      <c r="K267" s="36" t="inlineStr">
        <is>
          <t>Class 1-3 / Urban</t>
        </is>
      </c>
      <c r="L267" s="18" t="n">
        <v>4211</v>
      </c>
      <c r="M267" s="20" t="n">
        <v>4.4</v>
      </c>
      <c r="N267" s="18">
        <f>ROUND(L267/M267, 0)</f>
        <v/>
      </c>
      <c r="O267" s="18">
        <f>ROUND(N267*'Methodology &amp; Assumptions'!$B$8, 0)</f>
        <v/>
      </c>
      <c r="P267" s="8" t="inlineStr">
        <is>
          <t>Band n50 (1.5 GHz, 60 MHz)</t>
        </is>
      </c>
      <c r="Q267" s="38">
        <f>ROUNDUP(O267/'Methodology &amp; Assumptions'!$B$9, 0)</f>
        <v/>
      </c>
      <c r="R267" s="39" t="n">
        <v>1</v>
      </c>
      <c r="S267" s="21" t="n">
        <v>1.26</v>
      </c>
      <c r="T267" s="21" t="n">
        <v>1.75</v>
      </c>
      <c r="U267" s="36" t="inlineStr">
        <is>
          <t>Tier 1B (Micro Drop, 1-3 km)</t>
        </is>
      </c>
      <c r="V267" s="20" t="n">
        <v>75.8</v>
      </c>
      <c r="W267" s="20" t="n">
        <v>100</v>
      </c>
      <c r="X267" s="20" t="n">
        <v>58</v>
      </c>
      <c r="Y267" s="40">
        <f>ROUND((V267*'Methodology &amp; Assumptions'!$B$6)+(W267*'Methodology &amp; Assumptions'!$B$5)+(X267*'Methodology &amp; Assumptions'!$B$7), 2)</f>
        <v/>
      </c>
    </row>
    <row r="268" ht="19" customHeight="1">
      <c r="A268" s="41" t="n">
        <v>264</v>
      </c>
      <c r="B268" s="41" t="n">
        <v>264</v>
      </c>
      <c r="C268" s="42" t="inlineStr">
        <is>
          <t>0403424077</t>
        </is>
      </c>
      <c r="D268" s="42" t="inlineStr">
        <is>
          <t>Region IV-A (CALABARZON)</t>
        </is>
      </c>
      <c r="E268" s="42" t="inlineStr">
        <is>
          <t>Laguna</t>
        </is>
      </c>
      <c r="F268" s="42" t="inlineStr">
        <is>
          <t>City of San Pablo</t>
        </is>
      </c>
      <c r="G268" s="42" t="inlineStr">
        <is>
          <t>Santo Cristo</t>
        </is>
      </c>
      <c r="H268" s="43" t="n">
        <v>14.065255</v>
      </c>
      <c r="I268" s="43" t="n">
        <v>121.329656</v>
      </c>
      <c r="J268" s="44" t="inlineStr">
        <is>
          <t>R</t>
        </is>
      </c>
      <c r="K268" s="42" t="inlineStr">
        <is>
          <t>Class 1-3 / Urban</t>
        </is>
      </c>
      <c r="L268" s="23" t="n">
        <v>3240</v>
      </c>
      <c r="M268" s="24" t="n">
        <v>4.2</v>
      </c>
      <c r="N268" s="23">
        <f>ROUND(L268/M268, 0)</f>
        <v/>
      </c>
      <c r="O268" s="23">
        <f>ROUND(N268*'Methodology &amp; Assumptions'!$B$8, 0)</f>
        <v/>
      </c>
      <c r="P268" s="44" t="inlineStr">
        <is>
          <t>Band n50 (1.5 GHz, 60 MHz)</t>
        </is>
      </c>
      <c r="Q268" s="38">
        <f>ROUNDUP(O268/'Methodology &amp; Assumptions'!$B$9, 0)</f>
        <v/>
      </c>
      <c r="R268" s="39" t="n">
        <v>1</v>
      </c>
      <c r="S268" s="25" t="n">
        <v>0.66</v>
      </c>
      <c r="T268" s="25" t="n">
        <v>0.23</v>
      </c>
      <c r="U268" s="42" t="inlineStr">
        <is>
          <t>Tier 1A (Direct Coloc, &lt;1 km)</t>
        </is>
      </c>
      <c r="V268" s="24" t="n">
        <v>90.09999999999999</v>
      </c>
      <c r="W268" s="24" t="n">
        <v>85.59999999999999</v>
      </c>
      <c r="X268" s="24" t="n">
        <v>58</v>
      </c>
      <c r="Y268" s="45">
        <f>ROUND((V268*'Methodology &amp; Assumptions'!$B$6)+(W268*'Methodology &amp; Assumptions'!$B$5)+(X268*'Methodology &amp; Assumptions'!$B$7), 2)</f>
        <v/>
      </c>
    </row>
    <row r="269" ht="19" customHeight="1">
      <c r="A269" s="35" t="n">
        <v>265</v>
      </c>
      <c r="B269" s="35" t="n">
        <v>265</v>
      </c>
      <c r="C269" s="36" t="inlineStr">
        <is>
          <t>0704603003</t>
        </is>
      </c>
      <c r="D269" s="36" t="inlineStr">
        <is>
          <t>Region VII (Central Visayas)</t>
        </is>
      </c>
      <c r="E269" s="36" t="inlineStr">
        <is>
          <t>Negros Oriental</t>
        </is>
      </c>
      <c r="F269" s="36" t="inlineStr">
        <is>
          <t>Bacong</t>
        </is>
      </c>
      <c r="G269" s="36" t="inlineStr">
        <is>
          <t>Buntis</t>
        </is>
      </c>
      <c r="H269" s="37" t="n">
        <v>9.2339</v>
      </c>
      <c r="I269" s="37" t="n">
        <v>123.287721</v>
      </c>
      <c r="J269" s="8" t="inlineStr">
        <is>
          <t>R</t>
        </is>
      </c>
      <c r="K269" s="36" t="inlineStr">
        <is>
          <t>2nd</t>
        </is>
      </c>
      <c r="L269" s="18" t="n">
        <v>3987</v>
      </c>
      <c r="M269" s="20" t="n">
        <v>4.41</v>
      </c>
      <c r="N269" s="18">
        <f>ROUND(L269/M269, 0)</f>
        <v/>
      </c>
      <c r="O269" s="18">
        <f>ROUND(N269*'Methodology &amp; Assumptions'!$B$8, 0)</f>
        <v/>
      </c>
      <c r="P269" s="8" t="inlineStr">
        <is>
          <t>Band n50 (1.5 GHz, 60 MHz)</t>
        </is>
      </c>
      <c r="Q269" s="38">
        <f>ROUNDUP(O269/'Methodology &amp; Assumptions'!$B$9, 0)</f>
        <v/>
      </c>
      <c r="R269" s="39" t="n">
        <v>1</v>
      </c>
      <c r="S269" s="21" t="n">
        <v>1.09</v>
      </c>
      <c r="T269" s="21" t="n">
        <v>1.07</v>
      </c>
      <c r="U269" s="36" t="inlineStr">
        <is>
          <t>Tier 1B (Micro Drop, 1-3 km)</t>
        </is>
      </c>
      <c r="V269" s="20" t="n">
        <v>79.40000000000001</v>
      </c>
      <c r="W269" s="20" t="n">
        <v>96.3</v>
      </c>
      <c r="X269" s="20" t="n">
        <v>58</v>
      </c>
      <c r="Y269" s="40">
        <f>ROUND((V269*'Methodology &amp; Assumptions'!$B$6)+(W269*'Methodology &amp; Assumptions'!$B$5)+(X269*'Methodology &amp; Assumptions'!$B$7), 2)</f>
        <v/>
      </c>
    </row>
    <row r="270" ht="19" customHeight="1">
      <c r="A270" s="41" t="n">
        <v>266</v>
      </c>
      <c r="B270" s="41" t="n">
        <v>266</v>
      </c>
      <c r="C270" s="42" t="inlineStr">
        <is>
          <t>1004303003</t>
        </is>
      </c>
      <c r="D270" s="42" t="inlineStr">
        <is>
          <t>Region X (Northern Mindanao)</t>
        </is>
      </c>
      <c r="E270" s="42" t="inlineStr">
        <is>
          <t>Misamis Oriental</t>
        </is>
      </c>
      <c r="F270" s="42" t="inlineStr">
        <is>
          <t>Balingoan</t>
        </is>
      </c>
      <c r="G270" s="42" t="inlineStr">
        <is>
          <t>Baukbauk Pob.</t>
        </is>
      </c>
      <c r="H270" s="43" t="n">
        <v>8.997256999999999</v>
      </c>
      <c r="I270" s="43" t="n">
        <v>124.88532</v>
      </c>
      <c r="J270" s="44" t="inlineStr">
        <is>
          <t>R</t>
        </is>
      </c>
      <c r="K270" s="42" t="inlineStr">
        <is>
          <t>4th</t>
        </is>
      </c>
      <c r="L270" s="23" t="n">
        <v>2819</v>
      </c>
      <c r="M270" s="24" t="n">
        <v>4.76</v>
      </c>
      <c r="N270" s="23">
        <f>ROUND(L270/M270, 0)</f>
        <v/>
      </c>
      <c r="O270" s="23">
        <f>ROUND(N270*'Methodology &amp; Assumptions'!$B$8, 0)</f>
        <v/>
      </c>
      <c r="P270" s="44" t="inlineStr">
        <is>
          <t>Band n50 (1.5 GHz, 60 MHz)</t>
        </is>
      </c>
      <c r="Q270" s="38">
        <f>ROUNDUP(O270/'Methodology &amp; Assumptions'!$B$9, 0)</f>
        <v/>
      </c>
      <c r="R270" s="39" t="n">
        <v>1</v>
      </c>
      <c r="S270" s="25" t="n">
        <v>0.48</v>
      </c>
      <c r="T270" s="25" t="n">
        <v>0.37</v>
      </c>
      <c r="U270" s="42" t="inlineStr">
        <is>
          <t>Tier 1A (Direct Coloc, &lt;1 km)</t>
        </is>
      </c>
      <c r="V270" s="24" t="n">
        <v>95.2</v>
      </c>
      <c r="W270" s="24" t="n">
        <v>71.5</v>
      </c>
      <c r="X270" s="24" t="n">
        <v>68.5</v>
      </c>
      <c r="Y270" s="45">
        <f>ROUND((V270*'Methodology &amp; Assumptions'!$B$6)+(W270*'Methodology &amp; Assumptions'!$B$5)+(X270*'Methodology &amp; Assumptions'!$B$7), 2)</f>
        <v/>
      </c>
    </row>
    <row r="271" ht="19" customHeight="1">
      <c r="A271" s="35" t="n">
        <v>267</v>
      </c>
      <c r="B271" s="35" t="n">
        <v>267</v>
      </c>
      <c r="C271" s="36" t="inlineStr">
        <is>
          <t>0604515005</t>
        </is>
      </c>
      <c r="D271" s="36" t="inlineStr">
        <is>
          <t>Region VI (Western Visayas)</t>
        </is>
      </c>
      <c r="E271" s="36" t="inlineStr">
        <is>
          <t>Negros Occidental</t>
        </is>
      </c>
      <c r="F271" s="36" t="inlineStr">
        <is>
          <t>City of Kabankalan</t>
        </is>
      </c>
      <c r="G271" s="36" t="inlineStr">
        <is>
          <t>Camugao</t>
        </is>
      </c>
      <c r="H271" s="37" t="n">
        <v>9.986409</v>
      </c>
      <c r="I271" s="37" t="n">
        <v>122.810057</v>
      </c>
      <c r="J271" s="8" t="inlineStr">
        <is>
          <t>R</t>
        </is>
      </c>
      <c r="K271" s="36" t="inlineStr">
        <is>
          <t>Class 1-3 / Urban</t>
        </is>
      </c>
      <c r="L271" s="18" t="n">
        <v>2730</v>
      </c>
      <c r="M271" s="20" t="n">
        <v>4.33</v>
      </c>
      <c r="N271" s="18">
        <f>ROUND(L271/M271, 0)</f>
        <v/>
      </c>
      <c r="O271" s="18">
        <f>ROUND(N271*'Methodology &amp; Assumptions'!$B$8, 0)</f>
        <v/>
      </c>
      <c r="P271" s="8" t="inlineStr">
        <is>
          <t>Band n50 (1.5 GHz, 60 MHz)</t>
        </is>
      </c>
      <c r="Q271" s="38">
        <f>ROUNDUP(O271/'Methodology &amp; Assumptions'!$B$9, 0)</f>
        <v/>
      </c>
      <c r="R271" s="39" t="n">
        <v>1</v>
      </c>
      <c r="S271" s="21" t="n">
        <v>0.73</v>
      </c>
      <c r="T271" s="21" t="n">
        <v>0.7</v>
      </c>
      <c r="U271" s="36" t="inlineStr">
        <is>
          <t>Tier 1A (Direct Coloc, &lt;1 km)</t>
        </is>
      </c>
      <c r="V271" s="20" t="n">
        <v>88.40000000000001</v>
      </c>
      <c r="W271" s="20" t="n">
        <v>74.40000000000001</v>
      </c>
      <c r="X271" s="20" t="n">
        <v>73</v>
      </c>
      <c r="Y271" s="40">
        <f>ROUND((V271*'Methodology &amp; Assumptions'!$B$6)+(W271*'Methodology &amp; Assumptions'!$B$5)+(X271*'Methodology &amp; Assumptions'!$B$7), 2)</f>
        <v/>
      </c>
    </row>
    <row r="272" ht="19" customHeight="1">
      <c r="A272" s="41" t="n">
        <v>268</v>
      </c>
      <c r="B272" s="41" t="n">
        <v>268</v>
      </c>
      <c r="C272" s="42" t="inlineStr">
        <is>
          <t>0402119036</t>
        </is>
      </c>
      <c r="D272" s="42" t="inlineStr">
        <is>
          <t>Region IV-A (CALABARZON)</t>
        </is>
      </c>
      <c r="E272" s="42" t="inlineStr">
        <is>
          <t>Cavite</t>
        </is>
      </c>
      <c r="F272" s="42" t="inlineStr">
        <is>
          <t>City of Tagaytay</t>
        </is>
      </c>
      <c r="G272" s="42" t="inlineStr">
        <is>
          <t>Sungay North</t>
        </is>
      </c>
      <c r="H272" s="43" t="n">
        <v>14.131463</v>
      </c>
      <c r="I272" s="43" t="n">
        <v>120.9905</v>
      </c>
      <c r="J272" s="44" t="inlineStr">
        <is>
          <t>R</t>
        </is>
      </c>
      <c r="K272" s="42" t="inlineStr">
        <is>
          <t>Class 1-3 / Urban</t>
        </is>
      </c>
      <c r="L272" s="23" t="n">
        <v>4897</v>
      </c>
      <c r="M272" s="24" t="n">
        <v>4.49</v>
      </c>
      <c r="N272" s="23">
        <f>ROUND(L272/M272, 0)</f>
        <v/>
      </c>
      <c r="O272" s="23">
        <f>ROUND(N272*'Methodology &amp; Assumptions'!$B$8, 0)</f>
        <v/>
      </c>
      <c r="P272" s="44" t="inlineStr">
        <is>
          <t>Band n50 (1.5 GHz, 60 MHz)</t>
        </is>
      </c>
      <c r="Q272" s="38">
        <f>ROUNDUP(O272/'Methodology &amp; Assumptions'!$B$9, 0)</f>
        <v/>
      </c>
      <c r="R272" s="39" t="n">
        <v>1</v>
      </c>
      <c r="S272" s="25" t="n">
        <v>1.26</v>
      </c>
      <c r="T272" s="25" t="n">
        <v>0.87</v>
      </c>
      <c r="U272" s="42" t="inlineStr">
        <is>
          <t>Tier 1B (Micro Drop, 1-3 km)</t>
        </is>
      </c>
      <c r="V272" s="24" t="n">
        <v>75.59999999999999</v>
      </c>
      <c r="W272" s="24" t="n">
        <v>100</v>
      </c>
      <c r="X272" s="24" t="n">
        <v>58</v>
      </c>
      <c r="Y272" s="45">
        <f>ROUND((V272*'Methodology &amp; Assumptions'!$B$6)+(W272*'Methodology &amp; Assumptions'!$B$5)+(X272*'Methodology &amp; Assumptions'!$B$7), 2)</f>
        <v/>
      </c>
    </row>
    <row r="273" ht="19" customHeight="1">
      <c r="A273" s="35" t="n">
        <v>269</v>
      </c>
      <c r="B273" s="35" t="n">
        <v>269</v>
      </c>
      <c r="C273" s="36" t="inlineStr">
        <is>
          <t>0105526014</t>
        </is>
      </c>
      <c r="D273" s="36" t="inlineStr">
        <is>
          <t>Region I (Ilocos Region)</t>
        </is>
      </c>
      <c r="E273" s="36" t="inlineStr">
        <is>
          <t>Pangasinan</t>
        </is>
      </c>
      <c r="F273" s="36" t="inlineStr">
        <is>
          <t>Mangaldan</t>
        </is>
      </c>
      <c r="G273" s="36" t="inlineStr">
        <is>
          <t>Guilig</t>
        </is>
      </c>
      <c r="H273" s="37" t="n">
        <v>16.0673</v>
      </c>
      <c r="I273" s="37" t="n">
        <v>120.3955</v>
      </c>
      <c r="J273" s="8" t="inlineStr">
        <is>
          <t>R</t>
        </is>
      </c>
      <c r="K273" s="36" t="inlineStr">
        <is>
          <t>Class 1-3 / Urban</t>
        </is>
      </c>
      <c r="L273" s="18" t="n">
        <v>3452</v>
      </c>
      <c r="M273" s="20" t="n">
        <v>4.39</v>
      </c>
      <c r="N273" s="18">
        <f>ROUND(L273/M273, 0)</f>
        <v/>
      </c>
      <c r="O273" s="18">
        <f>ROUND(N273*'Methodology &amp; Assumptions'!$B$8, 0)</f>
        <v/>
      </c>
      <c r="P273" s="8" t="inlineStr">
        <is>
          <t>Band n50 (1.5 GHz, 60 MHz)</t>
        </is>
      </c>
      <c r="Q273" s="38">
        <f>ROUNDUP(O273/'Methodology &amp; Assumptions'!$B$9, 0)</f>
        <v/>
      </c>
      <c r="R273" s="39" t="n">
        <v>1</v>
      </c>
      <c r="S273" s="21" t="n">
        <v>0.73</v>
      </c>
      <c r="T273" s="21" t="n">
        <v>0.91</v>
      </c>
      <c r="U273" s="36" t="inlineStr">
        <is>
          <t>Tier 1A (Direct Coloc, &lt;1 km)</t>
        </is>
      </c>
      <c r="V273" s="20" t="n">
        <v>88.5</v>
      </c>
      <c r="W273" s="20" t="n">
        <v>86.90000000000001</v>
      </c>
      <c r="X273" s="20" t="n">
        <v>58</v>
      </c>
      <c r="Y273" s="40">
        <f>ROUND((V273*'Methodology &amp; Assumptions'!$B$6)+(W273*'Methodology &amp; Assumptions'!$B$5)+(X273*'Methodology &amp; Assumptions'!$B$7), 2)</f>
        <v/>
      </c>
    </row>
    <row r="274" ht="19" customHeight="1">
      <c r="A274" s="41" t="n">
        <v>270</v>
      </c>
      <c r="B274" s="41" t="n">
        <v>270</v>
      </c>
      <c r="C274" s="42" t="inlineStr">
        <is>
          <t>0402106023</t>
        </is>
      </c>
      <c r="D274" s="42" t="inlineStr">
        <is>
          <t>Region IV-A (CALABARZON)</t>
        </is>
      </c>
      <c r="E274" s="42" t="inlineStr">
        <is>
          <t>Cavite</t>
        </is>
      </c>
      <c r="F274" s="42" t="inlineStr">
        <is>
          <t>City of Dasmariñas</t>
        </is>
      </c>
      <c r="G274" s="42" t="inlineStr">
        <is>
          <t>Luzviminda I</t>
        </is>
      </c>
      <c r="H274" s="43" t="n">
        <v>14.315816</v>
      </c>
      <c r="I274" s="43" t="n">
        <v>120.966479</v>
      </c>
      <c r="J274" s="44" t="inlineStr">
        <is>
          <t>R</t>
        </is>
      </c>
      <c r="K274" s="42" t="inlineStr">
        <is>
          <t>Class 1-3 / Urban</t>
        </is>
      </c>
      <c r="L274" s="23" t="n">
        <v>3565</v>
      </c>
      <c r="M274" s="24" t="n">
        <v>4.49</v>
      </c>
      <c r="N274" s="23">
        <f>ROUND(L274/M274, 0)</f>
        <v/>
      </c>
      <c r="O274" s="23">
        <f>ROUND(N274*'Methodology &amp; Assumptions'!$B$8, 0)</f>
        <v/>
      </c>
      <c r="P274" s="44" t="inlineStr">
        <is>
          <t>Band n50 (1.5 GHz, 60 MHz)</t>
        </is>
      </c>
      <c r="Q274" s="38">
        <f>ROUNDUP(O274/'Methodology &amp; Assumptions'!$B$9, 0)</f>
        <v/>
      </c>
      <c r="R274" s="39" t="n">
        <v>1</v>
      </c>
      <c r="S274" s="25" t="n">
        <v>0.38</v>
      </c>
      <c r="T274" s="25" t="n">
        <v>2.02</v>
      </c>
      <c r="U274" s="42" t="inlineStr">
        <is>
          <t>Tier 1A (Direct Coloc, &lt;1 km)</t>
        </is>
      </c>
      <c r="V274" s="24" t="n">
        <v>88</v>
      </c>
      <c r="W274" s="24" t="n">
        <v>87.5</v>
      </c>
      <c r="X274" s="24" t="n">
        <v>58</v>
      </c>
      <c r="Y274" s="45">
        <f>ROUND((V274*'Methodology &amp; Assumptions'!$B$6)+(W274*'Methodology &amp; Assumptions'!$B$5)+(X274*'Methodology &amp; Assumptions'!$B$7), 2)</f>
        <v/>
      </c>
    </row>
    <row r="275" ht="19" customHeight="1">
      <c r="A275" s="35" t="n">
        <v>271</v>
      </c>
      <c r="B275" s="35" t="n">
        <v>271</v>
      </c>
      <c r="C275" s="36" t="inlineStr">
        <is>
          <t>0604515020</t>
        </is>
      </c>
      <c r="D275" s="36" t="inlineStr">
        <is>
          <t>Region VI (Western Visayas)</t>
        </is>
      </c>
      <c r="E275" s="36" t="inlineStr">
        <is>
          <t>Negros Occidental</t>
        </is>
      </c>
      <c r="F275" s="36" t="inlineStr">
        <is>
          <t>City of Kabankalan</t>
        </is>
      </c>
      <c r="G275" s="36" t="inlineStr">
        <is>
          <t>Barangay 9</t>
        </is>
      </c>
      <c r="H275" s="37" t="n">
        <v>9.983831</v>
      </c>
      <c r="I275" s="37" t="n">
        <v>122.818116</v>
      </c>
      <c r="J275" s="8" t="inlineStr">
        <is>
          <t>R</t>
        </is>
      </c>
      <c r="K275" s="36" t="inlineStr">
        <is>
          <t>Class 1-3 / Urban</t>
        </is>
      </c>
      <c r="L275" s="18" t="n">
        <v>3052</v>
      </c>
      <c r="M275" s="20" t="n">
        <v>4.33</v>
      </c>
      <c r="N275" s="18">
        <f>ROUND(L275/M275, 0)</f>
        <v/>
      </c>
      <c r="O275" s="18">
        <f>ROUND(N275*'Methodology &amp; Assumptions'!$B$8, 0)</f>
        <v/>
      </c>
      <c r="P275" s="8" t="inlineStr">
        <is>
          <t>Band n50 (1.5 GHz, 60 MHz)</t>
        </is>
      </c>
      <c r="Q275" s="38">
        <f>ROUNDUP(O275/'Methodology &amp; Assumptions'!$B$9, 0)</f>
        <v/>
      </c>
      <c r="R275" s="39" t="n">
        <v>1</v>
      </c>
      <c r="S275" s="21" t="n">
        <v>0.99</v>
      </c>
      <c r="T275" s="21" t="n">
        <v>0.2</v>
      </c>
      <c r="U275" s="36" t="inlineStr">
        <is>
          <t>Tier 1A (Direct Coloc, &lt;1 km)</t>
        </is>
      </c>
      <c r="V275" s="20" t="n">
        <v>82</v>
      </c>
      <c r="W275" s="20" t="n">
        <v>80.5</v>
      </c>
      <c r="X275" s="20" t="n">
        <v>73</v>
      </c>
      <c r="Y275" s="40">
        <f>ROUND((V275*'Methodology &amp; Assumptions'!$B$6)+(W275*'Methodology &amp; Assumptions'!$B$5)+(X275*'Methodology &amp; Assumptions'!$B$7), 2)</f>
        <v/>
      </c>
    </row>
    <row r="276" ht="19" customHeight="1">
      <c r="A276" s="41" t="n">
        <v>272</v>
      </c>
      <c r="B276" s="41" t="n">
        <v>272</v>
      </c>
      <c r="C276" s="42" t="inlineStr">
        <is>
          <t>0704601003</t>
        </is>
      </c>
      <c r="D276" s="42" t="inlineStr">
        <is>
          <t>Region VII (Central Visayas)</t>
        </is>
      </c>
      <c r="E276" s="42" t="inlineStr">
        <is>
          <t>Negros Oriental</t>
        </is>
      </c>
      <c r="F276" s="42" t="inlineStr">
        <is>
          <t>Amlan</t>
        </is>
      </c>
      <c r="G276" s="42" t="inlineStr">
        <is>
          <t>Jugno</t>
        </is>
      </c>
      <c r="H276" s="43" t="n">
        <v>9.467802000000001</v>
      </c>
      <c r="I276" s="43" t="n">
        <v>123.212088</v>
      </c>
      <c r="J276" s="44" t="inlineStr">
        <is>
          <t>R</t>
        </is>
      </c>
      <c r="K276" s="42" t="inlineStr">
        <is>
          <t>3rd</t>
        </is>
      </c>
      <c r="L276" s="23" t="n">
        <v>4280</v>
      </c>
      <c r="M276" s="24" t="n">
        <v>4.28</v>
      </c>
      <c r="N276" s="23">
        <f>ROUND(L276/M276, 0)</f>
        <v/>
      </c>
      <c r="O276" s="23">
        <f>ROUND(N276*'Methodology &amp; Assumptions'!$B$8, 0)</f>
        <v/>
      </c>
      <c r="P276" s="44" t="inlineStr">
        <is>
          <t>Band n50 (1.5 GHz, 60 MHz)</t>
        </is>
      </c>
      <c r="Q276" s="38">
        <f>ROUNDUP(O276/'Methodology &amp; Assumptions'!$B$9, 0)</f>
        <v/>
      </c>
      <c r="R276" s="39" t="n">
        <v>1</v>
      </c>
      <c r="S276" s="25" t="n">
        <v>1.28</v>
      </c>
      <c r="T276" s="25" t="n">
        <v>0.03</v>
      </c>
      <c r="U276" s="42" t="inlineStr">
        <is>
          <t>Tier 1B (Micro Drop, 1-3 km)</t>
        </is>
      </c>
      <c r="V276" s="24" t="n">
        <v>75.40000000000001</v>
      </c>
      <c r="W276" s="24" t="n">
        <v>100</v>
      </c>
      <c r="X276" s="24" t="n">
        <v>58</v>
      </c>
      <c r="Y276" s="45">
        <f>ROUND((V276*'Methodology &amp; Assumptions'!$B$6)+(W276*'Methodology &amp; Assumptions'!$B$5)+(X276*'Methodology &amp; Assumptions'!$B$7), 2)</f>
        <v/>
      </c>
    </row>
    <row r="277" ht="19" customHeight="1">
      <c r="A277" s="35" t="n">
        <v>273</v>
      </c>
      <c r="B277" s="35" t="n">
        <v>273</v>
      </c>
      <c r="C277" s="36" t="inlineStr">
        <is>
          <t>0205005028</t>
        </is>
      </c>
      <c r="D277" s="36" t="inlineStr">
        <is>
          <t>Region II (Cagayan Valley)</t>
        </is>
      </c>
      <c r="E277" s="36" t="inlineStr">
        <is>
          <t>Nueva Vizcaya</t>
        </is>
      </c>
      <c r="F277" s="36" t="inlineStr">
        <is>
          <t>Bayombong</t>
        </is>
      </c>
      <c r="G277" s="36" t="inlineStr">
        <is>
          <t>Vista Alegre</t>
        </is>
      </c>
      <c r="H277" s="37" t="n">
        <v>16.476503</v>
      </c>
      <c r="I277" s="37" t="n">
        <v>121.14426</v>
      </c>
      <c r="J277" s="8" t="inlineStr">
        <is>
          <t>R</t>
        </is>
      </c>
      <c r="K277" s="36" t="inlineStr">
        <is>
          <t>Class 1-3 / Urban</t>
        </is>
      </c>
      <c r="L277" s="18" t="n">
        <v>4347</v>
      </c>
      <c r="M277" s="20" t="n">
        <v>4.19</v>
      </c>
      <c r="N277" s="18">
        <f>ROUND(L277/M277, 0)</f>
        <v/>
      </c>
      <c r="O277" s="18">
        <f>ROUND(N277*'Methodology &amp; Assumptions'!$B$8, 0)</f>
        <v/>
      </c>
      <c r="P277" s="8" t="inlineStr">
        <is>
          <t>Band n50 (1.5 GHz, 60 MHz)</t>
        </is>
      </c>
      <c r="Q277" s="38">
        <f>ROUNDUP(O277/'Methodology &amp; Assumptions'!$B$9, 0)</f>
        <v/>
      </c>
      <c r="R277" s="39" t="n">
        <v>1</v>
      </c>
      <c r="S277" s="21" t="n">
        <v>1.28</v>
      </c>
      <c r="T277" s="21" t="n">
        <v>1.01</v>
      </c>
      <c r="U277" s="36" t="inlineStr">
        <is>
          <t>Tier 1B (Micro Drop, 1-3 km)</t>
        </is>
      </c>
      <c r="V277" s="20" t="n">
        <v>75.3</v>
      </c>
      <c r="W277" s="20" t="n">
        <v>100</v>
      </c>
      <c r="X277" s="20" t="n">
        <v>58</v>
      </c>
      <c r="Y277" s="40">
        <f>ROUND((V277*'Methodology &amp; Assumptions'!$B$6)+(W277*'Methodology &amp; Assumptions'!$B$5)+(X277*'Methodology &amp; Assumptions'!$B$7), 2)</f>
        <v/>
      </c>
    </row>
    <row r="278" ht="19" customHeight="1">
      <c r="A278" s="41" t="n">
        <v>274</v>
      </c>
      <c r="B278" s="41" t="n">
        <v>274</v>
      </c>
      <c r="C278" s="42" t="inlineStr">
        <is>
          <t>1430300154</t>
        </is>
      </c>
      <c r="D278" s="42" t="inlineStr">
        <is>
          <t>Cordillera Administrative Region (CAR)</t>
        </is>
      </c>
      <c r="E278" s="42" t="inlineStr">
        <is>
          <t>Benguet</t>
        </is>
      </c>
      <c r="F278" s="42" t="inlineStr">
        <is>
          <t>City of Baguio</t>
        </is>
      </c>
      <c r="G278" s="42" t="inlineStr">
        <is>
          <t>Middle Quezon Hill Subdivision</t>
        </is>
      </c>
      <c r="H278" s="43" t="n">
        <v>16.41676</v>
      </c>
      <c r="I278" s="43" t="n">
        <v>120.58313</v>
      </c>
      <c r="J278" s="44" t="inlineStr">
        <is>
          <t>R</t>
        </is>
      </c>
      <c r="K278" s="42" t="inlineStr">
        <is>
          <t>Class 1-3 / Urban</t>
        </is>
      </c>
      <c r="L278" s="23" t="n">
        <v>3565</v>
      </c>
      <c r="M278" s="24" t="n">
        <v>4.58</v>
      </c>
      <c r="N278" s="23">
        <f>ROUND(L278/M278, 0)</f>
        <v/>
      </c>
      <c r="O278" s="23">
        <f>ROUND(N278*'Methodology &amp; Assumptions'!$B$8, 0)</f>
        <v/>
      </c>
      <c r="P278" s="44" t="inlineStr">
        <is>
          <t>Band n50 (1.5 GHz, 60 MHz)</t>
        </is>
      </c>
      <c r="Q278" s="38">
        <f>ROUNDUP(O278/'Methodology &amp; Assumptions'!$B$9, 0)</f>
        <v/>
      </c>
      <c r="R278" s="39" t="n">
        <v>1</v>
      </c>
      <c r="S278" s="25" t="n">
        <v>0.55</v>
      </c>
      <c r="T278" s="25" t="n">
        <v>0.57</v>
      </c>
      <c r="U278" s="42" t="inlineStr">
        <is>
          <t>Tier 1A (Direct Coloc, &lt;1 km)</t>
        </is>
      </c>
      <c r="V278" s="24" t="n">
        <v>93.2</v>
      </c>
      <c r="W278" s="24" t="n">
        <v>82.09999999999999</v>
      </c>
      <c r="X278" s="24" t="n">
        <v>58</v>
      </c>
      <c r="Y278" s="45">
        <f>ROUND((V278*'Methodology &amp; Assumptions'!$B$6)+(W278*'Methodology &amp; Assumptions'!$B$5)+(X278*'Methodology &amp; Assumptions'!$B$7), 2)</f>
        <v/>
      </c>
    </row>
    <row r="279" ht="19" customHeight="1">
      <c r="A279" s="35" t="n">
        <v>275</v>
      </c>
      <c r="B279" s="35" t="n">
        <v>275</v>
      </c>
      <c r="C279" s="36" t="inlineStr">
        <is>
          <t>0307109006</t>
        </is>
      </c>
      <c r="D279" s="36" t="inlineStr">
        <is>
          <t>Region III (Central Luzon)</t>
        </is>
      </c>
      <c r="E279" s="36" t="inlineStr">
        <is>
          <t>Zambales</t>
        </is>
      </c>
      <c r="F279" s="36" t="inlineStr">
        <is>
          <t>San Antonio</t>
        </is>
      </c>
      <c r="G279" s="36" t="inlineStr">
        <is>
          <t>Luna</t>
        </is>
      </c>
      <c r="H279" s="37" t="n">
        <v>14.94966</v>
      </c>
      <c r="I279" s="37" t="n">
        <v>120.09383</v>
      </c>
      <c r="J279" s="8" t="inlineStr">
        <is>
          <t>R</t>
        </is>
      </c>
      <c r="K279" s="36" t="inlineStr">
        <is>
          <t>Class 1-3 / Urban</t>
        </is>
      </c>
      <c r="L279" s="18" t="n">
        <v>2675</v>
      </c>
      <c r="M279" s="20" t="n">
        <v>4.05</v>
      </c>
      <c r="N279" s="18">
        <f>ROUND(L279/M279, 0)</f>
        <v/>
      </c>
      <c r="O279" s="18">
        <f>ROUND(N279*'Methodology &amp; Assumptions'!$B$8, 0)</f>
        <v/>
      </c>
      <c r="P279" s="8" t="inlineStr">
        <is>
          <t>Band n50 (1.5 GHz, 60 MHz)</t>
        </is>
      </c>
      <c r="Q279" s="38">
        <f>ROUNDUP(O279/'Methodology &amp; Assumptions'!$B$9, 0)</f>
        <v/>
      </c>
      <c r="R279" s="39" t="n">
        <v>1</v>
      </c>
      <c r="S279" s="21" t="n">
        <v>0.37</v>
      </c>
      <c r="T279" s="21" t="n">
        <v>0.32</v>
      </c>
      <c r="U279" s="36" t="inlineStr">
        <is>
          <t>Tier 1A (Direct Coloc, &lt;1 km)</t>
        </is>
      </c>
      <c r="V279" s="20" t="n">
        <v>98.5</v>
      </c>
      <c r="W279" s="20" t="n">
        <v>76.8</v>
      </c>
      <c r="X279" s="20" t="n">
        <v>58</v>
      </c>
      <c r="Y279" s="40">
        <f>ROUND((V279*'Methodology &amp; Assumptions'!$B$6)+(W279*'Methodology &amp; Assumptions'!$B$5)+(X279*'Methodology &amp; Assumptions'!$B$7), 2)</f>
        <v/>
      </c>
    </row>
    <row r="280" ht="19" customHeight="1">
      <c r="A280" s="41" t="n">
        <v>276</v>
      </c>
      <c r="B280" s="41" t="n">
        <v>276</v>
      </c>
      <c r="C280" s="42" t="inlineStr">
        <is>
          <t>0806407040</t>
        </is>
      </c>
      <c r="D280" s="42" t="inlineStr">
        <is>
          <t>Region VIII (Eastern Visayas)</t>
        </is>
      </c>
      <c r="E280" s="42" t="inlineStr">
        <is>
          <t>Southern Leyte</t>
        </is>
      </c>
      <c r="F280" s="42" t="inlineStr">
        <is>
          <t>City of Maasin</t>
        </is>
      </c>
      <c r="G280" s="42" t="inlineStr">
        <is>
          <t>Mantahan</t>
        </is>
      </c>
      <c r="H280" s="43" t="n">
        <v>10.135117</v>
      </c>
      <c r="I280" s="43" t="n">
        <v>124.848536</v>
      </c>
      <c r="J280" s="44" t="inlineStr">
        <is>
          <t>R</t>
        </is>
      </c>
      <c r="K280" s="42" t="inlineStr">
        <is>
          <t>Class 1-3 / Urban</t>
        </is>
      </c>
      <c r="L280" s="23" t="n">
        <v>4106</v>
      </c>
      <c r="M280" s="24" t="n">
        <v>4.53</v>
      </c>
      <c r="N280" s="23">
        <f>ROUND(L280/M280, 0)</f>
        <v/>
      </c>
      <c r="O280" s="23">
        <f>ROUND(N280*'Methodology &amp; Assumptions'!$B$8, 0)</f>
        <v/>
      </c>
      <c r="P280" s="44" t="inlineStr">
        <is>
          <t>Band n50 (1.5 GHz, 60 MHz)</t>
        </is>
      </c>
      <c r="Q280" s="38">
        <f>ROUNDUP(O280/'Methodology &amp; Assumptions'!$B$9, 0)</f>
        <v/>
      </c>
      <c r="R280" s="39" t="n">
        <v>1</v>
      </c>
      <c r="S280" s="25" t="n">
        <v>1.13</v>
      </c>
      <c r="T280" s="25" t="n">
        <v>0.3</v>
      </c>
      <c r="U280" s="42" t="inlineStr">
        <is>
          <t>Tier 1B (Micro Drop, 1-3 km)</t>
        </is>
      </c>
      <c r="V280" s="24" t="n">
        <v>78.59999999999999</v>
      </c>
      <c r="W280" s="24" t="n">
        <v>96.5</v>
      </c>
      <c r="X280" s="24" t="n">
        <v>58</v>
      </c>
      <c r="Y280" s="45">
        <f>ROUND((V280*'Methodology &amp; Assumptions'!$B$6)+(W280*'Methodology &amp; Assumptions'!$B$5)+(X280*'Methodology &amp; Assumptions'!$B$7), 2)</f>
        <v/>
      </c>
    </row>
    <row r="281" ht="19" customHeight="1">
      <c r="A281" s="35" t="n">
        <v>277</v>
      </c>
      <c r="B281" s="35" t="n">
        <v>277</v>
      </c>
      <c r="C281" s="36" t="inlineStr">
        <is>
          <t>0304923027</t>
        </is>
      </c>
      <c r="D281" s="36" t="inlineStr">
        <is>
          <t>Region III (Central Luzon)</t>
        </is>
      </c>
      <c r="E281" s="36" t="inlineStr">
        <is>
          <t>Nueva Ecija</t>
        </is>
      </c>
      <c r="F281" s="36" t="inlineStr">
        <is>
          <t>Rizal</t>
        </is>
      </c>
      <c r="G281" s="36" t="inlineStr">
        <is>
          <t>Poblacion Norte</t>
        </is>
      </c>
      <c r="H281" s="37" t="n">
        <v>15.585783</v>
      </c>
      <c r="I281" s="37" t="n">
        <v>120.924577</v>
      </c>
      <c r="J281" s="8" t="inlineStr">
        <is>
          <t>R</t>
        </is>
      </c>
      <c r="K281" s="36" t="inlineStr">
        <is>
          <t>Class 1-3 / Urban</t>
        </is>
      </c>
      <c r="L281" s="18" t="n">
        <v>3356</v>
      </c>
      <c r="M281" s="20" t="n">
        <v>4.32</v>
      </c>
      <c r="N281" s="18">
        <f>ROUND(L281/M281, 0)</f>
        <v/>
      </c>
      <c r="O281" s="18">
        <f>ROUND(N281*'Methodology &amp; Assumptions'!$B$8, 0)</f>
        <v/>
      </c>
      <c r="P281" s="8" t="inlineStr">
        <is>
          <t>Band n50 (1.5 GHz, 60 MHz)</t>
        </is>
      </c>
      <c r="Q281" s="38">
        <f>ROUNDUP(O281/'Methodology &amp; Assumptions'!$B$9, 0)</f>
        <v/>
      </c>
      <c r="R281" s="39" t="n">
        <v>1</v>
      </c>
      <c r="S281" s="21" t="n">
        <v>0.71</v>
      </c>
      <c r="T281" s="21" t="n">
        <v>0.52</v>
      </c>
      <c r="U281" s="36" t="inlineStr">
        <is>
          <t>Tier 1A (Direct Coloc, &lt;1 km)</t>
        </is>
      </c>
      <c r="V281" s="20" t="n">
        <v>89</v>
      </c>
      <c r="W281" s="20" t="n">
        <v>86.09999999999999</v>
      </c>
      <c r="X281" s="20" t="n">
        <v>58</v>
      </c>
      <c r="Y281" s="40">
        <f>ROUND((V281*'Methodology &amp; Assumptions'!$B$6)+(W281*'Methodology &amp; Assumptions'!$B$5)+(X281*'Methodology &amp; Assumptions'!$B$7), 2)</f>
        <v/>
      </c>
    </row>
    <row r="282" ht="19" customHeight="1">
      <c r="A282" s="41" t="n">
        <v>278</v>
      </c>
      <c r="B282" s="41" t="n">
        <v>278</v>
      </c>
      <c r="C282" s="42" t="inlineStr">
        <is>
          <t>0803748041</t>
        </is>
      </c>
      <c r="D282" s="42" t="inlineStr">
        <is>
          <t>Region VIII (Eastern Visayas)</t>
        </is>
      </c>
      <c r="E282" s="42" t="inlineStr">
        <is>
          <t>Leyte</t>
        </is>
      </c>
      <c r="F282" s="42" t="inlineStr">
        <is>
          <t>Tanauan</t>
        </is>
      </c>
      <c r="G282" s="42" t="inlineStr">
        <is>
          <t>Canramos</t>
        </is>
      </c>
      <c r="H282" s="43" t="n">
        <v>11.108903</v>
      </c>
      <c r="I282" s="43" t="n">
        <v>125.01426</v>
      </c>
      <c r="J282" s="44" t="inlineStr">
        <is>
          <t>R</t>
        </is>
      </c>
      <c r="K282" s="42" t="inlineStr">
        <is>
          <t>Class 1-3 / Urban</t>
        </is>
      </c>
      <c r="L282" s="23" t="n">
        <v>3320</v>
      </c>
      <c r="M282" s="24" t="n">
        <v>4.24</v>
      </c>
      <c r="N282" s="23">
        <f>ROUND(L282/M282, 0)</f>
        <v/>
      </c>
      <c r="O282" s="23">
        <f>ROUND(N282*'Methodology &amp; Assumptions'!$B$8, 0)</f>
        <v/>
      </c>
      <c r="P282" s="44" t="inlineStr">
        <is>
          <t>Band n50 (1.5 GHz, 60 MHz)</t>
        </is>
      </c>
      <c r="Q282" s="38">
        <f>ROUNDUP(O282/'Methodology &amp; Assumptions'!$B$9, 0)</f>
        <v/>
      </c>
      <c r="R282" s="39" t="n">
        <v>1</v>
      </c>
      <c r="S282" s="25" t="n">
        <v>0.73</v>
      </c>
      <c r="T282" s="25" t="n">
        <v>0.71</v>
      </c>
      <c r="U282" s="42" t="inlineStr">
        <is>
          <t>Tier 1A (Direct Coloc, &lt;1 km)</t>
        </is>
      </c>
      <c r="V282" s="24" t="n">
        <v>88.3</v>
      </c>
      <c r="W282" s="24" t="n">
        <v>86.7</v>
      </c>
      <c r="X282" s="24" t="n">
        <v>58</v>
      </c>
      <c r="Y282" s="45">
        <f>ROUND((V282*'Methodology &amp; Assumptions'!$B$6)+(W282*'Methodology &amp; Assumptions'!$B$5)+(X282*'Methodology &amp; Assumptions'!$B$7), 2)</f>
        <v/>
      </c>
    </row>
    <row r="283" ht="19" customHeight="1">
      <c r="A283" s="35" t="n">
        <v>279</v>
      </c>
      <c r="B283" s="35" t="n">
        <v>279</v>
      </c>
      <c r="C283" s="36" t="inlineStr">
        <is>
          <t>0105531026</t>
        </is>
      </c>
      <c r="D283" s="36" t="inlineStr">
        <is>
          <t>Region I (Ilocos Region)</t>
        </is>
      </c>
      <c r="E283" s="36" t="inlineStr">
        <is>
          <t>Pangasinan</t>
        </is>
      </c>
      <c r="F283" s="36" t="inlineStr">
        <is>
          <t>Rosales</t>
        </is>
      </c>
      <c r="G283" s="36" t="inlineStr">
        <is>
          <t>San Pedro West</t>
        </is>
      </c>
      <c r="H283" s="37" t="n">
        <v>15.89788</v>
      </c>
      <c r="I283" s="37" t="n">
        <v>120.6421</v>
      </c>
      <c r="J283" s="8" t="inlineStr">
        <is>
          <t>R</t>
        </is>
      </c>
      <c r="K283" s="36" t="inlineStr">
        <is>
          <t>Class 1-3 / Urban</t>
        </is>
      </c>
      <c r="L283" s="18" t="n">
        <v>4334</v>
      </c>
      <c r="M283" s="20" t="n">
        <v>4.39</v>
      </c>
      <c r="N283" s="18">
        <f>ROUND(L283/M283, 0)</f>
        <v/>
      </c>
      <c r="O283" s="18">
        <f>ROUND(N283*'Methodology &amp; Assumptions'!$B$8, 0)</f>
        <v/>
      </c>
      <c r="P283" s="8" t="inlineStr">
        <is>
          <t>Band n50 (1.5 GHz, 60 MHz)</t>
        </is>
      </c>
      <c r="Q283" s="38">
        <f>ROUNDUP(O283/'Methodology &amp; Assumptions'!$B$9, 0)</f>
        <v/>
      </c>
      <c r="R283" s="39" t="n">
        <v>1</v>
      </c>
      <c r="S283" s="21" t="n">
        <v>1.3</v>
      </c>
      <c r="T283" s="21" t="n">
        <v>1.34</v>
      </c>
      <c r="U283" s="36" t="inlineStr">
        <is>
          <t>Tier 1B (Micro Drop, 1-3 km)</t>
        </is>
      </c>
      <c r="V283" s="20" t="n">
        <v>74.90000000000001</v>
      </c>
      <c r="W283" s="20" t="n">
        <v>100</v>
      </c>
      <c r="X283" s="20" t="n">
        <v>58</v>
      </c>
      <c r="Y283" s="40">
        <f>ROUND((V283*'Methodology &amp; Assumptions'!$B$6)+(W283*'Methodology &amp; Assumptions'!$B$5)+(X283*'Methodology &amp; Assumptions'!$B$7), 2)</f>
        <v/>
      </c>
    </row>
    <row r="284" ht="19" customHeight="1">
      <c r="A284" s="41" t="n">
        <v>280</v>
      </c>
      <c r="B284" s="41" t="n">
        <v>280</v>
      </c>
      <c r="C284" s="42" t="inlineStr">
        <is>
          <t>0307111008</t>
        </is>
      </c>
      <c r="D284" s="42" t="inlineStr">
        <is>
          <t>Region III (Central Luzon)</t>
        </is>
      </c>
      <c r="E284" s="42" t="inlineStr">
        <is>
          <t>Zambales</t>
        </is>
      </c>
      <c r="F284" s="42" t="inlineStr">
        <is>
          <t>San Marcelino</t>
        </is>
      </c>
      <c r="G284" s="42" t="inlineStr">
        <is>
          <t>Linasin</t>
        </is>
      </c>
      <c r="H284" s="43" t="n">
        <v>14.974167</v>
      </c>
      <c r="I284" s="43" t="n">
        <v>120.149556</v>
      </c>
      <c r="J284" s="44" t="inlineStr">
        <is>
          <t>R</t>
        </is>
      </c>
      <c r="K284" s="42" t="inlineStr">
        <is>
          <t>Class 1-3 / Urban</t>
        </is>
      </c>
      <c r="L284" s="23" t="n">
        <v>3066</v>
      </c>
      <c r="M284" s="24" t="n">
        <v>4.05</v>
      </c>
      <c r="N284" s="23">
        <f>ROUND(L284/M284, 0)</f>
        <v/>
      </c>
      <c r="O284" s="23">
        <f>ROUND(N284*'Methodology &amp; Assumptions'!$B$8, 0)</f>
        <v/>
      </c>
      <c r="P284" s="44" t="inlineStr">
        <is>
          <t>Band n50 (1.5 GHz, 60 MHz)</t>
        </is>
      </c>
      <c r="Q284" s="38">
        <f>ROUNDUP(O284/'Methodology &amp; Assumptions'!$B$9, 0)</f>
        <v/>
      </c>
      <c r="R284" s="39" t="n">
        <v>1</v>
      </c>
      <c r="S284" s="25" t="n">
        <v>0.66</v>
      </c>
      <c r="T284" s="25" t="n">
        <v>0.09</v>
      </c>
      <c r="U284" s="42" t="inlineStr">
        <is>
          <t>Tier 1A (Direct Coloc, &lt;1 km)</t>
        </is>
      </c>
      <c r="V284" s="24" t="n">
        <v>90.40000000000001</v>
      </c>
      <c r="W284" s="24" t="n">
        <v>84.5</v>
      </c>
      <c r="X284" s="24" t="n">
        <v>58</v>
      </c>
      <c r="Y284" s="45">
        <f>ROUND((V284*'Methodology &amp; Assumptions'!$B$6)+(W284*'Methodology &amp; Assumptions'!$B$5)+(X284*'Methodology &amp; Assumptions'!$B$7), 2)</f>
        <v/>
      </c>
    </row>
    <row r="285" ht="19" customHeight="1">
      <c r="A285" s="35" t="n">
        <v>281</v>
      </c>
      <c r="B285" s="35" t="n">
        <v>281</v>
      </c>
      <c r="C285" s="36" t="inlineStr">
        <is>
          <t>0105539023</t>
        </is>
      </c>
      <c r="D285" s="36" t="inlineStr">
        <is>
          <t>Region I (Ilocos Region)</t>
        </is>
      </c>
      <c r="E285" s="36" t="inlineStr">
        <is>
          <t>Pangasinan</t>
        </is>
      </c>
      <c r="F285" s="36" t="inlineStr">
        <is>
          <t>Santa Maria</t>
        </is>
      </c>
      <c r="G285" s="36" t="inlineStr">
        <is>
          <t>San Vicente</t>
        </is>
      </c>
      <c r="H285" s="37" t="n">
        <v>14.80694</v>
      </c>
      <c r="I285" s="37" t="n">
        <v>121.00392</v>
      </c>
      <c r="J285" s="8" t="inlineStr">
        <is>
          <t>R</t>
        </is>
      </c>
      <c r="K285" s="36" t="inlineStr">
        <is>
          <t>2nd</t>
        </is>
      </c>
      <c r="L285" s="18" t="n">
        <v>4107</v>
      </c>
      <c r="M285" s="20" t="n">
        <v>4.41</v>
      </c>
      <c r="N285" s="18">
        <f>ROUND(L285/M285, 0)</f>
        <v/>
      </c>
      <c r="O285" s="18">
        <f>ROUND(N285*'Methodology &amp; Assumptions'!$B$8, 0)</f>
        <v/>
      </c>
      <c r="P285" s="8" t="inlineStr">
        <is>
          <t>Band n50 (1.5 GHz, 60 MHz)</t>
        </is>
      </c>
      <c r="Q285" s="38">
        <f>ROUNDUP(O285/'Methodology &amp; Assumptions'!$B$9, 0)</f>
        <v/>
      </c>
      <c r="R285" s="39" t="n">
        <v>1</v>
      </c>
      <c r="S285" s="21" t="n">
        <v>1.23</v>
      </c>
      <c r="T285" s="21" t="n">
        <v>0.09</v>
      </c>
      <c r="U285" s="36" t="inlineStr">
        <is>
          <t>Tier 1B (Micro Drop, 1-3 km)</t>
        </is>
      </c>
      <c r="V285" s="20" t="n">
        <v>76.5</v>
      </c>
      <c r="W285" s="20" t="n">
        <v>98.40000000000001</v>
      </c>
      <c r="X285" s="20" t="n">
        <v>58</v>
      </c>
      <c r="Y285" s="40">
        <f>ROUND((V285*'Methodology &amp; Assumptions'!$B$6)+(W285*'Methodology &amp; Assumptions'!$B$5)+(X285*'Methodology &amp; Assumptions'!$B$7), 2)</f>
        <v/>
      </c>
    </row>
    <row r="286" ht="19" customHeight="1">
      <c r="A286" s="41" t="n">
        <v>282</v>
      </c>
      <c r="B286" s="41" t="n">
        <v>282</v>
      </c>
      <c r="C286" s="42" t="inlineStr">
        <is>
          <t>0403406006</t>
        </is>
      </c>
      <c r="D286" s="42" t="inlineStr">
        <is>
          <t>Region IV-A (CALABARZON)</t>
        </is>
      </c>
      <c r="E286" s="42" t="inlineStr">
        <is>
          <t>Laguna</t>
        </is>
      </c>
      <c r="F286" s="42" t="inlineStr">
        <is>
          <t>Calauan</t>
        </is>
      </c>
      <c r="G286" s="42" t="inlineStr">
        <is>
          <t>Lamot 1</t>
        </is>
      </c>
      <c r="H286" s="43" t="n">
        <v>14.147387</v>
      </c>
      <c r="I286" s="43" t="n">
        <v>121.318153</v>
      </c>
      <c r="J286" s="44" t="inlineStr">
        <is>
          <t>R</t>
        </is>
      </c>
      <c r="K286" s="42" t="inlineStr">
        <is>
          <t>Class 1-3 / Urban</t>
        </is>
      </c>
      <c r="L286" s="23" t="n">
        <v>2933</v>
      </c>
      <c r="M286" s="24" t="n">
        <v>4.2</v>
      </c>
      <c r="N286" s="23">
        <f>ROUND(L286/M286, 0)</f>
        <v/>
      </c>
      <c r="O286" s="23">
        <f>ROUND(N286*'Methodology &amp; Assumptions'!$B$8, 0)</f>
        <v/>
      </c>
      <c r="P286" s="44" t="inlineStr">
        <is>
          <t>Band n50 (1.5 GHz, 60 MHz)</t>
        </is>
      </c>
      <c r="Q286" s="38">
        <f>ROUNDUP(O286/'Methodology &amp; Assumptions'!$B$9, 0)</f>
        <v/>
      </c>
      <c r="R286" s="39" t="n">
        <v>1</v>
      </c>
      <c r="S286" s="25" t="n">
        <v>0.49</v>
      </c>
      <c r="T286" s="25" t="n">
        <v>0.04</v>
      </c>
      <c r="U286" s="42" t="inlineStr">
        <is>
          <t>Tier 1A (Direct Coloc, &lt;1 km)</t>
        </is>
      </c>
      <c r="V286" s="24" t="n">
        <v>95.09999999999999</v>
      </c>
      <c r="W286" s="24" t="n">
        <v>79.7</v>
      </c>
      <c r="X286" s="24" t="n">
        <v>58</v>
      </c>
      <c r="Y286" s="45">
        <f>ROUND((V286*'Methodology &amp; Assumptions'!$B$6)+(W286*'Methodology &amp; Assumptions'!$B$5)+(X286*'Methodology &amp; Assumptions'!$B$7), 2)</f>
        <v/>
      </c>
    </row>
    <row r="287" ht="19" customHeight="1">
      <c r="A287" s="35" t="n">
        <v>283</v>
      </c>
      <c r="B287" s="35" t="n">
        <v>283</v>
      </c>
      <c r="C287" s="36" t="inlineStr">
        <is>
          <t>0304915016</t>
        </is>
      </c>
      <c r="D287" s="36" t="inlineStr">
        <is>
          <t>Region III (Central Luzon)</t>
        </is>
      </c>
      <c r="E287" s="36" t="inlineStr">
        <is>
          <t>Nueva Ecija</t>
        </is>
      </c>
      <c r="F287" s="36" t="inlineStr">
        <is>
          <t>Llanera</t>
        </is>
      </c>
      <c r="G287" s="36" t="inlineStr">
        <is>
          <t>Bagumbayan</t>
        </is>
      </c>
      <c r="H287" s="37" t="n">
        <v>15.660833</v>
      </c>
      <c r="I287" s="37" t="n">
        <v>121.021263</v>
      </c>
      <c r="J287" s="8" t="inlineStr">
        <is>
          <t>R</t>
        </is>
      </c>
      <c r="K287" s="36" t="inlineStr">
        <is>
          <t>2nd</t>
        </is>
      </c>
      <c r="L287" s="18" t="n">
        <v>3551</v>
      </c>
      <c r="M287" s="20" t="n">
        <v>4.14</v>
      </c>
      <c r="N287" s="18">
        <f>ROUND(L287/M287, 0)</f>
        <v/>
      </c>
      <c r="O287" s="18">
        <f>ROUND(N287*'Methodology &amp; Assumptions'!$B$8, 0)</f>
        <v/>
      </c>
      <c r="P287" s="8" t="inlineStr">
        <is>
          <t>Band n50 (1.5 GHz, 60 MHz)</t>
        </is>
      </c>
      <c r="Q287" s="38">
        <f>ROUNDUP(O287/'Methodology &amp; Assumptions'!$B$9, 0)</f>
        <v/>
      </c>
      <c r="R287" s="39" t="n">
        <v>1</v>
      </c>
      <c r="S287" s="21" t="n">
        <v>0.59</v>
      </c>
      <c r="T287" s="21" t="n">
        <v>4.53</v>
      </c>
      <c r="U287" s="36" t="inlineStr">
        <is>
          <t>Tier 1A (Direct Coloc, &lt;1 km)</t>
        </is>
      </c>
      <c r="V287" s="20" t="n">
        <v>82.2</v>
      </c>
      <c r="W287" s="20" t="n">
        <v>92.5</v>
      </c>
      <c r="X287" s="20" t="n">
        <v>58</v>
      </c>
      <c r="Y287" s="40">
        <f>ROUND((V287*'Methodology &amp; Assumptions'!$B$6)+(W287*'Methodology &amp; Assumptions'!$B$5)+(X287*'Methodology &amp; Assumptions'!$B$7), 2)</f>
        <v/>
      </c>
    </row>
    <row r="288" ht="19" customHeight="1">
      <c r="A288" s="41" t="n">
        <v>284</v>
      </c>
      <c r="B288" s="41" t="n">
        <v>284</v>
      </c>
      <c r="C288" s="42" t="inlineStr">
        <is>
          <t>0702251018</t>
        </is>
      </c>
      <c r="D288" s="42" t="inlineStr">
        <is>
          <t>Region VII (Central Visayas)</t>
        </is>
      </c>
      <c r="E288" s="42" t="inlineStr">
        <is>
          <t>Cebu</t>
        </is>
      </c>
      <c r="F288" s="42" t="inlineStr">
        <is>
          <t>City of Toledo</t>
        </is>
      </c>
      <c r="G288" s="42" t="inlineStr">
        <is>
          <t>Ibo</t>
        </is>
      </c>
      <c r="H288" s="43" t="n">
        <v>10.36492</v>
      </c>
      <c r="I288" s="43" t="n">
        <v>123.61926</v>
      </c>
      <c r="J288" s="44" t="inlineStr">
        <is>
          <t>R</t>
        </is>
      </c>
      <c r="K288" s="42" t="inlineStr">
        <is>
          <t>Class 1-3 / Urban</t>
        </is>
      </c>
      <c r="L288" s="23" t="n">
        <v>4727</v>
      </c>
      <c r="M288" s="24" t="n">
        <v>4.42</v>
      </c>
      <c r="N288" s="23">
        <f>ROUND(L288/M288, 0)</f>
        <v/>
      </c>
      <c r="O288" s="23">
        <f>ROUND(N288*'Methodology &amp; Assumptions'!$B$8, 0)</f>
        <v/>
      </c>
      <c r="P288" s="44" t="inlineStr">
        <is>
          <t>Band n50 (1.5 GHz, 60 MHz)</t>
        </is>
      </c>
      <c r="Q288" s="38">
        <f>ROUNDUP(O288/'Methodology &amp; Assumptions'!$B$9, 0)</f>
        <v/>
      </c>
      <c r="R288" s="39" t="n">
        <v>1</v>
      </c>
      <c r="S288" s="25" t="n">
        <v>1.31</v>
      </c>
      <c r="T288" s="25" t="n">
        <v>0.17</v>
      </c>
      <c r="U288" s="42" t="inlineStr">
        <is>
          <t>Tier 1B (Micro Drop, 1-3 km)</t>
        </is>
      </c>
      <c r="V288" s="24" t="n">
        <v>74.7</v>
      </c>
      <c r="W288" s="24" t="n">
        <v>100</v>
      </c>
      <c r="X288" s="24" t="n">
        <v>58</v>
      </c>
      <c r="Y288" s="45">
        <f>ROUND((V288*'Methodology &amp; Assumptions'!$B$6)+(W288*'Methodology &amp; Assumptions'!$B$5)+(X288*'Methodology &amp; Assumptions'!$B$7), 2)</f>
        <v/>
      </c>
    </row>
    <row r="289" ht="19" customHeight="1">
      <c r="A289" s="35" t="n">
        <v>285</v>
      </c>
      <c r="B289" s="35" t="n">
        <v>285</v>
      </c>
      <c r="C289" s="36" t="inlineStr">
        <is>
          <t>0105519014</t>
        </is>
      </c>
      <c r="D289" s="36" t="inlineStr">
        <is>
          <t>Region I (Ilocos Region)</t>
        </is>
      </c>
      <c r="E289" s="36" t="inlineStr">
        <is>
          <t>Pangasinan</t>
        </is>
      </c>
      <c r="F289" s="36" t="inlineStr">
        <is>
          <t>Dasol</t>
        </is>
      </c>
      <c r="G289" s="36" t="inlineStr">
        <is>
          <t>Poblacion</t>
        </is>
      </c>
      <c r="H289" s="37" t="n">
        <v>15.98667</v>
      </c>
      <c r="I289" s="37" t="n">
        <v>119.8817</v>
      </c>
      <c r="J289" s="8" t="inlineStr">
        <is>
          <t>R</t>
        </is>
      </c>
      <c r="K289" s="36" t="inlineStr">
        <is>
          <t>Class 1-3 / Urban</t>
        </is>
      </c>
      <c r="L289" s="18" t="n">
        <v>3443</v>
      </c>
      <c r="M289" s="20" t="n">
        <v>4.39</v>
      </c>
      <c r="N289" s="18">
        <f>ROUND(L289/M289, 0)</f>
        <v/>
      </c>
      <c r="O289" s="18">
        <f>ROUND(N289*'Methodology &amp; Assumptions'!$B$8, 0)</f>
        <v/>
      </c>
      <c r="P289" s="8" t="inlineStr">
        <is>
          <t>Band n50 (1.5 GHz, 60 MHz)</t>
        </is>
      </c>
      <c r="Q289" s="38">
        <f>ROUNDUP(O289/'Methodology &amp; Assumptions'!$B$9, 0)</f>
        <v/>
      </c>
      <c r="R289" s="39" t="n">
        <v>1</v>
      </c>
      <c r="S289" s="21" t="n">
        <v>0.74</v>
      </c>
      <c r="T289" s="21" t="n">
        <v>0.71</v>
      </c>
      <c r="U289" s="36" t="inlineStr">
        <is>
          <t>Tier 1A (Direct Coloc, &lt;1 km)</t>
        </is>
      </c>
      <c r="V289" s="20" t="n">
        <v>88</v>
      </c>
      <c r="W289" s="20" t="n">
        <v>86.7</v>
      </c>
      <c r="X289" s="20" t="n">
        <v>58</v>
      </c>
      <c r="Y289" s="40">
        <f>ROUND((V289*'Methodology &amp; Assumptions'!$B$6)+(W289*'Methodology &amp; Assumptions'!$B$5)+(X289*'Methodology &amp; Assumptions'!$B$7), 2)</f>
        <v/>
      </c>
    </row>
    <row r="290" ht="19" customHeight="1">
      <c r="A290" s="41" t="n">
        <v>286</v>
      </c>
      <c r="B290" s="41" t="n">
        <v>286</v>
      </c>
      <c r="C290" s="42" t="inlineStr">
        <is>
          <t>0501737039</t>
        </is>
      </c>
      <c r="D290" s="42" t="inlineStr">
        <is>
          <t>Region V (Bicol Region)</t>
        </is>
      </c>
      <c r="E290" s="42" t="inlineStr">
        <is>
          <t>Camarines Sur</t>
        </is>
      </c>
      <c r="F290" s="42" t="inlineStr">
        <is>
          <t>Tinambac</t>
        </is>
      </c>
      <c r="G290" s="42" t="inlineStr">
        <is>
          <t>Santa Cruz</t>
        </is>
      </c>
      <c r="H290" s="43" t="n">
        <v>13.811832</v>
      </c>
      <c r="I290" s="43" t="n">
        <v>123.333506</v>
      </c>
      <c r="J290" s="44" t="inlineStr">
        <is>
          <t>R</t>
        </is>
      </c>
      <c r="K290" s="42" t="inlineStr">
        <is>
          <t>Class 1-3 / Urban</t>
        </is>
      </c>
      <c r="L290" s="23" t="n">
        <v>3836</v>
      </c>
      <c r="M290" s="24" t="n">
        <v>4.9</v>
      </c>
      <c r="N290" s="23">
        <f>ROUND(L290/M290, 0)</f>
        <v/>
      </c>
      <c r="O290" s="23">
        <f>ROUND(N290*'Methodology &amp; Assumptions'!$B$8, 0)</f>
        <v/>
      </c>
      <c r="P290" s="44" t="inlineStr">
        <is>
          <t>Band n50 (1.5 GHz, 60 MHz)</t>
        </is>
      </c>
      <c r="Q290" s="38">
        <f>ROUNDUP(O290/'Methodology &amp; Assumptions'!$B$9, 0)</f>
        <v/>
      </c>
      <c r="R290" s="39" t="n">
        <v>1</v>
      </c>
      <c r="S290" s="25" t="n">
        <v>0.75</v>
      </c>
      <c r="T290" s="25" t="n">
        <v>0.41</v>
      </c>
      <c r="U290" s="42" t="inlineStr">
        <is>
          <t>Tier 1A (Direct Coloc, &lt;1 km)</t>
        </is>
      </c>
      <c r="V290" s="24" t="n">
        <v>87.90000000000001</v>
      </c>
      <c r="W290" s="24" t="n">
        <v>86.7</v>
      </c>
      <c r="X290" s="24" t="n">
        <v>58</v>
      </c>
      <c r="Y290" s="45">
        <f>ROUND((V290*'Methodology &amp; Assumptions'!$B$6)+(W290*'Methodology &amp; Assumptions'!$B$5)+(X290*'Methodology &amp; Assumptions'!$B$7), 2)</f>
        <v/>
      </c>
    </row>
    <row r="291" ht="19" customHeight="1">
      <c r="A291" s="35" t="n">
        <v>287</v>
      </c>
      <c r="B291" s="35" t="n">
        <v>287</v>
      </c>
      <c r="C291" s="36" t="inlineStr">
        <is>
          <t>0402119020</t>
        </is>
      </c>
      <c r="D291" s="36" t="inlineStr">
        <is>
          <t>Region IV-A (CALABARZON)</t>
        </is>
      </c>
      <c r="E291" s="36" t="inlineStr">
        <is>
          <t>Cavite</t>
        </is>
      </c>
      <c r="F291" s="36" t="inlineStr">
        <is>
          <t>City of Tagaytay</t>
        </is>
      </c>
      <c r="G291" s="36" t="inlineStr">
        <is>
          <t>Sungay South</t>
        </is>
      </c>
      <c r="H291" s="37" t="n">
        <v>14.123977</v>
      </c>
      <c r="I291" s="37" t="n">
        <v>120.991886</v>
      </c>
      <c r="J291" s="8" t="inlineStr">
        <is>
          <t>R</t>
        </is>
      </c>
      <c r="K291" s="36" t="inlineStr">
        <is>
          <t>Class 1-3 / Urban</t>
        </is>
      </c>
      <c r="L291" s="18" t="n">
        <v>4686</v>
      </c>
      <c r="M291" s="20" t="n">
        <v>4.49</v>
      </c>
      <c r="N291" s="18">
        <f>ROUND(L291/M291, 0)</f>
        <v/>
      </c>
      <c r="O291" s="18">
        <f>ROUND(N291*'Methodology &amp; Assumptions'!$B$8, 0)</f>
        <v/>
      </c>
      <c r="P291" s="8" t="inlineStr">
        <is>
          <t>Band n50 (1.5 GHz, 60 MHz)</t>
        </is>
      </c>
      <c r="Q291" s="38">
        <f>ROUNDUP(O291/'Methodology &amp; Assumptions'!$B$9, 0)</f>
        <v/>
      </c>
      <c r="R291" s="39" t="n">
        <v>1</v>
      </c>
      <c r="S291" s="21" t="n">
        <v>1.31</v>
      </c>
      <c r="T291" s="21" t="n">
        <v>1.28</v>
      </c>
      <c r="U291" s="36" t="inlineStr">
        <is>
          <t>Tier 1B (Micro Drop, 1-3 km)</t>
        </is>
      </c>
      <c r="V291" s="20" t="n">
        <v>74.59999999999999</v>
      </c>
      <c r="W291" s="20" t="n">
        <v>100</v>
      </c>
      <c r="X291" s="20" t="n">
        <v>58</v>
      </c>
      <c r="Y291" s="40">
        <f>ROUND((V291*'Methodology &amp; Assumptions'!$B$6)+(W291*'Methodology &amp; Assumptions'!$B$5)+(X291*'Methodology &amp; Assumptions'!$B$7), 2)</f>
        <v/>
      </c>
    </row>
    <row r="292" ht="19" customHeight="1">
      <c r="A292" s="41" t="n">
        <v>288</v>
      </c>
      <c r="B292" s="41" t="n">
        <v>288</v>
      </c>
      <c r="C292" s="42" t="inlineStr">
        <is>
          <t>0702210027</t>
        </is>
      </c>
      <c r="D292" s="42" t="inlineStr">
        <is>
          <t>Region VII (Central Visayas)</t>
        </is>
      </c>
      <c r="E292" s="42" t="inlineStr">
        <is>
          <t>Cebu</t>
        </is>
      </c>
      <c r="F292" s="42" t="inlineStr">
        <is>
          <t>Barili</t>
        </is>
      </c>
      <c r="G292" s="42" t="inlineStr">
        <is>
          <t>Mantalongon</t>
        </is>
      </c>
      <c r="H292" s="43" t="n">
        <v>10.126311</v>
      </c>
      <c r="I292" s="43" t="n">
        <v>123.576601</v>
      </c>
      <c r="J292" s="44" t="inlineStr">
        <is>
          <t>R</t>
        </is>
      </c>
      <c r="K292" s="42" t="inlineStr">
        <is>
          <t>Class 1-3 / Urban</t>
        </is>
      </c>
      <c r="L292" s="23" t="n">
        <v>3013</v>
      </c>
      <c r="M292" s="24" t="n">
        <v>4.42</v>
      </c>
      <c r="N292" s="23">
        <f>ROUND(L292/M292, 0)</f>
        <v/>
      </c>
      <c r="O292" s="23">
        <f>ROUND(N292*'Methodology &amp; Assumptions'!$B$8, 0)</f>
        <v/>
      </c>
      <c r="P292" s="44" t="inlineStr">
        <is>
          <t>Band n50 (1.5 GHz, 60 MHz)</t>
        </is>
      </c>
      <c r="Q292" s="38">
        <f>ROUNDUP(O292/'Methodology &amp; Assumptions'!$B$9, 0)</f>
        <v/>
      </c>
      <c r="R292" s="39" t="n">
        <v>1</v>
      </c>
      <c r="S292" s="25" t="n">
        <v>0.46</v>
      </c>
      <c r="T292" s="25" t="n">
        <v>0.29</v>
      </c>
      <c r="U292" s="42" t="inlineStr">
        <is>
          <t>Tier 1A (Direct Coloc, &lt;1 km)</t>
        </is>
      </c>
      <c r="V292" s="24" t="n">
        <v>95.8</v>
      </c>
      <c r="W292" s="24" t="n">
        <v>78.7</v>
      </c>
      <c r="X292" s="24" t="n">
        <v>58</v>
      </c>
      <c r="Y292" s="45">
        <f>ROUND((V292*'Methodology &amp; Assumptions'!$B$6)+(W292*'Methodology &amp; Assumptions'!$B$5)+(X292*'Methodology &amp; Assumptions'!$B$7), 2)</f>
        <v/>
      </c>
    </row>
    <row r="293" ht="19" customHeight="1">
      <c r="A293" s="35" t="n">
        <v>289</v>
      </c>
      <c r="B293" s="35" t="n">
        <v>289</v>
      </c>
      <c r="C293" s="36" t="inlineStr">
        <is>
          <t>0403410028</t>
        </is>
      </c>
      <c r="D293" s="36" t="inlineStr">
        <is>
          <t>Region IV-A (CALABARZON)</t>
        </is>
      </c>
      <c r="E293" s="36" t="inlineStr">
        <is>
          <t>Laguna</t>
        </is>
      </c>
      <c r="F293" s="36" t="inlineStr">
        <is>
          <t>Liliw</t>
        </is>
      </c>
      <c r="G293" s="36" t="inlineStr">
        <is>
          <t>Maslun</t>
        </is>
      </c>
      <c r="H293" s="37" t="n">
        <v>14.13205</v>
      </c>
      <c r="I293" s="37" t="n">
        <v>121.43858</v>
      </c>
      <c r="J293" s="8" t="inlineStr">
        <is>
          <t>R</t>
        </is>
      </c>
      <c r="K293" s="36" t="inlineStr">
        <is>
          <t>3rd</t>
        </is>
      </c>
      <c r="L293" s="18" t="n">
        <v>2775</v>
      </c>
      <c r="M293" s="20" t="n">
        <v>3.93</v>
      </c>
      <c r="N293" s="18">
        <f>ROUND(L293/M293, 0)</f>
        <v/>
      </c>
      <c r="O293" s="18">
        <f>ROUND(N293*'Methodology &amp; Assumptions'!$B$8, 0)</f>
        <v/>
      </c>
      <c r="P293" s="8" t="inlineStr">
        <is>
          <t>Band n50 (1.5 GHz, 60 MHz)</t>
        </is>
      </c>
      <c r="Q293" s="38">
        <f>ROUNDUP(O293/'Methodology &amp; Assumptions'!$B$9, 0)</f>
        <v/>
      </c>
      <c r="R293" s="39" t="n">
        <v>1</v>
      </c>
      <c r="S293" s="21" t="n">
        <v>0.53</v>
      </c>
      <c r="T293" s="21" t="n">
        <v>0.07000000000000001</v>
      </c>
      <c r="U293" s="36" t="inlineStr">
        <is>
          <t>Tier 1A (Direct Coloc, &lt;1 km)</t>
        </is>
      </c>
      <c r="V293" s="20" t="n">
        <v>93.8</v>
      </c>
      <c r="W293" s="20" t="n">
        <v>80.5</v>
      </c>
      <c r="X293" s="20" t="n">
        <v>58</v>
      </c>
      <c r="Y293" s="40">
        <f>ROUND((V293*'Methodology &amp; Assumptions'!$B$6)+(W293*'Methodology &amp; Assumptions'!$B$5)+(X293*'Methodology &amp; Assumptions'!$B$7), 2)</f>
        <v/>
      </c>
    </row>
    <row r="294" ht="19" customHeight="1">
      <c r="A294" s="41" t="n">
        <v>290</v>
      </c>
      <c r="B294" s="41" t="n">
        <v>290</v>
      </c>
      <c r="C294" s="42" t="inlineStr">
        <is>
          <t>0330100013</t>
        </is>
      </c>
      <c r="D294" s="42" t="inlineStr">
        <is>
          <t>Region III (Central Luzon)</t>
        </is>
      </c>
      <c r="E294" s="42" t="inlineStr">
        <is>
          <t>Pampanga</t>
        </is>
      </c>
      <c r="F294" s="42" t="inlineStr">
        <is>
          <t>City of Angeles</t>
        </is>
      </c>
      <c r="G294" s="42" t="inlineStr">
        <is>
          <t>Malabañas</t>
        </is>
      </c>
      <c r="H294" s="43" t="n">
        <v>15.151291</v>
      </c>
      <c r="I294" s="43" t="n">
        <v>120.59004</v>
      </c>
      <c r="J294" s="44" t="inlineStr">
        <is>
          <t>U</t>
        </is>
      </c>
      <c r="K294" s="42" t="inlineStr">
        <is>
          <t>Class 1-3 / Urban</t>
        </is>
      </c>
      <c r="L294" s="23" t="n">
        <v>29841</v>
      </c>
      <c r="M294" s="24" t="n">
        <v>4.63</v>
      </c>
      <c r="N294" s="23">
        <f>ROUND(L294/M294, 0)</f>
        <v/>
      </c>
      <c r="O294" s="23">
        <f>ROUND(N294*'Methodology &amp; Assumptions'!$B$8, 0)</f>
        <v/>
      </c>
      <c r="P294" s="44" t="inlineStr">
        <is>
          <t>Band n50 (1.5 GHz, 60 MHz)</t>
        </is>
      </c>
      <c r="Q294" s="38">
        <f>ROUNDUP(O294/'Methodology &amp; Assumptions'!$B$9, 0)</f>
        <v/>
      </c>
      <c r="R294" s="39" t="n">
        <v>1</v>
      </c>
      <c r="S294" s="25" t="n">
        <v>0.22</v>
      </c>
      <c r="T294" s="25" t="n">
        <v>0.12</v>
      </c>
      <c r="U294" s="42" t="inlineStr">
        <is>
          <t>Tier 1A (Direct Coloc, &lt;1 km)</t>
        </is>
      </c>
      <c r="V294" s="24" t="n">
        <v>100</v>
      </c>
      <c r="W294" s="24" t="n">
        <v>100</v>
      </c>
      <c r="X294" s="24" t="n">
        <v>28</v>
      </c>
      <c r="Y294" s="45">
        <f>ROUND((V294*'Methodology &amp; Assumptions'!$B$6)+(W294*'Methodology &amp; Assumptions'!$B$5)+(X294*'Methodology &amp; Assumptions'!$B$7), 2)</f>
        <v/>
      </c>
    </row>
    <row r="295" ht="19" customHeight="1">
      <c r="A295" s="35" t="n">
        <v>291</v>
      </c>
      <c r="B295" s="35" t="n">
        <v>291</v>
      </c>
      <c r="C295" s="36" t="inlineStr">
        <is>
          <t>0305409012</t>
        </is>
      </c>
      <c r="D295" s="36" t="inlineStr">
        <is>
          <t>Region III (Central Luzon)</t>
        </is>
      </c>
      <c r="E295" s="36" t="inlineStr">
        <is>
          <t>Pampanga</t>
        </is>
      </c>
      <c r="F295" s="36" t="inlineStr">
        <is>
          <t>Mabalacat City</t>
        </is>
      </c>
      <c r="G295" s="36" t="inlineStr">
        <is>
          <t>Mabiga</t>
        </is>
      </c>
      <c r="H295" s="37" t="n">
        <v>15.201383</v>
      </c>
      <c r="I295" s="37" t="n">
        <v>120.58265</v>
      </c>
      <c r="J295" s="8" t="inlineStr">
        <is>
          <t>U</t>
        </is>
      </c>
      <c r="K295" s="36" t="inlineStr">
        <is>
          <t>Class 1-3 / Urban</t>
        </is>
      </c>
      <c r="L295" s="18" t="n">
        <v>24042</v>
      </c>
      <c r="M295" s="20" t="n">
        <v>4.63</v>
      </c>
      <c r="N295" s="18">
        <f>ROUND(L295/M295, 0)</f>
        <v/>
      </c>
      <c r="O295" s="18">
        <f>ROUND(N295*'Methodology &amp; Assumptions'!$B$8, 0)</f>
        <v/>
      </c>
      <c r="P295" s="8" t="inlineStr">
        <is>
          <t>Band n50 (1.5 GHz, 60 MHz)</t>
        </is>
      </c>
      <c r="Q295" s="38">
        <f>ROUNDUP(O295/'Methodology &amp; Assumptions'!$B$9, 0)</f>
        <v/>
      </c>
      <c r="R295" s="39" t="n">
        <v>1</v>
      </c>
      <c r="S295" s="21" t="n">
        <v>0.05</v>
      </c>
      <c r="T295" s="21" t="n">
        <v>0.16</v>
      </c>
      <c r="U295" s="36" t="inlineStr">
        <is>
          <t>Tier 1A (Direct Coloc, &lt;1 km)</t>
        </is>
      </c>
      <c r="V295" s="20" t="n">
        <v>100</v>
      </c>
      <c r="W295" s="20" t="n">
        <v>100</v>
      </c>
      <c r="X295" s="20" t="n">
        <v>28</v>
      </c>
      <c r="Y295" s="40">
        <f>ROUND((V295*'Methodology &amp; Assumptions'!$B$6)+(W295*'Methodology &amp; Assumptions'!$B$5)+(X295*'Methodology &amp; Assumptions'!$B$7), 2)</f>
        <v/>
      </c>
    </row>
    <row r="296" ht="19" customHeight="1">
      <c r="A296" s="41" t="n">
        <v>292</v>
      </c>
      <c r="B296" s="41" t="n">
        <v>292</v>
      </c>
      <c r="C296" s="42" t="inlineStr">
        <is>
          <t>0402120021</t>
        </is>
      </c>
      <c r="D296" s="42" t="inlineStr">
        <is>
          <t>Region IV-A (CALABARZON)</t>
        </is>
      </c>
      <c r="E296" s="42" t="inlineStr">
        <is>
          <t>Cavite</t>
        </is>
      </c>
      <c r="F296" s="42" t="inlineStr">
        <is>
          <t>Tanza</t>
        </is>
      </c>
      <c r="G296" s="42" t="inlineStr">
        <is>
          <t>Sahud Ulan</t>
        </is>
      </c>
      <c r="H296" s="43" t="n">
        <v>14.37119</v>
      </c>
      <c r="I296" s="43" t="n">
        <v>120.823808</v>
      </c>
      <c r="J296" s="44" t="inlineStr">
        <is>
          <t>U</t>
        </is>
      </c>
      <c r="K296" s="42" t="inlineStr">
        <is>
          <t>Class 1-3 / Urban</t>
        </is>
      </c>
      <c r="L296" s="23" t="n">
        <v>22174</v>
      </c>
      <c r="M296" s="24" t="n">
        <v>4.49</v>
      </c>
      <c r="N296" s="23">
        <f>ROUND(L296/M296, 0)</f>
        <v/>
      </c>
      <c r="O296" s="23">
        <f>ROUND(N296*'Methodology &amp; Assumptions'!$B$8, 0)</f>
        <v/>
      </c>
      <c r="P296" s="44" t="inlineStr">
        <is>
          <t>Band n50 (1.5 GHz, 60 MHz)</t>
        </is>
      </c>
      <c r="Q296" s="38">
        <f>ROUNDUP(O296/'Methodology &amp; Assumptions'!$B$9, 0)</f>
        <v/>
      </c>
      <c r="R296" s="39" t="n">
        <v>1</v>
      </c>
      <c r="S296" s="25" t="n">
        <v>0.17</v>
      </c>
      <c r="T296" s="25" t="n">
        <v>0.09</v>
      </c>
      <c r="U296" s="42" t="inlineStr">
        <is>
          <t>Tier 1A (Direct Coloc, &lt;1 km)</t>
        </is>
      </c>
      <c r="V296" s="24" t="n">
        <v>100</v>
      </c>
      <c r="W296" s="24" t="n">
        <v>100</v>
      </c>
      <c r="X296" s="24" t="n">
        <v>28</v>
      </c>
      <c r="Y296" s="45">
        <f>ROUND((V296*'Methodology &amp; Assumptions'!$B$6)+(W296*'Methodology &amp; Assumptions'!$B$5)+(X296*'Methodology &amp; Assumptions'!$B$7), 2)</f>
        <v/>
      </c>
    </row>
    <row r="297" ht="19" customHeight="1">
      <c r="A297" s="35" t="n">
        <v>293</v>
      </c>
      <c r="B297" s="35" t="n">
        <v>293</v>
      </c>
      <c r="C297" s="36" t="inlineStr">
        <is>
          <t>0306902001</t>
        </is>
      </c>
      <c r="D297" s="36" t="inlineStr">
        <is>
          <t>Region III (Central Luzon)</t>
        </is>
      </c>
      <c r="E297" s="36" t="inlineStr">
        <is>
          <t>Tarlac</t>
        </is>
      </c>
      <c r="F297" s="36" t="inlineStr">
        <is>
          <t>Bamban</t>
        </is>
      </c>
      <c r="G297" s="36" t="inlineStr">
        <is>
          <t>Anupul</t>
        </is>
      </c>
      <c r="H297" s="37" t="n">
        <v>15.283383</v>
      </c>
      <c r="I297" s="37" t="n">
        <v>120.567748</v>
      </c>
      <c r="J297" s="8" t="inlineStr">
        <is>
          <t>U</t>
        </is>
      </c>
      <c r="K297" s="36" t="inlineStr">
        <is>
          <t>Class 1-3 / Urban</t>
        </is>
      </c>
      <c r="L297" s="18" t="n">
        <v>21794</v>
      </c>
      <c r="M297" s="20" t="n">
        <v>4.3</v>
      </c>
      <c r="N297" s="18">
        <f>ROUND(L297/M297, 0)</f>
        <v/>
      </c>
      <c r="O297" s="18">
        <f>ROUND(N297*'Methodology &amp; Assumptions'!$B$8, 0)</f>
        <v/>
      </c>
      <c r="P297" s="8" t="inlineStr">
        <is>
          <t>Band n50 (1.5 GHz, 60 MHz)</t>
        </is>
      </c>
      <c r="Q297" s="38">
        <f>ROUNDUP(O297/'Methodology &amp; Assumptions'!$B$9, 0)</f>
        <v/>
      </c>
      <c r="R297" s="39" t="n">
        <v>1</v>
      </c>
      <c r="S297" s="21" t="n">
        <v>0.09</v>
      </c>
      <c r="T297" s="21" t="n">
        <v>0.04</v>
      </c>
      <c r="U297" s="36" t="inlineStr">
        <is>
          <t>Tier 1A (Direct Coloc, &lt;1 km)</t>
        </is>
      </c>
      <c r="V297" s="20" t="n">
        <v>100</v>
      </c>
      <c r="W297" s="20" t="n">
        <v>100</v>
      </c>
      <c r="X297" s="20" t="n">
        <v>28</v>
      </c>
      <c r="Y297" s="40">
        <f>ROUND((V297*'Methodology &amp; Assumptions'!$B$6)+(W297*'Methodology &amp; Assumptions'!$B$5)+(X297*'Methodology &amp; Assumptions'!$B$7), 2)</f>
        <v/>
      </c>
    </row>
    <row r="298" ht="19" customHeight="1">
      <c r="A298" s="41" t="n">
        <v>294</v>
      </c>
      <c r="B298" s="41" t="n">
        <v>294</v>
      </c>
      <c r="C298" s="42" t="inlineStr">
        <is>
          <t>1600312006</t>
        </is>
      </c>
      <c r="D298" s="42" t="inlineStr">
        <is>
          <t>Region XIII (Caraga)</t>
        </is>
      </c>
      <c r="E298" s="42" t="inlineStr">
        <is>
          <t>Agusan del Sur</t>
        </is>
      </c>
      <c r="F298" s="42" t="inlineStr">
        <is>
          <t>Trento</t>
        </is>
      </c>
      <c r="G298" s="42" t="inlineStr">
        <is>
          <t>Poblacion</t>
        </is>
      </c>
      <c r="H298" s="43" t="n">
        <v>8.044624000000001</v>
      </c>
      <c r="I298" s="43" t="n">
        <v>126.064</v>
      </c>
      <c r="J298" s="44" t="inlineStr">
        <is>
          <t>U</t>
        </is>
      </c>
      <c r="K298" s="42" t="inlineStr">
        <is>
          <t>Class 1-3 / Urban</t>
        </is>
      </c>
      <c r="L298" s="23" t="n">
        <v>18923</v>
      </c>
      <c r="M298" s="24" t="n">
        <v>4.1</v>
      </c>
      <c r="N298" s="23">
        <f>ROUND(L298/M298, 0)</f>
        <v/>
      </c>
      <c r="O298" s="23">
        <f>ROUND(N298*'Methodology &amp; Assumptions'!$B$8, 0)</f>
        <v/>
      </c>
      <c r="P298" s="44" t="inlineStr">
        <is>
          <t>Band n50 (1.5 GHz, 60 MHz)</t>
        </is>
      </c>
      <c r="Q298" s="38">
        <f>ROUNDUP(O298/'Methodology &amp; Assumptions'!$B$9, 0)</f>
        <v/>
      </c>
      <c r="R298" s="39" t="n">
        <v>1</v>
      </c>
      <c r="S298" s="25" t="n">
        <v>0.14</v>
      </c>
      <c r="T298" s="25" t="n">
        <v>0.12</v>
      </c>
      <c r="U298" s="42" t="inlineStr">
        <is>
          <t>Tier 1A (Direct Coloc, &lt;1 km)</t>
        </is>
      </c>
      <c r="V298" s="24" t="n">
        <v>100</v>
      </c>
      <c r="W298" s="24" t="n">
        <v>100</v>
      </c>
      <c r="X298" s="24" t="n">
        <v>28</v>
      </c>
      <c r="Y298" s="45">
        <f>ROUND((V298*'Methodology &amp; Assumptions'!$B$6)+(W298*'Methodology &amp; Assumptions'!$B$5)+(X298*'Methodology &amp; Assumptions'!$B$7), 2)</f>
        <v/>
      </c>
    </row>
    <row r="299" ht="19" customHeight="1">
      <c r="A299" s="35" t="n">
        <v>295</v>
      </c>
      <c r="B299" s="35" t="n">
        <v>295</v>
      </c>
      <c r="C299" s="36" t="inlineStr">
        <is>
          <t>0731300003</t>
        </is>
      </c>
      <c r="D299" s="36" t="inlineStr">
        <is>
          <t>Region VII (Central Visayas)</t>
        </is>
      </c>
      <c r="E299" s="36" t="inlineStr">
        <is>
          <t>Cebu</t>
        </is>
      </c>
      <c r="F299" s="36" t="inlineStr">
        <is>
          <t>City of Mandaue</t>
        </is>
      </c>
      <c r="G299" s="36" t="inlineStr">
        <is>
          <t>Banilad</t>
        </is>
      </c>
      <c r="H299" s="37" t="n">
        <v>10.339526</v>
      </c>
      <c r="I299" s="37" t="n">
        <v>123.922587</v>
      </c>
      <c r="J299" s="8" t="inlineStr">
        <is>
          <t>U</t>
        </is>
      </c>
      <c r="K299" s="36" t="inlineStr">
        <is>
          <t>Class 1-3 / Urban</t>
        </is>
      </c>
      <c r="L299" s="18" t="n">
        <v>18386</v>
      </c>
      <c r="M299" s="20" t="n">
        <v>4.42</v>
      </c>
      <c r="N299" s="18">
        <f>ROUND(L299/M299, 0)</f>
        <v/>
      </c>
      <c r="O299" s="18">
        <f>ROUND(N299*'Methodology &amp; Assumptions'!$B$8, 0)</f>
        <v/>
      </c>
      <c r="P299" s="8" t="inlineStr">
        <is>
          <t>Band n50 (1.5 GHz, 60 MHz)</t>
        </is>
      </c>
      <c r="Q299" s="38">
        <f>ROUNDUP(O299/'Methodology &amp; Assumptions'!$B$9, 0)</f>
        <v/>
      </c>
      <c r="R299" s="39" t="n">
        <v>1</v>
      </c>
      <c r="S299" s="21" t="n">
        <v>0.13</v>
      </c>
      <c r="T299" s="21" t="n">
        <v>0.24</v>
      </c>
      <c r="U299" s="36" t="inlineStr">
        <is>
          <t>Tier 1A (Direct Coloc, &lt;1 km)</t>
        </is>
      </c>
      <c r="V299" s="20" t="n">
        <v>100</v>
      </c>
      <c r="W299" s="20" t="n">
        <v>100</v>
      </c>
      <c r="X299" s="20" t="n">
        <v>28</v>
      </c>
      <c r="Y299" s="40">
        <f>ROUND((V299*'Methodology &amp; Assumptions'!$B$6)+(W299*'Methodology &amp; Assumptions'!$B$5)+(X299*'Methodology &amp; Assumptions'!$B$7), 2)</f>
        <v/>
      </c>
    </row>
    <row r="300" ht="19" customHeight="1">
      <c r="A300" s="41" t="n">
        <v>296</v>
      </c>
      <c r="B300" s="41" t="n">
        <v>296</v>
      </c>
      <c r="C300" s="42" t="inlineStr">
        <is>
          <t>0405804026</t>
        </is>
      </c>
      <c r="D300" s="42" t="inlineStr">
        <is>
          <t>Region IV-A (CALABARZON)</t>
        </is>
      </c>
      <c r="E300" s="42" t="inlineStr">
        <is>
          <t>Rizal</t>
        </is>
      </c>
      <c r="F300" s="42" t="inlineStr">
        <is>
          <t>Binangonan</t>
        </is>
      </c>
      <c r="G300" s="42" t="inlineStr">
        <is>
          <t>Palangoy</t>
        </is>
      </c>
      <c r="H300" s="43" t="n">
        <v>14.493807</v>
      </c>
      <c r="I300" s="43" t="n">
        <v>121.177188</v>
      </c>
      <c r="J300" s="44" t="inlineStr">
        <is>
          <t>U</t>
        </is>
      </c>
      <c r="K300" s="42" t="inlineStr">
        <is>
          <t>Class 1-3 / Urban</t>
        </is>
      </c>
      <c r="L300" s="23" t="n">
        <v>17865</v>
      </c>
      <c r="M300" s="24" t="n">
        <v>4.39</v>
      </c>
      <c r="N300" s="23">
        <f>ROUND(L300/M300, 0)</f>
        <v/>
      </c>
      <c r="O300" s="23">
        <f>ROUND(N300*'Methodology &amp; Assumptions'!$B$8, 0)</f>
        <v/>
      </c>
      <c r="P300" s="44" t="inlineStr">
        <is>
          <t>Band n50 (1.5 GHz, 60 MHz)</t>
        </is>
      </c>
      <c r="Q300" s="38">
        <f>ROUNDUP(O300/'Methodology &amp; Assumptions'!$B$9, 0)</f>
        <v/>
      </c>
      <c r="R300" s="39" t="n">
        <v>1</v>
      </c>
      <c r="S300" s="25" t="n">
        <v>0.22</v>
      </c>
      <c r="T300" s="25" t="n">
        <v>0.18</v>
      </c>
      <c r="U300" s="42" t="inlineStr">
        <is>
          <t>Tier 1A (Direct Coloc, &lt;1 km)</t>
        </is>
      </c>
      <c r="V300" s="24" t="n">
        <v>100</v>
      </c>
      <c r="W300" s="24" t="n">
        <v>100</v>
      </c>
      <c r="X300" s="24" t="n">
        <v>28</v>
      </c>
      <c r="Y300" s="45">
        <f>ROUND((V300*'Methodology &amp; Assumptions'!$B$6)+(W300*'Methodology &amp; Assumptions'!$B$5)+(X300*'Methodology &amp; Assumptions'!$B$7), 2)</f>
        <v/>
      </c>
    </row>
    <row r="301" ht="19" customHeight="1">
      <c r="A301" s="35" t="n">
        <v>297</v>
      </c>
      <c r="B301" s="35" t="n">
        <v>297</v>
      </c>
      <c r="C301" s="36" t="inlineStr">
        <is>
          <t>0702250014</t>
        </is>
      </c>
      <c r="D301" s="36" t="inlineStr">
        <is>
          <t>Region VII (Central Visayas)</t>
        </is>
      </c>
      <c r="E301" s="36" t="inlineStr">
        <is>
          <t>Cebu</t>
        </is>
      </c>
      <c r="F301" s="36" t="inlineStr">
        <is>
          <t>City of Talisay</t>
        </is>
      </c>
      <c r="G301" s="36" t="inlineStr">
        <is>
          <t>San Isidro</t>
        </is>
      </c>
      <c r="H301" s="37" t="n">
        <v>10.25963</v>
      </c>
      <c r="I301" s="37" t="n">
        <v>123.840451</v>
      </c>
      <c r="J301" s="8" t="inlineStr">
        <is>
          <t>U</t>
        </is>
      </c>
      <c r="K301" s="36" t="inlineStr">
        <is>
          <t>Class 1-3 / Urban</t>
        </is>
      </c>
      <c r="L301" s="18" t="n">
        <v>17645</v>
      </c>
      <c r="M301" s="20" t="n">
        <v>4.42</v>
      </c>
      <c r="N301" s="18">
        <f>ROUND(L301/M301, 0)</f>
        <v/>
      </c>
      <c r="O301" s="18">
        <f>ROUND(N301*'Methodology &amp; Assumptions'!$B$8, 0)</f>
        <v/>
      </c>
      <c r="P301" s="8" t="inlineStr">
        <is>
          <t>Band n50 (1.5 GHz, 60 MHz)</t>
        </is>
      </c>
      <c r="Q301" s="38">
        <f>ROUNDUP(O301/'Methodology &amp; Assumptions'!$B$9, 0)</f>
        <v/>
      </c>
      <c r="R301" s="39" t="n">
        <v>1</v>
      </c>
      <c r="S301" s="21" t="n">
        <v>0.25</v>
      </c>
      <c r="T301" s="21" t="n">
        <v>0.25</v>
      </c>
      <c r="U301" s="36" t="inlineStr">
        <is>
          <t>Tier 1A (Direct Coloc, &lt;1 km)</t>
        </is>
      </c>
      <c r="V301" s="20" t="n">
        <v>100</v>
      </c>
      <c r="W301" s="20" t="n">
        <v>100</v>
      </c>
      <c r="X301" s="20" t="n">
        <v>28</v>
      </c>
      <c r="Y301" s="40">
        <f>ROUND((V301*'Methodology &amp; Assumptions'!$B$6)+(W301*'Methodology &amp; Assumptions'!$B$5)+(X301*'Methodology &amp; Assumptions'!$B$7), 2)</f>
        <v/>
      </c>
    </row>
    <row r="302" ht="19" customHeight="1">
      <c r="A302" s="41" t="n">
        <v>298</v>
      </c>
      <c r="B302" s="41" t="n">
        <v>298</v>
      </c>
      <c r="C302" s="42" t="inlineStr">
        <is>
          <t>1102507028</t>
        </is>
      </c>
      <c r="D302" s="42" t="inlineStr">
        <is>
          <t>Region XI (Davao Region)</t>
        </is>
      </c>
      <c r="E302" s="42" t="inlineStr">
        <is>
          <t>Davao Oriental</t>
        </is>
      </c>
      <c r="F302" s="42" t="inlineStr">
        <is>
          <t>Lupon</t>
        </is>
      </c>
      <c r="G302" s="42" t="inlineStr">
        <is>
          <t>Poblacion</t>
        </is>
      </c>
      <c r="H302" s="43" t="n">
        <v>6.89629</v>
      </c>
      <c r="I302" s="43" t="n">
        <v>126.00957</v>
      </c>
      <c r="J302" s="44" t="inlineStr">
        <is>
          <t>U</t>
        </is>
      </c>
      <c r="K302" s="42" t="inlineStr">
        <is>
          <t>Class 1-3 / Urban</t>
        </is>
      </c>
      <c r="L302" s="23" t="n">
        <v>17362</v>
      </c>
      <c r="M302" s="24" t="n">
        <v>4.1</v>
      </c>
      <c r="N302" s="23">
        <f>ROUND(L302/M302, 0)</f>
        <v/>
      </c>
      <c r="O302" s="23">
        <f>ROUND(N302*'Methodology &amp; Assumptions'!$B$8, 0)</f>
        <v/>
      </c>
      <c r="P302" s="44" t="inlineStr">
        <is>
          <t>Band n50 (1.5 GHz, 60 MHz)</t>
        </is>
      </c>
      <c r="Q302" s="38">
        <f>ROUNDUP(O302/'Methodology &amp; Assumptions'!$B$9, 0)</f>
        <v/>
      </c>
      <c r="R302" s="39" t="n">
        <v>1</v>
      </c>
      <c r="S302" s="25" t="n">
        <v>0.28</v>
      </c>
      <c r="T302" s="25" t="n">
        <v>0.14</v>
      </c>
      <c r="U302" s="42" t="inlineStr">
        <is>
          <t>Tier 1A (Direct Coloc, &lt;1 km)</t>
        </is>
      </c>
      <c r="V302" s="24" t="n">
        <v>100</v>
      </c>
      <c r="W302" s="24" t="n">
        <v>100</v>
      </c>
      <c r="X302" s="24" t="n">
        <v>28</v>
      </c>
      <c r="Y302" s="45">
        <f>ROUND((V302*'Methodology &amp; Assumptions'!$B$6)+(W302*'Methodology &amp; Assumptions'!$B$5)+(X302*'Methodology &amp; Assumptions'!$B$7), 2)</f>
        <v/>
      </c>
    </row>
    <row r="303" ht="19" customHeight="1">
      <c r="A303" s="35" t="n">
        <v>299</v>
      </c>
      <c r="B303" s="35" t="n">
        <v>299</v>
      </c>
      <c r="C303" s="36" t="inlineStr">
        <is>
          <t>0405804027</t>
        </is>
      </c>
      <c r="D303" s="36" t="inlineStr">
        <is>
          <t>Region IV-A (CALABARZON)</t>
        </is>
      </c>
      <c r="E303" s="36" t="inlineStr">
        <is>
          <t>Rizal</t>
        </is>
      </c>
      <c r="F303" s="36" t="inlineStr">
        <is>
          <t>Binangonan</t>
        </is>
      </c>
      <c r="G303" s="36" t="inlineStr">
        <is>
          <t>Pantok</t>
        </is>
      </c>
      <c r="H303" s="37" t="n">
        <v>14.49415</v>
      </c>
      <c r="I303" s="37" t="n">
        <v>121.1805</v>
      </c>
      <c r="J303" s="8" t="inlineStr">
        <is>
          <t>U</t>
        </is>
      </c>
      <c r="K303" s="36" t="inlineStr">
        <is>
          <t>Class 1-3 / Urban</t>
        </is>
      </c>
      <c r="L303" s="18" t="n">
        <v>16800</v>
      </c>
      <c r="M303" s="20" t="n">
        <v>4.39</v>
      </c>
      <c r="N303" s="18">
        <f>ROUND(L303/M303, 0)</f>
        <v/>
      </c>
      <c r="O303" s="18">
        <f>ROUND(N303*'Methodology &amp; Assumptions'!$B$8, 0)</f>
        <v/>
      </c>
      <c r="P303" s="8" t="inlineStr">
        <is>
          <t>Band n50 (1.5 GHz, 60 MHz)</t>
        </is>
      </c>
      <c r="Q303" s="38">
        <f>ROUNDUP(O303/'Methodology &amp; Assumptions'!$B$9, 0)</f>
        <v/>
      </c>
      <c r="R303" s="39" t="n">
        <v>1</v>
      </c>
      <c r="S303" s="21" t="n">
        <v>0.14</v>
      </c>
      <c r="T303" s="21" t="n">
        <v>0.08</v>
      </c>
      <c r="U303" s="36" t="inlineStr">
        <is>
          <t>Tier 1A (Direct Coloc, &lt;1 km)</t>
        </is>
      </c>
      <c r="V303" s="20" t="n">
        <v>100</v>
      </c>
      <c r="W303" s="20" t="n">
        <v>100</v>
      </c>
      <c r="X303" s="20" t="n">
        <v>28</v>
      </c>
      <c r="Y303" s="40">
        <f>ROUND((V303*'Methodology &amp; Assumptions'!$B$6)+(W303*'Methodology &amp; Assumptions'!$B$5)+(X303*'Methodology &amp; Assumptions'!$B$7), 2)</f>
        <v/>
      </c>
    </row>
    <row r="304" ht="19" customHeight="1">
      <c r="A304" s="41" t="n">
        <v>300</v>
      </c>
      <c r="B304" s="41" t="n">
        <v>300</v>
      </c>
      <c r="C304" s="42" t="inlineStr">
        <is>
          <t>0300807013</t>
        </is>
      </c>
      <c r="D304" s="42" t="inlineStr">
        <is>
          <t>Region III (Central Luzon)</t>
        </is>
      </c>
      <c r="E304" s="42" t="inlineStr">
        <is>
          <t>Bataan</t>
        </is>
      </c>
      <c r="F304" s="42" t="inlineStr">
        <is>
          <t>Mariveles</t>
        </is>
      </c>
      <c r="G304" s="42" t="inlineStr">
        <is>
          <t>Balon-Anito</t>
        </is>
      </c>
      <c r="H304" s="43" t="n">
        <v>14.436412</v>
      </c>
      <c r="I304" s="43" t="n">
        <v>120.472254</v>
      </c>
      <c r="J304" s="44" t="inlineStr">
        <is>
          <t>U</t>
        </is>
      </c>
      <c r="K304" s="42" t="inlineStr">
        <is>
          <t>Class 1-3 / Urban</t>
        </is>
      </c>
      <c r="L304" s="23" t="n">
        <v>15820</v>
      </c>
      <c r="M304" s="24" t="n">
        <v>4.57</v>
      </c>
      <c r="N304" s="23">
        <f>ROUND(L304/M304, 0)</f>
        <v/>
      </c>
      <c r="O304" s="23">
        <f>ROUND(N304*'Methodology &amp; Assumptions'!$B$8, 0)</f>
        <v/>
      </c>
      <c r="P304" s="44" t="inlineStr">
        <is>
          <t>Band n50 (1.5 GHz, 60 MHz)</t>
        </is>
      </c>
      <c r="Q304" s="38">
        <f>ROUNDUP(O304/'Methodology &amp; Assumptions'!$B$9, 0)</f>
        <v/>
      </c>
      <c r="R304" s="39" t="n">
        <v>1</v>
      </c>
      <c r="S304" s="25" t="n">
        <v>0.29</v>
      </c>
      <c r="T304" s="25" t="n">
        <v>0.02</v>
      </c>
      <c r="U304" s="42" t="inlineStr">
        <is>
          <t>Tier 1A (Direct Coloc, &lt;1 km)</t>
        </is>
      </c>
      <c r="V304" s="24" t="n">
        <v>100</v>
      </c>
      <c r="W304" s="24" t="n">
        <v>100</v>
      </c>
      <c r="X304" s="24" t="n">
        <v>28</v>
      </c>
      <c r="Y304" s="45">
        <f>ROUND((V304*'Methodology &amp; Assumptions'!$B$6)+(W304*'Methodology &amp; Assumptions'!$B$5)+(X304*'Methodology &amp; Assumptions'!$B$7), 2)</f>
        <v/>
      </c>
    </row>
    <row r="305" ht="19" customHeight="1">
      <c r="A305" s="35" t="n">
        <v>301</v>
      </c>
      <c r="B305" s="35" t="n">
        <v>301</v>
      </c>
      <c r="C305" s="36" t="inlineStr">
        <is>
          <t>0305416037</t>
        </is>
      </c>
      <c r="D305" s="36" t="inlineStr">
        <is>
          <t>Region III (Central Luzon)</t>
        </is>
      </c>
      <c r="E305" s="36" t="inlineStr">
        <is>
          <t>Pampanga</t>
        </is>
      </c>
      <c r="F305" s="36" t="inlineStr">
        <is>
          <t>City of San Fernando</t>
        </is>
      </c>
      <c r="G305" s="36" t="inlineStr">
        <is>
          <t>Telabastagan</t>
        </is>
      </c>
      <c r="H305" s="37" t="n">
        <v>15.113707</v>
      </c>
      <c r="I305" s="37" t="n">
        <v>120.60828</v>
      </c>
      <c r="J305" s="8" t="inlineStr">
        <is>
          <t>U</t>
        </is>
      </c>
      <c r="K305" s="36" t="inlineStr">
        <is>
          <t>Class 1-3 / Urban</t>
        </is>
      </c>
      <c r="L305" s="18" t="n">
        <v>15618</v>
      </c>
      <c r="M305" s="20" t="n">
        <v>4.63</v>
      </c>
      <c r="N305" s="18">
        <f>ROUND(L305/M305, 0)</f>
        <v/>
      </c>
      <c r="O305" s="18">
        <f>ROUND(N305*'Methodology &amp; Assumptions'!$B$8, 0)</f>
        <v/>
      </c>
      <c r="P305" s="8" t="inlineStr">
        <is>
          <t>Band n50 (1.5 GHz, 60 MHz)</t>
        </is>
      </c>
      <c r="Q305" s="38">
        <f>ROUNDUP(O305/'Methodology &amp; Assumptions'!$B$9, 0)</f>
        <v/>
      </c>
      <c r="R305" s="39" t="n">
        <v>1</v>
      </c>
      <c r="S305" s="21" t="n">
        <v>0.15</v>
      </c>
      <c r="T305" s="21" t="n">
        <v>0.11</v>
      </c>
      <c r="U305" s="36" t="inlineStr">
        <is>
          <t>Tier 1A (Direct Coloc, &lt;1 km)</t>
        </is>
      </c>
      <c r="V305" s="20" t="n">
        <v>100</v>
      </c>
      <c r="W305" s="20" t="n">
        <v>100</v>
      </c>
      <c r="X305" s="20" t="n">
        <v>28</v>
      </c>
      <c r="Y305" s="40">
        <f>ROUND((V305*'Methodology &amp; Assumptions'!$B$6)+(W305*'Methodology &amp; Assumptions'!$B$5)+(X305*'Methodology &amp; Assumptions'!$B$7), 2)</f>
        <v/>
      </c>
    </row>
    <row r="306" ht="19" customHeight="1">
      <c r="A306" s="41" t="n">
        <v>302</v>
      </c>
      <c r="B306" s="41" t="n">
        <v>302</v>
      </c>
      <c r="C306" s="42" t="inlineStr">
        <is>
          <t>1130700069</t>
        </is>
      </c>
      <c r="D306" s="42" t="inlineStr">
        <is>
          <t>Region XI (Davao Region)</t>
        </is>
      </c>
      <c r="E306" s="42" t="inlineStr">
        <is>
          <t>Davao del Sur</t>
        </is>
      </c>
      <c r="F306" s="42" t="inlineStr">
        <is>
          <t>City of Davao</t>
        </is>
      </c>
      <c r="G306" s="42" t="inlineStr">
        <is>
          <t>Mandug</t>
        </is>
      </c>
      <c r="H306" s="43" t="n">
        <v>7.16532</v>
      </c>
      <c r="I306" s="43" t="n">
        <v>125.57688</v>
      </c>
      <c r="J306" s="44" t="inlineStr">
        <is>
          <t>U</t>
        </is>
      </c>
      <c r="K306" s="42" t="inlineStr">
        <is>
          <t>Class 1-3 / Urban</t>
        </is>
      </c>
      <c r="L306" s="23" t="n">
        <v>15296</v>
      </c>
      <c r="M306" s="24" t="n">
        <v>4.1</v>
      </c>
      <c r="N306" s="23">
        <f>ROUND(L306/M306, 0)</f>
        <v/>
      </c>
      <c r="O306" s="23">
        <f>ROUND(N306*'Methodology &amp; Assumptions'!$B$8, 0)</f>
        <v/>
      </c>
      <c r="P306" s="44" t="inlineStr">
        <is>
          <t>Band n50 (1.5 GHz, 60 MHz)</t>
        </is>
      </c>
      <c r="Q306" s="38">
        <f>ROUNDUP(O306/'Methodology &amp; Assumptions'!$B$9, 0)</f>
        <v/>
      </c>
      <c r="R306" s="39" t="n">
        <v>1</v>
      </c>
      <c r="S306" s="25" t="n">
        <v>0.17</v>
      </c>
      <c r="T306" s="25" t="n">
        <v>1.87</v>
      </c>
      <c r="U306" s="42" t="inlineStr">
        <is>
          <t>Tier 1A (Direct Coloc, &lt;1 km)</t>
        </is>
      </c>
      <c r="V306" s="24" t="n">
        <v>100</v>
      </c>
      <c r="W306" s="24" t="n">
        <v>100</v>
      </c>
      <c r="X306" s="24" t="n">
        <v>28</v>
      </c>
      <c r="Y306" s="45">
        <f>ROUND((V306*'Methodology &amp; Assumptions'!$B$6)+(W306*'Methodology &amp; Assumptions'!$B$5)+(X306*'Methodology &amp; Assumptions'!$B$7), 2)</f>
        <v/>
      </c>
    </row>
    <row r="307" ht="19" customHeight="1">
      <c r="A307" s="35" t="n">
        <v>303</v>
      </c>
      <c r="B307" s="35" t="n">
        <v>303</v>
      </c>
      <c r="C307" s="36" t="inlineStr">
        <is>
          <t>0403424047</t>
        </is>
      </c>
      <c r="D307" s="36" t="inlineStr">
        <is>
          <t>Region IV-A (CALABARZON)</t>
        </is>
      </c>
      <c r="E307" s="36" t="inlineStr">
        <is>
          <t>Laguna</t>
        </is>
      </c>
      <c r="F307" s="36" t="inlineStr">
        <is>
          <t>City of San Pablo</t>
        </is>
      </c>
      <c r="G307" s="36" t="inlineStr">
        <is>
          <t>San Francisco</t>
        </is>
      </c>
      <c r="H307" s="37" t="n">
        <v>14.05805</v>
      </c>
      <c r="I307" s="37" t="n">
        <v>121.329507</v>
      </c>
      <c r="J307" s="8" t="inlineStr">
        <is>
          <t>U</t>
        </is>
      </c>
      <c r="K307" s="36" t="inlineStr">
        <is>
          <t>Class 1-3 / Urban</t>
        </is>
      </c>
      <c r="L307" s="18" t="n">
        <v>14916</v>
      </c>
      <c r="M307" s="20" t="n">
        <v>4.2</v>
      </c>
      <c r="N307" s="18">
        <f>ROUND(L307/M307, 0)</f>
        <v/>
      </c>
      <c r="O307" s="18">
        <f>ROUND(N307*'Methodology &amp; Assumptions'!$B$8, 0)</f>
        <v/>
      </c>
      <c r="P307" s="8" t="inlineStr">
        <is>
          <t>Band n50 (1.5 GHz, 60 MHz)</t>
        </is>
      </c>
      <c r="Q307" s="38">
        <f>ROUNDUP(O307/'Methodology &amp; Assumptions'!$B$9, 0)</f>
        <v/>
      </c>
      <c r="R307" s="39" t="n">
        <v>1</v>
      </c>
      <c r="S307" s="21" t="n">
        <v>0.14</v>
      </c>
      <c r="T307" s="21" t="n">
        <v>0.1</v>
      </c>
      <c r="U307" s="36" t="inlineStr">
        <is>
          <t>Tier 1A (Direct Coloc, &lt;1 km)</t>
        </is>
      </c>
      <c r="V307" s="20" t="n">
        <v>100</v>
      </c>
      <c r="W307" s="20" t="n">
        <v>100</v>
      </c>
      <c r="X307" s="20" t="n">
        <v>28</v>
      </c>
      <c r="Y307" s="40">
        <f>ROUND((V307*'Methodology &amp; Assumptions'!$B$6)+(W307*'Methodology &amp; Assumptions'!$B$5)+(X307*'Methodology &amp; Assumptions'!$B$7), 2)</f>
        <v/>
      </c>
    </row>
    <row r="308" ht="19" customHeight="1">
      <c r="A308" s="41" t="n">
        <v>304</v>
      </c>
      <c r="B308" s="41" t="n">
        <v>304</v>
      </c>
      <c r="C308" s="42" t="inlineStr">
        <is>
          <t>0702227005</t>
        </is>
      </c>
      <c r="D308" s="42" t="inlineStr">
        <is>
          <t>Region VII (Central Visayas)</t>
        </is>
      </c>
      <c r="E308" s="42" t="inlineStr">
        <is>
          <t>Cebu</t>
        </is>
      </c>
      <c r="F308" s="42" t="inlineStr">
        <is>
          <t>Liloan</t>
        </is>
      </c>
      <c r="G308" s="42" t="inlineStr">
        <is>
          <t>Jubay</t>
        </is>
      </c>
      <c r="H308" s="43" t="n">
        <v>10.415259</v>
      </c>
      <c r="I308" s="43" t="n">
        <v>123.997221</v>
      </c>
      <c r="J308" s="44" t="inlineStr">
        <is>
          <t>U</t>
        </is>
      </c>
      <c r="K308" s="42" t="inlineStr">
        <is>
          <t>Class 1-3 / Urban</t>
        </is>
      </c>
      <c r="L308" s="23" t="n">
        <v>14904</v>
      </c>
      <c r="M308" s="24" t="n">
        <v>4.42</v>
      </c>
      <c r="N308" s="23">
        <f>ROUND(L308/M308, 0)</f>
        <v/>
      </c>
      <c r="O308" s="23">
        <f>ROUND(N308*'Methodology &amp; Assumptions'!$B$8, 0)</f>
        <v/>
      </c>
      <c r="P308" s="44" t="inlineStr">
        <is>
          <t>Band n50 (1.5 GHz, 60 MHz)</t>
        </is>
      </c>
      <c r="Q308" s="38">
        <f>ROUNDUP(O308/'Methodology &amp; Assumptions'!$B$9, 0)</f>
        <v/>
      </c>
      <c r="R308" s="39" t="n">
        <v>1</v>
      </c>
      <c r="S308" s="25" t="n">
        <v>0.1</v>
      </c>
      <c r="T308" s="25" t="n">
        <v>0.1</v>
      </c>
      <c r="U308" s="42" t="inlineStr">
        <is>
          <t>Tier 1A (Direct Coloc, &lt;1 km)</t>
        </is>
      </c>
      <c r="V308" s="24" t="n">
        <v>100</v>
      </c>
      <c r="W308" s="24" t="n">
        <v>100</v>
      </c>
      <c r="X308" s="24" t="n">
        <v>28</v>
      </c>
      <c r="Y308" s="45">
        <f>ROUND((V308*'Methodology &amp; Assumptions'!$B$6)+(W308*'Methodology &amp; Assumptions'!$B$5)+(X308*'Methodology &amp; Assumptions'!$B$7), 2)</f>
        <v/>
      </c>
    </row>
    <row r="309" ht="19" customHeight="1">
      <c r="A309" s="35" t="n">
        <v>305</v>
      </c>
      <c r="B309" s="35" t="n">
        <v>305</v>
      </c>
      <c r="C309" s="36" t="inlineStr">
        <is>
          <t>1600307001</t>
        </is>
      </c>
      <c r="D309" s="36" t="inlineStr">
        <is>
          <t>Region XIII (Caraga)</t>
        </is>
      </c>
      <c r="E309" s="36" t="inlineStr">
        <is>
          <t>Agusan del Sur</t>
        </is>
      </c>
      <c r="F309" s="36" t="inlineStr">
        <is>
          <t>Rosario</t>
        </is>
      </c>
      <c r="G309" s="36" t="inlineStr">
        <is>
          <t>Bayugan 3</t>
        </is>
      </c>
      <c r="H309" s="37" t="n">
        <v>8.300916000000001</v>
      </c>
      <c r="I309" s="37" t="n">
        <v>126.004821</v>
      </c>
      <c r="J309" s="8" t="inlineStr">
        <is>
          <t>U</t>
        </is>
      </c>
      <c r="K309" s="36" t="inlineStr">
        <is>
          <t>Class 1-3 / Urban</t>
        </is>
      </c>
      <c r="L309" s="18" t="n">
        <v>14848</v>
      </c>
      <c r="M309" s="20" t="n">
        <v>4.1</v>
      </c>
      <c r="N309" s="18">
        <f>ROUND(L309/M309, 0)</f>
        <v/>
      </c>
      <c r="O309" s="18">
        <f>ROUND(N309*'Methodology &amp; Assumptions'!$B$8, 0)</f>
        <v/>
      </c>
      <c r="P309" s="8" t="inlineStr">
        <is>
          <t>Band n50 (1.5 GHz, 60 MHz)</t>
        </is>
      </c>
      <c r="Q309" s="38">
        <f>ROUNDUP(O309/'Methodology &amp; Assumptions'!$B$9, 0)</f>
        <v/>
      </c>
      <c r="R309" s="39" t="n">
        <v>1</v>
      </c>
      <c r="S309" s="21" t="n">
        <v>0.15</v>
      </c>
      <c r="T309" s="21" t="n">
        <v>0.16</v>
      </c>
      <c r="U309" s="36" t="inlineStr">
        <is>
          <t>Tier 1A (Direct Coloc, &lt;1 km)</t>
        </is>
      </c>
      <c r="V309" s="20" t="n">
        <v>100</v>
      </c>
      <c r="W309" s="20" t="n">
        <v>100</v>
      </c>
      <c r="X309" s="20" t="n">
        <v>28</v>
      </c>
      <c r="Y309" s="40">
        <f>ROUND((V309*'Methodology &amp; Assumptions'!$B$6)+(W309*'Methodology &amp; Assumptions'!$B$5)+(X309*'Methodology &amp; Assumptions'!$B$7), 2)</f>
        <v/>
      </c>
    </row>
    <row r="310" ht="19" customHeight="1">
      <c r="A310" s="41" t="n">
        <v>306</v>
      </c>
      <c r="B310" s="41" t="n">
        <v>306</v>
      </c>
      <c r="C310" s="42" t="inlineStr">
        <is>
          <t>0301404013</t>
        </is>
      </c>
      <c r="D310" s="42" t="inlineStr">
        <is>
          <t>Region III (Central Luzon)</t>
        </is>
      </c>
      <c r="E310" s="42" t="inlineStr">
        <is>
          <t>Bulacan</t>
        </is>
      </c>
      <c r="F310" s="42" t="inlineStr">
        <is>
          <t>Bocaue</t>
        </is>
      </c>
      <c r="G310" s="42" t="inlineStr">
        <is>
          <t>Lolomboy</t>
        </is>
      </c>
      <c r="H310" s="43" t="n">
        <v>14.781039</v>
      </c>
      <c r="I310" s="43" t="n">
        <v>120.93335</v>
      </c>
      <c r="J310" s="44" t="inlineStr">
        <is>
          <t>U</t>
        </is>
      </c>
      <c r="K310" s="42" t="inlineStr">
        <is>
          <t>Class 1-3 / Urban</t>
        </is>
      </c>
      <c r="L310" s="23" t="n">
        <v>14437</v>
      </c>
      <c r="M310" s="24" t="n">
        <v>4.1</v>
      </c>
      <c r="N310" s="23">
        <f>ROUND(L310/M310, 0)</f>
        <v/>
      </c>
      <c r="O310" s="23">
        <f>ROUND(N310*'Methodology &amp; Assumptions'!$B$8, 0)</f>
        <v/>
      </c>
      <c r="P310" s="44" t="inlineStr">
        <is>
          <t>Band n50 (1.5 GHz, 60 MHz)</t>
        </is>
      </c>
      <c r="Q310" s="38">
        <f>ROUNDUP(O310/'Methodology &amp; Assumptions'!$B$9, 0)</f>
        <v/>
      </c>
      <c r="R310" s="39" t="n">
        <v>1</v>
      </c>
      <c r="S310" s="25" t="n">
        <v>0.3</v>
      </c>
      <c r="T310" s="25" t="n">
        <v>0.18</v>
      </c>
      <c r="U310" s="42" t="inlineStr">
        <is>
          <t>Tier 1A (Direct Coloc, &lt;1 km)</t>
        </is>
      </c>
      <c r="V310" s="24" t="n">
        <v>100</v>
      </c>
      <c r="W310" s="24" t="n">
        <v>100</v>
      </c>
      <c r="X310" s="24" t="n">
        <v>28</v>
      </c>
      <c r="Y310" s="45">
        <f>ROUND((V310*'Methodology &amp; Assumptions'!$B$6)+(W310*'Methodology &amp; Assumptions'!$B$5)+(X310*'Methodology &amp; Assumptions'!$B$7), 2)</f>
        <v/>
      </c>
    </row>
    <row r="311" ht="19" customHeight="1">
      <c r="A311" s="35" t="n">
        <v>307</v>
      </c>
      <c r="B311" s="35" t="n">
        <v>307</v>
      </c>
      <c r="C311" s="36" t="inlineStr">
        <is>
          <t>0301418022</t>
        </is>
      </c>
      <c r="D311" s="36" t="inlineStr">
        <is>
          <t>Region III (Central Luzon)</t>
        </is>
      </c>
      <c r="E311" s="36" t="inlineStr">
        <is>
          <t>Bulacan</t>
        </is>
      </c>
      <c r="F311" s="36" t="inlineStr">
        <is>
          <t>Pulilan</t>
        </is>
      </c>
      <c r="G311" s="36" t="inlineStr">
        <is>
          <t>Poblacion</t>
        </is>
      </c>
      <c r="H311" s="37" t="n">
        <v>14.902308</v>
      </c>
      <c r="I311" s="37" t="n">
        <v>120.848479</v>
      </c>
      <c r="J311" s="8" t="inlineStr">
        <is>
          <t>U</t>
        </is>
      </c>
      <c r="K311" s="36" t="inlineStr">
        <is>
          <t>Class 1-3 / Urban</t>
        </is>
      </c>
      <c r="L311" s="18" t="n">
        <v>13353</v>
      </c>
      <c r="M311" s="20" t="n">
        <v>4.1</v>
      </c>
      <c r="N311" s="18">
        <f>ROUND(L311/M311, 0)</f>
        <v/>
      </c>
      <c r="O311" s="18">
        <f>ROUND(N311*'Methodology &amp; Assumptions'!$B$8, 0)</f>
        <v/>
      </c>
      <c r="P311" s="8" t="inlineStr">
        <is>
          <t>Band n50 (1.5 GHz, 60 MHz)</t>
        </is>
      </c>
      <c r="Q311" s="38">
        <f>ROUNDUP(O311/'Methodology &amp; Assumptions'!$B$9, 0)</f>
        <v/>
      </c>
      <c r="R311" s="39" t="n">
        <v>1</v>
      </c>
      <c r="S311" s="21" t="n">
        <v>0.23</v>
      </c>
      <c r="T311" s="21" t="n">
        <v>0.24</v>
      </c>
      <c r="U311" s="36" t="inlineStr">
        <is>
          <t>Tier 1A (Direct Coloc, &lt;1 km)</t>
        </is>
      </c>
      <c r="V311" s="20" t="n">
        <v>100</v>
      </c>
      <c r="W311" s="20" t="n">
        <v>100</v>
      </c>
      <c r="X311" s="20" t="n">
        <v>28</v>
      </c>
      <c r="Y311" s="40">
        <f>ROUND((V311*'Methodology &amp; Assumptions'!$B$6)+(W311*'Methodology &amp; Assumptions'!$B$5)+(X311*'Methodology &amp; Assumptions'!$B$7), 2)</f>
        <v/>
      </c>
    </row>
    <row r="312" ht="19" customHeight="1">
      <c r="A312" s="41" t="n">
        <v>308</v>
      </c>
      <c r="B312" s="41" t="n">
        <v>308</v>
      </c>
      <c r="C312" s="42" t="inlineStr">
        <is>
          <t>0304908011</t>
        </is>
      </c>
      <c r="D312" s="42" t="inlineStr">
        <is>
          <t>Region III (Central Luzon)</t>
        </is>
      </c>
      <c r="E312" s="42" t="inlineStr">
        <is>
          <t>Nueva Ecija</t>
        </is>
      </c>
      <c r="F312" s="42" t="inlineStr">
        <is>
          <t>City of Gapan</t>
        </is>
      </c>
      <c r="G312" s="42" t="inlineStr">
        <is>
          <t>San Nicolas</t>
        </is>
      </c>
      <c r="H312" s="43" t="n">
        <v>15.303298</v>
      </c>
      <c r="I312" s="43" t="n">
        <v>120.935682</v>
      </c>
      <c r="J312" s="44" t="inlineStr">
        <is>
          <t>U</t>
        </is>
      </c>
      <c r="K312" s="42" t="inlineStr">
        <is>
          <t>Class 1-3 / Urban</t>
        </is>
      </c>
      <c r="L312" s="23" t="n">
        <v>13142</v>
      </c>
      <c r="M312" s="24" t="n">
        <v>4.32</v>
      </c>
      <c r="N312" s="23">
        <f>ROUND(L312/M312, 0)</f>
        <v/>
      </c>
      <c r="O312" s="23">
        <f>ROUND(N312*'Methodology &amp; Assumptions'!$B$8, 0)</f>
        <v/>
      </c>
      <c r="P312" s="44" t="inlineStr">
        <is>
          <t>Band n50 (1.5 GHz, 60 MHz)</t>
        </is>
      </c>
      <c r="Q312" s="38">
        <f>ROUNDUP(O312/'Methodology &amp; Assumptions'!$B$9, 0)</f>
        <v/>
      </c>
      <c r="R312" s="39" t="n">
        <v>1</v>
      </c>
      <c r="S312" s="25" t="n">
        <v>0.02</v>
      </c>
      <c r="T312" s="25" t="n">
        <v>0.11</v>
      </c>
      <c r="U312" s="42" t="inlineStr">
        <is>
          <t>Tier 1A (Direct Coloc, &lt;1 km)</t>
        </is>
      </c>
      <c r="V312" s="24" t="n">
        <v>100</v>
      </c>
      <c r="W312" s="24" t="n">
        <v>100</v>
      </c>
      <c r="X312" s="24" t="n">
        <v>28</v>
      </c>
      <c r="Y312" s="45">
        <f>ROUND((V312*'Methodology &amp; Assumptions'!$B$6)+(W312*'Methodology &amp; Assumptions'!$B$5)+(X312*'Methodology &amp; Assumptions'!$B$7), 2)</f>
        <v/>
      </c>
    </row>
    <row r="313" ht="19" customHeight="1">
      <c r="A313" s="35" t="n">
        <v>309</v>
      </c>
      <c r="B313" s="35" t="n">
        <v>309</v>
      </c>
      <c r="C313" s="36" t="inlineStr">
        <is>
          <t>0300807019</t>
        </is>
      </c>
      <c r="D313" s="36" t="inlineStr">
        <is>
          <t>Region III (Central Luzon)</t>
        </is>
      </c>
      <c r="E313" s="36" t="inlineStr">
        <is>
          <t>Bataan</t>
        </is>
      </c>
      <c r="F313" s="36" t="inlineStr">
        <is>
          <t>Mariveles</t>
        </is>
      </c>
      <c r="G313" s="36" t="inlineStr">
        <is>
          <t>Mt. View</t>
        </is>
      </c>
      <c r="H313" s="37" t="n">
        <v>14.453384</v>
      </c>
      <c r="I313" s="37" t="n">
        <v>120.573995</v>
      </c>
      <c r="J313" s="8" t="inlineStr">
        <is>
          <t>U</t>
        </is>
      </c>
      <c r="K313" s="36" t="inlineStr">
        <is>
          <t>Class 1-3 / Urban</t>
        </is>
      </c>
      <c r="L313" s="18" t="n">
        <v>13082</v>
      </c>
      <c r="M313" s="20" t="n">
        <v>4.57</v>
      </c>
      <c r="N313" s="18">
        <f>ROUND(L313/M313, 0)</f>
        <v/>
      </c>
      <c r="O313" s="18">
        <f>ROUND(N313*'Methodology &amp; Assumptions'!$B$8, 0)</f>
        <v/>
      </c>
      <c r="P313" s="8" t="inlineStr">
        <is>
          <t>Band n50 (1.5 GHz, 60 MHz)</t>
        </is>
      </c>
      <c r="Q313" s="38">
        <f>ROUNDUP(O313/'Methodology &amp; Assumptions'!$B$9, 0)</f>
        <v/>
      </c>
      <c r="R313" s="39" t="n">
        <v>1</v>
      </c>
      <c r="S313" s="21" t="n">
        <v>0.24</v>
      </c>
      <c r="T313" s="21" t="n">
        <v>0.11</v>
      </c>
      <c r="U313" s="36" t="inlineStr">
        <is>
          <t>Tier 1A (Direct Coloc, &lt;1 km)</t>
        </is>
      </c>
      <c r="V313" s="20" t="n">
        <v>100</v>
      </c>
      <c r="W313" s="20" t="n">
        <v>100</v>
      </c>
      <c r="X313" s="20" t="n">
        <v>28</v>
      </c>
      <c r="Y313" s="40">
        <f>ROUND((V313*'Methodology &amp; Assumptions'!$B$6)+(W313*'Methodology &amp; Assumptions'!$B$5)+(X313*'Methodology &amp; Assumptions'!$B$7), 2)</f>
        <v/>
      </c>
    </row>
    <row r="314" ht="19" customHeight="1">
      <c r="A314" s="41" t="n">
        <v>310</v>
      </c>
      <c r="B314" s="41" t="n">
        <v>310</v>
      </c>
      <c r="C314" s="42" t="inlineStr">
        <is>
          <t>0304904014</t>
        </is>
      </c>
      <c r="D314" s="42" t="inlineStr">
        <is>
          <t>Region III (Central Luzon)</t>
        </is>
      </c>
      <c r="E314" s="42" t="inlineStr">
        <is>
          <t>Nueva Ecija</t>
        </is>
      </c>
      <c r="F314" s="42" t="inlineStr">
        <is>
          <t>Cabiao</t>
        </is>
      </c>
      <c r="G314" s="42" t="inlineStr">
        <is>
          <t>San Fernando Sur</t>
        </is>
      </c>
      <c r="H314" s="43" t="n">
        <v>15.263322</v>
      </c>
      <c r="I314" s="43" t="n">
        <v>120.867513</v>
      </c>
      <c r="J314" s="44" t="inlineStr">
        <is>
          <t>U</t>
        </is>
      </c>
      <c r="K314" s="42" t="inlineStr">
        <is>
          <t>Class 1-3 / Urban</t>
        </is>
      </c>
      <c r="L314" s="23" t="n">
        <v>13016</v>
      </c>
      <c r="M314" s="24" t="n">
        <v>4.32</v>
      </c>
      <c r="N314" s="23">
        <f>ROUND(L314/M314, 0)</f>
        <v/>
      </c>
      <c r="O314" s="23">
        <f>ROUND(N314*'Methodology &amp; Assumptions'!$B$8, 0)</f>
        <v/>
      </c>
      <c r="P314" s="44" t="inlineStr">
        <is>
          <t>Band n50 (1.5 GHz, 60 MHz)</t>
        </is>
      </c>
      <c r="Q314" s="38">
        <f>ROUNDUP(O314/'Methodology &amp; Assumptions'!$B$9, 0)</f>
        <v/>
      </c>
      <c r="R314" s="39" t="n">
        <v>1</v>
      </c>
      <c r="S314" s="25" t="n">
        <v>0.11</v>
      </c>
      <c r="T314" s="25" t="n">
        <v>0.03</v>
      </c>
      <c r="U314" s="42" t="inlineStr">
        <is>
          <t>Tier 1A (Direct Coloc, &lt;1 km)</t>
        </is>
      </c>
      <c r="V314" s="24" t="n">
        <v>100</v>
      </c>
      <c r="W314" s="24" t="n">
        <v>100</v>
      </c>
      <c r="X314" s="24" t="n">
        <v>28</v>
      </c>
      <c r="Y314" s="45">
        <f>ROUND((V314*'Methodology &amp; Assumptions'!$B$6)+(W314*'Methodology &amp; Assumptions'!$B$5)+(X314*'Methodology &amp; Assumptions'!$B$7), 2)</f>
        <v/>
      </c>
    </row>
    <row r="315" ht="19" customHeight="1">
      <c r="A315" s="35" t="n">
        <v>311</v>
      </c>
      <c r="B315" s="35" t="n">
        <v>311</v>
      </c>
      <c r="C315" s="36" t="inlineStr">
        <is>
          <t>0402104009</t>
        </is>
      </c>
      <c r="D315" s="36" t="inlineStr">
        <is>
          <t>Region IV-A (CALABARZON)</t>
        </is>
      </c>
      <c r="E315" s="36" t="inlineStr">
        <is>
          <t>Cavite</t>
        </is>
      </c>
      <c r="F315" s="36" t="inlineStr">
        <is>
          <t>Carmona</t>
        </is>
      </c>
      <c r="G315" s="36" t="inlineStr">
        <is>
          <t>Mabuhay</t>
        </is>
      </c>
      <c r="H315" s="37" t="n">
        <v>14.311522</v>
      </c>
      <c r="I315" s="37" t="n">
        <v>121.049541</v>
      </c>
      <c r="J315" s="8" t="inlineStr">
        <is>
          <t>U</t>
        </is>
      </c>
      <c r="K315" s="36" t="inlineStr">
        <is>
          <t>Class 1-3 / Urban</t>
        </is>
      </c>
      <c r="L315" s="18" t="n">
        <v>12714</v>
      </c>
      <c r="M315" s="20" t="n">
        <v>4.49</v>
      </c>
      <c r="N315" s="18">
        <f>ROUND(L315/M315, 0)</f>
        <v/>
      </c>
      <c r="O315" s="18">
        <f>ROUND(N315*'Methodology &amp; Assumptions'!$B$8, 0)</f>
        <v/>
      </c>
      <c r="P315" s="8" t="inlineStr">
        <is>
          <t>Band n50 (1.5 GHz, 60 MHz)</t>
        </is>
      </c>
      <c r="Q315" s="38">
        <f>ROUNDUP(O315/'Methodology &amp; Assumptions'!$B$9, 0)</f>
        <v/>
      </c>
      <c r="R315" s="39" t="n">
        <v>1</v>
      </c>
      <c r="S315" s="21" t="n">
        <v>0.09</v>
      </c>
      <c r="T315" s="21" t="n">
        <v>0.09</v>
      </c>
      <c r="U315" s="36" t="inlineStr">
        <is>
          <t>Tier 1A (Direct Coloc, &lt;1 km)</t>
        </is>
      </c>
      <c r="V315" s="20" t="n">
        <v>100</v>
      </c>
      <c r="W315" s="20" t="n">
        <v>100</v>
      </c>
      <c r="X315" s="20" t="n">
        <v>28</v>
      </c>
      <c r="Y315" s="40">
        <f>ROUND((V315*'Methodology &amp; Assumptions'!$B$6)+(W315*'Methodology &amp; Assumptions'!$B$5)+(X315*'Methodology &amp; Assumptions'!$B$7), 2)</f>
        <v/>
      </c>
    </row>
    <row r="316" ht="19" customHeight="1">
      <c r="A316" s="41" t="n">
        <v>312</v>
      </c>
      <c r="B316" s="41" t="n">
        <v>312</v>
      </c>
      <c r="C316" s="42" t="inlineStr">
        <is>
          <t>0301415019</t>
        </is>
      </c>
      <c r="D316" s="42" t="inlineStr">
        <is>
          <t>Region III (Central Luzon)</t>
        </is>
      </c>
      <c r="E316" s="42" t="inlineStr">
        <is>
          <t>Bulacan</t>
        </is>
      </c>
      <c r="F316" s="42" t="inlineStr">
        <is>
          <t>Pandi</t>
        </is>
      </c>
      <c r="G316" s="42" t="inlineStr">
        <is>
          <t>Siling Bata</t>
        </is>
      </c>
      <c r="H316" s="43" t="n">
        <v>14.891101</v>
      </c>
      <c r="I316" s="43" t="n">
        <v>120.96954</v>
      </c>
      <c r="J316" s="44" t="inlineStr">
        <is>
          <t>U</t>
        </is>
      </c>
      <c r="K316" s="42" t="inlineStr">
        <is>
          <t>Class 1-3 / Urban</t>
        </is>
      </c>
      <c r="L316" s="23" t="n">
        <v>12578</v>
      </c>
      <c r="M316" s="24" t="n">
        <v>4.1</v>
      </c>
      <c r="N316" s="23">
        <f>ROUND(L316/M316, 0)</f>
        <v/>
      </c>
      <c r="O316" s="23">
        <f>ROUND(N316*'Methodology &amp; Assumptions'!$B$8, 0)</f>
        <v/>
      </c>
      <c r="P316" s="44" t="inlineStr">
        <is>
          <t>Band n50 (1.5 GHz, 60 MHz)</t>
        </is>
      </c>
      <c r="Q316" s="38">
        <f>ROUNDUP(O316/'Methodology &amp; Assumptions'!$B$9, 0)</f>
        <v/>
      </c>
      <c r="R316" s="39" t="n">
        <v>1</v>
      </c>
      <c r="S316" s="25" t="n">
        <v>0.17</v>
      </c>
      <c r="T316" s="25" t="n">
        <v>0.1</v>
      </c>
      <c r="U316" s="42" t="inlineStr">
        <is>
          <t>Tier 1A (Direct Coloc, &lt;1 km)</t>
        </is>
      </c>
      <c r="V316" s="24" t="n">
        <v>100</v>
      </c>
      <c r="W316" s="24" t="n">
        <v>100</v>
      </c>
      <c r="X316" s="24" t="n">
        <v>28</v>
      </c>
      <c r="Y316" s="45">
        <f>ROUND((V316*'Methodology &amp; Assumptions'!$B$6)+(W316*'Methodology &amp; Assumptions'!$B$5)+(X316*'Methodology &amp; Assumptions'!$B$7), 2)</f>
        <v/>
      </c>
    </row>
    <row r="317" ht="19" customHeight="1">
      <c r="A317" s="35" t="n">
        <v>313</v>
      </c>
      <c r="B317" s="35" t="n">
        <v>313</v>
      </c>
      <c r="C317" s="36" t="inlineStr">
        <is>
          <t>0702218014</t>
        </is>
      </c>
      <c r="D317" s="36" t="inlineStr">
        <is>
          <t>Region VII (Central Visayas)</t>
        </is>
      </c>
      <c r="E317" s="36" t="inlineStr">
        <is>
          <t>Cebu</t>
        </is>
      </c>
      <c r="F317" s="36" t="inlineStr">
        <is>
          <t>Compostela</t>
        </is>
      </c>
      <c r="G317" s="36" t="inlineStr">
        <is>
          <t>Poblacion</t>
        </is>
      </c>
      <c r="H317" s="37" t="n">
        <v>10.45393</v>
      </c>
      <c r="I317" s="37" t="n">
        <v>124.012245</v>
      </c>
      <c r="J317" s="8" t="inlineStr">
        <is>
          <t>U</t>
        </is>
      </c>
      <c r="K317" s="36" t="inlineStr">
        <is>
          <t>Class 1-3 / Urban</t>
        </is>
      </c>
      <c r="L317" s="18" t="n">
        <v>12573</v>
      </c>
      <c r="M317" s="20" t="n">
        <v>4.42</v>
      </c>
      <c r="N317" s="18">
        <f>ROUND(L317/M317, 0)</f>
        <v/>
      </c>
      <c r="O317" s="18">
        <f>ROUND(N317*'Methodology &amp; Assumptions'!$B$8, 0)</f>
        <v/>
      </c>
      <c r="P317" s="8" t="inlineStr">
        <is>
          <t>Band n50 (1.5 GHz, 60 MHz)</t>
        </is>
      </c>
      <c r="Q317" s="38">
        <f>ROUNDUP(O317/'Methodology &amp; Assumptions'!$B$9, 0)</f>
        <v/>
      </c>
      <c r="R317" s="39" t="n">
        <v>1</v>
      </c>
      <c r="S317" s="21" t="n">
        <v>0.2</v>
      </c>
      <c r="T317" s="21" t="n">
        <v>0.22</v>
      </c>
      <c r="U317" s="36" t="inlineStr">
        <is>
          <t>Tier 1A (Direct Coloc, &lt;1 km)</t>
        </is>
      </c>
      <c r="V317" s="20" t="n">
        <v>100</v>
      </c>
      <c r="W317" s="20" t="n">
        <v>100</v>
      </c>
      <c r="X317" s="20" t="n">
        <v>28</v>
      </c>
      <c r="Y317" s="40">
        <f>ROUND((V317*'Methodology &amp; Assumptions'!$B$6)+(W317*'Methodology &amp; Assumptions'!$B$5)+(X317*'Methodology &amp; Assumptions'!$B$7), 2)</f>
        <v/>
      </c>
    </row>
    <row r="318" ht="19" customHeight="1">
      <c r="A318" s="41" t="n">
        <v>314</v>
      </c>
      <c r="B318" s="41" t="n">
        <v>314</v>
      </c>
      <c r="C318" s="42" t="inlineStr">
        <is>
          <t>1102412020</t>
        </is>
      </c>
      <c r="D318" s="42" t="inlineStr">
        <is>
          <t>Region XI (Davao Region)</t>
        </is>
      </c>
      <c r="E318" s="42" t="inlineStr">
        <is>
          <t>Davao del Sur</t>
        </is>
      </c>
      <c r="F318" s="42" t="inlineStr">
        <is>
          <t>Santa Cruz</t>
        </is>
      </c>
      <c r="G318" s="42" t="inlineStr">
        <is>
          <t>Zone III</t>
        </is>
      </c>
      <c r="H318" s="43" t="n">
        <v>6.84022</v>
      </c>
      <c r="I318" s="43" t="n">
        <v>125.41199</v>
      </c>
      <c r="J318" s="44" t="inlineStr">
        <is>
          <t>U</t>
        </is>
      </c>
      <c r="K318" s="42" t="inlineStr">
        <is>
          <t>Class 1-3 / Urban</t>
        </is>
      </c>
      <c r="L318" s="23" t="n">
        <v>12123</v>
      </c>
      <c r="M318" s="24" t="n">
        <v>4.1</v>
      </c>
      <c r="N318" s="23">
        <f>ROUND(L318/M318, 0)</f>
        <v/>
      </c>
      <c r="O318" s="23">
        <f>ROUND(N318*'Methodology &amp; Assumptions'!$B$8, 0)</f>
        <v/>
      </c>
      <c r="P318" s="44" t="inlineStr">
        <is>
          <t>Band n50 (1.5 GHz, 60 MHz)</t>
        </is>
      </c>
      <c r="Q318" s="38">
        <f>ROUNDUP(O318/'Methodology &amp; Assumptions'!$B$9, 0)</f>
        <v/>
      </c>
      <c r="R318" s="39" t="n">
        <v>1</v>
      </c>
      <c r="S318" s="25" t="n">
        <v>0.3</v>
      </c>
      <c r="T318" s="25" t="n">
        <v>0.28</v>
      </c>
      <c r="U318" s="42" t="inlineStr">
        <is>
          <t>Tier 1A (Direct Coloc, &lt;1 km)</t>
        </is>
      </c>
      <c r="V318" s="24" t="n">
        <v>100</v>
      </c>
      <c r="W318" s="24" t="n">
        <v>100</v>
      </c>
      <c r="X318" s="24" t="n">
        <v>28</v>
      </c>
      <c r="Y318" s="45">
        <f>ROUND((V318*'Methodology &amp; Assumptions'!$B$6)+(W318*'Methodology &amp; Assumptions'!$B$5)+(X318*'Methodology &amp; Assumptions'!$B$7), 2)</f>
        <v/>
      </c>
    </row>
    <row r="319" ht="19" customHeight="1">
      <c r="A319" s="35" t="n">
        <v>315</v>
      </c>
      <c r="B319" s="35" t="n">
        <v>315</v>
      </c>
      <c r="C319" s="36" t="inlineStr">
        <is>
          <t>0402103034</t>
        </is>
      </c>
      <c r="D319" s="36" t="inlineStr">
        <is>
          <t>Region IV-A (CALABARZON)</t>
        </is>
      </c>
      <c r="E319" s="36" t="inlineStr">
        <is>
          <t>Cavite</t>
        </is>
      </c>
      <c r="F319" s="36" t="inlineStr">
        <is>
          <t>City of Bacoor</t>
        </is>
      </c>
      <c r="G319" s="36" t="inlineStr">
        <is>
          <t>Habay II</t>
        </is>
      </c>
      <c r="H319" s="37" t="n">
        <v>14.444862</v>
      </c>
      <c r="I319" s="37" t="n">
        <v>120.948326</v>
      </c>
      <c r="J319" s="8" t="inlineStr">
        <is>
          <t>U</t>
        </is>
      </c>
      <c r="K319" s="36" t="inlineStr">
        <is>
          <t>Class 1-3 / Urban</t>
        </is>
      </c>
      <c r="L319" s="18" t="n">
        <v>11888</v>
      </c>
      <c r="M319" s="20" t="n">
        <v>4.49</v>
      </c>
      <c r="N319" s="18">
        <f>ROUND(L319/M319, 0)</f>
        <v/>
      </c>
      <c r="O319" s="18">
        <f>ROUND(N319*'Methodology &amp; Assumptions'!$B$8, 0)</f>
        <v/>
      </c>
      <c r="P319" s="8" t="inlineStr">
        <is>
          <t>Band n50 (1.5 GHz, 60 MHz)</t>
        </is>
      </c>
      <c r="Q319" s="38">
        <f>ROUNDUP(O319/'Methodology &amp; Assumptions'!$B$9, 0)</f>
        <v/>
      </c>
      <c r="R319" s="39" t="n">
        <v>1</v>
      </c>
      <c r="S319" s="21" t="n">
        <v>0.15</v>
      </c>
      <c r="T319" s="21" t="n">
        <v>0.16</v>
      </c>
      <c r="U319" s="36" t="inlineStr">
        <is>
          <t>Tier 1A (Direct Coloc, &lt;1 km)</t>
        </is>
      </c>
      <c r="V319" s="20" t="n">
        <v>100</v>
      </c>
      <c r="W319" s="20" t="n">
        <v>100</v>
      </c>
      <c r="X319" s="20" t="n">
        <v>28</v>
      </c>
      <c r="Y319" s="40">
        <f>ROUND((V319*'Methodology &amp; Assumptions'!$B$6)+(W319*'Methodology &amp; Assumptions'!$B$5)+(X319*'Methodology &amp; Assumptions'!$B$7), 2)</f>
        <v/>
      </c>
    </row>
    <row r="320" ht="19" customHeight="1">
      <c r="A320" s="41" t="n">
        <v>316</v>
      </c>
      <c r="B320" s="41" t="n">
        <v>316</v>
      </c>
      <c r="C320" s="42" t="inlineStr">
        <is>
          <t>0731300004</t>
        </is>
      </c>
      <c r="D320" s="42" t="inlineStr">
        <is>
          <t>Region VII (Central Visayas)</t>
        </is>
      </c>
      <c r="E320" s="42" t="inlineStr">
        <is>
          <t>Cebu</t>
        </is>
      </c>
      <c r="F320" s="42" t="inlineStr">
        <is>
          <t>City of Mandaue</t>
        </is>
      </c>
      <c r="G320" s="42" t="inlineStr">
        <is>
          <t>Basak</t>
        </is>
      </c>
      <c r="H320" s="43" t="n">
        <v>10.354516</v>
      </c>
      <c r="I320" s="43" t="n">
        <v>123.950043</v>
      </c>
      <c r="J320" s="44" t="inlineStr">
        <is>
          <t>U</t>
        </is>
      </c>
      <c r="K320" s="42" t="inlineStr">
        <is>
          <t>Class 1-3 / Urban</t>
        </is>
      </c>
      <c r="L320" s="23" t="n">
        <v>11777</v>
      </c>
      <c r="M320" s="24" t="n">
        <v>4.42</v>
      </c>
      <c r="N320" s="23">
        <f>ROUND(L320/M320, 0)</f>
        <v/>
      </c>
      <c r="O320" s="23">
        <f>ROUND(N320*'Methodology &amp; Assumptions'!$B$8, 0)</f>
        <v/>
      </c>
      <c r="P320" s="44" t="inlineStr">
        <is>
          <t>Band n50 (1.5 GHz, 60 MHz)</t>
        </is>
      </c>
      <c r="Q320" s="38">
        <f>ROUNDUP(O320/'Methodology &amp; Assumptions'!$B$9, 0)</f>
        <v/>
      </c>
      <c r="R320" s="39" t="n">
        <v>1</v>
      </c>
      <c r="S320" s="25" t="n">
        <v>0.2</v>
      </c>
      <c r="T320" s="25" t="n">
        <v>0.06</v>
      </c>
      <c r="U320" s="42" t="inlineStr">
        <is>
          <t>Tier 1A (Direct Coloc, &lt;1 km)</t>
        </is>
      </c>
      <c r="V320" s="24" t="n">
        <v>100</v>
      </c>
      <c r="W320" s="24" t="n">
        <v>100</v>
      </c>
      <c r="X320" s="24" t="n">
        <v>28</v>
      </c>
      <c r="Y320" s="45">
        <f>ROUND((V320*'Methodology &amp; Assumptions'!$B$6)+(W320*'Methodology &amp; Assumptions'!$B$5)+(X320*'Methodology &amp; Assumptions'!$B$7), 2)</f>
        <v/>
      </c>
    </row>
    <row r="321" ht="19" customHeight="1">
      <c r="A321" s="35" t="n">
        <v>317</v>
      </c>
      <c r="B321" s="35" t="n">
        <v>317</v>
      </c>
      <c r="C321" s="36" t="inlineStr">
        <is>
          <t>0301411001</t>
        </is>
      </c>
      <c r="D321" s="36" t="inlineStr">
        <is>
          <t>Region III (Central Luzon)</t>
        </is>
      </c>
      <c r="E321" s="36" t="inlineStr">
        <is>
          <t>Bulacan</t>
        </is>
      </c>
      <c r="F321" s="36" t="inlineStr">
        <is>
          <t>Marilao</t>
        </is>
      </c>
      <c r="G321" s="36" t="inlineStr">
        <is>
          <t>Abangan Norte</t>
        </is>
      </c>
      <c r="H321" s="37" t="n">
        <v>14.7732</v>
      </c>
      <c r="I321" s="37" t="n">
        <v>120.9408</v>
      </c>
      <c r="J321" s="8" t="inlineStr">
        <is>
          <t>U</t>
        </is>
      </c>
      <c r="K321" s="36" t="inlineStr">
        <is>
          <t>Class 1-3 / Urban</t>
        </is>
      </c>
      <c r="L321" s="18" t="n">
        <v>11417</v>
      </c>
      <c r="M321" s="20" t="n">
        <v>4.1</v>
      </c>
      <c r="N321" s="18">
        <f>ROUND(L321/M321, 0)</f>
        <v/>
      </c>
      <c r="O321" s="18">
        <f>ROUND(N321*'Methodology &amp; Assumptions'!$B$8, 0)</f>
        <v/>
      </c>
      <c r="P321" s="8" t="inlineStr">
        <is>
          <t>Band n50 (1.5 GHz, 60 MHz)</t>
        </is>
      </c>
      <c r="Q321" s="38">
        <f>ROUNDUP(O321/'Methodology &amp; Assumptions'!$B$9, 0)</f>
        <v/>
      </c>
      <c r="R321" s="39" t="n">
        <v>1</v>
      </c>
      <c r="S321" s="21" t="n">
        <v>0.3</v>
      </c>
      <c r="T321" s="21" t="n">
        <v>0.16</v>
      </c>
      <c r="U321" s="36" t="inlineStr">
        <is>
          <t>Tier 1A (Direct Coloc, &lt;1 km)</t>
        </is>
      </c>
      <c r="V321" s="20" t="n">
        <v>100</v>
      </c>
      <c r="W321" s="20" t="n">
        <v>100</v>
      </c>
      <c r="X321" s="20" t="n">
        <v>28</v>
      </c>
      <c r="Y321" s="40">
        <f>ROUND((V321*'Methodology &amp; Assumptions'!$B$6)+(W321*'Methodology &amp; Assumptions'!$B$5)+(X321*'Methodology &amp; Assumptions'!$B$7), 2)</f>
        <v/>
      </c>
    </row>
    <row r="322" ht="19" customHeight="1">
      <c r="A322" s="41" t="n">
        <v>318</v>
      </c>
      <c r="B322" s="41" t="n">
        <v>318</v>
      </c>
      <c r="C322" s="42" t="inlineStr">
        <is>
          <t>1130700198</t>
        </is>
      </c>
      <c r="D322" s="42" t="inlineStr">
        <is>
          <t>Region XI (Davao Region)</t>
        </is>
      </c>
      <c r="E322" s="42" t="inlineStr">
        <is>
          <t>Davao del Sur</t>
        </is>
      </c>
      <c r="F322" s="42" t="inlineStr">
        <is>
          <t>City of Davao</t>
        </is>
      </c>
      <c r="G322" s="42" t="inlineStr">
        <is>
          <t>Vicente Hizon Sr.</t>
        </is>
      </c>
      <c r="H322" s="43" t="n">
        <v>7.111343</v>
      </c>
      <c r="I322" s="43" t="n">
        <v>125.649714</v>
      </c>
      <c r="J322" s="44" t="inlineStr">
        <is>
          <t>U</t>
        </is>
      </c>
      <c r="K322" s="42" t="inlineStr">
        <is>
          <t>Class 1-3 / Urban</t>
        </is>
      </c>
      <c r="L322" s="23" t="n">
        <v>11219</v>
      </c>
      <c r="M322" s="24" t="n">
        <v>4.1</v>
      </c>
      <c r="N322" s="23">
        <f>ROUND(L322/M322, 0)</f>
        <v/>
      </c>
      <c r="O322" s="23">
        <f>ROUND(N322*'Methodology &amp; Assumptions'!$B$8, 0)</f>
        <v/>
      </c>
      <c r="P322" s="44" t="inlineStr">
        <is>
          <t>Band n50 (1.5 GHz, 60 MHz)</t>
        </is>
      </c>
      <c r="Q322" s="38">
        <f>ROUNDUP(O322/'Methodology &amp; Assumptions'!$B$9, 0)</f>
        <v/>
      </c>
      <c r="R322" s="39" t="n">
        <v>1</v>
      </c>
      <c r="S322" s="25" t="n">
        <v>0.16</v>
      </c>
      <c r="T322" s="25" t="n">
        <v>0.14</v>
      </c>
      <c r="U322" s="42" t="inlineStr">
        <is>
          <t>Tier 1A (Direct Coloc, &lt;1 km)</t>
        </is>
      </c>
      <c r="V322" s="24" t="n">
        <v>100</v>
      </c>
      <c r="W322" s="24" t="n">
        <v>100</v>
      </c>
      <c r="X322" s="24" t="n">
        <v>28</v>
      </c>
      <c r="Y322" s="45">
        <f>ROUND((V322*'Methodology &amp; Assumptions'!$B$6)+(W322*'Methodology &amp; Assumptions'!$B$5)+(X322*'Methodology &amp; Assumptions'!$B$7), 2)</f>
        <v/>
      </c>
    </row>
    <row r="323" ht="19" customHeight="1">
      <c r="A323" s="35" t="n">
        <v>319</v>
      </c>
      <c r="B323" s="35" t="n">
        <v>319</v>
      </c>
      <c r="C323" s="36" t="inlineStr">
        <is>
          <t>0702234011</t>
        </is>
      </c>
      <c r="D323" s="36" t="inlineStr">
        <is>
          <t>Region VII (Central Visayas)</t>
        </is>
      </c>
      <c r="E323" s="36" t="inlineStr">
        <is>
          <t>Cebu</t>
        </is>
      </c>
      <c r="F323" s="36" t="inlineStr">
        <is>
          <t>City of Naga</t>
        </is>
      </c>
      <c r="G323" s="36" t="inlineStr">
        <is>
          <t>Inayagan</t>
        </is>
      </c>
      <c r="H323" s="37" t="n">
        <v>10.23666</v>
      </c>
      <c r="I323" s="37" t="n">
        <v>123.774416</v>
      </c>
      <c r="J323" s="8" t="inlineStr">
        <is>
          <t>U</t>
        </is>
      </c>
      <c r="K323" s="36" t="inlineStr">
        <is>
          <t>Class 1-3 / Urban</t>
        </is>
      </c>
      <c r="L323" s="18" t="n">
        <v>10351</v>
      </c>
      <c r="M323" s="20" t="n">
        <v>4.42</v>
      </c>
      <c r="N323" s="18">
        <f>ROUND(L323/M323, 0)</f>
        <v/>
      </c>
      <c r="O323" s="18">
        <f>ROUND(N323*'Methodology &amp; Assumptions'!$B$8, 0)</f>
        <v/>
      </c>
      <c r="P323" s="8" t="inlineStr">
        <is>
          <t>Band n50 (1.5 GHz, 60 MHz)</t>
        </is>
      </c>
      <c r="Q323" s="38">
        <f>ROUNDUP(O323/'Methodology &amp; Assumptions'!$B$9, 0)</f>
        <v/>
      </c>
      <c r="R323" s="39" t="n">
        <v>1</v>
      </c>
      <c r="S323" s="21" t="n">
        <v>0.06</v>
      </c>
      <c r="T323" s="21" t="n">
        <v>0.06</v>
      </c>
      <c r="U323" s="36" t="inlineStr">
        <is>
          <t>Tier 1A (Direct Coloc, &lt;1 km)</t>
        </is>
      </c>
      <c r="V323" s="20" t="n">
        <v>100</v>
      </c>
      <c r="W323" s="20" t="n">
        <v>100</v>
      </c>
      <c r="X323" s="20" t="n">
        <v>28</v>
      </c>
      <c r="Y323" s="40">
        <f>ROUND((V323*'Methodology &amp; Assumptions'!$B$6)+(W323*'Methodology &amp; Assumptions'!$B$5)+(X323*'Methodology &amp; Assumptions'!$B$7), 2)</f>
        <v/>
      </c>
    </row>
    <row r="324" ht="19" customHeight="1">
      <c r="A324" s="41" t="n">
        <v>320</v>
      </c>
      <c r="B324" s="41" t="n">
        <v>320</v>
      </c>
      <c r="C324" s="42" t="inlineStr">
        <is>
          <t>1004324006</t>
        </is>
      </c>
      <c r="D324" s="42" t="inlineStr">
        <is>
          <t>Region X (Northern Mindanao)</t>
        </is>
      </c>
      <c r="E324" s="42" t="inlineStr">
        <is>
          <t>Misamis Oriental</t>
        </is>
      </c>
      <c r="F324" s="42" t="inlineStr">
        <is>
          <t>Tagoloan</t>
        </is>
      </c>
      <c r="G324" s="42" t="inlineStr">
        <is>
          <t>Poblacion</t>
        </is>
      </c>
      <c r="H324" s="43" t="n">
        <v>8.538212</v>
      </c>
      <c r="I324" s="43" t="n">
        <v>124.750921</v>
      </c>
      <c r="J324" s="44" t="inlineStr">
        <is>
          <t>U</t>
        </is>
      </c>
      <c r="K324" s="42" t="inlineStr">
        <is>
          <t>Class 1-3 / Urban</t>
        </is>
      </c>
      <c r="L324" s="23" t="n">
        <v>10326</v>
      </c>
      <c r="M324" s="24" t="n">
        <v>4.54</v>
      </c>
      <c r="N324" s="23">
        <f>ROUND(L324/M324, 0)</f>
        <v/>
      </c>
      <c r="O324" s="23">
        <f>ROUND(N324*'Methodology &amp; Assumptions'!$B$8, 0)</f>
        <v/>
      </c>
      <c r="P324" s="44" t="inlineStr">
        <is>
          <t>Band n50 (1.5 GHz, 60 MHz)</t>
        </is>
      </c>
      <c r="Q324" s="38">
        <f>ROUNDUP(O324/'Methodology &amp; Assumptions'!$B$9, 0)</f>
        <v/>
      </c>
      <c r="R324" s="39" t="n">
        <v>1</v>
      </c>
      <c r="S324" s="25" t="n">
        <v>0.2</v>
      </c>
      <c r="T324" s="25" t="n">
        <v>0.2</v>
      </c>
      <c r="U324" s="42" t="inlineStr">
        <is>
          <t>Tier 1A (Direct Coloc, &lt;1 km)</t>
        </is>
      </c>
      <c r="V324" s="24" t="n">
        <v>100</v>
      </c>
      <c r="W324" s="24" t="n">
        <v>100</v>
      </c>
      <c r="X324" s="24" t="n">
        <v>28</v>
      </c>
      <c r="Y324" s="45">
        <f>ROUND((V324*'Methodology &amp; Assumptions'!$B$6)+(W324*'Methodology &amp; Assumptions'!$B$5)+(X324*'Methodology &amp; Assumptions'!$B$7), 2)</f>
        <v/>
      </c>
    </row>
    <row r="325" ht="19" customHeight="1">
      <c r="A325" s="35" t="n">
        <v>321</v>
      </c>
      <c r="B325" s="35" t="n">
        <v>321</v>
      </c>
      <c r="C325" s="36" t="inlineStr">
        <is>
          <t>1401106007</t>
        </is>
      </c>
      <c r="D325" s="36" t="inlineStr">
        <is>
          <t>Cordillera Administrative Region (CAR)</t>
        </is>
      </c>
      <c r="E325" s="36" t="inlineStr">
        <is>
          <t>Benguet</t>
        </is>
      </c>
      <c r="F325" s="36" t="inlineStr">
        <is>
          <t>Itogon</t>
        </is>
      </c>
      <c r="G325" s="36" t="inlineStr">
        <is>
          <t>Tuding</t>
        </is>
      </c>
      <c r="H325" s="37" t="n">
        <v>16.41205</v>
      </c>
      <c r="I325" s="37" t="n">
        <v>120.64025</v>
      </c>
      <c r="J325" s="8" t="inlineStr">
        <is>
          <t>U</t>
        </is>
      </c>
      <c r="K325" s="36" t="inlineStr">
        <is>
          <t>Class 1-3 / Urban</t>
        </is>
      </c>
      <c r="L325" s="18" t="n">
        <v>10211</v>
      </c>
      <c r="M325" s="20" t="n">
        <v>4.58</v>
      </c>
      <c r="N325" s="18">
        <f>ROUND(L325/M325, 0)</f>
        <v/>
      </c>
      <c r="O325" s="18">
        <f>ROUND(N325*'Methodology &amp; Assumptions'!$B$8, 0)</f>
        <v/>
      </c>
      <c r="P325" s="8" t="inlineStr">
        <is>
          <t>Band n50 (1.5 GHz, 60 MHz)</t>
        </is>
      </c>
      <c r="Q325" s="38">
        <f>ROUNDUP(O325/'Methodology &amp; Assumptions'!$B$9, 0)</f>
        <v/>
      </c>
      <c r="R325" s="39" t="n">
        <v>1</v>
      </c>
      <c r="S325" s="21" t="n">
        <v>0.02</v>
      </c>
      <c r="T325" s="21" t="n">
        <v>1.94</v>
      </c>
      <c r="U325" s="36" t="inlineStr">
        <is>
          <t>Tier 1A (Direct Coloc, &lt;1 km)</t>
        </is>
      </c>
      <c r="V325" s="20" t="n">
        <v>100</v>
      </c>
      <c r="W325" s="20" t="n">
        <v>100</v>
      </c>
      <c r="X325" s="20" t="n">
        <v>28</v>
      </c>
      <c r="Y325" s="40">
        <f>ROUND((V325*'Methodology &amp; Assumptions'!$B$6)+(W325*'Methodology &amp; Assumptions'!$B$5)+(X325*'Methodology &amp; Assumptions'!$B$7), 2)</f>
        <v/>
      </c>
    </row>
    <row r="326" ht="19" customHeight="1">
      <c r="A326" s="41" t="n">
        <v>322</v>
      </c>
      <c r="B326" s="41" t="n">
        <v>322</v>
      </c>
      <c r="C326" s="42" t="inlineStr">
        <is>
          <t>0405630007</t>
        </is>
      </c>
      <c r="D326" s="42" t="inlineStr">
        <is>
          <t>Region IV-A (CALABARZON)</t>
        </is>
      </c>
      <c r="E326" s="42" t="inlineStr">
        <is>
          <t>Quezon</t>
        </is>
      </c>
      <c r="F326" s="42" t="inlineStr">
        <is>
          <t>Pagbilao</t>
        </is>
      </c>
      <c r="G326" s="42" t="inlineStr">
        <is>
          <t>Bukal</t>
        </is>
      </c>
      <c r="H326" s="43" t="n">
        <v>13.972624</v>
      </c>
      <c r="I326" s="43" t="n">
        <v>121.680806</v>
      </c>
      <c r="J326" s="44" t="inlineStr">
        <is>
          <t>U</t>
        </is>
      </c>
      <c r="K326" s="42" t="inlineStr">
        <is>
          <t>Class 1-3 / Urban</t>
        </is>
      </c>
      <c r="L326" s="23" t="n">
        <v>10082</v>
      </c>
      <c r="M326" s="24" t="n">
        <v>4.46</v>
      </c>
      <c r="N326" s="23">
        <f>ROUND(L326/M326, 0)</f>
        <v/>
      </c>
      <c r="O326" s="23">
        <f>ROUND(N326*'Methodology &amp; Assumptions'!$B$8, 0)</f>
        <v/>
      </c>
      <c r="P326" s="44" t="inlineStr">
        <is>
          <t>Band n50 (1.5 GHz, 60 MHz)</t>
        </is>
      </c>
      <c r="Q326" s="38">
        <f>ROUNDUP(O326/'Methodology &amp; Assumptions'!$B$9, 0)</f>
        <v/>
      </c>
      <c r="R326" s="39" t="n">
        <v>1</v>
      </c>
      <c r="S326" s="25" t="n">
        <v>0.16</v>
      </c>
      <c r="T326" s="25" t="n">
        <v>0.38</v>
      </c>
      <c r="U326" s="42" t="inlineStr">
        <is>
          <t>Tier 1A (Direct Coloc, &lt;1 km)</t>
        </is>
      </c>
      <c r="V326" s="24" t="n">
        <v>100</v>
      </c>
      <c r="W326" s="24" t="n">
        <v>100</v>
      </c>
      <c r="X326" s="24" t="n">
        <v>28</v>
      </c>
      <c r="Y326" s="45">
        <f>ROUND((V326*'Methodology &amp; Assumptions'!$B$6)+(W326*'Methodology &amp; Assumptions'!$B$5)+(X326*'Methodology &amp; Assumptions'!$B$7), 2)</f>
        <v/>
      </c>
    </row>
    <row r="327" ht="19" customHeight="1">
      <c r="A327" s="35" t="n">
        <v>323</v>
      </c>
      <c r="B327" s="35" t="n">
        <v>323</v>
      </c>
      <c r="C327" s="36" t="inlineStr">
        <is>
          <t>0501610009</t>
        </is>
      </c>
      <c r="D327" s="36" t="inlineStr">
        <is>
          <t>Region V (Bicol Region)</t>
        </is>
      </c>
      <c r="E327" s="36" t="inlineStr">
        <is>
          <t>Camarines Norte</t>
        </is>
      </c>
      <c r="F327" s="36" t="inlineStr">
        <is>
          <t>Santa Elena</t>
        </is>
      </c>
      <c r="G327" s="36" t="inlineStr">
        <is>
          <t>Santa Elena</t>
        </is>
      </c>
      <c r="H327" s="37" t="n">
        <v>14.181225</v>
      </c>
      <c r="I327" s="37" t="n">
        <v>122.393365</v>
      </c>
      <c r="J327" s="8" t="inlineStr">
        <is>
          <t>U</t>
        </is>
      </c>
      <c r="K327" s="36" t="inlineStr">
        <is>
          <t>Class 1-3 / Urban</t>
        </is>
      </c>
      <c r="L327" s="18" t="n">
        <v>10026</v>
      </c>
      <c r="M327" s="20" t="n">
        <v>4.4</v>
      </c>
      <c r="N327" s="18">
        <f>ROUND(L327/M327, 0)</f>
        <v/>
      </c>
      <c r="O327" s="18">
        <f>ROUND(N327*'Methodology &amp; Assumptions'!$B$8, 0)</f>
        <v/>
      </c>
      <c r="P327" s="8" t="inlineStr">
        <is>
          <t>Band n50 (1.5 GHz, 60 MHz)</t>
        </is>
      </c>
      <c r="Q327" s="38">
        <f>ROUNDUP(O327/'Methodology &amp; Assumptions'!$B$9, 0)</f>
        <v/>
      </c>
      <c r="R327" s="39" t="n">
        <v>1</v>
      </c>
      <c r="S327" s="21" t="n">
        <v>0.15</v>
      </c>
      <c r="T327" s="21" t="n">
        <v>0.01</v>
      </c>
      <c r="U327" s="36" t="inlineStr">
        <is>
          <t>Tier 1A (Direct Coloc, &lt;1 km)</t>
        </is>
      </c>
      <c r="V327" s="20" t="n">
        <v>100</v>
      </c>
      <c r="W327" s="20" t="n">
        <v>100</v>
      </c>
      <c r="X327" s="20" t="n">
        <v>28</v>
      </c>
      <c r="Y327" s="40">
        <f>ROUND((V327*'Methodology &amp; Assumptions'!$B$6)+(W327*'Methodology &amp; Assumptions'!$B$5)+(X327*'Methodology &amp; Assumptions'!$B$7), 2)</f>
        <v/>
      </c>
    </row>
    <row r="328" ht="19" customHeight="1">
      <c r="A328" s="41" t="n">
        <v>324</v>
      </c>
      <c r="B328" s="41" t="n">
        <v>324</v>
      </c>
      <c r="C328" s="42" t="inlineStr">
        <is>
          <t>0301423002</t>
        </is>
      </c>
      <c r="D328" s="42" t="inlineStr">
        <is>
          <t>Region III (Central Luzon)</t>
        </is>
      </c>
      <c r="E328" s="42" t="inlineStr">
        <is>
          <t>Bulacan</t>
        </is>
      </c>
      <c r="F328" s="42" t="inlineStr">
        <is>
          <t>Santa Maria</t>
        </is>
      </c>
      <c r="G328" s="42" t="inlineStr">
        <is>
          <t>Balasing</t>
        </is>
      </c>
      <c r="H328" s="43" t="n">
        <v>14.851039</v>
      </c>
      <c r="I328" s="43" t="n">
        <v>121.006688</v>
      </c>
      <c r="J328" s="44" t="inlineStr">
        <is>
          <t>U</t>
        </is>
      </c>
      <c r="K328" s="42" t="inlineStr">
        <is>
          <t>Class 1-3 / Urban</t>
        </is>
      </c>
      <c r="L328" s="23" t="n">
        <v>9732</v>
      </c>
      <c r="M328" s="24" t="n">
        <v>4.1</v>
      </c>
      <c r="N328" s="23">
        <f>ROUND(L328/M328, 0)</f>
        <v/>
      </c>
      <c r="O328" s="23">
        <f>ROUND(N328*'Methodology &amp; Assumptions'!$B$8, 0)</f>
        <v/>
      </c>
      <c r="P328" s="44" t="inlineStr">
        <is>
          <t>Band n50 (1.5 GHz, 60 MHz)</t>
        </is>
      </c>
      <c r="Q328" s="38">
        <f>ROUNDUP(O328/'Methodology &amp; Assumptions'!$B$9, 0)</f>
        <v/>
      </c>
      <c r="R328" s="39" t="n">
        <v>1</v>
      </c>
      <c r="S328" s="25" t="n">
        <v>0.23</v>
      </c>
      <c r="T328" s="25" t="n">
        <v>1.99</v>
      </c>
      <c r="U328" s="42" t="inlineStr">
        <is>
          <t>Tier 1A (Direct Coloc, &lt;1 km)</t>
        </is>
      </c>
      <c r="V328" s="24" t="n">
        <v>100</v>
      </c>
      <c r="W328" s="24" t="n">
        <v>100</v>
      </c>
      <c r="X328" s="24" t="n">
        <v>28</v>
      </c>
      <c r="Y328" s="45">
        <f>ROUND((V328*'Methodology &amp; Assumptions'!$B$6)+(W328*'Methodology &amp; Assumptions'!$B$5)+(X328*'Methodology &amp; Assumptions'!$B$7), 2)</f>
        <v/>
      </c>
    </row>
    <row r="329" ht="19" customHeight="1">
      <c r="A329" s="35" t="n">
        <v>325</v>
      </c>
      <c r="B329" s="35" t="n">
        <v>325</v>
      </c>
      <c r="C329" s="36" t="inlineStr">
        <is>
          <t>0304908012</t>
        </is>
      </c>
      <c r="D329" s="36" t="inlineStr">
        <is>
          <t>Region III (Central Luzon)</t>
        </is>
      </c>
      <c r="E329" s="36" t="inlineStr">
        <is>
          <t>Nueva Ecija</t>
        </is>
      </c>
      <c r="F329" s="36" t="inlineStr">
        <is>
          <t>City of Gapan</t>
        </is>
      </c>
      <c r="G329" s="36" t="inlineStr">
        <is>
          <t>San Roque</t>
        </is>
      </c>
      <c r="H329" s="37" t="n">
        <v>15.241647</v>
      </c>
      <c r="I329" s="37" t="n">
        <v>120.953341</v>
      </c>
      <c r="J329" s="8" t="inlineStr">
        <is>
          <t>U</t>
        </is>
      </c>
      <c r="K329" s="36" t="inlineStr">
        <is>
          <t>Class 1-3 / Urban</t>
        </is>
      </c>
      <c r="L329" s="18" t="n">
        <v>9525</v>
      </c>
      <c r="M329" s="20" t="n">
        <v>4.32</v>
      </c>
      <c r="N329" s="18">
        <f>ROUND(L329/M329, 0)</f>
        <v/>
      </c>
      <c r="O329" s="18">
        <f>ROUND(N329*'Methodology &amp; Assumptions'!$B$8, 0)</f>
        <v/>
      </c>
      <c r="P329" s="8" t="inlineStr">
        <is>
          <t>Band n50 (1.5 GHz, 60 MHz)</t>
        </is>
      </c>
      <c r="Q329" s="38">
        <f>ROUNDUP(O329/'Methodology &amp; Assumptions'!$B$9, 0)</f>
        <v/>
      </c>
      <c r="R329" s="39" t="n">
        <v>1</v>
      </c>
      <c r="S329" s="21" t="n">
        <v>0.1</v>
      </c>
      <c r="T329" s="21" t="n">
        <v>0.12</v>
      </c>
      <c r="U329" s="36" t="inlineStr">
        <is>
          <t>Tier 1A (Direct Coloc, &lt;1 km)</t>
        </is>
      </c>
      <c r="V329" s="20" t="n">
        <v>100</v>
      </c>
      <c r="W329" s="20" t="n">
        <v>100</v>
      </c>
      <c r="X329" s="20" t="n">
        <v>28</v>
      </c>
      <c r="Y329" s="40">
        <f>ROUND((V329*'Methodology &amp; Assumptions'!$B$6)+(W329*'Methodology &amp; Assumptions'!$B$5)+(X329*'Methodology &amp; Assumptions'!$B$7), 2)</f>
        <v/>
      </c>
    </row>
    <row r="330" ht="19" customHeight="1">
      <c r="A330" s="41" t="n">
        <v>326</v>
      </c>
      <c r="B330" s="41" t="n">
        <v>326</v>
      </c>
      <c r="C330" s="42" t="inlineStr">
        <is>
          <t>0431200030</t>
        </is>
      </c>
      <c r="D330" s="42" t="inlineStr">
        <is>
          <t>Region IV-A (CALABARZON)</t>
        </is>
      </c>
      <c r="E330" s="42" t="inlineStr">
        <is>
          <t>Quezon</t>
        </is>
      </c>
      <c r="F330" s="42" t="inlineStr">
        <is>
          <t>City of Lucena</t>
        </is>
      </c>
      <c r="G330" s="42" t="inlineStr">
        <is>
          <t>Mayao Silangan</t>
        </is>
      </c>
      <c r="H330" s="43" t="n">
        <v>13.954451</v>
      </c>
      <c r="I330" s="43" t="n">
        <v>121.647208</v>
      </c>
      <c r="J330" s="44" t="inlineStr">
        <is>
          <t>U</t>
        </is>
      </c>
      <c r="K330" s="42" t="inlineStr">
        <is>
          <t>Class 1-3 / Urban</t>
        </is>
      </c>
      <c r="L330" s="23" t="n">
        <v>9336</v>
      </c>
      <c r="M330" s="24" t="n">
        <v>4.46</v>
      </c>
      <c r="N330" s="23">
        <f>ROUND(L330/M330, 0)</f>
        <v/>
      </c>
      <c r="O330" s="23">
        <f>ROUND(N330*'Methodology &amp; Assumptions'!$B$8, 0)</f>
        <v/>
      </c>
      <c r="P330" s="44" t="inlineStr">
        <is>
          <t>Band n50 (1.5 GHz, 60 MHz)</t>
        </is>
      </c>
      <c r="Q330" s="38">
        <f>ROUNDUP(O330/'Methodology &amp; Assumptions'!$B$9, 0)</f>
        <v/>
      </c>
      <c r="R330" s="39" t="n">
        <v>1</v>
      </c>
      <c r="S330" s="25" t="n">
        <v>0.04</v>
      </c>
      <c r="T330" s="25" t="n">
        <v>0.14</v>
      </c>
      <c r="U330" s="42" t="inlineStr">
        <is>
          <t>Tier 1A (Direct Coloc, &lt;1 km)</t>
        </is>
      </c>
      <c r="V330" s="24" t="n">
        <v>100</v>
      </c>
      <c r="W330" s="24" t="n">
        <v>100</v>
      </c>
      <c r="X330" s="24" t="n">
        <v>28</v>
      </c>
      <c r="Y330" s="45">
        <f>ROUND((V330*'Methodology &amp; Assumptions'!$B$6)+(W330*'Methodology &amp; Assumptions'!$B$5)+(X330*'Methodology &amp; Assumptions'!$B$7), 2)</f>
        <v/>
      </c>
    </row>
    <row r="331" ht="19" customHeight="1">
      <c r="A331" s="35" t="n">
        <v>327</v>
      </c>
      <c r="B331" s="35" t="n">
        <v>327</v>
      </c>
      <c r="C331" s="36" t="inlineStr">
        <is>
          <t>0405810003</t>
        </is>
      </c>
      <c r="D331" s="36" t="inlineStr">
        <is>
          <t>Region IV-A (CALABARZON)</t>
        </is>
      </c>
      <c r="E331" s="36" t="inlineStr">
        <is>
          <t>Rizal</t>
        </is>
      </c>
      <c r="F331" s="36" t="inlineStr">
        <is>
          <t>Pililla</t>
        </is>
      </c>
      <c r="G331" s="36" t="inlineStr">
        <is>
          <t>Halayhayin</t>
        </is>
      </c>
      <c r="H331" s="37" t="n">
        <v>14.46345</v>
      </c>
      <c r="I331" s="37" t="n">
        <v>121.3263</v>
      </c>
      <c r="J331" s="8" t="inlineStr">
        <is>
          <t>U</t>
        </is>
      </c>
      <c r="K331" s="36" t="inlineStr">
        <is>
          <t>Class 1-3 / Urban</t>
        </is>
      </c>
      <c r="L331" s="18" t="n">
        <v>9210</v>
      </c>
      <c r="M331" s="20" t="n">
        <v>4.39</v>
      </c>
      <c r="N331" s="18">
        <f>ROUND(L331/M331, 0)</f>
        <v/>
      </c>
      <c r="O331" s="18">
        <f>ROUND(N331*'Methodology &amp; Assumptions'!$B$8, 0)</f>
        <v/>
      </c>
      <c r="P331" s="8" t="inlineStr">
        <is>
          <t>Band n50 (1.5 GHz, 60 MHz)</t>
        </is>
      </c>
      <c r="Q331" s="38">
        <f>ROUNDUP(O331/'Methodology &amp; Assumptions'!$B$9, 0)</f>
        <v/>
      </c>
      <c r="R331" s="39" t="n">
        <v>1</v>
      </c>
      <c r="S331" s="21" t="n">
        <v>0.16</v>
      </c>
      <c r="T331" s="21" t="n">
        <v>0.02</v>
      </c>
      <c r="U331" s="36" t="inlineStr">
        <is>
          <t>Tier 1A (Direct Coloc, &lt;1 km)</t>
        </is>
      </c>
      <c r="V331" s="20" t="n">
        <v>100</v>
      </c>
      <c r="W331" s="20" t="n">
        <v>100</v>
      </c>
      <c r="X331" s="20" t="n">
        <v>28</v>
      </c>
      <c r="Y331" s="40">
        <f>ROUND((V331*'Methodology &amp; Assumptions'!$B$6)+(W331*'Methodology &amp; Assumptions'!$B$5)+(X331*'Methodology &amp; Assumptions'!$B$7), 2)</f>
        <v/>
      </c>
    </row>
    <row r="332" ht="19" customHeight="1">
      <c r="A332" s="41" t="n">
        <v>328</v>
      </c>
      <c r="B332" s="41" t="n">
        <v>328</v>
      </c>
      <c r="C332" s="42" t="inlineStr">
        <is>
          <t>1001312052</t>
        </is>
      </c>
      <c r="D332" s="42" t="inlineStr">
        <is>
          <t>Region X (Northern Mindanao)</t>
        </is>
      </c>
      <c r="E332" s="42" t="inlineStr">
        <is>
          <t>Bukidnon</t>
        </is>
      </c>
      <c r="F332" s="42" t="inlineStr">
        <is>
          <t>City of Malaybalay</t>
        </is>
      </c>
      <c r="G332" s="42" t="inlineStr">
        <is>
          <t>Barangay 9</t>
        </is>
      </c>
      <c r="H332" s="43" t="n">
        <v>8.149452999999999</v>
      </c>
      <c r="I332" s="43" t="n">
        <v>125.133044</v>
      </c>
      <c r="J332" s="44" t="inlineStr">
        <is>
          <t>U</t>
        </is>
      </c>
      <c r="K332" s="42" t="inlineStr">
        <is>
          <t>Class 1-3 / Urban</t>
        </is>
      </c>
      <c r="L332" s="23" t="n">
        <v>9187</v>
      </c>
      <c r="M332" s="24" t="n">
        <v>4.63</v>
      </c>
      <c r="N332" s="23">
        <f>ROUND(L332/M332, 0)</f>
        <v/>
      </c>
      <c r="O332" s="23">
        <f>ROUND(N332*'Methodology &amp; Assumptions'!$B$8, 0)</f>
        <v/>
      </c>
      <c r="P332" s="44" t="inlineStr">
        <is>
          <t>Band n50 (1.5 GHz, 60 MHz)</t>
        </is>
      </c>
      <c r="Q332" s="38">
        <f>ROUNDUP(O332/'Methodology &amp; Assumptions'!$B$9, 0)</f>
        <v/>
      </c>
      <c r="R332" s="39" t="n">
        <v>1</v>
      </c>
      <c r="S332" s="25" t="n">
        <v>0.22</v>
      </c>
      <c r="T332" s="25" t="n">
        <v>0.16</v>
      </c>
      <c r="U332" s="42" t="inlineStr">
        <is>
          <t>Tier 1A (Direct Coloc, &lt;1 km)</t>
        </is>
      </c>
      <c r="V332" s="24" t="n">
        <v>100</v>
      </c>
      <c r="W332" s="24" t="n">
        <v>100</v>
      </c>
      <c r="X332" s="24" t="n">
        <v>28</v>
      </c>
      <c r="Y332" s="45">
        <f>ROUND((V332*'Methodology &amp; Assumptions'!$B$6)+(W332*'Methodology &amp; Assumptions'!$B$5)+(X332*'Methodology &amp; Assumptions'!$B$7), 2)</f>
        <v/>
      </c>
    </row>
    <row r="333" ht="19" customHeight="1">
      <c r="A333" s="35" t="n">
        <v>329</v>
      </c>
      <c r="B333" s="35" t="n">
        <v>329</v>
      </c>
      <c r="C333" s="36" t="inlineStr">
        <is>
          <t>0405812005</t>
        </is>
      </c>
      <c r="D333" s="36" t="inlineStr">
        <is>
          <t>Region IV-A (CALABARZON)</t>
        </is>
      </c>
      <c r="E333" s="36" t="inlineStr">
        <is>
          <t>Rizal</t>
        </is>
      </c>
      <c r="F333" s="36" t="inlineStr">
        <is>
          <t>Tanay</t>
        </is>
      </c>
      <c r="G333" s="36" t="inlineStr">
        <is>
          <t>Kaybuto</t>
        </is>
      </c>
      <c r="H333" s="37" t="n">
        <v>14.49829</v>
      </c>
      <c r="I333" s="37" t="n">
        <v>121.28174</v>
      </c>
      <c r="J333" s="8" t="inlineStr">
        <is>
          <t>U</t>
        </is>
      </c>
      <c r="K333" s="36" t="inlineStr">
        <is>
          <t>Class 1-3 / Urban</t>
        </is>
      </c>
      <c r="L333" s="18" t="n">
        <v>9148</v>
      </c>
      <c r="M333" s="20" t="n">
        <v>4.39</v>
      </c>
      <c r="N333" s="18">
        <f>ROUND(L333/M333, 0)</f>
        <v/>
      </c>
      <c r="O333" s="18">
        <f>ROUND(N333*'Methodology &amp; Assumptions'!$B$8, 0)</f>
        <v/>
      </c>
      <c r="P333" s="8" t="inlineStr">
        <is>
          <t>Band n50 (1.5 GHz, 60 MHz)</t>
        </is>
      </c>
      <c r="Q333" s="38">
        <f>ROUNDUP(O333/'Methodology &amp; Assumptions'!$B$9, 0)</f>
        <v/>
      </c>
      <c r="R333" s="39" t="n">
        <v>1</v>
      </c>
      <c r="S333" s="21" t="n">
        <v>0.3</v>
      </c>
      <c r="T333" s="21" t="n">
        <v>0.3</v>
      </c>
      <c r="U333" s="36" t="inlineStr">
        <is>
          <t>Tier 1A (Direct Coloc, &lt;1 km)</t>
        </is>
      </c>
      <c r="V333" s="20" t="n">
        <v>100</v>
      </c>
      <c r="W333" s="20" t="n">
        <v>100</v>
      </c>
      <c r="X333" s="20" t="n">
        <v>28</v>
      </c>
      <c r="Y333" s="40">
        <f>ROUND((V333*'Methodology &amp; Assumptions'!$B$6)+(W333*'Methodology &amp; Assumptions'!$B$5)+(X333*'Methodology &amp; Assumptions'!$B$7), 2)</f>
        <v/>
      </c>
    </row>
    <row r="334" ht="19" customHeight="1">
      <c r="A334" s="41" t="n">
        <v>330</v>
      </c>
      <c r="B334" s="41" t="n">
        <v>330</v>
      </c>
      <c r="C334" s="42" t="inlineStr">
        <is>
          <t>0304908013</t>
        </is>
      </c>
      <c r="D334" s="42" t="inlineStr">
        <is>
          <t>Region III (Central Luzon)</t>
        </is>
      </c>
      <c r="E334" s="42" t="inlineStr">
        <is>
          <t>Nueva Ecija</t>
        </is>
      </c>
      <c r="F334" s="42" t="inlineStr">
        <is>
          <t>City of Gapan</t>
        </is>
      </c>
      <c r="G334" s="42" t="inlineStr">
        <is>
          <t>San Vicente</t>
        </is>
      </c>
      <c r="H334" s="43" t="n">
        <v>15.308323</v>
      </c>
      <c r="I334" s="43" t="n">
        <v>120.945871</v>
      </c>
      <c r="J334" s="44" t="inlineStr">
        <is>
          <t>U</t>
        </is>
      </c>
      <c r="K334" s="42" t="inlineStr">
        <is>
          <t>Class 1-3 / Urban</t>
        </is>
      </c>
      <c r="L334" s="23" t="n">
        <v>9092</v>
      </c>
      <c r="M334" s="24" t="n">
        <v>4.32</v>
      </c>
      <c r="N334" s="23">
        <f>ROUND(L334/M334, 0)</f>
        <v/>
      </c>
      <c r="O334" s="23">
        <f>ROUND(N334*'Methodology &amp; Assumptions'!$B$8, 0)</f>
        <v/>
      </c>
      <c r="P334" s="44" t="inlineStr">
        <is>
          <t>Band n50 (1.5 GHz, 60 MHz)</t>
        </is>
      </c>
      <c r="Q334" s="38">
        <f>ROUNDUP(O334/'Methodology &amp; Assumptions'!$B$9, 0)</f>
        <v/>
      </c>
      <c r="R334" s="39" t="n">
        <v>1</v>
      </c>
      <c r="S334" s="25" t="n">
        <v>0.07000000000000001</v>
      </c>
      <c r="T334" s="25" t="n">
        <v>0.05</v>
      </c>
      <c r="U334" s="42" t="inlineStr">
        <is>
          <t>Tier 1A (Direct Coloc, &lt;1 km)</t>
        </is>
      </c>
      <c r="V334" s="24" t="n">
        <v>100</v>
      </c>
      <c r="W334" s="24" t="n">
        <v>100</v>
      </c>
      <c r="X334" s="24" t="n">
        <v>28</v>
      </c>
      <c r="Y334" s="45">
        <f>ROUND((V334*'Methodology &amp; Assumptions'!$B$6)+(W334*'Methodology &amp; Assumptions'!$B$5)+(X334*'Methodology &amp; Assumptions'!$B$7), 2)</f>
        <v/>
      </c>
    </row>
    <row r="335" ht="19" customHeight="1">
      <c r="A335" s="35" t="n">
        <v>331</v>
      </c>
      <c r="B335" s="35" t="n">
        <v>331</v>
      </c>
      <c r="C335" s="36" t="inlineStr">
        <is>
          <t>1004307012</t>
        </is>
      </c>
      <c r="D335" s="36" t="inlineStr">
        <is>
          <t>Region X (Northern Mindanao)</t>
        </is>
      </c>
      <c r="E335" s="36" t="inlineStr">
        <is>
          <t>Misamis Oriental</t>
        </is>
      </c>
      <c r="F335" s="36" t="inlineStr">
        <is>
          <t>City of El Salvador</t>
        </is>
      </c>
      <c r="G335" s="36" t="inlineStr">
        <is>
          <t>Poblacion</t>
        </is>
      </c>
      <c r="H335" s="37" t="n">
        <v>8.557451</v>
      </c>
      <c r="I335" s="37" t="n">
        <v>124.526132</v>
      </c>
      <c r="J335" s="8" t="inlineStr">
        <is>
          <t>U</t>
        </is>
      </c>
      <c r="K335" s="36" t="inlineStr">
        <is>
          <t>Class 1-3 / Urban</t>
        </is>
      </c>
      <c r="L335" s="18" t="n">
        <v>8671</v>
      </c>
      <c r="M335" s="20" t="n">
        <v>4.54</v>
      </c>
      <c r="N335" s="18">
        <f>ROUND(L335/M335, 0)</f>
        <v/>
      </c>
      <c r="O335" s="18">
        <f>ROUND(N335*'Methodology &amp; Assumptions'!$B$8, 0)</f>
        <v/>
      </c>
      <c r="P335" s="8" t="inlineStr">
        <is>
          <t>Band n50 (1.5 GHz, 60 MHz)</t>
        </is>
      </c>
      <c r="Q335" s="38">
        <f>ROUNDUP(O335/'Methodology &amp; Assumptions'!$B$9, 0)</f>
        <v/>
      </c>
      <c r="R335" s="39" t="n">
        <v>1</v>
      </c>
      <c r="S335" s="21" t="n">
        <v>0.27</v>
      </c>
      <c r="T335" s="21" t="n">
        <v>0.28</v>
      </c>
      <c r="U335" s="36" t="inlineStr">
        <is>
          <t>Tier 1A (Direct Coloc, &lt;1 km)</t>
        </is>
      </c>
      <c r="V335" s="20" t="n">
        <v>100</v>
      </c>
      <c r="W335" s="20" t="n">
        <v>100</v>
      </c>
      <c r="X335" s="20" t="n">
        <v>28</v>
      </c>
      <c r="Y335" s="40">
        <f>ROUND((V335*'Methodology &amp; Assumptions'!$B$6)+(W335*'Methodology &amp; Assumptions'!$B$5)+(X335*'Methodology &amp; Assumptions'!$B$7), 2)</f>
        <v/>
      </c>
    </row>
    <row r="336" ht="19" customHeight="1">
      <c r="A336" s="41" t="n">
        <v>332</v>
      </c>
      <c r="B336" s="41" t="n">
        <v>332</v>
      </c>
      <c r="C336" s="42" t="inlineStr">
        <is>
          <t>1001317030</t>
        </is>
      </c>
      <c r="D336" s="42" t="inlineStr">
        <is>
          <t>Region X (Northern Mindanao)</t>
        </is>
      </c>
      <c r="E336" s="42" t="inlineStr">
        <is>
          <t>Bukidnon</t>
        </is>
      </c>
      <c r="F336" s="42" t="inlineStr">
        <is>
          <t>Quezon</t>
        </is>
      </c>
      <c r="G336" s="42" t="inlineStr">
        <is>
          <t>Salawagan</t>
        </is>
      </c>
      <c r="H336" s="43" t="n">
        <v>7.700327</v>
      </c>
      <c r="I336" s="43" t="n">
        <v>125.115091</v>
      </c>
      <c r="J336" s="44" t="inlineStr">
        <is>
          <t>U</t>
        </is>
      </c>
      <c r="K336" s="42" t="inlineStr">
        <is>
          <t>Class 1-3 / Urban</t>
        </is>
      </c>
      <c r="L336" s="23" t="n">
        <v>8644</v>
      </c>
      <c r="M336" s="24" t="n">
        <v>4.63</v>
      </c>
      <c r="N336" s="23">
        <f>ROUND(L336/M336, 0)</f>
        <v/>
      </c>
      <c r="O336" s="23">
        <f>ROUND(N336*'Methodology &amp; Assumptions'!$B$8, 0)</f>
        <v/>
      </c>
      <c r="P336" s="44" t="inlineStr">
        <is>
          <t>Band n50 (1.5 GHz, 60 MHz)</t>
        </is>
      </c>
      <c r="Q336" s="38">
        <f>ROUNDUP(O336/'Methodology &amp; Assumptions'!$B$9, 0)</f>
        <v/>
      </c>
      <c r="R336" s="39" t="n">
        <v>1</v>
      </c>
      <c r="S336" s="25" t="n">
        <v>0.28</v>
      </c>
      <c r="T336" s="25" t="n">
        <v>0.27</v>
      </c>
      <c r="U336" s="42" t="inlineStr">
        <is>
          <t>Tier 1A (Direct Coloc, &lt;1 km)</t>
        </is>
      </c>
      <c r="V336" s="24" t="n">
        <v>100</v>
      </c>
      <c r="W336" s="24" t="n">
        <v>100</v>
      </c>
      <c r="X336" s="24" t="n">
        <v>28</v>
      </c>
      <c r="Y336" s="45">
        <f>ROUND((V336*'Methodology &amp; Assumptions'!$B$6)+(W336*'Methodology &amp; Assumptions'!$B$5)+(X336*'Methodology &amp; Assumptions'!$B$7), 2)</f>
        <v/>
      </c>
    </row>
    <row r="337" ht="19" customHeight="1">
      <c r="A337" s="35" t="n">
        <v>333</v>
      </c>
      <c r="B337" s="35" t="n">
        <v>333</v>
      </c>
      <c r="C337" s="36" t="inlineStr">
        <is>
          <t>1102412005</t>
        </is>
      </c>
      <c r="D337" s="36" t="inlineStr">
        <is>
          <t>Region XI (Davao Region)</t>
        </is>
      </c>
      <c r="E337" s="36" t="inlineStr">
        <is>
          <t>Davao del Sur</t>
        </is>
      </c>
      <c r="F337" s="36" t="inlineStr">
        <is>
          <t>Santa Cruz</t>
        </is>
      </c>
      <c r="G337" s="36" t="inlineStr">
        <is>
          <t>Inawayan</t>
        </is>
      </c>
      <c r="H337" s="37" t="n">
        <v>6.954788</v>
      </c>
      <c r="I337" s="37" t="n">
        <v>125.472603</v>
      </c>
      <c r="J337" s="8" t="inlineStr">
        <is>
          <t>U</t>
        </is>
      </c>
      <c r="K337" s="36" t="inlineStr">
        <is>
          <t>Class 1-3 / Urban</t>
        </is>
      </c>
      <c r="L337" s="18" t="n">
        <v>8598</v>
      </c>
      <c r="M337" s="20" t="n">
        <v>4.1</v>
      </c>
      <c r="N337" s="18">
        <f>ROUND(L337/M337, 0)</f>
        <v/>
      </c>
      <c r="O337" s="18">
        <f>ROUND(N337*'Methodology &amp; Assumptions'!$B$8, 0)</f>
        <v/>
      </c>
      <c r="P337" s="8" t="inlineStr">
        <is>
          <t>Band n50 (1.5 GHz, 60 MHz)</t>
        </is>
      </c>
      <c r="Q337" s="38">
        <f>ROUNDUP(O337/'Methodology &amp; Assumptions'!$B$9, 0)</f>
        <v/>
      </c>
      <c r="R337" s="39" t="n">
        <v>1</v>
      </c>
      <c r="S337" s="21" t="n">
        <v>0.12</v>
      </c>
      <c r="T337" s="21" t="n">
        <v>0.09</v>
      </c>
      <c r="U337" s="36" t="inlineStr">
        <is>
          <t>Tier 1A (Direct Coloc, &lt;1 km)</t>
        </is>
      </c>
      <c r="V337" s="20" t="n">
        <v>100</v>
      </c>
      <c r="W337" s="20" t="n">
        <v>100</v>
      </c>
      <c r="X337" s="20" t="n">
        <v>28</v>
      </c>
      <c r="Y337" s="40">
        <f>ROUND((V337*'Methodology &amp; Assumptions'!$B$6)+(W337*'Methodology &amp; Assumptions'!$B$5)+(X337*'Methodology &amp; Assumptions'!$B$7), 2)</f>
        <v/>
      </c>
    </row>
    <row r="338" ht="19" customHeight="1">
      <c r="A338" s="41" t="n">
        <v>334</v>
      </c>
      <c r="B338" s="41" t="n">
        <v>334</v>
      </c>
      <c r="C338" s="42" t="inlineStr">
        <is>
          <t>1108204026</t>
        </is>
      </c>
      <c r="D338" s="42" t="inlineStr">
        <is>
          <t>Region XI (Davao Region)</t>
        </is>
      </c>
      <c r="E338" s="42" t="inlineStr">
        <is>
          <t>Davao de Oro</t>
        </is>
      </c>
      <c r="F338" s="42" t="inlineStr">
        <is>
          <t>Maco</t>
        </is>
      </c>
      <c r="G338" s="42" t="inlineStr">
        <is>
          <t>Poblacion</t>
        </is>
      </c>
      <c r="H338" s="43" t="n">
        <v>7.357587</v>
      </c>
      <c r="I338" s="43" t="n">
        <v>125.855781</v>
      </c>
      <c r="J338" s="44" t="inlineStr">
        <is>
          <t>U</t>
        </is>
      </c>
      <c r="K338" s="42" t="inlineStr">
        <is>
          <t>Class 1-3 / Urban</t>
        </is>
      </c>
      <c r="L338" s="23" t="n">
        <v>8521</v>
      </c>
      <c r="M338" s="24" t="n">
        <v>4.1</v>
      </c>
      <c r="N338" s="23">
        <f>ROUND(L338/M338, 0)</f>
        <v/>
      </c>
      <c r="O338" s="23">
        <f>ROUND(N338*'Methodology &amp; Assumptions'!$B$8, 0)</f>
        <v/>
      </c>
      <c r="P338" s="44" t="inlineStr">
        <is>
          <t>Band n50 (1.5 GHz, 60 MHz)</t>
        </is>
      </c>
      <c r="Q338" s="38">
        <f>ROUNDUP(O338/'Methodology &amp; Assumptions'!$B$9, 0)</f>
        <v/>
      </c>
      <c r="R338" s="39" t="n">
        <v>1</v>
      </c>
      <c r="S338" s="25" t="n">
        <v>0.12</v>
      </c>
      <c r="T338" s="25" t="n">
        <v>0.11</v>
      </c>
      <c r="U338" s="42" t="inlineStr">
        <is>
          <t>Tier 1A (Direct Coloc, &lt;1 km)</t>
        </is>
      </c>
      <c r="V338" s="24" t="n">
        <v>100</v>
      </c>
      <c r="W338" s="24" t="n">
        <v>100</v>
      </c>
      <c r="X338" s="24" t="n">
        <v>28</v>
      </c>
      <c r="Y338" s="45">
        <f>ROUND((V338*'Methodology &amp; Assumptions'!$B$6)+(W338*'Methodology &amp; Assumptions'!$B$5)+(X338*'Methodology &amp; Assumptions'!$B$7), 2)</f>
        <v/>
      </c>
    </row>
    <row r="339" ht="19" customHeight="1">
      <c r="A339" s="35" t="n">
        <v>335</v>
      </c>
      <c r="B339" s="35" t="n">
        <v>335</v>
      </c>
      <c r="C339" s="36" t="inlineStr">
        <is>
          <t>0105524062</t>
        </is>
      </c>
      <c r="D339" s="36" t="inlineStr">
        <is>
          <t>Region I (Ilocos Region)</t>
        </is>
      </c>
      <c r="E339" s="36" t="inlineStr">
        <is>
          <t>Pangasinan</t>
        </is>
      </c>
      <c r="F339" s="36" t="inlineStr">
        <is>
          <t>Malasiqui</t>
        </is>
      </c>
      <c r="G339" s="36" t="inlineStr">
        <is>
          <t>Poblacion</t>
        </is>
      </c>
      <c r="H339" s="37" t="n">
        <v>15.91947</v>
      </c>
      <c r="I339" s="37" t="n">
        <v>120.4126</v>
      </c>
      <c r="J339" s="8" t="inlineStr">
        <is>
          <t>U</t>
        </is>
      </c>
      <c r="K339" s="36" t="inlineStr">
        <is>
          <t>Class 1-3 / Urban</t>
        </is>
      </c>
      <c r="L339" s="18" t="n">
        <v>8322</v>
      </c>
      <c r="M339" s="20" t="n">
        <v>4.39</v>
      </c>
      <c r="N339" s="18">
        <f>ROUND(L339/M339, 0)</f>
        <v/>
      </c>
      <c r="O339" s="18">
        <f>ROUND(N339*'Methodology &amp; Assumptions'!$B$8, 0)</f>
        <v/>
      </c>
      <c r="P339" s="8" t="inlineStr">
        <is>
          <t>Band n50 (1.5 GHz, 60 MHz)</t>
        </is>
      </c>
      <c r="Q339" s="38">
        <f>ROUNDUP(O339/'Methodology &amp; Assumptions'!$B$9, 0)</f>
        <v/>
      </c>
      <c r="R339" s="39" t="n">
        <v>1</v>
      </c>
      <c r="S339" s="21" t="n">
        <v>0.1</v>
      </c>
      <c r="T339" s="21" t="n">
        <v>0.2</v>
      </c>
      <c r="U339" s="36" t="inlineStr">
        <is>
          <t>Tier 1A (Direct Coloc, &lt;1 km)</t>
        </is>
      </c>
      <c r="V339" s="20" t="n">
        <v>100</v>
      </c>
      <c r="W339" s="20" t="n">
        <v>100</v>
      </c>
      <c r="X339" s="20" t="n">
        <v>28</v>
      </c>
      <c r="Y339" s="40">
        <f>ROUND((V339*'Methodology &amp; Assumptions'!$B$6)+(W339*'Methodology &amp; Assumptions'!$B$5)+(X339*'Methodology &amp; Assumptions'!$B$7), 2)</f>
        <v/>
      </c>
    </row>
    <row r="340" ht="19" customHeight="1">
      <c r="A340" s="41" t="n">
        <v>336</v>
      </c>
      <c r="B340" s="41" t="n">
        <v>336</v>
      </c>
      <c r="C340" s="42" t="inlineStr">
        <is>
          <t>0908302017</t>
        </is>
      </c>
      <c r="D340" s="42" t="inlineStr">
        <is>
          <t>Region IX (Zamboanga Peninsula)</t>
        </is>
      </c>
      <c r="E340" s="42" t="inlineStr">
        <is>
          <t>Zamboanga Sibugay</t>
        </is>
      </c>
      <c r="F340" s="42" t="inlineStr">
        <is>
          <t>Buug</t>
        </is>
      </c>
      <c r="G340" s="42" t="inlineStr">
        <is>
          <t>Poblacion</t>
        </is>
      </c>
      <c r="H340" s="43" t="n">
        <v>7.727973</v>
      </c>
      <c r="I340" s="43" t="n">
        <v>123.05615</v>
      </c>
      <c r="J340" s="44" t="inlineStr">
        <is>
          <t>U</t>
        </is>
      </c>
      <c r="K340" s="42" t="inlineStr">
        <is>
          <t>Class 1-3 / Urban</t>
        </is>
      </c>
      <c r="L340" s="23" t="n">
        <v>7870</v>
      </c>
      <c r="M340" s="24" t="n">
        <v>5.06</v>
      </c>
      <c r="N340" s="23">
        <f>ROUND(L340/M340, 0)</f>
        <v/>
      </c>
      <c r="O340" s="23">
        <f>ROUND(N340*'Methodology &amp; Assumptions'!$B$8, 0)</f>
        <v/>
      </c>
      <c r="P340" s="44" t="inlineStr">
        <is>
          <t>Band n50 (1.5 GHz, 60 MHz)</t>
        </is>
      </c>
      <c r="Q340" s="38">
        <f>ROUNDUP(O340/'Methodology &amp; Assumptions'!$B$9, 0)</f>
        <v/>
      </c>
      <c r="R340" s="39" t="n">
        <v>1</v>
      </c>
      <c r="S340" s="25" t="n">
        <v>0.23</v>
      </c>
      <c r="T340" s="25" t="n">
        <v>0.04</v>
      </c>
      <c r="U340" s="42" t="inlineStr">
        <is>
          <t>Tier 1A (Direct Coloc, &lt;1 km)</t>
        </is>
      </c>
      <c r="V340" s="24" t="n">
        <v>100</v>
      </c>
      <c r="W340" s="24" t="n">
        <v>100</v>
      </c>
      <c r="X340" s="24" t="n">
        <v>28</v>
      </c>
      <c r="Y340" s="45">
        <f>ROUND((V340*'Methodology &amp; Assumptions'!$B$6)+(W340*'Methodology &amp; Assumptions'!$B$5)+(X340*'Methodology &amp; Assumptions'!$B$7), 2)</f>
        <v/>
      </c>
    </row>
    <row r="341" ht="19" customHeight="1">
      <c r="A341" s="35" t="n">
        <v>337</v>
      </c>
      <c r="B341" s="35" t="n">
        <v>337</v>
      </c>
      <c r="C341" s="36" t="inlineStr">
        <is>
          <t>0306916023</t>
        </is>
      </c>
      <c r="D341" s="36" t="inlineStr">
        <is>
          <t>Region III (Central Luzon)</t>
        </is>
      </c>
      <c r="E341" s="36" t="inlineStr">
        <is>
          <t>Tarlac</t>
        </is>
      </c>
      <c r="F341" s="36" t="inlineStr">
        <is>
          <t>City of Tarlac</t>
        </is>
      </c>
      <c r="G341" s="36" t="inlineStr">
        <is>
          <t>Burot</t>
        </is>
      </c>
      <c r="H341" s="37" t="n">
        <v>15.413731</v>
      </c>
      <c r="I341" s="37" t="n">
        <v>120.600099</v>
      </c>
      <c r="J341" s="8" t="inlineStr">
        <is>
          <t>U</t>
        </is>
      </c>
      <c r="K341" s="36" t="inlineStr">
        <is>
          <t>Class 1-3 / Urban</t>
        </is>
      </c>
      <c r="L341" s="18" t="n">
        <v>7682</v>
      </c>
      <c r="M341" s="20" t="n">
        <v>4.3</v>
      </c>
      <c r="N341" s="18">
        <f>ROUND(L341/M341, 0)</f>
        <v/>
      </c>
      <c r="O341" s="18">
        <f>ROUND(N341*'Methodology &amp; Assumptions'!$B$8, 0)</f>
        <v/>
      </c>
      <c r="P341" s="8" t="inlineStr">
        <is>
          <t>Band n50 (1.5 GHz, 60 MHz)</t>
        </is>
      </c>
      <c r="Q341" s="38">
        <f>ROUNDUP(O341/'Methodology &amp; Assumptions'!$B$9, 0)</f>
        <v/>
      </c>
      <c r="R341" s="39" t="n">
        <v>1</v>
      </c>
      <c r="S341" s="21" t="n">
        <v>0.15</v>
      </c>
      <c r="T341" s="21" t="n">
        <v>0.12</v>
      </c>
      <c r="U341" s="36" t="inlineStr">
        <is>
          <t>Tier 1A (Direct Coloc, &lt;1 km)</t>
        </is>
      </c>
      <c r="V341" s="20" t="n">
        <v>100</v>
      </c>
      <c r="W341" s="20" t="n">
        <v>100</v>
      </c>
      <c r="X341" s="20" t="n">
        <v>28</v>
      </c>
      <c r="Y341" s="40">
        <f>ROUND((V341*'Methodology &amp; Assumptions'!$B$6)+(W341*'Methodology &amp; Assumptions'!$B$5)+(X341*'Methodology &amp; Assumptions'!$B$7), 2)</f>
        <v/>
      </c>
    </row>
    <row r="342" ht="19" customHeight="1">
      <c r="A342" s="41" t="n">
        <v>338</v>
      </c>
      <c r="B342" s="41" t="n">
        <v>338</v>
      </c>
      <c r="C342" s="42" t="inlineStr">
        <is>
          <t>0301403030</t>
        </is>
      </c>
      <c r="D342" s="42" t="inlineStr">
        <is>
          <t>Region III (Central Luzon)</t>
        </is>
      </c>
      <c r="E342" s="42" t="inlineStr">
        <is>
          <t>Bulacan</t>
        </is>
      </c>
      <c r="F342" s="42" t="inlineStr">
        <is>
          <t>Baliuag</t>
        </is>
      </c>
      <c r="G342" s="42" t="inlineStr">
        <is>
          <t>Virgen delas Flores</t>
        </is>
      </c>
      <c r="H342" s="43" t="n">
        <v>14.948372</v>
      </c>
      <c r="I342" s="43" t="n">
        <v>120.887028</v>
      </c>
      <c r="J342" s="44" t="inlineStr">
        <is>
          <t>U</t>
        </is>
      </c>
      <c r="K342" s="42" t="inlineStr">
        <is>
          <t>Class 1-3 / Urban</t>
        </is>
      </c>
      <c r="L342" s="23" t="n">
        <v>7353</v>
      </c>
      <c r="M342" s="24" t="n">
        <v>4.1</v>
      </c>
      <c r="N342" s="23">
        <f>ROUND(L342/M342, 0)</f>
        <v/>
      </c>
      <c r="O342" s="23">
        <f>ROUND(N342*'Methodology &amp; Assumptions'!$B$8, 0)</f>
        <v/>
      </c>
      <c r="P342" s="44" t="inlineStr">
        <is>
          <t>Band n50 (1.5 GHz, 60 MHz)</t>
        </is>
      </c>
      <c r="Q342" s="38">
        <f>ROUNDUP(O342/'Methodology &amp; Assumptions'!$B$9, 0)</f>
        <v/>
      </c>
      <c r="R342" s="39" t="n">
        <v>1</v>
      </c>
      <c r="S342" s="25" t="n">
        <v>0.11</v>
      </c>
      <c r="T342" s="25" t="n">
        <v>0.06</v>
      </c>
      <c r="U342" s="42" t="inlineStr">
        <is>
          <t>Tier 1A (Direct Coloc, &lt;1 km)</t>
        </is>
      </c>
      <c r="V342" s="24" t="n">
        <v>100</v>
      </c>
      <c r="W342" s="24" t="n">
        <v>100</v>
      </c>
      <c r="X342" s="24" t="n">
        <v>28</v>
      </c>
      <c r="Y342" s="45">
        <f>ROUND((V342*'Methodology &amp; Assumptions'!$B$6)+(W342*'Methodology &amp; Assumptions'!$B$5)+(X342*'Methodology &amp; Assumptions'!$B$7), 2)</f>
        <v/>
      </c>
    </row>
    <row r="343" ht="19" customHeight="1">
      <c r="A343" s="35" t="n">
        <v>339</v>
      </c>
      <c r="B343" s="35" t="n">
        <v>339</v>
      </c>
      <c r="C343" s="36" t="inlineStr">
        <is>
          <t>1001321010</t>
        </is>
      </c>
      <c r="D343" s="36" t="inlineStr">
        <is>
          <t>Region X (Northern Mindanao)</t>
        </is>
      </c>
      <c r="E343" s="36" t="inlineStr">
        <is>
          <t>Bukidnon</t>
        </is>
      </c>
      <c r="F343" s="36" t="inlineStr">
        <is>
          <t>City of Valencia</t>
        </is>
      </c>
      <c r="G343" s="36" t="inlineStr">
        <is>
          <t>Guinoyuran</t>
        </is>
      </c>
      <c r="H343" s="37" t="n">
        <v>7.895434</v>
      </c>
      <c r="I343" s="37" t="n">
        <v>125.00416</v>
      </c>
      <c r="J343" s="8" t="inlineStr">
        <is>
          <t>U</t>
        </is>
      </c>
      <c r="K343" s="36" t="inlineStr">
        <is>
          <t>Class 1-3 / Urban</t>
        </is>
      </c>
      <c r="L343" s="18" t="n">
        <v>7268</v>
      </c>
      <c r="M343" s="20" t="n">
        <v>4.63</v>
      </c>
      <c r="N343" s="18">
        <f>ROUND(L343/M343, 0)</f>
        <v/>
      </c>
      <c r="O343" s="18">
        <f>ROUND(N343*'Methodology &amp; Assumptions'!$B$8, 0)</f>
        <v/>
      </c>
      <c r="P343" s="8" t="inlineStr">
        <is>
          <t>Band n50 (1.5 GHz, 60 MHz)</t>
        </is>
      </c>
      <c r="Q343" s="38">
        <f>ROUNDUP(O343/'Methodology &amp; Assumptions'!$B$9, 0)</f>
        <v/>
      </c>
      <c r="R343" s="39" t="n">
        <v>1</v>
      </c>
      <c r="S343" s="21" t="n">
        <v>0.13</v>
      </c>
      <c r="T343" s="21" t="n">
        <v>0.24</v>
      </c>
      <c r="U343" s="36" t="inlineStr">
        <is>
          <t>Tier 1A (Direct Coloc, &lt;1 km)</t>
        </is>
      </c>
      <c r="V343" s="20" t="n">
        <v>100</v>
      </c>
      <c r="W343" s="20" t="n">
        <v>100</v>
      </c>
      <c r="X343" s="20" t="n">
        <v>28</v>
      </c>
      <c r="Y343" s="40">
        <f>ROUND((V343*'Methodology &amp; Assumptions'!$B$6)+(W343*'Methodology &amp; Assumptions'!$B$5)+(X343*'Methodology &amp; Assumptions'!$B$7), 2)</f>
        <v/>
      </c>
    </row>
    <row r="344" ht="19" customHeight="1">
      <c r="A344" s="41" t="n">
        <v>340</v>
      </c>
      <c r="B344" s="41" t="n">
        <v>340</v>
      </c>
      <c r="C344" s="42" t="inlineStr">
        <is>
          <t>0331400020</t>
        </is>
      </c>
      <c r="D344" s="42" t="inlineStr">
        <is>
          <t>Region III (Central Luzon)</t>
        </is>
      </c>
      <c r="E344" s="42" t="inlineStr">
        <is>
          <t>Zambales</t>
        </is>
      </c>
      <c r="F344" s="42" t="inlineStr">
        <is>
          <t>City of Olongapo</t>
        </is>
      </c>
      <c r="G344" s="42" t="inlineStr">
        <is>
          <t>West Tapinac</t>
        </is>
      </c>
      <c r="H344" s="43" t="n">
        <v>14.832678</v>
      </c>
      <c r="I344" s="43" t="n">
        <v>120.279493</v>
      </c>
      <c r="J344" s="44" t="inlineStr">
        <is>
          <t>U</t>
        </is>
      </c>
      <c r="K344" s="42" t="inlineStr">
        <is>
          <t>Class 1-3 / Urban</t>
        </is>
      </c>
      <c r="L344" s="23" t="n">
        <v>7179</v>
      </c>
      <c r="M344" s="24" t="n">
        <v>4.05</v>
      </c>
      <c r="N344" s="23">
        <f>ROUND(L344/M344, 0)</f>
        <v/>
      </c>
      <c r="O344" s="23">
        <f>ROUND(N344*'Methodology &amp; Assumptions'!$B$8, 0)</f>
        <v/>
      </c>
      <c r="P344" s="44" t="inlineStr">
        <is>
          <t>Band n50 (1.5 GHz, 60 MHz)</t>
        </is>
      </c>
      <c r="Q344" s="38">
        <f>ROUNDUP(O344/'Methodology &amp; Assumptions'!$B$9, 0)</f>
        <v/>
      </c>
      <c r="R344" s="39" t="n">
        <v>1</v>
      </c>
      <c r="S344" s="25" t="n">
        <v>0.19</v>
      </c>
      <c r="T344" s="25" t="n">
        <v>0.15</v>
      </c>
      <c r="U344" s="42" t="inlineStr">
        <is>
          <t>Tier 1A (Direct Coloc, &lt;1 km)</t>
        </is>
      </c>
      <c r="V344" s="24" t="n">
        <v>100</v>
      </c>
      <c r="W344" s="24" t="n">
        <v>100</v>
      </c>
      <c r="X344" s="24" t="n">
        <v>28</v>
      </c>
      <c r="Y344" s="45">
        <f>ROUND((V344*'Methodology &amp; Assumptions'!$B$6)+(W344*'Methodology &amp; Assumptions'!$B$5)+(X344*'Methodology &amp; Assumptions'!$B$7), 2)</f>
        <v/>
      </c>
    </row>
    <row r="345" ht="19" customHeight="1">
      <c r="A345" s="35" t="n">
        <v>341</v>
      </c>
      <c r="B345" s="35" t="n">
        <v>341</v>
      </c>
      <c r="C345" s="36" t="inlineStr">
        <is>
          <t>0300808001</t>
        </is>
      </c>
      <c r="D345" s="36" t="inlineStr">
        <is>
          <t>Region III (Central Luzon)</t>
        </is>
      </c>
      <c r="E345" s="36" t="inlineStr">
        <is>
          <t>Bataan</t>
        </is>
      </c>
      <c r="F345" s="36" t="inlineStr">
        <is>
          <t>Morong</t>
        </is>
      </c>
      <c r="G345" s="36" t="inlineStr">
        <is>
          <t>Binaritan</t>
        </is>
      </c>
      <c r="H345" s="37" t="n">
        <v>14.680152</v>
      </c>
      <c r="I345" s="37" t="n">
        <v>120.271649</v>
      </c>
      <c r="J345" s="8" t="inlineStr">
        <is>
          <t>U</t>
        </is>
      </c>
      <c r="K345" s="36" t="inlineStr">
        <is>
          <t>Class 1-3 / Urban</t>
        </is>
      </c>
      <c r="L345" s="18" t="n">
        <v>7122</v>
      </c>
      <c r="M345" s="20" t="n">
        <v>4.57</v>
      </c>
      <c r="N345" s="18">
        <f>ROUND(L345/M345, 0)</f>
        <v/>
      </c>
      <c r="O345" s="18">
        <f>ROUND(N345*'Methodology &amp; Assumptions'!$B$8, 0)</f>
        <v/>
      </c>
      <c r="P345" s="8" t="inlineStr">
        <is>
          <t>Band n50 (1.5 GHz, 60 MHz)</t>
        </is>
      </c>
      <c r="Q345" s="38">
        <f>ROUNDUP(O345/'Methodology &amp; Assumptions'!$B$9, 0)</f>
        <v/>
      </c>
      <c r="R345" s="39" t="n">
        <v>1</v>
      </c>
      <c r="S345" s="21" t="n">
        <v>0.19</v>
      </c>
      <c r="T345" s="21" t="n">
        <v>0.19</v>
      </c>
      <c r="U345" s="36" t="inlineStr">
        <is>
          <t>Tier 1A (Direct Coloc, &lt;1 km)</t>
        </is>
      </c>
      <c r="V345" s="20" t="n">
        <v>100</v>
      </c>
      <c r="W345" s="20" t="n">
        <v>100</v>
      </c>
      <c r="X345" s="20" t="n">
        <v>28</v>
      </c>
      <c r="Y345" s="40">
        <f>ROUND((V345*'Methodology &amp; Assumptions'!$B$6)+(W345*'Methodology &amp; Assumptions'!$B$5)+(X345*'Methodology &amp; Assumptions'!$B$7), 2)</f>
        <v/>
      </c>
    </row>
    <row r="346" ht="19" customHeight="1">
      <c r="A346" s="41" t="n">
        <v>342</v>
      </c>
      <c r="B346" s="41" t="n">
        <v>342</v>
      </c>
      <c r="C346" s="42" t="inlineStr">
        <is>
          <t>0704614030</t>
        </is>
      </c>
      <c r="D346" s="42" t="inlineStr">
        <is>
          <t>Region VII (Central Visayas)</t>
        </is>
      </c>
      <c r="E346" s="42" t="inlineStr">
        <is>
          <t>Negros Oriental</t>
        </is>
      </c>
      <c r="F346" s="42" t="inlineStr">
        <is>
          <t>Mabinay</t>
        </is>
      </c>
      <c r="G346" s="42" t="inlineStr">
        <is>
          <t>Poblacion</t>
        </is>
      </c>
      <c r="H346" s="43" t="n">
        <v>9.72799</v>
      </c>
      <c r="I346" s="43" t="n">
        <v>122.92654</v>
      </c>
      <c r="J346" s="44" t="inlineStr">
        <is>
          <t>U</t>
        </is>
      </c>
      <c r="K346" s="42" t="inlineStr">
        <is>
          <t>Class 1-3 / Urban</t>
        </is>
      </c>
      <c r="L346" s="23" t="n">
        <v>7066</v>
      </c>
      <c r="M346" s="24" t="n">
        <v>4.33</v>
      </c>
      <c r="N346" s="23">
        <f>ROUND(L346/M346, 0)</f>
        <v/>
      </c>
      <c r="O346" s="23">
        <f>ROUND(N346*'Methodology &amp; Assumptions'!$B$8, 0)</f>
        <v/>
      </c>
      <c r="P346" s="44" t="inlineStr">
        <is>
          <t>Band n50 (1.5 GHz, 60 MHz)</t>
        </is>
      </c>
      <c r="Q346" s="38">
        <f>ROUNDUP(O346/'Methodology &amp; Assumptions'!$B$9, 0)</f>
        <v/>
      </c>
      <c r="R346" s="39" t="n">
        <v>1</v>
      </c>
      <c r="S346" s="25" t="n">
        <v>0.21</v>
      </c>
      <c r="T346" s="25" t="n">
        <v>0.26</v>
      </c>
      <c r="U346" s="42" t="inlineStr">
        <is>
          <t>Tier 1A (Direct Coloc, &lt;1 km)</t>
        </is>
      </c>
      <c r="V346" s="24" t="n">
        <v>100</v>
      </c>
      <c r="W346" s="24" t="n">
        <v>100</v>
      </c>
      <c r="X346" s="24" t="n">
        <v>28</v>
      </c>
      <c r="Y346" s="45">
        <f>ROUND((V346*'Methodology &amp; Assumptions'!$B$6)+(W346*'Methodology &amp; Assumptions'!$B$5)+(X346*'Methodology &amp; Assumptions'!$B$7), 2)</f>
        <v/>
      </c>
    </row>
    <row r="347" ht="19" customHeight="1">
      <c r="A347" s="35" t="n">
        <v>343</v>
      </c>
      <c r="B347" s="35" t="n">
        <v>343</v>
      </c>
      <c r="C347" s="36" t="inlineStr">
        <is>
          <t>0306904020</t>
        </is>
      </c>
      <c r="D347" s="36" t="inlineStr">
        <is>
          <t>Region III (Central Luzon)</t>
        </is>
      </c>
      <c r="E347" s="36" t="inlineStr">
        <is>
          <t>Tarlac</t>
        </is>
      </c>
      <c r="F347" s="36" t="inlineStr">
        <is>
          <t>Capas</t>
        </is>
      </c>
      <c r="G347" s="36" t="inlineStr">
        <is>
          <t>Santo Domingo 2nd</t>
        </is>
      </c>
      <c r="H347" s="37" t="n">
        <v>15.344596</v>
      </c>
      <c r="I347" s="37" t="n">
        <v>120.594172</v>
      </c>
      <c r="J347" s="8" t="inlineStr">
        <is>
          <t>U</t>
        </is>
      </c>
      <c r="K347" s="36" t="inlineStr">
        <is>
          <t>Class 1-3 / Urban</t>
        </is>
      </c>
      <c r="L347" s="18" t="n">
        <v>6933</v>
      </c>
      <c r="M347" s="20" t="n">
        <v>4.3</v>
      </c>
      <c r="N347" s="18">
        <f>ROUND(L347/M347, 0)</f>
        <v/>
      </c>
      <c r="O347" s="18">
        <f>ROUND(N347*'Methodology &amp; Assumptions'!$B$8, 0)</f>
        <v/>
      </c>
      <c r="P347" s="8" t="inlineStr">
        <is>
          <t>Band n50 (1.5 GHz, 60 MHz)</t>
        </is>
      </c>
      <c r="Q347" s="38">
        <f>ROUNDUP(O347/'Methodology &amp; Assumptions'!$B$9, 0)</f>
        <v/>
      </c>
      <c r="R347" s="39" t="n">
        <v>1</v>
      </c>
      <c r="S347" s="21" t="n">
        <v>0.27</v>
      </c>
      <c r="T347" s="21" t="n">
        <v>0.08</v>
      </c>
      <c r="U347" s="36" t="inlineStr">
        <is>
          <t>Tier 1A (Direct Coloc, &lt;1 km)</t>
        </is>
      </c>
      <c r="V347" s="20" t="n">
        <v>100</v>
      </c>
      <c r="W347" s="20" t="n">
        <v>100</v>
      </c>
      <c r="X347" s="20" t="n">
        <v>28</v>
      </c>
      <c r="Y347" s="40">
        <f>ROUND((V347*'Methodology &amp; Assumptions'!$B$6)+(W347*'Methodology &amp; Assumptions'!$B$5)+(X347*'Methodology &amp; Assumptions'!$B$7), 2)</f>
        <v/>
      </c>
    </row>
    <row r="348" ht="19" customHeight="1">
      <c r="A348" s="41" t="n">
        <v>344</v>
      </c>
      <c r="B348" s="41" t="n">
        <v>344</v>
      </c>
      <c r="C348" s="42" t="inlineStr">
        <is>
          <t>0405808008</t>
        </is>
      </c>
      <c r="D348" s="42" t="inlineStr">
        <is>
          <t>Region IV-A (CALABARZON)</t>
        </is>
      </c>
      <c r="E348" s="42" t="inlineStr">
        <is>
          <t>Rizal</t>
        </is>
      </c>
      <c r="F348" s="42" t="inlineStr">
        <is>
          <t>Rodriguez</t>
        </is>
      </c>
      <c r="G348" s="42" t="inlineStr">
        <is>
          <t>Rosario</t>
        </is>
      </c>
      <c r="H348" s="43" t="n">
        <v>14.73014</v>
      </c>
      <c r="I348" s="43" t="n">
        <v>121.1413</v>
      </c>
      <c r="J348" s="44" t="inlineStr">
        <is>
          <t>U</t>
        </is>
      </c>
      <c r="K348" s="42" t="inlineStr">
        <is>
          <t>Class 1-3 / Urban</t>
        </is>
      </c>
      <c r="L348" s="23" t="n">
        <v>6866</v>
      </c>
      <c r="M348" s="24" t="n">
        <v>4.39</v>
      </c>
      <c r="N348" s="23">
        <f>ROUND(L348/M348, 0)</f>
        <v/>
      </c>
      <c r="O348" s="23">
        <f>ROUND(N348*'Methodology &amp; Assumptions'!$B$8, 0)</f>
        <v/>
      </c>
      <c r="P348" s="44" t="inlineStr">
        <is>
          <t>Band n50 (1.5 GHz, 60 MHz)</t>
        </is>
      </c>
      <c r="Q348" s="38">
        <f>ROUNDUP(O348/'Methodology &amp; Assumptions'!$B$9, 0)</f>
        <v/>
      </c>
      <c r="R348" s="39" t="n">
        <v>1</v>
      </c>
      <c r="S348" s="25" t="n">
        <v>0.31</v>
      </c>
      <c r="T348" s="25" t="n">
        <v>0.31</v>
      </c>
      <c r="U348" s="42" t="inlineStr">
        <is>
          <t>Tier 1A (Direct Coloc, &lt;1 km)</t>
        </is>
      </c>
      <c r="V348" s="24" t="n">
        <v>100</v>
      </c>
      <c r="W348" s="24" t="n">
        <v>100</v>
      </c>
      <c r="X348" s="24" t="n">
        <v>28</v>
      </c>
      <c r="Y348" s="45">
        <f>ROUND((V348*'Methodology &amp; Assumptions'!$B$6)+(W348*'Methodology &amp; Assumptions'!$B$5)+(X348*'Methodology &amp; Assumptions'!$B$7), 2)</f>
        <v/>
      </c>
    </row>
    <row r="349" ht="19" customHeight="1">
      <c r="A349" s="35" t="n">
        <v>345</v>
      </c>
      <c r="B349" s="35" t="n">
        <v>345</v>
      </c>
      <c r="C349" s="36" t="inlineStr">
        <is>
          <t>1600204009</t>
        </is>
      </c>
      <c r="D349" s="36" t="inlineStr">
        <is>
          <t>Region XIII (Caraga)</t>
        </is>
      </c>
      <c r="E349" s="36" t="inlineStr">
        <is>
          <t>Agusan del Norte</t>
        </is>
      </c>
      <c r="F349" s="36" t="inlineStr">
        <is>
          <t>Carmen</t>
        </is>
      </c>
      <c r="G349" s="36" t="inlineStr">
        <is>
          <t>Poblacion</t>
        </is>
      </c>
      <c r="H349" s="37" t="n">
        <v>8.988547000000001</v>
      </c>
      <c r="I349" s="37" t="n">
        <v>125.289541</v>
      </c>
      <c r="J349" s="8" t="inlineStr">
        <is>
          <t>U</t>
        </is>
      </c>
      <c r="K349" s="36" t="inlineStr">
        <is>
          <t>3rd</t>
        </is>
      </c>
      <c r="L349" s="18" t="n">
        <v>6799</v>
      </c>
      <c r="M349" s="20" t="n">
        <v>4.42</v>
      </c>
      <c r="N349" s="18">
        <f>ROUND(L349/M349, 0)</f>
        <v/>
      </c>
      <c r="O349" s="18">
        <f>ROUND(N349*'Methodology &amp; Assumptions'!$B$8, 0)</f>
        <v/>
      </c>
      <c r="P349" s="8" t="inlineStr">
        <is>
          <t>Band n50 (1.5 GHz, 60 MHz)</t>
        </is>
      </c>
      <c r="Q349" s="38">
        <f>ROUNDUP(O349/'Methodology &amp; Assumptions'!$B$9, 0)</f>
        <v/>
      </c>
      <c r="R349" s="39" t="n">
        <v>1</v>
      </c>
      <c r="S349" s="21" t="n">
        <v>0.27</v>
      </c>
      <c r="T349" s="21" t="n">
        <v>0.25</v>
      </c>
      <c r="U349" s="36" t="inlineStr">
        <is>
          <t>Tier 1A (Direct Coloc, &lt;1 km)</t>
        </is>
      </c>
      <c r="V349" s="20" t="n">
        <v>100</v>
      </c>
      <c r="W349" s="20" t="n">
        <v>100</v>
      </c>
      <c r="X349" s="20" t="n">
        <v>28</v>
      </c>
      <c r="Y349" s="40">
        <f>ROUND((V349*'Methodology &amp; Assumptions'!$B$6)+(W349*'Methodology &amp; Assumptions'!$B$5)+(X349*'Methodology &amp; Assumptions'!$B$7), 2)</f>
        <v/>
      </c>
    </row>
    <row r="350" ht="19" customHeight="1">
      <c r="A350" s="41" t="n">
        <v>346</v>
      </c>
      <c r="B350" s="41" t="n">
        <v>346</v>
      </c>
      <c r="C350" s="42" t="inlineStr">
        <is>
          <t>0304928019</t>
        </is>
      </c>
      <c r="D350" s="42" t="inlineStr">
        <is>
          <t>Region III (Central Luzon)</t>
        </is>
      </c>
      <c r="E350" s="42" t="inlineStr">
        <is>
          <t>Nueva Ecija</t>
        </is>
      </c>
      <c r="F350" s="42" t="inlineStr">
        <is>
          <t>Santa Rosa</t>
        </is>
      </c>
      <c r="G350" s="42" t="inlineStr">
        <is>
          <t>Soledad</t>
        </is>
      </c>
      <c r="H350" s="43" t="n">
        <v>15.428106</v>
      </c>
      <c r="I350" s="43" t="n">
        <v>120.991153</v>
      </c>
      <c r="J350" s="44" t="inlineStr">
        <is>
          <t>U</t>
        </is>
      </c>
      <c r="K350" s="42" t="inlineStr">
        <is>
          <t>Class 1-3 / Urban</t>
        </is>
      </c>
      <c r="L350" s="23" t="n">
        <v>6784</v>
      </c>
      <c r="M350" s="24" t="n">
        <v>4.32</v>
      </c>
      <c r="N350" s="23">
        <f>ROUND(L350/M350, 0)</f>
        <v/>
      </c>
      <c r="O350" s="23">
        <f>ROUND(N350*'Methodology &amp; Assumptions'!$B$8, 0)</f>
        <v/>
      </c>
      <c r="P350" s="44" t="inlineStr">
        <is>
          <t>Band n50 (1.5 GHz, 60 MHz)</t>
        </is>
      </c>
      <c r="Q350" s="38">
        <f>ROUNDUP(O350/'Methodology &amp; Assumptions'!$B$9, 0)</f>
        <v/>
      </c>
      <c r="R350" s="39" t="n">
        <v>1</v>
      </c>
      <c r="S350" s="25" t="n">
        <v>0.03</v>
      </c>
      <c r="T350" s="25" t="n">
        <v>0.04</v>
      </c>
      <c r="U350" s="42" t="inlineStr">
        <is>
          <t>Tier 1A (Direct Coloc, &lt;1 km)</t>
        </is>
      </c>
      <c r="V350" s="24" t="n">
        <v>100</v>
      </c>
      <c r="W350" s="24" t="n">
        <v>100</v>
      </c>
      <c r="X350" s="24" t="n">
        <v>28</v>
      </c>
      <c r="Y350" s="45">
        <f>ROUND((V350*'Methodology &amp; Assumptions'!$B$6)+(W350*'Methodology &amp; Assumptions'!$B$5)+(X350*'Methodology &amp; Assumptions'!$B$7), 2)</f>
        <v/>
      </c>
    </row>
    <row r="351" ht="19" customHeight="1">
      <c r="A351" s="35" t="n">
        <v>347</v>
      </c>
      <c r="B351" s="35" t="n">
        <v>347</v>
      </c>
      <c r="C351" s="36" t="inlineStr">
        <is>
          <t>0403421008</t>
        </is>
      </c>
      <c r="D351" s="36" t="inlineStr">
        <is>
          <t>Region IV-A (CALABARZON)</t>
        </is>
      </c>
      <c r="E351" s="36" t="inlineStr">
        <is>
          <t>Laguna</t>
        </is>
      </c>
      <c r="F351" s="36" t="inlineStr">
        <is>
          <t>Pangil</t>
        </is>
      </c>
      <c r="G351" s="36" t="inlineStr">
        <is>
          <t>Sulib</t>
        </is>
      </c>
      <c r="H351" s="37" t="n">
        <v>14.404972</v>
      </c>
      <c r="I351" s="37" t="n">
        <v>121.465006</v>
      </c>
      <c r="J351" s="8" t="inlineStr">
        <is>
          <t>U</t>
        </is>
      </c>
      <c r="K351" s="36" t="inlineStr">
        <is>
          <t>3rd</t>
        </is>
      </c>
      <c r="L351" s="18" t="n">
        <v>6774</v>
      </c>
      <c r="M351" s="20" t="n">
        <v>4.42</v>
      </c>
      <c r="N351" s="18">
        <f>ROUND(L351/M351, 0)</f>
        <v/>
      </c>
      <c r="O351" s="18">
        <f>ROUND(N351*'Methodology &amp; Assumptions'!$B$8, 0)</f>
        <v/>
      </c>
      <c r="P351" s="8" t="inlineStr">
        <is>
          <t>Band n50 (1.5 GHz, 60 MHz)</t>
        </is>
      </c>
      <c r="Q351" s="38">
        <f>ROUNDUP(O351/'Methodology &amp; Assumptions'!$B$9, 0)</f>
        <v/>
      </c>
      <c r="R351" s="39" t="n">
        <v>1</v>
      </c>
      <c r="S351" s="21" t="n">
        <v>0.28</v>
      </c>
      <c r="T351" s="21" t="n">
        <v>0.35</v>
      </c>
      <c r="U351" s="36" t="inlineStr">
        <is>
          <t>Tier 1A (Direct Coloc, &lt;1 km)</t>
        </is>
      </c>
      <c r="V351" s="20" t="n">
        <v>100</v>
      </c>
      <c r="W351" s="20" t="n">
        <v>100</v>
      </c>
      <c r="X351" s="20" t="n">
        <v>28</v>
      </c>
      <c r="Y351" s="40">
        <f>ROUND((V351*'Methodology &amp; Assumptions'!$B$6)+(W351*'Methodology &amp; Assumptions'!$B$5)+(X351*'Methodology &amp; Assumptions'!$B$7), 2)</f>
        <v/>
      </c>
    </row>
    <row r="352" ht="19" customHeight="1">
      <c r="A352" s="41" t="n">
        <v>348</v>
      </c>
      <c r="B352" s="41" t="n">
        <v>348</v>
      </c>
      <c r="C352" s="42" t="inlineStr">
        <is>
          <t>0601914032</t>
        </is>
      </c>
      <c r="D352" s="42" t="inlineStr">
        <is>
          <t>Region VI (Western Visayas)</t>
        </is>
      </c>
      <c r="E352" s="42" t="inlineStr">
        <is>
          <t>Capiz</t>
        </is>
      </c>
      <c r="F352" s="42" t="inlineStr">
        <is>
          <t>City of Roxas</t>
        </is>
      </c>
      <c r="G352" s="42" t="inlineStr">
        <is>
          <t>Lanot</t>
        </is>
      </c>
      <c r="H352" s="43" t="n">
        <v>11.520538</v>
      </c>
      <c r="I352" s="43" t="n">
        <v>122.7576</v>
      </c>
      <c r="J352" s="44" t="inlineStr">
        <is>
          <t>U</t>
        </is>
      </c>
      <c r="K352" s="42" t="inlineStr">
        <is>
          <t>Class 1-3 / Urban</t>
        </is>
      </c>
      <c r="L352" s="23" t="n">
        <v>6421</v>
      </c>
      <c r="M352" s="24" t="n">
        <v>4.2</v>
      </c>
      <c r="N352" s="23">
        <f>ROUND(L352/M352, 0)</f>
        <v/>
      </c>
      <c r="O352" s="23">
        <f>ROUND(N352*'Methodology &amp; Assumptions'!$B$8, 0)</f>
        <v/>
      </c>
      <c r="P352" s="44" t="inlineStr">
        <is>
          <t>Band n50 (1.5 GHz, 60 MHz)</t>
        </is>
      </c>
      <c r="Q352" s="38">
        <f>ROUNDUP(O352/'Methodology &amp; Assumptions'!$B$9, 0)</f>
        <v/>
      </c>
      <c r="R352" s="39" t="n">
        <v>1</v>
      </c>
      <c r="S352" s="25" t="n">
        <v>0.22</v>
      </c>
      <c r="T352" s="25" t="n">
        <v>0.06</v>
      </c>
      <c r="U352" s="42" t="inlineStr">
        <is>
          <t>Tier 1A (Direct Coloc, &lt;1 km)</t>
        </is>
      </c>
      <c r="V352" s="24" t="n">
        <v>100</v>
      </c>
      <c r="W352" s="24" t="n">
        <v>100</v>
      </c>
      <c r="X352" s="24" t="n">
        <v>28</v>
      </c>
      <c r="Y352" s="45">
        <f>ROUND((V352*'Methodology &amp; Assumptions'!$B$6)+(W352*'Methodology &amp; Assumptions'!$B$5)+(X352*'Methodology &amp; Assumptions'!$B$7), 2)</f>
        <v/>
      </c>
    </row>
    <row r="353" ht="19" customHeight="1">
      <c r="A353" s="35" t="n">
        <v>349</v>
      </c>
      <c r="B353" s="35" t="n">
        <v>349</v>
      </c>
      <c r="C353" s="36" t="inlineStr">
        <is>
          <t>0205013012</t>
        </is>
      </c>
      <c r="D353" s="36" t="inlineStr">
        <is>
          <t>Region II (Cagayan Valley)</t>
        </is>
      </c>
      <c r="E353" s="36" t="inlineStr">
        <is>
          <t>Nueva Vizcaya</t>
        </is>
      </c>
      <c r="F353" s="36" t="inlineStr">
        <is>
          <t>Solano</t>
        </is>
      </c>
      <c r="G353" s="36" t="inlineStr">
        <is>
          <t>Quirino</t>
        </is>
      </c>
      <c r="H353" s="37" t="n">
        <v>16.5132</v>
      </c>
      <c r="I353" s="37" t="n">
        <v>121.1834</v>
      </c>
      <c r="J353" s="8" t="inlineStr">
        <is>
          <t>U</t>
        </is>
      </c>
      <c r="K353" s="36" t="inlineStr">
        <is>
          <t>Class 1-3 / Urban</t>
        </is>
      </c>
      <c r="L353" s="18" t="n">
        <v>6405</v>
      </c>
      <c r="M353" s="20" t="n">
        <v>4.19</v>
      </c>
      <c r="N353" s="18">
        <f>ROUND(L353/M353, 0)</f>
        <v/>
      </c>
      <c r="O353" s="18">
        <f>ROUND(N353*'Methodology &amp; Assumptions'!$B$8, 0)</f>
        <v/>
      </c>
      <c r="P353" s="8" t="inlineStr">
        <is>
          <t>Band n50 (1.5 GHz, 60 MHz)</t>
        </is>
      </c>
      <c r="Q353" s="38">
        <f>ROUNDUP(O353/'Methodology &amp; Assumptions'!$B$9, 0)</f>
        <v/>
      </c>
      <c r="R353" s="39" t="n">
        <v>1</v>
      </c>
      <c r="S353" s="21" t="n">
        <v>0.13</v>
      </c>
      <c r="T353" s="21" t="n">
        <v>0.39</v>
      </c>
      <c r="U353" s="36" t="inlineStr">
        <is>
          <t>Tier 1A (Direct Coloc, &lt;1 km)</t>
        </is>
      </c>
      <c r="V353" s="20" t="n">
        <v>100</v>
      </c>
      <c r="W353" s="20" t="n">
        <v>100</v>
      </c>
      <c r="X353" s="20" t="n">
        <v>28</v>
      </c>
      <c r="Y353" s="40">
        <f>ROUND((V353*'Methodology &amp; Assumptions'!$B$6)+(W353*'Methodology &amp; Assumptions'!$B$5)+(X353*'Methodology &amp; Assumptions'!$B$7), 2)</f>
        <v/>
      </c>
    </row>
    <row r="354" ht="19" customHeight="1">
      <c r="A354" s="41" t="n">
        <v>350</v>
      </c>
      <c r="B354" s="41" t="n">
        <v>350</v>
      </c>
      <c r="C354" s="42" t="inlineStr">
        <is>
          <t>1600210007</t>
        </is>
      </c>
      <c r="D354" s="42" t="inlineStr">
        <is>
          <t>Region XIII (Caraga)</t>
        </is>
      </c>
      <c r="E354" s="42" t="inlineStr">
        <is>
          <t>Agusan del Norte</t>
        </is>
      </c>
      <c r="F354" s="42" t="inlineStr">
        <is>
          <t>Santiago</t>
        </is>
      </c>
      <c r="G354" s="42" t="inlineStr">
        <is>
          <t>Poblacion I</t>
        </is>
      </c>
      <c r="H354" s="43" t="n">
        <v>9.264234999999999</v>
      </c>
      <c r="I354" s="43" t="n">
        <v>125.560556</v>
      </c>
      <c r="J354" s="44" t="inlineStr">
        <is>
          <t>U</t>
        </is>
      </c>
      <c r="K354" s="42" t="inlineStr">
        <is>
          <t>1st</t>
        </is>
      </c>
      <c r="L354" s="23" t="n">
        <v>6374</v>
      </c>
      <c r="M354" s="24" t="n">
        <v>5.11</v>
      </c>
      <c r="N354" s="23">
        <f>ROUND(L354/M354, 0)</f>
        <v/>
      </c>
      <c r="O354" s="23">
        <f>ROUND(N354*'Methodology &amp; Assumptions'!$B$8, 0)</f>
        <v/>
      </c>
      <c r="P354" s="44" t="inlineStr">
        <is>
          <t>Band n50 (1.5 GHz, 60 MHz)</t>
        </is>
      </c>
      <c r="Q354" s="38">
        <f>ROUNDUP(O354/'Methodology &amp; Assumptions'!$B$9, 0)</f>
        <v/>
      </c>
      <c r="R354" s="39" t="n">
        <v>1</v>
      </c>
      <c r="S354" s="25" t="n">
        <v>0.3</v>
      </c>
      <c r="T354" s="25" t="n">
        <v>0.08</v>
      </c>
      <c r="U354" s="42" t="inlineStr">
        <is>
          <t>Tier 1A (Direct Coloc, &lt;1 km)</t>
        </is>
      </c>
      <c r="V354" s="24" t="n">
        <v>100</v>
      </c>
      <c r="W354" s="24" t="n">
        <v>100</v>
      </c>
      <c r="X354" s="24" t="n">
        <v>28</v>
      </c>
      <c r="Y354" s="45">
        <f>ROUND((V354*'Methodology &amp; Assumptions'!$B$6)+(W354*'Methodology &amp; Assumptions'!$B$5)+(X354*'Methodology &amp; Assumptions'!$B$7), 2)</f>
        <v/>
      </c>
    </row>
    <row r="355" ht="19" customHeight="1">
      <c r="A355" s="35" t="n">
        <v>351</v>
      </c>
      <c r="B355" s="35" t="n">
        <v>351</v>
      </c>
      <c r="C355" s="36" t="inlineStr">
        <is>
          <t>0401007019</t>
        </is>
      </c>
      <c r="D355" s="36" t="inlineStr">
        <is>
          <t>Region IV-A (CALABARZON)</t>
        </is>
      </c>
      <c r="E355" s="36" t="inlineStr">
        <is>
          <t>Batangas</t>
        </is>
      </c>
      <c r="F355" s="36" t="inlineStr">
        <is>
          <t>City of Calaca</t>
        </is>
      </c>
      <c r="G355" s="36" t="inlineStr">
        <is>
          <t>Dacanlao</t>
        </is>
      </c>
      <c r="H355" s="37" t="n">
        <v>13.939434</v>
      </c>
      <c r="I355" s="37" t="n">
        <v>120.790185</v>
      </c>
      <c r="J355" s="8" t="inlineStr">
        <is>
          <t>U</t>
        </is>
      </c>
      <c r="K355" s="36" t="inlineStr">
        <is>
          <t>Class 1-3 / Urban</t>
        </is>
      </c>
      <c r="L355" s="18" t="n">
        <v>6308</v>
      </c>
      <c r="M355" s="20" t="n">
        <v>4.62</v>
      </c>
      <c r="N355" s="18">
        <f>ROUND(L355/M355, 0)</f>
        <v/>
      </c>
      <c r="O355" s="18">
        <f>ROUND(N355*'Methodology &amp; Assumptions'!$B$8, 0)</f>
        <v/>
      </c>
      <c r="P355" s="8" t="inlineStr">
        <is>
          <t>Band n50 (1.5 GHz, 60 MHz)</t>
        </is>
      </c>
      <c r="Q355" s="38">
        <f>ROUNDUP(O355/'Methodology &amp; Assumptions'!$B$9, 0)</f>
        <v/>
      </c>
      <c r="R355" s="39" t="n">
        <v>1</v>
      </c>
      <c r="S355" s="21" t="n">
        <v>0.31</v>
      </c>
      <c r="T355" s="21" t="n">
        <v>0.05</v>
      </c>
      <c r="U355" s="36" t="inlineStr">
        <is>
          <t>Tier 1A (Direct Coloc, &lt;1 km)</t>
        </is>
      </c>
      <c r="V355" s="20" t="n">
        <v>100</v>
      </c>
      <c r="W355" s="20" t="n">
        <v>100</v>
      </c>
      <c r="X355" s="20" t="n">
        <v>28</v>
      </c>
      <c r="Y355" s="40">
        <f>ROUND((V355*'Methodology &amp; Assumptions'!$B$6)+(W355*'Methodology &amp; Assumptions'!$B$5)+(X355*'Methodology &amp; Assumptions'!$B$7), 2)</f>
        <v/>
      </c>
    </row>
    <row r="356" ht="19" customHeight="1">
      <c r="A356" s="41" t="n">
        <v>352</v>
      </c>
      <c r="B356" s="41" t="n">
        <v>352</v>
      </c>
      <c r="C356" s="42" t="inlineStr">
        <is>
          <t>0304902029</t>
        </is>
      </c>
      <c r="D356" s="42" t="inlineStr">
        <is>
          <t>Region III (Central Luzon)</t>
        </is>
      </c>
      <c r="E356" s="42" t="inlineStr">
        <is>
          <t>Nueva Ecija</t>
        </is>
      </c>
      <c r="F356" s="42" t="inlineStr">
        <is>
          <t>Bongabon</t>
        </is>
      </c>
      <c r="G356" s="42" t="inlineStr">
        <is>
          <t>Vega</t>
        </is>
      </c>
      <c r="H356" s="43" t="n">
        <v>15.623064</v>
      </c>
      <c r="I356" s="43" t="n">
        <v>121.144583</v>
      </c>
      <c r="J356" s="44" t="inlineStr">
        <is>
          <t>U</t>
        </is>
      </c>
      <c r="K356" s="42" t="inlineStr">
        <is>
          <t>Class 1-3 / Urban</t>
        </is>
      </c>
      <c r="L356" s="23" t="n">
        <v>6162</v>
      </c>
      <c r="M356" s="24" t="n">
        <v>4.32</v>
      </c>
      <c r="N356" s="23">
        <f>ROUND(L356/M356, 0)</f>
        <v/>
      </c>
      <c r="O356" s="23">
        <f>ROUND(N356*'Methodology &amp; Assumptions'!$B$8, 0)</f>
        <v/>
      </c>
      <c r="P356" s="44" t="inlineStr">
        <is>
          <t>Band n50 (1.5 GHz, 60 MHz)</t>
        </is>
      </c>
      <c r="Q356" s="38">
        <f>ROUNDUP(O356/'Methodology &amp; Assumptions'!$B$9, 0)</f>
        <v/>
      </c>
      <c r="R356" s="39" t="n">
        <v>1</v>
      </c>
      <c r="S356" s="25" t="n">
        <v>0.24</v>
      </c>
      <c r="T356" s="25" t="n">
        <v>0.25</v>
      </c>
      <c r="U356" s="42" t="inlineStr">
        <is>
          <t>Tier 1A (Direct Coloc, &lt;1 km)</t>
        </is>
      </c>
      <c r="V356" s="24" t="n">
        <v>100</v>
      </c>
      <c r="W356" s="24" t="n">
        <v>100</v>
      </c>
      <c r="X356" s="24" t="n">
        <v>28</v>
      </c>
      <c r="Y356" s="45">
        <f>ROUND((V356*'Methodology &amp; Assumptions'!$B$6)+(W356*'Methodology &amp; Assumptions'!$B$5)+(X356*'Methodology &amp; Assumptions'!$B$7), 2)</f>
        <v/>
      </c>
    </row>
    <row r="357" ht="19" customHeight="1">
      <c r="A357" s="35" t="n">
        <v>353</v>
      </c>
      <c r="B357" s="35" t="n">
        <v>353</v>
      </c>
      <c r="C357" s="36" t="inlineStr">
        <is>
          <t>0304908015</t>
        </is>
      </c>
      <c r="D357" s="36" t="inlineStr">
        <is>
          <t>Region III (Central Luzon)</t>
        </is>
      </c>
      <c r="E357" s="36" t="inlineStr">
        <is>
          <t>Nueva Ecija</t>
        </is>
      </c>
      <c r="F357" s="36" t="inlineStr">
        <is>
          <t>City of Gapan</t>
        </is>
      </c>
      <c r="G357" s="36" t="inlineStr">
        <is>
          <t>Santo Cristo Norte</t>
        </is>
      </c>
      <c r="H357" s="37" t="n">
        <v>15.285588</v>
      </c>
      <c r="I357" s="37" t="n">
        <v>120.947568</v>
      </c>
      <c r="J357" s="8" t="inlineStr">
        <is>
          <t>U</t>
        </is>
      </c>
      <c r="K357" s="36" t="inlineStr">
        <is>
          <t>Class 1-3 / Urban</t>
        </is>
      </c>
      <c r="L357" s="18" t="n">
        <v>6162</v>
      </c>
      <c r="M357" s="20" t="n">
        <v>4.32</v>
      </c>
      <c r="N357" s="18">
        <f>ROUND(L357/M357, 0)</f>
        <v/>
      </c>
      <c r="O357" s="18">
        <f>ROUND(N357*'Methodology &amp; Assumptions'!$B$8, 0)</f>
        <v/>
      </c>
      <c r="P357" s="8" t="inlineStr">
        <is>
          <t>Band n50 (1.5 GHz, 60 MHz)</t>
        </is>
      </c>
      <c r="Q357" s="38">
        <f>ROUNDUP(O357/'Methodology &amp; Assumptions'!$B$9, 0)</f>
        <v/>
      </c>
      <c r="R357" s="39" t="n">
        <v>1</v>
      </c>
      <c r="S357" s="21" t="n">
        <v>0.03</v>
      </c>
      <c r="T357" s="21" t="n">
        <v>0.09</v>
      </c>
      <c r="U357" s="36" t="inlineStr">
        <is>
          <t>Tier 1A (Direct Coloc, &lt;1 km)</t>
        </is>
      </c>
      <c r="V357" s="20" t="n">
        <v>100</v>
      </c>
      <c r="W357" s="20" t="n">
        <v>100</v>
      </c>
      <c r="X357" s="20" t="n">
        <v>28</v>
      </c>
      <c r="Y357" s="40">
        <f>ROUND((V357*'Methodology &amp; Assumptions'!$B$6)+(W357*'Methodology &amp; Assumptions'!$B$5)+(X357*'Methodology &amp; Assumptions'!$B$7), 2)</f>
        <v/>
      </c>
    </row>
    <row r="358" ht="19" customHeight="1">
      <c r="A358" s="41" t="n">
        <v>354</v>
      </c>
      <c r="B358" s="41" t="n">
        <v>354</v>
      </c>
      <c r="C358" s="42" t="inlineStr">
        <is>
          <t>0105535018</t>
        </is>
      </c>
      <c r="D358" s="42" t="inlineStr">
        <is>
          <t>Region I (Ilocos Region)</t>
        </is>
      </c>
      <c r="E358" s="42" t="inlineStr">
        <is>
          <t>Pangasinan</t>
        </is>
      </c>
      <c r="F358" s="42" t="inlineStr">
        <is>
          <t>San Manuel</t>
        </is>
      </c>
      <c r="G358" s="42" t="inlineStr">
        <is>
          <t>Sto. Domingo</t>
        </is>
      </c>
      <c r="H358" s="43" t="n">
        <v>16.066033</v>
      </c>
      <c r="I358" s="43" t="n">
        <v>120.671191</v>
      </c>
      <c r="J358" s="44" t="inlineStr">
        <is>
          <t>U</t>
        </is>
      </c>
      <c r="K358" s="42" t="inlineStr">
        <is>
          <t>Class 1-3 / Urban</t>
        </is>
      </c>
      <c r="L358" s="23" t="n">
        <v>6097</v>
      </c>
      <c r="M358" s="24" t="n">
        <v>4.39</v>
      </c>
      <c r="N358" s="23">
        <f>ROUND(L358/M358, 0)</f>
        <v/>
      </c>
      <c r="O358" s="23">
        <f>ROUND(N358*'Methodology &amp; Assumptions'!$B$8, 0)</f>
        <v/>
      </c>
      <c r="P358" s="44" t="inlineStr">
        <is>
          <t>Band n50 (1.5 GHz, 60 MHz)</t>
        </is>
      </c>
      <c r="Q358" s="38">
        <f>ROUNDUP(O358/'Methodology &amp; Assumptions'!$B$9, 0)</f>
        <v/>
      </c>
      <c r="R358" s="39" t="n">
        <v>1</v>
      </c>
      <c r="S358" s="25" t="n">
        <v>0.26</v>
      </c>
      <c r="T358" s="25" t="n">
        <v>0.36</v>
      </c>
      <c r="U358" s="42" t="inlineStr">
        <is>
          <t>Tier 1A (Direct Coloc, &lt;1 km)</t>
        </is>
      </c>
      <c r="V358" s="24" t="n">
        <v>100</v>
      </c>
      <c r="W358" s="24" t="n">
        <v>100</v>
      </c>
      <c r="X358" s="24" t="n">
        <v>28</v>
      </c>
      <c r="Y358" s="45">
        <f>ROUND((V358*'Methodology &amp; Assumptions'!$B$6)+(W358*'Methodology &amp; Assumptions'!$B$5)+(X358*'Methodology &amp; Assumptions'!$B$7), 2)</f>
        <v/>
      </c>
    </row>
    <row r="359" ht="19" customHeight="1">
      <c r="A359" s="35" t="n">
        <v>355</v>
      </c>
      <c r="B359" s="35" t="n">
        <v>355</v>
      </c>
      <c r="C359" s="36" t="inlineStr">
        <is>
          <t>1004322011</t>
        </is>
      </c>
      <c r="D359" s="36" t="inlineStr">
        <is>
          <t>Region X (Northern Mindanao)</t>
        </is>
      </c>
      <c r="E359" s="36" t="inlineStr">
        <is>
          <t>Misamis Oriental</t>
        </is>
      </c>
      <c r="F359" s="36" t="inlineStr">
        <is>
          <t>Salay</t>
        </is>
      </c>
      <c r="G359" s="36" t="inlineStr">
        <is>
          <t>Poblacion</t>
        </is>
      </c>
      <c r="H359" s="37" t="n">
        <v>8.806659</v>
      </c>
      <c r="I359" s="37" t="n">
        <v>124.787844</v>
      </c>
      <c r="J359" s="8" t="inlineStr">
        <is>
          <t>U</t>
        </is>
      </c>
      <c r="K359" s="36" t="inlineStr">
        <is>
          <t>2nd</t>
        </is>
      </c>
      <c r="L359" s="18" t="n">
        <v>6034</v>
      </c>
      <c r="M359" s="20" t="n">
        <v>4.51</v>
      </c>
      <c r="N359" s="18">
        <f>ROUND(L359/M359, 0)</f>
        <v/>
      </c>
      <c r="O359" s="18">
        <f>ROUND(N359*'Methodology &amp; Assumptions'!$B$8, 0)</f>
        <v/>
      </c>
      <c r="P359" s="8" t="inlineStr">
        <is>
          <t>Band n50 (1.5 GHz, 60 MHz)</t>
        </is>
      </c>
      <c r="Q359" s="38">
        <f>ROUNDUP(O359/'Methodology &amp; Assumptions'!$B$9, 0)</f>
        <v/>
      </c>
      <c r="R359" s="39" t="n">
        <v>1</v>
      </c>
      <c r="S359" s="21" t="n">
        <v>0.29</v>
      </c>
      <c r="T359" s="21" t="n">
        <v>0.05</v>
      </c>
      <c r="U359" s="36" t="inlineStr">
        <is>
          <t>Tier 1A (Direct Coloc, &lt;1 km)</t>
        </is>
      </c>
      <c r="V359" s="20" t="n">
        <v>100</v>
      </c>
      <c r="W359" s="20" t="n">
        <v>100</v>
      </c>
      <c r="X359" s="20" t="n">
        <v>28</v>
      </c>
      <c r="Y359" s="40">
        <f>ROUND((V359*'Methodology &amp; Assumptions'!$B$6)+(W359*'Methodology &amp; Assumptions'!$B$5)+(X359*'Methodology &amp; Assumptions'!$B$7), 2)</f>
        <v/>
      </c>
    </row>
    <row r="360" ht="19" customHeight="1">
      <c r="A360" s="41" t="n">
        <v>356</v>
      </c>
      <c r="B360" s="41" t="n">
        <v>356</v>
      </c>
      <c r="C360" s="42" t="inlineStr">
        <is>
          <t>1004311007</t>
        </is>
      </c>
      <c r="D360" s="42" t="inlineStr">
        <is>
          <t>Region X (Northern Mindanao)</t>
        </is>
      </c>
      <c r="E360" s="42" t="inlineStr">
        <is>
          <t>Misamis Oriental</t>
        </is>
      </c>
      <c r="F360" s="42" t="inlineStr">
        <is>
          <t>Jasaan</t>
        </is>
      </c>
      <c r="G360" s="42" t="inlineStr">
        <is>
          <t>Lower Jasaan</t>
        </is>
      </c>
      <c r="H360" s="43" t="n">
        <v>8.65011</v>
      </c>
      <c r="I360" s="43" t="n">
        <v>124.753454</v>
      </c>
      <c r="J360" s="44" t="inlineStr">
        <is>
          <t>U</t>
        </is>
      </c>
      <c r="K360" s="42" t="inlineStr">
        <is>
          <t>Class 1-3 / Urban</t>
        </is>
      </c>
      <c r="L360" s="23" t="n">
        <v>5946</v>
      </c>
      <c r="M360" s="24" t="n">
        <v>4.54</v>
      </c>
      <c r="N360" s="23">
        <f>ROUND(L360/M360, 0)</f>
        <v/>
      </c>
      <c r="O360" s="23">
        <f>ROUND(N360*'Methodology &amp; Assumptions'!$B$8, 0)</f>
        <v/>
      </c>
      <c r="P360" s="44" t="inlineStr">
        <is>
          <t>Band n50 (1.5 GHz, 60 MHz)</t>
        </is>
      </c>
      <c r="Q360" s="38">
        <f>ROUNDUP(O360/'Methodology &amp; Assumptions'!$B$9, 0)</f>
        <v/>
      </c>
      <c r="R360" s="39" t="n">
        <v>1</v>
      </c>
      <c r="S360" s="25" t="n">
        <v>0.1</v>
      </c>
      <c r="T360" s="25" t="n">
        <v>0.22</v>
      </c>
      <c r="U360" s="42" t="inlineStr">
        <is>
          <t>Tier 1A (Direct Coloc, &lt;1 km)</t>
        </is>
      </c>
      <c r="V360" s="24" t="n">
        <v>100</v>
      </c>
      <c r="W360" s="24" t="n">
        <v>100</v>
      </c>
      <c r="X360" s="24" t="n">
        <v>28</v>
      </c>
      <c r="Y360" s="45">
        <f>ROUND((V360*'Methodology &amp; Assumptions'!$B$6)+(W360*'Methodology &amp; Assumptions'!$B$5)+(X360*'Methodology &amp; Assumptions'!$B$7), 2)</f>
        <v/>
      </c>
    </row>
    <row r="361" ht="19" customHeight="1">
      <c r="A361" s="35" t="n">
        <v>357</v>
      </c>
      <c r="B361" s="35" t="n">
        <v>357</v>
      </c>
      <c r="C361" s="36" t="inlineStr">
        <is>
          <t>0601914047</t>
        </is>
      </c>
      <c r="D361" s="36" t="inlineStr">
        <is>
          <t>Region VI (Western Visayas)</t>
        </is>
      </c>
      <c r="E361" s="36" t="inlineStr">
        <is>
          <t>Capiz</t>
        </is>
      </c>
      <c r="F361" s="36" t="inlineStr">
        <is>
          <t>City of Roxas</t>
        </is>
      </c>
      <c r="G361" s="36" t="inlineStr">
        <is>
          <t>Tanque</t>
        </is>
      </c>
      <c r="H361" s="37" t="n">
        <v>11.587696</v>
      </c>
      <c r="I361" s="37" t="n">
        <v>122.74778</v>
      </c>
      <c r="J361" s="8" t="inlineStr">
        <is>
          <t>U</t>
        </is>
      </c>
      <c r="K361" s="36" t="inlineStr">
        <is>
          <t>Class 1-3 / Urban</t>
        </is>
      </c>
      <c r="L361" s="18" t="n">
        <v>5922</v>
      </c>
      <c r="M361" s="20" t="n">
        <v>4.2</v>
      </c>
      <c r="N361" s="18">
        <f>ROUND(L361/M361, 0)</f>
        <v/>
      </c>
      <c r="O361" s="18">
        <f>ROUND(N361*'Methodology &amp; Assumptions'!$B$8, 0)</f>
        <v/>
      </c>
      <c r="P361" s="8" t="inlineStr">
        <is>
          <t>Band n50 (1.5 GHz, 60 MHz)</t>
        </is>
      </c>
      <c r="Q361" s="38">
        <f>ROUNDUP(O361/'Methodology &amp; Assumptions'!$B$9, 0)</f>
        <v/>
      </c>
      <c r="R361" s="39" t="n">
        <v>1</v>
      </c>
      <c r="S361" s="21" t="n">
        <v>0.15</v>
      </c>
      <c r="T361" s="21" t="n">
        <v>0.12</v>
      </c>
      <c r="U361" s="36" t="inlineStr">
        <is>
          <t>Tier 1A (Direct Coloc, &lt;1 km)</t>
        </is>
      </c>
      <c r="V361" s="20" t="n">
        <v>100</v>
      </c>
      <c r="W361" s="20" t="n">
        <v>100</v>
      </c>
      <c r="X361" s="20" t="n">
        <v>28</v>
      </c>
      <c r="Y361" s="40">
        <f>ROUND((V361*'Methodology &amp; Assumptions'!$B$6)+(W361*'Methodology &amp; Assumptions'!$B$5)+(X361*'Methodology &amp; Assumptions'!$B$7), 2)</f>
        <v/>
      </c>
    </row>
    <row r="362" ht="19" customHeight="1">
      <c r="A362" s="41" t="n">
        <v>358</v>
      </c>
      <c r="B362" s="41" t="n">
        <v>358</v>
      </c>
      <c r="C362" s="42" t="inlineStr">
        <is>
          <t>0402118016</t>
        </is>
      </c>
      <c r="D362" s="42" t="inlineStr">
        <is>
          <t>Region IV-A (CALABARZON)</t>
        </is>
      </c>
      <c r="E362" s="42" t="inlineStr">
        <is>
          <t>Cavite</t>
        </is>
      </c>
      <c r="F362" s="42" t="inlineStr">
        <is>
          <t>Silang</t>
        </is>
      </c>
      <c r="G362" s="42" t="inlineStr">
        <is>
          <t>Inchican</t>
        </is>
      </c>
      <c r="H362" s="43" t="n">
        <v>14.251611</v>
      </c>
      <c r="I362" s="43" t="n">
        <v>121.053103</v>
      </c>
      <c r="J362" s="44" t="inlineStr">
        <is>
          <t>U</t>
        </is>
      </c>
      <c r="K362" s="42" t="inlineStr">
        <is>
          <t>Class 1-3 / Urban</t>
        </is>
      </c>
      <c r="L362" s="23" t="n">
        <v>5895</v>
      </c>
      <c r="M362" s="24" t="n">
        <v>4.49</v>
      </c>
      <c r="N362" s="23">
        <f>ROUND(L362/M362, 0)</f>
        <v/>
      </c>
      <c r="O362" s="23">
        <f>ROUND(N362*'Methodology &amp; Assumptions'!$B$8, 0)</f>
        <v/>
      </c>
      <c r="P362" s="44" t="inlineStr">
        <is>
          <t>Band n50 (1.5 GHz, 60 MHz)</t>
        </is>
      </c>
      <c r="Q362" s="38">
        <f>ROUNDUP(O362/'Methodology &amp; Assumptions'!$B$9, 0)</f>
        <v/>
      </c>
      <c r="R362" s="39" t="n">
        <v>1</v>
      </c>
      <c r="S362" s="25" t="n">
        <v>0.02</v>
      </c>
      <c r="T362" s="25" t="n">
        <v>1.09</v>
      </c>
      <c r="U362" s="42" t="inlineStr">
        <is>
          <t>Tier 1A (Direct Coloc, &lt;1 km)</t>
        </is>
      </c>
      <c r="V362" s="24" t="n">
        <v>100</v>
      </c>
      <c r="W362" s="24" t="n">
        <v>100</v>
      </c>
      <c r="X362" s="24" t="n">
        <v>28</v>
      </c>
      <c r="Y362" s="45">
        <f>ROUND((V362*'Methodology &amp; Assumptions'!$B$6)+(W362*'Methodology &amp; Assumptions'!$B$5)+(X362*'Methodology &amp; Assumptions'!$B$7), 2)</f>
        <v/>
      </c>
    </row>
    <row r="363" ht="19" customHeight="1">
      <c r="A363" s="35" t="n">
        <v>359</v>
      </c>
      <c r="B363" s="35" t="n">
        <v>359</v>
      </c>
      <c r="C363" s="36" t="inlineStr">
        <is>
          <t>0405608017</t>
        </is>
      </c>
      <c r="D363" s="36" t="inlineStr">
        <is>
          <t>Region IV-A (CALABARZON)</t>
        </is>
      </c>
      <c r="E363" s="36" t="inlineStr">
        <is>
          <t>Quezon</t>
        </is>
      </c>
      <c r="F363" s="36" t="inlineStr">
        <is>
          <t>Candelaria</t>
        </is>
      </c>
      <c r="G363" s="36" t="inlineStr">
        <is>
          <t>Masin Sur</t>
        </is>
      </c>
      <c r="H363" s="37" t="n">
        <v>13.929297</v>
      </c>
      <c r="I363" s="37" t="n">
        <v>121.410344</v>
      </c>
      <c r="J363" s="8" t="inlineStr">
        <is>
          <t>U</t>
        </is>
      </c>
      <c r="K363" s="36" t="inlineStr">
        <is>
          <t>Class 1-3 / Urban</t>
        </is>
      </c>
      <c r="L363" s="18" t="n">
        <v>5862</v>
      </c>
      <c r="M363" s="20" t="n">
        <v>4.46</v>
      </c>
      <c r="N363" s="18">
        <f>ROUND(L363/M363, 0)</f>
        <v/>
      </c>
      <c r="O363" s="18">
        <f>ROUND(N363*'Methodology &amp; Assumptions'!$B$8, 0)</f>
        <v/>
      </c>
      <c r="P363" s="8" t="inlineStr">
        <is>
          <t>Band n50 (1.5 GHz, 60 MHz)</t>
        </is>
      </c>
      <c r="Q363" s="38">
        <f>ROUNDUP(O363/'Methodology &amp; Assumptions'!$B$9, 0)</f>
        <v/>
      </c>
      <c r="R363" s="39" t="n">
        <v>1</v>
      </c>
      <c r="S363" s="21" t="n">
        <v>0.14</v>
      </c>
      <c r="T363" s="21" t="n">
        <v>0.13</v>
      </c>
      <c r="U363" s="36" t="inlineStr">
        <is>
          <t>Tier 1A (Direct Coloc, &lt;1 km)</t>
        </is>
      </c>
      <c r="V363" s="20" t="n">
        <v>100</v>
      </c>
      <c r="W363" s="20" t="n">
        <v>100</v>
      </c>
      <c r="X363" s="20" t="n">
        <v>28</v>
      </c>
      <c r="Y363" s="40">
        <f>ROUND((V363*'Methodology &amp; Assumptions'!$B$6)+(W363*'Methodology &amp; Assumptions'!$B$5)+(X363*'Methodology &amp; Assumptions'!$B$7), 2)</f>
        <v/>
      </c>
    </row>
    <row r="364" ht="19" customHeight="1">
      <c r="A364" s="41" t="n">
        <v>360</v>
      </c>
      <c r="B364" s="41" t="n">
        <v>360</v>
      </c>
      <c r="C364" s="42" t="inlineStr">
        <is>
          <t>0301420010</t>
        </is>
      </c>
      <c r="D364" s="42" t="inlineStr">
        <is>
          <t>Region III (Central Luzon)</t>
        </is>
      </c>
      <c r="E364" s="42" t="inlineStr">
        <is>
          <t>Bulacan</t>
        </is>
      </c>
      <c r="F364" s="42" t="inlineStr">
        <is>
          <t>City of San Jose Del Monte</t>
        </is>
      </c>
      <c r="G364" s="42" t="inlineStr">
        <is>
          <t>Sapang Palay</t>
        </is>
      </c>
      <c r="H364" s="43" t="n">
        <v>14.841025</v>
      </c>
      <c r="I364" s="43" t="n">
        <v>121.038433</v>
      </c>
      <c r="J364" s="44" t="inlineStr">
        <is>
          <t>U</t>
        </is>
      </c>
      <c r="K364" s="42" t="inlineStr">
        <is>
          <t>Class 1-3 / Urban</t>
        </is>
      </c>
      <c r="L364" s="23" t="n">
        <v>5804</v>
      </c>
      <c r="M364" s="24" t="n">
        <v>4.1</v>
      </c>
      <c r="N364" s="23">
        <f>ROUND(L364/M364, 0)</f>
        <v/>
      </c>
      <c r="O364" s="23">
        <f>ROUND(N364*'Methodology &amp; Assumptions'!$B$8, 0)</f>
        <v/>
      </c>
      <c r="P364" s="44" t="inlineStr">
        <is>
          <t>Band n50 (1.5 GHz, 60 MHz)</t>
        </is>
      </c>
      <c r="Q364" s="38">
        <f>ROUNDUP(O364/'Methodology &amp; Assumptions'!$B$9, 0)</f>
        <v/>
      </c>
      <c r="R364" s="39" t="n">
        <v>1</v>
      </c>
      <c r="S364" s="25" t="n">
        <v>0.2</v>
      </c>
      <c r="T364" s="25" t="n">
        <v>1.26</v>
      </c>
      <c r="U364" s="42" t="inlineStr">
        <is>
          <t>Tier 1A (Direct Coloc, &lt;1 km)</t>
        </is>
      </c>
      <c r="V364" s="24" t="n">
        <v>100</v>
      </c>
      <c r="W364" s="24" t="n">
        <v>100</v>
      </c>
      <c r="X364" s="24" t="n">
        <v>28</v>
      </c>
      <c r="Y364" s="45">
        <f>ROUND((V364*'Methodology &amp; Assumptions'!$B$6)+(W364*'Methodology &amp; Assumptions'!$B$5)+(X364*'Methodology &amp; Assumptions'!$B$7), 2)</f>
        <v/>
      </c>
    </row>
    <row r="365" ht="19" customHeight="1">
      <c r="A365" s="35" t="n">
        <v>361</v>
      </c>
      <c r="B365" s="35" t="n">
        <v>361</v>
      </c>
      <c r="C365" s="36" t="inlineStr">
        <is>
          <t>0203126013</t>
        </is>
      </c>
      <c r="D365" s="36" t="inlineStr">
        <is>
          <t>Region II (Cagayan Valley)</t>
        </is>
      </c>
      <c r="E365" s="36" t="inlineStr">
        <is>
          <t>Isabela</t>
        </is>
      </c>
      <c r="F365" s="36" t="inlineStr">
        <is>
          <t>Roxas</t>
        </is>
      </c>
      <c r="G365" s="36" t="inlineStr">
        <is>
          <t>Bantug</t>
        </is>
      </c>
      <c r="H365" s="37" t="n">
        <v>17.117175</v>
      </c>
      <c r="I365" s="37" t="n">
        <v>121.61692</v>
      </c>
      <c r="J365" s="8" t="inlineStr">
        <is>
          <t>U</t>
        </is>
      </c>
      <c r="K365" s="36" t="inlineStr">
        <is>
          <t>Class 1-3 / Urban</t>
        </is>
      </c>
      <c r="L365" s="18" t="n">
        <v>5703</v>
      </c>
      <c r="M365" s="20" t="n">
        <v>4.3</v>
      </c>
      <c r="N365" s="18">
        <f>ROUND(L365/M365, 0)</f>
        <v/>
      </c>
      <c r="O365" s="18">
        <f>ROUND(N365*'Methodology &amp; Assumptions'!$B$8, 0)</f>
        <v/>
      </c>
      <c r="P365" s="8" t="inlineStr">
        <is>
          <t>Band n50 (1.5 GHz, 60 MHz)</t>
        </is>
      </c>
      <c r="Q365" s="38">
        <f>ROUNDUP(O365/'Methodology &amp; Assumptions'!$B$9, 0)</f>
        <v/>
      </c>
      <c r="R365" s="39" t="n">
        <v>1</v>
      </c>
      <c r="S365" s="21" t="n">
        <v>0.23</v>
      </c>
      <c r="T365" s="21" t="n">
        <v>0.22</v>
      </c>
      <c r="U365" s="36" t="inlineStr">
        <is>
          <t>Tier 1A (Direct Coloc, &lt;1 km)</t>
        </is>
      </c>
      <c r="V365" s="20" t="n">
        <v>100</v>
      </c>
      <c r="W365" s="20" t="n">
        <v>100</v>
      </c>
      <c r="X365" s="20" t="n">
        <v>28</v>
      </c>
      <c r="Y365" s="40">
        <f>ROUND((V365*'Methodology &amp; Assumptions'!$B$6)+(W365*'Methodology &amp; Assumptions'!$B$5)+(X365*'Methodology &amp; Assumptions'!$B$7), 2)</f>
        <v/>
      </c>
    </row>
    <row r="366" ht="19" customHeight="1">
      <c r="A366" s="41" t="n">
        <v>362</v>
      </c>
      <c r="B366" s="41" t="n">
        <v>362</v>
      </c>
      <c r="C366" s="42" t="inlineStr">
        <is>
          <t>1004319011</t>
        </is>
      </c>
      <c r="D366" s="42" t="inlineStr">
        <is>
          <t>Region X (Northern Mindanao)</t>
        </is>
      </c>
      <c r="E366" s="42" t="inlineStr">
        <is>
          <t>Misamis Oriental</t>
        </is>
      </c>
      <c r="F366" s="42" t="inlineStr">
        <is>
          <t>Medina</t>
        </is>
      </c>
      <c r="G366" s="42" t="inlineStr">
        <is>
          <t>North Poblacion</t>
        </is>
      </c>
      <c r="H366" s="43" t="n">
        <v>8.9129</v>
      </c>
      <c r="I366" s="43" t="n">
        <v>125.025293</v>
      </c>
      <c r="J366" s="44" t="inlineStr">
        <is>
          <t>U</t>
        </is>
      </c>
      <c r="K366" s="42" t="inlineStr">
        <is>
          <t>2nd</t>
        </is>
      </c>
      <c r="L366" s="23" t="n">
        <v>5643</v>
      </c>
      <c r="M366" s="24" t="n">
        <v>4.59</v>
      </c>
      <c r="N366" s="23">
        <f>ROUND(L366/M366, 0)</f>
        <v/>
      </c>
      <c r="O366" s="23">
        <f>ROUND(N366*'Methodology &amp; Assumptions'!$B$8, 0)</f>
        <v/>
      </c>
      <c r="P366" s="44" t="inlineStr">
        <is>
          <t>Band n50 (1.5 GHz, 60 MHz)</t>
        </is>
      </c>
      <c r="Q366" s="38">
        <f>ROUNDUP(O366/'Methodology &amp; Assumptions'!$B$9, 0)</f>
        <v/>
      </c>
      <c r="R366" s="39" t="n">
        <v>1</v>
      </c>
      <c r="S366" s="25" t="n">
        <v>0.04</v>
      </c>
      <c r="T366" s="25" t="n">
        <v>1.55</v>
      </c>
      <c r="U366" s="42" t="inlineStr">
        <is>
          <t>Tier 1A (Direct Coloc, &lt;1 km)</t>
        </is>
      </c>
      <c r="V366" s="24" t="n">
        <v>100</v>
      </c>
      <c r="W366" s="24" t="n">
        <v>100</v>
      </c>
      <c r="X366" s="24" t="n">
        <v>28</v>
      </c>
      <c r="Y366" s="45">
        <f>ROUND((V366*'Methodology &amp; Assumptions'!$B$6)+(W366*'Methodology &amp; Assumptions'!$B$5)+(X366*'Methodology &amp; Assumptions'!$B$7), 2)</f>
        <v/>
      </c>
    </row>
    <row r="367" ht="19" customHeight="1">
      <c r="A367" s="35" t="n">
        <v>363</v>
      </c>
      <c r="B367" s="35" t="n">
        <v>363</v>
      </c>
      <c r="C367" s="36" t="inlineStr">
        <is>
          <t>0403425025</t>
        </is>
      </c>
      <c r="D367" s="36" t="inlineStr">
        <is>
          <t>Region IV-A (CALABARZON)</t>
        </is>
      </c>
      <c r="E367" s="36" t="inlineStr">
        <is>
          <t>Laguna</t>
        </is>
      </c>
      <c r="F367" s="36" t="inlineStr">
        <is>
          <t>City of San Pedro</t>
        </is>
      </c>
      <c r="G367" s="36" t="inlineStr">
        <is>
          <t>Maharlika</t>
        </is>
      </c>
      <c r="H367" s="37" t="n">
        <v>14.343602</v>
      </c>
      <c r="I367" s="37" t="n">
        <v>121.042235</v>
      </c>
      <c r="J367" s="8" t="inlineStr">
        <is>
          <t>U</t>
        </is>
      </c>
      <c r="K367" s="36" t="inlineStr">
        <is>
          <t>Class 1-3 / Urban</t>
        </is>
      </c>
      <c r="L367" s="18" t="n">
        <v>5580</v>
      </c>
      <c r="M367" s="20" t="n">
        <v>4.2</v>
      </c>
      <c r="N367" s="18">
        <f>ROUND(L367/M367, 0)</f>
        <v/>
      </c>
      <c r="O367" s="18">
        <f>ROUND(N367*'Methodology &amp; Assumptions'!$B$8, 0)</f>
        <v/>
      </c>
      <c r="P367" s="8" t="inlineStr">
        <is>
          <t>Band n50 (1.5 GHz, 60 MHz)</t>
        </is>
      </c>
      <c r="Q367" s="38">
        <f>ROUNDUP(O367/'Methodology &amp; Assumptions'!$B$9, 0)</f>
        <v/>
      </c>
      <c r="R367" s="39" t="n">
        <v>1</v>
      </c>
      <c r="S367" s="21" t="n">
        <v>0.23</v>
      </c>
      <c r="T367" s="21" t="n">
        <v>0.22</v>
      </c>
      <c r="U367" s="36" t="inlineStr">
        <is>
          <t>Tier 1A (Direct Coloc, &lt;1 km)</t>
        </is>
      </c>
      <c r="V367" s="20" t="n">
        <v>100</v>
      </c>
      <c r="W367" s="20" t="n">
        <v>100</v>
      </c>
      <c r="X367" s="20" t="n">
        <v>28</v>
      </c>
      <c r="Y367" s="40">
        <f>ROUND((V367*'Methodology &amp; Assumptions'!$B$6)+(W367*'Methodology &amp; Assumptions'!$B$5)+(X367*'Methodology &amp; Assumptions'!$B$7), 2)</f>
        <v/>
      </c>
    </row>
    <row r="368" ht="19" customHeight="1">
      <c r="A368" s="41" t="n">
        <v>364</v>
      </c>
      <c r="B368" s="41" t="n">
        <v>364</v>
      </c>
      <c r="C368" s="42" t="inlineStr">
        <is>
          <t>0405644001</t>
        </is>
      </c>
      <c r="D368" s="42" t="inlineStr">
        <is>
          <t>Region IV-A (CALABARZON)</t>
        </is>
      </c>
      <c r="E368" s="42" t="inlineStr">
        <is>
          <t>Quezon</t>
        </is>
      </c>
      <c r="F368" s="42" t="inlineStr">
        <is>
          <t>San Narciso</t>
        </is>
      </c>
      <c r="G368" s="42" t="inlineStr">
        <is>
          <t>Abuyon</t>
        </is>
      </c>
      <c r="H368" s="43" t="n">
        <v>13.62259</v>
      </c>
      <c r="I368" s="43" t="n">
        <v>122.51976</v>
      </c>
      <c r="J368" s="44" t="inlineStr">
        <is>
          <t>U</t>
        </is>
      </c>
      <c r="K368" s="42" t="inlineStr">
        <is>
          <t>Class 1-3 / Urban</t>
        </is>
      </c>
      <c r="L368" s="23" t="n">
        <v>5580</v>
      </c>
      <c r="M368" s="24" t="n">
        <v>4.46</v>
      </c>
      <c r="N368" s="23">
        <f>ROUND(L368/M368, 0)</f>
        <v/>
      </c>
      <c r="O368" s="23">
        <f>ROUND(N368*'Methodology &amp; Assumptions'!$B$8, 0)</f>
        <v/>
      </c>
      <c r="P368" s="44" t="inlineStr">
        <is>
          <t>Band n50 (1.5 GHz, 60 MHz)</t>
        </is>
      </c>
      <c r="Q368" s="38">
        <f>ROUNDUP(O368/'Methodology &amp; Assumptions'!$B$9, 0)</f>
        <v/>
      </c>
      <c r="R368" s="39" t="n">
        <v>1</v>
      </c>
      <c r="S368" s="25" t="n">
        <v>0.19</v>
      </c>
      <c r="T368" s="25" t="n">
        <v>0.19</v>
      </c>
      <c r="U368" s="42" t="inlineStr">
        <is>
          <t>Tier 1A (Direct Coloc, &lt;1 km)</t>
        </is>
      </c>
      <c r="V368" s="24" t="n">
        <v>100</v>
      </c>
      <c r="W368" s="24" t="n">
        <v>100</v>
      </c>
      <c r="X368" s="24" t="n">
        <v>28</v>
      </c>
      <c r="Y368" s="45">
        <f>ROUND((V368*'Methodology &amp; Assumptions'!$B$6)+(W368*'Methodology &amp; Assumptions'!$B$5)+(X368*'Methodology &amp; Assumptions'!$B$7), 2)</f>
        <v/>
      </c>
    </row>
    <row r="369" ht="19" customHeight="1">
      <c r="A369" s="35" t="n">
        <v>365</v>
      </c>
      <c r="B369" s="35" t="n">
        <v>365</v>
      </c>
      <c r="C369" s="36" t="inlineStr">
        <is>
          <t>0304905015</t>
        </is>
      </c>
      <c r="D369" s="36" t="inlineStr">
        <is>
          <t>Region III (Central Luzon)</t>
        </is>
      </c>
      <c r="E369" s="36" t="inlineStr">
        <is>
          <t>Nueva Ecija</t>
        </is>
      </c>
      <c r="F369" s="36" t="inlineStr">
        <is>
          <t>Carranglan</t>
        </is>
      </c>
      <c r="G369" s="36" t="inlineStr">
        <is>
          <t>Joson</t>
        </is>
      </c>
      <c r="H369" s="37" t="n">
        <v>15.9489</v>
      </c>
      <c r="I369" s="37" t="n">
        <v>120.977337</v>
      </c>
      <c r="J369" s="8" t="inlineStr">
        <is>
          <t>U</t>
        </is>
      </c>
      <c r="K369" s="36" t="inlineStr">
        <is>
          <t>Class 1-3 / Urban</t>
        </is>
      </c>
      <c r="L369" s="18" t="n">
        <v>5573</v>
      </c>
      <c r="M369" s="20" t="n">
        <v>4.32</v>
      </c>
      <c r="N369" s="18">
        <f>ROUND(L369/M369, 0)</f>
        <v/>
      </c>
      <c r="O369" s="18">
        <f>ROUND(N369*'Methodology &amp; Assumptions'!$B$8, 0)</f>
        <v/>
      </c>
      <c r="P369" s="8" t="inlineStr">
        <is>
          <t>Band n50 (1.5 GHz, 60 MHz)</t>
        </is>
      </c>
      <c r="Q369" s="38">
        <f>ROUNDUP(O369/'Methodology &amp; Assumptions'!$B$9, 0)</f>
        <v/>
      </c>
      <c r="R369" s="39" t="n">
        <v>1</v>
      </c>
      <c r="S369" s="21" t="n">
        <v>0.3</v>
      </c>
      <c r="T369" s="21" t="n">
        <v>0.12</v>
      </c>
      <c r="U369" s="36" t="inlineStr">
        <is>
          <t>Tier 1A (Direct Coloc, &lt;1 km)</t>
        </is>
      </c>
      <c r="V369" s="20" t="n">
        <v>100</v>
      </c>
      <c r="W369" s="20" t="n">
        <v>100</v>
      </c>
      <c r="X369" s="20" t="n">
        <v>28</v>
      </c>
      <c r="Y369" s="40">
        <f>ROUND((V369*'Methodology &amp; Assumptions'!$B$6)+(W369*'Methodology &amp; Assumptions'!$B$5)+(X369*'Methodology &amp; Assumptions'!$B$7), 2)</f>
        <v/>
      </c>
    </row>
    <row r="370" ht="19" customHeight="1">
      <c r="A370" s="41" t="n">
        <v>366</v>
      </c>
      <c r="B370" s="41" t="n">
        <v>366</v>
      </c>
      <c r="C370" s="42" t="inlineStr">
        <is>
          <t>1600201011</t>
        </is>
      </c>
      <c r="D370" s="42" t="inlineStr">
        <is>
          <t>Region XIII (Caraga)</t>
        </is>
      </c>
      <c r="E370" s="42" t="inlineStr">
        <is>
          <t>Agusan del Norte</t>
        </is>
      </c>
      <c r="F370" s="42" t="inlineStr">
        <is>
          <t>Buenavista</t>
        </is>
      </c>
      <c r="G370" s="42" t="inlineStr">
        <is>
          <t>Matabao</t>
        </is>
      </c>
      <c r="H370" s="43" t="n">
        <v>8.968622</v>
      </c>
      <c r="I370" s="43" t="n">
        <v>125.419886</v>
      </c>
      <c r="J370" s="44" t="inlineStr">
        <is>
          <t>U</t>
        </is>
      </c>
      <c r="K370" s="42" t="inlineStr">
        <is>
          <t>Class 1-3 / Urban</t>
        </is>
      </c>
      <c r="L370" s="23" t="n">
        <v>5560</v>
      </c>
      <c r="M370" s="24" t="n">
        <v>4.63</v>
      </c>
      <c r="N370" s="23">
        <f>ROUND(L370/M370, 0)</f>
        <v/>
      </c>
      <c r="O370" s="23">
        <f>ROUND(N370*'Methodology &amp; Assumptions'!$B$8, 0)</f>
        <v/>
      </c>
      <c r="P370" s="44" t="inlineStr">
        <is>
          <t>Band n50 (1.5 GHz, 60 MHz)</t>
        </is>
      </c>
      <c r="Q370" s="38">
        <f>ROUNDUP(O370/'Methodology &amp; Assumptions'!$B$9, 0)</f>
        <v/>
      </c>
      <c r="R370" s="39" t="n">
        <v>1</v>
      </c>
      <c r="S370" s="25" t="n">
        <v>0.3</v>
      </c>
      <c r="T370" s="25" t="n">
        <v>0.01</v>
      </c>
      <c r="U370" s="42" t="inlineStr">
        <is>
          <t>Tier 1A (Direct Coloc, &lt;1 km)</t>
        </is>
      </c>
      <c r="V370" s="24" t="n">
        <v>100</v>
      </c>
      <c r="W370" s="24" t="n">
        <v>100</v>
      </c>
      <c r="X370" s="24" t="n">
        <v>28</v>
      </c>
      <c r="Y370" s="45">
        <f>ROUND((V370*'Methodology &amp; Assumptions'!$B$6)+(W370*'Methodology &amp; Assumptions'!$B$5)+(X370*'Methodology &amp; Assumptions'!$B$7), 2)</f>
        <v/>
      </c>
    </row>
    <row r="371" ht="19" customHeight="1">
      <c r="A371" s="35" t="n">
        <v>367</v>
      </c>
      <c r="B371" s="35" t="n">
        <v>367</v>
      </c>
      <c r="C371" s="36" t="inlineStr">
        <is>
          <t>0304908001</t>
        </is>
      </c>
      <c r="D371" s="36" t="inlineStr">
        <is>
          <t>Region III (Central Luzon)</t>
        </is>
      </c>
      <c r="E371" s="36" t="inlineStr">
        <is>
          <t>Nueva Ecija</t>
        </is>
      </c>
      <c r="F371" s="36" t="inlineStr">
        <is>
          <t>City of Gapan</t>
        </is>
      </c>
      <c r="G371" s="36" t="inlineStr">
        <is>
          <t>Bayanihan</t>
        </is>
      </c>
      <c r="H371" s="37" t="n">
        <v>15.296537</v>
      </c>
      <c r="I371" s="37" t="n">
        <v>120.948567</v>
      </c>
      <c r="J371" s="8" t="inlineStr">
        <is>
          <t>U</t>
        </is>
      </c>
      <c r="K371" s="36" t="inlineStr">
        <is>
          <t>Class 1-3 / Urban</t>
        </is>
      </c>
      <c r="L371" s="18" t="n">
        <v>5504</v>
      </c>
      <c r="M371" s="20" t="n">
        <v>4.32</v>
      </c>
      <c r="N371" s="18">
        <f>ROUND(L371/M371, 0)</f>
        <v/>
      </c>
      <c r="O371" s="18">
        <f>ROUND(N371*'Methodology &amp; Assumptions'!$B$8, 0)</f>
        <v/>
      </c>
      <c r="P371" s="8" t="inlineStr">
        <is>
          <t>Band n50 (1.5 GHz, 60 MHz)</t>
        </is>
      </c>
      <c r="Q371" s="38">
        <f>ROUNDUP(O371/'Methodology &amp; Assumptions'!$B$9, 0)</f>
        <v/>
      </c>
      <c r="R371" s="39" t="n">
        <v>1</v>
      </c>
      <c r="S371" s="21" t="n">
        <v>0.02</v>
      </c>
      <c r="T371" s="21" t="n">
        <v>0.06</v>
      </c>
      <c r="U371" s="36" t="inlineStr">
        <is>
          <t>Tier 1A (Direct Coloc, &lt;1 km)</t>
        </is>
      </c>
      <c r="V371" s="20" t="n">
        <v>100</v>
      </c>
      <c r="W371" s="20" t="n">
        <v>100</v>
      </c>
      <c r="X371" s="20" t="n">
        <v>28</v>
      </c>
      <c r="Y371" s="40">
        <f>ROUND((V371*'Methodology &amp; Assumptions'!$B$6)+(W371*'Methodology &amp; Assumptions'!$B$5)+(X371*'Methodology &amp; Assumptions'!$B$7), 2)</f>
        <v/>
      </c>
    </row>
    <row r="372" ht="19" customHeight="1">
      <c r="A372" s="41" t="n">
        <v>368</v>
      </c>
      <c r="B372" s="41" t="n">
        <v>368</v>
      </c>
      <c r="C372" s="42" t="inlineStr">
        <is>
          <t>0702251007</t>
        </is>
      </c>
      <c r="D372" s="42" t="inlineStr">
        <is>
          <t>Region VII (Central Visayas)</t>
        </is>
      </c>
      <c r="E372" s="42" t="inlineStr">
        <is>
          <t>Cebu</t>
        </is>
      </c>
      <c r="F372" s="42" t="inlineStr">
        <is>
          <t>City of Toledo</t>
        </is>
      </c>
      <c r="G372" s="42" t="inlineStr">
        <is>
          <t>Cabitoonan</t>
        </is>
      </c>
      <c r="H372" s="43" t="n">
        <v>10.35719</v>
      </c>
      <c r="I372" s="43" t="n">
        <v>123.613285</v>
      </c>
      <c r="J372" s="44" t="inlineStr">
        <is>
          <t>U</t>
        </is>
      </c>
      <c r="K372" s="42" t="inlineStr">
        <is>
          <t>Class 1-3 / Urban</t>
        </is>
      </c>
      <c r="L372" s="23" t="n">
        <v>5483</v>
      </c>
      <c r="M372" s="24" t="n">
        <v>4.42</v>
      </c>
      <c r="N372" s="23">
        <f>ROUND(L372/M372, 0)</f>
        <v/>
      </c>
      <c r="O372" s="23">
        <f>ROUND(N372*'Methodology &amp; Assumptions'!$B$8, 0)</f>
        <v/>
      </c>
      <c r="P372" s="44" t="inlineStr">
        <is>
          <t>Band n50 (1.5 GHz, 60 MHz)</t>
        </is>
      </c>
      <c r="Q372" s="38">
        <f>ROUNDUP(O372/'Methodology &amp; Assumptions'!$B$9, 0)</f>
        <v/>
      </c>
      <c r="R372" s="39" t="n">
        <v>1</v>
      </c>
      <c r="S372" s="25" t="n">
        <v>0.24</v>
      </c>
      <c r="T372" s="25" t="n">
        <v>0.28</v>
      </c>
      <c r="U372" s="42" t="inlineStr">
        <is>
          <t>Tier 1A (Direct Coloc, &lt;1 km)</t>
        </is>
      </c>
      <c r="V372" s="24" t="n">
        <v>100</v>
      </c>
      <c r="W372" s="24" t="n">
        <v>100</v>
      </c>
      <c r="X372" s="24" t="n">
        <v>28</v>
      </c>
      <c r="Y372" s="45">
        <f>ROUND((V372*'Methodology &amp; Assumptions'!$B$6)+(W372*'Methodology &amp; Assumptions'!$B$5)+(X372*'Methodology &amp; Assumptions'!$B$7), 2)</f>
        <v/>
      </c>
    </row>
    <row r="373" ht="19" customHeight="1">
      <c r="A373" s="35" t="n">
        <v>369</v>
      </c>
      <c r="B373" s="35" t="n">
        <v>369</v>
      </c>
      <c r="C373" s="36" t="inlineStr">
        <is>
          <t>0305406012</t>
        </is>
      </c>
      <c r="D373" s="36" t="inlineStr">
        <is>
          <t>Region III (Central Luzon)</t>
        </is>
      </c>
      <c r="E373" s="36" t="inlineStr">
        <is>
          <t>Pampanga</t>
        </is>
      </c>
      <c r="F373" s="36" t="inlineStr">
        <is>
          <t>Floridablanca</t>
        </is>
      </c>
      <c r="G373" s="36" t="inlineStr">
        <is>
          <t>Fortuna</t>
        </is>
      </c>
      <c r="H373" s="37" t="n">
        <v>14.979383</v>
      </c>
      <c r="I373" s="37" t="n">
        <v>120.517723</v>
      </c>
      <c r="J373" s="8" t="inlineStr">
        <is>
          <t>U</t>
        </is>
      </c>
      <c r="K373" s="36" t="inlineStr">
        <is>
          <t>Class 1-3 / Urban</t>
        </is>
      </c>
      <c r="L373" s="18" t="n">
        <v>5414</v>
      </c>
      <c r="M373" s="20" t="n">
        <v>4.63</v>
      </c>
      <c r="N373" s="18">
        <f>ROUND(L373/M373, 0)</f>
        <v/>
      </c>
      <c r="O373" s="18">
        <f>ROUND(N373*'Methodology &amp; Assumptions'!$B$8, 0)</f>
        <v/>
      </c>
      <c r="P373" s="8" t="inlineStr">
        <is>
          <t>Band n50 (1.5 GHz, 60 MHz)</t>
        </is>
      </c>
      <c r="Q373" s="38">
        <f>ROUNDUP(O373/'Methodology &amp; Assumptions'!$B$9, 0)</f>
        <v/>
      </c>
      <c r="R373" s="39" t="n">
        <v>1</v>
      </c>
      <c r="S373" s="21" t="n">
        <v>0.22</v>
      </c>
      <c r="T373" s="21" t="n">
        <v>1.27</v>
      </c>
      <c r="U373" s="36" t="inlineStr">
        <is>
          <t>Tier 1A (Direct Coloc, &lt;1 km)</t>
        </is>
      </c>
      <c r="V373" s="20" t="n">
        <v>100</v>
      </c>
      <c r="W373" s="20" t="n">
        <v>100</v>
      </c>
      <c r="X373" s="20" t="n">
        <v>28</v>
      </c>
      <c r="Y373" s="40">
        <f>ROUND((V373*'Methodology &amp; Assumptions'!$B$6)+(W373*'Methodology &amp; Assumptions'!$B$5)+(X373*'Methodology &amp; Assumptions'!$B$7), 2)</f>
        <v/>
      </c>
    </row>
    <row r="374" ht="19" customHeight="1">
      <c r="A374" s="41" t="n">
        <v>370</v>
      </c>
      <c r="B374" s="41" t="n">
        <v>370</v>
      </c>
      <c r="C374" s="42" t="inlineStr">
        <is>
          <t>0305403025</t>
        </is>
      </c>
      <c r="D374" s="42" t="inlineStr">
        <is>
          <t>Region III (Central Luzon)</t>
        </is>
      </c>
      <c r="E374" s="42" t="inlineStr">
        <is>
          <t>Pampanga</t>
        </is>
      </c>
      <c r="F374" s="42" t="inlineStr">
        <is>
          <t>Arayat</t>
        </is>
      </c>
      <c r="G374" s="42" t="inlineStr">
        <is>
          <t>San Jose Mesulo</t>
        </is>
      </c>
      <c r="H374" s="43" t="n">
        <v>15.142245</v>
      </c>
      <c r="I374" s="43" t="n">
        <v>120.773632</v>
      </c>
      <c r="J374" s="44" t="inlineStr">
        <is>
          <t>U</t>
        </is>
      </c>
      <c r="K374" s="42" t="inlineStr">
        <is>
          <t>Class 1-3 / Urban</t>
        </is>
      </c>
      <c r="L374" s="23" t="n">
        <v>5388</v>
      </c>
      <c r="M374" s="24" t="n">
        <v>4.63</v>
      </c>
      <c r="N374" s="23">
        <f>ROUND(L374/M374, 0)</f>
        <v/>
      </c>
      <c r="O374" s="23">
        <f>ROUND(N374*'Methodology &amp; Assumptions'!$B$8, 0)</f>
        <v/>
      </c>
      <c r="P374" s="44" t="inlineStr">
        <is>
          <t>Band n50 (1.5 GHz, 60 MHz)</t>
        </is>
      </c>
      <c r="Q374" s="38">
        <f>ROUNDUP(O374/'Methodology &amp; Assumptions'!$B$9, 0)</f>
        <v/>
      </c>
      <c r="R374" s="39" t="n">
        <v>1</v>
      </c>
      <c r="S374" s="25" t="n">
        <v>0.21</v>
      </c>
      <c r="T374" s="25" t="n">
        <v>0.17</v>
      </c>
      <c r="U374" s="42" t="inlineStr">
        <is>
          <t>Tier 1A (Direct Coloc, &lt;1 km)</t>
        </is>
      </c>
      <c r="V374" s="24" t="n">
        <v>100</v>
      </c>
      <c r="W374" s="24" t="n">
        <v>100</v>
      </c>
      <c r="X374" s="24" t="n">
        <v>28</v>
      </c>
      <c r="Y374" s="45">
        <f>ROUND((V374*'Methodology &amp; Assumptions'!$B$6)+(W374*'Methodology &amp; Assumptions'!$B$5)+(X374*'Methodology &amp; Assumptions'!$B$7), 2)</f>
        <v/>
      </c>
    </row>
    <row r="375" ht="19" customHeight="1">
      <c r="A375" s="35" t="n">
        <v>371</v>
      </c>
      <c r="B375" s="35" t="n">
        <v>371</v>
      </c>
      <c r="C375" s="36" t="inlineStr">
        <is>
          <t>0504111020</t>
        </is>
      </c>
      <c r="D375" s="36" t="inlineStr">
        <is>
          <t>Region V (Bicol Region)</t>
        </is>
      </c>
      <c r="E375" s="36" t="inlineStr">
        <is>
          <t>Masbate</t>
        </is>
      </c>
      <c r="F375" s="36" t="inlineStr">
        <is>
          <t>City of Masbate</t>
        </is>
      </c>
      <c r="G375" s="36" t="inlineStr">
        <is>
          <t>Kinamaligan</t>
        </is>
      </c>
      <c r="H375" s="37" t="n">
        <v>12.357346</v>
      </c>
      <c r="I375" s="37" t="n">
        <v>123.616643</v>
      </c>
      <c r="J375" s="8" t="inlineStr">
        <is>
          <t>U</t>
        </is>
      </c>
      <c r="K375" s="36" t="inlineStr">
        <is>
          <t>Class 1-3 / Urban</t>
        </is>
      </c>
      <c r="L375" s="18" t="n">
        <v>5379</v>
      </c>
      <c r="M375" s="20" t="n">
        <v>4.6</v>
      </c>
      <c r="N375" s="18">
        <f>ROUND(L375/M375, 0)</f>
        <v/>
      </c>
      <c r="O375" s="18">
        <f>ROUND(N375*'Methodology &amp; Assumptions'!$B$8, 0)</f>
        <v/>
      </c>
      <c r="P375" s="8" t="inlineStr">
        <is>
          <t>Band n50 (1.5 GHz, 60 MHz)</t>
        </is>
      </c>
      <c r="Q375" s="38">
        <f>ROUNDUP(O375/'Methodology &amp; Assumptions'!$B$9, 0)</f>
        <v/>
      </c>
      <c r="R375" s="39" t="n">
        <v>1</v>
      </c>
      <c r="S375" s="21" t="n">
        <v>0.04</v>
      </c>
      <c r="T375" s="21" t="n">
        <v>0.05</v>
      </c>
      <c r="U375" s="36" t="inlineStr">
        <is>
          <t>Tier 1A (Direct Coloc, &lt;1 km)</t>
        </is>
      </c>
      <c r="V375" s="20" t="n">
        <v>100</v>
      </c>
      <c r="W375" s="20" t="n">
        <v>100</v>
      </c>
      <c r="X375" s="20" t="n">
        <v>28</v>
      </c>
      <c r="Y375" s="40">
        <f>ROUND((V375*'Methodology &amp; Assumptions'!$B$6)+(W375*'Methodology &amp; Assumptions'!$B$5)+(X375*'Methodology &amp; Assumptions'!$B$7), 2)</f>
        <v/>
      </c>
    </row>
    <row r="376" ht="19" customHeight="1">
      <c r="A376" s="41" t="n">
        <v>372</v>
      </c>
      <c r="B376" s="41" t="n">
        <v>372</v>
      </c>
      <c r="C376" s="42" t="inlineStr">
        <is>
          <t>0301420033</t>
        </is>
      </c>
      <c r="D376" s="42" t="inlineStr">
        <is>
          <t>Region III (Central Luzon)</t>
        </is>
      </c>
      <c r="E376" s="42" t="inlineStr">
        <is>
          <t>Bulacan</t>
        </is>
      </c>
      <c r="F376" s="42" t="inlineStr">
        <is>
          <t>City of San Jose Del Monte</t>
        </is>
      </c>
      <c r="G376" s="42" t="inlineStr">
        <is>
          <t>Gumaoc East</t>
        </is>
      </c>
      <c r="H376" s="43" t="n">
        <v>14.799086</v>
      </c>
      <c r="I376" s="43" t="n">
        <v>121.067989</v>
      </c>
      <c r="J376" s="44" t="inlineStr">
        <is>
          <t>U</t>
        </is>
      </c>
      <c r="K376" s="42" t="inlineStr">
        <is>
          <t>Class 1-3 / Urban</t>
        </is>
      </c>
      <c r="L376" s="23" t="n">
        <v>5376</v>
      </c>
      <c r="M376" s="24" t="n">
        <v>4.1</v>
      </c>
      <c r="N376" s="23">
        <f>ROUND(L376/M376, 0)</f>
        <v/>
      </c>
      <c r="O376" s="23">
        <f>ROUND(N376*'Methodology &amp; Assumptions'!$B$8, 0)</f>
        <v/>
      </c>
      <c r="P376" s="44" t="inlineStr">
        <is>
          <t>Band n50 (1.5 GHz, 60 MHz)</t>
        </is>
      </c>
      <c r="Q376" s="38">
        <f>ROUNDUP(O376/'Methodology &amp; Assumptions'!$B$9, 0)</f>
        <v/>
      </c>
      <c r="R376" s="39" t="n">
        <v>1</v>
      </c>
      <c r="S376" s="25" t="n">
        <v>0.27</v>
      </c>
      <c r="T376" s="25" t="n">
        <v>0.72</v>
      </c>
      <c r="U376" s="42" t="inlineStr">
        <is>
          <t>Tier 1A (Direct Coloc, &lt;1 km)</t>
        </is>
      </c>
      <c r="V376" s="24" t="n">
        <v>100</v>
      </c>
      <c r="W376" s="24" t="n">
        <v>100</v>
      </c>
      <c r="X376" s="24" t="n">
        <v>28</v>
      </c>
      <c r="Y376" s="45">
        <f>ROUND((V376*'Methodology &amp; Assumptions'!$B$6)+(W376*'Methodology &amp; Assumptions'!$B$5)+(X376*'Methodology &amp; Assumptions'!$B$7), 2)</f>
        <v/>
      </c>
    </row>
    <row r="377" ht="19" customHeight="1">
      <c r="A377" s="35" t="n">
        <v>373</v>
      </c>
      <c r="B377" s="35" t="n">
        <v>373</v>
      </c>
      <c r="C377" s="36" t="inlineStr">
        <is>
          <t>0105535007</t>
        </is>
      </c>
      <c r="D377" s="36" t="inlineStr">
        <is>
          <t>Region I (Ilocos Region)</t>
        </is>
      </c>
      <c r="E377" s="36" t="inlineStr">
        <is>
          <t>Pangasinan</t>
        </is>
      </c>
      <c r="F377" s="36" t="inlineStr">
        <is>
          <t>San Manuel</t>
        </is>
      </c>
      <c r="G377" s="36" t="inlineStr">
        <is>
          <t>Guiset Norte</t>
        </is>
      </c>
      <c r="H377" s="37" t="n">
        <v>16.0671</v>
      </c>
      <c r="I377" s="37" t="n">
        <v>120.669</v>
      </c>
      <c r="J377" s="8" t="inlineStr">
        <is>
          <t>U</t>
        </is>
      </c>
      <c r="K377" s="36" t="inlineStr">
        <is>
          <t>Class 1-3 / Urban</t>
        </is>
      </c>
      <c r="L377" s="18" t="n">
        <v>5368</v>
      </c>
      <c r="M377" s="20" t="n">
        <v>4.39</v>
      </c>
      <c r="N377" s="18">
        <f>ROUND(L377/M377, 0)</f>
        <v/>
      </c>
      <c r="O377" s="18">
        <f>ROUND(N377*'Methodology &amp; Assumptions'!$B$8, 0)</f>
        <v/>
      </c>
      <c r="P377" s="8" t="inlineStr">
        <is>
          <t>Band n50 (1.5 GHz, 60 MHz)</t>
        </is>
      </c>
      <c r="Q377" s="38">
        <f>ROUNDUP(O377/'Methodology &amp; Assumptions'!$B$9, 0)</f>
        <v/>
      </c>
      <c r="R377" s="39" t="n">
        <v>1</v>
      </c>
      <c r="S377" s="21" t="n">
        <v>0.15</v>
      </c>
      <c r="T377" s="21" t="n">
        <v>0.5</v>
      </c>
      <c r="U377" s="36" t="inlineStr">
        <is>
          <t>Tier 1A (Direct Coloc, &lt;1 km)</t>
        </is>
      </c>
      <c r="V377" s="20" t="n">
        <v>100</v>
      </c>
      <c r="W377" s="20" t="n">
        <v>100</v>
      </c>
      <c r="X377" s="20" t="n">
        <v>28</v>
      </c>
      <c r="Y377" s="40">
        <f>ROUND((V377*'Methodology &amp; Assumptions'!$B$6)+(W377*'Methodology &amp; Assumptions'!$B$5)+(X377*'Methodology &amp; Assumptions'!$B$7), 2)</f>
        <v/>
      </c>
    </row>
    <row r="378" ht="19" customHeight="1">
      <c r="A378" s="41" t="n">
        <v>374</v>
      </c>
      <c r="B378" s="41" t="n">
        <v>374</v>
      </c>
      <c r="C378" s="42" t="inlineStr">
        <is>
          <t>0304901005</t>
        </is>
      </c>
      <c r="D378" s="42" t="inlineStr">
        <is>
          <t>Region III (Central Luzon)</t>
        </is>
      </c>
      <c r="E378" s="42" t="inlineStr">
        <is>
          <t>Nueva Ecija</t>
        </is>
      </c>
      <c r="F378" s="42" t="inlineStr">
        <is>
          <t>Aliaga</t>
        </is>
      </c>
      <c r="G378" s="42" t="inlineStr">
        <is>
          <t>Bucot</t>
        </is>
      </c>
      <c r="H378" s="43" t="n">
        <v>15.502415</v>
      </c>
      <c r="I378" s="43" t="n">
        <v>120.870691</v>
      </c>
      <c r="J378" s="44" t="inlineStr">
        <is>
          <t>U</t>
        </is>
      </c>
      <c r="K378" s="42" t="inlineStr">
        <is>
          <t>Class 1-3 / Urban</t>
        </is>
      </c>
      <c r="L378" s="23" t="n">
        <v>5355</v>
      </c>
      <c r="M378" s="24" t="n">
        <v>4.32</v>
      </c>
      <c r="N378" s="23">
        <f>ROUND(L378/M378, 0)</f>
        <v/>
      </c>
      <c r="O378" s="23">
        <f>ROUND(N378*'Methodology &amp; Assumptions'!$B$8, 0)</f>
        <v/>
      </c>
      <c r="P378" s="44" t="inlineStr">
        <is>
          <t>Band n50 (1.5 GHz, 60 MHz)</t>
        </is>
      </c>
      <c r="Q378" s="38">
        <f>ROUNDUP(O378/'Methodology &amp; Assumptions'!$B$9, 0)</f>
        <v/>
      </c>
      <c r="R378" s="39" t="n">
        <v>1</v>
      </c>
      <c r="S378" s="25" t="n">
        <v>0.06</v>
      </c>
      <c r="T378" s="25" t="n">
        <v>0.06</v>
      </c>
      <c r="U378" s="42" t="inlineStr">
        <is>
          <t>Tier 1A (Direct Coloc, &lt;1 km)</t>
        </is>
      </c>
      <c r="V378" s="24" t="n">
        <v>100</v>
      </c>
      <c r="W378" s="24" t="n">
        <v>100</v>
      </c>
      <c r="X378" s="24" t="n">
        <v>28</v>
      </c>
      <c r="Y378" s="45">
        <f>ROUND((V378*'Methodology &amp; Assumptions'!$B$6)+(W378*'Methodology &amp; Assumptions'!$B$5)+(X378*'Methodology &amp; Assumptions'!$B$7), 2)</f>
        <v/>
      </c>
    </row>
    <row r="379" ht="19" customHeight="1">
      <c r="A379" s="35" t="n">
        <v>375</v>
      </c>
      <c r="B379" s="35" t="n">
        <v>375</v>
      </c>
      <c r="C379" s="36" t="inlineStr">
        <is>
          <t>1705211012</t>
        </is>
      </c>
      <c r="D379" s="36" t="inlineStr">
        <is>
          <t>MIMAROPA Region</t>
        </is>
      </c>
      <c r="E379" s="36" t="inlineStr">
        <is>
          <t>Oriental Mindoro</t>
        </is>
      </c>
      <c r="F379" s="36" t="inlineStr">
        <is>
          <t>Puerto Galera</t>
        </is>
      </c>
      <c r="G379" s="36" t="inlineStr">
        <is>
          <t>Poblacion</t>
        </is>
      </c>
      <c r="H379" s="37" t="n">
        <v>13.49803</v>
      </c>
      <c r="I379" s="37" t="n">
        <v>120.955</v>
      </c>
      <c r="J379" s="8" t="inlineStr">
        <is>
          <t>U</t>
        </is>
      </c>
      <c r="K379" s="36" t="inlineStr">
        <is>
          <t>Class 1-3 / Urban</t>
        </is>
      </c>
      <c r="L379" s="18" t="n">
        <v>5329</v>
      </c>
      <c r="M379" s="20" t="n">
        <v>4.41</v>
      </c>
      <c r="N379" s="18">
        <f>ROUND(L379/M379, 0)</f>
        <v/>
      </c>
      <c r="O379" s="18">
        <f>ROUND(N379*'Methodology &amp; Assumptions'!$B$8, 0)</f>
        <v/>
      </c>
      <c r="P379" s="8" t="inlineStr">
        <is>
          <t>Band n50 (1.5 GHz, 60 MHz)</t>
        </is>
      </c>
      <c r="Q379" s="38">
        <f>ROUNDUP(O379/'Methodology &amp; Assumptions'!$B$9, 0)</f>
        <v/>
      </c>
      <c r="R379" s="39" t="n">
        <v>1</v>
      </c>
      <c r="S379" s="21" t="n">
        <v>0.13</v>
      </c>
      <c r="T379" s="21" t="n">
        <v>0.05</v>
      </c>
      <c r="U379" s="36" t="inlineStr">
        <is>
          <t>Tier 1A (Direct Coloc, &lt;1 km)</t>
        </is>
      </c>
      <c r="V379" s="20" t="n">
        <v>100</v>
      </c>
      <c r="W379" s="20" t="n">
        <v>100</v>
      </c>
      <c r="X379" s="20" t="n">
        <v>28</v>
      </c>
      <c r="Y379" s="40">
        <f>ROUND((V379*'Methodology &amp; Assumptions'!$B$6)+(W379*'Methodology &amp; Assumptions'!$B$5)+(X379*'Methodology &amp; Assumptions'!$B$7), 2)</f>
        <v/>
      </c>
    </row>
    <row r="380" ht="19" customHeight="1">
      <c r="A380" s="41" t="n">
        <v>376</v>
      </c>
      <c r="B380" s="41" t="n">
        <v>376</v>
      </c>
      <c r="C380" s="42" t="inlineStr">
        <is>
          <t>0304903013</t>
        </is>
      </c>
      <c r="D380" s="42" t="inlineStr">
        <is>
          <t>Region III (Central Luzon)</t>
        </is>
      </c>
      <c r="E380" s="42" t="inlineStr">
        <is>
          <t>Nueva Ecija</t>
        </is>
      </c>
      <c r="F380" s="42" t="inlineStr">
        <is>
          <t>City of Cabanatuan</t>
        </is>
      </c>
      <c r="G380" s="42" t="inlineStr">
        <is>
          <t>Barrera District</t>
        </is>
      </c>
      <c r="H380" s="43" t="n">
        <v>15.481237</v>
      </c>
      <c r="I380" s="43" t="n">
        <v>120.96397</v>
      </c>
      <c r="J380" s="44" t="inlineStr">
        <is>
          <t>U</t>
        </is>
      </c>
      <c r="K380" s="42" t="inlineStr">
        <is>
          <t>Class 1-3 / Urban</t>
        </is>
      </c>
      <c r="L380" s="23" t="n">
        <v>5290</v>
      </c>
      <c r="M380" s="24" t="n">
        <v>4.32</v>
      </c>
      <c r="N380" s="23">
        <f>ROUND(L380/M380, 0)</f>
        <v/>
      </c>
      <c r="O380" s="23">
        <f>ROUND(N380*'Methodology &amp; Assumptions'!$B$8, 0)</f>
        <v/>
      </c>
      <c r="P380" s="44" t="inlineStr">
        <is>
          <t>Band n50 (1.5 GHz, 60 MHz)</t>
        </is>
      </c>
      <c r="Q380" s="38">
        <f>ROUNDUP(O380/'Methodology &amp; Assumptions'!$B$9, 0)</f>
        <v/>
      </c>
      <c r="R380" s="39" t="n">
        <v>1</v>
      </c>
      <c r="S380" s="25" t="n">
        <v>0.31</v>
      </c>
      <c r="T380" s="25" t="n">
        <v>0.27</v>
      </c>
      <c r="U380" s="42" t="inlineStr">
        <is>
          <t>Tier 1A (Direct Coloc, &lt;1 km)</t>
        </is>
      </c>
      <c r="V380" s="24" t="n">
        <v>100</v>
      </c>
      <c r="W380" s="24" t="n">
        <v>100</v>
      </c>
      <c r="X380" s="24" t="n">
        <v>28</v>
      </c>
      <c r="Y380" s="45">
        <f>ROUND((V380*'Methodology &amp; Assumptions'!$B$6)+(W380*'Methodology &amp; Assumptions'!$B$5)+(X380*'Methodology &amp; Assumptions'!$B$7), 2)</f>
        <v/>
      </c>
    </row>
    <row r="381" ht="19" customHeight="1">
      <c r="A381" s="35" t="n">
        <v>377</v>
      </c>
      <c r="B381" s="35" t="n">
        <v>377</v>
      </c>
      <c r="C381" s="36" t="inlineStr">
        <is>
          <t>1705211007</t>
        </is>
      </c>
      <c r="D381" s="36" t="inlineStr">
        <is>
          <t>MIMAROPA Region</t>
        </is>
      </c>
      <c r="E381" s="36" t="inlineStr">
        <is>
          <t>Oriental Mindoro</t>
        </is>
      </c>
      <c r="F381" s="36" t="inlineStr">
        <is>
          <t>Puerto Galera</t>
        </is>
      </c>
      <c r="G381" s="36" t="inlineStr">
        <is>
          <t>San Isidro</t>
        </is>
      </c>
      <c r="H381" s="37" t="n">
        <v>13.503565</v>
      </c>
      <c r="I381" s="37" t="n">
        <v>120.906967</v>
      </c>
      <c r="J381" s="8" t="inlineStr">
        <is>
          <t>U</t>
        </is>
      </c>
      <c r="K381" s="36" t="inlineStr">
        <is>
          <t>Class 1-3 / Urban</t>
        </is>
      </c>
      <c r="L381" s="18" t="n">
        <v>5236</v>
      </c>
      <c r="M381" s="20" t="n">
        <v>4.41</v>
      </c>
      <c r="N381" s="18">
        <f>ROUND(L381/M381, 0)</f>
        <v/>
      </c>
      <c r="O381" s="18">
        <f>ROUND(N381*'Methodology &amp; Assumptions'!$B$8, 0)</f>
        <v/>
      </c>
      <c r="P381" s="8" t="inlineStr">
        <is>
          <t>Band n50 (1.5 GHz, 60 MHz)</t>
        </is>
      </c>
      <c r="Q381" s="38">
        <f>ROUNDUP(O381/'Methodology &amp; Assumptions'!$B$9, 0)</f>
        <v/>
      </c>
      <c r="R381" s="39" t="n">
        <v>1</v>
      </c>
      <c r="S381" s="21" t="n">
        <v>0.14</v>
      </c>
      <c r="T381" s="21" t="n">
        <v>0.13</v>
      </c>
      <c r="U381" s="36" t="inlineStr">
        <is>
          <t>Tier 1A (Direct Coloc, &lt;1 km)</t>
        </is>
      </c>
      <c r="V381" s="20" t="n">
        <v>100</v>
      </c>
      <c r="W381" s="20" t="n">
        <v>100</v>
      </c>
      <c r="X381" s="20" t="n">
        <v>28</v>
      </c>
      <c r="Y381" s="40">
        <f>ROUND((V381*'Methodology &amp; Assumptions'!$B$6)+(W381*'Methodology &amp; Assumptions'!$B$5)+(X381*'Methodology &amp; Assumptions'!$B$7), 2)</f>
        <v/>
      </c>
    </row>
    <row r="382" ht="19" customHeight="1">
      <c r="A382" s="41" t="n">
        <v>378</v>
      </c>
      <c r="B382" s="41" t="n">
        <v>378</v>
      </c>
      <c r="C382" s="42" t="inlineStr">
        <is>
          <t>0306916082</t>
        </is>
      </c>
      <c r="D382" s="42" t="inlineStr">
        <is>
          <t>Region III (Central Luzon)</t>
        </is>
      </c>
      <c r="E382" s="42" t="inlineStr">
        <is>
          <t>Tarlac</t>
        </is>
      </c>
      <c r="F382" s="42" t="inlineStr">
        <is>
          <t>City of Tarlac</t>
        </is>
      </c>
      <c r="G382" s="42" t="inlineStr">
        <is>
          <t>Sapang Tagalog</t>
        </is>
      </c>
      <c r="H382" s="43" t="n">
        <v>15.422013</v>
      </c>
      <c r="I382" s="43" t="n">
        <v>120.598638</v>
      </c>
      <c r="J382" s="44" t="inlineStr">
        <is>
          <t>U</t>
        </is>
      </c>
      <c r="K382" s="42" t="inlineStr">
        <is>
          <t>Class 1-3 / Urban</t>
        </is>
      </c>
      <c r="L382" s="23" t="n">
        <v>5226</v>
      </c>
      <c r="M382" s="24" t="n">
        <v>4.3</v>
      </c>
      <c r="N382" s="23">
        <f>ROUND(L382/M382, 0)</f>
        <v/>
      </c>
      <c r="O382" s="23">
        <f>ROUND(N382*'Methodology &amp; Assumptions'!$B$8, 0)</f>
        <v/>
      </c>
      <c r="P382" s="44" t="inlineStr">
        <is>
          <t>Band n50 (1.5 GHz, 60 MHz)</t>
        </is>
      </c>
      <c r="Q382" s="38">
        <f>ROUNDUP(O382/'Methodology &amp; Assumptions'!$B$9, 0)</f>
        <v/>
      </c>
      <c r="R382" s="39" t="n">
        <v>1</v>
      </c>
      <c r="S382" s="25" t="n">
        <v>0.3</v>
      </c>
      <c r="T382" s="25" t="n">
        <v>0.13</v>
      </c>
      <c r="U382" s="42" t="inlineStr">
        <is>
          <t>Tier 1A (Direct Coloc, &lt;1 km)</t>
        </is>
      </c>
      <c r="V382" s="24" t="n">
        <v>100</v>
      </c>
      <c r="W382" s="24" t="n">
        <v>100</v>
      </c>
      <c r="X382" s="24" t="n">
        <v>28</v>
      </c>
      <c r="Y382" s="45">
        <f>ROUND((V382*'Methodology &amp; Assumptions'!$B$6)+(W382*'Methodology &amp; Assumptions'!$B$5)+(X382*'Methodology &amp; Assumptions'!$B$7), 2)</f>
        <v/>
      </c>
    </row>
    <row r="383" ht="19" customHeight="1">
      <c r="A383" s="35" t="n">
        <v>379</v>
      </c>
      <c r="B383" s="35" t="n">
        <v>379</v>
      </c>
      <c r="C383" s="36" t="inlineStr">
        <is>
          <t>0601915010</t>
        </is>
      </c>
      <c r="D383" s="36" t="inlineStr">
        <is>
          <t>Region VI (Western Visayas)</t>
        </is>
      </c>
      <c r="E383" s="36" t="inlineStr">
        <is>
          <t>Capiz</t>
        </is>
      </c>
      <c r="F383" s="36" t="inlineStr">
        <is>
          <t>Sapi-An</t>
        </is>
      </c>
      <c r="G383" s="36" t="inlineStr">
        <is>
          <t>Poblacion</t>
        </is>
      </c>
      <c r="H383" s="37" t="n">
        <v>11.494262</v>
      </c>
      <c r="I383" s="37" t="n">
        <v>122.605201</v>
      </c>
      <c r="J383" s="8" t="inlineStr">
        <is>
          <t>U</t>
        </is>
      </c>
      <c r="K383" s="36" t="inlineStr">
        <is>
          <t>3rd</t>
        </is>
      </c>
      <c r="L383" s="18" t="n">
        <v>5210</v>
      </c>
      <c r="M383" s="20" t="n">
        <v>4.17</v>
      </c>
      <c r="N383" s="18">
        <f>ROUND(L383/M383, 0)</f>
        <v/>
      </c>
      <c r="O383" s="18">
        <f>ROUND(N383*'Methodology &amp; Assumptions'!$B$8, 0)</f>
        <v/>
      </c>
      <c r="P383" s="8" t="inlineStr">
        <is>
          <t>Band n50 (1.5 GHz, 60 MHz)</t>
        </is>
      </c>
      <c r="Q383" s="38">
        <f>ROUNDUP(O383/'Methodology &amp; Assumptions'!$B$9, 0)</f>
        <v/>
      </c>
      <c r="R383" s="39" t="n">
        <v>1</v>
      </c>
      <c r="S383" s="21" t="n">
        <v>0.05</v>
      </c>
      <c r="T383" s="21" t="n">
        <v>0.09</v>
      </c>
      <c r="U383" s="36" t="inlineStr">
        <is>
          <t>Tier 1A (Direct Coloc, &lt;1 km)</t>
        </is>
      </c>
      <c r="V383" s="20" t="n">
        <v>100</v>
      </c>
      <c r="W383" s="20" t="n">
        <v>100</v>
      </c>
      <c r="X383" s="20" t="n">
        <v>28</v>
      </c>
      <c r="Y383" s="40">
        <f>ROUND((V383*'Methodology &amp; Assumptions'!$B$6)+(W383*'Methodology &amp; Assumptions'!$B$5)+(X383*'Methodology &amp; Assumptions'!$B$7), 2)</f>
        <v/>
      </c>
    </row>
    <row r="384" ht="19" customHeight="1">
      <c r="A384" s="41" t="n">
        <v>380</v>
      </c>
      <c r="B384" s="41" t="n">
        <v>380</v>
      </c>
      <c r="C384" s="42" t="inlineStr">
        <is>
          <t>0306916015</t>
        </is>
      </c>
      <c r="D384" s="42" t="inlineStr">
        <is>
          <t>Region III (Central Luzon)</t>
        </is>
      </c>
      <c r="E384" s="42" t="inlineStr">
        <is>
          <t>Tarlac</t>
        </is>
      </c>
      <c r="F384" s="42" t="inlineStr">
        <is>
          <t>City of Tarlac</t>
        </is>
      </c>
      <c r="G384" s="42" t="inlineStr">
        <is>
          <t>Baras-baras</t>
        </is>
      </c>
      <c r="H384" s="43" t="n">
        <v>15.518053</v>
      </c>
      <c r="I384" s="43" t="n">
        <v>120.565023</v>
      </c>
      <c r="J384" s="44" t="inlineStr">
        <is>
          <t>U</t>
        </is>
      </c>
      <c r="K384" s="42" t="inlineStr">
        <is>
          <t>Class 1-3 / Urban</t>
        </is>
      </c>
      <c r="L384" s="23" t="n">
        <v>5173</v>
      </c>
      <c r="M384" s="24" t="n">
        <v>4.3</v>
      </c>
      <c r="N384" s="23">
        <f>ROUND(L384/M384, 0)</f>
        <v/>
      </c>
      <c r="O384" s="23">
        <f>ROUND(N384*'Methodology &amp; Assumptions'!$B$8, 0)</f>
        <v/>
      </c>
      <c r="P384" s="44" t="inlineStr">
        <is>
          <t>Band n50 (1.5 GHz, 60 MHz)</t>
        </is>
      </c>
      <c r="Q384" s="38">
        <f>ROUNDUP(O384/'Methodology &amp; Assumptions'!$B$9, 0)</f>
        <v/>
      </c>
      <c r="R384" s="39" t="n">
        <v>1</v>
      </c>
      <c r="S384" s="25" t="n">
        <v>0.14</v>
      </c>
      <c r="T384" s="25" t="n">
        <v>0.25</v>
      </c>
      <c r="U384" s="42" t="inlineStr">
        <is>
          <t>Tier 1A (Direct Coloc, &lt;1 km)</t>
        </is>
      </c>
      <c r="V384" s="24" t="n">
        <v>100</v>
      </c>
      <c r="W384" s="24" t="n">
        <v>100</v>
      </c>
      <c r="X384" s="24" t="n">
        <v>28</v>
      </c>
      <c r="Y384" s="45">
        <f>ROUND((V384*'Methodology &amp; Assumptions'!$B$6)+(W384*'Methodology &amp; Assumptions'!$B$5)+(X384*'Methodology &amp; Assumptions'!$B$7), 2)</f>
        <v/>
      </c>
    </row>
    <row r="385" ht="19" customHeight="1">
      <c r="A385" s="35" t="n">
        <v>381</v>
      </c>
      <c r="B385" s="35" t="n">
        <v>381</v>
      </c>
      <c r="C385" s="36" t="inlineStr">
        <is>
          <t>0402118023</t>
        </is>
      </c>
      <c r="D385" s="36" t="inlineStr">
        <is>
          <t>Region IV-A (CALABARZON)</t>
        </is>
      </c>
      <c r="E385" s="36" t="inlineStr">
        <is>
          <t>Cavite</t>
        </is>
      </c>
      <c r="F385" s="36" t="inlineStr">
        <is>
          <t>Silang</t>
        </is>
      </c>
      <c r="G385" s="36" t="inlineStr">
        <is>
          <t>Lumil</t>
        </is>
      </c>
      <c r="H385" s="37" t="n">
        <v>14.181046</v>
      </c>
      <c r="I385" s="37" t="n">
        <v>121.008374</v>
      </c>
      <c r="J385" s="8" t="inlineStr">
        <is>
          <t>U</t>
        </is>
      </c>
      <c r="K385" s="36" t="inlineStr">
        <is>
          <t>Class 1-3 / Urban</t>
        </is>
      </c>
      <c r="L385" s="18" t="n">
        <v>5168</v>
      </c>
      <c r="M385" s="20" t="n">
        <v>4.49</v>
      </c>
      <c r="N385" s="18">
        <f>ROUND(L385/M385, 0)</f>
        <v/>
      </c>
      <c r="O385" s="18">
        <f>ROUND(N385*'Methodology &amp; Assumptions'!$B$8, 0)</f>
        <v/>
      </c>
      <c r="P385" s="8" t="inlineStr">
        <is>
          <t>Band n50 (1.5 GHz, 60 MHz)</t>
        </is>
      </c>
      <c r="Q385" s="38">
        <f>ROUNDUP(O385/'Methodology &amp; Assumptions'!$B$9, 0)</f>
        <v/>
      </c>
      <c r="R385" s="39" t="n">
        <v>1</v>
      </c>
      <c r="S385" s="21" t="n">
        <v>0.24</v>
      </c>
      <c r="T385" s="21" t="n">
        <v>0.61</v>
      </c>
      <c r="U385" s="36" t="inlineStr">
        <is>
          <t>Tier 1A (Direct Coloc, &lt;1 km)</t>
        </is>
      </c>
      <c r="V385" s="20" t="n">
        <v>100</v>
      </c>
      <c r="W385" s="20" t="n">
        <v>100</v>
      </c>
      <c r="X385" s="20" t="n">
        <v>28</v>
      </c>
      <c r="Y385" s="40">
        <f>ROUND((V385*'Methodology &amp; Assumptions'!$B$6)+(W385*'Methodology &amp; Assumptions'!$B$5)+(X385*'Methodology &amp; Assumptions'!$B$7), 2)</f>
        <v/>
      </c>
    </row>
    <row r="386" ht="19" customHeight="1">
      <c r="A386" s="41" t="n">
        <v>382</v>
      </c>
      <c r="B386" s="41" t="n">
        <v>382</v>
      </c>
      <c r="C386" s="42" t="inlineStr">
        <is>
          <t>0702234003</t>
        </is>
      </c>
      <c r="D386" s="42" t="inlineStr">
        <is>
          <t>Region VII (Central Visayas)</t>
        </is>
      </c>
      <c r="E386" s="42" t="inlineStr">
        <is>
          <t>Cebu</t>
        </is>
      </c>
      <c r="F386" s="42" t="inlineStr">
        <is>
          <t>City of Naga</t>
        </is>
      </c>
      <c r="G386" s="42" t="inlineStr">
        <is>
          <t>Balirong</t>
        </is>
      </c>
      <c r="H386" s="43" t="n">
        <v>10.256826</v>
      </c>
      <c r="I386" s="43" t="n">
        <v>123.710848</v>
      </c>
      <c r="J386" s="44" t="inlineStr">
        <is>
          <t>U</t>
        </is>
      </c>
      <c r="K386" s="42" t="inlineStr">
        <is>
          <t>Class 1-3 / Urban</t>
        </is>
      </c>
      <c r="L386" s="23" t="n">
        <v>5152</v>
      </c>
      <c r="M386" s="24" t="n">
        <v>4.42</v>
      </c>
      <c r="N386" s="23">
        <f>ROUND(L386/M386, 0)</f>
        <v/>
      </c>
      <c r="O386" s="23">
        <f>ROUND(N386*'Methodology &amp; Assumptions'!$B$8, 0)</f>
        <v/>
      </c>
      <c r="P386" s="44" t="inlineStr">
        <is>
          <t>Band n50 (1.5 GHz, 60 MHz)</t>
        </is>
      </c>
      <c r="Q386" s="38">
        <f>ROUNDUP(O386/'Methodology &amp; Assumptions'!$B$9, 0)</f>
        <v/>
      </c>
      <c r="R386" s="39" t="n">
        <v>1</v>
      </c>
      <c r="S386" s="25" t="n">
        <v>0.14</v>
      </c>
      <c r="T386" s="25" t="n">
        <v>0.15</v>
      </c>
      <c r="U386" s="42" t="inlineStr">
        <is>
          <t>Tier 1A (Direct Coloc, &lt;1 km)</t>
        </is>
      </c>
      <c r="V386" s="24" t="n">
        <v>100</v>
      </c>
      <c r="W386" s="24" t="n">
        <v>100</v>
      </c>
      <c r="X386" s="24" t="n">
        <v>28</v>
      </c>
      <c r="Y386" s="45">
        <f>ROUND((V386*'Methodology &amp; Assumptions'!$B$6)+(W386*'Methodology &amp; Assumptions'!$B$5)+(X386*'Methodology &amp; Assumptions'!$B$7), 2)</f>
        <v/>
      </c>
    </row>
    <row r="387" ht="19" customHeight="1">
      <c r="A387" s="35" t="n">
        <v>383</v>
      </c>
      <c r="B387" s="35" t="n">
        <v>383</v>
      </c>
      <c r="C387" s="36" t="inlineStr">
        <is>
          <t>0405803003</t>
        </is>
      </c>
      <c r="D387" s="36" t="inlineStr">
        <is>
          <t>Region IV-A (CALABARZON)</t>
        </is>
      </c>
      <c r="E387" s="36" t="inlineStr">
        <is>
          <t>Rizal</t>
        </is>
      </c>
      <c r="F387" s="36" t="inlineStr">
        <is>
          <t>Baras</t>
        </is>
      </c>
      <c r="G387" s="36" t="inlineStr">
        <is>
          <t>San Jose</t>
        </is>
      </c>
      <c r="H387" s="37" t="n">
        <v>14.52625</v>
      </c>
      <c r="I387" s="37" t="n">
        <v>121.26714</v>
      </c>
      <c r="J387" s="8" t="inlineStr">
        <is>
          <t>U</t>
        </is>
      </c>
      <c r="K387" s="36" t="inlineStr">
        <is>
          <t>1st</t>
        </is>
      </c>
      <c r="L387" s="18" t="n">
        <v>5106</v>
      </c>
      <c r="M387" s="20" t="n">
        <v>4.14</v>
      </c>
      <c r="N387" s="18">
        <f>ROUND(L387/M387, 0)</f>
        <v/>
      </c>
      <c r="O387" s="18">
        <f>ROUND(N387*'Methodology &amp; Assumptions'!$B$8, 0)</f>
        <v/>
      </c>
      <c r="P387" s="8" t="inlineStr">
        <is>
          <t>Band n50 (1.5 GHz, 60 MHz)</t>
        </is>
      </c>
      <c r="Q387" s="38">
        <f>ROUNDUP(O387/'Methodology &amp; Assumptions'!$B$9, 0)</f>
        <v/>
      </c>
      <c r="R387" s="39" t="n">
        <v>1</v>
      </c>
      <c r="S387" s="21" t="n">
        <v>0.02</v>
      </c>
      <c r="T387" s="21" t="n">
        <v>0.39</v>
      </c>
      <c r="U387" s="36" t="inlineStr">
        <is>
          <t>Tier 1A (Direct Coloc, &lt;1 km)</t>
        </is>
      </c>
      <c r="V387" s="20" t="n">
        <v>100</v>
      </c>
      <c r="W387" s="20" t="n">
        <v>100</v>
      </c>
      <c r="X387" s="20" t="n">
        <v>28</v>
      </c>
      <c r="Y387" s="40">
        <f>ROUND((V387*'Methodology &amp; Assumptions'!$B$6)+(W387*'Methodology &amp; Assumptions'!$B$5)+(X387*'Methodology &amp; Assumptions'!$B$7), 2)</f>
        <v/>
      </c>
    </row>
    <row r="388" ht="19" customHeight="1">
      <c r="A388" s="41" t="n">
        <v>384</v>
      </c>
      <c r="B388" s="41" t="n">
        <v>384</v>
      </c>
      <c r="C388" s="42" t="inlineStr">
        <is>
          <t>0304908017</t>
        </is>
      </c>
      <c r="D388" s="42" t="inlineStr">
        <is>
          <t>Region III (Central Luzon)</t>
        </is>
      </c>
      <c r="E388" s="42" t="inlineStr">
        <is>
          <t>Nueva Ecija</t>
        </is>
      </c>
      <c r="F388" s="42" t="inlineStr">
        <is>
          <t>City of Gapan</t>
        </is>
      </c>
      <c r="G388" s="42" t="inlineStr">
        <is>
          <t>Santo Niño</t>
        </is>
      </c>
      <c r="H388" s="43" t="n">
        <v>15.304128</v>
      </c>
      <c r="I388" s="43" t="n">
        <v>120.943029</v>
      </c>
      <c r="J388" s="44" t="inlineStr">
        <is>
          <t>U</t>
        </is>
      </c>
      <c r="K388" s="42" t="inlineStr">
        <is>
          <t>Class 1-3 / Urban</t>
        </is>
      </c>
      <c r="L388" s="23" t="n">
        <v>5019</v>
      </c>
      <c r="M388" s="24" t="n">
        <v>4.32</v>
      </c>
      <c r="N388" s="23">
        <f>ROUND(L388/M388, 0)</f>
        <v/>
      </c>
      <c r="O388" s="23">
        <f>ROUND(N388*'Methodology &amp; Assumptions'!$B$8, 0)</f>
        <v/>
      </c>
      <c r="P388" s="44" t="inlineStr">
        <is>
          <t>Band n50 (1.5 GHz, 60 MHz)</t>
        </is>
      </c>
      <c r="Q388" s="38">
        <f>ROUNDUP(O388/'Methodology &amp; Assumptions'!$B$9, 0)</f>
        <v/>
      </c>
      <c r="R388" s="39" t="n">
        <v>1</v>
      </c>
      <c r="S388" s="25" t="n">
        <v>0.09</v>
      </c>
      <c r="T388" s="25" t="n">
        <v>0.09</v>
      </c>
      <c r="U388" s="42" t="inlineStr">
        <is>
          <t>Tier 1A (Direct Coloc, &lt;1 km)</t>
        </is>
      </c>
      <c r="V388" s="24" t="n">
        <v>100</v>
      </c>
      <c r="W388" s="24" t="n">
        <v>100</v>
      </c>
      <c r="X388" s="24" t="n">
        <v>28</v>
      </c>
      <c r="Y388" s="45">
        <f>ROUND((V388*'Methodology &amp; Assumptions'!$B$6)+(W388*'Methodology &amp; Assumptions'!$B$5)+(X388*'Methodology &amp; Assumptions'!$B$7), 2)</f>
        <v/>
      </c>
    </row>
    <row r="389" ht="19" customHeight="1">
      <c r="A389" s="35" t="n">
        <v>385</v>
      </c>
      <c r="B389" s="35" t="n">
        <v>385</v>
      </c>
      <c r="C389" s="36" t="inlineStr">
        <is>
          <t>0306905035</t>
        </is>
      </c>
      <c r="D389" s="36" t="inlineStr">
        <is>
          <t>Region III (Central Luzon)</t>
        </is>
      </c>
      <c r="E389" s="36" t="inlineStr">
        <is>
          <t>Tarlac</t>
        </is>
      </c>
      <c r="F389" s="36" t="inlineStr">
        <is>
          <t>Concepcion</t>
        </is>
      </c>
      <c r="G389" s="36" t="inlineStr">
        <is>
          <t>San Nicolas</t>
        </is>
      </c>
      <c r="H389" s="37" t="n">
        <v>15.325418</v>
      </c>
      <c r="I389" s="37" t="n">
        <v>120.653211</v>
      </c>
      <c r="J389" s="8" t="inlineStr">
        <is>
          <t>U</t>
        </is>
      </c>
      <c r="K389" s="36" t="inlineStr">
        <is>
          <t>Class 1-3 / Urban</t>
        </is>
      </c>
      <c r="L389" s="18" t="n">
        <v>4882</v>
      </c>
      <c r="M389" s="20" t="n">
        <v>4.3</v>
      </c>
      <c r="N389" s="18">
        <f>ROUND(L389/M389, 0)</f>
        <v/>
      </c>
      <c r="O389" s="18">
        <f>ROUND(N389*'Methodology &amp; Assumptions'!$B$8, 0)</f>
        <v/>
      </c>
      <c r="P389" s="8" t="inlineStr">
        <is>
          <t>Band n50 (1.5 GHz, 60 MHz)</t>
        </is>
      </c>
      <c r="Q389" s="38">
        <f>ROUNDUP(O389/'Methodology &amp; Assumptions'!$B$9, 0)</f>
        <v/>
      </c>
      <c r="R389" s="39" t="n">
        <v>1</v>
      </c>
      <c r="S389" s="21" t="n">
        <v>0.09</v>
      </c>
      <c r="T389" s="21" t="n">
        <v>0.3</v>
      </c>
      <c r="U389" s="36" t="inlineStr">
        <is>
          <t>Tier 1A (Direct Coloc, &lt;1 km)</t>
        </is>
      </c>
      <c r="V389" s="20" t="n">
        <v>100</v>
      </c>
      <c r="W389" s="20" t="n">
        <v>100</v>
      </c>
      <c r="X389" s="20" t="n">
        <v>28</v>
      </c>
      <c r="Y389" s="40">
        <f>ROUND((V389*'Methodology &amp; Assumptions'!$B$6)+(W389*'Methodology &amp; Assumptions'!$B$5)+(X389*'Methodology &amp; Assumptions'!$B$7), 2)</f>
        <v/>
      </c>
    </row>
    <row r="390" ht="19" customHeight="1">
      <c r="A390" s="41" t="n">
        <v>386</v>
      </c>
      <c r="B390" s="41" t="n">
        <v>386</v>
      </c>
      <c r="C390" s="42" t="inlineStr">
        <is>
          <t>0105508015</t>
        </is>
      </c>
      <c r="D390" s="42" t="inlineStr">
        <is>
          <t>Region I (Ilocos Region)</t>
        </is>
      </c>
      <c r="E390" s="42" t="inlineStr">
        <is>
          <t>Pangasinan</t>
        </is>
      </c>
      <c r="F390" s="42" t="inlineStr">
        <is>
          <t>Bani</t>
        </is>
      </c>
      <c r="G390" s="42" t="inlineStr">
        <is>
          <t>Poblacion</t>
        </is>
      </c>
      <c r="H390" s="43" t="n">
        <v>16.18442</v>
      </c>
      <c r="I390" s="43" t="n">
        <v>119.860577</v>
      </c>
      <c r="J390" s="44" t="inlineStr">
        <is>
          <t>U</t>
        </is>
      </c>
      <c r="K390" s="42" t="inlineStr">
        <is>
          <t>Class 1-3 / Urban</t>
        </is>
      </c>
      <c r="L390" s="23" t="n">
        <v>4816</v>
      </c>
      <c r="M390" s="24" t="n">
        <v>4.39</v>
      </c>
      <c r="N390" s="23">
        <f>ROUND(L390/M390, 0)</f>
        <v/>
      </c>
      <c r="O390" s="23">
        <f>ROUND(N390*'Methodology &amp; Assumptions'!$B$8, 0)</f>
        <v/>
      </c>
      <c r="P390" s="44" t="inlineStr">
        <is>
          <t>Band n50 (1.5 GHz, 60 MHz)</t>
        </is>
      </c>
      <c r="Q390" s="38">
        <f>ROUNDUP(O390/'Methodology &amp; Assumptions'!$B$9, 0)</f>
        <v/>
      </c>
      <c r="R390" s="39" t="n">
        <v>1</v>
      </c>
      <c r="S390" s="25" t="n">
        <v>0.13</v>
      </c>
      <c r="T390" s="25" t="n">
        <v>0.29</v>
      </c>
      <c r="U390" s="42" t="inlineStr">
        <is>
          <t>Tier 1A (Direct Coloc, &lt;1 km)</t>
        </is>
      </c>
      <c r="V390" s="24" t="n">
        <v>100</v>
      </c>
      <c r="W390" s="24" t="n">
        <v>100</v>
      </c>
      <c r="X390" s="24" t="n">
        <v>28</v>
      </c>
      <c r="Y390" s="45">
        <f>ROUND((V390*'Methodology &amp; Assumptions'!$B$6)+(W390*'Methodology &amp; Assumptions'!$B$5)+(X390*'Methodology &amp; Assumptions'!$B$7), 2)</f>
        <v/>
      </c>
    </row>
    <row r="391" ht="19" customHeight="1">
      <c r="A391" s="35" t="n">
        <v>387</v>
      </c>
      <c r="B391" s="35" t="n">
        <v>387</v>
      </c>
      <c r="C391" s="36" t="inlineStr">
        <is>
          <t>0403402004</t>
        </is>
      </c>
      <c r="D391" s="36" t="inlineStr">
        <is>
          <t>Region IV-A (CALABARZON)</t>
        </is>
      </c>
      <c r="E391" s="36" t="inlineStr">
        <is>
          <t>Laguna</t>
        </is>
      </c>
      <c r="F391" s="36" t="inlineStr">
        <is>
          <t>Bay</t>
        </is>
      </c>
      <c r="G391" s="36" t="inlineStr">
        <is>
          <t>Maitim</t>
        </is>
      </c>
      <c r="H391" s="37" t="n">
        <v>14.179518</v>
      </c>
      <c r="I391" s="37" t="n">
        <v>121.275776</v>
      </c>
      <c r="J391" s="8" t="inlineStr">
        <is>
          <t>U</t>
        </is>
      </c>
      <c r="K391" s="36" t="inlineStr">
        <is>
          <t>Class 1-3 / Urban</t>
        </is>
      </c>
      <c r="L391" s="18" t="n">
        <v>4657</v>
      </c>
      <c r="M391" s="20" t="n">
        <v>4.2</v>
      </c>
      <c r="N391" s="18">
        <f>ROUND(L391/M391, 0)</f>
        <v/>
      </c>
      <c r="O391" s="18">
        <f>ROUND(N391*'Methodology &amp; Assumptions'!$B$8, 0)</f>
        <v/>
      </c>
      <c r="P391" s="8" t="inlineStr">
        <is>
          <t>Band n50 (1.5 GHz, 60 MHz)</t>
        </is>
      </c>
      <c r="Q391" s="38">
        <f>ROUNDUP(O391/'Methodology &amp; Assumptions'!$B$9, 0)</f>
        <v/>
      </c>
      <c r="R391" s="39" t="n">
        <v>1</v>
      </c>
      <c r="S391" s="21" t="n">
        <v>0.24</v>
      </c>
      <c r="T391" s="21" t="n">
        <v>0.17</v>
      </c>
      <c r="U391" s="36" t="inlineStr">
        <is>
          <t>Tier 1A (Direct Coloc, &lt;1 km)</t>
        </is>
      </c>
      <c r="V391" s="20" t="n">
        <v>100</v>
      </c>
      <c r="W391" s="20" t="n">
        <v>100</v>
      </c>
      <c r="X391" s="20" t="n">
        <v>28</v>
      </c>
      <c r="Y391" s="40">
        <f>ROUND((V391*'Methodology &amp; Assumptions'!$B$6)+(W391*'Methodology &amp; Assumptions'!$B$5)+(X391*'Methodology &amp; Assumptions'!$B$7), 2)</f>
        <v/>
      </c>
    </row>
    <row r="392" ht="19" customHeight="1">
      <c r="A392" s="41" t="n">
        <v>388</v>
      </c>
      <c r="B392" s="41" t="n">
        <v>388</v>
      </c>
      <c r="C392" s="42" t="inlineStr">
        <is>
          <t>0702235020</t>
        </is>
      </c>
      <c r="D392" s="42" t="inlineStr">
        <is>
          <t>Region VII (Central Visayas)</t>
        </is>
      </c>
      <c r="E392" s="42" t="inlineStr">
        <is>
          <t>Cebu</t>
        </is>
      </c>
      <c r="F392" s="42" t="inlineStr">
        <is>
          <t>Oslob</t>
        </is>
      </c>
      <c r="G392" s="42" t="inlineStr">
        <is>
          <t>Poblacion</t>
        </is>
      </c>
      <c r="H392" s="43" t="n">
        <v>9.52172</v>
      </c>
      <c r="I392" s="43" t="n">
        <v>123.43136</v>
      </c>
      <c r="J392" s="44" t="inlineStr">
        <is>
          <t>U</t>
        </is>
      </c>
      <c r="K392" s="42" t="inlineStr">
        <is>
          <t>1st</t>
        </is>
      </c>
      <c r="L392" s="23" t="n">
        <v>4446</v>
      </c>
      <c r="M392" s="24" t="n">
        <v>4.65</v>
      </c>
      <c r="N392" s="23">
        <f>ROUND(L392/M392, 0)</f>
        <v/>
      </c>
      <c r="O392" s="23">
        <f>ROUND(N392*'Methodology &amp; Assumptions'!$B$8, 0)</f>
        <v/>
      </c>
      <c r="P392" s="44" t="inlineStr">
        <is>
          <t>Band n50 (1.5 GHz, 60 MHz)</t>
        </is>
      </c>
      <c r="Q392" s="38">
        <f>ROUNDUP(O392/'Methodology &amp; Assumptions'!$B$9, 0)</f>
        <v/>
      </c>
      <c r="R392" s="39" t="n">
        <v>1</v>
      </c>
      <c r="S392" s="25" t="n">
        <v>0.18</v>
      </c>
      <c r="T392" s="25" t="n">
        <v>0.19</v>
      </c>
      <c r="U392" s="42" t="inlineStr">
        <is>
          <t>Tier 1A (Direct Coloc, &lt;1 km)</t>
        </is>
      </c>
      <c r="V392" s="24" t="n">
        <v>100</v>
      </c>
      <c r="W392" s="24" t="n">
        <v>100</v>
      </c>
      <c r="X392" s="24" t="n">
        <v>28</v>
      </c>
      <c r="Y392" s="45">
        <f>ROUND((V392*'Methodology &amp; Assumptions'!$B$6)+(W392*'Methodology &amp; Assumptions'!$B$5)+(X392*'Methodology &amp; Assumptions'!$B$7), 2)</f>
        <v/>
      </c>
    </row>
    <row r="393" ht="19" customHeight="1">
      <c r="A393" s="35" t="n">
        <v>389</v>
      </c>
      <c r="B393" s="35" t="n">
        <v>389</v>
      </c>
      <c r="C393" s="36" t="inlineStr">
        <is>
          <t>0803738076</t>
        </is>
      </c>
      <c r="D393" s="36" t="inlineStr">
        <is>
          <t>Region VIII (Eastern Visayas)</t>
        </is>
      </c>
      <c r="E393" s="36" t="inlineStr">
        <is>
          <t>Leyte</t>
        </is>
      </c>
      <c r="F393" s="36" t="inlineStr">
        <is>
          <t>Ormoc City</t>
        </is>
      </c>
      <c r="G393" s="36" t="inlineStr">
        <is>
          <t>Punta</t>
        </is>
      </c>
      <c r="H393" s="37" t="n">
        <v>11.014018</v>
      </c>
      <c r="I393" s="37" t="n">
        <v>124.599343</v>
      </c>
      <c r="J393" s="8" t="inlineStr">
        <is>
          <t>U</t>
        </is>
      </c>
      <c r="K393" s="36" t="inlineStr">
        <is>
          <t>Class 1-3 / Urban</t>
        </is>
      </c>
      <c r="L393" s="18" t="n">
        <v>4428</v>
      </c>
      <c r="M393" s="20" t="n">
        <v>4.24</v>
      </c>
      <c r="N393" s="18">
        <f>ROUND(L393/M393, 0)</f>
        <v/>
      </c>
      <c r="O393" s="18">
        <f>ROUND(N393*'Methodology &amp; Assumptions'!$B$8, 0)</f>
        <v/>
      </c>
      <c r="P393" s="8" t="inlineStr">
        <is>
          <t>Band n50 (1.5 GHz, 60 MHz)</t>
        </is>
      </c>
      <c r="Q393" s="38">
        <f>ROUNDUP(O393/'Methodology &amp; Assumptions'!$B$9, 0)</f>
        <v/>
      </c>
      <c r="R393" s="39" t="n">
        <v>1</v>
      </c>
      <c r="S393" s="21" t="n">
        <v>0.27</v>
      </c>
      <c r="T393" s="21" t="n">
        <v>0.11</v>
      </c>
      <c r="U393" s="36" t="inlineStr">
        <is>
          <t>Tier 1A (Direct Coloc, &lt;1 km)</t>
        </is>
      </c>
      <c r="V393" s="20" t="n">
        <v>100</v>
      </c>
      <c r="W393" s="20" t="n">
        <v>100</v>
      </c>
      <c r="X393" s="20" t="n">
        <v>28</v>
      </c>
      <c r="Y393" s="40">
        <f>ROUND((V393*'Methodology &amp; Assumptions'!$B$6)+(W393*'Methodology &amp; Assumptions'!$B$5)+(X393*'Methodology &amp; Assumptions'!$B$7), 2)</f>
        <v/>
      </c>
    </row>
    <row r="394" ht="19" customHeight="1">
      <c r="A394" s="41" t="n">
        <v>390</v>
      </c>
      <c r="B394" s="41" t="n">
        <v>390</v>
      </c>
      <c r="C394" s="42" t="inlineStr">
        <is>
          <t>0306907003</t>
        </is>
      </c>
      <c r="D394" s="42" t="inlineStr">
        <is>
          <t>Region III (Central Luzon)</t>
        </is>
      </c>
      <c r="E394" s="42" t="inlineStr">
        <is>
          <t>Tarlac</t>
        </is>
      </c>
      <c r="F394" s="42" t="inlineStr">
        <is>
          <t>La Paz</t>
        </is>
      </c>
      <c r="G394" s="42" t="inlineStr">
        <is>
          <t>Caramutan</t>
        </is>
      </c>
      <c r="H394" s="43" t="n">
        <v>15.448047</v>
      </c>
      <c r="I394" s="43" t="n">
        <v>120.716194</v>
      </c>
      <c r="J394" s="44" t="inlineStr">
        <is>
          <t>U</t>
        </is>
      </c>
      <c r="K394" s="42" t="inlineStr">
        <is>
          <t>Class 1-3 / Urban</t>
        </is>
      </c>
      <c r="L394" s="23" t="n">
        <v>4378</v>
      </c>
      <c r="M394" s="24" t="n">
        <v>4.3</v>
      </c>
      <c r="N394" s="23">
        <f>ROUND(L394/M394, 0)</f>
        <v/>
      </c>
      <c r="O394" s="23">
        <f>ROUND(N394*'Methodology &amp; Assumptions'!$B$8, 0)</f>
        <v/>
      </c>
      <c r="P394" s="44" t="inlineStr">
        <is>
          <t>Band n50 (1.5 GHz, 60 MHz)</t>
        </is>
      </c>
      <c r="Q394" s="38">
        <f>ROUNDUP(O394/'Methodology &amp; Assumptions'!$B$9, 0)</f>
        <v/>
      </c>
      <c r="R394" s="39" t="n">
        <v>1</v>
      </c>
      <c r="S394" s="25" t="n">
        <v>0.17</v>
      </c>
      <c r="T394" s="25" t="n">
        <v>0.18</v>
      </c>
      <c r="U394" s="42" t="inlineStr">
        <is>
          <t>Tier 1A (Direct Coloc, &lt;1 km)</t>
        </is>
      </c>
      <c r="V394" s="24" t="n">
        <v>100</v>
      </c>
      <c r="W394" s="24" t="n">
        <v>100</v>
      </c>
      <c r="X394" s="24" t="n">
        <v>28</v>
      </c>
      <c r="Y394" s="45">
        <f>ROUND((V394*'Methodology &amp; Assumptions'!$B$6)+(W394*'Methodology &amp; Assumptions'!$B$5)+(X394*'Methodology &amp; Assumptions'!$B$7), 2)</f>
        <v/>
      </c>
    </row>
    <row r="395" ht="19" customHeight="1">
      <c r="A395" s="35" t="n">
        <v>391</v>
      </c>
      <c r="B395" s="35" t="n">
        <v>391</v>
      </c>
      <c r="C395" s="36" t="inlineStr">
        <is>
          <t>0301410015</t>
        </is>
      </c>
      <c r="D395" s="36" t="inlineStr">
        <is>
          <t>Region III (Central Luzon)</t>
        </is>
      </c>
      <c r="E395" s="36" t="inlineStr">
        <is>
          <t>Bulacan</t>
        </is>
      </c>
      <c r="F395" s="36" t="inlineStr">
        <is>
          <t>City of Malolos</t>
        </is>
      </c>
      <c r="G395" s="36" t="inlineStr">
        <is>
          <t>Guinhawa</t>
        </is>
      </c>
      <c r="H395" s="37" t="n">
        <v>14.85352</v>
      </c>
      <c r="I395" s="37" t="n">
        <v>120.817602</v>
      </c>
      <c r="J395" s="8" t="inlineStr">
        <is>
          <t>U</t>
        </is>
      </c>
      <c r="K395" s="36" t="inlineStr">
        <is>
          <t>Class 1-3 / Urban</t>
        </is>
      </c>
      <c r="L395" s="18" t="n">
        <v>4217</v>
      </c>
      <c r="M395" s="20" t="n">
        <v>4.1</v>
      </c>
      <c r="N395" s="18">
        <f>ROUND(L395/M395, 0)</f>
        <v/>
      </c>
      <c r="O395" s="18">
        <f>ROUND(N395*'Methodology &amp; Assumptions'!$B$8, 0)</f>
        <v/>
      </c>
      <c r="P395" s="8" t="inlineStr">
        <is>
          <t>Band n50 (1.5 GHz, 60 MHz)</t>
        </is>
      </c>
      <c r="Q395" s="38">
        <f>ROUNDUP(O395/'Methodology &amp; Assumptions'!$B$9, 0)</f>
        <v/>
      </c>
      <c r="R395" s="39" t="n">
        <v>1</v>
      </c>
      <c r="S395" s="21" t="n">
        <v>0.18</v>
      </c>
      <c r="T395" s="21" t="n">
        <v>0.18</v>
      </c>
      <c r="U395" s="36" t="inlineStr">
        <is>
          <t>Tier 1A (Direct Coloc, &lt;1 km)</t>
        </is>
      </c>
      <c r="V395" s="20" t="n">
        <v>100</v>
      </c>
      <c r="W395" s="20" t="n">
        <v>100</v>
      </c>
      <c r="X395" s="20" t="n">
        <v>28</v>
      </c>
      <c r="Y395" s="40">
        <f>ROUND((V395*'Methodology &amp; Assumptions'!$B$6)+(W395*'Methodology &amp; Assumptions'!$B$5)+(X395*'Methodology &amp; Assumptions'!$B$7), 2)</f>
        <v/>
      </c>
    </row>
    <row r="396" ht="19" customHeight="1">
      <c r="A396" s="41" t="n">
        <v>392</v>
      </c>
      <c r="B396" s="41" t="n">
        <v>392</v>
      </c>
      <c r="C396" s="42" t="inlineStr">
        <is>
          <t>0403426026</t>
        </is>
      </c>
      <c r="D396" s="42" t="inlineStr">
        <is>
          <t>Region IV-A (CALABARZON)</t>
        </is>
      </c>
      <c r="E396" s="42" t="inlineStr">
        <is>
          <t>Laguna</t>
        </is>
      </c>
      <c r="F396" s="42" t="inlineStr">
        <is>
          <t>Santa Cruz</t>
        </is>
      </c>
      <c r="G396" s="42" t="inlineStr">
        <is>
          <t>Santo Angel Sur</t>
        </is>
      </c>
      <c r="H396" s="43" t="n">
        <v>14.281644</v>
      </c>
      <c r="I396" s="43" t="n">
        <v>121.413556</v>
      </c>
      <c r="J396" s="44" t="inlineStr">
        <is>
          <t>U</t>
        </is>
      </c>
      <c r="K396" s="42" t="inlineStr">
        <is>
          <t>Class 1-3 / Urban</t>
        </is>
      </c>
      <c r="L396" s="23" t="n">
        <v>4066</v>
      </c>
      <c r="M396" s="24" t="n">
        <v>4.2</v>
      </c>
      <c r="N396" s="23">
        <f>ROUND(L396/M396, 0)</f>
        <v/>
      </c>
      <c r="O396" s="23">
        <f>ROUND(N396*'Methodology &amp; Assumptions'!$B$8, 0)</f>
        <v/>
      </c>
      <c r="P396" s="44" t="inlineStr">
        <is>
          <t>Band n50 (1.5 GHz, 60 MHz)</t>
        </is>
      </c>
      <c r="Q396" s="38">
        <f>ROUNDUP(O396/'Methodology &amp; Assumptions'!$B$9, 0)</f>
        <v/>
      </c>
      <c r="R396" s="39" t="n">
        <v>1</v>
      </c>
      <c r="S396" s="25" t="n">
        <v>0.29</v>
      </c>
      <c r="T396" s="25" t="n">
        <v>0.17</v>
      </c>
      <c r="U396" s="42" t="inlineStr">
        <is>
          <t>Tier 1A (Direct Coloc, &lt;1 km)</t>
        </is>
      </c>
      <c r="V396" s="24" t="n">
        <v>100</v>
      </c>
      <c r="W396" s="24" t="n">
        <v>100</v>
      </c>
      <c r="X396" s="24" t="n">
        <v>28</v>
      </c>
      <c r="Y396" s="45">
        <f>ROUND((V396*'Methodology &amp; Assumptions'!$B$6)+(W396*'Methodology &amp; Assumptions'!$B$5)+(X396*'Methodology &amp; Assumptions'!$B$7), 2)</f>
        <v/>
      </c>
    </row>
    <row r="397" ht="19" customHeight="1">
      <c r="A397" s="35" t="n">
        <v>393</v>
      </c>
      <c r="B397" s="35" t="n">
        <v>393</v>
      </c>
      <c r="C397" s="36" t="inlineStr">
        <is>
          <t>1004326013</t>
        </is>
      </c>
      <c r="D397" s="36" t="inlineStr">
        <is>
          <t>Region X (Northern Mindanao)</t>
        </is>
      </c>
      <c r="E397" s="36" t="inlineStr">
        <is>
          <t>Misamis Oriental</t>
        </is>
      </c>
      <c r="F397" s="36" t="inlineStr">
        <is>
          <t>Villanueva</t>
        </is>
      </c>
      <c r="G397" s="36" t="inlineStr">
        <is>
          <t>Poblacion 3</t>
        </is>
      </c>
      <c r="H397" s="37" t="n">
        <v>8.584628</v>
      </c>
      <c r="I397" s="37" t="n">
        <v>124.768801</v>
      </c>
      <c r="J397" s="8" t="inlineStr">
        <is>
          <t>R</t>
        </is>
      </c>
      <c r="K397" s="36" t="inlineStr">
        <is>
          <t>Class 1-3 / Urban</t>
        </is>
      </c>
      <c r="L397" s="18" t="n">
        <v>4163</v>
      </c>
      <c r="M397" s="20" t="n">
        <v>4.54</v>
      </c>
      <c r="N397" s="18">
        <f>ROUND(L397/M397, 0)</f>
        <v/>
      </c>
      <c r="O397" s="18">
        <f>ROUND(N397*'Methodology &amp; Assumptions'!$B$8, 0)</f>
        <v/>
      </c>
      <c r="P397" s="8" t="inlineStr">
        <is>
          <t>Band n50 (1.5 GHz, 60 MHz)</t>
        </is>
      </c>
      <c r="Q397" s="38">
        <f>ROUNDUP(O397/'Methodology &amp; Assumptions'!$B$9, 0)</f>
        <v/>
      </c>
      <c r="R397" s="39" t="n">
        <v>1</v>
      </c>
      <c r="S397" s="21" t="n">
        <v>1.21</v>
      </c>
      <c r="T397" s="21" t="n">
        <v>0.21</v>
      </c>
      <c r="U397" s="36" t="inlineStr">
        <is>
          <t>Tier 1B (Micro Drop, 1-3 km)</t>
        </is>
      </c>
      <c r="V397" s="20" t="n">
        <v>76.90000000000001</v>
      </c>
      <c r="W397" s="20" t="n">
        <v>97.3</v>
      </c>
      <c r="X397" s="20" t="n">
        <v>58</v>
      </c>
      <c r="Y397" s="40">
        <f>ROUND((V397*'Methodology &amp; Assumptions'!$B$6)+(W397*'Methodology &amp; Assumptions'!$B$5)+(X397*'Methodology &amp; Assumptions'!$B$7), 2)</f>
        <v/>
      </c>
    </row>
    <row r="398" ht="19" customHeight="1">
      <c r="A398" s="41" t="n">
        <v>394</v>
      </c>
      <c r="B398" s="41" t="n">
        <v>394</v>
      </c>
      <c r="C398" s="42" t="inlineStr">
        <is>
          <t>0501728010</t>
        </is>
      </c>
      <c r="D398" s="42" t="inlineStr">
        <is>
          <t>Region V (Bicol Region)</t>
        </is>
      </c>
      <c r="E398" s="42" t="inlineStr">
        <is>
          <t>Camarines Sur</t>
        </is>
      </c>
      <c r="F398" s="42" t="inlineStr">
        <is>
          <t>Pili</t>
        </is>
      </c>
      <c r="G398" s="42" t="inlineStr">
        <is>
          <t>La Purisima</t>
        </is>
      </c>
      <c r="H398" s="43" t="n">
        <v>13.560987</v>
      </c>
      <c r="I398" s="43" t="n">
        <v>123.285399</v>
      </c>
      <c r="J398" s="44" t="inlineStr">
        <is>
          <t>R</t>
        </is>
      </c>
      <c r="K398" s="42" t="inlineStr">
        <is>
          <t>Class 1-3 / Urban</t>
        </is>
      </c>
      <c r="L398" s="23" t="n">
        <v>3210</v>
      </c>
      <c r="M398" s="24" t="n">
        <v>4.9</v>
      </c>
      <c r="N398" s="23">
        <f>ROUND(L398/M398, 0)</f>
        <v/>
      </c>
      <c r="O398" s="23">
        <f>ROUND(N398*'Methodology &amp; Assumptions'!$B$8, 0)</f>
        <v/>
      </c>
      <c r="P398" s="44" t="inlineStr">
        <is>
          <t>Band n50 (1.5 GHz, 60 MHz)</t>
        </is>
      </c>
      <c r="Q398" s="38">
        <f>ROUNDUP(O398/'Methodology &amp; Assumptions'!$B$9, 0)</f>
        <v/>
      </c>
      <c r="R398" s="39" t="n">
        <v>1</v>
      </c>
      <c r="S398" s="25" t="n">
        <v>0.38</v>
      </c>
      <c r="T398" s="25" t="n">
        <v>1.33</v>
      </c>
      <c r="U398" s="42" t="inlineStr">
        <is>
          <t>Tier 1A (Direct Coloc, &lt;1 km)</t>
        </is>
      </c>
      <c r="V398" s="24" t="n">
        <v>98</v>
      </c>
      <c r="W398" s="24" t="n">
        <v>76.3</v>
      </c>
      <c r="X398" s="24" t="n">
        <v>58</v>
      </c>
      <c r="Y398" s="45">
        <f>ROUND((V398*'Methodology &amp; Assumptions'!$B$6)+(W398*'Methodology &amp; Assumptions'!$B$5)+(X398*'Methodology &amp; Assumptions'!$B$7), 2)</f>
        <v/>
      </c>
    </row>
    <row r="399" ht="19" customHeight="1">
      <c r="A399" s="35" t="n">
        <v>395</v>
      </c>
      <c r="B399" s="35" t="n">
        <v>395</v>
      </c>
      <c r="C399" s="36" t="inlineStr">
        <is>
          <t>0305415031</t>
        </is>
      </c>
      <c r="D399" s="36" t="inlineStr">
        <is>
          <t>Region III (Central Luzon)</t>
        </is>
      </c>
      <c r="E399" s="36" t="inlineStr">
        <is>
          <t>Pampanga</t>
        </is>
      </c>
      <c r="F399" s="36" t="inlineStr">
        <is>
          <t>Porac</t>
        </is>
      </c>
      <c r="G399" s="36" t="inlineStr">
        <is>
          <t>Sta. Cruz</t>
        </is>
      </c>
      <c r="H399" s="37" t="n">
        <v>15.116199</v>
      </c>
      <c r="I399" s="37" t="n">
        <v>120.570594</v>
      </c>
      <c r="J399" s="8" t="inlineStr">
        <is>
          <t>U</t>
        </is>
      </c>
      <c r="K399" s="36" t="inlineStr">
        <is>
          <t>Class 1-3 / Urban</t>
        </is>
      </c>
      <c r="L399" s="18" t="n">
        <v>18624</v>
      </c>
      <c r="M399" s="20" t="n">
        <v>4.63</v>
      </c>
      <c r="N399" s="18">
        <f>ROUND(L399/M399, 0)</f>
        <v/>
      </c>
      <c r="O399" s="18">
        <f>ROUND(N399*'Methodology &amp; Assumptions'!$B$8, 0)</f>
        <v/>
      </c>
      <c r="P399" s="8" t="inlineStr">
        <is>
          <t>Band n50 (1.5 GHz, 60 MHz)</t>
        </is>
      </c>
      <c r="Q399" s="38">
        <f>ROUNDUP(O399/'Methodology &amp; Assumptions'!$B$9, 0)</f>
        <v/>
      </c>
      <c r="R399" s="39" t="n">
        <v>1</v>
      </c>
      <c r="S399" s="21" t="n">
        <v>0.32</v>
      </c>
      <c r="T399" s="21" t="n">
        <v>0.26</v>
      </c>
      <c r="U399" s="36" t="inlineStr">
        <is>
          <t>Tier 1A (Direct Coloc, &lt;1 km)</t>
        </is>
      </c>
      <c r="V399" s="20" t="n">
        <v>100</v>
      </c>
      <c r="W399" s="20" t="n">
        <v>100</v>
      </c>
      <c r="X399" s="20" t="n">
        <v>28</v>
      </c>
      <c r="Y399" s="40">
        <f>ROUND((V399*'Methodology &amp; Assumptions'!$B$6)+(W399*'Methodology &amp; Assumptions'!$B$5)+(X399*'Methodology &amp; Assumptions'!$B$7), 2)</f>
        <v/>
      </c>
    </row>
    <row r="400" ht="19" customHeight="1">
      <c r="A400" s="41" t="n">
        <v>396</v>
      </c>
      <c r="B400" s="41" t="n">
        <v>396</v>
      </c>
      <c r="C400" s="42" t="inlineStr">
        <is>
          <t>0305407024</t>
        </is>
      </c>
      <c r="D400" s="42" t="inlineStr">
        <is>
          <t>Region III (Central Luzon)</t>
        </is>
      </c>
      <c r="E400" s="42" t="inlineStr">
        <is>
          <t>Pampanga</t>
        </is>
      </c>
      <c r="F400" s="42" t="inlineStr">
        <is>
          <t>Guagua</t>
        </is>
      </c>
      <c r="G400" s="42" t="inlineStr">
        <is>
          <t>San Rafael</t>
        </is>
      </c>
      <c r="H400" s="43" t="n">
        <v>14.963451</v>
      </c>
      <c r="I400" s="43" t="n">
        <v>120.63487</v>
      </c>
      <c r="J400" s="44" t="inlineStr">
        <is>
          <t>R</t>
        </is>
      </c>
      <c r="K400" s="42" t="inlineStr">
        <is>
          <t>Class 1-3 / Urban</t>
        </is>
      </c>
      <c r="L400" s="23" t="n">
        <v>4251</v>
      </c>
      <c r="M400" s="24" t="n">
        <v>4.63</v>
      </c>
      <c r="N400" s="23">
        <f>ROUND(L400/M400, 0)</f>
        <v/>
      </c>
      <c r="O400" s="23">
        <f>ROUND(N400*'Methodology &amp; Assumptions'!$B$8, 0)</f>
        <v/>
      </c>
      <c r="P400" s="44" t="inlineStr">
        <is>
          <t>Band n50 (1.5 GHz, 60 MHz)</t>
        </is>
      </c>
      <c r="Q400" s="38">
        <f>ROUNDUP(O400/'Methodology &amp; Assumptions'!$B$9, 0)</f>
        <v/>
      </c>
      <c r="R400" s="39" t="n">
        <v>1</v>
      </c>
      <c r="S400" s="25" t="n">
        <v>1.21</v>
      </c>
      <c r="T400" s="25" t="n">
        <v>0.42</v>
      </c>
      <c r="U400" s="42" t="inlineStr">
        <is>
          <t>Tier 1B (Micro Drop, 1-3 km)</t>
        </is>
      </c>
      <c r="V400" s="24" t="n">
        <v>76.90000000000001</v>
      </c>
      <c r="W400" s="24" t="n">
        <v>97.3</v>
      </c>
      <c r="X400" s="24" t="n">
        <v>58</v>
      </c>
      <c r="Y400" s="45">
        <f>ROUND((V400*'Methodology &amp; Assumptions'!$B$6)+(W400*'Methodology &amp; Assumptions'!$B$5)+(X400*'Methodology &amp; Assumptions'!$B$7), 2)</f>
        <v/>
      </c>
    </row>
    <row r="401" ht="19" customHeight="1">
      <c r="A401" s="35" t="n">
        <v>397</v>
      </c>
      <c r="B401" s="35" t="n">
        <v>397</v>
      </c>
      <c r="C401" s="36" t="inlineStr">
        <is>
          <t>0604531011</t>
        </is>
      </c>
      <c r="D401" s="36" t="inlineStr">
        <is>
          <t>Region VI (Western Visayas)</t>
        </is>
      </c>
      <c r="E401" s="36" t="inlineStr">
        <is>
          <t>Negros Occidental</t>
        </is>
      </c>
      <c r="F401" s="36" t="inlineStr">
        <is>
          <t>City of Victorias</t>
        </is>
      </c>
      <c r="G401" s="36" t="inlineStr">
        <is>
          <t>Barangay VIII</t>
        </is>
      </c>
      <c r="H401" s="37" t="n">
        <v>10.897071</v>
      </c>
      <c r="I401" s="37" t="n">
        <v>123.067648</v>
      </c>
      <c r="J401" s="8" t="inlineStr">
        <is>
          <t>U</t>
        </is>
      </c>
      <c r="K401" s="36" t="inlineStr">
        <is>
          <t>Class 1-3 / Urban</t>
        </is>
      </c>
      <c r="L401" s="18" t="n">
        <v>5827</v>
      </c>
      <c r="M401" s="20" t="n">
        <v>4.33</v>
      </c>
      <c r="N401" s="18">
        <f>ROUND(L401/M401, 0)</f>
        <v/>
      </c>
      <c r="O401" s="18">
        <f>ROUND(N401*'Methodology &amp; Assumptions'!$B$8, 0)</f>
        <v/>
      </c>
      <c r="P401" s="8" t="inlineStr">
        <is>
          <t>Band n50 (1.5 GHz, 60 MHz)</t>
        </is>
      </c>
      <c r="Q401" s="38">
        <f>ROUNDUP(O401/'Methodology &amp; Assumptions'!$B$9, 0)</f>
        <v/>
      </c>
      <c r="R401" s="39" t="n">
        <v>1</v>
      </c>
      <c r="S401" s="21" t="n">
        <v>0.78</v>
      </c>
      <c r="T401" s="21" t="n">
        <v>0.3</v>
      </c>
      <c r="U401" s="36" t="inlineStr">
        <is>
          <t>Tier 1A (Direct Coloc, &lt;1 km)</t>
        </is>
      </c>
      <c r="V401" s="20" t="n">
        <v>87</v>
      </c>
      <c r="W401" s="20" t="n">
        <v>100</v>
      </c>
      <c r="X401" s="20" t="n">
        <v>43</v>
      </c>
      <c r="Y401" s="40">
        <f>ROUND((V401*'Methodology &amp; Assumptions'!$B$6)+(W401*'Methodology &amp; Assumptions'!$B$5)+(X401*'Methodology &amp; Assumptions'!$B$7), 2)</f>
        <v/>
      </c>
    </row>
    <row r="402" ht="19" customHeight="1">
      <c r="A402" s="41" t="n">
        <v>398</v>
      </c>
      <c r="B402" s="41" t="n">
        <v>398</v>
      </c>
      <c r="C402" s="42" t="inlineStr">
        <is>
          <t>0401031040</t>
        </is>
      </c>
      <c r="D402" s="42" t="inlineStr">
        <is>
          <t>Region IV-A (CALABARZON)</t>
        </is>
      </c>
      <c r="E402" s="42" t="inlineStr">
        <is>
          <t>Batangas</t>
        </is>
      </c>
      <c r="F402" s="42" t="inlineStr">
        <is>
          <t>City of Tanauan</t>
        </is>
      </c>
      <c r="G402" s="42" t="inlineStr">
        <is>
          <t>Sambat</t>
        </is>
      </c>
      <c r="H402" s="43" t="n">
        <v>14.085516</v>
      </c>
      <c r="I402" s="43" t="n">
        <v>121.13676</v>
      </c>
      <c r="J402" s="44" t="inlineStr">
        <is>
          <t>R</t>
        </is>
      </c>
      <c r="K402" s="42" t="inlineStr">
        <is>
          <t>Class 1-3 / Urban</t>
        </is>
      </c>
      <c r="L402" s="23" t="n">
        <v>4446</v>
      </c>
      <c r="M402" s="24" t="n">
        <v>4.62</v>
      </c>
      <c r="N402" s="23">
        <f>ROUND(L402/M402, 0)</f>
        <v/>
      </c>
      <c r="O402" s="23">
        <f>ROUND(N402*'Methodology &amp; Assumptions'!$B$8, 0)</f>
        <v/>
      </c>
      <c r="P402" s="44" t="inlineStr">
        <is>
          <t>Band n50 (1.5 GHz, 60 MHz)</t>
        </is>
      </c>
      <c r="Q402" s="38">
        <f>ROUNDUP(O402/'Methodology &amp; Assumptions'!$B$9, 0)</f>
        <v/>
      </c>
      <c r="R402" s="39" t="n">
        <v>1</v>
      </c>
      <c r="S402" s="25" t="n">
        <v>1.33</v>
      </c>
      <c r="T402" s="25" t="n">
        <v>1.33</v>
      </c>
      <c r="U402" s="42" t="inlineStr">
        <is>
          <t>Tier 1B (Micro Drop, 1-3 km)</t>
        </is>
      </c>
      <c r="V402" s="24" t="n">
        <v>74.09999999999999</v>
      </c>
      <c r="W402" s="24" t="n">
        <v>100</v>
      </c>
      <c r="X402" s="24" t="n">
        <v>58</v>
      </c>
      <c r="Y402" s="45">
        <f>ROUND((V402*'Methodology &amp; Assumptions'!$B$6)+(W402*'Methodology &amp; Assumptions'!$B$5)+(X402*'Methodology &amp; Assumptions'!$B$7), 2)</f>
        <v/>
      </c>
    </row>
    <row r="403" ht="19" customHeight="1">
      <c r="A403" s="35" t="n">
        <v>399</v>
      </c>
      <c r="B403" s="35" t="n">
        <v>399</v>
      </c>
      <c r="C403" s="36" t="inlineStr">
        <is>
          <t>0405803005</t>
        </is>
      </c>
      <c r="D403" s="36" t="inlineStr">
        <is>
          <t>Region IV-A (CALABARZON)</t>
        </is>
      </c>
      <c r="E403" s="36" t="inlineStr">
        <is>
          <t>Rizal</t>
        </is>
      </c>
      <c r="F403" s="36" t="inlineStr">
        <is>
          <t>Baras</t>
        </is>
      </c>
      <c r="G403" s="36" t="inlineStr">
        <is>
          <t>Santiago</t>
        </is>
      </c>
      <c r="H403" s="37" t="n">
        <v>14.536374</v>
      </c>
      <c r="I403" s="37" t="n">
        <v>121.274067</v>
      </c>
      <c r="J403" s="8" t="inlineStr">
        <is>
          <t>R</t>
        </is>
      </c>
      <c r="K403" s="36" t="inlineStr">
        <is>
          <t>1st</t>
        </is>
      </c>
      <c r="L403" s="18" t="n">
        <v>4141</v>
      </c>
      <c r="M403" s="20" t="n">
        <v>4.14</v>
      </c>
      <c r="N403" s="18">
        <f>ROUND(L403/M403, 0)</f>
        <v/>
      </c>
      <c r="O403" s="18">
        <f>ROUND(N403*'Methodology &amp; Assumptions'!$B$8, 0)</f>
        <v/>
      </c>
      <c r="P403" s="8" t="inlineStr">
        <is>
          <t>Band n50 (1.5 GHz, 60 MHz)</t>
        </is>
      </c>
      <c r="Q403" s="38">
        <f>ROUNDUP(O403/'Methodology &amp; Assumptions'!$B$9, 0)</f>
        <v/>
      </c>
      <c r="R403" s="39" t="n">
        <v>1</v>
      </c>
      <c r="S403" s="21" t="n">
        <v>1.33</v>
      </c>
      <c r="T403" s="21" t="n">
        <v>1.73</v>
      </c>
      <c r="U403" s="36" t="inlineStr">
        <is>
          <t>Tier 1B (Micro Drop, 1-3 km)</t>
        </is>
      </c>
      <c r="V403" s="20" t="n">
        <v>74.2</v>
      </c>
      <c r="W403" s="20" t="n">
        <v>100</v>
      </c>
      <c r="X403" s="20" t="n">
        <v>58</v>
      </c>
      <c r="Y403" s="40">
        <f>ROUND((V403*'Methodology &amp; Assumptions'!$B$6)+(W403*'Methodology &amp; Assumptions'!$B$5)+(X403*'Methodology &amp; Assumptions'!$B$7), 2)</f>
        <v/>
      </c>
    </row>
    <row r="404" ht="19" customHeight="1">
      <c r="A404" s="41" t="n">
        <v>400</v>
      </c>
      <c r="B404" s="41" t="n">
        <v>400</v>
      </c>
      <c r="C404" s="42" t="inlineStr">
        <is>
          <t>0604521004</t>
        </is>
      </c>
      <c r="D404" s="42" t="inlineStr">
        <is>
          <t>Region VI (Western Visayas)</t>
        </is>
      </c>
      <c r="E404" s="42" t="inlineStr">
        <is>
          <t>Negros Occidental</t>
        </is>
      </c>
      <c r="F404" s="42" t="inlineStr">
        <is>
          <t>Pontevedra</t>
        </is>
      </c>
      <c r="G404" s="42" t="inlineStr">
        <is>
          <t>Barangay III</t>
        </is>
      </c>
      <c r="H404" s="43" t="n">
        <v>10.37157</v>
      </c>
      <c r="I404" s="43" t="n">
        <v>122.86781</v>
      </c>
      <c r="J404" s="44" t="inlineStr">
        <is>
          <t>R</t>
        </is>
      </c>
      <c r="K404" s="42" t="inlineStr">
        <is>
          <t>Class 1-3 / Urban</t>
        </is>
      </c>
      <c r="L404" s="23" t="n">
        <v>2715</v>
      </c>
      <c r="M404" s="24" t="n">
        <v>4.33</v>
      </c>
      <c r="N404" s="23">
        <f>ROUND(L404/M404, 0)</f>
        <v/>
      </c>
      <c r="O404" s="23">
        <f>ROUND(N404*'Methodology &amp; Assumptions'!$B$8, 0)</f>
        <v/>
      </c>
      <c r="P404" s="44" t="inlineStr">
        <is>
          <t>Band n50 (1.5 GHz, 60 MHz)</t>
        </is>
      </c>
      <c r="Q404" s="38">
        <f>ROUNDUP(O404/'Methodology &amp; Assumptions'!$B$9, 0)</f>
        <v/>
      </c>
      <c r="R404" s="39" t="n">
        <v>1</v>
      </c>
      <c r="S404" s="25" t="n">
        <v>0.14</v>
      </c>
      <c r="T404" s="25" t="n">
        <v>0.13</v>
      </c>
      <c r="U404" s="42" t="inlineStr">
        <is>
          <t>Tier 1A (Direct Coloc, &lt;1 km)</t>
        </is>
      </c>
      <c r="V404" s="24" t="n">
        <v>100</v>
      </c>
      <c r="W404" s="24" t="n">
        <v>74.09999999999999</v>
      </c>
      <c r="X404" s="24" t="n">
        <v>58</v>
      </c>
      <c r="Y404" s="45">
        <f>ROUND((V404*'Methodology &amp; Assumptions'!$B$6)+(W404*'Methodology &amp; Assumptions'!$B$5)+(X404*'Methodology &amp; Assumptions'!$B$7), 2)</f>
        <v/>
      </c>
    </row>
    <row r="405" ht="19" customHeight="1">
      <c r="A405" s="35" t="n">
        <v>401</v>
      </c>
      <c r="B405" s="35" t="n">
        <v>401</v>
      </c>
      <c r="C405" s="36" t="inlineStr">
        <is>
          <t>1030500063</t>
        </is>
      </c>
      <c r="D405" s="36" t="inlineStr">
        <is>
          <t>Region X (Northern Mindanao)</t>
        </is>
      </c>
      <c r="E405" s="36" t="inlineStr">
        <is>
          <t>Misamis Oriental</t>
        </is>
      </c>
      <c r="F405" s="36" t="inlineStr">
        <is>
          <t>City of Cagayan De Oro</t>
        </is>
      </c>
      <c r="G405" s="36" t="inlineStr">
        <is>
          <t>Puerto</t>
        </is>
      </c>
      <c r="H405" s="37" t="n">
        <v>8.501704</v>
      </c>
      <c r="I405" s="37" t="n">
        <v>124.74957</v>
      </c>
      <c r="J405" s="8" t="inlineStr">
        <is>
          <t>U</t>
        </is>
      </c>
      <c r="K405" s="36" t="inlineStr">
        <is>
          <t>Class 1-3 / Urban</t>
        </is>
      </c>
      <c r="L405" s="18" t="n">
        <v>13174</v>
      </c>
      <c r="M405" s="20" t="n">
        <v>4.54</v>
      </c>
      <c r="N405" s="18">
        <f>ROUND(L405/M405, 0)</f>
        <v/>
      </c>
      <c r="O405" s="18">
        <f>ROUND(N405*'Methodology &amp; Assumptions'!$B$8, 0)</f>
        <v/>
      </c>
      <c r="P405" s="8" t="inlineStr">
        <is>
          <t>Band n50 (1.5 GHz, 60 MHz)</t>
        </is>
      </c>
      <c r="Q405" s="38">
        <f>ROUNDUP(O405/'Methodology &amp; Assumptions'!$B$9, 0)</f>
        <v/>
      </c>
      <c r="R405" s="39" t="n">
        <v>1</v>
      </c>
      <c r="S405" s="21" t="n">
        <v>0.32</v>
      </c>
      <c r="T405" s="21" t="n">
        <v>0.12</v>
      </c>
      <c r="U405" s="36" t="inlineStr">
        <is>
          <t>Tier 1A (Direct Coloc, &lt;1 km)</t>
        </is>
      </c>
      <c r="V405" s="20" t="n">
        <v>99.90000000000001</v>
      </c>
      <c r="W405" s="20" t="n">
        <v>100</v>
      </c>
      <c r="X405" s="20" t="n">
        <v>28</v>
      </c>
      <c r="Y405" s="40">
        <f>ROUND((V405*'Methodology &amp; Assumptions'!$B$6)+(W405*'Methodology &amp; Assumptions'!$B$5)+(X405*'Methodology &amp; Assumptions'!$B$7), 2)</f>
        <v/>
      </c>
    </row>
    <row r="406" ht="19" customHeight="1">
      <c r="A406" s="41" t="n">
        <v>402</v>
      </c>
      <c r="B406" s="41" t="n">
        <v>402</v>
      </c>
      <c r="C406" s="42" t="inlineStr">
        <is>
          <t>0304932025</t>
        </is>
      </c>
      <c r="D406" s="42" t="inlineStr">
        <is>
          <t>Region III (Central Luzon)</t>
        </is>
      </c>
      <c r="E406" s="42" t="inlineStr">
        <is>
          <t>Nueva Ecija</t>
        </is>
      </c>
      <c r="F406" s="42" t="inlineStr">
        <is>
          <t>Zaragoza</t>
        </is>
      </c>
      <c r="G406" s="42" t="inlineStr">
        <is>
          <t>Santa Lucia Young</t>
        </is>
      </c>
      <c r="H406" s="43" t="n">
        <v>15.459167</v>
      </c>
      <c r="I406" s="43" t="n">
        <v>120.796389</v>
      </c>
      <c r="J406" s="44" t="inlineStr">
        <is>
          <t>R</t>
        </is>
      </c>
      <c r="K406" s="42" t="inlineStr">
        <is>
          <t>Class 1-3 / Urban</t>
        </is>
      </c>
      <c r="L406" s="23" t="n">
        <v>3784</v>
      </c>
      <c r="M406" s="24" t="n">
        <v>4.32</v>
      </c>
      <c r="N406" s="23">
        <f>ROUND(L406/M406, 0)</f>
        <v/>
      </c>
      <c r="O406" s="23">
        <f>ROUND(N406*'Methodology &amp; Assumptions'!$B$8, 0)</f>
        <v/>
      </c>
      <c r="P406" s="44" t="inlineStr">
        <is>
          <t>Band n50 (1.5 GHz, 60 MHz)</t>
        </is>
      </c>
      <c r="Q406" s="38">
        <f>ROUNDUP(O406/'Methodology &amp; Assumptions'!$B$9, 0)</f>
        <v/>
      </c>
      <c r="R406" s="39" t="n">
        <v>1</v>
      </c>
      <c r="S406" s="25" t="n">
        <v>1.07</v>
      </c>
      <c r="T406" s="25" t="n">
        <v>1.13</v>
      </c>
      <c r="U406" s="42" t="inlineStr">
        <is>
          <t>Tier 1B (Micro Drop, 1-3 km)</t>
        </is>
      </c>
      <c r="V406" s="24" t="n">
        <v>80</v>
      </c>
      <c r="W406" s="24" t="n">
        <v>94.09999999999999</v>
      </c>
      <c r="X406" s="24" t="n">
        <v>58</v>
      </c>
      <c r="Y406" s="45">
        <f>ROUND((V406*'Methodology &amp; Assumptions'!$B$6)+(W406*'Methodology &amp; Assumptions'!$B$5)+(X406*'Methodology &amp; Assumptions'!$B$7), 2)</f>
        <v/>
      </c>
    </row>
    <row r="407" ht="19" customHeight="1">
      <c r="A407" s="35" t="n">
        <v>403</v>
      </c>
      <c r="B407" s="35" t="n">
        <v>403</v>
      </c>
      <c r="C407" s="36" t="inlineStr">
        <is>
          <t>0307106004</t>
        </is>
      </c>
      <c r="D407" s="36" t="inlineStr">
        <is>
          <t>Region III (Central Luzon)</t>
        </is>
      </c>
      <c r="E407" s="36" t="inlineStr">
        <is>
          <t>Zambales</t>
        </is>
      </c>
      <c r="F407" s="36" t="inlineStr">
        <is>
          <t>Masinloc</t>
        </is>
      </c>
      <c r="G407" s="36" t="inlineStr">
        <is>
          <t>Collat</t>
        </is>
      </c>
      <c r="H407" s="37" t="n">
        <v>15.543188</v>
      </c>
      <c r="I407" s="37" t="n">
        <v>119.953645</v>
      </c>
      <c r="J407" s="8" t="inlineStr">
        <is>
          <t>R</t>
        </is>
      </c>
      <c r="K407" s="36" t="inlineStr">
        <is>
          <t>Class 1-3 / Urban</t>
        </is>
      </c>
      <c r="L407" s="18" t="n">
        <v>3184</v>
      </c>
      <c r="M407" s="20" t="n">
        <v>4.05</v>
      </c>
      <c r="N407" s="18">
        <f>ROUND(L407/M407, 0)</f>
        <v/>
      </c>
      <c r="O407" s="18">
        <f>ROUND(N407*'Methodology &amp; Assumptions'!$B$8, 0)</f>
        <v/>
      </c>
      <c r="P407" s="8" t="inlineStr">
        <is>
          <t>Band n50 (1.5 GHz, 60 MHz)</t>
        </is>
      </c>
      <c r="Q407" s="38">
        <f>ROUNDUP(O407/'Methodology &amp; Assumptions'!$B$9, 0)</f>
        <v/>
      </c>
      <c r="R407" s="39" t="n">
        <v>1</v>
      </c>
      <c r="S407" s="21" t="n">
        <v>0.78</v>
      </c>
      <c r="T407" s="21" t="n">
        <v>0.17</v>
      </c>
      <c r="U407" s="36" t="inlineStr">
        <is>
          <t>Tier 1A (Direct Coloc, &lt;1 km)</t>
        </is>
      </c>
      <c r="V407" s="20" t="n">
        <v>87.09999999999999</v>
      </c>
      <c r="W407" s="20" t="n">
        <v>86.90000000000001</v>
      </c>
      <c r="X407" s="20" t="n">
        <v>58</v>
      </c>
      <c r="Y407" s="40">
        <f>ROUND((V407*'Methodology &amp; Assumptions'!$B$6)+(W407*'Methodology &amp; Assumptions'!$B$5)+(X407*'Methodology &amp; Assumptions'!$B$7), 2)</f>
        <v/>
      </c>
    </row>
    <row r="408" ht="19" customHeight="1">
      <c r="A408" s="41" t="n">
        <v>404</v>
      </c>
      <c r="B408" s="41" t="n">
        <v>404</v>
      </c>
      <c r="C408" s="42" t="inlineStr">
        <is>
          <t>0600415013</t>
        </is>
      </c>
      <c r="D408" s="42" t="inlineStr">
        <is>
          <t>Region VI (Western Visayas)</t>
        </is>
      </c>
      <c r="E408" s="42" t="inlineStr">
        <is>
          <t>Aklan</t>
        </is>
      </c>
      <c r="F408" s="42" t="inlineStr">
        <is>
          <t>New Washington</t>
        </is>
      </c>
      <c r="G408" s="42" t="inlineStr">
        <is>
          <t>Poblacion</t>
        </is>
      </c>
      <c r="H408" s="43" t="n">
        <v>11.648</v>
      </c>
      <c r="I408" s="43" t="n">
        <v>122.4345</v>
      </c>
      <c r="J408" s="44" t="inlineStr">
        <is>
          <t>U</t>
        </is>
      </c>
      <c r="K408" s="42" t="inlineStr">
        <is>
          <t>Class 1-3 / Urban</t>
        </is>
      </c>
      <c r="L408" s="23" t="n">
        <v>6103</v>
      </c>
      <c r="M408" s="24" t="n">
        <v>4.27</v>
      </c>
      <c r="N408" s="23">
        <f>ROUND(L408/M408, 0)</f>
        <v/>
      </c>
      <c r="O408" s="23">
        <f>ROUND(N408*'Methodology &amp; Assumptions'!$B$8, 0)</f>
        <v/>
      </c>
      <c r="P408" s="44" t="inlineStr">
        <is>
          <t>Band n50 (1.5 GHz, 60 MHz)</t>
        </is>
      </c>
      <c r="Q408" s="38">
        <f>ROUNDUP(O408/'Methodology &amp; Assumptions'!$B$9, 0)</f>
        <v/>
      </c>
      <c r="R408" s="39" t="n">
        <v>1</v>
      </c>
      <c r="S408" s="25" t="n">
        <v>0.01</v>
      </c>
      <c r="T408" s="25" t="n">
        <v>7.28</v>
      </c>
      <c r="U408" s="42" t="inlineStr">
        <is>
          <t>Tier 1A (Direct Coloc, &lt;1 km)</t>
        </is>
      </c>
      <c r="V408" s="24" t="n">
        <v>99.8</v>
      </c>
      <c r="W408" s="24" t="n">
        <v>100</v>
      </c>
      <c r="X408" s="24" t="n">
        <v>28</v>
      </c>
      <c r="Y408" s="45">
        <f>ROUND((V408*'Methodology &amp; Assumptions'!$B$6)+(W408*'Methodology &amp; Assumptions'!$B$5)+(X408*'Methodology &amp; Assumptions'!$B$7), 2)</f>
        <v/>
      </c>
    </row>
    <row r="409" ht="19" customHeight="1">
      <c r="A409" s="35" t="n">
        <v>405</v>
      </c>
      <c r="B409" s="35" t="n">
        <v>405</v>
      </c>
      <c r="C409" s="36" t="inlineStr">
        <is>
          <t>0105533010</t>
        </is>
      </c>
      <c r="D409" s="36" t="inlineStr">
        <is>
          <t>Region I (Ilocos Region)</t>
        </is>
      </c>
      <c r="E409" s="36" t="inlineStr">
        <is>
          <t>Pangasinan</t>
        </is>
      </c>
      <c r="F409" s="36" t="inlineStr">
        <is>
          <t>San Fabian</t>
        </is>
      </c>
      <c r="G409" s="36" t="inlineStr">
        <is>
          <t>Cayanga</t>
        </is>
      </c>
      <c r="H409" s="37" t="n">
        <v>16.11328</v>
      </c>
      <c r="I409" s="37" t="n">
        <v>120.3979</v>
      </c>
      <c r="J409" s="8" t="inlineStr">
        <is>
          <t>U</t>
        </is>
      </c>
      <c r="K409" s="36" t="inlineStr">
        <is>
          <t>Class 1-3 / Urban</t>
        </is>
      </c>
      <c r="L409" s="18" t="n">
        <v>4735</v>
      </c>
      <c r="M409" s="20" t="n">
        <v>4.39</v>
      </c>
      <c r="N409" s="18">
        <f>ROUND(L409/M409, 0)</f>
        <v/>
      </c>
      <c r="O409" s="18">
        <f>ROUND(N409*'Methodology &amp; Assumptions'!$B$8, 0)</f>
        <v/>
      </c>
      <c r="P409" s="8" t="inlineStr">
        <is>
          <t>Band n50 (1.5 GHz, 60 MHz)</t>
        </is>
      </c>
      <c r="Q409" s="38">
        <f>ROUNDUP(O409/'Methodology &amp; Assumptions'!$B$9, 0)</f>
        <v/>
      </c>
      <c r="R409" s="39" t="n">
        <v>1</v>
      </c>
      <c r="S409" s="21" t="n">
        <v>0.32</v>
      </c>
      <c r="T409" s="21" t="n">
        <v>0.07000000000000001</v>
      </c>
      <c r="U409" s="36" t="inlineStr">
        <is>
          <t>Tier 1A (Direct Coloc, &lt;1 km)</t>
        </is>
      </c>
      <c r="V409" s="20" t="n">
        <v>99.8</v>
      </c>
      <c r="W409" s="20" t="n">
        <v>100</v>
      </c>
      <c r="X409" s="20" t="n">
        <v>28</v>
      </c>
      <c r="Y409" s="40">
        <f>ROUND((V409*'Methodology &amp; Assumptions'!$B$6)+(W409*'Methodology &amp; Assumptions'!$B$5)+(X409*'Methodology &amp; Assumptions'!$B$7), 2)</f>
        <v/>
      </c>
    </row>
    <row r="410" ht="19" customHeight="1">
      <c r="A410" s="41" t="n">
        <v>406</v>
      </c>
      <c r="B410" s="41" t="n">
        <v>406</v>
      </c>
      <c r="C410" s="42" t="inlineStr">
        <is>
          <t>0405630016</t>
        </is>
      </c>
      <c r="D410" s="42" t="inlineStr">
        <is>
          <t>Region IV-A (CALABARZON)</t>
        </is>
      </c>
      <c r="E410" s="42" t="inlineStr">
        <is>
          <t>Quezon</t>
        </is>
      </c>
      <c r="F410" s="42" t="inlineStr">
        <is>
          <t>Pagbilao</t>
        </is>
      </c>
      <c r="G410" s="42" t="inlineStr">
        <is>
          <t>Mapagong</t>
        </is>
      </c>
      <c r="H410" s="43" t="n">
        <v>13.970116</v>
      </c>
      <c r="I410" s="43" t="n">
        <v>121.679452</v>
      </c>
      <c r="J410" s="44" t="inlineStr">
        <is>
          <t>U</t>
        </is>
      </c>
      <c r="K410" s="42" t="inlineStr">
        <is>
          <t>Class 1-3 / Urban</t>
        </is>
      </c>
      <c r="L410" s="23" t="n">
        <v>6763</v>
      </c>
      <c r="M410" s="24" t="n">
        <v>4.46</v>
      </c>
      <c r="N410" s="23">
        <f>ROUND(L410/M410, 0)</f>
        <v/>
      </c>
      <c r="O410" s="23">
        <f>ROUND(N410*'Methodology &amp; Assumptions'!$B$8, 0)</f>
        <v/>
      </c>
      <c r="P410" s="44" t="inlineStr">
        <is>
          <t>Band n50 (1.5 GHz, 60 MHz)</t>
        </is>
      </c>
      <c r="Q410" s="38">
        <f>ROUNDUP(O410/'Methodology &amp; Assumptions'!$B$9, 0)</f>
        <v/>
      </c>
      <c r="R410" s="39" t="n">
        <v>1</v>
      </c>
      <c r="S410" s="25" t="n">
        <v>0.32</v>
      </c>
      <c r="T410" s="25" t="n">
        <v>0.16</v>
      </c>
      <c r="U410" s="42" t="inlineStr">
        <is>
          <t>Tier 1A (Direct Coloc, &lt;1 km)</t>
        </is>
      </c>
      <c r="V410" s="24" t="n">
        <v>99.8</v>
      </c>
      <c r="W410" s="24" t="n">
        <v>100</v>
      </c>
      <c r="X410" s="24" t="n">
        <v>28</v>
      </c>
      <c r="Y410" s="45">
        <f>ROUND((V410*'Methodology &amp; Assumptions'!$B$6)+(W410*'Methodology &amp; Assumptions'!$B$5)+(X410*'Methodology &amp; Assumptions'!$B$7), 2)</f>
        <v/>
      </c>
    </row>
    <row r="411" ht="19" customHeight="1">
      <c r="A411" s="35" t="n">
        <v>407</v>
      </c>
      <c r="B411" s="35" t="n">
        <v>407</v>
      </c>
      <c r="C411" s="36" t="inlineStr">
        <is>
          <t>0908305006</t>
        </is>
      </c>
      <c r="D411" s="36" t="inlineStr">
        <is>
          <t>Region IX (Zamboanga Peninsula)</t>
        </is>
      </c>
      <c r="E411" s="36" t="inlineStr">
        <is>
          <t>Zamboanga Sibugay</t>
        </is>
      </c>
      <c r="F411" s="36" t="inlineStr">
        <is>
          <t>Ipil</t>
        </is>
      </c>
      <c r="G411" s="36" t="inlineStr">
        <is>
          <t>Don Andres</t>
        </is>
      </c>
      <c r="H411" s="37" t="n">
        <v>7.777676</v>
      </c>
      <c r="I411" s="37" t="n">
        <v>122.584797</v>
      </c>
      <c r="J411" s="8" t="inlineStr">
        <is>
          <t>U</t>
        </is>
      </c>
      <c r="K411" s="36" t="inlineStr">
        <is>
          <t>Class 1-3 / Urban</t>
        </is>
      </c>
      <c r="L411" s="18" t="n">
        <v>7104</v>
      </c>
      <c r="M411" s="20" t="n">
        <v>5.06</v>
      </c>
      <c r="N411" s="18">
        <f>ROUND(L411/M411, 0)</f>
        <v/>
      </c>
      <c r="O411" s="18">
        <f>ROUND(N411*'Methodology &amp; Assumptions'!$B$8, 0)</f>
        <v/>
      </c>
      <c r="P411" s="8" t="inlineStr">
        <is>
          <t>Band n50 (1.5 GHz, 60 MHz)</t>
        </is>
      </c>
      <c r="Q411" s="38">
        <f>ROUNDUP(O411/'Methodology &amp; Assumptions'!$B$9, 0)</f>
        <v/>
      </c>
      <c r="R411" s="39" t="n">
        <v>1</v>
      </c>
      <c r="S411" s="21" t="n">
        <v>0.33</v>
      </c>
      <c r="T411" s="21" t="n">
        <v>0.22</v>
      </c>
      <c r="U411" s="36" t="inlineStr">
        <is>
          <t>Tier 1A (Direct Coloc, &lt;1 km)</t>
        </is>
      </c>
      <c r="V411" s="20" t="n">
        <v>99.7</v>
      </c>
      <c r="W411" s="20" t="n">
        <v>100</v>
      </c>
      <c r="X411" s="20" t="n">
        <v>28</v>
      </c>
      <c r="Y411" s="40">
        <f>ROUND((V411*'Methodology &amp; Assumptions'!$B$6)+(W411*'Methodology &amp; Assumptions'!$B$5)+(X411*'Methodology &amp; Assumptions'!$B$7), 2)</f>
        <v/>
      </c>
    </row>
    <row r="412" ht="19" customHeight="1">
      <c r="A412" s="41" t="n">
        <v>408</v>
      </c>
      <c r="B412" s="41" t="n">
        <v>408</v>
      </c>
      <c r="C412" s="42" t="inlineStr">
        <is>
          <t>0604528042</t>
        </is>
      </c>
      <c r="D412" s="42" t="inlineStr">
        <is>
          <t>Region VI (Western Visayas)</t>
        </is>
      </c>
      <c r="E412" s="42" t="inlineStr">
        <is>
          <t>Negros Occidental</t>
        </is>
      </c>
      <c r="F412" s="42" t="inlineStr">
        <is>
          <t>City of Talisay</t>
        </is>
      </c>
      <c r="G412" s="42" t="inlineStr">
        <is>
          <t>Zone 3</t>
        </is>
      </c>
      <c r="H412" s="43" t="n">
        <v>10.741668</v>
      </c>
      <c r="I412" s="43" t="n">
        <v>122.964889</v>
      </c>
      <c r="J412" s="44" t="inlineStr">
        <is>
          <t>U</t>
        </is>
      </c>
      <c r="K412" s="42" t="inlineStr">
        <is>
          <t>Class 1-3 / Urban</t>
        </is>
      </c>
      <c r="L412" s="23" t="n">
        <v>6587</v>
      </c>
      <c r="M412" s="24" t="n">
        <v>4.33</v>
      </c>
      <c r="N412" s="23">
        <f>ROUND(L412/M412, 0)</f>
        <v/>
      </c>
      <c r="O412" s="23">
        <f>ROUND(N412*'Methodology &amp; Assumptions'!$B$8, 0)</f>
        <v/>
      </c>
      <c r="P412" s="44" t="inlineStr">
        <is>
          <t>Band n50 (1.5 GHz, 60 MHz)</t>
        </is>
      </c>
      <c r="Q412" s="38">
        <f>ROUNDUP(O412/'Methodology &amp; Assumptions'!$B$9, 0)</f>
        <v/>
      </c>
      <c r="R412" s="39" t="n">
        <v>1</v>
      </c>
      <c r="S412" s="25" t="n">
        <v>0.33</v>
      </c>
      <c r="T412" s="25" t="n">
        <v>0.24</v>
      </c>
      <c r="U412" s="42" t="inlineStr">
        <is>
          <t>Tier 1A (Direct Coloc, &lt;1 km)</t>
        </is>
      </c>
      <c r="V412" s="24" t="n">
        <v>99.7</v>
      </c>
      <c r="W412" s="24" t="n">
        <v>100</v>
      </c>
      <c r="X412" s="24" t="n">
        <v>28</v>
      </c>
      <c r="Y412" s="45">
        <f>ROUND((V412*'Methodology &amp; Assumptions'!$B$6)+(W412*'Methodology &amp; Assumptions'!$B$5)+(X412*'Methodology &amp; Assumptions'!$B$7), 2)</f>
        <v/>
      </c>
    </row>
    <row r="413" ht="19" customHeight="1">
      <c r="A413" s="35" t="n">
        <v>409</v>
      </c>
      <c r="B413" s="35" t="n">
        <v>409</v>
      </c>
      <c r="C413" s="36" t="inlineStr">
        <is>
          <t>0604524001</t>
        </is>
      </c>
      <c r="D413" s="36" t="inlineStr">
        <is>
          <t>Region VI (Western Visayas)</t>
        </is>
      </c>
      <c r="E413" s="36" t="inlineStr">
        <is>
          <t>Negros Occidental</t>
        </is>
      </c>
      <c r="F413" s="36" t="inlineStr">
        <is>
          <t>City of San Carlos</t>
        </is>
      </c>
      <c r="G413" s="36" t="inlineStr">
        <is>
          <t>Bagonbon</t>
        </is>
      </c>
      <c r="H413" s="37" t="n">
        <v>10.582281</v>
      </c>
      <c r="I413" s="37" t="n">
        <v>123.400094</v>
      </c>
      <c r="J413" s="8" t="inlineStr">
        <is>
          <t>U</t>
        </is>
      </c>
      <c r="K413" s="36" t="inlineStr">
        <is>
          <t>Class 1-3 / Urban</t>
        </is>
      </c>
      <c r="L413" s="18" t="n">
        <v>5784</v>
      </c>
      <c r="M413" s="20" t="n">
        <v>4.33</v>
      </c>
      <c r="N413" s="18">
        <f>ROUND(L413/M413, 0)</f>
        <v/>
      </c>
      <c r="O413" s="18">
        <f>ROUND(N413*'Methodology &amp; Assumptions'!$B$8, 0)</f>
        <v/>
      </c>
      <c r="P413" s="8" t="inlineStr">
        <is>
          <t>Band n50 (1.5 GHz, 60 MHz)</t>
        </is>
      </c>
      <c r="Q413" s="38">
        <f>ROUNDUP(O413/'Methodology &amp; Assumptions'!$B$9, 0)</f>
        <v/>
      </c>
      <c r="R413" s="39" t="n">
        <v>1</v>
      </c>
      <c r="S413" s="21" t="n">
        <v>0.01</v>
      </c>
      <c r="T413" s="21" t="n">
        <v>7.4</v>
      </c>
      <c r="U413" s="36" t="inlineStr">
        <is>
          <t>Tier 1A (Direct Coloc, &lt;1 km)</t>
        </is>
      </c>
      <c r="V413" s="20" t="n">
        <v>99.7</v>
      </c>
      <c r="W413" s="20" t="n">
        <v>100</v>
      </c>
      <c r="X413" s="20" t="n">
        <v>28</v>
      </c>
      <c r="Y413" s="40">
        <f>ROUND((V413*'Methodology &amp; Assumptions'!$B$6)+(W413*'Methodology &amp; Assumptions'!$B$5)+(X413*'Methodology &amp; Assumptions'!$B$7), 2)</f>
        <v/>
      </c>
    </row>
    <row r="414" ht="19" customHeight="1">
      <c r="A414" s="41" t="n">
        <v>410</v>
      </c>
      <c r="B414" s="41" t="n">
        <v>410</v>
      </c>
      <c r="C414" s="42" t="inlineStr">
        <is>
          <t>0105504020</t>
        </is>
      </c>
      <c r="D414" s="42" t="inlineStr">
        <is>
          <t>Region I (Ilocos Region)</t>
        </is>
      </c>
      <c r="E414" s="42" t="inlineStr">
        <is>
          <t>Pangasinan</t>
        </is>
      </c>
      <c r="F414" s="42" t="inlineStr">
        <is>
          <t>Alcala</t>
        </is>
      </c>
      <c r="G414" s="42" t="inlineStr">
        <is>
          <t>San Pedro Ili</t>
        </is>
      </c>
      <c r="H414" s="43" t="n">
        <v>15.84638</v>
      </c>
      <c r="I414" s="43" t="n">
        <v>120.533868</v>
      </c>
      <c r="J414" s="44" t="inlineStr">
        <is>
          <t>R</t>
        </is>
      </c>
      <c r="K414" s="42" t="inlineStr">
        <is>
          <t>Class 1-3 / Urban</t>
        </is>
      </c>
      <c r="L414" s="23" t="n">
        <v>4151</v>
      </c>
      <c r="M414" s="24" t="n">
        <v>4.39</v>
      </c>
      <c r="N414" s="23">
        <f>ROUND(L414/M414, 0)</f>
        <v/>
      </c>
      <c r="O414" s="23">
        <f>ROUND(N414*'Methodology &amp; Assumptions'!$B$8, 0)</f>
        <v/>
      </c>
      <c r="P414" s="44" t="inlineStr">
        <is>
          <t>Band n50 (1.5 GHz, 60 MHz)</t>
        </is>
      </c>
      <c r="Q414" s="38">
        <f>ROUNDUP(O414/'Methodology &amp; Assumptions'!$B$9, 0)</f>
        <v/>
      </c>
      <c r="R414" s="39" t="n">
        <v>1</v>
      </c>
      <c r="S414" s="25" t="n">
        <v>0.9</v>
      </c>
      <c r="T414" s="25" t="n">
        <v>7.53</v>
      </c>
      <c r="U414" s="42" t="inlineStr">
        <is>
          <t>Tier 1A (Direct Coloc, &lt;1 km)</t>
        </is>
      </c>
      <c r="V414" s="24" t="n">
        <v>74.2</v>
      </c>
      <c r="W414" s="24" t="n">
        <v>99.7</v>
      </c>
      <c r="X414" s="24" t="n">
        <v>58</v>
      </c>
      <c r="Y414" s="45">
        <f>ROUND((V414*'Methodology &amp; Assumptions'!$B$6)+(W414*'Methodology &amp; Assumptions'!$B$5)+(X414*'Methodology &amp; Assumptions'!$B$7), 2)</f>
        <v/>
      </c>
    </row>
    <row r="415" ht="19" customHeight="1">
      <c r="A415" s="35" t="n">
        <v>411</v>
      </c>
      <c r="B415" s="35" t="n">
        <v>411</v>
      </c>
      <c r="C415" s="36" t="inlineStr">
        <is>
          <t>0730600038</t>
        </is>
      </c>
      <c r="D415" s="36" t="inlineStr">
        <is>
          <t>Region VII (Central Visayas)</t>
        </is>
      </c>
      <c r="E415" s="36" t="inlineStr">
        <is>
          <t>Cebu</t>
        </is>
      </c>
      <c r="F415" s="36" t="inlineStr">
        <is>
          <t>City of Cebu</t>
        </is>
      </c>
      <c r="G415" s="36" t="inlineStr">
        <is>
          <t>Kinasang-an Pardo</t>
        </is>
      </c>
      <c r="H415" s="37" t="n">
        <v>10.282342</v>
      </c>
      <c r="I415" s="37" t="n">
        <v>123.859072</v>
      </c>
      <c r="J415" s="8" t="inlineStr">
        <is>
          <t>U</t>
        </is>
      </c>
      <c r="K415" s="36" t="inlineStr">
        <is>
          <t>Class 1-3 / Urban</t>
        </is>
      </c>
      <c r="L415" s="18" t="n">
        <v>18756</v>
      </c>
      <c r="M415" s="20" t="n">
        <v>4.42</v>
      </c>
      <c r="N415" s="18">
        <f>ROUND(L415/M415, 0)</f>
        <v/>
      </c>
      <c r="O415" s="18">
        <f>ROUND(N415*'Methodology &amp; Assumptions'!$B$8, 0)</f>
        <v/>
      </c>
      <c r="P415" s="8" t="inlineStr">
        <is>
          <t>Band n50 (1.5 GHz, 60 MHz)</t>
        </is>
      </c>
      <c r="Q415" s="38">
        <f>ROUNDUP(O415/'Methodology &amp; Assumptions'!$B$9, 0)</f>
        <v/>
      </c>
      <c r="R415" s="39" t="n">
        <v>1</v>
      </c>
      <c r="S415" s="21" t="n">
        <v>0.33</v>
      </c>
      <c r="T415" s="21" t="n">
        <v>0.13</v>
      </c>
      <c r="U415" s="36" t="inlineStr">
        <is>
          <t>Tier 1A (Direct Coloc, &lt;1 km)</t>
        </is>
      </c>
      <c r="V415" s="20" t="n">
        <v>99.59999999999999</v>
      </c>
      <c r="W415" s="20" t="n">
        <v>100</v>
      </c>
      <c r="X415" s="20" t="n">
        <v>28</v>
      </c>
      <c r="Y415" s="40">
        <f>ROUND((V415*'Methodology &amp; Assumptions'!$B$6)+(W415*'Methodology &amp; Assumptions'!$B$5)+(X415*'Methodology &amp; Assumptions'!$B$7), 2)</f>
        <v/>
      </c>
    </row>
    <row r="416" ht="19" customHeight="1">
      <c r="A416" s="41" t="n">
        <v>412</v>
      </c>
      <c r="B416" s="41" t="n">
        <v>412</v>
      </c>
      <c r="C416" s="42" t="inlineStr">
        <is>
          <t>0630200053</t>
        </is>
      </c>
      <c r="D416" s="42" t="inlineStr">
        <is>
          <t>Region VI (Western Visayas)</t>
        </is>
      </c>
      <c r="E416" s="42" t="inlineStr">
        <is>
          <t>Negros Occidental</t>
        </is>
      </c>
      <c r="F416" s="42" t="inlineStr">
        <is>
          <t>City of Bacolod</t>
        </is>
      </c>
      <c r="G416" s="42" t="inlineStr">
        <is>
          <t>Pahanocoy</t>
        </is>
      </c>
      <c r="H416" s="43" t="n">
        <v>10.612708</v>
      </c>
      <c r="I416" s="43" t="n">
        <v>122.93264</v>
      </c>
      <c r="J416" s="44" t="inlineStr">
        <is>
          <t>U</t>
        </is>
      </c>
      <c r="K416" s="42" t="inlineStr">
        <is>
          <t>Class 1-3 / Urban</t>
        </is>
      </c>
      <c r="L416" s="23" t="n">
        <v>17122</v>
      </c>
      <c r="M416" s="24" t="n">
        <v>4.33</v>
      </c>
      <c r="N416" s="23">
        <f>ROUND(L416/M416, 0)</f>
        <v/>
      </c>
      <c r="O416" s="23">
        <f>ROUND(N416*'Methodology &amp; Assumptions'!$B$8, 0)</f>
        <v/>
      </c>
      <c r="P416" s="44" t="inlineStr">
        <is>
          <t>Band n50 (1.5 GHz, 60 MHz)</t>
        </is>
      </c>
      <c r="Q416" s="38">
        <f>ROUNDUP(O416/'Methodology &amp; Assumptions'!$B$9, 0)</f>
        <v/>
      </c>
      <c r="R416" s="39" t="n">
        <v>1</v>
      </c>
      <c r="S416" s="25" t="n">
        <v>0.33</v>
      </c>
      <c r="T416" s="25" t="n">
        <v>0.71</v>
      </c>
      <c r="U416" s="42" t="inlineStr">
        <is>
          <t>Tier 1A (Direct Coloc, &lt;1 km)</t>
        </is>
      </c>
      <c r="V416" s="24" t="n">
        <v>99.59999999999999</v>
      </c>
      <c r="W416" s="24" t="n">
        <v>100</v>
      </c>
      <c r="X416" s="24" t="n">
        <v>28</v>
      </c>
      <c r="Y416" s="45">
        <f>ROUND((V416*'Methodology &amp; Assumptions'!$B$6)+(W416*'Methodology &amp; Assumptions'!$B$5)+(X416*'Methodology &amp; Assumptions'!$B$7), 2)</f>
        <v/>
      </c>
    </row>
    <row r="417" ht="19" customHeight="1">
      <c r="A417" s="35" t="n">
        <v>413</v>
      </c>
      <c r="B417" s="35" t="n">
        <v>413</v>
      </c>
      <c r="C417" s="36" t="inlineStr">
        <is>
          <t>0304928029</t>
        </is>
      </c>
      <c r="D417" s="36" t="inlineStr">
        <is>
          <t>Region III (Central Luzon)</t>
        </is>
      </c>
      <c r="E417" s="36" t="inlineStr">
        <is>
          <t>Nueva Ecija</t>
        </is>
      </c>
      <c r="F417" s="36" t="inlineStr">
        <is>
          <t>Santa Rosa</t>
        </is>
      </c>
      <c r="G417" s="36" t="inlineStr">
        <is>
          <t>Lourdes</t>
        </is>
      </c>
      <c r="H417" s="37" t="n">
        <v>15.427531</v>
      </c>
      <c r="I417" s="37" t="n">
        <v>120.925925</v>
      </c>
      <c r="J417" s="8" t="inlineStr">
        <is>
          <t>R</t>
        </is>
      </c>
      <c r="K417" s="36" t="inlineStr">
        <is>
          <t>Class 1-3 / Urban</t>
        </is>
      </c>
      <c r="L417" s="18" t="n">
        <v>2695</v>
      </c>
      <c r="M417" s="20" t="n">
        <v>4.32</v>
      </c>
      <c r="N417" s="18">
        <f>ROUND(L417/M417, 0)</f>
        <v/>
      </c>
      <c r="O417" s="18">
        <f>ROUND(N417*'Methodology &amp; Assumptions'!$B$8, 0)</f>
        <v/>
      </c>
      <c r="P417" s="8" t="inlineStr">
        <is>
          <t>Band n50 (1.5 GHz, 60 MHz)</t>
        </is>
      </c>
      <c r="Q417" s="38">
        <f>ROUNDUP(O417/'Methodology &amp; Assumptions'!$B$9, 0)</f>
        <v/>
      </c>
      <c r="R417" s="39" t="n">
        <v>1</v>
      </c>
      <c r="S417" s="21" t="n">
        <v>0.18</v>
      </c>
      <c r="T417" s="21" t="n">
        <v>0.19</v>
      </c>
      <c r="U417" s="36" t="inlineStr">
        <is>
          <t>Tier 1A (Direct Coloc, &lt;1 km)</t>
        </is>
      </c>
      <c r="V417" s="20" t="n">
        <v>100</v>
      </c>
      <c r="W417" s="20" t="n">
        <v>73.90000000000001</v>
      </c>
      <c r="X417" s="20" t="n">
        <v>58</v>
      </c>
      <c r="Y417" s="40">
        <f>ROUND((V417*'Methodology &amp; Assumptions'!$B$6)+(W417*'Methodology &amp; Assumptions'!$B$5)+(X417*'Methodology &amp; Assumptions'!$B$7), 2)</f>
        <v/>
      </c>
    </row>
    <row r="418" ht="19" customHeight="1">
      <c r="A418" s="41" t="n">
        <v>414</v>
      </c>
      <c r="B418" s="41" t="n">
        <v>414</v>
      </c>
      <c r="C418" s="42" t="inlineStr">
        <is>
          <t>0402104011</t>
        </is>
      </c>
      <c r="D418" s="42" t="inlineStr">
        <is>
          <t>Region IV-A (CALABARZON)</t>
        </is>
      </c>
      <c r="E418" s="42" t="inlineStr">
        <is>
          <t>Cavite</t>
        </is>
      </c>
      <c r="F418" s="42" t="inlineStr">
        <is>
          <t>Carmona</t>
        </is>
      </c>
      <c r="G418" s="42" t="inlineStr">
        <is>
          <t>Milagrosa</t>
        </is>
      </c>
      <c r="H418" s="43" t="n">
        <v>14.308128</v>
      </c>
      <c r="I418" s="43" t="n">
        <v>121.048939</v>
      </c>
      <c r="J418" s="44" t="inlineStr">
        <is>
          <t>U</t>
        </is>
      </c>
      <c r="K418" s="42" t="inlineStr">
        <is>
          <t>Class 1-3 / Urban</t>
        </is>
      </c>
      <c r="L418" s="23" t="n">
        <v>23846</v>
      </c>
      <c r="M418" s="24" t="n">
        <v>4.49</v>
      </c>
      <c r="N418" s="23">
        <f>ROUND(L418/M418, 0)</f>
        <v/>
      </c>
      <c r="O418" s="23">
        <f>ROUND(N418*'Methodology &amp; Assumptions'!$B$8, 0)</f>
        <v/>
      </c>
      <c r="P418" s="44" t="inlineStr">
        <is>
          <t>Band n50 (1.5 GHz, 60 MHz)</t>
        </is>
      </c>
      <c r="Q418" s="38">
        <f>ROUNDUP(O418/'Methodology &amp; Assumptions'!$B$9, 0)</f>
        <v/>
      </c>
      <c r="R418" s="39" t="n">
        <v>1</v>
      </c>
      <c r="S418" s="25" t="n">
        <v>0.33</v>
      </c>
      <c r="T418" s="25" t="n">
        <v>0.33</v>
      </c>
      <c r="U418" s="42" t="inlineStr">
        <is>
          <t>Tier 1A (Direct Coloc, &lt;1 km)</t>
        </is>
      </c>
      <c r="V418" s="24" t="n">
        <v>99.59999999999999</v>
      </c>
      <c r="W418" s="24" t="n">
        <v>100</v>
      </c>
      <c r="X418" s="24" t="n">
        <v>28</v>
      </c>
      <c r="Y418" s="45">
        <f>ROUND((V418*'Methodology &amp; Assumptions'!$B$6)+(W418*'Methodology &amp; Assumptions'!$B$5)+(X418*'Methodology &amp; Assumptions'!$B$7), 2)</f>
        <v/>
      </c>
    </row>
    <row r="419" ht="19" customHeight="1">
      <c r="A419" s="35" t="n">
        <v>415</v>
      </c>
      <c r="B419" s="35" t="n">
        <v>415</v>
      </c>
      <c r="C419" s="36" t="inlineStr">
        <is>
          <t>0403428018</t>
        </is>
      </c>
      <c r="D419" s="36" t="inlineStr">
        <is>
          <t>Region IV-A (CALABARZON)</t>
        </is>
      </c>
      <c r="E419" s="36" t="inlineStr">
        <is>
          <t>Laguna</t>
        </is>
      </c>
      <c r="F419" s="36" t="inlineStr">
        <is>
          <t>City of Santa Rosa</t>
        </is>
      </c>
      <c r="G419" s="36" t="inlineStr">
        <is>
          <t>Pulong Santa Cruz</t>
        </is>
      </c>
      <c r="H419" s="37" t="n">
        <v>14.277019</v>
      </c>
      <c r="I419" s="37" t="n">
        <v>121.082034</v>
      </c>
      <c r="J419" s="8" t="inlineStr">
        <is>
          <t>U</t>
        </is>
      </c>
      <c r="K419" s="36" t="inlineStr">
        <is>
          <t>Class 1-3 / Urban</t>
        </is>
      </c>
      <c r="L419" s="18" t="n">
        <v>29421</v>
      </c>
      <c r="M419" s="20" t="n">
        <v>4.2</v>
      </c>
      <c r="N419" s="18">
        <f>ROUND(L419/M419, 0)</f>
        <v/>
      </c>
      <c r="O419" s="18">
        <f>ROUND(N419*'Methodology &amp; Assumptions'!$B$8, 0)</f>
        <v/>
      </c>
      <c r="P419" s="8" t="inlineStr">
        <is>
          <t>Band n50 (1.5 GHz, 60 MHz)</t>
        </is>
      </c>
      <c r="Q419" s="38">
        <f>ROUNDUP(O419/'Methodology &amp; Assumptions'!$B$9, 0)</f>
        <v/>
      </c>
      <c r="R419" s="39" t="n">
        <v>1</v>
      </c>
      <c r="S419" s="21" t="n">
        <v>0.09</v>
      </c>
      <c r="T419" s="21" t="n">
        <v>0.11</v>
      </c>
      <c r="U419" s="36" t="inlineStr">
        <is>
          <t>Tier 1A (Direct Coloc, &lt;1 km)</t>
        </is>
      </c>
      <c r="V419" s="20" t="n">
        <v>100</v>
      </c>
      <c r="W419" s="20" t="n">
        <v>99.5</v>
      </c>
      <c r="X419" s="20" t="n">
        <v>28</v>
      </c>
      <c r="Y419" s="40">
        <f>ROUND((V419*'Methodology &amp; Assumptions'!$B$6)+(W419*'Methodology &amp; Assumptions'!$B$5)+(X419*'Methodology &amp; Assumptions'!$B$7), 2)</f>
        <v/>
      </c>
    </row>
    <row r="420" ht="19" customHeight="1">
      <c r="A420" s="41" t="n">
        <v>416</v>
      </c>
      <c r="B420" s="41" t="n">
        <v>416</v>
      </c>
      <c r="C420" s="42" t="inlineStr">
        <is>
          <t>0702250016</t>
        </is>
      </c>
      <c r="D420" s="42" t="inlineStr">
        <is>
          <t>Region VII (Central Visayas)</t>
        </is>
      </c>
      <c r="E420" s="42" t="inlineStr">
        <is>
          <t>Cebu</t>
        </is>
      </c>
      <c r="F420" s="42" t="inlineStr">
        <is>
          <t>City of Talisay</t>
        </is>
      </c>
      <c r="G420" s="42" t="inlineStr">
        <is>
          <t>Tabunoc</t>
        </is>
      </c>
      <c r="H420" s="43" t="n">
        <v>10.260814</v>
      </c>
      <c r="I420" s="43" t="n">
        <v>123.843517</v>
      </c>
      <c r="J420" s="44" t="inlineStr">
        <is>
          <t>U</t>
        </is>
      </c>
      <c r="K420" s="42" t="inlineStr">
        <is>
          <t>Class 1-3 / Urban</t>
        </is>
      </c>
      <c r="L420" s="23" t="n">
        <v>17522</v>
      </c>
      <c r="M420" s="24" t="n">
        <v>4.42</v>
      </c>
      <c r="N420" s="23">
        <f>ROUND(L420/M420, 0)</f>
        <v/>
      </c>
      <c r="O420" s="23">
        <f>ROUND(N420*'Methodology &amp; Assumptions'!$B$8, 0)</f>
        <v/>
      </c>
      <c r="P420" s="44" t="inlineStr">
        <is>
          <t>Band n50 (1.5 GHz, 60 MHz)</t>
        </is>
      </c>
      <c r="Q420" s="38">
        <f>ROUNDUP(O420/'Methodology &amp; Assumptions'!$B$9, 0)</f>
        <v/>
      </c>
      <c r="R420" s="39" t="n">
        <v>1</v>
      </c>
      <c r="S420" s="25" t="n">
        <v>0.33</v>
      </c>
      <c r="T420" s="25" t="n">
        <v>0.32</v>
      </c>
      <c r="U420" s="42" t="inlineStr">
        <is>
          <t>Tier 1A (Direct Coloc, &lt;1 km)</t>
        </is>
      </c>
      <c r="V420" s="24" t="n">
        <v>99.5</v>
      </c>
      <c r="W420" s="24" t="n">
        <v>100</v>
      </c>
      <c r="X420" s="24" t="n">
        <v>28</v>
      </c>
      <c r="Y420" s="45">
        <f>ROUND((V420*'Methodology &amp; Assumptions'!$B$6)+(W420*'Methodology &amp; Assumptions'!$B$5)+(X420*'Methodology &amp; Assumptions'!$B$7), 2)</f>
        <v/>
      </c>
    </row>
    <row r="421" ht="19" customHeight="1">
      <c r="A421" s="35" t="n">
        <v>417</v>
      </c>
      <c r="B421" s="35" t="n">
        <v>417</v>
      </c>
      <c r="C421" s="36" t="inlineStr">
        <is>
          <t>0702219002</t>
        </is>
      </c>
      <c r="D421" s="36" t="inlineStr">
        <is>
          <t>Region VII (Central Visayas)</t>
        </is>
      </c>
      <c r="E421" s="36" t="inlineStr">
        <is>
          <t>Cebu</t>
        </is>
      </c>
      <c r="F421" s="36" t="inlineStr">
        <is>
          <t>Consolacion</t>
        </is>
      </c>
      <c r="G421" s="36" t="inlineStr">
        <is>
          <t>Cansaga</t>
        </is>
      </c>
      <c r="H421" s="37" t="n">
        <v>10.377655</v>
      </c>
      <c r="I421" s="37" t="n">
        <v>123.961562</v>
      </c>
      <c r="J421" s="8" t="inlineStr">
        <is>
          <t>U</t>
        </is>
      </c>
      <c r="K421" s="36" t="inlineStr">
        <is>
          <t>Class 1-3 / Urban</t>
        </is>
      </c>
      <c r="L421" s="18" t="n">
        <v>6504</v>
      </c>
      <c r="M421" s="20" t="n">
        <v>4.42</v>
      </c>
      <c r="N421" s="18">
        <f>ROUND(L421/M421, 0)</f>
        <v/>
      </c>
      <c r="O421" s="18">
        <f>ROUND(N421*'Methodology &amp; Assumptions'!$B$8, 0)</f>
        <v/>
      </c>
      <c r="P421" s="8" t="inlineStr">
        <is>
          <t>Band n50 (1.5 GHz, 60 MHz)</t>
        </is>
      </c>
      <c r="Q421" s="38">
        <f>ROUNDUP(O421/'Methodology &amp; Assumptions'!$B$9, 0)</f>
        <v/>
      </c>
      <c r="R421" s="39" t="n">
        <v>1</v>
      </c>
      <c r="S421" s="21" t="n">
        <v>0.33</v>
      </c>
      <c r="T421" s="21" t="n">
        <v>0.06</v>
      </c>
      <c r="U421" s="36" t="inlineStr">
        <is>
          <t>Tier 1A (Direct Coloc, &lt;1 km)</t>
        </is>
      </c>
      <c r="V421" s="20" t="n">
        <v>99.5</v>
      </c>
      <c r="W421" s="20" t="n">
        <v>100</v>
      </c>
      <c r="X421" s="20" t="n">
        <v>28</v>
      </c>
      <c r="Y421" s="40">
        <f>ROUND((V421*'Methodology &amp; Assumptions'!$B$6)+(W421*'Methodology &amp; Assumptions'!$B$5)+(X421*'Methodology &amp; Assumptions'!$B$7), 2)</f>
        <v/>
      </c>
    </row>
    <row r="422" ht="19" customHeight="1">
      <c r="A422" s="41" t="n">
        <v>418</v>
      </c>
      <c r="B422" s="41" t="n">
        <v>418</v>
      </c>
      <c r="C422" s="42" t="inlineStr">
        <is>
          <t>0401014041</t>
        </is>
      </c>
      <c r="D422" s="42" t="inlineStr">
        <is>
          <t>Region IV-A (CALABARZON)</t>
        </is>
      </c>
      <c r="E422" s="42" t="inlineStr">
        <is>
          <t>Batangas</t>
        </is>
      </c>
      <c r="F422" s="42" t="inlineStr">
        <is>
          <t>City of Lipa</t>
        </is>
      </c>
      <c r="G422" s="42" t="inlineStr">
        <is>
          <t>Poblacion Barangay 10</t>
        </is>
      </c>
      <c r="H422" s="43" t="n">
        <v>13.9418</v>
      </c>
      <c r="I422" s="43" t="n">
        <v>121.169</v>
      </c>
      <c r="J422" s="44" t="inlineStr">
        <is>
          <t>R</t>
        </is>
      </c>
      <c r="K422" s="42" t="inlineStr">
        <is>
          <t>Class 1-3 / Urban</t>
        </is>
      </c>
      <c r="L422" s="23" t="n">
        <v>2996</v>
      </c>
      <c r="M422" s="24" t="n">
        <v>4.62</v>
      </c>
      <c r="N422" s="23">
        <f>ROUND(L422/M422, 0)</f>
        <v/>
      </c>
      <c r="O422" s="23">
        <f>ROUND(N422*'Methodology &amp; Assumptions'!$B$8, 0)</f>
        <v/>
      </c>
      <c r="P422" s="44" t="inlineStr">
        <is>
          <t>Band n50 (1.5 GHz, 60 MHz)</t>
        </is>
      </c>
      <c r="Q422" s="38">
        <f>ROUNDUP(O422/'Methodology &amp; Assumptions'!$B$9, 0)</f>
        <v/>
      </c>
      <c r="R422" s="39" t="n">
        <v>1</v>
      </c>
      <c r="S422" s="25" t="n">
        <v>0.38</v>
      </c>
      <c r="T422" s="25" t="n">
        <v>0.25</v>
      </c>
      <c r="U422" s="42" t="inlineStr">
        <is>
          <t>Tier 1A (Direct Coloc, &lt;1 km)</t>
        </is>
      </c>
      <c r="V422" s="24" t="n">
        <v>98</v>
      </c>
      <c r="W422" s="24" t="n">
        <v>75.7</v>
      </c>
      <c r="X422" s="24" t="n">
        <v>58</v>
      </c>
      <c r="Y422" s="45">
        <f>ROUND((V422*'Methodology &amp; Assumptions'!$B$6)+(W422*'Methodology &amp; Assumptions'!$B$5)+(X422*'Methodology &amp; Assumptions'!$B$7), 2)</f>
        <v/>
      </c>
    </row>
    <row r="423" ht="19" customHeight="1">
      <c r="A423" s="35" t="n">
        <v>419</v>
      </c>
      <c r="B423" s="35" t="n">
        <v>419</v>
      </c>
      <c r="C423" s="36" t="inlineStr">
        <is>
          <t>0803736011</t>
        </is>
      </c>
      <c r="D423" s="36" t="inlineStr">
        <is>
          <t>Region VIII (Eastern Visayas)</t>
        </is>
      </c>
      <c r="E423" s="36" t="inlineStr">
        <is>
          <t>Leyte</t>
        </is>
      </c>
      <c r="F423" s="36" t="inlineStr">
        <is>
          <t>Merida</t>
        </is>
      </c>
      <c r="G423" s="36" t="inlineStr">
        <is>
          <t>Libas</t>
        </is>
      </c>
      <c r="H423" s="37" t="n">
        <v>10.939243</v>
      </c>
      <c r="I423" s="37" t="n">
        <v>124.545804</v>
      </c>
      <c r="J423" s="8" t="inlineStr">
        <is>
          <t>R</t>
        </is>
      </c>
      <c r="K423" s="36" t="inlineStr">
        <is>
          <t>3rd</t>
        </is>
      </c>
      <c r="L423" s="18" t="n">
        <v>2373</v>
      </c>
      <c r="M423" s="20" t="n">
        <v>3.76</v>
      </c>
      <c r="N423" s="18">
        <f>ROUND(L423/M423, 0)</f>
        <v/>
      </c>
      <c r="O423" s="18">
        <f>ROUND(N423*'Methodology &amp; Assumptions'!$B$8, 0)</f>
        <v/>
      </c>
      <c r="P423" s="8" t="inlineStr">
        <is>
          <t>Band n50 (1.5 GHz, 60 MHz)</t>
        </is>
      </c>
      <c r="Q423" s="38">
        <f>ROUNDUP(O423/'Methodology &amp; Assumptions'!$B$9, 0)</f>
        <v/>
      </c>
      <c r="R423" s="39" t="n">
        <v>1</v>
      </c>
      <c r="S423" s="21" t="n">
        <v>0.34</v>
      </c>
      <c r="T423" s="21" t="n">
        <v>0.07000000000000001</v>
      </c>
      <c r="U423" s="36" t="inlineStr">
        <is>
          <t>Tier 1A (Direct Coloc, &lt;1 km)</t>
        </is>
      </c>
      <c r="V423" s="20" t="n">
        <v>99.3</v>
      </c>
      <c r="W423" s="20" t="n">
        <v>74.40000000000001</v>
      </c>
      <c r="X423" s="20" t="n">
        <v>58</v>
      </c>
      <c r="Y423" s="40">
        <f>ROUND((V423*'Methodology &amp; Assumptions'!$B$6)+(W423*'Methodology &amp; Assumptions'!$B$5)+(X423*'Methodology &amp; Assumptions'!$B$7), 2)</f>
        <v/>
      </c>
    </row>
    <row r="424" ht="19" customHeight="1">
      <c r="A424" s="41" t="n">
        <v>420</v>
      </c>
      <c r="B424" s="41" t="n">
        <v>420</v>
      </c>
      <c r="C424" s="42" t="inlineStr">
        <is>
          <t>1130700193</t>
        </is>
      </c>
      <c r="D424" s="42" t="inlineStr">
        <is>
          <t>Region XI (Davao Region)</t>
        </is>
      </c>
      <c r="E424" s="42" t="inlineStr">
        <is>
          <t>Davao del Sur</t>
        </is>
      </c>
      <c r="F424" s="42" t="inlineStr">
        <is>
          <t>City of Davao</t>
        </is>
      </c>
      <c r="G424" s="42" t="inlineStr">
        <is>
          <t>Santo Niño</t>
        </is>
      </c>
      <c r="H424" s="43" t="n">
        <v>7.085556</v>
      </c>
      <c r="I424" s="43" t="n">
        <v>125.508102</v>
      </c>
      <c r="J424" s="44" t="inlineStr">
        <is>
          <t>U</t>
        </is>
      </c>
      <c r="K424" s="42" t="inlineStr">
        <is>
          <t>Class 1-3 / Urban</t>
        </is>
      </c>
      <c r="L424" s="23" t="n">
        <v>20934</v>
      </c>
      <c r="M424" s="24" t="n">
        <v>4.1</v>
      </c>
      <c r="N424" s="23">
        <f>ROUND(L424/M424, 0)</f>
        <v/>
      </c>
      <c r="O424" s="23">
        <f>ROUND(N424*'Methodology &amp; Assumptions'!$B$8, 0)</f>
        <v/>
      </c>
      <c r="P424" s="44" t="inlineStr">
        <is>
          <t>Band n50 (1.5 GHz, 60 MHz)</t>
        </is>
      </c>
      <c r="Q424" s="38">
        <f>ROUNDUP(O424/'Methodology &amp; Assumptions'!$B$9, 0)</f>
        <v/>
      </c>
      <c r="R424" s="39" t="n">
        <v>1</v>
      </c>
      <c r="S424" s="25" t="n">
        <v>0.34</v>
      </c>
      <c r="T424" s="25" t="n">
        <v>0.31</v>
      </c>
      <c r="U424" s="42" t="inlineStr">
        <is>
          <t>Tier 1A (Direct Coloc, &lt;1 km)</t>
        </is>
      </c>
      <c r="V424" s="24" t="n">
        <v>99.40000000000001</v>
      </c>
      <c r="W424" s="24" t="n">
        <v>100</v>
      </c>
      <c r="X424" s="24" t="n">
        <v>28</v>
      </c>
      <c r="Y424" s="45">
        <f>ROUND((V424*'Methodology &amp; Assumptions'!$B$6)+(W424*'Methodology &amp; Assumptions'!$B$5)+(X424*'Methodology &amp; Assumptions'!$B$7), 2)</f>
        <v/>
      </c>
    </row>
    <row r="425" ht="19" customHeight="1">
      <c r="A425" s="35" t="n">
        <v>421</v>
      </c>
      <c r="B425" s="35" t="n">
        <v>421</v>
      </c>
      <c r="C425" s="36" t="inlineStr">
        <is>
          <t>0702224035</t>
        </is>
      </c>
      <c r="D425" s="36" t="inlineStr">
        <is>
          <t>Region VII (Central Visayas)</t>
        </is>
      </c>
      <c r="E425" s="36" t="inlineStr">
        <is>
          <t>Cebu</t>
        </is>
      </c>
      <c r="F425" s="36" t="inlineStr">
        <is>
          <t>Dumanjug</t>
        </is>
      </c>
      <c r="G425" s="36" t="inlineStr">
        <is>
          <t>Tapon</t>
        </is>
      </c>
      <c r="H425" s="37" t="n">
        <v>10.063358</v>
      </c>
      <c r="I425" s="37" t="n">
        <v>123.445559</v>
      </c>
      <c r="J425" s="8" t="inlineStr">
        <is>
          <t>R</t>
        </is>
      </c>
      <c r="K425" s="36" t="inlineStr">
        <is>
          <t>Class 1-3 / Urban</t>
        </is>
      </c>
      <c r="L425" s="18" t="n">
        <v>4118</v>
      </c>
      <c r="M425" s="20" t="n">
        <v>4.42</v>
      </c>
      <c r="N425" s="18">
        <f>ROUND(L425/M425, 0)</f>
        <v/>
      </c>
      <c r="O425" s="18">
        <f>ROUND(N425*'Methodology &amp; Assumptions'!$B$8, 0)</f>
        <v/>
      </c>
      <c r="P425" s="8" t="inlineStr">
        <is>
          <t>Band n50 (1.5 GHz, 60 MHz)</t>
        </is>
      </c>
      <c r="Q425" s="38">
        <f>ROUNDUP(O425/'Methodology &amp; Assumptions'!$B$9, 0)</f>
        <v/>
      </c>
      <c r="R425" s="39" t="n">
        <v>1</v>
      </c>
      <c r="S425" s="21" t="n">
        <v>1.29</v>
      </c>
      <c r="T425" s="21" t="n">
        <v>0.19</v>
      </c>
      <c r="U425" s="36" t="inlineStr">
        <is>
          <t>Tier 1B (Micro Drop, 1-3 km)</t>
        </is>
      </c>
      <c r="V425" s="20" t="n">
        <v>75</v>
      </c>
      <c r="W425" s="20" t="n">
        <v>98.7</v>
      </c>
      <c r="X425" s="20" t="n">
        <v>58</v>
      </c>
      <c r="Y425" s="40">
        <f>ROUND((V425*'Methodology &amp; Assumptions'!$B$6)+(W425*'Methodology &amp; Assumptions'!$B$5)+(X425*'Methodology &amp; Assumptions'!$B$7), 2)</f>
        <v/>
      </c>
    </row>
    <row r="426" ht="19" customHeight="1">
      <c r="A426" s="41" t="n">
        <v>422</v>
      </c>
      <c r="B426" s="41" t="n">
        <v>422</v>
      </c>
      <c r="C426" s="42" t="inlineStr">
        <is>
          <t>0405801011</t>
        </is>
      </c>
      <c r="D426" s="42" t="inlineStr">
        <is>
          <t>Region IV-A (CALABARZON)</t>
        </is>
      </c>
      <c r="E426" s="42" t="inlineStr">
        <is>
          <t>Rizal</t>
        </is>
      </c>
      <c r="F426" s="42" t="inlineStr">
        <is>
          <t>Angono</t>
        </is>
      </c>
      <c r="G426" s="42" t="inlineStr">
        <is>
          <t>San Roque</t>
        </is>
      </c>
      <c r="H426" s="43" t="n">
        <v>14.52904</v>
      </c>
      <c r="I426" s="43" t="n">
        <v>121.1574</v>
      </c>
      <c r="J426" s="44" t="inlineStr">
        <is>
          <t>U</t>
        </is>
      </c>
      <c r="K426" s="42" t="inlineStr">
        <is>
          <t>Class 1-3 / Urban</t>
        </is>
      </c>
      <c r="L426" s="23" t="n">
        <v>12754</v>
      </c>
      <c r="M426" s="24" t="n">
        <v>4.39</v>
      </c>
      <c r="N426" s="23">
        <f>ROUND(L426/M426, 0)</f>
        <v/>
      </c>
      <c r="O426" s="23">
        <f>ROUND(N426*'Methodology &amp; Assumptions'!$B$8, 0)</f>
        <v/>
      </c>
      <c r="P426" s="44" t="inlineStr">
        <is>
          <t>Band n50 (1.5 GHz, 60 MHz)</t>
        </is>
      </c>
      <c r="Q426" s="38">
        <f>ROUNDUP(O426/'Methodology &amp; Assumptions'!$B$9, 0)</f>
        <v/>
      </c>
      <c r="R426" s="39" t="n">
        <v>1</v>
      </c>
      <c r="S426" s="25" t="n">
        <v>0.34</v>
      </c>
      <c r="T426" s="25" t="n">
        <v>0.33</v>
      </c>
      <c r="U426" s="42" t="inlineStr">
        <is>
          <t>Tier 1A (Direct Coloc, &lt;1 km)</t>
        </is>
      </c>
      <c r="V426" s="24" t="n">
        <v>99.3</v>
      </c>
      <c r="W426" s="24" t="n">
        <v>100</v>
      </c>
      <c r="X426" s="24" t="n">
        <v>28</v>
      </c>
      <c r="Y426" s="45">
        <f>ROUND((V426*'Methodology &amp; Assumptions'!$B$6)+(W426*'Methodology &amp; Assumptions'!$B$5)+(X426*'Methodology &amp; Assumptions'!$B$7), 2)</f>
        <v/>
      </c>
    </row>
    <row r="427" ht="19" customHeight="1">
      <c r="A427" s="35" t="n">
        <v>423</v>
      </c>
      <c r="B427" s="35" t="n">
        <v>423</v>
      </c>
      <c r="C427" s="36" t="inlineStr">
        <is>
          <t>0500502010</t>
        </is>
      </c>
      <c r="D427" s="36" t="inlineStr">
        <is>
          <t>Region V (Bicol Region)</t>
        </is>
      </c>
      <c r="E427" s="36" t="inlineStr">
        <is>
          <t>Albay</t>
        </is>
      </c>
      <c r="F427" s="36" t="inlineStr">
        <is>
          <t>Camalig</t>
        </is>
      </c>
      <c r="G427" s="36" t="inlineStr">
        <is>
          <t>Cabagñan</t>
        </is>
      </c>
      <c r="H427" s="37" t="n">
        <v>13.181819</v>
      </c>
      <c r="I427" s="37" t="n">
        <v>123.672486</v>
      </c>
      <c r="J427" s="8" t="inlineStr">
        <is>
          <t>R</t>
        </is>
      </c>
      <c r="K427" s="36" t="inlineStr">
        <is>
          <t>Class 1-3 / Urban</t>
        </is>
      </c>
      <c r="L427" s="18" t="n">
        <v>2889</v>
      </c>
      <c r="M427" s="20" t="n">
        <v>4.67</v>
      </c>
      <c r="N427" s="18">
        <f>ROUND(L427/M427, 0)</f>
        <v/>
      </c>
      <c r="O427" s="18">
        <f>ROUND(N427*'Methodology &amp; Assumptions'!$B$8, 0)</f>
        <v/>
      </c>
      <c r="P427" s="8" t="inlineStr">
        <is>
          <t>Band n50 (1.5 GHz, 60 MHz)</t>
        </is>
      </c>
      <c r="Q427" s="38">
        <f>ROUNDUP(O427/'Methodology &amp; Assumptions'!$B$9, 0)</f>
        <v/>
      </c>
      <c r="R427" s="39" t="n">
        <v>1</v>
      </c>
      <c r="S427" s="21" t="n">
        <v>0.22</v>
      </c>
      <c r="T427" s="21" t="n">
        <v>0.08</v>
      </c>
      <c r="U427" s="36" t="inlineStr">
        <is>
          <t>Tier 1A (Direct Coloc, &lt;1 km)</t>
        </is>
      </c>
      <c r="V427" s="20" t="n">
        <v>100</v>
      </c>
      <c r="W427" s="20" t="n">
        <v>73.59999999999999</v>
      </c>
      <c r="X427" s="20" t="n">
        <v>58</v>
      </c>
      <c r="Y427" s="40">
        <f>ROUND((V427*'Methodology &amp; Assumptions'!$B$6)+(W427*'Methodology &amp; Assumptions'!$B$5)+(X427*'Methodology &amp; Assumptions'!$B$7), 2)</f>
        <v/>
      </c>
    </row>
    <row r="428" ht="19" customHeight="1">
      <c r="A428" s="41" t="n">
        <v>424</v>
      </c>
      <c r="B428" s="41" t="n">
        <v>424</v>
      </c>
      <c r="C428" s="42" t="inlineStr">
        <is>
          <t>0501605025</t>
        </is>
      </c>
      <c r="D428" s="42" t="inlineStr">
        <is>
          <t>Region V (Bicol Region)</t>
        </is>
      </c>
      <c r="E428" s="42" t="inlineStr">
        <is>
          <t>Camarines Norte</t>
        </is>
      </c>
      <c r="F428" s="42" t="inlineStr">
        <is>
          <t>Jose Panganiban</t>
        </is>
      </c>
      <c r="G428" s="42" t="inlineStr">
        <is>
          <t>Santa Rosa Norte</t>
        </is>
      </c>
      <c r="H428" s="43" t="n">
        <v>14.277203</v>
      </c>
      <c r="I428" s="43" t="n">
        <v>122.705097</v>
      </c>
      <c r="J428" s="44" t="inlineStr">
        <is>
          <t>R</t>
        </is>
      </c>
      <c r="K428" s="42" t="inlineStr">
        <is>
          <t>Class 1-3 / Urban</t>
        </is>
      </c>
      <c r="L428" s="23" t="n">
        <v>4196</v>
      </c>
      <c r="M428" s="24" t="n">
        <v>4.4</v>
      </c>
      <c r="N428" s="23">
        <f>ROUND(L428/M428, 0)</f>
        <v/>
      </c>
      <c r="O428" s="23">
        <f>ROUND(N428*'Methodology &amp; Assumptions'!$B$8, 0)</f>
        <v/>
      </c>
      <c r="P428" s="44" t="inlineStr">
        <is>
          <t>Band n50 (1.5 GHz, 60 MHz)</t>
        </is>
      </c>
      <c r="Q428" s="38">
        <f>ROUNDUP(O428/'Methodology &amp; Assumptions'!$B$9, 0)</f>
        <v/>
      </c>
      <c r="R428" s="39" t="n">
        <v>1</v>
      </c>
      <c r="S428" s="25" t="n">
        <v>0.92</v>
      </c>
      <c r="T428" s="25" t="n">
        <v>9.35</v>
      </c>
      <c r="U428" s="42" t="inlineStr">
        <is>
          <t>Tier 1A (Direct Coloc, &lt;1 km)</t>
        </is>
      </c>
      <c r="V428" s="24" t="n">
        <v>73.59999999999999</v>
      </c>
      <c r="W428" s="24" t="n">
        <v>100</v>
      </c>
      <c r="X428" s="24" t="n">
        <v>58</v>
      </c>
      <c r="Y428" s="45">
        <f>ROUND((V428*'Methodology &amp; Assumptions'!$B$6)+(W428*'Methodology &amp; Assumptions'!$B$5)+(X428*'Methodology &amp; Assumptions'!$B$7), 2)</f>
        <v/>
      </c>
    </row>
    <row r="429" ht="19" customHeight="1">
      <c r="A429" s="35" t="n">
        <v>425</v>
      </c>
      <c r="B429" s="35" t="n">
        <v>425</v>
      </c>
      <c r="C429" s="36" t="inlineStr">
        <is>
          <t>1102315025</t>
        </is>
      </c>
      <c r="D429" s="36" t="inlineStr">
        <is>
          <t>Region XI (Davao Region)</t>
        </is>
      </c>
      <c r="E429" s="36" t="inlineStr">
        <is>
          <t>Davao del Norte</t>
        </is>
      </c>
      <c r="F429" s="36" t="inlineStr">
        <is>
          <t>City of Panabo</t>
        </is>
      </c>
      <c r="G429" s="36" t="inlineStr">
        <is>
          <t>New Pandan</t>
        </is>
      </c>
      <c r="H429" s="37" t="n">
        <v>7.29755</v>
      </c>
      <c r="I429" s="37" t="n">
        <v>125.68011</v>
      </c>
      <c r="J429" s="8" t="inlineStr">
        <is>
          <t>U</t>
        </is>
      </c>
      <c r="K429" s="36" t="inlineStr">
        <is>
          <t>Class 1-3 / Urban</t>
        </is>
      </c>
      <c r="L429" s="18" t="n">
        <v>8550</v>
      </c>
      <c r="M429" s="20" t="n">
        <v>4.25</v>
      </c>
      <c r="N429" s="18">
        <f>ROUND(L429/M429, 0)</f>
        <v/>
      </c>
      <c r="O429" s="18">
        <f>ROUND(N429*'Methodology &amp; Assumptions'!$B$8, 0)</f>
        <v/>
      </c>
      <c r="P429" s="8" t="inlineStr">
        <is>
          <t>Band n50 (1.5 GHz, 60 MHz)</t>
        </is>
      </c>
      <c r="Q429" s="38">
        <f>ROUNDUP(O429/'Methodology &amp; Assumptions'!$B$9, 0)</f>
        <v/>
      </c>
      <c r="R429" s="39" t="n">
        <v>1</v>
      </c>
      <c r="S429" s="21" t="n">
        <v>0.34</v>
      </c>
      <c r="T429" s="21" t="n">
        <v>0.1</v>
      </c>
      <c r="U429" s="36" t="inlineStr">
        <is>
          <t>Tier 1A (Direct Coloc, &lt;1 km)</t>
        </is>
      </c>
      <c r="V429" s="20" t="n">
        <v>99.2</v>
      </c>
      <c r="W429" s="20" t="n">
        <v>100</v>
      </c>
      <c r="X429" s="20" t="n">
        <v>28</v>
      </c>
      <c r="Y429" s="40">
        <f>ROUND((V429*'Methodology &amp; Assumptions'!$B$6)+(W429*'Methodology &amp; Assumptions'!$B$5)+(X429*'Methodology &amp; Assumptions'!$B$7), 2)</f>
        <v/>
      </c>
    </row>
    <row r="430" ht="19" customHeight="1">
      <c r="A430" s="41" t="n">
        <v>426</v>
      </c>
      <c r="B430" s="41" t="n">
        <v>426</v>
      </c>
      <c r="C430" s="42" t="inlineStr">
        <is>
          <t>1600302010</t>
        </is>
      </c>
      <c r="D430" s="42" t="inlineStr">
        <is>
          <t>Region XIII (Caraga)</t>
        </is>
      </c>
      <c r="E430" s="42" t="inlineStr">
        <is>
          <t>Agusan del Sur</t>
        </is>
      </c>
      <c r="F430" s="42" t="inlineStr">
        <is>
          <t>Bunawan</t>
        </is>
      </c>
      <c r="G430" s="42" t="inlineStr">
        <is>
          <t>San Teodoro</t>
        </is>
      </c>
      <c r="H430" s="43" t="n">
        <v>8.177217000000001</v>
      </c>
      <c r="I430" s="43" t="n">
        <v>125.9927</v>
      </c>
      <c r="J430" s="44" t="inlineStr">
        <is>
          <t>U</t>
        </is>
      </c>
      <c r="K430" s="42" t="inlineStr">
        <is>
          <t>Class 1-3 / Urban</t>
        </is>
      </c>
      <c r="L430" s="23" t="n">
        <v>7084</v>
      </c>
      <c r="M430" s="24" t="n">
        <v>4.1</v>
      </c>
      <c r="N430" s="23">
        <f>ROUND(L430/M430, 0)</f>
        <v/>
      </c>
      <c r="O430" s="23">
        <f>ROUND(N430*'Methodology &amp; Assumptions'!$B$8, 0)</f>
        <v/>
      </c>
      <c r="P430" s="44" t="inlineStr">
        <is>
          <t>Band n50 (1.5 GHz, 60 MHz)</t>
        </is>
      </c>
      <c r="Q430" s="38">
        <f>ROUNDUP(O430/'Methodology &amp; Assumptions'!$B$9, 0)</f>
        <v/>
      </c>
      <c r="R430" s="39" t="n">
        <v>1</v>
      </c>
      <c r="S430" s="25" t="n">
        <v>0.34</v>
      </c>
      <c r="T430" s="25" t="n">
        <v>0.27</v>
      </c>
      <c r="U430" s="42" t="inlineStr">
        <is>
          <t>Tier 1A (Direct Coloc, &lt;1 km)</t>
        </is>
      </c>
      <c r="V430" s="24" t="n">
        <v>99.2</v>
      </c>
      <c r="W430" s="24" t="n">
        <v>100</v>
      </c>
      <c r="X430" s="24" t="n">
        <v>28</v>
      </c>
      <c r="Y430" s="45">
        <f>ROUND((V430*'Methodology &amp; Assumptions'!$B$6)+(W430*'Methodology &amp; Assumptions'!$B$5)+(X430*'Methodology &amp; Assumptions'!$B$7), 2)</f>
        <v/>
      </c>
    </row>
    <row r="431" ht="19" customHeight="1">
      <c r="A431" s="35" t="n">
        <v>427</v>
      </c>
      <c r="B431" s="35" t="n">
        <v>427</v>
      </c>
      <c r="C431" s="36" t="inlineStr">
        <is>
          <t>1130700152</t>
        </is>
      </c>
      <c r="D431" s="36" t="inlineStr">
        <is>
          <t>Region XI (Davao Region)</t>
        </is>
      </c>
      <c r="E431" s="36" t="inlineStr">
        <is>
          <t>Davao del Sur</t>
        </is>
      </c>
      <c r="F431" s="36" t="inlineStr">
        <is>
          <t>City of Davao</t>
        </is>
      </c>
      <c r="G431" s="36" t="inlineStr">
        <is>
          <t>Barangay 19-B</t>
        </is>
      </c>
      <c r="H431" s="37" t="n">
        <v>7.09058</v>
      </c>
      <c r="I431" s="37" t="n">
        <v>125.60659</v>
      </c>
      <c r="J431" s="8" t="inlineStr">
        <is>
          <t>U</t>
        </is>
      </c>
      <c r="K431" s="36" t="inlineStr">
        <is>
          <t>Class 1-3 / Urban</t>
        </is>
      </c>
      <c r="L431" s="18" t="n">
        <v>30752</v>
      </c>
      <c r="M431" s="20" t="n">
        <v>4.1</v>
      </c>
      <c r="N431" s="18">
        <f>ROUND(L431/M431, 0)</f>
        <v/>
      </c>
      <c r="O431" s="18">
        <f>ROUND(N431*'Methodology &amp; Assumptions'!$B$8, 0)</f>
        <v/>
      </c>
      <c r="P431" s="8" t="inlineStr">
        <is>
          <t>Band n50 (1.5 GHz, 60 MHz)</t>
        </is>
      </c>
      <c r="Q431" s="38">
        <f>ROUNDUP(O431/'Methodology &amp; Assumptions'!$B$9, 0)</f>
        <v/>
      </c>
      <c r="R431" s="39" t="n">
        <v>1</v>
      </c>
      <c r="S431" s="21" t="n">
        <v>0.18</v>
      </c>
      <c r="T431" s="21" t="n">
        <v>0.46</v>
      </c>
      <c r="U431" s="36" t="inlineStr">
        <is>
          <t>Tier 1A (Direct Coloc, &lt;1 km)</t>
        </is>
      </c>
      <c r="V431" s="20" t="n">
        <v>100</v>
      </c>
      <c r="W431" s="20" t="n">
        <v>99.09999999999999</v>
      </c>
      <c r="X431" s="20" t="n">
        <v>28</v>
      </c>
      <c r="Y431" s="40">
        <f>ROUND((V431*'Methodology &amp; Assumptions'!$B$6)+(W431*'Methodology &amp; Assumptions'!$B$5)+(X431*'Methodology &amp; Assumptions'!$B$7), 2)</f>
        <v/>
      </c>
    </row>
    <row r="432" ht="19" customHeight="1">
      <c r="A432" s="41" t="n">
        <v>428</v>
      </c>
      <c r="B432" s="41" t="n">
        <v>428</v>
      </c>
      <c r="C432" s="42" t="inlineStr">
        <is>
          <t>0405601013</t>
        </is>
      </c>
      <c r="D432" s="42" t="inlineStr">
        <is>
          <t>Region IV-A (CALABARZON)</t>
        </is>
      </c>
      <c r="E432" s="42" t="inlineStr">
        <is>
          <t>Quezon</t>
        </is>
      </c>
      <c r="F432" s="42" t="inlineStr">
        <is>
          <t>Agdangan</t>
        </is>
      </c>
      <c r="G432" s="42" t="inlineStr">
        <is>
          <t>Poblacion II</t>
        </is>
      </c>
      <c r="H432" s="43" t="n">
        <v>13.877823</v>
      </c>
      <c r="I432" s="43" t="n">
        <v>121.913998</v>
      </c>
      <c r="J432" s="44" t="inlineStr">
        <is>
          <t>R</t>
        </is>
      </c>
      <c r="K432" s="42" t="inlineStr">
        <is>
          <t>5th</t>
        </is>
      </c>
      <c r="L432" s="23" t="n">
        <v>1990</v>
      </c>
      <c r="M432" s="24" t="n">
        <v>4.05</v>
      </c>
      <c r="N432" s="23">
        <f>ROUND(L432/M432, 0)</f>
        <v/>
      </c>
      <c r="O432" s="23">
        <f>ROUND(N432*'Methodology &amp; Assumptions'!$B$8, 0)</f>
        <v/>
      </c>
      <c r="P432" s="44" t="inlineStr">
        <is>
          <t>Band n50 (1.5 GHz, 60 MHz)</t>
        </is>
      </c>
      <c r="Q432" s="38">
        <f>ROUNDUP(O432/'Methodology &amp; Assumptions'!$B$9, 0)</f>
        <v/>
      </c>
      <c r="R432" s="39" t="n">
        <v>1</v>
      </c>
      <c r="S432" s="25" t="n">
        <v>0.41</v>
      </c>
      <c r="T432" s="25" t="n">
        <v>0.39</v>
      </c>
      <c r="U432" s="42" t="inlineStr">
        <is>
          <t>Tier 1A (Direct Coloc, &lt;1 km)</t>
        </is>
      </c>
      <c r="V432" s="24" t="n">
        <v>97.40000000000001</v>
      </c>
      <c r="W432" s="24" t="n">
        <v>63.2</v>
      </c>
      <c r="X432" s="24" t="n">
        <v>73</v>
      </c>
      <c r="Y432" s="45">
        <f>ROUND((V432*'Methodology &amp; Assumptions'!$B$6)+(W432*'Methodology &amp; Assumptions'!$B$5)+(X432*'Methodology &amp; Assumptions'!$B$7), 2)</f>
        <v/>
      </c>
    </row>
    <row r="433" ht="19" customHeight="1">
      <c r="A433" s="35" t="n">
        <v>429</v>
      </c>
      <c r="B433" s="35" t="n">
        <v>429</v>
      </c>
      <c r="C433" s="36" t="inlineStr">
        <is>
          <t>0730600081</t>
        </is>
      </c>
      <c r="D433" s="36" t="inlineStr">
        <is>
          <t>Region VII (Central Visayas)</t>
        </is>
      </c>
      <c r="E433" s="36" t="inlineStr">
        <is>
          <t>Cebu</t>
        </is>
      </c>
      <c r="F433" s="36" t="inlineStr">
        <is>
          <t>City of Cebu</t>
        </is>
      </c>
      <c r="G433" s="36" t="inlineStr">
        <is>
          <t>Talamban</t>
        </is>
      </c>
      <c r="H433" s="37" t="n">
        <v>10.369774</v>
      </c>
      <c r="I433" s="37" t="n">
        <v>123.918422</v>
      </c>
      <c r="J433" s="8" t="inlineStr">
        <is>
          <t>U</t>
        </is>
      </c>
      <c r="K433" s="36" t="inlineStr">
        <is>
          <t>Class 1-3 / Urban</t>
        </is>
      </c>
      <c r="L433" s="18" t="n">
        <v>33382</v>
      </c>
      <c r="M433" s="20" t="n">
        <v>4.42</v>
      </c>
      <c r="N433" s="18">
        <f>ROUND(L433/M433, 0)</f>
        <v/>
      </c>
      <c r="O433" s="18">
        <f>ROUND(N433*'Methodology &amp; Assumptions'!$B$8, 0)</f>
        <v/>
      </c>
      <c r="P433" s="8" t="inlineStr">
        <is>
          <t>Band n50 (1.5 GHz, 60 MHz)</t>
        </is>
      </c>
      <c r="Q433" s="38">
        <f>ROUNDUP(O433/'Methodology &amp; Assumptions'!$B$9, 0)</f>
        <v/>
      </c>
      <c r="R433" s="39" t="n">
        <v>1</v>
      </c>
      <c r="S433" s="21" t="n">
        <v>0.1</v>
      </c>
      <c r="T433" s="21" t="n">
        <v>0.14</v>
      </c>
      <c r="U433" s="36" t="inlineStr">
        <is>
          <t>Tier 1A (Direct Coloc, &lt;1 km)</t>
        </is>
      </c>
      <c r="V433" s="20" t="n">
        <v>100</v>
      </c>
      <c r="W433" s="20" t="n">
        <v>99.09999999999999</v>
      </c>
      <c r="X433" s="20" t="n">
        <v>28</v>
      </c>
      <c r="Y433" s="40">
        <f>ROUND((V433*'Methodology &amp; Assumptions'!$B$6)+(W433*'Methodology &amp; Assumptions'!$B$5)+(X433*'Methodology &amp; Assumptions'!$B$7), 2)</f>
        <v/>
      </c>
    </row>
    <row r="434" ht="19" customHeight="1">
      <c r="A434" s="41" t="n">
        <v>430</v>
      </c>
      <c r="B434" s="41" t="n">
        <v>430</v>
      </c>
      <c r="C434" s="42" t="inlineStr">
        <is>
          <t>0908305002</t>
        </is>
      </c>
      <c r="D434" s="42" t="inlineStr">
        <is>
          <t>Region IX (Zamboanga Peninsula)</t>
        </is>
      </c>
      <c r="E434" s="42" t="inlineStr">
        <is>
          <t>Zamboanga Sibugay</t>
        </is>
      </c>
      <c r="F434" s="42" t="inlineStr">
        <is>
          <t>Ipil</t>
        </is>
      </c>
      <c r="G434" s="42" t="inlineStr">
        <is>
          <t>Bangkerohan</t>
        </is>
      </c>
      <c r="H434" s="43" t="n">
        <v>7.774972</v>
      </c>
      <c r="I434" s="43" t="n">
        <v>122.589896</v>
      </c>
      <c r="J434" s="44" t="inlineStr">
        <is>
          <t>R</t>
        </is>
      </c>
      <c r="K434" s="42" t="inlineStr">
        <is>
          <t>Class 1-3 / Urban</t>
        </is>
      </c>
      <c r="L434" s="23" t="n">
        <v>4161</v>
      </c>
      <c r="M434" s="24" t="n">
        <v>5.06</v>
      </c>
      <c r="N434" s="23">
        <f>ROUND(L434/M434, 0)</f>
        <v/>
      </c>
      <c r="O434" s="23">
        <f>ROUND(N434*'Methodology &amp; Assumptions'!$B$8, 0)</f>
        <v/>
      </c>
      <c r="P434" s="44" t="inlineStr">
        <is>
          <t>Band n50 (1.5 GHz, 60 MHz)</t>
        </is>
      </c>
      <c r="Q434" s="38">
        <f>ROUNDUP(O434/'Methodology &amp; Assumptions'!$B$9, 0)</f>
        <v/>
      </c>
      <c r="R434" s="39" t="n">
        <v>1</v>
      </c>
      <c r="S434" s="25" t="n">
        <v>0.92</v>
      </c>
      <c r="T434" s="25" t="n">
        <v>0.83</v>
      </c>
      <c r="U434" s="42" t="inlineStr">
        <is>
          <t>Tier 1A (Direct Coloc, &lt;1 km)</t>
        </is>
      </c>
      <c r="V434" s="24" t="n">
        <v>83.5</v>
      </c>
      <c r="W434" s="24" t="n">
        <v>89.90000000000001</v>
      </c>
      <c r="X434" s="24" t="n">
        <v>58</v>
      </c>
      <c r="Y434" s="45">
        <f>ROUND((V434*'Methodology &amp; Assumptions'!$B$6)+(W434*'Methodology &amp; Assumptions'!$B$5)+(X434*'Methodology &amp; Assumptions'!$B$7), 2)</f>
        <v/>
      </c>
    </row>
    <row r="435" ht="19" customHeight="1">
      <c r="A435" s="35" t="n">
        <v>431</v>
      </c>
      <c r="B435" s="35" t="n">
        <v>431</v>
      </c>
      <c r="C435" s="36" t="inlineStr">
        <is>
          <t>0702205014</t>
        </is>
      </c>
      <c r="D435" s="36" t="inlineStr">
        <is>
          <t>Region VII (Central Visayas)</t>
        </is>
      </c>
      <c r="E435" s="36" t="inlineStr">
        <is>
          <t>Cebu</t>
        </is>
      </c>
      <c r="F435" s="36" t="inlineStr">
        <is>
          <t>Argao</t>
        </is>
      </c>
      <c r="G435" s="36" t="inlineStr">
        <is>
          <t>Canbanua</t>
        </is>
      </c>
      <c r="H435" s="37" t="n">
        <v>9.885411</v>
      </c>
      <c r="I435" s="37" t="n">
        <v>123.597969</v>
      </c>
      <c r="J435" s="8" t="inlineStr">
        <is>
          <t>R</t>
        </is>
      </c>
      <c r="K435" s="36" t="inlineStr">
        <is>
          <t>Class 1-3 / Urban</t>
        </is>
      </c>
      <c r="L435" s="18" t="n">
        <v>2731</v>
      </c>
      <c r="M435" s="20" t="n">
        <v>4.42</v>
      </c>
      <c r="N435" s="18">
        <f>ROUND(L435/M435, 0)</f>
        <v/>
      </c>
      <c r="O435" s="18">
        <f>ROUND(N435*'Methodology &amp; Assumptions'!$B$8, 0)</f>
        <v/>
      </c>
      <c r="P435" s="8" t="inlineStr">
        <is>
          <t>Band n50 (1.5 GHz, 60 MHz)</t>
        </is>
      </c>
      <c r="Q435" s="38">
        <f>ROUNDUP(O435/'Methodology &amp; Assumptions'!$B$9, 0)</f>
        <v/>
      </c>
      <c r="R435" s="39" t="n">
        <v>1</v>
      </c>
      <c r="S435" s="21" t="n">
        <v>0.22</v>
      </c>
      <c r="T435" s="21" t="n">
        <v>0.22</v>
      </c>
      <c r="U435" s="36" t="inlineStr">
        <is>
          <t>Tier 1A (Direct Coloc, &lt;1 km)</t>
        </is>
      </c>
      <c r="V435" s="20" t="n">
        <v>100</v>
      </c>
      <c r="W435" s="20" t="n">
        <v>73.3</v>
      </c>
      <c r="X435" s="20" t="n">
        <v>58</v>
      </c>
      <c r="Y435" s="40">
        <f>ROUND((V435*'Methodology &amp; Assumptions'!$B$6)+(W435*'Methodology &amp; Assumptions'!$B$5)+(X435*'Methodology &amp; Assumptions'!$B$7), 2)</f>
        <v/>
      </c>
    </row>
    <row r="436" ht="19" customHeight="1">
      <c r="A436" s="41" t="n">
        <v>432</v>
      </c>
      <c r="B436" s="41" t="n">
        <v>432</v>
      </c>
      <c r="C436" s="42" t="inlineStr">
        <is>
          <t>0305404005</t>
        </is>
      </c>
      <c r="D436" s="42" t="inlineStr">
        <is>
          <t>Region III (Central Luzon)</t>
        </is>
      </c>
      <c r="E436" s="42" t="inlineStr">
        <is>
          <t>Pampanga</t>
        </is>
      </c>
      <c r="F436" s="42" t="inlineStr">
        <is>
          <t>Bacolor</t>
        </is>
      </c>
      <c r="G436" s="42" t="inlineStr">
        <is>
          <t>Calibutbut</t>
        </is>
      </c>
      <c r="H436" s="43" t="n">
        <v>15.116113</v>
      </c>
      <c r="I436" s="43" t="n">
        <v>120.602582</v>
      </c>
      <c r="J436" s="44" t="inlineStr">
        <is>
          <t>U</t>
        </is>
      </c>
      <c r="K436" s="42" t="inlineStr">
        <is>
          <t>Class 1-3 / Urban</t>
        </is>
      </c>
      <c r="L436" s="23" t="n">
        <v>12701</v>
      </c>
      <c r="M436" s="24" t="n">
        <v>4.63</v>
      </c>
      <c r="N436" s="23">
        <f>ROUND(L436/M436, 0)</f>
        <v/>
      </c>
      <c r="O436" s="23">
        <f>ROUND(N436*'Methodology &amp; Assumptions'!$B$8, 0)</f>
        <v/>
      </c>
      <c r="P436" s="44" t="inlineStr">
        <is>
          <t>Band n50 (1.5 GHz, 60 MHz)</t>
        </is>
      </c>
      <c r="Q436" s="38">
        <f>ROUNDUP(O436/'Methodology &amp; Assumptions'!$B$9, 0)</f>
        <v/>
      </c>
      <c r="R436" s="39" t="n">
        <v>1</v>
      </c>
      <c r="S436" s="25" t="n">
        <v>0.82</v>
      </c>
      <c r="T436" s="25" t="n">
        <v>0.27</v>
      </c>
      <c r="U436" s="42" t="inlineStr">
        <is>
          <t>Tier 1A (Direct Coloc, &lt;1 km)</t>
        </is>
      </c>
      <c r="V436" s="24" t="n">
        <v>86.2</v>
      </c>
      <c r="W436" s="24" t="n">
        <v>100</v>
      </c>
      <c r="X436" s="24" t="n">
        <v>43</v>
      </c>
      <c r="Y436" s="45">
        <f>ROUND((V436*'Methodology &amp; Assumptions'!$B$6)+(W436*'Methodology &amp; Assumptions'!$B$5)+(X436*'Methodology &amp; Assumptions'!$B$7), 2)</f>
        <v/>
      </c>
    </row>
    <row r="437" ht="19" customHeight="1">
      <c r="A437" s="35" t="n">
        <v>433</v>
      </c>
      <c r="B437" s="35" t="n">
        <v>433</v>
      </c>
      <c r="C437" s="36" t="inlineStr">
        <is>
          <t>0702208027</t>
        </is>
      </c>
      <c r="D437" s="36" t="inlineStr">
        <is>
          <t>Region VII (Central Visayas)</t>
        </is>
      </c>
      <c r="E437" s="36" t="inlineStr">
        <is>
          <t>Cebu</t>
        </is>
      </c>
      <c r="F437" s="36" t="inlineStr">
        <is>
          <t>Balamban</t>
        </is>
      </c>
      <c r="G437" s="36" t="inlineStr">
        <is>
          <t>Baliwagan</t>
        </is>
      </c>
      <c r="H437" s="37" t="n">
        <v>10.506889</v>
      </c>
      <c r="I437" s="37" t="n">
        <v>123.712103</v>
      </c>
      <c r="J437" s="8" t="inlineStr">
        <is>
          <t>U</t>
        </is>
      </c>
      <c r="K437" s="36" t="inlineStr">
        <is>
          <t>Class 1-3 / Urban</t>
        </is>
      </c>
      <c r="L437" s="18" t="n">
        <v>6141</v>
      </c>
      <c r="M437" s="20" t="n">
        <v>4.42</v>
      </c>
      <c r="N437" s="18">
        <f>ROUND(L437/M437, 0)</f>
        <v/>
      </c>
      <c r="O437" s="18">
        <f>ROUND(N437*'Methodology &amp; Assumptions'!$B$8, 0)</f>
        <v/>
      </c>
      <c r="P437" s="8" t="inlineStr">
        <is>
          <t>Band n50 (1.5 GHz, 60 MHz)</t>
        </is>
      </c>
      <c r="Q437" s="38">
        <f>ROUNDUP(O437/'Methodology &amp; Assumptions'!$B$9, 0)</f>
        <v/>
      </c>
      <c r="R437" s="39" t="n">
        <v>1</v>
      </c>
      <c r="S437" s="21" t="n">
        <v>0.35</v>
      </c>
      <c r="T437" s="21" t="n">
        <v>0.14</v>
      </c>
      <c r="U437" s="36" t="inlineStr">
        <is>
          <t>Tier 1A (Direct Coloc, &lt;1 km)</t>
        </is>
      </c>
      <c r="V437" s="20" t="n">
        <v>99</v>
      </c>
      <c r="W437" s="20" t="n">
        <v>100</v>
      </c>
      <c r="X437" s="20" t="n">
        <v>28</v>
      </c>
      <c r="Y437" s="40">
        <f>ROUND((V437*'Methodology &amp; Assumptions'!$B$6)+(W437*'Methodology &amp; Assumptions'!$B$5)+(X437*'Methodology &amp; Assumptions'!$B$7), 2)</f>
        <v/>
      </c>
    </row>
    <row r="438" ht="19" customHeight="1">
      <c r="A438" s="41" t="n">
        <v>434</v>
      </c>
      <c r="B438" s="41" t="n">
        <v>434</v>
      </c>
      <c r="C438" s="42" t="inlineStr">
        <is>
          <t>1401105013</t>
        </is>
      </c>
      <c r="D438" s="42" t="inlineStr">
        <is>
          <t>Cordillera Administrative Region (CAR)</t>
        </is>
      </c>
      <c r="E438" s="42" t="inlineStr">
        <is>
          <t>Benguet</t>
        </is>
      </c>
      <c r="F438" s="42" t="inlineStr">
        <is>
          <t>Buguias</t>
        </is>
      </c>
      <c r="G438" s="42" t="inlineStr">
        <is>
          <t>Poblacion</t>
        </is>
      </c>
      <c r="H438" s="43" t="n">
        <v>16.71942</v>
      </c>
      <c r="I438" s="43" t="n">
        <v>120.82674</v>
      </c>
      <c r="J438" s="44" t="inlineStr">
        <is>
          <t>R</t>
        </is>
      </c>
      <c r="K438" s="42" t="inlineStr">
        <is>
          <t>Class 1-3 / Urban</t>
        </is>
      </c>
      <c r="L438" s="23" t="n">
        <v>3108</v>
      </c>
      <c r="M438" s="24" t="n">
        <v>4.58</v>
      </c>
      <c r="N438" s="23">
        <f>ROUND(L438/M438, 0)</f>
        <v/>
      </c>
      <c r="O438" s="23">
        <f>ROUND(N438*'Methodology &amp; Assumptions'!$B$8, 0)</f>
        <v/>
      </c>
      <c r="P438" s="44" t="inlineStr">
        <is>
          <t>Band n50 (1.5 GHz, 60 MHz)</t>
        </is>
      </c>
      <c r="Q438" s="38">
        <f>ROUNDUP(O438/'Methodology &amp; Assumptions'!$B$9, 0)</f>
        <v/>
      </c>
      <c r="R438" s="39" t="n">
        <v>1</v>
      </c>
      <c r="S438" s="25" t="n">
        <v>0.03</v>
      </c>
      <c r="T438" s="25" t="n">
        <v>3.32</v>
      </c>
      <c r="U438" s="42" t="inlineStr">
        <is>
          <t>Tier 1A (Direct Coloc, &lt;1 km)</t>
        </is>
      </c>
      <c r="V438" s="24" t="n">
        <v>98.90000000000001</v>
      </c>
      <c r="W438" s="24" t="n">
        <v>74.40000000000001</v>
      </c>
      <c r="X438" s="24" t="n">
        <v>58</v>
      </c>
      <c r="Y438" s="45">
        <f>ROUND((V438*'Methodology &amp; Assumptions'!$B$6)+(W438*'Methodology &amp; Assumptions'!$B$5)+(X438*'Methodology &amp; Assumptions'!$B$7), 2)</f>
        <v/>
      </c>
    </row>
    <row r="439" ht="19" customHeight="1">
      <c r="A439" s="35" t="n">
        <v>435</v>
      </c>
      <c r="B439" s="35" t="n">
        <v>435</v>
      </c>
      <c r="C439" s="36" t="inlineStr">
        <is>
          <t>1001312014</t>
        </is>
      </c>
      <c r="D439" s="36" t="inlineStr">
        <is>
          <t>Region X (Northern Mindanao)</t>
        </is>
      </c>
      <c r="E439" s="36" t="inlineStr">
        <is>
          <t>Bukidnon</t>
        </is>
      </c>
      <c r="F439" s="36" t="inlineStr">
        <is>
          <t>City of Malaybalay</t>
        </is>
      </c>
      <c r="G439" s="36" t="inlineStr">
        <is>
          <t>Dalwangan</t>
        </is>
      </c>
      <c r="H439" s="37" t="n">
        <v>8.201362</v>
      </c>
      <c r="I439" s="37" t="n">
        <v>125.041957</v>
      </c>
      <c r="J439" s="8" t="inlineStr">
        <is>
          <t>U</t>
        </is>
      </c>
      <c r="K439" s="36" t="inlineStr">
        <is>
          <t>Class 1-3 / Urban</t>
        </is>
      </c>
      <c r="L439" s="18" t="n">
        <v>7785</v>
      </c>
      <c r="M439" s="20" t="n">
        <v>4.63</v>
      </c>
      <c r="N439" s="18">
        <f>ROUND(L439/M439, 0)</f>
        <v/>
      </c>
      <c r="O439" s="18">
        <f>ROUND(N439*'Methodology &amp; Assumptions'!$B$8, 0)</f>
        <v/>
      </c>
      <c r="P439" s="8" t="inlineStr">
        <is>
          <t>Band n50 (1.5 GHz, 60 MHz)</t>
        </is>
      </c>
      <c r="Q439" s="38">
        <f>ROUNDUP(O439/'Methodology &amp; Assumptions'!$B$9, 0)</f>
        <v/>
      </c>
      <c r="R439" s="39" t="n">
        <v>1</v>
      </c>
      <c r="S439" s="21" t="n">
        <v>0.35</v>
      </c>
      <c r="T439" s="21" t="n">
        <v>0.12</v>
      </c>
      <c r="U439" s="36" t="inlineStr">
        <is>
          <t>Tier 1A (Direct Coloc, &lt;1 km)</t>
        </is>
      </c>
      <c r="V439" s="20" t="n">
        <v>99</v>
      </c>
      <c r="W439" s="20" t="n">
        <v>100</v>
      </c>
      <c r="X439" s="20" t="n">
        <v>28</v>
      </c>
      <c r="Y439" s="40">
        <f>ROUND((V439*'Methodology &amp; Assumptions'!$B$6)+(W439*'Methodology &amp; Assumptions'!$B$5)+(X439*'Methodology &amp; Assumptions'!$B$7), 2)</f>
        <v/>
      </c>
    </row>
    <row r="440" ht="19" customHeight="1">
      <c r="A440" s="41" t="n">
        <v>436</v>
      </c>
      <c r="B440" s="41" t="n">
        <v>436</v>
      </c>
      <c r="C440" s="42" t="inlineStr">
        <is>
          <t>0402106075</t>
        </is>
      </c>
      <c r="D440" s="42" t="inlineStr">
        <is>
          <t>Region IV-A (CALABARZON)</t>
        </is>
      </c>
      <c r="E440" s="42" t="inlineStr">
        <is>
          <t>Cavite</t>
        </is>
      </c>
      <c r="F440" s="42" t="inlineStr">
        <is>
          <t>City of Dasmariñas</t>
        </is>
      </c>
      <c r="G440" s="42" t="inlineStr">
        <is>
          <t>San Nicolas II</t>
        </is>
      </c>
      <c r="H440" s="43" t="n">
        <v>14.433608</v>
      </c>
      <c r="I440" s="43" t="n">
        <v>120.974648</v>
      </c>
      <c r="J440" s="44" t="inlineStr">
        <is>
          <t>R</t>
        </is>
      </c>
      <c r="K440" s="42" t="inlineStr">
        <is>
          <t>Class 1-3 / Urban</t>
        </is>
      </c>
      <c r="L440" s="23" t="n">
        <v>4576</v>
      </c>
      <c r="M440" s="24" t="n">
        <v>4.49</v>
      </c>
      <c r="N440" s="23">
        <f>ROUND(L440/M440, 0)</f>
        <v/>
      </c>
      <c r="O440" s="23">
        <f>ROUND(N440*'Methodology &amp; Assumptions'!$B$8, 0)</f>
        <v/>
      </c>
      <c r="P440" s="44" t="inlineStr">
        <is>
          <t>Band n50 (1.5 GHz, 60 MHz)</t>
        </is>
      </c>
      <c r="Q440" s="38">
        <f>ROUNDUP(O440/'Methodology &amp; Assumptions'!$B$9, 0)</f>
        <v/>
      </c>
      <c r="R440" s="39" t="n">
        <v>1</v>
      </c>
      <c r="S440" s="25" t="n">
        <v>1.37</v>
      </c>
      <c r="T440" s="25" t="n">
        <v>1.91</v>
      </c>
      <c r="U440" s="42" t="inlineStr">
        <is>
          <t>Tier 1B (Micro Drop, 1-3 km)</t>
        </is>
      </c>
      <c r="V440" s="24" t="n">
        <v>73.2</v>
      </c>
      <c r="W440" s="24" t="n">
        <v>100</v>
      </c>
      <c r="X440" s="24" t="n">
        <v>58</v>
      </c>
      <c r="Y440" s="45">
        <f>ROUND((V440*'Methodology &amp; Assumptions'!$B$6)+(W440*'Methodology &amp; Assumptions'!$B$5)+(X440*'Methodology &amp; Assumptions'!$B$7), 2)</f>
        <v/>
      </c>
    </row>
    <row r="441" ht="19" customHeight="1">
      <c r="A441" s="35" t="n">
        <v>437</v>
      </c>
      <c r="B441" s="35" t="n">
        <v>437</v>
      </c>
      <c r="C441" s="36" t="inlineStr">
        <is>
          <t>1030500003</t>
        </is>
      </c>
      <c r="D441" s="36" t="inlineStr">
        <is>
          <t>Region X (Northern Mindanao)</t>
        </is>
      </c>
      <c r="E441" s="36" t="inlineStr">
        <is>
          <t>Misamis Oriental</t>
        </is>
      </c>
      <c r="F441" s="36" t="inlineStr">
        <is>
          <t>City of Cagayan De Oro</t>
        </is>
      </c>
      <c r="G441" s="36" t="inlineStr">
        <is>
          <t>Bulua</t>
        </is>
      </c>
      <c r="H441" s="37" t="n">
        <v>8.504173</v>
      </c>
      <c r="I441" s="37" t="n">
        <v>124.616022</v>
      </c>
      <c r="J441" s="8" t="inlineStr">
        <is>
          <t>U</t>
        </is>
      </c>
      <c r="K441" s="36" t="inlineStr">
        <is>
          <t>Class 1-3 / Urban</t>
        </is>
      </c>
      <c r="L441" s="18" t="n">
        <v>35397</v>
      </c>
      <c r="M441" s="20" t="n">
        <v>4.54</v>
      </c>
      <c r="N441" s="18">
        <f>ROUND(L441/M441, 0)</f>
        <v/>
      </c>
      <c r="O441" s="18">
        <f>ROUND(N441*'Methodology &amp; Assumptions'!$B$8, 0)</f>
        <v/>
      </c>
      <c r="P441" s="8" t="inlineStr">
        <is>
          <t>Band n50 (1.5 GHz, 60 MHz)</t>
        </is>
      </c>
      <c r="Q441" s="38">
        <f>ROUNDUP(O441/'Methodology &amp; Assumptions'!$B$9, 0)</f>
        <v/>
      </c>
      <c r="R441" s="39" t="n">
        <v>1</v>
      </c>
      <c r="S441" s="21" t="n">
        <v>0.13</v>
      </c>
      <c r="T441" s="21" t="n">
        <v>0.25</v>
      </c>
      <c r="U441" s="36" t="inlineStr">
        <is>
          <t>Tier 1A (Direct Coloc, &lt;1 km)</t>
        </is>
      </c>
      <c r="V441" s="20" t="n">
        <v>100</v>
      </c>
      <c r="W441" s="20" t="n">
        <v>98.90000000000001</v>
      </c>
      <c r="X441" s="20" t="n">
        <v>28</v>
      </c>
      <c r="Y441" s="40">
        <f>ROUND((V441*'Methodology &amp; Assumptions'!$B$6)+(W441*'Methodology &amp; Assumptions'!$B$5)+(X441*'Methodology &amp; Assumptions'!$B$7), 2)</f>
        <v/>
      </c>
    </row>
    <row r="442" ht="19" customHeight="1">
      <c r="A442" s="41" t="n">
        <v>438</v>
      </c>
      <c r="B442" s="41" t="n">
        <v>438</v>
      </c>
      <c r="C442" s="42" t="inlineStr">
        <is>
          <t>0405801009</t>
        </is>
      </c>
      <c r="D442" s="42" t="inlineStr">
        <is>
          <t>Region IV-A (CALABARZON)</t>
        </is>
      </c>
      <c r="E442" s="42" t="inlineStr">
        <is>
          <t>Rizal</t>
        </is>
      </c>
      <c r="F442" s="42" t="inlineStr">
        <is>
          <t>Angono</t>
        </is>
      </c>
      <c r="G442" s="42" t="inlineStr">
        <is>
          <t>San Isidro</t>
        </is>
      </c>
      <c r="H442" s="43" t="n">
        <v>14.52698</v>
      </c>
      <c r="I442" s="43" t="n">
        <v>121.1527</v>
      </c>
      <c r="J442" s="44" t="inlineStr">
        <is>
          <t>U</t>
        </is>
      </c>
      <c r="K442" s="42" t="inlineStr">
        <is>
          <t>Class 1-3 / Urban</t>
        </is>
      </c>
      <c r="L442" s="23" t="n">
        <v>34229</v>
      </c>
      <c r="M442" s="24" t="n">
        <v>4.39</v>
      </c>
      <c r="N442" s="23">
        <f>ROUND(L442/M442, 0)</f>
        <v/>
      </c>
      <c r="O442" s="23">
        <f>ROUND(N442*'Methodology &amp; Assumptions'!$B$8, 0)</f>
        <v/>
      </c>
      <c r="P442" s="44" t="inlineStr">
        <is>
          <t>Band n50 (1.5 GHz, 60 MHz)</t>
        </is>
      </c>
      <c r="Q442" s="38">
        <f>ROUNDUP(O442/'Methodology &amp; Assumptions'!$B$9, 0)</f>
        <v/>
      </c>
      <c r="R442" s="39" t="n">
        <v>1</v>
      </c>
      <c r="S442" s="25" t="n">
        <v>0.22</v>
      </c>
      <c r="T442" s="25" t="n">
        <v>0.14</v>
      </c>
      <c r="U442" s="42" t="inlineStr">
        <is>
          <t>Tier 1A (Direct Coloc, &lt;1 km)</t>
        </is>
      </c>
      <c r="V442" s="24" t="n">
        <v>100</v>
      </c>
      <c r="W442" s="24" t="n">
        <v>98.90000000000001</v>
      </c>
      <c r="X442" s="24" t="n">
        <v>28</v>
      </c>
      <c r="Y442" s="45">
        <f>ROUND((V442*'Methodology &amp; Assumptions'!$B$6)+(W442*'Methodology &amp; Assumptions'!$B$5)+(X442*'Methodology &amp; Assumptions'!$B$7), 2)</f>
        <v/>
      </c>
    </row>
    <row r="443" ht="19" customHeight="1">
      <c r="A443" s="35" t="n">
        <v>439</v>
      </c>
      <c r="B443" s="35" t="n">
        <v>439</v>
      </c>
      <c r="C443" s="36" t="inlineStr">
        <is>
          <t>0501736016</t>
        </is>
      </c>
      <c r="D443" s="36" t="inlineStr">
        <is>
          <t>Region V (Bicol Region)</t>
        </is>
      </c>
      <c r="E443" s="36" t="inlineStr">
        <is>
          <t>Camarines Sur</t>
        </is>
      </c>
      <c r="F443" s="36" t="inlineStr">
        <is>
          <t>Tigaon</t>
        </is>
      </c>
      <c r="G443" s="36" t="inlineStr">
        <is>
          <t>Salvacion</t>
        </is>
      </c>
      <c r="H443" s="37" t="n">
        <v>13.565157</v>
      </c>
      <c r="I443" s="37" t="n">
        <v>123.372806</v>
      </c>
      <c r="J443" s="8" t="inlineStr">
        <is>
          <t>R</t>
        </is>
      </c>
      <c r="K443" s="36" t="inlineStr">
        <is>
          <t>Class 1-3 / Urban</t>
        </is>
      </c>
      <c r="L443" s="18" t="n">
        <v>4205</v>
      </c>
      <c r="M443" s="20" t="n">
        <v>4.9</v>
      </c>
      <c r="N443" s="18">
        <f>ROUND(L443/M443, 0)</f>
        <v/>
      </c>
      <c r="O443" s="18">
        <f>ROUND(N443*'Methodology &amp; Assumptions'!$B$8, 0)</f>
        <v/>
      </c>
      <c r="P443" s="8" t="inlineStr">
        <is>
          <t>Band n50 (1.5 GHz, 60 MHz)</t>
        </is>
      </c>
      <c r="Q443" s="38">
        <f>ROUNDUP(O443/'Methodology &amp; Assumptions'!$B$9, 0)</f>
        <v/>
      </c>
      <c r="R443" s="39" t="n">
        <v>1</v>
      </c>
      <c r="S443" s="21" t="n">
        <v>1.04</v>
      </c>
      <c r="T443" s="21" t="n">
        <v>0.6899999999999999</v>
      </c>
      <c r="U443" s="36" t="inlineStr">
        <is>
          <t>Tier 1B (Micro Drop, 1-3 km)</t>
        </is>
      </c>
      <c r="V443" s="20" t="n">
        <v>80.59999999999999</v>
      </c>
      <c r="W443" s="20" t="n">
        <v>92.5</v>
      </c>
      <c r="X443" s="20" t="n">
        <v>58</v>
      </c>
      <c r="Y443" s="40">
        <f>ROUND((V443*'Methodology &amp; Assumptions'!$B$6)+(W443*'Methodology &amp; Assumptions'!$B$5)+(X443*'Methodology &amp; Assumptions'!$B$7), 2)</f>
        <v/>
      </c>
    </row>
    <row r="444" ht="19" customHeight="1">
      <c r="A444" s="41" t="n">
        <v>440</v>
      </c>
      <c r="B444" s="41" t="n">
        <v>440</v>
      </c>
      <c r="C444" s="42" t="inlineStr">
        <is>
          <t>0501703031</t>
        </is>
      </c>
      <c r="D444" s="42" t="inlineStr">
        <is>
          <t>Region V (Bicol Region)</t>
        </is>
      </c>
      <c r="E444" s="42" t="inlineStr">
        <is>
          <t>Camarines Sur</t>
        </is>
      </c>
      <c r="F444" s="42" t="inlineStr">
        <is>
          <t>Bato</t>
        </is>
      </c>
      <c r="G444" s="42" t="inlineStr">
        <is>
          <t>Santa Cruz</t>
        </is>
      </c>
      <c r="H444" s="43" t="n">
        <v>13.355875</v>
      </c>
      <c r="I444" s="43" t="n">
        <v>123.363871</v>
      </c>
      <c r="J444" s="44" t="inlineStr">
        <is>
          <t>R</t>
        </is>
      </c>
      <c r="K444" s="42" t="inlineStr">
        <is>
          <t>Class 1-3 / Urban</t>
        </is>
      </c>
      <c r="L444" s="23" t="n">
        <v>3079</v>
      </c>
      <c r="M444" s="24" t="n">
        <v>4.9</v>
      </c>
      <c r="N444" s="23">
        <f>ROUND(L444/M444, 0)</f>
        <v/>
      </c>
      <c r="O444" s="23">
        <f>ROUND(N444*'Methodology &amp; Assumptions'!$B$8, 0)</f>
        <v/>
      </c>
      <c r="P444" s="44" t="inlineStr">
        <is>
          <t>Band n50 (1.5 GHz, 60 MHz)</t>
        </is>
      </c>
      <c r="Q444" s="38">
        <f>ROUNDUP(O444/'Methodology &amp; Assumptions'!$B$9, 0)</f>
        <v/>
      </c>
      <c r="R444" s="39" t="n">
        <v>1</v>
      </c>
      <c r="S444" s="25" t="n">
        <v>0.35</v>
      </c>
      <c r="T444" s="25" t="n">
        <v>0.27</v>
      </c>
      <c r="U444" s="42" t="inlineStr">
        <is>
          <t>Tier 1A (Direct Coloc, &lt;1 km)</t>
        </is>
      </c>
      <c r="V444" s="24" t="n">
        <v>99</v>
      </c>
      <c r="W444" s="24" t="n">
        <v>74.09999999999999</v>
      </c>
      <c r="X444" s="24" t="n">
        <v>58</v>
      </c>
      <c r="Y444" s="45">
        <f>ROUND((V444*'Methodology &amp; Assumptions'!$B$6)+(W444*'Methodology &amp; Assumptions'!$B$5)+(X444*'Methodology &amp; Assumptions'!$B$7), 2)</f>
        <v/>
      </c>
    </row>
    <row r="445" ht="19" customHeight="1">
      <c r="A445" s="35" t="n">
        <v>441</v>
      </c>
      <c r="B445" s="35" t="n">
        <v>441</v>
      </c>
      <c r="C445" s="36" t="inlineStr">
        <is>
          <t>1705318013</t>
        </is>
      </c>
      <c r="D445" s="36" t="inlineStr">
        <is>
          <t>MIMAROPA Region</t>
        </is>
      </c>
      <c r="E445" s="36" t="inlineStr">
        <is>
          <t>Palawan</t>
        </is>
      </c>
      <c r="F445" s="36" t="inlineStr">
        <is>
          <t>Roxas</t>
        </is>
      </c>
      <c r="G445" s="36" t="inlineStr">
        <is>
          <t>New Barbacan</t>
        </is>
      </c>
      <c r="H445" s="37" t="n">
        <v>10.329256</v>
      </c>
      <c r="I445" s="37" t="n">
        <v>119.349173</v>
      </c>
      <c r="J445" s="8" t="inlineStr">
        <is>
          <t>R</t>
        </is>
      </c>
      <c r="K445" s="36" t="inlineStr">
        <is>
          <t>Class 1-3 / Urban</t>
        </is>
      </c>
      <c r="L445" s="18" t="n">
        <v>4575</v>
      </c>
      <c r="M445" s="20" t="n">
        <v>4.35</v>
      </c>
      <c r="N445" s="18">
        <f>ROUND(L445/M445, 0)</f>
        <v/>
      </c>
      <c r="O445" s="18">
        <f>ROUND(N445*'Methodology &amp; Assumptions'!$B$8, 0)</f>
        <v/>
      </c>
      <c r="P445" s="8" t="inlineStr">
        <is>
          <t>Band n50 (1.5 GHz, 60 MHz)</t>
        </is>
      </c>
      <c r="Q445" s="38">
        <f>ROUNDUP(O445/'Methodology &amp; Assumptions'!$B$9, 0)</f>
        <v/>
      </c>
      <c r="R445" s="39" t="n">
        <v>1</v>
      </c>
      <c r="S445" s="21" t="n">
        <v>1.38</v>
      </c>
      <c r="T445" s="21" t="n">
        <v>0.41</v>
      </c>
      <c r="U445" s="36" t="inlineStr">
        <is>
          <t>Tier 1B (Micro Drop, 1-3 km)</t>
        </is>
      </c>
      <c r="V445" s="20" t="n">
        <v>73.09999999999999</v>
      </c>
      <c r="W445" s="20" t="n">
        <v>100</v>
      </c>
      <c r="X445" s="20" t="n">
        <v>58</v>
      </c>
      <c r="Y445" s="40">
        <f>ROUND((V445*'Methodology &amp; Assumptions'!$B$6)+(W445*'Methodology &amp; Assumptions'!$B$5)+(X445*'Methodology &amp; Assumptions'!$B$7), 2)</f>
        <v/>
      </c>
    </row>
    <row r="446" ht="19" customHeight="1">
      <c r="A446" s="41" t="n">
        <v>442</v>
      </c>
      <c r="B446" s="41" t="n">
        <v>442</v>
      </c>
      <c r="C446" s="42" t="inlineStr">
        <is>
          <t>0304909019</t>
        </is>
      </c>
      <c r="D446" s="42" t="inlineStr">
        <is>
          <t>Region III (Central Luzon)</t>
        </is>
      </c>
      <c r="E446" s="42" t="inlineStr">
        <is>
          <t>Nueva Ecija</t>
        </is>
      </c>
      <c r="F446" s="42" t="inlineStr">
        <is>
          <t>General Mamerto Natividad</t>
        </is>
      </c>
      <c r="G446" s="42" t="inlineStr">
        <is>
          <t>Poblacion</t>
        </is>
      </c>
      <c r="H446" s="43" t="n">
        <v>15.604403</v>
      </c>
      <c r="I446" s="43" t="n">
        <v>121.050788</v>
      </c>
      <c r="J446" s="44" t="inlineStr">
        <is>
          <t>R</t>
        </is>
      </c>
      <c r="K446" s="42" t="inlineStr">
        <is>
          <t>2nd</t>
        </is>
      </c>
      <c r="L446" s="23" t="n">
        <v>3866</v>
      </c>
      <c r="M446" s="24" t="n">
        <v>4.15</v>
      </c>
      <c r="N446" s="23">
        <f>ROUND(L446/M446, 0)</f>
        <v/>
      </c>
      <c r="O446" s="23">
        <f>ROUND(N446*'Methodology &amp; Assumptions'!$B$8, 0)</f>
        <v/>
      </c>
      <c r="P446" s="44" t="inlineStr">
        <is>
          <t>Band n50 (1.5 GHz, 60 MHz)</t>
        </is>
      </c>
      <c r="Q446" s="38">
        <f>ROUNDUP(O446/'Methodology &amp; Assumptions'!$B$9, 0)</f>
        <v/>
      </c>
      <c r="R446" s="39" t="n">
        <v>1</v>
      </c>
      <c r="S446" s="25" t="n">
        <v>1.32</v>
      </c>
      <c r="T446" s="25" t="n">
        <v>0.16</v>
      </c>
      <c r="U446" s="42" t="inlineStr">
        <is>
          <t>Tier 1B (Micro Drop, 1-3 km)</t>
        </is>
      </c>
      <c r="V446" s="24" t="n">
        <v>74.40000000000001</v>
      </c>
      <c r="W446" s="24" t="n">
        <v>98.7</v>
      </c>
      <c r="X446" s="24" t="n">
        <v>58</v>
      </c>
      <c r="Y446" s="45">
        <f>ROUND((V446*'Methodology &amp; Assumptions'!$B$6)+(W446*'Methodology &amp; Assumptions'!$B$5)+(X446*'Methodology &amp; Assumptions'!$B$7), 2)</f>
        <v/>
      </c>
    </row>
    <row r="447" ht="19" customHeight="1">
      <c r="A447" s="35" t="n">
        <v>443</v>
      </c>
      <c r="B447" s="35" t="n">
        <v>443</v>
      </c>
      <c r="C447" s="36" t="inlineStr">
        <is>
          <t>0501706020</t>
        </is>
      </c>
      <c r="D447" s="36" t="inlineStr">
        <is>
          <t>Region V (Bicol Region)</t>
        </is>
      </c>
      <c r="E447" s="36" t="inlineStr">
        <is>
          <t>Camarines Sur</t>
        </is>
      </c>
      <c r="F447" s="36" t="inlineStr">
        <is>
          <t>Bula</t>
        </is>
      </c>
      <c r="G447" s="36" t="inlineStr">
        <is>
          <t>Pawili</t>
        </is>
      </c>
      <c r="H447" s="37" t="n">
        <v>13.516598</v>
      </c>
      <c r="I447" s="37" t="n">
        <v>123.300434</v>
      </c>
      <c r="J447" s="8" t="inlineStr">
        <is>
          <t>R</t>
        </is>
      </c>
      <c r="K447" s="36" t="inlineStr">
        <is>
          <t>Class 1-3 / Urban</t>
        </is>
      </c>
      <c r="L447" s="18" t="n">
        <v>2997</v>
      </c>
      <c r="M447" s="20" t="n">
        <v>4.9</v>
      </c>
      <c r="N447" s="18">
        <f>ROUND(L447/M447, 0)</f>
        <v/>
      </c>
      <c r="O447" s="18">
        <f>ROUND(N447*'Methodology &amp; Assumptions'!$B$8, 0)</f>
        <v/>
      </c>
      <c r="P447" s="8" t="inlineStr">
        <is>
          <t>Band n50 (1.5 GHz, 60 MHz)</t>
        </is>
      </c>
      <c r="Q447" s="38">
        <f>ROUNDUP(O447/'Methodology &amp; Assumptions'!$B$9, 0)</f>
        <v/>
      </c>
      <c r="R447" s="39" t="n">
        <v>1</v>
      </c>
      <c r="S447" s="21" t="n">
        <v>0.24</v>
      </c>
      <c r="T447" s="21" t="n">
        <v>0.25</v>
      </c>
      <c r="U447" s="36" t="inlineStr">
        <is>
          <t>Tier 1A (Direct Coloc, &lt;1 km)</t>
        </is>
      </c>
      <c r="V447" s="20" t="n">
        <v>100</v>
      </c>
      <c r="W447" s="20" t="n">
        <v>73.09999999999999</v>
      </c>
      <c r="X447" s="20" t="n">
        <v>58</v>
      </c>
      <c r="Y447" s="40">
        <f>ROUND((V447*'Methodology &amp; Assumptions'!$B$6)+(W447*'Methodology &amp; Assumptions'!$B$5)+(X447*'Methodology &amp; Assumptions'!$B$7), 2)</f>
        <v/>
      </c>
    </row>
    <row r="448" ht="19" customHeight="1">
      <c r="A448" s="41" t="n">
        <v>444</v>
      </c>
      <c r="B448" s="41" t="n">
        <v>444</v>
      </c>
      <c r="C448" s="42" t="inlineStr">
        <is>
          <t>0908316005</t>
        </is>
      </c>
      <c r="D448" s="42" t="inlineStr">
        <is>
          <t>Region IX (Zamboanga Peninsula)</t>
        </is>
      </c>
      <c r="E448" s="42" t="inlineStr">
        <is>
          <t>Zamboanga Sibugay</t>
        </is>
      </c>
      <c r="F448" s="42" t="inlineStr">
        <is>
          <t>Tungawan</t>
        </is>
      </c>
      <c r="G448" s="42" t="inlineStr">
        <is>
          <t>Libertad</t>
        </is>
      </c>
      <c r="H448" s="43" t="n">
        <v>7.604019</v>
      </c>
      <c r="I448" s="43" t="n">
        <v>122.420863</v>
      </c>
      <c r="J448" s="44" t="inlineStr">
        <is>
          <t>U</t>
        </is>
      </c>
      <c r="K448" s="42" t="inlineStr">
        <is>
          <t>Class 1-3 / Urban</t>
        </is>
      </c>
      <c r="L448" s="23" t="n">
        <v>6061</v>
      </c>
      <c r="M448" s="24" t="n">
        <v>5.06</v>
      </c>
      <c r="N448" s="23">
        <f>ROUND(L448/M448, 0)</f>
        <v/>
      </c>
      <c r="O448" s="23">
        <f>ROUND(N448*'Methodology &amp; Assumptions'!$B$8, 0)</f>
        <v/>
      </c>
      <c r="P448" s="44" t="inlineStr">
        <is>
          <t>Band n50 (1.5 GHz, 60 MHz)</t>
        </is>
      </c>
      <c r="Q448" s="38">
        <f>ROUNDUP(O448/'Methodology &amp; Assumptions'!$B$9, 0)</f>
        <v/>
      </c>
      <c r="R448" s="39" t="n">
        <v>1</v>
      </c>
      <c r="S448" s="25" t="n">
        <v>0.83</v>
      </c>
      <c r="T448" s="25" t="n">
        <v>0.52</v>
      </c>
      <c r="U448" s="42" t="inlineStr">
        <is>
          <t>Tier 1A (Direct Coloc, &lt;1 km)</t>
        </is>
      </c>
      <c r="V448" s="24" t="n">
        <v>85.90000000000001</v>
      </c>
      <c r="W448" s="24" t="n">
        <v>100</v>
      </c>
      <c r="X448" s="24" t="n">
        <v>43</v>
      </c>
      <c r="Y448" s="45">
        <f>ROUND((V448*'Methodology &amp; Assumptions'!$B$6)+(W448*'Methodology &amp; Assumptions'!$B$5)+(X448*'Methodology &amp; Assumptions'!$B$7), 2)</f>
        <v/>
      </c>
    </row>
    <row r="449" ht="19" customHeight="1">
      <c r="A449" s="35" t="n">
        <v>445</v>
      </c>
      <c r="B449" s="35" t="n">
        <v>445</v>
      </c>
      <c r="C449" s="36" t="inlineStr">
        <is>
          <t>0806417031</t>
        </is>
      </c>
      <c r="D449" s="36" t="inlineStr">
        <is>
          <t>Region VIII (Eastern Visayas)</t>
        </is>
      </c>
      <c r="E449" s="36" t="inlineStr">
        <is>
          <t>Southern Leyte</t>
        </is>
      </c>
      <c r="F449" s="36" t="inlineStr">
        <is>
          <t>Sogod</t>
        </is>
      </c>
      <c r="G449" s="36" t="inlineStr">
        <is>
          <t>Zone V</t>
        </is>
      </c>
      <c r="H449" s="37" t="n">
        <v>10.392887</v>
      </c>
      <c r="I449" s="37" t="n">
        <v>124.985398</v>
      </c>
      <c r="J449" s="8" t="inlineStr">
        <is>
          <t>U</t>
        </is>
      </c>
      <c r="K449" s="36" t="inlineStr">
        <is>
          <t>Class 1-3 / Urban</t>
        </is>
      </c>
      <c r="L449" s="18" t="n">
        <v>4426</v>
      </c>
      <c r="M449" s="20" t="n">
        <v>4.53</v>
      </c>
      <c r="N449" s="18">
        <f>ROUND(L449/M449, 0)</f>
        <v/>
      </c>
      <c r="O449" s="18">
        <f>ROUND(N449*'Methodology &amp; Assumptions'!$B$8, 0)</f>
        <v/>
      </c>
      <c r="P449" s="8" t="inlineStr">
        <is>
          <t>Band n50 (1.5 GHz, 60 MHz)</t>
        </is>
      </c>
      <c r="Q449" s="38">
        <f>ROUNDUP(O449/'Methodology &amp; Assumptions'!$B$9, 0)</f>
        <v/>
      </c>
      <c r="R449" s="39" t="n">
        <v>1</v>
      </c>
      <c r="S449" s="21" t="n">
        <v>0.83</v>
      </c>
      <c r="T449" s="21" t="n">
        <v>0.1</v>
      </c>
      <c r="U449" s="36" t="inlineStr">
        <is>
          <t>Tier 1A (Direct Coloc, &lt;1 km)</t>
        </is>
      </c>
      <c r="V449" s="20" t="n">
        <v>85.90000000000001</v>
      </c>
      <c r="W449" s="20" t="n">
        <v>100</v>
      </c>
      <c r="X449" s="20" t="n">
        <v>43</v>
      </c>
      <c r="Y449" s="40">
        <f>ROUND((V449*'Methodology &amp; Assumptions'!$B$6)+(W449*'Methodology &amp; Assumptions'!$B$5)+(X449*'Methodology &amp; Assumptions'!$B$7), 2)</f>
        <v/>
      </c>
    </row>
    <row r="450" ht="19" customHeight="1">
      <c r="A450" s="41" t="n">
        <v>446</v>
      </c>
      <c r="B450" s="41" t="n">
        <v>446</v>
      </c>
      <c r="C450" s="42" t="inlineStr">
        <is>
          <t>0301411002</t>
        </is>
      </c>
      <c r="D450" s="42" t="inlineStr">
        <is>
          <t>Region III (Central Luzon)</t>
        </is>
      </c>
      <c r="E450" s="42" t="inlineStr">
        <is>
          <t>Bulacan</t>
        </is>
      </c>
      <c r="F450" s="42" t="inlineStr">
        <is>
          <t>Marilao</t>
        </is>
      </c>
      <c r="G450" s="42" t="inlineStr">
        <is>
          <t>Abangan Sur</t>
        </is>
      </c>
      <c r="H450" s="43" t="n">
        <v>14.767586</v>
      </c>
      <c r="I450" s="43" t="n">
        <v>120.939456</v>
      </c>
      <c r="J450" s="44" t="inlineStr">
        <is>
          <t>U</t>
        </is>
      </c>
      <c r="K450" s="42" t="inlineStr">
        <is>
          <t>Class 1-3 / Urban</t>
        </is>
      </c>
      <c r="L450" s="23" t="n">
        <v>10595</v>
      </c>
      <c r="M450" s="24" t="n">
        <v>4.1</v>
      </c>
      <c r="N450" s="23">
        <f>ROUND(L450/M450, 0)</f>
        <v/>
      </c>
      <c r="O450" s="23">
        <f>ROUND(N450*'Methodology &amp; Assumptions'!$B$8, 0)</f>
        <v/>
      </c>
      <c r="P450" s="44" t="inlineStr">
        <is>
          <t>Band n50 (1.5 GHz, 60 MHz)</t>
        </is>
      </c>
      <c r="Q450" s="38">
        <f>ROUNDUP(O450/'Methodology &amp; Assumptions'!$B$9, 0)</f>
        <v/>
      </c>
      <c r="R450" s="39" t="n">
        <v>1</v>
      </c>
      <c r="S450" s="25" t="n">
        <v>0.36</v>
      </c>
      <c r="T450" s="25" t="n">
        <v>0.3</v>
      </c>
      <c r="U450" s="42" t="inlineStr">
        <is>
          <t>Tier 1A (Direct Coloc, &lt;1 km)</t>
        </is>
      </c>
      <c r="V450" s="24" t="n">
        <v>98.7</v>
      </c>
      <c r="W450" s="24" t="n">
        <v>100</v>
      </c>
      <c r="X450" s="24" t="n">
        <v>28</v>
      </c>
      <c r="Y450" s="45">
        <f>ROUND((V450*'Methodology &amp; Assumptions'!$B$6)+(W450*'Methodology &amp; Assumptions'!$B$5)+(X450*'Methodology &amp; Assumptions'!$B$7), 2)</f>
        <v/>
      </c>
    </row>
    <row r="451" ht="19" customHeight="1">
      <c r="A451" s="35" t="n">
        <v>447</v>
      </c>
      <c r="B451" s="35" t="n">
        <v>447</v>
      </c>
      <c r="C451" s="36" t="inlineStr">
        <is>
          <t>0402108029</t>
        </is>
      </c>
      <c r="D451" s="36" t="inlineStr">
        <is>
          <t>Region IV-A (CALABARZON)</t>
        </is>
      </c>
      <c r="E451" s="36" t="inlineStr">
        <is>
          <t>Cavite</t>
        </is>
      </c>
      <c r="F451" s="36" t="inlineStr">
        <is>
          <t>City of General Trias</t>
        </is>
      </c>
      <c r="G451" s="36" t="inlineStr">
        <is>
          <t>Tejero</t>
        </is>
      </c>
      <c r="H451" s="37" t="n">
        <v>14.395978</v>
      </c>
      <c r="I451" s="37" t="n">
        <v>120.864453</v>
      </c>
      <c r="J451" s="8" t="inlineStr">
        <is>
          <t>U</t>
        </is>
      </c>
      <c r="K451" s="36" t="inlineStr">
        <is>
          <t>Class 1-3 / Urban</t>
        </is>
      </c>
      <c r="L451" s="18" t="n">
        <v>8148</v>
      </c>
      <c r="M451" s="20" t="n">
        <v>4.49</v>
      </c>
      <c r="N451" s="18">
        <f>ROUND(L451/M451, 0)</f>
        <v/>
      </c>
      <c r="O451" s="18">
        <f>ROUND(N451*'Methodology &amp; Assumptions'!$B$8, 0)</f>
        <v/>
      </c>
      <c r="P451" s="8" t="inlineStr">
        <is>
          <t>Band n50 (1.5 GHz, 60 MHz)</t>
        </is>
      </c>
      <c r="Q451" s="38">
        <f>ROUNDUP(O451/'Methodology &amp; Assumptions'!$B$9, 0)</f>
        <v/>
      </c>
      <c r="R451" s="39" t="n">
        <v>1</v>
      </c>
      <c r="S451" s="21" t="n">
        <v>0.36</v>
      </c>
      <c r="T451" s="21" t="n">
        <v>0.25</v>
      </c>
      <c r="U451" s="36" t="inlineStr">
        <is>
          <t>Tier 1A (Direct Coloc, &lt;1 km)</t>
        </is>
      </c>
      <c r="V451" s="20" t="n">
        <v>98.7</v>
      </c>
      <c r="W451" s="20" t="n">
        <v>100</v>
      </c>
      <c r="X451" s="20" t="n">
        <v>28</v>
      </c>
      <c r="Y451" s="40">
        <f>ROUND((V451*'Methodology &amp; Assumptions'!$B$6)+(W451*'Methodology &amp; Assumptions'!$B$5)+(X451*'Methodology &amp; Assumptions'!$B$7), 2)</f>
        <v/>
      </c>
    </row>
    <row r="452" ht="19" customHeight="1">
      <c r="A452" s="41" t="n">
        <v>448</v>
      </c>
      <c r="B452" s="41" t="n">
        <v>448</v>
      </c>
      <c r="C452" s="42" t="inlineStr">
        <is>
          <t>0402116005</t>
        </is>
      </c>
      <c r="D452" s="42" t="inlineStr">
        <is>
          <t>Region IV-A (CALABARZON)</t>
        </is>
      </c>
      <c r="E452" s="42" t="inlineStr">
        <is>
          <t>Cavite</t>
        </is>
      </c>
      <c r="F452" s="42" t="inlineStr">
        <is>
          <t>Noveleta</t>
        </is>
      </c>
      <c r="G452" s="42" t="inlineStr">
        <is>
          <t>San Juan I</t>
        </is>
      </c>
      <c r="H452" s="43" t="n">
        <v>14.433363</v>
      </c>
      <c r="I452" s="43" t="n">
        <v>120.884526</v>
      </c>
      <c r="J452" s="44" t="inlineStr">
        <is>
          <t>R</t>
        </is>
      </c>
      <c r="K452" s="42" t="inlineStr">
        <is>
          <t>Class 1-3 / Urban</t>
        </is>
      </c>
      <c r="L452" s="23" t="n">
        <v>2973</v>
      </c>
      <c r="M452" s="24" t="n">
        <v>4.49</v>
      </c>
      <c r="N452" s="23">
        <f>ROUND(L452/M452, 0)</f>
        <v/>
      </c>
      <c r="O452" s="23">
        <f>ROUND(N452*'Methodology &amp; Assumptions'!$B$8, 0)</f>
        <v/>
      </c>
      <c r="P452" s="44" t="inlineStr">
        <is>
          <t>Band n50 (1.5 GHz, 60 MHz)</t>
        </is>
      </c>
      <c r="Q452" s="38">
        <f>ROUNDUP(O452/'Methodology &amp; Assumptions'!$B$9, 0)</f>
        <v/>
      </c>
      <c r="R452" s="39" t="n">
        <v>1</v>
      </c>
      <c r="S452" s="25" t="n">
        <v>0.46</v>
      </c>
      <c r="T452" s="25" t="n">
        <v>0.22</v>
      </c>
      <c r="U452" s="42" t="inlineStr">
        <is>
          <t>Tier 1A (Direct Coloc, &lt;1 km)</t>
        </is>
      </c>
      <c r="V452" s="24" t="n">
        <v>95.90000000000001</v>
      </c>
      <c r="W452" s="24" t="n">
        <v>77.09999999999999</v>
      </c>
      <c r="X452" s="24" t="n">
        <v>58</v>
      </c>
      <c r="Y452" s="45">
        <f>ROUND((V452*'Methodology &amp; Assumptions'!$B$6)+(W452*'Methodology &amp; Assumptions'!$B$5)+(X452*'Methodology &amp; Assumptions'!$B$7), 2)</f>
        <v/>
      </c>
    </row>
    <row r="453" ht="19" customHeight="1">
      <c r="A453" s="35" t="n">
        <v>449</v>
      </c>
      <c r="B453" s="35" t="n">
        <v>449</v>
      </c>
      <c r="C453" s="36" t="inlineStr">
        <is>
          <t>0203112045</t>
        </is>
      </c>
      <c r="D453" s="36" t="inlineStr">
        <is>
          <t>Region II (Cagayan Valley)</t>
        </is>
      </c>
      <c r="E453" s="36" t="inlineStr">
        <is>
          <t>Isabela</t>
        </is>
      </c>
      <c r="F453" s="36" t="inlineStr">
        <is>
          <t>Echague</t>
        </is>
      </c>
      <c r="G453" s="36" t="inlineStr">
        <is>
          <t>San Fabian</t>
        </is>
      </c>
      <c r="H453" s="37" t="n">
        <v>16.71366</v>
      </c>
      <c r="I453" s="37" t="n">
        <v>121.678613</v>
      </c>
      <c r="J453" s="8" t="inlineStr">
        <is>
          <t>U</t>
        </is>
      </c>
      <c r="K453" s="36" t="inlineStr">
        <is>
          <t>Class 1-3 / Urban</t>
        </is>
      </c>
      <c r="L453" s="18" t="n">
        <v>4012</v>
      </c>
      <c r="M453" s="20" t="n">
        <v>4.3</v>
      </c>
      <c r="N453" s="18">
        <f>ROUND(L453/M453, 0)</f>
        <v/>
      </c>
      <c r="O453" s="18">
        <f>ROUND(N453*'Methodology &amp; Assumptions'!$B$8, 0)</f>
        <v/>
      </c>
      <c r="P453" s="8" t="inlineStr">
        <is>
          <t>Band n50 (1.5 GHz, 60 MHz)</t>
        </is>
      </c>
      <c r="Q453" s="38">
        <f>ROUNDUP(O453/'Methodology &amp; Assumptions'!$B$9, 0)</f>
        <v/>
      </c>
      <c r="R453" s="39" t="n">
        <v>1</v>
      </c>
      <c r="S453" s="21" t="n">
        <v>0.05</v>
      </c>
      <c r="T453" s="21" t="n">
        <v>0.23</v>
      </c>
      <c r="U453" s="36" t="inlineStr">
        <is>
          <t>Tier 1A (Direct Coloc, &lt;1 km)</t>
        </is>
      </c>
      <c r="V453" s="20" t="n">
        <v>100</v>
      </c>
      <c r="W453" s="20" t="n">
        <v>98.7</v>
      </c>
      <c r="X453" s="20" t="n">
        <v>28</v>
      </c>
      <c r="Y453" s="40">
        <f>ROUND((V453*'Methodology &amp; Assumptions'!$B$6)+(W453*'Methodology &amp; Assumptions'!$B$5)+(X453*'Methodology &amp; Assumptions'!$B$7), 2)</f>
        <v/>
      </c>
    </row>
    <row r="454" ht="19" customHeight="1">
      <c r="A454" s="41" t="n">
        <v>450</v>
      </c>
      <c r="B454" s="41" t="n">
        <v>450</v>
      </c>
      <c r="C454" s="42" t="inlineStr">
        <is>
          <t>1401105002</t>
        </is>
      </c>
      <c r="D454" s="42" t="inlineStr">
        <is>
          <t>Cordillera Administrative Region (CAR)</t>
        </is>
      </c>
      <c r="E454" s="42" t="inlineStr">
        <is>
          <t>Benguet</t>
        </is>
      </c>
      <c r="F454" s="42" t="inlineStr">
        <is>
          <t>Buguias</t>
        </is>
      </c>
      <c r="G454" s="42" t="inlineStr">
        <is>
          <t>Amgaleyguey</t>
        </is>
      </c>
      <c r="H454" s="43" t="n">
        <v>16.72328</v>
      </c>
      <c r="I454" s="43" t="n">
        <v>120.78238</v>
      </c>
      <c r="J454" s="44" t="inlineStr">
        <is>
          <t>R</t>
        </is>
      </c>
      <c r="K454" s="42" t="inlineStr">
        <is>
          <t>Class 1-3 / Urban</t>
        </is>
      </c>
      <c r="L454" s="23" t="n">
        <v>3139</v>
      </c>
      <c r="M454" s="24" t="n">
        <v>4.58</v>
      </c>
      <c r="N454" s="23">
        <f>ROUND(L454/M454, 0)</f>
        <v/>
      </c>
      <c r="O454" s="23">
        <f>ROUND(N454*'Methodology &amp; Assumptions'!$B$8, 0)</f>
        <v/>
      </c>
      <c r="P454" s="44" t="inlineStr">
        <is>
          <t>Band n50 (1.5 GHz, 60 MHz)</t>
        </is>
      </c>
      <c r="Q454" s="38">
        <f>ROUNDUP(O454/'Methodology &amp; Assumptions'!$B$9, 0)</f>
        <v/>
      </c>
      <c r="R454" s="39" t="n">
        <v>1</v>
      </c>
      <c r="S454" s="25" t="n">
        <v>0.39</v>
      </c>
      <c r="T454" s="25" t="n">
        <v>0.29</v>
      </c>
      <c r="U454" s="42" t="inlineStr">
        <is>
          <t>Tier 1A (Direct Coloc, &lt;1 km)</t>
        </is>
      </c>
      <c r="V454" s="24" t="n">
        <v>97.90000000000001</v>
      </c>
      <c r="W454" s="24" t="n">
        <v>74.90000000000001</v>
      </c>
      <c r="X454" s="24" t="n">
        <v>58</v>
      </c>
      <c r="Y454" s="45">
        <f>ROUND((V454*'Methodology &amp; Assumptions'!$B$6)+(W454*'Methodology &amp; Assumptions'!$B$5)+(X454*'Methodology &amp; Assumptions'!$B$7), 2)</f>
        <v/>
      </c>
    </row>
    <row r="455" ht="19" customHeight="1">
      <c r="A455" s="35" t="n">
        <v>451</v>
      </c>
      <c r="B455" s="35" t="n">
        <v>451</v>
      </c>
      <c r="C455" s="36" t="inlineStr">
        <is>
          <t>0702216014</t>
        </is>
      </c>
      <c r="D455" s="36" t="inlineStr">
        <is>
          <t>Region VII (Central Visayas)</t>
        </is>
      </c>
      <c r="E455" s="36" t="inlineStr">
        <is>
          <t>Cebu</t>
        </is>
      </c>
      <c r="F455" s="36" t="inlineStr">
        <is>
          <t>Catmon</t>
        </is>
      </c>
      <c r="G455" s="36" t="inlineStr">
        <is>
          <t>Macaas</t>
        </is>
      </c>
      <c r="H455" s="37" t="n">
        <v>10.701373</v>
      </c>
      <c r="I455" s="37" t="n">
        <v>124.010895</v>
      </c>
      <c r="J455" s="8" t="inlineStr">
        <is>
          <t>R</t>
        </is>
      </c>
      <c r="K455" s="36" t="inlineStr">
        <is>
          <t>2nd</t>
        </is>
      </c>
      <c r="L455" s="18" t="n">
        <v>3532</v>
      </c>
      <c r="M455" s="20" t="n">
        <v>4.39</v>
      </c>
      <c r="N455" s="18">
        <f>ROUND(L455/M455, 0)</f>
        <v/>
      </c>
      <c r="O455" s="18">
        <f>ROUND(N455*'Methodology &amp; Assumptions'!$B$8, 0)</f>
        <v/>
      </c>
      <c r="P455" s="8" t="inlineStr">
        <is>
          <t>Band n50 (1.5 GHz, 60 MHz)</t>
        </is>
      </c>
      <c r="Q455" s="38">
        <f>ROUNDUP(O455/'Methodology &amp; Assumptions'!$B$9, 0)</f>
        <v/>
      </c>
      <c r="R455" s="39" t="n">
        <v>1</v>
      </c>
      <c r="S455" s="21" t="n">
        <v>0.89</v>
      </c>
      <c r="T455" s="21" t="n">
        <v>0.06</v>
      </c>
      <c r="U455" s="36" t="inlineStr">
        <is>
          <t>Tier 1A (Direct Coloc, &lt;1 km)</t>
        </is>
      </c>
      <c r="V455" s="20" t="n">
        <v>84.3</v>
      </c>
      <c r="W455" s="20" t="n">
        <v>88.5</v>
      </c>
      <c r="X455" s="20" t="n">
        <v>58</v>
      </c>
      <c r="Y455" s="40">
        <f>ROUND((V455*'Methodology &amp; Assumptions'!$B$6)+(W455*'Methodology &amp; Assumptions'!$B$5)+(X455*'Methodology &amp; Assumptions'!$B$7), 2)</f>
        <v/>
      </c>
    </row>
    <row r="456" ht="19" customHeight="1">
      <c r="A456" s="41" t="n">
        <v>452</v>
      </c>
      <c r="B456" s="41" t="n">
        <v>452</v>
      </c>
      <c r="C456" s="42" t="inlineStr">
        <is>
          <t>0403406015</t>
        </is>
      </c>
      <c r="D456" s="42" t="inlineStr">
        <is>
          <t>Region IV-A (CALABARZON)</t>
        </is>
      </c>
      <c r="E456" s="42" t="inlineStr">
        <is>
          <t>Laguna</t>
        </is>
      </c>
      <c r="F456" s="42" t="inlineStr">
        <is>
          <t>Calauan</t>
        </is>
      </c>
      <c r="G456" s="42" t="inlineStr">
        <is>
          <t>Prinza</t>
        </is>
      </c>
      <c r="H456" s="43" t="n">
        <v>14.142377</v>
      </c>
      <c r="I456" s="43" t="n">
        <v>121.316587</v>
      </c>
      <c r="J456" s="44" t="inlineStr">
        <is>
          <t>R</t>
        </is>
      </c>
      <c r="K456" s="42" t="inlineStr">
        <is>
          <t>Class 1-3 / Urban</t>
        </is>
      </c>
      <c r="L456" s="23" t="n">
        <v>2840</v>
      </c>
      <c r="M456" s="24" t="n">
        <v>4.2</v>
      </c>
      <c r="N456" s="23">
        <f>ROUND(L456/M456, 0)</f>
        <v/>
      </c>
      <c r="O456" s="23">
        <f>ROUND(N456*'Methodology &amp; Assumptions'!$B$8, 0)</f>
        <v/>
      </c>
      <c r="P456" s="44" t="inlineStr">
        <is>
          <t>Band n50 (1.5 GHz, 60 MHz)</t>
        </is>
      </c>
      <c r="Q456" s="38">
        <f>ROUNDUP(O456/'Methodology &amp; Assumptions'!$B$9, 0)</f>
        <v/>
      </c>
      <c r="R456" s="39" t="n">
        <v>1</v>
      </c>
      <c r="S456" s="25" t="n">
        <v>0.5</v>
      </c>
      <c r="T456" s="25" t="n">
        <v>0.41</v>
      </c>
      <c r="U456" s="42" t="inlineStr">
        <is>
          <t>Tier 1A (Direct Coloc, &lt;1 km)</t>
        </is>
      </c>
      <c r="V456" s="24" t="n">
        <v>94.7</v>
      </c>
      <c r="W456" s="24" t="n">
        <v>78.09999999999999</v>
      </c>
      <c r="X456" s="24" t="n">
        <v>58</v>
      </c>
      <c r="Y456" s="45">
        <f>ROUND((V456*'Methodology &amp; Assumptions'!$B$6)+(W456*'Methodology &amp; Assumptions'!$B$5)+(X456*'Methodology &amp; Assumptions'!$B$7), 2)</f>
        <v/>
      </c>
    </row>
    <row r="457" ht="19" customHeight="1">
      <c r="A457" s="35" t="n">
        <v>453</v>
      </c>
      <c r="B457" s="35" t="n">
        <v>453</v>
      </c>
      <c r="C457" s="36" t="inlineStr">
        <is>
          <t>0331400014</t>
        </is>
      </c>
      <c r="D457" s="36" t="inlineStr">
        <is>
          <t>Region III (Central Luzon)</t>
        </is>
      </c>
      <c r="E457" s="36" t="inlineStr">
        <is>
          <t>Zambales</t>
        </is>
      </c>
      <c r="F457" s="36" t="inlineStr">
        <is>
          <t>City of Olongapo</t>
        </is>
      </c>
      <c r="G457" s="36" t="inlineStr">
        <is>
          <t>New Cabalan</t>
        </is>
      </c>
      <c r="H457" s="37" t="n">
        <v>14.850516</v>
      </c>
      <c r="I457" s="37" t="n">
        <v>120.323821</v>
      </c>
      <c r="J457" s="8" t="inlineStr">
        <is>
          <t>U</t>
        </is>
      </c>
      <c r="K457" s="36" t="inlineStr">
        <is>
          <t>Class 1-3 / Urban</t>
        </is>
      </c>
      <c r="L457" s="18" t="n">
        <v>33349</v>
      </c>
      <c r="M457" s="20" t="n">
        <v>4.05</v>
      </c>
      <c r="N457" s="18">
        <f>ROUND(L457/M457, 0)</f>
        <v/>
      </c>
      <c r="O457" s="18">
        <f>ROUND(N457*'Methodology &amp; Assumptions'!$B$8, 0)</f>
        <v/>
      </c>
      <c r="P457" s="8" t="inlineStr">
        <is>
          <t>Band n50 (1.5 GHz, 60 MHz)</t>
        </is>
      </c>
      <c r="Q457" s="38">
        <f>ROUNDUP(O457/'Methodology &amp; Assumptions'!$B$9, 0)</f>
        <v/>
      </c>
      <c r="R457" s="39" t="n">
        <v>1</v>
      </c>
      <c r="S457" s="21" t="n">
        <v>0.03</v>
      </c>
      <c r="T457" s="21" t="n">
        <v>0.15</v>
      </c>
      <c r="U457" s="36" t="inlineStr">
        <is>
          <t>Tier 1A (Direct Coloc, &lt;1 km)</t>
        </is>
      </c>
      <c r="V457" s="20" t="n">
        <v>100</v>
      </c>
      <c r="W457" s="20" t="n">
        <v>98.59999999999999</v>
      </c>
      <c r="X457" s="20" t="n">
        <v>28</v>
      </c>
      <c r="Y457" s="40">
        <f>ROUND((V457*'Methodology &amp; Assumptions'!$B$6)+(W457*'Methodology &amp; Assumptions'!$B$5)+(X457*'Methodology &amp; Assumptions'!$B$7), 2)</f>
        <v/>
      </c>
    </row>
    <row r="458" ht="19" customHeight="1">
      <c r="A458" s="41" t="n">
        <v>454</v>
      </c>
      <c r="B458" s="41" t="n">
        <v>454</v>
      </c>
      <c r="C458" s="42" t="inlineStr">
        <is>
          <t>0501724008</t>
        </is>
      </c>
      <c r="D458" s="42" t="inlineStr">
        <is>
          <t>Region V (Bicol Region)</t>
        </is>
      </c>
      <c r="E458" s="42" t="inlineStr">
        <is>
          <t>Camarines Sur</t>
        </is>
      </c>
      <c r="F458" s="42" t="inlineStr">
        <is>
          <t>City of Naga</t>
        </is>
      </c>
      <c r="G458" s="42" t="inlineStr">
        <is>
          <t>Carolina</t>
        </is>
      </c>
      <c r="H458" s="43" t="n">
        <v>13.663805</v>
      </c>
      <c r="I458" s="43" t="n">
        <v>123.28917</v>
      </c>
      <c r="J458" s="44" t="inlineStr">
        <is>
          <t>U</t>
        </is>
      </c>
      <c r="K458" s="42" t="inlineStr">
        <is>
          <t>Class 1-3 / Urban</t>
        </is>
      </c>
      <c r="L458" s="23" t="n">
        <v>6870</v>
      </c>
      <c r="M458" s="24" t="n">
        <v>4.9</v>
      </c>
      <c r="N458" s="23">
        <f>ROUND(L458/M458, 0)</f>
        <v/>
      </c>
      <c r="O458" s="23">
        <f>ROUND(N458*'Methodology &amp; Assumptions'!$B$8, 0)</f>
        <v/>
      </c>
      <c r="P458" s="44" t="inlineStr">
        <is>
          <t>Band n50 (1.5 GHz, 60 MHz)</t>
        </is>
      </c>
      <c r="Q458" s="38">
        <f>ROUNDUP(O458/'Methodology &amp; Assumptions'!$B$9, 0)</f>
        <v/>
      </c>
      <c r="R458" s="39" t="n">
        <v>1</v>
      </c>
      <c r="S458" s="25" t="n">
        <v>0.04</v>
      </c>
      <c r="T458" s="25" t="n">
        <v>7.04</v>
      </c>
      <c r="U458" s="42" t="inlineStr">
        <is>
          <t>Tier 1A (Direct Coloc, &lt;1 km)</t>
        </is>
      </c>
      <c r="V458" s="24" t="n">
        <v>98.59999999999999</v>
      </c>
      <c r="W458" s="24" t="n">
        <v>100</v>
      </c>
      <c r="X458" s="24" t="n">
        <v>28</v>
      </c>
      <c r="Y458" s="45">
        <f>ROUND((V458*'Methodology &amp; Assumptions'!$B$6)+(W458*'Methodology &amp; Assumptions'!$B$5)+(X458*'Methodology &amp; Assumptions'!$B$7), 2)</f>
        <v/>
      </c>
    </row>
    <row r="459" ht="19" customHeight="1">
      <c r="A459" s="35" t="n">
        <v>455</v>
      </c>
      <c r="B459" s="35" t="n">
        <v>455</v>
      </c>
      <c r="C459" s="36" t="inlineStr">
        <is>
          <t>0201512003</t>
        </is>
      </c>
      <c r="D459" s="36" t="inlineStr">
        <is>
          <t>Region II (Cagayan Valley)</t>
        </is>
      </c>
      <c r="E459" s="36" t="inlineStr">
        <is>
          <t>Cagayan</t>
        </is>
      </c>
      <c r="F459" s="36" t="inlineStr">
        <is>
          <t>Enrile</t>
        </is>
      </c>
      <c r="G459" s="36" t="inlineStr">
        <is>
          <t>Barangay II</t>
        </is>
      </c>
      <c r="H459" s="37" t="n">
        <v>17.5623</v>
      </c>
      <c r="I459" s="37" t="n">
        <v>121.6945</v>
      </c>
      <c r="J459" s="8" t="inlineStr">
        <is>
          <t>R</t>
        </is>
      </c>
      <c r="K459" s="36" t="inlineStr">
        <is>
          <t>Class 1-3 / Urban</t>
        </is>
      </c>
      <c r="L459" s="18" t="n">
        <v>2671</v>
      </c>
      <c r="M459" s="20" t="n">
        <v>4.38</v>
      </c>
      <c r="N459" s="18">
        <f>ROUND(L459/M459, 0)</f>
        <v/>
      </c>
      <c r="O459" s="18">
        <f>ROUND(N459*'Methodology &amp; Assumptions'!$B$8, 0)</f>
        <v/>
      </c>
      <c r="P459" s="8" t="inlineStr">
        <is>
          <t>Band n50 (1.5 GHz, 60 MHz)</t>
        </is>
      </c>
      <c r="Q459" s="38">
        <f>ROUNDUP(O459/'Methodology &amp; Assumptions'!$B$9, 0)</f>
        <v/>
      </c>
      <c r="R459" s="39" t="n">
        <v>1</v>
      </c>
      <c r="S459" s="21" t="n">
        <v>0.16</v>
      </c>
      <c r="T459" s="21" t="n">
        <v>1.05</v>
      </c>
      <c r="U459" s="36" t="inlineStr">
        <is>
          <t>Tier 1A (Direct Coloc, &lt;1 km)</t>
        </is>
      </c>
      <c r="V459" s="20" t="n">
        <v>100</v>
      </c>
      <c r="W459" s="20" t="n">
        <v>72.8</v>
      </c>
      <c r="X459" s="20" t="n">
        <v>58</v>
      </c>
      <c r="Y459" s="40">
        <f>ROUND((V459*'Methodology &amp; Assumptions'!$B$6)+(W459*'Methodology &amp; Assumptions'!$B$5)+(X459*'Methodology &amp; Assumptions'!$B$7), 2)</f>
        <v/>
      </c>
    </row>
    <row r="460" ht="19" customHeight="1">
      <c r="A460" s="41" t="n">
        <v>456</v>
      </c>
      <c r="B460" s="41" t="n">
        <v>456</v>
      </c>
      <c r="C460" s="42" t="inlineStr">
        <is>
          <t>1001321029</t>
        </is>
      </c>
      <c r="D460" s="42" t="inlineStr">
        <is>
          <t>Region X (Northern Mindanao)</t>
        </is>
      </c>
      <c r="E460" s="42" t="inlineStr">
        <is>
          <t>Bukidnon</t>
        </is>
      </c>
      <c r="F460" s="42" t="inlineStr">
        <is>
          <t>City of Valencia</t>
        </is>
      </c>
      <c r="G460" s="42" t="inlineStr">
        <is>
          <t>Sinayawan</t>
        </is>
      </c>
      <c r="H460" s="43" t="n">
        <v>7.870407</v>
      </c>
      <c r="I460" s="43" t="n">
        <v>125.143291</v>
      </c>
      <c r="J460" s="44" t="inlineStr">
        <is>
          <t>U</t>
        </is>
      </c>
      <c r="K460" s="42" t="inlineStr">
        <is>
          <t>Class 1-3 / Urban</t>
        </is>
      </c>
      <c r="L460" s="23" t="n">
        <v>7990</v>
      </c>
      <c r="M460" s="24" t="n">
        <v>4.63</v>
      </c>
      <c r="N460" s="23">
        <f>ROUND(L460/M460, 0)</f>
        <v/>
      </c>
      <c r="O460" s="23">
        <f>ROUND(N460*'Methodology &amp; Assumptions'!$B$8, 0)</f>
        <v/>
      </c>
      <c r="P460" s="44" t="inlineStr">
        <is>
          <t>Band n50 (1.5 GHz, 60 MHz)</t>
        </is>
      </c>
      <c r="Q460" s="38">
        <f>ROUNDUP(O460/'Methodology &amp; Assumptions'!$B$9, 0)</f>
        <v/>
      </c>
      <c r="R460" s="39" t="n">
        <v>1</v>
      </c>
      <c r="S460" s="25" t="n">
        <v>0.05</v>
      </c>
      <c r="T460" s="25" t="n">
        <v>4.66</v>
      </c>
      <c r="U460" s="42" t="inlineStr">
        <is>
          <t>Tier 1A (Direct Coloc, &lt;1 km)</t>
        </is>
      </c>
      <c r="V460" s="24" t="n">
        <v>98.5</v>
      </c>
      <c r="W460" s="24" t="n">
        <v>100</v>
      </c>
      <c r="X460" s="24" t="n">
        <v>28</v>
      </c>
      <c r="Y460" s="45">
        <f>ROUND((V460*'Methodology &amp; Assumptions'!$B$6)+(W460*'Methodology &amp; Assumptions'!$B$5)+(X460*'Methodology &amp; Assumptions'!$B$7), 2)</f>
        <v/>
      </c>
    </row>
    <row r="461" ht="19" customHeight="1">
      <c r="A461" s="35" t="n">
        <v>457</v>
      </c>
      <c r="B461" s="35" t="n">
        <v>457</v>
      </c>
      <c r="C461" s="36" t="inlineStr">
        <is>
          <t>0403404013</t>
        </is>
      </c>
      <c r="D461" s="36" t="inlineStr">
        <is>
          <t>Region IV-A (CALABARZON)</t>
        </is>
      </c>
      <c r="E461" s="36" t="inlineStr">
        <is>
          <t>Laguna</t>
        </is>
      </c>
      <c r="F461" s="36" t="inlineStr">
        <is>
          <t>City of Cabuyao</t>
        </is>
      </c>
      <c r="G461" s="36" t="inlineStr">
        <is>
          <t>Pulo</t>
        </is>
      </c>
      <c r="H461" s="37" t="n">
        <v>14.246319</v>
      </c>
      <c r="I461" s="37" t="n">
        <v>121.129898</v>
      </c>
      <c r="J461" s="8" t="inlineStr">
        <is>
          <t>U</t>
        </is>
      </c>
      <c r="K461" s="36" t="inlineStr">
        <is>
          <t>Class 1-3 / Urban</t>
        </is>
      </c>
      <c r="L461" s="18" t="n">
        <v>35113</v>
      </c>
      <c r="M461" s="20" t="n">
        <v>4.2</v>
      </c>
      <c r="N461" s="18">
        <f>ROUND(L461/M461, 0)</f>
        <v/>
      </c>
      <c r="O461" s="18">
        <f>ROUND(N461*'Methodology &amp; Assumptions'!$B$8, 0)</f>
        <v/>
      </c>
      <c r="P461" s="8" t="inlineStr">
        <is>
          <t>Band n50 (1.5 GHz, 60 MHz)</t>
        </is>
      </c>
      <c r="Q461" s="38">
        <f>ROUNDUP(O461/'Methodology &amp; Assumptions'!$B$9, 0)</f>
        <v/>
      </c>
      <c r="R461" s="39" t="n">
        <v>1</v>
      </c>
      <c r="S461" s="21" t="n">
        <v>0.05</v>
      </c>
      <c r="T461" s="21" t="n">
        <v>0.03</v>
      </c>
      <c r="U461" s="36" t="inlineStr">
        <is>
          <t>Tier 1A (Direct Coloc, &lt;1 km)</t>
        </is>
      </c>
      <c r="V461" s="20" t="n">
        <v>100</v>
      </c>
      <c r="W461" s="20" t="n">
        <v>98.5</v>
      </c>
      <c r="X461" s="20" t="n">
        <v>28</v>
      </c>
      <c r="Y461" s="40">
        <f>ROUND((V461*'Methodology &amp; Assumptions'!$B$6)+(W461*'Methodology &amp; Assumptions'!$B$5)+(X461*'Methodology &amp; Assumptions'!$B$7), 2)</f>
        <v/>
      </c>
    </row>
    <row r="462" ht="19" customHeight="1">
      <c r="A462" s="41" t="n">
        <v>458</v>
      </c>
      <c r="B462" s="41" t="n">
        <v>458</v>
      </c>
      <c r="C462" s="42" t="inlineStr">
        <is>
          <t>0403428002</t>
        </is>
      </c>
      <c r="D462" s="42" t="inlineStr">
        <is>
          <t>Region IV-A (CALABARZON)</t>
        </is>
      </c>
      <c r="E462" s="42" t="inlineStr">
        <is>
          <t>Laguna</t>
        </is>
      </c>
      <c r="F462" s="42" t="inlineStr">
        <is>
          <t>City of Santa Rosa</t>
        </is>
      </c>
      <c r="G462" s="42" t="inlineStr">
        <is>
          <t>Balibago</t>
        </is>
      </c>
      <c r="H462" s="43" t="n">
        <v>14.295424</v>
      </c>
      <c r="I462" s="43" t="n">
        <v>121.104881</v>
      </c>
      <c r="J462" s="44" t="inlineStr">
        <is>
          <t>U</t>
        </is>
      </c>
      <c r="K462" s="42" t="inlineStr">
        <is>
          <t>Class 1-3 / Urban</t>
        </is>
      </c>
      <c r="L462" s="23" t="n">
        <v>21566</v>
      </c>
      <c r="M462" s="24" t="n">
        <v>4.2</v>
      </c>
      <c r="N462" s="23">
        <f>ROUND(L462/M462, 0)</f>
        <v/>
      </c>
      <c r="O462" s="23">
        <f>ROUND(N462*'Methodology &amp; Assumptions'!$B$8, 0)</f>
        <v/>
      </c>
      <c r="P462" s="44" t="inlineStr">
        <is>
          <t>Band n50 (1.5 GHz, 60 MHz)</t>
        </is>
      </c>
      <c r="Q462" s="38">
        <f>ROUNDUP(O462/'Methodology &amp; Assumptions'!$B$9, 0)</f>
        <v/>
      </c>
      <c r="R462" s="39" t="n">
        <v>1</v>
      </c>
      <c r="S462" s="25" t="n">
        <v>0.37</v>
      </c>
      <c r="T462" s="25" t="n">
        <v>0.14</v>
      </c>
      <c r="U462" s="42" t="inlineStr">
        <is>
          <t>Tier 1A (Direct Coloc, &lt;1 km)</t>
        </is>
      </c>
      <c r="V462" s="24" t="n">
        <v>98.5</v>
      </c>
      <c r="W462" s="24" t="n">
        <v>100</v>
      </c>
      <c r="X462" s="24" t="n">
        <v>28</v>
      </c>
      <c r="Y462" s="45">
        <f>ROUND((V462*'Methodology &amp; Assumptions'!$B$6)+(W462*'Methodology &amp; Assumptions'!$B$5)+(X462*'Methodology &amp; Assumptions'!$B$7), 2)</f>
        <v/>
      </c>
    </row>
    <row r="463" ht="19" customHeight="1">
      <c r="A463" s="35" t="n">
        <v>459</v>
      </c>
      <c r="B463" s="35" t="n">
        <v>459</v>
      </c>
      <c r="C463" s="36" t="inlineStr">
        <is>
          <t>0402108035</t>
        </is>
      </c>
      <c r="D463" s="36" t="inlineStr">
        <is>
          <t>Region IV-A (CALABARZON)</t>
        </is>
      </c>
      <c r="E463" s="36" t="inlineStr">
        <is>
          <t>Cavite</t>
        </is>
      </c>
      <c r="F463" s="36" t="inlineStr">
        <is>
          <t>City of General Trias</t>
        </is>
      </c>
      <c r="G463" s="36" t="inlineStr">
        <is>
          <t>San Juan II</t>
        </is>
      </c>
      <c r="H463" s="37" t="n">
        <v>14.388561</v>
      </c>
      <c r="I463" s="37" t="n">
        <v>120.867148</v>
      </c>
      <c r="J463" s="8" t="inlineStr">
        <is>
          <t>U</t>
        </is>
      </c>
      <c r="K463" s="36" t="inlineStr">
        <is>
          <t>Class 1-3 / Urban</t>
        </is>
      </c>
      <c r="L463" s="18" t="n">
        <v>6903</v>
      </c>
      <c r="M463" s="20" t="n">
        <v>4.49</v>
      </c>
      <c r="N463" s="18">
        <f>ROUND(L463/M463, 0)</f>
        <v/>
      </c>
      <c r="O463" s="18">
        <f>ROUND(N463*'Methodology &amp; Assumptions'!$B$8, 0)</f>
        <v/>
      </c>
      <c r="P463" s="8" t="inlineStr">
        <is>
          <t>Band n50 (1.5 GHz, 60 MHz)</t>
        </is>
      </c>
      <c r="Q463" s="38">
        <f>ROUNDUP(O463/'Methodology &amp; Assumptions'!$B$9, 0)</f>
        <v/>
      </c>
      <c r="R463" s="39" t="n">
        <v>1</v>
      </c>
      <c r="S463" s="21" t="n">
        <v>0.37</v>
      </c>
      <c r="T463" s="21" t="n">
        <v>0.85</v>
      </c>
      <c r="U463" s="36" t="inlineStr">
        <is>
          <t>Tier 1A (Direct Coloc, &lt;1 km)</t>
        </is>
      </c>
      <c r="V463" s="20" t="n">
        <v>98.5</v>
      </c>
      <c r="W463" s="20" t="n">
        <v>100</v>
      </c>
      <c r="X463" s="20" t="n">
        <v>28</v>
      </c>
      <c r="Y463" s="40">
        <f>ROUND((V463*'Methodology &amp; Assumptions'!$B$6)+(W463*'Methodology &amp; Assumptions'!$B$5)+(X463*'Methodology &amp; Assumptions'!$B$7), 2)</f>
        <v/>
      </c>
    </row>
    <row r="464" ht="19" customHeight="1">
      <c r="A464" s="41" t="n">
        <v>460</v>
      </c>
      <c r="B464" s="41" t="n">
        <v>460</v>
      </c>
      <c r="C464" s="42" t="inlineStr">
        <is>
          <t>0405610046</t>
        </is>
      </c>
      <c r="D464" s="42" t="inlineStr">
        <is>
          <t>Region IV-A (CALABARZON)</t>
        </is>
      </c>
      <c r="E464" s="42" t="inlineStr">
        <is>
          <t>Quezon</t>
        </is>
      </c>
      <c r="F464" s="42" t="inlineStr">
        <is>
          <t>Catanauan</t>
        </is>
      </c>
      <c r="G464" s="42" t="inlineStr">
        <is>
          <t>Barangay 10</t>
        </is>
      </c>
      <c r="H464" s="43" t="n">
        <v>13.598427</v>
      </c>
      <c r="I464" s="43" t="n">
        <v>122.323289</v>
      </c>
      <c r="J464" s="44" t="inlineStr">
        <is>
          <t>R</t>
        </is>
      </c>
      <c r="K464" s="42" t="inlineStr">
        <is>
          <t>Class 1-3 / Urban</t>
        </is>
      </c>
      <c r="L464" s="23" t="n">
        <v>4153</v>
      </c>
      <c r="M464" s="24" t="n">
        <v>4.46</v>
      </c>
      <c r="N464" s="23">
        <f>ROUND(L464/M464, 0)</f>
        <v/>
      </c>
      <c r="O464" s="23">
        <f>ROUND(N464*'Methodology &amp; Assumptions'!$B$8, 0)</f>
        <v/>
      </c>
      <c r="P464" s="44" t="inlineStr">
        <is>
          <t>Band n50 (1.5 GHz, 60 MHz)</t>
        </is>
      </c>
      <c r="Q464" s="38">
        <f>ROUNDUP(O464/'Methodology &amp; Assumptions'!$B$9, 0)</f>
        <v/>
      </c>
      <c r="R464" s="39" t="n">
        <v>1</v>
      </c>
      <c r="S464" s="25" t="n">
        <v>1.32</v>
      </c>
      <c r="T464" s="25" t="n">
        <v>0.12</v>
      </c>
      <c r="U464" s="42" t="inlineStr">
        <is>
          <t>Tier 1B (Micro Drop, 1-3 km)</t>
        </is>
      </c>
      <c r="V464" s="24" t="n">
        <v>74.3</v>
      </c>
      <c r="W464" s="24" t="n">
        <v>98.40000000000001</v>
      </c>
      <c r="X464" s="24" t="n">
        <v>58</v>
      </c>
      <c r="Y464" s="45">
        <f>ROUND((V464*'Methodology &amp; Assumptions'!$B$6)+(W464*'Methodology &amp; Assumptions'!$B$5)+(X464*'Methodology &amp; Assumptions'!$B$7), 2)</f>
        <v/>
      </c>
    </row>
    <row r="465" ht="19" customHeight="1">
      <c r="A465" s="35" t="n">
        <v>461</v>
      </c>
      <c r="B465" s="35" t="n">
        <v>461</v>
      </c>
      <c r="C465" s="36" t="inlineStr">
        <is>
          <t>0405812018</t>
        </is>
      </c>
      <c r="D465" s="36" t="inlineStr">
        <is>
          <t>Region IV-A (CALABARZON)</t>
        </is>
      </c>
      <c r="E465" s="36" t="inlineStr">
        <is>
          <t>Rizal</t>
        </is>
      </c>
      <c r="F465" s="36" t="inlineStr">
        <is>
          <t>Tanay</t>
        </is>
      </c>
      <c r="G465" s="36" t="inlineStr">
        <is>
          <t>Tandang Kutyo</t>
        </is>
      </c>
      <c r="H465" s="37" t="n">
        <v>14.505671</v>
      </c>
      <c r="I465" s="37" t="n">
        <v>121.290146</v>
      </c>
      <c r="J465" s="8" t="inlineStr">
        <is>
          <t>U</t>
        </is>
      </c>
      <c r="K465" s="36" t="inlineStr">
        <is>
          <t>Class 1-3 / Urban</t>
        </is>
      </c>
      <c r="L465" s="18" t="n">
        <v>20754</v>
      </c>
      <c r="M465" s="20" t="n">
        <v>4.39</v>
      </c>
      <c r="N465" s="18">
        <f>ROUND(L465/M465, 0)</f>
        <v/>
      </c>
      <c r="O465" s="18">
        <f>ROUND(N465*'Methodology &amp; Assumptions'!$B$8, 0)</f>
        <v/>
      </c>
      <c r="P465" s="8" t="inlineStr">
        <is>
          <t>Band n50 (1.5 GHz, 60 MHz)</t>
        </is>
      </c>
      <c r="Q465" s="38">
        <f>ROUNDUP(O465/'Methodology &amp; Assumptions'!$B$9, 0)</f>
        <v/>
      </c>
      <c r="R465" s="39" t="n">
        <v>1</v>
      </c>
      <c r="S465" s="21" t="n">
        <v>0.37</v>
      </c>
      <c r="T465" s="21" t="n">
        <v>0.77</v>
      </c>
      <c r="U465" s="36" t="inlineStr">
        <is>
          <t>Tier 1A (Direct Coloc, &lt;1 km)</t>
        </is>
      </c>
      <c r="V465" s="20" t="n">
        <v>98.40000000000001</v>
      </c>
      <c r="W465" s="20" t="n">
        <v>100</v>
      </c>
      <c r="X465" s="20" t="n">
        <v>28</v>
      </c>
      <c r="Y465" s="40">
        <f>ROUND((V465*'Methodology &amp; Assumptions'!$B$6)+(W465*'Methodology &amp; Assumptions'!$B$5)+(X465*'Methodology &amp; Assumptions'!$B$7), 2)</f>
        <v/>
      </c>
    </row>
    <row r="466" ht="19" customHeight="1">
      <c r="A466" s="41" t="n">
        <v>462</v>
      </c>
      <c r="B466" s="41" t="n">
        <v>462</v>
      </c>
      <c r="C466" s="42" t="inlineStr">
        <is>
          <t>0500503048</t>
        </is>
      </c>
      <c r="D466" s="42" t="inlineStr">
        <is>
          <t>Region V (Bicol Region)</t>
        </is>
      </c>
      <c r="E466" s="42" t="inlineStr">
        <is>
          <t>Albay</t>
        </is>
      </c>
      <c r="F466" s="42" t="inlineStr">
        <is>
          <t>Daraga</t>
        </is>
      </c>
      <c r="G466" s="42" t="inlineStr">
        <is>
          <t>San Roque</t>
        </is>
      </c>
      <c r="H466" s="43" t="n">
        <v>13.149134</v>
      </c>
      <c r="I466" s="43" t="n">
        <v>123.711515</v>
      </c>
      <c r="J466" s="44" t="inlineStr">
        <is>
          <t>U</t>
        </is>
      </c>
      <c r="K466" s="42" t="inlineStr">
        <is>
          <t>Class 1-3 / Urban</t>
        </is>
      </c>
      <c r="L466" s="23" t="n">
        <v>4345</v>
      </c>
      <c r="M466" s="24" t="n">
        <v>4.67</v>
      </c>
      <c r="N466" s="23">
        <f>ROUND(L466/M466, 0)</f>
        <v/>
      </c>
      <c r="O466" s="23">
        <f>ROUND(N466*'Methodology &amp; Assumptions'!$B$8, 0)</f>
        <v/>
      </c>
      <c r="P466" s="44" t="inlineStr">
        <is>
          <t>Band n50 (1.5 GHz, 60 MHz)</t>
        </is>
      </c>
      <c r="Q466" s="38">
        <f>ROUNDUP(O466/'Methodology &amp; Assumptions'!$B$9, 0)</f>
        <v/>
      </c>
      <c r="R466" s="39" t="n">
        <v>1</v>
      </c>
      <c r="S466" s="25" t="n">
        <v>0.22</v>
      </c>
      <c r="T466" s="25" t="n">
        <v>0.08</v>
      </c>
      <c r="U466" s="42" t="inlineStr">
        <is>
          <t>Tier 1A (Direct Coloc, &lt;1 km)</t>
        </is>
      </c>
      <c r="V466" s="24" t="n">
        <v>100</v>
      </c>
      <c r="W466" s="24" t="n">
        <v>98.40000000000001</v>
      </c>
      <c r="X466" s="24" t="n">
        <v>28</v>
      </c>
      <c r="Y466" s="45">
        <f>ROUND((V466*'Methodology &amp; Assumptions'!$B$6)+(W466*'Methodology &amp; Assumptions'!$B$5)+(X466*'Methodology &amp; Assumptions'!$B$7), 2)</f>
        <v/>
      </c>
    </row>
    <row r="467" ht="19" customHeight="1">
      <c r="A467" s="35" t="n">
        <v>463</v>
      </c>
      <c r="B467" s="35" t="n">
        <v>463</v>
      </c>
      <c r="C467" s="36" t="inlineStr">
        <is>
          <t>0403423005</t>
        </is>
      </c>
      <c r="D467" s="36" t="inlineStr">
        <is>
          <t>Region IV-A (CALABARZON)</t>
        </is>
      </c>
      <c r="E467" s="36" t="inlineStr">
        <is>
          <t>Laguna</t>
        </is>
      </c>
      <c r="F467" s="36" t="inlineStr">
        <is>
          <t>Rizal</t>
        </is>
      </c>
      <c r="G467" s="36" t="inlineStr">
        <is>
          <t>Paule 2</t>
        </is>
      </c>
      <c r="H467" s="37" t="n">
        <v>14.112296</v>
      </c>
      <c r="I467" s="37" t="n">
        <v>121.395047</v>
      </c>
      <c r="J467" s="8" t="inlineStr">
        <is>
          <t>R</t>
        </is>
      </c>
      <c r="K467" s="36" t="inlineStr">
        <is>
          <t>4th</t>
        </is>
      </c>
      <c r="L467" s="18" t="n">
        <v>2110</v>
      </c>
      <c r="M467" s="20" t="n">
        <v>4.24</v>
      </c>
      <c r="N467" s="18">
        <f>ROUND(L467/M467, 0)</f>
        <v/>
      </c>
      <c r="O467" s="18">
        <f>ROUND(N467*'Methodology &amp; Assumptions'!$B$8, 0)</f>
        <v/>
      </c>
      <c r="P467" s="8" t="inlineStr">
        <is>
          <t>Band n50 (1.5 GHz, 60 MHz)</t>
        </is>
      </c>
      <c r="Q467" s="38">
        <f>ROUNDUP(O467/'Methodology &amp; Assumptions'!$B$9, 0)</f>
        <v/>
      </c>
      <c r="R467" s="39" t="n">
        <v>1</v>
      </c>
      <c r="S467" s="21" t="n">
        <v>0.32</v>
      </c>
      <c r="T467" s="21" t="n">
        <v>0.28</v>
      </c>
      <c r="U467" s="36" t="inlineStr">
        <is>
          <t>Tier 1A (Direct Coloc, &lt;1 km)</t>
        </is>
      </c>
      <c r="V467" s="20" t="n">
        <v>99.90000000000001</v>
      </c>
      <c r="W467" s="20" t="n">
        <v>63.7</v>
      </c>
      <c r="X467" s="20" t="n">
        <v>68.5</v>
      </c>
      <c r="Y467" s="40">
        <f>ROUND((V467*'Methodology &amp; Assumptions'!$B$6)+(W467*'Methodology &amp; Assumptions'!$B$5)+(X467*'Methodology &amp; Assumptions'!$B$7), 2)</f>
        <v/>
      </c>
    </row>
    <row r="468" ht="19" customHeight="1">
      <c r="A468" s="41" t="n">
        <v>464</v>
      </c>
      <c r="B468" s="41" t="n">
        <v>464</v>
      </c>
      <c r="C468" s="42" t="inlineStr">
        <is>
          <t>0203118017</t>
        </is>
      </c>
      <c r="D468" s="42" t="inlineStr">
        <is>
          <t>Region II (Cagayan Valley)</t>
        </is>
      </c>
      <c r="E468" s="42" t="inlineStr">
        <is>
          <t>Isabela</t>
        </is>
      </c>
      <c r="F468" s="42" t="inlineStr">
        <is>
          <t>Delfin Albano</t>
        </is>
      </c>
      <c r="G468" s="42" t="inlineStr">
        <is>
          <t>San Antonio</t>
        </is>
      </c>
      <c r="H468" s="43" t="n">
        <v>17.27388</v>
      </c>
      <c r="I468" s="43" t="n">
        <v>121.79345</v>
      </c>
      <c r="J468" s="44" t="inlineStr">
        <is>
          <t>R</t>
        </is>
      </c>
      <c r="K468" s="42" t="inlineStr">
        <is>
          <t>1st</t>
        </is>
      </c>
      <c r="L468" s="23" t="n">
        <v>3215</v>
      </c>
      <c r="M468" s="24" t="n">
        <v>4.01</v>
      </c>
      <c r="N468" s="23">
        <f>ROUND(L468/M468, 0)</f>
        <v/>
      </c>
      <c r="O468" s="23">
        <f>ROUND(N468*'Methodology &amp; Assumptions'!$B$8, 0)</f>
        <v/>
      </c>
      <c r="P468" s="44" t="inlineStr">
        <is>
          <t>Band n50 (1.5 GHz, 60 MHz)</t>
        </is>
      </c>
      <c r="Q468" s="38">
        <f>ROUNDUP(O468/'Methodology &amp; Assumptions'!$B$9, 0)</f>
        <v/>
      </c>
      <c r="R468" s="39" t="n">
        <v>1</v>
      </c>
      <c r="S468" s="25" t="n">
        <v>0.89</v>
      </c>
      <c r="T468" s="25" t="n">
        <v>0.82</v>
      </c>
      <c r="U468" s="42" t="inlineStr">
        <is>
          <t>Tier 1A (Direct Coloc, &lt;1 km)</t>
        </is>
      </c>
      <c r="V468" s="24" t="n">
        <v>84.3</v>
      </c>
      <c r="W468" s="24" t="n">
        <v>88.3</v>
      </c>
      <c r="X468" s="24" t="n">
        <v>58</v>
      </c>
      <c r="Y468" s="45">
        <f>ROUND((V468*'Methodology &amp; Assumptions'!$B$6)+(W468*'Methodology &amp; Assumptions'!$B$5)+(X468*'Methodology &amp; Assumptions'!$B$7), 2)</f>
        <v/>
      </c>
    </row>
    <row r="469" ht="19" customHeight="1">
      <c r="A469" s="35" t="n">
        <v>465</v>
      </c>
      <c r="B469" s="35" t="n">
        <v>465</v>
      </c>
      <c r="C469" s="36" t="inlineStr">
        <is>
          <t>1705320018</t>
        </is>
      </c>
      <c r="D469" s="36" t="inlineStr">
        <is>
          <t>MIMAROPA Region</t>
        </is>
      </c>
      <c r="E469" s="36" t="inlineStr">
        <is>
          <t>Palawan</t>
        </is>
      </c>
      <c r="F469" s="36" t="inlineStr">
        <is>
          <t>Taytay</t>
        </is>
      </c>
      <c r="G469" s="36" t="inlineStr">
        <is>
          <t>Pancol</t>
        </is>
      </c>
      <c r="H469" s="37" t="n">
        <v>10.872224</v>
      </c>
      <c r="I469" s="37" t="n">
        <v>119.416995</v>
      </c>
      <c r="J469" s="8" t="inlineStr">
        <is>
          <t>R</t>
        </is>
      </c>
      <c r="K469" s="36" t="inlineStr">
        <is>
          <t>Class 1-3 / Urban</t>
        </is>
      </c>
      <c r="L469" s="18" t="n">
        <v>2981</v>
      </c>
      <c r="M469" s="20" t="n">
        <v>4.35</v>
      </c>
      <c r="N469" s="18">
        <f>ROUND(L469/M469, 0)</f>
        <v/>
      </c>
      <c r="O469" s="18">
        <f>ROUND(N469*'Methodology &amp; Assumptions'!$B$8, 0)</f>
        <v/>
      </c>
      <c r="P469" s="8" t="inlineStr">
        <is>
          <t>Band n50 (1.5 GHz, 60 MHz)</t>
        </is>
      </c>
      <c r="Q469" s="38">
        <f>ROUNDUP(O469/'Methodology &amp; Assumptions'!$B$9, 0)</f>
        <v/>
      </c>
      <c r="R469" s="39" t="n">
        <v>1</v>
      </c>
      <c r="S469" s="21" t="n">
        <v>0.07000000000000001</v>
      </c>
      <c r="T469" s="21" t="n">
        <v>10.83</v>
      </c>
      <c r="U469" s="36" t="inlineStr">
        <is>
          <t>Tier 1A (Direct Coloc, &lt;1 km)</t>
        </is>
      </c>
      <c r="V469" s="20" t="n">
        <v>97.7</v>
      </c>
      <c r="W469" s="20" t="n">
        <v>74.90000000000001</v>
      </c>
      <c r="X469" s="20" t="n">
        <v>58</v>
      </c>
      <c r="Y469" s="40">
        <f>ROUND((V469*'Methodology &amp; Assumptions'!$B$6)+(W469*'Methodology &amp; Assumptions'!$B$5)+(X469*'Methodology &amp; Assumptions'!$B$7), 2)</f>
        <v/>
      </c>
    </row>
    <row r="470" ht="19" customHeight="1">
      <c r="A470" s="41" t="n">
        <v>466</v>
      </c>
      <c r="B470" s="41" t="n">
        <v>466</v>
      </c>
      <c r="C470" s="42" t="inlineStr">
        <is>
          <t>0702243011</t>
        </is>
      </c>
      <c r="D470" s="42" t="inlineStr">
        <is>
          <t>Region VII (Central Visayas)</t>
        </is>
      </c>
      <c r="E470" s="42" t="inlineStr">
        <is>
          <t>Cebu</t>
        </is>
      </c>
      <c r="F470" s="42" t="inlineStr">
        <is>
          <t>San Remigio</t>
        </is>
      </c>
      <c r="G470" s="42" t="inlineStr">
        <is>
          <t>Hagnaya</t>
        </is>
      </c>
      <c r="H470" s="43" t="n">
        <v>11.091206</v>
      </c>
      <c r="I470" s="43" t="n">
        <v>123.944488</v>
      </c>
      <c r="J470" s="44" t="inlineStr">
        <is>
          <t>R</t>
        </is>
      </c>
      <c r="K470" s="42" t="inlineStr">
        <is>
          <t>Class 1-3 / Urban</t>
        </is>
      </c>
      <c r="L470" s="23" t="n">
        <v>4222</v>
      </c>
      <c r="M470" s="24" t="n">
        <v>4.42</v>
      </c>
      <c r="N470" s="23">
        <f>ROUND(L470/M470, 0)</f>
        <v/>
      </c>
      <c r="O470" s="23">
        <f>ROUND(N470*'Methodology &amp; Assumptions'!$B$8, 0)</f>
        <v/>
      </c>
      <c r="P470" s="44" t="inlineStr">
        <is>
          <t>Band n50 (1.5 GHz, 60 MHz)</t>
        </is>
      </c>
      <c r="Q470" s="38">
        <f>ROUNDUP(O470/'Methodology &amp; Assumptions'!$B$9, 0)</f>
        <v/>
      </c>
      <c r="R470" s="39" t="n">
        <v>1</v>
      </c>
      <c r="S470" s="25" t="n">
        <v>1.41</v>
      </c>
      <c r="T470" s="25" t="n">
        <v>1.38</v>
      </c>
      <c r="U470" s="42" t="inlineStr">
        <is>
          <t>Tier 1B (Micro Drop, 1-3 km)</t>
        </is>
      </c>
      <c r="V470" s="24" t="n">
        <v>72.5</v>
      </c>
      <c r="W470" s="24" t="n">
        <v>100</v>
      </c>
      <c r="X470" s="24" t="n">
        <v>58</v>
      </c>
      <c r="Y470" s="45">
        <f>ROUND((V470*'Methodology &amp; Assumptions'!$B$6)+(W470*'Methodology &amp; Assumptions'!$B$5)+(X470*'Methodology &amp; Assumptions'!$B$7), 2)</f>
        <v/>
      </c>
    </row>
    <row r="471" ht="19" customHeight="1">
      <c r="A471" s="35" t="n">
        <v>467</v>
      </c>
      <c r="B471" s="35" t="n">
        <v>467</v>
      </c>
      <c r="C471" s="36" t="inlineStr">
        <is>
          <t>0402116007</t>
        </is>
      </c>
      <c r="D471" s="36" t="inlineStr">
        <is>
          <t>Region IV-A (CALABARZON)</t>
        </is>
      </c>
      <c r="E471" s="36" t="inlineStr">
        <is>
          <t>Cavite</t>
        </is>
      </c>
      <c r="F471" s="36" t="inlineStr">
        <is>
          <t>Noveleta</t>
        </is>
      </c>
      <c r="G471" s="36" t="inlineStr">
        <is>
          <t>San Rafael II</t>
        </is>
      </c>
      <c r="H471" s="37" t="n">
        <v>14.431931</v>
      </c>
      <c r="I471" s="37" t="n">
        <v>120.875731</v>
      </c>
      <c r="J471" s="8" t="inlineStr">
        <is>
          <t>R</t>
        </is>
      </c>
      <c r="K471" s="36" t="inlineStr">
        <is>
          <t>Class 1-3 / Urban</t>
        </is>
      </c>
      <c r="L471" s="18" t="n">
        <v>3521</v>
      </c>
      <c r="M471" s="20" t="n">
        <v>4.49</v>
      </c>
      <c r="N471" s="18">
        <f>ROUND(L471/M471, 0)</f>
        <v/>
      </c>
      <c r="O471" s="18">
        <f>ROUND(N471*'Methodology &amp; Assumptions'!$B$8, 0)</f>
        <v/>
      </c>
      <c r="P471" s="8" t="inlineStr">
        <is>
          <t>Band n50 (1.5 GHz, 60 MHz)</t>
        </is>
      </c>
      <c r="Q471" s="38">
        <f>ROUNDUP(O471/'Methodology &amp; Assumptions'!$B$9, 0)</f>
        <v/>
      </c>
      <c r="R471" s="39" t="n">
        <v>1</v>
      </c>
      <c r="S471" s="21" t="n">
        <v>0.83</v>
      </c>
      <c r="T471" s="21" t="n">
        <v>0.79</v>
      </c>
      <c r="U471" s="36" t="inlineStr">
        <is>
          <t>Tier 1A (Direct Coloc, &lt;1 km)</t>
        </is>
      </c>
      <c r="V471" s="20" t="n">
        <v>85.90000000000001</v>
      </c>
      <c r="W471" s="20" t="n">
        <v>86.7</v>
      </c>
      <c r="X471" s="20" t="n">
        <v>58</v>
      </c>
      <c r="Y471" s="40">
        <f>ROUND((V471*'Methodology &amp; Assumptions'!$B$6)+(W471*'Methodology &amp; Assumptions'!$B$5)+(X471*'Methodology &amp; Assumptions'!$B$7), 2)</f>
        <v/>
      </c>
    </row>
    <row r="472" ht="19" customHeight="1">
      <c r="A472" s="41" t="n">
        <v>468</v>
      </c>
      <c r="B472" s="41" t="n">
        <v>468</v>
      </c>
      <c r="C472" s="42" t="inlineStr">
        <is>
          <t>0305413032</t>
        </is>
      </c>
      <c r="D472" s="42" t="inlineStr">
        <is>
          <t>Region III (Central Luzon)</t>
        </is>
      </c>
      <c r="E472" s="42" t="inlineStr">
        <is>
          <t>Pampanga</t>
        </is>
      </c>
      <c r="F472" s="42" t="inlineStr">
        <is>
          <t>Mexico</t>
        </is>
      </c>
      <c r="G472" s="42" t="inlineStr">
        <is>
          <t>San Lorenzo</t>
        </is>
      </c>
      <c r="H472" s="43" t="n">
        <v>15.067083</v>
      </c>
      <c r="I472" s="43" t="n">
        <v>120.732895</v>
      </c>
      <c r="J472" s="44" t="inlineStr">
        <is>
          <t>R</t>
        </is>
      </c>
      <c r="K472" s="42" t="inlineStr">
        <is>
          <t>Class 1-3 / Urban</t>
        </is>
      </c>
      <c r="L472" s="23" t="n">
        <v>2817</v>
      </c>
      <c r="M472" s="24" t="n">
        <v>4.63</v>
      </c>
      <c r="N472" s="23">
        <f>ROUND(L472/M472, 0)</f>
        <v/>
      </c>
      <c r="O472" s="23">
        <f>ROUND(N472*'Methodology &amp; Assumptions'!$B$8, 0)</f>
        <v/>
      </c>
      <c r="P472" s="44" t="inlineStr">
        <is>
          <t>Band n50 (1.5 GHz, 60 MHz)</t>
        </is>
      </c>
      <c r="Q472" s="38">
        <f>ROUNDUP(O472/'Methodology &amp; Assumptions'!$B$9, 0)</f>
        <v/>
      </c>
      <c r="R472" s="39" t="n">
        <v>1</v>
      </c>
      <c r="S472" s="25" t="n">
        <v>0.25</v>
      </c>
      <c r="T472" s="25" t="n">
        <v>0.23</v>
      </c>
      <c r="U472" s="42" t="inlineStr">
        <is>
          <t>Tier 1A (Direct Coloc, &lt;1 km)</t>
        </is>
      </c>
      <c r="V472" s="24" t="n">
        <v>100</v>
      </c>
      <c r="W472" s="24" t="n">
        <v>72.5</v>
      </c>
      <c r="X472" s="24" t="n">
        <v>58</v>
      </c>
      <c r="Y472" s="45">
        <f>ROUND((V472*'Methodology &amp; Assumptions'!$B$6)+(W472*'Methodology &amp; Assumptions'!$B$5)+(X472*'Methodology &amp; Assumptions'!$B$7), 2)</f>
        <v/>
      </c>
    </row>
    <row r="473" ht="19" customHeight="1">
      <c r="A473" s="35" t="n">
        <v>469</v>
      </c>
      <c r="B473" s="35" t="n">
        <v>469</v>
      </c>
      <c r="C473" s="36" t="inlineStr">
        <is>
          <t>0405812014</t>
        </is>
      </c>
      <c r="D473" s="36" t="inlineStr">
        <is>
          <t>Region IV-A (CALABARZON)</t>
        </is>
      </c>
      <c r="E473" s="36" t="inlineStr">
        <is>
          <t>Rizal</t>
        </is>
      </c>
      <c r="F473" s="36" t="inlineStr">
        <is>
          <t>Tanay</t>
        </is>
      </c>
      <c r="G473" s="36" t="inlineStr">
        <is>
          <t>San Isidro</t>
        </is>
      </c>
      <c r="H473" s="37" t="n">
        <v>14.495806</v>
      </c>
      <c r="I473" s="37" t="n">
        <v>121.277545</v>
      </c>
      <c r="J473" s="8" t="inlineStr">
        <is>
          <t>R</t>
        </is>
      </c>
      <c r="K473" s="36" t="inlineStr">
        <is>
          <t>Class 1-3 / Urban</t>
        </is>
      </c>
      <c r="L473" s="18" t="n">
        <v>3329</v>
      </c>
      <c r="M473" s="20" t="n">
        <v>4.39</v>
      </c>
      <c r="N473" s="18">
        <f>ROUND(L473/M473, 0)</f>
        <v/>
      </c>
      <c r="O473" s="18">
        <f>ROUND(N473*'Methodology &amp; Assumptions'!$B$8, 0)</f>
        <v/>
      </c>
      <c r="P473" s="8" t="inlineStr">
        <is>
          <t>Band n50 (1.5 GHz, 60 MHz)</t>
        </is>
      </c>
      <c r="Q473" s="38">
        <f>ROUNDUP(O473/'Methodology &amp; Assumptions'!$B$9, 0)</f>
        <v/>
      </c>
      <c r="R473" s="39" t="n">
        <v>1</v>
      </c>
      <c r="S473" s="21" t="n">
        <v>0.75</v>
      </c>
      <c r="T473" s="21" t="n">
        <v>0.82</v>
      </c>
      <c r="U473" s="36" t="inlineStr">
        <is>
          <t>Tier 1A (Direct Coloc, &lt;1 km)</t>
        </is>
      </c>
      <c r="V473" s="20" t="n">
        <v>88</v>
      </c>
      <c r="W473" s="20" t="n">
        <v>84.5</v>
      </c>
      <c r="X473" s="20" t="n">
        <v>58</v>
      </c>
      <c r="Y473" s="40">
        <f>ROUND((V473*'Methodology &amp; Assumptions'!$B$6)+(W473*'Methodology &amp; Assumptions'!$B$5)+(X473*'Methodology &amp; Assumptions'!$B$7), 2)</f>
        <v/>
      </c>
    </row>
    <row r="474" ht="19" customHeight="1">
      <c r="A474" s="41" t="n">
        <v>470</v>
      </c>
      <c r="B474" s="41" t="n">
        <v>470</v>
      </c>
      <c r="C474" s="42" t="inlineStr">
        <is>
          <t>0631000118</t>
        </is>
      </c>
      <c r="D474" s="42" t="inlineStr">
        <is>
          <t>Region VI (Western Visayas)</t>
        </is>
      </c>
      <c r="E474" s="42" t="inlineStr">
        <is>
          <t>Iloilo</t>
        </is>
      </c>
      <c r="F474" s="42" t="inlineStr">
        <is>
          <t>City of Iloilo</t>
        </is>
      </c>
      <c r="G474" s="42" t="inlineStr">
        <is>
          <t>North Baluarte</t>
        </is>
      </c>
      <c r="H474" s="43" t="n">
        <v>10.691716</v>
      </c>
      <c r="I474" s="43" t="n">
        <v>122.55558</v>
      </c>
      <c r="J474" s="44" t="inlineStr">
        <is>
          <t>R</t>
        </is>
      </c>
      <c r="K474" s="42" t="inlineStr">
        <is>
          <t>Class 1-3 / Urban</t>
        </is>
      </c>
      <c r="L474" s="23" t="n">
        <v>4878</v>
      </c>
      <c r="M474" s="24" t="n">
        <v>4.39</v>
      </c>
      <c r="N474" s="23">
        <f>ROUND(L474/M474, 0)</f>
        <v/>
      </c>
      <c r="O474" s="23">
        <f>ROUND(N474*'Methodology &amp; Assumptions'!$B$8, 0)</f>
        <v/>
      </c>
      <c r="P474" s="44" t="inlineStr">
        <is>
          <t>Band n50 (1.5 GHz, 60 MHz)</t>
        </is>
      </c>
      <c r="Q474" s="38">
        <f>ROUNDUP(O474/'Methodology &amp; Assumptions'!$B$9, 0)</f>
        <v/>
      </c>
      <c r="R474" s="39" t="n">
        <v>1</v>
      </c>
      <c r="S474" s="25" t="n">
        <v>1.41</v>
      </c>
      <c r="T474" s="25" t="n">
        <v>1.81</v>
      </c>
      <c r="U474" s="42" t="inlineStr">
        <is>
          <t>Tier 1B (Micro Drop, 1-3 km)</t>
        </is>
      </c>
      <c r="V474" s="24" t="n">
        <v>72.5</v>
      </c>
      <c r="W474" s="24" t="n">
        <v>100</v>
      </c>
      <c r="X474" s="24" t="n">
        <v>58</v>
      </c>
      <c r="Y474" s="45">
        <f>ROUND((V474*'Methodology &amp; Assumptions'!$B$6)+(W474*'Methodology &amp; Assumptions'!$B$5)+(X474*'Methodology &amp; Assumptions'!$B$7), 2)</f>
        <v/>
      </c>
    </row>
    <row r="475" ht="19" customHeight="1">
      <c r="A475" s="35" t="n">
        <v>471</v>
      </c>
      <c r="B475" s="35" t="n">
        <v>471</v>
      </c>
      <c r="C475" s="36" t="inlineStr">
        <is>
          <t>1430300034</t>
        </is>
      </c>
      <c r="D475" s="36" t="inlineStr">
        <is>
          <t>Cordillera Administrative Region (CAR)</t>
        </is>
      </c>
      <c r="E475" s="36" t="inlineStr">
        <is>
          <t>Benguet</t>
        </is>
      </c>
      <c r="F475" s="36" t="inlineStr">
        <is>
          <t>City of Baguio</t>
        </is>
      </c>
      <c r="G475" s="36" t="inlineStr">
        <is>
          <t>Quirino Hill, East</t>
        </is>
      </c>
      <c r="H475" s="37" t="n">
        <v>16.43112</v>
      </c>
      <c r="I475" s="37" t="n">
        <v>120.59378</v>
      </c>
      <c r="J475" s="8" t="inlineStr">
        <is>
          <t>R</t>
        </is>
      </c>
      <c r="K475" s="36" t="inlineStr">
        <is>
          <t>Class 1-3 / Urban</t>
        </is>
      </c>
      <c r="L475" s="18" t="n">
        <v>3497</v>
      </c>
      <c r="M475" s="20" t="n">
        <v>4.58</v>
      </c>
      <c r="N475" s="18">
        <f>ROUND(L475/M475, 0)</f>
        <v/>
      </c>
      <c r="O475" s="18">
        <f>ROUND(N475*'Methodology &amp; Assumptions'!$B$8, 0)</f>
        <v/>
      </c>
      <c r="P475" s="8" t="inlineStr">
        <is>
          <t>Band n50 (1.5 GHz, 60 MHz)</t>
        </is>
      </c>
      <c r="Q475" s="38">
        <f>ROUNDUP(O475/'Methodology &amp; Assumptions'!$B$9, 0)</f>
        <v/>
      </c>
      <c r="R475" s="39" t="n">
        <v>1</v>
      </c>
      <c r="S475" s="21" t="n">
        <v>0.62</v>
      </c>
      <c r="T475" s="21" t="n">
        <v>1.78</v>
      </c>
      <c r="U475" s="36" t="inlineStr">
        <is>
          <t>Tier 1A (Direct Coloc, &lt;1 km)</t>
        </is>
      </c>
      <c r="V475" s="20" t="n">
        <v>91.40000000000001</v>
      </c>
      <c r="W475" s="20" t="n">
        <v>81.09999999999999</v>
      </c>
      <c r="X475" s="20" t="n">
        <v>58</v>
      </c>
      <c r="Y475" s="40">
        <f>ROUND((V475*'Methodology &amp; Assumptions'!$B$6)+(W475*'Methodology &amp; Assumptions'!$B$5)+(X475*'Methodology &amp; Assumptions'!$B$7), 2)</f>
        <v/>
      </c>
    </row>
    <row r="476" ht="19" customHeight="1">
      <c r="A476" s="41" t="n">
        <v>472</v>
      </c>
      <c r="B476" s="41" t="n">
        <v>472</v>
      </c>
      <c r="C476" s="42" t="inlineStr">
        <is>
          <t>1102414018</t>
        </is>
      </c>
      <c r="D476" s="42" t="inlineStr">
        <is>
          <t>Region XI (Davao Region)</t>
        </is>
      </c>
      <c r="E476" s="42" t="inlineStr">
        <is>
          <t>Davao del Sur</t>
        </is>
      </c>
      <c r="F476" s="42" t="inlineStr">
        <is>
          <t>Sulop</t>
        </is>
      </c>
      <c r="G476" s="42" t="inlineStr">
        <is>
          <t>Poblacion</t>
        </is>
      </c>
      <c r="H476" s="43" t="n">
        <v>6.60228</v>
      </c>
      <c r="I476" s="43" t="n">
        <v>125.344081</v>
      </c>
      <c r="J476" s="44" t="inlineStr">
        <is>
          <t>U</t>
        </is>
      </c>
      <c r="K476" s="42" t="inlineStr">
        <is>
          <t>Class 1-3 / Urban</t>
        </is>
      </c>
      <c r="L476" s="23" t="n">
        <v>8025</v>
      </c>
      <c r="M476" s="24" t="n">
        <v>4.1</v>
      </c>
      <c r="N476" s="23">
        <f>ROUND(L476/M476, 0)</f>
        <v/>
      </c>
      <c r="O476" s="23">
        <f>ROUND(N476*'Methodology &amp; Assumptions'!$B$8, 0)</f>
        <v/>
      </c>
      <c r="P476" s="44" t="inlineStr">
        <is>
          <t>Band n50 (1.5 GHz, 60 MHz)</t>
        </is>
      </c>
      <c r="Q476" s="38">
        <f>ROUNDUP(O476/'Methodology &amp; Assumptions'!$B$9, 0)</f>
        <v/>
      </c>
      <c r="R476" s="39" t="n">
        <v>1</v>
      </c>
      <c r="S476" s="25" t="n">
        <v>0.38</v>
      </c>
      <c r="T476" s="25" t="n">
        <v>0.52</v>
      </c>
      <c r="U476" s="42" t="inlineStr">
        <is>
          <t>Tier 1A (Direct Coloc, &lt;1 km)</t>
        </is>
      </c>
      <c r="V476" s="24" t="n">
        <v>98.2</v>
      </c>
      <c r="W476" s="24" t="n">
        <v>100</v>
      </c>
      <c r="X476" s="24" t="n">
        <v>28</v>
      </c>
      <c r="Y476" s="45">
        <f>ROUND((V476*'Methodology &amp; Assumptions'!$B$6)+(W476*'Methodology &amp; Assumptions'!$B$5)+(X476*'Methodology &amp; Assumptions'!$B$7), 2)</f>
        <v/>
      </c>
    </row>
    <row r="477" ht="19" customHeight="1">
      <c r="A477" s="35" t="n">
        <v>473</v>
      </c>
      <c r="B477" s="35" t="n">
        <v>473</v>
      </c>
      <c r="C477" s="36" t="inlineStr">
        <is>
          <t>0300809003</t>
        </is>
      </c>
      <c r="D477" s="36" t="inlineStr">
        <is>
          <t>Region III (Central Luzon)</t>
        </is>
      </c>
      <c r="E477" s="36" t="inlineStr">
        <is>
          <t>Bataan</t>
        </is>
      </c>
      <c r="F477" s="36" t="inlineStr">
        <is>
          <t>Orani</t>
        </is>
      </c>
      <c r="G477" s="36" t="inlineStr">
        <is>
          <t>Bayan</t>
        </is>
      </c>
      <c r="H477" s="37" t="n">
        <v>14.79933</v>
      </c>
      <c r="I477" s="37" t="n">
        <v>120.534345</v>
      </c>
      <c r="J477" s="8" t="inlineStr">
        <is>
          <t>U</t>
        </is>
      </c>
      <c r="K477" s="36" t="inlineStr">
        <is>
          <t>Class 1-3 / Urban</t>
        </is>
      </c>
      <c r="L477" s="18" t="n">
        <v>6378</v>
      </c>
      <c r="M477" s="20" t="n">
        <v>4.57</v>
      </c>
      <c r="N477" s="18">
        <f>ROUND(L477/M477, 0)</f>
        <v/>
      </c>
      <c r="O477" s="18">
        <f>ROUND(N477*'Methodology &amp; Assumptions'!$B$8, 0)</f>
        <v/>
      </c>
      <c r="P477" s="8" t="inlineStr">
        <is>
          <t>Band n50 (1.5 GHz, 60 MHz)</t>
        </is>
      </c>
      <c r="Q477" s="38">
        <f>ROUNDUP(O477/'Methodology &amp; Assumptions'!$B$9, 0)</f>
        <v/>
      </c>
      <c r="R477" s="39" t="n">
        <v>1</v>
      </c>
      <c r="S477" s="21" t="n">
        <v>0.38</v>
      </c>
      <c r="T477" s="21" t="n">
        <v>0.25</v>
      </c>
      <c r="U477" s="36" t="inlineStr">
        <is>
          <t>Tier 1A (Direct Coloc, &lt;1 km)</t>
        </is>
      </c>
      <c r="V477" s="20" t="n">
        <v>98.2</v>
      </c>
      <c r="W477" s="20" t="n">
        <v>100</v>
      </c>
      <c r="X477" s="20" t="n">
        <v>28</v>
      </c>
      <c r="Y477" s="40">
        <f>ROUND((V477*'Methodology &amp; Assumptions'!$B$6)+(W477*'Methodology &amp; Assumptions'!$B$5)+(X477*'Methodology &amp; Assumptions'!$B$7), 2)</f>
        <v/>
      </c>
    </row>
    <row r="478" ht="19" customHeight="1">
      <c r="A478" s="41" t="n">
        <v>474</v>
      </c>
      <c r="B478" s="41" t="n">
        <v>474</v>
      </c>
      <c r="C478" s="42" t="inlineStr">
        <is>
          <t>1004312011</t>
        </is>
      </c>
      <c r="D478" s="42" t="inlineStr">
        <is>
          <t>Region X (Northern Mindanao)</t>
        </is>
      </c>
      <c r="E478" s="42" t="inlineStr">
        <is>
          <t>Misamis Oriental</t>
        </is>
      </c>
      <c r="F478" s="42" t="inlineStr">
        <is>
          <t>Kinoguitan</t>
        </is>
      </c>
      <c r="G478" s="42" t="inlineStr">
        <is>
          <t>Poblacion</t>
        </is>
      </c>
      <c r="H478" s="43" t="n">
        <v>8.981813000000001</v>
      </c>
      <c r="I478" s="43" t="n">
        <v>124.791523</v>
      </c>
      <c r="J478" s="44" t="inlineStr">
        <is>
          <t>R</t>
        </is>
      </c>
      <c r="K478" s="42" t="inlineStr">
        <is>
          <t>4th</t>
        </is>
      </c>
      <c r="L478" s="23" t="n">
        <v>2320</v>
      </c>
      <c r="M478" s="24" t="n">
        <v>4.7</v>
      </c>
      <c r="N478" s="23">
        <f>ROUND(L478/M478, 0)</f>
        <v/>
      </c>
      <c r="O478" s="23">
        <f>ROUND(N478*'Methodology &amp; Assumptions'!$B$8, 0)</f>
        <v/>
      </c>
      <c r="P478" s="44" t="inlineStr">
        <is>
          <t>Band n50 (1.5 GHz, 60 MHz)</t>
        </is>
      </c>
      <c r="Q478" s="38">
        <f>ROUNDUP(O478/'Methodology &amp; Assumptions'!$B$9, 0)</f>
        <v/>
      </c>
      <c r="R478" s="39" t="n">
        <v>1</v>
      </c>
      <c r="S478" s="25" t="n">
        <v>0.27</v>
      </c>
      <c r="T478" s="25" t="n">
        <v>0.05</v>
      </c>
      <c r="U478" s="42" t="inlineStr">
        <is>
          <t>Tier 1A (Direct Coloc, &lt;1 km)</t>
        </is>
      </c>
      <c r="V478" s="24" t="n">
        <v>100</v>
      </c>
      <c r="W478" s="24" t="n">
        <v>63.5</v>
      </c>
      <c r="X478" s="24" t="n">
        <v>68.5</v>
      </c>
      <c r="Y478" s="45">
        <f>ROUND((V478*'Methodology &amp; Assumptions'!$B$6)+(W478*'Methodology &amp; Assumptions'!$B$5)+(X478*'Methodology &amp; Assumptions'!$B$7), 2)</f>
        <v/>
      </c>
    </row>
    <row r="479" ht="19" customHeight="1">
      <c r="A479" s="35" t="n">
        <v>475</v>
      </c>
      <c r="B479" s="35" t="n">
        <v>475</v>
      </c>
      <c r="C479" s="36" t="inlineStr">
        <is>
          <t>0403410021</t>
        </is>
      </c>
      <c r="D479" s="36" t="inlineStr">
        <is>
          <t>Region IV-A (CALABARZON)</t>
        </is>
      </c>
      <c r="E479" s="36" t="inlineStr">
        <is>
          <t>Laguna</t>
        </is>
      </c>
      <c r="F479" s="36" t="inlineStr">
        <is>
          <t>Liliw</t>
        </is>
      </c>
      <c r="G479" s="36" t="inlineStr">
        <is>
          <t>Ilayang Taykin</t>
        </is>
      </c>
      <c r="H479" s="37" t="n">
        <v>14.136955</v>
      </c>
      <c r="I479" s="37" t="n">
        <v>121.443248</v>
      </c>
      <c r="J479" s="8" t="inlineStr">
        <is>
          <t>R</t>
        </is>
      </c>
      <c r="K479" s="36" t="inlineStr">
        <is>
          <t>3rd</t>
        </is>
      </c>
      <c r="L479" s="18" t="n">
        <v>2981</v>
      </c>
      <c r="M479" s="20" t="n">
        <v>3.93</v>
      </c>
      <c r="N479" s="18">
        <f>ROUND(L479/M479, 0)</f>
        <v/>
      </c>
      <c r="O479" s="18">
        <f>ROUND(N479*'Methodology &amp; Assumptions'!$B$8, 0)</f>
        <v/>
      </c>
      <c r="P479" s="8" t="inlineStr">
        <is>
          <t>Band n50 (1.5 GHz, 60 MHz)</t>
        </is>
      </c>
      <c r="Q479" s="38">
        <f>ROUNDUP(O479/'Methodology &amp; Assumptions'!$B$9, 0)</f>
        <v/>
      </c>
      <c r="R479" s="39" t="n">
        <v>1</v>
      </c>
      <c r="S479" s="21" t="n">
        <v>0.76</v>
      </c>
      <c r="T479" s="21" t="n">
        <v>0.45</v>
      </c>
      <c r="U479" s="36" t="inlineStr">
        <is>
          <t>Tier 1A (Direct Coloc, &lt;1 km)</t>
        </is>
      </c>
      <c r="V479" s="20" t="n">
        <v>87.7</v>
      </c>
      <c r="W479" s="20" t="n">
        <v>84.8</v>
      </c>
      <c r="X479" s="20" t="n">
        <v>58</v>
      </c>
      <c r="Y479" s="40">
        <f>ROUND((V479*'Methodology &amp; Assumptions'!$B$6)+(W479*'Methodology &amp; Assumptions'!$B$5)+(X479*'Methodology &amp; Assumptions'!$B$7), 2)</f>
        <v/>
      </c>
    </row>
    <row r="480" ht="19" customHeight="1">
      <c r="A480" s="41" t="n">
        <v>476</v>
      </c>
      <c r="B480" s="41" t="n">
        <v>476</v>
      </c>
      <c r="C480" s="42" t="inlineStr">
        <is>
          <t>0500503003</t>
        </is>
      </c>
      <c r="D480" s="42" t="inlineStr">
        <is>
          <t>Region V (Bicol Region)</t>
        </is>
      </c>
      <c r="E480" s="42" t="inlineStr">
        <is>
          <t>Albay</t>
        </is>
      </c>
      <c r="F480" s="42" t="inlineStr">
        <is>
          <t>Daraga</t>
        </is>
      </c>
      <c r="G480" s="42" t="inlineStr">
        <is>
          <t>Anislag</t>
        </is>
      </c>
      <c r="H480" s="43" t="n">
        <v>13.070755</v>
      </c>
      <c r="I480" s="43" t="n">
        <v>123.703255</v>
      </c>
      <c r="J480" s="44" t="inlineStr">
        <is>
          <t>U</t>
        </is>
      </c>
      <c r="K480" s="42" t="inlineStr">
        <is>
          <t>Class 1-3 / Urban</t>
        </is>
      </c>
      <c r="L480" s="23" t="n">
        <v>12877</v>
      </c>
      <c r="M480" s="24" t="n">
        <v>4.67</v>
      </c>
      <c r="N480" s="23">
        <f>ROUND(L480/M480, 0)</f>
        <v/>
      </c>
      <c r="O480" s="23">
        <f>ROUND(N480*'Methodology &amp; Assumptions'!$B$8, 0)</f>
        <v/>
      </c>
      <c r="P480" s="44" t="inlineStr">
        <is>
          <t>Band n50 (1.5 GHz, 60 MHz)</t>
        </is>
      </c>
      <c r="Q480" s="38">
        <f>ROUNDUP(O480/'Methodology &amp; Assumptions'!$B$9, 0)</f>
        <v/>
      </c>
      <c r="R480" s="39" t="n">
        <v>1</v>
      </c>
      <c r="S480" s="25" t="n">
        <v>0.38</v>
      </c>
      <c r="T480" s="25" t="n">
        <v>0.4</v>
      </c>
      <c r="U480" s="42" t="inlineStr">
        <is>
          <t>Tier 1A (Direct Coloc, &lt;1 km)</t>
        </is>
      </c>
      <c r="V480" s="24" t="n">
        <v>98.09999999999999</v>
      </c>
      <c r="W480" s="24" t="n">
        <v>100</v>
      </c>
      <c r="X480" s="24" t="n">
        <v>28</v>
      </c>
      <c r="Y480" s="45">
        <f>ROUND((V480*'Methodology &amp; Assumptions'!$B$6)+(W480*'Methodology &amp; Assumptions'!$B$5)+(X480*'Methodology &amp; Assumptions'!$B$7), 2)</f>
        <v/>
      </c>
    </row>
    <row r="481" ht="19" customHeight="1">
      <c r="A481" s="35" t="n">
        <v>477</v>
      </c>
      <c r="B481" s="35" t="n">
        <v>477</v>
      </c>
      <c r="C481" s="36" t="inlineStr">
        <is>
          <t>1705207013</t>
        </is>
      </c>
      <c r="D481" s="36" t="inlineStr">
        <is>
          <t>MIMAROPA Region</t>
        </is>
      </c>
      <c r="E481" s="36" t="inlineStr">
        <is>
          <t>Oriental Mindoro</t>
        </is>
      </c>
      <c r="F481" s="36" t="inlineStr">
        <is>
          <t>Mansalay</t>
        </is>
      </c>
      <c r="G481" s="36" t="inlineStr">
        <is>
          <t>Poblacion</t>
        </is>
      </c>
      <c r="H481" s="37" t="n">
        <v>12.520893</v>
      </c>
      <c r="I481" s="37" t="n">
        <v>121.441043</v>
      </c>
      <c r="J481" s="8" t="inlineStr">
        <is>
          <t>U</t>
        </is>
      </c>
      <c r="K481" s="36" t="inlineStr">
        <is>
          <t>Class 1-3 / Urban</t>
        </is>
      </c>
      <c r="L481" s="18" t="n">
        <v>4304</v>
      </c>
      <c r="M481" s="20" t="n">
        <v>4.41</v>
      </c>
      <c r="N481" s="18">
        <f>ROUND(L481/M481, 0)</f>
        <v/>
      </c>
      <c r="O481" s="18">
        <f>ROUND(N481*'Methodology &amp; Assumptions'!$B$8, 0)</f>
        <v/>
      </c>
      <c r="P481" s="8" t="inlineStr">
        <is>
          <t>Band n50 (1.5 GHz, 60 MHz)</t>
        </is>
      </c>
      <c r="Q481" s="38">
        <f>ROUNDUP(O481/'Methodology &amp; Assumptions'!$B$9, 0)</f>
        <v/>
      </c>
      <c r="R481" s="39" t="n">
        <v>1</v>
      </c>
      <c r="S481" s="21" t="n">
        <v>0.21</v>
      </c>
      <c r="T481" s="21" t="n">
        <v>0.1</v>
      </c>
      <c r="U481" s="36" t="inlineStr">
        <is>
          <t>Tier 1A (Direct Coloc, &lt;1 km)</t>
        </is>
      </c>
      <c r="V481" s="20" t="n">
        <v>100</v>
      </c>
      <c r="W481" s="20" t="n">
        <v>98.09999999999999</v>
      </c>
      <c r="X481" s="20" t="n">
        <v>28</v>
      </c>
      <c r="Y481" s="40">
        <f>ROUND((V481*'Methodology &amp; Assumptions'!$B$6)+(W481*'Methodology &amp; Assumptions'!$B$5)+(X481*'Methodology &amp; Assumptions'!$B$7), 2)</f>
        <v/>
      </c>
    </row>
    <row r="482" ht="19" customHeight="1">
      <c r="A482" s="41" t="n">
        <v>478</v>
      </c>
      <c r="B482" s="41" t="n">
        <v>478</v>
      </c>
      <c r="C482" s="42" t="inlineStr">
        <is>
          <t>0702222031</t>
        </is>
      </c>
      <c r="D482" s="42" t="inlineStr">
        <is>
          <t>Region VII (Central Visayas)</t>
        </is>
      </c>
      <c r="E482" s="42" t="inlineStr">
        <is>
          <t>Cebu</t>
        </is>
      </c>
      <c r="F482" s="42" t="inlineStr">
        <is>
          <t>Dalaguete</t>
        </is>
      </c>
      <c r="G482" s="42" t="inlineStr">
        <is>
          <t>Tapun</t>
        </is>
      </c>
      <c r="H482" s="43" t="n">
        <v>9.773832000000001</v>
      </c>
      <c r="I482" s="43" t="n">
        <v>123.527522</v>
      </c>
      <c r="J482" s="44" t="inlineStr">
        <is>
          <t>R</t>
        </is>
      </c>
      <c r="K482" s="42" t="inlineStr">
        <is>
          <t>Class 1-3 / Urban</t>
        </is>
      </c>
      <c r="L482" s="23" t="n">
        <v>4738</v>
      </c>
      <c r="M482" s="24" t="n">
        <v>4.42</v>
      </c>
      <c r="N482" s="23">
        <f>ROUND(L482/M482, 0)</f>
        <v/>
      </c>
      <c r="O482" s="23">
        <f>ROUND(N482*'Methodology &amp; Assumptions'!$B$8, 0)</f>
        <v/>
      </c>
      <c r="P482" s="44" t="inlineStr">
        <is>
          <t>Band n50 (1.5 GHz, 60 MHz)</t>
        </is>
      </c>
      <c r="Q482" s="38">
        <f>ROUNDUP(O482/'Methodology &amp; Assumptions'!$B$9, 0)</f>
        <v/>
      </c>
      <c r="R482" s="39" t="n">
        <v>1</v>
      </c>
      <c r="S482" s="25" t="n">
        <v>1.42</v>
      </c>
      <c r="T482" s="25" t="n">
        <v>0.37</v>
      </c>
      <c r="U482" s="42" t="inlineStr">
        <is>
          <t>Tier 1B (Micro Drop, 1-3 km)</t>
        </is>
      </c>
      <c r="V482" s="24" t="n">
        <v>72.40000000000001</v>
      </c>
      <c r="W482" s="24" t="n">
        <v>100</v>
      </c>
      <c r="X482" s="24" t="n">
        <v>58</v>
      </c>
      <c r="Y482" s="45">
        <f>ROUND((V482*'Methodology &amp; Assumptions'!$B$6)+(W482*'Methodology &amp; Assumptions'!$B$5)+(X482*'Methodology &amp; Assumptions'!$B$7), 2)</f>
        <v/>
      </c>
    </row>
    <row r="483" ht="19" customHeight="1">
      <c r="A483" s="35" t="n">
        <v>479</v>
      </c>
      <c r="B483" s="35" t="n">
        <v>479</v>
      </c>
      <c r="C483" s="36" t="inlineStr">
        <is>
          <t>0405610033</t>
        </is>
      </c>
      <c r="D483" s="36" t="inlineStr">
        <is>
          <t>Region IV-A (CALABARZON)</t>
        </is>
      </c>
      <c r="E483" s="36" t="inlineStr">
        <is>
          <t>Quezon</t>
        </is>
      </c>
      <c r="F483" s="36" t="inlineStr">
        <is>
          <t>Catanauan</t>
        </is>
      </c>
      <c r="G483" s="36" t="inlineStr">
        <is>
          <t>San Isidro</t>
        </is>
      </c>
      <c r="H483" s="37" t="n">
        <v>13.629647</v>
      </c>
      <c r="I483" s="37" t="n">
        <v>122.243502</v>
      </c>
      <c r="J483" s="8" t="inlineStr">
        <is>
          <t>R</t>
        </is>
      </c>
      <c r="K483" s="36" t="inlineStr">
        <is>
          <t>Class 1-3 / Urban</t>
        </is>
      </c>
      <c r="L483" s="18" t="n">
        <v>3687</v>
      </c>
      <c r="M483" s="20" t="n">
        <v>4.46</v>
      </c>
      <c r="N483" s="18">
        <f>ROUND(L483/M483, 0)</f>
        <v/>
      </c>
      <c r="O483" s="18">
        <f>ROUND(N483*'Methodology &amp; Assumptions'!$B$8, 0)</f>
        <v/>
      </c>
      <c r="P483" s="8" t="inlineStr">
        <is>
          <t>Band n50 (1.5 GHz, 60 MHz)</t>
        </is>
      </c>
      <c r="Q483" s="38">
        <f>ROUNDUP(O483/'Methodology &amp; Assumptions'!$B$9, 0)</f>
        <v/>
      </c>
      <c r="R483" s="39" t="n">
        <v>1</v>
      </c>
      <c r="S483" s="21" t="n">
        <v>0.97</v>
      </c>
      <c r="T483" s="21" t="n">
        <v>0.12</v>
      </c>
      <c r="U483" s="36" t="inlineStr">
        <is>
          <t>Tier 1A (Direct Coloc, &lt;1 km)</t>
        </is>
      </c>
      <c r="V483" s="20" t="n">
        <v>82.3</v>
      </c>
      <c r="W483" s="20" t="n">
        <v>90.09999999999999</v>
      </c>
      <c r="X483" s="20" t="n">
        <v>58</v>
      </c>
      <c r="Y483" s="40">
        <f>ROUND((V483*'Methodology &amp; Assumptions'!$B$6)+(W483*'Methodology &amp; Assumptions'!$B$5)+(X483*'Methodology &amp; Assumptions'!$B$7), 2)</f>
        <v/>
      </c>
    </row>
    <row r="484" ht="19" customHeight="1">
      <c r="A484" s="41" t="n">
        <v>480</v>
      </c>
      <c r="B484" s="41" t="n">
        <v>480</v>
      </c>
      <c r="C484" s="42" t="inlineStr">
        <is>
          <t>0500504048</t>
        </is>
      </c>
      <c r="D484" s="42" t="inlineStr">
        <is>
          <t>Region V (Bicol Region)</t>
        </is>
      </c>
      <c r="E484" s="42" t="inlineStr">
        <is>
          <t>Albay</t>
        </is>
      </c>
      <c r="F484" s="42" t="inlineStr">
        <is>
          <t>Guinobatan</t>
        </is>
      </c>
      <c r="G484" s="42" t="inlineStr">
        <is>
          <t>Travesia</t>
        </is>
      </c>
      <c r="H484" s="43" t="n">
        <v>13.187784</v>
      </c>
      <c r="I484" s="43" t="n">
        <v>123.612805</v>
      </c>
      <c r="J484" s="44" t="inlineStr">
        <is>
          <t>R</t>
        </is>
      </c>
      <c r="K484" s="42" t="inlineStr">
        <is>
          <t>Class 1-3 / Urban</t>
        </is>
      </c>
      <c r="L484" s="23" t="n">
        <v>3858</v>
      </c>
      <c r="M484" s="24" t="n">
        <v>4.67</v>
      </c>
      <c r="N484" s="23">
        <f>ROUND(L484/M484, 0)</f>
        <v/>
      </c>
      <c r="O484" s="23">
        <f>ROUND(N484*'Methodology &amp; Assumptions'!$B$8, 0)</f>
        <v/>
      </c>
      <c r="P484" s="44" t="inlineStr">
        <is>
          <t>Band n50 (1.5 GHz, 60 MHz)</t>
        </is>
      </c>
      <c r="Q484" s="38">
        <f>ROUNDUP(O484/'Methodology &amp; Assumptions'!$B$9, 0)</f>
        <v/>
      </c>
      <c r="R484" s="39" t="n">
        <v>1</v>
      </c>
      <c r="S484" s="25" t="n">
        <v>0.98</v>
      </c>
      <c r="T484" s="25" t="n">
        <v>0.2</v>
      </c>
      <c r="U484" s="42" t="inlineStr">
        <is>
          <t>Tier 1A (Direct Coloc, &lt;1 km)</t>
        </is>
      </c>
      <c r="V484" s="24" t="n">
        <v>82.2</v>
      </c>
      <c r="W484" s="24" t="n">
        <v>90.09999999999999</v>
      </c>
      <c r="X484" s="24" t="n">
        <v>58</v>
      </c>
      <c r="Y484" s="45">
        <f>ROUND((V484*'Methodology &amp; Assumptions'!$B$6)+(W484*'Methodology &amp; Assumptions'!$B$5)+(X484*'Methodology &amp; Assumptions'!$B$7), 2)</f>
        <v/>
      </c>
    </row>
    <row r="485" ht="19" customHeight="1">
      <c r="A485" s="35" t="n">
        <v>481</v>
      </c>
      <c r="B485" s="35" t="n">
        <v>481</v>
      </c>
      <c r="C485" s="36" t="inlineStr">
        <is>
          <t>0330100036</t>
        </is>
      </c>
      <c r="D485" s="36" t="inlineStr">
        <is>
          <t>Region III (Central Luzon)</t>
        </is>
      </c>
      <c r="E485" s="36" t="inlineStr">
        <is>
          <t>Pampanga</t>
        </is>
      </c>
      <c r="F485" s="36" t="inlineStr">
        <is>
          <t>City of Angeles</t>
        </is>
      </c>
      <c r="G485" s="36" t="inlineStr">
        <is>
          <t>Ninoy Aquino</t>
        </is>
      </c>
      <c r="H485" s="37" t="n">
        <v>15.152104</v>
      </c>
      <c r="I485" s="37" t="n">
        <v>120.595537</v>
      </c>
      <c r="J485" s="8" t="inlineStr">
        <is>
          <t>U</t>
        </is>
      </c>
      <c r="K485" s="36" t="inlineStr">
        <is>
          <t>Class 1-3 / Urban</t>
        </is>
      </c>
      <c r="L485" s="18" t="n">
        <v>11337</v>
      </c>
      <c r="M485" s="20" t="n">
        <v>4.63</v>
      </c>
      <c r="N485" s="18">
        <f>ROUND(L485/M485, 0)</f>
        <v/>
      </c>
      <c r="O485" s="18">
        <f>ROUND(N485*'Methodology &amp; Assumptions'!$B$8, 0)</f>
        <v/>
      </c>
      <c r="P485" s="8" t="inlineStr">
        <is>
          <t>Band n50 (1.5 GHz, 60 MHz)</t>
        </is>
      </c>
      <c r="Q485" s="38">
        <f>ROUNDUP(O485/'Methodology &amp; Assumptions'!$B$9, 0)</f>
        <v/>
      </c>
      <c r="R485" s="39" t="n">
        <v>1</v>
      </c>
      <c r="S485" s="21" t="n">
        <v>0.38</v>
      </c>
      <c r="T485" s="21" t="n">
        <v>0.33</v>
      </c>
      <c r="U485" s="36" t="inlineStr">
        <is>
          <t>Tier 1A (Direct Coloc, &lt;1 km)</t>
        </is>
      </c>
      <c r="V485" s="20" t="n">
        <v>98.09999999999999</v>
      </c>
      <c r="W485" s="20" t="n">
        <v>100</v>
      </c>
      <c r="X485" s="20" t="n">
        <v>28</v>
      </c>
      <c r="Y485" s="40">
        <f>ROUND((V485*'Methodology &amp; Assumptions'!$B$6)+(W485*'Methodology &amp; Assumptions'!$B$5)+(X485*'Methodology &amp; Assumptions'!$B$7), 2)</f>
        <v/>
      </c>
    </row>
    <row r="486" ht="19" customHeight="1">
      <c r="A486" s="41" t="n">
        <v>482</v>
      </c>
      <c r="B486" s="41" t="n">
        <v>482</v>
      </c>
      <c r="C486" s="42" t="inlineStr">
        <is>
          <t>0330100028</t>
        </is>
      </c>
      <c r="D486" s="42" t="inlineStr">
        <is>
          <t>Region III (Central Luzon)</t>
        </is>
      </c>
      <c r="E486" s="42" t="inlineStr">
        <is>
          <t>Pampanga</t>
        </is>
      </c>
      <c r="F486" s="42" t="inlineStr">
        <is>
          <t>City of Angeles</t>
        </is>
      </c>
      <c r="G486" s="42" t="inlineStr">
        <is>
          <t>Sto. Domingo</t>
        </is>
      </c>
      <c r="H486" s="43" t="n">
        <v>15.12768</v>
      </c>
      <c r="I486" s="43" t="n">
        <v>120.60056</v>
      </c>
      <c r="J486" s="44" t="inlineStr">
        <is>
          <t>U</t>
        </is>
      </c>
      <c r="K486" s="42" t="inlineStr">
        <is>
          <t>Class 1-3 / Urban</t>
        </is>
      </c>
      <c r="L486" s="23" t="n">
        <v>18672</v>
      </c>
      <c r="M486" s="24" t="n">
        <v>4.63</v>
      </c>
      <c r="N486" s="23">
        <f>ROUND(L486/M486, 0)</f>
        <v/>
      </c>
      <c r="O486" s="23">
        <f>ROUND(N486*'Methodology &amp; Assumptions'!$B$8, 0)</f>
        <v/>
      </c>
      <c r="P486" s="44" t="inlineStr">
        <is>
          <t>Band n50 (1.5 GHz, 60 MHz)</t>
        </is>
      </c>
      <c r="Q486" s="38">
        <f>ROUNDUP(O486/'Methodology &amp; Assumptions'!$B$9, 0)</f>
        <v/>
      </c>
      <c r="R486" s="39" t="n">
        <v>1</v>
      </c>
      <c r="S486" s="25" t="n">
        <v>0.38</v>
      </c>
      <c r="T486" s="25" t="n">
        <v>0.31</v>
      </c>
      <c r="U486" s="42" t="inlineStr">
        <is>
          <t>Tier 1A (Direct Coloc, &lt;1 km)</t>
        </is>
      </c>
      <c r="V486" s="24" t="n">
        <v>98.09999999999999</v>
      </c>
      <c r="W486" s="24" t="n">
        <v>100</v>
      </c>
      <c r="X486" s="24" t="n">
        <v>28</v>
      </c>
      <c r="Y486" s="45">
        <f>ROUND((V486*'Methodology &amp; Assumptions'!$B$6)+(W486*'Methodology &amp; Assumptions'!$B$5)+(X486*'Methodology &amp; Assumptions'!$B$7), 2)</f>
        <v/>
      </c>
    </row>
    <row r="487" ht="19" customHeight="1">
      <c r="A487" s="35" t="n">
        <v>483</v>
      </c>
      <c r="B487" s="35" t="n">
        <v>483</v>
      </c>
      <c r="C487" s="36" t="inlineStr">
        <is>
          <t>0631000098</t>
        </is>
      </c>
      <c r="D487" s="36" t="inlineStr">
        <is>
          <t>Region VI (Western Visayas)</t>
        </is>
      </c>
      <c r="E487" s="36" t="inlineStr">
        <is>
          <t>Iloilo</t>
        </is>
      </c>
      <c r="F487" s="36" t="inlineStr">
        <is>
          <t>City of Iloilo</t>
        </is>
      </c>
      <c r="G487" s="36" t="inlineStr">
        <is>
          <t>M. V. Hechanova</t>
        </is>
      </c>
      <c r="H487" s="37" t="n">
        <v>10.747495</v>
      </c>
      <c r="I487" s="37" t="n">
        <v>122.564077</v>
      </c>
      <c r="J487" s="8" t="inlineStr">
        <is>
          <t>U</t>
        </is>
      </c>
      <c r="K487" s="36" t="inlineStr">
        <is>
          <t>Class 1-3 / Urban</t>
        </is>
      </c>
      <c r="L487" s="18" t="n">
        <v>4155</v>
      </c>
      <c r="M487" s="20" t="n">
        <v>4.39</v>
      </c>
      <c r="N487" s="18">
        <f>ROUND(L487/M487, 0)</f>
        <v/>
      </c>
      <c r="O487" s="18">
        <f>ROUND(N487*'Methodology &amp; Assumptions'!$B$8, 0)</f>
        <v/>
      </c>
      <c r="P487" s="8" t="inlineStr">
        <is>
          <t>Band n50 (1.5 GHz, 60 MHz)</t>
        </is>
      </c>
      <c r="Q487" s="38">
        <f>ROUNDUP(O487/'Methodology &amp; Assumptions'!$B$9, 0)</f>
        <v/>
      </c>
      <c r="R487" s="39" t="n">
        <v>1</v>
      </c>
      <c r="S487" s="21" t="n">
        <v>0.37</v>
      </c>
      <c r="T487" s="21" t="n">
        <v>0.36</v>
      </c>
      <c r="U487" s="36" t="inlineStr">
        <is>
          <t>Tier 1A (Direct Coloc, &lt;1 km)</t>
        </is>
      </c>
      <c r="V487" s="20" t="n">
        <v>98.3</v>
      </c>
      <c r="W487" s="20" t="n">
        <v>99.7</v>
      </c>
      <c r="X487" s="20" t="n">
        <v>28</v>
      </c>
      <c r="Y487" s="40">
        <f>ROUND((V487*'Methodology &amp; Assumptions'!$B$6)+(W487*'Methodology &amp; Assumptions'!$B$5)+(X487*'Methodology &amp; Assumptions'!$B$7), 2)</f>
        <v/>
      </c>
    </row>
    <row r="488" ht="19" customHeight="1">
      <c r="A488" s="41" t="n">
        <v>484</v>
      </c>
      <c r="B488" s="41" t="n">
        <v>484</v>
      </c>
      <c r="C488" s="42" t="inlineStr">
        <is>
          <t>0403422014</t>
        </is>
      </c>
      <c r="D488" s="42" t="inlineStr">
        <is>
          <t>Region IV-A (CALABARZON)</t>
        </is>
      </c>
      <c r="E488" s="42" t="inlineStr">
        <is>
          <t>Laguna</t>
        </is>
      </c>
      <c r="F488" s="42" t="inlineStr">
        <is>
          <t>Pila</t>
        </is>
      </c>
      <c r="G488" s="42" t="inlineStr">
        <is>
          <t>San Antonio</t>
        </is>
      </c>
      <c r="H488" s="43" t="n">
        <v>14.217349</v>
      </c>
      <c r="I488" s="43" t="n">
        <v>121.359215</v>
      </c>
      <c r="J488" s="44" t="inlineStr">
        <is>
          <t>R</t>
        </is>
      </c>
      <c r="K488" s="42" t="inlineStr">
        <is>
          <t>Class 1-3 / Urban</t>
        </is>
      </c>
      <c r="L488" s="23" t="n">
        <v>3836</v>
      </c>
      <c r="M488" s="24" t="n">
        <v>4.2</v>
      </c>
      <c r="N488" s="23">
        <f>ROUND(L488/M488, 0)</f>
        <v/>
      </c>
      <c r="O488" s="23">
        <f>ROUND(N488*'Methodology &amp; Assumptions'!$B$8, 0)</f>
        <v/>
      </c>
      <c r="P488" s="44" t="inlineStr">
        <is>
          <t>Band n50 (1.5 GHz, 60 MHz)</t>
        </is>
      </c>
      <c r="Q488" s="38">
        <f>ROUNDUP(O488/'Methodology &amp; Assumptions'!$B$9, 0)</f>
        <v/>
      </c>
      <c r="R488" s="39" t="n">
        <v>1</v>
      </c>
      <c r="S488" s="25" t="n">
        <v>1.28</v>
      </c>
      <c r="T488" s="25" t="n">
        <v>0.11</v>
      </c>
      <c r="U488" s="42" t="inlineStr">
        <is>
          <t>Tier 1B (Micro Drop, 1-3 km)</t>
        </is>
      </c>
      <c r="V488" s="24" t="n">
        <v>75.3</v>
      </c>
      <c r="W488" s="24" t="n">
        <v>97.09999999999999</v>
      </c>
      <c r="X488" s="24" t="n">
        <v>58</v>
      </c>
      <c r="Y488" s="45">
        <f>ROUND((V488*'Methodology &amp; Assumptions'!$B$6)+(W488*'Methodology &amp; Assumptions'!$B$5)+(X488*'Methodology &amp; Assumptions'!$B$7), 2)</f>
        <v/>
      </c>
    </row>
    <row r="489" ht="19" customHeight="1">
      <c r="A489" s="35" t="n">
        <v>485</v>
      </c>
      <c r="B489" s="35" t="n">
        <v>485</v>
      </c>
      <c r="C489" s="36" t="inlineStr">
        <is>
          <t>0501724004</t>
        </is>
      </c>
      <c r="D489" s="36" t="inlineStr">
        <is>
          <t>Region V (Bicol Region)</t>
        </is>
      </c>
      <c r="E489" s="36" t="inlineStr">
        <is>
          <t>Camarines Sur</t>
        </is>
      </c>
      <c r="F489" s="36" t="inlineStr">
        <is>
          <t>City of Naga</t>
        </is>
      </c>
      <c r="G489" s="36" t="inlineStr">
        <is>
          <t>Balatas</t>
        </is>
      </c>
      <c r="H489" s="37" t="n">
        <v>13.630853</v>
      </c>
      <c r="I489" s="37" t="n">
        <v>123.201952</v>
      </c>
      <c r="J489" s="8" t="inlineStr">
        <is>
          <t>U</t>
        </is>
      </c>
      <c r="K489" s="36" t="inlineStr">
        <is>
          <t>Class 1-3 / Urban</t>
        </is>
      </c>
      <c r="L489" s="18" t="n">
        <v>11112</v>
      </c>
      <c r="M489" s="20" t="n">
        <v>4.9</v>
      </c>
      <c r="N489" s="18">
        <f>ROUND(L489/M489, 0)</f>
        <v/>
      </c>
      <c r="O489" s="18">
        <f>ROUND(N489*'Methodology &amp; Assumptions'!$B$8, 0)</f>
        <v/>
      </c>
      <c r="P489" s="8" t="inlineStr">
        <is>
          <t>Band n50 (1.5 GHz, 60 MHz)</t>
        </is>
      </c>
      <c r="Q489" s="38">
        <f>ROUNDUP(O489/'Methodology &amp; Assumptions'!$B$9, 0)</f>
        <v/>
      </c>
      <c r="R489" s="39" t="n">
        <v>1</v>
      </c>
      <c r="S489" s="21" t="n">
        <v>0.38</v>
      </c>
      <c r="T489" s="21" t="n">
        <v>0.4</v>
      </c>
      <c r="U489" s="36" t="inlineStr">
        <is>
          <t>Tier 1A (Direct Coloc, &lt;1 km)</t>
        </is>
      </c>
      <c r="V489" s="20" t="n">
        <v>98</v>
      </c>
      <c r="W489" s="20" t="n">
        <v>100</v>
      </c>
      <c r="X489" s="20" t="n">
        <v>28</v>
      </c>
      <c r="Y489" s="40">
        <f>ROUND((V489*'Methodology &amp; Assumptions'!$B$6)+(W489*'Methodology &amp; Assumptions'!$B$5)+(X489*'Methodology &amp; Assumptions'!$B$7), 2)</f>
        <v/>
      </c>
    </row>
    <row r="490" ht="19" customHeight="1">
      <c r="A490" s="41" t="n">
        <v>486</v>
      </c>
      <c r="B490" s="41" t="n">
        <v>486</v>
      </c>
      <c r="C490" s="42" t="inlineStr">
        <is>
          <t>0500503051</t>
        </is>
      </c>
      <c r="D490" s="42" t="inlineStr">
        <is>
          <t>Region V (Bicol Region)</t>
        </is>
      </c>
      <c r="E490" s="42" t="inlineStr">
        <is>
          <t>Albay</t>
        </is>
      </c>
      <c r="F490" s="42" t="inlineStr">
        <is>
          <t>Daraga</t>
        </is>
      </c>
      <c r="G490" s="42" t="inlineStr">
        <is>
          <t>Sipi</t>
        </is>
      </c>
      <c r="H490" s="43" t="n">
        <v>13.141385</v>
      </c>
      <c r="I490" s="43" t="n">
        <v>123.71488</v>
      </c>
      <c r="J490" s="44" t="inlineStr">
        <is>
          <t>R</t>
        </is>
      </c>
      <c r="K490" s="42" t="inlineStr">
        <is>
          <t>Class 1-3 / Urban</t>
        </is>
      </c>
      <c r="L490" s="23" t="n">
        <v>3486</v>
      </c>
      <c r="M490" s="24" t="n">
        <v>4.67</v>
      </c>
      <c r="N490" s="23">
        <f>ROUND(L490/M490, 0)</f>
        <v/>
      </c>
      <c r="O490" s="23">
        <f>ROUND(N490*'Methodology &amp; Assumptions'!$B$8, 0)</f>
        <v/>
      </c>
      <c r="P490" s="44" t="inlineStr">
        <is>
          <t>Band n50 (1.5 GHz, 60 MHz)</t>
        </is>
      </c>
      <c r="Q490" s="38">
        <f>ROUNDUP(O490/'Methodology &amp; Assumptions'!$B$9, 0)</f>
        <v/>
      </c>
      <c r="R490" s="39" t="n">
        <v>1</v>
      </c>
      <c r="S490" s="25" t="n">
        <v>0.73</v>
      </c>
      <c r="T490" s="25" t="n">
        <v>0.33</v>
      </c>
      <c r="U490" s="42" t="inlineStr">
        <is>
          <t>Tier 1A (Direct Coloc, &lt;1 km)</t>
        </is>
      </c>
      <c r="V490" s="24" t="n">
        <v>88.5</v>
      </c>
      <c r="W490" s="24" t="n">
        <v>83.7</v>
      </c>
      <c r="X490" s="24" t="n">
        <v>58</v>
      </c>
      <c r="Y490" s="45">
        <f>ROUND((V490*'Methodology &amp; Assumptions'!$B$6)+(W490*'Methodology &amp; Assumptions'!$B$5)+(X490*'Methodology &amp; Assumptions'!$B$7), 2)</f>
        <v/>
      </c>
    </row>
    <row r="491" ht="19" customHeight="1">
      <c r="A491" s="35" t="n">
        <v>487</v>
      </c>
      <c r="B491" s="35" t="n">
        <v>487</v>
      </c>
      <c r="C491" s="36" t="inlineStr">
        <is>
          <t>0307109003</t>
        </is>
      </c>
      <c r="D491" s="36" t="inlineStr">
        <is>
          <t>Region III (Central Luzon)</t>
        </is>
      </c>
      <c r="E491" s="36" t="inlineStr">
        <is>
          <t>Zambales</t>
        </is>
      </c>
      <c r="F491" s="36" t="inlineStr">
        <is>
          <t>San Antonio</t>
        </is>
      </c>
      <c r="G491" s="36" t="inlineStr">
        <is>
          <t>Burgos</t>
        </is>
      </c>
      <c r="H491" s="37" t="n">
        <v>14.946944</v>
      </c>
      <c r="I491" s="37" t="n">
        <v>120.091697</v>
      </c>
      <c r="J491" s="8" t="inlineStr">
        <is>
          <t>U</t>
        </is>
      </c>
      <c r="K491" s="36" t="inlineStr">
        <is>
          <t>Class 1-3 / Urban</t>
        </is>
      </c>
      <c r="L491" s="18" t="n">
        <v>5898</v>
      </c>
      <c r="M491" s="20" t="n">
        <v>4.05</v>
      </c>
      <c r="N491" s="18">
        <f>ROUND(L491/M491, 0)</f>
        <v/>
      </c>
      <c r="O491" s="18">
        <f>ROUND(N491*'Methodology &amp; Assumptions'!$B$8, 0)</f>
        <v/>
      </c>
      <c r="P491" s="8" t="inlineStr">
        <is>
          <t>Band n50 (1.5 GHz, 60 MHz)</t>
        </is>
      </c>
      <c r="Q491" s="38">
        <f>ROUNDUP(O491/'Methodology &amp; Assumptions'!$B$9, 0)</f>
        <v/>
      </c>
      <c r="R491" s="39" t="n">
        <v>1</v>
      </c>
      <c r="S491" s="21" t="n">
        <v>0.38</v>
      </c>
      <c r="T491" s="21" t="n">
        <v>0.13</v>
      </c>
      <c r="U491" s="36" t="inlineStr">
        <is>
          <t>Tier 1A (Direct Coloc, &lt;1 km)</t>
        </is>
      </c>
      <c r="V491" s="20" t="n">
        <v>98</v>
      </c>
      <c r="W491" s="20" t="n">
        <v>100</v>
      </c>
      <c r="X491" s="20" t="n">
        <v>28</v>
      </c>
      <c r="Y491" s="40">
        <f>ROUND((V491*'Methodology &amp; Assumptions'!$B$6)+(W491*'Methodology &amp; Assumptions'!$B$5)+(X491*'Methodology &amp; Assumptions'!$B$7), 2)</f>
        <v/>
      </c>
    </row>
    <row r="492" ht="19" customHeight="1">
      <c r="A492" s="41" t="n">
        <v>488</v>
      </c>
      <c r="B492" s="41" t="n">
        <v>488</v>
      </c>
      <c r="C492" s="42" t="inlineStr">
        <is>
          <t>0402109044</t>
        </is>
      </c>
      <c r="D492" s="42" t="inlineStr">
        <is>
          <t>Region IV-A (CALABARZON)</t>
        </is>
      </c>
      <c r="E492" s="42" t="inlineStr">
        <is>
          <t>Cavite</t>
        </is>
      </c>
      <c r="F492" s="42" t="inlineStr">
        <is>
          <t>City of Imus</t>
        </is>
      </c>
      <c r="G492" s="42" t="inlineStr">
        <is>
          <t>Bayan Luma V</t>
        </is>
      </c>
      <c r="H492" s="43" t="n">
        <v>14.41354</v>
      </c>
      <c r="I492" s="43" t="n">
        <v>120.934635</v>
      </c>
      <c r="J492" s="44" t="inlineStr">
        <is>
          <t>R</t>
        </is>
      </c>
      <c r="K492" s="42" t="inlineStr">
        <is>
          <t>Class 1-3 / Urban</t>
        </is>
      </c>
      <c r="L492" s="23" t="n">
        <v>4659</v>
      </c>
      <c r="M492" s="24" t="n">
        <v>4.49</v>
      </c>
      <c r="N492" s="23">
        <f>ROUND(L492/M492, 0)</f>
        <v/>
      </c>
      <c r="O492" s="23">
        <f>ROUND(N492*'Methodology &amp; Assumptions'!$B$8, 0)</f>
        <v/>
      </c>
      <c r="P492" s="44" t="inlineStr">
        <is>
          <t>Band n50 (1.5 GHz, 60 MHz)</t>
        </is>
      </c>
      <c r="Q492" s="38">
        <f>ROUNDUP(O492/'Methodology &amp; Assumptions'!$B$9, 0)</f>
        <v/>
      </c>
      <c r="R492" s="39" t="n">
        <v>1</v>
      </c>
      <c r="S492" s="25" t="n">
        <v>0.98</v>
      </c>
      <c r="T492" s="25" t="n">
        <v>3.87</v>
      </c>
      <c r="U492" s="42" t="inlineStr">
        <is>
          <t>Tier 1A (Direct Coloc, &lt;1 km)</t>
        </is>
      </c>
      <c r="V492" s="24" t="n">
        <v>72.2</v>
      </c>
      <c r="W492" s="24" t="n">
        <v>100</v>
      </c>
      <c r="X492" s="24" t="n">
        <v>58</v>
      </c>
      <c r="Y492" s="45">
        <f>ROUND((V492*'Methodology &amp; Assumptions'!$B$6)+(W492*'Methodology &amp; Assumptions'!$B$5)+(X492*'Methodology &amp; Assumptions'!$B$7), 2)</f>
        <v/>
      </c>
    </row>
    <row r="493" ht="19" customHeight="1">
      <c r="A493" s="35" t="n">
        <v>489</v>
      </c>
      <c r="B493" s="35" t="n">
        <v>489</v>
      </c>
      <c r="C493" s="36" t="inlineStr">
        <is>
          <t>0403403005</t>
        </is>
      </c>
      <c r="D493" s="36" t="inlineStr">
        <is>
          <t>Region IV-A (CALABARZON)</t>
        </is>
      </c>
      <c r="E493" s="36" t="inlineStr">
        <is>
          <t>Laguna</t>
        </is>
      </c>
      <c r="F493" s="36" t="inlineStr">
        <is>
          <t>City of Biñan</t>
        </is>
      </c>
      <c r="G493" s="36" t="inlineStr">
        <is>
          <t>Casile</t>
        </is>
      </c>
      <c r="H493" s="37" t="n">
        <v>14.344552</v>
      </c>
      <c r="I493" s="37" t="n">
        <v>121.087467</v>
      </c>
      <c r="J493" s="8" t="inlineStr">
        <is>
          <t>R</t>
        </is>
      </c>
      <c r="K493" s="36" t="inlineStr">
        <is>
          <t>Class 1-3 / Urban</t>
        </is>
      </c>
      <c r="L493" s="18" t="n">
        <v>4240</v>
      </c>
      <c r="M493" s="20" t="n">
        <v>4.2</v>
      </c>
      <c r="N493" s="18">
        <f>ROUND(L493/M493, 0)</f>
        <v/>
      </c>
      <c r="O493" s="18">
        <f>ROUND(N493*'Methodology &amp; Assumptions'!$B$8, 0)</f>
        <v/>
      </c>
      <c r="P493" s="8" t="inlineStr">
        <is>
          <t>Band n50 (1.5 GHz, 60 MHz)</t>
        </is>
      </c>
      <c r="Q493" s="38">
        <f>ROUNDUP(O493/'Methodology &amp; Assumptions'!$B$9, 0)</f>
        <v/>
      </c>
      <c r="R493" s="39" t="n">
        <v>1</v>
      </c>
      <c r="S493" s="21" t="n">
        <v>1.42</v>
      </c>
      <c r="T493" s="21" t="n">
        <v>0.64</v>
      </c>
      <c r="U493" s="36" t="inlineStr">
        <is>
          <t>Tier 1B (Micro Drop, 1-3 km)</t>
        </is>
      </c>
      <c r="V493" s="20" t="n">
        <v>72.2</v>
      </c>
      <c r="W493" s="20" t="n">
        <v>100</v>
      </c>
      <c r="X493" s="20" t="n">
        <v>58</v>
      </c>
      <c r="Y493" s="40">
        <f>ROUND((V493*'Methodology &amp; Assumptions'!$B$6)+(W493*'Methodology &amp; Assumptions'!$B$5)+(X493*'Methodology &amp; Assumptions'!$B$7), 2)</f>
        <v/>
      </c>
    </row>
    <row r="494" ht="19" customHeight="1">
      <c r="A494" s="41" t="n">
        <v>490</v>
      </c>
      <c r="B494" s="41" t="n">
        <v>490</v>
      </c>
      <c r="C494" s="42" t="inlineStr">
        <is>
          <t>0600412010</t>
        </is>
      </c>
      <c r="D494" s="42" t="inlineStr">
        <is>
          <t>Region VI (Western Visayas)</t>
        </is>
      </c>
      <c r="E494" s="42" t="inlineStr">
        <is>
          <t>Aklan</t>
        </is>
      </c>
      <c r="F494" s="42" t="inlineStr">
        <is>
          <t>Malay</t>
        </is>
      </c>
      <c r="G494" s="42" t="inlineStr">
        <is>
          <t>Manoc-Manoc</t>
        </is>
      </c>
      <c r="H494" s="43" t="n">
        <v>11.94124</v>
      </c>
      <c r="I494" s="43" t="n">
        <v>121.942701</v>
      </c>
      <c r="J494" s="44" t="inlineStr">
        <is>
          <t>U</t>
        </is>
      </c>
      <c r="K494" s="42" t="inlineStr">
        <is>
          <t>Class 1-3 / Urban</t>
        </is>
      </c>
      <c r="L494" s="23" t="n">
        <v>20504</v>
      </c>
      <c r="M494" s="24" t="n">
        <v>4.27</v>
      </c>
      <c r="N494" s="23">
        <f>ROUND(L494/M494, 0)</f>
        <v/>
      </c>
      <c r="O494" s="23">
        <f>ROUND(N494*'Methodology &amp; Assumptions'!$B$8, 0)</f>
        <v/>
      </c>
      <c r="P494" s="44" t="inlineStr">
        <is>
          <t>Band n50 (1.5 GHz, 60 MHz)</t>
        </is>
      </c>
      <c r="Q494" s="38">
        <f>ROUNDUP(O494/'Methodology &amp; Assumptions'!$B$9, 0)</f>
        <v/>
      </c>
      <c r="R494" s="39" t="n">
        <v>1</v>
      </c>
      <c r="S494" s="25" t="n">
        <v>0.86</v>
      </c>
      <c r="T494" s="25" t="n">
        <v>1.64</v>
      </c>
      <c r="U494" s="42" t="inlineStr">
        <is>
          <t>Tier 1A (Direct Coloc, &lt;1 km)</t>
        </is>
      </c>
      <c r="V494" s="24" t="n">
        <v>85.09999999999999</v>
      </c>
      <c r="W494" s="24" t="n">
        <v>100</v>
      </c>
      <c r="X494" s="24" t="n">
        <v>43</v>
      </c>
      <c r="Y494" s="45">
        <f>ROUND((V494*'Methodology &amp; Assumptions'!$B$6)+(W494*'Methodology &amp; Assumptions'!$B$5)+(X494*'Methodology &amp; Assumptions'!$B$7), 2)</f>
        <v/>
      </c>
    </row>
    <row r="495" ht="19" customHeight="1">
      <c r="A495" s="35" t="n">
        <v>491</v>
      </c>
      <c r="B495" s="35" t="n">
        <v>491</v>
      </c>
      <c r="C495" s="36" t="inlineStr">
        <is>
          <t>0330100003</t>
        </is>
      </c>
      <c r="D495" s="36" t="inlineStr">
        <is>
          <t>Region III (Central Luzon)</t>
        </is>
      </c>
      <c r="E495" s="36" t="inlineStr">
        <is>
          <t>Pampanga</t>
        </is>
      </c>
      <c r="F495" s="36" t="inlineStr">
        <is>
          <t>City of Angeles</t>
        </is>
      </c>
      <c r="G495" s="36" t="inlineStr">
        <is>
          <t>Balibago</t>
        </is>
      </c>
      <c r="H495" s="37" t="n">
        <v>15.166357</v>
      </c>
      <c r="I495" s="37" t="n">
        <v>120.59086</v>
      </c>
      <c r="J495" s="8" t="inlineStr">
        <is>
          <t>U</t>
        </is>
      </c>
      <c r="K495" s="36" t="inlineStr">
        <is>
          <t>Class 1-3 / Urban</t>
        </is>
      </c>
      <c r="L495" s="18" t="n">
        <v>42274</v>
      </c>
      <c r="M495" s="20" t="n">
        <v>4.63</v>
      </c>
      <c r="N495" s="18">
        <f>ROUND(L495/M495, 0)</f>
        <v/>
      </c>
      <c r="O495" s="18">
        <f>ROUND(N495*'Methodology &amp; Assumptions'!$B$8, 0)</f>
        <v/>
      </c>
      <c r="P495" s="8" t="inlineStr">
        <is>
          <t>Band n50 (1.5 GHz, 60 MHz)</t>
        </is>
      </c>
      <c r="Q495" s="38">
        <f>ROUNDUP(O495/'Methodology &amp; Assumptions'!$B$9, 0)</f>
        <v/>
      </c>
      <c r="R495" s="39" t="n">
        <v>1</v>
      </c>
      <c r="S495" s="21" t="n">
        <v>0.11</v>
      </c>
      <c r="T495" s="21" t="n">
        <v>0.12</v>
      </c>
      <c r="U495" s="36" t="inlineStr">
        <is>
          <t>Tier 1A (Direct Coloc, &lt;1 km)</t>
        </is>
      </c>
      <c r="V495" s="20" t="n">
        <v>100</v>
      </c>
      <c r="W495" s="20" t="n">
        <v>98</v>
      </c>
      <c r="X495" s="20" t="n">
        <v>28</v>
      </c>
      <c r="Y495" s="40">
        <f>ROUND((V495*'Methodology &amp; Assumptions'!$B$6)+(W495*'Methodology &amp; Assumptions'!$B$5)+(X495*'Methodology &amp; Assumptions'!$B$7), 2)</f>
        <v/>
      </c>
    </row>
    <row r="496" ht="19" customHeight="1">
      <c r="A496" s="41" t="n">
        <v>492</v>
      </c>
      <c r="B496" s="41" t="n">
        <v>492</v>
      </c>
      <c r="C496" s="42" t="inlineStr">
        <is>
          <t>0506209007</t>
        </is>
      </c>
      <c r="D496" s="42" t="inlineStr">
        <is>
          <t>Region V (Bicol Region)</t>
        </is>
      </c>
      <c r="E496" s="42" t="inlineStr">
        <is>
          <t>Sorsogon</t>
        </is>
      </c>
      <c r="F496" s="42" t="inlineStr">
        <is>
          <t>Irosin</t>
        </is>
      </c>
      <c r="G496" s="42" t="inlineStr">
        <is>
          <t>Carriedo</t>
        </is>
      </c>
      <c r="H496" s="43" t="n">
        <v>12.694338</v>
      </c>
      <c r="I496" s="43" t="n">
        <v>124.03382</v>
      </c>
      <c r="J496" s="44" t="inlineStr">
        <is>
          <t>R</t>
        </is>
      </c>
      <c r="K496" s="42" t="inlineStr">
        <is>
          <t>Class 1-3 / Urban</t>
        </is>
      </c>
      <c r="L496" s="23" t="n">
        <v>3675</v>
      </c>
      <c r="M496" s="24" t="n">
        <v>4.58</v>
      </c>
      <c r="N496" s="23">
        <f>ROUND(L496/M496, 0)</f>
        <v/>
      </c>
      <c r="O496" s="23">
        <f>ROUND(N496*'Methodology &amp; Assumptions'!$B$8, 0)</f>
        <v/>
      </c>
      <c r="P496" s="44" t="inlineStr">
        <is>
          <t>Band n50 (1.5 GHz, 60 MHz)</t>
        </is>
      </c>
      <c r="Q496" s="38">
        <f>ROUNDUP(O496/'Methodology &amp; Assumptions'!$B$9, 0)</f>
        <v/>
      </c>
      <c r="R496" s="39" t="n">
        <v>1</v>
      </c>
      <c r="S496" s="25" t="n">
        <v>0.91</v>
      </c>
      <c r="T496" s="25" t="n">
        <v>0.92</v>
      </c>
      <c r="U496" s="42" t="inlineStr">
        <is>
          <t>Tier 1A (Direct Coloc, &lt;1 km)</t>
        </is>
      </c>
      <c r="V496" s="24" t="n">
        <v>83.90000000000001</v>
      </c>
      <c r="W496" s="24" t="n">
        <v>88.3</v>
      </c>
      <c r="X496" s="24" t="n">
        <v>58</v>
      </c>
      <c r="Y496" s="45">
        <f>ROUND((V496*'Methodology &amp; Assumptions'!$B$6)+(W496*'Methodology &amp; Assumptions'!$B$5)+(X496*'Methodology &amp; Assumptions'!$B$7), 2)</f>
        <v/>
      </c>
    </row>
    <row r="497" ht="19" customHeight="1">
      <c r="A497" s="35" t="n">
        <v>493</v>
      </c>
      <c r="B497" s="35" t="n">
        <v>493</v>
      </c>
      <c r="C497" s="36" t="inlineStr">
        <is>
          <t>0405623008</t>
        </is>
      </c>
      <c r="D497" s="36" t="inlineStr">
        <is>
          <t>Region IV-A (CALABARZON)</t>
        </is>
      </c>
      <c r="E497" s="36" t="inlineStr">
        <is>
          <t>Quezon</t>
        </is>
      </c>
      <c r="F497" s="36" t="inlineStr">
        <is>
          <t>Lucban</t>
        </is>
      </c>
      <c r="G497" s="36" t="inlineStr">
        <is>
          <t>Barangay 5</t>
        </is>
      </c>
      <c r="H497" s="37" t="n">
        <v>14.112598</v>
      </c>
      <c r="I497" s="37" t="n">
        <v>121.555466</v>
      </c>
      <c r="J497" s="8" t="inlineStr">
        <is>
          <t>R</t>
        </is>
      </c>
      <c r="K497" s="36" t="inlineStr">
        <is>
          <t>Class 1-3 / Urban</t>
        </is>
      </c>
      <c r="L497" s="18" t="n">
        <v>2687</v>
      </c>
      <c r="M497" s="20" t="n">
        <v>4.46</v>
      </c>
      <c r="N497" s="18">
        <f>ROUND(L497/M497, 0)</f>
        <v/>
      </c>
      <c r="O497" s="18">
        <f>ROUND(N497*'Methodology &amp; Assumptions'!$B$8, 0)</f>
        <v/>
      </c>
      <c r="P497" s="8" t="inlineStr">
        <is>
          <t>Band n50 (1.5 GHz, 60 MHz)</t>
        </is>
      </c>
      <c r="Q497" s="38">
        <f>ROUNDUP(O497/'Methodology &amp; Assumptions'!$B$9, 0)</f>
        <v/>
      </c>
      <c r="R497" s="39" t="n">
        <v>1</v>
      </c>
      <c r="S497" s="21" t="n">
        <v>0.32</v>
      </c>
      <c r="T497" s="21" t="n">
        <v>0.19</v>
      </c>
      <c r="U497" s="36" t="inlineStr">
        <is>
          <t>Tier 1A (Direct Coloc, &lt;1 km)</t>
        </is>
      </c>
      <c r="V497" s="20" t="n">
        <v>99.90000000000001</v>
      </c>
      <c r="W497" s="20" t="n">
        <v>72.3</v>
      </c>
      <c r="X497" s="20" t="n">
        <v>58</v>
      </c>
      <c r="Y497" s="40">
        <f>ROUND((V497*'Methodology &amp; Assumptions'!$B$6)+(W497*'Methodology &amp; Assumptions'!$B$5)+(X497*'Methodology &amp; Assumptions'!$B$7), 2)</f>
        <v/>
      </c>
    </row>
    <row r="498" ht="19" customHeight="1">
      <c r="A498" s="41" t="n">
        <v>494</v>
      </c>
      <c r="B498" s="41" t="n">
        <v>494</v>
      </c>
      <c r="C498" s="42" t="inlineStr">
        <is>
          <t>0701242012</t>
        </is>
      </c>
      <c r="D498" s="42" t="inlineStr">
        <is>
          <t>Region VII (Central Visayas)</t>
        </is>
      </c>
      <c r="E498" s="42" t="inlineStr">
        <is>
          <t>Bohol</t>
        </is>
      </c>
      <c r="F498" s="42" t="inlineStr">
        <is>
          <t>City of Tagbilaran</t>
        </is>
      </c>
      <c r="G498" s="42" t="inlineStr">
        <is>
          <t>Poblacion III</t>
        </is>
      </c>
      <c r="H498" s="43" t="n">
        <v>9.645633999999999</v>
      </c>
      <c r="I498" s="43" t="n">
        <v>123.851187</v>
      </c>
      <c r="J498" s="44" t="inlineStr">
        <is>
          <t>U</t>
        </is>
      </c>
      <c r="K498" s="42" t="inlineStr">
        <is>
          <t>Class 1-3 / Urban</t>
        </is>
      </c>
      <c r="L498" s="23" t="n">
        <v>5037</v>
      </c>
      <c r="M498" s="24" t="n">
        <v>4.54</v>
      </c>
      <c r="N498" s="23">
        <f>ROUND(L498/M498, 0)</f>
        <v/>
      </c>
      <c r="O498" s="23">
        <f>ROUND(N498*'Methodology &amp; Assumptions'!$B$8, 0)</f>
        <v/>
      </c>
      <c r="P498" s="44" t="inlineStr">
        <is>
          <t>Band n50 (1.5 GHz, 60 MHz)</t>
        </is>
      </c>
      <c r="Q498" s="38">
        <f>ROUNDUP(O498/'Methodology &amp; Assumptions'!$B$9, 0)</f>
        <v/>
      </c>
      <c r="R498" s="39" t="n">
        <v>1</v>
      </c>
      <c r="S498" s="25" t="n">
        <v>0.39</v>
      </c>
      <c r="T498" s="25" t="n">
        <v>0.17</v>
      </c>
      <c r="U498" s="42" t="inlineStr">
        <is>
          <t>Tier 1A (Direct Coloc, &lt;1 km)</t>
        </is>
      </c>
      <c r="V498" s="24" t="n">
        <v>97.90000000000001</v>
      </c>
      <c r="W498" s="24" t="n">
        <v>100</v>
      </c>
      <c r="X498" s="24" t="n">
        <v>28</v>
      </c>
      <c r="Y498" s="45">
        <f>ROUND((V498*'Methodology &amp; Assumptions'!$B$6)+(W498*'Methodology &amp; Assumptions'!$B$5)+(X498*'Methodology &amp; Assumptions'!$B$7), 2)</f>
        <v/>
      </c>
    </row>
    <row r="499" ht="19" customHeight="1">
      <c r="A499" s="35" t="n">
        <v>495</v>
      </c>
      <c r="B499" s="35" t="n">
        <v>495</v>
      </c>
      <c r="C499" s="36" t="inlineStr">
        <is>
          <t>0105506014</t>
        </is>
      </c>
      <c r="D499" s="36" t="inlineStr">
        <is>
          <t>Region I (Ilocos Region)</t>
        </is>
      </c>
      <c r="E499" s="36" t="inlineStr">
        <is>
          <t>Pangasinan</t>
        </is>
      </c>
      <c r="F499" s="36" t="inlineStr">
        <is>
          <t>Asingan</t>
        </is>
      </c>
      <c r="G499" s="36" t="inlineStr">
        <is>
          <t>Macalong</t>
        </is>
      </c>
      <c r="H499" s="37" t="n">
        <v>16.01129</v>
      </c>
      <c r="I499" s="37" t="n">
        <v>120.6603</v>
      </c>
      <c r="J499" s="8" t="inlineStr">
        <is>
          <t>R</t>
        </is>
      </c>
      <c r="K499" s="36" t="inlineStr">
        <is>
          <t>Class 1-3 / Urban</t>
        </is>
      </c>
      <c r="L499" s="18" t="n">
        <v>3944</v>
      </c>
      <c r="M499" s="20" t="n">
        <v>4.39</v>
      </c>
      <c r="N499" s="18">
        <f>ROUND(L499/M499, 0)</f>
        <v/>
      </c>
      <c r="O499" s="18">
        <f>ROUND(N499*'Methodology &amp; Assumptions'!$B$8, 0)</f>
        <v/>
      </c>
      <c r="P499" s="8" t="inlineStr">
        <is>
          <t>Band n50 (1.5 GHz, 60 MHz)</t>
        </is>
      </c>
      <c r="Q499" s="38">
        <f>ROUNDUP(O499/'Methodology &amp; Assumptions'!$B$9, 0)</f>
        <v/>
      </c>
      <c r="R499" s="39" t="n">
        <v>1</v>
      </c>
      <c r="S499" s="21" t="n">
        <v>1.23</v>
      </c>
      <c r="T499" s="21" t="n">
        <v>1.31</v>
      </c>
      <c r="U499" s="36" t="inlineStr">
        <is>
          <t>Tier 1B (Micro Drop, 1-3 km)</t>
        </is>
      </c>
      <c r="V499" s="20" t="n">
        <v>76.40000000000001</v>
      </c>
      <c r="W499" s="20" t="n">
        <v>95.7</v>
      </c>
      <c r="X499" s="20" t="n">
        <v>58</v>
      </c>
      <c r="Y499" s="40">
        <f>ROUND((V499*'Methodology &amp; Assumptions'!$B$6)+(W499*'Methodology &amp; Assumptions'!$B$5)+(X499*'Methodology &amp; Assumptions'!$B$7), 2)</f>
        <v/>
      </c>
    </row>
    <row r="500" ht="19" customHeight="1">
      <c r="A500" s="41" t="n">
        <v>496</v>
      </c>
      <c r="B500" s="41" t="n">
        <v>496</v>
      </c>
      <c r="C500" s="42" t="inlineStr">
        <is>
          <t>0402106012</t>
        </is>
      </c>
      <c r="D500" s="42" t="inlineStr">
        <is>
          <t>Region IV-A (CALABARZON)</t>
        </is>
      </c>
      <c r="E500" s="42" t="inlineStr">
        <is>
          <t>Cavite</t>
        </is>
      </c>
      <c r="F500" s="42" t="inlineStr">
        <is>
          <t>City of Dasmariñas</t>
        </is>
      </c>
      <c r="G500" s="42" t="inlineStr">
        <is>
          <t>Salitran I</t>
        </is>
      </c>
      <c r="H500" s="43" t="n">
        <v>14.351109</v>
      </c>
      <c r="I500" s="43" t="n">
        <v>120.939724</v>
      </c>
      <c r="J500" s="44" t="inlineStr">
        <is>
          <t>U</t>
        </is>
      </c>
      <c r="K500" s="42" t="inlineStr">
        <is>
          <t>Class 1-3 / Urban</t>
        </is>
      </c>
      <c r="L500" s="23" t="n">
        <v>5158</v>
      </c>
      <c r="M500" s="24" t="n">
        <v>4.49</v>
      </c>
      <c r="N500" s="23">
        <f>ROUND(L500/M500, 0)</f>
        <v/>
      </c>
      <c r="O500" s="23">
        <f>ROUND(N500*'Methodology &amp; Assumptions'!$B$8, 0)</f>
        <v/>
      </c>
      <c r="P500" s="44" t="inlineStr">
        <is>
          <t>Band n50 (1.5 GHz, 60 MHz)</t>
        </is>
      </c>
      <c r="Q500" s="38">
        <f>ROUNDUP(O500/'Methodology &amp; Assumptions'!$B$9, 0)</f>
        <v/>
      </c>
      <c r="R500" s="39" t="n">
        <v>1</v>
      </c>
      <c r="S500" s="25" t="n">
        <v>0.07000000000000001</v>
      </c>
      <c r="T500" s="25" t="n">
        <v>5.69</v>
      </c>
      <c r="U500" s="42" t="inlineStr">
        <is>
          <t>Tier 1A (Direct Coloc, &lt;1 km)</t>
        </is>
      </c>
      <c r="V500" s="24" t="n">
        <v>97.8</v>
      </c>
      <c r="W500" s="24" t="n">
        <v>100</v>
      </c>
      <c r="X500" s="24" t="n">
        <v>28</v>
      </c>
      <c r="Y500" s="45">
        <f>ROUND((V500*'Methodology &amp; Assumptions'!$B$6)+(W500*'Methodology &amp; Assumptions'!$B$5)+(X500*'Methodology &amp; Assumptions'!$B$7), 2)</f>
        <v/>
      </c>
    </row>
    <row r="501" ht="19" customHeight="1">
      <c r="A501" s="35" t="n">
        <v>497</v>
      </c>
      <c r="B501" s="35" t="n">
        <v>497</v>
      </c>
      <c r="C501" s="36" t="inlineStr">
        <is>
          <t>0402108015</t>
        </is>
      </c>
      <c r="D501" s="36" t="inlineStr">
        <is>
          <t>Region IV-A (CALABARZON)</t>
        </is>
      </c>
      <c r="E501" s="36" t="inlineStr">
        <is>
          <t>Cavite</t>
        </is>
      </c>
      <c r="F501" s="36" t="inlineStr">
        <is>
          <t>City of General Trias</t>
        </is>
      </c>
      <c r="G501" s="36" t="inlineStr">
        <is>
          <t>Manggahan</t>
        </is>
      </c>
      <c r="H501" s="37" t="n">
        <v>14.290728</v>
      </c>
      <c r="I501" s="37" t="n">
        <v>120.910724</v>
      </c>
      <c r="J501" s="8" t="inlineStr">
        <is>
          <t>U</t>
        </is>
      </c>
      <c r="K501" s="36" t="inlineStr">
        <is>
          <t>Class 1-3 / Urban</t>
        </is>
      </c>
      <c r="L501" s="18" t="n">
        <v>19763</v>
      </c>
      <c r="M501" s="20" t="n">
        <v>4.49</v>
      </c>
      <c r="N501" s="18">
        <f>ROUND(L501/M501, 0)</f>
        <v/>
      </c>
      <c r="O501" s="18">
        <f>ROUND(N501*'Methodology &amp; Assumptions'!$B$8, 0)</f>
        <v/>
      </c>
      <c r="P501" s="8" t="inlineStr">
        <is>
          <t>Band n50 (1.5 GHz, 60 MHz)</t>
        </is>
      </c>
      <c r="Q501" s="38">
        <f>ROUNDUP(O501/'Methodology &amp; Assumptions'!$B$9, 0)</f>
        <v/>
      </c>
      <c r="R501" s="39" t="n">
        <v>1</v>
      </c>
      <c r="S501" s="21" t="n">
        <v>0.39</v>
      </c>
      <c r="T501" s="21" t="n">
        <v>0.16</v>
      </c>
      <c r="U501" s="36" t="inlineStr">
        <is>
          <t>Tier 1A (Direct Coloc, &lt;1 km)</t>
        </is>
      </c>
      <c r="V501" s="20" t="n">
        <v>97.8</v>
      </c>
      <c r="W501" s="20" t="n">
        <v>100</v>
      </c>
      <c r="X501" s="20" t="n">
        <v>28</v>
      </c>
      <c r="Y501" s="40">
        <f>ROUND((V501*'Methodology &amp; Assumptions'!$B$6)+(W501*'Methodology &amp; Assumptions'!$B$5)+(X501*'Methodology &amp; Assumptions'!$B$7), 2)</f>
        <v/>
      </c>
    </row>
    <row r="502" ht="19" customHeight="1">
      <c r="A502" s="41" t="n">
        <v>498</v>
      </c>
      <c r="B502" s="41" t="n">
        <v>498</v>
      </c>
      <c r="C502" s="42" t="inlineStr">
        <is>
          <t>0402111007</t>
        </is>
      </c>
      <c r="D502" s="42" t="inlineStr">
        <is>
          <t>Region IV-A (CALABARZON)</t>
        </is>
      </c>
      <c r="E502" s="42" t="inlineStr">
        <is>
          <t>Cavite</t>
        </is>
      </c>
      <c r="F502" s="42" t="inlineStr">
        <is>
          <t>Kawit</t>
        </is>
      </c>
      <c r="G502" s="42" t="inlineStr">
        <is>
          <t>Magdalo</t>
        </is>
      </c>
      <c r="H502" s="43" t="n">
        <v>14.43499</v>
      </c>
      <c r="I502" s="43" t="n">
        <v>120.88875</v>
      </c>
      <c r="J502" s="44" t="inlineStr">
        <is>
          <t>U</t>
        </is>
      </c>
      <c r="K502" s="42" t="inlineStr">
        <is>
          <t>Class 1-3 / Urban</t>
        </is>
      </c>
      <c r="L502" s="23" t="n">
        <v>6201</v>
      </c>
      <c r="M502" s="24" t="n">
        <v>4.49</v>
      </c>
      <c r="N502" s="23">
        <f>ROUND(L502/M502, 0)</f>
        <v/>
      </c>
      <c r="O502" s="23">
        <f>ROUND(N502*'Methodology &amp; Assumptions'!$B$8, 0)</f>
        <v/>
      </c>
      <c r="P502" s="44" t="inlineStr">
        <is>
          <t>Band n50 (1.5 GHz, 60 MHz)</t>
        </is>
      </c>
      <c r="Q502" s="38">
        <f>ROUNDUP(O502/'Methodology &amp; Assumptions'!$B$9, 0)</f>
        <v/>
      </c>
      <c r="R502" s="39" t="n">
        <v>1</v>
      </c>
      <c r="S502" s="25" t="n">
        <v>0.87</v>
      </c>
      <c r="T502" s="25" t="n">
        <v>0.59</v>
      </c>
      <c r="U502" s="42" t="inlineStr">
        <is>
          <t>Tier 1A (Direct Coloc, &lt;1 km)</t>
        </is>
      </c>
      <c r="V502" s="24" t="n">
        <v>84.90000000000001</v>
      </c>
      <c r="W502" s="24" t="n">
        <v>100</v>
      </c>
      <c r="X502" s="24" t="n">
        <v>43</v>
      </c>
      <c r="Y502" s="45">
        <f>ROUND((V502*'Methodology &amp; Assumptions'!$B$6)+(W502*'Methodology &amp; Assumptions'!$B$5)+(X502*'Methodology &amp; Assumptions'!$B$7), 2)</f>
        <v/>
      </c>
    </row>
    <row r="503" ht="19" customHeight="1">
      <c r="A503" s="35" t="n">
        <v>499</v>
      </c>
      <c r="B503" s="35" t="n">
        <v>499</v>
      </c>
      <c r="C503" s="36" t="inlineStr">
        <is>
          <t>1600308015</t>
        </is>
      </c>
      <c r="D503" s="36" t="inlineStr">
        <is>
          <t>Region XIII (Caraga)</t>
        </is>
      </c>
      <c r="E503" s="36" t="inlineStr">
        <is>
          <t>Agusan del Sur</t>
        </is>
      </c>
      <c r="F503" s="36" t="inlineStr">
        <is>
          <t>San Francisco</t>
        </is>
      </c>
      <c r="G503" s="36" t="inlineStr">
        <is>
          <t>Barangay 1</t>
        </is>
      </c>
      <c r="H503" s="37" t="n">
        <v>8.512188</v>
      </c>
      <c r="I503" s="37" t="n">
        <v>125.9752</v>
      </c>
      <c r="J503" s="8" t="inlineStr">
        <is>
          <t>U</t>
        </is>
      </c>
      <c r="K503" s="36" t="inlineStr">
        <is>
          <t>Class 1-3 / Urban</t>
        </is>
      </c>
      <c r="L503" s="18" t="n">
        <v>5579</v>
      </c>
      <c r="M503" s="20" t="n">
        <v>4.1</v>
      </c>
      <c r="N503" s="18">
        <f>ROUND(L503/M503, 0)</f>
        <v/>
      </c>
      <c r="O503" s="18">
        <f>ROUND(N503*'Methodology &amp; Assumptions'!$B$8, 0)</f>
        <v/>
      </c>
      <c r="P503" s="8" t="inlineStr">
        <is>
          <t>Band n50 (1.5 GHz, 60 MHz)</t>
        </is>
      </c>
      <c r="Q503" s="38">
        <f>ROUNDUP(O503/'Methodology &amp; Assumptions'!$B$9, 0)</f>
        <v/>
      </c>
      <c r="R503" s="39" t="n">
        <v>1</v>
      </c>
      <c r="S503" s="21" t="n">
        <v>0.39</v>
      </c>
      <c r="T503" s="21" t="n">
        <v>0.39</v>
      </c>
      <c r="U503" s="36" t="inlineStr">
        <is>
          <t>Tier 1A (Direct Coloc, &lt;1 km)</t>
        </is>
      </c>
      <c r="V503" s="20" t="n">
        <v>97.8</v>
      </c>
      <c r="W503" s="20" t="n">
        <v>100</v>
      </c>
      <c r="X503" s="20" t="n">
        <v>28</v>
      </c>
      <c r="Y503" s="40">
        <f>ROUND((V503*'Methodology &amp; Assumptions'!$B$6)+(W503*'Methodology &amp; Assumptions'!$B$5)+(X503*'Methodology &amp; Assumptions'!$B$7), 2)</f>
        <v/>
      </c>
    </row>
    <row r="504" ht="19" customHeight="1">
      <c r="A504" s="41" t="n">
        <v>500</v>
      </c>
      <c r="B504" s="41" t="n">
        <v>500</v>
      </c>
      <c r="C504" s="42" t="inlineStr">
        <is>
          <t>0500517040</t>
        </is>
      </c>
      <c r="D504" s="42" t="inlineStr">
        <is>
          <t>Region V (Bicol Region)</t>
        </is>
      </c>
      <c r="E504" s="42" t="inlineStr">
        <is>
          <t>Albay</t>
        </is>
      </c>
      <c r="F504" s="42" t="inlineStr">
        <is>
          <t>City of Tabaco</t>
        </is>
      </c>
      <c r="G504" s="42" t="inlineStr">
        <is>
          <t>San Ramon</t>
        </is>
      </c>
      <c r="H504" s="43" t="n">
        <v>13.347798</v>
      </c>
      <c r="I504" s="43" t="n">
        <v>123.73084</v>
      </c>
      <c r="J504" s="44" t="inlineStr">
        <is>
          <t>R</t>
        </is>
      </c>
      <c r="K504" s="42" t="inlineStr">
        <is>
          <t>Class 1-3 / Urban</t>
        </is>
      </c>
      <c r="L504" s="23" t="n">
        <v>3214</v>
      </c>
      <c r="M504" s="24" t="n">
        <v>4.67</v>
      </c>
      <c r="N504" s="23">
        <f>ROUND(L504/M504, 0)</f>
        <v/>
      </c>
      <c r="O504" s="23">
        <f>ROUND(N504*'Methodology &amp; Assumptions'!$B$8, 0)</f>
        <v/>
      </c>
      <c r="P504" s="44" t="inlineStr">
        <is>
          <t>Band n50 (1.5 GHz, 60 MHz)</t>
        </is>
      </c>
      <c r="Q504" s="38">
        <f>ROUNDUP(O504/'Methodology &amp; Assumptions'!$B$9, 0)</f>
        <v/>
      </c>
      <c r="R504" s="39" t="n">
        <v>1</v>
      </c>
      <c r="S504" s="25" t="n">
        <v>0.55</v>
      </c>
      <c r="T504" s="25" t="n">
        <v>0.2</v>
      </c>
      <c r="U504" s="42" t="inlineStr">
        <is>
          <t>Tier 1A (Direct Coloc, &lt;1 km)</t>
        </is>
      </c>
      <c r="V504" s="24" t="n">
        <v>93.09999999999999</v>
      </c>
      <c r="W504" s="24" t="n">
        <v>78.90000000000001</v>
      </c>
      <c r="X504" s="24" t="n">
        <v>58</v>
      </c>
      <c r="Y504" s="45">
        <f>ROUND((V504*'Methodology &amp; Assumptions'!$B$6)+(W504*'Methodology &amp; Assumptions'!$B$5)+(X504*'Methodology &amp; Assumptions'!$B$7), 2)</f>
        <v/>
      </c>
    </row>
    <row r="505" ht="19" customHeight="1">
      <c r="A505" s="35" t="n">
        <v>501</v>
      </c>
      <c r="B505" s="35" t="n">
        <v>501</v>
      </c>
      <c r="C505" s="36" t="inlineStr">
        <is>
          <t>1630400033</t>
        </is>
      </c>
      <c r="D505" s="36" t="inlineStr">
        <is>
          <t>Region XIII (Caraga)</t>
        </is>
      </c>
      <c r="E505" s="36" t="inlineStr">
        <is>
          <t>Agusan del Norte</t>
        </is>
      </c>
      <c r="F505" s="36" t="inlineStr">
        <is>
          <t>City of Butuan</t>
        </is>
      </c>
      <c r="G505" s="36" t="inlineStr">
        <is>
          <t>Baan Riverside Pob.</t>
        </is>
      </c>
      <c r="H505" s="37" t="n">
        <v>8.951551</v>
      </c>
      <c r="I505" s="37" t="n">
        <v>125.54654</v>
      </c>
      <c r="J505" s="8" t="inlineStr">
        <is>
          <t>U</t>
        </is>
      </c>
      <c r="K505" s="36" t="inlineStr">
        <is>
          <t>Class 1-3 / Urban</t>
        </is>
      </c>
      <c r="L505" s="18" t="n">
        <v>5478</v>
      </c>
      <c r="M505" s="20" t="n">
        <v>4.63</v>
      </c>
      <c r="N505" s="18">
        <f>ROUND(L505/M505, 0)</f>
        <v/>
      </c>
      <c r="O505" s="18">
        <f>ROUND(N505*'Methodology &amp; Assumptions'!$B$8, 0)</f>
        <v/>
      </c>
      <c r="P505" s="8" t="inlineStr">
        <is>
          <t>Band n50 (1.5 GHz, 60 MHz)</t>
        </is>
      </c>
      <c r="Q505" s="38">
        <f>ROUNDUP(O505/'Methodology &amp; Assumptions'!$B$9, 0)</f>
        <v/>
      </c>
      <c r="R505" s="39" t="n">
        <v>1</v>
      </c>
      <c r="S505" s="21" t="n">
        <v>0.87</v>
      </c>
      <c r="T505" s="21" t="n">
        <v>0.35</v>
      </c>
      <c r="U505" s="36" t="inlineStr">
        <is>
          <t>Tier 1A (Direct Coloc, &lt;1 km)</t>
        </is>
      </c>
      <c r="V505" s="20" t="n">
        <v>84.90000000000001</v>
      </c>
      <c r="W505" s="20" t="n">
        <v>100</v>
      </c>
      <c r="X505" s="20" t="n">
        <v>43</v>
      </c>
      <c r="Y505" s="40">
        <f>ROUND((V505*'Methodology &amp; Assumptions'!$B$6)+(W505*'Methodology &amp; Assumptions'!$B$5)+(X505*'Methodology &amp; Assumptions'!$B$7), 2)</f>
        <v/>
      </c>
    </row>
    <row r="506" ht="19" customHeight="1">
      <c r="A506" s="41" t="n">
        <v>502</v>
      </c>
      <c r="B506" s="41" t="n">
        <v>502</v>
      </c>
      <c r="C506" s="42" t="inlineStr">
        <is>
          <t>0402103060</t>
        </is>
      </c>
      <c r="D506" s="42" t="inlineStr">
        <is>
          <t>Region IV-A (CALABARZON)</t>
        </is>
      </c>
      <c r="E506" s="42" t="inlineStr">
        <is>
          <t>Cavite</t>
        </is>
      </c>
      <c r="F506" s="42" t="inlineStr">
        <is>
          <t>City of Bacoor</t>
        </is>
      </c>
      <c r="G506" s="42" t="inlineStr">
        <is>
          <t>Real II</t>
        </is>
      </c>
      <c r="H506" s="43" t="n">
        <v>14.436707</v>
      </c>
      <c r="I506" s="43" t="n">
        <v>120.961346</v>
      </c>
      <c r="J506" s="44" t="inlineStr">
        <is>
          <t>R</t>
        </is>
      </c>
      <c r="K506" s="42" t="inlineStr">
        <is>
          <t>Class 1-3 / Urban</t>
        </is>
      </c>
      <c r="L506" s="23" t="n">
        <v>4699</v>
      </c>
      <c r="M506" s="24" t="n">
        <v>4.49</v>
      </c>
      <c r="N506" s="23">
        <f>ROUND(L506/M506, 0)</f>
        <v/>
      </c>
      <c r="O506" s="23">
        <f>ROUND(N506*'Methodology &amp; Assumptions'!$B$8, 0)</f>
        <v/>
      </c>
      <c r="P506" s="44" t="inlineStr">
        <is>
          <t>Band n50 (1.5 GHz, 60 MHz)</t>
        </is>
      </c>
      <c r="Q506" s="38">
        <f>ROUNDUP(O506/'Methodology &amp; Assumptions'!$B$9, 0)</f>
        <v/>
      </c>
      <c r="R506" s="39" t="n">
        <v>1</v>
      </c>
      <c r="S506" s="25" t="n">
        <v>1.43</v>
      </c>
      <c r="T506" s="25" t="n">
        <v>1.32</v>
      </c>
      <c r="U506" s="42" t="inlineStr">
        <is>
          <t>Tier 1B (Micro Drop, 1-3 km)</t>
        </is>
      </c>
      <c r="V506" s="24" t="n">
        <v>72</v>
      </c>
      <c r="W506" s="24" t="n">
        <v>100</v>
      </c>
      <c r="X506" s="24" t="n">
        <v>58</v>
      </c>
      <c r="Y506" s="45">
        <f>ROUND((V506*'Methodology &amp; Assumptions'!$B$6)+(W506*'Methodology &amp; Assumptions'!$B$5)+(X506*'Methodology &amp; Assumptions'!$B$7), 2)</f>
        <v/>
      </c>
    </row>
    <row r="507" ht="19" customHeight="1">
      <c r="A507" s="35" t="n">
        <v>503</v>
      </c>
      <c r="B507" s="35" t="n">
        <v>503</v>
      </c>
      <c r="C507" s="36" t="inlineStr">
        <is>
          <t>0806407066</t>
        </is>
      </c>
      <c r="D507" s="36" t="inlineStr">
        <is>
          <t>Region VIII (Eastern Visayas)</t>
        </is>
      </c>
      <c r="E507" s="36" t="inlineStr">
        <is>
          <t>Southern Leyte</t>
        </is>
      </c>
      <c r="F507" s="36" t="inlineStr">
        <is>
          <t>City of Maasin</t>
        </is>
      </c>
      <c r="G507" s="36" t="inlineStr">
        <is>
          <t>Combado</t>
        </is>
      </c>
      <c r="H507" s="37" t="n">
        <v>10.132905</v>
      </c>
      <c r="I507" s="37" t="n">
        <v>124.832842</v>
      </c>
      <c r="J507" s="8" t="inlineStr">
        <is>
          <t>U</t>
        </is>
      </c>
      <c r="K507" s="36" t="inlineStr">
        <is>
          <t>Class 1-3 / Urban</t>
        </is>
      </c>
      <c r="L507" s="18" t="n">
        <v>5854</v>
      </c>
      <c r="M507" s="20" t="n">
        <v>4.53</v>
      </c>
      <c r="N507" s="18">
        <f>ROUND(L507/M507, 0)</f>
        <v/>
      </c>
      <c r="O507" s="18">
        <f>ROUND(N507*'Methodology &amp; Assumptions'!$B$8, 0)</f>
        <v/>
      </c>
      <c r="P507" s="8" t="inlineStr">
        <is>
          <t>Band n50 (1.5 GHz, 60 MHz)</t>
        </is>
      </c>
      <c r="Q507" s="38">
        <f>ROUNDUP(O507/'Methodology &amp; Assumptions'!$B$9, 0)</f>
        <v/>
      </c>
      <c r="R507" s="39" t="n">
        <v>1</v>
      </c>
      <c r="S507" s="21" t="n">
        <v>0.39</v>
      </c>
      <c r="T507" s="21" t="n">
        <v>0.24</v>
      </c>
      <c r="U507" s="36" t="inlineStr">
        <is>
          <t>Tier 1A (Direct Coloc, &lt;1 km)</t>
        </is>
      </c>
      <c r="V507" s="20" t="n">
        <v>97.7</v>
      </c>
      <c r="W507" s="20" t="n">
        <v>100</v>
      </c>
      <c r="X507" s="20" t="n">
        <v>28</v>
      </c>
      <c r="Y507" s="40">
        <f>ROUND((V507*'Methodology &amp; Assumptions'!$B$6)+(W507*'Methodology &amp; Assumptions'!$B$5)+(X507*'Methodology &amp; Assumptions'!$B$7), 2)</f>
        <v/>
      </c>
    </row>
    <row r="508" ht="19" customHeight="1">
      <c r="A508" s="41" t="n">
        <v>504</v>
      </c>
      <c r="B508" s="41" t="n">
        <v>504</v>
      </c>
      <c r="C508" s="42" t="inlineStr">
        <is>
          <t>1705201029</t>
        </is>
      </c>
      <c r="D508" s="42" t="inlineStr">
        <is>
          <t>MIMAROPA Region</t>
        </is>
      </c>
      <c r="E508" s="42" t="inlineStr">
        <is>
          <t>Oriental Mindoro</t>
        </is>
      </c>
      <c r="F508" s="42" t="inlineStr">
        <is>
          <t>Baco</t>
        </is>
      </c>
      <c r="G508" s="42" t="inlineStr">
        <is>
          <t>Poblacion</t>
        </is>
      </c>
      <c r="H508" s="43" t="n">
        <v>13.359728</v>
      </c>
      <c r="I508" s="43" t="n">
        <v>121.096317</v>
      </c>
      <c r="J508" s="44" t="inlineStr">
        <is>
          <t>R</t>
        </is>
      </c>
      <c r="K508" s="42" t="inlineStr">
        <is>
          <t>Class 1-3 / Urban</t>
        </is>
      </c>
      <c r="L508" s="23" t="n">
        <v>2860</v>
      </c>
      <c r="M508" s="24" t="n">
        <v>4.41</v>
      </c>
      <c r="N508" s="23">
        <f>ROUND(L508/M508, 0)</f>
        <v/>
      </c>
      <c r="O508" s="23">
        <f>ROUND(N508*'Methodology &amp; Assumptions'!$B$8, 0)</f>
        <v/>
      </c>
      <c r="P508" s="44" t="inlineStr">
        <is>
          <t>Band n50 (1.5 GHz, 60 MHz)</t>
        </is>
      </c>
      <c r="Q508" s="38">
        <f>ROUNDUP(O508/'Methodology &amp; Assumptions'!$B$9, 0)</f>
        <v/>
      </c>
      <c r="R508" s="39" t="n">
        <v>1</v>
      </c>
      <c r="S508" s="25" t="n">
        <v>0.05</v>
      </c>
      <c r="T508" s="25" t="n">
        <v>0.23</v>
      </c>
      <c r="U508" s="42" t="inlineStr">
        <is>
          <t>Tier 1A (Direct Coloc, &lt;1 km)</t>
        </is>
      </c>
      <c r="V508" s="24" t="n">
        <v>100</v>
      </c>
      <c r="W508" s="24" t="n">
        <v>72</v>
      </c>
      <c r="X508" s="24" t="n">
        <v>58</v>
      </c>
      <c r="Y508" s="45">
        <f>ROUND((V508*'Methodology &amp; Assumptions'!$B$6)+(W508*'Methodology &amp; Assumptions'!$B$5)+(X508*'Methodology &amp; Assumptions'!$B$7), 2)</f>
        <v/>
      </c>
    </row>
    <row r="509" ht="19" customHeight="1">
      <c r="A509" s="35" t="n">
        <v>505</v>
      </c>
      <c r="B509" s="35" t="n">
        <v>505</v>
      </c>
      <c r="C509" s="36" t="inlineStr">
        <is>
          <t>0405649025</t>
        </is>
      </c>
      <c r="D509" s="36" t="inlineStr">
        <is>
          <t>Region IV-A (CALABARZON)</t>
        </is>
      </c>
      <c r="E509" s="36" t="inlineStr">
        <is>
          <t>Quezon</t>
        </is>
      </c>
      <c r="F509" s="36" t="inlineStr">
        <is>
          <t>Unisan</t>
        </is>
      </c>
      <c r="G509" s="36" t="inlineStr">
        <is>
          <t>F. De Jesus</t>
        </is>
      </c>
      <c r="H509" s="37" t="n">
        <v>13.838</v>
      </c>
      <c r="I509" s="37" t="n">
        <v>121.977864</v>
      </c>
      <c r="J509" s="8" t="inlineStr">
        <is>
          <t>R</t>
        </is>
      </c>
      <c r="K509" s="36" t="inlineStr">
        <is>
          <t>3rd</t>
        </is>
      </c>
      <c r="L509" s="18" t="n">
        <v>2566</v>
      </c>
      <c r="M509" s="20" t="n">
        <v>4.27</v>
      </c>
      <c r="N509" s="18">
        <f>ROUND(L509/M509, 0)</f>
        <v/>
      </c>
      <c r="O509" s="18">
        <f>ROUND(N509*'Methodology &amp; Assumptions'!$B$8, 0)</f>
        <v/>
      </c>
      <c r="P509" s="8" t="inlineStr">
        <is>
          <t>Band n50 (1.5 GHz, 60 MHz)</t>
        </is>
      </c>
      <c r="Q509" s="38">
        <f>ROUNDUP(O509/'Methodology &amp; Assumptions'!$B$9, 0)</f>
        <v/>
      </c>
      <c r="R509" s="39" t="n">
        <v>1</v>
      </c>
      <c r="S509" s="21" t="n">
        <v>0.19</v>
      </c>
      <c r="T509" s="21" t="n">
        <v>0.14</v>
      </c>
      <c r="U509" s="36" t="inlineStr">
        <is>
          <t>Tier 1A (Direct Coloc, &lt;1 km)</t>
        </is>
      </c>
      <c r="V509" s="20" t="n">
        <v>100</v>
      </c>
      <c r="W509" s="20" t="n">
        <v>72</v>
      </c>
      <c r="X509" s="20" t="n">
        <v>58</v>
      </c>
      <c r="Y509" s="40">
        <f>ROUND((V509*'Methodology &amp; Assumptions'!$B$6)+(W509*'Methodology &amp; Assumptions'!$B$5)+(X509*'Methodology &amp; Assumptions'!$B$7), 2)</f>
        <v/>
      </c>
    </row>
    <row r="510" ht="19" customHeight="1">
      <c r="A510" s="41" t="n">
        <v>506</v>
      </c>
      <c r="B510" s="41" t="n">
        <v>506</v>
      </c>
      <c r="C510" s="42" t="inlineStr">
        <is>
          <t>0203119006</t>
        </is>
      </c>
      <c r="D510" s="42" t="inlineStr">
        <is>
          <t>Region II (Cagayan Valley)</t>
        </is>
      </c>
      <c r="E510" s="42" t="inlineStr">
        <is>
          <t>Isabela</t>
        </is>
      </c>
      <c r="F510" s="42" t="inlineStr">
        <is>
          <t>Mallig</t>
        </is>
      </c>
      <c r="G510" s="42" t="inlineStr">
        <is>
          <t>Maligaya</t>
        </is>
      </c>
      <c r="H510" s="43" t="n">
        <v>17.184515</v>
      </c>
      <c r="I510" s="43" t="n">
        <v>121.611706</v>
      </c>
      <c r="J510" s="44" t="inlineStr">
        <is>
          <t>R</t>
        </is>
      </c>
      <c r="K510" s="42" t="inlineStr">
        <is>
          <t>1st</t>
        </is>
      </c>
      <c r="L510" s="23" t="n">
        <v>2406</v>
      </c>
      <c r="M510" s="24" t="n">
        <v>4.01</v>
      </c>
      <c r="N510" s="23">
        <f>ROUND(L510/M510, 0)</f>
        <v/>
      </c>
      <c r="O510" s="23">
        <f>ROUND(N510*'Methodology &amp; Assumptions'!$B$8, 0)</f>
        <v/>
      </c>
      <c r="P510" s="44" t="inlineStr">
        <is>
          <t>Band n50 (1.5 GHz, 60 MHz)</t>
        </is>
      </c>
      <c r="Q510" s="38">
        <f>ROUNDUP(O510/'Methodology &amp; Assumptions'!$B$9, 0)</f>
        <v/>
      </c>
      <c r="R510" s="39" t="n">
        <v>1</v>
      </c>
      <c r="S510" s="25" t="n">
        <v>0.28</v>
      </c>
      <c r="T510" s="25" t="n">
        <v>0.26</v>
      </c>
      <c r="U510" s="42" t="inlineStr">
        <is>
          <t>Tier 1A (Direct Coloc, &lt;1 km)</t>
        </is>
      </c>
      <c r="V510" s="24" t="n">
        <v>100</v>
      </c>
      <c r="W510" s="24" t="n">
        <v>72</v>
      </c>
      <c r="X510" s="24" t="n">
        <v>58</v>
      </c>
      <c r="Y510" s="45">
        <f>ROUND((V510*'Methodology &amp; Assumptions'!$B$6)+(W510*'Methodology &amp; Assumptions'!$B$5)+(X510*'Methodology &amp; Assumptions'!$B$7), 2)</f>
        <v/>
      </c>
    </row>
    <row r="511" ht="19" customHeight="1">
      <c r="A511" s="35" t="n">
        <v>507</v>
      </c>
      <c r="B511" s="35" t="n">
        <v>507</v>
      </c>
      <c r="C511" s="36" t="inlineStr">
        <is>
          <t>0702239011</t>
        </is>
      </c>
      <c r="D511" s="36" t="inlineStr">
        <is>
          <t>Region VII (Central Visayas)</t>
        </is>
      </c>
      <c r="E511" s="36" t="inlineStr">
        <is>
          <t>Cebu</t>
        </is>
      </c>
      <c r="F511" s="36" t="inlineStr">
        <is>
          <t>Ronda</t>
        </is>
      </c>
      <c r="G511" s="36" t="inlineStr">
        <is>
          <t>Poblacion</t>
        </is>
      </c>
      <c r="H511" s="37" t="n">
        <v>10.00019</v>
      </c>
      <c r="I511" s="37" t="n">
        <v>123.407771</v>
      </c>
      <c r="J511" s="8" t="inlineStr">
        <is>
          <t>R</t>
        </is>
      </c>
      <c r="K511" s="36" t="inlineStr">
        <is>
          <t>4th</t>
        </is>
      </c>
      <c r="L511" s="18" t="n">
        <v>2059</v>
      </c>
      <c r="M511" s="20" t="n">
        <v>4.22</v>
      </c>
      <c r="N511" s="18">
        <f>ROUND(L511/M511, 0)</f>
        <v/>
      </c>
      <c r="O511" s="18">
        <f>ROUND(N511*'Methodology &amp; Assumptions'!$B$8, 0)</f>
        <v/>
      </c>
      <c r="P511" s="8" t="inlineStr">
        <is>
          <t>Band n50 (1.5 GHz, 60 MHz)</t>
        </is>
      </c>
      <c r="Q511" s="38">
        <f>ROUNDUP(O511/'Methodology &amp; Assumptions'!$B$9, 0)</f>
        <v/>
      </c>
      <c r="R511" s="39" t="n">
        <v>1</v>
      </c>
      <c r="S511" s="21" t="n">
        <v>0.03</v>
      </c>
      <c r="T511" s="21" t="n">
        <v>0.36</v>
      </c>
      <c r="U511" s="36" t="inlineStr">
        <is>
          <t>Tier 1A (Direct Coloc, &lt;1 km)</t>
        </is>
      </c>
      <c r="V511" s="20" t="n">
        <v>100</v>
      </c>
      <c r="W511" s="20" t="n">
        <v>62.9</v>
      </c>
      <c r="X511" s="20" t="n">
        <v>68.5</v>
      </c>
      <c r="Y511" s="40">
        <f>ROUND((V511*'Methodology &amp; Assumptions'!$B$6)+(W511*'Methodology &amp; Assumptions'!$B$5)+(X511*'Methodology &amp; Assumptions'!$B$7), 2)</f>
        <v/>
      </c>
    </row>
    <row r="512" ht="19" customHeight="1">
      <c r="A512" s="41" t="n">
        <v>508</v>
      </c>
      <c r="B512" s="41" t="n">
        <v>508</v>
      </c>
      <c r="C512" s="42" t="inlineStr">
        <is>
          <t>0301421050</t>
        </is>
      </c>
      <c r="D512" s="42" t="inlineStr">
        <is>
          <t>Region III (Central Luzon)</t>
        </is>
      </c>
      <c r="E512" s="42" t="inlineStr">
        <is>
          <t>Bulacan</t>
        </is>
      </c>
      <c r="F512" s="42" t="inlineStr">
        <is>
          <t>San Miguel</t>
        </is>
      </c>
      <c r="G512" s="42" t="inlineStr">
        <is>
          <t>Santa Rita Matanda</t>
        </is>
      </c>
      <c r="H512" s="43" t="n">
        <v>15.13001</v>
      </c>
      <c r="I512" s="43" t="n">
        <v>120.958041</v>
      </c>
      <c r="J512" s="44" t="inlineStr">
        <is>
          <t>R</t>
        </is>
      </c>
      <c r="K512" s="42" t="inlineStr">
        <is>
          <t>Class 1-3 / Urban</t>
        </is>
      </c>
      <c r="L512" s="23" t="n">
        <v>2983</v>
      </c>
      <c r="M512" s="24" t="n">
        <v>4.1</v>
      </c>
      <c r="N512" s="23">
        <f>ROUND(L512/M512, 0)</f>
        <v/>
      </c>
      <c r="O512" s="23">
        <f>ROUND(N512*'Methodology &amp; Assumptions'!$B$8, 0)</f>
        <v/>
      </c>
      <c r="P512" s="44" t="inlineStr">
        <is>
          <t>Band n50 (1.5 GHz, 60 MHz)</t>
        </is>
      </c>
      <c r="Q512" s="38">
        <f>ROUNDUP(O512/'Methodology &amp; Assumptions'!$B$9, 0)</f>
        <v/>
      </c>
      <c r="R512" s="39" t="n">
        <v>1</v>
      </c>
      <c r="S512" s="25" t="n">
        <v>0.68</v>
      </c>
      <c r="T512" s="25" t="n">
        <v>0.01</v>
      </c>
      <c r="U512" s="42" t="inlineStr">
        <is>
          <t>Tier 1A (Direct Coloc, &lt;1 km)</t>
        </is>
      </c>
      <c r="V512" s="24" t="n">
        <v>89.8</v>
      </c>
      <c r="W512" s="24" t="n">
        <v>82.09999999999999</v>
      </c>
      <c r="X512" s="24" t="n">
        <v>58</v>
      </c>
      <c r="Y512" s="45">
        <f>ROUND((V512*'Methodology &amp; Assumptions'!$B$6)+(W512*'Methodology &amp; Assumptions'!$B$5)+(X512*'Methodology &amp; Assumptions'!$B$7), 2)</f>
        <v/>
      </c>
    </row>
    <row r="513" ht="19" customHeight="1">
      <c r="A513" s="35" t="n">
        <v>509</v>
      </c>
      <c r="B513" s="35" t="n">
        <v>509</v>
      </c>
      <c r="C513" s="36" t="inlineStr">
        <is>
          <t>1004320008</t>
        </is>
      </c>
      <c r="D513" s="36" t="inlineStr">
        <is>
          <t>Region X (Northern Mindanao)</t>
        </is>
      </c>
      <c r="E513" s="36" t="inlineStr">
        <is>
          <t>Misamis Oriental</t>
        </is>
      </c>
      <c r="F513" s="36" t="inlineStr">
        <is>
          <t>Naawan</t>
        </is>
      </c>
      <c r="G513" s="36" t="inlineStr">
        <is>
          <t>Poblacion</t>
        </is>
      </c>
      <c r="H513" s="37" t="n">
        <v>8.403238</v>
      </c>
      <c r="I513" s="37" t="n">
        <v>124.289158</v>
      </c>
      <c r="J513" s="8" t="inlineStr">
        <is>
          <t>U</t>
        </is>
      </c>
      <c r="K513" s="36" t="inlineStr">
        <is>
          <t>3rd</t>
        </is>
      </c>
      <c r="L513" s="18" t="n">
        <v>5714</v>
      </c>
      <c r="M513" s="20" t="n">
        <v>4.42</v>
      </c>
      <c r="N513" s="18">
        <f>ROUND(L513/M513, 0)</f>
        <v/>
      </c>
      <c r="O513" s="18">
        <f>ROUND(N513*'Methodology &amp; Assumptions'!$B$8, 0)</f>
        <v/>
      </c>
      <c r="P513" s="8" t="inlineStr">
        <is>
          <t>Band n50 (1.5 GHz, 60 MHz)</t>
        </is>
      </c>
      <c r="Q513" s="38">
        <f>ROUNDUP(O513/'Methodology &amp; Assumptions'!$B$9, 0)</f>
        <v/>
      </c>
      <c r="R513" s="39" t="n">
        <v>1</v>
      </c>
      <c r="S513" s="21" t="n">
        <v>0.4</v>
      </c>
      <c r="T513" s="21" t="n">
        <v>0.48</v>
      </c>
      <c r="U513" s="36" t="inlineStr">
        <is>
          <t>Tier 1A (Direct Coloc, &lt;1 km)</t>
        </is>
      </c>
      <c r="V513" s="20" t="n">
        <v>97.59999999999999</v>
      </c>
      <c r="W513" s="20" t="n">
        <v>100</v>
      </c>
      <c r="X513" s="20" t="n">
        <v>28</v>
      </c>
      <c r="Y513" s="40">
        <f>ROUND((V513*'Methodology &amp; Assumptions'!$B$6)+(W513*'Methodology &amp; Assumptions'!$B$5)+(X513*'Methodology &amp; Assumptions'!$B$7), 2)</f>
        <v/>
      </c>
    </row>
    <row r="514" ht="19" customHeight="1">
      <c r="A514" s="41" t="n">
        <v>510</v>
      </c>
      <c r="B514" s="41" t="n">
        <v>510</v>
      </c>
      <c r="C514" s="42" t="inlineStr">
        <is>
          <t>0403408007</t>
        </is>
      </c>
      <c r="D514" s="42" t="inlineStr">
        <is>
          <t>Region IV-A (CALABARZON)</t>
        </is>
      </c>
      <c r="E514" s="42" t="inlineStr">
        <is>
          <t>Laguna</t>
        </is>
      </c>
      <c r="F514" s="42" t="inlineStr">
        <is>
          <t>Famy</t>
        </is>
      </c>
      <c r="G514" s="42" t="inlineStr">
        <is>
          <t>Bulihan</t>
        </is>
      </c>
      <c r="H514" s="43" t="n">
        <v>14.443961</v>
      </c>
      <c r="I514" s="43" t="n">
        <v>121.448213</v>
      </c>
      <c r="J514" s="44" t="inlineStr">
        <is>
          <t>R</t>
        </is>
      </c>
      <c r="K514" s="42" t="inlineStr">
        <is>
          <t>4th</t>
        </is>
      </c>
      <c r="L514" s="23" t="n">
        <v>2836</v>
      </c>
      <c r="M514" s="24" t="n">
        <v>4.03</v>
      </c>
      <c r="N514" s="23">
        <f>ROUND(L514/M514, 0)</f>
        <v/>
      </c>
      <c r="O514" s="23">
        <f>ROUND(N514*'Methodology &amp; Assumptions'!$B$8, 0)</f>
        <v/>
      </c>
      <c r="P514" s="44" t="inlineStr">
        <is>
          <t>Band n50 (1.5 GHz, 60 MHz)</t>
        </is>
      </c>
      <c r="Q514" s="38">
        <f>ROUNDUP(O514/'Methodology &amp; Assumptions'!$B$9, 0)</f>
        <v/>
      </c>
      <c r="R514" s="39" t="n">
        <v>1</v>
      </c>
      <c r="S514" s="25" t="n">
        <v>0.96</v>
      </c>
      <c r="T514" s="25" t="n">
        <v>0.78</v>
      </c>
      <c r="U514" s="42" t="inlineStr">
        <is>
          <t>Tier 1A (Direct Coloc, &lt;1 km)</t>
        </is>
      </c>
      <c r="V514" s="24" t="n">
        <v>82.59999999999999</v>
      </c>
      <c r="W514" s="24" t="n">
        <v>80.3</v>
      </c>
      <c r="X514" s="24" t="n">
        <v>68.5</v>
      </c>
      <c r="Y514" s="45">
        <f>ROUND((V514*'Methodology &amp; Assumptions'!$B$6)+(W514*'Methodology &amp; Assumptions'!$B$5)+(X514*'Methodology &amp; Assumptions'!$B$7), 2)</f>
        <v/>
      </c>
    </row>
    <row r="515" ht="19" customHeight="1">
      <c r="A515" s="35" t="n">
        <v>511</v>
      </c>
      <c r="B515" s="35" t="n">
        <v>511</v>
      </c>
      <c r="C515" s="36" t="inlineStr">
        <is>
          <t>0201505040</t>
        </is>
      </c>
      <c r="D515" s="36" t="inlineStr">
        <is>
          <t>Region II (Cagayan Valley)</t>
        </is>
      </c>
      <c r="E515" s="36" t="inlineStr">
        <is>
          <t>Cagayan</t>
        </is>
      </c>
      <c r="F515" s="36" t="inlineStr">
        <is>
          <t>Aparri</t>
        </is>
      </c>
      <c r="G515" s="36" t="inlineStr">
        <is>
          <t>Toran</t>
        </is>
      </c>
      <c r="H515" s="37" t="n">
        <v>18.355084</v>
      </c>
      <c r="I515" s="37" t="n">
        <v>121.642006</v>
      </c>
      <c r="J515" s="8" t="inlineStr">
        <is>
          <t>R</t>
        </is>
      </c>
      <c r="K515" s="36" t="inlineStr">
        <is>
          <t>Class 1-3 / Urban</t>
        </is>
      </c>
      <c r="L515" s="18" t="n">
        <v>3668</v>
      </c>
      <c r="M515" s="20" t="n">
        <v>4.38</v>
      </c>
      <c r="N515" s="18">
        <f>ROUND(L515/M515, 0)</f>
        <v/>
      </c>
      <c r="O515" s="18">
        <f>ROUND(N515*'Methodology &amp; Assumptions'!$B$8, 0)</f>
        <v/>
      </c>
      <c r="P515" s="8" t="inlineStr">
        <is>
          <t>Band n50 (1.5 GHz, 60 MHz)</t>
        </is>
      </c>
      <c r="Q515" s="38">
        <f>ROUNDUP(O515/'Methodology &amp; Assumptions'!$B$9, 0)</f>
        <v/>
      </c>
      <c r="R515" s="39" t="n">
        <v>1</v>
      </c>
      <c r="S515" s="21" t="n">
        <v>0.63</v>
      </c>
      <c r="T515" s="21" t="n">
        <v>10.7</v>
      </c>
      <c r="U515" s="36" t="inlineStr">
        <is>
          <t>Tier 1A (Direct Coloc, &lt;1 km)</t>
        </is>
      </c>
      <c r="V515" s="20" t="n">
        <v>81</v>
      </c>
      <c r="W515" s="20" t="n">
        <v>90.90000000000001</v>
      </c>
      <c r="X515" s="20" t="n">
        <v>58</v>
      </c>
      <c r="Y515" s="40">
        <f>ROUND((V515*'Methodology &amp; Assumptions'!$B$6)+(W515*'Methodology &amp; Assumptions'!$B$5)+(X515*'Methodology &amp; Assumptions'!$B$7), 2)</f>
        <v/>
      </c>
    </row>
    <row r="516" ht="19" customHeight="1">
      <c r="A516" s="41" t="n">
        <v>512</v>
      </c>
      <c r="B516" s="41" t="n">
        <v>512</v>
      </c>
      <c r="C516" s="42" t="inlineStr">
        <is>
          <t>0403429019</t>
        </is>
      </c>
      <c r="D516" s="42" t="inlineStr">
        <is>
          <t>Region IV-A (CALABARZON)</t>
        </is>
      </c>
      <c r="E516" s="42" t="inlineStr">
        <is>
          <t>Laguna</t>
        </is>
      </c>
      <c r="F516" s="42" t="inlineStr">
        <is>
          <t>Siniloan</t>
        </is>
      </c>
      <c r="G516" s="42" t="inlineStr">
        <is>
          <t>P. Burgos</t>
        </is>
      </c>
      <c r="H516" s="43" t="n">
        <v>14.423517</v>
      </c>
      <c r="I516" s="43" t="n">
        <v>121.444979</v>
      </c>
      <c r="J516" s="44" t="inlineStr">
        <is>
          <t>R</t>
        </is>
      </c>
      <c r="K516" s="42" t="inlineStr">
        <is>
          <t>Class 1-3 / Urban</t>
        </is>
      </c>
      <c r="L516" s="23" t="n">
        <v>4805</v>
      </c>
      <c r="M516" s="24" t="n">
        <v>4.2</v>
      </c>
      <c r="N516" s="23">
        <f>ROUND(L516/M516, 0)</f>
        <v/>
      </c>
      <c r="O516" s="23">
        <f>ROUND(N516*'Methodology &amp; Assumptions'!$B$8, 0)</f>
        <v/>
      </c>
      <c r="P516" s="44" t="inlineStr">
        <is>
          <t>Band n50 (1.5 GHz, 60 MHz)</t>
        </is>
      </c>
      <c r="Q516" s="38">
        <f>ROUNDUP(O516/'Methodology &amp; Assumptions'!$B$9, 0)</f>
        <v/>
      </c>
      <c r="R516" s="39" t="n">
        <v>1</v>
      </c>
      <c r="S516" s="25" t="n">
        <v>1.44</v>
      </c>
      <c r="T516" s="25" t="n">
        <v>1.4</v>
      </c>
      <c r="U516" s="42" t="inlineStr">
        <is>
          <t>Tier 1B (Micro Drop, 1-3 km)</t>
        </is>
      </c>
      <c r="V516" s="24" t="n">
        <v>71.90000000000001</v>
      </c>
      <c r="W516" s="24" t="n">
        <v>100</v>
      </c>
      <c r="X516" s="24" t="n">
        <v>58</v>
      </c>
      <c r="Y516" s="45">
        <f>ROUND((V516*'Methodology &amp; Assumptions'!$B$6)+(W516*'Methodology &amp; Assumptions'!$B$5)+(X516*'Methodology &amp; Assumptions'!$B$7), 2)</f>
        <v/>
      </c>
    </row>
    <row r="517" ht="19" customHeight="1">
      <c r="A517" s="35" t="n">
        <v>513</v>
      </c>
      <c r="B517" s="35" t="n">
        <v>513</v>
      </c>
      <c r="C517" s="36" t="inlineStr">
        <is>
          <t>0501726009</t>
        </is>
      </c>
      <c r="D517" s="36" t="inlineStr">
        <is>
          <t>Region V (Bicol Region)</t>
        </is>
      </c>
      <c r="E517" s="36" t="inlineStr">
        <is>
          <t>Camarines Sur</t>
        </is>
      </c>
      <c r="F517" s="36" t="inlineStr">
        <is>
          <t>Pamplona</t>
        </is>
      </c>
      <c r="G517" s="36" t="inlineStr">
        <is>
          <t>Poblacion</t>
        </is>
      </c>
      <c r="H517" s="37" t="n">
        <v>13.590437</v>
      </c>
      <c r="I517" s="37" t="n">
        <v>123.081617</v>
      </c>
      <c r="J517" s="8" t="inlineStr">
        <is>
          <t>U</t>
        </is>
      </c>
      <c r="K517" s="36" t="inlineStr">
        <is>
          <t>3rd</t>
        </is>
      </c>
      <c r="L517" s="18" t="n">
        <v>6242</v>
      </c>
      <c r="M517" s="20" t="n">
        <v>4.8</v>
      </c>
      <c r="N517" s="18">
        <f>ROUND(L517/M517, 0)</f>
        <v/>
      </c>
      <c r="O517" s="18">
        <f>ROUND(N517*'Methodology &amp; Assumptions'!$B$8, 0)</f>
        <v/>
      </c>
      <c r="P517" s="8" t="inlineStr">
        <is>
          <t>Band n50 (1.5 GHz, 60 MHz)</t>
        </is>
      </c>
      <c r="Q517" s="38">
        <f>ROUNDUP(O517/'Methodology &amp; Assumptions'!$B$9, 0)</f>
        <v/>
      </c>
      <c r="R517" s="39" t="n">
        <v>1</v>
      </c>
      <c r="S517" s="21" t="n">
        <v>0.4</v>
      </c>
      <c r="T517" s="21" t="n">
        <v>1.71</v>
      </c>
      <c r="U517" s="36" t="inlineStr">
        <is>
          <t>Tier 1A (Direct Coloc, &lt;1 km)</t>
        </is>
      </c>
      <c r="V517" s="20" t="n">
        <v>97.5</v>
      </c>
      <c r="W517" s="20" t="n">
        <v>100</v>
      </c>
      <c r="X517" s="20" t="n">
        <v>28</v>
      </c>
      <c r="Y517" s="40">
        <f>ROUND((V517*'Methodology &amp; Assumptions'!$B$6)+(W517*'Methodology &amp; Assumptions'!$B$5)+(X517*'Methodology &amp; Assumptions'!$B$7), 2)</f>
        <v/>
      </c>
    </row>
    <row r="518" ht="19" customHeight="1">
      <c r="A518" s="41" t="n">
        <v>514</v>
      </c>
      <c r="B518" s="41" t="n">
        <v>514</v>
      </c>
      <c r="C518" s="42" t="inlineStr">
        <is>
          <t>0702243020</t>
        </is>
      </c>
      <c r="D518" s="42" t="inlineStr">
        <is>
          <t>Region VII (Central Visayas)</t>
        </is>
      </c>
      <c r="E518" s="42" t="inlineStr">
        <is>
          <t>Cebu</t>
        </is>
      </c>
      <c r="F518" s="42" t="inlineStr">
        <is>
          <t>San Remigio</t>
        </is>
      </c>
      <c r="G518" s="42" t="inlineStr">
        <is>
          <t>Poblacion</t>
        </is>
      </c>
      <c r="H518" s="43" t="n">
        <v>11.079215</v>
      </c>
      <c r="I518" s="43" t="n">
        <v>123.940718</v>
      </c>
      <c r="J518" s="44" t="inlineStr">
        <is>
          <t>U</t>
        </is>
      </c>
      <c r="K518" s="42" t="inlineStr">
        <is>
          <t>Class 1-3 / Urban</t>
        </is>
      </c>
      <c r="L518" s="23" t="n">
        <v>5739</v>
      </c>
      <c r="M518" s="24" t="n">
        <v>4.42</v>
      </c>
      <c r="N518" s="23">
        <f>ROUND(L518/M518, 0)</f>
        <v/>
      </c>
      <c r="O518" s="23">
        <f>ROUND(N518*'Methodology &amp; Assumptions'!$B$8, 0)</f>
        <v/>
      </c>
      <c r="P518" s="44" t="inlineStr">
        <is>
          <t>Band n50 (1.5 GHz, 60 MHz)</t>
        </is>
      </c>
      <c r="Q518" s="38">
        <f>ROUNDUP(O518/'Methodology &amp; Assumptions'!$B$9, 0)</f>
        <v/>
      </c>
      <c r="R518" s="39" t="n">
        <v>1</v>
      </c>
      <c r="S518" s="25" t="n">
        <v>0.4</v>
      </c>
      <c r="T518" s="25" t="n">
        <v>0.2</v>
      </c>
      <c r="U518" s="42" t="inlineStr">
        <is>
          <t>Tier 1A (Direct Coloc, &lt;1 km)</t>
        </is>
      </c>
      <c r="V518" s="24" t="n">
        <v>97.5</v>
      </c>
      <c r="W518" s="24" t="n">
        <v>100</v>
      </c>
      <c r="X518" s="24" t="n">
        <v>28</v>
      </c>
      <c r="Y518" s="45">
        <f>ROUND((V518*'Methodology &amp; Assumptions'!$B$6)+(W518*'Methodology &amp; Assumptions'!$B$5)+(X518*'Methodology &amp; Assumptions'!$B$7), 2)</f>
        <v/>
      </c>
    </row>
    <row r="519" ht="19" customHeight="1">
      <c r="A519" s="35" t="n">
        <v>515</v>
      </c>
      <c r="B519" s="35" t="n">
        <v>515</v>
      </c>
      <c r="C519" s="36" t="inlineStr">
        <is>
          <t>0402123025</t>
        </is>
      </c>
      <c r="D519" s="36" t="inlineStr">
        <is>
          <t>Region IV-A (CALABARZON)</t>
        </is>
      </c>
      <c r="E519" s="36" t="inlineStr">
        <is>
          <t>Cavite</t>
        </is>
      </c>
      <c r="F519" s="36" t="inlineStr">
        <is>
          <t>Gen. Mariano Alvarez</t>
        </is>
      </c>
      <c r="G519" s="36" t="inlineStr">
        <is>
          <t>San Jose</t>
        </is>
      </c>
      <c r="H519" s="37" t="n">
        <v>14.331977</v>
      </c>
      <c r="I519" s="37" t="n">
        <v>121.036527</v>
      </c>
      <c r="J519" s="8" t="inlineStr">
        <is>
          <t>R</t>
        </is>
      </c>
      <c r="K519" s="36" t="inlineStr">
        <is>
          <t>Class 1-3 / Urban</t>
        </is>
      </c>
      <c r="L519" s="18" t="n">
        <v>4330</v>
      </c>
      <c r="M519" s="20" t="n">
        <v>4.49</v>
      </c>
      <c r="N519" s="18">
        <f>ROUND(L519/M519, 0)</f>
        <v/>
      </c>
      <c r="O519" s="18">
        <f>ROUND(N519*'Methodology &amp; Assumptions'!$B$8, 0)</f>
        <v/>
      </c>
      <c r="P519" s="8" t="inlineStr">
        <is>
          <t>Band n50 (1.5 GHz, 60 MHz)</t>
        </is>
      </c>
      <c r="Q519" s="38">
        <f>ROUNDUP(O519/'Methodology &amp; Assumptions'!$B$9, 0)</f>
        <v/>
      </c>
      <c r="R519" s="39" t="n">
        <v>1</v>
      </c>
      <c r="S519" s="21" t="n">
        <v>1.44</v>
      </c>
      <c r="T519" s="21" t="n">
        <v>1.46</v>
      </c>
      <c r="U519" s="36" t="inlineStr">
        <is>
          <t>Tier 1B (Micro Drop, 1-3 km)</t>
        </is>
      </c>
      <c r="V519" s="20" t="n">
        <v>71.8</v>
      </c>
      <c r="W519" s="20" t="n">
        <v>100</v>
      </c>
      <c r="X519" s="20" t="n">
        <v>58</v>
      </c>
      <c r="Y519" s="40">
        <f>ROUND((V519*'Methodology &amp; Assumptions'!$B$6)+(W519*'Methodology &amp; Assumptions'!$B$5)+(X519*'Methodology &amp; Assumptions'!$B$7), 2)</f>
        <v/>
      </c>
    </row>
    <row r="520" ht="19" customHeight="1">
      <c r="A520" s="41" t="n">
        <v>516</v>
      </c>
      <c r="B520" s="41" t="n">
        <v>516</v>
      </c>
      <c r="C520" s="42" t="inlineStr">
        <is>
          <t>0301421059</t>
        </is>
      </c>
      <c r="D520" s="42" t="inlineStr">
        <is>
          <t>Region III (Central Luzon)</t>
        </is>
      </c>
      <c r="E520" s="42" t="inlineStr">
        <is>
          <t>Bulacan</t>
        </is>
      </c>
      <c r="F520" s="42" t="inlineStr">
        <is>
          <t>San Miguel</t>
        </is>
      </c>
      <c r="G520" s="42" t="inlineStr">
        <is>
          <t>Tigpalas</t>
        </is>
      </c>
      <c r="H520" s="43" t="n">
        <v>15.151237</v>
      </c>
      <c r="I520" s="43" t="n">
        <v>120.977402</v>
      </c>
      <c r="J520" s="44" t="inlineStr">
        <is>
          <t>U</t>
        </is>
      </c>
      <c r="K520" s="42" t="inlineStr">
        <is>
          <t>Class 1-3 / Urban</t>
        </is>
      </c>
      <c r="L520" s="23" t="n">
        <v>4397</v>
      </c>
      <c r="M520" s="24" t="n">
        <v>4.1</v>
      </c>
      <c r="N520" s="23">
        <f>ROUND(L520/M520, 0)</f>
        <v/>
      </c>
      <c r="O520" s="23">
        <f>ROUND(N520*'Methodology &amp; Assumptions'!$B$8, 0)</f>
        <v/>
      </c>
      <c r="P520" s="44" t="inlineStr">
        <is>
          <t>Band n50 (1.5 GHz, 60 MHz)</t>
        </is>
      </c>
      <c r="Q520" s="38">
        <f>ROUNDUP(O520/'Methodology &amp; Assumptions'!$B$9, 0)</f>
        <v/>
      </c>
      <c r="R520" s="39" t="n">
        <v>1</v>
      </c>
      <c r="S520" s="25" t="n">
        <v>0.4</v>
      </c>
      <c r="T520" s="25" t="n">
        <v>0.06</v>
      </c>
      <c r="U520" s="42" t="inlineStr">
        <is>
          <t>Tier 1A (Direct Coloc, &lt;1 km)</t>
        </is>
      </c>
      <c r="V520" s="24" t="n">
        <v>97.5</v>
      </c>
      <c r="W520" s="24" t="n">
        <v>100</v>
      </c>
      <c r="X520" s="24" t="n">
        <v>28</v>
      </c>
      <c r="Y520" s="45">
        <f>ROUND((V520*'Methodology &amp; Assumptions'!$B$6)+(W520*'Methodology &amp; Assumptions'!$B$5)+(X520*'Methodology &amp; Assumptions'!$B$7), 2)</f>
        <v/>
      </c>
    </row>
    <row r="521" ht="19" customHeight="1">
      <c r="A521" s="35" t="n">
        <v>517</v>
      </c>
      <c r="B521" s="35" t="n">
        <v>517</v>
      </c>
      <c r="C521" s="36" t="inlineStr">
        <is>
          <t>0402113025</t>
        </is>
      </c>
      <c r="D521" s="36" t="inlineStr">
        <is>
          <t>Region IV-A (CALABARZON)</t>
        </is>
      </c>
      <c r="E521" s="36" t="inlineStr">
        <is>
          <t>Cavite</t>
        </is>
      </c>
      <c r="F521" s="36" t="inlineStr">
        <is>
          <t>Maragondon</t>
        </is>
      </c>
      <c r="G521" s="36" t="inlineStr">
        <is>
          <t>Pinagsanhan I B</t>
        </is>
      </c>
      <c r="H521" s="37" t="n">
        <v>14.27092</v>
      </c>
      <c r="I521" s="37" t="n">
        <v>120.728155</v>
      </c>
      <c r="J521" s="8" t="inlineStr">
        <is>
          <t>R</t>
        </is>
      </c>
      <c r="K521" s="36" t="inlineStr">
        <is>
          <t>Class 1-3 / Urban</t>
        </is>
      </c>
      <c r="L521" s="18" t="n">
        <v>3857</v>
      </c>
      <c r="M521" s="20" t="n">
        <v>4.49</v>
      </c>
      <c r="N521" s="18">
        <f>ROUND(L521/M521, 0)</f>
        <v/>
      </c>
      <c r="O521" s="18">
        <f>ROUND(N521*'Methodology &amp; Assumptions'!$B$8, 0)</f>
        <v/>
      </c>
      <c r="P521" s="8" t="inlineStr">
        <is>
          <t>Band n50 (1.5 GHz, 60 MHz)</t>
        </is>
      </c>
      <c r="Q521" s="38">
        <f>ROUNDUP(O521/'Methodology &amp; Assumptions'!$B$9, 0)</f>
        <v/>
      </c>
      <c r="R521" s="39" t="n">
        <v>1</v>
      </c>
      <c r="S521" s="21" t="n">
        <v>1.12</v>
      </c>
      <c r="T521" s="21" t="n">
        <v>1</v>
      </c>
      <c r="U521" s="36" t="inlineStr">
        <is>
          <t>Tier 1B (Micro Drop, 1-3 km)</t>
        </is>
      </c>
      <c r="V521" s="20" t="n">
        <v>78.90000000000001</v>
      </c>
      <c r="W521" s="20" t="n">
        <v>92.8</v>
      </c>
      <c r="X521" s="20" t="n">
        <v>58</v>
      </c>
      <c r="Y521" s="40">
        <f>ROUND((V521*'Methodology &amp; Assumptions'!$B$6)+(W521*'Methodology &amp; Assumptions'!$B$5)+(X521*'Methodology &amp; Assumptions'!$B$7), 2)</f>
        <v/>
      </c>
    </row>
    <row r="522" ht="19" customHeight="1">
      <c r="A522" s="41" t="n">
        <v>518</v>
      </c>
      <c r="B522" s="41" t="n">
        <v>518</v>
      </c>
      <c r="C522" s="42" t="inlineStr">
        <is>
          <t>1206511013</t>
        </is>
      </c>
      <c r="D522" s="42" t="inlineStr">
        <is>
          <t>Region XII (SOCCSKSARGEN)</t>
        </is>
      </c>
      <c r="E522" s="42" t="inlineStr">
        <is>
          <t>Sultan Kudarat</t>
        </is>
      </c>
      <c r="F522" s="42" t="inlineStr">
        <is>
          <t>City of Tacurong</t>
        </is>
      </c>
      <c r="G522" s="42" t="inlineStr">
        <is>
          <t>Poblacion</t>
        </is>
      </c>
      <c r="H522" s="43" t="n">
        <v>6.686389</v>
      </c>
      <c r="I522" s="43" t="n">
        <v>124.680833</v>
      </c>
      <c r="J522" s="44" t="inlineStr">
        <is>
          <t>U</t>
        </is>
      </c>
      <c r="K522" s="42" t="inlineStr">
        <is>
          <t>Class 1-3 / Urban</t>
        </is>
      </c>
      <c r="L522" s="23" t="n">
        <v>15696</v>
      </c>
      <c r="M522" s="24" t="n">
        <v>4.1</v>
      </c>
      <c r="N522" s="23">
        <f>ROUND(L522/M522, 0)</f>
        <v/>
      </c>
      <c r="O522" s="23">
        <f>ROUND(N522*'Methodology &amp; Assumptions'!$B$8, 0)</f>
        <v/>
      </c>
      <c r="P522" s="44" t="inlineStr">
        <is>
          <t>Band n50 (1.5 GHz, 60 MHz)</t>
        </is>
      </c>
      <c r="Q522" s="38">
        <f>ROUNDUP(O522/'Methodology &amp; Assumptions'!$B$9, 0)</f>
        <v/>
      </c>
      <c r="R522" s="39" t="n">
        <v>1</v>
      </c>
      <c r="S522" s="25" t="n">
        <v>0.88</v>
      </c>
      <c r="T522" s="25" t="n">
        <v>0.3</v>
      </c>
      <c r="U522" s="42" t="inlineStr">
        <is>
          <t>Tier 1A (Direct Coloc, &lt;1 km)</t>
        </is>
      </c>
      <c r="V522" s="24" t="n">
        <v>84.5</v>
      </c>
      <c r="W522" s="24" t="n">
        <v>100</v>
      </c>
      <c r="X522" s="24" t="n">
        <v>43</v>
      </c>
      <c r="Y522" s="45">
        <f>ROUND((V522*'Methodology &amp; Assumptions'!$B$6)+(W522*'Methodology &amp; Assumptions'!$B$5)+(X522*'Methodology &amp; Assumptions'!$B$7), 2)</f>
        <v/>
      </c>
    </row>
    <row r="523" ht="19" customHeight="1">
      <c r="A523" s="35" t="n">
        <v>519</v>
      </c>
      <c r="B523" s="35" t="n">
        <v>519</v>
      </c>
      <c r="C523" s="36" t="inlineStr">
        <is>
          <t>0401020014</t>
        </is>
      </c>
      <c r="D523" s="36" t="inlineStr">
        <is>
          <t>Region IV-A (CALABARZON)</t>
        </is>
      </c>
      <c r="E523" s="36" t="inlineStr">
        <is>
          <t>Batangas</t>
        </is>
      </c>
      <c r="F523" s="36" t="inlineStr">
        <is>
          <t>Padre Garcia</t>
        </is>
      </c>
      <c r="G523" s="36" t="inlineStr">
        <is>
          <t>Bawi</t>
        </is>
      </c>
      <c r="H523" s="37" t="n">
        <v>13.886954</v>
      </c>
      <c r="I523" s="37" t="n">
        <v>121.232674</v>
      </c>
      <c r="J523" s="8" t="inlineStr">
        <is>
          <t>R</t>
        </is>
      </c>
      <c r="K523" s="36" t="inlineStr">
        <is>
          <t>Class 1-3 / Urban</t>
        </is>
      </c>
      <c r="L523" s="18" t="n">
        <v>3925</v>
      </c>
      <c r="M523" s="20" t="n">
        <v>4.62</v>
      </c>
      <c r="N523" s="18">
        <f>ROUND(L523/M523, 0)</f>
        <v/>
      </c>
      <c r="O523" s="18">
        <f>ROUND(N523*'Methodology &amp; Assumptions'!$B$8, 0)</f>
        <v/>
      </c>
      <c r="P523" s="8" t="inlineStr">
        <is>
          <t>Band n50 (1.5 GHz, 60 MHz)</t>
        </is>
      </c>
      <c r="Q523" s="38">
        <f>ROUNDUP(O523/'Methodology &amp; Assumptions'!$B$9, 0)</f>
        <v/>
      </c>
      <c r="R523" s="39" t="n">
        <v>1</v>
      </c>
      <c r="S523" s="21" t="n">
        <v>1.09</v>
      </c>
      <c r="T523" s="21" t="n">
        <v>0.04</v>
      </c>
      <c r="U523" s="36" t="inlineStr">
        <is>
          <t>Tier 1B (Micro Drop, 1-3 km)</t>
        </is>
      </c>
      <c r="V523" s="20" t="n">
        <v>79.59999999999999</v>
      </c>
      <c r="W523" s="20" t="n">
        <v>92</v>
      </c>
      <c r="X523" s="20" t="n">
        <v>58</v>
      </c>
      <c r="Y523" s="40">
        <f>ROUND((V523*'Methodology &amp; Assumptions'!$B$6)+(W523*'Methodology &amp; Assumptions'!$B$5)+(X523*'Methodology &amp; Assumptions'!$B$7), 2)</f>
        <v/>
      </c>
    </row>
    <row r="524" ht="19" customHeight="1">
      <c r="A524" s="41" t="n">
        <v>520</v>
      </c>
      <c r="B524" s="41" t="n">
        <v>520</v>
      </c>
      <c r="C524" s="42" t="inlineStr">
        <is>
          <t>0603035039</t>
        </is>
      </c>
      <c r="D524" s="42" t="inlineStr">
        <is>
          <t>Region VI (Western Visayas)</t>
        </is>
      </c>
      <c r="E524" s="42" t="inlineStr">
        <is>
          <t>Iloilo</t>
        </is>
      </c>
      <c r="F524" s="42" t="inlineStr">
        <is>
          <t>City of Passi</t>
        </is>
      </c>
      <c r="G524" s="42" t="inlineStr">
        <is>
          <t>Poblacion Ilawod</t>
        </is>
      </c>
      <c r="H524" s="43" t="n">
        <v>11.105378</v>
      </c>
      <c r="I524" s="43" t="n">
        <v>122.642526</v>
      </c>
      <c r="J524" s="44" t="inlineStr">
        <is>
          <t>U</t>
        </is>
      </c>
      <c r="K524" s="42" t="inlineStr">
        <is>
          <t>Class 1-3 / Urban</t>
        </is>
      </c>
      <c r="L524" s="23" t="n">
        <v>5954</v>
      </c>
      <c r="M524" s="24" t="n">
        <v>4.39</v>
      </c>
      <c r="N524" s="23">
        <f>ROUND(L524/M524, 0)</f>
        <v/>
      </c>
      <c r="O524" s="23">
        <f>ROUND(N524*'Methodology &amp; Assumptions'!$B$8, 0)</f>
        <v/>
      </c>
      <c r="P524" s="44" t="inlineStr">
        <is>
          <t>Band n50 (1.5 GHz, 60 MHz)</t>
        </is>
      </c>
      <c r="Q524" s="38">
        <f>ROUNDUP(O524/'Methodology &amp; Assumptions'!$B$9, 0)</f>
        <v/>
      </c>
      <c r="R524" s="39" t="n">
        <v>1</v>
      </c>
      <c r="S524" s="25" t="n">
        <v>0.41</v>
      </c>
      <c r="T524" s="25" t="n">
        <v>0.13</v>
      </c>
      <c r="U524" s="42" t="inlineStr">
        <is>
          <t>Tier 1A (Direct Coloc, &lt;1 km)</t>
        </is>
      </c>
      <c r="V524" s="24" t="n">
        <v>97.3</v>
      </c>
      <c r="W524" s="24" t="n">
        <v>100</v>
      </c>
      <c r="X524" s="24" t="n">
        <v>28</v>
      </c>
      <c r="Y524" s="45">
        <f>ROUND((V524*'Methodology &amp; Assumptions'!$B$6)+(W524*'Methodology &amp; Assumptions'!$B$5)+(X524*'Methodology &amp; Assumptions'!$B$7), 2)</f>
        <v/>
      </c>
    </row>
    <row r="525" ht="19" customHeight="1">
      <c r="A525" s="35" t="n">
        <v>521</v>
      </c>
      <c r="B525" s="35" t="n">
        <v>521</v>
      </c>
      <c r="C525" s="36" t="inlineStr">
        <is>
          <t>1004304007</t>
        </is>
      </c>
      <c r="D525" s="36" t="inlineStr">
        <is>
          <t>Region X (Northern Mindanao)</t>
        </is>
      </c>
      <c r="E525" s="36" t="inlineStr">
        <is>
          <t>Misamis Oriental</t>
        </is>
      </c>
      <c r="F525" s="36" t="inlineStr">
        <is>
          <t>Binuangan</t>
        </is>
      </c>
      <c r="G525" s="36" t="inlineStr">
        <is>
          <t>Poblacion</t>
        </is>
      </c>
      <c r="H525" s="37" t="n">
        <v>8.918653000000001</v>
      </c>
      <c r="I525" s="37" t="n">
        <v>124.783678</v>
      </c>
      <c r="J525" s="8" t="inlineStr">
        <is>
          <t>R</t>
        </is>
      </c>
      <c r="K525" s="36" t="inlineStr">
        <is>
          <t>5th</t>
        </is>
      </c>
      <c r="L525" s="18" t="n">
        <v>2085</v>
      </c>
      <c r="M525" s="20" t="n">
        <v>4.83</v>
      </c>
      <c r="N525" s="18">
        <f>ROUND(L525/M525, 0)</f>
        <v/>
      </c>
      <c r="O525" s="18">
        <f>ROUND(N525*'Methodology &amp; Assumptions'!$B$8, 0)</f>
        <v/>
      </c>
      <c r="P525" s="8" t="inlineStr">
        <is>
          <t>Band n50 (1.5 GHz, 60 MHz)</t>
        </is>
      </c>
      <c r="Q525" s="38">
        <f>ROUNDUP(O525/'Methodology &amp; Assumptions'!$B$9, 0)</f>
        <v/>
      </c>
      <c r="R525" s="39" t="n">
        <v>1</v>
      </c>
      <c r="S525" s="21" t="n">
        <v>0.21</v>
      </c>
      <c r="T525" s="21" t="n">
        <v>0.11</v>
      </c>
      <c r="U525" s="36" t="inlineStr">
        <is>
          <t>Tier 1A (Direct Coloc, &lt;1 km)</t>
        </is>
      </c>
      <c r="V525" s="20" t="n">
        <v>100</v>
      </c>
      <c r="W525" s="20" t="n">
        <v>58.7</v>
      </c>
      <c r="X525" s="20" t="n">
        <v>73</v>
      </c>
      <c r="Y525" s="40">
        <f>ROUND((V525*'Methodology &amp; Assumptions'!$B$6)+(W525*'Methodology &amp; Assumptions'!$B$5)+(X525*'Methodology &amp; Assumptions'!$B$7), 2)</f>
        <v/>
      </c>
    </row>
    <row r="526" ht="19" customHeight="1">
      <c r="A526" s="41" t="n">
        <v>522</v>
      </c>
      <c r="B526" s="41" t="n">
        <v>522</v>
      </c>
      <c r="C526" s="42" t="inlineStr">
        <is>
          <t>0301417012</t>
        </is>
      </c>
      <c r="D526" s="42" t="inlineStr">
        <is>
          <t>Region III (Central Luzon)</t>
        </is>
      </c>
      <c r="E526" s="42" t="inlineStr">
        <is>
          <t>Bulacan</t>
        </is>
      </c>
      <c r="F526" s="42" t="inlineStr">
        <is>
          <t>Plaridel</t>
        </is>
      </c>
      <c r="G526" s="42" t="inlineStr">
        <is>
          <t>Lumang Bayan</t>
        </is>
      </c>
      <c r="H526" s="43" t="n">
        <v>14.895288</v>
      </c>
      <c r="I526" s="43" t="n">
        <v>120.85466</v>
      </c>
      <c r="J526" s="44" t="inlineStr">
        <is>
          <t>U</t>
        </is>
      </c>
      <c r="K526" s="42" t="inlineStr">
        <is>
          <t>Class 1-3 / Urban</t>
        </is>
      </c>
      <c r="L526" s="23" t="n">
        <v>5609</v>
      </c>
      <c r="M526" s="24" t="n">
        <v>4.1</v>
      </c>
      <c r="N526" s="23">
        <f>ROUND(L526/M526, 0)</f>
        <v/>
      </c>
      <c r="O526" s="23">
        <f>ROUND(N526*'Methodology &amp; Assumptions'!$B$8, 0)</f>
        <v/>
      </c>
      <c r="P526" s="44" t="inlineStr">
        <is>
          <t>Band n50 (1.5 GHz, 60 MHz)</t>
        </is>
      </c>
      <c r="Q526" s="38">
        <f>ROUNDUP(O526/'Methodology &amp; Assumptions'!$B$9, 0)</f>
        <v/>
      </c>
      <c r="R526" s="39" t="n">
        <v>1</v>
      </c>
      <c r="S526" s="25" t="n">
        <v>0.89</v>
      </c>
      <c r="T526" s="25" t="n">
        <v>0.8</v>
      </c>
      <c r="U526" s="42" t="inlineStr">
        <is>
          <t>Tier 1A (Direct Coloc, &lt;1 km)</t>
        </is>
      </c>
      <c r="V526" s="24" t="n">
        <v>84.40000000000001</v>
      </c>
      <c r="W526" s="24" t="n">
        <v>100</v>
      </c>
      <c r="X526" s="24" t="n">
        <v>43</v>
      </c>
      <c r="Y526" s="45">
        <f>ROUND((V526*'Methodology &amp; Assumptions'!$B$6)+(W526*'Methodology &amp; Assumptions'!$B$5)+(X526*'Methodology &amp; Assumptions'!$B$7), 2)</f>
        <v/>
      </c>
    </row>
    <row r="527" ht="19" customHeight="1">
      <c r="A527" s="35" t="n">
        <v>523</v>
      </c>
      <c r="B527" s="35" t="n">
        <v>523</v>
      </c>
      <c r="C527" s="36" t="inlineStr">
        <is>
          <t>0604517012</t>
        </is>
      </c>
      <c r="D527" s="36" t="inlineStr">
        <is>
          <t>Region VI (Western Visayas)</t>
        </is>
      </c>
      <c r="E527" s="36" t="inlineStr">
        <is>
          <t>Negros Occidental</t>
        </is>
      </c>
      <c r="F527" s="36" t="inlineStr">
        <is>
          <t>La Castellana</t>
        </is>
      </c>
      <c r="G527" s="36" t="inlineStr">
        <is>
          <t>Robles</t>
        </is>
      </c>
      <c r="H527" s="37" t="n">
        <v>10.323502</v>
      </c>
      <c r="I527" s="37" t="n">
        <v>123.018118</v>
      </c>
      <c r="J527" s="8" t="inlineStr">
        <is>
          <t>U</t>
        </is>
      </c>
      <c r="K527" s="36" t="inlineStr">
        <is>
          <t>Class 1-3 / Urban</t>
        </is>
      </c>
      <c r="L527" s="18" t="n">
        <v>20530</v>
      </c>
      <c r="M527" s="20" t="n">
        <v>4.33</v>
      </c>
      <c r="N527" s="18">
        <f>ROUND(L527/M527, 0)</f>
        <v/>
      </c>
      <c r="O527" s="18">
        <f>ROUND(N527*'Methodology &amp; Assumptions'!$B$8, 0)</f>
        <v/>
      </c>
      <c r="P527" s="8" t="inlineStr">
        <is>
          <t>Band n50 (1.5 GHz, 60 MHz)</t>
        </is>
      </c>
      <c r="Q527" s="38">
        <f>ROUNDUP(O527/'Methodology &amp; Assumptions'!$B$9, 0)</f>
        <v/>
      </c>
      <c r="R527" s="39" t="n">
        <v>1</v>
      </c>
      <c r="S527" s="21" t="n">
        <v>0.41</v>
      </c>
      <c r="T527" s="21" t="n">
        <v>0.19</v>
      </c>
      <c r="U527" s="36" t="inlineStr">
        <is>
          <t>Tier 1A (Direct Coloc, &lt;1 km)</t>
        </is>
      </c>
      <c r="V527" s="20" t="n">
        <v>97.2</v>
      </c>
      <c r="W527" s="20" t="n">
        <v>100</v>
      </c>
      <c r="X527" s="20" t="n">
        <v>28</v>
      </c>
      <c r="Y527" s="40">
        <f>ROUND((V527*'Methodology &amp; Assumptions'!$B$6)+(W527*'Methodology &amp; Assumptions'!$B$5)+(X527*'Methodology &amp; Assumptions'!$B$7), 2)</f>
        <v/>
      </c>
    </row>
    <row r="528" ht="19" customHeight="1">
      <c r="A528" s="41" t="n">
        <v>524</v>
      </c>
      <c r="B528" s="41" t="n">
        <v>524</v>
      </c>
      <c r="C528" s="42" t="inlineStr">
        <is>
          <t>0701242011</t>
        </is>
      </c>
      <c r="D528" s="42" t="inlineStr">
        <is>
          <t>Region VII (Central Visayas)</t>
        </is>
      </c>
      <c r="E528" s="42" t="inlineStr">
        <is>
          <t>Bohol</t>
        </is>
      </c>
      <c r="F528" s="42" t="inlineStr">
        <is>
          <t>City of Tagbilaran</t>
        </is>
      </c>
      <c r="G528" s="42" t="inlineStr">
        <is>
          <t>Poblacion II</t>
        </is>
      </c>
      <c r="H528" s="43" t="n">
        <v>9.645455</v>
      </c>
      <c r="I528" s="43" t="n">
        <v>123.850923</v>
      </c>
      <c r="J528" s="44" t="inlineStr">
        <is>
          <t>U</t>
        </is>
      </c>
      <c r="K528" s="42" t="inlineStr">
        <is>
          <t>Class 1-3 / Urban</t>
        </is>
      </c>
      <c r="L528" s="23" t="n">
        <v>4339</v>
      </c>
      <c r="M528" s="24" t="n">
        <v>4.54</v>
      </c>
      <c r="N528" s="23">
        <f>ROUND(L528/M528, 0)</f>
        <v/>
      </c>
      <c r="O528" s="23">
        <f>ROUND(N528*'Methodology &amp; Assumptions'!$B$8, 0)</f>
        <v/>
      </c>
      <c r="P528" s="44" t="inlineStr">
        <is>
          <t>Band n50 (1.5 GHz, 60 MHz)</t>
        </is>
      </c>
      <c r="Q528" s="38">
        <f>ROUNDUP(O528/'Methodology &amp; Assumptions'!$B$9, 0)</f>
        <v/>
      </c>
      <c r="R528" s="39" t="n">
        <v>1</v>
      </c>
      <c r="S528" s="25" t="n">
        <v>0.41</v>
      </c>
      <c r="T528" s="25" t="n">
        <v>0.2</v>
      </c>
      <c r="U528" s="42" t="inlineStr">
        <is>
          <t>Tier 1A (Direct Coloc, &lt;1 km)</t>
        </is>
      </c>
      <c r="V528" s="24" t="n">
        <v>97.2</v>
      </c>
      <c r="W528" s="24" t="n">
        <v>100</v>
      </c>
      <c r="X528" s="24" t="n">
        <v>28</v>
      </c>
      <c r="Y528" s="45">
        <f>ROUND((V528*'Methodology &amp; Assumptions'!$B$6)+(W528*'Methodology &amp; Assumptions'!$B$5)+(X528*'Methodology &amp; Assumptions'!$B$7), 2)</f>
        <v/>
      </c>
    </row>
    <row r="529" ht="19" customHeight="1">
      <c r="A529" s="35" t="n">
        <v>525</v>
      </c>
      <c r="B529" s="35" t="n">
        <v>525</v>
      </c>
      <c r="C529" s="36" t="inlineStr">
        <is>
          <t>0405627024</t>
        </is>
      </c>
      <c r="D529" s="36" t="inlineStr">
        <is>
          <t>Region IV-A (CALABARZON)</t>
        </is>
      </c>
      <c r="E529" s="36" t="inlineStr">
        <is>
          <t>Quezon</t>
        </is>
      </c>
      <c r="F529" s="36" t="inlineStr">
        <is>
          <t>Mauban</t>
        </is>
      </c>
      <c r="G529" s="36" t="inlineStr">
        <is>
          <t>Polo</t>
        </is>
      </c>
      <c r="H529" s="37" t="n">
        <v>14.177755</v>
      </c>
      <c r="I529" s="37" t="n">
        <v>121.718799</v>
      </c>
      <c r="J529" s="8" t="inlineStr">
        <is>
          <t>U</t>
        </is>
      </c>
      <c r="K529" s="36" t="inlineStr">
        <is>
          <t>Class 1-3 / Urban</t>
        </is>
      </c>
      <c r="L529" s="18" t="n">
        <v>4229</v>
      </c>
      <c r="M529" s="20" t="n">
        <v>4.46</v>
      </c>
      <c r="N529" s="18">
        <f>ROUND(L529/M529, 0)</f>
        <v/>
      </c>
      <c r="O529" s="18">
        <f>ROUND(N529*'Methodology &amp; Assumptions'!$B$8, 0)</f>
        <v/>
      </c>
      <c r="P529" s="8" t="inlineStr">
        <is>
          <t>Band n50 (1.5 GHz, 60 MHz)</t>
        </is>
      </c>
      <c r="Q529" s="38">
        <f>ROUNDUP(O529/'Methodology &amp; Assumptions'!$B$9, 0)</f>
        <v/>
      </c>
      <c r="R529" s="39" t="n">
        <v>1</v>
      </c>
      <c r="S529" s="21" t="n">
        <v>0.08</v>
      </c>
      <c r="T529" s="21" t="n">
        <v>17.58</v>
      </c>
      <c r="U529" s="36" t="inlineStr">
        <is>
          <t>Tier 1A (Direct Coloc, &lt;1 km)</t>
        </is>
      </c>
      <c r="V529" s="20" t="n">
        <v>97.40000000000001</v>
      </c>
      <c r="W529" s="20" t="n">
        <v>99.7</v>
      </c>
      <c r="X529" s="20" t="n">
        <v>28</v>
      </c>
      <c r="Y529" s="40">
        <f>ROUND((V529*'Methodology &amp; Assumptions'!$B$6)+(W529*'Methodology &amp; Assumptions'!$B$5)+(X529*'Methodology &amp; Assumptions'!$B$7), 2)</f>
        <v/>
      </c>
    </row>
    <row r="530" ht="19" customHeight="1">
      <c r="A530" s="41" t="n">
        <v>526</v>
      </c>
      <c r="B530" s="41" t="n">
        <v>526</v>
      </c>
      <c r="C530" s="42" t="inlineStr">
        <is>
          <t>0405630018</t>
        </is>
      </c>
      <c r="D530" s="42" t="inlineStr">
        <is>
          <t>Region IV-A (CALABARZON)</t>
        </is>
      </c>
      <c r="E530" s="42" t="inlineStr">
        <is>
          <t>Quezon</t>
        </is>
      </c>
      <c r="F530" s="42" t="inlineStr">
        <is>
          <t>Pagbilao</t>
        </is>
      </c>
      <c r="G530" s="42" t="inlineStr">
        <is>
          <t>Pinagbayanan</t>
        </is>
      </c>
      <c r="H530" s="43" t="n">
        <v>13.966007</v>
      </c>
      <c r="I530" s="43" t="n">
        <v>121.694168</v>
      </c>
      <c r="J530" s="44" t="inlineStr">
        <is>
          <t>R</t>
        </is>
      </c>
      <c r="K530" s="42" t="inlineStr">
        <is>
          <t>Class 1-3 / Urban</t>
        </is>
      </c>
      <c r="L530" s="23" t="n">
        <v>4934</v>
      </c>
      <c r="M530" s="24" t="n">
        <v>4.46</v>
      </c>
      <c r="N530" s="23">
        <f>ROUND(L530/M530, 0)</f>
        <v/>
      </c>
      <c r="O530" s="23">
        <f>ROUND(N530*'Methodology &amp; Assumptions'!$B$8, 0)</f>
        <v/>
      </c>
      <c r="P530" s="44" t="inlineStr">
        <is>
          <t>Band n50 (1.5 GHz, 60 MHz)</t>
        </is>
      </c>
      <c r="Q530" s="38">
        <f>ROUNDUP(O530/'Methodology &amp; Assumptions'!$B$9, 0)</f>
        <v/>
      </c>
      <c r="R530" s="39" t="n">
        <v>1</v>
      </c>
      <c r="S530" s="25" t="n">
        <v>1.46</v>
      </c>
      <c r="T530" s="25" t="n">
        <v>0.89</v>
      </c>
      <c r="U530" s="42" t="inlineStr">
        <is>
          <t>Tier 1B (Micro Drop, 1-3 km)</t>
        </is>
      </c>
      <c r="V530" s="24" t="n">
        <v>71.40000000000001</v>
      </c>
      <c r="W530" s="24" t="n">
        <v>100</v>
      </c>
      <c r="X530" s="24" t="n">
        <v>58</v>
      </c>
      <c r="Y530" s="45">
        <f>ROUND((V530*'Methodology &amp; Assumptions'!$B$6)+(W530*'Methodology &amp; Assumptions'!$B$5)+(X530*'Methodology &amp; Assumptions'!$B$7), 2)</f>
        <v/>
      </c>
    </row>
    <row r="531" ht="19" customHeight="1">
      <c r="A531" s="35" t="n">
        <v>527</v>
      </c>
      <c r="B531" s="35" t="n">
        <v>527</v>
      </c>
      <c r="C531" s="36" t="inlineStr">
        <is>
          <t>0405811011</t>
        </is>
      </c>
      <c r="D531" s="36" t="inlineStr">
        <is>
          <t>Region IV-A (CALABARZON)</t>
        </is>
      </c>
      <c r="E531" s="36" t="inlineStr">
        <is>
          <t>Rizal</t>
        </is>
      </c>
      <c r="F531" s="36" t="inlineStr">
        <is>
          <t>San Mateo</t>
        </is>
      </c>
      <c r="G531" s="36" t="inlineStr">
        <is>
          <t>Ampid II</t>
        </is>
      </c>
      <c r="H531" s="37" t="n">
        <v>14.68597</v>
      </c>
      <c r="I531" s="37" t="n">
        <v>121.119855</v>
      </c>
      <c r="J531" s="8" t="inlineStr">
        <is>
          <t>U</t>
        </is>
      </c>
      <c r="K531" s="36" t="inlineStr">
        <is>
          <t>Class 1-3 / Urban</t>
        </is>
      </c>
      <c r="L531" s="18" t="n">
        <v>4657</v>
      </c>
      <c r="M531" s="20" t="n">
        <v>4.39</v>
      </c>
      <c r="N531" s="18">
        <f>ROUND(L531/M531, 0)</f>
        <v/>
      </c>
      <c r="O531" s="18">
        <f>ROUND(N531*'Methodology &amp; Assumptions'!$B$8, 0)</f>
        <v/>
      </c>
      <c r="P531" s="8" t="inlineStr">
        <is>
          <t>Band n50 (1.5 GHz, 60 MHz)</t>
        </is>
      </c>
      <c r="Q531" s="38">
        <f>ROUNDUP(O531/'Methodology &amp; Assumptions'!$B$9, 0)</f>
        <v/>
      </c>
      <c r="R531" s="39" t="n">
        <v>1</v>
      </c>
      <c r="S531" s="21" t="n">
        <v>0.41</v>
      </c>
      <c r="T531" s="21" t="n">
        <v>0.4</v>
      </c>
      <c r="U531" s="36" t="inlineStr">
        <is>
          <t>Tier 1A (Direct Coloc, &lt;1 km)</t>
        </is>
      </c>
      <c r="V531" s="20" t="n">
        <v>97.09999999999999</v>
      </c>
      <c r="W531" s="20" t="n">
        <v>100</v>
      </c>
      <c r="X531" s="20" t="n">
        <v>28</v>
      </c>
      <c r="Y531" s="40">
        <f>ROUND((V531*'Methodology &amp; Assumptions'!$B$6)+(W531*'Methodology &amp; Assumptions'!$B$5)+(X531*'Methodology &amp; Assumptions'!$B$7), 2)</f>
        <v/>
      </c>
    </row>
    <row r="532" ht="19" customHeight="1">
      <c r="A532" s="41" t="n">
        <v>528</v>
      </c>
      <c r="B532" s="41" t="n">
        <v>528</v>
      </c>
      <c r="C532" s="42" t="inlineStr">
        <is>
          <t>0203122007</t>
        </is>
      </c>
      <c r="D532" s="42" t="inlineStr">
        <is>
          <t>Region II (Cagayan Valley)</t>
        </is>
      </c>
      <c r="E532" s="42" t="inlineStr">
        <is>
          <t>Isabela</t>
        </is>
      </c>
      <c r="F532" s="42" t="inlineStr">
        <is>
          <t>Quezon</t>
        </is>
      </c>
      <c r="G532" s="42" t="inlineStr">
        <is>
          <t>Santos</t>
        </is>
      </c>
      <c r="H532" s="43" t="n">
        <v>17.316074</v>
      </c>
      <c r="I532" s="43" t="n">
        <v>121.608347</v>
      </c>
      <c r="J532" s="44" t="inlineStr">
        <is>
          <t>R</t>
        </is>
      </c>
      <c r="K532" s="42" t="inlineStr">
        <is>
          <t>1st</t>
        </is>
      </c>
      <c r="L532" s="23" t="n">
        <v>3310</v>
      </c>
      <c r="M532" s="24" t="n">
        <v>4.4</v>
      </c>
      <c r="N532" s="23">
        <f>ROUND(L532/M532, 0)</f>
        <v/>
      </c>
      <c r="O532" s="23">
        <f>ROUND(N532*'Methodology &amp; Assumptions'!$B$8, 0)</f>
        <v/>
      </c>
      <c r="P532" s="44" t="inlineStr">
        <is>
          <t>Band n50 (1.5 GHz, 60 MHz)</t>
        </is>
      </c>
      <c r="Q532" s="38">
        <f>ROUNDUP(O532/'Methodology &amp; Assumptions'!$B$9, 0)</f>
        <v/>
      </c>
      <c r="R532" s="39" t="n">
        <v>1</v>
      </c>
      <c r="S532" s="25" t="n">
        <v>0.78</v>
      </c>
      <c r="T532" s="25" t="n">
        <v>0.52</v>
      </c>
      <c r="U532" s="42" t="inlineStr">
        <is>
          <t>Tier 1A (Direct Coloc, &lt;1 km)</t>
        </is>
      </c>
      <c r="V532" s="24" t="n">
        <v>87.09999999999999</v>
      </c>
      <c r="W532" s="24" t="n">
        <v>84.3</v>
      </c>
      <c r="X532" s="24" t="n">
        <v>58</v>
      </c>
      <c r="Y532" s="45">
        <f>ROUND((V532*'Methodology &amp; Assumptions'!$B$6)+(W532*'Methodology &amp; Assumptions'!$B$5)+(X532*'Methodology &amp; Assumptions'!$B$7), 2)</f>
        <v/>
      </c>
    </row>
    <row r="533" ht="19" customHeight="1">
      <c r="A533" s="35" t="n">
        <v>529</v>
      </c>
      <c r="B533" s="35" t="n">
        <v>529</v>
      </c>
      <c r="C533" s="36" t="inlineStr">
        <is>
          <t>0506209025</t>
        </is>
      </c>
      <c r="D533" s="36" t="inlineStr">
        <is>
          <t>Region V (Bicol Region)</t>
        </is>
      </c>
      <c r="E533" s="36" t="inlineStr">
        <is>
          <t>Sorsogon</t>
        </is>
      </c>
      <c r="F533" s="36" t="inlineStr">
        <is>
          <t>Irosin</t>
        </is>
      </c>
      <c r="G533" s="36" t="inlineStr">
        <is>
          <t>San Pedro</t>
        </is>
      </c>
      <c r="H533" s="37" t="n">
        <v>12.704589</v>
      </c>
      <c r="I533" s="37" t="n">
        <v>124.029986</v>
      </c>
      <c r="J533" s="8" t="inlineStr">
        <is>
          <t>R</t>
        </is>
      </c>
      <c r="K533" s="36" t="inlineStr">
        <is>
          <t>Class 1-3 / Urban</t>
        </is>
      </c>
      <c r="L533" s="18" t="n">
        <v>3267</v>
      </c>
      <c r="M533" s="20" t="n">
        <v>4.58</v>
      </c>
      <c r="N533" s="18">
        <f>ROUND(L533/M533, 0)</f>
        <v/>
      </c>
      <c r="O533" s="18">
        <f>ROUND(N533*'Methodology &amp; Assumptions'!$B$8, 0)</f>
        <v/>
      </c>
      <c r="P533" s="8" t="inlineStr">
        <is>
          <t>Band n50 (1.5 GHz, 60 MHz)</t>
        </is>
      </c>
      <c r="Q533" s="38">
        <f>ROUNDUP(O533/'Methodology &amp; Assumptions'!$B$9, 0)</f>
        <v/>
      </c>
      <c r="R533" s="39" t="n">
        <v>1</v>
      </c>
      <c r="S533" s="21" t="n">
        <v>0.66</v>
      </c>
      <c r="T533" s="21" t="n">
        <v>0.02</v>
      </c>
      <c r="U533" s="36" t="inlineStr">
        <is>
          <t>Tier 1A (Direct Coloc, &lt;1 km)</t>
        </is>
      </c>
      <c r="V533" s="20" t="n">
        <v>90.3</v>
      </c>
      <c r="W533" s="20" t="n">
        <v>81.09999999999999</v>
      </c>
      <c r="X533" s="20" t="n">
        <v>58</v>
      </c>
      <c r="Y533" s="40">
        <f>ROUND((V533*'Methodology &amp; Assumptions'!$B$6)+(W533*'Methodology &amp; Assumptions'!$B$5)+(X533*'Methodology &amp; Assumptions'!$B$7), 2)</f>
        <v/>
      </c>
    </row>
    <row r="534" ht="19" customHeight="1">
      <c r="A534" s="41" t="n">
        <v>530</v>
      </c>
      <c r="B534" s="41" t="n">
        <v>530</v>
      </c>
      <c r="C534" s="42" t="inlineStr">
        <is>
          <t>0301415016</t>
        </is>
      </c>
      <c r="D534" s="42" t="inlineStr">
        <is>
          <t>Region III (Central Luzon)</t>
        </is>
      </c>
      <c r="E534" s="42" t="inlineStr">
        <is>
          <t>Bulacan</t>
        </is>
      </c>
      <c r="F534" s="42" t="inlineStr">
        <is>
          <t>Pandi</t>
        </is>
      </c>
      <c r="G534" s="42" t="inlineStr">
        <is>
          <t>Poblacion</t>
        </is>
      </c>
      <c r="H534" s="43" t="n">
        <v>14.867465</v>
      </c>
      <c r="I534" s="43" t="n">
        <v>120.957206</v>
      </c>
      <c r="J534" s="44" t="inlineStr">
        <is>
          <t>U</t>
        </is>
      </c>
      <c r="K534" s="42" t="inlineStr">
        <is>
          <t>Class 1-3 / Urban</t>
        </is>
      </c>
      <c r="L534" s="23" t="n">
        <v>8679</v>
      </c>
      <c r="M534" s="24" t="n">
        <v>4.1</v>
      </c>
      <c r="N534" s="23">
        <f>ROUND(L534/M534, 0)</f>
        <v/>
      </c>
      <c r="O534" s="23">
        <f>ROUND(N534*'Methodology &amp; Assumptions'!$B$8, 0)</f>
        <v/>
      </c>
      <c r="P534" s="44" t="inlineStr">
        <is>
          <t>Band n50 (1.5 GHz, 60 MHz)</t>
        </is>
      </c>
      <c r="Q534" s="38">
        <f>ROUNDUP(O534/'Methodology &amp; Assumptions'!$B$9, 0)</f>
        <v/>
      </c>
      <c r="R534" s="39" t="n">
        <v>1</v>
      </c>
      <c r="S534" s="25" t="n">
        <v>0.42</v>
      </c>
      <c r="T534" s="25" t="n">
        <v>0.02</v>
      </c>
      <c r="U534" s="42" t="inlineStr">
        <is>
          <t>Tier 1A (Direct Coloc, &lt;1 km)</t>
        </is>
      </c>
      <c r="V534" s="24" t="n">
        <v>97.09999999999999</v>
      </c>
      <c r="W534" s="24" t="n">
        <v>100</v>
      </c>
      <c r="X534" s="24" t="n">
        <v>28</v>
      </c>
      <c r="Y534" s="45">
        <f>ROUND((V534*'Methodology &amp; Assumptions'!$B$6)+(W534*'Methodology &amp; Assumptions'!$B$5)+(X534*'Methodology &amp; Assumptions'!$B$7), 2)</f>
        <v/>
      </c>
    </row>
    <row r="535" ht="19" customHeight="1">
      <c r="A535" s="35" t="n">
        <v>531</v>
      </c>
      <c r="B535" s="35" t="n">
        <v>531</v>
      </c>
      <c r="C535" s="36" t="inlineStr">
        <is>
          <t>0301408003</t>
        </is>
      </c>
      <c r="D535" s="36" t="inlineStr">
        <is>
          <t>Region III (Central Luzon)</t>
        </is>
      </c>
      <c r="E535" s="36" t="inlineStr">
        <is>
          <t>Bulacan</t>
        </is>
      </c>
      <c r="F535" s="36" t="inlineStr">
        <is>
          <t>Guiguinto</t>
        </is>
      </c>
      <c r="G535" s="36" t="inlineStr">
        <is>
          <t>Ilang-Ilang</t>
        </is>
      </c>
      <c r="H535" s="37" t="n">
        <v>14.830265</v>
      </c>
      <c r="I535" s="37" t="n">
        <v>120.876483</v>
      </c>
      <c r="J535" s="8" t="inlineStr">
        <is>
          <t>U</t>
        </is>
      </c>
      <c r="K535" s="36" t="inlineStr">
        <is>
          <t>Class 1-3 / Urban</t>
        </is>
      </c>
      <c r="L535" s="18" t="n">
        <v>5746</v>
      </c>
      <c r="M535" s="20" t="n">
        <v>4.1</v>
      </c>
      <c r="N535" s="18">
        <f>ROUND(L535/M535, 0)</f>
        <v/>
      </c>
      <c r="O535" s="18">
        <f>ROUND(N535*'Methodology &amp; Assumptions'!$B$8, 0)</f>
        <v/>
      </c>
      <c r="P535" s="8" t="inlineStr">
        <is>
          <t>Band n50 (1.5 GHz, 60 MHz)</t>
        </is>
      </c>
      <c r="Q535" s="38">
        <f>ROUNDUP(O535/'Methodology &amp; Assumptions'!$B$9, 0)</f>
        <v/>
      </c>
      <c r="R535" s="39" t="n">
        <v>1</v>
      </c>
      <c r="S535" s="21" t="n">
        <v>0.42</v>
      </c>
      <c r="T535" s="21" t="n">
        <v>0.25</v>
      </c>
      <c r="U535" s="36" t="inlineStr">
        <is>
          <t>Tier 1A (Direct Coloc, &lt;1 km)</t>
        </is>
      </c>
      <c r="V535" s="20" t="n">
        <v>97.09999999999999</v>
      </c>
      <c r="W535" s="20" t="n">
        <v>100</v>
      </c>
      <c r="X535" s="20" t="n">
        <v>28</v>
      </c>
      <c r="Y535" s="40">
        <f>ROUND((V535*'Methodology &amp; Assumptions'!$B$6)+(W535*'Methodology &amp; Assumptions'!$B$5)+(X535*'Methodology &amp; Assumptions'!$B$7), 2)</f>
        <v/>
      </c>
    </row>
    <row r="536" ht="19" customHeight="1">
      <c r="A536" s="41" t="n">
        <v>532</v>
      </c>
      <c r="B536" s="41" t="n">
        <v>532</v>
      </c>
      <c r="C536" s="42" t="inlineStr">
        <is>
          <t>0401017013</t>
        </is>
      </c>
      <c r="D536" s="42" t="inlineStr">
        <is>
          <t>Region IV-A (CALABARZON)</t>
        </is>
      </c>
      <c r="E536" s="42" t="inlineStr">
        <is>
          <t>Batangas</t>
        </is>
      </c>
      <c r="F536" s="42" t="inlineStr">
        <is>
          <t>Malvar</t>
        </is>
      </c>
      <c r="G536" s="42" t="inlineStr">
        <is>
          <t>San Fernando</t>
        </is>
      </c>
      <c r="H536" s="43" t="n">
        <v>14.02302</v>
      </c>
      <c r="I536" s="43" t="n">
        <v>121.159678</v>
      </c>
      <c r="J536" s="44" t="inlineStr">
        <is>
          <t>U</t>
        </is>
      </c>
      <c r="K536" s="42" t="inlineStr">
        <is>
          <t>Class 1-3 / Urban</t>
        </is>
      </c>
      <c r="L536" s="23" t="n">
        <v>5676</v>
      </c>
      <c r="M536" s="24" t="n">
        <v>4.62</v>
      </c>
      <c r="N536" s="23">
        <f>ROUND(L536/M536, 0)</f>
        <v/>
      </c>
      <c r="O536" s="23">
        <f>ROUND(N536*'Methodology &amp; Assumptions'!$B$8, 0)</f>
        <v/>
      </c>
      <c r="P536" s="44" t="inlineStr">
        <is>
          <t>Band n50 (1.5 GHz, 60 MHz)</t>
        </is>
      </c>
      <c r="Q536" s="38">
        <f>ROUNDUP(O536/'Methodology &amp; Assumptions'!$B$9, 0)</f>
        <v/>
      </c>
      <c r="R536" s="39" t="n">
        <v>1</v>
      </c>
      <c r="S536" s="25" t="n">
        <v>0.42</v>
      </c>
      <c r="T536" s="25" t="n">
        <v>0.22</v>
      </c>
      <c r="U536" s="42" t="inlineStr">
        <is>
          <t>Tier 1A (Direct Coloc, &lt;1 km)</t>
        </is>
      </c>
      <c r="V536" s="24" t="n">
        <v>97.09999999999999</v>
      </c>
      <c r="W536" s="24" t="n">
        <v>100</v>
      </c>
      <c r="X536" s="24" t="n">
        <v>28</v>
      </c>
      <c r="Y536" s="45">
        <f>ROUND((V536*'Methodology &amp; Assumptions'!$B$6)+(W536*'Methodology &amp; Assumptions'!$B$5)+(X536*'Methodology &amp; Assumptions'!$B$7), 2)</f>
        <v/>
      </c>
    </row>
    <row r="537" ht="19" customHeight="1">
      <c r="A537" s="35" t="n">
        <v>533</v>
      </c>
      <c r="B537" s="35" t="n">
        <v>533</v>
      </c>
      <c r="C537" s="36" t="inlineStr">
        <is>
          <t>0307114019</t>
        </is>
      </c>
      <c r="D537" s="36" t="inlineStr">
        <is>
          <t>Region III (Central Luzon)</t>
        </is>
      </c>
      <c r="E537" s="36" t="inlineStr">
        <is>
          <t>Zambales</t>
        </is>
      </c>
      <c r="F537" s="36" t="inlineStr">
        <is>
          <t>Subic</t>
        </is>
      </c>
      <c r="G537" s="36" t="inlineStr">
        <is>
          <t>Pamatawan</t>
        </is>
      </c>
      <c r="H537" s="37" t="n">
        <v>14.9244</v>
      </c>
      <c r="I537" s="37" t="n">
        <v>120.2203</v>
      </c>
      <c r="J537" s="8" t="inlineStr">
        <is>
          <t>R</t>
        </is>
      </c>
      <c r="K537" s="36" t="inlineStr">
        <is>
          <t>Class 1-3 / Urban</t>
        </is>
      </c>
      <c r="L537" s="18" t="n">
        <v>4923</v>
      </c>
      <c r="M537" s="20" t="n">
        <v>4.05</v>
      </c>
      <c r="N537" s="18">
        <f>ROUND(L537/M537, 0)</f>
        <v/>
      </c>
      <c r="O537" s="18">
        <f>ROUND(N537*'Methodology &amp; Assumptions'!$B$8, 0)</f>
        <v/>
      </c>
      <c r="P537" s="8" t="inlineStr">
        <is>
          <t>Band n50 (1.5 GHz, 60 MHz)</t>
        </is>
      </c>
      <c r="Q537" s="38">
        <f>ROUNDUP(O537/'Methodology &amp; Assumptions'!$B$9, 0)</f>
        <v/>
      </c>
      <c r="R537" s="39" t="n">
        <v>1</v>
      </c>
      <c r="S537" s="21" t="n">
        <v>2.17</v>
      </c>
      <c r="T537" s="21" t="n">
        <v>0.04</v>
      </c>
      <c r="U537" s="36" t="inlineStr">
        <is>
          <t>Tier 1B (Micro Drop, 1-3 km)</t>
        </is>
      </c>
      <c r="V537" s="20" t="n">
        <v>58.4</v>
      </c>
      <c r="W537" s="20" t="n">
        <v>100</v>
      </c>
      <c r="X537" s="20" t="n">
        <v>73</v>
      </c>
      <c r="Y537" s="40">
        <f>ROUND((V537*'Methodology &amp; Assumptions'!$B$6)+(W537*'Methodology &amp; Assumptions'!$B$5)+(X537*'Methodology &amp; Assumptions'!$B$7), 2)</f>
        <v/>
      </c>
    </row>
    <row r="538" ht="19" customHeight="1">
      <c r="A538" s="41" t="n">
        <v>534</v>
      </c>
      <c r="B538" s="41" t="n">
        <v>534</v>
      </c>
      <c r="C538" s="42" t="inlineStr">
        <is>
          <t>0704601008</t>
        </is>
      </c>
      <c r="D538" s="42" t="inlineStr">
        <is>
          <t>Region VII (Central Visayas)</t>
        </is>
      </c>
      <c r="E538" s="42" t="inlineStr">
        <is>
          <t>Negros Oriental</t>
        </is>
      </c>
      <c r="F538" s="42" t="inlineStr">
        <is>
          <t>Amlan</t>
        </is>
      </c>
      <c r="G538" s="42" t="inlineStr">
        <is>
          <t>Tandayag</t>
        </is>
      </c>
      <c r="H538" s="43" t="n">
        <v>9.455299999999999</v>
      </c>
      <c r="I538" s="43" t="n">
        <v>123.23214</v>
      </c>
      <c r="J538" s="44" t="inlineStr">
        <is>
          <t>R</t>
        </is>
      </c>
      <c r="K538" s="42" t="inlineStr">
        <is>
          <t>3rd</t>
        </is>
      </c>
      <c r="L538" s="23" t="n">
        <v>3913</v>
      </c>
      <c r="M538" s="24" t="n">
        <v>4.28</v>
      </c>
      <c r="N538" s="23">
        <f>ROUND(L538/M538, 0)</f>
        <v/>
      </c>
      <c r="O538" s="23">
        <f>ROUND(N538*'Methodology &amp; Assumptions'!$B$8, 0)</f>
        <v/>
      </c>
      <c r="P538" s="44" t="inlineStr">
        <is>
          <t>Band n50 (1.5 GHz, 60 MHz)</t>
        </is>
      </c>
      <c r="Q538" s="38">
        <f>ROUNDUP(O538/'Methodology &amp; Assumptions'!$B$9, 0)</f>
        <v/>
      </c>
      <c r="R538" s="39" t="n">
        <v>1</v>
      </c>
      <c r="S538" s="25" t="n">
        <v>1.33</v>
      </c>
      <c r="T538" s="25" t="n">
        <v>0.01</v>
      </c>
      <c r="U538" s="42" t="inlineStr">
        <is>
          <t>Tier 1B (Micro Drop, 1-3 km)</t>
        </is>
      </c>
      <c r="V538" s="24" t="n">
        <v>74.2</v>
      </c>
      <c r="W538" s="24" t="n">
        <v>97.09999999999999</v>
      </c>
      <c r="X538" s="24" t="n">
        <v>58</v>
      </c>
      <c r="Y538" s="45">
        <f>ROUND((V538*'Methodology &amp; Assumptions'!$B$6)+(W538*'Methodology &amp; Assumptions'!$B$5)+(X538*'Methodology &amp; Assumptions'!$B$7), 2)</f>
        <v/>
      </c>
    </row>
    <row r="539" ht="19" customHeight="1">
      <c r="A539" s="35" t="n">
        <v>535</v>
      </c>
      <c r="B539" s="35" t="n">
        <v>535</v>
      </c>
      <c r="C539" s="36" t="inlineStr">
        <is>
          <t>0402123016</t>
        </is>
      </c>
      <c r="D539" s="36" t="inlineStr">
        <is>
          <t>Region IV-A (CALABARZON)</t>
        </is>
      </c>
      <c r="E539" s="36" t="inlineStr">
        <is>
          <t>Cavite</t>
        </is>
      </c>
      <c r="F539" s="36" t="inlineStr">
        <is>
          <t>Gen. Mariano Alvarez</t>
        </is>
      </c>
      <c r="G539" s="36" t="inlineStr">
        <is>
          <t>Jacinto Lumbreras</t>
        </is>
      </c>
      <c r="H539" s="37" t="n">
        <v>14.291521</v>
      </c>
      <c r="I539" s="37" t="n">
        <v>121.003011</v>
      </c>
      <c r="J539" s="8" t="inlineStr">
        <is>
          <t>R</t>
        </is>
      </c>
      <c r="K539" s="36" t="inlineStr">
        <is>
          <t>Class 1-3 / Urban</t>
        </is>
      </c>
      <c r="L539" s="18" t="n">
        <v>4272</v>
      </c>
      <c r="M539" s="20" t="n">
        <v>4.49</v>
      </c>
      <c r="N539" s="18">
        <f>ROUND(L539/M539, 0)</f>
        <v/>
      </c>
      <c r="O539" s="18">
        <f>ROUND(N539*'Methodology &amp; Assumptions'!$B$8, 0)</f>
        <v/>
      </c>
      <c r="P539" s="8" t="inlineStr">
        <is>
          <t>Band n50 (1.5 GHz, 60 MHz)</t>
        </is>
      </c>
      <c r="Q539" s="38">
        <f>ROUNDUP(O539/'Methodology &amp; Assumptions'!$B$9, 0)</f>
        <v/>
      </c>
      <c r="R539" s="39" t="n">
        <v>1</v>
      </c>
      <c r="S539" s="21" t="n">
        <v>1.01</v>
      </c>
      <c r="T539" s="21" t="n">
        <v>4.42</v>
      </c>
      <c r="U539" s="36" t="inlineStr">
        <is>
          <t>Tier 1B (Micro Drop, 1-3 km)</t>
        </is>
      </c>
      <c r="V539" s="20" t="n">
        <v>71.3</v>
      </c>
      <c r="W539" s="20" t="n">
        <v>100</v>
      </c>
      <c r="X539" s="20" t="n">
        <v>58</v>
      </c>
      <c r="Y539" s="40">
        <f>ROUND((V539*'Methodology &amp; Assumptions'!$B$6)+(W539*'Methodology &amp; Assumptions'!$B$5)+(X539*'Methodology &amp; Assumptions'!$B$7), 2)</f>
        <v/>
      </c>
    </row>
    <row r="540" ht="19" customHeight="1">
      <c r="A540" s="41" t="n">
        <v>536</v>
      </c>
      <c r="B540" s="41" t="n">
        <v>536</v>
      </c>
      <c r="C540" s="42" t="inlineStr">
        <is>
          <t>1630400085</t>
        </is>
      </c>
      <c r="D540" s="42" t="inlineStr">
        <is>
          <t>Region XIII (Caraga)</t>
        </is>
      </c>
      <c r="E540" s="42" t="inlineStr">
        <is>
          <t>Agusan del Norte</t>
        </is>
      </c>
      <c r="F540" s="42" t="inlineStr">
        <is>
          <t>City of Butuan</t>
        </is>
      </c>
      <c r="G540" s="42" t="inlineStr">
        <is>
          <t>Tandang Sora Pob.</t>
        </is>
      </c>
      <c r="H540" s="43" t="n">
        <v>8.94754</v>
      </c>
      <c r="I540" s="43" t="n">
        <v>125.533989</v>
      </c>
      <c r="J540" s="44" t="inlineStr">
        <is>
          <t>U</t>
        </is>
      </c>
      <c r="K540" s="42" t="inlineStr">
        <is>
          <t>Class 1-3 / Urban</t>
        </is>
      </c>
      <c r="L540" s="23" t="n">
        <v>4011</v>
      </c>
      <c r="M540" s="24" t="n">
        <v>4.63</v>
      </c>
      <c r="N540" s="23">
        <f>ROUND(L540/M540, 0)</f>
        <v/>
      </c>
      <c r="O540" s="23">
        <f>ROUND(N540*'Methodology &amp; Assumptions'!$B$8, 0)</f>
        <v/>
      </c>
      <c r="P540" s="44" t="inlineStr">
        <is>
          <t>Band n50 (1.5 GHz, 60 MHz)</t>
        </is>
      </c>
      <c r="Q540" s="38">
        <f>ROUNDUP(O540/'Methodology &amp; Assumptions'!$B$9, 0)</f>
        <v/>
      </c>
      <c r="R540" s="39" t="n">
        <v>1</v>
      </c>
      <c r="S540" s="25" t="n">
        <v>0.64</v>
      </c>
      <c r="T540" s="25" t="n">
        <v>0.14</v>
      </c>
      <c r="U540" s="42" t="inlineStr">
        <is>
          <t>Tier 1A (Direct Coloc, &lt;1 km)</t>
        </is>
      </c>
      <c r="V540" s="24" t="n">
        <v>90.8</v>
      </c>
      <c r="W540" s="24" t="n">
        <v>93.3</v>
      </c>
      <c r="X540" s="24" t="n">
        <v>43</v>
      </c>
      <c r="Y540" s="45">
        <f>ROUND((V540*'Methodology &amp; Assumptions'!$B$6)+(W540*'Methodology &amp; Assumptions'!$B$5)+(X540*'Methodology &amp; Assumptions'!$B$7), 2)</f>
        <v/>
      </c>
    </row>
    <row r="541" ht="19" customHeight="1">
      <c r="A541" s="35" t="n">
        <v>537</v>
      </c>
      <c r="B541" s="35" t="n">
        <v>537</v>
      </c>
      <c r="C541" s="36" t="inlineStr">
        <is>
          <t>0402106058</t>
        </is>
      </c>
      <c r="D541" s="36" t="inlineStr">
        <is>
          <t>Region IV-A (CALABARZON)</t>
        </is>
      </c>
      <c r="E541" s="36" t="inlineStr">
        <is>
          <t>Cavite</t>
        </is>
      </c>
      <c r="F541" s="36" t="inlineStr">
        <is>
          <t>City of Dasmariñas</t>
        </is>
      </c>
      <c r="G541" s="36" t="inlineStr">
        <is>
          <t>Salitran II</t>
        </is>
      </c>
      <c r="H541" s="37" t="n">
        <v>14.350455</v>
      </c>
      <c r="I541" s="37" t="n">
        <v>120.938756</v>
      </c>
      <c r="J541" s="8" t="inlineStr">
        <is>
          <t>U</t>
        </is>
      </c>
      <c r="K541" s="36" t="inlineStr">
        <is>
          <t>Class 1-3 / Urban</t>
        </is>
      </c>
      <c r="L541" s="18" t="n">
        <v>12337</v>
      </c>
      <c r="M541" s="20" t="n">
        <v>4.49</v>
      </c>
      <c r="N541" s="18">
        <f>ROUND(L541/M541, 0)</f>
        <v/>
      </c>
      <c r="O541" s="18">
        <f>ROUND(N541*'Methodology &amp; Assumptions'!$B$8, 0)</f>
        <v/>
      </c>
      <c r="P541" s="8" t="inlineStr">
        <is>
          <t>Band n50 (1.5 GHz, 60 MHz)</t>
        </is>
      </c>
      <c r="Q541" s="38">
        <f>ROUNDUP(O541/'Methodology &amp; Assumptions'!$B$9, 0)</f>
        <v/>
      </c>
      <c r="R541" s="39" t="n">
        <v>1</v>
      </c>
      <c r="S541" s="21" t="n">
        <v>0.09</v>
      </c>
      <c r="T541" s="21" t="n">
        <v>5.65</v>
      </c>
      <c r="U541" s="36" t="inlineStr">
        <is>
          <t>Tier 1A (Direct Coloc, &lt;1 km)</t>
        </is>
      </c>
      <c r="V541" s="20" t="n">
        <v>96.90000000000001</v>
      </c>
      <c r="W541" s="20" t="n">
        <v>100</v>
      </c>
      <c r="X541" s="20" t="n">
        <v>28</v>
      </c>
      <c r="Y541" s="40">
        <f>ROUND((V541*'Methodology &amp; Assumptions'!$B$6)+(W541*'Methodology &amp; Assumptions'!$B$5)+(X541*'Methodology &amp; Assumptions'!$B$7), 2)</f>
        <v/>
      </c>
    </row>
    <row r="542" ht="19" customHeight="1">
      <c r="A542" s="41" t="n">
        <v>538</v>
      </c>
      <c r="B542" s="41" t="n">
        <v>538</v>
      </c>
      <c r="C542" s="42" t="inlineStr">
        <is>
          <t>0730600063</t>
        </is>
      </c>
      <c r="D542" s="42" t="inlineStr">
        <is>
          <t>Region VII (Central Visayas)</t>
        </is>
      </c>
      <c r="E542" s="42" t="inlineStr">
        <is>
          <t>Cebu</t>
        </is>
      </c>
      <c r="F542" s="42" t="inlineStr">
        <is>
          <t>City of Cebu</t>
        </is>
      </c>
      <c r="G542" s="42" t="inlineStr">
        <is>
          <t>Quiot Pardo</t>
        </is>
      </c>
      <c r="H542" s="43" t="n">
        <v>10.28871</v>
      </c>
      <c r="I542" s="43" t="n">
        <v>123.859626</v>
      </c>
      <c r="J542" s="44" t="inlineStr">
        <is>
          <t>U</t>
        </is>
      </c>
      <c r="K542" s="42" t="inlineStr">
        <is>
          <t>Class 1-3 / Urban</t>
        </is>
      </c>
      <c r="L542" s="23" t="n">
        <v>27984</v>
      </c>
      <c r="M542" s="24" t="n">
        <v>4.42</v>
      </c>
      <c r="N542" s="23">
        <f>ROUND(L542/M542, 0)</f>
        <v/>
      </c>
      <c r="O542" s="23">
        <f>ROUND(N542*'Methodology &amp; Assumptions'!$B$8, 0)</f>
        <v/>
      </c>
      <c r="P542" s="44" t="inlineStr">
        <is>
          <t>Band n50 (1.5 GHz, 60 MHz)</t>
        </is>
      </c>
      <c r="Q542" s="38">
        <f>ROUNDUP(O542/'Methodology &amp; Assumptions'!$B$9, 0)</f>
        <v/>
      </c>
      <c r="R542" s="39" t="n">
        <v>1</v>
      </c>
      <c r="S542" s="25" t="n">
        <v>0.42</v>
      </c>
      <c r="T542" s="25" t="n">
        <v>0.31</v>
      </c>
      <c r="U542" s="42" t="inlineStr">
        <is>
          <t>Tier 1A (Direct Coloc, &lt;1 km)</t>
        </is>
      </c>
      <c r="V542" s="24" t="n">
        <v>96.90000000000001</v>
      </c>
      <c r="W542" s="24" t="n">
        <v>100</v>
      </c>
      <c r="X542" s="24" t="n">
        <v>28</v>
      </c>
      <c r="Y542" s="45">
        <f>ROUND((V542*'Methodology &amp; Assumptions'!$B$6)+(W542*'Methodology &amp; Assumptions'!$B$5)+(X542*'Methodology &amp; Assumptions'!$B$7), 2)</f>
        <v/>
      </c>
    </row>
    <row r="543" ht="19" customHeight="1">
      <c r="A543" s="35" t="n">
        <v>539</v>
      </c>
      <c r="B543" s="35" t="n">
        <v>539</v>
      </c>
      <c r="C543" s="36" t="inlineStr">
        <is>
          <t>0401008019</t>
        </is>
      </c>
      <c r="D543" s="36" t="inlineStr">
        <is>
          <t>Region IV-A (CALABARZON)</t>
        </is>
      </c>
      <c r="E543" s="36" t="inlineStr">
        <is>
          <t>Batangas</t>
        </is>
      </c>
      <c r="F543" s="36" t="inlineStr">
        <is>
          <t>Calatagan</t>
        </is>
      </c>
      <c r="G543" s="36" t="inlineStr">
        <is>
          <t>Barangay 4</t>
        </is>
      </c>
      <c r="H543" s="37" t="n">
        <v>13.827672</v>
      </c>
      <c r="I543" s="37" t="n">
        <v>120.637247</v>
      </c>
      <c r="J543" s="8" t="inlineStr">
        <is>
          <t>R</t>
        </is>
      </c>
      <c r="K543" s="36" t="inlineStr">
        <is>
          <t>Class 1-3 / Urban</t>
        </is>
      </c>
      <c r="L543" s="18" t="n">
        <v>3293</v>
      </c>
      <c r="M543" s="20" t="n">
        <v>4.62</v>
      </c>
      <c r="N543" s="18">
        <f>ROUND(L543/M543, 0)</f>
        <v/>
      </c>
      <c r="O543" s="18">
        <f>ROUND(N543*'Methodology &amp; Assumptions'!$B$8, 0)</f>
        <v/>
      </c>
      <c r="P543" s="8" t="inlineStr">
        <is>
          <t>Band n50 (1.5 GHz, 60 MHz)</t>
        </is>
      </c>
      <c r="Q543" s="38">
        <f>ROUNDUP(O543/'Methodology &amp; Assumptions'!$B$9, 0)</f>
        <v/>
      </c>
      <c r="R543" s="39" t="n">
        <v>1</v>
      </c>
      <c r="S543" s="21" t="n">
        <v>0.67</v>
      </c>
      <c r="T543" s="21" t="n">
        <v>0.71</v>
      </c>
      <c r="U543" s="36" t="inlineStr">
        <is>
          <t>Tier 1A (Direct Coloc, &lt;1 km)</t>
        </is>
      </c>
      <c r="V543" s="20" t="n">
        <v>90.09999999999999</v>
      </c>
      <c r="W543" s="20" t="n">
        <v>81.09999999999999</v>
      </c>
      <c r="X543" s="20" t="n">
        <v>58</v>
      </c>
      <c r="Y543" s="40">
        <f>ROUND((V543*'Methodology &amp; Assumptions'!$B$6)+(W543*'Methodology &amp; Assumptions'!$B$5)+(X543*'Methodology &amp; Assumptions'!$B$7), 2)</f>
        <v/>
      </c>
    </row>
    <row r="544" ht="19" customHeight="1">
      <c r="A544" s="41" t="n">
        <v>540</v>
      </c>
      <c r="B544" s="41" t="n">
        <v>540</v>
      </c>
      <c r="C544" s="42" t="inlineStr">
        <is>
          <t>0301415018</t>
        </is>
      </c>
      <c r="D544" s="42" t="inlineStr">
        <is>
          <t>Region III (Central Luzon)</t>
        </is>
      </c>
      <c r="E544" s="42" t="inlineStr">
        <is>
          <t>Bulacan</t>
        </is>
      </c>
      <c r="F544" s="42" t="inlineStr">
        <is>
          <t>Pandi</t>
        </is>
      </c>
      <c r="G544" s="42" t="inlineStr">
        <is>
          <t>San Roque</t>
        </is>
      </c>
      <c r="H544" s="43" t="n">
        <v>14.858096</v>
      </c>
      <c r="I544" s="43" t="n">
        <v>120.956305</v>
      </c>
      <c r="J544" s="44" t="inlineStr">
        <is>
          <t>R</t>
        </is>
      </c>
      <c r="K544" s="42" t="inlineStr">
        <is>
          <t>Class 1-3 / Urban</t>
        </is>
      </c>
      <c r="L544" s="23" t="n">
        <v>2894</v>
      </c>
      <c r="M544" s="24" t="n">
        <v>4.1</v>
      </c>
      <c r="N544" s="23">
        <f>ROUND(L544/M544, 0)</f>
        <v/>
      </c>
      <c r="O544" s="23">
        <f>ROUND(N544*'Methodology &amp; Assumptions'!$B$8, 0)</f>
        <v/>
      </c>
      <c r="P544" s="44" t="inlineStr">
        <is>
          <t>Band n50 (1.5 GHz, 60 MHz)</t>
        </is>
      </c>
      <c r="Q544" s="38">
        <f>ROUNDUP(O544/'Methodology &amp; Assumptions'!$B$9, 0)</f>
        <v/>
      </c>
      <c r="R544" s="39" t="n">
        <v>1</v>
      </c>
      <c r="S544" s="25" t="n">
        <v>0.65</v>
      </c>
      <c r="T544" s="25" t="n">
        <v>0.08</v>
      </c>
      <c r="U544" s="42" t="inlineStr">
        <is>
          <t>Tier 1A (Direct Coloc, &lt;1 km)</t>
        </is>
      </c>
      <c r="V544" s="24" t="n">
        <v>90.59999999999999</v>
      </c>
      <c r="W544" s="24" t="n">
        <v>80.5</v>
      </c>
      <c r="X544" s="24" t="n">
        <v>58</v>
      </c>
      <c r="Y544" s="45">
        <f>ROUND((V544*'Methodology &amp; Assumptions'!$B$6)+(W544*'Methodology &amp; Assumptions'!$B$5)+(X544*'Methodology &amp; Assumptions'!$B$7), 2)</f>
        <v/>
      </c>
    </row>
    <row r="545" ht="19" customHeight="1">
      <c r="A545" s="35" t="n">
        <v>541</v>
      </c>
      <c r="B545" s="35" t="n">
        <v>541</v>
      </c>
      <c r="C545" s="36" t="inlineStr">
        <is>
          <t>0305405028</t>
        </is>
      </c>
      <c r="D545" s="36" t="inlineStr">
        <is>
          <t>Region III (Central Luzon)</t>
        </is>
      </c>
      <c r="E545" s="36" t="inlineStr">
        <is>
          <t>Pampanga</t>
        </is>
      </c>
      <c r="F545" s="36" t="inlineStr">
        <is>
          <t>Candaba</t>
        </is>
      </c>
      <c r="G545" s="36" t="inlineStr">
        <is>
          <t>Salapungan</t>
        </is>
      </c>
      <c r="H545" s="37" t="n">
        <v>15.14824</v>
      </c>
      <c r="I545" s="37" t="n">
        <v>120.59394</v>
      </c>
      <c r="J545" s="8" t="inlineStr">
        <is>
          <t>U</t>
        </is>
      </c>
      <c r="K545" s="36" t="inlineStr">
        <is>
          <t>Class 1-3 / Urban</t>
        </is>
      </c>
      <c r="L545" s="18" t="n">
        <v>5019</v>
      </c>
      <c r="M545" s="20" t="n">
        <v>4.63</v>
      </c>
      <c r="N545" s="18">
        <f>ROUND(L545/M545, 0)</f>
        <v/>
      </c>
      <c r="O545" s="18">
        <f>ROUND(N545*'Methodology &amp; Assumptions'!$B$8, 0)</f>
        <v/>
      </c>
      <c r="P545" s="8" t="inlineStr">
        <is>
          <t>Band n50 (1.5 GHz, 60 MHz)</t>
        </is>
      </c>
      <c r="Q545" s="38">
        <f>ROUNDUP(O545/'Methodology &amp; Assumptions'!$B$9, 0)</f>
        <v/>
      </c>
      <c r="R545" s="39" t="n">
        <v>1</v>
      </c>
      <c r="S545" s="21" t="n">
        <v>0.42</v>
      </c>
      <c r="T545" s="21" t="n">
        <v>0.06</v>
      </c>
      <c r="U545" s="36" t="inlineStr">
        <is>
          <t>Tier 1A (Direct Coloc, &lt;1 km)</t>
        </is>
      </c>
      <c r="V545" s="20" t="n">
        <v>96.90000000000001</v>
      </c>
      <c r="W545" s="20" t="n">
        <v>100</v>
      </c>
      <c r="X545" s="20" t="n">
        <v>28</v>
      </c>
      <c r="Y545" s="40">
        <f>ROUND((V545*'Methodology &amp; Assumptions'!$B$6)+(W545*'Methodology &amp; Assumptions'!$B$5)+(X545*'Methodology &amp; Assumptions'!$B$7), 2)</f>
        <v/>
      </c>
    </row>
    <row r="546" ht="19" customHeight="1">
      <c r="A546" s="41" t="n">
        <v>542</v>
      </c>
      <c r="B546" s="41" t="n">
        <v>542</v>
      </c>
      <c r="C546" s="42" t="inlineStr">
        <is>
          <t>1401110011</t>
        </is>
      </c>
      <c r="D546" s="42" t="inlineStr">
        <is>
          <t>Cordillera Administrative Region (CAR)</t>
        </is>
      </c>
      <c r="E546" s="42" t="inlineStr">
        <is>
          <t>Benguet</t>
        </is>
      </c>
      <c r="F546" s="42" t="inlineStr">
        <is>
          <t>La Trinidad</t>
        </is>
      </c>
      <c r="G546" s="42" t="inlineStr">
        <is>
          <t>Pico</t>
        </is>
      </c>
      <c r="H546" s="43" t="n">
        <v>16.44831</v>
      </c>
      <c r="I546" s="43" t="n">
        <v>120.58954</v>
      </c>
      <c r="J546" s="44" t="inlineStr">
        <is>
          <t>U</t>
        </is>
      </c>
      <c r="K546" s="42" t="inlineStr">
        <is>
          <t>Class 1-3 / Urban</t>
        </is>
      </c>
      <c r="L546" s="23" t="n">
        <v>25790</v>
      </c>
      <c r="M546" s="24" t="n">
        <v>4.58</v>
      </c>
      <c r="N546" s="23">
        <f>ROUND(L546/M546, 0)</f>
        <v/>
      </c>
      <c r="O546" s="23">
        <f>ROUND(N546*'Methodology &amp; Assumptions'!$B$8, 0)</f>
        <v/>
      </c>
      <c r="P546" s="44" t="inlineStr">
        <is>
          <t>Band n50 (1.5 GHz, 60 MHz)</t>
        </is>
      </c>
      <c r="Q546" s="38">
        <f>ROUNDUP(O546/'Methodology &amp; Assumptions'!$B$9, 0)</f>
        <v/>
      </c>
      <c r="R546" s="39" t="n">
        <v>1</v>
      </c>
      <c r="S546" s="25" t="n">
        <v>0.18</v>
      </c>
      <c r="T546" s="25" t="n">
        <v>0.12</v>
      </c>
      <c r="U546" s="42" t="inlineStr">
        <is>
          <t>Tier 1A (Direct Coloc, &lt;1 km)</t>
        </is>
      </c>
      <c r="V546" s="24" t="n">
        <v>100</v>
      </c>
      <c r="W546" s="24" t="n">
        <v>96.90000000000001</v>
      </c>
      <c r="X546" s="24" t="n">
        <v>28</v>
      </c>
      <c r="Y546" s="45">
        <f>ROUND((V546*'Methodology &amp; Assumptions'!$B$6)+(W546*'Methodology &amp; Assumptions'!$B$5)+(X546*'Methodology &amp; Assumptions'!$B$7), 2)</f>
        <v/>
      </c>
    </row>
    <row r="547" ht="19" customHeight="1">
      <c r="A547" s="35" t="n">
        <v>543</v>
      </c>
      <c r="B547" s="35" t="n">
        <v>543</v>
      </c>
      <c r="C547" s="36" t="inlineStr">
        <is>
          <t>0402118020</t>
        </is>
      </c>
      <c r="D547" s="36" t="inlineStr">
        <is>
          <t>Region IV-A (CALABARZON)</t>
        </is>
      </c>
      <c r="E547" s="36" t="inlineStr">
        <is>
          <t>Cavite</t>
        </is>
      </c>
      <c r="F547" s="36" t="inlineStr">
        <is>
          <t>Silang</t>
        </is>
      </c>
      <c r="G547" s="36" t="inlineStr">
        <is>
          <t>Lalaan II</t>
        </is>
      </c>
      <c r="H547" s="37" t="n">
        <v>14.158278</v>
      </c>
      <c r="I547" s="37" t="n">
        <v>120.958065</v>
      </c>
      <c r="J547" s="8" t="inlineStr">
        <is>
          <t>U</t>
        </is>
      </c>
      <c r="K547" s="36" t="inlineStr">
        <is>
          <t>Class 1-3 / Urban</t>
        </is>
      </c>
      <c r="L547" s="18" t="n">
        <v>7858</v>
      </c>
      <c r="M547" s="20" t="n">
        <v>4.49</v>
      </c>
      <c r="N547" s="18">
        <f>ROUND(L547/M547, 0)</f>
        <v/>
      </c>
      <c r="O547" s="18">
        <f>ROUND(N547*'Methodology &amp; Assumptions'!$B$8, 0)</f>
        <v/>
      </c>
      <c r="P547" s="8" t="inlineStr">
        <is>
          <t>Band n50 (1.5 GHz, 60 MHz)</t>
        </is>
      </c>
      <c r="Q547" s="38">
        <f>ROUNDUP(O547/'Methodology &amp; Assumptions'!$B$9, 0)</f>
        <v/>
      </c>
      <c r="R547" s="39" t="n">
        <v>1</v>
      </c>
      <c r="S547" s="21" t="n">
        <v>0.42</v>
      </c>
      <c r="T547" s="21" t="n">
        <v>0.13</v>
      </c>
      <c r="U547" s="36" t="inlineStr">
        <is>
          <t>Tier 1A (Direct Coloc, &lt;1 km)</t>
        </is>
      </c>
      <c r="V547" s="20" t="n">
        <v>96.90000000000001</v>
      </c>
      <c r="W547" s="20" t="n">
        <v>100</v>
      </c>
      <c r="X547" s="20" t="n">
        <v>28</v>
      </c>
      <c r="Y547" s="40">
        <f>ROUND((V547*'Methodology &amp; Assumptions'!$B$6)+(W547*'Methodology &amp; Assumptions'!$B$5)+(X547*'Methodology &amp; Assumptions'!$B$7), 2)</f>
        <v/>
      </c>
    </row>
    <row r="548" ht="19" customHeight="1">
      <c r="A548" s="41" t="n">
        <v>544</v>
      </c>
      <c r="B548" s="41" t="n">
        <v>544</v>
      </c>
      <c r="C548" s="42" t="inlineStr">
        <is>
          <t>1004321002</t>
        </is>
      </c>
      <c r="D548" s="42" t="inlineStr">
        <is>
          <t>Region X (Northern Mindanao)</t>
        </is>
      </c>
      <c r="E548" s="42" t="inlineStr">
        <is>
          <t>Misamis Oriental</t>
        </is>
      </c>
      <c r="F548" s="42" t="inlineStr">
        <is>
          <t>Opol</t>
        </is>
      </c>
      <c r="G548" s="42" t="inlineStr">
        <is>
          <t>Bagocboc</t>
        </is>
      </c>
      <c r="H548" s="43" t="n">
        <v>8.420325999999999</v>
      </c>
      <c r="I548" s="43" t="n">
        <v>124.501921</v>
      </c>
      <c r="J548" s="44" t="inlineStr">
        <is>
          <t>R</t>
        </is>
      </c>
      <c r="K548" s="42" t="inlineStr">
        <is>
          <t>Class 1-3 / Urban</t>
        </is>
      </c>
      <c r="L548" s="23" t="n">
        <v>3268</v>
      </c>
      <c r="M548" s="24" t="n">
        <v>4.54</v>
      </c>
      <c r="N548" s="23">
        <f>ROUND(L548/M548, 0)</f>
        <v/>
      </c>
      <c r="O548" s="23">
        <f>ROUND(N548*'Methodology &amp; Assumptions'!$B$8, 0)</f>
        <v/>
      </c>
      <c r="P548" s="44" t="inlineStr">
        <is>
          <t>Band n50 (1.5 GHz, 60 MHz)</t>
        </is>
      </c>
      <c r="Q548" s="38">
        <f>ROUNDUP(O548/'Methodology &amp; Assumptions'!$B$9, 0)</f>
        <v/>
      </c>
      <c r="R548" s="39" t="n">
        <v>1</v>
      </c>
      <c r="S548" s="25" t="n">
        <v>0.33</v>
      </c>
      <c r="T548" s="25" t="n">
        <v>12.11</v>
      </c>
      <c r="U548" s="42" t="inlineStr">
        <is>
          <t>Tier 1A (Direct Coloc, &lt;1 km)</t>
        </is>
      </c>
      <c r="V548" s="24" t="n">
        <v>89.5</v>
      </c>
      <c r="W548" s="24" t="n">
        <v>81.59999999999999</v>
      </c>
      <c r="X548" s="24" t="n">
        <v>58</v>
      </c>
      <c r="Y548" s="45">
        <f>ROUND((V548*'Methodology &amp; Assumptions'!$B$6)+(W548*'Methodology &amp; Assumptions'!$B$5)+(X548*'Methodology &amp; Assumptions'!$B$7), 2)</f>
        <v/>
      </c>
    </row>
    <row r="549" ht="19" customHeight="1">
      <c r="A549" s="35" t="n">
        <v>545</v>
      </c>
      <c r="B549" s="35" t="n">
        <v>545</v>
      </c>
      <c r="C549" s="36" t="inlineStr">
        <is>
          <t>0403403004</t>
        </is>
      </c>
      <c r="D549" s="36" t="inlineStr">
        <is>
          <t>Region IV-A (CALABARZON)</t>
        </is>
      </c>
      <c r="E549" s="36" t="inlineStr">
        <is>
          <t>Laguna</t>
        </is>
      </c>
      <c r="F549" s="36" t="inlineStr">
        <is>
          <t>City of Biñan</t>
        </is>
      </c>
      <c r="G549" s="36" t="inlineStr">
        <is>
          <t>Canlalay</t>
        </is>
      </c>
      <c r="H549" s="37" t="n">
        <v>14.335881</v>
      </c>
      <c r="I549" s="37" t="n">
        <v>121.078502</v>
      </c>
      <c r="J549" s="8" t="inlineStr">
        <is>
          <t>U</t>
        </is>
      </c>
      <c r="K549" s="36" t="inlineStr">
        <is>
          <t>Class 1-3 / Urban</t>
        </is>
      </c>
      <c r="L549" s="18" t="n">
        <v>20354</v>
      </c>
      <c r="M549" s="20" t="n">
        <v>4.2</v>
      </c>
      <c r="N549" s="18">
        <f>ROUND(L549/M549, 0)</f>
        <v/>
      </c>
      <c r="O549" s="18">
        <f>ROUND(N549*'Methodology &amp; Assumptions'!$B$8, 0)</f>
        <v/>
      </c>
      <c r="P549" s="8" t="inlineStr">
        <is>
          <t>Band n50 (1.5 GHz, 60 MHz)</t>
        </is>
      </c>
      <c r="Q549" s="38">
        <f>ROUNDUP(O549/'Methodology &amp; Assumptions'!$B$9, 0)</f>
        <v/>
      </c>
      <c r="R549" s="39" t="n">
        <v>1</v>
      </c>
      <c r="S549" s="21" t="n">
        <v>0.42</v>
      </c>
      <c r="T549" s="21" t="n">
        <v>0.08</v>
      </c>
      <c r="U549" s="36" t="inlineStr">
        <is>
          <t>Tier 1A (Direct Coloc, &lt;1 km)</t>
        </is>
      </c>
      <c r="V549" s="20" t="n">
        <v>96.8</v>
      </c>
      <c r="W549" s="20" t="n">
        <v>100</v>
      </c>
      <c r="X549" s="20" t="n">
        <v>28</v>
      </c>
      <c r="Y549" s="40">
        <f>ROUND((V549*'Methodology &amp; Assumptions'!$B$6)+(W549*'Methodology &amp; Assumptions'!$B$5)+(X549*'Methodology &amp; Assumptions'!$B$7), 2)</f>
        <v/>
      </c>
    </row>
    <row r="550" ht="19" customHeight="1">
      <c r="A550" s="41" t="n">
        <v>546</v>
      </c>
      <c r="B550" s="41" t="n">
        <v>546</v>
      </c>
      <c r="C550" s="42" t="inlineStr">
        <is>
          <t>0405642012</t>
        </is>
      </c>
      <c r="D550" s="42" t="inlineStr">
        <is>
          <t>Region IV-A (CALABARZON)</t>
        </is>
      </c>
      <c r="E550" s="42" t="inlineStr">
        <is>
          <t>Quezon</t>
        </is>
      </c>
      <c r="F550" s="42" t="inlineStr">
        <is>
          <t>San Francisco</t>
        </is>
      </c>
      <c r="G550" s="42" t="inlineStr">
        <is>
          <t>Poblacion</t>
        </is>
      </c>
      <c r="H550" s="43" t="n">
        <v>13.346756</v>
      </c>
      <c r="I550" s="43" t="n">
        <v>122.519398</v>
      </c>
      <c r="J550" s="44" t="inlineStr">
        <is>
          <t>U</t>
        </is>
      </c>
      <c r="K550" s="42" t="inlineStr">
        <is>
          <t>Class 1-3 / Urban</t>
        </is>
      </c>
      <c r="L550" s="23" t="n">
        <v>6114</v>
      </c>
      <c r="M550" s="24" t="n">
        <v>4.46</v>
      </c>
      <c r="N550" s="23">
        <f>ROUND(L550/M550, 0)</f>
        <v/>
      </c>
      <c r="O550" s="23">
        <f>ROUND(N550*'Methodology &amp; Assumptions'!$B$8, 0)</f>
        <v/>
      </c>
      <c r="P550" s="44" t="inlineStr">
        <is>
          <t>Band n50 (1.5 GHz, 60 MHz)</t>
        </is>
      </c>
      <c r="Q550" s="38">
        <f>ROUNDUP(O550/'Methodology &amp; Assumptions'!$B$9, 0)</f>
        <v/>
      </c>
      <c r="R550" s="39" t="n">
        <v>1</v>
      </c>
      <c r="S550" s="25" t="n">
        <v>0.1</v>
      </c>
      <c r="T550" s="25" t="n">
        <v>23.76</v>
      </c>
      <c r="U550" s="42" t="inlineStr">
        <is>
          <t>Tier 1A (Direct Coloc, &lt;1 km)</t>
        </is>
      </c>
      <c r="V550" s="24" t="n">
        <v>96.8</v>
      </c>
      <c r="W550" s="24" t="n">
        <v>100</v>
      </c>
      <c r="X550" s="24" t="n">
        <v>28</v>
      </c>
      <c r="Y550" s="45">
        <f>ROUND((V550*'Methodology &amp; Assumptions'!$B$6)+(W550*'Methodology &amp; Assumptions'!$B$5)+(X550*'Methodology &amp; Assumptions'!$B$7), 2)</f>
        <v/>
      </c>
    </row>
    <row r="551" ht="19" customHeight="1">
      <c r="A551" s="35" t="n">
        <v>547</v>
      </c>
      <c r="B551" s="35" t="n">
        <v>547</v>
      </c>
      <c r="C551" s="36" t="inlineStr">
        <is>
          <t>1401101005</t>
        </is>
      </c>
      <c r="D551" s="36" t="inlineStr">
        <is>
          <t>Cordillera Administrative Region (CAR)</t>
        </is>
      </c>
      <c r="E551" s="36" t="inlineStr">
        <is>
          <t>Benguet</t>
        </is>
      </c>
      <c r="F551" s="36" t="inlineStr">
        <is>
          <t>Atok</t>
        </is>
      </c>
      <c r="G551" s="36" t="inlineStr">
        <is>
          <t>Paoay</t>
        </is>
      </c>
      <c r="H551" s="37" t="n">
        <v>16.62794</v>
      </c>
      <c r="I551" s="37" t="n">
        <v>120.76666</v>
      </c>
      <c r="J551" s="8" t="inlineStr">
        <is>
          <t>U</t>
        </is>
      </c>
      <c r="K551" s="36" t="inlineStr">
        <is>
          <t>3rd</t>
        </is>
      </c>
      <c r="L551" s="18" t="n">
        <v>4285</v>
      </c>
      <c r="M551" s="20" t="n">
        <v>4.47</v>
      </c>
      <c r="N551" s="18">
        <f>ROUND(L551/M551, 0)</f>
        <v/>
      </c>
      <c r="O551" s="18">
        <f>ROUND(N551*'Methodology &amp; Assumptions'!$B$8, 0)</f>
        <v/>
      </c>
      <c r="P551" s="8" t="inlineStr">
        <is>
          <t>Band n50 (1.5 GHz, 60 MHz)</t>
        </is>
      </c>
      <c r="Q551" s="38">
        <f>ROUNDUP(O551/'Methodology &amp; Assumptions'!$B$9, 0)</f>
        <v/>
      </c>
      <c r="R551" s="39" t="n">
        <v>1</v>
      </c>
      <c r="S551" s="21" t="n">
        <v>0.11</v>
      </c>
      <c r="T551" s="21" t="n">
        <v>0.21</v>
      </c>
      <c r="U551" s="36" t="inlineStr">
        <is>
          <t>Tier 1A (Direct Coloc, &lt;1 km)</t>
        </is>
      </c>
      <c r="V551" s="20" t="n">
        <v>100</v>
      </c>
      <c r="W551" s="20" t="n">
        <v>96.8</v>
      </c>
      <c r="X551" s="20" t="n">
        <v>28</v>
      </c>
      <c r="Y551" s="40">
        <f>ROUND((V551*'Methodology &amp; Assumptions'!$B$6)+(W551*'Methodology &amp; Assumptions'!$B$5)+(X551*'Methodology &amp; Assumptions'!$B$7), 2)</f>
        <v/>
      </c>
    </row>
    <row r="552" ht="19" customHeight="1">
      <c r="A552" s="41" t="n">
        <v>548</v>
      </c>
      <c r="B552" s="41" t="n">
        <v>548</v>
      </c>
      <c r="C552" s="42" t="inlineStr">
        <is>
          <t>1206511002</t>
        </is>
      </c>
      <c r="D552" s="42" t="inlineStr">
        <is>
          <t>Region XII (SOCCSKSARGEN)</t>
        </is>
      </c>
      <c r="E552" s="42" t="inlineStr">
        <is>
          <t>Sultan Kudarat</t>
        </is>
      </c>
      <c r="F552" s="42" t="inlineStr">
        <is>
          <t>City of Tacurong</t>
        </is>
      </c>
      <c r="G552" s="42" t="inlineStr">
        <is>
          <t>Buenaflor</t>
        </is>
      </c>
      <c r="H552" s="43" t="n">
        <v>6.689722</v>
      </c>
      <c r="I552" s="43" t="n">
        <v>124.665278</v>
      </c>
      <c r="J552" s="44" t="inlineStr">
        <is>
          <t>U</t>
        </is>
      </c>
      <c r="K552" s="42" t="inlineStr">
        <is>
          <t>Class 1-3 / Urban</t>
        </is>
      </c>
      <c r="L552" s="23" t="n">
        <v>6972</v>
      </c>
      <c r="M552" s="24" t="n">
        <v>4.1</v>
      </c>
      <c r="N552" s="23">
        <f>ROUND(L552/M552, 0)</f>
        <v/>
      </c>
      <c r="O552" s="23">
        <f>ROUND(N552*'Methodology &amp; Assumptions'!$B$8, 0)</f>
        <v/>
      </c>
      <c r="P552" s="44" t="inlineStr">
        <is>
          <t>Band n50 (1.5 GHz, 60 MHz)</t>
        </is>
      </c>
      <c r="Q552" s="38">
        <f>ROUNDUP(O552/'Methodology &amp; Assumptions'!$B$9, 0)</f>
        <v/>
      </c>
      <c r="R552" s="39" t="n">
        <v>1</v>
      </c>
      <c r="S552" s="25" t="n">
        <v>0.91</v>
      </c>
      <c r="T552" s="25" t="n">
        <v>0.88</v>
      </c>
      <c r="U552" s="42" t="inlineStr">
        <is>
          <t>Tier 1A (Direct Coloc, &lt;1 km)</t>
        </is>
      </c>
      <c r="V552" s="24" t="n">
        <v>83.8</v>
      </c>
      <c r="W552" s="24" t="n">
        <v>100</v>
      </c>
      <c r="X552" s="24" t="n">
        <v>43</v>
      </c>
      <c r="Y552" s="45">
        <f>ROUND((V552*'Methodology &amp; Assumptions'!$B$6)+(W552*'Methodology &amp; Assumptions'!$B$5)+(X552*'Methodology &amp; Assumptions'!$B$7), 2)</f>
        <v/>
      </c>
    </row>
    <row r="553" ht="19" customHeight="1">
      <c r="A553" s="35" t="n">
        <v>549</v>
      </c>
      <c r="B553" s="35" t="n">
        <v>549</v>
      </c>
      <c r="C553" s="36" t="inlineStr">
        <is>
          <t>0405814001</t>
        </is>
      </c>
      <c r="D553" s="36" t="inlineStr">
        <is>
          <t>Region IV-A (CALABARZON)</t>
        </is>
      </c>
      <c r="E553" s="36" t="inlineStr">
        <is>
          <t>Rizal</t>
        </is>
      </c>
      <c r="F553" s="36" t="inlineStr">
        <is>
          <t>Teresa</t>
        </is>
      </c>
      <c r="G553" s="36" t="inlineStr">
        <is>
          <t>Bagumbayan</t>
        </is>
      </c>
      <c r="H553" s="37" t="n">
        <v>14.54988</v>
      </c>
      <c r="I553" s="37" t="n">
        <v>121.2185</v>
      </c>
      <c r="J553" s="8" t="inlineStr">
        <is>
          <t>U</t>
        </is>
      </c>
      <c r="K553" s="36" t="inlineStr">
        <is>
          <t>Class 1-3 / Urban</t>
        </is>
      </c>
      <c r="L553" s="18" t="n">
        <v>16283</v>
      </c>
      <c r="M553" s="20" t="n">
        <v>4.39</v>
      </c>
      <c r="N553" s="18">
        <f>ROUND(L553/M553, 0)</f>
        <v/>
      </c>
      <c r="O553" s="18">
        <f>ROUND(N553*'Methodology &amp; Assumptions'!$B$8, 0)</f>
        <v/>
      </c>
      <c r="P553" s="8" t="inlineStr">
        <is>
          <t>Band n50 (1.5 GHz, 60 MHz)</t>
        </is>
      </c>
      <c r="Q553" s="38">
        <f>ROUNDUP(O553/'Methodology &amp; Assumptions'!$B$9, 0)</f>
        <v/>
      </c>
      <c r="R553" s="39" t="n">
        <v>1</v>
      </c>
      <c r="S553" s="21" t="n">
        <v>0.43</v>
      </c>
      <c r="T553" s="21" t="n">
        <v>0.11</v>
      </c>
      <c r="U553" s="36" t="inlineStr">
        <is>
          <t>Tier 1A (Direct Coloc, &lt;1 km)</t>
        </is>
      </c>
      <c r="V553" s="20" t="n">
        <v>96.7</v>
      </c>
      <c r="W553" s="20" t="n">
        <v>100</v>
      </c>
      <c r="X553" s="20" t="n">
        <v>28</v>
      </c>
      <c r="Y553" s="40">
        <f>ROUND((V553*'Methodology &amp; Assumptions'!$B$6)+(W553*'Methodology &amp; Assumptions'!$B$5)+(X553*'Methodology &amp; Assumptions'!$B$7), 2)</f>
        <v/>
      </c>
    </row>
    <row r="554" ht="19" customHeight="1">
      <c r="A554" s="41" t="n">
        <v>550</v>
      </c>
      <c r="B554" s="41" t="n">
        <v>550</v>
      </c>
      <c r="C554" s="42" t="inlineStr">
        <is>
          <t>0401031038</t>
        </is>
      </c>
      <c r="D554" s="42" t="inlineStr">
        <is>
          <t>Region IV-A (CALABARZON)</t>
        </is>
      </c>
      <c r="E554" s="42" t="inlineStr">
        <is>
          <t>Batangas</t>
        </is>
      </c>
      <c r="F554" s="42" t="inlineStr">
        <is>
          <t>City of Tanauan</t>
        </is>
      </c>
      <c r="G554" s="42" t="inlineStr">
        <is>
          <t>Poblacion Barangay 7</t>
        </is>
      </c>
      <c r="H554" s="43" t="n">
        <v>14.079601</v>
      </c>
      <c r="I554" s="43" t="n">
        <v>121.146696</v>
      </c>
      <c r="J554" s="44" t="inlineStr">
        <is>
          <t>U</t>
        </is>
      </c>
      <c r="K554" s="42" t="inlineStr">
        <is>
          <t>Class 1-3 / Urban</t>
        </is>
      </c>
      <c r="L554" s="23" t="n">
        <v>5222</v>
      </c>
      <c r="M554" s="24" t="n">
        <v>4.62</v>
      </c>
      <c r="N554" s="23">
        <f>ROUND(L554/M554, 0)</f>
        <v/>
      </c>
      <c r="O554" s="23">
        <f>ROUND(N554*'Methodology &amp; Assumptions'!$B$8, 0)</f>
        <v/>
      </c>
      <c r="P554" s="44" t="inlineStr">
        <is>
          <t>Band n50 (1.5 GHz, 60 MHz)</t>
        </is>
      </c>
      <c r="Q554" s="38">
        <f>ROUNDUP(O554/'Methodology &amp; Assumptions'!$B$9, 0)</f>
        <v/>
      </c>
      <c r="R554" s="39" t="n">
        <v>1</v>
      </c>
      <c r="S554" s="25" t="n">
        <v>0.43</v>
      </c>
      <c r="T554" s="25" t="n">
        <v>0.42</v>
      </c>
      <c r="U554" s="42" t="inlineStr">
        <is>
          <t>Tier 1A (Direct Coloc, &lt;1 km)</t>
        </is>
      </c>
      <c r="V554" s="24" t="n">
        <v>96.7</v>
      </c>
      <c r="W554" s="24" t="n">
        <v>100</v>
      </c>
      <c r="X554" s="24" t="n">
        <v>28</v>
      </c>
      <c r="Y554" s="45">
        <f>ROUND((V554*'Methodology &amp; Assumptions'!$B$6)+(W554*'Methodology &amp; Assumptions'!$B$5)+(X554*'Methodology &amp; Assumptions'!$B$7), 2)</f>
        <v/>
      </c>
    </row>
    <row r="555" ht="19" customHeight="1">
      <c r="A555" s="35" t="n">
        <v>551</v>
      </c>
      <c r="B555" s="35" t="n">
        <v>551</v>
      </c>
      <c r="C555" s="36" t="inlineStr">
        <is>
          <t>0401009013</t>
        </is>
      </c>
      <c r="D555" s="36" t="inlineStr">
        <is>
          <t>Region IV-A (CALABARZON)</t>
        </is>
      </c>
      <c r="E555" s="36" t="inlineStr">
        <is>
          <t>Batangas</t>
        </is>
      </c>
      <c r="F555" s="36" t="inlineStr">
        <is>
          <t>Cuenca</t>
        </is>
      </c>
      <c r="G555" s="36" t="inlineStr">
        <is>
          <t>San Felipe</t>
        </is>
      </c>
      <c r="H555" s="37" t="n">
        <v>13.890579</v>
      </c>
      <c r="I555" s="37" t="n">
        <v>121.042217</v>
      </c>
      <c r="J555" s="8" t="inlineStr">
        <is>
          <t>R</t>
        </is>
      </c>
      <c r="K555" s="36" t="inlineStr">
        <is>
          <t>2nd</t>
        </is>
      </c>
      <c r="L555" s="18" t="n">
        <v>3896</v>
      </c>
      <c r="M555" s="20" t="n">
        <v>4.54</v>
      </c>
      <c r="N555" s="18">
        <f>ROUND(L555/M555, 0)</f>
        <v/>
      </c>
      <c r="O555" s="18">
        <f>ROUND(N555*'Methodology &amp; Assumptions'!$B$8, 0)</f>
        <v/>
      </c>
      <c r="P555" s="8" t="inlineStr">
        <is>
          <t>Band n50 (1.5 GHz, 60 MHz)</t>
        </is>
      </c>
      <c r="Q555" s="38">
        <f>ROUNDUP(O555/'Methodology &amp; Assumptions'!$B$9, 0)</f>
        <v/>
      </c>
      <c r="R555" s="39" t="n">
        <v>1</v>
      </c>
      <c r="S555" s="21" t="n">
        <v>1.14</v>
      </c>
      <c r="T555" s="21" t="n">
        <v>0.64</v>
      </c>
      <c r="U555" s="36" t="inlineStr">
        <is>
          <t>Tier 1B (Micro Drop, 1-3 km)</t>
        </is>
      </c>
      <c r="V555" s="20" t="n">
        <v>78.40000000000001</v>
      </c>
      <c r="W555" s="20" t="n">
        <v>92.5</v>
      </c>
      <c r="X555" s="20" t="n">
        <v>58</v>
      </c>
      <c r="Y555" s="40">
        <f>ROUND((V555*'Methodology &amp; Assumptions'!$B$6)+(W555*'Methodology &amp; Assumptions'!$B$5)+(X555*'Methodology &amp; Assumptions'!$B$7), 2)</f>
        <v/>
      </c>
    </row>
    <row r="556" ht="19" customHeight="1">
      <c r="A556" s="41" t="n">
        <v>552</v>
      </c>
      <c r="B556" s="41" t="n">
        <v>552</v>
      </c>
      <c r="C556" s="42" t="inlineStr">
        <is>
          <t>0304902020</t>
        </is>
      </c>
      <c r="D556" s="42" t="inlineStr">
        <is>
          <t>Region III (Central Luzon)</t>
        </is>
      </c>
      <c r="E556" s="42" t="inlineStr">
        <is>
          <t>Nueva Ecija</t>
        </is>
      </c>
      <c r="F556" s="42" t="inlineStr">
        <is>
          <t>Bongabon</t>
        </is>
      </c>
      <c r="G556" s="42" t="inlineStr">
        <is>
          <t>Rizal</t>
        </is>
      </c>
      <c r="H556" s="43" t="n">
        <v>15.630436</v>
      </c>
      <c r="I556" s="43" t="n">
        <v>121.144107</v>
      </c>
      <c r="J556" s="44" t="inlineStr">
        <is>
          <t>R</t>
        </is>
      </c>
      <c r="K556" s="42" t="inlineStr">
        <is>
          <t>Class 1-3 / Urban</t>
        </is>
      </c>
      <c r="L556" s="23" t="n">
        <v>3194</v>
      </c>
      <c r="M556" s="24" t="n">
        <v>4.32</v>
      </c>
      <c r="N556" s="23">
        <f>ROUND(L556/M556, 0)</f>
        <v/>
      </c>
      <c r="O556" s="23">
        <f>ROUND(N556*'Methodology &amp; Assumptions'!$B$8, 0)</f>
        <v/>
      </c>
      <c r="P556" s="44" t="inlineStr">
        <is>
          <t>Band n50 (1.5 GHz, 60 MHz)</t>
        </is>
      </c>
      <c r="Q556" s="38">
        <f>ROUNDUP(O556/'Methodology &amp; Assumptions'!$B$9, 0)</f>
        <v/>
      </c>
      <c r="R556" s="39" t="n">
        <v>1</v>
      </c>
      <c r="S556" s="25" t="n">
        <v>0.76</v>
      </c>
      <c r="T556" s="25" t="n">
        <v>0.37</v>
      </c>
      <c r="U556" s="42" t="inlineStr">
        <is>
          <t>Tier 1A (Direct Coloc, &lt;1 km)</t>
        </is>
      </c>
      <c r="V556" s="24" t="n">
        <v>87.7</v>
      </c>
      <c r="W556" s="24" t="n">
        <v>83.2</v>
      </c>
      <c r="X556" s="24" t="n">
        <v>58</v>
      </c>
      <c r="Y556" s="45">
        <f>ROUND((V556*'Methodology &amp; Assumptions'!$B$6)+(W556*'Methodology &amp; Assumptions'!$B$5)+(X556*'Methodology &amp; Assumptions'!$B$7), 2)</f>
        <v/>
      </c>
    </row>
    <row r="557" ht="19" customHeight="1">
      <c r="A557" s="35" t="n">
        <v>553</v>
      </c>
      <c r="B557" s="35" t="n">
        <v>553</v>
      </c>
      <c r="C557" s="36" t="inlineStr">
        <is>
          <t>1001317029</t>
        </is>
      </c>
      <c r="D557" s="36" t="inlineStr">
        <is>
          <t>Region X (Northern Mindanao)</t>
        </is>
      </c>
      <c r="E557" s="36" t="inlineStr">
        <is>
          <t>Bukidnon</t>
        </is>
      </c>
      <c r="F557" s="36" t="inlineStr">
        <is>
          <t>Quezon</t>
        </is>
      </c>
      <c r="G557" s="36" t="inlineStr">
        <is>
          <t>Puntian</t>
        </is>
      </c>
      <c r="H557" s="37" t="n">
        <v>7.608563</v>
      </c>
      <c r="I557" s="37" t="n">
        <v>125.11636</v>
      </c>
      <c r="J557" s="8" t="inlineStr">
        <is>
          <t>R</t>
        </is>
      </c>
      <c r="K557" s="36" t="inlineStr">
        <is>
          <t>Class 1-3 / Urban</t>
        </is>
      </c>
      <c r="L557" s="18" t="n">
        <v>2787</v>
      </c>
      <c r="M557" s="20" t="n">
        <v>4.63</v>
      </c>
      <c r="N557" s="18">
        <f>ROUND(L557/M557, 0)</f>
        <v/>
      </c>
      <c r="O557" s="18">
        <f>ROUND(N557*'Methodology &amp; Assumptions'!$B$8, 0)</f>
        <v/>
      </c>
      <c r="P557" s="8" t="inlineStr">
        <is>
          <t>Band n50 (1.5 GHz, 60 MHz)</t>
        </is>
      </c>
      <c r="Q557" s="38">
        <f>ROUNDUP(O557/'Methodology &amp; Assumptions'!$B$9, 0)</f>
        <v/>
      </c>
      <c r="R557" s="39" t="n">
        <v>1</v>
      </c>
      <c r="S557" s="21" t="n">
        <v>0.36</v>
      </c>
      <c r="T557" s="21" t="n">
        <v>0.12</v>
      </c>
      <c r="U557" s="36" t="inlineStr">
        <is>
          <t>Tier 1A (Direct Coloc, &lt;1 km)</t>
        </is>
      </c>
      <c r="V557" s="20" t="n">
        <v>98.59999999999999</v>
      </c>
      <c r="W557" s="20" t="n">
        <v>72.3</v>
      </c>
      <c r="X557" s="20" t="n">
        <v>58</v>
      </c>
      <c r="Y557" s="40">
        <f>ROUND((V557*'Methodology &amp; Assumptions'!$B$6)+(W557*'Methodology &amp; Assumptions'!$B$5)+(X557*'Methodology &amp; Assumptions'!$B$7), 2)</f>
        <v/>
      </c>
    </row>
    <row r="558" ht="19" customHeight="1">
      <c r="A558" s="41" t="n">
        <v>554</v>
      </c>
      <c r="B558" s="41" t="n">
        <v>554</v>
      </c>
      <c r="C558" s="42" t="inlineStr">
        <is>
          <t>0731100019</t>
        </is>
      </c>
      <c r="D558" s="42" t="inlineStr">
        <is>
          <t>Region VII (Central Visayas)</t>
        </is>
      </c>
      <c r="E558" s="42" t="inlineStr">
        <is>
          <t>Cebu</t>
        </is>
      </c>
      <c r="F558" s="42" t="inlineStr">
        <is>
          <t>City of Lapu-Lapu</t>
        </is>
      </c>
      <c r="G558" s="42" t="inlineStr">
        <is>
          <t>Pajo</t>
        </is>
      </c>
      <c r="H558" s="43" t="n">
        <v>10.312448</v>
      </c>
      <c r="I558" s="43" t="n">
        <v>123.959164</v>
      </c>
      <c r="J558" s="44" t="inlineStr">
        <is>
          <t>U</t>
        </is>
      </c>
      <c r="K558" s="42" t="inlineStr">
        <is>
          <t>Class 1-3 / Urban</t>
        </is>
      </c>
      <c r="L558" s="23" t="n">
        <v>25845</v>
      </c>
      <c r="M558" s="24" t="n">
        <v>4.42</v>
      </c>
      <c r="N558" s="23">
        <f>ROUND(L558/M558, 0)</f>
        <v/>
      </c>
      <c r="O558" s="23">
        <f>ROUND(N558*'Methodology &amp; Assumptions'!$B$8, 0)</f>
        <v/>
      </c>
      <c r="P558" s="44" t="inlineStr">
        <is>
          <t>Band n50 (1.5 GHz, 60 MHz)</t>
        </is>
      </c>
      <c r="Q558" s="38">
        <f>ROUNDUP(O558/'Methodology &amp; Assumptions'!$B$9, 0)</f>
        <v/>
      </c>
      <c r="R558" s="39" t="n">
        <v>1</v>
      </c>
      <c r="S558" s="25" t="n">
        <v>0.1</v>
      </c>
      <c r="T558" s="25" t="n">
        <v>3.3</v>
      </c>
      <c r="U558" s="42" t="inlineStr">
        <is>
          <t>Tier 1A (Direct Coloc, &lt;1 km)</t>
        </is>
      </c>
      <c r="V558" s="24" t="n">
        <v>96.59999999999999</v>
      </c>
      <c r="W558" s="24" t="n">
        <v>100</v>
      </c>
      <c r="X558" s="24" t="n">
        <v>28</v>
      </c>
      <c r="Y558" s="45">
        <f>ROUND((V558*'Methodology &amp; Assumptions'!$B$6)+(W558*'Methodology &amp; Assumptions'!$B$5)+(X558*'Methodology &amp; Assumptions'!$B$7), 2)</f>
        <v/>
      </c>
    </row>
    <row r="559" ht="19" customHeight="1">
      <c r="A559" s="35" t="n">
        <v>555</v>
      </c>
      <c r="B559" s="35" t="n">
        <v>555</v>
      </c>
      <c r="C559" s="36" t="inlineStr">
        <is>
          <t>0203114062</t>
        </is>
      </c>
      <c r="D559" s="36" t="inlineStr">
        <is>
          <t>Region II (Cagayan Valley)</t>
        </is>
      </c>
      <c r="E559" s="36" t="inlineStr">
        <is>
          <t>Isabela</t>
        </is>
      </c>
      <c r="F559" s="36" t="inlineStr">
        <is>
          <t>City of Ilagan</t>
        </is>
      </c>
      <c r="G559" s="36" t="inlineStr">
        <is>
          <t>Naguilian Norte</t>
        </is>
      </c>
      <c r="H559" s="37" t="n">
        <v>17.166524</v>
      </c>
      <c r="I559" s="37" t="n">
        <v>121.869851</v>
      </c>
      <c r="J559" s="8" t="inlineStr">
        <is>
          <t>R</t>
        </is>
      </c>
      <c r="K559" s="36" t="inlineStr">
        <is>
          <t>Class 1-3 / Urban</t>
        </is>
      </c>
      <c r="L559" s="18" t="n">
        <v>3233</v>
      </c>
      <c r="M559" s="20" t="n">
        <v>4.3</v>
      </c>
      <c r="N559" s="18">
        <f>ROUND(L559/M559, 0)</f>
        <v/>
      </c>
      <c r="O559" s="18">
        <f>ROUND(N559*'Methodology &amp; Assumptions'!$B$8, 0)</f>
        <v/>
      </c>
      <c r="P559" s="8" t="inlineStr">
        <is>
          <t>Band n50 (1.5 GHz, 60 MHz)</t>
        </is>
      </c>
      <c r="Q559" s="38">
        <f>ROUNDUP(O559/'Methodology &amp; Assumptions'!$B$9, 0)</f>
        <v/>
      </c>
      <c r="R559" s="39" t="n">
        <v>1</v>
      </c>
      <c r="S559" s="21" t="n">
        <v>0.8</v>
      </c>
      <c r="T559" s="21" t="n">
        <v>0.07000000000000001</v>
      </c>
      <c r="U559" s="36" t="inlineStr">
        <is>
          <t>Tier 1A (Direct Coloc, &lt;1 km)</t>
        </is>
      </c>
      <c r="V559" s="20" t="n">
        <v>86.59999999999999</v>
      </c>
      <c r="W559" s="20" t="n">
        <v>84.3</v>
      </c>
      <c r="X559" s="20" t="n">
        <v>58</v>
      </c>
      <c r="Y559" s="40">
        <f>ROUND((V559*'Methodology &amp; Assumptions'!$B$6)+(W559*'Methodology &amp; Assumptions'!$B$5)+(X559*'Methodology &amp; Assumptions'!$B$7), 2)</f>
        <v/>
      </c>
    </row>
    <row r="560" ht="19" customHeight="1">
      <c r="A560" s="41" t="n">
        <v>556</v>
      </c>
      <c r="B560" s="41" t="n">
        <v>556</v>
      </c>
      <c r="C560" s="42" t="inlineStr">
        <is>
          <t>0405806008</t>
        </is>
      </c>
      <c r="D560" s="42" t="inlineStr">
        <is>
          <t>Region IV-A (CALABARZON)</t>
        </is>
      </c>
      <c r="E560" s="42" t="inlineStr">
        <is>
          <t>Rizal</t>
        </is>
      </c>
      <c r="F560" s="42" t="inlineStr">
        <is>
          <t>Cardona</t>
        </is>
      </c>
      <c r="G560" s="42" t="inlineStr">
        <is>
          <t>Dalig</t>
        </is>
      </c>
      <c r="H560" s="43" t="n">
        <v>14.482132</v>
      </c>
      <c r="I560" s="43" t="n">
        <v>121.232756</v>
      </c>
      <c r="J560" s="44" t="inlineStr">
        <is>
          <t>U</t>
        </is>
      </c>
      <c r="K560" s="42" t="inlineStr">
        <is>
          <t>Class 1-3 / Urban</t>
        </is>
      </c>
      <c r="L560" s="23" t="n">
        <v>7104</v>
      </c>
      <c r="M560" s="24" t="n">
        <v>4.39</v>
      </c>
      <c r="N560" s="23">
        <f>ROUND(L560/M560, 0)</f>
        <v/>
      </c>
      <c r="O560" s="23">
        <f>ROUND(N560*'Methodology &amp; Assumptions'!$B$8, 0)</f>
        <v/>
      </c>
      <c r="P560" s="44" t="inlineStr">
        <is>
          <t>Band n50 (1.5 GHz, 60 MHz)</t>
        </is>
      </c>
      <c r="Q560" s="38">
        <f>ROUNDUP(O560/'Methodology &amp; Assumptions'!$B$9, 0)</f>
        <v/>
      </c>
      <c r="R560" s="39" t="n">
        <v>1</v>
      </c>
      <c r="S560" s="25" t="n">
        <v>0.43</v>
      </c>
      <c r="T560" s="25" t="n">
        <v>0.33</v>
      </c>
      <c r="U560" s="42" t="inlineStr">
        <is>
          <t>Tier 1A (Direct Coloc, &lt;1 km)</t>
        </is>
      </c>
      <c r="V560" s="24" t="n">
        <v>96.5</v>
      </c>
      <c r="W560" s="24" t="n">
        <v>100</v>
      </c>
      <c r="X560" s="24" t="n">
        <v>28</v>
      </c>
      <c r="Y560" s="45">
        <f>ROUND((V560*'Methodology &amp; Assumptions'!$B$6)+(W560*'Methodology &amp; Assumptions'!$B$5)+(X560*'Methodology &amp; Assumptions'!$B$7), 2)</f>
        <v/>
      </c>
    </row>
    <row r="561" ht="19" customHeight="1">
      <c r="A561" s="35" t="n">
        <v>557</v>
      </c>
      <c r="B561" s="35" t="n">
        <v>557</v>
      </c>
      <c r="C561" s="36" t="inlineStr">
        <is>
          <t>0203101004</t>
        </is>
      </c>
      <c r="D561" s="36" t="inlineStr">
        <is>
          <t>Region II (Cagayan Valley)</t>
        </is>
      </c>
      <c r="E561" s="36" t="inlineStr">
        <is>
          <t>Isabela</t>
        </is>
      </c>
      <c r="F561" s="36" t="inlineStr">
        <is>
          <t>Alicia</t>
        </is>
      </c>
      <c r="G561" s="36" t="inlineStr">
        <is>
          <t>Aurora</t>
        </is>
      </c>
      <c r="H561" s="37" t="n">
        <v>16.7864</v>
      </c>
      <c r="I561" s="37" t="n">
        <v>121.6908</v>
      </c>
      <c r="J561" s="8" t="inlineStr">
        <is>
          <t>U</t>
        </is>
      </c>
      <c r="K561" s="36" t="inlineStr">
        <is>
          <t>Class 1-3 / Urban</t>
        </is>
      </c>
      <c r="L561" s="18" t="n">
        <v>3905</v>
      </c>
      <c r="M561" s="20" t="n">
        <v>4.3</v>
      </c>
      <c r="N561" s="18">
        <f>ROUND(L561/M561, 0)</f>
        <v/>
      </c>
      <c r="O561" s="18">
        <f>ROUND(N561*'Methodology &amp; Assumptions'!$B$8, 0)</f>
        <v/>
      </c>
      <c r="P561" s="8" t="inlineStr">
        <is>
          <t>Band n50 (1.5 GHz, 60 MHz)</t>
        </is>
      </c>
      <c r="Q561" s="38">
        <f>ROUNDUP(O561/'Methodology &amp; Assumptions'!$B$9, 0)</f>
        <v/>
      </c>
      <c r="R561" s="39" t="n">
        <v>1</v>
      </c>
      <c r="S561" s="21" t="n">
        <v>0.31</v>
      </c>
      <c r="T561" s="21" t="n">
        <v>1.23</v>
      </c>
      <c r="U561" s="36" t="inlineStr">
        <is>
          <t>Tier 1A (Direct Coloc, &lt;1 km)</t>
        </is>
      </c>
      <c r="V561" s="20" t="n">
        <v>100</v>
      </c>
      <c r="W561" s="20" t="n">
        <v>96.5</v>
      </c>
      <c r="X561" s="20" t="n">
        <v>28</v>
      </c>
      <c r="Y561" s="40">
        <f>ROUND((V561*'Methodology &amp; Assumptions'!$B$6)+(W561*'Methodology &amp; Assumptions'!$B$5)+(X561*'Methodology &amp; Assumptions'!$B$7), 2)</f>
        <v/>
      </c>
    </row>
    <row r="562" ht="19" customHeight="1">
      <c r="A562" s="41" t="n">
        <v>558</v>
      </c>
      <c r="B562" s="41" t="n">
        <v>558</v>
      </c>
      <c r="C562" s="42" t="inlineStr">
        <is>
          <t>0301422034</t>
        </is>
      </c>
      <c r="D562" s="42" t="inlineStr">
        <is>
          <t>Region III (Central Luzon)</t>
        </is>
      </c>
      <c r="E562" s="42" t="inlineStr">
        <is>
          <t>Bulacan</t>
        </is>
      </c>
      <c r="F562" s="42" t="inlineStr">
        <is>
          <t>San Rafael</t>
        </is>
      </c>
      <c r="G562" s="42" t="inlineStr">
        <is>
          <t>Ulingao</t>
        </is>
      </c>
      <c r="H562" s="43" t="n">
        <v>14.971604</v>
      </c>
      <c r="I562" s="43" t="n">
        <v>120.913111</v>
      </c>
      <c r="J562" s="44" t="inlineStr">
        <is>
          <t>U</t>
        </is>
      </c>
      <c r="K562" s="42" t="inlineStr">
        <is>
          <t>Class 1-3 / Urban</t>
        </is>
      </c>
      <c r="L562" s="23" t="n">
        <v>3711</v>
      </c>
      <c r="M562" s="24" t="n">
        <v>4.1</v>
      </c>
      <c r="N562" s="23">
        <f>ROUND(L562/M562, 0)</f>
        <v/>
      </c>
      <c r="O562" s="23">
        <f>ROUND(N562*'Methodology &amp; Assumptions'!$B$8, 0)</f>
        <v/>
      </c>
      <c r="P562" s="44" t="inlineStr">
        <is>
          <t>Band n50 (1.5 GHz, 60 MHz)</t>
        </is>
      </c>
      <c r="Q562" s="38">
        <f>ROUNDUP(O562/'Methodology &amp; Assumptions'!$B$9, 0)</f>
        <v/>
      </c>
      <c r="R562" s="39" t="n">
        <v>1</v>
      </c>
      <c r="S562" s="25" t="n">
        <v>0.15</v>
      </c>
      <c r="T562" s="25" t="n">
        <v>0.13</v>
      </c>
      <c r="U562" s="42" t="inlineStr">
        <is>
          <t>Tier 1A (Direct Coloc, &lt;1 km)</t>
        </is>
      </c>
      <c r="V562" s="24" t="n">
        <v>100</v>
      </c>
      <c r="W562" s="24" t="n">
        <v>96.5</v>
      </c>
      <c r="X562" s="24" t="n">
        <v>28</v>
      </c>
      <c r="Y562" s="45">
        <f>ROUND((V562*'Methodology &amp; Assumptions'!$B$6)+(W562*'Methodology &amp; Assumptions'!$B$5)+(X562*'Methodology &amp; Assumptions'!$B$7), 2)</f>
        <v/>
      </c>
    </row>
    <row r="563" ht="19" customHeight="1">
      <c r="A563" s="35" t="n">
        <v>559</v>
      </c>
      <c r="B563" s="35" t="n">
        <v>559</v>
      </c>
      <c r="C563" s="36" t="inlineStr">
        <is>
          <t>0501716033</t>
        </is>
      </c>
      <c r="D563" s="36" t="inlineStr">
        <is>
          <t>Region V (Bicol Region)</t>
        </is>
      </c>
      <c r="E563" s="36" t="inlineStr">
        <is>
          <t>Camarines Sur</t>
        </is>
      </c>
      <c r="F563" s="36" t="inlineStr">
        <is>
          <t>City of Iriga</t>
        </is>
      </c>
      <c r="G563" s="36" t="inlineStr">
        <is>
          <t>Santa Teresita</t>
        </is>
      </c>
      <c r="H563" s="37" t="n">
        <v>13.480713</v>
      </c>
      <c r="I563" s="37" t="n">
        <v>123.419675</v>
      </c>
      <c r="J563" s="8" t="inlineStr">
        <is>
          <t>R</t>
        </is>
      </c>
      <c r="K563" s="36" t="inlineStr">
        <is>
          <t>Class 1-3 / Urban</t>
        </is>
      </c>
      <c r="L563" s="18" t="n">
        <v>3083</v>
      </c>
      <c r="M563" s="20" t="n">
        <v>4.9</v>
      </c>
      <c r="N563" s="18">
        <f>ROUND(L563/M563, 0)</f>
        <v/>
      </c>
      <c r="O563" s="18">
        <f>ROUND(N563*'Methodology &amp; Assumptions'!$B$8, 0)</f>
        <v/>
      </c>
      <c r="P563" s="8" t="inlineStr">
        <is>
          <t>Band n50 (1.5 GHz, 60 MHz)</t>
        </is>
      </c>
      <c r="Q563" s="38">
        <f>ROUNDUP(O563/'Methodology &amp; Assumptions'!$B$9, 0)</f>
        <v/>
      </c>
      <c r="R563" s="39" t="n">
        <v>1</v>
      </c>
      <c r="S563" s="21" t="n">
        <v>0.11</v>
      </c>
      <c r="T563" s="21" t="n">
        <v>4.68</v>
      </c>
      <c r="U563" s="36" t="inlineStr">
        <is>
          <t>Tier 1A (Direct Coloc, &lt;1 km)</t>
        </is>
      </c>
      <c r="V563" s="20" t="n">
        <v>96.40000000000001</v>
      </c>
      <c r="W563" s="20" t="n">
        <v>74.40000000000001</v>
      </c>
      <c r="X563" s="20" t="n">
        <v>58</v>
      </c>
      <c r="Y563" s="40">
        <f>ROUND((V563*'Methodology &amp; Assumptions'!$B$6)+(W563*'Methodology &amp; Assumptions'!$B$5)+(X563*'Methodology &amp; Assumptions'!$B$7), 2)</f>
        <v/>
      </c>
    </row>
    <row r="564" ht="19" customHeight="1">
      <c r="A564" s="41" t="n">
        <v>560</v>
      </c>
      <c r="B564" s="41" t="n">
        <v>560</v>
      </c>
      <c r="C564" s="42" t="inlineStr">
        <is>
          <t>0330100021</t>
        </is>
      </c>
      <c r="D564" s="42" t="inlineStr">
        <is>
          <t>Region III (Central Luzon)</t>
        </is>
      </c>
      <c r="E564" s="42" t="inlineStr">
        <is>
          <t>Pampanga</t>
        </is>
      </c>
      <c r="F564" s="42" t="inlineStr">
        <is>
          <t>City of Angeles</t>
        </is>
      </c>
      <c r="G564" s="42" t="inlineStr">
        <is>
          <t>Pulung Cacutud</t>
        </is>
      </c>
      <c r="H564" s="43" t="n">
        <v>15.165126</v>
      </c>
      <c r="I564" s="43" t="n">
        <v>120.616646</v>
      </c>
      <c r="J564" s="44" t="inlineStr">
        <is>
          <t>U</t>
        </is>
      </c>
      <c r="K564" s="42" t="inlineStr">
        <is>
          <t>Class 1-3 / Urban</t>
        </is>
      </c>
      <c r="L564" s="23" t="n">
        <v>25385</v>
      </c>
      <c r="M564" s="24" t="n">
        <v>4.63</v>
      </c>
      <c r="N564" s="23">
        <f>ROUND(L564/M564, 0)</f>
        <v/>
      </c>
      <c r="O564" s="23">
        <f>ROUND(N564*'Methodology &amp; Assumptions'!$B$8, 0)</f>
        <v/>
      </c>
      <c r="P564" s="44" t="inlineStr">
        <is>
          <t>Band n50 (1.5 GHz, 60 MHz)</t>
        </is>
      </c>
      <c r="Q564" s="38">
        <f>ROUNDUP(O564/'Methodology &amp; Assumptions'!$B$9, 0)</f>
        <v/>
      </c>
      <c r="R564" s="39" t="n">
        <v>1</v>
      </c>
      <c r="S564" s="25" t="n">
        <v>0.44</v>
      </c>
      <c r="T564" s="25" t="n">
        <v>0.09</v>
      </c>
      <c r="U564" s="42" t="inlineStr">
        <is>
          <t>Tier 1A (Direct Coloc, &lt;1 km)</t>
        </is>
      </c>
      <c r="V564" s="24" t="n">
        <v>96.5</v>
      </c>
      <c r="W564" s="24" t="n">
        <v>100</v>
      </c>
      <c r="X564" s="24" t="n">
        <v>28</v>
      </c>
      <c r="Y564" s="45">
        <f>ROUND((V564*'Methodology &amp; Assumptions'!$B$6)+(W564*'Methodology &amp; Assumptions'!$B$5)+(X564*'Methodology &amp; Assumptions'!$B$7), 2)</f>
        <v/>
      </c>
    </row>
    <row r="565" ht="19" customHeight="1">
      <c r="A565" s="35" t="n">
        <v>561</v>
      </c>
      <c r="B565" s="35" t="n">
        <v>561</v>
      </c>
      <c r="C565" s="36" t="inlineStr">
        <is>
          <t>1102401023</t>
        </is>
      </c>
      <c r="D565" s="36" t="inlineStr">
        <is>
          <t>Region XI (Davao Region)</t>
        </is>
      </c>
      <c r="E565" s="36" t="inlineStr">
        <is>
          <t>Davao del Sur</t>
        </is>
      </c>
      <c r="F565" s="36" t="inlineStr">
        <is>
          <t>Bansalan</t>
        </is>
      </c>
      <c r="G565" s="36" t="inlineStr">
        <is>
          <t>Tubod</t>
        </is>
      </c>
      <c r="H565" s="37" t="n">
        <v>6.79945</v>
      </c>
      <c r="I565" s="37" t="n">
        <v>125.21169</v>
      </c>
      <c r="J565" s="8" t="inlineStr">
        <is>
          <t>R</t>
        </is>
      </c>
      <c r="K565" s="36" t="inlineStr">
        <is>
          <t>Class 1-3 / Urban</t>
        </is>
      </c>
      <c r="L565" s="18" t="n">
        <v>3522</v>
      </c>
      <c r="M565" s="20" t="n">
        <v>4.1</v>
      </c>
      <c r="N565" s="18">
        <f>ROUND(L565/M565, 0)</f>
        <v/>
      </c>
      <c r="O565" s="18">
        <f>ROUND(N565*'Methodology &amp; Assumptions'!$B$8, 0)</f>
        <v/>
      </c>
      <c r="P565" s="8" t="inlineStr">
        <is>
          <t>Band n50 (1.5 GHz, 60 MHz)</t>
        </is>
      </c>
      <c r="Q565" s="38">
        <f>ROUNDUP(O565/'Methodology &amp; Assumptions'!$B$9, 0)</f>
        <v/>
      </c>
      <c r="R565" s="39" t="n">
        <v>1</v>
      </c>
      <c r="S565" s="21" t="n">
        <v>1.29</v>
      </c>
      <c r="T565" s="21" t="n">
        <v>17.21</v>
      </c>
      <c r="U565" s="36" t="inlineStr">
        <is>
          <t>Tier 1B (Micro Drop, 1-3 km)</t>
        </is>
      </c>
      <c r="V565" s="20" t="n">
        <v>65.09999999999999</v>
      </c>
      <c r="W565" s="20" t="n">
        <v>92.8</v>
      </c>
      <c r="X565" s="20" t="n">
        <v>73</v>
      </c>
      <c r="Y565" s="40">
        <f>ROUND((V565*'Methodology &amp; Assumptions'!$B$6)+(W565*'Methodology &amp; Assumptions'!$B$5)+(X565*'Methodology &amp; Assumptions'!$B$7), 2)</f>
        <v/>
      </c>
    </row>
    <row r="566" ht="19" customHeight="1">
      <c r="A566" s="41" t="n">
        <v>562</v>
      </c>
      <c r="B566" s="41" t="n">
        <v>562</v>
      </c>
      <c r="C566" s="42" t="inlineStr">
        <is>
          <t>0403424036</t>
        </is>
      </c>
      <c r="D566" s="42" t="inlineStr">
        <is>
          <t>Region IV-A (CALABARZON)</t>
        </is>
      </c>
      <c r="E566" s="42" t="inlineStr">
        <is>
          <t>Laguna</t>
        </is>
      </c>
      <c r="F566" s="42" t="inlineStr">
        <is>
          <t>City of San Pablo</t>
        </is>
      </c>
      <c r="G566" s="42" t="inlineStr">
        <is>
          <t>Del Remedio</t>
        </is>
      </c>
      <c r="H566" s="43" t="n">
        <v>14.078373</v>
      </c>
      <c r="I566" s="43" t="n">
        <v>121.313469</v>
      </c>
      <c r="J566" s="44" t="inlineStr">
        <is>
          <t>U</t>
        </is>
      </c>
      <c r="K566" s="42" t="inlineStr">
        <is>
          <t>Class 1-3 / Urban</t>
        </is>
      </c>
      <c r="L566" s="23" t="n">
        <v>17871</v>
      </c>
      <c r="M566" s="24" t="n">
        <v>4.2</v>
      </c>
      <c r="N566" s="23">
        <f>ROUND(L566/M566, 0)</f>
        <v/>
      </c>
      <c r="O566" s="23">
        <f>ROUND(N566*'Methodology &amp; Assumptions'!$B$8, 0)</f>
        <v/>
      </c>
      <c r="P566" s="44" t="inlineStr">
        <is>
          <t>Band n50 (1.5 GHz, 60 MHz)</t>
        </is>
      </c>
      <c r="Q566" s="38">
        <f>ROUNDUP(O566/'Methodology &amp; Assumptions'!$B$9, 0)</f>
        <v/>
      </c>
      <c r="R566" s="39" t="n">
        <v>1</v>
      </c>
      <c r="S566" s="25" t="n">
        <v>0.44</v>
      </c>
      <c r="T566" s="25" t="n">
        <v>0.08</v>
      </c>
      <c r="U566" s="42" t="inlineStr">
        <is>
          <t>Tier 1A (Direct Coloc, &lt;1 km)</t>
        </is>
      </c>
      <c r="V566" s="24" t="n">
        <v>96.5</v>
      </c>
      <c r="W566" s="24" t="n">
        <v>100</v>
      </c>
      <c r="X566" s="24" t="n">
        <v>28</v>
      </c>
      <c r="Y566" s="45">
        <f>ROUND((V566*'Methodology &amp; Assumptions'!$B$6)+(W566*'Methodology &amp; Assumptions'!$B$5)+(X566*'Methodology &amp; Assumptions'!$B$7), 2)</f>
        <v/>
      </c>
    </row>
    <row r="567" ht="19" customHeight="1">
      <c r="A567" s="35" t="n">
        <v>563</v>
      </c>
      <c r="B567" s="35" t="n">
        <v>563</v>
      </c>
      <c r="C567" s="36" t="inlineStr">
        <is>
          <t>0401017006</t>
        </is>
      </c>
      <c r="D567" s="36" t="inlineStr">
        <is>
          <t>Region IV-A (CALABARZON)</t>
        </is>
      </c>
      <c r="E567" s="36" t="inlineStr">
        <is>
          <t>Batangas</t>
        </is>
      </c>
      <c r="F567" s="36" t="inlineStr">
        <is>
          <t>Malvar</t>
        </is>
      </c>
      <c r="G567" s="36" t="inlineStr">
        <is>
          <t>Luta Del Sur</t>
        </is>
      </c>
      <c r="H567" s="37" t="n">
        <v>14.033827</v>
      </c>
      <c r="I567" s="37" t="n">
        <v>121.161016</v>
      </c>
      <c r="J567" s="8" t="inlineStr">
        <is>
          <t>R</t>
        </is>
      </c>
      <c r="K567" s="36" t="inlineStr">
        <is>
          <t>Class 1-3 / Urban</t>
        </is>
      </c>
      <c r="L567" s="18" t="n">
        <v>4953</v>
      </c>
      <c r="M567" s="20" t="n">
        <v>4.62</v>
      </c>
      <c r="N567" s="18">
        <f>ROUND(L567/M567, 0)</f>
        <v/>
      </c>
      <c r="O567" s="18">
        <f>ROUND(N567*'Methodology &amp; Assumptions'!$B$8, 0)</f>
        <v/>
      </c>
      <c r="P567" s="8" t="inlineStr">
        <is>
          <t>Band n50 (1.5 GHz, 60 MHz)</t>
        </is>
      </c>
      <c r="Q567" s="38">
        <f>ROUNDUP(O567/'Methodology &amp; Assumptions'!$B$9, 0)</f>
        <v/>
      </c>
      <c r="R567" s="39" t="n">
        <v>1</v>
      </c>
      <c r="S567" s="21" t="n">
        <v>1.5</v>
      </c>
      <c r="T567" s="21" t="n">
        <v>0.11</v>
      </c>
      <c r="U567" s="36" t="inlineStr">
        <is>
          <t>Tier 1B (Micro Drop, 1-3 km)</t>
        </is>
      </c>
      <c r="V567" s="20" t="n">
        <v>70.7</v>
      </c>
      <c r="W567" s="20" t="n">
        <v>100</v>
      </c>
      <c r="X567" s="20" t="n">
        <v>58</v>
      </c>
      <c r="Y567" s="40">
        <f>ROUND((V567*'Methodology &amp; Assumptions'!$B$6)+(W567*'Methodology &amp; Assumptions'!$B$5)+(X567*'Methodology &amp; Assumptions'!$B$7), 2)</f>
        <v/>
      </c>
    </row>
    <row r="568" ht="19" customHeight="1">
      <c r="A568" s="41" t="n">
        <v>564</v>
      </c>
      <c r="B568" s="41" t="n">
        <v>564</v>
      </c>
      <c r="C568" s="42" t="inlineStr">
        <is>
          <t>0402106032</t>
        </is>
      </c>
      <c r="D568" s="42" t="inlineStr">
        <is>
          <t>Region IV-A (CALABARZON)</t>
        </is>
      </c>
      <c r="E568" s="42" t="inlineStr">
        <is>
          <t>Cavite</t>
        </is>
      </c>
      <c r="F568" s="42" t="inlineStr">
        <is>
          <t>City of Dasmariñas</t>
        </is>
      </c>
      <c r="G568" s="42" t="inlineStr">
        <is>
          <t>San Lorenzo Ruiz I</t>
        </is>
      </c>
      <c r="H568" s="43" t="n">
        <v>14.311006</v>
      </c>
      <c r="I568" s="43" t="n">
        <v>120.958855</v>
      </c>
      <c r="J568" s="44" t="inlineStr">
        <is>
          <t>R</t>
        </is>
      </c>
      <c r="K568" s="42" t="inlineStr">
        <is>
          <t>Class 1-3 / Urban</t>
        </is>
      </c>
      <c r="L568" s="23" t="n">
        <v>3311</v>
      </c>
      <c r="M568" s="24" t="n">
        <v>4.49</v>
      </c>
      <c r="N568" s="23">
        <f>ROUND(L568/M568, 0)</f>
        <v/>
      </c>
      <c r="O568" s="23">
        <f>ROUND(N568*'Methodology &amp; Assumptions'!$B$8, 0)</f>
        <v/>
      </c>
      <c r="P568" s="44" t="inlineStr">
        <is>
          <t>Band n50 (1.5 GHz, 60 MHz)</t>
        </is>
      </c>
      <c r="Q568" s="38">
        <f>ROUNDUP(O568/'Methodology &amp; Assumptions'!$B$9, 0)</f>
        <v/>
      </c>
      <c r="R568" s="39" t="n">
        <v>1</v>
      </c>
      <c r="S568" s="25" t="n">
        <v>0.75</v>
      </c>
      <c r="T568" s="25" t="n">
        <v>1.18</v>
      </c>
      <c r="U568" s="42" t="inlineStr">
        <is>
          <t>Tier 1A (Direct Coloc, &lt;1 km)</t>
        </is>
      </c>
      <c r="V568" s="24" t="n">
        <v>87.8</v>
      </c>
      <c r="W568" s="24" t="n">
        <v>82.90000000000001</v>
      </c>
      <c r="X568" s="24" t="n">
        <v>58</v>
      </c>
      <c r="Y568" s="45">
        <f>ROUND((V568*'Methodology &amp; Assumptions'!$B$6)+(W568*'Methodology &amp; Assumptions'!$B$5)+(X568*'Methodology &amp; Assumptions'!$B$7), 2)</f>
        <v/>
      </c>
    </row>
    <row r="569" ht="19" customHeight="1">
      <c r="A569" s="35" t="n">
        <v>565</v>
      </c>
      <c r="B569" s="35" t="n">
        <v>565</v>
      </c>
      <c r="C569" s="36" t="inlineStr">
        <is>
          <t>0604509002</t>
        </is>
      </c>
      <c r="D569" s="36" t="inlineStr">
        <is>
          <t>Region VI (Western Visayas)</t>
        </is>
      </c>
      <c r="E569" s="36" t="inlineStr">
        <is>
          <t>Negros Occidental</t>
        </is>
      </c>
      <c r="F569" s="36" t="inlineStr">
        <is>
          <t>City of Escalante</t>
        </is>
      </c>
      <c r="G569" s="36" t="inlineStr">
        <is>
          <t>Balintawak</t>
        </is>
      </c>
      <c r="H569" s="37" t="n">
        <v>10.84093</v>
      </c>
      <c r="I569" s="37" t="n">
        <v>123.503247</v>
      </c>
      <c r="J569" s="8" t="inlineStr">
        <is>
          <t>U</t>
        </is>
      </c>
      <c r="K569" s="36" t="inlineStr">
        <is>
          <t>Class 1-3 / Urban</t>
        </is>
      </c>
      <c r="L569" s="18" t="n">
        <v>13993</v>
      </c>
      <c r="M569" s="20" t="n">
        <v>4.33</v>
      </c>
      <c r="N569" s="18">
        <f>ROUND(L569/M569, 0)</f>
        <v/>
      </c>
      <c r="O569" s="18">
        <f>ROUND(N569*'Methodology &amp; Assumptions'!$B$8, 0)</f>
        <v/>
      </c>
      <c r="P569" s="8" t="inlineStr">
        <is>
          <t>Band n50 (1.5 GHz, 60 MHz)</t>
        </is>
      </c>
      <c r="Q569" s="38">
        <f>ROUNDUP(O569/'Methodology &amp; Assumptions'!$B$9, 0)</f>
        <v/>
      </c>
      <c r="R569" s="39" t="n">
        <v>1</v>
      </c>
      <c r="S569" s="21" t="n">
        <v>0.44</v>
      </c>
      <c r="T569" s="21" t="n">
        <v>0.44</v>
      </c>
      <c r="U569" s="36" t="inlineStr">
        <is>
          <t>Tier 1A (Direct Coloc, &lt;1 km)</t>
        </is>
      </c>
      <c r="V569" s="20" t="n">
        <v>96.40000000000001</v>
      </c>
      <c r="W569" s="20" t="n">
        <v>100</v>
      </c>
      <c r="X569" s="20" t="n">
        <v>28</v>
      </c>
      <c r="Y569" s="40">
        <f>ROUND((V569*'Methodology &amp; Assumptions'!$B$6)+(W569*'Methodology &amp; Assumptions'!$B$5)+(X569*'Methodology &amp; Assumptions'!$B$7), 2)</f>
        <v/>
      </c>
    </row>
    <row r="570" ht="19" customHeight="1">
      <c r="A570" s="41" t="n">
        <v>566</v>
      </c>
      <c r="B570" s="41" t="n">
        <v>566</v>
      </c>
      <c r="C570" s="42" t="inlineStr">
        <is>
          <t>0501734040</t>
        </is>
      </c>
      <c r="D570" s="42" t="inlineStr">
        <is>
          <t>Region V (Bicol Region)</t>
        </is>
      </c>
      <c r="E570" s="42" t="inlineStr">
        <is>
          <t>Camarines Sur</t>
        </is>
      </c>
      <c r="F570" s="42" t="inlineStr">
        <is>
          <t>Sipocot</t>
        </is>
      </c>
      <c r="G570" s="42" t="inlineStr">
        <is>
          <t>South Centro</t>
        </is>
      </c>
      <c r="H570" s="43" t="n">
        <v>13.758142</v>
      </c>
      <c r="I570" s="43" t="n">
        <v>122.976386</v>
      </c>
      <c r="J570" s="44" t="inlineStr">
        <is>
          <t>U</t>
        </is>
      </c>
      <c r="K570" s="42" t="inlineStr">
        <is>
          <t>Class 1-3 / Urban</t>
        </is>
      </c>
      <c r="L570" s="23" t="n">
        <v>6567</v>
      </c>
      <c r="M570" s="24" t="n">
        <v>4.9</v>
      </c>
      <c r="N570" s="23">
        <f>ROUND(L570/M570, 0)</f>
        <v/>
      </c>
      <c r="O570" s="23">
        <f>ROUND(N570*'Methodology &amp; Assumptions'!$B$8, 0)</f>
        <v/>
      </c>
      <c r="P570" s="44" t="inlineStr">
        <is>
          <t>Band n50 (1.5 GHz, 60 MHz)</t>
        </is>
      </c>
      <c r="Q570" s="38">
        <f>ROUNDUP(O570/'Methodology &amp; Assumptions'!$B$9, 0)</f>
        <v/>
      </c>
      <c r="R570" s="39" t="n">
        <v>1</v>
      </c>
      <c r="S570" s="25" t="n">
        <v>0.44</v>
      </c>
      <c r="T570" s="25" t="n">
        <v>0.78</v>
      </c>
      <c r="U570" s="42" t="inlineStr">
        <is>
          <t>Tier 1A (Direct Coloc, &lt;1 km)</t>
        </is>
      </c>
      <c r="V570" s="24" t="n">
        <v>96.40000000000001</v>
      </c>
      <c r="W570" s="24" t="n">
        <v>100</v>
      </c>
      <c r="X570" s="24" t="n">
        <v>28</v>
      </c>
      <c r="Y570" s="45">
        <f>ROUND((V570*'Methodology &amp; Assumptions'!$B$6)+(W570*'Methodology &amp; Assumptions'!$B$5)+(X570*'Methodology &amp; Assumptions'!$B$7), 2)</f>
        <v/>
      </c>
    </row>
    <row r="571" ht="19" customHeight="1">
      <c r="A571" s="35" t="n">
        <v>567</v>
      </c>
      <c r="B571" s="35" t="n">
        <v>567</v>
      </c>
      <c r="C571" s="36" t="inlineStr">
        <is>
          <t>0702216011</t>
        </is>
      </c>
      <c r="D571" s="36" t="inlineStr">
        <is>
          <t>Region VII (Central Visayas)</t>
        </is>
      </c>
      <c r="E571" s="36" t="inlineStr">
        <is>
          <t>Cebu</t>
        </is>
      </c>
      <c r="F571" s="36" t="inlineStr">
        <is>
          <t>Catmon</t>
        </is>
      </c>
      <c r="G571" s="36" t="inlineStr">
        <is>
          <t>Catmondaan</t>
        </is>
      </c>
      <c r="H571" s="37" t="n">
        <v>10.686492</v>
      </c>
      <c r="I571" s="37" t="n">
        <v>124.015165</v>
      </c>
      <c r="J571" s="8" t="inlineStr">
        <is>
          <t>R</t>
        </is>
      </c>
      <c r="K571" s="36" t="inlineStr">
        <is>
          <t>2nd</t>
        </is>
      </c>
      <c r="L571" s="18" t="n">
        <v>3347</v>
      </c>
      <c r="M571" s="20" t="n">
        <v>4.39</v>
      </c>
      <c r="N571" s="18">
        <f>ROUND(L571/M571, 0)</f>
        <v/>
      </c>
      <c r="O571" s="18">
        <f>ROUND(N571*'Methodology &amp; Assumptions'!$B$8, 0)</f>
        <v/>
      </c>
      <c r="P571" s="8" t="inlineStr">
        <is>
          <t>Band n50 (1.5 GHz, 60 MHz)</t>
        </is>
      </c>
      <c r="Q571" s="38">
        <f>ROUNDUP(O571/'Methodology &amp; Assumptions'!$B$9, 0)</f>
        <v/>
      </c>
      <c r="R571" s="39" t="n">
        <v>1</v>
      </c>
      <c r="S571" s="21" t="n">
        <v>0.84</v>
      </c>
      <c r="T571" s="21" t="n">
        <v>0.05</v>
      </c>
      <c r="U571" s="36" t="inlineStr">
        <is>
          <t>Tier 1A (Direct Coloc, &lt;1 km)</t>
        </is>
      </c>
      <c r="V571" s="20" t="n">
        <v>85.59999999999999</v>
      </c>
      <c r="W571" s="20" t="n">
        <v>85.09999999999999</v>
      </c>
      <c r="X571" s="20" t="n">
        <v>58</v>
      </c>
      <c r="Y571" s="40">
        <f>ROUND((V571*'Methodology &amp; Assumptions'!$B$6)+(W571*'Methodology &amp; Assumptions'!$B$5)+(X571*'Methodology &amp; Assumptions'!$B$7), 2)</f>
        <v/>
      </c>
    </row>
    <row r="572" ht="19" customHeight="1">
      <c r="A572" s="41" t="n">
        <v>568</v>
      </c>
      <c r="B572" s="41" t="n">
        <v>568</v>
      </c>
      <c r="C572" s="42" t="inlineStr">
        <is>
          <t>1401110001</t>
        </is>
      </c>
      <c r="D572" s="42" t="inlineStr">
        <is>
          <t>Cordillera Administrative Region (CAR)</t>
        </is>
      </c>
      <c r="E572" s="42" t="inlineStr">
        <is>
          <t>Benguet</t>
        </is>
      </c>
      <c r="F572" s="42" t="inlineStr">
        <is>
          <t>La Trinidad</t>
        </is>
      </c>
      <c r="G572" s="42" t="inlineStr">
        <is>
          <t>Alapang</t>
        </is>
      </c>
      <c r="H572" s="43" t="n">
        <v>16.47208</v>
      </c>
      <c r="I572" s="43" t="n">
        <v>120.59965</v>
      </c>
      <c r="J572" s="44" t="inlineStr">
        <is>
          <t>U</t>
        </is>
      </c>
      <c r="K572" s="42" t="inlineStr">
        <is>
          <t>Class 1-3 / Urban</t>
        </is>
      </c>
      <c r="L572" s="23" t="n">
        <v>5241</v>
      </c>
      <c r="M572" s="24" t="n">
        <v>4.58</v>
      </c>
      <c r="N572" s="23">
        <f>ROUND(L572/M572, 0)</f>
        <v/>
      </c>
      <c r="O572" s="23">
        <f>ROUND(N572*'Methodology &amp; Assumptions'!$B$8, 0)</f>
        <v/>
      </c>
      <c r="P572" s="44" t="inlineStr">
        <is>
          <t>Band n50 (1.5 GHz, 60 MHz)</t>
        </is>
      </c>
      <c r="Q572" s="38">
        <f>ROUNDUP(O572/'Methodology &amp; Assumptions'!$B$9, 0)</f>
        <v/>
      </c>
      <c r="R572" s="39" t="n">
        <v>1</v>
      </c>
      <c r="S572" s="25" t="n">
        <v>0.44</v>
      </c>
      <c r="T572" s="25" t="n">
        <v>0.67</v>
      </c>
      <c r="U572" s="42" t="inlineStr">
        <is>
          <t>Tier 1A (Direct Coloc, &lt;1 km)</t>
        </is>
      </c>
      <c r="V572" s="24" t="n">
        <v>96.3</v>
      </c>
      <c r="W572" s="24" t="n">
        <v>100</v>
      </c>
      <c r="X572" s="24" t="n">
        <v>28</v>
      </c>
      <c r="Y572" s="45">
        <f>ROUND((V572*'Methodology &amp; Assumptions'!$B$6)+(W572*'Methodology &amp; Assumptions'!$B$5)+(X572*'Methodology &amp; Assumptions'!$B$7), 2)</f>
        <v/>
      </c>
    </row>
    <row r="573" ht="19" customHeight="1">
      <c r="A573" s="35" t="n">
        <v>569</v>
      </c>
      <c r="B573" s="35" t="n">
        <v>569</v>
      </c>
      <c r="C573" s="36" t="inlineStr">
        <is>
          <t>0702223040</t>
        </is>
      </c>
      <c r="D573" s="36" t="inlineStr">
        <is>
          <t>Region VII (Central Visayas)</t>
        </is>
      </c>
      <c r="E573" s="36" t="inlineStr">
        <is>
          <t>Cebu</t>
        </is>
      </c>
      <c r="F573" s="36" t="inlineStr">
        <is>
          <t>Danao City</t>
        </is>
      </c>
      <c r="G573" s="36" t="inlineStr">
        <is>
          <t>Suba</t>
        </is>
      </c>
      <c r="H573" s="37" t="n">
        <v>10.524986</v>
      </c>
      <c r="I573" s="37" t="n">
        <v>124.028773</v>
      </c>
      <c r="J573" s="8" t="inlineStr">
        <is>
          <t>U</t>
        </is>
      </c>
      <c r="K573" s="36" t="inlineStr">
        <is>
          <t>Class 1-3 / Urban</t>
        </is>
      </c>
      <c r="L573" s="18" t="n">
        <v>7618</v>
      </c>
      <c r="M573" s="20" t="n">
        <v>4.42</v>
      </c>
      <c r="N573" s="18">
        <f>ROUND(L573/M573, 0)</f>
        <v/>
      </c>
      <c r="O573" s="18">
        <f>ROUND(N573*'Methodology &amp; Assumptions'!$B$8, 0)</f>
        <v/>
      </c>
      <c r="P573" s="8" t="inlineStr">
        <is>
          <t>Band n50 (1.5 GHz, 60 MHz)</t>
        </is>
      </c>
      <c r="Q573" s="38">
        <f>ROUNDUP(O573/'Methodology &amp; Assumptions'!$B$9, 0)</f>
        <v/>
      </c>
      <c r="R573" s="39" t="n">
        <v>1</v>
      </c>
      <c r="S573" s="21" t="n">
        <v>0.44</v>
      </c>
      <c r="T573" s="21" t="n">
        <v>0.29</v>
      </c>
      <c r="U573" s="36" t="inlineStr">
        <is>
          <t>Tier 1A (Direct Coloc, &lt;1 km)</t>
        </is>
      </c>
      <c r="V573" s="20" t="n">
        <v>96.3</v>
      </c>
      <c r="W573" s="20" t="n">
        <v>100</v>
      </c>
      <c r="X573" s="20" t="n">
        <v>28</v>
      </c>
      <c r="Y573" s="40">
        <f>ROUND((V573*'Methodology &amp; Assumptions'!$B$6)+(W573*'Methodology &amp; Assumptions'!$B$5)+(X573*'Methodology &amp; Assumptions'!$B$7), 2)</f>
        <v/>
      </c>
    </row>
    <row r="574" ht="19" customHeight="1">
      <c r="A574" s="41" t="n">
        <v>570</v>
      </c>
      <c r="B574" s="41" t="n">
        <v>570</v>
      </c>
      <c r="C574" s="42" t="inlineStr">
        <is>
          <t>0702219004</t>
        </is>
      </c>
      <c r="D574" s="42" t="inlineStr">
        <is>
          <t>Region VII (Central Visayas)</t>
        </is>
      </c>
      <c r="E574" s="42" t="inlineStr">
        <is>
          <t>Cebu</t>
        </is>
      </c>
      <c r="F574" s="42" t="inlineStr">
        <is>
          <t>Consolacion</t>
        </is>
      </c>
      <c r="G574" s="42" t="inlineStr">
        <is>
          <t>Danglag</t>
        </is>
      </c>
      <c r="H574" s="43" t="n">
        <v>10.38978</v>
      </c>
      <c r="I574" s="43" t="n">
        <v>123.95614</v>
      </c>
      <c r="J574" s="44" t="inlineStr">
        <is>
          <t>R</t>
        </is>
      </c>
      <c r="K574" s="42" t="inlineStr">
        <is>
          <t>Class 1-3 / Urban</t>
        </is>
      </c>
      <c r="L574" s="23" t="n">
        <v>4513</v>
      </c>
      <c r="M574" s="24" t="n">
        <v>4.42</v>
      </c>
      <c r="N574" s="23">
        <f>ROUND(L574/M574, 0)</f>
        <v/>
      </c>
      <c r="O574" s="23">
        <f>ROUND(N574*'Methodology &amp; Assumptions'!$B$8, 0)</f>
        <v/>
      </c>
      <c r="P574" s="44" t="inlineStr">
        <is>
          <t>Band n50 (1.5 GHz, 60 MHz)</t>
        </is>
      </c>
      <c r="Q574" s="38">
        <f>ROUNDUP(O574/'Methodology &amp; Assumptions'!$B$9, 0)</f>
        <v/>
      </c>
      <c r="R574" s="39" t="n">
        <v>1</v>
      </c>
      <c r="S574" s="25" t="n">
        <v>1.5</v>
      </c>
      <c r="T574" s="25" t="n">
        <v>1.52</v>
      </c>
      <c r="U574" s="42" t="inlineStr">
        <is>
          <t>Tier 1B (Micro Drop, 1-3 km)</t>
        </is>
      </c>
      <c r="V574" s="24" t="n">
        <v>70.59999999999999</v>
      </c>
      <c r="W574" s="24" t="n">
        <v>100</v>
      </c>
      <c r="X574" s="24" t="n">
        <v>58</v>
      </c>
      <c r="Y574" s="45">
        <f>ROUND((V574*'Methodology &amp; Assumptions'!$B$6)+(W574*'Methodology &amp; Assumptions'!$B$5)+(X574*'Methodology &amp; Assumptions'!$B$7), 2)</f>
        <v/>
      </c>
    </row>
    <row r="575" ht="19" customHeight="1">
      <c r="A575" s="35" t="n">
        <v>571</v>
      </c>
      <c r="B575" s="35" t="n">
        <v>571</v>
      </c>
      <c r="C575" s="36" t="inlineStr">
        <is>
          <t>0630200051</t>
        </is>
      </c>
      <c r="D575" s="36" t="inlineStr">
        <is>
          <t>Region VI (Western Visayas)</t>
        </is>
      </c>
      <c r="E575" s="36" t="inlineStr">
        <is>
          <t>Negros Occidental</t>
        </is>
      </c>
      <c r="F575" s="36" t="inlineStr">
        <is>
          <t>City of Bacolod</t>
        </is>
      </c>
      <c r="G575" s="36" t="inlineStr">
        <is>
          <t>Mansilingan</t>
        </is>
      </c>
      <c r="H575" s="37" t="n">
        <v>10.632309</v>
      </c>
      <c r="I575" s="37" t="n">
        <v>122.976297</v>
      </c>
      <c r="J575" s="8" t="inlineStr">
        <is>
          <t>U</t>
        </is>
      </c>
      <c r="K575" s="36" t="inlineStr">
        <is>
          <t>Class 1-3 / Urban</t>
        </is>
      </c>
      <c r="L575" s="18" t="n">
        <v>51863</v>
      </c>
      <c r="M575" s="20" t="n">
        <v>4.33</v>
      </c>
      <c r="N575" s="18">
        <f>ROUND(L575/M575, 0)</f>
        <v/>
      </c>
      <c r="O575" s="18">
        <f>ROUND(N575*'Methodology &amp; Assumptions'!$B$8, 0)</f>
        <v/>
      </c>
      <c r="P575" s="8" t="inlineStr">
        <is>
          <t>Band n50 (1.5 GHz, 60 MHz)</t>
        </is>
      </c>
      <c r="Q575" s="38">
        <f>ROUNDUP(O575/'Methodology &amp; Assumptions'!$B$9, 0)</f>
        <v/>
      </c>
      <c r="R575" s="39" t="n">
        <v>1</v>
      </c>
      <c r="S575" s="21" t="n">
        <v>0.32</v>
      </c>
      <c r="T575" s="21" t="n">
        <v>0.15</v>
      </c>
      <c r="U575" s="36" t="inlineStr">
        <is>
          <t>Tier 1A (Direct Coloc, &lt;1 km)</t>
        </is>
      </c>
      <c r="V575" s="20" t="n">
        <v>100</v>
      </c>
      <c r="W575" s="20" t="n">
        <v>96.3</v>
      </c>
      <c r="X575" s="20" t="n">
        <v>28</v>
      </c>
      <c r="Y575" s="40">
        <f>ROUND((V575*'Methodology &amp; Assumptions'!$B$6)+(W575*'Methodology &amp; Assumptions'!$B$5)+(X575*'Methodology &amp; Assumptions'!$B$7), 2)</f>
        <v/>
      </c>
    </row>
    <row r="576" ht="19" customHeight="1">
      <c r="A576" s="41" t="n">
        <v>572</v>
      </c>
      <c r="B576" s="41" t="n">
        <v>572</v>
      </c>
      <c r="C576" s="42" t="inlineStr">
        <is>
          <t>0931700012</t>
        </is>
      </c>
      <c r="D576" s="42" t="inlineStr">
        <is>
          <t>Region IX (Zamboanga Peninsula)</t>
        </is>
      </c>
      <c r="E576" s="42" t="inlineStr">
        <is>
          <t>Zamboanga del Sur</t>
        </is>
      </c>
      <c r="F576" s="42" t="inlineStr">
        <is>
          <t>City of Zamboanga</t>
        </is>
      </c>
      <c r="G576" s="42" t="inlineStr">
        <is>
          <t>Buenavista</t>
        </is>
      </c>
      <c r="H576" s="43" t="n">
        <v>7.23892</v>
      </c>
      <c r="I576" s="43" t="n">
        <v>122.257103</v>
      </c>
      <c r="J576" s="44" t="inlineStr">
        <is>
          <t>U</t>
        </is>
      </c>
      <c r="K576" s="42" t="inlineStr">
        <is>
          <t>Class 1-3 / Urban</t>
        </is>
      </c>
      <c r="L576" s="23" t="n">
        <v>8154</v>
      </c>
      <c r="M576" s="24" t="n">
        <v>4.61</v>
      </c>
      <c r="N576" s="23">
        <f>ROUND(L576/M576, 0)</f>
        <v/>
      </c>
      <c r="O576" s="23">
        <f>ROUND(N576*'Methodology &amp; Assumptions'!$B$8, 0)</f>
        <v/>
      </c>
      <c r="P576" s="44" t="inlineStr">
        <is>
          <t>Band n50 (1.5 GHz, 60 MHz)</t>
        </is>
      </c>
      <c r="Q576" s="38">
        <f>ROUNDUP(O576/'Methodology &amp; Assumptions'!$B$9, 0)</f>
        <v/>
      </c>
      <c r="R576" s="39" t="n">
        <v>1</v>
      </c>
      <c r="S576" s="25" t="n">
        <v>0.44</v>
      </c>
      <c r="T576" s="25" t="n">
        <v>0.04</v>
      </c>
      <c r="U576" s="42" t="inlineStr">
        <is>
          <t>Tier 1A (Direct Coloc, &lt;1 km)</t>
        </is>
      </c>
      <c r="V576" s="24" t="n">
        <v>96.3</v>
      </c>
      <c r="W576" s="24" t="n">
        <v>100</v>
      </c>
      <c r="X576" s="24" t="n">
        <v>28</v>
      </c>
      <c r="Y576" s="45">
        <f>ROUND((V576*'Methodology &amp; Assumptions'!$B$6)+(W576*'Methodology &amp; Assumptions'!$B$5)+(X576*'Methodology &amp; Assumptions'!$B$7), 2)</f>
        <v/>
      </c>
    </row>
    <row r="577" ht="19" customHeight="1">
      <c r="A577" s="35" t="n">
        <v>573</v>
      </c>
      <c r="B577" s="35" t="n">
        <v>573</v>
      </c>
      <c r="C577" s="36" t="inlineStr">
        <is>
          <t>1606819002</t>
        </is>
      </c>
      <c r="D577" s="36" t="inlineStr">
        <is>
          <t>Region XIII (Caraga)</t>
        </is>
      </c>
      <c r="E577" s="36" t="inlineStr">
        <is>
          <t>Surigao del Sur</t>
        </is>
      </c>
      <c r="F577" s="36" t="inlineStr">
        <is>
          <t>City of Tandag</t>
        </is>
      </c>
      <c r="G577" s="36" t="inlineStr">
        <is>
          <t>Bagong Lungsod</t>
        </is>
      </c>
      <c r="H577" s="37" t="n">
        <v>9.07856</v>
      </c>
      <c r="I577" s="37" t="n">
        <v>126.201</v>
      </c>
      <c r="J577" s="8" t="inlineStr">
        <is>
          <t>U</t>
        </is>
      </c>
      <c r="K577" s="36" t="inlineStr">
        <is>
          <t>Class 1-3 / Urban</t>
        </is>
      </c>
      <c r="L577" s="18" t="n">
        <v>5419</v>
      </c>
      <c r="M577" s="20" t="n">
        <v>4.56</v>
      </c>
      <c r="N577" s="18">
        <f>ROUND(L577/M577, 0)</f>
        <v/>
      </c>
      <c r="O577" s="18">
        <f>ROUND(N577*'Methodology &amp; Assumptions'!$B$8, 0)</f>
        <v/>
      </c>
      <c r="P577" s="8" t="inlineStr">
        <is>
          <t>Band n50 (1.5 GHz, 60 MHz)</t>
        </is>
      </c>
      <c r="Q577" s="38">
        <f>ROUNDUP(O577/'Methodology &amp; Assumptions'!$B$9, 0)</f>
        <v/>
      </c>
      <c r="R577" s="39" t="n">
        <v>1</v>
      </c>
      <c r="S577" s="21" t="n">
        <v>0.44</v>
      </c>
      <c r="T577" s="21" t="n">
        <v>0.45</v>
      </c>
      <c r="U577" s="36" t="inlineStr">
        <is>
          <t>Tier 1A (Direct Coloc, &lt;1 km)</t>
        </is>
      </c>
      <c r="V577" s="20" t="n">
        <v>96.3</v>
      </c>
      <c r="W577" s="20" t="n">
        <v>100</v>
      </c>
      <c r="X577" s="20" t="n">
        <v>28</v>
      </c>
      <c r="Y577" s="40">
        <f>ROUND((V577*'Methodology &amp; Assumptions'!$B$6)+(W577*'Methodology &amp; Assumptions'!$B$5)+(X577*'Methodology &amp; Assumptions'!$B$7), 2)</f>
        <v/>
      </c>
    </row>
    <row r="578" ht="19" customHeight="1">
      <c r="A578" s="41" t="n">
        <v>574</v>
      </c>
      <c r="B578" s="41" t="n">
        <v>574</v>
      </c>
      <c r="C578" s="42" t="inlineStr">
        <is>
          <t>0105538015</t>
        </is>
      </c>
      <c r="D578" s="42" t="inlineStr">
        <is>
          <t>Region I (Ilocos Region)</t>
        </is>
      </c>
      <c r="E578" s="42" t="inlineStr">
        <is>
          <t>Pangasinan</t>
        </is>
      </c>
      <c r="F578" s="42" t="inlineStr">
        <is>
          <t>Santa Barbara</t>
        </is>
      </c>
      <c r="G578" s="42" t="inlineStr">
        <is>
          <t>Maticmatic</t>
        </is>
      </c>
      <c r="H578" s="43" t="n">
        <v>15.987156</v>
      </c>
      <c r="I578" s="43" t="n">
        <v>120.457996</v>
      </c>
      <c r="J578" s="44" t="inlineStr">
        <is>
          <t>U</t>
        </is>
      </c>
      <c r="K578" s="42" t="inlineStr">
        <is>
          <t>Class 1-3 / Urban</t>
        </is>
      </c>
      <c r="L578" s="23" t="n">
        <v>5116</v>
      </c>
      <c r="M578" s="24" t="n">
        <v>4.39</v>
      </c>
      <c r="N578" s="23">
        <f>ROUND(L578/M578, 0)</f>
        <v/>
      </c>
      <c r="O578" s="23">
        <f>ROUND(N578*'Methodology &amp; Assumptions'!$B$8, 0)</f>
        <v/>
      </c>
      <c r="P578" s="44" t="inlineStr">
        <is>
          <t>Band n50 (1.5 GHz, 60 MHz)</t>
        </is>
      </c>
      <c r="Q578" s="38">
        <f>ROUNDUP(O578/'Methodology &amp; Assumptions'!$B$9, 0)</f>
        <v/>
      </c>
      <c r="R578" s="39" t="n">
        <v>1</v>
      </c>
      <c r="S578" s="25" t="n">
        <v>0.44</v>
      </c>
      <c r="T578" s="25" t="n">
        <v>0.33</v>
      </c>
      <c r="U578" s="42" t="inlineStr">
        <is>
          <t>Tier 1A (Direct Coloc, &lt;1 km)</t>
        </is>
      </c>
      <c r="V578" s="24" t="n">
        <v>96.3</v>
      </c>
      <c r="W578" s="24" t="n">
        <v>100</v>
      </c>
      <c r="X578" s="24" t="n">
        <v>28</v>
      </c>
      <c r="Y578" s="45">
        <f>ROUND((V578*'Methodology &amp; Assumptions'!$B$6)+(W578*'Methodology &amp; Assumptions'!$B$5)+(X578*'Methodology &amp; Assumptions'!$B$7), 2)</f>
        <v/>
      </c>
    </row>
    <row r="579" ht="19" customHeight="1">
      <c r="A579" s="35" t="n">
        <v>575</v>
      </c>
      <c r="B579" s="35" t="n">
        <v>575</v>
      </c>
      <c r="C579" s="36" t="inlineStr">
        <is>
          <t>0405623029</t>
        </is>
      </c>
      <c r="D579" s="36" t="inlineStr">
        <is>
          <t>Region IV-A (CALABARZON)</t>
        </is>
      </c>
      <c r="E579" s="36" t="inlineStr">
        <is>
          <t>Quezon</t>
        </is>
      </c>
      <c r="F579" s="36" t="inlineStr">
        <is>
          <t>Lucban</t>
        </is>
      </c>
      <c r="G579" s="36" t="inlineStr">
        <is>
          <t>Barangay 1</t>
        </is>
      </c>
      <c r="H579" s="37" t="n">
        <v>14.117661</v>
      </c>
      <c r="I579" s="37" t="n">
        <v>121.558079</v>
      </c>
      <c r="J579" s="8" t="inlineStr">
        <is>
          <t>R</t>
        </is>
      </c>
      <c r="K579" s="36" t="inlineStr">
        <is>
          <t>Class 1-3 / Urban</t>
        </is>
      </c>
      <c r="L579" s="18" t="n">
        <v>2785</v>
      </c>
      <c r="M579" s="20" t="n">
        <v>4.46</v>
      </c>
      <c r="N579" s="18">
        <f>ROUND(L579/M579, 0)</f>
        <v/>
      </c>
      <c r="O579" s="18">
        <f>ROUND(N579*'Methodology &amp; Assumptions'!$B$8, 0)</f>
        <v/>
      </c>
      <c r="P579" s="8" t="inlineStr">
        <is>
          <t>Band n50 (1.5 GHz, 60 MHz)</t>
        </is>
      </c>
      <c r="Q579" s="38">
        <f>ROUNDUP(O579/'Methodology &amp; Assumptions'!$B$9, 0)</f>
        <v/>
      </c>
      <c r="R579" s="39" t="n">
        <v>1</v>
      </c>
      <c r="S579" s="21" t="n">
        <v>0.43</v>
      </c>
      <c r="T579" s="21" t="n">
        <v>0.39</v>
      </c>
      <c r="U579" s="36" t="inlineStr">
        <is>
          <t>Tier 1A (Direct Coloc, &lt;1 km)</t>
        </is>
      </c>
      <c r="V579" s="20" t="n">
        <v>96.59999999999999</v>
      </c>
      <c r="W579" s="20" t="n">
        <v>73.90000000000001</v>
      </c>
      <c r="X579" s="20" t="n">
        <v>58</v>
      </c>
      <c r="Y579" s="40">
        <f>ROUND((V579*'Methodology &amp; Assumptions'!$B$6)+(W579*'Methodology &amp; Assumptions'!$B$5)+(X579*'Methodology &amp; Assumptions'!$B$7), 2)</f>
        <v/>
      </c>
    </row>
    <row r="580" ht="19" customHeight="1">
      <c r="A580" s="41" t="n">
        <v>576</v>
      </c>
      <c r="B580" s="41" t="n">
        <v>576</v>
      </c>
      <c r="C580" s="42" t="inlineStr">
        <is>
          <t>1600302005</t>
        </is>
      </c>
      <c r="D580" s="42" t="inlineStr">
        <is>
          <t>Region XIII (Caraga)</t>
        </is>
      </c>
      <c r="E580" s="42" t="inlineStr">
        <is>
          <t>Agusan del Sur</t>
        </is>
      </c>
      <c r="F580" s="42" t="inlineStr">
        <is>
          <t>Bunawan</t>
        </is>
      </c>
      <c r="G580" s="42" t="inlineStr">
        <is>
          <t>Poblacion</t>
        </is>
      </c>
      <c r="H580" s="43" t="n">
        <v>8.16667</v>
      </c>
      <c r="I580" s="43" t="n">
        <v>125.9915</v>
      </c>
      <c r="J580" s="44" t="inlineStr">
        <is>
          <t>R</t>
        </is>
      </c>
      <c r="K580" s="42" t="inlineStr">
        <is>
          <t>Class 1-3 / Urban</t>
        </is>
      </c>
      <c r="L580" s="23" t="n">
        <v>4983</v>
      </c>
      <c r="M580" s="24" t="n">
        <v>4.1</v>
      </c>
      <c r="N580" s="23">
        <f>ROUND(L580/M580, 0)</f>
        <v/>
      </c>
      <c r="O580" s="23">
        <f>ROUND(N580*'Methodology &amp; Assumptions'!$B$8, 0)</f>
        <v/>
      </c>
      <c r="P580" s="44" t="inlineStr">
        <is>
          <t>Band n50 (1.5 GHz, 60 MHz)</t>
        </is>
      </c>
      <c r="Q580" s="38">
        <f>ROUNDUP(O580/'Methodology &amp; Assumptions'!$B$9, 0)</f>
        <v/>
      </c>
      <c r="R580" s="39" t="n">
        <v>1</v>
      </c>
      <c r="S580" s="25" t="n">
        <v>1.51</v>
      </c>
      <c r="T580" s="25" t="n">
        <v>0.9</v>
      </c>
      <c r="U580" s="42" t="inlineStr">
        <is>
          <t>Tier 1B (Micro Drop, 1-3 km)</t>
        </is>
      </c>
      <c r="V580" s="24" t="n">
        <v>70.5</v>
      </c>
      <c r="W580" s="24" t="n">
        <v>100</v>
      </c>
      <c r="X580" s="24" t="n">
        <v>58</v>
      </c>
      <c r="Y580" s="45">
        <f>ROUND((V580*'Methodology &amp; Assumptions'!$B$6)+(W580*'Methodology &amp; Assumptions'!$B$5)+(X580*'Methodology &amp; Assumptions'!$B$7), 2)</f>
        <v/>
      </c>
    </row>
    <row r="581" ht="19" customHeight="1">
      <c r="A581" s="35" t="n">
        <v>577</v>
      </c>
      <c r="B581" s="35" t="n">
        <v>577</v>
      </c>
      <c r="C581" s="36" t="inlineStr">
        <is>
          <t>0405802004</t>
        </is>
      </c>
      <c r="D581" s="36" t="inlineStr">
        <is>
          <t>Region IV-A (CALABARZON)</t>
        </is>
      </c>
      <c r="E581" s="36" t="inlineStr">
        <is>
          <t>Rizal</t>
        </is>
      </c>
      <c r="F581" s="36" t="inlineStr">
        <is>
          <t>City of Antipolo</t>
        </is>
      </c>
      <c r="G581" s="36" t="inlineStr">
        <is>
          <t>Mayamot</t>
        </is>
      </c>
      <c r="H581" s="37" t="n">
        <v>14.629801</v>
      </c>
      <c r="I581" s="37" t="n">
        <v>121.120215</v>
      </c>
      <c r="J581" s="8" t="inlineStr">
        <is>
          <t>U</t>
        </is>
      </c>
      <c r="K581" s="36" t="inlineStr">
        <is>
          <t>Class 1-3 / Urban</t>
        </is>
      </c>
      <c r="L581" s="18" t="n">
        <v>52513</v>
      </c>
      <c r="M581" s="20" t="n">
        <v>4.39</v>
      </c>
      <c r="N581" s="18">
        <f>ROUND(L581/M581, 0)</f>
        <v/>
      </c>
      <c r="O581" s="18">
        <f>ROUND(N581*'Methodology &amp; Assumptions'!$B$8, 0)</f>
        <v/>
      </c>
      <c r="P581" s="8" t="inlineStr">
        <is>
          <t>Band n50 (1.5 GHz, 60 MHz)</t>
        </is>
      </c>
      <c r="Q581" s="38">
        <f>ROUNDUP(O581/'Methodology &amp; Assumptions'!$B$9, 0)</f>
        <v/>
      </c>
      <c r="R581" s="39" t="n">
        <v>1</v>
      </c>
      <c r="S581" s="21" t="n">
        <v>0.32</v>
      </c>
      <c r="T581" s="21" t="n">
        <v>0.2</v>
      </c>
      <c r="U581" s="36" t="inlineStr">
        <is>
          <t>Tier 1A (Direct Coloc, &lt;1 km)</t>
        </is>
      </c>
      <c r="V581" s="20" t="n">
        <v>99.8</v>
      </c>
      <c r="W581" s="20" t="n">
        <v>96.3</v>
      </c>
      <c r="X581" s="20" t="n">
        <v>28</v>
      </c>
      <c r="Y581" s="40">
        <f>ROUND((V581*'Methodology &amp; Assumptions'!$B$6)+(W581*'Methodology &amp; Assumptions'!$B$5)+(X581*'Methodology &amp; Assumptions'!$B$7), 2)</f>
        <v/>
      </c>
    </row>
    <row r="582" ht="19" customHeight="1">
      <c r="A582" s="41" t="n">
        <v>578</v>
      </c>
      <c r="B582" s="41" t="n">
        <v>578</v>
      </c>
      <c r="C582" s="42" t="inlineStr">
        <is>
          <t>0405646029</t>
        </is>
      </c>
      <c r="D582" s="42" t="inlineStr">
        <is>
          <t>Region IV-A (CALABARZON)</t>
        </is>
      </c>
      <c r="E582" s="42" t="inlineStr">
        <is>
          <t>Quezon</t>
        </is>
      </c>
      <c r="F582" s="42" t="inlineStr">
        <is>
          <t>Tagkawayan</t>
        </is>
      </c>
      <c r="G582" s="42" t="inlineStr">
        <is>
          <t>Poblacion</t>
        </is>
      </c>
      <c r="H582" s="43" t="n">
        <v>14.567618</v>
      </c>
      <c r="I582" s="43" t="n">
        <v>121.032607</v>
      </c>
      <c r="J582" s="44" t="inlineStr">
        <is>
          <t>U</t>
        </is>
      </c>
      <c r="K582" s="42" t="inlineStr">
        <is>
          <t>Class 1-3 / Urban</t>
        </is>
      </c>
      <c r="L582" s="23" t="n">
        <v>4462</v>
      </c>
      <c r="M582" s="24" t="n">
        <v>4.46</v>
      </c>
      <c r="N582" s="23">
        <f>ROUND(L582/M582, 0)</f>
        <v/>
      </c>
      <c r="O582" s="23">
        <f>ROUND(N582*'Methodology &amp; Assumptions'!$B$8, 0)</f>
        <v/>
      </c>
      <c r="P582" s="44" t="inlineStr">
        <is>
          <t>Band n50 (1.5 GHz, 60 MHz)</t>
        </is>
      </c>
      <c r="Q582" s="38">
        <f>ROUNDUP(O582/'Methodology &amp; Assumptions'!$B$9, 0)</f>
        <v/>
      </c>
      <c r="R582" s="39" t="n">
        <v>1</v>
      </c>
      <c r="S582" s="25" t="n">
        <v>0.45</v>
      </c>
      <c r="T582" s="25" t="n">
        <v>0.13</v>
      </c>
      <c r="U582" s="42" t="inlineStr">
        <is>
          <t>Tier 1A (Direct Coloc, &lt;1 km)</t>
        </is>
      </c>
      <c r="V582" s="24" t="n">
        <v>96.09999999999999</v>
      </c>
      <c r="W582" s="24" t="n">
        <v>100</v>
      </c>
      <c r="X582" s="24" t="n">
        <v>28</v>
      </c>
      <c r="Y582" s="45">
        <f>ROUND((V582*'Methodology &amp; Assumptions'!$B$6)+(W582*'Methodology &amp; Assumptions'!$B$5)+(X582*'Methodology &amp; Assumptions'!$B$7), 2)</f>
        <v/>
      </c>
    </row>
    <row r="583" ht="19" customHeight="1">
      <c r="A583" s="35" t="n">
        <v>579</v>
      </c>
      <c r="B583" s="35" t="n">
        <v>579</v>
      </c>
      <c r="C583" s="36" t="inlineStr">
        <is>
          <t>0402115013</t>
        </is>
      </c>
      <c r="D583" s="36" t="inlineStr">
        <is>
          <t>Region IV-A (CALABARZON)</t>
        </is>
      </c>
      <c r="E583" s="36" t="inlineStr">
        <is>
          <t>Cavite</t>
        </is>
      </c>
      <c r="F583" s="36" t="inlineStr">
        <is>
          <t>Naic</t>
        </is>
      </c>
      <c r="G583" s="36" t="inlineStr">
        <is>
          <t>Ibayo Silangan</t>
        </is>
      </c>
      <c r="H583" s="37" t="n">
        <v>14.322248</v>
      </c>
      <c r="I583" s="37" t="n">
        <v>120.767527</v>
      </c>
      <c r="J583" s="8" t="inlineStr">
        <is>
          <t>U</t>
        </is>
      </c>
      <c r="K583" s="36" t="inlineStr">
        <is>
          <t>Class 1-3 / Urban</t>
        </is>
      </c>
      <c r="L583" s="18" t="n">
        <v>10541</v>
      </c>
      <c r="M583" s="20" t="n">
        <v>4.49</v>
      </c>
      <c r="N583" s="18">
        <f>ROUND(L583/M583, 0)</f>
        <v/>
      </c>
      <c r="O583" s="18">
        <f>ROUND(N583*'Methodology &amp; Assumptions'!$B$8, 0)</f>
        <v/>
      </c>
      <c r="P583" s="8" t="inlineStr">
        <is>
          <t>Band n50 (1.5 GHz, 60 MHz)</t>
        </is>
      </c>
      <c r="Q583" s="38">
        <f>ROUNDUP(O583/'Methodology &amp; Assumptions'!$B$9, 0)</f>
        <v/>
      </c>
      <c r="R583" s="39" t="n">
        <v>1</v>
      </c>
      <c r="S583" s="21" t="n">
        <v>0.45</v>
      </c>
      <c r="T583" s="21" t="n">
        <v>0.44</v>
      </c>
      <c r="U583" s="36" t="inlineStr">
        <is>
          <t>Tier 1A (Direct Coloc, &lt;1 km)</t>
        </is>
      </c>
      <c r="V583" s="20" t="n">
        <v>96.09999999999999</v>
      </c>
      <c r="W583" s="20" t="n">
        <v>100</v>
      </c>
      <c r="X583" s="20" t="n">
        <v>28</v>
      </c>
      <c r="Y583" s="40">
        <f>ROUND((V583*'Methodology &amp; Assumptions'!$B$6)+(W583*'Methodology &amp; Assumptions'!$B$5)+(X583*'Methodology &amp; Assumptions'!$B$7), 2)</f>
        <v/>
      </c>
    </row>
    <row r="584" ht="19" customHeight="1">
      <c r="A584" s="41" t="n">
        <v>580</v>
      </c>
      <c r="B584" s="41" t="n">
        <v>580</v>
      </c>
      <c r="C584" s="42" t="inlineStr">
        <is>
          <t>0702241018</t>
        </is>
      </c>
      <c r="D584" s="42" t="inlineStr">
        <is>
          <t>Region VII (Central Visayas)</t>
        </is>
      </c>
      <c r="E584" s="42" t="inlineStr">
        <is>
          <t>Cebu</t>
        </is>
      </c>
      <c r="F584" s="42" t="inlineStr">
        <is>
          <t>San Fernando</t>
        </is>
      </c>
      <c r="G584" s="42" t="inlineStr">
        <is>
          <t>Poblacion South</t>
        </is>
      </c>
      <c r="H584" s="43" t="n">
        <v>10.159781</v>
      </c>
      <c r="I584" s="43" t="n">
        <v>123.704808</v>
      </c>
      <c r="J584" s="44" t="inlineStr">
        <is>
          <t>U</t>
        </is>
      </c>
      <c r="K584" s="42" t="inlineStr">
        <is>
          <t>Class 1-3 / Urban</t>
        </is>
      </c>
      <c r="L584" s="23" t="n">
        <v>8948</v>
      </c>
      <c r="M584" s="24" t="n">
        <v>4.42</v>
      </c>
      <c r="N584" s="23">
        <f>ROUND(L584/M584, 0)</f>
        <v/>
      </c>
      <c r="O584" s="23">
        <f>ROUND(N584*'Methodology &amp; Assumptions'!$B$8, 0)</f>
        <v/>
      </c>
      <c r="P584" s="44" t="inlineStr">
        <is>
          <t>Band n50 (1.5 GHz, 60 MHz)</t>
        </is>
      </c>
      <c r="Q584" s="38">
        <f>ROUNDUP(O584/'Methodology &amp; Assumptions'!$B$9, 0)</f>
        <v/>
      </c>
      <c r="R584" s="39" t="n">
        <v>1</v>
      </c>
      <c r="S584" s="25" t="n">
        <v>0.45</v>
      </c>
      <c r="T584" s="25" t="n">
        <v>0.34</v>
      </c>
      <c r="U584" s="42" t="inlineStr">
        <is>
          <t>Tier 1A (Direct Coloc, &lt;1 km)</t>
        </is>
      </c>
      <c r="V584" s="24" t="n">
        <v>96.09999999999999</v>
      </c>
      <c r="W584" s="24" t="n">
        <v>100</v>
      </c>
      <c r="X584" s="24" t="n">
        <v>28</v>
      </c>
      <c r="Y584" s="45">
        <f>ROUND((V584*'Methodology &amp; Assumptions'!$B$6)+(W584*'Methodology &amp; Assumptions'!$B$5)+(X584*'Methodology &amp; Assumptions'!$B$7), 2)</f>
        <v/>
      </c>
    </row>
    <row r="585" ht="19" customHeight="1">
      <c r="A585" s="35" t="n">
        <v>581</v>
      </c>
      <c r="B585" s="35" t="n">
        <v>581</v>
      </c>
      <c r="C585" s="36" t="inlineStr">
        <is>
          <t>0506216015</t>
        </is>
      </c>
      <c r="D585" s="36" t="inlineStr">
        <is>
          <t>Region V (Bicol Region)</t>
        </is>
      </c>
      <c r="E585" s="36" t="inlineStr">
        <is>
          <t>Sorsogon</t>
        </is>
      </c>
      <c r="F585" s="36" t="inlineStr">
        <is>
          <t>City of Sorsogon</t>
        </is>
      </c>
      <c r="G585" s="36" t="inlineStr">
        <is>
          <t>Cambulaga</t>
        </is>
      </c>
      <c r="H585" s="37" t="n">
        <v>12.968244</v>
      </c>
      <c r="I585" s="37" t="n">
        <v>123.989531</v>
      </c>
      <c r="J585" s="8" t="inlineStr">
        <is>
          <t>R</t>
        </is>
      </c>
      <c r="K585" s="36" t="inlineStr">
        <is>
          <t>Class 1-3 / Urban</t>
        </is>
      </c>
      <c r="L585" s="18" t="n">
        <v>4956</v>
      </c>
      <c r="M585" s="20" t="n">
        <v>4.58</v>
      </c>
      <c r="N585" s="18">
        <f>ROUND(L585/M585, 0)</f>
        <v/>
      </c>
      <c r="O585" s="18">
        <f>ROUND(N585*'Methodology &amp; Assumptions'!$B$8, 0)</f>
        <v/>
      </c>
      <c r="P585" s="8" t="inlineStr">
        <is>
          <t>Band n50 (1.5 GHz, 60 MHz)</t>
        </is>
      </c>
      <c r="Q585" s="38">
        <f>ROUNDUP(O585/'Methodology &amp; Assumptions'!$B$9, 0)</f>
        <v/>
      </c>
      <c r="R585" s="39" t="n">
        <v>1</v>
      </c>
      <c r="S585" s="21" t="n">
        <v>1.51</v>
      </c>
      <c r="T585" s="21" t="n">
        <v>0.55</v>
      </c>
      <c r="U585" s="36" t="inlineStr">
        <is>
          <t>Tier 1B (Micro Drop, 1-3 km)</t>
        </is>
      </c>
      <c r="V585" s="20" t="n">
        <v>70.40000000000001</v>
      </c>
      <c r="W585" s="20" t="n">
        <v>100</v>
      </c>
      <c r="X585" s="20" t="n">
        <v>58</v>
      </c>
      <c r="Y585" s="40">
        <f>ROUND((V585*'Methodology &amp; Assumptions'!$B$6)+(W585*'Methodology &amp; Assumptions'!$B$5)+(X585*'Methodology &amp; Assumptions'!$B$7), 2)</f>
        <v/>
      </c>
    </row>
    <row r="586" ht="19" customHeight="1">
      <c r="A586" s="41" t="n">
        <v>582</v>
      </c>
      <c r="B586" s="41" t="n">
        <v>582</v>
      </c>
      <c r="C586" s="42" t="inlineStr">
        <is>
          <t>0501718060</t>
        </is>
      </c>
      <c r="D586" s="42" t="inlineStr">
        <is>
          <t>Region V (Bicol Region)</t>
        </is>
      </c>
      <c r="E586" s="42" t="inlineStr">
        <is>
          <t>Camarines Sur</t>
        </is>
      </c>
      <c r="F586" s="42" t="inlineStr">
        <is>
          <t>Libmanan</t>
        </is>
      </c>
      <c r="G586" s="42" t="inlineStr">
        <is>
          <t>San Isidro</t>
        </is>
      </c>
      <c r="H586" s="43" t="n">
        <v>13.669358</v>
      </c>
      <c r="I586" s="43" t="n">
        <v>123.003395</v>
      </c>
      <c r="J586" s="44" t="inlineStr">
        <is>
          <t>R</t>
        </is>
      </c>
      <c r="K586" s="42" t="inlineStr">
        <is>
          <t>Class 1-3 / Urban</t>
        </is>
      </c>
      <c r="L586" s="23" t="n">
        <v>4000</v>
      </c>
      <c r="M586" s="24" t="n">
        <v>4.9</v>
      </c>
      <c r="N586" s="23">
        <f>ROUND(L586/M586, 0)</f>
        <v/>
      </c>
      <c r="O586" s="23">
        <f>ROUND(N586*'Methodology &amp; Assumptions'!$B$8, 0)</f>
        <v/>
      </c>
      <c r="P586" s="44" t="inlineStr">
        <is>
          <t>Band n50 (1.5 GHz, 60 MHz)</t>
        </is>
      </c>
      <c r="Q586" s="38">
        <f>ROUNDUP(O586/'Methodology &amp; Assumptions'!$B$9, 0)</f>
        <v/>
      </c>
      <c r="R586" s="39" t="n">
        <v>1</v>
      </c>
      <c r="S586" s="25" t="n">
        <v>0.63</v>
      </c>
      <c r="T586" s="25" t="n">
        <v>3.2</v>
      </c>
      <c r="U586" s="42" t="inlineStr">
        <is>
          <t>Tier 1A (Direct Coloc, &lt;1 km)</t>
        </is>
      </c>
      <c r="V586" s="24" t="n">
        <v>81.09999999999999</v>
      </c>
      <c r="W586" s="24" t="n">
        <v>89.3</v>
      </c>
      <c r="X586" s="24" t="n">
        <v>58</v>
      </c>
      <c r="Y586" s="45">
        <f>ROUND((V586*'Methodology &amp; Assumptions'!$B$6)+(W586*'Methodology &amp; Assumptions'!$B$5)+(X586*'Methodology &amp; Assumptions'!$B$7), 2)</f>
        <v/>
      </c>
    </row>
    <row r="587" ht="19" customHeight="1">
      <c r="A587" s="35" t="n">
        <v>583</v>
      </c>
      <c r="B587" s="35" t="n">
        <v>583</v>
      </c>
      <c r="C587" s="36" t="inlineStr">
        <is>
          <t>0501736024</t>
        </is>
      </c>
      <c r="D587" s="36" t="inlineStr">
        <is>
          <t>Region V (Bicol Region)</t>
        </is>
      </c>
      <c r="E587" s="36" t="inlineStr">
        <is>
          <t>Camarines Sur</t>
        </is>
      </c>
      <c r="F587" s="36" t="inlineStr">
        <is>
          <t>Tigaon</t>
        </is>
      </c>
      <c r="G587" s="36" t="inlineStr">
        <is>
          <t>Vinagre</t>
        </is>
      </c>
      <c r="H587" s="37" t="n">
        <v>13.63125</v>
      </c>
      <c r="I587" s="37" t="n">
        <v>123.501255</v>
      </c>
      <c r="J587" s="8" t="inlineStr">
        <is>
          <t>R</t>
        </is>
      </c>
      <c r="K587" s="36" t="inlineStr">
        <is>
          <t>Class 1-3 / Urban</t>
        </is>
      </c>
      <c r="L587" s="18" t="n">
        <v>3038</v>
      </c>
      <c r="M587" s="20" t="n">
        <v>4.9</v>
      </c>
      <c r="N587" s="18">
        <f>ROUND(L587/M587, 0)</f>
        <v/>
      </c>
      <c r="O587" s="18">
        <f>ROUND(N587*'Methodology &amp; Assumptions'!$B$8, 0)</f>
        <v/>
      </c>
      <c r="P587" s="8" t="inlineStr">
        <is>
          <t>Band n50 (1.5 GHz, 60 MHz)</t>
        </is>
      </c>
      <c r="Q587" s="38">
        <f>ROUNDUP(O587/'Methodology &amp; Assumptions'!$B$9, 0)</f>
        <v/>
      </c>
      <c r="R587" s="39" t="n">
        <v>1</v>
      </c>
      <c r="S587" s="21" t="n">
        <v>0.43</v>
      </c>
      <c r="T587" s="21" t="n">
        <v>0.29</v>
      </c>
      <c r="U587" s="36" t="inlineStr">
        <is>
          <t>Tier 1A (Direct Coloc, &lt;1 km)</t>
        </is>
      </c>
      <c r="V587" s="20" t="n">
        <v>96.8</v>
      </c>
      <c r="W587" s="20" t="n">
        <v>73.59999999999999</v>
      </c>
      <c r="X587" s="20" t="n">
        <v>58</v>
      </c>
      <c r="Y587" s="40">
        <f>ROUND((V587*'Methodology &amp; Assumptions'!$B$6)+(W587*'Methodology &amp; Assumptions'!$B$5)+(X587*'Methodology &amp; Assumptions'!$B$7), 2)</f>
        <v/>
      </c>
    </row>
    <row r="588" ht="19" customHeight="1">
      <c r="A588" s="41" t="n">
        <v>584</v>
      </c>
      <c r="B588" s="41" t="n">
        <v>584</v>
      </c>
      <c r="C588" s="42" t="inlineStr">
        <is>
          <t>1600306004</t>
        </is>
      </c>
      <c r="D588" s="42" t="inlineStr">
        <is>
          <t>Region XIII (Caraga)</t>
        </is>
      </c>
      <c r="E588" s="42" t="inlineStr">
        <is>
          <t>Agusan del Sur</t>
        </is>
      </c>
      <c r="F588" s="42" t="inlineStr">
        <is>
          <t>Prosperidad</t>
        </is>
      </c>
      <c r="G588" s="42" t="inlineStr">
        <is>
          <t>Poblacion</t>
        </is>
      </c>
      <c r="H588" s="43" t="n">
        <v>8.606182</v>
      </c>
      <c r="I588" s="43" t="n">
        <v>125.9125</v>
      </c>
      <c r="J588" s="44" t="inlineStr">
        <is>
          <t>U</t>
        </is>
      </c>
      <c r="K588" s="42" t="inlineStr">
        <is>
          <t>Class 1-3 / Urban</t>
        </is>
      </c>
      <c r="L588" s="23" t="n">
        <v>13559</v>
      </c>
      <c r="M588" s="24" t="n">
        <v>4.1</v>
      </c>
      <c r="N588" s="23">
        <f>ROUND(L588/M588, 0)</f>
        <v/>
      </c>
      <c r="O588" s="23">
        <f>ROUND(N588*'Methodology &amp; Assumptions'!$B$8, 0)</f>
        <v/>
      </c>
      <c r="P588" s="44" t="inlineStr">
        <is>
          <t>Band n50 (1.5 GHz, 60 MHz)</t>
        </is>
      </c>
      <c r="Q588" s="38">
        <f>ROUNDUP(O588/'Methodology &amp; Assumptions'!$B$9, 0)</f>
        <v/>
      </c>
      <c r="R588" s="39" t="n">
        <v>1</v>
      </c>
      <c r="S588" s="25" t="n">
        <v>0.45</v>
      </c>
      <c r="T588" s="25" t="n">
        <v>0.43</v>
      </c>
      <c r="U588" s="42" t="inlineStr">
        <is>
          <t>Tier 1A (Direct Coloc, &lt;1 km)</t>
        </is>
      </c>
      <c r="V588" s="24" t="n">
        <v>96.09999999999999</v>
      </c>
      <c r="W588" s="24" t="n">
        <v>100</v>
      </c>
      <c r="X588" s="24" t="n">
        <v>28</v>
      </c>
      <c r="Y588" s="45">
        <f>ROUND((V588*'Methodology &amp; Assumptions'!$B$6)+(W588*'Methodology &amp; Assumptions'!$B$5)+(X588*'Methodology &amp; Assumptions'!$B$7), 2)</f>
        <v/>
      </c>
    </row>
    <row r="589" ht="19" customHeight="1">
      <c r="A589" s="35" t="n">
        <v>585</v>
      </c>
      <c r="B589" s="35" t="n">
        <v>585</v>
      </c>
      <c r="C589" s="36" t="inlineStr">
        <is>
          <t>1600208001</t>
        </is>
      </c>
      <c r="D589" s="36" t="inlineStr">
        <is>
          <t>Region XIII (Caraga)</t>
        </is>
      </c>
      <c r="E589" s="36" t="inlineStr">
        <is>
          <t>Agusan del Norte</t>
        </is>
      </c>
      <c r="F589" s="36" t="inlineStr">
        <is>
          <t>Magallanes</t>
        </is>
      </c>
      <c r="G589" s="36" t="inlineStr">
        <is>
          <t>Buhang</t>
        </is>
      </c>
      <c r="H589" s="37" t="n">
        <v>9.027896</v>
      </c>
      <c r="I589" s="37" t="n">
        <v>125.522157</v>
      </c>
      <c r="J589" s="8" t="inlineStr">
        <is>
          <t>R</t>
        </is>
      </c>
      <c r="K589" s="36" t="inlineStr">
        <is>
          <t>4th</t>
        </is>
      </c>
      <c r="L589" s="18" t="n">
        <v>4006</v>
      </c>
      <c r="M589" s="20" t="n">
        <v>4.69</v>
      </c>
      <c r="N589" s="18">
        <f>ROUND(L589/M589, 0)</f>
        <v/>
      </c>
      <c r="O589" s="18">
        <f>ROUND(N589*'Methodology &amp; Assumptions'!$B$8, 0)</f>
        <v/>
      </c>
      <c r="P589" s="8" t="inlineStr">
        <is>
          <t>Band n50 (1.5 GHz, 60 MHz)</t>
        </is>
      </c>
      <c r="Q589" s="38">
        <f>ROUNDUP(O589/'Methodology &amp; Assumptions'!$B$9, 0)</f>
        <v/>
      </c>
      <c r="R589" s="39" t="n">
        <v>1</v>
      </c>
      <c r="S589" s="21" t="n">
        <v>1.11</v>
      </c>
      <c r="T589" s="21" t="n">
        <v>7.53</v>
      </c>
      <c r="U589" s="36" t="inlineStr">
        <is>
          <t>Tier 1B (Micro Drop, 1-3 km)</t>
        </is>
      </c>
      <c r="V589" s="20" t="n">
        <v>69.09999999999999</v>
      </c>
      <c r="W589" s="20" t="n">
        <v>92.3</v>
      </c>
      <c r="X589" s="20" t="n">
        <v>68.5</v>
      </c>
      <c r="Y589" s="40">
        <f>ROUND((V589*'Methodology &amp; Assumptions'!$B$6)+(W589*'Methodology &amp; Assumptions'!$B$5)+(X589*'Methodology &amp; Assumptions'!$B$7), 2)</f>
        <v/>
      </c>
    </row>
    <row r="590" ht="19" customHeight="1">
      <c r="A590" s="41" t="n">
        <v>586</v>
      </c>
      <c r="B590" s="41" t="n">
        <v>586</v>
      </c>
      <c r="C590" s="42" t="inlineStr">
        <is>
          <t>0105514007</t>
        </is>
      </c>
      <c r="D590" s="42" t="inlineStr">
        <is>
          <t>Region I (Ilocos Region)</t>
        </is>
      </c>
      <c r="E590" s="42" t="inlineStr">
        <is>
          <t>Pangasinan</t>
        </is>
      </c>
      <c r="F590" s="42" t="inlineStr">
        <is>
          <t>Bolinao</t>
        </is>
      </c>
      <c r="G590" s="42" t="inlineStr">
        <is>
          <t>Concordia</t>
        </is>
      </c>
      <c r="H590" s="43" t="n">
        <v>16.38941</v>
      </c>
      <c r="I590" s="43" t="n">
        <v>119.8906</v>
      </c>
      <c r="J590" s="44" t="inlineStr">
        <is>
          <t>U</t>
        </is>
      </c>
      <c r="K590" s="42" t="inlineStr">
        <is>
          <t>Class 1-3 / Urban</t>
        </is>
      </c>
      <c r="L590" s="23" t="n">
        <v>4183</v>
      </c>
      <c r="M590" s="24" t="n">
        <v>4.39</v>
      </c>
      <c r="N590" s="23">
        <f>ROUND(L590/M590, 0)</f>
        <v/>
      </c>
      <c r="O590" s="23">
        <f>ROUND(N590*'Methodology &amp; Assumptions'!$B$8, 0)</f>
        <v/>
      </c>
      <c r="P590" s="44" t="inlineStr">
        <is>
          <t>Band n50 (1.5 GHz, 60 MHz)</t>
        </is>
      </c>
      <c r="Q590" s="38">
        <f>ROUNDUP(O590/'Methodology &amp; Assumptions'!$B$9, 0)</f>
        <v/>
      </c>
      <c r="R590" s="39" t="n">
        <v>1</v>
      </c>
      <c r="S590" s="25" t="n">
        <v>0.45</v>
      </c>
      <c r="T590" s="25" t="n">
        <v>0.36</v>
      </c>
      <c r="U590" s="42" t="inlineStr">
        <is>
          <t>Tier 1A (Direct Coloc, &lt;1 km)</t>
        </is>
      </c>
      <c r="V590" s="24" t="n">
        <v>96</v>
      </c>
      <c r="W590" s="24" t="n">
        <v>100</v>
      </c>
      <c r="X590" s="24" t="n">
        <v>28</v>
      </c>
      <c r="Y590" s="45">
        <f>ROUND((V590*'Methodology &amp; Assumptions'!$B$6)+(W590*'Methodology &amp; Assumptions'!$B$5)+(X590*'Methodology &amp; Assumptions'!$B$7), 2)</f>
        <v/>
      </c>
    </row>
    <row r="591" ht="19" customHeight="1">
      <c r="A591" s="35" t="n">
        <v>587</v>
      </c>
      <c r="B591" s="35" t="n">
        <v>587</v>
      </c>
      <c r="C591" s="36" t="inlineStr">
        <is>
          <t>0931700099</t>
        </is>
      </c>
      <c r="D591" s="36" t="inlineStr">
        <is>
          <t>Region IX (Zamboanga Peninsula)</t>
        </is>
      </c>
      <c r="E591" s="36" t="inlineStr">
        <is>
          <t>Zamboanga del Sur</t>
        </is>
      </c>
      <c r="F591" s="36" t="inlineStr">
        <is>
          <t>City of Zamboanga</t>
        </is>
      </c>
      <c r="G591" s="36" t="inlineStr">
        <is>
          <t>Camino Nuevo</t>
        </is>
      </c>
      <c r="H591" s="37" t="n">
        <v>6.914402</v>
      </c>
      <c r="I591" s="37" t="n">
        <v>122.073379</v>
      </c>
      <c r="J591" s="8" t="inlineStr">
        <is>
          <t>U</t>
        </is>
      </c>
      <c r="K591" s="36" t="inlineStr">
        <is>
          <t>Class 1-3 / Urban</t>
        </is>
      </c>
      <c r="L591" s="18" t="n">
        <v>7421</v>
      </c>
      <c r="M591" s="20" t="n">
        <v>4.61</v>
      </c>
      <c r="N591" s="18">
        <f>ROUND(L591/M591, 0)</f>
        <v/>
      </c>
      <c r="O591" s="18">
        <f>ROUND(N591*'Methodology &amp; Assumptions'!$B$8, 0)</f>
        <v/>
      </c>
      <c r="P591" s="8" t="inlineStr">
        <is>
          <t>Band n50 (1.5 GHz, 60 MHz)</t>
        </is>
      </c>
      <c r="Q591" s="38">
        <f>ROUNDUP(O591/'Methodology &amp; Assumptions'!$B$9, 0)</f>
        <v/>
      </c>
      <c r="R591" s="39" t="n">
        <v>1</v>
      </c>
      <c r="S591" s="21" t="n">
        <v>0.45</v>
      </c>
      <c r="T591" s="21" t="n">
        <v>0.46</v>
      </c>
      <c r="U591" s="36" t="inlineStr">
        <is>
          <t>Tier 1A (Direct Coloc, &lt;1 km)</t>
        </is>
      </c>
      <c r="V591" s="20" t="n">
        <v>96</v>
      </c>
      <c r="W591" s="20" t="n">
        <v>100</v>
      </c>
      <c r="X591" s="20" t="n">
        <v>28</v>
      </c>
      <c r="Y591" s="40">
        <f>ROUND((V591*'Methodology &amp; Assumptions'!$B$6)+(W591*'Methodology &amp; Assumptions'!$B$5)+(X591*'Methodology &amp; Assumptions'!$B$7), 2)</f>
        <v/>
      </c>
    </row>
    <row r="592" ht="19" customHeight="1">
      <c r="A592" s="41" t="n">
        <v>588</v>
      </c>
      <c r="B592" s="41" t="n">
        <v>588</v>
      </c>
      <c r="C592" s="42" t="inlineStr">
        <is>
          <t>0702231015</t>
        </is>
      </c>
      <c r="D592" s="42" t="inlineStr">
        <is>
          <t>Region VII (Central Visayas)</t>
        </is>
      </c>
      <c r="E592" s="42" t="inlineStr">
        <is>
          <t>Cebu</t>
        </is>
      </c>
      <c r="F592" s="42" t="inlineStr">
        <is>
          <t>Medellin</t>
        </is>
      </c>
      <c r="G592" s="42" t="inlineStr">
        <is>
          <t>Tindog</t>
        </is>
      </c>
      <c r="H592" s="43" t="n">
        <v>11.124185</v>
      </c>
      <c r="I592" s="43" t="n">
        <v>124.011634</v>
      </c>
      <c r="J592" s="44" t="inlineStr">
        <is>
          <t>U</t>
        </is>
      </c>
      <c r="K592" s="42" t="inlineStr">
        <is>
          <t>Class 1-3 / Urban</t>
        </is>
      </c>
      <c r="L592" s="23" t="n">
        <v>3981</v>
      </c>
      <c r="M592" s="24" t="n">
        <v>4.42</v>
      </c>
      <c r="N592" s="23">
        <f>ROUND(L592/M592, 0)</f>
        <v/>
      </c>
      <c r="O592" s="23">
        <f>ROUND(N592*'Methodology &amp; Assumptions'!$B$8, 0)</f>
        <v/>
      </c>
      <c r="P592" s="44" t="inlineStr">
        <is>
          <t>Band n50 (1.5 GHz, 60 MHz)</t>
        </is>
      </c>
      <c r="Q592" s="38">
        <f>ROUNDUP(O592/'Methodology &amp; Assumptions'!$B$9, 0)</f>
        <v/>
      </c>
      <c r="R592" s="39" t="n">
        <v>1</v>
      </c>
      <c r="S592" s="25" t="n">
        <v>0.08</v>
      </c>
      <c r="T592" s="25" t="n">
        <v>1.67</v>
      </c>
      <c r="U592" s="42" t="inlineStr">
        <is>
          <t>Tier 1A (Direct Coloc, &lt;1 km)</t>
        </is>
      </c>
      <c r="V592" s="24" t="n">
        <v>100</v>
      </c>
      <c r="W592" s="24" t="n">
        <v>96</v>
      </c>
      <c r="X592" s="24" t="n">
        <v>28</v>
      </c>
      <c r="Y592" s="45">
        <f>ROUND((V592*'Methodology &amp; Assumptions'!$B$6)+(W592*'Methodology &amp; Assumptions'!$B$5)+(X592*'Methodology &amp; Assumptions'!$B$7), 2)</f>
        <v/>
      </c>
    </row>
    <row r="593" ht="19" customHeight="1">
      <c r="A593" s="35" t="n">
        <v>589</v>
      </c>
      <c r="B593" s="35" t="n">
        <v>589</v>
      </c>
      <c r="C593" s="36" t="inlineStr">
        <is>
          <t>0330100022</t>
        </is>
      </c>
      <c r="D593" s="36" t="inlineStr">
        <is>
          <t>Region III (Central Luzon)</t>
        </is>
      </c>
      <c r="E593" s="36" t="inlineStr">
        <is>
          <t>Pampanga</t>
        </is>
      </c>
      <c r="F593" s="36" t="inlineStr">
        <is>
          <t>City of Angeles</t>
        </is>
      </c>
      <c r="G593" s="36" t="inlineStr">
        <is>
          <t>Salapungan</t>
        </is>
      </c>
      <c r="H593" s="37" t="n">
        <v>15.148238</v>
      </c>
      <c r="I593" s="37" t="n">
        <v>120.594487</v>
      </c>
      <c r="J593" s="8" t="inlineStr">
        <is>
          <t>U</t>
        </is>
      </c>
      <c r="K593" s="36" t="inlineStr">
        <is>
          <t>Class 1-3 / Urban</t>
        </is>
      </c>
      <c r="L593" s="18" t="n">
        <v>5298</v>
      </c>
      <c r="M593" s="20" t="n">
        <v>4.63</v>
      </c>
      <c r="N593" s="18">
        <f>ROUND(L593/M593, 0)</f>
        <v/>
      </c>
      <c r="O593" s="18">
        <f>ROUND(N593*'Methodology &amp; Assumptions'!$B$8, 0)</f>
        <v/>
      </c>
      <c r="P593" s="8" t="inlineStr">
        <is>
          <t>Band n50 (1.5 GHz, 60 MHz)</t>
        </is>
      </c>
      <c r="Q593" s="38">
        <f>ROUNDUP(O593/'Methodology &amp; Assumptions'!$B$9, 0)</f>
        <v/>
      </c>
      <c r="R593" s="39" t="n">
        <v>1</v>
      </c>
      <c r="S593" s="21" t="n">
        <v>0.45</v>
      </c>
      <c r="T593" s="21" t="n">
        <v>0.11</v>
      </c>
      <c r="U593" s="36" t="inlineStr">
        <is>
          <t>Tier 1A (Direct Coloc, &lt;1 km)</t>
        </is>
      </c>
      <c r="V593" s="20" t="n">
        <v>96</v>
      </c>
      <c r="W593" s="20" t="n">
        <v>100</v>
      </c>
      <c r="X593" s="20" t="n">
        <v>28</v>
      </c>
      <c r="Y593" s="40">
        <f>ROUND((V593*'Methodology &amp; Assumptions'!$B$6)+(W593*'Methodology &amp; Assumptions'!$B$5)+(X593*'Methodology &amp; Assumptions'!$B$7), 2)</f>
        <v/>
      </c>
    </row>
    <row r="594" ht="19" customHeight="1">
      <c r="A594" s="41" t="n">
        <v>590</v>
      </c>
      <c r="B594" s="41" t="n">
        <v>590</v>
      </c>
      <c r="C594" s="42" t="inlineStr">
        <is>
          <t>1600314001</t>
        </is>
      </c>
      <c r="D594" s="42" t="inlineStr">
        <is>
          <t>Region XIII (Caraga)</t>
        </is>
      </c>
      <c r="E594" s="42" t="inlineStr">
        <is>
          <t>Agusan del Sur</t>
        </is>
      </c>
      <c r="F594" s="42" t="inlineStr">
        <is>
          <t>Sibagat</t>
        </is>
      </c>
      <c r="G594" s="42" t="inlineStr">
        <is>
          <t>Afga</t>
        </is>
      </c>
      <c r="H594" s="43" t="n">
        <v>8.873787999999999</v>
      </c>
      <c r="I594" s="43" t="n">
        <v>125.6579</v>
      </c>
      <c r="J594" s="44" t="inlineStr">
        <is>
          <t>R</t>
        </is>
      </c>
      <c r="K594" s="42" t="inlineStr">
        <is>
          <t>Class 1-3 / Urban</t>
        </is>
      </c>
      <c r="L594" s="23" t="n">
        <v>3374</v>
      </c>
      <c r="M594" s="24" t="n">
        <v>4.1</v>
      </c>
      <c r="N594" s="23">
        <f>ROUND(L594/M594, 0)</f>
        <v/>
      </c>
      <c r="O594" s="23">
        <f>ROUND(N594*'Methodology &amp; Assumptions'!$B$8, 0)</f>
        <v/>
      </c>
      <c r="P594" s="44" t="inlineStr">
        <is>
          <t>Band n50 (1.5 GHz, 60 MHz)</t>
        </is>
      </c>
      <c r="Q594" s="38">
        <f>ROUNDUP(O594/'Methodology &amp; Assumptions'!$B$9, 0)</f>
        <v/>
      </c>
      <c r="R594" s="39" t="n">
        <v>1</v>
      </c>
      <c r="S594" s="25" t="n">
        <v>1.06</v>
      </c>
      <c r="T594" s="25" t="n">
        <v>0.19</v>
      </c>
      <c r="U594" s="42" t="inlineStr">
        <is>
          <t>Tier 1B (Micro Drop, 1-3 km)</t>
        </is>
      </c>
      <c r="V594" s="24" t="n">
        <v>80.3</v>
      </c>
      <c r="W594" s="24" t="n">
        <v>89.90000000000001</v>
      </c>
      <c r="X594" s="24" t="n">
        <v>58</v>
      </c>
      <c r="Y594" s="45">
        <f>ROUND((V594*'Methodology &amp; Assumptions'!$B$6)+(W594*'Methodology &amp; Assumptions'!$B$5)+(X594*'Methodology &amp; Assumptions'!$B$7), 2)</f>
        <v/>
      </c>
    </row>
    <row r="595" ht="19" customHeight="1">
      <c r="A595" s="35" t="n">
        <v>591</v>
      </c>
      <c r="B595" s="35" t="n">
        <v>591</v>
      </c>
      <c r="C595" s="36" t="inlineStr">
        <is>
          <t>1430300115</t>
        </is>
      </c>
      <c r="D595" s="36" t="inlineStr">
        <is>
          <t>Cordillera Administrative Region (CAR)</t>
        </is>
      </c>
      <c r="E595" s="36" t="inlineStr">
        <is>
          <t>Benguet</t>
        </is>
      </c>
      <c r="F595" s="36" t="inlineStr">
        <is>
          <t>City of Baguio</t>
        </is>
      </c>
      <c r="G595" s="36" t="inlineStr">
        <is>
          <t>Victoria Village</t>
        </is>
      </c>
      <c r="H595" s="37" t="n">
        <v>16.41464</v>
      </c>
      <c r="I595" s="37" t="n">
        <v>120.57892</v>
      </c>
      <c r="J595" s="8" t="inlineStr">
        <is>
          <t>R</t>
        </is>
      </c>
      <c r="K595" s="36" t="inlineStr">
        <is>
          <t>Class 1-3 / Urban</t>
        </is>
      </c>
      <c r="L595" s="18" t="n">
        <v>2878</v>
      </c>
      <c r="M595" s="20" t="n">
        <v>4.58</v>
      </c>
      <c r="N595" s="18">
        <f>ROUND(L595/M595, 0)</f>
        <v/>
      </c>
      <c r="O595" s="18">
        <f>ROUND(N595*'Methodology &amp; Assumptions'!$B$8, 0)</f>
        <v/>
      </c>
      <c r="P595" s="8" t="inlineStr">
        <is>
          <t>Band n50 (1.5 GHz, 60 MHz)</t>
        </is>
      </c>
      <c r="Q595" s="38">
        <f>ROUNDUP(O595/'Methodology &amp; Assumptions'!$B$9, 0)</f>
        <v/>
      </c>
      <c r="R595" s="39" t="n">
        <v>1</v>
      </c>
      <c r="S595" s="21" t="n">
        <v>0.19</v>
      </c>
      <c r="T595" s="21" t="n">
        <v>0.16</v>
      </c>
      <c r="U595" s="36" t="inlineStr">
        <is>
          <t>Tier 1A (Direct Coloc, &lt;1 km)</t>
        </is>
      </c>
      <c r="V595" s="20" t="n">
        <v>100</v>
      </c>
      <c r="W595" s="20" t="n">
        <v>70.09999999999999</v>
      </c>
      <c r="X595" s="20" t="n">
        <v>58</v>
      </c>
      <c r="Y595" s="40">
        <f>ROUND((V595*'Methodology &amp; Assumptions'!$B$6)+(W595*'Methodology &amp; Assumptions'!$B$5)+(X595*'Methodology &amp; Assumptions'!$B$7), 2)</f>
        <v/>
      </c>
    </row>
    <row r="596" ht="19" customHeight="1">
      <c r="A596" s="41" t="n">
        <v>592</v>
      </c>
      <c r="B596" s="41" t="n">
        <v>592</v>
      </c>
      <c r="C596" s="42" t="inlineStr">
        <is>
          <t>0304907011</t>
        </is>
      </c>
      <c r="D596" s="42" t="inlineStr">
        <is>
          <t>Region III (Central Luzon)</t>
        </is>
      </c>
      <c r="E596" s="42" t="inlineStr">
        <is>
          <t>Nueva Ecija</t>
        </is>
      </c>
      <c r="F596" s="42" t="inlineStr">
        <is>
          <t>Gabaldon</t>
        </is>
      </c>
      <c r="G596" s="42" t="inlineStr">
        <is>
          <t>Malinao</t>
        </is>
      </c>
      <c r="H596" s="43" t="n">
        <v>15.484018</v>
      </c>
      <c r="I596" s="43" t="n">
        <v>121.332991</v>
      </c>
      <c r="J596" s="44" t="inlineStr">
        <is>
          <t>R</t>
        </is>
      </c>
      <c r="K596" s="42" t="inlineStr">
        <is>
          <t>Class 1-3 / Urban</t>
        </is>
      </c>
      <c r="L596" s="23" t="n">
        <v>2531</v>
      </c>
      <c r="M596" s="24" t="n">
        <v>4.32</v>
      </c>
      <c r="N596" s="23">
        <f>ROUND(L596/M596, 0)</f>
        <v/>
      </c>
      <c r="O596" s="23">
        <f>ROUND(N596*'Methodology &amp; Assumptions'!$B$8, 0)</f>
        <v/>
      </c>
      <c r="P596" s="44" t="inlineStr">
        <is>
          <t>Band n50 (1.5 GHz, 60 MHz)</t>
        </is>
      </c>
      <c r="Q596" s="38">
        <f>ROUNDUP(O596/'Methodology &amp; Assumptions'!$B$9, 0)</f>
        <v/>
      </c>
      <c r="R596" s="39" t="n">
        <v>1</v>
      </c>
      <c r="S596" s="25" t="n">
        <v>0.02</v>
      </c>
      <c r="T596" s="25" t="n">
        <v>23.28</v>
      </c>
      <c r="U596" s="42" t="inlineStr">
        <is>
          <t>Tier 1A (Direct Coloc, &lt;1 km)</t>
        </is>
      </c>
      <c r="V596" s="24" t="n">
        <v>99.2</v>
      </c>
      <c r="W596" s="24" t="n">
        <v>70.90000000000001</v>
      </c>
      <c r="X596" s="24" t="n">
        <v>58</v>
      </c>
      <c r="Y596" s="45">
        <f>ROUND((V596*'Methodology &amp; Assumptions'!$B$6)+(W596*'Methodology &amp; Assumptions'!$B$5)+(X596*'Methodology &amp; Assumptions'!$B$7), 2)</f>
        <v/>
      </c>
    </row>
    <row r="597" ht="19" customHeight="1">
      <c r="A597" s="35" t="n">
        <v>593</v>
      </c>
      <c r="B597" s="35" t="n">
        <v>593</v>
      </c>
      <c r="C597" s="36" t="inlineStr">
        <is>
          <t>1102315009</t>
        </is>
      </c>
      <c r="D597" s="36" t="inlineStr">
        <is>
          <t>Region XI (Davao Region)</t>
        </is>
      </c>
      <c r="E597" s="36" t="inlineStr">
        <is>
          <t>Davao del Norte</t>
        </is>
      </c>
      <c r="F597" s="36" t="inlineStr">
        <is>
          <t>City of Panabo</t>
        </is>
      </c>
      <c r="G597" s="36" t="inlineStr">
        <is>
          <t>Gredu</t>
        </is>
      </c>
      <c r="H597" s="37" t="n">
        <v>7.29684</v>
      </c>
      <c r="I597" s="37" t="n">
        <v>125.678634</v>
      </c>
      <c r="J597" s="8" t="inlineStr">
        <is>
          <t>U</t>
        </is>
      </c>
      <c r="K597" s="36" t="inlineStr">
        <is>
          <t>Class 1-3 / Urban</t>
        </is>
      </c>
      <c r="L597" s="18" t="n">
        <v>16252</v>
      </c>
      <c r="M597" s="20" t="n">
        <v>4.25</v>
      </c>
      <c r="N597" s="18">
        <f>ROUND(L597/M597, 0)</f>
        <v/>
      </c>
      <c r="O597" s="18">
        <f>ROUND(N597*'Methodology &amp; Assumptions'!$B$8, 0)</f>
        <v/>
      </c>
      <c r="P597" s="8" t="inlineStr">
        <is>
          <t>Band n50 (1.5 GHz, 60 MHz)</t>
        </is>
      </c>
      <c r="Q597" s="38">
        <f>ROUNDUP(O597/'Methodology &amp; Assumptions'!$B$9, 0)</f>
        <v/>
      </c>
      <c r="R597" s="39" t="n">
        <v>1</v>
      </c>
      <c r="S597" s="21" t="n">
        <v>0.46</v>
      </c>
      <c r="T597" s="21" t="n">
        <v>0.17</v>
      </c>
      <c r="U597" s="36" t="inlineStr">
        <is>
          <t>Tier 1A (Direct Coloc, &lt;1 km)</t>
        </is>
      </c>
      <c r="V597" s="20" t="n">
        <v>95.90000000000001</v>
      </c>
      <c r="W597" s="20" t="n">
        <v>100</v>
      </c>
      <c r="X597" s="20" t="n">
        <v>28</v>
      </c>
      <c r="Y597" s="40">
        <f>ROUND((V597*'Methodology &amp; Assumptions'!$B$6)+(W597*'Methodology &amp; Assumptions'!$B$5)+(X597*'Methodology &amp; Assumptions'!$B$7), 2)</f>
        <v/>
      </c>
    </row>
    <row r="598" ht="19" customHeight="1">
      <c r="A598" s="41" t="n">
        <v>594</v>
      </c>
      <c r="B598" s="41" t="n">
        <v>594</v>
      </c>
      <c r="C598" s="42" t="inlineStr">
        <is>
          <t>1430300002</t>
        </is>
      </c>
      <c r="D598" s="42" t="inlineStr">
        <is>
          <t>Cordillera Administrative Region (CAR)</t>
        </is>
      </c>
      <c r="E598" s="42" t="inlineStr">
        <is>
          <t>Benguet</t>
        </is>
      </c>
      <c r="F598" s="42" t="inlineStr">
        <is>
          <t>City of Baguio</t>
        </is>
      </c>
      <c r="G598" s="42" t="inlineStr">
        <is>
          <t>Asin Road</t>
        </is>
      </c>
      <c r="H598" s="43" t="n">
        <v>16.40546</v>
      </c>
      <c r="I598" s="43" t="n">
        <v>120.56721</v>
      </c>
      <c r="J598" s="44" t="inlineStr">
        <is>
          <t>U</t>
        </is>
      </c>
      <c r="K598" s="42" t="inlineStr">
        <is>
          <t>Class 1-3 / Urban</t>
        </is>
      </c>
      <c r="L598" s="23" t="n">
        <v>13823</v>
      </c>
      <c r="M598" s="24" t="n">
        <v>4.58</v>
      </c>
      <c r="N598" s="23">
        <f>ROUND(L598/M598, 0)</f>
        <v/>
      </c>
      <c r="O598" s="23">
        <f>ROUND(N598*'Methodology &amp; Assumptions'!$B$8, 0)</f>
        <v/>
      </c>
      <c r="P598" s="44" t="inlineStr">
        <is>
          <t>Band n50 (1.5 GHz, 60 MHz)</t>
        </is>
      </c>
      <c r="Q598" s="38">
        <f>ROUNDUP(O598/'Methodology &amp; Assumptions'!$B$9, 0)</f>
        <v/>
      </c>
      <c r="R598" s="39" t="n">
        <v>1</v>
      </c>
      <c r="S598" s="25" t="n">
        <v>0.46</v>
      </c>
      <c r="T598" s="25" t="n">
        <v>0.52</v>
      </c>
      <c r="U598" s="42" t="inlineStr">
        <is>
          <t>Tier 1A (Direct Coloc, &lt;1 km)</t>
        </is>
      </c>
      <c r="V598" s="24" t="n">
        <v>95.8</v>
      </c>
      <c r="W598" s="24" t="n">
        <v>100</v>
      </c>
      <c r="X598" s="24" t="n">
        <v>28</v>
      </c>
      <c r="Y598" s="45">
        <f>ROUND((V598*'Methodology &amp; Assumptions'!$B$6)+(W598*'Methodology &amp; Assumptions'!$B$5)+(X598*'Methodology &amp; Assumptions'!$B$7), 2)</f>
        <v/>
      </c>
    </row>
    <row r="599" ht="19" customHeight="1">
      <c r="A599" s="35" t="n">
        <v>595</v>
      </c>
      <c r="B599" s="35" t="n">
        <v>595</v>
      </c>
      <c r="C599" s="36" t="inlineStr">
        <is>
          <t>0803738090</t>
        </is>
      </c>
      <c r="D599" s="36" t="inlineStr">
        <is>
          <t>Region VIII (Eastern Visayas)</t>
        </is>
      </c>
      <c r="E599" s="36" t="inlineStr">
        <is>
          <t>Leyte</t>
        </is>
      </c>
      <c r="F599" s="36" t="inlineStr">
        <is>
          <t>Ormoc City</t>
        </is>
      </c>
      <c r="G599" s="36" t="inlineStr">
        <is>
          <t>Valencia</t>
        </is>
      </c>
      <c r="H599" s="37" t="n">
        <v>11.106543</v>
      </c>
      <c r="I599" s="37" t="n">
        <v>124.578606</v>
      </c>
      <c r="J599" s="8" t="inlineStr">
        <is>
          <t>U</t>
        </is>
      </c>
      <c r="K599" s="36" t="inlineStr">
        <is>
          <t>Class 1-3 / Urban</t>
        </is>
      </c>
      <c r="L599" s="18" t="n">
        <v>4262</v>
      </c>
      <c r="M599" s="20" t="n">
        <v>4.24</v>
      </c>
      <c r="N599" s="18">
        <f>ROUND(L599/M599, 0)</f>
        <v/>
      </c>
      <c r="O599" s="18">
        <f>ROUND(N599*'Methodology &amp; Assumptions'!$B$8, 0)</f>
        <v/>
      </c>
      <c r="P599" s="8" t="inlineStr">
        <is>
          <t>Band n50 (1.5 GHz, 60 MHz)</t>
        </is>
      </c>
      <c r="Q599" s="38">
        <f>ROUNDUP(O599/'Methodology &amp; Assumptions'!$B$9, 0)</f>
        <v/>
      </c>
      <c r="R599" s="39" t="n">
        <v>1</v>
      </c>
      <c r="S599" s="21" t="n">
        <v>0.46</v>
      </c>
      <c r="T599" s="21" t="n">
        <v>0.13</v>
      </c>
      <c r="U599" s="36" t="inlineStr">
        <is>
          <t>Tier 1A (Direct Coloc, &lt;1 km)</t>
        </is>
      </c>
      <c r="V599" s="20" t="n">
        <v>95.8</v>
      </c>
      <c r="W599" s="20" t="n">
        <v>100</v>
      </c>
      <c r="X599" s="20" t="n">
        <v>28</v>
      </c>
      <c r="Y599" s="40">
        <f>ROUND((V599*'Methodology &amp; Assumptions'!$B$6)+(W599*'Methodology &amp; Assumptions'!$B$5)+(X599*'Methodology &amp; Assumptions'!$B$7), 2)</f>
        <v/>
      </c>
    </row>
    <row r="600" ht="19" customHeight="1">
      <c r="A600" s="41" t="n">
        <v>596</v>
      </c>
      <c r="B600" s="41" t="n">
        <v>596</v>
      </c>
      <c r="C600" s="42" t="inlineStr">
        <is>
          <t>0205703018</t>
        </is>
      </c>
      <c r="D600" s="42" t="inlineStr">
        <is>
          <t>Region II (Cagayan Valley)</t>
        </is>
      </c>
      <c r="E600" s="42" t="inlineStr">
        <is>
          <t>Quirino</t>
        </is>
      </c>
      <c r="F600" s="42" t="inlineStr">
        <is>
          <t>Diffun</t>
        </is>
      </c>
      <c r="G600" s="42" t="inlineStr">
        <is>
          <t>Rizal</t>
        </is>
      </c>
      <c r="H600" s="43" t="n">
        <v>16.588881</v>
      </c>
      <c r="I600" s="43" t="n">
        <v>121.510594</v>
      </c>
      <c r="J600" s="44" t="inlineStr">
        <is>
          <t>R</t>
        </is>
      </c>
      <c r="K600" s="42" t="inlineStr">
        <is>
          <t>Class 1-3 / Urban</t>
        </is>
      </c>
      <c r="L600" s="23" t="n">
        <v>4293</v>
      </c>
      <c r="M600" s="24" t="n">
        <v>4.03</v>
      </c>
      <c r="N600" s="23">
        <f>ROUND(L600/M600, 0)</f>
        <v/>
      </c>
      <c r="O600" s="23">
        <f>ROUND(N600*'Methodology &amp; Assumptions'!$B$8, 0)</f>
        <v/>
      </c>
      <c r="P600" s="44" t="inlineStr">
        <is>
          <t>Band n50 (1.5 GHz, 60 MHz)</t>
        </is>
      </c>
      <c r="Q600" s="38">
        <f>ROUNDUP(O600/'Methodology &amp; Assumptions'!$B$9, 0)</f>
        <v/>
      </c>
      <c r="R600" s="39" t="n">
        <v>1</v>
      </c>
      <c r="S600" s="25" t="n">
        <v>1.07</v>
      </c>
      <c r="T600" s="25" t="n">
        <v>6.2</v>
      </c>
      <c r="U600" s="42" t="inlineStr">
        <is>
          <t>Tier 1B (Micro Drop, 1-3 km)</t>
        </is>
      </c>
      <c r="V600" s="24" t="n">
        <v>70.09999999999999</v>
      </c>
      <c r="W600" s="24" t="n">
        <v>100</v>
      </c>
      <c r="X600" s="24" t="n">
        <v>58</v>
      </c>
      <c r="Y600" s="45">
        <f>ROUND((V600*'Methodology &amp; Assumptions'!$B$6)+(W600*'Methodology &amp; Assumptions'!$B$5)+(X600*'Methodology &amp; Assumptions'!$B$7), 2)</f>
        <v/>
      </c>
    </row>
    <row r="601" ht="19" customHeight="1">
      <c r="A601" s="35" t="n">
        <v>597</v>
      </c>
      <c r="B601" s="35" t="n">
        <v>597</v>
      </c>
      <c r="C601" s="36" t="inlineStr">
        <is>
          <t>0405642009</t>
        </is>
      </c>
      <c r="D601" s="36" t="inlineStr">
        <is>
          <t>Region IV-A (CALABARZON)</t>
        </is>
      </c>
      <c r="E601" s="36" t="inlineStr">
        <is>
          <t>Quezon</t>
        </is>
      </c>
      <c r="F601" s="36" t="inlineStr">
        <is>
          <t>San Francisco</t>
        </is>
      </c>
      <c r="G601" s="36" t="inlineStr">
        <is>
          <t>Inabuan</t>
        </is>
      </c>
      <c r="H601" s="37" t="n">
        <v>13.345756</v>
      </c>
      <c r="I601" s="37" t="n">
        <v>122.526991</v>
      </c>
      <c r="J601" s="8" t="inlineStr">
        <is>
          <t>R</t>
        </is>
      </c>
      <c r="K601" s="36" t="inlineStr">
        <is>
          <t>Class 1-3 / Urban</t>
        </is>
      </c>
      <c r="L601" s="18" t="n">
        <v>3972</v>
      </c>
      <c r="M601" s="20" t="n">
        <v>4.46</v>
      </c>
      <c r="N601" s="18">
        <f>ROUND(L601/M601, 0)</f>
        <v/>
      </c>
      <c r="O601" s="18">
        <f>ROUND(N601*'Methodology &amp; Assumptions'!$B$8, 0)</f>
        <v/>
      </c>
      <c r="P601" s="8" t="inlineStr">
        <is>
          <t>Band n50 (1.5 GHz, 60 MHz)</t>
        </is>
      </c>
      <c r="Q601" s="38">
        <f>ROUNDUP(O601/'Methodology &amp; Assumptions'!$B$9, 0)</f>
        <v/>
      </c>
      <c r="R601" s="39" t="n">
        <v>1</v>
      </c>
      <c r="S601" s="21" t="n">
        <v>0.87</v>
      </c>
      <c r="T601" s="21" t="n">
        <v>24.3</v>
      </c>
      <c r="U601" s="36" t="inlineStr">
        <is>
          <t>Tier 1A (Direct Coloc, &lt;1 km)</t>
        </is>
      </c>
      <c r="V601" s="20" t="n">
        <v>74.8</v>
      </c>
      <c r="W601" s="20" t="n">
        <v>95.2</v>
      </c>
      <c r="X601" s="20" t="n">
        <v>58</v>
      </c>
      <c r="Y601" s="40">
        <f>ROUND((V601*'Methodology &amp; Assumptions'!$B$6)+(W601*'Methodology &amp; Assumptions'!$B$5)+(X601*'Methodology &amp; Assumptions'!$B$7), 2)</f>
        <v/>
      </c>
    </row>
    <row r="602" ht="19" customHeight="1">
      <c r="A602" s="41" t="n">
        <v>598</v>
      </c>
      <c r="B602" s="41" t="n">
        <v>598</v>
      </c>
      <c r="C602" s="42" t="inlineStr">
        <is>
          <t>0403405032</t>
        </is>
      </c>
      <c r="D602" s="42" t="inlineStr">
        <is>
          <t>Region IV-A (CALABARZON)</t>
        </is>
      </c>
      <c r="E602" s="42" t="inlineStr">
        <is>
          <t>Laguna</t>
        </is>
      </c>
      <c r="F602" s="42" t="inlineStr">
        <is>
          <t>City of Calamba</t>
        </is>
      </c>
      <c r="G602" s="42" t="inlineStr">
        <is>
          <t>Mayapa</t>
        </is>
      </c>
      <c r="H602" s="43" t="n">
        <v>14.211245</v>
      </c>
      <c r="I602" s="43" t="n">
        <v>121.126892</v>
      </c>
      <c r="J602" s="44" t="inlineStr">
        <is>
          <t>U</t>
        </is>
      </c>
      <c r="K602" s="42" t="inlineStr">
        <is>
          <t>Class 1-3 / Urban</t>
        </is>
      </c>
      <c r="L602" s="23" t="n">
        <v>28302</v>
      </c>
      <c r="M602" s="24" t="n">
        <v>4.2</v>
      </c>
      <c r="N602" s="23">
        <f>ROUND(L602/M602, 0)</f>
        <v/>
      </c>
      <c r="O602" s="23">
        <f>ROUND(N602*'Methodology &amp; Assumptions'!$B$8, 0)</f>
        <v/>
      </c>
      <c r="P602" s="44" t="inlineStr">
        <is>
          <t>Band n50 (1.5 GHz, 60 MHz)</t>
        </is>
      </c>
      <c r="Q602" s="38">
        <f>ROUNDUP(O602/'Methodology &amp; Assumptions'!$B$9, 0)</f>
        <v/>
      </c>
      <c r="R602" s="39" t="n">
        <v>1</v>
      </c>
      <c r="S602" s="25" t="n">
        <v>0.45</v>
      </c>
      <c r="T602" s="25" t="n">
        <v>0.08</v>
      </c>
      <c r="U602" s="42" t="inlineStr">
        <is>
          <t>Tier 1A (Direct Coloc, &lt;1 km)</t>
        </is>
      </c>
      <c r="V602" s="24" t="n">
        <v>96</v>
      </c>
      <c r="W602" s="24" t="n">
        <v>99.8</v>
      </c>
      <c r="X602" s="24" t="n">
        <v>28</v>
      </c>
      <c r="Y602" s="45">
        <f>ROUND((V602*'Methodology &amp; Assumptions'!$B$6)+(W602*'Methodology &amp; Assumptions'!$B$5)+(X602*'Methodology &amp; Assumptions'!$B$7), 2)</f>
        <v/>
      </c>
    </row>
    <row r="603" ht="19" customHeight="1">
      <c r="A603" s="35" t="n">
        <v>599</v>
      </c>
      <c r="B603" s="35" t="n">
        <v>599</v>
      </c>
      <c r="C603" s="36" t="inlineStr">
        <is>
          <t>0307105018</t>
        </is>
      </c>
      <c r="D603" s="36" t="inlineStr">
        <is>
          <t>Region III (Central Luzon)</t>
        </is>
      </c>
      <c r="E603" s="36" t="inlineStr">
        <is>
          <t>Zambales</t>
        </is>
      </c>
      <c r="F603" s="36" t="inlineStr">
        <is>
          <t>Iba</t>
        </is>
      </c>
      <c r="G603" s="36" t="inlineStr">
        <is>
          <t>Santo Rosario</t>
        </is>
      </c>
      <c r="H603" s="37" t="n">
        <v>15.335013</v>
      </c>
      <c r="I603" s="37" t="n">
        <v>119.966091</v>
      </c>
      <c r="J603" s="8" t="inlineStr">
        <is>
          <t>R</t>
        </is>
      </c>
      <c r="K603" s="36" t="inlineStr">
        <is>
          <t>Class 1-3 / Urban</t>
        </is>
      </c>
      <c r="L603" s="18" t="n">
        <v>4366</v>
      </c>
      <c r="M603" s="20" t="n">
        <v>4.05</v>
      </c>
      <c r="N603" s="18">
        <f>ROUND(L603/M603, 0)</f>
        <v/>
      </c>
      <c r="O603" s="18">
        <f>ROUND(N603*'Methodology &amp; Assumptions'!$B$8, 0)</f>
        <v/>
      </c>
      <c r="P603" s="8" t="inlineStr">
        <is>
          <t>Band n50 (1.5 GHz, 60 MHz)</t>
        </is>
      </c>
      <c r="Q603" s="38">
        <f>ROUNDUP(O603/'Methodology &amp; Assumptions'!$B$9, 0)</f>
        <v/>
      </c>
      <c r="R603" s="39" t="n">
        <v>1</v>
      </c>
      <c r="S603" s="21" t="n">
        <v>1.53</v>
      </c>
      <c r="T603" s="21" t="n">
        <v>0.22</v>
      </c>
      <c r="U603" s="36" t="inlineStr">
        <is>
          <t>Tier 1B (Micro Drop, 1-3 km)</t>
        </is>
      </c>
      <c r="V603" s="20" t="n">
        <v>70</v>
      </c>
      <c r="W603" s="20" t="n">
        <v>100</v>
      </c>
      <c r="X603" s="20" t="n">
        <v>58</v>
      </c>
      <c r="Y603" s="40">
        <f>ROUND((V603*'Methodology &amp; Assumptions'!$B$6)+(W603*'Methodology &amp; Assumptions'!$B$5)+(X603*'Methodology &amp; Assumptions'!$B$7), 2)</f>
        <v/>
      </c>
    </row>
    <row r="604" ht="19" customHeight="1">
      <c r="A604" s="41" t="n">
        <v>600</v>
      </c>
      <c r="B604" s="41" t="n">
        <v>600</v>
      </c>
      <c r="C604" s="42" t="inlineStr">
        <is>
          <t>0604528038</t>
        </is>
      </c>
      <c r="D604" s="42" t="inlineStr">
        <is>
          <t>Region VI (Western Visayas)</t>
        </is>
      </c>
      <c r="E604" s="42" t="inlineStr">
        <is>
          <t>Negros Occidental</t>
        </is>
      </c>
      <c r="F604" s="42" t="inlineStr">
        <is>
          <t>City of Talisay</t>
        </is>
      </c>
      <c r="G604" s="42" t="inlineStr">
        <is>
          <t>Zone 12</t>
        </is>
      </c>
      <c r="H604" s="43" t="n">
        <v>10.737822</v>
      </c>
      <c r="I604" s="43" t="n">
        <v>122.969082</v>
      </c>
      <c r="J604" s="44" t="inlineStr">
        <is>
          <t>R</t>
        </is>
      </c>
      <c r="K604" s="42" t="inlineStr">
        <is>
          <t>Class 1-3 / Urban</t>
        </is>
      </c>
      <c r="L604" s="23" t="n">
        <v>2532</v>
      </c>
      <c r="M604" s="24" t="n">
        <v>4.33</v>
      </c>
      <c r="N604" s="23">
        <f>ROUND(L604/M604, 0)</f>
        <v/>
      </c>
      <c r="O604" s="23">
        <f>ROUND(N604*'Methodology &amp; Assumptions'!$B$8, 0)</f>
        <v/>
      </c>
      <c r="P604" s="44" t="inlineStr">
        <is>
          <t>Band n50 (1.5 GHz, 60 MHz)</t>
        </is>
      </c>
      <c r="Q604" s="38">
        <f>ROUNDUP(O604/'Methodology &amp; Assumptions'!$B$9, 0)</f>
        <v/>
      </c>
      <c r="R604" s="39" t="n">
        <v>1</v>
      </c>
      <c r="S604" s="25" t="n">
        <v>0.35</v>
      </c>
      <c r="T604" s="25" t="n">
        <v>0.26</v>
      </c>
      <c r="U604" s="42" t="inlineStr">
        <is>
          <t>Tier 1A (Direct Coloc, &lt;1 km)</t>
        </is>
      </c>
      <c r="V604" s="24" t="n">
        <v>99.09999999999999</v>
      </c>
      <c r="W604" s="24" t="n">
        <v>70.90000000000001</v>
      </c>
      <c r="X604" s="24" t="n">
        <v>58</v>
      </c>
      <c r="Y604" s="45">
        <f>ROUND((V604*'Methodology &amp; Assumptions'!$B$6)+(W604*'Methodology &amp; Assumptions'!$B$5)+(X604*'Methodology &amp; Assumptions'!$B$7), 2)</f>
        <v/>
      </c>
    </row>
    <row r="605" ht="19" customHeight="1">
      <c r="A605" s="35" t="n">
        <v>601</v>
      </c>
      <c r="B605" s="35" t="n">
        <v>601</v>
      </c>
      <c r="C605" s="36" t="inlineStr">
        <is>
          <t>0403403003</t>
        </is>
      </c>
      <c r="D605" s="36" t="inlineStr">
        <is>
          <t>Region IV-A (CALABARZON)</t>
        </is>
      </c>
      <c r="E605" s="36" t="inlineStr">
        <is>
          <t>Laguna</t>
        </is>
      </c>
      <c r="F605" s="36" t="inlineStr">
        <is>
          <t>City of Biñan</t>
        </is>
      </c>
      <c r="G605" s="36" t="inlineStr">
        <is>
          <t>Santo Tomas</t>
        </is>
      </c>
      <c r="H605" s="37" t="n">
        <v>14.31119</v>
      </c>
      <c r="I605" s="37" t="n">
        <v>121.06401</v>
      </c>
      <c r="J605" s="8" t="inlineStr">
        <is>
          <t>U</t>
        </is>
      </c>
      <c r="K605" s="36" t="inlineStr">
        <is>
          <t>Class 1-3 / Urban</t>
        </is>
      </c>
      <c r="L605" s="18" t="n">
        <v>55649</v>
      </c>
      <c r="M605" s="20" t="n">
        <v>4.2</v>
      </c>
      <c r="N605" s="18">
        <f>ROUND(L605/M605, 0)</f>
        <v/>
      </c>
      <c r="O605" s="18">
        <f>ROUND(N605*'Methodology &amp; Assumptions'!$B$8, 0)</f>
        <v/>
      </c>
      <c r="P605" s="8" t="inlineStr">
        <is>
          <t>Band n50 (1.5 GHz, 60 MHz)</t>
        </is>
      </c>
      <c r="Q605" s="38">
        <f>ROUNDUP(O605/'Methodology &amp; Assumptions'!$B$9, 0)</f>
        <v/>
      </c>
      <c r="R605" s="39" t="n">
        <v>1</v>
      </c>
      <c r="S605" s="21" t="n">
        <v>0.08</v>
      </c>
      <c r="T605" s="21" t="n">
        <v>0.11</v>
      </c>
      <c r="U605" s="36" t="inlineStr">
        <is>
          <t>Tier 1A (Direct Coloc, &lt;1 km)</t>
        </is>
      </c>
      <c r="V605" s="20" t="n">
        <v>100</v>
      </c>
      <c r="W605" s="20" t="n">
        <v>95.7</v>
      </c>
      <c r="X605" s="20" t="n">
        <v>28</v>
      </c>
      <c r="Y605" s="40">
        <f>ROUND((V605*'Methodology &amp; Assumptions'!$B$6)+(W605*'Methodology &amp; Assumptions'!$B$5)+(X605*'Methodology &amp; Assumptions'!$B$7), 2)</f>
        <v/>
      </c>
    </row>
    <row r="606" ht="19" customHeight="1">
      <c r="A606" s="41" t="n">
        <v>602</v>
      </c>
      <c r="B606" s="41" t="n">
        <v>602</v>
      </c>
      <c r="C606" s="42" t="inlineStr">
        <is>
          <t>0403423001</t>
        </is>
      </c>
      <c r="D606" s="42" t="inlineStr">
        <is>
          <t>Region IV-A (CALABARZON)</t>
        </is>
      </c>
      <c r="E606" s="42" t="inlineStr">
        <is>
          <t>Laguna</t>
        </is>
      </c>
      <c r="F606" s="42" t="inlineStr">
        <is>
          <t>Rizal</t>
        </is>
      </c>
      <c r="G606" s="42" t="inlineStr">
        <is>
          <t>Antipolo</t>
        </is>
      </c>
      <c r="H606" s="43" t="n">
        <v>14.111331</v>
      </c>
      <c r="I606" s="43" t="n">
        <v>121.383033</v>
      </c>
      <c r="J606" s="44" t="inlineStr">
        <is>
          <t>R</t>
        </is>
      </c>
      <c r="K606" s="42" t="inlineStr">
        <is>
          <t>4th</t>
        </is>
      </c>
      <c r="L606" s="23" t="n">
        <v>2999</v>
      </c>
      <c r="M606" s="24" t="n">
        <v>4.24</v>
      </c>
      <c r="N606" s="23">
        <f>ROUND(L606/M606, 0)</f>
        <v/>
      </c>
      <c r="O606" s="23">
        <f>ROUND(N606*'Methodology &amp; Assumptions'!$B$8, 0)</f>
        <v/>
      </c>
      <c r="P606" s="44" t="inlineStr">
        <is>
          <t>Band n50 (1.5 GHz, 60 MHz)</t>
        </is>
      </c>
      <c r="Q606" s="38">
        <f>ROUNDUP(O606/'Methodology &amp; Assumptions'!$B$9, 0)</f>
        <v/>
      </c>
      <c r="R606" s="39" t="n">
        <v>1</v>
      </c>
      <c r="S606" s="25" t="n">
        <v>1.05</v>
      </c>
      <c r="T606" s="25" t="n">
        <v>0.1</v>
      </c>
      <c r="U606" s="42" t="inlineStr">
        <is>
          <t>Tier 1B (Micro Drop, 1-3 km)</t>
        </is>
      </c>
      <c r="V606" s="24" t="n">
        <v>80.40000000000001</v>
      </c>
      <c r="W606" s="24" t="n">
        <v>80.5</v>
      </c>
      <c r="X606" s="24" t="n">
        <v>68.5</v>
      </c>
      <c r="Y606" s="45">
        <f>ROUND((V606*'Methodology &amp; Assumptions'!$B$6)+(W606*'Methodology &amp; Assumptions'!$B$5)+(X606*'Methodology &amp; Assumptions'!$B$7), 2)</f>
        <v/>
      </c>
    </row>
    <row r="607" ht="19" customHeight="1">
      <c r="A607" s="35" t="n">
        <v>603</v>
      </c>
      <c r="B607" s="35" t="n">
        <v>603</v>
      </c>
      <c r="C607" s="36" t="inlineStr">
        <is>
          <t>0402104012</t>
        </is>
      </c>
      <c r="D607" s="36" t="inlineStr">
        <is>
          <t>Region IV-A (CALABARZON)</t>
        </is>
      </c>
      <c r="E607" s="36" t="inlineStr">
        <is>
          <t>Cavite</t>
        </is>
      </c>
      <c r="F607" s="36" t="inlineStr">
        <is>
          <t>Carmona</t>
        </is>
      </c>
      <c r="G607" s="36" t="inlineStr">
        <is>
          <t>Barangay 1</t>
        </is>
      </c>
      <c r="H607" s="37" t="n">
        <v>14.312241</v>
      </c>
      <c r="I607" s="37" t="n">
        <v>121.057353</v>
      </c>
      <c r="J607" s="8" t="inlineStr">
        <is>
          <t>R</t>
        </is>
      </c>
      <c r="K607" s="36" t="inlineStr">
        <is>
          <t>Class 1-3 / Urban</t>
        </is>
      </c>
      <c r="L607" s="18" t="n">
        <v>3138</v>
      </c>
      <c r="M607" s="20" t="n">
        <v>4.49</v>
      </c>
      <c r="N607" s="18">
        <f>ROUND(L607/M607, 0)</f>
        <v/>
      </c>
      <c r="O607" s="18">
        <f>ROUND(N607*'Methodology &amp; Assumptions'!$B$8, 0)</f>
        <v/>
      </c>
      <c r="P607" s="8" t="inlineStr">
        <is>
          <t>Band n50 (1.5 GHz, 60 MHz)</t>
        </is>
      </c>
      <c r="Q607" s="38">
        <f>ROUNDUP(O607/'Methodology &amp; Assumptions'!$B$9, 0)</f>
        <v/>
      </c>
      <c r="R607" s="39" t="n">
        <v>1</v>
      </c>
      <c r="S607" s="21" t="n">
        <v>0.67</v>
      </c>
      <c r="T607" s="21" t="n">
        <v>0.46</v>
      </c>
      <c r="U607" s="36" t="inlineStr">
        <is>
          <t>Tier 1A (Direct Coloc, &lt;1 km)</t>
        </is>
      </c>
      <c r="V607" s="20" t="n">
        <v>89.90000000000001</v>
      </c>
      <c r="W607" s="20" t="n">
        <v>80</v>
      </c>
      <c r="X607" s="20" t="n">
        <v>58</v>
      </c>
      <c r="Y607" s="40">
        <f>ROUND((V607*'Methodology &amp; Assumptions'!$B$6)+(W607*'Methodology &amp; Assumptions'!$B$5)+(X607*'Methodology &amp; Assumptions'!$B$7), 2)</f>
        <v/>
      </c>
    </row>
    <row r="608" ht="19" customHeight="1">
      <c r="A608" s="41" t="n">
        <v>604</v>
      </c>
      <c r="B608" s="41" t="n">
        <v>604</v>
      </c>
      <c r="C608" s="42" t="inlineStr">
        <is>
          <t>0305409008</t>
        </is>
      </c>
      <c r="D608" s="42" t="inlineStr">
        <is>
          <t>Region III (Central Luzon)</t>
        </is>
      </c>
      <c r="E608" s="42" t="inlineStr">
        <is>
          <t>Pampanga</t>
        </is>
      </c>
      <c r="F608" s="42" t="inlineStr">
        <is>
          <t>Mabalacat City</t>
        </is>
      </c>
      <c r="G608" s="42" t="inlineStr">
        <is>
          <t>Dau</t>
        </is>
      </c>
      <c r="H608" s="43" t="n">
        <v>15.174555</v>
      </c>
      <c r="I608" s="43" t="n">
        <v>120.58595</v>
      </c>
      <c r="J608" s="44" t="inlineStr">
        <is>
          <t>U</t>
        </is>
      </c>
      <c r="K608" s="42" t="inlineStr">
        <is>
          <t>Class 1-3 / Urban</t>
        </is>
      </c>
      <c r="L608" s="23" t="n">
        <v>62378</v>
      </c>
      <c r="M608" s="24" t="n">
        <v>4.63</v>
      </c>
      <c r="N608" s="23">
        <f>ROUND(L608/M608, 0)</f>
        <v/>
      </c>
      <c r="O608" s="23">
        <f>ROUND(N608*'Methodology &amp; Assumptions'!$B$8, 0)</f>
        <v/>
      </c>
      <c r="P608" s="44" t="inlineStr">
        <is>
          <t>Band n50 (1.5 GHz, 60 MHz)</t>
        </is>
      </c>
      <c r="Q608" s="38">
        <f>ROUNDUP(O608/'Methodology &amp; Assumptions'!$B$9, 0)</f>
        <v/>
      </c>
      <c r="R608" s="39" t="n">
        <v>1</v>
      </c>
      <c r="S608" s="25" t="n">
        <v>0.23</v>
      </c>
      <c r="T608" s="25" t="n">
        <v>0.24</v>
      </c>
      <c r="U608" s="42" t="inlineStr">
        <is>
          <t>Tier 1A (Direct Coloc, &lt;1 km)</t>
        </is>
      </c>
      <c r="V608" s="24" t="n">
        <v>100</v>
      </c>
      <c r="W608" s="24" t="n">
        <v>95.59999999999999</v>
      </c>
      <c r="X608" s="24" t="n">
        <v>28</v>
      </c>
      <c r="Y608" s="45">
        <f>ROUND((V608*'Methodology &amp; Assumptions'!$B$6)+(W608*'Methodology &amp; Assumptions'!$B$5)+(X608*'Methodology &amp; Assumptions'!$B$7), 2)</f>
        <v/>
      </c>
    </row>
    <row r="609" ht="19" customHeight="1">
      <c r="A609" s="35" t="n">
        <v>605</v>
      </c>
      <c r="B609" s="35" t="n">
        <v>605</v>
      </c>
      <c r="C609" s="36" t="inlineStr">
        <is>
          <t>0304917008</t>
        </is>
      </c>
      <c r="D609" s="36" t="inlineStr">
        <is>
          <t>Region III (Central Luzon)</t>
        </is>
      </c>
      <c r="E609" s="36" t="inlineStr">
        <is>
          <t>Nueva Ecija</t>
        </is>
      </c>
      <c r="F609" s="36" t="inlineStr">
        <is>
          <t>Science City of Muñoz</t>
        </is>
      </c>
      <c r="G609" s="36" t="inlineStr">
        <is>
          <t>Catalanacan</t>
        </is>
      </c>
      <c r="H609" s="37" t="n">
        <v>15.7131</v>
      </c>
      <c r="I609" s="37" t="n">
        <v>120.88542</v>
      </c>
      <c r="J609" s="8" t="inlineStr">
        <is>
          <t>R</t>
        </is>
      </c>
      <c r="K609" s="36" t="inlineStr">
        <is>
          <t>Class 1-3 / Urban</t>
        </is>
      </c>
      <c r="L609" s="18" t="n">
        <v>3783</v>
      </c>
      <c r="M609" s="20" t="n">
        <v>4.32</v>
      </c>
      <c r="N609" s="18">
        <f>ROUND(L609/M609, 0)</f>
        <v/>
      </c>
      <c r="O609" s="18">
        <f>ROUND(N609*'Methodology &amp; Assumptions'!$B$8, 0)</f>
        <v/>
      </c>
      <c r="P609" s="8" t="inlineStr">
        <is>
          <t>Band n50 (1.5 GHz, 60 MHz)</t>
        </is>
      </c>
      <c r="Q609" s="38">
        <f>ROUNDUP(O609/'Methodology &amp; Assumptions'!$B$9, 0)</f>
        <v/>
      </c>
      <c r="R609" s="39" t="n">
        <v>1</v>
      </c>
      <c r="S609" s="21" t="n">
        <v>1.91</v>
      </c>
      <c r="T609" s="21" t="n">
        <v>1</v>
      </c>
      <c r="U609" s="36" t="inlineStr">
        <is>
          <t>Tier 1B (Micro Drop, 1-3 km)</t>
        </is>
      </c>
      <c r="V609" s="20" t="n">
        <v>62.9</v>
      </c>
      <c r="W609" s="20" t="n">
        <v>94.09999999999999</v>
      </c>
      <c r="X609" s="20" t="n">
        <v>73</v>
      </c>
      <c r="Y609" s="40">
        <f>ROUND((V609*'Methodology &amp; Assumptions'!$B$6)+(W609*'Methodology &amp; Assumptions'!$B$5)+(X609*'Methodology &amp; Assumptions'!$B$7), 2)</f>
        <v/>
      </c>
    </row>
    <row r="610" ht="19" customHeight="1">
      <c r="A610" s="41" t="n">
        <v>606</v>
      </c>
      <c r="B610" s="41" t="n">
        <v>606</v>
      </c>
      <c r="C610" s="42" t="inlineStr">
        <is>
          <t>0504112019</t>
        </is>
      </c>
      <c r="D610" s="42" t="inlineStr">
        <is>
          <t>Region V (Bicol Region)</t>
        </is>
      </c>
      <c r="E610" s="42" t="inlineStr">
        <is>
          <t>Masbate</t>
        </is>
      </c>
      <c r="F610" s="42" t="inlineStr">
        <is>
          <t>Milagros</t>
        </is>
      </c>
      <c r="G610" s="42" t="inlineStr">
        <is>
          <t>Poblacion East</t>
        </is>
      </c>
      <c r="H610" s="43" t="n">
        <v>12.218124</v>
      </c>
      <c r="I610" s="43" t="n">
        <v>123.511824</v>
      </c>
      <c r="J610" s="44" t="inlineStr">
        <is>
          <t>R</t>
        </is>
      </c>
      <c r="K610" s="42" t="inlineStr">
        <is>
          <t>Class 1-3 / Urban</t>
        </is>
      </c>
      <c r="L610" s="23" t="n">
        <v>2642</v>
      </c>
      <c r="M610" s="24" t="n">
        <v>4.6</v>
      </c>
      <c r="N610" s="23">
        <f>ROUND(L610/M610, 0)</f>
        <v/>
      </c>
      <c r="O610" s="23">
        <f>ROUND(N610*'Methodology &amp; Assumptions'!$B$8, 0)</f>
        <v/>
      </c>
      <c r="P610" s="44" t="inlineStr">
        <is>
          <t>Band n50 (1.5 GHz, 60 MHz)</t>
        </is>
      </c>
      <c r="Q610" s="38">
        <f>ROUNDUP(O610/'Methodology &amp; Assumptions'!$B$9, 0)</f>
        <v/>
      </c>
      <c r="R610" s="39" t="n">
        <v>1</v>
      </c>
      <c r="S610" s="25" t="n">
        <v>0.26</v>
      </c>
      <c r="T610" s="25" t="n">
        <v>0.26</v>
      </c>
      <c r="U610" s="42" t="inlineStr">
        <is>
          <t>Tier 1A (Direct Coloc, &lt;1 km)</t>
        </is>
      </c>
      <c r="V610" s="24" t="n">
        <v>100</v>
      </c>
      <c r="W610" s="24" t="n">
        <v>69.90000000000001</v>
      </c>
      <c r="X610" s="24" t="n">
        <v>58</v>
      </c>
      <c r="Y610" s="45">
        <f>ROUND((V610*'Methodology &amp; Assumptions'!$B$6)+(W610*'Methodology &amp; Assumptions'!$B$5)+(X610*'Methodology &amp; Assumptions'!$B$7), 2)</f>
        <v/>
      </c>
    </row>
    <row r="611" ht="19" customHeight="1">
      <c r="A611" s="35" t="n">
        <v>607</v>
      </c>
      <c r="B611" s="35" t="n">
        <v>607</v>
      </c>
      <c r="C611" s="36" t="inlineStr">
        <is>
          <t>0501606012</t>
        </is>
      </c>
      <c r="D611" s="36" t="inlineStr">
        <is>
          <t>Region V (Bicol Region)</t>
        </is>
      </c>
      <c r="E611" s="36" t="inlineStr">
        <is>
          <t>Camarines Norte</t>
        </is>
      </c>
      <c r="F611" s="36" t="inlineStr">
        <is>
          <t>Labo</t>
        </is>
      </c>
      <c r="G611" s="36" t="inlineStr">
        <is>
          <t>Anahaw</t>
        </is>
      </c>
      <c r="H611" s="37" t="n">
        <v>14.151085</v>
      </c>
      <c r="I611" s="37" t="n">
        <v>122.834539</v>
      </c>
      <c r="J611" s="8" t="inlineStr">
        <is>
          <t>R</t>
        </is>
      </c>
      <c r="K611" s="36" t="inlineStr">
        <is>
          <t>Class 1-3 / Urban</t>
        </is>
      </c>
      <c r="L611" s="18" t="n">
        <v>2524</v>
      </c>
      <c r="M611" s="20" t="n">
        <v>4.4</v>
      </c>
      <c r="N611" s="18">
        <f>ROUND(L611/M611, 0)</f>
        <v/>
      </c>
      <c r="O611" s="18">
        <f>ROUND(N611*'Methodology &amp; Assumptions'!$B$8, 0)</f>
        <v/>
      </c>
      <c r="P611" s="8" t="inlineStr">
        <is>
          <t>Band n50 (1.5 GHz, 60 MHz)</t>
        </is>
      </c>
      <c r="Q611" s="38">
        <f>ROUNDUP(O611/'Methodology &amp; Assumptions'!$B$9, 0)</f>
        <v/>
      </c>
      <c r="R611" s="39" t="n">
        <v>1</v>
      </c>
      <c r="S611" s="21" t="n">
        <v>0.13</v>
      </c>
      <c r="T611" s="21" t="n">
        <v>0.8</v>
      </c>
      <c r="U611" s="36" t="inlineStr">
        <is>
          <t>Tier 1A (Direct Coloc, &lt;1 km)</t>
        </is>
      </c>
      <c r="V611" s="20" t="n">
        <v>100</v>
      </c>
      <c r="W611" s="20" t="n">
        <v>69.90000000000001</v>
      </c>
      <c r="X611" s="20" t="n">
        <v>58</v>
      </c>
      <c r="Y611" s="40">
        <f>ROUND((V611*'Methodology &amp; Assumptions'!$B$6)+(W611*'Methodology &amp; Assumptions'!$B$5)+(X611*'Methodology &amp; Assumptions'!$B$7), 2)</f>
        <v/>
      </c>
    </row>
    <row r="612" ht="19" customHeight="1">
      <c r="A612" s="41" t="n">
        <v>608</v>
      </c>
      <c r="B612" s="41" t="n">
        <v>608</v>
      </c>
      <c r="C612" s="42" t="inlineStr">
        <is>
          <t>0731300009</t>
        </is>
      </c>
      <c r="D612" s="42" t="inlineStr">
        <is>
          <t>Region VII (Central Visayas)</t>
        </is>
      </c>
      <c r="E612" s="42" t="inlineStr">
        <is>
          <t>Cebu</t>
        </is>
      </c>
      <c r="F612" s="42" t="inlineStr">
        <is>
          <t>City of Mandaue</t>
        </is>
      </c>
      <c r="G612" s="42" t="inlineStr">
        <is>
          <t>Casuntingan</t>
        </is>
      </c>
      <c r="H612" s="43" t="n">
        <v>10.346095</v>
      </c>
      <c r="I612" s="43" t="n">
        <v>123.931207</v>
      </c>
      <c r="J612" s="44" t="inlineStr">
        <is>
          <t>U</t>
        </is>
      </c>
      <c r="K612" s="42" t="inlineStr">
        <is>
          <t>Class 1-3 / Urban</t>
        </is>
      </c>
      <c r="L612" s="23" t="n">
        <v>16846</v>
      </c>
      <c r="M612" s="24" t="n">
        <v>4.42</v>
      </c>
      <c r="N612" s="23">
        <f>ROUND(L612/M612, 0)</f>
        <v/>
      </c>
      <c r="O612" s="23">
        <f>ROUND(N612*'Methodology &amp; Assumptions'!$B$8, 0)</f>
        <v/>
      </c>
      <c r="P612" s="44" t="inlineStr">
        <is>
          <t>Band n50 (1.5 GHz, 60 MHz)</t>
        </is>
      </c>
      <c r="Q612" s="38">
        <f>ROUNDUP(O612/'Methodology &amp; Assumptions'!$B$9, 0)</f>
        <v/>
      </c>
      <c r="R612" s="39" t="n">
        <v>1</v>
      </c>
      <c r="S612" s="25" t="n">
        <v>0.47</v>
      </c>
      <c r="T612" s="25" t="n">
        <v>0.1</v>
      </c>
      <c r="U612" s="42" t="inlineStr">
        <is>
          <t>Tier 1A (Direct Coloc, &lt;1 km)</t>
        </is>
      </c>
      <c r="V612" s="24" t="n">
        <v>95.59999999999999</v>
      </c>
      <c r="W612" s="24" t="n">
        <v>100</v>
      </c>
      <c r="X612" s="24" t="n">
        <v>28</v>
      </c>
      <c r="Y612" s="45">
        <f>ROUND((V612*'Methodology &amp; Assumptions'!$B$6)+(W612*'Methodology &amp; Assumptions'!$B$5)+(X612*'Methodology &amp; Assumptions'!$B$7), 2)</f>
        <v/>
      </c>
    </row>
    <row r="613" ht="19" customHeight="1">
      <c r="A613" s="35" t="n">
        <v>609</v>
      </c>
      <c r="B613" s="35" t="n">
        <v>609</v>
      </c>
      <c r="C613" s="36" t="inlineStr">
        <is>
          <t>0105524072</t>
        </is>
      </c>
      <c r="D613" s="36" t="inlineStr">
        <is>
          <t>Region I (Ilocos Region)</t>
        </is>
      </c>
      <c r="E613" s="36" t="inlineStr">
        <is>
          <t>Pangasinan</t>
        </is>
      </c>
      <c r="F613" s="36" t="inlineStr">
        <is>
          <t>Malasiqui</t>
        </is>
      </c>
      <c r="G613" s="36" t="inlineStr">
        <is>
          <t>Tambac</t>
        </is>
      </c>
      <c r="H613" s="37" t="n">
        <v>15.82374</v>
      </c>
      <c r="I613" s="37" t="n">
        <v>120.4569</v>
      </c>
      <c r="J613" s="8" t="inlineStr">
        <is>
          <t>R</t>
        </is>
      </c>
      <c r="K613" s="36" t="inlineStr">
        <is>
          <t>Class 1-3 / Urban</t>
        </is>
      </c>
      <c r="L613" s="18" t="n">
        <v>3323</v>
      </c>
      <c r="M613" s="20" t="n">
        <v>4.39</v>
      </c>
      <c r="N613" s="18">
        <f>ROUND(L613/M613, 0)</f>
        <v/>
      </c>
      <c r="O613" s="18">
        <f>ROUND(N613*'Methodology &amp; Assumptions'!$B$8, 0)</f>
        <v/>
      </c>
      <c r="P613" s="8" t="inlineStr">
        <is>
          <t>Band n50 (1.5 GHz, 60 MHz)</t>
        </is>
      </c>
      <c r="Q613" s="38">
        <f>ROUNDUP(O613/'Methodology &amp; Assumptions'!$B$9, 0)</f>
        <v/>
      </c>
      <c r="R613" s="39" t="n">
        <v>1</v>
      </c>
      <c r="S613" s="21" t="n">
        <v>0.85</v>
      </c>
      <c r="T613" s="21" t="n">
        <v>0.12</v>
      </c>
      <c r="U613" s="36" t="inlineStr">
        <is>
          <t>Tier 1A (Direct Coloc, &lt;1 km)</t>
        </is>
      </c>
      <c r="V613" s="20" t="n">
        <v>85.3</v>
      </c>
      <c r="W613" s="20" t="n">
        <v>84.5</v>
      </c>
      <c r="X613" s="20" t="n">
        <v>58</v>
      </c>
      <c r="Y613" s="40">
        <f>ROUND((V613*'Methodology &amp; Assumptions'!$B$6)+(W613*'Methodology &amp; Assumptions'!$B$5)+(X613*'Methodology &amp; Assumptions'!$B$7), 2)</f>
        <v/>
      </c>
    </row>
    <row r="614" ht="19" customHeight="1">
      <c r="A614" s="41" t="n">
        <v>610</v>
      </c>
      <c r="B614" s="41" t="n">
        <v>610</v>
      </c>
      <c r="C614" s="42" t="inlineStr">
        <is>
          <t>1004310011</t>
        </is>
      </c>
      <c r="D614" s="42" t="inlineStr">
        <is>
          <t>Region X (Northern Mindanao)</t>
        </is>
      </c>
      <c r="E614" s="42" t="inlineStr">
        <is>
          <t>Misamis Oriental</t>
        </is>
      </c>
      <c r="F614" s="42" t="inlineStr">
        <is>
          <t>Initao</t>
        </is>
      </c>
      <c r="G614" s="42" t="inlineStr">
        <is>
          <t>Poblacion</t>
        </is>
      </c>
      <c r="H614" s="43" t="n">
        <v>8.498488999999999</v>
      </c>
      <c r="I614" s="43" t="n">
        <v>124.304127</v>
      </c>
      <c r="J614" s="44" t="inlineStr">
        <is>
          <t>U</t>
        </is>
      </c>
      <c r="K614" s="42" t="inlineStr">
        <is>
          <t>Class 1-3 / Urban</t>
        </is>
      </c>
      <c r="L614" s="23" t="n">
        <v>7847</v>
      </c>
      <c r="M614" s="24" t="n">
        <v>4.54</v>
      </c>
      <c r="N614" s="23">
        <f>ROUND(L614/M614, 0)</f>
        <v/>
      </c>
      <c r="O614" s="23">
        <f>ROUND(N614*'Methodology &amp; Assumptions'!$B$8, 0)</f>
        <v/>
      </c>
      <c r="P614" s="44" t="inlineStr">
        <is>
          <t>Band n50 (1.5 GHz, 60 MHz)</t>
        </is>
      </c>
      <c r="Q614" s="38">
        <f>ROUNDUP(O614/'Methodology &amp; Assumptions'!$B$9, 0)</f>
        <v/>
      </c>
      <c r="R614" s="39" t="n">
        <v>1</v>
      </c>
      <c r="S614" s="25" t="n">
        <v>0.47</v>
      </c>
      <c r="T614" s="25" t="n">
        <v>0.1</v>
      </c>
      <c r="U614" s="42" t="inlineStr">
        <is>
          <t>Tier 1A (Direct Coloc, &lt;1 km)</t>
        </is>
      </c>
      <c r="V614" s="24" t="n">
        <v>95.59999999999999</v>
      </c>
      <c r="W614" s="24" t="n">
        <v>100</v>
      </c>
      <c r="X614" s="24" t="n">
        <v>28</v>
      </c>
      <c r="Y614" s="45">
        <f>ROUND((V614*'Methodology &amp; Assumptions'!$B$6)+(W614*'Methodology &amp; Assumptions'!$B$5)+(X614*'Methodology &amp; Assumptions'!$B$7), 2)</f>
        <v/>
      </c>
    </row>
    <row r="615" ht="19" customHeight="1">
      <c r="A615" s="35" t="n">
        <v>611</v>
      </c>
      <c r="B615" s="35" t="n">
        <v>611</v>
      </c>
      <c r="C615" s="36" t="inlineStr">
        <is>
          <t>0401005052</t>
        </is>
      </c>
      <c r="D615" s="36" t="inlineStr">
        <is>
          <t>Region IV-A (CALABARZON)</t>
        </is>
      </c>
      <c r="E615" s="36" t="inlineStr">
        <is>
          <t>Batangas</t>
        </is>
      </c>
      <c r="F615" s="36" t="inlineStr">
        <is>
          <t>Batangas City</t>
        </is>
      </c>
      <c r="G615" s="36" t="inlineStr">
        <is>
          <t>Pinamucan</t>
        </is>
      </c>
      <c r="H615" s="37" t="n">
        <v>13.693747</v>
      </c>
      <c r="I615" s="37" t="n">
        <v>121.057876</v>
      </c>
      <c r="J615" s="8" t="inlineStr">
        <is>
          <t>R</t>
        </is>
      </c>
      <c r="K615" s="36" t="inlineStr">
        <is>
          <t>Class 1-3 / Urban</t>
        </is>
      </c>
      <c r="L615" s="18" t="n">
        <v>4295</v>
      </c>
      <c r="M615" s="20" t="n">
        <v>4.62</v>
      </c>
      <c r="N615" s="18">
        <f>ROUND(L615/M615, 0)</f>
        <v/>
      </c>
      <c r="O615" s="18">
        <f>ROUND(N615*'Methodology &amp; Assumptions'!$B$8, 0)</f>
        <v/>
      </c>
      <c r="P615" s="8" t="inlineStr">
        <is>
          <t>Band n50 (1.5 GHz, 60 MHz)</t>
        </is>
      </c>
      <c r="Q615" s="38">
        <f>ROUNDUP(O615/'Methodology &amp; Assumptions'!$B$9, 0)</f>
        <v/>
      </c>
      <c r="R615" s="39" t="n">
        <v>1</v>
      </c>
      <c r="S615" s="21" t="n">
        <v>1.01</v>
      </c>
      <c r="T615" s="21" t="n">
        <v>6.94</v>
      </c>
      <c r="U615" s="36" t="inlineStr">
        <is>
          <t>Tier 1B (Micro Drop, 1-3 km)</t>
        </is>
      </c>
      <c r="V615" s="20" t="n">
        <v>71.40000000000001</v>
      </c>
      <c r="W615" s="20" t="n">
        <v>98.40000000000001</v>
      </c>
      <c r="X615" s="20" t="n">
        <v>58</v>
      </c>
      <c r="Y615" s="40">
        <f>ROUND((V615*'Methodology &amp; Assumptions'!$B$6)+(W615*'Methodology &amp; Assumptions'!$B$5)+(X615*'Methodology &amp; Assumptions'!$B$7), 2)</f>
        <v/>
      </c>
    </row>
    <row r="616" ht="19" customHeight="1">
      <c r="A616" s="41" t="n">
        <v>612</v>
      </c>
      <c r="B616" s="41" t="n">
        <v>612</v>
      </c>
      <c r="C616" s="42" t="inlineStr">
        <is>
          <t>0105526021</t>
        </is>
      </c>
      <c r="D616" s="42" t="inlineStr">
        <is>
          <t>Region I (Ilocos Region)</t>
        </is>
      </c>
      <c r="E616" s="42" t="inlineStr">
        <is>
          <t>Pangasinan</t>
        </is>
      </c>
      <c r="F616" s="42" t="inlineStr">
        <is>
          <t>Mangaldan</t>
        </is>
      </c>
      <c r="G616" s="42" t="inlineStr">
        <is>
          <t>Navaluan</t>
        </is>
      </c>
      <c r="H616" s="43" t="n">
        <v>16.065943</v>
      </c>
      <c r="I616" s="43" t="n">
        <v>120.41608</v>
      </c>
      <c r="J616" s="44" t="inlineStr">
        <is>
          <t>R</t>
        </is>
      </c>
      <c r="K616" s="42" t="inlineStr">
        <is>
          <t>Class 1-3 / Urban</t>
        </is>
      </c>
      <c r="L616" s="23" t="n">
        <v>4116</v>
      </c>
      <c r="M616" s="24" t="n">
        <v>4.39</v>
      </c>
      <c r="N616" s="23">
        <f>ROUND(L616/M616, 0)</f>
        <v/>
      </c>
      <c r="O616" s="23">
        <f>ROUND(N616*'Methodology &amp; Assumptions'!$B$8, 0)</f>
        <v/>
      </c>
      <c r="P616" s="44" t="inlineStr">
        <is>
          <t>Band n50 (1.5 GHz, 60 MHz)</t>
        </is>
      </c>
      <c r="Q616" s="38">
        <f>ROUNDUP(O616/'Methodology &amp; Assumptions'!$B$9, 0)</f>
        <v/>
      </c>
      <c r="R616" s="39" t="n">
        <v>1</v>
      </c>
      <c r="S616" s="25" t="n">
        <v>1.49</v>
      </c>
      <c r="T616" s="25" t="n">
        <v>1.21</v>
      </c>
      <c r="U616" s="42" t="inlineStr">
        <is>
          <t>Tier 1B (Micro Drop, 1-3 km)</t>
        </is>
      </c>
      <c r="V616" s="24" t="n">
        <v>70.90000000000001</v>
      </c>
      <c r="W616" s="24" t="n">
        <v>98.90000000000001</v>
      </c>
      <c r="X616" s="24" t="n">
        <v>58</v>
      </c>
      <c r="Y616" s="45">
        <f>ROUND((V616*'Methodology &amp; Assumptions'!$B$6)+(W616*'Methodology &amp; Assumptions'!$B$5)+(X616*'Methodology &amp; Assumptions'!$B$7), 2)</f>
        <v/>
      </c>
    </row>
    <row r="617" ht="19" customHeight="1">
      <c r="A617" s="35" t="n">
        <v>613</v>
      </c>
      <c r="B617" s="35" t="n">
        <v>613</v>
      </c>
      <c r="C617" s="36" t="inlineStr">
        <is>
          <t>0306902013</t>
        </is>
      </c>
      <c r="D617" s="36" t="inlineStr">
        <is>
          <t>Region III (Central Luzon)</t>
        </is>
      </c>
      <c r="E617" s="36" t="inlineStr">
        <is>
          <t>Tarlac</t>
        </is>
      </c>
      <c r="F617" s="36" t="inlineStr">
        <is>
          <t>Bamban</t>
        </is>
      </c>
      <c r="G617" s="36" t="inlineStr">
        <is>
          <t>San Roque</t>
        </is>
      </c>
      <c r="H617" s="37" t="n">
        <v>15.279673</v>
      </c>
      <c r="I617" s="37" t="n">
        <v>120.568271</v>
      </c>
      <c r="J617" s="8" t="inlineStr">
        <is>
          <t>U</t>
        </is>
      </c>
      <c r="K617" s="36" t="inlineStr">
        <is>
          <t>Class 1-3 / Urban</t>
        </is>
      </c>
      <c r="L617" s="18" t="n">
        <v>11986</v>
      </c>
      <c r="M617" s="20" t="n">
        <v>4.3</v>
      </c>
      <c r="N617" s="18">
        <f>ROUND(L617/M617, 0)</f>
        <v/>
      </c>
      <c r="O617" s="18">
        <f>ROUND(N617*'Methodology &amp; Assumptions'!$B$8, 0)</f>
        <v/>
      </c>
      <c r="P617" s="8" t="inlineStr">
        <is>
          <t>Band n50 (1.5 GHz, 60 MHz)</t>
        </is>
      </c>
      <c r="Q617" s="38">
        <f>ROUNDUP(O617/'Methodology &amp; Assumptions'!$B$9, 0)</f>
        <v/>
      </c>
      <c r="R617" s="39" t="n">
        <v>1</v>
      </c>
      <c r="S617" s="21" t="n">
        <v>0.47</v>
      </c>
      <c r="T617" s="21" t="n">
        <v>0.27</v>
      </c>
      <c r="U617" s="36" t="inlineStr">
        <is>
          <t>Tier 1A (Direct Coloc, &lt;1 km)</t>
        </is>
      </c>
      <c r="V617" s="20" t="n">
        <v>95.5</v>
      </c>
      <c r="W617" s="20" t="n">
        <v>100</v>
      </c>
      <c r="X617" s="20" t="n">
        <v>28</v>
      </c>
      <c r="Y617" s="40">
        <f>ROUND((V617*'Methodology &amp; Assumptions'!$B$6)+(W617*'Methodology &amp; Assumptions'!$B$5)+(X617*'Methodology &amp; Assumptions'!$B$7), 2)</f>
        <v/>
      </c>
    </row>
    <row r="618" ht="19" customHeight="1">
      <c r="A618" s="41" t="n">
        <v>614</v>
      </c>
      <c r="B618" s="41" t="n">
        <v>614</v>
      </c>
      <c r="C618" s="42" t="inlineStr">
        <is>
          <t>0402106054</t>
        </is>
      </c>
      <c r="D618" s="42" t="inlineStr">
        <is>
          <t>Region IV-A (CALABARZON)</t>
        </is>
      </c>
      <c r="E618" s="42" t="inlineStr">
        <is>
          <t>Cavite</t>
        </is>
      </c>
      <c r="F618" s="42" t="inlineStr">
        <is>
          <t>City of Dasmariñas</t>
        </is>
      </c>
      <c r="G618" s="42" t="inlineStr">
        <is>
          <t>Luzviminda II</t>
        </is>
      </c>
      <c r="H618" s="43" t="n">
        <v>14.311725</v>
      </c>
      <c r="I618" s="43" t="n">
        <v>120.969989</v>
      </c>
      <c r="J618" s="44" t="inlineStr">
        <is>
          <t>U</t>
        </is>
      </c>
      <c r="K618" s="42" t="inlineStr">
        <is>
          <t>Class 1-3 / Urban</t>
        </is>
      </c>
      <c r="L618" s="23" t="n">
        <v>4868</v>
      </c>
      <c r="M618" s="24" t="n">
        <v>4.49</v>
      </c>
      <c r="N618" s="23">
        <f>ROUND(L618/M618, 0)</f>
        <v/>
      </c>
      <c r="O618" s="23">
        <f>ROUND(N618*'Methodology &amp; Assumptions'!$B$8, 0)</f>
        <v/>
      </c>
      <c r="P618" s="44" t="inlineStr">
        <is>
          <t>Band n50 (1.5 GHz, 60 MHz)</t>
        </is>
      </c>
      <c r="Q618" s="38">
        <f>ROUNDUP(O618/'Methodology &amp; Assumptions'!$B$9, 0)</f>
        <v/>
      </c>
      <c r="R618" s="39" t="n">
        <v>1</v>
      </c>
      <c r="S618" s="25" t="n">
        <v>0.47</v>
      </c>
      <c r="T618" s="25" t="n">
        <v>1.88</v>
      </c>
      <c r="U618" s="42" t="inlineStr">
        <is>
          <t>Tier 1A (Direct Coloc, &lt;1 km)</t>
        </is>
      </c>
      <c r="V618" s="24" t="n">
        <v>95.5</v>
      </c>
      <c r="W618" s="24" t="n">
        <v>100</v>
      </c>
      <c r="X618" s="24" t="n">
        <v>28</v>
      </c>
      <c r="Y618" s="45">
        <f>ROUND((V618*'Methodology &amp; Assumptions'!$B$6)+(W618*'Methodology &amp; Assumptions'!$B$5)+(X618*'Methodology &amp; Assumptions'!$B$7), 2)</f>
        <v/>
      </c>
    </row>
    <row r="619" ht="19" customHeight="1">
      <c r="A619" s="35" t="n">
        <v>615</v>
      </c>
      <c r="B619" s="35" t="n">
        <v>615</v>
      </c>
      <c r="C619" s="36" t="inlineStr">
        <is>
          <t>0702213015</t>
        </is>
      </c>
      <c r="D619" s="36" t="inlineStr">
        <is>
          <t>Region VII (Central Visayas)</t>
        </is>
      </c>
      <c r="E619" s="36" t="inlineStr">
        <is>
          <t>Cebu</t>
        </is>
      </c>
      <c r="F619" s="36" t="inlineStr">
        <is>
          <t>Borbon</t>
        </is>
      </c>
      <c r="G619" s="36" t="inlineStr">
        <is>
          <t>Poblacion</t>
        </is>
      </c>
      <c r="H619" s="37" t="n">
        <v>10.836493</v>
      </c>
      <c r="I619" s="37" t="n">
        <v>124.027817</v>
      </c>
      <c r="J619" s="8" t="inlineStr">
        <is>
          <t>U</t>
        </is>
      </c>
      <c r="K619" s="36" t="inlineStr">
        <is>
          <t>2nd</t>
        </is>
      </c>
      <c r="L619" s="18" t="n">
        <v>5286</v>
      </c>
      <c r="M619" s="20" t="n">
        <v>4.22</v>
      </c>
      <c r="N619" s="18">
        <f>ROUND(L619/M619, 0)</f>
        <v/>
      </c>
      <c r="O619" s="18">
        <f>ROUND(N619*'Methodology &amp; Assumptions'!$B$8, 0)</f>
        <v/>
      </c>
      <c r="P619" s="8" t="inlineStr">
        <is>
          <t>Band n50 (1.5 GHz, 60 MHz)</t>
        </is>
      </c>
      <c r="Q619" s="38">
        <f>ROUNDUP(O619/'Methodology &amp; Assumptions'!$B$9, 0)</f>
        <v/>
      </c>
      <c r="R619" s="39" t="n">
        <v>1</v>
      </c>
      <c r="S619" s="21" t="n">
        <v>0.14</v>
      </c>
      <c r="T619" s="21" t="n">
        <v>4.68</v>
      </c>
      <c r="U619" s="36" t="inlineStr">
        <is>
          <t>Tier 1A (Direct Coloc, &lt;1 km)</t>
        </is>
      </c>
      <c r="V619" s="20" t="n">
        <v>95.5</v>
      </c>
      <c r="W619" s="20" t="n">
        <v>100</v>
      </c>
      <c r="X619" s="20" t="n">
        <v>28</v>
      </c>
      <c r="Y619" s="40">
        <f>ROUND((V619*'Methodology &amp; Assumptions'!$B$6)+(W619*'Methodology &amp; Assumptions'!$B$5)+(X619*'Methodology &amp; Assumptions'!$B$7), 2)</f>
        <v/>
      </c>
    </row>
    <row r="620" ht="19" customHeight="1">
      <c r="A620" s="41" t="n">
        <v>616</v>
      </c>
      <c r="B620" s="41" t="n">
        <v>616</v>
      </c>
      <c r="C620" s="42" t="inlineStr">
        <is>
          <t>0330100005</t>
        </is>
      </c>
      <c r="D620" s="42" t="inlineStr">
        <is>
          <t>Region III (Central Luzon)</t>
        </is>
      </c>
      <c r="E620" s="42" t="inlineStr">
        <is>
          <t>Pampanga</t>
        </is>
      </c>
      <c r="F620" s="42" t="inlineStr">
        <is>
          <t>City of Angeles</t>
        </is>
      </c>
      <c r="G620" s="42" t="inlineStr">
        <is>
          <t>Claro M. Recto</t>
        </is>
      </c>
      <c r="H620" s="43" t="n">
        <v>15.14736</v>
      </c>
      <c r="I620" s="43" t="n">
        <v>120.59264</v>
      </c>
      <c r="J620" s="44" t="inlineStr">
        <is>
          <t>U</t>
        </is>
      </c>
      <c r="K620" s="42" t="inlineStr">
        <is>
          <t>Class 1-3 / Urban</t>
        </is>
      </c>
      <c r="L620" s="23" t="n">
        <v>5149</v>
      </c>
      <c r="M620" s="24" t="n">
        <v>4.63</v>
      </c>
      <c r="N620" s="23">
        <f>ROUND(L620/M620, 0)</f>
        <v/>
      </c>
      <c r="O620" s="23">
        <f>ROUND(N620*'Methodology &amp; Assumptions'!$B$8, 0)</f>
        <v/>
      </c>
      <c r="P620" s="44" t="inlineStr">
        <is>
          <t>Band n50 (1.5 GHz, 60 MHz)</t>
        </is>
      </c>
      <c r="Q620" s="38">
        <f>ROUNDUP(O620/'Methodology &amp; Assumptions'!$B$9, 0)</f>
        <v/>
      </c>
      <c r="R620" s="39" t="n">
        <v>1</v>
      </c>
      <c r="S620" s="25" t="n">
        <v>0.47</v>
      </c>
      <c r="T620" s="25" t="n">
        <v>0.17</v>
      </c>
      <c r="U620" s="42" t="inlineStr">
        <is>
          <t>Tier 1A (Direct Coloc, &lt;1 km)</t>
        </is>
      </c>
      <c r="V620" s="24" t="n">
        <v>95.5</v>
      </c>
      <c r="W620" s="24" t="n">
        <v>100</v>
      </c>
      <c r="X620" s="24" t="n">
        <v>28</v>
      </c>
      <c r="Y620" s="45">
        <f>ROUND((V620*'Methodology &amp; Assumptions'!$B$6)+(W620*'Methodology &amp; Assumptions'!$B$5)+(X620*'Methodology &amp; Assumptions'!$B$7), 2)</f>
        <v/>
      </c>
    </row>
    <row r="621" ht="19" customHeight="1">
      <c r="A621" s="35" t="n">
        <v>617</v>
      </c>
      <c r="B621" s="35" t="n">
        <v>617</v>
      </c>
      <c r="C621" s="36" t="inlineStr">
        <is>
          <t>0402113002</t>
        </is>
      </c>
      <c r="D621" s="36" t="inlineStr">
        <is>
          <t>Region IV-A (CALABARZON)</t>
        </is>
      </c>
      <c r="E621" s="36" t="inlineStr">
        <is>
          <t>Cavite</t>
        </is>
      </c>
      <c r="F621" s="36" t="inlineStr">
        <is>
          <t>Maragondon</t>
        </is>
      </c>
      <c r="G621" s="36" t="inlineStr">
        <is>
          <t>Bucal I</t>
        </is>
      </c>
      <c r="H621" s="37" t="n">
        <v>14.270706</v>
      </c>
      <c r="I621" s="37" t="n">
        <v>120.742514</v>
      </c>
      <c r="J621" s="8" t="inlineStr">
        <is>
          <t>R</t>
        </is>
      </c>
      <c r="K621" s="36" t="inlineStr">
        <is>
          <t>Class 1-3 / Urban</t>
        </is>
      </c>
      <c r="L621" s="18" t="n">
        <v>3304</v>
      </c>
      <c r="M621" s="20" t="n">
        <v>4.49</v>
      </c>
      <c r="N621" s="18">
        <f>ROUND(L621/M621, 0)</f>
        <v/>
      </c>
      <c r="O621" s="18">
        <f>ROUND(N621*'Methodology &amp; Assumptions'!$B$8, 0)</f>
        <v/>
      </c>
      <c r="P621" s="8" t="inlineStr">
        <is>
          <t>Band n50 (1.5 GHz, 60 MHz)</t>
        </is>
      </c>
      <c r="Q621" s="38">
        <f>ROUNDUP(O621/'Methodology &amp; Assumptions'!$B$9, 0)</f>
        <v/>
      </c>
      <c r="R621" s="39" t="n">
        <v>1</v>
      </c>
      <c r="S621" s="21" t="n">
        <v>0.79</v>
      </c>
      <c r="T621" s="21" t="n">
        <v>0.16</v>
      </c>
      <c r="U621" s="36" t="inlineStr">
        <is>
          <t>Tier 1A (Direct Coloc, &lt;1 km)</t>
        </is>
      </c>
      <c r="V621" s="20" t="n">
        <v>86.8</v>
      </c>
      <c r="W621" s="20" t="n">
        <v>82.90000000000001</v>
      </c>
      <c r="X621" s="20" t="n">
        <v>58</v>
      </c>
      <c r="Y621" s="40">
        <f>ROUND((V621*'Methodology &amp; Assumptions'!$B$6)+(W621*'Methodology &amp; Assumptions'!$B$5)+(X621*'Methodology &amp; Assumptions'!$B$7), 2)</f>
        <v/>
      </c>
    </row>
    <row r="622" ht="19" customHeight="1">
      <c r="A622" s="41" t="n">
        <v>618</v>
      </c>
      <c r="B622" s="41" t="n">
        <v>618</v>
      </c>
      <c r="C622" s="42" t="inlineStr">
        <is>
          <t>1430300036</t>
        </is>
      </c>
      <c r="D622" s="42" t="inlineStr">
        <is>
          <t>Cordillera Administrative Region (CAR)</t>
        </is>
      </c>
      <c r="E622" s="42" t="inlineStr">
        <is>
          <t>Benguet</t>
        </is>
      </c>
      <c r="F622" s="42" t="inlineStr">
        <is>
          <t>City of Baguio</t>
        </is>
      </c>
      <c r="G622" s="42" t="inlineStr">
        <is>
          <t>Fairview Village</t>
        </is>
      </c>
      <c r="H622" s="43" t="n">
        <v>16.41587</v>
      </c>
      <c r="I622" s="43" t="n">
        <v>120.58379</v>
      </c>
      <c r="J622" s="44" t="inlineStr">
        <is>
          <t>U</t>
        </is>
      </c>
      <c r="K622" s="42" t="inlineStr">
        <is>
          <t>Class 1-3 / Urban</t>
        </is>
      </c>
      <c r="L622" s="23" t="n">
        <v>7984</v>
      </c>
      <c r="M622" s="24" t="n">
        <v>4.58</v>
      </c>
      <c r="N622" s="23">
        <f>ROUND(L622/M622, 0)</f>
        <v/>
      </c>
      <c r="O622" s="23">
        <f>ROUND(N622*'Methodology &amp; Assumptions'!$B$8, 0)</f>
        <v/>
      </c>
      <c r="P622" s="44" t="inlineStr">
        <is>
          <t>Band n50 (1.5 GHz, 60 MHz)</t>
        </is>
      </c>
      <c r="Q622" s="38">
        <f>ROUNDUP(O622/'Methodology &amp; Assumptions'!$B$9, 0)</f>
        <v/>
      </c>
      <c r="R622" s="39" t="n">
        <v>1</v>
      </c>
      <c r="S622" s="25" t="n">
        <v>0.47</v>
      </c>
      <c r="T622" s="25" t="n">
        <v>0.57</v>
      </c>
      <c r="U622" s="42" t="inlineStr">
        <is>
          <t>Tier 1A (Direct Coloc, &lt;1 km)</t>
        </is>
      </c>
      <c r="V622" s="24" t="n">
        <v>95.40000000000001</v>
      </c>
      <c r="W622" s="24" t="n">
        <v>100</v>
      </c>
      <c r="X622" s="24" t="n">
        <v>28</v>
      </c>
      <c r="Y622" s="45">
        <f>ROUND((V622*'Methodology &amp; Assumptions'!$B$6)+(W622*'Methodology &amp; Assumptions'!$B$5)+(X622*'Methodology &amp; Assumptions'!$B$7), 2)</f>
        <v/>
      </c>
    </row>
    <row r="623" ht="19" customHeight="1">
      <c r="A623" s="35" t="n">
        <v>619</v>
      </c>
      <c r="B623" s="35" t="n">
        <v>619</v>
      </c>
      <c r="C623" s="36" t="inlineStr">
        <is>
          <t>0402106051</t>
        </is>
      </c>
      <c r="D623" s="36" t="inlineStr">
        <is>
          <t>Region IV-A (CALABARZON)</t>
        </is>
      </c>
      <c r="E623" s="36" t="inlineStr">
        <is>
          <t>Cavite</t>
        </is>
      </c>
      <c r="F623" s="36" t="inlineStr">
        <is>
          <t>City of Dasmariñas</t>
        </is>
      </c>
      <c r="G623" s="36" t="inlineStr">
        <is>
          <t>Fatima II</t>
        </is>
      </c>
      <c r="H623" s="37" t="n">
        <v>14.315884</v>
      </c>
      <c r="I623" s="37" t="n">
        <v>120.963088</v>
      </c>
      <c r="J623" s="8" t="inlineStr">
        <is>
          <t>U</t>
        </is>
      </c>
      <c r="K623" s="36" t="inlineStr">
        <is>
          <t>Class 1-3 / Urban</t>
        </is>
      </c>
      <c r="L623" s="18" t="n">
        <v>4305</v>
      </c>
      <c r="M623" s="20" t="n">
        <v>4.49</v>
      </c>
      <c r="N623" s="18">
        <f>ROUND(L623/M623, 0)</f>
        <v/>
      </c>
      <c r="O623" s="18">
        <f>ROUND(N623*'Methodology &amp; Assumptions'!$B$8, 0)</f>
        <v/>
      </c>
      <c r="P623" s="8" t="inlineStr">
        <is>
          <t>Band n50 (1.5 GHz, 60 MHz)</t>
        </is>
      </c>
      <c r="Q623" s="38">
        <f>ROUNDUP(O623/'Methodology &amp; Assumptions'!$B$9, 0)</f>
        <v/>
      </c>
      <c r="R623" s="39" t="n">
        <v>1</v>
      </c>
      <c r="S623" s="21" t="n">
        <v>0.47</v>
      </c>
      <c r="T623" s="21" t="n">
        <v>1.87</v>
      </c>
      <c r="U623" s="36" t="inlineStr">
        <is>
          <t>Tier 1A (Direct Coloc, &lt;1 km)</t>
        </is>
      </c>
      <c r="V623" s="20" t="n">
        <v>95.40000000000001</v>
      </c>
      <c r="W623" s="20" t="n">
        <v>100</v>
      </c>
      <c r="X623" s="20" t="n">
        <v>28</v>
      </c>
      <c r="Y623" s="40">
        <f>ROUND((V623*'Methodology &amp; Assumptions'!$B$6)+(W623*'Methodology &amp; Assumptions'!$B$5)+(X623*'Methodology &amp; Assumptions'!$B$7), 2)</f>
        <v/>
      </c>
    </row>
    <row r="624" ht="19" customHeight="1">
      <c r="A624" s="41" t="n">
        <v>620</v>
      </c>
      <c r="B624" s="41" t="n">
        <v>620</v>
      </c>
      <c r="C624" s="42" t="inlineStr">
        <is>
          <t>1004321004</t>
        </is>
      </c>
      <c r="D624" s="42" t="inlineStr">
        <is>
          <t>Region X (Northern Mindanao)</t>
        </is>
      </c>
      <c r="E624" s="42" t="inlineStr">
        <is>
          <t>Misamis Oriental</t>
        </is>
      </c>
      <c r="F624" s="42" t="inlineStr">
        <is>
          <t>Opol</t>
        </is>
      </c>
      <c r="G624" s="42" t="inlineStr">
        <is>
          <t>Bonbon</t>
        </is>
      </c>
      <c r="H624" s="43" t="n">
        <v>8.525128</v>
      </c>
      <c r="I624" s="43" t="n">
        <v>124.570953</v>
      </c>
      <c r="J624" s="44" t="inlineStr">
        <is>
          <t>R</t>
        </is>
      </c>
      <c r="K624" s="42" t="inlineStr">
        <is>
          <t>Class 1-3 / Urban</t>
        </is>
      </c>
      <c r="L624" s="23" t="n">
        <v>3179</v>
      </c>
      <c r="M624" s="24" t="n">
        <v>4.54</v>
      </c>
      <c r="N624" s="23">
        <f>ROUND(L624/M624, 0)</f>
        <v/>
      </c>
      <c r="O624" s="23">
        <f>ROUND(N624*'Methodology &amp; Assumptions'!$B$8, 0)</f>
        <v/>
      </c>
      <c r="P624" s="44" t="inlineStr">
        <is>
          <t>Band n50 (1.5 GHz, 60 MHz)</t>
        </is>
      </c>
      <c r="Q624" s="38">
        <f>ROUNDUP(O624/'Methodology &amp; Assumptions'!$B$9, 0)</f>
        <v/>
      </c>
      <c r="R624" s="39" t="n">
        <v>1</v>
      </c>
      <c r="S624" s="25" t="n">
        <v>0.68</v>
      </c>
      <c r="T624" s="25" t="n">
        <v>0.15</v>
      </c>
      <c r="U624" s="42" t="inlineStr">
        <is>
          <t>Tier 1A (Direct Coloc, &lt;1 km)</t>
        </is>
      </c>
      <c r="V624" s="24" t="n">
        <v>89.59999999999999</v>
      </c>
      <c r="W624" s="24" t="n">
        <v>80</v>
      </c>
      <c r="X624" s="24" t="n">
        <v>58</v>
      </c>
      <c r="Y624" s="45">
        <f>ROUND((V624*'Methodology &amp; Assumptions'!$B$6)+(W624*'Methodology &amp; Assumptions'!$B$5)+(X624*'Methodology &amp; Assumptions'!$B$7), 2)</f>
        <v/>
      </c>
    </row>
    <row r="625" ht="19" customHeight="1">
      <c r="A625" s="35" t="n">
        <v>621</v>
      </c>
      <c r="B625" s="35" t="n">
        <v>621</v>
      </c>
      <c r="C625" s="36" t="inlineStr">
        <is>
          <t>0403425014</t>
        </is>
      </c>
      <c r="D625" s="36" t="inlineStr">
        <is>
          <t>Region IV-A (CALABARZON)</t>
        </is>
      </c>
      <c r="E625" s="36" t="inlineStr">
        <is>
          <t>Laguna</t>
        </is>
      </c>
      <c r="F625" s="36" t="inlineStr">
        <is>
          <t>City of San Pedro</t>
        </is>
      </c>
      <c r="G625" s="36" t="inlineStr">
        <is>
          <t>San Antonio</t>
        </is>
      </c>
      <c r="H625" s="37" t="n">
        <v>14.362041</v>
      </c>
      <c r="I625" s="37" t="n">
        <v>121.034875</v>
      </c>
      <c r="J625" s="8" t="inlineStr">
        <is>
          <t>U</t>
        </is>
      </c>
      <c r="K625" s="36" t="inlineStr">
        <is>
          <t>Class 1-3 / Urban</t>
        </is>
      </c>
      <c r="L625" s="18" t="n">
        <v>59368</v>
      </c>
      <c r="M625" s="20" t="n">
        <v>4.2</v>
      </c>
      <c r="N625" s="18">
        <f>ROUND(L625/M625, 0)</f>
        <v/>
      </c>
      <c r="O625" s="18">
        <f>ROUND(N625*'Methodology &amp; Assumptions'!$B$8, 0)</f>
        <v/>
      </c>
      <c r="P625" s="8" t="inlineStr">
        <is>
          <t>Band n50 (1.5 GHz, 60 MHz)</t>
        </is>
      </c>
      <c r="Q625" s="38">
        <f>ROUNDUP(O625/'Methodology &amp; Assumptions'!$B$9, 0)</f>
        <v/>
      </c>
      <c r="R625" s="39" t="n">
        <v>1</v>
      </c>
      <c r="S625" s="21" t="n">
        <v>0.03</v>
      </c>
      <c r="T625" s="21" t="n">
        <v>0.07000000000000001</v>
      </c>
      <c r="U625" s="36" t="inlineStr">
        <is>
          <t>Tier 1A (Direct Coloc, &lt;1 km)</t>
        </is>
      </c>
      <c r="V625" s="20" t="n">
        <v>100</v>
      </c>
      <c r="W625" s="20" t="n">
        <v>95.3</v>
      </c>
      <c r="X625" s="20" t="n">
        <v>28</v>
      </c>
      <c r="Y625" s="40">
        <f>ROUND((V625*'Methodology &amp; Assumptions'!$B$6)+(W625*'Methodology &amp; Assumptions'!$B$5)+(X625*'Methodology &amp; Assumptions'!$B$7), 2)</f>
        <v/>
      </c>
    </row>
    <row r="626" ht="19" customHeight="1">
      <c r="A626" s="41" t="n">
        <v>622</v>
      </c>
      <c r="B626" s="41" t="n">
        <v>622</v>
      </c>
      <c r="C626" s="42" t="inlineStr">
        <is>
          <t>1001314005</t>
        </is>
      </c>
      <c r="D626" s="42" t="inlineStr">
        <is>
          <t>Region X (Northern Mindanao)</t>
        </is>
      </c>
      <c r="E626" s="42" t="inlineStr">
        <is>
          <t>Bukidnon</t>
        </is>
      </c>
      <c r="F626" s="42" t="inlineStr">
        <is>
          <t>Manolo Fortich</t>
        </is>
      </c>
      <c r="G626" s="42" t="inlineStr">
        <is>
          <t>Damilag</t>
        </is>
      </c>
      <c r="H626" s="43" t="n">
        <v>8.352746</v>
      </c>
      <c r="I626" s="43" t="n">
        <v>124.813225</v>
      </c>
      <c r="J626" s="44" t="inlineStr">
        <is>
          <t>U</t>
        </is>
      </c>
      <c r="K626" s="42" t="inlineStr">
        <is>
          <t>Class 1-3 / Urban</t>
        </is>
      </c>
      <c r="L626" s="23" t="n">
        <v>16303</v>
      </c>
      <c r="M626" s="24" t="n">
        <v>4.63</v>
      </c>
      <c r="N626" s="23">
        <f>ROUND(L626/M626, 0)</f>
        <v/>
      </c>
      <c r="O626" s="23">
        <f>ROUND(N626*'Methodology &amp; Assumptions'!$B$8, 0)</f>
        <v/>
      </c>
      <c r="P626" s="44" t="inlineStr">
        <is>
          <t>Band n50 (1.5 GHz, 60 MHz)</t>
        </is>
      </c>
      <c r="Q626" s="38">
        <f>ROUNDUP(O626/'Methodology &amp; Assumptions'!$B$9, 0)</f>
        <v/>
      </c>
      <c r="R626" s="39" t="n">
        <v>1</v>
      </c>
      <c r="S626" s="25" t="n">
        <v>0.14</v>
      </c>
      <c r="T626" s="25" t="n">
        <v>4.39</v>
      </c>
      <c r="U626" s="42" t="inlineStr">
        <is>
          <t>Tier 1A (Direct Coloc, &lt;1 km)</t>
        </is>
      </c>
      <c r="V626" s="24" t="n">
        <v>95.3</v>
      </c>
      <c r="W626" s="24" t="n">
        <v>100</v>
      </c>
      <c r="X626" s="24" t="n">
        <v>28</v>
      </c>
      <c r="Y626" s="45">
        <f>ROUND((V626*'Methodology &amp; Assumptions'!$B$6)+(W626*'Methodology &amp; Assumptions'!$B$5)+(X626*'Methodology &amp; Assumptions'!$B$7), 2)</f>
        <v/>
      </c>
    </row>
    <row r="627" ht="19" customHeight="1">
      <c r="A627" s="35" t="n">
        <v>623</v>
      </c>
      <c r="B627" s="35" t="n">
        <v>623</v>
      </c>
      <c r="C627" s="36" t="inlineStr">
        <is>
          <t>1600206011</t>
        </is>
      </c>
      <c r="D627" s="36" t="inlineStr">
        <is>
          <t>Region XIII (Caraga)</t>
        </is>
      </c>
      <c r="E627" s="36" t="inlineStr">
        <is>
          <t>Agusan del Norte</t>
        </is>
      </c>
      <c r="F627" s="36" t="inlineStr">
        <is>
          <t>Kitcharao</t>
        </is>
      </c>
      <c r="G627" s="36" t="inlineStr">
        <is>
          <t>Songkoy</t>
        </is>
      </c>
      <c r="H627" s="37" t="n">
        <v>9.458375</v>
      </c>
      <c r="I627" s="37" t="n">
        <v>125.572749</v>
      </c>
      <c r="J627" s="8" t="inlineStr">
        <is>
          <t>R</t>
        </is>
      </c>
      <c r="K627" s="36" t="inlineStr">
        <is>
          <t>3rd</t>
        </is>
      </c>
      <c r="L627" s="18" t="n">
        <v>2439</v>
      </c>
      <c r="M627" s="20" t="n">
        <v>4.27</v>
      </c>
      <c r="N627" s="18">
        <f>ROUND(L627/M627, 0)</f>
        <v/>
      </c>
      <c r="O627" s="18">
        <f>ROUND(N627*'Methodology &amp; Assumptions'!$B$8, 0)</f>
        <v/>
      </c>
      <c r="P627" s="8" t="inlineStr">
        <is>
          <t>Band n50 (1.5 GHz, 60 MHz)</t>
        </is>
      </c>
      <c r="Q627" s="38">
        <f>ROUNDUP(O627/'Methodology &amp; Assumptions'!$B$9, 0)</f>
        <v/>
      </c>
      <c r="R627" s="39" t="n">
        <v>1</v>
      </c>
      <c r="S627" s="21" t="n">
        <v>0.1</v>
      </c>
      <c r="T627" s="21" t="n">
        <v>0.43</v>
      </c>
      <c r="U627" s="36" t="inlineStr">
        <is>
          <t>Tier 1A (Direct Coloc, &lt;1 km)</t>
        </is>
      </c>
      <c r="V627" s="20" t="n">
        <v>100</v>
      </c>
      <c r="W627" s="20" t="n">
        <v>69.59999999999999</v>
      </c>
      <c r="X627" s="20" t="n">
        <v>58</v>
      </c>
      <c r="Y627" s="40">
        <f>ROUND((V627*'Methodology &amp; Assumptions'!$B$6)+(W627*'Methodology &amp; Assumptions'!$B$5)+(X627*'Methodology &amp; Assumptions'!$B$7), 2)</f>
        <v/>
      </c>
    </row>
    <row r="628" ht="19" customHeight="1">
      <c r="A628" s="41" t="n">
        <v>624</v>
      </c>
      <c r="B628" s="41" t="n">
        <v>624</v>
      </c>
      <c r="C628" s="42" t="inlineStr">
        <is>
          <t>0306905032</t>
        </is>
      </c>
      <c r="D628" s="42" t="inlineStr">
        <is>
          <t>Region III (Central Luzon)</t>
        </is>
      </c>
      <c r="E628" s="42" t="inlineStr">
        <is>
          <t>Tarlac</t>
        </is>
      </c>
      <c r="F628" s="42" t="inlineStr">
        <is>
          <t>Concepcion</t>
        </is>
      </c>
      <c r="G628" s="42" t="inlineStr">
        <is>
          <t>San Jose</t>
        </is>
      </c>
      <c r="H628" s="43" t="n">
        <v>15.32639</v>
      </c>
      <c r="I628" s="43" t="n">
        <v>120.660176</v>
      </c>
      <c r="J628" s="44" t="inlineStr">
        <is>
          <t>U</t>
        </is>
      </c>
      <c r="K628" s="42" t="inlineStr">
        <is>
          <t>Class 1-3 / Urban</t>
        </is>
      </c>
      <c r="L628" s="23" t="n">
        <v>10454</v>
      </c>
      <c r="M628" s="24" t="n">
        <v>4.3</v>
      </c>
      <c r="N628" s="23">
        <f>ROUND(L628/M628, 0)</f>
        <v/>
      </c>
      <c r="O628" s="23">
        <f>ROUND(N628*'Methodology &amp; Assumptions'!$B$8, 0)</f>
        <v/>
      </c>
      <c r="P628" s="44" t="inlineStr">
        <is>
          <t>Band n50 (1.5 GHz, 60 MHz)</t>
        </is>
      </c>
      <c r="Q628" s="38">
        <f>ROUNDUP(O628/'Methodology &amp; Assumptions'!$B$9, 0)</f>
        <v/>
      </c>
      <c r="R628" s="39" t="n">
        <v>1</v>
      </c>
      <c r="S628" s="25" t="n">
        <v>0.48</v>
      </c>
      <c r="T628" s="25" t="n">
        <v>0.19</v>
      </c>
      <c r="U628" s="42" t="inlineStr">
        <is>
          <t>Tier 1A (Direct Coloc, &lt;1 km)</t>
        </is>
      </c>
      <c r="V628" s="24" t="n">
        <v>95.3</v>
      </c>
      <c r="W628" s="24" t="n">
        <v>100</v>
      </c>
      <c r="X628" s="24" t="n">
        <v>28</v>
      </c>
      <c r="Y628" s="45">
        <f>ROUND((V628*'Methodology &amp; Assumptions'!$B$6)+(W628*'Methodology &amp; Assumptions'!$B$5)+(X628*'Methodology &amp; Assumptions'!$B$7), 2)</f>
        <v/>
      </c>
    </row>
    <row r="629" ht="19" customHeight="1">
      <c r="A629" s="35" t="n">
        <v>625</v>
      </c>
      <c r="B629" s="35" t="n">
        <v>625</v>
      </c>
      <c r="C629" s="36" t="inlineStr">
        <is>
          <t>0201502011</t>
        </is>
      </c>
      <c r="D629" s="36" t="inlineStr">
        <is>
          <t>Region II (Cagayan Valley)</t>
        </is>
      </c>
      <c r="E629" s="36" t="inlineStr">
        <is>
          <t>Cagayan</t>
        </is>
      </c>
      <c r="F629" s="36" t="inlineStr">
        <is>
          <t>Alcala</t>
        </is>
      </c>
      <c r="G629" s="36" t="inlineStr">
        <is>
          <t>Centro Sur</t>
        </is>
      </c>
      <c r="H629" s="37" t="n">
        <v>17.901129</v>
      </c>
      <c r="I629" s="37" t="n">
        <v>121.658059</v>
      </c>
      <c r="J629" s="8" t="inlineStr">
        <is>
          <t>R</t>
        </is>
      </c>
      <c r="K629" s="36" t="inlineStr">
        <is>
          <t>Class 1-3 / Urban</t>
        </is>
      </c>
      <c r="L629" s="18" t="n">
        <v>2943</v>
      </c>
      <c r="M629" s="20" t="n">
        <v>4.38</v>
      </c>
      <c r="N629" s="18">
        <f>ROUND(L629/M629, 0)</f>
        <v/>
      </c>
      <c r="O629" s="18">
        <f>ROUND(N629*'Methodology &amp; Assumptions'!$B$8, 0)</f>
        <v/>
      </c>
      <c r="P629" s="8" t="inlineStr">
        <is>
          <t>Band n50 (1.5 GHz, 60 MHz)</t>
        </is>
      </c>
      <c r="Q629" s="38">
        <f>ROUNDUP(O629/'Methodology &amp; Assumptions'!$B$9, 0)</f>
        <v/>
      </c>
      <c r="R629" s="39" t="n">
        <v>1</v>
      </c>
      <c r="S629" s="21" t="n">
        <v>0.61</v>
      </c>
      <c r="T629" s="21" t="n">
        <v>0.31</v>
      </c>
      <c r="U629" s="36" t="inlineStr">
        <is>
          <t>Tier 1A (Direct Coloc, &lt;1 km)</t>
        </is>
      </c>
      <c r="V629" s="20" t="n">
        <v>91.7</v>
      </c>
      <c r="W629" s="20" t="n">
        <v>77.90000000000001</v>
      </c>
      <c r="X629" s="20" t="n">
        <v>58</v>
      </c>
      <c r="Y629" s="40">
        <f>ROUND((V629*'Methodology &amp; Assumptions'!$B$6)+(W629*'Methodology &amp; Assumptions'!$B$5)+(X629*'Methodology &amp; Assumptions'!$B$7), 2)</f>
        <v/>
      </c>
    </row>
    <row r="630" ht="19" customHeight="1">
      <c r="A630" s="41" t="n">
        <v>626</v>
      </c>
      <c r="B630" s="41" t="n">
        <v>626</v>
      </c>
      <c r="C630" s="42" t="inlineStr">
        <is>
          <t>1004306020</t>
        </is>
      </c>
      <c r="D630" s="42" t="inlineStr">
        <is>
          <t>Region X (Northern Mindanao)</t>
        </is>
      </c>
      <c r="E630" s="42" t="inlineStr">
        <is>
          <t>Misamis Oriental</t>
        </is>
      </c>
      <c r="F630" s="42" t="inlineStr">
        <is>
          <t>Claveria</t>
        </is>
      </c>
      <c r="G630" s="42" t="inlineStr">
        <is>
          <t>Poblacion</t>
        </is>
      </c>
      <c r="H630" s="43" t="n">
        <v>8.611939</v>
      </c>
      <c r="I630" s="43" t="n">
        <v>124.893482</v>
      </c>
      <c r="J630" s="44" t="inlineStr">
        <is>
          <t>U</t>
        </is>
      </c>
      <c r="K630" s="42" t="inlineStr">
        <is>
          <t>Class 1-3 / Urban</t>
        </is>
      </c>
      <c r="L630" s="23" t="n">
        <v>10584</v>
      </c>
      <c r="M630" s="24" t="n">
        <v>4.54</v>
      </c>
      <c r="N630" s="23">
        <f>ROUND(L630/M630, 0)</f>
        <v/>
      </c>
      <c r="O630" s="23">
        <f>ROUND(N630*'Methodology &amp; Assumptions'!$B$8, 0)</f>
        <v/>
      </c>
      <c r="P630" s="44" t="inlineStr">
        <is>
          <t>Band n50 (1.5 GHz, 60 MHz)</t>
        </is>
      </c>
      <c r="Q630" s="38">
        <f>ROUNDUP(O630/'Methodology &amp; Assumptions'!$B$9, 0)</f>
        <v/>
      </c>
      <c r="R630" s="39" t="n">
        <v>1</v>
      </c>
      <c r="S630" s="25" t="n">
        <v>0.15</v>
      </c>
      <c r="T630" s="25" t="n">
        <v>13.48</v>
      </c>
      <c r="U630" s="42" t="inlineStr">
        <is>
          <t>Tier 1A (Direct Coloc, &lt;1 km)</t>
        </is>
      </c>
      <c r="V630" s="24" t="n">
        <v>95.3</v>
      </c>
      <c r="W630" s="24" t="n">
        <v>100</v>
      </c>
      <c r="X630" s="24" t="n">
        <v>28</v>
      </c>
      <c r="Y630" s="45">
        <f>ROUND((V630*'Methodology &amp; Assumptions'!$B$6)+(W630*'Methodology &amp; Assumptions'!$B$5)+(X630*'Methodology &amp; Assumptions'!$B$7), 2)</f>
        <v/>
      </c>
    </row>
    <row r="631" ht="19" customHeight="1">
      <c r="A631" s="35" t="n">
        <v>627</v>
      </c>
      <c r="B631" s="35" t="n">
        <v>627</v>
      </c>
      <c r="C631" s="36" t="inlineStr">
        <is>
          <t>0301419026</t>
        </is>
      </c>
      <c r="D631" s="36" t="inlineStr">
        <is>
          <t>Region III (Central Luzon)</t>
        </is>
      </c>
      <c r="E631" s="36" t="inlineStr">
        <is>
          <t>Bulacan</t>
        </is>
      </c>
      <c r="F631" s="36" t="inlineStr">
        <is>
          <t>San Ildefonso</t>
        </is>
      </c>
      <c r="G631" s="36" t="inlineStr">
        <is>
          <t>Poblacion</t>
        </is>
      </c>
      <c r="H631" s="37" t="n">
        <v>15.077913</v>
      </c>
      <c r="I631" s="37" t="n">
        <v>120.941136</v>
      </c>
      <c r="J631" s="8" t="inlineStr">
        <is>
          <t>U</t>
        </is>
      </c>
      <c r="K631" s="36" t="inlineStr">
        <is>
          <t>Class 1-3 / Urban</t>
        </is>
      </c>
      <c r="L631" s="18" t="n">
        <v>4901</v>
      </c>
      <c r="M631" s="20" t="n">
        <v>4.1</v>
      </c>
      <c r="N631" s="18">
        <f>ROUND(L631/M631, 0)</f>
        <v/>
      </c>
      <c r="O631" s="18">
        <f>ROUND(N631*'Methodology &amp; Assumptions'!$B$8, 0)</f>
        <v/>
      </c>
      <c r="P631" s="8" t="inlineStr">
        <is>
          <t>Band n50 (1.5 GHz, 60 MHz)</t>
        </is>
      </c>
      <c r="Q631" s="38">
        <f>ROUNDUP(O631/'Methodology &amp; Assumptions'!$B$9, 0)</f>
        <v/>
      </c>
      <c r="R631" s="39" t="n">
        <v>1</v>
      </c>
      <c r="S631" s="21" t="n">
        <v>0.48</v>
      </c>
      <c r="T631" s="21" t="n">
        <v>0.09</v>
      </c>
      <c r="U631" s="36" t="inlineStr">
        <is>
          <t>Tier 1A (Direct Coloc, &lt;1 km)</t>
        </is>
      </c>
      <c r="V631" s="20" t="n">
        <v>95.3</v>
      </c>
      <c r="W631" s="20" t="n">
        <v>100</v>
      </c>
      <c r="X631" s="20" t="n">
        <v>28</v>
      </c>
      <c r="Y631" s="40">
        <f>ROUND((V631*'Methodology &amp; Assumptions'!$B$6)+(W631*'Methodology &amp; Assumptions'!$B$5)+(X631*'Methodology &amp; Assumptions'!$B$7), 2)</f>
        <v/>
      </c>
    </row>
    <row r="632" ht="19" customHeight="1">
      <c r="A632" s="41" t="n">
        <v>628</v>
      </c>
      <c r="B632" s="41" t="n">
        <v>628</v>
      </c>
      <c r="C632" s="42" t="inlineStr">
        <is>
          <t>0403424049</t>
        </is>
      </c>
      <c r="D632" s="42" t="inlineStr">
        <is>
          <t>Region IV-A (CALABARZON)</t>
        </is>
      </c>
      <c r="E632" s="42" t="inlineStr">
        <is>
          <t>Laguna</t>
        </is>
      </c>
      <c r="F632" s="42" t="inlineStr">
        <is>
          <t>City of San Pablo</t>
        </is>
      </c>
      <c r="G632" s="42" t="inlineStr">
        <is>
          <t>San Gregorio</t>
        </is>
      </c>
      <c r="H632" s="43" t="n">
        <v>14.055369</v>
      </c>
      <c r="I632" s="43" t="n">
        <v>121.331401</v>
      </c>
      <c r="J632" s="44" t="inlineStr">
        <is>
          <t>U</t>
        </is>
      </c>
      <c r="K632" s="42" t="inlineStr">
        <is>
          <t>Class 1-3 / Urban</t>
        </is>
      </c>
      <c r="L632" s="23" t="n">
        <v>8720</v>
      </c>
      <c r="M632" s="24" t="n">
        <v>4.2</v>
      </c>
      <c r="N632" s="23">
        <f>ROUND(L632/M632, 0)</f>
        <v/>
      </c>
      <c r="O632" s="23">
        <f>ROUND(N632*'Methodology &amp; Assumptions'!$B$8, 0)</f>
        <v/>
      </c>
      <c r="P632" s="44" t="inlineStr">
        <is>
          <t>Band n50 (1.5 GHz, 60 MHz)</t>
        </is>
      </c>
      <c r="Q632" s="38">
        <f>ROUNDUP(O632/'Methodology &amp; Assumptions'!$B$9, 0)</f>
        <v/>
      </c>
      <c r="R632" s="39" t="n">
        <v>1</v>
      </c>
      <c r="S632" s="25" t="n">
        <v>0.48</v>
      </c>
      <c r="T632" s="25" t="n">
        <v>0.2</v>
      </c>
      <c r="U632" s="42" t="inlineStr">
        <is>
          <t>Tier 1A (Direct Coloc, &lt;1 km)</t>
        </is>
      </c>
      <c r="V632" s="24" t="n">
        <v>95.2</v>
      </c>
      <c r="W632" s="24" t="n">
        <v>100</v>
      </c>
      <c r="X632" s="24" t="n">
        <v>28</v>
      </c>
      <c r="Y632" s="45">
        <f>ROUND((V632*'Methodology &amp; Assumptions'!$B$6)+(W632*'Methodology &amp; Assumptions'!$B$5)+(X632*'Methodology &amp; Assumptions'!$B$7), 2)</f>
        <v/>
      </c>
    </row>
    <row r="633" ht="19" customHeight="1">
      <c r="A633" s="35" t="n">
        <v>629</v>
      </c>
      <c r="B633" s="35" t="n">
        <v>629</v>
      </c>
      <c r="C633" s="36" t="inlineStr">
        <is>
          <t>0500517041</t>
        </is>
      </c>
      <c r="D633" s="36" t="inlineStr">
        <is>
          <t>Region V (Bicol Region)</t>
        </is>
      </c>
      <c r="E633" s="36" t="inlineStr">
        <is>
          <t>Albay</t>
        </is>
      </c>
      <c r="F633" s="36" t="inlineStr">
        <is>
          <t>City of Tabaco</t>
        </is>
      </c>
      <c r="G633" s="36" t="inlineStr">
        <is>
          <t>San Roque</t>
        </is>
      </c>
      <c r="H633" s="37" t="n">
        <v>13.343941</v>
      </c>
      <c r="I633" s="37" t="n">
        <v>123.665211</v>
      </c>
      <c r="J633" s="8" t="inlineStr">
        <is>
          <t>U</t>
        </is>
      </c>
      <c r="K633" s="36" t="inlineStr">
        <is>
          <t>Class 1-3 / Urban</t>
        </is>
      </c>
      <c r="L633" s="18" t="n">
        <v>5344</v>
      </c>
      <c r="M633" s="20" t="n">
        <v>4.67</v>
      </c>
      <c r="N633" s="18">
        <f>ROUND(L633/M633, 0)</f>
        <v/>
      </c>
      <c r="O633" s="18">
        <f>ROUND(N633*'Methodology &amp; Assumptions'!$B$8, 0)</f>
        <v/>
      </c>
      <c r="P633" s="8" t="inlineStr">
        <is>
          <t>Band n50 (1.5 GHz, 60 MHz)</t>
        </is>
      </c>
      <c r="Q633" s="38">
        <f>ROUNDUP(O633/'Methodology &amp; Assumptions'!$B$9, 0)</f>
        <v/>
      </c>
      <c r="R633" s="39" t="n">
        <v>1</v>
      </c>
      <c r="S633" s="21" t="n">
        <v>0.48</v>
      </c>
      <c r="T633" s="21" t="n">
        <v>0.95</v>
      </c>
      <c r="U633" s="36" t="inlineStr">
        <is>
          <t>Tier 1A (Direct Coloc, &lt;1 km)</t>
        </is>
      </c>
      <c r="V633" s="20" t="n">
        <v>95.3</v>
      </c>
      <c r="W633" s="20" t="n">
        <v>100</v>
      </c>
      <c r="X633" s="20" t="n">
        <v>28</v>
      </c>
      <c r="Y633" s="40">
        <f>ROUND((V633*'Methodology &amp; Assumptions'!$B$6)+(W633*'Methodology &amp; Assumptions'!$B$5)+(X633*'Methodology &amp; Assumptions'!$B$7), 2)</f>
        <v/>
      </c>
    </row>
    <row r="634" ht="19" customHeight="1">
      <c r="A634" s="41" t="n">
        <v>630</v>
      </c>
      <c r="B634" s="41" t="n">
        <v>630</v>
      </c>
      <c r="C634" s="42" t="inlineStr">
        <is>
          <t>0501728016</t>
        </is>
      </c>
      <c r="D634" s="42" t="inlineStr">
        <is>
          <t>Region V (Bicol Region)</t>
        </is>
      </c>
      <c r="E634" s="42" t="inlineStr">
        <is>
          <t>Camarines Sur</t>
        </is>
      </c>
      <c r="F634" s="42" t="inlineStr">
        <is>
          <t>Pili</t>
        </is>
      </c>
      <c r="G634" s="42" t="inlineStr">
        <is>
          <t>Sagrada</t>
        </is>
      </c>
      <c r="H634" s="43" t="n">
        <v>13.47391</v>
      </c>
      <c r="I634" s="43" t="n">
        <v>123.278834</v>
      </c>
      <c r="J634" s="44" t="inlineStr">
        <is>
          <t>R</t>
        </is>
      </c>
      <c r="K634" s="42" t="inlineStr">
        <is>
          <t>Class 1-3 / Urban</t>
        </is>
      </c>
      <c r="L634" s="23" t="n">
        <v>3294</v>
      </c>
      <c r="M634" s="24" t="n">
        <v>4.9</v>
      </c>
      <c r="N634" s="23">
        <f>ROUND(L634/M634, 0)</f>
        <v/>
      </c>
      <c r="O634" s="23">
        <f>ROUND(N634*'Methodology &amp; Assumptions'!$B$8, 0)</f>
        <v/>
      </c>
      <c r="P634" s="44" t="inlineStr">
        <is>
          <t>Band n50 (1.5 GHz, 60 MHz)</t>
        </is>
      </c>
      <c r="Q634" s="38">
        <f>ROUNDUP(O634/'Methodology &amp; Assumptions'!$B$9, 0)</f>
        <v/>
      </c>
      <c r="R634" s="39" t="n">
        <v>1</v>
      </c>
      <c r="S634" s="25" t="n">
        <v>0.26</v>
      </c>
      <c r="T634" s="25" t="n">
        <v>4.83</v>
      </c>
      <c r="U634" s="42" t="inlineStr">
        <is>
          <t>Tier 1A (Direct Coloc, &lt;1 km)</t>
        </is>
      </c>
      <c r="V634" s="24" t="n">
        <v>91.59999999999999</v>
      </c>
      <c r="W634" s="24" t="n">
        <v>77.90000000000001</v>
      </c>
      <c r="X634" s="24" t="n">
        <v>58</v>
      </c>
      <c r="Y634" s="45">
        <f>ROUND((V634*'Methodology &amp; Assumptions'!$B$6)+(W634*'Methodology &amp; Assumptions'!$B$5)+(X634*'Methodology &amp; Assumptions'!$B$7), 2)</f>
        <v/>
      </c>
    </row>
    <row r="635" ht="19" customHeight="1">
      <c r="A635" s="35" t="n">
        <v>631</v>
      </c>
      <c r="B635" s="35" t="n">
        <v>631</v>
      </c>
      <c r="C635" s="36" t="inlineStr">
        <is>
          <t>0501709001</t>
        </is>
      </c>
      <c r="D635" s="36" t="inlineStr">
        <is>
          <t>Region V (Bicol Region)</t>
        </is>
      </c>
      <c r="E635" s="36" t="inlineStr">
        <is>
          <t>Camarines Sur</t>
        </is>
      </c>
      <c r="F635" s="36" t="inlineStr">
        <is>
          <t>Camaligan</t>
        </is>
      </c>
      <c r="G635" s="36" t="inlineStr">
        <is>
          <t>Dugcal</t>
        </is>
      </c>
      <c r="H635" s="37" t="n">
        <v>13.627381</v>
      </c>
      <c r="I635" s="37" t="n">
        <v>123.160321</v>
      </c>
      <c r="J635" s="8" t="inlineStr">
        <is>
          <t>R</t>
        </is>
      </c>
      <c r="K635" s="36" t="inlineStr">
        <is>
          <t>4th</t>
        </is>
      </c>
      <c r="L635" s="18" t="n">
        <v>4842</v>
      </c>
      <c r="M635" s="20" t="n">
        <v>4.97</v>
      </c>
      <c r="N635" s="18">
        <f>ROUND(L635/M635, 0)</f>
        <v/>
      </c>
      <c r="O635" s="18">
        <f>ROUND(N635*'Methodology &amp; Assumptions'!$B$8, 0)</f>
        <v/>
      </c>
      <c r="P635" s="8" t="inlineStr">
        <is>
          <t>Band n50 (1.5 GHz, 60 MHz)</t>
        </is>
      </c>
      <c r="Q635" s="38">
        <f>ROUNDUP(O635/'Methodology &amp; Assumptions'!$B$9, 0)</f>
        <v/>
      </c>
      <c r="R635" s="39" t="n">
        <v>1</v>
      </c>
      <c r="S635" s="21" t="n">
        <v>1.51</v>
      </c>
      <c r="T635" s="21" t="n">
        <v>2.94</v>
      </c>
      <c r="U635" s="36" t="inlineStr">
        <is>
          <t>Tier 1B (Micro Drop, 1-3 km)</t>
        </is>
      </c>
      <c r="V635" s="20" t="n">
        <v>60.4</v>
      </c>
      <c r="W635" s="20" t="n">
        <v>100</v>
      </c>
      <c r="X635" s="20" t="n">
        <v>68.5</v>
      </c>
      <c r="Y635" s="40">
        <f>ROUND((V635*'Methodology &amp; Assumptions'!$B$6)+(W635*'Methodology &amp; Assumptions'!$B$5)+(X635*'Methodology &amp; Assumptions'!$B$7), 2)</f>
        <v/>
      </c>
    </row>
    <row r="636" ht="19" customHeight="1">
      <c r="A636" s="41" t="n">
        <v>632</v>
      </c>
      <c r="B636" s="41" t="n">
        <v>632</v>
      </c>
      <c r="C636" s="42" t="inlineStr">
        <is>
          <t>0401023020</t>
        </is>
      </c>
      <c r="D636" s="42" t="inlineStr">
        <is>
          <t>Region IV-A (CALABARZON)</t>
        </is>
      </c>
      <c r="E636" s="42" t="inlineStr">
        <is>
          <t>Batangas</t>
        </is>
      </c>
      <c r="F636" s="42" t="inlineStr">
        <is>
          <t>San Juan</t>
        </is>
      </c>
      <c r="G636" s="42" t="inlineStr">
        <is>
          <t>Lipahan</t>
        </is>
      </c>
      <c r="H636" s="43" t="n">
        <v>13.833879</v>
      </c>
      <c r="I636" s="43" t="n">
        <v>121.405481</v>
      </c>
      <c r="J636" s="44" t="inlineStr">
        <is>
          <t>R</t>
        </is>
      </c>
      <c r="K636" s="42" t="inlineStr">
        <is>
          <t>Class 1-3 / Urban</t>
        </is>
      </c>
      <c r="L636" s="23" t="n">
        <v>4126</v>
      </c>
      <c r="M636" s="24" t="n">
        <v>4.62</v>
      </c>
      <c r="N636" s="23">
        <f>ROUND(L636/M636, 0)</f>
        <v/>
      </c>
      <c r="O636" s="23">
        <f>ROUND(N636*'Methodology &amp; Assumptions'!$B$8, 0)</f>
        <v/>
      </c>
      <c r="P636" s="44" t="inlineStr">
        <is>
          <t>Band n50 (1.5 GHz, 60 MHz)</t>
        </is>
      </c>
      <c r="Q636" s="38">
        <f>ROUNDUP(O636/'Methodology &amp; Assumptions'!$B$9, 0)</f>
        <v/>
      </c>
      <c r="R636" s="39" t="n">
        <v>1</v>
      </c>
      <c r="S636" s="25" t="n">
        <v>1.34</v>
      </c>
      <c r="T636" s="25" t="n">
        <v>0.89</v>
      </c>
      <c r="U636" s="42" t="inlineStr">
        <is>
          <t>Tier 1B (Micro Drop, 1-3 km)</t>
        </is>
      </c>
      <c r="V636" s="24" t="n">
        <v>74</v>
      </c>
      <c r="W636" s="24" t="n">
        <v>95.5</v>
      </c>
      <c r="X636" s="24" t="n">
        <v>58</v>
      </c>
      <c r="Y636" s="45">
        <f>ROUND((V636*'Methodology &amp; Assumptions'!$B$6)+(W636*'Methodology &amp; Assumptions'!$B$5)+(X636*'Methodology &amp; Assumptions'!$B$7), 2)</f>
        <v/>
      </c>
    </row>
    <row r="637" ht="19" customHeight="1">
      <c r="A637" s="35" t="n">
        <v>633</v>
      </c>
      <c r="B637" s="35" t="n">
        <v>633</v>
      </c>
      <c r="C637" s="36" t="inlineStr">
        <is>
          <t>1004325010</t>
        </is>
      </c>
      <c r="D637" s="36" t="inlineStr">
        <is>
          <t>Region X (Northern Mindanao)</t>
        </is>
      </c>
      <c r="E637" s="36" t="inlineStr">
        <is>
          <t>Misamis Oriental</t>
        </is>
      </c>
      <c r="F637" s="36" t="inlineStr">
        <is>
          <t>Talisayan</t>
        </is>
      </c>
      <c r="G637" s="36" t="inlineStr">
        <is>
          <t>Poblacion</t>
        </is>
      </c>
      <c r="H637" s="37" t="n">
        <v>8.997256999999999</v>
      </c>
      <c r="I637" s="37" t="n">
        <v>124.88532</v>
      </c>
      <c r="J637" s="8" t="inlineStr">
        <is>
          <t>U</t>
        </is>
      </c>
      <c r="K637" s="36" t="inlineStr">
        <is>
          <t>3rd</t>
        </is>
      </c>
      <c r="L637" s="18" t="n">
        <v>5342</v>
      </c>
      <c r="M637" s="20" t="n">
        <v>4.54</v>
      </c>
      <c r="N637" s="18">
        <f>ROUND(L637/M637, 0)</f>
        <v/>
      </c>
      <c r="O637" s="18">
        <f>ROUND(N637*'Methodology &amp; Assumptions'!$B$8, 0)</f>
        <v/>
      </c>
      <c r="P637" s="8" t="inlineStr">
        <is>
          <t>Band n50 (1.5 GHz, 60 MHz)</t>
        </is>
      </c>
      <c r="Q637" s="38">
        <f>ROUNDUP(O637/'Methodology &amp; Assumptions'!$B$9, 0)</f>
        <v/>
      </c>
      <c r="R637" s="39" t="n">
        <v>1</v>
      </c>
      <c r="S637" s="21" t="n">
        <v>0.48</v>
      </c>
      <c r="T637" s="21" t="n">
        <v>0.37</v>
      </c>
      <c r="U637" s="36" t="inlineStr">
        <is>
          <t>Tier 1A (Direct Coloc, &lt;1 km)</t>
        </is>
      </c>
      <c r="V637" s="20" t="n">
        <v>95.2</v>
      </c>
      <c r="W637" s="20" t="n">
        <v>100</v>
      </c>
      <c r="X637" s="20" t="n">
        <v>28</v>
      </c>
      <c r="Y637" s="40">
        <f>ROUND((V637*'Methodology &amp; Assumptions'!$B$6)+(W637*'Methodology &amp; Assumptions'!$B$5)+(X637*'Methodology &amp; Assumptions'!$B$7), 2)</f>
        <v/>
      </c>
    </row>
    <row r="638" ht="19" customHeight="1">
      <c r="A638" s="41" t="n">
        <v>634</v>
      </c>
      <c r="B638" s="41" t="n">
        <v>634</v>
      </c>
      <c r="C638" s="42" t="inlineStr">
        <is>
          <t>1130700026</t>
        </is>
      </c>
      <c r="D638" s="42" t="inlineStr">
        <is>
          <t>Region XI (Davao Region)</t>
        </is>
      </c>
      <c r="E638" s="42" t="inlineStr">
        <is>
          <t>Davao del Sur</t>
        </is>
      </c>
      <c r="F638" s="42" t="inlineStr">
        <is>
          <t>City of Davao</t>
        </is>
      </c>
      <c r="G638" s="42" t="inlineStr">
        <is>
          <t>Calinan</t>
        </is>
      </c>
      <c r="H638" s="43" t="n">
        <v>7.18963</v>
      </c>
      <c r="I638" s="43" t="n">
        <v>125.45241</v>
      </c>
      <c r="J638" s="44" t="inlineStr">
        <is>
          <t>U</t>
        </is>
      </c>
      <c r="K638" s="42" t="inlineStr">
        <is>
          <t>Class 1-3 / Urban</t>
        </is>
      </c>
      <c r="L638" s="23" t="n">
        <v>24218</v>
      </c>
      <c r="M638" s="24" t="n">
        <v>4.1</v>
      </c>
      <c r="N638" s="23">
        <f>ROUND(L638/M638, 0)</f>
        <v/>
      </c>
      <c r="O638" s="23">
        <f>ROUND(N638*'Methodology &amp; Assumptions'!$B$8, 0)</f>
        <v/>
      </c>
      <c r="P638" s="44" t="inlineStr">
        <is>
          <t>Band n50 (1.5 GHz, 60 MHz)</t>
        </is>
      </c>
      <c r="Q638" s="38">
        <f>ROUNDUP(O638/'Methodology &amp; Assumptions'!$B$9, 0)</f>
        <v/>
      </c>
      <c r="R638" s="39" t="n">
        <v>1</v>
      </c>
      <c r="S638" s="25" t="n">
        <v>0.48</v>
      </c>
      <c r="T638" s="25" t="n">
        <v>0.33</v>
      </c>
      <c r="U638" s="42" t="inlineStr">
        <is>
          <t>Tier 1A (Direct Coloc, &lt;1 km)</t>
        </is>
      </c>
      <c r="V638" s="24" t="n">
        <v>95.09999999999999</v>
      </c>
      <c r="W638" s="24" t="n">
        <v>100</v>
      </c>
      <c r="X638" s="24" t="n">
        <v>28</v>
      </c>
      <c r="Y638" s="45">
        <f>ROUND((V638*'Methodology &amp; Assumptions'!$B$6)+(W638*'Methodology &amp; Assumptions'!$B$5)+(X638*'Methodology &amp; Assumptions'!$B$7), 2)</f>
        <v/>
      </c>
    </row>
    <row r="639" ht="19" customHeight="1">
      <c r="A639" s="35" t="n">
        <v>635</v>
      </c>
      <c r="B639" s="35" t="n">
        <v>635</v>
      </c>
      <c r="C639" s="36" t="inlineStr">
        <is>
          <t>1001308007</t>
        </is>
      </c>
      <c r="D639" s="36" t="inlineStr">
        <is>
          <t>Region X (Northern Mindanao)</t>
        </is>
      </c>
      <c r="E639" s="36" t="inlineStr">
        <is>
          <t>Bukidnon</t>
        </is>
      </c>
      <c r="F639" s="36" t="inlineStr">
        <is>
          <t>Kibawe</t>
        </is>
      </c>
      <c r="G639" s="36" t="inlineStr">
        <is>
          <t>East Kibawe</t>
        </is>
      </c>
      <c r="H639" s="37" t="n">
        <v>7.5653</v>
      </c>
      <c r="I639" s="37" t="n">
        <v>124.9886</v>
      </c>
      <c r="J639" s="8" t="inlineStr">
        <is>
          <t>R</t>
        </is>
      </c>
      <c r="K639" s="36" t="inlineStr">
        <is>
          <t>Class 1-3 / Urban</t>
        </is>
      </c>
      <c r="L639" s="18" t="n">
        <v>3150</v>
      </c>
      <c r="M639" s="20" t="n">
        <v>4.63</v>
      </c>
      <c r="N639" s="18">
        <f>ROUND(L639/M639, 0)</f>
        <v/>
      </c>
      <c r="O639" s="18">
        <f>ROUND(N639*'Methodology &amp; Assumptions'!$B$8, 0)</f>
        <v/>
      </c>
      <c r="P639" s="8" t="inlineStr">
        <is>
          <t>Band n50 (1.5 GHz, 60 MHz)</t>
        </is>
      </c>
      <c r="Q639" s="38">
        <f>ROUNDUP(O639/'Methodology &amp; Assumptions'!$B$9, 0)</f>
        <v/>
      </c>
      <c r="R639" s="39" t="n">
        <v>1</v>
      </c>
      <c r="S639" s="21" t="n">
        <v>0.63</v>
      </c>
      <c r="T639" s="21" t="n">
        <v>0.4</v>
      </c>
      <c r="U639" s="36" t="inlineStr">
        <is>
          <t>Tier 1A (Direct Coloc, &lt;1 km)</t>
        </is>
      </c>
      <c r="V639" s="20" t="n">
        <v>91</v>
      </c>
      <c r="W639" s="20" t="n">
        <v>78.40000000000001</v>
      </c>
      <c r="X639" s="20" t="n">
        <v>58</v>
      </c>
      <c r="Y639" s="40">
        <f>ROUND((V639*'Methodology &amp; Assumptions'!$B$6)+(W639*'Methodology &amp; Assumptions'!$B$5)+(X639*'Methodology &amp; Assumptions'!$B$7), 2)</f>
        <v/>
      </c>
    </row>
    <row r="640" ht="19" customHeight="1">
      <c r="A640" s="41" t="n">
        <v>636</v>
      </c>
      <c r="B640" s="41" t="n">
        <v>636</v>
      </c>
      <c r="C640" s="42" t="inlineStr">
        <is>
          <t>0403425004</t>
        </is>
      </c>
      <c r="D640" s="42" t="inlineStr">
        <is>
          <t>Region IV-A (CALABARZON)</t>
        </is>
      </c>
      <c r="E640" s="42" t="inlineStr">
        <is>
          <t>Laguna</t>
        </is>
      </c>
      <c r="F640" s="42" t="inlineStr">
        <is>
          <t>City of San Pedro</t>
        </is>
      </c>
      <c r="G640" s="42" t="inlineStr">
        <is>
          <t>G.S.I.S.</t>
        </is>
      </c>
      <c r="H640" s="43" t="n">
        <v>14.349855</v>
      </c>
      <c r="I640" s="43" t="n">
        <v>121.041369</v>
      </c>
      <c r="J640" s="44" t="inlineStr">
        <is>
          <t>R</t>
        </is>
      </c>
      <c r="K640" s="42" t="inlineStr">
        <is>
          <t>Class 1-3 / Urban</t>
        </is>
      </c>
      <c r="L640" s="23" t="n">
        <v>2828</v>
      </c>
      <c r="M640" s="24" t="n">
        <v>4.2</v>
      </c>
      <c r="N640" s="23">
        <f>ROUND(L640/M640, 0)</f>
        <v/>
      </c>
      <c r="O640" s="23">
        <f>ROUND(N640*'Methodology &amp; Assumptions'!$B$8, 0)</f>
        <v/>
      </c>
      <c r="P640" s="44" t="inlineStr">
        <is>
          <t>Band n50 (1.5 GHz, 60 MHz)</t>
        </is>
      </c>
      <c r="Q640" s="38">
        <f>ROUNDUP(O640/'Methodology &amp; Assumptions'!$B$9, 0)</f>
        <v/>
      </c>
      <c r="R640" s="39" t="n">
        <v>1</v>
      </c>
      <c r="S640" s="25" t="n">
        <v>0.61</v>
      </c>
      <c r="T640" s="25" t="n">
        <v>0.22</v>
      </c>
      <c r="U640" s="42" t="inlineStr">
        <is>
          <t>Tier 1A (Direct Coloc, &lt;1 km)</t>
        </is>
      </c>
      <c r="V640" s="24" t="n">
        <v>91.5</v>
      </c>
      <c r="W640" s="24" t="n">
        <v>77.90000000000001</v>
      </c>
      <c r="X640" s="24" t="n">
        <v>58</v>
      </c>
      <c r="Y640" s="45">
        <f>ROUND((V640*'Methodology &amp; Assumptions'!$B$6)+(W640*'Methodology &amp; Assumptions'!$B$5)+(X640*'Methodology &amp; Assumptions'!$B$7), 2)</f>
        <v/>
      </c>
    </row>
    <row r="641" ht="19" customHeight="1">
      <c r="A641" s="35" t="n">
        <v>637</v>
      </c>
      <c r="B641" s="35" t="n">
        <v>637</v>
      </c>
      <c r="C641" s="36" t="inlineStr">
        <is>
          <t>0405808011</t>
        </is>
      </c>
      <c r="D641" s="36" t="inlineStr">
        <is>
          <t>Region IV-A (CALABARZON)</t>
        </is>
      </c>
      <c r="E641" s="36" t="inlineStr">
        <is>
          <t>Rizal</t>
        </is>
      </c>
      <c r="F641" s="36" t="inlineStr">
        <is>
          <t>Rodriguez</t>
        </is>
      </c>
      <c r="G641" s="36" t="inlineStr">
        <is>
          <t>San Rafael</t>
        </is>
      </c>
      <c r="H641" s="37" t="n">
        <v>14.7362</v>
      </c>
      <c r="I641" s="37" t="n">
        <v>121.152</v>
      </c>
      <c r="J641" s="8" t="inlineStr">
        <is>
          <t>U</t>
        </is>
      </c>
      <c r="K641" s="36" t="inlineStr">
        <is>
          <t>Class 1-3 / Urban</t>
        </is>
      </c>
      <c r="L641" s="18" t="n">
        <v>31922</v>
      </c>
      <c r="M641" s="20" t="n">
        <v>4.39</v>
      </c>
      <c r="N641" s="18">
        <f>ROUND(L641/M641, 0)</f>
        <v/>
      </c>
      <c r="O641" s="18">
        <f>ROUND(N641*'Methodology &amp; Assumptions'!$B$8, 0)</f>
        <v/>
      </c>
      <c r="P641" s="8" t="inlineStr">
        <is>
          <t>Band n50 (1.5 GHz, 60 MHz)</t>
        </is>
      </c>
      <c r="Q641" s="38">
        <f>ROUNDUP(O641/'Methodology &amp; Assumptions'!$B$9, 0)</f>
        <v/>
      </c>
      <c r="R641" s="39" t="n">
        <v>1</v>
      </c>
      <c r="S641" s="21" t="n">
        <v>0.46</v>
      </c>
      <c r="T641" s="21" t="n">
        <v>0.22</v>
      </c>
      <c r="U641" s="36" t="inlineStr">
        <is>
          <t>Tier 1A (Direct Coloc, &lt;1 km)</t>
        </is>
      </c>
      <c r="V641" s="20" t="n">
        <v>95.8</v>
      </c>
      <c r="W641" s="20" t="n">
        <v>99.3</v>
      </c>
      <c r="X641" s="20" t="n">
        <v>28</v>
      </c>
      <c r="Y641" s="40">
        <f>ROUND((V641*'Methodology &amp; Assumptions'!$B$6)+(W641*'Methodology &amp; Assumptions'!$B$5)+(X641*'Methodology &amp; Assumptions'!$B$7), 2)</f>
        <v/>
      </c>
    </row>
    <row r="642" ht="19" customHeight="1">
      <c r="A642" s="41" t="n">
        <v>638</v>
      </c>
      <c r="B642" s="41" t="n">
        <v>638</v>
      </c>
      <c r="C642" s="42" t="inlineStr">
        <is>
          <t>0731300017</t>
        </is>
      </c>
      <c r="D642" s="42" t="inlineStr">
        <is>
          <t>Region VII (Central Visayas)</t>
        </is>
      </c>
      <c r="E642" s="42" t="inlineStr">
        <is>
          <t>Cebu</t>
        </is>
      </c>
      <c r="F642" s="42" t="inlineStr">
        <is>
          <t>City of Mandaue</t>
        </is>
      </c>
      <c r="G642" s="42" t="inlineStr">
        <is>
          <t>Maguikay</t>
        </is>
      </c>
      <c r="H642" s="43" t="n">
        <v>10.344217</v>
      </c>
      <c r="I642" s="43" t="n">
        <v>123.937984</v>
      </c>
      <c r="J642" s="44" t="inlineStr">
        <is>
          <t>U</t>
        </is>
      </c>
      <c r="K642" s="42" t="inlineStr">
        <is>
          <t>Class 1-3 / Urban</t>
        </is>
      </c>
      <c r="L642" s="23" t="n">
        <v>14956</v>
      </c>
      <c r="M642" s="24" t="n">
        <v>4.42</v>
      </c>
      <c r="N642" s="23">
        <f>ROUND(L642/M642, 0)</f>
        <v/>
      </c>
      <c r="O642" s="23">
        <f>ROUND(N642*'Methodology &amp; Assumptions'!$B$8, 0)</f>
        <v/>
      </c>
      <c r="P642" s="44" t="inlineStr">
        <is>
          <t>Band n50 (1.5 GHz, 60 MHz)</t>
        </is>
      </c>
      <c r="Q642" s="38">
        <f>ROUNDUP(O642/'Methodology &amp; Assumptions'!$B$9, 0)</f>
        <v/>
      </c>
      <c r="R642" s="39" t="n">
        <v>1</v>
      </c>
      <c r="S642" s="25" t="n">
        <v>0.48</v>
      </c>
      <c r="T642" s="25" t="n">
        <v>0.51</v>
      </c>
      <c r="U642" s="42" t="inlineStr">
        <is>
          <t>Tier 1A (Direct Coloc, &lt;1 km)</t>
        </is>
      </c>
      <c r="V642" s="24" t="n">
        <v>95.09999999999999</v>
      </c>
      <c r="W642" s="24" t="n">
        <v>100</v>
      </c>
      <c r="X642" s="24" t="n">
        <v>28</v>
      </c>
      <c r="Y642" s="45">
        <f>ROUND((V642*'Methodology &amp; Assumptions'!$B$6)+(W642*'Methodology &amp; Assumptions'!$B$5)+(X642*'Methodology &amp; Assumptions'!$B$7), 2)</f>
        <v/>
      </c>
    </row>
    <row r="643" ht="19" customHeight="1">
      <c r="A643" s="35" t="n">
        <v>639</v>
      </c>
      <c r="B643" s="35" t="n">
        <v>639</v>
      </c>
      <c r="C643" s="36" t="inlineStr">
        <is>
          <t>1004308030</t>
        </is>
      </c>
      <c r="D643" s="36" t="inlineStr">
        <is>
          <t>Region X (Northern Mindanao)</t>
        </is>
      </c>
      <c r="E643" s="36" t="inlineStr">
        <is>
          <t>Misamis Oriental</t>
        </is>
      </c>
      <c r="F643" s="36" t="inlineStr">
        <is>
          <t>City of Gingoog</t>
        </is>
      </c>
      <c r="G643" s="36" t="inlineStr">
        <is>
          <t>Odiongan</t>
        </is>
      </c>
      <c r="H643" s="37" t="n">
        <v>8.848537</v>
      </c>
      <c r="I643" s="37" t="n">
        <v>125.166125</v>
      </c>
      <c r="J643" s="8" t="inlineStr">
        <is>
          <t>R</t>
        </is>
      </c>
      <c r="K643" s="36" t="inlineStr">
        <is>
          <t>Class 1-3 / Urban</t>
        </is>
      </c>
      <c r="L643" s="18" t="n">
        <v>3894</v>
      </c>
      <c r="M643" s="20" t="n">
        <v>4.54</v>
      </c>
      <c r="N643" s="18">
        <f>ROUND(L643/M643, 0)</f>
        <v/>
      </c>
      <c r="O643" s="18">
        <f>ROUND(N643*'Methodology &amp; Assumptions'!$B$8, 0)</f>
        <v/>
      </c>
      <c r="P643" s="8" t="inlineStr">
        <is>
          <t>Band n50 (1.5 GHz, 60 MHz)</t>
        </is>
      </c>
      <c r="Q643" s="38">
        <f>ROUNDUP(O643/'Methodology &amp; Assumptions'!$B$9, 0)</f>
        <v/>
      </c>
      <c r="R643" s="39" t="n">
        <v>1</v>
      </c>
      <c r="S643" s="21" t="n">
        <v>1.21</v>
      </c>
      <c r="T643" s="21" t="n">
        <v>0.3</v>
      </c>
      <c r="U643" s="36" t="inlineStr">
        <is>
          <t>Tier 1B (Micro Drop, 1-3 km)</t>
        </is>
      </c>
      <c r="V643" s="20" t="n">
        <v>76.8</v>
      </c>
      <c r="W643" s="20" t="n">
        <v>92.5</v>
      </c>
      <c r="X643" s="20" t="n">
        <v>58</v>
      </c>
      <c r="Y643" s="40">
        <f>ROUND((V643*'Methodology &amp; Assumptions'!$B$6)+(W643*'Methodology &amp; Assumptions'!$B$5)+(X643*'Methodology &amp; Assumptions'!$B$7), 2)</f>
        <v/>
      </c>
    </row>
    <row r="644" ht="19" customHeight="1">
      <c r="A644" s="41" t="n">
        <v>640</v>
      </c>
      <c r="B644" s="41" t="n">
        <v>640</v>
      </c>
      <c r="C644" s="42" t="inlineStr">
        <is>
          <t>0405809002</t>
        </is>
      </c>
      <c r="D644" s="42" t="inlineStr">
        <is>
          <t>Region IV-A (CALABARZON)</t>
        </is>
      </c>
      <c r="E644" s="42" t="inlineStr">
        <is>
          <t>Rizal</t>
        </is>
      </c>
      <c r="F644" s="42" t="inlineStr">
        <is>
          <t>Morong</t>
        </is>
      </c>
      <c r="G644" s="42" t="inlineStr">
        <is>
          <t>Can-Cal-Lan</t>
        </is>
      </c>
      <c r="H644" s="43" t="n">
        <v>14.532618</v>
      </c>
      <c r="I644" s="43" t="n">
        <v>121.248329</v>
      </c>
      <c r="J644" s="44" t="inlineStr">
        <is>
          <t>R</t>
        </is>
      </c>
      <c r="K644" s="42" t="inlineStr">
        <is>
          <t>Class 1-3 / Urban</t>
        </is>
      </c>
      <c r="L644" s="23" t="n">
        <v>4917</v>
      </c>
      <c r="M644" s="24" t="n">
        <v>4.39</v>
      </c>
      <c r="N644" s="23">
        <f>ROUND(L644/M644, 0)</f>
        <v/>
      </c>
      <c r="O644" s="23">
        <f>ROUND(N644*'Methodology &amp; Assumptions'!$B$8, 0)</f>
        <v/>
      </c>
      <c r="P644" s="44" t="inlineStr">
        <is>
          <t>Band n50 (1.5 GHz, 60 MHz)</t>
        </is>
      </c>
      <c r="Q644" s="38">
        <f>ROUNDUP(O644/'Methodology &amp; Assumptions'!$B$9, 0)</f>
        <v/>
      </c>
      <c r="R644" s="39" t="n">
        <v>1</v>
      </c>
      <c r="S644" s="25" t="n">
        <v>1.57</v>
      </c>
      <c r="T644" s="25" t="n">
        <v>0.6899999999999999</v>
      </c>
      <c r="U644" s="42" t="inlineStr">
        <is>
          <t>Tier 1B (Micro Drop, 1-3 km)</t>
        </is>
      </c>
      <c r="V644" s="24" t="n">
        <v>69.3</v>
      </c>
      <c r="W644" s="24" t="n">
        <v>100</v>
      </c>
      <c r="X644" s="24" t="n">
        <v>58</v>
      </c>
      <c r="Y644" s="45">
        <f>ROUND((V644*'Methodology &amp; Assumptions'!$B$6)+(W644*'Methodology &amp; Assumptions'!$B$5)+(X644*'Methodology &amp; Assumptions'!$B$7), 2)</f>
        <v/>
      </c>
    </row>
    <row r="645" ht="19" customHeight="1">
      <c r="A645" s="35" t="n">
        <v>641</v>
      </c>
      <c r="B645" s="35" t="n">
        <v>641</v>
      </c>
      <c r="C645" s="36" t="inlineStr">
        <is>
          <t>0702208009</t>
        </is>
      </c>
      <c r="D645" s="36" t="inlineStr">
        <is>
          <t>Region VII (Central Visayas)</t>
        </is>
      </c>
      <c r="E645" s="36" t="inlineStr">
        <is>
          <t>Cebu</t>
        </is>
      </c>
      <c r="F645" s="36" t="inlineStr">
        <is>
          <t>Balamban</t>
        </is>
      </c>
      <c r="G645" s="36" t="inlineStr">
        <is>
          <t>Cambuhawe</t>
        </is>
      </c>
      <c r="H645" s="37" t="n">
        <v>10.500166</v>
      </c>
      <c r="I645" s="37" t="n">
        <v>123.720384</v>
      </c>
      <c r="J645" s="8" t="inlineStr">
        <is>
          <t>R</t>
        </is>
      </c>
      <c r="K645" s="36" t="inlineStr">
        <is>
          <t>Class 1-3 / Urban</t>
        </is>
      </c>
      <c r="L645" s="18" t="n">
        <v>3760</v>
      </c>
      <c r="M645" s="20" t="n">
        <v>4.42</v>
      </c>
      <c r="N645" s="18">
        <f>ROUND(L645/M645, 0)</f>
        <v/>
      </c>
      <c r="O645" s="18">
        <f>ROUND(N645*'Methodology &amp; Assumptions'!$B$8, 0)</f>
        <v/>
      </c>
      <c r="P645" s="8" t="inlineStr">
        <is>
          <t>Band n50 (1.5 GHz, 60 MHz)</t>
        </is>
      </c>
      <c r="Q645" s="38">
        <f>ROUNDUP(O645/'Methodology &amp; Assumptions'!$B$9, 0)</f>
        <v/>
      </c>
      <c r="R645" s="39" t="n">
        <v>1</v>
      </c>
      <c r="S645" s="21" t="n">
        <v>1.19</v>
      </c>
      <c r="T645" s="21" t="n">
        <v>0.53</v>
      </c>
      <c r="U645" s="36" t="inlineStr">
        <is>
          <t>Tier 1B (Micro Drop, 1-3 km)</t>
        </is>
      </c>
      <c r="V645" s="20" t="n">
        <v>77.3</v>
      </c>
      <c r="W645" s="20" t="n">
        <v>92</v>
      </c>
      <c r="X645" s="20" t="n">
        <v>58</v>
      </c>
      <c r="Y645" s="40">
        <f>ROUND((V645*'Methodology &amp; Assumptions'!$B$6)+(W645*'Methodology &amp; Assumptions'!$B$5)+(X645*'Methodology &amp; Assumptions'!$B$7), 2)</f>
        <v/>
      </c>
    </row>
    <row r="646" ht="19" customHeight="1">
      <c r="A646" s="41" t="n">
        <v>642</v>
      </c>
      <c r="B646" s="41" t="n">
        <v>642</v>
      </c>
      <c r="C646" s="42" t="inlineStr">
        <is>
          <t>0102812062</t>
        </is>
      </c>
      <c r="D646" s="42" t="inlineStr">
        <is>
          <t>Region I (Ilocos Region)</t>
        </is>
      </c>
      <c r="E646" s="42" t="inlineStr">
        <is>
          <t>Ilocos Norte</t>
        </is>
      </c>
      <c r="F646" s="42" t="inlineStr">
        <is>
          <t>City of Laoag</t>
        </is>
      </c>
      <c r="G646" s="42" t="inlineStr">
        <is>
          <t>Bgy. No. 1, San Lorenzo</t>
        </is>
      </c>
      <c r="H646" s="43" t="n">
        <v>18.202003</v>
      </c>
      <c r="I646" s="43" t="n">
        <v>120.586187</v>
      </c>
      <c r="J646" s="44" t="inlineStr">
        <is>
          <t>U</t>
        </is>
      </c>
      <c r="K646" s="42" t="inlineStr">
        <is>
          <t>Class 1-3 / Urban</t>
        </is>
      </c>
      <c r="L646" s="23" t="n">
        <v>5458</v>
      </c>
      <c r="M646" s="24" t="n">
        <v>4.35</v>
      </c>
      <c r="N646" s="23">
        <f>ROUND(L646/M646, 0)</f>
        <v/>
      </c>
      <c r="O646" s="23">
        <f>ROUND(N646*'Methodology &amp; Assumptions'!$B$8, 0)</f>
        <v/>
      </c>
      <c r="P646" s="44" t="inlineStr">
        <is>
          <t>Band n50 (1.5 GHz, 60 MHz)</t>
        </is>
      </c>
      <c r="Q646" s="38">
        <f>ROUNDUP(O646/'Methodology &amp; Assumptions'!$B$9, 0)</f>
        <v/>
      </c>
      <c r="R646" s="39" t="n">
        <v>1</v>
      </c>
      <c r="S646" s="25" t="n">
        <v>0.49</v>
      </c>
      <c r="T646" s="25" t="n">
        <v>0.22</v>
      </c>
      <c r="U646" s="42" t="inlineStr">
        <is>
          <t>Tier 1A (Direct Coloc, &lt;1 km)</t>
        </is>
      </c>
      <c r="V646" s="24" t="n">
        <v>95</v>
      </c>
      <c r="W646" s="24" t="n">
        <v>100</v>
      </c>
      <c r="X646" s="24" t="n">
        <v>28</v>
      </c>
      <c r="Y646" s="45">
        <f>ROUND((V646*'Methodology &amp; Assumptions'!$B$6)+(W646*'Methodology &amp; Assumptions'!$B$5)+(X646*'Methodology &amp; Assumptions'!$B$7), 2)</f>
        <v/>
      </c>
    </row>
    <row r="647" ht="19" customHeight="1">
      <c r="A647" s="35" t="n">
        <v>643</v>
      </c>
      <c r="B647" s="35" t="n">
        <v>643</v>
      </c>
      <c r="C647" s="36" t="inlineStr">
        <is>
          <t>0403417053</t>
        </is>
      </c>
      <c r="D647" s="36" t="inlineStr">
        <is>
          <t>Region IV-A (CALABARZON)</t>
        </is>
      </c>
      <c r="E647" s="36" t="inlineStr">
        <is>
          <t>Laguna</t>
        </is>
      </c>
      <c r="F647" s="36" t="inlineStr">
        <is>
          <t>Nagcarlan</t>
        </is>
      </c>
      <c r="G647" s="36" t="inlineStr">
        <is>
          <t>Yukos</t>
        </is>
      </c>
      <c r="H647" s="37" t="n">
        <v>14.134008</v>
      </c>
      <c r="I647" s="37" t="n">
        <v>121.412324</v>
      </c>
      <c r="J647" s="8" t="inlineStr">
        <is>
          <t>U</t>
        </is>
      </c>
      <c r="K647" s="36" t="inlineStr">
        <is>
          <t>Class 1-3 / Urban</t>
        </is>
      </c>
      <c r="L647" s="18" t="n">
        <v>5431</v>
      </c>
      <c r="M647" s="20" t="n">
        <v>4.2</v>
      </c>
      <c r="N647" s="18">
        <f>ROUND(L647/M647, 0)</f>
        <v/>
      </c>
      <c r="O647" s="18">
        <f>ROUND(N647*'Methodology &amp; Assumptions'!$B$8, 0)</f>
        <v/>
      </c>
      <c r="P647" s="8" t="inlineStr">
        <is>
          <t>Band n50 (1.5 GHz, 60 MHz)</t>
        </is>
      </c>
      <c r="Q647" s="38">
        <f>ROUNDUP(O647/'Methodology &amp; Assumptions'!$B$9, 0)</f>
        <v/>
      </c>
      <c r="R647" s="39" t="n">
        <v>1</v>
      </c>
      <c r="S647" s="21" t="n">
        <v>0.49</v>
      </c>
      <c r="T647" s="21" t="n">
        <v>0.37</v>
      </c>
      <c r="U647" s="36" t="inlineStr">
        <is>
          <t>Tier 1A (Direct Coloc, &lt;1 km)</t>
        </is>
      </c>
      <c r="V647" s="20" t="n">
        <v>95</v>
      </c>
      <c r="W647" s="20" t="n">
        <v>100</v>
      </c>
      <c r="X647" s="20" t="n">
        <v>28</v>
      </c>
      <c r="Y647" s="40">
        <f>ROUND((V647*'Methodology &amp; Assumptions'!$B$6)+(W647*'Methodology &amp; Assumptions'!$B$5)+(X647*'Methodology &amp; Assumptions'!$B$7), 2)</f>
        <v/>
      </c>
    </row>
    <row r="648" ht="19" customHeight="1">
      <c r="A648" s="41" t="n">
        <v>644</v>
      </c>
      <c r="B648" s="41" t="n">
        <v>644</v>
      </c>
      <c r="C648" s="42" t="inlineStr">
        <is>
          <t>0403403002</t>
        </is>
      </c>
      <c r="D648" s="42" t="inlineStr">
        <is>
          <t>Region IV-A (CALABARZON)</t>
        </is>
      </c>
      <c r="E648" s="42" t="inlineStr">
        <is>
          <t>Laguna</t>
        </is>
      </c>
      <c r="F648" s="42" t="inlineStr">
        <is>
          <t>City of Biñan</t>
        </is>
      </c>
      <c r="G648" s="42" t="inlineStr">
        <is>
          <t>Bungahan</t>
        </is>
      </c>
      <c r="H648" s="43" t="n">
        <v>14.304637</v>
      </c>
      <c r="I648" s="43" t="n">
        <v>121.074253</v>
      </c>
      <c r="J648" s="44" t="inlineStr">
        <is>
          <t>R</t>
        </is>
      </c>
      <c r="K648" s="42" t="inlineStr">
        <is>
          <t>Class 1-3 / Urban</t>
        </is>
      </c>
      <c r="L648" s="23" t="n">
        <v>3812</v>
      </c>
      <c r="M648" s="24" t="n">
        <v>4.2</v>
      </c>
      <c r="N648" s="23">
        <f>ROUND(L648/M648, 0)</f>
        <v/>
      </c>
      <c r="O648" s="23">
        <f>ROUND(N648*'Methodology &amp; Assumptions'!$B$8, 0)</f>
        <v/>
      </c>
      <c r="P648" s="44" t="inlineStr">
        <is>
          <t>Band n50 (1.5 GHz, 60 MHz)</t>
        </is>
      </c>
      <c r="Q648" s="38">
        <f>ROUNDUP(O648/'Methodology &amp; Assumptions'!$B$9, 0)</f>
        <v/>
      </c>
      <c r="R648" s="39" t="n">
        <v>1</v>
      </c>
      <c r="S648" s="25" t="n">
        <v>1.4</v>
      </c>
      <c r="T648" s="25" t="n">
        <v>1.21</v>
      </c>
      <c r="U648" s="42" t="inlineStr">
        <is>
          <t>Tier 1B (Micro Drop, 1-3 km)</t>
        </is>
      </c>
      <c r="V648" s="24" t="n">
        <v>72.7</v>
      </c>
      <c r="W648" s="24" t="n">
        <v>96.5</v>
      </c>
      <c r="X648" s="24" t="n">
        <v>58</v>
      </c>
      <c r="Y648" s="45">
        <f>ROUND((V648*'Methodology &amp; Assumptions'!$B$6)+(W648*'Methodology &amp; Assumptions'!$B$5)+(X648*'Methodology &amp; Assumptions'!$B$7), 2)</f>
        <v/>
      </c>
    </row>
    <row r="649" ht="19" customHeight="1">
      <c r="A649" s="35" t="n">
        <v>645</v>
      </c>
      <c r="B649" s="35" t="n">
        <v>645</v>
      </c>
      <c r="C649" s="36" t="inlineStr">
        <is>
          <t>0305411010</t>
        </is>
      </c>
      <c r="D649" s="36" t="inlineStr">
        <is>
          <t>Region III (Central Luzon)</t>
        </is>
      </c>
      <c r="E649" s="36" t="inlineStr">
        <is>
          <t>Pampanga</t>
        </is>
      </c>
      <c r="F649" s="36" t="inlineStr">
        <is>
          <t>Magalang</t>
        </is>
      </c>
      <c r="G649" s="36" t="inlineStr">
        <is>
          <t>San Isidro</t>
        </is>
      </c>
      <c r="H649" s="37" t="n">
        <v>15.226206</v>
      </c>
      <c r="I649" s="37" t="n">
        <v>120.632115</v>
      </c>
      <c r="J649" s="8" t="inlineStr">
        <is>
          <t>U</t>
        </is>
      </c>
      <c r="K649" s="36" t="inlineStr">
        <is>
          <t>Class 1-3 / Urban</t>
        </is>
      </c>
      <c r="L649" s="18" t="n">
        <v>26787</v>
      </c>
      <c r="M649" s="20" t="n">
        <v>4.63</v>
      </c>
      <c r="N649" s="18">
        <f>ROUND(L649/M649, 0)</f>
        <v/>
      </c>
      <c r="O649" s="18">
        <f>ROUND(N649*'Methodology &amp; Assumptions'!$B$8, 0)</f>
        <v/>
      </c>
      <c r="P649" s="8" t="inlineStr">
        <is>
          <t>Band n50 (1.5 GHz, 60 MHz)</t>
        </is>
      </c>
      <c r="Q649" s="38">
        <f>ROUNDUP(O649/'Methodology &amp; Assumptions'!$B$9, 0)</f>
        <v/>
      </c>
      <c r="R649" s="39" t="n">
        <v>1</v>
      </c>
      <c r="S649" s="21" t="n">
        <v>0.49</v>
      </c>
      <c r="T649" s="21" t="n">
        <v>1.58</v>
      </c>
      <c r="U649" s="36" t="inlineStr">
        <is>
          <t>Tier 1A (Direct Coloc, &lt;1 km)</t>
        </is>
      </c>
      <c r="V649" s="20" t="n">
        <v>95</v>
      </c>
      <c r="W649" s="20" t="n">
        <v>100</v>
      </c>
      <c r="X649" s="20" t="n">
        <v>28</v>
      </c>
      <c r="Y649" s="40">
        <f>ROUND((V649*'Methodology &amp; Assumptions'!$B$6)+(W649*'Methodology &amp; Assumptions'!$B$5)+(X649*'Methodology &amp; Assumptions'!$B$7), 2)</f>
        <v/>
      </c>
    </row>
    <row r="650" ht="19" customHeight="1">
      <c r="A650" s="41" t="n">
        <v>646</v>
      </c>
      <c r="B650" s="41" t="n">
        <v>646</v>
      </c>
      <c r="C650" s="42" t="inlineStr">
        <is>
          <t>0300806015</t>
        </is>
      </c>
      <c r="D650" s="42" t="inlineStr">
        <is>
          <t>Region III (Central Luzon)</t>
        </is>
      </c>
      <c r="E650" s="42" t="inlineStr">
        <is>
          <t>Bataan</t>
        </is>
      </c>
      <c r="F650" s="42" t="inlineStr">
        <is>
          <t>Limay</t>
        </is>
      </c>
      <c r="G650" s="42" t="inlineStr">
        <is>
          <t>St. Francis II</t>
        </is>
      </c>
      <c r="H650" s="43" t="n">
        <v>14.571899</v>
      </c>
      <c r="I650" s="43" t="n">
        <v>120.593407</v>
      </c>
      <c r="J650" s="44" t="inlineStr">
        <is>
          <t>U</t>
        </is>
      </c>
      <c r="K650" s="42" t="inlineStr">
        <is>
          <t>Class 1-3 / Urban</t>
        </is>
      </c>
      <c r="L650" s="23" t="n">
        <v>12852</v>
      </c>
      <c r="M650" s="24" t="n">
        <v>4.57</v>
      </c>
      <c r="N650" s="23">
        <f>ROUND(L650/M650, 0)</f>
        <v/>
      </c>
      <c r="O650" s="23">
        <f>ROUND(N650*'Methodology &amp; Assumptions'!$B$8, 0)</f>
        <v/>
      </c>
      <c r="P650" s="44" t="inlineStr">
        <is>
          <t>Band n50 (1.5 GHz, 60 MHz)</t>
        </is>
      </c>
      <c r="Q650" s="38">
        <f>ROUNDUP(O650/'Methodology &amp; Assumptions'!$B$9, 0)</f>
        <v/>
      </c>
      <c r="R650" s="39" t="n">
        <v>1</v>
      </c>
      <c r="S650" s="25" t="n">
        <v>0.49</v>
      </c>
      <c r="T650" s="25" t="n">
        <v>0.02</v>
      </c>
      <c r="U650" s="42" t="inlineStr">
        <is>
          <t>Tier 1A (Direct Coloc, &lt;1 km)</t>
        </is>
      </c>
      <c r="V650" s="24" t="n">
        <v>95</v>
      </c>
      <c r="W650" s="24" t="n">
        <v>100</v>
      </c>
      <c r="X650" s="24" t="n">
        <v>28</v>
      </c>
      <c r="Y650" s="45">
        <f>ROUND((V650*'Methodology &amp; Assumptions'!$B$6)+(W650*'Methodology &amp; Assumptions'!$B$5)+(X650*'Methodology &amp; Assumptions'!$B$7), 2)</f>
        <v/>
      </c>
    </row>
    <row r="651" ht="19" customHeight="1">
      <c r="A651" s="35" t="n">
        <v>647</v>
      </c>
      <c r="B651" s="35" t="n">
        <v>647</v>
      </c>
      <c r="C651" s="36" t="inlineStr">
        <is>
          <t>0304911009</t>
        </is>
      </c>
      <c r="D651" s="36" t="inlineStr">
        <is>
          <t>Region III (Central Luzon)</t>
        </is>
      </c>
      <c r="E651" s="36" t="inlineStr">
        <is>
          <t>Nueva Ecija</t>
        </is>
      </c>
      <c r="F651" s="36" t="inlineStr">
        <is>
          <t>Guimba</t>
        </is>
      </c>
      <c r="G651" s="36" t="inlineStr">
        <is>
          <t>Bantug</t>
        </is>
      </c>
      <c r="H651" s="37" t="n">
        <v>15.644969</v>
      </c>
      <c r="I651" s="37" t="n">
        <v>120.761072</v>
      </c>
      <c r="J651" s="8" t="inlineStr">
        <is>
          <t>R</t>
        </is>
      </c>
      <c r="K651" s="36" t="inlineStr">
        <is>
          <t>Class 1-3 / Urban</t>
        </is>
      </c>
      <c r="L651" s="18" t="n">
        <v>4396</v>
      </c>
      <c r="M651" s="20" t="n">
        <v>4.32</v>
      </c>
      <c r="N651" s="18">
        <f>ROUND(L651/M651, 0)</f>
        <v/>
      </c>
      <c r="O651" s="18">
        <f>ROUND(N651*'Methodology &amp; Assumptions'!$B$8, 0)</f>
        <v/>
      </c>
      <c r="P651" s="8" t="inlineStr">
        <is>
          <t>Band n50 (1.5 GHz, 60 MHz)</t>
        </is>
      </c>
      <c r="Q651" s="38">
        <f>ROUNDUP(O651/'Methodology &amp; Assumptions'!$B$9, 0)</f>
        <v/>
      </c>
      <c r="R651" s="39" t="n">
        <v>1</v>
      </c>
      <c r="S651" s="21" t="n">
        <v>1.57</v>
      </c>
      <c r="T651" s="21" t="n">
        <v>0.96</v>
      </c>
      <c r="U651" s="36" t="inlineStr">
        <is>
          <t>Tier 1B (Micro Drop, 1-3 km)</t>
        </is>
      </c>
      <c r="V651" s="20" t="n">
        <v>69.2</v>
      </c>
      <c r="W651" s="20" t="n">
        <v>100</v>
      </c>
      <c r="X651" s="20" t="n">
        <v>58</v>
      </c>
      <c r="Y651" s="40">
        <f>ROUND((V651*'Methodology &amp; Assumptions'!$B$6)+(W651*'Methodology &amp; Assumptions'!$B$5)+(X651*'Methodology &amp; Assumptions'!$B$7), 2)</f>
        <v/>
      </c>
    </row>
    <row r="652" ht="19" customHeight="1">
      <c r="A652" s="41" t="n">
        <v>648</v>
      </c>
      <c r="B652" s="41" t="n">
        <v>648</v>
      </c>
      <c r="C652" s="42" t="inlineStr">
        <is>
          <t>1102509005</t>
        </is>
      </c>
      <c r="D652" s="42" t="inlineStr">
        <is>
          <t>Region XI (Davao Region)</t>
        </is>
      </c>
      <c r="E652" s="42" t="inlineStr">
        <is>
          <t>Davao Oriental</t>
        </is>
      </c>
      <c r="F652" s="42" t="inlineStr">
        <is>
          <t>City of Mati</t>
        </is>
      </c>
      <c r="G652" s="42" t="inlineStr">
        <is>
          <t>Central</t>
        </is>
      </c>
      <c r="H652" s="43" t="n">
        <v>6.95875</v>
      </c>
      <c r="I652" s="43" t="n">
        <v>126.20584</v>
      </c>
      <c r="J652" s="44" t="inlineStr">
        <is>
          <t>U</t>
        </is>
      </c>
      <c r="K652" s="42" t="inlineStr">
        <is>
          <t>Class 1-3 / Urban</t>
        </is>
      </c>
      <c r="L652" s="23" t="n">
        <v>34947</v>
      </c>
      <c r="M652" s="24" t="n">
        <v>4.1</v>
      </c>
      <c r="N652" s="23">
        <f>ROUND(L652/M652, 0)</f>
        <v/>
      </c>
      <c r="O652" s="23">
        <f>ROUND(N652*'Methodology &amp; Assumptions'!$B$8, 0)</f>
        <v/>
      </c>
      <c r="P652" s="44" t="inlineStr">
        <is>
          <t>Band n50 (1.5 GHz, 60 MHz)</t>
        </is>
      </c>
      <c r="Q652" s="38">
        <f>ROUNDUP(O652/'Methodology &amp; Assumptions'!$B$9, 0)</f>
        <v/>
      </c>
      <c r="R652" s="39" t="n">
        <v>1</v>
      </c>
      <c r="S652" s="25" t="n">
        <v>0.43</v>
      </c>
      <c r="T652" s="25" t="n">
        <v>0.32</v>
      </c>
      <c r="U652" s="42" t="inlineStr">
        <is>
          <t>Tier 1A (Direct Coloc, &lt;1 km)</t>
        </is>
      </c>
      <c r="V652" s="24" t="n">
        <v>96.59999999999999</v>
      </c>
      <c r="W652" s="24" t="n">
        <v>98.40000000000001</v>
      </c>
      <c r="X652" s="24" t="n">
        <v>28</v>
      </c>
      <c r="Y652" s="45">
        <f>ROUND((V652*'Methodology &amp; Assumptions'!$B$6)+(W652*'Methodology &amp; Assumptions'!$B$5)+(X652*'Methodology &amp; Assumptions'!$B$7), 2)</f>
        <v/>
      </c>
    </row>
    <row r="653" ht="19" customHeight="1">
      <c r="A653" s="35" t="n">
        <v>649</v>
      </c>
      <c r="B653" s="35" t="n">
        <v>649</v>
      </c>
      <c r="C653" s="36" t="inlineStr">
        <is>
          <t>1705318030</t>
        </is>
      </c>
      <c r="D653" s="36" t="inlineStr">
        <is>
          <t>MIMAROPA Region</t>
        </is>
      </c>
      <c r="E653" s="36" t="inlineStr">
        <is>
          <t>Palawan</t>
        </is>
      </c>
      <c r="F653" s="36" t="inlineStr">
        <is>
          <t>Roxas</t>
        </is>
      </c>
      <c r="G653" s="36" t="inlineStr">
        <is>
          <t>Barangay III</t>
        </is>
      </c>
      <c r="H653" s="37" t="n">
        <v>10.321897</v>
      </c>
      <c r="I653" s="37" t="n">
        <v>119.345902</v>
      </c>
      <c r="J653" s="8" t="inlineStr">
        <is>
          <t>U</t>
        </is>
      </c>
      <c r="K653" s="36" t="inlineStr">
        <is>
          <t>Class 1-3 / Urban</t>
        </is>
      </c>
      <c r="L653" s="18" t="n">
        <v>5371</v>
      </c>
      <c r="M653" s="20" t="n">
        <v>4.35</v>
      </c>
      <c r="N653" s="18">
        <f>ROUND(L653/M653, 0)</f>
        <v/>
      </c>
      <c r="O653" s="18">
        <f>ROUND(N653*'Methodology &amp; Assumptions'!$B$8, 0)</f>
        <v/>
      </c>
      <c r="P653" s="8" t="inlineStr">
        <is>
          <t>Band n50 (1.5 GHz, 60 MHz)</t>
        </is>
      </c>
      <c r="Q653" s="38">
        <f>ROUNDUP(O653/'Methodology &amp; Assumptions'!$B$9, 0)</f>
        <v/>
      </c>
      <c r="R653" s="39" t="n">
        <v>1</v>
      </c>
      <c r="S653" s="21" t="n">
        <v>0.49</v>
      </c>
      <c r="T653" s="21" t="n">
        <v>0.22</v>
      </c>
      <c r="U653" s="36" t="inlineStr">
        <is>
          <t>Tier 1A (Direct Coloc, &lt;1 km)</t>
        </is>
      </c>
      <c r="V653" s="20" t="n">
        <v>94.90000000000001</v>
      </c>
      <c r="W653" s="20" t="n">
        <v>100</v>
      </c>
      <c r="X653" s="20" t="n">
        <v>28</v>
      </c>
      <c r="Y653" s="40">
        <f>ROUND((V653*'Methodology &amp; Assumptions'!$B$6)+(W653*'Methodology &amp; Assumptions'!$B$5)+(X653*'Methodology &amp; Assumptions'!$B$7), 2)</f>
        <v/>
      </c>
    </row>
    <row r="654" ht="19" customHeight="1">
      <c r="A654" s="41" t="n">
        <v>650</v>
      </c>
      <c r="B654" s="41" t="n">
        <v>650</v>
      </c>
      <c r="C654" s="42" t="inlineStr">
        <is>
          <t>0305413035</t>
        </is>
      </c>
      <c r="D654" s="42" t="inlineStr">
        <is>
          <t>Region III (Central Luzon)</t>
        </is>
      </c>
      <c r="E654" s="42" t="inlineStr">
        <is>
          <t>Pampanga</t>
        </is>
      </c>
      <c r="F654" s="42" t="inlineStr">
        <is>
          <t>Mexico</t>
        </is>
      </c>
      <c r="G654" s="42" t="inlineStr">
        <is>
          <t>San Pablo</t>
        </is>
      </c>
      <c r="H654" s="43" t="n">
        <v>15.069403</v>
      </c>
      <c r="I654" s="43" t="n">
        <v>120.737428</v>
      </c>
      <c r="J654" s="44" t="inlineStr">
        <is>
          <t>R</t>
        </is>
      </c>
      <c r="K654" s="42" t="inlineStr">
        <is>
          <t>Class 1-3 / Urban</t>
        </is>
      </c>
      <c r="L654" s="23" t="n">
        <v>2894</v>
      </c>
      <c r="M654" s="24" t="n">
        <v>4.63</v>
      </c>
      <c r="N654" s="23">
        <f>ROUND(L654/M654, 0)</f>
        <v/>
      </c>
      <c r="O654" s="23">
        <f>ROUND(N654*'Methodology &amp; Assumptions'!$B$8, 0)</f>
        <v/>
      </c>
      <c r="P654" s="44" t="inlineStr">
        <is>
          <t>Band n50 (1.5 GHz, 60 MHz)</t>
        </is>
      </c>
      <c r="Q654" s="38">
        <f>ROUNDUP(O654/'Methodology &amp; Assumptions'!$B$9, 0)</f>
        <v/>
      </c>
      <c r="R654" s="39" t="n">
        <v>1</v>
      </c>
      <c r="S654" s="25" t="n">
        <v>0.49</v>
      </c>
      <c r="T654" s="25" t="n">
        <v>0.05</v>
      </c>
      <c r="U654" s="42" t="inlineStr">
        <is>
          <t>Tier 1A (Direct Coloc, &lt;1 km)</t>
        </is>
      </c>
      <c r="V654" s="24" t="n">
        <v>95</v>
      </c>
      <c r="W654" s="24" t="n">
        <v>74.09999999999999</v>
      </c>
      <c r="X654" s="24" t="n">
        <v>58</v>
      </c>
      <c r="Y654" s="45">
        <f>ROUND((V654*'Methodology &amp; Assumptions'!$B$6)+(W654*'Methodology &amp; Assumptions'!$B$5)+(X654*'Methodology &amp; Assumptions'!$B$7), 2)</f>
        <v/>
      </c>
    </row>
    <row r="655" ht="19" customHeight="1">
      <c r="A655" s="35" t="n">
        <v>651</v>
      </c>
      <c r="B655" s="35" t="n">
        <v>651</v>
      </c>
      <c r="C655" s="36" t="inlineStr">
        <is>
          <t>0704611028</t>
        </is>
      </c>
      <c r="D655" s="36" t="inlineStr">
        <is>
          <t>Region VII (Central Visayas)</t>
        </is>
      </c>
      <c r="E655" s="36" t="inlineStr">
        <is>
          <t>Negros Oriental</t>
        </is>
      </c>
      <c r="F655" s="36" t="inlineStr">
        <is>
          <t>City of Guihulngan</t>
        </is>
      </c>
      <c r="G655" s="36" t="inlineStr">
        <is>
          <t>Poblacion</t>
        </is>
      </c>
      <c r="H655" s="37" t="n">
        <v>10.118956</v>
      </c>
      <c r="I655" s="37" t="n">
        <v>123.272861</v>
      </c>
      <c r="J655" s="8" t="inlineStr">
        <is>
          <t>U</t>
        </is>
      </c>
      <c r="K655" s="36" t="inlineStr">
        <is>
          <t>Class 1-3 / Urban</t>
        </is>
      </c>
      <c r="L655" s="18" t="n">
        <v>16161</v>
      </c>
      <c r="M655" s="20" t="n">
        <v>4.33</v>
      </c>
      <c r="N655" s="18">
        <f>ROUND(L655/M655, 0)</f>
        <v/>
      </c>
      <c r="O655" s="18">
        <f>ROUND(N655*'Methodology &amp; Assumptions'!$B$8, 0)</f>
        <v/>
      </c>
      <c r="P655" s="8" t="inlineStr">
        <is>
          <t>Band n50 (1.5 GHz, 60 MHz)</t>
        </is>
      </c>
      <c r="Q655" s="38">
        <f>ROUNDUP(O655/'Methodology &amp; Assumptions'!$B$9, 0)</f>
        <v/>
      </c>
      <c r="R655" s="39" t="n">
        <v>1</v>
      </c>
      <c r="S655" s="21" t="n">
        <v>0.49</v>
      </c>
      <c r="T655" s="21" t="n">
        <v>0.12</v>
      </c>
      <c r="U655" s="36" t="inlineStr">
        <is>
          <t>Tier 1A (Direct Coloc, &lt;1 km)</t>
        </is>
      </c>
      <c r="V655" s="20" t="n">
        <v>94.8</v>
      </c>
      <c r="W655" s="20" t="n">
        <v>100</v>
      </c>
      <c r="X655" s="20" t="n">
        <v>28</v>
      </c>
      <c r="Y655" s="40">
        <f>ROUND((V655*'Methodology &amp; Assumptions'!$B$6)+(W655*'Methodology &amp; Assumptions'!$B$5)+(X655*'Methodology &amp; Assumptions'!$B$7), 2)</f>
        <v/>
      </c>
    </row>
    <row r="656" ht="19" customHeight="1">
      <c r="A656" s="41" t="n">
        <v>652</v>
      </c>
      <c r="B656" s="41" t="n">
        <v>652</v>
      </c>
      <c r="C656" s="42" t="inlineStr">
        <is>
          <t>0405808003</t>
        </is>
      </c>
      <c r="D656" s="42" t="inlineStr">
        <is>
          <t>Region IV-A (CALABARZON)</t>
        </is>
      </c>
      <c r="E656" s="42" t="inlineStr">
        <is>
          <t>Rizal</t>
        </is>
      </c>
      <c r="F656" s="42" t="inlineStr">
        <is>
          <t>Rodriguez</t>
        </is>
      </c>
      <c r="G656" s="42" t="inlineStr">
        <is>
          <t>Geronimo</t>
        </is>
      </c>
      <c r="H656" s="43" t="n">
        <v>14.7318</v>
      </c>
      <c r="I656" s="43" t="n">
        <v>121.1476</v>
      </c>
      <c r="J656" s="44" t="inlineStr">
        <is>
          <t>U</t>
        </is>
      </c>
      <c r="K656" s="42" t="inlineStr">
        <is>
          <t>Class 1-3 / Urban</t>
        </is>
      </c>
      <c r="L656" s="23" t="n">
        <v>6764</v>
      </c>
      <c r="M656" s="24" t="n">
        <v>4.39</v>
      </c>
      <c r="N656" s="23">
        <f>ROUND(L656/M656, 0)</f>
        <v/>
      </c>
      <c r="O656" s="23">
        <f>ROUND(N656*'Methodology &amp; Assumptions'!$B$8, 0)</f>
        <v/>
      </c>
      <c r="P656" s="44" t="inlineStr">
        <is>
          <t>Band n50 (1.5 GHz, 60 MHz)</t>
        </is>
      </c>
      <c r="Q656" s="38">
        <f>ROUNDUP(O656/'Methodology &amp; Assumptions'!$B$9, 0)</f>
        <v/>
      </c>
      <c r="R656" s="39" t="n">
        <v>1</v>
      </c>
      <c r="S656" s="25" t="n">
        <v>0.49</v>
      </c>
      <c r="T656" s="25" t="n">
        <v>0.35</v>
      </c>
      <c r="U656" s="42" t="inlineStr">
        <is>
          <t>Tier 1A (Direct Coloc, &lt;1 km)</t>
        </is>
      </c>
      <c r="V656" s="24" t="n">
        <v>94.8</v>
      </c>
      <c r="W656" s="24" t="n">
        <v>100</v>
      </c>
      <c r="X656" s="24" t="n">
        <v>28</v>
      </c>
      <c r="Y656" s="45">
        <f>ROUND((V656*'Methodology &amp; Assumptions'!$B$6)+(W656*'Methodology &amp; Assumptions'!$B$5)+(X656*'Methodology &amp; Assumptions'!$B$7), 2)</f>
        <v/>
      </c>
    </row>
    <row r="657" ht="19" customHeight="1">
      <c r="A657" s="35" t="n">
        <v>653</v>
      </c>
      <c r="B657" s="35" t="n">
        <v>653</v>
      </c>
      <c r="C657" s="36" t="inlineStr">
        <is>
          <t>0402106033</t>
        </is>
      </c>
      <c r="D657" s="36" t="inlineStr">
        <is>
          <t>Region IV-A (CALABARZON)</t>
        </is>
      </c>
      <c r="E657" s="36" t="inlineStr">
        <is>
          <t>Cavite</t>
        </is>
      </c>
      <c r="F657" s="36" t="inlineStr">
        <is>
          <t>City of Dasmariñas</t>
        </is>
      </c>
      <c r="G657" s="36" t="inlineStr">
        <is>
          <t>San Luis I</t>
        </is>
      </c>
      <c r="H657" s="37" t="n">
        <v>14.320399</v>
      </c>
      <c r="I657" s="37" t="n">
        <v>120.96632</v>
      </c>
      <c r="J657" s="8" t="inlineStr">
        <is>
          <t>R</t>
        </is>
      </c>
      <c r="K657" s="36" t="inlineStr">
        <is>
          <t>Class 1-3 / Urban</t>
        </is>
      </c>
      <c r="L657" s="18" t="n">
        <v>3963</v>
      </c>
      <c r="M657" s="20" t="n">
        <v>4.49</v>
      </c>
      <c r="N657" s="18">
        <f>ROUND(L657/M657, 0)</f>
        <v/>
      </c>
      <c r="O657" s="18">
        <f>ROUND(N657*'Methodology &amp; Assumptions'!$B$8, 0)</f>
        <v/>
      </c>
      <c r="P657" s="8" t="inlineStr">
        <is>
          <t>Band n50 (1.5 GHz, 60 MHz)</t>
        </is>
      </c>
      <c r="Q657" s="38">
        <f>ROUNDUP(O657/'Methodology &amp; Assumptions'!$B$9, 0)</f>
        <v/>
      </c>
      <c r="R657" s="39" t="n">
        <v>1</v>
      </c>
      <c r="S657" s="21" t="n">
        <v>0.89</v>
      </c>
      <c r="T657" s="21" t="n">
        <v>2.47</v>
      </c>
      <c r="U657" s="36" t="inlineStr">
        <is>
          <t>Tier 1A (Direct Coloc, &lt;1 km)</t>
        </is>
      </c>
      <c r="V657" s="20" t="n">
        <v>74.40000000000001</v>
      </c>
      <c r="W657" s="20" t="n">
        <v>94.7</v>
      </c>
      <c r="X657" s="20" t="n">
        <v>58</v>
      </c>
      <c r="Y657" s="40">
        <f>ROUND((V657*'Methodology &amp; Assumptions'!$B$6)+(W657*'Methodology &amp; Assumptions'!$B$5)+(X657*'Methodology &amp; Assumptions'!$B$7), 2)</f>
        <v/>
      </c>
    </row>
    <row r="658" ht="19" customHeight="1">
      <c r="A658" s="41" t="n">
        <v>654</v>
      </c>
      <c r="B658" s="41" t="n">
        <v>654</v>
      </c>
      <c r="C658" s="42" t="inlineStr">
        <is>
          <t>0105506016</t>
        </is>
      </c>
      <c r="D658" s="42" t="inlineStr">
        <is>
          <t>Region I (Ilocos Region)</t>
        </is>
      </c>
      <c r="E658" s="42" t="inlineStr">
        <is>
          <t>Pangasinan</t>
        </is>
      </c>
      <c r="F658" s="42" t="inlineStr">
        <is>
          <t>Asingan</t>
        </is>
      </c>
      <c r="G658" s="42" t="inlineStr">
        <is>
          <t>Poblacion East</t>
        </is>
      </c>
      <c r="H658" s="43" t="n">
        <v>16.004946</v>
      </c>
      <c r="I658" s="43" t="n">
        <v>120.669779</v>
      </c>
      <c r="J658" s="44" t="inlineStr">
        <is>
          <t>R</t>
        </is>
      </c>
      <c r="K658" s="42" t="inlineStr">
        <is>
          <t>Class 1-3 / Urban</t>
        </is>
      </c>
      <c r="L658" s="23" t="n">
        <v>2471</v>
      </c>
      <c r="M658" s="24" t="n">
        <v>4.39</v>
      </c>
      <c r="N658" s="23">
        <f>ROUND(L658/M658, 0)</f>
        <v/>
      </c>
      <c r="O658" s="23">
        <f>ROUND(N658*'Methodology &amp; Assumptions'!$B$8, 0)</f>
        <v/>
      </c>
      <c r="P658" s="44" t="inlineStr">
        <is>
          <t>Band n50 (1.5 GHz, 60 MHz)</t>
        </is>
      </c>
      <c r="Q658" s="38">
        <f>ROUNDUP(O658/'Methodology &amp; Assumptions'!$B$9, 0)</f>
        <v/>
      </c>
      <c r="R658" s="39" t="n">
        <v>1</v>
      </c>
      <c r="S658" s="25" t="n">
        <v>0.02</v>
      </c>
      <c r="T658" s="25" t="n">
        <v>0.14</v>
      </c>
      <c r="U658" s="42" t="inlineStr">
        <is>
          <t>Tier 1A (Direct Coloc, &lt;1 km)</t>
        </is>
      </c>
      <c r="V658" s="24" t="n">
        <v>100</v>
      </c>
      <c r="W658" s="24" t="n">
        <v>69.09999999999999</v>
      </c>
      <c r="X658" s="24" t="n">
        <v>58</v>
      </c>
      <c r="Y658" s="45">
        <f>ROUND((V658*'Methodology &amp; Assumptions'!$B$6)+(W658*'Methodology &amp; Assumptions'!$B$5)+(X658*'Methodology &amp; Assumptions'!$B$7), 2)</f>
        <v/>
      </c>
    </row>
    <row r="659" ht="19" customHeight="1">
      <c r="A659" s="35" t="n">
        <v>655</v>
      </c>
      <c r="B659" s="35" t="n">
        <v>655</v>
      </c>
      <c r="C659" s="36" t="inlineStr">
        <is>
          <t>0105526025</t>
        </is>
      </c>
      <c r="D659" s="36" t="inlineStr">
        <is>
          <t>Region I (Ilocos Region)</t>
        </is>
      </c>
      <c r="E659" s="36" t="inlineStr">
        <is>
          <t>Pangasinan</t>
        </is>
      </c>
      <c r="F659" s="36" t="inlineStr">
        <is>
          <t>Mangaldan</t>
        </is>
      </c>
      <c r="G659" s="36" t="inlineStr">
        <is>
          <t>Poblacion</t>
        </is>
      </c>
      <c r="H659" s="37" t="n">
        <v>16.07103</v>
      </c>
      <c r="I659" s="37" t="n">
        <v>120.4055</v>
      </c>
      <c r="J659" s="8" t="inlineStr">
        <is>
          <t>U</t>
        </is>
      </c>
      <c r="K659" s="36" t="inlineStr">
        <is>
          <t>Class 1-3 / Urban</t>
        </is>
      </c>
      <c r="L659" s="18" t="n">
        <v>4173</v>
      </c>
      <c r="M659" s="20" t="n">
        <v>4.39</v>
      </c>
      <c r="N659" s="18">
        <f>ROUND(L659/M659, 0)</f>
        <v/>
      </c>
      <c r="O659" s="18">
        <f>ROUND(N659*'Methodology &amp; Assumptions'!$B$8, 0)</f>
        <v/>
      </c>
      <c r="P659" s="8" t="inlineStr">
        <is>
          <t>Band n50 (1.5 GHz, 60 MHz)</t>
        </is>
      </c>
      <c r="Q659" s="38">
        <f>ROUNDUP(O659/'Methodology &amp; Assumptions'!$B$9, 0)</f>
        <v/>
      </c>
      <c r="R659" s="39" t="n">
        <v>1</v>
      </c>
      <c r="S659" s="21" t="n">
        <v>0.5</v>
      </c>
      <c r="T659" s="21" t="n">
        <v>0.21</v>
      </c>
      <c r="U659" s="36" t="inlineStr">
        <is>
          <t>Tier 1A (Direct Coloc, &lt;1 km)</t>
        </is>
      </c>
      <c r="V659" s="20" t="n">
        <v>94.7</v>
      </c>
      <c r="W659" s="20" t="n">
        <v>100</v>
      </c>
      <c r="X659" s="20" t="n">
        <v>28</v>
      </c>
      <c r="Y659" s="40">
        <f>ROUND((V659*'Methodology &amp; Assumptions'!$B$6)+(W659*'Methodology &amp; Assumptions'!$B$5)+(X659*'Methodology &amp; Assumptions'!$B$7), 2)</f>
        <v/>
      </c>
    </row>
    <row r="660" ht="19" customHeight="1">
      <c r="A660" s="41" t="n">
        <v>656</v>
      </c>
      <c r="B660" s="41" t="n">
        <v>656</v>
      </c>
      <c r="C660" s="42" t="inlineStr">
        <is>
          <t>0304903017</t>
        </is>
      </c>
      <c r="D660" s="42" t="inlineStr">
        <is>
          <t>Region III (Central Luzon)</t>
        </is>
      </c>
      <c r="E660" s="42" t="inlineStr">
        <is>
          <t>Nueva Ecija</t>
        </is>
      </c>
      <c r="F660" s="42" t="inlineStr">
        <is>
          <t>City of Cabanatuan</t>
        </is>
      </c>
      <c r="G660" s="42" t="inlineStr">
        <is>
          <t>Bonifacio District</t>
        </is>
      </c>
      <c r="H660" s="43" t="n">
        <v>15.487355</v>
      </c>
      <c r="I660" s="43" t="n">
        <v>120.957909</v>
      </c>
      <c r="J660" s="44" t="inlineStr">
        <is>
          <t>R</t>
        </is>
      </c>
      <c r="K660" s="42" t="inlineStr">
        <is>
          <t>Class 1-3 / Urban</t>
        </is>
      </c>
      <c r="L660" s="23" t="n">
        <v>3041</v>
      </c>
      <c r="M660" s="24" t="n">
        <v>4.32</v>
      </c>
      <c r="N660" s="23">
        <f>ROUND(L660/M660, 0)</f>
        <v/>
      </c>
      <c r="O660" s="23">
        <f>ROUND(N660*'Methodology &amp; Assumptions'!$B$8, 0)</f>
        <v/>
      </c>
      <c r="P660" s="44" t="inlineStr">
        <is>
          <t>Band n50 (1.5 GHz, 60 MHz)</t>
        </is>
      </c>
      <c r="Q660" s="38">
        <f>ROUNDUP(O660/'Methodology &amp; Assumptions'!$B$9, 0)</f>
        <v/>
      </c>
      <c r="R660" s="39" t="n">
        <v>1</v>
      </c>
      <c r="S660" s="25" t="n">
        <v>0.72</v>
      </c>
      <c r="T660" s="25" t="n">
        <v>0.72</v>
      </c>
      <c r="U660" s="42" t="inlineStr">
        <is>
          <t>Tier 1A (Direct Coloc, &lt;1 km)</t>
        </is>
      </c>
      <c r="V660" s="24" t="n">
        <v>88.7</v>
      </c>
      <c r="W660" s="24" t="n">
        <v>80.3</v>
      </c>
      <c r="X660" s="24" t="n">
        <v>58</v>
      </c>
      <c r="Y660" s="45">
        <f>ROUND((V660*'Methodology &amp; Assumptions'!$B$6)+(W660*'Methodology &amp; Assumptions'!$B$5)+(X660*'Methodology &amp; Assumptions'!$B$7), 2)</f>
        <v/>
      </c>
    </row>
    <row r="661" ht="19" customHeight="1">
      <c r="A661" s="35" t="n">
        <v>657</v>
      </c>
      <c r="B661" s="35" t="n">
        <v>657</v>
      </c>
      <c r="C661" s="36" t="inlineStr">
        <is>
          <t>0305409011</t>
        </is>
      </c>
      <c r="D661" s="36" t="inlineStr">
        <is>
          <t>Region III (Central Luzon)</t>
        </is>
      </c>
      <c r="E661" s="36" t="inlineStr">
        <is>
          <t>Pampanga</t>
        </is>
      </c>
      <c r="F661" s="36" t="inlineStr">
        <is>
          <t>Mabalacat City</t>
        </is>
      </c>
      <c r="G661" s="36" t="inlineStr">
        <is>
          <t>Lakandula</t>
        </is>
      </c>
      <c r="H661" s="37" t="n">
        <v>15.175507</v>
      </c>
      <c r="I661" s="37" t="n">
        <v>120.583432</v>
      </c>
      <c r="J661" s="8" t="inlineStr">
        <is>
          <t>U</t>
        </is>
      </c>
      <c r="K661" s="36" t="inlineStr">
        <is>
          <t>Class 1-3 / Urban</t>
        </is>
      </c>
      <c r="L661" s="18" t="n">
        <v>8387</v>
      </c>
      <c r="M661" s="20" t="n">
        <v>4.63</v>
      </c>
      <c r="N661" s="18">
        <f>ROUND(L661/M661, 0)</f>
        <v/>
      </c>
      <c r="O661" s="18">
        <f>ROUND(N661*'Methodology &amp; Assumptions'!$B$8, 0)</f>
        <v/>
      </c>
      <c r="P661" s="8" t="inlineStr">
        <is>
          <t>Band n50 (1.5 GHz, 60 MHz)</t>
        </is>
      </c>
      <c r="Q661" s="38">
        <f>ROUNDUP(O661/'Methodology &amp; Assumptions'!$B$9, 0)</f>
        <v/>
      </c>
      <c r="R661" s="39" t="n">
        <v>1</v>
      </c>
      <c r="S661" s="21" t="n">
        <v>0.5</v>
      </c>
      <c r="T661" s="21" t="n">
        <v>0.33</v>
      </c>
      <c r="U661" s="36" t="inlineStr">
        <is>
          <t>Tier 1A (Direct Coloc, &lt;1 km)</t>
        </is>
      </c>
      <c r="V661" s="20" t="n">
        <v>94.7</v>
      </c>
      <c r="W661" s="20" t="n">
        <v>100</v>
      </c>
      <c r="X661" s="20" t="n">
        <v>28</v>
      </c>
      <c r="Y661" s="40">
        <f>ROUND((V661*'Methodology &amp; Assumptions'!$B$6)+(W661*'Methodology &amp; Assumptions'!$B$5)+(X661*'Methodology &amp; Assumptions'!$B$7), 2)</f>
        <v/>
      </c>
    </row>
    <row r="662" ht="19" customHeight="1">
      <c r="A662" s="41" t="n">
        <v>658</v>
      </c>
      <c r="B662" s="41" t="n">
        <v>658</v>
      </c>
      <c r="C662" s="42" t="inlineStr">
        <is>
          <t>0403406016</t>
        </is>
      </c>
      <c r="D662" s="42" t="inlineStr">
        <is>
          <t>Region IV-A (CALABARZON)</t>
        </is>
      </c>
      <c r="E662" s="42" t="inlineStr">
        <is>
          <t>Laguna</t>
        </is>
      </c>
      <c r="F662" s="42" t="inlineStr">
        <is>
          <t>Calauan</t>
        </is>
      </c>
      <c r="G662" s="42" t="inlineStr">
        <is>
          <t>San Isidro</t>
        </is>
      </c>
      <c r="H662" s="43" t="n">
        <v>14.156671</v>
      </c>
      <c r="I662" s="43" t="n">
        <v>121.315773</v>
      </c>
      <c r="J662" s="44" t="inlineStr">
        <is>
          <t>R</t>
        </is>
      </c>
      <c r="K662" s="42" t="inlineStr">
        <is>
          <t>Class 1-3 / Urban</t>
        </is>
      </c>
      <c r="L662" s="23" t="n">
        <v>3572</v>
      </c>
      <c r="M662" s="24" t="n">
        <v>4.2</v>
      </c>
      <c r="N662" s="23">
        <f>ROUND(L662/M662, 0)</f>
        <v/>
      </c>
      <c r="O662" s="23">
        <f>ROUND(N662*'Methodology &amp; Assumptions'!$B$8, 0)</f>
        <v/>
      </c>
      <c r="P662" s="44" t="inlineStr">
        <is>
          <t>Band n50 (1.5 GHz, 60 MHz)</t>
        </is>
      </c>
      <c r="Q662" s="38">
        <f>ROUNDUP(O662/'Methodology &amp; Assumptions'!$B$9, 0)</f>
        <v/>
      </c>
      <c r="R662" s="39" t="n">
        <v>1</v>
      </c>
      <c r="S662" s="25" t="n">
        <v>1.2</v>
      </c>
      <c r="T662" s="25" t="n">
        <v>0.8</v>
      </c>
      <c r="U662" s="42" t="inlineStr">
        <is>
          <t>Tier 1B (Micro Drop, 1-3 km)</t>
        </is>
      </c>
      <c r="V662" s="24" t="n">
        <v>76.90000000000001</v>
      </c>
      <c r="W662" s="24" t="n">
        <v>92</v>
      </c>
      <c r="X662" s="24" t="n">
        <v>58</v>
      </c>
      <c r="Y662" s="45">
        <f>ROUND((V662*'Methodology &amp; Assumptions'!$B$6)+(W662*'Methodology &amp; Assumptions'!$B$5)+(X662*'Methodology &amp; Assumptions'!$B$7), 2)</f>
        <v/>
      </c>
    </row>
    <row r="663" ht="19" customHeight="1">
      <c r="A663" s="35" t="n">
        <v>659</v>
      </c>
      <c r="B663" s="35" t="n">
        <v>659</v>
      </c>
      <c r="C663" s="36" t="inlineStr">
        <is>
          <t>0300809014</t>
        </is>
      </c>
      <c r="D663" s="36" t="inlineStr">
        <is>
          <t>Region III (Central Luzon)</t>
        </is>
      </c>
      <c r="E663" s="36" t="inlineStr">
        <is>
          <t>Bataan</t>
        </is>
      </c>
      <c r="F663" s="36" t="inlineStr">
        <is>
          <t>Orani</t>
        </is>
      </c>
      <c r="G663" s="36" t="inlineStr">
        <is>
          <t>Pantalan Luma</t>
        </is>
      </c>
      <c r="H663" s="37" t="n">
        <v>14.801121</v>
      </c>
      <c r="I663" s="37" t="n">
        <v>120.540894</v>
      </c>
      <c r="J663" s="8" t="inlineStr">
        <is>
          <t>U</t>
        </is>
      </c>
      <c r="K663" s="36" t="inlineStr">
        <is>
          <t>Class 1-3 / Urban</t>
        </is>
      </c>
      <c r="L663" s="18" t="n">
        <v>5612</v>
      </c>
      <c r="M663" s="20" t="n">
        <v>4.57</v>
      </c>
      <c r="N663" s="18">
        <f>ROUND(L663/M663, 0)</f>
        <v/>
      </c>
      <c r="O663" s="18">
        <f>ROUND(N663*'Methodology &amp; Assumptions'!$B$8, 0)</f>
        <v/>
      </c>
      <c r="P663" s="8" t="inlineStr">
        <is>
          <t>Band n50 (1.5 GHz, 60 MHz)</t>
        </is>
      </c>
      <c r="Q663" s="38">
        <f>ROUNDUP(O663/'Methodology &amp; Assumptions'!$B$9, 0)</f>
        <v/>
      </c>
      <c r="R663" s="39" t="n">
        <v>1</v>
      </c>
      <c r="S663" s="21" t="n">
        <v>0.5</v>
      </c>
      <c r="T663" s="21" t="n">
        <v>0.48</v>
      </c>
      <c r="U663" s="36" t="inlineStr">
        <is>
          <t>Tier 1A (Direct Coloc, &lt;1 km)</t>
        </is>
      </c>
      <c r="V663" s="20" t="n">
        <v>94.59999999999999</v>
      </c>
      <c r="W663" s="20" t="n">
        <v>100</v>
      </c>
      <c r="X663" s="20" t="n">
        <v>28</v>
      </c>
      <c r="Y663" s="40">
        <f>ROUND((V663*'Methodology &amp; Assumptions'!$B$6)+(W663*'Methodology &amp; Assumptions'!$B$5)+(X663*'Methodology &amp; Assumptions'!$B$7), 2)</f>
        <v/>
      </c>
    </row>
    <row r="664" ht="19" customHeight="1">
      <c r="A664" s="41" t="n">
        <v>660</v>
      </c>
      <c r="B664" s="41" t="n">
        <v>660</v>
      </c>
      <c r="C664" s="42" t="inlineStr">
        <is>
          <t>0604526016</t>
        </is>
      </c>
      <c r="D664" s="42" t="inlineStr">
        <is>
          <t>Region VI (Western Visayas)</t>
        </is>
      </c>
      <c r="E664" s="42" t="inlineStr">
        <is>
          <t>Negros Occidental</t>
        </is>
      </c>
      <c r="F664" s="42" t="inlineStr">
        <is>
          <t>City of Silay</t>
        </is>
      </c>
      <c r="G664" s="42" t="inlineStr">
        <is>
          <t>Rizal</t>
        </is>
      </c>
      <c r="H664" s="43" t="n">
        <v>10.80216</v>
      </c>
      <c r="I664" s="43" t="n">
        <v>122.981173</v>
      </c>
      <c r="J664" s="44" t="inlineStr">
        <is>
          <t>U</t>
        </is>
      </c>
      <c r="K664" s="42" t="inlineStr">
        <is>
          <t>Class 1-3 / Urban</t>
        </is>
      </c>
      <c r="L664" s="23" t="n">
        <v>10580</v>
      </c>
      <c r="M664" s="24" t="n">
        <v>4.33</v>
      </c>
      <c r="N664" s="23">
        <f>ROUND(L664/M664, 0)</f>
        <v/>
      </c>
      <c r="O664" s="23">
        <f>ROUND(N664*'Methodology &amp; Assumptions'!$B$8, 0)</f>
        <v/>
      </c>
      <c r="P664" s="44" t="inlineStr">
        <is>
          <t>Band n50 (1.5 GHz, 60 MHz)</t>
        </is>
      </c>
      <c r="Q664" s="38">
        <f>ROUNDUP(O664/'Methodology &amp; Assumptions'!$B$9, 0)</f>
        <v/>
      </c>
      <c r="R664" s="39" t="n">
        <v>1</v>
      </c>
      <c r="S664" s="25" t="n">
        <v>0.5</v>
      </c>
      <c r="T664" s="25" t="n">
        <v>0.38</v>
      </c>
      <c r="U664" s="42" t="inlineStr">
        <is>
          <t>Tier 1A (Direct Coloc, &lt;1 km)</t>
        </is>
      </c>
      <c r="V664" s="24" t="n">
        <v>94.59999999999999</v>
      </c>
      <c r="W664" s="24" t="n">
        <v>100</v>
      </c>
      <c r="X664" s="24" t="n">
        <v>28</v>
      </c>
      <c r="Y664" s="45">
        <f>ROUND((V664*'Methodology &amp; Assumptions'!$B$6)+(W664*'Methodology &amp; Assumptions'!$B$5)+(X664*'Methodology &amp; Assumptions'!$B$7), 2)</f>
        <v/>
      </c>
    </row>
    <row r="665" ht="19" customHeight="1">
      <c r="A665" s="35" t="n">
        <v>661</v>
      </c>
      <c r="B665" s="35" t="n">
        <v>661</v>
      </c>
      <c r="C665" s="36" t="inlineStr">
        <is>
          <t>0401004009</t>
        </is>
      </c>
      <c r="D665" s="36" t="inlineStr">
        <is>
          <t>Region IV-A (CALABARZON)</t>
        </is>
      </c>
      <c r="E665" s="36" t="inlineStr">
        <is>
          <t>Batangas</t>
        </is>
      </c>
      <c r="F665" s="36" t="inlineStr">
        <is>
          <t>Balete</t>
        </is>
      </c>
      <c r="G665" s="36" t="inlineStr">
        <is>
          <t>Poblacion</t>
        </is>
      </c>
      <c r="H665" s="37" t="n">
        <v>14.018468</v>
      </c>
      <c r="I665" s="37" t="n">
        <v>121.095266</v>
      </c>
      <c r="J665" s="8" t="inlineStr">
        <is>
          <t>R</t>
        </is>
      </c>
      <c r="K665" s="36" t="inlineStr">
        <is>
          <t>4th</t>
        </is>
      </c>
      <c r="L665" s="18" t="n">
        <v>2289</v>
      </c>
      <c r="M665" s="20" t="n">
        <v>4.78</v>
      </c>
      <c r="N665" s="18">
        <f>ROUND(L665/M665, 0)</f>
        <v/>
      </c>
      <c r="O665" s="18">
        <f>ROUND(N665*'Methodology &amp; Assumptions'!$B$8, 0)</f>
        <v/>
      </c>
      <c r="P665" s="8" t="inlineStr">
        <is>
          <t>Band n50 (1.5 GHz, 60 MHz)</t>
        </is>
      </c>
      <c r="Q665" s="38">
        <f>ROUNDUP(O665/'Methodology &amp; Assumptions'!$B$9, 0)</f>
        <v/>
      </c>
      <c r="R665" s="39" t="n">
        <v>1</v>
      </c>
      <c r="S665" s="21" t="n">
        <v>0.08</v>
      </c>
      <c r="T665" s="21" t="n">
        <v>7.19</v>
      </c>
      <c r="U665" s="36" t="inlineStr">
        <is>
          <t>Tier 1A (Direct Coloc, &lt;1 km)</t>
        </is>
      </c>
      <c r="V665" s="20" t="n">
        <v>97.5</v>
      </c>
      <c r="W665" s="20" t="n">
        <v>62.4</v>
      </c>
      <c r="X665" s="20" t="n">
        <v>68.5</v>
      </c>
      <c r="Y665" s="40">
        <f>ROUND((V665*'Methodology &amp; Assumptions'!$B$6)+(W665*'Methodology &amp; Assumptions'!$B$5)+(X665*'Methodology &amp; Assumptions'!$B$7), 2)</f>
        <v/>
      </c>
    </row>
    <row r="666" ht="19" customHeight="1">
      <c r="A666" s="41" t="n">
        <v>662</v>
      </c>
      <c r="B666" s="41" t="n">
        <v>662</v>
      </c>
      <c r="C666" s="42" t="inlineStr">
        <is>
          <t>0304903023</t>
        </is>
      </c>
      <c r="D666" s="42" t="inlineStr">
        <is>
          <t>Region III (Central Luzon)</t>
        </is>
      </c>
      <c r="E666" s="42" t="inlineStr">
        <is>
          <t>Nueva Ecija</t>
        </is>
      </c>
      <c r="F666" s="42" t="inlineStr">
        <is>
          <t>City of Cabanatuan</t>
        </is>
      </c>
      <c r="G666" s="42" t="inlineStr">
        <is>
          <t>Kapitan Pepe</t>
        </is>
      </c>
      <c r="H666" s="43" t="n">
        <v>15.482395</v>
      </c>
      <c r="I666" s="43" t="n">
        <v>120.95652</v>
      </c>
      <c r="J666" s="44" t="inlineStr">
        <is>
          <t>U</t>
        </is>
      </c>
      <c r="K666" s="42" t="inlineStr">
        <is>
          <t>Class 1-3 / Urban</t>
        </is>
      </c>
      <c r="L666" s="23" t="n">
        <v>4795</v>
      </c>
      <c r="M666" s="24" t="n">
        <v>4.32</v>
      </c>
      <c r="N666" s="23">
        <f>ROUND(L666/M666, 0)</f>
        <v/>
      </c>
      <c r="O666" s="23">
        <f>ROUND(N666*'Methodology &amp; Assumptions'!$B$8, 0)</f>
        <v/>
      </c>
      <c r="P666" s="44" t="inlineStr">
        <is>
          <t>Band n50 (1.5 GHz, 60 MHz)</t>
        </is>
      </c>
      <c r="Q666" s="38">
        <f>ROUNDUP(O666/'Methodology &amp; Assumptions'!$B$9, 0)</f>
        <v/>
      </c>
      <c r="R666" s="39" t="n">
        <v>1</v>
      </c>
      <c r="S666" s="25" t="n">
        <v>0.5</v>
      </c>
      <c r="T666" s="25" t="n">
        <v>0.54</v>
      </c>
      <c r="U666" s="42" t="inlineStr">
        <is>
          <t>Tier 1A (Direct Coloc, &lt;1 km)</t>
        </is>
      </c>
      <c r="V666" s="24" t="n">
        <v>94.59999999999999</v>
      </c>
      <c r="W666" s="24" t="n">
        <v>100</v>
      </c>
      <c r="X666" s="24" t="n">
        <v>28</v>
      </c>
      <c r="Y666" s="45">
        <f>ROUND((V666*'Methodology &amp; Assumptions'!$B$6)+(W666*'Methodology &amp; Assumptions'!$B$5)+(X666*'Methodology &amp; Assumptions'!$B$7), 2)</f>
        <v/>
      </c>
    </row>
    <row r="667" ht="19" customHeight="1">
      <c r="A667" s="35" t="n">
        <v>663</v>
      </c>
      <c r="B667" s="35" t="n">
        <v>663</v>
      </c>
      <c r="C667" s="36" t="inlineStr">
        <is>
          <t>0501720002</t>
        </is>
      </c>
      <c r="D667" s="36" t="inlineStr">
        <is>
          <t>Region V (Bicol Region)</t>
        </is>
      </c>
      <c r="E667" s="36" t="inlineStr">
        <is>
          <t>Camarines Sur</t>
        </is>
      </c>
      <c r="F667" s="36" t="inlineStr">
        <is>
          <t>Magarao</t>
        </is>
      </c>
      <c r="G667" s="36" t="inlineStr">
        <is>
          <t>Bell</t>
        </is>
      </c>
      <c r="H667" s="37" t="n">
        <v>13.66</v>
      </c>
      <c r="I667" s="37" t="n">
        <v>123.1729</v>
      </c>
      <c r="J667" s="8" t="inlineStr">
        <is>
          <t>R</t>
        </is>
      </c>
      <c r="K667" s="36" t="inlineStr">
        <is>
          <t>4th</t>
        </is>
      </c>
      <c r="L667" s="18" t="n">
        <v>2496</v>
      </c>
      <c r="M667" s="20" t="n">
        <v>4.81</v>
      </c>
      <c r="N667" s="18">
        <f>ROUND(L667/M667, 0)</f>
        <v/>
      </c>
      <c r="O667" s="18">
        <f>ROUND(N667*'Methodology &amp; Assumptions'!$B$8, 0)</f>
        <v/>
      </c>
      <c r="P667" s="8" t="inlineStr">
        <is>
          <t>Band n50 (1.5 GHz, 60 MHz)</t>
        </is>
      </c>
      <c r="Q667" s="38">
        <f>ROUNDUP(O667/'Methodology &amp; Assumptions'!$B$9, 0)</f>
        <v/>
      </c>
      <c r="R667" s="39" t="n">
        <v>1</v>
      </c>
      <c r="S667" s="21" t="n">
        <v>1.01</v>
      </c>
      <c r="T667" s="21" t="n">
        <v>0.92</v>
      </c>
      <c r="U667" s="36" t="inlineStr">
        <is>
          <t>Tier 1B (Micro Drop, 1-3 km)</t>
        </is>
      </c>
      <c r="V667" s="20" t="n">
        <v>81.40000000000001</v>
      </c>
      <c r="W667" s="20" t="n">
        <v>65.59999999999999</v>
      </c>
      <c r="X667" s="20" t="n">
        <v>83.5</v>
      </c>
      <c r="Y667" s="40">
        <f>ROUND((V667*'Methodology &amp; Assumptions'!$B$6)+(W667*'Methodology &amp; Assumptions'!$B$5)+(X667*'Methodology &amp; Assumptions'!$B$7), 2)</f>
        <v/>
      </c>
    </row>
    <row r="668" ht="19" customHeight="1">
      <c r="A668" s="41" t="n">
        <v>664</v>
      </c>
      <c r="B668" s="41" t="n">
        <v>664</v>
      </c>
      <c r="C668" s="42" t="inlineStr">
        <is>
          <t>0402106025</t>
        </is>
      </c>
      <c r="D668" s="42" t="inlineStr">
        <is>
          <t>Region IV-A (CALABARZON)</t>
        </is>
      </c>
      <c r="E668" s="42" t="inlineStr">
        <is>
          <t>Cavite</t>
        </is>
      </c>
      <c r="F668" s="42" t="inlineStr">
        <is>
          <t>City of Dasmariñas</t>
        </is>
      </c>
      <c r="G668" s="42" t="inlineStr">
        <is>
          <t>San Andres I</t>
        </is>
      </c>
      <c r="H668" s="43" t="n">
        <v>14.322224</v>
      </c>
      <c r="I668" s="43" t="n">
        <v>120.968216</v>
      </c>
      <c r="J668" s="44" t="inlineStr">
        <is>
          <t>R</t>
        </is>
      </c>
      <c r="K668" s="42" t="inlineStr">
        <is>
          <t>Class 1-3 / Urban</t>
        </is>
      </c>
      <c r="L668" s="23" t="n">
        <v>4259</v>
      </c>
      <c r="M668" s="24" t="n">
        <v>4.49</v>
      </c>
      <c r="N668" s="23">
        <f>ROUND(L668/M668, 0)</f>
        <v/>
      </c>
      <c r="O668" s="23">
        <f>ROUND(N668*'Methodology &amp; Assumptions'!$B$8, 0)</f>
        <v/>
      </c>
      <c r="P668" s="44" t="inlineStr">
        <is>
          <t>Band n50 (1.5 GHz, 60 MHz)</t>
        </is>
      </c>
      <c r="Q668" s="38">
        <f>ROUNDUP(O668/'Methodology &amp; Assumptions'!$B$9, 0)</f>
        <v/>
      </c>
      <c r="R668" s="39" t="n">
        <v>1</v>
      </c>
      <c r="S668" s="25" t="n">
        <v>1.12</v>
      </c>
      <c r="T668" s="25" t="n">
        <v>2.74</v>
      </c>
      <c r="U668" s="42" t="inlineStr">
        <is>
          <t>Tier 1B (Micro Drop, 1-3 km)</t>
        </is>
      </c>
      <c r="V668" s="24" t="n">
        <v>68.8</v>
      </c>
      <c r="W668" s="24" t="n">
        <v>100</v>
      </c>
      <c r="X668" s="24" t="n">
        <v>58</v>
      </c>
      <c r="Y668" s="45">
        <f>ROUND((V668*'Methodology &amp; Assumptions'!$B$6)+(W668*'Methodology &amp; Assumptions'!$B$5)+(X668*'Methodology &amp; Assumptions'!$B$7), 2)</f>
        <v/>
      </c>
    </row>
    <row r="669" ht="19" customHeight="1">
      <c r="A669" s="35" t="n">
        <v>665</v>
      </c>
      <c r="B669" s="35" t="n">
        <v>665</v>
      </c>
      <c r="C669" s="36" t="inlineStr">
        <is>
          <t>0401018003</t>
        </is>
      </c>
      <c r="D669" s="36" t="inlineStr">
        <is>
          <t>Region IV-A (CALABARZON)</t>
        </is>
      </c>
      <c r="E669" s="36" t="inlineStr">
        <is>
          <t>Batangas</t>
        </is>
      </c>
      <c r="F669" s="36" t="inlineStr">
        <is>
          <t>Mataasnakahoy</t>
        </is>
      </c>
      <c r="G669" s="36" t="inlineStr">
        <is>
          <t>District III</t>
        </is>
      </c>
      <c r="H669" s="37" t="n">
        <v>13.961752</v>
      </c>
      <c r="I669" s="37" t="n">
        <v>121.111606</v>
      </c>
      <c r="J669" s="8" t="inlineStr">
        <is>
          <t>R</t>
        </is>
      </c>
      <c r="K669" s="36" t="inlineStr">
        <is>
          <t>3rd</t>
        </is>
      </c>
      <c r="L669" s="18" t="n">
        <v>3385</v>
      </c>
      <c r="M669" s="20" t="n">
        <v>4.23</v>
      </c>
      <c r="N669" s="18">
        <f>ROUND(L669/M669, 0)</f>
        <v/>
      </c>
      <c r="O669" s="18">
        <f>ROUND(N669*'Methodology &amp; Assumptions'!$B$8, 0)</f>
        <v/>
      </c>
      <c r="P669" s="8" t="inlineStr">
        <is>
          <t>Band n50 (1.5 GHz, 60 MHz)</t>
        </is>
      </c>
      <c r="Q669" s="38">
        <f>ROUNDUP(O669/'Methodology &amp; Assumptions'!$B$9, 0)</f>
        <v/>
      </c>
      <c r="R669" s="39" t="n">
        <v>1</v>
      </c>
      <c r="S669" s="21" t="n">
        <v>0.64</v>
      </c>
      <c r="T669" s="21" t="n">
        <v>2.67</v>
      </c>
      <c r="U669" s="36" t="inlineStr">
        <is>
          <t>Tier 1A (Direct Coloc, &lt;1 km)</t>
        </is>
      </c>
      <c r="V669" s="20" t="n">
        <v>80.8</v>
      </c>
      <c r="W669" s="20" t="n">
        <v>88</v>
      </c>
      <c r="X669" s="20" t="n">
        <v>58</v>
      </c>
      <c r="Y669" s="40">
        <f>ROUND((V669*'Methodology &amp; Assumptions'!$B$6)+(W669*'Methodology &amp; Assumptions'!$B$5)+(X669*'Methodology &amp; Assumptions'!$B$7), 2)</f>
        <v/>
      </c>
    </row>
    <row r="670" ht="19" customHeight="1">
      <c r="A670" s="41" t="n">
        <v>666</v>
      </c>
      <c r="B670" s="41" t="n">
        <v>666</v>
      </c>
      <c r="C670" s="42" t="inlineStr">
        <is>
          <t>0405803009</t>
        </is>
      </c>
      <c r="D670" s="42" t="inlineStr">
        <is>
          <t>Region IV-A (CALABARZON)</t>
        </is>
      </c>
      <c r="E670" s="42" t="inlineStr">
        <is>
          <t>Rizal</t>
        </is>
      </c>
      <c r="F670" s="42" t="inlineStr">
        <is>
          <t>Baras</t>
        </is>
      </c>
      <c r="G670" s="42" t="inlineStr">
        <is>
          <t>Mabini</t>
        </is>
      </c>
      <c r="H670" s="43" t="n">
        <v>14.52034</v>
      </c>
      <c r="I670" s="43" t="n">
        <v>121.267748</v>
      </c>
      <c r="J670" s="44" t="inlineStr">
        <is>
          <t>R</t>
        </is>
      </c>
      <c r="K670" s="42" t="inlineStr">
        <is>
          <t>1st</t>
        </is>
      </c>
      <c r="L670" s="23" t="n">
        <v>2857</v>
      </c>
      <c r="M670" s="24" t="n">
        <v>4.14</v>
      </c>
      <c r="N670" s="23">
        <f>ROUND(L670/M670, 0)</f>
        <v/>
      </c>
      <c r="O670" s="23">
        <f>ROUND(N670*'Methodology &amp; Assumptions'!$B$8, 0)</f>
        <v/>
      </c>
      <c r="P670" s="44" t="inlineStr">
        <is>
          <t>Band n50 (1.5 GHz, 60 MHz)</t>
        </is>
      </c>
      <c r="Q670" s="38">
        <f>ROUNDUP(O670/'Methodology &amp; Assumptions'!$B$9, 0)</f>
        <v/>
      </c>
      <c r="R670" s="39" t="n">
        <v>1</v>
      </c>
      <c r="S670" s="25" t="n">
        <v>0.68</v>
      </c>
      <c r="T670" s="25" t="n">
        <v>0.12</v>
      </c>
      <c r="U670" s="42" t="inlineStr">
        <is>
          <t>Tier 1A (Direct Coloc, &lt;1 km)</t>
        </is>
      </c>
      <c r="V670" s="24" t="n">
        <v>89.59999999999999</v>
      </c>
      <c r="W670" s="24" t="n">
        <v>79.2</v>
      </c>
      <c r="X670" s="24" t="n">
        <v>58</v>
      </c>
      <c r="Y670" s="45">
        <f>ROUND((V670*'Methodology &amp; Assumptions'!$B$6)+(W670*'Methodology &amp; Assumptions'!$B$5)+(X670*'Methodology &amp; Assumptions'!$B$7), 2)</f>
        <v/>
      </c>
    </row>
    <row r="671" ht="19" customHeight="1">
      <c r="A671" s="35" t="n">
        <v>667</v>
      </c>
      <c r="B671" s="35" t="n">
        <v>667</v>
      </c>
      <c r="C671" s="36" t="inlineStr">
        <is>
          <t>0501719016</t>
        </is>
      </c>
      <c r="D671" s="36" t="inlineStr">
        <is>
          <t>Region V (Bicol Region)</t>
        </is>
      </c>
      <c r="E671" s="36" t="inlineStr">
        <is>
          <t>Camarines Sur</t>
        </is>
      </c>
      <c r="F671" s="36" t="inlineStr">
        <is>
          <t>Lupi</t>
        </is>
      </c>
      <c r="G671" s="36" t="inlineStr">
        <is>
          <t>Colacling</t>
        </is>
      </c>
      <c r="H671" s="37" t="n">
        <v>13.774616</v>
      </c>
      <c r="I671" s="37" t="n">
        <v>122.868324</v>
      </c>
      <c r="J671" s="8" t="inlineStr">
        <is>
          <t>R</t>
        </is>
      </c>
      <c r="K671" s="36" t="inlineStr">
        <is>
          <t>Class 1-3 / Urban</t>
        </is>
      </c>
      <c r="L671" s="18" t="n">
        <v>2745</v>
      </c>
      <c r="M671" s="20" t="n">
        <v>4.9</v>
      </c>
      <c r="N671" s="18">
        <f>ROUND(L671/M671, 0)</f>
        <v/>
      </c>
      <c r="O671" s="18">
        <f>ROUND(N671*'Methodology &amp; Assumptions'!$B$8, 0)</f>
        <v/>
      </c>
      <c r="P671" s="8" t="inlineStr">
        <is>
          <t>Band n50 (1.5 GHz, 60 MHz)</t>
        </is>
      </c>
      <c r="Q671" s="38">
        <f>ROUNDUP(O671/'Methodology &amp; Assumptions'!$B$9, 0)</f>
        <v/>
      </c>
      <c r="R671" s="39" t="n">
        <v>1</v>
      </c>
      <c r="S671" s="21" t="n">
        <v>0.16</v>
      </c>
      <c r="T671" s="21" t="n">
        <v>0.15</v>
      </c>
      <c r="U671" s="36" t="inlineStr">
        <is>
          <t>Tier 1A (Direct Coloc, &lt;1 km)</t>
        </is>
      </c>
      <c r="V671" s="20" t="n">
        <v>100</v>
      </c>
      <c r="W671" s="20" t="n">
        <v>68.8</v>
      </c>
      <c r="X671" s="20" t="n">
        <v>58</v>
      </c>
      <c r="Y671" s="40">
        <f>ROUND((V671*'Methodology &amp; Assumptions'!$B$6)+(W671*'Methodology &amp; Assumptions'!$B$5)+(X671*'Methodology &amp; Assumptions'!$B$7), 2)</f>
        <v/>
      </c>
    </row>
    <row r="672" ht="19" customHeight="1">
      <c r="A672" s="41" t="n">
        <v>668</v>
      </c>
      <c r="B672" s="41" t="n">
        <v>668</v>
      </c>
      <c r="C672" s="42" t="inlineStr">
        <is>
          <t>1030900012</t>
        </is>
      </c>
      <c r="D672" s="42" t="inlineStr">
        <is>
          <t>Region X (Northern Mindanao)</t>
        </is>
      </c>
      <c r="E672" s="42" t="inlineStr">
        <is>
          <t>Lanao del Norte</t>
        </is>
      </c>
      <c r="F672" s="42" t="inlineStr">
        <is>
          <t>City of Iligan</t>
        </is>
      </c>
      <c r="G672" s="42" t="inlineStr">
        <is>
          <t>Mahayahay</t>
        </is>
      </c>
      <c r="H672" s="43" t="n">
        <v>8.224485</v>
      </c>
      <c r="I672" s="43" t="n">
        <v>124.238087</v>
      </c>
      <c r="J672" s="44" t="inlineStr">
        <is>
          <t>U</t>
        </is>
      </c>
      <c r="K672" s="42" t="inlineStr">
        <is>
          <t>Class 1-3 / Urban</t>
        </is>
      </c>
      <c r="L672" s="23" t="n">
        <v>7965</v>
      </c>
      <c r="M672" s="24" t="n">
        <v>5.12</v>
      </c>
      <c r="N672" s="23">
        <f>ROUND(L672/M672, 0)</f>
        <v/>
      </c>
      <c r="O672" s="23">
        <f>ROUND(N672*'Methodology &amp; Assumptions'!$B$8, 0)</f>
        <v/>
      </c>
      <c r="P672" s="44" t="inlineStr">
        <is>
          <t>Band n50 (1.5 GHz, 60 MHz)</t>
        </is>
      </c>
      <c r="Q672" s="38">
        <f>ROUNDUP(O672/'Methodology &amp; Assumptions'!$B$9, 0)</f>
        <v/>
      </c>
      <c r="R672" s="39" t="n">
        <v>1</v>
      </c>
      <c r="S672" s="25" t="n">
        <v>0.51</v>
      </c>
      <c r="T672" s="25" t="n">
        <v>0.28</v>
      </c>
      <c r="U672" s="42" t="inlineStr">
        <is>
          <t>Tier 1A (Direct Coloc, &lt;1 km)</t>
        </is>
      </c>
      <c r="V672" s="24" t="n">
        <v>94.5</v>
      </c>
      <c r="W672" s="24" t="n">
        <v>100</v>
      </c>
      <c r="X672" s="24" t="n">
        <v>28</v>
      </c>
      <c r="Y672" s="45">
        <f>ROUND((V672*'Methodology &amp; Assumptions'!$B$6)+(W672*'Methodology &amp; Assumptions'!$B$5)+(X672*'Methodology &amp; Assumptions'!$B$7), 2)</f>
        <v/>
      </c>
    </row>
    <row r="673" ht="19" customHeight="1">
      <c r="A673" s="35" t="n">
        <v>669</v>
      </c>
      <c r="B673" s="35" t="n">
        <v>669</v>
      </c>
      <c r="C673" s="36" t="inlineStr">
        <is>
          <t>1230800009</t>
        </is>
      </c>
      <c r="D673" s="36" t="inlineStr">
        <is>
          <t>Region XII (SOCCSKSARGEN)</t>
        </is>
      </c>
      <c r="E673" s="36" t="inlineStr">
        <is>
          <t>South Cotabato</t>
        </is>
      </c>
      <c r="F673" s="36" t="inlineStr">
        <is>
          <t>City of General Santos</t>
        </is>
      </c>
      <c r="G673" s="36" t="inlineStr">
        <is>
          <t>Katangawan</t>
        </is>
      </c>
      <c r="H673" s="37" t="n">
        <v>6.17313</v>
      </c>
      <c r="I673" s="37" t="n">
        <v>125.219816</v>
      </c>
      <c r="J673" s="8" t="inlineStr">
        <is>
          <t>U</t>
        </is>
      </c>
      <c r="K673" s="36" t="inlineStr">
        <is>
          <t>Class 1-3 / Urban</t>
        </is>
      </c>
      <c r="L673" s="18" t="n">
        <v>17355</v>
      </c>
      <c r="M673" s="20" t="n">
        <v>4.1</v>
      </c>
      <c r="N673" s="18">
        <f>ROUND(L673/M673, 0)</f>
        <v/>
      </c>
      <c r="O673" s="18">
        <f>ROUND(N673*'Methodology &amp; Assumptions'!$B$8, 0)</f>
        <v/>
      </c>
      <c r="P673" s="8" t="inlineStr">
        <is>
          <t>Band n50 (1.5 GHz, 60 MHz)</t>
        </is>
      </c>
      <c r="Q673" s="38">
        <f>ROUNDUP(O673/'Methodology &amp; Assumptions'!$B$9, 0)</f>
        <v/>
      </c>
      <c r="R673" s="39" t="n">
        <v>1</v>
      </c>
      <c r="S673" s="21" t="n">
        <v>0.51</v>
      </c>
      <c r="T673" s="21" t="n">
        <v>0.14</v>
      </c>
      <c r="U673" s="36" t="inlineStr">
        <is>
          <t>Tier 1A (Direct Coloc, &lt;1 km)</t>
        </is>
      </c>
      <c r="V673" s="20" t="n">
        <v>94.5</v>
      </c>
      <c r="W673" s="20" t="n">
        <v>100</v>
      </c>
      <c r="X673" s="20" t="n">
        <v>28</v>
      </c>
      <c r="Y673" s="40">
        <f>ROUND((V673*'Methodology &amp; Assumptions'!$B$6)+(W673*'Methodology &amp; Assumptions'!$B$5)+(X673*'Methodology &amp; Assumptions'!$B$7), 2)</f>
        <v/>
      </c>
    </row>
    <row r="674" ht="19" customHeight="1">
      <c r="A674" s="41" t="n">
        <v>670</v>
      </c>
      <c r="B674" s="41" t="n">
        <v>670</v>
      </c>
      <c r="C674" s="42" t="inlineStr">
        <is>
          <t>1403211007</t>
        </is>
      </c>
      <c r="D674" s="42" t="inlineStr">
        <is>
          <t>Cordillera Administrative Region (CAR)</t>
        </is>
      </c>
      <c r="E674" s="42" t="inlineStr">
        <is>
          <t>Kalinga</t>
        </is>
      </c>
      <c r="F674" s="42" t="inlineStr">
        <is>
          <t>Rizal</t>
        </is>
      </c>
      <c r="G674" s="42" t="inlineStr">
        <is>
          <t>Liwan West</t>
        </is>
      </c>
      <c r="H674" s="43" t="n">
        <v>17.495182</v>
      </c>
      <c r="I674" s="43" t="n">
        <v>121.590493</v>
      </c>
      <c r="J674" s="44" t="inlineStr">
        <is>
          <t>R</t>
        </is>
      </c>
      <c r="K674" s="42" t="inlineStr">
        <is>
          <t>3rd</t>
        </is>
      </c>
      <c r="L674" s="23" t="n">
        <v>3157</v>
      </c>
      <c r="M674" s="24" t="n">
        <v>4.57</v>
      </c>
      <c r="N674" s="23">
        <f>ROUND(L674/M674, 0)</f>
        <v/>
      </c>
      <c r="O674" s="23">
        <f>ROUND(N674*'Methodology &amp; Assumptions'!$B$8, 0)</f>
        <v/>
      </c>
      <c r="P674" s="44" t="inlineStr">
        <is>
          <t>Band n50 (1.5 GHz, 60 MHz)</t>
        </is>
      </c>
      <c r="Q674" s="38">
        <f>ROUNDUP(O674/'Methodology &amp; Assumptions'!$B$9, 0)</f>
        <v/>
      </c>
      <c r="R674" s="39" t="n">
        <v>1</v>
      </c>
      <c r="S674" s="25" t="n">
        <v>0.54</v>
      </c>
      <c r="T674" s="25" t="n">
        <v>0.31</v>
      </c>
      <c r="U674" s="42" t="inlineStr">
        <is>
          <t>Tier 1A (Direct Coloc, &lt;1 km)</t>
        </is>
      </c>
      <c r="V674" s="24" t="n">
        <v>93.5</v>
      </c>
      <c r="W674" s="24" t="n">
        <v>75.2</v>
      </c>
      <c r="X674" s="24" t="n">
        <v>58</v>
      </c>
      <c r="Y674" s="45">
        <f>ROUND((V674*'Methodology &amp; Assumptions'!$B$6)+(W674*'Methodology &amp; Assumptions'!$B$5)+(X674*'Methodology &amp; Assumptions'!$B$7), 2)</f>
        <v/>
      </c>
    </row>
    <row r="675" ht="19" customHeight="1">
      <c r="A675" s="35" t="n">
        <v>671</v>
      </c>
      <c r="B675" s="35" t="n">
        <v>671</v>
      </c>
      <c r="C675" s="36" t="inlineStr">
        <is>
          <t>0402116004</t>
        </is>
      </c>
      <c r="D675" s="36" t="inlineStr">
        <is>
          <t>Region IV-A (CALABARZON)</t>
        </is>
      </c>
      <c r="E675" s="36" t="inlineStr">
        <is>
          <t>Cavite</t>
        </is>
      </c>
      <c r="F675" s="36" t="inlineStr">
        <is>
          <t>Noveleta</t>
        </is>
      </c>
      <c r="G675" s="36" t="inlineStr">
        <is>
          <t>San Antonio I</t>
        </is>
      </c>
      <c r="H675" s="37" t="n">
        <v>14.425102</v>
      </c>
      <c r="I675" s="37" t="n">
        <v>120.884145</v>
      </c>
      <c r="J675" s="8" t="inlineStr">
        <is>
          <t>U</t>
        </is>
      </c>
      <c r="K675" s="36" t="inlineStr">
        <is>
          <t>Class 1-3 / Urban</t>
        </is>
      </c>
      <c r="L675" s="18" t="n">
        <v>5513</v>
      </c>
      <c r="M675" s="20" t="n">
        <v>4.49</v>
      </c>
      <c r="N675" s="18">
        <f>ROUND(L675/M675, 0)</f>
        <v/>
      </c>
      <c r="O675" s="18">
        <f>ROUND(N675*'Methodology &amp; Assumptions'!$B$8, 0)</f>
        <v/>
      </c>
      <c r="P675" s="8" t="inlineStr">
        <is>
          <t>Band n50 (1.5 GHz, 60 MHz)</t>
        </is>
      </c>
      <c r="Q675" s="38">
        <f>ROUNDUP(O675/'Methodology &amp; Assumptions'!$B$9, 0)</f>
        <v/>
      </c>
      <c r="R675" s="39" t="n">
        <v>1</v>
      </c>
      <c r="S675" s="21" t="n">
        <v>0.51</v>
      </c>
      <c r="T675" s="21" t="n">
        <v>0.39</v>
      </c>
      <c r="U675" s="36" t="inlineStr">
        <is>
          <t>Tier 1A (Direct Coloc, &lt;1 km)</t>
        </is>
      </c>
      <c r="V675" s="20" t="n">
        <v>94.40000000000001</v>
      </c>
      <c r="W675" s="20" t="n">
        <v>100</v>
      </c>
      <c r="X675" s="20" t="n">
        <v>28</v>
      </c>
      <c r="Y675" s="40">
        <f>ROUND((V675*'Methodology &amp; Assumptions'!$B$6)+(W675*'Methodology &amp; Assumptions'!$B$5)+(X675*'Methodology &amp; Assumptions'!$B$7), 2)</f>
        <v/>
      </c>
    </row>
    <row r="676" ht="19" customHeight="1">
      <c r="A676" s="41" t="n">
        <v>672</v>
      </c>
      <c r="B676" s="41" t="n">
        <v>672</v>
      </c>
      <c r="C676" s="42" t="inlineStr">
        <is>
          <t>0701242002</t>
        </is>
      </c>
      <c r="D676" s="42" t="inlineStr">
        <is>
          <t>Region VII (Central Visayas)</t>
        </is>
      </c>
      <c r="E676" s="42" t="inlineStr">
        <is>
          <t>Bohol</t>
        </is>
      </c>
      <c r="F676" s="42" t="inlineStr">
        <is>
          <t>City of Tagbilaran</t>
        </is>
      </c>
      <c r="G676" s="42" t="inlineStr">
        <is>
          <t>Booy</t>
        </is>
      </c>
      <c r="H676" s="43" t="n">
        <v>9.661258999999999</v>
      </c>
      <c r="I676" s="43" t="n">
        <v>123.847546</v>
      </c>
      <c r="J676" s="44" t="inlineStr">
        <is>
          <t>U</t>
        </is>
      </c>
      <c r="K676" s="42" t="inlineStr">
        <is>
          <t>Class 1-3 / Urban</t>
        </is>
      </c>
      <c r="L676" s="23" t="n">
        <v>9996</v>
      </c>
      <c r="M676" s="24" t="n">
        <v>4.54</v>
      </c>
      <c r="N676" s="23">
        <f>ROUND(L676/M676, 0)</f>
        <v/>
      </c>
      <c r="O676" s="23">
        <f>ROUND(N676*'Methodology &amp; Assumptions'!$B$8, 0)</f>
        <v/>
      </c>
      <c r="P676" s="44" t="inlineStr">
        <is>
          <t>Band n50 (1.5 GHz, 60 MHz)</t>
        </is>
      </c>
      <c r="Q676" s="38">
        <f>ROUNDUP(O676/'Methodology &amp; Assumptions'!$B$9, 0)</f>
        <v/>
      </c>
      <c r="R676" s="39" t="n">
        <v>1</v>
      </c>
      <c r="S676" s="25" t="n">
        <v>0.51</v>
      </c>
      <c r="T676" s="25" t="n">
        <v>0.02</v>
      </c>
      <c r="U676" s="42" t="inlineStr">
        <is>
          <t>Tier 1A (Direct Coloc, &lt;1 km)</t>
        </is>
      </c>
      <c r="V676" s="24" t="n">
        <v>94.40000000000001</v>
      </c>
      <c r="W676" s="24" t="n">
        <v>100</v>
      </c>
      <c r="X676" s="24" t="n">
        <v>28</v>
      </c>
      <c r="Y676" s="45">
        <f>ROUND((V676*'Methodology &amp; Assumptions'!$B$6)+(W676*'Methodology &amp; Assumptions'!$B$5)+(X676*'Methodology &amp; Assumptions'!$B$7), 2)</f>
        <v/>
      </c>
    </row>
    <row r="677" ht="19" customHeight="1">
      <c r="A677" s="35" t="n">
        <v>673</v>
      </c>
      <c r="B677" s="35" t="n">
        <v>673</v>
      </c>
      <c r="C677" s="36" t="inlineStr">
        <is>
          <t>1705318031</t>
        </is>
      </c>
      <c r="D677" s="36" t="inlineStr">
        <is>
          <t>MIMAROPA Region</t>
        </is>
      </c>
      <c r="E677" s="36" t="inlineStr">
        <is>
          <t>Palawan</t>
        </is>
      </c>
      <c r="F677" s="36" t="inlineStr">
        <is>
          <t>Roxas</t>
        </is>
      </c>
      <c r="G677" s="36" t="inlineStr">
        <is>
          <t>Barangay IV</t>
        </is>
      </c>
      <c r="H677" s="37" t="n">
        <v>10.318638</v>
      </c>
      <c r="I677" s="37" t="n">
        <v>119.339849</v>
      </c>
      <c r="J677" s="8" t="inlineStr">
        <is>
          <t>U</t>
        </is>
      </c>
      <c r="K677" s="36" t="inlineStr">
        <is>
          <t>Class 1-3 / Urban</t>
        </is>
      </c>
      <c r="L677" s="18" t="n">
        <v>6308</v>
      </c>
      <c r="M677" s="20" t="n">
        <v>4.35</v>
      </c>
      <c r="N677" s="18">
        <f>ROUND(L677/M677, 0)</f>
        <v/>
      </c>
      <c r="O677" s="18">
        <f>ROUND(N677*'Methodology &amp; Assumptions'!$B$8, 0)</f>
        <v/>
      </c>
      <c r="P677" s="8" t="inlineStr">
        <is>
          <t>Band n50 (1.5 GHz, 60 MHz)</t>
        </is>
      </c>
      <c r="Q677" s="38">
        <f>ROUNDUP(O677/'Methodology &amp; Assumptions'!$B$9, 0)</f>
        <v/>
      </c>
      <c r="R677" s="39" t="n">
        <v>1</v>
      </c>
      <c r="S677" s="21" t="n">
        <v>0.51</v>
      </c>
      <c r="T677" s="21" t="n">
        <v>0.14</v>
      </c>
      <c r="U677" s="36" t="inlineStr">
        <is>
          <t>Tier 1A (Direct Coloc, &lt;1 km)</t>
        </is>
      </c>
      <c r="V677" s="20" t="n">
        <v>94.40000000000001</v>
      </c>
      <c r="W677" s="20" t="n">
        <v>100</v>
      </c>
      <c r="X677" s="20" t="n">
        <v>28</v>
      </c>
      <c r="Y677" s="40">
        <f>ROUND((V677*'Methodology &amp; Assumptions'!$B$6)+(W677*'Methodology &amp; Assumptions'!$B$5)+(X677*'Methodology &amp; Assumptions'!$B$7), 2)</f>
        <v/>
      </c>
    </row>
    <row r="678" ht="19" customHeight="1">
      <c r="A678" s="41" t="n">
        <v>674</v>
      </c>
      <c r="B678" s="41" t="n">
        <v>674</v>
      </c>
      <c r="C678" s="42" t="inlineStr">
        <is>
          <t>0102915007</t>
        </is>
      </c>
      <c r="D678" s="42" t="inlineStr">
        <is>
          <t>Region I (Ilocos Region)</t>
        </is>
      </c>
      <c r="E678" s="42" t="inlineStr">
        <is>
          <t>Ilocos Sur</t>
        </is>
      </c>
      <c r="F678" s="42" t="inlineStr">
        <is>
          <t>Quirino</t>
        </is>
      </c>
      <c r="G678" s="42" t="inlineStr">
        <is>
          <t>Legleg</t>
        </is>
      </c>
      <c r="H678" s="43" t="n">
        <v>17.133721</v>
      </c>
      <c r="I678" s="43" t="n">
        <v>120.675994</v>
      </c>
      <c r="J678" s="44" t="inlineStr">
        <is>
          <t>R</t>
        </is>
      </c>
      <c r="K678" s="42" t="inlineStr">
        <is>
          <t>1st</t>
        </is>
      </c>
      <c r="L678" s="23" t="n">
        <v>2098</v>
      </c>
      <c r="M678" s="24" t="n">
        <v>4.67</v>
      </c>
      <c r="N678" s="23">
        <f>ROUND(L678/M678, 0)</f>
        <v/>
      </c>
      <c r="O678" s="23">
        <f>ROUND(N678*'Methodology &amp; Assumptions'!$B$8, 0)</f>
        <v/>
      </c>
      <c r="P678" s="44" t="inlineStr">
        <is>
          <t>Band n50 (1.5 GHz, 60 MHz)</t>
        </is>
      </c>
      <c r="Q678" s="38">
        <f>ROUNDUP(O678/'Methodology &amp; Assumptions'!$B$9, 0)</f>
        <v/>
      </c>
      <c r="R678" s="39" t="n">
        <v>1</v>
      </c>
      <c r="S678" s="25" t="n">
        <v>0.46</v>
      </c>
      <c r="T678" s="25" t="n">
        <v>0.03</v>
      </c>
      <c r="U678" s="42" t="inlineStr">
        <is>
          <t>Tier 1A (Direct Coloc, &lt;1 km)</t>
        </is>
      </c>
      <c r="V678" s="24" t="n">
        <v>95.8</v>
      </c>
      <c r="W678" s="24" t="n">
        <v>60</v>
      </c>
      <c r="X678" s="24" t="n">
        <v>73</v>
      </c>
      <c r="Y678" s="45">
        <f>ROUND((V678*'Methodology &amp; Assumptions'!$B$6)+(W678*'Methodology &amp; Assumptions'!$B$5)+(X678*'Methodology &amp; Assumptions'!$B$7), 2)</f>
        <v/>
      </c>
    </row>
    <row r="679" ht="19" customHeight="1">
      <c r="A679" s="35" t="n">
        <v>675</v>
      </c>
      <c r="B679" s="35" t="n">
        <v>675</v>
      </c>
      <c r="C679" s="36" t="inlineStr">
        <is>
          <t>0300810012</t>
        </is>
      </c>
      <c r="D679" s="36" t="inlineStr">
        <is>
          <t>Region III (Central Luzon)</t>
        </is>
      </c>
      <c r="E679" s="36" t="inlineStr">
        <is>
          <t>Bataan</t>
        </is>
      </c>
      <c r="F679" s="36" t="inlineStr">
        <is>
          <t>Orion</t>
        </is>
      </c>
      <c r="G679" s="36" t="inlineStr">
        <is>
          <t>Daang Bilolo</t>
        </is>
      </c>
      <c r="H679" s="37" t="n">
        <v>14.616807</v>
      </c>
      <c r="I679" s="37" t="n">
        <v>120.573324</v>
      </c>
      <c r="J679" s="8" t="inlineStr">
        <is>
          <t>R</t>
        </is>
      </c>
      <c r="K679" s="36" t="inlineStr">
        <is>
          <t>Class 1-3 / Urban</t>
        </is>
      </c>
      <c r="L679" s="18" t="n">
        <v>3069</v>
      </c>
      <c r="M679" s="20" t="n">
        <v>4.57</v>
      </c>
      <c r="N679" s="18">
        <f>ROUND(L679/M679, 0)</f>
        <v/>
      </c>
      <c r="O679" s="18">
        <f>ROUND(N679*'Methodology &amp; Assumptions'!$B$8, 0)</f>
        <v/>
      </c>
      <c r="P679" s="8" t="inlineStr">
        <is>
          <t>Band n50 (1.5 GHz, 60 MHz)</t>
        </is>
      </c>
      <c r="Q679" s="38">
        <f>ROUNDUP(O679/'Methodology &amp; Assumptions'!$B$9, 0)</f>
        <v/>
      </c>
      <c r="R679" s="39" t="n">
        <v>1</v>
      </c>
      <c r="S679" s="21" t="n">
        <v>0.64</v>
      </c>
      <c r="T679" s="21" t="n">
        <v>0.55</v>
      </c>
      <c r="U679" s="36" t="inlineStr">
        <is>
          <t>Tier 1A (Direct Coloc, &lt;1 km)</t>
        </is>
      </c>
      <c r="V679" s="20" t="n">
        <v>90.8</v>
      </c>
      <c r="W679" s="20" t="n">
        <v>77.90000000000001</v>
      </c>
      <c r="X679" s="20" t="n">
        <v>58</v>
      </c>
      <c r="Y679" s="40">
        <f>ROUND((V679*'Methodology &amp; Assumptions'!$B$6)+(W679*'Methodology &amp; Assumptions'!$B$5)+(X679*'Methodology &amp; Assumptions'!$B$7), 2)</f>
        <v/>
      </c>
    </row>
    <row r="680" ht="19" customHeight="1">
      <c r="A680" s="41" t="n">
        <v>676</v>
      </c>
      <c r="B680" s="41" t="n">
        <v>676</v>
      </c>
      <c r="C680" s="42" t="inlineStr">
        <is>
          <t>0506216051</t>
        </is>
      </c>
      <c r="D680" s="42" t="inlineStr">
        <is>
          <t>Region V (Bicol Region)</t>
        </is>
      </c>
      <c r="E680" s="42" t="inlineStr">
        <is>
          <t>Sorsogon</t>
        </is>
      </c>
      <c r="F680" s="42" t="inlineStr">
        <is>
          <t>City of Sorsogon</t>
        </is>
      </c>
      <c r="G680" s="42" t="inlineStr">
        <is>
          <t>Poblacion</t>
        </is>
      </c>
      <c r="H680" s="43" t="n">
        <v>13.040625</v>
      </c>
      <c r="I680" s="43" t="n">
        <v>124.042292</v>
      </c>
      <c r="J680" s="44" t="inlineStr">
        <is>
          <t>R</t>
        </is>
      </c>
      <c r="K680" s="42" t="inlineStr">
        <is>
          <t>Class 1-3 / Urban</t>
        </is>
      </c>
      <c r="L680" s="23" t="n">
        <v>4647</v>
      </c>
      <c r="M680" s="24" t="n">
        <v>4.58</v>
      </c>
      <c r="N680" s="23">
        <f>ROUND(L680/M680, 0)</f>
        <v/>
      </c>
      <c r="O680" s="23">
        <f>ROUND(N680*'Methodology &amp; Assumptions'!$B$8, 0)</f>
        <v/>
      </c>
      <c r="P680" s="44" t="inlineStr">
        <is>
          <t>Band n50 (1.5 GHz, 60 MHz)</t>
        </is>
      </c>
      <c r="Q680" s="38">
        <f>ROUNDUP(O680/'Methodology &amp; Assumptions'!$B$9, 0)</f>
        <v/>
      </c>
      <c r="R680" s="39" t="n">
        <v>1</v>
      </c>
      <c r="S680" s="25" t="n">
        <v>1.13</v>
      </c>
      <c r="T680" s="25" t="n">
        <v>7.12</v>
      </c>
      <c r="U680" s="42" t="inlineStr">
        <is>
          <t>Tier 1B (Micro Drop, 1-3 km)</t>
        </is>
      </c>
      <c r="V680" s="24" t="n">
        <v>68.59999999999999</v>
      </c>
      <c r="W680" s="24" t="n">
        <v>100</v>
      </c>
      <c r="X680" s="24" t="n">
        <v>58</v>
      </c>
      <c r="Y680" s="45">
        <f>ROUND((V680*'Methodology &amp; Assumptions'!$B$6)+(W680*'Methodology &amp; Assumptions'!$B$5)+(X680*'Methodology &amp; Assumptions'!$B$7), 2)</f>
        <v/>
      </c>
    </row>
    <row r="681" ht="19" customHeight="1">
      <c r="A681" s="35" t="n">
        <v>677</v>
      </c>
      <c r="B681" s="35" t="n">
        <v>677</v>
      </c>
      <c r="C681" s="36" t="inlineStr">
        <is>
          <t>1004313006</t>
        </is>
      </c>
      <c r="D681" s="36" t="inlineStr">
        <is>
          <t>Region X (Northern Mindanao)</t>
        </is>
      </c>
      <c r="E681" s="36" t="inlineStr">
        <is>
          <t>Misamis Oriental</t>
        </is>
      </c>
      <c r="F681" s="36" t="inlineStr">
        <is>
          <t>Lagonglong</t>
        </is>
      </c>
      <c r="G681" s="36" t="inlineStr">
        <is>
          <t>Lumbo</t>
        </is>
      </c>
      <c r="H681" s="37" t="n">
        <v>8.805903000000001</v>
      </c>
      <c r="I681" s="37" t="n">
        <v>124.796545</v>
      </c>
      <c r="J681" s="8" t="inlineStr">
        <is>
          <t>R</t>
        </is>
      </c>
      <c r="K681" s="36" t="inlineStr">
        <is>
          <t>4th</t>
        </is>
      </c>
      <c r="L681" s="18" t="n">
        <v>2787</v>
      </c>
      <c r="M681" s="20" t="n">
        <v>4.72</v>
      </c>
      <c r="N681" s="18">
        <f>ROUND(L681/M681, 0)</f>
        <v/>
      </c>
      <c r="O681" s="18">
        <f>ROUND(N681*'Methodology &amp; Assumptions'!$B$8, 0)</f>
        <v/>
      </c>
      <c r="P681" s="8" t="inlineStr">
        <is>
          <t>Band n50 (1.5 GHz, 60 MHz)</t>
        </is>
      </c>
      <c r="Q681" s="38">
        <f>ROUNDUP(O681/'Methodology &amp; Assumptions'!$B$9, 0)</f>
        <v/>
      </c>
      <c r="R681" s="39" t="n">
        <v>1</v>
      </c>
      <c r="S681" s="21" t="n">
        <v>0.73</v>
      </c>
      <c r="T681" s="21" t="n">
        <v>0.95</v>
      </c>
      <c r="U681" s="36" t="inlineStr">
        <is>
          <t>Tier 1A (Direct Coloc, &lt;1 km)</t>
        </is>
      </c>
      <c r="V681" s="20" t="n">
        <v>88.40000000000001</v>
      </c>
      <c r="W681" s="20" t="n">
        <v>71.2</v>
      </c>
      <c r="X681" s="20" t="n">
        <v>68.5</v>
      </c>
      <c r="Y681" s="40">
        <f>ROUND((V681*'Methodology &amp; Assumptions'!$B$6)+(W681*'Methodology &amp; Assumptions'!$B$5)+(X681*'Methodology &amp; Assumptions'!$B$7), 2)</f>
        <v/>
      </c>
    </row>
    <row r="682" ht="19" customHeight="1">
      <c r="A682" s="41" t="n">
        <v>678</v>
      </c>
      <c r="B682" s="41" t="n">
        <v>678</v>
      </c>
      <c r="C682" s="42" t="inlineStr">
        <is>
          <t>0331400006</t>
        </is>
      </c>
      <c r="D682" s="42" t="inlineStr">
        <is>
          <t>Region III (Central Luzon)</t>
        </is>
      </c>
      <c r="E682" s="42" t="inlineStr">
        <is>
          <t>Zambales</t>
        </is>
      </c>
      <c r="F682" s="42" t="inlineStr">
        <is>
          <t>City of Olongapo</t>
        </is>
      </c>
      <c r="G682" s="42" t="inlineStr">
        <is>
          <t>East Tapinac</t>
        </is>
      </c>
      <c r="H682" s="43" t="n">
        <v>14.832862</v>
      </c>
      <c r="I682" s="43" t="n">
        <v>120.285587</v>
      </c>
      <c r="J682" s="44" t="inlineStr">
        <is>
          <t>U</t>
        </is>
      </c>
      <c r="K682" s="42" t="inlineStr">
        <is>
          <t>Class 1-3 / Urban</t>
        </is>
      </c>
      <c r="L682" s="23" t="n">
        <v>9952</v>
      </c>
      <c r="M682" s="24" t="n">
        <v>4.05</v>
      </c>
      <c r="N682" s="23">
        <f>ROUND(L682/M682, 0)</f>
        <v/>
      </c>
      <c r="O682" s="23">
        <f>ROUND(N682*'Methodology &amp; Assumptions'!$B$8, 0)</f>
        <v/>
      </c>
      <c r="P682" s="44" t="inlineStr">
        <is>
          <t>Band n50 (1.5 GHz, 60 MHz)</t>
        </is>
      </c>
      <c r="Q682" s="38">
        <f>ROUNDUP(O682/'Methodology &amp; Assumptions'!$B$9, 0)</f>
        <v/>
      </c>
      <c r="R682" s="39" t="n">
        <v>1</v>
      </c>
      <c r="S682" s="25" t="n">
        <v>0.51</v>
      </c>
      <c r="T682" s="25" t="n">
        <v>0.04</v>
      </c>
      <c r="U682" s="42" t="inlineStr">
        <is>
          <t>Tier 1A (Direct Coloc, &lt;1 km)</t>
        </is>
      </c>
      <c r="V682" s="24" t="n">
        <v>94.3</v>
      </c>
      <c r="W682" s="24" t="n">
        <v>100</v>
      </c>
      <c r="X682" s="24" t="n">
        <v>28</v>
      </c>
      <c r="Y682" s="45">
        <f>ROUND((V682*'Methodology &amp; Assumptions'!$B$6)+(W682*'Methodology &amp; Assumptions'!$B$5)+(X682*'Methodology &amp; Assumptions'!$B$7), 2)</f>
        <v/>
      </c>
    </row>
    <row r="683" ht="19" customHeight="1">
      <c r="A683" s="35" t="n">
        <v>679</v>
      </c>
      <c r="B683" s="35" t="n">
        <v>679</v>
      </c>
      <c r="C683" s="36" t="inlineStr">
        <is>
          <t>0301403013</t>
        </is>
      </c>
      <c r="D683" s="36" t="inlineStr">
        <is>
          <t>Region III (Central Luzon)</t>
        </is>
      </c>
      <c r="E683" s="36" t="inlineStr">
        <is>
          <t>Bulacan</t>
        </is>
      </c>
      <c r="F683" s="36" t="inlineStr">
        <is>
          <t>Baliuag</t>
        </is>
      </c>
      <c r="G683" s="36" t="inlineStr">
        <is>
          <t>Pinagbarilan</t>
        </is>
      </c>
      <c r="H683" s="37" t="n">
        <v>14.950534</v>
      </c>
      <c r="I683" s="37" t="n">
        <v>120.88397</v>
      </c>
      <c r="J683" s="8" t="inlineStr">
        <is>
          <t>U</t>
        </is>
      </c>
      <c r="K683" s="36" t="inlineStr">
        <is>
          <t>Class 1-3 / Urban</t>
        </is>
      </c>
      <c r="L683" s="18" t="n">
        <v>6580</v>
      </c>
      <c r="M683" s="20" t="n">
        <v>4.1</v>
      </c>
      <c r="N683" s="18">
        <f>ROUND(L683/M683, 0)</f>
        <v/>
      </c>
      <c r="O683" s="18">
        <f>ROUND(N683*'Methodology &amp; Assumptions'!$B$8, 0)</f>
        <v/>
      </c>
      <c r="P683" s="8" t="inlineStr">
        <is>
          <t>Band n50 (1.5 GHz, 60 MHz)</t>
        </is>
      </c>
      <c r="Q683" s="38">
        <f>ROUNDUP(O683/'Methodology &amp; Assumptions'!$B$9, 0)</f>
        <v/>
      </c>
      <c r="R683" s="39" t="n">
        <v>1</v>
      </c>
      <c r="S683" s="21" t="n">
        <v>0.51</v>
      </c>
      <c r="T683" s="21" t="n">
        <v>0.03</v>
      </c>
      <c r="U683" s="36" t="inlineStr">
        <is>
          <t>Tier 1A (Direct Coloc, &lt;1 km)</t>
        </is>
      </c>
      <c r="V683" s="20" t="n">
        <v>94.3</v>
      </c>
      <c r="W683" s="20" t="n">
        <v>100</v>
      </c>
      <c r="X683" s="20" t="n">
        <v>28</v>
      </c>
      <c r="Y683" s="40">
        <f>ROUND((V683*'Methodology &amp; Assumptions'!$B$6)+(W683*'Methodology &amp; Assumptions'!$B$5)+(X683*'Methodology &amp; Assumptions'!$B$7), 2)</f>
        <v/>
      </c>
    </row>
    <row r="684" ht="19" customHeight="1">
      <c r="A684" s="41" t="n">
        <v>680</v>
      </c>
      <c r="B684" s="41" t="n">
        <v>680</v>
      </c>
      <c r="C684" s="42" t="inlineStr">
        <is>
          <t>0103314052</t>
        </is>
      </c>
      <c r="D684" s="42" t="inlineStr">
        <is>
          <t>Region I (Ilocos Region)</t>
        </is>
      </c>
      <c r="E684" s="42" t="inlineStr">
        <is>
          <t>La Union</t>
        </is>
      </c>
      <c r="F684" s="42" t="inlineStr">
        <is>
          <t>City of San Fernando</t>
        </is>
      </c>
      <c r="G684" s="42" t="inlineStr">
        <is>
          <t>San Francisco</t>
        </is>
      </c>
      <c r="H684" s="43" t="n">
        <v>16.602502</v>
      </c>
      <c r="I684" s="43" t="n">
        <v>120.307121</v>
      </c>
      <c r="J684" s="44" t="inlineStr">
        <is>
          <t>R</t>
        </is>
      </c>
      <c r="K684" s="42" t="inlineStr">
        <is>
          <t>Class 1-3 / Urban</t>
        </is>
      </c>
      <c r="L684" s="23" t="n">
        <v>3653</v>
      </c>
      <c r="M684" s="24" t="n">
        <v>4.42</v>
      </c>
      <c r="N684" s="23">
        <f>ROUND(L684/M684, 0)</f>
        <v/>
      </c>
      <c r="O684" s="23">
        <f>ROUND(N684*'Methodology &amp; Assumptions'!$B$8, 0)</f>
        <v/>
      </c>
      <c r="P684" s="44" t="inlineStr">
        <is>
          <t>Band n50 (1.5 GHz, 60 MHz)</t>
        </is>
      </c>
      <c r="Q684" s="38">
        <f>ROUNDUP(O684/'Methodology &amp; Assumptions'!$B$9, 0)</f>
        <v/>
      </c>
      <c r="R684" s="39" t="n">
        <v>1</v>
      </c>
      <c r="S684" s="25" t="n">
        <v>1.14</v>
      </c>
      <c r="T684" s="25" t="n">
        <v>0.19</v>
      </c>
      <c r="U684" s="42" t="inlineStr">
        <is>
          <t>Tier 1B (Micro Drop, 1-3 km)</t>
        </is>
      </c>
      <c r="V684" s="24" t="n">
        <v>78.40000000000001</v>
      </c>
      <c r="W684" s="24" t="n">
        <v>90.09999999999999</v>
      </c>
      <c r="X684" s="24" t="n">
        <v>58</v>
      </c>
      <c r="Y684" s="45">
        <f>ROUND((V684*'Methodology &amp; Assumptions'!$B$6)+(W684*'Methodology &amp; Assumptions'!$B$5)+(X684*'Methodology &amp; Assumptions'!$B$7), 2)</f>
        <v/>
      </c>
    </row>
    <row r="685" ht="19" customHeight="1">
      <c r="A685" s="35" t="n">
        <v>681</v>
      </c>
      <c r="B685" s="35" t="n">
        <v>681</v>
      </c>
      <c r="C685" s="36" t="inlineStr">
        <is>
          <t>0431200011</t>
        </is>
      </c>
      <c r="D685" s="36" t="inlineStr">
        <is>
          <t>Region IV-A (CALABARZON)</t>
        </is>
      </c>
      <c r="E685" s="36" t="inlineStr">
        <is>
          <t>Quezon</t>
        </is>
      </c>
      <c r="F685" s="36" t="inlineStr">
        <is>
          <t>City of Lucena</t>
        </is>
      </c>
      <c r="G685" s="36" t="inlineStr">
        <is>
          <t>Barangay 8</t>
        </is>
      </c>
      <c r="H685" s="37" t="n">
        <v>13.929931</v>
      </c>
      <c r="I685" s="37" t="n">
        <v>121.610813</v>
      </c>
      <c r="J685" s="8" t="inlineStr">
        <is>
          <t>U</t>
        </is>
      </c>
      <c r="K685" s="36" t="inlineStr">
        <is>
          <t>Class 1-3 / Urban</t>
        </is>
      </c>
      <c r="L685" s="18" t="n">
        <v>4001</v>
      </c>
      <c r="M685" s="20" t="n">
        <v>4.46</v>
      </c>
      <c r="N685" s="18">
        <f>ROUND(L685/M685, 0)</f>
        <v/>
      </c>
      <c r="O685" s="18">
        <f>ROUND(N685*'Methodology &amp; Assumptions'!$B$8, 0)</f>
        <v/>
      </c>
      <c r="P685" s="8" t="inlineStr">
        <is>
          <t>Band n50 (1.5 GHz, 60 MHz)</t>
        </is>
      </c>
      <c r="Q685" s="38">
        <f>ROUNDUP(O685/'Methodology &amp; Assumptions'!$B$9, 0)</f>
        <v/>
      </c>
      <c r="R685" s="39" t="n">
        <v>1</v>
      </c>
      <c r="S685" s="21" t="n">
        <v>0.37</v>
      </c>
      <c r="T685" s="21" t="n">
        <v>0.35</v>
      </c>
      <c r="U685" s="36" t="inlineStr">
        <is>
          <t>Tier 1A (Direct Coloc, &lt;1 km)</t>
        </is>
      </c>
      <c r="V685" s="20" t="n">
        <v>98.5</v>
      </c>
      <c r="W685" s="20" t="n">
        <v>95.7</v>
      </c>
      <c r="X685" s="20" t="n">
        <v>28</v>
      </c>
      <c r="Y685" s="40">
        <f>ROUND((V685*'Methodology &amp; Assumptions'!$B$6)+(W685*'Methodology &amp; Assumptions'!$B$5)+(X685*'Methodology &amp; Assumptions'!$B$7), 2)</f>
        <v/>
      </c>
    </row>
    <row r="686" ht="19" customHeight="1">
      <c r="A686" s="41" t="n">
        <v>682</v>
      </c>
      <c r="B686" s="41" t="n">
        <v>682</v>
      </c>
      <c r="C686" s="42" t="inlineStr">
        <is>
          <t>1600206006</t>
        </is>
      </c>
      <c r="D686" s="42" t="inlineStr">
        <is>
          <t>Region XIII (Caraga)</t>
        </is>
      </c>
      <c r="E686" s="42" t="inlineStr">
        <is>
          <t>Agusan del Norte</t>
        </is>
      </c>
      <c r="F686" s="42" t="inlineStr">
        <is>
          <t>Kitcharao</t>
        </is>
      </c>
      <c r="G686" s="42" t="inlineStr">
        <is>
          <t>Poblacion</t>
        </is>
      </c>
      <c r="H686" s="43" t="n">
        <v>9.456200000000001</v>
      </c>
      <c r="I686" s="43" t="n">
        <v>125.575376</v>
      </c>
      <c r="J686" s="44" t="inlineStr">
        <is>
          <t>R</t>
        </is>
      </c>
      <c r="K686" s="42" t="inlineStr">
        <is>
          <t>3rd</t>
        </is>
      </c>
      <c r="L686" s="23" t="n">
        <v>2372</v>
      </c>
      <c r="M686" s="24" t="n">
        <v>4.27</v>
      </c>
      <c r="N686" s="23">
        <f>ROUND(L686/M686, 0)</f>
        <v/>
      </c>
      <c r="O686" s="23">
        <f>ROUND(N686*'Methodology &amp; Assumptions'!$B$8, 0)</f>
        <v/>
      </c>
      <c r="P686" s="44" t="inlineStr">
        <is>
          <t>Band n50 (1.5 GHz, 60 MHz)</t>
        </is>
      </c>
      <c r="Q686" s="38">
        <f>ROUNDUP(O686/'Methodology &amp; Assumptions'!$B$9, 0)</f>
        <v/>
      </c>
      <c r="R686" s="39" t="n">
        <v>1</v>
      </c>
      <c r="S686" s="25" t="n">
        <v>0.29</v>
      </c>
      <c r="T686" s="25" t="n">
        <v>0.12</v>
      </c>
      <c r="U686" s="42" t="inlineStr">
        <is>
          <t>Tier 1A (Direct Coloc, &lt;1 km)</t>
        </is>
      </c>
      <c r="V686" s="24" t="n">
        <v>100</v>
      </c>
      <c r="W686" s="24" t="n">
        <v>68.5</v>
      </c>
      <c r="X686" s="24" t="n">
        <v>58</v>
      </c>
      <c r="Y686" s="45">
        <f>ROUND((V686*'Methodology &amp; Assumptions'!$B$6)+(W686*'Methodology &amp; Assumptions'!$B$5)+(X686*'Methodology &amp; Assumptions'!$B$7), 2)</f>
        <v/>
      </c>
    </row>
    <row r="687" ht="19" customHeight="1">
      <c r="A687" s="35" t="n">
        <v>683</v>
      </c>
      <c r="B687" s="35" t="n">
        <v>683</v>
      </c>
      <c r="C687" s="36" t="inlineStr">
        <is>
          <t>0604527005</t>
        </is>
      </c>
      <c r="D687" s="36" t="inlineStr">
        <is>
          <t>Region VI (Western Visayas)</t>
        </is>
      </c>
      <c r="E687" s="36" t="inlineStr">
        <is>
          <t>Negros Occidental</t>
        </is>
      </c>
      <c r="F687" s="36" t="inlineStr">
        <is>
          <t>City of Sipalay</t>
        </is>
      </c>
      <c r="G687" s="36" t="inlineStr">
        <is>
          <t>Barangay 5</t>
        </is>
      </c>
      <c r="H687" s="37" t="n">
        <v>9.755179</v>
      </c>
      <c r="I687" s="37" t="n">
        <v>122.4</v>
      </c>
      <c r="J687" s="8" t="inlineStr">
        <is>
          <t>R</t>
        </is>
      </c>
      <c r="K687" s="36" t="inlineStr">
        <is>
          <t>Class 1-3 / Urban</t>
        </is>
      </c>
      <c r="L687" s="18" t="n">
        <v>3154</v>
      </c>
      <c r="M687" s="20" t="n">
        <v>4.33</v>
      </c>
      <c r="N687" s="18">
        <f>ROUND(L687/M687, 0)</f>
        <v/>
      </c>
      <c r="O687" s="18">
        <f>ROUND(N687*'Methodology &amp; Assumptions'!$B$8, 0)</f>
        <v/>
      </c>
      <c r="P687" s="8" t="inlineStr">
        <is>
          <t>Band n50 (1.5 GHz, 60 MHz)</t>
        </is>
      </c>
      <c r="Q687" s="38">
        <f>ROUNDUP(O687/'Methodology &amp; Assumptions'!$B$9, 0)</f>
        <v/>
      </c>
      <c r="R687" s="39" t="n">
        <v>1</v>
      </c>
      <c r="S687" s="21" t="n">
        <v>0.8100000000000001</v>
      </c>
      <c r="T687" s="21" t="n">
        <v>0.86</v>
      </c>
      <c r="U687" s="36" t="inlineStr">
        <is>
          <t>Tier 1A (Direct Coloc, &lt;1 km)</t>
        </is>
      </c>
      <c r="V687" s="20" t="n">
        <v>86.40000000000001</v>
      </c>
      <c r="W687" s="20" t="n">
        <v>82.09999999999999</v>
      </c>
      <c r="X687" s="20" t="n">
        <v>58</v>
      </c>
      <c r="Y687" s="40">
        <f>ROUND((V687*'Methodology &amp; Assumptions'!$B$6)+(W687*'Methodology &amp; Assumptions'!$B$5)+(X687*'Methodology &amp; Assumptions'!$B$7), 2)</f>
        <v/>
      </c>
    </row>
    <row r="688" ht="19" customHeight="1">
      <c r="A688" s="41" t="n">
        <v>684</v>
      </c>
      <c r="B688" s="41" t="n">
        <v>684</v>
      </c>
      <c r="C688" s="42" t="inlineStr">
        <is>
          <t>1705105010</t>
        </is>
      </c>
      <c r="D688" s="42" t="inlineStr">
        <is>
          <t>MIMAROPA Region</t>
        </is>
      </c>
      <c r="E688" s="42" t="inlineStr">
        <is>
          <t>Occidental Mindoro</t>
        </is>
      </c>
      <c r="F688" s="42" t="inlineStr">
        <is>
          <t>Magsaysay</t>
        </is>
      </c>
      <c r="G688" s="42" t="inlineStr">
        <is>
          <t>Poblacion</t>
        </is>
      </c>
      <c r="H688" s="43" t="n">
        <v>12.31198</v>
      </c>
      <c r="I688" s="43" t="n">
        <v>121.1461</v>
      </c>
      <c r="J688" s="44" t="inlineStr">
        <is>
          <t>U</t>
        </is>
      </c>
      <c r="K688" s="42" t="inlineStr">
        <is>
          <t>Class 1-3 / Urban</t>
        </is>
      </c>
      <c r="L688" s="23" t="n">
        <v>9681</v>
      </c>
      <c r="M688" s="24" t="n">
        <v>4.04</v>
      </c>
      <c r="N688" s="23">
        <f>ROUND(L688/M688, 0)</f>
        <v/>
      </c>
      <c r="O688" s="23">
        <f>ROUND(N688*'Methodology &amp; Assumptions'!$B$8, 0)</f>
        <v/>
      </c>
      <c r="P688" s="44" t="inlineStr">
        <is>
          <t>Band n50 (1.5 GHz, 60 MHz)</t>
        </is>
      </c>
      <c r="Q688" s="38">
        <f>ROUNDUP(O688/'Methodology &amp; Assumptions'!$B$9, 0)</f>
        <v/>
      </c>
      <c r="R688" s="39" t="n">
        <v>1</v>
      </c>
      <c r="S688" s="25" t="n">
        <v>0.52</v>
      </c>
      <c r="T688" s="25" t="n">
        <v>0.13</v>
      </c>
      <c r="U688" s="42" t="inlineStr">
        <is>
          <t>Tier 1A (Direct Coloc, &lt;1 km)</t>
        </is>
      </c>
      <c r="V688" s="24" t="n">
        <v>94.2</v>
      </c>
      <c r="W688" s="24" t="n">
        <v>100</v>
      </c>
      <c r="X688" s="24" t="n">
        <v>28</v>
      </c>
      <c r="Y688" s="45">
        <f>ROUND((V688*'Methodology &amp; Assumptions'!$B$6)+(W688*'Methodology &amp; Assumptions'!$B$5)+(X688*'Methodology &amp; Assumptions'!$B$7), 2)</f>
        <v/>
      </c>
    </row>
    <row r="689" ht="19" customHeight="1">
      <c r="A689" s="35" t="n">
        <v>685</v>
      </c>
      <c r="B689" s="35" t="n">
        <v>685</v>
      </c>
      <c r="C689" s="36" t="inlineStr">
        <is>
          <t>0403424051</t>
        </is>
      </c>
      <c r="D689" s="36" t="inlineStr">
        <is>
          <t>Region IV-A (CALABARZON)</t>
        </is>
      </c>
      <c r="E689" s="36" t="inlineStr">
        <is>
          <t>Laguna</t>
        </is>
      </c>
      <c r="F689" s="36" t="inlineStr">
        <is>
          <t>City of San Pablo</t>
        </is>
      </c>
      <c r="G689" s="36" t="inlineStr">
        <is>
          <t>San Isidro</t>
        </is>
      </c>
      <c r="H689" s="37" t="n">
        <v>13.984723</v>
      </c>
      <c r="I689" s="37" t="n">
        <v>121.314136</v>
      </c>
      <c r="J689" s="8" t="inlineStr">
        <is>
          <t>R</t>
        </is>
      </c>
      <c r="K689" s="36" t="inlineStr">
        <is>
          <t>Class 1-3 / Urban</t>
        </is>
      </c>
      <c r="L689" s="18" t="n">
        <v>4262</v>
      </c>
      <c r="M689" s="20" t="n">
        <v>4.2</v>
      </c>
      <c r="N689" s="18">
        <f>ROUND(L689/M689, 0)</f>
        <v/>
      </c>
      <c r="O689" s="18">
        <f>ROUND(N689*'Methodology &amp; Assumptions'!$B$8, 0)</f>
        <v/>
      </c>
      <c r="P689" s="8" t="inlineStr">
        <is>
          <t>Band n50 (1.5 GHz, 60 MHz)</t>
        </is>
      </c>
      <c r="Q689" s="38">
        <f>ROUNDUP(O689/'Methodology &amp; Assumptions'!$B$9, 0)</f>
        <v/>
      </c>
      <c r="R689" s="39" t="n">
        <v>1</v>
      </c>
      <c r="S689" s="21" t="n">
        <v>1.61</v>
      </c>
      <c r="T689" s="21" t="n">
        <v>1.36</v>
      </c>
      <c r="U689" s="36" t="inlineStr">
        <is>
          <t>Tier 1B (Micro Drop, 1-3 km)</t>
        </is>
      </c>
      <c r="V689" s="20" t="n">
        <v>68.5</v>
      </c>
      <c r="W689" s="20" t="n">
        <v>100</v>
      </c>
      <c r="X689" s="20" t="n">
        <v>58</v>
      </c>
      <c r="Y689" s="40">
        <f>ROUND((V689*'Methodology &amp; Assumptions'!$B$6)+(W689*'Methodology &amp; Assumptions'!$B$5)+(X689*'Methodology &amp; Assumptions'!$B$7), 2)</f>
        <v/>
      </c>
    </row>
    <row r="690" ht="19" customHeight="1">
      <c r="A690" s="41" t="n">
        <v>686</v>
      </c>
      <c r="B690" s="41" t="n">
        <v>686</v>
      </c>
      <c r="C690" s="42" t="inlineStr">
        <is>
          <t>0803738062</t>
        </is>
      </c>
      <c r="D690" s="42" t="inlineStr">
        <is>
          <t>Region VIII (Eastern Visayas)</t>
        </is>
      </c>
      <c r="E690" s="42" t="inlineStr">
        <is>
          <t>Leyte</t>
        </is>
      </c>
      <c r="F690" s="42" t="inlineStr">
        <is>
          <t>Ormoc City</t>
        </is>
      </c>
      <c r="G690" s="42" t="inlineStr">
        <is>
          <t>Macabug</t>
        </is>
      </c>
      <c r="H690" s="43" t="n">
        <v>10.960273</v>
      </c>
      <c r="I690" s="43" t="n">
        <v>124.650943</v>
      </c>
      <c r="J690" s="44" t="inlineStr">
        <is>
          <t>U</t>
        </is>
      </c>
      <c r="K690" s="42" t="inlineStr">
        <is>
          <t>Class 1-3 / Urban</t>
        </is>
      </c>
      <c r="L690" s="23" t="n">
        <v>3719</v>
      </c>
      <c r="M690" s="24" t="n">
        <v>4.24</v>
      </c>
      <c r="N690" s="23">
        <f>ROUND(L690/M690, 0)</f>
        <v/>
      </c>
      <c r="O690" s="23">
        <f>ROUND(N690*'Methodology &amp; Assumptions'!$B$8, 0)</f>
        <v/>
      </c>
      <c r="P690" s="44" t="inlineStr">
        <is>
          <t>Band n50 (1.5 GHz, 60 MHz)</t>
        </is>
      </c>
      <c r="Q690" s="38">
        <f>ROUNDUP(O690/'Methodology &amp; Assumptions'!$B$9, 0)</f>
        <v/>
      </c>
      <c r="R690" s="39" t="n">
        <v>1</v>
      </c>
      <c r="S690" s="25" t="n">
        <v>0.22</v>
      </c>
      <c r="T690" s="25" t="n">
        <v>0.32</v>
      </c>
      <c r="U690" s="42" t="inlineStr">
        <is>
          <t>Tier 1A (Direct Coloc, &lt;1 km)</t>
        </is>
      </c>
      <c r="V690" s="24" t="n">
        <v>100</v>
      </c>
      <c r="W690" s="24" t="n">
        <v>94.09999999999999</v>
      </c>
      <c r="X690" s="24" t="n">
        <v>28</v>
      </c>
      <c r="Y690" s="45">
        <f>ROUND((V690*'Methodology &amp; Assumptions'!$B$6)+(W690*'Methodology &amp; Assumptions'!$B$5)+(X690*'Methodology &amp; Assumptions'!$B$7), 2)</f>
        <v/>
      </c>
    </row>
    <row r="691" ht="19" customHeight="1">
      <c r="A691" s="35" t="n">
        <v>687</v>
      </c>
      <c r="B691" s="35" t="n">
        <v>687</v>
      </c>
      <c r="C691" s="36" t="inlineStr">
        <is>
          <t>0203104016</t>
        </is>
      </c>
      <c r="D691" s="36" t="inlineStr">
        <is>
          <t>Region II (Cagayan Valley)</t>
        </is>
      </c>
      <c r="E691" s="36" t="inlineStr">
        <is>
          <t>Isabela</t>
        </is>
      </c>
      <c r="F691" s="36" t="inlineStr">
        <is>
          <t>Benito Soliven</t>
        </is>
      </c>
      <c r="G691" s="36" t="inlineStr">
        <is>
          <t>District I</t>
        </is>
      </c>
      <c r="H691" s="37" t="n">
        <v>16.978746</v>
      </c>
      <c r="I691" s="37" t="n">
        <v>121.960699</v>
      </c>
      <c r="J691" s="8" t="inlineStr">
        <is>
          <t>R</t>
        </is>
      </c>
      <c r="K691" s="36" t="inlineStr">
        <is>
          <t>2nd</t>
        </is>
      </c>
      <c r="L691" s="18" t="n">
        <v>3426</v>
      </c>
      <c r="M691" s="20" t="n">
        <v>4.26</v>
      </c>
      <c r="N691" s="18">
        <f>ROUND(L691/M691, 0)</f>
        <v/>
      </c>
      <c r="O691" s="18">
        <f>ROUND(N691*'Methodology &amp; Assumptions'!$B$8, 0)</f>
        <v/>
      </c>
      <c r="P691" s="8" t="inlineStr">
        <is>
          <t>Band n50 (1.5 GHz, 60 MHz)</t>
        </is>
      </c>
      <c r="Q691" s="38">
        <f>ROUNDUP(O691/'Methodology &amp; Assumptions'!$B$9, 0)</f>
        <v/>
      </c>
      <c r="R691" s="39" t="n">
        <v>1</v>
      </c>
      <c r="S691" s="21" t="n">
        <v>0.66</v>
      </c>
      <c r="T691" s="21" t="n">
        <v>11.78</v>
      </c>
      <c r="U691" s="36" t="inlineStr">
        <is>
          <t>Tier 1A (Direct Coloc, &lt;1 km)</t>
        </is>
      </c>
      <c r="V691" s="20" t="n">
        <v>80.09999999999999</v>
      </c>
      <c r="W691" s="20" t="n">
        <v>88.3</v>
      </c>
      <c r="X691" s="20" t="n">
        <v>58</v>
      </c>
      <c r="Y691" s="40">
        <f>ROUND((V691*'Methodology &amp; Assumptions'!$B$6)+(W691*'Methodology &amp; Assumptions'!$B$5)+(X691*'Methodology &amp; Assumptions'!$B$7), 2)</f>
        <v/>
      </c>
    </row>
    <row r="692" ht="19" customHeight="1">
      <c r="A692" s="41" t="n">
        <v>688</v>
      </c>
      <c r="B692" s="41" t="n">
        <v>688</v>
      </c>
      <c r="C692" s="42" t="inlineStr">
        <is>
          <t>0403425005</t>
        </is>
      </c>
      <c r="D692" s="42" t="inlineStr">
        <is>
          <t>Region IV-A (CALABARZON)</t>
        </is>
      </c>
      <c r="E692" s="42" t="inlineStr">
        <is>
          <t>Laguna</t>
        </is>
      </c>
      <c r="F692" s="42" t="inlineStr">
        <is>
          <t>City of San Pedro</t>
        </is>
      </c>
      <c r="G692" s="42" t="inlineStr">
        <is>
          <t>Landayan</t>
        </is>
      </c>
      <c r="H692" s="43" t="n">
        <v>14.352396</v>
      </c>
      <c r="I692" s="43" t="n">
        <v>121.067882</v>
      </c>
      <c r="J692" s="44" t="inlineStr">
        <is>
          <t>U</t>
        </is>
      </c>
      <c r="K692" s="42" t="inlineStr">
        <is>
          <t>Class 1-3 / Urban</t>
        </is>
      </c>
      <c r="L692" s="23" t="n">
        <v>33235</v>
      </c>
      <c r="M692" s="24" t="n">
        <v>4.2</v>
      </c>
      <c r="N692" s="23">
        <f>ROUND(L692/M692, 0)</f>
        <v/>
      </c>
      <c r="O692" s="23">
        <f>ROUND(N692*'Methodology &amp; Assumptions'!$B$8, 0)</f>
        <v/>
      </c>
      <c r="P692" s="44" t="inlineStr">
        <is>
          <t>Band n50 (1.5 GHz, 60 MHz)</t>
        </is>
      </c>
      <c r="Q692" s="38">
        <f>ROUNDUP(O692/'Methodology &amp; Assumptions'!$B$9, 0)</f>
        <v/>
      </c>
      <c r="R692" s="39" t="n">
        <v>1</v>
      </c>
      <c r="S692" s="25" t="n">
        <v>0.48</v>
      </c>
      <c r="T692" s="25" t="n">
        <v>0.48</v>
      </c>
      <c r="U692" s="42" t="inlineStr">
        <is>
          <t>Tier 1A (Direct Coloc, &lt;1 km)</t>
        </is>
      </c>
      <c r="V692" s="24" t="n">
        <v>95.3</v>
      </c>
      <c r="W692" s="24" t="n">
        <v>98.8</v>
      </c>
      <c r="X692" s="24" t="n">
        <v>28</v>
      </c>
      <c r="Y692" s="45">
        <f>ROUND((V692*'Methodology &amp; Assumptions'!$B$6)+(W692*'Methodology &amp; Assumptions'!$B$5)+(X692*'Methodology &amp; Assumptions'!$B$7), 2)</f>
        <v/>
      </c>
    </row>
    <row r="693" ht="19" customHeight="1">
      <c r="A693" s="35" t="n">
        <v>689</v>
      </c>
      <c r="B693" s="35" t="n">
        <v>689</v>
      </c>
      <c r="C693" s="36" t="inlineStr">
        <is>
          <t>0405802003</t>
        </is>
      </c>
      <c r="D693" s="36" t="inlineStr">
        <is>
          <t>Region IV-A (CALABARZON)</t>
        </is>
      </c>
      <c r="E693" s="36" t="inlineStr">
        <is>
          <t>Rizal</t>
        </is>
      </c>
      <c r="F693" s="36" t="inlineStr">
        <is>
          <t>City of Antipolo</t>
        </is>
      </c>
      <c r="G693" s="36" t="inlineStr">
        <is>
          <t>Dela Paz</t>
        </is>
      </c>
      <c r="H693" s="37" t="n">
        <v>14.588723</v>
      </c>
      <c r="I693" s="37" t="n">
        <v>121.174013</v>
      </c>
      <c r="J693" s="8" t="inlineStr">
        <is>
          <t>U</t>
        </is>
      </c>
      <c r="K693" s="36" t="inlineStr">
        <is>
          <t>Class 1-3 / Urban</t>
        </is>
      </c>
      <c r="L693" s="18" t="n">
        <v>77207</v>
      </c>
      <c r="M693" s="20" t="n">
        <v>4.39</v>
      </c>
      <c r="N693" s="18">
        <f>ROUND(L693/M693, 0)</f>
        <v/>
      </c>
      <c r="O693" s="18">
        <f>ROUND(N693*'Methodology &amp; Assumptions'!$B$8, 0)</f>
        <v/>
      </c>
      <c r="P693" s="8" t="inlineStr">
        <is>
          <t>Band n50 (1.5 GHz, 60 MHz)</t>
        </is>
      </c>
      <c r="Q693" s="38">
        <f>ROUNDUP(O693/'Methodology &amp; Assumptions'!$B$9, 0)</f>
        <v/>
      </c>
      <c r="R693" s="39" t="n">
        <v>1</v>
      </c>
      <c r="S693" s="21" t="n">
        <v>0.22</v>
      </c>
      <c r="T693" s="21" t="n">
        <v>0.17</v>
      </c>
      <c r="U693" s="36" t="inlineStr">
        <is>
          <t>Tier 1A (Direct Coloc, &lt;1 km)</t>
        </is>
      </c>
      <c r="V693" s="20" t="n">
        <v>100</v>
      </c>
      <c r="W693" s="20" t="n">
        <v>94</v>
      </c>
      <c r="X693" s="20" t="n">
        <v>28</v>
      </c>
      <c r="Y693" s="40">
        <f>ROUND((V693*'Methodology &amp; Assumptions'!$B$6)+(W693*'Methodology &amp; Assumptions'!$B$5)+(X693*'Methodology &amp; Assumptions'!$B$7), 2)</f>
        <v/>
      </c>
    </row>
    <row r="694" ht="19" customHeight="1">
      <c r="A694" s="41" t="n">
        <v>690</v>
      </c>
      <c r="B694" s="41" t="n">
        <v>690</v>
      </c>
      <c r="C694" s="42" t="inlineStr">
        <is>
          <t>1004325014</t>
        </is>
      </c>
      <c r="D694" s="42" t="inlineStr">
        <is>
          <t>Region X (Northern Mindanao)</t>
        </is>
      </c>
      <c r="E694" s="42" t="inlineStr">
        <is>
          <t>Misamis Oriental</t>
        </is>
      </c>
      <c r="F694" s="42" t="inlineStr">
        <is>
          <t>Talisayan</t>
        </is>
      </c>
      <c r="G694" s="42" t="inlineStr">
        <is>
          <t>San Jose</t>
        </is>
      </c>
      <c r="H694" s="43" t="n">
        <v>8.9916</v>
      </c>
      <c r="I694" s="43" t="n">
        <v>124.8883</v>
      </c>
      <c r="J694" s="44" t="inlineStr">
        <is>
          <t>R</t>
        </is>
      </c>
      <c r="K694" s="42" t="inlineStr">
        <is>
          <t>3rd</t>
        </is>
      </c>
      <c r="L694" s="23" t="n">
        <v>3763</v>
      </c>
      <c r="M694" s="24" t="n">
        <v>4.54</v>
      </c>
      <c r="N694" s="23">
        <f>ROUND(L694/M694, 0)</f>
        <v/>
      </c>
      <c r="O694" s="23">
        <f>ROUND(N694*'Methodology &amp; Assumptions'!$B$8, 0)</f>
        <v/>
      </c>
      <c r="P694" s="44" t="inlineStr">
        <is>
          <t>Band n50 (1.5 GHz, 60 MHz)</t>
        </is>
      </c>
      <c r="Q694" s="38">
        <f>ROUNDUP(O694/'Methodology &amp; Assumptions'!$B$9, 0)</f>
        <v/>
      </c>
      <c r="R694" s="39" t="n">
        <v>1</v>
      </c>
      <c r="S694" s="25" t="n">
        <v>1.16</v>
      </c>
      <c r="T694" s="25" t="n">
        <v>0.03</v>
      </c>
      <c r="U694" s="42" t="inlineStr">
        <is>
          <t>Tier 1B (Micro Drop, 1-3 km)</t>
        </is>
      </c>
      <c r="V694" s="24" t="n">
        <v>77.90000000000001</v>
      </c>
      <c r="W694" s="24" t="n">
        <v>90.40000000000001</v>
      </c>
      <c r="X694" s="24" t="n">
        <v>58</v>
      </c>
      <c r="Y694" s="45">
        <f>ROUND((V694*'Methodology &amp; Assumptions'!$B$6)+(W694*'Methodology &amp; Assumptions'!$B$5)+(X694*'Methodology &amp; Assumptions'!$B$7), 2)</f>
        <v/>
      </c>
    </row>
    <row r="695" ht="19" customHeight="1">
      <c r="A695" s="35" t="n">
        <v>691</v>
      </c>
      <c r="B695" s="35" t="n">
        <v>691</v>
      </c>
      <c r="C695" s="36" t="inlineStr">
        <is>
          <t>1004322008</t>
        </is>
      </c>
      <c r="D695" s="36" t="inlineStr">
        <is>
          <t>Region X (Northern Mindanao)</t>
        </is>
      </c>
      <c r="E695" s="36" t="inlineStr">
        <is>
          <t>Misamis Oriental</t>
        </is>
      </c>
      <c r="F695" s="36" t="inlineStr">
        <is>
          <t>Salay</t>
        </is>
      </c>
      <c r="G695" s="36" t="inlineStr">
        <is>
          <t>Looc</t>
        </is>
      </c>
      <c r="H695" s="37" t="n">
        <v>8.849332</v>
      </c>
      <c r="I695" s="37" t="n">
        <v>124.789041</v>
      </c>
      <c r="J695" s="8" t="inlineStr">
        <is>
          <t>R</t>
        </is>
      </c>
      <c r="K695" s="36" t="inlineStr">
        <is>
          <t>2nd</t>
        </is>
      </c>
      <c r="L695" s="18" t="n">
        <v>3376</v>
      </c>
      <c r="M695" s="20" t="n">
        <v>4.51</v>
      </c>
      <c r="N695" s="18">
        <f>ROUND(L695/M695, 0)</f>
        <v/>
      </c>
      <c r="O695" s="18">
        <f>ROUND(N695*'Methodology &amp; Assumptions'!$B$8, 0)</f>
        <v/>
      </c>
      <c r="P695" s="8" t="inlineStr">
        <is>
          <t>Band n50 (1.5 GHz, 60 MHz)</t>
        </is>
      </c>
      <c r="Q695" s="38">
        <f>ROUNDUP(O695/'Methodology &amp; Assumptions'!$B$9, 0)</f>
        <v/>
      </c>
      <c r="R695" s="39" t="n">
        <v>1</v>
      </c>
      <c r="S695" s="21" t="n">
        <v>0.89</v>
      </c>
      <c r="T695" s="21" t="n">
        <v>0.09</v>
      </c>
      <c r="U695" s="36" t="inlineStr">
        <is>
          <t>Tier 1A (Direct Coloc, &lt;1 km)</t>
        </is>
      </c>
      <c r="V695" s="20" t="n">
        <v>84.3</v>
      </c>
      <c r="W695" s="20" t="n">
        <v>84</v>
      </c>
      <c r="X695" s="20" t="n">
        <v>58</v>
      </c>
      <c r="Y695" s="40">
        <f>ROUND((V695*'Methodology &amp; Assumptions'!$B$6)+(W695*'Methodology &amp; Assumptions'!$B$5)+(X695*'Methodology &amp; Assumptions'!$B$7), 2)</f>
        <v/>
      </c>
    </row>
    <row r="696" ht="19" customHeight="1">
      <c r="A696" s="41" t="n">
        <v>692</v>
      </c>
      <c r="B696" s="41" t="n">
        <v>692</v>
      </c>
      <c r="C696" s="42" t="inlineStr">
        <is>
          <t>1102303006</t>
        </is>
      </c>
      <c r="D696" s="42" t="inlineStr">
        <is>
          <t>Region XI (Davao Region)</t>
        </is>
      </c>
      <c r="E696" s="42" t="inlineStr">
        <is>
          <t>Davao del Norte</t>
        </is>
      </c>
      <c r="F696" s="42" t="inlineStr">
        <is>
          <t>Carmen</t>
        </is>
      </c>
      <c r="G696" s="42" t="inlineStr">
        <is>
          <t>Guadalupe</t>
        </is>
      </c>
      <c r="H696" s="43" t="n">
        <v>7.37713</v>
      </c>
      <c r="I696" s="43" t="n">
        <v>125.74205</v>
      </c>
      <c r="J696" s="44" t="inlineStr">
        <is>
          <t>R</t>
        </is>
      </c>
      <c r="K696" s="42" t="inlineStr">
        <is>
          <t>Class 1-3 / Urban</t>
        </is>
      </c>
      <c r="L696" s="23" t="n">
        <v>3150</v>
      </c>
      <c r="M696" s="24" t="n">
        <v>4.25</v>
      </c>
      <c r="N696" s="23">
        <f>ROUND(L696/M696, 0)</f>
        <v/>
      </c>
      <c r="O696" s="23">
        <f>ROUND(N696*'Methodology &amp; Assumptions'!$B$8, 0)</f>
        <v/>
      </c>
      <c r="P696" s="44" t="inlineStr">
        <is>
          <t>Band n50 (1.5 GHz, 60 MHz)</t>
        </is>
      </c>
      <c r="Q696" s="38">
        <f>ROUNDUP(O696/'Methodology &amp; Assumptions'!$B$9, 0)</f>
        <v/>
      </c>
      <c r="R696" s="39" t="n">
        <v>1</v>
      </c>
      <c r="S696" s="25" t="n">
        <v>0.86</v>
      </c>
      <c r="T696" s="25" t="n">
        <v>0.18</v>
      </c>
      <c r="U696" s="42" t="inlineStr">
        <is>
          <t>Tier 1A (Direct Coloc, &lt;1 km)</t>
        </is>
      </c>
      <c r="V696" s="24" t="n">
        <v>85.09999999999999</v>
      </c>
      <c r="W696" s="24" t="n">
        <v>83.2</v>
      </c>
      <c r="X696" s="24" t="n">
        <v>58</v>
      </c>
      <c r="Y696" s="45">
        <f>ROUND((V696*'Methodology &amp; Assumptions'!$B$6)+(W696*'Methodology &amp; Assumptions'!$B$5)+(X696*'Methodology &amp; Assumptions'!$B$7), 2)</f>
        <v/>
      </c>
    </row>
    <row r="697" ht="19" customHeight="1">
      <c r="A697" s="35" t="n">
        <v>693</v>
      </c>
      <c r="B697" s="35" t="n">
        <v>693</v>
      </c>
      <c r="C697" s="36" t="inlineStr">
        <is>
          <t>0102822009</t>
        </is>
      </c>
      <c r="D697" s="36" t="inlineStr">
        <is>
          <t>Region I (Ilocos Region)</t>
        </is>
      </c>
      <c r="E697" s="36" t="inlineStr">
        <is>
          <t>Ilocos Norte</t>
        </is>
      </c>
      <c r="F697" s="36" t="inlineStr">
        <is>
          <t>Solsona</t>
        </is>
      </c>
      <c r="G697" s="36" t="inlineStr">
        <is>
          <t>Juan</t>
        </is>
      </c>
      <c r="H697" s="37" t="n">
        <v>18.101053</v>
      </c>
      <c r="I697" s="37" t="n">
        <v>120.772349</v>
      </c>
      <c r="J697" s="8" t="inlineStr">
        <is>
          <t>R</t>
        </is>
      </c>
      <c r="K697" s="36" t="inlineStr">
        <is>
          <t>Class 1-3 / Urban</t>
        </is>
      </c>
      <c r="L697" s="18" t="n">
        <v>2402</v>
      </c>
      <c r="M697" s="20" t="n">
        <v>4.35</v>
      </c>
      <c r="N697" s="18">
        <f>ROUND(L697/M697, 0)</f>
        <v/>
      </c>
      <c r="O697" s="18">
        <f>ROUND(N697*'Methodology &amp; Assumptions'!$B$8, 0)</f>
        <v/>
      </c>
      <c r="P697" s="8" t="inlineStr">
        <is>
          <t>Band n50 (1.5 GHz, 60 MHz)</t>
        </is>
      </c>
      <c r="Q697" s="38">
        <f>ROUNDUP(O697/'Methodology &amp; Assumptions'!$B$9, 0)</f>
        <v/>
      </c>
      <c r="R697" s="39" t="n">
        <v>1</v>
      </c>
      <c r="S697" s="21" t="n">
        <v>0.18</v>
      </c>
      <c r="T697" s="21" t="n">
        <v>0.16</v>
      </c>
      <c r="U697" s="36" t="inlineStr">
        <is>
          <t>Tier 1A (Direct Coloc, &lt;1 km)</t>
        </is>
      </c>
      <c r="V697" s="20" t="n">
        <v>100</v>
      </c>
      <c r="W697" s="20" t="n">
        <v>68.3</v>
      </c>
      <c r="X697" s="20" t="n">
        <v>58</v>
      </c>
      <c r="Y697" s="40">
        <f>ROUND((V697*'Methodology &amp; Assumptions'!$B$6)+(W697*'Methodology &amp; Assumptions'!$B$5)+(X697*'Methodology &amp; Assumptions'!$B$7), 2)</f>
        <v/>
      </c>
    </row>
    <row r="698" ht="19" customHeight="1">
      <c r="A698" s="41" t="n">
        <v>694</v>
      </c>
      <c r="B698" s="41" t="n">
        <v>694</v>
      </c>
      <c r="C698" s="42" t="inlineStr">
        <is>
          <t>0403405049</t>
        </is>
      </c>
      <c r="D698" s="42" t="inlineStr">
        <is>
          <t>Region IV-A (CALABARZON)</t>
        </is>
      </c>
      <c r="E698" s="42" t="inlineStr">
        <is>
          <t>Laguna</t>
        </is>
      </c>
      <c r="F698" s="42" t="inlineStr">
        <is>
          <t>City of Calamba</t>
        </is>
      </c>
      <c r="G698" s="42" t="inlineStr">
        <is>
          <t>Real</t>
        </is>
      </c>
      <c r="H698" s="43" t="n">
        <v>14.19845</v>
      </c>
      <c r="I698" s="43" t="n">
        <v>121.150871</v>
      </c>
      <c r="J698" s="44" t="inlineStr">
        <is>
          <t>U</t>
        </is>
      </c>
      <c r="K698" s="42" t="inlineStr">
        <is>
          <t>Class 1-3 / Urban</t>
        </is>
      </c>
      <c r="L698" s="23" t="n">
        <v>16371</v>
      </c>
      <c r="M698" s="24" t="n">
        <v>4.2</v>
      </c>
      <c r="N698" s="23">
        <f>ROUND(L698/M698, 0)</f>
        <v/>
      </c>
      <c r="O698" s="23">
        <f>ROUND(N698*'Methodology &amp; Assumptions'!$B$8, 0)</f>
        <v/>
      </c>
      <c r="P698" s="44" t="inlineStr">
        <is>
          <t>Band n50 (1.5 GHz, 60 MHz)</t>
        </is>
      </c>
      <c r="Q698" s="38">
        <f>ROUNDUP(O698/'Methodology &amp; Assumptions'!$B$9, 0)</f>
        <v/>
      </c>
      <c r="R698" s="39" t="n">
        <v>1</v>
      </c>
      <c r="S698" s="25" t="n">
        <v>0.53</v>
      </c>
      <c r="T698" s="25" t="n">
        <v>0.13</v>
      </c>
      <c r="U698" s="42" t="inlineStr">
        <is>
          <t>Tier 1A (Direct Coloc, &lt;1 km)</t>
        </is>
      </c>
      <c r="V698" s="24" t="n">
        <v>93.90000000000001</v>
      </c>
      <c r="W698" s="24" t="n">
        <v>100</v>
      </c>
      <c r="X698" s="24" t="n">
        <v>28</v>
      </c>
      <c r="Y698" s="45">
        <f>ROUND((V698*'Methodology &amp; Assumptions'!$B$6)+(W698*'Methodology &amp; Assumptions'!$B$5)+(X698*'Methodology &amp; Assumptions'!$B$7), 2)</f>
        <v/>
      </c>
    </row>
    <row r="699" ht="19" customHeight="1">
      <c r="A699" s="35" t="n">
        <v>695</v>
      </c>
      <c r="B699" s="35" t="n">
        <v>695</v>
      </c>
      <c r="C699" s="36" t="inlineStr">
        <is>
          <t>0301423025</t>
        </is>
      </c>
      <c r="D699" s="36" t="inlineStr">
        <is>
          <t>Region III (Central Luzon)</t>
        </is>
      </c>
      <c r="E699" s="36" t="inlineStr">
        <is>
          <t>Bulacan</t>
        </is>
      </c>
      <c r="F699" s="36" t="inlineStr">
        <is>
          <t>Santa Maria</t>
        </is>
      </c>
      <c r="G699" s="36" t="inlineStr">
        <is>
          <t>Tumana</t>
        </is>
      </c>
      <c r="H699" s="37" t="n">
        <v>14.812912</v>
      </c>
      <c r="I699" s="37" t="n">
        <v>120.973511</v>
      </c>
      <c r="J699" s="8" t="inlineStr">
        <is>
          <t>U</t>
        </is>
      </c>
      <c r="K699" s="36" t="inlineStr">
        <is>
          <t>Class 1-3 / Urban</t>
        </is>
      </c>
      <c r="L699" s="18" t="n">
        <v>10406</v>
      </c>
      <c r="M699" s="20" t="n">
        <v>4.1</v>
      </c>
      <c r="N699" s="18">
        <f>ROUND(L699/M699, 0)</f>
        <v/>
      </c>
      <c r="O699" s="18">
        <f>ROUND(N699*'Methodology &amp; Assumptions'!$B$8, 0)</f>
        <v/>
      </c>
      <c r="P699" s="8" t="inlineStr">
        <is>
          <t>Band n50 (1.5 GHz, 60 MHz)</t>
        </is>
      </c>
      <c r="Q699" s="38">
        <f>ROUNDUP(O699/'Methodology &amp; Assumptions'!$B$9, 0)</f>
        <v/>
      </c>
      <c r="R699" s="39" t="n">
        <v>1</v>
      </c>
      <c r="S699" s="21" t="n">
        <v>0.53</v>
      </c>
      <c r="T699" s="21" t="n">
        <v>0.22</v>
      </c>
      <c r="U699" s="36" t="inlineStr">
        <is>
          <t>Tier 1A (Direct Coloc, &lt;1 km)</t>
        </is>
      </c>
      <c r="V699" s="20" t="n">
        <v>93.90000000000001</v>
      </c>
      <c r="W699" s="20" t="n">
        <v>100</v>
      </c>
      <c r="X699" s="20" t="n">
        <v>28</v>
      </c>
      <c r="Y699" s="40">
        <f>ROUND((V699*'Methodology &amp; Assumptions'!$B$6)+(W699*'Methodology &amp; Assumptions'!$B$5)+(X699*'Methodology &amp; Assumptions'!$B$7), 2)</f>
        <v/>
      </c>
    </row>
    <row r="700" ht="19" customHeight="1">
      <c r="A700" s="41" t="n">
        <v>696</v>
      </c>
      <c r="B700" s="41" t="n">
        <v>696</v>
      </c>
      <c r="C700" s="42" t="inlineStr">
        <is>
          <t>0803722021</t>
        </is>
      </c>
      <c r="D700" s="42" t="inlineStr">
        <is>
          <t>Region VIII (Eastern Visayas)</t>
        </is>
      </c>
      <c r="E700" s="42" t="inlineStr">
        <is>
          <t>Leyte</t>
        </is>
      </c>
      <c r="F700" s="42" t="inlineStr">
        <is>
          <t>Isabel</t>
        </is>
      </c>
      <c r="G700" s="42" t="inlineStr">
        <is>
          <t>Santo Niño</t>
        </is>
      </c>
      <c r="H700" s="43" t="n">
        <v>10.925928</v>
      </c>
      <c r="I700" s="43" t="n">
        <v>124.435271</v>
      </c>
      <c r="J700" s="44" t="inlineStr">
        <is>
          <t>U</t>
        </is>
      </c>
      <c r="K700" s="42" t="inlineStr">
        <is>
          <t>Class 1-3 / Urban</t>
        </is>
      </c>
      <c r="L700" s="23" t="n">
        <v>6383</v>
      </c>
      <c r="M700" s="24" t="n">
        <v>4.24</v>
      </c>
      <c r="N700" s="23">
        <f>ROUND(L700/M700, 0)</f>
        <v/>
      </c>
      <c r="O700" s="23">
        <f>ROUND(N700*'Methodology &amp; Assumptions'!$B$8, 0)</f>
        <v/>
      </c>
      <c r="P700" s="44" t="inlineStr">
        <is>
          <t>Band n50 (1.5 GHz, 60 MHz)</t>
        </is>
      </c>
      <c r="Q700" s="38">
        <f>ROUNDUP(O700/'Methodology &amp; Assumptions'!$B$9, 0)</f>
        <v/>
      </c>
      <c r="R700" s="39" t="n">
        <v>1</v>
      </c>
      <c r="S700" s="25" t="n">
        <v>0.53</v>
      </c>
      <c r="T700" s="25" t="n">
        <v>0.35</v>
      </c>
      <c r="U700" s="42" t="inlineStr">
        <is>
          <t>Tier 1A (Direct Coloc, &lt;1 km)</t>
        </is>
      </c>
      <c r="V700" s="24" t="n">
        <v>93.90000000000001</v>
      </c>
      <c r="W700" s="24" t="n">
        <v>100</v>
      </c>
      <c r="X700" s="24" t="n">
        <v>28</v>
      </c>
      <c r="Y700" s="45">
        <f>ROUND((V700*'Methodology &amp; Assumptions'!$B$6)+(W700*'Methodology &amp; Assumptions'!$B$5)+(X700*'Methodology &amp; Assumptions'!$B$7), 2)</f>
        <v/>
      </c>
    </row>
    <row r="701" ht="19" customHeight="1">
      <c r="A701" s="35" t="n">
        <v>697</v>
      </c>
      <c r="B701" s="35" t="n">
        <v>697</v>
      </c>
      <c r="C701" s="36" t="inlineStr">
        <is>
          <t>0501708009</t>
        </is>
      </c>
      <c r="D701" s="36" t="inlineStr">
        <is>
          <t>Region V (Bicol Region)</t>
        </is>
      </c>
      <c r="E701" s="36" t="inlineStr">
        <is>
          <t>Camarines Sur</t>
        </is>
      </c>
      <c r="F701" s="36" t="inlineStr">
        <is>
          <t>Calabanga</t>
        </is>
      </c>
      <c r="G701" s="36" t="inlineStr">
        <is>
          <t>Bonot-Santa Rosa</t>
        </is>
      </c>
      <c r="H701" s="37" t="n">
        <v>13.741995</v>
      </c>
      <c r="I701" s="37" t="n">
        <v>123.262037</v>
      </c>
      <c r="J701" s="8" t="inlineStr">
        <is>
          <t>R</t>
        </is>
      </c>
      <c r="K701" s="36" t="inlineStr">
        <is>
          <t>Class 1-3 / Urban</t>
        </is>
      </c>
      <c r="L701" s="18" t="n">
        <v>4111</v>
      </c>
      <c r="M701" s="20" t="n">
        <v>4.9</v>
      </c>
      <c r="N701" s="18">
        <f>ROUND(L701/M701, 0)</f>
        <v/>
      </c>
      <c r="O701" s="18">
        <f>ROUND(N701*'Methodology &amp; Assumptions'!$B$8, 0)</f>
        <v/>
      </c>
      <c r="P701" s="8" t="inlineStr">
        <is>
          <t>Band n50 (1.5 GHz, 60 MHz)</t>
        </is>
      </c>
      <c r="Q701" s="38">
        <f>ROUNDUP(O701/'Methodology &amp; Assumptions'!$B$9, 0)</f>
        <v/>
      </c>
      <c r="R701" s="39" t="n">
        <v>1</v>
      </c>
      <c r="S701" s="21" t="n">
        <v>1.2</v>
      </c>
      <c r="T701" s="21" t="n">
        <v>1.25</v>
      </c>
      <c r="U701" s="36" t="inlineStr">
        <is>
          <t>Tier 1B (Micro Drop, 1-3 km)</t>
        </is>
      </c>
      <c r="V701" s="20" t="n">
        <v>77</v>
      </c>
      <c r="W701" s="20" t="n">
        <v>91.2</v>
      </c>
      <c r="X701" s="20" t="n">
        <v>58</v>
      </c>
      <c r="Y701" s="40">
        <f>ROUND((V701*'Methodology &amp; Assumptions'!$B$6)+(W701*'Methodology &amp; Assumptions'!$B$5)+(X701*'Methodology &amp; Assumptions'!$B$7), 2)</f>
        <v/>
      </c>
    </row>
    <row r="702" ht="19" customHeight="1">
      <c r="A702" s="41" t="n">
        <v>698</v>
      </c>
      <c r="B702" s="41" t="n">
        <v>698</v>
      </c>
      <c r="C702" s="42" t="inlineStr">
        <is>
          <t>0403420010</t>
        </is>
      </c>
      <c r="D702" s="42" t="inlineStr">
        <is>
          <t>Region IV-A (CALABARZON)</t>
        </is>
      </c>
      <c r="E702" s="42" t="inlineStr">
        <is>
          <t>Laguna</t>
        </is>
      </c>
      <c r="F702" s="42" t="inlineStr">
        <is>
          <t>Pakil</t>
        </is>
      </c>
      <c r="G702" s="42" t="inlineStr">
        <is>
          <t>Rizal</t>
        </is>
      </c>
      <c r="H702" s="43" t="n">
        <v>14.385008</v>
      </c>
      <c r="I702" s="43" t="n">
        <v>121.479881</v>
      </c>
      <c r="J702" s="44" t="inlineStr">
        <is>
          <t>R</t>
        </is>
      </c>
      <c r="K702" s="42" t="inlineStr">
        <is>
          <t>3rd</t>
        </is>
      </c>
      <c r="L702" s="23" t="n">
        <v>3130</v>
      </c>
      <c r="M702" s="24" t="n">
        <v>4.49</v>
      </c>
      <c r="N702" s="23">
        <f>ROUND(L702/M702, 0)</f>
        <v/>
      </c>
      <c r="O702" s="23">
        <f>ROUND(N702*'Methodology &amp; Assumptions'!$B$8, 0)</f>
        <v/>
      </c>
      <c r="P702" s="44" t="inlineStr">
        <is>
          <t>Band n50 (1.5 GHz, 60 MHz)</t>
        </is>
      </c>
      <c r="Q702" s="38">
        <f>ROUNDUP(O702/'Methodology &amp; Assumptions'!$B$9, 0)</f>
        <v/>
      </c>
      <c r="R702" s="39" t="n">
        <v>1</v>
      </c>
      <c r="S702" s="25" t="n">
        <v>0.73</v>
      </c>
      <c r="T702" s="25" t="n">
        <v>0.38</v>
      </c>
      <c r="U702" s="42" t="inlineStr">
        <is>
          <t>Tier 1A (Direct Coloc, &lt;1 km)</t>
        </is>
      </c>
      <c r="V702" s="24" t="n">
        <v>88.5</v>
      </c>
      <c r="W702" s="24" t="n">
        <v>79.7</v>
      </c>
      <c r="X702" s="24" t="n">
        <v>58</v>
      </c>
      <c r="Y702" s="45">
        <f>ROUND((V702*'Methodology &amp; Assumptions'!$B$6)+(W702*'Methodology &amp; Assumptions'!$B$5)+(X702*'Methodology &amp; Assumptions'!$B$7), 2)</f>
        <v/>
      </c>
    </row>
    <row r="703" ht="19" customHeight="1">
      <c r="A703" s="35" t="n">
        <v>699</v>
      </c>
      <c r="B703" s="35" t="n">
        <v>699</v>
      </c>
      <c r="C703" s="36" t="inlineStr">
        <is>
          <t>1600211003</t>
        </is>
      </c>
      <c r="D703" s="36" t="inlineStr">
        <is>
          <t>Region XIII (Caraga)</t>
        </is>
      </c>
      <c r="E703" s="36" t="inlineStr">
        <is>
          <t>Agusan del Norte</t>
        </is>
      </c>
      <c r="F703" s="36" t="inlineStr">
        <is>
          <t>Tubay</t>
        </is>
      </c>
      <c r="G703" s="36" t="inlineStr">
        <is>
          <t>Doña Rosario</t>
        </is>
      </c>
      <c r="H703" s="37" t="n">
        <v>9.158678</v>
      </c>
      <c r="I703" s="37" t="n">
        <v>125.560756</v>
      </c>
      <c r="J703" s="8" t="inlineStr">
        <is>
          <t>R</t>
        </is>
      </c>
      <c r="K703" s="36" t="inlineStr">
        <is>
          <t>1st</t>
        </is>
      </c>
      <c r="L703" s="18" t="n">
        <v>3089</v>
      </c>
      <c r="M703" s="20" t="n">
        <v>4.73</v>
      </c>
      <c r="N703" s="18">
        <f>ROUND(L703/M703, 0)</f>
        <v/>
      </c>
      <c r="O703" s="18">
        <f>ROUND(N703*'Methodology &amp; Assumptions'!$B$8, 0)</f>
        <v/>
      </c>
      <c r="P703" s="8" t="inlineStr">
        <is>
          <t>Band n50 (1.5 GHz, 60 MHz)</t>
        </is>
      </c>
      <c r="Q703" s="38">
        <f>ROUNDUP(O703/'Methodology &amp; Assumptions'!$B$9, 0)</f>
        <v/>
      </c>
      <c r="R703" s="39" t="n">
        <v>1</v>
      </c>
      <c r="S703" s="21" t="n">
        <v>0.6</v>
      </c>
      <c r="T703" s="21" t="n">
        <v>0.22</v>
      </c>
      <c r="U703" s="36" t="inlineStr">
        <is>
          <t>Tier 1A (Direct Coloc, &lt;1 km)</t>
        </is>
      </c>
      <c r="V703" s="20" t="n">
        <v>91.90000000000001</v>
      </c>
      <c r="W703" s="20" t="n">
        <v>76.3</v>
      </c>
      <c r="X703" s="20" t="n">
        <v>58</v>
      </c>
      <c r="Y703" s="40">
        <f>ROUND((V703*'Methodology &amp; Assumptions'!$B$6)+(W703*'Methodology &amp; Assumptions'!$B$5)+(X703*'Methodology &amp; Assumptions'!$B$7), 2)</f>
        <v/>
      </c>
    </row>
    <row r="704" ht="19" customHeight="1">
      <c r="A704" s="41" t="n">
        <v>700</v>
      </c>
      <c r="B704" s="41" t="n">
        <v>700</v>
      </c>
      <c r="C704" s="42" t="inlineStr">
        <is>
          <t>1102407001</t>
        </is>
      </c>
      <c r="D704" s="42" t="inlineStr">
        <is>
          <t>Region XI (Davao Region)</t>
        </is>
      </c>
      <c r="E704" s="42" t="inlineStr">
        <is>
          <t>Davao del Sur</t>
        </is>
      </c>
      <c r="F704" s="42" t="inlineStr">
        <is>
          <t>Magsaysay</t>
        </is>
      </c>
      <c r="G704" s="42" t="inlineStr">
        <is>
          <t>Bacungan</t>
        </is>
      </c>
      <c r="H704" s="43" t="n">
        <v>6.750562</v>
      </c>
      <c r="I704" s="43" t="n">
        <v>125.154378</v>
      </c>
      <c r="J704" s="44" t="inlineStr">
        <is>
          <t>R</t>
        </is>
      </c>
      <c r="K704" s="42" t="inlineStr">
        <is>
          <t>Class 1-3 / Urban</t>
        </is>
      </c>
      <c r="L704" s="23" t="n">
        <v>2921</v>
      </c>
      <c r="M704" s="24" t="n">
        <v>4.1</v>
      </c>
      <c r="N704" s="23">
        <f>ROUND(L704/M704, 0)</f>
        <v/>
      </c>
      <c r="O704" s="23">
        <f>ROUND(N704*'Methodology &amp; Assumptions'!$B$8, 0)</f>
        <v/>
      </c>
      <c r="P704" s="44" t="inlineStr">
        <is>
          <t>Band n50 (1.5 GHz, 60 MHz)</t>
        </is>
      </c>
      <c r="Q704" s="38">
        <f>ROUNDUP(O704/'Methodology &amp; Assumptions'!$B$9, 0)</f>
        <v/>
      </c>
      <c r="R704" s="39" t="n">
        <v>1</v>
      </c>
      <c r="S704" s="25" t="n">
        <v>0.41</v>
      </c>
      <c r="T704" s="25" t="n">
        <v>18.38</v>
      </c>
      <c r="U704" s="42" t="inlineStr">
        <is>
          <t>Tier 1A (Direct Coloc, &lt;1 km)</t>
        </is>
      </c>
      <c r="V704" s="24" t="n">
        <v>87.09999999999999</v>
      </c>
      <c r="W704" s="24" t="n">
        <v>81.09999999999999</v>
      </c>
      <c r="X704" s="24" t="n">
        <v>58</v>
      </c>
      <c r="Y704" s="45">
        <f>ROUND((V704*'Methodology &amp; Assumptions'!$B$6)+(W704*'Methodology &amp; Assumptions'!$B$5)+(X704*'Methodology &amp; Assumptions'!$B$7), 2)</f>
        <v/>
      </c>
    </row>
    <row r="705" ht="19" customHeight="1">
      <c r="A705" s="35" t="n">
        <v>701</v>
      </c>
      <c r="B705" s="35" t="n">
        <v>701</v>
      </c>
      <c r="C705" s="36" t="inlineStr">
        <is>
          <t>0304913020</t>
        </is>
      </c>
      <c r="D705" s="36" t="inlineStr">
        <is>
          <t>Region III (Central Luzon)</t>
        </is>
      </c>
      <c r="E705" s="36" t="inlineStr">
        <is>
          <t>Nueva Ecija</t>
        </is>
      </c>
      <c r="F705" s="36" t="inlineStr">
        <is>
          <t>Laur</t>
        </is>
      </c>
      <c r="G705" s="36" t="inlineStr">
        <is>
          <t>San Juan</t>
        </is>
      </c>
      <c r="H705" s="37" t="n">
        <v>15.566702</v>
      </c>
      <c r="I705" s="37" t="n">
        <v>121.205269</v>
      </c>
      <c r="J705" s="8" t="inlineStr">
        <is>
          <t>R</t>
        </is>
      </c>
      <c r="K705" s="36" t="inlineStr">
        <is>
          <t>Class 1-3 / Urban</t>
        </is>
      </c>
      <c r="L705" s="18" t="n">
        <v>2435</v>
      </c>
      <c r="M705" s="20" t="n">
        <v>4.32</v>
      </c>
      <c r="N705" s="18">
        <f>ROUND(L705/M705, 0)</f>
        <v/>
      </c>
      <c r="O705" s="18">
        <f>ROUND(N705*'Methodology &amp; Assumptions'!$B$8, 0)</f>
        <v/>
      </c>
      <c r="P705" s="8" t="inlineStr">
        <is>
          <t>Band n50 (1.5 GHz, 60 MHz)</t>
        </is>
      </c>
      <c r="Q705" s="38">
        <f>ROUNDUP(O705/'Methodology &amp; Assumptions'!$B$9, 0)</f>
        <v/>
      </c>
      <c r="R705" s="39" t="n">
        <v>1</v>
      </c>
      <c r="S705" s="21" t="n">
        <v>0.03</v>
      </c>
      <c r="T705" s="21" t="n">
        <v>7.84</v>
      </c>
      <c r="U705" s="36" t="inlineStr">
        <is>
          <t>Tier 1A (Direct Coloc, &lt;1 km)</t>
        </is>
      </c>
      <c r="V705" s="20" t="n">
        <v>99.09999999999999</v>
      </c>
      <c r="W705" s="20" t="n">
        <v>69.09999999999999</v>
      </c>
      <c r="X705" s="20" t="n">
        <v>58</v>
      </c>
      <c r="Y705" s="40">
        <f>ROUND((V705*'Methodology &amp; Assumptions'!$B$6)+(W705*'Methodology &amp; Assumptions'!$B$5)+(X705*'Methodology &amp; Assumptions'!$B$7), 2)</f>
        <v/>
      </c>
    </row>
    <row r="706" ht="19" customHeight="1">
      <c r="A706" s="41" t="n">
        <v>702</v>
      </c>
      <c r="B706" s="41" t="n">
        <v>702</v>
      </c>
      <c r="C706" s="42" t="inlineStr">
        <is>
          <t>0702223031</t>
        </is>
      </c>
      <c r="D706" s="42" t="inlineStr">
        <is>
          <t>Region VII (Central Visayas)</t>
        </is>
      </c>
      <c r="E706" s="42" t="inlineStr">
        <is>
          <t>Cebu</t>
        </is>
      </c>
      <c r="F706" s="42" t="inlineStr">
        <is>
          <t>Danao City</t>
        </is>
      </c>
      <c r="G706" s="42" t="inlineStr">
        <is>
          <t>Poblacion</t>
        </is>
      </c>
      <c r="H706" s="43" t="n">
        <v>10.517552</v>
      </c>
      <c r="I706" s="43" t="n">
        <v>124.024234</v>
      </c>
      <c r="J706" s="44" t="inlineStr">
        <is>
          <t>U</t>
        </is>
      </c>
      <c r="K706" s="42" t="inlineStr">
        <is>
          <t>Class 1-3 / Urban</t>
        </is>
      </c>
      <c r="L706" s="23" t="n">
        <v>9709</v>
      </c>
      <c r="M706" s="24" t="n">
        <v>4.42</v>
      </c>
      <c r="N706" s="23">
        <f>ROUND(L706/M706, 0)</f>
        <v/>
      </c>
      <c r="O706" s="23">
        <f>ROUND(N706*'Methodology &amp; Assumptions'!$B$8, 0)</f>
        <v/>
      </c>
      <c r="P706" s="44" t="inlineStr">
        <is>
          <t>Band n50 (1.5 GHz, 60 MHz)</t>
        </is>
      </c>
      <c r="Q706" s="38">
        <f>ROUNDUP(O706/'Methodology &amp; Assumptions'!$B$9, 0)</f>
        <v/>
      </c>
      <c r="R706" s="39" t="n">
        <v>1</v>
      </c>
      <c r="S706" s="25" t="n">
        <v>0.53</v>
      </c>
      <c r="T706" s="25" t="n">
        <v>0.14</v>
      </c>
      <c r="U706" s="42" t="inlineStr">
        <is>
          <t>Tier 1A (Direct Coloc, &lt;1 km)</t>
        </is>
      </c>
      <c r="V706" s="24" t="n">
        <v>93.90000000000001</v>
      </c>
      <c r="W706" s="24" t="n">
        <v>100</v>
      </c>
      <c r="X706" s="24" t="n">
        <v>28</v>
      </c>
      <c r="Y706" s="45">
        <f>ROUND((V706*'Methodology &amp; Assumptions'!$B$6)+(W706*'Methodology &amp; Assumptions'!$B$5)+(X706*'Methodology &amp; Assumptions'!$B$7), 2)</f>
        <v/>
      </c>
    </row>
    <row r="707" ht="19" customHeight="1">
      <c r="A707" s="35" t="n">
        <v>703</v>
      </c>
      <c r="B707" s="35" t="n">
        <v>703</v>
      </c>
      <c r="C707" s="36" t="inlineStr">
        <is>
          <t>0500514045</t>
        </is>
      </c>
      <c r="D707" s="36" t="inlineStr">
        <is>
          <t>Region V (Bicol Region)</t>
        </is>
      </c>
      <c r="E707" s="36" t="inlineStr">
        <is>
          <t>Albay</t>
        </is>
      </c>
      <c r="F707" s="36" t="inlineStr">
        <is>
          <t>Polangui</t>
        </is>
      </c>
      <c r="G707" s="36" t="inlineStr">
        <is>
          <t>Sugcad</t>
        </is>
      </c>
      <c r="H707" s="37" t="n">
        <v>13.303987</v>
      </c>
      <c r="I707" s="37" t="n">
        <v>123.488519</v>
      </c>
      <c r="J707" s="8" t="inlineStr">
        <is>
          <t>R</t>
        </is>
      </c>
      <c r="K707" s="36" t="inlineStr">
        <is>
          <t>Class 1-3 / Urban</t>
        </is>
      </c>
      <c r="L707" s="18" t="n">
        <v>4081</v>
      </c>
      <c r="M707" s="20" t="n">
        <v>4.67</v>
      </c>
      <c r="N707" s="18">
        <f>ROUND(L707/M707, 0)</f>
        <v/>
      </c>
      <c r="O707" s="18">
        <f>ROUND(N707*'Methodology &amp; Assumptions'!$B$8, 0)</f>
        <v/>
      </c>
      <c r="P707" s="8" t="inlineStr">
        <is>
          <t>Band n50 (1.5 GHz, 60 MHz)</t>
        </is>
      </c>
      <c r="Q707" s="38">
        <f>ROUNDUP(O707/'Methodology &amp; Assumptions'!$B$9, 0)</f>
        <v/>
      </c>
      <c r="R707" s="39" t="n">
        <v>1</v>
      </c>
      <c r="S707" s="21" t="n">
        <v>1.33</v>
      </c>
      <c r="T707" s="21" t="n">
        <v>0.18</v>
      </c>
      <c r="U707" s="36" t="inlineStr">
        <is>
          <t>Tier 1B (Micro Drop, 1-3 km)</t>
        </is>
      </c>
      <c r="V707" s="20" t="n">
        <v>74.3</v>
      </c>
      <c r="W707" s="20" t="n">
        <v>93.90000000000001</v>
      </c>
      <c r="X707" s="20" t="n">
        <v>58</v>
      </c>
      <c r="Y707" s="40">
        <f>ROUND((V707*'Methodology &amp; Assumptions'!$B$6)+(W707*'Methodology &amp; Assumptions'!$B$5)+(X707*'Methodology &amp; Assumptions'!$B$7), 2)</f>
        <v/>
      </c>
    </row>
    <row r="708" ht="19" customHeight="1">
      <c r="A708" s="41" t="n">
        <v>704</v>
      </c>
      <c r="B708" s="41" t="n">
        <v>704</v>
      </c>
      <c r="C708" s="42" t="inlineStr">
        <is>
          <t>0305405017</t>
        </is>
      </c>
      <c r="D708" s="42" t="inlineStr">
        <is>
          <t>Region III (Central Luzon)</t>
        </is>
      </c>
      <c r="E708" s="42" t="inlineStr">
        <is>
          <t>Pampanga</t>
        </is>
      </c>
      <c r="F708" s="42" t="inlineStr">
        <is>
          <t>Candaba</t>
        </is>
      </c>
      <c r="G708" s="42" t="inlineStr">
        <is>
          <t>Mangga</t>
        </is>
      </c>
      <c r="H708" s="43" t="n">
        <v>15.016667</v>
      </c>
      <c r="I708" s="43" t="n">
        <v>120.871615</v>
      </c>
      <c r="J708" s="44" t="inlineStr">
        <is>
          <t>U</t>
        </is>
      </c>
      <c r="K708" s="42" t="inlineStr">
        <is>
          <t>Class 1-3 / Urban</t>
        </is>
      </c>
      <c r="L708" s="23" t="n">
        <v>4037</v>
      </c>
      <c r="M708" s="24" t="n">
        <v>4.63</v>
      </c>
      <c r="N708" s="23">
        <f>ROUND(L708/M708, 0)</f>
        <v/>
      </c>
      <c r="O708" s="23">
        <f>ROUND(N708*'Methodology &amp; Assumptions'!$B$8, 0)</f>
        <v/>
      </c>
      <c r="P708" s="44" t="inlineStr">
        <is>
          <t>Band n50 (1.5 GHz, 60 MHz)</t>
        </is>
      </c>
      <c r="Q708" s="38">
        <f>ROUNDUP(O708/'Methodology &amp; Assumptions'!$B$9, 0)</f>
        <v/>
      </c>
      <c r="R708" s="39" t="n">
        <v>1</v>
      </c>
      <c r="S708" s="25" t="n">
        <v>0.05</v>
      </c>
      <c r="T708" s="25" t="n">
        <v>0.02</v>
      </c>
      <c r="U708" s="42" t="inlineStr">
        <is>
          <t>Tier 1A (Direct Coloc, &lt;1 km)</t>
        </is>
      </c>
      <c r="V708" s="24" t="n">
        <v>100</v>
      </c>
      <c r="W708" s="24" t="n">
        <v>93.90000000000001</v>
      </c>
      <c r="X708" s="24" t="n">
        <v>28</v>
      </c>
      <c r="Y708" s="45">
        <f>ROUND((V708*'Methodology &amp; Assumptions'!$B$6)+(W708*'Methodology &amp; Assumptions'!$B$5)+(X708*'Methodology &amp; Assumptions'!$B$7), 2)</f>
        <v/>
      </c>
    </row>
    <row r="709" ht="19" customHeight="1">
      <c r="A709" s="35" t="n">
        <v>705</v>
      </c>
      <c r="B709" s="35" t="n">
        <v>705</v>
      </c>
      <c r="C709" s="36" t="inlineStr">
        <is>
          <t>0401031034</t>
        </is>
      </c>
      <c r="D709" s="36" t="inlineStr">
        <is>
          <t>Region IV-A (CALABARZON)</t>
        </is>
      </c>
      <c r="E709" s="36" t="inlineStr">
        <is>
          <t>Batangas</t>
        </is>
      </c>
      <c r="F709" s="36" t="inlineStr">
        <is>
          <t>City of Tanauan</t>
        </is>
      </c>
      <c r="G709" s="36" t="inlineStr">
        <is>
          <t>Poblacion Barangay 3</t>
        </is>
      </c>
      <c r="H709" s="37" t="n">
        <v>14.080612</v>
      </c>
      <c r="I709" s="37" t="n">
        <v>121.15314</v>
      </c>
      <c r="J709" s="8" t="inlineStr">
        <is>
          <t>U</t>
        </is>
      </c>
      <c r="K709" s="36" t="inlineStr">
        <is>
          <t>Class 1-3 / Urban</t>
        </is>
      </c>
      <c r="L709" s="18" t="n">
        <v>5132</v>
      </c>
      <c r="M709" s="20" t="n">
        <v>4.62</v>
      </c>
      <c r="N709" s="18">
        <f>ROUND(L709/M709, 0)</f>
        <v/>
      </c>
      <c r="O709" s="18">
        <f>ROUND(N709*'Methodology &amp; Assumptions'!$B$8, 0)</f>
        <v/>
      </c>
      <c r="P709" s="8" t="inlineStr">
        <is>
          <t>Band n50 (1.5 GHz, 60 MHz)</t>
        </is>
      </c>
      <c r="Q709" s="38">
        <f>ROUNDUP(O709/'Methodology &amp; Assumptions'!$B$9, 0)</f>
        <v/>
      </c>
      <c r="R709" s="39" t="n">
        <v>1</v>
      </c>
      <c r="S709" s="21" t="n">
        <v>0.53</v>
      </c>
      <c r="T709" s="21" t="n">
        <v>0.3</v>
      </c>
      <c r="U709" s="36" t="inlineStr">
        <is>
          <t>Tier 1A (Direct Coloc, &lt;1 km)</t>
        </is>
      </c>
      <c r="V709" s="20" t="n">
        <v>93.8</v>
      </c>
      <c r="W709" s="20" t="n">
        <v>100</v>
      </c>
      <c r="X709" s="20" t="n">
        <v>28</v>
      </c>
      <c r="Y709" s="40">
        <f>ROUND((V709*'Methodology &amp; Assumptions'!$B$6)+(W709*'Methodology &amp; Assumptions'!$B$5)+(X709*'Methodology &amp; Assumptions'!$B$7), 2)</f>
        <v/>
      </c>
    </row>
    <row r="710" ht="19" customHeight="1">
      <c r="A710" s="41" t="n">
        <v>706</v>
      </c>
      <c r="B710" s="41" t="n">
        <v>706</v>
      </c>
      <c r="C710" s="42" t="inlineStr">
        <is>
          <t>0405601012</t>
        </is>
      </c>
      <c r="D710" s="42" t="inlineStr">
        <is>
          <t>Region IV-A (CALABARZON)</t>
        </is>
      </c>
      <c r="E710" s="42" t="inlineStr">
        <is>
          <t>Quezon</t>
        </is>
      </c>
      <c r="F710" s="42" t="inlineStr">
        <is>
          <t>Agdangan</t>
        </is>
      </c>
      <c r="G710" s="42" t="inlineStr">
        <is>
          <t>Poblacion I</t>
        </is>
      </c>
      <c r="H710" s="43" t="n">
        <v>13.876082</v>
      </c>
      <c r="I710" s="43" t="n">
        <v>121.913637</v>
      </c>
      <c r="J710" s="44" t="inlineStr">
        <is>
          <t>R</t>
        </is>
      </c>
      <c r="K710" s="42" t="inlineStr">
        <is>
          <t>5th</t>
        </is>
      </c>
      <c r="L710" s="23" t="n">
        <v>1578</v>
      </c>
      <c r="M710" s="24" t="n">
        <v>4.05</v>
      </c>
      <c r="N710" s="23">
        <f>ROUND(L710/M710, 0)</f>
        <v/>
      </c>
      <c r="O710" s="23">
        <f>ROUND(N710*'Methodology &amp; Assumptions'!$B$8, 0)</f>
        <v/>
      </c>
      <c r="P710" s="44" t="inlineStr">
        <is>
          <t>Band n50 (1.5 GHz, 60 MHz)</t>
        </is>
      </c>
      <c r="Q710" s="38">
        <f>ROUNDUP(O710/'Methodology &amp; Assumptions'!$B$9, 0)</f>
        <v/>
      </c>
      <c r="R710" s="39" t="n">
        <v>1</v>
      </c>
      <c r="S710" s="25" t="n">
        <v>0.3</v>
      </c>
      <c r="T710" s="25" t="n">
        <v>0.25</v>
      </c>
      <c r="U710" s="42" t="inlineStr">
        <is>
          <t>Tier 1A (Direct Coloc, &lt;1 km)</t>
        </is>
      </c>
      <c r="V710" s="24" t="n">
        <v>100</v>
      </c>
      <c r="W710" s="24" t="n">
        <v>55.2</v>
      </c>
      <c r="X710" s="24" t="n">
        <v>73</v>
      </c>
      <c r="Y710" s="45">
        <f>ROUND((V710*'Methodology &amp; Assumptions'!$B$6)+(W710*'Methodology &amp; Assumptions'!$B$5)+(X710*'Methodology &amp; Assumptions'!$B$7), 2)</f>
        <v/>
      </c>
    </row>
    <row r="711" ht="19" customHeight="1">
      <c r="A711" s="35" t="n">
        <v>707</v>
      </c>
      <c r="B711" s="35" t="n">
        <v>707</v>
      </c>
      <c r="C711" s="36" t="inlineStr">
        <is>
          <t>0405809007</t>
        </is>
      </c>
      <c r="D711" s="36" t="inlineStr">
        <is>
          <t>Region IV-A (CALABARZON)</t>
        </is>
      </c>
      <c r="E711" s="36" t="inlineStr">
        <is>
          <t>Rizal</t>
        </is>
      </c>
      <c r="F711" s="36" t="inlineStr">
        <is>
          <t>Morong</t>
        </is>
      </c>
      <c r="G711" s="36" t="inlineStr">
        <is>
          <t>San Juan</t>
        </is>
      </c>
      <c r="H711" s="37" t="n">
        <v>14.51674</v>
      </c>
      <c r="I711" s="37" t="n">
        <v>121.23884</v>
      </c>
      <c r="J711" s="8" t="inlineStr">
        <is>
          <t>U</t>
        </is>
      </c>
      <c r="K711" s="36" t="inlineStr">
        <is>
          <t>Class 1-3 / Urban</t>
        </is>
      </c>
      <c r="L711" s="18" t="n">
        <v>11184</v>
      </c>
      <c r="M711" s="20" t="n">
        <v>4.39</v>
      </c>
      <c r="N711" s="18">
        <f>ROUND(L711/M711, 0)</f>
        <v/>
      </c>
      <c r="O711" s="18">
        <f>ROUND(N711*'Methodology &amp; Assumptions'!$B$8, 0)</f>
        <v/>
      </c>
      <c r="P711" s="8" t="inlineStr">
        <is>
          <t>Band n50 (1.5 GHz, 60 MHz)</t>
        </is>
      </c>
      <c r="Q711" s="38">
        <f>ROUNDUP(O711/'Methodology &amp; Assumptions'!$B$9, 0)</f>
        <v/>
      </c>
      <c r="R711" s="39" t="n">
        <v>1</v>
      </c>
      <c r="S711" s="21" t="n">
        <v>0.53</v>
      </c>
      <c r="T711" s="21" t="n">
        <v>0.01</v>
      </c>
      <c r="U711" s="36" t="inlineStr">
        <is>
          <t>Tier 1A (Direct Coloc, &lt;1 km)</t>
        </is>
      </c>
      <c r="V711" s="20" t="n">
        <v>93.8</v>
      </c>
      <c r="W711" s="20" t="n">
        <v>100</v>
      </c>
      <c r="X711" s="20" t="n">
        <v>28</v>
      </c>
      <c r="Y711" s="40">
        <f>ROUND((V711*'Methodology &amp; Assumptions'!$B$6)+(W711*'Methodology &amp; Assumptions'!$B$5)+(X711*'Methodology &amp; Assumptions'!$B$7), 2)</f>
        <v/>
      </c>
    </row>
    <row r="712" ht="19" customHeight="1">
      <c r="A712" s="41" t="n">
        <v>708</v>
      </c>
      <c r="B712" s="41" t="n">
        <v>708</v>
      </c>
      <c r="C712" s="42" t="inlineStr">
        <is>
          <t>0806407002</t>
        </is>
      </c>
      <c r="D712" s="42" t="inlineStr">
        <is>
          <t>Region VIII (Eastern Visayas)</t>
        </is>
      </c>
      <c r="E712" s="42" t="inlineStr">
        <is>
          <t>Southern Leyte</t>
        </is>
      </c>
      <c r="F712" s="42" t="inlineStr">
        <is>
          <t>City of Maasin</t>
        </is>
      </c>
      <c r="G712" s="42" t="inlineStr">
        <is>
          <t>Asuncion</t>
        </is>
      </c>
      <c r="H712" s="43" t="n">
        <v>10.129377</v>
      </c>
      <c r="I712" s="43" t="n">
        <v>124.86207</v>
      </c>
      <c r="J712" s="44" t="inlineStr">
        <is>
          <t>U</t>
        </is>
      </c>
      <c r="K712" s="42" t="inlineStr">
        <is>
          <t>Class 1-3 / Urban</t>
        </is>
      </c>
      <c r="L712" s="23" t="n">
        <v>5063</v>
      </c>
      <c r="M712" s="24" t="n">
        <v>4.53</v>
      </c>
      <c r="N712" s="23">
        <f>ROUND(L712/M712, 0)</f>
        <v/>
      </c>
      <c r="O712" s="23">
        <f>ROUND(N712*'Methodology &amp; Assumptions'!$B$8, 0)</f>
        <v/>
      </c>
      <c r="P712" s="44" t="inlineStr">
        <is>
          <t>Band n50 (1.5 GHz, 60 MHz)</t>
        </is>
      </c>
      <c r="Q712" s="38">
        <f>ROUNDUP(O712/'Methodology &amp; Assumptions'!$B$9, 0)</f>
        <v/>
      </c>
      <c r="R712" s="39" t="n">
        <v>1</v>
      </c>
      <c r="S712" s="25" t="n">
        <v>0.53</v>
      </c>
      <c r="T712" s="25" t="n">
        <v>0.25</v>
      </c>
      <c r="U712" s="42" t="inlineStr">
        <is>
          <t>Tier 1A (Direct Coloc, &lt;1 km)</t>
        </is>
      </c>
      <c r="V712" s="24" t="n">
        <v>93.8</v>
      </c>
      <c r="W712" s="24" t="n">
        <v>100</v>
      </c>
      <c r="X712" s="24" t="n">
        <v>28</v>
      </c>
      <c r="Y712" s="45">
        <f>ROUND((V712*'Methodology &amp; Assumptions'!$B$6)+(W712*'Methodology &amp; Assumptions'!$B$5)+(X712*'Methodology &amp; Assumptions'!$B$7), 2)</f>
        <v/>
      </c>
    </row>
    <row r="713" ht="19" customHeight="1">
      <c r="A713" s="35" t="n">
        <v>709</v>
      </c>
      <c r="B713" s="35" t="n">
        <v>709</v>
      </c>
      <c r="C713" s="36" t="inlineStr">
        <is>
          <t>0500506074</t>
        </is>
      </c>
      <c r="D713" s="36" t="inlineStr">
        <is>
          <t>Region V (Bicol Region)</t>
        </is>
      </c>
      <c r="E713" s="36" t="inlineStr">
        <is>
          <t>Albay</t>
        </is>
      </c>
      <c r="F713" s="36" t="inlineStr">
        <is>
          <t>City of Legazpi</t>
        </is>
      </c>
      <c r="G713" s="36" t="inlineStr">
        <is>
          <t>Bgy. 58 - Buragwis</t>
        </is>
      </c>
      <c r="H713" s="37" t="n">
        <v>13.136186</v>
      </c>
      <c r="I713" s="37" t="n">
        <v>123.754151</v>
      </c>
      <c r="J713" s="8" t="inlineStr">
        <is>
          <t>R</t>
        </is>
      </c>
      <c r="K713" s="36" t="inlineStr">
        <is>
          <t>Class 1-3 / Urban</t>
        </is>
      </c>
      <c r="L713" s="18" t="n">
        <v>4485</v>
      </c>
      <c r="M713" s="20" t="n">
        <v>4.67</v>
      </c>
      <c r="N713" s="18">
        <f>ROUND(L713/M713, 0)</f>
        <v/>
      </c>
      <c r="O713" s="18">
        <f>ROUND(N713*'Methodology &amp; Assumptions'!$B$8, 0)</f>
        <v/>
      </c>
      <c r="P713" s="8" t="inlineStr">
        <is>
          <t>Band n50 (1.5 GHz, 60 MHz)</t>
        </is>
      </c>
      <c r="Q713" s="38">
        <f>ROUNDUP(O713/'Methodology &amp; Assumptions'!$B$9, 0)</f>
        <v/>
      </c>
      <c r="R713" s="39" t="n">
        <v>1</v>
      </c>
      <c r="S713" s="21" t="n">
        <v>1.63</v>
      </c>
      <c r="T713" s="21" t="n">
        <v>0.6899999999999999</v>
      </c>
      <c r="U713" s="36" t="inlineStr">
        <is>
          <t>Tier 1B (Micro Drop, 1-3 km)</t>
        </is>
      </c>
      <c r="V713" s="20" t="n">
        <v>68</v>
      </c>
      <c r="W713" s="20" t="n">
        <v>100</v>
      </c>
      <c r="X713" s="20" t="n">
        <v>58</v>
      </c>
      <c r="Y713" s="40">
        <f>ROUND((V713*'Methodology &amp; Assumptions'!$B$6)+(W713*'Methodology &amp; Assumptions'!$B$5)+(X713*'Methodology &amp; Assumptions'!$B$7), 2)</f>
        <v/>
      </c>
    </row>
    <row r="714" ht="19" customHeight="1">
      <c r="A714" s="41" t="n">
        <v>710</v>
      </c>
      <c r="B714" s="41" t="n">
        <v>710</v>
      </c>
      <c r="C714" s="42" t="inlineStr">
        <is>
          <t>0803715035</t>
        </is>
      </c>
      <c r="D714" s="42" t="inlineStr">
        <is>
          <t>Region VIII (Eastern Visayas)</t>
        </is>
      </c>
      <c r="E714" s="42" t="inlineStr">
        <is>
          <t>Leyte</t>
        </is>
      </c>
      <c r="F714" s="42" t="inlineStr">
        <is>
          <t>Carigara</t>
        </is>
      </c>
      <c r="G714" s="42" t="inlineStr">
        <is>
          <t>Sawang</t>
        </is>
      </c>
      <c r="H714" s="43" t="n">
        <v>11.299121</v>
      </c>
      <c r="I714" s="43" t="n">
        <v>124.689576</v>
      </c>
      <c r="J714" s="44" t="inlineStr">
        <is>
          <t>R</t>
        </is>
      </c>
      <c r="K714" s="42" t="inlineStr">
        <is>
          <t>Class 1-3 / Urban</t>
        </is>
      </c>
      <c r="L714" s="23" t="n">
        <v>2332</v>
      </c>
      <c r="M714" s="24" t="n">
        <v>4.24</v>
      </c>
      <c r="N714" s="23">
        <f>ROUND(L714/M714, 0)</f>
        <v/>
      </c>
      <c r="O714" s="23">
        <f>ROUND(N714*'Methodology &amp; Assumptions'!$B$8, 0)</f>
        <v/>
      </c>
      <c r="P714" s="44" t="inlineStr">
        <is>
          <t>Band n50 (1.5 GHz, 60 MHz)</t>
        </is>
      </c>
      <c r="Q714" s="38">
        <f>ROUNDUP(O714/'Methodology &amp; Assumptions'!$B$9, 0)</f>
        <v/>
      </c>
      <c r="R714" s="39" t="n">
        <v>1</v>
      </c>
      <c r="S714" s="25" t="n">
        <v>0.08</v>
      </c>
      <c r="T714" s="25" t="n">
        <v>0.11</v>
      </c>
      <c r="U714" s="42" t="inlineStr">
        <is>
          <t>Tier 1A (Direct Coloc, &lt;1 km)</t>
        </is>
      </c>
      <c r="V714" s="24" t="n">
        <v>100</v>
      </c>
      <c r="W714" s="24" t="n">
        <v>68</v>
      </c>
      <c r="X714" s="24" t="n">
        <v>58</v>
      </c>
      <c r="Y714" s="45">
        <f>ROUND((V714*'Methodology &amp; Assumptions'!$B$6)+(W714*'Methodology &amp; Assumptions'!$B$5)+(X714*'Methodology &amp; Assumptions'!$B$7), 2)</f>
        <v/>
      </c>
    </row>
    <row r="715" ht="19" customHeight="1">
      <c r="A715" s="35" t="n">
        <v>711</v>
      </c>
      <c r="B715" s="35" t="n">
        <v>711</v>
      </c>
      <c r="C715" s="36" t="inlineStr">
        <is>
          <t>0102804012</t>
        </is>
      </c>
      <c r="D715" s="36" t="inlineStr">
        <is>
          <t>Region I (Ilocos Region)</t>
        </is>
      </c>
      <c r="E715" s="36" t="inlineStr">
        <is>
          <t>Ilocos Norte</t>
        </is>
      </c>
      <c r="F715" s="36" t="inlineStr">
        <is>
          <t>Bangui</t>
        </is>
      </c>
      <c r="G715" s="36" t="inlineStr">
        <is>
          <t>San Lorenzo</t>
        </is>
      </c>
      <c r="H715" s="37" t="n">
        <v>18.536698</v>
      </c>
      <c r="I715" s="37" t="n">
        <v>120.769796</v>
      </c>
      <c r="J715" s="8" t="inlineStr">
        <is>
          <t>R</t>
        </is>
      </c>
      <c r="K715" s="36" t="inlineStr">
        <is>
          <t>2nd</t>
        </is>
      </c>
      <c r="L715" s="18" t="n">
        <v>2261</v>
      </c>
      <c r="M715" s="20" t="n">
        <v>4.11</v>
      </c>
      <c r="N715" s="18">
        <f>ROUND(L715/M715, 0)</f>
        <v/>
      </c>
      <c r="O715" s="18">
        <f>ROUND(N715*'Methodology &amp; Assumptions'!$B$8, 0)</f>
        <v/>
      </c>
      <c r="P715" s="8" t="inlineStr">
        <is>
          <t>Band n50 (1.5 GHz, 60 MHz)</t>
        </is>
      </c>
      <c r="Q715" s="38">
        <f>ROUNDUP(O715/'Methodology &amp; Assumptions'!$B$9, 0)</f>
        <v/>
      </c>
      <c r="R715" s="39" t="n">
        <v>1</v>
      </c>
      <c r="S715" s="21" t="n">
        <v>0.14</v>
      </c>
      <c r="T715" s="21" t="n">
        <v>0.14</v>
      </c>
      <c r="U715" s="36" t="inlineStr">
        <is>
          <t>Tier 1A (Direct Coloc, &lt;1 km)</t>
        </is>
      </c>
      <c r="V715" s="20" t="n">
        <v>100</v>
      </c>
      <c r="W715" s="20" t="n">
        <v>68</v>
      </c>
      <c r="X715" s="20" t="n">
        <v>58</v>
      </c>
      <c r="Y715" s="40">
        <f>ROUND((V715*'Methodology &amp; Assumptions'!$B$6)+(W715*'Methodology &amp; Assumptions'!$B$5)+(X715*'Methodology &amp; Assumptions'!$B$7), 2)</f>
        <v/>
      </c>
    </row>
    <row r="716" ht="19" customHeight="1">
      <c r="A716" s="41" t="n">
        <v>712</v>
      </c>
      <c r="B716" s="41" t="n">
        <v>712</v>
      </c>
      <c r="C716" s="42" t="inlineStr">
        <is>
          <t>0403428009</t>
        </is>
      </c>
      <c r="D716" s="42" t="inlineStr">
        <is>
          <t>Region IV-A (CALABARZON)</t>
        </is>
      </c>
      <c r="E716" s="42" t="inlineStr">
        <is>
          <t>Laguna</t>
        </is>
      </c>
      <c r="F716" s="42" t="inlineStr">
        <is>
          <t>City of Santa Rosa</t>
        </is>
      </c>
      <c r="G716" s="42" t="inlineStr">
        <is>
          <t>Macabling</t>
        </is>
      </c>
      <c r="H716" s="43" t="n">
        <v>14.30258</v>
      </c>
      <c r="I716" s="43" t="n">
        <v>121.102111</v>
      </c>
      <c r="J716" s="44" t="inlineStr">
        <is>
          <t>U</t>
        </is>
      </c>
      <c r="K716" s="42" t="inlineStr">
        <is>
          <t>Class 1-3 / Urban</t>
        </is>
      </c>
      <c r="L716" s="23" t="n">
        <v>20406</v>
      </c>
      <c r="M716" s="24" t="n">
        <v>4.2</v>
      </c>
      <c r="N716" s="23">
        <f>ROUND(L716/M716, 0)</f>
        <v/>
      </c>
      <c r="O716" s="23">
        <f>ROUND(N716*'Methodology &amp; Assumptions'!$B$8, 0)</f>
        <v/>
      </c>
      <c r="P716" s="44" t="inlineStr">
        <is>
          <t>Band n50 (1.5 GHz, 60 MHz)</t>
        </is>
      </c>
      <c r="Q716" s="38">
        <f>ROUNDUP(O716/'Methodology &amp; Assumptions'!$B$9, 0)</f>
        <v/>
      </c>
      <c r="R716" s="39" t="n">
        <v>1</v>
      </c>
      <c r="S716" s="25" t="n">
        <v>0.53</v>
      </c>
      <c r="T716" s="25" t="n">
        <v>0.15</v>
      </c>
      <c r="U716" s="42" t="inlineStr">
        <is>
          <t>Tier 1A (Direct Coloc, &lt;1 km)</t>
        </is>
      </c>
      <c r="V716" s="24" t="n">
        <v>93.7</v>
      </c>
      <c r="W716" s="24" t="n">
        <v>100</v>
      </c>
      <c r="X716" s="24" t="n">
        <v>28</v>
      </c>
      <c r="Y716" s="45">
        <f>ROUND((V716*'Methodology &amp; Assumptions'!$B$6)+(W716*'Methodology &amp; Assumptions'!$B$5)+(X716*'Methodology &amp; Assumptions'!$B$7), 2)</f>
        <v/>
      </c>
    </row>
    <row r="717" ht="19" customHeight="1">
      <c r="A717" s="35" t="n">
        <v>713</v>
      </c>
      <c r="B717" s="35" t="n">
        <v>713</v>
      </c>
      <c r="C717" s="36" t="inlineStr">
        <is>
          <t>0401031035</t>
        </is>
      </c>
      <c r="D717" s="36" t="inlineStr">
        <is>
          <t>Region IV-A (CALABARZON)</t>
        </is>
      </c>
      <c r="E717" s="36" t="inlineStr">
        <is>
          <t>Batangas</t>
        </is>
      </c>
      <c r="F717" s="36" t="inlineStr">
        <is>
          <t>City of Tanauan</t>
        </is>
      </c>
      <c r="G717" s="36" t="inlineStr">
        <is>
          <t>Poblacion Barangay 4</t>
        </is>
      </c>
      <c r="H717" s="37" t="n">
        <v>14.087659</v>
      </c>
      <c r="I717" s="37" t="n">
        <v>121.148844</v>
      </c>
      <c r="J717" s="8" t="inlineStr">
        <is>
          <t>U</t>
        </is>
      </c>
      <c r="K717" s="36" t="inlineStr">
        <is>
          <t>Class 1-3 / Urban</t>
        </is>
      </c>
      <c r="L717" s="18" t="n">
        <v>5234</v>
      </c>
      <c r="M717" s="20" t="n">
        <v>4.62</v>
      </c>
      <c r="N717" s="18">
        <f>ROUND(L717/M717, 0)</f>
        <v/>
      </c>
      <c r="O717" s="18">
        <f>ROUND(N717*'Methodology &amp; Assumptions'!$B$8, 0)</f>
        <v/>
      </c>
      <c r="P717" s="8" t="inlineStr">
        <is>
          <t>Band n50 (1.5 GHz, 60 MHz)</t>
        </is>
      </c>
      <c r="Q717" s="38">
        <f>ROUNDUP(O717/'Methodology &amp; Assumptions'!$B$9, 0)</f>
        <v/>
      </c>
      <c r="R717" s="39" t="n">
        <v>1</v>
      </c>
      <c r="S717" s="21" t="n">
        <v>0.53</v>
      </c>
      <c r="T717" s="21" t="n">
        <v>0.25</v>
      </c>
      <c r="U717" s="36" t="inlineStr">
        <is>
          <t>Tier 1A (Direct Coloc, &lt;1 km)</t>
        </is>
      </c>
      <c r="V717" s="20" t="n">
        <v>93.7</v>
      </c>
      <c r="W717" s="20" t="n">
        <v>100</v>
      </c>
      <c r="X717" s="20" t="n">
        <v>28</v>
      </c>
      <c r="Y717" s="40">
        <f>ROUND((V717*'Methodology &amp; Assumptions'!$B$6)+(W717*'Methodology &amp; Assumptions'!$B$5)+(X717*'Methodology &amp; Assumptions'!$B$7), 2)</f>
        <v/>
      </c>
    </row>
    <row r="718" ht="19" customHeight="1">
      <c r="A718" s="41" t="n">
        <v>714</v>
      </c>
      <c r="B718" s="41" t="n">
        <v>714</v>
      </c>
      <c r="C718" s="42" t="inlineStr">
        <is>
          <t>0702247003</t>
        </is>
      </c>
      <c r="D718" s="42" t="inlineStr">
        <is>
          <t>Region VII (Central Visayas)</t>
        </is>
      </c>
      <c r="E718" s="42" t="inlineStr">
        <is>
          <t>Cebu</t>
        </is>
      </c>
      <c r="F718" s="42" t="inlineStr">
        <is>
          <t>Sogod</t>
        </is>
      </c>
      <c r="G718" s="42" t="inlineStr">
        <is>
          <t>Bagatayam</t>
        </is>
      </c>
      <c r="H718" s="43" t="n">
        <v>10.758166</v>
      </c>
      <c r="I718" s="43" t="n">
        <v>124.00404</v>
      </c>
      <c r="J718" s="44" t="inlineStr">
        <is>
          <t>R</t>
        </is>
      </c>
      <c r="K718" s="42" t="inlineStr">
        <is>
          <t>2nd</t>
        </is>
      </c>
      <c r="L718" s="23" t="n">
        <v>2838</v>
      </c>
      <c r="M718" s="24" t="n">
        <v>4.15</v>
      </c>
      <c r="N718" s="23">
        <f>ROUND(L718/M718, 0)</f>
        <v/>
      </c>
      <c r="O718" s="23">
        <f>ROUND(N718*'Methodology &amp; Assumptions'!$B$8, 0)</f>
        <v/>
      </c>
      <c r="P718" s="44" t="inlineStr">
        <is>
          <t>Band n50 (1.5 GHz, 60 MHz)</t>
        </is>
      </c>
      <c r="Q718" s="38">
        <f>ROUNDUP(O718/'Methodology &amp; Assumptions'!$B$9, 0)</f>
        <v/>
      </c>
      <c r="R718" s="39" t="n">
        <v>1</v>
      </c>
      <c r="S718" s="25" t="n">
        <v>0.7</v>
      </c>
      <c r="T718" s="25" t="n">
        <v>0.26</v>
      </c>
      <c r="U718" s="42" t="inlineStr">
        <is>
          <t>Tier 1A (Direct Coloc, &lt;1 km)</t>
        </is>
      </c>
      <c r="V718" s="24" t="n">
        <v>89.3</v>
      </c>
      <c r="W718" s="24" t="n">
        <v>78.7</v>
      </c>
      <c r="X718" s="24" t="n">
        <v>58</v>
      </c>
      <c r="Y718" s="45">
        <f>ROUND((V718*'Methodology &amp; Assumptions'!$B$6)+(W718*'Methodology &amp; Assumptions'!$B$5)+(X718*'Methodology &amp; Assumptions'!$B$7), 2)</f>
        <v/>
      </c>
    </row>
    <row r="719" ht="19" customHeight="1">
      <c r="A719" s="35" t="n">
        <v>715</v>
      </c>
      <c r="B719" s="35" t="n">
        <v>715</v>
      </c>
      <c r="C719" s="36" t="inlineStr">
        <is>
          <t>1001304022</t>
        </is>
      </c>
      <c r="D719" s="36" t="inlineStr">
        <is>
          <t>Region X (Northern Mindanao)</t>
        </is>
      </c>
      <c r="E719" s="36" t="inlineStr">
        <is>
          <t>Bukidnon</t>
        </is>
      </c>
      <c r="F719" s="36" t="inlineStr">
        <is>
          <t>Don Carlos</t>
        </is>
      </c>
      <c r="G719" s="36" t="inlineStr">
        <is>
          <t>Don Carlos Sur</t>
        </is>
      </c>
      <c r="H719" s="37" t="n">
        <v>7.673169</v>
      </c>
      <c r="I719" s="37" t="n">
        <v>124.99389</v>
      </c>
      <c r="J719" s="8" t="inlineStr">
        <is>
          <t>U</t>
        </is>
      </c>
      <c r="K719" s="36" t="inlineStr">
        <is>
          <t>Class 1-3 / Urban</t>
        </is>
      </c>
      <c r="L719" s="18" t="n">
        <v>11375</v>
      </c>
      <c r="M719" s="20" t="n">
        <v>4.63</v>
      </c>
      <c r="N719" s="18">
        <f>ROUND(L719/M719, 0)</f>
        <v/>
      </c>
      <c r="O719" s="18">
        <f>ROUND(N719*'Methodology &amp; Assumptions'!$B$8, 0)</f>
        <v/>
      </c>
      <c r="P719" s="8" t="inlineStr">
        <is>
          <t>Band n50 (1.5 GHz, 60 MHz)</t>
        </is>
      </c>
      <c r="Q719" s="38">
        <f>ROUNDUP(O719/'Methodology &amp; Assumptions'!$B$9, 0)</f>
        <v/>
      </c>
      <c r="R719" s="39" t="n">
        <v>1</v>
      </c>
      <c r="S719" s="21" t="n">
        <v>0.54</v>
      </c>
      <c r="T719" s="21" t="n">
        <v>0.19</v>
      </c>
      <c r="U719" s="36" t="inlineStr">
        <is>
          <t>Tier 1A (Direct Coloc, &lt;1 km)</t>
        </is>
      </c>
      <c r="V719" s="20" t="n">
        <v>93.7</v>
      </c>
      <c r="W719" s="20" t="n">
        <v>100</v>
      </c>
      <c r="X719" s="20" t="n">
        <v>28</v>
      </c>
      <c r="Y719" s="40">
        <f>ROUND((V719*'Methodology &amp; Assumptions'!$B$6)+(W719*'Methodology &amp; Assumptions'!$B$5)+(X719*'Methodology &amp; Assumptions'!$B$7), 2)</f>
        <v/>
      </c>
    </row>
    <row r="720" ht="19" customHeight="1">
      <c r="A720" s="41" t="n">
        <v>716</v>
      </c>
      <c r="B720" s="41" t="n">
        <v>716</v>
      </c>
      <c r="C720" s="42" t="inlineStr">
        <is>
          <t>1130700170</t>
        </is>
      </c>
      <c r="D720" s="42" t="inlineStr">
        <is>
          <t>Region XI (Davao Region)</t>
        </is>
      </c>
      <c r="E720" s="42" t="inlineStr">
        <is>
          <t>Davao del Sur</t>
        </is>
      </c>
      <c r="F720" s="42" t="inlineStr">
        <is>
          <t>City of Davao</t>
        </is>
      </c>
      <c r="G720" s="42" t="inlineStr">
        <is>
          <t>Barangay 37-D</t>
        </is>
      </c>
      <c r="H720" s="43" t="n">
        <v>7.06341</v>
      </c>
      <c r="I720" s="43" t="n">
        <v>125.61378</v>
      </c>
      <c r="J720" s="44" t="inlineStr">
        <is>
          <t>U</t>
        </is>
      </c>
      <c r="K720" s="42" t="inlineStr">
        <is>
          <t>Class 1-3 / Urban</t>
        </is>
      </c>
      <c r="L720" s="23" t="n">
        <v>5771</v>
      </c>
      <c r="M720" s="24" t="n">
        <v>4.1</v>
      </c>
      <c r="N720" s="23">
        <f>ROUND(L720/M720, 0)</f>
        <v/>
      </c>
      <c r="O720" s="23">
        <f>ROUND(N720*'Methodology &amp; Assumptions'!$B$8, 0)</f>
        <v/>
      </c>
      <c r="P720" s="44" t="inlineStr">
        <is>
          <t>Band n50 (1.5 GHz, 60 MHz)</t>
        </is>
      </c>
      <c r="Q720" s="38">
        <f>ROUNDUP(O720/'Methodology &amp; Assumptions'!$B$9, 0)</f>
        <v/>
      </c>
      <c r="R720" s="39" t="n">
        <v>1</v>
      </c>
      <c r="S720" s="25" t="n">
        <v>0.54</v>
      </c>
      <c r="T720" s="25" t="n">
        <v>0.31</v>
      </c>
      <c r="U720" s="42" t="inlineStr">
        <is>
          <t>Tier 1A (Direct Coloc, &lt;1 km)</t>
        </is>
      </c>
      <c r="V720" s="24" t="n">
        <v>93.59999999999999</v>
      </c>
      <c r="W720" s="24" t="n">
        <v>100</v>
      </c>
      <c r="X720" s="24" t="n">
        <v>28</v>
      </c>
      <c r="Y720" s="45">
        <f>ROUND((V720*'Methodology &amp; Assumptions'!$B$6)+(W720*'Methodology &amp; Assumptions'!$B$5)+(X720*'Methodology &amp; Assumptions'!$B$7), 2)</f>
        <v/>
      </c>
    </row>
    <row r="721" ht="19" customHeight="1">
      <c r="A721" s="35" t="n">
        <v>717</v>
      </c>
      <c r="B721" s="35" t="n">
        <v>717</v>
      </c>
      <c r="C721" s="36" t="inlineStr">
        <is>
          <t>0306910016</t>
        </is>
      </c>
      <c r="D721" s="36" t="inlineStr">
        <is>
          <t>Region III (Central Luzon)</t>
        </is>
      </c>
      <c r="E721" s="36" t="inlineStr">
        <is>
          <t>Tarlac</t>
        </is>
      </c>
      <c r="F721" s="36" t="inlineStr">
        <is>
          <t>Paniqui</t>
        </is>
      </c>
      <c r="G721" s="36" t="inlineStr">
        <is>
          <t>Estacion</t>
        </is>
      </c>
      <c r="H721" s="37" t="n">
        <v>15.67287</v>
      </c>
      <c r="I721" s="37" t="n">
        <v>120.5871</v>
      </c>
      <c r="J721" s="8" t="inlineStr">
        <is>
          <t>U</t>
        </is>
      </c>
      <c r="K721" s="36" t="inlineStr">
        <is>
          <t>Class 1-3 / Urban</t>
        </is>
      </c>
      <c r="L721" s="18" t="n">
        <v>4755</v>
      </c>
      <c r="M721" s="20" t="n">
        <v>4.3</v>
      </c>
      <c r="N721" s="18">
        <f>ROUND(L721/M721, 0)</f>
        <v/>
      </c>
      <c r="O721" s="18">
        <f>ROUND(N721*'Methodology &amp; Assumptions'!$B$8, 0)</f>
        <v/>
      </c>
      <c r="P721" s="8" t="inlineStr">
        <is>
          <t>Band n50 (1.5 GHz, 60 MHz)</t>
        </is>
      </c>
      <c r="Q721" s="38">
        <f>ROUNDUP(O721/'Methodology &amp; Assumptions'!$B$9, 0)</f>
        <v/>
      </c>
      <c r="R721" s="39" t="n">
        <v>1</v>
      </c>
      <c r="S721" s="21" t="n">
        <v>0.54</v>
      </c>
      <c r="T721" s="21" t="n">
        <v>0.25</v>
      </c>
      <c r="U721" s="36" t="inlineStr">
        <is>
          <t>Tier 1A (Direct Coloc, &lt;1 km)</t>
        </is>
      </c>
      <c r="V721" s="20" t="n">
        <v>93.59999999999999</v>
      </c>
      <c r="W721" s="20" t="n">
        <v>100</v>
      </c>
      <c r="X721" s="20" t="n">
        <v>28</v>
      </c>
      <c r="Y721" s="40">
        <f>ROUND((V721*'Methodology &amp; Assumptions'!$B$6)+(W721*'Methodology &amp; Assumptions'!$B$5)+(X721*'Methodology &amp; Assumptions'!$B$7), 2)</f>
        <v/>
      </c>
    </row>
    <row r="722" ht="19" customHeight="1">
      <c r="A722" s="41" t="n">
        <v>718</v>
      </c>
      <c r="B722" s="41" t="n">
        <v>718</v>
      </c>
      <c r="C722" s="42" t="inlineStr">
        <is>
          <t>1600308017</t>
        </is>
      </c>
      <c r="D722" s="42" t="inlineStr">
        <is>
          <t>Region XIII (Caraga)</t>
        </is>
      </c>
      <c r="E722" s="42" t="inlineStr">
        <is>
          <t>Agusan del Sur</t>
        </is>
      </c>
      <c r="F722" s="42" t="inlineStr">
        <is>
          <t>San Francisco</t>
        </is>
      </c>
      <c r="G722" s="42" t="inlineStr">
        <is>
          <t>Barangay 3</t>
        </is>
      </c>
      <c r="H722" s="43" t="n">
        <v>8.507849</v>
      </c>
      <c r="I722" s="43" t="n">
        <v>125.9738</v>
      </c>
      <c r="J722" s="44" t="inlineStr">
        <is>
          <t>U</t>
        </is>
      </c>
      <c r="K722" s="42" t="inlineStr">
        <is>
          <t>Class 1-3 / Urban</t>
        </is>
      </c>
      <c r="L722" s="23" t="n">
        <v>3569</v>
      </c>
      <c r="M722" s="24" t="n">
        <v>4.1</v>
      </c>
      <c r="N722" s="23">
        <f>ROUND(L722/M722, 0)</f>
        <v/>
      </c>
      <c r="O722" s="23">
        <f>ROUND(N722*'Methodology &amp; Assumptions'!$B$8, 0)</f>
        <v/>
      </c>
      <c r="P722" s="44" t="inlineStr">
        <is>
          <t>Band n50 (1.5 GHz, 60 MHz)</t>
        </is>
      </c>
      <c r="Q722" s="38">
        <f>ROUNDUP(O722/'Methodology &amp; Assumptions'!$B$9, 0)</f>
        <v/>
      </c>
      <c r="R722" s="39" t="n">
        <v>1</v>
      </c>
      <c r="S722" s="25" t="n">
        <v>0.23</v>
      </c>
      <c r="T722" s="25" t="n">
        <v>0.09</v>
      </c>
      <c r="U722" s="42" t="inlineStr">
        <is>
          <t>Tier 1A (Direct Coloc, &lt;1 km)</t>
        </is>
      </c>
      <c r="V722" s="24" t="n">
        <v>100</v>
      </c>
      <c r="W722" s="24" t="n">
        <v>93.59999999999999</v>
      </c>
      <c r="X722" s="24" t="n">
        <v>28</v>
      </c>
      <c r="Y722" s="45">
        <f>ROUND((V722*'Methodology &amp; Assumptions'!$B$6)+(W722*'Methodology &amp; Assumptions'!$B$5)+(X722*'Methodology &amp; Assumptions'!$B$7), 2)</f>
        <v/>
      </c>
    </row>
    <row r="723" ht="19" customHeight="1">
      <c r="A723" s="35" t="n">
        <v>719</v>
      </c>
      <c r="B723" s="35" t="n">
        <v>719</v>
      </c>
      <c r="C723" s="36" t="inlineStr">
        <is>
          <t>0306905055</t>
        </is>
      </c>
      <c r="D723" s="36" t="inlineStr">
        <is>
          <t>Region III (Central Luzon)</t>
        </is>
      </c>
      <c r="E723" s="36" t="inlineStr">
        <is>
          <t>Tarlac</t>
        </is>
      </c>
      <c r="F723" s="36" t="inlineStr">
        <is>
          <t>Concepcion</t>
        </is>
      </c>
      <c r="G723" s="36" t="inlineStr">
        <is>
          <t>Green Village</t>
        </is>
      </c>
      <c r="H723" s="37" t="n">
        <v>15.325779</v>
      </c>
      <c r="I723" s="37" t="n">
        <v>120.647076</v>
      </c>
      <c r="J723" s="8" t="inlineStr">
        <is>
          <t>R</t>
        </is>
      </c>
      <c r="K723" s="36" t="inlineStr">
        <is>
          <t>Class 1-3 / Urban</t>
        </is>
      </c>
      <c r="L723" s="18" t="n">
        <v>2862</v>
      </c>
      <c r="M723" s="20" t="n">
        <v>4.3</v>
      </c>
      <c r="N723" s="18">
        <f>ROUND(L723/M723, 0)</f>
        <v/>
      </c>
      <c r="O723" s="18">
        <f>ROUND(N723*'Methodology &amp; Assumptions'!$B$8, 0)</f>
        <v/>
      </c>
      <c r="P723" s="8" t="inlineStr">
        <is>
          <t>Band n50 (1.5 GHz, 60 MHz)</t>
        </is>
      </c>
      <c r="Q723" s="38">
        <f>ROUNDUP(O723/'Methodology &amp; Assumptions'!$B$9, 0)</f>
        <v/>
      </c>
      <c r="R723" s="39" t="n">
        <v>1</v>
      </c>
      <c r="S723" s="21" t="n">
        <v>0.65</v>
      </c>
      <c r="T723" s="21" t="n">
        <v>0.38</v>
      </c>
      <c r="U723" s="36" t="inlineStr">
        <is>
          <t>Tier 1A (Direct Coloc, &lt;1 km)</t>
        </is>
      </c>
      <c r="V723" s="20" t="n">
        <v>90.5</v>
      </c>
      <c r="W723" s="20" t="n">
        <v>77.3</v>
      </c>
      <c r="X723" s="20" t="n">
        <v>58</v>
      </c>
      <c r="Y723" s="40">
        <f>ROUND((V723*'Methodology &amp; Assumptions'!$B$6)+(W723*'Methodology &amp; Assumptions'!$B$5)+(X723*'Methodology &amp; Assumptions'!$B$7), 2)</f>
        <v/>
      </c>
    </row>
    <row r="724" ht="19" customHeight="1">
      <c r="A724" s="41" t="n">
        <v>720</v>
      </c>
      <c r="B724" s="41" t="n">
        <v>720</v>
      </c>
      <c r="C724" s="42" t="inlineStr">
        <is>
          <t>0702210038</t>
        </is>
      </c>
      <c r="D724" s="42" t="inlineStr">
        <is>
          <t>Region VII (Central Visayas)</t>
        </is>
      </c>
      <c r="E724" s="42" t="inlineStr">
        <is>
          <t>Cebu</t>
        </is>
      </c>
      <c r="F724" s="42" t="inlineStr">
        <is>
          <t>Barili</t>
        </is>
      </c>
      <c r="G724" s="42" t="inlineStr">
        <is>
          <t>Poblacion</t>
        </is>
      </c>
      <c r="H724" s="43" t="n">
        <v>10.111864</v>
      </c>
      <c r="I724" s="43" t="n">
        <v>123.513072</v>
      </c>
      <c r="J724" s="44" t="inlineStr">
        <is>
          <t>U</t>
        </is>
      </c>
      <c r="K724" s="42" t="inlineStr">
        <is>
          <t>Class 1-3 / Urban</t>
        </is>
      </c>
      <c r="L724" s="23" t="n">
        <v>5081</v>
      </c>
      <c r="M724" s="24" t="n">
        <v>4.42</v>
      </c>
      <c r="N724" s="23">
        <f>ROUND(L724/M724, 0)</f>
        <v/>
      </c>
      <c r="O724" s="23">
        <f>ROUND(N724*'Methodology &amp; Assumptions'!$B$8, 0)</f>
        <v/>
      </c>
      <c r="P724" s="44" t="inlineStr">
        <is>
          <t>Band n50 (1.5 GHz, 60 MHz)</t>
        </is>
      </c>
      <c r="Q724" s="38">
        <f>ROUNDUP(O724/'Methodology &amp; Assumptions'!$B$9, 0)</f>
        <v/>
      </c>
      <c r="R724" s="39" t="n">
        <v>1</v>
      </c>
      <c r="S724" s="25" t="n">
        <v>0.54</v>
      </c>
      <c r="T724" s="25" t="n">
        <v>0.57</v>
      </c>
      <c r="U724" s="42" t="inlineStr">
        <is>
          <t>Tier 1A (Direct Coloc, &lt;1 km)</t>
        </is>
      </c>
      <c r="V724" s="24" t="n">
        <v>93.5</v>
      </c>
      <c r="W724" s="24" t="n">
        <v>100</v>
      </c>
      <c r="X724" s="24" t="n">
        <v>28</v>
      </c>
      <c r="Y724" s="45">
        <f>ROUND((V724*'Methodology &amp; Assumptions'!$B$6)+(W724*'Methodology &amp; Assumptions'!$B$5)+(X724*'Methodology &amp; Assumptions'!$B$7), 2)</f>
        <v/>
      </c>
    </row>
    <row r="725" ht="19" customHeight="1">
      <c r="A725" s="35" t="n">
        <v>721</v>
      </c>
      <c r="B725" s="35" t="n">
        <v>721</v>
      </c>
      <c r="C725" s="36" t="inlineStr">
        <is>
          <t>0304915015</t>
        </is>
      </c>
      <c r="D725" s="36" t="inlineStr">
        <is>
          <t>Region III (Central Luzon)</t>
        </is>
      </c>
      <c r="E725" s="36" t="inlineStr">
        <is>
          <t>Nueva Ecija</t>
        </is>
      </c>
      <c r="F725" s="36" t="inlineStr">
        <is>
          <t>Llanera</t>
        </is>
      </c>
      <c r="G725" s="36" t="inlineStr">
        <is>
          <t>Plaridel</t>
        </is>
      </c>
      <c r="H725" s="37" t="n">
        <v>15.656944</v>
      </c>
      <c r="I725" s="37" t="n">
        <v>121.019097</v>
      </c>
      <c r="J725" s="8" t="inlineStr">
        <is>
          <t>R</t>
        </is>
      </c>
      <c r="K725" s="36" t="inlineStr">
        <is>
          <t>2nd</t>
        </is>
      </c>
      <c r="L725" s="18" t="n">
        <v>3711</v>
      </c>
      <c r="M725" s="20" t="n">
        <v>4.14</v>
      </c>
      <c r="N725" s="18">
        <f>ROUND(L725/M725, 0)</f>
        <v/>
      </c>
      <c r="O725" s="18">
        <f>ROUND(N725*'Methodology &amp; Assumptions'!$B$8, 0)</f>
        <v/>
      </c>
      <c r="P725" s="8" t="inlineStr">
        <is>
          <t>Band n50 (1.5 GHz, 60 MHz)</t>
        </is>
      </c>
      <c r="Q725" s="38">
        <f>ROUNDUP(O725/'Methodology &amp; Assumptions'!$B$9, 0)</f>
        <v/>
      </c>
      <c r="R725" s="39" t="n">
        <v>1</v>
      </c>
      <c r="S725" s="21" t="n">
        <v>0.98</v>
      </c>
      <c r="T725" s="21" t="n">
        <v>4.04</v>
      </c>
      <c r="U725" s="36" t="inlineStr">
        <is>
          <t>Tier 1A (Direct Coloc, &lt;1 km)</t>
        </is>
      </c>
      <c r="V725" s="20" t="n">
        <v>72.09999999999999</v>
      </c>
      <c r="W725" s="20" t="n">
        <v>95.7</v>
      </c>
      <c r="X725" s="20" t="n">
        <v>58</v>
      </c>
      <c r="Y725" s="40">
        <f>ROUND((V725*'Methodology &amp; Assumptions'!$B$6)+(W725*'Methodology &amp; Assumptions'!$B$5)+(X725*'Methodology &amp; Assumptions'!$B$7), 2)</f>
        <v/>
      </c>
    </row>
    <row r="726" ht="19" customHeight="1">
      <c r="A726" s="41" t="n">
        <v>722</v>
      </c>
      <c r="B726" s="41" t="n">
        <v>722</v>
      </c>
      <c r="C726" s="42" t="inlineStr">
        <is>
          <t>0402120022</t>
        </is>
      </c>
      <c r="D726" s="42" t="inlineStr">
        <is>
          <t>Region IV-A (CALABARZON)</t>
        </is>
      </c>
      <c r="E726" s="42" t="inlineStr">
        <is>
          <t>Cavite</t>
        </is>
      </c>
      <c r="F726" s="42" t="inlineStr">
        <is>
          <t>Tanza</t>
        </is>
      </c>
      <c r="G726" s="42" t="inlineStr">
        <is>
          <t>Sanja Mayor</t>
        </is>
      </c>
      <c r="H726" s="43" t="n">
        <v>14.373178</v>
      </c>
      <c r="I726" s="43" t="n">
        <v>120.852766</v>
      </c>
      <c r="J726" s="44" t="inlineStr">
        <is>
          <t>U</t>
        </is>
      </c>
      <c r="K726" s="42" t="inlineStr">
        <is>
          <t>Class 1-3 / Urban</t>
        </is>
      </c>
      <c r="L726" s="23" t="n">
        <v>14697</v>
      </c>
      <c r="M726" s="24" t="n">
        <v>4.49</v>
      </c>
      <c r="N726" s="23">
        <f>ROUND(L726/M726, 0)</f>
        <v/>
      </c>
      <c r="O726" s="23">
        <f>ROUND(N726*'Methodology &amp; Assumptions'!$B$8, 0)</f>
        <v/>
      </c>
      <c r="P726" s="44" t="inlineStr">
        <is>
          <t>Band n50 (1.5 GHz, 60 MHz)</t>
        </is>
      </c>
      <c r="Q726" s="38">
        <f>ROUNDUP(O726/'Methodology &amp; Assumptions'!$B$9, 0)</f>
        <v/>
      </c>
      <c r="R726" s="39" t="n">
        <v>1</v>
      </c>
      <c r="S726" s="25" t="n">
        <v>0.54</v>
      </c>
      <c r="T726" s="25" t="n">
        <v>0.91</v>
      </c>
      <c r="U726" s="42" t="inlineStr">
        <is>
          <t>Tier 1A (Direct Coloc, &lt;1 km)</t>
        </is>
      </c>
      <c r="V726" s="24" t="n">
        <v>93.5</v>
      </c>
      <c r="W726" s="24" t="n">
        <v>100</v>
      </c>
      <c r="X726" s="24" t="n">
        <v>28</v>
      </c>
      <c r="Y726" s="45">
        <f>ROUND((V726*'Methodology &amp; Assumptions'!$B$6)+(W726*'Methodology &amp; Assumptions'!$B$5)+(X726*'Methodology &amp; Assumptions'!$B$7), 2)</f>
        <v/>
      </c>
    </row>
    <row r="727" ht="19" customHeight="1">
      <c r="A727" s="35" t="n">
        <v>723</v>
      </c>
      <c r="B727" s="35" t="n">
        <v>723</v>
      </c>
      <c r="C727" s="36" t="inlineStr">
        <is>
          <t>0405804022</t>
        </is>
      </c>
      <c r="D727" s="36" t="inlineStr">
        <is>
          <t>Region IV-A (CALABARZON)</t>
        </is>
      </c>
      <c r="E727" s="36" t="inlineStr">
        <is>
          <t>Rizal</t>
        </is>
      </c>
      <c r="F727" s="36" t="inlineStr">
        <is>
          <t>Binangonan</t>
        </is>
      </c>
      <c r="G727" s="36" t="inlineStr">
        <is>
          <t>Lunsad</t>
        </is>
      </c>
      <c r="H727" s="37" t="n">
        <v>14.476943</v>
      </c>
      <c r="I727" s="37" t="n">
        <v>121.195743</v>
      </c>
      <c r="J727" s="8" t="inlineStr">
        <is>
          <t>U</t>
        </is>
      </c>
      <c r="K727" s="36" t="inlineStr">
        <is>
          <t>Class 1-3 / Urban</t>
        </is>
      </c>
      <c r="L727" s="18" t="n">
        <v>11748</v>
      </c>
      <c r="M727" s="20" t="n">
        <v>4.39</v>
      </c>
      <c r="N727" s="18">
        <f>ROUND(L727/M727, 0)</f>
        <v/>
      </c>
      <c r="O727" s="18">
        <f>ROUND(N727*'Methodology &amp; Assumptions'!$B$8, 0)</f>
        <v/>
      </c>
      <c r="P727" s="8" t="inlineStr">
        <is>
          <t>Band n50 (1.5 GHz, 60 MHz)</t>
        </is>
      </c>
      <c r="Q727" s="38">
        <f>ROUNDUP(O727/'Methodology &amp; Assumptions'!$B$9, 0)</f>
        <v/>
      </c>
      <c r="R727" s="39" t="n">
        <v>1</v>
      </c>
      <c r="S727" s="21" t="n">
        <v>0.54</v>
      </c>
      <c r="T727" s="21" t="n">
        <v>0.51</v>
      </c>
      <c r="U727" s="36" t="inlineStr">
        <is>
          <t>Tier 1A (Direct Coloc, &lt;1 km)</t>
        </is>
      </c>
      <c r="V727" s="20" t="n">
        <v>93.5</v>
      </c>
      <c r="W727" s="20" t="n">
        <v>100</v>
      </c>
      <c r="X727" s="20" t="n">
        <v>28</v>
      </c>
      <c r="Y727" s="40">
        <f>ROUND((V727*'Methodology &amp; Assumptions'!$B$6)+(W727*'Methodology &amp; Assumptions'!$B$5)+(X727*'Methodology &amp; Assumptions'!$B$7), 2)</f>
        <v/>
      </c>
    </row>
    <row r="728" ht="19" customHeight="1">
      <c r="A728" s="41" t="n">
        <v>724</v>
      </c>
      <c r="B728" s="41" t="n">
        <v>724</v>
      </c>
      <c r="C728" s="42" t="inlineStr">
        <is>
          <t>0402109059</t>
        </is>
      </c>
      <c r="D728" s="42" t="inlineStr">
        <is>
          <t>Region IV-A (CALABARZON)</t>
        </is>
      </c>
      <c r="E728" s="42" t="inlineStr">
        <is>
          <t>Cavite</t>
        </is>
      </c>
      <c r="F728" s="42" t="inlineStr">
        <is>
          <t>City of Imus</t>
        </is>
      </c>
      <c r="G728" s="42" t="inlineStr">
        <is>
          <t>Malagasang I-D</t>
        </is>
      </c>
      <c r="H728" s="43" t="n">
        <v>14.386418</v>
      </c>
      <c r="I728" s="43" t="n">
        <v>120.929003</v>
      </c>
      <c r="J728" s="44" t="inlineStr">
        <is>
          <t>R</t>
        </is>
      </c>
      <c r="K728" s="42" t="inlineStr">
        <is>
          <t>Class 1-3 / Urban</t>
        </is>
      </c>
      <c r="L728" s="23" t="n">
        <v>4678</v>
      </c>
      <c r="M728" s="24" t="n">
        <v>4.49</v>
      </c>
      <c r="N728" s="23">
        <f>ROUND(L728/M728, 0)</f>
        <v/>
      </c>
      <c r="O728" s="23">
        <f>ROUND(N728*'Methodology &amp; Assumptions'!$B$8, 0)</f>
        <v/>
      </c>
      <c r="P728" s="44" t="inlineStr">
        <is>
          <t>Band n50 (1.5 GHz, 60 MHz)</t>
        </is>
      </c>
      <c r="Q728" s="38">
        <f>ROUNDUP(O728/'Methodology &amp; Assumptions'!$B$9, 0)</f>
        <v/>
      </c>
      <c r="R728" s="39" t="n">
        <v>1</v>
      </c>
      <c r="S728" s="25" t="n">
        <v>1.17</v>
      </c>
      <c r="T728" s="25" t="n">
        <v>5.86</v>
      </c>
      <c r="U728" s="42" t="inlineStr">
        <is>
          <t>Tier 1B (Micro Drop, 1-3 km)</t>
        </is>
      </c>
      <c r="V728" s="24" t="n">
        <v>67.8</v>
      </c>
      <c r="W728" s="24" t="n">
        <v>100</v>
      </c>
      <c r="X728" s="24" t="n">
        <v>58</v>
      </c>
      <c r="Y728" s="45">
        <f>ROUND((V728*'Methodology &amp; Assumptions'!$B$6)+(W728*'Methodology &amp; Assumptions'!$B$5)+(X728*'Methodology &amp; Assumptions'!$B$7), 2)</f>
        <v/>
      </c>
    </row>
    <row r="729" ht="19" customHeight="1">
      <c r="A729" s="35" t="n">
        <v>725</v>
      </c>
      <c r="B729" s="35" t="n">
        <v>725</v>
      </c>
      <c r="C729" s="36" t="inlineStr">
        <is>
          <t>0201516021</t>
        </is>
      </c>
      <c r="D729" s="36" t="inlineStr">
        <is>
          <t>Region II (Cagayan Valley)</t>
        </is>
      </c>
      <c r="E729" s="36" t="inlineStr">
        <is>
          <t>Cagayan</t>
        </is>
      </c>
      <c r="F729" s="36" t="inlineStr">
        <is>
          <t>Lal-Lo</t>
        </is>
      </c>
      <c r="G729" s="36" t="inlineStr">
        <is>
          <t>Logac</t>
        </is>
      </c>
      <c r="H729" s="37" t="n">
        <v>18.155</v>
      </c>
      <c r="I729" s="37" t="n">
        <v>121.6084</v>
      </c>
      <c r="J729" s="8" t="inlineStr">
        <is>
          <t>R</t>
        </is>
      </c>
      <c r="K729" s="36" t="inlineStr">
        <is>
          <t>Class 1-3 / Urban</t>
        </is>
      </c>
      <c r="L729" s="18" t="n">
        <v>2387</v>
      </c>
      <c r="M729" s="20" t="n">
        <v>4.38</v>
      </c>
      <c r="N729" s="18">
        <f>ROUND(L729/M729, 0)</f>
        <v/>
      </c>
      <c r="O729" s="18">
        <f>ROUND(N729*'Methodology &amp; Assumptions'!$B$8, 0)</f>
        <v/>
      </c>
      <c r="P729" s="8" t="inlineStr">
        <is>
          <t>Band n50 (1.5 GHz, 60 MHz)</t>
        </is>
      </c>
      <c r="Q729" s="38">
        <f>ROUNDUP(O729/'Methodology &amp; Assumptions'!$B$9, 0)</f>
        <v/>
      </c>
      <c r="R729" s="39" t="n">
        <v>1</v>
      </c>
      <c r="S729" s="21" t="n">
        <v>0.07000000000000001</v>
      </c>
      <c r="T729" s="21" t="n">
        <v>0.05</v>
      </c>
      <c r="U729" s="36" t="inlineStr">
        <is>
          <t>Tier 1A (Direct Coloc, &lt;1 km)</t>
        </is>
      </c>
      <c r="V729" s="20" t="n">
        <v>100</v>
      </c>
      <c r="W729" s="20" t="n">
        <v>67.7</v>
      </c>
      <c r="X729" s="20" t="n">
        <v>58</v>
      </c>
      <c r="Y729" s="40">
        <f>ROUND((V729*'Methodology &amp; Assumptions'!$B$6)+(W729*'Methodology &amp; Assumptions'!$B$5)+(X729*'Methodology &amp; Assumptions'!$B$7), 2)</f>
        <v/>
      </c>
    </row>
    <row r="730" ht="19" customHeight="1">
      <c r="A730" s="41" t="n">
        <v>726</v>
      </c>
      <c r="B730" s="41" t="n">
        <v>726</v>
      </c>
      <c r="C730" s="42" t="inlineStr">
        <is>
          <t>0931700061</t>
        </is>
      </c>
      <c r="D730" s="42" t="inlineStr">
        <is>
          <t>Region IX (Zamboanga Peninsula)</t>
        </is>
      </c>
      <c r="E730" s="42" t="inlineStr">
        <is>
          <t>Zamboanga del Sur</t>
        </is>
      </c>
      <c r="F730" s="42" t="inlineStr">
        <is>
          <t>City of Zamboanga</t>
        </is>
      </c>
      <c r="G730" s="42" t="inlineStr">
        <is>
          <t>Barangay Zone I</t>
        </is>
      </c>
      <c r="H730" s="43" t="n">
        <v>6.905987</v>
      </c>
      <c r="I730" s="43" t="n">
        <v>122.07155</v>
      </c>
      <c r="J730" s="44" t="inlineStr">
        <is>
          <t>U</t>
        </is>
      </c>
      <c r="K730" s="42" t="inlineStr">
        <is>
          <t>Class 1-3 / Urban</t>
        </is>
      </c>
      <c r="L730" s="23" t="n">
        <v>4806</v>
      </c>
      <c r="M730" s="24" t="n">
        <v>4.61</v>
      </c>
      <c r="N730" s="23">
        <f>ROUND(L730/M730, 0)</f>
        <v/>
      </c>
      <c r="O730" s="23">
        <f>ROUND(N730*'Methodology &amp; Assumptions'!$B$8, 0)</f>
        <v/>
      </c>
      <c r="P730" s="44" t="inlineStr">
        <is>
          <t>Band n50 (1.5 GHz, 60 MHz)</t>
        </is>
      </c>
      <c r="Q730" s="38">
        <f>ROUNDUP(O730/'Methodology &amp; Assumptions'!$B$9, 0)</f>
        <v/>
      </c>
      <c r="R730" s="39" t="n">
        <v>1</v>
      </c>
      <c r="S730" s="25" t="n">
        <v>0.54</v>
      </c>
      <c r="T730" s="25" t="n">
        <v>0.54</v>
      </c>
      <c r="U730" s="42" t="inlineStr">
        <is>
          <t>Tier 1A (Direct Coloc, &lt;1 km)</t>
        </is>
      </c>
      <c r="V730" s="24" t="n">
        <v>93.40000000000001</v>
      </c>
      <c r="W730" s="24" t="n">
        <v>100</v>
      </c>
      <c r="X730" s="24" t="n">
        <v>28</v>
      </c>
      <c r="Y730" s="45">
        <f>ROUND((V730*'Methodology &amp; Assumptions'!$B$6)+(W730*'Methodology &amp; Assumptions'!$B$5)+(X730*'Methodology &amp; Assumptions'!$B$7), 2)</f>
        <v/>
      </c>
    </row>
    <row r="731" ht="19" customHeight="1">
      <c r="A731" s="35" t="n">
        <v>727</v>
      </c>
      <c r="B731" s="35" t="n">
        <v>727</v>
      </c>
      <c r="C731" s="36" t="inlineStr">
        <is>
          <t>0403411012</t>
        </is>
      </c>
      <c r="D731" s="36" t="inlineStr">
        <is>
          <t>Region IV-A (CALABARZON)</t>
        </is>
      </c>
      <c r="E731" s="36" t="inlineStr">
        <is>
          <t>Laguna</t>
        </is>
      </c>
      <c r="F731" s="36" t="inlineStr">
        <is>
          <t>Los Baños</t>
        </is>
      </c>
      <c r="G731" s="36" t="inlineStr">
        <is>
          <t>San Antonio</t>
        </is>
      </c>
      <c r="H731" s="37" t="n">
        <v>14.177375</v>
      </c>
      <c r="I731" s="37" t="n">
        <v>121.247048</v>
      </c>
      <c r="J731" s="8" t="inlineStr">
        <is>
          <t>U</t>
        </is>
      </c>
      <c r="K731" s="36" t="inlineStr">
        <is>
          <t>Class 1-3 / Urban</t>
        </is>
      </c>
      <c r="L731" s="18" t="n">
        <v>15978</v>
      </c>
      <c r="M731" s="20" t="n">
        <v>4.2</v>
      </c>
      <c r="N731" s="18">
        <f>ROUND(L731/M731, 0)</f>
        <v/>
      </c>
      <c r="O731" s="18">
        <f>ROUND(N731*'Methodology &amp; Assumptions'!$B$8, 0)</f>
        <v/>
      </c>
      <c r="P731" s="8" t="inlineStr">
        <is>
          <t>Band n50 (1.5 GHz, 60 MHz)</t>
        </is>
      </c>
      <c r="Q731" s="38">
        <f>ROUNDUP(O731/'Methodology &amp; Assumptions'!$B$9, 0)</f>
        <v/>
      </c>
      <c r="R731" s="39" t="n">
        <v>1</v>
      </c>
      <c r="S731" s="21" t="n">
        <v>0.54</v>
      </c>
      <c r="T731" s="21" t="n">
        <v>0.11</v>
      </c>
      <c r="U731" s="36" t="inlineStr">
        <is>
          <t>Tier 1A (Direct Coloc, &lt;1 km)</t>
        </is>
      </c>
      <c r="V731" s="20" t="n">
        <v>93.40000000000001</v>
      </c>
      <c r="W731" s="20" t="n">
        <v>100</v>
      </c>
      <c r="X731" s="20" t="n">
        <v>28</v>
      </c>
      <c r="Y731" s="40">
        <f>ROUND((V731*'Methodology &amp; Assumptions'!$B$6)+(W731*'Methodology &amp; Assumptions'!$B$5)+(X731*'Methodology &amp; Assumptions'!$B$7), 2)</f>
        <v/>
      </c>
    </row>
    <row r="732" ht="19" customHeight="1">
      <c r="A732" s="41" t="n">
        <v>728</v>
      </c>
      <c r="B732" s="41" t="n">
        <v>728</v>
      </c>
      <c r="C732" s="42" t="inlineStr">
        <is>
          <t>0301407008</t>
        </is>
      </c>
      <c r="D732" s="42" t="inlineStr">
        <is>
          <t>Region III (Central Luzon)</t>
        </is>
      </c>
      <c r="E732" s="42" t="inlineStr">
        <is>
          <t>Bulacan</t>
        </is>
      </c>
      <c r="F732" s="42" t="inlineStr">
        <is>
          <t>Calumpit</t>
        </is>
      </c>
      <c r="G732" s="42" t="inlineStr">
        <is>
          <t>Caniogan</t>
        </is>
      </c>
      <c r="H732" s="43" t="n">
        <v>14.908238</v>
      </c>
      <c r="I732" s="43" t="n">
        <v>120.772476</v>
      </c>
      <c r="J732" s="44" t="inlineStr">
        <is>
          <t>U</t>
        </is>
      </c>
      <c r="K732" s="42" t="inlineStr">
        <is>
          <t>Class 1-3 / Urban</t>
        </is>
      </c>
      <c r="L732" s="23" t="n">
        <v>4510</v>
      </c>
      <c r="M732" s="24" t="n">
        <v>4.1</v>
      </c>
      <c r="N732" s="23">
        <f>ROUND(L732/M732, 0)</f>
        <v/>
      </c>
      <c r="O732" s="23">
        <f>ROUND(N732*'Methodology &amp; Assumptions'!$B$8, 0)</f>
        <v/>
      </c>
      <c r="P732" s="44" t="inlineStr">
        <is>
          <t>Band n50 (1.5 GHz, 60 MHz)</t>
        </is>
      </c>
      <c r="Q732" s="38">
        <f>ROUNDUP(O732/'Methodology &amp; Assumptions'!$B$9, 0)</f>
        <v/>
      </c>
      <c r="R732" s="39" t="n">
        <v>1</v>
      </c>
      <c r="S732" s="25" t="n">
        <v>0.54</v>
      </c>
      <c r="T732" s="25" t="n">
        <v>0.3</v>
      </c>
      <c r="U732" s="42" t="inlineStr">
        <is>
          <t>Tier 1A (Direct Coloc, &lt;1 km)</t>
        </is>
      </c>
      <c r="V732" s="24" t="n">
        <v>93.40000000000001</v>
      </c>
      <c r="W732" s="24" t="n">
        <v>100</v>
      </c>
      <c r="X732" s="24" t="n">
        <v>28</v>
      </c>
      <c r="Y732" s="45">
        <f>ROUND((V732*'Methodology &amp; Assumptions'!$B$6)+(W732*'Methodology &amp; Assumptions'!$B$5)+(X732*'Methodology &amp; Assumptions'!$B$7), 2)</f>
        <v/>
      </c>
    </row>
    <row r="733" ht="19" customHeight="1">
      <c r="A733" s="35" t="n">
        <v>729</v>
      </c>
      <c r="B733" s="35" t="n">
        <v>729</v>
      </c>
      <c r="C733" s="36" t="inlineStr">
        <is>
          <t>1401111010</t>
        </is>
      </c>
      <c r="D733" s="36" t="inlineStr">
        <is>
          <t>Cordillera Administrative Region (CAR)</t>
        </is>
      </c>
      <c r="E733" s="36" t="inlineStr">
        <is>
          <t>Benguet</t>
        </is>
      </c>
      <c r="F733" s="36" t="inlineStr">
        <is>
          <t>Mankayan</t>
        </is>
      </c>
      <c r="G733" s="36" t="inlineStr">
        <is>
          <t>Poblacion</t>
        </is>
      </c>
      <c r="H733" s="37" t="n">
        <v>16.85702</v>
      </c>
      <c r="I733" s="37" t="n">
        <v>120.79309</v>
      </c>
      <c r="J733" s="8" t="inlineStr">
        <is>
          <t>R</t>
        </is>
      </c>
      <c r="K733" s="36" t="inlineStr">
        <is>
          <t>Class 1-3 / Urban</t>
        </is>
      </c>
      <c r="L733" s="18" t="n">
        <v>2196</v>
      </c>
      <c r="M733" s="20" t="n">
        <v>4.58</v>
      </c>
      <c r="N733" s="18">
        <f>ROUND(L733/M733, 0)</f>
        <v/>
      </c>
      <c r="O733" s="18">
        <f>ROUND(N733*'Methodology &amp; Assumptions'!$B$8, 0)</f>
        <v/>
      </c>
      <c r="P733" s="8" t="inlineStr">
        <is>
          <t>Band n50 (1.5 GHz, 60 MHz)</t>
        </is>
      </c>
      <c r="Q733" s="38">
        <f>ROUNDUP(O733/'Methodology &amp; Assumptions'!$B$9, 0)</f>
        <v/>
      </c>
      <c r="R733" s="39" t="n">
        <v>1</v>
      </c>
      <c r="S733" s="21" t="n">
        <v>0.44</v>
      </c>
      <c r="T733" s="21" t="n">
        <v>0.13</v>
      </c>
      <c r="U733" s="36" t="inlineStr">
        <is>
          <t>Tier 1A (Direct Coloc, &lt;1 km)</t>
        </is>
      </c>
      <c r="V733" s="20" t="n">
        <v>96.40000000000001</v>
      </c>
      <c r="W733" s="20" t="n">
        <v>58.4</v>
      </c>
      <c r="X733" s="20" t="n">
        <v>73</v>
      </c>
      <c r="Y733" s="40">
        <f>ROUND((V733*'Methodology &amp; Assumptions'!$B$6)+(W733*'Methodology &amp; Assumptions'!$B$5)+(X733*'Methodology &amp; Assumptions'!$B$7), 2)</f>
        <v/>
      </c>
    </row>
    <row r="734" ht="19" customHeight="1">
      <c r="A734" s="41" t="n">
        <v>730</v>
      </c>
      <c r="B734" s="41" t="n">
        <v>730</v>
      </c>
      <c r="C734" s="42" t="inlineStr">
        <is>
          <t>0201524003</t>
        </is>
      </c>
      <c r="D734" s="42" t="inlineStr">
        <is>
          <t>Region II (Cagayan Valley)</t>
        </is>
      </c>
      <c r="E734" s="42" t="inlineStr">
        <is>
          <t>Cagayan</t>
        </is>
      </c>
      <c r="F734" s="42" t="inlineStr">
        <is>
          <t>Santa Praxedes</t>
        </is>
      </c>
      <c r="G734" s="42" t="inlineStr">
        <is>
          <t>Centro I</t>
        </is>
      </c>
      <c r="H734" s="43" t="n">
        <v>18.561106</v>
      </c>
      <c r="I734" s="43" t="n">
        <v>120.991934</v>
      </c>
      <c r="J734" s="44" t="inlineStr">
        <is>
          <t>R</t>
        </is>
      </c>
      <c r="K734" s="42" t="inlineStr">
        <is>
          <t>5th</t>
        </is>
      </c>
      <c r="L734" s="23" t="n">
        <v>939</v>
      </c>
      <c r="M734" s="24" t="n">
        <v>4.23</v>
      </c>
      <c r="N734" s="23">
        <f>ROUND(L734/M734, 0)</f>
        <v/>
      </c>
      <c r="O734" s="23">
        <f>ROUND(N734*'Methodology &amp; Assumptions'!$B$8, 0)</f>
        <v/>
      </c>
      <c r="P734" s="44" t="inlineStr">
        <is>
          <t>Band n50 (1.5 GHz, 60 MHz)</t>
        </is>
      </c>
      <c r="Q734" s="38">
        <f>ROUNDUP(O734/'Methodology &amp; Assumptions'!$B$9, 0)</f>
        <v/>
      </c>
      <c r="R734" s="39" t="n">
        <v>1</v>
      </c>
      <c r="S734" s="25" t="n">
        <v>0.03</v>
      </c>
      <c r="T734" s="25" t="n">
        <v>0.16</v>
      </c>
      <c r="U734" s="42" t="inlineStr">
        <is>
          <t>Tier 1A (Direct Coloc, &lt;1 km)</t>
        </is>
      </c>
      <c r="V734" s="24" t="n">
        <v>100</v>
      </c>
      <c r="W734" s="24" t="n">
        <v>41.9</v>
      </c>
      <c r="X734" s="24" t="n">
        <v>88</v>
      </c>
      <c r="Y734" s="45">
        <f>ROUND((V734*'Methodology &amp; Assumptions'!$B$6)+(W734*'Methodology &amp; Assumptions'!$B$5)+(X734*'Methodology &amp; Assumptions'!$B$7), 2)</f>
        <v/>
      </c>
    </row>
    <row r="735" ht="19" customHeight="1">
      <c r="A735" s="35" t="n">
        <v>731</v>
      </c>
      <c r="B735" s="35" t="n">
        <v>731</v>
      </c>
      <c r="C735" s="36" t="inlineStr">
        <is>
          <t>1600209009</t>
        </is>
      </c>
      <c r="D735" s="36" t="inlineStr">
        <is>
          <t>Region XIII (Caraga)</t>
        </is>
      </c>
      <c r="E735" s="36" t="inlineStr">
        <is>
          <t>Agusan del Norte</t>
        </is>
      </c>
      <c r="F735" s="36" t="inlineStr">
        <is>
          <t>Nasipit</t>
        </is>
      </c>
      <c r="G735" s="36" t="inlineStr">
        <is>
          <t>Kinabjangan</t>
        </is>
      </c>
      <c r="H735" s="37" t="n">
        <v>8.975118</v>
      </c>
      <c r="I735" s="37" t="n">
        <v>125.357386</v>
      </c>
      <c r="J735" s="8" t="inlineStr">
        <is>
          <t>R</t>
        </is>
      </c>
      <c r="K735" s="36" t="inlineStr">
        <is>
          <t>Class 1-3 / Urban</t>
        </is>
      </c>
      <c r="L735" s="18" t="n">
        <v>3817</v>
      </c>
      <c r="M735" s="20" t="n">
        <v>4.63</v>
      </c>
      <c r="N735" s="18">
        <f>ROUND(L735/M735, 0)</f>
        <v/>
      </c>
      <c r="O735" s="18">
        <f>ROUND(N735*'Methodology &amp; Assumptions'!$B$8, 0)</f>
        <v/>
      </c>
      <c r="P735" s="8" t="inlineStr">
        <is>
          <t>Band n50 (1.5 GHz, 60 MHz)</t>
        </is>
      </c>
      <c r="Q735" s="38">
        <f>ROUNDUP(O735/'Methodology &amp; Assumptions'!$B$9, 0)</f>
        <v/>
      </c>
      <c r="R735" s="39" t="n">
        <v>1</v>
      </c>
      <c r="S735" s="21" t="n">
        <v>1.17</v>
      </c>
      <c r="T735" s="21" t="n">
        <v>0.03</v>
      </c>
      <c r="U735" s="36" t="inlineStr">
        <is>
          <t>Tier 1B (Micro Drop, 1-3 km)</t>
        </is>
      </c>
      <c r="V735" s="20" t="n">
        <v>77.7</v>
      </c>
      <c r="W735" s="20" t="n">
        <v>89.90000000000001</v>
      </c>
      <c r="X735" s="20" t="n">
        <v>58</v>
      </c>
      <c r="Y735" s="40">
        <f>ROUND((V735*'Methodology &amp; Assumptions'!$B$6)+(W735*'Methodology &amp; Assumptions'!$B$5)+(X735*'Methodology &amp; Assumptions'!$B$7), 2)</f>
        <v/>
      </c>
    </row>
    <row r="736" ht="19" customHeight="1">
      <c r="A736" s="41" t="n">
        <v>732</v>
      </c>
      <c r="B736" s="41" t="n">
        <v>732</v>
      </c>
      <c r="C736" s="42" t="inlineStr">
        <is>
          <t>1630400069</t>
        </is>
      </c>
      <c r="D736" s="42" t="inlineStr">
        <is>
          <t>Region XIII (Caraga)</t>
        </is>
      </c>
      <c r="E736" s="42" t="inlineStr">
        <is>
          <t>Agusan del Norte</t>
        </is>
      </c>
      <c r="F736" s="42" t="inlineStr">
        <is>
          <t>City of Butuan</t>
        </is>
      </c>
      <c r="G736" s="42" t="inlineStr">
        <is>
          <t>Port Poyohon Pob.</t>
        </is>
      </c>
      <c r="H736" s="43" t="n">
        <v>8.960509</v>
      </c>
      <c r="I736" s="43" t="n">
        <v>125.53977</v>
      </c>
      <c r="J736" s="44" t="inlineStr">
        <is>
          <t>U</t>
        </is>
      </c>
      <c r="K736" s="42" t="inlineStr">
        <is>
          <t>Class 1-3 / Urban</t>
        </is>
      </c>
      <c r="L736" s="23" t="n">
        <v>6607</v>
      </c>
      <c r="M736" s="24" t="n">
        <v>4.63</v>
      </c>
      <c r="N736" s="23">
        <f>ROUND(L736/M736, 0)</f>
        <v/>
      </c>
      <c r="O736" s="23">
        <f>ROUND(N736*'Methodology &amp; Assumptions'!$B$8, 0)</f>
        <v/>
      </c>
      <c r="P736" s="44" t="inlineStr">
        <is>
          <t>Band n50 (1.5 GHz, 60 MHz)</t>
        </is>
      </c>
      <c r="Q736" s="38">
        <f>ROUNDUP(O736/'Methodology &amp; Assumptions'!$B$9, 0)</f>
        <v/>
      </c>
      <c r="R736" s="39" t="n">
        <v>1</v>
      </c>
      <c r="S736" s="25" t="n">
        <v>1.05</v>
      </c>
      <c r="T736" s="25" t="n">
        <v>0.67</v>
      </c>
      <c r="U736" s="42" t="inlineStr">
        <is>
          <t>Tier 1B (Micro Drop, 1-3 km)</t>
        </is>
      </c>
      <c r="V736" s="24" t="n">
        <v>80.40000000000001</v>
      </c>
      <c r="W736" s="24" t="n">
        <v>100</v>
      </c>
      <c r="X736" s="24" t="n">
        <v>43</v>
      </c>
      <c r="Y736" s="45">
        <f>ROUND((V736*'Methodology &amp; Assumptions'!$B$6)+(W736*'Methodology &amp; Assumptions'!$B$5)+(X736*'Methodology &amp; Assumptions'!$B$7), 2)</f>
        <v/>
      </c>
    </row>
    <row r="737" ht="19" customHeight="1">
      <c r="A737" s="35" t="n">
        <v>733</v>
      </c>
      <c r="B737" s="35" t="n">
        <v>733</v>
      </c>
      <c r="C737" s="36" t="inlineStr">
        <is>
          <t>0304926030</t>
        </is>
      </c>
      <c r="D737" s="36" t="inlineStr">
        <is>
          <t>Region III (Central Luzon)</t>
        </is>
      </c>
      <c r="E737" s="36" t="inlineStr">
        <is>
          <t>Nueva Ecija</t>
        </is>
      </c>
      <c r="F737" s="36" t="inlineStr">
        <is>
          <t>San Jose City</t>
        </is>
      </c>
      <c r="G737" s="36" t="inlineStr">
        <is>
          <t>Santo Niño 1st</t>
        </is>
      </c>
      <c r="H737" s="37" t="n">
        <v>15.799364</v>
      </c>
      <c r="I737" s="37" t="n">
        <v>120.986351</v>
      </c>
      <c r="J737" s="8" t="inlineStr">
        <is>
          <t>U</t>
        </is>
      </c>
      <c r="K737" s="36" t="inlineStr">
        <is>
          <t>Class 1-3 / Urban</t>
        </is>
      </c>
      <c r="L737" s="18" t="n">
        <v>7294</v>
      </c>
      <c r="M737" s="20" t="n">
        <v>4.32</v>
      </c>
      <c r="N737" s="18">
        <f>ROUND(L737/M737, 0)</f>
        <v/>
      </c>
      <c r="O737" s="18">
        <f>ROUND(N737*'Methodology &amp; Assumptions'!$B$8, 0)</f>
        <v/>
      </c>
      <c r="P737" s="8" t="inlineStr">
        <is>
          <t>Band n50 (1.5 GHz, 60 MHz)</t>
        </is>
      </c>
      <c r="Q737" s="38">
        <f>ROUNDUP(O737/'Methodology &amp; Assumptions'!$B$9, 0)</f>
        <v/>
      </c>
      <c r="R737" s="39" t="n">
        <v>1</v>
      </c>
      <c r="S737" s="21" t="n">
        <v>0.55</v>
      </c>
      <c r="T737" s="21" t="n">
        <v>0.44</v>
      </c>
      <c r="U737" s="36" t="inlineStr">
        <is>
          <t>Tier 1A (Direct Coloc, &lt;1 km)</t>
        </is>
      </c>
      <c r="V737" s="20" t="n">
        <v>93.3</v>
      </c>
      <c r="W737" s="20" t="n">
        <v>100</v>
      </c>
      <c r="X737" s="20" t="n">
        <v>28</v>
      </c>
      <c r="Y737" s="40">
        <f>ROUND((V737*'Methodology &amp; Assumptions'!$B$6)+(W737*'Methodology &amp; Assumptions'!$B$5)+(X737*'Methodology &amp; Assumptions'!$B$7), 2)</f>
        <v/>
      </c>
    </row>
    <row r="738" ht="19" customHeight="1">
      <c r="A738" s="41" t="n">
        <v>734</v>
      </c>
      <c r="B738" s="41" t="n">
        <v>734</v>
      </c>
      <c r="C738" s="42" t="inlineStr">
        <is>
          <t>0405804002</t>
        </is>
      </c>
      <c r="D738" s="42" t="inlineStr">
        <is>
          <t>Region IV-A (CALABARZON)</t>
        </is>
      </c>
      <c r="E738" s="42" t="inlineStr">
        <is>
          <t>Rizal</t>
        </is>
      </c>
      <c r="F738" s="42" t="inlineStr">
        <is>
          <t>Binangonan</t>
        </is>
      </c>
      <c r="G738" s="42" t="inlineStr">
        <is>
          <t>Batingan</t>
        </is>
      </c>
      <c r="H738" s="43" t="n">
        <v>14.472146</v>
      </c>
      <c r="I738" s="43" t="n">
        <v>121.196669</v>
      </c>
      <c r="J738" s="44" t="inlineStr">
        <is>
          <t>U</t>
        </is>
      </c>
      <c r="K738" s="42" t="inlineStr">
        <is>
          <t>Class 1-3 / Urban</t>
        </is>
      </c>
      <c r="L738" s="23" t="n">
        <v>16280</v>
      </c>
      <c r="M738" s="24" t="n">
        <v>4.39</v>
      </c>
      <c r="N738" s="23">
        <f>ROUND(L738/M738, 0)</f>
        <v/>
      </c>
      <c r="O738" s="23">
        <f>ROUND(N738*'Methodology &amp; Assumptions'!$B$8, 0)</f>
        <v/>
      </c>
      <c r="P738" s="44" t="inlineStr">
        <is>
          <t>Band n50 (1.5 GHz, 60 MHz)</t>
        </is>
      </c>
      <c r="Q738" s="38">
        <f>ROUNDUP(O738/'Methodology &amp; Assumptions'!$B$9, 0)</f>
        <v/>
      </c>
      <c r="R738" s="39" t="n">
        <v>1</v>
      </c>
      <c r="S738" s="25" t="n">
        <v>0.55</v>
      </c>
      <c r="T738" s="25" t="n">
        <v>0.05</v>
      </c>
      <c r="U738" s="42" t="inlineStr">
        <is>
          <t>Tier 1A (Direct Coloc, &lt;1 km)</t>
        </is>
      </c>
      <c r="V738" s="24" t="n">
        <v>93.2</v>
      </c>
      <c r="W738" s="24" t="n">
        <v>100</v>
      </c>
      <c r="X738" s="24" t="n">
        <v>28</v>
      </c>
      <c r="Y738" s="45">
        <f>ROUND((V738*'Methodology &amp; Assumptions'!$B$6)+(W738*'Methodology &amp; Assumptions'!$B$5)+(X738*'Methodology &amp; Assumptions'!$B$7), 2)</f>
        <v/>
      </c>
    </row>
    <row r="739" ht="19" customHeight="1">
      <c r="A739" s="35" t="n">
        <v>735</v>
      </c>
      <c r="B739" s="35" t="n">
        <v>735</v>
      </c>
      <c r="C739" s="36" t="inlineStr">
        <is>
          <t>0203108059</t>
        </is>
      </c>
      <c r="D739" s="36" t="inlineStr">
        <is>
          <t>Region II (Cagayan Valley)</t>
        </is>
      </c>
      <c r="E739" s="36" t="inlineStr">
        <is>
          <t>Isabela</t>
        </is>
      </c>
      <c r="F739" s="36" t="inlineStr">
        <is>
          <t>City of Cauayan</t>
        </is>
      </c>
      <c r="G739" s="36" t="inlineStr">
        <is>
          <t>San Fermin</t>
        </is>
      </c>
      <c r="H739" s="37" t="n">
        <v>16.93865</v>
      </c>
      <c r="I739" s="37" t="n">
        <v>121.761543</v>
      </c>
      <c r="J739" s="8" t="inlineStr">
        <is>
          <t>U</t>
        </is>
      </c>
      <c r="K739" s="36" t="inlineStr">
        <is>
          <t>Class 1-3 / Urban</t>
        </is>
      </c>
      <c r="L739" s="18" t="n">
        <v>12047</v>
      </c>
      <c r="M739" s="20" t="n">
        <v>4.3</v>
      </c>
      <c r="N739" s="18">
        <f>ROUND(L739/M739, 0)</f>
        <v/>
      </c>
      <c r="O739" s="18">
        <f>ROUND(N739*'Methodology &amp; Assumptions'!$B$8, 0)</f>
        <v/>
      </c>
      <c r="P739" s="8" t="inlineStr">
        <is>
          <t>Band n50 (1.5 GHz, 60 MHz)</t>
        </is>
      </c>
      <c r="Q739" s="38">
        <f>ROUNDUP(O739/'Methodology &amp; Assumptions'!$B$9, 0)</f>
        <v/>
      </c>
      <c r="R739" s="39" t="n">
        <v>1</v>
      </c>
      <c r="S739" s="21" t="n">
        <v>0.55</v>
      </c>
      <c r="T739" s="21" t="n">
        <v>0.54</v>
      </c>
      <c r="U739" s="36" t="inlineStr">
        <is>
          <t>Tier 1A (Direct Coloc, &lt;1 km)</t>
        </is>
      </c>
      <c r="V739" s="20" t="n">
        <v>93.2</v>
      </c>
      <c r="W739" s="20" t="n">
        <v>100</v>
      </c>
      <c r="X739" s="20" t="n">
        <v>28</v>
      </c>
      <c r="Y739" s="40">
        <f>ROUND((V739*'Methodology &amp; Assumptions'!$B$6)+(W739*'Methodology &amp; Assumptions'!$B$5)+(X739*'Methodology &amp; Assumptions'!$B$7), 2)</f>
        <v/>
      </c>
    </row>
    <row r="740" ht="19" customHeight="1">
      <c r="A740" s="41" t="n">
        <v>736</v>
      </c>
      <c r="B740" s="41" t="n">
        <v>736</v>
      </c>
      <c r="C740" s="42" t="inlineStr">
        <is>
          <t>0304903044</t>
        </is>
      </c>
      <c r="D740" s="42" t="inlineStr">
        <is>
          <t>Region III (Central Luzon)</t>
        </is>
      </c>
      <c r="E740" s="42" t="inlineStr">
        <is>
          <t>Nueva Ecija</t>
        </is>
      </c>
      <c r="F740" s="42" t="inlineStr">
        <is>
          <t>City of Cabanatuan</t>
        </is>
      </c>
      <c r="G740" s="42" t="inlineStr">
        <is>
          <t>M. S. Garcia</t>
        </is>
      </c>
      <c r="H740" s="43" t="n">
        <v>15.477146</v>
      </c>
      <c r="I740" s="43" t="n">
        <v>120.963161</v>
      </c>
      <c r="J740" s="44" t="inlineStr">
        <is>
          <t>U</t>
        </is>
      </c>
      <c r="K740" s="42" t="inlineStr">
        <is>
          <t>Class 1-3 / Urban</t>
        </is>
      </c>
      <c r="L740" s="23" t="n">
        <v>6148</v>
      </c>
      <c r="M740" s="24" t="n">
        <v>4.32</v>
      </c>
      <c r="N740" s="23">
        <f>ROUND(L740/M740, 0)</f>
        <v/>
      </c>
      <c r="O740" s="23">
        <f>ROUND(N740*'Methodology &amp; Assumptions'!$B$8, 0)</f>
        <v/>
      </c>
      <c r="P740" s="44" t="inlineStr">
        <is>
          <t>Band n50 (1.5 GHz, 60 MHz)</t>
        </is>
      </c>
      <c r="Q740" s="38">
        <f>ROUNDUP(O740/'Methodology &amp; Assumptions'!$B$9, 0)</f>
        <v/>
      </c>
      <c r="R740" s="39" t="n">
        <v>1</v>
      </c>
      <c r="S740" s="25" t="n">
        <v>0.55</v>
      </c>
      <c r="T740" s="25" t="n">
        <v>0.5600000000000001</v>
      </c>
      <c r="U740" s="42" t="inlineStr">
        <is>
          <t>Tier 1A (Direct Coloc, &lt;1 km)</t>
        </is>
      </c>
      <c r="V740" s="24" t="n">
        <v>93.2</v>
      </c>
      <c r="W740" s="24" t="n">
        <v>100</v>
      </c>
      <c r="X740" s="24" t="n">
        <v>28</v>
      </c>
      <c r="Y740" s="45">
        <f>ROUND((V740*'Methodology &amp; Assumptions'!$B$6)+(W740*'Methodology &amp; Assumptions'!$B$5)+(X740*'Methodology &amp; Assumptions'!$B$7), 2)</f>
        <v/>
      </c>
    </row>
    <row r="741" ht="19" customHeight="1">
      <c r="A741" s="35" t="n">
        <v>737</v>
      </c>
      <c r="B741" s="35" t="n">
        <v>737</v>
      </c>
      <c r="C741" s="36" t="inlineStr">
        <is>
          <t>0402116009</t>
        </is>
      </c>
      <c r="D741" s="36" t="inlineStr">
        <is>
          <t>Region IV-A (CALABARZON)</t>
        </is>
      </c>
      <c r="E741" s="36" t="inlineStr">
        <is>
          <t>Cavite</t>
        </is>
      </c>
      <c r="F741" s="36" t="inlineStr">
        <is>
          <t>Noveleta</t>
        </is>
      </c>
      <c r="G741" s="36" t="inlineStr">
        <is>
          <t>Santa Rosa I</t>
        </is>
      </c>
      <c r="H741" s="37" t="n">
        <v>14.42494</v>
      </c>
      <c r="I741" s="37" t="n">
        <v>120.881117</v>
      </c>
      <c r="J741" s="8" t="inlineStr">
        <is>
          <t>U</t>
        </is>
      </c>
      <c r="K741" s="36" t="inlineStr">
        <is>
          <t>Class 1-3 / Urban</t>
        </is>
      </c>
      <c r="L741" s="18" t="n">
        <v>4932</v>
      </c>
      <c r="M741" s="20" t="n">
        <v>4.49</v>
      </c>
      <c r="N741" s="18">
        <f>ROUND(L741/M741, 0)</f>
        <v/>
      </c>
      <c r="O741" s="18">
        <f>ROUND(N741*'Methodology &amp; Assumptions'!$B$8, 0)</f>
        <v/>
      </c>
      <c r="P741" s="8" t="inlineStr">
        <is>
          <t>Band n50 (1.5 GHz, 60 MHz)</t>
        </is>
      </c>
      <c r="Q741" s="38">
        <f>ROUNDUP(O741/'Methodology &amp; Assumptions'!$B$9, 0)</f>
        <v/>
      </c>
      <c r="R741" s="39" t="n">
        <v>1</v>
      </c>
      <c r="S741" s="21" t="n">
        <v>0.55</v>
      </c>
      <c r="T741" s="21" t="n">
        <v>0.55</v>
      </c>
      <c r="U741" s="36" t="inlineStr">
        <is>
          <t>Tier 1A (Direct Coloc, &lt;1 km)</t>
        </is>
      </c>
      <c r="V741" s="20" t="n">
        <v>93.2</v>
      </c>
      <c r="W741" s="20" t="n">
        <v>100</v>
      </c>
      <c r="X741" s="20" t="n">
        <v>28</v>
      </c>
      <c r="Y741" s="40">
        <f>ROUND((V741*'Methodology &amp; Assumptions'!$B$6)+(W741*'Methodology &amp; Assumptions'!$B$5)+(X741*'Methodology &amp; Assumptions'!$B$7), 2)</f>
        <v/>
      </c>
    </row>
    <row r="742" ht="19" customHeight="1">
      <c r="A742" s="41" t="n">
        <v>738</v>
      </c>
      <c r="B742" s="41" t="n">
        <v>738</v>
      </c>
      <c r="C742" s="42" t="inlineStr">
        <is>
          <t>0307109012</t>
        </is>
      </c>
      <c r="D742" s="42" t="inlineStr">
        <is>
          <t>Region III (Central Luzon)</t>
        </is>
      </c>
      <c r="E742" s="42" t="inlineStr">
        <is>
          <t>Zambales</t>
        </is>
      </c>
      <c r="F742" s="42" t="inlineStr">
        <is>
          <t>San Antonio</t>
        </is>
      </c>
      <c r="G742" s="42" t="inlineStr">
        <is>
          <t>San Nicolas</t>
        </is>
      </c>
      <c r="H742" s="43" t="n">
        <v>14.947926</v>
      </c>
      <c r="I742" s="43" t="n">
        <v>120.080603</v>
      </c>
      <c r="J742" s="44" t="inlineStr">
        <is>
          <t>R</t>
        </is>
      </c>
      <c r="K742" s="42" t="inlineStr">
        <is>
          <t>Class 1-3 / Urban</t>
        </is>
      </c>
      <c r="L742" s="23" t="n">
        <v>3223</v>
      </c>
      <c r="M742" s="24" t="n">
        <v>4.05</v>
      </c>
      <c r="N742" s="23">
        <f>ROUND(L742/M742, 0)</f>
        <v/>
      </c>
      <c r="O742" s="23">
        <f>ROUND(N742*'Methodology &amp; Assumptions'!$B$8, 0)</f>
        <v/>
      </c>
      <c r="P742" s="44" t="inlineStr">
        <is>
          <t>Band n50 (1.5 GHz, 60 MHz)</t>
        </is>
      </c>
      <c r="Q742" s="38">
        <f>ROUNDUP(O742/'Methodology &amp; Assumptions'!$B$9, 0)</f>
        <v/>
      </c>
      <c r="R742" s="39" t="n">
        <v>1</v>
      </c>
      <c r="S742" s="25" t="n">
        <v>1.08</v>
      </c>
      <c r="T742" s="25" t="n">
        <v>1.01</v>
      </c>
      <c r="U742" s="42" t="inlineStr">
        <is>
          <t>Tier 1B (Micro Drop, 1-3 km)</t>
        </is>
      </c>
      <c r="V742" s="24" t="n">
        <v>79.8</v>
      </c>
      <c r="W742" s="24" t="n">
        <v>87.7</v>
      </c>
      <c r="X742" s="24" t="n">
        <v>58</v>
      </c>
      <c r="Y742" s="45">
        <f>ROUND((V742*'Methodology &amp; Assumptions'!$B$6)+(W742*'Methodology &amp; Assumptions'!$B$5)+(X742*'Methodology &amp; Assumptions'!$B$7), 2)</f>
        <v/>
      </c>
    </row>
    <row r="743" ht="19" customHeight="1">
      <c r="A743" s="35" t="n">
        <v>739</v>
      </c>
      <c r="B743" s="35" t="n">
        <v>739</v>
      </c>
      <c r="C743" s="36" t="inlineStr">
        <is>
          <t>0405808005</t>
        </is>
      </c>
      <c r="D743" s="36" t="inlineStr">
        <is>
          <t>Region IV-A (CALABARZON)</t>
        </is>
      </c>
      <c r="E743" s="36" t="inlineStr">
        <is>
          <t>Rizal</t>
        </is>
      </c>
      <c r="F743" s="36" t="inlineStr">
        <is>
          <t>Rodriguez</t>
        </is>
      </c>
      <c r="G743" s="36" t="inlineStr">
        <is>
          <t>Manggahan</t>
        </is>
      </c>
      <c r="H743" s="37" t="n">
        <v>14.72421</v>
      </c>
      <c r="I743" s="37" t="n">
        <v>121.1429</v>
      </c>
      <c r="J743" s="8" t="inlineStr">
        <is>
          <t>U</t>
        </is>
      </c>
      <c r="K743" s="36" t="inlineStr">
        <is>
          <t>Class 1-3 / Urban</t>
        </is>
      </c>
      <c r="L743" s="18" t="n">
        <v>17851</v>
      </c>
      <c r="M743" s="20" t="n">
        <v>4.39</v>
      </c>
      <c r="N743" s="18">
        <f>ROUND(L743/M743, 0)</f>
        <v/>
      </c>
      <c r="O743" s="18">
        <f>ROUND(N743*'Methodology &amp; Assumptions'!$B$8, 0)</f>
        <v/>
      </c>
      <c r="P743" s="8" t="inlineStr">
        <is>
          <t>Band n50 (1.5 GHz, 60 MHz)</t>
        </is>
      </c>
      <c r="Q743" s="38">
        <f>ROUNDUP(O743/'Methodology &amp; Assumptions'!$B$9, 0)</f>
        <v/>
      </c>
      <c r="R743" s="39" t="n">
        <v>1</v>
      </c>
      <c r="S743" s="21" t="n">
        <v>0.55</v>
      </c>
      <c r="T743" s="21" t="n">
        <v>0.33</v>
      </c>
      <c r="U743" s="36" t="inlineStr">
        <is>
          <t>Tier 1A (Direct Coloc, &lt;1 km)</t>
        </is>
      </c>
      <c r="V743" s="20" t="n">
        <v>93.2</v>
      </c>
      <c r="W743" s="20" t="n">
        <v>100</v>
      </c>
      <c r="X743" s="20" t="n">
        <v>28</v>
      </c>
      <c r="Y743" s="40">
        <f>ROUND((V743*'Methodology &amp; Assumptions'!$B$6)+(W743*'Methodology &amp; Assumptions'!$B$5)+(X743*'Methodology &amp; Assumptions'!$B$7), 2)</f>
        <v/>
      </c>
    </row>
    <row r="744" ht="19" customHeight="1">
      <c r="A744" s="41" t="n">
        <v>740</v>
      </c>
      <c r="B744" s="41" t="n">
        <v>740</v>
      </c>
      <c r="C744" s="42" t="inlineStr">
        <is>
          <t>0631000135</t>
        </is>
      </c>
      <c r="D744" s="42" t="inlineStr">
        <is>
          <t>Region VI (Western Visayas)</t>
        </is>
      </c>
      <c r="E744" s="42" t="inlineStr">
        <is>
          <t>Iloilo</t>
        </is>
      </c>
      <c r="F744" s="42" t="inlineStr">
        <is>
          <t>City of Iloilo</t>
        </is>
      </c>
      <c r="G744" s="42" t="inlineStr">
        <is>
          <t>Quintin Salas</t>
        </is>
      </c>
      <c r="H744" s="43" t="n">
        <v>10.741283</v>
      </c>
      <c r="I744" s="43" t="n">
        <v>122.564032</v>
      </c>
      <c r="J744" s="44" t="inlineStr">
        <is>
          <t>U</t>
        </is>
      </c>
      <c r="K744" s="42" t="inlineStr">
        <is>
          <t>Class 1-3 / Urban</t>
        </is>
      </c>
      <c r="L744" s="23" t="n">
        <v>5253</v>
      </c>
      <c r="M744" s="24" t="n">
        <v>4.39</v>
      </c>
      <c r="N744" s="23">
        <f>ROUND(L744/M744, 0)</f>
        <v/>
      </c>
      <c r="O744" s="23">
        <f>ROUND(N744*'Methodology &amp; Assumptions'!$B$8, 0)</f>
        <v/>
      </c>
      <c r="P744" s="44" t="inlineStr">
        <is>
          <t>Band n50 (1.5 GHz, 60 MHz)</t>
        </is>
      </c>
      <c r="Q744" s="38">
        <f>ROUNDUP(O744/'Methodology &amp; Assumptions'!$B$9, 0)</f>
        <v/>
      </c>
      <c r="R744" s="39" t="n">
        <v>1</v>
      </c>
      <c r="S744" s="25" t="n">
        <v>0.55</v>
      </c>
      <c r="T744" s="25" t="n">
        <v>0.06</v>
      </c>
      <c r="U744" s="42" t="inlineStr">
        <is>
          <t>Tier 1A (Direct Coloc, &lt;1 km)</t>
        </is>
      </c>
      <c r="V744" s="24" t="n">
        <v>93.2</v>
      </c>
      <c r="W744" s="24" t="n">
        <v>100</v>
      </c>
      <c r="X744" s="24" t="n">
        <v>28</v>
      </c>
      <c r="Y744" s="45">
        <f>ROUND((V744*'Methodology &amp; Assumptions'!$B$6)+(W744*'Methodology &amp; Assumptions'!$B$5)+(X744*'Methodology &amp; Assumptions'!$B$7), 2)</f>
        <v/>
      </c>
    </row>
    <row r="745" ht="19" customHeight="1">
      <c r="A745" s="35" t="n">
        <v>741</v>
      </c>
      <c r="B745" s="35" t="n">
        <v>741</v>
      </c>
      <c r="C745" s="36" t="inlineStr">
        <is>
          <t>1705320021</t>
        </is>
      </c>
      <c r="D745" s="36" t="inlineStr">
        <is>
          <t>MIMAROPA Region</t>
        </is>
      </c>
      <c r="E745" s="36" t="inlineStr">
        <is>
          <t>Palawan</t>
        </is>
      </c>
      <c r="F745" s="36" t="inlineStr">
        <is>
          <t>Taytay</t>
        </is>
      </c>
      <c r="G745" s="36" t="inlineStr">
        <is>
          <t>Pularaquen</t>
        </is>
      </c>
      <c r="H745" s="37" t="n">
        <v>10.960229</v>
      </c>
      <c r="I745" s="37" t="n">
        <v>119.486603</v>
      </c>
      <c r="J745" s="8" t="inlineStr">
        <is>
          <t>R</t>
        </is>
      </c>
      <c r="K745" s="36" t="inlineStr">
        <is>
          <t>Class 1-3 / Urban</t>
        </is>
      </c>
      <c r="L745" s="18" t="n">
        <v>2928</v>
      </c>
      <c r="M745" s="20" t="n">
        <v>4.35</v>
      </c>
      <c r="N745" s="18">
        <f>ROUND(L745/M745, 0)</f>
        <v/>
      </c>
      <c r="O745" s="18">
        <f>ROUND(N745*'Methodology &amp; Assumptions'!$B$8, 0)</f>
        <v/>
      </c>
      <c r="P745" s="8" t="inlineStr">
        <is>
          <t>Band n50 (1.5 GHz, 60 MHz)</t>
        </is>
      </c>
      <c r="Q745" s="38">
        <f>ROUNDUP(O745/'Methodology &amp; Assumptions'!$B$9, 0)</f>
        <v/>
      </c>
      <c r="R745" s="39" t="n">
        <v>1</v>
      </c>
      <c r="S745" s="21" t="n">
        <v>0.2</v>
      </c>
      <c r="T745" s="21" t="n">
        <v>15.46</v>
      </c>
      <c r="U745" s="36" t="inlineStr">
        <is>
          <t>Tier 1A (Direct Coloc, &lt;1 km)</t>
        </is>
      </c>
      <c r="V745" s="20" t="n">
        <v>93.59999999999999</v>
      </c>
      <c r="W745" s="20" t="n">
        <v>73.90000000000001</v>
      </c>
      <c r="X745" s="20" t="n">
        <v>58</v>
      </c>
      <c r="Y745" s="40">
        <f>ROUND((V745*'Methodology &amp; Assumptions'!$B$6)+(W745*'Methodology &amp; Assumptions'!$B$5)+(X745*'Methodology &amp; Assumptions'!$B$7), 2)</f>
        <v/>
      </c>
    </row>
    <row r="746" ht="19" customHeight="1">
      <c r="A746" s="41" t="n">
        <v>742</v>
      </c>
      <c r="B746" s="41" t="n">
        <v>742</v>
      </c>
      <c r="C746" s="42" t="inlineStr">
        <is>
          <t>1401110005</t>
        </is>
      </c>
      <c r="D746" s="42" t="inlineStr">
        <is>
          <t>Cordillera Administrative Region (CAR)</t>
        </is>
      </c>
      <c r="E746" s="42" t="inlineStr">
        <is>
          <t>Benguet</t>
        </is>
      </c>
      <c r="F746" s="42" t="inlineStr">
        <is>
          <t>La Trinidad</t>
        </is>
      </c>
      <c r="G746" s="42" t="inlineStr">
        <is>
          <t>Balili</t>
        </is>
      </c>
      <c r="H746" s="43" t="n">
        <v>16.45034</v>
      </c>
      <c r="I746" s="43" t="n">
        <v>120.59195</v>
      </c>
      <c r="J746" s="44" t="inlineStr">
        <is>
          <t>U</t>
        </is>
      </c>
      <c r="K746" s="42" t="inlineStr">
        <is>
          <t>Class 1-3 / Urban</t>
        </is>
      </c>
      <c r="L746" s="23" t="n">
        <v>17756</v>
      </c>
      <c r="M746" s="24" t="n">
        <v>4.58</v>
      </c>
      <c r="N746" s="23">
        <f>ROUND(L746/M746, 0)</f>
        <v/>
      </c>
      <c r="O746" s="23">
        <f>ROUND(N746*'Methodology &amp; Assumptions'!$B$8, 0)</f>
        <v/>
      </c>
      <c r="P746" s="44" t="inlineStr">
        <is>
          <t>Band n50 (1.5 GHz, 60 MHz)</t>
        </is>
      </c>
      <c r="Q746" s="38">
        <f>ROUNDUP(O746/'Methodology &amp; Assumptions'!$B$9, 0)</f>
        <v/>
      </c>
      <c r="R746" s="39" t="n">
        <v>1</v>
      </c>
      <c r="S746" s="25" t="n">
        <v>0.52</v>
      </c>
      <c r="T746" s="25" t="n">
        <v>0.33</v>
      </c>
      <c r="U746" s="42" t="inlineStr">
        <is>
          <t>Tier 1A (Direct Coloc, &lt;1 km)</t>
        </is>
      </c>
      <c r="V746" s="24" t="n">
        <v>94</v>
      </c>
      <c r="W746" s="24" t="n">
        <v>99.09999999999999</v>
      </c>
      <c r="X746" s="24" t="n">
        <v>28</v>
      </c>
      <c r="Y746" s="45">
        <f>ROUND((V746*'Methodology &amp; Assumptions'!$B$6)+(W746*'Methodology &amp; Assumptions'!$B$5)+(X746*'Methodology &amp; Assumptions'!$B$7), 2)</f>
        <v/>
      </c>
    </row>
    <row r="747" ht="19" customHeight="1">
      <c r="A747" s="35" t="n">
        <v>743</v>
      </c>
      <c r="B747" s="35" t="n">
        <v>743</v>
      </c>
      <c r="C747" s="36" t="inlineStr">
        <is>
          <t>0205706010</t>
        </is>
      </c>
      <c r="D747" s="36" t="inlineStr">
        <is>
          <t>Region II (Cagayan Valley)</t>
        </is>
      </c>
      <c r="E747" s="36" t="inlineStr">
        <is>
          <t>Quirino</t>
        </is>
      </c>
      <c r="F747" s="36" t="inlineStr">
        <is>
          <t>Nagtipunan</t>
        </is>
      </c>
      <c r="G747" s="36" t="inlineStr">
        <is>
          <t>Ponggo</t>
        </is>
      </c>
      <c r="H747" s="37" t="n">
        <v>16.214681</v>
      </c>
      <c r="I747" s="37" t="n">
        <v>121.605502</v>
      </c>
      <c r="J747" s="8" t="inlineStr">
        <is>
          <t>R</t>
        </is>
      </c>
      <c r="K747" s="36" t="inlineStr">
        <is>
          <t>Class 1-3 / Urban</t>
        </is>
      </c>
      <c r="L747" s="18" t="n">
        <v>3035</v>
      </c>
      <c r="M747" s="20" t="n">
        <v>4.03</v>
      </c>
      <c r="N747" s="18">
        <f>ROUND(L747/M747, 0)</f>
        <v/>
      </c>
      <c r="O747" s="18">
        <f>ROUND(N747*'Methodology &amp; Assumptions'!$B$8, 0)</f>
        <v/>
      </c>
      <c r="P747" s="8" t="inlineStr">
        <is>
          <t>Band n50 (1.5 GHz, 60 MHz)</t>
        </is>
      </c>
      <c r="Q747" s="38">
        <f>ROUNDUP(O747/'Methodology &amp; Assumptions'!$B$9, 0)</f>
        <v/>
      </c>
      <c r="R747" s="39" t="n">
        <v>1</v>
      </c>
      <c r="S747" s="21" t="n">
        <v>0.5600000000000001</v>
      </c>
      <c r="T747" s="21" t="n">
        <v>6.84</v>
      </c>
      <c r="U747" s="36" t="inlineStr">
        <is>
          <t>Tier 1A (Direct Coloc, &lt;1 km)</t>
        </is>
      </c>
      <c r="V747" s="20" t="n">
        <v>83.09999999999999</v>
      </c>
      <c r="W747" s="20" t="n">
        <v>84.3</v>
      </c>
      <c r="X747" s="20" t="n">
        <v>58</v>
      </c>
      <c r="Y747" s="40">
        <f>ROUND((V747*'Methodology &amp; Assumptions'!$B$6)+(W747*'Methodology &amp; Assumptions'!$B$5)+(X747*'Methodology &amp; Assumptions'!$B$7), 2)</f>
        <v/>
      </c>
    </row>
    <row r="748" ht="19" customHeight="1">
      <c r="A748" s="41" t="n">
        <v>744</v>
      </c>
      <c r="B748" s="41" t="n">
        <v>744</v>
      </c>
      <c r="C748" s="42" t="inlineStr">
        <is>
          <t>0405804003</t>
        </is>
      </c>
      <c r="D748" s="42" t="inlineStr">
        <is>
          <t>Region IV-A (CALABARZON)</t>
        </is>
      </c>
      <c r="E748" s="42" t="inlineStr">
        <is>
          <t>Rizal</t>
        </is>
      </c>
      <c r="F748" s="42" t="inlineStr">
        <is>
          <t>Binangonan</t>
        </is>
      </c>
      <c r="G748" s="42" t="inlineStr">
        <is>
          <t>Bilibiran</t>
        </is>
      </c>
      <c r="H748" s="43" t="n">
        <v>14.4974</v>
      </c>
      <c r="I748" s="43" t="n">
        <v>121.1752</v>
      </c>
      <c r="J748" s="44" t="inlineStr">
        <is>
          <t>U</t>
        </is>
      </c>
      <c r="K748" s="42" t="inlineStr">
        <is>
          <t>Class 1-3 / Urban</t>
        </is>
      </c>
      <c r="L748" s="23" t="n">
        <v>18577</v>
      </c>
      <c r="M748" s="24" t="n">
        <v>4.39</v>
      </c>
      <c r="N748" s="23">
        <f>ROUND(L748/M748, 0)</f>
        <v/>
      </c>
      <c r="O748" s="23">
        <f>ROUND(N748*'Methodology &amp; Assumptions'!$B$8, 0)</f>
        <v/>
      </c>
      <c r="P748" s="44" t="inlineStr">
        <is>
          <t>Band n50 (1.5 GHz, 60 MHz)</t>
        </is>
      </c>
      <c r="Q748" s="38">
        <f>ROUNDUP(O748/'Methodology &amp; Assumptions'!$B$9, 0)</f>
        <v/>
      </c>
      <c r="R748" s="39" t="n">
        <v>1</v>
      </c>
      <c r="S748" s="25" t="n">
        <v>0.5600000000000001</v>
      </c>
      <c r="T748" s="25" t="n">
        <v>0.17</v>
      </c>
      <c r="U748" s="42" t="inlineStr">
        <is>
          <t>Tier 1A (Direct Coloc, &lt;1 km)</t>
        </is>
      </c>
      <c r="V748" s="24" t="n">
        <v>93.09999999999999</v>
      </c>
      <c r="W748" s="24" t="n">
        <v>100</v>
      </c>
      <c r="X748" s="24" t="n">
        <v>28</v>
      </c>
      <c r="Y748" s="45">
        <f>ROUND((V748*'Methodology &amp; Assumptions'!$B$6)+(W748*'Methodology &amp; Assumptions'!$B$5)+(X748*'Methodology &amp; Assumptions'!$B$7), 2)</f>
        <v/>
      </c>
    </row>
    <row r="749" ht="19" customHeight="1">
      <c r="A749" s="35" t="n">
        <v>745</v>
      </c>
      <c r="B749" s="35" t="n">
        <v>745</v>
      </c>
      <c r="C749" s="36" t="inlineStr">
        <is>
          <t>1001315008</t>
        </is>
      </c>
      <c r="D749" s="36" t="inlineStr">
        <is>
          <t>Region X (Northern Mindanao)</t>
        </is>
      </c>
      <c r="E749" s="36" t="inlineStr">
        <is>
          <t>Bukidnon</t>
        </is>
      </c>
      <c r="F749" s="36" t="inlineStr">
        <is>
          <t>Maramag</t>
        </is>
      </c>
      <c r="G749" s="36" t="inlineStr">
        <is>
          <t>Dologon</t>
        </is>
      </c>
      <c r="H749" s="37" t="n">
        <v>7.837076</v>
      </c>
      <c r="I749" s="37" t="n">
        <v>125.046359</v>
      </c>
      <c r="J749" s="8" t="inlineStr">
        <is>
          <t>U</t>
        </is>
      </c>
      <c r="K749" s="36" t="inlineStr">
        <is>
          <t>Class 1-3 / Urban</t>
        </is>
      </c>
      <c r="L749" s="18" t="n">
        <v>13828</v>
      </c>
      <c r="M749" s="20" t="n">
        <v>4.63</v>
      </c>
      <c r="N749" s="18">
        <f>ROUND(L749/M749, 0)</f>
        <v/>
      </c>
      <c r="O749" s="18">
        <f>ROUND(N749*'Methodology &amp; Assumptions'!$B$8, 0)</f>
        <v/>
      </c>
      <c r="P749" s="8" t="inlineStr">
        <is>
          <t>Band n50 (1.5 GHz, 60 MHz)</t>
        </is>
      </c>
      <c r="Q749" s="38">
        <f>ROUNDUP(O749/'Methodology &amp; Assumptions'!$B$9, 0)</f>
        <v/>
      </c>
      <c r="R749" s="39" t="n">
        <v>1</v>
      </c>
      <c r="S749" s="21" t="n">
        <v>0.5600000000000001</v>
      </c>
      <c r="T749" s="21" t="n">
        <v>0.2</v>
      </c>
      <c r="U749" s="36" t="inlineStr">
        <is>
          <t>Tier 1A (Direct Coloc, &lt;1 km)</t>
        </is>
      </c>
      <c r="V749" s="20" t="n">
        <v>93.09999999999999</v>
      </c>
      <c r="W749" s="20" t="n">
        <v>100</v>
      </c>
      <c r="X749" s="20" t="n">
        <v>28</v>
      </c>
      <c r="Y749" s="40">
        <f>ROUND((V749*'Methodology &amp; Assumptions'!$B$6)+(W749*'Methodology &amp; Assumptions'!$B$5)+(X749*'Methodology &amp; Assumptions'!$B$7), 2)</f>
        <v/>
      </c>
    </row>
    <row r="750" ht="19" customHeight="1">
      <c r="A750" s="41" t="n">
        <v>746</v>
      </c>
      <c r="B750" s="41" t="n">
        <v>746</v>
      </c>
      <c r="C750" s="42" t="inlineStr">
        <is>
          <t>1705318015</t>
        </is>
      </c>
      <c r="D750" s="42" t="inlineStr">
        <is>
          <t>MIMAROPA Region</t>
        </is>
      </c>
      <c r="E750" s="42" t="inlineStr">
        <is>
          <t>Palawan</t>
        </is>
      </c>
      <c r="F750" s="42" t="inlineStr">
        <is>
          <t>Roxas</t>
        </is>
      </c>
      <c r="G750" s="42" t="inlineStr">
        <is>
          <t>Barangay 1</t>
        </is>
      </c>
      <c r="H750" s="43" t="n">
        <v>10.317173</v>
      </c>
      <c r="I750" s="43" t="n">
        <v>119.349465</v>
      </c>
      <c r="J750" s="44" t="inlineStr">
        <is>
          <t>U</t>
        </is>
      </c>
      <c r="K750" s="42" t="inlineStr">
        <is>
          <t>Class 1-3 / Urban</t>
        </is>
      </c>
      <c r="L750" s="23" t="n">
        <v>4597</v>
      </c>
      <c r="M750" s="24" t="n">
        <v>4.35</v>
      </c>
      <c r="N750" s="23">
        <f>ROUND(L750/M750, 0)</f>
        <v/>
      </c>
      <c r="O750" s="23">
        <f>ROUND(N750*'Methodology &amp; Assumptions'!$B$8, 0)</f>
        <v/>
      </c>
      <c r="P750" s="44" t="inlineStr">
        <is>
          <t>Band n50 (1.5 GHz, 60 MHz)</t>
        </is>
      </c>
      <c r="Q750" s="38">
        <f>ROUNDUP(O750/'Methodology &amp; Assumptions'!$B$9, 0)</f>
        <v/>
      </c>
      <c r="R750" s="39" t="n">
        <v>1</v>
      </c>
      <c r="S750" s="25" t="n">
        <v>0.5600000000000001</v>
      </c>
      <c r="T750" s="25" t="n">
        <v>0.55</v>
      </c>
      <c r="U750" s="42" t="inlineStr">
        <is>
          <t>Tier 1A (Direct Coloc, &lt;1 km)</t>
        </is>
      </c>
      <c r="V750" s="24" t="n">
        <v>93.09999999999999</v>
      </c>
      <c r="W750" s="24" t="n">
        <v>100</v>
      </c>
      <c r="X750" s="24" t="n">
        <v>28</v>
      </c>
      <c r="Y750" s="45">
        <f>ROUND((V750*'Methodology &amp; Assumptions'!$B$6)+(W750*'Methodology &amp; Assumptions'!$B$5)+(X750*'Methodology &amp; Assumptions'!$B$7), 2)</f>
        <v/>
      </c>
    </row>
    <row r="751" ht="19" customHeight="1">
      <c r="A751" s="35" t="n">
        <v>747</v>
      </c>
      <c r="B751" s="35" t="n">
        <v>747</v>
      </c>
      <c r="C751" s="36" t="inlineStr">
        <is>
          <t>0403404006</t>
        </is>
      </c>
      <c r="D751" s="36" t="inlineStr">
        <is>
          <t>Region IV-A (CALABARZON)</t>
        </is>
      </c>
      <c r="E751" s="36" t="inlineStr">
        <is>
          <t>Laguna</t>
        </is>
      </c>
      <c r="F751" s="36" t="inlineStr">
        <is>
          <t>City of Cabuyao</t>
        </is>
      </c>
      <c r="G751" s="36" t="inlineStr">
        <is>
          <t>Casile</t>
        </is>
      </c>
      <c r="H751" s="37" t="n">
        <v>14.170316</v>
      </c>
      <c r="I751" s="37" t="n">
        <v>121.019578</v>
      </c>
      <c r="J751" s="8" t="inlineStr">
        <is>
          <t>U</t>
        </is>
      </c>
      <c r="K751" s="36" t="inlineStr">
        <is>
          <t>Class 1-3 / Urban</t>
        </is>
      </c>
      <c r="L751" s="18" t="n">
        <v>3619</v>
      </c>
      <c r="M751" s="20" t="n">
        <v>4.2</v>
      </c>
      <c r="N751" s="18">
        <f>ROUND(L751/M751, 0)</f>
        <v/>
      </c>
      <c r="O751" s="18">
        <f>ROUND(N751*'Methodology &amp; Assumptions'!$B$8, 0)</f>
        <v/>
      </c>
      <c r="P751" s="8" t="inlineStr">
        <is>
          <t>Band n50 (1.5 GHz, 60 MHz)</t>
        </is>
      </c>
      <c r="Q751" s="38">
        <f>ROUNDUP(O751/'Methodology &amp; Assumptions'!$B$9, 0)</f>
        <v/>
      </c>
      <c r="R751" s="39" t="n">
        <v>1</v>
      </c>
      <c r="S751" s="21" t="n">
        <v>0.02</v>
      </c>
      <c r="T751" s="21" t="n">
        <v>1.65</v>
      </c>
      <c r="U751" s="36" t="inlineStr">
        <is>
          <t>Tier 1A (Direct Coloc, &lt;1 km)</t>
        </is>
      </c>
      <c r="V751" s="20" t="n">
        <v>100</v>
      </c>
      <c r="W751" s="20" t="n">
        <v>93.09999999999999</v>
      </c>
      <c r="X751" s="20" t="n">
        <v>28</v>
      </c>
      <c r="Y751" s="40">
        <f>ROUND((V751*'Methodology &amp; Assumptions'!$B$6)+(W751*'Methodology &amp; Assumptions'!$B$5)+(X751*'Methodology &amp; Assumptions'!$B$7), 2)</f>
        <v/>
      </c>
    </row>
    <row r="752" ht="19" customHeight="1">
      <c r="A752" s="41" t="n">
        <v>748</v>
      </c>
      <c r="B752" s="41" t="n">
        <v>748</v>
      </c>
      <c r="C752" s="42" t="inlineStr">
        <is>
          <t>0403422016</t>
        </is>
      </c>
      <c r="D752" s="42" t="inlineStr">
        <is>
          <t>Region IV-A (CALABARZON)</t>
        </is>
      </c>
      <c r="E752" s="42" t="inlineStr">
        <is>
          <t>Laguna</t>
        </is>
      </c>
      <c r="F752" s="42" t="inlineStr">
        <is>
          <t>Pila</t>
        </is>
      </c>
      <c r="G752" s="42" t="inlineStr">
        <is>
          <t>Santa Clara Norte</t>
        </is>
      </c>
      <c r="H752" s="43" t="n">
        <v>14.233121</v>
      </c>
      <c r="I752" s="43" t="n">
        <v>121.367028</v>
      </c>
      <c r="J752" s="44" t="inlineStr">
        <is>
          <t>R</t>
        </is>
      </c>
      <c r="K752" s="42" t="inlineStr">
        <is>
          <t>Class 1-3 / Urban</t>
        </is>
      </c>
      <c r="L752" s="23" t="n">
        <v>2501</v>
      </c>
      <c r="M752" s="24" t="n">
        <v>4.2</v>
      </c>
      <c r="N752" s="23">
        <f>ROUND(L752/M752, 0)</f>
        <v/>
      </c>
      <c r="O752" s="23">
        <f>ROUND(N752*'Methodology &amp; Assumptions'!$B$8, 0)</f>
        <v/>
      </c>
      <c r="P752" s="44" t="inlineStr">
        <is>
          <t>Band n50 (1.5 GHz, 60 MHz)</t>
        </is>
      </c>
      <c r="Q752" s="38">
        <f>ROUNDUP(O752/'Methodology &amp; Assumptions'!$B$9, 0)</f>
        <v/>
      </c>
      <c r="R752" s="39" t="n">
        <v>1</v>
      </c>
      <c r="S752" s="25" t="n">
        <v>0.46</v>
      </c>
      <c r="T752" s="25" t="n">
        <v>0.28</v>
      </c>
      <c r="U752" s="42" t="inlineStr">
        <is>
          <t>Tier 1A (Direct Coloc, &lt;1 km)</t>
        </is>
      </c>
      <c r="V752" s="24" t="n">
        <v>95.90000000000001</v>
      </c>
      <c r="W752" s="24" t="n">
        <v>71.5</v>
      </c>
      <c r="X752" s="24" t="n">
        <v>58</v>
      </c>
      <c r="Y752" s="45">
        <f>ROUND((V752*'Methodology &amp; Assumptions'!$B$6)+(W752*'Methodology &amp; Assumptions'!$B$5)+(X752*'Methodology &amp; Assumptions'!$B$7), 2)</f>
        <v/>
      </c>
    </row>
    <row r="753" ht="19" customHeight="1">
      <c r="A753" s="35" t="n">
        <v>749</v>
      </c>
      <c r="B753" s="35" t="n">
        <v>749</v>
      </c>
      <c r="C753" s="36" t="inlineStr">
        <is>
          <t>0601914025</t>
        </is>
      </c>
      <c r="D753" s="36" t="inlineStr">
        <is>
          <t>Region VI (Western Visayas)</t>
        </is>
      </c>
      <c r="E753" s="36" t="inlineStr">
        <is>
          <t>Capiz</t>
        </is>
      </c>
      <c r="F753" s="36" t="inlineStr">
        <is>
          <t>City of Roxas</t>
        </is>
      </c>
      <c r="G753" s="36" t="inlineStr">
        <is>
          <t>Culasi</t>
        </is>
      </c>
      <c r="H753" s="37" t="n">
        <v>11.604733</v>
      </c>
      <c r="I753" s="37" t="n">
        <v>122.709827</v>
      </c>
      <c r="J753" s="8" t="inlineStr">
        <is>
          <t>U</t>
        </is>
      </c>
      <c r="K753" s="36" t="inlineStr">
        <is>
          <t>Class 1-3 / Urban</t>
        </is>
      </c>
      <c r="L753" s="18" t="n">
        <v>7869</v>
      </c>
      <c r="M753" s="20" t="n">
        <v>4.2</v>
      </c>
      <c r="N753" s="18">
        <f>ROUND(L753/M753, 0)</f>
        <v/>
      </c>
      <c r="O753" s="18">
        <f>ROUND(N753*'Methodology &amp; Assumptions'!$B$8, 0)</f>
        <v/>
      </c>
      <c r="P753" s="8" t="inlineStr">
        <is>
          <t>Band n50 (1.5 GHz, 60 MHz)</t>
        </is>
      </c>
      <c r="Q753" s="38">
        <f>ROUNDUP(O753/'Methodology &amp; Assumptions'!$B$9, 0)</f>
        <v/>
      </c>
      <c r="R753" s="39" t="n">
        <v>1</v>
      </c>
      <c r="S753" s="21" t="n">
        <v>0.5600000000000001</v>
      </c>
      <c r="T753" s="21" t="n">
        <v>0.5600000000000001</v>
      </c>
      <c r="U753" s="36" t="inlineStr">
        <is>
          <t>Tier 1A (Direct Coloc, &lt;1 km)</t>
        </is>
      </c>
      <c r="V753" s="20" t="n">
        <v>93</v>
      </c>
      <c r="W753" s="20" t="n">
        <v>100</v>
      </c>
      <c r="X753" s="20" t="n">
        <v>28</v>
      </c>
      <c r="Y753" s="40">
        <f>ROUND((V753*'Methodology &amp; Assumptions'!$B$6)+(W753*'Methodology &amp; Assumptions'!$B$5)+(X753*'Methodology &amp; Assumptions'!$B$7), 2)</f>
        <v/>
      </c>
    </row>
    <row r="754" ht="19" customHeight="1">
      <c r="A754" s="41" t="n">
        <v>750</v>
      </c>
      <c r="B754" s="41" t="n">
        <v>750</v>
      </c>
      <c r="C754" s="42" t="inlineStr">
        <is>
          <t>0501603008</t>
        </is>
      </c>
      <c r="D754" s="42" t="inlineStr">
        <is>
          <t>Region V (Bicol Region)</t>
        </is>
      </c>
      <c r="E754" s="42" t="inlineStr">
        <is>
          <t>Camarines Norte</t>
        </is>
      </c>
      <c r="F754" s="42" t="inlineStr">
        <is>
          <t>Daet</t>
        </is>
      </c>
      <c r="G754" s="42" t="inlineStr">
        <is>
          <t>Cobangbang</t>
        </is>
      </c>
      <c r="H754" s="43" t="n">
        <v>14.104064</v>
      </c>
      <c r="I754" s="43" t="n">
        <v>122.962974</v>
      </c>
      <c r="J754" s="44" t="inlineStr">
        <is>
          <t>R</t>
        </is>
      </c>
      <c r="K754" s="42" t="inlineStr">
        <is>
          <t>Class 1-3 / Urban</t>
        </is>
      </c>
      <c r="L754" s="23" t="n">
        <v>4035</v>
      </c>
      <c r="M754" s="24" t="n">
        <v>4.4</v>
      </c>
      <c r="N754" s="23">
        <f>ROUND(L754/M754, 0)</f>
        <v/>
      </c>
      <c r="O754" s="23">
        <f>ROUND(N754*'Methodology &amp; Assumptions'!$B$8, 0)</f>
        <v/>
      </c>
      <c r="P754" s="44" t="inlineStr">
        <is>
          <t>Band n50 (1.5 GHz, 60 MHz)</t>
        </is>
      </c>
      <c r="Q754" s="38">
        <f>ROUNDUP(O754/'Methodology &amp; Assumptions'!$B$9, 0)</f>
        <v/>
      </c>
      <c r="R754" s="39" t="n">
        <v>1</v>
      </c>
      <c r="S754" s="25" t="n">
        <v>1.54</v>
      </c>
      <c r="T754" s="25" t="n">
        <v>0.98</v>
      </c>
      <c r="U754" s="42" t="inlineStr">
        <is>
          <t>Tier 1B (Micro Drop, 1-3 km)</t>
        </is>
      </c>
      <c r="V754" s="24" t="n">
        <v>69.90000000000001</v>
      </c>
      <c r="W754" s="24" t="n">
        <v>97.3</v>
      </c>
      <c r="X754" s="24" t="n">
        <v>58</v>
      </c>
      <c r="Y754" s="45">
        <f>ROUND((V754*'Methodology &amp; Assumptions'!$B$6)+(W754*'Methodology &amp; Assumptions'!$B$5)+(X754*'Methodology &amp; Assumptions'!$B$7), 2)</f>
        <v/>
      </c>
    </row>
    <row r="755" ht="19" customHeight="1">
      <c r="A755" s="35" t="n">
        <v>751</v>
      </c>
      <c r="B755" s="35" t="n">
        <v>751</v>
      </c>
      <c r="C755" s="36" t="inlineStr">
        <is>
          <t>0331400016</t>
        </is>
      </c>
      <c r="D755" s="36" t="inlineStr">
        <is>
          <t>Region III (Central Luzon)</t>
        </is>
      </c>
      <c r="E755" s="36" t="inlineStr">
        <is>
          <t>Zambales</t>
        </is>
      </c>
      <c r="F755" s="36" t="inlineStr">
        <is>
          <t>City of Olongapo</t>
        </is>
      </c>
      <c r="G755" s="36" t="inlineStr">
        <is>
          <t>New Kababae</t>
        </is>
      </c>
      <c r="H755" s="37" t="n">
        <v>14.831981</v>
      </c>
      <c r="I755" s="37" t="n">
        <v>120.276897</v>
      </c>
      <c r="J755" s="8" t="inlineStr">
        <is>
          <t>R</t>
        </is>
      </c>
      <c r="K755" s="36" t="inlineStr">
        <is>
          <t>Class 1-3 / Urban</t>
        </is>
      </c>
      <c r="L755" s="18" t="n">
        <v>2422</v>
      </c>
      <c r="M755" s="20" t="n">
        <v>4.05</v>
      </c>
      <c r="N755" s="18">
        <f>ROUND(L755/M755, 0)</f>
        <v/>
      </c>
      <c r="O755" s="18">
        <f>ROUND(N755*'Methodology &amp; Assumptions'!$B$8, 0)</f>
        <v/>
      </c>
      <c r="P755" s="8" t="inlineStr">
        <is>
          <t>Band n50 (1.5 GHz, 60 MHz)</t>
        </is>
      </c>
      <c r="Q755" s="38">
        <f>ROUNDUP(O755/'Methodology &amp; Assumptions'!$B$9, 0)</f>
        <v/>
      </c>
      <c r="R755" s="39" t="n">
        <v>1</v>
      </c>
      <c r="S755" s="21" t="n">
        <v>0.47</v>
      </c>
      <c r="T755" s="21" t="n">
        <v>0.31</v>
      </c>
      <c r="U755" s="36" t="inlineStr">
        <is>
          <t>Tier 1A (Direct Coloc, &lt;1 km)</t>
        </is>
      </c>
      <c r="V755" s="20" t="n">
        <v>95.5</v>
      </c>
      <c r="W755" s="20" t="n">
        <v>71.7</v>
      </c>
      <c r="X755" s="20" t="n">
        <v>58</v>
      </c>
      <c r="Y755" s="40">
        <f>ROUND((V755*'Methodology &amp; Assumptions'!$B$6)+(W755*'Methodology &amp; Assumptions'!$B$5)+(X755*'Methodology &amp; Assumptions'!$B$7), 2)</f>
        <v/>
      </c>
    </row>
    <row r="756" ht="19" customHeight="1">
      <c r="A756" s="41" t="n">
        <v>752</v>
      </c>
      <c r="B756" s="41" t="n">
        <v>752</v>
      </c>
      <c r="C756" s="42" t="inlineStr">
        <is>
          <t>0306910025</t>
        </is>
      </c>
      <c r="D756" s="42" t="inlineStr">
        <is>
          <t>Region III (Central Luzon)</t>
        </is>
      </c>
      <c r="E756" s="42" t="inlineStr">
        <is>
          <t>Tarlac</t>
        </is>
      </c>
      <c r="F756" s="42" t="inlineStr">
        <is>
          <t>Paniqui</t>
        </is>
      </c>
      <c r="G756" s="42" t="inlineStr">
        <is>
          <t>Poblacion Sur</t>
        </is>
      </c>
      <c r="H756" s="43" t="n">
        <v>15.665556</v>
      </c>
      <c r="I756" s="43" t="n">
        <v>120.5825</v>
      </c>
      <c r="J756" s="44" t="inlineStr">
        <is>
          <t>U</t>
        </is>
      </c>
      <c r="K756" s="42" t="inlineStr">
        <is>
          <t>Class 1-3 / Urban</t>
        </is>
      </c>
      <c r="L756" s="23" t="n">
        <v>4719</v>
      </c>
      <c r="M756" s="24" t="n">
        <v>4.3</v>
      </c>
      <c r="N756" s="23">
        <f>ROUND(L756/M756, 0)</f>
        <v/>
      </c>
      <c r="O756" s="23">
        <f>ROUND(N756*'Methodology &amp; Assumptions'!$B$8, 0)</f>
        <v/>
      </c>
      <c r="P756" s="44" t="inlineStr">
        <is>
          <t>Band n50 (1.5 GHz, 60 MHz)</t>
        </is>
      </c>
      <c r="Q756" s="38">
        <f>ROUNDUP(O756/'Methodology &amp; Assumptions'!$B$9, 0)</f>
        <v/>
      </c>
      <c r="R756" s="39" t="n">
        <v>1</v>
      </c>
      <c r="S756" s="25" t="n">
        <v>0.5600000000000001</v>
      </c>
      <c r="T756" s="25" t="n">
        <v>0.49</v>
      </c>
      <c r="U756" s="42" t="inlineStr">
        <is>
          <t>Tier 1A (Direct Coloc, &lt;1 km)</t>
        </is>
      </c>
      <c r="V756" s="24" t="n">
        <v>92.90000000000001</v>
      </c>
      <c r="W756" s="24" t="n">
        <v>100</v>
      </c>
      <c r="X756" s="24" t="n">
        <v>28</v>
      </c>
      <c r="Y756" s="45">
        <f>ROUND((V756*'Methodology &amp; Assumptions'!$B$6)+(W756*'Methodology &amp; Assumptions'!$B$5)+(X756*'Methodology &amp; Assumptions'!$B$7), 2)</f>
        <v/>
      </c>
    </row>
    <row r="757" ht="19" customHeight="1">
      <c r="A757" s="35" t="n">
        <v>753</v>
      </c>
      <c r="B757" s="35" t="n">
        <v>753</v>
      </c>
      <c r="C757" s="36" t="inlineStr">
        <is>
          <t>0403408010</t>
        </is>
      </c>
      <c r="D757" s="36" t="inlineStr">
        <is>
          <t>Region IV-A (CALABARZON)</t>
        </is>
      </c>
      <c r="E757" s="36" t="inlineStr">
        <is>
          <t>Laguna</t>
        </is>
      </c>
      <c r="F757" s="36" t="inlineStr">
        <is>
          <t>Famy</t>
        </is>
      </c>
      <c r="G757" s="36" t="inlineStr">
        <is>
          <t>Kapatalan</t>
        </is>
      </c>
      <c r="H757" s="37" t="n">
        <v>14.476583</v>
      </c>
      <c r="I757" s="37" t="n">
        <v>121.491531</v>
      </c>
      <c r="J757" s="8" t="inlineStr">
        <is>
          <t>R</t>
        </is>
      </c>
      <c r="K757" s="36" t="inlineStr">
        <is>
          <t>4th</t>
        </is>
      </c>
      <c r="L757" s="18" t="n">
        <v>1939</v>
      </c>
      <c r="M757" s="20" t="n">
        <v>4.03</v>
      </c>
      <c r="N757" s="18">
        <f>ROUND(L757/M757, 0)</f>
        <v/>
      </c>
      <c r="O757" s="18">
        <f>ROUND(N757*'Methodology &amp; Assumptions'!$B$8, 0)</f>
        <v/>
      </c>
      <c r="P757" s="8" t="inlineStr">
        <is>
          <t>Band n50 (1.5 GHz, 60 MHz)</t>
        </is>
      </c>
      <c r="Q757" s="38">
        <f>ROUNDUP(O757/'Methodology &amp; Assumptions'!$B$9, 0)</f>
        <v/>
      </c>
      <c r="R757" s="39" t="n">
        <v>1</v>
      </c>
      <c r="S757" s="21" t="n">
        <v>0.13</v>
      </c>
      <c r="T757" s="21" t="n">
        <v>6.12</v>
      </c>
      <c r="U757" s="36" t="inlineStr">
        <is>
          <t>Tier 1A (Direct Coloc, &lt;1 km)</t>
        </is>
      </c>
      <c r="V757" s="20" t="n">
        <v>95.8</v>
      </c>
      <c r="W757" s="20" t="n">
        <v>62.4</v>
      </c>
      <c r="X757" s="20" t="n">
        <v>68.5</v>
      </c>
      <c r="Y757" s="40">
        <f>ROUND((V757*'Methodology &amp; Assumptions'!$B$6)+(W757*'Methodology &amp; Assumptions'!$B$5)+(X757*'Methodology &amp; Assumptions'!$B$7), 2)</f>
        <v/>
      </c>
    </row>
    <row r="758" ht="19" customHeight="1">
      <c r="A758" s="41" t="n">
        <v>754</v>
      </c>
      <c r="B758" s="41" t="n">
        <v>754</v>
      </c>
      <c r="C758" s="42" t="inlineStr">
        <is>
          <t>0405619059</t>
        </is>
      </c>
      <c r="D758" s="42" t="inlineStr">
        <is>
          <t>Region IV-A (CALABARZON)</t>
        </is>
      </c>
      <c r="E758" s="42" t="inlineStr">
        <is>
          <t>Quezon</t>
        </is>
      </c>
      <c r="F758" s="42" t="inlineStr">
        <is>
          <t>Gumaca</t>
        </is>
      </c>
      <c r="G758" s="42" t="inlineStr">
        <is>
          <t>Villa Nava</t>
        </is>
      </c>
      <c r="H758" s="43" t="n">
        <v>13.917231</v>
      </c>
      <c r="I758" s="43" t="n">
        <v>122.100238</v>
      </c>
      <c r="J758" s="44" t="inlineStr">
        <is>
          <t>R</t>
        </is>
      </c>
      <c r="K758" s="42" t="inlineStr">
        <is>
          <t>Class 1-3 / Urban</t>
        </is>
      </c>
      <c r="L758" s="23" t="n">
        <v>3462</v>
      </c>
      <c r="M758" s="24" t="n">
        <v>4.46</v>
      </c>
      <c r="N758" s="23">
        <f>ROUND(L758/M758, 0)</f>
        <v/>
      </c>
      <c r="O758" s="23">
        <f>ROUND(N758*'Methodology &amp; Assumptions'!$B$8, 0)</f>
        <v/>
      </c>
      <c r="P758" s="44" t="inlineStr">
        <is>
          <t>Band n50 (1.5 GHz, 60 MHz)</t>
        </is>
      </c>
      <c r="Q758" s="38">
        <f>ROUNDUP(O758/'Methodology &amp; Assumptions'!$B$9, 0)</f>
        <v/>
      </c>
      <c r="R758" s="39" t="n">
        <v>1</v>
      </c>
      <c r="S758" s="25" t="n">
        <v>1.03</v>
      </c>
      <c r="T758" s="25" t="n">
        <v>0.4</v>
      </c>
      <c r="U758" s="42" t="inlineStr">
        <is>
          <t>Tier 1B (Micro Drop, 1-3 km)</t>
        </is>
      </c>
      <c r="V758" s="24" t="n">
        <v>81.09999999999999</v>
      </c>
      <c r="W758" s="24" t="n">
        <v>86.09999999999999</v>
      </c>
      <c r="X758" s="24" t="n">
        <v>58</v>
      </c>
      <c r="Y758" s="45">
        <f>ROUND((V758*'Methodology &amp; Assumptions'!$B$6)+(W758*'Methodology &amp; Assumptions'!$B$5)+(X758*'Methodology &amp; Assumptions'!$B$7), 2)</f>
        <v/>
      </c>
    </row>
    <row r="759" ht="19" customHeight="1">
      <c r="A759" s="35" t="n">
        <v>755</v>
      </c>
      <c r="B759" s="35" t="n">
        <v>755</v>
      </c>
      <c r="C759" s="36" t="inlineStr">
        <is>
          <t>0105511063</t>
        </is>
      </c>
      <c r="D759" s="36" t="inlineStr">
        <is>
          <t>Region I (Ilocos Region)</t>
        </is>
      </c>
      <c r="E759" s="36" t="inlineStr">
        <is>
          <t>Pangasinan</t>
        </is>
      </c>
      <c r="F759" s="36" t="inlineStr">
        <is>
          <t>Bayambang</t>
        </is>
      </c>
      <c r="G759" s="36" t="inlineStr">
        <is>
          <t>Tambac</t>
        </is>
      </c>
      <c r="H759" s="37" t="n">
        <v>15.82374</v>
      </c>
      <c r="I759" s="37" t="n">
        <v>120.4569</v>
      </c>
      <c r="J759" s="8" t="inlineStr">
        <is>
          <t>R</t>
        </is>
      </c>
      <c r="K759" s="36" t="inlineStr">
        <is>
          <t>Class 1-3 / Urban</t>
        </is>
      </c>
      <c r="L759" s="18" t="n">
        <v>3171</v>
      </c>
      <c r="M759" s="20" t="n">
        <v>4.39</v>
      </c>
      <c r="N759" s="18">
        <f>ROUND(L759/M759, 0)</f>
        <v/>
      </c>
      <c r="O759" s="18">
        <f>ROUND(N759*'Methodology &amp; Assumptions'!$B$8, 0)</f>
        <v/>
      </c>
      <c r="P759" s="8" t="inlineStr">
        <is>
          <t>Band n50 (1.5 GHz, 60 MHz)</t>
        </is>
      </c>
      <c r="Q759" s="38">
        <f>ROUNDUP(O759/'Methodology &amp; Assumptions'!$B$9, 0)</f>
        <v/>
      </c>
      <c r="R759" s="39" t="n">
        <v>1</v>
      </c>
      <c r="S759" s="21" t="n">
        <v>0.85</v>
      </c>
      <c r="T759" s="21" t="n">
        <v>0.12</v>
      </c>
      <c r="U759" s="36" t="inlineStr">
        <is>
          <t>Tier 1A (Direct Coloc, &lt;1 km)</t>
        </is>
      </c>
      <c r="V759" s="20" t="n">
        <v>85.3</v>
      </c>
      <c r="W759" s="20" t="n">
        <v>81.90000000000001</v>
      </c>
      <c r="X759" s="20" t="n">
        <v>58</v>
      </c>
      <c r="Y759" s="40">
        <f>ROUND((V759*'Methodology &amp; Assumptions'!$B$6)+(W759*'Methodology &amp; Assumptions'!$B$5)+(X759*'Methodology &amp; Assumptions'!$B$7), 2)</f>
        <v/>
      </c>
    </row>
    <row r="760" ht="19" customHeight="1">
      <c r="A760" s="41" t="n">
        <v>756</v>
      </c>
      <c r="B760" s="41" t="n">
        <v>756</v>
      </c>
      <c r="C760" s="42" t="inlineStr">
        <is>
          <t>0304923018</t>
        </is>
      </c>
      <c r="D760" s="42" t="inlineStr">
        <is>
          <t>Region III (Central Luzon)</t>
        </is>
      </c>
      <c r="E760" s="42" t="inlineStr">
        <is>
          <t>Nueva Ecija</t>
        </is>
      </c>
      <c r="F760" s="42" t="inlineStr">
        <is>
          <t>Rizal</t>
        </is>
      </c>
      <c r="G760" s="42" t="inlineStr">
        <is>
          <t>Macapsing</t>
        </is>
      </c>
      <c r="H760" s="43" t="n">
        <v>15.585783</v>
      </c>
      <c r="I760" s="43" t="n">
        <v>120.924577</v>
      </c>
      <c r="J760" s="44" t="inlineStr">
        <is>
          <t>R</t>
        </is>
      </c>
      <c r="K760" s="42" t="inlineStr">
        <is>
          <t>Class 1-3 / Urban</t>
        </is>
      </c>
      <c r="L760" s="23" t="n">
        <v>2925</v>
      </c>
      <c r="M760" s="24" t="n">
        <v>4.32</v>
      </c>
      <c r="N760" s="23">
        <f>ROUND(L760/M760, 0)</f>
        <v/>
      </c>
      <c r="O760" s="23">
        <f>ROUND(N760*'Methodology &amp; Assumptions'!$B$8, 0)</f>
        <v/>
      </c>
      <c r="P760" s="44" t="inlineStr">
        <is>
          <t>Band n50 (1.5 GHz, 60 MHz)</t>
        </is>
      </c>
      <c r="Q760" s="38">
        <f>ROUNDUP(O760/'Methodology &amp; Assumptions'!$B$9, 0)</f>
        <v/>
      </c>
      <c r="R760" s="39" t="n">
        <v>1</v>
      </c>
      <c r="S760" s="25" t="n">
        <v>0.71</v>
      </c>
      <c r="T760" s="25" t="n">
        <v>0.52</v>
      </c>
      <c r="U760" s="42" t="inlineStr">
        <is>
          <t>Tier 1A (Direct Coloc, &lt;1 km)</t>
        </is>
      </c>
      <c r="V760" s="24" t="n">
        <v>89</v>
      </c>
      <c r="W760" s="24" t="n">
        <v>78.09999999999999</v>
      </c>
      <c r="X760" s="24" t="n">
        <v>58</v>
      </c>
      <c r="Y760" s="45">
        <f>ROUND((V760*'Methodology &amp; Assumptions'!$B$6)+(W760*'Methodology &amp; Assumptions'!$B$5)+(X760*'Methodology &amp; Assumptions'!$B$7), 2)</f>
        <v/>
      </c>
    </row>
    <row r="761" ht="19" customHeight="1">
      <c r="A761" s="35" t="n">
        <v>757</v>
      </c>
      <c r="B761" s="35" t="n">
        <v>757</v>
      </c>
      <c r="C761" s="36" t="inlineStr">
        <is>
          <t>0205005026</t>
        </is>
      </c>
      <c r="D761" s="36" t="inlineStr">
        <is>
          <t>Region II (Cagayan Valley)</t>
        </is>
      </c>
      <c r="E761" s="36" t="inlineStr">
        <is>
          <t>Nueva Vizcaya</t>
        </is>
      </c>
      <c r="F761" s="36" t="inlineStr">
        <is>
          <t>Bayombong</t>
        </is>
      </c>
      <c r="G761" s="36" t="inlineStr">
        <is>
          <t>San Nicolas North</t>
        </is>
      </c>
      <c r="H761" s="37" t="n">
        <v>16.486023</v>
      </c>
      <c r="I761" s="37" t="n">
        <v>121.149933</v>
      </c>
      <c r="J761" s="8" t="inlineStr">
        <is>
          <t>R</t>
        </is>
      </c>
      <c r="K761" s="36" t="inlineStr">
        <is>
          <t>Class 1-3 / Urban</t>
        </is>
      </c>
      <c r="L761" s="18" t="n">
        <v>2329</v>
      </c>
      <c r="M761" s="20" t="n">
        <v>4.19</v>
      </c>
      <c r="N761" s="18">
        <f>ROUND(L761/M761, 0)</f>
        <v/>
      </c>
      <c r="O761" s="18">
        <f>ROUND(N761*'Methodology &amp; Assumptions'!$B$8, 0)</f>
        <v/>
      </c>
      <c r="P761" s="8" t="inlineStr">
        <is>
          <t>Band n50 (1.5 GHz, 60 MHz)</t>
        </is>
      </c>
      <c r="Q761" s="38">
        <f>ROUNDUP(O761/'Methodology &amp; Assumptions'!$B$9, 0)</f>
        <v/>
      </c>
      <c r="R761" s="39" t="n">
        <v>1</v>
      </c>
      <c r="S761" s="21" t="n">
        <v>0.36</v>
      </c>
      <c r="T761" s="21" t="n">
        <v>0.29</v>
      </c>
      <c r="U761" s="36" t="inlineStr">
        <is>
          <t>Tier 1A (Direct Coloc, &lt;1 km)</t>
        </is>
      </c>
      <c r="V761" s="20" t="n">
        <v>98.59999999999999</v>
      </c>
      <c r="W761" s="20" t="n">
        <v>68.5</v>
      </c>
      <c r="X761" s="20" t="n">
        <v>58</v>
      </c>
      <c r="Y761" s="40">
        <f>ROUND((V761*'Methodology &amp; Assumptions'!$B$6)+(W761*'Methodology &amp; Assumptions'!$B$5)+(X761*'Methodology &amp; Assumptions'!$B$7), 2)</f>
        <v/>
      </c>
    </row>
    <row r="762" ht="19" customHeight="1">
      <c r="A762" s="41" t="n">
        <v>758</v>
      </c>
      <c r="B762" s="41" t="n">
        <v>758</v>
      </c>
      <c r="C762" s="42" t="inlineStr">
        <is>
          <t>0604531008</t>
        </is>
      </c>
      <c r="D762" s="42" t="inlineStr">
        <is>
          <t>Region VI (Western Visayas)</t>
        </is>
      </c>
      <c r="E762" s="42" t="inlineStr">
        <is>
          <t>Negros Occidental</t>
        </is>
      </c>
      <c r="F762" s="42" t="inlineStr">
        <is>
          <t>City of Victorias</t>
        </is>
      </c>
      <c r="G762" s="42" t="inlineStr">
        <is>
          <t>Barangay V</t>
        </is>
      </c>
      <c r="H762" s="43" t="n">
        <v>10.903316</v>
      </c>
      <c r="I762" s="43" t="n">
        <v>123.07599</v>
      </c>
      <c r="J762" s="44" t="inlineStr">
        <is>
          <t>R</t>
        </is>
      </c>
      <c r="K762" s="42" t="inlineStr">
        <is>
          <t>Class 1-3 / Urban</t>
        </is>
      </c>
      <c r="L762" s="23" t="n">
        <v>1723</v>
      </c>
      <c r="M762" s="24" t="n">
        <v>4.33</v>
      </c>
      <c r="N762" s="23">
        <f>ROUND(L762/M762, 0)</f>
        <v/>
      </c>
      <c r="O762" s="23">
        <f>ROUND(N762*'Methodology &amp; Assumptions'!$B$8, 0)</f>
        <v/>
      </c>
      <c r="P762" s="44" t="inlineStr">
        <is>
          <t>Band n50 (1.5 GHz, 60 MHz)</t>
        </is>
      </c>
      <c r="Q762" s="38">
        <f>ROUNDUP(O762/'Methodology &amp; Assumptions'!$B$9, 0)</f>
        <v/>
      </c>
      <c r="R762" s="39" t="n">
        <v>1</v>
      </c>
      <c r="S762" s="25" t="n">
        <v>0.37</v>
      </c>
      <c r="T762" s="25" t="n">
        <v>0.15</v>
      </c>
      <c r="U762" s="42" t="inlineStr">
        <is>
          <t>Tier 1A (Direct Coloc, &lt;1 km)</t>
        </is>
      </c>
      <c r="V762" s="24" t="n">
        <v>98.5</v>
      </c>
      <c r="W762" s="24" t="n">
        <v>55.7</v>
      </c>
      <c r="X762" s="24" t="n">
        <v>73</v>
      </c>
      <c r="Y762" s="45">
        <f>ROUND((V762*'Methodology &amp; Assumptions'!$B$6)+(W762*'Methodology &amp; Assumptions'!$B$5)+(X762*'Methodology &amp; Assumptions'!$B$7), 2)</f>
        <v/>
      </c>
    </row>
    <row r="763" ht="19" customHeight="1">
      <c r="A763" s="35" t="n">
        <v>759</v>
      </c>
      <c r="B763" s="35" t="n">
        <v>759</v>
      </c>
      <c r="C763" s="36" t="inlineStr">
        <is>
          <t>0203101002</t>
        </is>
      </c>
      <c r="D763" s="36" t="inlineStr">
        <is>
          <t>Region II (Cagayan Valley)</t>
        </is>
      </c>
      <c r="E763" s="36" t="inlineStr">
        <is>
          <t>Isabela</t>
        </is>
      </c>
      <c r="F763" s="36" t="inlineStr">
        <is>
          <t>Alicia</t>
        </is>
      </c>
      <c r="G763" s="36" t="inlineStr">
        <is>
          <t>Antonino</t>
        </is>
      </c>
      <c r="H763" s="37" t="n">
        <v>16.782376</v>
      </c>
      <c r="I763" s="37" t="n">
        <v>121.69776</v>
      </c>
      <c r="J763" s="8" t="inlineStr">
        <is>
          <t>U</t>
        </is>
      </c>
      <c r="K763" s="36" t="inlineStr">
        <is>
          <t>Class 1-3 / Urban</t>
        </is>
      </c>
      <c r="L763" s="18" t="n">
        <v>4716</v>
      </c>
      <c r="M763" s="20" t="n">
        <v>4.3</v>
      </c>
      <c r="N763" s="18">
        <f>ROUND(L763/M763, 0)</f>
        <v/>
      </c>
      <c r="O763" s="18">
        <f>ROUND(N763*'Methodology &amp; Assumptions'!$B$8, 0)</f>
        <v/>
      </c>
      <c r="P763" s="8" t="inlineStr">
        <is>
          <t>Band n50 (1.5 GHz, 60 MHz)</t>
        </is>
      </c>
      <c r="Q763" s="38">
        <f>ROUNDUP(O763/'Methodology &amp; Assumptions'!$B$9, 0)</f>
        <v/>
      </c>
      <c r="R763" s="39" t="n">
        <v>1</v>
      </c>
      <c r="S763" s="21" t="n">
        <v>0.57</v>
      </c>
      <c r="T763" s="21" t="n">
        <v>0.36</v>
      </c>
      <c r="U763" s="36" t="inlineStr">
        <is>
          <t>Tier 1A (Direct Coloc, &lt;1 km)</t>
        </is>
      </c>
      <c r="V763" s="20" t="n">
        <v>92.8</v>
      </c>
      <c r="W763" s="20" t="n">
        <v>100</v>
      </c>
      <c r="X763" s="20" t="n">
        <v>28</v>
      </c>
      <c r="Y763" s="40">
        <f>ROUND((V763*'Methodology &amp; Assumptions'!$B$6)+(W763*'Methodology &amp; Assumptions'!$B$5)+(X763*'Methodology &amp; Assumptions'!$B$7), 2)</f>
        <v/>
      </c>
    </row>
    <row r="764" ht="19" customHeight="1">
      <c r="A764" s="41" t="n">
        <v>760</v>
      </c>
      <c r="B764" s="41" t="n">
        <v>760</v>
      </c>
      <c r="C764" s="42" t="inlineStr">
        <is>
          <t>0402106013</t>
        </is>
      </c>
      <c r="D764" s="42" t="inlineStr">
        <is>
          <t>Region IV-A (CALABARZON)</t>
        </is>
      </c>
      <c r="E764" s="42" t="inlineStr">
        <is>
          <t>Cavite</t>
        </is>
      </c>
      <c r="F764" s="42" t="inlineStr">
        <is>
          <t>City of Dasmariñas</t>
        </is>
      </c>
      <c r="G764" s="42" t="inlineStr">
        <is>
          <t>Sampaloc I</t>
        </is>
      </c>
      <c r="H764" s="43" t="n">
        <v>14.296701</v>
      </c>
      <c r="I764" s="43" t="n">
        <v>120.954832</v>
      </c>
      <c r="J764" s="44" t="inlineStr">
        <is>
          <t>U</t>
        </is>
      </c>
      <c r="K764" s="42" t="inlineStr">
        <is>
          <t>Class 1-3 / Urban</t>
        </is>
      </c>
      <c r="L764" s="23" t="n">
        <v>7662</v>
      </c>
      <c r="M764" s="24" t="n">
        <v>4.49</v>
      </c>
      <c r="N764" s="23">
        <f>ROUND(L764/M764, 0)</f>
        <v/>
      </c>
      <c r="O764" s="23">
        <f>ROUND(N764*'Methodology &amp; Assumptions'!$B$8, 0)</f>
        <v/>
      </c>
      <c r="P764" s="44" t="inlineStr">
        <is>
          <t>Band n50 (1.5 GHz, 60 MHz)</t>
        </is>
      </c>
      <c r="Q764" s="38">
        <f>ROUNDUP(O764/'Methodology &amp; Assumptions'!$B$9, 0)</f>
        <v/>
      </c>
      <c r="R764" s="39" t="n">
        <v>1</v>
      </c>
      <c r="S764" s="25" t="n">
        <v>0.57</v>
      </c>
      <c r="T764" s="25" t="n">
        <v>0.31</v>
      </c>
      <c r="U764" s="42" t="inlineStr">
        <is>
          <t>Tier 1A (Direct Coloc, &lt;1 km)</t>
        </is>
      </c>
      <c r="V764" s="24" t="n">
        <v>92.8</v>
      </c>
      <c r="W764" s="24" t="n">
        <v>100</v>
      </c>
      <c r="X764" s="24" t="n">
        <v>28</v>
      </c>
      <c r="Y764" s="45">
        <f>ROUND((V764*'Methodology &amp; Assumptions'!$B$6)+(W764*'Methodology &amp; Assumptions'!$B$5)+(X764*'Methodology &amp; Assumptions'!$B$7), 2)</f>
        <v/>
      </c>
    </row>
    <row r="765" ht="19" customHeight="1">
      <c r="A765" s="35" t="n">
        <v>761</v>
      </c>
      <c r="B765" s="35" t="n">
        <v>761</v>
      </c>
      <c r="C765" s="36" t="inlineStr">
        <is>
          <t>0405812004</t>
        </is>
      </c>
      <c r="D765" s="36" t="inlineStr">
        <is>
          <t>Region IV-A (CALABARZON)</t>
        </is>
      </c>
      <c r="E765" s="36" t="inlineStr">
        <is>
          <t>Rizal</t>
        </is>
      </c>
      <c r="F765" s="36" t="inlineStr">
        <is>
          <t>Tanay</t>
        </is>
      </c>
      <c r="G765" s="36" t="inlineStr">
        <is>
          <t>Katipunan-Bayan</t>
        </is>
      </c>
      <c r="H765" s="37" t="n">
        <v>14.50204</v>
      </c>
      <c r="I765" s="37" t="n">
        <v>121.28613</v>
      </c>
      <c r="J765" s="8" t="inlineStr">
        <is>
          <t>U</t>
        </is>
      </c>
      <c r="K765" s="36" t="inlineStr">
        <is>
          <t>Class 1-3 / Urban</t>
        </is>
      </c>
      <c r="L765" s="18" t="n">
        <v>6100</v>
      </c>
      <c r="M765" s="20" t="n">
        <v>4.39</v>
      </c>
      <c r="N765" s="18">
        <f>ROUND(L765/M765, 0)</f>
        <v/>
      </c>
      <c r="O765" s="18">
        <f>ROUND(N765*'Methodology &amp; Assumptions'!$B$8, 0)</f>
        <v/>
      </c>
      <c r="P765" s="8" t="inlineStr">
        <is>
          <t>Band n50 (1.5 GHz, 60 MHz)</t>
        </is>
      </c>
      <c r="Q765" s="38">
        <f>ROUNDUP(O765/'Methodology &amp; Assumptions'!$B$9, 0)</f>
        <v/>
      </c>
      <c r="R765" s="39" t="n">
        <v>1</v>
      </c>
      <c r="S765" s="21" t="n">
        <v>0.57</v>
      </c>
      <c r="T765" s="21" t="n">
        <v>0.35</v>
      </c>
      <c r="U765" s="36" t="inlineStr">
        <is>
          <t>Tier 1A (Direct Coloc, &lt;1 km)</t>
        </is>
      </c>
      <c r="V765" s="20" t="n">
        <v>92.8</v>
      </c>
      <c r="W765" s="20" t="n">
        <v>100</v>
      </c>
      <c r="X765" s="20" t="n">
        <v>28</v>
      </c>
      <c r="Y765" s="40">
        <f>ROUND((V765*'Methodology &amp; Assumptions'!$B$6)+(W765*'Methodology &amp; Assumptions'!$B$5)+(X765*'Methodology &amp; Assumptions'!$B$7), 2)</f>
        <v/>
      </c>
    </row>
    <row r="766" ht="19" customHeight="1">
      <c r="A766" s="41" t="n">
        <v>762</v>
      </c>
      <c r="B766" s="41" t="n">
        <v>762</v>
      </c>
      <c r="C766" s="42" t="inlineStr">
        <is>
          <t>0405622006</t>
        </is>
      </c>
      <c r="D766" s="42" t="inlineStr">
        <is>
          <t>Region IV-A (CALABARZON)</t>
        </is>
      </c>
      <c r="E766" s="42" t="inlineStr">
        <is>
          <t>Quezon</t>
        </is>
      </c>
      <c r="F766" s="42" t="inlineStr">
        <is>
          <t>Lopez</t>
        </is>
      </c>
      <c r="G766" s="42" t="inlineStr">
        <is>
          <t>Gomez</t>
        </is>
      </c>
      <c r="H766" s="43" t="n">
        <v>13.886285</v>
      </c>
      <c r="I766" s="43" t="n">
        <v>122.258972</v>
      </c>
      <c r="J766" s="44" t="inlineStr">
        <is>
          <t>U</t>
        </is>
      </c>
      <c r="K766" s="42" t="inlineStr">
        <is>
          <t>Class 1-3 / Urban</t>
        </is>
      </c>
      <c r="L766" s="23" t="n">
        <v>3916</v>
      </c>
      <c r="M766" s="24" t="n">
        <v>4.46</v>
      </c>
      <c r="N766" s="23">
        <f>ROUND(L766/M766, 0)</f>
        <v/>
      </c>
      <c r="O766" s="23">
        <f>ROUND(N766*'Methodology &amp; Assumptions'!$B$8, 0)</f>
        <v/>
      </c>
      <c r="P766" s="44" t="inlineStr">
        <is>
          <t>Band n50 (1.5 GHz, 60 MHz)</t>
        </is>
      </c>
      <c r="Q766" s="38">
        <f>ROUNDUP(O766/'Methodology &amp; Assumptions'!$B$9, 0)</f>
        <v/>
      </c>
      <c r="R766" s="39" t="n">
        <v>1</v>
      </c>
      <c r="S766" s="25" t="n">
        <v>0.36</v>
      </c>
      <c r="T766" s="25" t="n">
        <v>0.31</v>
      </c>
      <c r="U766" s="42" t="inlineStr">
        <is>
          <t>Tier 1A (Direct Coloc, &lt;1 km)</t>
        </is>
      </c>
      <c r="V766" s="24" t="n">
        <v>98.59999999999999</v>
      </c>
      <c r="W766" s="24" t="n">
        <v>94.09999999999999</v>
      </c>
      <c r="X766" s="24" t="n">
        <v>28</v>
      </c>
      <c r="Y766" s="45">
        <f>ROUND((V766*'Methodology &amp; Assumptions'!$B$6)+(W766*'Methodology &amp; Assumptions'!$B$5)+(X766*'Methodology &amp; Assumptions'!$B$7), 2)</f>
        <v/>
      </c>
    </row>
    <row r="767" ht="19" customHeight="1">
      <c r="A767" s="35" t="n">
        <v>763</v>
      </c>
      <c r="B767" s="35" t="n">
        <v>763</v>
      </c>
      <c r="C767" s="36" t="inlineStr">
        <is>
          <t>0907322054</t>
        </is>
      </c>
      <c r="D767" s="36" t="inlineStr">
        <is>
          <t>Region IX (Zamboanga Peninsula)</t>
        </is>
      </c>
      <c r="E767" s="36" t="inlineStr">
        <is>
          <t>Zamboanga del Sur</t>
        </is>
      </c>
      <c r="F767" s="36" t="inlineStr">
        <is>
          <t>City of Pagadian</t>
        </is>
      </c>
      <c r="G767" s="36" t="inlineStr">
        <is>
          <t>Santa Maria</t>
        </is>
      </c>
      <c r="H767" s="37" t="n">
        <v>7.83593</v>
      </c>
      <c r="I767" s="37" t="n">
        <v>123.439028</v>
      </c>
      <c r="J767" s="8" t="inlineStr">
        <is>
          <t>U</t>
        </is>
      </c>
      <c r="K767" s="36" t="inlineStr">
        <is>
          <t>Class 1-3 / Urban</t>
        </is>
      </c>
      <c r="L767" s="18" t="n">
        <v>4553</v>
      </c>
      <c r="M767" s="20" t="n">
        <v>4.61</v>
      </c>
      <c r="N767" s="18">
        <f>ROUND(L767/M767, 0)</f>
        <v/>
      </c>
      <c r="O767" s="18">
        <f>ROUND(N767*'Methodology &amp; Assumptions'!$B$8, 0)</f>
        <v/>
      </c>
      <c r="P767" s="8" t="inlineStr">
        <is>
          <t>Band n50 (1.5 GHz, 60 MHz)</t>
        </is>
      </c>
      <c r="Q767" s="38">
        <f>ROUNDUP(O767/'Methodology &amp; Assumptions'!$B$9, 0)</f>
        <v/>
      </c>
      <c r="R767" s="39" t="n">
        <v>1</v>
      </c>
      <c r="S767" s="21" t="n">
        <v>0.57</v>
      </c>
      <c r="T767" s="21" t="n">
        <v>0.48</v>
      </c>
      <c r="U767" s="36" t="inlineStr">
        <is>
          <t>Tier 1A (Direct Coloc, &lt;1 km)</t>
        </is>
      </c>
      <c r="V767" s="20" t="n">
        <v>92.7</v>
      </c>
      <c r="W767" s="20" t="n">
        <v>100</v>
      </c>
      <c r="X767" s="20" t="n">
        <v>28</v>
      </c>
      <c r="Y767" s="40">
        <f>ROUND((V767*'Methodology &amp; Assumptions'!$B$6)+(W767*'Methodology &amp; Assumptions'!$B$5)+(X767*'Methodology &amp; Assumptions'!$B$7), 2)</f>
        <v/>
      </c>
    </row>
    <row r="768" ht="19" customHeight="1">
      <c r="A768" s="41" t="n">
        <v>764</v>
      </c>
      <c r="B768" s="41" t="n">
        <v>764</v>
      </c>
      <c r="C768" s="42" t="inlineStr">
        <is>
          <t>0405615004</t>
        </is>
      </c>
      <c r="D768" s="42" t="inlineStr">
        <is>
          <t>Region IV-A (CALABARZON)</t>
        </is>
      </c>
      <c r="E768" s="42" t="inlineStr">
        <is>
          <t>Quezon</t>
        </is>
      </c>
      <c r="F768" s="42" t="inlineStr">
        <is>
          <t>Dolores</t>
        </is>
      </c>
      <c r="G768" s="42" t="inlineStr">
        <is>
          <t>Bulakin I</t>
        </is>
      </c>
      <c r="H768" s="43" t="n">
        <v>14.016904</v>
      </c>
      <c r="I768" s="43" t="n">
        <v>121.387089</v>
      </c>
      <c r="J768" s="44" t="inlineStr">
        <is>
          <t>R</t>
        </is>
      </c>
      <c r="K768" s="42" t="inlineStr">
        <is>
          <t>3rd</t>
        </is>
      </c>
      <c r="L768" s="23" t="n">
        <v>3046</v>
      </c>
      <c r="M768" s="24" t="n">
        <v>4.43</v>
      </c>
      <c r="N768" s="23">
        <f>ROUND(L768/M768, 0)</f>
        <v/>
      </c>
      <c r="O768" s="23">
        <f>ROUND(N768*'Methodology &amp; Assumptions'!$B$8, 0)</f>
        <v/>
      </c>
      <c r="P768" s="44" t="inlineStr">
        <is>
          <t>Band n50 (1.5 GHz, 60 MHz)</t>
        </is>
      </c>
      <c r="Q768" s="38">
        <f>ROUNDUP(O768/'Methodology &amp; Assumptions'!$B$9, 0)</f>
        <v/>
      </c>
      <c r="R768" s="39" t="n">
        <v>1</v>
      </c>
      <c r="S768" s="25" t="n">
        <v>0.38</v>
      </c>
      <c r="T768" s="25" t="n">
        <v>4.91</v>
      </c>
      <c r="U768" s="42" t="inlineStr">
        <is>
          <t>Tier 1A (Direct Coloc, &lt;1 km)</t>
        </is>
      </c>
      <c r="V768" s="24" t="n">
        <v>88</v>
      </c>
      <c r="W768" s="24" t="n">
        <v>78.90000000000001</v>
      </c>
      <c r="X768" s="24" t="n">
        <v>58</v>
      </c>
      <c r="Y768" s="45">
        <f>ROUND((V768*'Methodology &amp; Assumptions'!$B$6)+(W768*'Methodology &amp; Assumptions'!$B$5)+(X768*'Methodology &amp; Assumptions'!$B$7), 2)</f>
        <v/>
      </c>
    </row>
    <row r="769" ht="19" customHeight="1">
      <c r="A769" s="35" t="n">
        <v>765</v>
      </c>
      <c r="B769" s="35" t="n">
        <v>765</v>
      </c>
      <c r="C769" s="36" t="inlineStr">
        <is>
          <t>0403420008</t>
        </is>
      </c>
      <c r="D769" s="36" t="inlineStr">
        <is>
          <t>Region IV-A (CALABARZON)</t>
        </is>
      </c>
      <c r="E769" s="36" t="inlineStr">
        <is>
          <t>Laguna</t>
        </is>
      </c>
      <c r="F769" s="36" t="inlineStr">
        <is>
          <t>Pakil</t>
        </is>
      </c>
      <c r="G769" s="36" t="inlineStr">
        <is>
          <t>Kabulusan</t>
        </is>
      </c>
      <c r="H769" s="37" t="n">
        <v>14.363533</v>
      </c>
      <c r="I769" s="37" t="n">
        <v>121.396664</v>
      </c>
      <c r="J769" s="8" t="inlineStr">
        <is>
          <t>R</t>
        </is>
      </c>
      <c r="K769" s="36" t="inlineStr">
        <is>
          <t>3rd</t>
        </is>
      </c>
      <c r="L769" s="18" t="n">
        <v>4330</v>
      </c>
      <c r="M769" s="20" t="n">
        <v>4.49</v>
      </c>
      <c r="N769" s="18">
        <f>ROUND(L769/M769, 0)</f>
        <v/>
      </c>
      <c r="O769" s="18">
        <f>ROUND(N769*'Methodology &amp; Assumptions'!$B$8, 0)</f>
        <v/>
      </c>
      <c r="P769" s="8" t="inlineStr">
        <is>
          <t>Band n50 (1.5 GHz, 60 MHz)</t>
        </is>
      </c>
      <c r="Q769" s="38">
        <f>ROUNDUP(O769/'Methodology &amp; Assumptions'!$B$9, 0)</f>
        <v/>
      </c>
      <c r="R769" s="39" t="n">
        <v>1</v>
      </c>
      <c r="S769" s="21" t="n">
        <v>1.2</v>
      </c>
      <c r="T769" s="21" t="n">
        <v>8.369999999999999</v>
      </c>
      <c r="U769" s="36" t="inlineStr">
        <is>
          <t>Tier 1B (Micro Drop, 1-3 km)</t>
        </is>
      </c>
      <c r="V769" s="20" t="n">
        <v>67</v>
      </c>
      <c r="W769" s="20" t="n">
        <v>100</v>
      </c>
      <c r="X769" s="20" t="n">
        <v>58</v>
      </c>
      <c r="Y769" s="40">
        <f>ROUND((V769*'Methodology &amp; Assumptions'!$B$6)+(W769*'Methodology &amp; Assumptions'!$B$5)+(X769*'Methodology &amp; Assumptions'!$B$7), 2)</f>
        <v/>
      </c>
    </row>
    <row r="770" ht="19" customHeight="1">
      <c r="A770" s="41" t="n">
        <v>766</v>
      </c>
      <c r="B770" s="41" t="n">
        <v>766</v>
      </c>
      <c r="C770" s="42" t="inlineStr">
        <is>
          <t>0401034013</t>
        </is>
      </c>
      <c r="D770" s="42" t="inlineStr">
        <is>
          <t>Region IV-A (CALABARZON)</t>
        </is>
      </c>
      <c r="E770" s="42" t="inlineStr">
        <is>
          <t>Batangas</t>
        </is>
      </c>
      <c r="F770" s="42" t="inlineStr">
        <is>
          <t>Tuy</t>
        </is>
      </c>
      <c r="G770" s="42" t="inlineStr">
        <is>
          <t>Luna</t>
        </is>
      </c>
      <c r="H770" s="43" t="n">
        <v>14.018224</v>
      </c>
      <c r="I770" s="43" t="n">
        <v>120.730325</v>
      </c>
      <c r="J770" s="44" t="inlineStr">
        <is>
          <t>R</t>
        </is>
      </c>
      <c r="K770" s="42" t="inlineStr">
        <is>
          <t>Class 1-3 / Urban</t>
        </is>
      </c>
      <c r="L770" s="23" t="n">
        <v>2666</v>
      </c>
      <c r="M770" s="24" t="n">
        <v>4.62</v>
      </c>
      <c r="N770" s="23">
        <f>ROUND(L770/M770, 0)</f>
        <v/>
      </c>
      <c r="O770" s="23">
        <f>ROUND(N770*'Methodology &amp; Assumptions'!$B$8, 0)</f>
        <v/>
      </c>
      <c r="P770" s="44" t="inlineStr">
        <is>
          <t>Band n50 (1.5 GHz, 60 MHz)</t>
        </is>
      </c>
      <c r="Q770" s="38">
        <f>ROUNDUP(O770/'Methodology &amp; Assumptions'!$B$9, 0)</f>
        <v/>
      </c>
      <c r="R770" s="39" t="n">
        <v>1</v>
      </c>
      <c r="S770" s="25" t="n">
        <v>0.42</v>
      </c>
      <c r="T770" s="25" t="n">
        <v>0.42</v>
      </c>
      <c r="U770" s="42" t="inlineStr">
        <is>
          <t>Tier 1A (Direct Coloc, &lt;1 km)</t>
        </is>
      </c>
      <c r="V770" s="24" t="n">
        <v>96.8</v>
      </c>
      <c r="W770" s="24" t="n">
        <v>70.09999999999999</v>
      </c>
      <c r="X770" s="24" t="n">
        <v>58</v>
      </c>
      <c r="Y770" s="45">
        <f>ROUND((V770*'Methodology &amp; Assumptions'!$B$6)+(W770*'Methodology &amp; Assumptions'!$B$5)+(X770*'Methodology &amp; Assumptions'!$B$7), 2)</f>
        <v/>
      </c>
    </row>
    <row r="771" ht="19" customHeight="1">
      <c r="A771" s="35" t="n">
        <v>767</v>
      </c>
      <c r="B771" s="35" t="n">
        <v>767</v>
      </c>
      <c r="C771" s="36" t="inlineStr">
        <is>
          <t>0405806009</t>
        </is>
      </c>
      <c r="D771" s="36" t="inlineStr">
        <is>
          <t>Region IV-A (CALABARZON)</t>
        </is>
      </c>
      <c r="E771" s="36" t="inlineStr">
        <is>
          <t>Rizal</t>
        </is>
      </c>
      <c r="F771" s="36" t="inlineStr">
        <is>
          <t>Cardona</t>
        </is>
      </c>
      <c r="G771" s="36" t="inlineStr">
        <is>
          <t>Del Remedio</t>
        </is>
      </c>
      <c r="H771" s="37" t="n">
        <v>14.48656</v>
      </c>
      <c r="I771" s="37" t="n">
        <v>121.22954</v>
      </c>
      <c r="J771" s="8" t="inlineStr">
        <is>
          <t>R</t>
        </is>
      </c>
      <c r="K771" s="36" t="inlineStr">
        <is>
          <t>Class 1-3 / Urban</t>
        </is>
      </c>
      <c r="L771" s="18" t="n">
        <v>2360</v>
      </c>
      <c r="M771" s="20" t="n">
        <v>4.39</v>
      </c>
      <c r="N771" s="18">
        <f>ROUND(L771/M771, 0)</f>
        <v/>
      </c>
      <c r="O771" s="18">
        <f>ROUND(N771*'Methodology &amp; Assumptions'!$B$8, 0)</f>
        <v/>
      </c>
      <c r="P771" s="8" t="inlineStr">
        <is>
          <t>Band n50 (1.5 GHz, 60 MHz)</t>
        </is>
      </c>
      <c r="Q771" s="38">
        <f>ROUNDUP(O771/'Methodology &amp; Assumptions'!$B$9, 0)</f>
        <v/>
      </c>
      <c r="R771" s="39" t="n">
        <v>1</v>
      </c>
      <c r="S771" s="21" t="n">
        <v>0.17</v>
      </c>
      <c r="T771" s="21" t="n">
        <v>0.09</v>
      </c>
      <c r="U771" s="36" t="inlineStr">
        <is>
          <t>Tier 1A (Direct Coloc, &lt;1 km)</t>
        </is>
      </c>
      <c r="V771" s="20" t="n">
        <v>100</v>
      </c>
      <c r="W771" s="20" t="n">
        <v>66.90000000000001</v>
      </c>
      <c r="X771" s="20" t="n">
        <v>58</v>
      </c>
      <c r="Y771" s="40">
        <f>ROUND((V771*'Methodology &amp; Assumptions'!$B$6)+(W771*'Methodology &amp; Assumptions'!$B$5)+(X771*'Methodology &amp; Assumptions'!$B$7), 2)</f>
        <v/>
      </c>
    </row>
    <row r="772" ht="19" customHeight="1">
      <c r="A772" s="41" t="n">
        <v>768</v>
      </c>
      <c r="B772" s="41" t="n">
        <v>768</v>
      </c>
      <c r="C772" s="42" t="inlineStr">
        <is>
          <t>0301410050</t>
        </is>
      </c>
      <c r="D772" s="42" t="inlineStr">
        <is>
          <t>Region III (Central Luzon)</t>
        </is>
      </c>
      <c r="E772" s="42" t="inlineStr">
        <is>
          <t>Bulacan</t>
        </is>
      </c>
      <c r="F772" s="42" t="inlineStr">
        <is>
          <t>City of Malolos</t>
        </is>
      </c>
      <c r="G772" s="42" t="inlineStr">
        <is>
          <t>Santo Rosario</t>
        </is>
      </c>
      <c r="H772" s="43" t="n">
        <v>15.067638</v>
      </c>
      <c r="I772" s="43" t="n">
        <v>120.727853</v>
      </c>
      <c r="J772" s="44" t="inlineStr">
        <is>
          <t>U</t>
        </is>
      </c>
      <c r="K772" s="42" t="inlineStr">
        <is>
          <t>Class 1-3 / Urban</t>
        </is>
      </c>
      <c r="L772" s="23" t="n">
        <v>7333</v>
      </c>
      <c r="M772" s="24" t="n">
        <v>4.1</v>
      </c>
      <c r="N772" s="23">
        <f>ROUND(L772/M772, 0)</f>
        <v/>
      </c>
      <c r="O772" s="23">
        <f>ROUND(N772*'Methodology &amp; Assumptions'!$B$8, 0)</f>
        <v/>
      </c>
      <c r="P772" s="44" t="inlineStr">
        <is>
          <t>Band n50 (1.5 GHz, 60 MHz)</t>
        </is>
      </c>
      <c r="Q772" s="38">
        <f>ROUNDUP(O772/'Methodology &amp; Assumptions'!$B$9, 0)</f>
        <v/>
      </c>
      <c r="R772" s="39" t="n">
        <v>1</v>
      </c>
      <c r="S772" s="25" t="n">
        <v>0.57</v>
      </c>
      <c r="T772" s="25" t="n">
        <v>0.18</v>
      </c>
      <c r="U772" s="42" t="inlineStr">
        <is>
          <t>Tier 1A (Direct Coloc, &lt;1 km)</t>
        </is>
      </c>
      <c r="V772" s="24" t="n">
        <v>92.7</v>
      </c>
      <c r="W772" s="24" t="n">
        <v>100</v>
      </c>
      <c r="X772" s="24" t="n">
        <v>28</v>
      </c>
      <c r="Y772" s="45">
        <f>ROUND((V772*'Methodology &amp; Assumptions'!$B$6)+(W772*'Methodology &amp; Assumptions'!$B$5)+(X772*'Methodology &amp; Assumptions'!$B$7), 2)</f>
        <v/>
      </c>
    </row>
    <row r="773" ht="19" customHeight="1">
      <c r="A773" s="35" t="n">
        <v>769</v>
      </c>
      <c r="B773" s="35" t="n">
        <v>769</v>
      </c>
      <c r="C773" s="36" t="inlineStr">
        <is>
          <t>0803739025</t>
        </is>
      </c>
      <c r="D773" s="36" t="inlineStr">
        <is>
          <t>Region VIII (Eastern Visayas)</t>
        </is>
      </c>
      <c r="E773" s="36" t="inlineStr">
        <is>
          <t>Leyte</t>
        </is>
      </c>
      <c r="F773" s="36" t="inlineStr">
        <is>
          <t>Palo</t>
        </is>
      </c>
      <c r="G773" s="36" t="inlineStr">
        <is>
          <t>Salvacion</t>
        </is>
      </c>
      <c r="H773" s="37" t="n">
        <v>11.154064</v>
      </c>
      <c r="I773" s="37" t="n">
        <v>124.997994</v>
      </c>
      <c r="J773" s="8" t="inlineStr">
        <is>
          <t>R</t>
        </is>
      </c>
      <c r="K773" s="36" t="inlineStr">
        <is>
          <t>Class 1-3 / Urban</t>
        </is>
      </c>
      <c r="L773" s="18" t="n">
        <v>2600</v>
      </c>
      <c r="M773" s="20" t="n">
        <v>4.24</v>
      </c>
      <c r="N773" s="18">
        <f>ROUND(L773/M773, 0)</f>
        <v/>
      </c>
      <c r="O773" s="18">
        <f>ROUND(N773*'Methodology &amp; Assumptions'!$B$8, 0)</f>
        <v/>
      </c>
      <c r="P773" s="8" t="inlineStr">
        <is>
          <t>Band n50 (1.5 GHz, 60 MHz)</t>
        </is>
      </c>
      <c r="Q773" s="38">
        <f>ROUNDUP(O773/'Methodology &amp; Assumptions'!$B$9, 0)</f>
        <v/>
      </c>
      <c r="R773" s="39" t="n">
        <v>1</v>
      </c>
      <c r="S773" s="21" t="n">
        <v>0.53</v>
      </c>
      <c r="T773" s="21" t="n">
        <v>0.29</v>
      </c>
      <c r="U773" s="36" t="inlineStr">
        <is>
          <t>Tier 1A (Direct Coloc, &lt;1 km)</t>
        </is>
      </c>
      <c r="V773" s="20" t="n">
        <v>93.8</v>
      </c>
      <c r="W773" s="20" t="n">
        <v>73.09999999999999</v>
      </c>
      <c r="X773" s="20" t="n">
        <v>58</v>
      </c>
      <c r="Y773" s="40">
        <f>ROUND((V773*'Methodology &amp; Assumptions'!$B$6)+(W773*'Methodology &amp; Assumptions'!$B$5)+(X773*'Methodology &amp; Assumptions'!$B$7), 2)</f>
        <v/>
      </c>
    </row>
    <row r="774" ht="19" customHeight="1">
      <c r="A774" s="41" t="n">
        <v>770</v>
      </c>
      <c r="B774" s="41" t="n">
        <v>770</v>
      </c>
      <c r="C774" s="42" t="inlineStr">
        <is>
          <t>0701242004</t>
        </is>
      </c>
      <c r="D774" s="42" t="inlineStr">
        <is>
          <t>Region VII (Central Visayas)</t>
        </is>
      </c>
      <c r="E774" s="42" t="inlineStr">
        <is>
          <t>Bohol</t>
        </is>
      </c>
      <c r="F774" s="42" t="inlineStr">
        <is>
          <t>City of Tagbilaran</t>
        </is>
      </c>
      <c r="G774" s="42" t="inlineStr">
        <is>
          <t>Cogon</t>
        </is>
      </c>
      <c r="H774" s="43" t="n">
        <v>9.654116</v>
      </c>
      <c r="I774" s="43" t="n">
        <v>123.859992</v>
      </c>
      <c r="J774" s="44" t="inlineStr">
        <is>
          <t>U</t>
        </is>
      </c>
      <c r="K774" s="42" t="inlineStr">
        <is>
          <t>Class 1-3 / Urban</t>
        </is>
      </c>
      <c r="L774" s="23" t="n">
        <v>15869</v>
      </c>
      <c r="M774" s="24" t="n">
        <v>4.54</v>
      </c>
      <c r="N774" s="23">
        <f>ROUND(L774/M774, 0)</f>
        <v/>
      </c>
      <c r="O774" s="23">
        <f>ROUND(N774*'Methodology &amp; Assumptions'!$B$8, 0)</f>
        <v/>
      </c>
      <c r="P774" s="44" t="inlineStr">
        <is>
          <t>Band n50 (1.5 GHz, 60 MHz)</t>
        </is>
      </c>
      <c r="Q774" s="38">
        <f>ROUNDUP(O774/'Methodology &amp; Assumptions'!$B$9, 0)</f>
        <v/>
      </c>
      <c r="R774" s="39" t="n">
        <v>1</v>
      </c>
      <c r="S774" s="25" t="n">
        <v>0.57</v>
      </c>
      <c r="T774" s="25" t="n">
        <v>0.51</v>
      </c>
      <c r="U774" s="42" t="inlineStr">
        <is>
          <t>Tier 1A (Direct Coloc, &lt;1 km)</t>
        </is>
      </c>
      <c r="V774" s="24" t="n">
        <v>92.59999999999999</v>
      </c>
      <c r="W774" s="24" t="n">
        <v>100</v>
      </c>
      <c r="X774" s="24" t="n">
        <v>28</v>
      </c>
      <c r="Y774" s="45">
        <f>ROUND((V774*'Methodology &amp; Assumptions'!$B$6)+(W774*'Methodology &amp; Assumptions'!$B$5)+(X774*'Methodology &amp; Assumptions'!$B$7), 2)</f>
        <v/>
      </c>
    </row>
    <row r="775" ht="19" customHeight="1">
      <c r="A775" s="35" t="n">
        <v>771</v>
      </c>
      <c r="B775" s="35" t="n">
        <v>771</v>
      </c>
      <c r="C775" s="36" t="inlineStr">
        <is>
          <t>0305415002</t>
        </is>
      </c>
      <c r="D775" s="36" t="inlineStr">
        <is>
          <t>Region III (Central Luzon)</t>
        </is>
      </c>
      <c r="E775" s="36" t="inlineStr">
        <is>
          <t>Pampanga</t>
        </is>
      </c>
      <c r="F775" s="36" t="inlineStr">
        <is>
          <t>Porac</t>
        </is>
      </c>
      <c r="G775" s="36" t="inlineStr">
        <is>
          <t>Babo Sacan</t>
        </is>
      </c>
      <c r="H775" s="37" t="n">
        <v>15.068755</v>
      </c>
      <c r="I775" s="37" t="n">
        <v>120.544994</v>
      </c>
      <c r="J775" s="8" t="inlineStr">
        <is>
          <t>U</t>
        </is>
      </c>
      <c r="K775" s="36" t="inlineStr">
        <is>
          <t>Class 1-3 / Urban</t>
        </is>
      </c>
      <c r="L775" s="18" t="n">
        <v>5916</v>
      </c>
      <c r="M775" s="20" t="n">
        <v>4.63</v>
      </c>
      <c r="N775" s="18">
        <f>ROUND(L775/M775, 0)</f>
        <v/>
      </c>
      <c r="O775" s="18">
        <f>ROUND(N775*'Methodology &amp; Assumptions'!$B$8, 0)</f>
        <v/>
      </c>
      <c r="P775" s="8" t="inlineStr">
        <is>
          <t>Band n50 (1.5 GHz, 60 MHz)</t>
        </is>
      </c>
      <c r="Q775" s="38">
        <f>ROUNDUP(O775/'Methodology &amp; Assumptions'!$B$9, 0)</f>
        <v/>
      </c>
      <c r="R775" s="39" t="n">
        <v>1</v>
      </c>
      <c r="S775" s="21" t="n">
        <v>0.57</v>
      </c>
      <c r="T775" s="21" t="n">
        <v>0.23</v>
      </c>
      <c r="U775" s="36" t="inlineStr">
        <is>
          <t>Tier 1A (Direct Coloc, &lt;1 km)</t>
        </is>
      </c>
      <c r="V775" s="20" t="n">
        <v>92.59999999999999</v>
      </c>
      <c r="W775" s="20" t="n">
        <v>100</v>
      </c>
      <c r="X775" s="20" t="n">
        <v>28</v>
      </c>
      <c r="Y775" s="40">
        <f>ROUND((V775*'Methodology &amp; Assumptions'!$B$6)+(W775*'Methodology &amp; Assumptions'!$B$5)+(X775*'Methodology &amp; Assumptions'!$B$7), 2)</f>
        <v/>
      </c>
    </row>
    <row r="776" ht="19" customHeight="1">
      <c r="A776" s="41" t="n">
        <v>772</v>
      </c>
      <c r="B776" s="41" t="n">
        <v>772</v>
      </c>
      <c r="C776" s="42" t="inlineStr">
        <is>
          <t>0301410016</t>
        </is>
      </c>
      <c r="D776" s="42" t="inlineStr">
        <is>
          <t>Region III (Central Luzon)</t>
        </is>
      </c>
      <c r="E776" s="42" t="inlineStr">
        <is>
          <t>Bulacan</t>
        </is>
      </c>
      <c r="F776" s="42" t="inlineStr">
        <is>
          <t>City of Malolos</t>
        </is>
      </c>
      <c r="G776" s="42" t="inlineStr">
        <is>
          <t>Caingin</t>
        </is>
      </c>
      <c r="H776" s="43" t="n">
        <v>14.84457</v>
      </c>
      <c r="I776" s="43" t="n">
        <v>120.809333</v>
      </c>
      <c r="J776" s="44" t="inlineStr">
        <is>
          <t>U</t>
        </is>
      </c>
      <c r="K776" s="42" t="inlineStr">
        <is>
          <t>Class 1-3 / Urban</t>
        </is>
      </c>
      <c r="L776" s="23" t="n">
        <v>7348</v>
      </c>
      <c r="M776" s="24" t="n">
        <v>4.1</v>
      </c>
      <c r="N776" s="23">
        <f>ROUND(L776/M776, 0)</f>
        <v/>
      </c>
      <c r="O776" s="23">
        <f>ROUND(N776*'Methodology &amp; Assumptions'!$B$8, 0)</f>
        <v/>
      </c>
      <c r="P776" s="44" t="inlineStr">
        <is>
          <t>Band n50 (1.5 GHz, 60 MHz)</t>
        </is>
      </c>
      <c r="Q776" s="38">
        <f>ROUNDUP(O776/'Methodology &amp; Assumptions'!$B$9, 0)</f>
        <v/>
      </c>
      <c r="R776" s="39" t="n">
        <v>1</v>
      </c>
      <c r="S776" s="25" t="n">
        <v>0.57</v>
      </c>
      <c r="T776" s="25" t="n">
        <v>1.03</v>
      </c>
      <c r="U776" s="42" t="inlineStr">
        <is>
          <t>Tier 1A (Direct Coloc, &lt;1 km)</t>
        </is>
      </c>
      <c r="V776" s="24" t="n">
        <v>92.59999999999999</v>
      </c>
      <c r="W776" s="24" t="n">
        <v>100</v>
      </c>
      <c r="X776" s="24" t="n">
        <v>28</v>
      </c>
      <c r="Y776" s="45">
        <f>ROUND((V776*'Methodology &amp; Assumptions'!$B$6)+(W776*'Methodology &amp; Assumptions'!$B$5)+(X776*'Methodology &amp; Assumptions'!$B$7), 2)</f>
        <v/>
      </c>
    </row>
    <row r="777" ht="19" customHeight="1">
      <c r="A777" s="35" t="n">
        <v>773</v>
      </c>
      <c r="B777" s="35" t="n">
        <v>773</v>
      </c>
      <c r="C777" s="36" t="inlineStr">
        <is>
          <t>0105538005</t>
        </is>
      </c>
      <c r="D777" s="36" t="inlineStr">
        <is>
          <t>Region I (Ilocos Region)</t>
        </is>
      </c>
      <c r="E777" s="36" t="inlineStr">
        <is>
          <t>Pangasinan</t>
        </is>
      </c>
      <c r="F777" s="36" t="inlineStr">
        <is>
          <t>Santa Barbara</t>
        </is>
      </c>
      <c r="G777" s="36" t="inlineStr">
        <is>
          <t>Botao</t>
        </is>
      </c>
      <c r="H777" s="37" t="n">
        <v>15.974351</v>
      </c>
      <c r="I777" s="37" t="n">
        <v>120.458649</v>
      </c>
      <c r="J777" s="8" t="inlineStr">
        <is>
          <t>R</t>
        </is>
      </c>
      <c r="K777" s="36" t="inlineStr">
        <is>
          <t>Class 1-3 / Urban</t>
        </is>
      </c>
      <c r="L777" s="18" t="n">
        <v>3401</v>
      </c>
      <c r="M777" s="20" t="n">
        <v>4.39</v>
      </c>
      <c r="N777" s="18">
        <f>ROUND(L777/M777, 0)</f>
        <v/>
      </c>
      <c r="O777" s="18">
        <f>ROUND(N777*'Methodology &amp; Assumptions'!$B$8, 0)</f>
        <v/>
      </c>
      <c r="P777" s="8" t="inlineStr">
        <is>
          <t>Band n50 (1.5 GHz, 60 MHz)</t>
        </is>
      </c>
      <c r="Q777" s="38">
        <f>ROUNDUP(O777/'Methodology &amp; Assumptions'!$B$9, 0)</f>
        <v/>
      </c>
      <c r="R777" s="39" t="n">
        <v>1</v>
      </c>
      <c r="S777" s="21" t="n">
        <v>1.03</v>
      </c>
      <c r="T777" s="21" t="n">
        <v>1.03</v>
      </c>
      <c r="U777" s="36" t="inlineStr">
        <is>
          <t>Tier 1B (Micro Drop, 1-3 km)</t>
        </is>
      </c>
      <c r="V777" s="20" t="n">
        <v>81</v>
      </c>
      <c r="W777" s="20" t="n">
        <v>85.90000000000001</v>
      </c>
      <c r="X777" s="20" t="n">
        <v>58</v>
      </c>
      <c r="Y777" s="40">
        <f>ROUND((V777*'Methodology &amp; Assumptions'!$B$6)+(W777*'Methodology &amp; Assumptions'!$B$5)+(X777*'Methodology &amp; Assumptions'!$B$7), 2)</f>
        <v/>
      </c>
    </row>
    <row r="778" ht="19" customHeight="1">
      <c r="A778" s="41" t="n">
        <v>774</v>
      </c>
      <c r="B778" s="41" t="n">
        <v>774</v>
      </c>
      <c r="C778" s="42" t="inlineStr">
        <is>
          <t>1130700040</t>
        </is>
      </c>
      <c r="D778" s="42" t="inlineStr">
        <is>
          <t>Region XI (Davao Region)</t>
        </is>
      </c>
      <c r="E778" s="42" t="inlineStr">
        <is>
          <t>Davao del Sur</t>
        </is>
      </c>
      <c r="F778" s="42" t="inlineStr">
        <is>
          <t>City of Davao</t>
        </is>
      </c>
      <c r="G778" s="42" t="inlineStr">
        <is>
          <t>Daliao</t>
        </is>
      </c>
      <c r="H778" s="43" t="n">
        <v>7.008936</v>
      </c>
      <c r="I778" s="43" t="n">
        <v>125.503674</v>
      </c>
      <c r="J778" s="44" t="inlineStr">
        <is>
          <t>U</t>
        </is>
      </c>
      <c r="K778" s="42" t="inlineStr">
        <is>
          <t>Class 1-3 / Urban</t>
        </is>
      </c>
      <c r="L778" s="23" t="n">
        <v>21479</v>
      </c>
      <c r="M778" s="24" t="n">
        <v>4.1</v>
      </c>
      <c r="N778" s="23">
        <f>ROUND(L778/M778, 0)</f>
        <v/>
      </c>
      <c r="O778" s="23">
        <f>ROUND(N778*'Methodology &amp; Assumptions'!$B$8, 0)</f>
        <v/>
      </c>
      <c r="P778" s="44" t="inlineStr">
        <is>
          <t>Band n50 (1.5 GHz, 60 MHz)</t>
        </is>
      </c>
      <c r="Q778" s="38">
        <f>ROUNDUP(O778/'Methodology &amp; Assumptions'!$B$9, 0)</f>
        <v/>
      </c>
      <c r="R778" s="39" t="n">
        <v>1</v>
      </c>
      <c r="S778" s="25" t="n">
        <v>0.58</v>
      </c>
      <c r="T778" s="25" t="n">
        <v>0.58</v>
      </c>
      <c r="U778" s="42" t="inlineStr">
        <is>
          <t>Tier 1A (Direct Coloc, &lt;1 km)</t>
        </is>
      </c>
      <c r="V778" s="24" t="n">
        <v>92.5</v>
      </c>
      <c r="W778" s="24" t="n">
        <v>100</v>
      </c>
      <c r="X778" s="24" t="n">
        <v>28</v>
      </c>
      <c r="Y778" s="45">
        <f>ROUND((V778*'Methodology &amp; Assumptions'!$B$6)+(W778*'Methodology &amp; Assumptions'!$B$5)+(X778*'Methodology &amp; Assumptions'!$B$7), 2)</f>
        <v/>
      </c>
    </row>
    <row r="779" ht="19" customHeight="1">
      <c r="A779" s="35" t="n">
        <v>775</v>
      </c>
      <c r="B779" s="35" t="n">
        <v>775</v>
      </c>
      <c r="C779" s="36" t="inlineStr">
        <is>
          <t>0301405010</t>
        </is>
      </c>
      <c r="D779" s="36" t="inlineStr">
        <is>
          <t>Region III (Central Luzon)</t>
        </is>
      </c>
      <c r="E779" s="36" t="inlineStr">
        <is>
          <t>Bulacan</t>
        </is>
      </c>
      <c r="F779" s="36" t="inlineStr">
        <is>
          <t>Bulacan</t>
        </is>
      </c>
      <c r="G779" s="36" t="inlineStr">
        <is>
          <t>San Jose</t>
        </is>
      </c>
      <c r="H779" s="37" t="n">
        <v>14.795811</v>
      </c>
      <c r="I779" s="37" t="n">
        <v>120.877988</v>
      </c>
      <c r="J779" s="8" t="inlineStr">
        <is>
          <t>U</t>
        </is>
      </c>
      <c r="K779" s="36" t="inlineStr">
        <is>
          <t>Class 1-3 / Urban</t>
        </is>
      </c>
      <c r="L779" s="18" t="n">
        <v>3570</v>
      </c>
      <c r="M779" s="20" t="n">
        <v>4.1</v>
      </c>
      <c r="N779" s="18">
        <f>ROUND(L779/M779, 0)</f>
        <v/>
      </c>
      <c r="O779" s="18">
        <f>ROUND(N779*'Methodology &amp; Assumptions'!$B$8, 0)</f>
        <v/>
      </c>
      <c r="P779" s="8" t="inlineStr">
        <is>
          <t>Band n50 (1.5 GHz, 60 MHz)</t>
        </is>
      </c>
      <c r="Q779" s="38">
        <f>ROUNDUP(O779/'Methodology &amp; Assumptions'!$B$9, 0)</f>
        <v/>
      </c>
      <c r="R779" s="39" t="n">
        <v>1</v>
      </c>
      <c r="S779" s="21" t="n">
        <v>0.03</v>
      </c>
      <c r="T779" s="21" t="n">
        <v>3.59</v>
      </c>
      <c r="U779" s="36" t="inlineStr">
        <is>
          <t>Tier 1A (Direct Coloc, &lt;1 km)</t>
        </is>
      </c>
      <c r="V779" s="20" t="n">
        <v>98.90000000000001</v>
      </c>
      <c r="W779" s="20" t="n">
        <v>93.59999999999999</v>
      </c>
      <c r="X779" s="20" t="n">
        <v>28</v>
      </c>
      <c r="Y779" s="40">
        <f>ROUND((V779*'Methodology &amp; Assumptions'!$B$6)+(W779*'Methodology &amp; Assumptions'!$B$5)+(X779*'Methodology &amp; Assumptions'!$B$7), 2)</f>
        <v/>
      </c>
    </row>
    <row r="780" ht="19" customHeight="1">
      <c r="A780" s="41" t="n">
        <v>776</v>
      </c>
      <c r="B780" s="41" t="n">
        <v>776</v>
      </c>
      <c r="C780" s="42" t="inlineStr">
        <is>
          <t>0203129003</t>
        </is>
      </c>
      <c r="D780" s="42" t="inlineStr">
        <is>
          <t>Region II (Cagayan Valley)</t>
        </is>
      </c>
      <c r="E780" s="42" t="inlineStr">
        <is>
          <t>Isabela</t>
        </is>
      </c>
      <c r="F780" s="42" t="inlineStr">
        <is>
          <t>San Isidro</t>
        </is>
      </c>
      <c r="G780" s="42" t="inlineStr">
        <is>
          <t>Gomez</t>
        </is>
      </c>
      <c r="H780" s="43" t="n">
        <v>16.733896</v>
      </c>
      <c r="I780" s="43" t="n">
        <v>121.634226</v>
      </c>
      <c r="J780" s="44" t="inlineStr">
        <is>
          <t>R</t>
        </is>
      </c>
      <c r="K780" s="42" t="inlineStr">
        <is>
          <t>3rd</t>
        </is>
      </c>
      <c r="L780" s="23" t="n">
        <v>3045</v>
      </c>
      <c r="M780" s="24" t="n">
        <v>4.26</v>
      </c>
      <c r="N780" s="23">
        <f>ROUND(L780/M780, 0)</f>
        <v/>
      </c>
      <c r="O780" s="23">
        <f>ROUND(N780*'Methodology &amp; Assumptions'!$B$8, 0)</f>
        <v/>
      </c>
      <c r="P780" s="44" t="inlineStr">
        <is>
          <t>Band n50 (1.5 GHz, 60 MHz)</t>
        </is>
      </c>
      <c r="Q780" s="38">
        <f>ROUNDUP(O780/'Methodology &amp; Assumptions'!$B$9, 0)</f>
        <v/>
      </c>
      <c r="R780" s="39" t="n">
        <v>1</v>
      </c>
      <c r="S780" s="25" t="n">
        <v>0.46</v>
      </c>
      <c r="T780" s="25" t="n">
        <v>4.12</v>
      </c>
      <c r="U780" s="42" t="inlineStr">
        <is>
          <t>Tier 1A (Direct Coloc, &lt;1 km)</t>
        </is>
      </c>
      <c r="V780" s="24" t="n">
        <v>85.7</v>
      </c>
      <c r="W780" s="24" t="n">
        <v>81.09999999999999</v>
      </c>
      <c r="X780" s="24" t="n">
        <v>58</v>
      </c>
      <c r="Y780" s="45">
        <f>ROUND((V780*'Methodology &amp; Assumptions'!$B$6)+(W780*'Methodology &amp; Assumptions'!$B$5)+(X780*'Methodology &amp; Assumptions'!$B$7), 2)</f>
        <v/>
      </c>
    </row>
    <row r="781" ht="19" customHeight="1">
      <c r="A781" s="35" t="n">
        <v>777</v>
      </c>
      <c r="B781" s="35" t="n">
        <v>777</v>
      </c>
      <c r="C781" s="36" t="inlineStr">
        <is>
          <t>1731500067</t>
        </is>
      </c>
      <c r="D781" s="36" t="inlineStr">
        <is>
          <t>MIMAROPA Region</t>
        </is>
      </c>
      <c r="E781" s="36" t="inlineStr">
        <is>
          <t>Palawan</t>
        </is>
      </c>
      <c r="F781" s="36" t="inlineStr">
        <is>
          <t>City of Puerto Princesa</t>
        </is>
      </c>
      <c r="G781" s="36" t="inlineStr">
        <is>
          <t>Tiniguiban</t>
        </is>
      </c>
      <c r="H781" s="37" t="n">
        <v>9.774692</v>
      </c>
      <c r="I781" s="37" t="n">
        <v>118.738333</v>
      </c>
      <c r="J781" s="8" t="inlineStr">
        <is>
          <t>U</t>
        </is>
      </c>
      <c r="K781" s="36" t="inlineStr">
        <is>
          <t>Class 1-3 / Urban</t>
        </is>
      </c>
      <c r="L781" s="18" t="n">
        <v>13565</v>
      </c>
      <c r="M781" s="20" t="n">
        <v>4.35</v>
      </c>
      <c r="N781" s="18">
        <f>ROUND(L781/M781, 0)</f>
        <v/>
      </c>
      <c r="O781" s="18">
        <f>ROUND(N781*'Methodology &amp; Assumptions'!$B$8, 0)</f>
        <v/>
      </c>
      <c r="P781" s="8" t="inlineStr">
        <is>
          <t>Band n50 (1.5 GHz, 60 MHz)</t>
        </is>
      </c>
      <c r="Q781" s="38">
        <f>ROUNDUP(O781/'Methodology &amp; Assumptions'!$B$9, 0)</f>
        <v/>
      </c>
      <c r="R781" s="39" t="n">
        <v>1</v>
      </c>
      <c r="S781" s="21" t="n">
        <v>0.58</v>
      </c>
      <c r="T781" s="21" t="n">
        <v>0.73</v>
      </c>
      <c r="U781" s="36" t="inlineStr">
        <is>
          <t>Tier 1A (Direct Coloc, &lt;1 km)</t>
        </is>
      </c>
      <c r="V781" s="20" t="n">
        <v>92.5</v>
      </c>
      <c r="W781" s="20" t="n">
        <v>100</v>
      </c>
      <c r="X781" s="20" t="n">
        <v>28</v>
      </c>
      <c r="Y781" s="40">
        <f>ROUND((V781*'Methodology &amp; Assumptions'!$B$6)+(W781*'Methodology &amp; Assumptions'!$B$5)+(X781*'Methodology &amp; Assumptions'!$B$7), 2)</f>
        <v/>
      </c>
    </row>
    <row r="782" ht="19" customHeight="1">
      <c r="A782" s="41" t="n">
        <v>778</v>
      </c>
      <c r="B782" s="41" t="n">
        <v>778</v>
      </c>
      <c r="C782" s="42" t="inlineStr">
        <is>
          <t>0501702013</t>
        </is>
      </c>
      <c r="D782" s="42" t="inlineStr">
        <is>
          <t>Region V (Bicol Region)</t>
        </is>
      </c>
      <c r="E782" s="42" t="inlineStr">
        <is>
          <t>Camarines Sur</t>
        </is>
      </c>
      <c r="F782" s="42" t="inlineStr">
        <is>
          <t>Balatan</t>
        </is>
      </c>
      <c r="G782" s="42" t="inlineStr">
        <is>
          <t>Siramag</t>
        </is>
      </c>
      <c r="H782" s="43" t="n">
        <v>13.315669</v>
      </c>
      <c r="I782" s="43" t="n">
        <v>123.233755</v>
      </c>
      <c r="J782" s="44" t="inlineStr">
        <is>
          <t>U</t>
        </is>
      </c>
      <c r="K782" s="42" t="inlineStr">
        <is>
          <t>3rd</t>
        </is>
      </c>
      <c r="L782" s="23" t="n">
        <v>4969</v>
      </c>
      <c r="M782" s="24" t="n">
        <v>5.25</v>
      </c>
      <c r="N782" s="23">
        <f>ROUND(L782/M782, 0)</f>
        <v/>
      </c>
      <c r="O782" s="23">
        <f>ROUND(N782*'Methodology &amp; Assumptions'!$B$8, 0)</f>
        <v/>
      </c>
      <c r="P782" s="44" t="inlineStr">
        <is>
          <t>Band n50 (1.5 GHz, 60 MHz)</t>
        </is>
      </c>
      <c r="Q782" s="38">
        <f>ROUNDUP(O782/'Methodology &amp; Assumptions'!$B$9, 0)</f>
        <v/>
      </c>
      <c r="R782" s="39" t="n">
        <v>1</v>
      </c>
      <c r="S782" s="25" t="n">
        <v>0.23</v>
      </c>
      <c r="T782" s="25" t="n">
        <v>14.84</v>
      </c>
      <c r="U782" s="42" t="inlineStr">
        <is>
          <t>Tier 1A (Direct Coloc, &lt;1 km)</t>
        </is>
      </c>
      <c r="V782" s="24" t="n">
        <v>92.8</v>
      </c>
      <c r="W782" s="24" t="n">
        <v>99.7</v>
      </c>
      <c r="X782" s="24" t="n">
        <v>28</v>
      </c>
      <c r="Y782" s="45">
        <f>ROUND((V782*'Methodology &amp; Assumptions'!$B$6)+(W782*'Methodology &amp; Assumptions'!$B$5)+(X782*'Methodology &amp; Assumptions'!$B$7), 2)</f>
        <v/>
      </c>
    </row>
    <row r="783" ht="19" customHeight="1">
      <c r="A783" s="35" t="n">
        <v>779</v>
      </c>
      <c r="B783" s="35" t="n">
        <v>779</v>
      </c>
      <c r="C783" s="36" t="inlineStr">
        <is>
          <t>0603044006</t>
        </is>
      </c>
      <c r="D783" s="36" t="inlineStr">
        <is>
          <t>Region VI (Western Visayas)</t>
        </is>
      </c>
      <c r="E783" s="36" t="inlineStr">
        <is>
          <t>Iloilo</t>
        </is>
      </c>
      <c r="F783" s="36" t="inlineStr">
        <is>
          <t>Sara</t>
        </is>
      </c>
      <c r="G783" s="36" t="inlineStr">
        <is>
          <t>Apologista</t>
        </is>
      </c>
      <c r="H783" s="37" t="n">
        <v>11.249128</v>
      </c>
      <c r="I783" s="37" t="n">
        <v>123.016611</v>
      </c>
      <c r="J783" s="8" t="inlineStr">
        <is>
          <t>R</t>
        </is>
      </c>
      <c r="K783" s="36" t="inlineStr">
        <is>
          <t>Class 1-3 / Urban</t>
        </is>
      </c>
      <c r="L783" s="18" t="n">
        <v>2932</v>
      </c>
      <c r="M783" s="20" t="n">
        <v>4.39</v>
      </c>
      <c r="N783" s="18">
        <f>ROUND(L783/M783, 0)</f>
        <v/>
      </c>
      <c r="O783" s="18">
        <f>ROUND(N783*'Methodology &amp; Assumptions'!$B$8, 0)</f>
        <v/>
      </c>
      <c r="P783" s="8" t="inlineStr">
        <is>
          <t>Band n50 (1.5 GHz, 60 MHz)</t>
        </is>
      </c>
      <c r="Q783" s="38">
        <f>ROUNDUP(O783/'Methodology &amp; Assumptions'!$B$9, 0)</f>
        <v/>
      </c>
      <c r="R783" s="39" t="n">
        <v>1</v>
      </c>
      <c r="S783" s="21" t="n">
        <v>0.6899999999999999</v>
      </c>
      <c r="T783" s="21" t="n">
        <v>0.47</v>
      </c>
      <c r="U783" s="36" t="inlineStr">
        <is>
          <t>Tier 1A (Direct Coloc, &lt;1 km)</t>
        </is>
      </c>
      <c r="V783" s="20" t="n">
        <v>89.40000000000001</v>
      </c>
      <c r="W783" s="20" t="n">
        <v>77.3</v>
      </c>
      <c r="X783" s="20" t="n">
        <v>58</v>
      </c>
      <c r="Y783" s="40">
        <f>ROUND((V783*'Methodology &amp; Assumptions'!$B$6)+(W783*'Methodology &amp; Assumptions'!$B$5)+(X783*'Methodology &amp; Assumptions'!$B$7), 2)</f>
        <v/>
      </c>
    </row>
    <row r="784" ht="19" customHeight="1">
      <c r="A784" s="41" t="n">
        <v>780</v>
      </c>
      <c r="B784" s="41" t="n">
        <v>780</v>
      </c>
      <c r="C784" s="42" t="inlineStr">
        <is>
          <t>1130700164</t>
        </is>
      </c>
      <c r="D784" s="42" t="inlineStr">
        <is>
          <t>Region XI (Davao Region)</t>
        </is>
      </c>
      <c r="E784" s="42" t="inlineStr">
        <is>
          <t>Davao del Sur</t>
        </is>
      </c>
      <c r="F784" s="42" t="inlineStr">
        <is>
          <t>City of Davao</t>
        </is>
      </c>
      <c r="G784" s="42" t="inlineStr">
        <is>
          <t>Barangay 31-D</t>
        </is>
      </c>
      <c r="H784" s="43" t="n">
        <v>7.06741</v>
      </c>
      <c r="I784" s="43" t="n">
        <v>125.6178</v>
      </c>
      <c r="J784" s="44" t="inlineStr">
        <is>
          <t>U</t>
        </is>
      </c>
      <c r="K784" s="42" t="inlineStr">
        <is>
          <t>Class 1-3 / Urban</t>
        </is>
      </c>
      <c r="L784" s="23" t="n">
        <v>8481</v>
      </c>
      <c r="M784" s="24" t="n">
        <v>4.1</v>
      </c>
      <c r="N784" s="23">
        <f>ROUND(L784/M784, 0)</f>
        <v/>
      </c>
      <c r="O784" s="23">
        <f>ROUND(N784*'Methodology &amp; Assumptions'!$B$8, 0)</f>
        <v/>
      </c>
      <c r="P784" s="44" t="inlineStr">
        <is>
          <t>Band n50 (1.5 GHz, 60 MHz)</t>
        </is>
      </c>
      <c r="Q784" s="38">
        <f>ROUNDUP(O784/'Methodology &amp; Assumptions'!$B$9, 0)</f>
        <v/>
      </c>
      <c r="R784" s="39" t="n">
        <v>1</v>
      </c>
      <c r="S784" s="25" t="n">
        <v>0.58</v>
      </c>
      <c r="T784" s="25" t="n">
        <v>0.33</v>
      </c>
      <c r="U784" s="42" t="inlineStr">
        <is>
          <t>Tier 1A (Direct Coloc, &lt;1 km)</t>
        </is>
      </c>
      <c r="V784" s="24" t="n">
        <v>92.5</v>
      </c>
      <c r="W784" s="24" t="n">
        <v>100</v>
      </c>
      <c r="X784" s="24" t="n">
        <v>28</v>
      </c>
      <c r="Y784" s="45">
        <f>ROUND((V784*'Methodology &amp; Assumptions'!$B$6)+(W784*'Methodology &amp; Assumptions'!$B$5)+(X784*'Methodology &amp; Assumptions'!$B$7), 2)</f>
        <v/>
      </c>
    </row>
    <row r="785" ht="19" customHeight="1">
      <c r="A785" s="35" t="n">
        <v>781</v>
      </c>
      <c r="B785" s="35" t="n">
        <v>781</v>
      </c>
      <c r="C785" s="36" t="inlineStr">
        <is>
          <t>1030900048</t>
        </is>
      </c>
      <c r="D785" s="36" t="inlineStr">
        <is>
          <t>Region X (Northern Mindanao)</t>
        </is>
      </c>
      <c r="E785" s="36" t="inlineStr">
        <is>
          <t>Lanao del Norte</t>
        </is>
      </c>
      <c r="F785" s="36" t="inlineStr">
        <is>
          <t>City of Iligan</t>
        </is>
      </c>
      <c r="G785" s="36" t="inlineStr">
        <is>
          <t>Villa Verde</t>
        </is>
      </c>
      <c r="H785" s="37" t="n">
        <v>8.232927999999999</v>
      </c>
      <c r="I785" s="37" t="n">
        <v>124.242995</v>
      </c>
      <c r="J785" s="8" t="inlineStr">
        <is>
          <t>U</t>
        </is>
      </c>
      <c r="K785" s="36" t="inlineStr">
        <is>
          <t>Class 1-3 / Urban</t>
        </is>
      </c>
      <c r="L785" s="18" t="n">
        <v>5514</v>
      </c>
      <c r="M785" s="20" t="n">
        <v>5.12</v>
      </c>
      <c r="N785" s="18">
        <f>ROUND(L785/M785, 0)</f>
        <v/>
      </c>
      <c r="O785" s="18">
        <f>ROUND(N785*'Methodology &amp; Assumptions'!$B$8, 0)</f>
        <v/>
      </c>
      <c r="P785" s="8" t="inlineStr">
        <is>
          <t>Band n50 (1.5 GHz, 60 MHz)</t>
        </is>
      </c>
      <c r="Q785" s="38">
        <f>ROUNDUP(O785/'Methodology &amp; Assumptions'!$B$9, 0)</f>
        <v/>
      </c>
      <c r="R785" s="39" t="n">
        <v>1</v>
      </c>
      <c r="S785" s="21" t="n">
        <v>0.58</v>
      </c>
      <c r="T785" s="21" t="n">
        <v>0.18</v>
      </c>
      <c r="U785" s="36" t="inlineStr">
        <is>
          <t>Tier 1A (Direct Coloc, &lt;1 km)</t>
        </is>
      </c>
      <c r="V785" s="20" t="n">
        <v>92.5</v>
      </c>
      <c r="W785" s="20" t="n">
        <v>100</v>
      </c>
      <c r="X785" s="20" t="n">
        <v>28</v>
      </c>
      <c r="Y785" s="40">
        <f>ROUND((V785*'Methodology &amp; Assumptions'!$B$6)+(W785*'Methodology &amp; Assumptions'!$B$5)+(X785*'Methodology &amp; Assumptions'!$B$7), 2)</f>
        <v/>
      </c>
    </row>
    <row r="786" ht="19" customHeight="1">
      <c r="A786" s="41" t="n">
        <v>782</v>
      </c>
      <c r="B786" s="41" t="n">
        <v>782</v>
      </c>
      <c r="C786" s="42" t="inlineStr">
        <is>
          <t>0405623007</t>
        </is>
      </c>
      <c r="D786" s="42" t="inlineStr">
        <is>
          <t>Region IV-A (CALABARZON)</t>
        </is>
      </c>
      <c r="E786" s="42" t="inlineStr">
        <is>
          <t>Quezon</t>
        </is>
      </c>
      <c r="F786" s="42" t="inlineStr">
        <is>
          <t>Lucban</t>
        </is>
      </c>
      <c r="G786" s="42" t="inlineStr">
        <is>
          <t>Barangay 4</t>
        </is>
      </c>
      <c r="H786" s="43" t="n">
        <v>14.116</v>
      </c>
      <c r="I786" s="43" t="n">
        <v>121.552841</v>
      </c>
      <c r="J786" s="44" t="inlineStr">
        <is>
          <t>R</t>
        </is>
      </c>
      <c r="K786" s="42" t="inlineStr">
        <is>
          <t>Class 1-3 / Urban</t>
        </is>
      </c>
      <c r="L786" s="23" t="n">
        <v>2862</v>
      </c>
      <c r="M786" s="24" t="n">
        <v>4.46</v>
      </c>
      <c r="N786" s="23">
        <f>ROUND(L786/M786, 0)</f>
        <v/>
      </c>
      <c r="O786" s="23">
        <f>ROUND(N786*'Methodology &amp; Assumptions'!$B$8, 0)</f>
        <v/>
      </c>
      <c r="P786" s="44" t="inlineStr">
        <is>
          <t>Band n50 (1.5 GHz, 60 MHz)</t>
        </is>
      </c>
      <c r="Q786" s="38">
        <f>ROUNDUP(O786/'Methodology &amp; Assumptions'!$B$9, 0)</f>
        <v/>
      </c>
      <c r="R786" s="39" t="n">
        <v>1</v>
      </c>
      <c r="S786" s="25" t="n">
        <v>0.62</v>
      </c>
      <c r="T786" s="25" t="n">
        <v>0.13</v>
      </c>
      <c r="U786" s="42" t="inlineStr">
        <is>
          <t>Tier 1A (Direct Coloc, &lt;1 km)</t>
        </is>
      </c>
      <c r="V786" s="24" t="n">
        <v>91.2</v>
      </c>
      <c r="W786" s="24" t="n">
        <v>75.5</v>
      </c>
      <c r="X786" s="24" t="n">
        <v>58</v>
      </c>
      <c r="Y786" s="45">
        <f>ROUND((V786*'Methodology &amp; Assumptions'!$B$6)+(W786*'Methodology &amp; Assumptions'!$B$5)+(X786*'Methodology &amp; Assumptions'!$B$7), 2)</f>
        <v/>
      </c>
    </row>
    <row r="787" ht="19" customHeight="1">
      <c r="A787" s="35" t="n">
        <v>783</v>
      </c>
      <c r="B787" s="35" t="n">
        <v>783</v>
      </c>
      <c r="C787" s="36" t="inlineStr">
        <is>
          <t>1108207013</t>
        </is>
      </c>
      <c r="D787" s="36" t="inlineStr">
        <is>
          <t>Region XI (Davao Region)</t>
        </is>
      </c>
      <c r="E787" s="36" t="inlineStr">
        <is>
          <t>Davao de Oro</t>
        </is>
      </c>
      <c r="F787" s="36" t="inlineStr">
        <is>
          <t>Monkayo</t>
        </is>
      </c>
      <c r="G787" s="36" t="inlineStr">
        <is>
          <t>Poblacion</t>
        </is>
      </c>
      <c r="H787" s="37" t="n">
        <v>7.822988</v>
      </c>
      <c r="I787" s="37" t="n">
        <v>126.053297</v>
      </c>
      <c r="J787" s="8" t="inlineStr">
        <is>
          <t>U</t>
        </is>
      </c>
      <c r="K787" s="36" t="inlineStr">
        <is>
          <t>Class 1-3 / Urban</t>
        </is>
      </c>
      <c r="L787" s="18" t="n">
        <v>20435</v>
      </c>
      <c r="M787" s="20" t="n">
        <v>4.1</v>
      </c>
      <c r="N787" s="18">
        <f>ROUND(L787/M787, 0)</f>
        <v/>
      </c>
      <c r="O787" s="18">
        <f>ROUND(N787*'Methodology &amp; Assumptions'!$B$8, 0)</f>
        <v/>
      </c>
      <c r="P787" s="8" t="inlineStr">
        <is>
          <t>Band n50 (1.5 GHz, 60 MHz)</t>
        </is>
      </c>
      <c r="Q787" s="38">
        <f>ROUNDUP(O787/'Methodology &amp; Assumptions'!$B$9, 0)</f>
        <v/>
      </c>
      <c r="R787" s="39" t="n">
        <v>1</v>
      </c>
      <c r="S787" s="21" t="n">
        <v>0.58</v>
      </c>
      <c r="T787" s="21" t="n">
        <v>0.85</v>
      </c>
      <c r="U787" s="36" t="inlineStr">
        <is>
          <t>Tier 1A (Direct Coloc, &lt;1 km)</t>
        </is>
      </c>
      <c r="V787" s="20" t="n">
        <v>92.40000000000001</v>
      </c>
      <c r="W787" s="20" t="n">
        <v>100</v>
      </c>
      <c r="X787" s="20" t="n">
        <v>28</v>
      </c>
      <c r="Y787" s="40">
        <f>ROUND((V787*'Methodology &amp; Assumptions'!$B$6)+(W787*'Methodology &amp; Assumptions'!$B$5)+(X787*'Methodology &amp; Assumptions'!$B$7), 2)</f>
        <v/>
      </c>
    </row>
    <row r="788" ht="19" customHeight="1">
      <c r="A788" s="41" t="n">
        <v>784</v>
      </c>
      <c r="B788" s="41" t="n">
        <v>784</v>
      </c>
      <c r="C788" s="42" t="inlineStr">
        <is>
          <t>0205704014</t>
        </is>
      </c>
      <c r="D788" s="42" t="inlineStr">
        <is>
          <t>Region II (Cagayan Valley)</t>
        </is>
      </c>
      <c r="E788" s="42" t="inlineStr">
        <is>
          <t>Quirino</t>
        </is>
      </c>
      <c r="F788" s="42" t="inlineStr">
        <is>
          <t>Maddela</t>
        </is>
      </c>
      <c r="G788" s="42" t="inlineStr">
        <is>
          <t>Lusod</t>
        </is>
      </c>
      <c r="H788" s="43" t="n">
        <v>16.335095</v>
      </c>
      <c r="I788" s="43" t="n">
        <v>121.679402</v>
      </c>
      <c r="J788" s="44" t="inlineStr">
        <is>
          <t>R</t>
        </is>
      </c>
      <c r="K788" s="42" t="inlineStr">
        <is>
          <t>Class 1-3 / Urban</t>
        </is>
      </c>
      <c r="L788" s="23" t="n">
        <v>2155</v>
      </c>
      <c r="M788" s="24" t="n">
        <v>4.03</v>
      </c>
      <c r="N788" s="23">
        <f>ROUND(L788/M788, 0)</f>
        <v/>
      </c>
      <c r="O788" s="23">
        <f>ROUND(N788*'Methodology &amp; Assumptions'!$B$8, 0)</f>
        <v/>
      </c>
      <c r="P788" s="44" t="inlineStr">
        <is>
          <t>Band n50 (1.5 GHz, 60 MHz)</t>
        </is>
      </c>
      <c r="Q788" s="38">
        <f>ROUNDUP(O788/'Methodology &amp; Assumptions'!$B$9, 0)</f>
        <v/>
      </c>
      <c r="R788" s="39" t="n">
        <v>1</v>
      </c>
      <c r="S788" s="25" t="n">
        <v>0.19</v>
      </c>
      <c r="T788" s="25" t="n">
        <v>0.34</v>
      </c>
      <c r="U788" s="42" t="inlineStr">
        <is>
          <t>Tier 1A (Direct Coloc, &lt;1 km)</t>
        </is>
      </c>
      <c r="V788" s="24" t="n">
        <v>100</v>
      </c>
      <c r="W788" s="24" t="n">
        <v>66.7</v>
      </c>
      <c r="X788" s="24" t="n">
        <v>58</v>
      </c>
      <c r="Y788" s="45">
        <f>ROUND((V788*'Methodology &amp; Assumptions'!$B$6)+(W788*'Methodology &amp; Assumptions'!$B$5)+(X788*'Methodology &amp; Assumptions'!$B$7), 2)</f>
        <v/>
      </c>
    </row>
    <row r="789" ht="19" customHeight="1">
      <c r="A789" s="35" t="n">
        <v>785</v>
      </c>
      <c r="B789" s="35" t="n">
        <v>785</v>
      </c>
      <c r="C789" s="36" t="inlineStr">
        <is>
          <t>0307111003</t>
        </is>
      </c>
      <c r="D789" s="36" t="inlineStr">
        <is>
          <t>Region III (Central Luzon)</t>
        </is>
      </c>
      <c r="E789" s="36" t="inlineStr">
        <is>
          <t>Zambales</t>
        </is>
      </c>
      <c r="F789" s="36" t="inlineStr">
        <is>
          <t>San Marcelino</t>
        </is>
      </c>
      <c r="G789" s="36" t="inlineStr">
        <is>
          <t>Burgos</t>
        </is>
      </c>
      <c r="H789" s="37" t="n">
        <v>14.979569</v>
      </c>
      <c r="I789" s="37" t="n">
        <v>120.152574</v>
      </c>
      <c r="J789" s="8" t="inlineStr">
        <is>
          <t>R</t>
        </is>
      </c>
      <c r="K789" s="36" t="inlineStr">
        <is>
          <t>Class 1-3 / Urban</t>
        </is>
      </c>
      <c r="L789" s="18" t="n">
        <v>2155</v>
      </c>
      <c r="M789" s="20" t="n">
        <v>4.05</v>
      </c>
      <c r="N789" s="18">
        <f>ROUND(L789/M789, 0)</f>
        <v/>
      </c>
      <c r="O789" s="18">
        <f>ROUND(N789*'Methodology &amp; Assumptions'!$B$8, 0)</f>
        <v/>
      </c>
      <c r="P789" s="8" t="inlineStr">
        <is>
          <t>Band n50 (1.5 GHz, 60 MHz)</t>
        </is>
      </c>
      <c r="Q789" s="38">
        <f>ROUNDUP(O789/'Methodology &amp; Assumptions'!$B$9, 0)</f>
        <v/>
      </c>
      <c r="R789" s="39" t="n">
        <v>1</v>
      </c>
      <c r="S789" s="21" t="n">
        <v>0.02</v>
      </c>
      <c r="T789" s="21" t="n">
        <v>0.65</v>
      </c>
      <c r="U789" s="36" t="inlineStr">
        <is>
          <t>Tier 1A (Direct Coloc, &lt;1 km)</t>
        </is>
      </c>
      <c r="V789" s="20" t="n">
        <v>100</v>
      </c>
      <c r="W789" s="20" t="n">
        <v>66.7</v>
      </c>
      <c r="X789" s="20" t="n">
        <v>58</v>
      </c>
      <c r="Y789" s="40">
        <f>ROUND((V789*'Methodology &amp; Assumptions'!$B$6)+(W789*'Methodology &amp; Assumptions'!$B$5)+(X789*'Methodology &amp; Assumptions'!$B$7), 2)</f>
        <v/>
      </c>
    </row>
    <row r="790" ht="19" customHeight="1">
      <c r="A790" s="41" t="n">
        <v>786</v>
      </c>
      <c r="B790" s="41" t="n">
        <v>786</v>
      </c>
      <c r="C790" s="42" t="inlineStr">
        <is>
          <t>0603047016</t>
        </is>
      </c>
      <c r="D790" s="42" t="inlineStr">
        <is>
          <t>Region VI (Western Visayas)</t>
        </is>
      </c>
      <c r="E790" s="42" t="inlineStr">
        <is>
          <t>Iloilo</t>
        </is>
      </c>
      <c r="F790" s="42" t="inlineStr">
        <is>
          <t>Zarraga</t>
        </is>
      </c>
      <c r="G790" s="42" t="inlineStr">
        <is>
          <t>Ilawod Poblacion</t>
        </is>
      </c>
      <c r="H790" s="43" t="n">
        <v>10.82233</v>
      </c>
      <c r="I790" s="43" t="n">
        <v>122.615028</v>
      </c>
      <c r="J790" s="44" t="inlineStr">
        <is>
          <t>R</t>
        </is>
      </c>
      <c r="K790" s="42" t="inlineStr">
        <is>
          <t>3rd</t>
        </is>
      </c>
      <c r="L790" s="23" t="n">
        <v>2676</v>
      </c>
      <c r="M790" s="24" t="n">
        <v>4.35</v>
      </c>
      <c r="N790" s="23">
        <f>ROUND(L790/M790, 0)</f>
        <v/>
      </c>
      <c r="O790" s="23">
        <f>ROUND(N790*'Methodology &amp; Assumptions'!$B$8, 0)</f>
        <v/>
      </c>
      <c r="P790" s="44" t="inlineStr">
        <is>
          <t>Band n50 (1.5 GHz, 60 MHz)</t>
        </is>
      </c>
      <c r="Q790" s="38">
        <f>ROUNDUP(O790/'Methodology &amp; Assumptions'!$B$9, 0)</f>
        <v/>
      </c>
      <c r="R790" s="39" t="n">
        <v>1</v>
      </c>
      <c r="S790" s="25" t="n">
        <v>1.04</v>
      </c>
      <c r="T790" s="25" t="n">
        <v>0.29</v>
      </c>
      <c r="U790" s="42" t="inlineStr">
        <is>
          <t>Tier 1B (Micro Drop, 1-3 km)</t>
        </is>
      </c>
      <c r="V790" s="24" t="n">
        <v>80.7</v>
      </c>
      <c r="W790" s="24" t="n">
        <v>73.09999999999999</v>
      </c>
      <c r="X790" s="24" t="n">
        <v>73</v>
      </c>
      <c r="Y790" s="45">
        <f>ROUND((V790*'Methodology &amp; Assumptions'!$B$6)+(W790*'Methodology &amp; Assumptions'!$B$5)+(X790*'Methodology &amp; Assumptions'!$B$7), 2)</f>
        <v/>
      </c>
    </row>
    <row r="791" ht="19" customHeight="1">
      <c r="A791" s="35" t="n">
        <v>787</v>
      </c>
      <c r="B791" s="35" t="n">
        <v>787</v>
      </c>
      <c r="C791" s="36" t="inlineStr">
        <is>
          <t>1004308043</t>
        </is>
      </c>
      <c r="D791" s="36" t="inlineStr">
        <is>
          <t>Region X (Northern Mindanao)</t>
        </is>
      </c>
      <c r="E791" s="36" t="inlineStr">
        <is>
          <t>Misamis Oriental</t>
        </is>
      </c>
      <c r="F791" s="36" t="inlineStr">
        <is>
          <t>City of Gingoog</t>
        </is>
      </c>
      <c r="G791" s="36" t="inlineStr">
        <is>
          <t>Barangay 19</t>
        </is>
      </c>
      <c r="H791" s="37" t="n">
        <v>8.826758</v>
      </c>
      <c r="I791" s="37" t="n">
        <v>125.110138</v>
      </c>
      <c r="J791" s="8" t="inlineStr">
        <is>
          <t>U</t>
        </is>
      </c>
      <c r="K791" s="36" t="inlineStr">
        <is>
          <t>Class 1-3 / Urban</t>
        </is>
      </c>
      <c r="L791" s="18" t="n">
        <v>5589</v>
      </c>
      <c r="M791" s="20" t="n">
        <v>4.54</v>
      </c>
      <c r="N791" s="18">
        <f>ROUND(L791/M791, 0)</f>
        <v/>
      </c>
      <c r="O791" s="18">
        <f>ROUND(N791*'Methodology &amp; Assumptions'!$B$8, 0)</f>
        <v/>
      </c>
      <c r="P791" s="8" t="inlineStr">
        <is>
          <t>Band n50 (1.5 GHz, 60 MHz)</t>
        </is>
      </c>
      <c r="Q791" s="38">
        <f>ROUNDUP(O791/'Methodology &amp; Assumptions'!$B$9, 0)</f>
        <v/>
      </c>
      <c r="R791" s="39" t="n">
        <v>1</v>
      </c>
      <c r="S791" s="21" t="n">
        <v>0.58</v>
      </c>
      <c r="T791" s="21" t="n">
        <v>0.21</v>
      </c>
      <c r="U791" s="36" t="inlineStr">
        <is>
          <t>Tier 1A (Direct Coloc, &lt;1 km)</t>
        </is>
      </c>
      <c r="V791" s="20" t="n">
        <v>92.3</v>
      </c>
      <c r="W791" s="20" t="n">
        <v>100</v>
      </c>
      <c r="X791" s="20" t="n">
        <v>28</v>
      </c>
      <c r="Y791" s="40">
        <f>ROUND((V791*'Methodology &amp; Assumptions'!$B$6)+(W791*'Methodology &amp; Assumptions'!$B$5)+(X791*'Methodology &amp; Assumptions'!$B$7), 2)</f>
        <v/>
      </c>
    </row>
    <row r="792" ht="19" customHeight="1">
      <c r="A792" s="41" t="n">
        <v>788</v>
      </c>
      <c r="B792" s="41" t="n">
        <v>788</v>
      </c>
      <c r="C792" s="42" t="inlineStr">
        <is>
          <t>0304930054</t>
        </is>
      </c>
      <c r="D792" s="42" t="inlineStr">
        <is>
          <t>Region III (Central Luzon)</t>
        </is>
      </c>
      <c r="E792" s="42" t="inlineStr">
        <is>
          <t>Nueva Ecija</t>
        </is>
      </c>
      <c r="F792" s="42" t="inlineStr">
        <is>
          <t>Talavera</t>
        </is>
      </c>
      <c r="G792" s="42" t="inlineStr">
        <is>
          <t>Sicsican Matanda</t>
        </is>
      </c>
      <c r="H792" s="43" t="n">
        <v>15.581233</v>
      </c>
      <c r="I792" s="43" t="n">
        <v>120.915832</v>
      </c>
      <c r="J792" s="44" t="inlineStr">
        <is>
          <t>R</t>
        </is>
      </c>
      <c r="K792" s="42" t="inlineStr">
        <is>
          <t>Class 1-3 / Urban</t>
        </is>
      </c>
      <c r="L792" s="23" t="n">
        <v>2411</v>
      </c>
      <c r="M792" s="24" t="n">
        <v>4.32</v>
      </c>
      <c r="N792" s="23">
        <f>ROUND(L792/M792, 0)</f>
        <v/>
      </c>
      <c r="O792" s="23">
        <f>ROUND(N792*'Methodology &amp; Assumptions'!$B$8, 0)</f>
        <v/>
      </c>
      <c r="P792" s="44" t="inlineStr">
        <is>
          <t>Band n50 (1.5 GHz, 60 MHz)</t>
        </is>
      </c>
      <c r="Q792" s="38">
        <f>ROUNDUP(O792/'Methodology &amp; Assumptions'!$B$9, 0)</f>
        <v/>
      </c>
      <c r="R792" s="39" t="n">
        <v>1</v>
      </c>
      <c r="S792" s="25" t="n">
        <v>0.38</v>
      </c>
      <c r="T792" s="25" t="n">
        <v>0.43</v>
      </c>
      <c r="U792" s="42" t="inlineStr">
        <is>
          <t>Tier 1A (Direct Coloc, &lt;1 km)</t>
        </is>
      </c>
      <c r="V792" s="24" t="n">
        <v>98</v>
      </c>
      <c r="W792" s="24" t="n">
        <v>68.5</v>
      </c>
      <c r="X792" s="24" t="n">
        <v>58</v>
      </c>
      <c r="Y792" s="45">
        <f>ROUND((V792*'Methodology &amp; Assumptions'!$B$6)+(W792*'Methodology &amp; Assumptions'!$B$5)+(X792*'Methodology &amp; Assumptions'!$B$7), 2)</f>
        <v/>
      </c>
    </row>
    <row r="793" ht="19" customHeight="1">
      <c r="A793" s="35" t="n">
        <v>789</v>
      </c>
      <c r="B793" s="35" t="n">
        <v>789</v>
      </c>
      <c r="C793" s="36" t="inlineStr">
        <is>
          <t>0402106050</t>
        </is>
      </c>
      <c r="D793" s="36" t="inlineStr">
        <is>
          <t>Region IV-A (CALABARZON)</t>
        </is>
      </c>
      <c r="E793" s="36" t="inlineStr">
        <is>
          <t>Cavite</t>
        </is>
      </c>
      <c r="F793" s="36" t="inlineStr">
        <is>
          <t>City of Dasmariñas</t>
        </is>
      </c>
      <c r="G793" s="36" t="inlineStr">
        <is>
          <t>Emmanuel Bergado II</t>
        </is>
      </c>
      <c r="H793" s="37" t="n">
        <v>14.315161</v>
      </c>
      <c r="I793" s="37" t="n">
        <v>120.961201</v>
      </c>
      <c r="J793" s="8" t="inlineStr">
        <is>
          <t>R</t>
        </is>
      </c>
      <c r="K793" s="36" t="inlineStr">
        <is>
          <t>Class 1-3 / Urban</t>
        </is>
      </c>
      <c r="L793" s="18" t="n">
        <v>2796</v>
      </c>
      <c r="M793" s="20" t="n">
        <v>4.49</v>
      </c>
      <c r="N793" s="18">
        <f>ROUND(L793/M793, 0)</f>
        <v/>
      </c>
      <c r="O793" s="18">
        <f>ROUND(N793*'Methodology &amp; Assumptions'!$B$8, 0)</f>
        <v/>
      </c>
      <c r="P793" s="8" t="inlineStr">
        <is>
          <t>Band n50 (1.5 GHz, 60 MHz)</t>
        </is>
      </c>
      <c r="Q793" s="38">
        <f>ROUNDUP(O793/'Methodology &amp; Assumptions'!$B$9, 0)</f>
        <v/>
      </c>
      <c r="R793" s="39" t="n">
        <v>1</v>
      </c>
      <c r="S793" s="21" t="n">
        <v>0.57</v>
      </c>
      <c r="T793" s="21" t="n">
        <v>1.7</v>
      </c>
      <c r="U793" s="36" t="inlineStr">
        <is>
          <t>Tier 1A (Direct Coloc, &lt;1 km)</t>
        </is>
      </c>
      <c r="V793" s="20" t="n">
        <v>92.7</v>
      </c>
      <c r="W793" s="20" t="n">
        <v>73.90000000000001</v>
      </c>
      <c r="X793" s="20" t="n">
        <v>58</v>
      </c>
      <c r="Y793" s="40">
        <f>ROUND((V793*'Methodology &amp; Assumptions'!$B$6)+(W793*'Methodology &amp; Assumptions'!$B$5)+(X793*'Methodology &amp; Assumptions'!$B$7), 2)</f>
        <v/>
      </c>
    </row>
    <row r="794" ht="19" customHeight="1">
      <c r="A794" s="41" t="n">
        <v>790</v>
      </c>
      <c r="B794" s="41" t="n">
        <v>790</v>
      </c>
      <c r="C794" s="42" t="inlineStr">
        <is>
          <t>0300804048</t>
        </is>
      </c>
      <c r="D794" s="42" t="inlineStr">
        <is>
          <t>Region III (Central Luzon)</t>
        </is>
      </c>
      <c r="E794" s="42" t="inlineStr">
        <is>
          <t>Bataan</t>
        </is>
      </c>
      <c r="F794" s="42" t="inlineStr">
        <is>
          <t>Dinalupihan</t>
        </is>
      </c>
      <c r="G794" s="42" t="inlineStr">
        <is>
          <t>Pentor</t>
        </is>
      </c>
      <c r="H794" s="43" t="n">
        <v>14.870867</v>
      </c>
      <c r="I794" s="43" t="n">
        <v>120.473313</v>
      </c>
      <c r="J794" s="44" t="inlineStr">
        <is>
          <t>R</t>
        </is>
      </c>
      <c r="K794" s="42" t="inlineStr">
        <is>
          <t>Class 1-3 / Urban</t>
        </is>
      </c>
      <c r="L794" s="23" t="n">
        <v>3283</v>
      </c>
      <c r="M794" s="24" t="n">
        <v>4.57</v>
      </c>
      <c r="N794" s="23">
        <f>ROUND(L794/M794, 0)</f>
        <v/>
      </c>
      <c r="O794" s="23">
        <f>ROUND(N794*'Methodology &amp; Assumptions'!$B$8, 0)</f>
        <v/>
      </c>
      <c r="P794" s="44" t="inlineStr">
        <is>
          <t>Band n50 (1.5 GHz, 60 MHz)</t>
        </is>
      </c>
      <c r="Q794" s="38">
        <f>ROUNDUP(O794/'Methodology &amp; Assumptions'!$B$9, 0)</f>
        <v/>
      </c>
      <c r="R794" s="39" t="n">
        <v>1</v>
      </c>
      <c r="S794" s="25" t="n">
        <v>0.86</v>
      </c>
      <c r="T794" s="25" t="n">
        <v>0.76</v>
      </c>
      <c r="U794" s="42" t="inlineStr">
        <is>
          <t>Tier 1A (Direct Coloc, &lt;1 km)</t>
        </is>
      </c>
      <c r="V794" s="24" t="n">
        <v>85.2</v>
      </c>
      <c r="W794" s="24" t="n">
        <v>81.3</v>
      </c>
      <c r="X794" s="24" t="n">
        <v>58</v>
      </c>
      <c r="Y794" s="45">
        <f>ROUND((V794*'Methodology &amp; Assumptions'!$B$6)+(W794*'Methodology &amp; Assumptions'!$B$5)+(X794*'Methodology &amp; Assumptions'!$B$7), 2)</f>
        <v/>
      </c>
    </row>
    <row r="795" ht="19" customHeight="1">
      <c r="A795" s="35" t="n">
        <v>791</v>
      </c>
      <c r="B795" s="35" t="n">
        <v>791</v>
      </c>
      <c r="C795" s="36" t="inlineStr">
        <is>
          <t>0401006022</t>
        </is>
      </c>
      <c r="D795" s="36" t="inlineStr">
        <is>
          <t>Region IV-A (CALABARZON)</t>
        </is>
      </c>
      <c r="E795" s="36" t="inlineStr">
        <is>
          <t>Batangas</t>
        </is>
      </c>
      <c r="F795" s="36" t="inlineStr">
        <is>
          <t>Bauan</t>
        </is>
      </c>
      <c r="G795" s="36" t="inlineStr">
        <is>
          <t>Manghinao Proper</t>
        </is>
      </c>
      <c r="H795" s="37" t="n">
        <v>13.794195</v>
      </c>
      <c r="I795" s="37" t="n">
        <v>120.997461</v>
      </c>
      <c r="J795" s="8" t="inlineStr">
        <is>
          <t>U</t>
        </is>
      </c>
      <c r="K795" s="36" t="inlineStr">
        <is>
          <t>Class 1-3 / Urban</t>
        </is>
      </c>
      <c r="L795" s="18" t="n">
        <v>10877</v>
      </c>
      <c r="M795" s="20" t="n">
        <v>4.62</v>
      </c>
      <c r="N795" s="18">
        <f>ROUND(L795/M795, 0)</f>
        <v/>
      </c>
      <c r="O795" s="18">
        <f>ROUND(N795*'Methodology &amp; Assumptions'!$B$8, 0)</f>
        <v/>
      </c>
      <c r="P795" s="8" t="inlineStr">
        <is>
          <t>Band n50 (1.5 GHz, 60 MHz)</t>
        </is>
      </c>
      <c r="Q795" s="38">
        <f>ROUNDUP(O795/'Methodology &amp; Assumptions'!$B$9, 0)</f>
        <v/>
      </c>
      <c r="R795" s="39" t="n">
        <v>1</v>
      </c>
      <c r="S795" s="21" t="n">
        <v>0.59</v>
      </c>
      <c r="T795" s="21" t="n">
        <v>0.32</v>
      </c>
      <c r="U795" s="36" t="inlineStr">
        <is>
          <t>Tier 1A (Direct Coloc, &lt;1 km)</t>
        </is>
      </c>
      <c r="V795" s="20" t="n">
        <v>92.2</v>
      </c>
      <c r="W795" s="20" t="n">
        <v>100</v>
      </c>
      <c r="X795" s="20" t="n">
        <v>28</v>
      </c>
      <c r="Y795" s="40">
        <f>ROUND((V795*'Methodology &amp; Assumptions'!$B$6)+(W795*'Methodology &amp; Assumptions'!$B$5)+(X795*'Methodology &amp; Assumptions'!$B$7), 2)</f>
        <v/>
      </c>
    </row>
    <row r="796" ht="19" customHeight="1">
      <c r="A796" s="41" t="n">
        <v>792</v>
      </c>
      <c r="B796" s="41" t="n">
        <v>792</v>
      </c>
      <c r="C796" s="42" t="inlineStr">
        <is>
          <t>0500517029</t>
        </is>
      </c>
      <c r="D796" s="42" t="inlineStr">
        <is>
          <t>Region V (Bicol Region)</t>
        </is>
      </c>
      <c r="E796" s="42" t="inlineStr">
        <is>
          <t>Albay</t>
        </is>
      </c>
      <c r="F796" s="42" t="inlineStr">
        <is>
          <t>City of Tabaco</t>
        </is>
      </c>
      <c r="G796" s="42" t="inlineStr">
        <is>
          <t>Pawa</t>
        </is>
      </c>
      <c r="H796" s="43" t="n">
        <v>13.365795</v>
      </c>
      <c r="I796" s="43" t="n">
        <v>123.722856</v>
      </c>
      <c r="J796" s="44" t="inlineStr">
        <is>
          <t>R</t>
        </is>
      </c>
      <c r="K796" s="42" t="inlineStr">
        <is>
          <t>Class 1-3 / Urban</t>
        </is>
      </c>
      <c r="L796" s="23" t="n">
        <v>4505</v>
      </c>
      <c r="M796" s="24" t="n">
        <v>4.67</v>
      </c>
      <c r="N796" s="23">
        <f>ROUND(L796/M796, 0)</f>
        <v/>
      </c>
      <c r="O796" s="23">
        <f>ROUND(N796*'Methodology &amp; Assumptions'!$B$8, 0)</f>
        <v/>
      </c>
      <c r="P796" s="44" t="inlineStr">
        <is>
          <t>Band n50 (1.5 GHz, 60 MHz)</t>
        </is>
      </c>
      <c r="Q796" s="38">
        <f>ROUNDUP(O796/'Methodology &amp; Assumptions'!$B$9, 0)</f>
        <v/>
      </c>
      <c r="R796" s="39" t="n">
        <v>1</v>
      </c>
      <c r="S796" s="25" t="n">
        <v>1.72</v>
      </c>
      <c r="T796" s="25" t="n">
        <v>0.36</v>
      </c>
      <c r="U796" s="42" t="inlineStr">
        <is>
          <t>Tier 1B (Micro Drop, 1-3 km)</t>
        </is>
      </c>
      <c r="V796" s="24" t="n">
        <v>66.5</v>
      </c>
      <c r="W796" s="24" t="n">
        <v>100</v>
      </c>
      <c r="X796" s="24" t="n">
        <v>58</v>
      </c>
      <c r="Y796" s="45">
        <f>ROUND((V796*'Methodology &amp; Assumptions'!$B$6)+(W796*'Methodology &amp; Assumptions'!$B$5)+(X796*'Methodology &amp; Assumptions'!$B$7), 2)</f>
        <v/>
      </c>
    </row>
    <row r="797" ht="19" customHeight="1">
      <c r="A797" s="35" t="n">
        <v>793</v>
      </c>
      <c r="B797" s="35" t="n">
        <v>793</v>
      </c>
      <c r="C797" s="36" t="inlineStr">
        <is>
          <t>0730600025</t>
        </is>
      </c>
      <c r="D797" s="36" t="inlineStr">
        <is>
          <t>Region VII (Central Visayas)</t>
        </is>
      </c>
      <c r="E797" s="36" t="inlineStr">
        <is>
          <t>Cebu</t>
        </is>
      </c>
      <c r="F797" s="36" t="inlineStr">
        <is>
          <t>City of Cebu</t>
        </is>
      </c>
      <c r="G797" s="36" t="inlineStr">
        <is>
          <t>Day-as</t>
        </is>
      </c>
      <c r="H797" s="37" t="n">
        <v>10.301776</v>
      </c>
      <c r="I797" s="37" t="n">
        <v>123.902066</v>
      </c>
      <c r="J797" s="8" t="inlineStr">
        <is>
          <t>U</t>
        </is>
      </c>
      <c r="K797" s="36" t="inlineStr">
        <is>
          <t>Class 1-3 / Urban</t>
        </is>
      </c>
      <c r="L797" s="18" t="n">
        <v>3815</v>
      </c>
      <c r="M797" s="20" t="n">
        <v>4.42</v>
      </c>
      <c r="N797" s="18">
        <f>ROUND(L797/M797, 0)</f>
        <v/>
      </c>
      <c r="O797" s="18">
        <f>ROUND(N797*'Methodology &amp; Assumptions'!$B$8, 0)</f>
        <v/>
      </c>
      <c r="P797" s="8" t="inlineStr">
        <is>
          <t>Band n50 (1.5 GHz, 60 MHz)</t>
        </is>
      </c>
      <c r="Q797" s="38">
        <f>ROUNDUP(O797/'Methodology &amp; Assumptions'!$B$9, 0)</f>
        <v/>
      </c>
      <c r="R797" s="39" t="n">
        <v>1</v>
      </c>
      <c r="S797" s="21" t="n">
        <v>0.35</v>
      </c>
      <c r="T797" s="21" t="n">
        <v>0.23</v>
      </c>
      <c r="U797" s="36" t="inlineStr">
        <is>
          <t>Tier 1A (Direct Coloc, &lt;1 km)</t>
        </is>
      </c>
      <c r="V797" s="20" t="n">
        <v>99.09999999999999</v>
      </c>
      <c r="W797" s="20" t="n">
        <v>93.09999999999999</v>
      </c>
      <c r="X797" s="20" t="n">
        <v>28</v>
      </c>
      <c r="Y797" s="40">
        <f>ROUND((V797*'Methodology &amp; Assumptions'!$B$6)+(W797*'Methodology &amp; Assumptions'!$B$5)+(X797*'Methodology &amp; Assumptions'!$B$7), 2)</f>
        <v/>
      </c>
    </row>
    <row r="798" ht="19" customHeight="1">
      <c r="A798" s="41" t="n">
        <v>794</v>
      </c>
      <c r="B798" s="41" t="n">
        <v>794</v>
      </c>
      <c r="C798" s="42" t="inlineStr">
        <is>
          <t>0205005002</t>
        </is>
      </c>
      <c r="D798" s="42" t="inlineStr">
        <is>
          <t>Region II (Cagayan Valley)</t>
        </is>
      </c>
      <c r="E798" s="42" t="inlineStr">
        <is>
          <t>Nueva Vizcaya</t>
        </is>
      </c>
      <c r="F798" s="42" t="inlineStr">
        <is>
          <t>Bayombong</t>
        </is>
      </c>
      <c r="G798" s="42" t="inlineStr">
        <is>
          <t>Bonfal Proper</t>
        </is>
      </c>
      <c r="H798" s="43" t="n">
        <v>16.49928</v>
      </c>
      <c r="I798" s="43" t="n">
        <v>121.176844</v>
      </c>
      <c r="J798" s="44" t="inlineStr">
        <is>
          <t>R</t>
        </is>
      </c>
      <c r="K798" s="42" t="inlineStr">
        <is>
          <t>Class 1-3 / Urban</t>
        </is>
      </c>
      <c r="L798" s="23" t="n">
        <v>4923</v>
      </c>
      <c r="M798" s="24" t="n">
        <v>4.19</v>
      </c>
      <c r="N798" s="23">
        <f>ROUND(L798/M798, 0)</f>
        <v/>
      </c>
      <c r="O798" s="23">
        <f>ROUND(N798*'Methodology &amp; Assumptions'!$B$8, 0)</f>
        <v/>
      </c>
      <c r="P798" s="44" t="inlineStr">
        <is>
          <t>Band n50 (1.5 GHz, 60 MHz)</t>
        </is>
      </c>
      <c r="Q798" s="38">
        <f>ROUNDUP(O798/'Methodology &amp; Assumptions'!$B$9, 0)</f>
        <v/>
      </c>
      <c r="R798" s="39" t="n">
        <v>1</v>
      </c>
      <c r="S798" s="25" t="n">
        <v>1.72</v>
      </c>
      <c r="T798" s="25" t="n">
        <v>0.63</v>
      </c>
      <c r="U798" s="42" t="inlineStr">
        <is>
          <t>Tier 1B (Micro Drop, 1-3 km)</t>
        </is>
      </c>
      <c r="V798" s="24" t="n">
        <v>66.40000000000001</v>
      </c>
      <c r="W798" s="24" t="n">
        <v>100</v>
      </c>
      <c r="X798" s="24" t="n">
        <v>58</v>
      </c>
      <c r="Y798" s="45">
        <f>ROUND((V798*'Methodology &amp; Assumptions'!$B$6)+(W798*'Methodology &amp; Assumptions'!$B$5)+(X798*'Methodology &amp; Assumptions'!$B$7), 2)</f>
        <v/>
      </c>
    </row>
    <row r="799" ht="19" customHeight="1">
      <c r="A799" s="35" t="n">
        <v>795</v>
      </c>
      <c r="B799" s="35" t="n">
        <v>795</v>
      </c>
      <c r="C799" s="36" t="inlineStr">
        <is>
          <t>0405811010</t>
        </is>
      </c>
      <c r="D799" s="36" t="inlineStr">
        <is>
          <t>Region IV-A (CALABARZON)</t>
        </is>
      </c>
      <c r="E799" s="36" t="inlineStr">
        <is>
          <t>Rizal</t>
        </is>
      </c>
      <c r="F799" s="36" t="inlineStr">
        <is>
          <t>San Mateo</t>
        </is>
      </c>
      <c r="G799" s="36" t="inlineStr">
        <is>
          <t>Santa Ana</t>
        </is>
      </c>
      <c r="H799" s="37" t="n">
        <v>14.692137</v>
      </c>
      <c r="I799" s="37" t="n">
        <v>121.115327</v>
      </c>
      <c r="J799" s="8" t="inlineStr">
        <is>
          <t>U</t>
        </is>
      </c>
      <c r="K799" s="36" t="inlineStr">
        <is>
          <t>Class 1-3 / Urban</t>
        </is>
      </c>
      <c r="L799" s="18" t="n">
        <v>10862</v>
      </c>
      <c r="M799" s="20" t="n">
        <v>4.39</v>
      </c>
      <c r="N799" s="18">
        <f>ROUND(L799/M799, 0)</f>
        <v/>
      </c>
      <c r="O799" s="18">
        <f>ROUND(N799*'Methodology &amp; Assumptions'!$B$8, 0)</f>
        <v/>
      </c>
      <c r="P799" s="8" t="inlineStr">
        <is>
          <t>Band n50 (1.5 GHz, 60 MHz)</t>
        </is>
      </c>
      <c r="Q799" s="38">
        <f>ROUNDUP(O799/'Methodology &amp; Assumptions'!$B$9, 0)</f>
        <v/>
      </c>
      <c r="R799" s="39" t="n">
        <v>1</v>
      </c>
      <c r="S799" s="21" t="n">
        <v>0.59</v>
      </c>
      <c r="T799" s="21" t="n">
        <v>0.35</v>
      </c>
      <c r="U799" s="36" t="inlineStr">
        <is>
          <t>Tier 1A (Direct Coloc, &lt;1 km)</t>
        </is>
      </c>
      <c r="V799" s="20" t="n">
        <v>92.09999999999999</v>
      </c>
      <c r="W799" s="20" t="n">
        <v>100</v>
      </c>
      <c r="X799" s="20" t="n">
        <v>28</v>
      </c>
      <c r="Y799" s="40">
        <f>ROUND((V799*'Methodology &amp; Assumptions'!$B$6)+(W799*'Methodology &amp; Assumptions'!$B$5)+(X799*'Methodology &amp; Assumptions'!$B$7), 2)</f>
        <v/>
      </c>
    </row>
    <row r="800" ht="19" customHeight="1">
      <c r="A800" s="41" t="n">
        <v>796</v>
      </c>
      <c r="B800" s="41" t="n">
        <v>796</v>
      </c>
      <c r="C800" s="42" t="inlineStr">
        <is>
          <t>0501727005</t>
        </is>
      </c>
      <c r="D800" s="42" t="inlineStr">
        <is>
          <t>Region V (Bicol Region)</t>
        </is>
      </c>
      <c r="E800" s="42" t="inlineStr">
        <is>
          <t>Camarines Sur</t>
        </is>
      </c>
      <c r="F800" s="42" t="inlineStr">
        <is>
          <t>Pasacao</t>
        </is>
      </c>
      <c r="G800" s="42" t="inlineStr">
        <is>
          <t>Caranan</t>
        </is>
      </c>
      <c r="H800" s="43" t="n">
        <v>13.517007</v>
      </c>
      <c r="I800" s="43" t="n">
        <v>123.015534</v>
      </c>
      <c r="J800" s="44" t="inlineStr">
        <is>
          <t>U</t>
        </is>
      </c>
      <c r="K800" s="42" t="inlineStr">
        <is>
          <t>Class 1-3 / Urban</t>
        </is>
      </c>
      <c r="L800" s="23" t="n">
        <v>10460</v>
      </c>
      <c r="M800" s="24" t="n">
        <v>4.9</v>
      </c>
      <c r="N800" s="23">
        <f>ROUND(L800/M800, 0)</f>
        <v/>
      </c>
      <c r="O800" s="23">
        <f>ROUND(N800*'Methodology &amp; Assumptions'!$B$8, 0)</f>
        <v/>
      </c>
      <c r="P800" s="44" t="inlineStr">
        <is>
          <t>Band n50 (1.5 GHz, 60 MHz)</t>
        </is>
      </c>
      <c r="Q800" s="38">
        <f>ROUNDUP(O800/'Methodology &amp; Assumptions'!$B$9, 0)</f>
        <v/>
      </c>
      <c r="R800" s="39" t="n">
        <v>1</v>
      </c>
      <c r="S800" s="25" t="n">
        <v>0.59</v>
      </c>
      <c r="T800" s="25" t="n">
        <v>0.59</v>
      </c>
      <c r="U800" s="42" t="inlineStr">
        <is>
          <t>Tier 1A (Direct Coloc, &lt;1 km)</t>
        </is>
      </c>
      <c r="V800" s="24" t="n">
        <v>92.09999999999999</v>
      </c>
      <c r="W800" s="24" t="n">
        <v>100</v>
      </c>
      <c r="X800" s="24" t="n">
        <v>28</v>
      </c>
      <c r="Y800" s="45">
        <f>ROUND((V800*'Methodology &amp; Assumptions'!$B$6)+(W800*'Methodology &amp; Assumptions'!$B$5)+(X800*'Methodology &amp; Assumptions'!$B$7), 2)</f>
        <v/>
      </c>
    </row>
    <row r="801" ht="19" customHeight="1">
      <c r="A801" s="35" t="n">
        <v>797</v>
      </c>
      <c r="B801" s="35" t="n">
        <v>797</v>
      </c>
      <c r="C801" s="36" t="inlineStr">
        <is>
          <t>0105505014</t>
        </is>
      </c>
      <c r="D801" s="36" t="inlineStr">
        <is>
          <t>Region I (Ilocos Region)</t>
        </is>
      </c>
      <c r="E801" s="36" t="inlineStr">
        <is>
          <t>Pangasinan</t>
        </is>
      </c>
      <c r="F801" s="36" t="inlineStr">
        <is>
          <t>Anda</t>
        </is>
      </c>
      <c r="G801" s="36" t="inlineStr">
        <is>
          <t>Poblacion</t>
        </is>
      </c>
      <c r="H801" s="37" t="n">
        <v>16.28913</v>
      </c>
      <c r="I801" s="37" t="n">
        <v>119.94815</v>
      </c>
      <c r="J801" s="8" t="inlineStr">
        <is>
          <t>U</t>
        </is>
      </c>
      <c r="K801" s="36" t="inlineStr">
        <is>
          <t>Class 1-3 / Urban</t>
        </is>
      </c>
      <c r="L801" s="18" t="n">
        <v>3793</v>
      </c>
      <c r="M801" s="20" t="n">
        <v>4.39</v>
      </c>
      <c r="N801" s="18">
        <f>ROUND(L801/M801, 0)</f>
        <v/>
      </c>
      <c r="O801" s="18">
        <f>ROUND(N801*'Methodology &amp; Assumptions'!$B$8, 0)</f>
        <v/>
      </c>
      <c r="P801" s="8" t="inlineStr">
        <is>
          <t>Band n50 (1.5 GHz, 60 MHz)</t>
        </is>
      </c>
      <c r="Q801" s="38">
        <f>ROUNDUP(O801/'Methodology &amp; Assumptions'!$B$9, 0)</f>
        <v/>
      </c>
      <c r="R801" s="39" t="n">
        <v>1</v>
      </c>
      <c r="S801" s="21" t="n">
        <v>0.03</v>
      </c>
      <c r="T801" s="21" t="n">
        <v>5.69</v>
      </c>
      <c r="U801" s="36" t="inlineStr">
        <is>
          <t>Tier 1A (Direct Coloc, &lt;1 km)</t>
        </is>
      </c>
      <c r="V801" s="20" t="n">
        <v>99</v>
      </c>
      <c r="W801" s="20" t="n">
        <v>93.09999999999999</v>
      </c>
      <c r="X801" s="20" t="n">
        <v>28</v>
      </c>
      <c r="Y801" s="40">
        <f>ROUND((V801*'Methodology &amp; Assumptions'!$B$6)+(W801*'Methodology &amp; Assumptions'!$B$5)+(X801*'Methodology &amp; Assumptions'!$B$7), 2)</f>
        <v/>
      </c>
    </row>
    <row r="802" ht="19" customHeight="1">
      <c r="A802" s="41" t="n">
        <v>798</v>
      </c>
      <c r="B802" s="41" t="n">
        <v>798</v>
      </c>
      <c r="C802" s="42" t="inlineStr">
        <is>
          <t>0402120005</t>
        </is>
      </c>
      <c r="D802" s="42" t="inlineStr">
        <is>
          <t>Region IV-A (CALABARZON)</t>
        </is>
      </c>
      <c r="E802" s="42" t="inlineStr">
        <is>
          <t>Cavite</t>
        </is>
      </c>
      <c r="F802" s="42" t="inlineStr">
        <is>
          <t>Tanza</t>
        </is>
      </c>
      <c r="G802" s="42" t="inlineStr">
        <is>
          <t>Bucal</t>
        </is>
      </c>
      <c r="H802" s="43" t="n">
        <v>14.391397</v>
      </c>
      <c r="I802" s="43" t="n">
        <v>120.862837</v>
      </c>
      <c r="J802" s="44" t="inlineStr">
        <is>
          <t>U</t>
        </is>
      </c>
      <c r="K802" s="42" t="inlineStr">
        <is>
          <t>Class 1-3 / Urban</t>
        </is>
      </c>
      <c r="L802" s="23" t="n">
        <v>16382</v>
      </c>
      <c r="M802" s="24" t="n">
        <v>4.49</v>
      </c>
      <c r="N802" s="23">
        <f>ROUND(L802/M802, 0)</f>
        <v/>
      </c>
      <c r="O802" s="23">
        <f>ROUND(N802*'Methodology &amp; Assumptions'!$B$8, 0)</f>
        <v/>
      </c>
      <c r="P802" s="44" t="inlineStr">
        <is>
          <t>Band n50 (1.5 GHz, 60 MHz)</t>
        </is>
      </c>
      <c r="Q802" s="38">
        <f>ROUNDUP(O802/'Methodology &amp; Assumptions'!$B$9, 0)</f>
        <v/>
      </c>
      <c r="R802" s="39" t="n">
        <v>1</v>
      </c>
      <c r="S802" s="25" t="n">
        <v>0.59</v>
      </c>
      <c r="T802" s="25" t="n">
        <v>0.5</v>
      </c>
      <c r="U802" s="42" t="inlineStr">
        <is>
          <t>Tier 1A (Direct Coloc, &lt;1 km)</t>
        </is>
      </c>
      <c r="V802" s="24" t="n">
        <v>92</v>
      </c>
      <c r="W802" s="24" t="n">
        <v>100</v>
      </c>
      <c r="X802" s="24" t="n">
        <v>28</v>
      </c>
      <c r="Y802" s="45">
        <f>ROUND((V802*'Methodology &amp; Assumptions'!$B$6)+(W802*'Methodology &amp; Assumptions'!$B$5)+(X802*'Methodology &amp; Assumptions'!$B$7), 2)</f>
        <v/>
      </c>
    </row>
    <row r="803" ht="19" customHeight="1">
      <c r="A803" s="35" t="n">
        <v>799</v>
      </c>
      <c r="B803" s="35" t="n">
        <v>799</v>
      </c>
      <c r="C803" s="36" t="inlineStr">
        <is>
          <t>1600301003</t>
        </is>
      </c>
      <c r="D803" s="36" t="inlineStr">
        <is>
          <t>Region XIII (Caraga)</t>
        </is>
      </c>
      <c r="E803" s="36" t="inlineStr">
        <is>
          <t>Agusan del Sur</t>
        </is>
      </c>
      <c r="F803" s="36" t="inlineStr">
        <is>
          <t>City of Bayugan</t>
        </is>
      </c>
      <c r="G803" s="36" t="inlineStr">
        <is>
          <t>Fili</t>
        </is>
      </c>
      <c r="H803" s="37" t="n">
        <v>8.709707999999999</v>
      </c>
      <c r="I803" s="37" t="n">
        <v>125.7695</v>
      </c>
      <c r="J803" s="8" t="inlineStr">
        <is>
          <t>R</t>
        </is>
      </c>
      <c r="K803" s="36" t="inlineStr">
        <is>
          <t>Class 1-3 / Urban</t>
        </is>
      </c>
      <c r="L803" s="18" t="n">
        <v>3662</v>
      </c>
      <c r="M803" s="20" t="n">
        <v>4.1</v>
      </c>
      <c r="N803" s="18">
        <f>ROUND(L803/M803, 0)</f>
        <v/>
      </c>
      <c r="O803" s="18">
        <f>ROUND(N803*'Methodology &amp; Assumptions'!$B$8, 0)</f>
        <v/>
      </c>
      <c r="P803" s="8" t="inlineStr">
        <is>
          <t>Band n50 (1.5 GHz, 60 MHz)</t>
        </is>
      </c>
      <c r="Q803" s="38">
        <f>ROUNDUP(O803/'Methodology &amp; Assumptions'!$B$9, 0)</f>
        <v/>
      </c>
      <c r="R803" s="39" t="n">
        <v>1</v>
      </c>
      <c r="S803" s="21" t="n">
        <v>1.49</v>
      </c>
      <c r="T803" s="21" t="n">
        <v>0.32</v>
      </c>
      <c r="U803" s="36" t="inlineStr">
        <is>
          <t>Tier 1B (Micro Drop, 1-3 km)</t>
        </is>
      </c>
      <c r="V803" s="20" t="n">
        <v>70.8</v>
      </c>
      <c r="W803" s="20" t="n">
        <v>95.5</v>
      </c>
      <c r="X803" s="20" t="n">
        <v>58</v>
      </c>
      <c r="Y803" s="40">
        <f>ROUND((V803*'Methodology &amp; Assumptions'!$B$6)+(W803*'Methodology &amp; Assumptions'!$B$5)+(X803*'Methodology &amp; Assumptions'!$B$7), 2)</f>
        <v/>
      </c>
    </row>
    <row r="804" ht="19" customHeight="1">
      <c r="A804" s="41" t="n">
        <v>800</v>
      </c>
      <c r="B804" s="41" t="n">
        <v>800</v>
      </c>
      <c r="C804" s="42" t="inlineStr">
        <is>
          <t>0831600108</t>
        </is>
      </c>
      <c r="D804" s="42" t="inlineStr">
        <is>
          <t>Region VIII (Eastern Visayas)</t>
        </is>
      </c>
      <c r="E804" s="42" t="inlineStr">
        <is>
          <t>Leyte</t>
        </is>
      </c>
      <c r="F804" s="42" t="inlineStr">
        <is>
          <t>City of Tacloban</t>
        </is>
      </c>
      <c r="G804" s="42" t="inlineStr">
        <is>
          <t>Barangay 77</t>
        </is>
      </c>
      <c r="H804" s="43" t="n">
        <v>11.210276</v>
      </c>
      <c r="I804" s="43" t="n">
        <v>125.007446</v>
      </c>
      <c r="J804" s="44" t="inlineStr">
        <is>
          <t>U</t>
        </is>
      </c>
      <c r="K804" s="42" t="inlineStr">
        <is>
          <t>Class 1-3 / Urban</t>
        </is>
      </c>
      <c r="L804" s="23" t="n">
        <v>3619</v>
      </c>
      <c r="M804" s="24" t="n">
        <v>4.24</v>
      </c>
      <c r="N804" s="23">
        <f>ROUND(L804/M804, 0)</f>
        <v/>
      </c>
      <c r="O804" s="23">
        <f>ROUND(N804*'Methodology &amp; Assumptions'!$B$8, 0)</f>
        <v/>
      </c>
      <c r="P804" s="44" t="inlineStr">
        <is>
          <t>Band n50 (1.5 GHz, 60 MHz)</t>
        </is>
      </c>
      <c r="Q804" s="38">
        <f>ROUNDUP(O804/'Methodology &amp; Assumptions'!$B$9, 0)</f>
        <v/>
      </c>
      <c r="R804" s="39" t="n">
        <v>1</v>
      </c>
      <c r="S804" s="25" t="n">
        <v>0.32</v>
      </c>
      <c r="T804" s="25" t="n">
        <v>0.2</v>
      </c>
      <c r="U804" s="42" t="inlineStr">
        <is>
          <t>Tier 1A (Direct Coloc, &lt;1 km)</t>
        </is>
      </c>
      <c r="V804" s="24" t="n">
        <v>99.7</v>
      </c>
      <c r="W804" s="24" t="n">
        <v>92.3</v>
      </c>
      <c r="X804" s="24" t="n">
        <v>28</v>
      </c>
      <c r="Y804" s="45">
        <f>ROUND((V804*'Methodology &amp; Assumptions'!$B$6)+(W804*'Methodology &amp; Assumptions'!$B$5)+(X804*'Methodology &amp; Assumptions'!$B$7), 2)</f>
        <v/>
      </c>
    </row>
    <row r="805" ht="19" customHeight="1">
      <c r="A805" s="35" t="n">
        <v>801</v>
      </c>
      <c r="B805" s="35" t="n">
        <v>801</v>
      </c>
      <c r="C805" s="36" t="inlineStr">
        <is>
          <t>0604530015</t>
        </is>
      </c>
      <c r="D805" s="36" t="inlineStr">
        <is>
          <t>Region VI (Western Visayas)</t>
        </is>
      </c>
      <c r="E805" s="36" t="inlineStr">
        <is>
          <t>Negros Occidental</t>
        </is>
      </c>
      <c r="F805" s="36" t="inlineStr">
        <is>
          <t>Valladolid</t>
        </is>
      </c>
      <c r="G805" s="36" t="inlineStr">
        <is>
          <t>Poblacion</t>
        </is>
      </c>
      <c r="H805" s="37" t="n">
        <v>10.463759</v>
      </c>
      <c r="I805" s="37" t="n">
        <v>122.822648</v>
      </c>
      <c r="J805" s="8" t="inlineStr">
        <is>
          <t>U</t>
        </is>
      </c>
      <c r="K805" s="36" t="inlineStr">
        <is>
          <t>2nd</t>
        </is>
      </c>
      <c r="L805" s="18" t="n">
        <v>3618</v>
      </c>
      <c r="M805" s="20" t="n">
        <v>4.26</v>
      </c>
      <c r="N805" s="18">
        <f>ROUND(L805/M805, 0)</f>
        <v/>
      </c>
      <c r="O805" s="18">
        <f>ROUND(N805*'Methodology &amp; Assumptions'!$B$8, 0)</f>
        <v/>
      </c>
      <c r="P805" s="8" t="inlineStr">
        <is>
          <t>Band n50 (1.5 GHz, 60 MHz)</t>
        </is>
      </c>
      <c r="Q805" s="38">
        <f>ROUNDUP(O805/'Methodology &amp; Assumptions'!$B$9, 0)</f>
        <v/>
      </c>
      <c r="R805" s="39" t="n">
        <v>1</v>
      </c>
      <c r="S805" s="21" t="n">
        <v>0.27</v>
      </c>
      <c r="T805" s="21" t="n">
        <v>0.13</v>
      </c>
      <c r="U805" s="36" t="inlineStr">
        <is>
          <t>Tier 1A (Direct Coloc, &lt;1 km)</t>
        </is>
      </c>
      <c r="V805" s="20" t="n">
        <v>100</v>
      </c>
      <c r="W805" s="20" t="n">
        <v>92</v>
      </c>
      <c r="X805" s="20" t="n">
        <v>28</v>
      </c>
      <c r="Y805" s="40">
        <f>ROUND((V805*'Methodology &amp; Assumptions'!$B$6)+(W805*'Methodology &amp; Assumptions'!$B$5)+(X805*'Methodology &amp; Assumptions'!$B$7), 2)</f>
        <v/>
      </c>
    </row>
    <row r="806" ht="19" customHeight="1">
      <c r="A806" s="41" t="n">
        <v>802</v>
      </c>
      <c r="B806" s="41" t="n">
        <v>802</v>
      </c>
      <c r="C806" s="42" t="inlineStr">
        <is>
          <t>1102407015</t>
        </is>
      </c>
      <c r="D806" s="42" t="inlineStr">
        <is>
          <t>Region XI (Davao Region)</t>
        </is>
      </c>
      <c r="E806" s="42" t="inlineStr">
        <is>
          <t>Davao del Sur</t>
        </is>
      </c>
      <c r="F806" s="42" t="inlineStr">
        <is>
          <t>Magsaysay</t>
        </is>
      </c>
      <c r="G806" s="42" t="inlineStr">
        <is>
          <t>Poblacion</t>
        </is>
      </c>
      <c r="H806" s="43" t="n">
        <v>6.75119</v>
      </c>
      <c r="I806" s="43" t="n">
        <v>125.15138</v>
      </c>
      <c r="J806" s="44" t="inlineStr">
        <is>
          <t>U</t>
        </is>
      </c>
      <c r="K806" s="42" t="inlineStr">
        <is>
          <t>Class 1-3 / Urban</t>
        </is>
      </c>
      <c r="L806" s="23" t="n">
        <v>7731</v>
      </c>
      <c r="M806" s="24" t="n">
        <v>4.1</v>
      </c>
      <c r="N806" s="23">
        <f>ROUND(L806/M806, 0)</f>
        <v/>
      </c>
      <c r="O806" s="23">
        <f>ROUND(N806*'Methodology &amp; Assumptions'!$B$8, 0)</f>
        <v/>
      </c>
      <c r="P806" s="44" t="inlineStr">
        <is>
          <t>Band n50 (1.5 GHz, 60 MHz)</t>
        </is>
      </c>
      <c r="Q806" s="38">
        <f>ROUNDUP(O806/'Methodology &amp; Assumptions'!$B$9, 0)</f>
        <v/>
      </c>
      <c r="R806" s="39" t="n">
        <v>1</v>
      </c>
      <c r="S806" s="25" t="n">
        <v>0.25</v>
      </c>
      <c r="T806" s="25" t="n">
        <v>18.64</v>
      </c>
      <c r="U806" s="42" t="inlineStr">
        <is>
          <t>Tier 1A (Direct Coloc, &lt;1 km)</t>
        </is>
      </c>
      <c r="V806" s="24" t="n">
        <v>92</v>
      </c>
      <c r="W806" s="24" t="n">
        <v>100</v>
      </c>
      <c r="X806" s="24" t="n">
        <v>28</v>
      </c>
      <c r="Y806" s="45">
        <f>ROUND((V806*'Methodology &amp; Assumptions'!$B$6)+(W806*'Methodology &amp; Assumptions'!$B$5)+(X806*'Methodology &amp; Assumptions'!$B$7), 2)</f>
        <v/>
      </c>
    </row>
    <row r="807" ht="19" customHeight="1">
      <c r="A807" s="35" t="n">
        <v>803</v>
      </c>
      <c r="B807" s="35" t="n">
        <v>803</v>
      </c>
      <c r="C807" s="36" t="inlineStr">
        <is>
          <t>0300809001</t>
        </is>
      </c>
      <c r="D807" s="36" t="inlineStr">
        <is>
          <t>Region III (Central Luzon)</t>
        </is>
      </c>
      <c r="E807" s="36" t="inlineStr">
        <is>
          <t>Bataan</t>
        </is>
      </c>
      <c r="F807" s="36" t="inlineStr">
        <is>
          <t>Orani</t>
        </is>
      </c>
      <c r="G807" s="36" t="inlineStr">
        <is>
          <t>Bagong Paraiso</t>
        </is>
      </c>
      <c r="H807" s="37" t="n">
        <v>14.799228</v>
      </c>
      <c r="I807" s="37" t="n">
        <v>120.529912</v>
      </c>
      <c r="J807" s="8" t="inlineStr">
        <is>
          <t>R</t>
        </is>
      </c>
      <c r="K807" s="36" t="inlineStr">
        <is>
          <t>Class 1-3 / Urban</t>
        </is>
      </c>
      <c r="L807" s="18" t="n">
        <v>3119</v>
      </c>
      <c r="M807" s="20" t="n">
        <v>4.57</v>
      </c>
      <c r="N807" s="18">
        <f>ROUND(L807/M807, 0)</f>
        <v/>
      </c>
      <c r="O807" s="18">
        <f>ROUND(N807*'Methodology &amp; Assumptions'!$B$8, 0)</f>
        <v/>
      </c>
      <c r="P807" s="8" t="inlineStr">
        <is>
          <t>Band n50 (1.5 GHz, 60 MHz)</t>
        </is>
      </c>
      <c r="Q807" s="38">
        <f>ROUNDUP(O807/'Methodology &amp; Assumptions'!$B$9, 0)</f>
        <v/>
      </c>
      <c r="R807" s="39" t="n">
        <v>1</v>
      </c>
      <c r="S807" s="21" t="n">
        <v>0.76</v>
      </c>
      <c r="T807" s="21" t="n">
        <v>0.18</v>
      </c>
      <c r="U807" s="36" t="inlineStr">
        <is>
          <t>Tier 1A (Direct Coloc, &lt;1 km)</t>
        </is>
      </c>
      <c r="V807" s="20" t="n">
        <v>87.5</v>
      </c>
      <c r="W807" s="20" t="n">
        <v>78.7</v>
      </c>
      <c r="X807" s="20" t="n">
        <v>58</v>
      </c>
      <c r="Y807" s="40">
        <f>ROUND((V807*'Methodology &amp; Assumptions'!$B$6)+(W807*'Methodology &amp; Assumptions'!$B$5)+(X807*'Methodology &amp; Assumptions'!$B$7), 2)</f>
        <v/>
      </c>
    </row>
    <row r="808" ht="19" customHeight="1">
      <c r="A808" s="41" t="n">
        <v>804</v>
      </c>
      <c r="B808" s="41" t="n">
        <v>804</v>
      </c>
      <c r="C808" s="42" t="inlineStr">
        <is>
          <t>0306916059</t>
        </is>
      </c>
      <c r="D808" s="42" t="inlineStr">
        <is>
          <t>Region III (Central Luzon)</t>
        </is>
      </c>
      <c r="E808" s="42" t="inlineStr">
        <is>
          <t>Tarlac</t>
        </is>
      </c>
      <c r="F808" s="42" t="inlineStr">
        <is>
          <t>City of Tarlac</t>
        </is>
      </c>
      <c r="G808" s="42" t="inlineStr">
        <is>
          <t>San Francisco</t>
        </is>
      </c>
      <c r="H808" s="43" t="n">
        <v>15.423669</v>
      </c>
      <c r="I808" s="43" t="n">
        <v>120.594519</v>
      </c>
      <c r="J808" s="44" t="inlineStr">
        <is>
          <t>R</t>
        </is>
      </c>
      <c r="K808" s="42" t="inlineStr">
        <is>
          <t>Class 1-3 / Urban</t>
        </is>
      </c>
      <c r="L808" s="23" t="n">
        <v>2880</v>
      </c>
      <c r="M808" s="24" t="n">
        <v>4.3</v>
      </c>
      <c r="N808" s="23">
        <f>ROUND(L808/M808, 0)</f>
        <v/>
      </c>
      <c r="O808" s="23">
        <f>ROUND(N808*'Methodology &amp; Assumptions'!$B$8, 0)</f>
        <v/>
      </c>
      <c r="P808" s="44" t="inlineStr">
        <is>
          <t>Band n50 (1.5 GHz, 60 MHz)</t>
        </is>
      </c>
      <c r="Q808" s="38">
        <f>ROUNDUP(O808/'Methodology &amp; Assumptions'!$B$9, 0)</f>
        <v/>
      </c>
      <c r="R808" s="39" t="n">
        <v>1</v>
      </c>
      <c r="S808" s="25" t="n">
        <v>0.72</v>
      </c>
      <c r="T808" s="25" t="n">
        <v>0.53</v>
      </c>
      <c r="U808" s="42" t="inlineStr">
        <is>
          <t>Tier 1A (Direct Coloc, &lt;1 km)</t>
        </is>
      </c>
      <c r="V808" s="24" t="n">
        <v>88.59999999999999</v>
      </c>
      <c r="W808" s="24" t="n">
        <v>77.59999999999999</v>
      </c>
      <c r="X808" s="24" t="n">
        <v>58</v>
      </c>
      <c r="Y808" s="45">
        <f>ROUND((V808*'Methodology &amp; Assumptions'!$B$6)+(W808*'Methodology &amp; Assumptions'!$B$5)+(X808*'Methodology &amp; Assumptions'!$B$7), 2)</f>
        <v/>
      </c>
    </row>
    <row r="809" ht="19" customHeight="1">
      <c r="A809" s="35" t="n">
        <v>805</v>
      </c>
      <c r="B809" s="35" t="n">
        <v>805</v>
      </c>
      <c r="C809" s="36" t="inlineStr">
        <is>
          <t>0203108031</t>
        </is>
      </c>
      <c r="D809" s="36" t="inlineStr">
        <is>
          <t>Region II (Cagayan Valley)</t>
        </is>
      </c>
      <c r="E809" s="36" t="inlineStr">
        <is>
          <t>Isabela</t>
        </is>
      </c>
      <c r="F809" s="36" t="inlineStr">
        <is>
          <t>City of Cauayan</t>
        </is>
      </c>
      <c r="G809" s="36" t="inlineStr">
        <is>
          <t>District I</t>
        </is>
      </c>
      <c r="H809" s="37" t="n">
        <v>16.931796</v>
      </c>
      <c r="I809" s="37" t="n">
        <v>121.769633</v>
      </c>
      <c r="J809" s="8" t="inlineStr">
        <is>
          <t>U</t>
        </is>
      </c>
      <c r="K809" s="36" t="inlineStr">
        <is>
          <t>Class 1-3 / Urban</t>
        </is>
      </c>
      <c r="L809" s="18" t="n">
        <v>11355</v>
      </c>
      <c r="M809" s="20" t="n">
        <v>4.3</v>
      </c>
      <c r="N809" s="18">
        <f>ROUND(L809/M809, 0)</f>
        <v/>
      </c>
      <c r="O809" s="18">
        <f>ROUND(N809*'Methodology &amp; Assumptions'!$B$8, 0)</f>
        <v/>
      </c>
      <c r="P809" s="8" t="inlineStr">
        <is>
          <t>Band n50 (1.5 GHz, 60 MHz)</t>
        </is>
      </c>
      <c r="Q809" s="38">
        <f>ROUNDUP(O809/'Methodology &amp; Assumptions'!$B$9, 0)</f>
        <v/>
      </c>
      <c r="R809" s="39" t="n">
        <v>1</v>
      </c>
      <c r="S809" s="21" t="n">
        <v>0.6</v>
      </c>
      <c r="T809" s="21" t="n">
        <v>0.44</v>
      </c>
      <c r="U809" s="36" t="inlineStr">
        <is>
          <t>Tier 1A (Direct Coloc, &lt;1 km)</t>
        </is>
      </c>
      <c r="V809" s="20" t="n">
        <v>91.90000000000001</v>
      </c>
      <c r="W809" s="20" t="n">
        <v>100</v>
      </c>
      <c r="X809" s="20" t="n">
        <v>28</v>
      </c>
      <c r="Y809" s="40">
        <f>ROUND((V809*'Methodology &amp; Assumptions'!$B$6)+(W809*'Methodology &amp; Assumptions'!$B$5)+(X809*'Methodology &amp; Assumptions'!$B$7), 2)</f>
        <v/>
      </c>
    </row>
    <row r="810" ht="19" customHeight="1">
      <c r="A810" s="41" t="n">
        <v>806</v>
      </c>
      <c r="B810" s="41" t="n">
        <v>806</v>
      </c>
      <c r="C810" s="42" t="inlineStr">
        <is>
          <t>1130700124</t>
        </is>
      </c>
      <c r="D810" s="42" t="inlineStr">
        <is>
          <t>Region XI (Davao Region)</t>
        </is>
      </c>
      <c r="E810" s="42" t="inlineStr">
        <is>
          <t>Davao del Sur</t>
        </is>
      </c>
      <c r="F810" s="42" t="inlineStr">
        <is>
          <t>City of Davao</t>
        </is>
      </c>
      <c r="G810" s="42" t="inlineStr">
        <is>
          <t>Tibungco</t>
        </is>
      </c>
      <c r="H810" s="43" t="n">
        <v>7.190025</v>
      </c>
      <c r="I810" s="43" t="n">
        <v>125.648631</v>
      </c>
      <c r="J810" s="44" t="inlineStr">
        <is>
          <t>U</t>
        </is>
      </c>
      <c r="K810" s="42" t="inlineStr">
        <is>
          <t>Class 1-3 / Urban</t>
        </is>
      </c>
      <c r="L810" s="23" t="n">
        <v>49636</v>
      </c>
      <c r="M810" s="24" t="n">
        <v>4.1</v>
      </c>
      <c r="N810" s="23">
        <f>ROUND(L810/M810, 0)</f>
        <v/>
      </c>
      <c r="O810" s="23">
        <f>ROUND(N810*'Methodology &amp; Assumptions'!$B$8, 0)</f>
        <v/>
      </c>
      <c r="P810" s="44" t="inlineStr">
        <is>
          <t>Band n50 (1.5 GHz, 60 MHz)</t>
        </is>
      </c>
      <c r="Q810" s="38">
        <f>ROUNDUP(O810/'Methodology &amp; Assumptions'!$B$9, 0)</f>
        <v/>
      </c>
      <c r="R810" s="39" t="n">
        <v>1</v>
      </c>
      <c r="S810" s="25" t="n">
        <v>0.47</v>
      </c>
      <c r="T810" s="25" t="n">
        <v>0.07000000000000001</v>
      </c>
      <c r="U810" s="42" t="inlineStr">
        <is>
          <t>Tier 1A (Direct Coloc, &lt;1 km)</t>
        </is>
      </c>
      <c r="V810" s="24" t="n">
        <v>95.59999999999999</v>
      </c>
      <c r="W810" s="24" t="n">
        <v>96.3</v>
      </c>
      <c r="X810" s="24" t="n">
        <v>28</v>
      </c>
      <c r="Y810" s="45">
        <f>ROUND((V810*'Methodology &amp; Assumptions'!$B$6)+(W810*'Methodology &amp; Assumptions'!$B$5)+(X810*'Methodology &amp; Assumptions'!$B$7), 2)</f>
        <v/>
      </c>
    </row>
    <row r="811" ht="19" customHeight="1">
      <c r="A811" s="35" t="n">
        <v>807</v>
      </c>
      <c r="B811" s="35" t="n">
        <v>807</v>
      </c>
      <c r="C811" s="36" t="inlineStr">
        <is>
          <t>1430300150</t>
        </is>
      </c>
      <c r="D811" s="36" t="inlineStr">
        <is>
          <t>Cordillera Administrative Region (CAR)</t>
        </is>
      </c>
      <c r="E811" s="36" t="inlineStr">
        <is>
          <t>Benguet</t>
        </is>
      </c>
      <c r="F811" s="36" t="inlineStr">
        <is>
          <t>City of Baguio</t>
        </is>
      </c>
      <c r="G811" s="36" t="inlineStr">
        <is>
          <t>Quezon Hill, Upper</t>
        </is>
      </c>
      <c r="H811" s="37" t="n">
        <v>16.41701</v>
      </c>
      <c r="I811" s="37" t="n">
        <v>120.57607</v>
      </c>
      <c r="J811" s="8" t="inlineStr">
        <is>
          <t>R</t>
        </is>
      </c>
      <c r="K811" s="36" t="inlineStr">
        <is>
          <t>Class 1-3 / Urban</t>
        </is>
      </c>
      <c r="L811" s="18" t="n">
        <v>2646</v>
      </c>
      <c r="M811" s="20" t="n">
        <v>4.58</v>
      </c>
      <c r="N811" s="18">
        <f>ROUND(L811/M811, 0)</f>
        <v/>
      </c>
      <c r="O811" s="18">
        <f>ROUND(N811*'Methodology &amp; Assumptions'!$B$8, 0)</f>
        <v/>
      </c>
      <c r="P811" s="8" t="inlineStr">
        <is>
          <t>Band n50 (1.5 GHz, 60 MHz)</t>
        </is>
      </c>
      <c r="Q811" s="38">
        <f>ROUNDUP(O811/'Methodology &amp; Assumptions'!$B$9, 0)</f>
        <v/>
      </c>
      <c r="R811" s="39" t="n">
        <v>1</v>
      </c>
      <c r="S811" s="21" t="n">
        <v>0.23</v>
      </c>
      <c r="T811" s="21" t="n">
        <v>0.44</v>
      </c>
      <c r="U811" s="36" t="inlineStr">
        <is>
          <t>Tier 1A (Direct Coloc, &lt;1 km)</t>
        </is>
      </c>
      <c r="V811" s="20" t="n">
        <v>100</v>
      </c>
      <c r="W811" s="20" t="n">
        <v>66.09999999999999</v>
      </c>
      <c r="X811" s="20" t="n">
        <v>58</v>
      </c>
      <c r="Y811" s="40">
        <f>ROUND((V811*'Methodology &amp; Assumptions'!$B$6)+(W811*'Methodology &amp; Assumptions'!$B$5)+(X811*'Methodology &amp; Assumptions'!$B$7), 2)</f>
        <v/>
      </c>
    </row>
    <row r="812" ht="19" customHeight="1">
      <c r="A812" s="41" t="n">
        <v>808</v>
      </c>
      <c r="B812" s="41" t="n">
        <v>808</v>
      </c>
      <c r="C812" s="42" t="inlineStr">
        <is>
          <t>0304904013</t>
        </is>
      </c>
      <c r="D812" s="42" t="inlineStr">
        <is>
          <t>Region III (Central Luzon)</t>
        </is>
      </c>
      <c r="E812" s="42" t="inlineStr">
        <is>
          <t>Nueva Ecija</t>
        </is>
      </c>
      <c r="F812" s="42" t="inlineStr">
        <is>
          <t>Cabiao</t>
        </is>
      </c>
      <c r="G812" s="42" t="inlineStr">
        <is>
          <t>San Fernando Norte</t>
        </is>
      </c>
      <c r="H812" s="43" t="n">
        <v>15.27268</v>
      </c>
      <c r="I812" s="43" t="n">
        <v>120.8758</v>
      </c>
      <c r="J812" s="44" t="inlineStr">
        <is>
          <t>R</t>
        </is>
      </c>
      <c r="K812" s="42" t="inlineStr">
        <is>
          <t>Class 1-3 / Urban</t>
        </is>
      </c>
      <c r="L812" s="23" t="n">
        <v>3822</v>
      </c>
      <c r="M812" s="24" t="n">
        <v>4.32</v>
      </c>
      <c r="N812" s="23">
        <f>ROUND(L812/M812, 0)</f>
        <v/>
      </c>
      <c r="O812" s="23">
        <f>ROUND(N812*'Methodology &amp; Assumptions'!$B$8, 0)</f>
        <v/>
      </c>
      <c r="P812" s="44" t="inlineStr">
        <is>
          <t>Band n50 (1.5 GHz, 60 MHz)</t>
        </is>
      </c>
      <c r="Q812" s="38">
        <f>ROUNDUP(O812/'Methodology &amp; Assumptions'!$B$9, 0)</f>
        <v/>
      </c>
      <c r="R812" s="39" t="n">
        <v>1</v>
      </c>
      <c r="S812" s="25" t="n">
        <v>1.47</v>
      </c>
      <c r="T812" s="25" t="n">
        <v>0.58</v>
      </c>
      <c r="U812" s="42" t="inlineStr">
        <is>
          <t>Tier 1B (Micro Drop, 1-3 km)</t>
        </is>
      </c>
      <c r="V812" s="24" t="n">
        <v>71.2</v>
      </c>
      <c r="W812" s="24" t="n">
        <v>94.90000000000001</v>
      </c>
      <c r="X812" s="24" t="n">
        <v>58</v>
      </c>
      <c r="Y812" s="45">
        <f>ROUND((V812*'Methodology &amp; Assumptions'!$B$6)+(W812*'Methodology &amp; Assumptions'!$B$5)+(X812*'Methodology &amp; Assumptions'!$B$7), 2)</f>
        <v/>
      </c>
    </row>
    <row r="813" ht="19" customHeight="1">
      <c r="A813" s="35" t="n">
        <v>809</v>
      </c>
      <c r="B813" s="35" t="n">
        <v>809</v>
      </c>
      <c r="C813" s="36" t="inlineStr">
        <is>
          <t>0702211019</t>
        </is>
      </c>
      <c r="D813" s="36" t="inlineStr">
        <is>
          <t>Region VII (Central Visayas)</t>
        </is>
      </c>
      <c r="E813" s="36" t="inlineStr">
        <is>
          <t>Cebu</t>
        </is>
      </c>
      <c r="F813" s="36" t="inlineStr">
        <is>
          <t>City of Bogo</t>
        </is>
      </c>
      <c r="G813" s="36" t="inlineStr">
        <is>
          <t>Nailon</t>
        </is>
      </c>
      <c r="H813" s="37" t="n">
        <v>11.05363</v>
      </c>
      <c r="I813" s="37" t="n">
        <v>124.039363</v>
      </c>
      <c r="J813" s="8" t="inlineStr">
        <is>
          <t>U</t>
        </is>
      </c>
      <c r="K813" s="36" t="inlineStr">
        <is>
          <t>Class 1-3 / Urban</t>
        </is>
      </c>
      <c r="L813" s="18" t="n">
        <v>6758</v>
      </c>
      <c r="M813" s="20" t="n">
        <v>4.42</v>
      </c>
      <c r="N813" s="18">
        <f>ROUND(L813/M813, 0)</f>
        <v/>
      </c>
      <c r="O813" s="18">
        <f>ROUND(N813*'Methodology &amp; Assumptions'!$B$8, 0)</f>
        <v/>
      </c>
      <c r="P813" s="8" t="inlineStr">
        <is>
          <t>Band n50 (1.5 GHz, 60 MHz)</t>
        </is>
      </c>
      <c r="Q813" s="38">
        <f>ROUNDUP(O813/'Methodology &amp; Assumptions'!$B$9, 0)</f>
        <v/>
      </c>
      <c r="R813" s="39" t="n">
        <v>1</v>
      </c>
      <c r="S813" s="21" t="n">
        <v>0.6</v>
      </c>
      <c r="T813" s="21" t="n">
        <v>0.11</v>
      </c>
      <c r="U813" s="36" t="inlineStr">
        <is>
          <t>Tier 1A (Direct Coloc, &lt;1 km)</t>
        </is>
      </c>
      <c r="V813" s="20" t="n">
        <v>91.8</v>
      </c>
      <c r="W813" s="20" t="n">
        <v>100</v>
      </c>
      <c r="X813" s="20" t="n">
        <v>28</v>
      </c>
      <c r="Y813" s="40">
        <f>ROUND((V813*'Methodology &amp; Assumptions'!$B$6)+(W813*'Methodology &amp; Assumptions'!$B$5)+(X813*'Methodology &amp; Assumptions'!$B$7), 2)</f>
        <v/>
      </c>
    </row>
    <row r="814" ht="19" customHeight="1">
      <c r="A814" s="41" t="n">
        <v>810</v>
      </c>
      <c r="B814" s="41" t="n">
        <v>810</v>
      </c>
      <c r="C814" s="42" t="inlineStr">
        <is>
          <t>1001304004</t>
        </is>
      </c>
      <c r="D814" s="42" t="inlineStr">
        <is>
          <t>Region X (Northern Mindanao)</t>
        </is>
      </c>
      <c r="E814" s="42" t="inlineStr">
        <is>
          <t>Bukidnon</t>
        </is>
      </c>
      <c r="F814" s="42" t="inlineStr">
        <is>
          <t>Don Carlos</t>
        </is>
      </c>
      <c r="G814" s="42" t="inlineStr">
        <is>
          <t>Calaocalao</t>
        </is>
      </c>
      <c r="H814" s="43" t="n">
        <v>7.688012</v>
      </c>
      <c r="I814" s="43" t="n">
        <v>124.918916</v>
      </c>
      <c r="J814" s="44" t="inlineStr">
        <is>
          <t>R</t>
        </is>
      </c>
      <c r="K814" s="42" t="inlineStr">
        <is>
          <t>Class 1-3 / Urban</t>
        </is>
      </c>
      <c r="L814" s="23" t="n">
        <v>2827</v>
      </c>
      <c r="M814" s="24" t="n">
        <v>4.63</v>
      </c>
      <c r="N814" s="23">
        <f>ROUND(L814/M814, 0)</f>
        <v/>
      </c>
      <c r="O814" s="23">
        <f>ROUND(N814*'Methodology &amp; Assumptions'!$B$8, 0)</f>
        <v/>
      </c>
      <c r="P814" s="44" t="inlineStr">
        <is>
          <t>Band n50 (1.5 GHz, 60 MHz)</t>
        </is>
      </c>
      <c r="Q814" s="38">
        <f>ROUNDUP(O814/'Methodology &amp; Assumptions'!$B$9, 0)</f>
        <v/>
      </c>
      <c r="R814" s="39" t="n">
        <v>1</v>
      </c>
      <c r="S814" s="25" t="n">
        <v>0.21</v>
      </c>
      <c r="T814" s="25" t="n">
        <v>8.58</v>
      </c>
      <c r="U814" s="42" t="inlineStr">
        <is>
          <t>Tier 1A (Direct Coloc, &lt;1 km)</t>
        </is>
      </c>
      <c r="V814" s="24" t="n">
        <v>93.3</v>
      </c>
      <c r="W814" s="24" t="n">
        <v>72.8</v>
      </c>
      <c r="X814" s="24" t="n">
        <v>58</v>
      </c>
      <c r="Y814" s="45">
        <f>ROUND((V814*'Methodology &amp; Assumptions'!$B$6)+(W814*'Methodology &amp; Assumptions'!$B$5)+(X814*'Methodology &amp; Assumptions'!$B$7), 2)</f>
        <v/>
      </c>
    </row>
    <row r="815" ht="19" customHeight="1">
      <c r="A815" s="35" t="n">
        <v>811</v>
      </c>
      <c r="B815" s="35" t="n">
        <v>811</v>
      </c>
      <c r="C815" s="36" t="inlineStr">
        <is>
          <t>0403403009</t>
        </is>
      </c>
      <c r="D815" s="36" t="inlineStr">
        <is>
          <t>Region IV-A (CALABARZON)</t>
        </is>
      </c>
      <c r="E815" s="36" t="inlineStr">
        <is>
          <t>Laguna</t>
        </is>
      </c>
      <c r="F815" s="36" t="inlineStr">
        <is>
          <t>City of Biñan</t>
        </is>
      </c>
      <c r="G815" s="36" t="inlineStr">
        <is>
          <t>Langkiwa</t>
        </is>
      </c>
      <c r="H815" s="37" t="n">
        <v>14.299783</v>
      </c>
      <c r="I815" s="37" t="n">
        <v>121.059181</v>
      </c>
      <c r="J815" s="8" t="inlineStr">
        <is>
          <t>U</t>
        </is>
      </c>
      <c r="K815" s="36" t="inlineStr">
        <is>
          <t>Class 1-3 / Urban</t>
        </is>
      </c>
      <c r="L815" s="18" t="n">
        <v>39526</v>
      </c>
      <c r="M815" s="20" t="n">
        <v>4.2</v>
      </c>
      <c r="N815" s="18">
        <f>ROUND(L815/M815, 0)</f>
        <v/>
      </c>
      <c r="O815" s="18">
        <f>ROUND(N815*'Methodology &amp; Assumptions'!$B$8, 0)</f>
        <v/>
      </c>
      <c r="P815" s="8" t="inlineStr">
        <is>
          <t>Band n50 (1.5 GHz, 60 MHz)</t>
        </is>
      </c>
      <c r="Q815" s="38">
        <f>ROUNDUP(O815/'Methodology &amp; Assumptions'!$B$9, 0)</f>
        <v/>
      </c>
      <c r="R815" s="39" t="n">
        <v>1</v>
      </c>
      <c r="S815" s="21" t="n">
        <v>0.52</v>
      </c>
      <c r="T815" s="21" t="n">
        <v>1.41</v>
      </c>
      <c r="U815" s="36" t="inlineStr">
        <is>
          <t>Tier 1A (Direct Coloc, &lt;1 km)</t>
        </is>
      </c>
      <c r="V815" s="20" t="n">
        <v>94</v>
      </c>
      <c r="W815" s="20" t="n">
        <v>97.8</v>
      </c>
      <c r="X815" s="20" t="n">
        <v>28</v>
      </c>
      <c r="Y815" s="40">
        <f>ROUND((V815*'Methodology &amp; Assumptions'!$B$6)+(W815*'Methodology &amp; Assumptions'!$B$5)+(X815*'Methodology &amp; Assumptions'!$B$7), 2)</f>
        <v/>
      </c>
    </row>
    <row r="816" ht="19" customHeight="1">
      <c r="A816" s="41" t="n">
        <v>812</v>
      </c>
      <c r="B816" s="41" t="n">
        <v>812</v>
      </c>
      <c r="C816" s="42" t="inlineStr">
        <is>
          <t>0402122006</t>
        </is>
      </c>
      <c r="D816" s="42" t="inlineStr">
        <is>
          <t>Region IV-A (CALABARZON)</t>
        </is>
      </c>
      <c r="E816" s="42" t="inlineStr">
        <is>
          <t>Cavite</t>
        </is>
      </c>
      <c r="F816" s="42" t="inlineStr">
        <is>
          <t>City of Trece Martires</t>
        </is>
      </c>
      <c r="G816" s="42" t="inlineStr">
        <is>
          <t>San Agustin</t>
        </is>
      </c>
      <c r="H816" s="43" t="n">
        <v>14.287788</v>
      </c>
      <c r="I816" s="43" t="n">
        <v>120.868161</v>
      </c>
      <c r="J816" s="44" t="inlineStr">
        <is>
          <t>U</t>
        </is>
      </c>
      <c r="K816" s="42" t="inlineStr">
        <is>
          <t>Class 1-3 / Urban</t>
        </is>
      </c>
      <c r="L816" s="23" t="n">
        <v>9307</v>
      </c>
      <c r="M816" s="24" t="n">
        <v>4.49</v>
      </c>
      <c r="N816" s="23">
        <f>ROUND(L816/M816, 0)</f>
        <v/>
      </c>
      <c r="O816" s="23">
        <f>ROUND(N816*'Methodology &amp; Assumptions'!$B$8, 0)</f>
        <v/>
      </c>
      <c r="P816" s="44" t="inlineStr">
        <is>
          <t>Band n50 (1.5 GHz, 60 MHz)</t>
        </is>
      </c>
      <c r="Q816" s="38">
        <f>ROUNDUP(O816/'Methodology &amp; Assumptions'!$B$9, 0)</f>
        <v/>
      </c>
      <c r="R816" s="39" t="n">
        <v>1</v>
      </c>
      <c r="S816" s="25" t="n">
        <v>0.6</v>
      </c>
      <c r="T816" s="25" t="n">
        <v>0.5600000000000001</v>
      </c>
      <c r="U816" s="42" t="inlineStr">
        <is>
          <t>Tier 1A (Direct Coloc, &lt;1 km)</t>
        </is>
      </c>
      <c r="V816" s="24" t="n">
        <v>91.8</v>
      </c>
      <c r="W816" s="24" t="n">
        <v>100</v>
      </c>
      <c r="X816" s="24" t="n">
        <v>28</v>
      </c>
      <c r="Y816" s="45">
        <f>ROUND((V816*'Methodology &amp; Assumptions'!$B$6)+(W816*'Methodology &amp; Assumptions'!$B$5)+(X816*'Methodology &amp; Assumptions'!$B$7), 2)</f>
        <v/>
      </c>
    </row>
    <row r="817" ht="19" customHeight="1">
      <c r="A817" s="35" t="n">
        <v>813</v>
      </c>
      <c r="B817" s="35" t="n">
        <v>813</v>
      </c>
      <c r="C817" s="36" t="inlineStr">
        <is>
          <t>0405812020</t>
        </is>
      </c>
      <c r="D817" s="36" t="inlineStr">
        <is>
          <t>Region IV-A (CALABARZON)</t>
        </is>
      </c>
      <c r="E817" s="36" t="inlineStr">
        <is>
          <t>Rizal</t>
        </is>
      </c>
      <c r="F817" s="36" t="inlineStr">
        <is>
          <t>Tanay</t>
        </is>
      </c>
      <c r="G817" s="36" t="inlineStr">
        <is>
          <t>Wawa</t>
        </is>
      </c>
      <c r="H817" s="37" t="n">
        <v>14.491816</v>
      </c>
      <c r="I817" s="37" t="n">
        <v>121.284464</v>
      </c>
      <c r="J817" s="8" t="inlineStr">
        <is>
          <t>U</t>
        </is>
      </c>
      <c r="K817" s="36" t="inlineStr">
        <is>
          <t>Class 1-3 / Urban</t>
        </is>
      </c>
      <c r="L817" s="18" t="n">
        <v>8394</v>
      </c>
      <c r="M817" s="20" t="n">
        <v>4.39</v>
      </c>
      <c r="N817" s="18">
        <f>ROUND(L817/M817, 0)</f>
        <v/>
      </c>
      <c r="O817" s="18">
        <f>ROUND(N817*'Methodology &amp; Assumptions'!$B$8, 0)</f>
        <v/>
      </c>
      <c r="P817" s="8" t="inlineStr">
        <is>
          <t>Band n50 (1.5 GHz, 60 MHz)</t>
        </is>
      </c>
      <c r="Q817" s="38">
        <f>ROUNDUP(O817/'Methodology &amp; Assumptions'!$B$9, 0)</f>
        <v/>
      </c>
      <c r="R817" s="39" t="n">
        <v>1</v>
      </c>
      <c r="S817" s="21" t="n">
        <v>0.6</v>
      </c>
      <c r="T817" s="21" t="n">
        <v>0.63</v>
      </c>
      <c r="U817" s="36" t="inlineStr">
        <is>
          <t>Tier 1A (Direct Coloc, &lt;1 km)</t>
        </is>
      </c>
      <c r="V817" s="20" t="n">
        <v>91.7</v>
      </c>
      <c r="W817" s="20" t="n">
        <v>100</v>
      </c>
      <c r="X817" s="20" t="n">
        <v>28</v>
      </c>
      <c r="Y817" s="40">
        <f>ROUND((V817*'Methodology &amp; Assumptions'!$B$6)+(W817*'Methodology &amp; Assumptions'!$B$5)+(X817*'Methodology &amp; Assumptions'!$B$7), 2)</f>
        <v/>
      </c>
    </row>
    <row r="818" ht="19" customHeight="1">
      <c r="A818" s="41" t="n">
        <v>814</v>
      </c>
      <c r="B818" s="41" t="n">
        <v>814</v>
      </c>
      <c r="C818" s="42" t="inlineStr">
        <is>
          <t>0301420015</t>
        </is>
      </c>
      <c r="D818" s="42" t="inlineStr">
        <is>
          <t>Region III (Central Luzon)</t>
        </is>
      </c>
      <c r="E818" s="42" t="inlineStr">
        <is>
          <t>Bulacan</t>
        </is>
      </c>
      <c r="F818" s="42" t="inlineStr">
        <is>
          <t>City of San Jose Del Monte</t>
        </is>
      </c>
      <c r="G818" s="42" t="inlineStr">
        <is>
          <t>Fatima I</t>
        </is>
      </c>
      <c r="H818" s="43" t="n">
        <v>14.846906</v>
      </c>
      <c r="I818" s="43" t="n">
        <v>121.044933</v>
      </c>
      <c r="J818" s="44" t="inlineStr">
        <is>
          <t>R</t>
        </is>
      </c>
      <c r="K818" s="42" t="inlineStr">
        <is>
          <t>Class 1-3 / Urban</t>
        </is>
      </c>
      <c r="L818" s="23" t="n">
        <v>3109</v>
      </c>
      <c r="M818" s="24" t="n">
        <v>4.1</v>
      </c>
      <c r="N818" s="23">
        <f>ROUND(L818/M818, 0)</f>
        <v/>
      </c>
      <c r="O818" s="23">
        <f>ROUND(N818*'Methodology &amp; Assumptions'!$B$8, 0)</f>
        <v/>
      </c>
      <c r="P818" s="44" t="inlineStr">
        <is>
          <t>Band n50 (1.5 GHz, 60 MHz)</t>
        </is>
      </c>
      <c r="Q818" s="38">
        <f>ROUNDUP(O818/'Methodology &amp; Assumptions'!$B$9, 0)</f>
        <v/>
      </c>
      <c r="R818" s="39" t="n">
        <v>1</v>
      </c>
      <c r="S818" s="25" t="n">
        <v>1.01</v>
      </c>
      <c r="T818" s="25" t="n">
        <v>1.85</v>
      </c>
      <c r="U818" s="42" t="inlineStr">
        <is>
          <t>Tier 1B (Micro Drop, 1-3 km)</t>
        </is>
      </c>
      <c r="V818" s="24" t="n">
        <v>81.5</v>
      </c>
      <c r="W818" s="24" t="n">
        <v>84.5</v>
      </c>
      <c r="X818" s="24" t="n">
        <v>58</v>
      </c>
      <c r="Y818" s="45">
        <f>ROUND((V818*'Methodology &amp; Assumptions'!$B$6)+(W818*'Methodology &amp; Assumptions'!$B$5)+(X818*'Methodology &amp; Assumptions'!$B$7), 2)</f>
        <v/>
      </c>
    </row>
    <row r="819" ht="19" customHeight="1">
      <c r="A819" s="35" t="n">
        <v>815</v>
      </c>
      <c r="B819" s="35" t="n">
        <v>815</v>
      </c>
      <c r="C819" s="36" t="inlineStr">
        <is>
          <t>0201526010</t>
        </is>
      </c>
      <c r="D819" s="36" t="inlineStr">
        <is>
          <t>Region II (Cagayan Valley)</t>
        </is>
      </c>
      <c r="E819" s="36" t="inlineStr">
        <is>
          <t>Cagayan</t>
        </is>
      </c>
      <c r="F819" s="36" t="inlineStr">
        <is>
          <t>Santo Niño</t>
        </is>
      </c>
      <c r="G819" s="36" t="inlineStr">
        <is>
          <t>Centro Norte</t>
        </is>
      </c>
      <c r="H819" s="37" t="n">
        <v>17.8877</v>
      </c>
      <c r="I819" s="37" t="n">
        <v>121.5696</v>
      </c>
      <c r="J819" s="8" t="inlineStr">
        <is>
          <t>R</t>
        </is>
      </c>
      <c r="K819" s="36" t="inlineStr">
        <is>
          <t>Class 1-3 / Urban</t>
        </is>
      </c>
      <c r="L819" s="18" t="n">
        <v>3030</v>
      </c>
      <c r="M819" s="20" t="n">
        <v>4.38</v>
      </c>
      <c r="N819" s="18">
        <f>ROUND(L819/M819, 0)</f>
        <v/>
      </c>
      <c r="O819" s="18">
        <f>ROUND(N819*'Methodology &amp; Assumptions'!$B$8, 0)</f>
        <v/>
      </c>
      <c r="P819" s="8" t="inlineStr">
        <is>
          <t>Band n50 (1.5 GHz, 60 MHz)</t>
        </is>
      </c>
      <c r="Q819" s="38">
        <f>ROUNDUP(O819/'Methodology &amp; Assumptions'!$B$9, 0)</f>
        <v/>
      </c>
      <c r="R819" s="39" t="n">
        <v>1</v>
      </c>
      <c r="S819" s="21" t="n">
        <v>0.43</v>
      </c>
      <c r="T819" s="21" t="n">
        <v>7.89</v>
      </c>
      <c r="U819" s="36" t="inlineStr">
        <is>
          <t>Tier 1A (Direct Coloc, &lt;1 km)</t>
        </is>
      </c>
      <c r="V819" s="20" t="n">
        <v>86.5</v>
      </c>
      <c r="W819" s="20" t="n">
        <v>79.5</v>
      </c>
      <c r="X819" s="20" t="n">
        <v>58</v>
      </c>
      <c r="Y819" s="40">
        <f>ROUND((V819*'Methodology &amp; Assumptions'!$B$6)+(W819*'Methodology &amp; Assumptions'!$B$5)+(X819*'Methodology &amp; Assumptions'!$B$7), 2)</f>
        <v/>
      </c>
    </row>
    <row r="820" ht="19" customHeight="1">
      <c r="A820" s="41" t="n">
        <v>816</v>
      </c>
      <c r="B820" s="41" t="n">
        <v>816</v>
      </c>
      <c r="C820" s="42" t="inlineStr">
        <is>
          <t>0306903017</t>
        </is>
      </c>
      <c r="D820" s="42" t="inlineStr">
        <is>
          <t>Region III (Central Luzon)</t>
        </is>
      </c>
      <c r="E820" s="42" t="inlineStr">
        <is>
          <t>Tarlac</t>
        </is>
      </c>
      <c r="F820" s="42" t="inlineStr">
        <is>
          <t>Camiling</t>
        </is>
      </c>
      <c r="G820" s="42" t="inlineStr">
        <is>
          <t>Cacamilingan Norte</t>
        </is>
      </c>
      <c r="H820" s="43" t="n">
        <v>15.690536</v>
      </c>
      <c r="I820" s="43" t="n">
        <v>120.41917</v>
      </c>
      <c r="J820" s="44" t="inlineStr">
        <is>
          <t>R</t>
        </is>
      </c>
      <c r="K820" s="42" t="inlineStr">
        <is>
          <t>Class 1-3 / Urban</t>
        </is>
      </c>
      <c r="L820" s="23" t="n">
        <v>2490</v>
      </c>
      <c r="M820" s="24" t="n">
        <v>4.3</v>
      </c>
      <c r="N820" s="23">
        <f>ROUND(L820/M820, 0)</f>
        <v/>
      </c>
      <c r="O820" s="23">
        <f>ROUND(N820*'Methodology &amp; Assumptions'!$B$8, 0)</f>
        <v/>
      </c>
      <c r="P820" s="44" t="inlineStr">
        <is>
          <t>Band n50 (1.5 GHz, 60 MHz)</t>
        </is>
      </c>
      <c r="Q820" s="38">
        <f>ROUNDUP(O820/'Methodology &amp; Assumptions'!$B$9, 0)</f>
        <v/>
      </c>
      <c r="R820" s="39" t="n">
        <v>1</v>
      </c>
      <c r="S820" s="25" t="n">
        <v>0.47</v>
      </c>
      <c r="T820" s="25" t="n">
        <v>0.39</v>
      </c>
      <c r="U820" s="42" t="inlineStr">
        <is>
          <t>Tier 1A (Direct Coloc, &lt;1 km)</t>
        </is>
      </c>
      <c r="V820" s="24" t="n">
        <v>95.59999999999999</v>
      </c>
      <c r="W820" s="24" t="n">
        <v>70.40000000000001</v>
      </c>
      <c r="X820" s="24" t="n">
        <v>58</v>
      </c>
      <c r="Y820" s="45">
        <f>ROUND((V820*'Methodology &amp; Assumptions'!$B$6)+(W820*'Methodology &amp; Assumptions'!$B$5)+(X820*'Methodology &amp; Assumptions'!$B$7), 2)</f>
        <v/>
      </c>
    </row>
    <row r="821" ht="19" customHeight="1">
      <c r="A821" s="35" t="n">
        <v>817</v>
      </c>
      <c r="B821" s="35" t="n">
        <v>817</v>
      </c>
      <c r="C821" s="36" t="inlineStr">
        <is>
          <t>0301411003</t>
        </is>
      </c>
      <c r="D821" s="36" t="inlineStr">
        <is>
          <t>Region III (Central Luzon)</t>
        </is>
      </c>
      <c r="E821" s="36" t="inlineStr">
        <is>
          <t>Bulacan</t>
        </is>
      </c>
      <c r="F821" s="36" t="inlineStr">
        <is>
          <t>Marilao</t>
        </is>
      </c>
      <c r="G821" s="36" t="inlineStr">
        <is>
          <t>Ibayo</t>
        </is>
      </c>
      <c r="H821" s="37" t="n">
        <v>14.754275</v>
      </c>
      <c r="I821" s="37" t="n">
        <v>120.953515</v>
      </c>
      <c r="J821" s="8" t="inlineStr">
        <is>
          <t>U</t>
        </is>
      </c>
      <c r="K821" s="36" t="inlineStr">
        <is>
          <t>Class 1-3 / Urban</t>
        </is>
      </c>
      <c r="L821" s="18" t="n">
        <v>8310</v>
      </c>
      <c r="M821" s="20" t="n">
        <v>4.1</v>
      </c>
      <c r="N821" s="18">
        <f>ROUND(L821/M821, 0)</f>
        <v/>
      </c>
      <c r="O821" s="18">
        <f>ROUND(N821*'Methodology &amp; Assumptions'!$B$8, 0)</f>
        <v/>
      </c>
      <c r="P821" s="8" t="inlineStr">
        <is>
          <t>Band n50 (1.5 GHz, 60 MHz)</t>
        </is>
      </c>
      <c r="Q821" s="38">
        <f>ROUNDUP(O821/'Methodology &amp; Assumptions'!$B$9, 0)</f>
        <v/>
      </c>
      <c r="R821" s="39" t="n">
        <v>1</v>
      </c>
      <c r="S821" s="21" t="n">
        <v>0.61</v>
      </c>
      <c r="T821" s="21" t="n">
        <v>0.09</v>
      </c>
      <c r="U821" s="36" t="inlineStr">
        <is>
          <t>Tier 1A (Direct Coloc, &lt;1 km)</t>
        </is>
      </c>
      <c r="V821" s="20" t="n">
        <v>91.7</v>
      </c>
      <c r="W821" s="20" t="n">
        <v>100</v>
      </c>
      <c r="X821" s="20" t="n">
        <v>28</v>
      </c>
      <c r="Y821" s="40">
        <f>ROUND((V821*'Methodology &amp; Assumptions'!$B$6)+(W821*'Methodology &amp; Assumptions'!$B$5)+(X821*'Methodology &amp; Assumptions'!$B$7), 2)</f>
        <v/>
      </c>
    </row>
    <row r="822" ht="19" customHeight="1">
      <c r="A822" s="41" t="n">
        <v>818</v>
      </c>
      <c r="B822" s="41" t="n">
        <v>818</v>
      </c>
      <c r="C822" s="42" t="inlineStr">
        <is>
          <t>0306916024</t>
        </is>
      </c>
      <c r="D822" s="42" t="inlineStr">
        <is>
          <t>Region III (Central Luzon)</t>
        </is>
      </c>
      <c r="E822" s="42" t="inlineStr">
        <is>
          <t>Tarlac</t>
        </is>
      </c>
      <c r="F822" s="42" t="inlineStr">
        <is>
          <t>City of Tarlac</t>
        </is>
      </c>
      <c r="G822" s="42" t="inlineStr">
        <is>
          <t>Calingcuan</t>
        </is>
      </c>
      <c r="H822" s="43" t="n">
        <v>15.489479</v>
      </c>
      <c r="I822" s="43" t="n">
        <v>120.62114</v>
      </c>
      <c r="J822" s="44" t="inlineStr">
        <is>
          <t>R</t>
        </is>
      </c>
      <c r="K822" s="42" t="inlineStr">
        <is>
          <t>Class 1-3 / Urban</t>
        </is>
      </c>
      <c r="L822" s="23" t="n">
        <v>3679</v>
      </c>
      <c r="M822" s="24" t="n">
        <v>4.3</v>
      </c>
      <c r="N822" s="23">
        <f>ROUND(L822/M822, 0)</f>
        <v/>
      </c>
      <c r="O822" s="23">
        <f>ROUND(N822*'Methodology &amp; Assumptions'!$B$8, 0)</f>
        <v/>
      </c>
      <c r="P822" s="44" t="inlineStr">
        <is>
          <t>Band n50 (1.5 GHz, 60 MHz)</t>
        </is>
      </c>
      <c r="Q822" s="38">
        <f>ROUNDUP(O822/'Methodology &amp; Assumptions'!$B$9, 0)</f>
        <v/>
      </c>
      <c r="R822" s="39" t="n">
        <v>1</v>
      </c>
      <c r="S822" s="25" t="n">
        <v>1.37</v>
      </c>
      <c r="T822" s="25" t="n">
        <v>0.67</v>
      </c>
      <c r="U822" s="42" t="inlineStr">
        <is>
          <t>Tier 1B (Micro Drop, 1-3 km)</t>
        </is>
      </c>
      <c r="V822" s="24" t="n">
        <v>73.40000000000001</v>
      </c>
      <c r="W822" s="24" t="n">
        <v>92.5</v>
      </c>
      <c r="X822" s="24" t="n">
        <v>58</v>
      </c>
      <c r="Y822" s="45">
        <f>ROUND((V822*'Methodology &amp; Assumptions'!$B$6)+(W822*'Methodology &amp; Assumptions'!$B$5)+(X822*'Methodology &amp; Assumptions'!$B$7), 2)</f>
        <v/>
      </c>
    </row>
    <row r="823" ht="19" customHeight="1">
      <c r="A823" s="35" t="n">
        <v>819</v>
      </c>
      <c r="B823" s="35" t="n">
        <v>819</v>
      </c>
      <c r="C823" s="36" t="inlineStr">
        <is>
          <t>0301419021</t>
        </is>
      </c>
      <c r="D823" s="36" t="inlineStr">
        <is>
          <t>Region III (Central Luzon)</t>
        </is>
      </c>
      <c r="E823" s="36" t="inlineStr">
        <is>
          <t>Bulacan</t>
        </is>
      </c>
      <c r="F823" s="36" t="inlineStr">
        <is>
          <t>San Ildefonso</t>
        </is>
      </c>
      <c r="G823" s="36" t="inlineStr">
        <is>
          <t>Matimbubong</t>
        </is>
      </c>
      <c r="H823" s="37" t="n">
        <v>15.067322</v>
      </c>
      <c r="I823" s="37" t="n">
        <v>120.944993</v>
      </c>
      <c r="J823" s="8" t="inlineStr">
        <is>
          <t>R</t>
        </is>
      </c>
      <c r="K823" s="36" t="inlineStr">
        <is>
          <t>Class 1-3 / Urban</t>
        </is>
      </c>
      <c r="L823" s="18" t="n">
        <v>2806</v>
      </c>
      <c r="M823" s="20" t="n">
        <v>4.1</v>
      </c>
      <c r="N823" s="18">
        <f>ROUND(L823/M823, 0)</f>
        <v/>
      </c>
      <c r="O823" s="18">
        <f>ROUND(N823*'Methodology &amp; Assumptions'!$B$8, 0)</f>
        <v/>
      </c>
      <c r="P823" s="8" t="inlineStr">
        <is>
          <t>Band n50 (1.5 GHz, 60 MHz)</t>
        </is>
      </c>
      <c r="Q823" s="38">
        <f>ROUNDUP(O823/'Methodology &amp; Assumptions'!$B$9, 0)</f>
        <v/>
      </c>
      <c r="R823" s="39" t="n">
        <v>1</v>
      </c>
      <c r="S823" s="21" t="n">
        <v>0.77</v>
      </c>
      <c r="T823" s="21" t="n">
        <v>0.02</v>
      </c>
      <c r="U823" s="36" t="inlineStr">
        <is>
          <t>Tier 1A (Direct Coloc, &lt;1 km)</t>
        </is>
      </c>
      <c r="V823" s="20" t="n">
        <v>87.3</v>
      </c>
      <c r="W823" s="20" t="n">
        <v>78.7</v>
      </c>
      <c r="X823" s="20" t="n">
        <v>58</v>
      </c>
      <c r="Y823" s="40">
        <f>ROUND((V823*'Methodology &amp; Assumptions'!$B$6)+(W823*'Methodology &amp; Assumptions'!$B$5)+(X823*'Methodology &amp; Assumptions'!$B$7), 2)</f>
        <v/>
      </c>
    </row>
    <row r="824" ht="19" customHeight="1">
      <c r="A824" s="41" t="n">
        <v>820</v>
      </c>
      <c r="B824" s="41" t="n">
        <v>820</v>
      </c>
      <c r="C824" s="42" t="inlineStr">
        <is>
          <t>0500504045</t>
        </is>
      </c>
      <c r="D824" s="42" t="inlineStr">
        <is>
          <t>Region V (Bicol Region)</t>
        </is>
      </c>
      <c r="E824" s="42" t="inlineStr">
        <is>
          <t>Albay</t>
        </is>
      </c>
      <c r="F824" s="42" t="inlineStr">
        <is>
          <t>Guinobatan</t>
        </is>
      </c>
      <c r="G824" s="42" t="inlineStr">
        <is>
          <t>San Rafael</t>
        </is>
      </c>
      <c r="H824" s="43" t="n">
        <v>13.193937</v>
      </c>
      <c r="I824" s="43" t="n">
        <v>123.60386</v>
      </c>
      <c r="J824" s="44" t="inlineStr">
        <is>
          <t>U</t>
        </is>
      </c>
      <c r="K824" s="42" t="inlineStr">
        <is>
          <t>Class 1-3 / Urban</t>
        </is>
      </c>
      <c r="L824" s="23" t="n">
        <v>4411</v>
      </c>
      <c r="M824" s="24" t="n">
        <v>4.67</v>
      </c>
      <c r="N824" s="23">
        <f>ROUND(L824/M824, 0)</f>
        <v/>
      </c>
      <c r="O824" s="23">
        <f>ROUND(N824*'Methodology &amp; Assumptions'!$B$8, 0)</f>
        <v/>
      </c>
      <c r="P824" s="44" t="inlineStr">
        <is>
          <t>Band n50 (1.5 GHz, 60 MHz)</t>
        </is>
      </c>
      <c r="Q824" s="38">
        <f>ROUNDUP(O824/'Methodology &amp; Assumptions'!$B$9, 0)</f>
        <v/>
      </c>
      <c r="R824" s="39" t="n">
        <v>1</v>
      </c>
      <c r="S824" s="25" t="n">
        <v>0.6</v>
      </c>
      <c r="T824" s="25" t="n">
        <v>0.47</v>
      </c>
      <c r="U824" s="42" t="inlineStr">
        <is>
          <t>Tier 1A (Direct Coloc, &lt;1 km)</t>
        </is>
      </c>
      <c r="V824" s="24" t="n">
        <v>91.90000000000001</v>
      </c>
      <c r="W824" s="24" t="n">
        <v>99.7</v>
      </c>
      <c r="X824" s="24" t="n">
        <v>28</v>
      </c>
      <c r="Y824" s="45">
        <f>ROUND((V824*'Methodology &amp; Assumptions'!$B$6)+(W824*'Methodology &amp; Assumptions'!$B$5)+(X824*'Methodology &amp; Assumptions'!$B$7), 2)</f>
        <v/>
      </c>
    </row>
    <row r="825" ht="19" customHeight="1">
      <c r="A825" s="35" t="n">
        <v>821</v>
      </c>
      <c r="B825" s="35" t="n">
        <v>821</v>
      </c>
      <c r="C825" s="36" t="inlineStr">
        <is>
          <t>0401019011</t>
        </is>
      </c>
      <c r="D825" s="36" t="inlineStr">
        <is>
          <t>Region IV-A (CALABARZON)</t>
        </is>
      </c>
      <c r="E825" s="36" t="inlineStr">
        <is>
          <t>Batangas</t>
        </is>
      </c>
      <c r="F825" s="36" t="inlineStr">
        <is>
          <t>Nasugbu</t>
        </is>
      </c>
      <c r="G825" s="36" t="inlineStr">
        <is>
          <t>Barangay 6</t>
        </is>
      </c>
      <c r="H825" s="37" t="n">
        <v>14.070136</v>
      </c>
      <c r="I825" s="37" t="n">
        <v>120.638263</v>
      </c>
      <c r="J825" s="8" t="inlineStr">
        <is>
          <t>R</t>
        </is>
      </c>
      <c r="K825" s="36" t="inlineStr">
        <is>
          <t>Class 1-3 / Urban</t>
        </is>
      </c>
      <c r="L825" s="18" t="n">
        <v>2665</v>
      </c>
      <c r="M825" s="20" t="n">
        <v>4.62</v>
      </c>
      <c r="N825" s="18">
        <f>ROUND(L825/M825, 0)</f>
        <v/>
      </c>
      <c r="O825" s="18">
        <f>ROUND(N825*'Methodology &amp; Assumptions'!$B$8, 0)</f>
        <v/>
      </c>
      <c r="P825" s="8" t="inlineStr">
        <is>
          <t>Band n50 (1.5 GHz, 60 MHz)</t>
        </is>
      </c>
      <c r="Q825" s="38">
        <f>ROUNDUP(O825/'Methodology &amp; Assumptions'!$B$9, 0)</f>
        <v/>
      </c>
      <c r="R825" s="39" t="n">
        <v>1</v>
      </c>
      <c r="S825" s="21" t="n">
        <v>0.46</v>
      </c>
      <c r="T825" s="21" t="n">
        <v>0.23</v>
      </c>
      <c r="U825" s="36" t="inlineStr">
        <is>
          <t>Tier 1A (Direct Coloc, &lt;1 km)</t>
        </is>
      </c>
      <c r="V825" s="20" t="n">
        <v>95.8</v>
      </c>
      <c r="W825" s="20" t="n">
        <v>70.09999999999999</v>
      </c>
      <c r="X825" s="20" t="n">
        <v>58</v>
      </c>
      <c r="Y825" s="40">
        <f>ROUND((V825*'Methodology &amp; Assumptions'!$B$6)+(W825*'Methodology &amp; Assumptions'!$B$5)+(X825*'Methodology &amp; Assumptions'!$B$7), 2)</f>
        <v/>
      </c>
    </row>
    <row r="826" ht="19" customHeight="1">
      <c r="A826" s="41" t="n">
        <v>822</v>
      </c>
      <c r="B826" s="41" t="n">
        <v>822</v>
      </c>
      <c r="C826" s="42" t="inlineStr">
        <is>
          <t>0405802017</t>
        </is>
      </c>
      <c r="D826" s="42" t="inlineStr">
        <is>
          <t>Region IV-A (CALABARZON)</t>
        </is>
      </c>
      <c r="E826" s="42" t="inlineStr">
        <is>
          <t>Rizal</t>
        </is>
      </c>
      <c r="F826" s="42" t="inlineStr">
        <is>
          <t>City of Antipolo</t>
        </is>
      </c>
      <c r="G826" s="42" t="inlineStr">
        <is>
          <t>Santa Cruz</t>
        </is>
      </c>
      <c r="H826" s="43" t="n">
        <v>14.563217</v>
      </c>
      <c r="I826" s="43" t="n">
        <v>121.078007</v>
      </c>
      <c r="J826" s="44" t="inlineStr">
        <is>
          <t>U</t>
        </is>
      </c>
      <c r="K826" s="42" t="inlineStr">
        <is>
          <t>Class 1-3 / Urban</t>
        </is>
      </c>
      <c r="L826" s="23" t="n">
        <v>65327</v>
      </c>
      <c r="M826" s="24" t="n">
        <v>4.39</v>
      </c>
      <c r="N826" s="23">
        <f>ROUND(L826/M826, 0)</f>
        <v/>
      </c>
      <c r="O826" s="23">
        <f>ROUND(N826*'Methodology &amp; Assumptions'!$B$8, 0)</f>
        <v/>
      </c>
      <c r="P826" s="44" t="inlineStr">
        <is>
          <t>Band n50 (1.5 GHz, 60 MHz)</t>
        </is>
      </c>
      <c r="Q826" s="38">
        <f>ROUNDUP(O826/'Methodology &amp; Assumptions'!$B$9, 0)</f>
        <v/>
      </c>
      <c r="R826" s="39" t="n">
        <v>1</v>
      </c>
      <c r="S826" s="25" t="n">
        <v>0.43</v>
      </c>
      <c r="T826" s="25" t="n">
        <v>0.29</v>
      </c>
      <c r="U826" s="42" t="inlineStr">
        <is>
          <t>Tier 1A (Direct Coloc, &lt;1 km)</t>
        </is>
      </c>
      <c r="V826" s="24" t="n">
        <v>96.59999999999999</v>
      </c>
      <c r="W826" s="24" t="n">
        <v>95</v>
      </c>
      <c r="X826" s="24" t="n">
        <v>28</v>
      </c>
      <c r="Y826" s="45">
        <f>ROUND((V826*'Methodology &amp; Assumptions'!$B$6)+(W826*'Methodology &amp; Assumptions'!$B$5)+(X826*'Methodology &amp; Assumptions'!$B$7), 2)</f>
        <v/>
      </c>
    </row>
    <row r="827" ht="19" customHeight="1">
      <c r="A827" s="35" t="n">
        <v>823</v>
      </c>
      <c r="B827" s="35" t="n">
        <v>823</v>
      </c>
      <c r="C827" s="36" t="inlineStr">
        <is>
          <t>0501603027</t>
        </is>
      </c>
      <c r="D827" s="36" t="inlineStr">
        <is>
          <t>Region V (Bicol Region)</t>
        </is>
      </c>
      <c r="E827" s="36" t="inlineStr">
        <is>
          <t>Camarines Norte</t>
        </is>
      </c>
      <c r="F827" s="36" t="inlineStr">
        <is>
          <t>Daet</t>
        </is>
      </c>
      <c r="G827" s="36" t="inlineStr">
        <is>
          <t>Barangay IV</t>
        </is>
      </c>
      <c r="H827" s="37" t="n">
        <v>14.117478</v>
      </c>
      <c r="I827" s="37" t="n">
        <v>122.948914</v>
      </c>
      <c r="J827" s="8" t="inlineStr">
        <is>
          <t>U</t>
        </is>
      </c>
      <c r="K827" s="36" t="inlineStr">
        <is>
          <t>Class 1-3 / Urban</t>
        </is>
      </c>
      <c r="L827" s="18" t="n">
        <v>8133</v>
      </c>
      <c r="M827" s="20" t="n">
        <v>4.4</v>
      </c>
      <c r="N827" s="18">
        <f>ROUND(L827/M827, 0)</f>
        <v/>
      </c>
      <c r="O827" s="18">
        <f>ROUND(N827*'Methodology &amp; Assumptions'!$B$8, 0)</f>
        <v/>
      </c>
      <c r="P827" s="8" t="inlineStr">
        <is>
          <t>Band n50 (1.5 GHz, 60 MHz)</t>
        </is>
      </c>
      <c r="Q827" s="38">
        <f>ROUNDUP(O827/'Methodology &amp; Assumptions'!$B$9, 0)</f>
        <v/>
      </c>
      <c r="R827" s="39" t="n">
        <v>1</v>
      </c>
      <c r="S827" s="21" t="n">
        <v>0.61</v>
      </c>
      <c r="T827" s="21" t="n">
        <v>1.16</v>
      </c>
      <c r="U827" s="36" t="inlineStr">
        <is>
          <t>Tier 1A (Direct Coloc, &lt;1 km)</t>
        </is>
      </c>
      <c r="V827" s="20" t="n">
        <v>91.59999999999999</v>
      </c>
      <c r="W827" s="20" t="n">
        <v>100</v>
      </c>
      <c r="X827" s="20" t="n">
        <v>28</v>
      </c>
      <c r="Y827" s="40">
        <f>ROUND((V827*'Methodology &amp; Assumptions'!$B$6)+(W827*'Methodology &amp; Assumptions'!$B$5)+(X827*'Methodology &amp; Assumptions'!$B$7), 2)</f>
        <v/>
      </c>
    </row>
    <row r="828" ht="19" customHeight="1">
      <c r="A828" s="41" t="n">
        <v>824</v>
      </c>
      <c r="B828" s="41" t="n">
        <v>824</v>
      </c>
      <c r="C828" s="42" t="inlineStr">
        <is>
          <t>1705203036</t>
        </is>
      </c>
      <c r="D828" s="42" t="inlineStr">
        <is>
          <t>MIMAROPA Region</t>
        </is>
      </c>
      <c r="E828" s="42" t="inlineStr">
        <is>
          <t>Oriental Mindoro</t>
        </is>
      </c>
      <c r="F828" s="42" t="inlineStr">
        <is>
          <t>Bongabong</t>
        </is>
      </c>
      <c r="G828" s="42" t="inlineStr">
        <is>
          <t>Ipil</t>
        </is>
      </c>
      <c r="H828" s="43" t="n">
        <v>12.742638</v>
      </c>
      <c r="I828" s="43" t="n">
        <v>121.48686</v>
      </c>
      <c r="J828" s="44" t="inlineStr">
        <is>
          <t>R</t>
        </is>
      </c>
      <c r="K828" s="42" t="inlineStr">
        <is>
          <t>Class 1-3 / Urban</t>
        </is>
      </c>
      <c r="L828" s="23" t="n">
        <v>2529</v>
      </c>
      <c r="M828" s="24" t="n">
        <v>4.41</v>
      </c>
      <c r="N828" s="23">
        <f>ROUND(L828/M828, 0)</f>
        <v/>
      </c>
      <c r="O828" s="23">
        <f>ROUND(N828*'Methodology &amp; Assumptions'!$B$8, 0)</f>
        <v/>
      </c>
      <c r="P828" s="44" t="inlineStr">
        <is>
          <t>Band n50 (1.5 GHz, 60 MHz)</t>
        </is>
      </c>
      <c r="Q828" s="38">
        <f>ROUNDUP(O828/'Methodology &amp; Assumptions'!$B$9, 0)</f>
        <v/>
      </c>
      <c r="R828" s="39" t="n">
        <v>1</v>
      </c>
      <c r="S828" s="25" t="n">
        <v>0.15</v>
      </c>
      <c r="T828" s="25" t="n">
        <v>0.25</v>
      </c>
      <c r="U828" s="42" t="inlineStr">
        <is>
          <t>Tier 1A (Direct Coloc, &lt;1 km)</t>
        </is>
      </c>
      <c r="V828" s="24" t="n">
        <v>100</v>
      </c>
      <c r="W828" s="24" t="n">
        <v>65.90000000000001</v>
      </c>
      <c r="X828" s="24" t="n">
        <v>58</v>
      </c>
      <c r="Y828" s="45">
        <f>ROUND((V828*'Methodology &amp; Assumptions'!$B$6)+(W828*'Methodology &amp; Assumptions'!$B$5)+(X828*'Methodology &amp; Assumptions'!$B$7), 2)</f>
        <v/>
      </c>
    </row>
    <row r="829" ht="19" customHeight="1">
      <c r="A829" s="35" t="n">
        <v>825</v>
      </c>
      <c r="B829" s="35" t="n">
        <v>825</v>
      </c>
      <c r="C829" s="36" t="inlineStr">
        <is>
          <t>0403417035</t>
        </is>
      </c>
      <c r="D829" s="36" t="inlineStr">
        <is>
          <t>Region IV-A (CALABARZON)</t>
        </is>
      </c>
      <c r="E829" s="36" t="inlineStr">
        <is>
          <t>Laguna</t>
        </is>
      </c>
      <c r="F829" s="36" t="inlineStr">
        <is>
          <t>Nagcarlan</t>
        </is>
      </c>
      <c r="G829" s="36" t="inlineStr">
        <is>
          <t>Poblacion III</t>
        </is>
      </c>
      <c r="H829" s="37" t="n">
        <v>14.133834</v>
      </c>
      <c r="I829" s="37" t="n">
        <v>121.416903</v>
      </c>
      <c r="J829" s="8" t="inlineStr">
        <is>
          <t>R</t>
        </is>
      </c>
      <c r="K829" s="36" t="inlineStr">
        <is>
          <t>Class 1-3 / Urban</t>
        </is>
      </c>
      <c r="L829" s="18" t="n">
        <v>2346</v>
      </c>
      <c r="M829" s="20" t="n">
        <v>4.2</v>
      </c>
      <c r="N829" s="18">
        <f>ROUND(L829/M829, 0)</f>
        <v/>
      </c>
      <c r="O829" s="18">
        <f>ROUND(N829*'Methodology &amp; Assumptions'!$B$8, 0)</f>
        <v/>
      </c>
      <c r="P829" s="8" t="inlineStr">
        <is>
          <t>Band n50 (1.5 GHz, 60 MHz)</t>
        </is>
      </c>
      <c r="Q829" s="38">
        <f>ROUNDUP(O829/'Methodology &amp; Assumptions'!$B$9, 0)</f>
        <v/>
      </c>
      <c r="R829" s="39" t="n">
        <v>1</v>
      </c>
      <c r="S829" s="21" t="n">
        <v>0.42</v>
      </c>
      <c r="T829" s="21" t="n">
        <v>0.2</v>
      </c>
      <c r="U829" s="36" t="inlineStr">
        <is>
          <t>Tier 1A (Direct Coloc, &lt;1 km)</t>
        </is>
      </c>
      <c r="V829" s="20" t="n">
        <v>97</v>
      </c>
      <c r="W829" s="20" t="n">
        <v>68.8</v>
      </c>
      <c r="X829" s="20" t="n">
        <v>58</v>
      </c>
      <c r="Y829" s="40">
        <f>ROUND((V829*'Methodology &amp; Assumptions'!$B$6)+(W829*'Methodology &amp; Assumptions'!$B$5)+(X829*'Methodology &amp; Assumptions'!$B$7), 2)</f>
        <v/>
      </c>
    </row>
    <row r="830" ht="19" customHeight="1">
      <c r="A830" s="41" t="n">
        <v>826</v>
      </c>
      <c r="B830" s="41" t="n">
        <v>826</v>
      </c>
      <c r="C830" s="42" t="inlineStr">
        <is>
          <t>1606819005</t>
        </is>
      </c>
      <c r="D830" s="42" t="inlineStr">
        <is>
          <t>Region XIII (Caraga)</t>
        </is>
      </c>
      <c r="E830" s="42" t="inlineStr">
        <is>
          <t>Surigao del Sur</t>
        </is>
      </c>
      <c r="F830" s="42" t="inlineStr">
        <is>
          <t>City of Tandag</t>
        </is>
      </c>
      <c r="G830" s="42" t="inlineStr">
        <is>
          <t>Bongtod Pob.</t>
        </is>
      </c>
      <c r="H830" s="43" t="n">
        <v>9.082352999999999</v>
      </c>
      <c r="I830" s="43" t="n">
        <v>126.196347</v>
      </c>
      <c r="J830" s="44" t="inlineStr">
        <is>
          <t>U</t>
        </is>
      </c>
      <c r="K830" s="42" t="inlineStr">
        <is>
          <t>Class 1-3 / Urban</t>
        </is>
      </c>
      <c r="L830" s="23" t="n">
        <v>6059</v>
      </c>
      <c r="M830" s="24" t="n">
        <v>4.56</v>
      </c>
      <c r="N830" s="23">
        <f>ROUND(L830/M830, 0)</f>
        <v/>
      </c>
      <c r="O830" s="23">
        <f>ROUND(N830*'Methodology &amp; Assumptions'!$B$8, 0)</f>
        <v/>
      </c>
      <c r="P830" s="44" t="inlineStr">
        <is>
          <t>Band n50 (1.5 GHz, 60 MHz)</t>
        </is>
      </c>
      <c r="Q830" s="38">
        <f>ROUNDUP(O830/'Methodology &amp; Assumptions'!$B$9, 0)</f>
        <v/>
      </c>
      <c r="R830" s="39" t="n">
        <v>1</v>
      </c>
      <c r="S830" s="25" t="n">
        <v>0.61</v>
      </c>
      <c r="T830" s="25" t="n">
        <v>0.61</v>
      </c>
      <c r="U830" s="42" t="inlineStr">
        <is>
          <t>Tier 1A (Direct Coloc, &lt;1 km)</t>
        </is>
      </c>
      <c r="V830" s="24" t="n">
        <v>91.5</v>
      </c>
      <c r="W830" s="24" t="n">
        <v>100</v>
      </c>
      <c r="X830" s="24" t="n">
        <v>28</v>
      </c>
      <c r="Y830" s="45">
        <f>ROUND((V830*'Methodology &amp; Assumptions'!$B$6)+(W830*'Methodology &amp; Assumptions'!$B$5)+(X830*'Methodology &amp; Assumptions'!$B$7), 2)</f>
        <v/>
      </c>
    </row>
    <row r="831" ht="19" customHeight="1">
      <c r="A831" s="35" t="n">
        <v>827</v>
      </c>
      <c r="B831" s="35" t="n">
        <v>827</v>
      </c>
      <c r="C831" s="36" t="inlineStr">
        <is>
          <t>0402111017</t>
        </is>
      </c>
      <c r="D831" s="36" t="inlineStr">
        <is>
          <t>Region IV-A (CALABARZON)</t>
        </is>
      </c>
      <c r="E831" s="36" t="inlineStr">
        <is>
          <t>Cavite</t>
        </is>
      </c>
      <c r="F831" s="36" t="inlineStr">
        <is>
          <t>Kawit</t>
        </is>
      </c>
      <c r="G831" s="36" t="inlineStr">
        <is>
          <t>Manggahan-Lawin</t>
        </is>
      </c>
      <c r="H831" s="37" t="n">
        <v>14.447025</v>
      </c>
      <c r="I831" s="37" t="n">
        <v>120.92493</v>
      </c>
      <c r="J831" s="8" t="inlineStr">
        <is>
          <t>R</t>
        </is>
      </c>
      <c r="K831" s="36" t="inlineStr">
        <is>
          <t>Class 1-3 / Urban</t>
        </is>
      </c>
      <c r="L831" s="18" t="n">
        <v>4641</v>
      </c>
      <c r="M831" s="20" t="n">
        <v>4.49</v>
      </c>
      <c r="N831" s="18">
        <f>ROUND(L831/M831, 0)</f>
        <v/>
      </c>
      <c r="O831" s="18">
        <f>ROUND(N831*'Methodology &amp; Assumptions'!$B$8, 0)</f>
        <v/>
      </c>
      <c r="P831" s="8" t="inlineStr">
        <is>
          <t>Band n50 (1.5 GHz, 60 MHz)</t>
        </is>
      </c>
      <c r="Q831" s="38">
        <f>ROUNDUP(O831/'Methodology &amp; Assumptions'!$B$9, 0)</f>
        <v/>
      </c>
      <c r="R831" s="39" t="n">
        <v>1</v>
      </c>
      <c r="S831" s="21" t="n">
        <v>2.54</v>
      </c>
      <c r="T831" s="21" t="n">
        <v>0.44</v>
      </c>
      <c r="U831" s="36" t="inlineStr">
        <is>
          <t>Tier 1B (Micro Drop, 1-3 km)</t>
        </is>
      </c>
      <c r="V831" s="20" t="n">
        <v>52.9</v>
      </c>
      <c r="W831" s="20" t="n">
        <v>100</v>
      </c>
      <c r="X831" s="20" t="n">
        <v>73</v>
      </c>
      <c r="Y831" s="40">
        <f>ROUND((V831*'Methodology &amp; Assumptions'!$B$6)+(W831*'Methodology &amp; Assumptions'!$B$5)+(X831*'Methodology &amp; Assumptions'!$B$7), 2)</f>
        <v/>
      </c>
    </row>
    <row r="832" ht="19" customHeight="1">
      <c r="A832" s="41" t="n">
        <v>828</v>
      </c>
      <c r="B832" s="41" t="n">
        <v>828</v>
      </c>
      <c r="C832" s="42" t="inlineStr">
        <is>
          <t>0402109035</t>
        </is>
      </c>
      <c r="D832" s="42" t="inlineStr">
        <is>
          <t>Region IV-A (CALABARZON)</t>
        </is>
      </c>
      <c r="E832" s="42" t="inlineStr">
        <is>
          <t>Cavite</t>
        </is>
      </c>
      <c r="F832" s="42" t="inlineStr">
        <is>
          <t>City of Imus</t>
        </is>
      </c>
      <c r="G832" s="42" t="inlineStr">
        <is>
          <t>Anabu II-B</t>
        </is>
      </c>
      <c r="H832" s="43" t="n">
        <v>14.385504</v>
      </c>
      <c r="I832" s="43" t="n">
        <v>120.940959</v>
      </c>
      <c r="J832" s="44" t="inlineStr">
        <is>
          <t>U</t>
        </is>
      </c>
      <c r="K832" s="42" t="inlineStr">
        <is>
          <t>Class 1-3 / Urban</t>
        </is>
      </c>
      <c r="L832" s="23" t="n">
        <v>7650</v>
      </c>
      <c r="M832" s="24" t="n">
        <v>4.49</v>
      </c>
      <c r="N832" s="23">
        <f>ROUND(L832/M832, 0)</f>
        <v/>
      </c>
      <c r="O832" s="23">
        <f>ROUND(N832*'Methodology &amp; Assumptions'!$B$8, 0)</f>
        <v/>
      </c>
      <c r="P832" s="44" t="inlineStr">
        <is>
          <t>Band n50 (1.5 GHz, 60 MHz)</t>
        </is>
      </c>
      <c r="Q832" s="38">
        <f>ROUNDUP(O832/'Methodology &amp; Assumptions'!$B$9, 0)</f>
        <v/>
      </c>
      <c r="R832" s="39" t="n">
        <v>1</v>
      </c>
      <c r="S832" s="25" t="n">
        <v>0.27</v>
      </c>
      <c r="T832" s="25" t="n">
        <v>6.77</v>
      </c>
      <c r="U832" s="42" t="inlineStr">
        <is>
          <t>Tier 1A (Direct Coloc, &lt;1 km)</t>
        </is>
      </c>
      <c r="V832" s="24" t="n">
        <v>91.5</v>
      </c>
      <c r="W832" s="24" t="n">
        <v>100</v>
      </c>
      <c r="X832" s="24" t="n">
        <v>28</v>
      </c>
      <c r="Y832" s="45">
        <f>ROUND((V832*'Methodology &amp; Assumptions'!$B$6)+(W832*'Methodology &amp; Assumptions'!$B$5)+(X832*'Methodology &amp; Assumptions'!$B$7), 2)</f>
        <v/>
      </c>
    </row>
    <row r="833" ht="19" customHeight="1">
      <c r="A833" s="35" t="n">
        <v>829</v>
      </c>
      <c r="B833" s="35" t="n">
        <v>829</v>
      </c>
      <c r="C833" s="36" t="inlineStr">
        <is>
          <t>0501707001</t>
        </is>
      </c>
      <c r="D833" s="36" t="inlineStr">
        <is>
          <t>Region V (Bicol Region)</t>
        </is>
      </c>
      <c r="E833" s="36" t="inlineStr">
        <is>
          <t>Camarines Sur</t>
        </is>
      </c>
      <c r="F833" s="36" t="inlineStr">
        <is>
          <t>Cabusao</t>
        </is>
      </c>
      <c r="G833" s="36" t="inlineStr">
        <is>
          <t>Barcelonita</t>
        </is>
      </c>
      <c r="H833" s="37" t="n">
        <v>13.771894</v>
      </c>
      <c r="I833" s="37" t="n">
        <v>123.04749</v>
      </c>
      <c r="J833" s="8" t="inlineStr">
        <is>
          <t>R</t>
        </is>
      </c>
      <c r="K833" s="36" t="inlineStr">
        <is>
          <t>4th</t>
        </is>
      </c>
      <c r="L833" s="18" t="n">
        <v>2484</v>
      </c>
      <c r="M833" s="20" t="n">
        <v>4.71</v>
      </c>
      <c r="N833" s="18">
        <f>ROUND(L833/M833, 0)</f>
        <v/>
      </c>
      <c r="O833" s="18">
        <f>ROUND(N833*'Methodology &amp; Assumptions'!$B$8, 0)</f>
        <v/>
      </c>
      <c r="P833" s="8" t="inlineStr">
        <is>
          <t>Band n50 (1.5 GHz, 60 MHz)</t>
        </is>
      </c>
      <c r="Q833" s="38">
        <f>ROUNDUP(O833/'Methodology &amp; Assumptions'!$B$9, 0)</f>
        <v/>
      </c>
      <c r="R833" s="39" t="n">
        <v>1</v>
      </c>
      <c r="S833" s="21" t="n">
        <v>0.3</v>
      </c>
      <c r="T833" s="21" t="n">
        <v>7.12</v>
      </c>
      <c r="U833" s="36" t="inlineStr">
        <is>
          <t>Tier 1A (Direct Coloc, &lt;1 km)</t>
        </is>
      </c>
      <c r="V833" s="20" t="n">
        <v>90.59999999999999</v>
      </c>
      <c r="W833" s="20" t="n">
        <v>66.09999999999999</v>
      </c>
      <c r="X833" s="20" t="n">
        <v>68.5</v>
      </c>
      <c r="Y833" s="40">
        <f>ROUND((V833*'Methodology &amp; Assumptions'!$B$6)+(W833*'Methodology &amp; Assumptions'!$B$5)+(X833*'Methodology &amp; Assumptions'!$B$7), 2)</f>
        <v/>
      </c>
    </row>
    <row r="834" ht="19" customHeight="1">
      <c r="A834" s="41" t="n">
        <v>830</v>
      </c>
      <c r="B834" s="41" t="n">
        <v>830</v>
      </c>
      <c r="C834" s="42" t="inlineStr">
        <is>
          <t>0301419009</t>
        </is>
      </c>
      <c r="D834" s="42" t="inlineStr">
        <is>
          <t>Region III (Central Luzon)</t>
        </is>
      </c>
      <c r="E834" s="42" t="inlineStr">
        <is>
          <t>Bulacan</t>
        </is>
      </c>
      <c r="F834" s="42" t="inlineStr">
        <is>
          <t>San Ildefonso</t>
        </is>
      </c>
      <c r="G834" s="42" t="inlineStr">
        <is>
          <t>Bubulong Malaki</t>
        </is>
      </c>
      <c r="H834" s="43" t="n">
        <v>15.087482</v>
      </c>
      <c r="I834" s="43" t="n">
        <v>120.993767</v>
      </c>
      <c r="J834" s="44" t="inlineStr">
        <is>
          <t>R</t>
        </is>
      </c>
      <c r="K834" s="42" t="inlineStr">
        <is>
          <t>Class 1-3 / Urban</t>
        </is>
      </c>
      <c r="L834" s="23" t="n">
        <v>2200</v>
      </c>
      <c r="M834" s="24" t="n">
        <v>4.1</v>
      </c>
      <c r="N834" s="23">
        <f>ROUND(L834/M834, 0)</f>
        <v/>
      </c>
      <c r="O834" s="23">
        <f>ROUND(N834*'Methodology &amp; Assumptions'!$B$8, 0)</f>
        <v/>
      </c>
      <c r="P834" s="44" t="inlineStr">
        <is>
          <t>Band n50 (1.5 GHz, 60 MHz)</t>
        </is>
      </c>
      <c r="Q834" s="38">
        <f>ROUNDUP(O834/'Methodology &amp; Assumptions'!$B$9, 0)</f>
        <v/>
      </c>
      <c r="R834" s="39" t="n">
        <v>1</v>
      </c>
      <c r="S834" s="25" t="n">
        <v>0.04</v>
      </c>
      <c r="T834" s="25" t="n">
        <v>4.74</v>
      </c>
      <c r="U834" s="42" t="inlineStr">
        <is>
          <t>Tier 1A (Direct Coloc, &lt;1 km)</t>
        </is>
      </c>
      <c r="V834" s="24" t="n">
        <v>98.8</v>
      </c>
      <c r="W834" s="24" t="n">
        <v>66.90000000000001</v>
      </c>
      <c r="X834" s="24" t="n">
        <v>58</v>
      </c>
      <c r="Y834" s="45">
        <f>ROUND((V834*'Methodology &amp; Assumptions'!$B$6)+(W834*'Methodology &amp; Assumptions'!$B$5)+(X834*'Methodology &amp; Assumptions'!$B$7), 2)</f>
        <v/>
      </c>
    </row>
    <row r="835" ht="19" customHeight="1">
      <c r="A835" s="35" t="n">
        <v>831</v>
      </c>
      <c r="B835" s="35" t="n">
        <v>831</v>
      </c>
      <c r="C835" s="36" t="inlineStr">
        <is>
          <t>0604502013</t>
        </is>
      </c>
      <c r="D835" s="36" t="inlineStr">
        <is>
          <t>Region VI (Western Visayas)</t>
        </is>
      </c>
      <c r="E835" s="36" t="inlineStr">
        <is>
          <t>Negros Occidental</t>
        </is>
      </c>
      <c r="F835" s="36" t="inlineStr">
        <is>
          <t>City of Bago</t>
        </is>
      </c>
      <c r="G835" s="36" t="inlineStr">
        <is>
          <t>Lag-Asan</t>
        </is>
      </c>
      <c r="H835" s="37" t="n">
        <v>10.530154</v>
      </c>
      <c r="I835" s="37" t="n">
        <v>122.838629</v>
      </c>
      <c r="J835" s="8" t="inlineStr">
        <is>
          <t>U</t>
        </is>
      </c>
      <c r="K835" s="36" t="inlineStr">
        <is>
          <t>Class 1-3 / Urban</t>
        </is>
      </c>
      <c r="L835" s="18" t="n">
        <v>12854</v>
      </c>
      <c r="M835" s="20" t="n">
        <v>4.33</v>
      </c>
      <c r="N835" s="18">
        <f>ROUND(L835/M835, 0)</f>
        <v/>
      </c>
      <c r="O835" s="18">
        <f>ROUND(N835*'Methodology &amp; Assumptions'!$B$8, 0)</f>
        <v/>
      </c>
      <c r="P835" s="8" t="inlineStr">
        <is>
          <t>Band n50 (1.5 GHz, 60 MHz)</t>
        </is>
      </c>
      <c r="Q835" s="38">
        <f>ROUNDUP(O835/'Methodology &amp; Assumptions'!$B$9, 0)</f>
        <v/>
      </c>
      <c r="R835" s="39" t="n">
        <v>1</v>
      </c>
      <c r="S835" s="21" t="n">
        <v>0.61</v>
      </c>
      <c r="T835" s="21" t="n">
        <v>0.46</v>
      </c>
      <c r="U835" s="36" t="inlineStr">
        <is>
          <t>Tier 1A (Direct Coloc, &lt;1 km)</t>
        </is>
      </c>
      <c r="V835" s="20" t="n">
        <v>91.5</v>
      </c>
      <c r="W835" s="20" t="n">
        <v>100</v>
      </c>
      <c r="X835" s="20" t="n">
        <v>28</v>
      </c>
      <c r="Y835" s="40">
        <f>ROUND((V835*'Methodology &amp; Assumptions'!$B$6)+(W835*'Methodology &amp; Assumptions'!$B$5)+(X835*'Methodology &amp; Assumptions'!$B$7), 2)</f>
        <v/>
      </c>
    </row>
    <row r="836" ht="19" customHeight="1">
      <c r="A836" s="41" t="n">
        <v>832</v>
      </c>
      <c r="B836" s="41" t="n">
        <v>832</v>
      </c>
      <c r="C836" s="42" t="inlineStr">
        <is>
          <t>0501716016</t>
        </is>
      </c>
      <c r="D836" s="42" t="inlineStr">
        <is>
          <t>Region V (Bicol Region)</t>
        </is>
      </c>
      <c r="E836" s="42" t="inlineStr">
        <is>
          <t>Camarines Sur</t>
        </is>
      </c>
      <c r="F836" s="42" t="inlineStr">
        <is>
          <t>City of Iriga</t>
        </is>
      </c>
      <c r="G836" s="42" t="inlineStr">
        <is>
          <t>San Francisco</t>
        </is>
      </c>
      <c r="H836" s="43" t="n">
        <v>13.41674</v>
      </c>
      <c r="I836" s="43" t="n">
        <v>123.411901</v>
      </c>
      <c r="J836" s="44" t="inlineStr">
        <is>
          <t>U</t>
        </is>
      </c>
      <c r="K836" s="42" t="inlineStr">
        <is>
          <t>Class 1-3 / Urban</t>
        </is>
      </c>
      <c r="L836" s="23" t="n">
        <v>6438</v>
      </c>
      <c r="M836" s="24" t="n">
        <v>4.9</v>
      </c>
      <c r="N836" s="23">
        <f>ROUND(L836/M836, 0)</f>
        <v/>
      </c>
      <c r="O836" s="23">
        <f>ROUND(N836*'Methodology &amp; Assumptions'!$B$8, 0)</f>
        <v/>
      </c>
      <c r="P836" s="44" t="inlineStr">
        <is>
          <t>Band n50 (1.5 GHz, 60 MHz)</t>
        </is>
      </c>
      <c r="Q836" s="38">
        <f>ROUNDUP(O836/'Methodology &amp; Assumptions'!$B$9, 0)</f>
        <v/>
      </c>
      <c r="R836" s="39" t="n">
        <v>1</v>
      </c>
      <c r="S836" s="25" t="n">
        <v>0.62</v>
      </c>
      <c r="T836" s="25" t="n">
        <v>0.47</v>
      </c>
      <c r="U836" s="42" t="inlineStr">
        <is>
          <t>Tier 1A (Direct Coloc, &lt;1 km)</t>
        </is>
      </c>
      <c r="V836" s="24" t="n">
        <v>91.40000000000001</v>
      </c>
      <c r="W836" s="24" t="n">
        <v>100</v>
      </c>
      <c r="X836" s="24" t="n">
        <v>28</v>
      </c>
      <c r="Y836" s="45">
        <f>ROUND((V836*'Methodology &amp; Assumptions'!$B$6)+(W836*'Methodology &amp; Assumptions'!$B$5)+(X836*'Methodology &amp; Assumptions'!$B$7), 2)</f>
        <v/>
      </c>
    </row>
    <row r="837" ht="19" customHeight="1">
      <c r="A837" s="35" t="n">
        <v>833</v>
      </c>
      <c r="B837" s="35" t="n">
        <v>833</v>
      </c>
      <c r="C837" s="36" t="inlineStr">
        <is>
          <t>0304928007</t>
        </is>
      </c>
      <c r="D837" s="36" t="inlineStr">
        <is>
          <t>Region III (Central Luzon)</t>
        </is>
      </c>
      <c r="E837" s="36" t="inlineStr">
        <is>
          <t>Nueva Ecija</t>
        </is>
      </c>
      <c r="F837" s="36" t="inlineStr">
        <is>
          <t>Santa Rosa</t>
        </is>
      </c>
      <c r="G837" s="36" t="inlineStr">
        <is>
          <t>Mapalad</t>
        </is>
      </c>
      <c r="H837" s="37" t="n">
        <v>15.464456</v>
      </c>
      <c r="I837" s="37" t="n">
        <v>121.092364</v>
      </c>
      <c r="J837" s="8" t="inlineStr">
        <is>
          <t>R</t>
        </is>
      </c>
      <c r="K837" s="36" t="inlineStr">
        <is>
          <t>Class 1-3 / Urban</t>
        </is>
      </c>
      <c r="L837" s="18" t="n">
        <v>4439</v>
      </c>
      <c r="M837" s="20" t="n">
        <v>4.32</v>
      </c>
      <c r="N837" s="18">
        <f>ROUND(L837/M837, 0)</f>
        <v/>
      </c>
      <c r="O837" s="18">
        <f>ROUND(N837*'Methodology &amp; Assumptions'!$B$8, 0)</f>
        <v/>
      </c>
      <c r="P837" s="8" t="inlineStr">
        <is>
          <t>Band n50 (1.5 GHz, 60 MHz)</t>
        </is>
      </c>
      <c r="Q837" s="38">
        <f>ROUNDUP(O837/'Methodology &amp; Assumptions'!$B$9, 0)</f>
        <v/>
      </c>
      <c r="R837" s="39" t="n">
        <v>1</v>
      </c>
      <c r="S837" s="21" t="n">
        <v>1.76</v>
      </c>
      <c r="T837" s="21" t="n">
        <v>1.87</v>
      </c>
      <c r="U837" s="36" t="inlineStr">
        <is>
          <t>Tier 1B (Micro Drop, 1-3 km)</t>
        </is>
      </c>
      <c r="V837" s="20" t="n">
        <v>65.59999999999999</v>
      </c>
      <c r="W837" s="20" t="n">
        <v>100</v>
      </c>
      <c r="X837" s="20" t="n">
        <v>58</v>
      </c>
      <c r="Y837" s="40">
        <f>ROUND((V837*'Methodology &amp; Assumptions'!$B$6)+(W837*'Methodology &amp; Assumptions'!$B$5)+(X837*'Methodology &amp; Assumptions'!$B$7), 2)</f>
        <v/>
      </c>
    </row>
    <row r="838" ht="19" customHeight="1">
      <c r="A838" s="41" t="n">
        <v>834</v>
      </c>
      <c r="B838" s="41" t="n">
        <v>834</v>
      </c>
      <c r="C838" s="42" t="inlineStr">
        <is>
          <t>0301419036</t>
        </is>
      </c>
      <c r="D838" s="42" t="inlineStr">
        <is>
          <t>Region III (Central Luzon)</t>
        </is>
      </c>
      <c r="E838" s="42" t="inlineStr">
        <is>
          <t>Bulacan</t>
        </is>
      </c>
      <c r="F838" s="42" t="inlineStr">
        <is>
          <t>San Ildefonso</t>
        </is>
      </c>
      <c r="G838" s="42" t="inlineStr">
        <is>
          <t>Upig</t>
        </is>
      </c>
      <c r="H838" s="43" t="n">
        <v>15.025204</v>
      </c>
      <c r="I838" s="43" t="n">
        <v>120.991917</v>
      </c>
      <c r="J838" s="44" t="inlineStr">
        <is>
          <t>R</t>
        </is>
      </c>
      <c r="K838" s="42" t="inlineStr">
        <is>
          <t>Class 1-3 / Urban</t>
        </is>
      </c>
      <c r="L838" s="23" t="n">
        <v>2729</v>
      </c>
      <c r="M838" s="24" t="n">
        <v>4.1</v>
      </c>
      <c r="N838" s="23">
        <f>ROUND(L838/M838, 0)</f>
        <v/>
      </c>
      <c r="O838" s="23">
        <f>ROUND(N838*'Methodology &amp; Assumptions'!$B$8, 0)</f>
        <v/>
      </c>
      <c r="P838" s="44" t="inlineStr">
        <is>
          <t>Band n50 (1.5 GHz, 60 MHz)</t>
        </is>
      </c>
      <c r="Q838" s="38">
        <f>ROUNDUP(O838/'Methodology &amp; Assumptions'!$B$9, 0)</f>
        <v/>
      </c>
      <c r="R838" s="39" t="n">
        <v>1</v>
      </c>
      <c r="S838" s="25" t="n">
        <v>0.37</v>
      </c>
      <c r="T838" s="25" t="n">
        <v>6.02</v>
      </c>
      <c r="U838" s="42" t="inlineStr">
        <is>
          <t>Tier 1A (Direct Coloc, &lt;1 km)</t>
        </is>
      </c>
      <c r="V838" s="24" t="n">
        <v>88.3</v>
      </c>
      <c r="W838" s="24" t="n">
        <v>77.3</v>
      </c>
      <c r="X838" s="24" t="n">
        <v>58</v>
      </c>
      <c r="Y838" s="45">
        <f>ROUND((V838*'Methodology &amp; Assumptions'!$B$6)+(W838*'Methodology &amp; Assumptions'!$B$5)+(X838*'Methodology &amp; Assumptions'!$B$7), 2)</f>
        <v/>
      </c>
    </row>
    <row r="839" ht="19" customHeight="1">
      <c r="A839" s="35" t="n">
        <v>835</v>
      </c>
      <c r="B839" s="35" t="n">
        <v>835</v>
      </c>
      <c r="C839" s="36" t="inlineStr">
        <is>
          <t>1001312027</t>
        </is>
      </c>
      <c r="D839" s="36" t="inlineStr">
        <is>
          <t>Region X (Northern Mindanao)</t>
        </is>
      </c>
      <c r="E839" s="36" t="inlineStr">
        <is>
          <t>Bukidnon</t>
        </is>
      </c>
      <c r="F839" s="36" t="inlineStr">
        <is>
          <t>City of Malaybalay</t>
        </is>
      </c>
      <c r="G839" s="36" t="inlineStr">
        <is>
          <t>Apo Macote</t>
        </is>
      </c>
      <c r="H839" s="37" t="n">
        <v>7.976787</v>
      </c>
      <c r="I839" s="37" t="n">
        <v>125.207707</v>
      </c>
      <c r="J839" s="8" t="inlineStr">
        <is>
          <t>U</t>
        </is>
      </c>
      <c r="K839" s="36" t="inlineStr">
        <is>
          <t>Class 1-3 / Urban</t>
        </is>
      </c>
      <c r="L839" s="18" t="n">
        <v>5024</v>
      </c>
      <c r="M839" s="20" t="n">
        <v>4.63</v>
      </c>
      <c r="N839" s="18">
        <f>ROUND(L839/M839, 0)</f>
        <v/>
      </c>
      <c r="O839" s="18">
        <f>ROUND(N839*'Methodology &amp; Assumptions'!$B$8, 0)</f>
        <v/>
      </c>
      <c r="P839" s="8" t="inlineStr">
        <is>
          <t>Band n50 (1.5 GHz, 60 MHz)</t>
        </is>
      </c>
      <c r="Q839" s="38">
        <f>ROUNDUP(O839/'Methodology &amp; Assumptions'!$B$9, 0)</f>
        <v/>
      </c>
      <c r="R839" s="39" t="n">
        <v>1</v>
      </c>
      <c r="S839" s="21" t="n">
        <v>0.27</v>
      </c>
      <c r="T839" s="21" t="n">
        <v>3.82</v>
      </c>
      <c r="U839" s="36" t="inlineStr">
        <is>
          <t>Tier 1A (Direct Coloc, &lt;1 km)</t>
        </is>
      </c>
      <c r="V839" s="20" t="n">
        <v>91.40000000000001</v>
      </c>
      <c r="W839" s="20" t="n">
        <v>100</v>
      </c>
      <c r="X839" s="20" t="n">
        <v>28</v>
      </c>
      <c r="Y839" s="40">
        <f>ROUND((V839*'Methodology &amp; Assumptions'!$B$6)+(W839*'Methodology &amp; Assumptions'!$B$5)+(X839*'Methodology &amp; Assumptions'!$B$7), 2)</f>
        <v/>
      </c>
    </row>
    <row r="840" ht="19" customHeight="1">
      <c r="A840" s="41" t="n">
        <v>836</v>
      </c>
      <c r="B840" s="41" t="n">
        <v>836</v>
      </c>
      <c r="C840" s="42" t="inlineStr">
        <is>
          <t>0501726017</t>
        </is>
      </c>
      <c r="D840" s="42" t="inlineStr">
        <is>
          <t>Region V (Bicol Region)</t>
        </is>
      </c>
      <c r="E840" s="42" t="inlineStr">
        <is>
          <t>Camarines Sur</t>
        </is>
      </c>
      <c r="F840" s="42" t="inlineStr">
        <is>
          <t>Pamplona</t>
        </is>
      </c>
      <c r="G840" s="42" t="inlineStr">
        <is>
          <t>Tambo</t>
        </is>
      </c>
      <c r="H840" s="43" t="n">
        <v>13.579131</v>
      </c>
      <c r="I840" s="43" t="n">
        <v>123.063142</v>
      </c>
      <c r="J840" s="44" t="inlineStr">
        <is>
          <t>U</t>
        </is>
      </c>
      <c r="K840" s="42" t="inlineStr">
        <is>
          <t>3rd</t>
        </is>
      </c>
      <c r="L840" s="23" t="n">
        <v>4231</v>
      </c>
      <c r="M840" s="24" t="n">
        <v>4.8</v>
      </c>
      <c r="N840" s="23">
        <f>ROUND(L840/M840, 0)</f>
        <v/>
      </c>
      <c r="O840" s="23">
        <f>ROUND(N840*'Methodology &amp; Assumptions'!$B$8, 0)</f>
        <v/>
      </c>
      <c r="P840" s="44" t="inlineStr">
        <is>
          <t>Band n50 (1.5 GHz, 60 MHz)</t>
        </is>
      </c>
      <c r="Q840" s="38">
        <f>ROUNDUP(O840/'Methodology &amp; Assumptions'!$B$9, 0)</f>
        <v/>
      </c>
      <c r="R840" s="39" t="n">
        <v>1</v>
      </c>
      <c r="S840" s="25" t="n">
        <v>0.42</v>
      </c>
      <c r="T840" s="25" t="n">
        <v>0.43</v>
      </c>
      <c r="U840" s="42" t="inlineStr">
        <is>
          <t>Tier 1A (Direct Coloc, &lt;1 km)</t>
        </is>
      </c>
      <c r="V840" s="24" t="n">
        <v>97</v>
      </c>
      <c r="W840" s="24" t="n">
        <v>94.40000000000001</v>
      </c>
      <c r="X840" s="24" t="n">
        <v>28</v>
      </c>
      <c r="Y840" s="45">
        <f>ROUND((V840*'Methodology &amp; Assumptions'!$B$6)+(W840*'Methodology &amp; Assumptions'!$B$5)+(X840*'Methodology &amp; Assumptions'!$B$7), 2)</f>
        <v/>
      </c>
    </row>
    <row r="841" ht="19" customHeight="1">
      <c r="A841" s="35" t="n">
        <v>837</v>
      </c>
      <c r="B841" s="35" t="n">
        <v>837</v>
      </c>
      <c r="C841" s="36" t="inlineStr">
        <is>
          <t>1705208044</t>
        </is>
      </c>
      <c r="D841" s="36" t="inlineStr">
        <is>
          <t>MIMAROPA Region</t>
        </is>
      </c>
      <c r="E841" s="36" t="inlineStr">
        <is>
          <t>Oriental Mindoro</t>
        </is>
      </c>
      <c r="F841" s="36" t="inlineStr">
        <is>
          <t>Naujan</t>
        </is>
      </c>
      <c r="G841" s="36" t="inlineStr">
        <is>
          <t>Pinagsabangan II</t>
        </is>
      </c>
      <c r="H841" s="37" t="n">
        <v>13.267792</v>
      </c>
      <c r="I841" s="37" t="n">
        <v>121.262871</v>
      </c>
      <c r="J841" s="8" t="inlineStr">
        <is>
          <t>R</t>
        </is>
      </c>
      <c r="K841" s="36" t="inlineStr">
        <is>
          <t>Class 1-3 / Urban</t>
        </is>
      </c>
      <c r="L841" s="18" t="n">
        <v>2748</v>
      </c>
      <c r="M841" s="20" t="n">
        <v>4.41</v>
      </c>
      <c r="N841" s="18">
        <f>ROUND(L841/M841, 0)</f>
        <v/>
      </c>
      <c r="O841" s="18">
        <f>ROUND(N841*'Methodology &amp; Assumptions'!$B$8, 0)</f>
        <v/>
      </c>
      <c r="P841" s="8" t="inlineStr">
        <is>
          <t>Band n50 (1.5 GHz, 60 MHz)</t>
        </is>
      </c>
      <c r="Q841" s="38">
        <f>ROUNDUP(O841/'Methodology &amp; Assumptions'!$B$9, 0)</f>
        <v/>
      </c>
      <c r="R841" s="39" t="n">
        <v>1</v>
      </c>
      <c r="S841" s="21" t="n">
        <v>0.46</v>
      </c>
      <c r="T841" s="21" t="n">
        <v>0.17</v>
      </c>
      <c r="U841" s="36" t="inlineStr">
        <is>
          <t>Tier 1A (Direct Coloc, &lt;1 km)</t>
        </is>
      </c>
      <c r="V841" s="20" t="n">
        <v>95.8</v>
      </c>
      <c r="W841" s="20" t="n">
        <v>69.90000000000001</v>
      </c>
      <c r="X841" s="20" t="n">
        <v>58</v>
      </c>
      <c r="Y841" s="40">
        <f>ROUND((V841*'Methodology &amp; Assumptions'!$B$6)+(W841*'Methodology &amp; Assumptions'!$B$5)+(X841*'Methodology &amp; Assumptions'!$B$7), 2)</f>
        <v/>
      </c>
    </row>
    <row r="842" ht="19" customHeight="1">
      <c r="A842" s="41" t="n">
        <v>838</v>
      </c>
      <c r="B842" s="41" t="n">
        <v>838</v>
      </c>
      <c r="C842" s="42" t="inlineStr">
        <is>
          <t>0405805014</t>
        </is>
      </c>
      <c r="D842" s="42" t="inlineStr">
        <is>
          <t>Region IV-A (CALABARZON)</t>
        </is>
      </c>
      <c r="E842" s="42" t="inlineStr">
        <is>
          <t>Rizal</t>
        </is>
      </c>
      <c r="F842" s="42" t="inlineStr">
        <is>
          <t>Cainta</t>
        </is>
      </c>
      <c r="G842" s="42" t="inlineStr">
        <is>
          <t>San Andres</t>
        </is>
      </c>
      <c r="H842" s="43" t="n">
        <v>14.569202</v>
      </c>
      <c r="I842" s="43" t="n">
        <v>121.103431</v>
      </c>
      <c r="J842" s="44" t="inlineStr">
        <is>
          <t>U</t>
        </is>
      </c>
      <c r="K842" s="42" t="inlineStr">
        <is>
          <t>Class 1-3 / Urban</t>
        </is>
      </c>
      <c r="L842" s="23" t="n">
        <v>120548</v>
      </c>
      <c r="M842" s="24" t="n">
        <v>4.39</v>
      </c>
      <c r="N842" s="23">
        <f>ROUND(L842/M842, 0)</f>
        <v/>
      </c>
      <c r="O842" s="23">
        <f>ROUND(N842*'Methodology &amp; Assumptions'!$B$8, 0)</f>
        <v/>
      </c>
      <c r="P842" s="44" t="inlineStr">
        <is>
          <t>Band n50 (1.5 GHz, 60 MHz)</t>
        </is>
      </c>
      <c r="Q842" s="38">
        <f>ROUNDUP(O842/'Methodology &amp; Assumptions'!$B$9, 0)</f>
        <v/>
      </c>
      <c r="R842" s="39" t="n">
        <v>1</v>
      </c>
      <c r="S842" s="25" t="n">
        <v>0.29</v>
      </c>
      <c r="T842" s="25" t="n">
        <v>0.28</v>
      </c>
      <c r="U842" s="42" t="inlineStr">
        <is>
          <t>Tier 1A (Direct Coloc, &lt;1 km)</t>
        </is>
      </c>
      <c r="V842" s="24" t="n">
        <v>100</v>
      </c>
      <c r="W842" s="24" t="n">
        <v>91.3</v>
      </c>
      <c r="X842" s="24" t="n">
        <v>28</v>
      </c>
      <c r="Y842" s="45">
        <f>ROUND((V842*'Methodology &amp; Assumptions'!$B$6)+(W842*'Methodology &amp; Assumptions'!$B$5)+(X842*'Methodology &amp; Assumptions'!$B$7), 2)</f>
        <v/>
      </c>
    </row>
    <row r="843" ht="19" customHeight="1">
      <c r="A843" s="35" t="n">
        <v>839</v>
      </c>
      <c r="B843" s="35" t="n">
        <v>839</v>
      </c>
      <c r="C843" s="36" t="inlineStr">
        <is>
          <t>0405805019</t>
        </is>
      </c>
      <c r="D843" s="36" t="inlineStr">
        <is>
          <t>Region IV-A (CALABARZON)</t>
        </is>
      </c>
      <c r="E843" s="36" t="inlineStr">
        <is>
          <t>Rizal</t>
        </is>
      </c>
      <c r="F843" s="36" t="inlineStr">
        <is>
          <t>Cainta</t>
        </is>
      </c>
      <c r="G843" s="36" t="inlineStr">
        <is>
          <t>Santo Niño</t>
        </is>
      </c>
      <c r="H843" s="37" t="n">
        <v>14.58193</v>
      </c>
      <c r="I843" s="37" t="n">
        <v>121.118</v>
      </c>
      <c r="J843" s="8" t="inlineStr">
        <is>
          <t>U</t>
        </is>
      </c>
      <c r="K843" s="36" t="inlineStr">
        <is>
          <t>Class 1-3 / Urban</t>
        </is>
      </c>
      <c r="L843" s="18" t="n">
        <v>6377</v>
      </c>
      <c r="M843" s="20" t="n">
        <v>4.39</v>
      </c>
      <c r="N843" s="18">
        <f>ROUND(L843/M843, 0)</f>
        <v/>
      </c>
      <c r="O843" s="18">
        <f>ROUND(N843*'Methodology &amp; Assumptions'!$B$8, 0)</f>
        <v/>
      </c>
      <c r="P843" s="8" t="inlineStr">
        <is>
          <t>Band n50 (1.5 GHz, 60 MHz)</t>
        </is>
      </c>
      <c r="Q843" s="38">
        <f>ROUNDUP(O843/'Methodology &amp; Assumptions'!$B$9, 0)</f>
        <v/>
      </c>
      <c r="R843" s="39" t="n">
        <v>1</v>
      </c>
      <c r="S843" s="21" t="n">
        <v>0.62</v>
      </c>
      <c r="T843" s="21" t="n">
        <v>0.38</v>
      </c>
      <c r="U843" s="36" t="inlineStr">
        <is>
          <t>Tier 1A (Direct Coloc, &lt;1 km)</t>
        </is>
      </c>
      <c r="V843" s="20" t="n">
        <v>91.3</v>
      </c>
      <c r="W843" s="20" t="n">
        <v>100</v>
      </c>
      <c r="X843" s="20" t="n">
        <v>28</v>
      </c>
      <c r="Y843" s="40">
        <f>ROUND((V843*'Methodology &amp; Assumptions'!$B$6)+(W843*'Methodology &amp; Assumptions'!$B$5)+(X843*'Methodology &amp; Assumptions'!$B$7), 2)</f>
        <v/>
      </c>
    </row>
    <row r="844" ht="19" customHeight="1">
      <c r="A844" s="41" t="n">
        <v>840</v>
      </c>
      <c r="B844" s="41" t="n">
        <v>840</v>
      </c>
      <c r="C844" s="42" t="inlineStr">
        <is>
          <t>0500517044</t>
        </is>
      </c>
      <c r="D844" s="42" t="inlineStr">
        <is>
          <t>Region V (Bicol Region)</t>
        </is>
      </c>
      <c r="E844" s="42" t="inlineStr">
        <is>
          <t>Albay</t>
        </is>
      </c>
      <c r="F844" s="42" t="inlineStr">
        <is>
          <t>City of Tabaco</t>
        </is>
      </c>
      <c r="G844" s="42" t="inlineStr">
        <is>
          <t>Santo Cristo</t>
        </is>
      </c>
      <c r="H844" s="43" t="n">
        <v>13.35753</v>
      </c>
      <c r="I844" s="43" t="n">
        <v>123.73431</v>
      </c>
      <c r="J844" s="44" t="inlineStr">
        <is>
          <t>U</t>
        </is>
      </c>
      <c r="K844" s="42" t="inlineStr">
        <is>
          <t>Class 1-3 / Urban</t>
        </is>
      </c>
      <c r="L844" s="23" t="n">
        <v>5544</v>
      </c>
      <c r="M844" s="24" t="n">
        <v>4.67</v>
      </c>
      <c r="N844" s="23">
        <f>ROUND(L844/M844, 0)</f>
        <v/>
      </c>
      <c r="O844" s="23">
        <f>ROUND(N844*'Methodology &amp; Assumptions'!$B$8, 0)</f>
        <v/>
      </c>
      <c r="P844" s="44" t="inlineStr">
        <is>
          <t>Band n50 (1.5 GHz, 60 MHz)</t>
        </is>
      </c>
      <c r="Q844" s="38">
        <f>ROUNDUP(O844/'Methodology &amp; Assumptions'!$B$9, 0)</f>
        <v/>
      </c>
      <c r="R844" s="39" t="n">
        <v>1</v>
      </c>
      <c r="S844" s="25" t="n">
        <v>0.62</v>
      </c>
      <c r="T844" s="25" t="n">
        <v>0.45</v>
      </c>
      <c r="U844" s="42" t="inlineStr">
        <is>
          <t>Tier 1A (Direct Coloc, &lt;1 km)</t>
        </is>
      </c>
      <c r="V844" s="24" t="n">
        <v>91.3</v>
      </c>
      <c r="W844" s="24" t="n">
        <v>100</v>
      </c>
      <c r="X844" s="24" t="n">
        <v>28</v>
      </c>
      <c r="Y844" s="45">
        <f>ROUND((V844*'Methodology &amp; Assumptions'!$B$6)+(W844*'Methodology &amp; Assumptions'!$B$5)+(X844*'Methodology &amp; Assumptions'!$B$7), 2)</f>
        <v/>
      </c>
    </row>
    <row r="845" ht="19" customHeight="1">
      <c r="A845" s="35" t="n">
        <v>841</v>
      </c>
      <c r="B845" s="35" t="n">
        <v>841</v>
      </c>
      <c r="C845" s="36" t="inlineStr">
        <is>
          <t>0306914002</t>
        </is>
      </c>
      <c r="D845" s="36" t="inlineStr">
        <is>
          <t>Region III (Central Luzon)</t>
        </is>
      </c>
      <c r="E845" s="36" t="inlineStr">
        <is>
          <t>Tarlac</t>
        </is>
      </c>
      <c r="F845" s="36" t="inlineStr">
        <is>
          <t>San Manuel</t>
        </is>
      </c>
      <c r="G845" s="36" t="inlineStr">
        <is>
          <t>Lanat</t>
        </is>
      </c>
      <c r="H845" s="37" t="n">
        <v>15.795173</v>
      </c>
      <c r="I845" s="37" t="n">
        <v>120.607858</v>
      </c>
      <c r="J845" s="8" t="inlineStr">
        <is>
          <t>R</t>
        </is>
      </c>
      <c r="K845" s="36" t="inlineStr">
        <is>
          <t>1st</t>
        </is>
      </c>
      <c r="L845" s="18" t="n">
        <v>2329</v>
      </c>
      <c r="M845" s="20" t="n">
        <v>4.47</v>
      </c>
      <c r="N845" s="18">
        <f>ROUND(L845/M845, 0)</f>
        <v/>
      </c>
      <c r="O845" s="18">
        <f>ROUND(N845*'Methodology &amp; Assumptions'!$B$8, 0)</f>
        <v/>
      </c>
      <c r="P845" s="8" t="inlineStr">
        <is>
          <t>Band n50 (1.5 GHz, 60 MHz)</t>
        </is>
      </c>
      <c r="Q845" s="38">
        <f>ROUNDUP(O845/'Methodology &amp; Assumptions'!$B$9, 0)</f>
        <v/>
      </c>
      <c r="R845" s="39" t="n">
        <v>1</v>
      </c>
      <c r="S845" s="21" t="n">
        <v>0.14</v>
      </c>
      <c r="T845" s="21" t="n">
        <v>0.09</v>
      </c>
      <c r="U845" s="36" t="inlineStr">
        <is>
          <t>Tier 1A (Direct Coloc, &lt;1 km)</t>
        </is>
      </c>
      <c r="V845" s="20" t="n">
        <v>100</v>
      </c>
      <c r="W845" s="20" t="n">
        <v>65.59999999999999</v>
      </c>
      <c r="X845" s="20" t="n">
        <v>58</v>
      </c>
      <c r="Y845" s="40">
        <f>ROUND((V845*'Methodology &amp; Assumptions'!$B$6)+(W845*'Methodology &amp; Assumptions'!$B$5)+(X845*'Methodology &amp; Assumptions'!$B$7), 2)</f>
        <v/>
      </c>
    </row>
    <row r="846" ht="19" customHeight="1">
      <c r="A846" s="41" t="n">
        <v>842</v>
      </c>
      <c r="B846" s="41" t="n">
        <v>842</v>
      </c>
      <c r="C846" s="42" t="inlineStr">
        <is>
          <t>0205706014</t>
        </is>
      </c>
      <c r="D846" s="42" t="inlineStr">
        <is>
          <t>Region II (Cagayan Valley)</t>
        </is>
      </c>
      <c r="E846" s="42" t="inlineStr">
        <is>
          <t>Quirino</t>
        </is>
      </c>
      <c r="F846" s="42" t="inlineStr">
        <is>
          <t>Nagtipunan</t>
        </is>
      </c>
      <c r="G846" s="42" t="inlineStr">
        <is>
          <t>Sangbay</t>
        </is>
      </c>
      <c r="H846" s="43" t="n">
        <v>16.252382</v>
      </c>
      <c r="I846" s="43" t="n">
        <v>121.667768</v>
      </c>
      <c r="J846" s="44" t="inlineStr">
        <is>
          <t>R</t>
        </is>
      </c>
      <c r="K846" s="42" t="inlineStr">
        <is>
          <t>Class 1-3 / Urban</t>
        </is>
      </c>
      <c r="L846" s="23" t="n">
        <v>2093</v>
      </c>
      <c r="M846" s="24" t="n">
        <v>4.03</v>
      </c>
      <c r="N846" s="23">
        <f>ROUND(L846/M846, 0)</f>
        <v/>
      </c>
      <c r="O846" s="23">
        <f>ROUND(N846*'Methodology &amp; Assumptions'!$B$8, 0)</f>
        <v/>
      </c>
      <c r="P846" s="44" t="inlineStr">
        <is>
          <t>Band n50 (1.5 GHz, 60 MHz)</t>
        </is>
      </c>
      <c r="Q846" s="38">
        <f>ROUNDUP(O846/'Methodology &amp; Assumptions'!$B$9, 0)</f>
        <v/>
      </c>
      <c r="R846" s="39" t="n">
        <v>1</v>
      </c>
      <c r="S846" s="25" t="n">
        <v>0.2</v>
      </c>
      <c r="T846" s="25" t="n">
        <v>0.15</v>
      </c>
      <c r="U846" s="42" t="inlineStr">
        <is>
          <t>Tier 1A (Direct Coloc, &lt;1 km)</t>
        </is>
      </c>
      <c r="V846" s="24" t="n">
        <v>100</v>
      </c>
      <c r="W846" s="24" t="n">
        <v>65.59999999999999</v>
      </c>
      <c r="X846" s="24" t="n">
        <v>58</v>
      </c>
      <c r="Y846" s="45">
        <f>ROUND((V846*'Methodology &amp; Assumptions'!$B$6)+(W846*'Methodology &amp; Assumptions'!$B$5)+(X846*'Methodology &amp; Assumptions'!$B$7), 2)</f>
        <v/>
      </c>
    </row>
    <row r="847" ht="19" customHeight="1">
      <c r="A847" s="35" t="n">
        <v>843</v>
      </c>
      <c r="B847" s="35" t="n">
        <v>843</v>
      </c>
      <c r="C847" s="36" t="inlineStr">
        <is>
          <t>0305416027</t>
        </is>
      </c>
      <c r="D847" s="36" t="inlineStr">
        <is>
          <t>Region III (Central Luzon)</t>
        </is>
      </c>
      <c r="E847" s="36" t="inlineStr">
        <is>
          <t>Pampanga</t>
        </is>
      </c>
      <c r="F847" s="36" t="inlineStr">
        <is>
          <t>City of San Fernando</t>
        </is>
      </c>
      <c r="G847" s="36" t="inlineStr">
        <is>
          <t>San Jose</t>
        </is>
      </c>
      <c r="H847" s="37" t="n">
        <v>15.133536</v>
      </c>
      <c r="I847" s="37" t="n">
        <v>120.59443</v>
      </c>
      <c r="J847" s="8" t="inlineStr">
        <is>
          <t>U</t>
        </is>
      </c>
      <c r="K847" s="36" t="inlineStr">
        <is>
          <t>Class 1-3 / Urban</t>
        </is>
      </c>
      <c r="L847" s="18" t="n">
        <v>16164</v>
      </c>
      <c r="M847" s="20" t="n">
        <v>4.63</v>
      </c>
      <c r="N847" s="18">
        <f>ROUND(L847/M847, 0)</f>
        <v/>
      </c>
      <c r="O847" s="18">
        <f>ROUND(N847*'Methodology &amp; Assumptions'!$B$8, 0)</f>
        <v/>
      </c>
      <c r="P847" s="8" t="inlineStr">
        <is>
          <t>Band n50 (1.5 GHz, 60 MHz)</t>
        </is>
      </c>
      <c r="Q847" s="38">
        <f>ROUNDUP(O847/'Methodology &amp; Assumptions'!$B$9, 0)</f>
        <v/>
      </c>
      <c r="R847" s="39" t="n">
        <v>1</v>
      </c>
      <c r="S847" s="21" t="n">
        <v>0.62</v>
      </c>
      <c r="T847" s="21" t="n">
        <v>0.21</v>
      </c>
      <c r="U847" s="36" t="inlineStr">
        <is>
          <t>Tier 1A (Direct Coloc, &lt;1 km)</t>
        </is>
      </c>
      <c r="V847" s="20" t="n">
        <v>91.3</v>
      </c>
      <c r="W847" s="20" t="n">
        <v>100</v>
      </c>
      <c r="X847" s="20" t="n">
        <v>28</v>
      </c>
      <c r="Y847" s="40">
        <f>ROUND((V847*'Methodology &amp; Assumptions'!$B$6)+(W847*'Methodology &amp; Assumptions'!$B$5)+(X847*'Methodology &amp; Assumptions'!$B$7), 2)</f>
        <v/>
      </c>
    </row>
    <row r="848" ht="19" customHeight="1">
      <c r="A848" s="41" t="n">
        <v>844</v>
      </c>
      <c r="B848" s="41" t="n">
        <v>844</v>
      </c>
      <c r="C848" s="42" t="inlineStr">
        <is>
          <t>0330100023</t>
        </is>
      </c>
      <c r="D848" s="42" t="inlineStr">
        <is>
          <t>Region III (Central Luzon)</t>
        </is>
      </c>
      <c r="E848" s="42" t="inlineStr">
        <is>
          <t>Pampanga</t>
        </is>
      </c>
      <c r="F848" s="42" t="inlineStr">
        <is>
          <t>City of Angeles</t>
        </is>
      </c>
      <c r="G848" s="42" t="inlineStr">
        <is>
          <t>San Jose</t>
        </is>
      </c>
      <c r="H848" s="43" t="n">
        <v>15.133536</v>
      </c>
      <c r="I848" s="43" t="n">
        <v>120.59443</v>
      </c>
      <c r="J848" s="44" t="inlineStr">
        <is>
          <t>U</t>
        </is>
      </c>
      <c r="K848" s="42" t="inlineStr">
        <is>
          <t>Class 1-3 / Urban</t>
        </is>
      </c>
      <c r="L848" s="23" t="n">
        <v>7187</v>
      </c>
      <c r="M848" s="24" t="n">
        <v>4.63</v>
      </c>
      <c r="N848" s="23">
        <f>ROUND(L848/M848, 0)</f>
        <v/>
      </c>
      <c r="O848" s="23">
        <f>ROUND(N848*'Methodology &amp; Assumptions'!$B$8, 0)</f>
        <v/>
      </c>
      <c r="P848" s="44" t="inlineStr">
        <is>
          <t>Band n50 (1.5 GHz, 60 MHz)</t>
        </is>
      </c>
      <c r="Q848" s="38">
        <f>ROUNDUP(O848/'Methodology &amp; Assumptions'!$B$9, 0)</f>
        <v/>
      </c>
      <c r="R848" s="39" t="n">
        <v>1</v>
      </c>
      <c r="S848" s="25" t="n">
        <v>0.62</v>
      </c>
      <c r="T848" s="25" t="n">
        <v>0.21</v>
      </c>
      <c r="U848" s="42" t="inlineStr">
        <is>
          <t>Tier 1A (Direct Coloc, &lt;1 km)</t>
        </is>
      </c>
      <c r="V848" s="24" t="n">
        <v>91.3</v>
      </c>
      <c r="W848" s="24" t="n">
        <v>100</v>
      </c>
      <c r="X848" s="24" t="n">
        <v>28</v>
      </c>
      <c r="Y848" s="45">
        <f>ROUND((V848*'Methodology &amp; Assumptions'!$B$6)+(W848*'Methodology &amp; Assumptions'!$B$5)+(X848*'Methodology &amp; Assumptions'!$B$7), 2)</f>
        <v/>
      </c>
    </row>
    <row r="849" ht="19" customHeight="1">
      <c r="A849" s="35" t="n">
        <v>845</v>
      </c>
      <c r="B849" s="35" t="n">
        <v>845</v>
      </c>
      <c r="C849" s="36" t="inlineStr">
        <is>
          <t>0604530013</t>
        </is>
      </c>
      <c r="D849" s="36" t="inlineStr">
        <is>
          <t>Region VI (Western Visayas)</t>
        </is>
      </c>
      <c r="E849" s="36" t="inlineStr">
        <is>
          <t>Negros Occidental</t>
        </is>
      </c>
      <c r="F849" s="36" t="inlineStr">
        <is>
          <t>Valladolid</t>
        </is>
      </c>
      <c r="G849" s="36" t="inlineStr">
        <is>
          <t>Palaka</t>
        </is>
      </c>
      <c r="H849" s="37" t="n">
        <v>10.47503</v>
      </c>
      <c r="I849" s="37" t="n">
        <v>122.821859</v>
      </c>
      <c r="J849" s="8" t="inlineStr">
        <is>
          <t>R</t>
        </is>
      </c>
      <c r="K849" s="36" t="inlineStr">
        <is>
          <t>2nd</t>
        </is>
      </c>
      <c r="L849" s="18" t="n">
        <v>3205</v>
      </c>
      <c r="M849" s="20" t="n">
        <v>4.26</v>
      </c>
      <c r="N849" s="18">
        <f>ROUND(L849/M849, 0)</f>
        <v/>
      </c>
      <c r="O849" s="18">
        <f>ROUND(N849*'Methodology &amp; Assumptions'!$B$8, 0)</f>
        <v/>
      </c>
      <c r="P849" s="8" t="inlineStr">
        <is>
          <t>Band n50 (1.5 GHz, 60 MHz)</t>
        </is>
      </c>
      <c r="Q849" s="38">
        <f>ROUNDUP(O849/'Methodology &amp; Assumptions'!$B$9, 0)</f>
        <v/>
      </c>
      <c r="R849" s="39" t="n">
        <v>1</v>
      </c>
      <c r="S849" s="21" t="n">
        <v>1.02</v>
      </c>
      <c r="T849" s="21" t="n">
        <v>0.11</v>
      </c>
      <c r="U849" s="36" t="inlineStr">
        <is>
          <t>Tier 1B (Micro Drop, 1-3 km)</t>
        </is>
      </c>
      <c r="V849" s="20" t="n">
        <v>81.3</v>
      </c>
      <c r="W849" s="20" t="n">
        <v>84.3</v>
      </c>
      <c r="X849" s="20" t="n">
        <v>58</v>
      </c>
      <c r="Y849" s="40">
        <f>ROUND((V849*'Methodology &amp; Assumptions'!$B$6)+(W849*'Methodology &amp; Assumptions'!$B$5)+(X849*'Methodology &amp; Assumptions'!$B$7), 2)</f>
        <v/>
      </c>
    </row>
    <row r="850" ht="19" customHeight="1">
      <c r="A850" s="41" t="n">
        <v>846</v>
      </c>
      <c r="B850" s="41" t="n">
        <v>846</v>
      </c>
      <c r="C850" s="42" t="inlineStr">
        <is>
          <t>0301423006</t>
        </is>
      </c>
      <c r="D850" s="42" t="inlineStr">
        <is>
          <t>Region III (Central Luzon)</t>
        </is>
      </c>
      <c r="E850" s="42" t="inlineStr">
        <is>
          <t>Bulacan</t>
        </is>
      </c>
      <c r="F850" s="42" t="inlineStr">
        <is>
          <t>Santa Maria</t>
        </is>
      </c>
      <c r="G850" s="42" t="inlineStr">
        <is>
          <t>Catmon</t>
        </is>
      </c>
      <c r="H850" s="43" t="n">
        <v>14.833042</v>
      </c>
      <c r="I850" s="43" t="n">
        <v>121.008283</v>
      </c>
      <c r="J850" s="44" t="inlineStr">
        <is>
          <t>U</t>
        </is>
      </c>
      <c r="K850" s="42" t="inlineStr">
        <is>
          <t>Class 1-3 / Urban</t>
        </is>
      </c>
      <c r="L850" s="23" t="n">
        <v>15938</v>
      </c>
      <c r="M850" s="24" t="n">
        <v>4.1</v>
      </c>
      <c r="N850" s="23">
        <f>ROUND(L850/M850, 0)</f>
        <v/>
      </c>
      <c r="O850" s="23">
        <f>ROUND(N850*'Methodology &amp; Assumptions'!$B$8, 0)</f>
        <v/>
      </c>
      <c r="P850" s="44" t="inlineStr">
        <is>
          <t>Band n50 (1.5 GHz, 60 MHz)</t>
        </is>
      </c>
      <c r="Q850" s="38">
        <f>ROUNDUP(O850/'Methodology &amp; Assumptions'!$B$9, 0)</f>
        <v/>
      </c>
      <c r="R850" s="39" t="n">
        <v>1</v>
      </c>
      <c r="S850" s="25" t="n">
        <v>0.27</v>
      </c>
      <c r="T850" s="25" t="n">
        <v>2.82</v>
      </c>
      <c r="U850" s="42" t="inlineStr">
        <is>
          <t>Tier 1A (Direct Coloc, &lt;1 km)</t>
        </is>
      </c>
      <c r="V850" s="24" t="n">
        <v>91.3</v>
      </c>
      <c r="W850" s="24" t="n">
        <v>100</v>
      </c>
      <c r="X850" s="24" t="n">
        <v>28</v>
      </c>
      <c r="Y850" s="45">
        <f>ROUND((V850*'Methodology &amp; Assumptions'!$B$6)+(W850*'Methodology &amp; Assumptions'!$B$5)+(X850*'Methodology &amp; Assumptions'!$B$7), 2)</f>
        <v/>
      </c>
    </row>
    <row r="851" ht="19" customHeight="1">
      <c r="A851" s="35" t="n">
        <v>847</v>
      </c>
      <c r="B851" s="35" t="n">
        <v>847</v>
      </c>
      <c r="C851" s="36" t="inlineStr">
        <is>
          <t>0102906018</t>
        </is>
      </c>
      <c r="D851" s="36" t="inlineStr">
        <is>
          <t>Region I (Ilocos Region)</t>
        </is>
      </c>
      <c r="E851" s="36" t="inlineStr">
        <is>
          <t>Ilocos Sur</t>
        </is>
      </c>
      <c r="F851" s="36" t="inlineStr">
        <is>
          <t>City of Candon</t>
        </is>
      </c>
      <c r="G851" s="36" t="inlineStr">
        <is>
          <t>Caterman</t>
        </is>
      </c>
      <c r="H851" s="37" t="n">
        <v>17.187404</v>
      </c>
      <c r="I851" s="37" t="n">
        <v>120.446718</v>
      </c>
      <c r="J851" s="8" t="inlineStr">
        <is>
          <t>R</t>
        </is>
      </c>
      <c r="K851" s="36" t="inlineStr">
        <is>
          <t>Class 1-3 / Urban</t>
        </is>
      </c>
      <c r="L851" s="18" t="n">
        <v>2652</v>
      </c>
      <c r="M851" s="20" t="n">
        <v>4.56</v>
      </c>
      <c r="N851" s="18">
        <f>ROUND(L851/M851, 0)</f>
        <v/>
      </c>
      <c r="O851" s="18">
        <f>ROUND(N851*'Methodology &amp; Assumptions'!$B$8, 0)</f>
        <v/>
      </c>
      <c r="P851" s="8" t="inlineStr">
        <is>
          <t>Band n50 (1.5 GHz, 60 MHz)</t>
        </is>
      </c>
      <c r="Q851" s="38">
        <f>ROUNDUP(O851/'Methodology &amp; Assumptions'!$B$9, 0)</f>
        <v/>
      </c>
      <c r="R851" s="39" t="n">
        <v>1</v>
      </c>
      <c r="S851" s="21" t="n">
        <v>0.49</v>
      </c>
      <c r="T851" s="21" t="n">
        <v>0.01</v>
      </c>
      <c r="U851" s="36" t="inlineStr">
        <is>
          <t>Tier 1A (Direct Coloc, &lt;1 km)</t>
        </is>
      </c>
      <c r="V851" s="20" t="n">
        <v>94.90000000000001</v>
      </c>
      <c r="W851" s="20" t="n">
        <v>70.7</v>
      </c>
      <c r="X851" s="20" t="n">
        <v>58</v>
      </c>
      <c r="Y851" s="40">
        <f>ROUND((V851*'Methodology &amp; Assumptions'!$B$6)+(W851*'Methodology &amp; Assumptions'!$B$5)+(X851*'Methodology &amp; Assumptions'!$B$7), 2)</f>
        <v/>
      </c>
    </row>
    <row r="852" ht="19" customHeight="1">
      <c r="A852" s="41" t="n">
        <v>848</v>
      </c>
      <c r="B852" s="41" t="n">
        <v>848</v>
      </c>
      <c r="C852" s="42" t="inlineStr">
        <is>
          <t>0501736022</t>
        </is>
      </c>
      <c r="D852" s="42" t="inlineStr">
        <is>
          <t>Region V (Bicol Region)</t>
        </is>
      </c>
      <c r="E852" s="42" t="inlineStr">
        <is>
          <t>Camarines Sur</t>
        </is>
      </c>
      <c r="F852" s="42" t="inlineStr">
        <is>
          <t>Tigaon</t>
        </is>
      </c>
      <c r="G852" s="42" t="inlineStr">
        <is>
          <t>Talojongon</t>
        </is>
      </c>
      <c r="H852" s="43" t="n">
        <v>13.628834</v>
      </c>
      <c r="I852" s="43" t="n">
        <v>123.496203</v>
      </c>
      <c r="J852" s="44" t="inlineStr">
        <is>
          <t>U</t>
        </is>
      </c>
      <c r="K852" s="42" t="inlineStr">
        <is>
          <t>Class 1-3 / Urban</t>
        </is>
      </c>
      <c r="L852" s="23" t="n">
        <v>4119</v>
      </c>
      <c r="M852" s="24" t="n">
        <v>4.9</v>
      </c>
      <c r="N852" s="23">
        <f>ROUND(L852/M852, 0)</f>
        <v/>
      </c>
      <c r="O852" s="23">
        <f>ROUND(N852*'Methodology &amp; Assumptions'!$B$8, 0)</f>
        <v/>
      </c>
      <c r="P852" s="44" t="inlineStr">
        <is>
          <t>Band n50 (1.5 GHz, 60 MHz)</t>
        </is>
      </c>
      <c r="Q852" s="38">
        <f>ROUNDUP(O852/'Methodology &amp; Assumptions'!$B$9, 0)</f>
        <v/>
      </c>
      <c r="R852" s="39" t="n">
        <v>1</v>
      </c>
      <c r="S852" s="25" t="n">
        <v>0.21</v>
      </c>
      <c r="T852" s="25" t="n">
        <v>0.17</v>
      </c>
      <c r="U852" s="42" t="inlineStr">
        <is>
          <t>Tier 1A (Direct Coloc, &lt;1 km)</t>
        </is>
      </c>
      <c r="V852" s="24" t="n">
        <v>100</v>
      </c>
      <c r="W852" s="24" t="n">
        <v>91.2</v>
      </c>
      <c r="X852" s="24" t="n">
        <v>28</v>
      </c>
      <c r="Y852" s="45">
        <f>ROUND((V852*'Methodology &amp; Assumptions'!$B$6)+(W852*'Methodology &amp; Assumptions'!$B$5)+(X852*'Methodology &amp; Assumptions'!$B$7), 2)</f>
        <v/>
      </c>
    </row>
    <row r="853" ht="19" customHeight="1">
      <c r="A853" s="35" t="n">
        <v>849</v>
      </c>
      <c r="B853" s="35" t="n">
        <v>849</v>
      </c>
      <c r="C853" s="36" t="inlineStr">
        <is>
          <t>0401020017</t>
        </is>
      </c>
      <c r="D853" s="36" t="inlineStr">
        <is>
          <t>Region IV-A (CALABARZON)</t>
        </is>
      </c>
      <c r="E853" s="36" t="inlineStr">
        <is>
          <t>Batangas</t>
        </is>
      </c>
      <c r="F853" s="36" t="inlineStr">
        <is>
          <t>Padre Garcia</t>
        </is>
      </c>
      <c r="G853" s="36" t="inlineStr">
        <is>
          <t>Cawongan</t>
        </is>
      </c>
      <c r="H853" s="37" t="n">
        <v>13.87189</v>
      </c>
      <c r="I853" s="37" t="n">
        <v>121.224361</v>
      </c>
      <c r="J853" s="8" t="inlineStr">
        <is>
          <t>R</t>
        </is>
      </c>
      <c r="K853" s="36" t="inlineStr">
        <is>
          <t>Class 1-3 / Urban</t>
        </is>
      </c>
      <c r="L853" s="18" t="n">
        <v>4250</v>
      </c>
      <c r="M853" s="20" t="n">
        <v>4.62</v>
      </c>
      <c r="N853" s="18">
        <f>ROUND(L853/M853, 0)</f>
        <v/>
      </c>
      <c r="O853" s="18">
        <f>ROUND(N853*'Methodology &amp; Assumptions'!$B$8, 0)</f>
        <v/>
      </c>
      <c r="P853" s="8" t="inlineStr">
        <is>
          <t>Band n50 (1.5 GHz, 60 MHz)</t>
        </is>
      </c>
      <c r="Q853" s="38">
        <f>ROUNDUP(O853/'Methodology &amp; Assumptions'!$B$9, 0)</f>
        <v/>
      </c>
      <c r="R853" s="39" t="n">
        <v>1</v>
      </c>
      <c r="S853" s="21" t="n">
        <v>1.64</v>
      </c>
      <c r="T853" s="21" t="n">
        <v>1.27</v>
      </c>
      <c r="U853" s="36" t="inlineStr">
        <is>
          <t>Tier 1B (Micro Drop, 1-3 km)</t>
        </is>
      </c>
      <c r="V853" s="20" t="n">
        <v>67.8</v>
      </c>
      <c r="W853" s="20" t="n">
        <v>97.59999999999999</v>
      </c>
      <c r="X853" s="20" t="n">
        <v>58</v>
      </c>
      <c r="Y853" s="40">
        <f>ROUND((V853*'Methodology &amp; Assumptions'!$B$6)+(W853*'Methodology &amp; Assumptions'!$B$5)+(X853*'Methodology &amp; Assumptions'!$B$7), 2)</f>
        <v/>
      </c>
    </row>
    <row r="854" ht="19" customHeight="1">
      <c r="A854" s="41" t="n">
        <v>850</v>
      </c>
      <c r="B854" s="41" t="n">
        <v>850</v>
      </c>
      <c r="C854" s="42" t="inlineStr">
        <is>
          <t>1430300088</t>
        </is>
      </c>
      <c r="D854" s="42" t="inlineStr">
        <is>
          <t>Cordillera Administrative Region (CAR)</t>
        </is>
      </c>
      <c r="E854" s="42" t="inlineStr">
        <is>
          <t>Benguet</t>
        </is>
      </c>
      <c r="F854" s="42" t="inlineStr">
        <is>
          <t>City of Baguio</t>
        </is>
      </c>
      <c r="G854" s="42" t="inlineStr">
        <is>
          <t>Pinsao Proper</t>
        </is>
      </c>
      <c r="H854" s="43" t="n">
        <v>16.42179</v>
      </c>
      <c r="I854" s="43" t="n">
        <v>120.57815</v>
      </c>
      <c r="J854" s="44" t="inlineStr">
        <is>
          <t>U</t>
        </is>
      </c>
      <c r="K854" s="42" t="inlineStr">
        <is>
          <t>Class 1-3 / Urban</t>
        </is>
      </c>
      <c r="L854" s="23" t="n">
        <v>8361</v>
      </c>
      <c r="M854" s="24" t="n">
        <v>4.58</v>
      </c>
      <c r="N854" s="23">
        <f>ROUND(L854/M854, 0)</f>
        <v/>
      </c>
      <c r="O854" s="23">
        <f>ROUND(N854*'Methodology &amp; Assumptions'!$B$8, 0)</f>
        <v/>
      </c>
      <c r="P854" s="44" t="inlineStr">
        <is>
          <t>Band n50 (1.5 GHz, 60 MHz)</t>
        </is>
      </c>
      <c r="Q854" s="38">
        <f>ROUNDUP(O854/'Methodology &amp; Assumptions'!$B$9, 0)</f>
        <v/>
      </c>
      <c r="R854" s="39" t="n">
        <v>1</v>
      </c>
      <c r="S854" s="25" t="n">
        <v>0.63</v>
      </c>
      <c r="T854" s="25" t="n">
        <v>0.96</v>
      </c>
      <c r="U854" s="42" t="inlineStr">
        <is>
          <t>Tier 1A (Direct Coloc, &lt;1 km)</t>
        </is>
      </c>
      <c r="V854" s="24" t="n">
        <v>91.09999999999999</v>
      </c>
      <c r="W854" s="24" t="n">
        <v>100</v>
      </c>
      <c r="X854" s="24" t="n">
        <v>28</v>
      </c>
      <c r="Y854" s="45">
        <f>ROUND((V854*'Methodology &amp; Assumptions'!$B$6)+(W854*'Methodology &amp; Assumptions'!$B$5)+(X854*'Methodology &amp; Assumptions'!$B$7), 2)</f>
        <v/>
      </c>
    </row>
    <row r="855" ht="19" customHeight="1">
      <c r="A855" s="35" t="n">
        <v>851</v>
      </c>
      <c r="B855" s="35" t="n">
        <v>851</v>
      </c>
      <c r="C855" s="36" t="inlineStr">
        <is>
          <t>1430300141</t>
        </is>
      </c>
      <c r="D855" s="36" t="inlineStr">
        <is>
          <t>Cordillera Administrative Region (CAR)</t>
        </is>
      </c>
      <c r="E855" s="36" t="inlineStr">
        <is>
          <t>Benguet</t>
        </is>
      </c>
      <c r="F855" s="36" t="inlineStr">
        <is>
          <t>City of Baguio</t>
        </is>
      </c>
      <c r="G855" s="36" t="inlineStr">
        <is>
          <t>Honeymoon</t>
        </is>
      </c>
      <c r="H855" s="37" t="n">
        <v>16.41915</v>
      </c>
      <c r="I855" s="37" t="n">
        <v>120.60084</v>
      </c>
      <c r="J855" s="8" t="inlineStr">
        <is>
          <t>R</t>
        </is>
      </c>
      <c r="K855" s="36" t="inlineStr">
        <is>
          <t>Class 1-3 / Urban</t>
        </is>
      </c>
      <c r="L855" s="18" t="n">
        <v>3308</v>
      </c>
      <c r="M855" s="20" t="n">
        <v>4.58</v>
      </c>
      <c r="N855" s="18">
        <f>ROUND(L855/M855, 0)</f>
        <v/>
      </c>
      <c r="O855" s="18">
        <f>ROUND(N855*'Methodology &amp; Assumptions'!$B$8, 0)</f>
        <v/>
      </c>
      <c r="P855" s="8" t="inlineStr">
        <is>
          <t>Band n50 (1.5 GHz, 60 MHz)</t>
        </is>
      </c>
      <c r="Q855" s="38">
        <f>ROUNDUP(O855/'Methodology &amp; Assumptions'!$B$9, 0)</f>
        <v/>
      </c>
      <c r="R855" s="39" t="n">
        <v>1</v>
      </c>
      <c r="S855" s="21" t="n">
        <v>0.77</v>
      </c>
      <c r="T855" s="21" t="n">
        <v>0.89</v>
      </c>
      <c r="U855" s="36" t="inlineStr">
        <is>
          <t>Tier 1A (Direct Coloc, &lt;1 km)</t>
        </is>
      </c>
      <c r="V855" s="20" t="n">
        <v>87.5</v>
      </c>
      <c r="W855" s="20" t="n">
        <v>77.90000000000001</v>
      </c>
      <c r="X855" s="20" t="n">
        <v>58</v>
      </c>
      <c r="Y855" s="40">
        <f>ROUND((V855*'Methodology &amp; Assumptions'!$B$6)+(W855*'Methodology &amp; Assumptions'!$B$5)+(X855*'Methodology &amp; Assumptions'!$B$7), 2)</f>
        <v/>
      </c>
    </row>
    <row r="856" ht="19" customHeight="1">
      <c r="A856" s="41" t="n">
        <v>852</v>
      </c>
      <c r="B856" s="41" t="n">
        <v>852</v>
      </c>
      <c r="C856" s="42" t="inlineStr">
        <is>
          <t>0701205011</t>
        </is>
      </c>
      <c r="D856" s="42" t="inlineStr">
        <is>
          <t>Region VII (Central Visayas)</t>
        </is>
      </c>
      <c r="E856" s="42" t="inlineStr">
        <is>
          <t>Bohol</t>
        </is>
      </c>
      <c r="F856" s="42" t="inlineStr">
        <is>
          <t>Baclayon</t>
        </is>
      </c>
      <c r="G856" s="42" t="inlineStr">
        <is>
          <t>Poblacion</t>
        </is>
      </c>
      <c r="H856" s="43" t="n">
        <v>9.623903</v>
      </c>
      <c r="I856" s="43" t="n">
        <v>123.911646</v>
      </c>
      <c r="J856" s="44" t="inlineStr">
        <is>
          <t>R</t>
        </is>
      </c>
      <c r="K856" s="42" t="inlineStr">
        <is>
          <t>4th</t>
        </is>
      </c>
      <c r="L856" s="23" t="n">
        <v>1874</v>
      </c>
      <c r="M856" s="24" t="n">
        <v>4.66</v>
      </c>
      <c r="N856" s="23">
        <f>ROUND(L856/M856, 0)</f>
        <v/>
      </c>
      <c r="O856" s="23">
        <f>ROUND(N856*'Methodology &amp; Assumptions'!$B$8, 0)</f>
        <v/>
      </c>
      <c r="P856" s="44" t="inlineStr">
        <is>
          <t>Band n50 (1.5 GHz, 60 MHz)</t>
        </is>
      </c>
      <c r="Q856" s="38">
        <f>ROUNDUP(O856/'Methodology &amp; Assumptions'!$B$9, 0)</f>
        <v/>
      </c>
      <c r="R856" s="39" t="n">
        <v>1</v>
      </c>
      <c r="S856" s="25" t="n">
        <v>0.16</v>
      </c>
      <c r="T856" s="25" t="n">
        <v>0.28</v>
      </c>
      <c r="U856" s="42" t="inlineStr">
        <is>
          <t>Tier 1A (Direct Coloc, &lt;1 km)</t>
        </is>
      </c>
      <c r="V856" s="24" t="n">
        <v>100</v>
      </c>
      <c r="W856" s="24" t="n">
        <v>56.3</v>
      </c>
      <c r="X856" s="24" t="n">
        <v>68.5</v>
      </c>
      <c r="Y856" s="45">
        <f>ROUND((V856*'Methodology &amp; Assumptions'!$B$6)+(W856*'Methodology &amp; Assumptions'!$B$5)+(X856*'Methodology &amp; Assumptions'!$B$7), 2)</f>
        <v/>
      </c>
    </row>
    <row r="857" ht="19" customHeight="1">
      <c r="A857" s="35" t="n">
        <v>853</v>
      </c>
      <c r="B857" s="35" t="n">
        <v>853</v>
      </c>
      <c r="C857" s="36" t="inlineStr">
        <is>
          <t>0603009019</t>
        </is>
      </c>
      <c r="D857" s="36" t="inlineStr">
        <is>
          <t>Region VI (Western Visayas)</t>
        </is>
      </c>
      <c r="E857" s="36" t="inlineStr">
        <is>
          <t>Iloilo</t>
        </is>
      </c>
      <c r="F857" s="36" t="inlineStr">
        <is>
          <t>Batad</t>
        </is>
      </c>
      <c r="G857" s="36" t="inlineStr">
        <is>
          <t>Poblacion</t>
        </is>
      </c>
      <c r="H857" s="37" t="n">
        <v>11.417788</v>
      </c>
      <c r="I857" s="37" t="n">
        <v>123.109965</v>
      </c>
      <c r="J857" s="8" t="inlineStr">
        <is>
          <t>R</t>
        </is>
      </c>
      <c r="K857" s="36" t="inlineStr">
        <is>
          <t>4th</t>
        </is>
      </c>
      <c r="L857" s="18" t="n">
        <v>1728</v>
      </c>
      <c r="M857" s="20" t="n">
        <v>4.13</v>
      </c>
      <c r="N857" s="18">
        <f>ROUND(L857/M857, 0)</f>
        <v/>
      </c>
      <c r="O857" s="18">
        <f>ROUND(N857*'Methodology &amp; Assumptions'!$B$8, 0)</f>
        <v/>
      </c>
      <c r="P857" s="8" t="inlineStr">
        <is>
          <t>Band n50 (1.5 GHz, 60 MHz)</t>
        </is>
      </c>
      <c r="Q857" s="38">
        <f>ROUNDUP(O857/'Methodology &amp; Assumptions'!$B$9, 0)</f>
        <v/>
      </c>
      <c r="R857" s="39" t="n">
        <v>1</v>
      </c>
      <c r="S857" s="21" t="n">
        <v>0.35</v>
      </c>
      <c r="T857" s="21" t="n">
        <v>0.02</v>
      </c>
      <c r="U857" s="36" t="inlineStr">
        <is>
          <t>Tier 1A (Direct Coloc, &lt;1 km)</t>
        </is>
      </c>
      <c r="V857" s="20" t="n">
        <v>98.90000000000001</v>
      </c>
      <c r="W857" s="20" t="n">
        <v>57.3</v>
      </c>
      <c r="X857" s="20" t="n">
        <v>68.5</v>
      </c>
      <c r="Y857" s="40">
        <f>ROUND((V857*'Methodology &amp; Assumptions'!$B$6)+(W857*'Methodology &amp; Assumptions'!$B$5)+(X857*'Methodology &amp; Assumptions'!$B$7), 2)</f>
        <v/>
      </c>
    </row>
    <row r="858" ht="19" customHeight="1">
      <c r="A858" s="41" t="n">
        <v>854</v>
      </c>
      <c r="B858" s="41" t="n">
        <v>854</v>
      </c>
      <c r="C858" s="42" t="inlineStr">
        <is>
          <t>0506203038</t>
        </is>
      </c>
      <c r="D858" s="42" t="inlineStr">
        <is>
          <t>Region V (Bicol Region)</t>
        </is>
      </c>
      <c r="E858" s="42" t="inlineStr">
        <is>
          <t>Sorsogon</t>
        </is>
      </c>
      <c r="F858" s="42" t="inlineStr">
        <is>
          <t>Bulan</t>
        </is>
      </c>
      <c r="G858" s="42" t="inlineStr">
        <is>
          <t>Obrero</t>
        </is>
      </c>
      <c r="H858" s="43" t="n">
        <v>12.667778</v>
      </c>
      <c r="I858" s="43" t="n">
        <v>123.878678</v>
      </c>
      <c r="J858" s="44" t="inlineStr">
        <is>
          <t>R</t>
        </is>
      </c>
      <c r="K858" s="42" t="inlineStr">
        <is>
          <t>Class 1-3 / Urban</t>
        </is>
      </c>
      <c r="L858" s="23" t="n">
        <v>2927</v>
      </c>
      <c r="M858" s="24" t="n">
        <v>4.58</v>
      </c>
      <c r="N858" s="23">
        <f>ROUND(L858/M858, 0)</f>
        <v/>
      </c>
      <c r="O858" s="23">
        <f>ROUND(N858*'Methodology &amp; Assumptions'!$B$8, 0)</f>
        <v/>
      </c>
      <c r="P858" s="44" t="inlineStr">
        <is>
          <t>Band n50 (1.5 GHz, 60 MHz)</t>
        </is>
      </c>
      <c r="Q858" s="38">
        <f>ROUNDUP(O858/'Methodology &amp; Assumptions'!$B$9, 0)</f>
        <v/>
      </c>
      <c r="R858" s="39" t="n">
        <v>1</v>
      </c>
      <c r="S858" s="25" t="n">
        <v>0.67</v>
      </c>
      <c r="T858" s="25" t="n">
        <v>0.33</v>
      </c>
      <c r="U858" s="42" t="inlineStr">
        <is>
          <t>Tier 1A (Direct Coloc, &lt;1 km)</t>
        </is>
      </c>
      <c r="V858" s="24" t="n">
        <v>90</v>
      </c>
      <c r="W858" s="24" t="n">
        <v>75.2</v>
      </c>
      <c r="X858" s="24" t="n">
        <v>58</v>
      </c>
      <c r="Y858" s="45">
        <f>ROUND((V858*'Methodology &amp; Assumptions'!$B$6)+(W858*'Methodology &amp; Assumptions'!$B$5)+(X858*'Methodology &amp; Assumptions'!$B$7), 2)</f>
        <v/>
      </c>
    </row>
    <row r="859" ht="19" customHeight="1">
      <c r="A859" s="35" t="n">
        <v>855</v>
      </c>
      <c r="B859" s="35" t="n">
        <v>855</v>
      </c>
      <c r="C859" s="36" t="inlineStr">
        <is>
          <t>1004308042</t>
        </is>
      </c>
      <c r="D859" s="36" t="inlineStr">
        <is>
          <t>Region X (Northern Mindanao)</t>
        </is>
      </c>
      <c r="E859" s="36" t="inlineStr">
        <is>
          <t>Misamis Oriental</t>
        </is>
      </c>
      <c r="F859" s="36" t="inlineStr">
        <is>
          <t>City of Gingoog</t>
        </is>
      </c>
      <c r="G859" s="36" t="inlineStr">
        <is>
          <t>Barangay 18-A</t>
        </is>
      </c>
      <c r="H859" s="37" t="n">
        <v>8.828405</v>
      </c>
      <c r="I859" s="37" t="n">
        <v>125.109882</v>
      </c>
      <c r="J859" s="8" t="inlineStr">
        <is>
          <t>U</t>
        </is>
      </c>
      <c r="K859" s="36" t="inlineStr">
        <is>
          <t>Class 1-3 / Urban</t>
        </is>
      </c>
      <c r="L859" s="18" t="n">
        <v>6230</v>
      </c>
      <c r="M859" s="20" t="n">
        <v>4.54</v>
      </c>
      <c r="N859" s="18">
        <f>ROUND(L859/M859, 0)</f>
        <v/>
      </c>
      <c r="O859" s="18">
        <f>ROUND(N859*'Methodology &amp; Assumptions'!$B$8, 0)</f>
        <v/>
      </c>
      <c r="P859" s="8" t="inlineStr">
        <is>
          <t>Band n50 (1.5 GHz, 60 MHz)</t>
        </is>
      </c>
      <c r="Q859" s="38">
        <f>ROUNDUP(O859/'Methodology &amp; Assumptions'!$B$9, 0)</f>
        <v/>
      </c>
      <c r="R859" s="39" t="n">
        <v>1</v>
      </c>
      <c r="S859" s="21" t="n">
        <v>0.63</v>
      </c>
      <c r="T859" s="21" t="n">
        <v>0.33</v>
      </c>
      <c r="U859" s="36" t="inlineStr">
        <is>
          <t>Tier 1A (Direct Coloc, &lt;1 km)</t>
        </is>
      </c>
      <c r="V859" s="20" t="n">
        <v>91</v>
      </c>
      <c r="W859" s="20" t="n">
        <v>100</v>
      </c>
      <c r="X859" s="20" t="n">
        <v>28</v>
      </c>
      <c r="Y859" s="40">
        <f>ROUND((V859*'Methodology &amp; Assumptions'!$B$6)+(W859*'Methodology &amp; Assumptions'!$B$5)+(X859*'Methodology &amp; Assumptions'!$B$7), 2)</f>
        <v/>
      </c>
    </row>
    <row r="860" ht="19" customHeight="1">
      <c r="A860" s="41" t="n">
        <v>856</v>
      </c>
      <c r="B860" s="41" t="n">
        <v>856</v>
      </c>
      <c r="C860" s="42" t="inlineStr">
        <is>
          <t>1630400045</t>
        </is>
      </c>
      <c r="D860" s="42" t="inlineStr">
        <is>
          <t>Region XIII (Caraga)</t>
        </is>
      </c>
      <c r="E860" s="42" t="inlineStr">
        <is>
          <t>Agusan del Norte</t>
        </is>
      </c>
      <c r="F860" s="42" t="inlineStr">
        <is>
          <t>City of Butuan</t>
        </is>
      </c>
      <c r="G860" s="42" t="inlineStr">
        <is>
          <t>Jose Rizal Pob.</t>
        </is>
      </c>
      <c r="H860" s="43" t="n">
        <v>8.940706</v>
      </c>
      <c r="I860" s="43" t="n">
        <v>125.538486</v>
      </c>
      <c r="J860" s="44" t="inlineStr">
        <is>
          <t>U</t>
        </is>
      </c>
      <c r="K860" s="42" t="inlineStr">
        <is>
          <t>Class 1-3 / Urban</t>
        </is>
      </c>
      <c r="L860" s="23" t="n">
        <v>4908</v>
      </c>
      <c r="M860" s="24" t="n">
        <v>4.63</v>
      </c>
      <c r="N860" s="23">
        <f>ROUND(L860/M860, 0)</f>
        <v/>
      </c>
      <c r="O860" s="23">
        <f>ROUND(N860*'Methodology &amp; Assumptions'!$B$8, 0)</f>
        <v/>
      </c>
      <c r="P860" s="44" t="inlineStr">
        <is>
          <t>Band n50 (1.5 GHz, 60 MHz)</t>
        </is>
      </c>
      <c r="Q860" s="38">
        <f>ROUNDUP(O860/'Methodology &amp; Assumptions'!$B$9, 0)</f>
        <v/>
      </c>
      <c r="R860" s="39" t="n">
        <v>1</v>
      </c>
      <c r="S860" s="25" t="n">
        <v>1.15</v>
      </c>
      <c r="T860" s="25" t="n">
        <v>0.22</v>
      </c>
      <c r="U860" s="42" t="inlineStr">
        <is>
          <t>Tier 1B (Micro Drop, 1-3 km)</t>
        </is>
      </c>
      <c r="V860" s="24" t="n">
        <v>78</v>
      </c>
      <c r="W860" s="24" t="n">
        <v>100</v>
      </c>
      <c r="X860" s="24" t="n">
        <v>43</v>
      </c>
      <c r="Y860" s="45">
        <f>ROUND((V860*'Methodology &amp; Assumptions'!$B$6)+(W860*'Methodology &amp; Assumptions'!$B$5)+(X860*'Methodology &amp; Assumptions'!$B$7), 2)</f>
        <v/>
      </c>
    </row>
    <row r="861" ht="19" customHeight="1">
      <c r="A861" s="35" t="n">
        <v>857</v>
      </c>
      <c r="B861" s="35" t="n">
        <v>857</v>
      </c>
      <c r="C861" s="36" t="inlineStr">
        <is>
          <t>0307105008</t>
        </is>
      </c>
      <c r="D861" s="36" t="inlineStr">
        <is>
          <t>Region III (Central Luzon)</t>
        </is>
      </c>
      <c r="E861" s="36" t="inlineStr">
        <is>
          <t>Zambales</t>
        </is>
      </c>
      <c r="F861" s="36" t="inlineStr">
        <is>
          <t>Iba</t>
        </is>
      </c>
      <c r="G861" s="36" t="inlineStr">
        <is>
          <t>Dirita-Baloguen</t>
        </is>
      </c>
      <c r="H861" s="37" t="n">
        <v>15.331991</v>
      </c>
      <c r="I861" s="37" t="n">
        <v>119.979421</v>
      </c>
      <c r="J861" s="8" t="inlineStr">
        <is>
          <t>U</t>
        </is>
      </c>
      <c r="K861" s="36" t="inlineStr">
        <is>
          <t>Class 1-3 / Urban</t>
        </is>
      </c>
      <c r="L861" s="18" t="n">
        <v>3763</v>
      </c>
      <c r="M861" s="20" t="n">
        <v>4.05</v>
      </c>
      <c r="N861" s="18">
        <f>ROUND(L861/M861, 0)</f>
        <v/>
      </c>
      <c r="O861" s="18">
        <f>ROUND(N861*'Methodology &amp; Assumptions'!$B$8, 0)</f>
        <v/>
      </c>
      <c r="P861" s="8" t="inlineStr">
        <is>
          <t>Band n50 (1.5 GHz, 60 MHz)</t>
        </is>
      </c>
      <c r="Q861" s="38">
        <f>ROUNDUP(O861/'Methodology &amp; Assumptions'!$B$9, 0)</f>
        <v/>
      </c>
      <c r="R861" s="39" t="n">
        <v>1</v>
      </c>
      <c r="S861" s="21" t="n">
        <v>0.58</v>
      </c>
      <c r="T861" s="21" t="n">
        <v>0.59</v>
      </c>
      <c r="U861" s="36" t="inlineStr">
        <is>
          <t>Tier 1A (Direct Coloc, &lt;1 km)</t>
        </is>
      </c>
      <c r="V861" s="20" t="n">
        <v>92.5</v>
      </c>
      <c r="W861" s="20" t="n">
        <v>98.40000000000001</v>
      </c>
      <c r="X861" s="20" t="n">
        <v>28</v>
      </c>
      <c r="Y861" s="40">
        <f>ROUND((V861*'Methodology &amp; Assumptions'!$B$6)+(W861*'Methodology &amp; Assumptions'!$B$5)+(X861*'Methodology &amp; Assumptions'!$B$7), 2)</f>
        <v/>
      </c>
    </row>
    <row r="862" ht="19" customHeight="1">
      <c r="A862" s="41" t="n">
        <v>858</v>
      </c>
      <c r="B862" s="41" t="n">
        <v>858</v>
      </c>
      <c r="C862" s="42" t="inlineStr">
        <is>
          <t>1600308019</t>
        </is>
      </c>
      <c r="D862" s="42" t="inlineStr">
        <is>
          <t>Region XIII (Caraga)</t>
        </is>
      </c>
      <c r="E862" s="42" t="inlineStr">
        <is>
          <t>Agusan del Sur</t>
        </is>
      </c>
      <c r="F862" s="42" t="inlineStr">
        <is>
          <t>San Francisco</t>
        </is>
      </c>
      <c r="G862" s="42" t="inlineStr">
        <is>
          <t>Barangay 5</t>
        </is>
      </c>
      <c r="H862" s="43" t="n">
        <v>8.503878</v>
      </c>
      <c r="I862" s="43" t="n">
        <v>125.9788</v>
      </c>
      <c r="J862" s="44" t="inlineStr">
        <is>
          <t>U</t>
        </is>
      </c>
      <c r="K862" s="42" t="inlineStr">
        <is>
          <t>Class 1-3 / Urban</t>
        </is>
      </c>
      <c r="L862" s="23" t="n">
        <v>6058</v>
      </c>
      <c r="M862" s="24" t="n">
        <v>4.1</v>
      </c>
      <c r="N862" s="23">
        <f>ROUND(L862/M862, 0)</f>
        <v/>
      </c>
      <c r="O862" s="23">
        <f>ROUND(N862*'Methodology &amp; Assumptions'!$B$8, 0)</f>
        <v/>
      </c>
      <c r="P862" s="44" t="inlineStr">
        <is>
          <t>Band n50 (1.5 GHz, 60 MHz)</t>
        </is>
      </c>
      <c r="Q862" s="38">
        <f>ROUNDUP(O862/'Methodology &amp; Assumptions'!$B$9, 0)</f>
        <v/>
      </c>
      <c r="R862" s="39" t="n">
        <v>1</v>
      </c>
      <c r="S862" s="25" t="n">
        <v>0.64</v>
      </c>
      <c r="T862" s="25" t="n">
        <v>0.17</v>
      </c>
      <c r="U862" s="42" t="inlineStr">
        <is>
          <t>Tier 1A (Direct Coloc, &lt;1 km)</t>
        </is>
      </c>
      <c r="V862" s="24" t="n">
        <v>90.90000000000001</v>
      </c>
      <c r="W862" s="24" t="n">
        <v>100</v>
      </c>
      <c r="X862" s="24" t="n">
        <v>28</v>
      </c>
      <c r="Y862" s="45">
        <f>ROUND((V862*'Methodology &amp; Assumptions'!$B$6)+(W862*'Methodology &amp; Assumptions'!$B$5)+(X862*'Methodology &amp; Assumptions'!$B$7), 2)</f>
        <v/>
      </c>
    </row>
    <row r="863" ht="19" customHeight="1">
      <c r="A863" s="35" t="n">
        <v>859</v>
      </c>
      <c r="B863" s="35" t="n">
        <v>859</v>
      </c>
      <c r="C863" s="36" t="inlineStr">
        <is>
          <t>1705205056</t>
        </is>
      </c>
      <c r="D863" s="36" t="inlineStr">
        <is>
          <t>MIMAROPA Region</t>
        </is>
      </c>
      <c r="E863" s="36" t="inlineStr">
        <is>
          <t>Oriental Mindoro</t>
        </is>
      </c>
      <c r="F863" s="36" t="inlineStr">
        <is>
          <t>City of Calapan</t>
        </is>
      </c>
      <c r="G863" s="36" t="inlineStr">
        <is>
          <t>Sta. Isabel</t>
        </is>
      </c>
      <c r="H863" s="37" t="n">
        <v>13.36761</v>
      </c>
      <c r="I863" s="37" t="n">
        <v>121.15933</v>
      </c>
      <c r="J863" s="8" t="inlineStr">
        <is>
          <t>U</t>
        </is>
      </c>
      <c r="K863" s="36" t="inlineStr">
        <is>
          <t>Class 1-3 / Urban</t>
        </is>
      </c>
      <c r="L863" s="18" t="n">
        <v>4732</v>
      </c>
      <c r="M863" s="20" t="n">
        <v>4.41</v>
      </c>
      <c r="N863" s="18">
        <f>ROUND(L863/M863, 0)</f>
        <v/>
      </c>
      <c r="O863" s="18">
        <f>ROUND(N863*'Methodology &amp; Assumptions'!$B$8, 0)</f>
        <v/>
      </c>
      <c r="P863" s="8" t="inlineStr">
        <is>
          <t>Band n50 (1.5 GHz, 60 MHz)</t>
        </is>
      </c>
      <c r="Q863" s="38">
        <f>ROUNDUP(O863/'Methodology &amp; Assumptions'!$B$9, 0)</f>
        <v/>
      </c>
      <c r="R863" s="39" t="n">
        <v>1</v>
      </c>
      <c r="S863" s="21" t="n">
        <v>0.64</v>
      </c>
      <c r="T863" s="21" t="n">
        <v>0.07000000000000001</v>
      </c>
      <c r="U863" s="36" t="inlineStr">
        <is>
          <t>Tier 1A (Direct Coloc, &lt;1 km)</t>
        </is>
      </c>
      <c r="V863" s="20" t="n">
        <v>90.90000000000001</v>
      </c>
      <c r="W863" s="20" t="n">
        <v>100</v>
      </c>
      <c r="X863" s="20" t="n">
        <v>28</v>
      </c>
      <c r="Y863" s="40">
        <f>ROUND((V863*'Methodology &amp; Assumptions'!$B$6)+(W863*'Methodology &amp; Assumptions'!$B$5)+(X863*'Methodology &amp; Assumptions'!$B$7), 2)</f>
        <v/>
      </c>
    </row>
    <row r="864" ht="19" customHeight="1">
      <c r="A864" s="41" t="n">
        <v>860</v>
      </c>
      <c r="B864" s="41" t="n">
        <v>860</v>
      </c>
      <c r="C864" s="42" t="inlineStr">
        <is>
          <t>0702219009</t>
        </is>
      </c>
      <c r="D864" s="42" t="inlineStr">
        <is>
          <t>Region VII (Central Visayas)</t>
        </is>
      </c>
      <c r="E864" s="42" t="inlineStr">
        <is>
          <t>Cebu</t>
        </is>
      </c>
      <c r="F864" s="42" t="inlineStr">
        <is>
          <t>Consolacion</t>
        </is>
      </c>
      <c r="G864" s="42" t="inlineStr">
        <is>
          <t>Nangka</t>
        </is>
      </c>
      <c r="H864" s="43" t="n">
        <v>10.370772</v>
      </c>
      <c r="I864" s="43" t="n">
        <v>123.95892</v>
      </c>
      <c r="J864" s="44" t="inlineStr">
        <is>
          <t>U</t>
        </is>
      </c>
      <c r="K864" s="42" t="inlineStr">
        <is>
          <t>Class 1-3 / Urban</t>
        </is>
      </c>
      <c r="L864" s="23" t="n">
        <v>13013</v>
      </c>
      <c r="M864" s="24" t="n">
        <v>4.42</v>
      </c>
      <c r="N864" s="23">
        <f>ROUND(L864/M864, 0)</f>
        <v/>
      </c>
      <c r="O864" s="23">
        <f>ROUND(N864*'Methodology &amp; Assumptions'!$B$8, 0)</f>
        <v/>
      </c>
      <c r="P864" s="44" t="inlineStr">
        <is>
          <t>Band n50 (1.5 GHz, 60 MHz)</t>
        </is>
      </c>
      <c r="Q864" s="38">
        <f>ROUNDUP(O864/'Methodology &amp; Assumptions'!$B$9, 0)</f>
        <v/>
      </c>
      <c r="R864" s="39" t="n">
        <v>1</v>
      </c>
      <c r="S864" s="25" t="n">
        <v>0.64</v>
      </c>
      <c r="T864" s="25" t="n">
        <v>0.5600000000000001</v>
      </c>
      <c r="U864" s="42" t="inlineStr">
        <is>
          <t>Tier 1A (Direct Coloc, &lt;1 km)</t>
        </is>
      </c>
      <c r="V864" s="24" t="n">
        <v>90.90000000000001</v>
      </c>
      <c r="W864" s="24" t="n">
        <v>100</v>
      </c>
      <c r="X864" s="24" t="n">
        <v>28</v>
      </c>
      <c r="Y864" s="45">
        <f>ROUND((V864*'Methodology &amp; Assumptions'!$B$6)+(W864*'Methodology &amp; Assumptions'!$B$5)+(X864*'Methodology &amp; Assumptions'!$B$7), 2)</f>
        <v/>
      </c>
    </row>
    <row r="865" ht="19" customHeight="1">
      <c r="A865" s="35" t="n">
        <v>861</v>
      </c>
      <c r="B865" s="35" t="n">
        <v>861</v>
      </c>
      <c r="C865" s="36" t="inlineStr">
        <is>
          <t>1600314015</t>
        </is>
      </c>
      <c r="D865" s="36" t="inlineStr">
        <is>
          <t>Region XIII (Caraga)</t>
        </is>
      </c>
      <c r="E865" s="36" t="inlineStr">
        <is>
          <t>Agusan del Sur</t>
        </is>
      </c>
      <c r="F865" s="36" t="inlineStr">
        <is>
          <t>Sibagat</t>
        </is>
      </c>
      <c r="G865" s="36" t="inlineStr">
        <is>
          <t>Poblacion</t>
        </is>
      </c>
      <c r="H865" s="37" t="n">
        <v>8.821628</v>
      </c>
      <c r="I865" s="37" t="n">
        <v>125.6961</v>
      </c>
      <c r="J865" s="8" t="inlineStr">
        <is>
          <t>U</t>
        </is>
      </c>
      <c r="K865" s="36" t="inlineStr">
        <is>
          <t>Class 1-3 / Urban</t>
        </is>
      </c>
      <c r="L865" s="18" t="n">
        <v>6328</v>
      </c>
      <c r="M865" s="20" t="n">
        <v>4.1</v>
      </c>
      <c r="N865" s="18">
        <f>ROUND(L865/M865, 0)</f>
        <v/>
      </c>
      <c r="O865" s="18">
        <f>ROUND(N865*'Methodology &amp; Assumptions'!$B$8, 0)</f>
        <v/>
      </c>
      <c r="P865" s="8" t="inlineStr">
        <is>
          <t>Band n50 (1.5 GHz, 60 MHz)</t>
        </is>
      </c>
      <c r="Q865" s="38">
        <f>ROUNDUP(O865/'Methodology &amp; Assumptions'!$B$9, 0)</f>
        <v/>
      </c>
      <c r="R865" s="39" t="n">
        <v>1</v>
      </c>
      <c r="S865" s="21" t="n">
        <v>0.64</v>
      </c>
      <c r="T865" s="21" t="n">
        <v>0.34</v>
      </c>
      <c r="U865" s="36" t="inlineStr">
        <is>
          <t>Tier 1A (Direct Coloc, &lt;1 km)</t>
        </is>
      </c>
      <c r="V865" s="20" t="n">
        <v>90.90000000000001</v>
      </c>
      <c r="W865" s="20" t="n">
        <v>100</v>
      </c>
      <c r="X865" s="20" t="n">
        <v>28</v>
      </c>
      <c r="Y865" s="40">
        <f>ROUND((V865*'Methodology &amp; Assumptions'!$B$6)+(W865*'Methodology &amp; Assumptions'!$B$5)+(X865*'Methodology &amp; Assumptions'!$B$7), 2)</f>
        <v/>
      </c>
    </row>
    <row r="866" ht="19" customHeight="1">
      <c r="A866" s="41" t="n">
        <v>862</v>
      </c>
      <c r="B866" s="41" t="n">
        <v>862</v>
      </c>
      <c r="C866" s="42" t="inlineStr">
        <is>
          <t>0201512021</t>
        </is>
      </c>
      <c r="D866" s="42" t="inlineStr">
        <is>
          <t>Region II (Cagayan Valley)</t>
        </is>
      </c>
      <c r="E866" s="42" t="inlineStr">
        <is>
          <t>Cagayan</t>
        </is>
      </c>
      <c r="F866" s="42" t="inlineStr">
        <is>
          <t>Enrile</t>
        </is>
      </c>
      <c r="G866" s="42" t="inlineStr">
        <is>
          <t>Barangay III-A</t>
        </is>
      </c>
      <c r="H866" s="43" t="n">
        <v>17.558</v>
      </c>
      <c r="I866" s="43" t="n">
        <v>121.6934</v>
      </c>
      <c r="J866" s="44" t="inlineStr">
        <is>
          <t>R</t>
        </is>
      </c>
      <c r="K866" s="42" t="inlineStr">
        <is>
          <t>Class 1-3 / Urban</t>
        </is>
      </c>
      <c r="L866" s="23" t="n">
        <v>2604</v>
      </c>
      <c r="M866" s="24" t="n">
        <v>4.38</v>
      </c>
      <c r="N866" s="23">
        <f>ROUND(L866/M866, 0)</f>
        <v/>
      </c>
      <c r="O866" s="23">
        <f>ROUND(N866*'Methodology &amp; Assumptions'!$B$8, 0)</f>
        <v/>
      </c>
      <c r="P866" s="44" t="inlineStr">
        <is>
          <t>Band n50 (1.5 GHz, 60 MHz)</t>
        </is>
      </c>
      <c r="Q866" s="38">
        <f>ROUNDUP(O866/'Methodology &amp; Assumptions'!$B$9, 0)</f>
        <v/>
      </c>
      <c r="R866" s="39" t="n">
        <v>1</v>
      </c>
      <c r="S866" s="25" t="n">
        <v>0.54</v>
      </c>
      <c r="T866" s="25" t="n">
        <v>1.06</v>
      </c>
      <c r="U866" s="42" t="inlineStr">
        <is>
          <t>Tier 1A (Direct Coloc, &lt;1 km)</t>
        </is>
      </c>
      <c r="V866" s="24" t="n">
        <v>93.59999999999999</v>
      </c>
      <c r="W866" s="24" t="n">
        <v>71.5</v>
      </c>
      <c r="X866" s="24" t="n">
        <v>58</v>
      </c>
      <c r="Y866" s="45">
        <f>ROUND((V866*'Methodology &amp; Assumptions'!$B$6)+(W866*'Methodology &amp; Assumptions'!$B$5)+(X866*'Methodology &amp; Assumptions'!$B$7), 2)</f>
        <v/>
      </c>
    </row>
    <row r="867" ht="19" customHeight="1">
      <c r="A867" s="35" t="n">
        <v>863</v>
      </c>
      <c r="B867" s="35" t="n">
        <v>863</v>
      </c>
      <c r="C867" s="36" t="inlineStr">
        <is>
          <t>0730600064</t>
        </is>
      </c>
      <c r="D867" s="36" t="inlineStr">
        <is>
          <t>Region VII (Central Visayas)</t>
        </is>
      </c>
      <c r="E867" s="36" t="inlineStr">
        <is>
          <t>Cebu</t>
        </is>
      </c>
      <c r="F867" s="36" t="inlineStr">
        <is>
          <t>City of Cebu</t>
        </is>
      </c>
      <c r="G867" s="36" t="inlineStr">
        <is>
          <t>Sambag I</t>
        </is>
      </c>
      <c r="H867" s="37" t="n">
        <v>10.299181</v>
      </c>
      <c r="I867" s="37" t="n">
        <v>123.893474</v>
      </c>
      <c r="J867" s="8" t="inlineStr">
        <is>
          <t>U</t>
        </is>
      </c>
      <c r="K867" s="36" t="inlineStr">
        <is>
          <t>Class 1-3 / Urban</t>
        </is>
      </c>
      <c r="L867" s="18" t="n">
        <v>11526</v>
      </c>
      <c r="M867" s="20" t="n">
        <v>4.42</v>
      </c>
      <c r="N867" s="18">
        <f>ROUND(L867/M867, 0)</f>
        <v/>
      </c>
      <c r="O867" s="18">
        <f>ROUND(N867*'Methodology &amp; Assumptions'!$B$8, 0)</f>
        <v/>
      </c>
      <c r="P867" s="8" t="inlineStr">
        <is>
          <t>Band n50 (1.5 GHz, 60 MHz)</t>
        </is>
      </c>
      <c r="Q867" s="38">
        <f>ROUNDUP(O867/'Methodology &amp; Assumptions'!$B$9, 0)</f>
        <v/>
      </c>
      <c r="R867" s="39" t="n">
        <v>1</v>
      </c>
      <c r="S867" s="21" t="n">
        <v>0.64</v>
      </c>
      <c r="T867" s="21" t="n">
        <v>0.12</v>
      </c>
      <c r="U867" s="36" t="inlineStr">
        <is>
          <t>Tier 1A (Direct Coloc, &lt;1 km)</t>
        </is>
      </c>
      <c r="V867" s="20" t="n">
        <v>90.8</v>
      </c>
      <c r="W867" s="20" t="n">
        <v>100</v>
      </c>
      <c r="X867" s="20" t="n">
        <v>28</v>
      </c>
      <c r="Y867" s="40">
        <f>ROUND((V867*'Methodology &amp; Assumptions'!$B$6)+(W867*'Methodology &amp; Assumptions'!$B$5)+(X867*'Methodology &amp; Assumptions'!$B$7), 2)</f>
        <v/>
      </c>
    </row>
    <row r="868" ht="19" customHeight="1">
      <c r="A868" s="41" t="n">
        <v>864</v>
      </c>
      <c r="B868" s="41" t="n">
        <v>864</v>
      </c>
      <c r="C868" s="42" t="inlineStr">
        <is>
          <t>0405640007</t>
        </is>
      </c>
      <c r="D868" s="42" t="inlineStr">
        <is>
          <t>Region IV-A (CALABARZON)</t>
        </is>
      </c>
      <c r="E868" s="42" t="inlineStr">
        <is>
          <t>Quezon</t>
        </is>
      </c>
      <c r="F868" s="42" t="inlineStr">
        <is>
          <t>San Andres</t>
        </is>
      </c>
      <c r="G868" s="42" t="inlineStr">
        <is>
          <t>Poblacion</t>
        </is>
      </c>
      <c r="H868" s="43" t="n">
        <v>13.32232</v>
      </c>
      <c r="I868" s="43" t="n">
        <v>122.675155</v>
      </c>
      <c r="J868" s="44" t="inlineStr">
        <is>
          <t>U</t>
        </is>
      </c>
      <c r="K868" s="42" t="inlineStr">
        <is>
          <t>2nd</t>
        </is>
      </c>
      <c r="L868" s="23" t="n">
        <v>5872</v>
      </c>
      <c r="M868" s="24" t="n">
        <v>4.09</v>
      </c>
      <c r="N868" s="23">
        <f>ROUND(L868/M868, 0)</f>
        <v/>
      </c>
      <c r="O868" s="23">
        <f>ROUND(N868*'Methodology &amp; Assumptions'!$B$8, 0)</f>
        <v/>
      </c>
      <c r="P868" s="44" t="inlineStr">
        <is>
          <t>Band n50 (1.5 GHz, 60 MHz)</t>
        </is>
      </c>
      <c r="Q868" s="38">
        <f>ROUNDUP(O868/'Methodology &amp; Assumptions'!$B$9, 0)</f>
        <v/>
      </c>
      <c r="R868" s="39" t="n">
        <v>1</v>
      </c>
      <c r="S868" s="25" t="n">
        <v>0.29</v>
      </c>
      <c r="T868" s="25" t="n">
        <v>30.06</v>
      </c>
      <c r="U868" s="42" t="inlineStr">
        <is>
          <t>Tier 1A (Direct Coloc, &lt;1 km)</t>
        </is>
      </c>
      <c r="V868" s="24" t="n">
        <v>90.8</v>
      </c>
      <c r="W868" s="24" t="n">
        <v>100</v>
      </c>
      <c r="X868" s="24" t="n">
        <v>28</v>
      </c>
      <c r="Y868" s="45">
        <f>ROUND((V868*'Methodology &amp; Assumptions'!$B$6)+(W868*'Methodology &amp; Assumptions'!$B$5)+(X868*'Methodology &amp; Assumptions'!$B$7), 2)</f>
        <v/>
      </c>
    </row>
    <row r="869" ht="19" customHeight="1">
      <c r="A869" s="35" t="n">
        <v>865</v>
      </c>
      <c r="B869" s="35" t="n">
        <v>865</v>
      </c>
      <c r="C869" s="36" t="inlineStr">
        <is>
          <t>0103317015</t>
        </is>
      </c>
      <c r="D869" s="36" t="inlineStr">
        <is>
          <t>Region I (Ilocos Region)</t>
        </is>
      </c>
      <c r="E869" s="36" t="inlineStr">
        <is>
          <t>La Union</t>
        </is>
      </c>
      <c r="F869" s="36" t="inlineStr">
        <is>
          <t>Santo Tomas</t>
        </is>
      </c>
      <c r="G869" s="36" t="inlineStr">
        <is>
          <t>Namboongan</t>
        </is>
      </c>
      <c r="H869" s="37" t="n">
        <v>16.294236</v>
      </c>
      <c r="I869" s="37" t="n">
        <v>120.382917</v>
      </c>
      <c r="J869" s="8" t="inlineStr">
        <is>
          <t>R</t>
        </is>
      </c>
      <c r="K869" s="36" t="inlineStr">
        <is>
          <t>1st</t>
        </is>
      </c>
      <c r="L869" s="18" t="n">
        <v>2464</v>
      </c>
      <c r="M869" s="20" t="n">
        <v>4.34</v>
      </c>
      <c r="N869" s="18">
        <f>ROUND(L869/M869, 0)</f>
        <v/>
      </c>
      <c r="O869" s="18">
        <f>ROUND(N869*'Methodology &amp; Assumptions'!$B$8, 0)</f>
        <v/>
      </c>
      <c r="P869" s="8" t="inlineStr">
        <is>
          <t>Band n50 (1.5 GHz, 60 MHz)</t>
        </is>
      </c>
      <c r="Q869" s="38">
        <f>ROUNDUP(O869/'Methodology &amp; Assumptions'!$B$9, 0)</f>
        <v/>
      </c>
      <c r="R869" s="39" t="n">
        <v>1</v>
      </c>
      <c r="S869" s="21" t="n">
        <v>0.46</v>
      </c>
      <c r="T869" s="21" t="n">
        <v>0.01</v>
      </c>
      <c r="U869" s="36" t="inlineStr">
        <is>
          <t>Tier 1A (Direct Coloc, &lt;1 km)</t>
        </is>
      </c>
      <c r="V869" s="20" t="n">
        <v>95.7</v>
      </c>
      <c r="W869" s="20" t="n">
        <v>69.3</v>
      </c>
      <c r="X869" s="20" t="n">
        <v>58</v>
      </c>
      <c r="Y869" s="40">
        <f>ROUND((V869*'Methodology &amp; Assumptions'!$B$6)+(W869*'Methodology &amp; Assumptions'!$B$5)+(X869*'Methodology &amp; Assumptions'!$B$7), 2)</f>
        <v/>
      </c>
    </row>
    <row r="870" ht="19" customHeight="1">
      <c r="A870" s="41" t="n">
        <v>866</v>
      </c>
      <c r="B870" s="41" t="n">
        <v>866</v>
      </c>
      <c r="C870" s="42" t="inlineStr">
        <is>
          <t>0803738016</t>
        </is>
      </c>
      <c r="D870" s="42" t="inlineStr">
        <is>
          <t>Region VIII (Eastern Visayas)</t>
        </is>
      </c>
      <c r="E870" s="42" t="inlineStr">
        <is>
          <t>Leyte</t>
        </is>
      </c>
      <c r="F870" s="42" t="inlineStr">
        <is>
          <t>Ormoc City</t>
        </is>
      </c>
      <c r="G870" s="42" t="inlineStr">
        <is>
          <t>Cogon Combado</t>
        </is>
      </c>
      <c r="H870" s="43" t="n">
        <v>11.017184</v>
      </c>
      <c r="I870" s="43" t="n">
        <v>124.603604</v>
      </c>
      <c r="J870" s="44" t="inlineStr">
        <is>
          <t>U</t>
        </is>
      </c>
      <c r="K870" s="42" t="inlineStr">
        <is>
          <t>Class 1-3 / Urban</t>
        </is>
      </c>
      <c r="L870" s="23" t="n">
        <v>5852</v>
      </c>
      <c r="M870" s="24" t="n">
        <v>4.24</v>
      </c>
      <c r="N870" s="23">
        <f>ROUND(L870/M870, 0)</f>
        <v/>
      </c>
      <c r="O870" s="23">
        <f>ROUND(N870*'Methodology &amp; Assumptions'!$B$8, 0)</f>
        <v/>
      </c>
      <c r="P870" s="44" t="inlineStr">
        <is>
          <t>Band n50 (1.5 GHz, 60 MHz)</t>
        </is>
      </c>
      <c r="Q870" s="38">
        <f>ROUNDUP(O870/'Methodology &amp; Assumptions'!$B$9, 0)</f>
        <v/>
      </c>
      <c r="R870" s="39" t="n">
        <v>1</v>
      </c>
      <c r="S870" s="25" t="n">
        <v>0.64</v>
      </c>
      <c r="T870" s="25" t="n">
        <v>0.22</v>
      </c>
      <c r="U870" s="42" t="inlineStr">
        <is>
          <t>Tier 1A (Direct Coloc, &lt;1 km)</t>
        </is>
      </c>
      <c r="V870" s="24" t="n">
        <v>90.8</v>
      </c>
      <c r="W870" s="24" t="n">
        <v>100</v>
      </c>
      <c r="X870" s="24" t="n">
        <v>28</v>
      </c>
      <c r="Y870" s="45">
        <f>ROUND((V870*'Methodology &amp; Assumptions'!$B$6)+(W870*'Methodology &amp; Assumptions'!$B$5)+(X870*'Methodology &amp; Assumptions'!$B$7), 2)</f>
        <v/>
      </c>
    </row>
    <row r="871" ht="19" customHeight="1">
      <c r="A871" s="35" t="n">
        <v>867</v>
      </c>
      <c r="B871" s="35" t="n">
        <v>867</v>
      </c>
      <c r="C871" s="36" t="inlineStr">
        <is>
          <t>0301423016</t>
        </is>
      </c>
      <c r="D871" s="36" t="inlineStr">
        <is>
          <t>Region III (Central Luzon)</t>
        </is>
      </c>
      <c r="E871" s="36" t="inlineStr">
        <is>
          <t>Bulacan</t>
        </is>
      </c>
      <c r="F871" s="36" t="inlineStr">
        <is>
          <t>Santa Maria</t>
        </is>
      </c>
      <c r="G871" s="36" t="inlineStr">
        <is>
          <t>Poblacion</t>
        </is>
      </c>
      <c r="H871" s="37" t="n">
        <v>14.824017</v>
      </c>
      <c r="I871" s="37" t="n">
        <v>120.965147</v>
      </c>
      <c r="J871" s="8" t="inlineStr">
        <is>
          <t>U</t>
        </is>
      </c>
      <c r="K871" s="36" t="inlineStr">
        <is>
          <t>Class 1-3 / Urban</t>
        </is>
      </c>
      <c r="L871" s="18" t="n">
        <v>12871</v>
      </c>
      <c r="M871" s="20" t="n">
        <v>4.1</v>
      </c>
      <c r="N871" s="18">
        <f>ROUND(L871/M871, 0)</f>
        <v/>
      </c>
      <c r="O871" s="18">
        <f>ROUND(N871*'Methodology &amp; Assumptions'!$B$8, 0)</f>
        <v/>
      </c>
      <c r="P871" s="8" t="inlineStr">
        <is>
          <t>Band n50 (1.5 GHz, 60 MHz)</t>
        </is>
      </c>
      <c r="Q871" s="38">
        <f>ROUNDUP(O871/'Methodology &amp; Assumptions'!$B$9, 0)</f>
        <v/>
      </c>
      <c r="R871" s="39" t="n">
        <v>1</v>
      </c>
      <c r="S871" s="21" t="n">
        <v>0.64</v>
      </c>
      <c r="T871" s="21" t="n">
        <v>0.58</v>
      </c>
      <c r="U871" s="36" t="inlineStr">
        <is>
          <t>Tier 1A (Direct Coloc, &lt;1 km)</t>
        </is>
      </c>
      <c r="V871" s="20" t="n">
        <v>90.8</v>
      </c>
      <c r="W871" s="20" t="n">
        <v>100</v>
      </c>
      <c r="X871" s="20" t="n">
        <v>28</v>
      </c>
      <c r="Y871" s="40">
        <f>ROUND((V871*'Methodology &amp; Assumptions'!$B$6)+(W871*'Methodology &amp; Assumptions'!$B$5)+(X871*'Methodology &amp; Assumptions'!$B$7), 2)</f>
        <v/>
      </c>
    </row>
    <row r="872" ht="19" customHeight="1">
      <c r="A872" s="41" t="n">
        <v>868</v>
      </c>
      <c r="B872" s="41" t="n">
        <v>868</v>
      </c>
      <c r="C872" s="42" t="inlineStr">
        <is>
          <t>0702205025</t>
        </is>
      </c>
      <c r="D872" s="42" t="inlineStr">
        <is>
          <t>Region VII (Central Visayas)</t>
        </is>
      </c>
      <c r="E872" s="42" t="inlineStr">
        <is>
          <t>Cebu</t>
        </is>
      </c>
      <c r="F872" s="42" t="inlineStr">
        <is>
          <t>Argao</t>
        </is>
      </c>
      <c r="G872" s="42" t="inlineStr">
        <is>
          <t>Lamacan</t>
        </is>
      </c>
      <c r="H872" s="43" t="n">
        <v>9.87917</v>
      </c>
      <c r="I872" s="43" t="n">
        <v>123.596116</v>
      </c>
      <c r="J872" s="44" t="inlineStr">
        <is>
          <t>R</t>
        </is>
      </c>
      <c r="K872" s="42" t="inlineStr">
        <is>
          <t>Class 1-3 / Urban</t>
        </is>
      </c>
      <c r="L872" s="23" t="n">
        <v>2662</v>
      </c>
      <c r="M872" s="24" t="n">
        <v>4.42</v>
      </c>
      <c r="N872" s="23">
        <f>ROUND(L872/M872, 0)</f>
        <v/>
      </c>
      <c r="O872" s="23">
        <f>ROUND(N872*'Methodology &amp; Assumptions'!$B$8, 0)</f>
        <v/>
      </c>
      <c r="P872" s="44" t="inlineStr">
        <is>
          <t>Band n50 (1.5 GHz, 60 MHz)</t>
        </is>
      </c>
      <c r="Q872" s="38">
        <f>ROUNDUP(O872/'Methodology &amp; Assumptions'!$B$9, 0)</f>
        <v/>
      </c>
      <c r="R872" s="39" t="n">
        <v>1</v>
      </c>
      <c r="S872" s="25" t="n">
        <v>0.57</v>
      </c>
      <c r="T872" s="25" t="n">
        <v>0.5600000000000001</v>
      </c>
      <c r="U872" s="42" t="inlineStr">
        <is>
          <t>Tier 1A (Direct Coloc, &lt;1 km)</t>
        </is>
      </c>
      <c r="V872" s="24" t="n">
        <v>92.7</v>
      </c>
      <c r="W872" s="24" t="n">
        <v>72.3</v>
      </c>
      <c r="X872" s="24" t="n">
        <v>58</v>
      </c>
      <c r="Y872" s="45">
        <f>ROUND((V872*'Methodology &amp; Assumptions'!$B$6)+(W872*'Methodology &amp; Assumptions'!$B$5)+(X872*'Methodology &amp; Assumptions'!$B$7), 2)</f>
        <v/>
      </c>
    </row>
    <row r="873" ht="19" customHeight="1">
      <c r="A873" s="35" t="n">
        <v>869</v>
      </c>
      <c r="B873" s="35" t="n">
        <v>869</v>
      </c>
      <c r="C873" s="36" t="inlineStr">
        <is>
          <t>0300810013</t>
        </is>
      </c>
      <c r="D873" s="36" t="inlineStr">
        <is>
          <t>Region III (Central Luzon)</t>
        </is>
      </c>
      <c r="E873" s="36" t="inlineStr">
        <is>
          <t>Bataan</t>
        </is>
      </c>
      <c r="F873" s="36" t="inlineStr">
        <is>
          <t>Orion</t>
        </is>
      </c>
      <c r="G873" s="36" t="inlineStr">
        <is>
          <t>Daang Pare</t>
        </is>
      </c>
      <c r="H873" s="37" t="n">
        <v>14.616806</v>
      </c>
      <c r="I873" s="37" t="n">
        <v>120.573298</v>
      </c>
      <c r="J873" s="8" t="inlineStr">
        <is>
          <t>U</t>
        </is>
      </c>
      <c r="K873" s="36" t="inlineStr">
        <is>
          <t>Class 1-3 / Urban</t>
        </is>
      </c>
      <c r="L873" s="18" t="n">
        <v>8056</v>
      </c>
      <c r="M873" s="20" t="n">
        <v>4.57</v>
      </c>
      <c r="N873" s="18">
        <f>ROUND(L873/M873, 0)</f>
        <v/>
      </c>
      <c r="O873" s="18">
        <f>ROUND(N873*'Methodology &amp; Assumptions'!$B$8, 0)</f>
        <v/>
      </c>
      <c r="P873" s="8" t="inlineStr">
        <is>
          <t>Band n50 (1.5 GHz, 60 MHz)</t>
        </is>
      </c>
      <c r="Q873" s="38">
        <f>ROUNDUP(O873/'Methodology &amp; Assumptions'!$B$9, 0)</f>
        <v/>
      </c>
      <c r="R873" s="39" t="n">
        <v>1</v>
      </c>
      <c r="S873" s="21" t="n">
        <v>0.64</v>
      </c>
      <c r="T873" s="21" t="n">
        <v>0.5600000000000001</v>
      </c>
      <c r="U873" s="36" t="inlineStr">
        <is>
          <t>Tier 1A (Direct Coloc, &lt;1 km)</t>
        </is>
      </c>
      <c r="V873" s="20" t="n">
        <v>90.7</v>
      </c>
      <c r="W873" s="20" t="n">
        <v>100</v>
      </c>
      <c r="X873" s="20" t="n">
        <v>28</v>
      </c>
      <c r="Y873" s="40">
        <f>ROUND((V873*'Methodology &amp; Assumptions'!$B$6)+(W873*'Methodology &amp; Assumptions'!$B$5)+(X873*'Methodology &amp; Assumptions'!$B$7), 2)</f>
        <v/>
      </c>
    </row>
    <row r="874" ht="19" customHeight="1">
      <c r="A874" s="41" t="n">
        <v>870</v>
      </c>
      <c r="B874" s="41" t="n">
        <v>870</v>
      </c>
      <c r="C874" s="42" t="inlineStr">
        <is>
          <t>0431200003</t>
        </is>
      </c>
      <c r="D874" s="42" t="inlineStr">
        <is>
          <t>Region IV-A (CALABARZON)</t>
        </is>
      </c>
      <c r="E874" s="42" t="inlineStr">
        <is>
          <t>Quezon</t>
        </is>
      </c>
      <c r="F874" s="42" t="inlineStr">
        <is>
          <t>City of Lucena</t>
        </is>
      </c>
      <c r="G874" s="42" t="inlineStr">
        <is>
          <t>Barangay 10</t>
        </is>
      </c>
      <c r="H874" s="43" t="n">
        <v>13.928525</v>
      </c>
      <c r="I874" s="43" t="n">
        <v>121.615118</v>
      </c>
      <c r="J874" s="44" t="inlineStr">
        <is>
          <t>U</t>
        </is>
      </c>
      <c r="K874" s="42" t="inlineStr">
        <is>
          <t>Class 1-3 / Urban</t>
        </is>
      </c>
      <c r="L874" s="23" t="n">
        <v>5152</v>
      </c>
      <c r="M874" s="24" t="n">
        <v>4.46</v>
      </c>
      <c r="N874" s="23">
        <f>ROUND(L874/M874, 0)</f>
        <v/>
      </c>
      <c r="O874" s="23">
        <f>ROUND(N874*'Methodology &amp; Assumptions'!$B$8, 0)</f>
        <v/>
      </c>
      <c r="P874" s="44" t="inlineStr">
        <is>
          <t>Band n50 (1.5 GHz, 60 MHz)</t>
        </is>
      </c>
      <c r="Q874" s="38">
        <f>ROUNDUP(O874/'Methodology &amp; Assumptions'!$B$9, 0)</f>
        <v/>
      </c>
      <c r="R874" s="39" t="n">
        <v>1</v>
      </c>
      <c r="S874" s="25" t="n">
        <v>0.64</v>
      </c>
      <c r="T874" s="25" t="n">
        <v>0.59</v>
      </c>
      <c r="U874" s="42" t="inlineStr">
        <is>
          <t>Tier 1A (Direct Coloc, &lt;1 km)</t>
        </is>
      </c>
      <c r="V874" s="24" t="n">
        <v>90.7</v>
      </c>
      <c r="W874" s="24" t="n">
        <v>100</v>
      </c>
      <c r="X874" s="24" t="n">
        <v>28</v>
      </c>
      <c r="Y874" s="45">
        <f>ROUND((V874*'Methodology &amp; Assumptions'!$B$6)+(W874*'Methodology &amp; Assumptions'!$B$5)+(X874*'Methodology &amp; Assumptions'!$B$7), 2)</f>
        <v/>
      </c>
    </row>
    <row r="875" ht="19" customHeight="1">
      <c r="A875" s="35" t="n">
        <v>871</v>
      </c>
      <c r="B875" s="35" t="n">
        <v>871</v>
      </c>
      <c r="C875" s="36" t="inlineStr">
        <is>
          <t>0702211028</t>
        </is>
      </c>
      <c r="D875" s="36" t="inlineStr">
        <is>
          <t>Region VII (Central Visayas)</t>
        </is>
      </c>
      <c r="E875" s="36" t="inlineStr">
        <is>
          <t>Cebu</t>
        </is>
      </c>
      <c r="F875" s="36" t="inlineStr">
        <is>
          <t>City of Bogo</t>
        </is>
      </c>
      <c r="G875" s="36" t="inlineStr">
        <is>
          <t>Taytayan</t>
        </is>
      </c>
      <c r="H875" s="37" t="n">
        <v>11.047835</v>
      </c>
      <c r="I875" s="37" t="n">
        <v>123.991144</v>
      </c>
      <c r="J875" s="8" t="inlineStr">
        <is>
          <t>R</t>
        </is>
      </c>
      <c r="K875" s="36" t="inlineStr">
        <is>
          <t>Class 1-3 / Urban</t>
        </is>
      </c>
      <c r="L875" s="18" t="n">
        <v>4784</v>
      </c>
      <c r="M875" s="20" t="n">
        <v>4.42</v>
      </c>
      <c r="N875" s="18">
        <f>ROUND(L875/M875, 0)</f>
        <v/>
      </c>
      <c r="O875" s="18">
        <f>ROUND(N875*'Methodology &amp; Assumptions'!$B$8, 0)</f>
        <v/>
      </c>
      <c r="P875" s="8" t="inlineStr">
        <is>
          <t>Band n50 (1.5 GHz, 60 MHz)</t>
        </is>
      </c>
      <c r="Q875" s="38">
        <f>ROUNDUP(O875/'Methodology &amp; Assumptions'!$B$9, 0)</f>
        <v/>
      </c>
      <c r="R875" s="39" t="n">
        <v>1</v>
      </c>
      <c r="S875" s="21" t="n">
        <v>1.8</v>
      </c>
      <c r="T875" s="21" t="n">
        <v>0.14</v>
      </c>
      <c r="U875" s="36" t="inlineStr">
        <is>
          <t>Tier 1B (Micro Drop, 1-3 km)</t>
        </is>
      </c>
      <c r="V875" s="20" t="n">
        <v>64.90000000000001</v>
      </c>
      <c r="W875" s="20" t="n">
        <v>100</v>
      </c>
      <c r="X875" s="20" t="n">
        <v>58</v>
      </c>
      <c r="Y875" s="40">
        <f>ROUND((V875*'Methodology &amp; Assumptions'!$B$6)+(W875*'Methodology &amp; Assumptions'!$B$5)+(X875*'Methodology &amp; Assumptions'!$B$7), 2)</f>
        <v/>
      </c>
    </row>
    <row r="876" ht="19" customHeight="1">
      <c r="A876" s="41" t="n">
        <v>872</v>
      </c>
      <c r="B876" s="41" t="n">
        <v>872</v>
      </c>
      <c r="C876" s="42" t="inlineStr">
        <is>
          <t>0304903071</t>
        </is>
      </c>
      <c r="D876" s="42" t="inlineStr">
        <is>
          <t>Region III (Central Luzon)</t>
        </is>
      </c>
      <c r="E876" s="42" t="inlineStr">
        <is>
          <t>Nueva Ecija</t>
        </is>
      </c>
      <c r="F876" s="42" t="inlineStr">
        <is>
          <t>City of Cabanatuan</t>
        </is>
      </c>
      <c r="G876" s="42" t="inlineStr">
        <is>
          <t>San Josef Norte</t>
        </is>
      </c>
      <c r="H876" s="43" t="n">
        <v>15.474296</v>
      </c>
      <c r="I876" s="43" t="n">
        <v>120.94625</v>
      </c>
      <c r="J876" s="44" t="inlineStr">
        <is>
          <t>R</t>
        </is>
      </c>
      <c r="K876" s="42" t="inlineStr">
        <is>
          <t>Class 1-3 / Urban</t>
        </is>
      </c>
      <c r="L876" s="23" t="n">
        <v>4684</v>
      </c>
      <c r="M876" s="24" t="n">
        <v>4.32</v>
      </c>
      <c r="N876" s="23">
        <f>ROUND(L876/M876, 0)</f>
        <v/>
      </c>
      <c r="O876" s="23">
        <f>ROUND(N876*'Methodology &amp; Assumptions'!$B$8, 0)</f>
        <v/>
      </c>
      <c r="P876" s="44" t="inlineStr">
        <is>
          <t>Band n50 (1.5 GHz, 60 MHz)</t>
        </is>
      </c>
      <c r="Q876" s="38">
        <f>ROUNDUP(O876/'Methodology &amp; Assumptions'!$B$9, 0)</f>
        <v/>
      </c>
      <c r="R876" s="39" t="n">
        <v>1</v>
      </c>
      <c r="S876" s="25" t="n">
        <v>1.8</v>
      </c>
      <c r="T876" s="25" t="n">
        <v>1.11</v>
      </c>
      <c r="U876" s="42" t="inlineStr">
        <is>
          <t>Tier 1B (Micro Drop, 1-3 km)</t>
        </is>
      </c>
      <c r="V876" s="24" t="n">
        <v>64.90000000000001</v>
      </c>
      <c r="W876" s="24" t="n">
        <v>100</v>
      </c>
      <c r="X876" s="24" t="n">
        <v>58</v>
      </c>
      <c r="Y876" s="45">
        <f>ROUND((V876*'Methodology &amp; Assumptions'!$B$6)+(W876*'Methodology &amp; Assumptions'!$B$5)+(X876*'Methodology &amp; Assumptions'!$B$7), 2)</f>
        <v/>
      </c>
    </row>
    <row r="877" ht="19" customHeight="1">
      <c r="A877" s="35" t="n">
        <v>873</v>
      </c>
      <c r="B877" s="35" t="n">
        <v>873</v>
      </c>
      <c r="C877" s="36" t="inlineStr">
        <is>
          <t>0803726014</t>
        </is>
      </c>
      <c r="D877" s="36" t="inlineStr">
        <is>
          <t>Region VIII (Eastern Visayas)</t>
        </is>
      </c>
      <c r="E877" s="36" t="inlineStr">
        <is>
          <t>Leyte</t>
        </is>
      </c>
      <c r="F877" s="36" t="inlineStr">
        <is>
          <t>Kananga</t>
        </is>
      </c>
      <c r="G877" s="36" t="inlineStr">
        <is>
          <t>Natubgan</t>
        </is>
      </c>
      <c r="H877" s="37" t="n">
        <v>11.192981</v>
      </c>
      <c r="I877" s="37" t="n">
        <v>124.563654</v>
      </c>
      <c r="J877" s="8" t="inlineStr">
        <is>
          <t>R</t>
        </is>
      </c>
      <c r="K877" s="36" t="inlineStr">
        <is>
          <t>Class 1-3 / Urban</t>
        </is>
      </c>
      <c r="L877" s="18" t="n">
        <v>3046</v>
      </c>
      <c r="M877" s="20" t="n">
        <v>4.24</v>
      </c>
      <c r="N877" s="18">
        <f>ROUND(L877/M877, 0)</f>
        <v/>
      </c>
      <c r="O877" s="18">
        <f>ROUND(N877*'Methodology &amp; Assumptions'!$B$8, 0)</f>
        <v/>
      </c>
      <c r="P877" s="8" t="inlineStr">
        <is>
          <t>Band n50 (1.5 GHz, 60 MHz)</t>
        </is>
      </c>
      <c r="Q877" s="38">
        <f>ROUNDUP(O877/'Methodology &amp; Assumptions'!$B$9, 0)</f>
        <v/>
      </c>
      <c r="R877" s="39" t="n">
        <v>1</v>
      </c>
      <c r="S877" s="21" t="n">
        <v>0.92</v>
      </c>
      <c r="T877" s="21" t="n">
        <v>0.02</v>
      </c>
      <c r="U877" s="36" t="inlineStr">
        <is>
          <t>Tier 1A (Direct Coloc, &lt;1 km)</t>
        </is>
      </c>
      <c r="V877" s="20" t="n">
        <v>83.59999999999999</v>
      </c>
      <c r="W877" s="20" t="n">
        <v>81.3</v>
      </c>
      <c r="X877" s="20" t="n">
        <v>58</v>
      </c>
      <c r="Y877" s="40">
        <f>ROUND((V877*'Methodology &amp; Assumptions'!$B$6)+(W877*'Methodology &amp; Assumptions'!$B$5)+(X877*'Methodology &amp; Assumptions'!$B$7), 2)</f>
        <v/>
      </c>
    </row>
    <row r="878" ht="19" customHeight="1">
      <c r="A878" s="41" t="n">
        <v>874</v>
      </c>
      <c r="B878" s="41" t="n">
        <v>874</v>
      </c>
      <c r="C878" s="42" t="inlineStr">
        <is>
          <t>0301410034</t>
        </is>
      </c>
      <c r="D878" s="42" t="inlineStr">
        <is>
          <t>Region III (Central Luzon)</t>
        </is>
      </c>
      <c r="E878" s="42" t="inlineStr">
        <is>
          <t>Bulacan</t>
        </is>
      </c>
      <c r="F878" s="42" t="inlineStr">
        <is>
          <t>City of Malolos</t>
        </is>
      </c>
      <c r="G878" s="42" t="inlineStr">
        <is>
          <t>Mojon</t>
        </is>
      </c>
      <c r="H878" s="43" t="n">
        <v>14.860908</v>
      </c>
      <c r="I878" s="43" t="n">
        <v>120.817374</v>
      </c>
      <c r="J878" s="44" t="inlineStr">
        <is>
          <t>U</t>
        </is>
      </c>
      <c r="K878" s="42" t="inlineStr">
        <is>
          <t>Class 1-3 / Urban</t>
        </is>
      </c>
      <c r="L878" s="23" t="n">
        <v>16169</v>
      </c>
      <c r="M878" s="24" t="n">
        <v>4.1</v>
      </c>
      <c r="N878" s="23">
        <f>ROUND(L878/M878, 0)</f>
        <v/>
      </c>
      <c r="O878" s="23">
        <f>ROUND(N878*'Methodology &amp; Assumptions'!$B$8, 0)</f>
        <v/>
      </c>
      <c r="P878" s="44" t="inlineStr">
        <is>
          <t>Band n50 (1.5 GHz, 60 MHz)</t>
        </is>
      </c>
      <c r="Q878" s="38">
        <f>ROUNDUP(O878/'Methodology &amp; Assumptions'!$B$9, 0)</f>
        <v/>
      </c>
      <c r="R878" s="39" t="n">
        <v>1</v>
      </c>
      <c r="S878" s="25" t="n">
        <v>0.64</v>
      </c>
      <c r="T878" s="25" t="n">
        <v>0.12</v>
      </c>
      <c r="U878" s="42" t="inlineStr">
        <is>
          <t>Tier 1A (Direct Coloc, &lt;1 km)</t>
        </is>
      </c>
      <c r="V878" s="24" t="n">
        <v>90.7</v>
      </c>
      <c r="W878" s="24" t="n">
        <v>100</v>
      </c>
      <c r="X878" s="24" t="n">
        <v>28</v>
      </c>
      <c r="Y878" s="45">
        <f>ROUND((V878*'Methodology &amp; Assumptions'!$B$6)+(W878*'Methodology &amp; Assumptions'!$B$5)+(X878*'Methodology &amp; Assumptions'!$B$7), 2)</f>
        <v/>
      </c>
    </row>
    <row r="879" ht="19" customHeight="1">
      <c r="A879" s="35" t="n">
        <v>875</v>
      </c>
      <c r="B879" s="35" t="n">
        <v>875</v>
      </c>
      <c r="C879" s="36" t="inlineStr">
        <is>
          <t>0401026020</t>
        </is>
      </c>
      <c r="D879" s="36" t="inlineStr">
        <is>
          <t>Region IV-A (CALABARZON)</t>
        </is>
      </c>
      <c r="E879" s="36" t="inlineStr">
        <is>
          <t>Batangas</t>
        </is>
      </c>
      <c r="F879" s="36" t="inlineStr">
        <is>
          <t>San Pascual</t>
        </is>
      </c>
      <c r="G879" s="36" t="inlineStr">
        <is>
          <t>Poblacion</t>
        </is>
      </c>
      <c r="H879" s="37" t="n">
        <v>13.784373</v>
      </c>
      <c r="I879" s="37" t="n">
        <v>121.027485</v>
      </c>
      <c r="J879" s="8" t="inlineStr">
        <is>
          <t>U</t>
        </is>
      </c>
      <c r="K879" s="36" t="inlineStr">
        <is>
          <t>Class 1-3 / Urban</t>
        </is>
      </c>
      <c r="L879" s="18" t="n">
        <v>11051</v>
      </c>
      <c r="M879" s="20" t="n">
        <v>4.62</v>
      </c>
      <c r="N879" s="18">
        <f>ROUND(L879/M879, 0)</f>
        <v/>
      </c>
      <c r="O879" s="18">
        <f>ROUND(N879*'Methodology &amp; Assumptions'!$B$8, 0)</f>
        <v/>
      </c>
      <c r="P879" s="8" t="inlineStr">
        <is>
          <t>Band n50 (1.5 GHz, 60 MHz)</t>
        </is>
      </c>
      <c r="Q879" s="38">
        <f>ROUNDUP(O879/'Methodology &amp; Assumptions'!$B$9, 0)</f>
        <v/>
      </c>
      <c r="R879" s="39" t="n">
        <v>1</v>
      </c>
      <c r="S879" s="21" t="n">
        <v>0.64</v>
      </c>
      <c r="T879" s="21" t="n">
        <v>0.1</v>
      </c>
      <c r="U879" s="36" t="inlineStr">
        <is>
          <t>Tier 1A (Direct Coloc, &lt;1 km)</t>
        </is>
      </c>
      <c r="V879" s="20" t="n">
        <v>90.7</v>
      </c>
      <c r="W879" s="20" t="n">
        <v>100</v>
      </c>
      <c r="X879" s="20" t="n">
        <v>28</v>
      </c>
      <c r="Y879" s="40">
        <f>ROUND((V879*'Methodology &amp; Assumptions'!$B$6)+(W879*'Methodology &amp; Assumptions'!$B$5)+(X879*'Methodology &amp; Assumptions'!$B$7), 2)</f>
        <v/>
      </c>
    </row>
    <row r="880" ht="19" customHeight="1">
      <c r="A880" s="41" t="n">
        <v>876</v>
      </c>
      <c r="B880" s="41" t="n">
        <v>876</v>
      </c>
      <c r="C880" s="42" t="inlineStr">
        <is>
          <t>0403428007</t>
        </is>
      </c>
      <c r="D880" s="42" t="inlineStr">
        <is>
          <t>Region IV-A (CALABARZON)</t>
        </is>
      </c>
      <c r="E880" s="42" t="inlineStr">
        <is>
          <t>Laguna</t>
        </is>
      </c>
      <c r="F880" s="42" t="inlineStr">
        <is>
          <t>City of Santa Rosa</t>
        </is>
      </c>
      <c r="G880" s="42" t="inlineStr">
        <is>
          <t>Ibaba</t>
        </is>
      </c>
      <c r="H880" s="43" t="n">
        <v>14.314674</v>
      </c>
      <c r="I880" s="43" t="n">
        <v>121.118315</v>
      </c>
      <c r="J880" s="44" t="inlineStr">
        <is>
          <t>U</t>
        </is>
      </c>
      <c r="K880" s="42" t="inlineStr">
        <is>
          <t>Class 1-3 / Urban</t>
        </is>
      </c>
      <c r="L880" s="23" t="n">
        <v>8069</v>
      </c>
      <c r="M880" s="24" t="n">
        <v>4.2</v>
      </c>
      <c r="N880" s="23">
        <f>ROUND(L880/M880, 0)</f>
        <v/>
      </c>
      <c r="O880" s="23">
        <f>ROUND(N880*'Methodology &amp; Assumptions'!$B$8, 0)</f>
        <v/>
      </c>
      <c r="P880" s="44" t="inlineStr">
        <is>
          <t>Band n50 (1.5 GHz, 60 MHz)</t>
        </is>
      </c>
      <c r="Q880" s="38">
        <f>ROUNDUP(O880/'Methodology &amp; Assumptions'!$B$9, 0)</f>
        <v/>
      </c>
      <c r="R880" s="39" t="n">
        <v>1</v>
      </c>
      <c r="S880" s="25" t="n">
        <v>0.65</v>
      </c>
      <c r="T880" s="25" t="n">
        <v>1.94</v>
      </c>
      <c r="U880" s="42" t="inlineStr">
        <is>
          <t>Tier 1A (Direct Coloc, &lt;1 km)</t>
        </is>
      </c>
      <c r="V880" s="24" t="n">
        <v>90.59999999999999</v>
      </c>
      <c r="W880" s="24" t="n">
        <v>100</v>
      </c>
      <c r="X880" s="24" t="n">
        <v>28</v>
      </c>
      <c r="Y880" s="45">
        <f>ROUND((V880*'Methodology &amp; Assumptions'!$B$6)+(W880*'Methodology &amp; Assumptions'!$B$5)+(X880*'Methodology &amp; Assumptions'!$B$7), 2)</f>
        <v/>
      </c>
    </row>
    <row r="881" ht="19" customHeight="1">
      <c r="A881" s="35" t="n">
        <v>877</v>
      </c>
      <c r="B881" s="35" t="n">
        <v>877</v>
      </c>
      <c r="C881" s="36" t="inlineStr">
        <is>
          <t>0401021030</t>
        </is>
      </c>
      <c r="D881" s="36" t="inlineStr">
        <is>
          <t>Region IV-A (CALABARZON)</t>
        </is>
      </c>
      <c r="E881" s="36" t="inlineStr">
        <is>
          <t>Batangas</t>
        </is>
      </c>
      <c r="F881" s="36" t="inlineStr">
        <is>
          <t>Rosario</t>
        </is>
      </c>
      <c r="G881" s="36" t="inlineStr">
        <is>
          <t>Pinagsibaan</t>
        </is>
      </c>
      <c r="H881" s="37" t="n">
        <v>13.844005</v>
      </c>
      <c r="I881" s="37" t="n">
        <v>121.312987</v>
      </c>
      <c r="J881" s="8" t="inlineStr">
        <is>
          <t>R</t>
        </is>
      </c>
      <c r="K881" s="36" t="inlineStr">
        <is>
          <t>Class 1-3 / Urban</t>
        </is>
      </c>
      <c r="L881" s="18" t="n">
        <v>3543</v>
      </c>
      <c r="M881" s="20" t="n">
        <v>4.62</v>
      </c>
      <c r="N881" s="18">
        <f>ROUND(L881/M881, 0)</f>
        <v/>
      </c>
      <c r="O881" s="18">
        <f>ROUND(N881*'Methodology &amp; Assumptions'!$B$8, 0)</f>
        <v/>
      </c>
      <c r="P881" s="8" t="inlineStr">
        <is>
          <t>Band n50 (1.5 GHz, 60 MHz)</t>
        </is>
      </c>
      <c r="Q881" s="38">
        <f>ROUNDUP(O881/'Methodology &amp; Assumptions'!$B$9, 0)</f>
        <v/>
      </c>
      <c r="R881" s="39" t="n">
        <v>1</v>
      </c>
      <c r="S881" s="21" t="n">
        <v>1.09</v>
      </c>
      <c r="T881" s="21" t="n">
        <v>0.26</v>
      </c>
      <c r="U881" s="36" t="inlineStr">
        <is>
          <t>Tier 1B (Micro Drop, 1-3 km)</t>
        </is>
      </c>
      <c r="V881" s="20" t="n">
        <v>79.59999999999999</v>
      </c>
      <c r="W881" s="20" t="n">
        <v>85.3</v>
      </c>
      <c r="X881" s="20" t="n">
        <v>58</v>
      </c>
      <c r="Y881" s="40">
        <f>ROUND((V881*'Methodology &amp; Assumptions'!$B$6)+(W881*'Methodology &amp; Assumptions'!$B$5)+(X881*'Methodology &amp; Assumptions'!$B$7), 2)</f>
        <v/>
      </c>
    </row>
    <row r="882" ht="19" customHeight="1">
      <c r="A882" s="41" t="n">
        <v>878</v>
      </c>
      <c r="B882" s="41" t="n">
        <v>878</v>
      </c>
      <c r="C882" s="42" t="inlineStr">
        <is>
          <t>0300811001</t>
        </is>
      </c>
      <c r="D882" s="42" t="inlineStr">
        <is>
          <t>Region III (Central Luzon)</t>
        </is>
      </c>
      <c r="E882" s="42" t="inlineStr">
        <is>
          <t>Bataan</t>
        </is>
      </c>
      <c r="F882" s="42" t="inlineStr">
        <is>
          <t>Pilar</t>
        </is>
      </c>
      <c r="G882" s="42" t="inlineStr">
        <is>
          <t>Ala-uli</t>
        </is>
      </c>
      <c r="H882" s="43" t="n">
        <v>14.644291</v>
      </c>
      <c r="I882" s="43" t="n">
        <v>120.53644</v>
      </c>
      <c r="J882" s="44" t="inlineStr">
        <is>
          <t>U</t>
        </is>
      </c>
      <c r="K882" s="42" t="inlineStr">
        <is>
          <t>Class 1-3 / Urban</t>
        </is>
      </c>
      <c r="L882" s="23" t="n">
        <v>5414</v>
      </c>
      <c r="M882" s="24" t="n">
        <v>4.57</v>
      </c>
      <c r="N882" s="23">
        <f>ROUND(L882/M882, 0)</f>
        <v/>
      </c>
      <c r="O882" s="23">
        <f>ROUND(N882*'Methodology &amp; Assumptions'!$B$8, 0)</f>
        <v/>
      </c>
      <c r="P882" s="44" t="inlineStr">
        <is>
          <t>Band n50 (1.5 GHz, 60 MHz)</t>
        </is>
      </c>
      <c r="Q882" s="38">
        <f>ROUNDUP(O882/'Methodology &amp; Assumptions'!$B$9, 0)</f>
        <v/>
      </c>
      <c r="R882" s="39" t="n">
        <v>1</v>
      </c>
      <c r="S882" s="25" t="n">
        <v>0.65</v>
      </c>
      <c r="T882" s="25" t="n">
        <v>0.26</v>
      </c>
      <c r="U882" s="42" t="inlineStr">
        <is>
          <t>Tier 1A (Direct Coloc, &lt;1 km)</t>
        </is>
      </c>
      <c r="V882" s="24" t="n">
        <v>90.59999999999999</v>
      </c>
      <c r="W882" s="24" t="n">
        <v>100</v>
      </c>
      <c r="X882" s="24" t="n">
        <v>28</v>
      </c>
      <c r="Y882" s="45">
        <f>ROUND((V882*'Methodology &amp; Assumptions'!$B$6)+(W882*'Methodology &amp; Assumptions'!$B$5)+(X882*'Methodology &amp; Assumptions'!$B$7), 2)</f>
        <v/>
      </c>
    </row>
    <row r="883" ht="19" customHeight="1">
      <c r="A883" s="35" t="n">
        <v>879</v>
      </c>
      <c r="B883" s="35" t="n">
        <v>879</v>
      </c>
      <c r="C883" s="36" t="inlineStr">
        <is>
          <t>1401105010</t>
        </is>
      </c>
      <c r="D883" s="36" t="inlineStr">
        <is>
          <t>Cordillera Administrative Region (CAR)</t>
        </is>
      </c>
      <c r="E883" s="36" t="inlineStr">
        <is>
          <t>Benguet</t>
        </is>
      </c>
      <c r="F883" s="36" t="inlineStr">
        <is>
          <t>Buguias</t>
        </is>
      </c>
      <c r="G883" s="36" t="inlineStr">
        <is>
          <t>Loo</t>
        </is>
      </c>
      <c r="H883" s="37" t="n">
        <v>16.79045</v>
      </c>
      <c r="I883" s="37" t="n">
        <v>120.83127</v>
      </c>
      <c r="J883" s="8" t="inlineStr">
        <is>
          <t>R</t>
        </is>
      </c>
      <c r="K883" s="36" t="inlineStr">
        <is>
          <t>Class 1-3 / Urban</t>
        </is>
      </c>
      <c r="L883" s="18" t="n">
        <v>4881</v>
      </c>
      <c r="M883" s="20" t="n">
        <v>4.58</v>
      </c>
      <c r="N883" s="18">
        <f>ROUND(L883/M883, 0)</f>
        <v/>
      </c>
      <c r="O883" s="18">
        <f>ROUND(N883*'Methodology &amp; Assumptions'!$B$8, 0)</f>
        <v/>
      </c>
      <c r="P883" s="8" t="inlineStr">
        <is>
          <t>Band n50 (1.5 GHz, 60 MHz)</t>
        </is>
      </c>
      <c r="Q883" s="38">
        <f>ROUNDUP(O883/'Methodology &amp; Assumptions'!$B$9, 0)</f>
        <v/>
      </c>
      <c r="R883" s="39" t="n">
        <v>1</v>
      </c>
      <c r="S883" s="21" t="n">
        <v>1.8</v>
      </c>
      <c r="T883" s="21" t="n">
        <v>0.08</v>
      </c>
      <c r="U883" s="36" t="inlineStr">
        <is>
          <t>Tier 1B (Micro Drop, 1-3 km)</t>
        </is>
      </c>
      <c r="V883" s="20" t="n">
        <v>64.90000000000001</v>
      </c>
      <c r="W883" s="20" t="n">
        <v>100</v>
      </c>
      <c r="X883" s="20" t="n">
        <v>58</v>
      </c>
      <c r="Y883" s="40">
        <f>ROUND((V883*'Methodology &amp; Assumptions'!$B$6)+(W883*'Methodology &amp; Assumptions'!$B$5)+(X883*'Methodology &amp; Assumptions'!$B$7), 2)</f>
        <v/>
      </c>
    </row>
    <row r="884" ht="19" customHeight="1">
      <c r="A884" s="41" t="n">
        <v>880</v>
      </c>
      <c r="B884" s="41" t="n">
        <v>880</v>
      </c>
      <c r="C884" s="42" t="inlineStr">
        <is>
          <t>0307114003</t>
        </is>
      </c>
      <c r="D884" s="42" t="inlineStr">
        <is>
          <t>Region III (Central Luzon)</t>
        </is>
      </c>
      <c r="E884" s="42" t="inlineStr">
        <is>
          <t>Zambales</t>
        </is>
      </c>
      <c r="F884" s="42" t="inlineStr">
        <is>
          <t>Subic</t>
        </is>
      </c>
      <c r="G884" s="42" t="inlineStr">
        <is>
          <t>Asinan Proper</t>
        </is>
      </c>
      <c r="H884" s="43" t="n">
        <v>14.882136</v>
      </c>
      <c r="I884" s="43" t="n">
        <v>120.229614</v>
      </c>
      <c r="J884" s="44" t="inlineStr">
        <is>
          <t>U</t>
        </is>
      </c>
      <c r="K884" s="42" t="inlineStr">
        <is>
          <t>Class 1-3 / Urban</t>
        </is>
      </c>
      <c r="L884" s="23" t="n">
        <v>9049</v>
      </c>
      <c r="M884" s="24" t="n">
        <v>4.05</v>
      </c>
      <c r="N884" s="23">
        <f>ROUND(L884/M884, 0)</f>
        <v/>
      </c>
      <c r="O884" s="23">
        <f>ROUND(N884*'Methodology &amp; Assumptions'!$B$8, 0)</f>
        <v/>
      </c>
      <c r="P884" s="44" t="inlineStr">
        <is>
          <t>Band n50 (1.5 GHz, 60 MHz)</t>
        </is>
      </c>
      <c r="Q884" s="38">
        <f>ROUNDUP(O884/'Methodology &amp; Assumptions'!$B$9, 0)</f>
        <v/>
      </c>
      <c r="R884" s="39" t="n">
        <v>1</v>
      </c>
      <c r="S884" s="25" t="n">
        <v>1.17</v>
      </c>
      <c r="T884" s="25" t="n">
        <v>0.59</v>
      </c>
      <c r="U884" s="42" t="inlineStr">
        <is>
          <t>Tier 1B (Micro Drop, 1-3 km)</t>
        </is>
      </c>
      <c r="V884" s="24" t="n">
        <v>77.7</v>
      </c>
      <c r="W884" s="24" t="n">
        <v>100</v>
      </c>
      <c r="X884" s="24" t="n">
        <v>43</v>
      </c>
      <c r="Y884" s="45">
        <f>ROUND((V884*'Methodology &amp; Assumptions'!$B$6)+(W884*'Methodology &amp; Assumptions'!$B$5)+(X884*'Methodology &amp; Assumptions'!$B$7), 2)</f>
        <v/>
      </c>
    </row>
    <row r="885" ht="19" customHeight="1">
      <c r="A885" s="35" t="n">
        <v>881</v>
      </c>
      <c r="B885" s="35" t="n">
        <v>881</v>
      </c>
      <c r="C885" s="36" t="inlineStr">
        <is>
          <t>0702246021</t>
        </is>
      </c>
      <c r="D885" s="36" t="inlineStr">
        <is>
          <t>Region VII (Central Visayas)</t>
        </is>
      </c>
      <c r="E885" s="36" t="inlineStr">
        <is>
          <t>Cebu</t>
        </is>
      </c>
      <c r="F885" s="36" t="inlineStr">
        <is>
          <t>Sibonga</t>
        </is>
      </c>
      <c r="G885" s="36" t="inlineStr">
        <is>
          <t>Poblacion</t>
        </is>
      </c>
      <c r="H885" s="37" t="n">
        <v>10.017241</v>
      </c>
      <c r="I885" s="37" t="n">
        <v>123.614765</v>
      </c>
      <c r="J885" s="8" t="inlineStr">
        <is>
          <t>U</t>
        </is>
      </c>
      <c r="K885" s="36" t="inlineStr">
        <is>
          <t>Class 1-3 / Urban</t>
        </is>
      </c>
      <c r="L885" s="18" t="n">
        <v>7257</v>
      </c>
      <c r="M885" s="20" t="n">
        <v>4.42</v>
      </c>
      <c r="N885" s="18">
        <f>ROUND(L885/M885, 0)</f>
        <v/>
      </c>
      <c r="O885" s="18">
        <f>ROUND(N885*'Methodology &amp; Assumptions'!$B$8, 0)</f>
        <v/>
      </c>
      <c r="P885" s="8" t="inlineStr">
        <is>
          <t>Band n50 (1.5 GHz, 60 MHz)</t>
        </is>
      </c>
      <c r="Q885" s="38">
        <f>ROUNDUP(O885/'Methodology &amp; Assumptions'!$B$9, 0)</f>
        <v/>
      </c>
      <c r="R885" s="39" t="n">
        <v>1</v>
      </c>
      <c r="S885" s="21" t="n">
        <v>0.65</v>
      </c>
      <c r="T885" s="21" t="n">
        <v>0.64</v>
      </c>
      <c r="U885" s="36" t="inlineStr">
        <is>
          <t>Tier 1A (Direct Coloc, &lt;1 km)</t>
        </is>
      </c>
      <c r="V885" s="20" t="n">
        <v>90.59999999999999</v>
      </c>
      <c r="W885" s="20" t="n">
        <v>100</v>
      </c>
      <c r="X885" s="20" t="n">
        <v>28</v>
      </c>
      <c r="Y885" s="40">
        <f>ROUND((V885*'Methodology &amp; Assumptions'!$B$6)+(W885*'Methodology &amp; Assumptions'!$B$5)+(X885*'Methodology &amp; Assumptions'!$B$7), 2)</f>
        <v/>
      </c>
    </row>
    <row r="886" ht="19" customHeight="1">
      <c r="A886" s="41" t="n">
        <v>882</v>
      </c>
      <c r="B886" s="41" t="n">
        <v>882</v>
      </c>
      <c r="C886" s="42" t="inlineStr">
        <is>
          <t>0304923008</t>
        </is>
      </c>
      <c r="D886" s="42" t="inlineStr">
        <is>
          <t>Region III (Central Luzon)</t>
        </is>
      </c>
      <c r="E886" s="42" t="inlineStr">
        <is>
          <t>Nueva Ecija</t>
        </is>
      </c>
      <c r="F886" s="42" t="inlineStr">
        <is>
          <t>Rizal</t>
        </is>
      </c>
      <c r="G886" s="42" t="inlineStr">
        <is>
          <t>Canaan East</t>
        </is>
      </c>
      <c r="H886" s="43" t="n">
        <v>15.585783</v>
      </c>
      <c r="I886" s="43" t="n">
        <v>120.924577</v>
      </c>
      <c r="J886" s="44" t="inlineStr">
        <is>
          <t>R</t>
        </is>
      </c>
      <c r="K886" s="42" t="inlineStr">
        <is>
          <t>Class 1-3 / Urban</t>
        </is>
      </c>
      <c r="L886" s="23" t="n">
        <v>2787</v>
      </c>
      <c r="M886" s="24" t="n">
        <v>4.32</v>
      </c>
      <c r="N886" s="23">
        <f>ROUND(L886/M886, 0)</f>
        <v/>
      </c>
      <c r="O886" s="23">
        <f>ROUND(N886*'Methodology &amp; Assumptions'!$B$8, 0)</f>
        <v/>
      </c>
      <c r="P886" s="44" t="inlineStr">
        <is>
          <t>Band n50 (1.5 GHz, 60 MHz)</t>
        </is>
      </c>
      <c r="Q886" s="38">
        <f>ROUNDUP(O886/'Methodology &amp; Assumptions'!$B$9, 0)</f>
        <v/>
      </c>
      <c r="R886" s="39" t="n">
        <v>1</v>
      </c>
      <c r="S886" s="25" t="n">
        <v>0.71</v>
      </c>
      <c r="T886" s="25" t="n">
        <v>0.52</v>
      </c>
      <c r="U886" s="42" t="inlineStr">
        <is>
          <t>Tier 1A (Direct Coloc, &lt;1 km)</t>
        </is>
      </c>
      <c r="V886" s="24" t="n">
        <v>89</v>
      </c>
      <c r="W886" s="24" t="n">
        <v>75.7</v>
      </c>
      <c r="X886" s="24" t="n">
        <v>58</v>
      </c>
      <c r="Y886" s="45">
        <f>ROUND((V886*'Methodology &amp; Assumptions'!$B$6)+(W886*'Methodology &amp; Assumptions'!$B$5)+(X886*'Methodology &amp; Assumptions'!$B$7), 2)</f>
        <v/>
      </c>
    </row>
    <row r="887" ht="19" customHeight="1">
      <c r="A887" s="35" t="n">
        <v>883</v>
      </c>
      <c r="B887" s="35" t="n">
        <v>883</v>
      </c>
      <c r="C887" s="36" t="inlineStr">
        <is>
          <t>1430300069</t>
        </is>
      </c>
      <c r="D887" s="36" t="inlineStr">
        <is>
          <t>Cordillera Administrative Region (CAR)</t>
        </is>
      </c>
      <c r="E887" s="36" t="inlineStr">
        <is>
          <t>Benguet</t>
        </is>
      </c>
      <c r="F887" s="36" t="inlineStr">
        <is>
          <t>City of Baguio</t>
        </is>
      </c>
      <c r="G887" s="36" t="inlineStr">
        <is>
          <t>Quirino Hill, Middle</t>
        </is>
      </c>
      <c r="H887" s="37" t="n">
        <v>16.42915</v>
      </c>
      <c r="I887" s="37" t="n">
        <v>120.59187</v>
      </c>
      <c r="J887" s="8" t="inlineStr">
        <is>
          <t>R</t>
        </is>
      </c>
      <c r="K887" s="36" t="inlineStr">
        <is>
          <t>Class 1-3 / Urban</t>
        </is>
      </c>
      <c r="L887" s="18" t="n">
        <v>2777</v>
      </c>
      <c r="M887" s="20" t="n">
        <v>4.58</v>
      </c>
      <c r="N887" s="18">
        <f>ROUND(L887/M887, 0)</f>
        <v/>
      </c>
      <c r="O887" s="18">
        <f>ROUND(N887*'Methodology &amp; Assumptions'!$B$8, 0)</f>
        <v/>
      </c>
      <c r="P887" s="8" t="inlineStr">
        <is>
          <t>Band n50 (1.5 GHz, 60 MHz)</t>
        </is>
      </c>
      <c r="Q887" s="38">
        <f>ROUNDUP(O887/'Methodology &amp; Assumptions'!$B$9, 0)</f>
        <v/>
      </c>
      <c r="R887" s="39" t="n">
        <v>1</v>
      </c>
      <c r="S887" s="21" t="n">
        <v>0.44</v>
      </c>
      <c r="T887" s="21" t="n">
        <v>1.59</v>
      </c>
      <c r="U887" s="36" t="inlineStr">
        <is>
          <t>Tier 1A (Direct Coloc, &lt;1 km)</t>
        </is>
      </c>
      <c r="V887" s="20" t="n">
        <v>96.2</v>
      </c>
      <c r="W887" s="20" t="n">
        <v>68.5</v>
      </c>
      <c r="X887" s="20" t="n">
        <v>58</v>
      </c>
      <c r="Y887" s="40">
        <f>ROUND((V887*'Methodology &amp; Assumptions'!$B$6)+(W887*'Methodology &amp; Assumptions'!$B$5)+(X887*'Methodology &amp; Assumptions'!$B$7), 2)</f>
        <v/>
      </c>
    </row>
    <row r="888" ht="19" customHeight="1">
      <c r="A888" s="41" t="n">
        <v>884</v>
      </c>
      <c r="B888" s="41" t="n">
        <v>884</v>
      </c>
      <c r="C888" s="42" t="inlineStr">
        <is>
          <t>0105522033</t>
        </is>
      </c>
      <c r="D888" s="42" t="inlineStr">
        <is>
          <t>Region I (Ilocos Region)</t>
        </is>
      </c>
      <c r="E888" s="42" t="inlineStr">
        <is>
          <t>Pangasinan</t>
        </is>
      </c>
      <c r="F888" s="42" t="inlineStr">
        <is>
          <t>Lingayen</t>
        </is>
      </c>
      <c r="G888" s="42" t="inlineStr">
        <is>
          <t>Tonton</t>
        </is>
      </c>
      <c r="H888" s="43" t="n">
        <v>16.026192</v>
      </c>
      <c r="I888" s="43" t="n">
        <v>120.24928</v>
      </c>
      <c r="J888" s="44" t="inlineStr">
        <is>
          <t>R</t>
        </is>
      </c>
      <c r="K888" s="42" t="inlineStr">
        <is>
          <t>Class 1-3 / Urban</t>
        </is>
      </c>
      <c r="L888" s="23" t="n">
        <v>4788</v>
      </c>
      <c r="M888" s="24" t="n">
        <v>4.39</v>
      </c>
      <c r="N888" s="23">
        <f>ROUND(L888/M888, 0)</f>
        <v/>
      </c>
      <c r="O888" s="23">
        <f>ROUND(N888*'Methodology &amp; Assumptions'!$B$8, 0)</f>
        <v/>
      </c>
      <c r="P888" s="44" t="inlineStr">
        <is>
          <t>Band n50 (1.5 GHz, 60 MHz)</t>
        </is>
      </c>
      <c r="Q888" s="38">
        <f>ROUNDUP(O888/'Methodology &amp; Assumptions'!$B$9, 0)</f>
        <v/>
      </c>
      <c r="R888" s="39" t="n">
        <v>1</v>
      </c>
      <c r="S888" s="25" t="n">
        <v>1.81</v>
      </c>
      <c r="T888" s="25" t="n">
        <v>0.17</v>
      </c>
      <c r="U888" s="42" t="inlineStr">
        <is>
          <t>Tier 1B (Micro Drop, 1-3 km)</t>
        </is>
      </c>
      <c r="V888" s="24" t="n">
        <v>64.7</v>
      </c>
      <c r="W888" s="24" t="n">
        <v>100</v>
      </c>
      <c r="X888" s="24" t="n">
        <v>58</v>
      </c>
      <c r="Y888" s="45">
        <f>ROUND((V888*'Methodology &amp; Assumptions'!$B$6)+(W888*'Methodology &amp; Assumptions'!$B$5)+(X888*'Methodology &amp; Assumptions'!$B$7), 2)</f>
        <v/>
      </c>
    </row>
    <row r="889" ht="19" customHeight="1">
      <c r="A889" s="35" t="n">
        <v>885</v>
      </c>
      <c r="B889" s="35" t="n">
        <v>885</v>
      </c>
      <c r="C889" s="36" t="inlineStr">
        <is>
          <t>1004308050</t>
        </is>
      </c>
      <c r="D889" s="36" t="inlineStr">
        <is>
          <t>Region X (Northern Mindanao)</t>
        </is>
      </c>
      <c r="E889" s="36" t="inlineStr">
        <is>
          <t>Misamis Oriental</t>
        </is>
      </c>
      <c r="F889" s="36" t="inlineStr">
        <is>
          <t>City of Gingoog</t>
        </is>
      </c>
      <c r="G889" s="36" t="inlineStr">
        <is>
          <t>Barangay 25</t>
        </is>
      </c>
      <c r="H889" s="37" t="n">
        <v>8.820650000000001</v>
      </c>
      <c r="I889" s="37" t="n">
        <v>125.09156</v>
      </c>
      <c r="J889" s="8" t="inlineStr">
        <is>
          <t>R</t>
        </is>
      </c>
      <c r="K889" s="36" t="inlineStr">
        <is>
          <t>Class 1-3 / Urban</t>
        </is>
      </c>
      <c r="L889" s="18" t="n">
        <v>4055</v>
      </c>
      <c r="M889" s="20" t="n">
        <v>4.54</v>
      </c>
      <c r="N889" s="18">
        <f>ROUND(L889/M889, 0)</f>
        <v/>
      </c>
      <c r="O889" s="18">
        <f>ROUND(N889*'Methodology &amp; Assumptions'!$B$8, 0)</f>
        <v/>
      </c>
      <c r="P889" s="8" t="inlineStr">
        <is>
          <t>Band n50 (1.5 GHz, 60 MHz)</t>
        </is>
      </c>
      <c r="Q889" s="38">
        <f>ROUNDUP(O889/'Methodology &amp; Assumptions'!$B$9, 0)</f>
        <v/>
      </c>
      <c r="R889" s="39" t="n">
        <v>1</v>
      </c>
      <c r="S889" s="21" t="n">
        <v>1.57</v>
      </c>
      <c r="T889" s="21" t="n">
        <v>0.45</v>
      </c>
      <c r="U889" s="36" t="inlineStr">
        <is>
          <t>Tier 1B (Micro Drop, 1-3 km)</t>
        </is>
      </c>
      <c r="V889" s="20" t="n">
        <v>69.3</v>
      </c>
      <c r="W889" s="20" t="n">
        <v>95.5</v>
      </c>
      <c r="X889" s="20" t="n">
        <v>58</v>
      </c>
      <c r="Y889" s="40">
        <f>ROUND((V889*'Methodology &amp; Assumptions'!$B$6)+(W889*'Methodology &amp; Assumptions'!$B$5)+(X889*'Methodology &amp; Assumptions'!$B$7), 2)</f>
        <v/>
      </c>
    </row>
    <row r="890" ht="19" customHeight="1">
      <c r="A890" s="41" t="n">
        <v>886</v>
      </c>
      <c r="B890" s="41" t="n">
        <v>886</v>
      </c>
      <c r="C890" s="42" t="inlineStr">
        <is>
          <t>0702244011</t>
        </is>
      </c>
      <c r="D890" s="42" t="inlineStr">
        <is>
          <t>Region VII (Central Visayas)</t>
        </is>
      </c>
      <c r="E890" s="42" t="inlineStr">
        <is>
          <t>Cebu</t>
        </is>
      </c>
      <c r="F890" s="42" t="inlineStr">
        <is>
          <t>Santa Fe</t>
        </is>
      </c>
      <c r="G890" s="42" t="inlineStr">
        <is>
          <t>Talisay</t>
        </is>
      </c>
      <c r="H890" s="43" t="n">
        <v>10.252449</v>
      </c>
      <c r="I890" s="43" t="n">
        <v>123.839234</v>
      </c>
      <c r="J890" s="44" t="inlineStr">
        <is>
          <t>U</t>
        </is>
      </c>
      <c r="K890" s="42" t="inlineStr">
        <is>
          <t>3rd</t>
        </is>
      </c>
      <c r="L890" s="23" t="n">
        <v>3161</v>
      </c>
      <c r="M890" s="24" t="n">
        <v>4.21</v>
      </c>
      <c r="N890" s="23">
        <f>ROUND(L890/M890, 0)</f>
        <v/>
      </c>
      <c r="O890" s="23">
        <f>ROUND(N890*'Methodology &amp; Assumptions'!$B$8, 0)</f>
        <v/>
      </c>
      <c r="P890" s="44" t="inlineStr">
        <is>
          <t>Band n50 (1.5 GHz, 60 MHz)</t>
        </is>
      </c>
      <c r="Q890" s="38">
        <f>ROUNDUP(O890/'Methodology &amp; Assumptions'!$B$9, 0)</f>
        <v/>
      </c>
      <c r="R890" s="39" t="n">
        <v>1</v>
      </c>
      <c r="S890" s="25" t="n">
        <v>0.54</v>
      </c>
      <c r="T890" s="25" t="n">
        <v>0.02</v>
      </c>
      <c r="U890" s="42" t="inlineStr">
        <is>
          <t>Tier 1A (Direct Coloc, &lt;1 km)</t>
        </is>
      </c>
      <c r="V890" s="24" t="n">
        <v>93.59999999999999</v>
      </c>
      <c r="W890" s="24" t="n">
        <v>84</v>
      </c>
      <c r="X890" s="24" t="n">
        <v>43</v>
      </c>
      <c r="Y890" s="45">
        <f>ROUND((V890*'Methodology &amp; Assumptions'!$B$6)+(W890*'Methodology &amp; Assumptions'!$B$5)+(X890*'Methodology &amp; Assumptions'!$B$7), 2)</f>
        <v/>
      </c>
    </row>
    <row r="891" ht="19" customHeight="1">
      <c r="A891" s="35" t="n">
        <v>887</v>
      </c>
      <c r="B891" s="35" t="n">
        <v>887</v>
      </c>
      <c r="C891" s="36" t="inlineStr">
        <is>
          <t>0500517036</t>
        </is>
      </c>
      <c r="D891" s="36" t="inlineStr">
        <is>
          <t>Region V (Bicol Region)</t>
        </is>
      </c>
      <c r="E891" s="36" t="inlineStr">
        <is>
          <t>Albay</t>
        </is>
      </c>
      <c r="F891" s="36" t="inlineStr">
        <is>
          <t>City of Tabaco</t>
        </is>
      </c>
      <c r="G891" s="36" t="inlineStr">
        <is>
          <t>San Antonio</t>
        </is>
      </c>
      <c r="H891" s="37" t="n">
        <v>13.3474</v>
      </c>
      <c r="I891" s="37" t="n">
        <v>123.6774</v>
      </c>
      <c r="J891" s="8" t="inlineStr">
        <is>
          <t>R</t>
        </is>
      </c>
      <c r="K891" s="36" t="inlineStr">
        <is>
          <t>Class 1-3 / Urban</t>
        </is>
      </c>
      <c r="L891" s="18" t="n">
        <v>4891</v>
      </c>
      <c r="M891" s="20" t="n">
        <v>4.67</v>
      </c>
      <c r="N891" s="18">
        <f>ROUND(L891/M891, 0)</f>
        <v/>
      </c>
      <c r="O891" s="18">
        <f>ROUND(N891*'Methodology &amp; Assumptions'!$B$8, 0)</f>
        <v/>
      </c>
      <c r="P891" s="8" t="inlineStr">
        <is>
          <t>Band n50 (1.5 GHz, 60 MHz)</t>
        </is>
      </c>
      <c r="Q891" s="38">
        <f>ROUNDUP(O891/'Methodology &amp; Assumptions'!$B$9, 0)</f>
        <v/>
      </c>
      <c r="R891" s="39" t="n">
        <v>1</v>
      </c>
      <c r="S891" s="21" t="n">
        <v>1.81</v>
      </c>
      <c r="T891" s="21" t="n">
        <v>0.14</v>
      </c>
      <c r="U891" s="36" t="inlineStr">
        <is>
          <t>Tier 1B (Micro Drop, 1-3 km)</t>
        </is>
      </c>
      <c r="V891" s="20" t="n">
        <v>64.7</v>
      </c>
      <c r="W891" s="20" t="n">
        <v>100</v>
      </c>
      <c r="X891" s="20" t="n">
        <v>58</v>
      </c>
      <c r="Y891" s="40">
        <f>ROUND((V891*'Methodology &amp; Assumptions'!$B$6)+(W891*'Methodology &amp; Assumptions'!$B$5)+(X891*'Methodology &amp; Assumptions'!$B$7), 2)</f>
        <v/>
      </c>
    </row>
    <row r="892" ht="19" customHeight="1">
      <c r="A892" s="41" t="n">
        <v>888</v>
      </c>
      <c r="B892" s="41" t="n">
        <v>888</v>
      </c>
      <c r="C892" s="42" t="inlineStr">
        <is>
          <t>1102403028</t>
        </is>
      </c>
      <c r="D892" s="42" t="inlineStr">
        <is>
          <t>Region XI (Davao Region)</t>
        </is>
      </c>
      <c r="E892" s="42" t="inlineStr">
        <is>
          <t>Davao del Sur</t>
        </is>
      </c>
      <c r="F892" s="42" t="inlineStr">
        <is>
          <t>City of Digos</t>
        </is>
      </c>
      <c r="G892" s="42" t="inlineStr">
        <is>
          <t>Zone 1</t>
        </is>
      </c>
      <c r="H892" s="43" t="n">
        <v>6.75644</v>
      </c>
      <c r="I892" s="43" t="n">
        <v>125.36184</v>
      </c>
      <c r="J892" s="44" t="inlineStr">
        <is>
          <t>U</t>
        </is>
      </c>
      <c r="K892" s="42" t="inlineStr">
        <is>
          <t>Class 1-3 / Urban</t>
        </is>
      </c>
      <c r="L892" s="23" t="n">
        <v>16942</v>
      </c>
      <c r="M892" s="24" t="n">
        <v>4.1</v>
      </c>
      <c r="N892" s="23">
        <f>ROUND(L892/M892, 0)</f>
        <v/>
      </c>
      <c r="O892" s="23">
        <f>ROUND(N892*'Methodology &amp; Assumptions'!$B$8, 0)</f>
        <v/>
      </c>
      <c r="P892" s="44" t="inlineStr">
        <is>
          <t>Band n50 (1.5 GHz, 60 MHz)</t>
        </is>
      </c>
      <c r="Q892" s="38">
        <f>ROUNDUP(O892/'Methodology &amp; Assumptions'!$B$9, 0)</f>
        <v/>
      </c>
      <c r="R892" s="39" t="n">
        <v>1</v>
      </c>
      <c r="S892" s="25" t="n">
        <v>0.66</v>
      </c>
      <c r="T892" s="25" t="n">
        <v>1.29</v>
      </c>
      <c r="U892" s="42" t="inlineStr">
        <is>
          <t>Tier 1A (Direct Coloc, &lt;1 km)</t>
        </is>
      </c>
      <c r="V892" s="24" t="n">
        <v>90.40000000000001</v>
      </c>
      <c r="W892" s="24" t="n">
        <v>100</v>
      </c>
      <c r="X892" s="24" t="n">
        <v>28</v>
      </c>
      <c r="Y892" s="45">
        <f>ROUND((V892*'Methodology &amp; Assumptions'!$B$6)+(W892*'Methodology &amp; Assumptions'!$B$5)+(X892*'Methodology &amp; Assumptions'!$B$7), 2)</f>
        <v/>
      </c>
    </row>
    <row r="893" ht="19" customHeight="1">
      <c r="A893" s="35" t="n">
        <v>889</v>
      </c>
      <c r="B893" s="35" t="n">
        <v>889</v>
      </c>
      <c r="C893" s="36" t="inlineStr">
        <is>
          <t>0201506035</t>
        </is>
      </c>
      <c r="D893" s="36" t="inlineStr">
        <is>
          <t>Region II (Cagayan Valley)</t>
        </is>
      </c>
      <c r="E893" s="36" t="inlineStr">
        <is>
          <t>Cagayan</t>
        </is>
      </c>
      <c r="F893" s="36" t="inlineStr">
        <is>
          <t>Baggao</t>
        </is>
      </c>
      <c r="G893" s="36" t="inlineStr">
        <is>
          <t>San Jose</t>
        </is>
      </c>
      <c r="H893" s="37" t="n">
        <v>17.889098</v>
      </c>
      <c r="I893" s="37" t="n">
        <v>121.870008</v>
      </c>
      <c r="J893" s="8" t="inlineStr">
        <is>
          <t>U</t>
        </is>
      </c>
      <c r="K893" s="36" t="inlineStr">
        <is>
          <t>Class 1-3 / Urban</t>
        </is>
      </c>
      <c r="L893" s="18" t="n">
        <v>4535</v>
      </c>
      <c r="M893" s="20" t="n">
        <v>4.38</v>
      </c>
      <c r="N893" s="18">
        <f>ROUND(L893/M893, 0)</f>
        <v/>
      </c>
      <c r="O893" s="18">
        <f>ROUND(N893*'Methodology &amp; Assumptions'!$B$8, 0)</f>
        <v/>
      </c>
      <c r="P893" s="8" t="inlineStr">
        <is>
          <t>Band n50 (1.5 GHz, 60 MHz)</t>
        </is>
      </c>
      <c r="Q893" s="38">
        <f>ROUNDUP(O893/'Methodology &amp; Assumptions'!$B$9, 0)</f>
        <v/>
      </c>
      <c r="R893" s="39" t="n">
        <v>1</v>
      </c>
      <c r="S893" s="21" t="n">
        <v>0.3</v>
      </c>
      <c r="T893" s="21" t="n">
        <v>16.3</v>
      </c>
      <c r="U893" s="36" t="inlineStr">
        <is>
          <t>Tier 1A (Direct Coloc, &lt;1 km)</t>
        </is>
      </c>
      <c r="V893" s="20" t="n">
        <v>90.40000000000001</v>
      </c>
      <c r="W893" s="20" t="n">
        <v>100</v>
      </c>
      <c r="X893" s="20" t="n">
        <v>28</v>
      </c>
      <c r="Y893" s="40">
        <f>ROUND((V893*'Methodology &amp; Assumptions'!$B$6)+(W893*'Methodology &amp; Assumptions'!$B$5)+(X893*'Methodology &amp; Assumptions'!$B$7), 2)</f>
        <v/>
      </c>
    </row>
    <row r="894" ht="19" customHeight="1">
      <c r="A894" s="41" t="n">
        <v>890</v>
      </c>
      <c r="B894" s="41" t="n">
        <v>890</v>
      </c>
      <c r="C894" s="42" t="inlineStr">
        <is>
          <t>0501709017</t>
        </is>
      </c>
      <c r="D894" s="42" t="inlineStr">
        <is>
          <t>Region V (Bicol Region)</t>
        </is>
      </c>
      <c r="E894" s="42" t="inlineStr">
        <is>
          <t>Camarines Sur</t>
        </is>
      </c>
      <c r="F894" s="42" t="inlineStr">
        <is>
          <t>Camaligan</t>
        </is>
      </c>
      <c r="G894" s="42" t="inlineStr">
        <is>
          <t>Tarosanan</t>
        </is>
      </c>
      <c r="H894" s="43" t="n">
        <v>13.616061</v>
      </c>
      <c r="I894" s="43" t="n">
        <v>123.173388</v>
      </c>
      <c r="J894" s="44" t="inlineStr">
        <is>
          <t>R</t>
        </is>
      </c>
      <c r="K894" s="42" t="inlineStr">
        <is>
          <t>4th</t>
        </is>
      </c>
      <c r="L894" s="23" t="n">
        <v>2228</v>
      </c>
      <c r="M894" s="24" t="n">
        <v>4.97</v>
      </c>
      <c r="N894" s="23">
        <f>ROUND(L894/M894, 0)</f>
        <v/>
      </c>
      <c r="O894" s="23">
        <f>ROUND(N894*'Methodology &amp; Assumptions'!$B$8, 0)</f>
        <v/>
      </c>
      <c r="P894" s="44" t="inlineStr">
        <is>
          <t>Band n50 (1.5 GHz, 60 MHz)</t>
        </is>
      </c>
      <c r="Q894" s="38">
        <f>ROUNDUP(O894/'Methodology &amp; Assumptions'!$B$9, 0)</f>
        <v/>
      </c>
      <c r="R894" s="39" t="n">
        <v>1</v>
      </c>
      <c r="S894" s="25" t="n">
        <v>0.46</v>
      </c>
      <c r="T894" s="25" t="n">
        <v>1.21</v>
      </c>
      <c r="U894" s="42" t="inlineStr">
        <is>
          <t>Tier 1A (Direct Coloc, &lt;1 km)</t>
        </is>
      </c>
      <c r="V894" s="24" t="n">
        <v>95.8</v>
      </c>
      <c r="W894" s="24" t="n">
        <v>59.7</v>
      </c>
      <c r="X894" s="24" t="n">
        <v>68.5</v>
      </c>
      <c r="Y894" s="45">
        <f>ROUND((V894*'Methodology &amp; Assumptions'!$B$6)+(W894*'Methodology &amp; Assumptions'!$B$5)+(X894*'Methodology &amp; Assumptions'!$B$7), 2)</f>
        <v/>
      </c>
    </row>
    <row r="895" ht="19" customHeight="1">
      <c r="A895" s="35" t="n">
        <v>891</v>
      </c>
      <c r="B895" s="35" t="n">
        <v>891</v>
      </c>
      <c r="C895" s="36" t="inlineStr">
        <is>
          <t>0704604002</t>
        </is>
      </c>
      <c r="D895" s="36" t="inlineStr">
        <is>
          <t>Region VII (Central Visayas)</t>
        </is>
      </c>
      <c r="E895" s="36" t="inlineStr">
        <is>
          <t>Negros Oriental</t>
        </is>
      </c>
      <c r="F895" s="36" t="inlineStr">
        <is>
          <t>City of Bais</t>
        </is>
      </c>
      <c r="G895" s="36" t="inlineStr">
        <is>
          <t>Barangay II</t>
        </is>
      </c>
      <c r="H895" s="37" t="n">
        <v>9.59281</v>
      </c>
      <c r="I895" s="37" t="n">
        <v>123.12866</v>
      </c>
      <c r="J895" s="8" t="inlineStr">
        <is>
          <t>U</t>
        </is>
      </c>
      <c r="K895" s="36" t="inlineStr">
        <is>
          <t>Class 1-3 / Urban</t>
        </is>
      </c>
      <c r="L895" s="18" t="n">
        <v>9483</v>
      </c>
      <c r="M895" s="20" t="n">
        <v>4.33</v>
      </c>
      <c r="N895" s="18">
        <f>ROUND(L895/M895, 0)</f>
        <v/>
      </c>
      <c r="O895" s="18">
        <f>ROUND(N895*'Methodology &amp; Assumptions'!$B$8, 0)</f>
        <v/>
      </c>
      <c r="P895" s="8" t="inlineStr">
        <is>
          <t>Band n50 (1.5 GHz, 60 MHz)</t>
        </is>
      </c>
      <c r="Q895" s="38">
        <f>ROUNDUP(O895/'Methodology &amp; Assumptions'!$B$9, 0)</f>
        <v/>
      </c>
      <c r="R895" s="39" t="n">
        <v>1</v>
      </c>
      <c r="S895" s="21" t="n">
        <v>0.66</v>
      </c>
      <c r="T895" s="21" t="n">
        <v>0.65</v>
      </c>
      <c r="U895" s="36" t="inlineStr">
        <is>
          <t>Tier 1A (Direct Coloc, &lt;1 km)</t>
        </is>
      </c>
      <c r="V895" s="20" t="n">
        <v>90.3</v>
      </c>
      <c r="W895" s="20" t="n">
        <v>100</v>
      </c>
      <c r="X895" s="20" t="n">
        <v>28</v>
      </c>
      <c r="Y895" s="40">
        <f>ROUND((V895*'Methodology &amp; Assumptions'!$B$6)+(W895*'Methodology &amp; Assumptions'!$B$5)+(X895*'Methodology &amp; Assumptions'!$B$7), 2)</f>
        <v/>
      </c>
    </row>
    <row r="896" ht="19" customHeight="1">
      <c r="A896" s="41" t="n">
        <v>892</v>
      </c>
      <c r="B896" s="41" t="n">
        <v>892</v>
      </c>
      <c r="C896" s="42" t="inlineStr">
        <is>
          <t>1030900046</t>
        </is>
      </c>
      <c r="D896" s="42" t="inlineStr">
        <is>
          <t>Region X (Northern Mindanao)</t>
        </is>
      </c>
      <c r="E896" s="42" t="inlineStr">
        <is>
          <t>Lanao del Norte</t>
        </is>
      </c>
      <c r="F896" s="42" t="inlineStr">
        <is>
          <t>City of Iligan</t>
        </is>
      </c>
      <c r="G896" s="42" t="inlineStr">
        <is>
          <t>Ubaldo Laya</t>
        </is>
      </c>
      <c r="H896" s="43" t="n">
        <v>8.224192</v>
      </c>
      <c r="I896" s="43" t="n">
        <v>124.24473</v>
      </c>
      <c r="J896" s="44" t="inlineStr">
        <is>
          <t>U</t>
        </is>
      </c>
      <c r="K896" s="42" t="inlineStr">
        <is>
          <t>Class 1-3 / Urban</t>
        </is>
      </c>
      <c r="L896" s="23" t="n">
        <v>13626</v>
      </c>
      <c r="M896" s="24" t="n">
        <v>5.12</v>
      </c>
      <c r="N896" s="23">
        <f>ROUND(L896/M896, 0)</f>
        <v/>
      </c>
      <c r="O896" s="23">
        <f>ROUND(N896*'Methodology &amp; Assumptions'!$B$8, 0)</f>
        <v/>
      </c>
      <c r="P896" s="44" t="inlineStr">
        <is>
          <t>Band n50 (1.5 GHz, 60 MHz)</t>
        </is>
      </c>
      <c r="Q896" s="38">
        <f>ROUNDUP(O896/'Methodology &amp; Assumptions'!$B$9, 0)</f>
        <v/>
      </c>
      <c r="R896" s="39" t="n">
        <v>1</v>
      </c>
      <c r="S896" s="25" t="n">
        <v>0.66</v>
      </c>
      <c r="T896" s="25" t="n">
        <v>0.44</v>
      </c>
      <c r="U896" s="42" t="inlineStr">
        <is>
          <t>Tier 1A (Direct Coloc, &lt;1 km)</t>
        </is>
      </c>
      <c r="V896" s="24" t="n">
        <v>90.3</v>
      </c>
      <c r="W896" s="24" t="n">
        <v>100</v>
      </c>
      <c r="X896" s="24" t="n">
        <v>28</v>
      </c>
      <c r="Y896" s="45">
        <f>ROUND((V896*'Methodology &amp; Assumptions'!$B$6)+(W896*'Methodology &amp; Assumptions'!$B$5)+(X896*'Methodology &amp; Assumptions'!$B$7), 2)</f>
        <v/>
      </c>
    </row>
    <row r="897" ht="19" customHeight="1">
      <c r="A897" s="35" t="n">
        <v>893</v>
      </c>
      <c r="B897" s="35" t="n">
        <v>893</v>
      </c>
      <c r="C897" s="36" t="inlineStr">
        <is>
          <t>0401017020</t>
        </is>
      </c>
      <c r="D897" s="36" t="inlineStr">
        <is>
          <t>Region IV-A (CALABARZON)</t>
        </is>
      </c>
      <c r="E897" s="36" t="inlineStr">
        <is>
          <t>Batangas</t>
        </is>
      </c>
      <c r="F897" s="36" t="inlineStr">
        <is>
          <t>Malvar</t>
        </is>
      </c>
      <c r="G897" s="36" t="inlineStr">
        <is>
          <t>Santiago</t>
        </is>
      </c>
      <c r="H897" s="37" t="n">
        <v>14.014508</v>
      </c>
      <c r="I897" s="37" t="n">
        <v>121.162619</v>
      </c>
      <c r="J897" s="8" t="inlineStr">
        <is>
          <t>U</t>
        </is>
      </c>
      <c r="K897" s="36" t="inlineStr">
        <is>
          <t>Class 1-3 / Urban</t>
        </is>
      </c>
      <c r="L897" s="18" t="n">
        <v>8235</v>
      </c>
      <c r="M897" s="20" t="n">
        <v>4.62</v>
      </c>
      <c r="N897" s="18">
        <f>ROUND(L897/M897, 0)</f>
        <v/>
      </c>
      <c r="O897" s="18">
        <f>ROUND(N897*'Methodology &amp; Assumptions'!$B$8, 0)</f>
        <v/>
      </c>
      <c r="P897" s="8" t="inlineStr">
        <is>
          <t>Band n50 (1.5 GHz, 60 MHz)</t>
        </is>
      </c>
      <c r="Q897" s="38">
        <f>ROUNDUP(O897/'Methodology &amp; Assumptions'!$B$9, 0)</f>
        <v/>
      </c>
      <c r="R897" s="39" t="n">
        <v>1</v>
      </c>
      <c r="S897" s="21" t="n">
        <v>0.66</v>
      </c>
      <c r="T897" s="21" t="n">
        <v>0.2</v>
      </c>
      <c r="U897" s="36" t="inlineStr">
        <is>
          <t>Tier 1A (Direct Coloc, &lt;1 km)</t>
        </is>
      </c>
      <c r="V897" s="20" t="n">
        <v>90.2</v>
      </c>
      <c r="W897" s="20" t="n">
        <v>100</v>
      </c>
      <c r="X897" s="20" t="n">
        <v>28</v>
      </c>
      <c r="Y897" s="40">
        <f>ROUND((V897*'Methodology &amp; Assumptions'!$B$6)+(W897*'Methodology &amp; Assumptions'!$B$5)+(X897*'Methodology &amp; Assumptions'!$B$7), 2)</f>
        <v/>
      </c>
    </row>
    <row r="898" ht="19" customHeight="1">
      <c r="A898" s="41" t="n">
        <v>894</v>
      </c>
      <c r="B898" s="41" t="n">
        <v>894</v>
      </c>
      <c r="C898" s="42" t="inlineStr">
        <is>
          <t>0702205026</t>
        </is>
      </c>
      <c r="D898" s="42" t="inlineStr">
        <is>
          <t>Region VII (Central Visayas)</t>
        </is>
      </c>
      <c r="E898" s="42" t="inlineStr">
        <is>
          <t>Cebu</t>
        </is>
      </c>
      <c r="F898" s="42" t="inlineStr">
        <is>
          <t>Argao</t>
        </is>
      </c>
      <c r="G898" s="42" t="inlineStr">
        <is>
          <t>Langtad</t>
        </is>
      </c>
      <c r="H898" s="43" t="n">
        <v>9.890691</v>
      </c>
      <c r="I898" s="43" t="n">
        <v>123.606081</v>
      </c>
      <c r="J898" s="44" t="inlineStr">
        <is>
          <t>R</t>
        </is>
      </c>
      <c r="K898" s="42" t="inlineStr">
        <is>
          <t>Class 1-3 / Urban</t>
        </is>
      </c>
      <c r="L898" s="23" t="n">
        <v>3417</v>
      </c>
      <c r="M898" s="24" t="n">
        <v>4.42</v>
      </c>
      <c r="N898" s="23">
        <f>ROUND(L898/M898, 0)</f>
        <v/>
      </c>
      <c r="O898" s="23">
        <f>ROUND(N898*'Methodology &amp; Assumptions'!$B$8, 0)</f>
        <v/>
      </c>
      <c r="P898" s="44" t="inlineStr">
        <is>
          <t>Band n50 (1.5 GHz, 60 MHz)</t>
        </is>
      </c>
      <c r="Q898" s="38">
        <f>ROUNDUP(O898/'Methodology &amp; Assumptions'!$B$9, 0)</f>
        <v/>
      </c>
      <c r="R898" s="39" t="n">
        <v>1</v>
      </c>
      <c r="S898" s="25" t="n">
        <v>1.13</v>
      </c>
      <c r="T898" s="25" t="n">
        <v>0.17</v>
      </c>
      <c r="U898" s="42" t="inlineStr">
        <is>
          <t>Tier 1B (Micro Drop, 1-3 km)</t>
        </is>
      </c>
      <c r="V898" s="24" t="n">
        <v>78.59999999999999</v>
      </c>
      <c r="W898" s="24" t="n">
        <v>85.90000000000001</v>
      </c>
      <c r="X898" s="24" t="n">
        <v>58</v>
      </c>
      <c r="Y898" s="45">
        <f>ROUND((V898*'Methodology &amp; Assumptions'!$B$6)+(W898*'Methodology &amp; Assumptions'!$B$5)+(X898*'Methodology &amp; Assumptions'!$B$7), 2)</f>
        <v/>
      </c>
    </row>
    <row r="899" ht="19" customHeight="1">
      <c r="A899" s="35" t="n">
        <v>895</v>
      </c>
      <c r="B899" s="35" t="n">
        <v>895</v>
      </c>
      <c r="C899" s="36" t="inlineStr">
        <is>
          <t>0305412018</t>
        </is>
      </c>
      <c r="D899" s="36" t="inlineStr">
        <is>
          <t>Region III (Central Luzon)</t>
        </is>
      </c>
      <c r="E899" s="36" t="inlineStr">
        <is>
          <t>Pampanga</t>
        </is>
      </c>
      <c r="F899" s="36" t="inlineStr">
        <is>
          <t>Masantol</t>
        </is>
      </c>
      <c r="G899" s="36" t="inlineStr">
        <is>
          <t>San Isidro Matua</t>
        </is>
      </c>
      <c r="H899" s="37" t="n">
        <v>14.896071</v>
      </c>
      <c r="I899" s="37" t="n">
        <v>120.70266</v>
      </c>
      <c r="J899" s="8" t="inlineStr">
        <is>
          <t>R</t>
        </is>
      </c>
      <c r="K899" s="36" t="inlineStr">
        <is>
          <t>Class 1-3 / Urban</t>
        </is>
      </c>
      <c r="L899" s="18" t="n">
        <v>3520</v>
      </c>
      <c r="M899" s="20" t="n">
        <v>4.63</v>
      </c>
      <c r="N899" s="18">
        <f>ROUND(L899/M899, 0)</f>
        <v/>
      </c>
      <c r="O899" s="18">
        <f>ROUND(N899*'Methodology &amp; Assumptions'!$B$8, 0)</f>
        <v/>
      </c>
      <c r="P899" s="8" t="inlineStr">
        <is>
          <t>Band n50 (1.5 GHz, 60 MHz)</t>
        </is>
      </c>
      <c r="Q899" s="38">
        <f>ROUNDUP(O899/'Methodology &amp; Assumptions'!$B$9, 0)</f>
        <v/>
      </c>
      <c r="R899" s="39" t="n">
        <v>1</v>
      </c>
      <c r="S899" s="21" t="n">
        <v>0.68</v>
      </c>
      <c r="T899" s="21" t="n">
        <v>2.21</v>
      </c>
      <c r="U899" s="36" t="inlineStr">
        <is>
          <t>Tier 1A (Direct Coloc, &lt;1 km)</t>
        </is>
      </c>
      <c r="V899" s="20" t="n">
        <v>79.7</v>
      </c>
      <c r="W899" s="20" t="n">
        <v>84.8</v>
      </c>
      <c r="X899" s="20" t="n">
        <v>58</v>
      </c>
      <c r="Y899" s="40">
        <f>ROUND((V899*'Methodology &amp; Assumptions'!$B$6)+(W899*'Methodology &amp; Assumptions'!$B$5)+(X899*'Methodology &amp; Assumptions'!$B$7), 2)</f>
        <v/>
      </c>
    </row>
    <row r="900" ht="19" customHeight="1">
      <c r="A900" s="41" t="n">
        <v>896</v>
      </c>
      <c r="B900" s="41" t="n">
        <v>896</v>
      </c>
      <c r="C900" s="42" t="inlineStr">
        <is>
          <t>0506202019</t>
        </is>
      </c>
      <c r="D900" s="42" t="inlineStr">
        <is>
          <t>Region V (Bicol Region)</t>
        </is>
      </c>
      <c r="E900" s="42" t="inlineStr">
        <is>
          <t>Sorsogon</t>
        </is>
      </c>
      <c r="F900" s="42" t="inlineStr">
        <is>
          <t>Barcelona</t>
        </is>
      </c>
      <c r="G900" s="42" t="inlineStr">
        <is>
          <t>Poblacion Norte</t>
        </is>
      </c>
      <c r="H900" s="43" t="n">
        <v>12.869377</v>
      </c>
      <c r="I900" s="43" t="n">
        <v>124.143144</v>
      </c>
      <c r="J900" s="44" t="inlineStr">
        <is>
          <t>R</t>
        </is>
      </c>
      <c r="K900" s="42" t="inlineStr">
        <is>
          <t>4th</t>
        </is>
      </c>
      <c r="L900" s="23" t="n">
        <v>1717</v>
      </c>
      <c r="M900" s="24" t="n">
        <v>4.38</v>
      </c>
      <c r="N900" s="23">
        <f>ROUND(L900/M900, 0)</f>
        <v/>
      </c>
      <c r="O900" s="23">
        <f>ROUND(N900*'Methodology &amp; Assumptions'!$B$8, 0)</f>
        <v/>
      </c>
      <c r="P900" s="44" t="inlineStr">
        <is>
          <t>Band n50 (1.5 GHz, 60 MHz)</t>
        </is>
      </c>
      <c r="Q900" s="38">
        <f>ROUNDUP(O900/'Methodology &amp; Assumptions'!$B$9, 0)</f>
        <v/>
      </c>
      <c r="R900" s="39" t="n">
        <v>1</v>
      </c>
      <c r="S900" s="25" t="n">
        <v>0.11</v>
      </c>
      <c r="T900" s="25" t="n">
        <v>0.08</v>
      </c>
      <c r="U900" s="42" t="inlineStr">
        <is>
          <t>Tier 1A (Direct Coloc, &lt;1 km)</t>
        </is>
      </c>
      <c r="V900" s="24" t="n">
        <v>100</v>
      </c>
      <c r="W900" s="24" t="n">
        <v>55.5</v>
      </c>
      <c r="X900" s="24" t="n">
        <v>68.5</v>
      </c>
      <c r="Y900" s="45">
        <f>ROUND((V900*'Methodology &amp; Assumptions'!$B$6)+(W900*'Methodology &amp; Assumptions'!$B$5)+(X900*'Methodology &amp; Assumptions'!$B$7), 2)</f>
        <v/>
      </c>
    </row>
    <row r="901" ht="19" customHeight="1">
      <c r="A901" s="35" t="n">
        <v>897</v>
      </c>
      <c r="B901" s="35" t="n">
        <v>897</v>
      </c>
      <c r="C901" s="36" t="inlineStr">
        <is>
          <t>0402115032</t>
        </is>
      </c>
      <c r="D901" s="36" t="inlineStr">
        <is>
          <t>Region IV-A (CALABARZON)</t>
        </is>
      </c>
      <c r="E901" s="36" t="inlineStr">
        <is>
          <t>Cavite</t>
        </is>
      </c>
      <c r="F901" s="36" t="inlineStr">
        <is>
          <t>Naic</t>
        </is>
      </c>
      <c r="G901" s="36" t="inlineStr">
        <is>
          <t>Timalan Concepcion</t>
        </is>
      </c>
      <c r="H901" s="37" t="n">
        <v>14.335718</v>
      </c>
      <c r="I901" s="37" t="n">
        <v>120.780385</v>
      </c>
      <c r="J901" s="8" t="inlineStr">
        <is>
          <t>R</t>
        </is>
      </c>
      <c r="K901" s="36" t="inlineStr">
        <is>
          <t>Class 1-3 / Urban</t>
        </is>
      </c>
      <c r="L901" s="18" t="n">
        <v>4563</v>
      </c>
      <c r="M901" s="20" t="n">
        <v>4.49</v>
      </c>
      <c r="N901" s="18">
        <f>ROUND(L901/M901, 0)</f>
        <v/>
      </c>
      <c r="O901" s="18">
        <f>ROUND(N901*'Methodology &amp; Assumptions'!$B$8, 0)</f>
        <v/>
      </c>
      <c r="P901" s="8" t="inlineStr">
        <is>
          <t>Band n50 (1.5 GHz, 60 MHz)</t>
        </is>
      </c>
      <c r="Q901" s="38">
        <f>ROUNDUP(O901/'Methodology &amp; Assumptions'!$B$9, 0)</f>
        <v/>
      </c>
      <c r="R901" s="39" t="n">
        <v>1</v>
      </c>
      <c r="S901" s="21" t="n">
        <v>1.83</v>
      </c>
      <c r="T901" s="21" t="n">
        <v>0.57</v>
      </c>
      <c r="U901" s="36" t="inlineStr">
        <is>
          <t>Tier 1B (Micro Drop, 1-3 km)</t>
        </is>
      </c>
      <c r="V901" s="20" t="n">
        <v>64.40000000000001</v>
      </c>
      <c r="W901" s="20" t="n">
        <v>100</v>
      </c>
      <c r="X901" s="20" t="n">
        <v>58</v>
      </c>
      <c r="Y901" s="40">
        <f>ROUND((V901*'Methodology &amp; Assumptions'!$B$6)+(W901*'Methodology &amp; Assumptions'!$B$5)+(X901*'Methodology &amp; Assumptions'!$B$7), 2)</f>
        <v/>
      </c>
    </row>
    <row r="902" ht="19" customHeight="1">
      <c r="A902" s="41" t="n">
        <v>898</v>
      </c>
      <c r="B902" s="41" t="n">
        <v>898</v>
      </c>
      <c r="C902" s="42" t="inlineStr">
        <is>
          <t>0201507008</t>
        </is>
      </c>
      <c r="D902" s="42" t="inlineStr">
        <is>
          <t>Region II (Cagayan Valley)</t>
        </is>
      </c>
      <c r="E902" s="42" t="inlineStr">
        <is>
          <t>Cagayan</t>
        </is>
      </c>
      <c r="F902" s="42" t="inlineStr">
        <is>
          <t>Ballesteros</t>
        </is>
      </c>
      <c r="G902" s="42" t="inlineStr">
        <is>
          <t>Centro East</t>
        </is>
      </c>
      <c r="H902" s="43" t="n">
        <v>18.4082</v>
      </c>
      <c r="I902" s="43" t="n">
        <v>121.5158</v>
      </c>
      <c r="J902" s="44" t="inlineStr">
        <is>
          <t>U</t>
        </is>
      </c>
      <c r="K902" s="42" t="inlineStr">
        <is>
          <t>2nd</t>
        </is>
      </c>
      <c r="L902" s="23" t="n">
        <v>4174</v>
      </c>
      <c r="M902" s="24" t="n">
        <v>4.09</v>
      </c>
      <c r="N902" s="23">
        <f>ROUND(L902/M902, 0)</f>
        <v/>
      </c>
      <c r="O902" s="23">
        <f>ROUND(N902*'Methodology &amp; Assumptions'!$B$8, 0)</f>
        <v/>
      </c>
      <c r="P902" s="44" t="inlineStr">
        <is>
          <t>Band n50 (1.5 GHz, 60 MHz)</t>
        </is>
      </c>
      <c r="Q902" s="38">
        <f>ROUNDUP(O902/'Methodology &amp; Assumptions'!$B$9, 0)</f>
        <v/>
      </c>
      <c r="R902" s="39" t="n">
        <v>1</v>
      </c>
      <c r="S902" s="25" t="n">
        <v>0.31</v>
      </c>
      <c r="T902" s="25" t="n">
        <v>7.1</v>
      </c>
      <c r="U902" s="42" t="inlineStr">
        <is>
          <t>Tier 1A (Direct Coloc, &lt;1 km)</t>
        </is>
      </c>
      <c r="V902" s="24" t="n">
        <v>90.09999999999999</v>
      </c>
      <c r="W902" s="24" t="n">
        <v>100</v>
      </c>
      <c r="X902" s="24" t="n">
        <v>28</v>
      </c>
      <c r="Y902" s="45">
        <f>ROUND((V902*'Methodology &amp; Assumptions'!$B$6)+(W902*'Methodology &amp; Assumptions'!$B$5)+(X902*'Methodology &amp; Assumptions'!$B$7), 2)</f>
        <v/>
      </c>
    </row>
    <row r="903" ht="19" customHeight="1">
      <c r="A903" s="35" t="n">
        <v>899</v>
      </c>
      <c r="B903" s="35" t="n">
        <v>899</v>
      </c>
      <c r="C903" s="36" t="inlineStr">
        <is>
          <t>0403418005</t>
        </is>
      </c>
      <c r="D903" s="36" t="inlineStr">
        <is>
          <t>Region IV-A (CALABARZON)</t>
        </is>
      </c>
      <c r="E903" s="36" t="inlineStr">
        <is>
          <t>Laguna</t>
        </is>
      </c>
      <c r="F903" s="36" t="inlineStr">
        <is>
          <t>Paete</t>
        </is>
      </c>
      <c r="G903" s="36" t="inlineStr">
        <is>
          <t>Ibaba del Sur</t>
        </is>
      </c>
      <c r="H903" s="37" t="n">
        <v>14.363884</v>
      </c>
      <c r="I903" s="37" t="n">
        <v>121.478714</v>
      </c>
      <c r="J903" s="8" t="inlineStr">
        <is>
          <t>R</t>
        </is>
      </c>
      <c r="K903" s="36" t="inlineStr">
        <is>
          <t>4th</t>
        </is>
      </c>
      <c r="L903" s="18" t="n">
        <v>2277</v>
      </c>
      <c r="M903" s="20" t="n">
        <v>4.48</v>
      </c>
      <c r="N903" s="18">
        <f>ROUND(L903/M903, 0)</f>
        <v/>
      </c>
      <c r="O903" s="18">
        <f>ROUND(N903*'Methodology &amp; Assumptions'!$B$8, 0)</f>
        <v/>
      </c>
      <c r="P903" s="8" t="inlineStr">
        <is>
          <t>Band n50 (1.5 GHz, 60 MHz)</t>
        </is>
      </c>
      <c r="Q903" s="38">
        <f>ROUNDUP(O903/'Methodology &amp; Assumptions'!$B$9, 0)</f>
        <v/>
      </c>
      <c r="R903" s="39" t="n">
        <v>1</v>
      </c>
      <c r="S903" s="21" t="n">
        <v>0.64</v>
      </c>
      <c r="T903" s="21" t="n">
        <v>0.02</v>
      </c>
      <c r="U903" s="36" t="inlineStr">
        <is>
          <t>Tier 1A (Direct Coloc, &lt;1 km)</t>
        </is>
      </c>
      <c r="V903" s="20" t="n">
        <v>90.90000000000001</v>
      </c>
      <c r="W903" s="20" t="n">
        <v>64.5</v>
      </c>
      <c r="X903" s="20" t="n">
        <v>68.5</v>
      </c>
      <c r="Y903" s="40">
        <f>ROUND((V903*'Methodology &amp; Assumptions'!$B$6)+(W903*'Methodology &amp; Assumptions'!$B$5)+(X903*'Methodology &amp; Assumptions'!$B$7), 2)</f>
        <v/>
      </c>
    </row>
    <row r="904" ht="19" customHeight="1">
      <c r="A904" s="41" t="n">
        <v>900</v>
      </c>
      <c r="B904" s="41" t="n">
        <v>900</v>
      </c>
      <c r="C904" s="42" t="inlineStr">
        <is>
          <t>0105533030</t>
        </is>
      </c>
      <c r="D904" s="42" t="inlineStr">
        <is>
          <t>Region I (Ilocos Region)</t>
        </is>
      </c>
      <c r="E904" s="42" t="inlineStr">
        <is>
          <t>Pangasinan</t>
        </is>
      </c>
      <c r="F904" s="42" t="inlineStr">
        <is>
          <t>San Fabian</t>
        </is>
      </c>
      <c r="G904" s="42" t="inlineStr">
        <is>
          <t>Nibaliw Vidal</t>
        </is>
      </c>
      <c r="H904" s="43" t="n">
        <v>16.12587</v>
      </c>
      <c r="I904" s="43" t="n">
        <v>120.39326</v>
      </c>
      <c r="J904" s="44" t="inlineStr">
        <is>
          <t>R</t>
        </is>
      </c>
      <c r="K904" s="42" t="inlineStr">
        <is>
          <t>Class 1-3 / Urban</t>
        </is>
      </c>
      <c r="L904" s="23" t="n">
        <v>3576</v>
      </c>
      <c r="M904" s="24" t="n">
        <v>4.39</v>
      </c>
      <c r="N904" s="23">
        <f>ROUND(L904/M904, 0)</f>
        <v/>
      </c>
      <c r="O904" s="23">
        <f>ROUND(N904*'Methodology &amp; Assumptions'!$B$8, 0)</f>
        <v/>
      </c>
      <c r="P904" s="44" t="inlineStr">
        <is>
          <t>Band n50 (1.5 GHz, 60 MHz)</t>
        </is>
      </c>
      <c r="Q904" s="38">
        <f>ROUNDUP(O904/'Methodology &amp; Assumptions'!$B$9, 0)</f>
        <v/>
      </c>
      <c r="R904" s="39" t="n">
        <v>1</v>
      </c>
      <c r="S904" s="25" t="n">
        <v>1.28</v>
      </c>
      <c r="T904" s="25" t="n">
        <v>1.04</v>
      </c>
      <c r="U904" s="42" t="inlineStr">
        <is>
          <t>Tier 1B (Micro Drop, 1-3 km)</t>
        </is>
      </c>
      <c r="V904" s="24" t="n">
        <v>75.3</v>
      </c>
      <c r="W904" s="24" t="n">
        <v>89.09999999999999</v>
      </c>
      <c r="X904" s="24" t="n">
        <v>58</v>
      </c>
      <c r="Y904" s="45">
        <f>ROUND((V904*'Methodology &amp; Assumptions'!$B$6)+(W904*'Methodology &amp; Assumptions'!$B$5)+(X904*'Methodology &amp; Assumptions'!$B$7), 2)</f>
        <v/>
      </c>
    </row>
    <row r="905" ht="19" customHeight="1">
      <c r="A905" s="35" t="n">
        <v>901</v>
      </c>
      <c r="B905" s="35" t="n">
        <v>901</v>
      </c>
      <c r="C905" s="36" t="inlineStr">
        <is>
          <t>0105544040</t>
        </is>
      </c>
      <c r="D905" s="36" t="inlineStr">
        <is>
          <t>Region I (Ilocos Region)</t>
        </is>
      </c>
      <c r="E905" s="36" t="inlineStr">
        <is>
          <t>Pangasinan</t>
        </is>
      </c>
      <c r="F905" s="36" t="inlineStr">
        <is>
          <t>Umingan</t>
        </is>
      </c>
      <c r="G905" s="36" t="inlineStr">
        <is>
          <t>Nancalabasaan</t>
        </is>
      </c>
      <c r="H905" s="37" t="n">
        <v>15.93558</v>
      </c>
      <c r="I905" s="37" t="n">
        <v>120.84203</v>
      </c>
      <c r="J905" s="8" t="inlineStr">
        <is>
          <t>R</t>
        </is>
      </c>
      <c r="K905" s="36" t="inlineStr">
        <is>
          <t>Class 1-3 / Urban</t>
        </is>
      </c>
      <c r="L905" s="18" t="n">
        <v>2714</v>
      </c>
      <c r="M905" s="20" t="n">
        <v>4.39</v>
      </c>
      <c r="N905" s="18">
        <f>ROUND(L905/M905, 0)</f>
        <v/>
      </c>
      <c r="O905" s="18">
        <f>ROUND(N905*'Methodology &amp; Assumptions'!$B$8, 0)</f>
        <v/>
      </c>
      <c r="P905" s="8" t="inlineStr">
        <is>
          <t>Band n50 (1.5 GHz, 60 MHz)</t>
        </is>
      </c>
      <c r="Q905" s="38">
        <f>ROUNDUP(O905/'Methodology &amp; Assumptions'!$B$9, 0)</f>
        <v/>
      </c>
      <c r="R905" s="39" t="n">
        <v>1</v>
      </c>
      <c r="S905" s="21" t="n">
        <v>0.63</v>
      </c>
      <c r="T905" s="21" t="n">
        <v>0.62</v>
      </c>
      <c r="U905" s="36" t="inlineStr">
        <is>
          <t>Tier 1A (Direct Coloc, &lt;1 km)</t>
        </is>
      </c>
      <c r="V905" s="20" t="n">
        <v>91.09999999999999</v>
      </c>
      <c r="W905" s="20" t="n">
        <v>73.3</v>
      </c>
      <c r="X905" s="20" t="n">
        <v>58</v>
      </c>
      <c r="Y905" s="40">
        <f>ROUND((V905*'Methodology &amp; Assumptions'!$B$6)+(W905*'Methodology &amp; Assumptions'!$B$5)+(X905*'Methodology &amp; Assumptions'!$B$7), 2)</f>
        <v/>
      </c>
    </row>
    <row r="906" ht="19" customHeight="1">
      <c r="A906" s="41" t="n">
        <v>902</v>
      </c>
      <c r="B906" s="41" t="n">
        <v>902</v>
      </c>
      <c r="C906" s="42" t="inlineStr">
        <is>
          <t>1600203019</t>
        </is>
      </c>
      <c r="D906" s="42" t="inlineStr">
        <is>
          <t>Region XIII (Caraga)</t>
        </is>
      </c>
      <c r="E906" s="42" t="inlineStr">
        <is>
          <t>Agusan del Norte</t>
        </is>
      </c>
      <c r="F906" s="42" t="inlineStr">
        <is>
          <t>City of Cabadbaran</t>
        </is>
      </c>
      <c r="G906" s="42" t="inlineStr">
        <is>
          <t>Mabini</t>
        </is>
      </c>
      <c r="H906" s="43" t="n">
        <v>9.113008000000001</v>
      </c>
      <c r="I906" s="43" t="n">
        <v>125.550659</v>
      </c>
      <c r="J906" s="44" t="inlineStr">
        <is>
          <t>U</t>
        </is>
      </c>
      <c r="K906" s="42" t="inlineStr">
        <is>
          <t>Class 1-3 / Urban</t>
        </is>
      </c>
      <c r="L906" s="23" t="n">
        <v>6661</v>
      </c>
      <c r="M906" s="24" t="n">
        <v>4.63</v>
      </c>
      <c r="N906" s="23">
        <f>ROUND(L906/M906, 0)</f>
        <v/>
      </c>
      <c r="O906" s="23">
        <f>ROUND(N906*'Methodology &amp; Assumptions'!$B$8, 0)</f>
        <v/>
      </c>
      <c r="P906" s="44" t="inlineStr">
        <is>
          <t>Band n50 (1.5 GHz, 60 MHz)</t>
        </is>
      </c>
      <c r="Q906" s="38">
        <f>ROUNDUP(O906/'Methodology &amp; Assumptions'!$B$9, 0)</f>
        <v/>
      </c>
      <c r="R906" s="39" t="n">
        <v>1</v>
      </c>
      <c r="S906" s="25" t="n">
        <v>0.67</v>
      </c>
      <c r="T906" s="25" t="n">
        <v>0.08</v>
      </c>
      <c r="U906" s="42" t="inlineStr">
        <is>
          <t>Tier 1A (Direct Coloc, &lt;1 km)</t>
        </is>
      </c>
      <c r="V906" s="24" t="n">
        <v>90.09999999999999</v>
      </c>
      <c r="W906" s="24" t="n">
        <v>100</v>
      </c>
      <c r="X906" s="24" t="n">
        <v>28</v>
      </c>
      <c r="Y906" s="45">
        <f>ROUND((V906*'Methodology &amp; Assumptions'!$B$6)+(W906*'Methodology &amp; Assumptions'!$B$5)+(X906*'Methodology &amp; Assumptions'!$B$7), 2)</f>
        <v/>
      </c>
    </row>
    <row r="907" ht="19" customHeight="1">
      <c r="A907" s="35" t="n">
        <v>903</v>
      </c>
      <c r="B907" s="35" t="n">
        <v>903</v>
      </c>
      <c r="C907" s="36" t="inlineStr">
        <is>
          <t>0105526006</t>
        </is>
      </c>
      <c r="D907" s="36" t="inlineStr">
        <is>
          <t>Region I (Ilocos Region)</t>
        </is>
      </c>
      <c r="E907" s="36" t="inlineStr">
        <is>
          <t>Pangasinan</t>
        </is>
      </c>
      <c r="F907" s="36" t="inlineStr">
        <is>
          <t>Mangaldan</t>
        </is>
      </c>
      <c r="G907" s="36" t="inlineStr">
        <is>
          <t>Bari</t>
        </is>
      </c>
      <c r="H907" s="37" t="n">
        <v>16.06283</v>
      </c>
      <c r="I907" s="37" t="n">
        <v>120.3988</v>
      </c>
      <c r="J907" s="8" t="inlineStr">
        <is>
          <t>U</t>
        </is>
      </c>
      <c r="K907" s="36" t="inlineStr">
        <is>
          <t>Class 1-3 / Urban</t>
        </is>
      </c>
      <c r="L907" s="18" t="n">
        <v>6071</v>
      </c>
      <c r="M907" s="20" t="n">
        <v>4.39</v>
      </c>
      <c r="N907" s="18">
        <f>ROUND(L907/M907, 0)</f>
        <v/>
      </c>
      <c r="O907" s="18">
        <f>ROUND(N907*'Methodology &amp; Assumptions'!$B$8, 0)</f>
        <v/>
      </c>
      <c r="P907" s="8" t="inlineStr">
        <is>
          <t>Band n50 (1.5 GHz, 60 MHz)</t>
        </is>
      </c>
      <c r="Q907" s="38">
        <f>ROUNDUP(O907/'Methodology &amp; Assumptions'!$B$9, 0)</f>
        <v/>
      </c>
      <c r="R907" s="39" t="n">
        <v>1</v>
      </c>
      <c r="S907" s="21" t="n">
        <v>0.67</v>
      </c>
      <c r="T907" s="21" t="n">
        <v>0.33</v>
      </c>
      <c r="U907" s="36" t="inlineStr">
        <is>
          <t>Tier 1A (Direct Coloc, &lt;1 km)</t>
        </is>
      </c>
      <c r="V907" s="20" t="n">
        <v>90.09999999999999</v>
      </c>
      <c r="W907" s="20" t="n">
        <v>100</v>
      </c>
      <c r="X907" s="20" t="n">
        <v>28</v>
      </c>
      <c r="Y907" s="40">
        <f>ROUND((V907*'Methodology &amp; Assumptions'!$B$6)+(W907*'Methodology &amp; Assumptions'!$B$5)+(X907*'Methodology &amp; Assumptions'!$B$7), 2)</f>
        <v/>
      </c>
    </row>
    <row r="908" ht="19" customHeight="1">
      <c r="A908" s="41" t="n">
        <v>904</v>
      </c>
      <c r="B908" s="41" t="n">
        <v>904</v>
      </c>
      <c r="C908" s="42" t="inlineStr">
        <is>
          <t>0501721008</t>
        </is>
      </c>
      <c r="D908" s="42" t="inlineStr">
        <is>
          <t>Region V (Bicol Region)</t>
        </is>
      </c>
      <c r="E908" s="42" t="inlineStr">
        <is>
          <t>Camarines Sur</t>
        </is>
      </c>
      <c r="F908" s="42" t="inlineStr">
        <is>
          <t>Milaor</t>
        </is>
      </c>
      <c r="G908" s="42" t="inlineStr">
        <is>
          <t>Del Rosario</t>
        </is>
      </c>
      <c r="H908" s="43" t="n">
        <v>13.594562</v>
      </c>
      <c r="I908" s="43" t="n">
        <v>123.179323</v>
      </c>
      <c r="J908" s="44" t="inlineStr">
        <is>
          <t>R</t>
        </is>
      </c>
      <c r="K908" s="42" t="inlineStr">
        <is>
          <t>3rd</t>
        </is>
      </c>
      <c r="L908" s="23" t="n">
        <v>2563</v>
      </c>
      <c r="M908" s="24" t="n">
        <v>4.92</v>
      </c>
      <c r="N908" s="23">
        <f>ROUND(L908/M908, 0)</f>
        <v/>
      </c>
      <c r="O908" s="23">
        <f>ROUND(N908*'Methodology &amp; Assumptions'!$B$8, 0)</f>
        <v/>
      </c>
      <c r="P908" s="44" t="inlineStr">
        <is>
          <t>Band n50 (1.5 GHz, 60 MHz)</t>
        </is>
      </c>
      <c r="Q908" s="38">
        <f>ROUNDUP(O908/'Methodology &amp; Assumptions'!$B$9, 0)</f>
        <v/>
      </c>
      <c r="R908" s="39" t="n">
        <v>1</v>
      </c>
      <c r="S908" s="25" t="n">
        <v>0.36</v>
      </c>
      <c r="T908" s="25" t="n">
        <v>0.22</v>
      </c>
      <c r="U908" s="42" t="inlineStr">
        <is>
          <t>Tier 1A (Direct Coloc, &lt;1 km)</t>
        </is>
      </c>
      <c r="V908" s="24" t="n">
        <v>98.8</v>
      </c>
      <c r="W908" s="24" t="n">
        <v>65.59999999999999</v>
      </c>
      <c r="X908" s="24" t="n">
        <v>58</v>
      </c>
      <c r="Y908" s="45">
        <f>ROUND((V908*'Methodology &amp; Assumptions'!$B$6)+(W908*'Methodology &amp; Assumptions'!$B$5)+(X908*'Methodology &amp; Assumptions'!$B$7), 2)</f>
        <v/>
      </c>
    </row>
    <row r="909" ht="19" customHeight="1">
      <c r="A909" s="35" t="n">
        <v>905</v>
      </c>
      <c r="B909" s="35" t="n">
        <v>905</v>
      </c>
      <c r="C909" s="36" t="inlineStr">
        <is>
          <t>0702219013</t>
        </is>
      </c>
      <c r="D909" s="36" t="inlineStr">
        <is>
          <t>Region VII (Central Visayas)</t>
        </is>
      </c>
      <c r="E909" s="36" t="inlineStr">
        <is>
          <t>Cebu</t>
        </is>
      </c>
      <c r="F909" s="36" t="inlineStr">
        <is>
          <t>Consolacion</t>
        </is>
      </c>
      <c r="G909" s="36" t="inlineStr">
        <is>
          <t>Poblacion Occidental</t>
        </is>
      </c>
      <c r="H909" s="37" t="n">
        <v>10.373378</v>
      </c>
      <c r="I909" s="37" t="n">
        <v>123.953558</v>
      </c>
      <c r="J909" s="8" t="inlineStr">
        <is>
          <t>U</t>
        </is>
      </c>
      <c r="K909" s="36" t="inlineStr">
        <is>
          <t>Class 1-3 / Urban</t>
        </is>
      </c>
      <c r="L909" s="18" t="n">
        <v>5988</v>
      </c>
      <c r="M909" s="20" t="n">
        <v>4.42</v>
      </c>
      <c r="N909" s="18">
        <f>ROUND(L909/M909, 0)</f>
        <v/>
      </c>
      <c r="O909" s="18">
        <f>ROUND(N909*'Methodology &amp; Assumptions'!$B$8, 0)</f>
        <v/>
      </c>
      <c r="P909" s="8" t="inlineStr">
        <is>
          <t>Band n50 (1.5 GHz, 60 MHz)</t>
        </is>
      </c>
      <c r="Q909" s="38">
        <f>ROUNDUP(O909/'Methodology &amp; Assumptions'!$B$9, 0)</f>
        <v/>
      </c>
      <c r="R909" s="39" t="n">
        <v>1</v>
      </c>
      <c r="S909" s="21" t="n">
        <v>0.67</v>
      </c>
      <c r="T909" s="21" t="n">
        <v>0.19</v>
      </c>
      <c r="U909" s="36" t="inlineStr">
        <is>
          <t>Tier 1A (Direct Coloc, &lt;1 km)</t>
        </is>
      </c>
      <c r="V909" s="20" t="n">
        <v>90.09999999999999</v>
      </c>
      <c r="W909" s="20" t="n">
        <v>100</v>
      </c>
      <c r="X909" s="20" t="n">
        <v>28</v>
      </c>
      <c r="Y909" s="40">
        <f>ROUND((V909*'Methodology &amp; Assumptions'!$B$6)+(W909*'Methodology &amp; Assumptions'!$B$5)+(X909*'Methodology &amp; Assumptions'!$B$7), 2)</f>
        <v/>
      </c>
    </row>
    <row r="910" ht="19" customHeight="1">
      <c r="A910" s="41" t="n">
        <v>906</v>
      </c>
      <c r="B910" s="41" t="n">
        <v>906</v>
      </c>
      <c r="C910" s="42" t="inlineStr">
        <is>
          <t>0405640006</t>
        </is>
      </c>
      <c r="D910" s="42" t="inlineStr">
        <is>
          <t>Region IV-A (CALABARZON)</t>
        </is>
      </c>
      <c r="E910" s="42" t="inlineStr">
        <is>
          <t>Quezon</t>
        </is>
      </c>
      <c r="F910" s="42" t="inlineStr">
        <is>
          <t>San Andres</t>
        </is>
      </c>
      <c r="G910" s="42" t="inlineStr">
        <is>
          <t>Talisay</t>
        </is>
      </c>
      <c r="H910" s="43" t="n">
        <v>13.21885</v>
      </c>
      <c r="I910" s="43" t="n">
        <v>122.690042</v>
      </c>
      <c r="J910" s="44" t="inlineStr">
        <is>
          <t>U</t>
        </is>
      </c>
      <c r="K910" s="42" t="inlineStr">
        <is>
          <t>2nd</t>
        </is>
      </c>
      <c r="L910" s="23" t="n">
        <v>5879</v>
      </c>
      <c r="M910" s="24" t="n">
        <v>4.09</v>
      </c>
      <c r="N910" s="23">
        <f>ROUND(L910/M910, 0)</f>
        <v/>
      </c>
      <c r="O910" s="23">
        <f>ROUND(N910*'Methodology &amp; Assumptions'!$B$8, 0)</f>
        <v/>
      </c>
      <c r="P910" s="44" t="inlineStr">
        <is>
          <t>Band n50 (1.5 GHz, 60 MHz)</t>
        </is>
      </c>
      <c r="Q910" s="38">
        <f>ROUNDUP(O910/'Methodology &amp; Assumptions'!$B$9, 0)</f>
        <v/>
      </c>
      <c r="R910" s="39" t="n">
        <v>1</v>
      </c>
      <c r="S910" s="25" t="n">
        <v>0.31</v>
      </c>
      <c r="T910" s="25" t="n">
        <v>41.27</v>
      </c>
      <c r="U910" s="42" t="inlineStr">
        <is>
          <t>Tier 1A (Direct Coloc, &lt;1 km)</t>
        </is>
      </c>
      <c r="V910" s="24" t="n">
        <v>90.09999999999999</v>
      </c>
      <c r="W910" s="24" t="n">
        <v>100</v>
      </c>
      <c r="X910" s="24" t="n">
        <v>28</v>
      </c>
      <c r="Y910" s="45">
        <f>ROUND((V910*'Methodology &amp; Assumptions'!$B$6)+(W910*'Methodology &amp; Assumptions'!$B$5)+(X910*'Methodology &amp; Assumptions'!$B$7), 2)</f>
        <v/>
      </c>
    </row>
    <row r="911" ht="19" customHeight="1">
      <c r="A911" s="35" t="n">
        <v>907</v>
      </c>
      <c r="B911" s="35" t="n">
        <v>907</v>
      </c>
      <c r="C911" s="36" t="inlineStr">
        <is>
          <t>0504117036</t>
        </is>
      </c>
      <c r="D911" s="36" t="inlineStr">
        <is>
          <t>Region V (Bicol Region)</t>
        </is>
      </c>
      <c r="E911" s="36" t="inlineStr">
        <is>
          <t>Masbate</t>
        </is>
      </c>
      <c r="F911" s="36" t="inlineStr">
        <is>
          <t>Placer</t>
        </is>
      </c>
      <c r="G911" s="36" t="inlineStr">
        <is>
          <t>Villa Inocencio</t>
        </is>
      </c>
      <c r="H911" s="37" t="n">
        <v>11.869068</v>
      </c>
      <c r="I911" s="37" t="n">
        <v>123.907232</v>
      </c>
      <c r="J911" s="8" t="inlineStr">
        <is>
          <t>U</t>
        </is>
      </c>
      <c r="K911" s="36" t="inlineStr">
        <is>
          <t>Class 1-3 / Urban</t>
        </is>
      </c>
      <c r="L911" s="18" t="n">
        <v>5162</v>
      </c>
      <c r="M911" s="20" t="n">
        <v>4.6</v>
      </c>
      <c r="N911" s="18">
        <f>ROUND(L911/M911, 0)</f>
        <v/>
      </c>
      <c r="O911" s="18">
        <f>ROUND(N911*'Methodology &amp; Assumptions'!$B$8, 0)</f>
        <v/>
      </c>
      <c r="P911" s="8" t="inlineStr">
        <is>
          <t>Band n50 (1.5 GHz, 60 MHz)</t>
        </is>
      </c>
      <c r="Q911" s="38">
        <f>ROUNDUP(O911/'Methodology &amp; Assumptions'!$B$9, 0)</f>
        <v/>
      </c>
      <c r="R911" s="39" t="n">
        <v>1</v>
      </c>
      <c r="S911" s="21" t="n">
        <v>0.31</v>
      </c>
      <c r="T911" s="21" t="n">
        <v>40.5</v>
      </c>
      <c r="U911" s="36" t="inlineStr">
        <is>
          <t>Tier 1A (Direct Coloc, &lt;1 km)</t>
        </is>
      </c>
      <c r="V911" s="20" t="n">
        <v>90.09999999999999</v>
      </c>
      <c r="W911" s="20" t="n">
        <v>100</v>
      </c>
      <c r="X911" s="20" t="n">
        <v>28</v>
      </c>
      <c r="Y911" s="40">
        <f>ROUND((V911*'Methodology &amp; Assumptions'!$B$6)+(W911*'Methodology &amp; Assumptions'!$B$5)+(X911*'Methodology &amp; Assumptions'!$B$7), 2)</f>
        <v/>
      </c>
    </row>
    <row r="912" ht="19" customHeight="1">
      <c r="A912" s="41" t="n">
        <v>908</v>
      </c>
      <c r="B912" s="41" t="n">
        <v>908</v>
      </c>
      <c r="C912" s="42" t="inlineStr">
        <is>
          <t>0304924017</t>
        </is>
      </c>
      <c r="D912" s="42" t="inlineStr">
        <is>
          <t>Region III (Central Luzon)</t>
        </is>
      </c>
      <c r="E912" s="42" t="inlineStr">
        <is>
          <t>Nueva Ecija</t>
        </is>
      </c>
      <c r="F912" s="42" t="inlineStr">
        <is>
          <t>San Antonio</t>
        </is>
      </c>
      <c r="G912" s="42" t="inlineStr">
        <is>
          <t>Tikiw</t>
        </is>
      </c>
      <c r="H912" s="43" t="n">
        <v>15.311076</v>
      </c>
      <c r="I912" s="43" t="n">
        <v>120.861102</v>
      </c>
      <c r="J912" s="44" t="inlineStr">
        <is>
          <t>R</t>
        </is>
      </c>
      <c r="K912" s="42" t="inlineStr">
        <is>
          <t>Class 1-3 / Urban</t>
        </is>
      </c>
      <c r="L912" s="23" t="n">
        <v>2910</v>
      </c>
      <c r="M912" s="24" t="n">
        <v>4.32</v>
      </c>
      <c r="N912" s="23">
        <f>ROUND(L912/M912, 0)</f>
        <v/>
      </c>
      <c r="O912" s="23">
        <f>ROUND(N912*'Methodology &amp; Assumptions'!$B$8, 0)</f>
        <v/>
      </c>
      <c r="P912" s="44" t="inlineStr">
        <is>
          <t>Band n50 (1.5 GHz, 60 MHz)</t>
        </is>
      </c>
      <c r="Q912" s="38">
        <f>ROUNDUP(O912/'Methodology &amp; Assumptions'!$B$9, 0)</f>
        <v/>
      </c>
      <c r="R912" s="39" t="n">
        <v>1</v>
      </c>
      <c r="S912" s="25" t="n">
        <v>0.44</v>
      </c>
      <c r="T912" s="25" t="n">
        <v>3.23</v>
      </c>
      <c r="U912" s="42" t="inlineStr">
        <is>
          <t>Tier 1A (Direct Coloc, &lt;1 km)</t>
        </is>
      </c>
      <c r="V912" s="24" t="n">
        <v>86.5</v>
      </c>
      <c r="W912" s="24" t="n">
        <v>77.90000000000001</v>
      </c>
      <c r="X912" s="24" t="n">
        <v>58</v>
      </c>
      <c r="Y912" s="45">
        <f>ROUND((V912*'Methodology &amp; Assumptions'!$B$6)+(W912*'Methodology &amp; Assumptions'!$B$5)+(X912*'Methodology &amp; Assumptions'!$B$7), 2)</f>
        <v/>
      </c>
    </row>
    <row r="913" ht="19" customHeight="1">
      <c r="A913" s="35" t="n">
        <v>909</v>
      </c>
      <c r="B913" s="35" t="n">
        <v>909</v>
      </c>
      <c r="C913" s="36" t="inlineStr">
        <is>
          <t>0604532003</t>
        </is>
      </c>
      <c r="D913" s="36" t="inlineStr">
        <is>
          <t>Region VI (Western Visayas)</t>
        </is>
      </c>
      <c r="E913" s="36" t="inlineStr">
        <is>
          <t>Negros Occidental</t>
        </is>
      </c>
      <c r="F913" s="36" t="inlineStr">
        <is>
          <t>Salvador Benedicto</t>
        </is>
      </c>
      <c r="G913" s="36" t="inlineStr">
        <is>
          <t>Bunga</t>
        </is>
      </c>
      <c r="H913" s="37" t="n">
        <v>10.558569</v>
      </c>
      <c r="I913" s="37" t="n">
        <v>123.19485</v>
      </c>
      <c r="J913" s="8" t="inlineStr">
        <is>
          <t>U</t>
        </is>
      </c>
      <c r="K913" s="36" t="inlineStr">
        <is>
          <t>3rd</t>
        </is>
      </c>
      <c r="L913" s="18" t="n">
        <v>7068</v>
      </c>
      <c r="M913" s="20" t="n">
        <v>4.37</v>
      </c>
      <c r="N913" s="18">
        <f>ROUND(L913/M913, 0)</f>
        <v/>
      </c>
      <c r="O913" s="18">
        <f>ROUND(N913*'Methodology &amp; Assumptions'!$B$8, 0)</f>
        <v/>
      </c>
      <c r="P913" s="8" t="inlineStr">
        <is>
          <t>Band n50 (1.5 GHz, 60 MHz)</t>
        </is>
      </c>
      <c r="Q913" s="38">
        <f>ROUNDUP(O913/'Methodology &amp; Assumptions'!$B$9, 0)</f>
        <v/>
      </c>
      <c r="R913" s="39" t="n">
        <v>1</v>
      </c>
      <c r="S913" s="21" t="n">
        <v>0.67</v>
      </c>
      <c r="T913" s="21" t="n">
        <v>0.29</v>
      </c>
      <c r="U913" s="36" t="inlineStr">
        <is>
          <t>Tier 1A (Direct Coloc, &lt;1 km)</t>
        </is>
      </c>
      <c r="V913" s="20" t="n">
        <v>90.09999999999999</v>
      </c>
      <c r="W913" s="20" t="n">
        <v>100</v>
      </c>
      <c r="X913" s="20" t="n">
        <v>28</v>
      </c>
      <c r="Y913" s="40">
        <f>ROUND((V913*'Methodology &amp; Assumptions'!$B$6)+(W913*'Methodology &amp; Assumptions'!$B$5)+(X913*'Methodology &amp; Assumptions'!$B$7), 2)</f>
        <v/>
      </c>
    </row>
    <row r="914" ht="19" customHeight="1">
      <c r="A914" s="41" t="n">
        <v>910</v>
      </c>
      <c r="B914" s="41" t="n">
        <v>910</v>
      </c>
      <c r="C914" s="42" t="inlineStr">
        <is>
          <t>0403402003</t>
        </is>
      </c>
      <c r="D914" s="42" t="inlineStr">
        <is>
          <t>Region IV-A (CALABARZON)</t>
        </is>
      </c>
      <c r="E914" s="42" t="inlineStr">
        <is>
          <t>Laguna</t>
        </is>
      </c>
      <c r="F914" s="42" t="inlineStr">
        <is>
          <t>Bay</t>
        </is>
      </c>
      <c r="G914" s="42" t="inlineStr">
        <is>
          <t>Dila</t>
        </is>
      </c>
      <c r="H914" s="43" t="n">
        <v>14.180476</v>
      </c>
      <c r="I914" s="43" t="n">
        <v>121.286633</v>
      </c>
      <c r="J914" s="44" t="inlineStr">
        <is>
          <t>U</t>
        </is>
      </c>
      <c r="K914" s="42" t="inlineStr">
        <is>
          <t>Class 1-3 / Urban</t>
        </is>
      </c>
      <c r="L914" s="23" t="n">
        <v>6762</v>
      </c>
      <c r="M914" s="24" t="n">
        <v>4.2</v>
      </c>
      <c r="N914" s="23">
        <f>ROUND(L914/M914, 0)</f>
        <v/>
      </c>
      <c r="O914" s="23">
        <f>ROUND(N914*'Methodology &amp; Assumptions'!$B$8, 0)</f>
        <v/>
      </c>
      <c r="P914" s="44" t="inlineStr">
        <is>
          <t>Band n50 (1.5 GHz, 60 MHz)</t>
        </is>
      </c>
      <c r="Q914" s="38">
        <f>ROUNDUP(O914/'Methodology &amp; Assumptions'!$B$9, 0)</f>
        <v/>
      </c>
      <c r="R914" s="39" t="n">
        <v>1</v>
      </c>
      <c r="S914" s="25" t="n">
        <v>0.67</v>
      </c>
      <c r="T914" s="25" t="n">
        <v>0.14</v>
      </c>
      <c r="U914" s="42" t="inlineStr">
        <is>
          <t>Tier 1A (Direct Coloc, &lt;1 km)</t>
        </is>
      </c>
      <c r="V914" s="24" t="n">
        <v>90</v>
      </c>
      <c r="W914" s="24" t="n">
        <v>100</v>
      </c>
      <c r="X914" s="24" t="n">
        <v>28</v>
      </c>
      <c r="Y914" s="45">
        <f>ROUND((V914*'Methodology &amp; Assumptions'!$B$6)+(W914*'Methodology &amp; Assumptions'!$B$5)+(X914*'Methodology &amp; Assumptions'!$B$7), 2)</f>
        <v/>
      </c>
    </row>
    <row r="915" ht="19" customHeight="1">
      <c r="A915" s="35" t="n">
        <v>911</v>
      </c>
      <c r="B915" s="35" t="n">
        <v>911</v>
      </c>
      <c r="C915" s="36" t="inlineStr">
        <is>
          <t>0402103044</t>
        </is>
      </c>
      <c r="D915" s="36" t="inlineStr">
        <is>
          <t>Region IV-A (CALABARZON)</t>
        </is>
      </c>
      <c r="E915" s="36" t="inlineStr">
        <is>
          <t>Cavite</t>
        </is>
      </c>
      <c r="F915" s="36" t="inlineStr">
        <is>
          <t>City of Bacoor</t>
        </is>
      </c>
      <c r="G915" s="36" t="inlineStr">
        <is>
          <t>Mambog V</t>
        </is>
      </c>
      <c r="H915" s="37" t="n">
        <v>14.436707</v>
      </c>
      <c r="I915" s="37" t="n">
        <v>120.961346</v>
      </c>
      <c r="J915" s="8" t="inlineStr">
        <is>
          <t>R</t>
        </is>
      </c>
      <c r="K915" s="36" t="inlineStr">
        <is>
          <t>Class 1-3 / Urban</t>
        </is>
      </c>
      <c r="L915" s="18" t="n">
        <v>3832</v>
      </c>
      <c r="M915" s="20" t="n">
        <v>4.49</v>
      </c>
      <c r="N915" s="18">
        <f>ROUND(L915/M915, 0)</f>
        <v/>
      </c>
      <c r="O915" s="18">
        <f>ROUND(N915*'Methodology &amp; Assumptions'!$B$8, 0)</f>
        <v/>
      </c>
      <c r="P915" s="8" t="inlineStr">
        <is>
          <t>Band n50 (1.5 GHz, 60 MHz)</t>
        </is>
      </c>
      <c r="Q915" s="38">
        <f>ROUNDUP(O915/'Methodology &amp; Assumptions'!$B$9, 0)</f>
        <v/>
      </c>
      <c r="R915" s="39" t="n">
        <v>1</v>
      </c>
      <c r="S915" s="21" t="n">
        <v>1.43</v>
      </c>
      <c r="T915" s="21" t="n">
        <v>1.32</v>
      </c>
      <c r="U915" s="36" t="inlineStr">
        <is>
          <t>Tier 1B (Micro Drop, 1-3 km)</t>
        </is>
      </c>
      <c r="V915" s="20" t="n">
        <v>72</v>
      </c>
      <c r="W915" s="20" t="n">
        <v>92.3</v>
      </c>
      <c r="X915" s="20" t="n">
        <v>58</v>
      </c>
      <c r="Y915" s="40">
        <f>ROUND((V915*'Methodology &amp; Assumptions'!$B$6)+(W915*'Methodology &amp; Assumptions'!$B$5)+(X915*'Methodology &amp; Assumptions'!$B$7), 2)</f>
        <v/>
      </c>
    </row>
    <row r="916" ht="19" customHeight="1">
      <c r="A916" s="41" t="n">
        <v>912</v>
      </c>
      <c r="B916" s="41" t="n">
        <v>912</v>
      </c>
      <c r="C916" s="42" t="inlineStr">
        <is>
          <t>0405649011</t>
        </is>
      </c>
      <c r="D916" s="42" t="inlineStr">
        <is>
          <t>Region IV-A (CALABARZON)</t>
        </is>
      </c>
      <c r="E916" s="42" t="inlineStr">
        <is>
          <t>Quezon</t>
        </is>
      </c>
      <c r="F916" s="42" t="inlineStr">
        <is>
          <t>Unisan</t>
        </is>
      </c>
      <c r="G916" s="42" t="inlineStr">
        <is>
          <t>Kalilayan Ibaba</t>
        </is>
      </c>
      <c r="H916" s="43" t="n">
        <v>13.840926</v>
      </c>
      <c r="I916" s="43" t="n">
        <v>121.973105</v>
      </c>
      <c r="J916" s="44" t="inlineStr">
        <is>
          <t>R</t>
        </is>
      </c>
      <c r="K916" s="42" t="inlineStr">
        <is>
          <t>3rd</t>
        </is>
      </c>
      <c r="L916" s="23" t="n">
        <v>2727</v>
      </c>
      <c r="M916" s="24" t="n">
        <v>4.27</v>
      </c>
      <c r="N916" s="23">
        <f>ROUND(L916/M916, 0)</f>
        <v/>
      </c>
      <c r="O916" s="23">
        <f>ROUND(N916*'Methodology &amp; Assumptions'!$B$8, 0)</f>
        <v/>
      </c>
      <c r="P916" s="44" t="inlineStr">
        <is>
          <t>Band n50 (1.5 GHz, 60 MHz)</t>
        </is>
      </c>
      <c r="Q916" s="38">
        <f>ROUNDUP(O916/'Methodology &amp; Assumptions'!$B$9, 0)</f>
        <v/>
      </c>
      <c r="R916" s="39" t="n">
        <v>1</v>
      </c>
      <c r="S916" s="25" t="n">
        <v>0.7</v>
      </c>
      <c r="T916" s="25" t="n">
        <v>0.38</v>
      </c>
      <c r="U916" s="42" t="inlineStr">
        <is>
          <t>Tier 1A (Direct Coloc, &lt;1 km)</t>
        </is>
      </c>
      <c r="V916" s="24" t="n">
        <v>89.09999999999999</v>
      </c>
      <c r="W916" s="24" t="n">
        <v>75.2</v>
      </c>
      <c r="X916" s="24" t="n">
        <v>58</v>
      </c>
      <c r="Y916" s="45">
        <f>ROUND((V916*'Methodology &amp; Assumptions'!$B$6)+(W916*'Methodology &amp; Assumptions'!$B$5)+(X916*'Methodology &amp; Assumptions'!$B$7), 2)</f>
        <v/>
      </c>
    </row>
    <row r="917" ht="19" customHeight="1">
      <c r="A917" s="35" t="n">
        <v>913</v>
      </c>
      <c r="B917" s="35" t="n">
        <v>913</v>
      </c>
      <c r="C917" s="36" t="inlineStr">
        <is>
          <t>0908302023</t>
        </is>
      </c>
      <c r="D917" s="36" t="inlineStr">
        <is>
          <t>Region IX (Zamboanga Peninsula)</t>
        </is>
      </c>
      <c r="E917" s="36" t="inlineStr">
        <is>
          <t>Zamboanga Sibugay</t>
        </is>
      </c>
      <c r="F917" s="36" t="inlineStr">
        <is>
          <t>Buug</t>
        </is>
      </c>
      <c r="G917" s="36" t="inlineStr">
        <is>
          <t>Bliss</t>
        </is>
      </c>
      <c r="H917" s="37" t="n">
        <v>7.735435</v>
      </c>
      <c r="I917" s="37" t="n">
        <v>123.057548</v>
      </c>
      <c r="J917" s="8" t="inlineStr">
        <is>
          <t>R</t>
        </is>
      </c>
      <c r="K917" s="36" t="inlineStr">
        <is>
          <t>Class 1-3 / Urban</t>
        </is>
      </c>
      <c r="L917" s="18" t="n">
        <v>3209</v>
      </c>
      <c r="M917" s="20" t="n">
        <v>5.06</v>
      </c>
      <c r="N917" s="18">
        <f>ROUND(L917/M917, 0)</f>
        <v/>
      </c>
      <c r="O917" s="18">
        <f>ROUND(N917*'Methodology &amp; Assumptions'!$B$8, 0)</f>
        <v/>
      </c>
      <c r="P917" s="8" t="inlineStr">
        <is>
          <t>Band n50 (1.5 GHz, 60 MHz)</t>
        </is>
      </c>
      <c r="Q917" s="38">
        <f>ROUNDUP(O917/'Methodology &amp; Assumptions'!$B$9, 0)</f>
        <v/>
      </c>
      <c r="R917" s="39" t="n">
        <v>1</v>
      </c>
      <c r="S917" s="21" t="n">
        <v>0.6899999999999999</v>
      </c>
      <c r="T917" s="21" t="n">
        <v>0.8100000000000001</v>
      </c>
      <c r="U917" s="36" t="inlineStr">
        <is>
          <t>Tier 1A (Direct Coloc, &lt;1 km)</t>
        </is>
      </c>
      <c r="V917" s="20" t="n">
        <v>89.59999999999999</v>
      </c>
      <c r="W917" s="20" t="n">
        <v>74.7</v>
      </c>
      <c r="X917" s="20" t="n">
        <v>58</v>
      </c>
      <c r="Y917" s="40">
        <f>ROUND((V917*'Methodology &amp; Assumptions'!$B$6)+(W917*'Methodology &amp; Assumptions'!$B$5)+(X917*'Methodology &amp; Assumptions'!$B$7), 2)</f>
        <v/>
      </c>
    </row>
    <row r="918" ht="19" customHeight="1">
      <c r="A918" s="41" t="n">
        <v>914</v>
      </c>
      <c r="B918" s="41" t="n">
        <v>914</v>
      </c>
      <c r="C918" s="42" t="inlineStr">
        <is>
          <t>0501703030</t>
        </is>
      </c>
      <c r="D918" s="42" t="inlineStr">
        <is>
          <t>Region V (Bicol Region)</t>
        </is>
      </c>
      <c r="E918" s="42" t="inlineStr">
        <is>
          <t>Camarines Sur</t>
        </is>
      </c>
      <c r="F918" s="42" t="inlineStr">
        <is>
          <t>Bato</t>
        </is>
      </c>
      <c r="G918" s="42" t="inlineStr">
        <is>
          <t>San Vicente</t>
        </is>
      </c>
      <c r="H918" s="43" t="n">
        <v>13.364213</v>
      </c>
      <c r="I918" s="43" t="n">
        <v>123.367505</v>
      </c>
      <c r="J918" s="44" t="inlineStr">
        <is>
          <t>U</t>
        </is>
      </c>
      <c r="K918" s="42" t="inlineStr">
        <is>
          <t>Class 1-3 / Urban</t>
        </is>
      </c>
      <c r="L918" s="23" t="n">
        <v>6711</v>
      </c>
      <c r="M918" s="24" t="n">
        <v>4.9</v>
      </c>
      <c r="N918" s="23">
        <f>ROUND(L918/M918, 0)</f>
        <v/>
      </c>
      <c r="O918" s="23">
        <f>ROUND(N918*'Methodology &amp; Assumptions'!$B$8, 0)</f>
        <v/>
      </c>
      <c r="P918" s="44" t="inlineStr">
        <is>
          <t>Band n50 (1.5 GHz, 60 MHz)</t>
        </is>
      </c>
      <c r="Q918" s="38">
        <f>ROUNDUP(O918/'Methodology &amp; Assumptions'!$B$9, 0)</f>
        <v/>
      </c>
      <c r="R918" s="39" t="n">
        <v>1</v>
      </c>
      <c r="S918" s="25" t="n">
        <v>0.67</v>
      </c>
      <c r="T918" s="25" t="n">
        <v>0.22</v>
      </c>
      <c r="U918" s="42" t="inlineStr">
        <is>
          <t>Tier 1A (Direct Coloc, &lt;1 km)</t>
        </is>
      </c>
      <c r="V918" s="24" t="n">
        <v>90</v>
      </c>
      <c r="W918" s="24" t="n">
        <v>100</v>
      </c>
      <c r="X918" s="24" t="n">
        <v>28</v>
      </c>
      <c r="Y918" s="45">
        <f>ROUND((V918*'Methodology &amp; Assumptions'!$B$6)+(W918*'Methodology &amp; Assumptions'!$B$5)+(X918*'Methodology &amp; Assumptions'!$B$7), 2)</f>
        <v/>
      </c>
    </row>
    <row r="919" ht="19" customHeight="1">
      <c r="A919" s="35" t="n">
        <v>915</v>
      </c>
      <c r="B919" s="35" t="n">
        <v>915</v>
      </c>
      <c r="C919" s="36" t="inlineStr">
        <is>
          <t>0403406001</t>
        </is>
      </c>
      <c r="D919" s="36" t="inlineStr">
        <is>
          <t>Region IV-A (CALABARZON)</t>
        </is>
      </c>
      <c r="E919" s="36" t="inlineStr">
        <is>
          <t>Laguna</t>
        </is>
      </c>
      <c r="F919" s="36" t="inlineStr">
        <is>
          <t>Calauan</t>
        </is>
      </c>
      <c r="G919" s="36" t="inlineStr">
        <is>
          <t>Balayhangin</t>
        </is>
      </c>
      <c r="H919" s="37" t="n">
        <v>14.141202</v>
      </c>
      <c r="I919" s="37" t="n">
        <v>121.310119</v>
      </c>
      <c r="J919" s="8" t="inlineStr">
        <is>
          <t>U</t>
        </is>
      </c>
      <c r="K919" s="36" t="inlineStr">
        <is>
          <t>Class 1-3 / Urban</t>
        </is>
      </c>
      <c r="L919" s="18" t="n">
        <v>5570</v>
      </c>
      <c r="M919" s="20" t="n">
        <v>4.2</v>
      </c>
      <c r="N919" s="18">
        <f>ROUND(L919/M919, 0)</f>
        <v/>
      </c>
      <c r="O919" s="18">
        <f>ROUND(N919*'Methodology &amp; Assumptions'!$B$8, 0)</f>
        <v/>
      </c>
      <c r="P919" s="8" t="inlineStr">
        <is>
          <t>Band n50 (1.5 GHz, 60 MHz)</t>
        </is>
      </c>
      <c r="Q919" s="38">
        <f>ROUNDUP(O919/'Methodology &amp; Assumptions'!$B$9, 0)</f>
        <v/>
      </c>
      <c r="R919" s="39" t="n">
        <v>1</v>
      </c>
      <c r="S919" s="21" t="n">
        <v>0.67</v>
      </c>
      <c r="T919" s="21" t="n">
        <v>0.27</v>
      </c>
      <c r="U919" s="36" t="inlineStr">
        <is>
          <t>Tier 1A (Direct Coloc, &lt;1 km)</t>
        </is>
      </c>
      <c r="V919" s="20" t="n">
        <v>90</v>
      </c>
      <c r="W919" s="20" t="n">
        <v>100</v>
      </c>
      <c r="X919" s="20" t="n">
        <v>28</v>
      </c>
      <c r="Y919" s="40">
        <f>ROUND((V919*'Methodology &amp; Assumptions'!$B$6)+(W919*'Methodology &amp; Assumptions'!$B$5)+(X919*'Methodology &amp; Assumptions'!$B$7), 2)</f>
        <v/>
      </c>
    </row>
    <row r="920" ht="19" customHeight="1">
      <c r="A920" s="41" t="n">
        <v>916</v>
      </c>
      <c r="B920" s="41" t="n">
        <v>916</v>
      </c>
      <c r="C920" s="42" t="inlineStr">
        <is>
          <t>0431200035</t>
        </is>
      </c>
      <c r="D920" s="42" t="inlineStr">
        <is>
          <t>Region IV-A (CALABARZON)</t>
        </is>
      </c>
      <c r="E920" s="42" t="inlineStr">
        <is>
          <t>Quezon</t>
        </is>
      </c>
      <c r="F920" s="42" t="inlineStr">
        <is>
          <t>City of Lucena</t>
        </is>
      </c>
      <c r="G920" s="42" t="inlineStr">
        <is>
          <t>Market View</t>
        </is>
      </c>
      <c r="H920" s="43" t="n">
        <v>13.935216</v>
      </c>
      <c r="I920" s="43" t="n">
        <v>121.617378</v>
      </c>
      <c r="J920" s="44" t="inlineStr">
        <is>
          <t>U</t>
        </is>
      </c>
      <c r="K920" s="42" t="inlineStr">
        <is>
          <t>Class 1-3 / Urban</t>
        </is>
      </c>
      <c r="L920" s="23" t="n">
        <v>12533</v>
      </c>
      <c r="M920" s="24" t="n">
        <v>4.46</v>
      </c>
      <c r="N920" s="23">
        <f>ROUND(L920/M920, 0)</f>
        <v/>
      </c>
      <c r="O920" s="23">
        <f>ROUND(N920*'Methodology &amp; Assumptions'!$B$8, 0)</f>
        <v/>
      </c>
      <c r="P920" s="44" t="inlineStr">
        <is>
          <t>Band n50 (1.5 GHz, 60 MHz)</t>
        </is>
      </c>
      <c r="Q920" s="38">
        <f>ROUNDUP(O920/'Methodology &amp; Assumptions'!$B$9, 0)</f>
        <v/>
      </c>
      <c r="R920" s="39" t="n">
        <v>1</v>
      </c>
      <c r="S920" s="25" t="n">
        <v>0.67</v>
      </c>
      <c r="T920" s="25" t="n">
        <v>0.12</v>
      </c>
      <c r="U920" s="42" t="inlineStr">
        <is>
          <t>Tier 1A (Direct Coloc, &lt;1 km)</t>
        </is>
      </c>
      <c r="V920" s="24" t="n">
        <v>89.90000000000001</v>
      </c>
      <c r="W920" s="24" t="n">
        <v>100</v>
      </c>
      <c r="X920" s="24" t="n">
        <v>28</v>
      </c>
      <c r="Y920" s="45">
        <f>ROUND((V920*'Methodology &amp; Assumptions'!$B$6)+(W920*'Methodology &amp; Assumptions'!$B$5)+(X920*'Methodology &amp; Assumptions'!$B$7), 2)</f>
        <v/>
      </c>
    </row>
    <row r="921" ht="19" customHeight="1">
      <c r="A921" s="35" t="n">
        <v>917</v>
      </c>
      <c r="B921" s="35" t="n">
        <v>917</v>
      </c>
      <c r="C921" s="36" t="inlineStr">
        <is>
          <t>0307106005</t>
        </is>
      </c>
      <c r="D921" s="36" t="inlineStr">
        <is>
          <t>Region III (Central Luzon)</t>
        </is>
      </c>
      <c r="E921" s="36" t="inlineStr">
        <is>
          <t>Zambales</t>
        </is>
      </c>
      <c r="F921" s="36" t="inlineStr">
        <is>
          <t>Masinloc</t>
        </is>
      </c>
      <c r="G921" s="36" t="inlineStr">
        <is>
          <t>Inhobol</t>
        </is>
      </c>
      <c r="H921" s="37" t="n">
        <v>15.532415</v>
      </c>
      <c r="I921" s="37" t="n">
        <v>119.957987</v>
      </c>
      <c r="J921" s="8" t="inlineStr">
        <is>
          <t>U</t>
        </is>
      </c>
      <c r="K921" s="36" t="inlineStr">
        <is>
          <t>Class 1-3 / Urban</t>
        </is>
      </c>
      <c r="L921" s="18" t="n">
        <v>9799</v>
      </c>
      <c r="M921" s="20" t="n">
        <v>4.05</v>
      </c>
      <c r="N921" s="18">
        <f>ROUND(L921/M921, 0)</f>
        <v/>
      </c>
      <c r="O921" s="18">
        <f>ROUND(N921*'Methodology &amp; Assumptions'!$B$8, 0)</f>
        <v/>
      </c>
      <c r="P921" s="8" t="inlineStr">
        <is>
          <t>Band n50 (1.5 GHz, 60 MHz)</t>
        </is>
      </c>
      <c r="Q921" s="38">
        <f>ROUNDUP(O921/'Methodology &amp; Assumptions'!$B$9, 0)</f>
        <v/>
      </c>
      <c r="R921" s="39" t="n">
        <v>1</v>
      </c>
      <c r="S921" s="21" t="n">
        <v>0.67</v>
      </c>
      <c r="T921" s="21" t="n">
        <v>0.14</v>
      </c>
      <c r="U921" s="36" t="inlineStr">
        <is>
          <t>Tier 1A (Direct Coloc, &lt;1 km)</t>
        </is>
      </c>
      <c r="V921" s="20" t="n">
        <v>89.90000000000001</v>
      </c>
      <c r="W921" s="20" t="n">
        <v>100</v>
      </c>
      <c r="X921" s="20" t="n">
        <v>28</v>
      </c>
      <c r="Y921" s="40">
        <f>ROUND((V921*'Methodology &amp; Assumptions'!$B$6)+(W921*'Methodology &amp; Assumptions'!$B$5)+(X921*'Methodology &amp; Assumptions'!$B$7), 2)</f>
        <v/>
      </c>
    </row>
    <row r="922" ht="19" customHeight="1">
      <c r="A922" s="41" t="n">
        <v>918</v>
      </c>
      <c r="B922" s="41" t="n">
        <v>918</v>
      </c>
      <c r="C922" s="42" t="inlineStr">
        <is>
          <t>0306905031</t>
        </is>
      </c>
      <c r="D922" s="42" t="inlineStr">
        <is>
          <t>Region III (Central Luzon)</t>
        </is>
      </c>
      <c r="E922" s="42" t="inlineStr">
        <is>
          <t>Tarlac</t>
        </is>
      </c>
      <c r="F922" s="42" t="inlineStr">
        <is>
          <t>Concepcion</t>
        </is>
      </c>
      <c r="G922" s="42" t="inlineStr">
        <is>
          <t>San Isidro</t>
        </is>
      </c>
      <c r="H922" s="43" t="n">
        <v>15.439967</v>
      </c>
      <c r="I922" s="43" t="n">
        <v>120.724393</v>
      </c>
      <c r="J922" s="44" t="inlineStr">
        <is>
          <t>R</t>
        </is>
      </c>
      <c r="K922" s="42" t="inlineStr">
        <is>
          <t>Class 1-3 / Urban</t>
        </is>
      </c>
      <c r="L922" s="23" t="n">
        <v>3252</v>
      </c>
      <c r="M922" s="24" t="n">
        <v>4.3</v>
      </c>
      <c r="N922" s="23">
        <f>ROUND(L922/M922, 0)</f>
        <v/>
      </c>
      <c r="O922" s="23">
        <f>ROUND(N922*'Methodology &amp; Assumptions'!$B$8, 0)</f>
        <v/>
      </c>
      <c r="P922" s="44" t="inlineStr">
        <is>
          <t>Band n50 (1.5 GHz, 60 MHz)</t>
        </is>
      </c>
      <c r="Q922" s="38">
        <f>ROUNDUP(O922/'Methodology &amp; Assumptions'!$B$9, 0)</f>
        <v/>
      </c>
      <c r="R922" s="39" t="n">
        <v>1</v>
      </c>
      <c r="S922" s="25" t="n">
        <v>1.08</v>
      </c>
      <c r="T922" s="25" t="n">
        <v>0.49</v>
      </c>
      <c r="U922" s="42" t="inlineStr">
        <is>
          <t>Tier 1B (Micro Drop, 1-3 km)</t>
        </is>
      </c>
      <c r="V922" s="24" t="n">
        <v>79.7</v>
      </c>
      <c r="W922" s="24" t="n">
        <v>84.5</v>
      </c>
      <c r="X922" s="24" t="n">
        <v>58</v>
      </c>
      <c r="Y922" s="45">
        <f>ROUND((V922*'Methodology &amp; Assumptions'!$B$6)+(W922*'Methodology &amp; Assumptions'!$B$5)+(X922*'Methodology &amp; Assumptions'!$B$7), 2)</f>
        <v/>
      </c>
    </row>
    <row r="923" ht="19" customHeight="1">
      <c r="A923" s="35" t="n">
        <v>919</v>
      </c>
      <c r="B923" s="35" t="n">
        <v>919</v>
      </c>
      <c r="C923" s="36" t="inlineStr">
        <is>
          <t>0600613028</t>
        </is>
      </c>
      <c r="D923" s="36" t="inlineStr">
        <is>
          <t>Region VI (Western Visayas)</t>
        </is>
      </c>
      <c r="E923" s="36" t="inlineStr">
        <is>
          <t>Antique</t>
        </is>
      </c>
      <c r="F923" s="36" t="inlineStr">
        <is>
          <t>San Jose</t>
        </is>
      </c>
      <c r="G923" s="36" t="inlineStr">
        <is>
          <t>San Fernando</t>
        </is>
      </c>
      <c r="H923" s="37" t="n">
        <v>10.775805</v>
      </c>
      <c r="I923" s="37" t="n">
        <v>121.942721</v>
      </c>
      <c r="J923" s="8" t="inlineStr">
        <is>
          <t>R</t>
        </is>
      </c>
      <c r="K923" s="36" t="inlineStr">
        <is>
          <t>Class 1-3 / Urban</t>
        </is>
      </c>
      <c r="L923" s="18" t="n">
        <v>3237</v>
      </c>
      <c r="M923" s="20" t="n">
        <v>4.43</v>
      </c>
      <c r="N923" s="18">
        <f>ROUND(L923/M923, 0)</f>
        <v/>
      </c>
      <c r="O923" s="18">
        <f>ROUND(N923*'Methodology &amp; Assumptions'!$B$8, 0)</f>
        <v/>
      </c>
      <c r="P923" s="8" t="inlineStr">
        <is>
          <t>Band n50 (1.5 GHz, 60 MHz)</t>
        </is>
      </c>
      <c r="Q923" s="38">
        <f>ROUNDUP(O923/'Methodology &amp; Assumptions'!$B$9, 0)</f>
        <v/>
      </c>
      <c r="R923" s="39" t="n">
        <v>1</v>
      </c>
      <c r="S923" s="21" t="n">
        <v>1.59</v>
      </c>
      <c r="T923" s="21" t="n">
        <v>0.25</v>
      </c>
      <c r="U923" s="36" t="inlineStr">
        <is>
          <t>Tier 1B (Micro Drop, 1-3 km)</t>
        </is>
      </c>
      <c r="V923" s="20" t="n">
        <v>68.90000000000001</v>
      </c>
      <c r="W923" s="20" t="n">
        <v>82.40000000000001</v>
      </c>
      <c r="X923" s="20" t="n">
        <v>73</v>
      </c>
      <c r="Y923" s="40">
        <f>ROUND((V923*'Methodology &amp; Assumptions'!$B$6)+(W923*'Methodology &amp; Assumptions'!$B$5)+(X923*'Methodology &amp; Assumptions'!$B$7), 2)</f>
        <v/>
      </c>
    </row>
    <row r="924" ht="19" customHeight="1">
      <c r="A924" s="41" t="n">
        <v>920</v>
      </c>
      <c r="B924" s="41" t="n">
        <v>920</v>
      </c>
      <c r="C924" s="42" t="inlineStr">
        <is>
          <t>0702232013</t>
        </is>
      </c>
      <c r="D924" s="42" t="inlineStr">
        <is>
          <t>Region VII (Central Visayas)</t>
        </is>
      </c>
      <c r="E924" s="42" t="inlineStr">
        <is>
          <t>Cebu</t>
        </is>
      </c>
      <c r="F924" s="42" t="inlineStr">
        <is>
          <t>Minglanilla</t>
        </is>
      </c>
      <c r="G924" s="42" t="inlineStr">
        <is>
          <t>Poblacion Ward IV</t>
        </is>
      </c>
      <c r="H924" s="43" t="n">
        <v>10.246584</v>
      </c>
      <c r="I924" s="43" t="n">
        <v>123.794057</v>
      </c>
      <c r="J924" s="44" t="inlineStr">
        <is>
          <t>U</t>
        </is>
      </c>
      <c r="K924" s="42" t="inlineStr">
        <is>
          <t>Class 1-3 / Urban</t>
        </is>
      </c>
      <c r="L924" s="23" t="n">
        <v>4316</v>
      </c>
      <c r="M924" s="24" t="n">
        <v>4.42</v>
      </c>
      <c r="N924" s="23">
        <f>ROUND(L924/M924, 0)</f>
        <v/>
      </c>
      <c r="O924" s="23">
        <f>ROUND(N924*'Methodology &amp; Assumptions'!$B$8, 0)</f>
        <v/>
      </c>
      <c r="P924" s="44" t="inlineStr">
        <is>
          <t>Band n50 (1.5 GHz, 60 MHz)</t>
        </is>
      </c>
      <c r="Q924" s="38">
        <f>ROUNDUP(O924/'Methodology &amp; Assumptions'!$B$9, 0)</f>
        <v/>
      </c>
      <c r="R924" s="39" t="n">
        <v>1</v>
      </c>
      <c r="S924" s="25" t="n">
        <v>0.67</v>
      </c>
      <c r="T924" s="25" t="n">
        <v>0.19</v>
      </c>
      <c r="U924" s="42" t="inlineStr">
        <is>
          <t>Tier 1A (Direct Coloc, &lt;1 km)</t>
        </is>
      </c>
      <c r="V924" s="24" t="n">
        <v>89.90000000000001</v>
      </c>
      <c r="W924" s="24" t="n">
        <v>100</v>
      </c>
      <c r="X924" s="24" t="n">
        <v>28</v>
      </c>
      <c r="Y924" s="45">
        <f>ROUND((V924*'Methodology &amp; Assumptions'!$B$6)+(W924*'Methodology &amp; Assumptions'!$B$5)+(X924*'Methodology &amp; Assumptions'!$B$7), 2)</f>
        <v/>
      </c>
    </row>
    <row r="925" ht="19" customHeight="1">
      <c r="A925" s="35" t="n">
        <v>921</v>
      </c>
      <c r="B925" s="35" t="n">
        <v>921</v>
      </c>
      <c r="C925" s="36" t="inlineStr">
        <is>
          <t>0300812005</t>
        </is>
      </c>
      <c r="D925" s="36" t="inlineStr">
        <is>
          <t>Region III (Central Luzon)</t>
        </is>
      </c>
      <c r="E925" s="36" t="inlineStr">
        <is>
          <t>Bataan</t>
        </is>
      </c>
      <c r="F925" s="36" t="inlineStr">
        <is>
          <t>Samal</t>
        </is>
      </c>
      <c r="G925" s="36" t="inlineStr">
        <is>
          <t>Lalawigan</t>
        </is>
      </c>
      <c r="H925" s="37" t="n">
        <v>14.778855</v>
      </c>
      <c r="I925" s="37" t="n">
        <v>120.541902</v>
      </c>
      <c r="J925" s="8" t="inlineStr">
        <is>
          <t>R</t>
        </is>
      </c>
      <c r="K925" s="36" t="inlineStr">
        <is>
          <t>2nd</t>
        </is>
      </c>
      <c r="L925" s="18" t="n">
        <v>4787</v>
      </c>
      <c r="M925" s="20" t="n">
        <v>4.57</v>
      </c>
      <c r="N925" s="18">
        <f>ROUND(L925/M925, 0)</f>
        <v/>
      </c>
      <c r="O925" s="18">
        <f>ROUND(N925*'Methodology &amp; Assumptions'!$B$8, 0)</f>
        <v/>
      </c>
      <c r="P925" s="8" t="inlineStr">
        <is>
          <t>Band n50 (1.5 GHz, 60 MHz)</t>
        </is>
      </c>
      <c r="Q925" s="38">
        <f>ROUNDUP(O925/'Methodology &amp; Assumptions'!$B$9, 0)</f>
        <v/>
      </c>
      <c r="R925" s="39" t="n">
        <v>1</v>
      </c>
      <c r="S925" s="21" t="n">
        <v>2.65</v>
      </c>
      <c r="T925" s="21" t="n">
        <v>0.17</v>
      </c>
      <c r="U925" s="36" t="inlineStr">
        <is>
          <t>Tier 1B (Micro Drop, 1-3 km)</t>
        </is>
      </c>
      <c r="V925" s="20" t="n">
        <v>51.3</v>
      </c>
      <c r="W925" s="20" t="n">
        <v>100</v>
      </c>
      <c r="X925" s="20" t="n">
        <v>73</v>
      </c>
      <c r="Y925" s="40">
        <f>ROUND((V925*'Methodology &amp; Assumptions'!$B$6)+(W925*'Methodology &amp; Assumptions'!$B$5)+(X925*'Methodology &amp; Assumptions'!$B$7), 2)</f>
        <v/>
      </c>
    </row>
    <row r="926" ht="19" customHeight="1">
      <c r="A926" s="41" t="n">
        <v>922</v>
      </c>
      <c r="B926" s="41" t="n">
        <v>922</v>
      </c>
      <c r="C926" s="42" t="inlineStr">
        <is>
          <t>1401110009</t>
        </is>
      </c>
      <c r="D926" s="42" t="inlineStr">
        <is>
          <t>Cordillera Administrative Region (CAR)</t>
        </is>
      </c>
      <c r="E926" s="42" t="inlineStr">
        <is>
          <t>Benguet</t>
        </is>
      </c>
      <c r="F926" s="42" t="inlineStr">
        <is>
          <t>La Trinidad</t>
        </is>
      </c>
      <c r="G926" s="42" t="inlineStr">
        <is>
          <t>Cruz</t>
        </is>
      </c>
      <c r="H926" s="43" t="n">
        <v>16.46407</v>
      </c>
      <c r="I926" s="43" t="n">
        <v>120.59097</v>
      </c>
      <c r="J926" s="44" t="inlineStr">
        <is>
          <t>R</t>
        </is>
      </c>
      <c r="K926" s="42" t="inlineStr">
        <is>
          <t>Class 1-3 / Urban</t>
        </is>
      </c>
      <c r="L926" s="23" t="n">
        <v>3401</v>
      </c>
      <c r="M926" s="24" t="n">
        <v>4.58</v>
      </c>
      <c r="N926" s="23">
        <f>ROUND(L926/M926, 0)</f>
        <v/>
      </c>
      <c r="O926" s="23">
        <f>ROUND(N926*'Methodology &amp; Assumptions'!$B$8, 0)</f>
        <v/>
      </c>
      <c r="P926" s="44" t="inlineStr">
        <is>
          <t>Band n50 (1.5 GHz, 60 MHz)</t>
        </is>
      </c>
      <c r="Q926" s="38">
        <f>ROUNDUP(O926/'Methodology &amp; Assumptions'!$B$9, 0)</f>
        <v/>
      </c>
      <c r="R926" s="39" t="n">
        <v>1</v>
      </c>
      <c r="S926" s="25" t="n">
        <v>0.88</v>
      </c>
      <c r="T926" s="25" t="n">
        <v>0.19</v>
      </c>
      <c r="U926" s="42" t="inlineStr">
        <is>
          <t>Tier 1A (Direct Coloc, &lt;1 km)</t>
        </is>
      </c>
      <c r="V926" s="24" t="n">
        <v>84.7</v>
      </c>
      <c r="W926" s="24" t="n">
        <v>79.5</v>
      </c>
      <c r="X926" s="24" t="n">
        <v>58</v>
      </c>
      <c r="Y926" s="45">
        <f>ROUND((V926*'Methodology &amp; Assumptions'!$B$6)+(W926*'Methodology &amp; Assumptions'!$B$5)+(X926*'Methodology &amp; Assumptions'!$B$7), 2)</f>
        <v/>
      </c>
    </row>
    <row r="927" ht="19" customHeight="1">
      <c r="A927" s="35" t="n">
        <v>923</v>
      </c>
      <c r="B927" s="35" t="n">
        <v>923</v>
      </c>
      <c r="C927" s="36" t="inlineStr">
        <is>
          <t>0301415006</t>
        </is>
      </c>
      <c r="D927" s="36" t="inlineStr">
        <is>
          <t>Region III (Central Luzon)</t>
        </is>
      </c>
      <c r="E927" s="36" t="inlineStr">
        <is>
          <t>Bulacan</t>
        </is>
      </c>
      <c r="F927" s="36" t="inlineStr">
        <is>
          <t>Pandi</t>
        </is>
      </c>
      <c r="G927" s="36" t="inlineStr">
        <is>
          <t>Cacarong Bata</t>
        </is>
      </c>
      <c r="H927" s="37" t="n">
        <v>14.895776</v>
      </c>
      <c r="I927" s="37" t="n">
        <v>120.967551</v>
      </c>
      <c r="J927" s="8" t="inlineStr">
        <is>
          <t>U</t>
        </is>
      </c>
      <c r="K927" s="36" t="inlineStr">
        <is>
          <t>Class 1-3 / Urban</t>
        </is>
      </c>
      <c r="L927" s="18" t="n">
        <v>14638</v>
      </c>
      <c r="M927" s="20" t="n">
        <v>4.1</v>
      </c>
      <c r="N927" s="18">
        <f>ROUND(L927/M927, 0)</f>
        <v/>
      </c>
      <c r="O927" s="18">
        <f>ROUND(N927*'Methodology &amp; Assumptions'!$B$8, 0)</f>
        <v/>
      </c>
      <c r="P927" s="8" t="inlineStr">
        <is>
          <t>Band n50 (1.5 GHz, 60 MHz)</t>
        </is>
      </c>
      <c r="Q927" s="38">
        <f>ROUNDUP(O927/'Methodology &amp; Assumptions'!$B$9, 0)</f>
        <v/>
      </c>
      <c r="R927" s="39" t="n">
        <v>1</v>
      </c>
      <c r="S927" s="21" t="n">
        <v>0.67</v>
      </c>
      <c r="T927" s="21" t="n">
        <v>0.28</v>
      </c>
      <c r="U927" s="36" t="inlineStr">
        <is>
          <t>Tier 1A (Direct Coloc, &lt;1 km)</t>
        </is>
      </c>
      <c r="V927" s="20" t="n">
        <v>89.90000000000001</v>
      </c>
      <c r="W927" s="20" t="n">
        <v>100</v>
      </c>
      <c r="X927" s="20" t="n">
        <v>28</v>
      </c>
      <c r="Y927" s="40">
        <f>ROUND((V927*'Methodology &amp; Assumptions'!$B$6)+(W927*'Methodology &amp; Assumptions'!$B$5)+(X927*'Methodology &amp; Assumptions'!$B$7), 2)</f>
        <v/>
      </c>
    </row>
    <row r="928" ht="19" customHeight="1">
      <c r="A928" s="41" t="n">
        <v>924</v>
      </c>
      <c r="B928" s="41" t="n">
        <v>924</v>
      </c>
      <c r="C928" s="42" t="inlineStr">
        <is>
          <t>1606819006</t>
        </is>
      </c>
      <c r="D928" s="42" t="inlineStr">
        <is>
          <t>Region XIII (Caraga)</t>
        </is>
      </c>
      <c r="E928" s="42" t="inlineStr">
        <is>
          <t>Surigao del Sur</t>
        </is>
      </c>
      <c r="F928" s="42" t="inlineStr">
        <is>
          <t>City of Tandag</t>
        </is>
      </c>
      <c r="G928" s="42" t="inlineStr">
        <is>
          <t>Dagocdoc</t>
        </is>
      </c>
      <c r="H928" s="43" t="n">
        <v>9.0784</v>
      </c>
      <c r="I928" s="43" t="n">
        <v>126.195</v>
      </c>
      <c r="J928" s="44" t="inlineStr">
        <is>
          <t>U</t>
        </is>
      </c>
      <c r="K928" s="42" t="inlineStr">
        <is>
          <t>Class 1-3 / Urban</t>
        </is>
      </c>
      <c r="L928" s="23" t="n">
        <v>3754</v>
      </c>
      <c r="M928" s="24" t="n">
        <v>4.56</v>
      </c>
      <c r="N928" s="23">
        <f>ROUND(L928/M928, 0)</f>
        <v/>
      </c>
      <c r="O928" s="23">
        <f>ROUND(N928*'Methodology &amp; Assumptions'!$B$8, 0)</f>
        <v/>
      </c>
      <c r="P928" s="44" t="inlineStr">
        <is>
          <t>Band n50 (1.5 GHz, 60 MHz)</t>
        </is>
      </c>
      <c r="Q928" s="38">
        <f>ROUNDUP(O928/'Methodology &amp; Assumptions'!$B$9, 0)</f>
        <v/>
      </c>
      <c r="R928" s="39" t="n">
        <v>1</v>
      </c>
      <c r="S928" s="25" t="n">
        <v>0.3</v>
      </c>
      <c r="T928" s="25" t="n">
        <v>0.3</v>
      </c>
      <c r="U928" s="42" t="inlineStr">
        <is>
          <t>Tier 1A (Direct Coloc, &lt;1 km)</t>
        </is>
      </c>
      <c r="V928" s="24" t="n">
        <v>100</v>
      </c>
      <c r="W928" s="24" t="n">
        <v>89.90000000000001</v>
      </c>
      <c r="X928" s="24" t="n">
        <v>28</v>
      </c>
      <c r="Y928" s="45">
        <f>ROUND((V928*'Methodology &amp; Assumptions'!$B$6)+(W928*'Methodology &amp; Assumptions'!$B$5)+(X928*'Methodology &amp; Assumptions'!$B$7), 2)</f>
        <v/>
      </c>
    </row>
    <row r="929" ht="19" customHeight="1">
      <c r="A929" s="35" t="n">
        <v>925</v>
      </c>
      <c r="B929" s="35" t="n">
        <v>925</v>
      </c>
      <c r="C929" s="36" t="inlineStr">
        <is>
          <t>0105533024</t>
        </is>
      </c>
      <c r="D929" s="36" t="inlineStr">
        <is>
          <t>Region I (Ilocos Region)</t>
        </is>
      </c>
      <c r="E929" s="36" t="inlineStr">
        <is>
          <t>Pangasinan</t>
        </is>
      </c>
      <c r="F929" s="36" t="inlineStr">
        <is>
          <t>San Fabian</t>
        </is>
      </c>
      <c r="G929" s="36" t="inlineStr">
        <is>
          <t>Tempra-Guilig</t>
        </is>
      </c>
      <c r="H929" s="37" t="n">
        <v>16.125633</v>
      </c>
      <c r="I929" s="37" t="n">
        <v>120.410267</v>
      </c>
      <c r="J929" s="8" t="inlineStr">
        <is>
          <t>R</t>
        </is>
      </c>
      <c r="K929" s="36" t="inlineStr">
        <is>
          <t>Class 1-3 / Urban</t>
        </is>
      </c>
      <c r="L929" s="18" t="n">
        <v>3924</v>
      </c>
      <c r="M929" s="20" t="n">
        <v>4.39</v>
      </c>
      <c r="N929" s="18">
        <f>ROUND(L929/M929, 0)</f>
        <v/>
      </c>
      <c r="O929" s="18">
        <f>ROUND(N929*'Methodology &amp; Assumptions'!$B$8, 0)</f>
        <v/>
      </c>
      <c r="P929" s="8" t="inlineStr">
        <is>
          <t>Band n50 (1.5 GHz, 60 MHz)</t>
        </is>
      </c>
      <c r="Q929" s="38">
        <f>ROUNDUP(O929/'Methodology &amp; Assumptions'!$B$9, 0)</f>
        <v/>
      </c>
      <c r="R929" s="39" t="n">
        <v>1</v>
      </c>
      <c r="S929" s="21" t="n">
        <v>1.6</v>
      </c>
      <c r="T929" s="21" t="n">
        <v>0.42</v>
      </c>
      <c r="U929" s="36" t="inlineStr">
        <is>
          <t>Tier 1B (Micro Drop, 1-3 km)</t>
        </is>
      </c>
      <c r="V929" s="20" t="n">
        <v>68.59999999999999</v>
      </c>
      <c r="W929" s="20" t="n">
        <v>95.5</v>
      </c>
      <c r="X929" s="20" t="n">
        <v>58</v>
      </c>
      <c r="Y929" s="40">
        <f>ROUND((V929*'Methodology &amp; Assumptions'!$B$6)+(W929*'Methodology &amp; Assumptions'!$B$5)+(X929*'Methodology &amp; Assumptions'!$B$7), 2)</f>
        <v/>
      </c>
    </row>
    <row r="930" ht="19" customHeight="1">
      <c r="A930" s="41" t="n">
        <v>926</v>
      </c>
      <c r="B930" s="41" t="n">
        <v>926</v>
      </c>
      <c r="C930" s="42" t="inlineStr">
        <is>
          <t>0501703032</t>
        </is>
      </c>
      <c r="D930" s="42" t="inlineStr">
        <is>
          <t>Region V (Bicol Region)</t>
        </is>
      </c>
      <c r="E930" s="42" t="inlineStr">
        <is>
          <t>Camarines Sur</t>
        </is>
      </c>
      <c r="F930" s="42" t="inlineStr">
        <is>
          <t>Bato</t>
        </is>
      </c>
      <c r="G930" s="42" t="inlineStr">
        <is>
          <t>Santiago</t>
        </is>
      </c>
      <c r="H930" s="43" t="n">
        <v>13.351166</v>
      </c>
      <c r="I930" s="43" t="n">
        <v>123.37129</v>
      </c>
      <c r="J930" s="44" t="inlineStr">
        <is>
          <t>R</t>
        </is>
      </c>
      <c r="K930" s="42" t="inlineStr">
        <is>
          <t>Class 1-3 / Urban</t>
        </is>
      </c>
      <c r="L930" s="23" t="n">
        <v>3588</v>
      </c>
      <c r="M930" s="24" t="n">
        <v>4.9</v>
      </c>
      <c r="N930" s="23">
        <f>ROUND(L930/M930, 0)</f>
        <v/>
      </c>
      <c r="O930" s="23">
        <f>ROUND(N930*'Methodology &amp; Assumptions'!$B$8, 0)</f>
        <v/>
      </c>
      <c r="P930" s="44" t="inlineStr">
        <is>
          <t>Band n50 (1.5 GHz, 60 MHz)</t>
        </is>
      </c>
      <c r="Q930" s="38">
        <f>ROUNDUP(O930/'Methodology &amp; Assumptions'!$B$9, 0)</f>
        <v/>
      </c>
      <c r="R930" s="39" t="n">
        <v>1</v>
      </c>
      <c r="S930" s="25" t="n">
        <v>1.01</v>
      </c>
      <c r="T930" s="25" t="n">
        <v>0.12</v>
      </c>
      <c r="U930" s="42" t="inlineStr">
        <is>
          <t>Tier 1B (Micro Drop, 1-3 km)</t>
        </is>
      </c>
      <c r="V930" s="24" t="n">
        <v>81.40000000000001</v>
      </c>
      <c r="W930" s="24" t="n">
        <v>82.7</v>
      </c>
      <c r="X930" s="24" t="n">
        <v>58</v>
      </c>
      <c r="Y930" s="45">
        <f>ROUND((V930*'Methodology &amp; Assumptions'!$B$6)+(W930*'Methodology &amp; Assumptions'!$B$5)+(X930*'Methodology &amp; Assumptions'!$B$7), 2)</f>
        <v/>
      </c>
    </row>
    <row r="931" ht="19" customHeight="1">
      <c r="A931" s="35" t="n">
        <v>927</v>
      </c>
      <c r="B931" s="35" t="n">
        <v>927</v>
      </c>
      <c r="C931" s="36" t="inlineStr">
        <is>
          <t>0405801013</t>
        </is>
      </c>
      <c r="D931" s="36" t="inlineStr">
        <is>
          <t>Region IV-A (CALABARZON)</t>
        </is>
      </c>
      <c r="E931" s="36" t="inlineStr">
        <is>
          <t>Rizal</t>
        </is>
      </c>
      <c r="F931" s="36" t="inlineStr">
        <is>
          <t>Angono</t>
        </is>
      </c>
      <c r="G931" s="36" t="inlineStr">
        <is>
          <t>Santo Niño</t>
        </is>
      </c>
      <c r="H931" s="37" t="n">
        <v>14.52603</v>
      </c>
      <c r="I931" s="37" t="n">
        <v>121.1508</v>
      </c>
      <c r="J931" s="8" t="inlineStr">
        <is>
          <t>R</t>
        </is>
      </c>
      <c r="K931" s="36" t="inlineStr">
        <is>
          <t>Class 1-3 / Urban</t>
        </is>
      </c>
      <c r="L931" s="18" t="n">
        <v>2419</v>
      </c>
      <c r="M931" s="20" t="n">
        <v>4.39</v>
      </c>
      <c r="N931" s="18">
        <f>ROUND(L931/M931, 0)</f>
        <v/>
      </c>
      <c r="O931" s="18">
        <f>ROUND(N931*'Methodology &amp; Assumptions'!$B$8, 0)</f>
        <v/>
      </c>
      <c r="P931" s="8" t="inlineStr">
        <is>
          <t>Band n50 (1.5 GHz, 60 MHz)</t>
        </is>
      </c>
      <c r="Q931" s="38">
        <f>ROUNDUP(O931/'Methodology &amp; Assumptions'!$B$9, 0)</f>
        <v/>
      </c>
      <c r="R931" s="39" t="n">
        <v>1</v>
      </c>
      <c r="S931" s="21" t="n">
        <v>0.45</v>
      </c>
      <c r="T931" s="21" t="n">
        <v>0.33</v>
      </c>
      <c r="U931" s="36" t="inlineStr">
        <is>
          <t>Tier 1A (Direct Coloc, &lt;1 km)</t>
        </is>
      </c>
      <c r="V931" s="20" t="n">
        <v>96.09999999999999</v>
      </c>
      <c r="W931" s="20" t="n">
        <v>68</v>
      </c>
      <c r="X931" s="20" t="n">
        <v>58</v>
      </c>
      <c r="Y931" s="40">
        <f>ROUND((V931*'Methodology &amp; Assumptions'!$B$6)+(W931*'Methodology &amp; Assumptions'!$B$5)+(X931*'Methodology &amp; Assumptions'!$B$7), 2)</f>
        <v/>
      </c>
    </row>
    <row r="932" ht="19" customHeight="1">
      <c r="A932" s="41" t="n">
        <v>928</v>
      </c>
      <c r="B932" s="41" t="n">
        <v>928</v>
      </c>
      <c r="C932" s="42" t="inlineStr">
        <is>
          <t>0730600030</t>
        </is>
      </c>
      <c r="D932" s="42" t="inlineStr">
        <is>
          <t>Region VII (Central Visayas)</t>
        </is>
      </c>
      <c r="E932" s="42" t="inlineStr">
        <is>
          <t>Cebu</t>
        </is>
      </c>
      <c r="F932" s="42" t="inlineStr">
        <is>
          <t>City of Cebu</t>
        </is>
      </c>
      <c r="G932" s="42" t="inlineStr">
        <is>
          <t>Guba</t>
        </is>
      </c>
      <c r="H932" s="43" t="n">
        <v>10.428963</v>
      </c>
      <c r="I932" s="43" t="n">
        <v>123.888681</v>
      </c>
      <c r="J932" s="44" t="inlineStr">
        <is>
          <t>U</t>
        </is>
      </c>
      <c r="K932" s="42" t="inlineStr">
        <is>
          <t>Class 1-3 / Urban</t>
        </is>
      </c>
      <c r="L932" s="23" t="n">
        <v>5732</v>
      </c>
      <c r="M932" s="24" t="n">
        <v>4.42</v>
      </c>
      <c r="N932" s="23">
        <f>ROUND(L932/M932, 0)</f>
        <v/>
      </c>
      <c r="O932" s="23">
        <f>ROUND(N932*'Methodology &amp; Assumptions'!$B$8, 0)</f>
        <v/>
      </c>
      <c r="P932" s="44" t="inlineStr">
        <is>
          <t>Band n50 (1.5 GHz, 60 MHz)</t>
        </is>
      </c>
      <c r="Q932" s="38">
        <f>ROUNDUP(O932/'Methodology &amp; Assumptions'!$B$9, 0)</f>
        <v/>
      </c>
      <c r="R932" s="39" t="n">
        <v>1</v>
      </c>
      <c r="S932" s="25" t="n">
        <v>0.32</v>
      </c>
      <c r="T932" s="25" t="n">
        <v>5.09</v>
      </c>
      <c r="U932" s="42" t="inlineStr">
        <is>
          <t>Tier 1A (Direct Coloc, &lt;1 km)</t>
        </is>
      </c>
      <c r="V932" s="24" t="n">
        <v>89.8</v>
      </c>
      <c r="W932" s="24" t="n">
        <v>100</v>
      </c>
      <c r="X932" s="24" t="n">
        <v>28</v>
      </c>
      <c r="Y932" s="45">
        <f>ROUND((V932*'Methodology &amp; Assumptions'!$B$6)+(W932*'Methodology &amp; Assumptions'!$B$5)+(X932*'Methodology &amp; Assumptions'!$B$7), 2)</f>
        <v/>
      </c>
    </row>
    <row r="933" ht="19" customHeight="1">
      <c r="A933" s="35" t="n">
        <v>929</v>
      </c>
      <c r="B933" s="35" t="n">
        <v>929</v>
      </c>
      <c r="C933" s="36" t="inlineStr">
        <is>
          <t>0306906027</t>
        </is>
      </c>
      <c r="D933" s="36" t="inlineStr">
        <is>
          <t>Region III (Central Luzon)</t>
        </is>
      </c>
      <c r="E933" s="36" t="inlineStr">
        <is>
          <t>Tarlac</t>
        </is>
      </c>
      <c r="F933" s="36" t="inlineStr">
        <is>
          <t>Gerona</t>
        </is>
      </c>
      <c r="G933" s="36" t="inlineStr">
        <is>
          <t>Pinasling</t>
        </is>
      </c>
      <c r="H933" s="37" t="n">
        <v>15.60298</v>
      </c>
      <c r="I933" s="37" t="n">
        <v>120.5932</v>
      </c>
      <c r="J933" s="8" t="inlineStr">
        <is>
          <t>R</t>
        </is>
      </c>
      <c r="K933" s="36" t="inlineStr">
        <is>
          <t>Class 1-3 / Urban</t>
        </is>
      </c>
      <c r="L933" s="18" t="n">
        <v>3701</v>
      </c>
      <c r="M933" s="20" t="n">
        <v>4.3</v>
      </c>
      <c r="N933" s="18">
        <f>ROUND(L933/M933, 0)</f>
        <v/>
      </c>
      <c r="O933" s="18">
        <f>ROUND(N933*'Methodology &amp; Assumptions'!$B$8, 0)</f>
        <v/>
      </c>
      <c r="P933" s="8" t="inlineStr">
        <is>
          <t>Band n50 (1.5 GHz, 60 MHz)</t>
        </is>
      </c>
      <c r="Q933" s="38">
        <f>ROUNDUP(O933/'Methodology &amp; Assumptions'!$B$9, 0)</f>
        <v/>
      </c>
      <c r="R933" s="39" t="n">
        <v>1</v>
      </c>
      <c r="S933" s="21" t="n">
        <v>1.47</v>
      </c>
      <c r="T933" s="21" t="n">
        <v>0.66</v>
      </c>
      <c r="U933" s="36" t="inlineStr">
        <is>
          <t>Tier 1B (Micro Drop, 1-3 km)</t>
        </is>
      </c>
      <c r="V933" s="20" t="n">
        <v>71.2</v>
      </c>
      <c r="W933" s="20" t="n">
        <v>92.8</v>
      </c>
      <c r="X933" s="20" t="n">
        <v>58</v>
      </c>
      <c r="Y933" s="40">
        <f>ROUND((V933*'Methodology &amp; Assumptions'!$B$6)+(W933*'Methodology &amp; Assumptions'!$B$5)+(X933*'Methodology &amp; Assumptions'!$B$7), 2)</f>
        <v/>
      </c>
    </row>
    <row r="934" ht="19" customHeight="1">
      <c r="A934" s="41" t="n">
        <v>930</v>
      </c>
      <c r="B934" s="41" t="n">
        <v>930</v>
      </c>
      <c r="C934" s="42" t="inlineStr">
        <is>
          <t>0405622008</t>
        </is>
      </c>
      <c r="D934" s="42" t="inlineStr">
        <is>
          <t>Region IV-A (CALABARZON)</t>
        </is>
      </c>
      <c r="E934" s="42" t="inlineStr">
        <is>
          <t>Quezon</t>
        </is>
      </c>
      <c r="F934" s="42" t="inlineStr">
        <is>
          <t>Lopez</t>
        </is>
      </c>
      <c r="G934" s="42" t="inlineStr">
        <is>
          <t>Talolong</t>
        </is>
      </c>
      <c r="H934" s="43" t="n">
        <v>13.881779</v>
      </c>
      <c r="I934" s="43" t="n">
        <v>122.265053</v>
      </c>
      <c r="J934" s="44" t="inlineStr">
        <is>
          <t>U</t>
        </is>
      </c>
      <c r="K934" s="42" t="inlineStr">
        <is>
          <t>Class 1-3 / Urban</t>
        </is>
      </c>
      <c r="L934" s="23" t="n">
        <v>4241</v>
      </c>
      <c r="M934" s="24" t="n">
        <v>4.46</v>
      </c>
      <c r="N934" s="23">
        <f>ROUND(L934/M934, 0)</f>
        <v/>
      </c>
      <c r="O934" s="23">
        <f>ROUND(N934*'Methodology &amp; Assumptions'!$B$8, 0)</f>
        <v/>
      </c>
      <c r="P934" s="44" t="inlineStr">
        <is>
          <t>Band n50 (1.5 GHz, 60 MHz)</t>
        </is>
      </c>
      <c r="Q934" s="38">
        <f>ROUNDUP(O934/'Methodology &amp; Assumptions'!$B$9, 0)</f>
        <v/>
      </c>
      <c r="R934" s="39" t="n">
        <v>1</v>
      </c>
      <c r="S934" s="25" t="n">
        <v>0.68</v>
      </c>
      <c r="T934" s="25" t="n">
        <v>0.47</v>
      </c>
      <c r="U934" s="42" t="inlineStr">
        <is>
          <t>Tier 1A (Direct Coloc, &lt;1 km)</t>
        </is>
      </c>
      <c r="V934" s="24" t="n">
        <v>89.8</v>
      </c>
      <c r="W934" s="24" t="n">
        <v>100</v>
      </c>
      <c r="X934" s="24" t="n">
        <v>28</v>
      </c>
      <c r="Y934" s="45">
        <f>ROUND((V934*'Methodology &amp; Assumptions'!$B$6)+(W934*'Methodology &amp; Assumptions'!$B$5)+(X934*'Methodology &amp; Assumptions'!$B$7), 2)</f>
        <v/>
      </c>
    </row>
    <row r="935" ht="19" customHeight="1">
      <c r="A935" s="35" t="n">
        <v>931</v>
      </c>
      <c r="B935" s="35" t="n">
        <v>931</v>
      </c>
      <c r="C935" s="36" t="inlineStr">
        <is>
          <t>0301423001</t>
        </is>
      </c>
      <c r="D935" s="36" t="inlineStr">
        <is>
          <t>Region III (Central Luzon)</t>
        </is>
      </c>
      <c r="E935" s="36" t="inlineStr">
        <is>
          <t>Bulacan</t>
        </is>
      </c>
      <c r="F935" s="36" t="inlineStr">
        <is>
          <t>Santa Maria</t>
        </is>
      </c>
      <c r="G935" s="36" t="inlineStr">
        <is>
          <t>Bagbaguin</t>
        </is>
      </c>
      <c r="H935" s="37" t="n">
        <v>14.819233</v>
      </c>
      <c r="I935" s="37" t="n">
        <v>120.955761</v>
      </c>
      <c r="J935" s="8" t="inlineStr">
        <is>
          <t>U</t>
        </is>
      </c>
      <c r="K935" s="36" t="inlineStr">
        <is>
          <t>Class 1-3 / Urban</t>
        </is>
      </c>
      <c r="L935" s="18" t="n">
        <v>7839</v>
      </c>
      <c r="M935" s="20" t="n">
        <v>4.1</v>
      </c>
      <c r="N935" s="18">
        <f>ROUND(L935/M935, 0)</f>
        <v/>
      </c>
      <c r="O935" s="18">
        <f>ROUND(N935*'Methodology &amp; Assumptions'!$B$8, 0)</f>
        <v/>
      </c>
      <c r="P935" s="8" t="inlineStr">
        <is>
          <t>Band n50 (1.5 GHz, 60 MHz)</t>
        </is>
      </c>
      <c r="Q935" s="38">
        <f>ROUNDUP(O935/'Methodology &amp; Assumptions'!$B$9, 0)</f>
        <v/>
      </c>
      <c r="R935" s="39" t="n">
        <v>1</v>
      </c>
      <c r="S935" s="21" t="n">
        <v>0.68</v>
      </c>
      <c r="T935" s="21" t="n">
        <v>0.32</v>
      </c>
      <c r="U935" s="36" t="inlineStr">
        <is>
          <t>Tier 1A (Direct Coloc, &lt;1 km)</t>
        </is>
      </c>
      <c r="V935" s="20" t="n">
        <v>89.7</v>
      </c>
      <c r="W935" s="20" t="n">
        <v>100</v>
      </c>
      <c r="X935" s="20" t="n">
        <v>28</v>
      </c>
      <c r="Y935" s="40">
        <f>ROUND((V935*'Methodology &amp; Assumptions'!$B$6)+(W935*'Methodology &amp; Assumptions'!$B$5)+(X935*'Methodology &amp; Assumptions'!$B$7), 2)</f>
        <v/>
      </c>
    </row>
    <row r="936" ht="19" customHeight="1">
      <c r="A936" s="41" t="n">
        <v>932</v>
      </c>
      <c r="B936" s="41" t="n">
        <v>932</v>
      </c>
      <c r="C936" s="42" t="inlineStr">
        <is>
          <t>0405616022</t>
        </is>
      </c>
      <c r="D936" s="42" t="inlineStr">
        <is>
          <t>Region IV-A (CALABARZON)</t>
        </is>
      </c>
      <c r="E936" s="42" t="inlineStr">
        <is>
          <t>Quezon</t>
        </is>
      </c>
      <c r="F936" s="42" t="inlineStr">
        <is>
          <t>General Luna</t>
        </is>
      </c>
      <c r="G936" s="42" t="inlineStr">
        <is>
          <t>San Jose</t>
        </is>
      </c>
      <c r="H936" s="43" t="n">
        <v>13.691824</v>
      </c>
      <c r="I936" s="43" t="n">
        <v>122.173745</v>
      </c>
      <c r="J936" s="44" t="inlineStr">
        <is>
          <t>R</t>
        </is>
      </c>
      <c r="K936" s="42" t="inlineStr">
        <is>
          <t>3rd</t>
        </is>
      </c>
      <c r="L936" s="23" t="n">
        <v>2326</v>
      </c>
      <c r="M936" s="24" t="n">
        <v>4.66</v>
      </c>
      <c r="N936" s="23">
        <f>ROUND(L936/M936, 0)</f>
        <v/>
      </c>
      <c r="O936" s="23">
        <f>ROUND(N936*'Methodology &amp; Assumptions'!$B$8, 0)</f>
        <v/>
      </c>
      <c r="P936" s="44" t="inlineStr">
        <is>
          <t>Band n50 (1.5 GHz, 60 MHz)</t>
        </is>
      </c>
      <c r="Q936" s="38">
        <f>ROUNDUP(O936/'Methodology &amp; Assumptions'!$B$9, 0)</f>
        <v/>
      </c>
      <c r="R936" s="39" t="n">
        <v>1</v>
      </c>
      <c r="S936" s="25" t="n">
        <v>0.07000000000000001</v>
      </c>
      <c r="T936" s="25" t="n">
        <v>0.07000000000000001</v>
      </c>
      <c r="U936" s="42" t="inlineStr">
        <is>
          <t>Tier 1A (Direct Coloc, &lt;1 km)</t>
        </is>
      </c>
      <c r="V936" s="24" t="n">
        <v>100</v>
      </c>
      <c r="W936" s="24" t="n">
        <v>64</v>
      </c>
      <c r="X936" s="24" t="n">
        <v>58</v>
      </c>
      <c r="Y936" s="45">
        <f>ROUND((V936*'Methodology &amp; Assumptions'!$B$6)+(W936*'Methodology &amp; Assumptions'!$B$5)+(X936*'Methodology &amp; Assumptions'!$B$7), 2)</f>
        <v/>
      </c>
    </row>
    <row r="937" ht="19" customHeight="1">
      <c r="A937" s="35" t="n">
        <v>933</v>
      </c>
      <c r="B937" s="35" t="n">
        <v>933</v>
      </c>
      <c r="C937" s="36" t="inlineStr">
        <is>
          <t>0201518012</t>
        </is>
      </c>
      <c r="D937" s="36" t="inlineStr">
        <is>
          <t>Region II (Cagayan Valley)</t>
        </is>
      </c>
      <c r="E937" s="36" t="inlineStr">
        <is>
          <t>Cagayan</t>
        </is>
      </c>
      <c r="F937" s="36" t="inlineStr">
        <is>
          <t>Pamplona</t>
        </is>
      </c>
      <c r="G937" s="36" t="inlineStr">
        <is>
          <t>Masi</t>
        </is>
      </c>
      <c r="H937" s="37" t="n">
        <v>18.462815</v>
      </c>
      <c r="I937" s="37" t="n">
        <v>121.341127</v>
      </c>
      <c r="J937" s="8" t="inlineStr">
        <is>
          <t>R</t>
        </is>
      </c>
      <c r="K937" s="36" t="inlineStr">
        <is>
          <t>3rd</t>
        </is>
      </c>
      <c r="L937" s="18" t="n">
        <v>2245</v>
      </c>
      <c r="M937" s="20" t="n">
        <v>4.49</v>
      </c>
      <c r="N937" s="18">
        <f>ROUND(L937/M937, 0)</f>
        <v/>
      </c>
      <c r="O937" s="18">
        <f>ROUND(N937*'Methodology &amp; Assumptions'!$B$8, 0)</f>
        <v/>
      </c>
      <c r="P937" s="8" t="inlineStr">
        <is>
          <t>Band n50 (1.5 GHz, 60 MHz)</t>
        </is>
      </c>
      <c r="Q937" s="38">
        <f>ROUNDUP(O937/'Methodology &amp; Assumptions'!$B$9, 0)</f>
        <v/>
      </c>
      <c r="R937" s="39" t="n">
        <v>1</v>
      </c>
      <c r="S937" s="21" t="n">
        <v>0.23</v>
      </c>
      <c r="T937" s="21" t="n">
        <v>0.28</v>
      </c>
      <c r="U937" s="36" t="inlineStr">
        <is>
          <t>Tier 1A (Direct Coloc, &lt;1 km)</t>
        </is>
      </c>
      <c r="V937" s="20" t="n">
        <v>100</v>
      </c>
      <c r="W937" s="20" t="n">
        <v>64</v>
      </c>
      <c r="X937" s="20" t="n">
        <v>58</v>
      </c>
      <c r="Y937" s="40">
        <f>ROUND((V937*'Methodology &amp; Assumptions'!$B$6)+(W937*'Methodology &amp; Assumptions'!$B$5)+(X937*'Methodology &amp; Assumptions'!$B$7), 2)</f>
        <v/>
      </c>
    </row>
    <row r="938" ht="19" customHeight="1">
      <c r="A938" s="41" t="n">
        <v>934</v>
      </c>
      <c r="B938" s="41" t="n">
        <v>934</v>
      </c>
      <c r="C938" s="42" t="inlineStr">
        <is>
          <t>0105518017</t>
        </is>
      </c>
      <c r="D938" s="42" t="inlineStr">
        <is>
          <t>Region I (Ilocos Region)</t>
        </is>
      </c>
      <c r="E938" s="42" t="inlineStr">
        <is>
          <t>Pangasinan</t>
        </is>
      </c>
      <c r="F938" s="42" t="inlineStr">
        <is>
          <t>City of Dagupan</t>
        </is>
      </c>
      <c r="G938" s="42" t="inlineStr">
        <is>
          <t>Lucao</t>
        </is>
      </c>
      <c r="H938" s="43" t="n">
        <v>16.02117</v>
      </c>
      <c r="I938" s="43" t="n">
        <v>120.3238</v>
      </c>
      <c r="J938" s="44" t="inlineStr">
        <is>
          <t>U</t>
        </is>
      </c>
      <c r="K938" s="42" t="inlineStr">
        <is>
          <t>Class 1-3 / Urban</t>
        </is>
      </c>
      <c r="L938" s="23" t="n">
        <v>10153</v>
      </c>
      <c r="M938" s="24" t="n">
        <v>4.39</v>
      </c>
      <c r="N938" s="23">
        <f>ROUND(L938/M938, 0)</f>
        <v/>
      </c>
      <c r="O938" s="23">
        <f>ROUND(N938*'Methodology &amp; Assumptions'!$B$8, 0)</f>
        <v/>
      </c>
      <c r="P938" s="44" t="inlineStr">
        <is>
          <t>Band n50 (1.5 GHz, 60 MHz)</t>
        </is>
      </c>
      <c r="Q938" s="38">
        <f>ROUNDUP(O938/'Methodology &amp; Assumptions'!$B$9, 0)</f>
        <v/>
      </c>
      <c r="R938" s="39" t="n">
        <v>1</v>
      </c>
      <c r="S938" s="25" t="n">
        <v>0.68</v>
      </c>
      <c r="T938" s="25" t="n">
        <v>0.15</v>
      </c>
      <c r="U938" s="42" t="inlineStr">
        <is>
          <t>Tier 1A (Direct Coloc, &lt;1 km)</t>
        </is>
      </c>
      <c r="V938" s="24" t="n">
        <v>89.7</v>
      </c>
      <c r="W938" s="24" t="n">
        <v>100</v>
      </c>
      <c r="X938" s="24" t="n">
        <v>28</v>
      </c>
      <c r="Y938" s="45">
        <f>ROUND((V938*'Methodology &amp; Assumptions'!$B$6)+(W938*'Methodology &amp; Assumptions'!$B$5)+(X938*'Methodology &amp; Assumptions'!$B$7), 2)</f>
        <v/>
      </c>
    </row>
    <row r="939" ht="19" customHeight="1">
      <c r="A939" s="35" t="n">
        <v>935</v>
      </c>
      <c r="B939" s="35" t="n">
        <v>935</v>
      </c>
      <c r="C939" s="36" t="inlineStr">
        <is>
          <t>1004313004</t>
        </is>
      </c>
      <c r="D939" s="36" t="inlineStr">
        <is>
          <t>Region X (Northern Mindanao)</t>
        </is>
      </c>
      <c r="E939" s="36" t="inlineStr">
        <is>
          <t>Misamis Oriental</t>
        </is>
      </c>
      <c r="F939" s="36" t="inlineStr">
        <is>
          <t>Lagonglong</t>
        </is>
      </c>
      <c r="G939" s="36" t="inlineStr">
        <is>
          <t>Kabulawan</t>
        </is>
      </c>
      <c r="H939" s="37" t="n">
        <v>8.817799000000001</v>
      </c>
      <c r="I939" s="37" t="n">
        <v>124.794229</v>
      </c>
      <c r="J939" s="8" t="inlineStr">
        <is>
          <t>R</t>
        </is>
      </c>
      <c r="K939" s="36" t="inlineStr">
        <is>
          <t>4th</t>
        </is>
      </c>
      <c r="L939" s="18" t="n">
        <v>3546</v>
      </c>
      <c r="M939" s="20" t="n">
        <v>4.72</v>
      </c>
      <c r="N939" s="18">
        <f>ROUND(L939/M939, 0)</f>
        <v/>
      </c>
      <c r="O939" s="18">
        <f>ROUND(N939*'Methodology &amp; Assumptions'!$B$8, 0)</f>
        <v/>
      </c>
      <c r="P939" s="8" t="inlineStr">
        <is>
          <t>Band n50 (1.5 GHz, 60 MHz)</t>
        </is>
      </c>
      <c r="Q939" s="38">
        <f>ROUNDUP(O939/'Methodology &amp; Assumptions'!$B$9, 0)</f>
        <v/>
      </c>
      <c r="R939" s="39" t="n">
        <v>1</v>
      </c>
      <c r="S939" s="21" t="n">
        <v>1.49</v>
      </c>
      <c r="T939" s="21" t="n">
        <v>0.22</v>
      </c>
      <c r="U939" s="36" t="inlineStr">
        <is>
          <t>Tier 1B (Micro Drop, 1-3 km)</t>
        </is>
      </c>
      <c r="V939" s="20" t="n">
        <v>70.90000000000001</v>
      </c>
      <c r="W939" s="20" t="n">
        <v>84</v>
      </c>
      <c r="X939" s="20" t="n">
        <v>68.5</v>
      </c>
      <c r="Y939" s="40">
        <f>ROUND((V939*'Methodology &amp; Assumptions'!$B$6)+(W939*'Methodology &amp; Assumptions'!$B$5)+(X939*'Methodology &amp; Assumptions'!$B$7), 2)</f>
        <v/>
      </c>
    </row>
    <row r="940" ht="19" customHeight="1">
      <c r="A940" s="41" t="n">
        <v>936</v>
      </c>
      <c r="B940" s="41" t="n">
        <v>936</v>
      </c>
      <c r="C940" s="42" t="inlineStr">
        <is>
          <t>0305415033</t>
        </is>
      </c>
      <c r="D940" s="42" t="inlineStr">
        <is>
          <t>Region III (Central Luzon)</t>
        </is>
      </c>
      <c r="E940" s="42" t="inlineStr">
        <is>
          <t>Pampanga</t>
        </is>
      </c>
      <c r="F940" s="42" t="inlineStr">
        <is>
          <t>Porac</t>
        </is>
      </c>
      <c r="G940" s="42" t="inlineStr">
        <is>
          <t>Sinura</t>
        </is>
      </c>
      <c r="H940" s="43" t="n">
        <v>15.12962</v>
      </c>
      <c r="I940" s="43" t="n">
        <v>120.569061</v>
      </c>
      <c r="J940" s="44" t="inlineStr">
        <is>
          <t>R</t>
        </is>
      </c>
      <c r="K940" s="42" t="inlineStr">
        <is>
          <t>Class 1-3 / Urban</t>
        </is>
      </c>
      <c r="L940" s="23" t="n">
        <v>3637</v>
      </c>
      <c r="M940" s="24" t="n">
        <v>4.63</v>
      </c>
      <c r="N940" s="23">
        <f>ROUND(L940/M940, 0)</f>
        <v/>
      </c>
      <c r="O940" s="23">
        <f>ROUND(N940*'Methodology &amp; Assumptions'!$B$8, 0)</f>
        <v/>
      </c>
      <c r="P940" s="44" t="inlineStr">
        <is>
          <t>Band n50 (1.5 GHz, 60 MHz)</t>
        </is>
      </c>
      <c r="Q940" s="38">
        <f>ROUNDUP(O940/'Methodology &amp; Assumptions'!$B$9, 0)</f>
        <v/>
      </c>
      <c r="R940" s="39" t="n">
        <v>1</v>
      </c>
      <c r="S940" s="25" t="n">
        <v>1.2</v>
      </c>
      <c r="T940" s="25" t="n">
        <v>0.35</v>
      </c>
      <c r="U940" s="42" t="inlineStr">
        <is>
          <t>Tier 1B (Micro Drop, 1-3 km)</t>
        </is>
      </c>
      <c r="V940" s="24" t="n">
        <v>77</v>
      </c>
      <c r="W940" s="24" t="n">
        <v>86.90000000000001</v>
      </c>
      <c r="X940" s="24" t="n">
        <v>58</v>
      </c>
      <c r="Y940" s="45">
        <f>ROUND((V940*'Methodology &amp; Assumptions'!$B$6)+(W940*'Methodology &amp; Assumptions'!$B$5)+(X940*'Methodology &amp; Assumptions'!$B$7), 2)</f>
        <v/>
      </c>
    </row>
    <row r="941" ht="19" customHeight="1">
      <c r="A941" s="35" t="n">
        <v>937</v>
      </c>
      <c r="B941" s="35" t="n">
        <v>937</v>
      </c>
      <c r="C941" s="36" t="inlineStr">
        <is>
          <t>1004314006</t>
        </is>
      </c>
      <c r="D941" s="36" t="inlineStr">
        <is>
          <t>Region X (Northern Mindanao)</t>
        </is>
      </c>
      <c r="E941" s="36" t="inlineStr">
        <is>
          <t>Misamis Oriental</t>
        </is>
      </c>
      <c r="F941" s="36" t="inlineStr">
        <is>
          <t>Laguindingan</t>
        </is>
      </c>
      <c r="G941" s="36" t="inlineStr">
        <is>
          <t>Mauswagon</t>
        </is>
      </c>
      <c r="H941" s="37" t="n">
        <v>8.599518</v>
      </c>
      <c r="I941" s="37" t="n">
        <v>124.414648</v>
      </c>
      <c r="J941" s="8" t="inlineStr">
        <is>
          <t>R</t>
        </is>
      </c>
      <c r="K941" s="36" t="inlineStr">
        <is>
          <t>2nd</t>
        </is>
      </c>
      <c r="L941" s="18" t="n">
        <v>3519</v>
      </c>
      <c r="M941" s="20" t="n">
        <v>4.35</v>
      </c>
      <c r="N941" s="18">
        <f>ROUND(L941/M941, 0)</f>
        <v/>
      </c>
      <c r="O941" s="18">
        <f>ROUND(N941*'Methodology &amp; Assumptions'!$B$8, 0)</f>
        <v/>
      </c>
      <c r="P941" s="8" t="inlineStr">
        <is>
          <t>Band n50 (1.5 GHz, 60 MHz)</t>
        </is>
      </c>
      <c r="Q941" s="38">
        <f>ROUNDUP(O941/'Methodology &amp; Assumptions'!$B$9, 0)</f>
        <v/>
      </c>
      <c r="R941" s="39" t="n">
        <v>1</v>
      </c>
      <c r="S941" s="21" t="n">
        <v>1.29</v>
      </c>
      <c r="T941" s="21" t="n">
        <v>0.34</v>
      </c>
      <c r="U941" s="36" t="inlineStr">
        <is>
          <t>Tier 1B (Micro Drop, 1-3 km)</t>
        </is>
      </c>
      <c r="V941" s="20" t="n">
        <v>75.2</v>
      </c>
      <c r="W941" s="20" t="n">
        <v>88.8</v>
      </c>
      <c r="X941" s="20" t="n">
        <v>58</v>
      </c>
      <c r="Y941" s="40">
        <f>ROUND((V941*'Methodology &amp; Assumptions'!$B$6)+(W941*'Methodology &amp; Assumptions'!$B$5)+(X941*'Methodology &amp; Assumptions'!$B$7), 2)</f>
        <v/>
      </c>
    </row>
    <row r="942" ht="19" customHeight="1">
      <c r="A942" s="41" t="n">
        <v>938</v>
      </c>
      <c r="B942" s="41" t="n">
        <v>938</v>
      </c>
      <c r="C942" s="42" t="inlineStr">
        <is>
          <t>1705206023</t>
        </is>
      </c>
      <c r="D942" s="42" t="inlineStr">
        <is>
          <t>MIMAROPA Region</t>
        </is>
      </c>
      <c r="E942" s="42" t="inlineStr">
        <is>
          <t>Oriental Mindoro</t>
        </is>
      </c>
      <c r="F942" s="42" t="inlineStr">
        <is>
          <t>Gloria</t>
        </is>
      </c>
      <c r="G942" s="42" t="inlineStr">
        <is>
          <t>Narra</t>
        </is>
      </c>
      <c r="H942" s="43" t="n">
        <v>12.953792</v>
      </c>
      <c r="I942" s="43" t="n">
        <v>121.477573</v>
      </c>
      <c r="J942" s="44" t="inlineStr">
        <is>
          <t>R</t>
        </is>
      </c>
      <c r="K942" s="42" t="inlineStr">
        <is>
          <t>Class 1-3 / Urban</t>
        </is>
      </c>
      <c r="L942" s="23" t="n">
        <v>2898</v>
      </c>
      <c r="M942" s="24" t="n">
        <v>4.41</v>
      </c>
      <c r="N942" s="23">
        <f>ROUND(L942/M942, 0)</f>
        <v/>
      </c>
      <c r="O942" s="23">
        <f>ROUND(N942*'Methodology &amp; Assumptions'!$B$8, 0)</f>
        <v/>
      </c>
      <c r="P942" s="44" t="inlineStr">
        <is>
          <t>Band n50 (1.5 GHz, 60 MHz)</t>
        </is>
      </c>
      <c r="Q942" s="38">
        <f>ROUNDUP(O942/'Methodology &amp; Assumptions'!$B$9, 0)</f>
        <v/>
      </c>
      <c r="R942" s="39" t="n">
        <v>1</v>
      </c>
      <c r="S942" s="25" t="n">
        <v>0.62</v>
      </c>
      <c r="T942" s="25" t="n">
        <v>0.27</v>
      </c>
      <c r="U942" s="42" t="inlineStr">
        <is>
          <t>Tier 1A (Direct Coloc, &lt;1 km)</t>
        </is>
      </c>
      <c r="V942" s="24" t="n">
        <v>91.40000000000001</v>
      </c>
      <c r="W942" s="24" t="n">
        <v>72.5</v>
      </c>
      <c r="X942" s="24" t="n">
        <v>58</v>
      </c>
      <c r="Y942" s="45">
        <f>ROUND((V942*'Methodology &amp; Assumptions'!$B$6)+(W942*'Methodology &amp; Assumptions'!$B$5)+(X942*'Methodology &amp; Assumptions'!$B$7), 2)</f>
        <v/>
      </c>
    </row>
    <row r="943" ht="19" customHeight="1">
      <c r="A943" s="35" t="n">
        <v>939</v>
      </c>
      <c r="B943" s="35" t="n">
        <v>939</v>
      </c>
      <c r="C943" s="36" t="inlineStr">
        <is>
          <t>0301415012</t>
        </is>
      </c>
      <c r="D943" s="36" t="inlineStr">
        <is>
          <t>Region III (Central Luzon)</t>
        </is>
      </c>
      <c r="E943" s="36" t="inlineStr">
        <is>
          <t>Bulacan</t>
        </is>
      </c>
      <c r="F943" s="36" t="inlineStr">
        <is>
          <t>Pandi</t>
        </is>
      </c>
      <c r="G943" s="36" t="inlineStr">
        <is>
          <t>Mapulang Lupa</t>
        </is>
      </c>
      <c r="H943" s="37" t="n">
        <v>14.884868</v>
      </c>
      <c r="I943" s="37" t="n">
        <v>120.965364</v>
      </c>
      <c r="J943" s="8" t="inlineStr">
        <is>
          <t>U</t>
        </is>
      </c>
      <c r="K943" s="36" t="inlineStr">
        <is>
          <t>Class 1-3 / Urban</t>
        </is>
      </c>
      <c r="L943" s="18" t="n">
        <v>30233</v>
      </c>
      <c r="M943" s="20" t="n">
        <v>4.1</v>
      </c>
      <c r="N943" s="18">
        <f>ROUND(L943/M943, 0)</f>
        <v/>
      </c>
      <c r="O943" s="18">
        <f>ROUND(N943*'Methodology &amp; Assumptions'!$B$8, 0)</f>
        <v/>
      </c>
      <c r="P943" s="8" t="inlineStr">
        <is>
          <t>Band n50 (1.5 GHz, 60 MHz)</t>
        </is>
      </c>
      <c r="Q943" s="38">
        <f>ROUNDUP(O943/'Methodology &amp; Assumptions'!$B$9, 0)</f>
        <v/>
      </c>
      <c r="R943" s="39" t="n">
        <v>1</v>
      </c>
      <c r="S943" s="21" t="n">
        <v>0.65</v>
      </c>
      <c r="T943" s="21" t="n">
        <v>0.03</v>
      </c>
      <c r="U943" s="36" t="inlineStr">
        <is>
          <t>Tier 1A (Direct Coloc, &lt;1 km)</t>
        </is>
      </c>
      <c r="V943" s="20" t="n">
        <v>90.40000000000001</v>
      </c>
      <c r="W943" s="20" t="n">
        <v>99.2</v>
      </c>
      <c r="X943" s="20" t="n">
        <v>28</v>
      </c>
      <c r="Y943" s="40">
        <f>ROUND((V943*'Methodology &amp; Assumptions'!$B$6)+(W943*'Methodology &amp; Assumptions'!$B$5)+(X943*'Methodology &amp; Assumptions'!$B$7), 2)</f>
        <v/>
      </c>
    </row>
    <row r="944" ht="19" customHeight="1">
      <c r="A944" s="41" t="n">
        <v>940</v>
      </c>
      <c r="B944" s="41" t="n">
        <v>940</v>
      </c>
      <c r="C944" s="42" t="inlineStr">
        <is>
          <t>0431200026</t>
        </is>
      </c>
      <c r="D944" s="42" t="inlineStr">
        <is>
          <t>Region IV-A (CALABARZON)</t>
        </is>
      </c>
      <c r="E944" s="42" t="inlineStr">
        <is>
          <t>Quezon</t>
        </is>
      </c>
      <c r="F944" s="42" t="inlineStr">
        <is>
          <t>City of Lucena</t>
        </is>
      </c>
      <c r="G944" s="42" t="inlineStr">
        <is>
          <t>Isabang</t>
        </is>
      </c>
      <c r="H944" s="43" t="n">
        <v>13.946283</v>
      </c>
      <c r="I944" s="43" t="n">
        <v>121.585758</v>
      </c>
      <c r="J944" s="44" t="inlineStr">
        <is>
          <t>U</t>
        </is>
      </c>
      <c r="K944" s="42" t="inlineStr">
        <is>
          <t>Class 1-3 / Urban</t>
        </is>
      </c>
      <c r="L944" s="23" t="n">
        <v>14013</v>
      </c>
      <c r="M944" s="24" t="n">
        <v>4.46</v>
      </c>
      <c r="N944" s="23">
        <f>ROUND(L944/M944, 0)</f>
        <v/>
      </c>
      <c r="O944" s="23">
        <f>ROUND(N944*'Methodology &amp; Assumptions'!$B$8, 0)</f>
        <v/>
      </c>
      <c r="P944" s="44" t="inlineStr">
        <is>
          <t>Band n50 (1.5 GHz, 60 MHz)</t>
        </is>
      </c>
      <c r="Q944" s="38">
        <f>ROUNDUP(O944/'Methodology &amp; Assumptions'!$B$9, 0)</f>
        <v/>
      </c>
      <c r="R944" s="39" t="n">
        <v>1</v>
      </c>
      <c r="S944" s="25" t="n">
        <v>0.68</v>
      </c>
      <c r="T944" s="25" t="n">
        <v>0.18</v>
      </c>
      <c r="U944" s="42" t="inlineStr">
        <is>
          <t>Tier 1A (Direct Coloc, &lt;1 km)</t>
        </is>
      </c>
      <c r="V944" s="24" t="n">
        <v>89.7</v>
      </c>
      <c r="W944" s="24" t="n">
        <v>100</v>
      </c>
      <c r="X944" s="24" t="n">
        <v>28</v>
      </c>
      <c r="Y944" s="45">
        <f>ROUND((V944*'Methodology &amp; Assumptions'!$B$6)+(W944*'Methodology &amp; Assumptions'!$B$5)+(X944*'Methodology &amp; Assumptions'!$B$7), 2)</f>
        <v/>
      </c>
    </row>
    <row r="945" ht="19" customHeight="1">
      <c r="A945" s="35" t="n">
        <v>941</v>
      </c>
      <c r="B945" s="35" t="n">
        <v>941</v>
      </c>
      <c r="C945" s="36" t="inlineStr">
        <is>
          <t>0301403017</t>
        </is>
      </c>
      <c r="D945" s="36" t="inlineStr">
        <is>
          <t>Region III (Central Luzon)</t>
        </is>
      </c>
      <c r="E945" s="36" t="inlineStr">
        <is>
          <t>Bulacan</t>
        </is>
      </c>
      <c r="F945" s="36" t="inlineStr">
        <is>
          <t>Baliuag</t>
        </is>
      </c>
      <c r="G945" s="36" t="inlineStr">
        <is>
          <t>San Jose</t>
        </is>
      </c>
      <c r="H945" s="37" t="n">
        <v>14.948487</v>
      </c>
      <c r="I945" s="37" t="n">
        <v>120.894286</v>
      </c>
      <c r="J945" s="8" t="inlineStr">
        <is>
          <t>U</t>
        </is>
      </c>
      <c r="K945" s="36" t="inlineStr">
        <is>
          <t>Class 1-3 / Urban</t>
        </is>
      </c>
      <c r="L945" s="18" t="n">
        <v>6739</v>
      </c>
      <c r="M945" s="20" t="n">
        <v>4.1</v>
      </c>
      <c r="N945" s="18">
        <f>ROUND(L945/M945, 0)</f>
        <v/>
      </c>
      <c r="O945" s="18">
        <f>ROUND(N945*'Methodology &amp; Assumptions'!$B$8, 0)</f>
        <v/>
      </c>
      <c r="P945" s="8" t="inlineStr">
        <is>
          <t>Band n50 (1.5 GHz, 60 MHz)</t>
        </is>
      </c>
      <c r="Q945" s="38">
        <f>ROUNDUP(O945/'Methodology &amp; Assumptions'!$B$9, 0)</f>
        <v/>
      </c>
      <c r="R945" s="39" t="n">
        <v>1</v>
      </c>
      <c r="S945" s="21" t="n">
        <v>0.68</v>
      </c>
      <c r="T945" s="21" t="n">
        <v>0.26</v>
      </c>
      <c r="U945" s="36" t="inlineStr">
        <is>
          <t>Tier 1A (Direct Coloc, &lt;1 km)</t>
        </is>
      </c>
      <c r="V945" s="20" t="n">
        <v>89.7</v>
      </c>
      <c r="W945" s="20" t="n">
        <v>100</v>
      </c>
      <c r="X945" s="20" t="n">
        <v>28</v>
      </c>
      <c r="Y945" s="40">
        <f>ROUND((V945*'Methodology &amp; Assumptions'!$B$6)+(W945*'Methodology &amp; Assumptions'!$B$5)+(X945*'Methodology &amp; Assumptions'!$B$7), 2)</f>
        <v/>
      </c>
    </row>
    <row r="946" ht="19" customHeight="1">
      <c r="A946" s="41" t="n">
        <v>942</v>
      </c>
      <c r="B946" s="41" t="n">
        <v>942</v>
      </c>
      <c r="C946" s="42" t="inlineStr">
        <is>
          <t>1630400062</t>
        </is>
      </c>
      <c r="D946" s="42" t="inlineStr">
        <is>
          <t>Region XIII (Caraga)</t>
        </is>
      </c>
      <c r="E946" s="42" t="inlineStr">
        <is>
          <t>Agusan del Norte</t>
        </is>
      </c>
      <c r="F946" s="42" t="inlineStr">
        <is>
          <t>City of Butuan</t>
        </is>
      </c>
      <c r="G946" s="42" t="inlineStr">
        <is>
          <t>Mahogany Pob.</t>
        </is>
      </c>
      <c r="H946" s="43" t="n">
        <v>8.957606</v>
      </c>
      <c r="I946" s="43" t="n">
        <v>125.547511</v>
      </c>
      <c r="J946" s="44" t="inlineStr">
        <is>
          <t>U</t>
        </is>
      </c>
      <c r="K946" s="42" t="inlineStr">
        <is>
          <t>Class 1-3 / Urban</t>
        </is>
      </c>
      <c r="L946" s="23" t="n">
        <v>6162</v>
      </c>
      <c r="M946" s="24" t="n">
        <v>4.63</v>
      </c>
      <c r="N946" s="23">
        <f>ROUND(L946/M946, 0)</f>
        <v/>
      </c>
      <c r="O946" s="23">
        <f>ROUND(N946*'Methodology &amp; Assumptions'!$B$8, 0)</f>
        <v/>
      </c>
      <c r="P946" s="44" t="inlineStr">
        <is>
          <t>Band n50 (1.5 GHz, 60 MHz)</t>
        </is>
      </c>
      <c r="Q946" s="38">
        <f>ROUNDUP(O946/'Methodology &amp; Assumptions'!$B$9, 0)</f>
        <v/>
      </c>
      <c r="R946" s="39" t="n">
        <v>1</v>
      </c>
      <c r="S946" s="25" t="n">
        <v>1.21</v>
      </c>
      <c r="T946" s="25" t="n">
        <v>0.88</v>
      </c>
      <c r="U946" s="42" t="inlineStr">
        <is>
          <t>Tier 1B (Micro Drop, 1-3 km)</t>
        </is>
      </c>
      <c r="V946" s="24" t="n">
        <v>76.8</v>
      </c>
      <c r="W946" s="24" t="n">
        <v>100</v>
      </c>
      <c r="X946" s="24" t="n">
        <v>43</v>
      </c>
      <c r="Y946" s="45">
        <f>ROUND((V946*'Methodology &amp; Assumptions'!$B$6)+(W946*'Methodology &amp; Assumptions'!$B$5)+(X946*'Methodology &amp; Assumptions'!$B$7), 2)</f>
        <v/>
      </c>
    </row>
    <row r="947" ht="19" customHeight="1">
      <c r="A947" s="35" t="n">
        <v>943</v>
      </c>
      <c r="B947" s="35" t="n">
        <v>943</v>
      </c>
      <c r="C947" s="36" t="inlineStr">
        <is>
          <t>1130700079</t>
        </is>
      </c>
      <c r="D947" s="36" t="inlineStr">
        <is>
          <t>Region XI (Davao Region)</t>
        </is>
      </c>
      <c r="E947" s="36" t="inlineStr">
        <is>
          <t>Davao del Sur</t>
        </is>
      </c>
      <c r="F947" s="36" t="inlineStr">
        <is>
          <t>City of Davao</t>
        </is>
      </c>
      <c r="G947" s="36" t="inlineStr">
        <is>
          <t>Mintal</t>
        </is>
      </c>
      <c r="H947" s="37" t="n">
        <v>7.092782</v>
      </c>
      <c r="I947" s="37" t="n">
        <v>125.502455</v>
      </c>
      <c r="J947" s="8" t="inlineStr">
        <is>
          <t>U</t>
        </is>
      </c>
      <c r="K947" s="36" t="inlineStr">
        <is>
          <t>Class 1-3 / Urban</t>
        </is>
      </c>
      <c r="L947" s="18" t="n">
        <v>18677</v>
      </c>
      <c r="M947" s="20" t="n">
        <v>4.1</v>
      </c>
      <c r="N947" s="18">
        <f>ROUND(L947/M947, 0)</f>
        <v/>
      </c>
      <c r="O947" s="18">
        <f>ROUND(N947*'Methodology &amp; Assumptions'!$B$8, 0)</f>
        <v/>
      </c>
      <c r="P947" s="8" t="inlineStr">
        <is>
          <t>Band n50 (1.5 GHz, 60 MHz)</t>
        </is>
      </c>
      <c r="Q947" s="38">
        <f>ROUNDUP(O947/'Methodology &amp; Assumptions'!$B$9, 0)</f>
        <v/>
      </c>
      <c r="R947" s="39" t="n">
        <v>1</v>
      </c>
      <c r="S947" s="21" t="n">
        <v>0.68</v>
      </c>
      <c r="T947" s="21" t="n">
        <v>0.04</v>
      </c>
      <c r="U947" s="36" t="inlineStr">
        <is>
          <t>Tier 1A (Direct Coloc, &lt;1 km)</t>
        </is>
      </c>
      <c r="V947" s="20" t="n">
        <v>89.59999999999999</v>
      </c>
      <c r="W947" s="20" t="n">
        <v>100</v>
      </c>
      <c r="X947" s="20" t="n">
        <v>28</v>
      </c>
      <c r="Y947" s="40">
        <f>ROUND((V947*'Methodology &amp; Assumptions'!$B$6)+(W947*'Methodology &amp; Assumptions'!$B$5)+(X947*'Methodology &amp; Assumptions'!$B$7), 2)</f>
        <v/>
      </c>
    </row>
    <row r="948" ht="19" customHeight="1">
      <c r="A948" s="41" t="n">
        <v>944</v>
      </c>
      <c r="B948" s="41" t="n">
        <v>944</v>
      </c>
      <c r="C948" s="42" t="inlineStr">
        <is>
          <t>0301421049</t>
        </is>
      </c>
      <c r="D948" s="42" t="inlineStr">
        <is>
          <t>Region III (Central Luzon)</t>
        </is>
      </c>
      <c r="E948" s="42" t="inlineStr">
        <is>
          <t>Bulacan</t>
        </is>
      </c>
      <c r="F948" s="42" t="inlineStr">
        <is>
          <t>San Miguel</t>
        </is>
      </c>
      <c r="G948" s="42" t="inlineStr">
        <is>
          <t>Santa Rita Bata</t>
        </is>
      </c>
      <c r="H948" s="43" t="n">
        <v>15.134017</v>
      </c>
      <c r="I948" s="43" t="n">
        <v>120.969348</v>
      </c>
      <c r="J948" s="44" t="inlineStr">
        <is>
          <t>U</t>
        </is>
      </c>
      <c r="K948" s="42" t="inlineStr">
        <is>
          <t>Class 1-3 / Urban</t>
        </is>
      </c>
      <c r="L948" s="23" t="n">
        <v>3829</v>
      </c>
      <c r="M948" s="24" t="n">
        <v>4.1</v>
      </c>
      <c r="N948" s="23">
        <f>ROUND(L948/M948, 0)</f>
        <v/>
      </c>
      <c r="O948" s="23">
        <f>ROUND(N948*'Methodology &amp; Assumptions'!$B$8, 0)</f>
        <v/>
      </c>
      <c r="P948" s="44" t="inlineStr">
        <is>
          <t>Band n50 (1.5 GHz, 60 MHz)</t>
        </is>
      </c>
      <c r="Q948" s="38">
        <f>ROUNDUP(O948/'Methodology &amp; Assumptions'!$B$9, 0)</f>
        <v/>
      </c>
      <c r="R948" s="39" t="n">
        <v>1</v>
      </c>
      <c r="S948" s="25" t="n">
        <v>0.63</v>
      </c>
      <c r="T948" s="25" t="n">
        <v>0.07000000000000001</v>
      </c>
      <c r="U948" s="42" t="inlineStr">
        <is>
          <t>Tier 1A (Direct Coloc, &lt;1 km)</t>
        </is>
      </c>
      <c r="V948" s="24" t="n">
        <v>90.90000000000001</v>
      </c>
      <c r="W948" s="24" t="n">
        <v>98.7</v>
      </c>
      <c r="X948" s="24" t="n">
        <v>28</v>
      </c>
      <c r="Y948" s="45">
        <f>ROUND((V948*'Methodology &amp; Assumptions'!$B$6)+(W948*'Methodology &amp; Assumptions'!$B$5)+(X948*'Methodology &amp; Assumptions'!$B$7), 2)</f>
        <v/>
      </c>
    </row>
    <row r="949" ht="19" customHeight="1">
      <c r="A949" s="35" t="n">
        <v>945</v>
      </c>
      <c r="B949" s="35" t="n">
        <v>945</v>
      </c>
      <c r="C949" s="36" t="inlineStr">
        <is>
          <t>0103303034</t>
        </is>
      </c>
      <c r="D949" s="36" t="inlineStr">
        <is>
          <t>Region I (Ilocos Region)</t>
        </is>
      </c>
      <c r="E949" s="36" t="inlineStr">
        <is>
          <t>La Union</t>
        </is>
      </c>
      <c r="F949" s="36" t="inlineStr">
        <is>
          <t>Bacnotan</t>
        </is>
      </c>
      <c r="G949" s="36" t="inlineStr">
        <is>
          <t>Poblacion</t>
        </is>
      </c>
      <c r="H949" s="37" t="n">
        <v>16.721651</v>
      </c>
      <c r="I949" s="37" t="n">
        <v>120.350045</v>
      </c>
      <c r="J949" s="8" t="inlineStr">
        <is>
          <t>U</t>
        </is>
      </c>
      <c r="K949" s="36" t="inlineStr">
        <is>
          <t>Class 1-3 / Urban</t>
        </is>
      </c>
      <c r="L949" s="18" t="n">
        <v>3620</v>
      </c>
      <c r="M949" s="20" t="n">
        <v>4.42</v>
      </c>
      <c r="N949" s="18">
        <f>ROUND(L949/M949, 0)</f>
        <v/>
      </c>
      <c r="O949" s="18">
        <f>ROUND(N949*'Methodology &amp; Assumptions'!$B$8, 0)</f>
        <v/>
      </c>
      <c r="P949" s="8" t="inlineStr">
        <is>
          <t>Band n50 (1.5 GHz, 60 MHz)</t>
        </is>
      </c>
      <c r="Q949" s="38">
        <f>ROUNDUP(O949/'Methodology &amp; Assumptions'!$B$9, 0)</f>
        <v/>
      </c>
      <c r="R949" s="39" t="n">
        <v>1</v>
      </c>
      <c r="S949" s="21" t="n">
        <v>0.3</v>
      </c>
      <c r="T949" s="21" t="n">
        <v>0.09</v>
      </c>
      <c r="U949" s="36" t="inlineStr">
        <is>
          <t>Tier 1A (Direct Coloc, &lt;1 km)</t>
        </is>
      </c>
      <c r="V949" s="20" t="n">
        <v>100</v>
      </c>
      <c r="W949" s="20" t="n">
        <v>89.59999999999999</v>
      </c>
      <c r="X949" s="20" t="n">
        <v>28</v>
      </c>
      <c r="Y949" s="40">
        <f>ROUND((V949*'Methodology &amp; Assumptions'!$B$6)+(W949*'Methodology &amp; Assumptions'!$B$5)+(X949*'Methodology &amp; Assumptions'!$B$7), 2)</f>
        <v/>
      </c>
    </row>
    <row r="950" ht="19" customHeight="1">
      <c r="A950" s="41" t="n">
        <v>946</v>
      </c>
      <c r="B950" s="41" t="n">
        <v>946</v>
      </c>
      <c r="C950" s="42" t="inlineStr">
        <is>
          <t>0907322040</t>
        </is>
      </c>
      <c r="D950" s="42" t="inlineStr">
        <is>
          <t>Region IX (Zamboanga Peninsula)</t>
        </is>
      </c>
      <c r="E950" s="42" t="inlineStr">
        <is>
          <t>Zamboanga del Sur</t>
        </is>
      </c>
      <c r="F950" s="42" t="inlineStr">
        <is>
          <t>City of Pagadian</t>
        </is>
      </c>
      <c r="G950" s="42" t="inlineStr">
        <is>
          <t>San Jose</t>
        </is>
      </c>
      <c r="H950" s="43" t="n">
        <v>7.830586</v>
      </c>
      <c r="I950" s="43" t="n">
        <v>123.433075</v>
      </c>
      <c r="J950" s="44" t="inlineStr">
        <is>
          <t>U</t>
        </is>
      </c>
      <c r="K950" s="42" t="inlineStr">
        <is>
          <t>Class 1-3 / Urban</t>
        </is>
      </c>
      <c r="L950" s="23" t="n">
        <v>7991</v>
      </c>
      <c r="M950" s="24" t="n">
        <v>4.61</v>
      </c>
      <c r="N950" s="23">
        <f>ROUND(L950/M950, 0)</f>
        <v/>
      </c>
      <c r="O950" s="23">
        <f>ROUND(N950*'Methodology &amp; Assumptions'!$B$8, 0)</f>
        <v/>
      </c>
      <c r="P950" s="44" t="inlineStr">
        <is>
          <t>Band n50 (1.5 GHz, 60 MHz)</t>
        </is>
      </c>
      <c r="Q950" s="38">
        <f>ROUNDUP(O950/'Methodology &amp; Assumptions'!$B$9, 0)</f>
        <v/>
      </c>
      <c r="R950" s="39" t="n">
        <v>1</v>
      </c>
      <c r="S950" s="25" t="n">
        <v>0.6899999999999999</v>
      </c>
      <c r="T950" s="25" t="n">
        <v>0.13</v>
      </c>
      <c r="U950" s="42" t="inlineStr">
        <is>
          <t>Tier 1A (Direct Coloc, &lt;1 km)</t>
        </is>
      </c>
      <c r="V950" s="24" t="n">
        <v>89.59999999999999</v>
      </c>
      <c r="W950" s="24" t="n">
        <v>100</v>
      </c>
      <c r="X950" s="24" t="n">
        <v>28</v>
      </c>
      <c r="Y950" s="45">
        <f>ROUND((V950*'Methodology &amp; Assumptions'!$B$6)+(W950*'Methodology &amp; Assumptions'!$B$5)+(X950*'Methodology &amp; Assumptions'!$B$7), 2)</f>
        <v/>
      </c>
    </row>
    <row r="951" ht="19" customHeight="1">
      <c r="A951" s="35" t="n">
        <v>947</v>
      </c>
      <c r="B951" s="35" t="n">
        <v>947</v>
      </c>
      <c r="C951" s="36" t="inlineStr">
        <is>
          <t>0301412018</t>
        </is>
      </c>
      <c r="D951" s="36" t="inlineStr">
        <is>
          <t>Region III (Central Luzon)</t>
        </is>
      </c>
      <c r="E951" s="36" t="inlineStr">
        <is>
          <t>Bulacan</t>
        </is>
      </c>
      <c r="F951" s="36" t="inlineStr">
        <is>
          <t>City of Meycauayan</t>
        </is>
      </c>
      <c r="G951" s="36" t="inlineStr">
        <is>
          <t>Pantoc</t>
        </is>
      </c>
      <c r="H951" s="37" t="n">
        <v>14.767351</v>
      </c>
      <c r="I951" s="37" t="n">
        <v>120.98431</v>
      </c>
      <c r="J951" s="8" t="inlineStr">
        <is>
          <t>U</t>
        </is>
      </c>
      <c r="K951" s="36" t="inlineStr">
        <is>
          <t>Class 1-3 / Urban</t>
        </is>
      </c>
      <c r="L951" s="18" t="n">
        <v>12577</v>
      </c>
      <c r="M951" s="20" t="n">
        <v>4.1</v>
      </c>
      <c r="N951" s="18">
        <f>ROUND(L951/M951, 0)</f>
        <v/>
      </c>
      <c r="O951" s="18">
        <f>ROUND(N951*'Methodology &amp; Assumptions'!$B$8, 0)</f>
        <v/>
      </c>
      <c r="P951" s="8" t="inlineStr">
        <is>
          <t>Band n50 (1.5 GHz, 60 MHz)</t>
        </is>
      </c>
      <c r="Q951" s="38">
        <f>ROUNDUP(O951/'Methodology &amp; Assumptions'!$B$9, 0)</f>
        <v/>
      </c>
      <c r="R951" s="39" t="n">
        <v>1</v>
      </c>
      <c r="S951" s="21" t="n">
        <v>0.6899999999999999</v>
      </c>
      <c r="T951" s="21" t="n">
        <v>1.36</v>
      </c>
      <c r="U951" s="36" t="inlineStr">
        <is>
          <t>Tier 1A (Direct Coloc, &lt;1 km)</t>
        </is>
      </c>
      <c r="V951" s="20" t="n">
        <v>89.5</v>
      </c>
      <c r="W951" s="20" t="n">
        <v>100</v>
      </c>
      <c r="X951" s="20" t="n">
        <v>28</v>
      </c>
      <c r="Y951" s="40">
        <f>ROUND((V951*'Methodology &amp; Assumptions'!$B$6)+(W951*'Methodology &amp; Assumptions'!$B$5)+(X951*'Methodology &amp; Assumptions'!$B$7), 2)</f>
        <v/>
      </c>
    </row>
    <row r="952" ht="19" customHeight="1">
      <c r="A952" s="41" t="n">
        <v>948</v>
      </c>
      <c r="B952" s="41" t="n">
        <v>948</v>
      </c>
      <c r="C952" s="42" t="inlineStr">
        <is>
          <t>0730600078</t>
        </is>
      </c>
      <c r="D952" s="42" t="inlineStr">
        <is>
          <t>Region VII (Central Visayas)</t>
        </is>
      </c>
      <c r="E952" s="42" t="inlineStr">
        <is>
          <t>Cebu</t>
        </is>
      </c>
      <c r="F952" s="42" t="inlineStr">
        <is>
          <t>City of Cebu</t>
        </is>
      </c>
      <c r="G952" s="42" t="inlineStr">
        <is>
          <t>T. Padilla</t>
        </is>
      </c>
      <c r="H952" s="43" t="n">
        <v>10.304228</v>
      </c>
      <c r="I952" s="43" t="n">
        <v>123.904244</v>
      </c>
      <c r="J952" s="44" t="inlineStr">
        <is>
          <t>U</t>
        </is>
      </c>
      <c r="K952" s="42" t="inlineStr">
        <is>
          <t>Class 1-3 / Urban</t>
        </is>
      </c>
      <c r="L952" s="23" t="n">
        <v>6719</v>
      </c>
      <c r="M952" s="24" t="n">
        <v>4.42</v>
      </c>
      <c r="N952" s="23">
        <f>ROUND(L952/M952, 0)</f>
        <v/>
      </c>
      <c r="O952" s="23">
        <f>ROUND(N952*'Methodology &amp; Assumptions'!$B$8, 0)</f>
        <v/>
      </c>
      <c r="P952" s="44" t="inlineStr">
        <is>
          <t>Band n50 (1.5 GHz, 60 MHz)</t>
        </is>
      </c>
      <c r="Q952" s="38">
        <f>ROUNDUP(O952/'Methodology &amp; Assumptions'!$B$9, 0)</f>
        <v/>
      </c>
      <c r="R952" s="39" t="n">
        <v>1</v>
      </c>
      <c r="S952" s="25" t="n">
        <v>0.6899999999999999</v>
      </c>
      <c r="T952" s="25" t="n">
        <v>0.14</v>
      </c>
      <c r="U952" s="42" t="inlineStr">
        <is>
          <t>Tier 1A (Direct Coloc, &lt;1 km)</t>
        </is>
      </c>
      <c r="V952" s="24" t="n">
        <v>89.5</v>
      </c>
      <c r="W952" s="24" t="n">
        <v>100</v>
      </c>
      <c r="X952" s="24" t="n">
        <v>28</v>
      </c>
      <c r="Y952" s="45">
        <f>ROUND((V952*'Methodology &amp; Assumptions'!$B$6)+(W952*'Methodology &amp; Assumptions'!$B$5)+(X952*'Methodology &amp; Assumptions'!$B$7), 2)</f>
        <v/>
      </c>
    </row>
    <row r="953" ht="19" customHeight="1">
      <c r="A953" s="35" t="n">
        <v>949</v>
      </c>
      <c r="B953" s="35" t="n">
        <v>949</v>
      </c>
      <c r="C953" s="36" t="inlineStr">
        <is>
          <t>0301404009</t>
        </is>
      </c>
      <c r="D953" s="36" t="inlineStr">
        <is>
          <t>Region III (Central Luzon)</t>
        </is>
      </c>
      <c r="E953" s="36" t="inlineStr">
        <is>
          <t>Bulacan</t>
        </is>
      </c>
      <c r="F953" s="36" t="inlineStr">
        <is>
          <t>Bocaue</t>
        </is>
      </c>
      <c r="G953" s="36" t="inlineStr">
        <is>
          <t>Bunlo</t>
        </is>
      </c>
      <c r="H953" s="37" t="n">
        <v>14.784835</v>
      </c>
      <c r="I953" s="37" t="n">
        <v>120.932433</v>
      </c>
      <c r="J953" s="8" t="inlineStr">
        <is>
          <t>U</t>
        </is>
      </c>
      <c r="K953" s="36" t="inlineStr">
        <is>
          <t>Class 1-3 / Urban</t>
        </is>
      </c>
      <c r="L953" s="18" t="n">
        <v>4018</v>
      </c>
      <c r="M953" s="20" t="n">
        <v>4.1</v>
      </c>
      <c r="N953" s="18">
        <f>ROUND(L953/M953, 0)</f>
        <v/>
      </c>
      <c r="O953" s="18">
        <f>ROUND(N953*'Methodology &amp; Assumptions'!$B$8, 0)</f>
        <v/>
      </c>
      <c r="P953" s="8" t="inlineStr">
        <is>
          <t>Band n50 (1.5 GHz, 60 MHz)</t>
        </is>
      </c>
      <c r="Q953" s="38">
        <f>ROUNDUP(O953/'Methodology &amp; Assumptions'!$B$9, 0)</f>
        <v/>
      </c>
      <c r="R953" s="39" t="n">
        <v>1</v>
      </c>
      <c r="S953" s="21" t="n">
        <v>0.6899999999999999</v>
      </c>
      <c r="T953" s="21" t="n">
        <v>0.09</v>
      </c>
      <c r="U953" s="36" t="inlineStr">
        <is>
          <t>Tier 1A (Direct Coloc, &lt;1 km)</t>
        </is>
      </c>
      <c r="V953" s="20" t="n">
        <v>89.5</v>
      </c>
      <c r="W953" s="20" t="n">
        <v>100</v>
      </c>
      <c r="X953" s="20" t="n">
        <v>28</v>
      </c>
      <c r="Y953" s="40">
        <f>ROUND((V953*'Methodology &amp; Assumptions'!$B$6)+(W953*'Methodology &amp; Assumptions'!$B$5)+(X953*'Methodology &amp; Assumptions'!$B$7), 2)</f>
        <v/>
      </c>
    </row>
    <row r="954" ht="19" customHeight="1">
      <c r="A954" s="41" t="n">
        <v>950</v>
      </c>
      <c r="B954" s="41" t="n">
        <v>950</v>
      </c>
      <c r="C954" s="42" t="inlineStr">
        <is>
          <t>0604531006</t>
        </is>
      </c>
      <c r="D954" s="42" t="inlineStr">
        <is>
          <t>Region VI (Western Visayas)</t>
        </is>
      </c>
      <c r="E954" s="42" t="inlineStr">
        <is>
          <t>Negros Occidental</t>
        </is>
      </c>
      <c r="F954" s="42" t="inlineStr">
        <is>
          <t>City of Victorias</t>
        </is>
      </c>
      <c r="G954" s="42" t="inlineStr">
        <is>
          <t>Barangay III</t>
        </is>
      </c>
      <c r="H954" s="43" t="n">
        <v>10.902112</v>
      </c>
      <c r="I954" s="43" t="n">
        <v>123.070706</v>
      </c>
      <c r="J954" s="44" t="inlineStr">
        <is>
          <t>R</t>
        </is>
      </c>
      <c r="K954" s="42" t="inlineStr">
        <is>
          <t>Class 1-3 / Urban</t>
        </is>
      </c>
      <c r="L954" s="23" t="n">
        <v>1454</v>
      </c>
      <c r="M954" s="24" t="n">
        <v>4.33</v>
      </c>
      <c r="N954" s="23">
        <f>ROUND(L954/M954, 0)</f>
        <v/>
      </c>
      <c r="O954" s="23">
        <f>ROUND(N954*'Methodology &amp; Assumptions'!$B$8, 0)</f>
        <v/>
      </c>
      <c r="P954" s="44" t="inlineStr">
        <is>
          <t>Band n50 (1.5 GHz, 60 MHz)</t>
        </is>
      </c>
      <c r="Q954" s="38">
        <f>ROUNDUP(O954/'Methodology &amp; Assumptions'!$B$9, 0)</f>
        <v/>
      </c>
      <c r="R954" s="39" t="n">
        <v>1</v>
      </c>
      <c r="S954" s="25" t="n">
        <v>0.27</v>
      </c>
      <c r="T954" s="25" t="n">
        <v>0.24</v>
      </c>
      <c r="U954" s="42" t="inlineStr">
        <is>
          <t>Tier 1A (Direct Coloc, &lt;1 km)</t>
        </is>
      </c>
      <c r="V954" s="24" t="n">
        <v>100</v>
      </c>
      <c r="W954" s="24" t="n">
        <v>50.9</v>
      </c>
      <c r="X954" s="24" t="n">
        <v>73</v>
      </c>
      <c r="Y954" s="45">
        <f>ROUND((V954*'Methodology &amp; Assumptions'!$B$6)+(W954*'Methodology &amp; Assumptions'!$B$5)+(X954*'Methodology &amp; Assumptions'!$B$7), 2)</f>
        <v/>
      </c>
    </row>
    <row r="955" ht="19" customHeight="1">
      <c r="A955" s="35" t="n">
        <v>951</v>
      </c>
      <c r="B955" s="35" t="n">
        <v>951</v>
      </c>
      <c r="C955" s="36" t="inlineStr">
        <is>
          <t>0300809012</t>
        </is>
      </c>
      <c r="D955" s="36" t="inlineStr">
        <is>
          <t>Region III (Central Luzon)</t>
        </is>
      </c>
      <c r="E955" s="36" t="inlineStr">
        <is>
          <t>Bataan</t>
        </is>
      </c>
      <c r="F955" s="36" t="inlineStr">
        <is>
          <t>Orani</t>
        </is>
      </c>
      <c r="G955" s="36" t="inlineStr">
        <is>
          <t>Palihan</t>
        </is>
      </c>
      <c r="H955" s="37" t="n">
        <v>14.804486</v>
      </c>
      <c r="I955" s="37" t="n">
        <v>120.539973</v>
      </c>
      <c r="J955" s="8" t="inlineStr">
        <is>
          <t>R</t>
        </is>
      </c>
      <c r="K955" s="36" t="inlineStr">
        <is>
          <t>Class 1-3 / Urban</t>
        </is>
      </c>
      <c r="L955" s="18" t="n">
        <v>2521</v>
      </c>
      <c r="M955" s="20" t="n">
        <v>4.57</v>
      </c>
      <c r="N955" s="18">
        <f>ROUND(L955/M955, 0)</f>
        <v/>
      </c>
      <c r="O955" s="18">
        <f>ROUND(N955*'Methodology &amp; Assumptions'!$B$8, 0)</f>
        <v/>
      </c>
      <c r="P955" s="8" t="inlineStr">
        <is>
          <t>Band n50 (1.5 GHz, 60 MHz)</t>
        </is>
      </c>
      <c r="Q955" s="38">
        <f>ROUNDUP(O955/'Methodology &amp; Assumptions'!$B$9, 0)</f>
        <v/>
      </c>
      <c r="R955" s="39" t="n">
        <v>1</v>
      </c>
      <c r="S955" s="21" t="n">
        <v>0.47</v>
      </c>
      <c r="T955" s="21" t="n">
        <v>0.49</v>
      </c>
      <c r="U955" s="36" t="inlineStr">
        <is>
          <t>Tier 1A (Direct Coloc, &lt;1 km)</t>
        </is>
      </c>
      <c r="V955" s="20" t="n">
        <v>95.5</v>
      </c>
      <c r="W955" s="20" t="n">
        <v>68.3</v>
      </c>
      <c r="X955" s="20" t="n">
        <v>58</v>
      </c>
      <c r="Y955" s="40">
        <f>ROUND((V955*'Methodology &amp; Assumptions'!$B$6)+(W955*'Methodology &amp; Assumptions'!$B$5)+(X955*'Methodology &amp; Assumptions'!$B$7), 2)</f>
        <v/>
      </c>
    </row>
    <row r="956" ht="19" customHeight="1">
      <c r="A956" s="41" t="n">
        <v>952</v>
      </c>
      <c r="B956" s="41" t="n">
        <v>952</v>
      </c>
      <c r="C956" s="42" t="inlineStr">
        <is>
          <t>1230800034</t>
        </is>
      </c>
      <c r="D956" s="42" t="inlineStr">
        <is>
          <t>Region XII (SOCCSKSARGEN)</t>
        </is>
      </c>
      <c r="E956" s="42" t="inlineStr">
        <is>
          <t>South Cotabato</t>
        </is>
      </c>
      <c r="F956" s="42" t="inlineStr">
        <is>
          <t>City of General Santos</t>
        </is>
      </c>
      <c r="G956" s="42" t="inlineStr">
        <is>
          <t>City Heights</t>
        </is>
      </c>
      <c r="H956" s="43" t="n">
        <v>6.130172</v>
      </c>
      <c r="I956" s="43" t="n">
        <v>125.170384</v>
      </c>
      <c r="J956" s="44" t="inlineStr">
        <is>
          <t>U</t>
        </is>
      </c>
      <c r="K956" s="42" t="inlineStr">
        <is>
          <t>Class 1-3 / Urban</t>
        </is>
      </c>
      <c r="L956" s="23" t="n">
        <v>24343</v>
      </c>
      <c r="M956" s="24" t="n">
        <v>4.1</v>
      </c>
      <c r="N956" s="23">
        <f>ROUND(L956/M956, 0)</f>
        <v/>
      </c>
      <c r="O956" s="23">
        <f>ROUND(N956*'Methodology &amp; Assumptions'!$B$8, 0)</f>
        <v/>
      </c>
      <c r="P956" s="44" t="inlineStr">
        <is>
          <t>Band n50 (1.5 GHz, 60 MHz)</t>
        </is>
      </c>
      <c r="Q956" s="38">
        <f>ROUNDUP(O956/'Methodology &amp; Assumptions'!$B$9, 0)</f>
        <v/>
      </c>
      <c r="R956" s="39" t="n">
        <v>1</v>
      </c>
      <c r="S956" s="25" t="n">
        <v>0.6899999999999999</v>
      </c>
      <c r="T956" s="25" t="n">
        <v>0.35</v>
      </c>
      <c r="U956" s="42" t="inlineStr">
        <is>
          <t>Tier 1A (Direct Coloc, &lt;1 km)</t>
        </is>
      </c>
      <c r="V956" s="24" t="n">
        <v>89.5</v>
      </c>
      <c r="W956" s="24" t="n">
        <v>100</v>
      </c>
      <c r="X956" s="24" t="n">
        <v>28</v>
      </c>
      <c r="Y956" s="45">
        <f>ROUND((V956*'Methodology &amp; Assumptions'!$B$6)+(W956*'Methodology &amp; Assumptions'!$B$5)+(X956*'Methodology &amp; Assumptions'!$B$7), 2)</f>
        <v/>
      </c>
    </row>
    <row r="957" ht="19" customHeight="1">
      <c r="A957" s="35" t="n">
        <v>953</v>
      </c>
      <c r="B957" s="35" t="n">
        <v>953</v>
      </c>
      <c r="C957" s="36" t="inlineStr">
        <is>
          <t>1705110034</t>
        </is>
      </c>
      <c r="D957" s="36" t="inlineStr">
        <is>
          <t>MIMAROPA Region</t>
        </is>
      </c>
      <c r="E957" s="36" t="inlineStr">
        <is>
          <t>Occidental Mindoro</t>
        </is>
      </c>
      <c r="F957" s="36" t="inlineStr">
        <is>
          <t>San Jose</t>
        </is>
      </c>
      <c r="G957" s="36" t="inlineStr">
        <is>
          <t>Pag-Asa</t>
        </is>
      </c>
      <c r="H957" s="37" t="n">
        <v>12.344686</v>
      </c>
      <c r="I957" s="37" t="n">
        <v>121.06566</v>
      </c>
      <c r="J957" s="8" t="inlineStr">
        <is>
          <t>U</t>
        </is>
      </c>
      <c r="K957" s="36" t="inlineStr">
        <is>
          <t>Class 1-3 / Urban</t>
        </is>
      </c>
      <c r="L957" s="18" t="n">
        <v>12001</v>
      </c>
      <c r="M957" s="20" t="n">
        <v>4.04</v>
      </c>
      <c r="N957" s="18">
        <f>ROUND(L957/M957, 0)</f>
        <v/>
      </c>
      <c r="O957" s="18">
        <f>ROUND(N957*'Methodology &amp; Assumptions'!$B$8, 0)</f>
        <v/>
      </c>
      <c r="P957" s="8" t="inlineStr">
        <is>
          <t>Band n50 (1.5 GHz, 60 MHz)</t>
        </is>
      </c>
      <c r="Q957" s="38">
        <f>ROUNDUP(O957/'Methodology &amp; Assumptions'!$B$9, 0)</f>
        <v/>
      </c>
      <c r="R957" s="39" t="n">
        <v>1</v>
      </c>
      <c r="S957" s="21" t="n">
        <v>0.6899999999999999</v>
      </c>
      <c r="T957" s="21" t="n">
        <v>0.6899999999999999</v>
      </c>
      <c r="U957" s="36" t="inlineStr">
        <is>
          <t>Tier 1A (Direct Coloc, &lt;1 km)</t>
        </is>
      </c>
      <c r="V957" s="20" t="n">
        <v>89.5</v>
      </c>
      <c r="W957" s="20" t="n">
        <v>100</v>
      </c>
      <c r="X957" s="20" t="n">
        <v>28</v>
      </c>
      <c r="Y957" s="40">
        <f>ROUND((V957*'Methodology &amp; Assumptions'!$B$6)+(W957*'Methodology &amp; Assumptions'!$B$5)+(X957*'Methodology &amp; Assumptions'!$B$7), 2)</f>
        <v/>
      </c>
    </row>
    <row r="958" ht="19" customHeight="1">
      <c r="A958" s="41" t="n">
        <v>954</v>
      </c>
      <c r="B958" s="41" t="n">
        <v>954</v>
      </c>
      <c r="C958" s="42" t="inlineStr">
        <is>
          <t>0501730037</t>
        </is>
      </c>
      <c r="D958" s="42" t="inlineStr">
        <is>
          <t>Region V (Bicol Region)</t>
        </is>
      </c>
      <c r="E958" s="42" t="inlineStr">
        <is>
          <t>Camarines Sur</t>
        </is>
      </c>
      <c r="F958" s="42" t="inlineStr">
        <is>
          <t>Ragay</t>
        </is>
      </c>
      <c r="G958" s="42" t="inlineStr">
        <is>
          <t>F. Simeon</t>
        </is>
      </c>
      <c r="H958" s="43" t="n">
        <v>13.843924</v>
      </c>
      <c r="I958" s="43" t="n">
        <v>122.70308</v>
      </c>
      <c r="J958" s="44" t="inlineStr">
        <is>
          <t>R</t>
        </is>
      </c>
      <c r="K958" s="42" t="inlineStr">
        <is>
          <t>Class 1-3 / Urban</t>
        </is>
      </c>
      <c r="L958" s="23" t="n">
        <v>3126</v>
      </c>
      <c r="M958" s="24" t="n">
        <v>4.9</v>
      </c>
      <c r="N958" s="23">
        <f>ROUND(L958/M958, 0)</f>
        <v/>
      </c>
      <c r="O958" s="23">
        <f>ROUND(N958*'Methodology &amp; Assumptions'!$B$8, 0)</f>
        <v/>
      </c>
      <c r="P958" s="44" t="inlineStr">
        <is>
          <t>Band n50 (1.5 GHz, 60 MHz)</t>
        </is>
      </c>
      <c r="Q958" s="38">
        <f>ROUNDUP(O958/'Methodology &amp; Assumptions'!$B$9, 0)</f>
        <v/>
      </c>
      <c r="R958" s="39" t="n">
        <v>1</v>
      </c>
      <c r="S958" s="25" t="n">
        <v>0.71</v>
      </c>
      <c r="T958" s="25" t="n">
        <v>0.41</v>
      </c>
      <c r="U958" s="42" t="inlineStr">
        <is>
          <t>Tier 1A (Direct Coloc, &lt;1 km)</t>
        </is>
      </c>
      <c r="V958" s="24" t="n">
        <v>88.8</v>
      </c>
      <c r="W958" s="24" t="n">
        <v>74.90000000000001</v>
      </c>
      <c r="X958" s="24" t="n">
        <v>58</v>
      </c>
      <c r="Y958" s="45">
        <f>ROUND((V958*'Methodology &amp; Assumptions'!$B$6)+(W958*'Methodology &amp; Assumptions'!$B$5)+(X958*'Methodology &amp; Assumptions'!$B$7), 2)</f>
        <v/>
      </c>
    </row>
    <row r="959" ht="19" customHeight="1">
      <c r="A959" s="35" t="n">
        <v>955</v>
      </c>
      <c r="B959" s="35" t="n">
        <v>955</v>
      </c>
      <c r="C959" s="36" t="inlineStr">
        <is>
          <t>1600205001</t>
        </is>
      </c>
      <c r="D959" s="36" t="inlineStr">
        <is>
          <t>Region XIII (Caraga)</t>
        </is>
      </c>
      <c r="E959" s="36" t="inlineStr">
        <is>
          <t>Agusan del Norte</t>
        </is>
      </c>
      <c r="F959" s="36" t="inlineStr">
        <is>
          <t>Jabonga</t>
        </is>
      </c>
      <c r="G959" s="36" t="inlineStr">
        <is>
          <t>Baleguian</t>
        </is>
      </c>
      <c r="H959" s="37" t="n">
        <v>9.358326</v>
      </c>
      <c r="I959" s="37" t="n">
        <v>125.55272</v>
      </c>
      <c r="J959" s="8" t="inlineStr">
        <is>
          <t>R</t>
        </is>
      </c>
      <c r="K959" s="36" t="inlineStr">
        <is>
          <t>Class 1-3 / Urban</t>
        </is>
      </c>
      <c r="L959" s="18" t="n">
        <v>2301</v>
      </c>
      <c r="M959" s="20" t="n">
        <v>4.63</v>
      </c>
      <c r="N959" s="18">
        <f>ROUND(L959/M959, 0)</f>
        <v/>
      </c>
      <c r="O959" s="18">
        <f>ROUND(N959*'Methodology &amp; Assumptions'!$B$8, 0)</f>
        <v/>
      </c>
      <c r="P959" s="8" t="inlineStr">
        <is>
          <t>Band n50 (1.5 GHz, 60 MHz)</t>
        </is>
      </c>
      <c r="Q959" s="38">
        <f>ROUNDUP(O959/'Methodology &amp; Assumptions'!$B$9, 0)</f>
        <v/>
      </c>
      <c r="R959" s="39" t="n">
        <v>1</v>
      </c>
      <c r="S959" s="21" t="n">
        <v>0.12</v>
      </c>
      <c r="T959" s="21" t="n">
        <v>0.29</v>
      </c>
      <c r="U959" s="36" t="inlineStr">
        <is>
          <t>Tier 1A (Direct Coloc, &lt;1 km)</t>
        </is>
      </c>
      <c r="V959" s="20" t="n">
        <v>100</v>
      </c>
      <c r="W959" s="20" t="n">
        <v>63.7</v>
      </c>
      <c r="X959" s="20" t="n">
        <v>58</v>
      </c>
      <c r="Y959" s="40">
        <f>ROUND((V959*'Methodology &amp; Assumptions'!$B$6)+(W959*'Methodology &amp; Assumptions'!$B$5)+(X959*'Methodology &amp; Assumptions'!$B$7), 2)</f>
        <v/>
      </c>
    </row>
    <row r="960" ht="19" customHeight="1">
      <c r="A960" s="41" t="n">
        <v>956</v>
      </c>
      <c r="B960" s="41" t="n">
        <v>956</v>
      </c>
      <c r="C960" s="42" t="inlineStr">
        <is>
          <t>0604528020</t>
        </is>
      </c>
      <c r="D960" s="42" t="inlineStr">
        <is>
          <t>Region VI (Western Visayas)</t>
        </is>
      </c>
      <c r="E960" s="42" t="inlineStr">
        <is>
          <t>Negros Occidental</t>
        </is>
      </c>
      <c r="F960" s="42" t="inlineStr">
        <is>
          <t>City of Talisay</t>
        </is>
      </c>
      <c r="G960" s="42" t="inlineStr">
        <is>
          <t>Zone 5</t>
        </is>
      </c>
      <c r="H960" s="43" t="n">
        <v>10.740867</v>
      </c>
      <c r="I960" s="43" t="n">
        <v>122.962984</v>
      </c>
      <c r="J960" s="44" t="inlineStr">
        <is>
          <t>R</t>
        </is>
      </c>
      <c r="K960" s="42" t="inlineStr">
        <is>
          <t>Class 1-3 / Urban</t>
        </is>
      </c>
      <c r="L960" s="23" t="n">
        <v>2146</v>
      </c>
      <c r="M960" s="24" t="n">
        <v>4.33</v>
      </c>
      <c r="N960" s="23">
        <f>ROUND(L960/M960, 0)</f>
        <v/>
      </c>
      <c r="O960" s="23">
        <f>ROUND(N960*'Methodology &amp; Assumptions'!$B$8, 0)</f>
        <v/>
      </c>
      <c r="P960" s="44" t="inlineStr">
        <is>
          <t>Band n50 (1.5 GHz, 60 MHz)</t>
        </is>
      </c>
      <c r="Q960" s="38">
        <f>ROUNDUP(O960/'Methodology &amp; Assumptions'!$B$9, 0)</f>
        <v/>
      </c>
      <c r="R960" s="39" t="n">
        <v>1</v>
      </c>
      <c r="S960" s="25" t="n">
        <v>0.29</v>
      </c>
      <c r="T960" s="25" t="n">
        <v>0.26</v>
      </c>
      <c r="U960" s="42" t="inlineStr">
        <is>
          <t>Tier 1A (Direct Coloc, &lt;1 km)</t>
        </is>
      </c>
      <c r="V960" s="24" t="n">
        <v>100</v>
      </c>
      <c r="W960" s="24" t="n">
        <v>63.7</v>
      </c>
      <c r="X960" s="24" t="n">
        <v>58</v>
      </c>
      <c r="Y960" s="45">
        <f>ROUND((V960*'Methodology &amp; Assumptions'!$B$6)+(W960*'Methodology &amp; Assumptions'!$B$5)+(X960*'Methodology &amp; Assumptions'!$B$7), 2)</f>
        <v/>
      </c>
    </row>
    <row r="961" ht="19" customHeight="1">
      <c r="A961" s="35" t="n">
        <v>957</v>
      </c>
      <c r="B961" s="35" t="n">
        <v>957</v>
      </c>
      <c r="C961" s="36" t="inlineStr">
        <is>
          <t>0405627021</t>
        </is>
      </c>
      <c r="D961" s="36" t="inlineStr">
        <is>
          <t>Region IV-A (CALABARZON)</t>
        </is>
      </c>
      <c r="E961" s="36" t="inlineStr">
        <is>
          <t>Quezon</t>
        </is>
      </c>
      <c r="F961" s="36" t="inlineStr">
        <is>
          <t>Mauban</t>
        </is>
      </c>
      <c r="G961" s="36" t="inlineStr">
        <is>
          <t>Sadsaran</t>
        </is>
      </c>
      <c r="H961" s="37" t="n">
        <v>14.180448</v>
      </c>
      <c r="I961" s="37" t="n">
        <v>121.731619</v>
      </c>
      <c r="J961" s="8" t="inlineStr">
        <is>
          <t>R</t>
        </is>
      </c>
      <c r="K961" s="36" t="inlineStr">
        <is>
          <t>Class 1-3 / Urban</t>
        </is>
      </c>
      <c r="L961" s="18" t="n">
        <v>4581</v>
      </c>
      <c r="M961" s="20" t="n">
        <v>4.46</v>
      </c>
      <c r="N961" s="18">
        <f>ROUND(L961/M961, 0)</f>
        <v/>
      </c>
      <c r="O961" s="18">
        <f>ROUND(N961*'Methodology &amp; Assumptions'!$B$8, 0)</f>
        <v/>
      </c>
      <c r="P961" s="8" t="inlineStr">
        <is>
          <t>Band n50 (1.5 GHz, 60 MHz)</t>
        </is>
      </c>
      <c r="Q961" s="38">
        <f>ROUNDUP(O961/'Methodology &amp; Assumptions'!$B$9, 0)</f>
        <v/>
      </c>
      <c r="R961" s="39" t="n">
        <v>1</v>
      </c>
      <c r="S961" s="21" t="n">
        <v>1.35</v>
      </c>
      <c r="T961" s="21" t="n">
        <v>18.9</v>
      </c>
      <c r="U961" s="36" t="inlineStr">
        <is>
          <t>Tier 1B (Micro Drop, 1-3 km)</t>
        </is>
      </c>
      <c r="V961" s="20" t="n">
        <v>63.7</v>
      </c>
      <c r="W961" s="20" t="n">
        <v>100</v>
      </c>
      <c r="X961" s="20" t="n">
        <v>58</v>
      </c>
      <c r="Y961" s="40">
        <f>ROUND((V961*'Methodology &amp; Assumptions'!$B$6)+(W961*'Methodology &amp; Assumptions'!$B$5)+(X961*'Methodology &amp; Assumptions'!$B$7), 2)</f>
        <v/>
      </c>
    </row>
    <row r="962" ht="19" customHeight="1">
      <c r="A962" s="41" t="n">
        <v>958</v>
      </c>
      <c r="B962" s="41" t="n">
        <v>958</v>
      </c>
      <c r="C962" s="42" t="inlineStr">
        <is>
          <t>0704611031</t>
        </is>
      </c>
      <c r="D962" s="42" t="inlineStr">
        <is>
          <t>Region VII (Central Visayas)</t>
        </is>
      </c>
      <c r="E962" s="42" t="inlineStr">
        <is>
          <t>Negros Oriental</t>
        </is>
      </c>
      <c r="F962" s="42" t="inlineStr">
        <is>
          <t>City of Guihulngan</t>
        </is>
      </c>
      <c r="G962" s="42" t="inlineStr">
        <is>
          <t>Tinayunan Beach</t>
        </is>
      </c>
      <c r="H962" s="43" t="n">
        <v>10.102101</v>
      </c>
      <c r="I962" s="43" t="n">
        <v>123.265653</v>
      </c>
      <c r="J962" s="44" t="inlineStr">
        <is>
          <t>R</t>
        </is>
      </c>
      <c r="K962" s="42" t="inlineStr">
        <is>
          <t>Class 1-3 / Urban</t>
        </is>
      </c>
      <c r="L962" s="23" t="n">
        <v>3816</v>
      </c>
      <c r="M962" s="24" t="n">
        <v>4.33</v>
      </c>
      <c r="N962" s="23">
        <f>ROUND(L962/M962, 0)</f>
        <v/>
      </c>
      <c r="O962" s="23">
        <f>ROUND(N962*'Methodology &amp; Assumptions'!$B$8, 0)</f>
        <v/>
      </c>
      <c r="P962" s="44" t="inlineStr">
        <is>
          <t>Band n50 (1.5 GHz, 60 MHz)</t>
        </is>
      </c>
      <c r="Q962" s="38">
        <f>ROUNDUP(O962/'Methodology &amp; Assumptions'!$B$9, 0)</f>
        <v/>
      </c>
      <c r="R962" s="39" t="n">
        <v>1</v>
      </c>
      <c r="S962" s="25" t="n">
        <v>1.57</v>
      </c>
      <c r="T962" s="25" t="n">
        <v>0.05</v>
      </c>
      <c r="U962" s="42" t="inlineStr">
        <is>
          <t>Tier 1B (Micro Drop, 1-3 km)</t>
        </is>
      </c>
      <c r="V962" s="24" t="n">
        <v>69.3</v>
      </c>
      <c r="W962" s="24" t="n">
        <v>94.40000000000001</v>
      </c>
      <c r="X962" s="24" t="n">
        <v>58</v>
      </c>
      <c r="Y962" s="45">
        <f>ROUND((V962*'Methodology &amp; Assumptions'!$B$6)+(W962*'Methodology &amp; Assumptions'!$B$5)+(X962*'Methodology &amp; Assumptions'!$B$7), 2)</f>
        <v/>
      </c>
    </row>
    <row r="963" ht="19" customHeight="1">
      <c r="A963" s="35" t="n">
        <v>959</v>
      </c>
      <c r="B963" s="35" t="n">
        <v>959</v>
      </c>
      <c r="C963" s="36" t="inlineStr">
        <is>
          <t>0105532051</t>
        </is>
      </c>
      <c r="D963" s="36" t="inlineStr">
        <is>
          <t>Region I (Ilocos Region)</t>
        </is>
      </c>
      <c r="E963" s="36" t="inlineStr">
        <is>
          <t>Pangasinan</t>
        </is>
      </c>
      <c r="F963" s="36" t="inlineStr">
        <is>
          <t>City of San Carlos</t>
        </is>
      </c>
      <c r="G963" s="36" t="inlineStr">
        <is>
          <t>Mamarlao</t>
        </is>
      </c>
      <c r="H963" s="37" t="n">
        <v>15.929044</v>
      </c>
      <c r="I963" s="37" t="n">
        <v>120.339646</v>
      </c>
      <c r="J963" s="8" t="inlineStr">
        <is>
          <t>R</t>
        </is>
      </c>
      <c r="K963" s="36" t="inlineStr">
        <is>
          <t>Class 1-3 / Urban</t>
        </is>
      </c>
      <c r="L963" s="18" t="n">
        <v>3122</v>
      </c>
      <c r="M963" s="20" t="n">
        <v>4.39</v>
      </c>
      <c r="N963" s="18">
        <f>ROUND(L963/M963, 0)</f>
        <v/>
      </c>
      <c r="O963" s="18">
        <f>ROUND(N963*'Methodology &amp; Assumptions'!$B$8, 0)</f>
        <v/>
      </c>
      <c r="P963" s="8" t="inlineStr">
        <is>
          <t>Band n50 (1.5 GHz, 60 MHz)</t>
        </is>
      </c>
      <c r="Q963" s="38">
        <f>ROUNDUP(O963/'Methodology &amp; Assumptions'!$B$9, 0)</f>
        <v/>
      </c>
      <c r="R963" s="39" t="n">
        <v>1</v>
      </c>
      <c r="S963" s="21" t="n">
        <v>0.95</v>
      </c>
      <c r="T963" s="21" t="n">
        <v>0.89</v>
      </c>
      <c r="U963" s="36" t="inlineStr">
        <is>
          <t>Tier 1A (Direct Coloc, &lt;1 km)</t>
        </is>
      </c>
      <c r="V963" s="20" t="n">
        <v>82.90000000000001</v>
      </c>
      <c r="W963" s="20" t="n">
        <v>80.8</v>
      </c>
      <c r="X963" s="20" t="n">
        <v>58</v>
      </c>
      <c r="Y963" s="40">
        <f>ROUND((V963*'Methodology &amp; Assumptions'!$B$6)+(W963*'Methodology &amp; Assumptions'!$B$5)+(X963*'Methodology &amp; Assumptions'!$B$7), 2)</f>
        <v/>
      </c>
    </row>
    <row r="964" ht="19" customHeight="1">
      <c r="A964" s="41" t="n">
        <v>960</v>
      </c>
      <c r="B964" s="41" t="n">
        <v>960</v>
      </c>
      <c r="C964" s="42" t="inlineStr">
        <is>
          <t>0301412011</t>
        </is>
      </c>
      <c r="D964" s="42" t="inlineStr">
        <is>
          <t>Region III (Central Luzon)</t>
        </is>
      </c>
      <c r="E964" s="42" t="inlineStr">
        <is>
          <t>Bulacan</t>
        </is>
      </c>
      <c r="F964" s="42" t="inlineStr">
        <is>
          <t>City of Meycauayan</t>
        </is>
      </c>
      <c r="G964" s="42" t="inlineStr">
        <is>
          <t>Lawa</t>
        </is>
      </c>
      <c r="H964" s="43" t="n">
        <v>14.736761</v>
      </c>
      <c r="I964" s="43" t="n">
        <v>120.974691</v>
      </c>
      <c r="J964" s="44" t="inlineStr">
        <is>
          <t>U</t>
        </is>
      </c>
      <c r="K964" s="42" t="inlineStr">
        <is>
          <t>Class 1-3 / Urban</t>
        </is>
      </c>
      <c r="L964" s="23" t="n">
        <v>15592</v>
      </c>
      <c r="M964" s="24" t="n">
        <v>4.1</v>
      </c>
      <c r="N964" s="23">
        <f>ROUND(L964/M964, 0)</f>
        <v/>
      </c>
      <c r="O964" s="23">
        <f>ROUND(N964*'Methodology &amp; Assumptions'!$B$8, 0)</f>
        <v/>
      </c>
      <c r="P964" s="44" t="inlineStr">
        <is>
          <t>Band n50 (1.5 GHz, 60 MHz)</t>
        </is>
      </c>
      <c r="Q964" s="38">
        <f>ROUNDUP(O964/'Methodology &amp; Assumptions'!$B$9, 0)</f>
        <v/>
      </c>
      <c r="R964" s="39" t="n">
        <v>1</v>
      </c>
      <c r="S964" s="25" t="n">
        <v>0.6899999999999999</v>
      </c>
      <c r="T964" s="25" t="n">
        <v>1.44</v>
      </c>
      <c r="U964" s="42" t="inlineStr">
        <is>
          <t>Tier 1A (Direct Coloc, &lt;1 km)</t>
        </is>
      </c>
      <c r="V964" s="24" t="n">
        <v>89.40000000000001</v>
      </c>
      <c r="W964" s="24" t="n">
        <v>100</v>
      </c>
      <c r="X964" s="24" t="n">
        <v>28</v>
      </c>
      <c r="Y964" s="45">
        <f>ROUND((V964*'Methodology &amp; Assumptions'!$B$6)+(W964*'Methodology &amp; Assumptions'!$B$5)+(X964*'Methodology &amp; Assumptions'!$B$7), 2)</f>
        <v/>
      </c>
    </row>
    <row r="965" ht="19" customHeight="1">
      <c r="A965" s="35" t="n">
        <v>961</v>
      </c>
      <c r="B965" s="35" t="n">
        <v>961</v>
      </c>
      <c r="C965" s="36" t="inlineStr">
        <is>
          <t>0304903073</t>
        </is>
      </c>
      <c r="D965" s="36" t="inlineStr">
        <is>
          <t>Region III (Central Luzon)</t>
        </is>
      </c>
      <c r="E965" s="36" t="inlineStr">
        <is>
          <t>Nueva Ecija</t>
        </is>
      </c>
      <c r="F965" s="36" t="inlineStr">
        <is>
          <t>City of Cabanatuan</t>
        </is>
      </c>
      <c r="G965" s="36" t="inlineStr">
        <is>
          <t>San Juan Pob.</t>
        </is>
      </c>
      <c r="H965" s="37" t="n">
        <v>15.475457</v>
      </c>
      <c r="I965" s="37" t="n">
        <v>120.961038</v>
      </c>
      <c r="J965" s="8" t="inlineStr">
        <is>
          <t>U</t>
        </is>
      </c>
      <c r="K965" s="36" t="inlineStr">
        <is>
          <t>Class 1-3 / Urban</t>
        </is>
      </c>
      <c r="L965" s="18" t="n">
        <v>8772</v>
      </c>
      <c r="M965" s="20" t="n">
        <v>4.32</v>
      </c>
      <c r="N965" s="18">
        <f>ROUND(L965/M965, 0)</f>
        <v/>
      </c>
      <c r="O965" s="18">
        <f>ROUND(N965*'Methodology &amp; Assumptions'!$B$8, 0)</f>
        <v/>
      </c>
      <c r="P965" s="8" t="inlineStr">
        <is>
          <t>Band n50 (1.5 GHz, 60 MHz)</t>
        </is>
      </c>
      <c r="Q965" s="38">
        <f>ROUNDUP(O965/'Methodology &amp; Assumptions'!$B$9, 0)</f>
        <v/>
      </c>
      <c r="R965" s="39" t="n">
        <v>1</v>
      </c>
      <c r="S965" s="21" t="n">
        <v>0.6899999999999999</v>
      </c>
      <c r="T965" s="21" t="n">
        <v>0.42</v>
      </c>
      <c r="U965" s="36" t="inlineStr">
        <is>
          <t>Tier 1A (Direct Coloc, &lt;1 km)</t>
        </is>
      </c>
      <c r="V965" s="20" t="n">
        <v>89.3</v>
      </c>
      <c r="W965" s="20" t="n">
        <v>100</v>
      </c>
      <c r="X965" s="20" t="n">
        <v>28</v>
      </c>
      <c r="Y965" s="40">
        <f>ROUND((V965*'Methodology &amp; Assumptions'!$B$6)+(W965*'Methodology &amp; Assumptions'!$B$5)+(X965*'Methodology &amp; Assumptions'!$B$7), 2)</f>
        <v/>
      </c>
    </row>
    <row r="966" ht="19" customHeight="1">
      <c r="A966" s="41" t="n">
        <v>962</v>
      </c>
      <c r="B966" s="41" t="n">
        <v>962</v>
      </c>
      <c r="C966" s="42" t="inlineStr">
        <is>
          <t>0203120019</t>
        </is>
      </c>
      <c r="D966" s="42" t="inlineStr">
        <is>
          <t>Region II (Cagayan Valley)</t>
        </is>
      </c>
      <c r="E966" s="42" t="inlineStr">
        <is>
          <t>Isabela</t>
        </is>
      </c>
      <c r="F966" s="42" t="inlineStr">
        <is>
          <t>Naguilian</t>
        </is>
      </c>
      <c r="G966" s="42" t="inlineStr">
        <is>
          <t>San Manuel</t>
        </is>
      </c>
      <c r="H966" s="43" t="n">
        <v>17.021804</v>
      </c>
      <c r="I966" s="43" t="n">
        <v>121.8656</v>
      </c>
      <c r="J966" s="44" t="inlineStr">
        <is>
          <t>R</t>
        </is>
      </c>
      <c r="K966" s="42" t="inlineStr">
        <is>
          <t>1st</t>
        </is>
      </c>
      <c r="L966" s="23" t="n">
        <v>2590</v>
      </c>
      <c r="M966" s="24" t="n">
        <v>4.3</v>
      </c>
      <c r="N966" s="23">
        <f>ROUND(L966/M966, 0)</f>
        <v/>
      </c>
      <c r="O966" s="23">
        <f>ROUND(N966*'Methodology &amp; Assumptions'!$B$8, 0)</f>
        <v/>
      </c>
      <c r="P966" s="44" t="inlineStr">
        <is>
          <t>Band n50 (1.5 GHz, 60 MHz)</t>
        </is>
      </c>
      <c r="Q966" s="38">
        <f>ROUNDUP(O966/'Methodology &amp; Assumptions'!$B$9, 0)</f>
        <v/>
      </c>
      <c r="R966" s="39" t="n">
        <v>1</v>
      </c>
      <c r="S966" s="25" t="n">
        <v>0.62</v>
      </c>
      <c r="T966" s="25" t="n">
        <v>0.59</v>
      </c>
      <c r="U966" s="42" t="inlineStr">
        <is>
          <t>Tier 1A (Direct Coloc, &lt;1 km)</t>
        </is>
      </c>
      <c r="V966" s="24" t="n">
        <v>91.3</v>
      </c>
      <c r="W966" s="24" t="n">
        <v>72.3</v>
      </c>
      <c r="X966" s="24" t="n">
        <v>58</v>
      </c>
      <c r="Y966" s="45">
        <f>ROUND((V966*'Methodology &amp; Assumptions'!$B$6)+(W966*'Methodology &amp; Assumptions'!$B$5)+(X966*'Methodology &amp; Assumptions'!$B$7), 2)</f>
        <v/>
      </c>
    </row>
    <row r="967" ht="19" customHeight="1">
      <c r="A967" s="35" t="n">
        <v>963</v>
      </c>
      <c r="B967" s="35" t="n">
        <v>963</v>
      </c>
      <c r="C967" s="36" t="inlineStr">
        <is>
          <t>0105522030</t>
        </is>
      </c>
      <c r="D967" s="36" t="inlineStr">
        <is>
          <t>Region I (Ilocos Region)</t>
        </is>
      </c>
      <c r="E967" s="36" t="inlineStr">
        <is>
          <t>Pangasinan</t>
        </is>
      </c>
      <c r="F967" s="36" t="inlineStr">
        <is>
          <t>Lingayen</t>
        </is>
      </c>
      <c r="G967" s="36" t="inlineStr">
        <is>
          <t>Rosario</t>
        </is>
      </c>
      <c r="H967" s="37" t="n">
        <v>15.940309</v>
      </c>
      <c r="I967" s="37" t="n">
        <v>120.268818</v>
      </c>
      <c r="J967" s="8" t="inlineStr">
        <is>
          <t>R</t>
        </is>
      </c>
      <c r="K967" s="36" t="inlineStr">
        <is>
          <t>Class 1-3 / Urban</t>
        </is>
      </c>
      <c r="L967" s="18" t="n">
        <v>2521</v>
      </c>
      <c r="M967" s="20" t="n">
        <v>4.39</v>
      </c>
      <c r="N967" s="18">
        <f>ROUND(L967/M967, 0)</f>
        <v/>
      </c>
      <c r="O967" s="18">
        <f>ROUND(N967*'Methodology &amp; Assumptions'!$B$8, 0)</f>
        <v/>
      </c>
      <c r="P967" s="8" t="inlineStr">
        <is>
          <t>Band n50 (1.5 GHz, 60 MHz)</t>
        </is>
      </c>
      <c r="Q967" s="38">
        <f>ROUNDUP(O967/'Methodology &amp; Assumptions'!$B$9, 0)</f>
        <v/>
      </c>
      <c r="R967" s="39" t="n">
        <v>1</v>
      </c>
      <c r="S967" s="21" t="n">
        <v>0.19</v>
      </c>
      <c r="T967" s="21" t="n">
        <v>8</v>
      </c>
      <c r="U967" s="36" t="inlineStr">
        <is>
          <t>Tier 1A (Direct Coloc, &lt;1 km)</t>
        </is>
      </c>
      <c r="V967" s="20" t="n">
        <v>93.7</v>
      </c>
      <c r="W967" s="20" t="n">
        <v>69.90000000000001</v>
      </c>
      <c r="X967" s="20" t="n">
        <v>58</v>
      </c>
      <c r="Y967" s="40">
        <f>ROUND((V967*'Methodology &amp; Assumptions'!$B$6)+(W967*'Methodology &amp; Assumptions'!$B$5)+(X967*'Methodology &amp; Assumptions'!$B$7), 2)</f>
        <v/>
      </c>
    </row>
    <row r="968" ht="19" customHeight="1">
      <c r="A968" s="41" t="n">
        <v>964</v>
      </c>
      <c r="B968" s="41" t="n">
        <v>964</v>
      </c>
      <c r="C968" s="42" t="inlineStr">
        <is>
          <t>0105533022</t>
        </is>
      </c>
      <c r="D968" s="42" t="inlineStr">
        <is>
          <t>Region I (Ilocos Region)</t>
        </is>
      </c>
      <c r="E968" s="42" t="inlineStr">
        <is>
          <t>Pangasinan</t>
        </is>
      </c>
      <c r="F968" s="42" t="inlineStr">
        <is>
          <t>San Fabian</t>
        </is>
      </c>
      <c r="G968" s="42" t="inlineStr">
        <is>
          <t>Sagud-Bahley</t>
        </is>
      </c>
      <c r="H968" s="43" t="n">
        <v>16.12179</v>
      </c>
      <c r="I968" s="43" t="n">
        <v>120.39697</v>
      </c>
      <c r="J968" s="44" t="inlineStr">
        <is>
          <t>U</t>
        </is>
      </c>
      <c r="K968" s="42" t="inlineStr">
        <is>
          <t>Class 1-3 / Urban</t>
        </is>
      </c>
      <c r="L968" s="23" t="n">
        <v>4354</v>
      </c>
      <c r="M968" s="24" t="n">
        <v>4.39</v>
      </c>
      <c r="N968" s="23">
        <f>ROUND(L968/M968, 0)</f>
        <v/>
      </c>
      <c r="O968" s="23">
        <f>ROUND(N968*'Methodology &amp; Assumptions'!$B$8, 0)</f>
        <v/>
      </c>
      <c r="P968" s="44" t="inlineStr">
        <is>
          <t>Band n50 (1.5 GHz, 60 MHz)</t>
        </is>
      </c>
      <c r="Q968" s="38">
        <f>ROUNDUP(O968/'Methodology &amp; Assumptions'!$B$9, 0)</f>
        <v/>
      </c>
      <c r="R968" s="39" t="n">
        <v>1</v>
      </c>
      <c r="S968" s="25" t="n">
        <v>0.7</v>
      </c>
      <c r="T968" s="25" t="n">
        <v>0.52</v>
      </c>
      <c r="U968" s="42" t="inlineStr">
        <is>
          <t>Tier 1A (Direct Coloc, &lt;1 km)</t>
        </is>
      </c>
      <c r="V968" s="24" t="n">
        <v>89.3</v>
      </c>
      <c r="W968" s="24" t="n">
        <v>100</v>
      </c>
      <c r="X968" s="24" t="n">
        <v>28</v>
      </c>
      <c r="Y968" s="45">
        <f>ROUND((V968*'Methodology &amp; Assumptions'!$B$6)+(W968*'Methodology &amp; Assumptions'!$B$5)+(X968*'Methodology &amp; Assumptions'!$B$7), 2)</f>
        <v/>
      </c>
    </row>
    <row r="969" ht="19" customHeight="1">
      <c r="A969" s="35" t="n">
        <v>965</v>
      </c>
      <c r="B969" s="35" t="n">
        <v>965</v>
      </c>
      <c r="C969" s="36" t="inlineStr">
        <is>
          <t>0301424006</t>
        </is>
      </c>
      <c r="D969" s="36" t="inlineStr">
        <is>
          <t>Region III (Central Luzon)</t>
        </is>
      </c>
      <c r="E969" s="36" t="inlineStr">
        <is>
          <t>Bulacan</t>
        </is>
      </c>
      <c r="F969" s="36" t="inlineStr">
        <is>
          <t>Doña Remedios Trinidad</t>
        </is>
      </c>
      <c r="G969" s="36" t="inlineStr">
        <is>
          <t>Pulong Sampalok</t>
        </is>
      </c>
      <c r="H969" s="37" t="n">
        <v>14.967922</v>
      </c>
      <c r="I969" s="37" t="n">
        <v>121.063619</v>
      </c>
      <c r="J969" s="8" t="inlineStr">
        <is>
          <t>U</t>
        </is>
      </c>
      <c r="K969" s="36" t="inlineStr">
        <is>
          <t>Class 1-3 / Urban</t>
        </is>
      </c>
      <c r="L969" s="18" t="n">
        <v>3574</v>
      </c>
      <c r="M969" s="20" t="n">
        <v>4.1</v>
      </c>
      <c r="N969" s="18">
        <f>ROUND(L969/M969, 0)</f>
        <v/>
      </c>
      <c r="O969" s="18">
        <f>ROUND(N969*'Methodology &amp; Assumptions'!$B$8, 0)</f>
        <v/>
      </c>
      <c r="P969" s="8" t="inlineStr">
        <is>
          <t>Band n50 (1.5 GHz, 60 MHz)</t>
        </is>
      </c>
      <c r="Q969" s="38">
        <f>ROUNDUP(O969/'Methodology &amp; Assumptions'!$B$9, 0)</f>
        <v/>
      </c>
      <c r="R969" s="39" t="n">
        <v>1</v>
      </c>
      <c r="S969" s="21" t="n">
        <v>0.14</v>
      </c>
      <c r="T969" s="21" t="n">
        <v>12.67</v>
      </c>
      <c r="U969" s="36" t="inlineStr">
        <is>
          <t>Tier 1A (Direct Coloc, &lt;1 km)</t>
        </is>
      </c>
      <c r="V969" s="20" t="n">
        <v>95.40000000000001</v>
      </c>
      <c r="W969" s="20" t="n">
        <v>93.90000000000001</v>
      </c>
      <c r="X969" s="20" t="n">
        <v>28</v>
      </c>
      <c r="Y969" s="40">
        <f>ROUND((V969*'Methodology &amp; Assumptions'!$B$6)+(W969*'Methodology &amp; Assumptions'!$B$5)+(X969*'Methodology &amp; Assumptions'!$B$7), 2)</f>
        <v/>
      </c>
    </row>
    <row r="970" ht="19" customHeight="1">
      <c r="A970" s="41" t="n">
        <v>966</v>
      </c>
      <c r="B970" s="41" t="n">
        <v>966</v>
      </c>
      <c r="C970" s="42" t="inlineStr">
        <is>
          <t>0631000024</t>
        </is>
      </c>
      <c r="D970" s="42" t="inlineStr">
        <is>
          <t>Region VI (Western Visayas)</t>
        </is>
      </c>
      <c r="E970" s="42" t="inlineStr">
        <is>
          <t>Iloilo</t>
        </is>
      </c>
      <c r="F970" s="42" t="inlineStr">
        <is>
          <t>City of Iloilo</t>
        </is>
      </c>
      <c r="G970" s="42" t="inlineStr">
        <is>
          <t>Buhang</t>
        </is>
      </c>
      <c r="H970" s="43" t="n">
        <v>10.749531</v>
      </c>
      <c r="I970" s="43" t="n">
        <v>122.566496</v>
      </c>
      <c r="J970" s="44" t="inlineStr">
        <is>
          <t>U</t>
        </is>
      </c>
      <c r="K970" s="42" t="inlineStr">
        <is>
          <t>Class 1-3 / Urban</t>
        </is>
      </c>
      <c r="L970" s="23" t="n">
        <v>3804</v>
      </c>
      <c r="M970" s="24" t="n">
        <v>4.39</v>
      </c>
      <c r="N970" s="23">
        <f>ROUND(L970/M970, 0)</f>
        <v/>
      </c>
      <c r="O970" s="23">
        <f>ROUND(N970*'Methodology &amp; Assumptions'!$B$8, 0)</f>
        <v/>
      </c>
      <c r="P970" s="44" t="inlineStr">
        <is>
          <t>Band n50 (1.5 GHz, 60 MHz)</t>
        </is>
      </c>
      <c r="Q970" s="38">
        <f>ROUNDUP(O970/'Methodology &amp; Assumptions'!$B$9, 0)</f>
        <v/>
      </c>
      <c r="R970" s="39" t="n">
        <v>1</v>
      </c>
      <c r="S970" s="25" t="n">
        <v>0.45</v>
      </c>
      <c r="T970" s="25" t="n">
        <v>0.31</v>
      </c>
      <c r="U970" s="42" t="inlineStr">
        <is>
          <t>Tier 1A (Direct Coloc, &lt;1 km)</t>
        </is>
      </c>
      <c r="V970" s="24" t="n">
        <v>95.90000000000001</v>
      </c>
      <c r="W970" s="24" t="n">
        <v>93.3</v>
      </c>
      <c r="X970" s="24" t="n">
        <v>28</v>
      </c>
      <c r="Y970" s="45">
        <f>ROUND((V970*'Methodology &amp; Assumptions'!$B$6)+(W970*'Methodology &amp; Assumptions'!$B$5)+(X970*'Methodology &amp; Assumptions'!$B$7), 2)</f>
        <v/>
      </c>
    </row>
    <row r="971" ht="19" customHeight="1">
      <c r="A971" s="35" t="n">
        <v>967</v>
      </c>
      <c r="B971" s="35" t="n">
        <v>967</v>
      </c>
      <c r="C971" s="36" t="inlineStr">
        <is>
          <t>0405804040</t>
        </is>
      </c>
      <c r="D971" s="36" t="inlineStr">
        <is>
          <t>Region IV-A (CALABARZON)</t>
        </is>
      </c>
      <c r="E971" s="36" t="inlineStr">
        <is>
          <t>Rizal</t>
        </is>
      </c>
      <c r="F971" s="36" t="inlineStr">
        <is>
          <t>Binangonan</t>
        </is>
      </c>
      <c r="G971" s="36" t="inlineStr">
        <is>
          <t>Pag-Asa</t>
        </is>
      </c>
      <c r="H971" s="37" t="n">
        <v>14.523293</v>
      </c>
      <c r="I971" s="37" t="n">
        <v>121.159517</v>
      </c>
      <c r="J971" s="8" t="inlineStr">
        <is>
          <t>U</t>
        </is>
      </c>
      <c r="K971" s="36" t="inlineStr">
        <is>
          <t>Class 1-3 / Urban</t>
        </is>
      </c>
      <c r="L971" s="18" t="n">
        <v>19476</v>
      </c>
      <c r="M971" s="20" t="n">
        <v>4.39</v>
      </c>
      <c r="N971" s="18">
        <f>ROUND(L971/M971, 0)</f>
        <v/>
      </c>
      <c r="O971" s="18">
        <f>ROUND(N971*'Methodology &amp; Assumptions'!$B$8, 0)</f>
        <v/>
      </c>
      <c r="P971" s="8" t="inlineStr">
        <is>
          <t>Band n50 (1.5 GHz, 60 MHz)</t>
        </is>
      </c>
      <c r="Q971" s="38">
        <f>ROUNDUP(O971/'Methodology &amp; Assumptions'!$B$9, 0)</f>
        <v/>
      </c>
      <c r="R971" s="39" t="n">
        <v>1</v>
      </c>
      <c r="S971" s="21" t="n">
        <v>0.7</v>
      </c>
      <c r="T971" s="21" t="n">
        <v>0.52</v>
      </c>
      <c r="U971" s="36" t="inlineStr">
        <is>
          <t>Tier 1A (Direct Coloc, &lt;1 km)</t>
        </is>
      </c>
      <c r="V971" s="20" t="n">
        <v>89.2</v>
      </c>
      <c r="W971" s="20" t="n">
        <v>100</v>
      </c>
      <c r="X971" s="20" t="n">
        <v>28</v>
      </c>
      <c r="Y971" s="40">
        <f>ROUND((V971*'Methodology &amp; Assumptions'!$B$6)+(W971*'Methodology &amp; Assumptions'!$B$5)+(X971*'Methodology &amp; Assumptions'!$B$7), 2)</f>
        <v/>
      </c>
    </row>
    <row r="972" ht="19" customHeight="1">
      <c r="A972" s="41" t="n">
        <v>968</v>
      </c>
      <c r="B972" s="41" t="n">
        <v>968</v>
      </c>
      <c r="C972" s="42" t="inlineStr">
        <is>
          <t>0105546027</t>
        </is>
      </c>
      <c r="D972" s="42" t="inlineStr">
        <is>
          <t>Region I (Ilocos Region)</t>
        </is>
      </c>
      <c r="E972" s="42" t="inlineStr">
        <is>
          <t>Pangasinan</t>
        </is>
      </c>
      <c r="F972" s="42" t="inlineStr">
        <is>
          <t>City of Urdaneta</t>
        </is>
      </c>
      <c r="G972" s="42" t="inlineStr">
        <is>
          <t>Nancayasan</t>
        </is>
      </c>
      <c r="H972" s="43" t="n">
        <v>15.954002</v>
      </c>
      <c r="I972" s="43" t="n">
        <v>120.576499</v>
      </c>
      <c r="J972" s="44" t="inlineStr">
        <is>
          <t>U</t>
        </is>
      </c>
      <c r="K972" s="42" t="inlineStr">
        <is>
          <t>Class 1-3 / Urban</t>
        </is>
      </c>
      <c r="L972" s="23" t="n">
        <v>8742</v>
      </c>
      <c r="M972" s="24" t="n">
        <v>4.39</v>
      </c>
      <c r="N972" s="23">
        <f>ROUND(L972/M972, 0)</f>
        <v/>
      </c>
      <c r="O972" s="23">
        <f>ROUND(N972*'Methodology &amp; Assumptions'!$B$8, 0)</f>
        <v/>
      </c>
      <c r="P972" s="44" t="inlineStr">
        <is>
          <t>Band n50 (1.5 GHz, 60 MHz)</t>
        </is>
      </c>
      <c r="Q972" s="38">
        <f>ROUNDUP(O972/'Methodology &amp; Assumptions'!$B$9, 0)</f>
        <v/>
      </c>
      <c r="R972" s="39" t="n">
        <v>1</v>
      </c>
      <c r="S972" s="25" t="n">
        <v>0.7</v>
      </c>
      <c r="T972" s="25" t="n">
        <v>0.02</v>
      </c>
      <c r="U972" s="42" t="inlineStr">
        <is>
          <t>Tier 1A (Direct Coloc, &lt;1 km)</t>
        </is>
      </c>
      <c r="V972" s="24" t="n">
        <v>89.2</v>
      </c>
      <c r="W972" s="24" t="n">
        <v>100</v>
      </c>
      <c r="X972" s="24" t="n">
        <v>28</v>
      </c>
      <c r="Y972" s="45">
        <f>ROUND((V972*'Methodology &amp; Assumptions'!$B$6)+(W972*'Methodology &amp; Assumptions'!$B$5)+(X972*'Methodology &amp; Assumptions'!$B$7), 2)</f>
        <v/>
      </c>
    </row>
    <row r="973" ht="19" customHeight="1">
      <c r="A973" s="35" t="n">
        <v>969</v>
      </c>
      <c r="B973" s="35" t="n">
        <v>969</v>
      </c>
      <c r="C973" s="36" t="inlineStr">
        <is>
          <t>0401021026</t>
        </is>
      </c>
      <c r="D973" s="36" t="inlineStr">
        <is>
          <t>Region IV-A (CALABARZON)</t>
        </is>
      </c>
      <c r="E973" s="36" t="inlineStr">
        <is>
          <t>Batangas</t>
        </is>
      </c>
      <c r="F973" s="36" t="inlineStr">
        <is>
          <t>Rosario</t>
        </is>
      </c>
      <c r="G973" s="36" t="inlineStr">
        <is>
          <t>Namunga</t>
        </is>
      </c>
      <c r="H973" s="37" t="n">
        <v>13.843592</v>
      </c>
      <c r="I973" s="37" t="n">
        <v>121.194957</v>
      </c>
      <c r="J973" s="8" t="inlineStr">
        <is>
          <t>U</t>
        </is>
      </c>
      <c r="K973" s="36" t="inlineStr">
        <is>
          <t>Class 1-3 / Urban</t>
        </is>
      </c>
      <c r="L973" s="18" t="n">
        <v>5693</v>
      </c>
      <c r="M973" s="20" t="n">
        <v>4.62</v>
      </c>
      <c r="N973" s="18">
        <f>ROUND(L973/M973, 0)</f>
        <v/>
      </c>
      <c r="O973" s="18">
        <f>ROUND(N973*'Methodology &amp; Assumptions'!$B$8, 0)</f>
        <v/>
      </c>
      <c r="P973" s="8" t="inlineStr">
        <is>
          <t>Band n50 (1.5 GHz, 60 MHz)</t>
        </is>
      </c>
      <c r="Q973" s="38">
        <f>ROUNDUP(O973/'Methodology &amp; Assumptions'!$B$9, 0)</f>
        <v/>
      </c>
      <c r="R973" s="39" t="n">
        <v>1</v>
      </c>
      <c r="S973" s="21" t="n">
        <v>0.7</v>
      </c>
      <c r="T973" s="21" t="n">
        <v>0.04</v>
      </c>
      <c r="U973" s="36" t="inlineStr">
        <is>
          <t>Tier 1A (Direct Coloc, &lt;1 km)</t>
        </is>
      </c>
      <c r="V973" s="20" t="n">
        <v>89.2</v>
      </c>
      <c r="W973" s="20" t="n">
        <v>100</v>
      </c>
      <c r="X973" s="20" t="n">
        <v>28</v>
      </c>
      <c r="Y973" s="40">
        <f>ROUND((V973*'Methodology &amp; Assumptions'!$B$6)+(W973*'Methodology &amp; Assumptions'!$B$5)+(X973*'Methodology &amp; Assumptions'!$B$7), 2)</f>
        <v/>
      </c>
    </row>
    <row r="974" ht="19" customHeight="1">
      <c r="A974" s="41" t="n">
        <v>970</v>
      </c>
      <c r="B974" s="41" t="n">
        <v>970</v>
      </c>
      <c r="C974" s="42" t="inlineStr">
        <is>
          <t>0402116013</t>
        </is>
      </c>
      <c r="D974" s="42" t="inlineStr">
        <is>
          <t>Region IV-A (CALABARZON)</t>
        </is>
      </c>
      <c r="E974" s="42" t="inlineStr">
        <is>
          <t>Cavite</t>
        </is>
      </c>
      <c r="F974" s="42" t="inlineStr">
        <is>
          <t>Noveleta</t>
        </is>
      </c>
      <c r="G974" s="42" t="inlineStr">
        <is>
          <t>San Juan II</t>
        </is>
      </c>
      <c r="H974" s="43" t="n">
        <v>14.438664</v>
      </c>
      <c r="I974" s="43" t="n">
        <v>120.885435</v>
      </c>
      <c r="J974" s="44" t="inlineStr">
        <is>
          <t>R</t>
        </is>
      </c>
      <c r="K974" s="42" t="inlineStr">
        <is>
          <t>Class 1-3 / Urban</t>
        </is>
      </c>
      <c r="L974" s="23" t="n">
        <v>3313</v>
      </c>
      <c r="M974" s="24" t="n">
        <v>4.49</v>
      </c>
      <c r="N974" s="23">
        <f>ROUND(L974/M974, 0)</f>
        <v/>
      </c>
      <c r="O974" s="23">
        <f>ROUND(N974*'Methodology &amp; Assumptions'!$B$8, 0)</f>
        <v/>
      </c>
      <c r="P974" s="44" t="inlineStr">
        <is>
          <t>Band n50 (1.5 GHz, 60 MHz)</t>
        </is>
      </c>
      <c r="Q974" s="38">
        <f>ROUNDUP(O974/'Methodology &amp; Assumptions'!$B$9, 0)</f>
        <v/>
      </c>
      <c r="R974" s="39" t="n">
        <v>1</v>
      </c>
      <c r="S974" s="25" t="n">
        <v>1.05</v>
      </c>
      <c r="T974" s="25" t="n">
        <v>0.8100000000000001</v>
      </c>
      <c r="U974" s="42" t="inlineStr">
        <is>
          <t>Tier 1B (Micro Drop, 1-3 km)</t>
        </is>
      </c>
      <c r="V974" s="24" t="n">
        <v>80.5</v>
      </c>
      <c r="W974" s="24" t="n">
        <v>82.90000000000001</v>
      </c>
      <c r="X974" s="24" t="n">
        <v>58</v>
      </c>
      <c r="Y974" s="45">
        <f>ROUND((V974*'Methodology &amp; Assumptions'!$B$6)+(W974*'Methodology &amp; Assumptions'!$B$5)+(X974*'Methodology &amp; Assumptions'!$B$7), 2)</f>
        <v/>
      </c>
    </row>
    <row r="975" ht="19" customHeight="1">
      <c r="A975" s="35" t="n">
        <v>971</v>
      </c>
      <c r="B975" s="35" t="n">
        <v>971</v>
      </c>
      <c r="C975" s="36" t="inlineStr">
        <is>
          <t>0201502010</t>
        </is>
      </c>
      <c r="D975" s="36" t="inlineStr">
        <is>
          <t>Region II (Cagayan Valley)</t>
        </is>
      </c>
      <c r="E975" s="36" t="inlineStr">
        <is>
          <t>Cagayan</t>
        </is>
      </c>
      <c r="F975" s="36" t="inlineStr">
        <is>
          <t>Alcala</t>
        </is>
      </c>
      <c r="G975" s="36" t="inlineStr">
        <is>
          <t>Centro Norte</t>
        </is>
      </c>
      <c r="H975" s="37" t="n">
        <v>17.905429</v>
      </c>
      <c r="I975" s="37" t="n">
        <v>121.654827</v>
      </c>
      <c r="J975" s="8" t="inlineStr">
        <is>
          <t>R</t>
        </is>
      </c>
      <c r="K975" s="36" t="inlineStr">
        <is>
          <t>Class 1-3 / Urban</t>
        </is>
      </c>
      <c r="L975" s="18" t="n">
        <v>2167</v>
      </c>
      <c r="M975" s="20" t="n">
        <v>4.38</v>
      </c>
      <c r="N975" s="18">
        <f>ROUND(L975/M975, 0)</f>
        <v/>
      </c>
      <c r="O975" s="18">
        <f>ROUND(N975*'Methodology &amp; Assumptions'!$B$8, 0)</f>
        <v/>
      </c>
      <c r="P975" s="8" t="inlineStr">
        <is>
          <t>Band n50 (1.5 GHz, 60 MHz)</t>
        </is>
      </c>
      <c r="Q975" s="38">
        <f>ROUNDUP(O975/'Methodology &amp; Assumptions'!$B$9, 0)</f>
        <v/>
      </c>
      <c r="R975" s="39" t="n">
        <v>1</v>
      </c>
      <c r="S975" s="21" t="n">
        <v>0.02</v>
      </c>
      <c r="T975" s="21" t="n">
        <v>0.32</v>
      </c>
      <c r="U975" s="36" t="inlineStr">
        <is>
          <t>Tier 1A (Direct Coloc, &lt;1 km)</t>
        </is>
      </c>
      <c r="V975" s="20" t="n">
        <v>100</v>
      </c>
      <c r="W975" s="20" t="n">
        <v>63.5</v>
      </c>
      <c r="X975" s="20" t="n">
        <v>58</v>
      </c>
      <c r="Y975" s="40">
        <f>ROUND((V975*'Methodology &amp; Assumptions'!$B$6)+(W975*'Methodology &amp; Assumptions'!$B$5)+(X975*'Methodology &amp; Assumptions'!$B$7), 2)</f>
        <v/>
      </c>
    </row>
    <row r="976" ht="19" customHeight="1">
      <c r="A976" s="41" t="n">
        <v>972</v>
      </c>
      <c r="B976" s="41" t="n">
        <v>972</v>
      </c>
      <c r="C976" s="42" t="inlineStr">
        <is>
          <t>0301405016</t>
        </is>
      </c>
      <c r="D976" s="42" t="inlineStr">
        <is>
          <t>Region III (Central Luzon)</t>
        </is>
      </c>
      <c r="E976" s="42" t="inlineStr">
        <is>
          <t>Bulacan</t>
        </is>
      </c>
      <c r="F976" s="42" t="inlineStr">
        <is>
          <t>Bulacan</t>
        </is>
      </c>
      <c r="G976" s="42" t="inlineStr">
        <is>
          <t>Tibig</t>
        </is>
      </c>
      <c r="H976" s="43" t="n">
        <v>14.798688</v>
      </c>
      <c r="I976" s="43" t="n">
        <v>120.871458</v>
      </c>
      <c r="J976" s="44" t="inlineStr">
        <is>
          <t>R</t>
        </is>
      </c>
      <c r="K976" s="42" t="inlineStr">
        <is>
          <t>Class 1-3 / Urban</t>
        </is>
      </c>
      <c r="L976" s="23" t="n">
        <v>3174</v>
      </c>
      <c r="M976" s="24" t="n">
        <v>4.1</v>
      </c>
      <c r="N976" s="23">
        <f>ROUND(L976/M976, 0)</f>
        <v/>
      </c>
      <c r="O976" s="23">
        <f>ROUND(N976*'Methodology &amp; Assumptions'!$B$8, 0)</f>
        <v/>
      </c>
      <c r="P976" s="44" t="inlineStr">
        <is>
          <t>Band n50 (1.5 GHz, 60 MHz)</t>
        </is>
      </c>
      <c r="Q976" s="38">
        <f>ROUNDUP(O976/'Methodology &amp; Assumptions'!$B$9, 0)</f>
        <v/>
      </c>
      <c r="R976" s="39" t="n">
        <v>1</v>
      </c>
      <c r="S976" s="25" t="n">
        <v>0.76</v>
      </c>
      <c r="T976" s="25" t="n">
        <v>3.3</v>
      </c>
      <c r="U976" s="42" t="inlineStr">
        <is>
          <t>Tier 1A (Direct Coloc, &lt;1 km)</t>
        </is>
      </c>
      <c r="V976" s="24" t="n">
        <v>77.59999999999999</v>
      </c>
      <c r="W976" s="24" t="n">
        <v>85.90000000000001</v>
      </c>
      <c r="X976" s="24" t="n">
        <v>58</v>
      </c>
      <c r="Y976" s="45">
        <f>ROUND((V976*'Methodology &amp; Assumptions'!$B$6)+(W976*'Methodology &amp; Assumptions'!$B$5)+(X976*'Methodology &amp; Assumptions'!$B$7), 2)</f>
        <v/>
      </c>
    </row>
    <row r="977" ht="19" customHeight="1">
      <c r="A977" s="35" t="n">
        <v>973</v>
      </c>
      <c r="B977" s="35" t="n">
        <v>973</v>
      </c>
      <c r="C977" s="36" t="inlineStr">
        <is>
          <t>1606724048</t>
        </is>
      </c>
      <c r="D977" s="36" t="inlineStr">
        <is>
          <t>Region XIII (Caraga)</t>
        </is>
      </c>
      <c r="E977" s="36" t="inlineStr">
        <is>
          <t>Surigao del Norte</t>
        </is>
      </c>
      <c r="F977" s="36" t="inlineStr">
        <is>
          <t>City of Surigao</t>
        </is>
      </c>
      <c r="G977" s="36" t="inlineStr">
        <is>
          <t>Taft</t>
        </is>
      </c>
      <c r="H977" s="37" t="n">
        <v>9.783196</v>
      </c>
      <c r="I977" s="37" t="n">
        <v>125.4989</v>
      </c>
      <c r="J977" s="8" t="inlineStr">
        <is>
          <t>U</t>
        </is>
      </c>
      <c r="K977" s="36" t="inlineStr">
        <is>
          <t>Class 1-3 / Urban</t>
        </is>
      </c>
      <c r="L977" s="18" t="n">
        <v>19242</v>
      </c>
      <c r="M977" s="20" t="n">
        <v>4.5</v>
      </c>
      <c r="N977" s="18">
        <f>ROUND(L977/M977, 0)</f>
        <v/>
      </c>
      <c r="O977" s="18">
        <f>ROUND(N977*'Methodology &amp; Assumptions'!$B$8, 0)</f>
        <v/>
      </c>
      <c r="P977" s="8" t="inlineStr">
        <is>
          <t>Band n50 (1.5 GHz, 60 MHz)</t>
        </is>
      </c>
      <c r="Q977" s="38">
        <f>ROUNDUP(O977/'Methodology &amp; Assumptions'!$B$9, 0)</f>
        <v/>
      </c>
      <c r="R977" s="39" t="n">
        <v>1</v>
      </c>
      <c r="S977" s="21" t="n">
        <v>0.7</v>
      </c>
      <c r="T977" s="21" t="n">
        <v>0.24</v>
      </c>
      <c r="U977" s="36" t="inlineStr">
        <is>
          <t>Tier 1A (Direct Coloc, &lt;1 km)</t>
        </is>
      </c>
      <c r="V977" s="20" t="n">
        <v>89.09999999999999</v>
      </c>
      <c r="W977" s="20" t="n">
        <v>100</v>
      </c>
      <c r="X977" s="20" t="n">
        <v>28</v>
      </c>
      <c r="Y977" s="40">
        <f>ROUND((V977*'Methodology &amp; Assumptions'!$B$6)+(W977*'Methodology &amp; Assumptions'!$B$5)+(X977*'Methodology &amp; Assumptions'!$B$7), 2)</f>
        <v/>
      </c>
    </row>
    <row r="978" ht="19" customHeight="1">
      <c r="A978" s="41" t="n">
        <v>974</v>
      </c>
      <c r="B978" s="41" t="n">
        <v>974</v>
      </c>
      <c r="C978" s="42" t="inlineStr">
        <is>
          <t>0831600146</t>
        </is>
      </c>
      <c r="D978" s="42" t="inlineStr">
        <is>
          <t>Region VIII (Eastern Visayas)</t>
        </is>
      </c>
      <c r="E978" s="42" t="inlineStr">
        <is>
          <t>Leyte</t>
        </is>
      </c>
      <c r="F978" s="42" t="inlineStr">
        <is>
          <t>City of Tacloban</t>
        </is>
      </c>
      <c r="G978" s="42" t="inlineStr">
        <is>
          <t>Barangay 59-A</t>
        </is>
      </c>
      <c r="H978" s="43" t="n">
        <v>11.225945</v>
      </c>
      <c r="I978" s="43" t="n">
        <v>125.000716</v>
      </c>
      <c r="J978" s="44" t="inlineStr">
        <is>
          <t>R</t>
        </is>
      </c>
      <c r="K978" s="42" t="inlineStr">
        <is>
          <t>Class 1-3 / Urban</t>
        </is>
      </c>
      <c r="L978" s="23" t="n">
        <v>3670</v>
      </c>
      <c r="M978" s="24" t="n">
        <v>4.24</v>
      </c>
      <c r="N978" s="23">
        <f>ROUND(L978/M978, 0)</f>
        <v/>
      </c>
      <c r="O978" s="23">
        <f>ROUND(N978*'Methodology &amp; Assumptions'!$B$8, 0)</f>
        <v/>
      </c>
      <c r="P978" s="44" t="inlineStr">
        <is>
          <t>Band n50 (1.5 GHz, 60 MHz)</t>
        </is>
      </c>
      <c r="Q978" s="38">
        <f>ROUNDUP(O978/'Methodology &amp; Assumptions'!$B$9, 0)</f>
        <v/>
      </c>
      <c r="R978" s="39" t="n">
        <v>1</v>
      </c>
      <c r="S978" s="25" t="n">
        <v>1.53</v>
      </c>
      <c r="T978" s="25" t="n">
        <v>1.77</v>
      </c>
      <c r="U978" s="42" t="inlineStr">
        <is>
          <t>Tier 1B (Micro Drop, 1-3 km)</t>
        </is>
      </c>
      <c r="V978" s="24" t="n">
        <v>70</v>
      </c>
      <c r="W978" s="24" t="n">
        <v>93.3</v>
      </c>
      <c r="X978" s="24" t="n">
        <v>58</v>
      </c>
      <c r="Y978" s="45">
        <f>ROUND((V978*'Methodology &amp; Assumptions'!$B$6)+(W978*'Methodology &amp; Assumptions'!$B$5)+(X978*'Methodology &amp; Assumptions'!$B$7), 2)</f>
        <v/>
      </c>
    </row>
    <row r="979" ht="19" customHeight="1">
      <c r="A979" s="35" t="n">
        <v>975</v>
      </c>
      <c r="B979" s="35" t="n">
        <v>975</v>
      </c>
      <c r="C979" s="36" t="inlineStr">
        <is>
          <t>0330100025</t>
        </is>
      </c>
      <c r="D979" s="36" t="inlineStr">
        <is>
          <t>Region III (Central Luzon)</t>
        </is>
      </c>
      <c r="E979" s="36" t="inlineStr">
        <is>
          <t>Pampanga</t>
        </is>
      </c>
      <c r="F979" s="36" t="inlineStr">
        <is>
          <t>City of Angeles</t>
        </is>
      </c>
      <c r="G979" s="36" t="inlineStr">
        <is>
          <t>Sta. Teresita</t>
        </is>
      </c>
      <c r="H979" s="37" t="n">
        <v>15.150254</v>
      </c>
      <c r="I979" s="37" t="n">
        <v>120.585621</v>
      </c>
      <c r="J979" s="8" t="inlineStr">
        <is>
          <t>U</t>
        </is>
      </c>
      <c r="K979" s="36" t="inlineStr">
        <is>
          <t>Class 1-3 / Urban</t>
        </is>
      </c>
      <c r="L979" s="18" t="n">
        <v>9164</v>
      </c>
      <c r="M979" s="20" t="n">
        <v>4.63</v>
      </c>
      <c r="N979" s="18">
        <f>ROUND(L979/M979, 0)</f>
        <v/>
      </c>
      <c r="O979" s="18">
        <f>ROUND(N979*'Methodology &amp; Assumptions'!$B$8, 0)</f>
        <v/>
      </c>
      <c r="P979" s="8" t="inlineStr">
        <is>
          <t>Band n50 (1.5 GHz, 60 MHz)</t>
        </is>
      </c>
      <c r="Q979" s="38">
        <f>ROUNDUP(O979/'Methodology &amp; Assumptions'!$B$9, 0)</f>
        <v/>
      </c>
      <c r="R979" s="39" t="n">
        <v>1</v>
      </c>
      <c r="S979" s="21" t="n">
        <v>0.7</v>
      </c>
      <c r="T979" s="21" t="n">
        <v>0.14</v>
      </c>
      <c r="U979" s="36" t="inlineStr">
        <is>
          <t>Tier 1A (Direct Coloc, &lt;1 km)</t>
        </is>
      </c>
      <c r="V979" s="20" t="n">
        <v>89.09999999999999</v>
      </c>
      <c r="W979" s="20" t="n">
        <v>100</v>
      </c>
      <c r="X979" s="20" t="n">
        <v>28</v>
      </c>
      <c r="Y979" s="40">
        <f>ROUND((V979*'Methodology &amp; Assumptions'!$B$6)+(W979*'Methodology &amp; Assumptions'!$B$5)+(X979*'Methodology &amp; Assumptions'!$B$7), 2)</f>
        <v/>
      </c>
    </row>
    <row r="980" ht="19" customHeight="1">
      <c r="A980" s="41" t="n">
        <v>976</v>
      </c>
      <c r="B980" s="41" t="n">
        <v>976</v>
      </c>
      <c r="C980" s="42" t="inlineStr">
        <is>
          <t>1004302016</t>
        </is>
      </c>
      <c r="D980" s="42" t="inlineStr">
        <is>
          <t>Region X (Northern Mindanao)</t>
        </is>
      </c>
      <c r="E980" s="42" t="inlineStr">
        <is>
          <t>Misamis Oriental</t>
        </is>
      </c>
      <c r="F980" s="42" t="inlineStr">
        <is>
          <t>Balingasag</t>
        </is>
      </c>
      <c r="G980" s="42" t="inlineStr">
        <is>
          <t>Linggangao</t>
        </is>
      </c>
      <c r="H980" s="43" t="n">
        <v>8.74733</v>
      </c>
      <c r="I980" s="43" t="n">
        <v>124.784216</v>
      </c>
      <c r="J980" s="44" t="inlineStr">
        <is>
          <t>U</t>
        </is>
      </c>
      <c r="K980" s="42" t="inlineStr">
        <is>
          <t>Class 1-3 / Urban</t>
        </is>
      </c>
      <c r="L980" s="23" t="n">
        <v>3952</v>
      </c>
      <c r="M980" s="24" t="n">
        <v>4.54</v>
      </c>
      <c r="N980" s="23">
        <f>ROUND(L980/M980, 0)</f>
        <v/>
      </c>
      <c r="O980" s="23">
        <f>ROUND(N980*'Methodology &amp; Assumptions'!$B$8, 0)</f>
        <v/>
      </c>
      <c r="P980" s="44" t="inlineStr">
        <is>
          <t>Band n50 (1.5 GHz, 60 MHz)</t>
        </is>
      </c>
      <c r="Q980" s="38">
        <f>ROUNDUP(O980/'Methodology &amp; Assumptions'!$B$9, 0)</f>
        <v/>
      </c>
      <c r="R980" s="39" t="n">
        <v>1</v>
      </c>
      <c r="S980" s="25" t="n">
        <v>0.47</v>
      </c>
      <c r="T980" s="25" t="n">
        <v>0.31</v>
      </c>
      <c r="U980" s="42" t="inlineStr">
        <is>
          <t>Tier 1A (Direct Coloc, &lt;1 km)</t>
        </is>
      </c>
      <c r="V980" s="24" t="n">
        <v>95.5</v>
      </c>
      <c r="W980" s="24" t="n">
        <v>93.59999999999999</v>
      </c>
      <c r="X980" s="24" t="n">
        <v>28</v>
      </c>
      <c r="Y980" s="45">
        <f>ROUND((V980*'Methodology &amp; Assumptions'!$B$6)+(W980*'Methodology &amp; Assumptions'!$B$5)+(X980*'Methodology &amp; Assumptions'!$B$7), 2)</f>
        <v/>
      </c>
    </row>
    <row r="981" ht="19" customHeight="1">
      <c r="A981" s="35" t="n">
        <v>977</v>
      </c>
      <c r="B981" s="35" t="n">
        <v>977</v>
      </c>
      <c r="C981" s="36" t="inlineStr">
        <is>
          <t>0304923005</t>
        </is>
      </c>
      <c r="D981" s="36" t="inlineStr">
        <is>
          <t>Region III (Central Luzon)</t>
        </is>
      </c>
      <c r="E981" s="36" t="inlineStr">
        <is>
          <t>Nueva Ecija</t>
        </is>
      </c>
      <c r="F981" s="36" t="inlineStr">
        <is>
          <t>Rizal</t>
        </is>
      </c>
      <c r="G981" s="36" t="inlineStr">
        <is>
          <t>Bicos</t>
        </is>
      </c>
      <c r="H981" s="37" t="n">
        <v>15.585783</v>
      </c>
      <c r="I981" s="37" t="n">
        <v>120.924577</v>
      </c>
      <c r="J981" s="8" t="inlineStr">
        <is>
          <t>U</t>
        </is>
      </c>
      <c r="K981" s="36" t="inlineStr">
        <is>
          <t>Class 1-3 / Urban</t>
        </is>
      </c>
      <c r="L981" s="18" t="n">
        <v>5869</v>
      </c>
      <c r="M981" s="20" t="n">
        <v>4.32</v>
      </c>
      <c r="N981" s="18">
        <f>ROUND(L981/M981, 0)</f>
        <v/>
      </c>
      <c r="O981" s="18">
        <f>ROUND(N981*'Methodology &amp; Assumptions'!$B$8, 0)</f>
        <v/>
      </c>
      <c r="P981" s="8" t="inlineStr">
        <is>
          <t>Band n50 (1.5 GHz, 60 MHz)</t>
        </is>
      </c>
      <c r="Q981" s="38">
        <f>ROUNDUP(O981/'Methodology &amp; Assumptions'!$B$9, 0)</f>
        <v/>
      </c>
      <c r="R981" s="39" t="n">
        <v>1</v>
      </c>
      <c r="S981" s="21" t="n">
        <v>0.71</v>
      </c>
      <c r="T981" s="21" t="n">
        <v>0.52</v>
      </c>
      <c r="U981" s="36" t="inlineStr">
        <is>
          <t>Tier 1A (Direct Coloc, &lt;1 km)</t>
        </is>
      </c>
      <c r="V981" s="20" t="n">
        <v>89</v>
      </c>
      <c r="W981" s="20" t="n">
        <v>100</v>
      </c>
      <c r="X981" s="20" t="n">
        <v>28</v>
      </c>
      <c r="Y981" s="40">
        <f>ROUND((V981*'Methodology &amp; Assumptions'!$B$6)+(W981*'Methodology &amp; Assumptions'!$B$5)+(X981*'Methodology &amp; Assumptions'!$B$7), 2)</f>
        <v/>
      </c>
    </row>
    <row r="982" ht="19" customHeight="1">
      <c r="A982" s="41" t="n">
        <v>978</v>
      </c>
      <c r="B982" s="41" t="n">
        <v>978</v>
      </c>
      <c r="C982" s="42" t="inlineStr">
        <is>
          <t>0304923013</t>
        </is>
      </c>
      <c r="D982" s="42" t="inlineStr">
        <is>
          <t>Region III (Central Luzon)</t>
        </is>
      </c>
      <c r="E982" s="42" t="inlineStr">
        <is>
          <t>Nueva Ecija</t>
        </is>
      </c>
      <c r="F982" s="42" t="inlineStr">
        <is>
          <t>Rizal</t>
        </is>
      </c>
      <c r="G982" s="42" t="inlineStr">
        <is>
          <t>Estrella</t>
        </is>
      </c>
      <c r="H982" s="43" t="n">
        <v>15.585783</v>
      </c>
      <c r="I982" s="43" t="n">
        <v>120.924577</v>
      </c>
      <c r="J982" s="44" t="inlineStr">
        <is>
          <t>U</t>
        </is>
      </c>
      <c r="K982" s="42" t="inlineStr">
        <is>
          <t>Class 1-3 / Urban</t>
        </is>
      </c>
      <c r="L982" s="23" t="n">
        <v>5512</v>
      </c>
      <c r="M982" s="24" t="n">
        <v>4.32</v>
      </c>
      <c r="N982" s="23">
        <f>ROUND(L982/M982, 0)</f>
        <v/>
      </c>
      <c r="O982" s="23">
        <f>ROUND(N982*'Methodology &amp; Assumptions'!$B$8, 0)</f>
        <v/>
      </c>
      <c r="P982" s="44" t="inlineStr">
        <is>
          <t>Band n50 (1.5 GHz, 60 MHz)</t>
        </is>
      </c>
      <c r="Q982" s="38">
        <f>ROUNDUP(O982/'Methodology &amp; Assumptions'!$B$9, 0)</f>
        <v/>
      </c>
      <c r="R982" s="39" t="n">
        <v>1</v>
      </c>
      <c r="S982" s="25" t="n">
        <v>0.71</v>
      </c>
      <c r="T982" s="25" t="n">
        <v>0.52</v>
      </c>
      <c r="U982" s="42" t="inlineStr">
        <is>
          <t>Tier 1A (Direct Coloc, &lt;1 km)</t>
        </is>
      </c>
      <c r="V982" s="24" t="n">
        <v>89</v>
      </c>
      <c r="W982" s="24" t="n">
        <v>100</v>
      </c>
      <c r="X982" s="24" t="n">
        <v>28</v>
      </c>
      <c r="Y982" s="45">
        <f>ROUND((V982*'Methodology &amp; Assumptions'!$B$6)+(W982*'Methodology &amp; Assumptions'!$B$5)+(X982*'Methodology &amp; Assumptions'!$B$7), 2)</f>
        <v/>
      </c>
    </row>
    <row r="983" ht="19" customHeight="1">
      <c r="A983" s="35" t="n">
        <v>979</v>
      </c>
      <c r="B983" s="35" t="n">
        <v>979</v>
      </c>
      <c r="C983" s="36" t="inlineStr">
        <is>
          <t>0304923006</t>
        </is>
      </c>
      <c r="D983" s="36" t="inlineStr">
        <is>
          <t>Region III (Central Luzon)</t>
        </is>
      </c>
      <c r="E983" s="36" t="inlineStr">
        <is>
          <t>Nueva Ecija</t>
        </is>
      </c>
      <c r="F983" s="36" t="inlineStr">
        <is>
          <t>Rizal</t>
        </is>
      </c>
      <c r="G983" s="36" t="inlineStr">
        <is>
          <t>Cabucbucan</t>
        </is>
      </c>
      <c r="H983" s="37" t="n">
        <v>15.585783</v>
      </c>
      <c r="I983" s="37" t="n">
        <v>120.924577</v>
      </c>
      <c r="J983" s="8" t="inlineStr">
        <is>
          <t>U</t>
        </is>
      </c>
      <c r="K983" s="36" t="inlineStr">
        <is>
          <t>Class 1-3 / Urban</t>
        </is>
      </c>
      <c r="L983" s="18" t="n">
        <v>5250</v>
      </c>
      <c r="M983" s="20" t="n">
        <v>4.32</v>
      </c>
      <c r="N983" s="18">
        <f>ROUND(L983/M983, 0)</f>
        <v/>
      </c>
      <c r="O983" s="18">
        <f>ROUND(N983*'Methodology &amp; Assumptions'!$B$8, 0)</f>
        <v/>
      </c>
      <c r="P983" s="8" t="inlineStr">
        <is>
          <t>Band n50 (1.5 GHz, 60 MHz)</t>
        </is>
      </c>
      <c r="Q983" s="38">
        <f>ROUNDUP(O983/'Methodology &amp; Assumptions'!$B$9, 0)</f>
        <v/>
      </c>
      <c r="R983" s="39" t="n">
        <v>1</v>
      </c>
      <c r="S983" s="21" t="n">
        <v>0.71</v>
      </c>
      <c r="T983" s="21" t="n">
        <v>0.52</v>
      </c>
      <c r="U983" s="36" t="inlineStr">
        <is>
          <t>Tier 1A (Direct Coloc, &lt;1 km)</t>
        </is>
      </c>
      <c r="V983" s="20" t="n">
        <v>89</v>
      </c>
      <c r="W983" s="20" t="n">
        <v>100</v>
      </c>
      <c r="X983" s="20" t="n">
        <v>28</v>
      </c>
      <c r="Y983" s="40">
        <f>ROUND((V983*'Methodology &amp; Assumptions'!$B$6)+(W983*'Methodology &amp; Assumptions'!$B$5)+(X983*'Methodology &amp; Assumptions'!$B$7), 2)</f>
        <v/>
      </c>
    </row>
    <row r="984" ht="19" customHeight="1">
      <c r="A984" s="41" t="n">
        <v>980</v>
      </c>
      <c r="B984" s="41" t="n">
        <v>980</v>
      </c>
      <c r="C984" s="42" t="inlineStr">
        <is>
          <t>0631000114</t>
        </is>
      </c>
      <c r="D984" s="42" t="inlineStr">
        <is>
          <t>Region VI (Western Visayas)</t>
        </is>
      </c>
      <c r="E984" s="42" t="inlineStr">
        <is>
          <t>Iloilo</t>
        </is>
      </c>
      <c r="F984" s="42" t="inlineStr">
        <is>
          <t>City of Iloilo</t>
        </is>
      </c>
      <c r="G984" s="42" t="inlineStr">
        <is>
          <t>Nabitasan</t>
        </is>
      </c>
      <c r="H984" s="43" t="n">
        <v>10.705277</v>
      </c>
      <c r="I984" s="43" t="n">
        <v>122.563024</v>
      </c>
      <c r="J984" s="44" t="inlineStr">
        <is>
          <t>R</t>
        </is>
      </c>
      <c r="K984" s="42" t="inlineStr">
        <is>
          <t>Class 1-3 / Urban</t>
        </is>
      </c>
      <c r="L984" s="23" t="n">
        <v>3281</v>
      </c>
      <c r="M984" s="24" t="n">
        <v>4.39</v>
      </c>
      <c r="N984" s="23">
        <f>ROUND(L984/M984, 0)</f>
        <v/>
      </c>
      <c r="O984" s="23">
        <f>ROUND(N984*'Methodology &amp; Assumptions'!$B$8, 0)</f>
        <v/>
      </c>
      <c r="P984" s="44" t="inlineStr">
        <is>
          <t>Band n50 (1.5 GHz, 60 MHz)</t>
        </is>
      </c>
      <c r="Q984" s="38">
        <f>ROUNDUP(O984/'Methodology &amp; Assumptions'!$B$9, 0)</f>
        <v/>
      </c>
      <c r="R984" s="39" t="n">
        <v>1</v>
      </c>
      <c r="S984" s="25" t="n">
        <v>1.09</v>
      </c>
      <c r="T984" s="25" t="n">
        <v>0.51</v>
      </c>
      <c r="U984" s="42" t="inlineStr">
        <is>
          <t>Tier 1B (Micro Drop, 1-3 km)</t>
        </is>
      </c>
      <c r="V984" s="24" t="n">
        <v>79.5</v>
      </c>
      <c r="W984" s="24" t="n">
        <v>83.7</v>
      </c>
      <c r="X984" s="24" t="n">
        <v>58</v>
      </c>
      <c r="Y984" s="45">
        <f>ROUND((V984*'Methodology &amp; Assumptions'!$B$6)+(W984*'Methodology &amp; Assumptions'!$B$5)+(X984*'Methodology &amp; Assumptions'!$B$7), 2)</f>
        <v/>
      </c>
    </row>
    <row r="985" ht="19" customHeight="1">
      <c r="A985" s="35" t="n">
        <v>981</v>
      </c>
      <c r="B985" s="35" t="n">
        <v>981</v>
      </c>
      <c r="C985" s="36" t="inlineStr">
        <is>
          <t>1401111011</t>
        </is>
      </c>
      <c r="D985" s="36" t="inlineStr">
        <is>
          <t>Cordillera Administrative Region (CAR)</t>
        </is>
      </c>
      <c r="E985" s="36" t="inlineStr">
        <is>
          <t>Benguet</t>
        </is>
      </c>
      <c r="F985" s="36" t="inlineStr">
        <is>
          <t>Mankayan</t>
        </is>
      </c>
      <c r="G985" s="36" t="inlineStr">
        <is>
          <t>Sapid</t>
        </is>
      </c>
      <c r="H985" s="37" t="n">
        <v>16.84585</v>
      </c>
      <c r="I985" s="37" t="n">
        <v>120.78892</v>
      </c>
      <c r="J985" s="8" t="inlineStr">
        <is>
          <t>R</t>
        </is>
      </c>
      <c r="K985" s="36" t="inlineStr">
        <is>
          <t>Class 1-3 / Urban</t>
        </is>
      </c>
      <c r="L985" s="18" t="n">
        <v>2878</v>
      </c>
      <c r="M985" s="20" t="n">
        <v>4.58</v>
      </c>
      <c r="N985" s="18">
        <f>ROUND(L985/M985, 0)</f>
        <v/>
      </c>
      <c r="O985" s="18">
        <f>ROUND(N985*'Methodology &amp; Assumptions'!$B$8, 0)</f>
        <v/>
      </c>
      <c r="P985" s="8" t="inlineStr">
        <is>
          <t>Band n50 (1.5 GHz, 60 MHz)</t>
        </is>
      </c>
      <c r="Q985" s="38">
        <f>ROUNDUP(O985/'Methodology &amp; Assumptions'!$B$9, 0)</f>
        <v/>
      </c>
      <c r="R985" s="39" t="n">
        <v>1</v>
      </c>
      <c r="S985" s="21" t="n">
        <v>1.06</v>
      </c>
      <c r="T985" s="21" t="n">
        <v>0.97</v>
      </c>
      <c r="U985" s="36" t="inlineStr">
        <is>
          <t>Tier 1B (Micro Drop, 1-3 km)</t>
        </is>
      </c>
      <c r="V985" s="20" t="n">
        <v>80.3</v>
      </c>
      <c r="W985" s="20" t="n">
        <v>70.09999999999999</v>
      </c>
      <c r="X985" s="20" t="n">
        <v>73</v>
      </c>
      <c r="Y985" s="40">
        <f>ROUND((V985*'Methodology &amp; Assumptions'!$B$6)+(W985*'Methodology &amp; Assumptions'!$B$5)+(X985*'Methodology &amp; Assumptions'!$B$7), 2)</f>
        <v/>
      </c>
    </row>
    <row r="986" ht="19" customHeight="1">
      <c r="A986" s="41" t="n">
        <v>982</v>
      </c>
      <c r="B986" s="41" t="n">
        <v>982</v>
      </c>
      <c r="C986" s="42" t="inlineStr">
        <is>
          <t>1705209034</t>
        </is>
      </c>
      <c r="D986" s="42" t="inlineStr">
        <is>
          <t>MIMAROPA Region</t>
        </is>
      </c>
      <c r="E986" s="42" t="inlineStr">
        <is>
          <t>Oriental Mindoro</t>
        </is>
      </c>
      <c r="F986" s="42" t="inlineStr">
        <is>
          <t>Pinamalayan</t>
        </is>
      </c>
      <c r="G986" s="42" t="inlineStr">
        <is>
          <t>Wawa</t>
        </is>
      </c>
      <c r="H986" s="43" t="n">
        <v>13.0347</v>
      </c>
      <c r="I986" s="43" t="n">
        <v>121.49287</v>
      </c>
      <c r="J986" s="44" t="inlineStr">
        <is>
          <t>R</t>
        </is>
      </c>
      <c r="K986" s="42" t="inlineStr">
        <is>
          <t>Class 1-3 / Urban</t>
        </is>
      </c>
      <c r="L986" s="23" t="n">
        <v>4764</v>
      </c>
      <c r="M986" s="24" t="n">
        <v>4.41</v>
      </c>
      <c r="N986" s="23">
        <f>ROUND(L986/M986, 0)</f>
        <v/>
      </c>
      <c r="O986" s="23">
        <f>ROUND(N986*'Methodology &amp; Assumptions'!$B$8, 0)</f>
        <v/>
      </c>
      <c r="P986" s="44" t="inlineStr">
        <is>
          <t>Band n50 (1.5 GHz, 60 MHz)</t>
        </is>
      </c>
      <c r="Q986" s="38">
        <f>ROUNDUP(O986/'Methodology &amp; Assumptions'!$B$9, 0)</f>
        <v/>
      </c>
      <c r="R986" s="39" t="n">
        <v>1</v>
      </c>
      <c r="S986" s="25" t="n">
        <v>1.89</v>
      </c>
      <c r="T986" s="25" t="n">
        <v>1.4</v>
      </c>
      <c r="U986" s="42" t="inlineStr">
        <is>
          <t>Tier 1B (Micro Drop, 1-3 km)</t>
        </is>
      </c>
      <c r="V986" s="24" t="n">
        <v>63.3</v>
      </c>
      <c r="W986" s="24" t="n">
        <v>100</v>
      </c>
      <c r="X986" s="24" t="n">
        <v>58</v>
      </c>
      <c r="Y986" s="45">
        <f>ROUND((V986*'Methodology &amp; Assumptions'!$B$6)+(W986*'Methodology &amp; Assumptions'!$B$5)+(X986*'Methodology &amp; Assumptions'!$B$7), 2)</f>
        <v/>
      </c>
    </row>
    <row r="987" ht="19" customHeight="1">
      <c r="A987" s="35" t="n">
        <v>983</v>
      </c>
      <c r="B987" s="35" t="n">
        <v>983</v>
      </c>
      <c r="C987" s="36" t="inlineStr">
        <is>
          <t>0403418001</t>
        </is>
      </c>
      <c r="D987" s="36" t="inlineStr">
        <is>
          <t>Region IV-A (CALABARZON)</t>
        </is>
      </c>
      <c r="E987" s="36" t="inlineStr">
        <is>
          <t>Laguna</t>
        </is>
      </c>
      <c r="F987" s="36" t="inlineStr">
        <is>
          <t>Paete</t>
        </is>
      </c>
      <c r="G987" s="36" t="inlineStr">
        <is>
          <t>Bagumbayan</t>
        </is>
      </c>
      <c r="H987" s="37" t="n">
        <v>14.370169</v>
      </c>
      <c r="I987" s="37" t="n">
        <v>121.480984</v>
      </c>
      <c r="J987" s="8" t="inlineStr">
        <is>
          <t>U</t>
        </is>
      </c>
      <c r="K987" s="36" t="inlineStr">
        <is>
          <t>4th</t>
        </is>
      </c>
      <c r="L987" s="18" t="n">
        <v>5503</v>
      </c>
      <c r="M987" s="20" t="n">
        <v>4.48</v>
      </c>
      <c r="N987" s="18">
        <f>ROUND(L987/M987, 0)</f>
        <v/>
      </c>
      <c r="O987" s="18">
        <f>ROUND(N987*'Methodology &amp; Assumptions'!$B$8, 0)</f>
        <v/>
      </c>
      <c r="P987" s="8" t="inlineStr">
        <is>
          <t>Band n50 (1.5 GHz, 60 MHz)</t>
        </is>
      </c>
      <c r="Q987" s="38">
        <f>ROUNDUP(O987/'Methodology &amp; Assumptions'!$B$9, 0)</f>
        <v/>
      </c>
      <c r="R987" s="39" t="n">
        <v>1</v>
      </c>
      <c r="S987" s="21" t="n">
        <v>1.07</v>
      </c>
      <c r="T987" s="21" t="n">
        <v>0.23</v>
      </c>
      <c r="U987" s="36" t="inlineStr">
        <is>
          <t>Tier 1B (Micro Drop, 1-3 km)</t>
        </is>
      </c>
      <c r="V987" s="20" t="n">
        <v>80</v>
      </c>
      <c r="W987" s="20" t="n">
        <v>100</v>
      </c>
      <c r="X987" s="20" t="n">
        <v>38.5</v>
      </c>
      <c r="Y987" s="40">
        <f>ROUND((V987*'Methodology &amp; Assumptions'!$B$6)+(W987*'Methodology &amp; Assumptions'!$B$5)+(X987*'Methodology &amp; Assumptions'!$B$7), 2)</f>
        <v/>
      </c>
    </row>
    <row r="988" ht="19" customHeight="1">
      <c r="A988" s="41" t="n">
        <v>984</v>
      </c>
      <c r="B988" s="41" t="n">
        <v>984</v>
      </c>
      <c r="C988" s="42" t="inlineStr">
        <is>
          <t>0731300023</t>
        </is>
      </c>
      <c r="D988" s="42" t="inlineStr">
        <is>
          <t>Region VII (Central Visayas)</t>
        </is>
      </c>
      <c r="E988" s="42" t="inlineStr">
        <is>
          <t>Cebu</t>
        </is>
      </c>
      <c r="F988" s="42" t="inlineStr">
        <is>
          <t>City of Mandaue</t>
        </is>
      </c>
      <c r="G988" s="42" t="inlineStr">
        <is>
          <t>Tabok</t>
        </is>
      </c>
      <c r="H988" s="43" t="n">
        <v>10.34708</v>
      </c>
      <c r="I988" s="43" t="n">
        <v>123.946634</v>
      </c>
      <c r="J988" s="44" t="inlineStr">
        <is>
          <t>U</t>
        </is>
      </c>
      <c r="K988" s="42" t="inlineStr">
        <is>
          <t>Class 1-3 / Urban</t>
        </is>
      </c>
      <c r="L988" s="23" t="n">
        <v>19486</v>
      </c>
      <c r="M988" s="24" t="n">
        <v>4.42</v>
      </c>
      <c r="N988" s="23">
        <f>ROUND(L988/M988, 0)</f>
        <v/>
      </c>
      <c r="O988" s="23">
        <f>ROUND(N988*'Methodology &amp; Assumptions'!$B$8, 0)</f>
        <v/>
      </c>
      <c r="P988" s="44" t="inlineStr">
        <is>
          <t>Band n50 (1.5 GHz, 60 MHz)</t>
        </is>
      </c>
      <c r="Q988" s="38">
        <f>ROUNDUP(O988/'Methodology &amp; Assumptions'!$B$9, 0)</f>
        <v/>
      </c>
      <c r="R988" s="39" t="n">
        <v>1</v>
      </c>
      <c r="S988" s="25" t="n">
        <v>0.71</v>
      </c>
      <c r="T988" s="25" t="n">
        <v>0.24</v>
      </c>
      <c r="U988" s="42" t="inlineStr">
        <is>
          <t>Tier 1A (Direct Coloc, &lt;1 km)</t>
        </is>
      </c>
      <c r="V988" s="24" t="n">
        <v>89</v>
      </c>
      <c r="W988" s="24" t="n">
        <v>100</v>
      </c>
      <c r="X988" s="24" t="n">
        <v>28</v>
      </c>
      <c r="Y988" s="45">
        <f>ROUND((V988*'Methodology &amp; Assumptions'!$B$6)+(W988*'Methodology &amp; Assumptions'!$B$5)+(X988*'Methodology &amp; Assumptions'!$B$7), 2)</f>
        <v/>
      </c>
    </row>
    <row r="989" ht="19" customHeight="1">
      <c r="A989" s="35" t="n">
        <v>985</v>
      </c>
      <c r="B989" s="35" t="n">
        <v>985</v>
      </c>
      <c r="C989" s="36" t="inlineStr">
        <is>
          <t>0201524004</t>
        </is>
      </c>
      <c r="D989" s="36" t="inlineStr">
        <is>
          <t>Region II (Cagayan Valley)</t>
        </is>
      </c>
      <c r="E989" s="36" t="inlineStr">
        <is>
          <t>Cagayan</t>
        </is>
      </c>
      <c r="F989" s="36" t="inlineStr">
        <is>
          <t>Santa Praxedes</t>
        </is>
      </c>
      <c r="G989" s="36" t="inlineStr">
        <is>
          <t>Centro II</t>
        </is>
      </c>
      <c r="H989" s="37" t="n">
        <v>18.564914</v>
      </c>
      <c r="I989" s="37" t="n">
        <v>120.990018</v>
      </c>
      <c r="J989" s="8" t="inlineStr">
        <is>
          <t>R</t>
        </is>
      </c>
      <c r="K989" s="36" t="inlineStr">
        <is>
          <t>5th</t>
        </is>
      </c>
      <c r="L989" s="18" t="n">
        <v>913</v>
      </c>
      <c r="M989" s="20" t="n">
        <v>4.23</v>
      </c>
      <c r="N989" s="18">
        <f>ROUND(L989/M989, 0)</f>
        <v/>
      </c>
      <c r="O989" s="18">
        <f>ROUND(N989*'Methodology &amp; Assumptions'!$B$8, 0)</f>
        <v/>
      </c>
      <c r="P989" s="8" t="inlineStr">
        <is>
          <t>Band n50 (1.5 GHz, 60 MHz)</t>
        </is>
      </c>
      <c r="Q989" s="38">
        <f>ROUNDUP(O989/'Methodology &amp; Assumptions'!$B$9, 0)</f>
        <v/>
      </c>
      <c r="R989" s="39" t="n">
        <v>1</v>
      </c>
      <c r="S989" s="21" t="n">
        <v>0.45</v>
      </c>
      <c r="T989" s="21" t="n">
        <v>0.03</v>
      </c>
      <c r="U989" s="36" t="inlineStr">
        <is>
          <t>Tier 1A (Direct Coloc, &lt;1 km)</t>
        </is>
      </c>
      <c r="V989" s="20" t="n">
        <v>96.2</v>
      </c>
      <c r="W989" s="20" t="n">
        <v>41.3</v>
      </c>
      <c r="X989" s="20" t="n">
        <v>88</v>
      </c>
      <c r="Y989" s="40">
        <f>ROUND((V989*'Methodology &amp; Assumptions'!$B$6)+(W989*'Methodology &amp; Assumptions'!$B$5)+(X989*'Methodology &amp; Assumptions'!$B$7), 2)</f>
        <v/>
      </c>
    </row>
    <row r="990" ht="19" customHeight="1">
      <c r="A990" s="41" t="n">
        <v>986</v>
      </c>
      <c r="B990" s="41" t="n">
        <v>986</v>
      </c>
      <c r="C990" s="42" t="inlineStr">
        <is>
          <t>0405801001</t>
        </is>
      </c>
      <c r="D990" s="42" t="inlineStr">
        <is>
          <t>Region IV-A (CALABARZON)</t>
        </is>
      </c>
      <c r="E990" s="42" t="inlineStr">
        <is>
          <t>Rizal</t>
        </is>
      </c>
      <c r="F990" s="42" t="inlineStr">
        <is>
          <t>Angono</t>
        </is>
      </c>
      <c r="G990" s="42" t="inlineStr">
        <is>
          <t>Bagumbayan</t>
        </is>
      </c>
      <c r="H990" s="43" t="n">
        <v>14.52265</v>
      </c>
      <c r="I990" s="43" t="n">
        <v>121.1502</v>
      </c>
      <c r="J990" s="44" t="inlineStr">
        <is>
          <t>R</t>
        </is>
      </c>
      <c r="K990" s="42" t="inlineStr">
        <is>
          <t>Class 1-3 / Urban</t>
        </is>
      </c>
      <c r="L990" s="23" t="n">
        <v>2779</v>
      </c>
      <c r="M990" s="24" t="n">
        <v>4.39</v>
      </c>
      <c r="N990" s="23">
        <f>ROUND(L990/M990, 0)</f>
        <v/>
      </c>
      <c r="O990" s="23">
        <f>ROUND(N990*'Methodology &amp; Assumptions'!$B$8, 0)</f>
        <v/>
      </c>
      <c r="P990" s="44" t="inlineStr">
        <is>
          <t>Band n50 (1.5 GHz, 60 MHz)</t>
        </is>
      </c>
      <c r="Q990" s="38">
        <f>ROUNDUP(O990/'Methodology &amp; Assumptions'!$B$9, 0)</f>
        <v/>
      </c>
      <c r="R990" s="39" t="n">
        <v>1</v>
      </c>
      <c r="S990" s="25" t="n">
        <v>0.72</v>
      </c>
      <c r="T990" s="25" t="n">
        <v>0.33</v>
      </c>
      <c r="U990" s="42" t="inlineStr">
        <is>
          <t>Tier 1A (Direct Coloc, &lt;1 km)</t>
        </is>
      </c>
      <c r="V990" s="24" t="n">
        <v>88.59999999999999</v>
      </c>
      <c r="W990" s="24" t="n">
        <v>74.7</v>
      </c>
      <c r="X990" s="24" t="n">
        <v>58</v>
      </c>
      <c r="Y990" s="45">
        <f>ROUND((V990*'Methodology &amp; Assumptions'!$B$6)+(W990*'Methodology &amp; Assumptions'!$B$5)+(X990*'Methodology &amp; Assumptions'!$B$7), 2)</f>
        <v/>
      </c>
    </row>
    <row r="991" ht="19" customHeight="1">
      <c r="A991" s="35" t="n">
        <v>987</v>
      </c>
      <c r="B991" s="35" t="n">
        <v>987</v>
      </c>
      <c r="C991" s="36" t="inlineStr">
        <is>
          <t>0401019006</t>
        </is>
      </c>
      <c r="D991" s="36" t="inlineStr">
        <is>
          <t>Region IV-A (CALABARZON)</t>
        </is>
      </c>
      <c r="E991" s="36" t="inlineStr">
        <is>
          <t>Batangas</t>
        </is>
      </c>
      <c r="F991" s="36" t="inlineStr">
        <is>
          <t>Nasugbu</t>
        </is>
      </c>
      <c r="G991" s="36" t="inlineStr">
        <is>
          <t>Barangay 12</t>
        </is>
      </c>
      <c r="H991" s="37" t="n">
        <v>14.073739</v>
      </c>
      <c r="I991" s="37" t="n">
        <v>120.633292</v>
      </c>
      <c r="J991" s="8" t="inlineStr">
        <is>
          <t>R</t>
        </is>
      </c>
      <c r="K991" s="36" t="inlineStr">
        <is>
          <t>Class 1-3 / Urban</t>
        </is>
      </c>
      <c r="L991" s="18" t="n">
        <v>2313</v>
      </c>
      <c r="M991" s="20" t="n">
        <v>4.62</v>
      </c>
      <c r="N991" s="18">
        <f>ROUND(L991/M991, 0)</f>
        <v/>
      </c>
      <c r="O991" s="18">
        <f>ROUND(N991*'Methodology &amp; Assumptions'!$B$8, 0)</f>
        <v/>
      </c>
      <c r="P991" s="8" t="inlineStr">
        <is>
          <t>Band n50 (1.5 GHz, 60 MHz)</t>
        </is>
      </c>
      <c r="Q991" s="38">
        <f>ROUNDUP(O991/'Methodology &amp; Assumptions'!$B$9, 0)</f>
        <v/>
      </c>
      <c r="R991" s="39" t="n">
        <v>1</v>
      </c>
      <c r="S991" s="21" t="n">
        <v>0.34</v>
      </c>
      <c r="T991" s="21" t="n">
        <v>0.11</v>
      </c>
      <c r="U991" s="36" t="inlineStr">
        <is>
          <t>Tier 1A (Direct Coloc, &lt;1 km)</t>
        </is>
      </c>
      <c r="V991" s="20" t="n">
        <v>99.2</v>
      </c>
      <c r="W991" s="20" t="n">
        <v>64</v>
      </c>
      <c r="X991" s="20" t="n">
        <v>58</v>
      </c>
      <c r="Y991" s="40">
        <f>ROUND((V991*'Methodology &amp; Assumptions'!$B$6)+(W991*'Methodology &amp; Assumptions'!$B$5)+(X991*'Methodology &amp; Assumptions'!$B$7), 2)</f>
        <v/>
      </c>
    </row>
    <row r="992" ht="19" customHeight="1">
      <c r="A992" s="41" t="n">
        <v>988</v>
      </c>
      <c r="B992" s="41" t="n">
        <v>988</v>
      </c>
      <c r="C992" s="42" t="inlineStr">
        <is>
          <t>0304922001</t>
        </is>
      </c>
      <c r="D992" s="42" t="inlineStr">
        <is>
          <t>Region III (Central Luzon)</t>
        </is>
      </c>
      <c r="E992" s="42" t="inlineStr">
        <is>
          <t>Nueva Ecija</t>
        </is>
      </c>
      <c r="F992" s="42" t="inlineStr">
        <is>
          <t>Quezon</t>
        </is>
      </c>
      <c r="G992" s="42" t="inlineStr">
        <is>
          <t>Bertese</t>
        </is>
      </c>
      <c r="H992" s="43" t="n">
        <v>15.575009</v>
      </c>
      <c r="I992" s="43" t="n">
        <v>120.815079</v>
      </c>
      <c r="J992" s="44" t="inlineStr">
        <is>
          <t>R</t>
        </is>
      </c>
      <c r="K992" s="42" t="inlineStr">
        <is>
          <t>2nd</t>
        </is>
      </c>
      <c r="L992" s="23" t="n">
        <v>4792</v>
      </c>
      <c r="M992" s="24" t="n">
        <v>4.28</v>
      </c>
      <c r="N992" s="23">
        <f>ROUND(L992/M992, 0)</f>
        <v/>
      </c>
      <c r="O992" s="23">
        <f>ROUND(N992*'Methodology &amp; Assumptions'!$B$8, 0)</f>
        <v/>
      </c>
      <c r="P992" s="44" t="inlineStr">
        <is>
          <t>Band n50 (1.5 GHz, 60 MHz)</t>
        </is>
      </c>
      <c r="Q992" s="38">
        <f>ROUNDUP(O992/'Methodology &amp; Assumptions'!$B$9, 0)</f>
        <v/>
      </c>
      <c r="R992" s="39" t="n">
        <v>1</v>
      </c>
      <c r="S992" s="25" t="n">
        <v>1.89</v>
      </c>
      <c r="T992" s="25" t="n">
        <v>1.53</v>
      </c>
      <c r="U992" s="42" t="inlineStr">
        <is>
          <t>Tier 1B (Micro Drop, 1-3 km)</t>
        </is>
      </c>
      <c r="V992" s="24" t="n">
        <v>63.2</v>
      </c>
      <c r="W992" s="24" t="n">
        <v>100</v>
      </c>
      <c r="X992" s="24" t="n">
        <v>58</v>
      </c>
      <c r="Y992" s="45">
        <f>ROUND((V992*'Methodology &amp; Assumptions'!$B$6)+(W992*'Methodology &amp; Assumptions'!$B$5)+(X992*'Methodology &amp; Assumptions'!$B$7), 2)</f>
        <v/>
      </c>
    </row>
    <row r="993" ht="19" customHeight="1">
      <c r="A993" s="35" t="n">
        <v>989</v>
      </c>
      <c r="B993" s="35" t="n">
        <v>989</v>
      </c>
      <c r="C993" s="36" t="inlineStr">
        <is>
          <t>0305415018</t>
        </is>
      </c>
      <c r="D993" s="36" t="inlineStr">
        <is>
          <t>Region III (Central Luzon)</t>
        </is>
      </c>
      <c r="E993" s="36" t="inlineStr">
        <is>
          <t>Pampanga</t>
        </is>
      </c>
      <c r="F993" s="36" t="inlineStr">
        <is>
          <t>Porac</t>
        </is>
      </c>
      <c r="G993" s="36" t="inlineStr">
        <is>
          <t>Manibaug Paralaya</t>
        </is>
      </c>
      <c r="H993" s="37" t="n">
        <v>15.11332</v>
      </c>
      <c r="I993" s="37" t="n">
        <v>120.5661</v>
      </c>
      <c r="J993" s="8" t="inlineStr">
        <is>
          <t>U</t>
        </is>
      </c>
      <c r="K993" s="36" t="inlineStr">
        <is>
          <t>Class 1-3 / Urban</t>
        </is>
      </c>
      <c r="L993" s="18" t="n">
        <v>13487</v>
      </c>
      <c r="M993" s="20" t="n">
        <v>4.63</v>
      </c>
      <c r="N993" s="18">
        <f>ROUND(L993/M993, 0)</f>
        <v/>
      </c>
      <c r="O993" s="18">
        <f>ROUND(N993*'Methodology &amp; Assumptions'!$B$8, 0)</f>
        <v/>
      </c>
      <c r="P993" s="8" t="inlineStr">
        <is>
          <t>Band n50 (1.5 GHz, 60 MHz)</t>
        </is>
      </c>
      <c r="Q993" s="38">
        <f>ROUNDUP(O993/'Methodology &amp; Assumptions'!$B$9, 0)</f>
        <v/>
      </c>
      <c r="R993" s="39" t="n">
        <v>1</v>
      </c>
      <c r="S993" s="21" t="n">
        <v>0.71</v>
      </c>
      <c r="T993" s="21" t="n">
        <v>0.26</v>
      </c>
      <c r="U993" s="36" t="inlineStr">
        <is>
          <t>Tier 1A (Direct Coloc, &lt;1 km)</t>
        </is>
      </c>
      <c r="V993" s="20" t="n">
        <v>88.90000000000001</v>
      </c>
      <c r="W993" s="20" t="n">
        <v>100</v>
      </c>
      <c r="X993" s="20" t="n">
        <v>28</v>
      </c>
      <c r="Y993" s="40">
        <f>ROUND((V993*'Methodology &amp; Assumptions'!$B$6)+(W993*'Methodology &amp; Assumptions'!$B$5)+(X993*'Methodology &amp; Assumptions'!$B$7), 2)</f>
        <v/>
      </c>
    </row>
    <row r="994" ht="19" customHeight="1">
      <c r="A994" s="41" t="n">
        <v>990</v>
      </c>
      <c r="B994" s="41" t="n">
        <v>990</v>
      </c>
      <c r="C994" s="42" t="inlineStr">
        <is>
          <t>0403403023</t>
        </is>
      </c>
      <c r="D994" s="42" t="inlineStr">
        <is>
          <t>Region IV-A (CALABARZON)</t>
        </is>
      </c>
      <c r="E994" s="42" t="inlineStr">
        <is>
          <t>Laguna</t>
        </is>
      </c>
      <c r="F994" s="42" t="inlineStr">
        <is>
          <t>City of Biñan</t>
        </is>
      </c>
      <c r="G994" s="42" t="inlineStr">
        <is>
          <t>Santo Domingo</t>
        </is>
      </c>
      <c r="H994" s="43" t="n">
        <v>14.337002</v>
      </c>
      <c r="I994" s="43" t="n">
        <v>121.082146</v>
      </c>
      <c r="J994" s="44" t="inlineStr">
        <is>
          <t>U</t>
        </is>
      </c>
      <c r="K994" s="42" t="inlineStr">
        <is>
          <t>Class 1-3 / Urban</t>
        </is>
      </c>
      <c r="L994" s="23" t="n">
        <v>6159</v>
      </c>
      <c r="M994" s="24" t="n">
        <v>4.2</v>
      </c>
      <c r="N994" s="23">
        <f>ROUND(L994/M994, 0)</f>
        <v/>
      </c>
      <c r="O994" s="23">
        <f>ROUND(N994*'Methodology &amp; Assumptions'!$B$8, 0)</f>
        <v/>
      </c>
      <c r="P994" s="44" t="inlineStr">
        <is>
          <t>Band n50 (1.5 GHz, 60 MHz)</t>
        </is>
      </c>
      <c r="Q994" s="38">
        <f>ROUNDUP(O994/'Methodology &amp; Assumptions'!$B$9, 0)</f>
        <v/>
      </c>
      <c r="R994" s="39" t="n">
        <v>1</v>
      </c>
      <c r="S994" s="25" t="n">
        <v>0.71</v>
      </c>
      <c r="T994" s="25" t="n">
        <v>0.21</v>
      </c>
      <c r="U994" s="42" t="inlineStr">
        <is>
          <t>Tier 1A (Direct Coloc, &lt;1 km)</t>
        </is>
      </c>
      <c r="V994" s="24" t="n">
        <v>88.90000000000001</v>
      </c>
      <c r="W994" s="24" t="n">
        <v>100</v>
      </c>
      <c r="X994" s="24" t="n">
        <v>28</v>
      </c>
      <c r="Y994" s="45">
        <f>ROUND((V994*'Methodology &amp; Assumptions'!$B$6)+(W994*'Methodology &amp; Assumptions'!$B$5)+(X994*'Methodology &amp; Assumptions'!$B$7), 2)</f>
        <v/>
      </c>
    </row>
    <row r="995" ht="19" customHeight="1">
      <c r="A995" s="35" t="n">
        <v>991</v>
      </c>
      <c r="B995" s="35" t="n">
        <v>991</v>
      </c>
      <c r="C995" s="36" t="inlineStr">
        <is>
          <t>0304911061</t>
        </is>
      </c>
      <c r="D995" s="36" t="inlineStr">
        <is>
          <t>Region III (Central Luzon)</t>
        </is>
      </c>
      <c r="E995" s="36" t="inlineStr">
        <is>
          <t>Nueva Ecija</t>
        </is>
      </c>
      <c r="F995" s="36" t="inlineStr">
        <is>
          <t>Guimba</t>
        </is>
      </c>
      <c r="G995" s="36" t="inlineStr">
        <is>
          <t>Santo Cristo District</t>
        </is>
      </c>
      <c r="H995" s="37" t="n">
        <v>15.656546</v>
      </c>
      <c r="I995" s="37" t="n">
        <v>120.762293</v>
      </c>
      <c r="J995" s="8" t="inlineStr">
        <is>
          <t>U</t>
        </is>
      </c>
      <c r="K995" s="36" t="inlineStr">
        <is>
          <t>Class 1-3 / Urban</t>
        </is>
      </c>
      <c r="L995" s="18" t="n">
        <v>3799</v>
      </c>
      <c r="M995" s="20" t="n">
        <v>4.32</v>
      </c>
      <c r="N995" s="18">
        <f>ROUND(L995/M995, 0)</f>
        <v/>
      </c>
      <c r="O995" s="18">
        <f>ROUND(N995*'Methodology &amp; Assumptions'!$B$8, 0)</f>
        <v/>
      </c>
      <c r="P995" s="8" t="inlineStr">
        <is>
          <t>Band n50 (1.5 GHz, 60 MHz)</t>
        </is>
      </c>
      <c r="Q995" s="38">
        <f>ROUNDUP(O995/'Methodology &amp; Assumptions'!$B$9, 0)</f>
        <v/>
      </c>
      <c r="R995" s="39" t="n">
        <v>1</v>
      </c>
      <c r="S995" s="21" t="n">
        <v>0.51</v>
      </c>
      <c r="T995" s="21" t="n">
        <v>0.7</v>
      </c>
      <c r="U995" s="36" t="inlineStr">
        <is>
          <t>Tier 1A (Direct Coloc, &lt;1 km)</t>
        </is>
      </c>
      <c r="V995" s="20" t="n">
        <v>94.5</v>
      </c>
      <c r="W995" s="20" t="n">
        <v>94.40000000000001</v>
      </c>
      <c r="X995" s="20" t="n">
        <v>28</v>
      </c>
      <c r="Y995" s="40">
        <f>ROUND((V995*'Methodology &amp; Assumptions'!$B$6)+(W995*'Methodology &amp; Assumptions'!$B$5)+(X995*'Methodology &amp; Assumptions'!$B$7), 2)</f>
        <v/>
      </c>
    </row>
    <row r="996" ht="19" customHeight="1">
      <c r="A996" s="41" t="n">
        <v>992</v>
      </c>
      <c r="B996" s="41" t="n">
        <v>992</v>
      </c>
      <c r="C996" s="42" t="inlineStr">
        <is>
          <t>0405809001</t>
        </is>
      </c>
      <c r="D996" s="42" t="inlineStr">
        <is>
          <t>Region IV-A (CALABARZON)</t>
        </is>
      </c>
      <c r="E996" s="42" t="inlineStr">
        <is>
          <t>Rizal</t>
        </is>
      </c>
      <c r="F996" s="42" t="inlineStr">
        <is>
          <t>Morong</t>
        </is>
      </c>
      <c r="G996" s="42" t="inlineStr">
        <is>
          <t>Bombongan</t>
        </is>
      </c>
      <c r="H996" s="43" t="n">
        <v>14.50626</v>
      </c>
      <c r="I996" s="43" t="n">
        <v>121.21943</v>
      </c>
      <c r="J996" s="44" t="inlineStr">
        <is>
          <t>R</t>
        </is>
      </c>
      <c r="K996" s="42" t="inlineStr">
        <is>
          <t>Class 1-3 / Urban</t>
        </is>
      </c>
      <c r="L996" s="23" t="n">
        <v>3888</v>
      </c>
      <c r="M996" s="24" t="n">
        <v>4.39</v>
      </c>
      <c r="N996" s="23">
        <f>ROUND(L996/M996, 0)</f>
        <v/>
      </c>
      <c r="O996" s="23">
        <f>ROUND(N996*'Methodology &amp; Assumptions'!$B$8, 0)</f>
        <v/>
      </c>
      <c r="P996" s="44" t="inlineStr">
        <is>
          <t>Band n50 (1.5 GHz, 60 MHz)</t>
        </is>
      </c>
      <c r="Q996" s="38">
        <f>ROUNDUP(O996/'Methodology &amp; Assumptions'!$B$9, 0)</f>
        <v/>
      </c>
      <c r="R996" s="39" t="n">
        <v>1</v>
      </c>
      <c r="S996" s="25" t="n">
        <v>1.62</v>
      </c>
      <c r="T996" s="25" t="n">
        <v>1.59</v>
      </c>
      <c r="U996" s="42" t="inlineStr">
        <is>
          <t>Tier 1B (Micro Drop, 1-3 km)</t>
        </is>
      </c>
      <c r="V996" s="24" t="n">
        <v>68.2</v>
      </c>
      <c r="W996" s="24" t="n">
        <v>94.90000000000001</v>
      </c>
      <c r="X996" s="24" t="n">
        <v>58</v>
      </c>
      <c r="Y996" s="45">
        <f>ROUND((V996*'Methodology &amp; Assumptions'!$B$6)+(W996*'Methodology &amp; Assumptions'!$B$5)+(X996*'Methodology &amp; Assumptions'!$B$7), 2)</f>
        <v/>
      </c>
    </row>
    <row r="997" ht="19" customHeight="1">
      <c r="A997" s="35" t="n">
        <v>993</v>
      </c>
      <c r="B997" s="35" t="n">
        <v>993</v>
      </c>
      <c r="C997" s="36" t="inlineStr">
        <is>
          <t>0301423011</t>
        </is>
      </c>
      <c r="D997" s="36" t="inlineStr">
        <is>
          <t>Region III (Central Luzon)</t>
        </is>
      </c>
      <c r="E997" s="36" t="inlineStr">
        <is>
          <t>Bulacan</t>
        </is>
      </c>
      <c r="F997" s="36" t="inlineStr">
        <is>
          <t>Santa Maria</t>
        </is>
      </c>
      <c r="G997" s="36" t="inlineStr">
        <is>
          <t>Mag-asawang Sapa</t>
        </is>
      </c>
      <c r="H997" s="37" t="n">
        <v>14.866316</v>
      </c>
      <c r="I997" s="37" t="n">
        <v>120.990396</v>
      </c>
      <c r="J997" s="8" t="inlineStr">
        <is>
          <t>U</t>
        </is>
      </c>
      <c r="K997" s="36" t="inlineStr">
        <is>
          <t>Class 1-3 / Urban</t>
        </is>
      </c>
      <c r="L997" s="18" t="n">
        <v>10381</v>
      </c>
      <c r="M997" s="20" t="n">
        <v>4.1</v>
      </c>
      <c r="N997" s="18">
        <f>ROUND(L997/M997, 0)</f>
        <v/>
      </c>
      <c r="O997" s="18">
        <f>ROUND(N997*'Methodology &amp; Assumptions'!$B$8, 0)</f>
        <v/>
      </c>
      <c r="P997" s="8" t="inlineStr">
        <is>
          <t>Band n50 (1.5 GHz, 60 MHz)</t>
        </is>
      </c>
      <c r="Q997" s="38">
        <f>ROUNDUP(O997/'Methodology &amp; Assumptions'!$B$9, 0)</f>
        <v/>
      </c>
      <c r="R997" s="39" t="n">
        <v>1</v>
      </c>
      <c r="S997" s="21" t="n">
        <v>0.71</v>
      </c>
      <c r="T997" s="21" t="n">
        <v>0.35</v>
      </c>
      <c r="U997" s="36" t="inlineStr">
        <is>
          <t>Tier 1A (Direct Coloc, &lt;1 km)</t>
        </is>
      </c>
      <c r="V997" s="20" t="n">
        <v>88.90000000000001</v>
      </c>
      <c r="W997" s="20" t="n">
        <v>100</v>
      </c>
      <c r="X997" s="20" t="n">
        <v>28</v>
      </c>
      <c r="Y997" s="40">
        <f>ROUND((V997*'Methodology &amp; Assumptions'!$B$6)+(W997*'Methodology &amp; Assumptions'!$B$5)+(X997*'Methodology &amp; Assumptions'!$B$7), 2)</f>
        <v/>
      </c>
    </row>
    <row r="998" ht="19" customHeight="1">
      <c r="A998" s="41" t="n">
        <v>994</v>
      </c>
      <c r="B998" s="41" t="n">
        <v>994</v>
      </c>
      <c r="C998" s="42" t="inlineStr">
        <is>
          <t>0305415019</t>
        </is>
      </c>
      <c r="D998" s="42" t="inlineStr">
        <is>
          <t>Region III (Central Luzon)</t>
        </is>
      </c>
      <c r="E998" s="42" t="inlineStr">
        <is>
          <t>Pampanga</t>
        </is>
      </c>
      <c r="F998" s="42" t="inlineStr">
        <is>
          <t>Porac</t>
        </is>
      </c>
      <c r="G998" s="42" t="inlineStr">
        <is>
          <t>Manibaug Pasig</t>
        </is>
      </c>
      <c r="H998" s="43" t="n">
        <v>15.113325</v>
      </c>
      <c r="I998" s="43" t="n">
        <v>120.56605</v>
      </c>
      <c r="J998" s="44" t="inlineStr">
        <is>
          <t>U</t>
        </is>
      </c>
      <c r="K998" s="42" t="inlineStr">
        <is>
          <t>Class 1-3 / Urban</t>
        </is>
      </c>
      <c r="L998" s="23" t="n">
        <v>5039</v>
      </c>
      <c r="M998" s="24" t="n">
        <v>4.63</v>
      </c>
      <c r="N998" s="23">
        <f>ROUND(L998/M998, 0)</f>
        <v/>
      </c>
      <c r="O998" s="23">
        <f>ROUND(N998*'Methodology &amp; Assumptions'!$B$8, 0)</f>
        <v/>
      </c>
      <c r="P998" s="44" t="inlineStr">
        <is>
          <t>Band n50 (1.5 GHz, 60 MHz)</t>
        </is>
      </c>
      <c r="Q998" s="38">
        <f>ROUNDUP(O998/'Methodology &amp; Assumptions'!$B$9, 0)</f>
        <v/>
      </c>
      <c r="R998" s="39" t="n">
        <v>1</v>
      </c>
      <c r="S998" s="25" t="n">
        <v>0.71</v>
      </c>
      <c r="T998" s="25" t="n">
        <v>0.26</v>
      </c>
      <c r="U998" s="42" t="inlineStr">
        <is>
          <t>Tier 1A (Direct Coloc, &lt;1 km)</t>
        </is>
      </c>
      <c r="V998" s="24" t="n">
        <v>88.90000000000001</v>
      </c>
      <c r="W998" s="24" t="n">
        <v>100</v>
      </c>
      <c r="X998" s="24" t="n">
        <v>28</v>
      </c>
      <c r="Y998" s="45">
        <f>ROUND((V998*'Methodology &amp; Assumptions'!$B$6)+(W998*'Methodology &amp; Assumptions'!$B$5)+(X998*'Methodology &amp; Assumptions'!$B$7), 2)</f>
        <v/>
      </c>
    </row>
    <row r="999" ht="19" customHeight="1">
      <c r="A999" s="35" t="n">
        <v>995</v>
      </c>
      <c r="B999" s="35" t="n">
        <v>995</v>
      </c>
      <c r="C999" s="36" t="inlineStr">
        <is>
          <t>1130700126</t>
        </is>
      </c>
      <c r="D999" s="36" t="inlineStr">
        <is>
          <t>Region XI (Davao Region)</t>
        </is>
      </c>
      <c r="E999" s="36" t="inlineStr">
        <is>
          <t>Davao del Sur</t>
        </is>
      </c>
      <c r="F999" s="36" t="inlineStr">
        <is>
          <t>City of Davao</t>
        </is>
      </c>
      <c r="G999" s="36" t="inlineStr">
        <is>
          <t>Toril</t>
        </is>
      </c>
      <c r="H999" s="37" t="n">
        <v>7.018929</v>
      </c>
      <c r="I999" s="37" t="n">
        <v>125.498356</v>
      </c>
      <c r="J999" s="8" t="inlineStr">
        <is>
          <t>U</t>
        </is>
      </c>
      <c r="K999" s="36" t="inlineStr">
        <is>
          <t>Class 1-3 / Urban</t>
        </is>
      </c>
      <c r="L999" s="18" t="n">
        <v>12393</v>
      </c>
      <c r="M999" s="20" t="n">
        <v>4.1</v>
      </c>
      <c r="N999" s="18">
        <f>ROUND(L999/M999, 0)</f>
        <v/>
      </c>
      <c r="O999" s="18">
        <f>ROUND(N999*'Methodology &amp; Assumptions'!$B$8, 0)</f>
        <v/>
      </c>
      <c r="P999" s="8" t="inlineStr">
        <is>
          <t>Band n50 (1.5 GHz, 60 MHz)</t>
        </is>
      </c>
      <c r="Q999" s="38">
        <f>ROUNDUP(O999/'Methodology &amp; Assumptions'!$B$9, 0)</f>
        <v/>
      </c>
      <c r="R999" s="39" t="n">
        <v>1</v>
      </c>
      <c r="S999" s="21" t="n">
        <v>0.71</v>
      </c>
      <c r="T999" s="21" t="n">
        <v>0.17</v>
      </c>
      <c r="U999" s="36" t="inlineStr">
        <is>
          <t>Tier 1A (Direct Coloc, &lt;1 km)</t>
        </is>
      </c>
      <c r="V999" s="20" t="n">
        <v>88.8</v>
      </c>
      <c r="W999" s="20" t="n">
        <v>100</v>
      </c>
      <c r="X999" s="20" t="n">
        <v>28</v>
      </c>
      <c r="Y999" s="40">
        <f>ROUND((V999*'Methodology &amp; Assumptions'!$B$6)+(W999*'Methodology &amp; Assumptions'!$B$5)+(X999*'Methodology &amp; Assumptions'!$B$7), 2)</f>
        <v/>
      </c>
    </row>
    <row r="1000" ht="19" customHeight="1">
      <c r="A1000" s="41" t="n">
        <v>996</v>
      </c>
      <c r="B1000" s="41" t="n">
        <v>996</v>
      </c>
      <c r="C1000" s="42" t="inlineStr">
        <is>
          <t>0704625010</t>
        </is>
      </c>
      <c r="D1000" s="42" t="inlineStr">
        <is>
          <t>Region VII (Central Visayas)</t>
        </is>
      </c>
      <c r="E1000" s="42" t="inlineStr">
        <is>
          <t>Negros Oriental</t>
        </is>
      </c>
      <c r="F1000" s="42" t="inlineStr">
        <is>
          <t>Zamboanguita</t>
        </is>
      </c>
      <c r="G1000" s="42" t="inlineStr">
        <is>
          <t>Poblacion</t>
        </is>
      </c>
      <c r="H1000" s="43" t="n">
        <v>9.099641999999999</v>
      </c>
      <c r="I1000" s="43" t="n">
        <v>123.2</v>
      </c>
      <c r="J1000" s="44" t="inlineStr">
        <is>
          <t>U</t>
        </is>
      </c>
      <c r="K1000" s="42" t="inlineStr">
        <is>
          <t>3rd</t>
        </is>
      </c>
      <c r="L1000" s="23" t="n">
        <v>6450</v>
      </c>
      <c r="M1000" s="24" t="n">
        <v>4.17</v>
      </c>
      <c r="N1000" s="23">
        <f>ROUND(L1000/M1000, 0)</f>
        <v/>
      </c>
      <c r="O1000" s="23">
        <f>ROUND(N1000*'Methodology &amp; Assumptions'!$B$8, 0)</f>
        <v/>
      </c>
      <c r="P1000" s="44" t="inlineStr">
        <is>
          <t>Band n50 (1.5 GHz, 60 MHz)</t>
        </is>
      </c>
      <c r="Q1000" s="38">
        <f>ROUNDUP(O1000/'Methodology &amp; Assumptions'!$B$9, 0)</f>
        <v/>
      </c>
      <c r="R1000" s="39" t="n">
        <v>1</v>
      </c>
      <c r="S1000" s="25" t="n">
        <v>0.36</v>
      </c>
      <c r="T1000" s="25" t="n">
        <v>16.5</v>
      </c>
      <c r="U1000" s="42" t="inlineStr">
        <is>
          <t>Tier 1A (Direct Coloc, &lt;1 km)</t>
        </is>
      </c>
      <c r="V1000" s="24" t="n">
        <v>88.8</v>
      </c>
      <c r="W1000" s="24" t="n">
        <v>100</v>
      </c>
      <c r="X1000" s="24" t="n">
        <v>28</v>
      </c>
      <c r="Y1000" s="45">
        <f>ROUND((V1000*'Methodology &amp; Assumptions'!$B$6)+(W1000*'Methodology &amp; Assumptions'!$B$5)+(X1000*'Methodology &amp; Assumptions'!$B$7), 2)</f>
        <v/>
      </c>
    </row>
    <row r="1001" ht="19" customHeight="1">
      <c r="A1001" s="35" t="n">
        <v>997</v>
      </c>
      <c r="B1001" s="35" t="n">
        <v>997</v>
      </c>
      <c r="C1001" s="36" t="inlineStr">
        <is>
          <t>1206312014</t>
        </is>
      </c>
      <c r="D1001" s="36" t="inlineStr">
        <is>
          <t>Region XII (SOCCSKSARGEN)</t>
        </is>
      </c>
      <c r="E1001" s="36" t="inlineStr">
        <is>
          <t>South Cotabato</t>
        </is>
      </c>
      <c r="F1001" s="36" t="inlineStr">
        <is>
          <t>Polomolok</t>
        </is>
      </c>
      <c r="G1001" s="36" t="inlineStr">
        <is>
          <t>Poblacion</t>
        </is>
      </c>
      <c r="H1001" s="37" t="n">
        <v>6.220061</v>
      </c>
      <c r="I1001" s="37" t="n">
        <v>125.068416</v>
      </c>
      <c r="J1001" s="8" t="inlineStr">
        <is>
          <t>U</t>
        </is>
      </c>
      <c r="K1001" s="36" t="inlineStr">
        <is>
          <t>Class 1-3 / Urban</t>
        </is>
      </c>
      <c r="L1001" s="18" t="n">
        <v>51490</v>
      </c>
      <c r="M1001" s="20" t="n">
        <v>4.1</v>
      </c>
      <c r="N1001" s="18">
        <f>ROUND(L1001/M1001, 0)</f>
        <v/>
      </c>
      <c r="O1001" s="18">
        <f>ROUND(N1001*'Methodology &amp; Assumptions'!$B$8, 0)</f>
        <v/>
      </c>
      <c r="P1001" s="8" t="inlineStr">
        <is>
          <t>Band n50 (1.5 GHz, 60 MHz)</t>
        </is>
      </c>
      <c r="Q1001" s="38">
        <f>ROUNDUP(O1001/'Methodology &amp; Assumptions'!$B$9, 0)</f>
        <v/>
      </c>
      <c r="R1001" s="39" t="n">
        <v>1</v>
      </c>
      <c r="S1001" s="21" t="n">
        <v>0.57</v>
      </c>
      <c r="T1001" s="21" t="n">
        <v>1.03</v>
      </c>
      <c r="U1001" s="36" t="inlineStr">
        <is>
          <t>Tier 1A (Direct Coloc, &lt;1 km)</t>
        </is>
      </c>
      <c r="V1001" s="20" t="n">
        <v>92.8</v>
      </c>
      <c r="W1001" s="20" t="n">
        <v>96</v>
      </c>
      <c r="X1001" s="20" t="n">
        <v>28</v>
      </c>
      <c r="Y1001" s="40">
        <f>ROUND((V1001*'Methodology &amp; Assumptions'!$B$6)+(W1001*'Methodology &amp; Assumptions'!$B$5)+(X1001*'Methodology &amp; Assumptions'!$B$7), 2)</f>
        <v/>
      </c>
    </row>
    <row r="1002" ht="19" customHeight="1">
      <c r="A1002" s="41" t="n">
        <v>998</v>
      </c>
      <c r="B1002" s="41" t="n">
        <v>998</v>
      </c>
      <c r="C1002" s="42" t="inlineStr">
        <is>
          <t>0405802011</t>
        </is>
      </c>
      <c r="D1002" s="42" t="inlineStr">
        <is>
          <t>Region IV-A (CALABARZON)</t>
        </is>
      </c>
      <c r="E1002" s="42" t="inlineStr">
        <is>
          <t>Rizal</t>
        </is>
      </c>
      <c r="F1002" s="42" t="inlineStr">
        <is>
          <t>City of Antipolo</t>
        </is>
      </c>
      <c r="G1002" s="42" t="inlineStr">
        <is>
          <t>Bagong Nayon</t>
        </is>
      </c>
      <c r="H1002" s="43" t="n">
        <v>14.625964</v>
      </c>
      <c r="I1002" s="43" t="n">
        <v>121.168494</v>
      </c>
      <c r="J1002" s="44" t="inlineStr">
        <is>
          <t>U</t>
        </is>
      </c>
      <c r="K1002" s="42" t="inlineStr">
        <is>
          <t>Class 1-3 / Urban</t>
        </is>
      </c>
      <c r="L1002" s="23" t="n">
        <v>49105</v>
      </c>
      <c r="M1002" s="24" t="n">
        <v>4.39</v>
      </c>
      <c r="N1002" s="23">
        <f>ROUND(L1002/M1002, 0)</f>
        <v/>
      </c>
      <c r="O1002" s="23">
        <f>ROUND(N1002*'Methodology &amp; Assumptions'!$B$8, 0)</f>
        <v/>
      </c>
      <c r="P1002" s="44" t="inlineStr">
        <is>
          <t>Band n50 (1.5 GHz, 60 MHz)</t>
        </is>
      </c>
      <c r="Q1002" s="38">
        <f>ROUNDUP(O1002/'Methodology &amp; Assumptions'!$B$9, 0)</f>
        <v/>
      </c>
      <c r="R1002" s="39" t="n">
        <v>1</v>
      </c>
      <c r="S1002" s="25" t="n">
        <v>0.59</v>
      </c>
      <c r="T1002" s="25" t="n">
        <v>0.5</v>
      </c>
      <c r="U1002" s="42" t="inlineStr">
        <is>
          <t>Tier 1A (Direct Coloc, &lt;1 km)</t>
        </is>
      </c>
      <c r="V1002" s="24" t="n">
        <v>92.09999999999999</v>
      </c>
      <c r="W1002" s="24" t="n">
        <v>96.7</v>
      </c>
      <c r="X1002" s="24" t="n">
        <v>28</v>
      </c>
      <c r="Y1002" s="45">
        <f>ROUND((V1002*'Methodology &amp; Assumptions'!$B$6)+(W1002*'Methodology &amp; Assumptions'!$B$5)+(X1002*'Methodology &amp; Assumptions'!$B$7), 2)</f>
        <v/>
      </c>
    </row>
    <row r="1003" ht="19" customHeight="1">
      <c r="A1003" s="35" t="n">
        <v>999</v>
      </c>
      <c r="B1003" s="35" t="n">
        <v>999</v>
      </c>
      <c r="C1003" s="36" t="inlineStr">
        <is>
          <t>0402120004</t>
        </is>
      </c>
      <c r="D1003" s="36" t="inlineStr">
        <is>
          <t>Region IV-A (CALABARZON)</t>
        </is>
      </c>
      <c r="E1003" s="36" t="inlineStr">
        <is>
          <t>Cavite</t>
        </is>
      </c>
      <c r="F1003" s="36" t="inlineStr">
        <is>
          <t>Tanza</t>
        </is>
      </c>
      <c r="G1003" s="36" t="inlineStr">
        <is>
          <t>Biwas</t>
        </is>
      </c>
      <c r="H1003" s="37" t="n">
        <v>14.398897</v>
      </c>
      <c r="I1003" s="37" t="n">
        <v>120.855447</v>
      </c>
      <c r="J1003" s="8" t="inlineStr">
        <is>
          <t>U</t>
        </is>
      </c>
      <c r="K1003" s="36" t="inlineStr">
        <is>
          <t>Class 1-3 / Urban</t>
        </is>
      </c>
      <c r="L1003" s="18" t="n">
        <v>6989</v>
      </c>
      <c r="M1003" s="20" t="n">
        <v>4.49</v>
      </c>
      <c r="N1003" s="18">
        <f>ROUND(L1003/M1003, 0)</f>
        <v/>
      </c>
      <c r="O1003" s="18">
        <f>ROUND(N1003*'Methodology &amp; Assumptions'!$B$8, 0)</f>
        <v/>
      </c>
      <c r="P1003" s="8" t="inlineStr">
        <is>
          <t>Band n50 (1.5 GHz, 60 MHz)</t>
        </is>
      </c>
      <c r="Q1003" s="38">
        <f>ROUNDUP(O1003/'Methodology &amp; Assumptions'!$B$9, 0)</f>
        <v/>
      </c>
      <c r="R1003" s="39" t="n">
        <v>1</v>
      </c>
      <c r="S1003" s="21" t="n">
        <v>0.71</v>
      </c>
      <c r="T1003" s="21" t="n">
        <v>0.65</v>
      </c>
      <c r="U1003" s="36" t="inlineStr">
        <is>
          <t>Tier 1A (Direct Coloc, &lt;1 km)</t>
        </is>
      </c>
      <c r="V1003" s="20" t="n">
        <v>88.8</v>
      </c>
      <c r="W1003" s="20" t="n">
        <v>100</v>
      </c>
      <c r="X1003" s="20" t="n">
        <v>28</v>
      </c>
      <c r="Y1003" s="40">
        <f>ROUND((V1003*'Methodology &amp; Assumptions'!$B$6)+(W1003*'Methodology &amp; Assumptions'!$B$5)+(X1003*'Methodology &amp; Assumptions'!$B$7), 2)</f>
        <v/>
      </c>
    </row>
    <row r="1004" ht="19" customHeight="1">
      <c r="A1004" s="41" t="n">
        <v>1000</v>
      </c>
      <c r="B1004" s="41" t="n">
        <v>1000</v>
      </c>
      <c r="C1004" s="42" t="inlineStr">
        <is>
          <t>0301412015</t>
        </is>
      </c>
      <c r="D1004" s="42" t="inlineStr">
        <is>
          <t>Region III (Central Luzon)</t>
        </is>
      </c>
      <c r="E1004" s="42" t="inlineStr">
        <is>
          <t>Bulacan</t>
        </is>
      </c>
      <c r="F1004" s="42" t="inlineStr">
        <is>
          <t>City of Meycauayan</t>
        </is>
      </c>
      <c r="G1004" s="42" t="inlineStr">
        <is>
          <t>Malhacan</t>
        </is>
      </c>
      <c r="H1004" s="43" t="n">
        <v>14.743967</v>
      </c>
      <c r="I1004" s="43" t="n">
        <v>120.971706</v>
      </c>
      <c r="J1004" s="44" t="inlineStr">
        <is>
          <t>U</t>
        </is>
      </c>
      <c r="K1004" s="42" t="inlineStr">
        <is>
          <t>Class 1-3 / Urban</t>
        </is>
      </c>
      <c r="L1004" s="23" t="n">
        <v>21540</v>
      </c>
      <c r="M1004" s="24" t="n">
        <v>4.1</v>
      </c>
      <c r="N1004" s="23">
        <f>ROUND(L1004/M1004, 0)</f>
        <v/>
      </c>
      <c r="O1004" s="23">
        <f>ROUND(N1004*'Methodology &amp; Assumptions'!$B$8, 0)</f>
        <v/>
      </c>
      <c r="P1004" s="44" t="inlineStr">
        <is>
          <t>Band n50 (1.5 GHz, 60 MHz)</t>
        </is>
      </c>
      <c r="Q1004" s="38">
        <f>ROUNDUP(O1004/'Methodology &amp; Assumptions'!$B$9, 0)</f>
        <v/>
      </c>
      <c r="R1004" s="39" t="n">
        <v>1</v>
      </c>
      <c r="S1004" s="25" t="n">
        <v>0.72</v>
      </c>
      <c r="T1004" s="25" t="n">
        <v>1.31</v>
      </c>
      <c r="U1004" s="42" t="inlineStr">
        <is>
          <t>Tier 1A (Direct Coloc, &lt;1 km)</t>
        </is>
      </c>
      <c r="V1004" s="24" t="n">
        <v>88.7</v>
      </c>
      <c r="W1004" s="24" t="n">
        <v>100</v>
      </c>
      <c r="X1004" s="24" t="n">
        <v>28</v>
      </c>
      <c r="Y1004" s="45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2 — Sites 1,001 to 2,000</t>
        </is>
      </c>
    </row>
    <row r="2">
      <c r="A2" s="2" t="inlineStr">
        <is>
          <t>Dynamic commercial deployment rollout schedule (1,000 sites), linked to live parameters in 'Methodology &amp; Assumptions'.</t>
        </is>
      </c>
    </row>
    <row r="4" ht="28" customHeight="1">
      <c r="A4" s="46" t="inlineStr">
        <is>
          <t>Batch Rank</t>
        </is>
      </c>
      <c r="B4" s="46" t="inlineStr">
        <is>
          <t>Overall Rank</t>
        </is>
      </c>
      <c r="C4" s="46" t="inlineStr">
        <is>
          <t>PSGC Code</t>
        </is>
      </c>
      <c r="D4" s="46" t="inlineStr">
        <is>
          <t>Region</t>
        </is>
      </c>
      <c r="E4" s="46" t="inlineStr">
        <is>
          <t>Province</t>
        </is>
      </c>
      <c r="F4" s="46" t="inlineStr">
        <is>
          <t>Municipality</t>
        </is>
      </c>
      <c r="G4" s="46" t="inlineStr">
        <is>
          <t>Barangay</t>
        </is>
      </c>
      <c r="H4" s="46" t="inlineStr">
        <is>
          <t>Latitude</t>
        </is>
      </c>
      <c r="I4" s="46" t="inlineStr">
        <is>
          <t>Longitude</t>
        </is>
      </c>
      <c r="J4" s="46" t="inlineStr">
        <is>
          <t>Urban / Rural</t>
        </is>
      </c>
      <c r="K4" s="46" t="inlineStr">
        <is>
          <t>Municipal Income Class</t>
        </is>
      </c>
      <c r="L4" s="46" t="inlineStr">
        <is>
          <t>2020 Pop</t>
        </is>
      </c>
      <c r="M4" s="46" t="inlineStr">
        <is>
          <t>Avg HH Size</t>
        </is>
      </c>
      <c r="N4" s="46" t="inlineStr">
        <is>
          <t>Households</t>
        </is>
      </c>
      <c r="O4" s="46" t="inlineStr">
        <is>
          <t>Subs @ 30%</t>
        </is>
      </c>
      <c r="P4" s="46" t="inlineStr">
        <is>
          <t>Carrier Spectrum</t>
        </is>
      </c>
      <c r="Q4" s="46" t="inlineStr">
        <is>
          <t>Peak 30% Demand Capacity (BTS)</t>
        </is>
      </c>
      <c r="R4" s="46" t="inlineStr">
        <is>
          <t>Initial Day 1 Build (BTS)</t>
        </is>
      </c>
      <c r="S4" s="46" t="inlineStr">
        <is>
          <t>Dist. to Nearest Node (km)</t>
        </is>
      </c>
      <c r="T4" s="46" t="inlineStr">
        <is>
          <t>Dist. to Fiber Line (km)</t>
        </is>
      </c>
      <c r="U4" s="46" t="inlineStr">
        <is>
          <t>Deploy Tier</t>
        </is>
      </c>
      <c r="V4" s="46" t="inlineStr">
        <is>
          <t>Deploy Score (35%)</t>
        </is>
      </c>
      <c r="W4" s="46" t="inlineStr">
        <is>
          <t>Viability Score (35%)</t>
        </is>
      </c>
      <c r="X4" s="46" t="inlineStr">
        <is>
          <t>Necessity Score (30%)</t>
        </is>
      </c>
      <c r="Y4" s="46" t="inlineStr">
        <is>
          <t>Composite Score</t>
        </is>
      </c>
    </row>
    <row r="5" ht="19" customHeight="1">
      <c r="A5" s="35" t="n">
        <v>1</v>
      </c>
      <c r="B5" s="35" t="n">
        <v>1001</v>
      </c>
      <c r="C5" s="36" t="inlineStr">
        <is>
          <t>1404406009</t>
        </is>
      </c>
      <c r="D5" s="36" t="inlineStr">
        <is>
          <t>Cordillera Administrative Region (CAR)</t>
        </is>
      </c>
      <c r="E5" s="36" t="inlineStr">
        <is>
          <t>Mountain Province</t>
        </is>
      </c>
      <c r="F5" s="36" t="inlineStr">
        <is>
          <t>Paracelis</t>
        </is>
      </c>
      <c r="G5" s="36" t="inlineStr">
        <is>
          <t>Poblacion</t>
        </is>
      </c>
      <c r="H5" s="37" t="n">
        <v>17.178626</v>
      </c>
      <c r="I5" s="37" t="n">
        <v>121.404362</v>
      </c>
      <c r="J5" s="8" t="inlineStr">
        <is>
          <t>U</t>
        </is>
      </c>
      <c r="K5" s="36" t="inlineStr">
        <is>
          <t>Class 1-3 / Urban</t>
        </is>
      </c>
      <c r="L5" s="18" t="n">
        <v>6786</v>
      </c>
      <c r="M5" s="20" t="n">
        <v>4.42</v>
      </c>
      <c r="N5" s="18">
        <f>ROUND(L5/M5, 0)</f>
        <v/>
      </c>
      <c r="O5" s="18">
        <f>ROUND(N5*'Methodology &amp; Assumptions'!$B$8, 0)</f>
        <v/>
      </c>
      <c r="P5" s="8" t="inlineStr">
        <is>
          <t>Band n50 (1.5 GHz, 60 MHz)</t>
        </is>
      </c>
      <c r="Q5" s="38">
        <f>ROUNDUP(O5/'Methodology &amp; Assumptions'!$B$9, 0)</f>
        <v/>
      </c>
      <c r="R5" s="39" t="n">
        <v>1</v>
      </c>
      <c r="S5" s="21" t="n">
        <v>0.36</v>
      </c>
      <c r="T5" s="21" t="n">
        <v>22.04</v>
      </c>
      <c r="U5" s="36" t="inlineStr">
        <is>
          <t>Tier 1A (Direct Coloc, &lt;1 km)</t>
        </is>
      </c>
      <c r="V5" s="20" t="n">
        <v>88.7</v>
      </c>
      <c r="W5" s="20" t="n">
        <v>100</v>
      </c>
      <c r="X5" s="20" t="n">
        <v>28</v>
      </c>
      <c r="Y5" s="40">
        <f>ROUND((V5*'Methodology &amp; Assumptions'!$B$6)+(W5*'Methodology &amp; Assumptions'!$B$5)+(X5*'Methodology &amp; Assumptions'!$B$7), 2)</f>
        <v/>
      </c>
    </row>
    <row r="6" ht="19" customHeight="1">
      <c r="A6" s="41" t="n">
        <v>2</v>
      </c>
      <c r="B6" s="41" t="n">
        <v>1002</v>
      </c>
      <c r="C6" s="42" t="inlineStr">
        <is>
          <t>0403420007</t>
        </is>
      </c>
      <c r="D6" s="42" t="inlineStr">
        <is>
          <t>Region IV-A (CALABARZON)</t>
        </is>
      </c>
      <c r="E6" s="42" t="inlineStr">
        <is>
          <t>Laguna</t>
        </is>
      </c>
      <c r="F6" s="42" t="inlineStr">
        <is>
          <t>Pakil</t>
        </is>
      </c>
      <c r="G6" s="42" t="inlineStr">
        <is>
          <t>Gonzales</t>
        </is>
      </c>
      <c r="H6" s="43" t="n">
        <v>14.384291</v>
      </c>
      <c r="I6" s="43" t="n">
        <v>121.477375</v>
      </c>
      <c r="J6" s="44" t="inlineStr">
        <is>
          <t>R</t>
        </is>
      </c>
      <c r="K6" s="42" t="inlineStr">
        <is>
          <t>3rd</t>
        </is>
      </c>
      <c r="L6" s="23" t="n">
        <v>2614</v>
      </c>
      <c r="M6" s="24" t="n">
        <v>4.49</v>
      </c>
      <c r="N6" s="23">
        <f>ROUND(L6/M6, 0)</f>
        <v/>
      </c>
      <c r="O6" s="23">
        <f>ROUND(N6*'Methodology &amp; Assumptions'!$B$8, 0)</f>
        <v/>
      </c>
      <c r="P6" s="44" t="inlineStr">
        <is>
          <t>Band n50 (1.5 GHz, 60 MHz)</t>
        </is>
      </c>
      <c r="Q6" s="38">
        <f>ROUNDUP(O6/'Methodology &amp; Assumptions'!$B$9, 0)</f>
        <v/>
      </c>
      <c r="R6" s="39" t="n">
        <v>1</v>
      </c>
      <c r="S6" s="25" t="n">
        <v>0.58</v>
      </c>
      <c r="T6" s="25" t="n">
        <v>0.19</v>
      </c>
      <c r="U6" s="42" t="inlineStr">
        <is>
          <t>Tier 1A (Direct Coloc, &lt;1 km)</t>
        </is>
      </c>
      <c r="V6" s="24" t="n">
        <v>92.3</v>
      </c>
      <c r="W6" s="24" t="n">
        <v>70.7</v>
      </c>
      <c r="X6" s="24" t="n">
        <v>58</v>
      </c>
      <c r="Y6" s="45">
        <f>ROUND((V6*'Methodology &amp; Assumptions'!$B$6)+(W6*'Methodology &amp; Assumptions'!$B$5)+(X6*'Methodology &amp; Assumptions'!$B$7), 2)</f>
        <v/>
      </c>
    </row>
    <row r="7" ht="19" customHeight="1">
      <c r="A7" s="35" t="n">
        <v>3</v>
      </c>
      <c r="B7" s="35" t="n">
        <v>1003</v>
      </c>
      <c r="C7" s="36" t="inlineStr">
        <is>
          <t>0401005097</t>
        </is>
      </c>
      <c r="D7" s="36" t="inlineStr">
        <is>
          <t>Region IV-A (CALABARZON)</t>
        </is>
      </c>
      <c r="E7" s="36" t="inlineStr">
        <is>
          <t>Batangas</t>
        </is>
      </c>
      <c r="F7" s="36" t="inlineStr">
        <is>
          <t>Batangas City</t>
        </is>
      </c>
      <c r="G7" s="36" t="inlineStr">
        <is>
          <t>Santa Rita Karsada</t>
        </is>
      </c>
      <c r="H7" s="37" t="n">
        <v>13.779163</v>
      </c>
      <c r="I7" s="37" t="n">
        <v>121.038919</v>
      </c>
      <c r="J7" s="8" t="inlineStr">
        <is>
          <t>U</t>
        </is>
      </c>
      <c r="K7" s="36" t="inlineStr">
        <is>
          <t>Class 1-3 / Urban</t>
        </is>
      </c>
      <c r="L7" s="18" t="n">
        <v>20321</v>
      </c>
      <c r="M7" s="20" t="n">
        <v>4.62</v>
      </c>
      <c r="N7" s="18">
        <f>ROUND(L7/M7, 0)</f>
        <v/>
      </c>
      <c r="O7" s="18">
        <f>ROUND(N7*'Methodology &amp; Assumptions'!$B$8, 0)</f>
        <v/>
      </c>
      <c r="P7" s="8" t="inlineStr">
        <is>
          <t>Band n50 (1.5 GHz, 60 MHz)</t>
        </is>
      </c>
      <c r="Q7" s="38">
        <f>ROUNDUP(O7/'Methodology &amp; Assumptions'!$B$9, 0)</f>
        <v/>
      </c>
      <c r="R7" s="39" t="n">
        <v>1</v>
      </c>
      <c r="S7" s="21" t="n">
        <v>0.72</v>
      </c>
      <c r="T7" s="21" t="n">
        <v>0.02</v>
      </c>
      <c r="U7" s="36" t="inlineStr">
        <is>
          <t>Tier 1A (Direct Coloc, &lt;1 km)</t>
        </is>
      </c>
      <c r="V7" s="20" t="n">
        <v>88.7</v>
      </c>
      <c r="W7" s="20" t="n">
        <v>100</v>
      </c>
      <c r="X7" s="20" t="n">
        <v>28</v>
      </c>
      <c r="Y7" s="40">
        <f>ROUND((V7*'Methodology &amp; Assumptions'!$B$6)+(W7*'Methodology &amp; Assumptions'!$B$5)+(X7*'Methodology &amp; Assumptions'!$B$7), 2)</f>
        <v/>
      </c>
    </row>
    <row r="8" ht="19" customHeight="1">
      <c r="A8" s="41" t="n">
        <v>4</v>
      </c>
      <c r="B8" s="41" t="n">
        <v>1004</v>
      </c>
      <c r="C8" s="42" t="inlineStr">
        <is>
          <t>0201505037</t>
        </is>
      </c>
      <c r="D8" s="42" t="inlineStr">
        <is>
          <t>Region II (Cagayan Valley)</t>
        </is>
      </c>
      <c r="E8" s="42" t="inlineStr">
        <is>
          <t>Cagayan</t>
        </is>
      </c>
      <c r="F8" s="42" t="inlineStr">
        <is>
          <t>Aparri</t>
        </is>
      </c>
      <c r="G8" s="42" t="inlineStr">
        <is>
          <t>Punta</t>
        </is>
      </c>
      <c r="H8" s="43" t="n">
        <v>18.359414</v>
      </c>
      <c r="I8" s="43" t="n">
        <v>121.635406</v>
      </c>
      <c r="J8" s="44" t="inlineStr">
        <is>
          <t>U</t>
        </is>
      </c>
      <c r="K8" s="42" t="inlineStr">
        <is>
          <t>Class 1-3 / Urban</t>
        </is>
      </c>
      <c r="L8" s="23" t="n">
        <v>4841</v>
      </c>
      <c r="M8" s="24" t="n">
        <v>4.38</v>
      </c>
      <c r="N8" s="23">
        <f>ROUND(L8/M8, 0)</f>
        <v/>
      </c>
      <c r="O8" s="23">
        <f>ROUND(N8*'Methodology &amp; Assumptions'!$B$8, 0)</f>
        <v/>
      </c>
      <c r="P8" s="44" t="inlineStr">
        <is>
          <t>Band n50 (1.5 GHz, 60 MHz)</t>
        </is>
      </c>
      <c r="Q8" s="38">
        <f>ROUNDUP(O8/'Methodology &amp; Assumptions'!$B$9, 0)</f>
        <v/>
      </c>
      <c r="R8" s="39" t="n">
        <v>1</v>
      </c>
      <c r="S8" s="25" t="n">
        <v>0.36</v>
      </c>
      <c r="T8" s="25" t="n">
        <v>10.49</v>
      </c>
      <c r="U8" s="42" t="inlineStr">
        <is>
          <t>Tier 1A (Direct Coloc, &lt;1 km)</t>
        </is>
      </c>
      <c r="V8" s="24" t="n">
        <v>88.7</v>
      </c>
      <c r="W8" s="24" t="n">
        <v>100</v>
      </c>
      <c r="X8" s="24" t="n">
        <v>28</v>
      </c>
      <c r="Y8" s="45">
        <f>ROUND((V8*'Methodology &amp; Assumptions'!$B$6)+(W8*'Methodology &amp; Assumptions'!$B$5)+(X8*'Methodology &amp; Assumptions'!$B$7), 2)</f>
        <v/>
      </c>
    </row>
    <row r="9" ht="19" customHeight="1">
      <c r="A9" s="35" t="n">
        <v>5</v>
      </c>
      <c r="B9" s="35" t="n">
        <v>1005</v>
      </c>
      <c r="C9" s="36" t="inlineStr">
        <is>
          <t>0105531029</t>
        </is>
      </c>
      <c r="D9" s="36" t="inlineStr">
        <is>
          <t>Region I (Ilocos Region)</t>
        </is>
      </c>
      <c r="E9" s="36" t="inlineStr">
        <is>
          <t>Pangasinan</t>
        </is>
      </c>
      <c r="F9" s="36" t="inlineStr">
        <is>
          <t>Rosales</t>
        </is>
      </c>
      <c r="G9" s="36" t="inlineStr">
        <is>
          <t>Station District</t>
        </is>
      </c>
      <c r="H9" s="37" t="n">
        <v>15.889695</v>
      </c>
      <c r="I9" s="37" t="n">
        <v>120.634273</v>
      </c>
      <c r="J9" s="8" t="inlineStr">
        <is>
          <t>R</t>
        </is>
      </c>
      <c r="K9" s="36" t="inlineStr">
        <is>
          <t>Class 1-3 / Urban</t>
        </is>
      </c>
      <c r="L9" s="18" t="n">
        <v>2750</v>
      </c>
      <c r="M9" s="20" t="n">
        <v>4.39</v>
      </c>
      <c r="N9" s="18">
        <f>ROUND(L9/M9, 0)</f>
        <v/>
      </c>
      <c r="O9" s="18">
        <f>ROUND(N9*'Methodology &amp; Assumptions'!$B$8, 0)</f>
        <v/>
      </c>
      <c r="P9" s="8" t="inlineStr">
        <is>
          <t>Band n50 (1.5 GHz, 60 MHz)</t>
        </is>
      </c>
      <c r="Q9" s="38">
        <f>ROUNDUP(O9/'Methodology &amp; Assumptions'!$B$9, 0)</f>
        <v/>
      </c>
      <c r="R9" s="39" t="n">
        <v>1</v>
      </c>
      <c r="S9" s="21" t="n">
        <v>0.72</v>
      </c>
      <c r="T9" s="21" t="n">
        <v>0.68</v>
      </c>
      <c r="U9" s="36" t="inlineStr">
        <is>
          <t>Tier 1A (Direct Coloc, &lt;1 km)</t>
        </is>
      </c>
      <c r="V9" s="20" t="n">
        <v>88.8</v>
      </c>
      <c r="W9" s="20" t="n">
        <v>74.09999999999999</v>
      </c>
      <c r="X9" s="20" t="n">
        <v>58</v>
      </c>
      <c r="Y9" s="40">
        <f>ROUND((V9*'Methodology &amp; Assumptions'!$B$6)+(W9*'Methodology &amp; Assumptions'!$B$5)+(X9*'Methodology &amp; Assumptions'!$B$7), 2)</f>
        <v/>
      </c>
    </row>
    <row r="10" ht="19" customHeight="1">
      <c r="A10" s="41" t="n">
        <v>6</v>
      </c>
      <c r="B10" s="41" t="n">
        <v>1006</v>
      </c>
      <c r="C10" s="42" t="inlineStr">
        <is>
          <t>0501701025</t>
        </is>
      </c>
      <c r="D10" s="42" t="inlineStr">
        <is>
          <t>Region V (Bicol Region)</t>
        </is>
      </c>
      <c r="E10" s="42" t="inlineStr">
        <is>
          <t>Camarines Sur</t>
        </is>
      </c>
      <c r="F10" s="42" t="inlineStr">
        <is>
          <t>Baao</t>
        </is>
      </c>
      <c r="G10" s="42" t="inlineStr">
        <is>
          <t>Santa Cruz</t>
        </is>
      </c>
      <c r="H10" s="43" t="n">
        <v>13.453145</v>
      </c>
      <c r="I10" s="43" t="n">
        <v>123.370082</v>
      </c>
      <c r="J10" s="44" t="inlineStr">
        <is>
          <t>R</t>
        </is>
      </c>
      <c r="K10" s="42" t="inlineStr">
        <is>
          <t>Class 1-3 / Urban</t>
        </is>
      </c>
      <c r="L10" s="23" t="n">
        <v>2961</v>
      </c>
      <c r="M10" s="24" t="n">
        <v>4.9</v>
      </c>
      <c r="N10" s="23">
        <f>ROUND(L10/M10, 0)</f>
        <v/>
      </c>
      <c r="O10" s="23">
        <f>ROUND(N10*'Methodology &amp; Assumptions'!$B$8, 0)</f>
        <v/>
      </c>
      <c r="P10" s="44" t="inlineStr">
        <is>
          <t>Band n50 (1.5 GHz, 60 MHz)</t>
        </is>
      </c>
      <c r="Q10" s="38">
        <f>ROUNDUP(O10/'Methodology &amp; Assumptions'!$B$9, 0)</f>
        <v/>
      </c>
      <c r="R10" s="39" t="n">
        <v>1</v>
      </c>
      <c r="S10" s="25" t="n">
        <v>0.65</v>
      </c>
      <c r="T10" s="25" t="n">
        <v>0.27</v>
      </c>
      <c r="U10" s="42" t="inlineStr">
        <is>
          <t>Tier 1A (Direct Coloc, &lt;1 km)</t>
        </is>
      </c>
      <c r="V10" s="24" t="n">
        <v>90.59999999999999</v>
      </c>
      <c r="W10" s="24" t="n">
        <v>72.3</v>
      </c>
      <c r="X10" s="24" t="n">
        <v>58</v>
      </c>
      <c r="Y10" s="45">
        <f>ROUND((V10*'Methodology &amp; Assumptions'!$B$6)+(W10*'Methodology &amp; Assumptions'!$B$5)+(X10*'Methodology &amp; Assumptions'!$B$7), 2)</f>
        <v/>
      </c>
    </row>
    <row r="11" ht="19" customHeight="1">
      <c r="A11" s="35" t="n">
        <v>7</v>
      </c>
      <c r="B11" s="35" t="n">
        <v>1007</v>
      </c>
      <c r="C11" s="36" t="inlineStr">
        <is>
          <t>0405811001</t>
        </is>
      </c>
      <c r="D11" s="36" t="inlineStr">
        <is>
          <t>Region IV-A (CALABARZON)</t>
        </is>
      </c>
      <c r="E11" s="36" t="inlineStr">
        <is>
          <t>Rizal</t>
        </is>
      </c>
      <c r="F11" s="36" t="inlineStr">
        <is>
          <t>San Mateo</t>
        </is>
      </c>
      <c r="G11" s="36" t="inlineStr">
        <is>
          <t>Ampid I</t>
        </is>
      </c>
      <c r="H11" s="37" t="n">
        <v>14.68114</v>
      </c>
      <c r="I11" s="37" t="n">
        <v>121.1193</v>
      </c>
      <c r="J11" s="8" t="inlineStr">
        <is>
          <t>U</t>
        </is>
      </c>
      <c r="K11" s="36" t="inlineStr">
        <is>
          <t>Class 1-3 / Urban</t>
        </is>
      </c>
      <c r="L11" s="18" t="n">
        <v>27346</v>
      </c>
      <c r="M11" s="20" t="n">
        <v>4.39</v>
      </c>
      <c r="N11" s="18">
        <f>ROUND(L11/M11, 0)</f>
        <v/>
      </c>
      <c r="O11" s="18">
        <f>ROUND(N11*'Methodology &amp; Assumptions'!$B$8, 0)</f>
        <v/>
      </c>
      <c r="P11" s="8" t="inlineStr">
        <is>
          <t>Band n50 (1.5 GHz, 60 MHz)</t>
        </is>
      </c>
      <c r="Q11" s="38">
        <f>ROUNDUP(O11/'Methodology &amp; Assumptions'!$B$9, 0)</f>
        <v/>
      </c>
      <c r="R11" s="39" t="n">
        <v>1</v>
      </c>
      <c r="S11" s="21" t="n">
        <v>0.72</v>
      </c>
      <c r="T11" s="21" t="n">
        <v>0.18</v>
      </c>
      <c r="U11" s="36" t="inlineStr">
        <is>
          <t>Tier 1A (Direct Coloc, &lt;1 km)</t>
        </is>
      </c>
      <c r="V11" s="20" t="n">
        <v>88.59999999999999</v>
      </c>
      <c r="W11" s="20" t="n">
        <v>100</v>
      </c>
      <c r="X11" s="20" t="n">
        <v>28</v>
      </c>
      <c r="Y11" s="40">
        <f>ROUND((V11*'Methodology &amp; Assumptions'!$B$6)+(W11*'Methodology &amp; Assumptions'!$B$5)+(X11*'Methodology &amp; Assumptions'!$B$7), 2)</f>
        <v/>
      </c>
    </row>
    <row r="12" ht="19" customHeight="1">
      <c r="A12" s="41" t="n">
        <v>8</v>
      </c>
      <c r="B12" s="41" t="n">
        <v>1008</v>
      </c>
      <c r="C12" s="42" t="inlineStr">
        <is>
          <t>0301412021</t>
        </is>
      </c>
      <c r="D12" s="42" t="inlineStr">
        <is>
          <t>Region III (Central Luzon)</t>
        </is>
      </c>
      <c r="E12" s="42" t="inlineStr">
        <is>
          <t>Bulacan</t>
        </is>
      </c>
      <c r="F12" s="42" t="inlineStr">
        <is>
          <t>City of Meycauayan</t>
        </is>
      </c>
      <c r="G12" s="42" t="inlineStr">
        <is>
          <t>Saluysoy</t>
        </is>
      </c>
      <c r="H12" s="43" t="n">
        <v>14.743155</v>
      </c>
      <c r="I12" s="43" t="n">
        <v>120.955807</v>
      </c>
      <c r="J12" s="44" t="inlineStr">
        <is>
          <t>U</t>
        </is>
      </c>
      <c r="K12" s="42" t="inlineStr">
        <is>
          <t>Class 1-3 / Urban</t>
        </is>
      </c>
      <c r="L12" s="23" t="n">
        <v>11024</v>
      </c>
      <c r="M12" s="24" t="n">
        <v>4.1</v>
      </c>
      <c r="N12" s="23">
        <f>ROUND(L12/M12, 0)</f>
        <v/>
      </c>
      <c r="O12" s="23">
        <f>ROUND(N12*'Methodology &amp; Assumptions'!$B$8, 0)</f>
        <v/>
      </c>
      <c r="P12" s="44" t="inlineStr">
        <is>
          <t>Band n50 (1.5 GHz, 60 MHz)</t>
        </is>
      </c>
      <c r="Q12" s="38">
        <f>ROUNDUP(O12/'Methodology &amp; Assumptions'!$B$9, 0)</f>
        <v/>
      </c>
      <c r="R12" s="39" t="n">
        <v>1</v>
      </c>
      <c r="S12" s="25" t="n">
        <v>0.72</v>
      </c>
      <c r="T12" s="25" t="n">
        <v>0.34</v>
      </c>
      <c r="U12" s="42" t="inlineStr">
        <is>
          <t>Tier 1A (Direct Coloc, &lt;1 km)</t>
        </is>
      </c>
      <c r="V12" s="24" t="n">
        <v>88.59999999999999</v>
      </c>
      <c r="W12" s="24" t="n">
        <v>100</v>
      </c>
      <c r="X12" s="24" t="n">
        <v>28</v>
      </c>
      <c r="Y12" s="45">
        <f>ROUND((V12*'Methodology &amp; Assumptions'!$B$6)+(W12*'Methodology &amp; Assumptions'!$B$5)+(X12*'Methodology &amp; Assumptions'!$B$7), 2)</f>
        <v/>
      </c>
    </row>
    <row r="13" ht="19" customHeight="1">
      <c r="A13" s="35" t="n">
        <v>9</v>
      </c>
      <c r="B13" s="35" t="n">
        <v>1009</v>
      </c>
      <c r="C13" s="36" t="inlineStr">
        <is>
          <t>0301423018</t>
        </is>
      </c>
      <c r="D13" s="36" t="inlineStr">
        <is>
          <t>Region III (Central Luzon)</t>
        </is>
      </c>
      <c r="E13" s="36" t="inlineStr">
        <is>
          <t>Bulacan</t>
        </is>
      </c>
      <c r="F13" s="36" t="inlineStr">
        <is>
          <t>Santa Maria</t>
        </is>
      </c>
      <c r="G13" s="36" t="inlineStr">
        <is>
          <t>San Gabriel</t>
        </is>
      </c>
      <c r="H13" s="37" t="n">
        <v>14.806653</v>
      </c>
      <c r="I13" s="37" t="n">
        <v>120.963383</v>
      </c>
      <c r="J13" s="8" t="inlineStr">
        <is>
          <t>U</t>
        </is>
      </c>
      <c r="K13" s="36" t="inlineStr">
        <is>
          <t>Class 1-3 / Urban</t>
        </is>
      </c>
      <c r="L13" s="18" t="n">
        <v>9630</v>
      </c>
      <c r="M13" s="20" t="n">
        <v>4.1</v>
      </c>
      <c r="N13" s="18">
        <f>ROUND(L13/M13, 0)</f>
        <v/>
      </c>
      <c r="O13" s="18">
        <f>ROUND(N13*'Methodology &amp; Assumptions'!$B$8, 0)</f>
        <v/>
      </c>
      <c r="P13" s="8" t="inlineStr">
        <is>
          <t>Band n50 (1.5 GHz, 60 MHz)</t>
        </is>
      </c>
      <c r="Q13" s="38">
        <f>ROUNDUP(O13/'Methodology &amp; Assumptions'!$B$9, 0)</f>
        <v/>
      </c>
      <c r="R13" s="39" t="n">
        <v>1</v>
      </c>
      <c r="S13" s="21" t="n">
        <v>0.72</v>
      </c>
      <c r="T13" s="21" t="n">
        <v>0.48</v>
      </c>
      <c r="U13" s="36" t="inlineStr">
        <is>
          <t>Tier 1A (Direct Coloc, &lt;1 km)</t>
        </is>
      </c>
      <c r="V13" s="20" t="n">
        <v>88.59999999999999</v>
      </c>
      <c r="W13" s="20" t="n">
        <v>100</v>
      </c>
      <c r="X13" s="20" t="n">
        <v>28</v>
      </c>
      <c r="Y13" s="40">
        <f>ROUND((V13*'Methodology &amp; Assumptions'!$B$6)+(W13*'Methodology &amp; Assumptions'!$B$5)+(X13*'Methodology &amp; Assumptions'!$B$7), 2)</f>
        <v/>
      </c>
    </row>
    <row r="14" ht="19" customHeight="1">
      <c r="A14" s="41" t="n">
        <v>10</v>
      </c>
      <c r="B14" s="41" t="n">
        <v>1010</v>
      </c>
      <c r="C14" s="42" t="inlineStr">
        <is>
          <t>0831600149</t>
        </is>
      </c>
      <c r="D14" s="42" t="inlineStr">
        <is>
          <t>Region VIII (Eastern Visayas)</t>
        </is>
      </c>
      <c r="E14" s="42" t="inlineStr">
        <is>
          <t>Leyte</t>
        </is>
      </c>
      <c r="F14" s="42" t="inlineStr">
        <is>
          <t>City of Tacloban</t>
        </is>
      </c>
      <c r="G14" s="42" t="inlineStr">
        <is>
          <t>Barangay 62-B</t>
        </is>
      </c>
      <c r="H14" s="43" t="n">
        <v>11.220557</v>
      </c>
      <c r="I14" s="43" t="n">
        <v>124.999736</v>
      </c>
      <c r="J14" s="44" t="inlineStr">
        <is>
          <t>R</t>
        </is>
      </c>
      <c r="K14" s="42" t="inlineStr">
        <is>
          <t>Class 1-3 / Urban</t>
        </is>
      </c>
      <c r="L14" s="23" t="n">
        <v>3487</v>
      </c>
      <c r="M14" s="24" t="n">
        <v>4.24</v>
      </c>
      <c r="N14" s="23">
        <f>ROUND(L14/M14, 0)</f>
        <v/>
      </c>
      <c r="O14" s="23">
        <f>ROUND(N14*'Methodology &amp; Assumptions'!$B$8, 0)</f>
        <v/>
      </c>
      <c r="P14" s="44" t="inlineStr">
        <is>
          <t>Band n50 (1.5 GHz, 60 MHz)</t>
        </is>
      </c>
      <c r="Q14" s="38">
        <f>ROUNDUP(O14/'Methodology &amp; Assumptions'!$B$9, 0)</f>
        <v/>
      </c>
      <c r="R14" s="39" t="n">
        <v>1</v>
      </c>
      <c r="S14" s="25" t="n">
        <v>1.39</v>
      </c>
      <c r="T14" s="25" t="n">
        <v>1.38</v>
      </c>
      <c r="U14" s="42" t="inlineStr">
        <is>
          <t>Tier 1B (Micro Drop, 1-3 km)</t>
        </is>
      </c>
      <c r="V14" s="24" t="n">
        <v>73</v>
      </c>
      <c r="W14" s="24" t="n">
        <v>89.90000000000001</v>
      </c>
      <c r="X14" s="24" t="n">
        <v>58</v>
      </c>
      <c r="Y14" s="45">
        <f>ROUND((V14*'Methodology &amp; Assumptions'!$B$6)+(W14*'Methodology &amp; Assumptions'!$B$5)+(X14*'Methodology &amp; Assumptions'!$B$7), 2)</f>
        <v/>
      </c>
    </row>
    <row r="15" ht="19" customHeight="1">
      <c r="A15" s="35" t="n">
        <v>11</v>
      </c>
      <c r="B15" s="35" t="n">
        <v>1011</v>
      </c>
      <c r="C15" s="36" t="inlineStr">
        <is>
          <t>1004308049</t>
        </is>
      </c>
      <c r="D15" s="36" t="inlineStr">
        <is>
          <t>Region X (Northern Mindanao)</t>
        </is>
      </c>
      <c r="E15" s="36" t="inlineStr">
        <is>
          <t>Misamis Oriental</t>
        </is>
      </c>
      <c r="F15" s="36" t="inlineStr">
        <is>
          <t>City of Gingoog</t>
        </is>
      </c>
      <c r="G15" s="36" t="inlineStr">
        <is>
          <t>Barangay 24</t>
        </is>
      </c>
      <c r="H15" s="37" t="n">
        <v>8.826999000000001</v>
      </c>
      <c r="I15" s="37" t="n">
        <v>125.095518</v>
      </c>
      <c r="J15" s="8" t="inlineStr">
        <is>
          <t>R</t>
        </is>
      </c>
      <c r="K15" s="36" t="inlineStr">
        <is>
          <t>Class 1-3 / Urban</t>
        </is>
      </c>
      <c r="L15" s="18" t="n">
        <v>3333</v>
      </c>
      <c r="M15" s="20" t="n">
        <v>4.54</v>
      </c>
      <c r="N15" s="18">
        <f>ROUND(L15/M15, 0)</f>
        <v/>
      </c>
      <c r="O15" s="18">
        <f>ROUND(N15*'Methodology &amp; Assumptions'!$B$8, 0)</f>
        <v/>
      </c>
      <c r="P15" s="8" t="inlineStr">
        <is>
          <t>Band n50 (1.5 GHz, 60 MHz)</t>
        </is>
      </c>
      <c r="Q15" s="38">
        <f>ROUNDUP(O15/'Methodology &amp; Assumptions'!$B$9, 0)</f>
        <v/>
      </c>
      <c r="R15" s="39" t="n">
        <v>1</v>
      </c>
      <c r="S15" s="21" t="n">
        <v>1.06</v>
      </c>
      <c r="T15" s="21" t="n">
        <v>0.39</v>
      </c>
      <c r="U15" s="36" t="inlineStr">
        <is>
          <t>Tier 1B (Micro Drop, 1-3 km)</t>
        </is>
      </c>
      <c r="V15" s="20" t="n">
        <v>80.2</v>
      </c>
      <c r="W15" s="20" t="n">
        <v>82.7</v>
      </c>
      <c r="X15" s="20" t="n">
        <v>58</v>
      </c>
      <c r="Y15" s="40">
        <f>ROUND((V15*'Methodology &amp; Assumptions'!$B$6)+(W15*'Methodology &amp; Assumptions'!$B$5)+(X15*'Methodology &amp; Assumptions'!$B$7), 2)</f>
        <v/>
      </c>
    </row>
    <row r="16" ht="19" customHeight="1">
      <c r="A16" s="41" t="n">
        <v>12</v>
      </c>
      <c r="B16" s="41" t="n">
        <v>1012</v>
      </c>
      <c r="C16" s="42" t="inlineStr">
        <is>
          <t>0305413043</t>
        </is>
      </c>
      <c r="D16" s="42" t="inlineStr">
        <is>
          <t>Region III (Central Luzon)</t>
        </is>
      </c>
      <c r="E16" s="42" t="inlineStr">
        <is>
          <t>Pampanga</t>
        </is>
      </c>
      <c r="F16" s="42" t="inlineStr">
        <is>
          <t>Mexico</t>
        </is>
      </c>
      <c r="G16" s="42" t="inlineStr">
        <is>
          <t>Santo Rosario</t>
        </is>
      </c>
      <c r="H16" s="43" t="n">
        <v>15.06766</v>
      </c>
      <c r="I16" s="43" t="n">
        <v>120.7278</v>
      </c>
      <c r="J16" s="44" t="inlineStr">
        <is>
          <t>U</t>
        </is>
      </c>
      <c r="K16" s="42" t="inlineStr">
        <is>
          <t>Class 1-3 / Urban</t>
        </is>
      </c>
      <c r="L16" s="23" t="n">
        <v>4163</v>
      </c>
      <c r="M16" s="24" t="n">
        <v>4.63</v>
      </c>
      <c r="N16" s="23">
        <f>ROUND(L16/M16, 0)</f>
        <v/>
      </c>
      <c r="O16" s="23">
        <f>ROUND(N16*'Methodology &amp; Assumptions'!$B$8, 0)</f>
        <v/>
      </c>
      <c r="P16" s="44" t="inlineStr">
        <is>
          <t>Band n50 (1.5 GHz, 60 MHz)</t>
        </is>
      </c>
      <c r="Q16" s="38">
        <f>ROUNDUP(O16/'Methodology &amp; Assumptions'!$B$9, 0)</f>
        <v/>
      </c>
      <c r="R16" s="39" t="n">
        <v>1</v>
      </c>
      <c r="S16" s="25" t="n">
        <v>0.58</v>
      </c>
      <c r="T16" s="25" t="n">
        <v>0.17</v>
      </c>
      <c r="U16" s="42" t="inlineStr">
        <is>
          <t>Tier 1A (Direct Coloc, &lt;1 km)</t>
        </is>
      </c>
      <c r="V16" s="24" t="n">
        <v>92.5</v>
      </c>
      <c r="W16" s="24" t="n">
        <v>96</v>
      </c>
      <c r="X16" s="24" t="n">
        <v>28</v>
      </c>
      <c r="Y16" s="45">
        <f>ROUND((V16*'Methodology &amp; Assumptions'!$B$6)+(W16*'Methodology &amp; Assumptions'!$B$5)+(X16*'Methodology &amp; Assumptions'!$B$7), 2)</f>
        <v/>
      </c>
    </row>
    <row r="17" ht="19" customHeight="1">
      <c r="A17" s="35" t="n">
        <v>13</v>
      </c>
      <c r="B17" s="35" t="n">
        <v>1013</v>
      </c>
      <c r="C17" s="36" t="inlineStr">
        <is>
          <t>0500503031</t>
        </is>
      </c>
      <c r="D17" s="36" t="inlineStr">
        <is>
          <t>Region V (Bicol Region)</t>
        </is>
      </c>
      <c r="E17" s="36" t="inlineStr">
        <is>
          <t>Albay</t>
        </is>
      </c>
      <c r="F17" s="36" t="inlineStr">
        <is>
          <t>Daraga</t>
        </is>
      </c>
      <c r="G17" s="36" t="inlineStr">
        <is>
          <t>Malabog</t>
        </is>
      </c>
      <c r="H17" s="37" t="n">
        <v>13.170826</v>
      </c>
      <c r="I17" s="37" t="n">
        <v>123.683301</v>
      </c>
      <c r="J17" s="8" t="inlineStr">
        <is>
          <t>R</t>
        </is>
      </c>
      <c r="K17" s="36" t="inlineStr">
        <is>
          <t>Class 1-3 / Urban</t>
        </is>
      </c>
      <c r="L17" s="18" t="n">
        <v>4443</v>
      </c>
      <c r="M17" s="20" t="n">
        <v>4.67</v>
      </c>
      <c r="N17" s="18">
        <f>ROUND(L17/M17, 0)</f>
        <v/>
      </c>
      <c r="O17" s="18">
        <f>ROUND(N17*'Methodology &amp; Assumptions'!$B$8, 0)</f>
        <v/>
      </c>
      <c r="P17" s="8" t="inlineStr">
        <is>
          <t>Band n50 (1.5 GHz, 60 MHz)</t>
        </is>
      </c>
      <c r="Q17" s="38">
        <f>ROUNDUP(O17/'Methodology &amp; Assumptions'!$B$9, 0)</f>
        <v/>
      </c>
      <c r="R17" s="39" t="n">
        <v>1</v>
      </c>
      <c r="S17" s="21" t="n">
        <v>1.92</v>
      </c>
      <c r="T17" s="21" t="n">
        <v>0.27</v>
      </c>
      <c r="U17" s="36" t="inlineStr">
        <is>
          <t>Tier 1B (Micro Drop, 1-3 km)</t>
        </is>
      </c>
      <c r="V17" s="20" t="n">
        <v>62.8</v>
      </c>
      <c r="W17" s="20" t="n">
        <v>100</v>
      </c>
      <c r="X17" s="20" t="n">
        <v>58</v>
      </c>
      <c r="Y17" s="40">
        <f>ROUND((V17*'Methodology &amp; Assumptions'!$B$6)+(W17*'Methodology &amp; Assumptions'!$B$5)+(X17*'Methodology &amp; Assumptions'!$B$7), 2)</f>
        <v/>
      </c>
    </row>
    <row r="18" ht="19" customHeight="1">
      <c r="A18" s="41" t="n">
        <v>14</v>
      </c>
      <c r="B18" s="41" t="n">
        <v>1014</v>
      </c>
      <c r="C18" s="42" t="inlineStr">
        <is>
          <t>0203115012</t>
        </is>
      </c>
      <c r="D18" s="42" t="inlineStr">
        <is>
          <t>Region II (Cagayan Valley)</t>
        </is>
      </c>
      <c r="E18" s="42" t="inlineStr">
        <is>
          <t>Isabela</t>
        </is>
      </c>
      <c r="F18" s="42" t="inlineStr">
        <is>
          <t>Jones</t>
        </is>
      </c>
      <c r="G18" s="42" t="inlineStr">
        <is>
          <t>Dibuluan</t>
        </is>
      </c>
      <c r="H18" s="43" t="n">
        <v>16.519513</v>
      </c>
      <c r="I18" s="43" t="n">
        <v>121.765064</v>
      </c>
      <c r="J18" s="44" t="inlineStr">
        <is>
          <t>R</t>
        </is>
      </c>
      <c r="K18" s="42" t="inlineStr">
        <is>
          <t>Class 1-3 / Urban</t>
        </is>
      </c>
      <c r="L18" s="23" t="n">
        <v>2467</v>
      </c>
      <c r="M18" s="24" t="n">
        <v>4.3</v>
      </c>
      <c r="N18" s="23">
        <f>ROUND(L18/M18, 0)</f>
        <v/>
      </c>
      <c r="O18" s="23">
        <f>ROUND(N18*'Methodology &amp; Assumptions'!$B$8, 0)</f>
        <v/>
      </c>
      <c r="P18" s="44" t="inlineStr">
        <is>
          <t>Band n50 (1.5 GHz, 60 MHz)</t>
        </is>
      </c>
      <c r="Q18" s="38">
        <f>ROUNDUP(O18/'Methodology &amp; Assumptions'!$B$9, 0)</f>
        <v/>
      </c>
      <c r="R18" s="39" t="n">
        <v>1</v>
      </c>
      <c r="S18" s="25" t="n">
        <v>0.22</v>
      </c>
      <c r="T18" s="25" t="n">
        <v>15.46</v>
      </c>
      <c r="U18" s="42" t="inlineStr">
        <is>
          <t>Tier 1A (Direct Coloc, &lt;1 km)</t>
        </is>
      </c>
      <c r="V18" s="24" t="n">
        <v>92.90000000000001</v>
      </c>
      <c r="W18" s="24" t="n">
        <v>69.90000000000001</v>
      </c>
      <c r="X18" s="24" t="n">
        <v>58</v>
      </c>
      <c r="Y18" s="45">
        <f>ROUND((V18*'Methodology &amp; Assumptions'!$B$6)+(W18*'Methodology &amp; Assumptions'!$B$5)+(X18*'Methodology &amp; Assumptions'!$B$7), 2)</f>
        <v/>
      </c>
    </row>
    <row r="19" ht="19" customHeight="1">
      <c r="A19" s="35" t="n">
        <v>15</v>
      </c>
      <c r="B19" s="35" t="n">
        <v>1015</v>
      </c>
      <c r="C19" s="36" t="inlineStr">
        <is>
          <t>0300807008</t>
        </is>
      </c>
      <c r="D19" s="36" t="inlineStr">
        <is>
          <t>Region III (Central Luzon)</t>
        </is>
      </c>
      <c r="E19" s="36" t="inlineStr">
        <is>
          <t>Bataan</t>
        </is>
      </c>
      <c r="F19" s="36" t="inlineStr">
        <is>
          <t>Mariveles</t>
        </is>
      </c>
      <c r="G19" s="36" t="inlineStr">
        <is>
          <t>Poblacion</t>
        </is>
      </c>
      <c r="H19" s="37" t="n">
        <v>14.677783</v>
      </c>
      <c r="I19" s="37" t="n">
        <v>120.54246</v>
      </c>
      <c r="J19" s="8" t="inlineStr">
        <is>
          <t>U</t>
        </is>
      </c>
      <c r="K19" s="36" t="inlineStr">
        <is>
          <t>Class 1-3 / Urban</t>
        </is>
      </c>
      <c r="L19" s="18" t="n">
        <v>8458</v>
      </c>
      <c r="M19" s="20" t="n">
        <v>4.57</v>
      </c>
      <c r="N19" s="18">
        <f>ROUND(L19/M19, 0)</f>
        <v/>
      </c>
      <c r="O19" s="18">
        <f>ROUND(N19*'Methodology &amp; Assumptions'!$B$8, 0)</f>
        <v/>
      </c>
      <c r="P19" s="8" t="inlineStr">
        <is>
          <t>Band n50 (1.5 GHz, 60 MHz)</t>
        </is>
      </c>
      <c r="Q19" s="38">
        <f>ROUNDUP(O19/'Methodology &amp; Assumptions'!$B$9, 0)</f>
        <v/>
      </c>
      <c r="R19" s="39" t="n">
        <v>1</v>
      </c>
      <c r="S19" s="21" t="n">
        <v>0.73</v>
      </c>
      <c r="T19" s="21" t="n">
        <v>0.15</v>
      </c>
      <c r="U19" s="36" t="inlineStr">
        <is>
          <t>Tier 1A (Direct Coloc, &lt;1 km)</t>
        </is>
      </c>
      <c r="V19" s="20" t="n">
        <v>88.5</v>
      </c>
      <c r="W19" s="20" t="n">
        <v>100</v>
      </c>
      <c r="X19" s="20" t="n">
        <v>28</v>
      </c>
      <c r="Y19" s="40">
        <f>ROUND((V19*'Methodology &amp; Assumptions'!$B$6)+(W19*'Methodology &amp; Assumptions'!$B$5)+(X19*'Methodology &amp; Assumptions'!$B$7), 2)</f>
        <v/>
      </c>
    </row>
    <row r="20" ht="19" customHeight="1">
      <c r="A20" s="41" t="n">
        <v>16</v>
      </c>
      <c r="B20" s="41" t="n">
        <v>1016</v>
      </c>
      <c r="C20" s="42" t="inlineStr">
        <is>
          <t>1001312001</t>
        </is>
      </c>
      <c r="D20" s="42" t="inlineStr">
        <is>
          <t>Region X (Northern Mindanao)</t>
        </is>
      </c>
      <c r="E20" s="42" t="inlineStr">
        <is>
          <t>Bukidnon</t>
        </is>
      </c>
      <c r="F20" s="42" t="inlineStr">
        <is>
          <t>City of Malaybalay</t>
        </is>
      </c>
      <c r="G20" s="42" t="inlineStr">
        <is>
          <t>Aglayan</t>
        </is>
      </c>
      <c r="H20" s="43" t="n">
        <v>8.054129</v>
      </c>
      <c r="I20" s="43" t="n">
        <v>125.13646</v>
      </c>
      <c r="J20" s="44" t="inlineStr">
        <is>
          <t>U</t>
        </is>
      </c>
      <c r="K20" s="42" t="inlineStr">
        <is>
          <t>Class 1-3 / Urban</t>
        </is>
      </c>
      <c r="L20" s="23" t="n">
        <v>8215</v>
      </c>
      <c r="M20" s="24" t="n">
        <v>4.63</v>
      </c>
      <c r="N20" s="23">
        <f>ROUND(L20/M20, 0)</f>
        <v/>
      </c>
      <c r="O20" s="23">
        <f>ROUND(N20*'Methodology &amp; Assumptions'!$B$8, 0)</f>
        <v/>
      </c>
      <c r="P20" s="44" t="inlineStr">
        <is>
          <t>Band n50 (1.5 GHz, 60 MHz)</t>
        </is>
      </c>
      <c r="Q20" s="38">
        <f>ROUNDUP(O20/'Methodology &amp; Assumptions'!$B$9, 0)</f>
        <v/>
      </c>
      <c r="R20" s="39" t="n">
        <v>1</v>
      </c>
      <c r="S20" s="25" t="n">
        <v>0.73</v>
      </c>
      <c r="T20" s="25" t="n">
        <v>0.16</v>
      </c>
      <c r="U20" s="42" t="inlineStr">
        <is>
          <t>Tier 1A (Direct Coloc, &lt;1 km)</t>
        </is>
      </c>
      <c r="V20" s="24" t="n">
        <v>88.5</v>
      </c>
      <c r="W20" s="24" t="n">
        <v>100</v>
      </c>
      <c r="X20" s="24" t="n">
        <v>28</v>
      </c>
      <c r="Y20" s="45">
        <f>ROUND((V20*'Methodology &amp; Assumptions'!$B$6)+(W20*'Methodology &amp; Assumptions'!$B$5)+(X20*'Methodology &amp; Assumptions'!$B$7), 2)</f>
        <v/>
      </c>
    </row>
    <row r="21" ht="19" customHeight="1">
      <c r="A21" s="35" t="n">
        <v>17</v>
      </c>
      <c r="B21" s="35" t="n">
        <v>1017</v>
      </c>
      <c r="C21" s="36" t="inlineStr">
        <is>
          <t>0300808004</t>
        </is>
      </c>
      <c r="D21" s="36" t="inlineStr">
        <is>
          <t>Region III (Central Luzon)</t>
        </is>
      </c>
      <c r="E21" s="36" t="inlineStr">
        <is>
          <t>Bataan</t>
        </is>
      </c>
      <c r="F21" s="36" t="inlineStr">
        <is>
          <t>Morong</t>
        </is>
      </c>
      <c r="G21" s="36" t="inlineStr">
        <is>
          <t>Poblacion</t>
        </is>
      </c>
      <c r="H21" s="37" t="n">
        <v>14.677783</v>
      </c>
      <c r="I21" s="37" t="n">
        <v>120.54246</v>
      </c>
      <c r="J21" s="8" t="inlineStr">
        <is>
          <t>U</t>
        </is>
      </c>
      <c r="K21" s="36" t="inlineStr">
        <is>
          <t>Class 1-3 / Urban</t>
        </is>
      </c>
      <c r="L21" s="18" t="n">
        <v>7329</v>
      </c>
      <c r="M21" s="20" t="n">
        <v>4.57</v>
      </c>
      <c r="N21" s="18">
        <f>ROUND(L21/M21, 0)</f>
        <v/>
      </c>
      <c r="O21" s="18">
        <f>ROUND(N21*'Methodology &amp; Assumptions'!$B$8, 0)</f>
        <v/>
      </c>
      <c r="P21" s="8" t="inlineStr">
        <is>
          <t>Band n50 (1.5 GHz, 60 MHz)</t>
        </is>
      </c>
      <c r="Q21" s="38">
        <f>ROUNDUP(O21/'Methodology &amp; Assumptions'!$B$9, 0)</f>
        <v/>
      </c>
      <c r="R21" s="39" t="n">
        <v>1</v>
      </c>
      <c r="S21" s="21" t="n">
        <v>0.73</v>
      </c>
      <c r="T21" s="21" t="n">
        <v>0.15</v>
      </c>
      <c r="U21" s="36" t="inlineStr">
        <is>
          <t>Tier 1A (Direct Coloc, &lt;1 km)</t>
        </is>
      </c>
      <c r="V21" s="20" t="n">
        <v>88.5</v>
      </c>
      <c r="W21" s="20" t="n">
        <v>100</v>
      </c>
      <c r="X21" s="20" t="n">
        <v>28</v>
      </c>
      <c r="Y21" s="40">
        <f>ROUND((V21*'Methodology &amp; Assumptions'!$B$6)+(W21*'Methodology &amp; Assumptions'!$B$5)+(X21*'Methodology &amp; Assumptions'!$B$7), 2)</f>
        <v/>
      </c>
    </row>
    <row r="22" ht="19" customHeight="1">
      <c r="A22" s="41" t="n">
        <v>18</v>
      </c>
      <c r="B22" s="41" t="n">
        <v>1018</v>
      </c>
      <c r="C22" s="42" t="inlineStr">
        <is>
          <t>0331400002</t>
        </is>
      </c>
      <c r="D22" s="42" t="inlineStr">
        <is>
          <t>Region III (Central Luzon)</t>
        </is>
      </c>
      <c r="E22" s="42" t="inlineStr">
        <is>
          <t>Zambales</t>
        </is>
      </c>
      <c r="F22" s="42" t="inlineStr">
        <is>
          <t>City of Olongapo</t>
        </is>
      </c>
      <c r="G22" s="42" t="inlineStr">
        <is>
          <t>Banicain</t>
        </is>
      </c>
      <c r="H22" s="43" t="n">
        <v>14.829338</v>
      </c>
      <c r="I22" s="43" t="n">
        <v>120.27574</v>
      </c>
      <c r="J22" s="44" t="inlineStr">
        <is>
          <t>U</t>
        </is>
      </c>
      <c r="K22" s="42" t="inlineStr">
        <is>
          <t>Class 1-3 / Urban</t>
        </is>
      </c>
      <c r="L22" s="23" t="n">
        <v>7563</v>
      </c>
      <c r="M22" s="24" t="n">
        <v>4.05</v>
      </c>
      <c r="N22" s="23">
        <f>ROUND(L22/M22, 0)</f>
        <v/>
      </c>
      <c r="O22" s="23">
        <f>ROUND(N22*'Methodology &amp; Assumptions'!$B$8, 0)</f>
        <v/>
      </c>
      <c r="P22" s="44" t="inlineStr">
        <is>
          <t>Band n50 (1.5 GHz, 60 MHz)</t>
        </is>
      </c>
      <c r="Q22" s="38">
        <f>ROUNDUP(O22/'Methodology &amp; Assumptions'!$B$9, 0)</f>
        <v/>
      </c>
      <c r="R22" s="39" t="n">
        <v>1</v>
      </c>
      <c r="S22" s="25" t="n">
        <v>0.73</v>
      </c>
      <c r="T22" s="25" t="n">
        <v>0.29</v>
      </c>
      <c r="U22" s="42" t="inlineStr">
        <is>
          <t>Tier 1A (Direct Coloc, &lt;1 km)</t>
        </is>
      </c>
      <c r="V22" s="24" t="n">
        <v>88.5</v>
      </c>
      <c r="W22" s="24" t="n">
        <v>100</v>
      </c>
      <c r="X22" s="24" t="n">
        <v>28</v>
      </c>
      <c r="Y22" s="45">
        <f>ROUND((V22*'Methodology &amp; Assumptions'!$B$6)+(W22*'Methodology &amp; Assumptions'!$B$5)+(X22*'Methodology &amp; Assumptions'!$B$7), 2)</f>
        <v/>
      </c>
    </row>
    <row r="23" ht="19" customHeight="1">
      <c r="A23" s="35" t="n">
        <v>19</v>
      </c>
      <c r="B23" s="35" t="n">
        <v>1019</v>
      </c>
      <c r="C23" s="36" t="inlineStr">
        <is>
          <t>0702251019</t>
        </is>
      </c>
      <c r="D23" s="36" t="inlineStr">
        <is>
          <t>Region VII (Central Visayas)</t>
        </is>
      </c>
      <c r="E23" s="36" t="inlineStr">
        <is>
          <t>Cebu</t>
        </is>
      </c>
      <c r="F23" s="36" t="inlineStr">
        <is>
          <t>City of Toledo</t>
        </is>
      </c>
      <c r="G23" s="36" t="inlineStr">
        <is>
          <t>Ilihan</t>
        </is>
      </c>
      <c r="H23" s="37" t="n">
        <v>10.382529</v>
      </c>
      <c r="I23" s="37" t="n">
        <v>123.659005</v>
      </c>
      <c r="J23" s="8" t="inlineStr">
        <is>
          <t>R</t>
        </is>
      </c>
      <c r="K23" s="36" t="inlineStr">
        <is>
          <t>Class 1-3 / Urban</t>
        </is>
      </c>
      <c r="L23" s="18" t="n">
        <v>4422</v>
      </c>
      <c r="M23" s="20" t="n">
        <v>4.42</v>
      </c>
      <c r="N23" s="18">
        <f>ROUND(L23/M23, 0)</f>
        <v/>
      </c>
      <c r="O23" s="18">
        <f>ROUND(N23*'Methodology &amp; Assumptions'!$B$8, 0)</f>
        <v/>
      </c>
      <c r="P23" s="8" t="inlineStr">
        <is>
          <t>Band n50 (1.5 GHz, 60 MHz)</t>
        </is>
      </c>
      <c r="Q23" s="38">
        <f>ROUNDUP(O23/'Methodology &amp; Assumptions'!$B$9, 0)</f>
        <v/>
      </c>
      <c r="R23" s="39" t="n">
        <v>1</v>
      </c>
      <c r="S23" s="21" t="n">
        <v>1.92</v>
      </c>
      <c r="T23" s="21" t="n">
        <v>0.12</v>
      </c>
      <c r="U23" s="36" t="inlineStr">
        <is>
          <t>Tier 1B (Micro Drop, 1-3 km)</t>
        </is>
      </c>
      <c r="V23" s="20" t="n">
        <v>62.7</v>
      </c>
      <c r="W23" s="20" t="n">
        <v>100</v>
      </c>
      <c r="X23" s="20" t="n">
        <v>58</v>
      </c>
      <c r="Y23" s="40">
        <f>ROUND((V23*'Methodology &amp; Assumptions'!$B$6)+(W23*'Methodology &amp; Assumptions'!$B$5)+(X23*'Methodology &amp; Assumptions'!$B$7), 2)</f>
        <v/>
      </c>
    </row>
    <row r="24" ht="19" customHeight="1">
      <c r="A24" s="41" t="n">
        <v>20</v>
      </c>
      <c r="B24" s="41" t="n">
        <v>1020</v>
      </c>
      <c r="C24" s="42" t="inlineStr">
        <is>
          <t>0702224019</t>
        </is>
      </c>
      <c r="D24" s="42" t="inlineStr">
        <is>
          <t>Region VII (Central Visayas)</t>
        </is>
      </c>
      <c r="E24" s="42" t="inlineStr">
        <is>
          <t>Cebu</t>
        </is>
      </c>
      <c r="F24" s="42" t="inlineStr">
        <is>
          <t>Dumanjug</t>
        </is>
      </c>
      <c r="G24" s="42" t="inlineStr">
        <is>
          <t>Cogon</t>
        </is>
      </c>
      <c r="H24" s="43" t="n">
        <v>10.047776</v>
      </c>
      <c r="I24" s="43" t="n">
        <v>123.442685</v>
      </c>
      <c r="J24" s="44" t="inlineStr">
        <is>
          <t>R</t>
        </is>
      </c>
      <c r="K24" s="42" t="inlineStr">
        <is>
          <t>Class 1-3 / Urban</t>
        </is>
      </c>
      <c r="L24" s="23" t="n">
        <v>3402</v>
      </c>
      <c r="M24" s="24" t="n">
        <v>4.42</v>
      </c>
      <c r="N24" s="23">
        <f>ROUND(L24/M24, 0)</f>
        <v/>
      </c>
      <c r="O24" s="23">
        <f>ROUND(N24*'Methodology &amp; Assumptions'!$B$8, 0)</f>
        <v/>
      </c>
      <c r="P24" s="44" t="inlineStr">
        <is>
          <t>Band n50 (1.5 GHz, 60 MHz)</t>
        </is>
      </c>
      <c r="Q24" s="38">
        <f>ROUNDUP(O24/'Methodology &amp; Assumptions'!$B$9, 0)</f>
        <v/>
      </c>
      <c r="R24" s="39" t="n">
        <v>1</v>
      </c>
      <c r="S24" s="25" t="n">
        <v>1.2</v>
      </c>
      <c r="T24" s="25" t="n">
        <v>1.11</v>
      </c>
      <c r="U24" s="42" t="inlineStr">
        <is>
          <t>Tier 1B (Micro Drop, 1-3 km)</t>
        </is>
      </c>
      <c r="V24" s="24" t="n">
        <v>77.09999999999999</v>
      </c>
      <c r="W24" s="24" t="n">
        <v>85.59999999999999</v>
      </c>
      <c r="X24" s="24" t="n">
        <v>58</v>
      </c>
      <c r="Y24" s="45">
        <f>ROUND((V24*'Methodology &amp; Assumptions'!$B$6)+(W24*'Methodology &amp; Assumptions'!$B$5)+(X24*'Methodology &amp; Assumptions'!$B$7), 2)</f>
        <v/>
      </c>
    </row>
    <row r="25" ht="19" customHeight="1">
      <c r="A25" s="35" t="n">
        <v>21</v>
      </c>
      <c r="B25" s="35" t="n">
        <v>1021</v>
      </c>
      <c r="C25" s="36" t="inlineStr">
        <is>
          <t>0500506012</t>
        </is>
      </c>
      <c r="D25" s="36" t="inlineStr">
        <is>
          <t>Region V (Bicol Region)</t>
        </is>
      </c>
      <c r="E25" s="36" t="inlineStr">
        <is>
          <t>Albay</t>
        </is>
      </c>
      <c r="F25" s="36" t="inlineStr">
        <is>
          <t>City of Legazpi</t>
        </is>
      </c>
      <c r="G25" s="36" t="inlineStr">
        <is>
          <t>Bgy. 16 - Kawit-East Washington Drive</t>
        </is>
      </c>
      <c r="H25" s="37" t="n">
        <v>13.142021</v>
      </c>
      <c r="I25" s="37" t="n">
        <v>123.733613</v>
      </c>
      <c r="J25" s="8" t="inlineStr">
        <is>
          <t>U</t>
        </is>
      </c>
      <c r="K25" s="36" t="inlineStr">
        <is>
          <t>Class 1-3 / Urban</t>
        </is>
      </c>
      <c r="L25" s="18" t="n">
        <v>5337</v>
      </c>
      <c r="M25" s="20" t="n">
        <v>4.67</v>
      </c>
      <c r="N25" s="18">
        <f>ROUND(L25/M25, 0)</f>
        <v/>
      </c>
      <c r="O25" s="18">
        <f>ROUND(N25*'Methodology &amp; Assumptions'!$B$8, 0)</f>
        <v/>
      </c>
      <c r="P25" s="8" t="inlineStr">
        <is>
          <t>Band n50 (1.5 GHz, 60 MHz)</t>
        </is>
      </c>
      <c r="Q25" s="38">
        <f>ROUNDUP(O25/'Methodology &amp; Assumptions'!$B$9, 0)</f>
        <v/>
      </c>
      <c r="R25" s="39" t="n">
        <v>1</v>
      </c>
      <c r="S25" s="21" t="n">
        <v>0.73</v>
      </c>
      <c r="T25" s="21" t="n">
        <v>0.36</v>
      </c>
      <c r="U25" s="36" t="inlineStr">
        <is>
          <t>Tier 1A (Direct Coloc, &lt;1 km)</t>
        </is>
      </c>
      <c r="V25" s="20" t="n">
        <v>88.40000000000001</v>
      </c>
      <c r="W25" s="20" t="n">
        <v>100</v>
      </c>
      <c r="X25" s="20" t="n">
        <v>28</v>
      </c>
      <c r="Y25" s="40">
        <f>ROUND((V25*'Methodology &amp; Assumptions'!$B$6)+(W25*'Methodology &amp; Assumptions'!$B$5)+(X25*'Methodology &amp; Assumptions'!$B$7), 2)</f>
        <v/>
      </c>
    </row>
    <row r="26" ht="19" customHeight="1">
      <c r="A26" s="41" t="n">
        <v>22</v>
      </c>
      <c r="B26" s="41" t="n">
        <v>1022</v>
      </c>
      <c r="C26" s="42" t="inlineStr">
        <is>
          <t>0105522018</t>
        </is>
      </c>
      <c r="D26" s="42" t="inlineStr">
        <is>
          <t>Region I (Ilocos Region)</t>
        </is>
      </c>
      <c r="E26" s="42" t="inlineStr">
        <is>
          <t>Pangasinan</t>
        </is>
      </c>
      <c r="F26" s="42" t="inlineStr">
        <is>
          <t>Lingayen</t>
        </is>
      </c>
      <c r="G26" s="42" t="inlineStr">
        <is>
          <t>Libsong West</t>
        </is>
      </c>
      <c r="H26" s="43" t="n">
        <v>16.028687</v>
      </c>
      <c r="I26" s="43" t="n">
        <v>120.236077</v>
      </c>
      <c r="J26" s="44" t="inlineStr">
        <is>
          <t>U</t>
        </is>
      </c>
      <c r="K26" s="42" t="inlineStr">
        <is>
          <t>Class 1-3 / Urban</t>
        </is>
      </c>
      <c r="L26" s="23" t="n">
        <v>5285</v>
      </c>
      <c r="M26" s="24" t="n">
        <v>4.39</v>
      </c>
      <c r="N26" s="23">
        <f>ROUND(L26/M26, 0)</f>
        <v/>
      </c>
      <c r="O26" s="23">
        <f>ROUND(N26*'Methodology &amp; Assumptions'!$B$8, 0)</f>
        <v/>
      </c>
      <c r="P26" s="44" t="inlineStr">
        <is>
          <t>Band n50 (1.5 GHz, 60 MHz)</t>
        </is>
      </c>
      <c r="Q26" s="38">
        <f>ROUNDUP(O26/'Methodology &amp; Assumptions'!$B$9, 0)</f>
        <v/>
      </c>
      <c r="R26" s="39" t="n">
        <v>1</v>
      </c>
      <c r="S26" s="25" t="n">
        <v>0.73</v>
      </c>
      <c r="T26" s="25" t="n">
        <v>0.6899999999999999</v>
      </c>
      <c r="U26" s="42" t="inlineStr">
        <is>
          <t>Tier 1A (Direct Coloc, &lt;1 km)</t>
        </is>
      </c>
      <c r="V26" s="24" t="n">
        <v>88.40000000000001</v>
      </c>
      <c r="W26" s="24" t="n">
        <v>100</v>
      </c>
      <c r="X26" s="24" t="n">
        <v>28</v>
      </c>
      <c r="Y26" s="45">
        <f>ROUND((V26*'Methodology &amp; Assumptions'!$B$6)+(W26*'Methodology &amp; Assumptions'!$B$5)+(X26*'Methodology &amp; Assumptions'!$B$7), 2)</f>
        <v/>
      </c>
    </row>
    <row r="27" ht="19" customHeight="1">
      <c r="A27" s="35" t="n">
        <v>23</v>
      </c>
      <c r="B27" s="35" t="n">
        <v>1023</v>
      </c>
      <c r="C27" s="36" t="inlineStr">
        <is>
          <t>0504101031</t>
        </is>
      </c>
      <c r="D27" s="36" t="inlineStr">
        <is>
          <t>Region V (Bicol Region)</t>
        </is>
      </c>
      <c r="E27" s="36" t="inlineStr">
        <is>
          <t>Masbate</t>
        </is>
      </c>
      <c r="F27" s="36" t="inlineStr">
        <is>
          <t>Aroroy</t>
        </is>
      </c>
      <c r="G27" s="36" t="inlineStr">
        <is>
          <t>Poblacion</t>
        </is>
      </c>
      <c r="H27" s="37" t="n">
        <v>12.511619</v>
      </c>
      <c r="I27" s="37" t="n">
        <v>123.397319</v>
      </c>
      <c r="J27" s="8" t="inlineStr">
        <is>
          <t>U</t>
        </is>
      </c>
      <c r="K27" s="36" t="inlineStr">
        <is>
          <t>Class 1-3 / Urban</t>
        </is>
      </c>
      <c r="L27" s="18" t="n">
        <v>4090</v>
      </c>
      <c r="M27" s="20" t="n">
        <v>4.6</v>
      </c>
      <c r="N27" s="18">
        <f>ROUND(L27/M27, 0)</f>
        <v/>
      </c>
      <c r="O27" s="18">
        <f>ROUND(N27*'Methodology &amp; Assumptions'!$B$8, 0)</f>
        <v/>
      </c>
      <c r="P27" s="8" t="inlineStr">
        <is>
          <t>Band n50 (1.5 GHz, 60 MHz)</t>
        </is>
      </c>
      <c r="Q27" s="38">
        <f>ROUNDUP(O27/'Methodology &amp; Assumptions'!$B$9, 0)</f>
        <v/>
      </c>
      <c r="R27" s="39" t="n">
        <v>1</v>
      </c>
      <c r="S27" s="21" t="n">
        <v>0.21</v>
      </c>
      <c r="T27" s="21" t="n">
        <v>4.17</v>
      </c>
      <c r="U27" s="36" t="inlineStr">
        <is>
          <t>Tier 1A (Direct Coloc, &lt;1 km)</t>
        </is>
      </c>
      <c r="V27" s="20" t="n">
        <v>93.2</v>
      </c>
      <c r="W27" s="20" t="n">
        <v>95.2</v>
      </c>
      <c r="X27" s="20" t="n">
        <v>28</v>
      </c>
      <c r="Y27" s="40">
        <f>ROUND((V27*'Methodology &amp; Assumptions'!$B$6)+(W27*'Methodology &amp; Assumptions'!$B$5)+(X27*'Methodology &amp; Assumptions'!$B$7), 2)</f>
        <v/>
      </c>
    </row>
    <row r="28" ht="19" customHeight="1">
      <c r="A28" s="41" t="n">
        <v>24</v>
      </c>
      <c r="B28" s="41" t="n">
        <v>1024</v>
      </c>
      <c r="C28" s="42" t="inlineStr">
        <is>
          <t>0201529046</t>
        </is>
      </c>
      <c r="D28" s="42" t="inlineStr">
        <is>
          <t>Region II (Cagayan Valley)</t>
        </is>
      </c>
      <c r="E28" s="42" t="inlineStr">
        <is>
          <t>Cagayan</t>
        </is>
      </c>
      <c r="F28" s="42" t="inlineStr">
        <is>
          <t>Tuguegarao City</t>
        </is>
      </c>
      <c r="G28" s="42" t="inlineStr">
        <is>
          <t>Linao Norte</t>
        </is>
      </c>
      <c r="H28" s="43" t="n">
        <v>17.658445</v>
      </c>
      <c r="I28" s="43" t="n">
        <v>121.72804</v>
      </c>
      <c r="J28" s="44" t="inlineStr">
        <is>
          <t>R</t>
        </is>
      </c>
      <c r="K28" s="42" t="inlineStr">
        <is>
          <t>Class 1-3 / Urban</t>
        </is>
      </c>
      <c r="L28" s="23" t="n">
        <v>3694</v>
      </c>
      <c r="M28" s="24" t="n">
        <v>4.38</v>
      </c>
      <c r="N28" s="23">
        <f>ROUND(L28/M28, 0)</f>
        <v/>
      </c>
      <c r="O28" s="23">
        <f>ROUND(N28*'Methodology &amp; Assumptions'!$B$8, 0)</f>
        <v/>
      </c>
      <c r="P28" s="44" t="inlineStr">
        <is>
          <t>Band n50 (1.5 GHz, 60 MHz)</t>
        </is>
      </c>
      <c r="Q28" s="38">
        <f>ROUNDUP(O28/'Methodology &amp; Assumptions'!$B$9, 0)</f>
        <v/>
      </c>
      <c r="R28" s="39" t="n">
        <v>1</v>
      </c>
      <c r="S28" s="25" t="n">
        <v>2.18</v>
      </c>
      <c r="T28" s="25" t="n">
        <v>1.8</v>
      </c>
      <c r="U28" s="42" t="inlineStr">
        <is>
          <t>Tier 1B (Micro Drop, 1-3 km)</t>
        </is>
      </c>
      <c r="V28" s="24" t="n">
        <v>58.3</v>
      </c>
      <c r="W28" s="24" t="n">
        <v>91.5</v>
      </c>
      <c r="X28" s="24" t="n">
        <v>73</v>
      </c>
      <c r="Y28" s="45">
        <f>ROUND((V28*'Methodology &amp; Assumptions'!$B$6)+(W28*'Methodology &amp; Assumptions'!$B$5)+(X28*'Methodology &amp; Assumptions'!$B$7), 2)</f>
        <v/>
      </c>
    </row>
    <row r="29" ht="19" customHeight="1">
      <c r="A29" s="35" t="n">
        <v>25</v>
      </c>
      <c r="B29" s="35" t="n">
        <v>1025</v>
      </c>
      <c r="C29" s="36" t="inlineStr">
        <is>
          <t>0306903036</t>
        </is>
      </c>
      <c r="D29" s="36" t="inlineStr">
        <is>
          <t>Region III (Central Luzon)</t>
        </is>
      </c>
      <c r="E29" s="36" t="inlineStr">
        <is>
          <t>Tarlac</t>
        </is>
      </c>
      <c r="F29" s="36" t="inlineStr">
        <is>
          <t>Camiling</t>
        </is>
      </c>
      <c r="G29" s="36" t="inlineStr">
        <is>
          <t>Palimbo Caarosipan</t>
        </is>
      </c>
      <c r="H29" s="37" t="n">
        <v>15.691908</v>
      </c>
      <c r="I29" s="37" t="n">
        <v>120.402984</v>
      </c>
      <c r="J29" s="8" t="inlineStr">
        <is>
          <t>R</t>
        </is>
      </c>
      <c r="K29" s="36" t="inlineStr">
        <is>
          <t>Class 1-3 / Urban</t>
        </is>
      </c>
      <c r="L29" s="18" t="n">
        <v>3476</v>
      </c>
      <c r="M29" s="20" t="n">
        <v>4.3</v>
      </c>
      <c r="N29" s="18">
        <f>ROUND(L29/M29, 0)</f>
        <v/>
      </c>
      <c r="O29" s="18">
        <f>ROUND(N29*'Methodology &amp; Assumptions'!$B$8, 0)</f>
        <v/>
      </c>
      <c r="P29" s="8" t="inlineStr">
        <is>
          <t>Band n50 (1.5 GHz, 60 MHz)</t>
        </is>
      </c>
      <c r="Q29" s="38">
        <f>ROUNDUP(O29/'Methodology &amp; Assumptions'!$B$9, 0)</f>
        <v/>
      </c>
      <c r="R29" s="39" t="n">
        <v>1</v>
      </c>
      <c r="S29" s="21" t="n">
        <v>1.33</v>
      </c>
      <c r="T29" s="21" t="n">
        <v>1.34</v>
      </c>
      <c r="U29" s="36" t="inlineStr">
        <is>
          <t>Tier 1B (Micro Drop, 1-3 km)</t>
        </is>
      </c>
      <c r="V29" s="20" t="n">
        <v>74.09999999999999</v>
      </c>
      <c r="W29" s="20" t="n">
        <v>88.5</v>
      </c>
      <c r="X29" s="20" t="n">
        <v>58</v>
      </c>
      <c r="Y29" s="40">
        <f>ROUND((V29*'Methodology &amp; Assumptions'!$B$6)+(W29*'Methodology &amp; Assumptions'!$B$5)+(X29*'Methodology &amp; Assumptions'!$B$7), 2)</f>
        <v/>
      </c>
    </row>
    <row r="30" ht="19" customHeight="1">
      <c r="A30" s="41" t="n">
        <v>26</v>
      </c>
      <c r="B30" s="41" t="n">
        <v>1026</v>
      </c>
      <c r="C30" s="42" t="inlineStr">
        <is>
          <t>1001312054</t>
        </is>
      </c>
      <c r="D30" s="42" t="inlineStr">
        <is>
          <t>Region X (Northern Mindanao)</t>
        </is>
      </c>
      <c r="E30" s="42" t="inlineStr">
        <is>
          <t>Bukidnon</t>
        </is>
      </c>
      <c r="F30" s="42" t="inlineStr">
        <is>
          <t>City of Malaybalay</t>
        </is>
      </c>
      <c r="G30" s="42" t="inlineStr">
        <is>
          <t>Barangay 11</t>
        </is>
      </c>
      <c r="H30" s="43" t="n">
        <v>8.150211000000001</v>
      </c>
      <c r="I30" s="43" t="n">
        <v>125.123746</v>
      </c>
      <c r="J30" s="44" t="inlineStr">
        <is>
          <t>R</t>
        </is>
      </c>
      <c r="K30" s="42" t="inlineStr">
        <is>
          <t>Class 1-3 / Urban</t>
        </is>
      </c>
      <c r="L30" s="23" t="n">
        <v>3034</v>
      </c>
      <c r="M30" s="24" t="n">
        <v>4.63</v>
      </c>
      <c r="N30" s="23">
        <f>ROUND(L30/M30, 0)</f>
        <v/>
      </c>
      <c r="O30" s="23">
        <f>ROUND(N30*'Methodology &amp; Assumptions'!$B$8, 0)</f>
        <v/>
      </c>
      <c r="P30" s="44" t="inlineStr">
        <is>
          <t>Band n50 (1.5 GHz, 60 MHz)</t>
        </is>
      </c>
      <c r="Q30" s="38">
        <f>ROUNDUP(O30/'Methodology &amp; Assumptions'!$B$9, 0)</f>
        <v/>
      </c>
      <c r="R30" s="39" t="n">
        <v>1</v>
      </c>
      <c r="S30" s="25" t="n">
        <v>0.8100000000000001</v>
      </c>
      <c r="T30" s="25" t="n">
        <v>0.72</v>
      </c>
      <c r="U30" s="42" t="inlineStr">
        <is>
          <t>Tier 1A (Direct Coloc, &lt;1 km)</t>
        </is>
      </c>
      <c r="V30" s="24" t="n">
        <v>86.40000000000001</v>
      </c>
      <c r="W30" s="24" t="n">
        <v>76.3</v>
      </c>
      <c r="X30" s="24" t="n">
        <v>58</v>
      </c>
      <c r="Y30" s="45">
        <f>ROUND((V30*'Methodology &amp; Assumptions'!$B$6)+(W30*'Methodology &amp; Assumptions'!$B$5)+(X30*'Methodology &amp; Assumptions'!$B$7), 2)</f>
        <v/>
      </c>
    </row>
    <row r="31" ht="19" customHeight="1">
      <c r="A31" s="35" t="n">
        <v>27</v>
      </c>
      <c r="B31" s="35" t="n">
        <v>1027</v>
      </c>
      <c r="C31" s="36" t="inlineStr">
        <is>
          <t>0601912025</t>
        </is>
      </c>
      <c r="D31" s="36" t="inlineStr">
        <is>
          <t>Region VI (Western Visayas)</t>
        </is>
      </c>
      <c r="E31" s="36" t="inlineStr">
        <is>
          <t>Capiz</t>
        </is>
      </c>
      <c r="F31" s="36" t="inlineStr">
        <is>
          <t>Pontevedra</t>
        </is>
      </c>
      <c r="G31" s="36" t="inlineStr">
        <is>
          <t>Tabuc</t>
        </is>
      </c>
      <c r="H31" s="37" t="n">
        <v>11.493378</v>
      </c>
      <c r="I31" s="37" t="n">
        <v>122.836751</v>
      </c>
      <c r="J31" s="8" t="inlineStr">
        <is>
          <t>R</t>
        </is>
      </c>
      <c r="K31" s="36" t="inlineStr">
        <is>
          <t>Class 1-3 / Urban</t>
        </is>
      </c>
      <c r="L31" s="18" t="n">
        <v>3821</v>
      </c>
      <c r="M31" s="20" t="n">
        <v>4.2</v>
      </c>
      <c r="N31" s="18">
        <f>ROUND(L31/M31, 0)</f>
        <v/>
      </c>
      <c r="O31" s="18">
        <f>ROUND(N31*'Methodology &amp; Assumptions'!$B$8, 0)</f>
        <v/>
      </c>
      <c r="P31" s="8" t="inlineStr">
        <is>
          <t>Band n50 (1.5 GHz, 60 MHz)</t>
        </is>
      </c>
      <c r="Q31" s="38">
        <f>ROUNDUP(O31/'Methodology &amp; Assumptions'!$B$9, 0)</f>
        <v/>
      </c>
      <c r="R31" s="39" t="n">
        <v>1</v>
      </c>
      <c r="S31" s="21" t="n">
        <v>1.75</v>
      </c>
      <c r="T31" s="21" t="n">
        <v>0.89</v>
      </c>
      <c r="U31" s="36" t="inlineStr">
        <is>
          <t>Tier 1B (Micro Drop, 1-3 km)</t>
        </is>
      </c>
      <c r="V31" s="20" t="n">
        <v>65.8</v>
      </c>
      <c r="W31" s="20" t="n">
        <v>96.8</v>
      </c>
      <c r="X31" s="20" t="n">
        <v>58</v>
      </c>
      <c r="Y31" s="40">
        <f>ROUND((V31*'Methodology &amp; Assumptions'!$B$6)+(W31*'Methodology &amp; Assumptions'!$B$5)+(X31*'Methodology &amp; Assumptions'!$B$7), 2)</f>
        <v/>
      </c>
    </row>
    <row r="32" ht="19" customHeight="1">
      <c r="A32" s="41" t="n">
        <v>28</v>
      </c>
      <c r="B32" s="41" t="n">
        <v>1028</v>
      </c>
      <c r="C32" s="42" t="inlineStr">
        <is>
          <t>0402104006</t>
        </is>
      </c>
      <c r="D32" s="42" t="inlineStr">
        <is>
          <t>Region IV-A (CALABARZON)</t>
        </is>
      </c>
      <c r="E32" s="42" t="inlineStr">
        <is>
          <t>Cavite</t>
        </is>
      </c>
      <c r="F32" s="42" t="inlineStr">
        <is>
          <t>Carmona</t>
        </is>
      </c>
      <c r="G32" s="42" t="inlineStr">
        <is>
          <t>Cabilang Baybay</t>
        </is>
      </c>
      <c r="H32" s="43" t="n">
        <v>14.317406</v>
      </c>
      <c r="I32" s="43" t="n">
        <v>121.05097</v>
      </c>
      <c r="J32" s="44" t="inlineStr">
        <is>
          <t>U</t>
        </is>
      </c>
      <c r="K32" s="42" t="inlineStr">
        <is>
          <t>Class 1-3 / Urban</t>
        </is>
      </c>
      <c r="L32" s="23" t="n">
        <v>7736</v>
      </c>
      <c r="M32" s="24" t="n">
        <v>4.49</v>
      </c>
      <c r="N32" s="23">
        <f>ROUND(L32/M32, 0)</f>
        <v/>
      </c>
      <c r="O32" s="23">
        <f>ROUND(N32*'Methodology &amp; Assumptions'!$B$8, 0)</f>
        <v/>
      </c>
      <c r="P32" s="44" t="inlineStr">
        <is>
          <t>Band n50 (1.5 GHz, 60 MHz)</t>
        </is>
      </c>
      <c r="Q32" s="38">
        <f>ROUNDUP(O32/'Methodology &amp; Assumptions'!$B$9, 0)</f>
        <v/>
      </c>
      <c r="R32" s="39" t="n">
        <v>1</v>
      </c>
      <c r="S32" s="25" t="n">
        <v>0.73</v>
      </c>
      <c r="T32" s="25" t="n">
        <v>0.73</v>
      </c>
      <c r="U32" s="42" t="inlineStr">
        <is>
          <t>Tier 1A (Direct Coloc, &lt;1 km)</t>
        </is>
      </c>
      <c r="V32" s="24" t="n">
        <v>88.40000000000001</v>
      </c>
      <c r="W32" s="24" t="n">
        <v>100</v>
      </c>
      <c r="X32" s="24" t="n">
        <v>28</v>
      </c>
      <c r="Y32" s="45">
        <f>ROUND((V32*'Methodology &amp; Assumptions'!$B$6)+(W32*'Methodology &amp; Assumptions'!$B$5)+(X32*'Methodology &amp; Assumptions'!$B$7), 2)</f>
        <v/>
      </c>
    </row>
    <row r="33" ht="19" customHeight="1">
      <c r="A33" s="35" t="n">
        <v>29</v>
      </c>
      <c r="B33" s="35" t="n">
        <v>1029</v>
      </c>
      <c r="C33" s="36" t="inlineStr">
        <is>
          <t>0301421054</t>
        </is>
      </c>
      <c r="D33" s="36" t="inlineStr">
        <is>
          <t>Region III (Central Luzon)</t>
        </is>
      </c>
      <c r="E33" s="36" t="inlineStr">
        <is>
          <t>Bulacan</t>
        </is>
      </c>
      <c r="F33" s="36" t="inlineStr">
        <is>
          <t>San Miguel</t>
        </is>
      </c>
      <c r="G33" s="36" t="inlineStr">
        <is>
          <t>Tartaro</t>
        </is>
      </c>
      <c r="H33" s="37" t="n">
        <v>15.166419</v>
      </c>
      <c r="I33" s="37" t="n">
        <v>121.040076</v>
      </c>
      <c r="J33" s="8" t="inlineStr">
        <is>
          <t>U</t>
        </is>
      </c>
      <c r="K33" s="36" t="inlineStr">
        <is>
          <t>Class 1-3 / Urban</t>
        </is>
      </c>
      <c r="L33" s="18" t="n">
        <v>6039</v>
      </c>
      <c r="M33" s="20" t="n">
        <v>4.1</v>
      </c>
      <c r="N33" s="18">
        <f>ROUND(L33/M33, 0)</f>
        <v/>
      </c>
      <c r="O33" s="18">
        <f>ROUND(N33*'Methodology &amp; Assumptions'!$B$8, 0)</f>
        <v/>
      </c>
      <c r="P33" s="8" t="inlineStr">
        <is>
          <t>Band n50 (1.5 GHz, 60 MHz)</t>
        </is>
      </c>
      <c r="Q33" s="38">
        <f>ROUNDUP(O33/'Methodology &amp; Assumptions'!$B$9, 0)</f>
        <v/>
      </c>
      <c r="R33" s="39" t="n">
        <v>1</v>
      </c>
      <c r="S33" s="21" t="n">
        <v>0.73</v>
      </c>
      <c r="T33" s="21" t="n">
        <v>0.29</v>
      </c>
      <c r="U33" s="36" t="inlineStr">
        <is>
          <t>Tier 1A (Direct Coloc, &lt;1 km)</t>
        </is>
      </c>
      <c r="V33" s="20" t="n">
        <v>88.3</v>
      </c>
      <c r="W33" s="20" t="n">
        <v>100</v>
      </c>
      <c r="X33" s="20" t="n">
        <v>28</v>
      </c>
      <c r="Y33" s="40">
        <f>ROUND((V33*'Methodology &amp; Assumptions'!$B$6)+(W33*'Methodology &amp; Assumptions'!$B$5)+(X33*'Methodology &amp; Assumptions'!$B$7), 2)</f>
        <v/>
      </c>
    </row>
    <row r="34" ht="19" customHeight="1">
      <c r="A34" s="41" t="n">
        <v>30</v>
      </c>
      <c r="B34" s="41" t="n">
        <v>1030</v>
      </c>
      <c r="C34" s="42" t="inlineStr">
        <is>
          <t>0402122012</t>
        </is>
      </c>
      <c r="D34" s="42" t="inlineStr">
        <is>
          <t>Region IV-A (CALABARZON)</t>
        </is>
      </c>
      <c r="E34" s="42" t="inlineStr">
        <is>
          <t>Cavite</t>
        </is>
      </c>
      <c r="F34" s="42" t="inlineStr">
        <is>
          <t>City of Trece Martires</t>
        </is>
      </c>
      <c r="G34" s="42" t="inlineStr">
        <is>
          <t>Gregorio</t>
        </is>
      </c>
      <c r="H34" s="43" t="n">
        <v>14.288408</v>
      </c>
      <c r="I34" s="43" t="n">
        <v>120.871777</v>
      </c>
      <c r="J34" s="44" t="inlineStr">
        <is>
          <t>U</t>
        </is>
      </c>
      <c r="K34" s="42" t="inlineStr">
        <is>
          <t>Class 1-3 / Urban</t>
        </is>
      </c>
      <c r="L34" s="23" t="n">
        <v>5166</v>
      </c>
      <c r="M34" s="24" t="n">
        <v>4.49</v>
      </c>
      <c r="N34" s="23">
        <f>ROUND(L34/M34, 0)</f>
        <v/>
      </c>
      <c r="O34" s="23">
        <f>ROUND(N34*'Methodology &amp; Assumptions'!$B$8, 0)</f>
        <v/>
      </c>
      <c r="P34" s="44" t="inlineStr">
        <is>
          <t>Band n50 (1.5 GHz, 60 MHz)</t>
        </is>
      </c>
      <c r="Q34" s="38">
        <f>ROUNDUP(O34/'Methodology &amp; Assumptions'!$B$9, 0)</f>
        <v/>
      </c>
      <c r="R34" s="39" t="n">
        <v>1</v>
      </c>
      <c r="S34" s="25" t="n">
        <v>0.73</v>
      </c>
      <c r="T34" s="25" t="n">
        <v>0.73</v>
      </c>
      <c r="U34" s="42" t="inlineStr">
        <is>
          <t>Tier 1A (Direct Coloc, &lt;1 km)</t>
        </is>
      </c>
      <c r="V34" s="24" t="n">
        <v>88.3</v>
      </c>
      <c r="W34" s="24" t="n">
        <v>100</v>
      </c>
      <c r="X34" s="24" t="n">
        <v>28</v>
      </c>
      <c r="Y34" s="45">
        <f>ROUND((V34*'Methodology &amp; Assumptions'!$B$6)+(W34*'Methodology &amp; Assumptions'!$B$5)+(X34*'Methodology &amp; Assumptions'!$B$7), 2)</f>
        <v/>
      </c>
    </row>
    <row r="35" ht="19" customHeight="1">
      <c r="A35" s="35" t="n">
        <v>31</v>
      </c>
      <c r="B35" s="35" t="n">
        <v>1031</v>
      </c>
      <c r="C35" s="36" t="inlineStr">
        <is>
          <t>0402106030</t>
        </is>
      </c>
      <c r="D35" s="36" t="inlineStr">
        <is>
          <t>Region IV-A (CALABARZON)</t>
        </is>
      </c>
      <c r="E35" s="36" t="inlineStr">
        <is>
          <t>Cavite</t>
        </is>
      </c>
      <c r="F35" s="36" t="inlineStr">
        <is>
          <t>City of Dasmariñas</t>
        </is>
      </c>
      <c r="G35" s="36" t="inlineStr">
        <is>
          <t>San Isidro Labrador I</t>
        </is>
      </c>
      <c r="H35" s="37" t="n">
        <v>14.343725</v>
      </c>
      <c r="I35" s="37" t="n">
        <v>120.950657</v>
      </c>
      <c r="J35" s="8" t="inlineStr">
        <is>
          <t>R</t>
        </is>
      </c>
      <c r="K35" s="36" t="inlineStr">
        <is>
          <t>Class 1-3 / Urban</t>
        </is>
      </c>
      <c r="L35" s="18" t="n">
        <v>4834</v>
      </c>
      <c r="M35" s="20" t="n">
        <v>4.49</v>
      </c>
      <c r="N35" s="18">
        <f>ROUND(L35/M35, 0)</f>
        <v/>
      </c>
      <c r="O35" s="18">
        <f>ROUND(N35*'Methodology &amp; Assumptions'!$B$8, 0)</f>
        <v/>
      </c>
      <c r="P35" s="8" t="inlineStr">
        <is>
          <t>Band n50 (1.5 GHz, 60 MHz)</t>
        </is>
      </c>
      <c r="Q35" s="38">
        <f>ROUNDUP(O35/'Methodology &amp; Assumptions'!$B$9, 0)</f>
        <v/>
      </c>
      <c r="R35" s="39" t="n">
        <v>1</v>
      </c>
      <c r="S35" s="21" t="n">
        <v>1.41</v>
      </c>
      <c r="T35" s="21" t="n">
        <v>4.68</v>
      </c>
      <c r="U35" s="36" t="inlineStr">
        <is>
          <t>Tier 1B (Micro Drop, 1-3 km)</t>
        </is>
      </c>
      <c r="V35" s="20" t="n">
        <v>62.5</v>
      </c>
      <c r="W35" s="20" t="n">
        <v>100</v>
      </c>
      <c r="X35" s="20" t="n">
        <v>58</v>
      </c>
      <c r="Y35" s="40">
        <f>ROUND((V35*'Methodology &amp; Assumptions'!$B$6)+(W35*'Methodology &amp; Assumptions'!$B$5)+(X35*'Methodology &amp; Assumptions'!$B$7), 2)</f>
        <v/>
      </c>
    </row>
    <row r="36" ht="19" customHeight="1">
      <c r="A36" s="41" t="n">
        <v>32</v>
      </c>
      <c r="B36" s="41" t="n">
        <v>1032</v>
      </c>
      <c r="C36" s="42" t="inlineStr">
        <is>
          <t>0630200049</t>
        </is>
      </c>
      <c r="D36" s="42" t="inlineStr">
        <is>
          <t>Region VI (Western Visayas)</t>
        </is>
      </c>
      <c r="E36" s="42" t="inlineStr">
        <is>
          <t>Negros Occidental</t>
        </is>
      </c>
      <c r="F36" s="42" t="inlineStr">
        <is>
          <t>City of Bacolod</t>
        </is>
      </c>
      <c r="G36" s="42" t="inlineStr">
        <is>
          <t>Granada</t>
        </is>
      </c>
      <c r="H36" s="43" t="n">
        <v>10.66619</v>
      </c>
      <c r="I36" s="43" t="n">
        <v>123.034268</v>
      </c>
      <c r="J36" s="44" t="inlineStr">
        <is>
          <t>U</t>
        </is>
      </c>
      <c r="K36" s="42" t="inlineStr">
        <is>
          <t>Class 1-3 / Urban</t>
        </is>
      </c>
      <c r="L36" s="23" t="n">
        <v>31867</v>
      </c>
      <c r="M36" s="24" t="n">
        <v>4.33</v>
      </c>
      <c r="N36" s="23">
        <f>ROUND(L36/M36, 0)</f>
        <v/>
      </c>
      <c r="O36" s="23">
        <f>ROUND(N36*'Methodology &amp; Assumptions'!$B$8, 0)</f>
        <v/>
      </c>
      <c r="P36" s="44" t="inlineStr">
        <is>
          <t>Band n50 (1.5 GHz, 60 MHz)</t>
        </is>
      </c>
      <c r="Q36" s="38">
        <f>ROUNDUP(O36/'Methodology &amp; Assumptions'!$B$9, 0)</f>
        <v/>
      </c>
      <c r="R36" s="39" t="n">
        <v>1</v>
      </c>
      <c r="S36" s="25" t="n">
        <v>0.35</v>
      </c>
      <c r="T36" s="25" t="n">
        <v>5.49</v>
      </c>
      <c r="U36" s="42" t="inlineStr">
        <is>
          <t>Tier 1A (Direct Coloc, &lt;1 km)</t>
        </is>
      </c>
      <c r="V36" s="24" t="n">
        <v>89</v>
      </c>
      <c r="W36" s="24" t="n">
        <v>99.2</v>
      </c>
      <c r="X36" s="24" t="n">
        <v>28</v>
      </c>
      <c r="Y36" s="45">
        <f>ROUND((V36*'Methodology &amp; Assumptions'!$B$6)+(W36*'Methodology &amp; Assumptions'!$B$5)+(X36*'Methodology &amp; Assumptions'!$B$7), 2)</f>
        <v/>
      </c>
    </row>
    <row r="37" ht="19" customHeight="1">
      <c r="A37" s="35" t="n">
        <v>33</v>
      </c>
      <c r="B37" s="35" t="n">
        <v>1033</v>
      </c>
      <c r="C37" s="36" t="inlineStr">
        <is>
          <t>0803726015</t>
        </is>
      </c>
      <c r="D37" s="36" t="inlineStr">
        <is>
          <t>Region VIII (Eastern Visayas)</t>
        </is>
      </c>
      <c r="E37" s="36" t="inlineStr">
        <is>
          <t>Leyte</t>
        </is>
      </c>
      <c r="F37" s="36" t="inlineStr">
        <is>
          <t>Kananga</t>
        </is>
      </c>
      <c r="G37" s="36" t="inlineStr">
        <is>
          <t>Poblacion</t>
        </is>
      </c>
      <c r="H37" s="37" t="n">
        <v>11.186255</v>
      </c>
      <c r="I37" s="37" t="n">
        <v>124.55479</v>
      </c>
      <c r="J37" s="8" t="inlineStr">
        <is>
          <t>U</t>
        </is>
      </c>
      <c r="K37" s="36" t="inlineStr">
        <is>
          <t>Class 1-3 / Urban</t>
        </is>
      </c>
      <c r="L37" s="18" t="n">
        <v>8470</v>
      </c>
      <c r="M37" s="20" t="n">
        <v>4.24</v>
      </c>
      <c r="N37" s="18">
        <f>ROUND(L37/M37, 0)</f>
        <v/>
      </c>
      <c r="O37" s="18">
        <f>ROUND(N37*'Methodology &amp; Assumptions'!$B$8, 0)</f>
        <v/>
      </c>
      <c r="P37" s="8" t="inlineStr">
        <is>
          <t>Band n50 (1.5 GHz, 60 MHz)</t>
        </is>
      </c>
      <c r="Q37" s="38">
        <f>ROUNDUP(O37/'Methodology &amp; Assumptions'!$B$9, 0)</f>
        <v/>
      </c>
      <c r="R37" s="39" t="n">
        <v>1</v>
      </c>
      <c r="S37" s="21" t="n">
        <v>0.74</v>
      </c>
      <c r="T37" s="21" t="n">
        <v>0.6899999999999999</v>
      </c>
      <c r="U37" s="36" t="inlineStr">
        <is>
          <t>Tier 1A (Direct Coloc, &lt;1 km)</t>
        </is>
      </c>
      <c r="V37" s="20" t="n">
        <v>88.2</v>
      </c>
      <c r="W37" s="20" t="n">
        <v>100</v>
      </c>
      <c r="X37" s="20" t="n">
        <v>28</v>
      </c>
      <c r="Y37" s="40">
        <f>ROUND((V37*'Methodology &amp; Assumptions'!$B$6)+(W37*'Methodology &amp; Assumptions'!$B$5)+(X37*'Methodology &amp; Assumptions'!$B$7), 2)</f>
        <v/>
      </c>
    </row>
    <row r="38" ht="19" customHeight="1">
      <c r="A38" s="41" t="n">
        <v>34</v>
      </c>
      <c r="B38" s="41" t="n">
        <v>1034</v>
      </c>
      <c r="C38" s="42" t="inlineStr">
        <is>
          <t>0402115012</t>
        </is>
      </c>
      <c r="D38" s="42" t="inlineStr">
        <is>
          <t>Region IV-A (CALABARZON)</t>
        </is>
      </c>
      <c r="E38" s="42" t="inlineStr">
        <is>
          <t>Cavite</t>
        </is>
      </c>
      <c r="F38" s="42" t="inlineStr">
        <is>
          <t>Naic</t>
        </is>
      </c>
      <c r="G38" s="42" t="inlineStr">
        <is>
          <t>Ibayo Estacion</t>
        </is>
      </c>
      <c r="H38" s="43" t="n">
        <v>14.323488</v>
      </c>
      <c r="I38" s="43" t="n">
        <v>120.765077</v>
      </c>
      <c r="J38" s="44" t="inlineStr">
        <is>
          <t>U</t>
        </is>
      </c>
      <c r="K38" s="42" t="inlineStr">
        <is>
          <t>Class 1-3 / Urban</t>
        </is>
      </c>
      <c r="L38" s="23" t="n">
        <v>5057</v>
      </c>
      <c r="M38" s="24" t="n">
        <v>4.49</v>
      </c>
      <c r="N38" s="23">
        <f>ROUND(L38/M38, 0)</f>
        <v/>
      </c>
      <c r="O38" s="23">
        <f>ROUND(N38*'Methodology &amp; Assumptions'!$B$8, 0)</f>
        <v/>
      </c>
      <c r="P38" s="44" t="inlineStr">
        <is>
          <t>Band n50 (1.5 GHz, 60 MHz)</t>
        </is>
      </c>
      <c r="Q38" s="38">
        <f>ROUNDUP(O38/'Methodology &amp; Assumptions'!$B$9, 0)</f>
        <v/>
      </c>
      <c r="R38" s="39" t="n">
        <v>1</v>
      </c>
      <c r="S38" s="25" t="n">
        <v>0.74</v>
      </c>
      <c r="T38" s="25" t="n">
        <v>0.73</v>
      </c>
      <c r="U38" s="42" t="inlineStr">
        <is>
          <t>Tier 1A (Direct Coloc, &lt;1 km)</t>
        </is>
      </c>
      <c r="V38" s="24" t="n">
        <v>88.2</v>
      </c>
      <c r="W38" s="24" t="n">
        <v>100</v>
      </c>
      <c r="X38" s="24" t="n">
        <v>28</v>
      </c>
      <c r="Y38" s="45">
        <f>ROUND((V38*'Methodology &amp; Assumptions'!$B$6)+(W38*'Methodology &amp; Assumptions'!$B$5)+(X38*'Methodology &amp; Assumptions'!$B$7), 2)</f>
        <v/>
      </c>
    </row>
    <row r="39" ht="19" customHeight="1">
      <c r="A39" s="35" t="n">
        <v>35</v>
      </c>
      <c r="B39" s="35" t="n">
        <v>1035</v>
      </c>
      <c r="C39" s="36" t="inlineStr">
        <is>
          <t>0702250006</t>
        </is>
      </c>
      <c r="D39" s="36" t="inlineStr">
        <is>
          <t>Region VII (Central Visayas)</t>
        </is>
      </c>
      <c r="E39" s="36" t="inlineStr">
        <is>
          <t>Cebu</t>
        </is>
      </c>
      <c r="F39" s="36" t="inlineStr">
        <is>
          <t>City of Talisay</t>
        </is>
      </c>
      <c r="G39" s="36" t="inlineStr">
        <is>
          <t>Lagtang</t>
        </is>
      </c>
      <c r="H39" s="37" t="n">
        <v>10.266161</v>
      </c>
      <c r="I39" s="37" t="n">
        <v>123.835413</v>
      </c>
      <c r="J39" s="8" t="inlineStr">
        <is>
          <t>U</t>
        </is>
      </c>
      <c r="K39" s="36" t="inlineStr">
        <is>
          <t>Class 1-3 / Urban</t>
        </is>
      </c>
      <c r="L39" s="18" t="n">
        <v>15813</v>
      </c>
      <c r="M39" s="20" t="n">
        <v>4.42</v>
      </c>
      <c r="N39" s="18">
        <f>ROUND(L39/M39, 0)</f>
        <v/>
      </c>
      <c r="O39" s="18">
        <f>ROUND(N39*'Methodology &amp; Assumptions'!$B$8, 0)</f>
        <v/>
      </c>
      <c r="P39" s="8" t="inlineStr">
        <is>
          <t>Band n50 (1.5 GHz, 60 MHz)</t>
        </is>
      </c>
      <c r="Q39" s="38">
        <f>ROUNDUP(O39/'Methodology &amp; Assumptions'!$B$9, 0)</f>
        <v/>
      </c>
      <c r="R39" s="39" t="n">
        <v>1</v>
      </c>
      <c r="S39" s="21" t="n">
        <v>0.74</v>
      </c>
      <c r="T39" s="21" t="n">
        <v>0.51</v>
      </c>
      <c r="U39" s="36" t="inlineStr">
        <is>
          <t>Tier 1A (Direct Coloc, &lt;1 km)</t>
        </is>
      </c>
      <c r="V39" s="20" t="n">
        <v>88.2</v>
      </c>
      <c r="W39" s="20" t="n">
        <v>100</v>
      </c>
      <c r="X39" s="20" t="n">
        <v>28</v>
      </c>
      <c r="Y39" s="40">
        <f>ROUND((V39*'Methodology &amp; Assumptions'!$B$6)+(W39*'Methodology &amp; Assumptions'!$B$5)+(X39*'Methodology &amp; Assumptions'!$B$7), 2)</f>
        <v/>
      </c>
    </row>
    <row r="40" ht="19" customHeight="1">
      <c r="A40" s="41" t="n">
        <v>36</v>
      </c>
      <c r="B40" s="41" t="n">
        <v>1036</v>
      </c>
      <c r="C40" s="42" t="inlineStr">
        <is>
          <t>0501725019</t>
        </is>
      </c>
      <c r="D40" s="42" t="inlineStr">
        <is>
          <t>Region V (Bicol Region)</t>
        </is>
      </c>
      <c r="E40" s="42" t="inlineStr">
        <is>
          <t>Camarines Sur</t>
        </is>
      </c>
      <c r="F40" s="42" t="inlineStr">
        <is>
          <t>Ocampo</t>
        </is>
      </c>
      <c r="G40" s="42" t="inlineStr">
        <is>
          <t>San Francisco</t>
        </is>
      </c>
      <c r="H40" s="43" t="n">
        <v>13.559931</v>
      </c>
      <c r="I40" s="43" t="n">
        <v>123.382669</v>
      </c>
      <c r="J40" s="44" t="inlineStr">
        <is>
          <t>R</t>
        </is>
      </c>
      <c r="K40" s="42" t="inlineStr">
        <is>
          <t>Class 1-3 / Urban</t>
        </is>
      </c>
      <c r="L40" s="23" t="n">
        <v>3190</v>
      </c>
      <c r="M40" s="24" t="n">
        <v>4.9</v>
      </c>
      <c r="N40" s="23">
        <f>ROUND(L40/M40, 0)</f>
        <v/>
      </c>
      <c r="O40" s="23">
        <f>ROUND(N40*'Methodology &amp; Assumptions'!$B$8, 0)</f>
        <v/>
      </c>
      <c r="P40" s="44" t="inlineStr">
        <is>
          <t>Band n50 (1.5 GHz, 60 MHz)</t>
        </is>
      </c>
      <c r="Q40" s="38">
        <f>ROUNDUP(O40/'Methodology &amp; Assumptions'!$B$9, 0)</f>
        <v/>
      </c>
      <c r="R40" s="39" t="n">
        <v>1</v>
      </c>
      <c r="S40" s="25" t="n">
        <v>0.8100000000000001</v>
      </c>
      <c r="T40" s="25" t="n">
        <v>0.07000000000000001</v>
      </c>
      <c r="U40" s="42" t="inlineStr">
        <is>
          <t>Tier 1A (Direct Coloc, &lt;1 km)</t>
        </is>
      </c>
      <c r="V40" s="24" t="n">
        <v>86.40000000000001</v>
      </c>
      <c r="W40" s="24" t="n">
        <v>76</v>
      </c>
      <c r="X40" s="24" t="n">
        <v>58</v>
      </c>
      <c r="Y40" s="45">
        <f>ROUND((V40*'Methodology &amp; Assumptions'!$B$6)+(W40*'Methodology &amp; Assumptions'!$B$5)+(X40*'Methodology &amp; Assumptions'!$B$7), 2)</f>
        <v/>
      </c>
    </row>
    <row r="41" ht="19" customHeight="1">
      <c r="A41" s="35" t="n">
        <v>37</v>
      </c>
      <c r="B41" s="35" t="n">
        <v>1037</v>
      </c>
      <c r="C41" s="36" t="inlineStr">
        <is>
          <t>0105533014</t>
        </is>
      </c>
      <c r="D41" s="36" t="inlineStr">
        <is>
          <t>Region I (Ilocos Region)</t>
        </is>
      </c>
      <c r="E41" s="36" t="inlineStr">
        <is>
          <t>Pangasinan</t>
        </is>
      </c>
      <c r="F41" s="36" t="inlineStr">
        <is>
          <t>San Fabian</t>
        </is>
      </c>
      <c r="G41" s="36" t="inlineStr">
        <is>
          <t>Longos</t>
        </is>
      </c>
      <c r="H41" s="37" t="n">
        <v>16.109451</v>
      </c>
      <c r="I41" s="37" t="n">
        <v>120.395785</v>
      </c>
      <c r="J41" s="8" t="inlineStr">
        <is>
          <t>R</t>
        </is>
      </c>
      <c r="K41" s="36" t="inlineStr">
        <is>
          <t>Class 1-3 / Urban</t>
        </is>
      </c>
      <c r="L41" s="18" t="n">
        <v>2849</v>
      </c>
      <c r="M41" s="20" t="n">
        <v>4.39</v>
      </c>
      <c r="N41" s="18">
        <f>ROUND(L41/M41, 0)</f>
        <v/>
      </c>
      <c r="O41" s="18">
        <f>ROUND(N41*'Methodology &amp; Assumptions'!$B$8, 0)</f>
        <v/>
      </c>
      <c r="P41" s="8" t="inlineStr">
        <is>
          <t>Band n50 (1.5 GHz, 60 MHz)</t>
        </is>
      </c>
      <c r="Q41" s="38">
        <f>ROUNDUP(O41/'Methodology &amp; Assumptions'!$B$9, 0)</f>
        <v/>
      </c>
      <c r="R41" s="39" t="n">
        <v>1</v>
      </c>
      <c r="S41" s="21" t="n">
        <v>0.8</v>
      </c>
      <c r="T41" s="21" t="n">
        <v>0.02</v>
      </c>
      <c r="U41" s="36" t="inlineStr">
        <is>
          <t>Tier 1A (Direct Coloc, &lt;1 km)</t>
        </is>
      </c>
      <c r="V41" s="20" t="n">
        <v>86.5</v>
      </c>
      <c r="W41" s="20" t="n">
        <v>76</v>
      </c>
      <c r="X41" s="20" t="n">
        <v>58</v>
      </c>
      <c r="Y41" s="40">
        <f>ROUND((V41*'Methodology &amp; Assumptions'!$B$6)+(W41*'Methodology &amp; Assumptions'!$B$5)+(X41*'Methodology &amp; Assumptions'!$B$7), 2)</f>
        <v/>
      </c>
    </row>
    <row r="42" ht="19" customHeight="1">
      <c r="A42" s="41" t="n">
        <v>38</v>
      </c>
      <c r="B42" s="41" t="n">
        <v>1038</v>
      </c>
      <c r="C42" s="42" t="inlineStr">
        <is>
          <t>0306916048</t>
        </is>
      </c>
      <c r="D42" s="42" t="inlineStr">
        <is>
          <t>Region III (Central Luzon)</t>
        </is>
      </c>
      <c r="E42" s="42" t="inlineStr">
        <is>
          <t>Tarlac</t>
        </is>
      </c>
      <c r="F42" s="42" t="inlineStr">
        <is>
          <t>City of Tarlac</t>
        </is>
      </c>
      <c r="G42" s="42" t="inlineStr">
        <is>
          <t>Maliwalo</t>
        </is>
      </c>
      <c r="H42" s="43" t="n">
        <v>15.484022</v>
      </c>
      <c r="I42" s="43" t="n">
        <v>120.61807</v>
      </c>
      <c r="J42" s="44" t="inlineStr">
        <is>
          <t>U</t>
        </is>
      </c>
      <c r="K42" s="42" t="inlineStr">
        <is>
          <t>Class 1-3 / Urban</t>
        </is>
      </c>
      <c r="L42" s="23" t="n">
        <v>16106</v>
      </c>
      <c r="M42" s="24" t="n">
        <v>4.3</v>
      </c>
      <c r="N42" s="23">
        <f>ROUND(L42/M42, 0)</f>
        <v/>
      </c>
      <c r="O42" s="23">
        <f>ROUND(N42*'Methodology &amp; Assumptions'!$B$8, 0)</f>
        <v/>
      </c>
      <c r="P42" s="44" t="inlineStr">
        <is>
          <t>Band n50 (1.5 GHz, 60 MHz)</t>
        </is>
      </c>
      <c r="Q42" s="38">
        <f>ROUNDUP(O42/'Methodology &amp; Assumptions'!$B$9, 0)</f>
        <v/>
      </c>
      <c r="R42" s="39" t="n">
        <v>1</v>
      </c>
      <c r="S42" s="25" t="n">
        <v>0.74</v>
      </c>
      <c r="T42" s="25" t="n">
        <v>0.15</v>
      </c>
      <c r="U42" s="42" t="inlineStr">
        <is>
          <t>Tier 1A (Direct Coloc, &lt;1 km)</t>
        </is>
      </c>
      <c r="V42" s="24" t="n">
        <v>88.2</v>
      </c>
      <c r="W42" s="24" t="n">
        <v>100</v>
      </c>
      <c r="X42" s="24" t="n">
        <v>28</v>
      </c>
      <c r="Y42" s="45">
        <f>ROUND((V42*'Methodology &amp; Assumptions'!$B$6)+(W42*'Methodology &amp; Assumptions'!$B$5)+(X42*'Methodology &amp; Assumptions'!$B$7), 2)</f>
        <v/>
      </c>
    </row>
    <row r="43" ht="19" customHeight="1">
      <c r="A43" s="35" t="n">
        <v>39</v>
      </c>
      <c r="B43" s="35" t="n">
        <v>1039</v>
      </c>
      <c r="C43" s="36" t="inlineStr">
        <is>
          <t>0402117012</t>
        </is>
      </c>
      <c r="D43" s="36" t="inlineStr">
        <is>
          <t>Region IV-A (CALABARZON)</t>
        </is>
      </c>
      <c r="E43" s="36" t="inlineStr">
        <is>
          <t>Cavite</t>
        </is>
      </c>
      <c r="F43" s="36" t="inlineStr">
        <is>
          <t>Rosario</t>
        </is>
      </c>
      <c r="G43" s="36" t="inlineStr">
        <is>
          <t>Ligtong III</t>
        </is>
      </c>
      <c r="H43" s="37" t="n">
        <v>14.423244</v>
      </c>
      <c r="I43" s="37" t="n">
        <v>120.873065</v>
      </c>
      <c r="J43" s="8" t="inlineStr">
        <is>
          <t>U</t>
        </is>
      </c>
      <c r="K43" s="36" t="inlineStr">
        <is>
          <t>Class 1-3 / Urban</t>
        </is>
      </c>
      <c r="L43" s="18" t="n">
        <v>5681</v>
      </c>
      <c r="M43" s="20" t="n">
        <v>4.49</v>
      </c>
      <c r="N43" s="18">
        <f>ROUND(L43/M43, 0)</f>
        <v/>
      </c>
      <c r="O43" s="18">
        <f>ROUND(N43*'Methodology &amp; Assumptions'!$B$8, 0)</f>
        <v/>
      </c>
      <c r="P43" s="8" t="inlineStr">
        <is>
          <t>Band n50 (1.5 GHz, 60 MHz)</t>
        </is>
      </c>
      <c r="Q43" s="38">
        <f>ROUNDUP(O43/'Methodology &amp; Assumptions'!$B$9, 0)</f>
        <v/>
      </c>
      <c r="R43" s="39" t="n">
        <v>1</v>
      </c>
      <c r="S43" s="21" t="n">
        <v>1.28</v>
      </c>
      <c r="T43" s="21" t="n">
        <v>1.19</v>
      </c>
      <c r="U43" s="36" t="inlineStr">
        <is>
          <t>Tier 1B (Micro Drop, 1-3 km)</t>
        </is>
      </c>
      <c r="V43" s="20" t="n">
        <v>75.3</v>
      </c>
      <c r="W43" s="20" t="n">
        <v>100</v>
      </c>
      <c r="X43" s="20" t="n">
        <v>43</v>
      </c>
      <c r="Y43" s="40">
        <f>ROUND((V43*'Methodology &amp; Assumptions'!$B$6)+(W43*'Methodology &amp; Assumptions'!$B$5)+(X43*'Methodology &amp; Assumptions'!$B$7), 2)</f>
        <v/>
      </c>
    </row>
    <row r="44" ht="19" customHeight="1">
      <c r="A44" s="41" t="n">
        <v>40</v>
      </c>
      <c r="B44" s="41" t="n">
        <v>1040</v>
      </c>
      <c r="C44" s="42" t="inlineStr">
        <is>
          <t>1403213034</t>
        </is>
      </c>
      <c r="D44" s="42" t="inlineStr">
        <is>
          <t>Cordillera Administrative Region (CAR)</t>
        </is>
      </c>
      <c r="E44" s="42" t="inlineStr">
        <is>
          <t>Kalinga</t>
        </is>
      </c>
      <c r="F44" s="42" t="inlineStr">
        <is>
          <t>City of Tabuk</t>
        </is>
      </c>
      <c r="G44" s="42" t="inlineStr">
        <is>
          <t>Bulo</t>
        </is>
      </c>
      <c r="H44" s="43" t="n">
        <v>17.421842</v>
      </c>
      <c r="I44" s="43" t="n">
        <v>121.445169</v>
      </c>
      <c r="J44" s="44" t="inlineStr">
        <is>
          <t>R</t>
        </is>
      </c>
      <c r="K44" s="42" t="inlineStr">
        <is>
          <t>Class 1-3 / Urban</t>
        </is>
      </c>
      <c r="L44" s="23" t="n">
        <v>4125</v>
      </c>
      <c r="M44" s="24" t="n">
        <v>5.34</v>
      </c>
      <c r="N44" s="23">
        <f>ROUND(L44/M44, 0)</f>
        <v/>
      </c>
      <c r="O44" s="23">
        <f>ROUND(N44*'Methodology &amp; Assumptions'!$B$8, 0)</f>
        <v/>
      </c>
      <c r="P44" s="44" t="inlineStr">
        <is>
          <t>Band n50 (1.5 GHz, 60 MHz)</t>
        </is>
      </c>
      <c r="Q44" s="38">
        <f>ROUNDUP(O44/'Methodology &amp; Assumptions'!$B$9, 0)</f>
        <v/>
      </c>
      <c r="R44" s="39" t="n">
        <v>1</v>
      </c>
      <c r="S44" s="25" t="n">
        <v>1.05</v>
      </c>
      <c r="T44" s="25" t="n">
        <v>1.03</v>
      </c>
      <c r="U44" s="42" t="inlineStr">
        <is>
          <t>Tier 1B (Micro Drop, 1-3 km)</t>
        </is>
      </c>
      <c r="V44" s="24" t="n">
        <v>80.5</v>
      </c>
      <c r="W44" s="24" t="n">
        <v>81.90000000000001</v>
      </c>
      <c r="X44" s="24" t="n">
        <v>58</v>
      </c>
      <c r="Y44" s="45">
        <f>ROUND((V44*'Methodology &amp; Assumptions'!$B$6)+(W44*'Methodology &amp; Assumptions'!$B$5)+(X44*'Methodology &amp; Assumptions'!$B$7), 2)</f>
        <v/>
      </c>
    </row>
    <row r="45" ht="19" customHeight="1">
      <c r="A45" s="35" t="n">
        <v>41</v>
      </c>
      <c r="B45" s="35" t="n">
        <v>1041</v>
      </c>
      <c r="C45" s="36" t="inlineStr">
        <is>
          <t>0500514022</t>
        </is>
      </c>
      <c r="D45" s="36" t="inlineStr">
        <is>
          <t>Region V (Bicol Region)</t>
        </is>
      </c>
      <c r="E45" s="36" t="inlineStr">
        <is>
          <t>Albay</t>
        </is>
      </c>
      <c r="F45" s="36" t="inlineStr">
        <is>
          <t>Polangui</t>
        </is>
      </c>
      <c r="G45" s="36" t="inlineStr">
        <is>
          <t>Itaran</t>
        </is>
      </c>
      <c r="H45" s="37" t="n">
        <v>13.331124</v>
      </c>
      <c r="I45" s="37" t="n">
        <v>123.51826</v>
      </c>
      <c r="J45" s="8" t="inlineStr">
        <is>
          <t>R</t>
        </is>
      </c>
      <c r="K45" s="36" t="inlineStr">
        <is>
          <t>Class 1-3 / Urban</t>
        </is>
      </c>
      <c r="L45" s="18" t="n">
        <v>2239</v>
      </c>
      <c r="M45" s="20" t="n">
        <v>4.67</v>
      </c>
      <c r="N45" s="18">
        <f>ROUND(L45/M45, 0)</f>
        <v/>
      </c>
      <c r="O45" s="18">
        <f>ROUND(N45*'Methodology &amp; Assumptions'!$B$8, 0)</f>
        <v/>
      </c>
      <c r="P45" s="8" t="inlineStr">
        <is>
          <t>Band n50 (1.5 GHz, 60 MHz)</t>
        </is>
      </c>
      <c r="Q45" s="38">
        <f>ROUNDUP(O45/'Methodology &amp; Assumptions'!$B$9, 0)</f>
        <v/>
      </c>
      <c r="R45" s="39" t="n">
        <v>1</v>
      </c>
      <c r="S45" s="21" t="n">
        <v>0.25</v>
      </c>
      <c r="T45" s="21" t="n">
        <v>0.06</v>
      </c>
      <c r="U45" s="36" t="inlineStr">
        <is>
          <t>Tier 1A (Direct Coloc, &lt;1 km)</t>
        </is>
      </c>
      <c r="V45" s="20" t="n">
        <v>100</v>
      </c>
      <c r="W45" s="20" t="n">
        <v>62.4</v>
      </c>
      <c r="X45" s="20" t="n">
        <v>58</v>
      </c>
      <c r="Y45" s="40">
        <f>ROUND((V45*'Methodology &amp; Assumptions'!$B$6)+(W45*'Methodology &amp; Assumptions'!$B$5)+(X45*'Methodology &amp; Assumptions'!$B$7), 2)</f>
        <v/>
      </c>
    </row>
    <row r="46" ht="19" customHeight="1">
      <c r="A46" s="41" t="n">
        <v>42</v>
      </c>
      <c r="B46" s="41" t="n">
        <v>1042</v>
      </c>
      <c r="C46" s="42" t="inlineStr">
        <is>
          <t>0402109058</t>
        </is>
      </c>
      <c r="D46" s="42" t="inlineStr">
        <is>
          <t>Region IV-A (CALABARZON)</t>
        </is>
      </c>
      <c r="E46" s="42" t="inlineStr">
        <is>
          <t>Cavite</t>
        </is>
      </c>
      <c r="F46" s="42" t="inlineStr">
        <is>
          <t>City of Imus</t>
        </is>
      </c>
      <c r="G46" s="42" t="inlineStr">
        <is>
          <t>Malagasang I-C</t>
        </is>
      </c>
      <c r="H46" s="43" t="n">
        <v>14.390124</v>
      </c>
      <c r="I46" s="43" t="n">
        <v>120.928108</v>
      </c>
      <c r="J46" s="44" t="inlineStr">
        <is>
          <t>R</t>
        </is>
      </c>
      <c r="K46" s="42" t="inlineStr">
        <is>
          <t>Class 1-3 / Urban</t>
        </is>
      </c>
      <c r="L46" s="23" t="n">
        <v>4457</v>
      </c>
      <c r="M46" s="24" t="n">
        <v>4.49</v>
      </c>
      <c r="N46" s="23">
        <f>ROUND(L46/M46, 0)</f>
        <v/>
      </c>
      <c r="O46" s="23">
        <f>ROUND(N46*'Methodology &amp; Assumptions'!$B$8, 0)</f>
        <v/>
      </c>
      <c r="P46" s="44" t="inlineStr">
        <is>
          <t>Band n50 (1.5 GHz, 60 MHz)</t>
        </is>
      </c>
      <c r="Q46" s="38">
        <f>ROUNDUP(O46/'Methodology &amp; Assumptions'!$B$9, 0)</f>
        <v/>
      </c>
      <c r="R46" s="39" t="n">
        <v>1</v>
      </c>
      <c r="S46" s="25" t="n">
        <v>1.42</v>
      </c>
      <c r="T46" s="25" t="n">
        <v>5.63</v>
      </c>
      <c r="U46" s="42" t="inlineStr">
        <is>
          <t>Tier 1B (Micro Drop, 1-3 km)</t>
        </is>
      </c>
      <c r="V46" s="24" t="n">
        <v>62.3</v>
      </c>
      <c r="W46" s="24" t="n">
        <v>100</v>
      </c>
      <c r="X46" s="24" t="n">
        <v>58</v>
      </c>
      <c r="Y46" s="45">
        <f>ROUND((V46*'Methodology &amp; Assumptions'!$B$6)+(W46*'Methodology &amp; Assumptions'!$B$5)+(X46*'Methodology &amp; Assumptions'!$B$7), 2)</f>
        <v/>
      </c>
    </row>
    <row r="47" ht="19" customHeight="1">
      <c r="A47" s="35" t="n">
        <v>43</v>
      </c>
      <c r="B47" s="35" t="n">
        <v>1043</v>
      </c>
      <c r="C47" s="36" t="inlineStr">
        <is>
          <t>0405642004</t>
        </is>
      </c>
      <c r="D47" s="36" t="inlineStr">
        <is>
          <t>Region IV-A (CALABARZON)</t>
        </is>
      </c>
      <c r="E47" s="36" t="inlineStr">
        <is>
          <t>Quezon</t>
        </is>
      </c>
      <c r="F47" s="36" t="inlineStr">
        <is>
          <t>San Francisco</t>
        </is>
      </c>
      <c r="G47" s="36" t="inlineStr">
        <is>
          <t>Cawayan I</t>
        </is>
      </c>
      <c r="H47" s="37" t="n">
        <v>13.356798</v>
      </c>
      <c r="I47" s="37" t="n">
        <v>122.511972</v>
      </c>
      <c r="J47" s="8" t="inlineStr">
        <is>
          <t>R</t>
        </is>
      </c>
      <c r="K47" s="36" t="inlineStr">
        <is>
          <t>Class 1-3 / Urban</t>
        </is>
      </c>
      <c r="L47" s="18" t="n">
        <v>4318</v>
      </c>
      <c r="M47" s="20" t="n">
        <v>4.46</v>
      </c>
      <c r="N47" s="18">
        <f>ROUND(L47/M47, 0)</f>
        <v/>
      </c>
      <c r="O47" s="18">
        <f>ROUND(N47*'Methodology &amp; Assumptions'!$B$8, 0)</f>
        <v/>
      </c>
      <c r="P47" s="8" t="inlineStr">
        <is>
          <t>Band n50 (1.5 GHz, 60 MHz)</t>
        </is>
      </c>
      <c r="Q47" s="38">
        <f>ROUNDUP(O47/'Methodology &amp; Assumptions'!$B$9, 0)</f>
        <v/>
      </c>
      <c r="R47" s="39" t="n">
        <v>1</v>
      </c>
      <c r="S47" s="21" t="n">
        <v>1.42</v>
      </c>
      <c r="T47" s="21" t="n">
        <v>22.38</v>
      </c>
      <c r="U47" s="36" t="inlineStr">
        <is>
          <t>Tier 1B (Micro Drop, 1-3 km)</t>
        </is>
      </c>
      <c r="V47" s="20" t="n">
        <v>62.3</v>
      </c>
      <c r="W47" s="20" t="n">
        <v>100</v>
      </c>
      <c r="X47" s="20" t="n">
        <v>58</v>
      </c>
      <c r="Y47" s="40">
        <f>ROUND((V47*'Methodology &amp; Assumptions'!$B$6)+(W47*'Methodology &amp; Assumptions'!$B$5)+(X47*'Methodology &amp; Assumptions'!$B$7), 2)</f>
        <v/>
      </c>
    </row>
    <row r="48" ht="19" customHeight="1">
      <c r="A48" s="41" t="n">
        <v>44</v>
      </c>
      <c r="B48" s="41" t="n">
        <v>1044</v>
      </c>
      <c r="C48" s="42" t="inlineStr">
        <is>
          <t>0702211006</t>
        </is>
      </c>
      <c r="D48" s="42" t="inlineStr">
        <is>
          <t>Region VII (Central Visayas)</t>
        </is>
      </c>
      <c r="E48" s="42" t="inlineStr">
        <is>
          <t>Cebu</t>
        </is>
      </c>
      <c r="F48" s="42" t="inlineStr">
        <is>
          <t>City of Bogo</t>
        </is>
      </c>
      <c r="G48" s="42" t="inlineStr">
        <is>
          <t>Bungtod</t>
        </is>
      </c>
      <c r="H48" s="43" t="n">
        <v>11.040579</v>
      </c>
      <c r="I48" s="43" t="n">
        <v>124.007047</v>
      </c>
      <c r="J48" s="44" t="inlineStr">
        <is>
          <t>R</t>
        </is>
      </c>
      <c r="K48" s="42" t="inlineStr">
        <is>
          <t>Class 1-3 / Urban</t>
        </is>
      </c>
      <c r="L48" s="23" t="n">
        <v>2736</v>
      </c>
      <c r="M48" s="24" t="n">
        <v>4.42</v>
      </c>
      <c r="N48" s="23">
        <f>ROUND(L48/M48, 0)</f>
        <v/>
      </c>
      <c r="O48" s="23">
        <f>ROUND(N48*'Methodology &amp; Assumptions'!$B$8, 0)</f>
        <v/>
      </c>
      <c r="P48" s="44" t="inlineStr">
        <is>
          <t>Band n50 (1.5 GHz, 60 MHz)</t>
        </is>
      </c>
      <c r="Q48" s="38">
        <f>ROUNDUP(O48/'Methodology &amp; Assumptions'!$B$9, 0)</f>
        <v/>
      </c>
      <c r="R48" s="39" t="n">
        <v>1</v>
      </c>
      <c r="S48" s="25" t="n">
        <v>0.72</v>
      </c>
      <c r="T48" s="25" t="n">
        <v>0.42</v>
      </c>
      <c r="U48" s="42" t="inlineStr">
        <is>
          <t>Tier 1A (Direct Coloc, &lt;1 km)</t>
        </is>
      </c>
      <c r="V48" s="24" t="n">
        <v>88.7</v>
      </c>
      <c r="W48" s="24" t="n">
        <v>73.59999999999999</v>
      </c>
      <c r="X48" s="24" t="n">
        <v>58</v>
      </c>
      <c r="Y48" s="45">
        <f>ROUND((V48*'Methodology &amp; Assumptions'!$B$6)+(W48*'Methodology &amp; Assumptions'!$B$5)+(X48*'Methodology &amp; Assumptions'!$B$7), 2)</f>
        <v/>
      </c>
    </row>
    <row r="49" ht="19" customHeight="1">
      <c r="A49" s="35" t="n">
        <v>45</v>
      </c>
      <c r="B49" s="35" t="n">
        <v>1045</v>
      </c>
      <c r="C49" s="36" t="inlineStr">
        <is>
          <t>0301417020</t>
        </is>
      </c>
      <c r="D49" s="36" t="inlineStr">
        <is>
          <t>Region III (Central Luzon)</t>
        </is>
      </c>
      <c r="E49" s="36" t="inlineStr">
        <is>
          <t>Bulacan</t>
        </is>
      </c>
      <c r="F49" s="36" t="inlineStr">
        <is>
          <t>Plaridel</t>
        </is>
      </c>
      <c r="G49" s="36" t="inlineStr">
        <is>
          <t>Sipat</t>
        </is>
      </c>
      <c r="H49" s="37" t="n">
        <v>14.895541</v>
      </c>
      <c r="I49" s="37" t="n">
        <v>120.840917</v>
      </c>
      <c r="J49" s="8" t="inlineStr">
        <is>
          <t>U</t>
        </is>
      </c>
      <c r="K49" s="36" t="inlineStr">
        <is>
          <t>Class 1-3 / Urban</t>
        </is>
      </c>
      <c r="L49" s="18" t="n">
        <v>7822</v>
      </c>
      <c r="M49" s="20" t="n">
        <v>4.1</v>
      </c>
      <c r="N49" s="18">
        <f>ROUND(L49/M49, 0)</f>
        <v/>
      </c>
      <c r="O49" s="18">
        <f>ROUND(N49*'Methodology &amp; Assumptions'!$B$8, 0)</f>
        <v/>
      </c>
      <c r="P49" s="8" t="inlineStr">
        <is>
          <t>Band n50 (1.5 GHz, 60 MHz)</t>
        </is>
      </c>
      <c r="Q49" s="38">
        <f>ROUNDUP(O49/'Methodology &amp; Assumptions'!$B$9, 0)</f>
        <v/>
      </c>
      <c r="R49" s="39" t="n">
        <v>1</v>
      </c>
      <c r="S49" s="21" t="n">
        <v>1.28</v>
      </c>
      <c r="T49" s="21" t="n">
        <v>0.66</v>
      </c>
      <c r="U49" s="36" t="inlineStr">
        <is>
          <t>Tier 1B (Micro Drop, 1-3 km)</t>
        </is>
      </c>
      <c r="V49" s="20" t="n">
        <v>75.2</v>
      </c>
      <c r="W49" s="20" t="n">
        <v>100</v>
      </c>
      <c r="X49" s="20" t="n">
        <v>43</v>
      </c>
      <c r="Y49" s="40">
        <f>ROUND((V49*'Methodology &amp; Assumptions'!$B$6)+(W49*'Methodology &amp; Assumptions'!$B$5)+(X49*'Methodology &amp; Assumptions'!$B$7), 2)</f>
        <v/>
      </c>
    </row>
    <row r="50" ht="19" customHeight="1">
      <c r="A50" s="41" t="n">
        <v>46</v>
      </c>
      <c r="B50" s="41" t="n">
        <v>1046</v>
      </c>
      <c r="C50" s="42" t="inlineStr">
        <is>
          <t>0304911060</t>
        </is>
      </c>
      <c r="D50" s="42" t="inlineStr">
        <is>
          <t>Region III (Central Luzon)</t>
        </is>
      </c>
      <c r="E50" s="42" t="inlineStr">
        <is>
          <t>Nueva Ecija</t>
        </is>
      </c>
      <c r="F50" s="42" t="inlineStr">
        <is>
          <t>Guimba</t>
        </is>
      </c>
      <c r="G50" s="42" t="inlineStr">
        <is>
          <t>Santa Veronica District</t>
        </is>
      </c>
      <c r="H50" s="43" t="n">
        <v>15.663175</v>
      </c>
      <c r="I50" s="43" t="n">
        <v>120.765885</v>
      </c>
      <c r="J50" s="44" t="inlineStr">
        <is>
          <t>U</t>
        </is>
      </c>
      <c r="K50" s="42" t="inlineStr">
        <is>
          <t>Class 1-3 / Urban</t>
        </is>
      </c>
      <c r="L50" s="23" t="n">
        <v>3873</v>
      </c>
      <c r="M50" s="24" t="n">
        <v>4.32</v>
      </c>
      <c r="N50" s="23">
        <f>ROUND(L50/M50, 0)</f>
        <v/>
      </c>
      <c r="O50" s="23">
        <f>ROUND(N50*'Methodology &amp; Assumptions'!$B$8, 0)</f>
        <v/>
      </c>
      <c r="P50" s="44" t="inlineStr">
        <is>
          <t>Band n50 (1.5 GHz, 60 MHz)</t>
        </is>
      </c>
      <c r="Q50" s="38">
        <f>ROUNDUP(O50/'Methodology &amp; Assumptions'!$B$9, 0)</f>
        <v/>
      </c>
      <c r="R50" s="39" t="n">
        <v>1</v>
      </c>
      <c r="S50" s="25" t="n">
        <v>0.58</v>
      </c>
      <c r="T50" s="25" t="n">
        <v>1.07</v>
      </c>
      <c r="U50" s="42" t="inlineStr">
        <is>
          <t>Tier 1A (Direct Coloc, &lt;1 km)</t>
        </is>
      </c>
      <c r="V50" s="24" t="n">
        <v>92.3</v>
      </c>
      <c r="W50" s="24" t="n">
        <v>95.7</v>
      </c>
      <c r="X50" s="24" t="n">
        <v>28</v>
      </c>
      <c r="Y50" s="45">
        <f>ROUND((V50*'Methodology &amp; Assumptions'!$B$6)+(W50*'Methodology &amp; Assumptions'!$B$5)+(X50*'Methodology &amp; Assumptions'!$B$7), 2)</f>
        <v/>
      </c>
    </row>
    <row r="51" ht="19" customHeight="1">
      <c r="A51" s="35" t="n">
        <v>47</v>
      </c>
      <c r="B51" s="35" t="n">
        <v>1047</v>
      </c>
      <c r="C51" s="36" t="inlineStr">
        <is>
          <t>1630400027</t>
        </is>
      </c>
      <c r="D51" s="36" t="inlineStr">
        <is>
          <t>Region XIII (Caraga)</t>
        </is>
      </c>
      <c r="E51" s="36" t="inlineStr">
        <is>
          <t>Agusan del Norte</t>
        </is>
      </c>
      <c r="F51" s="36" t="inlineStr">
        <is>
          <t>City of Butuan</t>
        </is>
      </c>
      <c r="G51" s="36" t="inlineStr">
        <is>
          <t>Buhangin Pob.</t>
        </is>
      </c>
      <c r="H51" s="37" t="n">
        <v>8.946427999999999</v>
      </c>
      <c r="I51" s="37" t="n">
        <v>125.549403</v>
      </c>
      <c r="J51" s="8" t="inlineStr">
        <is>
          <t>U</t>
        </is>
      </c>
      <c r="K51" s="36" t="inlineStr">
        <is>
          <t>Class 1-3 / Urban</t>
        </is>
      </c>
      <c r="L51" s="18" t="n">
        <v>5005</v>
      </c>
      <c r="M51" s="20" t="n">
        <v>4.63</v>
      </c>
      <c r="N51" s="18">
        <f>ROUND(L51/M51, 0)</f>
        <v/>
      </c>
      <c r="O51" s="18">
        <f>ROUND(N51*'Methodology &amp; Assumptions'!$B$8, 0)</f>
        <v/>
      </c>
      <c r="P51" s="8" t="inlineStr">
        <is>
          <t>Band n50 (1.5 GHz, 60 MHz)</t>
        </is>
      </c>
      <c r="Q51" s="38">
        <f>ROUNDUP(O51/'Methodology &amp; Assumptions'!$B$9, 0)</f>
        <v/>
      </c>
      <c r="R51" s="39" t="n">
        <v>1</v>
      </c>
      <c r="S51" s="21" t="n">
        <v>1.29</v>
      </c>
      <c r="T51" s="21" t="n">
        <v>0.32</v>
      </c>
      <c r="U51" s="36" t="inlineStr">
        <is>
          <t>Tier 1B (Micro Drop, 1-3 km)</t>
        </is>
      </c>
      <c r="V51" s="20" t="n">
        <v>75.09999999999999</v>
      </c>
      <c r="W51" s="20" t="n">
        <v>100</v>
      </c>
      <c r="X51" s="20" t="n">
        <v>43</v>
      </c>
      <c r="Y51" s="40">
        <f>ROUND((V51*'Methodology &amp; Assumptions'!$B$6)+(W51*'Methodology &amp; Assumptions'!$B$5)+(X51*'Methodology &amp; Assumptions'!$B$7), 2)</f>
        <v/>
      </c>
    </row>
    <row r="52" ht="19" customHeight="1">
      <c r="A52" s="41" t="n">
        <v>48</v>
      </c>
      <c r="B52" s="41" t="n">
        <v>1048</v>
      </c>
      <c r="C52" s="42" t="inlineStr">
        <is>
          <t>0405806007</t>
        </is>
      </c>
      <c r="D52" s="42" t="inlineStr">
        <is>
          <t>Region IV-A (CALABARZON)</t>
        </is>
      </c>
      <c r="E52" s="42" t="inlineStr">
        <is>
          <t>Rizal</t>
        </is>
      </c>
      <c r="F52" s="42" t="inlineStr">
        <is>
          <t>Cardona</t>
        </is>
      </c>
      <c r="G52" s="42" t="inlineStr">
        <is>
          <t>Calahan</t>
        </is>
      </c>
      <c r="H52" s="43" t="n">
        <v>14.49053</v>
      </c>
      <c r="I52" s="43" t="n">
        <v>121.23465</v>
      </c>
      <c r="J52" s="44" t="inlineStr">
        <is>
          <t>U</t>
        </is>
      </c>
      <c r="K52" s="42" t="inlineStr">
        <is>
          <t>Class 1-3 / Urban</t>
        </is>
      </c>
      <c r="L52" s="23" t="n">
        <v>6033</v>
      </c>
      <c r="M52" s="24" t="n">
        <v>4.39</v>
      </c>
      <c r="N52" s="23">
        <f>ROUND(L52/M52, 0)</f>
        <v/>
      </c>
      <c r="O52" s="23">
        <f>ROUND(N52*'Methodology &amp; Assumptions'!$B$8, 0)</f>
        <v/>
      </c>
      <c r="P52" s="44" t="inlineStr">
        <is>
          <t>Band n50 (1.5 GHz, 60 MHz)</t>
        </is>
      </c>
      <c r="Q52" s="38">
        <f>ROUNDUP(O52/'Methodology &amp; Assumptions'!$B$9, 0)</f>
        <v/>
      </c>
      <c r="R52" s="39" t="n">
        <v>1</v>
      </c>
      <c r="S52" s="25" t="n">
        <v>0.75</v>
      </c>
      <c r="T52" s="25" t="n">
        <v>0.07000000000000001</v>
      </c>
      <c r="U52" s="42" t="inlineStr">
        <is>
          <t>Tier 1A (Direct Coloc, &lt;1 km)</t>
        </is>
      </c>
      <c r="V52" s="24" t="n">
        <v>87.90000000000001</v>
      </c>
      <c r="W52" s="24" t="n">
        <v>100</v>
      </c>
      <c r="X52" s="24" t="n">
        <v>28</v>
      </c>
      <c r="Y52" s="45">
        <f>ROUND((V52*'Methodology &amp; Assumptions'!$B$6)+(W52*'Methodology &amp; Assumptions'!$B$5)+(X52*'Methodology &amp; Assumptions'!$B$7), 2)</f>
        <v/>
      </c>
    </row>
    <row r="53" ht="19" customHeight="1">
      <c r="A53" s="35" t="n">
        <v>49</v>
      </c>
      <c r="B53" s="35" t="n">
        <v>1049</v>
      </c>
      <c r="C53" s="36" t="inlineStr">
        <is>
          <t>1630400098</t>
        </is>
      </c>
      <c r="D53" s="36" t="inlineStr">
        <is>
          <t>Region XIII (Caraga)</t>
        </is>
      </c>
      <c r="E53" s="36" t="inlineStr">
        <is>
          <t>Agusan del Norte</t>
        </is>
      </c>
      <c r="F53" s="36" t="inlineStr">
        <is>
          <t>City of Butuan</t>
        </is>
      </c>
      <c r="G53" s="36" t="inlineStr">
        <is>
          <t>Pangabugan</t>
        </is>
      </c>
      <c r="H53" s="37" t="n">
        <v>8.928212</v>
      </c>
      <c r="I53" s="37" t="n">
        <v>125.549266</v>
      </c>
      <c r="J53" s="8" t="inlineStr">
        <is>
          <t>R</t>
        </is>
      </c>
      <c r="K53" s="36" t="inlineStr">
        <is>
          <t>Class 1-3 / Urban</t>
        </is>
      </c>
      <c r="L53" s="18" t="n">
        <v>4438</v>
      </c>
      <c r="M53" s="20" t="n">
        <v>4.63</v>
      </c>
      <c r="N53" s="18">
        <f>ROUND(L53/M53, 0)</f>
        <v/>
      </c>
      <c r="O53" s="18">
        <f>ROUND(N53*'Methodology &amp; Assumptions'!$B$8, 0)</f>
        <v/>
      </c>
      <c r="P53" s="8" t="inlineStr">
        <is>
          <t>Band n50 (1.5 GHz, 60 MHz)</t>
        </is>
      </c>
      <c r="Q53" s="38">
        <f>ROUNDUP(O53/'Methodology &amp; Assumptions'!$B$9, 0)</f>
        <v/>
      </c>
      <c r="R53" s="39" t="n">
        <v>1</v>
      </c>
      <c r="S53" s="21" t="n">
        <v>2.8</v>
      </c>
      <c r="T53" s="21" t="n">
        <v>0.6899999999999999</v>
      </c>
      <c r="U53" s="36" t="inlineStr">
        <is>
          <t>Tier 1B (Micro Drop, 1-3 km)</t>
        </is>
      </c>
      <c r="V53" s="20" t="n">
        <v>49.4</v>
      </c>
      <c r="W53" s="20" t="n">
        <v>100</v>
      </c>
      <c r="X53" s="20" t="n">
        <v>73</v>
      </c>
      <c r="Y53" s="40">
        <f>ROUND((V53*'Methodology &amp; Assumptions'!$B$6)+(W53*'Methodology &amp; Assumptions'!$B$5)+(X53*'Methodology &amp; Assumptions'!$B$7), 2)</f>
        <v/>
      </c>
    </row>
    <row r="54" ht="19" customHeight="1">
      <c r="A54" s="41" t="n">
        <v>50</v>
      </c>
      <c r="B54" s="41" t="n">
        <v>1050</v>
      </c>
      <c r="C54" s="42" t="inlineStr">
        <is>
          <t>0730600005</t>
        </is>
      </c>
      <c r="D54" s="42" t="inlineStr">
        <is>
          <t>Region VII (Central Visayas)</t>
        </is>
      </c>
      <c r="E54" s="42" t="inlineStr">
        <is>
          <t>Cebu</t>
        </is>
      </c>
      <c r="F54" s="42" t="inlineStr">
        <is>
          <t>City of Cebu</t>
        </is>
      </c>
      <c r="G54" s="42" t="inlineStr">
        <is>
          <t>Basak Pardo</t>
        </is>
      </c>
      <c r="H54" s="43" t="n">
        <v>10.289743</v>
      </c>
      <c r="I54" s="43" t="n">
        <v>123.865232</v>
      </c>
      <c r="J54" s="44" t="inlineStr">
        <is>
          <t>U</t>
        </is>
      </c>
      <c r="K54" s="42" t="inlineStr">
        <is>
          <t>Class 1-3 / Urban</t>
        </is>
      </c>
      <c r="L54" s="23" t="n">
        <v>17854</v>
      </c>
      <c r="M54" s="24" t="n">
        <v>4.42</v>
      </c>
      <c r="N54" s="23">
        <f>ROUND(L54/M54, 0)</f>
        <v/>
      </c>
      <c r="O54" s="23">
        <f>ROUND(N54*'Methodology &amp; Assumptions'!$B$8, 0)</f>
        <v/>
      </c>
      <c r="P54" s="44" t="inlineStr">
        <is>
          <t>Band n50 (1.5 GHz, 60 MHz)</t>
        </is>
      </c>
      <c r="Q54" s="38">
        <f>ROUNDUP(O54/'Methodology &amp; Assumptions'!$B$9, 0)</f>
        <v/>
      </c>
      <c r="R54" s="39" t="n">
        <v>1</v>
      </c>
      <c r="S54" s="25" t="n">
        <v>0.75</v>
      </c>
      <c r="T54" s="25" t="n">
        <v>0.17</v>
      </c>
      <c r="U54" s="42" t="inlineStr">
        <is>
          <t>Tier 1A (Direct Coloc, &lt;1 km)</t>
        </is>
      </c>
      <c r="V54" s="24" t="n">
        <v>87.90000000000001</v>
      </c>
      <c r="W54" s="24" t="n">
        <v>100</v>
      </c>
      <c r="X54" s="24" t="n">
        <v>28</v>
      </c>
      <c r="Y54" s="45">
        <f>ROUND((V54*'Methodology &amp; Assumptions'!$B$6)+(W54*'Methodology &amp; Assumptions'!$B$5)+(X54*'Methodology &amp; Assumptions'!$B$7), 2)</f>
        <v/>
      </c>
    </row>
    <row r="55" ht="19" customHeight="1">
      <c r="A55" s="35" t="n">
        <v>51</v>
      </c>
      <c r="B55" s="35" t="n">
        <v>1051</v>
      </c>
      <c r="C55" s="36" t="inlineStr">
        <is>
          <t>1606819022</t>
        </is>
      </c>
      <c r="D55" s="36" t="inlineStr">
        <is>
          <t>Region XIII (Caraga)</t>
        </is>
      </c>
      <c r="E55" s="36" t="inlineStr">
        <is>
          <t>Surigao del Sur</t>
        </is>
      </c>
      <c r="F55" s="36" t="inlineStr">
        <is>
          <t>City of Tandag</t>
        </is>
      </c>
      <c r="G55" s="36" t="inlineStr">
        <is>
          <t>Telaje</t>
        </is>
      </c>
      <c r="H55" s="37" t="n">
        <v>9.072471999999999</v>
      </c>
      <c r="I55" s="37" t="n">
        <v>126.192211</v>
      </c>
      <c r="J55" s="8" t="inlineStr">
        <is>
          <t>U</t>
        </is>
      </c>
      <c r="K55" s="36" t="inlineStr">
        <is>
          <t>Class 1-3 / Urban</t>
        </is>
      </c>
      <c r="L55" s="18" t="n">
        <v>7881</v>
      </c>
      <c r="M55" s="20" t="n">
        <v>4.56</v>
      </c>
      <c r="N55" s="18">
        <f>ROUND(L55/M55, 0)</f>
        <v/>
      </c>
      <c r="O55" s="18">
        <f>ROUND(N55*'Methodology &amp; Assumptions'!$B$8, 0)</f>
        <v/>
      </c>
      <c r="P55" s="8" t="inlineStr">
        <is>
          <t>Band n50 (1.5 GHz, 60 MHz)</t>
        </is>
      </c>
      <c r="Q55" s="38">
        <f>ROUNDUP(O55/'Methodology &amp; Assumptions'!$B$9, 0)</f>
        <v/>
      </c>
      <c r="R55" s="39" t="n">
        <v>1</v>
      </c>
      <c r="S55" s="21" t="n">
        <v>0.75</v>
      </c>
      <c r="T55" s="21" t="n">
        <v>0.57</v>
      </c>
      <c r="U55" s="36" t="inlineStr">
        <is>
          <t>Tier 1A (Direct Coloc, &lt;1 km)</t>
        </is>
      </c>
      <c r="V55" s="20" t="n">
        <v>87.90000000000001</v>
      </c>
      <c r="W55" s="20" t="n">
        <v>100</v>
      </c>
      <c r="X55" s="20" t="n">
        <v>28</v>
      </c>
      <c r="Y55" s="40">
        <f>ROUND((V55*'Methodology &amp; Assumptions'!$B$6)+(W55*'Methodology &amp; Assumptions'!$B$5)+(X55*'Methodology &amp; Assumptions'!$B$7), 2)</f>
        <v/>
      </c>
    </row>
    <row r="56" ht="19" customHeight="1">
      <c r="A56" s="41" t="n">
        <v>52</v>
      </c>
      <c r="B56" s="41" t="n">
        <v>1052</v>
      </c>
      <c r="C56" s="42" t="inlineStr">
        <is>
          <t>0307113018</t>
        </is>
      </c>
      <c r="D56" s="42" t="inlineStr">
        <is>
          <t>Region III (Central Luzon)</t>
        </is>
      </c>
      <c r="E56" s="42" t="inlineStr">
        <is>
          <t>Zambales</t>
        </is>
      </c>
      <c r="F56" s="42" t="inlineStr">
        <is>
          <t>Santa Cruz</t>
        </is>
      </c>
      <c r="G56" s="42" t="inlineStr">
        <is>
          <t>Pagatpat</t>
        </is>
      </c>
      <c r="H56" s="43" t="n">
        <v>15.78073</v>
      </c>
      <c r="I56" s="43" t="n">
        <v>119.9019</v>
      </c>
      <c r="J56" s="44" t="inlineStr">
        <is>
          <t>R</t>
        </is>
      </c>
      <c r="K56" s="42" t="inlineStr">
        <is>
          <t>Class 1-3 / Urban</t>
        </is>
      </c>
      <c r="L56" s="23" t="n">
        <v>3560</v>
      </c>
      <c r="M56" s="24" t="n">
        <v>4.05</v>
      </c>
      <c r="N56" s="23">
        <f>ROUND(L56/M56, 0)</f>
        <v/>
      </c>
      <c r="O56" s="23">
        <f>ROUND(N56*'Methodology &amp; Assumptions'!$B$8, 0)</f>
        <v/>
      </c>
      <c r="P56" s="44" t="inlineStr">
        <is>
          <t>Band n50 (1.5 GHz, 60 MHz)</t>
        </is>
      </c>
      <c r="Q56" s="38">
        <f>ROUNDUP(O56/'Methodology &amp; Assumptions'!$B$9, 0)</f>
        <v/>
      </c>
      <c r="R56" s="39" t="n">
        <v>1</v>
      </c>
      <c r="S56" s="25" t="n">
        <v>1.65</v>
      </c>
      <c r="T56" s="25" t="n">
        <v>0.22</v>
      </c>
      <c r="U56" s="42" t="inlineStr">
        <is>
          <t>Tier 1B (Micro Drop, 1-3 km)</t>
        </is>
      </c>
      <c r="V56" s="24" t="n">
        <v>67.8</v>
      </c>
      <c r="W56" s="24" t="n">
        <v>94.40000000000001</v>
      </c>
      <c r="X56" s="24" t="n">
        <v>58</v>
      </c>
      <c r="Y56" s="45">
        <f>ROUND((V56*'Methodology &amp; Assumptions'!$B$6)+(W56*'Methodology &amp; Assumptions'!$B$5)+(X56*'Methodology &amp; Assumptions'!$B$7), 2)</f>
        <v/>
      </c>
    </row>
    <row r="57" ht="19" customHeight="1">
      <c r="A57" s="35" t="n">
        <v>53</v>
      </c>
      <c r="B57" s="35" t="n">
        <v>1053</v>
      </c>
      <c r="C57" s="36" t="inlineStr">
        <is>
          <t>0501737008</t>
        </is>
      </c>
      <c r="D57" s="36" t="inlineStr">
        <is>
          <t>Region V (Bicol Region)</t>
        </is>
      </c>
      <c r="E57" s="36" t="inlineStr">
        <is>
          <t>Camarines Sur</t>
        </is>
      </c>
      <c r="F57" s="36" t="inlineStr">
        <is>
          <t>Tinambac</t>
        </is>
      </c>
      <c r="G57" s="36" t="inlineStr">
        <is>
          <t>Binalay</t>
        </is>
      </c>
      <c r="H57" s="37" t="n">
        <v>13.816199</v>
      </c>
      <c r="I57" s="37" t="n">
        <v>123.341317</v>
      </c>
      <c r="J57" s="8" t="inlineStr">
        <is>
          <t>R</t>
        </is>
      </c>
      <c r="K57" s="36" t="inlineStr">
        <is>
          <t>Class 1-3 / Urban</t>
        </is>
      </c>
      <c r="L57" s="18" t="n">
        <v>2341</v>
      </c>
      <c r="M57" s="20" t="n">
        <v>4.9</v>
      </c>
      <c r="N57" s="18">
        <f>ROUND(L57/M57, 0)</f>
        <v/>
      </c>
      <c r="O57" s="18">
        <f>ROUND(N57*'Methodology &amp; Assumptions'!$B$8, 0)</f>
        <v/>
      </c>
      <c r="P57" s="8" t="inlineStr">
        <is>
          <t>Band n50 (1.5 GHz, 60 MHz)</t>
        </is>
      </c>
      <c r="Q57" s="38">
        <f>ROUNDUP(O57/'Methodology &amp; Assumptions'!$B$9, 0)</f>
        <v/>
      </c>
      <c r="R57" s="39" t="n">
        <v>1</v>
      </c>
      <c r="S57" s="21" t="n">
        <v>0.29</v>
      </c>
      <c r="T57" s="21" t="n">
        <v>0.2</v>
      </c>
      <c r="U57" s="36" t="inlineStr">
        <is>
          <t>Tier 1A (Direct Coloc, &lt;1 km)</t>
        </is>
      </c>
      <c r="V57" s="20" t="n">
        <v>100</v>
      </c>
      <c r="W57" s="20" t="n">
        <v>62.1</v>
      </c>
      <c r="X57" s="20" t="n">
        <v>58</v>
      </c>
      <c r="Y57" s="40">
        <f>ROUND((V57*'Methodology &amp; Assumptions'!$B$6)+(W57*'Methodology &amp; Assumptions'!$B$5)+(X57*'Methodology &amp; Assumptions'!$B$7), 2)</f>
        <v/>
      </c>
    </row>
    <row r="58" ht="19" customHeight="1">
      <c r="A58" s="41" t="n">
        <v>54</v>
      </c>
      <c r="B58" s="41" t="n">
        <v>1054</v>
      </c>
      <c r="C58" s="42" t="inlineStr">
        <is>
          <t>0300803019</t>
        </is>
      </c>
      <c r="D58" s="42" t="inlineStr">
        <is>
          <t>Region III (Central Luzon)</t>
        </is>
      </c>
      <c r="E58" s="42" t="inlineStr">
        <is>
          <t>Bataan</t>
        </is>
      </c>
      <c r="F58" s="42" t="inlineStr">
        <is>
          <t>City of Balanga</t>
        </is>
      </c>
      <c r="G58" s="42" t="inlineStr">
        <is>
          <t>Talisay</t>
        </is>
      </c>
      <c r="H58" s="43" t="n">
        <v>14.681928</v>
      </c>
      <c r="I58" s="43" t="n">
        <v>120.545243</v>
      </c>
      <c r="J58" s="44" t="inlineStr">
        <is>
          <t>R</t>
        </is>
      </c>
      <c r="K58" s="42" t="inlineStr">
        <is>
          <t>Class 1-3 / Urban</t>
        </is>
      </c>
      <c r="L58" s="23" t="n">
        <v>2181</v>
      </c>
      <c r="M58" s="24" t="n">
        <v>4.57</v>
      </c>
      <c r="N58" s="23">
        <f>ROUND(L58/M58, 0)</f>
        <v/>
      </c>
      <c r="O58" s="23">
        <f>ROUND(N58*'Methodology &amp; Assumptions'!$B$8, 0)</f>
        <v/>
      </c>
      <c r="P58" s="44" t="inlineStr">
        <is>
          <t>Band n50 (1.5 GHz, 60 MHz)</t>
        </is>
      </c>
      <c r="Q58" s="38">
        <f>ROUNDUP(O58/'Methodology &amp; Assumptions'!$B$9, 0)</f>
        <v/>
      </c>
      <c r="R58" s="39" t="n">
        <v>1</v>
      </c>
      <c r="S58" s="25" t="n">
        <v>0.2</v>
      </c>
      <c r="T58" s="25" t="n">
        <v>0.13</v>
      </c>
      <c r="U58" s="42" t="inlineStr">
        <is>
          <t>Tier 1A (Direct Coloc, &lt;1 km)</t>
        </is>
      </c>
      <c r="V58" s="24" t="n">
        <v>100</v>
      </c>
      <c r="W58" s="24" t="n">
        <v>62.1</v>
      </c>
      <c r="X58" s="24" t="n">
        <v>58</v>
      </c>
      <c r="Y58" s="45">
        <f>ROUND((V58*'Methodology &amp; Assumptions'!$B$6)+(W58*'Methodology &amp; Assumptions'!$B$5)+(X58*'Methodology &amp; Assumptions'!$B$7), 2)</f>
        <v/>
      </c>
    </row>
    <row r="59" ht="19" customHeight="1">
      <c r="A59" s="35" t="n">
        <v>55</v>
      </c>
      <c r="B59" s="35" t="n">
        <v>1055</v>
      </c>
      <c r="C59" s="36" t="inlineStr">
        <is>
          <t>0201516003</t>
        </is>
      </c>
      <c r="D59" s="36" t="inlineStr">
        <is>
          <t>Region II (Cagayan Valley)</t>
        </is>
      </c>
      <c r="E59" s="36" t="inlineStr">
        <is>
          <t>Cagayan</t>
        </is>
      </c>
      <c r="F59" s="36" t="inlineStr">
        <is>
          <t>Lal-Lo</t>
        </is>
      </c>
      <c r="G59" s="36" t="inlineStr">
        <is>
          <t>Bagumbayan</t>
        </is>
      </c>
      <c r="H59" s="37" t="n">
        <v>18.1949</v>
      </c>
      <c r="I59" s="37" t="n">
        <v>121.6628</v>
      </c>
      <c r="J59" s="8" t="inlineStr">
        <is>
          <t>R</t>
        </is>
      </c>
      <c r="K59" s="36" t="inlineStr">
        <is>
          <t>Class 1-3 / Urban</t>
        </is>
      </c>
      <c r="L59" s="18" t="n">
        <v>2083</v>
      </c>
      <c r="M59" s="20" t="n">
        <v>4.38</v>
      </c>
      <c r="N59" s="18">
        <f>ROUND(L59/M59, 0)</f>
        <v/>
      </c>
      <c r="O59" s="18">
        <f>ROUND(N59*'Methodology &amp; Assumptions'!$B$8, 0)</f>
        <v/>
      </c>
      <c r="P59" s="8" t="inlineStr">
        <is>
          <t>Band n50 (1.5 GHz, 60 MHz)</t>
        </is>
      </c>
      <c r="Q59" s="38">
        <f>ROUNDUP(O59/'Methodology &amp; Assumptions'!$B$9, 0)</f>
        <v/>
      </c>
      <c r="R59" s="39" t="n">
        <v>1</v>
      </c>
      <c r="S59" s="21" t="n">
        <v>0.06</v>
      </c>
      <c r="T59" s="21" t="n">
        <v>0.1</v>
      </c>
      <c r="U59" s="36" t="inlineStr">
        <is>
          <t>Tier 1A (Direct Coloc, &lt;1 km)</t>
        </is>
      </c>
      <c r="V59" s="20" t="n">
        <v>100</v>
      </c>
      <c r="W59" s="20" t="n">
        <v>62.1</v>
      </c>
      <c r="X59" s="20" t="n">
        <v>58</v>
      </c>
      <c r="Y59" s="40">
        <f>ROUND((V59*'Methodology &amp; Assumptions'!$B$6)+(W59*'Methodology &amp; Assumptions'!$B$5)+(X59*'Methodology &amp; Assumptions'!$B$7), 2)</f>
        <v/>
      </c>
    </row>
    <row r="60" ht="19" customHeight="1">
      <c r="A60" s="41" t="n">
        <v>56</v>
      </c>
      <c r="B60" s="41" t="n">
        <v>1056</v>
      </c>
      <c r="C60" s="42" t="inlineStr">
        <is>
          <t>0701232016</t>
        </is>
      </c>
      <c r="D60" s="42" t="inlineStr">
        <is>
          <t>Region VII (Central Visayas)</t>
        </is>
      </c>
      <c r="E60" s="42" t="inlineStr">
        <is>
          <t>Bohol</t>
        </is>
      </c>
      <c r="F60" s="42" t="inlineStr">
        <is>
          <t>Maribojoc</t>
        </is>
      </c>
      <c r="G60" s="42" t="inlineStr">
        <is>
          <t>Poblacion</t>
        </is>
      </c>
      <c r="H60" s="43" t="n">
        <v>9.741004999999999</v>
      </c>
      <c r="I60" s="43" t="n">
        <v>123.843551</v>
      </c>
      <c r="J60" s="44" t="inlineStr">
        <is>
          <t>R</t>
        </is>
      </c>
      <c r="K60" s="42" t="inlineStr">
        <is>
          <t>3rd</t>
        </is>
      </c>
      <c r="L60" s="23" t="n">
        <v>2071</v>
      </c>
      <c r="M60" s="24" t="n">
        <v>4.35</v>
      </c>
      <c r="N60" s="23">
        <f>ROUND(L60/M60, 0)</f>
        <v/>
      </c>
      <c r="O60" s="23">
        <f>ROUND(N60*'Methodology &amp; Assumptions'!$B$8, 0)</f>
        <v/>
      </c>
      <c r="P60" s="44" t="inlineStr">
        <is>
          <t>Band n50 (1.5 GHz, 60 MHz)</t>
        </is>
      </c>
      <c r="Q60" s="38">
        <f>ROUNDUP(O60/'Methodology &amp; Assumptions'!$B$9, 0)</f>
        <v/>
      </c>
      <c r="R60" s="39" t="n">
        <v>1</v>
      </c>
      <c r="S60" s="25" t="n">
        <v>0.19</v>
      </c>
      <c r="T60" s="25" t="n">
        <v>0.07000000000000001</v>
      </c>
      <c r="U60" s="42" t="inlineStr">
        <is>
          <t>Tier 1A (Direct Coloc, &lt;1 km)</t>
        </is>
      </c>
      <c r="V60" s="24" t="n">
        <v>100</v>
      </c>
      <c r="W60" s="24" t="n">
        <v>62.1</v>
      </c>
      <c r="X60" s="24" t="n">
        <v>58</v>
      </c>
      <c r="Y60" s="45">
        <f>ROUND((V60*'Methodology &amp; Assumptions'!$B$6)+(W60*'Methodology &amp; Assumptions'!$B$5)+(X60*'Methodology &amp; Assumptions'!$B$7), 2)</f>
        <v/>
      </c>
    </row>
    <row r="61" ht="19" customHeight="1">
      <c r="A61" s="35" t="n">
        <v>57</v>
      </c>
      <c r="B61" s="35" t="n">
        <v>1057</v>
      </c>
      <c r="C61" s="36" t="inlineStr">
        <is>
          <t>0931700021</t>
        </is>
      </c>
      <c r="D61" s="36" t="inlineStr">
        <is>
          <t>Region IX (Zamboanga Peninsula)</t>
        </is>
      </c>
      <c r="E61" s="36" t="inlineStr">
        <is>
          <t>Zamboanga del Sur</t>
        </is>
      </c>
      <c r="F61" s="36" t="inlineStr">
        <is>
          <t>City of Zamboanga</t>
        </is>
      </c>
      <c r="G61" s="36" t="inlineStr">
        <is>
          <t>Canelar</t>
        </is>
      </c>
      <c r="H61" s="37" t="n">
        <v>6.916366</v>
      </c>
      <c r="I61" s="37" t="n">
        <v>122.070668</v>
      </c>
      <c r="J61" s="8" t="inlineStr">
        <is>
          <t>U</t>
        </is>
      </c>
      <c r="K61" s="36" t="inlineStr">
        <is>
          <t>Class 1-3 / Urban</t>
        </is>
      </c>
      <c r="L61" s="18" t="n">
        <v>10512</v>
      </c>
      <c r="M61" s="20" t="n">
        <v>4.61</v>
      </c>
      <c r="N61" s="18">
        <f>ROUND(L61/M61, 0)</f>
        <v/>
      </c>
      <c r="O61" s="18">
        <f>ROUND(N61*'Methodology &amp; Assumptions'!$B$8, 0)</f>
        <v/>
      </c>
      <c r="P61" s="8" t="inlineStr">
        <is>
          <t>Band n50 (1.5 GHz, 60 MHz)</t>
        </is>
      </c>
      <c r="Q61" s="38">
        <f>ROUNDUP(O61/'Methodology &amp; Assumptions'!$B$9, 0)</f>
        <v/>
      </c>
      <c r="R61" s="39" t="n">
        <v>1</v>
      </c>
      <c r="S61" s="21" t="n">
        <v>0.75</v>
      </c>
      <c r="T61" s="21" t="n">
        <v>0.76</v>
      </c>
      <c r="U61" s="36" t="inlineStr">
        <is>
          <t>Tier 1A (Direct Coloc, &lt;1 km)</t>
        </is>
      </c>
      <c r="V61" s="20" t="n">
        <v>87.90000000000001</v>
      </c>
      <c r="W61" s="20" t="n">
        <v>100</v>
      </c>
      <c r="X61" s="20" t="n">
        <v>28</v>
      </c>
      <c r="Y61" s="40">
        <f>ROUND((V61*'Methodology &amp; Assumptions'!$B$6)+(W61*'Methodology &amp; Assumptions'!$B$5)+(X61*'Methodology &amp; Assumptions'!$B$7), 2)</f>
        <v/>
      </c>
    </row>
    <row r="62" ht="19" customHeight="1">
      <c r="A62" s="41" t="n">
        <v>58</v>
      </c>
      <c r="B62" s="41" t="n">
        <v>1058</v>
      </c>
      <c r="C62" s="42" t="inlineStr">
        <is>
          <t>0908305023</t>
        </is>
      </c>
      <c r="D62" s="42" t="inlineStr">
        <is>
          <t>Region IX (Zamboanga Peninsula)</t>
        </is>
      </c>
      <c r="E62" s="42" t="inlineStr">
        <is>
          <t>Zamboanga Sibugay</t>
        </is>
      </c>
      <c r="F62" s="42" t="inlineStr">
        <is>
          <t>Ipil</t>
        </is>
      </c>
      <c r="G62" s="42" t="inlineStr">
        <is>
          <t>Poblacion</t>
        </is>
      </c>
      <c r="H62" s="43" t="n">
        <v>7.784714</v>
      </c>
      <c r="I62" s="43" t="n">
        <v>122.587414</v>
      </c>
      <c r="J62" s="44" t="inlineStr">
        <is>
          <t>U</t>
        </is>
      </c>
      <c r="K62" s="42" t="inlineStr">
        <is>
          <t>Class 1-3 / Urban</t>
        </is>
      </c>
      <c r="L62" s="23" t="n">
        <v>4654</v>
      </c>
      <c r="M62" s="24" t="n">
        <v>5.06</v>
      </c>
      <c r="N62" s="23">
        <f>ROUND(L62/M62, 0)</f>
        <v/>
      </c>
      <c r="O62" s="23">
        <f>ROUND(N62*'Methodology &amp; Assumptions'!$B$8, 0)</f>
        <v/>
      </c>
      <c r="P62" s="44" t="inlineStr">
        <is>
          <t>Band n50 (1.5 GHz, 60 MHz)</t>
        </is>
      </c>
      <c r="Q62" s="38">
        <f>ROUNDUP(O62/'Methodology &amp; Assumptions'!$B$9, 0)</f>
        <v/>
      </c>
      <c r="R62" s="39" t="n">
        <v>1</v>
      </c>
      <c r="S62" s="25" t="n">
        <v>0.66</v>
      </c>
      <c r="T62" s="25" t="n">
        <v>0.28</v>
      </c>
      <c r="U62" s="42" t="inlineStr">
        <is>
          <t>Tier 1A (Direct Coloc, &lt;1 km)</t>
        </is>
      </c>
      <c r="V62" s="24" t="n">
        <v>90.3</v>
      </c>
      <c r="W62" s="24" t="n">
        <v>97.59999999999999</v>
      </c>
      <c r="X62" s="24" t="n">
        <v>28</v>
      </c>
      <c r="Y62" s="45">
        <f>ROUND((V62*'Methodology &amp; Assumptions'!$B$6)+(W62*'Methodology &amp; Assumptions'!$B$5)+(X62*'Methodology &amp; Assumptions'!$B$7), 2)</f>
        <v/>
      </c>
    </row>
    <row r="63" ht="19" customHeight="1">
      <c r="A63" s="35" t="n">
        <v>59</v>
      </c>
      <c r="B63" s="35" t="n">
        <v>1059</v>
      </c>
      <c r="C63" s="36" t="inlineStr">
        <is>
          <t>0603007025</t>
        </is>
      </c>
      <c r="D63" s="36" t="inlineStr">
        <is>
          <t>Region VI (Western Visayas)</t>
        </is>
      </c>
      <c r="E63" s="36" t="inlineStr">
        <is>
          <t>Iloilo</t>
        </is>
      </c>
      <c r="F63" s="36" t="inlineStr">
        <is>
          <t>Barotac Nuevo</t>
        </is>
      </c>
      <c r="G63" s="36" t="inlineStr">
        <is>
          <t>Tabucan</t>
        </is>
      </c>
      <c r="H63" s="37" t="n">
        <v>10.902276</v>
      </c>
      <c r="I63" s="37" t="n">
        <v>122.692001</v>
      </c>
      <c r="J63" s="8" t="inlineStr">
        <is>
          <t>R</t>
        </is>
      </c>
      <c r="K63" s="36" t="inlineStr">
        <is>
          <t>Class 1-3 / Urban</t>
        </is>
      </c>
      <c r="L63" s="18" t="n">
        <v>3746</v>
      </c>
      <c r="M63" s="20" t="n">
        <v>4.39</v>
      </c>
      <c r="N63" s="18">
        <f>ROUND(L63/M63, 0)</f>
        <v/>
      </c>
      <c r="O63" s="18">
        <f>ROUND(N63*'Methodology &amp; Assumptions'!$B$8, 0)</f>
        <v/>
      </c>
      <c r="P63" s="8" t="inlineStr">
        <is>
          <t>Band n50 (1.5 GHz, 60 MHz)</t>
        </is>
      </c>
      <c r="Q63" s="38">
        <f>ROUNDUP(O63/'Methodology &amp; Assumptions'!$B$9, 0)</f>
        <v/>
      </c>
      <c r="R63" s="39" t="n">
        <v>1</v>
      </c>
      <c r="S63" s="21" t="n">
        <v>1.54</v>
      </c>
      <c r="T63" s="21" t="n">
        <v>0.31</v>
      </c>
      <c r="U63" s="36" t="inlineStr">
        <is>
          <t>Tier 1B (Micro Drop, 1-3 km)</t>
        </is>
      </c>
      <c r="V63" s="20" t="n">
        <v>69.8</v>
      </c>
      <c r="W63" s="20" t="n">
        <v>92.3</v>
      </c>
      <c r="X63" s="20" t="n">
        <v>58</v>
      </c>
      <c r="Y63" s="40">
        <f>ROUND((V63*'Methodology &amp; Assumptions'!$B$6)+(W63*'Methodology &amp; Assumptions'!$B$5)+(X63*'Methodology &amp; Assumptions'!$B$7), 2)</f>
        <v/>
      </c>
    </row>
    <row r="64" ht="19" customHeight="1">
      <c r="A64" s="41" t="n">
        <v>60</v>
      </c>
      <c r="B64" s="41" t="n">
        <v>1060</v>
      </c>
      <c r="C64" s="42" t="inlineStr">
        <is>
          <t>0702222003</t>
        </is>
      </c>
      <c r="D64" s="42" t="inlineStr">
        <is>
          <t>Region VII (Central Visayas)</t>
        </is>
      </c>
      <c r="E64" s="42" t="inlineStr">
        <is>
          <t>Cebu</t>
        </is>
      </c>
      <c r="F64" s="42" t="inlineStr">
        <is>
          <t>Dalaguete</t>
        </is>
      </c>
      <c r="G64" s="42" t="inlineStr">
        <is>
          <t>Balud</t>
        </is>
      </c>
      <c r="H64" s="43" t="n">
        <v>9.751632000000001</v>
      </c>
      <c r="I64" s="43" t="n">
        <v>123.523903</v>
      </c>
      <c r="J64" s="44" t="inlineStr">
        <is>
          <t>R</t>
        </is>
      </c>
      <c r="K64" s="42" t="inlineStr">
        <is>
          <t>Class 1-3 / Urban</t>
        </is>
      </c>
      <c r="L64" s="23" t="n">
        <v>3673</v>
      </c>
      <c r="M64" s="24" t="n">
        <v>4.42</v>
      </c>
      <c r="N64" s="23">
        <f>ROUND(L64/M64, 0)</f>
        <v/>
      </c>
      <c r="O64" s="23">
        <f>ROUND(N64*'Methodology &amp; Assumptions'!$B$8, 0)</f>
        <v/>
      </c>
      <c r="P64" s="44" t="inlineStr">
        <is>
          <t>Band n50 (1.5 GHz, 60 MHz)</t>
        </is>
      </c>
      <c r="Q64" s="38">
        <f>ROUNDUP(O64/'Methodology &amp; Assumptions'!$B$9, 0)</f>
        <v/>
      </c>
      <c r="R64" s="39" t="n">
        <v>1</v>
      </c>
      <c r="S64" s="25" t="n">
        <v>1.45</v>
      </c>
      <c r="T64" s="25" t="n">
        <v>0.26</v>
      </c>
      <c r="U64" s="42" t="inlineStr">
        <is>
          <t>Tier 1B (Micro Drop, 1-3 km)</t>
        </is>
      </c>
      <c r="V64" s="24" t="n">
        <v>71.7</v>
      </c>
      <c r="W64" s="24" t="n">
        <v>90.40000000000001</v>
      </c>
      <c r="X64" s="24" t="n">
        <v>58</v>
      </c>
      <c r="Y64" s="45">
        <f>ROUND((V64*'Methodology &amp; Assumptions'!$B$6)+(W64*'Methodology &amp; Assumptions'!$B$5)+(X64*'Methodology &amp; Assumptions'!$B$7), 2)</f>
        <v/>
      </c>
    </row>
    <row r="65" ht="19" customHeight="1">
      <c r="A65" s="35" t="n">
        <v>61</v>
      </c>
      <c r="B65" s="35" t="n">
        <v>1061</v>
      </c>
      <c r="C65" s="36" t="inlineStr">
        <is>
          <t>0500508037</t>
        </is>
      </c>
      <c r="D65" s="36" t="inlineStr">
        <is>
          <t>Region V (Bicol Region)</t>
        </is>
      </c>
      <c r="E65" s="36" t="inlineStr">
        <is>
          <t>Albay</t>
        </is>
      </c>
      <c r="F65" s="36" t="inlineStr">
        <is>
          <t>City of Ligao</t>
        </is>
      </c>
      <c r="G65" s="36" t="inlineStr">
        <is>
          <t>Paulba</t>
        </is>
      </c>
      <c r="H65" s="37" t="n">
        <v>13.182776</v>
      </c>
      <c r="I65" s="37" t="n">
        <v>123.458899</v>
      </c>
      <c r="J65" s="8" t="inlineStr">
        <is>
          <t>R</t>
        </is>
      </c>
      <c r="K65" s="36" t="inlineStr">
        <is>
          <t>Class 1-3 / Urban</t>
        </is>
      </c>
      <c r="L65" s="18" t="n">
        <v>2503</v>
      </c>
      <c r="M65" s="20" t="n">
        <v>4.67</v>
      </c>
      <c r="N65" s="18">
        <f>ROUND(L65/M65, 0)</f>
        <v/>
      </c>
      <c r="O65" s="18">
        <f>ROUND(N65*'Methodology &amp; Assumptions'!$B$8, 0)</f>
        <v/>
      </c>
      <c r="P65" s="8" t="inlineStr">
        <is>
          <t>Band n50 (1.5 GHz, 60 MHz)</t>
        </is>
      </c>
      <c r="Q65" s="38">
        <f>ROUNDUP(O65/'Methodology &amp; Assumptions'!$B$9, 0)</f>
        <v/>
      </c>
      <c r="R65" s="39" t="n">
        <v>1</v>
      </c>
      <c r="S65" s="21" t="n">
        <v>0.15</v>
      </c>
      <c r="T65" s="21" t="n">
        <v>9.51</v>
      </c>
      <c r="U65" s="36" t="inlineStr">
        <is>
          <t>Tier 1A (Direct Coloc, &lt;1 km)</t>
        </is>
      </c>
      <c r="V65" s="20" t="n">
        <v>95.2</v>
      </c>
      <c r="W65" s="20" t="n">
        <v>66.90000000000001</v>
      </c>
      <c r="X65" s="20" t="n">
        <v>58</v>
      </c>
      <c r="Y65" s="40">
        <f>ROUND((V65*'Methodology &amp; Assumptions'!$B$6)+(W65*'Methodology &amp; Assumptions'!$B$5)+(X65*'Methodology &amp; Assumptions'!$B$7), 2)</f>
        <v/>
      </c>
    </row>
    <row r="66" ht="19" customHeight="1">
      <c r="A66" s="41" t="n">
        <v>62</v>
      </c>
      <c r="B66" s="41" t="n">
        <v>1062</v>
      </c>
      <c r="C66" s="42" t="inlineStr">
        <is>
          <t>0402111009</t>
        </is>
      </c>
      <c r="D66" s="42" t="inlineStr">
        <is>
          <t>Region IV-A (CALABARZON)</t>
        </is>
      </c>
      <c r="E66" s="42" t="inlineStr">
        <is>
          <t>Cavite</t>
        </is>
      </c>
      <c r="F66" s="42" t="inlineStr">
        <is>
          <t>Kawit</t>
        </is>
      </c>
      <c r="G66" s="42" t="inlineStr">
        <is>
          <t>Santa Isabel</t>
        </is>
      </c>
      <c r="H66" s="43" t="n">
        <v>14.439716</v>
      </c>
      <c r="I66" s="43" t="n">
        <v>120.888831</v>
      </c>
      <c r="J66" s="44" t="inlineStr">
        <is>
          <t>U</t>
        </is>
      </c>
      <c r="K66" s="42" t="inlineStr">
        <is>
          <t>Class 1-3 / Urban</t>
        </is>
      </c>
      <c r="L66" s="23" t="n">
        <v>5205</v>
      </c>
      <c r="M66" s="24" t="n">
        <v>4.49</v>
      </c>
      <c r="N66" s="23">
        <f>ROUND(L66/M66, 0)</f>
        <v/>
      </c>
      <c r="O66" s="23">
        <f>ROUND(N66*'Methodology &amp; Assumptions'!$B$8, 0)</f>
        <v/>
      </c>
      <c r="P66" s="44" t="inlineStr">
        <is>
          <t>Band n50 (1.5 GHz, 60 MHz)</t>
        </is>
      </c>
      <c r="Q66" s="38">
        <f>ROUNDUP(O66/'Methodology &amp; Assumptions'!$B$9, 0)</f>
        <v/>
      </c>
      <c r="R66" s="39" t="n">
        <v>1</v>
      </c>
      <c r="S66" s="25" t="n">
        <v>1.29</v>
      </c>
      <c r="T66" s="25" t="n">
        <v>1.03</v>
      </c>
      <c r="U66" s="42" t="inlineStr">
        <is>
          <t>Tier 1B (Micro Drop, 1-3 km)</t>
        </is>
      </c>
      <c r="V66" s="24" t="n">
        <v>75</v>
      </c>
      <c r="W66" s="24" t="n">
        <v>100</v>
      </c>
      <c r="X66" s="24" t="n">
        <v>43</v>
      </c>
      <c r="Y66" s="45">
        <f>ROUND((V66*'Methodology &amp; Assumptions'!$B$6)+(W66*'Methodology &amp; Assumptions'!$B$5)+(X66*'Methodology &amp; Assumptions'!$B$7), 2)</f>
        <v/>
      </c>
    </row>
    <row r="67" ht="19" customHeight="1">
      <c r="A67" s="35" t="n">
        <v>63</v>
      </c>
      <c r="B67" s="35" t="n">
        <v>1063</v>
      </c>
      <c r="C67" s="36" t="inlineStr">
        <is>
          <t>0301403019</t>
        </is>
      </c>
      <c r="D67" s="36" t="inlineStr">
        <is>
          <t>Region III (Central Luzon)</t>
        </is>
      </c>
      <c r="E67" s="36" t="inlineStr">
        <is>
          <t>Bulacan</t>
        </is>
      </c>
      <c r="F67" s="36" t="inlineStr">
        <is>
          <t>Baliuag</t>
        </is>
      </c>
      <c r="G67" s="36" t="inlineStr">
        <is>
          <t>Santa Barbara</t>
        </is>
      </c>
      <c r="H67" s="37" t="n">
        <v>14.941928</v>
      </c>
      <c r="I67" s="37" t="n">
        <v>120.891038</v>
      </c>
      <c r="J67" s="8" t="inlineStr">
        <is>
          <t>U</t>
        </is>
      </c>
      <c r="K67" s="36" t="inlineStr">
        <is>
          <t>Class 1-3 / Urban</t>
        </is>
      </c>
      <c r="L67" s="18" t="n">
        <v>12638</v>
      </c>
      <c r="M67" s="20" t="n">
        <v>4.1</v>
      </c>
      <c r="N67" s="18">
        <f>ROUND(L67/M67, 0)</f>
        <v/>
      </c>
      <c r="O67" s="18">
        <f>ROUND(N67*'Methodology &amp; Assumptions'!$B$8, 0)</f>
        <v/>
      </c>
      <c r="P67" s="8" t="inlineStr">
        <is>
          <t>Band n50 (1.5 GHz, 60 MHz)</t>
        </is>
      </c>
      <c r="Q67" s="38">
        <f>ROUNDUP(O67/'Methodology &amp; Assumptions'!$B$9, 0)</f>
        <v/>
      </c>
      <c r="R67" s="39" t="n">
        <v>1</v>
      </c>
      <c r="S67" s="21" t="n">
        <v>0.75</v>
      </c>
      <c r="T67" s="21" t="n">
        <v>0.01</v>
      </c>
      <c r="U67" s="36" t="inlineStr">
        <is>
          <t>Tier 1A (Direct Coloc, &lt;1 km)</t>
        </is>
      </c>
      <c r="V67" s="20" t="n">
        <v>87.8</v>
      </c>
      <c r="W67" s="20" t="n">
        <v>100</v>
      </c>
      <c r="X67" s="20" t="n">
        <v>28</v>
      </c>
      <c r="Y67" s="40">
        <f>ROUND((V67*'Methodology &amp; Assumptions'!$B$6)+(W67*'Methodology &amp; Assumptions'!$B$5)+(X67*'Methodology &amp; Assumptions'!$B$7), 2)</f>
        <v/>
      </c>
    </row>
    <row r="68" ht="19" customHeight="1">
      <c r="A68" s="41" t="n">
        <v>64</v>
      </c>
      <c r="B68" s="41" t="n">
        <v>1064</v>
      </c>
      <c r="C68" s="42" t="inlineStr">
        <is>
          <t>0301418018</t>
        </is>
      </c>
      <c r="D68" s="42" t="inlineStr">
        <is>
          <t>Region III (Central Luzon)</t>
        </is>
      </c>
      <c r="E68" s="42" t="inlineStr">
        <is>
          <t>Bulacan</t>
        </is>
      </c>
      <c r="F68" s="42" t="inlineStr">
        <is>
          <t>Pulilan</t>
        </is>
      </c>
      <c r="G68" s="42" t="inlineStr">
        <is>
          <t>Paltao</t>
        </is>
      </c>
      <c r="H68" s="43" t="n">
        <v>14.901973</v>
      </c>
      <c r="I68" s="43" t="n">
        <v>120.857649</v>
      </c>
      <c r="J68" s="44" t="inlineStr">
        <is>
          <t>U</t>
        </is>
      </c>
      <c r="K68" s="42" t="inlineStr">
        <is>
          <t>Class 1-3 / Urban</t>
        </is>
      </c>
      <c r="L68" s="23" t="n">
        <v>6457</v>
      </c>
      <c r="M68" s="24" t="n">
        <v>4.1</v>
      </c>
      <c r="N68" s="23">
        <f>ROUND(L68/M68, 0)</f>
        <v/>
      </c>
      <c r="O68" s="23">
        <f>ROUND(N68*'Methodology &amp; Assumptions'!$B$8, 0)</f>
        <v/>
      </c>
      <c r="P68" s="44" t="inlineStr">
        <is>
          <t>Band n50 (1.5 GHz, 60 MHz)</t>
        </is>
      </c>
      <c r="Q68" s="38">
        <f>ROUNDUP(O68/'Methodology &amp; Assumptions'!$B$9, 0)</f>
        <v/>
      </c>
      <c r="R68" s="39" t="n">
        <v>1</v>
      </c>
      <c r="S68" s="25" t="n">
        <v>0.75</v>
      </c>
      <c r="T68" s="25" t="n">
        <v>0.2</v>
      </c>
      <c r="U68" s="42" t="inlineStr">
        <is>
          <t>Tier 1A (Direct Coloc, &lt;1 km)</t>
        </is>
      </c>
      <c r="V68" s="24" t="n">
        <v>87.8</v>
      </c>
      <c r="W68" s="24" t="n">
        <v>100</v>
      </c>
      <c r="X68" s="24" t="n">
        <v>28</v>
      </c>
      <c r="Y68" s="45">
        <f>ROUND((V68*'Methodology &amp; Assumptions'!$B$6)+(W68*'Methodology &amp; Assumptions'!$B$5)+(X68*'Methodology &amp; Assumptions'!$B$7), 2)</f>
        <v/>
      </c>
    </row>
    <row r="69" ht="19" customHeight="1">
      <c r="A69" s="35" t="n">
        <v>65</v>
      </c>
      <c r="B69" s="35" t="n">
        <v>1065</v>
      </c>
      <c r="C69" s="36" t="inlineStr">
        <is>
          <t>0304904003</t>
        </is>
      </c>
      <c r="D69" s="36" t="inlineStr">
        <is>
          <t>Region III (Central Luzon)</t>
        </is>
      </c>
      <c r="E69" s="36" t="inlineStr">
        <is>
          <t>Nueva Ecija</t>
        </is>
      </c>
      <c r="F69" s="36" t="inlineStr">
        <is>
          <t>Cabiao</t>
        </is>
      </c>
      <c r="G69" s="36" t="inlineStr">
        <is>
          <t>Bagong Silang</t>
        </is>
      </c>
      <c r="H69" s="37" t="n">
        <v>15.254022</v>
      </c>
      <c r="I69" s="37" t="n">
        <v>120.850956</v>
      </c>
      <c r="J69" s="8" t="inlineStr">
        <is>
          <t>R</t>
        </is>
      </c>
      <c r="K69" s="36" t="inlineStr">
        <is>
          <t>Class 1-3 / Urban</t>
        </is>
      </c>
      <c r="L69" s="18" t="n">
        <v>4270</v>
      </c>
      <c r="M69" s="20" t="n">
        <v>4.32</v>
      </c>
      <c r="N69" s="18">
        <f>ROUND(L69/M69, 0)</f>
        <v/>
      </c>
      <c r="O69" s="18">
        <f>ROUND(N69*'Methodology &amp; Assumptions'!$B$8, 0)</f>
        <v/>
      </c>
      <c r="P69" s="8" t="inlineStr">
        <is>
          <t>Band n50 (1.5 GHz, 60 MHz)</t>
        </is>
      </c>
      <c r="Q69" s="38">
        <f>ROUNDUP(O69/'Methodology &amp; Assumptions'!$B$9, 0)</f>
        <v/>
      </c>
      <c r="R69" s="39" t="n">
        <v>1</v>
      </c>
      <c r="S69" s="21" t="n">
        <v>1.96</v>
      </c>
      <c r="T69" s="21" t="n">
        <v>0.9</v>
      </c>
      <c r="U69" s="36" t="inlineStr">
        <is>
          <t>Tier 1B (Micro Drop, 1-3 km)</t>
        </is>
      </c>
      <c r="V69" s="20" t="n">
        <v>62</v>
      </c>
      <c r="W69" s="20" t="n">
        <v>100</v>
      </c>
      <c r="X69" s="20" t="n">
        <v>58</v>
      </c>
      <c r="Y69" s="40">
        <f>ROUND((V69*'Methodology &amp; Assumptions'!$B$6)+(W69*'Methodology &amp; Assumptions'!$B$5)+(X69*'Methodology &amp; Assumptions'!$B$7), 2)</f>
        <v/>
      </c>
    </row>
    <row r="70" ht="19" customHeight="1">
      <c r="A70" s="41" t="n">
        <v>66</v>
      </c>
      <c r="B70" s="41" t="n">
        <v>1066</v>
      </c>
      <c r="C70" s="42" t="inlineStr">
        <is>
          <t>0306909016</t>
        </is>
      </c>
      <c r="D70" s="42" t="inlineStr">
        <is>
          <t>Region III (Central Luzon)</t>
        </is>
      </c>
      <c r="E70" s="42" t="inlineStr">
        <is>
          <t>Tarlac</t>
        </is>
      </c>
      <c r="F70" s="42" t="inlineStr">
        <is>
          <t>Moncada</t>
        </is>
      </c>
      <c r="G70" s="42" t="inlineStr">
        <is>
          <t>Capaoayan</t>
        </is>
      </c>
      <c r="H70" s="43" t="n">
        <v>15.730595</v>
      </c>
      <c r="I70" s="43" t="n">
        <v>120.56664</v>
      </c>
      <c r="J70" s="44" t="inlineStr">
        <is>
          <t>R</t>
        </is>
      </c>
      <c r="K70" s="42" t="inlineStr">
        <is>
          <t>Class 1-3 / Urban</t>
        </is>
      </c>
      <c r="L70" s="23" t="n">
        <v>3232</v>
      </c>
      <c r="M70" s="24" t="n">
        <v>4.3</v>
      </c>
      <c r="N70" s="23">
        <f>ROUND(L70/M70, 0)</f>
        <v/>
      </c>
      <c r="O70" s="23">
        <f>ROUND(N70*'Methodology &amp; Assumptions'!$B$8, 0)</f>
        <v/>
      </c>
      <c r="P70" s="44" t="inlineStr">
        <is>
          <t>Band n50 (1.5 GHz, 60 MHz)</t>
        </is>
      </c>
      <c r="Q70" s="38">
        <f>ROUNDUP(O70/'Methodology &amp; Assumptions'!$B$9, 0)</f>
        <v/>
      </c>
      <c r="R70" s="39" t="n">
        <v>1</v>
      </c>
      <c r="S70" s="25" t="n">
        <v>1.17</v>
      </c>
      <c r="T70" s="25" t="n">
        <v>0.57</v>
      </c>
      <c r="U70" s="42" t="inlineStr">
        <is>
          <t>Tier 1B (Micro Drop, 1-3 km)</t>
        </is>
      </c>
      <c r="V70" s="24" t="n">
        <v>77.8</v>
      </c>
      <c r="W70" s="24" t="n">
        <v>84.3</v>
      </c>
      <c r="X70" s="24" t="n">
        <v>58</v>
      </c>
      <c r="Y70" s="45">
        <f>ROUND((V70*'Methodology &amp; Assumptions'!$B$6)+(W70*'Methodology &amp; Assumptions'!$B$5)+(X70*'Methodology &amp; Assumptions'!$B$7), 2)</f>
        <v/>
      </c>
    </row>
    <row r="71" ht="19" customHeight="1">
      <c r="A71" s="35" t="n">
        <v>67</v>
      </c>
      <c r="B71" s="35" t="n">
        <v>1067</v>
      </c>
      <c r="C71" s="36" t="inlineStr">
        <is>
          <t>0203115007</t>
        </is>
      </c>
      <c r="D71" s="36" t="inlineStr">
        <is>
          <t>Region II (Cagayan Valley)</t>
        </is>
      </c>
      <c r="E71" s="36" t="inlineStr">
        <is>
          <t>Isabela</t>
        </is>
      </c>
      <c r="F71" s="36" t="inlineStr">
        <is>
          <t>Jones</t>
        </is>
      </c>
      <c r="G71" s="36" t="inlineStr">
        <is>
          <t>Barangay II</t>
        </is>
      </c>
      <c r="H71" s="37" t="n">
        <v>16.551554</v>
      </c>
      <c r="I71" s="37" t="n">
        <v>121.699836</v>
      </c>
      <c r="J71" s="8" t="inlineStr">
        <is>
          <t>R</t>
        </is>
      </c>
      <c r="K71" s="36" t="inlineStr">
        <is>
          <t>Class 1-3 / Urban</t>
        </is>
      </c>
      <c r="L71" s="18" t="n">
        <v>3175</v>
      </c>
      <c r="M71" s="20" t="n">
        <v>4.3</v>
      </c>
      <c r="N71" s="18">
        <f>ROUND(L71/M71, 0)</f>
        <v/>
      </c>
      <c r="O71" s="18">
        <f>ROUND(N71*'Methodology &amp; Assumptions'!$B$8, 0)</f>
        <v/>
      </c>
      <c r="P71" s="8" t="inlineStr">
        <is>
          <t>Band n50 (1.5 GHz, 60 MHz)</t>
        </is>
      </c>
      <c r="Q71" s="38">
        <f>ROUNDUP(O71/'Methodology &amp; Assumptions'!$B$9, 0)</f>
        <v/>
      </c>
      <c r="R71" s="39" t="n">
        <v>1</v>
      </c>
      <c r="S71" s="21" t="n">
        <v>0.7</v>
      </c>
      <c r="T71" s="21" t="n">
        <v>11.36</v>
      </c>
      <c r="U71" s="36" t="inlineStr">
        <is>
          <t>Tier 1A (Direct Coloc, &lt;1 km)</t>
        </is>
      </c>
      <c r="V71" s="20" t="n">
        <v>79.09999999999999</v>
      </c>
      <c r="W71" s="20" t="n">
        <v>82.90000000000001</v>
      </c>
      <c r="X71" s="20" t="n">
        <v>58</v>
      </c>
      <c r="Y71" s="40">
        <f>ROUND((V71*'Methodology &amp; Assumptions'!$B$6)+(W71*'Methodology &amp; Assumptions'!$B$5)+(X71*'Methodology &amp; Assumptions'!$B$7), 2)</f>
        <v/>
      </c>
    </row>
    <row r="72" ht="19" customHeight="1">
      <c r="A72" s="41" t="n">
        <v>68</v>
      </c>
      <c r="B72" s="41" t="n">
        <v>1068</v>
      </c>
      <c r="C72" s="42" t="inlineStr">
        <is>
          <t>0702232009</t>
        </is>
      </c>
      <c r="D72" s="42" t="inlineStr">
        <is>
          <t>Region VII (Central Visayas)</t>
        </is>
      </c>
      <c r="E72" s="42" t="inlineStr">
        <is>
          <t>Cebu</t>
        </is>
      </c>
      <c r="F72" s="42" t="inlineStr">
        <is>
          <t>Minglanilla</t>
        </is>
      </c>
      <c r="G72" s="42" t="inlineStr">
        <is>
          <t>Pakigne</t>
        </is>
      </c>
      <c r="H72" s="43" t="n">
        <v>10.251752</v>
      </c>
      <c r="I72" s="43" t="n">
        <v>123.805809</v>
      </c>
      <c r="J72" s="44" t="inlineStr">
        <is>
          <t>U</t>
        </is>
      </c>
      <c r="K72" s="42" t="inlineStr">
        <is>
          <t>Class 1-3 / Urban</t>
        </is>
      </c>
      <c r="L72" s="23" t="n">
        <v>14351</v>
      </c>
      <c r="M72" s="24" t="n">
        <v>4.42</v>
      </c>
      <c r="N72" s="23">
        <f>ROUND(L72/M72, 0)</f>
        <v/>
      </c>
      <c r="O72" s="23">
        <f>ROUND(N72*'Methodology &amp; Assumptions'!$B$8, 0)</f>
        <v/>
      </c>
      <c r="P72" s="44" t="inlineStr">
        <is>
          <t>Band n50 (1.5 GHz, 60 MHz)</t>
        </is>
      </c>
      <c r="Q72" s="38">
        <f>ROUNDUP(O72/'Methodology &amp; Assumptions'!$B$9, 0)</f>
        <v/>
      </c>
      <c r="R72" s="39" t="n">
        <v>1</v>
      </c>
      <c r="S72" s="25" t="n">
        <v>0.76</v>
      </c>
      <c r="T72" s="25" t="n">
        <v>0.09</v>
      </c>
      <c r="U72" s="42" t="inlineStr">
        <is>
          <t>Tier 1A (Direct Coloc, &lt;1 km)</t>
        </is>
      </c>
      <c r="V72" s="24" t="n">
        <v>87.7</v>
      </c>
      <c r="W72" s="24" t="n">
        <v>100</v>
      </c>
      <c r="X72" s="24" t="n">
        <v>28</v>
      </c>
      <c r="Y72" s="45">
        <f>ROUND((V72*'Methodology &amp; Assumptions'!$B$6)+(W72*'Methodology &amp; Assumptions'!$B$5)+(X72*'Methodology &amp; Assumptions'!$B$7), 2)</f>
        <v/>
      </c>
    </row>
    <row r="73" ht="19" customHeight="1">
      <c r="A73" s="35" t="n">
        <v>69</v>
      </c>
      <c r="B73" s="35" t="n">
        <v>1069</v>
      </c>
      <c r="C73" s="36" t="inlineStr">
        <is>
          <t>0105538021</t>
        </is>
      </c>
      <c r="D73" s="36" t="inlineStr">
        <is>
          <t>Region I (Ilocos Region)</t>
        </is>
      </c>
      <c r="E73" s="36" t="inlineStr">
        <is>
          <t>Pangasinan</t>
        </is>
      </c>
      <c r="F73" s="36" t="inlineStr">
        <is>
          <t>Santa Barbara</t>
        </is>
      </c>
      <c r="G73" s="36" t="inlineStr">
        <is>
          <t>Poblacion Norte</t>
        </is>
      </c>
      <c r="H73" s="37" t="n">
        <v>16.003347</v>
      </c>
      <c r="I73" s="37" t="n">
        <v>120.401826</v>
      </c>
      <c r="J73" s="8" t="inlineStr">
        <is>
          <t>R</t>
        </is>
      </c>
      <c r="K73" s="36" t="inlineStr">
        <is>
          <t>Class 1-3 / Urban</t>
        </is>
      </c>
      <c r="L73" s="18" t="n">
        <v>4677</v>
      </c>
      <c r="M73" s="20" t="n">
        <v>4.39</v>
      </c>
      <c r="N73" s="18">
        <f>ROUND(L73/M73, 0)</f>
        <v/>
      </c>
      <c r="O73" s="18">
        <f>ROUND(N73*'Methodology &amp; Assumptions'!$B$8, 0)</f>
        <v/>
      </c>
      <c r="P73" s="8" t="inlineStr">
        <is>
          <t>Band n50 (1.5 GHz, 60 MHz)</t>
        </is>
      </c>
      <c r="Q73" s="38">
        <f>ROUNDUP(O73/'Methodology &amp; Assumptions'!$B$9, 0)</f>
        <v/>
      </c>
      <c r="R73" s="39" t="n">
        <v>1</v>
      </c>
      <c r="S73" s="21" t="n">
        <v>1.96</v>
      </c>
      <c r="T73" s="21" t="n">
        <v>0.12</v>
      </c>
      <c r="U73" s="36" t="inlineStr">
        <is>
          <t>Tier 1B (Micro Drop, 1-3 km)</t>
        </is>
      </c>
      <c r="V73" s="20" t="n">
        <v>62</v>
      </c>
      <c r="W73" s="20" t="n">
        <v>100</v>
      </c>
      <c r="X73" s="20" t="n">
        <v>58</v>
      </c>
      <c r="Y73" s="40">
        <f>ROUND((V73*'Methodology &amp; Assumptions'!$B$6)+(W73*'Methodology &amp; Assumptions'!$B$5)+(X73*'Methodology &amp; Assumptions'!$B$7), 2)</f>
        <v/>
      </c>
    </row>
    <row r="74" ht="19" customHeight="1">
      <c r="A74" s="41" t="n">
        <v>70</v>
      </c>
      <c r="B74" s="41" t="n">
        <v>1070</v>
      </c>
      <c r="C74" s="42" t="inlineStr">
        <is>
          <t>0704623002</t>
        </is>
      </c>
      <c r="D74" s="42" t="inlineStr">
        <is>
          <t>Region VII (Central Visayas)</t>
        </is>
      </c>
      <c r="E74" s="42" t="inlineStr">
        <is>
          <t>Negros Oriental</t>
        </is>
      </c>
      <c r="F74" s="42" t="inlineStr">
        <is>
          <t>Valencia</t>
        </is>
      </c>
      <c r="G74" s="42" t="inlineStr">
        <is>
          <t>Balabag East</t>
        </is>
      </c>
      <c r="H74" s="43" t="n">
        <v>9.286667</v>
      </c>
      <c r="I74" s="43" t="n">
        <v>123.2536</v>
      </c>
      <c r="J74" s="44" t="inlineStr">
        <is>
          <t>R</t>
        </is>
      </c>
      <c r="K74" s="42" t="inlineStr">
        <is>
          <t>Class 1-3 / Urban</t>
        </is>
      </c>
      <c r="L74" s="23" t="n">
        <v>3916</v>
      </c>
      <c r="M74" s="24" t="n">
        <v>4.33</v>
      </c>
      <c r="N74" s="23">
        <f>ROUND(L74/M74, 0)</f>
        <v/>
      </c>
      <c r="O74" s="23">
        <f>ROUND(N74*'Methodology &amp; Assumptions'!$B$8, 0)</f>
        <v/>
      </c>
      <c r="P74" s="44" t="inlineStr">
        <is>
          <t>Band n50 (1.5 GHz, 60 MHz)</t>
        </is>
      </c>
      <c r="Q74" s="38">
        <f>ROUNDUP(O74/'Methodology &amp; Assumptions'!$B$9, 0)</f>
        <v/>
      </c>
      <c r="R74" s="39" t="n">
        <v>1</v>
      </c>
      <c r="S74" s="25" t="n">
        <v>1.26</v>
      </c>
      <c r="T74" s="25" t="n">
        <v>4.41</v>
      </c>
      <c r="U74" s="42" t="inlineStr">
        <is>
          <t>Tier 1B (Micro Drop, 1-3 km)</t>
        </is>
      </c>
      <c r="V74" s="24" t="n">
        <v>65.7</v>
      </c>
      <c r="W74" s="24" t="n">
        <v>96.3</v>
      </c>
      <c r="X74" s="24" t="n">
        <v>58</v>
      </c>
      <c r="Y74" s="45">
        <f>ROUND((V74*'Methodology &amp; Assumptions'!$B$6)+(W74*'Methodology &amp; Assumptions'!$B$5)+(X74*'Methodology &amp; Assumptions'!$B$7), 2)</f>
        <v/>
      </c>
    </row>
    <row r="75" ht="19" customHeight="1">
      <c r="A75" s="35" t="n">
        <v>71</v>
      </c>
      <c r="B75" s="35" t="n">
        <v>1071</v>
      </c>
      <c r="C75" s="36" t="inlineStr">
        <is>
          <t>0402111016</t>
        </is>
      </c>
      <c r="D75" s="36" t="inlineStr">
        <is>
          <t>Region IV-A (CALABARZON)</t>
        </is>
      </c>
      <c r="E75" s="36" t="inlineStr">
        <is>
          <t>Cavite</t>
        </is>
      </c>
      <c r="F75" s="36" t="inlineStr">
        <is>
          <t>Kawit</t>
        </is>
      </c>
      <c r="G75" s="36" t="inlineStr">
        <is>
          <t>Congbalay-Legaspi</t>
        </is>
      </c>
      <c r="H75" s="37" t="n">
        <v>14.451443</v>
      </c>
      <c r="I75" s="37" t="n">
        <v>120.922903</v>
      </c>
      <c r="J75" s="8" t="inlineStr">
        <is>
          <t>R</t>
        </is>
      </c>
      <c r="K75" s="36" t="inlineStr">
        <is>
          <t>Class 1-3 / Urban</t>
        </is>
      </c>
      <c r="L75" s="18" t="n">
        <v>4367</v>
      </c>
      <c r="M75" s="20" t="n">
        <v>4.49</v>
      </c>
      <c r="N75" s="18">
        <f>ROUND(L75/M75, 0)</f>
        <v/>
      </c>
      <c r="O75" s="18">
        <f>ROUND(N75*'Methodology &amp; Assumptions'!$B$8, 0)</f>
        <v/>
      </c>
      <c r="P75" s="8" t="inlineStr">
        <is>
          <t>Band n50 (1.5 GHz, 60 MHz)</t>
        </is>
      </c>
      <c r="Q75" s="38">
        <f>ROUNDUP(O75/'Methodology &amp; Assumptions'!$B$9, 0)</f>
        <v/>
      </c>
      <c r="R75" s="39" t="n">
        <v>1</v>
      </c>
      <c r="S75" s="21" t="n">
        <v>2.82</v>
      </c>
      <c r="T75" s="21" t="n">
        <v>0.3</v>
      </c>
      <c r="U75" s="36" t="inlineStr">
        <is>
          <t>Tier 1B (Micro Drop, 1-3 km)</t>
        </is>
      </c>
      <c r="V75" s="20" t="n">
        <v>49.1</v>
      </c>
      <c r="W75" s="20" t="n">
        <v>100</v>
      </c>
      <c r="X75" s="20" t="n">
        <v>73</v>
      </c>
      <c r="Y75" s="40">
        <f>ROUND((V75*'Methodology &amp; Assumptions'!$B$6)+(W75*'Methodology &amp; Assumptions'!$B$5)+(X75*'Methodology &amp; Assumptions'!$B$7), 2)</f>
        <v/>
      </c>
    </row>
    <row r="76" ht="19" customHeight="1">
      <c r="A76" s="41" t="n">
        <v>72</v>
      </c>
      <c r="B76" s="41" t="n">
        <v>1072</v>
      </c>
      <c r="C76" s="42" t="inlineStr">
        <is>
          <t>0105518001</t>
        </is>
      </c>
      <c r="D76" s="42" t="inlineStr">
        <is>
          <t>Region I (Ilocos Region)</t>
        </is>
      </c>
      <c r="E76" s="42" t="inlineStr">
        <is>
          <t>Pangasinan</t>
        </is>
      </c>
      <c r="F76" s="42" t="inlineStr">
        <is>
          <t>City of Dagupan</t>
        </is>
      </c>
      <c r="G76" s="42" t="inlineStr">
        <is>
          <t>Bacayao Norte</t>
        </is>
      </c>
      <c r="H76" s="43" t="n">
        <v>16.032065</v>
      </c>
      <c r="I76" s="43" t="n">
        <v>120.344434</v>
      </c>
      <c r="J76" s="44" t="inlineStr">
        <is>
          <t>R</t>
        </is>
      </c>
      <c r="K76" s="42" t="inlineStr">
        <is>
          <t>Class 1-3 / Urban</t>
        </is>
      </c>
      <c r="L76" s="23" t="n">
        <v>4295</v>
      </c>
      <c r="M76" s="24" t="n">
        <v>4.39</v>
      </c>
      <c r="N76" s="23">
        <f>ROUND(L76/M76, 0)</f>
        <v/>
      </c>
      <c r="O76" s="23">
        <f>ROUND(N76*'Methodology &amp; Assumptions'!$B$8, 0)</f>
        <v/>
      </c>
      <c r="P76" s="44" t="inlineStr">
        <is>
          <t>Band n50 (1.5 GHz, 60 MHz)</t>
        </is>
      </c>
      <c r="Q76" s="38">
        <f>ROUNDUP(O76/'Methodology &amp; Assumptions'!$B$9, 0)</f>
        <v/>
      </c>
      <c r="R76" s="39" t="n">
        <v>1</v>
      </c>
      <c r="S76" s="25" t="n">
        <v>1.96</v>
      </c>
      <c r="T76" s="25" t="n">
        <v>1.24</v>
      </c>
      <c r="U76" s="42" t="inlineStr">
        <is>
          <t>Tier 1B (Micro Drop, 1-3 km)</t>
        </is>
      </c>
      <c r="V76" s="24" t="n">
        <v>62</v>
      </c>
      <c r="W76" s="24" t="n">
        <v>100</v>
      </c>
      <c r="X76" s="24" t="n">
        <v>58</v>
      </c>
      <c r="Y76" s="45">
        <f>ROUND((V76*'Methodology &amp; Assumptions'!$B$6)+(W76*'Methodology &amp; Assumptions'!$B$5)+(X76*'Methodology &amp; Assumptions'!$B$7), 2)</f>
        <v/>
      </c>
    </row>
    <row r="77" ht="19" customHeight="1">
      <c r="A77" s="35" t="n">
        <v>73</v>
      </c>
      <c r="B77" s="35" t="n">
        <v>1073</v>
      </c>
      <c r="C77" s="36" t="inlineStr">
        <is>
          <t>0401006011</t>
        </is>
      </c>
      <c r="D77" s="36" t="inlineStr">
        <is>
          <t>Region IV-A (CALABARZON)</t>
        </is>
      </c>
      <c r="E77" s="36" t="inlineStr">
        <is>
          <t>Batangas</t>
        </is>
      </c>
      <c r="F77" s="36" t="inlineStr">
        <is>
          <t>Bauan</t>
        </is>
      </c>
      <c r="G77" s="36" t="inlineStr">
        <is>
          <t>Bolo</t>
        </is>
      </c>
      <c r="H77" s="37" t="n">
        <v>13.7885</v>
      </c>
      <c r="I77" s="37" t="n">
        <v>120.9781</v>
      </c>
      <c r="J77" s="8" t="inlineStr">
        <is>
          <t>R</t>
        </is>
      </c>
      <c r="K77" s="36" t="inlineStr">
        <is>
          <t>Class 1-3 / Urban</t>
        </is>
      </c>
      <c r="L77" s="18" t="n">
        <v>4270</v>
      </c>
      <c r="M77" s="20" t="n">
        <v>4.62</v>
      </c>
      <c r="N77" s="18">
        <f>ROUND(L77/M77, 0)</f>
        <v/>
      </c>
      <c r="O77" s="18">
        <f>ROUND(N77*'Methodology &amp; Assumptions'!$B$8, 0)</f>
        <v/>
      </c>
      <c r="P77" s="8" t="inlineStr">
        <is>
          <t>Band n50 (1.5 GHz, 60 MHz)</t>
        </is>
      </c>
      <c r="Q77" s="38">
        <f>ROUNDUP(O77/'Methodology &amp; Assumptions'!$B$9, 0)</f>
        <v/>
      </c>
      <c r="R77" s="39" t="n">
        <v>1</v>
      </c>
      <c r="S77" s="21" t="n">
        <v>1.33</v>
      </c>
      <c r="T77" s="21" t="n">
        <v>2.46</v>
      </c>
      <c r="U77" s="36" t="inlineStr">
        <is>
          <t>Tier 1B (Micro Drop, 1-3 km)</t>
        </is>
      </c>
      <c r="V77" s="20" t="n">
        <v>64.09999999999999</v>
      </c>
      <c r="W77" s="20" t="n">
        <v>97.90000000000001</v>
      </c>
      <c r="X77" s="20" t="n">
        <v>58</v>
      </c>
      <c r="Y77" s="40">
        <f>ROUND((V77*'Methodology &amp; Assumptions'!$B$6)+(W77*'Methodology &amp; Assumptions'!$B$5)+(X77*'Methodology &amp; Assumptions'!$B$7), 2)</f>
        <v/>
      </c>
    </row>
    <row r="78" ht="19" customHeight="1">
      <c r="A78" s="41" t="n">
        <v>74</v>
      </c>
      <c r="B78" s="41" t="n">
        <v>1074</v>
      </c>
      <c r="C78" s="42" t="inlineStr">
        <is>
          <t>0702208012</t>
        </is>
      </c>
      <c r="D78" s="42" t="inlineStr">
        <is>
          <t>Region VII (Central Visayas)</t>
        </is>
      </c>
      <c r="E78" s="42" t="inlineStr">
        <is>
          <t>Cebu</t>
        </is>
      </c>
      <c r="F78" s="42" t="inlineStr">
        <is>
          <t>Balamban</t>
        </is>
      </c>
      <c r="G78" s="42" t="inlineStr">
        <is>
          <t>Cantuod</t>
        </is>
      </c>
      <c r="H78" s="43" t="n">
        <v>10.525928</v>
      </c>
      <c r="I78" s="43" t="n">
        <v>123.719799</v>
      </c>
      <c r="J78" s="44" t="inlineStr">
        <is>
          <t>R</t>
        </is>
      </c>
      <c r="K78" s="42" t="inlineStr">
        <is>
          <t>Class 1-3 / Urban</t>
        </is>
      </c>
      <c r="L78" s="23" t="n">
        <v>4986</v>
      </c>
      <c r="M78" s="24" t="n">
        <v>4.42</v>
      </c>
      <c r="N78" s="23">
        <f>ROUND(L78/M78, 0)</f>
        <v/>
      </c>
      <c r="O78" s="23">
        <f>ROUND(N78*'Methodology &amp; Assumptions'!$B$8, 0)</f>
        <v/>
      </c>
      <c r="P78" s="44" t="inlineStr">
        <is>
          <t>Band n50 (1.5 GHz, 60 MHz)</t>
        </is>
      </c>
      <c r="Q78" s="38">
        <f>ROUNDUP(O78/'Methodology &amp; Assumptions'!$B$9, 0)</f>
        <v/>
      </c>
      <c r="R78" s="39" t="n">
        <v>1</v>
      </c>
      <c r="S78" s="25" t="n">
        <v>1.97</v>
      </c>
      <c r="T78" s="25" t="n">
        <v>0.21</v>
      </c>
      <c r="U78" s="42" t="inlineStr">
        <is>
          <t>Tier 1B (Micro Drop, 1-3 km)</t>
        </is>
      </c>
      <c r="V78" s="24" t="n">
        <v>61.9</v>
      </c>
      <c r="W78" s="24" t="n">
        <v>100</v>
      </c>
      <c r="X78" s="24" t="n">
        <v>58</v>
      </c>
      <c r="Y78" s="45">
        <f>ROUND((V78*'Methodology &amp; Assumptions'!$B$6)+(W78*'Methodology &amp; Assumptions'!$B$5)+(X78*'Methodology &amp; Assumptions'!$B$7), 2)</f>
        <v/>
      </c>
    </row>
    <row r="79" ht="19" customHeight="1">
      <c r="A79" s="35" t="n">
        <v>75</v>
      </c>
      <c r="B79" s="35" t="n">
        <v>1075</v>
      </c>
      <c r="C79" s="36" t="inlineStr">
        <is>
          <t>0405645044</t>
        </is>
      </c>
      <c r="D79" s="36" t="inlineStr">
        <is>
          <t>Region IV-A (CALABARZON)</t>
        </is>
      </c>
      <c r="E79" s="36" t="inlineStr">
        <is>
          <t>Quezon</t>
        </is>
      </c>
      <c r="F79" s="36" t="inlineStr">
        <is>
          <t>Sariaya</t>
        </is>
      </c>
      <c r="G79" s="36" t="inlineStr">
        <is>
          <t>Tumbaga 1</t>
        </is>
      </c>
      <c r="H79" s="37" t="n">
        <v>13.94528</v>
      </c>
      <c r="I79" s="37" t="n">
        <v>121.52603</v>
      </c>
      <c r="J79" s="8" t="inlineStr">
        <is>
          <t>R</t>
        </is>
      </c>
      <c r="K79" s="36" t="inlineStr">
        <is>
          <t>Class 1-3 / Urban</t>
        </is>
      </c>
      <c r="L79" s="18" t="n">
        <v>4903</v>
      </c>
      <c r="M79" s="20" t="n">
        <v>4.46</v>
      </c>
      <c r="N79" s="18">
        <f>ROUND(L79/M79, 0)</f>
        <v/>
      </c>
      <c r="O79" s="18">
        <f>ROUND(N79*'Methodology &amp; Assumptions'!$B$8, 0)</f>
        <v/>
      </c>
      <c r="P79" s="8" t="inlineStr">
        <is>
          <t>Band n50 (1.5 GHz, 60 MHz)</t>
        </is>
      </c>
      <c r="Q79" s="38">
        <f>ROUNDUP(O79/'Methodology &amp; Assumptions'!$B$9, 0)</f>
        <v/>
      </c>
      <c r="R79" s="39" t="n">
        <v>1</v>
      </c>
      <c r="S79" s="21" t="n">
        <v>1.97</v>
      </c>
      <c r="T79" s="21" t="n">
        <v>1.94</v>
      </c>
      <c r="U79" s="36" t="inlineStr">
        <is>
          <t>Tier 1B (Micro Drop, 1-3 km)</t>
        </is>
      </c>
      <c r="V79" s="20" t="n">
        <v>61.9</v>
      </c>
      <c r="W79" s="20" t="n">
        <v>100</v>
      </c>
      <c r="X79" s="20" t="n">
        <v>58</v>
      </c>
      <c r="Y79" s="40">
        <f>ROUND((V79*'Methodology &amp; Assumptions'!$B$6)+(W79*'Methodology &amp; Assumptions'!$B$5)+(X79*'Methodology &amp; Assumptions'!$B$7), 2)</f>
        <v/>
      </c>
    </row>
    <row r="80" ht="19" customHeight="1">
      <c r="A80" s="41" t="n">
        <v>76</v>
      </c>
      <c r="B80" s="41" t="n">
        <v>1076</v>
      </c>
      <c r="C80" s="42" t="inlineStr">
        <is>
          <t>0304925001</t>
        </is>
      </c>
      <c r="D80" s="42" t="inlineStr">
        <is>
          <t>Region III (Central Luzon)</t>
        </is>
      </c>
      <c r="E80" s="42" t="inlineStr">
        <is>
          <t>Nueva Ecija</t>
        </is>
      </c>
      <c r="F80" s="42" t="inlineStr">
        <is>
          <t>San Isidro</t>
        </is>
      </c>
      <c r="G80" s="42" t="inlineStr">
        <is>
          <t>Alua</t>
        </is>
      </c>
      <c r="H80" s="43" t="n">
        <v>15.309793</v>
      </c>
      <c r="I80" s="43" t="n">
        <v>120.894221</v>
      </c>
      <c r="J80" s="44" t="inlineStr">
        <is>
          <t>U</t>
        </is>
      </c>
      <c r="K80" s="42" t="inlineStr">
        <is>
          <t>Class 1-3 / Urban</t>
        </is>
      </c>
      <c r="L80" s="23" t="n">
        <v>5157</v>
      </c>
      <c r="M80" s="24" t="n">
        <v>4.32</v>
      </c>
      <c r="N80" s="23">
        <f>ROUND(L80/M80, 0)</f>
        <v/>
      </c>
      <c r="O80" s="23">
        <f>ROUND(N80*'Methodology &amp; Assumptions'!$B$8, 0)</f>
        <v/>
      </c>
      <c r="P80" s="44" t="inlineStr">
        <is>
          <t>Band n50 (1.5 GHz, 60 MHz)</t>
        </is>
      </c>
      <c r="Q80" s="38">
        <f>ROUNDUP(O80/'Methodology &amp; Assumptions'!$B$9, 0)</f>
        <v/>
      </c>
      <c r="R80" s="39" t="n">
        <v>1</v>
      </c>
      <c r="S80" s="25" t="n">
        <v>1.3</v>
      </c>
      <c r="T80" s="25" t="n">
        <v>0.42</v>
      </c>
      <c r="U80" s="42" t="inlineStr">
        <is>
          <t>Tier 1B (Micro Drop, 1-3 km)</t>
        </is>
      </c>
      <c r="V80" s="24" t="n">
        <v>74.8</v>
      </c>
      <c r="W80" s="24" t="n">
        <v>100</v>
      </c>
      <c r="X80" s="24" t="n">
        <v>43</v>
      </c>
      <c r="Y80" s="45">
        <f>ROUND((V80*'Methodology &amp; Assumptions'!$B$6)+(W80*'Methodology &amp; Assumptions'!$B$5)+(X80*'Methodology &amp; Assumptions'!$B$7), 2)</f>
        <v/>
      </c>
    </row>
    <row r="81" ht="19" customHeight="1">
      <c r="A81" s="35" t="n">
        <v>77</v>
      </c>
      <c r="B81" s="35" t="n">
        <v>1077</v>
      </c>
      <c r="C81" s="36" t="inlineStr">
        <is>
          <t>0401021025</t>
        </is>
      </c>
      <c r="D81" s="36" t="inlineStr">
        <is>
          <t>Region IV-A (CALABARZON)</t>
        </is>
      </c>
      <c r="E81" s="36" t="inlineStr">
        <is>
          <t>Batangas</t>
        </is>
      </c>
      <c r="F81" s="36" t="inlineStr">
        <is>
          <t>Rosario</t>
        </is>
      </c>
      <c r="G81" s="36" t="inlineStr">
        <is>
          <t>Namuco</t>
        </is>
      </c>
      <c r="H81" s="37" t="n">
        <v>13.838032</v>
      </c>
      <c r="I81" s="37" t="n">
        <v>121.203596</v>
      </c>
      <c r="J81" s="8" t="inlineStr">
        <is>
          <t>U</t>
        </is>
      </c>
      <c r="K81" s="36" t="inlineStr">
        <is>
          <t>Class 1-3 / Urban</t>
        </is>
      </c>
      <c r="L81" s="18" t="n">
        <v>5890</v>
      </c>
      <c r="M81" s="20" t="n">
        <v>4.62</v>
      </c>
      <c r="N81" s="18">
        <f>ROUND(L81/M81, 0)</f>
        <v/>
      </c>
      <c r="O81" s="18">
        <f>ROUND(N81*'Methodology &amp; Assumptions'!$B$8, 0)</f>
        <v/>
      </c>
      <c r="P81" s="8" t="inlineStr">
        <is>
          <t>Band n50 (1.5 GHz, 60 MHz)</t>
        </is>
      </c>
      <c r="Q81" s="38">
        <f>ROUNDUP(O81/'Methodology &amp; Assumptions'!$B$9, 0)</f>
        <v/>
      </c>
      <c r="R81" s="39" t="n">
        <v>1</v>
      </c>
      <c r="S81" s="21" t="n">
        <v>0.76</v>
      </c>
      <c r="T81" s="21" t="n">
        <v>0.75</v>
      </c>
      <c r="U81" s="36" t="inlineStr">
        <is>
          <t>Tier 1A (Direct Coloc, &lt;1 km)</t>
        </is>
      </c>
      <c r="V81" s="20" t="n">
        <v>87.7</v>
      </c>
      <c r="W81" s="20" t="n">
        <v>100</v>
      </c>
      <c r="X81" s="20" t="n">
        <v>28</v>
      </c>
      <c r="Y81" s="40">
        <f>ROUND((V81*'Methodology &amp; Assumptions'!$B$6)+(W81*'Methodology &amp; Assumptions'!$B$5)+(X81*'Methodology &amp; Assumptions'!$B$7), 2)</f>
        <v/>
      </c>
    </row>
    <row r="82" ht="19" customHeight="1">
      <c r="A82" s="41" t="n">
        <v>78</v>
      </c>
      <c r="B82" s="41" t="n">
        <v>1078</v>
      </c>
      <c r="C82" s="42" t="inlineStr">
        <is>
          <t>1130700134</t>
        </is>
      </c>
      <c r="D82" s="42" t="inlineStr">
        <is>
          <t>Region XI (Davao Region)</t>
        </is>
      </c>
      <c r="E82" s="42" t="inlineStr">
        <is>
          <t>Davao del Sur</t>
        </is>
      </c>
      <c r="F82" s="42" t="inlineStr">
        <is>
          <t>City of Davao</t>
        </is>
      </c>
      <c r="G82" s="42" t="inlineStr">
        <is>
          <t>Barangay 1-A</t>
        </is>
      </c>
      <c r="H82" s="43" t="n">
        <v>7.059738</v>
      </c>
      <c r="I82" s="43" t="n">
        <v>125.60612</v>
      </c>
      <c r="J82" s="44" t="inlineStr">
        <is>
          <t>R</t>
        </is>
      </c>
      <c r="K82" s="42" t="inlineStr">
        <is>
          <t>Class 1-3 / Urban</t>
        </is>
      </c>
      <c r="L82" s="23" t="n">
        <v>3089</v>
      </c>
      <c r="M82" s="24" t="n">
        <v>4.1</v>
      </c>
      <c r="N82" s="23">
        <f>ROUND(L82/M82, 0)</f>
        <v/>
      </c>
      <c r="O82" s="23">
        <f>ROUND(N82*'Methodology &amp; Assumptions'!$B$8, 0)</f>
        <v/>
      </c>
      <c r="P82" s="44" t="inlineStr">
        <is>
          <t>Band n50 (1.5 GHz, 60 MHz)</t>
        </is>
      </c>
      <c r="Q82" s="38">
        <f>ROUNDUP(O82/'Methodology &amp; Assumptions'!$B$9, 0)</f>
        <v/>
      </c>
      <c r="R82" s="39" t="n">
        <v>1</v>
      </c>
      <c r="S82" s="25" t="n">
        <v>1.17</v>
      </c>
      <c r="T82" s="25" t="n">
        <v>0.17</v>
      </c>
      <c r="U82" s="42" t="inlineStr">
        <is>
          <t>Tier 1B (Micro Drop, 1-3 km)</t>
        </is>
      </c>
      <c r="V82" s="24" t="n">
        <v>77.59999999999999</v>
      </c>
      <c r="W82" s="24" t="n">
        <v>84.3</v>
      </c>
      <c r="X82" s="24" t="n">
        <v>58</v>
      </c>
      <c r="Y82" s="45">
        <f>ROUND((V82*'Methodology &amp; Assumptions'!$B$6)+(W82*'Methodology &amp; Assumptions'!$B$5)+(X82*'Methodology &amp; Assumptions'!$B$7), 2)</f>
        <v/>
      </c>
    </row>
    <row r="83" ht="19" customHeight="1">
      <c r="A83" s="35" t="n">
        <v>79</v>
      </c>
      <c r="B83" s="35" t="n">
        <v>1079</v>
      </c>
      <c r="C83" s="36" t="inlineStr">
        <is>
          <t>0401029008</t>
        </is>
      </c>
      <c r="D83" s="36" t="inlineStr">
        <is>
          <t>Region IV-A (CALABARZON)</t>
        </is>
      </c>
      <c r="E83" s="36" t="inlineStr">
        <is>
          <t>Batangas</t>
        </is>
      </c>
      <c r="F83" s="36" t="inlineStr">
        <is>
          <t>Taal</t>
        </is>
      </c>
      <c r="G83" s="36" t="inlineStr">
        <is>
          <t>Cawit</t>
        </is>
      </c>
      <c r="H83" s="37" t="n">
        <v>13.895376</v>
      </c>
      <c r="I83" s="37" t="n">
        <v>120.920217</v>
      </c>
      <c r="J83" s="8" t="inlineStr">
        <is>
          <t>R</t>
        </is>
      </c>
      <c r="K83" s="36" t="inlineStr">
        <is>
          <t>Class 1-3 / Urban</t>
        </is>
      </c>
      <c r="L83" s="18" t="n">
        <v>2489</v>
      </c>
      <c r="M83" s="20" t="n">
        <v>4.62</v>
      </c>
      <c r="N83" s="18">
        <f>ROUND(L83/M83, 0)</f>
        <v/>
      </c>
      <c r="O83" s="18">
        <f>ROUND(N83*'Methodology &amp; Assumptions'!$B$8, 0)</f>
        <v/>
      </c>
      <c r="P83" s="8" t="inlineStr">
        <is>
          <t>Band n50 (1.5 GHz, 60 MHz)</t>
        </is>
      </c>
      <c r="Q83" s="38">
        <f>ROUNDUP(O83/'Methodology &amp; Assumptions'!$B$9, 0)</f>
        <v/>
      </c>
      <c r="R83" s="39" t="n">
        <v>1</v>
      </c>
      <c r="S83" s="21" t="n">
        <v>0.5</v>
      </c>
      <c r="T83" s="21" t="n">
        <v>0.28</v>
      </c>
      <c r="U83" s="36" t="inlineStr">
        <is>
          <t>Tier 1A (Direct Coloc, &lt;1 km)</t>
        </is>
      </c>
      <c r="V83" s="20" t="n">
        <v>94.7</v>
      </c>
      <c r="W83" s="20" t="n">
        <v>67.2</v>
      </c>
      <c r="X83" s="20" t="n">
        <v>58</v>
      </c>
      <c r="Y83" s="40">
        <f>ROUND((V83*'Methodology &amp; Assumptions'!$B$6)+(W83*'Methodology &amp; Assumptions'!$B$5)+(X83*'Methodology &amp; Assumptions'!$B$7), 2)</f>
        <v/>
      </c>
    </row>
    <row r="84" ht="19" customHeight="1">
      <c r="A84" s="41" t="n">
        <v>80</v>
      </c>
      <c r="B84" s="41" t="n">
        <v>1080</v>
      </c>
      <c r="C84" s="42" t="inlineStr">
        <is>
          <t>1102401018</t>
        </is>
      </c>
      <c r="D84" s="42" t="inlineStr">
        <is>
          <t>Region XI (Davao Region)</t>
        </is>
      </c>
      <c r="E84" s="42" t="inlineStr">
        <is>
          <t>Davao del Sur</t>
        </is>
      </c>
      <c r="F84" s="42" t="inlineStr">
        <is>
          <t>Bansalan</t>
        </is>
      </c>
      <c r="G84" s="42" t="inlineStr">
        <is>
          <t>Poblacion</t>
        </is>
      </c>
      <c r="H84" s="43" t="n">
        <v>6.781751</v>
      </c>
      <c r="I84" s="43" t="n">
        <v>125.214279</v>
      </c>
      <c r="J84" s="44" t="inlineStr">
        <is>
          <t>U</t>
        </is>
      </c>
      <c r="K84" s="42" t="inlineStr">
        <is>
          <t>Class 1-3 / Urban</t>
        </is>
      </c>
      <c r="L84" s="23" t="n">
        <v>6780</v>
      </c>
      <c r="M84" s="24" t="n">
        <v>4.1</v>
      </c>
      <c r="N84" s="23">
        <f>ROUND(L84/M84, 0)</f>
        <v/>
      </c>
      <c r="O84" s="23">
        <f>ROUND(N84*'Methodology &amp; Assumptions'!$B$8, 0)</f>
        <v/>
      </c>
      <c r="P84" s="44" t="inlineStr">
        <is>
          <t>Band n50 (1.5 GHz, 60 MHz)</t>
        </is>
      </c>
      <c r="Q84" s="38">
        <f>ROUNDUP(O84/'Methodology &amp; Assumptions'!$B$9, 0)</f>
        <v/>
      </c>
      <c r="R84" s="39" t="n">
        <v>1</v>
      </c>
      <c r="S84" s="25" t="n">
        <v>0.87</v>
      </c>
      <c r="T84" s="25" t="n">
        <v>16.26</v>
      </c>
      <c r="U84" s="42" t="inlineStr">
        <is>
          <t>Tier 1A (Direct Coloc, &lt;1 km)</t>
        </is>
      </c>
      <c r="V84" s="24" t="n">
        <v>74.7</v>
      </c>
      <c r="W84" s="24" t="n">
        <v>100</v>
      </c>
      <c r="X84" s="24" t="n">
        <v>43</v>
      </c>
      <c r="Y84" s="45">
        <f>ROUND((V84*'Methodology &amp; Assumptions'!$B$6)+(W84*'Methodology &amp; Assumptions'!$B$5)+(X84*'Methodology &amp; Assumptions'!$B$7), 2)</f>
        <v/>
      </c>
    </row>
    <row r="85" ht="19" customHeight="1">
      <c r="A85" s="35" t="n">
        <v>81</v>
      </c>
      <c r="B85" s="35" t="n">
        <v>1081</v>
      </c>
      <c r="C85" s="36" t="inlineStr">
        <is>
          <t>0501724024</t>
        </is>
      </c>
      <c r="D85" s="36" t="inlineStr">
        <is>
          <t>Region V (Bicol Region)</t>
        </is>
      </c>
      <c r="E85" s="36" t="inlineStr">
        <is>
          <t>Camarines Sur</t>
        </is>
      </c>
      <c r="F85" s="36" t="inlineStr">
        <is>
          <t>City of Naga</t>
        </is>
      </c>
      <c r="G85" s="36" t="inlineStr">
        <is>
          <t>Peñafrancia</t>
        </is>
      </c>
      <c r="H85" s="37" t="n">
        <v>13.633774</v>
      </c>
      <c r="I85" s="37" t="n">
        <v>123.195505</v>
      </c>
      <c r="J85" s="8" t="inlineStr">
        <is>
          <t>U</t>
        </is>
      </c>
      <c r="K85" s="36" t="inlineStr">
        <is>
          <t>Class 1-3 / Urban</t>
        </is>
      </c>
      <c r="L85" s="18" t="n">
        <v>4503</v>
      </c>
      <c r="M85" s="20" t="n">
        <v>4.9</v>
      </c>
      <c r="N85" s="18">
        <f>ROUND(L85/M85, 0)</f>
        <v/>
      </c>
      <c r="O85" s="18">
        <f>ROUND(N85*'Methodology &amp; Assumptions'!$B$8, 0)</f>
        <v/>
      </c>
      <c r="P85" s="8" t="inlineStr">
        <is>
          <t>Band n50 (1.5 GHz, 60 MHz)</t>
        </is>
      </c>
      <c r="Q85" s="38">
        <f>ROUNDUP(O85/'Methodology &amp; Assumptions'!$B$9, 0)</f>
        <v/>
      </c>
      <c r="R85" s="39" t="n">
        <v>1</v>
      </c>
      <c r="S85" s="21" t="n">
        <v>0.67</v>
      </c>
      <c r="T85" s="21" t="n">
        <v>0.14</v>
      </c>
      <c r="U85" s="36" t="inlineStr">
        <is>
          <t>Tier 1A (Direct Coloc, &lt;1 km)</t>
        </is>
      </c>
      <c r="V85" s="20" t="n">
        <v>90</v>
      </c>
      <c r="W85" s="20" t="n">
        <v>97.59999999999999</v>
      </c>
      <c r="X85" s="20" t="n">
        <v>28</v>
      </c>
      <c r="Y85" s="40">
        <f>ROUND((V85*'Methodology &amp; Assumptions'!$B$6)+(W85*'Methodology &amp; Assumptions'!$B$5)+(X85*'Methodology &amp; Assumptions'!$B$7), 2)</f>
        <v/>
      </c>
    </row>
    <row r="86" ht="19" customHeight="1">
      <c r="A86" s="41" t="n">
        <v>82</v>
      </c>
      <c r="B86" s="41" t="n">
        <v>1082</v>
      </c>
      <c r="C86" s="42" t="inlineStr">
        <is>
          <t>0300803017</t>
        </is>
      </c>
      <c r="D86" s="42" t="inlineStr">
        <is>
          <t>Region III (Central Luzon)</t>
        </is>
      </c>
      <c r="E86" s="42" t="inlineStr">
        <is>
          <t>Bataan</t>
        </is>
      </c>
      <c r="F86" s="42" t="inlineStr">
        <is>
          <t>City of Balanga</t>
        </is>
      </c>
      <c r="G86" s="42" t="inlineStr">
        <is>
          <t>Sibacan</t>
        </is>
      </c>
      <c r="H86" s="43" t="n">
        <v>14.689614</v>
      </c>
      <c r="I86" s="43" t="n">
        <v>120.547422</v>
      </c>
      <c r="J86" s="44" t="inlineStr">
        <is>
          <t>R</t>
        </is>
      </c>
      <c r="K86" s="42" t="inlineStr">
        <is>
          <t>Class 1-3 / Urban</t>
        </is>
      </c>
      <c r="L86" s="23" t="n">
        <v>2766</v>
      </c>
      <c r="M86" s="24" t="n">
        <v>4.57</v>
      </c>
      <c r="N86" s="23">
        <f>ROUND(L86/M86, 0)</f>
        <v/>
      </c>
      <c r="O86" s="23">
        <f>ROUND(N86*'Methodology &amp; Assumptions'!$B$8, 0)</f>
        <v/>
      </c>
      <c r="P86" s="44" t="inlineStr">
        <is>
          <t>Band n50 (1.5 GHz, 60 MHz)</t>
        </is>
      </c>
      <c r="Q86" s="38">
        <f>ROUNDUP(O86/'Methodology &amp; Assumptions'!$B$9, 0)</f>
        <v/>
      </c>
      <c r="R86" s="39" t="n">
        <v>1</v>
      </c>
      <c r="S86" s="25" t="n">
        <v>0.7</v>
      </c>
      <c r="T86" s="25" t="n">
        <v>0.55</v>
      </c>
      <c r="U86" s="42" t="inlineStr">
        <is>
          <t>Tier 1A (Direct Coloc, &lt;1 km)</t>
        </is>
      </c>
      <c r="V86" s="24" t="n">
        <v>89.3</v>
      </c>
      <c r="W86" s="24" t="n">
        <v>72.5</v>
      </c>
      <c r="X86" s="24" t="n">
        <v>58</v>
      </c>
      <c r="Y86" s="45">
        <f>ROUND((V86*'Methodology &amp; Assumptions'!$B$6)+(W86*'Methodology &amp; Assumptions'!$B$5)+(X86*'Methodology &amp; Assumptions'!$B$7), 2)</f>
        <v/>
      </c>
    </row>
    <row r="87" ht="19" customHeight="1">
      <c r="A87" s="35" t="n">
        <v>83</v>
      </c>
      <c r="B87" s="35" t="n">
        <v>1083</v>
      </c>
      <c r="C87" s="36" t="inlineStr">
        <is>
          <t>0501707005</t>
        </is>
      </c>
      <c r="D87" s="36" t="inlineStr">
        <is>
          <t>Region V (Bicol Region)</t>
        </is>
      </c>
      <c r="E87" s="36" t="inlineStr">
        <is>
          <t>Camarines Sur</t>
        </is>
      </c>
      <c r="F87" s="36" t="inlineStr">
        <is>
          <t>Cabusao</t>
        </is>
      </c>
      <c r="G87" s="36" t="inlineStr">
        <is>
          <t>Castillo</t>
        </is>
      </c>
      <c r="H87" s="37" t="n">
        <v>13.731904</v>
      </c>
      <c r="I87" s="37" t="n">
        <v>123.116299</v>
      </c>
      <c r="J87" s="8" t="inlineStr">
        <is>
          <t>U</t>
        </is>
      </c>
      <c r="K87" s="36" t="inlineStr">
        <is>
          <t>4th</t>
        </is>
      </c>
      <c r="L87" s="18" t="n">
        <v>5104</v>
      </c>
      <c r="M87" s="20" t="n">
        <v>4.71</v>
      </c>
      <c r="N87" s="18">
        <f>ROUND(L87/M87, 0)</f>
        <v/>
      </c>
      <c r="O87" s="18">
        <f>ROUND(N87*'Methodology &amp; Assumptions'!$B$8, 0)</f>
        <v/>
      </c>
      <c r="P87" s="8" t="inlineStr">
        <is>
          <t>Band n50 (1.5 GHz, 60 MHz)</t>
        </is>
      </c>
      <c r="Q87" s="38">
        <f>ROUNDUP(O87/'Methodology &amp; Assumptions'!$B$9, 0)</f>
        <v/>
      </c>
      <c r="R87" s="39" t="n">
        <v>1</v>
      </c>
      <c r="S87" s="21" t="n">
        <v>0.72</v>
      </c>
      <c r="T87" s="21" t="n">
        <v>9.859999999999999</v>
      </c>
      <c r="U87" s="36" t="inlineStr">
        <is>
          <t>Tier 1A (Direct Coloc, &lt;1 km)</t>
        </is>
      </c>
      <c r="V87" s="20" t="n">
        <v>78.5</v>
      </c>
      <c r="W87" s="20" t="n">
        <v>100</v>
      </c>
      <c r="X87" s="20" t="n">
        <v>38.5</v>
      </c>
      <c r="Y87" s="40">
        <f>ROUND((V87*'Methodology &amp; Assumptions'!$B$6)+(W87*'Methodology &amp; Assumptions'!$B$5)+(X87*'Methodology &amp; Assumptions'!$B$7), 2)</f>
        <v/>
      </c>
    </row>
    <row r="88" ht="19" customHeight="1">
      <c r="A88" s="41" t="n">
        <v>84</v>
      </c>
      <c r="B88" s="41" t="n">
        <v>1084</v>
      </c>
      <c r="C88" s="42" t="inlineStr">
        <is>
          <t>0331400005</t>
        </is>
      </c>
      <c r="D88" s="42" t="inlineStr">
        <is>
          <t>Region III (Central Luzon)</t>
        </is>
      </c>
      <c r="E88" s="42" t="inlineStr">
        <is>
          <t>Zambales</t>
        </is>
      </c>
      <c r="F88" s="42" t="inlineStr">
        <is>
          <t>City of Olongapo</t>
        </is>
      </c>
      <c r="G88" s="42" t="inlineStr">
        <is>
          <t>East Bajac-bajac</t>
        </is>
      </c>
      <c r="H88" s="43" t="n">
        <v>14.835202</v>
      </c>
      <c r="I88" s="43" t="n">
        <v>120.287827</v>
      </c>
      <c r="J88" s="44" t="inlineStr">
        <is>
          <t>U</t>
        </is>
      </c>
      <c r="K88" s="42" t="inlineStr">
        <is>
          <t>Class 1-3 / Urban</t>
        </is>
      </c>
      <c r="L88" s="23" t="n">
        <v>19387</v>
      </c>
      <c r="M88" s="24" t="n">
        <v>4.05</v>
      </c>
      <c r="N88" s="23">
        <f>ROUND(L88/M88, 0)</f>
        <v/>
      </c>
      <c r="O88" s="23">
        <f>ROUND(N88*'Methodology &amp; Assumptions'!$B$8, 0)</f>
        <v/>
      </c>
      <c r="P88" s="44" t="inlineStr">
        <is>
          <t>Band n50 (1.5 GHz, 60 MHz)</t>
        </is>
      </c>
      <c r="Q88" s="38">
        <f>ROUNDUP(O88/'Methodology &amp; Assumptions'!$B$9, 0)</f>
        <v/>
      </c>
      <c r="R88" s="39" t="n">
        <v>1</v>
      </c>
      <c r="S88" s="25" t="n">
        <v>0.76</v>
      </c>
      <c r="T88" s="25" t="n">
        <v>0.15</v>
      </c>
      <c r="U88" s="42" t="inlineStr">
        <is>
          <t>Tier 1A (Direct Coloc, &lt;1 km)</t>
        </is>
      </c>
      <c r="V88" s="24" t="n">
        <v>87.5</v>
      </c>
      <c r="W88" s="24" t="n">
        <v>100</v>
      </c>
      <c r="X88" s="24" t="n">
        <v>28</v>
      </c>
      <c r="Y88" s="45">
        <f>ROUND((V88*'Methodology &amp; Assumptions'!$B$6)+(W88*'Methodology &amp; Assumptions'!$B$5)+(X88*'Methodology &amp; Assumptions'!$B$7), 2)</f>
        <v/>
      </c>
    </row>
    <row r="89" ht="19" customHeight="1">
      <c r="A89" s="35" t="n">
        <v>85</v>
      </c>
      <c r="B89" s="35" t="n">
        <v>1085</v>
      </c>
      <c r="C89" s="36" t="inlineStr">
        <is>
          <t>0402123024</t>
        </is>
      </c>
      <c r="D89" s="36" t="inlineStr">
        <is>
          <t>Region IV-A (CALABARZON)</t>
        </is>
      </c>
      <c r="E89" s="36" t="inlineStr">
        <is>
          <t>Cavite</t>
        </is>
      </c>
      <c r="F89" s="36" t="inlineStr">
        <is>
          <t>Gen. Mariano Alvarez</t>
        </is>
      </c>
      <c r="G89" s="36" t="inlineStr">
        <is>
          <t>San Gabriel</t>
        </is>
      </c>
      <c r="H89" s="37" t="n">
        <v>14.285988</v>
      </c>
      <c r="I89" s="37" t="n">
        <v>121.001448</v>
      </c>
      <c r="J89" s="8" t="inlineStr">
        <is>
          <t>U</t>
        </is>
      </c>
      <c r="K89" s="36" t="inlineStr">
        <is>
          <t>Class 1-3 / Urban</t>
        </is>
      </c>
      <c r="L89" s="18" t="n">
        <v>8709</v>
      </c>
      <c r="M89" s="20" t="n">
        <v>4.49</v>
      </c>
      <c r="N89" s="18">
        <f>ROUND(L89/M89, 0)</f>
        <v/>
      </c>
      <c r="O89" s="18">
        <f>ROUND(N89*'Methodology &amp; Assumptions'!$B$8, 0)</f>
        <v/>
      </c>
      <c r="P89" s="8" t="inlineStr">
        <is>
          <t>Band n50 (1.5 GHz, 60 MHz)</t>
        </is>
      </c>
      <c r="Q89" s="38">
        <f>ROUNDUP(O89/'Methodology &amp; Assumptions'!$B$9, 0)</f>
        <v/>
      </c>
      <c r="R89" s="39" t="n">
        <v>1</v>
      </c>
      <c r="S89" s="21" t="n">
        <v>0.4</v>
      </c>
      <c r="T89" s="21" t="n">
        <v>4.07</v>
      </c>
      <c r="U89" s="36" t="inlineStr">
        <is>
          <t>Tier 1A (Direct Coloc, &lt;1 km)</t>
        </is>
      </c>
      <c r="V89" s="20" t="n">
        <v>87.59999999999999</v>
      </c>
      <c r="W89" s="20" t="n">
        <v>100</v>
      </c>
      <c r="X89" s="20" t="n">
        <v>28</v>
      </c>
      <c r="Y89" s="40">
        <f>ROUND((V89*'Methodology &amp; Assumptions'!$B$6)+(W89*'Methodology &amp; Assumptions'!$B$5)+(X89*'Methodology &amp; Assumptions'!$B$7), 2)</f>
        <v/>
      </c>
    </row>
    <row r="90" ht="19" customHeight="1">
      <c r="A90" s="41" t="n">
        <v>86</v>
      </c>
      <c r="B90" s="41" t="n">
        <v>1086</v>
      </c>
      <c r="C90" s="42" t="inlineStr">
        <is>
          <t>1430300086</t>
        </is>
      </c>
      <c r="D90" s="42" t="inlineStr">
        <is>
          <t>Cordillera Administrative Region (CAR)</t>
        </is>
      </c>
      <c r="E90" s="42" t="inlineStr">
        <is>
          <t>Benguet</t>
        </is>
      </c>
      <c r="F90" s="42" t="inlineStr">
        <is>
          <t>City of Baguio</t>
        </is>
      </c>
      <c r="G90" s="42" t="inlineStr">
        <is>
          <t>Pinget</t>
        </is>
      </c>
      <c r="H90" s="43" t="n">
        <v>16.42702</v>
      </c>
      <c r="I90" s="43" t="n">
        <v>120.58673</v>
      </c>
      <c r="J90" s="44" t="inlineStr">
        <is>
          <t>U</t>
        </is>
      </c>
      <c r="K90" s="42" t="inlineStr">
        <is>
          <t>Class 1-3 / Urban</t>
        </is>
      </c>
      <c r="L90" s="23" t="n">
        <v>7774</v>
      </c>
      <c r="M90" s="24" t="n">
        <v>4.58</v>
      </c>
      <c r="N90" s="23">
        <f>ROUND(L90/M90, 0)</f>
        <v/>
      </c>
      <c r="O90" s="23">
        <f>ROUND(N90*'Methodology &amp; Assumptions'!$B$8, 0)</f>
        <v/>
      </c>
      <c r="P90" s="44" t="inlineStr">
        <is>
          <t>Band n50 (1.5 GHz, 60 MHz)</t>
        </is>
      </c>
      <c r="Q90" s="38">
        <f>ROUNDUP(O90/'Methodology &amp; Assumptions'!$B$9, 0)</f>
        <v/>
      </c>
      <c r="R90" s="39" t="n">
        <v>1</v>
      </c>
      <c r="S90" s="25" t="n">
        <v>0.76</v>
      </c>
      <c r="T90" s="25" t="n">
        <v>1.42</v>
      </c>
      <c r="U90" s="42" t="inlineStr">
        <is>
          <t>Tier 1A (Direct Coloc, &lt;1 km)</t>
        </is>
      </c>
      <c r="V90" s="24" t="n">
        <v>87.5</v>
      </c>
      <c r="W90" s="24" t="n">
        <v>100</v>
      </c>
      <c r="X90" s="24" t="n">
        <v>28</v>
      </c>
      <c r="Y90" s="45">
        <f>ROUND((V90*'Methodology &amp; Assumptions'!$B$6)+(W90*'Methodology &amp; Assumptions'!$B$5)+(X90*'Methodology &amp; Assumptions'!$B$7), 2)</f>
        <v/>
      </c>
    </row>
    <row r="91" ht="19" customHeight="1">
      <c r="A91" s="35" t="n">
        <v>87</v>
      </c>
      <c r="B91" s="35" t="n">
        <v>1087</v>
      </c>
      <c r="C91" s="36" t="inlineStr">
        <is>
          <t>1030500047</t>
        </is>
      </c>
      <c r="D91" s="36" t="inlineStr">
        <is>
          <t>Region X (Northern Mindanao)</t>
        </is>
      </c>
      <c r="E91" s="36" t="inlineStr">
        <is>
          <t>Misamis Oriental</t>
        </is>
      </c>
      <c r="F91" s="36" t="inlineStr">
        <is>
          <t>City of Cagayan De Oro</t>
        </is>
      </c>
      <c r="G91" s="36" t="inlineStr">
        <is>
          <t>Dansolihon</t>
        </is>
      </c>
      <c r="H91" s="37" t="n">
        <v>8.308592000000001</v>
      </c>
      <c r="I91" s="37" t="n">
        <v>124.583194</v>
      </c>
      <c r="J91" s="8" t="inlineStr">
        <is>
          <t>U</t>
        </is>
      </c>
      <c r="K91" s="36" t="inlineStr">
        <is>
          <t>Class 1-3 / Urban</t>
        </is>
      </c>
      <c r="L91" s="18" t="n">
        <v>6206</v>
      </c>
      <c r="M91" s="20" t="n">
        <v>4.54</v>
      </c>
      <c r="N91" s="18">
        <f>ROUND(L91/M91, 0)</f>
        <v/>
      </c>
      <c r="O91" s="18">
        <f>ROUND(N91*'Methodology &amp; Assumptions'!$B$8, 0)</f>
        <v/>
      </c>
      <c r="P91" s="8" t="inlineStr">
        <is>
          <t>Band n50 (1.5 GHz, 60 MHz)</t>
        </is>
      </c>
      <c r="Q91" s="38">
        <f>ROUNDUP(O91/'Methodology &amp; Assumptions'!$B$9, 0)</f>
        <v/>
      </c>
      <c r="R91" s="39" t="n">
        <v>1</v>
      </c>
      <c r="S91" s="21" t="n">
        <v>0.76</v>
      </c>
      <c r="T91" s="21" t="n">
        <v>0.26</v>
      </c>
      <c r="U91" s="36" t="inlineStr">
        <is>
          <t>Tier 1A (Direct Coloc, &lt;1 km)</t>
        </is>
      </c>
      <c r="V91" s="20" t="n">
        <v>87.5</v>
      </c>
      <c r="W91" s="20" t="n">
        <v>100</v>
      </c>
      <c r="X91" s="20" t="n">
        <v>28</v>
      </c>
      <c r="Y91" s="40">
        <f>ROUND((V91*'Methodology &amp; Assumptions'!$B$6)+(W91*'Methodology &amp; Assumptions'!$B$5)+(X91*'Methodology &amp; Assumptions'!$B$7), 2)</f>
        <v/>
      </c>
    </row>
    <row r="92" ht="19" customHeight="1">
      <c r="A92" s="41" t="n">
        <v>88</v>
      </c>
      <c r="B92" s="41" t="n">
        <v>1088</v>
      </c>
      <c r="C92" s="42" t="inlineStr">
        <is>
          <t>0402106041</t>
        </is>
      </c>
      <c r="D92" s="42" t="inlineStr">
        <is>
          <t>Region IV-A (CALABARZON)</t>
        </is>
      </c>
      <c r="E92" s="42" t="inlineStr">
        <is>
          <t>Cavite</t>
        </is>
      </c>
      <c r="F92" s="42" t="inlineStr">
        <is>
          <t>City of Dasmariñas</t>
        </is>
      </c>
      <c r="G92" s="42" t="inlineStr">
        <is>
          <t>Santa Cruz I</t>
        </is>
      </c>
      <c r="H92" s="43" t="n">
        <v>14.313446</v>
      </c>
      <c r="I92" s="43" t="n">
        <v>120.958692</v>
      </c>
      <c r="J92" s="44" t="inlineStr">
        <is>
          <t>U</t>
        </is>
      </c>
      <c r="K92" s="42" t="inlineStr">
        <is>
          <t>Class 1-3 / Urban</t>
        </is>
      </c>
      <c r="L92" s="23" t="n">
        <v>5112</v>
      </c>
      <c r="M92" s="24" t="n">
        <v>4.49</v>
      </c>
      <c r="N92" s="23">
        <f>ROUND(L92/M92, 0)</f>
        <v/>
      </c>
      <c r="O92" s="23">
        <f>ROUND(N92*'Methodology &amp; Assumptions'!$B$8, 0)</f>
        <v/>
      </c>
      <c r="P92" s="44" t="inlineStr">
        <is>
          <t>Band n50 (1.5 GHz, 60 MHz)</t>
        </is>
      </c>
      <c r="Q92" s="38">
        <f>ROUNDUP(O92/'Methodology &amp; Assumptions'!$B$9, 0)</f>
        <v/>
      </c>
      <c r="R92" s="39" t="n">
        <v>1</v>
      </c>
      <c r="S92" s="25" t="n">
        <v>0.76</v>
      </c>
      <c r="T92" s="25" t="n">
        <v>1.42</v>
      </c>
      <c r="U92" s="42" t="inlineStr">
        <is>
          <t>Tier 1A (Direct Coloc, &lt;1 km)</t>
        </is>
      </c>
      <c r="V92" s="24" t="n">
        <v>87.5</v>
      </c>
      <c r="W92" s="24" t="n">
        <v>100</v>
      </c>
      <c r="X92" s="24" t="n">
        <v>28</v>
      </c>
      <c r="Y92" s="45">
        <f>ROUND((V92*'Methodology &amp; Assumptions'!$B$6)+(W92*'Methodology &amp; Assumptions'!$B$5)+(X92*'Methodology &amp; Assumptions'!$B$7), 2)</f>
        <v/>
      </c>
    </row>
    <row r="93" ht="19" customHeight="1">
      <c r="A93" s="35" t="n">
        <v>89</v>
      </c>
      <c r="B93" s="35" t="n">
        <v>1089</v>
      </c>
      <c r="C93" s="36" t="inlineStr">
        <is>
          <t>0931700077</t>
        </is>
      </c>
      <c r="D93" s="36" t="inlineStr">
        <is>
          <t>Region IX (Zamboanga Peninsula)</t>
        </is>
      </c>
      <c r="E93" s="36" t="inlineStr">
        <is>
          <t>Zamboanga del Sur</t>
        </is>
      </c>
      <c r="F93" s="36" t="inlineStr">
        <is>
          <t>City of Zamboanga</t>
        </is>
      </c>
      <c r="G93" s="36" t="inlineStr">
        <is>
          <t>Santo Niño</t>
        </is>
      </c>
      <c r="H93" s="37" t="n">
        <v>6.910425</v>
      </c>
      <c r="I93" s="37" t="n">
        <v>122.069673</v>
      </c>
      <c r="J93" s="8" t="inlineStr">
        <is>
          <t>U</t>
        </is>
      </c>
      <c r="K93" s="36" t="inlineStr">
        <is>
          <t>Class 1-3 / Urban</t>
        </is>
      </c>
      <c r="L93" s="18" t="n">
        <v>3888</v>
      </c>
      <c r="M93" s="20" t="n">
        <v>4.61</v>
      </c>
      <c r="N93" s="18">
        <f>ROUND(L93/M93, 0)</f>
        <v/>
      </c>
      <c r="O93" s="18">
        <f>ROUND(N93*'Methodology &amp; Assumptions'!$B$8, 0)</f>
        <v/>
      </c>
      <c r="P93" s="8" t="inlineStr">
        <is>
          <t>Band n50 (1.5 GHz, 60 MHz)</t>
        </is>
      </c>
      <c r="Q93" s="38">
        <f>ROUNDUP(O93/'Methodology &amp; Assumptions'!$B$9, 0)</f>
        <v/>
      </c>
      <c r="R93" s="39" t="n">
        <v>1</v>
      </c>
      <c r="S93" s="21" t="n">
        <v>0.45</v>
      </c>
      <c r="T93" s="21" t="n">
        <v>0.45</v>
      </c>
      <c r="U93" s="36" t="inlineStr">
        <is>
          <t>Tier 1A (Direct Coloc, &lt;1 km)</t>
        </is>
      </c>
      <c r="V93" s="20" t="n">
        <v>96</v>
      </c>
      <c r="W93" s="20" t="n">
        <v>91.5</v>
      </c>
      <c r="X93" s="20" t="n">
        <v>28</v>
      </c>
      <c r="Y93" s="40">
        <f>ROUND((V93*'Methodology &amp; Assumptions'!$B$6)+(W93*'Methodology &amp; Assumptions'!$B$5)+(X93*'Methodology &amp; Assumptions'!$B$7), 2)</f>
        <v/>
      </c>
    </row>
    <row r="94" ht="19" customHeight="1">
      <c r="A94" s="41" t="n">
        <v>90</v>
      </c>
      <c r="B94" s="41" t="n">
        <v>1090</v>
      </c>
      <c r="C94" s="42" t="inlineStr">
        <is>
          <t>0306916035</t>
        </is>
      </c>
      <c r="D94" s="42" t="inlineStr">
        <is>
          <t>Region III (Central Luzon)</t>
        </is>
      </c>
      <c r="E94" s="42" t="inlineStr">
        <is>
          <t>Tarlac</t>
        </is>
      </c>
      <c r="F94" s="42" t="inlineStr">
        <is>
          <t>City of Tarlac</t>
        </is>
      </c>
      <c r="G94" s="42" t="inlineStr">
        <is>
          <t>Dolores</t>
        </is>
      </c>
      <c r="H94" s="43" t="n">
        <v>15.524012</v>
      </c>
      <c r="I94" s="43" t="n">
        <v>120.579839</v>
      </c>
      <c r="J94" s="44" t="inlineStr">
        <is>
          <t>R</t>
        </is>
      </c>
      <c r="K94" s="42" t="inlineStr">
        <is>
          <t>Class 1-3 / Urban</t>
        </is>
      </c>
      <c r="L94" s="23" t="n">
        <v>3972</v>
      </c>
      <c r="M94" s="24" t="n">
        <v>4.3</v>
      </c>
      <c r="N94" s="23">
        <f>ROUND(L94/M94, 0)</f>
        <v/>
      </c>
      <c r="O94" s="23">
        <f>ROUND(N94*'Methodology &amp; Assumptions'!$B$8, 0)</f>
        <v/>
      </c>
      <c r="P94" s="44" t="inlineStr">
        <is>
          <t>Band n50 (1.5 GHz, 60 MHz)</t>
        </is>
      </c>
      <c r="Q94" s="38">
        <f>ROUNDUP(O94/'Methodology &amp; Assumptions'!$B$9, 0)</f>
        <v/>
      </c>
      <c r="R94" s="39" t="n">
        <v>1</v>
      </c>
      <c r="S94" s="25" t="n">
        <v>1.85</v>
      </c>
      <c r="T94" s="25" t="n">
        <v>1.6</v>
      </c>
      <c r="U94" s="42" t="inlineStr">
        <is>
          <t>Tier 1B (Micro Drop, 1-3 km)</t>
        </is>
      </c>
      <c r="V94" s="24" t="n">
        <v>63.9</v>
      </c>
      <c r="W94" s="24" t="n">
        <v>97.90000000000001</v>
      </c>
      <c r="X94" s="24" t="n">
        <v>58</v>
      </c>
      <c r="Y94" s="45">
        <f>ROUND((V94*'Methodology &amp; Assumptions'!$B$6)+(W94*'Methodology &amp; Assumptions'!$B$5)+(X94*'Methodology &amp; Assumptions'!$B$7), 2)</f>
        <v/>
      </c>
    </row>
    <row r="95" ht="19" customHeight="1">
      <c r="A95" s="35" t="n">
        <v>91</v>
      </c>
      <c r="B95" s="35" t="n">
        <v>1091</v>
      </c>
      <c r="C95" s="36" t="inlineStr">
        <is>
          <t>0405801005</t>
        </is>
      </c>
      <c r="D95" s="36" t="inlineStr">
        <is>
          <t>Region IV-A (CALABARZON)</t>
        </is>
      </c>
      <c r="E95" s="36" t="inlineStr">
        <is>
          <t>Rizal</t>
        </is>
      </c>
      <c r="F95" s="36" t="inlineStr">
        <is>
          <t>Angono</t>
        </is>
      </c>
      <c r="G95" s="36" t="inlineStr">
        <is>
          <t>Kalayaan</t>
        </is>
      </c>
      <c r="H95" s="37" t="n">
        <v>14.52796</v>
      </c>
      <c r="I95" s="37" t="n">
        <v>121.1476</v>
      </c>
      <c r="J95" s="8" t="inlineStr">
        <is>
          <t>U</t>
        </is>
      </c>
      <c r="K95" s="36" t="inlineStr">
        <is>
          <t>Class 1-3 / Urban</t>
        </is>
      </c>
      <c r="L95" s="18" t="n">
        <v>20170</v>
      </c>
      <c r="M95" s="20" t="n">
        <v>4.39</v>
      </c>
      <c r="N95" s="18">
        <f>ROUND(L95/M95, 0)</f>
        <v/>
      </c>
      <c r="O95" s="18">
        <f>ROUND(N95*'Methodology &amp; Assumptions'!$B$8, 0)</f>
        <v/>
      </c>
      <c r="P95" s="8" t="inlineStr">
        <is>
          <t>Band n50 (1.5 GHz, 60 MHz)</t>
        </is>
      </c>
      <c r="Q95" s="38">
        <f>ROUNDUP(O95/'Methodology &amp; Assumptions'!$B$9, 0)</f>
        <v/>
      </c>
      <c r="R95" s="39" t="n">
        <v>1</v>
      </c>
      <c r="S95" s="21" t="n">
        <v>0.77</v>
      </c>
      <c r="T95" s="21" t="n">
        <v>0.6899999999999999</v>
      </c>
      <c r="U95" s="36" t="inlineStr">
        <is>
          <t>Tier 1A (Direct Coloc, &lt;1 km)</t>
        </is>
      </c>
      <c r="V95" s="20" t="n">
        <v>87.5</v>
      </c>
      <c r="W95" s="20" t="n">
        <v>100</v>
      </c>
      <c r="X95" s="20" t="n">
        <v>28</v>
      </c>
      <c r="Y95" s="40">
        <f>ROUND((V95*'Methodology &amp; Assumptions'!$B$6)+(W95*'Methodology &amp; Assumptions'!$B$5)+(X95*'Methodology &amp; Assumptions'!$B$7), 2)</f>
        <v/>
      </c>
    </row>
    <row r="96" ht="19" customHeight="1">
      <c r="A96" s="41" t="n">
        <v>92</v>
      </c>
      <c r="B96" s="41" t="n">
        <v>1092</v>
      </c>
      <c r="C96" s="42" t="inlineStr">
        <is>
          <t>1004311006</t>
        </is>
      </c>
      <c r="D96" s="42" t="inlineStr">
        <is>
          <t>Region X (Northern Mindanao)</t>
        </is>
      </c>
      <c r="E96" s="42" t="inlineStr">
        <is>
          <t>Misamis Oriental</t>
        </is>
      </c>
      <c r="F96" s="42" t="inlineStr">
        <is>
          <t>Jasaan</t>
        </is>
      </c>
      <c r="G96" s="42" t="inlineStr">
        <is>
          <t>Kimaya</t>
        </is>
      </c>
      <c r="H96" s="43" t="n">
        <v>8.645875999999999</v>
      </c>
      <c r="I96" s="43" t="n">
        <v>124.760039</v>
      </c>
      <c r="J96" s="44" t="inlineStr">
        <is>
          <t>U</t>
        </is>
      </c>
      <c r="K96" s="42" t="inlineStr">
        <is>
          <t>Class 1-3 / Urban</t>
        </is>
      </c>
      <c r="L96" s="23" t="n">
        <v>5810</v>
      </c>
      <c r="M96" s="24" t="n">
        <v>4.54</v>
      </c>
      <c r="N96" s="23">
        <f>ROUND(L96/M96, 0)</f>
        <v/>
      </c>
      <c r="O96" s="23">
        <f>ROUND(N96*'Methodology &amp; Assumptions'!$B$8, 0)</f>
        <v/>
      </c>
      <c r="P96" s="44" t="inlineStr">
        <is>
          <t>Band n50 (1.5 GHz, 60 MHz)</t>
        </is>
      </c>
      <c r="Q96" s="38">
        <f>ROUNDUP(O96/'Methodology &amp; Assumptions'!$B$9, 0)</f>
        <v/>
      </c>
      <c r="R96" s="39" t="n">
        <v>1</v>
      </c>
      <c r="S96" s="25" t="n">
        <v>0.77</v>
      </c>
      <c r="T96" s="25" t="n">
        <v>0.11</v>
      </c>
      <c r="U96" s="42" t="inlineStr">
        <is>
          <t>Tier 1A (Direct Coloc, &lt;1 km)</t>
        </is>
      </c>
      <c r="V96" s="24" t="n">
        <v>87.5</v>
      </c>
      <c r="W96" s="24" t="n">
        <v>100</v>
      </c>
      <c r="X96" s="24" t="n">
        <v>28</v>
      </c>
      <c r="Y96" s="45">
        <f>ROUND((V96*'Methodology &amp; Assumptions'!$B$6)+(W96*'Methodology &amp; Assumptions'!$B$5)+(X96*'Methodology &amp; Assumptions'!$B$7), 2)</f>
        <v/>
      </c>
    </row>
    <row r="97" ht="19" customHeight="1">
      <c r="A97" s="35" t="n">
        <v>93</v>
      </c>
      <c r="B97" s="35" t="n">
        <v>1093</v>
      </c>
      <c r="C97" s="36" t="inlineStr">
        <is>
          <t>0402120040</t>
        </is>
      </c>
      <c r="D97" s="36" t="inlineStr">
        <is>
          <t>Region IV-A (CALABARZON)</t>
        </is>
      </c>
      <c r="E97" s="36" t="inlineStr">
        <is>
          <t>Cavite</t>
        </is>
      </c>
      <c r="F97" s="36" t="inlineStr">
        <is>
          <t>Tanza</t>
        </is>
      </c>
      <c r="G97" s="36" t="inlineStr">
        <is>
          <t>Julugan VI</t>
        </is>
      </c>
      <c r="H97" s="37" t="n">
        <v>14.39929</v>
      </c>
      <c r="I97" s="37" t="n">
        <v>120.843729</v>
      </c>
      <c r="J97" s="8" t="inlineStr">
        <is>
          <t>R</t>
        </is>
      </c>
      <c r="K97" s="36" t="inlineStr">
        <is>
          <t>Class 1-3 / Urban</t>
        </is>
      </c>
      <c r="L97" s="18" t="n">
        <v>4974</v>
      </c>
      <c r="M97" s="20" t="n">
        <v>4.49</v>
      </c>
      <c r="N97" s="18">
        <f>ROUND(L97/M97, 0)</f>
        <v/>
      </c>
      <c r="O97" s="18">
        <f>ROUND(N97*'Methodology &amp; Assumptions'!$B$8, 0)</f>
        <v/>
      </c>
      <c r="P97" s="8" t="inlineStr">
        <is>
          <t>Band n50 (1.5 GHz, 60 MHz)</t>
        </is>
      </c>
      <c r="Q97" s="38">
        <f>ROUNDUP(O97/'Methodology &amp; Assumptions'!$B$9, 0)</f>
        <v/>
      </c>
      <c r="R97" s="39" t="n">
        <v>1</v>
      </c>
      <c r="S97" s="21" t="n">
        <v>1.98</v>
      </c>
      <c r="T97" s="21" t="n">
        <v>1.18</v>
      </c>
      <c r="U97" s="36" t="inlineStr">
        <is>
          <t>Tier 1B (Micro Drop, 1-3 km)</t>
        </is>
      </c>
      <c r="V97" s="20" t="n">
        <v>61.7</v>
      </c>
      <c r="W97" s="20" t="n">
        <v>100</v>
      </c>
      <c r="X97" s="20" t="n">
        <v>58</v>
      </c>
      <c r="Y97" s="40">
        <f>ROUND((V97*'Methodology &amp; Assumptions'!$B$6)+(W97*'Methodology &amp; Assumptions'!$B$5)+(X97*'Methodology &amp; Assumptions'!$B$7), 2)</f>
        <v/>
      </c>
    </row>
    <row r="98" ht="19" customHeight="1">
      <c r="A98" s="41" t="n">
        <v>94</v>
      </c>
      <c r="B98" s="41" t="n">
        <v>1094</v>
      </c>
      <c r="C98" s="42" t="inlineStr">
        <is>
          <t>0301414008</t>
        </is>
      </c>
      <c r="D98" s="42" t="inlineStr">
        <is>
          <t>Region III (Central Luzon)</t>
        </is>
      </c>
      <c r="E98" s="42" t="inlineStr">
        <is>
          <t>Bulacan</t>
        </is>
      </c>
      <c r="F98" s="42" t="inlineStr">
        <is>
          <t>Obando</t>
        </is>
      </c>
      <c r="G98" s="42" t="inlineStr">
        <is>
          <t>Paliwas</t>
        </is>
      </c>
      <c r="H98" s="43" t="n">
        <v>14.712765</v>
      </c>
      <c r="I98" s="43" t="n">
        <v>120.935182</v>
      </c>
      <c r="J98" s="44" t="inlineStr">
        <is>
          <t>U</t>
        </is>
      </c>
      <c r="K98" s="42" t="inlineStr">
        <is>
          <t>Class 1-3 / Urban</t>
        </is>
      </c>
      <c r="L98" s="23" t="n">
        <v>5500</v>
      </c>
      <c r="M98" s="24" t="n">
        <v>4.1</v>
      </c>
      <c r="N98" s="23">
        <f>ROUND(L98/M98, 0)</f>
        <v/>
      </c>
      <c r="O98" s="23">
        <f>ROUND(N98*'Methodology &amp; Assumptions'!$B$8, 0)</f>
        <v/>
      </c>
      <c r="P98" s="44" t="inlineStr">
        <is>
          <t>Band n50 (1.5 GHz, 60 MHz)</t>
        </is>
      </c>
      <c r="Q98" s="38">
        <f>ROUNDUP(O98/'Methodology &amp; Assumptions'!$B$9, 0)</f>
        <v/>
      </c>
      <c r="R98" s="39" t="n">
        <v>1</v>
      </c>
      <c r="S98" s="25" t="n">
        <v>0.4</v>
      </c>
      <c r="T98" s="25" t="n">
        <v>2.42</v>
      </c>
      <c r="U98" s="42" t="inlineStr">
        <is>
          <t>Tier 1A (Direct Coloc, &lt;1 km)</t>
        </is>
      </c>
      <c r="V98" s="24" t="n">
        <v>87.40000000000001</v>
      </c>
      <c r="W98" s="24" t="n">
        <v>100</v>
      </c>
      <c r="X98" s="24" t="n">
        <v>28</v>
      </c>
      <c r="Y98" s="45">
        <f>ROUND((V98*'Methodology &amp; Assumptions'!$B$6)+(W98*'Methodology &amp; Assumptions'!$B$5)+(X98*'Methodology &amp; Assumptions'!$B$7), 2)</f>
        <v/>
      </c>
    </row>
    <row r="99" ht="19" customHeight="1">
      <c r="A99" s="35" t="n">
        <v>95</v>
      </c>
      <c r="B99" s="35" t="n">
        <v>1095</v>
      </c>
      <c r="C99" s="36" t="inlineStr">
        <is>
          <t>0403409003</t>
        </is>
      </c>
      <c r="D99" s="36" t="inlineStr">
        <is>
          <t>Region IV-A (CALABARZON)</t>
        </is>
      </c>
      <c r="E99" s="36" t="inlineStr">
        <is>
          <t>Laguna</t>
        </is>
      </c>
      <c r="F99" s="36" t="inlineStr">
        <is>
          <t>Kalayaan</t>
        </is>
      </c>
      <c r="G99" s="36" t="inlineStr">
        <is>
          <t>San Juan</t>
        </is>
      </c>
      <c r="H99" s="37" t="n">
        <v>14.325229</v>
      </c>
      <c r="I99" s="37" t="n">
        <v>121.477481</v>
      </c>
      <c r="J99" s="8" t="inlineStr">
        <is>
          <t>U</t>
        </is>
      </c>
      <c r="K99" s="36" t="inlineStr">
        <is>
          <t>Class 1-3 / Urban</t>
        </is>
      </c>
      <c r="L99" s="18" t="n">
        <v>6662</v>
      </c>
      <c r="M99" s="20" t="n">
        <v>4.2</v>
      </c>
      <c r="N99" s="18">
        <f>ROUND(L99/M99, 0)</f>
        <v/>
      </c>
      <c r="O99" s="18">
        <f>ROUND(N99*'Methodology &amp; Assumptions'!$B$8, 0)</f>
        <v/>
      </c>
      <c r="P99" s="8" t="inlineStr">
        <is>
          <t>Band n50 (1.5 GHz, 60 MHz)</t>
        </is>
      </c>
      <c r="Q99" s="38">
        <f>ROUNDUP(O99/'Methodology &amp; Assumptions'!$B$9, 0)</f>
        <v/>
      </c>
      <c r="R99" s="39" t="n">
        <v>1</v>
      </c>
      <c r="S99" s="21" t="n">
        <v>0.77</v>
      </c>
      <c r="T99" s="21" t="n">
        <v>0.13</v>
      </c>
      <c r="U99" s="36" t="inlineStr">
        <is>
          <t>Tier 1A (Direct Coloc, &lt;1 km)</t>
        </is>
      </c>
      <c r="V99" s="20" t="n">
        <v>87.40000000000001</v>
      </c>
      <c r="W99" s="20" t="n">
        <v>100</v>
      </c>
      <c r="X99" s="20" t="n">
        <v>28</v>
      </c>
      <c r="Y99" s="40">
        <f>ROUND((V99*'Methodology &amp; Assumptions'!$B$6)+(W99*'Methodology &amp; Assumptions'!$B$5)+(X99*'Methodology &amp; Assumptions'!$B$7), 2)</f>
        <v/>
      </c>
    </row>
    <row r="100" ht="19" customHeight="1">
      <c r="A100" s="41" t="n">
        <v>96</v>
      </c>
      <c r="B100" s="41" t="n">
        <v>1096</v>
      </c>
      <c r="C100" s="42" t="inlineStr">
        <is>
          <t>0631000156</t>
        </is>
      </c>
      <c r="D100" s="42" t="inlineStr">
        <is>
          <t>Region VI (Western Visayas)</t>
        </is>
      </c>
      <c r="E100" s="42" t="inlineStr">
        <is>
          <t>Iloilo</t>
        </is>
      </c>
      <c r="F100" s="42" t="inlineStr">
        <is>
          <t>City of Iloilo</t>
        </is>
      </c>
      <c r="G100" s="42" t="inlineStr">
        <is>
          <t>San Juan</t>
        </is>
      </c>
      <c r="H100" s="43" t="n">
        <v>10.688029</v>
      </c>
      <c r="I100" s="43" t="n">
        <v>122.545212</v>
      </c>
      <c r="J100" s="44" t="inlineStr">
        <is>
          <t>U</t>
        </is>
      </c>
      <c r="K100" s="42" t="inlineStr">
        <is>
          <t>Class 1-3 / Urban</t>
        </is>
      </c>
      <c r="L100" s="23" t="n">
        <v>11449</v>
      </c>
      <c r="M100" s="24" t="n">
        <v>4.39</v>
      </c>
      <c r="N100" s="23">
        <f>ROUND(L100/M100, 0)</f>
        <v/>
      </c>
      <c r="O100" s="23">
        <f>ROUND(N100*'Methodology &amp; Assumptions'!$B$8, 0)</f>
        <v/>
      </c>
      <c r="P100" s="44" t="inlineStr">
        <is>
          <t>Band n50 (1.5 GHz, 60 MHz)</t>
        </is>
      </c>
      <c r="Q100" s="38">
        <f>ROUNDUP(O100/'Methodology &amp; Assumptions'!$B$9, 0)</f>
        <v/>
      </c>
      <c r="R100" s="39" t="n">
        <v>1</v>
      </c>
      <c r="S100" s="25" t="n">
        <v>0.4</v>
      </c>
      <c r="T100" s="25" t="n">
        <v>2.98</v>
      </c>
      <c r="U100" s="42" t="inlineStr">
        <is>
          <t>Tier 1A (Direct Coloc, &lt;1 km)</t>
        </is>
      </c>
      <c r="V100" s="24" t="n">
        <v>87.40000000000001</v>
      </c>
      <c r="W100" s="24" t="n">
        <v>100</v>
      </c>
      <c r="X100" s="24" t="n">
        <v>28</v>
      </c>
      <c r="Y100" s="45">
        <f>ROUND((V100*'Methodology &amp; Assumptions'!$B$6)+(W100*'Methodology &amp; Assumptions'!$B$5)+(X100*'Methodology &amp; Assumptions'!$B$7), 2)</f>
        <v/>
      </c>
    </row>
    <row r="101" ht="19" customHeight="1">
      <c r="A101" s="35" t="n">
        <v>97</v>
      </c>
      <c r="B101" s="35" t="n">
        <v>1097</v>
      </c>
      <c r="C101" s="36" t="inlineStr">
        <is>
          <t>0403424013</t>
        </is>
      </c>
      <c r="D101" s="36" t="inlineStr">
        <is>
          <t>Region IV-A (CALABARZON)</t>
        </is>
      </c>
      <c r="E101" s="36" t="inlineStr">
        <is>
          <t>Laguna</t>
        </is>
      </c>
      <c r="F101" s="36" t="inlineStr">
        <is>
          <t>City of San Pablo</t>
        </is>
      </c>
      <c r="G101" s="36" t="inlineStr">
        <is>
          <t>Barangay III-C</t>
        </is>
      </c>
      <c r="H101" s="37" t="n">
        <v>14.067083</v>
      </c>
      <c r="I101" s="37" t="n">
        <v>121.330001</v>
      </c>
      <c r="J101" s="8" t="inlineStr">
        <is>
          <t>R</t>
        </is>
      </c>
      <c r="K101" s="36" t="inlineStr">
        <is>
          <t>Class 1-3 / Urban</t>
        </is>
      </c>
      <c r="L101" s="18" t="n">
        <v>2773</v>
      </c>
      <c r="M101" s="20" t="n">
        <v>4.2</v>
      </c>
      <c r="N101" s="18">
        <f>ROUND(L101/M101, 0)</f>
        <v/>
      </c>
      <c r="O101" s="18">
        <f>ROUND(N101*'Methodology &amp; Assumptions'!$B$8, 0)</f>
        <v/>
      </c>
      <c r="P101" s="8" t="inlineStr">
        <is>
          <t>Band n50 (1.5 GHz, 60 MHz)</t>
        </is>
      </c>
      <c r="Q101" s="38">
        <f>ROUNDUP(O101/'Methodology &amp; Assumptions'!$B$9, 0)</f>
        <v/>
      </c>
      <c r="R101" s="39" t="n">
        <v>1</v>
      </c>
      <c r="S101" s="21" t="n">
        <v>0.87</v>
      </c>
      <c r="T101" s="21" t="n">
        <v>0.24</v>
      </c>
      <c r="U101" s="36" t="inlineStr">
        <is>
          <t>Tier 1A (Direct Coloc, &lt;1 km)</t>
        </is>
      </c>
      <c r="V101" s="20" t="n">
        <v>84.90000000000001</v>
      </c>
      <c r="W101" s="20" t="n">
        <v>76.8</v>
      </c>
      <c r="X101" s="20" t="n">
        <v>58</v>
      </c>
      <c r="Y101" s="40">
        <f>ROUND((V101*'Methodology &amp; Assumptions'!$B$6)+(W101*'Methodology &amp; Assumptions'!$B$5)+(X101*'Methodology &amp; Assumptions'!$B$7), 2)</f>
        <v/>
      </c>
    </row>
    <row r="102" ht="19" customHeight="1">
      <c r="A102" s="41" t="n">
        <v>98</v>
      </c>
      <c r="B102" s="41" t="n">
        <v>1098</v>
      </c>
      <c r="C102" s="42" t="inlineStr">
        <is>
          <t>1130700172</t>
        </is>
      </c>
      <c r="D102" s="42" t="inlineStr">
        <is>
          <t>Region XI (Davao Region)</t>
        </is>
      </c>
      <c r="E102" s="42" t="inlineStr">
        <is>
          <t>Davao del Sur</t>
        </is>
      </c>
      <c r="F102" s="42" t="inlineStr">
        <is>
          <t>City of Davao</t>
        </is>
      </c>
      <c r="G102" s="42" t="inlineStr">
        <is>
          <t>Barangay 39-D</t>
        </is>
      </c>
      <c r="H102" s="43" t="n">
        <v>7.0616</v>
      </c>
      <c r="I102" s="43" t="n">
        <v>125.61019</v>
      </c>
      <c r="J102" s="44" t="inlineStr">
        <is>
          <t>U</t>
        </is>
      </c>
      <c r="K102" s="42" t="inlineStr">
        <is>
          <t>Class 1-3 / Urban</t>
        </is>
      </c>
      <c r="L102" s="23" t="n">
        <v>4253</v>
      </c>
      <c r="M102" s="24" t="n">
        <v>4.1</v>
      </c>
      <c r="N102" s="23">
        <f>ROUND(L102/M102, 0)</f>
        <v/>
      </c>
      <c r="O102" s="23">
        <f>ROUND(N102*'Methodology &amp; Assumptions'!$B$8, 0)</f>
        <v/>
      </c>
      <c r="P102" s="44" t="inlineStr">
        <is>
          <t>Band n50 (1.5 GHz, 60 MHz)</t>
        </is>
      </c>
      <c r="Q102" s="38">
        <f>ROUNDUP(O102/'Methodology &amp; Assumptions'!$B$9, 0)</f>
        <v/>
      </c>
      <c r="R102" s="39" t="n">
        <v>1</v>
      </c>
      <c r="S102" s="25" t="n">
        <v>0.77</v>
      </c>
      <c r="T102" s="25" t="n">
        <v>0.14</v>
      </c>
      <c r="U102" s="42" t="inlineStr">
        <is>
          <t>Tier 1A (Direct Coloc, &lt;1 km)</t>
        </is>
      </c>
      <c r="V102" s="24" t="n">
        <v>87.40000000000001</v>
      </c>
      <c r="W102" s="24" t="n">
        <v>100</v>
      </c>
      <c r="X102" s="24" t="n">
        <v>28</v>
      </c>
      <c r="Y102" s="45">
        <f>ROUND((V102*'Methodology &amp; Assumptions'!$B$6)+(W102*'Methodology &amp; Assumptions'!$B$5)+(X102*'Methodology &amp; Assumptions'!$B$7), 2)</f>
        <v/>
      </c>
    </row>
    <row r="103" ht="19" customHeight="1">
      <c r="A103" s="35" t="n">
        <v>99</v>
      </c>
      <c r="B103" s="35" t="n">
        <v>1099</v>
      </c>
      <c r="C103" s="36" t="inlineStr">
        <is>
          <t>1600203012</t>
        </is>
      </c>
      <c r="D103" s="36" t="inlineStr">
        <is>
          <t>Region XIII (Caraga)</t>
        </is>
      </c>
      <c r="E103" s="36" t="inlineStr">
        <is>
          <t>Agusan del Norte</t>
        </is>
      </c>
      <c r="F103" s="36" t="inlineStr">
        <is>
          <t>City of Cabadbaran</t>
        </is>
      </c>
      <c r="G103" s="36" t="inlineStr">
        <is>
          <t>Comagascas</t>
        </is>
      </c>
      <c r="H103" s="37" t="n">
        <v>9.137767</v>
      </c>
      <c r="I103" s="37" t="n">
        <v>125.559325</v>
      </c>
      <c r="J103" s="8" t="inlineStr">
        <is>
          <t>R</t>
        </is>
      </c>
      <c r="K103" s="36" t="inlineStr">
        <is>
          <t>Class 1-3 / Urban</t>
        </is>
      </c>
      <c r="L103" s="18" t="n">
        <v>4146</v>
      </c>
      <c r="M103" s="20" t="n">
        <v>4.63</v>
      </c>
      <c r="N103" s="18">
        <f>ROUND(L103/M103, 0)</f>
        <v/>
      </c>
      <c r="O103" s="18">
        <f>ROUND(N103*'Methodology &amp; Assumptions'!$B$8, 0)</f>
        <v/>
      </c>
      <c r="P103" s="8" t="inlineStr">
        <is>
          <t>Band n50 (1.5 GHz, 60 MHz)</t>
        </is>
      </c>
      <c r="Q103" s="38">
        <f>ROUNDUP(O103/'Methodology &amp; Assumptions'!$B$9, 0)</f>
        <v/>
      </c>
      <c r="R103" s="39" t="n">
        <v>1</v>
      </c>
      <c r="S103" s="21" t="n">
        <v>1.73</v>
      </c>
      <c r="T103" s="21" t="n">
        <v>0.26</v>
      </c>
      <c r="U103" s="36" t="inlineStr">
        <is>
          <t>Tier 1B (Micro Drop, 1-3 km)</t>
        </is>
      </c>
      <c r="V103" s="20" t="n">
        <v>66.09999999999999</v>
      </c>
      <c r="W103" s="20" t="n">
        <v>95.5</v>
      </c>
      <c r="X103" s="20" t="n">
        <v>58</v>
      </c>
      <c r="Y103" s="40">
        <f>ROUND((V103*'Methodology &amp; Assumptions'!$B$6)+(W103*'Methodology &amp; Assumptions'!$B$5)+(X103*'Methodology &amp; Assumptions'!$B$7), 2)</f>
        <v/>
      </c>
    </row>
    <row r="104" ht="19" customHeight="1">
      <c r="A104" s="41" t="n">
        <v>100</v>
      </c>
      <c r="B104" s="41" t="n">
        <v>1100</v>
      </c>
      <c r="C104" s="42" t="inlineStr">
        <is>
          <t>0702214012</t>
        </is>
      </c>
      <c r="D104" s="42" t="inlineStr">
        <is>
          <t>Region VII (Central Visayas)</t>
        </is>
      </c>
      <c r="E104" s="42" t="inlineStr">
        <is>
          <t>Cebu</t>
        </is>
      </c>
      <c r="F104" s="42" t="inlineStr">
        <is>
          <t>City of Carcar</t>
        </is>
      </c>
      <c r="G104" s="42" t="inlineStr">
        <is>
          <t>Poblacion I</t>
        </is>
      </c>
      <c r="H104" s="43" t="n">
        <v>10.107018</v>
      </c>
      <c r="I104" s="43" t="n">
        <v>123.6391</v>
      </c>
      <c r="J104" s="44" t="inlineStr">
        <is>
          <t>U</t>
        </is>
      </c>
      <c r="K104" s="42" t="inlineStr">
        <is>
          <t>Class 1-3 / Urban</t>
        </is>
      </c>
      <c r="L104" s="23" t="n">
        <v>10525</v>
      </c>
      <c r="M104" s="24" t="n">
        <v>4.42</v>
      </c>
      <c r="N104" s="23">
        <f>ROUND(L104/M104, 0)</f>
        <v/>
      </c>
      <c r="O104" s="23">
        <f>ROUND(N104*'Methodology &amp; Assumptions'!$B$8, 0)</f>
        <v/>
      </c>
      <c r="P104" s="44" t="inlineStr">
        <is>
          <t>Band n50 (1.5 GHz, 60 MHz)</t>
        </is>
      </c>
      <c r="Q104" s="38">
        <f>ROUNDUP(O104/'Methodology &amp; Assumptions'!$B$9, 0)</f>
        <v/>
      </c>
      <c r="R104" s="39" t="n">
        <v>1</v>
      </c>
      <c r="S104" s="25" t="n">
        <v>0.77</v>
      </c>
      <c r="T104" s="25" t="n">
        <v>0.44</v>
      </c>
      <c r="U104" s="42" t="inlineStr">
        <is>
          <t>Tier 1A (Direct Coloc, &lt;1 km)</t>
        </is>
      </c>
      <c r="V104" s="24" t="n">
        <v>87.3</v>
      </c>
      <c r="W104" s="24" t="n">
        <v>100</v>
      </c>
      <c r="X104" s="24" t="n">
        <v>28</v>
      </c>
      <c r="Y104" s="45">
        <f>ROUND((V104*'Methodology &amp; Assumptions'!$B$6)+(W104*'Methodology &amp; Assumptions'!$B$5)+(X104*'Methodology &amp; Assumptions'!$B$7), 2)</f>
        <v/>
      </c>
    </row>
    <row r="105" ht="19" customHeight="1">
      <c r="A105" s="35" t="n">
        <v>101</v>
      </c>
      <c r="B105" s="35" t="n">
        <v>1101</v>
      </c>
      <c r="C105" s="36" t="inlineStr">
        <is>
          <t>0203126017</t>
        </is>
      </c>
      <c r="D105" s="36" t="inlineStr">
        <is>
          <t>Region II (Cagayan Valley)</t>
        </is>
      </c>
      <c r="E105" s="36" t="inlineStr">
        <is>
          <t>Isabela</t>
        </is>
      </c>
      <c r="F105" s="36" t="inlineStr">
        <is>
          <t>Roxas</t>
        </is>
      </c>
      <c r="G105" s="36" t="inlineStr">
        <is>
          <t>San Antonio</t>
        </is>
      </c>
      <c r="H105" s="37" t="n">
        <v>17.103077</v>
      </c>
      <c r="I105" s="37" t="n">
        <v>121.6169</v>
      </c>
      <c r="J105" s="8" t="inlineStr">
        <is>
          <t>R</t>
        </is>
      </c>
      <c r="K105" s="36" t="inlineStr">
        <is>
          <t>Class 1-3 / Urban</t>
        </is>
      </c>
      <c r="L105" s="18" t="n">
        <v>3531</v>
      </c>
      <c r="M105" s="20" t="n">
        <v>4.3</v>
      </c>
      <c r="N105" s="18">
        <f>ROUND(L105/M105, 0)</f>
        <v/>
      </c>
      <c r="O105" s="18">
        <f>ROUND(N105*'Methodology &amp; Assumptions'!$B$8, 0)</f>
        <v/>
      </c>
      <c r="P105" s="8" t="inlineStr">
        <is>
          <t>Band n50 (1.5 GHz, 60 MHz)</t>
        </is>
      </c>
      <c r="Q105" s="38">
        <f>ROUNDUP(O105/'Methodology &amp; Assumptions'!$B$9, 0)</f>
        <v/>
      </c>
      <c r="R105" s="39" t="n">
        <v>1</v>
      </c>
      <c r="S105" s="21" t="n">
        <v>1.44</v>
      </c>
      <c r="T105" s="21" t="n">
        <v>0.33</v>
      </c>
      <c r="U105" s="36" t="inlineStr">
        <is>
          <t>Tier 1B (Micro Drop, 1-3 km)</t>
        </is>
      </c>
      <c r="V105" s="20" t="n">
        <v>72</v>
      </c>
      <c r="W105" s="20" t="n">
        <v>89.59999999999999</v>
      </c>
      <c r="X105" s="20" t="n">
        <v>58</v>
      </c>
      <c r="Y105" s="40">
        <f>ROUND((V105*'Methodology &amp; Assumptions'!$B$6)+(W105*'Methodology &amp; Assumptions'!$B$5)+(X105*'Methodology &amp; Assumptions'!$B$7), 2)</f>
        <v/>
      </c>
    </row>
    <row r="106" ht="19" customHeight="1">
      <c r="A106" s="41" t="n">
        <v>102</v>
      </c>
      <c r="B106" s="41" t="n">
        <v>1102</v>
      </c>
      <c r="C106" s="42" t="inlineStr">
        <is>
          <t>0401023023</t>
        </is>
      </c>
      <c r="D106" s="42" t="inlineStr">
        <is>
          <t>Region IV-A (CALABARZON)</t>
        </is>
      </c>
      <c r="E106" s="42" t="inlineStr">
        <is>
          <t>Batangas</t>
        </is>
      </c>
      <c r="F106" s="42" t="inlineStr">
        <is>
          <t>San Juan</t>
        </is>
      </c>
      <c r="G106" s="42" t="inlineStr">
        <is>
          <t>Maraykit</t>
        </is>
      </c>
      <c r="H106" s="43" t="n">
        <v>13.825982</v>
      </c>
      <c r="I106" s="43" t="n">
        <v>121.387184</v>
      </c>
      <c r="J106" s="44" t="inlineStr">
        <is>
          <t>R</t>
        </is>
      </c>
      <c r="K106" s="42" t="inlineStr">
        <is>
          <t>Class 1-3 / Urban</t>
        </is>
      </c>
      <c r="L106" s="23" t="n">
        <v>3252</v>
      </c>
      <c r="M106" s="24" t="n">
        <v>4.62</v>
      </c>
      <c r="N106" s="23">
        <f>ROUND(L106/M106, 0)</f>
        <v/>
      </c>
      <c r="O106" s="23">
        <f>ROUND(N106*'Methodology &amp; Assumptions'!$B$8, 0)</f>
        <v/>
      </c>
      <c r="P106" s="44" t="inlineStr">
        <is>
          <t>Band n50 (1.5 GHz, 60 MHz)</t>
        </is>
      </c>
      <c r="Q106" s="38">
        <f>ROUNDUP(O106/'Methodology &amp; Assumptions'!$B$9, 0)</f>
        <v/>
      </c>
      <c r="R106" s="39" t="n">
        <v>1</v>
      </c>
      <c r="S106" s="25" t="n">
        <v>1.02</v>
      </c>
      <c r="T106" s="25" t="n">
        <v>0.07000000000000001</v>
      </c>
      <c r="U106" s="42" t="inlineStr">
        <is>
          <t>Tier 1B (Micro Drop, 1-3 km)</t>
        </is>
      </c>
      <c r="V106" s="24" t="n">
        <v>81.3</v>
      </c>
      <c r="W106" s="24" t="n">
        <v>80.3</v>
      </c>
      <c r="X106" s="24" t="n">
        <v>58</v>
      </c>
      <c r="Y106" s="45">
        <f>ROUND((V106*'Methodology &amp; Assumptions'!$B$6)+(W106*'Methodology &amp; Assumptions'!$B$5)+(X106*'Methodology &amp; Assumptions'!$B$7), 2)</f>
        <v/>
      </c>
    </row>
    <row r="107" ht="19" customHeight="1">
      <c r="A107" s="35" t="n">
        <v>103</v>
      </c>
      <c r="B107" s="35" t="n">
        <v>1103</v>
      </c>
      <c r="C107" s="36" t="inlineStr">
        <is>
          <t>0403410018</t>
        </is>
      </c>
      <c r="D107" s="36" t="inlineStr">
        <is>
          <t>Region IV-A (CALABARZON)</t>
        </is>
      </c>
      <c r="E107" s="36" t="inlineStr">
        <is>
          <t>Laguna</t>
        </is>
      </c>
      <c r="F107" s="36" t="inlineStr">
        <is>
          <t>Liliw</t>
        </is>
      </c>
      <c r="G107" s="36" t="inlineStr">
        <is>
          <t>Ilayang Palina</t>
        </is>
      </c>
      <c r="H107" s="37" t="n">
        <v>14.137028</v>
      </c>
      <c r="I107" s="37" t="n">
        <v>121.430394</v>
      </c>
      <c r="J107" s="8" t="inlineStr">
        <is>
          <t>R</t>
        </is>
      </c>
      <c r="K107" s="36" t="inlineStr">
        <is>
          <t>3rd</t>
        </is>
      </c>
      <c r="L107" s="18" t="n">
        <v>2296</v>
      </c>
      <c r="M107" s="20" t="n">
        <v>3.93</v>
      </c>
      <c r="N107" s="18">
        <f>ROUND(L107/M107, 0)</f>
        <v/>
      </c>
      <c r="O107" s="18">
        <f>ROUND(N107*'Methodology &amp; Assumptions'!$B$8, 0)</f>
        <v/>
      </c>
      <c r="P107" s="8" t="inlineStr">
        <is>
          <t>Band n50 (1.5 GHz, 60 MHz)</t>
        </is>
      </c>
      <c r="Q107" s="38">
        <f>ROUNDUP(O107/'Methodology &amp; Assumptions'!$B$9, 0)</f>
        <v/>
      </c>
      <c r="R107" s="39" t="n">
        <v>1</v>
      </c>
      <c r="S107" s="21" t="n">
        <v>0.64</v>
      </c>
      <c r="T107" s="21" t="n">
        <v>0.39</v>
      </c>
      <c r="U107" s="36" t="inlineStr">
        <is>
          <t>Tier 1A (Direct Coloc, &lt;1 km)</t>
        </is>
      </c>
      <c r="V107" s="20" t="n">
        <v>90.90000000000001</v>
      </c>
      <c r="W107" s="20" t="n">
        <v>70.7</v>
      </c>
      <c r="X107" s="20" t="n">
        <v>58</v>
      </c>
      <c r="Y107" s="40">
        <f>ROUND((V107*'Methodology &amp; Assumptions'!$B$6)+(W107*'Methodology &amp; Assumptions'!$B$5)+(X107*'Methodology &amp; Assumptions'!$B$7), 2)</f>
        <v/>
      </c>
    </row>
    <row r="108" ht="19" customHeight="1">
      <c r="A108" s="41" t="n">
        <v>104</v>
      </c>
      <c r="B108" s="41" t="n">
        <v>1104</v>
      </c>
      <c r="C108" s="42" t="inlineStr">
        <is>
          <t>0401029044</t>
        </is>
      </c>
      <c r="D108" s="42" t="inlineStr">
        <is>
          <t>Region IV-A (CALABARZON)</t>
        </is>
      </c>
      <c r="E108" s="42" t="inlineStr">
        <is>
          <t>Batangas</t>
        </is>
      </c>
      <c r="F108" s="42" t="inlineStr">
        <is>
          <t>Taal</t>
        </is>
      </c>
      <c r="G108" s="42" t="inlineStr">
        <is>
          <t>Seiran</t>
        </is>
      </c>
      <c r="H108" s="43" t="n">
        <v>13.889828</v>
      </c>
      <c r="I108" s="43" t="n">
        <v>120.923087</v>
      </c>
      <c r="J108" s="44" t="inlineStr">
        <is>
          <t>R</t>
        </is>
      </c>
      <c r="K108" s="42" t="inlineStr">
        <is>
          <t>Class 1-3 / Urban</t>
        </is>
      </c>
      <c r="L108" s="23" t="n">
        <v>3015</v>
      </c>
      <c r="M108" s="24" t="n">
        <v>4.62</v>
      </c>
      <c r="N108" s="23">
        <f>ROUND(L108/M108, 0)</f>
        <v/>
      </c>
      <c r="O108" s="23">
        <f>ROUND(N108*'Methodology &amp; Assumptions'!$B$8, 0)</f>
        <v/>
      </c>
      <c r="P108" s="44" t="inlineStr">
        <is>
          <t>Band n50 (1.5 GHz, 60 MHz)</t>
        </is>
      </c>
      <c r="Q108" s="38">
        <f>ROUNDUP(O108/'Methodology &amp; Assumptions'!$B$9, 0)</f>
        <v/>
      </c>
      <c r="R108" s="39" t="n">
        <v>1</v>
      </c>
      <c r="S108" s="25" t="n">
        <v>0.85</v>
      </c>
      <c r="T108" s="25" t="n">
        <v>0.7</v>
      </c>
      <c r="U108" s="42" t="inlineStr">
        <is>
          <t>Tier 1A (Direct Coloc, &lt;1 km)</t>
        </is>
      </c>
      <c r="V108" s="24" t="n">
        <v>85.2</v>
      </c>
      <c r="W108" s="24" t="n">
        <v>76.3</v>
      </c>
      <c r="X108" s="24" t="n">
        <v>58</v>
      </c>
      <c r="Y108" s="45">
        <f>ROUND((V108*'Methodology &amp; Assumptions'!$B$6)+(W108*'Methodology &amp; Assumptions'!$B$5)+(X108*'Methodology &amp; Assumptions'!$B$7), 2)</f>
        <v/>
      </c>
    </row>
    <row r="109" ht="19" customHeight="1">
      <c r="A109" s="35" t="n">
        <v>105</v>
      </c>
      <c r="B109" s="35" t="n">
        <v>1105</v>
      </c>
      <c r="C109" s="36" t="inlineStr">
        <is>
          <t>0403416033</t>
        </is>
      </c>
      <c r="D109" s="36" t="inlineStr">
        <is>
          <t>Region IV-A (CALABARZON)</t>
        </is>
      </c>
      <c r="E109" s="36" t="inlineStr">
        <is>
          <t>Laguna</t>
        </is>
      </c>
      <c r="F109" s="36" t="inlineStr">
        <is>
          <t>Majayjay</t>
        </is>
      </c>
      <c r="G109" s="36" t="inlineStr">
        <is>
          <t>San Francisco</t>
        </is>
      </c>
      <c r="H109" s="37" t="n">
        <v>14.14167</v>
      </c>
      <c r="I109" s="37" t="n">
        <v>121.479181</v>
      </c>
      <c r="J109" s="8" t="inlineStr">
        <is>
          <t>R</t>
        </is>
      </c>
      <c r="K109" s="36" t="inlineStr">
        <is>
          <t>3rd</t>
        </is>
      </c>
      <c r="L109" s="18" t="n">
        <v>2899</v>
      </c>
      <c r="M109" s="20" t="n">
        <v>4.18</v>
      </c>
      <c r="N109" s="18">
        <f>ROUND(L109/M109, 0)</f>
        <v/>
      </c>
      <c r="O109" s="18">
        <f>ROUND(N109*'Methodology &amp; Assumptions'!$B$8, 0)</f>
        <v/>
      </c>
      <c r="P109" s="8" t="inlineStr">
        <is>
          <t>Band n50 (1.5 GHz, 60 MHz)</t>
        </is>
      </c>
      <c r="Q109" s="38">
        <f>ROUNDUP(O109/'Methodology &amp; Assumptions'!$B$9, 0)</f>
        <v/>
      </c>
      <c r="R109" s="39" t="n">
        <v>1</v>
      </c>
      <c r="S109" s="21" t="n">
        <v>0.98</v>
      </c>
      <c r="T109" s="21" t="n">
        <v>0.6</v>
      </c>
      <c r="U109" s="36" t="inlineStr">
        <is>
          <t>Tier 1A (Direct Coloc, &lt;1 km)</t>
        </is>
      </c>
      <c r="V109" s="20" t="n">
        <v>82</v>
      </c>
      <c r="W109" s="20" t="n">
        <v>79.5</v>
      </c>
      <c r="X109" s="20" t="n">
        <v>58</v>
      </c>
      <c r="Y109" s="40">
        <f>ROUND((V109*'Methodology &amp; Assumptions'!$B$6)+(W109*'Methodology &amp; Assumptions'!$B$5)+(X109*'Methodology &amp; Assumptions'!$B$7), 2)</f>
        <v/>
      </c>
    </row>
    <row r="110" ht="19" customHeight="1">
      <c r="A110" s="41" t="n">
        <v>106</v>
      </c>
      <c r="B110" s="41" t="n">
        <v>1106</v>
      </c>
      <c r="C110" s="42" t="inlineStr">
        <is>
          <t>0405641014</t>
        </is>
      </c>
      <c r="D110" s="42" t="inlineStr">
        <is>
          <t>Region IV-A (CALABARZON)</t>
        </is>
      </c>
      <c r="E110" s="42" t="inlineStr">
        <is>
          <t>Quezon</t>
        </is>
      </c>
      <c r="F110" s="42" t="inlineStr">
        <is>
          <t>San Antonio</t>
        </is>
      </c>
      <c r="G110" s="42" t="inlineStr">
        <is>
          <t>Poblacion</t>
        </is>
      </c>
      <c r="H110" s="43" t="n">
        <v>13.895461</v>
      </c>
      <c r="I110" s="43" t="n">
        <v>121.290885</v>
      </c>
      <c r="J110" s="44" t="inlineStr">
        <is>
          <t>R</t>
        </is>
      </c>
      <c r="K110" s="42" t="inlineStr">
        <is>
          <t>3rd</t>
        </is>
      </c>
      <c r="L110" s="23" t="n">
        <v>2248</v>
      </c>
      <c r="M110" s="24" t="n">
        <v>4.53</v>
      </c>
      <c r="N110" s="23">
        <f>ROUND(L110/M110, 0)</f>
        <v/>
      </c>
      <c r="O110" s="23">
        <f>ROUND(N110*'Methodology &amp; Assumptions'!$B$8, 0)</f>
        <v/>
      </c>
      <c r="P110" s="44" t="inlineStr">
        <is>
          <t>Band n50 (1.5 GHz, 60 MHz)</t>
        </is>
      </c>
      <c r="Q110" s="38">
        <f>ROUNDUP(O110/'Methodology &amp; Assumptions'!$B$9, 0)</f>
        <v/>
      </c>
      <c r="R110" s="39" t="n">
        <v>1</v>
      </c>
      <c r="S110" s="25" t="n">
        <v>0.39</v>
      </c>
      <c r="T110" s="25" t="n">
        <v>0.19</v>
      </c>
      <c r="U110" s="42" t="inlineStr">
        <is>
          <t>Tier 1A (Direct Coloc, &lt;1 km)</t>
        </is>
      </c>
      <c r="V110" s="24" t="n">
        <v>97.8</v>
      </c>
      <c r="W110" s="24" t="n">
        <v>63.7</v>
      </c>
      <c r="X110" s="24" t="n">
        <v>58</v>
      </c>
      <c r="Y110" s="45">
        <f>ROUND((V110*'Methodology &amp; Assumptions'!$B$6)+(W110*'Methodology &amp; Assumptions'!$B$5)+(X110*'Methodology &amp; Assumptions'!$B$7), 2)</f>
        <v/>
      </c>
    </row>
    <row r="111" ht="19" customHeight="1">
      <c r="A111" s="35" t="n">
        <v>107</v>
      </c>
      <c r="B111" s="35" t="n">
        <v>1107</v>
      </c>
      <c r="C111" s="36" t="inlineStr">
        <is>
          <t>0401014008</t>
        </is>
      </c>
      <c r="D111" s="36" t="inlineStr">
        <is>
          <t>Region IV-A (CALABARZON)</t>
        </is>
      </c>
      <c r="E111" s="36" t="inlineStr">
        <is>
          <t>Batangas</t>
        </is>
      </c>
      <c r="F111" s="36" t="inlineStr">
        <is>
          <t>City of Lipa</t>
        </is>
      </c>
      <c r="G111" s="36" t="inlineStr">
        <is>
          <t>San Sebastian</t>
        </is>
      </c>
      <c r="H111" s="37" t="n">
        <v>13.942349</v>
      </c>
      <c r="I111" s="37" t="n">
        <v>121.168366</v>
      </c>
      <c r="J111" s="8" t="inlineStr">
        <is>
          <t>U</t>
        </is>
      </c>
      <c r="K111" s="36" t="inlineStr">
        <is>
          <t>Class 1-3 / Urban</t>
        </is>
      </c>
      <c r="L111" s="18" t="n">
        <v>3647</v>
      </c>
      <c r="M111" s="20" t="n">
        <v>4.62</v>
      </c>
      <c r="N111" s="18">
        <f>ROUND(L111/M111, 0)</f>
        <v/>
      </c>
      <c r="O111" s="18">
        <f>ROUND(N111*'Methodology &amp; Assumptions'!$B$8, 0)</f>
        <v/>
      </c>
      <c r="P111" s="8" t="inlineStr">
        <is>
          <t>Band n50 (1.5 GHz, 60 MHz)</t>
        </is>
      </c>
      <c r="Q111" s="38">
        <f>ROUNDUP(O111/'Methodology &amp; Assumptions'!$B$9, 0)</f>
        <v/>
      </c>
      <c r="R111" s="39" t="n">
        <v>1</v>
      </c>
      <c r="S111" s="21" t="n">
        <v>0.29</v>
      </c>
      <c r="T111" s="21" t="n">
        <v>0.16</v>
      </c>
      <c r="U111" s="36" t="inlineStr">
        <is>
          <t>Tier 1A (Direct Coloc, &lt;1 km)</t>
        </is>
      </c>
      <c r="V111" s="20" t="n">
        <v>100</v>
      </c>
      <c r="W111" s="20" t="n">
        <v>87.2</v>
      </c>
      <c r="X111" s="20" t="n">
        <v>28</v>
      </c>
      <c r="Y111" s="40">
        <f>ROUND((V111*'Methodology &amp; Assumptions'!$B$6)+(W111*'Methodology &amp; Assumptions'!$B$5)+(X111*'Methodology &amp; Assumptions'!$B$7), 2)</f>
        <v/>
      </c>
    </row>
    <row r="112" ht="19" customHeight="1">
      <c r="A112" s="41" t="n">
        <v>108</v>
      </c>
      <c r="B112" s="41" t="n">
        <v>1108</v>
      </c>
      <c r="C112" s="42" t="inlineStr">
        <is>
          <t>1130700154</t>
        </is>
      </c>
      <c r="D112" s="42" t="inlineStr">
        <is>
          <t>Region XI (Davao Region)</t>
        </is>
      </c>
      <c r="E112" s="42" t="inlineStr">
        <is>
          <t>Davao del Sur</t>
        </is>
      </c>
      <c r="F112" s="42" t="inlineStr">
        <is>
          <t>City of Davao</t>
        </is>
      </c>
      <c r="G112" s="42" t="inlineStr">
        <is>
          <t>Barangay 21-C</t>
        </is>
      </c>
      <c r="H112" s="43" t="n">
        <v>7.067102</v>
      </c>
      <c r="I112" s="43" t="n">
        <v>125.619568</v>
      </c>
      <c r="J112" s="44" t="inlineStr">
        <is>
          <t>U</t>
        </is>
      </c>
      <c r="K112" s="42" t="inlineStr">
        <is>
          <t>Class 1-3 / Urban</t>
        </is>
      </c>
      <c r="L112" s="23" t="n">
        <v>7273</v>
      </c>
      <c r="M112" s="24" t="n">
        <v>4.1</v>
      </c>
      <c r="N112" s="23">
        <f>ROUND(L112/M112, 0)</f>
        <v/>
      </c>
      <c r="O112" s="23">
        <f>ROUND(N112*'Methodology &amp; Assumptions'!$B$8, 0)</f>
        <v/>
      </c>
      <c r="P112" s="44" t="inlineStr">
        <is>
          <t>Band n50 (1.5 GHz, 60 MHz)</t>
        </is>
      </c>
      <c r="Q112" s="38">
        <f>ROUNDUP(O112/'Methodology &amp; Assumptions'!$B$9, 0)</f>
        <v/>
      </c>
      <c r="R112" s="39" t="n">
        <v>1</v>
      </c>
      <c r="S112" s="25" t="n">
        <v>0.78</v>
      </c>
      <c r="T112" s="25" t="n">
        <v>0.42</v>
      </c>
      <c r="U112" s="42" t="inlineStr">
        <is>
          <t>Tier 1A (Direct Coloc, &lt;1 km)</t>
        </is>
      </c>
      <c r="V112" s="24" t="n">
        <v>87.2</v>
      </c>
      <c r="W112" s="24" t="n">
        <v>100</v>
      </c>
      <c r="X112" s="24" t="n">
        <v>28</v>
      </c>
      <c r="Y112" s="45">
        <f>ROUND((V112*'Methodology &amp; Assumptions'!$B$6)+(W112*'Methodology &amp; Assumptions'!$B$5)+(X112*'Methodology &amp; Assumptions'!$B$7), 2)</f>
        <v/>
      </c>
    </row>
    <row r="113" ht="19" customHeight="1">
      <c r="A113" s="35" t="n">
        <v>109</v>
      </c>
      <c r="B113" s="35" t="n">
        <v>1109</v>
      </c>
      <c r="C113" s="36" t="inlineStr">
        <is>
          <t>0702239012</t>
        </is>
      </c>
      <c r="D113" s="36" t="inlineStr">
        <is>
          <t>Region VII (Central Visayas)</t>
        </is>
      </c>
      <c r="E113" s="36" t="inlineStr">
        <is>
          <t>Cebu</t>
        </is>
      </c>
      <c r="F113" s="36" t="inlineStr">
        <is>
          <t>Ronda</t>
        </is>
      </c>
      <c r="G113" s="36" t="inlineStr">
        <is>
          <t>Santa Cruz</t>
        </is>
      </c>
      <c r="H113" s="37" t="n">
        <v>10.016937</v>
      </c>
      <c r="I113" s="37" t="n">
        <v>123.415021</v>
      </c>
      <c r="J113" s="8" t="inlineStr">
        <is>
          <t>R</t>
        </is>
      </c>
      <c r="K113" s="36" t="inlineStr">
        <is>
          <t>4th</t>
        </is>
      </c>
      <c r="L113" s="18" t="n">
        <v>3573</v>
      </c>
      <c r="M113" s="20" t="n">
        <v>4.22</v>
      </c>
      <c r="N113" s="18">
        <f>ROUND(L113/M113, 0)</f>
        <v/>
      </c>
      <c r="O113" s="18">
        <f>ROUND(N113*'Methodology &amp; Assumptions'!$B$8, 0)</f>
        <v/>
      </c>
      <c r="P113" s="8" t="inlineStr">
        <is>
          <t>Band n50 (1.5 GHz, 60 MHz)</t>
        </is>
      </c>
      <c r="Q113" s="38">
        <f>ROUNDUP(O113/'Methodology &amp; Assumptions'!$B$9, 0)</f>
        <v/>
      </c>
      <c r="R113" s="39" t="n">
        <v>1</v>
      </c>
      <c r="S113" s="21" t="n">
        <v>2.04</v>
      </c>
      <c r="T113" s="21" t="n">
        <v>0.37</v>
      </c>
      <c r="U113" s="36" t="inlineStr">
        <is>
          <t>Tier 1B (Micro Drop, 1-3 km)</t>
        </is>
      </c>
      <c r="V113" s="20" t="n">
        <v>60.7</v>
      </c>
      <c r="W113" s="20" t="n">
        <v>91.7</v>
      </c>
      <c r="X113" s="20" t="n">
        <v>68.5</v>
      </c>
      <c r="Y113" s="40">
        <f>ROUND((V113*'Methodology &amp; Assumptions'!$B$6)+(W113*'Methodology &amp; Assumptions'!$B$5)+(X113*'Methodology &amp; Assumptions'!$B$7), 2)</f>
        <v/>
      </c>
    </row>
    <row r="114" ht="19" customHeight="1">
      <c r="A114" s="41" t="n">
        <v>110</v>
      </c>
      <c r="B114" s="41" t="n">
        <v>1110</v>
      </c>
      <c r="C114" s="42" t="inlineStr">
        <is>
          <t>0803748037</t>
        </is>
      </c>
      <c r="D114" s="42" t="inlineStr">
        <is>
          <t>Region VIII (Eastern Visayas)</t>
        </is>
      </c>
      <c r="E114" s="42" t="inlineStr">
        <is>
          <t>Leyte</t>
        </is>
      </c>
      <c r="F114" s="42" t="inlineStr">
        <is>
          <t>Tanauan</t>
        </is>
      </c>
      <c r="G114" s="42" t="inlineStr">
        <is>
          <t>Pago</t>
        </is>
      </c>
      <c r="H114" s="43" t="n">
        <v>11.106234</v>
      </c>
      <c r="I114" s="43" t="n">
        <v>125.002089</v>
      </c>
      <c r="J114" s="44" t="inlineStr">
        <is>
          <t>R</t>
        </is>
      </c>
      <c r="K114" s="42" t="inlineStr">
        <is>
          <t>Class 1-3 / Urban</t>
        </is>
      </c>
      <c r="L114" s="23" t="n">
        <v>3989</v>
      </c>
      <c r="M114" s="24" t="n">
        <v>4.24</v>
      </c>
      <c r="N114" s="23">
        <f>ROUND(L114/M114, 0)</f>
        <v/>
      </c>
      <c r="O114" s="23">
        <f>ROUND(N114*'Methodology &amp; Assumptions'!$B$8, 0)</f>
        <v/>
      </c>
      <c r="P114" s="44" t="inlineStr">
        <is>
          <t>Band n50 (1.5 GHz, 60 MHz)</t>
        </is>
      </c>
      <c r="Q114" s="38">
        <f>ROUNDUP(O114/'Methodology &amp; Assumptions'!$B$9, 0)</f>
        <v/>
      </c>
      <c r="R114" s="39" t="n">
        <v>1</v>
      </c>
      <c r="S114" s="25" t="n">
        <v>1.95</v>
      </c>
      <c r="T114" s="25" t="n">
        <v>1.95</v>
      </c>
      <c r="U114" s="42" t="inlineStr">
        <is>
          <t>Tier 1B (Micro Drop, 1-3 km)</t>
        </is>
      </c>
      <c r="V114" s="24" t="n">
        <v>62.2</v>
      </c>
      <c r="W114" s="24" t="n">
        <v>99.2</v>
      </c>
      <c r="X114" s="24" t="n">
        <v>58</v>
      </c>
      <c r="Y114" s="45">
        <f>ROUND((V114*'Methodology &amp; Assumptions'!$B$6)+(W114*'Methodology &amp; Assumptions'!$B$5)+(X114*'Methodology &amp; Assumptions'!$B$7), 2)</f>
        <v/>
      </c>
    </row>
    <row r="115" ht="19" customHeight="1">
      <c r="A115" s="35" t="n">
        <v>111</v>
      </c>
      <c r="B115" s="35" t="n">
        <v>1111</v>
      </c>
      <c r="C115" s="36" t="inlineStr">
        <is>
          <t>0704608008</t>
        </is>
      </c>
      <c r="D115" s="36" t="inlineStr">
        <is>
          <t>Region VII (Central Visayas)</t>
        </is>
      </c>
      <c r="E115" s="36" t="inlineStr">
        <is>
          <t>Negros Oriental</t>
        </is>
      </c>
      <c r="F115" s="36" t="inlineStr">
        <is>
          <t>City of Canlaon</t>
        </is>
      </c>
      <c r="G115" s="36" t="inlineStr">
        <is>
          <t>Panubigan</t>
        </is>
      </c>
      <c r="H115" s="37" t="n">
        <v>10.37783</v>
      </c>
      <c r="I115" s="37" t="n">
        <v>123.2335</v>
      </c>
      <c r="J115" s="8" t="inlineStr">
        <is>
          <t>U</t>
        </is>
      </c>
      <c r="K115" s="36" t="inlineStr">
        <is>
          <t>Class 1-3 / Urban</t>
        </is>
      </c>
      <c r="L115" s="18" t="n">
        <v>7681</v>
      </c>
      <c r="M115" s="20" t="n">
        <v>4.33</v>
      </c>
      <c r="N115" s="18">
        <f>ROUND(L115/M115, 0)</f>
        <v/>
      </c>
      <c r="O115" s="18">
        <f>ROUND(N115*'Methodology &amp; Assumptions'!$B$8, 0)</f>
        <v/>
      </c>
      <c r="P115" s="8" t="inlineStr">
        <is>
          <t>Band n50 (1.5 GHz, 60 MHz)</t>
        </is>
      </c>
      <c r="Q115" s="38">
        <f>ROUNDUP(O115/'Methodology &amp; Assumptions'!$B$9, 0)</f>
        <v/>
      </c>
      <c r="R115" s="39" t="n">
        <v>1</v>
      </c>
      <c r="S115" s="21" t="n">
        <v>0.78</v>
      </c>
      <c r="T115" s="21" t="n">
        <v>0.44</v>
      </c>
      <c r="U115" s="36" t="inlineStr">
        <is>
          <t>Tier 1A (Direct Coloc, &lt;1 km)</t>
        </is>
      </c>
      <c r="V115" s="20" t="n">
        <v>87.2</v>
      </c>
      <c r="W115" s="20" t="n">
        <v>100</v>
      </c>
      <c r="X115" s="20" t="n">
        <v>28</v>
      </c>
      <c r="Y115" s="40">
        <f>ROUND((V115*'Methodology &amp; Assumptions'!$B$6)+(W115*'Methodology &amp; Assumptions'!$B$5)+(X115*'Methodology &amp; Assumptions'!$B$7), 2)</f>
        <v/>
      </c>
    </row>
    <row r="116" ht="19" customHeight="1">
      <c r="A116" s="41" t="n">
        <v>112</v>
      </c>
      <c r="B116" s="41" t="n">
        <v>1112</v>
      </c>
      <c r="C116" s="42" t="inlineStr">
        <is>
          <t>1606701009</t>
        </is>
      </c>
      <c r="D116" s="42" t="inlineStr">
        <is>
          <t>Region XIII (Caraga)</t>
        </is>
      </c>
      <c r="E116" s="42" t="inlineStr">
        <is>
          <t>Surigao del Norte</t>
        </is>
      </c>
      <c r="F116" s="42" t="inlineStr">
        <is>
          <t>Alegria</t>
        </is>
      </c>
      <c r="G116" s="42" t="inlineStr">
        <is>
          <t>Julio Ouano</t>
        </is>
      </c>
      <c r="H116" s="43" t="n">
        <v>9.465833</v>
      </c>
      <c r="I116" s="43" t="n">
        <v>125.5781</v>
      </c>
      <c r="J116" s="44" t="inlineStr">
        <is>
          <t>R</t>
        </is>
      </c>
      <c r="K116" s="42" t="inlineStr">
        <is>
          <t>4th</t>
        </is>
      </c>
      <c r="L116" s="23" t="n">
        <v>2081</v>
      </c>
      <c r="M116" s="24" t="n">
        <v>4.69</v>
      </c>
      <c r="N116" s="23">
        <f>ROUND(L116/M116, 0)</f>
        <v/>
      </c>
      <c r="O116" s="23">
        <f>ROUND(N116*'Methodology &amp; Assumptions'!$B$8, 0)</f>
        <v/>
      </c>
      <c r="P116" s="44" t="inlineStr">
        <is>
          <t>Band n50 (1.5 GHz, 60 MHz)</t>
        </is>
      </c>
      <c r="Q116" s="38">
        <f>ROUNDUP(O116/'Methodology &amp; Assumptions'!$B$9, 0)</f>
        <v/>
      </c>
      <c r="R116" s="39" t="n">
        <v>1</v>
      </c>
      <c r="S116" s="25" t="n">
        <v>1.07</v>
      </c>
      <c r="T116" s="25" t="n">
        <v>0.16</v>
      </c>
      <c r="U116" s="42" t="inlineStr">
        <is>
          <t>Tier 1B (Micro Drop, 1-3 km)</t>
        </is>
      </c>
      <c r="V116" s="24" t="n">
        <v>80.09999999999999</v>
      </c>
      <c r="W116" s="24" t="n">
        <v>59.5</v>
      </c>
      <c r="X116" s="24" t="n">
        <v>83.5</v>
      </c>
      <c r="Y116" s="45">
        <f>ROUND((V116*'Methodology &amp; Assumptions'!$B$6)+(W116*'Methodology &amp; Assumptions'!$B$5)+(X116*'Methodology &amp; Assumptions'!$B$7), 2)</f>
        <v/>
      </c>
    </row>
    <row r="117" ht="19" customHeight="1">
      <c r="A117" s="35" t="n">
        <v>113</v>
      </c>
      <c r="B117" s="35" t="n">
        <v>1113</v>
      </c>
      <c r="C117" s="36" t="inlineStr">
        <is>
          <t>0402103008</t>
        </is>
      </c>
      <c r="D117" s="36" t="inlineStr">
        <is>
          <t>Region IV-A (CALABARZON)</t>
        </is>
      </c>
      <c r="E117" s="36" t="inlineStr">
        <is>
          <t>Cavite</t>
        </is>
      </c>
      <c r="F117" s="36" t="inlineStr">
        <is>
          <t>City of Bacoor</t>
        </is>
      </c>
      <c r="G117" s="36" t="inlineStr">
        <is>
          <t>Habay I</t>
        </is>
      </c>
      <c r="H117" s="37" t="n">
        <v>14.451079</v>
      </c>
      <c r="I117" s="37" t="n">
        <v>120.943318</v>
      </c>
      <c r="J117" s="8" t="inlineStr">
        <is>
          <t>U</t>
        </is>
      </c>
      <c r="K117" s="36" t="inlineStr">
        <is>
          <t>Class 1-3 / Urban</t>
        </is>
      </c>
      <c r="L117" s="18" t="n">
        <v>19965</v>
      </c>
      <c r="M117" s="20" t="n">
        <v>4.49</v>
      </c>
      <c r="N117" s="18">
        <f>ROUND(L117/M117, 0)</f>
        <v/>
      </c>
      <c r="O117" s="18">
        <f>ROUND(N117*'Methodology &amp; Assumptions'!$B$8, 0)</f>
        <v/>
      </c>
      <c r="P117" s="8" t="inlineStr">
        <is>
          <t>Band n50 (1.5 GHz, 60 MHz)</t>
        </is>
      </c>
      <c r="Q117" s="38">
        <f>ROUNDUP(O117/'Methodology &amp; Assumptions'!$B$9, 0)</f>
        <v/>
      </c>
      <c r="R117" s="39" t="n">
        <v>1</v>
      </c>
      <c r="S117" s="21" t="n">
        <v>0.78</v>
      </c>
      <c r="T117" s="21" t="n">
        <v>0.41</v>
      </c>
      <c r="U117" s="36" t="inlineStr">
        <is>
          <t>Tier 1A (Direct Coloc, &lt;1 km)</t>
        </is>
      </c>
      <c r="V117" s="20" t="n">
        <v>87.09999999999999</v>
      </c>
      <c r="W117" s="20" t="n">
        <v>100</v>
      </c>
      <c r="X117" s="20" t="n">
        <v>28</v>
      </c>
      <c r="Y117" s="40">
        <f>ROUND((V117*'Methodology &amp; Assumptions'!$B$6)+(W117*'Methodology &amp; Assumptions'!$B$5)+(X117*'Methodology &amp; Assumptions'!$B$7), 2)</f>
        <v/>
      </c>
    </row>
    <row r="118" ht="19" customHeight="1">
      <c r="A118" s="41" t="n">
        <v>114</v>
      </c>
      <c r="B118" s="41" t="n">
        <v>1114</v>
      </c>
      <c r="C118" s="42" t="inlineStr">
        <is>
          <t>0402116014</t>
        </is>
      </c>
      <c r="D118" s="42" t="inlineStr">
        <is>
          <t>Region IV-A (CALABARZON)</t>
        </is>
      </c>
      <c r="E118" s="42" t="inlineStr">
        <is>
          <t>Cavite</t>
        </is>
      </c>
      <c r="F118" s="42" t="inlineStr">
        <is>
          <t>Noveleta</t>
        </is>
      </c>
      <c r="G118" s="42" t="inlineStr">
        <is>
          <t>San Rafael III</t>
        </is>
      </c>
      <c r="H118" s="43" t="n">
        <v>14.434743</v>
      </c>
      <c r="I118" s="43" t="n">
        <v>120.878171</v>
      </c>
      <c r="J118" s="44" t="inlineStr">
        <is>
          <t>U</t>
        </is>
      </c>
      <c r="K118" s="42" t="inlineStr">
        <is>
          <t>Class 1-3 / Urban</t>
        </is>
      </c>
      <c r="L118" s="23" t="n">
        <v>6165</v>
      </c>
      <c r="M118" s="24" t="n">
        <v>4.49</v>
      </c>
      <c r="N118" s="23">
        <f>ROUND(L118/M118, 0)</f>
        <v/>
      </c>
      <c r="O118" s="23">
        <f>ROUND(N118*'Methodology &amp; Assumptions'!$B$8, 0)</f>
        <v/>
      </c>
      <c r="P118" s="44" t="inlineStr">
        <is>
          <t>Band n50 (1.5 GHz, 60 MHz)</t>
        </is>
      </c>
      <c r="Q118" s="38">
        <f>ROUNDUP(O118/'Methodology &amp; Assumptions'!$B$9, 0)</f>
        <v/>
      </c>
      <c r="R118" s="39" t="n">
        <v>1</v>
      </c>
      <c r="S118" s="25" t="n">
        <v>0.78</v>
      </c>
      <c r="T118" s="25" t="n">
        <v>0.75</v>
      </c>
      <c r="U118" s="42" t="inlineStr">
        <is>
          <t>Tier 1A (Direct Coloc, &lt;1 km)</t>
        </is>
      </c>
      <c r="V118" s="24" t="n">
        <v>87.09999999999999</v>
      </c>
      <c r="W118" s="24" t="n">
        <v>100</v>
      </c>
      <c r="X118" s="24" t="n">
        <v>28</v>
      </c>
      <c r="Y118" s="45">
        <f>ROUND((V118*'Methodology &amp; Assumptions'!$B$6)+(W118*'Methodology &amp; Assumptions'!$B$5)+(X118*'Methodology &amp; Assumptions'!$B$7), 2)</f>
        <v/>
      </c>
    </row>
    <row r="119" ht="19" customHeight="1">
      <c r="A119" s="35" t="n">
        <v>115</v>
      </c>
      <c r="B119" s="35" t="n">
        <v>1115</v>
      </c>
      <c r="C119" s="36" t="inlineStr">
        <is>
          <t>0205703003</t>
        </is>
      </c>
      <c r="D119" s="36" t="inlineStr">
        <is>
          <t>Region II (Cagayan Valley)</t>
        </is>
      </c>
      <c r="E119" s="36" t="inlineStr">
        <is>
          <t>Quirino</t>
        </is>
      </c>
      <c r="F119" s="36" t="inlineStr">
        <is>
          <t>Diffun</t>
        </is>
      </c>
      <c r="G119" s="36" t="inlineStr">
        <is>
          <t>Aurora West</t>
        </is>
      </c>
      <c r="H119" s="37" t="n">
        <v>16.58777</v>
      </c>
      <c r="I119" s="37" t="n">
        <v>121.494174</v>
      </c>
      <c r="J119" s="8" t="inlineStr">
        <is>
          <t>R</t>
        </is>
      </c>
      <c r="K119" s="36" t="inlineStr">
        <is>
          <t>Class 1-3 / Urban</t>
        </is>
      </c>
      <c r="L119" s="18" t="n">
        <v>2908</v>
      </c>
      <c r="M119" s="20" t="n">
        <v>4.03</v>
      </c>
      <c r="N119" s="18">
        <f>ROUND(L119/M119, 0)</f>
        <v/>
      </c>
      <c r="O119" s="18">
        <f>ROUND(N119*'Methodology &amp; Assumptions'!$B$8, 0)</f>
        <v/>
      </c>
      <c r="P119" s="8" t="inlineStr">
        <is>
          <t>Band n50 (1.5 GHz, 60 MHz)</t>
        </is>
      </c>
      <c r="Q119" s="38">
        <f>ROUNDUP(O119/'Methodology &amp; Assumptions'!$B$9, 0)</f>
        <v/>
      </c>
      <c r="R119" s="39" t="n">
        <v>1</v>
      </c>
      <c r="S119" s="21" t="n">
        <v>0.6899999999999999</v>
      </c>
      <c r="T119" s="21" t="n">
        <v>7.95</v>
      </c>
      <c r="U119" s="36" t="inlineStr">
        <is>
          <t>Tier 1A (Direct Coloc, &lt;1 km)</t>
        </is>
      </c>
      <c r="V119" s="20" t="n">
        <v>79.5</v>
      </c>
      <c r="W119" s="20" t="n">
        <v>81.90000000000001</v>
      </c>
      <c r="X119" s="20" t="n">
        <v>58</v>
      </c>
      <c r="Y119" s="40">
        <f>ROUND((V119*'Methodology &amp; Assumptions'!$B$6)+(W119*'Methodology &amp; Assumptions'!$B$5)+(X119*'Methodology &amp; Assumptions'!$B$7), 2)</f>
        <v/>
      </c>
    </row>
    <row r="120" ht="19" customHeight="1">
      <c r="A120" s="41" t="n">
        <v>116</v>
      </c>
      <c r="B120" s="41" t="n">
        <v>1116</v>
      </c>
      <c r="C120" s="42" t="inlineStr">
        <is>
          <t>0405801012</t>
        </is>
      </c>
      <c r="D120" s="42" t="inlineStr">
        <is>
          <t>Region IV-A (CALABARZON)</t>
        </is>
      </c>
      <c r="E120" s="42" t="inlineStr">
        <is>
          <t>Rizal</t>
        </is>
      </c>
      <c r="F120" s="42" t="inlineStr">
        <is>
          <t>Angono</t>
        </is>
      </c>
      <c r="G120" s="42" t="inlineStr">
        <is>
          <t>San Vicente</t>
        </is>
      </c>
      <c r="H120" s="43" t="n">
        <v>14.523772</v>
      </c>
      <c r="I120" s="43" t="n">
        <v>121.14854</v>
      </c>
      <c r="J120" s="44" t="inlineStr">
        <is>
          <t>U</t>
        </is>
      </c>
      <c r="K120" s="42" t="inlineStr">
        <is>
          <t>Class 1-3 / Urban</t>
        </is>
      </c>
      <c r="L120" s="23" t="n">
        <v>14255</v>
      </c>
      <c r="M120" s="24" t="n">
        <v>4.39</v>
      </c>
      <c r="N120" s="23">
        <f>ROUND(L120/M120, 0)</f>
        <v/>
      </c>
      <c r="O120" s="23">
        <f>ROUND(N120*'Methodology &amp; Assumptions'!$B$8, 0)</f>
        <v/>
      </c>
      <c r="P120" s="44" t="inlineStr">
        <is>
          <t>Band n50 (1.5 GHz, 60 MHz)</t>
        </is>
      </c>
      <c r="Q120" s="38">
        <f>ROUNDUP(O120/'Methodology &amp; Assumptions'!$B$9, 0)</f>
        <v/>
      </c>
      <c r="R120" s="39" t="n">
        <v>1</v>
      </c>
      <c r="S120" s="25" t="n">
        <v>0.78</v>
      </c>
      <c r="T120" s="25" t="n">
        <v>0.48</v>
      </c>
      <c r="U120" s="42" t="inlineStr">
        <is>
          <t>Tier 1A (Direct Coloc, &lt;1 km)</t>
        </is>
      </c>
      <c r="V120" s="24" t="n">
        <v>87.09999999999999</v>
      </c>
      <c r="W120" s="24" t="n">
        <v>100</v>
      </c>
      <c r="X120" s="24" t="n">
        <v>28</v>
      </c>
      <c r="Y120" s="45">
        <f>ROUND((V120*'Methodology &amp; Assumptions'!$B$6)+(W120*'Methodology &amp; Assumptions'!$B$5)+(X120*'Methodology &amp; Assumptions'!$B$7), 2)</f>
        <v/>
      </c>
    </row>
    <row r="121" ht="19" customHeight="1">
      <c r="A121" s="35" t="n">
        <v>117</v>
      </c>
      <c r="B121" s="35" t="n">
        <v>1117</v>
      </c>
      <c r="C121" s="36" t="inlineStr">
        <is>
          <t>1430300099</t>
        </is>
      </c>
      <c r="D121" s="36" t="inlineStr">
        <is>
          <t>Cordillera Administrative Region (CAR)</t>
        </is>
      </c>
      <c r="E121" s="36" t="inlineStr">
        <is>
          <t>Benguet</t>
        </is>
      </c>
      <c r="F121" s="36" t="inlineStr">
        <is>
          <t>City of Baguio</t>
        </is>
      </c>
      <c r="G121" s="36" t="inlineStr">
        <is>
          <t>San Vicente</t>
        </is>
      </c>
      <c r="H121" s="37" t="n">
        <v>16.39506</v>
      </c>
      <c r="I121" s="37" t="n">
        <v>120.59745</v>
      </c>
      <c r="J121" s="8" t="inlineStr">
        <is>
          <t>U</t>
        </is>
      </c>
      <c r="K121" s="36" t="inlineStr">
        <is>
          <t>Class 1-3 / Urban</t>
        </is>
      </c>
      <c r="L121" s="18" t="n">
        <v>5316</v>
      </c>
      <c r="M121" s="20" t="n">
        <v>4.58</v>
      </c>
      <c r="N121" s="18">
        <f>ROUND(L121/M121, 0)</f>
        <v/>
      </c>
      <c r="O121" s="18">
        <f>ROUND(N121*'Methodology &amp; Assumptions'!$B$8, 0)</f>
        <v/>
      </c>
      <c r="P121" s="8" t="inlineStr">
        <is>
          <t>Band n50 (1.5 GHz, 60 MHz)</t>
        </is>
      </c>
      <c r="Q121" s="38">
        <f>ROUNDUP(O121/'Methodology &amp; Assumptions'!$B$9, 0)</f>
        <v/>
      </c>
      <c r="R121" s="39" t="n">
        <v>1</v>
      </c>
      <c r="S121" s="21" t="n">
        <v>0.78</v>
      </c>
      <c r="T121" s="21" t="n">
        <v>0.74</v>
      </c>
      <c r="U121" s="36" t="inlineStr">
        <is>
          <t>Tier 1A (Direct Coloc, &lt;1 km)</t>
        </is>
      </c>
      <c r="V121" s="20" t="n">
        <v>87.09999999999999</v>
      </c>
      <c r="W121" s="20" t="n">
        <v>100</v>
      </c>
      <c r="X121" s="20" t="n">
        <v>28</v>
      </c>
      <c r="Y121" s="40">
        <f>ROUND((V121*'Methodology &amp; Assumptions'!$B$6)+(W121*'Methodology &amp; Assumptions'!$B$5)+(X121*'Methodology &amp; Assumptions'!$B$7), 2)</f>
        <v/>
      </c>
    </row>
    <row r="122" ht="19" customHeight="1">
      <c r="A122" s="41" t="n">
        <v>118</v>
      </c>
      <c r="B122" s="41" t="n">
        <v>1118</v>
      </c>
      <c r="C122" s="42" t="inlineStr">
        <is>
          <t>0301408006</t>
        </is>
      </c>
      <c r="D122" s="42" t="inlineStr">
        <is>
          <t>Region III (Central Luzon)</t>
        </is>
      </c>
      <c r="E122" s="42" t="inlineStr">
        <is>
          <t>Bulacan</t>
        </is>
      </c>
      <c r="F122" s="42" t="inlineStr">
        <is>
          <t>Guiguinto</t>
        </is>
      </c>
      <c r="G122" s="42" t="inlineStr">
        <is>
          <t>Poblacion</t>
        </is>
      </c>
      <c r="H122" s="43" t="n">
        <v>14.827453</v>
      </c>
      <c r="I122" s="43" t="n">
        <v>120.877012</v>
      </c>
      <c r="J122" s="44" t="inlineStr">
        <is>
          <t>U</t>
        </is>
      </c>
      <c r="K122" s="42" t="inlineStr">
        <is>
          <t>Class 1-3 / Urban</t>
        </is>
      </c>
      <c r="L122" s="23" t="n">
        <v>3468</v>
      </c>
      <c r="M122" s="24" t="n">
        <v>4.1</v>
      </c>
      <c r="N122" s="23">
        <f>ROUND(L122/M122, 0)</f>
        <v/>
      </c>
      <c r="O122" s="23">
        <f>ROUND(N122*'Methodology &amp; Assumptions'!$B$8, 0)</f>
        <v/>
      </c>
      <c r="P122" s="44" t="inlineStr">
        <is>
          <t>Band n50 (1.5 GHz, 60 MHz)</t>
        </is>
      </c>
      <c r="Q122" s="38">
        <f>ROUNDUP(O122/'Methodology &amp; Assumptions'!$B$9, 0)</f>
        <v/>
      </c>
      <c r="R122" s="39" t="n">
        <v>1</v>
      </c>
      <c r="S122" s="25" t="n">
        <v>0.47</v>
      </c>
      <c r="T122" s="25" t="n">
        <v>0.11</v>
      </c>
      <c r="U122" s="42" t="inlineStr">
        <is>
          <t>Tier 1A (Direct Coloc, &lt;1 km)</t>
        </is>
      </c>
      <c r="V122" s="24" t="n">
        <v>95.40000000000001</v>
      </c>
      <c r="W122" s="24" t="n">
        <v>91.7</v>
      </c>
      <c r="X122" s="24" t="n">
        <v>28</v>
      </c>
      <c r="Y122" s="45">
        <f>ROUND((V122*'Methodology &amp; Assumptions'!$B$6)+(W122*'Methodology &amp; Assumptions'!$B$5)+(X122*'Methodology &amp; Assumptions'!$B$7), 2)</f>
        <v/>
      </c>
    </row>
    <row r="123" ht="19" customHeight="1">
      <c r="A123" s="35" t="n">
        <v>119</v>
      </c>
      <c r="B123" s="35" t="n">
        <v>1119</v>
      </c>
      <c r="C123" s="36" t="inlineStr">
        <is>
          <t>0405808001</t>
        </is>
      </c>
      <c r="D123" s="36" t="inlineStr">
        <is>
          <t>Region IV-A (CALABARZON)</t>
        </is>
      </c>
      <c r="E123" s="36" t="inlineStr">
        <is>
          <t>Rizal</t>
        </is>
      </c>
      <c r="F123" s="36" t="inlineStr">
        <is>
          <t>Rodriguez</t>
        </is>
      </c>
      <c r="G123" s="36" t="inlineStr">
        <is>
          <t>Balite</t>
        </is>
      </c>
      <c r="H123" s="37" t="n">
        <v>14.73582</v>
      </c>
      <c r="I123" s="37" t="n">
        <v>121.14599</v>
      </c>
      <c r="J123" s="8" t="inlineStr">
        <is>
          <t>U</t>
        </is>
      </c>
      <c r="K123" s="36" t="inlineStr">
        <is>
          <t>Class 1-3 / Urban</t>
        </is>
      </c>
      <c r="L123" s="18" t="n">
        <v>8533</v>
      </c>
      <c r="M123" s="20" t="n">
        <v>4.39</v>
      </c>
      <c r="N123" s="18">
        <f>ROUND(L123/M123, 0)</f>
        <v/>
      </c>
      <c r="O123" s="18">
        <f>ROUND(N123*'Methodology &amp; Assumptions'!$B$8, 0)</f>
        <v/>
      </c>
      <c r="P123" s="8" t="inlineStr">
        <is>
          <t>Band n50 (1.5 GHz, 60 MHz)</t>
        </is>
      </c>
      <c r="Q123" s="38">
        <f>ROUNDUP(O123/'Methodology &amp; Assumptions'!$B$9, 0)</f>
        <v/>
      </c>
      <c r="R123" s="39" t="n">
        <v>1</v>
      </c>
      <c r="S123" s="21" t="n">
        <v>0.78</v>
      </c>
      <c r="T123" s="21" t="n">
        <v>0.75</v>
      </c>
      <c r="U123" s="36" t="inlineStr">
        <is>
          <t>Tier 1A (Direct Coloc, &lt;1 km)</t>
        </is>
      </c>
      <c r="V123" s="20" t="n">
        <v>87</v>
      </c>
      <c r="W123" s="20" t="n">
        <v>100</v>
      </c>
      <c r="X123" s="20" t="n">
        <v>28</v>
      </c>
      <c r="Y123" s="40">
        <f>ROUND((V123*'Methodology &amp; Assumptions'!$B$6)+(W123*'Methodology &amp; Assumptions'!$B$5)+(X123*'Methodology &amp; Assumptions'!$B$7), 2)</f>
        <v/>
      </c>
    </row>
    <row r="124" ht="19" customHeight="1">
      <c r="A124" s="41" t="n">
        <v>120</v>
      </c>
      <c r="B124" s="41" t="n">
        <v>1120</v>
      </c>
      <c r="C124" s="42" t="inlineStr">
        <is>
          <t>0701219011</t>
        </is>
      </c>
      <c r="D124" s="42" t="inlineStr">
        <is>
          <t>Region VII (Central Visayas)</t>
        </is>
      </c>
      <c r="E124" s="42" t="inlineStr">
        <is>
          <t>Bohol</t>
        </is>
      </c>
      <c r="F124" s="42" t="inlineStr">
        <is>
          <t>Dauis</t>
        </is>
      </c>
      <c r="G124" s="42" t="inlineStr">
        <is>
          <t>Totolan</t>
        </is>
      </c>
      <c r="H124" s="43" t="n">
        <v>9.633533999999999</v>
      </c>
      <c r="I124" s="43" t="n">
        <v>123.850604</v>
      </c>
      <c r="J124" s="44" t="inlineStr">
        <is>
          <t>U</t>
        </is>
      </c>
      <c r="K124" s="42" t="inlineStr">
        <is>
          <t>1st</t>
        </is>
      </c>
      <c r="L124" s="23" t="n">
        <v>7911</v>
      </c>
      <c r="M124" s="24" t="n">
        <v>4.6</v>
      </c>
      <c r="N124" s="23">
        <f>ROUND(L124/M124, 0)</f>
        <v/>
      </c>
      <c r="O124" s="23">
        <f>ROUND(N124*'Methodology &amp; Assumptions'!$B$8, 0)</f>
        <v/>
      </c>
      <c r="P124" s="44" t="inlineStr">
        <is>
          <t>Band n50 (1.5 GHz, 60 MHz)</t>
        </is>
      </c>
      <c r="Q124" s="38">
        <f>ROUNDUP(O124/'Methodology &amp; Assumptions'!$B$9, 0)</f>
        <v/>
      </c>
      <c r="R124" s="39" t="n">
        <v>1</v>
      </c>
      <c r="S124" s="25" t="n">
        <v>1.33</v>
      </c>
      <c r="T124" s="25" t="n">
        <v>1.06</v>
      </c>
      <c r="U124" s="42" t="inlineStr">
        <is>
          <t>Tier 1B (Micro Drop, 1-3 km)</t>
        </is>
      </c>
      <c r="V124" s="24" t="n">
        <v>74.2</v>
      </c>
      <c r="W124" s="24" t="n">
        <v>100</v>
      </c>
      <c r="X124" s="24" t="n">
        <v>43</v>
      </c>
      <c r="Y124" s="45">
        <f>ROUND((V124*'Methodology &amp; Assumptions'!$B$6)+(W124*'Methodology &amp; Assumptions'!$B$5)+(X124*'Methodology &amp; Assumptions'!$B$7), 2)</f>
        <v/>
      </c>
    </row>
    <row r="125" ht="19" customHeight="1">
      <c r="A125" s="35" t="n">
        <v>121</v>
      </c>
      <c r="B125" s="35" t="n">
        <v>1121</v>
      </c>
      <c r="C125" s="36" t="inlineStr">
        <is>
          <t>0401012038</t>
        </is>
      </c>
      <c r="D125" s="36" t="inlineStr">
        <is>
          <t>Region IV-A (CALABARZON)</t>
        </is>
      </c>
      <c r="E125" s="36" t="inlineStr">
        <is>
          <t>Batangas</t>
        </is>
      </c>
      <c r="F125" s="36" t="inlineStr">
        <is>
          <t>Lemery</t>
        </is>
      </c>
      <c r="G125" s="36" t="inlineStr">
        <is>
          <t>Sambal Ilaya</t>
        </is>
      </c>
      <c r="H125" s="37" t="n">
        <v>13.887826</v>
      </c>
      <c r="I125" s="37" t="n">
        <v>120.905152</v>
      </c>
      <c r="J125" s="8" t="inlineStr">
        <is>
          <t>R</t>
        </is>
      </c>
      <c r="K125" s="36" t="inlineStr">
        <is>
          <t>Class 1-3 / Urban</t>
        </is>
      </c>
      <c r="L125" s="18" t="n">
        <v>4241</v>
      </c>
      <c r="M125" s="20" t="n">
        <v>4.62</v>
      </c>
      <c r="N125" s="18">
        <f>ROUND(L125/M125, 0)</f>
        <v/>
      </c>
      <c r="O125" s="18">
        <f>ROUND(N125*'Methodology &amp; Assumptions'!$B$8, 0)</f>
        <v/>
      </c>
      <c r="P125" s="8" t="inlineStr">
        <is>
          <t>Band n50 (1.5 GHz, 60 MHz)</t>
        </is>
      </c>
      <c r="Q125" s="38">
        <f>ROUNDUP(O125/'Methodology &amp; Assumptions'!$B$9, 0)</f>
        <v/>
      </c>
      <c r="R125" s="39" t="n">
        <v>1</v>
      </c>
      <c r="S125" s="21" t="n">
        <v>1.85</v>
      </c>
      <c r="T125" s="21" t="n">
        <v>0.89</v>
      </c>
      <c r="U125" s="36" t="inlineStr">
        <is>
          <t>Tier 1B (Micro Drop, 1-3 km)</t>
        </is>
      </c>
      <c r="V125" s="20" t="n">
        <v>63.9</v>
      </c>
      <c r="W125" s="20" t="n">
        <v>97.3</v>
      </c>
      <c r="X125" s="20" t="n">
        <v>58</v>
      </c>
      <c r="Y125" s="40">
        <f>ROUND((V125*'Methodology &amp; Assumptions'!$B$6)+(W125*'Methodology &amp; Assumptions'!$B$5)+(X125*'Methodology &amp; Assumptions'!$B$7), 2)</f>
        <v/>
      </c>
    </row>
    <row r="126" ht="19" customHeight="1">
      <c r="A126" s="41" t="n">
        <v>122</v>
      </c>
      <c r="B126" s="41" t="n">
        <v>1122</v>
      </c>
      <c r="C126" s="42" t="inlineStr">
        <is>
          <t>0306903027</t>
        </is>
      </c>
      <c r="D126" s="42" t="inlineStr">
        <is>
          <t>Region III (Central Luzon)</t>
        </is>
      </c>
      <c r="E126" s="42" t="inlineStr">
        <is>
          <t>Tarlac</t>
        </is>
      </c>
      <c r="F126" s="42" t="inlineStr">
        <is>
          <t>Camiling</t>
        </is>
      </c>
      <c r="G126" s="42" t="inlineStr">
        <is>
          <t>Malacampa</t>
        </is>
      </c>
      <c r="H126" s="43" t="n">
        <v>15.64953</v>
      </c>
      <c r="I126" s="43" t="n">
        <v>120.408694</v>
      </c>
      <c r="J126" s="44" t="inlineStr">
        <is>
          <t>U</t>
        </is>
      </c>
      <c r="K126" s="42" t="inlineStr">
        <is>
          <t>Class 1-3 / Urban</t>
        </is>
      </c>
      <c r="L126" s="23" t="n">
        <v>5902</v>
      </c>
      <c r="M126" s="24" t="n">
        <v>4.3</v>
      </c>
      <c r="N126" s="23">
        <f>ROUND(L126/M126, 0)</f>
        <v/>
      </c>
      <c r="O126" s="23">
        <f>ROUND(N126*'Methodology &amp; Assumptions'!$B$8, 0)</f>
        <v/>
      </c>
      <c r="P126" s="44" t="inlineStr">
        <is>
          <t>Band n50 (1.5 GHz, 60 MHz)</t>
        </is>
      </c>
      <c r="Q126" s="38">
        <f>ROUNDUP(O126/'Methodology &amp; Assumptions'!$B$9, 0)</f>
        <v/>
      </c>
      <c r="R126" s="39" t="n">
        <v>1</v>
      </c>
      <c r="S126" s="25" t="n">
        <v>0.78</v>
      </c>
      <c r="T126" s="25" t="n">
        <v>0.18</v>
      </c>
      <c r="U126" s="42" t="inlineStr">
        <is>
          <t>Tier 1A (Direct Coloc, &lt;1 km)</t>
        </is>
      </c>
      <c r="V126" s="24" t="n">
        <v>87</v>
      </c>
      <c r="W126" s="24" t="n">
        <v>100</v>
      </c>
      <c r="X126" s="24" t="n">
        <v>28</v>
      </c>
      <c r="Y126" s="45">
        <f>ROUND((V126*'Methodology &amp; Assumptions'!$B$6)+(W126*'Methodology &amp; Assumptions'!$B$5)+(X126*'Methodology &amp; Assumptions'!$B$7), 2)</f>
        <v/>
      </c>
    </row>
    <row r="127" ht="19" customHeight="1">
      <c r="A127" s="35" t="n">
        <v>123</v>
      </c>
      <c r="B127" s="35" t="n">
        <v>1123</v>
      </c>
      <c r="C127" s="36" t="inlineStr">
        <is>
          <t>1630400009</t>
        </is>
      </c>
      <c r="D127" s="36" t="inlineStr">
        <is>
          <t>Region XIII (Caraga)</t>
        </is>
      </c>
      <c r="E127" s="36" t="inlineStr">
        <is>
          <t>Agusan del Norte</t>
        </is>
      </c>
      <c r="F127" s="36" t="inlineStr">
        <is>
          <t>City of Butuan</t>
        </is>
      </c>
      <c r="G127" s="36" t="inlineStr">
        <is>
          <t>Antongalon</t>
        </is>
      </c>
      <c r="H127" s="37" t="n">
        <v>8.949343000000001</v>
      </c>
      <c r="I127" s="37" t="n">
        <v>125.620895</v>
      </c>
      <c r="J127" s="8" t="inlineStr">
        <is>
          <t>R</t>
        </is>
      </c>
      <c r="K127" s="36" t="inlineStr">
        <is>
          <t>Class 1-3 / Urban</t>
        </is>
      </c>
      <c r="L127" s="18" t="n">
        <v>4159</v>
      </c>
      <c r="M127" s="20" t="n">
        <v>4.63</v>
      </c>
      <c r="N127" s="18">
        <f>ROUND(L127/M127, 0)</f>
        <v/>
      </c>
      <c r="O127" s="18">
        <f>ROUND(N127*'Methodology &amp; Assumptions'!$B$8, 0)</f>
        <v/>
      </c>
      <c r="P127" s="8" t="inlineStr">
        <is>
          <t>Band n50 (1.5 GHz, 60 MHz)</t>
        </is>
      </c>
      <c r="Q127" s="38">
        <f>ROUNDUP(O127/'Methodology &amp; Assumptions'!$B$9, 0)</f>
        <v/>
      </c>
      <c r="R127" s="39" t="n">
        <v>1</v>
      </c>
      <c r="S127" s="21" t="n">
        <v>2.56</v>
      </c>
      <c r="T127" s="21" t="n">
        <v>0.18</v>
      </c>
      <c r="U127" s="36" t="inlineStr">
        <is>
          <t>Tier 1B (Micro Drop, 1-3 km)</t>
        </is>
      </c>
      <c r="V127" s="20" t="n">
        <v>52.6</v>
      </c>
      <c r="W127" s="20" t="n">
        <v>95.7</v>
      </c>
      <c r="X127" s="20" t="n">
        <v>73</v>
      </c>
      <c r="Y127" s="40">
        <f>ROUND((V127*'Methodology &amp; Assumptions'!$B$6)+(W127*'Methodology &amp; Assumptions'!$B$5)+(X127*'Methodology &amp; Assumptions'!$B$7), 2)</f>
        <v/>
      </c>
    </row>
    <row r="128" ht="19" customHeight="1">
      <c r="A128" s="41" t="n">
        <v>124</v>
      </c>
      <c r="B128" s="41" t="n">
        <v>1124</v>
      </c>
      <c r="C128" s="42" t="inlineStr">
        <is>
          <t>0203131028</t>
        </is>
      </c>
      <c r="D128" s="42" t="inlineStr">
        <is>
          <t>Region II (Cagayan Valley)</t>
        </is>
      </c>
      <c r="E128" s="42" t="inlineStr">
        <is>
          <t>Isabela</t>
        </is>
      </c>
      <c r="F128" s="42" t="inlineStr">
        <is>
          <t>San Mariano</t>
        </is>
      </c>
      <c r="G128" s="42" t="inlineStr">
        <is>
          <t>Zone II</t>
        </is>
      </c>
      <c r="H128" s="43" t="n">
        <v>16.983063</v>
      </c>
      <c r="I128" s="43" t="n">
        <v>122.014128</v>
      </c>
      <c r="J128" s="44" t="inlineStr">
        <is>
          <t>R</t>
        </is>
      </c>
      <c r="K128" s="42" t="inlineStr">
        <is>
          <t>Class 1-3 / Urban</t>
        </is>
      </c>
      <c r="L128" s="23" t="n">
        <v>2463</v>
      </c>
      <c r="M128" s="24" t="n">
        <v>4.3</v>
      </c>
      <c r="N128" s="23">
        <f>ROUND(L128/M128, 0)</f>
        <v/>
      </c>
      <c r="O128" s="23">
        <f>ROUND(N128*'Methodology &amp; Assumptions'!$B$8, 0)</f>
        <v/>
      </c>
      <c r="P128" s="44" t="inlineStr">
        <is>
          <t>Band n50 (1.5 GHz, 60 MHz)</t>
        </is>
      </c>
      <c r="Q128" s="38">
        <f>ROUNDUP(O128/'Methodology &amp; Assumptions'!$B$9, 0)</f>
        <v/>
      </c>
      <c r="R128" s="39" t="n">
        <v>1</v>
      </c>
      <c r="S128" s="25" t="n">
        <v>0.27</v>
      </c>
      <c r="T128" s="25" t="n">
        <v>16.94</v>
      </c>
      <c r="U128" s="42" t="inlineStr">
        <is>
          <t>Tier 1A (Direct Coloc, &lt;1 km)</t>
        </is>
      </c>
      <c r="V128" s="24" t="n">
        <v>91.3</v>
      </c>
      <c r="W128" s="24" t="n">
        <v>69.90000000000001</v>
      </c>
      <c r="X128" s="24" t="n">
        <v>58</v>
      </c>
      <c r="Y128" s="45">
        <f>ROUND((V128*'Methodology &amp; Assumptions'!$B$6)+(W128*'Methodology &amp; Assumptions'!$B$5)+(X128*'Methodology &amp; Assumptions'!$B$7), 2)</f>
        <v/>
      </c>
    </row>
    <row r="129" ht="19" customHeight="1">
      <c r="A129" s="35" t="n">
        <v>125</v>
      </c>
      <c r="B129" s="35" t="n">
        <v>1125</v>
      </c>
      <c r="C129" s="36" t="inlineStr">
        <is>
          <t>0501701017</t>
        </is>
      </c>
      <c r="D129" s="36" t="inlineStr">
        <is>
          <t>Region V (Bicol Region)</t>
        </is>
      </c>
      <c r="E129" s="36" t="inlineStr">
        <is>
          <t>Camarines Sur</t>
        </is>
      </c>
      <c r="F129" s="36" t="inlineStr">
        <is>
          <t>Baao</t>
        </is>
      </c>
      <c r="G129" s="36" t="inlineStr">
        <is>
          <t>San Jose</t>
        </is>
      </c>
      <c r="H129" s="37" t="n">
        <v>13.453533</v>
      </c>
      <c r="I129" s="37" t="n">
        <v>123.362482</v>
      </c>
      <c r="J129" s="8" t="inlineStr">
        <is>
          <t>R</t>
        </is>
      </c>
      <c r="K129" s="36" t="inlineStr">
        <is>
          <t>Class 1-3 / Urban</t>
        </is>
      </c>
      <c r="L129" s="18" t="n">
        <v>2425</v>
      </c>
      <c r="M129" s="20" t="n">
        <v>4.9</v>
      </c>
      <c r="N129" s="18">
        <f>ROUND(L129/M129, 0)</f>
        <v/>
      </c>
      <c r="O129" s="18">
        <f>ROUND(N129*'Methodology &amp; Assumptions'!$B$8, 0)</f>
        <v/>
      </c>
      <c r="P129" s="8" t="inlineStr">
        <is>
          <t>Band n50 (1.5 GHz, 60 MHz)</t>
        </is>
      </c>
      <c r="Q129" s="38">
        <f>ROUNDUP(O129/'Methodology &amp; Assumptions'!$B$9, 0)</f>
        <v/>
      </c>
      <c r="R129" s="39" t="n">
        <v>1</v>
      </c>
      <c r="S129" s="21" t="n">
        <v>0.39</v>
      </c>
      <c r="T129" s="21" t="n">
        <v>0.4</v>
      </c>
      <c r="U129" s="36" t="inlineStr">
        <is>
          <t>Tier 1A (Direct Coloc, &lt;1 km)</t>
        </is>
      </c>
      <c r="V129" s="20" t="n">
        <v>97.7</v>
      </c>
      <c r="W129" s="20" t="n">
        <v>63.5</v>
      </c>
      <c r="X129" s="20" t="n">
        <v>58</v>
      </c>
      <c r="Y129" s="40">
        <f>ROUND((V129*'Methodology &amp; Assumptions'!$B$6)+(W129*'Methodology &amp; Assumptions'!$B$5)+(X129*'Methodology &amp; Assumptions'!$B$7), 2)</f>
        <v/>
      </c>
    </row>
    <row r="130" ht="19" customHeight="1">
      <c r="A130" s="41" t="n">
        <v>126</v>
      </c>
      <c r="B130" s="41" t="n">
        <v>1126</v>
      </c>
      <c r="C130" s="42" t="inlineStr">
        <is>
          <t>1001315014</t>
        </is>
      </c>
      <c r="D130" s="42" t="inlineStr">
        <is>
          <t>Region X (Northern Mindanao)</t>
        </is>
      </c>
      <c r="E130" s="42" t="inlineStr">
        <is>
          <t>Bukidnon</t>
        </is>
      </c>
      <c r="F130" s="42" t="inlineStr">
        <is>
          <t>Maramag</t>
        </is>
      </c>
      <c r="G130" s="42" t="inlineStr">
        <is>
          <t>North Poblacion</t>
        </is>
      </c>
      <c r="H130" s="43" t="n">
        <v>7.765514</v>
      </c>
      <c r="I130" s="43" t="n">
        <v>125.008053</v>
      </c>
      <c r="J130" s="44" t="inlineStr">
        <is>
          <t>U</t>
        </is>
      </c>
      <c r="K130" s="42" t="inlineStr">
        <is>
          <t>Class 1-3 / Urban</t>
        </is>
      </c>
      <c r="L130" s="23" t="n">
        <v>14357</v>
      </c>
      <c r="M130" s="24" t="n">
        <v>4.63</v>
      </c>
      <c r="N130" s="23">
        <f>ROUND(L130/M130, 0)</f>
        <v/>
      </c>
      <c r="O130" s="23">
        <f>ROUND(N130*'Methodology &amp; Assumptions'!$B$8, 0)</f>
        <v/>
      </c>
      <c r="P130" s="44" t="inlineStr">
        <is>
          <t>Band n50 (1.5 GHz, 60 MHz)</t>
        </is>
      </c>
      <c r="Q130" s="38">
        <f>ROUNDUP(O130/'Methodology &amp; Assumptions'!$B$9, 0)</f>
        <v/>
      </c>
      <c r="R130" s="39" t="n">
        <v>1</v>
      </c>
      <c r="S130" s="25" t="n">
        <v>0.79</v>
      </c>
      <c r="T130" s="25" t="n">
        <v>0.22</v>
      </c>
      <c r="U130" s="42" t="inlineStr">
        <is>
          <t>Tier 1A (Direct Coloc, &lt;1 km)</t>
        </is>
      </c>
      <c r="V130" s="24" t="n">
        <v>86.90000000000001</v>
      </c>
      <c r="W130" s="24" t="n">
        <v>100</v>
      </c>
      <c r="X130" s="24" t="n">
        <v>28</v>
      </c>
      <c r="Y130" s="45">
        <f>ROUND((V130*'Methodology &amp; Assumptions'!$B$6)+(W130*'Methodology &amp; Assumptions'!$B$5)+(X130*'Methodology &amp; Assumptions'!$B$7), 2)</f>
        <v/>
      </c>
    </row>
    <row r="131" ht="19" customHeight="1">
      <c r="A131" s="35" t="n">
        <v>127</v>
      </c>
      <c r="B131" s="35" t="n">
        <v>1127</v>
      </c>
      <c r="C131" s="36" t="inlineStr">
        <is>
          <t>0304904010</t>
        </is>
      </c>
      <c r="D131" s="36" t="inlineStr">
        <is>
          <t>Region III (Central Luzon)</t>
        </is>
      </c>
      <c r="E131" s="36" t="inlineStr">
        <is>
          <t>Nueva Ecija</t>
        </is>
      </c>
      <c r="F131" s="36" t="inlineStr">
        <is>
          <t>Cabiao</t>
        </is>
      </c>
      <c r="G131" s="36" t="inlineStr">
        <is>
          <t>Palasinan</t>
        </is>
      </c>
      <c r="H131" s="37" t="n">
        <v>15.253548</v>
      </c>
      <c r="I131" s="37" t="n">
        <v>120.856756</v>
      </c>
      <c r="J131" s="8" t="inlineStr">
        <is>
          <t>R</t>
        </is>
      </c>
      <c r="K131" s="36" t="inlineStr">
        <is>
          <t>Class 1-3 / Urban</t>
        </is>
      </c>
      <c r="L131" s="18" t="n">
        <v>3578</v>
      </c>
      <c r="M131" s="20" t="n">
        <v>4.32</v>
      </c>
      <c r="N131" s="18">
        <f>ROUND(L131/M131, 0)</f>
        <v/>
      </c>
      <c r="O131" s="18">
        <f>ROUND(N131*'Methodology &amp; Assumptions'!$B$8, 0)</f>
        <v/>
      </c>
      <c r="P131" s="8" t="inlineStr">
        <is>
          <t>Band n50 (1.5 GHz, 60 MHz)</t>
        </is>
      </c>
      <c r="Q131" s="38">
        <f>ROUNDUP(O131/'Methodology &amp; Assumptions'!$B$9, 0)</f>
        <v/>
      </c>
      <c r="R131" s="39" t="n">
        <v>1</v>
      </c>
      <c r="S131" s="21" t="n">
        <v>1.48</v>
      </c>
      <c r="T131" s="21" t="n">
        <v>0.39</v>
      </c>
      <c r="U131" s="36" t="inlineStr">
        <is>
          <t>Tier 1B (Micro Drop, 1-3 km)</t>
        </is>
      </c>
      <c r="V131" s="20" t="n">
        <v>71</v>
      </c>
      <c r="W131" s="20" t="n">
        <v>90.09999999999999</v>
      </c>
      <c r="X131" s="20" t="n">
        <v>58</v>
      </c>
      <c r="Y131" s="40">
        <f>ROUND((V131*'Methodology &amp; Assumptions'!$B$6)+(W131*'Methodology &amp; Assumptions'!$B$5)+(X131*'Methodology &amp; Assumptions'!$B$7), 2)</f>
        <v/>
      </c>
    </row>
    <row r="132" ht="19" customHeight="1">
      <c r="A132" s="41" t="n">
        <v>128</v>
      </c>
      <c r="B132" s="41" t="n">
        <v>1128</v>
      </c>
      <c r="C132" s="42" t="inlineStr">
        <is>
          <t>0806417032</t>
        </is>
      </c>
      <c r="D132" s="42" t="inlineStr">
        <is>
          <t>Region VIII (Eastern Visayas)</t>
        </is>
      </c>
      <c r="E132" s="42" t="inlineStr">
        <is>
          <t>Southern Leyte</t>
        </is>
      </c>
      <c r="F132" s="42" t="inlineStr">
        <is>
          <t>Sogod</t>
        </is>
      </c>
      <c r="G132" s="42" t="inlineStr">
        <is>
          <t>Rizal</t>
        </is>
      </c>
      <c r="H132" s="43" t="n">
        <v>10.391858</v>
      </c>
      <c r="I132" s="43" t="n">
        <v>124.982174</v>
      </c>
      <c r="J132" s="44" t="inlineStr">
        <is>
          <t>R</t>
        </is>
      </c>
      <c r="K132" s="42" t="inlineStr">
        <is>
          <t>Class 1-3 / Urban</t>
        </is>
      </c>
      <c r="L132" s="23" t="n">
        <v>1909</v>
      </c>
      <c r="M132" s="24" t="n">
        <v>4.53</v>
      </c>
      <c r="N132" s="23">
        <f>ROUND(L132/M132, 0)</f>
        <v/>
      </c>
      <c r="O132" s="23">
        <f>ROUND(N132*'Methodology &amp; Assumptions'!$B$8, 0)</f>
        <v/>
      </c>
      <c r="P132" s="44" t="inlineStr">
        <is>
          <t>Band n50 (1.5 GHz, 60 MHz)</t>
        </is>
      </c>
      <c r="Q132" s="38">
        <f>ROUNDUP(O132/'Methodology &amp; Assumptions'!$B$9, 0)</f>
        <v/>
      </c>
      <c r="R132" s="39" t="n">
        <v>1</v>
      </c>
      <c r="S132" s="25" t="n">
        <v>0.64</v>
      </c>
      <c r="T132" s="25" t="n">
        <v>0.3</v>
      </c>
      <c r="U132" s="42" t="inlineStr">
        <is>
          <t>Tier 1A (Direct Coloc, &lt;1 km)</t>
        </is>
      </c>
      <c r="V132" s="24" t="n">
        <v>90.7</v>
      </c>
      <c r="W132" s="24" t="n">
        <v>57.6</v>
      </c>
      <c r="X132" s="24" t="n">
        <v>73</v>
      </c>
      <c r="Y132" s="45">
        <f>ROUND((V132*'Methodology &amp; Assumptions'!$B$6)+(W132*'Methodology &amp; Assumptions'!$B$5)+(X132*'Methodology &amp; Assumptions'!$B$7), 2)</f>
        <v/>
      </c>
    </row>
    <row r="133" ht="19" customHeight="1">
      <c r="A133" s="35" t="n">
        <v>129</v>
      </c>
      <c r="B133" s="35" t="n">
        <v>1129</v>
      </c>
      <c r="C133" s="36" t="inlineStr">
        <is>
          <t>1001321001</t>
        </is>
      </c>
      <c r="D133" s="36" t="inlineStr">
        <is>
          <t>Region X (Northern Mindanao)</t>
        </is>
      </c>
      <c r="E133" s="36" t="inlineStr">
        <is>
          <t>Bukidnon</t>
        </is>
      </c>
      <c r="F133" s="36" t="inlineStr">
        <is>
          <t>City of Valencia</t>
        </is>
      </c>
      <c r="G133" s="36" t="inlineStr">
        <is>
          <t>Bagontaas</t>
        </is>
      </c>
      <c r="H133" s="37" t="n">
        <v>7.946509</v>
      </c>
      <c r="I133" s="37" t="n">
        <v>125.102979</v>
      </c>
      <c r="J133" s="8" t="inlineStr">
        <is>
          <t>U</t>
        </is>
      </c>
      <c r="K133" s="36" t="inlineStr">
        <is>
          <t>Class 1-3 / Urban</t>
        </is>
      </c>
      <c r="L133" s="18" t="n">
        <v>12772</v>
      </c>
      <c r="M133" s="20" t="n">
        <v>4.63</v>
      </c>
      <c r="N133" s="18">
        <f>ROUND(L133/M133, 0)</f>
        <v/>
      </c>
      <c r="O133" s="18">
        <f>ROUND(N133*'Methodology &amp; Assumptions'!$B$8, 0)</f>
        <v/>
      </c>
      <c r="P133" s="8" t="inlineStr">
        <is>
          <t>Band n50 (1.5 GHz, 60 MHz)</t>
        </is>
      </c>
      <c r="Q133" s="38">
        <f>ROUNDUP(O133/'Methodology &amp; Assumptions'!$B$9, 0)</f>
        <v/>
      </c>
      <c r="R133" s="39" t="n">
        <v>1</v>
      </c>
      <c r="S133" s="21" t="n">
        <v>0.79</v>
      </c>
      <c r="T133" s="21" t="n">
        <v>0.13</v>
      </c>
      <c r="U133" s="36" t="inlineStr">
        <is>
          <t>Tier 1A (Direct Coloc, &lt;1 km)</t>
        </is>
      </c>
      <c r="V133" s="20" t="n">
        <v>86.90000000000001</v>
      </c>
      <c r="W133" s="20" t="n">
        <v>100</v>
      </c>
      <c r="X133" s="20" t="n">
        <v>28</v>
      </c>
      <c r="Y133" s="40">
        <f>ROUND((V133*'Methodology &amp; Assumptions'!$B$6)+(W133*'Methodology &amp; Assumptions'!$B$5)+(X133*'Methodology &amp; Assumptions'!$B$7), 2)</f>
        <v/>
      </c>
    </row>
    <row r="134" ht="19" customHeight="1">
      <c r="A134" s="41" t="n">
        <v>130</v>
      </c>
      <c r="B134" s="41" t="n">
        <v>1130</v>
      </c>
      <c r="C134" s="42" t="inlineStr">
        <is>
          <t>0305416036</t>
        </is>
      </c>
      <c r="D134" s="42" t="inlineStr">
        <is>
          <t>Region III (Central Luzon)</t>
        </is>
      </c>
      <c r="E134" s="42" t="inlineStr">
        <is>
          <t>Pampanga</t>
        </is>
      </c>
      <c r="F134" s="42" t="inlineStr">
        <is>
          <t>City of San Fernando</t>
        </is>
      </c>
      <c r="G134" s="42" t="inlineStr">
        <is>
          <t>Sindalan</t>
        </is>
      </c>
      <c r="H134" s="43" t="n">
        <v>15.083133</v>
      </c>
      <c r="I134" s="43" t="n">
        <v>120.64379</v>
      </c>
      <c r="J134" s="44" t="inlineStr">
        <is>
          <t>U</t>
        </is>
      </c>
      <c r="K134" s="42" t="inlineStr">
        <is>
          <t>Class 1-3 / Urban</t>
        </is>
      </c>
      <c r="L134" s="23" t="n">
        <v>14997</v>
      </c>
      <c r="M134" s="24" t="n">
        <v>4.63</v>
      </c>
      <c r="N134" s="23">
        <f>ROUND(L134/M134, 0)</f>
        <v/>
      </c>
      <c r="O134" s="23">
        <f>ROUND(N134*'Methodology &amp; Assumptions'!$B$8, 0)</f>
        <v/>
      </c>
      <c r="P134" s="44" t="inlineStr">
        <is>
          <t>Band n50 (1.5 GHz, 60 MHz)</t>
        </is>
      </c>
      <c r="Q134" s="38">
        <f>ROUNDUP(O134/'Methodology &amp; Assumptions'!$B$9, 0)</f>
        <v/>
      </c>
      <c r="R134" s="39" t="n">
        <v>1</v>
      </c>
      <c r="S134" s="25" t="n">
        <v>0.79</v>
      </c>
      <c r="T134" s="25" t="n">
        <v>0.67</v>
      </c>
      <c r="U134" s="42" t="inlineStr">
        <is>
          <t>Tier 1A (Direct Coloc, &lt;1 km)</t>
        </is>
      </c>
      <c r="V134" s="24" t="n">
        <v>86.8</v>
      </c>
      <c r="W134" s="24" t="n">
        <v>100</v>
      </c>
      <c r="X134" s="24" t="n">
        <v>28</v>
      </c>
      <c r="Y134" s="45">
        <f>ROUND((V134*'Methodology &amp; Assumptions'!$B$6)+(W134*'Methodology &amp; Assumptions'!$B$5)+(X134*'Methodology &amp; Assumptions'!$B$7), 2)</f>
        <v/>
      </c>
    </row>
    <row r="135" ht="19" customHeight="1">
      <c r="A135" s="35" t="n">
        <v>131</v>
      </c>
      <c r="B135" s="35" t="n">
        <v>1131</v>
      </c>
      <c r="C135" s="36" t="inlineStr">
        <is>
          <t>1600212003</t>
        </is>
      </c>
      <c r="D135" s="36" t="inlineStr">
        <is>
          <t>Region XIII (Caraga)</t>
        </is>
      </c>
      <c r="E135" s="36" t="inlineStr">
        <is>
          <t>Agusan del Norte</t>
        </is>
      </c>
      <c r="F135" s="36" t="inlineStr">
        <is>
          <t>Remedios T. Romualdez</t>
        </is>
      </c>
      <c r="G135" s="36" t="inlineStr">
        <is>
          <t>Basilisa</t>
        </is>
      </c>
      <c r="H135" s="37" t="n">
        <v>9.063673</v>
      </c>
      <c r="I135" s="37" t="n">
        <v>125.583077</v>
      </c>
      <c r="J135" s="8" t="inlineStr">
        <is>
          <t>R</t>
        </is>
      </c>
      <c r="K135" s="36" t="inlineStr">
        <is>
          <t>4th</t>
        </is>
      </c>
      <c r="L135" s="18" t="n">
        <v>2311</v>
      </c>
      <c r="M135" s="20" t="n">
        <v>4.56</v>
      </c>
      <c r="N135" s="18">
        <f>ROUND(L135/M135, 0)</f>
        <v/>
      </c>
      <c r="O135" s="18">
        <f>ROUND(N135*'Methodology &amp; Assumptions'!$B$8, 0)</f>
        <v/>
      </c>
      <c r="P135" s="8" t="inlineStr">
        <is>
          <t>Band n50 (1.5 GHz, 60 MHz)</t>
        </is>
      </c>
      <c r="Q135" s="38">
        <f>ROUNDUP(O135/'Methodology &amp; Assumptions'!$B$9, 0)</f>
        <v/>
      </c>
      <c r="R135" s="39" t="n">
        <v>1</v>
      </c>
      <c r="S135" s="21" t="n">
        <v>1.31</v>
      </c>
      <c r="T135" s="21" t="n">
        <v>0.15</v>
      </c>
      <c r="U135" s="36" t="inlineStr">
        <is>
          <t>Tier 1B (Micro Drop, 1-3 km)</t>
        </is>
      </c>
      <c r="V135" s="20" t="n">
        <v>74.7</v>
      </c>
      <c r="W135" s="20" t="n">
        <v>64.5</v>
      </c>
      <c r="X135" s="20" t="n">
        <v>83.5</v>
      </c>
      <c r="Y135" s="40">
        <f>ROUND((V135*'Methodology &amp; Assumptions'!$B$6)+(W135*'Methodology &amp; Assumptions'!$B$5)+(X135*'Methodology &amp; Assumptions'!$B$7), 2)</f>
        <v/>
      </c>
    </row>
    <row r="136" ht="19" customHeight="1">
      <c r="A136" s="41" t="n">
        <v>132</v>
      </c>
      <c r="B136" s="41" t="n">
        <v>1132</v>
      </c>
      <c r="C136" s="42" t="inlineStr">
        <is>
          <t>0403425022</t>
        </is>
      </c>
      <c r="D136" s="42" t="inlineStr">
        <is>
          <t>Region IV-A (CALABARZON)</t>
        </is>
      </c>
      <c r="E136" s="42" t="inlineStr">
        <is>
          <t>Laguna</t>
        </is>
      </c>
      <c r="F136" s="42" t="inlineStr">
        <is>
          <t>City of San Pedro</t>
        </is>
      </c>
      <c r="G136" s="42" t="inlineStr">
        <is>
          <t>Narra</t>
        </is>
      </c>
      <c r="H136" s="43" t="n">
        <v>14.342174</v>
      </c>
      <c r="I136" s="43" t="n">
        <v>121.035748</v>
      </c>
      <c r="J136" s="44" t="inlineStr">
        <is>
          <t>R</t>
        </is>
      </c>
      <c r="K136" s="42" t="inlineStr">
        <is>
          <t>Class 1-3 / Urban</t>
        </is>
      </c>
      <c r="L136" s="23" t="n">
        <v>2297</v>
      </c>
      <c r="M136" s="24" t="n">
        <v>4.2</v>
      </c>
      <c r="N136" s="23">
        <f>ROUND(L136/M136, 0)</f>
        <v/>
      </c>
      <c r="O136" s="23">
        <f>ROUND(N136*'Methodology &amp; Assumptions'!$B$8, 0)</f>
        <v/>
      </c>
      <c r="P136" s="44" t="inlineStr">
        <is>
          <t>Band n50 (1.5 GHz, 60 MHz)</t>
        </is>
      </c>
      <c r="Q136" s="38">
        <f>ROUNDUP(O136/'Methodology &amp; Assumptions'!$B$9, 0)</f>
        <v/>
      </c>
      <c r="R136" s="39" t="n">
        <v>1</v>
      </c>
      <c r="S136" s="25" t="n">
        <v>0.55</v>
      </c>
      <c r="T136" s="25" t="n">
        <v>0.57</v>
      </c>
      <c r="U136" s="42" t="inlineStr">
        <is>
          <t>Tier 1A (Direct Coloc, &lt;1 km)</t>
        </is>
      </c>
      <c r="V136" s="24" t="n">
        <v>93.3</v>
      </c>
      <c r="W136" s="24" t="n">
        <v>67.7</v>
      </c>
      <c r="X136" s="24" t="n">
        <v>58</v>
      </c>
      <c r="Y136" s="45">
        <f>ROUND((V136*'Methodology &amp; Assumptions'!$B$6)+(W136*'Methodology &amp; Assumptions'!$B$5)+(X136*'Methodology &amp; Assumptions'!$B$7), 2)</f>
        <v/>
      </c>
    </row>
    <row r="137" ht="19" customHeight="1">
      <c r="A137" s="35" t="n">
        <v>133</v>
      </c>
      <c r="B137" s="35" t="n">
        <v>1133</v>
      </c>
      <c r="C137" s="36" t="inlineStr">
        <is>
          <t>1206511019</t>
        </is>
      </c>
      <c r="D137" s="36" t="inlineStr">
        <is>
          <t>Region XII (SOCCSKSARGEN)</t>
        </is>
      </c>
      <c r="E137" s="36" t="inlineStr">
        <is>
          <t>Sultan Kudarat</t>
        </is>
      </c>
      <c r="F137" s="36" t="inlineStr">
        <is>
          <t>City of Tacurong</t>
        </is>
      </c>
      <c r="G137" s="36" t="inlineStr">
        <is>
          <t>San Pablo</t>
        </is>
      </c>
      <c r="H137" s="37" t="n">
        <v>6.68678</v>
      </c>
      <c r="I137" s="37" t="n">
        <v>124.685327</v>
      </c>
      <c r="J137" s="8" t="inlineStr">
        <is>
          <t>U</t>
        </is>
      </c>
      <c r="K137" s="36" t="inlineStr">
        <is>
          <t>Class 1-3 / Urban</t>
        </is>
      </c>
      <c r="L137" s="18" t="n">
        <v>14733</v>
      </c>
      <c r="M137" s="20" t="n">
        <v>4.1</v>
      </c>
      <c r="N137" s="18">
        <f>ROUND(L137/M137, 0)</f>
        <v/>
      </c>
      <c r="O137" s="18">
        <f>ROUND(N137*'Methodology &amp; Assumptions'!$B$8, 0)</f>
        <v/>
      </c>
      <c r="P137" s="8" t="inlineStr">
        <is>
          <t>Band n50 (1.5 GHz, 60 MHz)</t>
        </is>
      </c>
      <c r="Q137" s="38">
        <f>ROUNDUP(O137/'Methodology &amp; Assumptions'!$B$9, 0)</f>
        <v/>
      </c>
      <c r="R137" s="39" t="n">
        <v>1</v>
      </c>
      <c r="S137" s="21" t="n">
        <v>1.34</v>
      </c>
      <c r="T137" s="21" t="n">
        <v>0.62</v>
      </c>
      <c r="U137" s="36" t="inlineStr">
        <is>
          <t>Tier 1B (Micro Drop, 1-3 km)</t>
        </is>
      </c>
      <c r="V137" s="20" t="n">
        <v>73.90000000000001</v>
      </c>
      <c r="W137" s="20" t="n">
        <v>100</v>
      </c>
      <c r="X137" s="20" t="n">
        <v>43</v>
      </c>
      <c r="Y137" s="40">
        <f>ROUND((V137*'Methodology &amp; Assumptions'!$B$6)+(W137*'Methodology &amp; Assumptions'!$B$5)+(X137*'Methodology &amp; Assumptions'!$B$7), 2)</f>
        <v/>
      </c>
    </row>
    <row r="138" ht="19" customHeight="1">
      <c r="A138" s="41" t="n">
        <v>134</v>
      </c>
      <c r="B138" s="41" t="n">
        <v>1134</v>
      </c>
      <c r="C138" s="42" t="inlineStr">
        <is>
          <t>0704623008</t>
        </is>
      </c>
      <c r="D138" s="42" t="inlineStr">
        <is>
          <t>Region VII (Central Visayas)</t>
        </is>
      </c>
      <c r="E138" s="42" t="inlineStr">
        <is>
          <t>Negros Oriental</t>
        </is>
      </c>
      <c r="F138" s="42" t="inlineStr">
        <is>
          <t>Valencia</t>
        </is>
      </c>
      <c r="G138" s="42" t="inlineStr">
        <is>
          <t>Bong-ao</t>
        </is>
      </c>
      <c r="H138" s="43" t="n">
        <v>9.282071</v>
      </c>
      <c r="I138" s="43" t="n">
        <v>123.250896</v>
      </c>
      <c r="J138" s="44" t="inlineStr">
        <is>
          <t>R</t>
        </is>
      </c>
      <c r="K138" s="42" t="inlineStr">
        <is>
          <t>Class 1-3 / Urban</t>
        </is>
      </c>
      <c r="L138" s="23" t="n">
        <v>3228</v>
      </c>
      <c r="M138" s="24" t="n">
        <v>4.33</v>
      </c>
      <c r="N138" s="23">
        <f>ROUND(L138/M138, 0)</f>
        <v/>
      </c>
      <c r="O138" s="23">
        <f>ROUND(N138*'Methodology &amp; Assumptions'!$B$8, 0)</f>
        <v/>
      </c>
      <c r="P138" s="44" t="inlineStr">
        <is>
          <t>Band n50 (1.5 GHz, 60 MHz)</t>
        </is>
      </c>
      <c r="Q138" s="38">
        <f>ROUNDUP(O138/'Methodology &amp; Assumptions'!$B$9, 0)</f>
        <v/>
      </c>
      <c r="R138" s="39" t="n">
        <v>1</v>
      </c>
      <c r="S138" s="25" t="n">
        <v>0.77</v>
      </c>
      <c r="T138" s="25" t="n">
        <v>4.65</v>
      </c>
      <c r="U138" s="42" t="inlineStr">
        <is>
          <t>Tier 1A (Direct Coloc, &lt;1 km)</t>
        </is>
      </c>
      <c r="V138" s="24" t="n">
        <v>77.3</v>
      </c>
      <c r="W138" s="24" t="n">
        <v>83.7</v>
      </c>
      <c r="X138" s="24" t="n">
        <v>58</v>
      </c>
      <c r="Y138" s="45">
        <f>ROUND((V138*'Methodology &amp; Assumptions'!$B$6)+(W138*'Methodology &amp; Assumptions'!$B$5)+(X138*'Methodology &amp; Assumptions'!$B$7), 2)</f>
        <v/>
      </c>
    </row>
    <row r="139" ht="19" customHeight="1">
      <c r="A139" s="35" t="n">
        <v>135</v>
      </c>
      <c r="B139" s="35" t="n">
        <v>1135</v>
      </c>
      <c r="C139" s="36" t="inlineStr">
        <is>
          <t>0702210040</t>
        </is>
      </c>
      <c r="D139" s="36" t="inlineStr">
        <is>
          <t>Region VII (Central Visayas)</t>
        </is>
      </c>
      <c r="E139" s="36" t="inlineStr">
        <is>
          <t>Cebu</t>
        </is>
      </c>
      <c r="F139" s="36" t="inlineStr">
        <is>
          <t>Barili</t>
        </is>
      </c>
      <c r="G139" s="36" t="inlineStr">
        <is>
          <t>Santa Ana</t>
        </is>
      </c>
      <c r="H139" s="37" t="n">
        <v>10.117049</v>
      </c>
      <c r="I139" s="37" t="n">
        <v>123.512957</v>
      </c>
      <c r="J139" s="8" t="inlineStr">
        <is>
          <t>R</t>
        </is>
      </c>
      <c r="K139" s="36" t="inlineStr">
        <is>
          <t>Class 1-3 / Urban</t>
        </is>
      </c>
      <c r="L139" s="18" t="n">
        <v>2405</v>
      </c>
      <c r="M139" s="20" t="n">
        <v>4.42</v>
      </c>
      <c r="N139" s="18">
        <f>ROUND(L139/M139, 0)</f>
        <v/>
      </c>
      <c r="O139" s="18">
        <f>ROUND(N139*'Methodology &amp; Assumptions'!$B$8, 0)</f>
        <v/>
      </c>
      <c r="P139" s="8" t="inlineStr">
        <is>
          <t>Band n50 (1.5 GHz, 60 MHz)</t>
        </is>
      </c>
      <c r="Q139" s="38">
        <f>ROUNDUP(O139/'Methodology &amp; Assumptions'!$B$9, 0)</f>
        <v/>
      </c>
      <c r="R139" s="39" t="n">
        <v>1</v>
      </c>
      <c r="S139" s="21" t="n">
        <v>0.54</v>
      </c>
      <c r="T139" s="21" t="n">
        <v>0.08</v>
      </c>
      <c r="U139" s="36" t="inlineStr">
        <is>
          <t>Tier 1A (Direct Coloc, &lt;1 km)</t>
        </is>
      </c>
      <c r="V139" s="20" t="n">
        <v>93.59999999999999</v>
      </c>
      <c r="W139" s="20" t="n">
        <v>67.5</v>
      </c>
      <c r="X139" s="20" t="n">
        <v>58</v>
      </c>
      <c r="Y139" s="40">
        <f>ROUND((V139*'Methodology &amp; Assumptions'!$B$6)+(W139*'Methodology &amp; Assumptions'!$B$5)+(X139*'Methodology &amp; Assumptions'!$B$7), 2)</f>
        <v/>
      </c>
    </row>
    <row r="140" ht="19" customHeight="1">
      <c r="A140" s="41" t="n">
        <v>136</v>
      </c>
      <c r="B140" s="41" t="n">
        <v>1136</v>
      </c>
      <c r="C140" s="42" t="inlineStr">
        <is>
          <t>0401010001</t>
        </is>
      </c>
      <c r="D140" s="42" t="inlineStr">
        <is>
          <t>Region IV-A (CALABARZON)</t>
        </is>
      </c>
      <c r="E140" s="42" t="inlineStr">
        <is>
          <t>Batangas</t>
        </is>
      </c>
      <c r="F140" s="42" t="inlineStr">
        <is>
          <t>Ibaan</t>
        </is>
      </c>
      <c r="G140" s="42" t="inlineStr">
        <is>
          <t>Bago</t>
        </is>
      </c>
      <c r="H140" s="43" t="n">
        <v>13.81495</v>
      </c>
      <c r="I140" s="43" t="n">
        <v>121.125989</v>
      </c>
      <c r="J140" s="44" t="inlineStr">
        <is>
          <t>R</t>
        </is>
      </c>
      <c r="K140" s="42" t="inlineStr">
        <is>
          <t>Class 1-3 / Urban</t>
        </is>
      </c>
      <c r="L140" s="23" t="n">
        <v>2143</v>
      </c>
      <c r="M140" s="24" t="n">
        <v>4.62</v>
      </c>
      <c r="N140" s="23">
        <f>ROUND(L140/M140, 0)</f>
        <v/>
      </c>
      <c r="O140" s="23">
        <f>ROUND(N140*'Methodology &amp; Assumptions'!$B$8, 0)</f>
        <v/>
      </c>
      <c r="P140" s="44" t="inlineStr">
        <is>
          <t>Band n50 (1.5 GHz, 60 MHz)</t>
        </is>
      </c>
      <c r="Q140" s="38">
        <f>ROUNDUP(O140/'Methodology &amp; Assumptions'!$B$9, 0)</f>
        <v/>
      </c>
      <c r="R140" s="39" t="n">
        <v>1</v>
      </c>
      <c r="S140" s="25" t="n">
        <v>0.25</v>
      </c>
      <c r="T140" s="25" t="n">
        <v>0.06</v>
      </c>
      <c r="U140" s="42" t="inlineStr">
        <is>
          <t>Tier 1A (Direct Coloc, &lt;1 km)</t>
        </is>
      </c>
      <c r="V140" s="24" t="n">
        <v>100</v>
      </c>
      <c r="W140" s="24" t="n">
        <v>61.1</v>
      </c>
      <c r="X140" s="24" t="n">
        <v>58</v>
      </c>
      <c r="Y140" s="45">
        <f>ROUND((V140*'Methodology &amp; Assumptions'!$B$6)+(W140*'Methodology &amp; Assumptions'!$B$5)+(X140*'Methodology &amp; Assumptions'!$B$7), 2)</f>
        <v/>
      </c>
    </row>
    <row r="141" ht="19" customHeight="1">
      <c r="A141" s="35" t="n">
        <v>137</v>
      </c>
      <c r="B141" s="35" t="n">
        <v>1137</v>
      </c>
      <c r="C141" s="36" t="inlineStr">
        <is>
          <t>0506208028</t>
        </is>
      </c>
      <c r="D141" s="36" t="inlineStr">
        <is>
          <t>Region V (Bicol Region)</t>
        </is>
      </c>
      <c r="E141" s="36" t="inlineStr">
        <is>
          <t>Sorsogon</t>
        </is>
      </c>
      <c r="F141" s="36" t="inlineStr">
        <is>
          <t>Gubat</t>
        </is>
      </c>
      <c r="G141" s="36" t="inlineStr">
        <is>
          <t>Panganiban</t>
        </is>
      </c>
      <c r="H141" s="37" t="n">
        <v>12.914883</v>
      </c>
      <c r="I141" s="37" t="n">
        <v>124.123299</v>
      </c>
      <c r="J141" s="8" t="inlineStr">
        <is>
          <t>R</t>
        </is>
      </c>
      <c r="K141" s="36" t="inlineStr">
        <is>
          <t>Class 1-3 / Urban</t>
        </is>
      </c>
      <c r="L141" s="18" t="n">
        <v>2125</v>
      </c>
      <c r="M141" s="20" t="n">
        <v>4.58</v>
      </c>
      <c r="N141" s="18">
        <f>ROUND(L141/M141, 0)</f>
        <v/>
      </c>
      <c r="O141" s="18">
        <f>ROUND(N141*'Methodology &amp; Assumptions'!$B$8, 0)</f>
        <v/>
      </c>
      <c r="P141" s="8" t="inlineStr">
        <is>
          <t>Band n50 (1.5 GHz, 60 MHz)</t>
        </is>
      </c>
      <c r="Q141" s="38">
        <f>ROUNDUP(O141/'Methodology &amp; Assumptions'!$B$9, 0)</f>
        <v/>
      </c>
      <c r="R141" s="39" t="n">
        <v>1</v>
      </c>
      <c r="S141" s="21" t="n">
        <v>0.2</v>
      </c>
      <c r="T141" s="21" t="n">
        <v>0.28</v>
      </c>
      <c r="U141" s="36" t="inlineStr">
        <is>
          <t>Tier 1A (Direct Coloc, &lt;1 km)</t>
        </is>
      </c>
      <c r="V141" s="20" t="n">
        <v>100</v>
      </c>
      <c r="W141" s="20" t="n">
        <v>61.1</v>
      </c>
      <c r="X141" s="20" t="n">
        <v>58</v>
      </c>
      <c r="Y141" s="40">
        <f>ROUND((V141*'Methodology &amp; Assumptions'!$B$6)+(W141*'Methodology &amp; Assumptions'!$B$5)+(X141*'Methodology &amp; Assumptions'!$B$7), 2)</f>
        <v/>
      </c>
    </row>
    <row r="142" ht="19" customHeight="1">
      <c r="A142" s="41" t="n">
        <v>138</v>
      </c>
      <c r="B142" s="41" t="n">
        <v>1138</v>
      </c>
      <c r="C142" s="42" t="inlineStr">
        <is>
          <t>0603043012</t>
        </is>
      </c>
      <c r="D142" s="42" t="inlineStr">
        <is>
          <t>Region VI (Western Visayas)</t>
        </is>
      </c>
      <c r="E142" s="42" t="inlineStr">
        <is>
          <t>Iloilo</t>
        </is>
      </c>
      <c r="F142" s="42" t="inlineStr">
        <is>
          <t>Santa Barbara</t>
        </is>
      </c>
      <c r="G142" s="42" t="inlineStr">
        <is>
          <t>Barangay Zone IV</t>
        </is>
      </c>
      <c r="H142" s="43" t="n">
        <v>10.826215</v>
      </c>
      <c r="I142" s="43" t="n">
        <v>122.53383</v>
      </c>
      <c r="J142" s="44" t="inlineStr">
        <is>
          <t>R</t>
        </is>
      </c>
      <c r="K142" s="42" t="inlineStr">
        <is>
          <t>Class 1-3 / Urban</t>
        </is>
      </c>
      <c r="L142" s="23" t="n">
        <v>2034</v>
      </c>
      <c r="M142" s="24" t="n">
        <v>4.39</v>
      </c>
      <c r="N142" s="23">
        <f>ROUND(L142/M142, 0)</f>
        <v/>
      </c>
      <c r="O142" s="23">
        <f>ROUND(N142*'Methodology &amp; Assumptions'!$B$8, 0)</f>
        <v/>
      </c>
      <c r="P142" s="44" t="inlineStr">
        <is>
          <t>Band n50 (1.5 GHz, 60 MHz)</t>
        </is>
      </c>
      <c r="Q142" s="38">
        <f>ROUNDUP(O142/'Methodology &amp; Assumptions'!$B$9, 0)</f>
        <v/>
      </c>
      <c r="R142" s="39" t="n">
        <v>1</v>
      </c>
      <c r="S142" s="25" t="n">
        <v>0.15</v>
      </c>
      <c r="T142" s="25" t="n">
        <v>0.15</v>
      </c>
      <c r="U142" s="42" t="inlineStr">
        <is>
          <t>Tier 1A (Direct Coloc, &lt;1 km)</t>
        </is>
      </c>
      <c r="V142" s="24" t="n">
        <v>100</v>
      </c>
      <c r="W142" s="24" t="n">
        <v>61.1</v>
      </c>
      <c r="X142" s="24" t="n">
        <v>58</v>
      </c>
      <c r="Y142" s="45">
        <f>ROUND((V142*'Methodology &amp; Assumptions'!$B$6)+(W142*'Methodology &amp; Assumptions'!$B$5)+(X142*'Methodology &amp; Assumptions'!$B$7), 2)</f>
        <v/>
      </c>
    </row>
    <row r="143" ht="19" customHeight="1">
      <c r="A143" s="35" t="n">
        <v>139</v>
      </c>
      <c r="B143" s="35" t="n">
        <v>1139</v>
      </c>
      <c r="C143" s="36" t="inlineStr">
        <is>
          <t>1630400043</t>
        </is>
      </c>
      <c r="D143" s="36" t="inlineStr">
        <is>
          <t>Region XIII (Caraga)</t>
        </is>
      </c>
      <c r="E143" s="36" t="inlineStr">
        <is>
          <t>Agusan del Norte</t>
        </is>
      </c>
      <c r="F143" s="36" t="inlineStr">
        <is>
          <t>City of Butuan</t>
        </is>
      </c>
      <c r="G143" s="36" t="inlineStr">
        <is>
          <t>Golden Ribbon Pob.</t>
        </is>
      </c>
      <c r="H143" s="37" t="n">
        <v>8.93938</v>
      </c>
      <c r="I143" s="37" t="n">
        <v>125.541691</v>
      </c>
      <c r="J143" s="8" t="inlineStr">
        <is>
          <t>U</t>
        </is>
      </c>
      <c r="K143" s="36" t="inlineStr">
        <is>
          <t>Class 1-3 / Urban</t>
        </is>
      </c>
      <c r="L143" s="18" t="n">
        <v>4622</v>
      </c>
      <c r="M143" s="20" t="n">
        <v>4.63</v>
      </c>
      <c r="N143" s="18">
        <f>ROUND(L143/M143, 0)</f>
        <v/>
      </c>
      <c r="O143" s="18">
        <f>ROUND(N143*'Methodology &amp; Assumptions'!$B$8, 0)</f>
        <v/>
      </c>
      <c r="P143" s="8" t="inlineStr">
        <is>
          <t>Band n50 (1.5 GHz, 60 MHz)</t>
        </is>
      </c>
      <c r="Q143" s="38">
        <f>ROUNDUP(O143/'Methodology &amp; Assumptions'!$B$9, 0)</f>
        <v/>
      </c>
      <c r="R143" s="39" t="n">
        <v>1</v>
      </c>
      <c r="S143" s="21" t="n">
        <v>1.34</v>
      </c>
      <c r="T143" s="21" t="n">
        <v>0.23</v>
      </c>
      <c r="U143" s="36" t="inlineStr">
        <is>
          <t>Tier 1B (Micro Drop, 1-3 km)</t>
        </is>
      </c>
      <c r="V143" s="20" t="n">
        <v>73.90000000000001</v>
      </c>
      <c r="W143" s="20" t="n">
        <v>100</v>
      </c>
      <c r="X143" s="20" t="n">
        <v>43</v>
      </c>
      <c r="Y143" s="40">
        <f>ROUND((V143*'Methodology &amp; Assumptions'!$B$6)+(W143*'Methodology &amp; Assumptions'!$B$5)+(X143*'Methodology &amp; Assumptions'!$B$7), 2)</f>
        <v/>
      </c>
    </row>
    <row r="144" ht="19" customHeight="1">
      <c r="A144" s="41" t="n">
        <v>140</v>
      </c>
      <c r="B144" s="41" t="n">
        <v>1140</v>
      </c>
      <c r="C144" s="42" t="inlineStr">
        <is>
          <t>0300809021</t>
        </is>
      </c>
      <c r="D144" s="42" t="inlineStr">
        <is>
          <t>Region III (Central Luzon)</t>
        </is>
      </c>
      <c r="E144" s="42" t="inlineStr">
        <is>
          <t>Bataan</t>
        </is>
      </c>
      <c r="F144" s="42" t="inlineStr">
        <is>
          <t>Orani</t>
        </is>
      </c>
      <c r="G144" s="42" t="inlineStr">
        <is>
          <t>Tapulao</t>
        </is>
      </c>
      <c r="H144" s="43" t="n">
        <v>14.812786</v>
      </c>
      <c r="I144" s="43" t="n">
        <v>120.521158</v>
      </c>
      <c r="J144" s="44" t="inlineStr">
        <is>
          <t>R</t>
        </is>
      </c>
      <c r="K144" s="42" t="inlineStr">
        <is>
          <t>Class 1-3 / Urban</t>
        </is>
      </c>
      <c r="L144" s="23" t="n">
        <v>4928</v>
      </c>
      <c r="M144" s="24" t="n">
        <v>4.57</v>
      </c>
      <c r="N144" s="23">
        <f>ROUND(L144/M144, 0)</f>
        <v/>
      </c>
      <c r="O144" s="23">
        <f>ROUND(N144*'Methodology &amp; Assumptions'!$B$8, 0)</f>
        <v/>
      </c>
      <c r="P144" s="44" t="inlineStr">
        <is>
          <t>Band n50 (1.5 GHz, 60 MHz)</t>
        </is>
      </c>
      <c r="Q144" s="38">
        <f>ROUNDUP(O144/'Methodology &amp; Assumptions'!$B$9, 0)</f>
        <v/>
      </c>
      <c r="R144" s="39" t="n">
        <v>1</v>
      </c>
      <c r="S144" s="25" t="n">
        <v>2.02</v>
      </c>
      <c r="T144" s="25" t="n">
        <v>0</v>
      </c>
      <c r="U144" s="42" t="inlineStr">
        <is>
          <t>Tier 1B (Micro Drop, 1-3 km)</t>
        </is>
      </c>
      <c r="V144" s="24" t="n">
        <v>61</v>
      </c>
      <c r="W144" s="24" t="n">
        <v>100</v>
      </c>
      <c r="X144" s="24" t="n">
        <v>58</v>
      </c>
      <c r="Y144" s="45">
        <f>ROUND((V144*'Methodology &amp; Assumptions'!$B$6)+(W144*'Methodology &amp; Assumptions'!$B$5)+(X144*'Methodology &amp; Assumptions'!$B$7), 2)</f>
        <v/>
      </c>
    </row>
    <row r="145" ht="19" customHeight="1">
      <c r="A145" s="35" t="n">
        <v>141</v>
      </c>
      <c r="B145" s="35" t="n">
        <v>1141</v>
      </c>
      <c r="C145" s="36" t="inlineStr">
        <is>
          <t>0301405005</t>
        </is>
      </c>
      <c r="D145" s="36" t="inlineStr">
        <is>
          <t>Region III (Central Luzon)</t>
        </is>
      </c>
      <c r="E145" s="36" t="inlineStr">
        <is>
          <t>Bulacan</t>
        </is>
      </c>
      <c r="F145" s="36" t="inlineStr">
        <is>
          <t>Bulacan</t>
        </is>
      </c>
      <c r="G145" s="36" t="inlineStr">
        <is>
          <t>Maysantol</t>
        </is>
      </c>
      <c r="H145" s="37" t="n">
        <v>14.796988</v>
      </c>
      <c r="I145" s="37" t="n">
        <v>120.87165</v>
      </c>
      <c r="J145" s="8" t="inlineStr">
        <is>
          <t>R</t>
        </is>
      </c>
      <c r="K145" s="36" t="inlineStr">
        <is>
          <t>Class 1-3 / Urban</t>
        </is>
      </c>
      <c r="L145" s="18" t="n">
        <v>2955</v>
      </c>
      <c r="M145" s="20" t="n">
        <v>4.1</v>
      </c>
      <c r="N145" s="18">
        <f>ROUND(L145/M145, 0)</f>
        <v/>
      </c>
      <c r="O145" s="18">
        <f>ROUND(N145*'Methodology &amp; Assumptions'!$B$8, 0)</f>
        <v/>
      </c>
      <c r="P145" s="8" t="inlineStr">
        <is>
          <t>Band n50 (1.5 GHz, 60 MHz)</t>
        </is>
      </c>
      <c r="Q145" s="38">
        <f>ROUNDUP(O145/'Methodology &amp; Assumptions'!$B$9, 0)</f>
        <v/>
      </c>
      <c r="R145" s="39" t="n">
        <v>1</v>
      </c>
      <c r="S145" s="21" t="n">
        <v>0.6899999999999999</v>
      </c>
      <c r="T145" s="21" t="n">
        <v>3.48</v>
      </c>
      <c r="U145" s="36" t="inlineStr">
        <is>
          <t>Tier 1A (Direct Coloc, &lt;1 km)</t>
        </is>
      </c>
      <c r="V145" s="20" t="n">
        <v>79.40000000000001</v>
      </c>
      <c r="W145" s="20" t="n">
        <v>81.59999999999999</v>
      </c>
      <c r="X145" s="20" t="n">
        <v>58</v>
      </c>
      <c r="Y145" s="40">
        <f>ROUND((V145*'Methodology &amp; Assumptions'!$B$6)+(W145*'Methodology &amp; Assumptions'!$B$5)+(X145*'Methodology &amp; Assumptions'!$B$7), 2)</f>
        <v/>
      </c>
    </row>
    <row r="146" ht="19" customHeight="1">
      <c r="A146" s="41" t="n">
        <v>142</v>
      </c>
      <c r="B146" s="41" t="n">
        <v>1142</v>
      </c>
      <c r="C146" s="42" t="inlineStr">
        <is>
          <t>0402103004</t>
        </is>
      </c>
      <c r="D146" s="42" t="inlineStr">
        <is>
          <t>Region IV-A (CALABARZON)</t>
        </is>
      </c>
      <c r="E146" s="42" t="inlineStr">
        <is>
          <t>Cavite</t>
        </is>
      </c>
      <c r="F146" s="42" t="inlineStr">
        <is>
          <t>City of Bacoor</t>
        </is>
      </c>
      <c r="G146" s="42" t="inlineStr">
        <is>
          <t>Bayanan</t>
        </is>
      </c>
      <c r="H146" s="43" t="n">
        <v>14.424747</v>
      </c>
      <c r="I146" s="43" t="n">
        <v>120.969871</v>
      </c>
      <c r="J146" s="44" t="inlineStr">
        <is>
          <t>U</t>
        </is>
      </c>
      <c r="K146" s="42" t="inlineStr">
        <is>
          <t>Class 1-3 / Urban</t>
        </is>
      </c>
      <c r="L146" s="23" t="n">
        <v>11168</v>
      </c>
      <c r="M146" s="24" t="n">
        <v>4.49</v>
      </c>
      <c r="N146" s="23">
        <f>ROUND(L146/M146, 0)</f>
        <v/>
      </c>
      <c r="O146" s="23">
        <f>ROUND(N146*'Methodology &amp; Assumptions'!$B$8, 0)</f>
        <v/>
      </c>
      <c r="P146" s="44" t="inlineStr">
        <is>
          <t>Band n50 (1.5 GHz, 60 MHz)</t>
        </is>
      </c>
      <c r="Q146" s="38">
        <f>ROUNDUP(O146/'Methodology &amp; Assumptions'!$B$9, 0)</f>
        <v/>
      </c>
      <c r="R146" s="39" t="n">
        <v>1</v>
      </c>
      <c r="S146" s="25" t="n">
        <v>0.43</v>
      </c>
      <c r="T146" s="25" t="n">
        <v>2.93</v>
      </c>
      <c r="U146" s="42" t="inlineStr">
        <is>
          <t>Tier 1A (Direct Coloc, &lt;1 km)</t>
        </is>
      </c>
      <c r="V146" s="24" t="n">
        <v>86.7</v>
      </c>
      <c r="W146" s="24" t="n">
        <v>100</v>
      </c>
      <c r="X146" s="24" t="n">
        <v>28</v>
      </c>
      <c r="Y146" s="45">
        <f>ROUND((V146*'Methodology &amp; Assumptions'!$B$6)+(W146*'Methodology &amp; Assumptions'!$B$5)+(X146*'Methodology &amp; Assumptions'!$B$7), 2)</f>
        <v/>
      </c>
    </row>
    <row r="147" ht="19" customHeight="1">
      <c r="A147" s="35" t="n">
        <v>143</v>
      </c>
      <c r="B147" s="35" t="n">
        <v>1143</v>
      </c>
      <c r="C147" s="36" t="inlineStr">
        <is>
          <t>0500503044</t>
        </is>
      </c>
      <c r="D147" s="36" t="inlineStr">
        <is>
          <t>Region V (Bicol Region)</t>
        </is>
      </c>
      <c r="E147" s="36" t="inlineStr">
        <is>
          <t>Albay</t>
        </is>
      </c>
      <c r="F147" s="36" t="inlineStr">
        <is>
          <t>Daraga</t>
        </is>
      </c>
      <c r="G147" s="36" t="inlineStr">
        <is>
          <t>Sagpon</t>
        </is>
      </c>
      <c r="H147" s="37" t="n">
        <v>13.146014</v>
      </c>
      <c r="I147" s="37" t="n">
        <v>123.718975</v>
      </c>
      <c r="J147" s="8" t="inlineStr">
        <is>
          <t>U</t>
        </is>
      </c>
      <c r="K147" s="36" t="inlineStr">
        <is>
          <t>Class 1-3 / Urban</t>
        </is>
      </c>
      <c r="L147" s="18" t="n">
        <v>5303</v>
      </c>
      <c r="M147" s="20" t="n">
        <v>4.67</v>
      </c>
      <c r="N147" s="18">
        <f>ROUND(L147/M147, 0)</f>
        <v/>
      </c>
      <c r="O147" s="18">
        <f>ROUND(N147*'Methodology &amp; Assumptions'!$B$8, 0)</f>
        <v/>
      </c>
      <c r="P147" s="8" t="inlineStr">
        <is>
          <t>Band n50 (1.5 GHz, 60 MHz)</t>
        </is>
      </c>
      <c r="Q147" s="38">
        <f>ROUNDUP(O147/'Methodology &amp; Assumptions'!$B$9, 0)</f>
        <v/>
      </c>
      <c r="R147" s="39" t="n">
        <v>1</v>
      </c>
      <c r="S147" s="21" t="n">
        <v>0.8</v>
      </c>
      <c r="T147" s="21" t="n">
        <v>0.32</v>
      </c>
      <c r="U147" s="36" t="inlineStr">
        <is>
          <t>Tier 1A (Direct Coloc, &lt;1 km)</t>
        </is>
      </c>
      <c r="V147" s="20" t="n">
        <v>86.7</v>
      </c>
      <c r="W147" s="20" t="n">
        <v>100</v>
      </c>
      <c r="X147" s="20" t="n">
        <v>28</v>
      </c>
      <c r="Y147" s="40">
        <f>ROUND((V147*'Methodology &amp; Assumptions'!$B$6)+(W147*'Methodology &amp; Assumptions'!$B$5)+(X147*'Methodology &amp; Assumptions'!$B$7), 2)</f>
        <v/>
      </c>
    </row>
    <row r="148" ht="19" customHeight="1">
      <c r="A148" s="41" t="n">
        <v>144</v>
      </c>
      <c r="B148" s="41" t="n">
        <v>1144</v>
      </c>
      <c r="C148" s="42" t="inlineStr">
        <is>
          <t>0601914030</t>
        </is>
      </c>
      <c r="D148" s="42" t="inlineStr">
        <is>
          <t>Region VI (Western Visayas)</t>
        </is>
      </c>
      <c r="E148" s="42" t="inlineStr">
        <is>
          <t>Capiz</t>
        </is>
      </c>
      <c r="F148" s="42" t="inlineStr">
        <is>
          <t>City of Roxas</t>
        </is>
      </c>
      <c r="G148" s="42" t="inlineStr">
        <is>
          <t>Inzo Arnaldo Village</t>
        </is>
      </c>
      <c r="H148" s="43" t="n">
        <v>11.585872</v>
      </c>
      <c r="I148" s="43" t="n">
        <v>122.754937</v>
      </c>
      <c r="J148" s="44" t="inlineStr">
        <is>
          <t>U</t>
        </is>
      </c>
      <c r="K148" s="42" t="inlineStr">
        <is>
          <t>Class 1-3 / Urban</t>
        </is>
      </c>
      <c r="L148" s="23" t="n">
        <v>4930</v>
      </c>
      <c r="M148" s="24" t="n">
        <v>4.2</v>
      </c>
      <c r="N148" s="23">
        <f>ROUND(L148/M148, 0)</f>
        <v/>
      </c>
      <c r="O148" s="23">
        <f>ROUND(N148*'Methodology &amp; Assumptions'!$B$8, 0)</f>
        <v/>
      </c>
      <c r="P148" s="44" t="inlineStr">
        <is>
          <t>Band n50 (1.5 GHz, 60 MHz)</t>
        </is>
      </c>
      <c r="Q148" s="38">
        <f>ROUNDUP(O148/'Methodology &amp; Assumptions'!$B$9, 0)</f>
        <v/>
      </c>
      <c r="R148" s="39" t="n">
        <v>1</v>
      </c>
      <c r="S148" s="25" t="n">
        <v>0.8</v>
      </c>
      <c r="T148" s="25" t="n">
        <v>0.18</v>
      </c>
      <c r="U148" s="42" t="inlineStr">
        <is>
          <t>Tier 1A (Direct Coloc, &lt;1 km)</t>
        </is>
      </c>
      <c r="V148" s="24" t="n">
        <v>86.7</v>
      </c>
      <c r="W148" s="24" t="n">
        <v>100</v>
      </c>
      <c r="X148" s="24" t="n">
        <v>28</v>
      </c>
      <c r="Y148" s="45">
        <f>ROUND((V148*'Methodology &amp; Assumptions'!$B$6)+(W148*'Methodology &amp; Assumptions'!$B$5)+(X148*'Methodology &amp; Assumptions'!$B$7), 2)</f>
        <v/>
      </c>
    </row>
    <row r="149" ht="19" customHeight="1">
      <c r="A149" s="35" t="n">
        <v>145</v>
      </c>
      <c r="B149" s="35" t="n">
        <v>1145</v>
      </c>
      <c r="C149" s="36" t="inlineStr">
        <is>
          <t>0500506017</t>
        </is>
      </c>
      <c r="D149" s="36" t="inlineStr">
        <is>
          <t>Region V (Bicol Region)</t>
        </is>
      </c>
      <c r="E149" s="36" t="inlineStr">
        <is>
          <t>Albay</t>
        </is>
      </c>
      <c r="F149" s="36" t="inlineStr">
        <is>
          <t>City of Legazpi</t>
        </is>
      </c>
      <c r="G149" s="36" t="inlineStr">
        <is>
          <t>Bgy. 18 - Cabagñan West</t>
        </is>
      </c>
      <c r="H149" s="37" t="n">
        <v>13.13521</v>
      </c>
      <c r="I149" s="37" t="n">
        <v>123.742692</v>
      </c>
      <c r="J149" s="8" t="inlineStr">
        <is>
          <t>U</t>
        </is>
      </c>
      <c r="K149" s="36" t="inlineStr">
        <is>
          <t>Class 1-3 / Urban</t>
        </is>
      </c>
      <c r="L149" s="18" t="n">
        <v>4001</v>
      </c>
      <c r="M149" s="20" t="n">
        <v>4.67</v>
      </c>
      <c r="N149" s="18">
        <f>ROUND(L149/M149, 0)</f>
        <v/>
      </c>
      <c r="O149" s="18">
        <f>ROUND(N149*'Methodology &amp; Assumptions'!$B$8, 0)</f>
        <v/>
      </c>
      <c r="P149" s="8" t="inlineStr">
        <is>
          <t>Band n50 (1.5 GHz, 60 MHz)</t>
        </is>
      </c>
      <c r="Q149" s="38">
        <f>ROUNDUP(O149/'Methodology &amp; Assumptions'!$B$9, 0)</f>
        <v/>
      </c>
      <c r="R149" s="39" t="n">
        <v>1</v>
      </c>
      <c r="S149" s="21" t="n">
        <v>0.52</v>
      </c>
      <c r="T149" s="21" t="n">
        <v>0.28</v>
      </c>
      <c r="U149" s="36" t="inlineStr">
        <is>
          <t>Tier 1A (Direct Coloc, &lt;1 km)</t>
        </is>
      </c>
      <c r="V149" s="20" t="n">
        <v>94.09999999999999</v>
      </c>
      <c r="W149" s="20" t="n">
        <v>92.5</v>
      </c>
      <c r="X149" s="20" t="n">
        <v>28</v>
      </c>
      <c r="Y149" s="40">
        <f>ROUND((V149*'Methodology &amp; Assumptions'!$B$6)+(W149*'Methodology &amp; Assumptions'!$B$5)+(X149*'Methodology &amp; Assumptions'!$B$7), 2)</f>
        <v/>
      </c>
    </row>
    <row r="150" ht="19" customHeight="1">
      <c r="A150" s="41" t="n">
        <v>146</v>
      </c>
      <c r="B150" s="41" t="n">
        <v>1146</v>
      </c>
      <c r="C150" s="42" t="inlineStr">
        <is>
          <t>0403402011</t>
        </is>
      </c>
      <c r="D150" s="42" t="inlineStr">
        <is>
          <t>Region IV-A (CALABARZON)</t>
        </is>
      </c>
      <c r="E150" s="42" t="inlineStr">
        <is>
          <t>Laguna</t>
        </is>
      </c>
      <c r="F150" s="42" t="inlineStr">
        <is>
          <t>Bay</t>
        </is>
      </c>
      <c r="G150" s="42" t="inlineStr">
        <is>
          <t>San Isidro</t>
        </is>
      </c>
      <c r="H150" s="43" t="n">
        <v>14.186235</v>
      </c>
      <c r="I150" s="43" t="n">
        <v>121.286642</v>
      </c>
      <c r="J150" s="44" t="inlineStr">
        <is>
          <t>R</t>
        </is>
      </c>
      <c r="K150" s="42" t="inlineStr">
        <is>
          <t>Class 1-3 / Urban</t>
        </is>
      </c>
      <c r="L150" s="23" t="n">
        <v>2754</v>
      </c>
      <c r="M150" s="24" t="n">
        <v>4.2</v>
      </c>
      <c r="N150" s="23">
        <f>ROUND(L150/M150, 0)</f>
        <v/>
      </c>
      <c r="O150" s="23">
        <f>ROUND(N150*'Methodology &amp; Assumptions'!$B$8, 0)</f>
        <v/>
      </c>
      <c r="P150" s="44" t="inlineStr">
        <is>
          <t>Band n50 (1.5 GHz, 60 MHz)</t>
        </is>
      </c>
      <c r="Q150" s="38">
        <f>ROUNDUP(O150/'Methodology &amp; Assumptions'!$B$9, 0)</f>
        <v/>
      </c>
      <c r="R150" s="39" t="n">
        <v>1</v>
      </c>
      <c r="S150" s="25" t="n">
        <v>0.89</v>
      </c>
      <c r="T150" s="25" t="n">
        <v>0.77</v>
      </c>
      <c r="U150" s="42" t="inlineStr">
        <is>
          <t>Tier 1A (Direct Coloc, &lt;1 km)</t>
        </is>
      </c>
      <c r="V150" s="24" t="n">
        <v>84.40000000000001</v>
      </c>
      <c r="W150" s="24" t="n">
        <v>76.5</v>
      </c>
      <c r="X150" s="24" t="n">
        <v>58</v>
      </c>
      <c r="Y150" s="45">
        <f>ROUND((V150*'Methodology &amp; Assumptions'!$B$6)+(W150*'Methodology &amp; Assumptions'!$B$5)+(X150*'Methodology &amp; Assumptions'!$B$7), 2)</f>
        <v/>
      </c>
    </row>
    <row r="151" ht="19" customHeight="1">
      <c r="A151" s="35" t="n">
        <v>147</v>
      </c>
      <c r="B151" s="35" t="n">
        <v>1147</v>
      </c>
      <c r="C151" s="36" t="inlineStr">
        <is>
          <t>1230800033</t>
        </is>
      </c>
      <c r="D151" s="36" t="inlineStr">
        <is>
          <t>Region XII (SOCCSKSARGEN)</t>
        </is>
      </c>
      <c r="E151" s="36" t="inlineStr">
        <is>
          <t>South Cotabato</t>
        </is>
      </c>
      <c r="F151" s="36" t="inlineStr">
        <is>
          <t>City of General Santos</t>
        </is>
      </c>
      <c r="G151" s="36" t="inlineStr">
        <is>
          <t>Calumpang</t>
        </is>
      </c>
      <c r="H151" s="37" t="n">
        <v>6.072896</v>
      </c>
      <c r="I151" s="37" t="n">
        <v>125.140394</v>
      </c>
      <c r="J151" s="8" t="inlineStr">
        <is>
          <t>U</t>
        </is>
      </c>
      <c r="K151" s="36" t="inlineStr">
        <is>
          <t>Class 1-3 / Urban</t>
        </is>
      </c>
      <c r="L151" s="18" t="n">
        <v>87718</v>
      </c>
      <c r="M151" s="20" t="n">
        <v>4.1</v>
      </c>
      <c r="N151" s="18">
        <f>ROUND(L151/M151, 0)</f>
        <v/>
      </c>
      <c r="O151" s="18">
        <f>ROUND(N151*'Methodology &amp; Assumptions'!$B$8, 0)</f>
        <v/>
      </c>
      <c r="P151" s="8" t="inlineStr">
        <is>
          <t>Band n50 (1.5 GHz, 60 MHz)</t>
        </is>
      </c>
      <c r="Q151" s="38">
        <f>ROUNDUP(O151/'Methodology &amp; Assumptions'!$B$9, 0)</f>
        <v/>
      </c>
      <c r="R151" s="39" t="n">
        <v>1</v>
      </c>
      <c r="S151" s="21" t="n">
        <v>0.19</v>
      </c>
      <c r="T151" s="21" t="n">
        <v>5.11</v>
      </c>
      <c r="U151" s="36" t="inlineStr">
        <is>
          <t>Tier 1A (Direct Coloc, &lt;1 km)</t>
        </is>
      </c>
      <c r="V151" s="20" t="n">
        <v>93.8</v>
      </c>
      <c r="W151" s="20" t="n">
        <v>92.8</v>
      </c>
      <c r="X151" s="20" t="n">
        <v>28</v>
      </c>
      <c r="Y151" s="40">
        <f>ROUND((V151*'Methodology &amp; Assumptions'!$B$6)+(W151*'Methodology &amp; Assumptions'!$B$5)+(X151*'Methodology &amp; Assumptions'!$B$7), 2)</f>
        <v/>
      </c>
    </row>
    <row r="152" ht="19" customHeight="1">
      <c r="A152" s="41" t="n">
        <v>148</v>
      </c>
      <c r="B152" s="41" t="n">
        <v>1148</v>
      </c>
      <c r="C152" s="42" t="inlineStr">
        <is>
          <t>0103307014</t>
        </is>
      </c>
      <c r="D152" s="42" t="inlineStr">
        <is>
          <t>Region I (Ilocos Region)</t>
        </is>
      </c>
      <c r="E152" s="42" t="inlineStr">
        <is>
          <t>La Union</t>
        </is>
      </c>
      <c r="F152" s="42" t="inlineStr">
        <is>
          <t>Bauang</t>
        </is>
      </c>
      <c r="G152" s="42" t="inlineStr">
        <is>
          <t>Central East</t>
        </is>
      </c>
      <c r="H152" s="43" t="n">
        <v>16.526733</v>
      </c>
      <c r="I152" s="43" t="n">
        <v>120.331</v>
      </c>
      <c r="J152" s="44" t="inlineStr">
        <is>
          <t>U</t>
        </is>
      </c>
      <c r="K152" s="42" t="inlineStr">
        <is>
          <t>Class 1-3 / Urban</t>
        </is>
      </c>
      <c r="L152" s="23" t="n">
        <v>4185</v>
      </c>
      <c r="M152" s="24" t="n">
        <v>4.42</v>
      </c>
      <c r="N152" s="23">
        <f>ROUND(L152/M152, 0)</f>
        <v/>
      </c>
      <c r="O152" s="23">
        <f>ROUND(N152*'Methodology &amp; Assumptions'!$B$8, 0)</f>
        <v/>
      </c>
      <c r="P152" s="44" t="inlineStr">
        <is>
          <t>Band n50 (1.5 GHz, 60 MHz)</t>
        </is>
      </c>
      <c r="Q152" s="38">
        <f>ROUNDUP(O152/'Methodology &amp; Assumptions'!$B$9, 0)</f>
        <v/>
      </c>
      <c r="R152" s="39" t="n">
        <v>1</v>
      </c>
      <c r="S152" s="25" t="n">
        <v>0.79</v>
      </c>
      <c r="T152" s="25" t="n">
        <v>0.11</v>
      </c>
      <c r="U152" s="42" t="inlineStr">
        <is>
          <t>Tier 1A (Direct Coloc, &lt;1 km)</t>
        </is>
      </c>
      <c r="V152" s="24" t="n">
        <v>86.90000000000001</v>
      </c>
      <c r="W152" s="24" t="n">
        <v>99.7</v>
      </c>
      <c r="X152" s="24" t="n">
        <v>28</v>
      </c>
      <c r="Y152" s="45">
        <f>ROUND((V152*'Methodology &amp; Assumptions'!$B$6)+(W152*'Methodology &amp; Assumptions'!$B$5)+(X152*'Methodology &amp; Assumptions'!$B$7), 2)</f>
        <v/>
      </c>
    </row>
    <row r="153" ht="19" customHeight="1">
      <c r="A153" s="35" t="n">
        <v>149</v>
      </c>
      <c r="B153" s="35" t="n">
        <v>1149</v>
      </c>
      <c r="C153" s="36" t="inlineStr">
        <is>
          <t>0300804038</t>
        </is>
      </c>
      <c r="D153" s="36" t="inlineStr">
        <is>
          <t>Region III (Central Luzon)</t>
        </is>
      </c>
      <c r="E153" s="36" t="inlineStr">
        <is>
          <t>Bataan</t>
        </is>
      </c>
      <c r="F153" s="36" t="inlineStr">
        <is>
          <t>Dinalupihan</t>
        </is>
      </c>
      <c r="G153" s="36" t="inlineStr">
        <is>
          <t>Santo Niño</t>
        </is>
      </c>
      <c r="H153" s="37" t="n">
        <v>14.876792</v>
      </c>
      <c r="I153" s="37" t="n">
        <v>120.462474</v>
      </c>
      <c r="J153" s="8" t="inlineStr">
        <is>
          <t>R</t>
        </is>
      </c>
      <c r="K153" s="36" t="inlineStr">
        <is>
          <t>Class 1-3 / Urban</t>
        </is>
      </c>
      <c r="L153" s="18" t="n">
        <v>3478</v>
      </c>
      <c r="M153" s="20" t="n">
        <v>4.57</v>
      </c>
      <c r="N153" s="18">
        <f>ROUND(L153/M153, 0)</f>
        <v/>
      </c>
      <c r="O153" s="18">
        <f>ROUND(N153*'Methodology &amp; Assumptions'!$B$8, 0)</f>
        <v/>
      </c>
      <c r="P153" s="8" t="inlineStr">
        <is>
          <t>Band n50 (1.5 GHz, 60 MHz)</t>
        </is>
      </c>
      <c r="Q153" s="38">
        <f>ROUNDUP(O153/'Methodology &amp; Assumptions'!$B$9, 0)</f>
        <v/>
      </c>
      <c r="R153" s="39" t="n">
        <v>1</v>
      </c>
      <c r="S153" s="21" t="n">
        <v>1.24</v>
      </c>
      <c r="T153" s="21" t="n">
        <v>0.49</v>
      </c>
      <c r="U153" s="36" t="inlineStr">
        <is>
          <t>Tier 1B (Micro Drop, 1-3 km)</t>
        </is>
      </c>
      <c r="V153" s="20" t="n">
        <v>76.09999999999999</v>
      </c>
      <c r="W153" s="20" t="n">
        <v>84.8</v>
      </c>
      <c r="X153" s="20" t="n">
        <v>58</v>
      </c>
      <c r="Y153" s="40">
        <f>ROUND((V153*'Methodology &amp; Assumptions'!$B$6)+(W153*'Methodology &amp; Assumptions'!$B$5)+(X153*'Methodology &amp; Assumptions'!$B$7), 2)</f>
        <v/>
      </c>
    </row>
    <row r="154" ht="19" customHeight="1">
      <c r="A154" s="41" t="n">
        <v>150</v>
      </c>
      <c r="B154" s="41" t="n">
        <v>1150</v>
      </c>
      <c r="C154" s="42" t="inlineStr">
        <is>
          <t>0304927003</t>
        </is>
      </c>
      <c r="D154" s="42" t="inlineStr">
        <is>
          <t>Region III (Central Luzon)</t>
        </is>
      </c>
      <c r="E154" s="42" t="inlineStr">
        <is>
          <t>Nueva Ecija</t>
        </is>
      </c>
      <c r="F154" s="42" t="inlineStr">
        <is>
          <t>San Leonardo</t>
        </is>
      </c>
      <c r="G154" s="42" t="inlineStr">
        <is>
          <t>Burgos District</t>
        </is>
      </c>
      <c r="H154" s="43" t="n">
        <v>15.371569</v>
      </c>
      <c r="I154" s="43" t="n">
        <v>120.944606</v>
      </c>
      <c r="J154" s="44" t="inlineStr">
        <is>
          <t>R</t>
        </is>
      </c>
      <c r="K154" s="42" t="inlineStr">
        <is>
          <t>Class 1-3 / Urban</t>
        </is>
      </c>
      <c r="L154" s="23" t="n">
        <v>2172</v>
      </c>
      <c r="M154" s="24" t="n">
        <v>4.32</v>
      </c>
      <c r="N154" s="23">
        <f>ROUND(L154/M154, 0)</f>
        <v/>
      </c>
      <c r="O154" s="23">
        <f>ROUND(N154*'Methodology &amp; Assumptions'!$B$8, 0)</f>
        <v/>
      </c>
      <c r="P154" s="44" t="inlineStr">
        <is>
          <t>Band n50 (1.5 GHz, 60 MHz)</t>
        </is>
      </c>
      <c r="Q154" s="38">
        <f>ROUNDUP(O154/'Methodology &amp; Assumptions'!$B$9, 0)</f>
        <v/>
      </c>
      <c r="R154" s="39" t="n">
        <v>1</v>
      </c>
      <c r="S154" s="25" t="n">
        <v>0.92</v>
      </c>
      <c r="T154" s="25" t="n">
        <v>0.47</v>
      </c>
      <c r="U154" s="42" t="inlineStr">
        <is>
          <t>Tier 1A (Direct Coloc, &lt;1 km)</t>
        </is>
      </c>
      <c r="V154" s="24" t="n">
        <v>83.7</v>
      </c>
      <c r="W154" s="24" t="n">
        <v>64.3</v>
      </c>
      <c r="X154" s="24" t="n">
        <v>73</v>
      </c>
      <c r="Y154" s="45">
        <f>ROUND((V154*'Methodology &amp; Assumptions'!$B$6)+(W154*'Methodology &amp; Assumptions'!$B$5)+(X154*'Methodology &amp; Assumptions'!$B$7), 2)</f>
        <v/>
      </c>
    </row>
    <row r="155" ht="19" customHeight="1">
      <c r="A155" s="35" t="n">
        <v>151</v>
      </c>
      <c r="B155" s="35" t="n">
        <v>1151</v>
      </c>
      <c r="C155" s="36" t="inlineStr">
        <is>
          <t>0603044032</t>
        </is>
      </c>
      <c r="D155" s="36" t="inlineStr">
        <is>
          <t>Region VI (Western Visayas)</t>
        </is>
      </c>
      <c r="E155" s="36" t="inlineStr">
        <is>
          <t>Iloilo</t>
        </is>
      </c>
      <c r="F155" s="36" t="inlineStr">
        <is>
          <t>Sara</t>
        </is>
      </c>
      <c r="G155" s="36" t="inlineStr">
        <is>
          <t>Pasig</t>
        </is>
      </c>
      <c r="H155" s="37" t="n">
        <v>11.267033</v>
      </c>
      <c r="I155" s="37" t="n">
        <v>123.012992</v>
      </c>
      <c r="J155" s="8" t="inlineStr">
        <is>
          <t>R</t>
        </is>
      </c>
      <c r="K155" s="36" t="inlineStr">
        <is>
          <t>Class 1-3 / Urban</t>
        </is>
      </c>
      <c r="L155" s="18" t="n">
        <v>3484</v>
      </c>
      <c r="M155" s="20" t="n">
        <v>4.39</v>
      </c>
      <c r="N155" s="18">
        <f>ROUND(L155/M155, 0)</f>
        <v/>
      </c>
      <c r="O155" s="18">
        <f>ROUND(N155*'Methodology &amp; Assumptions'!$B$8, 0)</f>
        <v/>
      </c>
      <c r="P155" s="8" t="inlineStr">
        <is>
          <t>Band n50 (1.5 GHz, 60 MHz)</t>
        </is>
      </c>
      <c r="Q155" s="38">
        <f>ROUNDUP(O155/'Methodology &amp; Assumptions'!$B$9, 0)</f>
        <v/>
      </c>
      <c r="R155" s="39" t="n">
        <v>1</v>
      </c>
      <c r="S155" s="21" t="n">
        <v>1.37</v>
      </c>
      <c r="T155" s="21" t="n">
        <v>1.07</v>
      </c>
      <c r="U155" s="36" t="inlineStr">
        <is>
          <t>Tier 1B (Micro Drop, 1-3 km)</t>
        </is>
      </c>
      <c r="V155" s="20" t="n">
        <v>73.40000000000001</v>
      </c>
      <c r="W155" s="20" t="n">
        <v>87.5</v>
      </c>
      <c r="X155" s="20" t="n">
        <v>58</v>
      </c>
      <c r="Y155" s="40">
        <f>ROUND((V155*'Methodology &amp; Assumptions'!$B$6)+(W155*'Methodology &amp; Assumptions'!$B$5)+(X155*'Methodology &amp; Assumptions'!$B$7), 2)</f>
        <v/>
      </c>
    </row>
    <row r="156" ht="19" customHeight="1">
      <c r="A156" s="41" t="n">
        <v>152</v>
      </c>
      <c r="B156" s="41" t="n">
        <v>1152</v>
      </c>
      <c r="C156" s="42" t="inlineStr">
        <is>
          <t>1030500037</t>
        </is>
      </c>
      <c r="D156" s="42" t="inlineStr">
        <is>
          <t>Region X (Northern Mindanao)</t>
        </is>
      </c>
      <c r="E156" s="42" t="inlineStr">
        <is>
          <t>Misamis Oriental</t>
        </is>
      </c>
      <c r="F156" s="42" t="inlineStr">
        <is>
          <t>City of Cagayan De Oro</t>
        </is>
      </c>
      <c r="G156" s="42" t="inlineStr">
        <is>
          <t>Bayabas</t>
        </is>
      </c>
      <c r="H156" s="43" t="n">
        <v>8.513845999999999</v>
      </c>
      <c r="I156" s="43" t="n">
        <v>124.63892</v>
      </c>
      <c r="J156" s="44" t="inlineStr">
        <is>
          <t>U</t>
        </is>
      </c>
      <c r="K156" s="42" t="inlineStr">
        <is>
          <t>Class 1-3 / Urban</t>
        </is>
      </c>
      <c r="L156" s="23" t="n">
        <v>13991</v>
      </c>
      <c r="M156" s="24" t="n">
        <v>4.54</v>
      </c>
      <c r="N156" s="23">
        <f>ROUND(L156/M156, 0)</f>
        <v/>
      </c>
      <c r="O156" s="23">
        <f>ROUND(N156*'Methodology &amp; Assumptions'!$B$8, 0)</f>
        <v/>
      </c>
      <c r="P156" s="44" t="inlineStr">
        <is>
          <t>Band n50 (1.5 GHz, 60 MHz)</t>
        </is>
      </c>
      <c r="Q156" s="38">
        <f>ROUNDUP(O156/'Methodology &amp; Assumptions'!$B$9, 0)</f>
        <v/>
      </c>
      <c r="R156" s="39" t="n">
        <v>1</v>
      </c>
      <c r="S156" s="25" t="n">
        <v>0.8</v>
      </c>
      <c r="T156" s="25" t="n">
        <v>0.5</v>
      </c>
      <c r="U156" s="42" t="inlineStr">
        <is>
          <t>Tier 1A (Direct Coloc, &lt;1 km)</t>
        </is>
      </c>
      <c r="V156" s="24" t="n">
        <v>86.5</v>
      </c>
      <c r="W156" s="24" t="n">
        <v>100</v>
      </c>
      <c r="X156" s="24" t="n">
        <v>28</v>
      </c>
      <c r="Y156" s="45">
        <f>ROUND((V156*'Methodology &amp; Assumptions'!$B$6)+(W156*'Methodology &amp; Assumptions'!$B$5)+(X156*'Methodology &amp; Assumptions'!$B$7), 2)</f>
        <v/>
      </c>
    </row>
    <row r="157" ht="19" customHeight="1">
      <c r="A157" s="35" t="n">
        <v>153</v>
      </c>
      <c r="B157" s="35" t="n">
        <v>1153</v>
      </c>
      <c r="C157" s="36" t="inlineStr">
        <is>
          <t>0401007037</t>
        </is>
      </c>
      <c r="D157" s="36" t="inlineStr">
        <is>
          <t>Region IV-A (CALABARZON)</t>
        </is>
      </c>
      <c r="E157" s="36" t="inlineStr">
        <is>
          <t>Batangas</t>
        </is>
      </c>
      <c r="F157" s="36" t="inlineStr">
        <is>
          <t>City of Calaca</t>
        </is>
      </c>
      <c r="G157" s="36" t="inlineStr">
        <is>
          <t>Salong</t>
        </is>
      </c>
      <c r="H157" s="37" t="n">
        <v>13.9211</v>
      </c>
      <c r="I157" s="37" t="n">
        <v>120.8165</v>
      </c>
      <c r="J157" s="8" t="inlineStr">
        <is>
          <t>U</t>
        </is>
      </c>
      <c r="K157" s="36" t="inlineStr">
        <is>
          <t>Class 1-3 / Urban</t>
        </is>
      </c>
      <c r="L157" s="18" t="n">
        <v>4881</v>
      </c>
      <c r="M157" s="20" t="n">
        <v>4.62</v>
      </c>
      <c r="N157" s="18">
        <f>ROUND(L157/M157, 0)</f>
        <v/>
      </c>
      <c r="O157" s="18">
        <f>ROUND(N157*'Methodology &amp; Assumptions'!$B$8, 0)</f>
        <v/>
      </c>
      <c r="P157" s="8" t="inlineStr">
        <is>
          <t>Band n50 (1.5 GHz, 60 MHz)</t>
        </is>
      </c>
      <c r="Q157" s="38">
        <f>ROUNDUP(O157/'Methodology &amp; Assumptions'!$B$9, 0)</f>
        <v/>
      </c>
      <c r="R157" s="39" t="n">
        <v>1</v>
      </c>
      <c r="S157" s="21" t="n">
        <v>0.8</v>
      </c>
      <c r="T157" s="21" t="n">
        <v>0.57</v>
      </c>
      <c r="U157" s="36" t="inlineStr">
        <is>
          <t>Tier 1A (Direct Coloc, &lt;1 km)</t>
        </is>
      </c>
      <c r="V157" s="20" t="n">
        <v>86.5</v>
      </c>
      <c r="W157" s="20" t="n">
        <v>100</v>
      </c>
      <c r="X157" s="20" t="n">
        <v>28</v>
      </c>
      <c r="Y157" s="40">
        <f>ROUND((V157*'Methodology &amp; Assumptions'!$B$6)+(W157*'Methodology &amp; Assumptions'!$B$5)+(X157*'Methodology &amp; Assumptions'!$B$7), 2)</f>
        <v/>
      </c>
    </row>
    <row r="158" ht="19" customHeight="1">
      <c r="A158" s="41" t="n">
        <v>154</v>
      </c>
      <c r="B158" s="41" t="n">
        <v>1154</v>
      </c>
      <c r="C158" s="42" t="inlineStr">
        <is>
          <t>0501736013</t>
        </is>
      </c>
      <c r="D158" s="42" t="inlineStr">
        <is>
          <t>Region V (Bicol Region)</t>
        </is>
      </c>
      <c r="E158" s="42" t="inlineStr">
        <is>
          <t>Camarines Sur</t>
        </is>
      </c>
      <c r="F158" s="42" t="inlineStr">
        <is>
          <t>Tigaon</t>
        </is>
      </c>
      <c r="G158" s="42" t="inlineStr">
        <is>
          <t>May-Anao</t>
        </is>
      </c>
      <c r="H158" s="43" t="n">
        <v>13.623828</v>
      </c>
      <c r="I158" s="43" t="n">
        <v>123.50346</v>
      </c>
      <c r="J158" s="44" t="inlineStr">
        <is>
          <t>R</t>
        </is>
      </c>
      <c r="K158" s="42" t="inlineStr">
        <is>
          <t>Class 1-3 / Urban</t>
        </is>
      </c>
      <c r="L158" s="23" t="n">
        <v>3334</v>
      </c>
      <c r="M158" s="24" t="n">
        <v>4.9</v>
      </c>
      <c r="N158" s="23">
        <f>ROUND(L158/M158, 0)</f>
        <v/>
      </c>
      <c r="O158" s="23">
        <f>ROUND(N158*'Methodology &amp; Assumptions'!$B$8, 0)</f>
        <v/>
      </c>
      <c r="P158" s="44" t="inlineStr">
        <is>
          <t>Band n50 (1.5 GHz, 60 MHz)</t>
        </is>
      </c>
      <c r="Q158" s="38">
        <f>ROUNDUP(O158/'Methodology &amp; Assumptions'!$B$9, 0)</f>
        <v/>
      </c>
      <c r="R158" s="39" t="n">
        <v>1</v>
      </c>
      <c r="S158" s="25" t="n">
        <v>0.97</v>
      </c>
      <c r="T158" s="25" t="n">
        <v>0.17</v>
      </c>
      <c r="U158" s="42" t="inlineStr">
        <is>
          <t>Tier 1A (Direct Coloc, &lt;1 km)</t>
        </is>
      </c>
      <c r="V158" s="24" t="n">
        <v>82.40000000000001</v>
      </c>
      <c r="W158" s="24" t="n">
        <v>78.40000000000001</v>
      </c>
      <c r="X158" s="24" t="n">
        <v>58</v>
      </c>
      <c r="Y158" s="45">
        <f>ROUND((V158*'Methodology &amp; Assumptions'!$B$6)+(W158*'Methodology &amp; Assumptions'!$B$5)+(X158*'Methodology &amp; Assumptions'!$B$7), 2)</f>
        <v/>
      </c>
    </row>
    <row r="159" ht="19" customHeight="1">
      <c r="A159" s="35" t="n">
        <v>155</v>
      </c>
      <c r="B159" s="35" t="n">
        <v>1155</v>
      </c>
      <c r="C159" s="36" t="inlineStr">
        <is>
          <t>1430300016</t>
        </is>
      </c>
      <c r="D159" s="36" t="inlineStr">
        <is>
          <t>Cordillera Administrative Region (CAR)</t>
        </is>
      </c>
      <c r="E159" s="36" t="inlineStr">
        <is>
          <t>Benguet</t>
        </is>
      </c>
      <c r="F159" s="36" t="inlineStr">
        <is>
          <t>City of Baguio</t>
        </is>
      </c>
      <c r="G159" s="36" t="inlineStr">
        <is>
          <t>Camp Allen</t>
        </is>
      </c>
      <c r="H159" s="37" t="n">
        <v>16.4153</v>
      </c>
      <c r="I159" s="37" t="n">
        <v>120.59183</v>
      </c>
      <c r="J159" s="8" t="inlineStr">
        <is>
          <t>R</t>
        </is>
      </c>
      <c r="K159" s="36" t="inlineStr">
        <is>
          <t>Class 1-3 / Urban</t>
        </is>
      </c>
      <c r="L159" s="18" t="n">
        <v>2330</v>
      </c>
      <c r="M159" s="20" t="n">
        <v>4.58</v>
      </c>
      <c r="N159" s="18">
        <f>ROUND(L159/M159, 0)</f>
        <v/>
      </c>
      <c r="O159" s="18">
        <f>ROUND(N159*'Methodology &amp; Assumptions'!$B$8, 0)</f>
        <v/>
      </c>
      <c r="P159" s="8" t="inlineStr">
        <is>
          <t>Band n50 (1.5 GHz, 60 MHz)</t>
        </is>
      </c>
      <c r="Q159" s="38">
        <f>ROUNDUP(O159/'Methodology &amp; Assumptions'!$B$9, 0)</f>
        <v/>
      </c>
      <c r="R159" s="39" t="n">
        <v>1</v>
      </c>
      <c r="S159" s="21" t="n">
        <v>0.27</v>
      </c>
      <c r="T159" s="21" t="n">
        <v>0.12</v>
      </c>
      <c r="U159" s="36" t="inlineStr">
        <is>
          <t>Tier 1A (Direct Coloc, &lt;1 km)</t>
        </is>
      </c>
      <c r="V159" s="20" t="n">
        <v>100</v>
      </c>
      <c r="W159" s="20" t="n">
        <v>60.8</v>
      </c>
      <c r="X159" s="20" t="n">
        <v>58</v>
      </c>
      <c r="Y159" s="40">
        <f>ROUND((V159*'Methodology &amp; Assumptions'!$B$6)+(W159*'Methodology &amp; Assumptions'!$B$5)+(X159*'Methodology &amp; Assumptions'!$B$7), 2)</f>
        <v/>
      </c>
    </row>
    <row r="160" ht="19" customHeight="1">
      <c r="A160" s="41" t="n">
        <v>156</v>
      </c>
      <c r="B160" s="41" t="n">
        <v>1156</v>
      </c>
      <c r="C160" s="42" t="inlineStr">
        <is>
          <t>0501603007</t>
        </is>
      </c>
      <c r="D160" s="42" t="inlineStr">
        <is>
          <t>Region V (Bicol Region)</t>
        </is>
      </c>
      <c r="E160" s="42" t="inlineStr">
        <is>
          <t>Camarines Norte</t>
        </is>
      </c>
      <c r="F160" s="42" t="inlineStr">
        <is>
          <t>Daet</t>
        </is>
      </c>
      <c r="G160" s="42" t="inlineStr">
        <is>
          <t>Camambugan</t>
        </is>
      </c>
      <c r="H160" s="43" t="n">
        <v>14.108185</v>
      </c>
      <c r="I160" s="43" t="n">
        <v>122.950179</v>
      </c>
      <c r="J160" s="44" t="inlineStr">
        <is>
          <t>U</t>
        </is>
      </c>
      <c r="K160" s="42" t="inlineStr">
        <is>
          <t>Class 1-3 / Urban</t>
        </is>
      </c>
      <c r="L160" s="23" t="n">
        <v>9496</v>
      </c>
      <c r="M160" s="24" t="n">
        <v>4.4</v>
      </c>
      <c r="N160" s="23">
        <f>ROUND(L160/M160, 0)</f>
        <v/>
      </c>
      <c r="O160" s="23">
        <f>ROUND(N160*'Methodology &amp; Assumptions'!$B$8, 0)</f>
        <v/>
      </c>
      <c r="P160" s="44" t="inlineStr">
        <is>
          <t>Band n50 (1.5 GHz, 60 MHz)</t>
        </is>
      </c>
      <c r="Q160" s="38">
        <f>ROUNDUP(O160/'Methodology &amp; Assumptions'!$B$9, 0)</f>
        <v/>
      </c>
      <c r="R160" s="39" t="n">
        <v>1</v>
      </c>
      <c r="S160" s="25" t="n">
        <v>0.8</v>
      </c>
      <c r="T160" s="25" t="n">
        <v>0.9399999999999999</v>
      </c>
      <c r="U160" s="42" t="inlineStr">
        <is>
          <t>Tier 1A (Direct Coloc, &lt;1 km)</t>
        </is>
      </c>
      <c r="V160" s="24" t="n">
        <v>86.5</v>
      </c>
      <c r="W160" s="24" t="n">
        <v>100</v>
      </c>
      <c r="X160" s="24" t="n">
        <v>28</v>
      </c>
      <c r="Y160" s="45">
        <f>ROUND((V160*'Methodology &amp; Assumptions'!$B$6)+(W160*'Methodology &amp; Assumptions'!$B$5)+(X160*'Methodology &amp; Assumptions'!$B$7), 2)</f>
        <v/>
      </c>
    </row>
    <row r="161" ht="19" customHeight="1">
      <c r="A161" s="35" t="n">
        <v>157</v>
      </c>
      <c r="B161" s="35" t="n">
        <v>1157</v>
      </c>
      <c r="C161" s="36" t="inlineStr">
        <is>
          <t>1102315034</t>
        </is>
      </c>
      <c r="D161" s="36" t="inlineStr">
        <is>
          <t>Region XI (Davao Region)</t>
        </is>
      </c>
      <c r="E161" s="36" t="inlineStr">
        <is>
          <t>Davao del Norte</t>
        </is>
      </c>
      <c r="F161" s="36" t="inlineStr">
        <is>
          <t>City of Panabo</t>
        </is>
      </c>
      <c r="G161" s="36" t="inlineStr">
        <is>
          <t>Santo Niño</t>
        </is>
      </c>
      <c r="H161" s="37" t="n">
        <v>7.30377</v>
      </c>
      <c r="I161" s="37" t="n">
        <v>125.68681</v>
      </c>
      <c r="J161" s="8" t="inlineStr">
        <is>
          <t>U</t>
        </is>
      </c>
      <c r="K161" s="36" t="inlineStr">
        <is>
          <t>Class 1-3 / Urban</t>
        </is>
      </c>
      <c r="L161" s="18" t="n">
        <v>5156</v>
      </c>
      <c r="M161" s="20" t="n">
        <v>4.25</v>
      </c>
      <c r="N161" s="18">
        <f>ROUND(L161/M161, 0)</f>
        <v/>
      </c>
      <c r="O161" s="18">
        <f>ROUND(N161*'Methodology &amp; Assumptions'!$B$8, 0)</f>
        <v/>
      </c>
      <c r="P161" s="8" t="inlineStr">
        <is>
          <t>Band n50 (1.5 GHz, 60 MHz)</t>
        </is>
      </c>
      <c r="Q161" s="38">
        <f>ROUNDUP(O161/'Methodology &amp; Assumptions'!$B$9, 0)</f>
        <v/>
      </c>
      <c r="R161" s="39" t="n">
        <v>1</v>
      </c>
      <c r="S161" s="21" t="n">
        <v>0.8</v>
      </c>
      <c r="T161" s="21" t="n">
        <v>0.5</v>
      </c>
      <c r="U161" s="36" t="inlineStr">
        <is>
          <t>Tier 1A (Direct Coloc, &lt;1 km)</t>
        </is>
      </c>
      <c r="V161" s="20" t="n">
        <v>86.5</v>
      </c>
      <c r="W161" s="20" t="n">
        <v>100</v>
      </c>
      <c r="X161" s="20" t="n">
        <v>28</v>
      </c>
      <c r="Y161" s="40">
        <f>ROUND((V161*'Methodology &amp; Assumptions'!$B$6)+(W161*'Methodology &amp; Assumptions'!$B$5)+(X161*'Methodology &amp; Assumptions'!$B$7), 2)</f>
        <v/>
      </c>
    </row>
    <row r="162" ht="19" customHeight="1">
      <c r="A162" s="41" t="n">
        <v>158</v>
      </c>
      <c r="B162" s="41" t="n">
        <v>1158</v>
      </c>
      <c r="C162" s="42" t="inlineStr">
        <is>
          <t>0405638004</t>
        </is>
      </c>
      <c r="D162" s="42" t="inlineStr">
        <is>
          <t>Region IV-A (CALABARZON)</t>
        </is>
      </c>
      <c r="E162" s="42" t="inlineStr">
        <is>
          <t>Quezon</t>
        </is>
      </c>
      <c r="F162" s="42" t="inlineStr">
        <is>
          <t>Real</t>
        </is>
      </c>
      <c r="G162" s="42" t="inlineStr">
        <is>
          <t>Kiloloran</t>
        </is>
      </c>
      <c r="H162" s="43" t="n">
        <v>14.641681</v>
      </c>
      <c r="I162" s="43" t="n">
        <v>121.606201</v>
      </c>
      <c r="J162" s="44" t="inlineStr">
        <is>
          <t>R</t>
        </is>
      </c>
      <c r="K162" s="42" t="inlineStr">
        <is>
          <t>Class 1-3 / Urban</t>
        </is>
      </c>
      <c r="L162" s="23" t="n">
        <v>2498</v>
      </c>
      <c r="M162" s="24" t="n">
        <v>4.46</v>
      </c>
      <c r="N162" s="23">
        <f>ROUND(L162/M162, 0)</f>
        <v/>
      </c>
      <c r="O162" s="23">
        <f>ROUND(N162*'Methodology &amp; Assumptions'!$B$8, 0)</f>
        <v/>
      </c>
      <c r="P162" s="44" t="inlineStr">
        <is>
          <t>Band n50 (1.5 GHz, 60 MHz)</t>
        </is>
      </c>
      <c r="Q162" s="38">
        <f>ROUNDUP(O162/'Methodology &amp; Assumptions'!$B$9, 0)</f>
        <v/>
      </c>
      <c r="R162" s="39" t="n">
        <v>1</v>
      </c>
      <c r="S162" s="25" t="n">
        <v>0.25</v>
      </c>
      <c r="T162" s="25" t="n">
        <v>28.22</v>
      </c>
      <c r="U162" s="42" t="inlineStr">
        <is>
          <t>Tier 1A (Direct Coloc, &lt;1 km)</t>
        </is>
      </c>
      <c r="V162" s="24" t="n">
        <v>92</v>
      </c>
      <c r="W162" s="24" t="n">
        <v>68.8</v>
      </c>
      <c r="X162" s="24" t="n">
        <v>58</v>
      </c>
      <c r="Y162" s="45">
        <f>ROUND((V162*'Methodology &amp; Assumptions'!$B$6)+(W162*'Methodology &amp; Assumptions'!$B$5)+(X162*'Methodology &amp; Assumptions'!$B$7), 2)</f>
        <v/>
      </c>
    </row>
    <row r="163" ht="19" customHeight="1">
      <c r="A163" s="35" t="n">
        <v>159</v>
      </c>
      <c r="B163" s="35" t="n">
        <v>1159</v>
      </c>
      <c r="C163" s="36" t="inlineStr">
        <is>
          <t>1102303007</t>
        </is>
      </c>
      <c r="D163" s="36" t="inlineStr">
        <is>
          <t>Region XI (Davao Region)</t>
        </is>
      </c>
      <c r="E163" s="36" t="inlineStr">
        <is>
          <t>Davao del Norte</t>
        </is>
      </c>
      <c r="F163" s="36" t="inlineStr">
        <is>
          <t>Carmen</t>
        </is>
      </c>
      <c r="G163" s="36" t="inlineStr">
        <is>
          <t>Ising</t>
        </is>
      </c>
      <c r="H163" s="37" t="n">
        <v>7.35754</v>
      </c>
      <c r="I163" s="37" t="n">
        <v>125.70212</v>
      </c>
      <c r="J163" s="8" t="inlineStr">
        <is>
          <t>U</t>
        </is>
      </c>
      <c r="K163" s="36" t="inlineStr">
        <is>
          <t>Class 1-3 / Urban</t>
        </is>
      </c>
      <c r="L163" s="18" t="n">
        <v>14204</v>
      </c>
      <c r="M163" s="20" t="n">
        <v>4.25</v>
      </c>
      <c r="N163" s="18">
        <f>ROUND(L163/M163, 0)</f>
        <v/>
      </c>
      <c r="O163" s="18">
        <f>ROUND(N163*'Methodology &amp; Assumptions'!$B$8, 0)</f>
        <v/>
      </c>
      <c r="P163" s="8" t="inlineStr">
        <is>
          <t>Band n50 (1.5 GHz, 60 MHz)</t>
        </is>
      </c>
      <c r="Q163" s="38">
        <f>ROUNDUP(O163/'Methodology &amp; Assumptions'!$B$9, 0)</f>
        <v/>
      </c>
      <c r="R163" s="39" t="n">
        <v>1</v>
      </c>
      <c r="S163" s="21" t="n">
        <v>0.8</v>
      </c>
      <c r="T163" s="21" t="n">
        <v>0.34</v>
      </c>
      <c r="U163" s="36" t="inlineStr">
        <is>
          <t>Tier 1A (Direct Coloc, &lt;1 km)</t>
        </is>
      </c>
      <c r="V163" s="20" t="n">
        <v>86.5</v>
      </c>
      <c r="W163" s="20" t="n">
        <v>100</v>
      </c>
      <c r="X163" s="20" t="n">
        <v>28</v>
      </c>
      <c r="Y163" s="40">
        <f>ROUND((V163*'Methodology &amp; Assumptions'!$B$6)+(W163*'Methodology &amp; Assumptions'!$B$5)+(X163*'Methodology &amp; Assumptions'!$B$7), 2)</f>
        <v/>
      </c>
    </row>
    <row r="164" ht="19" customHeight="1">
      <c r="A164" s="41" t="n">
        <v>160</v>
      </c>
      <c r="B164" s="41" t="n">
        <v>1160</v>
      </c>
      <c r="C164" s="42" t="inlineStr">
        <is>
          <t>0702251017</t>
        </is>
      </c>
      <c r="D164" s="42" t="inlineStr">
        <is>
          <t>Region VII (Central Visayas)</t>
        </is>
      </c>
      <c r="E164" s="42" t="inlineStr">
        <is>
          <t>Cebu</t>
        </is>
      </c>
      <c r="F164" s="42" t="inlineStr">
        <is>
          <t>City of Toledo</t>
        </is>
      </c>
      <c r="G164" s="42" t="inlineStr">
        <is>
          <t>Dumlog</t>
        </is>
      </c>
      <c r="H164" s="43" t="n">
        <v>10.393274</v>
      </c>
      <c r="I164" s="43" t="n">
        <v>123.652842</v>
      </c>
      <c r="J164" s="44" t="inlineStr">
        <is>
          <t>U</t>
        </is>
      </c>
      <c r="K164" s="42" t="inlineStr">
        <is>
          <t>Class 1-3 / Urban</t>
        </is>
      </c>
      <c r="L164" s="23" t="n">
        <v>6594</v>
      </c>
      <c r="M164" s="24" t="n">
        <v>4.42</v>
      </c>
      <c r="N164" s="23">
        <f>ROUND(L164/M164, 0)</f>
        <v/>
      </c>
      <c r="O164" s="23">
        <f>ROUND(N164*'Methodology &amp; Assumptions'!$B$8, 0)</f>
        <v/>
      </c>
      <c r="P164" s="44" t="inlineStr">
        <is>
          <t>Band n50 (1.5 GHz, 60 MHz)</t>
        </is>
      </c>
      <c r="Q164" s="38">
        <f>ROUNDUP(O164/'Methodology &amp; Assumptions'!$B$9, 0)</f>
        <v/>
      </c>
      <c r="R164" s="39" t="n">
        <v>1</v>
      </c>
      <c r="S164" s="25" t="n">
        <v>0.8</v>
      </c>
      <c r="T164" s="25" t="n">
        <v>0.23</v>
      </c>
      <c r="U164" s="42" t="inlineStr">
        <is>
          <t>Tier 1A (Direct Coloc, &lt;1 km)</t>
        </is>
      </c>
      <c r="V164" s="24" t="n">
        <v>86.5</v>
      </c>
      <c r="W164" s="24" t="n">
        <v>100</v>
      </c>
      <c r="X164" s="24" t="n">
        <v>28</v>
      </c>
      <c r="Y164" s="45">
        <f>ROUND((V164*'Methodology &amp; Assumptions'!$B$6)+(W164*'Methodology &amp; Assumptions'!$B$5)+(X164*'Methodology &amp; Assumptions'!$B$7), 2)</f>
        <v/>
      </c>
    </row>
    <row r="165" ht="19" customHeight="1">
      <c r="A165" s="35" t="n">
        <v>161</v>
      </c>
      <c r="B165" s="35" t="n">
        <v>1161</v>
      </c>
      <c r="C165" s="36" t="inlineStr">
        <is>
          <t>0405641018</t>
        </is>
      </c>
      <c r="D165" s="36" t="inlineStr">
        <is>
          <t>Region IV-A (CALABARZON)</t>
        </is>
      </c>
      <c r="E165" s="36" t="inlineStr">
        <is>
          <t>Quezon</t>
        </is>
      </c>
      <c r="F165" s="36" t="inlineStr">
        <is>
          <t>San Antonio</t>
        </is>
      </c>
      <c r="G165" s="36" t="inlineStr">
        <is>
          <t>Sampaguita</t>
        </is>
      </c>
      <c r="H165" s="37" t="n">
        <v>13.889721</v>
      </c>
      <c r="I165" s="37" t="n">
        <v>121.28655</v>
      </c>
      <c r="J165" s="8" t="inlineStr">
        <is>
          <t>R</t>
        </is>
      </c>
      <c r="K165" s="36" t="inlineStr">
        <is>
          <t>3rd</t>
        </is>
      </c>
      <c r="L165" s="18" t="n">
        <v>2216</v>
      </c>
      <c r="M165" s="20" t="n">
        <v>4.53</v>
      </c>
      <c r="N165" s="18">
        <f>ROUND(L165/M165, 0)</f>
        <v/>
      </c>
      <c r="O165" s="18">
        <f>ROUND(N165*'Methodology &amp; Assumptions'!$B$8, 0)</f>
        <v/>
      </c>
      <c r="P165" s="8" t="inlineStr">
        <is>
          <t>Band n50 (1.5 GHz, 60 MHz)</t>
        </is>
      </c>
      <c r="Q165" s="38">
        <f>ROUNDUP(O165/'Methodology &amp; Assumptions'!$B$9, 0)</f>
        <v/>
      </c>
      <c r="R165" s="39" t="n">
        <v>1</v>
      </c>
      <c r="S165" s="21" t="n">
        <v>0.4</v>
      </c>
      <c r="T165" s="21" t="n">
        <v>0.13</v>
      </c>
      <c r="U165" s="36" t="inlineStr">
        <is>
          <t>Tier 1A (Direct Coloc, &lt;1 km)</t>
        </is>
      </c>
      <c r="V165" s="20" t="n">
        <v>97.5</v>
      </c>
      <c r="W165" s="20" t="n">
        <v>63.2</v>
      </c>
      <c r="X165" s="20" t="n">
        <v>58</v>
      </c>
      <c r="Y165" s="40">
        <f>ROUND((V165*'Methodology &amp; Assumptions'!$B$6)+(W165*'Methodology &amp; Assumptions'!$B$5)+(X165*'Methodology &amp; Assumptions'!$B$7), 2)</f>
        <v/>
      </c>
    </row>
    <row r="166" ht="19" customHeight="1">
      <c r="A166" s="41" t="n">
        <v>162</v>
      </c>
      <c r="B166" s="41" t="n">
        <v>1162</v>
      </c>
      <c r="C166" s="42" t="inlineStr">
        <is>
          <t>0402106021</t>
        </is>
      </c>
      <c r="D166" s="42" t="inlineStr">
        <is>
          <t>Region IV-A (CALABARZON)</t>
        </is>
      </c>
      <c r="E166" s="42" t="inlineStr">
        <is>
          <t>Cavite</t>
        </is>
      </c>
      <c r="F166" s="42" t="inlineStr">
        <is>
          <t>City of Dasmariñas</t>
        </is>
      </c>
      <c r="G166" s="42" t="inlineStr">
        <is>
          <t>Emmanuel Bergado I</t>
        </is>
      </c>
      <c r="H166" s="43" t="n">
        <v>14.316272</v>
      </c>
      <c r="I166" s="43" t="n">
        <v>120.959337</v>
      </c>
      <c r="J166" s="44" t="inlineStr">
        <is>
          <t>U</t>
        </is>
      </c>
      <c r="K166" s="42" t="inlineStr">
        <is>
          <t>Class 1-3 / Urban</t>
        </is>
      </c>
      <c r="L166" s="23" t="n">
        <v>8002</v>
      </c>
      <c r="M166" s="24" t="n">
        <v>4.49</v>
      </c>
      <c r="N166" s="23">
        <f>ROUND(L166/M166, 0)</f>
        <v/>
      </c>
      <c r="O166" s="23">
        <f>ROUND(N166*'Methodology &amp; Assumptions'!$B$8, 0)</f>
        <v/>
      </c>
      <c r="P166" s="44" t="inlineStr">
        <is>
          <t>Band n50 (1.5 GHz, 60 MHz)</t>
        </is>
      </c>
      <c r="Q166" s="38">
        <f>ROUNDUP(O166/'Methodology &amp; Assumptions'!$B$9, 0)</f>
        <v/>
      </c>
      <c r="R166" s="39" t="n">
        <v>1</v>
      </c>
      <c r="S166" s="25" t="n">
        <v>0.8100000000000001</v>
      </c>
      <c r="T166" s="25" t="n">
        <v>1.74</v>
      </c>
      <c r="U166" s="42" t="inlineStr">
        <is>
          <t>Tier 1A (Direct Coloc, &lt;1 km)</t>
        </is>
      </c>
      <c r="V166" s="24" t="n">
        <v>86.40000000000001</v>
      </c>
      <c r="W166" s="24" t="n">
        <v>100</v>
      </c>
      <c r="X166" s="24" t="n">
        <v>28</v>
      </c>
      <c r="Y166" s="45">
        <f>ROUND((V166*'Methodology &amp; Assumptions'!$B$6)+(W166*'Methodology &amp; Assumptions'!$B$5)+(X166*'Methodology &amp; Assumptions'!$B$7), 2)</f>
        <v/>
      </c>
    </row>
    <row r="167" ht="19" customHeight="1">
      <c r="A167" s="35" t="n">
        <v>163</v>
      </c>
      <c r="B167" s="35" t="n">
        <v>1163</v>
      </c>
      <c r="C167" s="36" t="inlineStr">
        <is>
          <t>1004308048</t>
        </is>
      </c>
      <c r="D167" s="36" t="inlineStr">
        <is>
          <t>Region X (Northern Mindanao)</t>
        </is>
      </c>
      <c r="E167" s="36" t="inlineStr">
        <is>
          <t>Misamis Oriental</t>
        </is>
      </c>
      <c r="F167" s="36" t="inlineStr">
        <is>
          <t>City of Gingoog</t>
        </is>
      </c>
      <c r="G167" s="36" t="inlineStr">
        <is>
          <t>Barangay 23</t>
        </is>
      </c>
      <c r="H167" s="37" t="n">
        <v>8.817080000000001</v>
      </c>
      <c r="I167" s="37" t="n">
        <v>125.0999</v>
      </c>
      <c r="J167" s="8" t="inlineStr">
        <is>
          <t>R</t>
        </is>
      </c>
      <c r="K167" s="36" t="inlineStr">
        <is>
          <t>Class 1-3 / Urban</t>
        </is>
      </c>
      <c r="L167" s="18" t="n">
        <v>3218</v>
      </c>
      <c r="M167" s="20" t="n">
        <v>4.54</v>
      </c>
      <c r="N167" s="18">
        <f>ROUND(L167/M167, 0)</f>
        <v/>
      </c>
      <c r="O167" s="18">
        <f>ROUND(N167*'Methodology &amp; Assumptions'!$B$8, 0)</f>
        <v/>
      </c>
      <c r="P167" s="8" t="inlineStr">
        <is>
          <t>Band n50 (1.5 GHz, 60 MHz)</t>
        </is>
      </c>
      <c r="Q167" s="38">
        <f>ROUNDUP(O167/'Methodology &amp; Assumptions'!$B$9, 0)</f>
        <v/>
      </c>
      <c r="R167" s="39" t="n">
        <v>1</v>
      </c>
      <c r="S167" s="21" t="n">
        <v>1.08</v>
      </c>
      <c r="T167" s="21" t="n">
        <v>0.7</v>
      </c>
      <c r="U167" s="36" t="inlineStr">
        <is>
          <t>Tier 1B (Micro Drop, 1-3 km)</t>
        </is>
      </c>
      <c r="V167" s="20" t="n">
        <v>79.90000000000001</v>
      </c>
      <c r="W167" s="20" t="n">
        <v>80.8</v>
      </c>
      <c r="X167" s="20" t="n">
        <v>58</v>
      </c>
      <c r="Y167" s="40">
        <f>ROUND((V167*'Methodology &amp; Assumptions'!$B$6)+(W167*'Methodology &amp; Assumptions'!$B$5)+(X167*'Methodology &amp; Assumptions'!$B$7), 2)</f>
        <v/>
      </c>
    </row>
    <row r="168" ht="19" customHeight="1">
      <c r="A168" s="41" t="n">
        <v>164</v>
      </c>
      <c r="B168" s="41" t="n">
        <v>1164</v>
      </c>
      <c r="C168" s="42" t="inlineStr">
        <is>
          <t>0401024010</t>
        </is>
      </c>
      <c r="D168" s="42" t="inlineStr">
        <is>
          <t>Region IV-A (CALABARZON)</t>
        </is>
      </c>
      <c r="E168" s="42" t="inlineStr">
        <is>
          <t>Batangas</t>
        </is>
      </c>
      <c r="F168" s="42" t="inlineStr">
        <is>
          <t>San Luis</t>
        </is>
      </c>
      <c r="G168" s="42" t="inlineStr">
        <is>
          <t>Dulangan</t>
        </is>
      </c>
      <c r="H168" s="43" t="n">
        <v>13.84892</v>
      </c>
      <c r="I168" s="43" t="n">
        <v>120.917664</v>
      </c>
      <c r="J168" s="44" t="inlineStr">
        <is>
          <t>R</t>
        </is>
      </c>
      <c r="K168" s="42" t="inlineStr">
        <is>
          <t>3rd</t>
        </is>
      </c>
      <c r="L168" s="23" t="n">
        <v>3095</v>
      </c>
      <c r="M168" s="24" t="n">
        <v>4.5</v>
      </c>
      <c r="N168" s="23">
        <f>ROUND(L168/M168, 0)</f>
        <v/>
      </c>
      <c r="O168" s="23">
        <f>ROUND(N168*'Methodology &amp; Assumptions'!$B$8, 0)</f>
        <v/>
      </c>
      <c r="P168" s="44" t="inlineStr">
        <is>
          <t>Band n50 (1.5 GHz, 60 MHz)</t>
        </is>
      </c>
      <c r="Q168" s="38">
        <f>ROUNDUP(O168/'Methodology &amp; Assumptions'!$B$9, 0)</f>
        <v/>
      </c>
      <c r="R168" s="39" t="n">
        <v>1</v>
      </c>
      <c r="S168" s="25" t="n">
        <v>0.6</v>
      </c>
      <c r="T168" s="25" t="n">
        <v>4.76</v>
      </c>
      <c r="U168" s="42" t="inlineStr">
        <is>
          <t>Tier 1A (Direct Coloc, &lt;1 km)</t>
        </is>
      </c>
      <c r="V168" s="24" t="n">
        <v>81.8</v>
      </c>
      <c r="W168" s="24" t="n">
        <v>78.90000000000001</v>
      </c>
      <c r="X168" s="24" t="n">
        <v>58</v>
      </c>
      <c r="Y168" s="45">
        <f>ROUND((V168*'Methodology &amp; Assumptions'!$B$6)+(W168*'Methodology &amp; Assumptions'!$B$5)+(X168*'Methodology &amp; Assumptions'!$B$7), 2)</f>
        <v/>
      </c>
    </row>
    <row r="169" ht="19" customHeight="1">
      <c r="A169" s="35" t="n">
        <v>165</v>
      </c>
      <c r="B169" s="35" t="n">
        <v>1165</v>
      </c>
      <c r="C169" s="36" t="inlineStr">
        <is>
          <t>0105520007</t>
        </is>
      </c>
      <c r="D169" s="36" t="inlineStr">
        <is>
          <t>Region I (Ilocos Region)</t>
        </is>
      </c>
      <c r="E169" s="36" t="inlineStr">
        <is>
          <t>Pangasinan</t>
        </is>
      </c>
      <c r="F169" s="36" t="inlineStr">
        <is>
          <t>Infanta</t>
        </is>
      </c>
      <c r="G169" s="36" t="inlineStr">
        <is>
          <t>Fatima</t>
        </is>
      </c>
      <c r="H169" s="37" t="n">
        <v>15.830443</v>
      </c>
      <c r="I169" s="37" t="n">
        <v>119.912317</v>
      </c>
      <c r="J169" s="8" t="inlineStr">
        <is>
          <t>R</t>
        </is>
      </c>
      <c r="K169" s="36" t="inlineStr">
        <is>
          <t>Class 1-3 / Urban</t>
        </is>
      </c>
      <c r="L169" s="18" t="n">
        <v>2357</v>
      </c>
      <c r="M169" s="20" t="n">
        <v>4.39</v>
      </c>
      <c r="N169" s="18">
        <f>ROUND(L169/M169, 0)</f>
        <v/>
      </c>
      <c r="O169" s="18">
        <f>ROUND(N169*'Methodology &amp; Assumptions'!$B$8, 0)</f>
        <v/>
      </c>
      <c r="P169" s="8" t="inlineStr">
        <is>
          <t>Band n50 (1.5 GHz, 60 MHz)</t>
        </is>
      </c>
      <c r="Q169" s="38">
        <f>ROUNDUP(O169/'Methodology &amp; Assumptions'!$B$9, 0)</f>
        <v/>
      </c>
      <c r="R169" s="39" t="n">
        <v>1</v>
      </c>
      <c r="S169" s="21" t="n">
        <v>0.53</v>
      </c>
      <c r="T169" s="21" t="n">
        <v>0.1</v>
      </c>
      <c r="U169" s="36" t="inlineStr">
        <is>
          <t>Tier 1A (Direct Coloc, &lt;1 km)</t>
        </is>
      </c>
      <c r="V169" s="20" t="n">
        <v>93.7</v>
      </c>
      <c r="W169" s="20" t="n">
        <v>66.90000000000001</v>
      </c>
      <c r="X169" s="20" t="n">
        <v>58</v>
      </c>
      <c r="Y169" s="40">
        <f>ROUND((V169*'Methodology &amp; Assumptions'!$B$6)+(W169*'Methodology &amp; Assumptions'!$B$5)+(X169*'Methodology &amp; Assumptions'!$B$7), 2)</f>
        <v/>
      </c>
    </row>
    <row r="170" ht="19" customHeight="1">
      <c r="A170" s="41" t="n">
        <v>166</v>
      </c>
      <c r="B170" s="41" t="n">
        <v>1166</v>
      </c>
      <c r="C170" s="42" t="inlineStr">
        <is>
          <t>0405647045</t>
        </is>
      </c>
      <c r="D170" s="42" t="inlineStr">
        <is>
          <t>Region IV-A (CALABARZON)</t>
        </is>
      </c>
      <c r="E170" s="42" t="inlineStr">
        <is>
          <t>Quezon</t>
        </is>
      </c>
      <c r="F170" s="42" t="inlineStr">
        <is>
          <t>City of Tayabas</t>
        </is>
      </c>
      <c r="G170" s="42" t="inlineStr">
        <is>
          <t>Opias</t>
        </is>
      </c>
      <c r="H170" s="43" t="n">
        <v>14.030664</v>
      </c>
      <c r="I170" s="43" t="n">
        <v>121.595764</v>
      </c>
      <c r="J170" s="44" t="inlineStr">
        <is>
          <t>U</t>
        </is>
      </c>
      <c r="K170" s="42" t="inlineStr">
        <is>
          <t>Class 1-3 / Urban</t>
        </is>
      </c>
      <c r="L170" s="23" t="n">
        <v>6150</v>
      </c>
      <c r="M170" s="24" t="n">
        <v>4.46</v>
      </c>
      <c r="N170" s="23">
        <f>ROUND(L170/M170, 0)</f>
        <v/>
      </c>
      <c r="O170" s="23">
        <f>ROUND(N170*'Methodology &amp; Assumptions'!$B$8, 0)</f>
        <v/>
      </c>
      <c r="P170" s="44" t="inlineStr">
        <is>
          <t>Band n50 (1.5 GHz, 60 MHz)</t>
        </is>
      </c>
      <c r="Q170" s="38">
        <f>ROUNDUP(O170/'Methodology &amp; Assumptions'!$B$9, 0)</f>
        <v/>
      </c>
      <c r="R170" s="39" t="n">
        <v>1</v>
      </c>
      <c r="S170" s="25" t="n">
        <v>0.8100000000000001</v>
      </c>
      <c r="T170" s="25" t="n">
        <v>0.57</v>
      </c>
      <c r="U170" s="42" t="inlineStr">
        <is>
          <t>Tier 1A (Direct Coloc, &lt;1 km)</t>
        </is>
      </c>
      <c r="V170" s="24" t="n">
        <v>86.40000000000001</v>
      </c>
      <c r="W170" s="24" t="n">
        <v>100</v>
      </c>
      <c r="X170" s="24" t="n">
        <v>28</v>
      </c>
      <c r="Y170" s="45">
        <f>ROUND((V170*'Methodology &amp; Assumptions'!$B$6)+(W170*'Methodology &amp; Assumptions'!$B$5)+(X170*'Methodology &amp; Assumptions'!$B$7), 2)</f>
        <v/>
      </c>
    </row>
    <row r="171" ht="19" customHeight="1">
      <c r="A171" s="35" t="n">
        <v>167</v>
      </c>
      <c r="B171" s="35" t="n">
        <v>1167</v>
      </c>
      <c r="C171" s="36" t="inlineStr">
        <is>
          <t>0405627042</t>
        </is>
      </c>
      <c r="D171" s="36" t="inlineStr">
        <is>
          <t>Region IV-A (CALABARZON)</t>
        </is>
      </c>
      <c r="E171" s="36" t="inlineStr">
        <is>
          <t>Quezon</t>
        </is>
      </c>
      <c r="F171" s="36" t="inlineStr">
        <is>
          <t>Mauban</t>
        </is>
      </c>
      <c r="G171" s="36" t="inlineStr">
        <is>
          <t>Lual Rural</t>
        </is>
      </c>
      <c r="H171" s="37" t="n">
        <v>14.191682</v>
      </c>
      <c r="I171" s="37" t="n">
        <v>121.720971</v>
      </c>
      <c r="J171" s="8" t="inlineStr">
        <is>
          <t>R</t>
        </is>
      </c>
      <c r="K171" s="36" t="inlineStr">
        <is>
          <t>Class 1-3 / Urban</t>
        </is>
      </c>
      <c r="L171" s="18" t="n">
        <v>4585</v>
      </c>
      <c r="M171" s="20" t="n">
        <v>4.46</v>
      </c>
      <c r="N171" s="18">
        <f>ROUND(L171/M171, 0)</f>
        <v/>
      </c>
      <c r="O171" s="18">
        <f>ROUND(N171*'Methodology &amp; Assumptions'!$B$8, 0)</f>
        <v/>
      </c>
      <c r="P171" s="8" t="inlineStr">
        <is>
          <t>Band n50 (1.5 GHz, 60 MHz)</t>
        </is>
      </c>
      <c r="Q171" s="38">
        <f>ROUNDUP(O171/'Methodology &amp; Assumptions'!$B$9, 0)</f>
        <v/>
      </c>
      <c r="R171" s="39" t="n">
        <v>1</v>
      </c>
      <c r="S171" s="21" t="n">
        <v>1.5</v>
      </c>
      <c r="T171" s="21" t="n">
        <v>18.61</v>
      </c>
      <c r="U171" s="36" t="inlineStr">
        <is>
          <t>Tier 1B (Micro Drop, 1-3 km)</t>
        </is>
      </c>
      <c r="V171" s="20" t="n">
        <v>60.6</v>
      </c>
      <c r="W171" s="20" t="n">
        <v>100</v>
      </c>
      <c r="X171" s="20" t="n">
        <v>58</v>
      </c>
      <c r="Y171" s="40">
        <f>ROUND((V171*'Methodology &amp; Assumptions'!$B$6)+(W171*'Methodology &amp; Assumptions'!$B$5)+(X171*'Methodology &amp; Assumptions'!$B$7), 2)</f>
        <v/>
      </c>
    </row>
    <row r="172" ht="19" customHeight="1">
      <c r="A172" s="41" t="n">
        <v>168</v>
      </c>
      <c r="B172" s="41" t="n">
        <v>1168</v>
      </c>
      <c r="C172" s="42" t="inlineStr">
        <is>
          <t>0704614001</t>
        </is>
      </c>
      <c r="D172" s="42" t="inlineStr">
        <is>
          <t>Region VII (Central Visayas)</t>
        </is>
      </c>
      <c r="E172" s="42" t="inlineStr">
        <is>
          <t>Negros Oriental</t>
        </is>
      </c>
      <c r="F172" s="42" t="inlineStr">
        <is>
          <t>Mabinay</t>
        </is>
      </c>
      <c r="G172" s="42" t="inlineStr">
        <is>
          <t>Abis</t>
        </is>
      </c>
      <c r="H172" s="43" t="n">
        <v>9.738132</v>
      </c>
      <c r="I172" s="43" t="n">
        <v>122.9383</v>
      </c>
      <c r="J172" s="44" t="inlineStr">
        <is>
          <t>R</t>
        </is>
      </c>
      <c r="K172" s="42" t="inlineStr">
        <is>
          <t>Class 1-3 / Urban</t>
        </is>
      </c>
      <c r="L172" s="23" t="n">
        <v>3603</v>
      </c>
      <c r="M172" s="24" t="n">
        <v>4.33</v>
      </c>
      <c r="N172" s="23">
        <f>ROUND(L172/M172, 0)</f>
        <v/>
      </c>
      <c r="O172" s="23">
        <f>ROUND(N172*'Methodology &amp; Assumptions'!$B$8, 0)</f>
        <v/>
      </c>
      <c r="P172" s="44" t="inlineStr">
        <is>
          <t>Band n50 (1.5 GHz, 60 MHz)</t>
        </is>
      </c>
      <c r="Q172" s="38">
        <f>ROUNDUP(O172/'Methodology &amp; Assumptions'!$B$9, 0)</f>
        <v/>
      </c>
      <c r="R172" s="39" t="n">
        <v>1</v>
      </c>
      <c r="S172" s="25" t="n">
        <v>1.53</v>
      </c>
      <c r="T172" s="25" t="n">
        <v>0.1</v>
      </c>
      <c r="U172" s="42" t="inlineStr">
        <is>
          <t>Tier 1B (Micro Drop, 1-3 km)</t>
        </is>
      </c>
      <c r="V172" s="24" t="n">
        <v>70</v>
      </c>
      <c r="W172" s="24" t="n">
        <v>90.7</v>
      </c>
      <c r="X172" s="24" t="n">
        <v>58</v>
      </c>
      <c r="Y172" s="45">
        <f>ROUND((V172*'Methodology &amp; Assumptions'!$B$6)+(W172*'Methodology &amp; Assumptions'!$B$5)+(X172*'Methodology &amp; Assumptions'!$B$7), 2)</f>
        <v/>
      </c>
    </row>
    <row r="173" ht="19" customHeight="1">
      <c r="A173" s="35" t="n">
        <v>169</v>
      </c>
      <c r="B173" s="35" t="n">
        <v>1169</v>
      </c>
      <c r="C173" s="36" t="inlineStr">
        <is>
          <t>1001319008</t>
        </is>
      </c>
      <c r="D173" s="36" t="inlineStr">
        <is>
          <t>Region X (Northern Mindanao)</t>
        </is>
      </c>
      <c r="E173" s="36" t="inlineStr">
        <is>
          <t>Bukidnon</t>
        </is>
      </c>
      <c r="F173" s="36" t="inlineStr">
        <is>
          <t>Sumilao</t>
        </is>
      </c>
      <c r="G173" s="36" t="inlineStr">
        <is>
          <t>San Vicente</t>
        </is>
      </c>
      <c r="H173" s="37" t="n">
        <v>8.367106</v>
      </c>
      <c r="I173" s="37" t="n">
        <v>124.977762</v>
      </c>
      <c r="J173" s="8" t="inlineStr">
        <is>
          <t>U</t>
        </is>
      </c>
      <c r="K173" s="36" t="inlineStr">
        <is>
          <t>2nd</t>
        </is>
      </c>
      <c r="L173" s="18" t="n">
        <v>3301</v>
      </c>
      <c r="M173" s="20" t="n">
        <v>4.81</v>
      </c>
      <c r="N173" s="18">
        <f>ROUND(L173/M173, 0)</f>
        <v/>
      </c>
      <c r="O173" s="18">
        <f>ROUND(N173*'Methodology &amp; Assumptions'!$B$8, 0)</f>
        <v/>
      </c>
      <c r="P173" s="8" t="inlineStr">
        <is>
          <t>Band n50 (1.5 GHz, 60 MHz)</t>
        </is>
      </c>
      <c r="Q173" s="38">
        <f>ROUNDUP(O173/'Methodology &amp; Assumptions'!$B$9, 0)</f>
        <v/>
      </c>
      <c r="R173" s="39" t="n">
        <v>1</v>
      </c>
      <c r="S173" s="21" t="n">
        <v>0.5</v>
      </c>
      <c r="T173" s="21" t="n">
        <v>0.14</v>
      </c>
      <c r="U173" s="36" t="inlineStr">
        <is>
          <t>Tier 1A (Direct Coloc, &lt;1 km)</t>
        </is>
      </c>
      <c r="V173" s="20" t="n">
        <v>94.5</v>
      </c>
      <c r="W173" s="20" t="n">
        <v>78.90000000000001</v>
      </c>
      <c r="X173" s="20" t="n">
        <v>43</v>
      </c>
      <c r="Y173" s="40">
        <f>ROUND((V173*'Methodology &amp; Assumptions'!$B$6)+(W173*'Methodology &amp; Assumptions'!$B$5)+(X173*'Methodology &amp; Assumptions'!$B$7), 2)</f>
        <v/>
      </c>
    </row>
    <row r="174" ht="19" customHeight="1">
      <c r="A174" s="41" t="n">
        <v>170</v>
      </c>
      <c r="B174" s="41" t="n">
        <v>1170</v>
      </c>
      <c r="C174" s="42" t="inlineStr">
        <is>
          <t>1705209015</t>
        </is>
      </c>
      <c r="D174" s="42" t="inlineStr">
        <is>
          <t>MIMAROPA Region</t>
        </is>
      </c>
      <c r="E174" s="42" t="inlineStr">
        <is>
          <t>Oriental Mindoro</t>
        </is>
      </c>
      <c r="F174" s="42" t="inlineStr">
        <is>
          <t>Pinamalayan</t>
        </is>
      </c>
      <c r="G174" s="42" t="inlineStr">
        <is>
          <t>Marfrancisco</t>
        </is>
      </c>
      <c r="H174" s="43" t="n">
        <v>13.033848</v>
      </c>
      <c r="I174" s="43" t="n">
        <v>121.479584</v>
      </c>
      <c r="J174" s="44" t="inlineStr">
        <is>
          <t>U</t>
        </is>
      </c>
      <c r="K174" s="42" t="inlineStr">
        <is>
          <t>Class 1-3 / Urban</t>
        </is>
      </c>
      <c r="L174" s="23" t="n">
        <v>6079</v>
      </c>
      <c r="M174" s="24" t="n">
        <v>4.41</v>
      </c>
      <c r="N174" s="23">
        <f>ROUND(L174/M174, 0)</f>
        <v/>
      </c>
      <c r="O174" s="23">
        <f>ROUND(N174*'Methodology &amp; Assumptions'!$B$8, 0)</f>
        <v/>
      </c>
      <c r="P174" s="44" t="inlineStr">
        <is>
          <t>Band n50 (1.5 GHz, 60 MHz)</t>
        </is>
      </c>
      <c r="Q174" s="38">
        <f>ROUNDUP(O174/'Methodology &amp; Assumptions'!$B$9, 0)</f>
        <v/>
      </c>
      <c r="R174" s="39" t="n">
        <v>1</v>
      </c>
      <c r="S174" s="25" t="n">
        <v>0.8100000000000001</v>
      </c>
      <c r="T174" s="25" t="n">
        <v>0.06</v>
      </c>
      <c r="U174" s="42" t="inlineStr">
        <is>
          <t>Tier 1A (Direct Coloc, &lt;1 km)</t>
        </is>
      </c>
      <c r="V174" s="24" t="n">
        <v>86.3</v>
      </c>
      <c r="W174" s="24" t="n">
        <v>100</v>
      </c>
      <c r="X174" s="24" t="n">
        <v>28</v>
      </c>
      <c r="Y174" s="45">
        <f>ROUND((V174*'Methodology &amp; Assumptions'!$B$6)+(W174*'Methodology &amp; Assumptions'!$B$5)+(X174*'Methodology &amp; Assumptions'!$B$7), 2)</f>
        <v/>
      </c>
    </row>
    <row r="175" ht="19" customHeight="1">
      <c r="A175" s="35" t="n">
        <v>171</v>
      </c>
      <c r="B175" s="35" t="n">
        <v>1171</v>
      </c>
      <c r="C175" s="36" t="inlineStr">
        <is>
          <t>0907322053</t>
        </is>
      </c>
      <c r="D175" s="36" t="inlineStr">
        <is>
          <t>Region IX (Zamboanga Peninsula)</t>
        </is>
      </c>
      <c r="E175" s="36" t="inlineStr">
        <is>
          <t>Zamboanga del Sur</t>
        </is>
      </c>
      <c r="F175" s="36" t="inlineStr">
        <is>
          <t>City of Pagadian</t>
        </is>
      </c>
      <c r="G175" s="36" t="inlineStr">
        <is>
          <t>Lumbia</t>
        </is>
      </c>
      <c r="H175" s="37" t="n">
        <v>7.829575</v>
      </c>
      <c r="I175" s="37" t="n">
        <v>123.445588</v>
      </c>
      <c r="J175" s="8" t="inlineStr">
        <is>
          <t>U</t>
        </is>
      </c>
      <c r="K175" s="36" t="inlineStr">
        <is>
          <t>Class 1-3 / Urban</t>
        </is>
      </c>
      <c r="L175" s="18" t="n">
        <v>4226</v>
      </c>
      <c r="M175" s="20" t="n">
        <v>4.61</v>
      </c>
      <c r="N175" s="18">
        <f>ROUND(L175/M175, 0)</f>
        <v/>
      </c>
      <c r="O175" s="18">
        <f>ROUND(N175*'Methodology &amp; Assumptions'!$B$8, 0)</f>
        <v/>
      </c>
      <c r="P175" s="8" t="inlineStr">
        <is>
          <t>Band n50 (1.5 GHz, 60 MHz)</t>
        </is>
      </c>
      <c r="Q175" s="38">
        <f>ROUNDUP(O175/'Methodology &amp; Assumptions'!$B$9, 0)</f>
        <v/>
      </c>
      <c r="R175" s="39" t="n">
        <v>1</v>
      </c>
      <c r="S175" s="21" t="n">
        <v>0.71</v>
      </c>
      <c r="T175" s="21" t="n">
        <v>0.71</v>
      </c>
      <c r="U175" s="36" t="inlineStr">
        <is>
          <t>Tier 1A (Direct Coloc, &lt;1 km)</t>
        </is>
      </c>
      <c r="V175" s="20" t="n">
        <v>89</v>
      </c>
      <c r="W175" s="20" t="n">
        <v>97.3</v>
      </c>
      <c r="X175" s="20" t="n">
        <v>28</v>
      </c>
      <c r="Y175" s="40">
        <f>ROUND((V175*'Methodology &amp; Assumptions'!$B$6)+(W175*'Methodology &amp; Assumptions'!$B$5)+(X175*'Methodology &amp; Assumptions'!$B$7), 2)</f>
        <v/>
      </c>
    </row>
    <row r="176" ht="19" customHeight="1">
      <c r="A176" s="41" t="n">
        <v>172</v>
      </c>
      <c r="B176" s="41" t="n">
        <v>1172</v>
      </c>
      <c r="C176" s="42" t="inlineStr">
        <is>
          <t>0402121009</t>
        </is>
      </c>
      <c r="D176" s="42" t="inlineStr">
        <is>
          <t>Region IV-A (CALABARZON)</t>
        </is>
      </c>
      <c r="E176" s="42" t="inlineStr">
        <is>
          <t>Cavite</t>
        </is>
      </c>
      <c r="F176" s="42" t="inlineStr">
        <is>
          <t>Ternate</t>
        </is>
      </c>
      <c r="G176" s="42" t="inlineStr">
        <is>
          <t>Poblacion I A</t>
        </is>
      </c>
      <c r="H176" s="43" t="n">
        <v>14.274543</v>
      </c>
      <c r="I176" s="43" t="n">
        <v>120.73435</v>
      </c>
      <c r="J176" s="44" t="inlineStr">
        <is>
          <t>R</t>
        </is>
      </c>
      <c r="K176" s="42" t="inlineStr">
        <is>
          <t>3rd</t>
        </is>
      </c>
      <c r="L176" s="23" t="n">
        <v>1909</v>
      </c>
      <c r="M176" s="24" t="n">
        <v>4.08</v>
      </c>
      <c r="N176" s="23">
        <f>ROUND(L176/M176, 0)</f>
        <v/>
      </c>
      <c r="O176" s="23">
        <f>ROUND(N176*'Methodology &amp; Assumptions'!$B$8, 0)</f>
        <v/>
      </c>
      <c r="P176" s="44" t="inlineStr">
        <is>
          <t>Band n50 (1.5 GHz, 60 MHz)</t>
        </is>
      </c>
      <c r="Q176" s="38">
        <f>ROUNDUP(O176/'Methodology &amp; Assumptions'!$B$9, 0)</f>
        <v/>
      </c>
      <c r="R176" s="39" t="n">
        <v>1</v>
      </c>
      <c r="S176" s="25" t="n">
        <v>0.34</v>
      </c>
      <c r="T176" s="25" t="n">
        <v>0.24</v>
      </c>
      <c r="U176" s="42" t="inlineStr">
        <is>
          <t>Tier 1A (Direct Coloc, &lt;1 km)</t>
        </is>
      </c>
      <c r="V176" s="24" t="n">
        <v>99.3</v>
      </c>
      <c r="W176" s="24" t="n">
        <v>61.3</v>
      </c>
      <c r="X176" s="24" t="n">
        <v>58</v>
      </c>
      <c r="Y176" s="45">
        <f>ROUND((V176*'Methodology &amp; Assumptions'!$B$6)+(W176*'Methodology &amp; Assumptions'!$B$5)+(X176*'Methodology &amp; Assumptions'!$B$7), 2)</f>
        <v/>
      </c>
    </row>
    <row r="177" ht="19" customHeight="1">
      <c r="A177" s="35" t="n">
        <v>173</v>
      </c>
      <c r="B177" s="35" t="n">
        <v>1173</v>
      </c>
      <c r="C177" s="36" t="inlineStr">
        <is>
          <t>0402109019</t>
        </is>
      </c>
      <c r="D177" s="36" t="inlineStr">
        <is>
          <t>Region IV-A (CALABARZON)</t>
        </is>
      </c>
      <c r="E177" s="36" t="inlineStr">
        <is>
          <t>Cavite</t>
        </is>
      </c>
      <c r="F177" s="36" t="inlineStr">
        <is>
          <t>City of Imus</t>
        </is>
      </c>
      <c r="G177" s="36" t="inlineStr">
        <is>
          <t>Palico I</t>
        </is>
      </c>
      <c r="H177" s="37" t="n">
        <v>14.431483</v>
      </c>
      <c r="I177" s="37" t="n">
        <v>120.943096</v>
      </c>
      <c r="J177" s="8" t="inlineStr">
        <is>
          <t>R</t>
        </is>
      </c>
      <c r="K177" s="36" t="inlineStr">
        <is>
          <t>Class 1-3 / Urban</t>
        </is>
      </c>
      <c r="L177" s="18" t="n">
        <v>2066</v>
      </c>
      <c r="M177" s="20" t="n">
        <v>4.49</v>
      </c>
      <c r="N177" s="18">
        <f>ROUND(L177/M177, 0)</f>
        <v/>
      </c>
      <c r="O177" s="18">
        <f>ROUND(N177*'Methodology &amp; Assumptions'!$B$8, 0)</f>
        <v/>
      </c>
      <c r="P177" s="8" t="inlineStr">
        <is>
          <t>Band n50 (1.5 GHz, 60 MHz)</t>
        </is>
      </c>
      <c r="Q177" s="38">
        <f>ROUNDUP(O177/'Methodology &amp; Assumptions'!$B$9, 0)</f>
        <v/>
      </c>
      <c r="R177" s="39" t="n">
        <v>1</v>
      </c>
      <c r="S177" s="21" t="n">
        <v>0.32</v>
      </c>
      <c r="T177" s="21" t="n">
        <v>1.75</v>
      </c>
      <c r="U177" s="36" t="inlineStr">
        <is>
          <t>Tier 1A (Direct Coloc, &lt;1 km)</t>
        </is>
      </c>
      <c r="V177" s="20" t="n">
        <v>99.8</v>
      </c>
      <c r="W177" s="20" t="n">
        <v>60.8</v>
      </c>
      <c r="X177" s="20" t="n">
        <v>58</v>
      </c>
      <c r="Y177" s="40">
        <f>ROUND((V177*'Methodology &amp; Assumptions'!$B$6)+(W177*'Methodology &amp; Assumptions'!$B$5)+(X177*'Methodology &amp; Assumptions'!$B$7), 2)</f>
        <v/>
      </c>
    </row>
    <row r="178" ht="19" customHeight="1">
      <c r="A178" s="41" t="n">
        <v>174</v>
      </c>
      <c r="B178" s="41" t="n">
        <v>1174</v>
      </c>
      <c r="C178" s="42" t="inlineStr">
        <is>
          <t>0331400003</t>
        </is>
      </c>
      <c r="D178" s="42" t="inlineStr">
        <is>
          <t>Region III (Central Luzon)</t>
        </is>
      </c>
      <c r="E178" s="42" t="inlineStr">
        <is>
          <t>Zambales</t>
        </is>
      </c>
      <c r="F178" s="42" t="inlineStr">
        <is>
          <t>City of Olongapo</t>
        </is>
      </c>
      <c r="G178" s="42" t="inlineStr">
        <is>
          <t>Barretto</t>
        </is>
      </c>
      <c r="H178" s="43" t="n">
        <v>14.851627</v>
      </c>
      <c r="I178" s="43" t="n">
        <v>120.263808</v>
      </c>
      <c r="J178" s="44" t="inlineStr">
        <is>
          <t>U</t>
        </is>
      </c>
      <c r="K178" s="42" t="inlineStr">
        <is>
          <t>Class 1-3 / Urban</t>
        </is>
      </c>
      <c r="L178" s="23" t="n">
        <v>21794</v>
      </c>
      <c r="M178" s="24" t="n">
        <v>4.05</v>
      </c>
      <c r="N178" s="23">
        <f>ROUND(L178/M178, 0)</f>
        <v/>
      </c>
      <c r="O178" s="23">
        <f>ROUND(N178*'Methodology &amp; Assumptions'!$B$8, 0)</f>
        <v/>
      </c>
      <c r="P178" s="44" t="inlineStr">
        <is>
          <t>Band n50 (1.5 GHz, 60 MHz)</t>
        </is>
      </c>
      <c r="Q178" s="38">
        <f>ROUNDUP(O178/'Methodology &amp; Assumptions'!$B$9, 0)</f>
        <v/>
      </c>
      <c r="R178" s="39" t="n">
        <v>1</v>
      </c>
      <c r="S178" s="25" t="n">
        <v>0.8100000000000001</v>
      </c>
      <c r="T178" s="25" t="n">
        <v>0.2</v>
      </c>
      <c r="U178" s="42" t="inlineStr">
        <is>
          <t>Tier 1A (Direct Coloc, &lt;1 km)</t>
        </is>
      </c>
      <c r="V178" s="24" t="n">
        <v>86.3</v>
      </c>
      <c r="W178" s="24" t="n">
        <v>100</v>
      </c>
      <c r="X178" s="24" t="n">
        <v>28</v>
      </c>
      <c r="Y178" s="45">
        <f>ROUND((V178*'Methodology &amp; Assumptions'!$B$6)+(W178*'Methodology &amp; Assumptions'!$B$5)+(X178*'Methodology &amp; Assumptions'!$B$7), 2)</f>
        <v/>
      </c>
    </row>
    <row r="179" ht="19" customHeight="1">
      <c r="A179" s="35" t="n">
        <v>175</v>
      </c>
      <c r="B179" s="35" t="n">
        <v>1175</v>
      </c>
      <c r="C179" s="36" t="inlineStr">
        <is>
          <t>0305413005</t>
        </is>
      </c>
      <c r="D179" s="36" t="inlineStr">
        <is>
          <t>Region III (Central Luzon)</t>
        </is>
      </c>
      <c r="E179" s="36" t="inlineStr">
        <is>
          <t>Pampanga</t>
        </is>
      </c>
      <c r="F179" s="36" t="inlineStr">
        <is>
          <t>Mexico</t>
        </is>
      </c>
      <c r="G179" s="36" t="inlineStr">
        <is>
          <t>Camuning</t>
        </is>
      </c>
      <c r="H179" s="37" t="n">
        <v>15.116792</v>
      </c>
      <c r="I179" s="37" t="n">
        <v>120.66457</v>
      </c>
      <c r="J179" s="8" t="inlineStr">
        <is>
          <t>R</t>
        </is>
      </c>
      <c r="K179" s="36" t="inlineStr">
        <is>
          <t>Class 1-3 / Urban</t>
        </is>
      </c>
      <c r="L179" s="18" t="n">
        <v>2835</v>
      </c>
      <c r="M179" s="20" t="n">
        <v>4.63</v>
      </c>
      <c r="N179" s="18">
        <f>ROUND(L179/M179, 0)</f>
        <v/>
      </c>
      <c r="O179" s="18">
        <f>ROUND(N179*'Methodology &amp; Assumptions'!$B$8, 0)</f>
        <v/>
      </c>
      <c r="P179" s="8" t="inlineStr">
        <is>
          <t>Band n50 (1.5 GHz, 60 MHz)</t>
        </is>
      </c>
      <c r="Q179" s="38">
        <f>ROUNDUP(O179/'Methodology &amp; Assumptions'!$B$9, 0)</f>
        <v/>
      </c>
      <c r="R179" s="39" t="n">
        <v>1</v>
      </c>
      <c r="S179" s="21" t="n">
        <v>0.4</v>
      </c>
      <c r="T179" s="21" t="n">
        <v>4.75</v>
      </c>
      <c r="U179" s="36" t="inlineStr">
        <is>
          <t>Tier 1A (Direct Coloc, &lt;1 km)</t>
        </is>
      </c>
      <c r="V179" s="20" t="n">
        <v>87.5</v>
      </c>
      <c r="W179" s="20" t="n">
        <v>73.09999999999999</v>
      </c>
      <c r="X179" s="20" t="n">
        <v>58</v>
      </c>
      <c r="Y179" s="40">
        <f>ROUND((V179*'Methodology &amp; Assumptions'!$B$6)+(W179*'Methodology &amp; Assumptions'!$B$5)+(X179*'Methodology &amp; Assumptions'!$B$7), 2)</f>
        <v/>
      </c>
    </row>
    <row r="180" ht="19" customHeight="1">
      <c r="A180" s="41" t="n">
        <v>176</v>
      </c>
      <c r="B180" s="41" t="n">
        <v>1176</v>
      </c>
      <c r="C180" s="42" t="inlineStr">
        <is>
          <t>0506212018</t>
        </is>
      </c>
      <c r="D180" s="42" t="inlineStr">
        <is>
          <t>Region V (Bicol Region)</t>
        </is>
      </c>
      <c r="E180" s="42" t="inlineStr">
        <is>
          <t>Sorsogon</t>
        </is>
      </c>
      <c r="F180" s="42" t="inlineStr">
        <is>
          <t>Matnog</t>
        </is>
      </c>
      <c r="G180" s="42" t="inlineStr">
        <is>
          <t>Gadgaron</t>
        </is>
      </c>
      <c r="H180" s="43" t="n">
        <v>12.59135</v>
      </c>
      <c r="I180" s="43" t="n">
        <v>124.079967</v>
      </c>
      <c r="J180" s="44" t="inlineStr">
        <is>
          <t>R</t>
        </is>
      </c>
      <c r="K180" s="42" t="inlineStr">
        <is>
          <t>Class 1-3 / Urban</t>
        </is>
      </c>
      <c r="L180" s="23" t="n">
        <v>2526</v>
      </c>
      <c r="M180" s="24" t="n">
        <v>4.58</v>
      </c>
      <c r="N180" s="23">
        <f>ROUND(L180/M180, 0)</f>
        <v/>
      </c>
      <c r="O180" s="23">
        <f>ROUND(N180*'Methodology &amp; Assumptions'!$B$8, 0)</f>
        <v/>
      </c>
      <c r="P180" s="44" t="inlineStr">
        <is>
          <t>Band n50 (1.5 GHz, 60 MHz)</t>
        </is>
      </c>
      <c r="Q180" s="38">
        <f>ROUNDUP(O180/'Methodology &amp; Assumptions'!$B$9, 0)</f>
        <v/>
      </c>
      <c r="R180" s="39" t="n">
        <v>1</v>
      </c>
      <c r="S180" s="25" t="n">
        <v>0.59</v>
      </c>
      <c r="T180" s="25" t="n">
        <v>0.02</v>
      </c>
      <c r="U180" s="42" t="inlineStr">
        <is>
          <t>Tier 1A (Direct Coloc, &lt;1 km)</t>
        </is>
      </c>
      <c r="V180" s="24" t="n">
        <v>92.3</v>
      </c>
      <c r="W180" s="24" t="n">
        <v>68.3</v>
      </c>
      <c r="X180" s="24" t="n">
        <v>58</v>
      </c>
      <c r="Y180" s="45">
        <f>ROUND((V180*'Methodology &amp; Assumptions'!$B$6)+(W180*'Methodology &amp; Assumptions'!$B$5)+(X180*'Methodology &amp; Assumptions'!$B$7), 2)</f>
        <v/>
      </c>
    </row>
    <row r="181" ht="19" customHeight="1">
      <c r="A181" s="35" t="n">
        <v>177</v>
      </c>
      <c r="B181" s="35" t="n">
        <v>1177</v>
      </c>
      <c r="C181" s="36" t="inlineStr">
        <is>
          <t>0401003013</t>
        </is>
      </c>
      <c r="D181" s="36" t="inlineStr">
        <is>
          <t>Region IV-A (CALABARZON)</t>
        </is>
      </c>
      <c r="E181" s="36" t="inlineStr">
        <is>
          <t>Batangas</t>
        </is>
      </c>
      <c r="F181" s="36" t="inlineStr">
        <is>
          <t>Balayan</t>
        </is>
      </c>
      <c r="G181" s="36" t="inlineStr">
        <is>
          <t>Barangay 8</t>
        </is>
      </c>
      <c r="H181" s="37" t="n">
        <v>13.94185</v>
      </c>
      <c r="I181" s="37" t="n">
        <v>120.729966</v>
      </c>
      <c r="J181" s="8" t="inlineStr">
        <is>
          <t>R</t>
        </is>
      </c>
      <c r="K181" s="36" t="inlineStr">
        <is>
          <t>Class 1-3 / Urban</t>
        </is>
      </c>
      <c r="L181" s="18" t="n">
        <v>2107</v>
      </c>
      <c r="M181" s="20" t="n">
        <v>4.62</v>
      </c>
      <c r="N181" s="18">
        <f>ROUND(L181/M181, 0)</f>
        <v/>
      </c>
      <c r="O181" s="18">
        <f>ROUND(N181*'Methodology &amp; Assumptions'!$B$8, 0)</f>
        <v/>
      </c>
      <c r="P181" s="8" t="inlineStr">
        <is>
          <t>Band n50 (1.5 GHz, 60 MHz)</t>
        </is>
      </c>
      <c r="Q181" s="38">
        <f>ROUNDUP(O181/'Methodology &amp; Assumptions'!$B$9, 0)</f>
        <v/>
      </c>
      <c r="R181" s="39" t="n">
        <v>1</v>
      </c>
      <c r="S181" s="21" t="n">
        <v>0.27</v>
      </c>
      <c r="T181" s="21" t="n">
        <v>0.26</v>
      </c>
      <c r="U181" s="36" t="inlineStr">
        <is>
          <t>Tier 1A (Direct Coloc, &lt;1 km)</t>
        </is>
      </c>
      <c r="V181" s="20" t="n">
        <v>100</v>
      </c>
      <c r="W181" s="20" t="n">
        <v>60.5</v>
      </c>
      <c r="X181" s="20" t="n">
        <v>58</v>
      </c>
      <c r="Y181" s="40">
        <f>ROUND((V181*'Methodology &amp; Assumptions'!$B$6)+(W181*'Methodology &amp; Assumptions'!$B$5)+(X181*'Methodology &amp; Assumptions'!$B$7), 2)</f>
        <v/>
      </c>
    </row>
    <row r="182" ht="19" customHeight="1">
      <c r="A182" s="41" t="n">
        <v>178</v>
      </c>
      <c r="B182" s="41" t="n">
        <v>1178</v>
      </c>
      <c r="C182" s="42" t="inlineStr">
        <is>
          <t>0603018013</t>
        </is>
      </c>
      <c r="D182" s="42" t="inlineStr">
        <is>
          <t>Region VI (Western Visayas)</t>
        </is>
      </c>
      <c r="E182" s="42" t="inlineStr">
        <is>
          <t>Iloilo</t>
        </is>
      </c>
      <c r="F182" s="42" t="inlineStr">
        <is>
          <t>Dumangas</t>
        </is>
      </c>
      <c r="G182" s="42" t="inlineStr">
        <is>
          <t>Cali</t>
        </is>
      </c>
      <c r="H182" s="43" t="n">
        <v>10.828388</v>
      </c>
      <c r="I182" s="43" t="n">
        <v>122.709306</v>
      </c>
      <c r="J182" s="44" t="inlineStr">
        <is>
          <t>R</t>
        </is>
      </c>
      <c r="K182" s="42" t="inlineStr">
        <is>
          <t>Class 1-3 / Urban</t>
        </is>
      </c>
      <c r="L182" s="23" t="n">
        <v>2005</v>
      </c>
      <c r="M182" s="24" t="n">
        <v>4.39</v>
      </c>
      <c r="N182" s="23">
        <f>ROUND(L182/M182, 0)</f>
        <v/>
      </c>
      <c r="O182" s="23">
        <f>ROUND(N182*'Methodology &amp; Assumptions'!$B$8, 0)</f>
        <v/>
      </c>
      <c r="P182" s="44" t="inlineStr">
        <is>
          <t>Band n50 (1.5 GHz, 60 MHz)</t>
        </is>
      </c>
      <c r="Q182" s="38">
        <f>ROUNDUP(O182/'Methodology &amp; Assumptions'!$B$9, 0)</f>
        <v/>
      </c>
      <c r="R182" s="39" t="n">
        <v>1</v>
      </c>
      <c r="S182" s="25" t="n">
        <v>0.28</v>
      </c>
      <c r="T182" s="25" t="n">
        <v>0.27</v>
      </c>
      <c r="U182" s="42" t="inlineStr">
        <is>
          <t>Tier 1A (Direct Coloc, &lt;1 km)</t>
        </is>
      </c>
      <c r="V182" s="24" t="n">
        <v>100</v>
      </c>
      <c r="W182" s="24" t="n">
        <v>60.5</v>
      </c>
      <c r="X182" s="24" t="n">
        <v>58</v>
      </c>
      <c r="Y182" s="45">
        <f>ROUND((V182*'Methodology &amp; Assumptions'!$B$6)+(W182*'Methodology &amp; Assumptions'!$B$5)+(X182*'Methodology &amp; Assumptions'!$B$7), 2)</f>
        <v/>
      </c>
    </row>
    <row r="183" ht="19" customHeight="1">
      <c r="A183" s="35" t="n">
        <v>179</v>
      </c>
      <c r="B183" s="35" t="n">
        <v>1179</v>
      </c>
      <c r="C183" s="36" t="inlineStr">
        <is>
          <t>1030900025</t>
        </is>
      </c>
      <c r="D183" s="36" t="inlineStr">
        <is>
          <t>Region X (Northern Mindanao)</t>
        </is>
      </c>
      <c r="E183" s="36" t="inlineStr">
        <is>
          <t>Lanao del Norte</t>
        </is>
      </c>
      <c r="F183" s="36" t="inlineStr">
        <is>
          <t>City of Iligan</t>
        </is>
      </c>
      <c r="G183" s="36" t="inlineStr">
        <is>
          <t>Tambacan</t>
        </is>
      </c>
      <c r="H183" s="37" t="n">
        <v>8.223936999999999</v>
      </c>
      <c r="I183" s="37" t="n">
        <v>124.234593</v>
      </c>
      <c r="J183" s="8" t="inlineStr">
        <is>
          <t>U</t>
        </is>
      </c>
      <c r="K183" s="36" t="inlineStr">
        <is>
          <t>Class 1-3 / Urban</t>
        </is>
      </c>
      <c r="L183" s="18" t="n">
        <v>19261</v>
      </c>
      <c r="M183" s="20" t="n">
        <v>5.12</v>
      </c>
      <c r="N183" s="18">
        <f>ROUND(L183/M183, 0)</f>
        <v/>
      </c>
      <c r="O183" s="18">
        <f>ROUND(N183*'Methodology &amp; Assumptions'!$B$8, 0)</f>
        <v/>
      </c>
      <c r="P183" s="8" t="inlineStr">
        <is>
          <t>Band n50 (1.5 GHz, 60 MHz)</t>
        </is>
      </c>
      <c r="Q183" s="38">
        <f>ROUNDUP(O183/'Methodology &amp; Assumptions'!$B$9, 0)</f>
        <v/>
      </c>
      <c r="R183" s="39" t="n">
        <v>1</v>
      </c>
      <c r="S183" s="21" t="n">
        <v>0.8100000000000001</v>
      </c>
      <c r="T183" s="21" t="n">
        <v>0.65</v>
      </c>
      <c r="U183" s="36" t="inlineStr">
        <is>
          <t>Tier 1A (Direct Coloc, &lt;1 km)</t>
        </is>
      </c>
      <c r="V183" s="20" t="n">
        <v>86.3</v>
      </c>
      <c r="W183" s="20" t="n">
        <v>100</v>
      </c>
      <c r="X183" s="20" t="n">
        <v>28</v>
      </c>
      <c r="Y183" s="40">
        <f>ROUND((V183*'Methodology &amp; Assumptions'!$B$6)+(W183*'Methodology &amp; Assumptions'!$B$5)+(X183*'Methodology &amp; Assumptions'!$B$7), 2)</f>
        <v/>
      </c>
    </row>
    <row r="184" ht="19" customHeight="1">
      <c r="A184" s="41" t="n">
        <v>180</v>
      </c>
      <c r="B184" s="41" t="n">
        <v>1180</v>
      </c>
      <c r="C184" s="42" t="inlineStr">
        <is>
          <t>0306910004</t>
        </is>
      </c>
      <c r="D184" s="42" t="inlineStr">
        <is>
          <t>Region III (Central Luzon)</t>
        </is>
      </c>
      <c r="E184" s="42" t="inlineStr">
        <is>
          <t>Tarlac</t>
        </is>
      </c>
      <c r="F184" s="42" t="inlineStr">
        <is>
          <t>Paniqui</t>
        </is>
      </c>
      <c r="G184" s="42" t="inlineStr">
        <is>
          <t>Apulid</t>
        </is>
      </c>
      <c r="H184" s="43" t="n">
        <v>15.682778</v>
      </c>
      <c r="I184" s="43" t="n">
        <v>120.58</v>
      </c>
      <c r="J184" s="44" t="inlineStr">
        <is>
          <t>R</t>
        </is>
      </c>
      <c r="K184" s="42" t="inlineStr">
        <is>
          <t>Class 1-3 / Urban</t>
        </is>
      </c>
      <c r="L184" s="23" t="n">
        <v>3859</v>
      </c>
      <c r="M184" s="24" t="n">
        <v>4.3</v>
      </c>
      <c r="N184" s="23">
        <f>ROUND(L184/M184, 0)</f>
        <v/>
      </c>
      <c r="O184" s="23">
        <f>ROUND(N184*'Methodology &amp; Assumptions'!$B$8, 0)</f>
        <v/>
      </c>
      <c r="P184" s="44" t="inlineStr">
        <is>
          <t>Band n50 (1.5 GHz, 60 MHz)</t>
        </is>
      </c>
      <c r="Q184" s="38">
        <f>ROUNDUP(O184/'Methodology &amp; Assumptions'!$B$9, 0)</f>
        <v/>
      </c>
      <c r="R184" s="39" t="n">
        <v>1</v>
      </c>
      <c r="S184" s="25" t="n">
        <v>1.81</v>
      </c>
      <c r="T184" s="25" t="n">
        <v>0.38</v>
      </c>
      <c r="U184" s="42" t="inlineStr">
        <is>
          <t>Tier 1B (Micro Drop, 1-3 km)</t>
        </is>
      </c>
      <c r="V184" s="24" t="n">
        <v>64.8</v>
      </c>
      <c r="W184" s="24" t="n">
        <v>95.7</v>
      </c>
      <c r="X184" s="24" t="n">
        <v>58</v>
      </c>
      <c r="Y184" s="45">
        <f>ROUND((V184*'Methodology &amp; Assumptions'!$B$6)+(W184*'Methodology &amp; Assumptions'!$B$5)+(X184*'Methodology &amp; Assumptions'!$B$7), 2)</f>
        <v/>
      </c>
    </row>
    <row r="185" ht="19" customHeight="1">
      <c r="A185" s="35" t="n">
        <v>181</v>
      </c>
      <c r="B185" s="35" t="n">
        <v>1181</v>
      </c>
      <c r="C185" s="36" t="inlineStr">
        <is>
          <t>0103307032</t>
        </is>
      </c>
      <c r="D185" s="36" t="inlineStr">
        <is>
          <t>Region I (Ilocos Region)</t>
        </is>
      </c>
      <c r="E185" s="36" t="inlineStr">
        <is>
          <t>La Union</t>
        </is>
      </c>
      <c r="F185" s="36" t="inlineStr">
        <is>
          <t>Bauang</t>
        </is>
      </c>
      <c r="G185" s="36" t="inlineStr">
        <is>
          <t>Pugo</t>
        </is>
      </c>
      <c r="H185" s="37" t="n">
        <v>16.526436</v>
      </c>
      <c r="I185" s="37" t="n">
        <v>120.319784</v>
      </c>
      <c r="J185" s="8" t="inlineStr">
        <is>
          <t>R</t>
        </is>
      </c>
      <c r="K185" s="36" t="inlineStr">
        <is>
          <t>Class 1-3 / Urban</t>
        </is>
      </c>
      <c r="L185" s="18" t="n">
        <v>3317</v>
      </c>
      <c r="M185" s="20" t="n">
        <v>4.42</v>
      </c>
      <c r="N185" s="18">
        <f>ROUND(L185/M185, 0)</f>
        <v/>
      </c>
      <c r="O185" s="18">
        <f>ROUND(N185*'Methodology &amp; Assumptions'!$B$8, 0)</f>
        <v/>
      </c>
      <c r="P185" s="8" t="inlineStr">
        <is>
          <t>Band n50 (1.5 GHz, 60 MHz)</t>
        </is>
      </c>
      <c r="Q185" s="38">
        <f>ROUNDUP(O185/'Methodology &amp; Assumptions'!$B$9, 0)</f>
        <v/>
      </c>
      <c r="R185" s="39" t="n">
        <v>1</v>
      </c>
      <c r="S185" s="21" t="n">
        <v>1.22</v>
      </c>
      <c r="T185" s="21" t="n">
        <v>1.08</v>
      </c>
      <c r="U185" s="36" t="inlineStr">
        <is>
          <t>Tier 1B (Micro Drop, 1-3 km)</t>
        </is>
      </c>
      <c r="V185" s="20" t="n">
        <v>76.5</v>
      </c>
      <c r="W185" s="20" t="n">
        <v>84</v>
      </c>
      <c r="X185" s="20" t="n">
        <v>58</v>
      </c>
      <c r="Y185" s="40">
        <f>ROUND((V185*'Methodology &amp; Assumptions'!$B$6)+(W185*'Methodology &amp; Assumptions'!$B$5)+(X185*'Methodology &amp; Assumptions'!$B$7), 2)</f>
        <v/>
      </c>
    </row>
    <row r="186" ht="19" customHeight="1">
      <c r="A186" s="41" t="n">
        <v>182</v>
      </c>
      <c r="B186" s="41" t="n">
        <v>1182</v>
      </c>
      <c r="C186" s="42" t="inlineStr">
        <is>
          <t>0402123014</t>
        </is>
      </c>
      <c r="D186" s="42" t="inlineStr">
        <is>
          <t>Region IV-A (CALABARZON)</t>
        </is>
      </c>
      <c r="E186" s="42" t="inlineStr">
        <is>
          <t>Cavite</t>
        </is>
      </c>
      <c r="F186" s="42" t="inlineStr">
        <is>
          <t>Gen. Mariano Alvarez</t>
        </is>
      </c>
      <c r="G186" s="42" t="inlineStr">
        <is>
          <t>Gregoria De Jesus</t>
        </is>
      </c>
      <c r="H186" s="43" t="n">
        <v>14.318091</v>
      </c>
      <c r="I186" s="43" t="n">
        <v>121.040319</v>
      </c>
      <c r="J186" s="44" t="inlineStr">
        <is>
          <t>U</t>
        </is>
      </c>
      <c r="K186" s="42" t="inlineStr">
        <is>
          <t>Class 1-3 / Urban</t>
        </is>
      </c>
      <c r="L186" s="23" t="n">
        <v>11213</v>
      </c>
      <c r="M186" s="24" t="n">
        <v>4.49</v>
      </c>
      <c r="N186" s="23">
        <f>ROUND(L186/M186, 0)</f>
        <v/>
      </c>
      <c r="O186" s="23">
        <f>ROUND(N186*'Methodology &amp; Assumptions'!$B$8, 0)</f>
        <v/>
      </c>
      <c r="P186" s="44" t="inlineStr">
        <is>
          <t>Band n50 (1.5 GHz, 60 MHz)</t>
        </is>
      </c>
      <c r="Q186" s="38">
        <f>ROUNDUP(O186/'Methodology &amp; Assumptions'!$B$9, 0)</f>
        <v/>
      </c>
      <c r="R186" s="39" t="n">
        <v>1</v>
      </c>
      <c r="S186" s="25" t="n">
        <v>0.8100000000000001</v>
      </c>
      <c r="T186" s="25" t="n">
        <v>1.32</v>
      </c>
      <c r="U186" s="42" t="inlineStr">
        <is>
          <t>Tier 1A (Direct Coloc, &lt;1 km)</t>
        </is>
      </c>
      <c r="V186" s="24" t="n">
        <v>86.2</v>
      </c>
      <c r="W186" s="24" t="n">
        <v>100</v>
      </c>
      <c r="X186" s="24" t="n">
        <v>28</v>
      </c>
      <c r="Y186" s="45">
        <f>ROUND((V186*'Methodology &amp; Assumptions'!$B$6)+(W186*'Methodology &amp; Assumptions'!$B$5)+(X186*'Methodology &amp; Assumptions'!$B$7), 2)</f>
        <v/>
      </c>
    </row>
    <row r="187" ht="19" customHeight="1">
      <c r="A187" s="35" t="n">
        <v>183</v>
      </c>
      <c r="B187" s="35" t="n">
        <v>1183</v>
      </c>
      <c r="C187" s="36" t="inlineStr">
        <is>
          <t>0304929029</t>
        </is>
      </c>
      <c r="D187" s="36" t="inlineStr">
        <is>
          <t>Region III (Central Luzon)</t>
        </is>
      </c>
      <c r="E187" s="36" t="inlineStr">
        <is>
          <t>Nueva Ecija</t>
        </is>
      </c>
      <c r="F187" s="36" t="inlineStr">
        <is>
          <t>Santo Domingo</t>
        </is>
      </c>
      <c r="G187" s="36" t="inlineStr">
        <is>
          <t>Sagaba</t>
        </is>
      </c>
      <c r="H187" s="37" t="n">
        <v>15.60165</v>
      </c>
      <c r="I187" s="37" t="n">
        <v>120.877706</v>
      </c>
      <c r="J187" s="8" t="inlineStr">
        <is>
          <t>R</t>
        </is>
      </c>
      <c r="K187" s="36" t="inlineStr">
        <is>
          <t>Class 1-3 / Urban</t>
        </is>
      </c>
      <c r="L187" s="18" t="n">
        <v>3534</v>
      </c>
      <c r="M187" s="20" t="n">
        <v>4.32</v>
      </c>
      <c r="N187" s="18">
        <f>ROUND(L187/M187, 0)</f>
        <v/>
      </c>
      <c r="O187" s="18">
        <f>ROUND(N187*'Methodology &amp; Assumptions'!$B$8, 0)</f>
        <v/>
      </c>
      <c r="P187" s="8" t="inlineStr">
        <is>
          <t>Band n50 (1.5 GHz, 60 MHz)</t>
        </is>
      </c>
      <c r="Q187" s="38">
        <f>ROUNDUP(O187/'Methodology &amp; Assumptions'!$B$9, 0)</f>
        <v/>
      </c>
      <c r="R187" s="39" t="n">
        <v>1</v>
      </c>
      <c r="S187" s="21" t="n">
        <v>1.02</v>
      </c>
      <c r="T187" s="21" t="n">
        <v>3.88</v>
      </c>
      <c r="U187" s="36" t="inlineStr">
        <is>
          <t>Tier 1B (Micro Drop, 1-3 km)</t>
        </is>
      </c>
      <c r="V187" s="20" t="n">
        <v>71.2</v>
      </c>
      <c r="W187" s="20" t="n">
        <v>89.3</v>
      </c>
      <c r="X187" s="20" t="n">
        <v>58</v>
      </c>
      <c r="Y187" s="40">
        <f>ROUND((V187*'Methodology &amp; Assumptions'!$B$6)+(W187*'Methodology &amp; Assumptions'!$B$5)+(X187*'Methodology &amp; Assumptions'!$B$7), 2)</f>
        <v/>
      </c>
    </row>
    <row r="188" ht="19" customHeight="1">
      <c r="A188" s="41" t="n">
        <v>184</v>
      </c>
      <c r="B188" s="41" t="n">
        <v>1184</v>
      </c>
      <c r="C188" s="42" t="inlineStr">
        <is>
          <t>0304917029</t>
        </is>
      </c>
      <c r="D188" s="42" t="inlineStr">
        <is>
          <t>Region III (Central Luzon)</t>
        </is>
      </c>
      <c r="E188" s="42" t="inlineStr">
        <is>
          <t>Nueva Ecija</t>
        </is>
      </c>
      <c r="F188" s="42" t="inlineStr">
        <is>
          <t>Science City of Muñoz</t>
        </is>
      </c>
      <c r="G188" s="42" t="inlineStr">
        <is>
          <t>Poblacion West</t>
        </is>
      </c>
      <c r="H188" s="43" t="n">
        <v>15.70936</v>
      </c>
      <c r="I188" s="43" t="n">
        <v>120.9023</v>
      </c>
      <c r="J188" s="44" t="inlineStr">
        <is>
          <t>U</t>
        </is>
      </c>
      <c r="K188" s="42" t="inlineStr">
        <is>
          <t>Class 1-3 / Urban</t>
        </is>
      </c>
      <c r="L188" s="23" t="n">
        <v>3247</v>
      </c>
      <c r="M188" s="24" t="n">
        <v>4.32</v>
      </c>
      <c r="N188" s="23">
        <f>ROUND(L188/M188, 0)</f>
        <v/>
      </c>
      <c r="O188" s="23">
        <f>ROUND(N188*'Methodology &amp; Assumptions'!$B$8, 0)</f>
        <v/>
      </c>
      <c r="P188" s="44" t="inlineStr">
        <is>
          <t>Band n50 (1.5 GHz, 60 MHz)</t>
        </is>
      </c>
      <c r="Q188" s="38">
        <f>ROUNDUP(O188/'Methodology &amp; Assumptions'!$B$9, 0)</f>
        <v/>
      </c>
      <c r="R188" s="39" t="n">
        <v>1</v>
      </c>
      <c r="S188" s="25" t="n">
        <v>0.7</v>
      </c>
      <c r="T188" s="25" t="n">
        <v>0.28</v>
      </c>
      <c r="U188" s="42" t="inlineStr">
        <is>
          <t>Tier 1A (Direct Coloc, &lt;1 km)</t>
        </is>
      </c>
      <c r="V188" s="24" t="n">
        <v>89.09999999999999</v>
      </c>
      <c r="W188" s="24" t="n">
        <v>84.3</v>
      </c>
      <c r="X188" s="24" t="n">
        <v>43</v>
      </c>
      <c r="Y188" s="45">
        <f>ROUND((V188*'Methodology &amp; Assumptions'!$B$6)+(W188*'Methodology &amp; Assumptions'!$B$5)+(X188*'Methodology &amp; Assumptions'!$B$7), 2)</f>
        <v/>
      </c>
    </row>
    <row r="189" ht="19" customHeight="1">
      <c r="A189" s="35" t="n">
        <v>185</v>
      </c>
      <c r="B189" s="35" t="n">
        <v>1185</v>
      </c>
      <c r="C189" s="36" t="inlineStr">
        <is>
          <t>0501728005</t>
        </is>
      </c>
      <c r="D189" s="36" t="inlineStr">
        <is>
          <t>Region V (Bicol Region)</t>
        </is>
      </c>
      <c r="E189" s="36" t="inlineStr">
        <is>
          <t>Camarines Sur</t>
        </is>
      </c>
      <c r="F189" s="36" t="inlineStr">
        <is>
          <t>Pili</t>
        </is>
      </c>
      <c r="G189" s="36" t="inlineStr">
        <is>
          <t>Cadlan</t>
        </is>
      </c>
      <c r="H189" s="37" t="n">
        <v>13.596741</v>
      </c>
      <c r="I189" s="37" t="n">
        <v>123.255985</v>
      </c>
      <c r="J189" s="8" t="inlineStr">
        <is>
          <t>U</t>
        </is>
      </c>
      <c r="K189" s="36" t="inlineStr">
        <is>
          <t>Class 1-3 / Urban</t>
        </is>
      </c>
      <c r="L189" s="18" t="n">
        <v>6000</v>
      </c>
      <c r="M189" s="20" t="n">
        <v>4.9</v>
      </c>
      <c r="N189" s="18">
        <f>ROUND(L189/M189, 0)</f>
        <v/>
      </c>
      <c r="O189" s="18">
        <f>ROUND(N189*'Methodology &amp; Assumptions'!$B$8, 0)</f>
        <v/>
      </c>
      <c r="P189" s="8" t="inlineStr">
        <is>
          <t>Band n50 (1.5 GHz, 60 MHz)</t>
        </is>
      </c>
      <c r="Q189" s="38">
        <f>ROUNDUP(O189/'Methodology &amp; Assumptions'!$B$9, 0)</f>
        <v/>
      </c>
      <c r="R189" s="39" t="n">
        <v>1</v>
      </c>
      <c r="S189" s="21" t="n">
        <v>0.82</v>
      </c>
      <c r="T189" s="21" t="n">
        <v>0.16</v>
      </c>
      <c r="U189" s="36" t="inlineStr">
        <is>
          <t>Tier 1A (Direct Coloc, &lt;1 km)</t>
        </is>
      </c>
      <c r="V189" s="20" t="n">
        <v>86.2</v>
      </c>
      <c r="W189" s="20" t="n">
        <v>100</v>
      </c>
      <c r="X189" s="20" t="n">
        <v>28</v>
      </c>
      <c r="Y189" s="40">
        <f>ROUND((V189*'Methodology &amp; Assumptions'!$B$6)+(W189*'Methodology &amp; Assumptions'!$B$5)+(X189*'Methodology &amp; Assumptions'!$B$7), 2)</f>
        <v/>
      </c>
    </row>
    <row r="190" ht="19" customHeight="1">
      <c r="A190" s="41" t="n">
        <v>186</v>
      </c>
      <c r="B190" s="41" t="n">
        <v>1186</v>
      </c>
      <c r="C190" s="42" t="inlineStr">
        <is>
          <t>1030900026</t>
        </is>
      </c>
      <c r="D190" s="42" t="inlineStr">
        <is>
          <t>Region X (Northern Mindanao)</t>
        </is>
      </c>
      <c r="E190" s="42" t="inlineStr">
        <is>
          <t>Lanao del Norte</t>
        </is>
      </c>
      <c r="F190" s="42" t="inlineStr">
        <is>
          <t>City of Iligan</t>
        </is>
      </c>
      <c r="G190" s="42" t="inlineStr">
        <is>
          <t>Saray</t>
        </is>
      </c>
      <c r="H190" s="43" t="n">
        <v>8.2349</v>
      </c>
      <c r="I190" s="43" t="n">
        <v>124.2371</v>
      </c>
      <c r="J190" s="44" t="inlineStr">
        <is>
          <t>U</t>
        </is>
      </c>
      <c r="K190" s="42" t="inlineStr">
        <is>
          <t>Class 1-3 / Urban</t>
        </is>
      </c>
      <c r="L190" s="23" t="n">
        <v>9386</v>
      </c>
      <c r="M190" s="24" t="n">
        <v>5.12</v>
      </c>
      <c r="N190" s="23">
        <f>ROUND(L190/M190, 0)</f>
        <v/>
      </c>
      <c r="O190" s="23">
        <f>ROUND(N190*'Methodology &amp; Assumptions'!$B$8, 0)</f>
        <v/>
      </c>
      <c r="P190" s="44" t="inlineStr">
        <is>
          <t>Band n50 (1.5 GHz, 60 MHz)</t>
        </is>
      </c>
      <c r="Q190" s="38">
        <f>ROUNDUP(O190/'Methodology &amp; Assumptions'!$B$9, 0)</f>
        <v/>
      </c>
      <c r="R190" s="39" t="n">
        <v>1</v>
      </c>
      <c r="S190" s="25" t="n">
        <v>0.82</v>
      </c>
      <c r="T190" s="25" t="n">
        <v>0.53</v>
      </c>
      <c r="U190" s="42" t="inlineStr">
        <is>
          <t>Tier 1A (Direct Coloc, &lt;1 km)</t>
        </is>
      </c>
      <c r="V190" s="24" t="n">
        <v>86.2</v>
      </c>
      <c r="W190" s="24" t="n">
        <v>100</v>
      </c>
      <c r="X190" s="24" t="n">
        <v>28</v>
      </c>
      <c r="Y190" s="45">
        <f>ROUND((V190*'Methodology &amp; Assumptions'!$B$6)+(W190*'Methodology &amp; Assumptions'!$B$5)+(X190*'Methodology &amp; Assumptions'!$B$7), 2)</f>
        <v/>
      </c>
    </row>
    <row r="191" ht="19" customHeight="1">
      <c r="A191" s="35" t="n">
        <v>187</v>
      </c>
      <c r="B191" s="35" t="n">
        <v>1187</v>
      </c>
      <c r="C191" s="36" t="inlineStr">
        <is>
          <t>0300803021</t>
        </is>
      </c>
      <c r="D191" s="36" t="inlineStr">
        <is>
          <t>Region III (Central Luzon)</t>
        </is>
      </c>
      <c r="E191" s="36" t="inlineStr">
        <is>
          <t>Bataan</t>
        </is>
      </c>
      <c r="F191" s="36" t="inlineStr">
        <is>
          <t>City of Balanga</t>
        </is>
      </c>
      <c r="G191" s="36" t="inlineStr">
        <is>
          <t>Tenejero</t>
        </is>
      </c>
      <c r="H191" s="37" t="n">
        <v>14.679486</v>
      </c>
      <c r="I191" s="37" t="n">
        <v>120.534529</v>
      </c>
      <c r="J191" s="8" t="inlineStr">
        <is>
          <t>U</t>
        </is>
      </c>
      <c r="K191" s="36" t="inlineStr">
        <is>
          <t>Class 1-3 / Urban</t>
        </is>
      </c>
      <c r="L191" s="18" t="n">
        <v>9227</v>
      </c>
      <c r="M191" s="20" t="n">
        <v>4.57</v>
      </c>
      <c r="N191" s="18">
        <f>ROUND(L191/M191, 0)</f>
        <v/>
      </c>
      <c r="O191" s="18">
        <f>ROUND(N191*'Methodology &amp; Assumptions'!$B$8, 0)</f>
        <v/>
      </c>
      <c r="P191" s="8" t="inlineStr">
        <is>
          <t>Band n50 (1.5 GHz, 60 MHz)</t>
        </is>
      </c>
      <c r="Q191" s="38">
        <f>ROUNDUP(O191/'Methodology &amp; Assumptions'!$B$9, 0)</f>
        <v/>
      </c>
      <c r="R191" s="39" t="n">
        <v>1</v>
      </c>
      <c r="S191" s="21" t="n">
        <v>0.82</v>
      </c>
      <c r="T191" s="21" t="n">
        <v>0.77</v>
      </c>
      <c r="U191" s="36" t="inlineStr">
        <is>
          <t>Tier 1A (Direct Coloc, &lt;1 km)</t>
        </is>
      </c>
      <c r="V191" s="20" t="n">
        <v>86.2</v>
      </c>
      <c r="W191" s="20" t="n">
        <v>100</v>
      </c>
      <c r="X191" s="20" t="n">
        <v>28</v>
      </c>
      <c r="Y191" s="40">
        <f>ROUND((V191*'Methodology &amp; Assumptions'!$B$6)+(W191*'Methodology &amp; Assumptions'!$B$5)+(X191*'Methodology &amp; Assumptions'!$B$7), 2)</f>
        <v/>
      </c>
    </row>
    <row r="192" ht="19" customHeight="1">
      <c r="A192" s="41" t="n">
        <v>188</v>
      </c>
      <c r="B192" s="41" t="n">
        <v>1188</v>
      </c>
      <c r="C192" s="42" t="inlineStr">
        <is>
          <t>0803748050</t>
        </is>
      </c>
      <c r="D192" s="42" t="inlineStr">
        <is>
          <t>Region VIII (Eastern Visayas)</t>
        </is>
      </c>
      <c r="E192" s="42" t="inlineStr">
        <is>
          <t>Leyte</t>
        </is>
      </c>
      <c r="F192" s="42" t="inlineStr">
        <is>
          <t>Tanauan</t>
        </is>
      </c>
      <c r="G192" s="42" t="inlineStr">
        <is>
          <t>Santo Niño Pob.</t>
        </is>
      </c>
      <c r="H192" s="43" t="n">
        <v>11.099865</v>
      </c>
      <c r="I192" s="43" t="n">
        <v>125.019061</v>
      </c>
      <c r="J192" s="44" t="inlineStr">
        <is>
          <t>U</t>
        </is>
      </c>
      <c r="K192" s="42" t="inlineStr">
        <is>
          <t>Class 1-3 / Urban</t>
        </is>
      </c>
      <c r="L192" s="23" t="n">
        <v>3747</v>
      </c>
      <c r="M192" s="24" t="n">
        <v>4.24</v>
      </c>
      <c r="N192" s="23">
        <f>ROUND(L192/M192, 0)</f>
        <v/>
      </c>
      <c r="O192" s="23">
        <f>ROUND(N192*'Methodology &amp; Assumptions'!$B$8, 0)</f>
        <v/>
      </c>
      <c r="P192" s="44" t="inlineStr">
        <is>
          <t>Band n50 (1.5 GHz, 60 MHz)</t>
        </is>
      </c>
      <c r="Q192" s="38">
        <f>ROUNDUP(O192/'Methodology &amp; Assumptions'!$B$9, 0)</f>
        <v/>
      </c>
      <c r="R192" s="39" t="n">
        <v>1</v>
      </c>
      <c r="S192" s="25" t="n">
        <v>0.61</v>
      </c>
      <c r="T192" s="25" t="n">
        <v>0.07000000000000001</v>
      </c>
      <c r="U192" s="42" t="inlineStr">
        <is>
          <t>Tier 1A (Direct Coloc, &lt;1 km)</t>
        </is>
      </c>
      <c r="V192" s="24" t="n">
        <v>91.5</v>
      </c>
      <c r="W192" s="24" t="n">
        <v>94.7</v>
      </c>
      <c r="X192" s="24" t="n">
        <v>28</v>
      </c>
      <c r="Y192" s="45">
        <f>ROUND((V192*'Methodology &amp; Assumptions'!$B$6)+(W192*'Methodology &amp; Assumptions'!$B$5)+(X192*'Methodology &amp; Assumptions'!$B$7), 2)</f>
        <v/>
      </c>
    </row>
    <row r="193" ht="19" customHeight="1">
      <c r="A193" s="35" t="n">
        <v>189</v>
      </c>
      <c r="B193" s="35" t="n">
        <v>1189</v>
      </c>
      <c r="C193" s="36" t="inlineStr">
        <is>
          <t>0305416009</t>
        </is>
      </c>
      <c r="D193" s="36" t="inlineStr">
        <is>
          <t>Region III (Central Luzon)</t>
        </is>
      </c>
      <c r="E193" s="36" t="inlineStr">
        <is>
          <t>Pampanga</t>
        </is>
      </c>
      <c r="F193" s="36" t="inlineStr">
        <is>
          <t>City of San Fernando</t>
        </is>
      </c>
      <c r="G193" s="36" t="inlineStr">
        <is>
          <t>Del Rosario</t>
        </is>
      </c>
      <c r="H193" s="37" t="n">
        <v>15.069223</v>
      </c>
      <c r="I193" s="37" t="n">
        <v>120.6397</v>
      </c>
      <c r="J193" s="8" t="inlineStr">
        <is>
          <t>U</t>
        </is>
      </c>
      <c r="K193" s="36" t="inlineStr">
        <is>
          <t>Class 1-3 / Urban</t>
        </is>
      </c>
      <c r="L193" s="18" t="n">
        <v>8105</v>
      </c>
      <c r="M193" s="20" t="n">
        <v>4.63</v>
      </c>
      <c r="N193" s="18">
        <f>ROUND(L193/M193, 0)</f>
        <v/>
      </c>
      <c r="O193" s="18">
        <f>ROUND(N193*'Methodology &amp; Assumptions'!$B$8, 0)</f>
        <v/>
      </c>
      <c r="P193" s="8" t="inlineStr">
        <is>
          <t>Band n50 (1.5 GHz, 60 MHz)</t>
        </is>
      </c>
      <c r="Q193" s="38">
        <f>ROUNDUP(O193/'Methodology &amp; Assumptions'!$B$9, 0)</f>
        <v/>
      </c>
      <c r="R193" s="39" t="n">
        <v>1</v>
      </c>
      <c r="S193" s="21" t="n">
        <v>0.82</v>
      </c>
      <c r="T193" s="21" t="n">
        <v>0.3</v>
      </c>
      <c r="U193" s="36" t="inlineStr">
        <is>
          <t>Tier 1A (Direct Coloc, &lt;1 km)</t>
        </is>
      </c>
      <c r="V193" s="20" t="n">
        <v>86.09999999999999</v>
      </c>
      <c r="W193" s="20" t="n">
        <v>100</v>
      </c>
      <c r="X193" s="20" t="n">
        <v>28</v>
      </c>
      <c r="Y193" s="40">
        <f>ROUND((V193*'Methodology &amp; Assumptions'!$B$6)+(W193*'Methodology &amp; Assumptions'!$B$5)+(X193*'Methodology &amp; Assumptions'!$B$7), 2)</f>
        <v/>
      </c>
    </row>
    <row r="194" ht="19" customHeight="1">
      <c r="A194" s="41" t="n">
        <v>190</v>
      </c>
      <c r="B194" s="41" t="n">
        <v>1190</v>
      </c>
      <c r="C194" s="42" t="inlineStr">
        <is>
          <t>1600301029</t>
        </is>
      </c>
      <c r="D194" s="42" t="inlineStr">
        <is>
          <t>Region XIII (Caraga)</t>
        </is>
      </c>
      <c r="E194" s="42" t="inlineStr">
        <is>
          <t>Agusan del Sur</t>
        </is>
      </c>
      <c r="F194" s="42" t="inlineStr">
        <is>
          <t>City of Bayugan</t>
        </is>
      </c>
      <c r="G194" s="42" t="inlineStr">
        <is>
          <t>Bucac</t>
        </is>
      </c>
      <c r="H194" s="43" t="n">
        <v>8.696751000000001</v>
      </c>
      <c r="I194" s="43" t="n">
        <v>125.7644</v>
      </c>
      <c r="J194" s="44" t="inlineStr">
        <is>
          <t>R</t>
        </is>
      </c>
      <c r="K194" s="42" t="inlineStr">
        <is>
          <t>Class 1-3 / Urban</t>
        </is>
      </c>
      <c r="L194" s="23" t="n">
        <v>4726</v>
      </c>
      <c r="M194" s="24" t="n">
        <v>4.1</v>
      </c>
      <c r="N194" s="23">
        <f>ROUND(L194/M194, 0)</f>
        <v/>
      </c>
      <c r="O194" s="23">
        <f>ROUND(N194*'Methodology &amp; Assumptions'!$B$8, 0)</f>
        <v/>
      </c>
      <c r="P194" s="44" t="inlineStr">
        <is>
          <t>Band n50 (1.5 GHz, 60 MHz)</t>
        </is>
      </c>
      <c r="Q194" s="38">
        <f>ROUNDUP(O194/'Methodology &amp; Assumptions'!$B$9, 0)</f>
        <v/>
      </c>
      <c r="R194" s="39" t="n">
        <v>1</v>
      </c>
      <c r="S194" s="25" t="n">
        <v>2.06</v>
      </c>
      <c r="T194" s="25" t="n">
        <v>1.71</v>
      </c>
      <c r="U194" s="42" t="inlineStr">
        <is>
          <t>Tier 1B (Micro Drop, 1-3 km)</t>
        </is>
      </c>
      <c r="V194" s="24" t="n">
        <v>60.4</v>
      </c>
      <c r="W194" s="24" t="n">
        <v>100</v>
      </c>
      <c r="X194" s="24" t="n">
        <v>58</v>
      </c>
      <c r="Y194" s="45">
        <f>ROUND((V194*'Methodology &amp; Assumptions'!$B$6)+(W194*'Methodology &amp; Assumptions'!$B$5)+(X194*'Methodology &amp; Assumptions'!$B$7), 2)</f>
        <v/>
      </c>
    </row>
    <row r="195" ht="19" customHeight="1">
      <c r="A195" s="35" t="n">
        <v>191</v>
      </c>
      <c r="B195" s="35" t="n">
        <v>1191</v>
      </c>
      <c r="C195" s="36" t="inlineStr">
        <is>
          <t>0831600121</t>
        </is>
      </c>
      <c r="D195" s="36" t="inlineStr">
        <is>
          <t>Region VIII (Eastern Visayas)</t>
        </is>
      </c>
      <c r="E195" s="36" t="inlineStr">
        <is>
          <t>Leyte</t>
        </is>
      </c>
      <c r="F195" s="36" t="inlineStr">
        <is>
          <t>City of Tacloban</t>
        </is>
      </c>
      <c r="G195" s="36" t="inlineStr">
        <is>
          <t>Barangay 88</t>
        </is>
      </c>
      <c r="H195" s="37" t="n">
        <v>11.216815</v>
      </c>
      <c r="I195" s="37" t="n">
        <v>125.02355</v>
      </c>
      <c r="J195" s="8" t="inlineStr">
        <is>
          <t>R</t>
        </is>
      </c>
      <c r="K195" s="36" t="inlineStr">
        <is>
          <t>Class 1-3 / Urban</t>
        </is>
      </c>
      <c r="L195" s="18" t="n">
        <v>3604</v>
      </c>
      <c r="M195" s="20" t="n">
        <v>4.24</v>
      </c>
      <c r="N195" s="18">
        <f>ROUND(L195/M195, 0)</f>
        <v/>
      </c>
      <c r="O195" s="18">
        <f>ROUND(N195*'Methodology &amp; Assumptions'!$B$8, 0)</f>
        <v/>
      </c>
      <c r="P195" s="8" t="inlineStr">
        <is>
          <t>Band n50 (1.5 GHz, 60 MHz)</t>
        </is>
      </c>
      <c r="Q195" s="38">
        <f>ROUNDUP(O195/'Methodology &amp; Assumptions'!$B$9, 0)</f>
        <v/>
      </c>
      <c r="R195" s="39" t="n">
        <v>1</v>
      </c>
      <c r="S195" s="21" t="n">
        <v>1.62</v>
      </c>
      <c r="T195" s="21" t="n">
        <v>1.23</v>
      </c>
      <c r="U195" s="36" t="inlineStr">
        <is>
          <t>Tier 1B (Micro Drop, 1-3 km)</t>
        </is>
      </c>
      <c r="V195" s="20" t="n">
        <v>68.40000000000001</v>
      </c>
      <c r="W195" s="20" t="n">
        <v>92</v>
      </c>
      <c r="X195" s="20" t="n">
        <v>58</v>
      </c>
      <c r="Y195" s="40">
        <f>ROUND((V195*'Methodology &amp; Assumptions'!$B$6)+(W195*'Methodology &amp; Assumptions'!$B$5)+(X195*'Methodology &amp; Assumptions'!$B$7), 2)</f>
        <v/>
      </c>
    </row>
    <row r="196" ht="19" customHeight="1">
      <c r="A196" s="41" t="n">
        <v>192</v>
      </c>
      <c r="B196" s="41" t="n">
        <v>1192</v>
      </c>
      <c r="C196" s="42" t="inlineStr">
        <is>
          <t>0401018009</t>
        </is>
      </c>
      <c r="D196" s="42" t="inlineStr">
        <is>
          <t>Region IV-A (CALABARZON)</t>
        </is>
      </c>
      <c r="E196" s="42" t="inlineStr">
        <is>
          <t>Batangas</t>
        </is>
      </c>
      <c r="F196" s="42" t="inlineStr">
        <is>
          <t>Mataasnakahoy</t>
        </is>
      </c>
      <c r="G196" s="42" t="inlineStr">
        <is>
          <t>Calingatan</t>
        </is>
      </c>
      <c r="H196" s="43" t="n">
        <v>13.96145</v>
      </c>
      <c r="I196" s="43" t="n">
        <v>121.120842</v>
      </c>
      <c r="J196" s="44" t="inlineStr">
        <is>
          <t>R</t>
        </is>
      </c>
      <c r="K196" s="42" t="inlineStr">
        <is>
          <t>3rd</t>
        </is>
      </c>
      <c r="L196" s="23" t="n">
        <v>3127</v>
      </c>
      <c r="M196" s="24" t="n">
        <v>4.23</v>
      </c>
      <c r="N196" s="23">
        <f>ROUND(L196/M196, 0)</f>
        <v/>
      </c>
      <c r="O196" s="23">
        <f>ROUND(N196*'Methodology &amp; Assumptions'!$B$8, 0)</f>
        <v/>
      </c>
      <c r="P196" s="44" t="inlineStr">
        <is>
          <t>Band n50 (1.5 GHz, 60 MHz)</t>
        </is>
      </c>
      <c r="Q196" s="38">
        <f>ROUNDUP(O196/'Methodology &amp; Assumptions'!$B$9, 0)</f>
        <v/>
      </c>
      <c r="R196" s="39" t="n">
        <v>1</v>
      </c>
      <c r="S196" s="25" t="n">
        <v>0.78</v>
      </c>
      <c r="T196" s="25" t="n">
        <v>2.07</v>
      </c>
      <c r="U196" s="42" t="inlineStr">
        <is>
          <t>Tier 1A (Direct Coloc, &lt;1 km)</t>
        </is>
      </c>
      <c r="V196" s="24" t="n">
        <v>77.09999999999999</v>
      </c>
      <c r="W196" s="24" t="n">
        <v>83.2</v>
      </c>
      <c r="X196" s="24" t="n">
        <v>58</v>
      </c>
      <c r="Y196" s="45">
        <f>ROUND((V196*'Methodology &amp; Assumptions'!$B$6)+(W196*'Methodology &amp; Assumptions'!$B$5)+(X196*'Methodology &amp; Assumptions'!$B$7), 2)</f>
        <v/>
      </c>
    </row>
    <row r="197" ht="19" customHeight="1">
      <c r="A197" s="35" t="n">
        <v>193</v>
      </c>
      <c r="B197" s="35" t="n">
        <v>1193</v>
      </c>
      <c r="C197" s="36" t="inlineStr">
        <is>
          <t>1630400047</t>
        </is>
      </c>
      <c r="D197" s="36" t="inlineStr">
        <is>
          <t>Region XIII (Caraga)</t>
        </is>
      </c>
      <c r="E197" s="36" t="inlineStr">
        <is>
          <t>Agusan del Norte</t>
        </is>
      </c>
      <c r="F197" s="36" t="inlineStr">
        <is>
          <t>City of Butuan</t>
        </is>
      </c>
      <c r="G197" s="36" t="inlineStr">
        <is>
          <t>Holy Redeemer Pob.</t>
        </is>
      </c>
      <c r="H197" s="37" t="n">
        <v>8.959</v>
      </c>
      <c r="I197" s="37" t="n">
        <v>125.5289</v>
      </c>
      <c r="J197" s="8" t="inlineStr">
        <is>
          <t>U</t>
        </is>
      </c>
      <c r="K197" s="36" t="inlineStr">
        <is>
          <t>Class 1-3 / Urban</t>
        </is>
      </c>
      <c r="L197" s="18" t="n">
        <v>8726</v>
      </c>
      <c r="M197" s="20" t="n">
        <v>4.63</v>
      </c>
      <c r="N197" s="18">
        <f>ROUND(L197/M197, 0)</f>
        <v/>
      </c>
      <c r="O197" s="18">
        <f>ROUND(N197*'Methodology &amp; Assumptions'!$B$8, 0)</f>
        <v/>
      </c>
      <c r="P197" s="8" t="inlineStr">
        <is>
          <t>Band n50 (1.5 GHz, 60 MHz)</t>
        </is>
      </c>
      <c r="Q197" s="38">
        <f>ROUNDUP(O197/'Methodology &amp; Assumptions'!$B$9, 0)</f>
        <v/>
      </c>
      <c r="R197" s="39" t="n">
        <v>1</v>
      </c>
      <c r="S197" s="21" t="n">
        <v>1.38</v>
      </c>
      <c r="T197" s="21" t="n">
        <v>0.18</v>
      </c>
      <c r="U197" s="36" t="inlineStr">
        <is>
          <t>Tier 1B (Micro Drop, 1-3 km)</t>
        </is>
      </c>
      <c r="V197" s="20" t="n">
        <v>73.2</v>
      </c>
      <c r="W197" s="20" t="n">
        <v>100</v>
      </c>
      <c r="X197" s="20" t="n">
        <v>43</v>
      </c>
      <c r="Y197" s="40">
        <f>ROUND((V197*'Methodology &amp; Assumptions'!$B$6)+(W197*'Methodology &amp; Assumptions'!$B$5)+(X197*'Methodology &amp; Assumptions'!$B$7), 2)</f>
        <v/>
      </c>
    </row>
    <row r="198" ht="19" customHeight="1">
      <c r="A198" s="41" t="n">
        <v>194</v>
      </c>
      <c r="B198" s="41" t="n">
        <v>1194</v>
      </c>
      <c r="C198" s="42" t="inlineStr">
        <is>
          <t>0105538027</t>
        </is>
      </c>
      <c r="D198" s="42" t="inlineStr">
        <is>
          <t>Region I (Ilocos Region)</t>
        </is>
      </c>
      <c r="E198" s="42" t="inlineStr">
        <is>
          <t>Pangasinan</t>
        </is>
      </c>
      <c r="F198" s="42" t="inlineStr">
        <is>
          <t>Santa Barbara</t>
        </is>
      </c>
      <c r="G198" s="42" t="inlineStr">
        <is>
          <t>Tuliao</t>
        </is>
      </c>
      <c r="H198" s="43" t="n">
        <v>16.01187</v>
      </c>
      <c r="I198" s="43" t="n">
        <v>120.394809</v>
      </c>
      <c r="J198" s="44" t="inlineStr">
        <is>
          <t>U</t>
        </is>
      </c>
      <c r="K198" s="42" t="inlineStr">
        <is>
          <t>Class 1-3 / Urban</t>
        </is>
      </c>
      <c r="L198" s="23" t="n">
        <v>6424</v>
      </c>
      <c r="M198" s="24" t="n">
        <v>4.39</v>
      </c>
      <c r="N198" s="23">
        <f>ROUND(L198/M198, 0)</f>
        <v/>
      </c>
      <c r="O198" s="23">
        <f>ROUND(N198*'Methodology &amp; Assumptions'!$B$8, 0)</f>
        <v/>
      </c>
      <c r="P198" s="44" t="inlineStr">
        <is>
          <t>Band n50 (1.5 GHz, 60 MHz)</t>
        </is>
      </c>
      <c r="Q198" s="38">
        <f>ROUNDUP(O198/'Methodology &amp; Assumptions'!$B$9, 0)</f>
        <v/>
      </c>
      <c r="R198" s="39" t="n">
        <v>1</v>
      </c>
      <c r="S198" s="25" t="n">
        <v>0.82</v>
      </c>
      <c r="T198" s="25" t="n">
        <v>0.22</v>
      </c>
      <c r="U198" s="42" t="inlineStr">
        <is>
          <t>Tier 1A (Direct Coloc, &lt;1 km)</t>
        </is>
      </c>
      <c r="V198" s="24" t="n">
        <v>86</v>
      </c>
      <c r="W198" s="24" t="n">
        <v>100</v>
      </c>
      <c r="X198" s="24" t="n">
        <v>28</v>
      </c>
      <c r="Y198" s="45">
        <f>ROUND((V198*'Methodology &amp; Assumptions'!$B$6)+(W198*'Methodology &amp; Assumptions'!$B$5)+(X198*'Methodology &amp; Assumptions'!$B$7), 2)</f>
        <v/>
      </c>
    </row>
    <row r="199" ht="19" customHeight="1">
      <c r="A199" s="35" t="n">
        <v>195</v>
      </c>
      <c r="B199" s="35" t="n">
        <v>1195</v>
      </c>
      <c r="C199" s="36" t="inlineStr">
        <is>
          <t>0803738082</t>
        </is>
      </c>
      <c r="D199" s="36" t="inlineStr">
        <is>
          <t>Region VIII (Eastern Visayas)</t>
        </is>
      </c>
      <c r="E199" s="36" t="inlineStr">
        <is>
          <t>Leyte</t>
        </is>
      </c>
      <c r="F199" s="36" t="inlineStr">
        <is>
          <t>Ormoc City</t>
        </is>
      </c>
      <c r="G199" s="36" t="inlineStr">
        <is>
          <t>San Isidro</t>
        </is>
      </c>
      <c r="H199" s="37" t="n">
        <v>11.058576</v>
      </c>
      <c r="I199" s="37" t="n">
        <v>124.38352</v>
      </c>
      <c r="J199" s="8" t="inlineStr">
        <is>
          <t>U</t>
        </is>
      </c>
      <c r="K199" s="36" t="inlineStr">
        <is>
          <t>Class 1-3 / Urban</t>
        </is>
      </c>
      <c r="L199" s="18" t="n">
        <v>6210</v>
      </c>
      <c r="M199" s="20" t="n">
        <v>4.24</v>
      </c>
      <c r="N199" s="18">
        <f>ROUND(L199/M199, 0)</f>
        <v/>
      </c>
      <c r="O199" s="18">
        <f>ROUND(N199*'Methodology &amp; Assumptions'!$B$8, 0)</f>
        <v/>
      </c>
      <c r="P199" s="8" t="inlineStr">
        <is>
          <t>Band n50 (1.5 GHz, 60 MHz)</t>
        </is>
      </c>
      <c r="Q199" s="38">
        <f>ROUNDUP(O199/'Methodology &amp; Assumptions'!$B$9, 0)</f>
        <v/>
      </c>
      <c r="R199" s="39" t="n">
        <v>1</v>
      </c>
      <c r="S199" s="21" t="n">
        <v>0.82</v>
      </c>
      <c r="T199" s="21" t="n">
        <v>0.98</v>
      </c>
      <c r="U199" s="36" t="inlineStr">
        <is>
          <t>Tier 1A (Direct Coloc, &lt;1 km)</t>
        </is>
      </c>
      <c r="V199" s="20" t="n">
        <v>86</v>
      </c>
      <c r="W199" s="20" t="n">
        <v>100</v>
      </c>
      <c r="X199" s="20" t="n">
        <v>28</v>
      </c>
      <c r="Y199" s="40">
        <f>ROUND((V199*'Methodology &amp; Assumptions'!$B$6)+(W199*'Methodology &amp; Assumptions'!$B$5)+(X199*'Methodology &amp; Assumptions'!$B$7), 2)</f>
        <v/>
      </c>
    </row>
    <row r="200" ht="19" customHeight="1">
      <c r="A200" s="41" t="n">
        <v>196</v>
      </c>
      <c r="B200" s="41" t="n">
        <v>1196</v>
      </c>
      <c r="C200" s="42" t="inlineStr">
        <is>
          <t>0205007013</t>
        </is>
      </c>
      <c r="D200" s="42" t="inlineStr">
        <is>
          <t>Region II (Cagayan Valley)</t>
        </is>
      </c>
      <c r="E200" s="42" t="inlineStr">
        <is>
          <t>Nueva Vizcaya</t>
        </is>
      </c>
      <c r="F200" s="42" t="inlineStr">
        <is>
          <t>Dupax del Norte</t>
        </is>
      </c>
      <c r="G200" s="42" t="inlineStr">
        <is>
          <t>Malasin</t>
        </is>
      </c>
      <c r="H200" s="43" t="n">
        <v>16.306833</v>
      </c>
      <c r="I200" s="43" t="n">
        <v>121.105159</v>
      </c>
      <c r="J200" s="44" t="inlineStr">
        <is>
          <t>U</t>
        </is>
      </c>
      <c r="K200" s="42" t="inlineStr">
        <is>
          <t>Class 1-3 / Urban</t>
        </is>
      </c>
      <c r="L200" s="23" t="n">
        <v>5017</v>
      </c>
      <c r="M200" s="24" t="n">
        <v>4.19</v>
      </c>
      <c r="N200" s="23">
        <f>ROUND(L200/M200, 0)</f>
        <v/>
      </c>
      <c r="O200" s="23">
        <f>ROUND(N200*'Methodology &amp; Assumptions'!$B$8, 0)</f>
        <v/>
      </c>
      <c r="P200" s="44" t="inlineStr">
        <is>
          <t>Band n50 (1.5 GHz, 60 MHz)</t>
        </is>
      </c>
      <c r="Q200" s="38">
        <f>ROUNDUP(O200/'Methodology &amp; Assumptions'!$B$9, 0)</f>
        <v/>
      </c>
      <c r="R200" s="39" t="n">
        <v>1</v>
      </c>
      <c r="S200" s="25" t="n">
        <v>0.45</v>
      </c>
      <c r="T200" s="25" t="n">
        <v>3.99</v>
      </c>
      <c r="U200" s="42" t="inlineStr">
        <is>
          <t>Tier 1A (Direct Coloc, &lt;1 km)</t>
        </is>
      </c>
      <c r="V200" s="24" t="n">
        <v>86</v>
      </c>
      <c r="W200" s="24" t="n">
        <v>100</v>
      </c>
      <c r="X200" s="24" t="n">
        <v>28</v>
      </c>
      <c r="Y200" s="45">
        <f>ROUND((V200*'Methodology &amp; Assumptions'!$B$6)+(W200*'Methodology &amp; Assumptions'!$B$5)+(X200*'Methodology &amp; Assumptions'!$B$7), 2)</f>
        <v/>
      </c>
    </row>
    <row r="201" ht="19" customHeight="1">
      <c r="A201" s="35" t="n">
        <v>197</v>
      </c>
      <c r="B201" s="35" t="n">
        <v>1197</v>
      </c>
      <c r="C201" s="36" t="inlineStr">
        <is>
          <t>0403419011</t>
        </is>
      </c>
      <c r="D201" s="36" t="inlineStr">
        <is>
          <t>Region IV-A (CALABARZON)</t>
        </is>
      </c>
      <c r="E201" s="36" t="inlineStr">
        <is>
          <t>Laguna</t>
        </is>
      </c>
      <c r="F201" s="36" t="inlineStr">
        <is>
          <t>Pagsanjan</t>
        </is>
      </c>
      <c r="G201" s="36" t="inlineStr">
        <is>
          <t>Pinagsanjan</t>
        </is>
      </c>
      <c r="H201" s="37" t="n">
        <v>14.270797</v>
      </c>
      <c r="I201" s="37" t="n">
        <v>121.457356</v>
      </c>
      <c r="J201" s="8" t="inlineStr">
        <is>
          <t>U</t>
        </is>
      </c>
      <c r="K201" s="36" t="inlineStr">
        <is>
          <t>Class 1-3 / Urban</t>
        </is>
      </c>
      <c r="L201" s="18" t="n">
        <v>5134</v>
      </c>
      <c r="M201" s="20" t="n">
        <v>4.2</v>
      </c>
      <c r="N201" s="18">
        <f>ROUND(L201/M201, 0)</f>
        <v/>
      </c>
      <c r="O201" s="18">
        <f>ROUND(N201*'Methodology &amp; Assumptions'!$B$8, 0)</f>
        <v/>
      </c>
      <c r="P201" s="8" t="inlineStr">
        <is>
          <t>Band n50 (1.5 GHz, 60 MHz)</t>
        </is>
      </c>
      <c r="Q201" s="38">
        <f>ROUNDUP(O201/'Methodology &amp; Assumptions'!$B$9, 0)</f>
        <v/>
      </c>
      <c r="R201" s="39" t="n">
        <v>1</v>
      </c>
      <c r="S201" s="21" t="n">
        <v>0.82</v>
      </c>
      <c r="T201" s="21" t="n">
        <v>0.25</v>
      </c>
      <c r="U201" s="36" t="inlineStr">
        <is>
          <t>Tier 1A (Direct Coloc, &lt;1 km)</t>
        </is>
      </c>
      <c r="V201" s="20" t="n">
        <v>86</v>
      </c>
      <c r="W201" s="20" t="n">
        <v>100</v>
      </c>
      <c r="X201" s="20" t="n">
        <v>28</v>
      </c>
      <c r="Y201" s="40">
        <f>ROUND((V201*'Methodology &amp; Assumptions'!$B$6)+(W201*'Methodology &amp; Assumptions'!$B$5)+(X201*'Methodology &amp; Assumptions'!$B$7), 2)</f>
        <v/>
      </c>
    </row>
    <row r="202" ht="19" customHeight="1">
      <c r="A202" s="41" t="n">
        <v>198</v>
      </c>
      <c r="B202" s="41" t="n">
        <v>1198</v>
      </c>
      <c r="C202" s="42" t="inlineStr">
        <is>
          <t>0701205013</t>
        </is>
      </c>
      <c r="D202" s="42" t="inlineStr">
        <is>
          <t>Region VII (Central Visayas)</t>
        </is>
      </c>
      <c r="E202" s="42" t="inlineStr">
        <is>
          <t>Bohol</t>
        </is>
      </c>
      <c r="F202" s="42" t="inlineStr">
        <is>
          <t>Baclayon</t>
        </is>
      </c>
      <c r="G202" s="42" t="inlineStr">
        <is>
          <t>San Roque</t>
        </is>
      </c>
      <c r="H202" s="43" t="n">
        <v>9.624831</v>
      </c>
      <c r="I202" s="43" t="n">
        <v>123.916415</v>
      </c>
      <c r="J202" s="44" t="inlineStr">
        <is>
          <t>R</t>
        </is>
      </c>
      <c r="K202" s="42" t="inlineStr">
        <is>
          <t>4th</t>
        </is>
      </c>
      <c r="L202" s="23" t="n">
        <v>1737</v>
      </c>
      <c r="M202" s="24" t="n">
        <v>4.66</v>
      </c>
      <c r="N202" s="23">
        <f>ROUND(L202/M202, 0)</f>
        <v/>
      </c>
      <c r="O202" s="23">
        <f>ROUND(N202*'Methodology &amp; Assumptions'!$B$8, 0)</f>
        <v/>
      </c>
      <c r="P202" s="44" t="inlineStr">
        <is>
          <t>Band n50 (1.5 GHz, 60 MHz)</t>
        </is>
      </c>
      <c r="Q202" s="38">
        <f>ROUNDUP(O202/'Methodology &amp; Assumptions'!$B$9, 0)</f>
        <v/>
      </c>
      <c r="R202" s="39" t="n">
        <v>1</v>
      </c>
      <c r="S202" s="25" t="n">
        <v>0.4</v>
      </c>
      <c r="T202" s="25" t="n">
        <v>0.35</v>
      </c>
      <c r="U202" s="42" t="inlineStr">
        <is>
          <t>Tier 1A (Direct Coloc, &lt;1 km)</t>
        </is>
      </c>
      <c r="V202" s="24" t="n">
        <v>97.40000000000001</v>
      </c>
      <c r="W202" s="24" t="n">
        <v>53.9</v>
      </c>
      <c r="X202" s="24" t="n">
        <v>68.5</v>
      </c>
      <c r="Y202" s="45">
        <f>ROUND((V202*'Methodology &amp; Assumptions'!$B$6)+(W202*'Methodology &amp; Assumptions'!$B$5)+(X202*'Methodology &amp; Assumptions'!$B$7), 2)</f>
        <v/>
      </c>
    </row>
    <row r="203" ht="19" customHeight="1">
      <c r="A203" s="35" t="n">
        <v>199</v>
      </c>
      <c r="B203" s="35" t="n">
        <v>1199</v>
      </c>
      <c r="C203" s="36" t="inlineStr">
        <is>
          <t>0405812017</t>
        </is>
      </c>
      <c r="D203" s="36" t="inlineStr">
        <is>
          <t>Region IV-A (CALABARZON)</t>
        </is>
      </c>
      <c r="E203" s="36" t="inlineStr">
        <is>
          <t>Rizal</t>
        </is>
      </c>
      <c r="F203" s="36" t="inlineStr">
        <is>
          <t>Tanay</t>
        </is>
      </c>
      <c r="G203" s="36" t="inlineStr">
        <is>
          <t>Tabing Ilog</t>
        </is>
      </c>
      <c r="H203" s="37" t="n">
        <v>14.49804</v>
      </c>
      <c r="I203" s="37" t="n">
        <v>121.28643</v>
      </c>
      <c r="J203" s="8" t="inlineStr">
        <is>
          <t>R</t>
        </is>
      </c>
      <c r="K203" s="36" t="inlineStr">
        <is>
          <t>Class 1-3 / Urban</t>
        </is>
      </c>
      <c r="L203" s="18" t="n">
        <v>1995</v>
      </c>
      <c r="M203" s="20" t="n">
        <v>4.39</v>
      </c>
      <c r="N203" s="18">
        <f>ROUND(L203/M203, 0)</f>
        <v/>
      </c>
      <c r="O203" s="18">
        <f>ROUND(N203*'Methodology &amp; Assumptions'!$B$8, 0)</f>
        <v/>
      </c>
      <c r="P203" s="8" t="inlineStr">
        <is>
          <t>Band n50 (1.5 GHz, 60 MHz)</t>
        </is>
      </c>
      <c r="Q203" s="38">
        <f>ROUNDUP(O203/'Methodology &amp; Assumptions'!$B$9, 0)</f>
        <v/>
      </c>
      <c r="R203" s="39" t="n">
        <v>1</v>
      </c>
      <c r="S203" s="21" t="n">
        <v>0.24</v>
      </c>
      <c r="T203" s="21" t="n">
        <v>0.26</v>
      </c>
      <c r="U203" s="36" t="inlineStr">
        <is>
          <t>Tier 1A (Direct Coloc, &lt;1 km)</t>
        </is>
      </c>
      <c r="V203" s="20" t="n">
        <v>100</v>
      </c>
      <c r="W203" s="20" t="n">
        <v>60.3</v>
      </c>
      <c r="X203" s="20" t="n">
        <v>58</v>
      </c>
      <c r="Y203" s="40">
        <f>ROUND((V203*'Methodology &amp; Assumptions'!$B$6)+(W203*'Methodology &amp; Assumptions'!$B$5)+(X203*'Methodology &amp; Assumptions'!$B$7), 2)</f>
        <v/>
      </c>
    </row>
    <row r="204" ht="19" customHeight="1">
      <c r="A204" s="41" t="n">
        <v>200</v>
      </c>
      <c r="B204" s="41" t="n">
        <v>1200</v>
      </c>
      <c r="C204" s="42" t="inlineStr">
        <is>
          <t>0604521003</t>
        </is>
      </c>
      <c r="D204" s="42" t="inlineStr">
        <is>
          <t>Region VI (Western Visayas)</t>
        </is>
      </c>
      <c r="E204" s="42" t="inlineStr">
        <is>
          <t>Negros Occidental</t>
        </is>
      </c>
      <c r="F204" s="42" t="inlineStr">
        <is>
          <t>Pontevedra</t>
        </is>
      </c>
      <c r="G204" s="42" t="inlineStr">
        <is>
          <t>Barangay II</t>
        </is>
      </c>
      <c r="H204" s="43" t="n">
        <v>10.373136</v>
      </c>
      <c r="I204" s="43" t="n">
        <v>122.869904</v>
      </c>
      <c r="J204" s="44" t="inlineStr">
        <is>
          <t>R</t>
        </is>
      </c>
      <c r="K204" s="42" t="inlineStr">
        <is>
          <t>Class 1-3 / Urban</t>
        </is>
      </c>
      <c r="L204" s="23" t="n">
        <v>1963</v>
      </c>
      <c r="M204" s="24" t="n">
        <v>4.33</v>
      </c>
      <c r="N204" s="23">
        <f>ROUND(L204/M204, 0)</f>
        <v/>
      </c>
      <c r="O204" s="23">
        <f>ROUND(N204*'Methodology &amp; Assumptions'!$B$8, 0)</f>
        <v/>
      </c>
      <c r="P204" s="44" t="inlineStr">
        <is>
          <t>Band n50 (1.5 GHz, 60 MHz)</t>
        </is>
      </c>
      <c r="Q204" s="38">
        <f>ROUNDUP(O204/'Methodology &amp; Assumptions'!$B$9, 0)</f>
        <v/>
      </c>
      <c r="R204" s="39" t="n">
        <v>1</v>
      </c>
      <c r="S204" s="25" t="n">
        <v>0.2</v>
      </c>
      <c r="T204" s="25" t="n">
        <v>0.21</v>
      </c>
      <c r="U204" s="42" t="inlineStr">
        <is>
          <t>Tier 1A (Direct Coloc, &lt;1 km)</t>
        </is>
      </c>
      <c r="V204" s="24" t="n">
        <v>100</v>
      </c>
      <c r="W204" s="24" t="n">
        <v>60.3</v>
      </c>
      <c r="X204" s="24" t="n">
        <v>58</v>
      </c>
      <c r="Y204" s="45">
        <f>ROUND((V204*'Methodology &amp; Assumptions'!$B$6)+(W204*'Methodology &amp; Assumptions'!$B$5)+(X204*'Methodology &amp; Assumptions'!$B$7), 2)</f>
        <v/>
      </c>
    </row>
    <row r="205" ht="19" customHeight="1">
      <c r="A205" s="35" t="n">
        <v>201</v>
      </c>
      <c r="B205" s="35" t="n">
        <v>1201</v>
      </c>
      <c r="C205" s="36" t="inlineStr">
        <is>
          <t>0730600053</t>
        </is>
      </c>
      <c r="D205" s="36" t="inlineStr">
        <is>
          <t>Region VII (Central Visayas)</t>
        </is>
      </c>
      <c r="E205" s="36" t="inlineStr">
        <is>
          <t>Cebu</t>
        </is>
      </c>
      <c r="F205" s="36" t="inlineStr">
        <is>
          <t>City of Cebu</t>
        </is>
      </c>
      <c r="G205" s="36" t="inlineStr">
        <is>
          <t>Pardo</t>
        </is>
      </c>
      <c r="H205" s="37" t="n">
        <v>10.279237</v>
      </c>
      <c r="I205" s="37" t="n">
        <v>123.855639</v>
      </c>
      <c r="J205" s="8" t="inlineStr">
        <is>
          <t>U</t>
        </is>
      </c>
      <c r="K205" s="36" t="inlineStr">
        <is>
          <t>Class 1-3 / Urban</t>
        </is>
      </c>
      <c r="L205" s="18" t="n">
        <v>12016</v>
      </c>
      <c r="M205" s="20" t="n">
        <v>4.42</v>
      </c>
      <c r="N205" s="18">
        <f>ROUND(L205/M205, 0)</f>
        <v/>
      </c>
      <c r="O205" s="18">
        <f>ROUND(N205*'Methodology &amp; Assumptions'!$B$8, 0)</f>
        <v/>
      </c>
      <c r="P205" s="8" t="inlineStr">
        <is>
          <t>Band n50 (1.5 GHz, 60 MHz)</t>
        </is>
      </c>
      <c r="Q205" s="38">
        <f>ROUNDUP(O205/'Methodology &amp; Assumptions'!$B$9, 0)</f>
        <v/>
      </c>
      <c r="R205" s="39" t="n">
        <v>1</v>
      </c>
      <c r="S205" s="21" t="n">
        <v>0.82</v>
      </c>
      <c r="T205" s="21" t="n">
        <v>0.25</v>
      </c>
      <c r="U205" s="36" t="inlineStr">
        <is>
          <t>Tier 1A (Direct Coloc, &lt;1 km)</t>
        </is>
      </c>
      <c r="V205" s="20" t="n">
        <v>86</v>
      </c>
      <c r="W205" s="20" t="n">
        <v>100</v>
      </c>
      <c r="X205" s="20" t="n">
        <v>28</v>
      </c>
      <c r="Y205" s="40">
        <f>ROUND((V205*'Methodology &amp; Assumptions'!$B$6)+(W205*'Methodology &amp; Assumptions'!$B$5)+(X205*'Methodology &amp; Assumptions'!$B$7), 2)</f>
        <v/>
      </c>
    </row>
    <row r="206" ht="19" customHeight="1">
      <c r="A206" s="41" t="n">
        <v>202</v>
      </c>
      <c r="B206" s="41" t="n">
        <v>1202</v>
      </c>
      <c r="C206" s="42" t="inlineStr">
        <is>
          <t>0401003038</t>
        </is>
      </c>
      <c r="D206" s="42" t="inlineStr">
        <is>
          <t>Region IV-A (CALABARZON)</t>
        </is>
      </c>
      <c r="E206" s="42" t="inlineStr">
        <is>
          <t>Batangas</t>
        </is>
      </c>
      <c r="F206" s="42" t="inlineStr">
        <is>
          <t>Balayan</t>
        </is>
      </c>
      <c r="G206" s="42" t="inlineStr">
        <is>
          <t>Navotas</t>
        </is>
      </c>
      <c r="H206" s="43" t="n">
        <v>13.9302</v>
      </c>
      <c r="I206" s="43" t="n">
        <v>120.7187</v>
      </c>
      <c r="J206" s="44" t="inlineStr">
        <is>
          <t>R</t>
        </is>
      </c>
      <c r="K206" s="42" t="inlineStr">
        <is>
          <t>Class 1-3 / Urban</t>
        </is>
      </c>
      <c r="L206" s="23" t="n">
        <v>4113</v>
      </c>
      <c r="M206" s="24" t="n">
        <v>4.62</v>
      </c>
      <c r="N206" s="23">
        <f>ROUND(L206/M206, 0)</f>
        <v/>
      </c>
      <c r="O206" s="23">
        <f>ROUND(N206*'Methodology &amp; Assumptions'!$B$8, 0)</f>
        <v/>
      </c>
      <c r="P206" s="44" t="inlineStr">
        <is>
          <t>Band n50 (1.5 GHz, 60 MHz)</t>
        </is>
      </c>
      <c r="Q206" s="38">
        <f>ROUNDUP(O206/'Methodology &amp; Assumptions'!$B$9, 0)</f>
        <v/>
      </c>
      <c r="R206" s="39" t="n">
        <v>1</v>
      </c>
      <c r="S206" s="25" t="n">
        <v>1.79</v>
      </c>
      <c r="T206" s="25" t="n">
        <v>1.26</v>
      </c>
      <c r="U206" s="42" t="inlineStr">
        <is>
          <t>Tier 1B (Micro Drop, 1-3 km)</t>
        </is>
      </c>
      <c r="V206" s="24" t="n">
        <v>65</v>
      </c>
      <c r="W206" s="24" t="n">
        <v>95.2</v>
      </c>
      <c r="X206" s="24" t="n">
        <v>58</v>
      </c>
      <c r="Y206" s="45">
        <f>ROUND((V206*'Methodology &amp; Assumptions'!$B$6)+(W206*'Methodology &amp; Assumptions'!$B$5)+(X206*'Methodology &amp; Assumptions'!$B$7), 2)</f>
        <v/>
      </c>
    </row>
    <row r="207" ht="19" customHeight="1">
      <c r="A207" s="35" t="n">
        <v>203</v>
      </c>
      <c r="B207" s="35" t="n">
        <v>1203</v>
      </c>
      <c r="C207" s="36" t="inlineStr">
        <is>
          <t>0300804014</t>
        </is>
      </c>
      <c r="D207" s="36" t="inlineStr">
        <is>
          <t>Region III (Central Luzon)</t>
        </is>
      </c>
      <c r="E207" s="36" t="inlineStr">
        <is>
          <t>Bataan</t>
        </is>
      </c>
      <c r="F207" s="36" t="inlineStr">
        <is>
          <t>Dinalupihan</t>
        </is>
      </c>
      <c r="G207" s="36" t="inlineStr">
        <is>
          <t>Kataasan</t>
        </is>
      </c>
      <c r="H207" s="37" t="n">
        <v>14.873266</v>
      </c>
      <c r="I207" s="37" t="n">
        <v>120.462995</v>
      </c>
      <c r="J207" s="8" t="inlineStr">
        <is>
          <t>R</t>
        </is>
      </c>
      <c r="K207" s="36" t="inlineStr">
        <is>
          <t>Class 1-3 / Urban</t>
        </is>
      </c>
      <c r="L207" s="18" t="n">
        <v>3082</v>
      </c>
      <c r="M207" s="20" t="n">
        <v>4.57</v>
      </c>
      <c r="N207" s="18">
        <f>ROUND(L207/M207, 0)</f>
        <v/>
      </c>
      <c r="O207" s="18">
        <f>ROUND(N207*'Methodology &amp; Assumptions'!$B$8, 0)</f>
        <v/>
      </c>
      <c r="P207" s="8" t="inlineStr">
        <is>
          <t>Band n50 (1.5 GHz, 60 MHz)</t>
        </is>
      </c>
      <c r="Q207" s="38">
        <f>ROUNDUP(O207/'Methodology &amp; Assumptions'!$B$9, 0)</f>
        <v/>
      </c>
      <c r="R207" s="39" t="n">
        <v>1</v>
      </c>
      <c r="S207" s="21" t="n">
        <v>0.97</v>
      </c>
      <c r="T207" s="21" t="n">
        <v>0.3</v>
      </c>
      <c r="U207" s="36" t="inlineStr">
        <is>
          <t>Tier 1A (Direct Coloc, &lt;1 km)</t>
        </is>
      </c>
      <c r="V207" s="20" t="n">
        <v>82.3</v>
      </c>
      <c r="W207" s="20" t="n">
        <v>77.90000000000001</v>
      </c>
      <c r="X207" s="20" t="n">
        <v>58</v>
      </c>
      <c r="Y207" s="40">
        <f>ROUND((V207*'Methodology &amp; Assumptions'!$B$6)+(W207*'Methodology &amp; Assumptions'!$B$5)+(X207*'Methodology &amp; Assumptions'!$B$7), 2)</f>
        <v/>
      </c>
    </row>
    <row r="208" ht="19" customHeight="1">
      <c r="A208" s="41" t="n">
        <v>204</v>
      </c>
      <c r="B208" s="41" t="n">
        <v>1204</v>
      </c>
      <c r="C208" s="42" t="inlineStr">
        <is>
          <t>0730600041</t>
        </is>
      </c>
      <c r="D208" s="42" t="inlineStr">
        <is>
          <t>Region VII (Central Visayas)</t>
        </is>
      </c>
      <c r="E208" s="42" t="inlineStr">
        <is>
          <t>Cebu</t>
        </is>
      </c>
      <c r="F208" s="42" t="inlineStr">
        <is>
          <t>City of Cebu</t>
        </is>
      </c>
      <c r="G208" s="42" t="inlineStr">
        <is>
          <t>Lahug</t>
        </is>
      </c>
      <c r="H208" s="43" t="n">
        <v>10.324223</v>
      </c>
      <c r="I208" s="43" t="n">
        <v>123.898479</v>
      </c>
      <c r="J208" s="44" t="inlineStr">
        <is>
          <t>U</t>
        </is>
      </c>
      <c r="K208" s="42" t="inlineStr">
        <is>
          <t>Class 1-3 / Urban</t>
        </is>
      </c>
      <c r="L208" s="23" t="n">
        <v>45853</v>
      </c>
      <c r="M208" s="24" t="n">
        <v>4.42</v>
      </c>
      <c r="N208" s="23">
        <f>ROUND(L208/M208, 0)</f>
        <v/>
      </c>
      <c r="O208" s="23">
        <f>ROUND(N208*'Methodology &amp; Assumptions'!$B$8, 0)</f>
        <v/>
      </c>
      <c r="P208" s="44" t="inlineStr">
        <is>
          <t>Band n50 (1.5 GHz, 60 MHz)</t>
        </is>
      </c>
      <c r="Q208" s="38">
        <f>ROUNDUP(O208/'Methodology &amp; Assumptions'!$B$9, 0)</f>
        <v/>
      </c>
      <c r="R208" s="39" t="n">
        <v>1</v>
      </c>
      <c r="S208" s="25" t="n">
        <v>0.72</v>
      </c>
      <c r="T208" s="25" t="n">
        <v>1.87</v>
      </c>
      <c r="U208" s="42" t="inlineStr">
        <is>
          <t>Tier 1A (Direct Coloc, &lt;1 km)</t>
        </is>
      </c>
      <c r="V208" s="24" t="n">
        <v>88.8</v>
      </c>
      <c r="W208" s="24" t="n">
        <v>97.2</v>
      </c>
      <c r="X208" s="24" t="n">
        <v>28</v>
      </c>
      <c r="Y208" s="45">
        <f>ROUND((V208*'Methodology &amp; Assumptions'!$B$6)+(W208*'Methodology &amp; Assumptions'!$B$5)+(X208*'Methodology &amp; Assumptions'!$B$7), 2)</f>
        <v/>
      </c>
    </row>
    <row r="209" ht="19" customHeight="1">
      <c r="A209" s="35" t="n">
        <v>205</v>
      </c>
      <c r="B209" s="35" t="n">
        <v>1205</v>
      </c>
      <c r="C209" s="36" t="inlineStr">
        <is>
          <t>1430300097</t>
        </is>
      </c>
      <c r="D209" s="36" t="inlineStr">
        <is>
          <t>Cordillera Administrative Region (CAR)</t>
        </is>
      </c>
      <c r="E209" s="36" t="inlineStr">
        <is>
          <t>Benguet</t>
        </is>
      </c>
      <c r="F209" s="36" t="inlineStr">
        <is>
          <t>City of Baguio</t>
        </is>
      </c>
      <c r="G209" s="36" t="inlineStr">
        <is>
          <t>San Luis Village</t>
        </is>
      </c>
      <c r="H209" s="37" t="n">
        <v>16.40588</v>
      </c>
      <c r="I209" s="37" t="n">
        <v>120.57758</v>
      </c>
      <c r="J209" s="8" t="inlineStr">
        <is>
          <t>U</t>
        </is>
      </c>
      <c r="K209" s="36" t="inlineStr">
        <is>
          <t>Class 1-3 / Urban</t>
        </is>
      </c>
      <c r="L209" s="18" t="n">
        <v>8981</v>
      </c>
      <c r="M209" s="20" t="n">
        <v>4.58</v>
      </c>
      <c r="N209" s="18">
        <f>ROUND(L209/M209, 0)</f>
        <v/>
      </c>
      <c r="O209" s="18">
        <f>ROUND(N209*'Methodology &amp; Assumptions'!$B$8, 0)</f>
        <v/>
      </c>
      <c r="P209" s="8" t="inlineStr">
        <is>
          <t>Band n50 (1.5 GHz, 60 MHz)</t>
        </is>
      </c>
      <c r="Q209" s="38">
        <f>ROUNDUP(O209/'Methodology &amp; Assumptions'!$B$9, 0)</f>
        <v/>
      </c>
      <c r="R209" s="39" t="n">
        <v>1</v>
      </c>
      <c r="S209" s="21" t="n">
        <v>0.83</v>
      </c>
      <c r="T209" s="21" t="n">
        <v>0.61</v>
      </c>
      <c r="U209" s="36" t="inlineStr">
        <is>
          <t>Tier 1A (Direct Coloc, &lt;1 km)</t>
        </is>
      </c>
      <c r="V209" s="20" t="n">
        <v>85.90000000000001</v>
      </c>
      <c r="W209" s="20" t="n">
        <v>100</v>
      </c>
      <c r="X209" s="20" t="n">
        <v>28</v>
      </c>
      <c r="Y209" s="40">
        <f>ROUND((V209*'Methodology &amp; Assumptions'!$B$6)+(W209*'Methodology &amp; Assumptions'!$B$5)+(X209*'Methodology &amp; Assumptions'!$B$7), 2)</f>
        <v/>
      </c>
    </row>
    <row r="210" ht="19" customHeight="1">
      <c r="A210" s="41" t="n">
        <v>206</v>
      </c>
      <c r="B210" s="41" t="n">
        <v>1206</v>
      </c>
      <c r="C210" s="42" t="inlineStr">
        <is>
          <t>0501710002</t>
        </is>
      </c>
      <c r="D210" s="42" t="inlineStr">
        <is>
          <t>Region V (Bicol Region)</t>
        </is>
      </c>
      <c r="E210" s="42" t="inlineStr">
        <is>
          <t>Camarines Sur</t>
        </is>
      </c>
      <c r="F210" s="42" t="inlineStr">
        <is>
          <t>Canaman</t>
        </is>
      </c>
      <c r="G210" s="42" t="inlineStr">
        <is>
          <t>Del Rosario</t>
        </is>
      </c>
      <c r="H210" s="43" t="n">
        <v>13.631967</v>
      </c>
      <c r="I210" s="43" t="n">
        <v>123.169543</v>
      </c>
      <c r="J210" s="44" t="inlineStr">
        <is>
          <t>R</t>
        </is>
      </c>
      <c r="K210" s="42" t="inlineStr">
        <is>
          <t>3rd</t>
        </is>
      </c>
      <c r="L210" s="23" t="n">
        <v>3744</v>
      </c>
      <c r="M210" s="24" t="n">
        <v>4.79</v>
      </c>
      <c r="N210" s="23">
        <f>ROUND(L210/M210, 0)</f>
        <v/>
      </c>
      <c r="O210" s="23">
        <f>ROUND(N210*'Methodology &amp; Assumptions'!$B$8, 0)</f>
        <v/>
      </c>
      <c r="P210" s="44" t="inlineStr">
        <is>
          <t>Band n50 (1.5 GHz, 60 MHz)</t>
        </is>
      </c>
      <c r="Q210" s="38">
        <f>ROUNDUP(O210/'Methodology &amp; Assumptions'!$B$9, 0)</f>
        <v/>
      </c>
      <c r="R210" s="39" t="n">
        <v>1</v>
      </c>
      <c r="S210" s="25" t="n">
        <v>1.36</v>
      </c>
      <c r="T210" s="25" t="n">
        <v>1.83</v>
      </c>
      <c r="U210" s="42" t="inlineStr">
        <is>
          <t>Tier 1B (Micro Drop, 1-3 km)</t>
        </is>
      </c>
      <c r="V210" s="24" t="n">
        <v>73.5</v>
      </c>
      <c r="W210" s="24" t="n">
        <v>86.7</v>
      </c>
      <c r="X210" s="24" t="n">
        <v>58</v>
      </c>
      <c r="Y210" s="45">
        <f>ROUND((V210*'Methodology &amp; Assumptions'!$B$6)+(W210*'Methodology &amp; Assumptions'!$B$5)+(X210*'Methodology &amp; Assumptions'!$B$7), 2)</f>
        <v/>
      </c>
    </row>
    <row r="211" ht="19" customHeight="1">
      <c r="A211" s="35" t="n">
        <v>207</v>
      </c>
      <c r="B211" s="35" t="n">
        <v>1207</v>
      </c>
      <c r="C211" s="36" t="inlineStr">
        <is>
          <t>0402106068</t>
        </is>
      </c>
      <c r="D211" s="36" t="inlineStr">
        <is>
          <t>Region IV-A (CALABARZON)</t>
        </is>
      </c>
      <c r="E211" s="36" t="inlineStr">
        <is>
          <t>Cavite</t>
        </is>
      </c>
      <c r="F211" s="36" t="inlineStr">
        <is>
          <t>City of Dasmariñas</t>
        </is>
      </c>
      <c r="G211" s="36" t="inlineStr">
        <is>
          <t>San Antonio De Padua II</t>
        </is>
      </c>
      <c r="H211" s="37" t="n">
        <v>14.317398</v>
      </c>
      <c r="I211" s="37" t="n">
        <v>120.957879</v>
      </c>
      <c r="J211" s="8" t="inlineStr">
        <is>
          <t>R</t>
        </is>
      </c>
      <c r="K211" s="36" t="inlineStr">
        <is>
          <t>Class 1-3 / Urban</t>
        </is>
      </c>
      <c r="L211" s="18" t="n">
        <v>3062</v>
      </c>
      <c r="M211" s="20" t="n">
        <v>4.49</v>
      </c>
      <c r="N211" s="18">
        <f>ROUND(L211/M211, 0)</f>
        <v/>
      </c>
      <c r="O211" s="18">
        <f>ROUND(N211*'Methodology &amp; Assumptions'!$B$8, 0)</f>
        <v/>
      </c>
      <c r="P211" s="8" t="inlineStr">
        <is>
          <t>Band n50 (1.5 GHz, 60 MHz)</t>
        </is>
      </c>
      <c r="Q211" s="38">
        <f>ROUNDUP(O211/'Methodology &amp; Assumptions'!$B$9, 0)</f>
        <v/>
      </c>
      <c r="R211" s="39" t="n">
        <v>1</v>
      </c>
      <c r="S211" s="21" t="n">
        <v>1.01</v>
      </c>
      <c r="T211" s="21" t="n">
        <v>1.81</v>
      </c>
      <c r="U211" s="36" t="inlineStr">
        <is>
          <t>Tier 1B (Micro Drop, 1-3 km)</t>
        </is>
      </c>
      <c r="V211" s="20" t="n">
        <v>81.5</v>
      </c>
      <c r="W211" s="20" t="n">
        <v>78.7</v>
      </c>
      <c r="X211" s="20" t="n">
        <v>58</v>
      </c>
      <c r="Y211" s="40">
        <f>ROUND((V211*'Methodology &amp; Assumptions'!$B$6)+(W211*'Methodology &amp; Assumptions'!$B$5)+(X211*'Methodology &amp; Assumptions'!$B$7), 2)</f>
        <v/>
      </c>
    </row>
    <row r="212" ht="19" customHeight="1">
      <c r="A212" s="41" t="n">
        <v>208</v>
      </c>
      <c r="B212" s="41" t="n">
        <v>1208</v>
      </c>
      <c r="C212" s="42" t="inlineStr">
        <is>
          <t>0702247010</t>
        </is>
      </c>
      <c r="D212" s="42" t="inlineStr">
        <is>
          <t>Region VII (Central Visayas)</t>
        </is>
      </c>
      <c r="E212" s="42" t="inlineStr">
        <is>
          <t>Cebu</t>
        </is>
      </c>
      <c r="F212" s="42" t="inlineStr">
        <is>
          <t>Sogod</t>
        </is>
      </c>
      <c r="G212" s="42" t="inlineStr">
        <is>
          <t>Damolog</t>
        </is>
      </c>
      <c r="H212" s="43" t="n">
        <v>10.770034</v>
      </c>
      <c r="I212" s="43" t="n">
        <v>124.005698</v>
      </c>
      <c r="J212" s="44" t="inlineStr">
        <is>
          <t>R</t>
        </is>
      </c>
      <c r="K212" s="42" t="inlineStr">
        <is>
          <t>2nd</t>
        </is>
      </c>
      <c r="L212" s="23" t="n">
        <v>3899</v>
      </c>
      <c r="M212" s="24" t="n">
        <v>4.15</v>
      </c>
      <c r="N212" s="23">
        <f>ROUND(L212/M212, 0)</f>
        <v/>
      </c>
      <c r="O212" s="23">
        <f>ROUND(N212*'Methodology &amp; Assumptions'!$B$8, 0)</f>
        <v/>
      </c>
      <c r="P212" s="44" t="inlineStr">
        <is>
          <t>Band n50 (1.5 GHz, 60 MHz)</t>
        </is>
      </c>
      <c r="Q212" s="38">
        <f>ROUNDUP(O212/'Methodology &amp; Assumptions'!$B$9, 0)</f>
        <v/>
      </c>
      <c r="R212" s="39" t="n">
        <v>1</v>
      </c>
      <c r="S212" s="25" t="n">
        <v>2.02</v>
      </c>
      <c r="T212" s="25" t="n">
        <v>0.25</v>
      </c>
      <c r="U212" s="42" t="inlineStr">
        <is>
          <t>Tier 1B (Micro Drop, 1-3 km)</t>
        </is>
      </c>
      <c r="V212" s="24" t="n">
        <v>61</v>
      </c>
      <c r="W212" s="24" t="n">
        <v>99.2</v>
      </c>
      <c r="X212" s="24" t="n">
        <v>58</v>
      </c>
      <c r="Y212" s="45">
        <f>ROUND((V212*'Methodology &amp; Assumptions'!$B$6)+(W212*'Methodology &amp; Assumptions'!$B$5)+(X212*'Methodology &amp; Assumptions'!$B$7), 2)</f>
        <v/>
      </c>
    </row>
    <row r="213" ht="19" customHeight="1">
      <c r="A213" s="35" t="n">
        <v>209</v>
      </c>
      <c r="B213" s="35" t="n">
        <v>1209</v>
      </c>
      <c r="C213" s="36" t="inlineStr">
        <is>
          <t>0401003017</t>
        </is>
      </c>
      <c r="D213" s="36" t="inlineStr">
        <is>
          <t>Region IV-A (CALABARZON)</t>
        </is>
      </c>
      <c r="E213" s="36" t="inlineStr">
        <is>
          <t>Batangas</t>
        </is>
      </c>
      <c r="F213" s="36" t="inlineStr">
        <is>
          <t>Balayan</t>
        </is>
      </c>
      <c r="G213" s="36" t="inlineStr">
        <is>
          <t>Caloocan</t>
        </is>
      </c>
      <c r="H213" s="37" t="n">
        <v>13.9488</v>
      </c>
      <c r="I213" s="37" t="n">
        <v>120.7227</v>
      </c>
      <c r="J213" s="8" t="inlineStr">
        <is>
          <t>U</t>
        </is>
      </c>
      <c r="K213" s="36" t="inlineStr">
        <is>
          <t>Class 1-3 / Urban</t>
        </is>
      </c>
      <c r="L213" s="18" t="n">
        <v>6284</v>
      </c>
      <c r="M213" s="20" t="n">
        <v>4.62</v>
      </c>
      <c r="N213" s="18">
        <f>ROUND(L213/M213, 0)</f>
        <v/>
      </c>
      <c r="O213" s="18">
        <f>ROUND(N213*'Methodology &amp; Assumptions'!$B$8, 0)</f>
        <v/>
      </c>
      <c r="P213" s="8" t="inlineStr">
        <is>
          <t>Band n50 (1.5 GHz, 60 MHz)</t>
        </is>
      </c>
      <c r="Q213" s="38">
        <f>ROUNDUP(O213/'Methodology &amp; Assumptions'!$B$9, 0)</f>
        <v/>
      </c>
      <c r="R213" s="39" t="n">
        <v>1</v>
      </c>
      <c r="S213" s="21" t="n">
        <v>0.83</v>
      </c>
      <c r="T213" s="21" t="n">
        <v>0.21</v>
      </c>
      <c r="U213" s="36" t="inlineStr">
        <is>
          <t>Tier 1A (Direct Coloc, &lt;1 km)</t>
        </is>
      </c>
      <c r="V213" s="20" t="n">
        <v>85.90000000000001</v>
      </c>
      <c r="W213" s="20" t="n">
        <v>100</v>
      </c>
      <c r="X213" s="20" t="n">
        <v>28</v>
      </c>
      <c r="Y213" s="40">
        <f>ROUND((V213*'Methodology &amp; Assumptions'!$B$6)+(W213*'Methodology &amp; Assumptions'!$B$5)+(X213*'Methodology &amp; Assumptions'!$B$7), 2)</f>
        <v/>
      </c>
    </row>
    <row r="214" ht="19" customHeight="1">
      <c r="A214" s="41" t="n">
        <v>210</v>
      </c>
      <c r="B214" s="41" t="n">
        <v>1210</v>
      </c>
      <c r="C214" s="42" t="inlineStr">
        <is>
          <t>0205705003</t>
        </is>
      </c>
      <c r="D214" s="42" t="inlineStr">
        <is>
          <t>Region II (Cagayan Valley)</t>
        </is>
      </c>
      <c r="E214" s="42" t="inlineStr">
        <is>
          <t>Quirino</t>
        </is>
      </c>
      <c r="F214" s="42" t="inlineStr">
        <is>
          <t>Saguday</t>
        </is>
      </c>
      <c r="G214" s="42" t="inlineStr">
        <is>
          <t>Magsaysay</t>
        </is>
      </c>
      <c r="H214" s="43" t="n">
        <v>16.535231</v>
      </c>
      <c r="I214" s="43" t="n">
        <v>121.542709</v>
      </c>
      <c r="J214" s="44" t="inlineStr">
        <is>
          <t>R</t>
        </is>
      </c>
      <c r="K214" s="42" t="inlineStr">
        <is>
          <t>4th</t>
        </is>
      </c>
      <c r="L214" s="23" t="n">
        <v>2978</v>
      </c>
      <c r="M214" s="24" t="n">
        <v>4.03</v>
      </c>
      <c r="N214" s="23">
        <f>ROUND(L214/M214, 0)</f>
        <v/>
      </c>
      <c r="O214" s="23">
        <f>ROUND(N214*'Methodology &amp; Assumptions'!$B$8, 0)</f>
        <v/>
      </c>
      <c r="P214" s="44" t="inlineStr">
        <is>
          <t>Band n50 (1.5 GHz, 60 MHz)</t>
        </is>
      </c>
      <c r="Q214" s="38">
        <f>ROUNDUP(O214/'Methodology &amp; Assumptions'!$B$9, 0)</f>
        <v/>
      </c>
      <c r="R214" s="39" t="n">
        <v>1</v>
      </c>
      <c r="S214" s="25" t="n">
        <v>2.39</v>
      </c>
      <c r="T214" s="25" t="n">
        <v>1.44</v>
      </c>
      <c r="U214" s="42" t="inlineStr">
        <is>
          <t>Tier 1B (Micro Drop, 1-3 km)</t>
        </is>
      </c>
      <c r="V214" s="24" t="n">
        <v>55.1</v>
      </c>
      <c r="W214" s="24" t="n">
        <v>83.2</v>
      </c>
      <c r="X214" s="24" t="n">
        <v>83.5</v>
      </c>
      <c r="Y214" s="45">
        <f>ROUND((V214*'Methodology &amp; Assumptions'!$B$6)+(W214*'Methodology &amp; Assumptions'!$B$5)+(X214*'Methodology &amp; Assumptions'!$B$7), 2)</f>
        <v/>
      </c>
    </row>
    <row r="215" ht="19" customHeight="1">
      <c r="A215" s="35" t="n">
        <v>211</v>
      </c>
      <c r="B215" s="35" t="n">
        <v>1211</v>
      </c>
      <c r="C215" s="36" t="inlineStr">
        <is>
          <t>0702213007</t>
        </is>
      </c>
      <c r="D215" s="36" t="inlineStr">
        <is>
          <t>Region VII (Central Visayas)</t>
        </is>
      </c>
      <c r="E215" s="36" t="inlineStr">
        <is>
          <t>Cebu</t>
        </is>
      </c>
      <c r="F215" s="36" t="inlineStr">
        <is>
          <t>Borbon</t>
        </is>
      </c>
      <c r="G215" s="36" t="inlineStr">
        <is>
          <t>Cadaruhan</t>
        </is>
      </c>
      <c r="H215" s="37" t="n">
        <v>10.846215</v>
      </c>
      <c r="I215" s="37" t="n">
        <v>124.036001</v>
      </c>
      <c r="J215" s="8" t="inlineStr">
        <is>
          <t>R</t>
        </is>
      </c>
      <c r="K215" s="36" t="inlineStr">
        <is>
          <t>2nd</t>
        </is>
      </c>
      <c r="L215" s="18" t="n">
        <v>4780</v>
      </c>
      <c r="M215" s="20" t="n">
        <v>4.22</v>
      </c>
      <c r="N215" s="18">
        <f>ROUND(L215/M215, 0)</f>
        <v/>
      </c>
      <c r="O215" s="18">
        <f>ROUND(N215*'Methodology &amp; Assumptions'!$B$8, 0)</f>
        <v/>
      </c>
      <c r="P215" s="8" t="inlineStr">
        <is>
          <t>Band n50 (1.5 GHz, 60 MHz)</t>
        </is>
      </c>
      <c r="Q215" s="38">
        <f>ROUNDUP(O215/'Methodology &amp; Assumptions'!$B$9, 0)</f>
        <v/>
      </c>
      <c r="R215" s="39" t="n">
        <v>1</v>
      </c>
      <c r="S215" s="21" t="n">
        <v>1.53</v>
      </c>
      <c r="T215" s="21" t="n">
        <v>5.78</v>
      </c>
      <c r="U215" s="36" t="inlineStr">
        <is>
          <t>Tier 1B (Micro Drop, 1-3 km)</t>
        </is>
      </c>
      <c r="V215" s="20" t="n">
        <v>60.1</v>
      </c>
      <c r="W215" s="20" t="n">
        <v>100</v>
      </c>
      <c r="X215" s="20" t="n">
        <v>58</v>
      </c>
      <c r="Y215" s="40">
        <f>ROUND((V215*'Methodology &amp; Assumptions'!$B$6)+(W215*'Methodology &amp; Assumptions'!$B$5)+(X215*'Methodology &amp; Assumptions'!$B$7), 2)</f>
        <v/>
      </c>
    </row>
    <row r="216" ht="19" customHeight="1">
      <c r="A216" s="41" t="n">
        <v>212</v>
      </c>
      <c r="B216" s="41" t="n">
        <v>1212</v>
      </c>
      <c r="C216" s="42" t="inlineStr">
        <is>
          <t>0301408011</t>
        </is>
      </c>
      <c r="D216" s="42" t="inlineStr">
        <is>
          <t>Region III (Central Luzon)</t>
        </is>
      </c>
      <c r="E216" s="42" t="inlineStr">
        <is>
          <t>Bulacan</t>
        </is>
      </c>
      <c r="F216" s="42" t="inlineStr">
        <is>
          <t>Guiguinto</t>
        </is>
      </c>
      <c r="G216" s="42" t="inlineStr">
        <is>
          <t>Tabang</t>
        </is>
      </c>
      <c r="H216" s="43" t="n">
        <v>14.824856</v>
      </c>
      <c r="I216" s="43" t="n">
        <v>120.866387</v>
      </c>
      <c r="J216" s="44" t="inlineStr">
        <is>
          <t>U</t>
        </is>
      </c>
      <c r="K216" s="42" t="inlineStr">
        <is>
          <t>Class 1-3 / Urban</t>
        </is>
      </c>
      <c r="L216" s="23" t="n">
        <v>11465</v>
      </c>
      <c r="M216" s="24" t="n">
        <v>4.1</v>
      </c>
      <c r="N216" s="23">
        <f>ROUND(L216/M216, 0)</f>
        <v/>
      </c>
      <c r="O216" s="23">
        <f>ROUND(N216*'Methodology &amp; Assumptions'!$B$8, 0)</f>
        <v/>
      </c>
      <c r="P216" s="44" t="inlineStr">
        <is>
          <t>Band n50 (1.5 GHz, 60 MHz)</t>
        </is>
      </c>
      <c r="Q216" s="38">
        <f>ROUNDUP(O216/'Methodology &amp; Assumptions'!$B$9, 0)</f>
        <v/>
      </c>
      <c r="R216" s="39" t="n">
        <v>1</v>
      </c>
      <c r="S216" s="25" t="n">
        <v>0.83</v>
      </c>
      <c r="T216" s="25" t="n">
        <v>0.8100000000000001</v>
      </c>
      <c r="U216" s="42" t="inlineStr">
        <is>
          <t>Tier 1A (Direct Coloc, &lt;1 km)</t>
        </is>
      </c>
      <c r="V216" s="24" t="n">
        <v>85.8</v>
      </c>
      <c r="W216" s="24" t="n">
        <v>100</v>
      </c>
      <c r="X216" s="24" t="n">
        <v>28</v>
      </c>
      <c r="Y216" s="45">
        <f>ROUND((V216*'Methodology &amp; Assumptions'!$B$6)+(W216*'Methodology &amp; Assumptions'!$B$5)+(X216*'Methodology &amp; Assumptions'!$B$7), 2)</f>
        <v/>
      </c>
    </row>
    <row r="217" ht="19" customHeight="1">
      <c r="A217" s="35" t="n">
        <v>213</v>
      </c>
      <c r="B217" s="35" t="n">
        <v>1213</v>
      </c>
      <c r="C217" s="36" t="inlineStr">
        <is>
          <t>0501720008</t>
        </is>
      </c>
      <c r="D217" s="36" t="inlineStr">
        <is>
          <t>Region V (Bicol Region)</t>
        </is>
      </c>
      <c r="E217" s="36" t="inlineStr">
        <is>
          <t>Camarines Sur</t>
        </is>
      </c>
      <c r="F217" s="36" t="inlineStr">
        <is>
          <t>Magarao</t>
        </is>
      </c>
      <c r="G217" s="36" t="inlineStr">
        <is>
          <t>San Francisco</t>
        </is>
      </c>
      <c r="H217" s="37" t="n">
        <v>13.660366</v>
      </c>
      <c r="I217" s="37" t="n">
        <v>123.178399</v>
      </c>
      <c r="J217" s="8" t="inlineStr">
        <is>
          <t>R</t>
        </is>
      </c>
      <c r="K217" s="36" t="inlineStr">
        <is>
          <t>4th</t>
        </is>
      </c>
      <c r="L217" s="18" t="n">
        <v>1308</v>
      </c>
      <c r="M217" s="20" t="n">
        <v>4.81</v>
      </c>
      <c r="N217" s="18">
        <f>ROUND(L217/M217, 0)</f>
        <v/>
      </c>
      <c r="O217" s="18">
        <f>ROUND(N217*'Methodology &amp; Assumptions'!$B$8, 0)</f>
        <v/>
      </c>
      <c r="P217" s="8" t="inlineStr">
        <is>
          <t>Band n50 (1.5 GHz, 60 MHz)</t>
        </is>
      </c>
      <c r="Q217" s="38">
        <f>ROUNDUP(O217/'Methodology &amp; Assumptions'!$B$9, 0)</f>
        <v/>
      </c>
      <c r="R217" s="39" t="n">
        <v>1</v>
      </c>
      <c r="S217" s="21" t="n">
        <v>0.58</v>
      </c>
      <c r="T217" s="21" t="n">
        <v>0.32</v>
      </c>
      <c r="U217" s="36" t="inlineStr">
        <is>
          <t>Tier 1A (Direct Coloc, &lt;1 km)</t>
        </is>
      </c>
      <c r="V217" s="20" t="n">
        <v>92.3</v>
      </c>
      <c r="W217" s="20" t="n">
        <v>45.9</v>
      </c>
      <c r="X217" s="20" t="n">
        <v>83.5</v>
      </c>
      <c r="Y217" s="40">
        <f>ROUND((V217*'Methodology &amp; Assumptions'!$B$6)+(W217*'Methodology &amp; Assumptions'!$B$5)+(X217*'Methodology &amp; Assumptions'!$B$7), 2)</f>
        <v/>
      </c>
    </row>
    <row r="218" ht="19" customHeight="1">
      <c r="A218" s="41" t="n">
        <v>214</v>
      </c>
      <c r="B218" s="41" t="n">
        <v>1214</v>
      </c>
      <c r="C218" s="42" t="inlineStr">
        <is>
          <t>0300803022</t>
        </is>
      </c>
      <c r="D218" s="42" t="inlineStr">
        <is>
          <t>Region III (Central Luzon)</t>
        </is>
      </c>
      <c r="E218" s="42" t="inlineStr">
        <is>
          <t>Bataan</t>
        </is>
      </c>
      <c r="F218" s="42" t="inlineStr">
        <is>
          <t>City of Balanga</t>
        </is>
      </c>
      <c r="G218" s="42" t="inlineStr">
        <is>
          <t>Tortugas</t>
        </is>
      </c>
      <c r="H218" s="43" t="n">
        <v>14.679486</v>
      </c>
      <c r="I218" s="43" t="n">
        <v>120.534529</v>
      </c>
      <c r="J218" s="44" t="inlineStr">
        <is>
          <t>R</t>
        </is>
      </c>
      <c r="K218" s="42" t="inlineStr">
        <is>
          <t>Class 1-3 / Urban</t>
        </is>
      </c>
      <c r="L218" s="23" t="n">
        <v>2852</v>
      </c>
      <c r="M218" s="24" t="n">
        <v>4.57</v>
      </c>
      <c r="N218" s="23">
        <f>ROUND(L218/M218, 0)</f>
        <v/>
      </c>
      <c r="O218" s="23">
        <f>ROUND(N218*'Methodology &amp; Assumptions'!$B$8, 0)</f>
        <v/>
      </c>
      <c r="P218" s="44" t="inlineStr">
        <is>
          <t>Band n50 (1.5 GHz, 60 MHz)</t>
        </is>
      </c>
      <c r="Q218" s="38">
        <f>ROUNDUP(O218/'Methodology &amp; Assumptions'!$B$9, 0)</f>
        <v/>
      </c>
      <c r="R218" s="39" t="n">
        <v>1</v>
      </c>
      <c r="S218" s="25" t="n">
        <v>0.82</v>
      </c>
      <c r="T218" s="25" t="n">
        <v>0.77</v>
      </c>
      <c r="U218" s="42" t="inlineStr">
        <is>
          <t>Tier 1A (Direct Coloc, &lt;1 km)</t>
        </is>
      </c>
      <c r="V218" s="24" t="n">
        <v>86.2</v>
      </c>
      <c r="W218" s="24" t="n">
        <v>73.90000000000001</v>
      </c>
      <c r="X218" s="24" t="n">
        <v>58</v>
      </c>
      <c r="Y218" s="45">
        <f>ROUND((V218*'Methodology &amp; Assumptions'!$B$6)+(W218*'Methodology &amp; Assumptions'!$B$5)+(X218*'Methodology &amp; Assumptions'!$B$7), 2)</f>
        <v/>
      </c>
    </row>
    <row r="219" ht="19" customHeight="1">
      <c r="A219" s="35" t="n">
        <v>215</v>
      </c>
      <c r="B219" s="35" t="n">
        <v>1215</v>
      </c>
      <c r="C219" s="36" t="inlineStr">
        <is>
          <t>0402122015</t>
        </is>
      </c>
      <c r="D219" s="36" t="inlineStr">
        <is>
          <t>Region IV-A (CALABARZON)</t>
        </is>
      </c>
      <c r="E219" s="36" t="inlineStr">
        <is>
          <t>Cavite</t>
        </is>
      </c>
      <c r="F219" s="36" t="inlineStr">
        <is>
          <t>City of Trece Martires</t>
        </is>
      </c>
      <c r="G219" s="36" t="inlineStr">
        <is>
          <t>Luciano</t>
        </is>
      </c>
      <c r="H219" s="37" t="n">
        <v>14.274914</v>
      </c>
      <c r="I219" s="37" t="n">
        <v>120.869016</v>
      </c>
      <c r="J219" s="8" t="inlineStr">
        <is>
          <t>U</t>
        </is>
      </c>
      <c r="K219" s="36" t="inlineStr">
        <is>
          <t>Class 1-3 / Urban</t>
        </is>
      </c>
      <c r="L219" s="18" t="n">
        <v>9005</v>
      </c>
      <c r="M219" s="20" t="n">
        <v>4.49</v>
      </c>
      <c r="N219" s="18">
        <f>ROUND(L219/M219, 0)</f>
        <v/>
      </c>
      <c r="O219" s="18">
        <f>ROUND(N219*'Methodology &amp; Assumptions'!$B$8, 0)</f>
        <v/>
      </c>
      <c r="P219" s="8" t="inlineStr">
        <is>
          <t>Band n50 (1.5 GHz, 60 MHz)</t>
        </is>
      </c>
      <c r="Q219" s="38">
        <f>ROUNDUP(O219/'Methodology &amp; Assumptions'!$B$9, 0)</f>
        <v/>
      </c>
      <c r="R219" s="39" t="n">
        <v>1</v>
      </c>
      <c r="S219" s="21" t="n">
        <v>0.83</v>
      </c>
      <c r="T219" s="21" t="n">
        <v>0.7</v>
      </c>
      <c r="U219" s="36" t="inlineStr">
        <is>
          <t>Tier 1A (Direct Coloc, &lt;1 km)</t>
        </is>
      </c>
      <c r="V219" s="20" t="n">
        <v>85.7</v>
      </c>
      <c r="W219" s="20" t="n">
        <v>100</v>
      </c>
      <c r="X219" s="20" t="n">
        <v>28</v>
      </c>
      <c r="Y219" s="40">
        <f>ROUND((V219*'Methodology &amp; Assumptions'!$B$6)+(W219*'Methodology &amp; Assumptions'!$B$5)+(X219*'Methodology &amp; Assumptions'!$B$7), 2)</f>
        <v/>
      </c>
    </row>
    <row r="220" ht="19" customHeight="1">
      <c r="A220" s="41" t="n">
        <v>216</v>
      </c>
      <c r="B220" s="41" t="n">
        <v>1216</v>
      </c>
      <c r="C220" s="42" t="inlineStr">
        <is>
          <t>0500513006</t>
        </is>
      </c>
      <c r="D220" s="42" t="inlineStr">
        <is>
          <t>Region V (Bicol Region)</t>
        </is>
      </c>
      <c r="E220" s="42" t="inlineStr">
        <is>
          <t>Albay</t>
        </is>
      </c>
      <c r="F220" s="42" t="inlineStr">
        <is>
          <t>Pio Duran</t>
        </is>
      </c>
      <c r="G220" s="42" t="inlineStr">
        <is>
          <t>Binodegahan</t>
        </is>
      </c>
      <c r="H220" s="43" t="n">
        <v>13.061176</v>
      </c>
      <c r="I220" s="43" t="n">
        <v>123.458195</v>
      </c>
      <c r="J220" s="44" t="inlineStr">
        <is>
          <t>R</t>
        </is>
      </c>
      <c r="K220" s="42" t="inlineStr">
        <is>
          <t>Class 1-3 / Urban</t>
        </is>
      </c>
      <c r="L220" s="23" t="n">
        <v>2581</v>
      </c>
      <c r="M220" s="24" t="n">
        <v>4.67</v>
      </c>
      <c r="N220" s="23">
        <f>ROUND(L220/M220, 0)</f>
        <v/>
      </c>
      <c r="O220" s="23">
        <f>ROUND(N220*'Methodology &amp; Assumptions'!$B$8, 0)</f>
        <v/>
      </c>
      <c r="P220" s="44" t="inlineStr">
        <is>
          <t>Band n50 (1.5 GHz, 60 MHz)</t>
        </is>
      </c>
      <c r="Q220" s="38">
        <f>ROUNDUP(O220/'Methodology &amp; Assumptions'!$B$9, 0)</f>
        <v/>
      </c>
      <c r="R220" s="39" t="n">
        <v>1</v>
      </c>
      <c r="S220" s="25" t="n">
        <v>0.26</v>
      </c>
      <c r="T220" s="25" t="n">
        <v>20.94</v>
      </c>
      <c r="U220" s="42" t="inlineStr">
        <is>
          <t>Tier 1A (Direct Coloc, &lt;1 km)</t>
        </is>
      </c>
      <c r="V220" s="24" t="n">
        <v>91.7</v>
      </c>
      <c r="W220" s="24" t="n">
        <v>68.3</v>
      </c>
      <c r="X220" s="24" t="n">
        <v>58</v>
      </c>
      <c r="Y220" s="45">
        <f>ROUND((V220*'Methodology &amp; Assumptions'!$B$6)+(W220*'Methodology &amp; Assumptions'!$B$5)+(X220*'Methodology &amp; Assumptions'!$B$7), 2)</f>
        <v/>
      </c>
    </row>
    <row r="221" ht="19" customHeight="1">
      <c r="A221" s="35" t="n">
        <v>217</v>
      </c>
      <c r="B221" s="35" t="n">
        <v>1217</v>
      </c>
      <c r="C221" s="36" t="inlineStr">
        <is>
          <t>0601916020</t>
        </is>
      </c>
      <c r="D221" s="36" t="inlineStr">
        <is>
          <t>Region VI (Western Visayas)</t>
        </is>
      </c>
      <c r="E221" s="36" t="inlineStr">
        <is>
          <t>Capiz</t>
        </is>
      </c>
      <c r="F221" s="36" t="inlineStr">
        <is>
          <t>Sigma</t>
        </is>
      </c>
      <c r="G221" s="36" t="inlineStr">
        <is>
          <t>Poblacion Sur</t>
        </is>
      </c>
      <c r="H221" s="37" t="n">
        <v>11.420313</v>
      </c>
      <c r="I221" s="37" t="n">
        <v>122.665974</v>
      </c>
      <c r="J221" s="8" t="inlineStr">
        <is>
          <t>R</t>
        </is>
      </c>
      <c r="K221" s="36" t="inlineStr">
        <is>
          <t>3rd</t>
        </is>
      </c>
      <c r="L221" s="18" t="n">
        <v>1821</v>
      </c>
      <c r="M221" s="20" t="n">
        <v>4.06</v>
      </c>
      <c r="N221" s="18">
        <f>ROUND(L221/M221, 0)</f>
        <v/>
      </c>
      <c r="O221" s="18">
        <f>ROUND(N221*'Methodology &amp; Assumptions'!$B$8, 0)</f>
        <v/>
      </c>
      <c r="P221" s="8" t="inlineStr">
        <is>
          <t>Band n50 (1.5 GHz, 60 MHz)</t>
        </is>
      </c>
      <c r="Q221" s="38">
        <f>ROUNDUP(O221/'Methodology &amp; Assumptions'!$B$9, 0)</f>
        <v/>
      </c>
      <c r="R221" s="39" t="n">
        <v>1</v>
      </c>
      <c r="S221" s="21" t="n">
        <v>0.28</v>
      </c>
      <c r="T221" s="21" t="n">
        <v>0.03</v>
      </c>
      <c r="U221" s="36" t="inlineStr">
        <is>
          <t>Tier 1A (Direct Coloc, &lt;1 km)</t>
        </is>
      </c>
      <c r="V221" s="20" t="n">
        <v>100</v>
      </c>
      <c r="W221" s="20" t="n">
        <v>60</v>
      </c>
      <c r="X221" s="20" t="n">
        <v>58</v>
      </c>
      <c r="Y221" s="40">
        <f>ROUND((V221*'Methodology &amp; Assumptions'!$B$6)+(W221*'Methodology &amp; Assumptions'!$B$5)+(X221*'Methodology &amp; Assumptions'!$B$7), 2)</f>
        <v/>
      </c>
    </row>
    <row r="222" ht="19" customHeight="1">
      <c r="A222" s="41" t="n">
        <v>218</v>
      </c>
      <c r="B222" s="41" t="n">
        <v>1218</v>
      </c>
      <c r="C222" s="42" t="inlineStr">
        <is>
          <t>0501602015</t>
        </is>
      </c>
      <c r="D222" s="42" t="inlineStr">
        <is>
          <t>Region V (Bicol Region)</t>
        </is>
      </c>
      <c r="E222" s="42" t="inlineStr">
        <is>
          <t>Camarines Norte</t>
        </is>
      </c>
      <c r="F222" s="42" t="inlineStr">
        <is>
          <t>Capalonga</t>
        </is>
      </c>
      <c r="G222" s="42" t="inlineStr">
        <is>
          <t>Magsaysay</t>
        </is>
      </c>
      <c r="H222" s="43" t="n">
        <v>14.22832</v>
      </c>
      <c r="I222" s="43" t="n">
        <v>122.550544</v>
      </c>
      <c r="J222" s="44" t="inlineStr">
        <is>
          <t>R</t>
        </is>
      </c>
      <c r="K222" s="42" t="inlineStr">
        <is>
          <t>Class 1-3 / Urban</t>
        </is>
      </c>
      <c r="L222" s="23" t="n">
        <v>2037</v>
      </c>
      <c r="M222" s="24" t="n">
        <v>4.4</v>
      </c>
      <c r="N222" s="23">
        <f>ROUND(L222/M222, 0)</f>
        <v/>
      </c>
      <c r="O222" s="23">
        <f>ROUND(N222*'Methodology &amp; Assumptions'!$B$8, 0)</f>
        <v/>
      </c>
      <c r="P222" s="44" t="inlineStr">
        <is>
          <t>Band n50 (1.5 GHz, 60 MHz)</t>
        </is>
      </c>
      <c r="Q222" s="38">
        <f>ROUNDUP(O222/'Methodology &amp; Assumptions'!$B$9, 0)</f>
        <v/>
      </c>
      <c r="R222" s="39" t="n">
        <v>1</v>
      </c>
      <c r="S222" s="25" t="n">
        <v>0.03</v>
      </c>
      <c r="T222" s="25" t="n">
        <v>5.42</v>
      </c>
      <c r="U222" s="42" t="inlineStr">
        <is>
          <t>Tier 1A (Direct Coloc, &lt;1 km)</t>
        </is>
      </c>
      <c r="V222" s="24" t="n">
        <v>98.90000000000001</v>
      </c>
      <c r="W222" s="24" t="n">
        <v>61.1</v>
      </c>
      <c r="X222" s="24" t="n">
        <v>58</v>
      </c>
      <c r="Y222" s="45">
        <f>ROUND((V222*'Methodology &amp; Assumptions'!$B$6)+(W222*'Methodology &amp; Assumptions'!$B$5)+(X222*'Methodology &amp; Assumptions'!$B$7), 2)</f>
        <v/>
      </c>
    </row>
    <row r="223" ht="19" customHeight="1">
      <c r="A223" s="35" t="n">
        <v>219</v>
      </c>
      <c r="B223" s="35" t="n">
        <v>1219</v>
      </c>
      <c r="C223" s="36" t="inlineStr">
        <is>
          <t>1630400091</t>
        </is>
      </c>
      <c r="D223" s="36" t="inlineStr">
        <is>
          <t>Region XIII (Caraga)</t>
        </is>
      </c>
      <c r="E223" s="36" t="inlineStr">
        <is>
          <t>Agusan del Norte</t>
        </is>
      </c>
      <c r="F223" s="36" t="inlineStr">
        <is>
          <t>City of Butuan</t>
        </is>
      </c>
      <c r="G223" s="36" t="inlineStr">
        <is>
          <t>Obrero Pob.</t>
        </is>
      </c>
      <c r="H223" s="37" t="n">
        <v>8.963604</v>
      </c>
      <c r="I223" s="37" t="n">
        <v>125.537539</v>
      </c>
      <c r="J223" s="8" t="inlineStr">
        <is>
          <t>U</t>
        </is>
      </c>
      <c r="K223" s="36" t="inlineStr">
        <is>
          <t>Class 1-3 / Urban</t>
        </is>
      </c>
      <c r="L223" s="18" t="n">
        <v>8643</v>
      </c>
      <c r="M223" s="20" t="n">
        <v>4.63</v>
      </c>
      <c r="N223" s="18">
        <f>ROUND(L223/M223, 0)</f>
        <v/>
      </c>
      <c r="O223" s="18">
        <f>ROUND(N223*'Methodology &amp; Assumptions'!$B$8, 0)</f>
        <v/>
      </c>
      <c r="P223" s="8" t="inlineStr">
        <is>
          <t>Band n50 (1.5 GHz, 60 MHz)</t>
        </is>
      </c>
      <c r="Q223" s="38">
        <f>ROUNDUP(O223/'Methodology &amp; Assumptions'!$B$9, 0)</f>
        <v/>
      </c>
      <c r="R223" s="39" t="n">
        <v>1</v>
      </c>
      <c r="S223" s="21" t="n">
        <v>1.39</v>
      </c>
      <c r="T223" s="21" t="n">
        <v>0.8100000000000001</v>
      </c>
      <c r="U223" s="36" t="inlineStr">
        <is>
          <t>Tier 1B (Micro Drop, 1-3 km)</t>
        </is>
      </c>
      <c r="V223" s="20" t="n">
        <v>72.8</v>
      </c>
      <c r="W223" s="20" t="n">
        <v>100</v>
      </c>
      <c r="X223" s="20" t="n">
        <v>43</v>
      </c>
      <c r="Y223" s="40">
        <f>ROUND((V223*'Methodology &amp; Assumptions'!$B$6)+(W223*'Methodology &amp; Assumptions'!$B$5)+(X223*'Methodology &amp; Assumptions'!$B$7), 2)</f>
        <v/>
      </c>
    </row>
    <row r="224" ht="19" customHeight="1">
      <c r="A224" s="41" t="n">
        <v>220</v>
      </c>
      <c r="B224" s="41" t="n">
        <v>1220</v>
      </c>
      <c r="C224" s="42" t="inlineStr">
        <is>
          <t>1102315029</t>
        </is>
      </c>
      <c r="D224" s="42" t="inlineStr">
        <is>
          <t>Region XI (Davao Region)</t>
        </is>
      </c>
      <c r="E224" s="42" t="inlineStr">
        <is>
          <t>Davao del Norte</t>
        </is>
      </c>
      <c r="F224" s="42" t="inlineStr">
        <is>
          <t>City of Panabo</t>
        </is>
      </c>
      <c r="G224" s="42" t="inlineStr">
        <is>
          <t>San Francisco</t>
        </is>
      </c>
      <c r="H224" s="43" t="n">
        <v>7.30771</v>
      </c>
      <c r="I224" s="43" t="n">
        <v>125.68283</v>
      </c>
      <c r="J224" s="44" t="inlineStr">
        <is>
          <t>U</t>
        </is>
      </c>
      <c r="K224" s="42" t="inlineStr">
        <is>
          <t>Class 1-3 / Urban</t>
        </is>
      </c>
      <c r="L224" s="23" t="n">
        <v>13953</v>
      </c>
      <c r="M224" s="24" t="n">
        <v>4.25</v>
      </c>
      <c r="N224" s="23">
        <f>ROUND(L224/M224, 0)</f>
        <v/>
      </c>
      <c r="O224" s="23">
        <f>ROUND(N224*'Methodology &amp; Assumptions'!$B$8, 0)</f>
        <v/>
      </c>
      <c r="P224" s="44" t="inlineStr">
        <is>
          <t>Band n50 (1.5 GHz, 60 MHz)</t>
        </is>
      </c>
      <c r="Q224" s="38">
        <f>ROUNDUP(O224/'Methodology &amp; Assumptions'!$B$9, 0)</f>
        <v/>
      </c>
      <c r="R224" s="39" t="n">
        <v>1</v>
      </c>
      <c r="S224" s="25" t="n">
        <v>0.84</v>
      </c>
      <c r="T224" s="25" t="n">
        <v>0.19</v>
      </c>
      <c r="U224" s="42" t="inlineStr">
        <is>
          <t>Tier 1A (Direct Coloc, &lt;1 km)</t>
        </is>
      </c>
      <c r="V224" s="24" t="n">
        <v>85.59999999999999</v>
      </c>
      <c r="W224" s="24" t="n">
        <v>100</v>
      </c>
      <c r="X224" s="24" t="n">
        <v>28</v>
      </c>
      <c r="Y224" s="45">
        <f>ROUND((V224*'Methodology &amp; Assumptions'!$B$6)+(W224*'Methodology &amp; Assumptions'!$B$5)+(X224*'Methodology &amp; Assumptions'!$B$7), 2)</f>
        <v/>
      </c>
    </row>
    <row r="225" ht="19" customHeight="1">
      <c r="A225" s="35" t="n">
        <v>221</v>
      </c>
      <c r="B225" s="35" t="n">
        <v>1221</v>
      </c>
      <c r="C225" s="36" t="inlineStr">
        <is>
          <t>0300809023</t>
        </is>
      </c>
      <c r="D225" s="36" t="inlineStr">
        <is>
          <t>Region III (Central Luzon)</t>
        </is>
      </c>
      <c r="E225" s="36" t="inlineStr">
        <is>
          <t>Bataan</t>
        </is>
      </c>
      <c r="F225" s="36" t="inlineStr">
        <is>
          <t>Orani</t>
        </is>
      </c>
      <c r="G225" s="36" t="inlineStr">
        <is>
          <t>Tugatog</t>
        </is>
      </c>
      <c r="H225" s="37" t="n">
        <v>14.801394</v>
      </c>
      <c r="I225" s="37" t="n">
        <v>120.528602</v>
      </c>
      <c r="J225" s="8" t="inlineStr">
        <is>
          <t>U</t>
        </is>
      </c>
      <c r="K225" s="36" t="inlineStr">
        <is>
          <t>Class 1-3 / Urban</t>
        </is>
      </c>
      <c r="L225" s="18" t="n">
        <v>8138</v>
      </c>
      <c r="M225" s="20" t="n">
        <v>4.57</v>
      </c>
      <c r="N225" s="18">
        <f>ROUND(L225/M225, 0)</f>
        <v/>
      </c>
      <c r="O225" s="18">
        <f>ROUND(N225*'Methodology &amp; Assumptions'!$B$8, 0)</f>
        <v/>
      </c>
      <c r="P225" s="8" t="inlineStr">
        <is>
          <t>Band n50 (1.5 GHz, 60 MHz)</t>
        </is>
      </c>
      <c r="Q225" s="38">
        <f>ROUNDUP(O225/'Methodology &amp; Assumptions'!$B$9, 0)</f>
        <v/>
      </c>
      <c r="R225" s="39" t="n">
        <v>1</v>
      </c>
      <c r="S225" s="21" t="n">
        <v>0.84</v>
      </c>
      <c r="T225" s="21" t="n">
        <v>0.13</v>
      </c>
      <c r="U225" s="36" t="inlineStr">
        <is>
          <t>Tier 1A (Direct Coloc, &lt;1 km)</t>
        </is>
      </c>
      <c r="V225" s="20" t="n">
        <v>85.59999999999999</v>
      </c>
      <c r="W225" s="20" t="n">
        <v>100</v>
      </c>
      <c r="X225" s="20" t="n">
        <v>28</v>
      </c>
      <c r="Y225" s="40">
        <f>ROUND((V225*'Methodology &amp; Assumptions'!$B$6)+(W225*'Methodology &amp; Assumptions'!$B$5)+(X225*'Methodology &amp; Assumptions'!$B$7), 2)</f>
        <v/>
      </c>
    </row>
    <row r="226" ht="19" customHeight="1">
      <c r="A226" s="41" t="n">
        <v>222</v>
      </c>
      <c r="B226" s="41" t="n">
        <v>1222</v>
      </c>
      <c r="C226" s="42" t="inlineStr">
        <is>
          <t>0402109003</t>
        </is>
      </c>
      <c r="D226" s="42" t="inlineStr">
        <is>
          <t>Region IV-A (CALABARZON)</t>
        </is>
      </c>
      <c r="E226" s="42" t="inlineStr">
        <is>
          <t>Cavite</t>
        </is>
      </c>
      <c r="F226" s="42" t="inlineStr">
        <is>
          <t>City of Imus</t>
        </is>
      </c>
      <c r="G226" s="42" t="inlineStr">
        <is>
          <t>Anabu I-A</t>
        </is>
      </c>
      <c r="H226" s="43" t="n">
        <v>14.402864</v>
      </c>
      <c r="I226" s="43" t="n">
        <v>120.941381</v>
      </c>
      <c r="J226" s="44" t="inlineStr">
        <is>
          <t>U</t>
        </is>
      </c>
      <c r="K226" s="42" t="inlineStr">
        <is>
          <t>Class 1-3 / Urban</t>
        </is>
      </c>
      <c r="L226" s="23" t="n">
        <v>6264</v>
      </c>
      <c r="M226" s="24" t="n">
        <v>4.49</v>
      </c>
      <c r="N226" s="23">
        <f>ROUND(L226/M226, 0)</f>
        <v/>
      </c>
      <c r="O226" s="23">
        <f>ROUND(N226*'Methodology &amp; Assumptions'!$B$8, 0)</f>
        <v/>
      </c>
      <c r="P226" s="44" t="inlineStr">
        <is>
          <t>Band n50 (1.5 GHz, 60 MHz)</t>
        </is>
      </c>
      <c r="Q226" s="38">
        <f>ROUNDUP(O226/'Methodology &amp; Assumptions'!$B$9, 0)</f>
        <v/>
      </c>
      <c r="R226" s="39" t="n">
        <v>1</v>
      </c>
      <c r="S226" s="25" t="n">
        <v>0.47</v>
      </c>
      <c r="T226" s="25" t="n">
        <v>4.88</v>
      </c>
      <c r="U226" s="42" t="inlineStr">
        <is>
          <t>Tier 1A (Direct Coloc, &lt;1 km)</t>
        </is>
      </c>
      <c r="V226" s="24" t="n">
        <v>85.59999999999999</v>
      </c>
      <c r="W226" s="24" t="n">
        <v>100</v>
      </c>
      <c r="X226" s="24" t="n">
        <v>28</v>
      </c>
      <c r="Y226" s="45">
        <f>ROUND((V226*'Methodology &amp; Assumptions'!$B$6)+(W226*'Methodology &amp; Assumptions'!$B$5)+(X226*'Methodology &amp; Assumptions'!$B$7), 2)</f>
        <v/>
      </c>
    </row>
    <row r="227" ht="19" customHeight="1">
      <c r="A227" s="35" t="n">
        <v>223</v>
      </c>
      <c r="B227" s="35" t="n">
        <v>1223</v>
      </c>
      <c r="C227" s="36" t="inlineStr">
        <is>
          <t>0305415001</t>
        </is>
      </c>
      <c r="D227" s="36" t="inlineStr">
        <is>
          <t>Region III (Central Luzon)</t>
        </is>
      </c>
      <c r="E227" s="36" t="inlineStr">
        <is>
          <t>Pampanga</t>
        </is>
      </c>
      <c r="F227" s="36" t="inlineStr">
        <is>
          <t>Porac</t>
        </is>
      </c>
      <c r="G227" s="36" t="inlineStr">
        <is>
          <t>Babo Pangulo</t>
        </is>
      </c>
      <c r="H227" s="37" t="n">
        <v>15.07597</v>
      </c>
      <c r="I227" s="37" t="n">
        <v>120.5322</v>
      </c>
      <c r="J227" s="8" t="inlineStr">
        <is>
          <t>R</t>
        </is>
      </c>
      <c r="K227" s="36" t="inlineStr">
        <is>
          <t>Class 1-3 / Urban</t>
        </is>
      </c>
      <c r="L227" s="18" t="n">
        <v>4040</v>
      </c>
      <c r="M227" s="20" t="n">
        <v>4.63</v>
      </c>
      <c r="N227" s="18">
        <f>ROUND(L227/M227, 0)</f>
        <v/>
      </c>
      <c r="O227" s="18">
        <f>ROUND(N227*'Methodology &amp; Assumptions'!$B$8, 0)</f>
        <v/>
      </c>
      <c r="P227" s="8" t="inlineStr">
        <is>
          <t>Band n50 (1.5 GHz, 60 MHz)</t>
        </is>
      </c>
      <c r="Q227" s="38">
        <f>ROUNDUP(O227/'Methodology &amp; Assumptions'!$B$9, 0)</f>
        <v/>
      </c>
      <c r="R227" s="39" t="n">
        <v>1</v>
      </c>
      <c r="S227" s="21" t="n">
        <v>1.74</v>
      </c>
      <c r="T227" s="21" t="n">
        <v>1.16</v>
      </c>
      <c r="U227" s="36" t="inlineStr">
        <is>
          <t>Tier 1B (Micro Drop, 1-3 km)</t>
        </is>
      </c>
      <c r="V227" s="20" t="n">
        <v>66</v>
      </c>
      <c r="W227" s="20" t="n">
        <v>93.90000000000001</v>
      </c>
      <c r="X227" s="20" t="n">
        <v>58</v>
      </c>
      <c r="Y227" s="40">
        <f>ROUND((V227*'Methodology &amp; Assumptions'!$B$6)+(W227*'Methodology &amp; Assumptions'!$B$5)+(X227*'Methodology &amp; Assumptions'!$B$7), 2)</f>
        <v/>
      </c>
    </row>
    <row r="228" ht="19" customHeight="1">
      <c r="A228" s="41" t="n">
        <v>224</v>
      </c>
      <c r="B228" s="41" t="n">
        <v>1224</v>
      </c>
      <c r="C228" s="42" t="inlineStr">
        <is>
          <t>0506213051</t>
        </is>
      </c>
      <c r="D228" s="42" t="inlineStr">
        <is>
          <t>Region V (Bicol Region)</t>
        </is>
      </c>
      <c r="E228" s="42" t="inlineStr">
        <is>
          <t>Sorsogon</t>
        </is>
      </c>
      <c r="F228" s="42" t="inlineStr">
        <is>
          <t>Pilar</t>
        </is>
      </c>
      <c r="G228" s="42" t="inlineStr">
        <is>
          <t>Santa Fe</t>
        </is>
      </c>
      <c r="H228" s="43" t="n">
        <v>12.931881</v>
      </c>
      <c r="I228" s="43" t="n">
        <v>123.667802</v>
      </c>
      <c r="J228" s="44" t="inlineStr">
        <is>
          <t>R</t>
        </is>
      </c>
      <c r="K228" s="42" t="inlineStr">
        <is>
          <t>Class 1-3 / Urban</t>
        </is>
      </c>
      <c r="L228" s="23" t="n">
        <v>2389</v>
      </c>
      <c r="M228" s="24" t="n">
        <v>4.58</v>
      </c>
      <c r="N228" s="23">
        <f>ROUND(L228/M228, 0)</f>
        <v/>
      </c>
      <c r="O228" s="23">
        <f>ROUND(N228*'Methodology &amp; Assumptions'!$B$8, 0)</f>
        <v/>
      </c>
      <c r="P228" s="44" t="inlineStr">
        <is>
          <t>Band n50 (1.5 GHz, 60 MHz)</t>
        </is>
      </c>
      <c r="Q228" s="38">
        <f>ROUNDUP(O228/'Methodology &amp; Assumptions'!$B$9, 0)</f>
        <v/>
      </c>
      <c r="R228" s="39" t="n">
        <v>1</v>
      </c>
      <c r="S228" s="25" t="n">
        <v>0.19</v>
      </c>
      <c r="T228" s="25" t="n">
        <v>10.38</v>
      </c>
      <c r="U228" s="42" t="inlineStr">
        <is>
          <t>Tier 1A (Direct Coloc, &lt;1 km)</t>
        </is>
      </c>
      <c r="V228" s="24" t="n">
        <v>94</v>
      </c>
      <c r="W228" s="24" t="n">
        <v>65.90000000000001</v>
      </c>
      <c r="X228" s="24" t="n">
        <v>58</v>
      </c>
      <c r="Y228" s="45">
        <f>ROUND((V228*'Methodology &amp; Assumptions'!$B$6)+(W228*'Methodology &amp; Assumptions'!$B$5)+(X228*'Methodology &amp; Assumptions'!$B$7), 2)</f>
        <v/>
      </c>
    </row>
    <row r="229" ht="19" customHeight="1">
      <c r="A229" s="35" t="n">
        <v>225</v>
      </c>
      <c r="B229" s="35" t="n">
        <v>1225</v>
      </c>
      <c r="C229" s="36" t="inlineStr">
        <is>
          <t>0103307015</t>
        </is>
      </c>
      <c r="D229" s="36" t="inlineStr">
        <is>
          <t>Region I (Ilocos Region)</t>
        </is>
      </c>
      <c r="E229" s="36" t="inlineStr">
        <is>
          <t>La Union</t>
        </is>
      </c>
      <c r="F229" s="36" t="inlineStr">
        <is>
          <t>Bauang</t>
        </is>
      </c>
      <c r="G229" s="36" t="inlineStr">
        <is>
          <t>Central West</t>
        </is>
      </c>
      <c r="H229" s="37" t="n">
        <v>16.527243</v>
      </c>
      <c r="I229" s="37" t="n">
        <v>120.327291</v>
      </c>
      <c r="J229" s="8" t="inlineStr">
        <is>
          <t>U</t>
        </is>
      </c>
      <c r="K229" s="36" t="inlineStr">
        <is>
          <t>Class 1-3 / Urban</t>
        </is>
      </c>
      <c r="L229" s="18" t="n">
        <v>4001</v>
      </c>
      <c r="M229" s="20" t="n">
        <v>4.42</v>
      </c>
      <c r="N229" s="18">
        <f>ROUND(L229/M229, 0)</f>
        <v/>
      </c>
      <c r="O229" s="18">
        <f>ROUND(N229*'Methodology &amp; Assumptions'!$B$8, 0)</f>
        <v/>
      </c>
      <c r="P229" s="8" t="inlineStr">
        <is>
          <t>Band n50 (1.5 GHz, 60 MHz)</t>
        </is>
      </c>
      <c r="Q229" s="38">
        <f>ROUNDUP(O229/'Methodology &amp; Assumptions'!$B$9, 0)</f>
        <v/>
      </c>
      <c r="R229" s="39" t="n">
        <v>1</v>
      </c>
      <c r="S229" s="21" t="n">
        <v>0.7</v>
      </c>
      <c r="T229" s="21" t="n">
        <v>0.27</v>
      </c>
      <c r="U229" s="36" t="inlineStr">
        <is>
          <t>Tier 1A (Direct Coloc, &lt;1 km)</t>
        </is>
      </c>
      <c r="V229" s="20" t="n">
        <v>89.09999999999999</v>
      </c>
      <c r="W229" s="20" t="n">
        <v>96.5</v>
      </c>
      <c r="X229" s="20" t="n">
        <v>28</v>
      </c>
      <c r="Y229" s="40">
        <f>ROUND((V229*'Methodology &amp; Assumptions'!$B$6)+(W229*'Methodology &amp; Assumptions'!$B$5)+(X229*'Methodology &amp; Assumptions'!$B$7), 2)</f>
        <v/>
      </c>
    </row>
    <row r="230" ht="19" customHeight="1">
      <c r="A230" s="41" t="n">
        <v>226</v>
      </c>
      <c r="B230" s="41" t="n">
        <v>1226</v>
      </c>
      <c r="C230" s="42" t="inlineStr">
        <is>
          <t>0405622095</t>
        </is>
      </c>
      <c r="D230" s="42" t="inlineStr">
        <is>
          <t>Region IV-A (CALABARZON)</t>
        </is>
      </c>
      <c r="E230" s="42" t="inlineStr">
        <is>
          <t>Quezon</t>
        </is>
      </c>
      <c r="F230" s="42" t="inlineStr">
        <is>
          <t>Lopez</t>
        </is>
      </c>
      <c r="G230" s="42" t="inlineStr">
        <is>
          <t>Rizal</t>
        </is>
      </c>
      <c r="H230" s="43" t="n">
        <v>13.8858</v>
      </c>
      <c r="I230" s="43" t="n">
        <v>122.2601</v>
      </c>
      <c r="J230" s="44" t="inlineStr">
        <is>
          <t>U</t>
        </is>
      </c>
      <c r="K230" s="42" t="inlineStr">
        <is>
          <t>Class 1-3 / Urban</t>
        </is>
      </c>
      <c r="L230" s="23" t="n">
        <v>3432</v>
      </c>
      <c r="M230" s="24" t="n">
        <v>4.46</v>
      </c>
      <c r="N230" s="23">
        <f>ROUND(L230/M230, 0)</f>
        <v/>
      </c>
      <c r="O230" s="23">
        <f>ROUND(N230*'Methodology &amp; Assumptions'!$B$8, 0)</f>
        <v/>
      </c>
      <c r="P230" s="44" t="inlineStr">
        <is>
          <t>Band n50 (1.5 GHz, 60 MHz)</t>
        </is>
      </c>
      <c r="Q230" s="38">
        <f>ROUNDUP(O230/'Methodology &amp; Assumptions'!$B$9, 0)</f>
        <v/>
      </c>
      <c r="R230" s="39" t="n">
        <v>1</v>
      </c>
      <c r="S230" s="25" t="n">
        <v>0.27</v>
      </c>
      <c r="T230" s="25" t="n">
        <v>0.18</v>
      </c>
      <c r="U230" s="42" t="inlineStr">
        <is>
          <t>Tier 1A (Direct Coloc, &lt;1 km)</t>
        </is>
      </c>
      <c r="V230" s="24" t="n">
        <v>100</v>
      </c>
      <c r="W230" s="24" t="n">
        <v>85.59999999999999</v>
      </c>
      <c r="X230" s="24" t="n">
        <v>28</v>
      </c>
      <c r="Y230" s="45">
        <f>ROUND((V230*'Methodology &amp; Assumptions'!$B$6)+(W230*'Methodology &amp; Assumptions'!$B$5)+(X230*'Methodology &amp; Assumptions'!$B$7), 2)</f>
        <v/>
      </c>
    </row>
    <row r="231" ht="19" customHeight="1">
      <c r="A231" s="35" t="n">
        <v>227</v>
      </c>
      <c r="B231" s="35" t="n">
        <v>1227</v>
      </c>
      <c r="C231" s="36" t="inlineStr">
        <is>
          <t>0301419001</t>
        </is>
      </c>
      <c r="D231" s="36" t="inlineStr">
        <is>
          <t>Region III (Central Luzon)</t>
        </is>
      </c>
      <c r="E231" s="36" t="inlineStr">
        <is>
          <t>Bulacan</t>
        </is>
      </c>
      <c r="F231" s="36" t="inlineStr">
        <is>
          <t>San Ildefonso</t>
        </is>
      </c>
      <c r="G231" s="36" t="inlineStr">
        <is>
          <t>Akle</t>
        </is>
      </c>
      <c r="H231" s="37" t="n">
        <v>15.049722</v>
      </c>
      <c r="I231" s="37" t="n">
        <v>121.0706</v>
      </c>
      <c r="J231" s="8" t="inlineStr">
        <is>
          <t>U</t>
        </is>
      </c>
      <c r="K231" s="36" t="inlineStr">
        <is>
          <t>Class 1-3 / Urban</t>
        </is>
      </c>
      <c r="L231" s="18" t="n">
        <v>4653</v>
      </c>
      <c r="M231" s="20" t="n">
        <v>4.1</v>
      </c>
      <c r="N231" s="18">
        <f>ROUND(L231/M231, 0)</f>
        <v/>
      </c>
      <c r="O231" s="18">
        <f>ROUND(N231*'Methodology &amp; Assumptions'!$B$8, 0)</f>
        <v/>
      </c>
      <c r="P231" s="8" t="inlineStr">
        <is>
          <t>Band n50 (1.5 GHz, 60 MHz)</t>
        </is>
      </c>
      <c r="Q231" s="38">
        <f>ROUNDUP(O231/'Methodology &amp; Assumptions'!$B$9, 0)</f>
        <v/>
      </c>
      <c r="R231" s="39" t="n">
        <v>1</v>
      </c>
      <c r="S231" s="21" t="n">
        <v>0.47</v>
      </c>
      <c r="T231" s="21" t="n">
        <v>6.37</v>
      </c>
      <c r="U231" s="36" t="inlineStr">
        <is>
          <t>Tier 1A (Direct Coloc, &lt;1 km)</t>
        </is>
      </c>
      <c r="V231" s="20" t="n">
        <v>85.59999999999999</v>
      </c>
      <c r="W231" s="20" t="n">
        <v>100</v>
      </c>
      <c r="X231" s="20" t="n">
        <v>28</v>
      </c>
      <c r="Y231" s="40">
        <f>ROUND((V231*'Methodology &amp; Assumptions'!$B$6)+(W231*'Methodology &amp; Assumptions'!$B$5)+(X231*'Methodology &amp; Assumptions'!$B$7), 2)</f>
        <v/>
      </c>
    </row>
    <row r="232" ht="19" customHeight="1">
      <c r="A232" s="41" t="n">
        <v>228</v>
      </c>
      <c r="B232" s="41" t="n">
        <v>1228</v>
      </c>
      <c r="C232" s="42" t="inlineStr">
        <is>
          <t>0203126012</t>
        </is>
      </c>
      <c r="D232" s="42" t="inlineStr">
        <is>
          <t>Region II (Cagayan Valley)</t>
        </is>
      </c>
      <c r="E232" s="42" t="inlineStr">
        <is>
          <t>Isabela</t>
        </is>
      </c>
      <c r="F232" s="42" t="inlineStr">
        <is>
          <t>Roxas</t>
        </is>
      </c>
      <c r="G232" s="42" t="inlineStr">
        <is>
          <t>Vira</t>
        </is>
      </c>
      <c r="H232" s="43" t="n">
        <v>17.118359</v>
      </c>
      <c r="I232" s="43" t="n">
        <v>121.620659</v>
      </c>
      <c r="J232" s="44" t="inlineStr">
        <is>
          <t>U</t>
        </is>
      </c>
      <c r="K232" s="42" t="inlineStr">
        <is>
          <t>Class 1-3 / Urban</t>
        </is>
      </c>
      <c r="L232" s="23" t="n">
        <v>3797</v>
      </c>
      <c r="M232" s="24" t="n">
        <v>4.3</v>
      </c>
      <c r="N232" s="23">
        <f>ROUND(L232/M232, 0)</f>
        <v/>
      </c>
      <c r="O232" s="23">
        <f>ROUND(N232*'Methodology &amp; Assumptions'!$B$8, 0)</f>
        <v/>
      </c>
      <c r="P232" s="44" t="inlineStr">
        <is>
          <t>Band n50 (1.5 GHz, 60 MHz)</t>
        </is>
      </c>
      <c r="Q232" s="38">
        <f>ROUNDUP(O232/'Methodology &amp; Assumptions'!$B$9, 0)</f>
        <v/>
      </c>
      <c r="R232" s="39" t="n">
        <v>1</v>
      </c>
      <c r="S232" s="25" t="n">
        <v>0.64</v>
      </c>
      <c r="T232" s="25" t="n">
        <v>0.27</v>
      </c>
      <c r="U232" s="42" t="inlineStr">
        <is>
          <t>Tier 1A (Direct Coloc, &lt;1 km)</t>
        </is>
      </c>
      <c r="V232" s="24" t="n">
        <v>90.90000000000001</v>
      </c>
      <c r="W232" s="24" t="n">
        <v>94.7</v>
      </c>
      <c r="X232" s="24" t="n">
        <v>28</v>
      </c>
      <c r="Y232" s="45">
        <f>ROUND((V232*'Methodology &amp; Assumptions'!$B$6)+(W232*'Methodology &amp; Assumptions'!$B$5)+(X232*'Methodology &amp; Assumptions'!$B$7), 2)</f>
        <v/>
      </c>
    </row>
    <row r="233" ht="19" customHeight="1">
      <c r="A233" s="35" t="n">
        <v>229</v>
      </c>
      <c r="B233" s="35" t="n">
        <v>1229</v>
      </c>
      <c r="C233" s="36" t="inlineStr">
        <is>
          <t>0504117013</t>
        </is>
      </c>
      <c r="D233" s="36" t="inlineStr">
        <is>
          <t>Region V (Bicol Region)</t>
        </is>
      </c>
      <c r="E233" s="36" t="inlineStr">
        <is>
          <t>Masbate</t>
        </is>
      </c>
      <c r="F233" s="36" t="inlineStr">
        <is>
          <t>Placer</t>
        </is>
      </c>
      <c r="G233" s="36" t="inlineStr">
        <is>
          <t>Katipunan</t>
        </is>
      </c>
      <c r="H233" s="37" t="n">
        <v>11.875981</v>
      </c>
      <c r="I233" s="37" t="n">
        <v>123.910879</v>
      </c>
      <c r="J233" s="8" t="inlineStr">
        <is>
          <t>R</t>
        </is>
      </c>
      <c r="K233" s="36" t="inlineStr">
        <is>
          <t>Class 1-3 / Urban</t>
        </is>
      </c>
      <c r="L233" s="18" t="n">
        <v>3194</v>
      </c>
      <c r="M233" s="20" t="n">
        <v>4.6</v>
      </c>
      <c r="N233" s="18">
        <f>ROUND(L233/M233, 0)</f>
        <v/>
      </c>
      <c r="O233" s="18">
        <f>ROUND(N233*'Methodology &amp; Assumptions'!$B$8, 0)</f>
        <v/>
      </c>
      <c r="P233" s="8" t="inlineStr">
        <is>
          <t>Band n50 (1.5 GHz, 60 MHz)</t>
        </is>
      </c>
      <c r="Q233" s="38">
        <f>ROUNDUP(O233/'Methodology &amp; Assumptions'!$B$9, 0)</f>
        <v/>
      </c>
      <c r="R233" s="39" t="n">
        <v>1</v>
      </c>
      <c r="S233" s="21" t="n">
        <v>0.66</v>
      </c>
      <c r="T233" s="21" t="n">
        <v>41.35</v>
      </c>
      <c r="U233" s="36" t="inlineStr">
        <is>
          <t>Tier 1A (Direct Coloc, &lt;1 km)</t>
        </is>
      </c>
      <c r="V233" s="20" t="n">
        <v>80.40000000000001</v>
      </c>
      <c r="W233" s="20" t="n">
        <v>79.5</v>
      </c>
      <c r="X233" s="20" t="n">
        <v>58</v>
      </c>
      <c r="Y233" s="40">
        <f>ROUND((V233*'Methodology &amp; Assumptions'!$B$6)+(W233*'Methodology &amp; Assumptions'!$B$5)+(X233*'Methodology &amp; Assumptions'!$B$7), 2)</f>
        <v/>
      </c>
    </row>
    <row r="234" ht="19" customHeight="1">
      <c r="A234" s="41" t="n">
        <v>230</v>
      </c>
      <c r="B234" s="41" t="n">
        <v>1230</v>
      </c>
      <c r="C234" s="42" t="inlineStr">
        <is>
          <t>0702208002</t>
        </is>
      </c>
      <c r="D234" s="42" t="inlineStr">
        <is>
          <t>Region VII (Central Visayas)</t>
        </is>
      </c>
      <c r="E234" s="42" t="inlineStr">
        <is>
          <t>Cebu</t>
        </is>
      </c>
      <c r="F234" s="42" t="inlineStr">
        <is>
          <t>Balamban</t>
        </is>
      </c>
      <c r="G234" s="42" t="inlineStr">
        <is>
          <t>Aliwanay</t>
        </is>
      </c>
      <c r="H234" s="43" t="n">
        <v>10.500992</v>
      </c>
      <c r="I234" s="43" t="n">
        <v>123.714537</v>
      </c>
      <c r="J234" s="44" t="inlineStr">
        <is>
          <t>R</t>
        </is>
      </c>
      <c r="K234" s="42" t="inlineStr">
        <is>
          <t>Class 1-3 / Urban</t>
        </is>
      </c>
      <c r="L234" s="23" t="n">
        <v>2862</v>
      </c>
      <c r="M234" s="24" t="n">
        <v>4.42</v>
      </c>
      <c r="N234" s="23">
        <f>ROUND(L234/M234, 0)</f>
        <v/>
      </c>
      <c r="O234" s="23">
        <f>ROUND(N234*'Methodology &amp; Assumptions'!$B$8, 0)</f>
        <v/>
      </c>
      <c r="P234" s="44" t="inlineStr">
        <is>
          <t>Band n50 (1.5 GHz, 60 MHz)</t>
        </is>
      </c>
      <c r="Q234" s="38">
        <f>ROUNDUP(O234/'Methodology &amp; Assumptions'!$B$9, 0)</f>
        <v/>
      </c>
      <c r="R234" s="39" t="n">
        <v>1</v>
      </c>
      <c r="S234" s="25" t="n">
        <v>0.9</v>
      </c>
      <c r="T234" s="25" t="n">
        <v>0.2</v>
      </c>
      <c r="U234" s="42" t="inlineStr">
        <is>
          <t>Tier 1A (Direct Coloc, &lt;1 km)</t>
        </is>
      </c>
      <c r="V234" s="24" t="n">
        <v>84.09999999999999</v>
      </c>
      <c r="W234" s="24" t="n">
        <v>75.7</v>
      </c>
      <c r="X234" s="24" t="n">
        <v>58</v>
      </c>
      <c r="Y234" s="45">
        <f>ROUND((V234*'Methodology &amp; Assumptions'!$B$6)+(W234*'Methodology &amp; Assumptions'!$B$5)+(X234*'Methodology &amp; Assumptions'!$B$7), 2)</f>
        <v/>
      </c>
    </row>
    <row r="235" ht="19" customHeight="1">
      <c r="A235" s="35" t="n">
        <v>231</v>
      </c>
      <c r="B235" s="35" t="n">
        <v>1231</v>
      </c>
      <c r="C235" s="36" t="inlineStr">
        <is>
          <t>0307109004</t>
        </is>
      </c>
      <c r="D235" s="36" t="inlineStr">
        <is>
          <t>Region III (Central Luzon)</t>
        </is>
      </c>
      <c r="E235" s="36" t="inlineStr">
        <is>
          <t>Zambales</t>
        </is>
      </c>
      <c r="F235" s="36" t="inlineStr">
        <is>
          <t>San Antonio</t>
        </is>
      </c>
      <c r="G235" s="36" t="inlineStr">
        <is>
          <t>West Dirita</t>
        </is>
      </c>
      <c r="H235" s="37" t="n">
        <v>14.961338</v>
      </c>
      <c r="I235" s="37" t="n">
        <v>120.074623</v>
      </c>
      <c r="J235" s="8" t="inlineStr">
        <is>
          <t>R</t>
        </is>
      </c>
      <c r="K235" s="36" t="inlineStr">
        <is>
          <t>Class 1-3 / Urban</t>
        </is>
      </c>
      <c r="L235" s="18" t="n">
        <v>3845</v>
      </c>
      <c r="M235" s="20" t="n">
        <v>4.05</v>
      </c>
      <c r="N235" s="18">
        <f>ROUND(L235/M235, 0)</f>
        <v/>
      </c>
      <c r="O235" s="18">
        <f>ROUND(N235*'Methodology &amp; Assumptions'!$B$8, 0)</f>
        <v/>
      </c>
      <c r="P235" s="8" t="inlineStr">
        <is>
          <t>Band n50 (1.5 GHz, 60 MHz)</t>
        </is>
      </c>
      <c r="Q235" s="38">
        <f>ROUNDUP(O235/'Methodology &amp; Assumptions'!$B$9, 0)</f>
        <v/>
      </c>
      <c r="R235" s="39" t="n">
        <v>1</v>
      </c>
      <c r="S235" s="21" t="n">
        <v>2.09</v>
      </c>
      <c r="T235" s="21" t="n">
        <v>1.38</v>
      </c>
      <c r="U235" s="36" t="inlineStr">
        <is>
          <t>Tier 1B (Micro Drop, 1-3 km)</t>
        </is>
      </c>
      <c r="V235" s="20" t="n">
        <v>59.8</v>
      </c>
      <c r="W235" s="20" t="n">
        <v>100</v>
      </c>
      <c r="X235" s="20" t="n">
        <v>58</v>
      </c>
      <c r="Y235" s="40">
        <f>ROUND((V235*'Methodology &amp; Assumptions'!$B$6)+(W235*'Methodology &amp; Assumptions'!$B$5)+(X235*'Methodology &amp; Assumptions'!$B$7), 2)</f>
        <v/>
      </c>
    </row>
    <row r="236" ht="19" customHeight="1">
      <c r="A236" s="41" t="n">
        <v>232</v>
      </c>
      <c r="B236" s="41" t="n">
        <v>1232</v>
      </c>
      <c r="C236" s="42" t="inlineStr">
        <is>
          <t>0604531012</t>
        </is>
      </c>
      <c r="D236" s="42" t="inlineStr">
        <is>
          <t>Region VI (Western Visayas)</t>
        </is>
      </c>
      <c r="E236" s="42" t="inlineStr">
        <is>
          <t>Negros Occidental</t>
        </is>
      </c>
      <c r="F236" s="42" t="inlineStr">
        <is>
          <t>City of Victorias</t>
        </is>
      </c>
      <c r="G236" s="42" t="inlineStr">
        <is>
          <t>Barangay IX</t>
        </is>
      </c>
      <c r="H236" s="43" t="n">
        <v>10.903116</v>
      </c>
      <c r="I236" s="43" t="n">
        <v>123.060397</v>
      </c>
      <c r="J236" s="44" t="inlineStr">
        <is>
          <t>U</t>
        </is>
      </c>
      <c r="K236" s="42" t="inlineStr">
        <is>
          <t>Class 1-3 / Urban</t>
        </is>
      </c>
      <c r="L236" s="23" t="n">
        <v>5648</v>
      </c>
      <c r="M236" s="24" t="n">
        <v>4.33</v>
      </c>
      <c r="N236" s="23">
        <f>ROUND(L236/M236, 0)</f>
        <v/>
      </c>
      <c r="O236" s="23">
        <f>ROUND(N236*'Methodology &amp; Assumptions'!$B$8, 0)</f>
        <v/>
      </c>
      <c r="P236" s="44" t="inlineStr">
        <is>
          <t>Band n50 (1.5 GHz, 60 MHz)</t>
        </is>
      </c>
      <c r="Q236" s="38">
        <f>ROUNDUP(O236/'Methodology &amp; Assumptions'!$B$9, 0)</f>
        <v/>
      </c>
      <c r="R236" s="39" t="n">
        <v>1</v>
      </c>
      <c r="S236" s="25" t="n">
        <v>1.4</v>
      </c>
      <c r="T236" s="25" t="n">
        <v>0.89</v>
      </c>
      <c r="U236" s="42" t="inlineStr">
        <is>
          <t>Tier 1B (Micro Drop, 1-3 km)</t>
        </is>
      </c>
      <c r="V236" s="24" t="n">
        <v>72.7</v>
      </c>
      <c r="W236" s="24" t="n">
        <v>100</v>
      </c>
      <c r="X236" s="24" t="n">
        <v>43</v>
      </c>
      <c r="Y236" s="45">
        <f>ROUND((V236*'Methodology &amp; Assumptions'!$B$6)+(W236*'Methodology &amp; Assumptions'!$B$5)+(X236*'Methodology &amp; Assumptions'!$B$7), 2)</f>
        <v/>
      </c>
    </row>
    <row r="237" ht="19" customHeight="1">
      <c r="A237" s="35" t="n">
        <v>233</v>
      </c>
      <c r="B237" s="35" t="n">
        <v>1233</v>
      </c>
      <c r="C237" s="36" t="inlineStr">
        <is>
          <t>1600301024</t>
        </is>
      </c>
      <c r="D237" s="36" t="inlineStr">
        <is>
          <t>Region XIII (Caraga)</t>
        </is>
      </c>
      <c r="E237" s="36" t="inlineStr">
        <is>
          <t>Agusan del Sur</t>
        </is>
      </c>
      <c r="F237" s="36" t="inlineStr">
        <is>
          <t>City of Bayugan</t>
        </is>
      </c>
      <c r="G237" s="36" t="inlineStr">
        <is>
          <t>Taglatawan</t>
        </is>
      </c>
      <c r="H237" s="37" t="n">
        <v>8.708823000000001</v>
      </c>
      <c r="I237" s="37" t="n">
        <v>125.7625</v>
      </c>
      <c r="J237" s="8" t="inlineStr">
        <is>
          <t>U</t>
        </is>
      </c>
      <c r="K237" s="36" t="inlineStr">
        <is>
          <t>Class 1-3 / Urban</t>
        </is>
      </c>
      <c r="L237" s="18" t="n">
        <v>12632</v>
      </c>
      <c r="M237" s="20" t="n">
        <v>4.1</v>
      </c>
      <c r="N237" s="18">
        <f>ROUND(L237/M237, 0)</f>
        <v/>
      </c>
      <c r="O237" s="18">
        <f>ROUND(N237*'Methodology &amp; Assumptions'!$B$8, 0)</f>
        <v/>
      </c>
      <c r="P237" s="8" t="inlineStr">
        <is>
          <t>Band n50 (1.5 GHz, 60 MHz)</t>
        </is>
      </c>
      <c r="Q237" s="38">
        <f>ROUNDUP(O237/'Methodology &amp; Assumptions'!$B$9, 0)</f>
        <v/>
      </c>
      <c r="R237" s="39" t="n">
        <v>1</v>
      </c>
      <c r="S237" s="21" t="n">
        <v>0.84</v>
      </c>
      <c r="T237" s="21" t="n">
        <v>0.46</v>
      </c>
      <c r="U237" s="36" t="inlineStr">
        <is>
          <t>Tier 1A (Direct Coloc, &lt;1 km)</t>
        </is>
      </c>
      <c r="V237" s="20" t="n">
        <v>85.5</v>
      </c>
      <c r="W237" s="20" t="n">
        <v>100</v>
      </c>
      <c r="X237" s="20" t="n">
        <v>28</v>
      </c>
      <c r="Y237" s="40">
        <f>ROUND((V237*'Methodology &amp; Assumptions'!$B$6)+(W237*'Methodology &amp; Assumptions'!$B$5)+(X237*'Methodology &amp; Assumptions'!$B$7), 2)</f>
        <v/>
      </c>
    </row>
    <row r="238" ht="19" customHeight="1">
      <c r="A238" s="41" t="n">
        <v>234</v>
      </c>
      <c r="B238" s="41" t="n">
        <v>1234</v>
      </c>
      <c r="C238" s="42" t="inlineStr">
        <is>
          <t>0405810008</t>
        </is>
      </c>
      <c r="D238" s="42" t="inlineStr">
        <is>
          <t>Region IV-A (CALABARZON)</t>
        </is>
      </c>
      <c r="E238" s="42" t="inlineStr">
        <is>
          <t>Rizal</t>
        </is>
      </c>
      <c r="F238" s="42" t="inlineStr">
        <is>
          <t>Pililla</t>
        </is>
      </c>
      <c r="G238" s="42" t="inlineStr">
        <is>
          <t>Quisao</t>
        </is>
      </c>
      <c r="H238" s="43" t="n">
        <v>14.43712</v>
      </c>
      <c r="I238" s="43" t="n">
        <v>121.33492</v>
      </c>
      <c r="J238" s="44" t="inlineStr">
        <is>
          <t>U</t>
        </is>
      </c>
      <c r="K238" s="42" t="inlineStr">
        <is>
          <t>Class 1-3 / Urban</t>
        </is>
      </c>
      <c r="L238" s="23" t="n">
        <v>17302</v>
      </c>
      <c r="M238" s="24" t="n">
        <v>4.39</v>
      </c>
      <c r="N238" s="23">
        <f>ROUND(L238/M238, 0)</f>
        <v/>
      </c>
      <c r="O238" s="23">
        <f>ROUND(N238*'Methodology &amp; Assumptions'!$B$8, 0)</f>
        <v/>
      </c>
      <c r="P238" s="44" t="inlineStr">
        <is>
          <t>Band n50 (1.5 GHz, 60 MHz)</t>
        </is>
      </c>
      <c r="Q238" s="38">
        <f>ROUNDUP(O238/'Methodology &amp; Assumptions'!$B$9, 0)</f>
        <v/>
      </c>
      <c r="R238" s="39" t="n">
        <v>1</v>
      </c>
      <c r="S238" s="25" t="n">
        <v>0.47</v>
      </c>
      <c r="T238" s="25" t="n">
        <v>2.76</v>
      </c>
      <c r="U238" s="42" t="inlineStr">
        <is>
          <t>Tier 1A (Direct Coloc, &lt;1 km)</t>
        </is>
      </c>
      <c r="V238" s="24" t="n">
        <v>85.5</v>
      </c>
      <c r="W238" s="24" t="n">
        <v>100</v>
      </c>
      <c r="X238" s="24" t="n">
        <v>28</v>
      </c>
      <c r="Y238" s="45">
        <f>ROUND((V238*'Methodology &amp; Assumptions'!$B$6)+(W238*'Methodology &amp; Assumptions'!$B$5)+(X238*'Methodology &amp; Assumptions'!$B$7), 2)</f>
        <v/>
      </c>
    </row>
    <row r="239" ht="19" customHeight="1">
      <c r="A239" s="35" t="n">
        <v>235</v>
      </c>
      <c r="B239" s="35" t="n">
        <v>1235</v>
      </c>
      <c r="C239" s="36" t="inlineStr">
        <is>
          <t>0604528021</t>
        </is>
      </c>
      <c r="D239" s="36" t="inlineStr">
        <is>
          <t>Region VI (Western Visayas)</t>
        </is>
      </c>
      <c r="E239" s="36" t="inlineStr">
        <is>
          <t>Negros Occidental</t>
        </is>
      </c>
      <c r="F239" s="36" t="inlineStr">
        <is>
          <t>City of Talisay</t>
        </is>
      </c>
      <c r="G239" s="36" t="inlineStr">
        <is>
          <t>Zone 16</t>
        </is>
      </c>
      <c r="H239" s="37" t="n">
        <v>10.754578</v>
      </c>
      <c r="I239" s="37" t="n">
        <v>122.980595</v>
      </c>
      <c r="J239" s="8" t="inlineStr">
        <is>
          <t>R</t>
        </is>
      </c>
      <c r="K239" s="36" t="inlineStr">
        <is>
          <t>Class 1-3 / Urban</t>
        </is>
      </c>
      <c r="L239" s="18" t="n">
        <v>4961</v>
      </c>
      <c r="M239" s="20" t="n">
        <v>4.33</v>
      </c>
      <c r="N239" s="18">
        <f>ROUND(L239/M239, 0)</f>
        <v/>
      </c>
      <c r="O239" s="18">
        <f>ROUND(N239*'Methodology &amp; Assumptions'!$B$8, 0)</f>
        <v/>
      </c>
      <c r="P239" s="8" t="inlineStr">
        <is>
          <t>Band n50 (1.5 GHz, 60 MHz)</t>
        </is>
      </c>
      <c r="Q239" s="38">
        <f>ROUNDUP(O239/'Methodology &amp; Assumptions'!$B$9, 0)</f>
        <v/>
      </c>
      <c r="R239" s="39" t="n">
        <v>1</v>
      </c>
      <c r="S239" s="21" t="n">
        <v>2.1</v>
      </c>
      <c r="T239" s="21" t="n">
        <v>0.72</v>
      </c>
      <c r="U239" s="36" t="inlineStr">
        <is>
          <t>Tier 1B (Micro Drop, 1-3 km)</t>
        </is>
      </c>
      <c r="V239" s="20" t="n">
        <v>59.7</v>
      </c>
      <c r="W239" s="20" t="n">
        <v>100</v>
      </c>
      <c r="X239" s="20" t="n">
        <v>58</v>
      </c>
      <c r="Y239" s="40">
        <f>ROUND((V239*'Methodology &amp; Assumptions'!$B$6)+(W239*'Methodology &amp; Assumptions'!$B$5)+(X239*'Methodology &amp; Assumptions'!$B$7), 2)</f>
        <v/>
      </c>
    </row>
    <row r="240" ht="19" customHeight="1">
      <c r="A240" s="41" t="n">
        <v>236</v>
      </c>
      <c r="B240" s="41" t="n">
        <v>1236</v>
      </c>
      <c r="C240" s="42" t="inlineStr">
        <is>
          <t>1705320005</t>
        </is>
      </c>
      <c r="D240" s="42" t="inlineStr">
        <is>
          <t>MIMAROPA Region</t>
        </is>
      </c>
      <c r="E240" s="42" t="inlineStr">
        <is>
          <t>Palawan</t>
        </is>
      </c>
      <c r="F240" s="42" t="inlineStr">
        <is>
          <t>Taytay</t>
        </is>
      </c>
      <c r="G240" s="42" t="inlineStr">
        <is>
          <t>Bato</t>
        </is>
      </c>
      <c r="H240" s="43" t="n">
        <v>10.708862</v>
      </c>
      <c r="I240" s="43" t="n">
        <v>119.479124</v>
      </c>
      <c r="J240" s="44" t="inlineStr">
        <is>
          <t>R</t>
        </is>
      </c>
      <c r="K240" s="42" t="inlineStr">
        <is>
          <t>Class 1-3 / Urban</t>
        </is>
      </c>
      <c r="L240" s="23" t="n">
        <v>3600</v>
      </c>
      <c r="M240" s="24" t="n">
        <v>4.35</v>
      </c>
      <c r="N240" s="23">
        <f>ROUND(L240/M240, 0)</f>
        <v/>
      </c>
      <c r="O240" s="23">
        <f>ROUND(N240*'Methodology &amp; Assumptions'!$B$8, 0)</f>
        <v/>
      </c>
      <c r="P240" s="44" t="inlineStr">
        <is>
          <t>Band n50 (1.5 GHz, 60 MHz)</t>
        </is>
      </c>
      <c r="Q240" s="38">
        <f>ROUNDUP(O240/'Methodology &amp; Assumptions'!$B$9, 0)</f>
        <v/>
      </c>
      <c r="R240" s="39" t="n">
        <v>1</v>
      </c>
      <c r="S240" s="25" t="n">
        <v>1.36</v>
      </c>
      <c r="T240" s="25" t="n">
        <v>1.34</v>
      </c>
      <c r="U240" s="42" t="inlineStr">
        <is>
          <t>Tier 1B (Micro Drop, 1-3 km)</t>
        </is>
      </c>
      <c r="V240" s="24" t="n">
        <v>73.59999999999999</v>
      </c>
      <c r="W240" s="24" t="n">
        <v>86.09999999999999</v>
      </c>
      <c r="X240" s="24" t="n">
        <v>58</v>
      </c>
      <c r="Y240" s="45">
        <f>ROUND((V240*'Methodology &amp; Assumptions'!$B$6)+(W240*'Methodology &amp; Assumptions'!$B$5)+(X240*'Methodology &amp; Assumptions'!$B$7), 2)</f>
        <v/>
      </c>
    </row>
    <row r="241" ht="19" customHeight="1">
      <c r="A241" s="35" t="n">
        <v>237</v>
      </c>
      <c r="B241" s="35" t="n">
        <v>1237</v>
      </c>
      <c r="C241" s="36" t="inlineStr">
        <is>
          <t>0604520004</t>
        </is>
      </c>
      <c r="D241" s="36" t="inlineStr">
        <is>
          <t>Region VI (Western Visayas)</t>
        </is>
      </c>
      <c r="E241" s="36" t="inlineStr">
        <is>
          <t>Negros Occidental</t>
        </is>
      </c>
      <c r="F241" s="36" t="inlineStr">
        <is>
          <t>Murcia</t>
        </is>
      </c>
      <c r="G241" s="36" t="inlineStr">
        <is>
          <t>Zone I</t>
        </is>
      </c>
      <c r="H241" s="37" t="n">
        <v>10.607634</v>
      </c>
      <c r="I241" s="37" t="n">
        <v>123.041264</v>
      </c>
      <c r="J241" s="8" t="inlineStr">
        <is>
          <t>R</t>
        </is>
      </c>
      <c r="K241" s="36" t="inlineStr">
        <is>
          <t>Class 1-3 / Urban</t>
        </is>
      </c>
      <c r="L241" s="18" t="n">
        <v>1928</v>
      </c>
      <c r="M241" s="20" t="n">
        <v>4.33</v>
      </c>
      <c r="N241" s="18">
        <f>ROUND(L241/M241, 0)</f>
        <v/>
      </c>
      <c r="O241" s="18">
        <f>ROUND(N241*'Methodology &amp; Assumptions'!$B$8, 0)</f>
        <v/>
      </c>
      <c r="P241" s="8" t="inlineStr">
        <is>
          <t>Band n50 (1.5 GHz, 60 MHz)</t>
        </is>
      </c>
      <c r="Q241" s="38">
        <f>ROUNDUP(O241/'Methodology &amp; Assumptions'!$B$9, 0)</f>
        <v/>
      </c>
      <c r="R241" s="39" t="n">
        <v>1</v>
      </c>
      <c r="S241" s="21" t="n">
        <v>0.15</v>
      </c>
      <c r="T241" s="21" t="n">
        <v>0.15</v>
      </c>
      <c r="U241" s="36" t="inlineStr">
        <is>
          <t>Tier 1A (Direct Coloc, &lt;1 km)</t>
        </is>
      </c>
      <c r="V241" s="20" t="n">
        <v>100</v>
      </c>
      <c r="W241" s="20" t="n">
        <v>59.7</v>
      </c>
      <c r="X241" s="20" t="n">
        <v>58</v>
      </c>
      <c r="Y241" s="40">
        <f>ROUND((V241*'Methodology &amp; Assumptions'!$B$6)+(W241*'Methodology &amp; Assumptions'!$B$5)+(X241*'Methodology &amp; Assumptions'!$B$7), 2)</f>
        <v/>
      </c>
    </row>
    <row r="242" ht="19" customHeight="1">
      <c r="A242" s="41" t="n">
        <v>238</v>
      </c>
      <c r="B242" s="41" t="n">
        <v>1238</v>
      </c>
      <c r="C242" s="42" t="inlineStr">
        <is>
          <t>1705209006</t>
        </is>
      </c>
      <c r="D242" s="42" t="inlineStr">
        <is>
          <t>MIMAROPA Region</t>
        </is>
      </c>
      <c r="E242" s="42" t="inlineStr">
        <is>
          <t>Oriental Mindoro</t>
        </is>
      </c>
      <c r="F242" s="42" t="inlineStr">
        <is>
          <t>Pinamalayan</t>
        </is>
      </c>
      <c r="G242" s="42" t="inlineStr">
        <is>
          <t>Cacawan</t>
        </is>
      </c>
      <c r="H242" s="43" t="n">
        <v>13.0456</v>
      </c>
      <c r="I242" s="43" t="n">
        <v>121.4822</v>
      </c>
      <c r="J242" s="44" t="inlineStr">
        <is>
          <t>U</t>
        </is>
      </c>
      <c r="K242" s="42" t="inlineStr">
        <is>
          <t>Class 1-3 / Urban</t>
        </is>
      </c>
      <c r="L242" s="23" t="n">
        <v>6736</v>
      </c>
      <c r="M242" s="24" t="n">
        <v>4.41</v>
      </c>
      <c r="N242" s="23">
        <f>ROUND(L242/M242, 0)</f>
        <v/>
      </c>
      <c r="O242" s="23">
        <f>ROUND(N242*'Methodology &amp; Assumptions'!$B$8, 0)</f>
        <v/>
      </c>
      <c r="P242" s="44" t="inlineStr">
        <is>
          <t>Band n50 (1.5 GHz, 60 MHz)</t>
        </is>
      </c>
      <c r="Q242" s="38">
        <f>ROUNDUP(O242/'Methodology &amp; Assumptions'!$B$9, 0)</f>
        <v/>
      </c>
      <c r="R242" s="39" t="n">
        <v>1</v>
      </c>
      <c r="S242" s="25" t="n">
        <v>0.84</v>
      </c>
      <c r="T242" s="25" t="n">
        <v>0.77</v>
      </c>
      <c r="U242" s="42" t="inlineStr">
        <is>
          <t>Tier 1A (Direct Coloc, &lt;1 km)</t>
        </is>
      </c>
      <c r="V242" s="24" t="n">
        <v>85.5</v>
      </c>
      <c r="W242" s="24" t="n">
        <v>100</v>
      </c>
      <c r="X242" s="24" t="n">
        <v>28</v>
      </c>
      <c r="Y242" s="45">
        <f>ROUND((V242*'Methodology &amp; Assumptions'!$B$6)+(W242*'Methodology &amp; Assumptions'!$B$5)+(X242*'Methodology &amp; Assumptions'!$B$7), 2)</f>
        <v/>
      </c>
    </row>
    <row r="243" ht="19" customHeight="1">
      <c r="A243" s="35" t="n">
        <v>239</v>
      </c>
      <c r="B243" s="35" t="n">
        <v>1239</v>
      </c>
      <c r="C243" s="36" t="inlineStr">
        <is>
          <t>0331400011</t>
        </is>
      </c>
      <c r="D243" s="36" t="inlineStr">
        <is>
          <t>Region III (Central Luzon)</t>
        </is>
      </c>
      <c r="E243" s="36" t="inlineStr">
        <is>
          <t>Zambales</t>
        </is>
      </c>
      <c r="F243" s="36" t="inlineStr">
        <is>
          <t>City of Olongapo</t>
        </is>
      </c>
      <c r="G243" s="36" t="inlineStr">
        <is>
          <t>Kalaklan</t>
        </is>
      </c>
      <c r="H243" s="37" t="n">
        <v>14.830477</v>
      </c>
      <c r="I243" s="37" t="n">
        <v>120.273763</v>
      </c>
      <c r="J243" s="8" t="inlineStr">
        <is>
          <t>U</t>
        </is>
      </c>
      <c r="K243" s="36" t="inlineStr">
        <is>
          <t>Class 1-3 / Urban</t>
        </is>
      </c>
      <c r="L243" s="18" t="n">
        <v>14703</v>
      </c>
      <c r="M243" s="20" t="n">
        <v>4.05</v>
      </c>
      <c r="N243" s="18">
        <f>ROUND(L243/M243, 0)</f>
        <v/>
      </c>
      <c r="O243" s="18">
        <f>ROUND(N243*'Methodology &amp; Assumptions'!$B$8, 0)</f>
        <v/>
      </c>
      <c r="P243" s="8" t="inlineStr">
        <is>
          <t>Band n50 (1.5 GHz, 60 MHz)</t>
        </is>
      </c>
      <c r="Q243" s="38">
        <f>ROUNDUP(O243/'Methodology &amp; Assumptions'!$B$9, 0)</f>
        <v/>
      </c>
      <c r="R243" s="39" t="n">
        <v>1</v>
      </c>
      <c r="S243" s="21" t="n">
        <v>0.85</v>
      </c>
      <c r="T243" s="21" t="n">
        <v>0.08</v>
      </c>
      <c r="U243" s="36" t="inlineStr">
        <is>
          <t>Tier 1A (Direct Coloc, &lt;1 km)</t>
        </is>
      </c>
      <c r="V243" s="20" t="n">
        <v>85.40000000000001</v>
      </c>
      <c r="W243" s="20" t="n">
        <v>100</v>
      </c>
      <c r="X243" s="20" t="n">
        <v>28</v>
      </c>
      <c r="Y243" s="40">
        <f>ROUND((V243*'Methodology &amp; Assumptions'!$B$6)+(W243*'Methodology &amp; Assumptions'!$B$5)+(X243*'Methodology &amp; Assumptions'!$B$7), 2)</f>
        <v/>
      </c>
    </row>
    <row r="244" ht="19" customHeight="1">
      <c r="A244" s="41" t="n">
        <v>240</v>
      </c>
      <c r="B244" s="41" t="n">
        <v>1240</v>
      </c>
      <c r="C244" s="42" t="inlineStr">
        <is>
          <t>1102411001</t>
        </is>
      </c>
      <c r="D244" s="42" t="inlineStr">
        <is>
          <t>Region XI (Davao Region)</t>
        </is>
      </c>
      <c r="E244" s="42" t="inlineStr">
        <is>
          <t>Davao del Sur</t>
        </is>
      </c>
      <c r="F244" s="42" t="inlineStr">
        <is>
          <t>Padada</t>
        </is>
      </c>
      <c r="G244" s="42" t="inlineStr">
        <is>
          <t>Almendras</t>
        </is>
      </c>
      <c r="H244" s="43" t="n">
        <v>6.64119</v>
      </c>
      <c r="I244" s="43" t="n">
        <v>125.34037</v>
      </c>
      <c r="J244" s="44" t="inlineStr">
        <is>
          <t>U</t>
        </is>
      </c>
      <c r="K244" s="42" t="inlineStr">
        <is>
          <t>Class 1-3 / Urban</t>
        </is>
      </c>
      <c r="L244" s="23" t="n">
        <v>3773</v>
      </c>
      <c r="M244" s="24" t="n">
        <v>4.1</v>
      </c>
      <c r="N244" s="23">
        <f>ROUND(L244/M244, 0)</f>
        <v/>
      </c>
      <c r="O244" s="23">
        <f>ROUND(N244*'Methodology &amp; Assumptions'!$B$8, 0)</f>
        <v/>
      </c>
      <c r="P244" s="44" t="inlineStr">
        <is>
          <t>Band n50 (1.5 GHz, 60 MHz)</t>
        </is>
      </c>
      <c r="Q244" s="38">
        <f>ROUNDUP(O244/'Methodology &amp; Assumptions'!$B$9, 0)</f>
        <v/>
      </c>
      <c r="R244" s="39" t="n">
        <v>1</v>
      </c>
      <c r="S244" s="25" t="n">
        <v>0.75</v>
      </c>
      <c r="T244" s="25" t="n">
        <v>0.27</v>
      </c>
      <c r="U244" s="42" t="inlineStr">
        <is>
          <t>Tier 1A (Direct Coloc, &lt;1 km)</t>
        </is>
      </c>
      <c r="V244" s="24" t="n">
        <v>87.8</v>
      </c>
      <c r="W244" s="24" t="n">
        <v>97.59999999999999</v>
      </c>
      <c r="X244" s="24" t="n">
        <v>28</v>
      </c>
      <c r="Y244" s="45">
        <f>ROUND((V244*'Methodology &amp; Assumptions'!$B$6)+(W244*'Methodology &amp; Assumptions'!$B$5)+(X244*'Methodology &amp; Assumptions'!$B$7), 2)</f>
        <v/>
      </c>
    </row>
    <row r="245" ht="19" customHeight="1">
      <c r="A245" s="35" t="n">
        <v>241</v>
      </c>
      <c r="B245" s="35" t="n">
        <v>1241</v>
      </c>
      <c r="C245" s="36" t="inlineStr">
        <is>
          <t>0307702011</t>
        </is>
      </c>
      <c r="D245" s="36" t="inlineStr">
        <is>
          <t>Region III (Central Luzon)</t>
        </is>
      </c>
      <c r="E245" s="36" t="inlineStr">
        <is>
          <t>Aurora</t>
        </is>
      </c>
      <c r="F245" s="36" t="inlineStr">
        <is>
          <t>Casiguran</t>
        </is>
      </c>
      <c r="G245" s="36" t="inlineStr">
        <is>
          <t>Calantas</t>
        </is>
      </c>
      <c r="H245" s="37" t="n">
        <v>16.28144</v>
      </c>
      <c r="I245" s="37" t="n">
        <v>122.122649</v>
      </c>
      <c r="J245" s="8" t="inlineStr">
        <is>
          <t>R</t>
        </is>
      </c>
      <c r="K245" s="36" t="inlineStr">
        <is>
          <t>Class 1-3 / Urban</t>
        </is>
      </c>
      <c r="L245" s="18" t="n">
        <v>1982</v>
      </c>
      <c r="M245" s="20" t="n">
        <v>4.24</v>
      </c>
      <c r="N245" s="18">
        <f>ROUND(L245/M245, 0)</f>
        <v/>
      </c>
      <c r="O245" s="18">
        <f>ROUND(N245*'Methodology &amp; Assumptions'!$B$8, 0)</f>
        <v/>
      </c>
      <c r="P245" s="8" t="inlineStr">
        <is>
          <t>Band n50 (1.5 GHz, 60 MHz)</t>
        </is>
      </c>
      <c r="Q245" s="38">
        <f>ROUNDUP(O245/'Methodology &amp; Assumptions'!$B$9, 0)</f>
        <v/>
      </c>
      <c r="R245" s="39" t="n">
        <v>1</v>
      </c>
      <c r="S245" s="21" t="n">
        <v>0.37</v>
      </c>
      <c r="T245" s="21" t="n">
        <v>0.47</v>
      </c>
      <c r="U245" s="36" t="inlineStr">
        <is>
          <t>Tier 1A (Direct Coloc, &lt;1 km)</t>
        </is>
      </c>
      <c r="V245" s="20" t="n">
        <v>98.3</v>
      </c>
      <c r="W245" s="20" t="n">
        <v>61.3</v>
      </c>
      <c r="X245" s="20" t="n">
        <v>58</v>
      </c>
      <c r="Y245" s="40">
        <f>ROUND((V245*'Methodology &amp; Assumptions'!$B$6)+(W245*'Methodology &amp; Assumptions'!$B$5)+(X245*'Methodology &amp; Assumptions'!$B$7), 2)</f>
        <v/>
      </c>
    </row>
    <row r="246" ht="19" customHeight="1">
      <c r="A246" s="41" t="n">
        <v>242</v>
      </c>
      <c r="B246" s="41" t="n">
        <v>1242</v>
      </c>
      <c r="C246" s="42" t="inlineStr">
        <is>
          <t>0501708039</t>
        </is>
      </c>
      <c r="D246" s="42" t="inlineStr">
        <is>
          <t>Region V (Bicol Region)</t>
        </is>
      </c>
      <c r="E246" s="42" t="inlineStr">
        <is>
          <t>Camarines Sur</t>
        </is>
      </c>
      <c r="F246" s="42" t="inlineStr">
        <is>
          <t>Calabanga</t>
        </is>
      </c>
      <c r="G246" s="42" t="inlineStr">
        <is>
          <t>San Roque</t>
        </is>
      </c>
      <c r="H246" s="43" t="n">
        <v>13.713151</v>
      </c>
      <c r="I246" s="43" t="n">
        <v>123.213451</v>
      </c>
      <c r="J246" s="44" t="inlineStr">
        <is>
          <t>U</t>
        </is>
      </c>
      <c r="K246" s="42" t="inlineStr">
        <is>
          <t>Class 1-3 / Urban</t>
        </is>
      </c>
      <c r="L246" s="23" t="n">
        <v>6333</v>
      </c>
      <c r="M246" s="24" t="n">
        <v>4.9</v>
      </c>
      <c r="N246" s="23">
        <f>ROUND(L246/M246, 0)</f>
        <v/>
      </c>
      <c r="O246" s="23">
        <f>ROUND(N246*'Methodology &amp; Assumptions'!$B$8, 0)</f>
        <v/>
      </c>
      <c r="P246" s="44" t="inlineStr">
        <is>
          <t>Band n50 (1.5 GHz, 60 MHz)</t>
        </is>
      </c>
      <c r="Q246" s="38">
        <f>ROUNDUP(O246/'Methodology &amp; Assumptions'!$B$9, 0)</f>
        <v/>
      </c>
      <c r="R246" s="39" t="n">
        <v>1</v>
      </c>
      <c r="S246" s="25" t="n">
        <v>0.85</v>
      </c>
      <c r="T246" s="25" t="n">
        <v>0.62</v>
      </c>
      <c r="U246" s="42" t="inlineStr">
        <is>
          <t>Tier 1A (Direct Coloc, &lt;1 km)</t>
        </is>
      </c>
      <c r="V246" s="24" t="n">
        <v>85.40000000000001</v>
      </c>
      <c r="W246" s="24" t="n">
        <v>100</v>
      </c>
      <c r="X246" s="24" t="n">
        <v>28</v>
      </c>
      <c r="Y246" s="45">
        <f>ROUND((V246*'Methodology &amp; Assumptions'!$B$6)+(W246*'Methodology &amp; Assumptions'!$B$5)+(X246*'Methodology &amp; Assumptions'!$B$7), 2)</f>
        <v/>
      </c>
    </row>
    <row r="247" ht="19" customHeight="1">
      <c r="A247" s="35" t="n">
        <v>243</v>
      </c>
      <c r="B247" s="35" t="n">
        <v>1243</v>
      </c>
      <c r="C247" s="36" t="inlineStr">
        <is>
          <t>0402111005</t>
        </is>
      </c>
      <c r="D247" s="36" t="inlineStr">
        <is>
          <t>Region IV-A (CALABARZON)</t>
        </is>
      </c>
      <c r="E247" s="36" t="inlineStr">
        <is>
          <t>Cavite</t>
        </is>
      </c>
      <c r="F247" s="36" t="inlineStr">
        <is>
          <t>Kawit</t>
        </is>
      </c>
      <c r="G247" s="36" t="inlineStr">
        <is>
          <t>Panamitan</t>
        </is>
      </c>
      <c r="H247" s="37" t="n">
        <v>14.439572</v>
      </c>
      <c r="I247" s="37" t="n">
        <v>120.89782</v>
      </c>
      <c r="J247" s="8" t="inlineStr">
        <is>
          <t>R</t>
        </is>
      </c>
      <c r="K247" s="36" t="inlineStr">
        <is>
          <t>Class 1-3 / Urban</t>
        </is>
      </c>
      <c r="L247" s="18" t="n">
        <v>3398</v>
      </c>
      <c r="M247" s="20" t="n">
        <v>4.49</v>
      </c>
      <c r="N247" s="18">
        <f>ROUND(L247/M247, 0)</f>
        <v/>
      </c>
      <c r="O247" s="18">
        <f>ROUND(N247*'Methodology &amp; Assumptions'!$B$8, 0)</f>
        <v/>
      </c>
      <c r="P247" s="8" t="inlineStr">
        <is>
          <t>Band n50 (1.5 GHz, 60 MHz)</t>
        </is>
      </c>
      <c r="Q247" s="38">
        <f>ROUNDUP(O247/'Methodology &amp; Assumptions'!$B$9, 0)</f>
        <v/>
      </c>
      <c r="R247" s="39" t="n">
        <v>1</v>
      </c>
      <c r="S247" s="21" t="n">
        <v>1.95</v>
      </c>
      <c r="T247" s="21" t="n">
        <v>0.6899999999999999</v>
      </c>
      <c r="U247" s="36" t="inlineStr">
        <is>
          <t>Tier 1B (Micro Drop, 1-3 km)</t>
        </is>
      </c>
      <c r="V247" s="20" t="n">
        <v>62.3</v>
      </c>
      <c r="W247" s="20" t="n">
        <v>84.5</v>
      </c>
      <c r="X247" s="20" t="n">
        <v>73</v>
      </c>
      <c r="Y247" s="40">
        <f>ROUND((V247*'Methodology &amp; Assumptions'!$B$6)+(W247*'Methodology &amp; Assumptions'!$B$5)+(X247*'Methodology &amp; Assumptions'!$B$7), 2)</f>
        <v/>
      </c>
    </row>
    <row r="248" ht="19" customHeight="1">
      <c r="A248" s="41" t="n">
        <v>244</v>
      </c>
      <c r="B248" s="41" t="n">
        <v>1244</v>
      </c>
      <c r="C248" s="42" t="inlineStr">
        <is>
          <t>1206511010</t>
        </is>
      </c>
      <c r="D248" s="42" t="inlineStr">
        <is>
          <t>Region XII (SOCCSKSARGEN)</t>
        </is>
      </c>
      <c r="E248" s="42" t="inlineStr">
        <is>
          <t>Sultan Kudarat</t>
        </is>
      </c>
      <c r="F248" s="42" t="inlineStr">
        <is>
          <t>City of Tacurong</t>
        </is>
      </c>
      <c r="G248" s="42" t="inlineStr">
        <is>
          <t>New Isabela</t>
        </is>
      </c>
      <c r="H248" s="43" t="n">
        <v>6.676944</v>
      </c>
      <c r="I248" s="43" t="n">
        <v>124.673889</v>
      </c>
      <c r="J248" s="44" t="inlineStr">
        <is>
          <t>U</t>
        </is>
      </c>
      <c r="K248" s="42" t="inlineStr">
        <is>
          <t>Class 1-3 / Urban</t>
        </is>
      </c>
      <c r="L248" s="23" t="n">
        <v>11818</v>
      </c>
      <c r="M248" s="24" t="n">
        <v>4.1</v>
      </c>
      <c r="N248" s="23">
        <f>ROUND(L248/M248, 0)</f>
        <v/>
      </c>
      <c r="O248" s="23">
        <f>ROUND(N248*'Methodology &amp; Assumptions'!$B$8, 0)</f>
        <v/>
      </c>
      <c r="P248" s="44" t="inlineStr">
        <is>
          <t>Band n50 (1.5 GHz, 60 MHz)</t>
        </is>
      </c>
      <c r="Q248" s="38">
        <f>ROUNDUP(O248/'Methodology &amp; Assumptions'!$B$9, 0)</f>
        <v/>
      </c>
      <c r="R248" s="39" t="n">
        <v>1</v>
      </c>
      <c r="S248" s="25" t="n">
        <v>1.41</v>
      </c>
      <c r="T248" s="25" t="n">
        <v>1.12</v>
      </c>
      <c r="U248" s="42" t="inlineStr">
        <is>
          <t>Tier 1B (Micro Drop, 1-3 km)</t>
        </is>
      </c>
      <c r="V248" s="24" t="n">
        <v>72.5</v>
      </c>
      <c r="W248" s="24" t="n">
        <v>100</v>
      </c>
      <c r="X248" s="24" t="n">
        <v>43</v>
      </c>
      <c r="Y248" s="45">
        <f>ROUND((V248*'Methodology &amp; Assumptions'!$B$6)+(W248*'Methodology &amp; Assumptions'!$B$5)+(X248*'Methodology &amp; Assumptions'!$B$7), 2)</f>
        <v/>
      </c>
    </row>
    <row r="249" ht="19" customHeight="1">
      <c r="A249" s="35" t="n">
        <v>245</v>
      </c>
      <c r="B249" s="35" t="n">
        <v>1245</v>
      </c>
      <c r="C249" s="36" t="inlineStr">
        <is>
          <t>0402101024</t>
        </is>
      </c>
      <c r="D249" s="36" t="inlineStr">
        <is>
          <t>Region IV-A (CALABARZON)</t>
        </is>
      </c>
      <c r="E249" s="36" t="inlineStr">
        <is>
          <t>Cavite</t>
        </is>
      </c>
      <c r="F249" s="36" t="inlineStr">
        <is>
          <t>Alfonso</t>
        </is>
      </c>
      <c r="G249" s="36" t="inlineStr">
        <is>
          <t>Luksuhin Ilaya</t>
        </is>
      </c>
      <c r="H249" s="37" t="n">
        <v>14.086987</v>
      </c>
      <c r="I249" s="37" t="n">
        <v>120.87969</v>
      </c>
      <c r="J249" s="8" t="inlineStr">
        <is>
          <t>R</t>
        </is>
      </c>
      <c r="K249" s="36" t="inlineStr">
        <is>
          <t>Class 1-3 / Urban</t>
        </is>
      </c>
      <c r="L249" s="18" t="n">
        <v>2023</v>
      </c>
      <c r="M249" s="20" t="n">
        <v>4.49</v>
      </c>
      <c r="N249" s="18">
        <f>ROUND(L249/M249, 0)</f>
        <v/>
      </c>
      <c r="O249" s="18">
        <f>ROUND(N249*'Methodology &amp; Assumptions'!$B$8, 0)</f>
        <v/>
      </c>
      <c r="P249" s="8" t="inlineStr">
        <is>
          <t>Band n50 (1.5 GHz, 60 MHz)</t>
        </is>
      </c>
      <c r="Q249" s="38">
        <f>ROUNDUP(O249/'Methodology &amp; Assumptions'!$B$9, 0)</f>
        <v/>
      </c>
      <c r="R249" s="39" t="n">
        <v>1</v>
      </c>
      <c r="S249" s="21" t="n">
        <v>0.33</v>
      </c>
      <c r="T249" s="21" t="n">
        <v>0.34</v>
      </c>
      <c r="U249" s="36" t="inlineStr">
        <is>
          <t>Tier 1A (Direct Coloc, &lt;1 km)</t>
        </is>
      </c>
      <c r="V249" s="20" t="n">
        <v>99.59999999999999</v>
      </c>
      <c r="W249" s="20" t="n">
        <v>60</v>
      </c>
      <c r="X249" s="20" t="n">
        <v>58</v>
      </c>
      <c r="Y249" s="40">
        <f>ROUND((V249*'Methodology &amp; Assumptions'!$B$6)+(W249*'Methodology &amp; Assumptions'!$B$5)+(X249*'Methodology &amp; Assumptions'!$B$7), 2)</f>
        <v/>
      </c>
    </row>
    <row r="250" ht="19" customHeight="1">
      <c r="A250" s="41" t="n">
        <v>246</v>
      </c>
      <c r="B250" s="41" t="n">
        <v>1246</v>
      </c>
      <c r="C250" s="42" t="inlineStr">
        <is>
          <t>0403411004</t>
        </is>
      </c>
      <c r="D250" s="42" t="inlineStr">
        <is>
          <t>Region IV-A (CALABARZON)</t>
        </is>
      </c>
      <c r="E250" s="42" t="inlineStr">
        <is>
          <t>Laguna</t>
        </is>
      </c>
      <c r="F250" s="42" t="inlineStr">
        <is>
          <t>Los Baños</t>
        </is>
      </c>
      <c r="G250" s="42" t="inlineStr">
        <is>
          <t>Batong Malake</t>
        </is>
      </c>
      <c r="H250" s="43" t="n">
        <v>14.17153</v>
      </c>
      <c r="I250" s="43" t="n">
        <v>121.24181</v>
      </c>
      <c r="J250" s="44" t="inlineStr">
        <is>
          <t>U</t>
        </is>
      </c>
      <c r="K250" s="42" t="inlineStr">
        <is>
          <t>Class 1-3 / Urban</t>
        </is>
      </c>
      <c r="L250" s="23" t="n">
        <v>12578</v>
      </c>
      <c r="M250" s="24" t="n">
        <v>4.2</v>
      </c>
      <c r="N250" s="23">
        <f>ROUND(L250/M250, 0)</f>
        <v/>
      </c>
      <c r="O250" s="23">
        <f>ROUND(N250*'Methodology &amp; Assumptions'!$B$8, 0)</f>
        <v/>
      </c>
      <c r="P250" s="44" t="inlineStr">
        <is>
          <t>Band n50 (1.5 GHz, 60 MHz)</t>
        </is>
      </c>
      <c r="Q250" s="38">
        <f>ROUNDUP(O250/'Methodology &amp; Assumptions'!$B$9, 0)</f>
        <v/>
      </c>
      <c r="R250" s="39" t="n">
        <v>1</v>
      </c>
      <c r="S250" s="25" t="n">
        <v>0.85</v>
      </c>
      <c r="T250" s="25" t="n">
        <v>0.75</v>
      </c>
      <c r="U250" s="42" t="inlineStr">
        <is>
          <t>Tier 1A (Direct Coloc, &lt;1 km)</t>
        </is>
      </c>
      <c r="V250" s="24" t="n">
        <v>85.3</v>
      </c>
      <c r="W250" s="24" t="n">
        <v>100</v>
      </c>
      <c r="X250" s="24" t="n">
        <v>28</v>
      </c>
      <c r="Y250" s="45">
        <f>ROUND((V250*'Methodology &amp; Assumptions'!$B$6)+(W250*'Methodology &amp; Assumptions'!$B$5)+(X250*'Methodology &amp; Assumptions'!$B$7), 2)</f>
        <v/>
      </c>
    </row>
    <row r="251" ht="19" customHeight="1">
      <c r="A251" s="35" t="n">
        <v>247</v>
      </c>
      <c r="B251" s="35" t="n">
        <v>1247</v>
      </c>
      <c r="C251" s="36" t="inlineStr">
        <is>
          <t>0105516007</t>
        </is>
      </c>
      <c r="D251" s="36" t="inlineStr">
        <is>
          <t>Region I (Ilocos Region)</t>
        </is>
      </c>
      <c r="E251" s="36" t="inlineStr">
        <is>
          <t>Pangasinan</t>
        </is>
      </c>
      <c r="F251" s="36" t="inlineStr">
        <is>
          <t>Burgos</t>
        </is>
      </c>
      <c r="G251" s="36" t="inlineStr">
        <is>
          <t>Poblacion</t>
        </is>
      </c>
      <c r="H251" s="37" t="n">
        <v>15.92854</v>
      </c>
      <c r="I251" s="37" t="n">
        <v>120.8396</v>
      </c>
      <c r="J251" s="8" t="inlineStr">
        <is>
          <t>U</t>
        </is>
      </c>
      <c r="K251" s="36" t="inlineStr">
        <is>
          <t>3rd</t>
        </is>
      </c>
      <c r="L251" s="18" t="n">
        <v>3463</v>
      </c>
      <c r="M251" s="20" t="n">
        <v>4.46</v>
      </c>
      <c r="N251" s="18">
        <f>ROUND(L251/M251, 0)</f>
        <v/>
      </c>
      <c r="O251" s="18">
        <f>ROUND(N251*'Methodology &amp; Assumptions'!$B$8, 0)</f>
        <v/>
      </c>
      <c r="P251" s="8" t="inlineStr">
        <is>
          <t>Band n50 (1.5 GHz, 60 MHz)</t>
        </is>
      </c>
      <c r="Q251" s="38">
        <f>ROUNDUP(O251/'Methodology &amp; Assumptions'!$B$9, 0)</f>
        <v/>
      </c>
      <c r="R251" s="39" t="n">
        <v>1</v>
      </c>
      <c r="S251" s="21" t="n">
        <v>0.34</v>
      </c>
      <c r="T251" s="21" t="n">
        <v>0.34</v>
      </c>
      <c r="U251" s="36" t="inlineStr">
        <is>
          <t>Tier 1A (Direct Coloc, &lt;1 km)</t>
        </is>
      </c>
      <c r="V251" s="20" t="n">
        <v>99.09999999999999</v>
      </c>
      <c r="W251" s="20" t="n">
        <v>86.09999999999999</v>
      </c>
      <c r="X251" s="20" t="n">
        <v>28</v>
      </c>
      <c r="Y251" s="40">
        <f>ROUND((V251*'Methodology &amp; Assumptions'!$B$6)+(W251*'Methodology &amp; Assumptions'!$B$5)+(X251*'Methodology &amp; Assumptions'!$B$7), 2)</f>
        <v/>
      </c>
    </row>
    <row r="252" ht="19" customHeight="1">
      <c r="A252" s="41" t="n">
        <v>248</v>
      </c>
      <c r="B252" s="41" t="n">
        <v>1248</v>
      </c>
      <c r="C252" s="42" t="inlineStr">
        <is>
          <t>0201522004</t>
        </is>
      </c>
      <c r="D252" s="42" t="inlineStr">
        <is>
          <t>Region II (Cagayan Valley)</t>
        </is>
      </c>
      <c r="E252" s="42" t="inlineStr">
        <is>
          <t>Cagayan</t>
        </is>
      </c>
      <c r="F252" s="42" t="inlineStr">
        <is>
          <t>Sanchez-Mira</t>
        </is>
      </c>
      <c r="G252" s="42" t="inlineStr">
        <is>
          <t>Centro II</t>
        </is>
      </c>
      <c r="H252" s="43" t="n">
        <v>18.563</v>
      </c>
      <c r="I252" s="43" t="n">
        <v>121.2305</v>
      </c>
      <c r="J252" s="44" t="inlineStr">
        <is>
          <t>R</t>
        </is>
      </c>
      <c r="K252" s="42" t="inlineStr">
        <is>
          <t>Class 1-3 / Urban</t>
        </is>
      </c>
      <c r="L252" s="23" t="n">
        <v>2669</v>
      </c>
      <c r="M252" s="24" t="n">
        <v>4.38</v>
      </c>
      <c r="N252" s="23">
        <f>ROUND(L252/M252, 0)</f>
        <v/>
      </c>
      <c r="O252" s="23">
        <f>ROUND(N252*'Methodology &amp; Assumptions'!$B$8, 0)</f>
        <v/>
      </c>
      <c r="P252" s="44" t="inlineStr">
        <is>
          <t>Band n50 (1.5 GHz, 60 MHz)</t>
        </is>
      </c>
      <c r="Q252" s="38">
        <f>ROUNDUP(O252/'Methodology &amp; Assumptions'!$B$9, 0)</f>
        <v/>
      </c>
      <c r="R252" s="39" t="n">
        <v>1</v>
      </c>
      <c r="S252" s="25" t="n">
        <v>0.79</v>
      </c>
      <c r="T252" s="25" t="n">
        <v>0.1</v>
      </c>
      <c r="U252" s="42" t="inlineStr">
        <is>
          <t>Tier 1A (Direct Coloc, &lt;1 km)</t>
        </is>
      </c>
      <c r="V252" s="24" t="n">
        <v>86.7</v>
      </c>
      <c r="W252" s="24" t="n">
        <v>72.8</v>
      </c>
      <c r="X252" s="24" t="n">
        <v>58</v>
      </c>
      <c r="Y252" s="45">
        <f>ROUND((V252*'Methodology &amp; Assumptions'!$B$6)+(W252*'Methodology &amp; Assumptions'!$B$5)+(X252*'Methodology &amp; Assumptions'!$B$7), 2)</f>
        <v/>
      </c>
    </row>
    <row r="253" ht="19" customHeight="1">
      <c r="A253" s="35" t="n">
        <v>249</v>
      </c>
      <c r="B253" s="35" t="n">
        <v>1249</v>
      </c>
      <c r="C253" s="36" t="inlineStr">
        <is>
          <t>1606724068</t>
        </is>
      </c>
      <c r="D253" s="36" t="inlineStr">
        <is>
          <t>Region XIII (Caraga)</t>
        </is>
      </c>
      <c r="E253" s="36" t="inlineStr">
        <is>
          <t>Surigao del Norte</t>
        </is>
      </c>
      <c r="F253" s="36" t="inlineStr">
        <is>
          <t>City of Surigao</t>
        </is>
      </c>
      <c r="G253" s="36" t="inlineStr">
        <is>
          <t>Washington</t>
        </is>
      </c>
      <c r="H253" s="37" t="n">
        <v>9.785364</v>
      </c>
      <c r="I253" s="37" t="n">
        <v>125.487532</v>
      </c>
      <c r="J253" s="8" t="inlineStr">
        <is>
          <t>U</t>
        </is>
      </c>
      <c r="K253" s="36" t="inlineStr">
        <is>
          <t>Class 1-3 / Urban</t>
        </is>
      </c>
      <c r="L253" s="18" t="n">
        <v>19319</v>
      </c>
      <c r="M253" s="20" t="n">
        <v>4.5</v>
      </c>
      <c r="N253" s="18">
        <f>ROUND(L253/M253, 0)</f>
        <v/>
      </c>
      <c r="O253" s="18">
        <f>ROUND(N253*'Methodology &amp; Assumptions'!$B$8, 0)</f>
        <v/>
      </c>
      <c r="P253" s="8" t="inlineStr">
        <is>
          <t>Band n50 (1.5 GHz, 60 MHz)</t>
        </is>
      </c>
      <c r="Q253" s="38">
        <f>ROUNDUP(O253/'Methodology &amp; Assumptions'!$B$9, 0)</f>
        <v/>
      </c>
      <c r="R253" s="39" t="n">
        <v>1</v>
      </c>
      <c r="S253" s="21" t="n">
        <v>0.85</v>
      </c>
      <c r="T253" s="21" t="n">
        <v>0.46</v>
      </c>
      <c r="U253" s="36" t="inlineStr">
        <is>
          <t>Tier 1A (Direct Coloc, &lt;1 km)</t>
        </is>
      </c>
      <c r="V253" s="20" t="n">
        <v>85.3</v>
      </c>
      <c r="W253" s="20" t="n">
        <v>100</v>
      </c>
      <c r="X253" s="20" t="n">
        <v>28</v>
      </c>
      <c r="Y253" s="40">
        <f>ROUND((V253*'Methodology &amp; Assumptions'!$B$6)+(W253*'Methodology &amp; Assumptions'!$B$5)+(X253*'Methodology &amp; Assumptions'!$B$7), 2)</f>
        <v/>
      </c>
    </row>
    <row r="254" ht="19" customHeight="1">
      <c r="A254" s="41" t="n">
        <v>250</v>
      </c>
      <c r="B254" s="41" t="n">
        <v>1250</v>
      </c>
      <c r="C254" s="42" t="inlineStr">
        <is>
          <t>0702210015</t>
        </is>
      </c>
      <c r="D254" s="42" t="inlineStr">
        <is>
          <t>Region VII (Central Visayas)</t>
        </is>
      </c>
      <c r="E254" s="42" t="inlineStr">
        <is>
          <t>Cebu</t>
        </is>
      </c>
      <c r="F254" s="42" t="inlineStr">
        <is>
          <t>Barili</t>
        </is>
      </c>
      <c r="G254" s="42" t="inlineStr">
        <is>
          <t>Japitan</t>
        </is>
      </c>
      <c r="H254" s="43" t="n">
        <v>10.125411</v>
      </c>
      <c r="I254" s="43" t="n">
        <v>123.493191</v>
      </c>
      <c r="J254" s="44" t="inlineStr">
        <is>
          <t>R</t>
        </is>
      </c>
      <c r="K254" s="42" t="inlineStr">
        <is>
          <t>Class 1-3 / Urban</t>
        </is>
      </c>
      <c r="L254" s="23" t="n">
        <v>4258</v>
      </c>
      <c r="M254" s="24" t="n">
        <v>4.42</v>
      </c>
      <c r="N254" s="23">
        <f>ROUND(L254/M254, 0)</f>
        <v/>
      </c>
      <c r="O254" s="23">
        <f>ROUND(N254*'Methodology &amp; Assumptions'!$B$8, 0)</f>
        <v/>
      </c>
      <c r="P254" s="44" t="inlineStr">
        <is>
          <t>Band n50 (1.5 GHz, 60 MHz)</t>
        </is>
      </c>
      <c r="Q254" s="38">
        <f>ROUNDUP(O254/'Methodology &amp; Assumptions'!$B$9, 0)</f>
        <v/>
      </c>
      <c r="R254" s="39" t="n">
        <v>1</v>
      </c>
      <c r="S254" s="25" t="n">
        <v>2.11</v>
      </c>
      <c r="T254" s="25" t="n">
        <v>1.13</v>
      </c>
      <c r="U254" s="42" t="inlineStr">
        <is>
          <t>Tier 1B (Micro Drop, 1-3 km)</t>
        </is>
      </c>
      <c r="V254" s="24" t="n">
        <v>59.5</v>
      </c>
      <c r="W254" s="24" t="n">
        <v>100</v>
      </c>
      <c r="X254" s="24" t="n">
        <v>58</v>
      </c>
      <c r="Y254" s="45">
        <f>ROUND((V254*'Methodology &amp; Assumptions'!$B$6)+(W254*'Methodology &amp; Assumptions'!$B$5)+(X254*'Methodology &amp; Assumptions'!$B$7), 2)</f>
        <v/>
      </c>
    </row>
    <row r="255" ht="19" customHeight="1">
      <c r="A255" s="35" t="n">
        <v>251</v>
      </c>
      <c r="B255" s="35" t="n">
        <v>1251</v>
      </c>
      <c r="C255" s="36" t="inlineStr">
        <is>
          <t>0307103007</t>
        </is>
      </c>
      <c r="D255" s="36" t="inlineStr">
        <is>
          <t>Region III (Central Luzon)</t>
        </is>
      </c>
      <c r="E255" s="36" t="inlineStr">
        <is>
          <t>Zambales</t>
        </is>
      </c>
      <c r="F255" s="36" t="inlineStr">
        <is>
          <t>Candelaria</t>
        </is>
      </c>
      <c r="G255" s="36" t="inlineStr">
        <is>
          <t>Malabon</t>
        </is>
      </c>
      <c r="H255" s="37" t="n">
        <v>15.63594</v>
      </c>
      <c r="I255" s="37" t="n">
        <v>119.934869</v>
      </c>
      <c r="J255" s="8" t="inlineStr">
        <is>
          <t>R</t>
        </is>
      </c>
      <c r="K255" s="36" t="inlineStr">
        <is>
          <t>Class 1-3 / Urban</t>
        </is>
      </c>
      <c r="L255" s="18" t="n">
        <v>3175</v>
      </c>
      <c r="M255" s="20" t="n">
        <v>4.05</v>
      </c>
      <c r="N255" s="18">
        <f>ROUND(L255/M255, 0)</f>
        <v/>
      </c>
      <c r="O255" s="18">
        <f>ROUND(N255*'Methodology &amp; Assumptions'!$B$8, 0)</f>
        <v/>
      </c>
      <c r="P255" s="8" t="inlineStr">
        <is>
          <t>Band n50 (1.5 GHz, 60 MHz)</t>
        </is>
      </c>
      <c r="Q255" s="38">
        <f>ROUNDUP(O255/'Methodology &amp; Assumptions'!$B$9, 0)</f>
        <v/>
      </c>
      <c r="R255" s="39" t="n">
        <v>1</v>
      </c>
      <c r="S255" s="21" t="n">
        <v>1.39</v>
      </c>
      <c r="T255" s="21" t="n">
        <v>0.08</v>
      </c>
      <c r="U255" s="36" t="inlineStr">
        <is>
          <t>Tier 1B (Micro Drop, 1-3 km)</t>
        </is>
      </c>
      <c r="V255" s="20" t="n">
        <v>72.8</v>
      </c>
      <c r="W255" s="20" t="n">
        <v>86.7</v>
      </c>
      <c r="X255" s="20" t="n">
        <v>58</v>
      </c>
      <c r="Y255" s="40">
        <f>ROUND((V255*'Methodology &amp; Assumptions'!$B$6)+(W255*'Methodology &amp; Assumptions'!$B$5)+(X255*'Methodology &amp; Assumptions'!$B$7), 2)</f>
        <v/>
      </c>
    </row>
    <row r="256" ht="19" customHeight="1">
      <c r="A256" s="41" t="n">
        <v>252</v>
      </c>
      <c r="B256" s="41" t="n">
        <v>1252</v>
      </c>
      <c r="C256" s="42" t="inlineStr">
        <is>
          <t>0730600042</t>
        </is>
      </c>
      <c r="D256" s="42" t="inlineStr">
        <is>
          <t>Region VII (Central Visayas)</t>
        </is>
      </c>
      <c r="E256" s="42" t="inlineStr">
        <is>
          <t>Cebu</t>
        </is>
      </c>
      <c r="F256" s="42" t="inlineStr">
        <is>
          <t>City of Cebu</t>
        </is>
      </c>
      <c r="G256" s="42" t="inlineStr">
        <is>
          <t>Lorega</t>
        </is>
      </c>
      <c r="H256" s="43" t="n">
        <v>10.306683</v>
      </c>
      <c r="I256" s="43" t="n">
        <v>123.903961</v>
      </c>
      <c r="J256" s="44" t="inlineStr">
        <is>
          <t>U</t>
        </is>
      </c>
      <c r="K256" s="42" t="inlineStr">
        <is>
          <t>Class 1-3 / Urban</t>
        </is>
      </c>
      <c r="L256" s="23" t="n">
        <v>12273</v>
      </c>
      <c r="M256" s="24" t="n">
        <v>4.42</v>
      </c>
      <c r="N256" s="23">
        <f>ROUND(L256/M256, 0)</f>
        <v/>
      </c>
      <c r="O256" s="23">
        <f>ROUND(N256*'Methodology &amp; Assumptions'!$B$8, 0)</f>
        <v/>
      </c>
      <c r="P256" s="44" t="inlineStr">
        <is>
          <t>Band n50 (1.5 GHz, 60 MHz)</t>
        </is>
      </c>
      <c r="Q256" s="38">
        <f>ROUNDUP(O256/'Methodology &amp; Assumptions'!$B$9, 0)</f>
        <v/>
      </c>
      <c r="R256" s="39" t="n">
        <v>1</v>
      </c>
      <c r="S256" s="25" t="n">
        <v>0.85</v>
      </c>
      <c r="T256" s="25" t="n">
        <v>0.21</v>
      </c>
      <c r="U256" s="42" t="inlineStr">
        <is>
          <t>Tier 1A (Direct Coloc, &lt;1 km)</t>
        </is>
      </c>
      <c r="V256" s="24" t="n">
        <v>85.2</v>
      </c>
      <c r="W256" s="24" t="n">
        <v>100</v>
      </c>
      <c r="X256" s="24" t="n">
        <v>28</v>
      </c>
      <c r="Y256" s="45">
        <f>ROUND((V256*'Methodology &amp; Assumptions'!$B$6)+(W256*'Methodology &amp; Assumptions'!$B$5)+(X256*'Methodology &amp; Assumptions'!$B$7), 2)</f>
        <v/>
      </c>
    </row>
    <row r="257" ht="19" customHeight="1">
      <c r="A257" s="35" t="n">
        <v>253</v>
      </c>
      <c r="B257" s="35" t="n">
        <v>1253</v>
      </c>
      <c r="C257" s="36" t="inlineStr">
        <is>
          <t>0307109005</t>
        </is>
      </c>
      <c r="D257" s="36" t="inlineStr">
        <is>
          <t>Region III (Central Luzon)</t>
        </is>
      </c>
      <c r="E257" s="36" t="inlineStr">
        <is>
          <t>Zambales</t>
        </is>
      </c>
      <c r="F257" s="36" t="inlineStr">
        <is>
          <t>San Antonio</t>
        </is>
      </c>
      <c r="G257" s="36" t="inlineStr">
        <is>
          <t>East Dirita</t>
        </is>
      </c>
      <c r="H257" s="37" t="n">
        <v>14.969225</v>
      </c>
      <c r="I257" s="37" t="n">
        <v>120.089316</v>
      </c>
      <c r="J257" s="8" t="inlineStr">
        <is>
          <t>R</t>
        </is>
      </c>
      <c r="K257" s="36" t="inlineStr">
        <is>
          <t>Class 1-3 / Urban</t>
        </is>
      </c>
      <c r="L257" s="18" t="n">
        <v>3852</v>
      </c>
      <c r="M257" s="20" t="n">
        <v>4.05</v>
      </c>
      <c r="N257" s="18">
        <f>ROUND(L257/M257, 0)</f>
        <v/>
      </c>
      <c r="O257" s="18">
        <f>ROUND(N257*'Methodology &amp; Assumptions'!$B$8, 0)</f>
        <v/>
      </c>
      <c r="P257" s="8" t="inlineStr">
        <is>
          <t>Band n50 (1.5 GHz, 60 MHz)</t>
        </is>
      </c>
      <c r="Q257" s="38">
        <f>ROUNDUP(O257/'Methodology &amp; Assumptions'!$B$9, 0)</f>
        <v/>
      </c>
      <c r="R257" s="39" t="n">
        <v>1</v>
      </c>
      <c r="S257" s="21" t="n">
        <v>2.11</v>
      </c>
      <c r="T257" s="21" t="n">
        <v>0.42</v>
      </c>
      <c r="U257" s="36" t="inlineStr">
        <is>
          <t>Tier 1B (Micro Drop, 1-3 km)</t>
        </is>
      </c>
      <c r="V257" s="20" t="n">
        <v>59.5</v>
      </c>
      <c r="W257" s="20" t="n">
        <v>100</v>
      </c>
      <c r="X257" s="20" t="n">
        <v>58</v>
      </c>
      <c r="Y257" s="40">
        <f>ROUND((V257*'Methodology &amp; Assumptions'!$B$6)+(W257*'Methodology &amp; Assumptions'!$B$5)+(X257*'Methodology &amp; Assumptions'!$B$7), 2)</f>
        <v/>
      </c>
    </row>
    <row r="258" ht="19" customHeight="1">
      <c r="A258" s="41" t="n">
        <v>254</v>
      </c>
      <c r="B258" s="41" t="n">
        <v>1254</v>
      </c>
      <c r="C258" s="42" t="inlineStr">
        <is>
          <t>0301407028</t>
        </is>
      </c>
      <c r="D258" s="42" t="inlineStr">
        <is>
          <t>Region III (Central Luzon)</t>
        </is>
      </c>
      <c r="E258" s="42" t="inlineStr">
        <is>
          <t>Bulacan</t>
        </is>
      </c>
      <c r="F258" s="42" t="inlineStr">
        <is>
          <t>Calumpit</t>
        </is>
      </c>
      <c r="G258" s="42" t="inlineStr">
        <is>
          <t>Sapang Bayan</t>
        </is>
      </c>
      <c r="H258" s="43" t="n">
        <v>14.918152</v>
      </c>
      <c r="I258" s="43" t="n">
        <v>120.769939</v>
      </c>
      <c r="J258" s="44" t="inlineStr">
        <is>
          <t>R</t>
        </is>
      </c>
      <c r="K258" s="42" t="inlineStr">
        <is>
          <t>Class 1-3 / Urban</t>
        </is>
      </c>
      <c r="L258" s="23" t="n">
        <v>3140</v>
      </c>
      <c r="M258" s="24" t="n">
        <v>4.1</v>
      </c>
      <c r="N258" s="23">
        <f>ROUND(L258/M258, 0)</f>
        <v/>
      </c>
      <c r="O258" s="23">
        <f>ROUND(N258*'Methodology &amp; Assumptions'!$B$8, 0)</f>
        <v/>
      </c>
      <c r="P258" s="44" t="inlineStr">
        <is>
          <t>Band n50 (1.5 GHz, 60 MHz)</t>
        </is>
      </c>
      <c r="Q258" s="38">
        <f>ROUNDUP(O258/'Methodology &amp; Assumptions'!$B$9, 0)</f>
        <v/>
      </c>
      <c r="R258" s="39" t="n">
        <v>1</v>
      </c>
      <c r="S258" s="25" t="n">
        <v>1.33</v>
      </c>
      <c r="T258" s="25" t="n">
        <v>0.43</v>
      </c>
      <c r="U258" s="42" t="inlineStr">
        <is>
          <t>Tier 1B (Micro Drop, 1-3 km)</t>
        </is>
      </c>
      <c r="V258" s="24" t="n">
        <v>74.09999999999999</v>
      </c>
      <c r="W258" s="24" t="n">
        <v>85.3</v>
      </c>
      <c r="X258" s="24" t="n">
        <v>58</v>
      </c>
      <c r="Y258" s="45">
        <f>ROUND((V258*'Methodology &amp; Assumptions'!$B$6)+(W258*'Methodology &amp; Assumptions'!$B$5)+(X258*'Methodology &amp; Assumptions'!$B$7), 2)</f>
        <v/>
      </c>
    </row>
    <row r="259" ht="19" customHeight="1">
      <c r="A259" s="35" t="n">
        <v>255</v>
      </c>
      <c r="B259" s="35" t="n">
        <v>1255</v>
      </c>
      <c r="C259" s="36" t="inlineStr">
        <is>
          <t>0105503019</t>
        </is>
      </c>
      <c r="D259" s="36" t="inlineStr">
        <is>
          <t>Region I (Ilocos Region)</t>
        </is>
      </c>
      <c r="E259" s="36" t="inlineStr">
        <is>
          <t>Pangasinan</t>
        </is>
      </c>
      <c r="F259" s="36" t="inlineStr">
        <is>
          <t>City of Alaminos</t>
        </is>
      </c>
      <c r="G259" s="36" t="inlineStr">
        <is>
          <t>Palamis</t>
        </is>
      </c>
      <c r="H259" s="37" t="n">
        <v>16.147594</v>
      </c>
      <c r="I259" s="37" t="n">
        <v>119.977481</v>
      </c>
      <c r="J259" s="8" t="inlineStr">
        <is>
          <t>U</t>
        </is>
      </c>
      <c r="K259" s="36" t="inlineStr">
        <is>
          <t>Class 1-3 / Urban</t>
        </is>
      </c>
      <c r="L259" s="18" t="n">
        <v>4707</v>
      </c>
      <c r="M259" s="20" t="n">
        <v>4.39</v>
      </c>
      <c r="N259" s="18">
        <f>ROUND(L259/M259, 0)</f>
        <v/>
      </c>
      <c r="O259" s="18">
        <f>ROUND(N259*'Methodology &amp; Assumptions'!$B$8, 0)</f>
        <v/>
      </c>
      <c r="P259" s="8" t="inlineStr">
        <is>
          <t>Band n50 (1.5 GHz, 60 MHz)</t>
        </is>
      </c>
      <c r="Q259" s="38">
        <f>ROUNDUP(O259/'Methodology &amp; Assumptions'!$B$9, 0)</f>
        <v/>
      </c>
      <c r="R259" s="39" t="n">
        <v>1</v>
      </c>
      <c r="S259" s="21" t="n">
        <v>0.86</v>
      </c>
      <c r="T259" s="21" t="n">
        <v>0.23</v>
      </c>
      <c r="U259" s="36" t="inlineStr">
        <is>
          <t>Tier 1A (Direct Coloc, &lt;1 km)</t>
        </is>
      </c>
      <c r="V259" s="20" t="n">
        <v>85.2</v>
      </c>
      <c r="W259" s="20" t="n">
        <v>100</v>
      </c>
      <c r="X259" s="20" t="n">
        <v>28</v>
      </c>
      <c r="Y259" s="40">
        <f>ROUND((V259*'Methodology &amp; Assumptions'!$B$6)+(W259*'Methodology &amp; Assumptions'!$B$5)+(X259*'Methodology &amp; Assumptions'!$B$7), 2)</f>
        <v/>
      </c>
    </row>
    <row r="260" ht="19" customHeight="1">
      <c r="A260" s="41" t="n">
        <v>256</v>
      </c>
      <c r="B260" s="41" t="n">
        <v>1256</v>
      </c>
      <c r="C260" s="42" t="inlineStr">
        <is>
          <t>0301410006</t>
        </is>
      </c>
      <c r="D260" s="42" t="inlineStr">
        <is>
          <t>Region III (Central Luzon)</t>
        </is>
      </c>
      <c r="E260" s="42" t="inlineStr">
        <is>
          <t>Bulacan</t>
        </is>
      </c>
      <c r="F260" s="42" t="inlineStr">
        <is>
          <t>City of Malolos</t>
        </is>
      </c>
      <c r="G260" s="42" t="inlineStr">
        <is>
          <t>Balayong</t>
        </is>
      </c>
      <c r="H260" s="43" t="n">
        <v>14.830591</v>
      </c>
      <c r="I260" s="43" t="n">
        <v>120.828248</v>
      </c>
      <c r="J260" s="44" t="inlineStr">
        <is>
          <t>R</t>
        </is>
      </c>
      <c r="K260" s="42" t="inlineStr">
        <is>
          <t>Class 1-3 / Urban</t>
        </is>
      </c>
      <c r="L260" s="23" t="n">
        <v>3549</v>
      </c>
      <c r="M260" s="24" t="n">
        <v>4.1</v>
      </c>
      <c r="N260" s="23">
        <f>ROUND(L260/M260, 0)</f>
        <v/>
      </c>
      <c r="O260" s="23">
        <f>ROUND(N260*'Methodology &amp; Assumptions'!$B$8, 0)</f>
        <v/>
      </c>
      <c r="P260" s="44" t="inlineStr">
        <is>
          <t>Band n50 (1.5 GHz, 60 MHz)</t>
        </is>
      </c>
      <c r="Q260" s="38">
        <f>ROUNDUP(O260/'Methodology &amp; Assumptions'!$B$9, 0)</f>
        <v/>
      </c>
      <c r="R260" s="39" t="n">
        <v>1</v>
      </c>
      <c r="S260" s="25" t="n">
        <v>1.73</v>
      </c>
      <c r="T260" s="25" t="n">
        <v>1.81</v>
      </c>
      <c r="U260" s="42" t="inlineStr">
        <is>
          <t>Tier 1B (Micro Drop, 1-3 km)</t>
        </is>
      </c>
      <c r="V260" s="24" t="n">
        <v>66.09999999999999</v>
      </c>
      <c r="W260" s="24" t="n">
        <v>93.3</v>
      </c>
      <c r="X260" s="24" t="n">
        <v>58</v>
      </c>
      <c r="Y260" s="45">
        <f>ROUND((V260*'Methodology &amp; Assumptions'!$B$6)+(W260*'Methodology &amp; Assumptions'!$B$5)+(X260*'Methodology &amp; Assumptions'!$B$7), 2)</f>
        <v/>
      </c>
    </row>
    <row r="261" ht="19" customHeight="1">
      <c r="A261" s="35" t="n">
        <v>257</v>
      </c>
      <c r="B261" s="35" t="n">
        <v>1257</v>
      </c>
      <c r="C261" s="36" t="inlineStr">
        <is>
          <t>0304923016</t>
        </is>
      </c>
      <c r="D261" s="36" t="inlineStr">
        <is>
          <t>Region III (Central Luzon)</t>
        </is>
      </c>
      <c r="E261" s="36" t="inlineStr">
        <is>
          <t>Nueva Ecija</t>
        </is>
      </c>
      <c r="F261" s="36" t="inlineStr">
        <is>
          <t>Rizal</t>
        </is>
      </c>
      <c r="G261" s="36" t="inlineStr">
        <is>
          <t>General Luna</t>
        </is>
      </c>
      <c r="H261" s="37" t="n">
        <v>15.585783</v>
      </c>
      <c r="I261" s="37" t="n">
        <v>120.924577</v>
      </c>
      <c r="J261" s="8" t="inlineStr">
        <is>
          <t>R</t>
        </is>
      </c>
      <c r="K261" s="36" t="inlineStr">
        <is>
          <t>Class 1-3 / Urban</t>
        </is>
      </c>
      <c r="L261" s="18" t="n">
        <v>2511</v>
      </c>
      <c r="M261" s="20" t="n">
        <v>4.32</v>
      </c>
      <c r="N261" s="18">
        <f>ROUND(L261/M261, 0)</f>
        <v/>
      </c>
      <c r="O261" s="18">
        <f>ROUND(N261*'Methodology &amp; Assumptions'!$B$8, 0)</f>
        <v/>
      </c>
      <c r="P261" s="8" t="inlineStr">
        <is>
          <t>Band n50 (1.5 GHz, 60 MHz)</t>
        </is>
      </c>
      <c r="Q261" s="38">
        <f>ROUNDUP(O261/'Methodology &amp; Assumptions'!$B$9, 0)</f>
        <v/>
      </c>
      <c r="R261" s="39" t="n">
        <v>1</v>
      </c>
      <c r="S261" s="21" t="n">
        <v>0.71</v>
      </c>
      <c r="T261" s="21" t="n">
        <v>0.52</v>
      </c>
      <c r="U261" s="36" t="inlineStr">
        <is>
          <t>Tier 1A (Direct Coloc, &lt;1 km)</t>
        </is>
      </c>
      <c r="V261" s="20" t="n">
        <v>89</v>
      </c>
      <c r="W261" s="20" t="n">
        <v>70.40000000000001</v>
      </c>
      <c r="X261" s="20" t="n">
        <v>58</v>
      </c>
      <c r="Y261" s="40">
        <f>ROUND((V261*'Methodology &amp; Assumptions'!$B$6)+(W261*'Methodology &amp; Assumptions'!$B$5)+(X261*'Methodology &amp; Assumptions'!$B$7), 2)</f>
        <v/>
      </c>
    </row>
    <row r="262" ht="19" customHeight="1">
      <c r="A262" s="41" t="n">
        <v>258</v>
      </c>
      <c r="B262" s="41" t="n">
        <v>1258</v>
      </c>
      <c r="C262" s="42" t="inlineStr">
        <is>
          <t>0803703002</t>
        </is>
      </c>
      <c r="D262" s="42" t="inlineStr">
        <is>
          <t>Region VIII (Eastern Visayas)</t>
        </is>
      </c>
      <c r="E262" s="42" t="inlineStr">
        <is>
          <t>Leyte</t>
        </is>
      </c>
      <c r="F262" s="42" t="inlineStr">
        <is>
          <t>Albuera</t>
        </is>
      </c>
      <c r="G262" s="42" t="inlineStr">
        <is>
          <t>Balugo</t>
        </is>
      </c>
      <c r="H262" s="43" t="n">
        <v>10.887963</v>
      </c>
      <c r="I262" s="43" t="n">
        <v>124.710315</v>
      </c>
      <c r="J262" s="44" t="inlineStr">
        <is>
          <t>U</t>
        </is>
      </c>
      <c r="K262" s="42" t="inlineStr">
        <is>
          <t>Class 1-3 / Urban</t>
        </is>
      </c>
      <c r="L262" s="23" t="n">
        <v>5096</v>
      </c>
      <c r="M262" s="24" t="n">
        <v>4.24</v>
      </c>
      <c r="N262" s="23">
        <f>ROUND(L262/M262, 0)</f>
        <v/>
      </c>
      <c r="O262" s="23">
        <f>ROUND(N262*'Methodology &amp; Assumptions'!$B$8, 0)</f>
        <v/>
      </c>
      <c r="P262" s="44" t="inlineStr">
        <is>
          <t>Band n50 (1.5 GHz, 60 MHz)</t>
        </is>
      </c>
      <c r="Q262" s="38">
        <f>ROUNDUP(O262/'Methodology &amp; Assumptions'!$B$9, 0)</f>
        <v/>
      </c>
      <c r="R262" s="39" t="n">
        <v>1</v>
      </c>
      <c r="S262" s="25" t="n">
        <v>0.86</v>
      </c>
      <c r="T262" s="25" t="n">
        <v>0.23</v>
      </c>
      <c r="U262" s="42" t="inlineStr">
        <is>
          <t>Tier 1A (Direct Coloc, &lt;1 km)</t>
        </is>
      </c>
      <c r="V262" s="24" t="n">
        <v>85.2</v>
      </c>
      <c r="W262" s="24" t="n">
        <v>100</v>
      </c>
      <c r="X262" s="24" t="n">
        <v>28</v>
      </c>
      <c r="Y262" s="45">
        <f>ROUND((V262*'Methodology &amp; Assumptions'!$B$6)+(W262*'Methodology &amp; Assumptions'!$B$5)+(X262*'Methodology &amp; Assumptions'!$B$7), 2)</f>
        <v/>
      </c>
    </row>
    <row r="263" ht="19" customHeight="1">
      <c r="A263" s="35" t="n">
        <v>259</v>
      </c>
      <c r="B263" s="35" t="n">
        <v>1259</v>
      </c>
      <c r="C263" s="36" t="inlineStr">
        <is>
          <t>0401009014</t>
        </is>
      </c>
      <c r="D263" s="36" t="inlineStr">
        <is>
          <t>Region IV-A (CALABARZON)</t>
        </is>
      </c>
      <c r="E263" s="36" t="inlineStr">
        <is>
          <t>Batangas</t>
        </is>
      </c>
      <c r="F263" s="36" t="inlineStr">
        <is>
          <t>Cuenca</t>
        </is>
      </c>
      <c r="G263" s="36" t="inlineStr">
        <is>
          <t>San Isidro</t>
        </is>
      </c>
      <c r="H263" s="37" t="n">
        <v>13.904116</v>
      </c>
      <c r="I263" s="37" t="n">
        <v>121.05071</v>
      </c>
      <c r="J263" s="8" t="inlineStr">
        <is>
          <t>R</t>
        </is>
      </c>
      <c r="K263" s="36" t="inlineStr">
        <is>
          <t>2nd</t>
        </is>
      </c>
      <c r="L263" s="18" t="n">
        <v>2565</v>
      </c>
      <c r="M263" s="20" t="n">
        <v>4.54</v>
      </c>
      <c r="N263" s="18">
        <f>ROUND(L263/M263, 0)</f>
        <v/>
      </c>
      <c r="O263" s="18">
        <f>ROUND(N263*'Methodology &amp; Assumptions'!$B$8, 0)</f>
        <v/>
      </c>
      <c r="P263" s="8" t="inlineStr">
        <is>
          <t>Band n50 (1.5 GHz, 60 MHz)</t>
        </is>
      </c>
      <c r="Q263" s="38">
        <f>ROUNDUP(O263/'Methodology &amp; Assumptions'!$B$9, 0)</f>
        <v/>
      </c>
      <c r="R263" s="39" t="n">
        <v>1</v>
      </c>
      <c r="S263" s="21" t="n">
        <v>0.67</v>
      </c>
      <c r="T263" s="21" t="n">
        <v>0.67</v>
      </c>
      <c r="U263" s="36" t="inlineStr">
        <is>
          <t>Tier 1A (Direct Coloc, &lt;1 km)</t>
        </is>
      </c>
      <c r="V263" s="20" t="n">
        <v>90.09999999999999</v>
      </c>
      <c r="W263" s="20" t="n">
        <v>69.3</v>
      </c>
      <c r="X263" s="20" t="n">
        <v>58</v>
      </c>
      <c r="Y263" s="40">
        <f>ROUND((V263*'Methodology &amp; Assumptions'!$B$6)+(W263*'Methodology &amp; Assumptions'!$B$5)+(X263*'Methodology &amp; Assumptions'!$B$7), 2)</f>
        <v/>
      </c>
    </row>
    <row r="264" ht="19" customHeight="1">
      <c r="A264" s="41" t="n">
        <v>260</v>
      </c>
      <c r="B264" s="41" t="n">
        <v>1260</v>
      </c>
      <c r="C264" s="42" t="inlineStr">
        <is>
          <t>0702221016</t>
        </is>
      </c>
      <c r="D264" s="42" t="inlineStr">
        <is>
          <t>Region VII (Central Visayas)</t>
        </is>
      </c>
      <c r="E264" s="42" t="inlineStr">
        <is>
          <t>Cebu</t>
        </is>
      </c>
      <c r="F264" s="42" t="inlineStr">
        <is>
          <t>Daanbantayan</t>
        </is>
      </c>
      <c r="G264" s="42" t="inlineStr">
        <is>
          <t>Poblacion</t>
        </is>
      </c>
      <c r="H264" s="43" t="n">
        <v>11.254829</v>
      </c>
      <c r="I264" s="43" t="n">
        <v>124.00141</v>
      </c>
      <c r="J264" s="44" t="inlineStr">
        <is>
          <t>U</t>
        </is>
      </c>
      <c r="K264" s="42" t="inlineStr">
        <is>
          <t>Class 1-3 / Urban</t>
        </is>
      </c>
      <c r="L264" s="23" t="n">
        <v>8402</v>
      </c>
      <c r="M264" s="24" t="n">
        <v>4.42</v>
      </c>
      <c r="N264" s="23">
        <f>ROUND(L264/M264, 0)</f>
        <v/>
      </c>
      <c r="O264" s="23">
        <f>ROUND(N264*'Methodology &amp; Assumptions'!$B$8, 0)</f>
        <v/>
      </c>
      <c r="P264" s="44" t="inlineStr">
        <is>
          <t>Band n50 (1.5 GHz, 60 MHz)</t>
        </is>
      </c>
      <c r="Q264" s="38">
        <f>ROUNDUP(O264/'Methodology &amp; Assumptions'!$B$9, 0)</f>
        <v/>
      </c>
      <c r="R264" s="39" t="n">
        <v>1</v>
      </c>
      <c r="S264" s="25" t="n">
        <v>0.86</v>
      </c>
      <c r="T264" s="25" t="n">
        <v>0.5600000000000001</v>
      </c>
      <c r="U264" s="42" t="inlineStr">
        <is>
          <t>Tier 1A (Direct Coloc, &lt;1 km)</t>
        </is>
      </c>
      <c r="V264" s="24" t="n">
        <v>85.09999999999999</v>
      </c>
      <c r="W264" s="24" t="n">
        <v>100</v>
      </c>
      <c r="X264" s="24" t="n">
        <v>28</v>
      </c>
      <c r="Y264" s="45">
        <f>ROUND((V264*'Methodology &amp; Assumptions'!$B$6)+(W264*'Methodology &amp; Assumptions'!$B$5)+(X264*'Methodology &amp; Assumptions'!$B$7), 2)</f>
        <v/>
      </c>
    </row>
    <row r="265" ht="19" customHeight="1">
      <c r="A265" s="35" t="n">
        <v>261</v>
      </c>
      <c r="B265" s="35" t="n">
        <v>1261</v>
      </c>
      <c r="C265" s="36" t="inlineStr">
        <is>
          <t>0501716010</t>
        </is>
      </c>
      <c r="D265" s="36" t="inlineStr">
        <is>
          <t>Region V (Bicol Region)</t>
        </is>
      </c>
      <c r="E265" s="36" t="inlineStr">
        <is>
          <t>Camarines Sur</t>
        </is>
      </c>
      <c r="F265" s="36" t="inlineStr">
        <is>
          <t>City of Iriga</t>
        </is>
      </c>
      <c r="G265" s="36" t="inlineStr">
        <is>
          <t>Perpetual Help</t>
        </is>
      </c>
      <c r="H265" s="37" t="n">
        <v>13.468725</v>
      </c>
      <c r="I265" s="37" t="n">
        <v>123.41407</v>
      </c>
      <c r="J265" s="8" t="inlineStr">
        <is>
          <t>R</t>
        </is>
      </c>
      <c r="K265" s="36" t="inlineStr">
        <is>
          <t>Class 1-3 / Urban</t>
        </is>
      </c>
      <c r="L265" s="18" t="n">
        <v>4390</v>
      </c>
      <c r="M265" s="20" t="n">
        <v>4.9</v>
      </c>
      <c r="N265" s="18">
        <f>ROUND(L265/M265, 0)</f>
        <v/>
      </c>
      <c r="O265" s="18">
        <f>ROUND(N265*'Methodology &amp; Assumptions'!$B$8, 0)</f>
        <v/>
      </c>
      <c r="P265" s="8" t="inlineStr">
        <is>
          <t>Band n50 (1.5 GHz, 60 MHz)</t>
        </is>
      </c>
      <c r="Q265" s="38">
        <f>ROUNDUP(O265/'Methodology &amp; Assumptions'!$B$9, 0)</f>
        <v/>
      </c>
      <c r="R265" s="39" t="n">
        <v>1</v>
      </c>
      <c r="S265" s="21" t="n">
        <v>1.36</v>
      </c>
      <c r="T265" s="21" t="n">
        <v>3.21</v>
      </c>
      <c r="U265" s="36" t="inlineStr">
        <is>
          <t>Tier 1B (Micro Drop, 1-3 km)</t>
        </is>
      </c>
      <c r="V265" s="20" t="n">
        <v>63.6</v>
      </c>
      <c r="W265" s="20" t="n">
        <v>95.7</v>
      </c>
      <c r="X265" s="20" t="n">
        <v>58</v>
      </c>
      <c r="Y265" s="40">
        <f>ROUND((V265*'Methodology &amp; Assumptions'!$B$6)+(W265*'Methodology &amp; Assumptions'!$B$5)+(X265*'Methodology &amp; Assumptions'!$B$7), 2)</f>
        <v/>
      </c>
    </row>
    <row r="266" ht="19" customHeight="1">
      <c r="A266" s="41" t="n">
        <v>262</v>
      </c>
      <c r="B266" s="41" t="n">
        <v>1262</v>
      </c>
      <c r="C266" s="42" t="inlineStr">
        <is>
          <t>1130700142</t>
        </is>
      </c>
      <c r="D266" s="42" t="inlineStr">
        <is>
          <t>Region XI (Davao Region)</t>
        </is>
      </c>
      <c r="E266" s="42" t="inlineStr">
        <is>
          <t>Davao del Sur</t>
        </is>
      </c>
      <c r="F266" s="42" t="inlineStr">
        <is>
          <t>City of Davao</t>
        </is>
      </c>
      <c r="G266" s="42" t="inlineStr">
        <is>
          <t>Barangay 9-A</t>
        </is>
      </c>
      <c r="H266" s="43" t="n">
        <v>7.07348</v>
      </c>
      <c r="I266" s="43" t="n">
        <v>125.607005</v>
      </c>
      <c r="J266" s="44" t="inlineStr">
        <is>
          <t>U</t>
        </is>
      </c>
      <c r="K266" s="42" t="inlineStr">
        <is>
          <t>Class 1-3 / Urban</t>
        </is>
      </c>
      <c r="L266" s="23" t="n">
        <v>6807</v>
      </c>
      <c r="M266" s="24" t="n">
        <v>4.1</v>
      </c>
      <c r="N266" s="23">
        <f>ROUND(L266/M266, 0)</f>
        <v/>
      </c>
      <c r="O266" s="23">
        <f>ROUND(N266*'Methodology &amp; Assumptions'!$B$8, 0)</f>
        <v/>
      </c>
      <c r="P266" s="44" t="inlineStr">
        <is>
          <t>Band n50 (1.5 GHz, 60 MHz)</t>
        </is>
      </c>
      <c r="Q266" s="38">
        <f>ROUNDUP(O266/'Methodology &amp; Assumptions'!$B$9, 0)</f>
        <v/>
      </c>
      <c r="R266" s="39" t="n">
        <v>1</v>
      </c>
      <c r="S266" s="25" t="n">
        <v>0.86</v>
      </c>
      <c r="T266" s="25" t="n">
        <v>0.14</v>
      </c>
      <c r="U266" s="42" t="inlineStr">
        <is>
          <t>Tier 1A (Direct Coloc, &lt;1 km)</t>
        </is>
      </c>
      <c r="V266" s="24" t="n">
        <v>85.09999999999999</v>
      </c>
      <c r="W266" s="24" t="n">
        <v>100</v>
      </c>
      <c r="X266" s="24" t="n">
        <v>28</v>
      </c>
      <c r="Y266" s="45">
        <f>ROUND((V266*'Methodology &amp; Assumptions'!$B$6)+(W266*'Methodology &amp; Assumptions'!$B$5)+(X266*'Methodology &amp; Assumptions'!$B$7), 2)</f>
        <v/>
      </c>
    </row>
    <row r="267" ht="19" customHeight="1">
      <c r="A267" s="35" t="n">
        <v>263</v>
      </c>
      <c r="B267" s="35" t="n">
        <v>1263</v>
      </c>
      <c r="C267" s="36" t="inlineStr">
        <is>
          <t>0300806014</t>
        </is>
      </c>
      <c r="D267" s="36" t="inlineStr">
        <is>
          <t>Region III (Central Luzon)</t>
        </is>
      </c>
      <c r="E267" s="36" t="inlineStr">
        <is>
          <t>Bataan</t>
        </is>
      </c>
      <c r="F267" s="36" t="inlineStr">
        <is>
          <t>Limay</t>
        </is>
      </c>
      <c r="G267" s="36" t="inlineStr">
        <is>
          <t>San Francisco de Asis</t>
        </is>
      </c>
      <c r="H267" s="37" t="n">
        <v>14.568498</v>
      </c>
      <c r="I267" s="37" t="n">
        <v>120.595701</v>
      </c>
      <c r="J267" s="8" t="inlineStr">
        <is>
          <t>U</t>
        </is>
      </c>
      <c r="K267" s="36" t="inlineStr">
        <is>
          <t>Class 1-3 / Urban</t>
        </is>
      </c>
      <c r="L267" s="18" t="n">
        <v>6290</v>
      </c>
      <c r="M267" s="20" t="n">
        <v>4.57</v>
      </c>
      <c r="N267" s="18">
        <f>ROUND(L267/M267, 0)</f>
        <v/>
      </c>
      <c r="O267" s="18">
        <f>ROUND(N267*'Methodology &amp; Assumptions'!$B$8, 0)</f>
        <v/>
      </c>
      <c r="P267" s="8" t="inlineStr">
        <is>
          <t>Band n50 (1.5 GHz, 60 MHz)</t>
        </is>
      </c>
      <c r="Q267" s="38">
        <f>ROUNDUP(O267/'Methodology &amp; Assumptions'!$B$9, 0)</f>
        <v/>
      </c>
      <c r="R267" s="39" t="n">
        <v>1</v>
      </c>
      <c r="S267" s="21" t="n">
        <v>0.86</v>
      </c>
      <c r="T267" s="21" t="n">
        <v>0.17</v>
      </c>
      <c r="U267" s="36" t="inlineStr">
        <is>
          <t>Tier 1A (Direct Coloc, &lt;1 km)</t>
        </is>
      </c>
      <c r="V267" s="20" t="n">
        <v>85.09999999999999</v>
      </c>
      <c r="W267" s="20" t="n">
        <v>100</v>
      </c>
      <c r="X267" s="20" t="n">
        <v>28</v>
      </c>
      <c r="Y267" s="40">
        <f>ROUND((V267*'Methodology &amp; Assumptions'!$B$6)+(W267*'Methodology &amp; Assumptions'!$B$5)+(X267*'Methodology &amp; Assumptions'!$B$7), 2)</f>
        <v/>
      </c>
    </row>
    <row r="268" ht="19" customHeight="1">
      <c r="A268" s="41" t="n">
        <v>264</v>
      </c>
      <c r="B268" s="41" t="n">
        <v>1264</v>
      </c>
      <c r="C268" s="42" t="inlineStr">
        <is>
          <t>0305419010</t>
        </is>
      </c>
      <c r="D268" s="42" t="inlineStr">
        <is>
          <t>Region III (Central Luzon)</t>
        </is>
      </c>
      <c r="E268" s="42" t="inlineStr">
        <is>
          <t>Pampanga</t>
        </is>
      </c>
      <c r="F268" s="42" t="inlineStr">
        <is>
          <t>Santa Ana</t>
        </is>
      </c>
      <c r="G268" s="42" t="inlineStr">
        <is>
          <t>San Roque</t>
        </is>
      </c>
      <c r="H268" s="43" t="n">
        <v>15.070857</v>
      </c>
      <c r="I268" s="43" t="n">
        <v>120.756835</v>
      </c>
      <c r="J268" s="44" t="inlineStr">
        <is>
          <t>R</t>
        </is>
      </c>
      <c r="K268" s="42" t="inlineStr">
        <is>
          <t>Class 1-3 / Urban</t>
        </is>
      </c>
      <c r="L268" s="23" t="n">
        <v>4065</v>
      </c>
      <c r="M268" s="24" t="n">
        <v>4.63</v>
      </c>
      <c r="N268" s="23">
        <f>ROUND(L268/M268, 0)</f>
        <v/>
      </c>
      <c r="O268" s="23">
        <f>ROUND(N268*'Methodology &amp; Assumptions'!$B$8, 0)</f>
        <v/>
      </c>
      <c r="P268" s="44" t="inlineStr">
        <is>
          <t>Band n50 (1.5 GHz, 60 MHz)</t>
        </is>
      </c>
      <c r="Q268" s="38">
        <f>ROUNDUP(O268/'Methodology &amp; Assumptions'!$B$9, 0)</f>
        <v/>
      </c>
      <c r="R268" s="39" t="n">
        <v>1</v>
      </c>
      <c r="S268" s="25" t="n">
        <v>2.58</v>
      </c>
      <c r="T268" s="25" t="n">
        <v>0.19</v>
      </c>
      <c r="U268" s="42" t="inlineStr">
        <is>
          <t>Tier 1B (Micro Drop, 1-3 km)</t>
        </is>
      </c>
      <c r="V268" s="24" t="n">
        <v>52.4</v>
      </c>
      <c r="W268" s="24" t="n">
        <v>94.09999999999999</v>
      </c>
      <c r="X268" s="24" t="n">
        <v>73</v>
      </c>
      <c r="Y268" s="45">
        <f>ROUND((V268*'Methodology &amp; Assumptions'!$B$6)+(W268*'Methodology &amp; Assumptions'!$B$5)+(X268*'Methodology &amp; Assumptions'!$B$7), 2)</f>
        <v/>
      </c>
    </row>
    <row r="269" ht="19" customHeight="1">
      <c r="A269" s="35" t="n">
        <v>265</v>
      </c>
      <c r="B269" s="35" t="n">
        <v>1265</v>
      </c>
      <c r="C269" s="36" t="inlineStr">
        <is>
          <t>0702250004</t>
        </is>
      </c>
      <c r="D269" s="36" t="inlineStr">
        <is>
          <t>Region VII (Central Visayas)</t>
        </is>
      </c>
      <c r="E269" s="36" t="inlineStr">
        <is>
          <t>Cebu</t>
        </is>
      </c>
      <c r="F269" s="36" t="inlineStr">
        <is>
          <t>City of Talisay</t>
        </is>
      </c>
      <c r="G269" s="36" t="inlineStr">
        <is>
          <t>Dumlog</t>
        </is>
      </c>
      <c r="H269" s="37" t="n">
        <v>10.240277</v>
      </c>
      <c r="I269" s="37" t="n">
        <v>123.841343</v>
      </c>
      <c r="J269" s="8" t="inlineStr">
        <is>
          <t>U</t>
        </is>
      </c>
      <c r="K269" s="36" t="inlineStr">
        <is>
          <t>Class 1-3 / Urban</t>
        </is>
      </c>
      <c r="L269" s="18" t="n">
        <v>21706</v>
      </c>
      <c r="M269" s="20" t="n">
        <v>4.42</v>
      </c>
      <c r="N269" s="18">
        <f>ROUND(L269/M269, 0)</f>
        <v/>
      </c>
      <c r="O269" s="18">
        <f>ROUND(N269*'Methodology &amp; Assumptions'!$B$8, 0)</f>
        <v/>
      </c>
      <c r="P269" s="8" t="inlineStr">
        <is>
          <t>Band n50 (1.5 GHz, 60 MHz)</t>
        </is>
      </c>
      <c r="Q269" s="38">
        <f>ROUNDUP(O269/'Methodology &amp; Assumptions'!$B$9, 0)</f>
        <v/>
      </c>
      <c r="R269" s="39" t="n">
        <v>1</v>
      </c>
      <c r="S269" s="21" t="n">
        <v>0.86</v>
      </c>
      <c r="T269" s="21" t="n">
        <v>0.72</v>
      </c>
      <c r="U269" s="36" t="inlineStr">
        <is>
          <t>Tier 1A (Direct Coloc, &lt;1 km)</t>
        </is>
      </c>
      <c r="V269" s="20" t="n">
        <v>85</v>
      </c>
      <c r="W269" s="20" t="n">
        <v>100</v>
      </c>
      <c r="X269" s="20" t="n">
        <v>28</v>
      </c>
      <c r="Y269" s="40">
        <f>ROUND((V269*'Methodology &amp; Assumptions'!$B$6)+(W269*'Methodology &amp; Assumptions'!$B$5)+(X269*'Methodology &amp; Assumptions'!$B$7), 2)</f>
        <v/>
      </c>
    </row>
    <row r="270" ht="19" customHeight="1">
      <c r="A270" s="41" t="n">
        <v>266</v>
      </c>
      <c r="B270" s="41" t="n">
        <v>1266</v>
      </c>
      <c r="C270" s="42" t="inlineStr">
        <is>
          <t>0604530016</t>
        </is>
      </c>
      <c r="D270" s="42" t="inlineStr">
        <is>
          <t>Region VI (Western Visayas)</t>
        </is>
      </c>
      <c r="E270" s="42" t="inlineStr">
        <is>
          <t>Negros Occidental</t>
        </is>
      </c>
      <c r="F270" s="42" t="inlineStr">
        <is>
          <t>Valladolid</t>
        </is>
      </c>
      <c r="G270" s="42" t="inlineStr">
        <is>
          <t>Sagua Banua</t>
        </is>
      </c>
      <c r="H270" s="43" t="n">
        <v>10.453168</v>
      </c>
      <c r="I270" s="43" t="n">
        <v>122.825028</v>
      </c>
      <c r="J270" s="44" t="inlineStr">
        <is>
          <t>R</t>
        </is>
      </c>
      <c r="K270" s="42" t="inlineStr">
        <is>
          <t>2nd</t>
        </is>
      </c>
      <c r="L270" s="23" t="n">
        <v>3378</v>
      </c>
      <c r="M270" s="24" t="n">
        <v>4.26</v>
      </c>
      <c r="N270" s="23">
        <f>ROUND(L270/M270, 0)</f>
        <v/>
      </c>
      <c r="O270" s="23">
        <f>ROUND(N270*'Methodology &amp; Assumptions'!$B$8, 0)</f>
        <v/>
      </c>
      <c r="P270" s="44" t="inlineStr">
        <is>
          <t>Band n50 (1.5 GHz, 60 MHz)</t>
        </is>
      </c>
      <c r="Q270" s="38">
        <f>ROUNDUP(O270/'Methodology &amp; Assumptions'!$B$9, 0)</f>
        <v/>
      </c>
      <c r="R270" s="39" t="n">
        <v>1</v>
      </c>
      <c r="S270" s="25" t="n">
        <v>1.44</v>
      </c>
      <c r="T270" s="25" t="n">
        <v>0.09</v>
      </c>
      <c r="U270" s="42" t="inlineStr">
        <is>
          <t>Tier 1B (Micro Drop, 1-3 km)</t>
        </is>
      </c>
      <c r="V270" s="24" t="n">
        <v>71.8</v>
      </c>
      <c r="W270" s="24" t="n">
        <v>87.5</v>
      </c>
      <c r="X270" s="24" t="n">
        <v>58</v>
      </c>
      <c r="Y270" s="45">
        <f>ROUND((V270*'Methodology &amp; Assumptions'!$B$6)+(W270*'Methodology &amp; Assumptions'!$B$5)+(X270*'Methodology &amp; Assumptions'!$B$7), 2)</f>
        <v/>
      </c>
    </row>
    <row r="271" ht="19" customHeight="1">
      <c r="A271" s="35" t="n">
        <v>267</v>
      </c>
      <c r="B271" s="35" t="n">
        <v>1267</v>
      </c>
      <c r="C271" s="36" t="inlineStr">
        <is>
          <t>0105526022</t>
        </is>
      </c>
      <c r="D271" s="36" t="inlineStr">
        <is>
          <t>Region I (Ilocos Region)</t>
        </is>
      </c>
      <c r="E271" s="36" t="inlineStr">
        <is>
          <t>Pangasinan</t>
        </is>
      </c>
      <c r="F271" s="36" t="inlineStr">
        <is>
          <t>Mangaldan</t>
        </is>
      </c>
      <c r="G271" s="36" t="inlineStr">
        <is>
          <t>Nibaliw</t>
        </is>
      </c>
      <c r="H271" s="37" t="n">
        <v>16.077117</v>
      </c>
      <c r="I271" s="37" t="n">
        <v>120.409849</v>
      </c>
      <c r="J271" s="8" t="inlineStr">
        <is>
          <t>R</t>
        </is>
      </c>
      <c r="K271" s="36" t="inlineStr">
        <is>
          <t>Class 1-3 / Urban</t>
        </is>
      </c>
      <c r="L271" s="18" t="n">
        <v>3336</v>
      </c>
      <c r="M271" s="20" t="n">
        <v>4.39</v>
      </c>
      <c r="N271" s="18">
        <f>ROUND(L271/M271, 0)</f>
        <v/>
      </c>
      <c r="O271" s="18">
        <f>ROUND(N271*'Methodology &amp; Assumptions'!$B$8, 0)</f>
        <v/>
      </c>
      <c r="P271" s="8" t="inlineStr">
        <is>
          <t>Band n50 (1.5 GHz, 60 MHz)</t>
        </is>
      </c>
      <c r="Q271" s="38">
        <f>ROUNDUP(O271/'Methodology &amp; Assumptions'!$B$9, 0)</f>
        <v/>
      </c>
      <c r="R271" s="39" t="n">
        <v>1</v>
      </c>
      <c r="S271" s="21" t="n">
        <v>1.31</v>
      </c>
      <c r="T271" s="21" t="n">
        <v>0.95</v>
      </c>
      <c r="U271" s="36" t="inlineStr">
        <is>
          <t>Tier 1B (Micro Drop, 1-3 km)</t>
        </is>
      </c>
      <c r="V271" s="20" t="n">
        <v>74.5</v>
      </c>
      <c r="W271" s="20" t="n">
        <v>84.8</v>
      </c>
      <c r="X271" s="20" t="n">
        <v>58</v>
      </c>
      <c r="Y271" s="40">
        <f>ROUND((V271*'Methodology &amp; Assumptions'!$B$6)+(W271*'Methodology &amp; Assumptions'!$B$5)+(X271*'Methodology &amp; Assumptions'!$B$7), 2)</f>
        <v/>
      </c>
    </row>
    <row r="272" ht="19" customHeight="1">
      <c r="A272" s="41" t="n">
        <v>268</v>
      </c>
      <c r="B272" s="41" t="n">
        <v>1268</v>
      </c>
      <c r="C272" s="42" t="inlineStr">
        <is>
          <t>0500516021</t>
        </is>
      </c>
      <c r="D272" s="42" t="inlineStr">
        <is>
          <t>Region V (Bicol Region)</t>
        </is>
      </c>
      <c r="E272" s="42" t="inlineStr">
        <is>
          <t>Albay</t>
        </is>
      </c>
      <c r="F272" s="42" t="inlineStr">
        <is>
          <t>Santo Domingo</t>
        </is>
      </c>
      <c r="G272" s="42" t="inlineStr">
        <is>
          <t>San Isidro</t>
        </is>
      </c>
      <c r="H272" s="43" t="n">
        <v>13.244762</v>
      </c>
      <c r="I272" s="43" t="n">
        <v>123.771998</v>
      </c>
      <c r="J272" s="44" t="inlineStr">
        <is>
          <t>R</t>
        </is>
      </c>
      <c r="K272" s="42" t="inlineStr">
        <is>
          <t>2nd</t>
        </is>
      </c>
      <c r="L272" s="23" t="n">
        <v>3150</v>
      </c>
      <c r="M272" s="24" t="n">
        <v>4.65</v>
      </c>
      <c r="N272" s="23">
        <f>ROUND(L272/M272, 0)</f>
        <v/>
      </c>
      <c r="O272" s="23">
        <f>ROUND(N272*'Methodology &amp; Assumptions'!$B$8, 0)</f>
        <v/>
      </c>
      <c r="P272" s="44" t="inlineStr">
        <is>
          <t>Band n50 (1.5 GHz, 60 MHz)</t>
        </is>
      </c>
      <c r="Q272" s="38">
        <f>ROUNDUP(O272/'Methodology &amp; Assumptions'!$B$9, 0)</f>
        <v/>
      </c>
      <c r="R272" s="39" t="n">
        <v>1</v>
      </c>
      <c r="S272" s="25" t="n">
        <v>1.02</v>
      </c>
      <c r="T272" s="25" t="n">
        <v>0.14</v>
      </c>
      <c r="U272" s="42" t="inlineStr">
        <is>
          <t>Tier 1B (Micro Drop, 1-3 km)</t>
        </is>
      </c>
      <c r="V272" s="24" t="n">
        <v>81.2</v>
      </c>
      <c r="W272" s="24" t="n">
        <v>78.09999999999999</v>
      </c>
      <c r="X272" s="24" t="n">
        <v>58</v>
      </c>
      <c r="Y272" s="45">
        <f>ROUND((V272*'Methodology &amp; Assumptions'!$B$6)+(W272*'Methodology &amp; Assumptions'!$B$5)+(X272*'Methodology &amp; Assumptions'!$B$7), 2)</f>
        <v/>
      </c>
    </row>
    <row r="273" ht="19" customHeight="1">
      <c r="A273" s="35" t="n">
        <v>269</v>
      </c>
      <c r="B273" s="35" t="n">
        <v>1269</v>
      </c>
      <c r="C273" s="36" t="inlineStr">
        <is>
          <t>0300810024</t>
        </is>
      </c>
      <c r="D273" s="36" t="inlineStr">
        <is>
          <t>Region III (Central Luzon)</t>
        </is>
      </c>
      <c r="E273" s="36" t="inlineStr">
        <is>
          <t>Bataan</t>
        </is>
      </c>
      <c r="F273" s="36" t="inlineStr">
        <is>
          <t>Orion</t>
        </is>
      </c>
      <c r="G273" s="36" t="inlineStr">
        <is>
          <t>Santo Domingo</t>
        </is>
      </c>
      <c r="H273" s="37" t="n">
        <v>14.633741</v>
      </c>
      <c r="I273" s="37" t="n">
        <v>120.573434</v>
      </c>
      <c r="J273" s="8" t="inlineStr">
        <is>
          <t>R</t>
        </is>
      </c>
      <c r="K273" s="36" t="inlineStr">
        <is>
          <t>Class 1-3 / Urban</t>
        </is>
      </c>
      <c r="L273" s="18" t="n">
        <v>4394</v>
      </c>
      <c r="M273" s="20" t="n">
        <v>4.57</v>
      </c>
      <c r="N273" s="18">
        <f>ROUND(L273/M273, 0)</f>
        <v/>
      </c>
      <c r="O273" s="18">
        <f>ROUND(N273*'Methodology &amp; Assumptions'!$B$8, 0)</f>
        <v/>
      </c>
      <c r="P273" s="8" t="inlineStr">
        <is>
          <t>Band n50 (1.5 GHz, 60 MHz)</t>
        </is>
      </c>
      <c r="Q273" s="38">
        <f>ROUNDUP(O273/'Methodology &amp; Assumptions'!$B$9, 0)</f>
        <v/>
      </c>
      <c r="R273" s="39" t="n">
        <v>1</v>
      </c>
      <c r="S273" s="21" t="n">
        <v>2.12</v>
      </c>
      <c r="T273" s="21" t="n">
        <v>0.04</v>
      </c>
      <c r="U273" s="36" t="inlineStr">
        <is>
          <t>Tier 1B (Micro Drop, 1-3 km)</t>
        </is>
      </c>
      <c r="V273" s="20" t="n">
        <v>59.3</v>
      </c>
      <c r="W273" s="20" t="n">
        <v>100</v>
      </c>
      <c r="X273" s="20" t="n">
        <v>58</v>
      </c>
      <c r="Y273" s="40">
        <f>ROUND((V273*'Methodology &amp; Assumptions'!$B$6)+(W273*'Methodology &amp; Assumptions'!$B$5)+(X273*'Methodology &amp; Assumptions'!$B$7), 2)</f>
        <v/>
      </c>
    </row>
    <row r="274" ht="19" customHeight="1">
      <c r="A274" s="41" t="n">
        <v>270</v>
      </c>
      <c r="B274" s="41" t="n">
        <v>1270</v>
      </c>
      <c r="C274" s="42" t="inlineStr">
        <is>
          <t>0301403016</t>
        </is>
      </c>
      <c r="D274" s="42" t="inlineStr">
        <is>
          <t>Region III (Central Luzon)</t>
        </is>
      </c>
      <c r="E274" s="42" t="inlineStr">
        <is>
          <t>Bulacan</t>
        </is>
      </c>
      <c r="F274" s="42" t="inlineStr">
        <is>
          <t>Baliuag</t>
        </is>
      </c>
      <c r="G274" s="42" t="inlineStr">
        <is>
          <t>Sabang</t>
        </is>
      </c>
      <c r="H274" s="43" t="n">
        <v>14.96523</v>
      </c>
      <c r="I274" s="43" t="n">
        <v>120.909812</v>
      </c>
      <c r="J274" s="44" t="inlineStr">
        <is>
          <t>U</t>
        </is>
      </c>
      <c r="K274" s="42" t="inlineStr">
        <is>
          <t>Class 1-3 / Urban</t>
        </is>
      </c>
      <c r="L274" s="23" t="n">
        <v>12547</v>
      </c>
      <c r="M274" s="24" t="n">
        <v>4.1</v>
      </c>
      <c r="N274" s="23">
        <f>ROUND(L274/M274, 0)</f>
        <v/>
      </c>
      <c r="O274" s="23">
        <f>ROUND(N274*'Methodology &amp; Assumptions'!$B$8, 0)</f>
        <v/>
      </c>
      <c r="P274" s="44" t="inlineStr">
        <is>
          <t>Band n50 (1.5 GHz, 60 MHz)</t>
        </is>
      </c>
      <c r="Q274" s="38">
        <f>ROUNDUP(O274/'Methodology &amp; Assumptions'!$B$9, 0)</f>
        <v/>
      </c>
      <c r="R274" s="39" t="n">
        <v>1</v>
      </c>
      <c r="S274" s="25" t="n">
        <v>0.86</v>
      </c>
      <c r="T274" s="25" t="n">
        <v>0.54</v>
      </c>
      <c r="U274" s="42" t="inlineStr">
        <is>
          <t>Tier 1A (Direct Coloc, &lt;1 km)</t>
        </is>
      </c>
      <c r="V274" s="24" t="n">
        <v>85</v>
      </c>
      <c r="W274" s="24" t="n">
        <v>100</v>
      </c>
      <c r="X274" s="24" t="n">
        <v>28</v>
      </c>
      <c r="Y274" s="45">
        <f>ROUND((V274*'Methodology &amp; Assumptions'!$B$6)+(W274*'Methodology &amp; Assumptions'!$B$5)+(X274*'Methodology &amp; Assumptions'!$B$7), 2)</f>
        <v/>
      </c>
    </row>
    <row r="275" ht="19" customHeight="1">
      <c r="A275" s="35" t="n">
        <v>271</v>
      </c>
      <c r="B275" s="35" t="n">
        <v>1271</v>
      </c>
      <c r="C275" s="36" t="inlineStr">
        <is>
          <t>0205705006</t>
        </is>
      </c>
      <c r="D275" s="36" t="inlineStr">
        <is>
          <t>Region II (Cagayan Valley)</t>
        </is>
      </c>
      <c r="E275" s="36" t="inlineStr">
        <is>
          <t>Quirino</t>
        </is>
      </c>
      <c r="F275" s="36" t="inlineStr">
        <is>
          <t>Saguday</t>
        </is>
      </c>
      <c r="G275" s="36" t="inlineStr">
        <is>
          <t>Santo Tomas</t>
        </is>
      </c>
      <c r="H275" s="37" t="n">
        <v>16.546424</v>
      </c>
      <c r="I275" s="37" t="n">
        <v>121.571288</v>
      </c>
      <c r="J275" s="8" t="inlineStr">
        <is>
          <t>R</t>
        </is>
      </c>
      <c r="K275" s="36" t="inlineStr">
        <is>
          <t>4th</t>
        </is>
      </c>
      <c r="L275" s="18" t="n">
        <v>1469</v>
      </c>
      <c r="M275" s="20" t="n">
        <v>4.03</v>
      </c>
      <c r="N275" s="18">
        <f>ROUND(L275/M275, 0)</f>
        <v/>
      </c>
      <c r="O275" s="18">
        <f>ROUND(N275*'Methodology &amp; Assumptions'!$B$8, 0)</f>
        <v/>
      </c>
      <c r="P275" s="8" t="inlineStr">
        <is>
          <t>Band n50 (1.5 GHz, 60 MHz)</t>
        </is>
      </c>
      <c r="Q275" s="38">
        <f>ROUNDUP(O275/'Methodology &amp; Assumptions'!$B$9, 0)</f>
        <v/>
      </c>
      <c r="R275" s="39" t="n">
        <v>1</v>
      </c>
      <c r="S275" s="21" t="n">
        <v>0.9</v>
      </c>
      <c r="T275" s="21" t="n">
        <v>0.9</v>
      </c>
      <c r="U275" s="36" t="inlineStr">
        <is>
          <t>Tier 1A (Direct Coloc, &lt;1 km)</t>
        </is>
      </c>
      <c r="V275" s="20" t="n">
        <v>84</v>
      </c>
      <c r="W275" s="20" t="n">
        <v>53.3</v>
      </c>
      <c r="X275" s="20" t="n">
        <v>83.5</v>
      </c>
      <c r="Y275" s="40">
        <f>ROUND((V275*'Methodology &amp; Assumptions'!$B$6)+(W275*'Methodology &amp; Assumptions'!$B$5)+(X275*'Methodology &amp; Assumptions'!$B$7), 2)</f>
        <v/>
      </c>
    </row>
    <row r="276" ht="19" customHeight="1">
      <c r="A276" s="41" t="n">
        <v>272</v>
      </c>
      <c r="B276" s="41" t="n">
        <v>1272</v>
      </c>
      <c r="C276" s="42" t="inlineStr">
        <is>
          <t>0105503021</t>
        </is>
      </c>
      <c r="D276" s="42" t="inlineStr">
        <is>
          <t>Region I (Ilocos Region)</t>
        </is>
      </c>
      <c r="E276" s="42" t="inlineStr">
        <is>
          <t>Pangasinan</t>
        </is>
      </c>
      <c r="F276" s="42" t="inlineStr">
        <is>
          <t>City of Alaminos</t>
        </is>
      </c>
      <c r="G276" s="42" t="inlineStr">
        <is>
          <t>Poblacion</t>
        </is>
      </c>
      <c r="H276" s="43" t="n">
        <v>16.156728</v>
      </c>
      <c r="I276" s="43" t="n">
        <v>119.978539</v>
      </c>
      <c r="J276" s="44" t="inlineStr">
        <is>
          <t>U</t>
        </is>
      </c>
      <c r="K276" s="42" t="inlineStr">
        <is>
          <t>Class 1-3 / Urban</t>
        </is>
      </c>
      <c r="L276" s="23" t="n">
        <v>10874</v>
      </c>
      <c r="M276" s="24" t="n">
        <v>4.39</v>
      </c>
      <c r="N276" s="23">
        <f>ROUND(L276/M276, 0)</f>
        <v/>
      </c>
      <c r="O276" s="23">
        <f>ROUND(N276*'Methodology &amp; Assumptions'!$B$8, 0)</f>
        <v/>
      </c>
      <c r="P276" s="44" t="inlineStr">
        <is>
          <t>Band n50 (1.5 GHz, 60 MHz)</t>
        </is>
      </c>
      <c r="Q276" s="38">
        <f>ROUNDUP(O276/'Methodology &amp; Assumptions'!$B$9, 0)</f>
        <v/>
      </c>
      <c r="R276" s="39" t="n">
        <v>1</v>
      </c>
      <c r="S276" s="25" t="n">
        <v>0.87</v>
      </c>
      <c r="T276" s="25" t="n">
        <v>0.19</v>
      </c>
      <c r="U276" s="42" t="inlineStr">
        <is>
          <t>Tier 1A (Direct Coloc, &lt;1 km)</t>
        </is>
      </c>
      <c r="V276" s="24" t="n">
        <v>84.90000000000001</v>
      </c>
      <c r="W276" s="24" t="n">
        <v>100</v>
      </c>
      <c r="X276" s="24" t="n">
        <v>28</v>
      </c>
      <c r="Y276" s="45">
        <f>ROUND((V276*'Methodology &amp; Assumptions'!$B$6)+(W276*'Methodology &amp; Assumptions'!$B$5)+(X276*'Methodology &amp; Assumptions'!$B$7), 2)</f>
        <v/>
      </c>
    </row>
    <row r="277" ht="19" customHeight="1">
      <c r="A277" s="35" t="n">
        <v>273</v>
      </c>
      <c r="B277" s="35" t="n">
        <v>1273</v>
      </c>
      <c r="C277" s="36" t="inlineStr">
        <is>
          <t>0401034019</t>
        </is>
      </c>
      <c r="D277" s="36" t="inlineStr">
        <is>
          <t>Region IV-A (CALABARZON)</t>
        </is>
      </c>
      <c r="E277" s="36" t="inlineStr">
        <is>
          <t>Batangas</t>
        </is>
      </c>
      <c r="F277" s="36" t="inlineStr">
        <is>
          <t>Tuy</t>
        </is>
      </c>
      <c r="G277" s="36" t="inlineStr">
        <is>
          <t>San Jose</t>
        </is>
      </c>
      <c r="H277" s="37" t="n">
        <v>14.022056</v>
      </c>
      <c r="I277" s="37" t="n">
        <v>120.728389</v>
      </c>
      <c r="J277" s="8" t="inlineStr">
        <is>
          <t>R</t>
        </is>
      </c>
      <c r="K277" s="36" t="inlineStr">
        <is>
          <t>Class 1-3 / Urban</t>
        </is>
      </c>
      <c r="L277" s="18" t="n">
        <v>2035</v>
      </c>
      <c r="M277" s="20" t="n">
        <v>4.62</v>
      </c>
      <c r="N277" s="18">
        <f>ROUND(L277/M277, 0)</f>
        <v/>
      </c>
      <c r="O277" s="18">
        <f>ROUND(N277*'Methodology &amp; Assumptions'!$B$8, 0)</f>
        <v/>
      </c>
      <c r="P277" s="8" t="inlineStr">
        <is>
          <t>Band n50 (1.5 GHz, 60 MHz)</t>
        </is>
      </c>
      <c r="Q277" s="38">
        <f>ROUNDUP(O277/'Methodology &amp; Assumptions'!$B$9, 0)</f>
        <v/>
      </c>
      <c r="R277" s="39" t="n">
        <v>1</v>
      </c>
      <c r="S277" s="21" t="n">
        <v>0.06</v>
      </c>
      <c r="T277" s="21" t="n">
        <v>0.06</v>
      </c>
      <c r="U277" s="36" t="inlineStr">
        <is>
          <t>Tier 1A (Direct Coloc, &lt;1 km)</t>
        </is>
      </c>
      <c r="V277" s="20" t="n">
        <v>100</v>
      </c>
      <c r="W277" s="20" t="n">
        <v>59.2</v>
      </c>
      <c r="X277" s="20" t="n">
        <v>58</v>
      </c>
      <c r="Y277" s="40">
        <f>ROUND((V277*'Methodology &amp; Assumptions'!$B$6)+(W277*'Methodology &amp; Assumptions'!$B$5)+(X277*'Methodology &amp; Assumptions'!$B$7), 2)</f>
        <v/>
      </c>
    </row>
    <row r="278" ht="19" customHeight="1">
      <c r="A278" s="41" t="n">
        <v>274</v>
      </c>
      <c r="B278" s="41" t="n">
        <v>1274</v>
      </c>
      <c r="C278" s="42" t="inlineStr">
        <is>
          <t>0401009015</t>
        </is>
      </c>
      <c r="D278" s="42" t="inlineStr">
        <is>
          <t>Region IV-A (CALABARZON)</t>
        </is>
      </c>
      <c r="E278" s="42" t="inlineStr">
        <is>
          <t>Batangas</t>
        </is>
      </c>
      <c r="F278" s="42" t="inlineStr">
        <is>
          <t>Cuenca</t>
        </is>
      </c>
      <c r="G278" s="42" t="inlineStr">
        <is>
          <t>Barangay 1</t>
        </is>
      </c>
      <c r="H278" s="43" t="n">
        <v>13.897486</v>
      </c>
      <c r="I278" s="43" t="n">
        <v>121.052143</v>
      </c>
      <c r="J278" s="44" t="inlineStr">
        <is>
          <t>R</t>
        </is>
      </c>
      <c r="K278" s="42" t="inlineStr">
        <is>
          <t>2nd</t>
        </is>
      </c>
      <c r="L278" s="23" t="n">
        <v>1999</v>
      </c>
      <c r="M278" s="24" t="n">
        <v>4.54</v>
      </c>
      <c r="N278" s="23">
        <f>ROUND(L278/M278, 0)</f>
        <v/>
      </c>
      <c r="O278" s="23">
        <f>ROUND(N278*'Methodology &amp; Assumptions'!$B$8, 0)</f>
        <v/>
      </c>
      <c r="P278" s="44" t="inlineStr">
        <is>
          <t>Band n50 (1.5 GHz, 60 MHz)</t>
        </is>
      </c>
      <c r="Q278" s="38">
        <f>ROUNDUP(O278/'Methodology &amp; Assumptions'!$B$9, 0)</f>
        <v/>
      </c>
      <c r="R278" s="39" t="n">
        <v>1</v>
      </c>
      <c r="S278" s="25" t="n">
        <v>0.31</v>
      </c>
      <c r="T278" s="25" t="n">
        <v>0.14</v>
      </c>
      <c r="U278" s="42" t="inlineStr">
        <is>
          <t>Tier 1A (Direct Coloc, &lt;1 km)</t>
        </is>
      </c>
      <c r="V278" s="24" t="n">
        <v>100</v>
      </c>
      <c r="W278" s="24" t="n">
        <v>59.2</v>
      </c>
      <c r="X278" s="24" t="n">
        <v>58</v>
      </c>
      <c r="Y278" s="45">
        <f>ROUND((V278*'Methodology &amp; Assumptions'!$B$6)+(W278*'Methodology &amp; Assumptions'!$B$5)+(X278*'Methodology &amp; Assumptions'!$B$7), 2)</f>
        <v/>
      </c>
    </row>
    <row r="279" ht="19" customHeight="1">
      <c r="A279" s="35" t="n">
        <v>275</v>
      </c>
      <c r="B279" s="35" t="n">
        <v>1275</v>
      </c>
      <c r="C279" s="36" t="inlineStr">
        <is>
          <t>0403429008</t>
        </is>
      </c>
      <c r="D279" s="36" t="inlineStr">
        <is>
          <t>Region IV-A (CALABARZON)</t>
        </is>
      </c>
      <c r="E279" s="36" t="inlineStr">
        <is>
          <t>Laguna</t>
        </is>
      </c>
      <c r="F279" s="36" t="inlineStr">
        <is>
          <t>Siniloan</t>
        </is>
      </c>
      <c r="G279" s="36" t="inlineStr">
        <is>
          <t>Mendiola</t>
        </is>
      </c>
      <c r="H279" s="37" t="n">
        <v>14.427871</v>
      </c>
      <c r="I279" s="37" t="n">
        <v>121.448431</v>
      </c>
      <c r="J279" s="8" t="inlineStr">
        <is>
          <t>U</t>
        </is>
      </c>
      <c r="K279" s="36" t="inlineStr">
        <is>
          <t>Class 1-3 / Urban</t>
        </is>
      </c>
      <c r="L279" s="18" t="n">
        <v>5978</v>
      </c>
      <c r="M279" s="20" t="n">
        <v>4.2</v>
      </c>
      <c r="N279" s="18">
        <f>ROUND(L279/M279, 0)</f>
        <v/>
      </c>
      <c r="O279" s="18">
        <f>ROUND(N279*'Methodology &amp; Assumptions'!$B$8, 0)</f>
        <v/>
      </c>
      <c r="P279" s="8" t="inlineStr">
        <is>
          <t>Band n50 (1.5 GHz, 60 MHz)</t>
        </is>
      </c>
      <c r="Q279" s="38">
        <f>ROUNDUP(O279/'Methodology &amp; Assumptions'!$B$9, 0)</f>
        <v/>
      </c>
      <c r="R279" s="39" t="n">
        <v>1</v>
      </c>
      <c r="S279" s="21" t="n">
        <v>0.87</v>
      </c>
      <c r="T279" s="21" t="n">
        <v>0.83</v>
      </c>
      <c r="U279" s="36" t="inlineStr">
        <is>
          <t>Tier 1A (Direct Coloc, &lt;1 km)</t>
        </is>
      </c>
      <c r="V279" s="20" t="n">
        <v>84.90000000000001</v>
      </c>
      <c r="W279" s="20" t="n">
        <v>100</v>
      </c>
      <c r="X279" s="20" t="n">
        <v>28</v>
      </c>
      <c r="Y279" s="40">
        <f>ROUND((V279*'Methodology &amp; Assumptions'!$B$6)+(W279*'Methodology &amp; Assumptions'!$B$5)+(X279*'Methodology &amp; Assumptions'!$B$7), 2)</f>
        <v/>
      </c>
    </row>
    <row r="280" ht="19" customHeight="1">
      <c r="A280" s="41" t="n">
        <v>276</v>
      </c>
      <c r="B280" s="41" t="n">
        <v>1276</v>
      </c>
      <c r="C280" s="42" t="inlineStr">
        <is>
          <t>0730600050</t>
        </is>
      </c>
      <c r="D280" s="42" t="inlineStr">
        <is>
          <t>Region VII (Central Visayas)</t>
        </is>
      </c>
      <c r="E280" s="42" t="inlineStr">
        <is>
          <t>Cebu</t>
        </is>
      </c>
      <c r="F280" s="42" t="inlineStr">
        <is>
          <t>City of Cebu</t>
        </is>
      </c>
      <c r="G280" s="42" t="inlineStr">
        <is>
          <t>Pahina Central</t>
        </is>
      </c>
      <c r="H280" s="43" t="n">
        <v>10.296591</v>
      </c>
      <c r="I280" s="43" t="n">
        <v>123.892361</v>
      </c>
      <c r="J280" s="44" t="inlineStr">
        <is>
          <t>U</t>
        </is>
      </c>
      <c r="K280" s="42" t="inlineStr">
        <is>
          <t>Class 1-3 / Urban</t>
        </is>
      </c>
      <c r="L280" s="23" t="n">
        <v>5639</v>
      </c>
      <c r="M280" s="24" t="n">
        <v>4.42</v>
      </c>
      <c r="N280" s="23">
        <f>ROUND(L280/M280, 0)</f>
        <v/>
      </c>
      <c r="O280" s="23">
        <f>ROUND(N280*'Methodology &amp; Assumptions'!$B$8, 0)</f>
        <v/>
      </c>
      <c r="P280" s="44" t="inlineStr">
        <is>
          <t>Band n50 (1.5 GHz, 60 MHz)</t>
        </is>
      </c>
      <c r="Q280" s="38">
        <f>ROUNDUP(O280/'Methodology &amp; Assumptions'!$B$9, 0)</f>
        <v/>
      </c>
      <c r="R280" s="39" t="n">
        <v>1</v>
      </c>
      <c r="S280" s="25" t="n">
        <v>0.87</v>
      </c>
      <c r="T280" s="25" t="n">
        <v>0.22</v>
      </c>
      <c r="U280" s="42" t="inlineStr">
        <is>
          <t>Tier 1A (Direct Coloc, &lt;1 km)</t>
        </is>
      </c>
      <c r="V280" s="24" t="n">
        <v>84.90000000000001</v>
      </c>
      <c r="W280" s="24" t="n">
        <v>100</v>
      </c>
      <c r="X280" s="24" t="n">
        <v>28</v>
      </c>
      <c r="Y280" s="45">
        <f>ROUND((V280*'Methodology &amp; Assumptions'!$B$6)+(W280*'Methodology &amp; Assumptions'!$B$5)+(X280*'Methodology &amp; Assumptions'!$B$7), 2)</f>
        <v/>
      </c>
    </row>
    <row r="281" ht="19" customHeight="1">
      <c r="A281" s="35" t="n">
        <v>277</v>
      </c>
      <c r="B281" s="35" t="n">
        <v>1277</v>
      </c>
      <c r="C281" s="36" t="inlineStr">
        <is>
          <t>0500514027</t>
        </is>
      </c>
      <c r="D281" s="36" t="inlineStr">
        <is>
          <t>Region V (Bicol Region)</t>
        </is>
      </c>
      <c r="E281" s="36" t="inlineStr">
        <is>
          <t>Albay</t>
        </is>
      </c>
      <c r="F281" s="36" t="inlineStr">
        <is>
          <t>Polangui</t>
        </is>
      </c>
      <c r="G281" s="36" t="inlineStr">
        <is>
          <t>Lanigay</t>
        </is>
      </c>
      <c r="H281" s="37" t="n">
        <v>13.311855</v>
      </c>
      <c r="I281" s="37" t="n">
        <v>123.481874</v>
      </c>
      <c r="J281" s="8" t="inlineStr">
        <is>
          <t>R</t>
        </is>
      </c>
      <c r="K281" s="36" t="inlineStr">
        <is>
          <t>Class 1-3 / Urban</t>
        </is>
      </c>
      <c r="L281" s="18" t="n">
        <v>4389</v>
      </c>
      <c r="M281" s="20" t="n">
        <v>4.67</v>
      </c>
      <c r="N281" s="18">
        <f>ROUND(L281/M281, 0)</f>
        <v/>
      </c>
      <c r="O281" s="18">
        <f>ROUND(N281*'Methodology &amp; Assumptions'!$B$8, 0)</f>
        <v/>
      </c>
      <c r="P281" s="8" t="inlineStr">
        <is>
          <t>Band n50 (1.5 GHz, 60 MHz)</t>
        </is>
      </c>
      <c r="Q281" s="38">
        <f>ROUNDUP(O281/'Methodology &amp; Assumptions'!$B$9, 0)</f>
        <v/>
      </c>
      <c r="R281" s="39" t="n">
        <v>1</v>
      </c>
      <c r="S281" s="21" t="n">
        <v>2.08</v>
      </c>
      <c r="T281" s="21" t="n">
        <v>0.96</v>
      </c>
      <c r="U281" s="36" t="inlineStr">
        <is>
          <t>Tier 1B (Micro Drop, 1-3 km)</t>
        </is>
      </c>
      <c r="V281" s="20" t="n">
        <v>59.9</v>
      </c>
      <c r="W281" s="20" t="n">
        <v>99.2</v>
      </c>
      <c r="X281" s="20" t="n">
        <v>58</v>
      </c>
      <c r="Y281" s="40">
        <f>ROUND((V281*'Methodology &amp; Assumptions'!$B$6)+(W281*'Methodology &amp; Assumptions'!$B$5)+(X281*'Methodology &amp; Assumptions'!$B$7), 2)</f>
        <v/>
      </c>
    </row>
    <row r="282" ht="19" customHeight="1">
      <c r="A282" s="41" t="n">
        <v>278</v>
      </c>
      <c r="B282" s="41" t="n">
        <v>1278</v>
      </c>
      <c r="C282" s="42" t="inlineStr">
        <is>
          <t>0500506005</t>
        </is>
      </c>
      <c r="D282" s="42" t="inlineStr">
        <is>
          <t>Region V (Bicol Region)</t>
        </is>
      </c>
      <c r="E282" s="42" t="inlineStr">
        <is>
          <t>Albay</t>
        </is>
      </c>
      <c r="F282" s="42" t="inlineStr">
        <is>
          <t>City of Legazpi</t>
        </is>
      </c>
      <c r="G282" s="42" t="inlineStr">
        <is>
          <t>Bgy. 1 - Em's Barrio</t>
        </is>
      </c>
      <c r="H282" s="43" t="n">
        <v>13.144361</v>
      </c>
      <c r="I282" s="43" t="n">
        <v>123.721989</v>
      </c>
      <c r="J282" s="44" t="inlineStr">
        <is>
          <t>R</t>
        </is>
      </c>
      <c r="K282" s="42" t="inlineStr">
        <is>
          <t>Class 1-3 / Urban</t>
        </is>
      </c>
      <c r="L282" s="23" t="n">
        <v>3323</v>
      </c>
      <c r="M282" s="24" t="n">
        <v>4.67</v>
      </c>
      <c r="N282" s="23">
        <f>ROUND(L282/M282, 0)</f>
        <v/>
      </c>
      <c r="O282" s="23">
        <f>ROUND(N282*'Methodology &amp; Assumptions'!$B$8, 0)</f>
        <v/>
      </c>
      <c r="P282" s="44" t="inlineStr">
        <is>
          <t>Band n50 (1.5 GHz, 60 MHz)</t>
        </is>
      </c>
      <c r="Q282" s="38">
        <f>ROUNDUP(O282/'Methodology &amp; Assumptions'!$B$9, 0)</f>
        <v/>
      </c>
      <c r="R282" s="39" t="n">
        <v>1</v>
      </c>
      <c r="S282" s="25" t="n">
        <v>1.15</v>
      </c>
      <c r="T282" s="25" t="n">
        <v>0.28</v>
      </c>
      <c r="U282" s="42" t="inlineStr">
        <is>
          <t>Tier 1B (Micro Drop, 1-3 km)</t>
        </is>
      </c>
      <c r="V282" s="24" t="n">
        <v>78.09999999999999</v>
      </c>
      <c r="W282" s="24" t="n">
        <v>81.09999999999999</v>
      </c>
      <c r="X282" s="24" t="n">
        <v>58</v>
      </c>
      <c r="Y282" s="45">
        <f>ROUND((V282*'Methodology &amp; Assumptions'!$B$6)+(W282*'Methodology &amp; Assumptions'!$B$5)+(X282*'Methodology &amp; Assumptions'!$B$7), 2)</f>
        <v/>
      </c>
    </row>
    <row r="283" ht="19" customHeight="1">
      <c r="A283" s="35" t="n">
        <v>279</v>
      </c>
      <c r="B283" s="35" t="n">
        <v>1279</v>
      </c>
      <c r="C283" s="36" t="inlineStr">
        <is>
          <t>0301409008</t>
        </is>
      </c>
      <c r="D283" s="36" t="inlineStr">
        <is>
          <t>Region III (Central Luzon)</t>
        </is>
      </c>
      <c r="E283" s="36" t="inlineStr">
        <is>
          <t>Bulacan</t>
        </is>
      </c>
      <c r="F283" s="36" t="inlineStr">
        <is>
          <t>Hagonoy</t>
        </is>
      </c>
      <c r="G283" s="36" t="inlineStr">
        <is>
          <t>San Agustin</t>
        </is>
      </c>
      <c r="H283" s="37" t="n">
        <v>14.838952</v>
      </c>
      <c r="I283" s="37" t="n">
        <v>120.746879</v>
      </c>
      <c r="J283" s="8" t="inlineStr">
        <is>
          <t>U</t>
        </is>
      </c>
      <c r="K283" s="36" t="inlineStr">
        <is>
          <t>Class 1-3 / Urban</t>
        </is>
      </c>
      <c r="L283" s="18" t="n">
        <v>10387</v>
      </c>
      <c r="M283" s="20" t="n">
        <v>4.1</v>
      </c>
      <c r="N283" s="18">
        <f>ROUND(L283/M283, 0)</f>
        <v/>
      </c>
      <c r="O283" s="18">
        <f>ROUND(N283*'Methodology &amp; Assumptions'!$B$8, 0)</f>
        <v/>
      </c>
      <c r="P283" s="8" t="inlineStr">
        <is>
          <t>Band n50 (1.5 GHz, 60 MHz)</t>
        </is>
      </c>
      <c r="Q283" s="38">
        <f>ROUNDUP(O283/'Methodology &amp; Assumptions'!$B$9, 0)</f>
        <v/>
      </c>
      <c r="R283" s="39" t="n">
        <v>1</v>
      </c>
      <c r="S283" s="21" t="n">
        <v>0.49</v>
      </c>
      <c r="T283" s="21" t="n">
        <v>2.5</v>
      </c>
      <c r="U283" s="36" t="inlineStr">
        <is>
          <t>Tier 1A (Direct Coloc, &lt;1 km)</t>
        </is>
      </c>
      <c r="V283" s="20" t="n">
        <v>84.90000000000001</v>
      </c>
      <c r="W283" s="20" t="n">
        <v>100</v>
      </c>
      <c r="X283" s="20" t="n">
        <v>28</v>
      </c>
      <c r="Y283" s="40">
        <f>ROUND((V283*'Methodology &amp; Assumptions'!$B$6)+(W283*'Methodology &amp; Assumptions'!$B$5)+(X283*'Methodology &amp; Assumptions'!$B$7), 2)</f>
        <v/>
      </c>
    </row>
    <row r="284" ht="19" customHeight="1">
      <c r="A284" s="41" t="n">
        <v>280</v>
      </c>
      <c r="B284" s="41" t="n">
        <v>1280</v>
      </c>
      <c r="C284" s="42" t="inlineStr">
        <is>
          <t>0402109036</t>
        </is>
      </c>
      <c r="D284" s="42" t="inlineStr">
        <is>
          <t>Region IV-A (CALABARZON)</t>
        </is>
      </c>
      <c r="E284" s="42" t="inlineStr">
        <is>
          <t>Cavite</t>
        </is>
      </c>
      <c r="F284" s="42" t="inlineStr">
        <is>
          <t>City of Imus</t>
        </is>
      </c>
      <c r="G284" s="42" t="inlineStr">
        <is>
          <t>Anabu II-C</t>
        </is>
      </c>
      <c r="H284" s="43" t="n">
        <v>14.380154</v>
      </c>
      <c r="I284" s="43" t="n">
        <v>120.9423</v>
      </c>
      <c r="J284" s="44" t="inlineStr">
        <is>
          <t>U</t>
        </is>
      </c>
      <c r="K284" s="42" t="inlineStr">
        <is>
          <t>Class 1-3 / Urban</t>
        </is>
      </c>
      <c r="L284" s="23" t="n">
        <v>6562</v>
      </c>
      <c r="M284" s="24" t="n">
        <v>4.49</v>
      </c>
      <c r="N284" s="23">
        <f>ROUND(L284/M284, 0)</f>
        <v/>
      </c>
      <c r="O284" s="23">
        <f>ROUND(N284*'Methodology &amp; Assumptions'!$B$8, 0)</f>
        <v/>
      </c>
      <c r="P284" s="44" t="inlineStr">
        <is>
          <t>Band n50 (1.5 GHz, 60 MHz)</t>
        </is>
      </c>
      <c r="Q284" s="38">
        <f>ROUNDUP(O284/'Methodology &amp; Assumptions'!$B$9, 0)</f>
        <v/>
      </c>
      <c r="R284" s="39" t="n">
        <v>1</v>
      </c>
      <c r="S284" s="25" t="n">
        <v>0.49</v>
      </c>
      <c r="T284" s="25" t="n">
        <v>7.34</v>
      </c>
      <c r="U284" s="42" t="inlineStr">
        <is>
          <t>Tier 1A (Direct Coloc, &lt;1 km)</t>
        </is>
      </c>
      <c r="V284" s="24" t="n">
        <v>84.90000000000001</v>
      </c>
      <c r="W284" s="24" t="n">
        <v>100</v>
      </c>
      <c r="X284" s="24" t="n">
        <v>28</v>
      </c>
      <c r="Y284" s="45">
        <f>ROUND((V284*'Methodology &amp; Assumptions'!$B$6)+(W284*'Methodology &amp; Assumptions'!$B$5)+(X284*'Methodology &amp; Assumptions'!$B$7), 2)</f>
        <v/>
      </c>
    </row>
    <row r="285" ht="19" customHeight="1">
      <c r="A285" s="35" t="n">
        <v>281</v>
      </c>
      <c r="B285" s="35" t="n">
        <v>1281</v>
      </c>
      <c r="C285" s="36" t="inlineStr">
        <is>
          <t>1430300018</t>
        </is>
      </c>
      <c r="D285" s="36" t="inlineStr">
        <is>
          <t>Cordillera Administrative Region (CAR)</t>
        </is>
      </c>
      <c r="E285" s="36" t="inlineStr">
        <is>
          <t>Benguet</t>
        </is>
      </c>
      <c r="F285" s="36" t="inlineStr">
        <is>
          <t>City of Baguio</t>
        </is>
      </c>
      <c r="G285" s="36" t="inlineStr">
        <is>
          <t>Camp 8</t>
        </is>
      </c>
      <c r="H285" s="37" t="n">
        <v>16.39816</v>
      </c>
      <c r="I285" s="37" t="n">
        <v>120.6003</v>
      </c>
      <c r="J285" s="8" t="inlineStr">
        <is>
          <t>R</t>
        </is>
      </c>
      <c r="K285" s="36" t="inlineStr">
        <is>
          <t>Class 1-3 / Urban</t>
        </is>
      </c>
      <c r="L285" s="18" t="n">
        <v>2638</v>
      </c>
      <c r="M285" s="20" t="n">
        <v>4.58</v>
      </c>
      <c r="N285" s="18">
        <f>ROUND(L285/M285, 0)</f>
        <v/>
      </c>
      <c r="O285" s="18">
        <f>ROUND(N285*'Methodology &amp; Assumptions'!$B$8, 0)</f>
        <v/>
      </c>
      <c r="P285" s="8" t="inlineStr">
        <is>
          <t>Band n50 (1.5 GHz, 60 MHz)</t>
        </is>
      </c>
      <c r="Q285" s="38">
        <f>ROUNDUP(O285/'Methodology &amp; Assumptions'!$B$9, 0)</f>
        <v/>
      </c>
      <c r="R285" s="39" t="n">
        <v>1</v>
      </c>
      <c r="S285" s="21" t="n">
        <v>0.5600000000000001</v>
      </c>
      <c r="T285" s="21" t="n">
        <v>0.48</v>
      </c>
      <c r="U285" s="36" t="inlineStr">
        <is>
          <t>Tier 1A (Direct Coloc, &lt;1 km)</t>
        </is>
      </c>
      <c r="V285" s="20" t="n">
        <v>93</v>
      </c>
      <c r="W285" s="20" t="n">
        <v>66.09999999999999</v>
      </c>
      <c r="X285" s="20" t="n">
        <v>58</v>
      </c>
      <c r="Y285" s="40">
        <f>ROUND((V285*'Methodology &amp; Assumptions'!$B$6)+(W285*'Methodology &amp; Assumptions'!$B$5)+(X285*'Methodology &amp; Assumptions'!$B$7), 2)</f>
        <v/>
      </c>
    </row>
    <row r="286" ht="19" customHeight="1">
      <c r="A286" s="41" t="n">
        <v>282</v>
      </c>
      <c r="B286" s="41" t="n">
        <v>1282</v>
      </c>
      <c r="C286" s="42" t="inlineStr">
        <is>
          <t>0307111005</t>
        </is>
      </c>
      <c r="D286" s="42" t="inlineStr">
        <is>
          <t>Region III (Central Luzon)</t>
        </is>
      </c>
      <c r="E286" s="42" t="inlineStr">
        <is>
          <t>Zambales</t>
        </is>
      </c>
      <c r="F286" s="42" t="inlineStr">
        <is>
          <t>San Marcelino</t>
        </is>
      </c>
      <c r="G286" s="42" t="inlineStr">
        <is>
          <t>Consuelo Sur</t>
        </is>
      </c>
      <c r="H286" s="43" t="n">
        <v>14.975185</v>
      </c>
      <c r="I286" s="43" t="n">
        <v>120.154183</v>
      </c>
      <c r="J286" s="44" t="inlineStr">
        <is>
          <t>R</t>
        </is>
      </c>
      <c r="K286" s="42" t="inlineStr">
        <is>
          <t>Class 1-3 / Urban</t>
        </is>
      </c>
      <c r="L286" s="23" t="n">
        <v>2053</v>
      </c>
      <c r="M286" s="24" t="n">
        <v>4.05</v>
      </c>
      <c r="N286" s="23">
        <f>ROUND(L286/M286, 0)</f>
        <v/>
      </c>
      <c r="O286" s="23">
        <f>ROUND(N286*'Methodology &amp; Assumptions'!$B$8, 0)</f>
        <v/>
      </c>
      <c r="P286" s="44" t="inlineStr">
        <is>
          <t>Band n50 (1.5 GHz, 60 MHz)</t>
        </is>
      </c>
      <c r="Q286" s="38">
        <f>ROUNDUP(O286/'Methodology &amp; Assumptions'!$B$9, 0)</f>
        <v/>
      </c>
      <c r="R286" s="39" t="n">
        <v>1</v>
      </c>
      <c r="S286" s="25" t="n">
        <v>0.5</v>
      </c>
      <c r="T286" s="25" t="n">
        <v>0.14</v>
      </c>
      <c r="U286" s="42" t="inlineStr">
        <is>
          <t>Tier 1A (Direct Coloc, &lt;1 km)</t>
        </is>
      </c>
      <c r="V286" s="24" t="n">
        <v>94.59999999999999</v>
      </c>
      <c r="W286" s="24" t="n">
        <v>64.5</v>
      </c>
      <c r="X286" s="24" t="n">
        <v>58</v>
      </c>
      <c r="Y286" s="45">
        <f>ROUND((V286*'Methodology &amp; Assumptions'!$B$6)+(W286*'Methodology &amp; Assumptions'!$B$5)+(X286*'Methodology &amp; Assumptions'!$B$7), 2)</f>
        <v/>
      </c>
    </row>
    <row r="287" ht="19" customHeight="1">
      <c r="A287" s="35" t="n">
        <v>283</v>
      </c>
      <c r="B287" s="35" t="n">
        <v>1283</v>
      </c>
      <c r="C287" s="36" t="inlineStr">
        <is>
          <t>1606701001</t>
        </is>
      </c>
      <c r="D287" s="36" t="inlineStr">
        <is>
          <t>Region XIII (Caraga)</t>
        </is>
      </c>
      <c r="E287" s="36" t="inlineStr">
        <is>
          <t>Surigao del Norte</t>
        </is>
      </c>
      <c r="F287" s="36" t="inlineStr">
        <is>
          <t>Alegria</t>
        </is>
      </c>
      <c r="G287" s="36" t="inlineStr">
        <is>
          <t>Poblacion</t>
        </is>
      </c>
      <c r="H287" s="37" t="n">
        <v>9.466307</v>
      </c>
      <c r="I287" s="37" t="n">
        <v>125.573815</v>
      </c>
      <c r="J287" s="8" t="inlineStr">
        <is>
          <t>R</t>
        </is>
      </c>
      <c r="K287" s="36" t="inlineStr">
        <is>
          <t>4th</t>
        </is>
      </c>
      <c r="L287" s="18" t="n">
        <v>1821</v>
      </c>
      <c r="M287" s="20" t="n">
        <v>4.69</v>
      </c>
      <c r="N287" s="18">
        <f>ROUND(L287/M287, 0)</f>
        <v/>
      </c>
      <c r="O287" s="18">
        <f>ROUND(N287*'Methodology &amp; Assumptions'!$B$8, 0)</f>
        <v/>
      </c>
      <c r="P287" s="8" t="inlineStr">
        <is>
          <t>Band n50 (1.5 GHz, 60 MHz)</t>
        </is>
      </c>
      <c r="Q287" s="38">
        <f>ROUNDUP(O287/'Methodology &amp; Assumptions'!$B$9, 0)</f>
        <v/>
      </c>
      <c r="R287" s="39" t="n">
        <v>1</v>
      </c>
      <c r="S287" s="21" t="n">
        <v>0.97</v>
      </c>
      <c r="T287" s="21" t="n">
        <v>0.32</v>
      </c>
      <c r="U287" s="36" t="inlineStr">
        <is>
          <t>Tier 1A (Direct Coloc, &lt;1 km)</t>
        </is>
      </c>
      <c r="V287" s="20" t="n">
        <v>82.3</v>
      </c>
      <c r="W287" s="20" t="n">
        <v>54.9</v>
      </c>
      <c r="X287" s="20" t="n">
        <v>83.5</v>
      </c>
      <c r="Y287" s="40">
        <f>ROUND((V287*'Methodology &amp; Assumptions'!$B$6)+(W287*'Methodology &amp; Assumptions'!$B$5)+(X287*'Methodology &amp; Assumptions'!$B$7), 2)</f>
        <v/>
      </c>
    </row>
    <row r="288" ht="19" customHeight="1">
      <c r="A288" s="41" t="n">
        <v>284</v>
      </c>
      <c r="B288" s="41" t="n">
        <v>1284</v>
      </c>
      <c r="C288" s="42" t="inlineStr">
        <is>
          <t>0500514031</t>
        </is>
      </c>
      <c r="D288" s="42" t="inlineStr">
        <is>
          <t>Region V (Bicol Region)</t>
        </is>
      </c>
      <c r="E288" s="42" t="inlineStr">
        <is>
          <t>Albay</t>
        </is>
      </c>
      <c r="F288" s="42" t="inlineStr">
        <is>
          <t>Polangui</t>
        </is>
      </c>
      <c r="G288" s="42" t="inlineStr">
        <is>
          <t>Magurang</t>
        </is>
      </c>
      <c r="H288" s="43" t="n">
        <v>13.291286</v>
      </c>
      <c r="I288" s="43" t="n">
        <v>123.497227</v>
      </c>
      <c r="J288" s="44" t="inlineStr">
        <is>
          <t>R</t>
        </is>
      </c>
      <c r="K288" s="42" t="inlineStr">
        <is>
          <t>Class 1-3 / Urban</t>
        </is>
      </c>
      <c r="L288" s="23" t="n">
        <v>3780</v>
      </c>
      <c r="M288" s="24" t="n">
        <v>4.67</v>
      </c>
      <c r="N288" s="23">
        <f>ROUND(L288/M288, 0)</f>
        <v/>
      </c>
      <c r="O288" s="23">
        <f>ROUND(N288*'Methodology &amp; Assumptions'!$B$8, 0)</f>
        <v/>
      </c>
      <c r="P288" s="44" t="inlineStr">
        <is>
          <t>Band n50 (1.5 GHz, 60 MHz)</t>
        </is>
      </c>
      <c r="Q288" s="38">
        <f>ROUNDUP(O288/'Methodology &amp; Assumptions'!$B$9, 0)</f>
        <v/>
      </c>
      <c r="R288" s="39" t="n">
        <v>1</v>
      </c>
      <c r="S288" s="25" t="n">
        <v>1.52</v>
      </c>
      <c r="T288" s="25" t="n">
        <v>0.08</v>
      </c>
      <c r="U288" s="42" t="inlineStr">
        <is>
          <t>Tier 1B (Micro Drop, 1-3 km)</t>
        </is>
      </c>
      <c r="V288" s="24" t="n">
        <v>70.3</v>
      </c>
      <c r="W288" s="24" t="n">
        <v>88.8</v>
      </c>
      <c r="X288" s="24" t="n">
        <v>58</v>
      </c>
      <c r="Y288" s="45">
        <f>ROUND((V288*'Methodology &amp; Assumptions'!$B$6)+(W288*'Methodology &amp; Assumptions'!$B$5)+(X288*'Methodology &amp; Assumptions'!$B$7), 2)</f>
        <v/>
      </c>
    </row>
    <row r="289" ht="19" customHeight="1">
      <c r="A289" s="35" t="n">
        <v>285</v>
      </c>
      <c r="B289" s="35" t="n">
        <v>1285</v>
      </c>
      <c r="C289" s="36" t="inlineStr">
        <is>
          <t>0501603025</t>
        </is>
      </c>
      <c r="D289" s="36" t="inlineStr">
        <is>
          <t>Region V (Bicol Region)</t>
        </is>
      </c>
      <c r="E289" s="36" t="inlineStr">
        <is>
          <t>Camarines Norte</t>
        </is>
      </c>
      <c r="F289" s="36" t="inlineStr">
        <is>
          <t>Daet</t>
        </is>
      </c>
      <c r="G289" s="36" t="inlineStr">
        <is>
          <t>Barangay II</t>
        </is>
      </c>
      <c r="H289" s="37" t="n">
        <v>14.104983</v>
      </c>
      <c r="I289" s="37" t="n">
        <v>122.955122</v>
      </c>
      <c r="J289" s="8" t="inlineStr">
        <is>
          <t>R</t>
        </is>
      </c>
      <c r="K289" s="36" t="inlineStr">
        <is>
          <t>Class 1-3 / Urban</t>
        </is>
      </c>
      <c r="L289" s="18" t="n">
        <v>3040</v>
      </c>
      <c r="M289" s="20" t="n">
        <v>4.4</v>
      </c>
      <c r="N289" s="18">
        <f>ROUND(L289/M289, 0)</f>
        <v/>
      </c>
      <c r="O289" s="18">
        <f>ROUND(N289*'Methodology &amp; Assumptions'!$B$8, 0)</f>
        <v/>
      </c>
      <c r="P289" s="8" t="inlineStr">
        <is>
          <t>Band n50 (1.5 GHz, 60 MHz)</t>
        </is>
      </c>
      <c r="Q289" s="38">
        <f>ROUNDUP(O289/'Methodology &amp; Assumptions'!$B$9, 0)</f>
        <v/>
      </c>
      <c r="R289" s="39" t="n">
        <v>1</v>
      </c>
      <c r="S289" s="21" t="n">
        <v>1.07</v>
      </c>
      <c r="T289" s="21" t="n">
        <v>0.46</v>
      </c>
      <c r="U289" s="36" t="inlineStr">
        <is>
          <t>Tier 1B (Micro Drop, 1-3 km)</t>
        </is>
      </c>
      <c r="V289" s="20" t="n">
        <v>79.90000000000001</v>
      </c>
      <c r="W289" s="20" t="n">
        <v>79.2</v>
      </c>
      <c r="X289" s="20" t="n">
        <v>58</v>
      </c>
      <c r="Y289" s="40">
        <f>ROUND((V289*'Methodology &amp; Assumptions'!$B$6)+(W289*'Methodology &amp; Assumptions'!$B$5)+(X289*'Methodology &amp; Assumptions'!$B$7), 2)</f>
        <v/>
      </c>
    </row>
    <row r="290" ht="19" customHeight="1">
      <c r="A290" s="41" t="n">
        <v>286</v>
      </c>
      <c r="B290" s="41" t="n">
        <v>1286</v>
      </c>
      <c r="C290" s="42" t="inlineStr">
        <is>
          <t>0405812012</t>
        </is>
      </c>
      <c r="D290" s="42" t="inlineStr">
        <is>
          <t>Region IV-A (CALABARZON)</t>
        </is>
      </c>
      <c r="E290" s="42" t="inlineStr">
        <is>
          <t>Rizal</t>
        </is>
      </c>
      <c r="F290" s="42" t="inlineStr">
        <is>
          <t>Tanay</t>
        </is>
      </c>
      <c r="G290" s="42" t="inlineStr">
        <is>
          <t>Sampaloc</t>
        </is>
      </c>
      <c r="H290" s="43" t="n">
        <v>14.54634</v>
      </c>
      <c r="I290" s="43" t="n">
        <v>121.3643</v>
      </c>
      <c r="J290" s="44" t="inlineStr">
        <is>
          <t>U</t>
        </is>
      </c>
      <c r="K290" s="42" t="inlineStr">
        <is>
          <t>Class 1-3 / Urban</t>
        </is>
      </c>
      <c r="L290" s="23" t="n">
        <v>31000</v>
      </c>
      <c r="M290" s="24" t="n">
        <v>4.39</v>
      </c>
      <c r="N290" s="23">
        <f>ROUND(L290/M290, 0)</f>
        <v/>
      </c>
      <c r="O290" s="23">
        <f>ROUND(N290*'Methodology &amp; Assumptions'!$B$8, 0)</f>
        <v/>
      </c>
      <c r="P290" s="44" t="inlineStr">
        <is>
          <t>Band n50 (1.5 GHz, 60 MHz)</t>
        </is>
      </c>
      <c r="Q290" s="38">
        <f>ROUNDUP(O290/'Methodology &amp; Assumptions'!$B$9, 0)</f>
        <v/>
      </c>
      <c r="R290" s="39" t="n">
        <v>1</v>
      </c>
      <c r="S290" s="25" t="n">
        <v>0.48</v>
      </c>
      <c r="T290" s="25" t="n">
        <v>9.109999999999999</v>
      </c>
      <c r="U290" s="42" t="inlineStr">
        <is>
          <t>Tier 1A (Direct Coloc, &lt;1 km)</t>
        </is>
      </c>
      <c r="V290" s="24" t="n">
        <v>85.3</v>
      </c>
      <c r="W290" s="24" t="n">
        <v>99.5</v>
      </c>
      <c r="X290" s="24" t="n">
        <v>28</v>
      </c>
      <c r="Y290" s="45">
        <f>ROUND((V290*'Methodology &amp; Assumptions'!$B$6)+(W290*'Methodology &amp; Assumptions'!$B$5)+(X290*'Methodology &amp; Assumptions'!$B$7), 2)</f>
        <v/>
      </c>
    </row>
    <row r="291" ht="19" customHeight="1">
      <c r="A291" s="35" t="n">
        <v>287</v>
      </c>
      <c r="B291" s="35" t="n">
        <v>1287</v>
      </c>
      <c r="C291" s="36" t="inlineStr">
        <is>
          <t>0500503026</t>
        </is>
      </c>
      <c r="D291" s="36" t="inlineStr">
        <is>
          <t>Region V (Bicol Region)</t>
        </is>
      </c>
      <c r="E291" s="36" t="inlineStr">
        <is>
          <t>Albay</t>
        </is>
      </c>
      <c r="F291" s="36" t="inlineStr">
        <is>
          <t>Daraga</t>
        </is>
      </c>
      <c r="G291" s="36" t="inlineStr">
        <is>
          <t>Kimantong</t>
        </is>
      </c>
      <c r="H291" s="37" t="n">
        <v>13.144821</v>
      </c>
      <c r="I291" s="37" t="n">
        <v>123.709825</v>
      </c>
      <c r="J291" s="8" t="inlineStr">
        <is>
          <t>R</t>
        </is>
      </c>
      <c r="K291" s="36" t="inlineStr">
        <is>
          <t>Class 1-3 / Urban</t>
        </is>
      </c>
      <c r="L291" s="18" t="n">
        <v>2065</v>
      </c>
      <c r="M291" s="20" t="n">
        <v>4.67</v>
      </c>
      <c r="N291" s="18">
        <f>ROUND(L291/M291, 0)</f>
        <v/>
      </c>
      <c r="O291" s="18">
        <f>ROUND(N291*'Methodology &amp; Assumptions'!$B$8, 0)</f>
        <v/>
      </c>
      <c r="P291" s="8" t="inlineStr">
        <is>
          <t>Band n50 (1.5 GHz, 60 MHz)</t>
        </is>
      </c>
      <c r="Q291" s="38">
        <f>ROUNDUP(O291/'Methodology &amp; Assumptions'!$B$9, 0)</f>
        <v/>
      </c>
      <c r="R291" s="39" t="n">
        <v>1</v>
      </c>
      <c r="S291" s="21" t="n">
        <v>0.33</v>
      </c>
      <c r="T291" s="21" t="n">
        <v>0.28</v>
      </c>
      <c r="U291" s="36" t="inlineStr">
        <is>
          <t>Tier 1A (Direct Coloc, &lt;1 km)</t>
        </is>
      </c>
      <c r="V291" s="20" t="n">
        <v>99.59999999999999</v>
      </c>
      <c r="W291" s="20" t="n">
        <v>59.5</v>
      </c>
      <c r="X291" s="20" t="n">
        <v>58</v>
      </c>
      <c r="Y291" s="40">
        <f>ROUND((V291*'Methodology &amp; Assumptions'!$B$6)+(W291*'Methodology &amp; Assumptions'!$B$5)+(X291*'Methodology &amp; Assumptions'!$B$7), 2)</f>
        <v/>
      </c>
    </row>
    <row r="292" ht="19" customHeight="1">
      <c r="A292" s="41" t="n">
        <v>288</v>
      </c>
      <c r="B292" s="41" t="n">
        <v>1288</v>
      </c>
      <c r="C292" s="42" t="inlineStr">
        <is>
          <t>0301412001</t>
        </is>
      </c>
      <c r="D292" s="42" t="inlineStr">
        <is>
          <t>Region III (Central Luzon)</t>
        </is>
      </c>
      <c r="E292" s="42" t="inlineStr">
        <is>
          <t>Bulacan</t>
        </is>
      </c>
      <c r="F292" s="42" t="inlineStr">
        <is>
          <t>City of Meycauayan</t>
        </is>
      </c>
      <c r="G292" s="42" t="inlineStr">
        <is>
          <t>Bagbaguin</t>
        </is>
      </c>
      <c r="H292" s="43" t="n">
        <v>14.758107</v>
      </c>
      <c r="I292" s="43" t="n">
        <v>121.006267</v>
      </c>
      <c r="J292" s="44" t="inlineStr">
        <is>
          <t>U</t>
        </is>
      </c>
      <c r="K292" s="42" t="inlineStr">
        <is>
          <t>Class 1-3 / Urban</t>
        </is>
      </c>
      <c r="L292" s="23" t="n">
        <v>8426</v>
      </c>
      <c r="M292" s="24" t="n">
        <v>4.1</v>
      </c>
      <c r="N292" s="23">
        <f>ROUND(L292/M292, 0)</f>
        <v/>
      </c>
      <c r="O292" s="23">
        <f>ROUND(N292*'Methodology &amp; Assumptions'!$B$8, 0)</f>
        <v/>
      </c>
      <c r="P292" s="44" t="inlineStr">
        <is>
          <t>Band n50 (1.5 GHz, 60 MHz)</t>
        </is>
      </c>
      <c r="Q292" s="38">
        <f>ROUNDUP(O292/'Methodology &amp; Assumptions'!$B$9, 0)</f>
        <v/>
      </c>
      <c r="R292" s="39" t="n">
        <v>1</v>
      </c>
      <c r="S292" s="25" t="n">
        <v>0.87</v>
      </c>
      <c r="T292" s="25" t="n">
        <v>0.85</v>
      </c>
      <c r="U292" s="42" t="inlineStr">
        <is>
          <t>Tier 1A (Direct Coloc, &lt;1 km)</t>
        </is>
      </c>
      <c r="V292" s="24" t="n">
        <v>84.8</v>
      </c>
      <c r="W292" s="24" t="n">
        <v>100</v>
      </c>
      <c r="X292" s="24" t="n">
        <v>28</v>
      </c>
      <c r="Y292" s="45">
        <f>ROUND((V292*'Methodology &amp; Assumptions'!$B$6)+(W292*'Methodology &amp; Assumptions'!$B$5)+(X292*'Methodology &amp; Assumptions'!$B$7), 2)</f>
        <v/>
      </c>
    </row>
    <row r="293" ht="19" customHeight="1">
      <c r="A293" s="35" t="n">
        <v>289</v>
      </c>
      <c r="B293" s="35" t="n">
        <v>1289</v>
      </c>
      <c r="C293" s="36" t="inlineStr">
        <is>
          <t>0305415014</t>
        </is>
      </c>
      <c r="D293" s="36" t="inlineStr">
        <is>
          <t>Region III (Central Luzon)</t>
        </is>
      </c>
      <c r="E293" s="36" t="inlineStr">
        <is>
          <t>Pampanga</t>
        </is>
      </c>
      <c r="F293" s="36" t="inlineStr">
        <is>
          <t>Porac</t>
        </is>
      </c>
      <c r="G293" s="36" t="inlineStr">
        <is>
          <t>Jalung</t>
        </is>
      </c>
      <c r="H293" s="37" t="n">
        <v>15.065431</v>
      </c>
      <c r="I293" s="37" t="n">
        <v>120.534711</v>
      </c>
      <c r="J293" s="8" t="inlineStr">
        <is>
          <t>U</t>
        </is>
      </c>
      <c r="K293" s="36" t="inlineStr">
        <is>
          <t>Class 1-3 / Urban</t>
        </is>
      </c>
      <c r="L293" s="18" t="n">
        <v>4803</v>
      </c>
      <c r="M293" s="20" t="n">
        <v>4.63</v>
      </c>
      <c r="N293" s="18">
        <f>ROUND(L293/M293, 0)</f>
        <v/>
      </c>
      <c r="O293" s="18">
        <f>ROUND(N293*'Methodology &amp; Assumptions'!$B$8, 0)</f>
        <v/>
      </c>
      <c r="P293" s="8" t="inlineStr">
        <is>
          <t>Band n50 (1.5 GHz, 60 MHz)</t>
        </is>
      </c>
      <c r="Q293" s="38">
        <f>ROUNDUP(O293/'Methodology &amp; Assumptions'!$B$9, 0)</f>
        <v/>
      </c>
      <c r="R293" s="39" t="n">
        <v>1</v>
      </c>
      <c r="S293" s="21" t="n">
        <v>0.87</v>
      </c>
      <c r="T293" s="21" t="n">
        <v>0.82</v>
      </c>
      <c r="U293" s="36" t="inlineStr">
        <is>
          <t>Tier 1A (Direct Coloc, &lt;1 km)</t>
        </is>
      </c>
      <c r="V293" s="20" t="n">
        <v>84.7</v>
      </c>
      <c r="W293" s="20" t="n">
        <v>100</v>
      </c>
      <c r="X293" s="20" t="n">
        <v>28</v>
      </c>
      <c r="Y293" s="40">
        <f>ROUND((V293*'Methodology &amp; Assumptions'!$B$6)+(W293*'Methodology &amp; Assumptions'!$B$5)+(X293*'Methodology &amp; Assumptions'!$B$7), 2)</f>
        <v/>
      </c>
    </row>
    <row r="294" ht="19" customHeight="1">
      <c r="A294" s="41" t="n">
        <v>290</v>
      </c>
      <c r="B294" s="41" t="n">
        <v>1290</v>
      </c>
      <c r="C294" s="42" t="inlineStr">
        <is>
          <t>0307114013</t>
        </is>
      </c>
      <c r="D294" s="42" t="inlineStr">
        <is>
          <t>Region III (Central Luzon)</t>
        </is>
      </c>
      <c r="E294" s="42" t="inlineStr">
        <is>
          <t>Zambales</t>
        </is>
      </c>
      <c r="F294" s="42" t="inlineStr">
        <is>
          <t>Subic</t>
        </is>
      </c>
      <c r="G294" s="42" t="inlineStr">
        <is>
          <t>Ilwas</t>
        </is>
      </c>
      <c r="H294" s="43" t="n">
        <v>14.898976</v>
      </c>
      <c r="I294" s="43" t="n">
        <v>120.223865</v>
      </c>
      <c r="J294" s="44" t="inlineStr">
        <is>
          <t>R</t>
        </is>
      </c>
      <c r="K294" s="42" t="inlineStr">
        <is>
          <t>Class 1-3 / Urban</t>
        </is>
      </c>
      <c r="L294" s="23" t="n">
        <v>2953</v>
      </c>
      <c r="M294" s="24" t="n">
        <v>4.05</v>
      </c>
      <c r="N294" s="23">
        <f>ROUND(L294/M294, 0)</f>
        <v/>
      </c>
      <c r="O294" s="23">
        <f>ROUND(N294*'Methodology &amp; Assumptions'!$B$8, 0)</f>
        <v/>
      </c>
      <c r="P294" s="44" t="inlineStr">
        <is>
          <t>Band n50 (1.5 GHz, 60 MHz)</t>
        </is>
      </c>
      <c r="Q294" s="38">
        <f>ROUNDUP(O294/'Methodology &amp; Assumptions'!$B$9, 0)</f>
        <v/>
      </c>
      <c r="R294" s="39" t="n">
        <v>1</v>
      </c>
      <c r="S294" s="25" t="n">
        <v>1.86</v>
      </c>
      <c r="T294" s="25" t="n">
        <v>1.1</v>
      </c>
      <c r="U294" s="42" t="inlineStr">
        <is>
          <t>Tier 1B (Micro Drop, 1-3 km)</t>
        </is>
      </c>
      <c r="V294" s="24" t="n">
        <v>63.7</v>
      </c>
      <c r="W294" s="24" t="n">
        <v>82.40000000000001</v>
      </c>
      <c r="X294" s="24" t="n">
        <v>73</v>
      </c>
      <c r="Y294" s="45">
        <f>ROUND((V294*'Methodology &amp; Assumptions'!$B$6)+(W294*'Methodology &amp; Assumptions'!$B$5)+(X294*'Methodology &amp; Assumptions'!$B$7), 2)</f>
        <v/>
      </c>
    </row>
    <row r="295" ht="19" customHeight="1">
      <c r="A295" s="35" t="n">
        <v>291</v>
      </c>
      <c r="B295" s="35" t="n">
        <v>1291</v>
      </c>
      <c r="C295" s="36" t="inlineStr">
        <is>
          <t>1600209017</t>
        </is>
      </c>
      <c r="D295" s="36" t="inlineStr">
        <is>
          <t>Region XIII (Caraga)</t>
        </is>
      </c>
      <c r="E295" s="36" t="inlineStr">
        <is>
          <t>Agusan del Norte</t>
        </is>
      </c>
      <c r="F295" s="36" t="inlineStr">
        <is>
          <t>Nasipit</t>
        </is>
      </c>
      <c r="G295" s="36" t="inlineStr">
        <is>
          <t>Punta</t>
        </is>
      </c>
      <c r="H295" s="37" t="n">
        <v>8.990956000000001</v>
      </c>
      <c r="I295" s="37" t="n">
        <v>125.349254</v>
      </c>
      <c r="J295" s="8" t="inlineStr">
        <is>
          <t>R</t>
        </is>
      </c>
      <c r="K295" s="36" t="inlineStr">
        <is>
          <t>Class 1-3 / Urban</t>
        </is>
      </c>
      <c r="L295" s="18" t="n">
        <v>3902</v>
      </c>
      <c r="M295" s="20" t="n">
        <v>4.63</v>
      </c>
      <c r="N295" s="18">
        <f>ROUND(L295/M295, 0)</f>
        <v/>
      </c>
      <c r="O295" s="18">
        <f>ROUND(N295*'Methodology &amp; Assumptions'!$B$8, 0)</f>
        <v/>
      </c>
      <c r="P295" s="8" t="inlineStr">
        <is>
          <t>Band n50 (1.5 GHz, 60 MHz)</t>
        </is>
      </c>
      <c r="Q295" s="38">
        <f>ROUNDUP(O295/'Methodology &amp; Assumptions'!$B$9, 0)</f>
        <v/>
      </c>
      <c r="R295" s="39" t="n">
        <v>1</v>
      </c>
      <c r="S295" s="21" t="n">
        <v>1.66</v>
      </c>
      <c r="T295" s="21" t="n">
        <v>1.61</v>
      </c>
      <c r="U295" s="36" t="inlineStr">
        <is>
          <t>Tier 1B (Micro Drop, 1-3 km)</t>
        </is>
      </c>
      <c r="V295" s="20" t="n">
        <v>67.5</v>
      </c>
      <c r="W295" s="20" t="n">
        <v>91.5</v>
      </c>
      <c r="X295" s="20" t="n">
        <v>58</v>
      </c>
      <c r="Y295" s="40">
        <f>ROUND((V295*'Methodology &amp; Assumptions'!$B$6)+(W295*'Methodology &amp; Assumptions'!$B$5)+(X295*'Methodology &amp; Assumptions'!$B$7), 2)</f>
        <v/>
      </c>
    </row>
    <row r="296" ht="19" customHeight="1">
      <c r="A296" s="41" t="n">
        <v>292</v>
      </c>
      <c r="B296" s="41" t="n">
        <v>1292</v>
      </c>
      <c r="C296" s="42" t="inlineStr">
        <is>
          <t>0403417002</t>
        </is>
      </c>
      <c r="D296" s="42" t="inlineStr">
        <is>
          <t>Region IV-A (CALABARZON)</t>
        </is>
      </c>
      <c r="E296" s="42" t="inlineStr">
        <is>
          <t>Laguna</t>
        </is>
      </c>
      <c r="F296" s="42" t="inlineStr">
        <is>
          <t>Nagcarlan</t>
        </is>
      </c>
      <c r="G296" s="42" t="inlineStr">
        <is>
          <t>Alibungbungan</t>
        </is>
      </c>
      <c r="H296" s="43" t="n">
        <v>14.140824</v>
      </c>
      <c r="I296" s="43" t="n">
        <v>121.416146</v>
      </c>
      <c r="J296" s="44" t="inlineStr">
        <is>
          <t>R</t>
        </is>
      </c>
      <c r="K296" s="42" t="inlineStr">
        <is>
          <t>Class 1-3 / Urban</t>
        </is>
      </c>
      <c r="L296" s="23" t="n">
        <v>1971</v>
      </c>
      <c r="M296" s="24" t="n">
        <v>4.2</v>
      </c>
      <c r="N296" s="23">
        <f>ROUND(L296/M296, 0)</f>
        <v/>
      </c>
      <c r="O296" s="23">
        <f>ROUND(N296*'Methodology &amp; Assumptions'!$B$8, 0)</f>
        <v/>
      </c>
      <c r="P296" s="44" t="inlineStr">
        <is>
          <t>Band n50 (1.5 GHz, 60 MHz)</t>
        </is>
      </c>
      <c r="Q296" s="38">
        <f>ROUNDUP(O296/'Methodology &amp; Assumptions'!$B$9, 0)</f>
        <v/>
      </c>
      <c r="R296" s="39" t="n">
        <v>1</v>
      </c>
      <c r="S296" s="25" t="n">
        <v>0.41</v>
      </c>
      <c r="T296" s="25" t="n">
        <v>0.35</v>
      </c>
      <c r="U296" s="42" t="inlineStr">
        <is>
          <t>Tier 1A (Direct Coloc, &lt;1 km)</t>
        </is>
      </c>
      <c r="V296" s="24" t="n">
        <v>97.40000000000001</v>
      </c>
      <c r="W296" s="24" t="n">
        <v>61.6</v>
      </c>
      <c r="X296" s="24" t="n">
        <v>58</v>
      </c>
      <c r="Y296" s="45">
        <f>ROUND((V296*'Methodology &amp; Assumptions'!$B$6)+(W296*'Methodology &amp; Assumptions'!$B$5)+(X296*'Methodology &amp; Assumptions'!$B$7), 2)</f>
        <v/>
      </c>
    </row>
    <row r="297" ht="19" customHeight="1">
      <c r="A297" s="35" t="n">
        <v>293</v>
      </c>
      <c r="B297" s="35" t="n">
        <v>1293</v>
      </c>
      <c r="C297" s="36" t="inlineStr">
        <is>
          <t>0402103046</t>
        </is>
      </c>
      <c r="D297" s="36" t="inlineStr">
        <is>
          <t>Region IV-A (CALABARZON)</t>
        </is>
      </c>
      <c r="E297" s="36" t="inlineStr">
        <is>
          <t>Cavite</t>
        </is>
      </c>
      <c r="F297" s="36" t="inlineStr">
        <is>
          <t>City of Bacoor</t>
        </is>
      </c>
      <c r="G297" s="36" t="inlineStr">
        <is>
          <t>Molino III</t>
        </is>
      </c>
      <c r="H297" s="37" t="n">
        <v>14.39825</v>
      </c>
      <c r="I297" s="37" t="n">
        <v>120.978445</v>
      </c>
      <c r="J297" s="8" t="inlineStr">
        <is>
          <t>U</t>
        </is>
      </c>
      <c r="K297" s="36" t="inlineStr">
        <is>
          <t>Class 1-3 / Urban</t>
        </is>
      </c>
      <c r="L297" s="18" t="n">
        <v>60495</v>
      </c>
      <c r="M297" s="20" t="n">
        <v>4.49</v>
      </c>
      <c r="N297" s="18">
        <f>ROUND(L297/M297, 0)</f>
        <v/>
      </c>
      <c r="O297" s="18">
        <f>ROUND(N297*'Methodology &amp; Assumptions'!$B$8, 0)</f>
        <v/>
      </c>
      <c r="P297" s="8" t="inlineStr">
        <is>
          <t>Band n50 (1.5 GHz, 60 MHz)</t>
        </is>
      </c>
      <c r="Q297" s="38">
        <f>ROUNDUP(O297/'Methodology &amp; Assumptions'!$B$9, 0)</f>
        <v/>
      </c>
      <c r="R297" s="39" t="n">
        <v>1</v>
      </c>
      <c r="S297" s="21" t="n">
        <v>0.35</v>
      </c>
      <c r="T297" s="21" t="n">
        <v>4.95</v>
      </c>
      <c r="U297" s="36" t="inlineStr">
        <is>
          <t>Tier 1A (Direct Coloc, &lt;1 km)</t>
        </is>
      </c>
      <c r="V297" s="20" t="n">
        <v>89.09999999999999</v>
      </c>
      <c r="W297" s="20" t="n">
        <v>95.59999999999999</v>
      </c>
      <c r="X297" s="20" t="n">
        <v>28</v>
      </c>
      <c r="Y297" s="40">
        <f>ROUND((V297*'Methodology &amp; Assumptions'!$B$6)+(W297*'Methodology &amp; Assumptions'!$B$5)+(X297*'Methodology &amp; Assumptions'!$B$7), 2)</f>
        <v/>
      </c>
    </row>
    <row r="298" ht="19" customHeight="1">
      <c r="A298" s="41" t="n">
        <v>294</v>
      </c>
      <c r="B298" s="41" t="n">
        <v>1294</v>
      </c>
      <c r="C298" s="42" t="inlineStr">
        <is>
          <t>0501610019</t>
        </is>
      </c>
      <c r="D298" s="42" t="inlineStr">
        <is>
          <t>Region V (Bicol Region)</t>
        </is>
      </c>
      <c r="E298" s="42" t="inlineStr">
        <is>
          <t>Camarines Norte</t>
        </is>
      </c>
      <c r="F298" s="42" t="inlineStr">
        <is>
          <t>Santa Elena</t>
        </is>
      </c>
      <c r="G298" s="42" t="inlineStr">
        <is>
          <t>Tabugon</t>
        </is>
      </c>
      <c r="H298" s="43" t="n">
        <v>14.0741</v>
      </c>
      <c r="I298" s="43" t="n">
        <v>122.3729</v>
      </c>
      <c r="J298" s="44" t="inlineStr">
        <is>
          <t>R</t>
        </is>
      </c>
      <c r="K298" s="42" t="inlineStr">
        <is>
          <t>Class 1-3 / Urban</t>
        </is>
      </c>
      <c r="L298" s="23" t="n">
        <v>1920</v>
      </c>
      <c r="M298" s="24" t="n">
        <v>4.4</v>
      </c>
      <c r="N298" s="23">
        <f>ROUND(L298/M298, 0)</f>
        <v/>
      </c>
      <c r="O298" s="23">
        <f>ROUND(N298*'Methodology &amp; Assumptions'!$B$8, 0)</f>
        <v/>
      </c>
      <c r="P298" s="44" t="inlineStr">
        <is>
          <t>Band n50 (1.5 GHz, 60 MHz)</t>
        </is>
      </c>
      <c r="Q298" s="38">
        <f>ROUNDUP(O298/'Methodology &amp; Assumptions'!$B$9, 0)</f>
        <v/>
      </c>
      <c r="R298" s="39" t="n">
        <v>1</v>
      </c>
      <c r="S298" s="25" t="n">
        <v>0.05</v>
      </c>
      <c r="T298" s="25" t="n">
        <v>0.06</v>
      </c>
      <c r="U298" s="42" t="inlineStr">
        <is>
          <t>Tier 1A (Direct Coloc, &lt;1 km)</t>
        </is>
      </c>
      <c r="V298" s="24" t="n">
        <v>100</v>
      </c>
      <c r="W298" s="24" t="n">
        <v>58.9</v>
      </c>
      <c r="X298" s="24" t="n">
        <v>58</v>
      </c>
      <c r="Y298" s="45">
        <f>ROUND((V298*'Methodology &amp; Assumptions'!$B$6)+(W298*'Methodology &amp; Assumptions'!$B$5)+(X298*'Methodology &amp; Assumptions'!$B$7), 2)</f>
        <v/>
      </c>
    </row>
    <row r="299" ht="19" customHeight="1">
      <c r="A299" s="35" t="n">
        <v>295</v>
      </c>
      <c r="B299" s="35" t="n">
        <v>1295</v>
      </c>
      <c r="C299" s="36" t="inlineStr">
        <is>
          <t>1430300089</t>
        </is>
      </c>
      <c r="D299" s="36" t="inlineStr">
        <is>
          <t>Cordillera Administrative Region (CAR)</t>
        </is>
      </c>
      <c r="E299" s="36" t="inlineStr">
        <is>
          <t>Benguet</t>
        </is>
      </c>
      <c r="F299" s="36" t="inlineStr">
        <is>
          <t>City of Baguio</t>
        </is>
      </c>
      <c r="G299" s="36" t="inlineStr">
        <is>
          <t>Poliwes</t>
        </is>
      </c>
      <c r="H299" s="37" t="n">
        <v>16.39629</v>
      </c>
      <c r="I299" s="37" t="n">
        <v>120.59973</v>
      </c>
      <c r="J299" s="8" t="inlineStr">
        <is>
          <t>R</t>
        </is>
      </c>
      <c r="K299" s="36" t="inlineStr">
        <is>
          <t>Class 1-3 / Urban</t>
        </is>
      </c>
      <c r="L299" s="18" t="n">
        <v>2855</v>
      </c>
      <c r="M299" s="20" t="n">
        <v>4.58</v>
      </c>
      <c r="N299" s="18">
        <f>ROUND(L299/M299, 0)</f>
        <v/>
      </c>
      <c r="O299" s="18">
        <f>ROUND(N299*'Methodology &amp; Assumptions'!$B$8, 0)</f>
        <v/>
      </c>
      <c r="P299" s="8" t="inlineStr">
        <is>
          <t>Band n50 (1.5 GHz, 60 MHz)</t>
        </is>
      </c>
      <c r="Q299" s="38">
        <f>ROUNDUP(O299/'Methodology &amp; Assumptions'!$B$9, 0)</f>
        <v/>
      </c>
      <c r="R299" s="39" t="n">
        <v>1</v>
      </c>
      <c r="S299" s="21" t="n">
        <v>0.71</v>
      </c>
      <c r="T299" s="21" t="n">
        <v>0.64</v>
      </c>
      <c r="U299" s="36" t="inlineStr">
        <is>
          <t>Tier 1A (Direct Coloc, &lt;1 km)</t>
        </is>
      </c>
      <c r="V299" s="20" t="n">
        <v>89</v>
      </c>
      <c r="W299" s="20" t="n">
        <v>69.90000000000001</v>
      </c>
      <c r="X299" s="20" t="n">
        <v>58</v>
      </c>
      <c r="Y299" s="40">
        <f>ROUND((V299*'Methodology &amp; Assumptions'!$B$6)+(W299*'Methodology &amp; Assumptions'!$B$5)+(X299*'Methodology &amp; Assumptions'!$B$7), 2)</f>
        <v/>
      </c>
    </row>
    <row r="300" ht="19" customHeight="1">
      <c r="A300" s="41" t="n">
        <v>296</v>
      </c>
      <c r="B300" s="41" t="n">
        <v>1296</v>
      </c>
      <c r="C300" s="42" t="inlineStr">
        <is>
          <t>0500508025</t>
        </is>
      </c>
      <c r="D300" s="42" t="inlineStr">
        <is>
          <t>Region V (Bicol Region)</t>
        </is>
      </c>
      <c r="E300" s="42" t="inlineStr">
        <is>
          <t>Albay</t>
        </is>
      </c>
      <c r="F300" s="42" t="inlineStr">
        <is>
          <t>City of Ligao</t>
        </is>
      </c>
      <c r="G300" s="42" t="inlineStr">
        <is>
          <t>Guilid</t>
        </is>
      </c>
      <c r="H300" s="43" t="n">
        <v>13.242739</v>
      </c>
      <c r="I300" s="43" t="n">
        <v>123.53427</v>
      </c>
      <c r="J300" s="44" t="inlineStr">
        <is>
          <t>U</t>
        </is>
      </c>
      <c r="K300" s="42" t="inlineStr">
        <is>
          <t>Class 1-3 / Urban</t>
        </is>
      </c>
      <c r="L300" s="23" t="n">
        <v>3663</v>
      </c>
      <c r="M300" s="24" t="n">
        <v>4.67</v>
      </c>
      <c r="N300" s="23">
        <f>ROUND(L300/M300, 0)</f>
        <v/>
      </c>
      <c r="O300" s="23">
        <f>ROUND(N300*'Methodology &amp; Assumptions'!$B$8, 0)</f>
        <v/>
      </c>
      <c r="P300" s="44" t="inlineStr">
        <is>
          <t>Band n50 (1.5 GHz, 60 MHz)</t>
        </is>
      </c>
      <c r="Q300" s="38">
        <f>ROUNDUP(O300/'Methodology &amp; Assumptions'!$B$9, 0)</f>
        <v/>
      </c>
      <c r="R300" s="39" t="n">
        <v>1</v>
      </c>
      <c r="S300" s="25" t="n">
        <v>0.39</v>
      </c>
      <c r="T300" s="25" t="n">
        <v>0.27</v>
      </c>
      <c r="U300" s="42" t="inlineStr">
        <is>
          <t>Tier 1A (Direct Coloc, &lt;1 km)</t>
        </is>
      </c>
      <c r="V300" s="24" t="n">
        <v>97.90000000000001</v>
      </c>
      <c r="W300" s="24" t="n">
        <v>86.7</v>
      </c>
      <c r="X300" s="24" t="n">
        <v>28</v>
      </c>
      <c r="Y300" s="45">
        <f>ROUND((V300*'Methodology &amp; Assumptions'!$B$6)+(W300*'Methodology &amp; Assumptions'!$B$5)+(X300*'Methodology &amp; Assumptions'!$B$7), 2)</f>
        <v/>
      </c>
    </row>
    <row r="301" ht="19" customHeight="1">
      <c r="A301" s="35" t="n">
        <v>297</v>
      </c>
      <c r="B301" s="35" t="n">
        <v>1297</v>
      </c>
      <c r="C301" s="36" t="inlineStr">
        <is>
          <t>0501603032</t>
        </is>
      </c>
      <c r="D301" s="36" t="inlineStr">
        <is>
          <t>Region V (Bicol Region)</t>
        </is>
      </c>
      <c r="E301" s="36" t="inlineStr">
        <is>
          <t>Camarines Norte</t>
        </is>
      </c>
      <c r="F301" s="36" t="inlineStr">
        <is>
          <t>Daet</t>
        </is>
      </c>
      <c r="G301" s="36" t="inlineStr">
        <is>
          <t>San Isidro</t>
        </is>
      </c>
      <c r="H301" s="37" t="n">
        <v>14.109564</v>
      </c>
      <c r="I301" s="37" t="n">
        <v>122.966137</v>
      </c>
      <c r="J301" s="8" t="inlineStr">
        <is>
          <t>R</t>
        </is>
      </c>
      <c r="K301" s="36" t="inlineStr">
        <is>
          <t>Class 1-3 / Urban</t>
        </is>
      </c>
      <c r="L301" s="18" t="n">
        <v>3479</v>
      </c>
      <c r="M301" s="20" t="n">
        <v>4.4</v>
      </c>
      <c r="N301" s="18">
        <f>ROUND(L301/M301, 0)</f>
        <v/>
      </c>
      <c r="O301" s="18">
        <f>ROUND(N301*'Methodology &amp; Assumptions'!$B$8, 0)</f>
        <v/>
      </c>
      <c r="P301" s="8" t="inlineStr">
        <is>
          <t>Band n50 (1.5 GHz, 60 MHz)</t>
        </is>
      </c>
      <c r="Q301" s="38">
        <f>ROUNDUP(O301/'Methodology &amp; Assumptions'!$B$9, 0)</f>
        <v/>
      </c>
      <c r="R301" s="39" t="n">
        <v>1</v>
      </c>
      <c r="S301" s="21" t="n">
        <v>1.45</v>
      </c>
      <c r="T301" s="21" t="n">
        <v>1.59</v>
      </c>
      <c r="U301" s="36" t="inlineStr">
        <is>
          <t>Tier 1B (Micro Drop, 1-3 km)</t>
        </is>
      </c>
      <c r="V301" s="20" t="n">
        <v>71.7</v>
      </c>
      <c r="W301" s="20" t="n">
        <v>87.2</v>
      </c>
      <c r="X301" s="20" t="n">
        <v>58</v>
      </c>
      <c r="Y301" s="40">
        <f>ROUND((V301*'Methodology &amp; Assumptions'!$B$6)+(W301*'Methodology &amp; Assumptions'!$B$5)+(X301*'Methodology &amp; Assumptions'!$B$7), 2)</f>
        <v/>
      </c>
    </row>
    <row r="302" ht="19" customHeight="1">
      <c r="A302" s="41" t="n">
        <v>298</v>
      </c>
      <c r="B302" s="41" t="n">
        <v>1298</v>
      </c>
      <c r="C302" s="42" t="inlineStr">
        <is>
          <t>0405803002</t>
        </is>
      </c>
      <c r="D302" s="42" t="inlineStr">
        <is>
          <t>Region IV-A (CALABARZON)</t>
        </is>
      </c>
      <c r="E302" s="42" t="inlineStr">
        <is>
          <t>Rizal</t>
        </is>
      </c>
      <c r="F302" s="42" t="inlineStr">
        <is>
          <t>Baras</t>
        </is>
      </c>
      <c r="G302" s="42" t="inlineStr">
        <is>
          <t>Rizal</t>
        </is>
      </c>
      <c r="H302" s="43" t="n">
        <v>14.52312</v>
      </c>
      <c r="I302" s="43" t="n">
        <v>121.26553</v>
      </c>
      <c r="J302" s="44" t="inlineStr">
        <is>
          <t>R</t>
        </is>
      </c>
      <c r="K302" s="42" t="inlineStr">
        <is>
          <t>1st</t>
        </is>
      </c>
      <c r="L302" s="23" t="n">
        <v>1943</v>
      </c>
      <c r="M302" s="24" t="n">
        <v>4.14</v>
      </c>
      <c r="N302" s="23">
        <f>ROUND(L302/M302, 0)</f>
        <v/>
      </c>
      <c r="O302" s="23">
        <f>ROUND(N302*'Methodology &amp; Assumptions'!$B$8, 0)</f>
        <v/>
      </c>
      <c r="P302" s="44" t="inlineStr">
        <is>
          <t>Band n50 (1.5 GHz, 60 MHz)</t>
        </is>
      </c>
      <c r="Q302" s="38">
        <f>ROUNDUP(O302/'Methodology &amp; Assumptions'!$B$9, 0)</f>
        <v/>
      </c>
      <c r="R302" s="39" t="n">
        <v>1</v>
      </c>
      <c r="S302" s="25" t="n">
        <v>0.41</v>
      </c>
      <c r="T302" s="25" t="n">
        <v>0.01</v>
      </c>
      <c r="U302" s="42" t="inlineStr">
        <is>
          <t>Tier 1A (Direct Coloc, &lt;1 km)</t>
        </is>
      </c>
      <c r="V302" s="24" t="n">
        <v>97.2</v>
      </c>
      <c r="W302" s="24" t="n">
        <v>61.6</v>
      </c>
      <c r="X302" s="24" t="n">
        <v>58</v>
      </c>
      <c r="Y302" s="45">
        <f>ROUND((V302*'Methodology &amp; Assumptions'!$B$6)+(W302*'Methodology &amp; Assumptions'!$B$5)+(X302*'Methodology &amp; Assumptions'!$B$7), 2)</f>
        <v/>
      </c>
    </row>
    <row r="303" ht="19" customHeight="1">
      <c r="A303" s="35" t="n">
        <v>299</v>
      </c>
      <c r="B303" s="35" t="n">
        <v>1299</v>
      </c>
      <c r="C303" s="36" t="inlineStr">
        <is>
          <t>0604515025</t>
        </is>
      </c>
      <c r="D303" s="36" t="inlineStr">
        <is>
          <t>Region VI (Western Visayas)</t>
        </is>
      </c>
      <c r="E303" s="36" t="inlineStr">
        <is>
          <t>Negros Occidental</t>
        </is>
      </c>
      <c r="F303" s="36" t="inlineStr">
        <is>
          <t>City of Kabankalan</t>
        </is>
      </c>
      <c r="G303" s="36" t="inlineStr">
        <is>
          <t>Barangay 4</t>
        </is>
      </c>
      <c r="H303" s="37" t="n">
        <v>9.991212000000001</v>
      </c>
      <c r="I303" s="37" t="n">
        <v>122.818162</v>
      </c>
      <c r="J303" s="8" t="inlineStr">
        <is>
          <t>R</t>
        </is>
      </c>
      <c r="K303" s="36" t="inlineStr">
        <is>
          <t>Class 1-3 / Urban</t>
        </is>
      </c>
      <c r="L303" s="18" t="n">
        <v>1408</v>
      </c>
      <c r="M303" s="20" t="n">
        <v>4.33</v>
      </c>
      <c r="N303" s="18">
        <f>ROUND(L303/M303, 0)</f>
        <v/>
      </c>
      <c r="O303" s="18">
        <f>ROUND(N303*'Methodology &amp; Assumptions'!$B$8, 0)</f>
        <v/>
      </c>
      <c r="P303" s="8" t="inlineStr">
        <is>
          <t>Band n50 (1.5 GHz, 60 MHz)</t>
        </is>
      </c>
      <c r="Q303" s="38">
        <f>ROUNDUP(O303/'Methodology &amp; Assumptions'!$B$9, 0)</f>
        <v/>
      </c>
      <c r="R303" s="39" t="n">
        <v>1</v>
      </c>
      <c r="S303" s="21" t="n">
        <v>0.46</v>
      </c>
      <c r="T303" s="21" t="n">
        <v>0.13</v>
      </c>
      <c r="U303" s="36" t="inlineStr">
        <is>
          <t>Tier 1A (Direct Coloc, &lt;1 km)</t>
        </is>
      </c>
      <c r="V303" s="20" t="n">
        <v>95.8</v>
      </c>
      <c r="W303" s="20" t="n">
        <v>50.1</v>
      </c>
      <c r="X303" s="20" t="n">
        <v>73</v>
      </c>
      <c r="Y303" s="40">
        <f>ROUND((V303*'Methodology &amp; Assumptions'!$B$6)+(W303*'Methodology &amp; Assumptions'!$B$5)+(X303*'Methodology &amp; Assumptions'!$B$7), 2)</f>
        <v/>
      </c>
    </row>
    <row r="304" ht="19" customHeight="1">
      <c r="A304" s="41" t="n">
        <v>300</v>
      </c>
      <c r="B304" s="41" t="n">
        <v>1300</v>
      </c>
      <c r="C304" s="42" t="inlineStr">
        <is>
          <t>0306917024</t>
        </is>
      </c>
      <c r="D304" s="42" t="inlineStr">
        <is>
          <t>Region III (Central Luzon)</t>
        </is>
      </c>
      <c r="E304" s="42" t="inlineStr">
        <is>
          <t>Tarlac</t>
        </is>
      </c>
      <c r="F304" s="42" t="inlineStr">
        <is>
          <t>Victoria</t>
        </is>
      </c>
      <c r="G304" s="42" t="inlineStr">
        <is>
          <t>San Nicolas</t>
        </is>
      </c>
      <c r="H304" s="43" t="n">
        <v>15.57912</v>
      </c>
      <c r="I304" s="43" t="n">
        <v>120.68086</v>
      </c>
      <c r="J304" s="44" t="inlineStr">
        <is>
          <t>R</t>
        </is>
      </c>
      <c r="K304" s="42" t="inlineStr">
        <is>
          <t>Class 1-3 / Urban</t>
        </is>
      </c>
      <c r="L304" s="23" t="n">
        <v>2756</v>
      </c>
      <c r="M304" s="24" t="n">
        <v>4.3</v>
      </c>
      <c r="N304" s="23">
        <f>ROUND(L304/M304, 0)</f>
        <v/>
      </c>
      <c r="O304" s="23">
        <f>ROUND(N304*'Methodology &amp; Assumptions'!$B$8, 0)</f>
        <v/>
      </c>
      <c r="P304" s="44" t="inlineStr">
        <is>
          <t>Band n50 (1.5 GHz, 60 MHz)</t>
        </is>
      </c>
      <c r="Q304" s="38">
        <f>ROUNDUP(O304/'Methodology &amp; Assumptions'!$B$9, 0)</f>
        <v/>
      </c>
      <c r="R304" s="39" t="n">
        <v>1</v>
      </c>
      <c r="S304" s="25" t="n">
        <v>0.54</v>
      </c>
      <c r="T304" s="25" t="n">
        <v>5.86</v>
      </c>
      <c r="U304" s="42" t="inlineStr">
        <is>
          <t>Tier 1A (Direct Coloc, &lt;1 km)</t>
        </is>
      </c>
      <c r="V304" s="24" t="n">
        <v>83.59999999999999</v>
      </c>
      <c r="W304" s="24" t="n">
        <v>75.2</v>
      </c>
      <c r="X304" s="24" t="n">
        <v>58</v>
      </c>
      <c r="Y304" s="45">
        <f>ROUND((V304*'Methodology &amp; Assumptions'!$B$6)+(W304*'Methodology &amp; Assumptions'!$B$5)+(X304*'Methodology &amp; Assumptions'!$B$7), 2)</f>
        <v/>
      </c>
    </row>
    <row r="305" ht="19" customHeight="1">
      <c r="A305" s="35" t="n">
        <v>301</v>
      </c>
      <c r="B305" s="35" t="n">
        <v>1301</v>
      </c>
      <c r="C305" s="36" t="inlineStr">
        <is>
          <t>0501724001</t>
        </is>
      </c>
      <c r="D305" s="36" t="inlineStr">
        <is>
          <t>Region V (Bicol Region)</t>
        </is>
      </c>
      <c r="E305" s="36" t="inlineStr">
        <is>
          <t>Camarines Sur</t>
        </is>
      </c>
      <c r="F305" s="36" t="inlineStr">
        <is>
          <t>City of Naga</t>
        </is>
      </c>
      <c r="G305" s="36" t="inlineStr">
        <is>
          <t>Abella</t>
        </is>
      </c>
      <c r="H305" s="37" t="n">
        <v>13.625219</v>
      </c>
      <c r="I305" s="37" t="n">
        <v>123.178147</v>
      </c>
      <c r="J305" s="8" t="inlineStr">
        <is>
          <t>U</t>
        </is>
      </c>
      <c r="K305" s="36" t="inlineStr">
        <is>
          <t>Class 1-3 / Urban</t>
        </is>
      </c>
      <c r="L305" s="18" t="n">
        <v>5757</v>
      </c>
      <c r="M305" s="20" t="n">
        <v>4.9</v>
      </c>
      <c r="N305" s="18">
        <f>ROUND(L305/M305, 0)</f>
        <v/>
      </c>
      <c r="O305" s="18">
        <f>ROUND(N305*'Methodology &amp; Assumptions'!$B$8, 0)</f>
        <v/>
      </c>
      <c r="P305" s="8" t="inlineStr">
        <is>
          <t>Band n50 (1.5 GHz, 60 MHz)</t>
        </is>
      </c>
      <c r="Q305" s="38">
        <f>ROUNDUP(O305/'Methodology &amp; Assumptions'!$B$9, 0)</f>
        <v/>
      </c>
      <c r="R305" s="39" t="n">
        <v>1</v>
      </c>
      <c r="S305" s="21" t="n">
        <v>0.88</v>
      </c>
      <c r="T305" s="21" t="n">
        <v>1.31</v>
      </c>
      <c r="U305" s="36" t="inlineStr">
        <is>
          <t>Tier 1A (Direct Coloc, &lt;1 km)</t>
        </is>
      </c>
      <c r="V305" s="20" t="n">
        <v>84.5</v>
      </c>
      <c r="W305" s="20" t="n">
        <v>100</v>
      </c>
      <c r="X305" s="20" t="n">
        <v>28</v>
      </c>
      <c r="Y305" s="40">
        <f>ROUND((V305*'Methodology &amp; Assumptions'!$B$6)+(W305*'Methodology &amp; Assumptions'!$B$5)+(X305*'Methodology &amp; Assumptions'!$B$7), 2)</f>
        <v/>
      </c>
    </row>
    <row r="306" ht="19" customHeight="1">
      <c r="A306" s="41" t="n">
        <v>302</v>
      </c>
      <c r="B306" s="41" t="n">
        <v>1302</v>
      </c>
      <c r="C306" s="42" t="inlineStr">
        <is>
          <t>0201522010</t>
        </is>
      </c>
      <c r="D306" s="42" t="inlineStr">
        <is>
          <t>Region II (Cagayan Valley)</t>
        </is>
      </c>
      <c r="E306" s="42" t="inlineStr">
        <is>
          <t>Cagayan</t>
        </is>
      </c>
      <c r="F306" s="42" t="inlineStr">
        <is>
          <t>Sanchez-Mira</t>
        </is>
      </c>
      <c r="G306" s="42" t="inlineStr">
        <is>
          <t>Langagan</t>
        </is>
      </c>
      <c r="H306" s="43" t="n">
        <v>18.5544</v>
      </c>
      <c r="I306" s="43" t="n">
        <v>121.2409</v>
      </c>
      <c r="J306" s="44" t="inlineStr">
        <is>
          <t>R</t>
        </is>
      </c>
      <c r="K306" s="42" t="inlineStr">
        <is>
          <t>Class 1-3 / Urban</t>
        </is>
      </c>
      <c r="L306" s="23" t="n">
        <v>2436</v>
      </c>
      <c r="M306" s="24" t="n">
        <v>4.38</v>
      </c>
      <c r="N306" s="23">
        <f>ROUND(L306/M306, 0)</f>
        <v/>
      </c>
      <c r="O306" s="23">
        <f>ROUND(N306*'Methodology &amp; Assumptions'!$B$8, 0)</f>
        <v/>
      </c>
      <c r="P306" s="44" t="inlineStr">
        <is>
          <t>Band n50 (1.5 GHz, 60 MHz)</t>
        </is>
      </c>
      <c r="Q306" s="38">
        <f>ROUNDUP(O306/'Methodology &amp; Assumptions'!$B$9, 0)</f>
        <v/>
      </c>
      <c r="R306" s="39" t="n">
        <v>1</v>
      </c>
      <c r="S306" s="25" t="n">
        <v>0.66</v>
      </c>
      <c r="T306" s="25" t="n">
        <v>0.07000000000000001</v>
      </c>
      <c r="U306" s="42" t="inlineStr">
        <is>
          <t>Tier 1A (Direct Coloc, &lt;1 km)</t>
        </is>
      </c>
      <c r="V306" s="24" t="n">
        <v>90.2</v>
      </c>
      <c r="W306" s="24" t="n">
        <v>68.5</v>
      </c>
      <c r="X306" s="24" t="n">
        <v>58</v>
      </c>
      <c r="Y306" s="45">
        <f>ROUND((V306*'Methodology &amp; Assumptions'!$B$6)+(W306*'Methodology &amp; Assumptions'!$B$5)+(X306*'Methodology &amp; Assumptions'!$B$7), 2)</f>
        <v/>
      </c>
    </row>
    <row r="307" ht="19" customHeight="1">
      <c r="A307" s="35" t="n">
        <v>303</v>
      </c>
      <c r="B307" s="35" t="n">
        <v>1303</v>
      </c>
      <c r="C307" s="36" t="inlineStr">
        <is>
          <t>1606801015</t>
        </is>
      </c>
      <c r="D307" s="36" t="inlineStr">
        <is>
          <t>Region XIII (Caraga)</t>
        </is>
      </c>
      <c r="E307" s="36" t="inlineStr">
        <is>
          <t>Surigao del Sur</t>
        </is>
      </c>
      <c r="F307" s="36" t="inlineStr">
        <is>
          <t>Barobo</t>
        </is>
      </c>
      <c r="G307" s="36" t="inlineStr">
        <is>
          <t>Poblacion</t>
        </is>
      </c>
      <c r="H307" s="37" t="n">
        <v>8.53692</v>
      </c>
      <c r="I307" s="37" t="n">
        <v>126.12</v>
      </c>
      <c r="J307" s="8" t="inlineStr">
        <is>
          <t>U</t>
        </is>
      </c>
      <c r="K307" s="36" t="inlineStr">
        <is>
          <t>Class 1-3 / Urban</t>
        </is>
      </c>
      <c r="L307" s="18" t="n">
        <v>14534</v>
      </c>
      <c r="M307" s="20" t="n">
        <v>4.56</v>
      </c>
      <c r="N307" s="18">
        <f>ROUND(L307/M307, 0)</f>
        <v/>
      </c>
      <c r="O307" s="18">
        <f>ROUND(N307*'Methodology &amp; Assumptions'!$B$8, 0)</f>
        <v/>
      </c>
      <c r="P307" s="8" t="inlineStr">
        <is>
          <t>Band n50 (1.5 GHz, 60 MHz)</t>
        </is>
      </c>
      <c r="Q307" s="38">
        <f>ROUNDUP(O307/'Methodology &amp; Assumptions'!$B$9, 0)</f>
        <v/>
      </c>
      <c r="R307" s="39" t="n">
        <v>1</v>
      </c>
      <c r="S307" s="21" t="n">
        <v>0.88</v>
      </c>
      <c r="T307" s="21" t="n">
        <v>0.16</v>
      </c>
      <c r="U307" s="36" t="inlineStr">
        <is>
          <t>Tier 1A (Direct Coloc, &lt;1 km)</t>
        </is>
      </c>
      <c r="V307" s="20" t="n">
        <v>84.5</v>
      </c>
      <c r="W307" s="20" t="n">
        <v>100</v>
      </c>
      <c r="X307" s="20" t="n">
        <v>28</v>
      </c>
      <c r="Y307" s="40">
        <f>ROUND((V307*'Methodology &amp; Assumptions'!$B$6)+(W307*'Methodology &amp; Assumptions'!$B$5)+(X307*'Methodology &amp; Assumptions'!$B$7), 2)</f>
        <v/>
      </c>
    </row>
    <row r="308" ht="19" customHeight="1">
      <c r="A308" s="41" t="n">
        <v>304</v>
      </c>
      <c r="B308" s="41" t="n">
        <v>1304</v>
      </c>
      <c r="C308" s="42" t="inlineStr">
        <is>
          <t>1001306014</t>
        </is>
      </c>
      <c r="D308" s="42" t="inlineStr">
        <is>
          <t>Region X (Northern Mindanao)</t>
        </is>
      </c>
      <c r="E308" s="42" t="inlineStr">
        <is>
          <t>Bukidnon</t>
        </is>
      </c>
      <c r="F308" s="42" t="inlineStr">
        <is>
          <t>Kadingilan</t>
        </is>
      </c>
      <c r="G308" s="42" t="inlineStr">
        <is>
          <t>Poblacion</t>
        </is>
      </c>
      <c r="H308" s="43" t="n">
        <v>7.599063</v>
      </c>
      <c r="I308" s="43" t="n">
        <v>124.909722</v>
      </c>
      <c r="J308" s="44" t="inlineStr">
        <is>
          <t>U</t>
        </is>
      </c>
      <c r="K308" s="42" t="inlineStr">
        <is>
          <t>Class 1-3 / Urban</t>
        </is>
      </c>
      <c r="L308" s="23" t="n">
        <v>6309</v>
      </c>
      <c r="M308" s="24" t="n">
        <v>4.63</v>
      </c>
      <c r="N308" s="23">
        <f>ROUND(L308/M308, 0)</f>
        <v/>
      </c>
      <c r="O308" s="23">
        <f>ROUND(N308*'Methodology &amp; Assumptions'!$B$8, 0)</f>
        <v/>
      </c>
      <c r="P308" s="44" t="inlineStr">
        <is>
          <t>Band n50 (1.5 GHz, 60 MHz)</t>
        </is>
      </c>
      <c r="Q308" s="38">
        <f>ROUNDUP(O308/'Methodology &amp; Assumptions'!$B$9, 0)</f>
        <v/>
      </c>
      <c r="R308" s="39" t="n">
        <v>1</v>
      </c>
      <c r="S308" s="25" t="n">
        <v>0.51</v>
      </c>
      <c r="T308" s="25" t="n">
        <v>8.359999999999999</v>
      </c>
      <c r="U308" s="42" t="inlineStr">
        <is>
          <t>Tier 1A (Direct Coloc, &lt;1 km)</t>
        </is>
      </c>
      <c r="V308" s="24" t="n">
        <v>84.5</v>
      </c>
      <c r="W308" s="24" t="n">
        <v>100</v>
      </c>
      <c r="X308" s="24" t="n">
        <v>28</v>
      </c>
      <c r="Y308" s="45">
        <f>ROUND((V308*'Methodology &amp; Assumptions'!$B$6)+(W308*'Methodology &amp; Assumptions'!$B$5)+(X308*'Methodology &amp; Assumptions'!$B$7), 2)</f>
        <v/>
      </c>
    </row>
    <row r="309" ht="19" customHeight="1">
      <c r="A309" s="35" t="n">
        <v>305</v>
      </c>
      <c r="B309" s="35" t="n">
        <v>1305</v>
      </c>
      <c r="C309" s="36" t="inlineStr">
        <is>
          <t>0403402013</t>
        </is>
      </c>
      <c r="D309" s="36" t="inlineStr">
        <is>
          <t>Region IV-A (CALABARZON)</t>
        </is>
      </c>
      <c r="E309" s="36" t="inlineStr">
        <is>
          <t>Laguna</t>
        </is>
      </c>
      <c r="F309" s="36" t="inlineStr">
        <is>
          <t>Bay</t>
        </is>
      </c>
      <c r="G309" s="36" t="inlineStr">
        <is>
          <t>Santo Domingo</t>
        </is>
      </c>
      <c r="H309" s="37" t="n">
        <v>14.176296</v>
      </c>
      <c r="I309" s="37" t="n">
        <v>121.266063</v>
      </c>
      <c r="J309" s="8" t="inlineStr">
        <is>
          <t>U</t>
        </is>
      </c>
      <c r="K309" s="36" t="inlineStr">
        <is>
          <t>Class 1-3 / Urban</t>
        </is>
      </c>
      <c r="L309" s="18" t="n">
        <v>9904</v>
      </c>
      <c r="M309" s="20" t="n">
        <v>4.2</v>
      </c>
      <c r="N309" s="18">
        <f>ROUND(L309/M309, 0)</f>
        <v/>
      </c>
      <c r="O309" s="18">
        <f>ROUND(N309*'Methodology &amp; Assumptions'!$B$8, 0)</f>
        <v/>
      </c>
      <c r="P309" s="8" t="inlineStr">
        <is>
          <t>Band n50 (1.5 GHz, 60 MHz)</t>
        </is>
      </c>
      <c r="Q309" s="38">
        <f>ROUNDUP(O309/'Methodology &amp; Assumptions'!$B$9, 0)</f>
        <v/>
      </c>
      <c r="R309" s="39" t="n">
        <v>1</v>
      </c>
      <c r="S309" s="21" t="n">
        <v>0.89</v>
      </c>
      <c r="T309" s="21" t="n">
        <v>0.05</v>
      </c>
      <c r="U309" s="36" t="inlineStr">
        <is>
          <t>Tier 1A (Direct Coloc, &lt;1 km)</t>
        </is>
      </c>
      <c r="V309" s="20" t="n">
        <v>84.40000000000001</v>
      </c>
      <c r="W309" s="20" t="n">
        <v>100</v>
      </c>
      <c r="X309" s="20" t="n">
        <v>28</v>
      </c>
      <c r="Y309" s="40">
        <f>ROUND((V309*'Methodology &amp; Assumptions'!$B$6)+(W309*'Methodology &amp; Assumptions'!$B$5)+(X309*'Methodology &amp; Assumptions'!$B$7), 2)</f>
        <v/>
      </c>
    </row>
    <row r="310" ht="19" customHeight="1">
      <c r="A310" s="41" t="n">
        <v>306</v>
      </c>
      <c r="B310" s="41" t="n">
        <v>1306</v>
      </c>
      <c r="C310" s="42" t="inlineStr">
        <is>
          <t>1600308018</t>
        </is>
      </c>
      <c r="D310" s="42" t="inlineStr">
        <is>
          <t>Region XIII (Caraga)</t>
        </is>
      </c>
      <c r="E310" s="42" t="inlineStr">
        <is>
          <t>Agusan del Sur</t>
        </is>
      </c>
      <c r="F310" s="42" t="inlineStr">
        <is>
          <t>San Francisco</t>
        </is>
      </c>
      <c r="G310" s="42" t="inlineStr">
        <is>
          <t>Barangay 4</t>
        </is>
      </c>
      <c r="H310" s="43" t="n">
        <v>8.505925</v>
      </c>
      <c r="I310" s="43" t="n">
        <v>125.9794</v>
      </c>
      <c r="J310" s="44" t="inlineStr">
        <is>
          <t>U</t>
        </is>
      </c>
      <c r="K310" s="42" t="inlineStr">
        <is>
          <t>Class 1-3 / Urban</t>
        </is>
      </c>
      <c r="L310" s="23" t="n">
        <v>3392</v>
      </c>
      <c r="M310" s="24" t="n">
        <v>4.1</v>
      </c>
      <c r="N310" s="23">
        <f>ROUND(L310/M310, 0)</f>
        <v/>
      </c>
      <c r="O310" s="23">
        <f>ROUND(N310*'Methodology &amp; Assumptions'!$B$8, 0)</f>
        <v/>
      </c>
      <c r="P310" s="44" t="inlineStr">
        <is>
          <t>Band n50 (1.5 GHz, 60 MHz)</t>
        </is>
      </c>
      <c r="Q310" s="38">
        <f>ROUNDUP(O310/'Methodology &amp; Assumptions'!$B$9, 0)</f>
        <v/>
      </c>
      <c r="R310" s="39" t="n">
        <v>1</v>
      </c>
      <c r="S310" s="25" t="n">
        <v>0.51</v>
      </c>
      <c r="T310" s="25" t="n">
        <v>0.3</v>
      </c>
      <c r="U310" s="42" t="inlineStr">
        <is>
          <t>Tier 1A (Direct Coloc, &lt;1 km)</t>
        </is>
      </c>
      <c r="V310" s="24" t="n">
        <v>94.3</v>
      </c>
      <c r="W310" s="24" t="n">
        <v>90.09999999999999</v>
      </c>
      <c r="X310" s="24" t="n">
        <v>28</v>
      </c>
      <c r="Y310" s="45">
        <f>ROUND((V310*'Methodology &amp; Assumptions'!$B$6)+(W310*'Methodology &amp; Assumptions'!$B$5)+(X310*'Methodology &amp; Assumptions'!$B$7), 2)</f>
        <v/>
      </c>
    </row>
    <row r="311" ht="19" customHeight="1">
      <c r="A311" s="35" t="n">
        <v>307</v>
      </c>
      <c r="B311" s="35" t="n">
        <v>1307</v>
      </c>
      <c r="C311" s="36" t="inlineStr">
        <is>
          <t>0330100020</t>
        </is>
      </c>
      <c r="D311" s="36" t="inlineStr">
        <is>
          <t>Region III (Central Luzon)</t>
        </is>
      </c>
      <c r="E311" s="36" t="inlineStr">
        <is>
          <t>Pampanga</t>
        </is>
      </c>
      <c r="F311" s="36" t="inlineStr">
        <is>
          <t>City of Angeles</t>
        </is>
      </c>
      <c r="G311" s="36" t="inlineStr">
        <is>
          <t>Pulungbulu</t>
        </is>
      </c>
      <c r="H311" s="37" t="n">
        <v>15.136062</v>
      </c>
      <c r="I311" s="37" t="n">
        <v>120.59506</v>
      </c>
      <c r="J311" s="8" t="inlineStr">
        <is>
          <t>U</t>
        </is>
      </c>
      <c r="K311" s="36" t="inlineStr">
        <is>
          <t>Class 1-3 / Urban</t>
        </is>
      </c>
      <c r="L311" s="18" t="n">
        <v>13025</v>
      </c>
      <c r="M311" s="20" t="n">
        <v>4.63</v>
      </c>
      <c r="N311" s="18">
        <f>ROUND(L311/M311, 0)</f>
        <v/>
      </c>
      <c r="O311" s="18">
        <f>ROUND(N311*'Methodology &amp; Assumptions'!$B$8, 0)</f>
        <v/>
      </c>
      <c r="P311" s="8" t="inlineStr">
        <is>
          <t>Band n50 (1.5 GHz, 60 MHz)</t>
        </is>
      </c>
      <c r="Q311" s="38">
        <f>ROUNDUP(O311/'Methodology &amp; Assumptions'!$B$9, 0)</f>
        <v/>
      </c>
      <c r="R311" s="39" t="n">
        <v>1</v>
      </c>
      <c r="S311" s="21" t="n">
        <v>0.89</v>
      </c>
      <c r="T311" s="21" t="n">
        <v>0.24</v>
      </c>
      <c r="U311" s="36" t="inlineStr">
        <is>
          <t>Tier 1A (Direct Coloc, &lt;1 km)</t>
        </is>
      </c>
      <c r="V311" s="20" t="n">
        <v>84.40000000000001</v>
      </c>
      <c r="W311" s="20" t="n">
        <v>100</v>
      </c>
      <c r="X311" s="20" t="n">
        <v>28</v>
      </c>
      <c r="Y311" s="40">
        <f>ROUND((V311*'Methodology &amp; Assumptions'!$B$6)+(W311*'Methodology &amp; Assumptions'!$B$5)+(X311*'Methodology &amp; Assumptions'!$B$7), 2)</f>
        <v/>
      </c>
    </row>
    <row r="312" ht="19" customHeight="1">
      <c r="A312" s="41" t="n">
        <v>308</v>
      </c>
      <c r="B312" s="41" t="n">
        <v>1308</v>
      </c>
      <c r="C312" s="42" t="inlineStr">
        <is>
          <t>0105511016</t>
        </is>
      </c>
      <c r="D312" s="42" t="inlineStr">
        <is>
          <t>Region I (Ilocos Region)</t>
        </is>
      </c>
      <c r="E312" s="42" t="inlineStr">
        <is>
          <t>Pangasinan</t>
        </is>
      </c>
      <c r="F312" s="42" t="inlineStr">
        <is>
          <t>Bayambang</t>
        </is>
      </c>
      <c r="G312" s="42" t="inlineStr">
        <is>
          <t>Bical Norte</t>
        </is>
      </c>
      <c r="H312" s="43" t="n">
        <v>15.815689</v>
      </c>
      <c r="I312" s="43" t="n">
        <v>120.439735</v>
      </c>
      <c r="J312" s="44" t="inlineStr">
        <is>
          <t>R</t>
        </is>
      </c>
      <c r="K312" s="42" t="inlineStr">
        <is>
          <t>Class 1-3 / Urban</t>
        </is>
      </c>
      <c r="L312" s="23" t="n">
        <v>3661</v>
      </c>
      <c r="M312" s="24" t="n">
        <v>4.39</v>
      </c>
      <c r="N312" s="23">
        <f>ROUND(L312/M312, 0)</f>
        <v/>
      </c>
      <c r="O312" s="23">
        <f>ROUND(N312*'Methodology &amp; Assumptions'!$B$8, 0)</f>
        <v/>
      </c>
      <c r="P312" s="44" t="inlineStr">
        <is>
          <t>Band n50 (1.5 GHz, 60 MHz)</t>
        </is>
      </c>
      <c r="Q312" s="38">
        <f>ROUNDUP(O312/'Methodology &amp; Assumptions'!$B$9, 0)</f>
        <v/>
      </c>
      <c r="R312" s="39" t="n">
        <v>1</v>
      </c>
      <c r="S312" s="25" t="n">
        <v>1.63</v>
      </c>
      <c r="T312" s="25" t="n">
        <v>1.63</v>
      </c>
      <c r="U312" s="42" t="inlineStr">
        <is>
          <t>Tier 1B (Micro Drop, 1-3 km)</t>
        </is>
      </c>
      <c r="V312" s="24" t="n">
        <v>68</v>
      </c>
      <c r="W312" s="24" t="n">
        <v>90.7</v>
      </c>
      <c r="X312" s="24" t="n">
        <v>58</v>
      </c>
      <c r="Y312" s="45">
        <f>ROUND((V312*'Methodology &amp; Assumptions'!$B$6)+(W312*'Methodology &amp; Assumptions'!$B$5)+(X312*'Methodology &amp; Assumptions'!$B$7), 2)</f>
        <v/>
      </c>
    </row>
    <row r="313" ht="19" customHeight="1">
      <c r="A313" s="35" t="n">
        <v>309</v>
      </c>
      <c r="B313" s="35" t="n">
        <v>1309</v>
      </c>
      <c r="C313" s="36" t="inlineStr">
        <is>
          <t>0301411007</t>
        </is>
      </c>
      <c r="D313" s="36" t="inlineStr">
        <is>
          <t>Region III (Central Luzon)</t>
        </is>
      </c>
      <c r="E313" s="36" t="inlineStr">
        <is>
          <t>Bulacan</t>
        </is>
      </c>
      <c r="F313" s="36" t="inlineStr">
        <is>
          <t>Marilao</t>
        </is>
      </c>
      <c r="G313" s="36" t="inlineStr">
        <is>
          <t>Nagbalon</t>
        </is>
      </c>
      <c r="H313" s="37" t="n">
        <v>14.751408</v>
      </c>
      <c r="I313" s="37" t="n">
        <v>120.951175</v>
      </c>
      <c r="J313" s="8" t="inlineStr">
        <is>
          <t>U</t>
        </is>
      </c>
      <c r="K313" s="36" t="inlineStr">
        <is>
          <t>Class 1-3 / Urban</t>
        </is>
      </c>
      <c r="L313" s="18" t="n">
        <v>3518</v>
      </c>
      <c r="M313" s="20" t="n">
        <v>4.1</v>
      </c>
      <c r="N313" s="18">
        <f>ROUND(L313/M313, 0)</f>
        <v/>
      </c>
      <c r="O313" s="18">
        <f>ROUND(N313*'Methodology &amp; Assumptions'!$B$8, 0)</f>
        <v/>
      </c>
      <c r="P313" s="8" t="inlineStr">
        <is>
          <t>Band n50 (1.5 GHz, 60 MHz)</t>
        </is>
      </c>
      <c r="Q313" s="38">
        <f>ROUNDUP(O313/'Methodology &amp; Assumptions'!$B$9, 0)</f>
        <v/>
      </c>
      <c r="R313" s="39" t="n">
        <v>1</v>
      </c>
      <c r="S313" s="21" t="n">
        <v>0.6</v>
      </c>
      <c r="T313" s="21" t="n">
        <v>0.44</v>
      </c>
      <c r="U313" s="36" t="inlineStr">
        <is>
          <t>Tier 1A (Direct Coloc, &lt;1 km)</t>
        </is>
      </c>
      <c r="V313" s="20" t="n">
        <v>91.90000000000001</v>
      </c>
      <c r="W313" s="20" t="n">
        <v>92.5</v>
      </c>
      <c r="X313" s="20" t="n">
        <v>28</v>
      </c>
      <c r="Y313" s="40">
        <f>ROUND((V313*'Methodology &amp; Assumptions'!$B$6)+(W313*'Methodology &amp; Assumptions'!$B$5)+(X313*'Methodology &amp; Assumptions'!$B$7), 2)</f>
        <v/>
      </c>
    </row>
    <row r="314" ht="19" customHeight="1">
      <c r="A314" s="41" t="n">
        <v>310</v>
      </c>
      <c r="B314" s="41" t="n">
        <v>1310</v>
      </c>
      <c r="C314" s="42" t="inlineStr">
        <is>
          <t>0403417034</t>
        </is>
      </c>
      <c r="D314" s="42" t="inlineStr">
        <is>
          <t>Region IV-A (CALABARZON)</t>
        </is>
      </c>
      <c r="E314" s="42" t="inlineStr">
        <is>
          <t>Laguna</t>
        </is>
      </c>
      <c r="F314" s="42" t="inlineStr">
        <is>
          <t>Nagcarlan</t>
        </is>
      </c>
      <c r="G314" s="42" t="inlineStr">
        <is>
          <t>Poblacion II</t>
        </is>
      </c>
      <c r="H314" s="43" t="n">
        <v>14.133669</v>
      </c>
      <c r="I314" s="43" t="n">
        <v>121.415002</v>
      </c>
      <c r="J314" s="44" t="inlineStr">
        <is>
          <t>U</t>
        </is>
      </c>
      <c r="K314" s="42" t="inlineStr">
        <is>
          <t>Class 1-3 / Urban</t>
        </is>
      </c>
      <c r="L314" s="23" t="n">
        <v>3309</v>
      </c>
      <c r="M314" s="24" t="n">
        <v>4.2</v>
      </c>
      <c r="N314" s="23">
        <f>ROUND(L314/M314, 0)</f>
        <v/>
      </c>
      <c r="O314" s="23">
        <f>ROUND(N314*'Methodology &amp; Assumptions'!$B$8, 0)</f>
        <v/>
      </c>
      <c r="P314" s="44" t="inlineStr">
        <is>
          <t>Band n50 (1.5 GHz, 60 MHz)</t>
        </is>
      </c>
      <c r="Q314" s="38">
        <f>ROUNDUP(O314/'Methodology &amp; Assumptions'!$B$9, 0)</f>
        <v/>
      </c>
      <c r="R314" s="39" t="n">
        <v>1</v>
      </c>
      <c r="S314" s="25" t="n">
        <v>0.4</v>
      </c>
      <c r="T314" s="25" t="n">
        <v>0.13</v>
      </c>
      <c r="U314" s="42" t="inlineStr">
        <is>
          <t>Tier 1A (Direct Coloc, &lt;1 km)</t>
        </is>
      </c>
      <c r="V314" s="24" t="n">
        <v>97.5</v>
      </c>
      <c r="W314" s="24" t="n">
        <v>86.90000000000001</v>
      </c>
      <c r="X314" s="24" t="n">
        <v>28</v>
      </c>
      <c r="Y314" s="45">
        <f>ROUND((V314*'Methodology &amp; Assumptions'!$B$6)+(W314*'Methodology &amp; Assumptions'!$B$5)+(X314*'Methodology &amp; Assumptions'!$B$7), 2)</f>
        <v/>
      </c>
    </row>
    <row r="315" ht="19" customHeight="1">
      <c r="A315" s="35" t="n">
        <v>311</v>
      </c>
      <c r="B315" s="35" t="n">
        <v>1311</v>
      </c>
      <c r="C315" s="36" t="inlineStr">
        <is>
          <t>0105521009</t>
        </is>
      </c>
      <c r="D315" s="36" t="inlineStr">
        <is>
          <t>Region I (Ilocos Region)</t>
        </is>
      </c>
      <c r="E315" s="36" t="inlineStr">
        <is>
          <t>Pangasinan</t>
        </is>
      </c>
      <c r="F315" s="36" t="inlineStr">
        <is>
          <t>Labrador</t>
        </is>
      </c>
      <c r="G315" s="36" t="inlineStr">
        <is>
          <t>Tobuan</t>
        </is>
      </c>
      <c r="H315" s="37" t="n">
        <v>16.05671</v>
      </c>
      <c r="I315" s="37" t="n">
        <v>120.110627</v>
      </c>
      <c r="J315" s="8" t="inlineStr">
        <is>
          <t>R</t>
        </is>
      </c>
      <c r="K315" s="36" t="inlineStr">
        <is>
          <t>3rd</t>
        </is>
      </c>
      <c r="L315" s="18" t="n">
        <v>3231</v>
      </c>
      <c r="M315" s="20" t="n">
        <v>4.22</v>
      </c>
      <c r="N315" s="18">
        <f>ROUND(L315/M315, 0)</f>
        <v/>
      </c>
      <c r="O315" s="18">
        <f>ROUND(N315*'Methodology &amp; Assumptions'!$B$8, 0)</f>
        <v/>
      </c>
      <c r="P315" s="8" t="inlineStr">
        <is>
          <t>Band n50 (1.5 GHz, 60 MHz)</t>
        </is>
      </c>
      <c r="Q315" s="38">
        <f>ROUNDUP(O315/'Methodology &amp; Assumptions'!$B$9, 0)</f>
        <v/>
      </c>
      <c r="R315" s="39" t="n">
        <v>1</v>
      </c>
      <c r="S315" s="21" t="n">
        <v>1.37</v>
      </c>
      <c r="T315" s="21" t="n">
        <v>0.04</v>
      </c>
      <c r="U315" s="36" t="inlineStr">
        <is>
          <t>Tier 1B (Micro Drop, 1-3 km)</t>
        </is>
      </c>
      <c r="V315" s="20" t="n">
        <v>73.3</v>
      </c>
      <c r="W315" s="20" t="n">
        <v>85.3</v>
      </c>
      <c r="X315" s="20" t="n">
        <v>58</v>
      </c>
      <c r="Y315" s="40">
        <f>ROUND((V315*'Methodology &amp; Assumptions'!$B$6)+(W315*'Methodology &amp; Assumptions'!$B$5)+(X315*'Methodology &amp; Assumptions'!$B$7), 2)</f>
        <v/>
      </c>
    </row>
    <row r="316" ht="19" customHeight="1">
      <c r="A316" s="41" t="n">
        <v>312</v>
      </c>
      <c r="B316" s="41" t="n">
        <v>1312</v>
      </c>
      <c r="C316" s="42" t="inlineStr">
        <is>
          <t>0304930052</t>
        </is>
      </c>
      <c r="D316" s="42" t="inlineStr">
        <is>
          <t>Region III (Central Luzon)</t>
        </is>
      </c>
      <c r="E316" s="42" t="inlineStr">
        <is>
          <t>Nueva Ecija</t>
        </is>
      </c>
      <c r="F316" s="42" t="inlineStr">
        <is>
          <t>Talavera</t>
        </is>
      </c>
      <c r="G316" s="42" t="inlineStr">
        <is>
          <t>San Ricardo</t>
        </is>
      </c>
      <c r="H316" s="43" t="n">
        <v>15.589465</v>
      </c>
      <c r="I316" s="43" t="n">
        <v>120.923077</v>
      </c>
      <c r="J316" s="44" t="inlineStr">
        <is>
          <t>R</t>
        </is>
      </c>
      <c r="K316" s="42" t="inlineStr">
        <is>
          <t>Class 1-3 / Urban</t>
        </is>
      </c>
      <c r="L316" s="23" t="n">
        <v>2769</v>
      </c>
      <c r="M316" s="24" t="n">
        <v>4.32</v>
      </c>
      <c r="N316" s="23">
        <f>ROUND(L316/M316, 0)</f>
        <v/>
      </c>
      <c r="O316" s="23">
        <f>ROUND(N316*'Methodology &amp; Assumptions'!$B$8, 0)</f>
        <v/>
      </c>
      <c r="P316" s="44" t="inlineStr">
        <is>
          <t>Band n50 (1.5 GHz, 60 MHz)</t>
        </is>
      </c>
      <c r="Q316" s="38">
        <f>ROUNDUP(O316/'Methodology &amp; Assumptions'!$B$9, 0)</f>
        <v/>
      </c>
      <c r="R316" s="39" t="n">
        <v>1</v>
      </c>
      <c r="S316" s="25" t="n">
        <v>0.93</v>
      </c>
      <c r="T316" s="25" t="n">
        <v>0.37</v>
      </c>
      <c r="U316" s="42" t="inlineStr">
        <is>
          <t>Tier 1A (Direct Coloc, &lt;1 km)</t>
        </is>
      </c>
      <c r="V316" s="24" t="n">
        <v>83.5</v>
      </c>
      <c r="W316" s="24" t="n">
        <v>75.2</v>
      </c>
      <c r="X316" s="24" t="n">
        <v>58</v>
      </c>
      <c r="Y316" s="45">
        <f>ROUND((V316*'Methodology &amp; Assumptions'!$B$6)+(W316*'Methodology &amp; Assumptions'!$B$5)+(X316*'Methodology &amp; Assumptions'!$B$7), 2)</f>
        <v/>
      </c>
    </row>
    <row r="317" ht="19" customHeight="1">
      <c r="A317" s="35" t="n">
        <v>313</v>
      </c>
      <c r="B317" s="35" t="n">
        <v>1313</v>
      </c>
      <c r="C317" s="36" t="inlineStr">
        <is>
          <t>1402701016</t>
        </is>
      </c>
      <c r="D317" s="36" t="inlineStr">
        <is>
          <t>Cordillera Administrative Region (CAR)</t>
        </is>
      </c>
      <c r="E317" s="36" t="inlineStr">
        <is>
          <t>Ifugao</t>
        </is>
      </c>
      <c r="F317" s="36" t="inlineStr">
        <is>
          <t>Banaue</t>
        </is>
      </c>
      <c r="G317" s="36" t="inlineStr">
        <is>
          <t>Poblacion</t>
        </is>
      </c>
      <c r="H317" s="37" t="n">
        <v>16.91191</v>
      </c>
      <c r="I317" s="37" t="n">
        <v>121.06137</v>
      </c>
      <c r="J317" s="8" t="inlineStr">
        <is>
          <t>R</t>
        </is>
      </c>
      <c r="K317" s="36" t="inlineStr">
        <is>
          <t>3rd</t>
        </is>
      </c>
      <c r="L317" s="18" t="n">
        <v>2671</v>
      </c>
      <c r="M317" s="20" t="n">
        <v>5.54</v>
      </c>
      <c r="N317" s="18">
        <f>ROUND(L317/M317, 0)</f>
        <v/>
      </c>
      <c r="O317" s="18">
        <f>ROUND(N317*'Methodology &amp; Assumptions'!$B$8, 0)</f>
        <v/>
      </c>
      <c r="P317" s="8" t="inlineStr">
        <is>
          <t>Band n50 (1.5 GHz, 60 MHz)</t>
        </is>
      </c>
      <c r="Q317" s="38">
        <f>ROUNDUP(O317/'Methodology &amp; Assumptions'!$B$9, 0)</f>
        <v/>
      </c>
      <c r="R317" s="39" t="n">
        <v>1</v>
      </c>
      <c r="S317" s="21" t="n">
        <v>0.12</v>
      </c>
      <c r="T317" s="21" t="n">
        <v>0.07000000000000001</v>
      </c>
      <c r="U317" s="36" t="inlineStr">
        <is>
          <t>Tier 1A (Direct Coloc, &lt;1 km)</t>
        </is>
      </c>
      <c r="V317" s="20" t="n">
        <v>100</v>
      </c>
      <c r="W317" s="20" t="n">
        <v>58.7</v>
      </c>
      <c r="X317" s="20" t="n">
        <v>58</v>
      </c>
      <c r="Y317" s="40">
        <f>ROUND((V317*'Methodology &amp; Assumptions'!$B$6)+(W317*'Methodology &amp; Assumptions'!$B$5)+(X317*'Methodology &amp; Assumptions'!$B$7), 2)</f>
        <v/>
      </c>
    </row>
    <row r="318" ht="19" customHeight="1">
      <c r="A318" s="41" t="n">
        <v>314</v>
      </c>
      <c r="B318" s="41" t="n">
        <v>1314</v>
      </c>
      <c r="C318" s="42" t="inlineStr">
        <is>
          <t>0603037005</t>
        </is>
      </c>
      <c r="D318" s="42" t="inlineStr">
        <is>
          <t>Region VI (Western Visayas)</t>
        </is>
      </c>
      <c r="E318" s="42" t="inlineStr">
        <is>
          <t>Iloilo</t>
        </is>
      </c>
      <c r="F318" s="42" t="inlineStr">
        <is>
          <t>Pototan</t>
        </is>
      </c>
      <c r="G318" s="42" t="inlineStr">
        <is>
          <t>Batuan</t>
        </is>
      </c>
      <c r="H318" s="43" t="n">
        <v>10.946994</v>
      </c>
      <c r="I318" s="43" t="n">
        <v>122.641359</v>
      </c>
      <c r="J318" s="44" t="inlineStr">
        <is>
          <t>R</t>
        </is>
      </c>
      <c r="K318" s="42" t="inlineStr">
        <is>
          <t>Class 1-3 / Urban</t>
        </is>
      </c>
      <c r="L318" s="23" t="n">
        <v>1907</v>
      </c>
      <c r="M318" s="24" t="n">
        <v>4.39</v>
      </c>
      <c r="N318" s="23">
        <f>ROUND(L318/M318, 0)</f>
        <v/>
      </c>
      <c r="O318" s="23">
        <f>ROUND(N318*'Methodology &amp; Assumptions'!$B$8, 0)</f>
        <v/>
      </c>
      <c r="P318" s="44" t="inlineStr">
        <is>
          <t>Band n50 (1.5 GHz, 60 MHz)</t>
        </is>
      </c>
      <c r="Q318" s="38">
        <f>ROUNDUP(O318/'Methodology &amp; Assumptions'!$B$9, 0)</f>
        <v/>
      </c>
      <c r="R318" s="39" t="n">
        <v>1</v>
      </c>
      <c r="S318" s="25" t="n">
        <v>0.1</v>
      </c>
      <c r="T318" s="25" t="n">
        <v>0.15</v>
      </c>
      <c r="U318" s="42" t="inlineStr">
        <is>
          <t>Tier 1A (Direct Coloc, &lt;1 km)</t>
        </is>
      </c>
      <c r="V318" s="24" t="n">
        <v>100</v>
      </c>
      <c r="W318" s="24" t="n">
        <v>58.7</v>
      </c>
      <c r="X318" s="24" t="n">
        <v>58</v>
      </c>
      <c r="Y318" s="45">
        <f>ROUND((V318*'Methodology &amp; Assumptions'!$B$6)+(W318*'Methodology &amp; Assumptions'!$B$5)+(X318*'Methodology &amp; Assumptions'!$B$7), 2)</f>
        <v/>
      </c>
    </row>
    <row r="319" ht="19" customHeight="1">
      <c r="A319" s="35" t="n">
        <v>315</v>
      </c>
      <c r="B319" s="35" t="n">
        <v>1315</v>
      </c>
      <c r="C319" s="36" t="inlineStr">
        <is>
          <t>0403421004</t>
        </is>
      </c>
      <c r="D319" s="36" t="inlineStr">
        <is>
          <t>Region IV-A (CALABARZON)</t>
        </is>
      </c>
      <c r="E319" s="36" t="inlineStr">
        <is>
          <t>Laguna</t>
        </is>
      </c>
      <c r="F319" s="36" t="inlineStr">
        <is>
          <t>Pangil</t>
        </is>
      </c>
      <c r="G319" s="36" t="inlineStr">
        <is>
          <t>Isla</t>
        </is>
      </c>
      <c r="H319" s="37" t="n">
        <v>14.400415</v>
      </c>
      <c r="I319" s="37" t="n">
        <v>121.469639</v>
      </c>
      <c r="J319" s="8" t="inlineStr">
        <is>
          <t>R</t>
        </is>
      </c>
      <c r="K319" s="36" t="inlineStr">
        <is>
          <t>3rd</t>
        </is>
      </c>
      <c r="L319" s="18" t="n">
        <v>2875</v>
      </c>
      <c r="M319" s="20" t="n">
        <v>4.42</v>
      </c>
      <c r="N319" s="18">
        <f>ROUND(L319/M319, 0)</f>
        <v/>
      </c>
      <c r="O319" s="18">
        <f>ROUND(N319*'Methodology &amp; Assumptions'!$B$8, 0)</f>
        <v/>
      </c>
      <c r="P319" s="8" t="inlineStr">
        <is>
          <t>Band n50 (1.5 GHz, 60 MHz)</t>
        </is>
      </c>
      <c r="Q319" s="38">
        <f>ROUNDUP(O319/'Methodology &amp; Assumptions'!$B$9, 0)</f>
        <v/>
      </c>
      <c r="R319" s="39" t="n">
        <v>1</v>
      </c>
      <c r="S319" s="21" t="n">
        <v>0.96</v>
      </c>
      <c r="T319" s="21" t="n">
        <v>0.57</v>
      </c>
      <c r="U319" s="36" t="inlineStr">
        <is>
          <t>Tier 1A (Direct Coloc, &lt;1 km)</t>
        </is>
      </c>
      <c r="V319" s="20" t="n">
        <v>82.59999999999999</v>
      </c>
      <c r="W319" s="20" t="n">
        <v>76</v>
      </c>
      <c r="X319" s="20" t="n">
        <v>58</v>
      </c>
      <c r="Y319" s="40">
        <f>ROUND((V319*'Methodology &amp; Assumptions'!$B$6)+(W319*'Methodology &amp; Assumptions'!$B$5)+(X319*'Methodology &amp; Assumptions'!$B$7), 2)</f>
        <v/>
      </c>
    </row>
    <row r="320" ht="19" customHeight="1">
      <c r="A320" s="41" t="n">
        <v>316</v>
      </c>
      <c r="B320" s="41" t="n">
        <v>1316</v>
      </c>
      <c r="C320" s="42" t="inlineStr">
        <is>
          <t>0701230036</t>
        </is>
      </c>
      <c r="D320" s="42" t="inlineStr">
        <is>
          <t>Region VII (Central Visayas)</t>
        </is>
      </c>
      <c r="E320" s="42" t="inlineStr">
        <is>
          <t>Bohol</t>
        </is>
      </c>
      <c r="F320" s="42" t="inlineStr">
        <is>
          <t>Loon</t>
        </is>
      </c>
      <c r="G320" s="42" t="inlineStr">
        <is>
          <t>Cogon Norte</t>
        </is>
      </c>
      <c r="H320" s="43" t="n">
        <v>9.803165999999999</v>
      </c>
      <c r="I320" s="43" t="n">
        <v>123.801046</v>
      </c>
      <c r="J320" s="44" t="inlineStr">
        <is>
          <t>R</t>
        </is>
      </c>
      <c r="K320" s="42" t="inlineStr">
        <is>
          <t>Class 1-3 / Urban</t>
        </is>
      </c>
      <c r="L320" s="23" t="n">
        <v>2099</v>
      </c>
      <c r="M320" s="24" t="n">
        <v>4.54</v>
      </c>
      <c r="N320" s="23">
        <f>ROUND(L320/M320, 0)</f>
        <v/>
      </c>
      <c r="O320" s="23">
        <f>ROUND(N320*'Methodology &amp; Assumptions'!$B$8, 0)</f>
        <v/>
      </c>
      <c r="P320" s="44" t="inlineStr">
        <is>
          <t>Band n50 (1.5 GHz, 60 MHz)</t>
        </is>
      </c>
      <c r="Q320" s="38">
        <f>ROUNDUP(O320/'Methodology &amp; Assumptions'!$B$9, 0)</f>
        <v/>
      </c>
      <c r="R320" s="39" t="n">
        <v>1</v>
      </c>
      <c r="S320" s="25" t="n">
        <v>0.4</v>
      </c>
      <c r="T320" s="25" t="n">
        <v>0.49</v>
      </c>
      <c r="U320" s="42" t="inlineStr">
        <is>
          <t>Tier 1A (Direct Coloc, &lt;1 km)</t>
        </is>
      </c>
      <c r="V320" s="24" t="n">
        <v>97.59999999999999</v>
      </c>
      <c r="W320" s="24" t="n">
        <v>61.1</v>
      </c>
      <c r="X320" s="24" t="n">
        <v>58</v>
      </c>
      <c r="Y320" s="45">
        <f>ROUND((V320*'Methodology &amp; Assumptions'!$B$6)+(W320*'Methodology &amp; Assumptions'!$B$5)+(X320*'Methodology &amp; Assumptions'!$B$7), 2)</f>
        <v/>
      </c>
    </row>
    <row r="321" ht="19" customHeight="1">
      <c r="A321" s="35" t="n">
        <v>317</v>
      </c>
      <c r="B321" s="35" t="n">
        <v>1317</v>
      </c>
      <c r="C321" s="36" t="inlineStr">
        <is>
          <t>0803738109</t>
        </is>
      </c>
      <c r="D321" s="36" t="inlineStr">
        <is>
          <t>Region VIII (Eastern Visayas)</t>
        </is>
      </c>
      <c r="E321" s="36" t="inlineStr">
        <is>
          <t>Leyte</t>
        </is>
      </c>
      <c r="F321" s="36" t="inlineStr">
        <is>
          <t>Ormoc City</t>
        </is>
      </c>
      <c r="G321" s="36" t="inlineStr">
        <is>
          <t>Bagong Buhay</t>
        </is>
      </c>
      <c r="H321" s="37" t="n">
        <v>11.029772</v>
      </c>
      <c r="I321" s="37" t="n">
        <v>124.59356</v>
      </c>
      <c r="J321" s="8" t="inlineStr">
        <is>
          <t>U</t>
        </is>
      </c>
      <c r="K321" s="36" t="inlineStr">
        <is>
          <t>Class 1-3 / Urban</t>
        </is>
      </c>
      <c r="L321" s="18" t="n">
        <v>5904</v>
      </c>
      <c r="M321" s="20" t="n">
        <v>4.24</v>
      </c>
      <c r="N321" s="18">
        <f>ROUND(L321/M321, 0)</f>
        <v/>
      </c>
      <c r="O321" s="18">
        <f>ROUND(N321*'Methodology &amp; Assumptions'!$B$8, 0)</f>
        <v/>
      </c>
      <c r="P321" s="8" t="inlineStr">
        <is>
          <t>Band n50 (1.5 GHz, 60 MHz)</t>
        </is>
      </c>
      <c r="Q321" s="38">
        <f>ROUNDUP(O321/'Methodology &amp; Assumptions'!$B$9, 0)</f>
        <v/>
      </c>
      <c r="R321" s="39" t="n">
        <v>1</v>
      </c>
      <c r="S321" s="21" t="n">
        <v>0.89</v>
      </c>
      <c r="T321" s="21" t="n">
        <v>0.37</v>
      </c>
      <c r="U321" s="36" t="inlineStr">
        <is>
          <t>Tier 1A (Direct Coloc, &lt;1 km)</t>
        </is>
      </c>
      <c r="V321" s="20" t="n">
        <v>84.40000000000001</v>
      </c>
      <c r="W321" s="20" t="n">
        <v>100</v>
      </c>
      <c r="X321" s="20" t="n">
        <v>28</v>
      </c>
      <c r="Y321" s="40">
        <f>ROUND((V321*'Methodology &amp; Assumptions'!$B$6)+(W321*'Methodology &amp; Assumptions'!$B$5)+(X321*'Methodology &amp; Assumptions'!$B$7), 2)</f>
        <v/>
      </c>
    </row>
    <row r="322" ht="19" customHeight="1">
      <c r="A322" s="41" t="n">
        <v>318</v>
      </c>
      <c r="B322" s="41" t="n">
        <v>1318</v>
      </c>
      <c r="C322" s="42" t="inlineStr">
        <is>
          <t>1004314008</t>
        </is>
      </c>
      <c r="D322" s="42" t="inlineStr">
        <is>
          <t>Region X (Northern Mindanao)</t>
        </is>
      </c>
      <c r="E322" s="42" t="inlineStr">
        <is>
          <t>Misamis Oriental</t>
        </is>
      </c>
      <c r="F322" s="42" t="inlineStr">
        <is>
          <t>Laguindingan</t>
        </is>
      </c>
      <c r="G322" s="42" t="inlineStr">
        <is>
          <t>Poblacion</t>
        </is>
      </c>
      <c r="H322" s="43" t="n">
        <v>8.579376999999999</v>
      </c>
      <c r="I322" s="43" t="n">
        <v>124.444566</v>
      </c>
      <c r="J322" s="44" t="inlineStr">
        <is>
          <t>U</t>
        </is>
      </c>
      <c r="K322" s="42" t="inlineStr">
        <is>
          <t>2nd</t>
        </is>
      </c>
      <c r="L322" s="23" t="n">
        <v>3744</v>
      </c>
      <c r="M322" s="24" t="n">
        <v>4.35</v>
      </c>
      <c r="N322" s="23">
        <f>ROUND(L322/M322, 0)</f>
        <v/>
      </c>
      <c r="O322" s="23">
        <f>ROUND(N322*'Methodology &amp; Assumptions'!$B$8, 0)</f>
        <v/>
      </c>
      <c r="P322" s="44" t="inlineStr">
        <is>
          <t>Band n50 (1.5 GHz, 60 MHz)</t>
        </is>
      </c>
      <c r="Q322" s="38">
        <f>ROUNDUP(O322/'Methodology &amp; Assumptions'!$B$9, 0)</f>
        <v/>
      </c>
      <c r="R322" s="39" t="n">
        <v>1</v>
      </c>
      <c r="S322" s="25" t="n">
        <v>0.61</v>
      </c>
      <c r="T322" s="25" t="n">
        <v>0.71</v>
      </c>
      <c r="U322" s="42" t="inlineStr">
        <is>
          <t>Tier 1A (Direct Coloc, &lt;1 km)</t>
        </is>
      </c>
      <c r="V322" s="24" t="n">
        <v>91.5</v>
      </c>
      <c r="W322" s="24" t="n">
        <v>92.8</v>
      </c>
      <c r="X322" s="24" t="n">
        <v>28</v>
      </c>
      <c r="Y322" s="45">
        <f>ROUND((V322*'Methodology &amp; Assumptions'!$B$6)+(W322*'Methodology &amp; Assumptions'!$B$5)+(X322*'Methodology &amp; Assumptions'!$B$7), 2)</f>
        <v/>
      </c>
    </row>
    <row r="323" ht="19" customHeight="1">
      <c r="A323" s="35" t="n">
        <v>319</v>
      </c>
      <c r="B323" s="35" t="n">
        <v>1319</v>
      </c>
      <c r="C323" s="36" t="inlineStr">
        <is>
          <t>0600613020</t>
        </is>
      </c>
      <c r="D323" s="36" t="inlineStr">
        <is>
          <t>Region VI (Western Visayas)</t>
        </is>
      </c>
      <c r="E323" s="36" t="inlineStr">
        <is>
          <t>Antique</t>
        </is>
      </c>
      <c r="F323" s="36" t="inlineStr">
        <is>
          <t>San Jose</t>
        </is>
      </c>
      <c r="G323" s="36" t="inlineStr">
        <is>
          <t>Madrangca</t>
        </is>
      </c>
      <c r="H323" s="37" t="n">
        <v>10.748106</v>
      </c>
      <c r="I323" s="37" t="n">
        <v>121.93566</v>
      </c>
      <c r="J323" s="8" t="inlineStr">
        <is>
          <t>R</t>
        </is>
      </c>
      <c r="K323" s="36" t="inlineStr">
        <is>
          <t>Class 1-3 / Urban</t>
        </is>
      </c>
      <c r="L323" s="18" t="n">
        <v>2933</v>
      </c>
      <c r="M323" s="20" t="n">
        <v>4.43</v>
      </c>
      <c r="N323" s="18">
        <f>ROUND(L323/M323, 0)</f>
        <v/>
      </c>
      <c r="O323" s="18">
        <f>ROUND(N323*'Methodology &amp; Assumptions'!$B$8, 0)</f>
        <v/>
      </c>
      <c r="P323" s="8" t="inlineStr">
        <is>
          <t>Band n50 (1.5 GHz, 60 MHz)</t>
        </is>
      </c>
      <c r="Q323" s="38">
        <f>ROUNDUP(O323/'Methodology &amp; Assumptions'!$B$9, 0)</f>
        <v/>
      </c>
      <c r="R323" s="39" t="n">
        <v>1</v>
      </c>
      <c r="S323" s="21" t="n">
        <v>1.6</v>
      </c>
      <c r="T323" s="21" t="n">
        <v>0.62</v>
      </c>
      <c r="U323" s="36" t="inlineStr">
        <is>
          <t>Tier 1B (Micro Drop, 1-3 km)</t>
        </is>
      </c>
      <c r="V323" s="20" t="n">
        <v>68.7</v>
      </c>
      <c r="W323" s="20" t="n">
        <v>77.09999999999999</v>
      </c>
      <c r="X323" s="20" t="n">
        <v>73</v>
      </c>
      <c r="Y323" s="40">
        <f>ROUND((V323*'Methodology &amp; Assumptions'!$B$6)+(W323*'Methodology &amp; Assumptions'!$B$5)+(X323*'Methodology &amp; Assumptions'!$B$7), 2)</f>
        <v/>
      </c>
    </row>
    <row r="324" ht="19" customHeight="1">
      <c r="A324" s="41" t="n">
        <v>320</v>
      </c>
      <c r="B324" s="41" t="n">
        <v>1320</v>
      </c>
      <c r="C324" s="42" t="inlineStr">
        <is>
          <t>0403418008</t>
        </is>
      </c>
      <c r="D324" s="42" t="inlineStr">
        <is>
          <t>Region IV-A (CALABARZON)</t>
        </is>
      </c>
      <c r="E324" s="42" t="inlineStr">
        <is>
          <t>Laguna</t>
        </is>
      </c>
      <c r="F324" s="42" t="inlineStr">
        <is>
          <t>Paete</t>
        </is>
      </c>
      <c r="G324" s="42" t="inlineStr">
        <is>
          <t>Maytoong</t>
        </is>
      </c>
      <c r="H324" s="43" t="n">
        <v>14.363649</v>
      </c>
      <c r="I324" s="43" t="n">
        <v>121.48224</v>
      </c>
      <c r="J324" s="44" t="inlineStr">
        <is>
          <t>R</t>
        </is>
      </c>
      <c r="K324" s="42" t="inlineStr">
        <is>
          <t>4th</t>
        </is>
      </c>
      <c r="L324" s="23" t="n">
        <v>1809</v>
      </c>
      <c r="M324" s="24" t="n">
        <v>4.48</v>
      </c>
      <c r="N324" s="23">
        <f>ROUND(L324/M324, 0)</f>
        <v/>
      </c>
      <c r="O324" s="23">
        <f>ROUND(N324*'Methodology &amp; Assumptions'!$B$8, 0)</f>
        <v/>
      </c>
      <c r="P324" s="44" t="inlineStr">
        <is>
          <t>Band n50 (1.5 GHz, 60 MHz)</t>
        </is>
      </c>
      <c r="Q324" s="38">
        <f>ROUNDUP(O324/'Methodology &amp; Assumptions'!$B$9, 0)</f>
        <v/>
      </c>
      <c r="R324" s="39" t="n">
        <v>1</v>
      </c>
      <c r="S324" s="25" t="n">
        <v>0.55</v>
      </c>
      <c r="T324" s="25" t="n">
        <v>0.34</v>
      </c>
      <c r="U324" s="42" t="inlineStr">
        <is>
          <t>Tier 1A (Direct Coloc, &lt;1 km)</t>
        </is>
      </c>
      <c r="V324" s="24" t="n">
        <v>93.3</v>
      </c>
      <c r="W324" s="24" t="n">
        <v>56.3</v>
      </c>
      <c r="X324" s="24" t="n">
        <v>68.5</v>
      </c>
      <c r="Y324" s="45">
        <f>ROUND((V324*'Methodology &amp; Assumptions'!$B$6)+(W324*'Methodology &amp; Assumptions'!$B$5)+(X324*'Methodology &amp; Assumptions'!$B$7), 2)</f>
        <v/>
      </c>
    </row>
    <row r="325" ht="19" customHeight="1">
      <c r="A325" s="35" t="n">
        <v>321</v>
      </c>
      <c r="B325" s="35" t="n">
        <v>1321</v>
      </c>
      <c r="C325" s="36" t="inlineStr">
        <is>
          <t>0301410020</t>
        </is>
      </c>
      <c r="D325" s="36" t="inlineStr">
        <is>
          <t>Region III (Central Luzon)</t>
        </is>
      </c>
      <c r="E325" s="36" t="inlineStr">
        <is>
          <t>Bulacan</t>
        </is>
      </c>
      <c r="F325" s="36" t="inlineStr">
        <is>
          <t>City of Malolos</t>
        </is>
      </c>
      <c r="G325" s="36" t="inlineStr">
        <is>
          <t>Caniogan</t>
        </is>
      </c>
      <c r="H325" s="37" t="n">
        <v>14.848168</v>
      </c>
      <c r="I325" s="37" t="n">
        <v>120.821544</v>
      </c>
      <c r="J325" s="8" t="inlineStr">
        <is>
          <t>U</t>
        </is>
      </c>
      <c r="K325" s="36" t="inlineStr">
        <is>
          <t>Class 1-3 / Urban</t>
        </is>
      </c>
      <c r="L325" s="18" t="n">
        <v>5219</v>
      </c>
      <c r="M325" s="20" t="n">
        <v>4.1</v>
      </c>
      <c r="N325" s="18">
        <f>ROUND(L325/M325, 0)</f>
        <v/>
      </c>
      <c r="O325" s="18">
        <f>ROUND(N325*'Methodology &amp; Assumptions'!$B$8, 0)</f>
        <v/>
      </c>
      <c r="P325" s="8" t="inlineStr">
        <is>
          <t>Band n50 (1.5 GHz, 60 MHz)</t>
        </is>
      </c>
      <c r="Q325" s="38">
        <f>ROUNDUP(O325/'Methodology &amp; Assumptions'!$B$9, 0)</f>
        <v/>
      </c>
      <c r="R325" s="39" t="n">
        <v>1</v>
      </c>
      <c r="S325" s="21" t="n">
        <v>0.89</v>
      </c>
      <c r="T325" s="21" t="n">
        <v>0.21</v>
      </c>
      <c r="U325" s="36" t="inlineStr">
        <is>
          <t>Tier 1A (Direct Coloc, &lt;1 km)</t>
        </is>
      </c>
      <c r="V325" s="20" t="n">
        <v>84.3</v>
      </c>
      <c r="W325" s="20" t="n">
        <v>100</v>
      </c>
      <c r="X325" s="20" t="n">
        <v>28</v>
      </c>
      <c r="Y325" s="40">
        <f>ROUND((V325*'Methodology &amp; Assumptions'!$B$6)+(W325*'Methodology &amp; Assumptions'!$B$5)+(X325*'Methodology &amp; Assumptions'!$B$7), 2)</f>
        <v/>
      </c>
    </row>
    <row r="326" ht="19" customHeight="1">
      <c r="A326" s="41" t="n">
        <v>322</v>
      </c>
      <c r="B326" s="41" t="n">
        <v>1322</v>
      </c>
      <c r="C326" s="42" t="inlineStr">
        <is>
          <t>0405648021</t>
        </is>
      </c>
      <c r="D326" s="42" t="inlineStr">
        <is>
          <t>Region IV-A (CALABARZON)</t>
        </is>
      </c>
      <c r="E326" s="42" t="inlineStr">
        <is>
          <t>Quezon</t>
        </is>
      </c>
      <c r="F326" s="42" t="inlineStr">
        <is>
          <t>Tiaong</t>
        </is>
      </c>
      <c r="G326" s="42" t="inlineStr">
        <is>
          <t>Quipot</t>
        </is>
      </c>
      <c r="H326" s="43" t="n">
        <v>13.954968</v>
      </c>
      <c r="I326" s="43" t="n">
        <v>121.320503</v>
      </c>
      <c r="J326" s="44" t="inlineStr">
        <is>
          <t>U</t>
        </is>
      </c>
      <c r="K326" s="42" t="inlineStr">
        <is>
          <t>Class 1-3 / Urban</t>
        </is>
      </c>
      <c r="L326" s="23" t="n">
        <v>4268</v>
      </c>
      <c r="M326" s="24" t="n">
        <v>4.46</v>
      </c>
      <c r="N326" s="23">
        <f>ROUND(L326/M326, 0)</f>
        <v/>
      </c>
      <c r="O326" s="23">
        <f>ROUND(N326*'Methodology &amp; Assumptions'!$B$8, 0)</f>
        <v/>
      </c>
      <c r="P326" s="44" t="inlineStr">
        <is>
          <t>Band n50 (1.5 GHz, 60 MHz)</t>
        </is>
      </c>
      <c r="Q326" s="38">
        <f>ROUNDUP(O326/'Methodology &amp; Assumptions'!$B$9, 0)</f>
        <v/>
      </c>
      <c r="R326" s="39" t="n">
        <v>1</v>
      </c>
      <c r="S326" s="25" t="n">
        <v>0.89</v>
      </c>
      <c r="T326" s="25" t="n">
        <v>0.26</v>
      </c>
      <c r="U326" s="42" t="inlineStr">
        <is>
          <t>Tier 1A (Direct Coloc, &lt;1 km)</t>
        </is>
      </c>
      <c r="V326" s="24" t="n">
        <v>84.3</v>
      </c>
      <c r="W326" s="24" t="n">
        <v>100</v>
      </c>
      <c r="X326" s="24" t="n">
        <v>28</v>
      </c>
      <c r="Y326" s="45">
        <f>ROUND((V326*'Methodology &amp; Assumptions'!$B$6)+(W326*'Methodology &amp; Assumptions'!$B$5)+(X326*'Methodology &amp; Assumptions'!$B$7), 2)</f>
        <v/>
      </c>
    </row>
    <row r="327" ht="19" customHeight="1">
      <c r="A327" s="35" t="n">
        <v>323</v>
      </c>
      <c r="B327" s="35" t="n">
        <v>1323</v>
      </c>
      <c r="C327" s="36" t="inlineStr">
        <is>
          <t>0403422004</t>
        </is>
      </c>
      <c r="D327" s="36" t="inlineStr">
        <is>
          <t>Region IV-A (CALABARZON)</t>
        </is>
      </c>
      <c r="E327" s="36" t="inlineStr">
        <is>
          <t>Laguna</t>
        </is>
      </c>
      <c r="F327" s="36" t="inlineStr">
        <is>
          <t>Pila</t>
        </is>
      </c>
      <c r="G327" s="36" t="inlineStr">
        <is>
          <t>Bulilan Norte</t>
        </is>
      </c>
      <c r="H327" s="37" t="n">
        <v>14.231323</v>
      </c>
      <c r="I327" s="37" t="n">
        <v>121.366875</v>
      </c>
      <c r="J327" s="8" t="inlineStr">
        <is>
          <t>R</t>
        </is>
      </c>
      <c r="K327" s="36" t="inlineStr">
        <is>
          <t>Class 1-3 / Urban</t>
        </is>
      </c>
      <c r="L327" s="18" t="n">
        <v>2314</v>
      </c>
      <c r="M327" s="20" t="n">
        <v>4.2</v>
      </c>
      <c r="N327" s="18">
        <f>ROUND(L327/M327, 0)</f>
        <v/>
      </c>
      <c r="O327" s="18">
        <f>ROUND(N327*'Methodology &amp; Assumptions'!$B$8, 0)</f>
        <v/>
      </c>
      <c r="P327" s="8" t="inlineStr">
        <is>
          <t>Band n50 (1.5 GHz, 60 MHz)</t>
        </is>
      </c>
      <c r="Q327" s="38">
        <f>ROUNDUP(O327/'Methodology &amp; Assumptions'!$B$9, 0)</f>
        <v/>
      </c>
      <c r="R327" s="39" t="n">
        <v>1</v>
      </c>
      <c r="S327" s="21" t="n">
        <v>0.65</v>
      </c>
      <c r="T327" s="21" t="n">
        <v>0.3</v>
      </c>
      <c r="U327" s="36" t="inlineStr">
        <is>
          <t>Tier 1A (Direct Coloc, &lt;1 km)</t>
        </is>
      </c>
      <c r="V327" s="20" t="n">
        <v>90.59999999999999</v>
      </c>
      <c r="W327" s="20" t="n">
        <v>68</v>
      </c>
      <c r="X327" s="20" t="n">
        <v>58</v>
      </c>
      <c r="Y327" s="40">
        <f>ROUND((V327*'Methodology &amp; Assumptions'!$B$6)+(W327*'Methodology &amp; Assumptions'!$B$5)+(X327*'Methodology &amp; Assumptions'!$B$7), 2)</f>
        <v/>
      </c>
    </row>
    <row r="328" ht="19" customHeight="1">
      <c r="A328" s="41" t="n">
        <v>324</v>
      </c>
      <c r="B328" s="41" t="n">
        <v>1324</v>
      </c>
      <c r="C328" s="42" t="inlineStr">
        <is>
          <t>1102403029</t>
        </is>
      </c>
      <c r="D328" s="42" t="inlineStr">
        <is>
          <t>Region XI (Davao Region)</t>
        </is>
      </c>
      <c r="E328" s="42" t="inlineStr">
        <is>
          <t>Davao del Sur</t>
        </is>
      </c>
      <c r="F328" s="42" t="inlineStr">
        <is>
          <t>City of Digos</t>
        </is>
      </c>
      <c r="G328" s="42" t="inlineStr">
        <is>
          <t>Zone 2</t>
        </is>
      </c>
      <c r="H328" s="43" t="n">
        <v>6.753</v>
      </c>
      <c r="I328" s="43" t="n">
        <v>125.34825</v>
      </c>
      <c r="J328" s="44" t="inlineStr">
        <is>
          <t>U</t>
        </is>
      </c>
      <c r="K328" s="42" t="inlineStr">
        <is>
          <t>Class 1-3 / Urban</t>
        </is>
      </c>
      <c r="L328" s="23" t="n">
        <v>7565</v>
      </c>
      <c r="M328" s="24" t="n">
        <v>4.1</v>
      </c>
      <c r="N328" s="23">
        <f>ROUND(L328/M328, 0)</f>
        <v/>
      </c>
      <c r="O328" s="23">
        <f>ROUND(N328*'Methodology &amp; Assumptions'!$B$8, 0)</f>
        <v/>
      </c>
      <c r="P328" s="44" t="inlineStr">
        <is>
          <t>Band n50 (1.5 GHz, 60 MHz)</t>
        </is>
      </c>
      <c r="Q328" s="38">
        <f>ROUNDUP(O328/'Methodology &amp; Assumptions'!$B$9, 0)</f>
        <v/>
      </c>
      <c r="R328" s="39" t="n">
        <v>1</v>
      </c>
      <c r="S328" s="25" t="n">
        <v>0.89</v>
      </c>
      <c r="T328" s="25" t="n">
        <v>1.75</v>
      </c>
      <c r="U328" s="42" t="inlineStr">
        <is>
          <t>Tier 1A (Direct Coloc, &lt;1 km)</t>
        </is>
      </c>
      <c r="V328" s="24" t="n">
        <v>84.3</v>
      </c>
      <c r="W328" s="24" t="n">
        <v>100</v>
      </c>
      <c r="X328" s="24" t="n">
        <v>28</v>
      </c>
      <c r="Y328" s="45">
        <f>ROUND((V328*'Methodology &amp; Assumptions'!$B$6)+(W328*'Methodology &amp; Assumptions'!$B$5)+(X328*'Methodology &amp; Assumptions'!$B$7), 2)</f>
        <v/>
      </c>
    </row>
    <row r="329" ht="19" customHeight="1">
      <c r="A329" s="35" t="n">
        <v>325</v>
      </c>
      <c r="B329" s="35" t="n">
        <v>1325</v>
      </c>
      <c r="C329" s="36" t="inlineStr">
        <is>
          <t>0601909037</t>
        </is>
      </c>
      <c r="D329" s="36" t="inlineStr">
        <is>
          <t>Region VI (Western Visayas)</t>
        </is>
      </c>
      <c r="E329" s="36" t="inlineStr">
        <is>
          <t>Capiz</t>
        </is>
      </c>
      <c r="F329" s="36" t="inlineStr">
        <is>
          <t>Panay</t>
        </is>
      </c>
      <c r="G329" s="36" t="inlineStr">
        <is>
          <t>Poblacion Ilaya</t>
        </is>
      </c>
      <c r="H329" s="37" t="n">
        <v>11.555528</v>
      </c>
      <c r="I329" s="37" t="n">
        <v>122.790896</v>
      </c>
      <c r="J329" s="8" t="inlineStr">
        <is>
          <t>U</t>
        </is>
      </c>
      <c r="K329" s="36" t="inlineStr">
        <is>
          <t>Class 1-3 / Urban</t>
        </is>
      </c>
      <c r="L329" s="18" t="n">
        <v>3440</v>
      </c>
      <c r="M329" s="20" t="n">
        <v>4.2</v>
      </c>
      <c r="N329" s="18">
        <f>ROUND(L329/M329, 0)</f>
        <v/>
      </c>
      <c r="O329" s="18">
        <f>ROUND(N329*'Methodology &amp; Assumptions'!$B$8, 0)</f>
        <v/>
      </c>
      <c r="P329" s="8" t="inlineStr">
        <is>
          <t>Band n50 (1.5 GHz, 60 MHz)</t>
        </is>
      </c>
      <c r="Q329" s="38">
        <f>ROUNDUP(O329/'Methodology &amp; Assumptions'!$B$9, 0)</f>
        <v/>
      </c>
      <c r="R329" s="39" t="n">
        <v>1</v>
      </c>
      <c r="S329" s="21" t="n">
        <v>0.5</v>
      </c>
      <c r="T329" s="21" t="n">
        <v>0.15</v>
      </c>
      <c r="U329" s="36" t="inlineStr">
        <is>
          <t>Tier 1A (Direct Coloc, &lt;1 km)</t>
        </is>
      </c>
      <c r="V329" s="20" t="n">
        <v>94.7</v>
      </c>
      <c r="W329" s="20" t="n">
        <v>89.59999999999999</v>
      </c>
      <c r="X329" s="20" t="n">
        <v>28</v>
      </c>
      <c r="Y329" s="40">
        <f>ROUND((V329*'Methodology &amp; Assumptions'!$B$6)+(W329*'Methodology &amp; Assumptions'!$B$5)+(X329*'Methodology &amp; Assumptions'!$B$7), 2)</f>
        <v/>
      </c>
    </row>
    <row r="330" ht="19" customHeight="1">
      <c r="A330" s="41" t="n">
        <v>326</v>
      </c>
      <c r="B330" s="41" t="n">
        <v>1326</v>
      </c>
      <c r="C330" s="42" t="inlineStr">
        <is>
          <t>0803738111</t>
        </is>
      </c>
      <c r="D330" s="42" t="inlineStr">
        <is>
          <t>Region VIII (Eastern Visayas)</t>
        </is>
      </c>
      <c r="E330" s="42" t="inlineStr">
        <is>
          <t>Leyte</t>
        </is>
      </c>
      <c r="F330" s="42" t="inlineStr">
        <is>
          <t>Ormoc City</t>
        </is>
      </c>
      <c r="G330" s="42" t="inlineStr">
        <is>
          <t>Doña Feliza Z. Mejia</t>
        </is>
      </c>
      <c r="H330" s="43" t="n">
        <v>11.022779</v>
      </c>
      <c r="I330" s="43" t="n">
        <v>124.598903</v>
      </c>
      <c r="J330" s="44" t="inlineStr">
        <is>
          <t>U</t>
        </is>
      </c>
      <c r="K330" s="42" t="inlineStr">
        <is>
          <t>Class 1-3 / Urban</t>
        </is>
      </c>
      <c r="L330" s="23" t="n">
        <v>3196</v>
      </c>
      <c r="M330" s="24" t="n">
        <v>4.24</v>
      </c>
      <c r="N330" s="23">
        <f>ROUND(L330/M330, 0)</f>
        <v/>
      </c>
      <c r="O330" s="23">
        <f>ROUND(N330*'Methodology &amp; Assumptions'!$B$8, 0)</f>
        <v/>
      </c>
      <c r="P330" s="44" t="inlineStr">
        <is>
          <t>Band n50 (1.5 GHz, 60 MHz)</t>
        </is>
      </c>
      <c r="Q330" s="38">
        <f>ROUNDUP(O330/'Methodology &amp; Assumptions'!$B$9, 0)</f>
        <v/>
      </c>
      <c r="R330" s="39" t="n">
        <v>1</v>
      </c>
      <c r="S330" s="25" t="n">
        <v>0.15</v>
      </c>
      <c r="T330" s="25" t="n">
        <v>0.04</v>
      </c>
      <c r="U330" s="42" t="inlineStr">
        <is>
          <t>Tier 1A (Direct Coloc, &lt;1 km)</t>
        </is>
      </c>
      <c r="V330" s="24" t="n">
        <v>100</v>
      </c>
      <c r="W330" s="24" t="n">
        <v>84.3</v>
      </c>
      <c r="X330" s="24" t="n">
        <v>28</v>
      </c>
      <c r="Y330" s="45">
        <f>ROUND((V330*'Methodology &amp; Assumptions'!$B$6)+(W330*'Methodology &amp; Assumptions'!$B$5)+(X330*'Methodology &amp; Assumptions'!$B$7), 2)</f>
        <v/>
      </c>
    </row>
    <row r="331" ht="19" customHeight="1">
      <c r="A331" s="35" t="n">
        <v>327</v>
      </c>
      <c r="B331" s="35" t="n">
        <v>1327</v>
      </c>
      <c r="C331" s="36" t="inlineStr">
        <is>
          <t>0600613005</t>
        </is>
      </c>
      <c r="D331" s="36" t="inlineStr">
        <is>
          <t>Region VI (Western Visayas)</t>
        </is>
      </c>
      <c r="E331" s="36" t="inlineStr">
        <is>
          <t>Antique</t>
        </is>
      </c>
      <c r="F331" s="36" t="inlineStr">
        <is>
          <t>San Jose</t>
        </is>
      </c>
      <c r="G331" s="36" t="inlineStr">
        <is>
          <t>Barangay 3</t>
        </is>
      </c>
      <c r="H331" s="37" t="n">
        <v>10.7438</v>
      </c>
      <c r="I331" s="37" t="n">
        <v>121.9355</v>
      </c>
      <c r="J331" s="8" t="inlineStr">
        <is>
          <t>R</t>
        </is>
      </c>
      <c r="K331" s="36" t="inlineStr">
        <is>
          <t>Class 1-3 / Urban</t>
        </is>
      </c>
      <c r="L331" s="18" t="n">
        <v>3406</v>
      </c>
      <c r="M331" s="20" t="n">
        <v>4.43</v>
      </c>
      <c r="N331" s="18">
        <f>ROUND(L331/M331, 0)</f>
        <v/>
      </c>
      <c r="O331" s="18">
        <f>ROUND(N331*'Methodology &amp; Assumptions'!$B$8, 0)</f>
        <v/>
      </c>
      <c r="P331" s="8" t="inlineStr">
        <is>
          <t>Band n50 (1.5 GHz, 60 MHz)</t>
        </is>
      </c>
      <c r="Q331" s="38">
        <f>ROUNDUP(O331/'Methodology &amp; Assumptions'!$B$9, 0)</f>
        <v/>
      </c>
      <c r="R331" s="39" t="n">
        <v>1</v>
      </c>
      <c r="S331" s="21" t="n">
        <v>2.08</v>
      </c>
      <c r="T331" s="21" t="n">
        <v>0.6899999999999999</v>
      </c>
      <c r="U331" s="36" t="inlineStr">
        <is>
          <t>Tier 1B (Micro Drop, 1-3 km)</t>
        </is>
      </c>
      <c r="V331" s="20" t="n">
        <v>60.1</v>
      </c>
      <c r="W331" s="20" t="n">
        <v>85.59999999999999</v>
      </c>
      <c r="X331" s="20" t="n">
        <v>73</v>
      </c>
      <c r="Y331" s="40">
        <f>ROUND((V331*'Methodology &amp; Assumptions'!$B$6)+(W331*'Methodology &amp; Assumptions'!$B$5)+(X331*'Methodology &amp; Assumptions'!$B$7), 2)</f>
        <v/>
      </c>
    </row>
    <row r="332" ht="19" customHeight="1">
      <c r="A332" s="41" t="n">
        <v>328</v>
      </c>
      <c r="B332" s="41" t="n">
        <v>1328</v>
      </c>
      <c r="C332" s="42" t="inlineStr">
        <is>
          <t>0506216019</t>
        </is>
      </c>
      <c r="D332" s="42" t="inlineStr">
        <is>
          <t>Region V (Bicol Region)</t>
        </is>
      </c>
      <c r="E332" s="42" t="inlineStr">
        <is>
          <t>Sorsogon</t>
        </is>
      </c>
      <c r="F332" s="42" t="inlineStr">
        <is>
          <t>City of Sorsogon</t>
        </is>
      </c>
      <c r="G332" s="42" t="inlineStr">
        <is>
          <t>Macabog</t>
        </is>
      </c>
      <c r="H332" s="43" t="n">
        <v>12.983797</v>
      </c>
      <c r="I332" s="43" t="n">
        <v>123.989317</v>
      </c>
      <c r="J332" s="44" t="inlineStr">
        <is>
          <t>R</t>
        </is>
      </c>
      <c r="K332" s="42" t="inlineStr">
        <is>
          <t>Class 1-3 / Urban</t>
        </is>
      </c>
      <c r="L332" s="23" t="n">
        <v>4392</v>
      </c>
      <c r="M332" s="24" t="n">
        <v>4.58</v>
      </c>
      <c r="N332" s="23">
        <f>ROUND(L332/M332, 0)</f>
        <v/>
      </c>
      <c r="O332" s="23">
        <f>ROUND(N332*'Methodology &amp; Assumptions'!$B$8, 0)</f>
        <v/>
      </c>
      <c r="P332" s="44" t="inlineStr">
        <is>
          <t>Band n50 (1.5 GHz, 60 MHz)</t>
        </is>
      </c>
      <c r="Q332" s="38">
        <f>ROUNDUP(O332/'Methodology &amp; Assumptions'!$B$9, 0)</f>
        <v/>
      </c>
      <c r="R332" s="39" t="n">
        <v>1</v>
      </c>
      <c r="S332" s="25" t="n">
        <v>2.17</v>
      </c>
      <c r="T332" s="25" t="n">
        <v>0.11</v>
      </c>
      <c r="U332" s="42" t="inlineStr">
        <is>
          <t>Tier 1B (Micro Drop, 1-3 km)</t>
        </is>
      </c>
      <c r="V332" s="24" t="n">
        <v>58.5</v>
      </c>
      <c r="W332" s="24" t="n">
        <v>100</v>
      </c>
      <c r="X332" s="24" t="n">
        <v>58</v>
      </c>
      <c r="Y332" s="45">
        <f>ROUND((V332*'Methodology &amp; Assumptions'!$B$6)+(W332*'Methodology &amp; Assumptions'!$B$5)+(X332*'Methodology &amp; Assumptions'!$B$7), 2)</f>
        <v/>
      </c>
    </row>
    <row r="333" ht="19" customHeight="1">
      <c r="A333" s="35" t="n">
        <v>329</v>
      </c>
      <c r="B333" s="35" t="n">
        <v>1329</v>
      </c>
      <c r="C333" s="36" t="inlineStr">
        <is>
          <t>1705205062</t>
        </is>
      </c>
      <c r="D333" s="36" t="inlineStr">
        <is>
          <t>MIMAROPA Region</t>
        </is>
      </c>
      <c r="E333" s="36" t="inlineStr">
        <is>
          <t>Oriental Mindoro</t>
        </is>
      </c>
      <c r="F333" s="36" t="inlineStr">
        <is>
          <t>City of Calapan</t>
        </is>
      </c>
      <c r="G333" s="36" t="inlineStr">
        <is>
          <t>Suqui</t>
        </is>
      </c>
      <c r="H333" s="37" t="n">
        <v>13.418121</v>
      </c>
      <c r="I333" s="37" t="n">
        <v>121.203261</v>
      </c>
      <c r="J333" s="8" t="inlineStr">
        <is>
          <t>R</t>
        </is>
      </c>
      <c r="K333" s="36" t="inlineStr">
        <is>
          <t>Class 1-3 / Urban</t>
        </is>
      </c>
      <c r="L333" s="18" t="n">
        <v>3778</v>
      </c>
      <c r="M333" s="20" t="n">
        <v>4.41</v>
      </c>
      <c r="N333" s="18">
        <f>ROUND(L333/M333, 0)</f>
        <v/>
      </c>
      <c r="O333" s="18">
        <f>ROUND(N333*'Methodology &amp; Assumptions'!$B$8, 0)</f>
        <v/>
      </c>
      <c r="P333" s="8" t="inlineStr">
        <is>
          <t>Band n50 (1.5 GHz, 60 MHz)</t>
        </is>
      </c>
      <c r="Q333" s="38">
        <f>ROUNDUP(O333/'Methodology &amp; Assumptions'!$B$9, 0)</f>
        <v/>
      </c>
      <c r="R333" s="39" t="n">
        <v>1</v>
      </c>
      <c r="S333" s="21" t="n">
        <v>1.07</v>
      </c>
      <c r="T333" s="21" t="n">
        <v>6.2</v>
      </c>
      <c r="U333" s="36" t="inlineStr">
        <is>
          <t>Tier 1B (Micro Drop, 1-3 km)</t>
        </is>
      </c>
      <c r="V333" s="20" t="n">
        <v>70</v>
      </c>
      <c r="W333" s="20" t="n">
        <v>88.5</v>
      </c>
      <c r="X333" s="20" t="n">
        <v>58</v>
      </c>
      <c r="Y333" s="40">
        <f>ROUND((V333*'Methodology &amp; Assumptions'!$B$6)+(W333*'Methodology &amp; Assumptions'!$B$5)+(X333*'Methodology &amp; Assumptions'!$B$7), 2)</f>
        <v/>
      </c>
    </row>
    <row r="334" ht="19" customHeight="1">
      <c r="A334" s="41" t="n">
        <v>330</v>
      </c>
      <c r="B334" s="41" t="n">
        <v>1330</v>
      </c>
      <c r="C334" s="42" t="inlineStr">
        <is>
          <t>0304932026</t>
        </is>
      </c>
      <c r="D334" s="42" t="inlineStr">
        <is>
          <t>Region III (Central Luzon)</t>
        </is>
      </c>
      <c r="E334" s="42" t="inlineStr">
        <is>
          <t>Nueva Ecija</t>
        </is>
      </c>
      <c r="F334" s="42" t="inlineStr">
        <is>
          <t>Zaragoza</t>
        </is>
      </c>
      <c r="G334" s="42" t="inlineStr">
        <is>
          <t>Santo Rosario Old</t>
        </is>
      </c>
      <c r="H334" s="43" t="n">
        <v>15.440556</v>
      </c>
      <c r="I334" s="43" t="n">
        <v>120.78</v>
      </c>
      <c r="J334" s="44" t="inlineStr">
        <is>
          <t>R</t>
        </is>
      </c>
      <c r="K334" s="42" t="inlineStr">
        <is>
          <t>Class 1-3 / Urban</t>
        </is>
      </c>
      <c r="L334" s="23" t="n">
        <v>3608</v>
      </c>
      <c r="M334" s="24" t="n">
        <v>4.32</v>
      </c>
      <c r="N334" s="23">
        <f>ROUND(L334/M334, 0)</f>
        <v/>
      </c>
      <c r="O334" s="23">
        <f>ROUND(N334*'Methodology &amp; Assumptions'!$B$8, 0)</f>
        <v/>
      </c>
      <c r="P334" s="44" t="inlineStr">
        <is>
          <t>Band n50 (1.5 GHz, 60 MHz)</t>
        </is>
      </c>
      <c r="Q334" s="38">
        <f>ROUNDUP(O334/'Methodology &amp; Assumptions'!$B$9, 0)</f>
        <v/>
      </c>
      <c r="R334" s="39" t="n">
        <v>1</v>
      </c>
      <c r="S334" s="25" t="n">
        <v>1.64</v>
      </c>
      <c r="T334" s="25" t="n">
        <v>0.6</v>
      </c>
      <c r="U334" s="42" t="inlineStr">
        <is>
          <t>Tier 1B (Micro Drop, 1-3 km)</t>
        </is>
      </c>
      <c r="V334" s="24" t="n">
        <v>67.8</v>
      </c>
      <c r="W334" s="24" t="n">
        <v>90.7</v>
      </c>
      <c r="X334" s="24" t="n">
        <v>58</v>
      </c>
      <c r="Y334" s="45">
        <f>ROUND((V334*'Methodology &amp; Assumptions'!$B$6)+(W334*'Methodology &amp; Assumptions'!$B$5)+(X334*'Methodology &amp; Assumptions'!$B$7), 2)</f>
        <v/>
      </c>
    </row>
    <row r="335" ht="19" customHeight="1">
      <c r="A335" s="35" t="n">
        <v>331</v>
      </c>
      <c r="B335" s="35" t="n">
        <v>1331</v>
      </c>
      <c r="C335" s="36" t="inlineStr">
        <is>
          <t>0604528015</t>
        </is>
      </c>
      <c r="D335" s="36" t="inlineStr">
        <is>
          <t>Region VI (Western Visayas)</t>
        </is>
      </c>
      <c r="E335" s="36" t="inlineStr">
        <is>
          <t>Negros Occidental</t>
        </is>
      </c>
      <c r="F335" s="36" t="inlineStr">
        <is>
          <t>City of Talisay</t>
        </is>
      </c>
      <c r="G335" s="36" t="inlineStr">
        <is>
          <t>Zone 12-A</t>
        </is>
      </c>
      <c r="H335" s="37" t="n">
        <v>10.741364</v>
      </c>
      <c r="I335" s="37" t="n">
        <v>122.975855</v>
      </c>
      <c r="J335" s="8" t="inlineStr">
        <is>
          <t>U</t>
        </is>
      </c>
      <c r="K335" s="36" t="inlineStr">
        <is>
          <t>Class 1-3 / Urban</t>
        </is>
      </c>
      <c r="L335" s="18" t="n">
        <v>12419</v>
      </c>
      <c r="M335" s="20" t="n">
        <v>4.33</v>
      </c>
      <c r="N335" s="18">
        <f>ROUND(L335/M335, 0)</f>
        <v/>
      </c>
      <c r="O335" s="18">
        <f>ROUND(N335*'Methodology &amp; Assumptions'!$B$8, 0)</f>
        <v/>
      </c>
      <c r="P335" s="8" t="inlineStr">
        <is>
          <t>Band n50 (1.5 GHz, 60 MHz)</t>
        </is>
      </c>
      <c r="Q335" s="38">
        <f>ROUNDUP(O335/'Methodology &amp; Assumptions'!$B$9, 0)</f>
        <v/>
      </c>
      <c r="R335" s="39" t="n">
        <v>1</v>
      </c>
      <c r="S335" s="21" t="n">
        <v>0.9</v>
      </c>
      <c r="T335" s="21" t="n">
        <v>0.75</v>
      </c>
      <c r="U335" s="36" t="inlineStr">
        <is>
          <t>Tier 1A (Direct Coloc, &lt;1 km)</t>
        </is>
      </c>
      <c r="V335" s="20" t="n">
        <v>84.2</v>
      </c>
      <c r="W335" s="20" t="n">
        <v>100</v>
      </c>
      <c r="X335" s="20" t="n">
        <v>28</v>
      </c>
      <c r="Y335" s="40">
        <f>ROUND((V335*'Methodology &amp; Assumptions'!$B$6)+(W335*'Methodology &amp; Assumptions'!$B$5)+(X335*'Methodology &amp; Assumptions'!$B$7), 2)</f>
        <v/>
      </c>
    </row>
    <row r="336" ht="19" customHeight="1">
      <c r="A336" s="41" t="n">
        <v>332</v>
      </c>
      <c r="B336" s="41" t="n">
        <v>1332</v>
      </c>
      <c r="C336" s="42" t="inlineStr">
        <is>
          <t>0731300002</t>
        </is>
      </c>
      <c r="D336" s="42" t="inlineStr">
        <is>
          <t>Region VII (Central Visayas)</t>
        </is>
      </c>
      <c r="E336" s="42" t="inlineStr">
        <is>
          <t>Cebu</t>
        </is>
      </c>
      <c r="F336" s="42" t="inlineStr">
        <is>
          <t>City of Mandaue</t>
        </is>
      </c>
      <c r="G336" s="42" t="inlineStr">
        <is>
          <t>Bakilid</t>
        </is>
      </c>
      <c r="H336" s="43" t="n">
        <v>10.334845</v>
      </c>
      <c r="I336" s="43" t="n">
        <v>123.935329</v>
      </c>
      <c r="J336" s="44" t="inlineStr">
        <is>
          <t>U</t>
        </is>
      </c>
      <c r="K336" s="42" t="inlineStr">
        <is>
          <t>Class 1-3 / Urban</t>
        </is>
      </c>
      <c r="L336" s="23" t="n">
        <v>4387</v>
      </c>
      <c r="M336" s="24" t="n">
        <v>4.42</v>
      </c>
      <c r="N336" s="23">
        <f>ROUND(L336/M336, 0)</f>
        <v/>
      </c>
      <c r="O336" s="23">
        <f>ROUND(N336*'Methodology &amp; Assumptions'!$B$8, 0)</f>
        <v/>
      </c>
      <c r="P336" s="44" t="inlineStr">
        <is>
          <t>Band n50 (1.5 GHz, 60 MHz)</t>
        </is>
      </c>
      <c r="Q336" s="38">
        <f>ROUNDUP(O336/'Methodology &amp; Assumptions'!$B$9, 0)</f>
        <v/>
      </c>
      <c r="R336" s="39" t="n">
        <v>1</v>
      </c>
      <c r="S336" s="25" t="n">
        <v>0.9</v>
      </c>
      <c r="T336" s="25" t="n">
        <v>0.16</v>
      </c>
      <c r="U336" s="42" t="inlineStr">
        <is>
          <t>Tier 1A (Direct Coloc, &lt;1 km)</t>
        </is>
      </c>
      <c r="V336" s="24" t="n">
        <v>84.2</v>
      </c>
      <c r="W336" s="24" t="n">
        <v>100</v>
      </c>
      <c r="X336" s="24" t="n">
        <v>28</v>
      </c>
      <c r="Y336" s="45">
        <f>ROUND((V336*'Methodology &amp; Assumptions'!$B$6)+(W336*'Methodology &amp; Assumptions'!$B$5)+(X336*'Methodology &amp; Assumptions'!$B$7), 2)</f>
        <v/>
      </c>
    </row>
    <row r="337" ht="19" customHeight="1">
      <c r="A337" s="35" t="n">
        <v>333</v>
      </c>
      <c r="B337" s="35" t="n">
        <v>1333</v>
      </c>
      <c r="C337" s="36" t="inlineStr">
        <is>
          <t>0300804007</t>
        </is>
      </c>
      <c r="D337" s="36" t="inlineStr">
        <is>
          <t>Region III (Central Luzon)</t>
        </is>
      </c>
      <c r="E337" s="36" t="inlineStr">
        <is>
          <t>Bataan</t>
        </is>
      </c>
      <c r="F337" s="36" t="inlineStr">
        <is>
          <t>Dinalupihan</t>
        </is>
      </c>
      <c r="G337" s="36" t="inlineStr">
        <is>
          <t>Colo</t>
        </is>
      </c>
      <c r="H337" s="37" t="n">
        <v>14.846759</v>
      </c>
      <c r="I337" s="37" t="n">
        <v>120.411373</v>
      </c>
      <c r="J337" s="8" t="inlineStr">
        <is>
          <t>R</t>
        </is>
      </c>
      <c r="K337" s="36" t="inlineStr">
        <is>
          <t>Class 1-3 / Urban</t>
        </is>
      </c>
      <c r="L337" s="18" t="n">
        <v>3651</v>
      </c>
      <c r="M337" s="20" t="n">
        <v>4.57</v>
      </c>
      <c r="N337" s="18">
        <f>ROUND(L337/M337, 0)</f>
        <v/>
      </c>
      <c r="O337" s="18">
        <f>ROUND(N337*'Methodology &amp; Assumptions'!$B$8, 0)</f>
        <v/>
      </c>
      <c r="P337" s="8" t="inlineStr">
        <is>
          <t>Band n50 (1.5 GHz, 60 MHz)</t>
        </is>
      </c>
      <c r="Q337" s="38">
        <f>ROUNDUP(O337/'Methodology &amp; Assumptions'!$B$9, 0)</f>
        <v/>
      </c>
      <c r="R337" s="39" t="n">
        <v>1</v>
      </c>
      <c r="S337" s="21" t="n">
        <v>1.51</v>
      </c>
      <c r="T337" s="21" t="n">
        <v>0.05</v>
      </c>
      <c r="U337" s="36" t="inlineStr">
        <is>
          <t>Tier 1B (Micro Drop, 1-3 km)</t>
        </is>
      </c>
      <c r="V337" s="20" t="n">
        <v>70.40000000000001</v>
      </c>
      <c r="W337" s="20" t="n">
        <v>88</v>
      </c>
      <c r="X337" s="20" t="n">
        <v>58</v>
      </c>
      <c r="Y337" s="40">
        <f>ROUND((V337*'Methodology &amp; Assumptions'!$B$6)+(W337*'Methodology &amp; Assumptions'!$B$5)+(X337*'Methodology &amp; Assumptions'!$B$7), 2)</f>
        <v/>
      </c>
    </row>
    <row r="338" ht="19" customHeight="1">
      <c r="A338" s="41" t="n">
        <v>334</v>
      </c>
      <c r="B338" s="41" t="n">
        <v>1334</v>
      </c>
      <c r="C338" s="42" t="inlineStr">
        <is>
          <t>0301416015</t>
        </is>
      </c>
      <c r="D338" s="42" t="inlineStr">
        <is>
          <t>Region III (Central Luzon)</t>
        </is>
      </c>
      <c r="E338" s="42" t="inlineStr">
        <is>
          <t>Bulacan</t>
        </is>
      </c>
      <c r="F338" s="42" t="inlineStr">
        <is>
          <t>Paombong</t>
        </is>
      </c>
      <c r="G338" s="42" t="inlineStr">
        <is>
          <t>Santo Niño</t>
        </is>
      </c>
      <c r="H338" s="43" t="n">
        <v>14.83969</v>
      </c>
      <c r="I338" s="43" t="n">
        <v>120.793904</v>
      </c>
      <c r="J338" s="44" t="inlineStr">
        <is>
          <t>R</t>
        </is>
      </c>
      <c r="K338" s="42" t="inlineStr">
        <is>
          <t>Class 1-3 / Urban</t>
        </is>
      </c>
      <c r="L338" s="23" t="n">
        <v>3574</v>
      </c>
      <c r="M338" s="24" t="n">
        <v>4.1</v>
      </c>
      <c r="N338" s="23">
        <f>ROUND(L338/M338, 0)</f>
        <v/>
      </c>
      <c r="O338" s="23">
        <f>ROUND(N338*'Methodology &amp; Assumptions'!$B$8, 0)</f>
        <v/>
      </c>
      <c r="P338" s="44" t="inlineStr">
        <is>
          <t>Band n50 (1.5 GHz, 60 MHz)</t>
        </is>
      </c>
      <c r="Q338" s="38">
        <f>ROUNDUP(O338/'Methodology &amp; Assumptions'!$B$9, 0)</f>
        <v/>
      </c>
      <c r="R338" s="39" t="n">
        <v>1</v>
      </c>
      <c r="S338" s="25" t="n">
        <v>1.98</v>
      </c>
      <c r="T338" s="25" t="n">
        <v>2.65</v>
      </c>
      <c r="U338" s="42" t="inlineStr">
        <is>
          <t>Tier 1B (Micro Drop, 1-3 km)</t>
        </is>
      </c>
      <c r="V338" s="24" t="n">
        <v>51.7</v>
      </c>
      <c r="W338" s="24" t="n">
        <v>93.90000000000001</v>
      </c>
      <c r="X338" s="24" t="n">
        <v>73</v>
      </c>
      <c r="Y338" s="45">
        <f>ROUND((V338*'Methodology &amp; Assumptions'!$B$6)+(W338*'Methodology &amp; Assumptions'!$B$5)+(X338*'Methodology &amp; Assumptions'!$B$7), 2)</f>
        <v/>
      </c>
    </row>
    <row r="339" ht="19" customHeight="1">
      <c r="A339" s="35" t="n">
        <v>335</v>
      </c>
      <c r="B339" s="35" t="n">
        <v>1335</v>
      </c>
      <c r="C339" s="36" t="inlineStr">
        <is>
          <t>0402103009</t>
        </is>
      </c>
      <c r="D339" s="36" t="inlineStr">
        <is>
          <t>Region IV-A (CALABARZON)</t>
        </is>
      </c>
      <c r="E339" s="36" t="inlineStr">
        <is>
          <t>Cavite</t>
        </is>
      </c>
      <c r="F339" s="36" t="inlineStr">
        <is>
          <t>City of Bacoor</t>
        </is>
      </c>
      <c r="G339" s="36" t="inlineStr">
        <is>
          <t>Kaingin</t>
        </is>
      </c>
      <c r="H339" s="37" t="n">
        <v>14.436707</v>
      </c>
      <c r="I339" s="37" t="n">
        <v>120.961346</v>
      </c>
      <c r="J339" s="8" t="inlineStr">
        <is>
          <t>R</t>
        </is>
      </c>
      <c r="K339" s="36" t="inlineStr">
        <is>
          <t>Class 1-3 / Urban</t>
        </is>
      </c>
      <c r="L339" s="18" t="n">
        <v>3503</v>
      </c>
      <c r="M339" s="20" t="n">
        <v>4.49</v>
      </c>
      <c r="N339" s="18">
        <f>ROUND(L339/M339, 0)</f>
        <v/>
      </c>
      <c r="O339" s="18">
        <f>ROUND(N339*'Methodology &amp; Assumptions'!$B$8, 0)</f>
        <v/>
      </c>
      <c r="P339" s="8" t="inlineStr">
        <is>
          <t>Band n50 (1.5 GHz, 60 MHz)</t>
        </is>
      </c>
      <c r="Q339" s="38">
        <f>ROUNDUP(O339/'Methodology &amp; Assumptions'!$B$9, 0)</f>
        <v/>
      </c>
      <c r="R339" s="39" t="n">
        <v>1</v>
      </c>
      <c r="S339" s="21" t="n">
        <v>1.43</v>
      </c>
      <c r="T339" s="21" t="n">
        <v>1.32</v>
      </c>
      <c r="U339" s="36" t="inlineStr">
        <is>
          <t>Tier 1B (Micro Drop, 1-3 km)</t>
        </is>
      </c>
      <c r="V339" s="20" t="n">
        <v>72</v>
      </c>
      <c r="W339" s="20" t="n">
        <v>86.40000000000001</v>
      </c>
      <c r="X339" s="20" t="n">
        <v>58</v>
      </c>
      <c r="Y339" s="40">
        <f>ROUND((V339*'Methodology &amp; Assumptions'!$B$6)+(W339*'Methodology &amp; Assumptions'!$B$5)+(X339*'Methodology &amp; Assumptions'!$B$7), 2)</f>
        <v/>
      </c>
    </row>
    <row r="340" ht="19" customHeight="1">
      <c r="A340" s="41" t="n">
        <v>336</v>
      </c>
      <c r="B340" s="41" t="n">
        <v>1336</v>
      </c>
      <c r="C340" s="42" t="inlineStr">
        <is>
          <t>0831600115</t>
        </is>
      </c>
      <c r="D340" s="42" t="inlineStr">
        <is>
          <t>Region VIII (Eastern Visayas)</t>
        </is>
      </c>
      <c r="E340" s="42" t="inlineStr">
        <is>
          <t>Leyte</t>
        </is>
      </c>
      <c r="F340" s="42" t="inlineStr">
        <is>
          <t>City of Tacloban</t>
        </is>
      </c>
      <c r="G340" s="42" t="inlineStr">
        <is>
          <t>Barangay 83</t>
        </is>
      </c>
      <c r="H340" s="43" t="n">
        <v>11.206432</v>
      </c>
      <c r="I340" s="43" t="n">
        <v>125.016773</v>
      </c>
      <c r="J340" s="44" t="inlineStr">
        <is>
          <t>R</t>
        </is>
      </c>
      <c r="K340" s="42" t="inlineStr">
        <is>
          <t>Class 1-3 / Urban</t>
        </is>
      </c>
      <c r="L340" s="23" t="n">
        <v>2851</v>
      </c>
      <c r="M340" s="24" t="n">
        <v>4.24</v>
      </c>
      <c r="N340" s="23">
        <f>ROUND(L340/M340, 0)</f>
        <v/>
      </c>
      <c r="O340" s="23">
        <f>ROUND(N340*'Methodology &amp; Assumptions'!$B$8, 0)</f>
        <v/>
      </c>
      <c r="P340" s="44" t="inlineStr">
        <is>
          <t>Band n50 (1.5 GHz, 60 MHz)</t>
        </is>
      </c>
      <c r="Q340" s="38">
        <f>ROUNDUP(O340/'Methodology &amp; Assumptions'!$B$9, 0)</f>
        <v/>
      </c>
      <c r="R340" s="39" t="n">
        <v>1</v>
      </c>
      <c r="S340" s="25" t="n">
        <v>1.05</v>
      </c>
      <c r="T340" s="25" t="n">
        <v>0.35</v>
      </c>
      <c r="U340" s="42" t="inlineStr">
        <is>
          <t>Tier 1B (Micro Drop, 1-3 km)</t>
        </is>
      </c>
      <c r="V340" s="24" t="n">
        <v>80.59999999999999</v>
      </c>
      <c r="W340" s="24" t="n">
        <v>77.90000000000001</v>
      </c>
      <c r="X340" s="24" t="n">
        <v>58</v>
      </c>
      <c r="Y340" s="45">
        <f>ROUND((V340*'Methodology &amp; Assumptions'!$B$6)+(W340*'Methodology &amp; Assumptions'!$B$5)+(X340*'Methodology &amp; Assumptions'!$B$7), 2)</f>
        <v/>
      </c>
    </row>
    <row r="341" ht="19" customHeight="1">
      <c r="A341" s="35" t="n">
        <v>337</v>
      </c>
      <c r="B341" s="35" t="n">
        <v>1337</v>
      </c>
      <c r="C341" s="36" t="inlineStr">
        <is>
          <t>0301412009</t>
        </is>
      </c>
      <c r="D341" s="36" t="inlineStr">
        <is>
          <t>Region III (Central Luzon)</t>
        </is>
      </c>
      <c r="E341" s="36" t="inlineStr">
        <is>
          <t>Bulacan</t>
        </is>
      </c>
      <c r="F341" s="36" t="inlineStr">
        <is>
          <t>City of Meycauayan</t>
        </is>
      </c>
      <c r="G341" s="36" t="inlineStr">
        <is>
          <t>Iba</t>
        </is>
      </c>
      <c r="H341" s="37" t="n">
        <v>14.755463</v>
      </c>
      <c r="I341" s="37" t="n">
        <v>120.979601</v>
      </c>
      <c r="J341" s="8" t="inlineStr">
        <is>
          <t>U</t>
        </is>
      </c>
      <c r="K341" s="36" t="inlineStr">
        <is>
          <t>Class 1-3 / Urban</t>
        </is>
      </c>
      <c r="L341" s="18" t="n">
        <v>9367</v>
      </c>
      <c r="M341" s="20" t="n">
        <v>4.1</v>
      </c>
      <c r="N341" s="18">
        <f>ROUND(L341/M341, 0)</f>
        <v/>
      </c>
      <c r="O341" s="18">
        <f>ROUND(N341*'Methodology &amp; Assumptions'!$B$8, 0)</f>
        <v/>
      </c>
      <c r="P341" s="8" t="inlineStr">
        <is>
          <t>Band n50 (1.5 GHz, 60 MHz)</t>
        </is>
      </c>
      <c r="Q341" s="38">
        <f>ROUNDUP(O341/'Methodology &amp; Assumptions'!$B$9, 0)</f>
        <v/>
      </c>
      <c r="R341" s="39" t="n">
        <v>1</v>
      </c>
      <c r="S341" s="21" t="n">
        <v>0.9</v>
      </c>
      <c r="T341" s="21" t="n">
        <v>1.77</v>
      </c>
      <c r="U341" s="36" t="inlineStr">
        <is>
          <t>Tier 1A (Direct Coloc, &lt;1 km)</t>
        </is>
      </c>
      <c r="V341" s="20" t="n">
        <v>84.09999999999999</v>
      </c>
      <c r="W341" s="20" t="n">
        <v>100</v>
      </c>
      <c r="X341" s="20" t="n">
        <v>28</v>
      </c>
      <c r="Y341" s="40">
        <f>ROUND((V341*'Methodology &amp; Assumptions'!$B$6)+(W341*'Methodology &amp; Assumptions'!$B$5)+(X341*'Methodology &amp; Assumptions'!$B$7), 2)</f>
        <v/>
      </c>
    </row>
    <row r="342" ht="19" customHeight="1">
      <c r="A342" s="41" t="n">
        <v>338</v>
      </c>
      <c r="B342" s="41" t="n">
        <v>1338</v>
      </c>
      <c r="C342" s="42" t="inlineStr">
        <is>
          <t>0205013013</t>
        </is>
      </c>
      <c r="D342" s="42" t="inlineStr">
        <is>
          <t>Region II (Cagayan Valley)</t>
        </is>
      </c>
      <c r="E342" s="42" t="inlineStr">
        <is>
          <t>Nueva Vizcaya</t>
        </is>
      </c>
      <c r="F342" s="42" t="inlineStr">
        <is>
          <t>Solano</t>
        </is>
      </c>
      <c r="G342" s="42" t="inlineStr">
        <is>
          <t>Roxas</t>
        </is>
      </c>
      <c r="H342" s="43" t="n">
        <v>16.52039</v>
      </c>
      <c r="I342" s="43" t="n">
        <v>121.1876</v>
      </c>
      <c r="J342" s="44" t="inlineStr">
        <is>
          <t>U</t>
        </is>
      </c>
      <c r="K342" s="42" t="inlineStr">
        <is>
          <t>Class 1-3 / Urban</t>
        </is>
      </c>
      <c r="L342" s="23" t="n">
        <v>8696</v>
      </c>
      <c r="M342" s="24" t="n">
        <v>4.19</v>
      </c>
      <c r="N342" s="23">
        <f>ROUND(L342/M342, 0)</f>
        <v/>
      </c>
      <c r="O342" s="23">
        <f>ROUND(N342*'Methodology &amp; Assumptions'!$B$8, 0)</f>
        <v/>
      </c>
      <c r="P342" s="44" t="inlineStr">
        <is>
          <t>Band n50 (1.5 GHz, 60 MHz)</t>
        </is>
      </c>
      <c r="Q342" s="38">
        <f>ROUNDUP(O342/'Methodology &amp; Assumptions'!$B$9, 0)</f>
        <v/>
      </c>
      <c r="R342" s="39" t="n">
        <v>1</v>
      </c>
      <c r="S342" s="25" t="n">
        <v>0.9</v>
      </c>
      <c r="T342" s="25" t="n">
        <v>0.15</v>
      </c>
      <c r="U342" s="42" t="inlineStr">
        <is>
          <t>Tier 1A (Direct Coloc, &lt;1 km)</t>
        </is>
      </c>
      <c r="V342" s="24" t="n">
        <v>84.09999999999999</v>
      </c>
      <c r="W342" s="24" t="n">
        <v>100</v>
      </c>
      <c r="X342" s="24" t="n">
        <v>28</v>
      </c>
      <c r="Y342" s="45">
        <f>ROUND((V342*'Methodology &amp; Assumptions'!$B$6)+(W342*'Methodology &amp; Assumptions'!$B$5)+(X342*'Methodology &amp; Assumptions'!$B$7), 2)</f>
        <v/>
      </c>
    </row>
    <row r="343" ht="19" customHeight="1">
      <c r="A343" s="35" t="n">
        <v>339</v>
      </c>
      <c r="B343" s="35" t="n">
        <v>1339</v>
      </c>
      <c r="C343" s="36" t="inlineStr">
        <is>
          <t>0105525039</t>
        </is>
      </c>
      <c r="D343" s="36" t="inlineStr">
        <is>
          <t>Region I (Ilocos Region)</t>
        </is>
      </c>
      <c r="E343" s="36" t="inlineStr">
        <is>
          <t>Pangasinan</t>
        </is>
      </c>
      <c r="F343" s="36" t="inlineStr">
        <is>
          <t>Manaoag</t>
        </is>
      </c>
      <c r="G343" s="36" t="inlineStr">
        <is>
          <t>Poblacion</t>
        </is>
      </c>
      <c r="H343" s="37" t="n">
        <v>16.04283</v>
      </c>
      <c r="I343" s="37" t="n">
        <v>120.4882</v>
      </c>
      <c r="J343" s="8" t="inlineStr">
        <is>
          <t>U</t>
        </is>
      </c>
      <c r="K343" s="36" t="inlineStr">
        <is>
          <t>Class 1-3 / Urban</t>
        </is>
      </c>
      <c r="L343" s="18" t="n">
        <v>5470</v>
      </c>
      <c r="M343" s="20" t="n">
        <v>4.39</v>
      </c>
      <c r="N343" s="18">
        <f>ROUND(L343/M343, 0)</f>
        <v/>
      </c>
      <c r="O343" s="18">
        <f>ROUND(N343*'Methodology &amp; Assumptions'!$B$8, 0)</f>
        <v/>
      </c>
      <c r="P343" s="8" t="inlineStr">
        <is>
          <t>Band n50 (1.5 GHz, 60 MHz)</t>
        </is>
      </c>
      <c r="Q343" s="38">
        <f>ROUNDUP(O343/'Methodology &amp; Assumptions'!$B$9, 0)</f>
        <v/>
      </c>
      <c r="R343" s="39" t="n">
        <v>1</v>
      </c>
      <c r="S343" s="21" t="n">
        <v>0.52</v>
      </c>
      <c r="T343" s="21" t="n">
        <v>7.22</v>
      </c>
      <c r="U343" s="36" t="inlineStr">
        <is>
          <t>Tier 1A (Direct Coloc, &lt;1 km)</t>
        </is>
      </c>
      <c r="V343" s="20" t="n">
        <v>84.2</v>
      </c>
      <c r="W343" s="20" t="n">
        <v>100</v>
      </c>
      <c r="X343" s="20" t="n">
        <v>28</v>
      </c>
      <c r="Y343" s="40">
        <f>ROUND((V343*'Methodology &amp; Assumptions'!$B$6)+(W343*'Methodology &amp; Assumptions'!$B$5)+(X343*'Methodology &amp; Assumptions'!$B$7), 2)</f>
        <v/>
      </c>
    </row>
    <row r="344" ht="19" customHeight="1">
      <c r="A344" s="41" t="n">
        <v>340</v>
      </c>
      <c r="B344" s="41" t="n">
        <v>1340</v>
      </c>
      <c r="C344" s="42" t="inlineStr">
        <is>
          <t>0300803027</t>
        </is>
      </c>
      <c r="D344" s="42" t="inlineStr">
        <is>
          <t>Region III (Central Luzon)</t>
        </is>
      </c>
      <c r="E344" s="42" t="inlineStr">
        <is>
          <t>Bataan</t>
        </is>
      </c>
      <c r="F344" s="42" t="inlineStr">
        <is>
          <t>City of Balanga</t>
        </is>
      </c>
      <c r="G344" s="42" t="inlineStr">
        <is>
          <t>Lote</t>
        </is>
      </c>
      <c r="H344" s="43" t="n">
        <v>14.68819</v>
      </c>
      <c r="I344" s="43" t="n">
        <v>120.550601</v>
      </c>
      <c r="J344" s="44" t="inlineStr">
        <is>
          <t>R</t>
        </is>
      </c>
      <c r="K344" s="42" t="inlineStr">
        <is>
          <t>Class 1-3 / Urban</t>
        </is>
      </c>
      <c r="L344" s="23" t="n">
        <v>2670</v>
      </c>
      <c r="M344" s="24" t="n">
        <v>4.57</v>
      </c>
      <c r="N344" s="23">
        <f>ROUND(L344/M344, 0)</f>
        <v/>
      </c>
      <c r="O344" s="23">
        <f>ROUND(N344*'Methodology &amp; Assumptions'!$B$8, 0)</f>
        <v/>
      </c>
      <c r="P344" s="44" t="inlineStr">
        <is>
          <t>Band n50 (1.5 GHz, 60 MHz)</t>
        </is>
      </c>
      <c r="Q344" s="38">
        <f>ROUNDUP(O344/'Methodology &amp; Assumptions'!$B$9, 0)</f>
        <v/>
      </c>
      <c r="R344" s="39" t="n">
        <v>1</v>
      </c>
      <c r="S344" s="25" t="n">
        <v>0.76</v>
      </c>
      <c r="T344" s="25" t="n">
        <v>0.53</v>
      </c>
      <c r="U344" s="42" t="inlineStr">
        <is>
          <t>Tier 1A (Direct Coloc, &lt;1 km)</t>
        </is>
      </c>
      <c r="V344" s="24" t="n">
        <v>87.7</v>
      </c>
      <c r="W344" s="24" t="n">
        <v>70.7</v>
      </c>
      <c r="X344" s="24" t="n">
        <v>58</v>
      </c>
      <c r="Y344" s="45">
        <f>ROUND((V344*'Methodology &amp; Assumptions'!$B$6)+(W344*'Methodology &amp; Assumptions'!$B$5)+(X344*'Methodology &amp; Assumptions'!$B$7), 2)</f>
        <v/>
      </c>
    </row>
    <row r="345" ht="19" customHeight="1">
      <c r="A345" s="35" t="n">
        <v>341</v>
      </c>
      <c r="B345" s="35" t="n">
        <v>1341</v>
      </c>
      <c r="C345" s="36" t="inlineStr">
        <is>
          <t>0201512006</t>
        </is>
      </c>
      <c r="D345" s="36" t="inlineStr">
        <is>
          <t>Region II (Cagayan Valley)</t>
        </is>
      </c>
      <c r="E345" s="36" t="inlineStr">
        <is>
          <t>Cagayan</t>
        </is>
      </c>
      <c r="F345" s="36" t="inlineStr">
        <is>
          <t>Enrile</t>
        </is>
      </c>
      <c r="G345" s="36" t="inlineStr">
        <is>
          <t>Barangay III</t>
        </is>
      </c>
      <c r="H345" s="37" t="n">
        <v>17.5552</v>
      </c>
      <c r="I345" s="37" t="n">
        <v>121.6937</v>
      </c>
      <c r="J345" s="8" t="inlineStr">
        <is>
          <t>R</t>
        </is>
      </c>
      <c r="K345" s="36" t="inlineStr">
        <is>
          <t>Class 1-3 / Urban</t>
        </is>
      </c>
      <c r="L345" s="18" t="n">
        <v>2630</v>
      </c>
      <c r="M345" s="20" t="n">
        <v>4.38</v>
      </c>
      <c r="N345" s="18">
        <f>ROUND(L345/M345, 0)</f>
        <v/>
      </c>
      <c r="O345" s="18">
        <f>ROUND(N345*'Methodology &amp; Assumptions'!$B$8, 0)</f>
        <v/>
      </c>
      <c r="P345" s="8" t="inlineStr">
        <is>
          <t>Band n50 (1.5 GHz, 60 MHz)</t>
        </is>
      </c>
      <c r="Q345" s="38">
        <f>ROUNDUP(O345/'Methodology &amp; Assumptions'!$B$9, 0)</f>
        <v/>
      </c>
      <c r="R345" s="39" t="n">
        <v>1</v>
      </c>
      <c r="S345" s="21" t="n">
        <v>0.8100000000000001</v>
      </c>
      <c r="T345" s="21" t="n">
        <v>1.13</v>
      </c>
      <c r="U345" s="36" t="inlineStr">
        <is>
          <t>Tier 1A (Direct Coloc, &lt;1 km)</t>
        </is>
      </c>
      <c r="V345" s="20" t="n">
        <v>86.40000000000001</v>
      </c>
      <c r="W345" s="20" t="n">
        <v>72</v>
      </c>
      <c r="X345" s="20" t="n">
        <v>58</v>
      </c>
      <c r="Y345" s="40">
        <f>ROUND((V345*'Methodology &amp; Assumptions'!$B$6)+(W345*'Methodology &amp; Assumptions'!$B$5)+(X345*'Methodology &amp; Assumptions'!$B$7), 2)</f>
        <v/>
      </c>
    </row>
    <row r="346" ht="19" customHeight="1">
      <c r="A346" s="41" t="n">
        <v>342</v>
      </c>
      <c r="B346" s="41" t="n">
        <v>1342</v>
      </c>
      <c r="C346" s="42" t="inlineStr">
        <is>
          <t>1004325015</t>
        </is>
      </c>
      <c r="D346" s="42" t="inlineStr">
        <is>
          <t>Region X (Northern Mindanao)</t>
        </is>
      </c>
      <c r="E346" s="42" t="inlineStr">
        <is>
          <t>Misamis Oriental</t>
        </is>
      </c>
      <c r="F346" s="42" t="inlineStr">
        <is>
          <t>Talisayan</t>
        </is>
      </c>
      <c r="G346" s="42" t="inlineStr">
        <is>
          <t>Santa Ines</t>
        </is>
      </c>
      <c r="H346" s="43" t="n">
        <v>8.967700000000001</v>
      </c>
      <c r="I346" s="43" t="n">
        <v>124.9426</v>
      </c>
      <c r="J346" s="44" t="inlineStr">
        <is>
          <t>R</t>
        </is>
      </c>
      <c r="K346" s="42" t="inlineStr">
        <is>
          <t>3rd</t>
        </is>
      </c>
      <c r="L346" s="23" t="n">
        <v>1951</v>
      </c>
      <c r="M346" s="24" t="n">
        <v>4.54</v>
      </c>
      <c r="N346" s="23">
        <f>ROUND(L346/M346, 0)</f>
        <v/>
      </c>
      <c r="O346" s="23">
        <f>ROUND(N346*'Methodology &amp; Assumptions'!$B$8, 0)</f>
        <v/>
      </c>
      <c r="P346" s="44" t="inlineStr">
        <is>
          <t>Band n50 (1.5 GHz, 60 MHz)</t>
        </is>
      </c>
      <c r="Q346" s="38">
        <f>ROUNDUP(O346/'Methodology &amp; Assumptions'!$B$9, 0)</f>
        <v/>
      </c>
      <c r="R346" s="39" t="n">
        <v>1</v>
      </c>
      <c r="S346" s="25" t="n">
        <v>0.2</v>
      </c>
      <c r="T346" s="25" t="n">
        <v>0.1</v>
      </c>
      <c r="U346" s="42" t="inlineStr">
        <is>
          <t>Tier 1A (Direct Coloc, &lt;1 km)</t>
        </is>
      </c>
      <c r="V346" s="24" t="n">
        <v>100</v>
      </c>
      <c r="W346" s="24" t="n">
        <v>58.4</v>
      </c>
      <c r="X346" s="24" t="n">
        <v>58</v>
      </c>
      <c r="Y346" s="45">
        <f>ROUND((V346*'Methodology &amp; Assumptions'!$B$6)+(W346*'Methodology &amp; Assumptions'!$B$5)+(X346*'Methodology &amp; Assumptions'!$B$7), 2)</f>
        <v/>
      </c>
    </row>
    <row r="347" ht="19" customHeight="1">
      <c r="A347" s="35" t="n">
        <v>343</v>
      </c>
      <c r="B347" s="35" t="n">
        <v>1343</v>
      </c>
      <c r="C347" s="36" t="inlineStr">
        <is>
          <t>0105523008</t>
        </is>
      </c>
      <c r="D347" s="36" t="inlineStr">
        <is>
          <t>Region I (Ilocos Region)</t>
        </is>
      </c>
      <c r="E347" s="36" t="inlineStr">
        <is>
          <t>Pangasinan</t>
        </is>
      </c>
      <c r="F347" s="36" t="inlineStr">
        <is>
          <t>Mabini</t>
        </is>
      </c>
      <c r="G347" s="36" t="inlineStr">
        <is>
          <t>Calzada</t>
        </is>
      </c>
      <c r="H347" s="37" t="n">
        <v>16.084663</v>
      </c>
      <c r="I347" s="37" t="n">
        <v>119.92636</v>
      </c>
      <c r="J347" s="8" t="inlineStr">
        <is>
          <t>R</t>
        </is>
      </c>
      <c r="K347" s="36" t="inlineStr">
        <is>
          <t>Class 1-3 / Urban</t>
        </is>
      </c>
      <c r="L347" s="18" t="n">
        <v>1884</v>
      </c>
      <c r="M347" s="20" t="n">
        <v>4.39</v>
      </c>
      <c r="N347" s="18">
        <f>ROUND(L347/M347, 0)</f>
        <v/>
      </c>
      <c r="O347" s="18">
        <f>ROUND(N347*'Methodology &amp; Assumptions'!$B$8, 0)</f>
        <v/>
      </c>
      <c r="P347" s="8" t="inlineStr">
        <is>
          <t>Band n50 (1.5 GHz, 60 MHz)</t>
        </is>
      </c>
      <c r="Q347" s="38">
        <f>ROUNDUP(O347/'Methodology &amp; Assumptions'!$B$9, 0)</f>
        <v/>
      </c>
      <c r="R347" s="39" t="n">
        <v>1</v>
      </c>
      <c r="S347" s="21" t="n">
        <v>0.02</v>
      </c>
      <c r="T347" s="21" t="n">
        <v>0.04</v>
      </c>
      <c r="U347" s="36" t="inlineStr">
        <is>
          <t>Tier 1A (Direct Coloc, &lt;1 km)</t>
        </is>
      </c>
      <c r="V347" s="20" t="n">
        <v>100</v>
      </c>
      <c r="W347" s="20" t="n">
        <v>58.4</v>
      </c>
      <c r="X347" s="20" t="n">
        <v>58</v>
      </c>
      <c r="Y347" s="40">
        <f>ROUND((V347*'Methodology &amp; Assumptions'!$B$6)+(W347*'Methodology &amp; Assumptions'!$B$5)+(X347*'Methodology &amp; Assumptions'!$B$7), 2)</f>
        <v/>
      </c>
    </row>
    <row r="348" ht="19" customHeight="1">
      <c r="A348" s="41" t="n">
        <v>344</v>
      </c>
      <c r="B348" s="41" t="n">
        <v>1344</v>
      </c>
      <c r="C348" s="42" t="inlineStr">
        <is>
          <t>0330100029</t>
        </is>
      </c>
      <c r="D348" s="42" t="inlineStr">
        <is>
          <t>Region III (Central Luzon)</t>
        </is>
      </c>
      <c r="E348" s="42" t="inlineStr">
        <is>
          <t>Pampanga</t>
        </is>
      </c>
      <c r="F348" s="42" t="inlineStr">
        <is>
          <t>City of Angeles</t>
        </is>
      </c>
      <c r="G348" s="42" t="inlineStr">
        <is>
          <t>Sto. Rosario</t>
        </is>
      </c>
      <c r="H348" s="43" t="n">
        <v>15.135144</v>
      </c>
      <c r="I348" s="43" t="n">
        <v>120.586906</v>
      </c>
      <c r="J348" s="44" t="inlineStr">
        <is>
          <t>U</t>
        </is>
      </c>
      <c r="K348" s="42" t="inlineStr">
        <is>
          <t>Class 1-3 / Urban</t>
        </is>
      </c>
      <c r="L348" s="23" t="n">
        <v>5835</v>
      </c>
      <c r="M348" s="24" t="n">
        <v>4.63</v>
      </c>
      <c r="N348" s="23">
        <f>ROUND(L348/M348, 0)</f>
        <v/>
      </c>
      <c r="O348" s="23">
        <f>ROUND(N348*'Methodology &amp; Assumptions'!$B$8, 0)</f>
        <v/>
      </c>
      <c r="P348" s="44" t="inlineStr">
        <is>
          <t>Band n50 (1.5 GHz, 60 MHz)</t>
        </is>
      </c>
      <c r="Q348" s="38">
        <f>ROUNDUP(O348/'Methodology &amp; Assumptions'!$B$9, 0)</f>
        <v/>
      </c>
      <c r="R348" s="39" t="n">
        <v>1</v>
      </c>
      <c r="S348" s="25" t="n">
        <v>0.9</v>
      </c>
      <c r="T348" s="25" t="n">
        <v>0.08</v>
      </c>
      <c r="U348" s="42" t="inlineStr">
        <is>
          <t>Tier 1A (Direct Coloc, &lt;1 km)</t>
        </is>
      </c>
      <c r="V348" s="24" t="n">
        <v>84.09999999999999</v>
      </c>
      <c r="W348" s="24" t="n">
        <v>100</v>
      </c>
      <c r="X348" s="24" t="n">
        <v>28</v>
      </c>
      <c r="Y348" s="45">
        <f>ROUND((V348*'Methodology &amp; Assumptions'!$B$6)+(W348*'Methodology &amp; Assumptions'!$B$5)+(X348*'Methodology &amp; Assumptions'!$B$7), 2)</f>
        <v/>
      </c>
    </row>
    <row r="349" ht="19" customHeight="1">
      <c r="A349" s="35" t="n">
        <v>345</v>
      </c>
      <c r="B349" s="35" t="n">
        <v>1345</v>
      </c>
      <c r="C349" s="36" t="inlineStr">
        <is>
          <t>0401027002</t>
        </is>
      </c>
      <c r="D349" s="36" t="inlineStr">
        <is>
          <t>Region IV-A (CALABARZON)</t>
        </is>
      </c>
      <c r="E349" s="36" t="inlineStr">
        <is>
          <t>Batangas</t>
        </is>
      </c>
      <c r="F349" s="36" t="inlineStr">
        <is>
          <t>Santa Teresita</t>
        </is>
      </c>
      <c r="G349" s="36" t="inlineStr">
        <is>
          <t>Bihis</t>
        </is>
      </c>
      <c r="H349" s="37" t="n">
        <v>13.878535</v>
      </c>
      <c r="I349" s="37" t="n">
        <v>120.965943</v>
      </c>
      <c r="J349" s="8" t="inlineStr">
        <is>
          <t>R</t>
        </is>
      </c>
      <c r="K349" s="36" t="inlineStr">
        <is>
          <t>4th</t>
        </is>
      </c>
      <c r="L349" s="18" t="n">
        <v>1551</v>
      </c>
      <c r="M349" s="20" t="n">
        <v>4.9</v>
      </c>
      <c r="N349" s="18">
        <f>ROUND(L349/M349, 0)</f>
        <v/>
      </c>
      <c r="O349" s="18">
        <f>ROUND(N349*'Methodology &amp; Assumptions'!$B$8, 0)</f>
        <v/>
      </c>
      <c r="P349" s="8" t="inlineStr">
        <is>
          <t>Band n50 (1.5 GHz, 60 MHz)</t>
        </is>
      </c>
      <c r="Q349" s="38">
        <f>ROUNDUP(O349/'Methodology &amp; Assumptions'!$B$9, 0)</f>
        <v/>
      </c>
      <c r="R349" s="39" t="n">
        <v>1</v>
      </c>
      <c r="S349" s="21" t="n">
        <v>0.06</v>
      </c>
      <c r="T349" s="21" t="n">
        <v>0.21</v>
      </c>
      <c r="U349" s="36" t="inlineStr">
        <is>
          <t>Tier 1A (Direct Coloc, &lt;1 km)</t>
        </is>
      </c>
      <c r="V349" s="20" t="n">
        <v>100</v>
      </c>
      <c r="W349" s="20" t="n">
        <v>49.3</v>
      </c>
      <c r="X349" s="20" t="n">
        <v>68.5</v>
      </c>
      <c r="Y349" s="40">
        <f>ROUND((V349*'Methodology &amp; Assumptions'!$B$6)+(W349*'Methodology &amp; Assumptions'!$B$5)+(X349*'Methodology &amp; Assumptions'!$B$7), 2)</f>
        <v/>
      </c>
    </row>
    <row r="350" ht="19" customHeight="1">
      <c r="A350" s="41" t="n">
        <v>346</v>
      </c>
      <c r="B350" s="41" t="n">
        <v>1346</v>
      </c>
      <c r="C350" s="42" t="inlineStr">
        <is>
          <t>0304921014</t>
        </is>
      </c>
      <c r="D350" s="42" t="inlineStr">
        <is>
          <t>Region III (Central Luzon)</t>
        </is>
      </c>
      <c r="E350" s="42" t="inlineStr">
        <is>
          <t>Nueva Ecija</t>
        </is>
      </c>
      <c r="F350" s="42" t="inlineStr">
        <is>
          <t>Peñaranda</t>
        </is>
      </c>
      <c r="G350" s="42" t="inlineStr">
        <is>
          <t>San Josef</t>
        </is>
      </c>
      <c r="H350" s="43" t="n">
        <v>15.348049</v>
      </c>
      <c r="I350" s="43" t="n">
        <v>121.009491</v>
      </c>
      <c r="J350" s="44" t="inlineStr">
        <is>
          <t>U</t>
        </is>
      </c>
      <c r="K350" s="42" t="inlineStr">
        <is>
          <t>2nd</t>
        </is>
      </c>
      <c r="L350" s="23" t="n">
        <v>5495</v>
      </c>
      <c r="M350" s="24" t="n">
        <v>4.33</v>
      </c>
      <c r="N350" s="23">
        <f>ROUND(L350/M350, 0)</f>
        <v/>
      </c>
      <c r="O350" s="23">
        <f>ROUND(N350*'Methodology &amp; Assumptions'!$B$8, 0)</f>
        <v/>
      </c>
      <c r="P350" s="44" t="inlineStr">
        <is>
          <t>Band n50 (1.5 GHz, 60 MHz)</t>
        </is>
      </c>
      <c r="Q350" s="38">
        <f>ROUNDUP(O350/'Methodology &amp; Assumptions'!$B$9, 0)</f>
        <v/>
      </c>
      <c r="R350" s="39" t="n">
        <v>1</v>
      </c>
      <c r="S350" s="25" t="n">
        <v>1.02</v>
      </c>
      <c r="T350" s="25" t="n">
        <v>6.76</v>
      </c>
      <c r="U350" s="42" t="inlineStr">
        <is>
          <t>Tier 1B (Micro Drop, 1-3 km)</t>
        </is>
      </c>
      <c r="V350" s="24" t="n">
        <v>71.2</v>
      </c>
      <c r="W350" s="24" t="n">
        <v>100</v>
      </c>
      <c r="X350" s="24" t="n">
        <v>43</v>
      </c>
      <c r="Y350" s="45">
        <f>ROUND((V350*'Methodology &amp; Assumptions'!$B$6)+(W350*'Methodology &amp; Assumptions'!$B$5)+(X350*'Methodology &amp; Assumptions'!$B$7), 2)</f>
        <v/>
      </c>
    </row>
    <row r="351" ht="19" customHeight="1">
      <c r="A351" s="35" t="n">
        <v>347</v>
      </c>
      <c r="B351" s="35" t="n">
        <v>1347</v>
      </c>
      <c r="C351" s="36" t="inlineStr">
        <is>
          <t>0401014010</t>
        </is>
      </c>
      <c r="D351" s="36" t="inlineStr">
        <is>
          <t>Region IV-A (CALABARZON)</t>
        </is>
      </c>
      <c r="E351" s="36" t="inlineStr">
        <is>
          <t>Batangas</t>
        </is>
      </c>
      <c r="F351" s="36" t="inlineStr">
        <is>
          <t>City of Lipa</t>
        </is>
      </c>
      <c r="G351" s="36" t="inlineStr">
        <is>
          <t>Banaybanay</t>
        </is>
      </c>
      <c r="H351" s="37" t="n">
        <v>13.934165</v>
      </c>
      <c r="I351" s="37" t="n">
        <v>121.11196</v>
      </c>
      <c r="J351" s="8" t="inlineStr">
        <is>
          <t>U</t>
        </is>
      </c>
      <c r="K351" s="36" t="inlineStr">
        <is>
          <t>Class 1-3 / Urban</t>
        </is>
      </c>
      <c r="L351" s="18" t="n">
        <v>12971</v>
      </c>
      <c r="M351" s="20" t="n">
        <v>4.62</v>
      </c>
      <c r="N351" s="18">
        <f>ROUND(L351/M351, 0)</f>
        <v/>
      </c>
      <c r="O351" s="18">
        <f>ROUND(N351*'Methodology &amp; Assumptions'!$B$8, 0)</f>
        <v/>
      </c>
      <c r="P351" s="8" t="inlineStr">
        <is>
          <t>Band n50 (1.5 GHz, 60 MHz)</t>
        </is>
      </c>
      <c r="Q351" s="38">
        <f>ROUNDUP(O351/'Methodology &amp; Assumptions'!$B$9, 0)</f>
        <v/>
      </c>
      <c r="R351" s="39" t="n">
        <v>1</v>
      </c>
      <c r="S351" s="21" t="n">
        <v>0.9</v>
      </c>
      <c r="T351" s="21" t="n">
        <v>0.44</v>
      </c>
      <c r="U351" s="36" t="inlineStr">
        <is>
          <t>Tier 1A (Direct Coloc, &lt;1 km)</t>
        </is>
      </c>
      <c r="V351" s="20" t="n">
        <v>84</v>
      </c>
      <c r="W351" s="20" t="n">
        <v>100</v>
      </c>
      <c r="X351" s="20" t="n">
        <v>28</v>
      </c>
      <c r="Y351" s="40">
        <f>ROUND((V351*'Methodology &amp; Assumptions'!$B$6)+(W351*'Methodology &amp; Assumptions'!$B$5)+(X351*'Methodology &amp; Assumptions'!$B$7), 2)</f>
        <v/>
      </c>
    </row>
    <row r="352" ht="19" customHeight="1">
      <c r="A352" s="41" t="n">
        <v>348</v>
      </c>
      <c r="B352" s="41" t="n">
        <v>1348</v>
      </c>
      <c r="C352" s="42" t="inlineStr">
        <is>
          <t>0105517004</t>
        </is>
      </c>
      <c r="D352" s="42" t="inlineStr">
        <is>
          <t>Region I (Ilocos Region)</t>
        </is>
      </c>
      <c r="E352" s="42" t="inlineStr">
        <is>
          <t>Pangasinan</t>
        </is>
      </c>
      <c r="F352" s="42" t="inlineStr">
        <is>
          <t>Calasiao</t>
        </is>
      </c>
      <c r="G352" s="42" t="inlineStr">
        <is>
          <t>Bued</t>
        </is>
      </c>
      <c r="H352" s="43" t="n">
        <v>16.01797</v>
      </c>
      <c r="I352" s="43" t="n">
        <v>120.38</v>
      </c>
      <c r="J352" s="44" t="inlineStr">
        <is>
          <t>U</t>
        </is>
      </c>
      <c r="K352" s="42" t="inlineStr">
        <is>
          <t>Class 1-3 / Urban</t>
        </is>
      </c>
      <c r="L352" s="23" t="n">
        <v>5896</v>
      </c>
      <c r="M352" s="24" t="n">
        <v>4.39</v>
      </c>
      <c r="N352" s="23">
        <f>ROUND(L352/M352, 0)</f>
        <v/>
      </c>
      <c r="O352" s="23">
        <f>ROUND(N352*'Methodology &amp; Assumptions'!$B$8, 0)</f>
        <v/>
      </c>
      <c r="P352" s="44" t="inlineStr">
        <is>
          <t>Band n50 (1.5 GHz, 60 MHz)</t>
        </is>
      </c>
      <c r="Q352" s="38">
        <f>ROUNDUP(O352/'Methodology &amp; Assumptions'!$B$9, 0)</f>
        <v/>
      </c>
      <c r="R352" s="39" t="n">
        <v>1</v>
      </c>
      <c r="S352" s="25" t="n">
        <v>0.9</v>
      </c>
      <c r="T352" s="25" t="n">
        <v>0.07000000000000001</v>
      </c>
      <c r="U352" s="42" t="inlineStr">
        <is>
          <t>Tier 1A (Direct Coloc, &lt;1 km)</t>
        </is>
      </c>
      <c r="V352" s="24" t="n">
        <v>84.09999999999999</v>
      </c>
      <c r="W352" s="24" t="n">
        <v>100</v>
      </c>
      <c r="X352" s="24" t="n">
        <v>28</v>
      </c>
      <c r="Y352" s="45">
        <f>ROUND((V352*'Methodology &amp; Assumptions'!$B$6)+(W352*'Methodology &amp; Assumptions'!$B$5)+(X352*'Methodology &amp; Assumptions'!$B$7), 2)</f>
        <v/>
      </c>
    </row>
    <row r="353" ht="19" customHeight="1">
      <c r="A353" s="35" t="n">
        <v>349</v>
      </c>
      <c r="B353" s="35" t="n">
        <v>1349</v>
      </c>
      <c r="C353" s="36" t="inlineStr">
        <is>
          <t>0403407017</t>
        </is>
      </c>
      <c r="D353" s="36" t="inlineStr">
        <is>
          <t>Region IV-A (CALABARZON)</t>
        </is>
      </c>
      <c r="E353" s="36" t="inlineStr">
        <is>
          <t>Laguna</t>
        </is>
      </c>
      <c r="F353" s="36" t="inlineStr">
        <is>
          <t>Cavinti</t>
        </is>
      </c>
      <c r="G353" s="36" t="inlineStr">
        <is>
          <t>Silangan Talaongan</t>
        </is>
      </c>
      <c r="H353" s="37" t="n">
        <v>14.279108</v>
      </c>
      <c r="I353" s="37" t="n">
        <v>121.536849</v>
      </c>
      <c r="J353" s="8" t="inlineStr">
        <is>
          <t>R</t>
        </is>
      </c>
      <c r="K353" s="36" t="inlineStr">
        <is>
          <t>Class 1-3 / Urban</t>
        </is>
      </c>
      <c r="L353" s="18" t="n">
        <v>2024</v>
      </c>
      <c r="M353" s="20" t="n">
        <v>4.2</v>
      </c>
      <c r="N353" s="18">
        <f>ROUND(L353/M353, 0)</f>
        <v/>
      </c>
      <c r="O353" s="18">
        <f>ROUND(N353*'Methodology &amp; Assumptions'!$B$8, 0)</f>
        <v/>
      </c>
      <c r="P353" s="8" t="inlineStr">
        <is>
          <t>Band n50 (1.5 GHz, 60 MHz)</t>
        </is>
      </c>
      <c r="Q353" s="38">
        <f>ROUNDUP(O353/'Methodology &amp; Assumptions'!$B$9, 0)</f>
        <v/>
      </c>
      <c r="R353" s="39" t="n">
        <v>1</v>
      </c>
      <c r="S353" s="21" t="n">
        <v>0.13</v>
      </c>
      <c r="T353" s="21" t="n">
        <v>7.92</v>
      </c>
      <c r="U353" s="36" t="inlineStr">
        <is>
          <t>Tier 1A (Direct Coloc, &lt;1 km)</t>
        </is>
      </c>
      <c r="V353" s="20" t="n">
        <v>95.59999999999999</v>
      </c>
      <c r="W353" s="20" t="n">
        <v>62.7</v>
      </c>
      <c r="X353" s="20" t="n">
        <v>58</v>
      </c>
      <c r="Y353" s="40">
        <f>ROUND((V353*'Methodology &amp; Assumptions'!$B$6)+(W353*'Methodology &amp; Assumptions'!$B$5)+(X353*'Methodology &amp; Assumptions'!$B$7), 2)</f>
        <v/>
      </c>
    </row>
    <row r="354" ht="19" customHeight="1">
      <c r="A354" s="41" t="n">
        <v>350</v>
      </c>
      <c r="B354" s="41" t="n">
        <v>1350</v>
      </c>
      <c r="C354" s="42" t="inlineStr">
        <is>
          <t>0704618008</t>
        </is>
      </c>
      <c r="D354" s="42" t="inlineStr">
        <is>
          <t>Region VII (Central Visayas)</t>
        </is>
      </c>
      <c r="E354" s="42" t="inlineStr">
        <is>
          <t>Negros Oriental</t>
        </is>
      </c>
      <c r="F354" s="42" t="inlineStr">
        <is>
          <t>Santa Catalina</t>
        </is>
      </c>
      <c r="G354" s="42" t="inlineStr">
        <is>
          <t>Caranoche</t>
        </is>
      </c>
      <c r="H354" s="43" t="n">
        <v>9.35183</v>
      </c>
      <c r="I354" s="43" t="n">
        <v>122.8378</v>
      </c>
      <c r="J354" s="44" t="inlineStr">
        <is>
          <t>R</t>
        </is>
      </c>
      <c r="K354" s="42" t="inlineStr">
        <is>
          <t>Class 1-3 / Urban</t>
        </is>
      </c>
      <c r="L354" s="23" t="n">
        <v>4319</v>
      </c>
      <c r="M354" s="24" t="n">
        <v>4.33</v>
      </c>
      <c r="N354" s="23">
        <f>ROUND(L354/M354, 0)</f>
        <v/>
      </c>
      <c r="O354" s="23">
        <f>ROUND(N354*'Methodology &amp; Assumptions'!$B$8, 0)</f>
        <v/>
      </c>
      <c r="P354" s="44" t="inlineStr">
        <is>
          <t>Band n50 (1.5 GHz, 60 MHz)</t>
        </is>
      </c>
      <c r="Q354" s="38">
        <f>ROUNDUP(O354/'Methodology &amp; Assumptions'!$B$9, 0)</f>
        <v/>
      </c>
      <c r="R354" s="39" t="n">
        <v>1</v>
      </c>
      <c r="S354" s="25" t="n">
        <v>3.11</v>
      </c>
      <c r="T354" s="25" t="n">
        <v>0.08</v>
      </c>
      <c r="U354" s="42" t="inlineStr">
        <is>
          <t>Tier 2 (Fiber Corridor / Lateral, 3-5 km)</t>
        </is>
      </c>
      <c r="V354" s="24" t="n">
        <v>45.4</v>
      </c>
      <c r="W354" s="24" t="n">
        <v>100</v>
      </c>
      <c r="X354" s="24" t="n">
        <v>73</v>
      </c>
      <c r="Y354" s="45">
        <f>ROUND((V354*'Methodology &amp; Assumptions'!$B$6)+(W354*'Methodology &amp; Assumptions'!$B$5)+(X354*'Methodology &amp; Assumptions'!$B$7), 2)</f>
        <v/>
      </c>
    </row>
    <row r="355" ht="19" customHeight="1">
      <c r="A355" s="35" t="n">
        <v>351</v>
      </c>
      <c r="B355" s="35" t="n">
        <v>1351</v>
      </c>
      <c r="C355" s="36" t="inlineStr">
        <is>
          <t>0403424005</t>
        </is>
      </c>
      <c r="D355" s="36" t="inlineStr">
        <is>
          <t>Region IV-A (CALABARZON)</t>
        </is>
      </c>
      <c r="E355" s="36" t="inlineStr">
        <is>
          <t>Laguna</t>
        </is>
      </c>
      <c r="F355" s="36" t="inlineStr">
        <is>
          <t>City of San Pablo</t>
        </is>
      </c>
      <c r="G355" s="36" t="inlineStr">
        <is>
          <t>Barangay II-A</t>
        </is>
      </c>
      <c r="H355" s="37" t="n">
        <v>14.062535</v>
      </c>
      <c r="I355" s="37" t="n">
        <v>121.319826</v>
      </c>
      <c r="J355" s="8" t="inlineStr">
        <is>
          <t>R</t>
        </is>
      </c>
      <c r="K355" s="36" t="inlineStr">
        <is>
          <t>Class 1-3 / Urban</t>
        </is>
      </c>
      <c r="L355" s="18" t="n">
        <v>2896</v>
      </c>
      <c r="M355" s="20" t="n">
        <v>4.2</v>
      </c>
      <c r="N355" s="18">
        <f>ROUND(L355/M355, 0)</f>
        <v/>
      </c>
      <c r="O355" s="18">
        <f>ROUND(N355*'Methodology &amp; Assumptions'!$B$8, 0)</f>
        <v/>
      </c>
      <c r="P355" s="8" t="inlineStr">
        <is>
          <t>Band n50 (1.5 GHz, 60 MHz)</t>
        </is>
      </c>
      <c r="Q355" s="38">
        <f>ROUNDUP(O355/'Methodology &amp; Assumptions'!$B$9, 0)</f>
        <v/>
      </c>
      <c r="R355" s="39" t="n">
        <v>1</v>
      </c>
      <c r="S355" s="21" t="n">
        <v>1.11</v>
      </c>
      <c r="T355" s="21" t="n">
        <v>0.42</v>
      </c>
      <c r="U355" s="36" t="inlineStr">
        <is>
          <t>Tier 1B (Micro Drop, 1-3 km)</t>
        </is>
      </c>
      <c r="V355" s="20" t="n">
        <v>79.09999999999999</v>
      </c>
      <c r="W355" s="20" t="n">
        <v>79.2</v>
      </c>
      <c r="X355" s="20" t="n">
        <v>58</v>
      </c>
      <c r="Y355" s="40">
        <f>ROUND((V355*'Methodology &amp; Assumptions'!$B$6)+(W355*'Methodology &amp; Assumptions'!$B$5)+(X355*'Methodology &amp; Assumptions'!$B$7), 2)</f>
        <v/>
      </c>
    </row>
    <row r="356" ht="19" customHeight="1">
      <c r="A356" s="41" t="n">
        <v>352</v>
      </c>
      <c r="B356" s="41" t="n">
        <v>1352</v>
      </c>
      <c r="C356" s="42" t="inlineStr">
        <is>
          <t>0600416002</t>
        </is>
      </c>
      <c r="D356" s="42" t="inlineStr">
        <is>
          <t>Region VI (Western Visayas)</t>
        </is>
      </c>
      <c r="E356" s="42" t="inlineStr">
        <is>
          <t>Aklan</t>
        </is>
      </c>
      <c r="F356" s="42" t="inlineStr">
        <is>
          <t>Numancia</t>
        </is>
      </c>
      <c r="G356" s="42" t="inlineStr">
        <is>
          <t>Aliputos</t>
        </is>
      </c>
      <c r="H356" s="43" t="n">
        <v>11.69995</v>
      </c>
      <c r="I356" s="43" t="n">
        <v>122.334302</v>
      </c>
      <c r="J356" s="44" t="inlineStr">
        <is>
          <t>R</t>
        </is>
      </c>
      <c r="K356" s="42" t="inlineStr">
        <is>
          <t>3rd</t>
        </is>
      </c>
      <c r="L356" s="23" t="n">
        <v>2564</v>
      </c>
      <c r="M356" s="24" t="n">
        <v>4.29</v>
      </c>
      <c r="N356" s="23">
        <f>ROUND(L356/M356, 0)</f>
        <v/>
      </c>
      <c r="O356" s="23">
        <f>ROUND(N356*'Methodology &amp; Assumptions'!$B$8, 0)</f>
        <v/>
      </c>
      <c r="P356" s="44" t="inlineStr">
        <is>
          <t>Band n50 (1.5 GHz, 60 MHz)</t>
        </is>
      </c>
      <c r="Q356" s="38">
        <f>ROUNDUP(O356/'Methodology &amp; Assumptions'!$B$9, 0)</f>
        <v/>
      </c>
      <c r="R356" s="39" t="n">
        <v>1</v>
      </c>
      <c r="S356" s="25" t="n">
        <v>0.8</v>
      </c>
      <c r="T356" s="25" t="n">
        <v>0.55</v>
      </c>
      <c r="U356" s="42" t="inlineStr">
        <is>
          <t>Tier 1A (Direct Coloc, &lt;1 km)</t>
        </is>
      </c>
      <c r="V356" s="24" t="n">
        <v>86.5</v>
      </c>
      <c r="W356" s="24" t="n">
        <v>71.7</v>
      </c>
      <c r="X356" s="24" t="n">
        <v>58</v>
      </c>
      <c r="Y356" s="45">
        <f>ROUND((V356*'Methodology &amp; Assumptions'!$B$6)+(W356*'Methodology &amp; Assumptions'!$B$5)+(X356*'Methodology &amp; Assumptions'!$B$7), 2)</f>
        <v/>
      </c>
    </row>
    <row r="357" ht="19" customHeight="1">
      <c r="A357" s="35" t="n">
        <v>353</v>
      </c>
      <c r="B357" s="35" t="n">
        <v>1353</v>
      </c>
      <c r="C357" s="36" t="inlineStr">
        <is>
          <t>1731500006</t>
        </is>
      </c>
      <c r="D357" s="36" t="inlineStr">
        <is>
          <t>MIMAROPA Region</t>
        </is>
      </c>
      <c r="E357" s="36" t="inlineStr">
        <is>
          <t>Palawan</t>
        </is>
      </c>
      <c r="F357" s="36" t="inlineStr">
        <is>
          <t>City of Puerto Princesa</t>
        </is>
      </c>
      <c r="G357" s="36" t="inlineStr">
        <is>
          <t>Bagong Silang</t>
        </is>
      </c>
      <c r="H357" s="37" t="n">
        <v>9.736696999999999</v>
      </c>
      <c r="I357" s="37" t="n">
        <v>118.732996</v>
      </c>
      <c r="J357" s="8" t="inlineStr">
        <is>
          <t>U</t>
        </is>
      </c>
      <c r="K357" s="36" t="inlineStr">
        <is>
          <t>Class 1-3 / Urban</t>
        </is>
      </c>
      <c r="L357" s="18" t="n">
        <v>4223</v>
      </c>
      <c r="M357" s="20" t="n">
        <v>4.35</v>
      </c>
      <c r="N357" s="18">
        <f>ROUND(L357/M357, 0)</f>
        <v/>
      </c>
      <c r="O357" s="18">
        <f>ROUND(N357*'Methodology &amp; Assumptions'!$B$8, 0)</f>
        <v/>
      </c>
      <c r="P357" s="8" t="inlineStr">
        <is>
          <t>Band n50 (1.5 GHz, 60 MHz)</t>
        </is>
      </c>
      <c r="Q357" s="38">
        <f>ROUNDUP(O357/'Methodology &amp; Assumptions'!$B$9, 0)</f>
        <v/>
      </c>
      <c r="R357" s="39" t="n">
        <v>1</v>
      </c>
      <c r="S357" s="21" t="n">
        <v>0.44</v>
      </c>
      <c r="T357" s="21" t="n">
        <v>2.68</v>
      </c>
      <c r="U357" s="36" t="inlineStr">
        <is>
          <t>Tier 1A (Direct Coloc, &lt;1 km)</t>
        </is>
      </c>
      <c r="V357" s="20" t="n">
        <v>86.40000000000001</v>
      </c>
      <c r="W357" s="20" t="n">
        <v>97.59999999999999</v>
      </c>
      <c r="X357" s="20" t="n">
        <v>28</v>
      </c>
      <c r="Y357" s="40">
        <f>ROUND((V357*'Methodology &amp; Assumptions'!$B$6)+(W357*'Methodology &amp; Assumptions'!$B$5)+(X357*'Methodology &amp; Assumptions'!$B$7), 2)</f>
        <v/>
      </c>
    </row>
    <row r="358" ht="19" customHeight="1">
      <c r="A358" s="41" t="n">
        <v>354</v>
      </c>
      <c r="B358" s="41" t="n">
        <v>1354</v>
      </c>
      <c r="C358" s="42" t="inlineStr">
        <is>
          <t>0401002011</t>
        </is>
      </c>
      <c r="D358" s="42" t="inlineStr">
        <is>
          <t>Region IV-A (CALABARZON)</t>
        </is>
      </c>
      <c r="E358" s="42" t="inlineStr">
        <is>
          <t>Batangas</t>
        </is>
      </c>
      <c r="F358" s="42" t="inlineStr">
        <is>
          <t>Alitagtag</t>
        </is>
      </c>
      <c r="G358" s="42" t="inlineStr">
        <is>
          <t>Muzon Primero</t>
        </is>
      </c>
      <c r="H358" s="43" t="n">
        <v>13.857746</v>
      </c>
      <c r="I358" s="43" t="n">
        <v>120.996236</v>
      </c>
      <c r="J358" s="44" t="inlineStr">
        <is>
          <t>R</t>
        </is>
      </c>
      <c r="K358" s="42" t="inlineStr">
        <is>
          <t>4th</t>
        </is>
      </c>
      <c r="L358" s="23" t="n">
        <v>2524</v>
      </c>
      <c r="M358" s="24" t="n">
        <v>4.55</v>
      </c>
      <c r="N358" s="23">
        <f>ROUND(L358/M358, 0)</f>
        <v/>
      </c>
      <c r="O358" s="23">
        <f>ROUND(N358*'Methodology &amp; Assumptions'!$B$8, 0)</f>
        <v/>
      </c>
      <c r="P358" s="44" t="inlineStr">
        <is>
          <t>Band n50 (1.5 GHz, 60 MHz)</t>
        </is>
      </c>
      <c r="Q358" s="38">
        <f>ROUNDUP(O358/'Methodology &amp; Assumptions'!$B$9, 0)</f>
        <v/>
      </c>
      <c r="R358" s="39" t="n">
        <v>1</v>
      </c>
      <c r="S358" s="25" t="n">
        <v>1.03</v>
      </c>
      <c r="T358" s="25" t="n">
        <v>0.83</v>
      </c>
      <c r="U358" s="42" t="inlineStr">
        <is>
          <t>Tier 1B (Micro Drop, 1-3 km)</t>
        </is>
      </c>
      <c r="V358" s="24" t="n">
        <v>81</v>
      </c>
      <c r="W358" s="24" t="n">
        <v>68.3</v>
      </c>
      <c r="X358" s="24" t="n">
        <v>68.5</v>
      </c>
      <c r="Y358" s="45">
        <f>ROUND((V358*'Methodology &amp; Assumptions'!$B$6)+(W358*'Methodology &amp; Assumptions'!$B$5)+(X358*'Methodology &amp; Assumptions'!$B$7), 2)</f>
        <v/>
      </c>
    </row>
    <row r="359" ht="19" customHeight="1">
      <c r="A359" s="35" t="n">
        <v>355</v>
      </c>
      <c r="B359" s="35" t="n">
        <v>1355</v>
      </c>
      <c r="C359" s="36" t="inlineStr">
        <is>
          <t>0203129012</t>
        </is>
      </c>
      <c r="D359" s="36" t="inlineStr">
        <is>
          <t>Region II (Cagayan Valley)</t>
        </is>
      </c>
      <c r="E359" s="36" t="inlineStr">
        <is>
          <t>Isabela</t>
        </is>
      </c>
      <c r="F359" s="36" t="inlineStr">
        <is>
          <t>San Isidro</t>
        </is>
      </c>
      <c r="G359" s="36" t="inlineStr">
        <is>
          <t>Rizal East</t>
        </is>
      </c>
      <c r="H359" s="37" t="n">
        <v>16.735015</v>
      </c>
      <c r="I359" s="37" t="n">
        <v>121.629918</v>
      </c>
      <c r="J359" s="8" t="inlineStr">
        <is>
          <t>R</t>
        </is>
      </c>
      <c r="K359" s="36" t="inlineStr">
        <is>
          <t>3rd</t>
        </is>
      </c>
      <c r="L359" s="18" t="n">
        <v>1854</v>
      </c>
      <c r="M359" s="20" t="n">
        <v>4.26</v>
      </c>
      <c r="N359" s="18">
        <f>ROUND(L359/M359, 0)</f>
        <v/>
      </c>
      <c r="O359" s="18">
        <f>ROUND(N359*'Methodology &amp; Assumptions'!$B$8, 0)</f>
        <v/>
      </c>
      <c r="P359" s="8" t="inlineStr">
        <is>
          <t>Band n50 (1.5 GHz, 60 MHz)</t>
        </is>
      </c>
      <c r="Q359" s="38">
        <f>ROUNDUP(O359/'Methodology &amp; Assumptions'!$B$9, 0)</f>
        <v/>
      </c>
      <c r="R359" s="39" t="n">
        <v>1</v>
      </c>
      <c r="S359" s="21" t="n">
        <v>0.01</v>
      </c>
      <c r="T359" s="21" t="n">
        <v>4.28</v>
      </c>
      <c r="U359" s="36" t="inlineStr">
        <is>
          <t>Tier 1A (Direct Coloc, &lt;1 km)</t>
        </is>
      </c>
      <c r="V359" s="20" t="n">
        <v>99.59999999999999</v>
      </c>
      <c r="W359" s="20" t="n">
        <v>58.7</v>
      </c>
      <c r="X359" s="20" t="n">
        <v>58</v>
      </c>
      <c r="Y359" s="40">
        <f>ROUND((V359*'Methodology &amp; Assumptions'!$B$6)+(W359*'Methodology &amp; Assumptions'!$B$5)+(X359*'Methodology &amp; Assumptions'!$B$7), 2)</f>
        <v/>
      </c>
    </row>
    <row r="360" ht="19" customHeight="1">
      <c r="A360" s="41" t="n">
        <v>356</v>
      </c>
      <c r="B360" s="41" t="n">
        <v>1356</v>
      </c>
      <c r="C360" s="42" t="inlineStr">
        <is>
          <t>1705110039</t>
        </is>
      </c>
      <c r="D360" s="42" t="inlineStr">
        <is>
          <t>MIMAROPA Region</t>
        </is>
      </c>
      <c r="E360" s="42" t="inlineStr">
        <is>
          <t>Occidental Mindoro</t>
        </is>
      </c>
      <c r="F360" s="42" t="inlineStr">
        <is>
          <t>San Jose</t>
        </is>
      </c>
      <c r="G360" s="42" t="inlineStr">
        <is>
          <t>San Roque</t>
        </is>
      </c>
      <c r="H360" s="43" t="n">
        <v>12.357542</v>
      </c>
      <c r="I360" s="43" t="n">
        <v>121.060597</v>
      </c>
      <c r="J360" s="44" t="inlineStr">
        <is>
          <t>U</t>
        </is>
      </c>
      <c r="K360" s="42" t="inlineStr">
        <is>
          <t>Class 1-3 / Urban</t>
        </is>
      </c>
      <c r="L360" s="23" t="n">
        <v>15721</v>
      </c>
      <c r="M360" s="24" t="n">
        <v>4.04</v>
      </c>
      <c r="N360" s="23">
        <f>ROUND(L360/M360, 0)</f>
        <v/>
      </c>
      <c r="O360" s="23">
        <f>ROUND(N360*'Methodology &amp; Assumptions'!$B$8, 0)</f>
        <v/>
      </c>
      <c r="P360" s="44" t="inlineStr">
        <is>
          <t>Band n50 (1.5 GHz, 60 MHz)</t>
        </is>
      </c>
      <c r="Q360" s="38">
        <f>ROUNDUP(O360/'Methodology &amp; Assumptions'!$B$9, 0)</f>
        <v/>
      </c>
      <c r="R360" s="39" t="n">
        <v>1</v>
      </c>
      <c r="S360" s="25" t="n">
        <v>0.87</v>
      </c>
      <c r="T360" s="25" t="n">
        <v>0.17</v>
      </c>
      <c r="U360" s="42" t="inlineStr">
        <is>
          <t>Tier 1A (Direct Coloc, &lt;1 km)</t>
        </is>
      </c>
      <c r="V360" s="24" t="n">
        <v>84.90000000000001</v>
      </c>
      <c r="W360" s="24" t="n">
        <v>99.09999999999999</v>
      </c>
      <c r="X360" s="24" t="n">
        <v>28</v>
      </c>
      <c r="Y360" s="45">
        <f>ROUND((V360*'Methodology &amp; Assumptions'!$B$6)+(W360*'Methodology &amp; Assumptions'!$B$5)+(X360*'Methodology &amp; Assumptions'!$B$7), 2)</f>
        <v/>
      </c>
    </row>
    <row r="361" ht="19" customHeight="1">
      <c r="A361" s="35" t="n">
        <v>357</v>
      </c>
      <c r="B361" s="35" t="n">
        <v>1357</v>
      </c>
      <c r="C361" s="36" t="inlineStr">
        <is>
          <t>0501603028</t>
        </is>
      </c>
      <c r="D361" s="36" t="inlineStr">
        <is>
          <t>Region V (Bicol Region)</t>
        </is>
      </c>
      <c r="E361" s="36" t="inlineStr">
        <is>
          <t>Camarines Norte</t>
        </is>
      </c>
      <c r="F361" s="36" t="inlineStr">
        <is>
          <t>Daet</t>
        </is>
      </c>
      <c r="G361" s="36" t="inlineStr">
        <is>
          <t>Barangay V</t>
        </is>
      </c>
      <c r="H361" s="37" t="n">
        <v>14.122619</v>
      </c>
      <c r="I361" s="37" t="n">
        <v>122.95245</v>
      </c>
      <c r="J361" s="8" t="inlineStr">
        <is>
          <t>U</t>
        </is>
      </c>
      <c r="K361" s="36" t="inlineStr">
        <is>
          <t>Class 1-3 / Urban</t>
        </is>
      </c>
      <c r="L361" s="18" t="n">
        <v>4831</v>
      </c>
      <c r="M361" s="20" t="n">
        <v>4.4</v>
      </c>
      <c r="N361" s="18">
        <f>ROUND(L361/M361, 0)</f>
        <v/>
      </c>
      <c r="O361" s="18">
        <f>ROUND(N361*'Methodology &amp; Assumptions'!$B$8, 0)</f>
        <v/>
      </c>
      <c r="P361" s="8" t="inlineStr">
        <is>
          <t>Band n50 (1.5 GHz, 60 MHz)</t>
        </is>
      </c>
      <c r="Q361" s="38">
        <f>ROUNDUP(O361/'Methodology &amp; Assumptions'!$B$9, 0)</f>
        <v/>
      </c>
      <c r="R361" s="39" t="n">
        <v>1</v>
      </c>
      <c r="S361" s="21" t="n">
        <v>0.91</v>
      </c>
      <c r="T361" s="21" t="n">
        <v>1.52</v>
      </c>
      <c r="U361" s="36" t="inlineStr">
        <is>
          <t>Tier 1A (Direct Coloc, &lt;1 km)</t>
        </is>
      </c>
      <c r="V361" s="20" t="n">
        <v>83.90000000000001</v>
      </c>
      <c r="W361" s="20" t="n">
        <v>100</v>
      </c>
      <c r="X361" s="20" t="n">
        <v>28</v>
      </c>
      <c r="Y361" s="40">
        <f>ROUND((V361*'Methodology &amp; Assumptions'!$B$6)+(W361*'Methodology &amp; Assumptions'!$B$5)+(X361*'Methodology &amp; Assumptions'!$B$7), 2)</f>
        <v/>
      </c>
    </row>
    <row r="362" ht="19" customHeight="1">
      <c r="A362" s="41" t="n">
        <v>358</v>
      </c>
      <c r="B362" s="41" t="n">
        <v>1358</v>
      </c>
      <c r="C362" s="42" t="inlineStr">
        <is>
          <t>1206511003</t>
        </is>
      </c>
      <c r="D362" s="42" t="inlineStr">
        <is>
          <t>Region XII (SOCCSKSARGEN)</t>
        </is>
      </c>
      <c r="E362" s="42" t="inlineStr">
        <is>
          <t>Sultan Kudarat</t>
        </is>
      </c>
      <c r="F362" s="42" t="inlineStr">
        <is>
          <t>City of Tacurong</t>
        </is>
      </c>
      <c r="G362" s="42" t="inlineStr">
        <is>
          <t>Calean</t>
        </is>
      </c>
      <c r="H362" s="43" t="n">
        <v>6.667652</v>
      </c>
      <c r="I362" s="43" t="n">
        <v>124.670011</v>
      </c>
      <c r="J362" s="44" t="inlineStr">
        <is>
          <t>R</t>
        </is>
      </c>
      <c r="K362" s="42" t="inlineStr">
        <is>
          <t>Class 1-3 / Urban</t>
        </is>
      </c>
      <c r="L362" s="23" t="n">
        <v>3456</v>
      </c>
      <c r="M362" s="24" t="n">
        <v>4.1</v>
      </c>
      <c r="N362" s="23">
        <f>ROUND(L362/M362, 0)</f>
        <v/>
      </c>
      <c r="O362" s="23">
        <f>ROUND(N362*'Methodology &amp; Assumptions'!$B$8, 0)</f>
        <v/>
      </c>
      <c r="P362" s="44" t="inlineStr">
        <is>
          <t>Band n50 (1.5 GHz, 60 MHz)</t>
        </is>
      </c>
      <c r="Q362" s="38">
        <f>ROUNDUP(O362/'Methodology &amp; Assumptions'!$B$9, 0)</f>
        <v/>
      </c>
      <c r="R362" s="39" t="n">
        <v>1</v>
      </c>
      <c r="S362" s="25" t="n">
        <v>2.47</v>
      </c>
      <c r="T362" s="25" t="n">
        <v>1.75</v>
      </c>
      <c r="U362" s="42" t="inlineStr">
        <is>
          <t>Tier 1B (Micro Drop, 1-3 km)</t>
        </is>
      </c>
      <c r="V362" s="24" t="n">
        <v>53.8</v>
      </c>
      <c r="W362" s="24" t="n">
        <v>91.5</v>
      </c>
      <c r="X362" s="24" t="n">
        <v>73</v>
      </c>
      <c r="Y362" s="45">
        <f>ROUND((V362*'Methodology &amp; Assumptions'!$B$6)+(W362*'Methodology &amp; Assumptions'!$B$5)+(X362*'Methodology &amp; Assumptions'!$B$7), 2)</f>
        <v/>
      </c>
    </row>
    <row r="363" ht="19" customHeight="1">
      <c r="A363" s="35" t="n">
        <v>359</v>
      </c>
      <c r="B363" s="35" t="n">
        <v>1359</v>
      </c>
      <c r="C363" s="36" t="inlineStr">
        <is>
          <t>0401007022</t>
        </is>
      </c>
      <c r="D363" s="36" t="inlineStr">
        <is>
          <t>Region IV-A (CALABARZON)</t>
        </is>
      </c>
      <c r="E363" s="36" t="inlineStr">
        <is>
          <t>Batangas</t>
        </is>
      </c>
      <c r="F363" s="36" t="inlineStr">
        <is>
          <t>City of Calaca</t>
        </is>
      </c>
      <c r="G363" s="36" t="inlineStr">
        <is>
          <t>Lumbang Calzada</t>
        </is>
      </c>
      <c r="H363" s="37" t="n">
        <v>13.929596</v>
      </c>
      <c r="I363" s="37" t="n">
        <v>120.822616</v>
      </c>
      <c r="J363" s="8" t="inlineStr">
        <is>
          <t>R</t>
        </is>
      </c>
      <c r="K363" s="36" t="inlineStr">
        <is>
          <t>Class 1-3 / Urban</t>
        </is>
      </c>
      <c r="L363" s="18" t="n">
        <v>3240</v>
      </c>
      <c r="M363" s="20" t="n">
        <v>4.62</v>
      </c>
      <c r="N363" s="18">
        <f>ROUND(L363/M363, 0)</f>
        <v/>
      </c>
      <c r="O363" s="18">
        <f>ROUND(N363*'Methodology &amp; Assumptions'!$B$8, 0)</f>
        <v/>
      </c>
      <c r="P363" s="8" t="inlineStr">
        <is>
          <t>Band n50 (1.5 GHz, 60 MHz)</t>
        </is>
      </c>
      <c r="Q363" s="38">
        <f>ROUNDUP(O363/'Methodology &amp; Assumptions'!$B$9, 0)</f>
        <v/>
      </c>
      <c r="R363" s="39" t="n">
        <v>1</v>
      </c>
      <c r="S363" s="21" t="n">
        <v>1.15</v>
      </c>
      <c r="T363" s="21" t="n">
        <v>0.49</v>
      </c>
      <c r="U363" s="36" t="inlineStr">
        <is>
          <t>Tier 1B (Micro Drop, 1-3 km)</t>
        </is>
      </c>
      <c r="V363" s="20" t="n">
        <v>78.09999999999999</v>
      </c>
      <c r="W363" s="20" t="n">
        <v>80</v>
      </c>
      <c r="X363" s="20" t="n">
        <v>58</v>
      </c>
      <c r="Y363" s="40">
        <f>ROUND((V363*'Methodology &amp; Assumptions'!$B$6)+(W363*'Methodology &amp; Assumptions'!$B$5)+(X363*'Methodology &amp; Assumptions'!$B$7), 2)</f>
        <v/>
      </c>
    </row>
    <row r="364" ht="19" customHeight="1">
      <c r="A364" s="41" t="n">
        <v>360</v>
      </c>
      <c r="B364" s="41" t="n">
        <v>1360</v>
      </c>
      <c r="C364" s="42" t="inlineStr">
        <is>
          <t>0702211021</t>
        </is>
      </c>
      <c r="D364" s="42" t="inlineStr">
        <is>
          <t>Region VII (Central Visayas)</t>
        </is>
      </c>
      <c r="E364" s="42" t="inlineStr">
        <is>
          <t>Cebu</t>
        </is>
      </c>
      <c r="F364" s="42" t="inlineStr">
        <is>
          <t>City of Bogo</t>
        </is>
      </c>
      <c r="G364" s="42" t="inlineStr">
        <is>
          <t>Pandan</t>
        </is>
      </c>
      <c r="H364" s="43" t="n">
        <v>11.048253</v>
      </c>
      <c r="I364" s="43" t="n">
        <v>124.007072</v>
      </c>
      <c r="J364" s="44" t="inlineStr">
        <is>
          <t>R</t>
        </is>
      </c>
      <c r="K364" s="42" t="inlineStr">
        <is>
          <t>Class 1-3 / Urban</t>
        </is>
      </c>
      <c r="L364" s="23" t="n">
        <v>1877</v>
      </c>
      <c r="M364" s="24" t="n">
        <v>4.42</v>
      </c>
      <c r="N364" s="23">
        <f>ROUND(L364/M364, 0)</f>
        <v/>
      </c>
      <c r="O364" s="23">
        <f>ROUND(N364*'Methodology &amp; Assumptions'!$B$8, 0)</f>
        <v/>
      </c>
      <c r="P364" s="44" t="inlineStr">
        <is>
          <t>Band n50 (1.5 GHz, 60 MHz)</t>
        </is>
      </c>
      <c r="Q364" s="38">
        <f>ROUNDUP(O364/'Methodology &amp; Assumptions'!$B$9, 0)</f>
        <v/>
      </c>
      <c r="R364" s="39" t="n">
        <v>1</v>
      </c>
      <c r="S364" s="25" t="n">
        <v>0.15</v>
      </c>
      <c r="T364" s="25" t="n">
        <v>0.05</v>
      </c>
      <c r="U364" s="42" t="inlineStr">
        <is>
          <t>Tier 1A (Direct Coloc, &lt;1 km)</t>
        </is>
      </c>
      <c r="V364" s="24" t="n">
        <v>100</v>
      </c>
      <c r="W364" s="24" t="n">
        <v>58.1</v>
      </c>
      <c r="X364" s="24" t="n">
        <v>58</v>
      </c>
      <c r="Y364" s="45">
        <f>ROUND((V364*'Methodology &amp; Assumptions'!$B$6)+(W364*'Methodology &amp; Assumptions'!$B$5)+(X364*'Methodology &amp; Assumptions'!$B$7), 2)</f>
        <v/>
      </c>
    </row>
    <row r="365" ht="19" customHeight="1">
      <c r="A365" s="35" t="n">
        <v>361</v>
      </c>
      <c r="B365" s="35" t="n">
        <v>1361</v>
      </c>
      <c r="C365" s="36" t="inlineStr">
        <is>
          <t>0201503010</t>
        </is>
      </c>
      <c r="D365" s="36" t="inlineStr">
        <is>
          <t>Region II (Cagayan Valley)</t>
        </is>
      </c>
      <c r="E365" s="36" t="inlineStr">
        <is>
          <t>Cagayan</t>
        </is>
      </c>
      <c r="F365" s="36" t="inlineStr">
        <is>
          <t>Allacapan</t>
        </is>
      </c>
      <c r="G365" s="36" t="inlineStr">
        <is>
          <t>Centro East</t>
        </is>
      </c>
      <c r="H365" s="37" t="n">
        <v>18.228373</v>
      </c>
      <c r="I365" s="37" t="n">
        <v>121.556541</v>
      </c>
      <c r="J365" s="8" t="inlineStr">
        <is>
          <t>R</t>
        </is>
      </c>
      <c r="K365" s="36" t="inlineStr">
        <is>
          <t>Class 1-3 / Urban</t>
        </is>
      </c>
      <c r="L365" s="18" t="n">
        <v>1870</v>
      </c>
      <c r="M365" s="20" t="n">
        <v>4.38</v>
      </c>
      <c r="N365" s="18">
        <f>ROUND(L365/M365, 0)</f>
        <v/>
      </c>
      <c r="O365" s="18">
        <f>ROUND(N365*'Methodology &amp; Assumptions'!$B$8, 0)</f>
        <v/>
      </c>
      <c r="P365" s="8" t="inlineStr">
        <is>
          <t>Band n50 (1.5 GHz, 60 MHz)</t>
        </is>
      </c>
      <c r="Q365" s="38">
        <f>ROUNDUP(O365/'Methodology &amp; Assumptions'!$B$9, 0)</f>
        <v/>
      </c>
      <c r="R365" s="39" t="n">
        <v>1</v>
      </c>
      <c r="S365" s="21" t="n">
        <v>0.29</v>
      </c>
      <c r="T365" s="21" t="n">
        <v>0.22</v>
      </c>
      <c r="U365" s="36" t="inlineStr">
        <is>
          <t>Tier 1A (Direct Coloc, &lt;1 km)</t>
        </is>
      </c>
      <c r="V365" s="20" t="n">
        <v>100</v>
      </c>
      <c r="W365" s="20" t="n">
        <v>58.1</v>
      </c>
      <c r="X365" s="20" t="n">
        <v>58</v>
      </c>
      <c r="Y365" s="40">
        <f>ROUND((V365*'Methodology &amp; Assumptions'!$B$6)+(W365*'Methodology &amp; Assumptions'!$B$5)+(X365*'Methodology &amp; Assumptions'!$B$7), 2)</f>
        <v/>
      </c>
    </row>
    <row r="366" ht="19" customHeight="1">
      <c r="A366" s="41" t="n">
        <v>362</v>
      </c>
      <c r="B366" s="41" t="n">
        <v>1362</v>
      </c>
      <c r="C366" s="42" t="inlineStr">
        <is>
          <t>0306903044</t>
        </is>
      </c>
      <c r="D366" s="42" t="inlineStr">
        <is>
          <t>Region III (Central Luzon)</t>
        </is>
      </c>
      <c r="E366" s="42" t="inlineStr">
        <is>
          <t>Tarlac</t>
        </is>
      </c>
      <c r="F366" s="42" t="inlineStr">
        <is>
          <t>Camiling</t>
        </is>
      </c>
      <c r="G366" s="42" t="inlineStr">
        <is>
          <t>Poblacion B</t>
        </is>
      </c>
      <c r="H366" s="43" t="n">
        <v>15.688889</v>
      </c>
      <c r="I366" s="43" t="n">
        <v>120.413056</v>
      </c>
      <c r="J366" s="44" t="inlineStr">
        <is>
          <t>R</t>
        </is>
      </c>
      <c r="K366" s="42" t="inlineStr">
        <is>
          <t>Class 1-3 / Urban</t>
        </is>
      </c>
      <c r="L366" s="23" t="n">
        <v>1841</v>
      </c>
      <c r="M366" s="24" t="n">
        <v>4.3</v>
      </c>
      <c r="N366" s="23">
        <f>ROUND(L366/M366, 0)</f>
        <v/>
      </c>
      <c r="O366" s="23">
        <f>ROUND(N366*'Methodology &amp; Assumptions'!$B$8, 0)</f>
        <v/>
      </c>
      <c r="P366" s="44" t="inlineStr">
        <is>
          <t>Band n50 (1.5 GHz, 60 MHz)</t>
        </is>
      </c>
      <c r="Q366" s="38">
        <f>ROUNDUP(O366/'Methodology &amp; Assumptions'!$B$9, 0)</f>
        <v/>
      </c>
      <c r="R366" s="39" t="n">
        <v>1</v>
      </c>
      <c r="S366" s="25" t="n">
        <v>0.22</v>
      </c>
      <c r="T366" s="25" t="n">
        <v>0.22</v>
      </c>
      <c r="U366" s="42" t="inlineStr">
        <is>
          <t>Tier 1A (Direct Coloc, &lt;1 km)</t>
        </is>
      </c>
      <c r="V366" s="24" t="n">
        <v>100</v>
      </c>
      <c r="W366" s="24" t="n">
        <v>58.1</v>
      </c>
      <c r="X366" s="24" t="n">
        <v>58</v>
      </c>
      <c r="Y366" s="45">
        <f>ROUND((V366*'Methodology &amp; Assumptions'!$B$6)+(W366*'Methodology &amp; Assumptions'!$B$5)+(X366*'Methodology &amp; Assumptions'!$B$7), 2)</f>
        <v/>
      </c>
    </row>
    <row r="367" ht="19" customHeight="1">
      <c r="A367" s="35" t="n">
        <v>363</v>
      </c>
      <c r="B367" s="35" t="n">
        <v>1363</v>
      </c>
      <c r="C367" s="36" t="inlineStr">
        <is>
          <t>0301423024</t>
        </is>
      </c>
      <c r="D367" s="36" t="inlineStr">
        <is>
          <t>Region III (Central Luzon)</t>
        </is>
      </c>
      <c r="E367" s="36" t="inlineStr">
        <is>
          <t>Bulacan</t>
        </is>
      </c>
      <c r="F367" s="36" t="inlineStr">
        <is>
          <t>Santa Maria</t>
        </is>
      </c>
      <c r="G367" s="36" t="inlineStr">
        <is>
          <t>Tabing Bakod</t>
        </is>
      </c>
      <c r="H367" s="37" t="n">
        <v>14.801833</v>
      </c>
      <c r="I367" s="37" t="n">
        <v>120.954095</v>
      </c>
      <c r="J367" s="8" t="inlineStr">
        <is>
          <t>U</t>
        </is>
      </c>
      <c r="K367" s="36" t="inlineStr">
        <is>
          <t>Class 1-3 / Urban</t>
        </is>
      </c>
      <c r="L367" s="18" t="n">
        <v>5410</v>
      </c>
      <c r="M367" s="20" t="n">
        <v>4.1</v>
      </c>
      <c r="N367" s="18">
        <f>ROUND(L367/M367, 0)</f>
        <v/>
      </c>
      <c r="O367" s="18">
        <f>ROUND(N367*'Methodology &amp; Assumptions'!$B$8, 0)</f>
        <v/>
      </c>
      <c r="P367" s="8" t="inlineStr">
        <is>
          <t>Band n50 (1.5 GHz, 60 MHz)</t>
        </is>
      </c>
      <c r="Q367" s="38">
        <f>ROUNDUP(O367/'Methodology &amp; Assumptions'!$B$9, 0)</f>
        <v/>
      </c>
      <c r="R367" s="39" t="n">
        <v>1</v>
      </c>
      <c r="S367" s="21" t="n">
        <v>0.91</v>
      </c>
      <c r="T367" s="21" t="n">
        <v>0.65</v>
      </c>
      <c r="U367" s="36" t="inlineStr">
        <is>
          <t>Tier 1A (Direct Coloc, &lt;1 km)</t>
        </is>
      </c>
      <c r="V367" s="20" t="n">
        <v>83.8</v>
      </c>
      <c r="W367" s="20" t="n">
        <v>100</v>
      </c>
      <c r="X367" s="20" t="n">
        <v>28</v>
      </c>
      <c r="Y367" s="40">
        <f>ROUND((V367*'Methodology &amp; Assumptions'!$B$6)+(W367*'Methodology &amp; Assumptions'!$B$5)+(X367*'Methodology &amp; Assumptions'!$B$7), 2)</f>
        <v/>
      </c>
    </row>
    <row r="368" ht="19" customHeight="1">
      <c r="A368" s="41" t="n">
        <v>364</v>
      </c>
      <c r="B368" s="41" t="n">
        <v>1364</v>
      </c>
      <c r="C368" s="42" t="inlineStr">
        <is>
          <t>0501701024</t>
        </is>
      </c>
      <c r="D368" s="42" t="inlineStr">
        <is>
          <t>Region V (Bicol Region)</t>
        </is>
      </c>
      <c r="E368" s="42" t="inlineStr">
        <is>
          <t>Camarines Sur</t>
        </is>
      </c>
      <c r="F368" s="42" t="inlineStr">
        <is>
          <t>Baao</t>
        </is>
      </c>
      <c r="G368" s="42" t="inlineStr">
        <is>
          <t>San Vicente</t>
        </is>
      </c>
      <c r="H368" s="43" t="n">
        <v>13.457483</v>
      </c>
      <c r="I368" s="43" t="n">
        <v>123.384276</v>
      </c>
      <c r="J368" s="44" t="inlineStr">
        <is>
          <t>R</t>
        </is>
      </c>
      <c r="K368" s="42" t="inlineStr">
        <is>
          <t>Class 1-3 / Urban</t>
        </is>
      </c>
      <c r="L368" s="23" t="n">
        <v>4564</v>
      </c>
      <c r="M368" s="24" t="n">
        <v>4.9</v>
      </c>
      <c r="N368" s="23">
        <f>ROUND(L368/M368, 0)</f>
        <v/>
      </c>
      <c r="O368" s="23">
        <f>ROUND(N368*'Methodology &amp; Assumptions'!$B$8, 0)</f>
        <v/>
      </c>
      <c r="P368" s="44" t="inlineStr">
        <is>
          <t>Band n50 (1.5 GHz, 60 MHz)</t>
        </is>
      </c>
      <c r="Q368" s="38">
        <f>ROUNDUP(O368/'Methodology &amp; Assumptions'!$B$9, 0)</f>
        <v/>
      </c>
      <c r="R368" s="39" t="n">
        <v>1</v>
      </c>
      <c r="S368" s="25" t="n">
        <v>2.1</v>
      </c>
      <c r="T368" s="25" t="n">
        <v>0.6</v>
      </c>
      <c r="U368" s="42" t="inlineStr">
        <is>
          <t>Tier 1B (Micro Drop, 1-3 km)</t>
        </is>
      </c>
      <c r="V368" s="24" t="n">
        <v>59.7</v>
      </c>
      <c r="W368" s="24" t="n">
        <v>98.40000000000001</v>
      </c>
      <c r="X368" s="24" t="n">
        <v>58</v>
      </c>
      <c r="Y368" s="45">
        <f>ROUND((V368*'Methodology &amp; Assumptions'!$B$6)+(W368*'Methodology &amp; Assumptions'!$B$5)+(X368*'Methodology &amp; Assumptions'!$B$7), 2)</f>
        <v/>
      </c>
    </row>
    <row r="369" ht="19" customHeight="1">
      <c r="A369" s="35" t="n">
        <v>365</v>
      </c>
      <c r="B369" s="35" t="n">
        <v>1365</v>
      </c>
      <c r="C369" s="36" t="inlineStr">
        <is>
          <t>0403413003</t>
        </is>
      </c>
      <c r="D369" s="36" t="inlineStr">
        <is>
          <t>Region IV-A (CALABARZON)</t>
        </is>
      </c>
      <c r="E369" s="36" t="inlineStr">
        <is>
          <t>Laguna</t>
        </is>
      </c>
      <c r="F369" s="36" t="inlineStr">
        <is>
          <t>Lumban</t>
        </is>
      </c>
      <c r="G369" s="36" t="inlineStr">
        <is>
          <t>Balubad</t>
        </is>
      </c>
      <c r="H369" s="37" t="n">
        <v>14.290864</v>
      </c>
      <c r="I369" s="37" t="n">
        <v>121.462055</v>
      </c>
      <c r="J369" s="8" t="inlineStr">
        <is>
          <t>R</t>
        </is>
      </c>
      <c r="K369" s="36" t="inlineStr">
        <is>
          <t>Class 1-3 / Urban</t>
        </is>
      </c>
      <c r="L369" s="18" t="n">
        <v>2131</v>
      </c>
      <c r="M369" s="20" t="n">
        <v>4.2</v>
      </c>
      <c r="N369" s="18">
        <f>ROUND(L369/M369, 0)</f>
        <v/>
      </c>
      <c r="O369" s="18">
        <f>ROUND(N369*'Methodology &amp; Assumptions'!$B$8, 0)</f>
        <v/>
      </c>
      <c r="P369" s="8" t="inlineStr">
        <is>
          <t>Band n50 (1.5 GHz, 60 MHz)</t>
        </is>
      </c>
      <c r="Q369" s="38">
        <f>ROUNDUP(O369/'Methodology &amp; Assumptions'!$B$9, 0)</f>
        <v/>
      </c>
      <c r="R369" s="39" t="n">
        <v>1</v>
      </c>
      <c r="S369" s="21" t="n">
        <v>0.54</v>
      </c>
      <c r="T369" s="21" t="n">
        <v>0.22</v>
      </c>
      <c r="U369" s="36" t="inlineStr">
        <is>
          <t>Tier 1A (Direct Coloc, &lt;1 km)</t>
        </is>
      </c>
      <c r="V369" s="20" t="n">
        <v>93.59999999999999</v>
      </c>
      <c r="W369" s="20" t="n">
        <v>64.5</v>
      </c>
      <c r="X369" s="20" t="n">
        <v>58</v>
      </c>
      <c r="Y369" s="40">
        <f>ROUND((V369*'Methodology &amp; Assumptions'!$B$6)+(W369*'Methodology &amp; Assumptions'!$B$5)+(X369*'Methodology &amp; Assumptions'!$B$7), 2)</f>
        <v/>
      </c>
    </row>
    <row r="370" ht="19" customHeight="1">
      <c r="A370" s="41" t="n">
        <v>366</v>
      </c>
      <c r="B370" s="41" t="n">
        <v>1366</v>
      </c>
      <c r="C370" s="42" t="inlineStr">
        <is>
          <t>0831600063</t>
        </is>
      </c>
      <c r="D370" s="42" t="inlineStr">
        <is>
          <t>Region VIII (Eastern Visayas)</t>
        </is>
      </c>
      <c r="E370" s="42" t="inlineStr">
        <is>
          <t>Leyte</t>
        </is>
      </c>
      <c r="F370" s="42" t="inlineStr">
        <is>
          <t>City of Tacloban</t>
        </is>
      </c>
      <c r="G370" s="42" t="inlineStr">
        <is>
          <t>Barangay 39</t>
        </is>
      </c>
      <c r="H370" s="43" t="n">
        <v>11.244394</v>
      </c>
      <c r="I370" s="43" t="n">
        <v>124.997135</v>
      </c>
      <c r="J370" s="44" t="inlineStr">
        <is>
          <t>R</t>
        </is>
      </c>
      <c r="K370" s="42" t="inlineStr">
        <is>
          <t>Class 1-3 / Urban</t>
        </is>
      </c>
      <c r="L370" s="23" t="n">
        <v>3027</v>
      </c>
      <c r="M370" s="24" t="n">
        <v>4.24</v>
      </c>
      <c r="N370" s="23">
        <f>ROUND(L370/M370, 0)</f>
        <v/>
      </c>
      <c r="O370" s="23">
        <f>ROUND(N370*'Methodology &amp; Assumptions'!$B$8, 0)</f>
        <v/>
      </c>
      <c r="P370" s="44" t="inlineStr">
        <is>
          <t>Band n50 (1.5 GHz, 60 MHz)</t>
        </is>
      </c>
      <c r="Q370" s="38">
        <f>ROUNDUP(O370/'Methodology &amp; Assumptions'!$B$9, 0)</f>
        <v/>
      </c>
      <c r="R370" s="39" t="n">
        <v>1</v>
      </c>
      <c r="S370" s="25" t="n">
        <v>0.78</v>
      </c>
      <c r="T370" s="25" t="n">
        <v>3.79</v>
      </c>
      <c r="U370" s="42" t="inlineStr">
        <is>
          <t>Tier 1A (Direct Coloc, &lt;1 km)</t>
        </is>
      </c>
      <c r="V370" s="24" t="n">
        <v>77</v>
      </c>
      <c r="W370" s="24" t="n">
        <v>81.09999999999999</v>
      </c>
      <c r="X370" s="24" t="n">
        <v>58</v>
      </c>
      <c r="Y370" s="45">
        <f>ROUND((V370*'Methodology &amp; Assumptions'!$B$6)+(W370*'Methodology &amp; Assumptions'!$B$5)+(X370*'Methodology &amp; Assumptions'!$B$7), 2)</f>
        <v/>
      </c>
    </row>
    <row r="371" ht="19" customHeight="1">
      <c r="A371" s="35" t="n">
        <v>367</v>
      </c>
      <c r="B371" s="35" t="n">
        <v>1367</v>
      </c>
      <c r="C371" s="36" t="inlineStr">
        <is>
          <t>0405814003</t>
        </is>
      </c>
      <c r="D371" s="36" t="inlineStr">
        <is>
          <t>Region IV-A (CALABARZON)</t>
        </is>
      </c>
      <c r="E371" s="36" t="inlineStr">
        <is>
          <t>Rizal</t>
        </is>
      </c>
      <c r="F371" s="36" t="inlineStr">
        <is>
          <t>Teresa</t>
        </is>
      </c>
      <c r="G371" s="36" t="inlineStr">
        <is>
          <t>Dalig</t>
        </is>
      </c>
      <c r="H371" s="37" t="n">
        <v>14.56008</v>
      </c>
      <c r="I371" s="37" t="n">
        <v>121.2123</v>
      </c>
      <c r="J371" s="8" t="inlineStr">
        <is>
          <t>U</t>
        </is>
      </c>
      <c r="K371" s="36" t="inlineStr">
        <is>
          <t>Class 1-3 / Urban</t>
        </is>
      </c>
      <c r="L371" s="18" t="n">
        <v>15698</v>
      </c>
      <c r="M371" s="20" t="n">
        <v>4.39</v>
      </c>
      <c r="N371" s="18">
        <f>ROUND(L371/M371, 0)</f>
        <v/>
      </c>
      <c r="O371" s="18">
        <f>ROUND(N371*'Methodology &amp; Assumptions'!$B$8, 0)</f>
        <v/>
      </c>
      <c r="P371" s="8" t="inlineStr">
        <is>
          <t>Band n50 (1.5 GHz, 60 MHz)</t>
        </is>
      </c>
      <c r="Q371" s="38">
        <f>ROUNDUP(O371/'Methodology &amp; Assumptions'!$B$9, 0)</f>
        <v/>
      </c>
      <c r="R371" s="39" t="n">
        <v>1</v>
      </c>
      <c r="S371" s="21" t="n">
        <v>0.91</v>
      </c>
      <c r="T371" s="21" t="n">
        <v>0.21</v>
      </c>
      <c r="U371" s="36" t="inlineStr">
        <is>
          <t>Tier 1A (Direct Coloc, &lt;1 km)</t>
        </is>
      </c>
      <c r="V371" s="20" t="n">
        <v>83.8</v>
      </c>
      <c r="W371" s="20" t="n">
        <v>100</v>
      </c>
      <c r="X371" s="20" t="n">
        <v>28</v>
      </c>
      <c r="Y371" s="40">
        <f>ROUND((V371*'Methodology &amp; Assumptions'!$B$6)+(W371*'Methodology &amp; Assumptions'!$B$5)+(X371*'Methodology &amp; Assumptions'!$B$7), 2)</f>
        <v/>
      </c>
    </row>
    <row r="372" ht="19" customHeight="1">
      <c r="A372" s="41" t="n">
        <v>368</v>
      </c>
      <c r="B372" s="41" t="n">
        <v>1368</v>
      </c>
      <c r="C372" s="42" t="inlineStr">
        <is>
          <t>0405802015</t>
        </is>
      </c>
      <c r="D372" s="42" t="inlineStr">
        <is>
          <t>Region IV-A (CALABARZON)</t>
        </is>
      </c>
      <c r="E372" s="42" t="inlineStr">
        <is>
          <t>Rizal</t>
        </is>
      </c>
      <c r="F372" s="42" t="inlineStr">
        <is>
          <t>City of Antipolo</t>
        </is>
      </c>
      <c r="G372" s="42" t="inlineStr">
        <is>
          <t>San Juan</t>
        </is>
      </c>
      <c r="H372" s="43" t="n">
        <v>14.626632</v>
      </c>
      <c r="I372" s="43" t="n">
        <v>121.176567</v>
      </c>
      <c r="J372" s="44" t="inlineStr">
        <is>
          <t>U</t>
        </is>
      </c>
      <c r="K372" s="42" t="inlineStr">
        <is>
          <t>Class 1-3 / Urban</t>
        </is>
      </c>
      <c r="L372" s="23" t="n">
        <v>10062</v>
      </c>
      <c r="M372" s="24" t="n">
        <v>4.39</v>
      </c>
      <c r="N372" s="23">
        <f>ROUND(L372/M372, 0)</f>
        <v/>
      </c>
      <c r="O372" s="23">
        <f>ROUND(N372*'Methodology &amp; Assumptions'!$B$8, 0)</f>
        <v/>
      </c>
      <c r="P372" s="44" t="inlineStr">
        <is>
          <t>Band n50 (1.5 GHz, 60 MHz)</t>
        </is>
      </c>
      <c r="Q372" s="38">
        <f>ROUNDUP(O372/'Methodology &amp; Assumptions'!$B$9, 0)</f>
        <v/>
      </c>
      <c r="R372" s="39" t="n">
        <v>1</v>
      </c>
      <c r="S372" s="25" t="n">
        <v>0.91</v>
      </c>
      <c r="T372" s="25" t="n">
        <v>0.71</v>
      </c>
      <c r="U372" s="42" t="inlineStr">
        <is>
          <t>Tier 1A (Direct Coloc, &lt;1 km)</t>
        </is>
      </c>
      <c r="V372" s="24" t="n">
        <v>83.8</v>
      </c>
      <c r="W372" s="24" t="n">
        <v>100</v>
      </c>
      <c r="X372" s="24" t="n">
        <v>28</v>
      </c>
      <c r="Y372" s="45">
        <f>ROUND((V372*'Methodology &amp; Assumptions'!$B$6)+(W372*'Methodology &amp; Assumptions'!$B$5)+(X372*'Methodology &amp; Assumptions'!$B$7), 2)</f>
        <v/>
      </c>
    </row>
    <row r="373" ht="19" customHeight="1">
      <c r="A373" s="35" t="n">
        <v>369</v>
      </c>
      <c r="B373" s="35" t="n">
        <v>1369</v>
      </c>
      <c r="C373" s="36" t="inlineStr">
        <is>
          <t>1004302010</t>
        </is>
      </c>
      <c r="D373" s="36" t="inlineStr">
        <is>
          <t>Region X (Northern Mindanao)</t>
        </is>
      </c>
      <c r="E373" s="36" t="inlineStr">
        <is>
          <t>Misamis Oriental</t>
        </is>
      </c>
      <c r="F373" s="36" t="inlineStr">
        <is>
          <t>Balingasag</t>
        </is>
      </c>
      <c r="G373" s="36" t="inlineStr">
        <is>
          <t>Cogon</t>
        </is>
      </c>
      <c r="H373" s="37" t="n">
        <v>8.758245000000001</v>
      </c>
      <c r="I373" s="37" t="n">
        <v>124.78269</v>
      </c>
      <c r="J373" s="8" t="inlineStr">
        <is>
          <t>U</t>
        </is>
      </c>
      <c r="K373" s="36" t="inlineStr">
        <is>
          <t>Class 1-3 / Urban</t>
        </is>
      </c>
      <c r="L373" s="18" t="n">
        <v>7163</v>
      </c>
      <c r="M373" s="20" t="n">
        <v>4.54</v>
      </c>
      <c r="N373" s="18">
        <f>ROUND(L373/M373, 0)</f>
        <v/>
      </c>
      <c r="O373" s="18">
        <f>ROUND(N373*'Methodology &amp; Assumptions'!$B$8, 0)</f>
        <v/>
      </c>
      <c r="P373" s="8" t="inlineStr">
        <is>
          <t>Band n50 (1.5 GHz, 60 MHz)</t>
        </is>
      </c>
      <c r="Q373" s="38">
        <f>ROUNDUP(O373/'Methodology &amp; Assumptions'!$B$9, 0)</f>
        <v/>
      </c>
      <c r="R373" s="39" t="n">
        <v>1</v>
      </c>
      <c r="S373" s="21" t="n">
        <v>0.91</v>
      </c>
      <c r="T373" s="21" t="n">
        <v>0.19</v>
      </c>
      <c r="U373" s="36" t="inlineStr">
        <is>
          <t>Tier 1A (Direct Coloc, &lt;1 km)</t>
        </is>
      </c>
      <c r="V373" s="20" t="n">
        <v>83.8</v>
      </c>
      <c r="W373" s="20" t="n">
        <v>100</v>
      </c>
      <c r="X373" s="20" t="n">
        <v>28</v>
      </c>
      <c r="Y373" s="40">
        <f>ROUND((V373*'Methodology &amp; Assumptions'!$B$6)+(W373*'Methodology &amp; Assumptions'!$B$5)+(X373*'Methodology &amp; Assumptions'!$B$7), 2)</f>
        <v/>
      </c>
    </row>
    <row r="374" ht="19" customHeight="1">
      <c r="A374" s="41" t="n">
        <v>370</v>
      </c>
      <c r="B374" s="41" t="n">
        <v>1370</v>
      </c>
      <c r="C374" s="42" t="inlineStr">
        <is>
          <t>0300804036</t>
        </is>
      </c>
      <c r="D374" s="42" t="inlineStr">
        <is>
          <t>Region III (Central Luzon)</t>
        </is>
      </c>
      <c r="E374" s="42" t="inlineStr">
        <is>
          <t>Bataan</t>
        </is>
      </c>
      <c r="F374" s="42" t="inlineStr">
        <is>
          <t>Dinalupihan</t>
        </is>
      </c>
      <c r="G374" s="42" t="inlineStr">
        <is>
          <t>San Ramon</t>
        </is>
      </c>
      <c r="H374" s="43" t="n">
        <v>14.871218</v>
      </c>
      <c r="I374" s="43" t="n">
        <v>120.459258</v>
      </c>
      <c r="J374" s="44" t="inlineStr">
        <is>
          <t>U</t>
        </is>
      </c>
      <c r="K374" s="42" t="inlineStr">
        <is>
          <t>Class 1-3 / Urban</t>
        </is>
      </c>
      <c r="L374" s="23" t="n">
        <v>3784</v>
      </c>
      <c r="M374" s="24" t="n">
        <v>4.57</v>
      </c>
      <c r="N374" s="23">
        <f>ROUND(L374/M374, 0)</f>
        <v/>
      </c>
      <c r="O374" s="23">
        <f>ROUND(N374*'Methodology &amp; Assumptions'!$B$8, 0)</f>
        <v/>
      </c>
      <c r="P374" s="44" t="inlineStr">
        <is>
          <t>Band n50 (1.5 GHz, 60 MHz)</t>
        </is>
      </c>
      <c r="Q374" s="38">
        <f>ROUNDUP(O374/'Methodology &amp; Assumptions'!$B$9, 0)</f>
        <v/>
      </c>
      <c r="R374" s="39" t="n">
        <v>1</v>
      </c>
      <c r="S374" s="25" t="n">
        <v>0.54</v>
      </c>
      <c r="T374" s="25" t="n">
        <v>0.37</v>
      </c>
      <c r="U374" s="42" t="inlineStr">
        <is>
          <t>Tier 1A (Direct Coloc, &lt;1 km)</t>
        </is>
      </c>
      <c r="V374" s="24" t="n">
        <v>93.7</v>
      </c>
      <c r="W374" s="24" t="n">
        <v>90.09999999999999</v>
      </c>
      <c r="X374" s="24" t="n">
        <v>28</v>
      </c>
      <c r="Y374" s="45">
        <f>ROUND((V374*'Methodology &amp; Assumptions'!$B$6)+(W374*'Methodology &amp; Assumptions'!$B$5)+(X374*'Methodology &amp; Assumptions'!$B$7), 2)</f>
        <v/>
      </c>
    </row>
    <row r="375" ht="19" customHeight="1">
      <c r="A375" s="35" t="n">
        <v>371</v>
      </c>
      <c r="B375" s="35" t="n">
        <v>1371</v>
      </c>
      <c r="C375" s="36" t="inlineStr">
        <is>
          <t>0203101010</t>
        </is>
      </c>
      <c r="D375" s="36" t="inlineStr">
        <is>
          <t>Region II (Cagayan Valley)</t>
        </is>
      </c>
      <c r="E375" s="36" t="inlineStr">
        <is>
          <t>Isabela</t>
        </is>
      </c>
      <c r="F375" s="36" t="inlineStr">
        <is>
          <t>Alicia</t>
        </is>
      </c>
      <c r="G375" s="36" t="inlineStr">
        <is>
          <t>Calaocan</t>
        </is>
      </c>
      <c r="H375" s="37" t="n">
        <v>16.77933</v>
      </c>
      <c r="I375" s="37" t="n">
        <v>121.69165</v>
      </c>
      <c r="J375" s="8" t="inlineStr">
        <is>
          <t>U</t>
        </is>
      </c>
      <c r="K375" s="36" t="inlineStr">
        <is>
          <t>Class 1-3 / Urban</t>
        </is>
      </c>
      <c r="L375" s="18" t="n">
        <v>3638</v>
      </c>
      <c r="M375" s="20" t="n">
        <v>4.3</v>
      </c>
      <c r="N375" s="18">
        <f>ROUND(L375/M375, 0)</f>
        <v/>
      </c>
      <c r="O375" s="18">
        <f>ROUND(N375*'Methodology &amp; Assumptions'!$B$8, 0)</f>
        <v/>
      </c>
      <c r="P375" s="8" t="inlineStr">
        <is>
          <t>Band n50 (1.5 GHz, 60 MHz)</t>
        </is>
      </c>
      <c r="Q375" s="38">
        <f>ROUNDUP(O375/'Methodology &amp; Assumptions'!$B$9, 0)</f>
        <v/>
      </c>
      <c r="R375" s="39" t="n">
        <v>1</v>
      </c>
      <c r="S375" s="21" t="n">
        <v>0.59</v>
      </c>
      <c r="T375" s="21" t="n">
        <v>0.83</v>
      </c>
      <c r="U375" s="36" t="inlineStr">
        <is>
          <t>Tier 1A (Direct Coloc, &lt;1 km)</t>
        </is>
      </c>
      <c r="V375" s="20" t="n">
        <v>92</v>
      </c>
      <c r="W375" s="20" t="n">
        <v>91.7</v>
      </c>
      <c r="X375" s="20" t="n">
        <v>28</v>
      </c>
      <c r="Y375" s="40">
        <f>ROUND((V375*'Methodology &amp; Assumptions'!$B$6)+(W375*'Methodology &amp; Assumptions'!$B$5)+(X375*'Methodology &amp; Assumptions'!$B$7), 2)</f>
        <v/>
      </c>
    </row>
    <row r="376" ht="19" customHeight="1">
      <c r="A376" s="41" t="n">
        <v>372</v>
      </c>
      <c r="B376" s="41" t="n">
        <v>1372</v>
      </c>
      <c r="C376" s="42" t="inlineStr">
        <is>
          <t>0604530017</t>
        </is>
      </c>
      <c r="D376" s="42" t="inlineStr">
        <is>
          <t>Region VI (Western Visayas)</t>
        </is>
      </c>
      <c r="E376" s="42" t="inlineStr">
        <is>
          <t>Negros Occidental</t>
        </is>
      </c>
      <c r="F376" s="42" t="inlineStr">
        <is>
          <t>Valladolid</t>
        </is>
      </c>
      <c r="G376" s="42" t="inlineStr">
        <is>
          <t>Tabao Proper</t>
        </is>
      </c>
      <c r="H376" s="43" t="n">
        <v>10.44635</v>
      </c>
      <c r="I376" s="43" t="n">
        <v>122.825692</v>
      </c>
      <c r="J376" s="44" t="inlineStr">
        <is>
          <t>R</t>
        </is>
      </c>
      <c r="K376" s="42" t="inlineStr">
        <is>
          <t>2nd</t>
        </is>
      </c>
      <c r="L376" s="23" t="n">
        <v>4268</v>
      </c>
      <c r="M376" s="24" t="n">
        <v>4.26</v>
      </c>
      <c r="N376" s="23">
        <f>ROUND(L376/M376, 0)</f>
        <v/>
      </c>
      <c r="O376" s="23">
        <f>ROUND(N376*'Methodology &amp; Assumptions'!$B$8, 0)</f>
        <v/>
      </c>
      <c r="P376" s="44" t="inlineStr">
        <is>
          <t>Band n50 (1.5 GHz, 60 MHz)</t>
        </is>
      </c>
      <c r="Q376" s="38">
        <f>ROUNDUP(O376/'Methodology &amp; Assumptions'!$B$9, 0)</f>
        <v/>
      </c>
      <c r="R376" s="39" t="n">
        <v>1</v>
      </c>
      <c r="S376" s="25" t="n">
        <v>2.2</v>
      </c>
      <c r="T376" s="25" t="n">
        <v>0.25</v>
      </c>
      <c r="U376" s="42" t="inlineStr">
        <is>
          <t>Tier 1B (Micro Drop, 1-3 km)</t>
        </is>
      </c>
      <c r="V376" s="24" t="n">
        <v>58</v>
      </c>
      <c r="W376" s="24" t="n">
        <v>100</v>
      </c>
      <c r="X376" s="24" t="n">
        <v>58</v>
      </c>
      <c r="Y376" s="45">
        <f>ROUND((V376*'Methodology &amp; Assumptions'!$B$6)+(W376*'Methodology &amp; Assumptions'!$B$5)+(X376*'Methodology &amp; Assumptions'!$B$7), 2)</f>
        <v/>
      </c>
    </row>
    <row r="377" ht="19" customHeight="1">
      <c r="A377" s="35" t="n">
        <v>373</v>
      </c>
      <c r="B377" s="35" t="n">
        <v>1373</v>
      </c>
      <c r="C377" s="36" t="inlineStr">
        <is>
          <t>0803715020</t>
        </is>
      </c>
      <c r="D377" s="36" t="inlineStr">
        <is>
          <t>Region VIII (Eastern Visayas)</t>
        </is>
      </c>
      <c r="E377" s="36" t="inlineStr">
        <is>
          <t>Leyte</t>
        </is>
      </c>
      <c r="F377" s="36" t="inlineStr">
        <is>
          <t>Carigara</t>
        </is>
      </c>
      <c r="G377" s="36" t="inlineStr">
        <is>
          <t>Jugaban</t>
        </is>
      </c>
      <c r="H377" s="37" t="n">
        <v>11.298528</v>
      </c>
      <c r="I377" s="37" t="n">
        <v>124.692218</v>
      </c>
      <c r="J377" s="8" t="inlineStr">
        <is>
          <t>R</t>
        </is>
      </c>
      <c r="K377" s="36" t="inlineStr">
        <is>
          <t>Class 1-3 / Urban</t>
        </is>
      </c>
      <c r="L377" s="18" t="n">
        <v>1845</v>
      </c>
      <c r="M377" s="20" t="n">
        <v>4.24</v>
      </c>
      <c r="N377" s="18">
        <f>ROUND(L377/M377, 0)</f>
        <v/>
      </c>
      <c r="O377" s="18">
        <f>ROUND(N377*'Methodology &amp; Assumptions'!$B$8, 0)</f>
        <v/>
      </c>
      <c r="P377" s="8" t="inlineStr">
        <is>
          <t>Band n50 (1.5 GHz, 60 MHz)</t>
        </is>
      </c>
      <c r="Q377" s="38">
        <f>ROUNDUP(O377/'Methodology &amp; Assumptions'!$B$9, 0)</f>
        <v/>
      </c>
      <c r="R377" s="39" t="n">
        <v>1</v>
      </c>
      <c r="S377" s="21" t="n">
        <v>0.34</v>
      </c>
      <c r="T377" s="21" t="n">
        <v>0.16</v>
      </c>
      <c r="U377" s="36" t="inlineStr">
        <is>
          <t>Tier 1A (Direct Coloc, &lt;1 km)</t>
        </is>
      </c>
      <c r="V377" s="20" t="n">
        <v>99.3</v>
      </c>
      <c r="W377" s="20" t="n">
        <v>58.7</v>
      </c>
      <c r="X377" s="20" t="n">
        <v>58</v>
      </c>
      <c r="Y377" s="40">
        <f>ROUND((V377*'Methodology &amp; Assumptions'!$B$6)+(W377*'Methodology &amp; Assumptions'!$B$5)+(X377*'Methodology &amp; Assumptions'!$B$7), 2)</f>
        <v/>
      </c>
    </row>
    <row r="378" ht="19" customHeight="1">
      <c r="A378" s="41" t="n">
        <v>374</v>
      </c>
      <c r="B378" s="41" t="n">
        <v>1374</v>
      </c>
      <c r="C378" s="42" t="inlineStr">
        <is>
          <t>0702215016</t>
        </is>
      </c>
      <c r="D378" s="42" t="inlineStr">
        <is>
          <t>Region VII (Central Visayas)</t>
        </is>
      </c>
      <c r="E378" s="42" t="inlineStr">
        <is>
          <t>Cebu</t>
        </is>
      </c>
      <c r="F378" s="42" t="inlineStr">
        <is>
          <t>Carmen</t>
        </is>
      </c>
      <c r="G378" s="42" t="inlineStr">
        <is>
          <t>Poblacion</t>
        </is>
      </c>
      <c r="H378" s="43" t="n">
        <v>10.585008</v>
      </c>
      <c r="I378" s="43" t="n">
        <v>124.018637</v>
      </c>
      <c r="J378" s="44" t="inlineStr">
        <is>
          <t>U</t>
        </is>
      </c>
      <c r="K378" s="42" t="inlineStr">
        <is>
          <t>Class 1-3 / Urban</t>
        </is>
      </c>
      <c r="L378" s="23" t="n">
        <v>5446</v>
      </c>
      <c r="M378" s="24" t="n">
        <v>4.42</v>
      </c>
      <c r="N378" s="23">
        <f>ROUND(L378/M378, 0)</f>
        <v/>
      </c>
      <c r="O378" s="23">
        <f>ROUND(N378*'Methodology &amp; Assumptions'!$B$8, 0)</f>
        <v/>
      </c>
      <c r="P378" s="44" t="inlineStr">
        <is>
          <t>Band n50 (1.5 GHz, 60 MHz)</t>
        </is>
      </c>
      <c r="Q378" s="38">
        <f>ROUNDUP(O378/'Methodology &amp; Assumptions'!$B$9, 0)</f>
        <v/>
      </c>
      <c r="R378" s="39" t="n">
        <v>1</v>
      </c>
      <c r="S378" s="25" t="n">
        <v>0.92</v>
      </c>
      <c r="T378" s="25" t="n">
        <v>0.22</v>
      </c>
      <c r="U378" s="42" t="inlineStr">
        <is>
          <t>Tier 1A (Direct Coloc, &lt;1 km)</t>
        </is>
      </c>
      <c r="V378" s="24" t="n">
        <v>83.7</v>
      </c>
      <c r="W378" s="24" t="n">
        <v>100</v>
      </c>
      <c r="X378" s="24" t="n">
        <v>28</v>
      </c>
      <c r="Y378" s="45">
        <f>ROUND((V378*'Methodology &amp; Assumptions'!$B$6)+(W378*'Methodology &amp; Assumptions'!$B$5)+(X378*'Methodology &amp; Assumptions'!$B$7), 2)</f>
        <v/>
      </c>
    </row>
    <row r="379" ht="19" customHeight="1">
      <c r="A379" s="35" t="n">
        <v>375</v>
      </c>
      <c r="B379" s="35" t="n">
        <v>1375</v>
      </c>
      <c r="C379" s="36" t="inlineStr">
        <is>
          <t>0105517025</t>
        </is>
      </c>
      <c r="D379" s="36" t="inlineStr">
        <is>
          <t>Region I (Ilocos Region)</t>
        </is>
      </c>
      <c r="E379" s="36" t="inlineStr">
        <is>
          <t>Pangasinan</t>
        </is>
      </c>
      <c r="F379" s="36" t="inlineStr">
        <is>
          <t>Calasiao</t>
        </is>
      </c>
      <c r="G379" s="36" t="inlineStr">
        <is>
          <t>Talibaew</t>
        </is>
      </c>
      <c r="H379" s="37" t="n">
        <v>16.00787</v>
      </c>
      <c r="I379" s="37" t="n">
        <v>120.3682</v>
      </c>
      <c r="J379" s="8" t="inlineStr">
        <is>
          <t>R</t>
        </is>
      </c>
      <c r="K379" s="36" t="inlineStr">
        <is>
          <t>Class 1-3 / Urban</t>
        </is>
      </c>
      <c r="L379" s="18" t="n">
        <v>4827</v>
      </c>
      <c r="M379" s="20" t="n">
        <v>4.39</v>
      </c>
      <c r="N379" s="18">
        <f>ROUND(L379/M379, 0)</f>
        <v/>
      </c>
      <c r="O379" s="18">
        <f>ROUND(N379*'Methodology &amp; Assumptions'!$B$8, 0)</f>
        <v/>
      </c>
      <c r="P379" s="8" t="inlineStr">
        <is>
          <t>Band n50 (1.5 GHz, 60 MHz)</t>
        </is>
      </c>
      <c r="Q379" s="38">
        <f>ROUNDUP(O379/'Methodology &amp; Assumptions'!$B$9, 0)</f>
        <v/>
      </c>
      <c r="R379" s="39" t="n">
        <v>1</v>
      </c>
      <c r="S379" s="21" t="n">
        <v>2.21</v>
      </c>
      <c r="T379" s="21" t="n">
        <v>0.75</v>
      </c>
      <c r="U379" s="36" t="inlineStr">
        <is>
          <t>Tier 1B (Micro Drop, 1-3 km)</t>
        </is>
      </c>
      <c r="V379" s="20" t="n">
        <v>57.9</v>
      </c>
      <c r="W379" s="20" t="n">
        <v>100</v>
      </c>
      <c r="X379" s="20" t="n">
        <v>58</v>
      </c>
      <c r="Y379" s="40">
        <f>ROUND((V379*'Methodology &amp; Assumptions'!$B$6)+(W379*'Methodology &amp; Assumptions'!$B$5)+(X379*'Methodology &amp; Assumptions'!$B$7), 2)</f>
        <v/>
      </c>
    </row>
    <row r="380" ht="19" customHeight="1">
      <c r="A380" s="41" t="n">
        <v>376</v>
      </c>
      <c r="B380" s="41" t="n">
        <v>1376</v>
      </c>
      <c r="C380" s="42" t="inlineStr">
        <is>
          <t>0103314057</t>
        </is>
      </c>
      <c r="D380" s="42" t="inlineStr">
        <is>
          <t>Region I (Ilocos Region)</t>
        </is>
      </c>
      <c r="E380" s="42" t="inlineStr">
        <is>
          <t>La Union</t>
        </is>
      </c>
      <c r="F380" s="42" t="inlineStr">
        <is>
          <t>City of San Fernando</t>
        </is>
      </c>
      <c r="G380" s="42" t="inlineStr">
        <is>
          <t>Sevilla</t>
        </is>
      </c>
      <c r="H380" s="43" t="n">
        <v>16.595894</v>
      </c>
      <c r="I380" s="43" t="n">
        <v>120.320971</v>
      </c>
      <c r="J380" s="44" t="inlineStr">
        <is>
          <t>U</t>
        </is>
      </c>
      <c r="K380" s="42" t="inlineStr">
        <is>
          <t>Class 1-3 / Urban</t>
        </is>
      </c>
      <c r="L380" s="23" t="n">
        <v>11316</v>
      </c>
      <c r="M380" s="24" t="n">
        <v>4.42</v>
      </c>
      <c r="N380" s="23">
        <f>ROUND(L380/M380, 0)</f>
        <v/>
      </c>
      <c r="O380" s="23">
        <f>ROUND(N380*'Methodology &amp; Assumptions'!$B$8, 0)</f>
        <v/>
      </c>
      <c r="P380" s="44" t="inlineStr">
        <is>
          <t>Band n50 (1.5 GHz, 60 MHz)</t>
        </is>
      </c>
      <c r="Q380" s="38">
        <f>ROUNDUP(O380/'Methodology &amp; Assumptions'!$B$9, 0)</f>
        <v/>
      </c>
      <c r="R380" s="39" t="n">
        <v>1</v>
      </c>
      <c r="S380" s="25" t="n">
        <v>0.92</v>
      </c>
      <c r="T380" s="25" t="n">
        <v>0.21</v>
      </c>
      <c r="U380" s="42" t="inlineStr">
        <is>
          <t>Tier 1A (Direct Coloc, &lt;1 km)</t>
        </is>
      </c>
      <c r="V380" s="24" t="n">
        <v>83.7</v>
      </c>
      <c r="W380" s="24" t="n">
        <v>100</v>
      </c>
      <c r="X380" s="24" t="n">
        <v>28</v>
      </c>
      <c r="Y380" s="45">
        <f>ROUND((V380*'Methodology &amp; Assumptions'!$B$6)+(W380*'Methodology &amp; Assumptions'!$B$5)+(X380*'Methodology &amp; Assumptions'!$B$7), 2)</f>
        <v/>
      </c>
    </row>
    <row r="381" ht="19" customHeight="1">
      <c r="A381" s="35" t="n">
        <v>377</v>
      </c>
      <c r="B381" s="35" t="n">
        <v>1377</v>
      </c>
      <c r="C381" s="36" t="inlineStr">
        <is>
          <t>0301407002</t>
        </is>
      </c>
      <c r="D381" s="36" t="inlineStr">
        <is>
          <t>Region III (Central Luzon)</t>
        </is>
      </c>
      <c r="E381" s="36" t="inlineStr">
        <is>
          <t>Bulacan</t>
        </is>
      </c>
      <c r="F381" s="36" t="inlineStr">
        <is>
          <t>Calumpit</t>
        </is>
      </c>
      <c r="G381" s="36" t="inlineStr">
        <is>
          <t>Balungao</t>
        </is>
      </c>
      <c r="H381" s="37" t="n">
        <v>14.914192</v>
      </c>
      <c r="I381" s="37" t="n">
        <v>120.765135</v>
      </c>
      <c r="J381" s="8" t="inlineStr">
        <is>
          <t>U</t>
        </is>
      </c>
      <c r="K381" s="36" t="inlineStr">
        <is>
          <t>Class 1-3 / Urban</t>
        </is>
      </c>
      <c r="L381" s="18" t="n">
        <v>5720</v>
      </c>
      <c r="M381" s="20" t="n">
        <v>4.1</v>
      </c>
      <c r="N381" s="18">
        <f>ROUND(L381/M381, 0)</f>
        <v/>
      </c>
      <c r="O381" s="18">
        <f>ROUND(N381*'Methodology &amp; Assumptions'!$B$8, 0)</f>
        <v/>
      </c>
      <c r="P381" s="8" t="inlineStr">
        <is>
          <t>Band n50 (1.5 GHz, 60 MHz)</t>
        </is>
      </c>
      <c r="Q381" s="38">
        <f>ROUNDUP(O381/'Methodology &amp; Assumptions'!$B$9, 0)</f>
        <v/>
      </c>
      <c r="R381" s="39" t="n">
        <v>1</v>
      </c>
      <c r="S381" s="21" t="n">
        <v>0.92</v>
      </c>
      <c r="T381" s="21" t="n">
        <v>0.14</v>
      </c>
      <c r="U381" s="36" t="inlineStr">
        <is>
          <t>Tier 1A (Direct Coloc, &lt;1 km)</t>
        </is>
      </c>
      <c r="V381" s="20" t="n">
        <v>83.59999999999999</v>
      </c>
      <c r="W381" s="20" t="n">
        <v>100</v>
      </c>
      <c r="X381" s="20" t="n">
        <v>28</v>
      </c>
      <c r="Y381" s="40">
        <f>ROUND((V381*'Methodology &amp; Assumptions'!$B$6)+(W381*'Methodology &amp; Assumptions'!$B$5)+(X381*'Methodology &amp; Assumptions'!$B$7), 2)</f>
        <v/>
      </c>
    </row>
    <row r="382" ht="19" customHeight="1">
      <c r="A382" s="41" t="n">
        <v>378</v>
      </c>
      <c r="B382" s="41" t="n">
        <v>1378</v>
      </c>
      <c r="C382" s="42" t="inlineStr">
        <is>
          <t>0401014063</t>
        </is>
      </c>
      <c r="D382" s="42" t="inlineStr">
        <is>
          <t>Region IV-A (CALABARZON)</t>
        </is>
      </c>
      <c r="E382" s="42" t="inlineStr">
        <is>
          <t>Batangas</t>
        </is>
      </c>
      <c r="F382" s="42" t="inlineStr">
        <is>
          <t>City of Lipa</t>
        </is>
      </c>
      <c r="G382" s="42" t="inlineStr">
        <is>
          <t>San Salvador</t>
        </is>
      </c>
      <c r="H382" s="43" t="n">
        <v>13.967871</v>
      </c>
      <c r="I382" s="43" t="n">
        <v>121.125562</v>
      </c>
      <c r="J382" s="44" t="inlineStr">
        <is>
          <t>R</t>
        </is>
      </c>
      <c r="K382" s="42" t="inlineStr">
        <is>
          <t>Class 1-3 / Urban</t>
        </is>
      </c>
      <c r="L382" s="23" t="n">
        <v>4384</v>
      </c>
      <c r="M382" s="24" t="n">
        <v>4.62</v>
      </c>
      <c r="N382" s="23">
        <f>ROUND(L382/M382, 0)</f>
        <v/>
      </c>
      <c r="O382" s="23">
        <f>ROUND(N382*'Methodology &amp; Assumptions'!$B$8, 0)</f>
        <v/>
      </c>
      <c r="P382" s="44" t="inlineStr">
        <is>
          <t>Band n50 (1.5 GHz, 60 MHz)</t>
        </is>
      </c>
      <c r="Q382" s="38">
        <f>ROUNDUP(O382/'Methodology &amp; Assumptions'!$B$9, 0)</f>
        <v/>
      </c>
      <c r="R382" s="39" t="n">
        <v>1</v>
      </c>
      <c r="S382" s="25" t="n">
        <v>1.64</v>
      </c>
      <c r="T382" s="25" t="n">
        <v>2.58</v>
      </c>
      <c r="U382" s="42" t="inlineStr">
        <is>
          <t>Tier 1B (Micro Drop, 1-3 km)</t>
        </is>
      </c>
      <c r="V382" s="24" t="n">
        <v>57.9</v>
      </c>
      <c r="W382" s="24" t="n">
        <v>100</v>
      </c>
      <c r="X382" s="24" t="n">
        <v>58</v>
      </c>
      <c r="Y382" s="45">
        <f>ROUND((V382*'Methodology &amp; Assumptions'!$B$6)+(W382*'Methodology &amp; Assumptions'!$B$5)+(X382*'Methodology &amp; Assumptions'!$B$7), 2)</f>
        <v/>
      </c>
    </row>
    <row r="383" ht="19" customHeight="1">
      <c r="A383" s="35" t="n">
        <v>379</v>
      </c>
      <c r="B383" s="35" t="n">
        <v>1379</v>
      </c>
      <c r="C383" s="36" t="inlineStr">
        <is>
          <t>0401008016</t>
        </is>
      </c>
      <c r="D383" s="36" t="inlineStr">
        <is>
          <t>Region IV-A (CALABARZON)</t>
        </is>
      </c>
      <c r="E383" s="36" t="inlineStr">
        <is>
          <t>Batangas</t>
        </is>
      </c>
      <c r="F383" s="36" t="inlineStr">
        <is>
          <t>Calatagan</t>
        </is>
      </c>
      <c r="G383" s="36" t="inlineStr">
        <is>
          <t>Barangay 1</t>
        </is>
      </c>
      <c r="H383" s="37" t="n">
        <v>13.846909</v>
      </c>
      <c r="I383" s="37" t="n">
        <v>120.628619</v>
      </c>
      <c r="J383" s="8" t="inlineStr">
        <is>
          <t>R</t>
        </is>
      </c>
      <c r="K383" s="36" t="inlineStr">
        <is>
          <t>Class 1-3 / Urban</t>
        </is>
      </c>
      <c r="L383" s="18" t="n">
        <v>4065</v>
      </c>
      <c r="M383" s="20" t="n">
        <v>4.62</v>
      </c>
      <c r="N383" s="18">
        <f>ROUND(L383/M383, 0)</f>
        <v/>
      </c>
      <c r="O383" s="18">
        <f>ROUND(N383*'Methodology &amp; Assumptions'!$B$8, 0)</f>
        <v/>
      </c>
      <c r="P383" s="8" t="inlineStr">
        <is>
          <t>Band n50 (1.5 GHz, 60 MHz)</t>
        </is>
      </c>
      <c r="Q383" s="38">
        <f>ROUNDUP(O383/'Methodology &amp; Assumptions'!$B$9, 0)</f>
        <v/>
      </c>
      <c r="R383" s="39" t="n">
        <v>1</v>
      </c>
      <c r="S383" s="21" t="n">
        <v>1.88</v>
      </c>
      <c r="T383" s="21" t="n">
        <v>0.61</v>
      </c>
      <c r="U383" s="36" t="inlineStr">
        <is>
          <t>Tier 1B (Micro Drop, 1-3 km)</t>
        </is>
      </c>
      <c r="V383" s="20" t="n">
        <v>63.5</v>
      </c>
      <c r="W383" s="20" t="n">
        <v>94.40000000000001</v>
      </c>
      <c r="X383" s="20" t="n">
        <v>58</v>
      </c>
      <c r="Y383" s="40">
        <f>ROUND((V383*'Methodology &amp; Assumptions'!$B$6)+(W383*'Methodology &amp; Assumptions'!$B$5)+(X383*'Methodology &amp; Assumptions'!$B$7), 2)</f>
        <v/>
      </c>
    </row>
    <row r="384" ht="19" customHeight="1">
      <c r="A384" s="41" t="n">
        <v>380</v>
      </c>
      <c r="B384" s="41" t="n">
        <v>1380</v>
      </c>
      <c r="C384" s="42" t="inlineStr">
        <is>
          <t>0307110007</t>
        </is>
      </c>
      <c r="D384" s="42" t="inlineStr">
        <is>
          <t>Region III (Central Luzon)</t>
        </is>
      </c>
      <c r="E384" s="42" t="inlineStr">
        <is>
          <t>Zambales</t>
        </is>
      </c>
      <c r="F384" s="42" t="inlineStr">
        <is>
          <t>San Felipe</t>
        </is>
      </c>
      <c r="G384" s="42" t="inlineStr">
        <is>
          <t>Manglicmot</t>
        </is>
      </c>
      <c r="H384" s="43" t="n">
        <v>15.056748</v>
      </c>
      <c r="I384" s="43" t="n">
        <v>120.070245</v>
      </c>
      <c r="J384" s="44" t="inlineStr">
        <is>
          <t>R</t>
        </is>
      </c>
      <c r="K384" s="42" t="inlineStr">
        <is>
          <t>3rd</t>
        </is>
      </c>
      <c r="L384" s="23" t="n">
        <v>1742</v>
      </c>
      <c r="M384" s="24" t="n">
        <v>4.04</v>
      </c>
      <c r="N384" s="23">
        <f>ROUND(L384/M384, 0)</f>
        <v/>
      </c>
      <c r="O384" s="23">
        <f>ROUND(N384*'Methodology &amp; Assumptions'!$B$8, 0)</f>
        <v/>
      </c>
      <c r="P384" s="44" t="inlineStr">
        <is>
          <t>Band n50 (1.5 GHz, 60 MHz)</t>
        </is>
      </c>
      <c r="Q384" s="38">
        <f>ROUNDUP(O384/'Methodology &amp; Assumptions'!$B$9, 0)</f>
        <v/>
      </c>
      <c r="R384" s="39" t="n">
        <v>1</v>
      </c>
      <c r="S384" s="25" t="n">
        <v>0.33</v>
      </c>
      <c r="T384" s="25" t="n">
        <v>0.32</v>
      </c>
      <c r="U384" s="42" t="inlineStr">
        <is>
          <t>Tier 1A (Direct Coloc, &lt;1 km)</t>
        </is>
      </c>
      <c r="V384" s="24" t="n">
        <v>99.5</v>
      </c>
      <c r="W384" s="24" t="n">
        <v>58.4</v>
      </c>
      <c r="X384" s="24" t="n">
        <v>58</v>
      </c>
      <c r="Y384" s="45">
        <f>ROUND((V384*'Methodology &amp; Assumptions'!$B$6)+(W384*'Methodology &amp; Assumptions'!$B$5)+(X384*'Methodology &amp; Assumptions'!$B$7), 2)</f>
        <v/>
      </c>
    </row>
    <row r="385" ht="19" customHeight="1">
      <c r="A385" s="35" t="n">
        <v>381</v>
      </c>
      <c r="B385" s="35" t="n">
        <v>1381</v>
      </c>
      <c r="C385" s="36" t="inlineStr">
        <is>
          <t>0402109046</t>
        </is>
      </c>
      <c r="D385" s="36" t="inlineStr">
        <is>
          <t>Region IV-A (CALABARZON)</t>
        </is>
      </c>
      <c r="E385" s="36" t="inlineStr">
        <is>
          <t>Cavite</t>
        </is>
      </c>
      <c r="F385" s="36" t="inlineStr">
        <is>
          <t>City of Imus</t>
        </is>
      </c>
      <c r="G385" s="36" t="inlineStr">
        <is>
          <t>Bayan Luma VII</t>
        </is>
      </c>
      <c r="H385" s="37" t="n">
        <v>14.409334</v>
      </c>
      <c r="I385" s="37" t="n">
        <v>120.937245</v>
      </c>
      <c r="J385" s="8" t="inlineStr">
        <is>
          <t>U</t>
        </is>
      </c>
      <c r="K385" s="36" t="inlineStr">
        <is>
          <t>Class 1-3 / Urban</t>
        </is>
      </c>
      <c r="L385" s="18" t="n">
        <v>4132</v>
      </c>
      <c r="M385" s="20" t="n">
        <v>4.49</v>
      </c>
      <c r="N385" s="18">
        <f>ROUND(L385/M385, 0)</f>
        <v/>
      </c>
      <c r="O385" s="18">
        <f>ROUND(N385*'Methodology &amp; Assumptions'!$B$8, 0)</f>
        <v/>
      </c>
      <c r="P385" s="8" t="inlineStr">
        <is>
          <t>Band n50 (1.5 GHz, 60 MHz)</t>
        </is>
      </c>
      <c r="Q385" s="38">
        <f>ROUNDUP(O385/'Methodology &amp; Assumptions'!$B$9, 0)</f>
        <v/>
      </c>
      <c r="R385" s="39" t="n">
        <v>1</v>
      </c>
      <c r="S385" s="21" t="n">
        <v>0.45</v>
      </c>
      <c r="T385" s="21" t="n">
        <v>4.28</v>
      </c>
      <c r="U385" s="36" t="inlineStr">
        <is>
          <t>Tier 1A (Direct Coloc, &lt;1 km)</t>
        </is>
      </c>
      <c r="V385" s="20" t="n">
        <v>86</v>
      </c>
      <c r="W385" s="20" t="n">
        <v>97.59999999999999</v>
      </c>
      <c r="X385" s="20" t="n">
        <v>28</v>
      </c>
      <c r="Y385" s="40">
        <f>ROUND((V385*'Methodology &amp; Assumptions'!$B$6)+(W385*'Methodology &amp; Assumptions'!$B$5)+(X385*'Methodology &amp; Assumptions'!$B$7), 2)</f>
        <v/>
      </c>
    </row>
    <row r="386" ht="19" customHeight="1">
      <c r="A386" s="41" t="n">
        <v>382</v>
      </c>
      <c r="B386" s="41" t="n">
        <v>1382</v>
      </c>
      <c r="C386" s="42" t="inlineStr">
        <is>
          <t>1600201015</t>
        </is>
      </c>
      <c r="D386" s="42" t="inlineStr">
        <is>
          <t>Region XIII (Caraga)</t>
        </is>
      </c>
      <c r="E386" s="42" t="inlineStr">
        <is>
          <t>Agusan del Norte</t>
        </is>
      </c>
      <c r="F386" s="42" t="inlineStr">
        <is>
          <t>Buenavista</t>
        </is>
      </c>
      <c r="G386" s="42" t="inlineStr">
        <is>
          <t>Poblacion 3</t>
        </is>
      </c>
      <c r="H386" s="43" t="n">
        <v>8.972581999999999</v>
      </c>
      <c r="I386" s="43" t="n">
        <v>125.414093</v>
      </c>
      <c r="J386" s="44" t="inlineStr">
        <is>
          <t>U</t>
        </is>
      </c>
      <c r="K386" s="42" t="inlineStr">
        <is>
          <t>Class 1-3 / Urban</t>
        </is>
      </c>
      <c r="L386" s="23" t="n">
        <v>3641</v>
      </c>
      <c r="M386" s="24" t="n">
        <v>4.63</v>
      </c>
      <c r="N386" s="23">
        <f>ROUND(L386/M386, 0)</f>
        <v/>
      </c>
      <c r="O386" s="23">
        <f>ROUND(N386*'Methodology &amp; Assumptions'!$B$8, 0)</f>
        <v/>
      </c>
      <c r="P386" s="44" t="inlineStr">
        <is>
          <t>Band n50 (1.5 GHz, 60 MHz)</t>
        </is>
      </c>
      <c r="Q386" s="38">
        <f>ROUNDUP(O386/'Methodology &amp; Assumptions'!$B$9, 0)</f>
        <v/>
      </c>
      <c r="R386" s="39" t="n">
        <v>1</v>
      </c>
      <c r="S386" s="25" t="n">
        <v>0.43</v>
      </c>
      <c r="T386" s="25" t="n">
        <v>0.43</v>
      </c>
      <c r="U386" s="42" t="inlineStr">
        <is>
          <t>Tier 1A (Direct Coloc, &lt;1 km)</t>
        </is>
      </c>
      <c r="V386" s="24" t="n">
        <v>96.7</v>
      </c>
      <c r="W386" s="24" t="n">
        <v>86.90000000000001</v>
      </c>
      <c r="X386" s="24" t="n">
        <v>28</v>
      </c>
      <c r="Y386" s="45">
        <f>ROUND((V386*'Methodology &amp; Assumptions'!$B$6)+(W386*'Methodology &amp; Assumptions'!$B$5)+(X386*'Methodology &amp; Assumptions'!$B$7), 2)</f>
        <v/>
      </c>
    </row>
    <row r="387" ht="19" customHeight="1">
      <c r="A387" s="35" t="n">
        <v>383</v>
      </c>
      <c r="B387" s="35" t="n">
        <v>1383</v>
      </c>
      <c r="C387" s="36" t="inlineStr">
        <is>
          <t>0500508032</t>
        </is>
      </c>
      <c r="D387" s="36" t="inlineStr">
        <is>
          <t>Region V (Bicol Region)</t>
        </is>
      </c>
      <c r="E387" s="36" t="inlineStr">
        <is>
          <t>Albay</t>
        </is>
      </c>
      <c r="F387" s="36" t="inlineStr">
        <is>
          <t>City of Ligao</t>
        </is>
      </c>
      <c r="G387" s="36" t="inlineStr">
        <is>
          <t>Nasisi</t>
        </is>
      </c>
      <c r="H387" s="37" t="n">
        <v>13.25768</v>
      </c>
      <c r="I387" s="37" t="n">
        <v>123.584477</v>
      </c>
      <c r="J387" s="8" t="inlineStr">
        <is>
          <t>R</t>
        </is>
      </c>
      <c r="K387" s="36" t="inlineStr">
        <is>
          <t>Class 1-3 / Urban</t>
        </is>
      </c>
      <c r="L387" s="18" t="n">
        <v>1982</v>
      </c>
      <c r="M387" s="20" t="n">
        <v>4.67</v>
      </c>
      <c r="N387" s="18">
        <f>ROUND(L387/M387, 0)</f>
        <v/>
      </c>
      <c r="O387" s="18">
        <f>ROUND(N387*'Methodology &amp; Assumptions'!$B$8, 0)</f>
        <v/>
      </c>
      <c r="P387" s="8" t="inlineStr">
        <is>
          <t>Band n50 (1.5 GHz, 60 MHz)</t>
        </is>
      </c>
      <c r="Q387" s="38">
        <f>ROUNDUP(O387/'Methodology &amp; Assumptions'!$B$9, 0)</f>
        <v/>
      </c>
      <c r="R387" s="39" t="n">
        <v>1</v>
      </c>
      <c r="S387" s="21" t="n">
        <v>0.06</v>
      </c>
      <c r="T387" s="21" t="n">
        <v>0.64</v>
      </c>
      <c r="U387" s="36" t="inlineStr">
        <is>
          <t>Tier 1A (Direct Coloc, &lt;1 km)</t>
        </is>
      </c>
      <c r="V387" s="20" t="n">
        <v>100</v>
      </c>
      <c r="W387" s="20" t="n">
        <v>57.9</v>
      </c>
      <c r="X387" s="20" t="n">
        <v>58</v>
      </c>
      <c r="Y387" s="40">
        <f>ROUND((V387*'Methodology &amp; Assumptions'!$B$6)+(W387*'Methodology &amp; Assumptions'!$B$5)+(X387*'Methodology &amp; Assumptions'!$B$7), 2)</f>
        <v/>
      </c>
    </row>
    <row r="388" ht="19" customHeight="1">
      <c r="A388" s="41" t="n">
        <v>384</v>
      </c>
      <c r="B388" s="41" t="n">
        <v>1384</v>
      </c>
      <c r="C388" s="42" t="inlineStr">
        <is>
          <t>0105512015</t>
        </is>
      </c>
      <c r="D388" s="42" t="inlineStr">
        <is>
          <t>Region I (Ilocos Region)</t>
        </is>
      </c>
      <c r="E388" s="42" t="inlineStr">
        <is>
          <t>Pangasinan</t>
        </is>
      </c>
      <c r="F388" s="42" t="inlineStr">
        <is>
          <t>Binalonan</t>
        </is>
      </c>
      <c r="G388" s="42" t="inlineStr">
        <is>
          <t>Poblacion</t>
        </is>
      </c>
      <c r="H388" s="43" t="n">
        <v>16.049583</v>
      </c>
      <c r="I388" s="43" t="n">
        <v>120.591885</v>
      </c>
      <c r="J388" s="44" t="inlineStr">
        <is>
          <t>U</t>
        </is>
      </c>
      <c r="K388" s="42" t="inlineStr">
        <is>
          <t>Class 1-3 / Urban</t>
        </is>
      </c>
      <c r="L388" s="23" t="n">
        <v>7353</v>
      </c>
      <c r="M388" s="24" t="n">
        <v>4.39</v>
      </c>
      <c r="N388" s="23">
        <f>ROUND(L388/M388, 0)</f>
        <v/>
      </c>
      <c r="O388" s="23">
        <f>ROUND(N388*'Methodology &amp; Assumptions'!$B$8, 0)</f>
        <v/>
      </c>
      <c r="P388" s="44" t="inlineStr">
        <is>
          <t>Band n50 (1.5 GHz, 60 MHz)</t>
        </is>
      </c>
      <c r="Q388" s="38">
        <f>ROUNDUP(O388/'Methodology &amp; Assumptions'!$B$9, 0)</f>
        <v/>
      </c>
      <c r="R388" s="39" t="n">
        <v>1</v>
      </c>
      <c r="S388" s="25" t="n">
        <v>0.92</v>
      </c>
      <c r="T388" s="25" t="n">
        <v>0.38</v>
      </c>
      <c r="U388" s="42" t="inlineStr">
        <is>
          <t>Tier 1A (Direct Coloc, &lt;1 km)</t>
        </is>
      </c>
      <c r="V388" s="24" t="n">
        <v>83.59999999999999</v>
      </c>
      <c r="W388" s="24" t="n">
        <v>100</v>
      </c>
      <c r="X388" s="24" t="n">
        <v>28</v>
      </c>
      <c r="Y388" s="45">
        <f>ROUND((V388*'Methodology &amp; Assumptions'!$B$6)+(W388*'Methodology &amp; Assumptions'!$B$5)+(X388*'Methodology &amp; Assumptions'!$B$7), 2)</f>
        <v/>
      </c>
    </row>
    <row r="389" ht="19" customHeight="1">
      <c r="A389" s="35" t="n">
        <v>385</v>
      </c>
      <c r="B389" s="35" t="n">
        <v>1385</v>
      </c>
      <c r="C389" s="36" t="inlineStr">
        <is>
          <t>0501724011</t>
        </is>
      </c>
      <c r="D389" s="36" t="inlineStr">
        <is>
          <t>Region V (Bicol Region)</t>
        </is>
      </c>
      <c r="E389" s="36" t="inlineStr">
        <is>
          <t>Camarines Sur</t>
        </is>
      </c>
      <c r="F389" s="36" t="inlineStr">
        <is>
          <t>City of Naga</t>
        </is>
      </c>
      <c r="G389" s="36" t="inlineStr">
        <is>
          <t>Dayangdang</t>
        </is>
      </c>
      <c r="H389" s="37" t="n">
        <v>13.629554</v>
      </c>
      <c r="I389" s="37" t="n">
        <v>123.193641</v>
      </c>
      <c r="J389" s="8" t="inlineStr">
        <is>
          <t>U</t>
        </is>
      </c>
      <c r="K389" s="36" t="inlineStr">
        <is>
          <t>Class 1-3 / Urban</t>
        </is>
      </c>
      <c r="L389" s="18" t="n">
        <v>4130</v>
      </c>
      <c r="M389" s="20" t="n">
        <v>4.9</v>
      </c>
      <c r="N389" s="18">
        <f>ROUND(L389/M389, 0)</f>
        <v/>
      </c>
      <c r="O389" s="18">
        <f>ROUND(N389*'Methodology &amp; Assumptions'!$B$8, 0)</f>
        <v/>
      </c>
      <c r="P389" s="8" t="inlineStr">
        <is>
          <t>Band n50 (1.5 GHz, 60 MHz)</t>
        </is>
      </c>
      <c r="Q389" s="38">
        <f>ROUNDUP(O389/'Methodology &amp; Assumptions'!$B$9, 0)</f>
        <v/>
      </c>
      <c r="R389" s="39" t="n">
        <v>1</v>
      </c>
      <c r="S389" s="21" t="n">
        <v>0.59</v>
      </c>
      <c r="T389" s="21" t="n">
        <v>0.38</v>
      </c>
      <c r="U389" s="36" t="inlineStr">
        <is>
          <t>Tier 1A (Direct Coloc, &lt;1 km)</t>
        </is>
      </c>
      <c r="V389" s="20" t="n">
        <v>92.09999999999999</v>
      </c>
      <c r="W389" s="20" t="n">
        <v>91.5</v>
      </c>
      <c r="X389" s="20" t="n">
        <v>28</v>
      </c>
      <c r="Y389" s="40">
        <f>ROUND((V389*'Methodology &amp; Assumptions'!$B$6)+(W389*'Methodology &amp; Assumptions'!$B$5)+(X389*'Methodology &amp; Assumptions'!$B$7), 2)</f>
        <v/>
      </c>
    </row>
    <row r="390" ht="19" customHeight="1">
      <c r="A390" s="41" t="n">
        <v>386</v>
      </c>
      <c r="B390" s="41" t="n">
        <v>1386</v>
      </c>
      <c r="C390" s="42" t="inlineStr">
        <is>
          <t>0105525036</t>
        </is>
      </c>
      <c r="D390" s="42" t="inlineStr">
        <is>
          <t>Region I (Ilocos Region)</t>
        </is>
      </c>
      <c r="E390" s="42" t="inlineStr">
        <is>
          <t>Pangasinan</t>
        </is>
      </c>
      <c r="F390" s="42" t="inlineStr">
        <is>
          <t>Manaoag</t>
        </is>
      </c>
      <c r="G390" s="42" t="inlineStr">
        <is>
          <t>Pantal</t>
        </is>
      </c>
      <c r="H390" s="43" t="n">
        <v>16.037928</v>
      </c>
      <c r="I390" s="43" t="n">
        <v>120.486803</v>
      </c>
      <c r="J390" s="44" t="inlineStr">
        <is>
          <t>R</t>
        </is>
      </c>
      <c r="K390" s="42" t="inlineStr">
        <is>
          <t>Class 1-3 / Urban</t>
        </is>
      </c>
      <c r="L390" s="23" t="n">
        <v>3210</v>
      </c>
      <c r="M390" s="24" t="n">
        <v>4.39</v>
      </c>
      <c r="N390" s="23">
        <f>ROUND(L390/M390, 0)</f>
        <v/>
      </c>
      <c r="O390" s="23">
        <f>ROUND(N390*'Methodology &amp; Assumptions'!$B$8, 0)</f>
        <v/>
      </c>
      <c r="P390" s="44" t="inlineStr">
        <is>
          <t>Band n50 (1.5 GHz, 60 MHz)</t>
        </is>
      </c>
      <c r="Q390" s="38">
        <f>ROUNDUP(O390/'Methodology &amp; Assumptions'!$B$9, 0)</f>
        <v/>
      </c>
      <c r="R390" s="39" t="n">
        <v>1</v>
      </c>
      <c r="S390" s="25" t="n">
        <v>0.85</v>
      </c>
      <c r="T390" s="25" t="n">
        <v>6.66</v>
      </c>
      <c r="U390" s="42" t="inlineStr">
        <is>
          <t>Tier 1A (Direct Coloc, &lt;1 km)</t>
        </is>
      </c>
      <c r="V390" s="24" t="n">
        <v>75.40000000000001</v>
      </c>
      <c r="W390" s="24" t="n">
        <v>82.40000000000001</v>
      </c>
      <c r="X390" s="24" t="n">
        <v>58</v>
      </c>
      <c r="Y390" s="45">
        <f>ROUND((V390*'Methodology &amp; Assumptions'!$B$6)+(W390*'Methodology &amp; Assumptions'!$B$5)+(X390*'Methodology &amp; Assumptions'!$B$7), 2)</f>
        <v/>
      </c>
    </row>
    <row r="391" ht="19" customHeight="1">
      <c r="A391" s="35" t="n">
        <v>387</v>
      </c>
      <c r="B391" s="35" t="n">
        <v>1387</v>
      </c>
      <c r="C391" s="36" t="inlineStr">
        <is>
          <t>1430300007</t>
        </is>
      </c>
      <c r="D391" s="36" t="inlineStr">
        <is>
          <t>Cordillera Administrative Region (CAR)</t>
        </is>
      </c>
      <c r="E391" s="36" t="inlineStr">
        <is>
          <t>Benguet</t>
        </is>
      </c>
      <c r="F391" s="36" t="inlineStr">
        <is>
          <t>City of Baguio</t>
        </is>
      </c>
      <c r="G391" s="36" t="inlineStr">
        <is>
          <t>Balsigan</t>
        </is>
      </c>
      <c r="H391" s="37" t="n">
        <v>16.40023</v>
      </c>
      <c r="I391" s="37" t="n">
        <v>120.59261</v>
      </c>
      <c r="J391" s="8" t="inlineStr">
        <is>
          <t>R</t>
        </is>
      </c>
      <c r="K391" s="36" t="inlineStr">
        <is>
          <t>Class 1-3 / Urban</t>
        </is>
      </c>
      <c r="L391" s="18" t="n">
        <v>2492</v>
      </c>
      <c r="M391" s="20" t="n">
        <v>4.58</v>
      </c>
      <c r="N391" s="18">
        <f>ROUND(L391/M391, 0)</f>
        <v/>
      </c>
      <c r="O391" s="18">
        <f>ROUND(N391*'Methodology &amp; Assumptions'!$B$8, 0)</f>
        <v/>
      </c>
      <c r="P391" s="8" t="inlineStr">
        <is>
          <t>Band n50 (1.5 GHz, 60 MHz)</t>
        </is>
      </c>
      <c r="Q391" s="38">
        <f>ROUNDUP(O391/'Methodology &amp; Assumptions'!$B$9, 0)</f>
        <v/>
      </c>
      <c r="R391" s="39" t="n">
        <v>1</v>
      </c>
      <c r="S391" s="21" t="n">
        <v>0.51</v>
      </c>
      <c r="T391" s="21" t="n">
        <v>0.18</v>
      </c>
      <c r="U391" s="36" t="inlineStr">
        <is>
          <t>Tier 1A (Direct Coloc, &lt;1 km)</t>
        </is>
      </c>
      <c r="V391" s="20" t="n">
        <v>94.40000000000001</v>
      </c>
      <c r="W391" s="20" t="n">
        <v>63.5</v>
      </c>
      <c r="X391" s="20" t="n">
        <v>58</v>
      </c>
      <c r="Y391" s="40">
        <f>ROUND((V391*'Methodology &amp; Assumptions'!$B$6)+(W391*'Methodology &amp; Assumptions'!$B$5)+(X391*'Methodology &amp; Assumptions'!$B$7), 2)</f>
        <v/>
      </c>
    </row>
    <row r="392" ht="19" customHeight="1">
      <c r="A392" s="41" t="n">
        <v>388</v>
      </c>
      <c r="B392" s="41" t="n">
        <v>1388</v>
      </c>
      <c r="C392" s="42" t="inlineStr">
        <is>
          <t>0405809005</t>
        </is>
      </c>
      <c r="D392" s="42" t="inlineStr">
        <is>
          <t>Region IV-A (CALABARZON)</t>
        </is>
      </c>
      <c r="E392" s="42" t="inlineStr">
        <is>
          <t>Rizal</t>
        </is>
      </c>
      <c r="F392" s="42" t="inlineStr">
        <is>
          <t>Morong</t>
        </is>
      </c>
      <c r="G392" s="42" t="inlineStr">
        <is>
          <t>San Guillermo</t>
        </is>
      </c>
      <c r="H392" s="43" t="n">
        <v>14.524151</v>
      </c>
      <c r="I392" s="43" t="n">
        <v>121.212654</v>
      </c>
      <c r="J392" s="44" t="inlineStr">
        <is>
          <t>U</t>
        </is>
      </c>
      <c r="K392" s="42" t="inlineStr">
        <is>
          <t>Class 1-3 / Urban</t>
        </is>
      </c>
      <c r="L392" s="23" t="n">
        <v>12758</v>
      </c>
      <c r="M392" s="24" t="n">
        <v>4.39</v>
      </c>
      <c r="N392" s="23">
        <f>ROUND(L392/M392, 0)</f>
        <v/>
      </c>
      <c r="O392" s="23">
        <f>ROUND(N392*'Methodology &amp; Assumptions'!$B$8, 0)</f>
        <v/>
      </c>
      <c r="P392" s="44" t="inlineStr">
        <is>
          <t>Band n50 (1.5 GHz, 60 MHz)</t>
        </is>
      </c>
      <c r="Q392" s="38">
        <f>ROUNDUP(O392/'Methodology &amp; Assumptions'!$B$9, 0)</f>
        <v/>
      </c>
      <c r="R392" s="39" t="n">
        <v>1</v>
      </c>
      <c r="S392" s="25" t="n">
        <v>0.92</v>
      </c>
      <c r="T392" s="25" t="n">
        <v>1.52</v>
      </c>
      <c r="U392" s="42" t="inlineStr">
        <is>
          <t>Tier 1A (Direct Coloc, &lt;1 km)</t>
        </is>
      </c>
      <c r="V392" s="24" t="n">
        <v>83.5</v>
      </c>
      <c r="W392" s="24" t="n">
        <v>100</v>
      </c>
      <c r="X392" s="24" t="n">
        <v>28</v>
      </c>
      <c r="Y392" s="45">
        <f>ROUND((V392*'Methodology &amp; Assumptions'!$B$6)+(W392*'Methodology &amp; Assumptions'!$B$5)+(X392*'Methodology &amp; Assumptions'!$B$7), 2)</f>
        <v/>
      </c>
    </row>
    <row r="393" ht="19" customHeight="1">
      <c r="A393" s="35" t="n">
        <v>389</v>
      </c>
      <c r="B393" s="35" t="n">
        <v>1389</v>
      </c>
      <c r="C393" s="36" t="inlineStr">
        <is>
          <t>0702250012</t>
        </is>
      </c>
      <c r="D393" s="36" t="inlineStr">
        <is>
          <t>Region VII (Central Visayas)</t>
        </is>
      </c>
      <c r="E393" s="36" t="inlineStr">
        <is>
          <t>Cebu</t>
        </is>
      </c>
      <c r="F393" s="36" t="inlineStr">
        <is>
          <t>City of Talisay</t>
        </is>
      </c>
      <c r="G393" s="36" t="inlineStr">
        <is>
          <t>Poblacion</t>
        </is>
      </c>
      <c r="H393" s="37" t="n">
        <v>10.242489</v>
      </c>
      <c r="I393" s="37" t="n">
        <v>123.848291</v>
      </c>
      <c r="J393" s="8" t="inlineStr">
        <is>
          <t>U</t>
        </is>
      </c>
      <c r="K393" s="36" t="inlineStr">
        <is>
          <t>Class 1-3 / Urban</t>
        </is>
      </c>
      <c r="L393" s="18" t="n">
        <v>10323</v>
      </c>
      <c r="M393" s="20" t="n">
        <v>4.42</v>
      </c>
      <c r="N393" s="18">
        <f>ROUND(L393/M393, 0)</f>
        <v/>
      </c>
      <c r="O393" s="18">
        <f>ROUND(N393*'Methodology &amp; Assumptions'!$B$8, 0)</f>
        <v/>
      </c>
      <c r="P393" s="8" t="inlineStr">
        <is>
          <t>Band n50 (1.5 GHz, 60 MHz)</t>
        </is>
      </c>
      <c r="Q393" s="38">
        <f>ROUNDUP(O393/'Methodology &amp; Assumptions'!$B$9, 0)</f>
        <v/>
      </c>
      <c r="R393" s="39" t="n">
        <v>1</v>
      </c>
      <c r="S393" s="21" t="n">
        <v>0.92</v>
      </c>
      <c r="T393" s="21" t="n">
        <v>0.07000000000000001</v>
      </c>
      <c r="U393" s="36" t="inlineStr">
        <is>
          <t>Tier 1A (Direct Coloc, &lt;1 km)</t>
        </is>
      </c>
      <c r="V393" s="20" t="n">
        <v>83.5</v>
      </c>
      <c r="W393" s="20" t="n">
        <v>100</v>
      </c>
      <c r="X393" s="20" t="n">
        <v>28</v>
      </c>
      <c r="Y393" s="40">
        <f>ROUND((V393*'Methodology &amp; Assumptions'!$B$6)+(W393*'Methodology &amp; Assumptions'!$B$5)+(X393*'Methodology &amp; Assumptions'!$B$7), 2)</f>
        <v/>
      </c>
    </row>
    <row r="394" ht="19" customHeight="1">
      <c r="A394" s="41" t="n">
        <v>390</v>
      </c>
      <c r="B394" s="41" t="n">
        <v>1390</v>
      </c>
      <c r="C394" s="42" t="inlineStr">
        <is>
          <t>0403417043</t>
        </is>
      </c>
      <c r="D394" s="42" t="inlineStr">
        <is>
          <t>Region IV-A (CALABARZON)</t>
        </is>
      </c>
      <c r="E394" s="42" t="inlineStr">
        <is>
          <t>Laguna</t>
        </is>
      </c>
      <c r="F394" s="42" t="inlineStr">
        <is>
          <t>Nagcarlan</t>
        </is>
      </c>
      <c r="G394" s="42" t="inlineStr">
        <is>
          <t>Silangan Ilaya</t>
        </is>
      </c>
      <c r="H394" s="43" t="n">
        <v>14.131901</v>
      </c>
      <c r="I394" s="43" t="n">
        <v>121.419208</v>
      </c>
      <c r="J394" s="44" t="inlineStr">
        <is>
          <t>R</t>
        </is>
      </c>
      <c r="K394" s="42" t="inlineStr">
        <is>
          <t>Class 1-3 / Urban</t>
        </is>
      </c>
      <c r="L394" s="23" t="n">
        <v>2385</v>
      </c>
      <c r="M394" s="24" t="n">
        <v>4.2</v>
      </c>
      <c r="N394" s="23">
        <f>ROUND(L394/M394, 0)</f>
        <v/>
      </c>
      <c r="O394" s="23">
        <f>ROUND(N394*'Methodology &amp; Assumptions'!$B$8, 0)</f>
        <v/>
      </c>
      <c r="P394" s="44" t="inlineStr">
        <is>
          <t>Band n50 (1.5 GHz, 60 MHz)</t>
        </is>
      </c>
      <c r="Q394" s="38">
        <f>ROUNDUP(O394/'Methodology &amp; Assumptions'!$B$9, 0)</f>
        <v/>
      </c>
      <c r="R394" s="39" t="n">
        <v>1</v>
      </c>
      <c r="S394" s="25" t="n">
        <v>0.73</v>
      </c>
      <c r="T394" s="25" t="n">
        <v>0.41</v>
      </c>
      <c r="U394" s="42" t="inlineStr">
        <is>
          <t>Tier 1A (Direct Coloc, &lt;1 km)</t>
        </is>
      </c>
      <c r="V394" s="24" t="n">
        <v>88.5</v>
      </c>
      <c r="W394" s="24" t="n">
        <v>69.3</v>
      </c>
      <c r="X394" s="24" t="n">
        <v>58</v>
      </c>
      <c r="Y394" s="45">
        <f>ROUND((V394*'Methodology &amp; Assumptions'!$B$6)+(W394*'Methodology &amp; Assumptions'!$B$5)+(X394*'Methodology &amp; Assumptions'!$B$7), 2)</f>
        <v/>
      </c>
    </row>
    <row r="395" ht="19" customHeight="1">
      <c r="A395" s="35" t="n">
        <v>391</v>
      </c>
      <c r="B395" s="35" t="n">
        <v>1391</v>
      </c>
      <c r="C395" s="36" t="inlineStr">
        <is>
          <t>0304902027</t>
        </is>
      </c>
      <c r="D395" s="36" t="inlineStr">
        <is>
          <t>Region III (Central Luzon)</t>
        </is>
      </c>
      <c r="E395" s="36" t="inlineStr">
        <is>
          <t>Nueva Ecija</t>
        </is>
      </c>
      <c r="F395" s="36" t="inlineStr">
        <is>
          <t>Bongabon</t>
        </is>
      </c>
      <c r="G395" s="36" t="inlineStr">
        <is>
          <t>Tugatug</t>
        </is>
      </c>
      <c r="H395" s="37" t="n">
        <v>15.62829</v>
      </c>
      <c r="I395" s="37" t="n">
        <v>121.143099</v>
      </c>
      <c r="J395" s="8" t="inlineStr">
        <is>
          <t>R</t>
        </is>
      </c>
      <c r="K395" s="36" t="inlineStr">
        <is>
          <t>Class 1-3 / Urban</t>
        </is>
      </c>
      <c r="L395" s="18" t="n">
        <v>2259</v>
      </c>
      <c r="M395" s="20" t="n">
        <v>4.32</v>
      </c>
      <c r="N395" s="18">
        <f>ROUND(L395/M395, 0)</f>
        <v/>
      </c>
      <c r="O395" s="18">
        <f>ROUND(N395*'Methodology &amp; Assumptions'!$B$8, 0)</f>
        <v/>
      </c>
      <c r="P395" s="8" t="inlineStr">
        <is>
          <t>Band n50 (1.5 GHz, 60 MHz)</t>
        </is>
      </c>
      <c r="Q395" s="38">
        <f>ROUNDUP(O395/'Methodology &amp; Assumptions'!$B$9, 0)</f>
        <v/>
      </c>
      <c r="R395" s="39" t="n">
        <v>1</v>
      </c>
      <c r="S395" s="21" t="n">
        <v>0.6</v>
      </c>
      <c r="T395" s="21" t="n">
        <v>0.59</v>
      </c>
      <c r="U395" s="36" t="inlineStr">
        <is>
          <t>Tier 1A (Direct Coloc, &lt;1 km)</t>
        </is>
      </c>
      <c r="V395" s="20" t="n">
        <v>91.90000000000001</v>
      </c>
      <c r="W395" s="20" t="n">
        <v>65.90000000000001</v>
      </c>
      <c r="X395" s="20" t="n">
        <v>58</v>
      </c>
      <c r="Y395" s="40">
        <f>ROUND((V395*'Methodology &amp; Assumptions'!$B$6)+(W395*'Methodology &amp; Assumptions'!$B$5)+(X395*'Methodology &amp; Assumptions'!$B$7), 2)</f>
        <v/>
      </c>
    </row>
    <row r="396" ht="19" customHeight="1">
      <c r="A396" s="41" t="n">
        <v>392</v>
      </c>
      <c r="B396" s="41" t="n">
        <v>1392</v>
      </c>
      <c r="C396" s="42" t="inlineStr">
        <is>
          <t>1403213001</t>
        </is>
      </c>
      <c r="D396" s="42" t="inlineStr">
        <is>
          <t>Cordillera Administrative Region (CAR)</t>
        </is>
      </c>
      <c r="E396" s="42" t="inlineStr">
        <is>
          <t>Kalinga</t>
        </is>
      </c>
      <c r="F396" s="42" t="inlineStr">
        <is>
          <t>City of Tabuk</t>
        </is>
      </c>
      <c r="G396" s="42" t="inlineStr">
        <is>
          <t>Agbannawag</t>
        </is>
      </c>
      <c r="H396" s="43" t="n">
        <v>17.417585</v>
      </c>
      <c r="I396" s="43" t="n">
        <v>121.435336</v>
      </c>
      <c r="J396" s="44" t="inlineStr">
        <is>
          <t>U</t>
        </is>
      </c>
      <c r="K396" s="42" t="inlineStr">
        <is>
          <t>Class 1-3 / Urban</t>
        </is>
      </c>
      <c r="L396" s="23" t="n">
        <v>5723</v>
      </c>
      <c r="M396" s="24" t="n">
        <v>5.34</v>
      </c>
      <c r="N396" s="23">
        <f>ROUND(L396/M396, 0)</f>
        <v/>
      </c>
      <c r="O396" s="23">
        <f>ROUND(N396*'Methodology &amp; Assumptions'!$B$8, 0)</f>
        <v/>
      </c>
      <c r="P396" s="44" t="inlineStr">
        <is>
          <t>Band n50 (1.5 GHz, 60 MHz)</t>
        </is>
      </c>
      <c r="Q396" s="38">
        <f>ROUNDUP(O396/'Methodology &amp; Assumptions'!$B$9, 0)</f>
        <v/>
      </c>
      <c r="R396" s="39" t="n">
        <v>1</v>
      </c>
      <c r="S396" s="25" t="n">
        <v>0.92</v>
      </c>
      <c r="T396" s="25" t="n">
        <v>0.92</v>
      </c>
      <c r="U396" s="42" t="inlineStr">
        <is>
          <t>Tier 1A (Direct Coloc, &lt;1 km)</t>
        </is>
      </c>
      <c r="V396" s="24" t="n">
        <v>83.5</v>
      </c>
      <c r="W396" s="24" t="n">
        <v>100</v>
      </c>
      <c r="X396" s="24" t="n">
        <v>28</v>
      </c>
      <c r="Y396" s="45">
        <f>ROUND((V396*'Methodology &amp; Assumptions'!$B$6)+(W396*'Methodology &amp; Assumptions'!$B$5)+(X396*'Methodology &amp; Assumptions'!$B$7), 2)</f>
        <v/>
      </c>
    </row>
    <row r="397" ht="19" customHeight="1">
      <c r="A397" s="35" t="n">
        <v>393</v>
      </c>
      <c r="B397" s="35" t="n">
        <v>1393</v>
      </c>
      <c r="C397" s="36" t="inlineStr">
        <is>
          <t>1004321014</t>
        </is>
      </c>
      <c r="D397" s="36" t="inlineStr">
        <is>
          <t>Region X (Northern Mindanao)</t>
        </is>
      </c>
      <c r="E397" s="36" t="inlineStr">
        <is>
          <t>Misamis Oriental</t>
        </is>
      </c>
      <c r="F397" s="36" t="inlineStr">
        <is>
          <t>Opol</t>
        </is>
      </c>
      <c r="G397" s="36" t="inlineStr">
        <is>
          <t>Poblacion</t>
        </is>
      </c>
      <c r="H397" s="37" t="n">
        <v>8.521777</v>
      </c>
      <c r="I397" s="37" t="n">
        <v>124.573161</v>
      </c>
      <c r="J397" s="8" t="inlineStr">
        <is>
          <t>U</t>
        </is>
      </c>
      <c r="K397" s="36" t="inlineStr">
        <is>
          <t>Class 1-3 / Urban</t>
        </is>
      </c>
      <c r="L397" s="18" t="n">
        <v>3376</v>
      </c>
      <c r="M397" s="20" t="n">
        <v>4.54</v>
      </c>
      <c r="N397" s="18">
        <f>ROUND(L397/M397, 0)</f>
        <v/>
      </c>
      <c r="O397" s="18">
        <f>ROUND(N397*'Methodology &amp; Assumptions'!$B$8, 0)</f>
        <v/>
      </c>
      <c r="P397" s="8" t="inlineStr">
        <is>
          <t>Band n50 (1.5 GHz, 60 MHz)</t>
        </is>
      </c>
      <c r="Q397" s="38">
        <f>ROUNDUP(O397/'Methodology &amp; Assumptions'!$B$9, 0)</f>
        <v/>
      </c>
      <c r="R397" s="39" t="n">
        <v>1</v>
      </c>
      <c r="S397" s="21" t="n">
        <v>0.24</v>
      </c>
      <c r="T397" s="21" t="n">
        <v>0.21</v>
      </c>
      <c r="U397" s="36" t="inlineStr">
        <is>
          <t>Tier 1A (Direct Coloc, &lt;1 km)</t>
        </is>
      </c>
      <c r="V397" s="20" t="n">
        <v>100</v>
      </c>
      <c r="W397" s="20" t="n">
        <v>83.5</v>
      </c>
      <c r="X397" s="20" t="n">
        <v>28</v>
      </c>
      <c r="Y397" s="40">
        <f>ROUND((V397*'Methodology &amp; Assumptions'!$B$6)+(W397*'Methodology &amp; Assumptions'!$B$5)+(X397*'Methodology &amp; Assumptions'!$B$7), 2)</f>
        <v/>
      </c>
    </row>
    <row r="398" ht="19" customHeight="1">
      <c r="A398" s="41" t="n">
        <v>394</v>
      </c>
      <c r="B398" s="41" t="n">
        <v>1394</v>
      </c>
      <c r="C398" s="42" t="inlineStr">
        <is>
          <t>0102820012</t>
        </is>
      </c>
      <c r="D398" s="42" t="inlineStr">
        <is>
          <t>Region I (Ilocos Region)</t>
        </is>
      </c>
      <c r="E398" s="42" t="inlineStr">
        <is>
          <t>Ilocos Norte</t>
        </is>
      </c>
      <c r="F398" s="42" t="inlineStr">
        <is>
          <t>San Nicolas</t>
        </is>
      </c>
      <c r="G398" s="42" t="inlineStr">
        <is>
          <t>San Juan Bautista</t>
        </is>
      </c>
      <c r="H398" s="43" t="n">
        <v>18.172448</v>
      </c>
      <c r="I398" s="43" t="n">
        <v>120.603449</v>
      </c>
      <c r="J398" s="44" t="inlineStr">
        <is>
          <t>R</t>
        </is>
      </c>
      <c r="K398" s="42" t="inlineStr">
        <is>
          <t>Class 1-3 / Urban</t>
        </is>
      </c>
      <c r="L398" s="23" t="n">
        <v>2940</v>
      </c>
      <c r="M398" s="24" t="n">
        <v>4.35</v>
      </c>
      <c r="N398" s="23">
        <f>ROUND(L398/M398, 0)</f>
        <v/>
      </c>
      <c r="O398" s="23">
        <f>ROUND(N398*'Methodology &amp; Assumptions'!$B$8, 0)</f>
        <v/>
      </c>
      <c r="P398" s="44" t="inlineStr">
        <is>
          <t>Band n50 (1.5 GHz, 60 MHz)</t>
        </is>
      </c>
      <c r="Q398" s="38">
        <f>ROUNDUP(O398/'Methodology &amp; Assumptions'!$B$9, 0)</f>
        <v/>
      </c>
      <c r="R398" s="39" t="n">
        <v>1</v>
      </c>
      <c r="S398" s="25" t="n">
        <v>1.09</v>
      </c>
      <c r="T398" s="25" t="n">
        <v>1.05</v>
      </c>
      <c r="U398" s="42" t="inlineStr">
        <is>
          <t>Tier 1B (Micro Drop, 1-3 km)</t>
        </is>
      </c>
      <c r="V398" s="24" t="n">
        <v>79.59999999999999</v>
      </c>
      <c r="W398" s="24" t="n">
        <v>78.09999999999999</v>
      </c>
      <c r="X398" s="24" t="n">
        <v>58</v>
      </c>
      <c r="Y398" s="45">
        <f>ROUND((V398*'Methodology &amp; Assumptions'!$B$6)+(W398*'Methodology &amp; Assumptions'!$B$5)+(X398*'Methodology &amp; Assumptions'!$B$7), 2)</f>
        <v/>
      </c>
    </row>
    <row r="399" ht="19" customHeight="1">
      <c r="A399" s="35" t="n">
        <v>395</v>
      </c>
      <c r="B399" s="35" t="n">
        <v>1395</v>
      </c>
      <c r="C399" s="36" t="inlineStr">
        <is>
          <t>0103313023</t>
        </is>
      </c>
      <c r="D399" s="36" t="inlineStr">
        <is>
          <t>Region I (Ilocos Region)</t>
        </is>
      </c>
      <c r="E399" s="36" t="inlineStr">
        <is>
          <t>La Union</t>
        </is>
      </c>
      <c r="F399" s="36" t="inlineStr">
        <is>
          <t>Rosario</t>
        </is>
      </c>
      <c r="G399" s="36" t="inlineStr">
        <is>
          <t>Poblacion West</t>
        </is>
      </c>
      <c r="H399" s="37" t="n">
        <v>16.226831</v>
      </c>
      <c r="I399" s="37" t="n">
        <v>120.479409</v>
      </c>
      <c r="J399" s="8" t="inlineStr">
        <is>
          <t>R</t>
        </is>
      </c>
      <c r="K399" s="36" t="inlineStr">
        <is>
          <t>Class 1-3 / Urban</t>
        </is>
      </c>
      <c r="L399" s="18" t="n">
        <v>1965</v>
      </c>
      <c r="M399" s="20" t="n">
        <v>4.42</v>
      </c>
      <c r="N399" s="18">
        <f>ROUND(L399/M399, 0)</f>
        <v/>
      </c>
      <c r="O399" s="18">
        <f>ROUND(N399*'Methodology &amp; Assumptions'!$B$8, 0)</f>
        <v/>
      </c>
      <c r="P399" s="8" t="inlineStr">
        <is>
          <t>Band n50 (1.5 GHz, 60 MHz)</t>
        </is>
      </c>
      <c r="Q399" s="38">
        <f>ROUNDUP(O399/'Methodology &amp; Assumptions'!$B$9, 0)</f>
        <v/>
      </c>
      <c r="R399" s="39" t="n">
        <v>1</v>
      </c>
      <c r="S399" s="21" t="n">
        <v>0.38</v>
      </c>
      <c r="T399" s="21" t="n">
        <v>0.16</v>
      </c>
      <c r="U399" s="36" t="inlineStr">
        <is>
          <t>Tier 1A (Direct Coloc, &lt;1 km)</t>
        </is>
      </c>
      <c r="V399" s="20" t="n">
        <v>98</v>
      </c>
      <c r="W399" s="20" t="n">
        <v>59.7</v>
      </c>
      <c r="X399" s="20" t="n">
        <v>58</v>
      </c>
      <c r="Y399" s="40">
        <f>ROUND((V399*'Methodology &amp; Assumptions'!$B$6)+(W399*'Methodology &amp; Assumptions'!$B$5)+(X399*'Methodology &amp; Assumptions'!$B$7), 2)</f>
        <v/>
      </c>
    </row>
    <row r="400" ht="19" customHeight="1">
      <c r="A400" s="41" t="n">
        <v>396</v>
      </c>
      <c r="B400" s="41" t="n">
        <v>1396</v>
      </c>
      <c r="C400" s="42" t="inlineStr">
        <is>
          <t>1705211010</t>
        </is>
      </c>
      <c r="D400" s="42" t="inlineStr">
        <is>
          <t>MIMAROPA Region</t>
        </is>
      </c>
      <c r="E400" s="42" t="inlineStr">
        <is>
          <t>Oriental Mindoro</t>
        </is>
      </c>
      <c r="F400" s="42" t="inlineStr">
        <is>
          <t>Puerto Galera</t>
        </is>
      </c>
      <c r="G400" s="42" t="inlineStr">
        <is>
          <t>Tabinay</t>
        </is>
      </c>
      <c r="H400" s="43" t="n">
        <v>13.48009</v>
      </c>
      <c r="I400" s="43" t="n">
        <v>120.9598</v>
      </c>
      <c r="J400" s="44" t="inlineStr">
        <is>
          <t>R</t>
        </is>
      </c>
      <c r="K400" s="42" t="inlineStr">
        <is>
          <t>Class 1-3 / Urban</t>
        </is>
      </c>
      <c r="L400" s="23" t="n">
        <v>4385</v>
      </c>
      <c r="M400" s="24" t="n">
        <v>4.41</v>
      </c>
      <c r="N400" s="23">
        <f>ROUND(L400/M400, 0)</f>
        <v/>
      </c>
      <c r="O400" s="23">
        <f>ROUND(N400*'Methodology &amp; Assumptions'!$B$8, 0)</f>
        <v/>
      </c>
      <c r="P400" s="44" t="inlineStr">
        <is>
          <t>Band n50 (1.5 GHz, 60 MHz)</t>
        </is>
      </c>
      <c r="Q400" s="38">
        <f>ROUNDUP(O400/'Methodology &amp; Assumptions'!$B$9, 0)</f>
        <v/>
      </c>
      <c r="R400" s="39" t="n">
        <v>1</v>
      </c>
      <c r="S400" s="25" t="n">
        <v>2.19</v>
      </c>
      <c r="T400" s="25" t="n">
        <v>0.04</v>
      </c>
      <c r="U400" s="42" t="inlineStr">
        <is>
          <t>Tier 1B (Micro Drop, 1-3 km)</t>
        </is>
      </c>
      <c r="V400" s="24" t="n">
        <v>58.2</v>
      </c>
      <c r="W400" s="24" t="n">
        <v>99.5</v>
      </c>
      <c r="X400" s="24" t="n">
        <v>58</v>
      </c>
      <c r="Y400" s="45">
        <f>ROUND((V400*'Methodology &amp; Assumptions'!$B$6)+(W400*'Methodology &amp; Assumptions'!$B$5)+(X400*'Methodology &amp; Assumptions'!$B$7), 2)</f>
        <v/>
      </c>
    </row>
    <row r="401" ht="19" customHeight="1">
      <c r="A401" s="35" t="n">
        <v>397</v>
      </c>
      <c r="B401" s="35" t="n">
        <v>1397</v>
      </c>
      <c r="C401" s="36" t="inlineStr">
        <is>
          <t>0304903031</t>
        </is>
      </c>
      <c r="D401" s="36" t="inlineStr">
        <is>
          <t>Region III (Central Luzon)</t>
        </is>
      </c>
      <c r="E401" s="36" t="inlineStr">
        <is>
          <t>Nueva Ecija</t>
        </is>
      </c>
      <c r="F401" s="36" t="inlineStr">
        <is>
          <t>City of Cabanatuan</t>
        </is>
      </c>
      <c r="G401" s="36" t="inlineStr">
        <is>
          <t>Dicarma</t>
        </is>
      </c>
      <c r="H401" s="37" t="n">
        <v>15.483176</v>
      </c>
      <c r="I401" s="37" t="n">
        <v>120.969675</v>
      </c>
      <c r="J401" s="8" t="inlineStr">
        <is>
          <t>U</t>
        </is>
      </c>
      <c r="K401" s="36" t="inlineStr">
        <is>
          <t>Class 1-3 / Urban</t>
        </is>
      </c>
      <c r="L401" s="18" t="n">
        <v>4344</v>
      </c>
      <c r="M401" s="20" t="n">
        <v>4.32</v>
      </c>
      <c r="N401" s="18">
        <f>ROUND(L401/M401, 0)</f>
        <v/>
      </c>
      <c r="O401" s="18">
        <f>ROUND(N401*'Methodology &amp; Assumptions'!$B$8, 0)</f>
        <v/>
      </c>
      <c r="P401" s="8" t="inlineStr">
        <is>
          <t>Band n50 (1.5 GHz, 60 MHz)</t>
        </is>
      </c>
      <c r="Q401" s="38">
        <f>ROUNDUP(O401/'Methodology &amp; Assumptions'!$B$9, 0)</f>
        <v/>
      </c>
      <c r="R401" s="39" t="n">
        <v>1</v>
      </c>
      <c r="S401" s="21" t="n">
        <v>0.93</v>
      </c>
      <c r="T401" s="21" t="n">
        <v>0.31</v>
      </c>
      <c r="U401" s="36" t="inlineStr">
        <is>
          <t>Tier 1A (Direct Coloc, &lt;1 km)</t>
        </is>
      </c>
      <c r="V401" s="20" t="n">
        <v>83.40000000000001</v>
      </c>
      <c r="W401" s="20" t="n">
        <v>100</v>
      </c>
      <c r="X401" s="20" t="n">
        <v>28</v>
      </c>
      <c r="Y401" s="40">
        <f>ROUND((V401*'Methodology &amp; Assumptions'!$B$6)+(W401*'Methodology &amp; Assumptions'!$B$5)+(X401*'Methodology &amp; Assumptions'!$B$7), 2)</f>
        <v/>
      </c>
    </row>
    <row r="402" ht="19" customHeight="1">
      <c r="A402" s="41" t="n">
        <v>398</v>
      </c>
      <c r="B402" s="41" t="n">
        <v>1398</v>
      </c>
      <c r="C402" s="42" t="inlineStr">
        <is>
          <t>0604531007</t>
        </is>
      </c>
      <c r="D402" s="42" t="inlineStr">
        <is>
          <t>Region VI (Western Visayas)</t>
        </is>
      </c>
      <c r="E402" s="42" t="inlineStr">
        <is>
          <t>Negros Occidental</t>
        </is>
      </c>
      <c r="F402" s="42" t="inlineStr">
        <is>
          <t>City of Victorias</t>
        </is>
      </c>
      <c r="G402" s="42" t="inlineStr">
        <is>
          <t>Barangay IV</t>
        </is>
      </c>
      <c r="H402" s="43" t="n">
        <v>10.900473</v>
      </c>
      <c r="I402" s="43" t="n">
        <v>123.072088</v>
      </c>
      <c r="J402" s="44" t="inlineStr">
        <is>
          <t>R</t>
        </is>
      </c>
      <c r="K402" s="42" t="inlineStr">
        <is>
          <t>Class 1-3 / Urban</t>
        </is>
      </c>
      <c r="L402" s="23" t="n">
        <v>1129</v>
      </c>
      <c r="M402" s="24" t="n">
        <v>4.33</v>
      </c>
      <c r="N402" s="23">
        <f>ROUND(L402/M402, 0)</f>
        <v/>
      </c>
      <c r="O402" s="23">
        <f>ROUND(N402*'Methodology &amp; Assumptions'!$B$8, 0)</f>
        <v/>
      </c>
      <c r="P402" s="44" t="inlineStr">
        <is>
          <t>Band n50 (1.5 GHz, 60 MHz)</t>
        </is>
      </c>
      <c r="Q402" s="38">
        <f>ROUNDUP(O402/'Methodology &amp; Assumptions'!$B$9, 0)</f>
        <v/>
      </c>
      <c r="R402" s="39" t="n">
        <v>1</v>
      </c>
      <c r="S402" s="25" t="n">
        <v>0.17</v>
      </c>
      <c r="T402" s="25" t="n">
        <v>0.17</v>
      </c>
      <c r="U402" s="42" t="inlineStr">
        <is>
          <t>Tier 1A (Direct Coloc, &lt;1 km)</t>
        </is>
      </c>
      <c r="V402" s="24" t="n">
        <v>100</v>
      </c>
      <c r="W402" s="24" t="n">
        <v>44.8</v>
      </c>
      <c r="X402" s="24" t="n">
        <v>73</v>
      </c>
      <c r="Y402" s="45">
        <f>ROUND((V402*'Methodology &amp; Assumptions'!$B$6)+(W402*'Methodology &amp; Assumptions'!$B$5)+(X402*'Methodology &amp; Assumptions'!$B$7), 2)</f>
        <v/>
      </c>
    </row>
    <row r="403" ht="19" customHeight="1">
      <c r="A403" s="35" t="n">
        <v>399</v>
      </c>
      <c r="B403" s="35" t="n">
        <v>1399</v>
      </c>
      <c r="C403" s="36" t="inlineStr">
        <is>
          <t>0304928028</t>
        </is>
      </c>
      <c r="D403" s="36" t="inlineStr">
        <is>
          <t>Region III (Central Luzon)</t>
        </is>
      </c>
      <c r="E403" s="36" t="inlineStr">
        <is>
          <t>Nueva Ecija</t>
        </is>
      </c>
      <c r="F403" s="36" t="inlineStr">
        <is>
          <t>Santa Rosa</t>
        </is>
      </c>
      <c r="G403" s="36" t="inlineStr">
        <is>
          <t>Isla</t>
        </is>
      </c>
      <c r="H403" s="37" t="n">
        <v>15.418033</v>
      </c>
      <c r="I403" s="37" t="n">
        <v>120.929281</v>
      </c>
      <c r="J403" s="8" t="inlineStr">
        <is>
          <t>R</t>
        </is>
      </c>
      <c r="K403" s="36" t="inlineStr">
        <is>
          <t>Class 1-3 / Urban</t>
        </is>
      </c>
      <c r="L403" s="18" t="n">
        <v>2510</v>
      </c>
      <c r="M403" s="20" t="n">
        <v>4.32</v>
      </c>
      <c r="N403" s="18">
        <f>ROUND(L403/M403, 0)</f>
        <v/>
      </c>
      <c r="O403" s="18">
        <f>ROUND(N403*'Methodology &amp; Assumptions'!$B$8, 0)</f>
        <v/>
      </c>
      <c r="P403" s="8" t="inlineStr">
        <is>
          <t>Band n50 (1.5 GHz, 60 MHz)</t>
        </is>
      </c>
      <c r="Q403" s="38">
        <f>ROUNDUP(O403/'Methodology &amp; Assumptions'!$B$9, 0)</f>
        <v/>
      </c>
      <c r="R403" s="39" t="n">
        <v>1</v>
      </c>
      <c r="S403" s="21" t="n">
        <v>0.77</v>
      </c>
      <c r="T403" s="21" t="n">
        <v>0.79</v>
      </c>
      <c r="U403" s="36" t="inlineStr">
        <is>
          <t>Tier 1A (Direct Coloc, &lt;1 km)</t>
        </is>
      </c>
      <c r="V403" s="20" t="n">
        <v>87.2</v>
      </c>
      <c r="W403" s="20" t="n">
        <v>70.40000000000001</v>
      </c>
      <c r="X403" s="20" t="n">
        <v>58</v>
      </c>
      <c r="Y403" s="40">
        <f>ROUND((V403*'Methodology &amp; Assumptions'!$B$6)+(W403*'Methodology &amp; Assumptions'!$B$5)+(X403*'Methodology &amp; Assumptions'!$B$7), 2)</f>
        <v/>
      </c>
    </row>
    <row r="404" ht="19" customHeight="1">
      <c r="A404" s="41" t="n">
        <v>400</v>
      </c>
      <c r="B404" s="41" t="n">
        <v>1400</v>
      </c>
      <c r="C404" s="42" t="inlineStr">
        <is>
          <t>1705320020</t>
        </is>
      </c>
      <c r="D404" s="42" t="inlineStr">
        <is>
          <t>MIMAROPA Region</t>
        </is>
      </c>
      <c r="E404" s="42" t="inlineStr">
        <is>
          <t>Palawan</t>
        </is>
      </c>
      <c r="F404" s="42" t="inlineStr">
        <is>
          <t>Taytay</t>
        </is>
      </c>
      <c r="G404" s="42" t="inlineStr">
        <is>
          <t>Poblacion</t>
        </is>
      </c>
      <c r="H404" s="43" t="n">
        <v>10.824751</v>
      </c>
      <c r="I404" s="43" t="n">
        <v>119.515383</v>
      </c>
      <c r="J404" s="44" t="inlineStr">
        <is>
          <t>U</t>
        </is>
      </c>
      <c r="K404" s="42" t="inlineStr">
        <is>
          <t>Class 1-3 / Urban</t>
        </is>
      </c>
      <c r="L404" s="23" t="n">
        <v>14130</v>
      </c>
      <c r="M404" s="24" t="n">
        <v>4.35</v>
      </c>
      <c r="N404" s="23">
        <f>ROUND(L404/M404, 0)</f>
        <v/>
      </c>
      <c r="O404" s="23">
        <f>ROUND(N404*'Methodology &amp; Assumptions'!$B$8, 0)</f>
        <v/>
      </c>
      <c r="P404" s="44" t="inlineStr">
        <is>
          <t>Band n50 (1.5 GHz, 60 MHz)</t>
        </is>
      </c>
      <c r="Q404" s="38">
        <f>ROUNDUP(O404/'Methodology &amp; Assumptions'!$B$9, 0)</f>
        <v/>
      </c>
      <c r="R404" s="39" t="n">
        <v>1</v>
      </c>
      <c r="S404" s="25" t="n">
        <v>0.93</v>
      </c>
      <c r="T404" s="25" t="n">
        <v>0.88</v>
      </c>
      <c r="U404" s="42" t="inlineStr">
        <is>
          <t>Tier 1A (Direct Coloc, &lt;1 km)</t>
        </is>
      </c>
      <c r="V404" s="24" t="n">
        <v>83.40000000000001</v>
      </c>
      <c r="W404" s="24" t="n">
        <v>100</v>
      </c>
      <c r="X404" s="24" t="n">
        <v>28</v>
      </c>
      <c r="Y404" s="45">
        <f>ROUND((V404*'Methodology &amp; Assumptions'!$B$6)+(W404*'Methodology &amp; Assumptions'!$B$5)+(X404*'Methodology &amp; Assumptions'!$B$7), 2)</f>
        <v/>
      </c>
    </row>
    <row r="405" ht="19" customHeight="1">
      <c r="A405" s="35" t="n">
        <v>401</v>
      </c>
      <c r="B405" s="35" t="n">
        <v>1401</v>
      </c>
      <c r="C405" s="36" t="inlineStr">
        <is>
          <t>1004321015</t>
        </is>
      </c>
      <c r="D405" s="36" t="inlineStr">
        <is>
          <t>Region X (Northern Mindanao)</t>
        </is>
      </c>
      <c r="E405" s="36" t="inlineStr">
        <is>
          <t>Misamis Oriental</t>
        </is>
      </c>
      <c r="F405" s="36" t="inlineStr">
        <is>
          <t>Opol</t>
        </is>
      </c>
      <c r="G405" s="36" t="inlineStr">
        <is>
          <t>Taboc</t>
        </is>
      </c>
      <c r="H405" s="37" t="n">
        <v>8.515771000000001</v>
      </c>
      <c r="I405" s="37" t="n">
        <v>124.57865</v>
      </c>
      <c r="J405" s="8" t="inlineStr">
        <is>
          <t>U</t>
        </is>
      </c>
      <c r="K405" s="36" t="inlineStr">
        <is>
          <t>Class 1-3 / Urban</t>
        </is>
      </c>
      <c r="L405" s="18" t="n">
        <v>3912</v>
      </c>
      <c r="M405" s="20" t="n">
        <v>4.54</v>
      </c>
      <c r="N405" s="18">
        <f>ROUND(L405/M405, 0)</f>
        <v/>
      </c>
      <c r="O405" s="18">
        <f>ROUND(N405*'Methodology &amp; Assumptions'!$B$8, 0)</f>
        <v/>
      </c>
      <c r="P405" s="8" t="inlineStr">
        <is>
          <t>Band n50 (1.5 GHz, 60 MHz)</t>
        </is>
      </c>
      <c r="Q405" s="38">
        <f>ROUNDUP(O405/'Methodology &amp; Assumptions'!$B$9, 0)</f>
        <v/>
      </c>
      <c r="R405" s="39" t="n">
        <v>1</v>
      </c>
      <c r="S405" s="21" t="n">
        <v>0.66</v>
      </c>
      <c r="T405" s="21" t="n">
        <v>0.2</v>
      </c>
      <c r="U405" s="36" t="inlineStr">
        <is>
          <t>Tier 1A (Direct Coloc, &lt;1 km)</t>
        </is>
      </c>
      <c r="V405" s="20" t="n">
        <v>90.3</v>
      </c>
      <c r="W405" s="20" t="n">
        <v>93.09999999999999</v>
      </c>
      <c r="X405" s="20" t="n">
        <v>28</v>
      </c>
      <c r="Y405" s="40">
        <f>ROUND((V405*'Methodology &amp; Assumptions'!$B$6)+(W405*'Methodology &amp; Assumptions'!$B$5)+(X405*'Methodology &amp; Assumptions'!$B$7), 2)</f>
        <v/>
      </c>
    </row>
    <row r="406" ht="19" customHeight="1">
      <c r="A406" s="41" t="n">
        <v>402</v>
      </c>
      <c r="B406" s="41" t="n">
        <v>1402</v>
      </c>
      <c r="C406" s="42" t="inlineStr">
        <is>
          <t>0704617009</t>
        </is>
      </c>
      <c r="D406" s="42" t="inlineStr">
        <is>
          <t>Region VII (Central Visayas)</t>
        </is>
      </c>
      <c r="E406" s="42" t="inlineStr">
        <is>
          <t>Negros Oriental</t>
        </is>
      </c>
      <c r="F406" s="42" t="inlineStr">
        <is>
          <t>San Jose</t>
        </is>
      </c>
      <c r="G406" s="42" t="inlineStr">
        <is>
          <t>Poblacion</t>
        </is>
      </c>
      <c r="H406" s="43" t="n">
        <v>9.058358999999999</v>
      </c>
      <c r="I406" s="43" t="n">
        <v>123.0346</v>
      </c>
      <c r="J406" s="44" t="inlineStr">
        <is>
          <t>R</t>
        </is>
      </c>
      <c r="K406" s="42" t="inlineStr">
        <is>
          <t>4th</t>
        </is>
      </c>
      <c r="L406" s="23" t="n">
        <v>915</v>
      </c>
      <c r="M406" s="24" t="n">
        <v>4.43</v>
      </c>
      <c r="N406" s="23">
        <f>ROUND(L406/M406, 0)</f>
        <v/>
      </c>
      <c r="O406" s="23">
        <f>ROUND(N406*'Methodology &amp; Assumptions'!$B$8, 0)</f>
        <v/>
      </c>
      <c r="P406" s="44" t="inlineStr">
        <is>
          <t>Band n50 (1.5 GHz, 60 MHz)</t>
        </is>
      </c>
      <c r="Q406" s="38">
        <f>ROUNDUP(O406/'Methodology &amp; Assumptions'!$B$9, 0)</f>
        <v/>
      </c>
      <c r="R406" s="39" t="n">
        <v>1</v>
      </c>
      <c r="S406" s="25" t="n">
        <v>0.48</v>
      </c>
      <c r="T406" s="25" t="n">
        <v>0.47</v>
      </c>
      <c r="U406" s="42" t="inlineStr">
        <is>
          <t>Tier 1A (Direct Coloc, &lt;1 km)</t>
        </is>
      </c>
      <c r="V406" s="24" t="n">
        <v>95.2</v>
      </c>
      <c r="W406" s="24" t="n">
        <v>40.5</v>
      </c>
      <c r="X406" s="24" t="n">
        <v>83.5</v>
      </c>
      <c r="Y406" s="45">
        <f>ROUND((V406*'Methodology &amp; Assumptions'!$B$6)+(W406*'Methodology &amp; Assumptions'!$B$5)+(X406*'Methodology &amp; Assumptions'!$B$7), 2)</f>
        <v/>
      </c>
    </row>
    <row r="407" ht="19" customHeight="1">
      <c r="A407" s="35" t="n">
        <v>403</v>
      </c>
      <c r="B407" s="35" t="n">
        <v>1403</v>
      </c>
      <c r="C407" s="36" t="inlineStr">
        <is>
          <t>0402109048</t>
        </is>
      </c>
      <c r="D407" s="36" t="inlineStr">
        <is>
          <t>Region IV-A (CALABARZON)</t>
        </is>
      </c>
      <c r="E407" s="36" t="inlineStr">
        <is>
          <t>Cavite</t>
        </is>
      </c>
      <c r="F407" s="36" t="inlineStr">
        <is>
          <t>City of Imus</t>
        </is>
      </c>
      <c r="G407" s="36" t="inlineStr">
        <is>
          <t>Bayan Luma IX</t>
        </is>
      </c>
      <c r="H407" s="37" t="n">
        <v>14.406216</v>
      </c>
      <c r="I407" s="37" t="n">
        <v>120.934977</v>
      </c>
      <c r="J407" s="8" t="inlineStr">
        <is>
          <t>R</t>
        </is>
      </c>
      <c r="K407" s="36" t="inlineStr">
        <is>
          <t>Class 1-3 / Urban</t>
        </is>
      </c>
      <c r="L407" s="18" t="n">
        <v>2932</v>
      </c>
      <c r="M407" s="20" t="n">
        <v>4.49</v>
      </c>
      <c r="N407" s="18">
        <f>ROUND(L407/M407, 0)</f>
        <v/>
      </c>
      <c r="O407" s="18">
        <f>ROUND(N407*'Methodology &amp; Assumptions'!$B$8, 0)</f>
        <v/>
      </c>
      <c r="P407" s="8" t="inlineStr">
        <is>
          <t>Band n50 (1.5 GHz, 60 MHz)</t>
        </is>
      </c>
      <c r="Q407" s="38">
        <f>ROUNDUP(O407/'Methodology &amp; Assumptions'!$B$9, 0)</f>
        <v/>
      </c>
      <c r="R407" s="39" t="n">
        <v>1</v>
      </c>
      <c r="S407" s="21" t="n">
        <v>0.62</v>
      </c>
      <c r="T407" s="21" t="n">
        <v>4.55</v>
      </c>
      <c r="U407" s="36" t="inlineStr">
        <is>
          <t>Tier 1A (Direct Coloc, &lt;1 km)</t>
        </is>
      </c>
      <c r="V407" s="20" t="n">
        <v>81.40000000000001</v>
      </c>
      <c r="W407" s="20" t="n">
        <v>76.3</v>
      </c>
      <c r="X407" s="20" t="n">
        <v>58</v>
      </c>
      <c r="Y407" s="40">
        <f>ROUND((V407*'Methodology &amp; Assumptions'!$B$6)+(W407*'Methodology &amp; Assumptions'!$B$5)+(X407*'Methodology &amp; Assumptions'!$B$7), 2)</f>
        <v/>
      </c>
    </row>
    <row r="408" ht="19" customHeight="1">
      <c r="A408" s="41" t="n">
        <v>404</v>
      </c>
      <c r="B408" s="41" t="n">
        <v>1404</v>
      </c>
      <c r="C408" s="42" t="inlineStr">
        <is>
          <t>0403428003</t>
        </is>
      </c>
      <c r="D408" s="42" t="inlineStr">
        <is>
          <t>Region IV-A (CALABARZON)</t>
        </is>
      </c>
      <c r="E408" s="42" t="inlineStr">
        <is>
          <t>Laguna</t>
        </is>
      </c>
      <c r="F408" s="42" t="inlineStr">
        <is>
          <t>City of Santa Rosa</t>
        </is>
      </c>
      <c r="G408" s="42" t="inlineStr">
        <is>
          <t>Caingin</t>
        </is>
      </c>
      <c r="H408" s="43" t="n">
        <v>14.298725</v>
      </c>
      <c r="I408" s="43" t="n">
        <v>121.128149</v>
      </c>
      <c r="J408" s="44" t="inlineStr">
        <is>
          <t>U</t>
        </is>
      </c>
      <c r="K408" s="42" t="inlineStr">
        <is>
          <t>Class 1-3 / Urban</t>
        </is>
      </c>
      <c r="L408" s="23" t="n">
        <v>24481</v>
      </c>
      <c r="M408" s="24" t="n">
        <v>4.2</v>
      </c>
      <c r="N408" s="23">
        <f>ROUND(L408/M408, 0)</f>
        <v/>
      </c>
      <c r="O408" s="23">
        <f>ROUND(N408*'Methodology &amp; Assumptions'!$B$8, 0)</f>
        <v/>
      </c>
      <c r="P408" s="44" t="inlineStr">
        <is>
          <t>Band n50 (1.5 GHz, 60 MHz)</t>
        </is>
      </c>
      <c r="Q408" s="38">
        <f>ROUNDUP(O408/'Methodology &amp; Assumptions'!$B$9, 0)</f>
        <v/>
      </c>
      <c r="R408" s="39" t="n">
        <v>1</v>
      </c>
      <c r="S408" s="25" t="n">
        <v>0.55</v>
      </c>
      <c r="T408" s="25" t="n">
        <v>2.35</v>
      </c>
      <c r="U408" s="42" t="inlineStr">
        <is>
          <t>Tier 1A (Direct Coloc, &lt;1 km)</t>
        </is>
      </c>
      <c r="V408" s="24" t="n">
        <v>83.40000000000001</v>
      </c>
      <c r="W408" s="24" t="n">
        <v>100</v>
      </c>
      <c r="X408" s="24" t="n">
        <v>28</v>
      </c>
      <c r="Y408" s="45">
        <f>ROUND((V408*'Methodology &amp; Assumptions'!$B$6)+(W408*'Methodology &amp; Assumptions'!$B$5)+(X408*'Methodology &amp; Assumptions'!$B$7), 2)</f>
        <v/>
      </c>
    </row>
    <row r="409" ht="19" customHeight="1">
      <c r="A409" s="35" t="n">
        <v>405</v>
      </c>
      <c r="B409" s="35" t="n">
        <v>1405</v>
      </c>
      <c r="C409" s="36" t="inlineStr">
        <is>
          <t>0405806014</t>
        </is>
      </c>
      <c r="D409" s="36" t="inlineStr">
        <is>
          <t>Region IV-A (CALABARZON)</t>
        </is>
      </c>
      <c r="E409" s="36" t="inlineStr">
        <is>
          <t>Rizal</t>
        </is>
      </c>
      <c r="F409" s="36" t="inlineStr">
        <is>
          <t>Cardona</t>
        </is>
      </c>
      <c r="G409" s="36" t="inlineStr">
        <is>
          <t>Looc</t>
        </is>
      </c>
      <c r="H409" s="37" t="n">
        <v>14.479812</v>
      </c>
      <c r="I409" s="37" t="n">
        <v>121.223784</v>
      </c>
      <c r="J409" s="8" t="inlineStr">
        <is>
          <t>U</t>
        </is>
      </c>
      <c r="K409" s="36" t="inlineStr">
        <is>
          <t>Class 1-3 / Urban</t>
        </is>
      </c>
      <c r="L409" s="18" t="n">
        <v>10372</v>
      </c>
      <c r="M409" s="20" t="n">
        <v>4.39</v>
      </c>
      <c r="N409" s="18">
        <f>ROUND(L409/M409, 0)</f>
        <v/>
      </c>
      <c r="O409" s="18">
        <f>ROUND(N409*'Methodology &amp; Assumptions'!$B$8, 0)</f>
        <v/>
      </c>
      <c r="P409" s="8" t="inlineStr">
        <is>
          <t>Band n50 (1.5 GHz, 60 MHz)</t>
        </is>
      </c>
      <c r="Q409" s="38">
        <f>ROUNDUP(O409/'Methodology &amp; Assumptions'!$B$9, 0)</f>
        <v/>
      </c>
      <c r="R409" s="39" t="n">
        <v>1</v>
      </c>
      <c r="S409" s="21" t="n">
        <v>0.93</v>
      </c>
      <c r="T409" s="21" t="n">
        <v>0.14</v>
      </c>
      <c r="U409" s="36" t="inlineStr">
        <is>
          <t>Tier 1A (Direct Coloc, &lt;1 km)</t>
        </is>
      </c>
      <c r="V409" s="20" t="n">
        <v>83.3</v>
      </c>
      <c r="W409" s="20" t="n">
        <v>100</v>
      </c>
      <c r="X409" s="20" t="n">
        <v>28</v>
      </c>
      <c r="Y409" s="40">
        <f>ROUND((V409*'Methodology &amp; Assumptions'!$B$6)+(W409*'Methodology &amp; Assumptions'!$B$5)+(X409*'Methodology &amp; Assumptions'!$B$7), 2)</f>
        <v/>
      </c>
    </row>
    <row r="410" ht="19" customHeight="1">
      <c r="A410" s="41" t="n">
        <v>406</v>
      </c>
      <c r="B410" s="41" t="n">
        <v>1406</v>
      </c>
      <c r="C410" s="42" t="inlineStr">
        <is>
          <t>1606819018</t>
        </is>
      </c>
      <c r="D410" s="42" t="inlineStr">
        <is>
          <t>Region XIII (Caraga)</t>
        </is>
      </c>
      <c r="E410" s="42" t="inlineStr">
        <is>
          <t>Surigao del Sur</t>
        </is>
      </c>
      <c r="F410" s="42" t="inlineStr">
        <is>
          <t>City of Tandag</t>
        </is>
      </c>
      <c r="G410" s="42" t="inlineStr">
        <is>
          <t>San Agustin Sur</t>
        </is>
      </c>
      <c r="H410" s="43" t="n">
        <v>9.078430000000001</v>
      </c>
      <c r="I410" s="43" t="n">
        <v>126.189</v>
      </c>
      <c r="J410" s="44" t="inlineStr">
        <is>
          <t>U</t>
        </is>
      </c>
      <c r="K410" s="42" t="inlineStr">
        <is>
          <t>Class 1-3 / Urban</t>
        </is>
      </c>
      <c r="L410" s="23" t="n">
        <v>5921</v>
      </c>
      <c r="M410" s="24" t="n">
        <v>4.56</v>
      </c>
      <c r="N410" s="23">
        <f>ROUND(L410/M410, 0)</f>
        <v/>
      </c>
      <c r="O410" s="23">
        <f>ROUND(N410*'Methodology &amp; Assumptions'!$B$8, 0)</f>
        <v/>
      </c>
      <c r="P410" s="44" t="inlineStr">
        <is>
          <t>Band n50 (1.5 GHz, 60 MHz)</t>
        </is>
      </c>
      <c r="Q410" s="38">
        <f>ROUNDUP(O410/'Methodology &amp; Assumptions'!$B$9, 0)</f>
        <v/>
      </c>
      <c r="R410" s="39" t="n">
        <v>1</v>
      </c>
      <c r="S410" s="25" t="n">
        <v>0.93</v>
      </c>
      <c r="T410" s="25" t="n">
        <v>0.23</v>
      </c>
      <c r="U410" s="42" t="inlineStr">
        <is>
          <t>Tier 1A (Direct Coloc, &lt;1 km)</t>
        </is>
      </c>
      <c r="V410" s="24" t="n">
        <v>83.3</v>
      </c>
      <c r="W410" s="24" t="n">
        <v>100</v>
      </c>
      <c r="X410" s="24" t="n">
        <v>28</v>
      </c>
      <c r="Y410" s="45">
        <f>ROUND((V410*'Methodology &amp; Assumptions'!$B$6)+(W410*'Methodology &amp; Assumptions'!$B$5)+(X410*'Methodology &amp; Assumptions'!$B$7), 2)</f>
        <v/>
      </c>
    </row>
    <row r="411" ht="19" customHeight="1">
      <c r="A411" s="35" t="n">
        <v>407</v>
      </c>
      <c r="B411" s="35" t="n">
        <v>1407</v>
      </c>
      <c r="C411" s="36" t="inlineStr">
        <is>
          <t>0301420030</t>
        </is>
      </c>
      <c r="D411" s="36" t="inlineStr">
        <is>
          <t>Region III (Central Luzon)</t>
        </is>
      </c>
      <c r="E411" s="36" t="inlineStr">
        <is>
          <t>Bulacan</t>
        </is>
      </c>
      <c r="F411" s="36" t="inlineStr">
        <is>
          <t>City of San Jose Del Monte</t>
        </is>
      </c>
      <c r="G411" s="36" t="inlineStr">
        <is>
          <t>Francisco Homes-Yakal</t>
        </is>
      </c>
      <c r="H411" s="37" t="n">
        <v>14.807481</v>
      </c>
      <c r="I411" s="37" t="n">
        <v>121.054278</v>
      </c>
      <c r="J411" s="8" t="inlineStr">
        <is>
          <t>R</t>
        </is>
      </c>
      <c r="K411" s="36" t="inlineStr">
        <is>
          <t>Class 1-3 / Urban</t>
        </is>
      </c>
      <c r="L411" s="18" t="n">
        <v>3721</v>
      </c>
      <c r="M411" s="20" t="n">
        <v>4.1</v>
      </c>
      <c r="N411" s="18">
        <f>ROUND(L411/M411, 0)</f>
        <v/>
      </c>
      <c r="O411" s="18">
        <f>ROUND(N411*'Methodology &amp; Assumptions'!$B$8, 0)</f>
        <v/>
      </c>
      <c r="P411" s="8" t="inlineStr">
        <is>
          <t>Band n50 (1.5 GHz, 60 MHz)</t>
        </is>
      </c>
      <c r="Q411" s="38">
        <f>ROUNDUP(O411/'Methodology &amp; Assumptions'!$B$9, 0)</f>
        <v/>
      </c>
      <c r="R411" s="39" t="n">
        <v>1</v>
      </c>
      <c r="S411" s="21" t="n">
        <v>2.02</v>
      </c>
      <c r="T411" s="21" t="n">
        <v>0.79</v>
      </c>
      <c r="U411" s="36" t="inlineStr">
        <is>
          <t>Tier 1B (Micro Drop, 1-3 km)</t>
        </is>
      </c>
      <c r="V411" s="20" t="n">
        <v>61.1</v>
      </c>
      <c r="W411" s="20" t="n">
        <v>96.5</v>
      </c>
      <c r="X411" s="20" t="n">
        <v>58</v>
      </c>
      <c r="Y411" s="40">
        <f>ROUND((V411*'Methodology &amp; Assumptions'!$B$6)+(W411*'Methodology &amp; Assumptions'!$B$5)+(X411*'Methodology &amp; Assumptions'!$B$7), 2)</f>
        <v/>
      </c>
    </row>
    <row r="412" ht="19" customHeight="1">
      <c r="A412" s="41" t="n">
        <v>408</v>
      </c>
      <c r="B412" s="41" t="n">
        <v>1408</v>
      </c>
      <c r="C412" s="42" t="inlineStr">
        <is>
          <t>0405607066</t>
        </is>
      </c>
      <c r="D412" s="42" t="inlineStr">
        <is>
          <t>Region IV-A (CALABARZON)</t>
        </is>
      </c>
      <c r="E412" s="42" t="inlineStr">
        <is>
          <t>Quezon</t>
        </is>
      </c>
      <c r="F412" s="42" t="inlineStr">
        <is>
          <t>Calauag</t>
        </is>
      </c>
      <c r="G412" s="42" t="inlineStr">
        <is>
          <t>Sabang I</t>
        </is>
      </c>
      <c r="H412" s="43" t="n">
        <v>13.958099</v>
      </c>
      <c r="I412" s="43" t="n">
        <v>122.284361</v>
      </c>
      <c r="J412" s="44" t="inlineStr">
        <is>
          <t>R</t>
        </is>
      </c>
      <c r="K412" s="42" t="inlineStr">
        <is>
          <t>Class 1-3 / Urban</t>
        </is>
      </c>
      <c r="L412" s="23" t="n">
        <v>1873</v>
      </c>
      <c r="M412" s="24" t="n">
        <v>4.46</v>
      </c>
      <c r="N412" s="23">
        <f>ROUND(L412/M412, 0)</f>
        <v/>
      </c>
      <c r="O412" s="23">
        <f>ROUND(N412*'Methodology &amp; Assumptions'!$B$8, 0)</f>
        <v/>
      </c>
      <c r="P412" s="44" t="inlineStr">
        <is>
          <t>Band n50 (1.5 GHz, 60 MHz)</t>
        </is>
      </c>
      <c r="Q412" s="38">
        <f>ROUNDUP(O412/'Methodology &amp; Assumptions'!$B$9, 0)</f>
        <v/>
      </c>
      <c r="R412" s="39" t="n">
        <v>1</v>
      </c>
      <c r="S412" s="25" t="n">
        <v>0.3</v>
      </c>
      <c r="T412" s="25" t="n">
        <v>0.26</v>
      </c>
      <c r="U412" s="42" t="inlineStr">
        <is>
          <t>Tier 1A (Direct Coloc, &lt;1 km)</t>
        </is>
      </c>
      <c r="V412" s="24" t="n">
        <v>100</v>
      </c>
      <c r="W412" s="24" t="n">
        <v>57.6</v>
      </c>
      <c r="X412" s="24" t="n">
        <v>58</v>
      </c>
      <c r="Y412" s="45">
        <f>ROUND((V412*'Methodology &amp; Assumptions'!$B$6)+(W412*'Methodology &amp; Assumptions'!$B$5)+(X412*'Methodology &amp; Assumptions'!$B$7), 2)</f>
        <v/>
      </c>
    </row>
    <row r="413" ht="19" customHeight="1">
      <c r="A413" s="35" t="n">
        <v>409</v>
      </c>
      <c r="B413" s="35" t="n">
        <v>1409</v>
      </c>
      <c r="C413" s="36" t="inlineStr">
        <is>
          <t>0201505002</t>
        </is>
      </c>
      <c r="D413" s="36" t="inlineStr">
        <is>
          <t>Region II (Cagayan Valley)</t>
        </is>
      </c>
      <c r="E413" s="36" t="inlineStr">
        <is>
          <t>Cagayan</t>
        </is>
      </c>
      <c r="F413" s="36" t="inlineStr">
        <is>
          <t>Aparri</t>
        </is>
      </c>
      <c r="G413" s="36" t="inlineStr">
        <is>
          <t>Bangag</t>
        </is>
      </c>
      <c r="H413" s="37" t="n">
        <v>18.297139</v>
      </c>
      <c r="I413" s="37" t="n">
        <v>121.560534</v>
      </c>
      <c r="J413" s="8" t="inlineStr">
        <is>
          <t>R</t>
        </is>
      </c>
      <c r="K413" s="36" t="inlineStr">
        <is>
          <t>Class 1-3 / Urban</t>
        </is>
      </c>
      <c r="L413" s="18" t="n">
        <v>1834</v>
      </c>
      <c r="M413" s="20" t="n">
        <v>4.38</v>
      </c>
      <c r="N413" s="18">
        <f>ROUND(L413/M413, 0)</f>
        <v/>
      </c>
      <c r="O413" s="18">
        <f>ROUND(N413*'Methodology &amp; Assumptions'!$B$8, 0)</f>
        <v/>
      </c>
      <c r="P413" s="8" t="inlineStr">
        <is>
          <t>Band n50 (1.5 GHz, 60 MHz)</t>
        </is>
      </c>
      <c r="Q413" s="38">
        <f>ROUNDUP(O413/'Methodology &amp; Assumptions'!$B$9, 0)</f>
        <v/>
      </c>
      <c r="R413" s="39" t="n">
        <v>1</v>
      </c>
      <c r="S413" s="21" t="n">
        <v>0.18</v>
      </c>
      <c r="T413" s="21" t="n">
        <v>0.07000000000000001</v>
      </c>
      <c r="U413" s="36" t="inlineStr">
        <is>
          <t>Tier 1A (Direct Coloc, &lt;1 km)</t>
        </is>
      </c>
      <c r="V413" s="20" t="n">
        <v>100</v>
      </c>
      <c r="W413" s="20" t="n">
        <v>57.6</v>
      </c>
      <c r="X413" s="20" t="n">
        <v>58</v>
      </c>
      <c r="Y413" s="40">
        <f>ROUND((V413*'Methodology &amp; Assumptions'!$B$6)+(W413*'Methodology &amp; Assumptions'!$B$5)+(X413*'Methodology &amp; Assumptions'!$B$7), 2)</f>
        <v/>
      </c>
    </row>
    <row r="414" ht="19" customHeight="1">
      <c r="A414" s="41" t="n">
        <v>410</v>
      </c>
      <c r="B414" s="41" t="n">
        <v>1410</v>
      </c>
      <c r="C414" s="42" t="inlineStr">
        <is>
          <t>0403403020</t>
        </is>
      </c>
      <c r="D414" s="42" t="inlineStr">
        <is>
          <t>Region IV-A (CALABARZON)</t>
        </is>
      </c>
      <c r="E414" s="42" t="inlineStr">
        <is>
          <t>Laguna</t>
        </is>
      </c>
      <c r="F414" s="42" t="inlineStr">
        <is>
          <t>City of Biñan</t>
        </is>
      </c>
      <c r="G414" s="42" t="inlineStr">
        <is>
          <t>San Jose</t>
        </is>
      </c>
      <c r="H414" s="43" t="n">
        <v>14.344025</v>
      </c>
      <c r="I414" s="43" t="n">
        <v>121.082371</v>
      </c>
      <c r="J414" s="44" t="inlineStr">
        <is>
          <t>U</t>
        </is>
      </c>
      <c r="K414" s="42" t="inlineStr">
        <is>
          <t>Class 1-3 / Urban</t>
        </is>
      </c>
      <c r="L414" s="23" t="n">
        <v>6599</v>
      </c>
      <c r="M414" s="24" t="n">
        <v>4.2</v>
      </c>
      <c r="N414" s="23">
        <f>ROUND(L414/M414, 0)</f>
        <v/>
      </c>
      <c r="O414" s="23">
        <f>ROUND(N414*'Methodology &amp; Assumptions'!$B$8, 0)</f>
        <v/>
      </c>
      <c r="P414" s="44" t="inlineStr">
        <is>
          <t>Band n50 (1.5 GHz, 60 MHz)</t>
        </is>
      </c>
      <c r="Q414" s="38">
        <f>ROUNDUP(O414/'Methodology &amp; Assumptions'!$B$9, 0)</f>
        <v/>
      </c>
      <c r="R414" s="39" t="n">
        <v>1</v>
      </c>
      <c r="S414" s="25" t="n">
        <v>0.93</v>
      </c>
      <c r="T414" s="25" t="n">
        <v>0.57</v>
      </c>
      <c r="U414" s="42" t="inlineStr">
        <is>
          <t>Tier 1A (Direct Coloc, &lt;1 km)</t>
        </is>
      </c>
      <c r="V414" s="24" t="n">
        <v>83.3</v>
      </c>
      <c r="W414" s="24" t="n">
        <v>100</v>
      </c>
      <c r="X414" s="24" t="n">
        <v>28</v>
      </c>
      <c r="Y414" s="45">
        <f>ROUND((V414*'Methodology &amp; Assumptions'!$B$6)+(W414*'Methodology &amp; Assumptions'!$B$5)+(X414*'Methodology &amp; Assumptions'!$B$7), 2)</f>
        <v/>
      </c>
    </row>
    <row r="415" ht="19" customHeight="1">
      <c r="A415" s="35" t="n">
        <v>411</v>
      </c>
      <c r="B415" s="35" t="n">
        <v>1411</v>
      </c>
      <c r="C415" s="36" t="inlineStr">
        <is>
          <t>0702201006</t>
        </is>
      </c>
      <c r="D415" s="36" t="inlineStr">
        <is>
          <t>Region VII (Central Visayas)</t>
        </is>
      </c>
      <c r="E415" s="36" t="inlineStr">
        <is>
          <t>Cebu</t>
        </is>
      </c>
      <c r="F415" s="36" t="inlineStr">
        <is>
          <t>Alcantara</t>
        </is>
      </c>
      <c r="G415" s="36" t="inlineStr">
        <is>
          <t>Palanas</t>
        </is>
      </c>
      <c r="H415" s="37" t="n">
        <v>9.977455000000001</v>
      </c>
      <c r="I415" s="37" t="n">
        <v>123.403723</v>
      </c>
      <c r="J415" s="8" t="inlineStr">
        <is>
          <t>R</t>
        </is>
      </c>
      <c r="K415" s="36" t="inlineStr">
        <is>
          <t>4th</t>
        </is>
      </c>
      <c r="L415" s="18" t="n">
        <v>3239</v>
      </c>
      <c r="M415" s="20" t="n">
        <v>4.4</v>
      </c>
      <c r="N415" s="18">
        <f>ROUND(L415/M415, 0)</f>
        <v/>
      </c>
      <c r="O415" s="18">
        <f>ROUND(N415*'Methodology &amp; Assumptions'!$B$8, 0)</f>
        <v/>
      </c>
      <c r="P415" s="8" t="inlineStr">
        <is>
          <t>Band n50 (1.5 GHz, 60 MHz)</t>
        </is>
      </c>
      <c r="Q415" s="38">
        <f>ROUNDUP(O415/'Methodology &amp; Assumptions'!$B$9, 0)</f>
        <v/>
      </c>
      <c r="R415" s="39" t="n">
        <v>1</v>
      </c>
      <c r="S415" s="21" t="n">
        <v>2.55</v>
      </c>
      <c r="T415" s="21" t="n">
        <v>0.31</v>
      </c>
      <c r="U415" s="36" t="inlineStr">
        <is>
          <t>Tier 1B (Micro Drop, 1-3 km)</t>
        </is>
      </c>
      <c r="V415" s="20" t="n">
        <v>52.8</v>
      </c>
      <c r="W415" s="20" t="n">
        <v>82.90000000000001</v>
      </c>
      <c r="X415" s="20" t="n">
        <v>83.5</v>
      </c>
      <c r="Y415" s="40">
        <f>ROUND((V415*'Methodology &amp; Assumptions'!$B$6)+(W415*'Methodology &amp; Assumptions'!$B$5)+(X415*'Methodology &amp; Assumptions'!$B$7), 2)</f>
        <v/>
      </c>
    </row>
    <row r="416" ht="19" customHeight="1">
      <c r="A416" s="41" t="n">
        <v>412</v>
      </c>
      <c r="B416" s="41" t="n">
        <v>1412</v>
      </c>
      <c r="C416" s="42" t="inlineStr">
        <is>
          <t>0105522028</t>
        </is>
      </c>
      <c r="D416" s="42" t="inlineStr">
        <is>
          <t>Region I (Ilocos Region)</t>
        </is>
      </c>
      <c r="E416" s="42" t="inlineStr">
        <is>
          <t>Pangasinan</t>
        </is>
      </c>
      <c r="F416" s="42" t="inlineStr">
        <is>
          <t>Lingayen</t>
        </is>
      </c>
      <c r="G416" s="42" t="inlineStr">
        <is>
          <t>Poblacion</t>
        </is>
      </c>
      <c r="H416" s="43" t="n">
        <v>16.031187</v>
      </c>
      <c r="I416" s="43" t="n">
        <v>120.230837</v>
      </c>
      <c r="J416" s="44" t="inlineStr">
        <is>
          <t>U</t>
        </is>
      </c>
      <c r="K416" s="42" t="inlineStr">
        <is>
          <t>Class 1-3 / Urban</t>
        </is>
      </c>
      <c r="L416" s="23" t="n">
        <v>12855</v>
      </c>
      <c r="M416" s="24" t="n">
        <v>4.39</v>
      </c>
      <c r="N416" s="23">
        <f>ROUND(L416/M416, 0)</f>
        <v/>
      </c>
      <c r="O416" s="23">
        <f>ROUND(N416*'Methodology &amp; Assumptions'!$B$8, 0)</f>
        <v/>
      </c>
      <c r="P416" s="44" t="inlineStr">
        <is>
          <t>Band n50 (1.5 GHz, 60 MHz)</t>
        </is>
      </c>
      <c r="Q416" s="38">
        <f>ROUNDUP(O416/'Methodology &amp; Assumptions'!$B$9, 0)</f>
        <v/>
      </c>
      <c r="R416" s="39" t="n">
        <v>1</v>
      </c>
      <c r="S416" s="25" t="n">
        <v>0.93</v>
      </c>
      <c r="T416" s="25" t="n">
        <v>0.93</v>
      </c>
      <c r="U416" s="42" t="inlineStr">
        <is>
          <t>Tier 1A (Direct Coloc, &lt;1 km)</t>
        </is>
      </c>
      <c r="V416" s="24" t="n">
        <v>83.3</v>
      </c>
      <c r="W416" s="24" t="n">
        <v>100</v>
      </c>
      <c r="X416" s="24" t="n">
        <v>28</v>
      </c>
      <c r="Y416" s="45">
        <f>ROUND((V416*'Methodology &amp; Assumptions'!$B$6)+(W416*'Methodology &amp; Assumptions'!$B$5)+(X416*'Methodology &amp; Assumptions'!$B$7), 2)</f>
        <v/>
      </c>
    </row>
    <row r="417" ht="19" customHeight="1">
      <c r="A417" s="35" t="n">
        <v>413</v>
      </c>
      <c r="B417" s="35" t="n">
        <v>1413</v>
      </c>
      <c r="C417" s="36" t="inlineStr">
        <is>
          <t>0331400012</t>
        </is>
      </c>
      <c r="D417" s="36" t="inlineStr">
        <is>
          <t>Region III (Central Luzon)</t>
        </is>
      </c>
      <c r="E417" s="36" t="inlineStr">
        <is>
          <t>Zambales</t>
        </is>
      </c>
      <c r="F417" s="36" t="inlineStr">
        <is>
          <t>City of Olongapo</t>
        </is>
      </c>
      <c r="G417" s="36" t="inlineStr">
        <is>
          <t>New Kalalake</t>
        </is>
      </c>
      <c r="H417" s="37" t="n">
        <v>14.830774</v>
      </c>
      <c r="I417" s="37" t="n">
        <v>120.289042</v>
      </c>
      <c r="J417" s="8" t="inlineStr">
        <is>
          <t>U</t>
        </is>
      </c>
      <c r="K417" s="36" t="inlineStr">
        <is>
          <t>Class 1-3 / Urban</t>
        </is>
      </c>
      <c r="L417" s="18" t="n">
        <v>10296</v>
      </c>
      <c r="M417" s="20" t="n">
        <v>4.05</v>
      </c>
      <c r="N417" s="18">
        <f>ROUND(L417/M417, 0)</f>
        <v/>
      </c>
      <c r="O417" s="18">
        <f>ROUND(N417*'Methodology &amp; Assumptions'!$B$8, 0)</f>
        <v/>
      </c>
      <c r="P417" s="8" t="inlineStr">
        <is>
          <t>Band n50 (1.5 GHz, 60 MHz)</t>
        </is>
      </c>
      <c r="Q417" s="38">
        <f>ROUNDUP(O417/'Methodology &amp; Assumptions'!$B$9, 0)</f>
        <v/>
      </c>
      <c r="R417" s="39" t="n">
        <v>1</v>
      </c>
      <c r="S417" s="21" t="n">
        <v>0.93</v>
      </c>
      <c r="T417" s="21" t="n">
        <v>0.32</v>
      </c>
      <c r="U417" s="36" t="inlineStr">
        <is>
          <t>Tier 1A (Direct Coloc, &lt;1 km)</t>
        </is>
      </c>
      <c r="V417" s="20" t="n">
        <v>83.3</v>
      </c>
      <c r="W417" s="20" t="n">
        <v>100</v>
      </c>
      <c r="X417" s="20" t="n">
        <v>28</v>
      </c>
      <c r="Y417" s="40">
        <f>ROUND((V417*'Methodology &amp; Assumptions'!$B$6)+(W417*'Methodology &amp; Assumptions'!$B$5)+(X417*'Methodology &amp; Assumptions'!$B$7), 2)</f>
        <v/>
      </c>
    </row>
    <row r="418" ht="19" customHeight="1">
      <c r="A418" s="41" t="n">
        <v>414</v>
      </c>
      <c r="B418" s="41" t="n">
        <v>1414</v>
      </c>
      <c r="C418" s="42" t="inlineStr">
        <is>
          <t>0401029045</t>
        </is>
      </c>
      <c r="D418" s="42" t="inlineStr">
        <is>
          <t>Region IV-A (CALABARZON)</t>
        </is>
      </c>
      <c r="E418" s="42" t="inlineStr">
        <is>
          <t>Batangas</t>
        </is>
      </c>
      <c r="F418" s="42" t="inlineStr">
        <is>
          <t>Taal</t>
        </is>
      </c>
      <c r="G418" s="42" t="inlineStr">
        <is>
          <t>Laguile</t>
        </is>
      </c>
      <c r="H418" s="43" t="n">
        <v>13.907846</v>
      </c>
      <c r="I418" s="43" t="n">
        <v>120.923087</v>
      </c>
      <c r="J418" s="44" t="inlineStr">
        <is>
          <t>R</t>
        </is>
      </c>
      <c r="K418" s="42" t="inlineStr">
        <is>
          <t>Class 1-3 / Urban</t>
        </is>
      </c>
      <c r="L418" s="23" t="n">
        <v>3224</v>
      </c>
      <c r="M418" s="24" t="n">
        <v>4.62</v>
      </c>
      <c r="N418" s="23">
        <f>ROUND(L418/M418, 0)</f>
        <v/>
      </c>
      <c r="O418" s="23">
        <f>ROUND(N418*'Methodology &amp; Assumptions'!$B$8, 0)</f>
        <v/>
      </c>
      <c r="P418" s="44" t="inlineStr">
        <is>
          <t>Band n50 (1.5 GHz, 60 MHz)</t>
        </is>
      </c>
      <c r="Q418" s="38">
        <f>ROUNDUP(O418/'Methodology &amp; Assumptions'!$B$9, 0)</f>
        <v/>
      </c>
      <c r="R418" s="39" t="n">
        <v>1</v>
      </c>
      <c r="S418" s="25" t="n">
        <v>1.17</v>
      </c>
      <c r="T418" s="25" t="n">
        <v>1.13</v>
      </c>
      <c r="U418" s="42" t="inlineStr">
        <is>
          <t>Tier 1B (Micro Drop, 1-3 km)</t>
        </is>
      </c>
      <c r="V418" s="24" t="n">
        <v>77.8</v>
      </c>
      <c r="W418" s="24" t="n">
        <v>79.7</v>
      </c>
      <c r="X418" s="24" t="n">
        <v>58</v>
      </c>
      <c r="Y418" s="45">
        <f>ROUND((V418*'Methodology &amp; Assumptions'!$B$6)+(W418*'Methodology &amp; Assumptions'!$B$5)+(X418*'Methodology &amp; Assumptions'!$B$7), 2)</f>
        <v/>
      </c>
    </row>
    <row r="419" ht="19" customHeight="1">
      <c r="A419" s="35" t="n">
        <v>415</v>
      </c>
      <c r="B419" s="35" t="n">
        <v>1415</v>
      </c>
      <c r="C419" s="36" t="inlineStr">
        <is>
          <t>0501701015</t>
        </is>
      </c>
      <c r="D419" s="36" t="inlineStr">
        <is>
          <t>Region V (Bicol Region)</t>
        </is>
      </c>
      <c r="E419" s="36" t="inlineStr">
        <is>
          <t>Camarines Sur</t>
        </is>
      </c>
      <c r="F419" s="36" t="inlineStr">
        <is>
          <t>Baao</t>
        </is>
      </c>
      <c r="G419" s="36" t="inlineStr">
        <is>
          <t>San Francisco</t>
        </is>
      </c>
      <c r="H419" s="37" t="n">
        <v>13.451878</v>
      </c>
      <c r="I419" s="37" t="n">
        <v>123.362909</v>
      </c>
      <c r="J419" s="8" t="inlineStr">
        <is>
          <t>R</t>
        </is>
      </c>
      <c r="K419" s="36" t="inlineStr">
        <is>
          <t>Class 1-3 / Urban</t>
        </is>
      </c>
      <c r="L419" s="18" t="n">
        <v>2424</v>
      </c>
      <c r="M419" s="20" t="n">
        <v>4.9</v>
      </c>
      <c r="N419" s="18">
        <f>ROUND(L419/M419, 0)</f>
        <v/>
      </c>
      <c r="O419" s="18">
        <f>ROUND(N419*'Methodology &amp; Assumptions'!$B$8, 0)</f>
        <v/>
      </c>
      <c r="P419" s="8" t="inlineStr">
        <is>
          <t>Band n50 (1.5 GHz, 60 MHz)</t>
        </is>
      </c>
      <c r="Q419" s="38">
        <f>ROUNDUP(O419/'Methodology &amp; Assumptions'!$B$9, 0)</f>
        <v/>
      </c>
      <c r="R419" s="39" t="n">
        <v>1</v>
      </c>
      <c r="S419" s="21" t="n">
        <v>0.52</v>
      </c>
      <c r="T419" s="21" t="n">
        <v>0.47</v>
      </c>
      <c r="U419" s="36" t="inlineStr">
        <is>
          <t>Tier 1A (Direct Coloc, &lt;1 km)</t>
        </is>
      </c>
      <c r="V419" s="20" t="n">
        <v>94</v>
      </c>
      <c r="W419" s="20" t="n">
        <v>63.5</v>
      </c>
      <c r="X419" s="20" t="n">
        <v>58</v>
      </c>
      <c r="Y419" s="40">
        <f>ROUND((V419*'Methodology &amp; Assumptions'!$B$6)+(W419*'Methodology &amp; Assumptions'!$B$5)+(X419*'Methodology &amp; Assumptions'!$B$7), 2)</f>
        <v/>
      </c>
    </row>
    <row r="420" ht="19" customHeight="1">
      <c r="A420" s="41" t="n">
        <v>416</v>
      </c>
      <c r="B420" s="41" t="n">
        <v>1416</v>
      </c>
      <c r="C420" s="42" t="inlineStr">
        <is>
          <t>0702234027</t>
        </is>
      </c>
      <c r="D420" s="42" t="inlineStr">
        <is>
          <t>Region VII (Central Visayas)</t>
        </is>
      </c>
      <c r="E420" s="42" t="inlineStr">
        <is>
          <t>Cebu</t>
        </is>
      </c>
      <c r="F420" s="42" t="inlineStr">
        <is>
          <t>City of Naga</t>
        </is>
      </c>
      <c r="G420" s="42" t="inlineStr">
        <is>
          <t>Tuyan</t>
        </is>
      </c>
      <c r="H420" s="43" t="n">
        <v>10.228202</v>
      </c>
      <c r="I420" s="43" t="n">
        <v>123.767439</v>
      </c>
      <c r="J420" s="44" t="inlineStr">
        <is>
          <t>U</t>
        </is>
      </c>
      <c r="K420" s="42" t="inlineStr">
        <is>
          <t>Class 1-3 / Urban</t>
        </is>
      </c>
      <c r="L420" s="23" t="n">
        <v>13444</v>
      </c>
      <c r="M420" s="24" t="n">
        <v>4.42</v>
      </c>
      <c r="N420" s="23">
        <f>ROUND(L420/M420, 0)</f>
        <v/>
      </c>
      <c r="O420" s="23">
        <f>ROUND(N420*'Methodology &amp; Assumptions'!$B$8, 0)</f>
        <v/>
      </c>
      <c r="P420" s="44" t="inlineStr">
        <is>
          <t>Band n50 (1.5 GHz, 60 MHz)</t>
        </is>
      </c>
      <c r="Q420" s="38">
        <f>ROUNDUP(O420/'Methodology &amp; Assumptions'!$B$9, 0)</f>
        <v/>
      </c>
      <c r="R420" s="39" t="n">
        <v>1</v>
      </c>
      <c r="S420" s="25" t="n">
        <v>0.9399999999999999</v>
      </c>
      <c r="T420" s="25" t="n">
        <v>0.03</v>
      </c>
      <c r="U420" s="42" t="inlineStr">
        <is>
          <t>Tier 1A (Direct Coloc, &lt;1 km)</t>
        </is>
      </c>
      <c r="V420" s="24" t="n">
        <v>83.2</v>
      </c>
      <c r="W420" s="24" t="n">
        <v>100</v>
      </c>
      <c r="X420" s="24" t="n">
        <v>28</v>
      </c>
      <c r="Y420" s="45">
        <f>ROUND((V420*'Methodology &amp; Assumptions'!$B$6)+(W420*'Methodology &amp; Assumptions'!$B$5)+(X420*'Methodology &amp; Assumptions'!$B$7), 2)</f>
        <v/>
      </c>
    </row>
    <row r="421" ht="19" customHeight="1">
      <c r="A421" s="35" t="n">
        <v>417</v>
      </c>
      <c r="B421" s="35" t="n">
        <v>1417</v>
      </c>
      <c r="C421" s="36" t="inlineStr">
        <is>
          <t>0402119004</t>
        </is>
      </c>
      <c r="D421" s="36" t="inlineStr">
        <is>
          <t>Region IV-A (CALABARZON)</t>
        </is>
      </c>
      <c r="E421" s="36" t="inlineStr">
        <is>
          <t>Cavite</t>
        </is>
      </c>
      <c r="F421" s="36" t="inlineStr">
        <is>
          <t>City of Tagaytay</t>
        </is>
      </c>
      <c r="G421" s="36" t="inlineStr">
        <is>
          <t>Francisco</t>
        </is>
      </c>
      <c r="H421" s="37" t="n">
        <v>14.124973</v>
      </c>
      <c r="I421" s="37" t="n">
        <v>120.983605</v>
      </c>
      <c r="J421" s="8" t="inlineStr">
        <is>
          <t>U</t>
        </is>
      </c>
      <c r="K421" s="36" t="inlineStr">
        <is>
          <t>Class 1-3 / Urban</t>
        </is>
      </c>
      <c r="L421" s="18" t="n">
        <v>3502</v>
      </c>
      <c r="M421" s="20" t="n">
        <v>4.49</v>
      </c>
      <c r="N421" s="18">
        <f>ROUND(L421/M421, 0)</f>
        <v/>
      </c>
      <c r="O421" s="18">
        <f>ROUND(N421*'Methodology &amp; Assumptions'!$B$8, 0)</f>
        <v/>
      </c>
      <c r="P421" s="8" t="inlineStr">
        <is>
          <t>Band n50 (1.5 GHz, 60 MHz)</t>
        </is>
      </c>
      <c r="Q421" s="38">
        <f>ROUNDUP(O421/'Methodology &amp; Assumptions'!$B$9, 0)</f>
        <v/>
      </c>
      <c r="R421" s="39" t="n">
        <v>1</v>
      </c>
      <c r="S421" s="21" t="n">
        <v>0.42</v>
      </c>
      <c r="T421" s="21" t="n">
        <v>0.39</v>
      </c>
      <c r="U421" s="36" t="inlineStr">
        <is>
          <t>Tier 1A (Direct Coloc, &lt;1 km)</t>
        </is>
      </c>
      <c r="V421" s="20" t="n">
        <v>96.8</v>
      </c>
      <c r="W421" s="20" t="n">
        <v>86.40000000000001</v>
      </c>
      <c r="X421" s="20" t="n">
        <v>28</v>
      </c>
      <c r="Y421" s="40">
        <f>ROUND((V421*'Methodology &amp; Assumptions'!$B$6)+(W421*'Methodology &amp; Assumptions'!$B$5)+(X421*'Methodology &amp; Assumptions'!$B$7), 2)</f>
        <v/>
      </c>
    </row>
    <row r="422" ht="19" customHeight="1">
      <c r="A422" s="41" t="n">
        <v>418</v>
      </c>
      <c r="B422" s="41" t="n">
        <v>1418</v>
      </c>
      <c r="C422" s="42" t="inlineStr">
        <is>
          <t>0403428016</t>
        </is>
      </c>
      <c r="D422" s="42" t="inlineStr">
        <is>
          <t>Region IV-A (CALABARZON)</t>
        </is>
      </c>
      <c r="E422" s="42" t="inlineStr">
        <is>
          <t>Laguna</t>
        </is>
      </c>
      <c r="F422" s="42" t="inlineStr">
        <is>
          <t>City of Santa Rosa</t>
        </is>
      </c>
      <c r="G422" s="42" t="inlineStr">
        <is>
          <t>Pook</t>
        </is>
      </c>
      <c r="H422" s="43" t="n">
        <v>14.30049</v>
      </c>
      <c r="I422" s="43" t="n">
        <v>121.111913</v>
      </c>
      <c r="J422" s="44" t="inlineStr">
        <is>
          <t>U</t>
        </is>
      </c>
      <c r="K422" s="42" t="inlineStr">
        <is>
          <t>Class 1-3 / Urban</t>
        </is>
      </c>
      <c r="L422" s="23" t="n">
        <v>55705</v>
      </c>
      <c r="M422" s="24" t="n">
        <v>4.2</v>
      </c>
      <c r="N422" s="23">
        <f>ROUND(L422/M422, 0)</f>
        <v/>
      </c>
      <c r="O422" s="23">
        <f>ROUND(N422*'Methodology &amp; Assumptions'!$B$8, 0)</f>
        <v/>
      </c>
      <c r="P422" s="44" t="inlineStr">
        <is>
          <t>Band n50 (1.5 GHz, 60 MHz)</t>
        </is>
      </c>
      <c r="Q422" s="38">
        <f>ROUNDUP(O422/'Methodology &amp; Assumptions'!$B$9, 0)</f>
        <v/>
      </c>
      <c r="R422" s="39" t="n">
        <v>1</v>
      </c>
      <c r="S422" s="25" t="n">
        <v>0.76</v>
      </c>
      <c r="T422" s="25" t="n">
        <v>0.76</v>
      </c>
      <c r="U422" s="42" t="inlineStr">
        <is>
          <t>Tier 1A (Direct Coloc, &lt;1 km)</t>
        </is>
      </c>
      <c r="V422" s="24" t="n">
        <v>87.5</v>
      </c>
      <c r="W422" s="24" t="n">
        <v>95.7</v>
      </c>
      <c r="X422" s="24" t="n">
        <v>28</v>
      </c>
      <c r="Y422" s="45">
        <f>ROUND((V422*'Methodology &amp; Assumptions'!$B$6)+(W422*'Methodology &amp; Assumptions'!$B$5)+(X422*'Methodology &amp; Assumptions'!$B$7), 2)</f>
        <v/>
      </c>
    </row>
    <row r="423" ht="19" customHeight="1">
      <c r="A423" s="35" t="n">
        <v>419</v>
      </c>
      <c r="B423" s="35" t="n">
        <v>1419</v>
      </c>
      <c r="C423" s="36" t="inlineStr">
        <is>
          <t>0203126025</t>
        </is>
      </c>
      <c r="D423" s="36" t="inlineStr">
        <is>
          <t>Region II (Cagayan Valley)</t>
        </is>
      </c>
      <c r="E423" s="36" t="inlineStr">
        <is>
          <t>Isabela</t>
        </is>
      </c>
      <c r="F423" s="36" t="inlineStr">
        <is>
          <t>Roxas</t>
        </is>
      </c>
      <c r="G423" s="36" t="inlineStr">
        <is>
          <t>Sotero Nuesa</t>
        </is>
      </c>
      <c r="H423" s="37" t="n">
        <v>17.124307</v>
      </c>
      <c r="I423" s="37" t="n">
        <v>121.614834</v>
      </c>
      <c r="J423" s="8" t="inlineStr">
        <is>
          <t>U</t>
        </is>
      </c>
      <c r="K423" s="36" t="inlineStr">
        <is>
          <t>Class 1-3 / Urban</t>
        </is>
      </c>
      <c r="L423" s="18" t="n">
        <v>6336</v>
      </c>
      <c r="M423" s="20" t="n">
        <v>4.3</v>
      </c>
      <c r="N423" s="18">
        <f>ROUND(L423/M423, 0)</f>
        <v/>
      </c>
      <c r="O423" s="18">
        <f>ROUND(N423*'Methodology &amp; Assumptions'!$B$8, 0)</f>
        <v/>
      </c>
      <c r="P423" s="8" t="inlineStr">
        <is>
          <t>Band n50 (1.5 GHz, 60 MHz)</t>
        </is>
      </c>
      <c r="Q423" s="38">
        <f>ROUNDUP(O423/'Methodology &amp; Assumptions'!$B$9, 0)</f>
        <v/>
      </c>
      <c r="R423" s="39" t="n">
        <v>1</v>
      </c>
      <c r="S423" s="21" t="n">
        <v>0.9399999999999999</v>
      </c>
      <c r="T423" s="21" t="n">
        <v>0.29</v>
      </c>
      <c r="U423" s="36" t="inlineStr">
        <is>
          <t>Tier 1A (Direct Coloc, &lt;1 km)</t>
        </is>
      </c>
      <c r="V423" s="20" t="n">
        <v>83.2</v>
      </c>
      <c r="W423" s="20" t="n">
        <v>100</v>
      </c>
      <c r="X423" s="20" t="n">
        <v>28</v>
      </c>
      <c r="Y423" s="40">
        <f>ROUND((V423*'Methodology &amp; Assumptions'!$B$6)+(W423*'Methodology &amp; Assumptions'!$B$5)+(X423*'Methodology &amp; Assumptions'!$B$7), 2)</f>
        <v/>
      </c>
    </row>
    <row r="424" ht="19" customHeight="1">
      <c r="A424" s="41" t="n">
        <v>420</v>
      </c>
      <c r="B424" s="41" t="n">
        <v>1420</v>
      </c>
      <c r="C424" s="42" t="inlineStr">
        <is>
          <t>0305405027</t>
        </is>
      </c>
      <c r="D424" s="42" t="inlineStr">
        <is>
          <t>Region III (Central Luzon)</t>
        </is>
      </c>
      <c r="E424" s="42" t="inlineStr">
        <is>
          <t>Pampanga</t>
        </is>
      </c>
      <c r="F424" s="42" t="inlineStr">
        <is>
          <t>Candaba</t>
        </is>
      </c>
      <c r="G424" s="42" t="inlineStr">
        <is>
          <t>Pulong Palazan</t>
        </is>
      </c>
      <c r="H424" s="43" t="n">
        <v>15.019464</v>
      </c>
      <c r="I424" s="43" t="n">
        <v>120.88684</v>
      </c>
      <c r="J424" s="44" t="inlineStr">
        <is>
          <t>R</t>
        </is>
      </c>
      <c r="K424" s="42" t="inlineStr">
        <is>
          <t>Class 1-3 / Urban</t>
        </is>
      </c>
      <c r="L424" s="23" t="n">
        <v>3864</v>
      </c>
      <c r="M424" s="24" t="n">
        <v>4.63</v>
      </c>
      <c r="N424" s="23">
        <f>ROUND(L424/M424, 0)</f>
        <v/>
      </c>
      <c r="O424" s="23">
        <f>ROUND(N424*'Methodology &amp; Assumptions'!$B$8, 0)</f>
        <v/>
      </c>
      <c r="P424" s="44" t="inlineStr">
        <is>
          <t>Band n50 (1.5 GHz, 60 MHz)</t>
        </is>
      </c>
      <c r="Q424" s="38">
        <f>ROUNDUP(O424/'Methodology &amp; Assumptions'!$B$9, 0)</f>
        <v/>
      </c>
      <c r="R424" s="39" t="n">
        <v>1</v>
      </c>
      <c r="S424" s="25" t="n">
        <v>1.7</v>
      </c>
      <c r="T424" s="25" t="n">
        <v>0.01</v>
      </c>
      <c r="U424" s="42" t="inlineStr">
        <is>
          <t>Tier 1B (Micro Drop, 1-3 km)</t>
        </is>
      </c>
      <c r="V424" s="24" t="n">
        <v>66.8</v>
      </c>
      <c r="W424" s="24" t="n">
        <v>90.7</v>
      </c>
      <c r="X424" s="24" t="n">
        <v>58</v>
      </c>
      <c r="Y424" s="45">
        <f>ROUND((V424*'Methodology &amp; Assumptions'!$B$6)+(W424*'Methodology &amp; Assumptions'!$B$5)+(X424*'Methodology &amp; Assumptions'!$B$7), 2)</f>
        <v/>
      </c>
    </row>
    <row r="425" ht="19" customHeight="1">
      <c r="A425" s="35" t="n">
        <v>421</v>
      </c>
      <c r="B425" s="35" t="n">
        <v>1421</v>
      </c>
      <c r="C425" s="36" t="inlineStr">
        <is>
          <t>0631000060</t>
        </is>
      </c>
      <c r="D425" s="36" t="inlineStr">
        <is>
          <t>Region VI (Western Visayas)</t>
        </is>
      </c>
      <c r="E425" s="36" t="inlineStr">
        <is>
          <t>Iloilo</t>
        </is>
      </c>
      <c r="F425" s="36" t="inlineStr">
        <is>
          <t>City of Iloilo</t>
        </is>
      </c>
      <c r="G425" s="36" t="inlineStr">
        <is>
          <t>South Fundidor</t>
        </is>
      </c>
      <c r="H425" s="37" t="n">
        <v>10.690537</v>
      </c>
      <c r="I425" s="37" t="n">
        <v>122.534245</v>
      </c>
      <c r="J425" s="8" t="inlineStr">
        <is>
          <t>R</t>
        </is>
      </c>
      <c r="K425" s="36" t="inlineStr">
        <is>
          <t>Class 1-3 / Urban</t>
        </is>
      </c>
      <c r="L425" s="18" t="n">
        <v>3299</v>
      </c>
      <c r="M425" s="20" t="n">
        <v>4.39</v>
      </c>
      <c r="N425" s="18">
        <f>ROUND(L425/M425, 0)</f>
        <v/>
      </c>
      <c r="O425" s="18">
        <f>ROUND(N425*'Methodology &amp; Assumptions'!$B$8, 0)</f>
        <v/>
      </c>
      <c r="P425" s="8" t="inlineStr">
        <is>
          <t>Band n50 (1.5 GHz, 60 MHz)</t>
        </is>
      </c>
      <c r="Q425" s="38">
        <f>ROUNDUP(O425/'Methodology &amp; Assumptions'!$B$9, 0)</f>
        <v/>
      </c>
      <c r="R425" s="39" t="n">
        <v>1</v>
      </c>
      <c r="S425" s="21" t="n">
        <v>0.93</v>
      </c>
      <c r="T425" s="21" t="n">
        <v>3.91</v>
      </c>
      <c r="U425" s="36" t="inlineStr">
        <is>
          <t>Tier 1A (Direct Coloc, &lt;1 km)</t>
        </is>
      </c>
      <c r="V425" s="20" t="n">
        <v>73.40000000000001</v>
      </c>
      <c r="W425" s="20" t="n">
        <v>84</v>
      </c>
      <c r="X425" s="20" t="n">
        <v>58</v>
      </c>
      <c r="Y425" s="40">
        <f>ROUND((V425*'Methodology &amp; Assumptions'!$B$6)+(W425*'Methodology &amp; Assumptions'!$B$5)+(X425*'Methodology &amp; Assumptions'!$B$7), 2)</f>
        <v/>
      </c>
    </row>
    <row r="426" ht="19" customHeight="1">
      <c r="A426" s="41" t="n">
        <v>422</v>
      </c>
      <c r="B426" s="41" t="n">
        <v>1422</v>
      </c>
      <c r="C426" s="42" t="inlineStr">
        <is>
          <t>0603018040</t>
        </is>
      </c>
      <c r="D426" s="42" t="inlineStr">
        <is>
          <t>Region VI (Western Visayas)</t>
        </is>
      </c>
      <c r="E426" s="42" t="inlineStr">
        <is>
          <t>Iloilo</t>
        </is>
      </c>
      <c r="F426" s="42" t="inlineStr">
        <is>
          <t>Dumangas</t>
        </is>
      </c>
      <c r="G426" s="42" t="inlineStr">
        <is>
          <t>Tabucan</t>
        </is>
      </c>
      <c r="H426" s="43" t="n">
        <v>10.820228</v>
      </c>
      <c r="I426" s="43" t="n">
        <v>122.708428</v>
      </c>
      <c r="J426" s="44" t="inlineStr">
        <is>
          <t>R</t>
        </is>
      </c>
      <c r="K426" s="42" t="inlineStr">
        <is>
          <t>Class 1-3 / Urban</t>
        </is>
      </c>
      <c r="L426" s="23" t="n">
        <v>2354</v>
      </c>
      <c r="M426" s="24" t="n">
        <v>4.39</v>
      </c>
      <c r="N426" s="23">
        <f>ROUND(L426/M426, 0)</f>
        <v/>
      </c>
      <c r="O426" s="23">
        <f>ROUND(N426*'Methodology &amp; Assumptions'!$B$8, 0)</f>
        <v/>
      </c>
      <c r="P426" s="44" t="inlineStr">
        <is>
          <t>Band n50 (1.5 GHz, 60 MHz)</t>
        </is>
      </c>
      <c r="Q426" s="38">
        <f>ROUNDUP(O426/'Methodology &amp; Assumptions'!$B$9, 0)</f>
        <v/>
      </c>
      <c r="R426" s="39" t="n">
        <v>1</v>
      </c>
      <c r="S426" s="25" t="n">
        <v>0.65</v>
      </c>
      <c r="T426" s="25" t="n">
        <v>0.07000000000000001</v>
      </c>
      <c r="U426" s="42" t="inlineStr">
        <is>
          <t>Tier 1A (Direct Coloc, &lt;1 km)</t>
        </is>
      </c>
      <c r="V426" s="24" t="n">
        <v>90.5</v>
      </c>
      <c r="W426" s="24" t="n">
        <v>66.90000000000001</v>
      </c>
      <c r="X426" s="24" t="n">
        <v>58</v>
      </c>
      <c r="Y426" s="45">
        <f>ROUND((V426*'Methodology &amp; Assumptions'!$B$6)+(W426*'Methodology &amp; Assumptions'!$B$5)+(X426*'Methodology &amp; Assumptions'!$B$7), 2)</f>
        <v/>
      </c>
    </row>
    <row r="427" ht="19" customHeight="1">
      <c r="A427" s="35" t="n">
        <v>423</v>
      </c>
      <c r="B427" s="35" t="n">
        <v>1423</v>
      </c>
      <c r="C427" s="36" t="inlineStr">
        <is>
          <t>0601905007</t>
        </is>
      </c>
      <c r="D427" s="36" t="inlineStr">
        <is>
          <t>Region VI (Western Visayas)</t>
        </is>
      </c>
      <c r="E427" s="36" t="inlineStr">
        <is>
          <t>Capiz</t>
        </is>
      </c>
      <c r="F427" s="36" t="inlineStr">
        <is>
          <t>Ivisan</t>
        </is>
      </c>
      <c r="G427" s="36" t="inlineStr">
        <is>
          <t>Ilaya-Ivisan</t>
        </is>
      </c>
      <c r="H427" s="37" t="n">
        <v>11.515346</v>
      </c>
      <c r="I427" s="37" t="n">
        <v>122.719982</v>
      </c>
      <c r="J427" s="8" t="inlineStr">
        <is>
          <t>R</t>
        </is>
      </c>
      <c r="K427" s="36" t="inlineStr">
        <is>
          <t>3rd</t>
        </is>
      </c>
      <c r="L427" s="18" t="n">
        <v>3903</v>
      </c>
      <c r="M427" s="20" t="n">
        <v>4.31</v>
      </c>
      <c r="N427" s="18">
        <f>ROUND(L427/M427, 0)</f>
        <v/>
      </c>
      <c r="O427" s="18">
        <f>ROUND(N427*'Methodology &amp; Assumptions'!$B$8, 0)</f>
        <v/>
      </c>
      <c r="P427" s="8" t="inlineStr">
        <is>
          <t>Band n50 (1.5 GHz, 60 MHz)</t>
        </is>
      </c>
      <c r="Q427" s="38">
        <f>ROUNDUP(O427/'Methodology &amp; Assumptions'!$B$9, 0)</f>
        <v/>
      </c>
      <c r="R427" s="39" t="n">
        <v>1</v>
      </c>
      <c r="S427" s="21" t="n">
        <v>2.9</v>
      </c>
      <c r="T427" s="21" t="n">
        <v>0.23</v>
      </c>
      <c r="U427" s="36" t="inlineStr">
        <is>
          <t>Tier 1B (Micro Drop, 1-3 km)</t>
        </is>
      </c>
      <c r="V427" s="20" t="n">
        <v>48</v>
      </c>
      <c r="W427" s="20" t="n">
        <v>96.5</v>
      </c>
      <c r="X427" s="20" t="n">
        <v>73</v>
      </c>
      <c r="Y427" s="40">
        <f>ROUND((V427*'Methodology &amp; Assumptions'!$B$6)+(W427*'Methodology &amp; Assumptions'!$B$5)+(X427*'Methodology &amp; Assumptions'!$B$7), 2)</f>
        <v/>
      </c>
    </row>
    <row r="428" ht="19" customHeight="1">
      <c r="A428" s="41" t="n">
        <v>424</v>
      </c>
      <c r="B428" s="41" t="n">
        <v>1424</v>
      </c>
      <c r="C428" s="42" t="inlineStr">
        <is>
          <t>0402106069</t>
        </is>
      </c>
      <c r="D428" s="42" t="inlineStr">
        <is>
          <t>Region IV-A (CALABARZON)</t>
        </is>
      </c>
      <c r="E428" s="42" t="inlineStr">
        <is>
          <t>Cavite</t>
        </is>
      </c>
      <c r="F428" s="42" t="inlineStr">
        <is>
          <t>City of Dasmariñas</t>
        </is>
      </c>
      <c r="G428" s="42" t="inlineStr">
        <is>
          <t>San Francisco II</t>
        </is>
      </c>
      <c r="H428" s="43" t="n">
        <v>14.320657</v>
      </c>
      <c r="I428" s="43" t="n">
        <v>120.964228</v>
      </c>
      <c r="J428" s="44" t="inlineStr">
        <is>
          <t>R</t>
        </is>
      </c>
      <c r="K428" s="42" t="inlineStr">
        <is>
          <t>Class 1-3 / Urban</t>
        </is>
      </c>
      <c r="L428" s="23" t="n">
        <v>3363</v>
      </c>
      <c r="M428" s="24" t="n">
        <v>4.49</v>
      </c>
      <c r="N428" s="23">
        <f>ROUND(L428/M428, 0)</f>
        <v/>
      </c>
      <c r="O428" s="23">
        <f>ROUND(N428*'Methodology &amp; Assumptions'!$B$8, 0)</f>
        <v/>
      </c>
      <c r="P428" s="44" t="inlineStr">
        <is>
          <t>Band n50 (1.5 GHz, 60 MHz)</t>
        </is>
      </c>
      <c r="Q428" s="38">
        <f>ROUNDUP(O428/'Methodology &amp; Assumptions'!$B$9, 0)</f>
        <v/>
      </c>
      <c r="R428" s="39" t="n">
        <v>1</v>
      </c>
      <c r="S428" s="25" t="n">
        <v>0.93</v>
      </c>
      <c r="T428" s="25" t="n">
        <v>2.4</v>
      </c>
      <c r="U428" s="42" t="inlineStr">
        <is>
          <t>Tier 1A (Direct Coloc, &lt;1 km)</t>
        </is>
      </c>
      <c r="V428" s="24" t="n">
        <v>73.40000000000001</v>
      </c>
      <c r="W428" s="24" t="n">
        <v>84</v>
      </c>
      <c r="X428" s="24" t="n">
        <v>58</v>
      </c>
      <c r="Y428" s="45">
        <f>ROUND((V428*'Methodology &amp; Assumptions'!$B$6)+(W428*'Methodology &amp; Assumptions'!$B$5)+(X428*'Methodology &amp; Assumptions'!$B$7), 2)</f>
        <v/>
      </c>
    </row>
    <row r="429" ht="19" customHeight="1">
      <c r="A429" s="35" t="n">
        <v>425</v>
      </c>
      <c r="B429" s="35" t="n">
        <v>1425</v>
      </c>
      <c r="C429" s="36" t="inlineStr">
        <is>
          <t>0803739029</t>
        </is>
      </c>
      <c r="D429" s="36" t="inlineStr">
        <is>
          <t>Region VIII (Eastern Visayas)</t>
        </is>
      </c>
      <c r="E429" s="36" t="inlineStr">
        <is>
          <t>Leyte</t>
        </is>
      </c>
      <c r="F429" s="36" t="inlineStr">
        <is>
          <t>Palo</t>
        </is>
      </c>
      <c r="G429" s="36" t="inlineStr">
        <is>
          <t>San Joaquin</t>
        </is>
      </c>
      <c r="H429" s="37" t="n">
        <v>11.142094</v>
      </c>
      <c r="I429" s="37" t="n">
        <v>125.006213</v>
      </c>
      <c r="J429" s="8" t="inlineStr">
        <is>
          <t>R</t>
        </is>
      </c>
      <c r="K429" s="36" t="inlineStr">
        <is>
          <t>Class 1-3 / Urban</t>
        </is>
      </c>
      <c r="L429" s="18" t="n">
        <v>2844</v>
      </c>
      <c r="M429" s="20" t="n">
        <v>4.24</v>
      </c>
      <c r="N429" s="18">
        <f>ROUND(L429/M429, 0)</f>
        <v/>
      </c>
      <c r="O429" s="18">
        <f>ROUND(N429*'Methodology &amp; Assumptions'!$B$8, 0)</f>
        <v/>
      </c>
      <c r="P429" s="8" t="inlineStr">
        <is>
          <t>Band n50 (1.5 GHz, 60 MHz)</t>
        </is>
      </c>
      <c r="Q429" s="38">
        <f>ROUNDUP(O429/'Methodology &amp; Assumptions'!$B$9, 0)</f>
        <v/>
      </c>
      <c r="R429" s="39" t="n">
        <v>1</v>
      </c>
      <c r="S429" s="21" t="n">
        <v>1.08</v>
      </c>
      <c r="T429" s="21" t="n">
        <v>0.35</v>
      </c>
      <c r="U429" s="36" t="inlineStr">
        <is>
          <t>Tier 1B (Micro Drop, 1-3 km)</t>
        </is>
      </c>
      <c r="V429" s="20" t="n">
        <v>79.8</v>
      </c>
      <c r="W429" s="20" t="n">
        <v>77.59999999999999</v>
      </c>
      <c r="X429" s="20" t="n">
        <v>58</v>
      </c>
      <c r="Y429" s="40">
        <f>ROUND((V429*'Methodology &amp; Assumptions'!$B$6)+(W429*'Methodology &amp; Assumptions'!$B$5)+(X429*'Methodology &amp; Assumptions'!$B$7), 2)</f>
        <v/>
      </c>
    </row>
    <row r="430" ht="19" customHeight="1">
      <c r="A430" s="41" t="n">
        <v>426</v>
      </c>
      <c r="B430" s="41" t="n">
        <v>1426</v>
      </c>
      <c r="C430" s="42" t="inlineStr">
        <is>
          <t>0803702005</t>
        </is>
      </c>
      <c r="D430" s="42" t="inlineStr">
        <is>
          <t>Region VIII (Eastern Visayas)</t>
        </is>
      </c>
      <c r="E430" s="42" t="inlineStr">
        <is>
          <t>Leyte</t>
        </is>
      </c>
      <c r="F430" s="42" t="inlineStr">
        <is>
          <t>Alangalang</t>
        </is>
      </c>
      <c r="G430" s="42" t="inlineStr">
        <is>
          <t>Binongto-an</t>
        </is>
      </c>
      <c r="H430" s="43" t="n">
        <v>11.216047</v>
      </c>
      <c r="I430" s="43" t="n">
        <v>124.840249</v>
      </c>
      <c r="J430" s="44" t="inlineStr">
        <is>
          <t>R</t>
        </is>
      </c>
      <c r="K430" s="42" t="inlineStr">
        <is>
          <t>Class 1-3 / Urban</t>
        </is>
      </c>
      <c r="L430" s="23" t="n">
        <v>2460</v>
      </c>
      <c r="M430" s="24" t="n">
        <v>4.24</v>
      </c>
      <c r="N430" s="23">
        <f>ROUND(L430/M430, 0)</f>
        <v/>
      </c>
      <c r="O430" s="23">
        <f>ROUND(N430*'Methodology &amp; Assumptions'!$B$8, 0)</f>
        <v/>
      </c>
      <c r="P430" s="44" t="inlineStr">
        <is>
          <t>Band n50 (1.5 GHz, 60 MHz)</t>
        </is>
      </c>
      <c r="Q430" s="38">
        <f>ROUNDUP(O430/'Methodology &amp; Assumptions'!$B$9, 0)</f>
        <v/>
      </c>
      <c r="R430" s="39" t="n">
        <v>1</v>
      </c>
      <c r="S430" s="25" t="n">
        <v>0.78</v>
      </c>
      <c r="T430" s="25" t="n">
        <v>0.76</v>
      </c>
      <c r="U430" s="42" t="inlineStr">
        <is>
          <t>Tier 1A (Direct Coloc, &lt;1 km)</t>
        </is>
      </c>
      <c r="V430" s="24" t="n">
        <v>87</v>
      </c>
      <c r="W430" s="24" t="n">
        <v>70.40000000000001</v>
      </c>
      <c r="X430" s="24" t="n">
        <v>58</v>
      </c>
      <c r="Y430" s="45">
        <f>ROUND((V430*'Methodology &amp; Assumptions'!$B$6)+(W430*'Methodology &amp; Assumptions'!$B$5)+(X430*'Methodology &amp; Assumptions'!$B$7), 2)</f>
        <v/>
      </c>
    </row>
    <row r="431" ht="19" customHeight="1">
      <c r="A431" s="35" t="n">
        <v>427</v>
      </c>
      <c r="B431" s="35" t="n">
        <v>1427</v>
      </c>
      <c r="C431" s="36" t="inlineStr">
        <is>
          <t>1030500049</t>
        </is>
      </c>
      <c r="D431" s="36" t="inlineStr">
        <is>
          <t>Region X (Northern Mindanao)</t>
        </is>
      </c>
      <c r="E431" s="36" t="inlineStr">
        <is>
          <t>Misamis Oriental</t>
        </is>
      </c>
      <c r="F431" s="36" t="inlineStr">
        <is>
          <t>City of Cagayan De Oro</t>
        </is>
      </c>
      <c r="G431" s="36" t="inlineStr">
        <is>
          <t>Gusa</t>
        </is>
      </c>
      <c r="H431" s="37" t="n">
        <v>8.475477</v>
      </c>
      <c r="I431" s="37" t="n">
        <v>124.682526</v>
      </c>
      <c r="J431" s="8" t="inlineStr">
        <is>
          <t>U</t>
        </is>
      </c>
      <c r="K431" s="36" t="inlineStr">
        <is>
          <t>Class 1-3 / Urban</t>
        </is>
      </c>
      <c r="L431" s="18" t="n">
        <v>28974</v>
      </c>
      <c r="M431" s="20" t="n">
        <v>4.54</v>
      </c>
      <c r="N431" s="18">
        <f>ROUND(L431/M431, 0)</f>
        <v/>
      </c>
      <c r="O431" s="18">
        <f>ROUND(N431*'Methodology &amp; Assumptions'!$B$8, 0)</f>
        <v/>
      </c>
      <c r="P431" s="8" t="inlineStr">
        <is>
          <t>Band n50 (1.5 GHz, 60 MHz)</t>
        </is>
      </c>
      <c r="Q431" s="38">
        <f>ROUNDUP(O431/'Methodology &amp; Assumptions'!$B$9, 0)</f>
        <v/>
      </c>
      <c r="R431" s="39" t="n">
        <v>1</v>
      </c>
      <c r="S431" s="21" t="n">
        <v>0.9399999999999999</v>
      </c>
      <c r="T431" s="21" t="n">
        <v>0.19</v>
      </c>
      <c r="U431" s="36" t="inlineStr">
        <is>
          <t>Tier 1A (Direct Coloc, &lt;1 km)</t>
        </is>
      </c>
      <c r="V431" s="20" t="n">
        <v>83.09999999999999</v>
      </c>
      <c r="W431" s="20" t="n">
        <v>100</v>
      </c>
      <c r="X431" s="20" t="n">
        <v>28</v>
      </c>
      <c r="Y431" s="40">
        <f>ROUND((V431*'Methodology &amp; Assumptions'!$B$6)+(W431*'Methodology &amp; Assumptions'!$B$5)+(X431*'Methodology &amp; Assumptions'!$B$7), 2)</f>
        <v/>
      </c>
    </row>
    <row r="432" ht="19" customHeight="1">
      <c r="A432" s="41" t="n">
        <v>428</v>
      </c>
      <c r="B432" s="41" t="n">
        <v>1428</v>
      </c>
      <c r="C432" s="42" t="inlineStr">
        <is>
          <t>0501605013</t>
        </is>
      </c>
      <c r="D432" s="42" t="inlineStr">
        <is>
          <t>Region V (Bicol Region)</t>
        </is>
      </c>
      <c r="E432" s="42" t="inlineStr">
        <is>
          <t>Camarines Norte</t>
        </is>
      </c>
      <c r="F432" s="42" t="inlineStr">
        <is>
          <t>Jose Panganiban</t>
        </is>
      </c>
      <c r="G432" s="42" t="inlineStr">
        <is>
          <t>Plaridel</t>
        </is>
      </c>
      <c r="H432" s="43" t="n">
        <v>14.283932</v>
      </c>
      <c r="I432" s="43" t="n">
        <v>122.695682</v>
      </c>
      <c r="J432" s="44" t="inlineStr">
        <is>
          <t>R</t>
        </is>
      </c>
      <c r="K432" s="42" t="inlineStr">
        <is>
          <t>Class 1-3 / Urban</t>
        </is>
      </c>
      <c r="L432" s="23" t="n">
        <v>2450</v>
      </c>
      <c r="M432" s="24" t="n">
        <v>4.4</v>
      </c>
      <c r="N432" s="23">
        <f>ROUND(L432/M432, 0)</f>
        <v/>
      </c>
      <c r="O432" s="23">
        <f>ROUND(N432*'Methodology &amp; Assumptions'!$B$8, 0)</f>
        <v/>
      </c>
      <c r="P432" s="44" t="inlineStr">
        <is>
          <t>Band n50 (1.5 GHz, 60 MHz)</t>
        </is>
      </c>
      <c r="Q432" s="38">
        <f>ROUNDUP(O432/'Methodology &amp; Assumptions'!$B$9, 0)</f>
        <v/>
      </c>
      <c r="R432" s="39" t="n">
        <v>1</v>
      </c>
      <c r="S432" s="25" t="n">
        <v>0.35</v>
      </c>
      <c r="T432" s="25" t="n">
        <v>10.08</v>
      </c>
      <c r="U432" s="42" t="inlineStr">
        <is>
          <t>Tier 1A (Direct Coloc, &lt;1 km)</t>
        </is>
      </c>
      <c r="V432" s="24" t="n">
        <v>88.90000000000001</v>
      </c>
      <c r="W432" s="24" t="n">
        <v>68.5</v>
      </c>
      <c r="X432" s="24" t="n">
        <v>58</v>
      </c>
      <c r="Y432" s="45">
        <f>ROUND((V432*'Methodology &amp; Assumptions'!$B$6)+(W432*'Methodology &amp; Assumptions'!$B$5)+(X432*'Methodology &amp; Assumptions'!$B$7), 2)</f>
        <v/>
      </c>
    </row>
    <row r="433" ht="19" customHeight="1">
      <c r="A433" s="35" t="n">
        <v>429</v>
      </c>
      <c r="B433" s="35" t="n">
        <v>1429</v>
      </c>
      <c r="C433" s="36" t="inlineStr">
        <is>
          <t>0803715031</t>
        </is>
      </c>
      <c r="D433" s="36" t="inlineStr">
        <is>
          <t>Region VIII (Eastern Visayas)</t>
        </is>
      </c>
      <c r="E433" s="36" t="inlineStr">
        <is>
          <t>Leyte</t>
        </is>
      </c>
      <c r="F433" s="36" t="inlineStr">
        <is>
          <t>Carigara</t>
        </is>
      </c>
      <c r="G433" s="36" t="inlineStr">
        <is>
          <t>Ponong</t>
        </is>
      </c>
      <c r="H433" s="37" t="n">
        <v>11.297539</v>
      </c>
      <c r="I433" s="37" t="n">
        <v>124.682757</v>
      </c>
      <c r="J433" s="8" t="inlineStr">
        <is>
          <t>R</t>
        </is>
      </c>
      <c r="K433" s="36" t="inlineStr">
        <is>
          <t>Class 1-3 / Urban</t>
        </is>
      </c>
      <c r="L433" s="18" t="n">
        <v>2431</v>
      </c>
      <c r="M433" s="20" t="n">
        <v>4.24</v>
      </c>
      <c r="N433" s="18">
        <f>ROUND(L433/M433, 0)</f>
        <v/>
      </c>
      <c r="O433" s="18">
        <f>ROUND(N433*'Methodology &amp; Assumptions'!$B$8, 0)</f>
        <v/>
      </c>
      <c r="P433" s="8" t="inlineStr">
        <is>
          <t>Band n50 (1.5 GHz, 60 MHz)</t>
        </is>
      </c>
      <c r="Q433" s="38">
        <f>ROUNDUP(O433/'Methodology &amp; Assumptions'!$B$9, 0)</f>
        <v/>
      </c>
      <c r="R433" s="39" t="n">
        <v>1</v>
      </c>
      <c r="S433" s="21" t="n">
        <v>0.76</v>
      </c>
      <c r="T433" s="21" t="n">
        <v>0.02</v>
      </c>
      <c r="U433" s="36" t="inlineStr">
        <is>
          <t>Tier 1A (Direct Coloc, &lt;1 km)</t>
        </is>
      </c>
      <c r="V433" s="20" t="n">
        <v>87.5</v>
      </c>
      <c r="W433" s="20" t="n">
        <v>69.90000000000001</v>
      </c>
      <c r="X433" s="20" t="n">
        <v>58</v>
      </c>
      <c r="Y433" s="40">
        <f>ROUND((V433*'Methodology &amp; Assumptions'!$B$6)+(W433*'Methodology &amp; Assumptions'!$B$5)+(X433*'Methodology &amp; Assumptions'!$B$7), 2)</f>
        <v/>
      </c>
    </row>
    <row r="434" ht="19" customHeight="1">
      <c r="A434" s="41" t="n">
        <v>430</v>
      </c>
      <c r="B434" s="41" t="n">
        <v>1430</v>
      </c>
      <c r="C434" s="42" t="inlineStr">
        <is>
          <t>0501612015</t>
        </is>
      </c>
      <c r="D434" s="42" t="inlineStr">
        <is>
          <t>Region V (Bicol Region)</t>
        </is>
      </c>
      <c r="E434" s="42" t="inlineStr">
        <is>
          <t>Camarines Norte</t>
        </is>
      </c>
      <c r="F434" s="42" t="inlineStr">
        <is>
          <t>Vinzons</t>
        </is>
      </c>
      <c r="G434" s="42" t="inlineStr">
        <is>
          <t>Barangay II</t>
        </is>
      </c>
      <c r="H434" s="43" t="n">
        <v>14.174188</v>
      </c>
      <c r="I434" s="43" t="n">
        <v>122.907599</v>
      </c>
      <c r="J434" s="44" t="inlineStr">
        <is>
          <t>R</t>
        </is>
      </c>
      <c r="K434" s="42" t="inlineStr">
        <is>
          <t>Class 1-3 / Urban</t>
        </is>
      </c>
      <c r="L434" s="23" t="n">
        <v>1865</v>
      </c>
      <c r="M434" s="24" t="n">
        <v>4.4</v>
      </c>
      <c r="N434" s="23">
        <f>ROUND(L434/M434, 0)</f>
        <v/>
      </c>
      <c r="O434" s="23">
        <f>ROUND(N434*'Methodology &amp; Assumptions'!$B$8, 0)</f>
        <v/>
      </c>
      <c r="P434" s="44" t="inlineStr">
        <is>
          <t>Band n50 (1.5 GHz, 60 MHz)</t>
        </is>
      </c>
      <c r="Q434" s="38">
        <f>ROUNDUP(O434/'Methodology &amp; Assumptions'!$B$9, 0)</f>
        <v/>
      </c>
      <c r="R434" s="39" t="n">
        <v>1</v>
      </c>
      <c r="S434" s="25" t="n">
        <v>0.01</v>
      </c>
      <c r="T434" s="25" t="n">
        <v>3.43</v>
      </c>
      <c r="U434" s="42" t="inlineStr">
        <is>
          <t>Tier 1A (Direct Coloc, &lt;1 km)</t>
        </is>
      </c>
      <c r="V434" s="24" t="n">
        <v>99.5</v>
      </c>
      <c r="W434" s="24" t="n">
        <v>57.9</v>
      </c>
      <c r="X434" s="24" t="n">
        <v>58</v>
      </c>
      <c r="Y434" s="45">
        <f>ROUND((V434*'Methodology &amp; Assumptions'!$B$6)+(W434*'Methodology &amp; Assumptions'!$B$5)+(X434*'Methodology &amp; Assumptions'!$B$7), 2)</f>
        <v/>
      </c>
    </row>
    <row r="435" ht="19" customHeight="1">
      <c r="A435" s="35" t="n">
        <v>431</v>
      </c>
      <c r="B435" s="35" t="n">
        <v>1431</v>
      </c>
      <c r="C435" s="36" t="inlineStr">
        <is>
          <t>0501702010</t>
        </is>
      </c>
      <c r="D435" s="36" t="inlineStr">
        <is>
          <t>Region V (Bicol Region)</t>
        </is>
      </c>
      <c r="E435" s="36" t="inlineStr">
        <is>
          <t>Camarines Sur</t>
        </is>
      </c>
      <c r="F435" s="36" t="inlineStr">
        <is>
          <t>Balatan</t>
        </is>
      </c>
      <c r="G435" s="36" t="inlineStr">
        <is>
          <t>Luluasan</t>
        </is>
      </c>
      <c r="H435" s="37" t="n">
        <v>13.32303</v>
      </c>
      <c r="I435" s="37" t="n">
        <v>123.231561</v>
      </c>
      <c r="J435" s="8" t="inlineStr">
        <is>
          <t>R</t>
        </is>
      </c>
      <c r="K435" s="36" t="inlineStr">
        <is>
          <t>3rd</t>
        </is>
      </c>
      <c r="L435" s="18" t="n">
        <v>3923</v>
      </c>
      <c r="M435" s="20" t="n">
        <v>5.25</v>
      </c>
      <c r="N435" s="18">
        <f>ROUND(L435/M435, 0)</f>
        <v/>
      </c>
      <c r="O435" s="18">
        <f>ROUND(N435*'Methodology &amp; Assumptions'!$B$8, 0)</f>
        <v/>
      </c>
      <c r="P435" s="8" t="inlineStr">
        <is>
          <t>Band n50 (1.5 GHz, 60 MHz)</t>
        </is>
      </c>
      <c r="Q435" s="38">
        <f>ROUNDUP(O435/'Methodology &amp; Assumptions'!$B$9, 0)</f>
        <v/>
      </c>
      <c r="R435" s="39" t="n">
        <v>1</v>
      </c>
      <c r="S435" s="21" t="n">
        <v>0.92</v>
      </c>
      <c r="T435" s="21" t="n">
        <v>14.86</v>
      </c>
      <c r="U435" s="36" t="inlineStr">
        <is>
          <t>Tier 1A (Direct Coloc, &lt;1 km)</t>
        </is>
      </c>
      <c r="V435" s="20" t="n">
        <v>73.59999999999999</v>
      </c>
      <c r="W435" s="20" t="n">
        <v>83.7</v>
      </c>
      <c r="X435" s="20" t="n">
        <v>58</v>
      </c>
      <c r="Y435" s="40">
        <f>ROUND((V435*'Methodology &amp; Assumptions'!$B$6)+(W435*'Methodology &amp; Assumptions'!$B$5)+(X435*'Methodology &amp; Assumptions'!$B$7), 2)</f>
        <v/>
      </c>
    </row>
    <row r="436" ht="19" customHeight="1">
      <c r="A436" s="41" t="n">
        <v>432</v>
      </c>
      <c r="B436" s="41" t="n">
        <v>1432</v>
      </c>
      <c r="C436" s="42" t="inlineStr">
        <is>
          <t>0405607060</t>
        </is>
      </c>
      <c r="D436" s="42" t="inlineStr">
        <is>
          <t>Region IV-A (CALABARZON)</t>
        </is>
      </c>
      <c r="E436" s="42" t="inlineStr">
        <is>
          <t>Quezon</t>
        </is>
      </c>
      <c r="F436" s="42" t="inlineStr">
        <is>
          <t>Calauag</t>
        </is>
      </c>
      <c r="G436" s="42" t="inlineStr">
        <is>
          <t>Pinagkamaligan</t>
        </is>
      </c>
      <c r="H436" s="43" t="n">
        <v>13.954525</v>
      </c>
      <c r="I436" s="43" t="n">
        <v>122.284351</v>
      </c>
      <c r="J436" s="44" t="inlineStr">
        <is>
          <t>R</t>
        </is>
      </c>
      <c r="K436" s="42" t="inlineStr">
        <is>
          <t>Class 1-3 / Urban</t>
        </is>
      </c>
      <c r="L436" s="23" t="n">
        <v>2065</v>
      </c>
      <c r="M436" s="24" t="n">
        <v>4.46</v>
      </c>
      <c r="N436" s="23">
        <f>ROUND(L436/M436, 0)</f>
        <v/>
      </c>
      <c r="O436" s="23">
        <f>ROUND(N436*'Methodology &amp; Assumptions'!$B$8, 0)</f>
        <v/>
      </c>
      <c r="P436" s="44" t="inlineStr">
        <is>
          <t>Band n50 (1.5 GHz, 60 MHz)</t>
        </is>
      </c>
      <c r="Q436" s="38">
        <f>ROUNDUP(O436/'Methodology &amp; Assumptions'!$B$9, 0)</f>
        <v/>
      </c>
      <c r="R436" s="39" t="n">
        <v>1</v>
      </c>
      <c r="S436" s="25" t="n">
        <v>0.44</v>
      </c>
      <c r="T436" s="25" t="n">
        <v>0.07000000000000001</v>
      </c>
      <c r="U436" s="42" t="inlineStr">
        <is>
          <t>Tier 1A (Direct Coloc, &lt;1 km)</t>
        </is>
      </c>
      <c r="V436" s="24" t="n">
        <v>96.3</v>
      </c>
      <c r="W436" s="24" t="n">
        <v>61.1</v>
      </c>
      <c r="X436" s="24" t="n">
        <v>58</v>
      </c>
      <c r="Y436" s="45">
        <f>ROUND((V436*'Methodology &amp; Assumptions'!$B$6)+(W436*'Methodology &amp; Assumptions'!$B$5)+(X436*'Methodology &amp; Assumptions'!$B$7), 2)</f>
        <v/>
      </c>
    </row>
    <row r="437" ht="19" customHeight="1">
      <c r="A437" s="35" t="n">
        <v>433</v>
      </c>
      <c r="B437" s="35" t="n">
        <v>1433</v>
      </c>
      <c r="C437" s="36" t="inlineStr">
        <is>
          <t>0731300015</t>
        </is>
      </c>
      <c r="D437" s="36" t="inlineStr">
        <is>
          <t>Region VII (Central Visayas)</t>
        </is>
      </c>
      <c r="E437" s="36" t="inlineStr">
        <is>
          <t>Cebu</t>
        </is>
      </c>
      <c r="F437" s="36" t="inlineStr">
        <is>
          <t>City of Mandaue</t>
        </is>
      </c>
      <c r="G437" s="36" t="inlineStr">
        <is>
          <t>Labogon</t>
        </is>
      </c>
      <c r="H437" s="37" t="n">
        <v>10.3506</v>
      </c>
      <c r="I437" s="37" t="n">
        <v>123.957875</v>
      </c>
      <c r="J437" s="8" t="inlineStr">
        <is>
          <t>U</t>
        </is>
      </c>
      <c r="K437" s="36" t="inlineStr">
        <is>
          <t>Class 1-3 / Urban</t>
        </is>
      </c>
      <c r="L437" s="18" t="n">
        <v>20466</v>
      </c>
      <c r="M437" s="20" t="n">
        <v>4.42</v>
      </c>
      <c r="N437" s="18">
        <f>ROUND(L437/M437, 0)</f>
        <v/>
      </c>
      <c r="O437" s="18">
        <f>ROUND(N437*'Methodology &amp; Assumptions'!$B$8, 0)</f>
        <v/>
      </c>
      <c r="P437" s="8" t="inlineStr">
        <is>
          <t>Band n50 (1.5 GHz, 60 MHz)</t>
        </is>
      </c>
      <c r="Q437" s="38">
        <f>ROUNDUP(O437/'Methodology &amp; Assumptions'!$B$9, 0)</f>
        <v/>
      </c>
      <c r="R437" s="39" t="n">
        <v>1</v>
      </c>
      <c r="S437" s="21" t="n">
        <v>0.9399999999999999</v>
      </c>
      <c r="T437" s="21" t="n">
        <v>0.97</v>
      </c>
      <c r="U437" s="36" t="inlineStr">
        <is>
          <t>Tier 1A (Direct Coloc, &lt;1 km)</t>
        </is>
      </c>
      <c r="V437" s="20" t="n">
        <v>83.09999999999999</v>
      </c>
      <c r="W437" s="20" t="n">
        <v>100</v>
      </c>
      <c r="X437" s="20" t="n">
        <v>28</v>
      </c>
      <c r="Y437" s="40">
        <f>ROUND((V437*'Methodology &amp; Assumptions'!$B$6)+(W437*'Methodology &amp; Assumptions'!$B$5)+(X437*'Methodology &amp; Assumptions'!$B$7), 2)</f>
        <v/>
      </c>
    </row>
    <row r="438" ht="19" customHeight="1">
      <c r="A438" s="41" t="n">
        <v>434</v>
      </c>
      <c r="B438" s="41" t="n">
        <v>1434</v>
      </c>
      <c r="C438" s="42" t="inlineStr">
        <is>
          <t>0331400019</t>
        </is>
      </c>
      <c r="D438" s="42" t="inlineStr">
        <is>
          <t>Region III (Central Luzon)</t>
        </is>
      </c>
      <c r="E438" s="42" t="inlineStr">
        <is>
          <t>Zambales</t>
        </is>
      </c>
      <c r="F438" s="42" t="inlineStr">
        <is>
          <t>City of Olongapo</t>
        </is>
      </c>
      <c r="G438" s="42" t="inlineStr">
        <is>
          <t>West Bajac-bajac</t>
        </is>
      </c>
      <c r="H438" s="43" t="n">
        <v>14.841873</v>
      </c>
      <c r="I438" s="43" t="n">
        <v>120.283101</v>
      </c>
      <c r="J438" s="44" t="inlineStr">
        <is>
          <t>U</t>
        </is>
      </c>
      <c r="K438" s="42" t="inlineStr">
        <is>
          <t>Class 1-3 / Urban</t>
        </is>
      </c>
      <c r="L438" s="23" t="n">
        <v>8433</v>
      </c>
      <c r="M438" s="24" t="n">
        <v>4.05</v>
      </c>
      <c r="N438" s="23">
        <f>ROUND(L438/M438, 0)</f>
        <v/>
      </c>
      <c r="O438" s="23">
        <f>ROUND(N438*'Methodology &amp; Assumptions'!$B$8, 0)</f>
        <v/>
      </c>
      <c r="P438" s="44" t="inlineStr">
        <is>
          <t>Band n50 (1.5 GHz, 60 MHz)</t>
        </is>
      </c>
      <c r="Q438" s="38">
        <f>ROUNDUP(O438/'Methodology &amp; Assumptions'!$B$9, 0)</f>
        <v/>
      </c>
      <c r="R438" s="39" t="n">
        <v>1</v>
      </c>
      <c r="S438" s="25" t="n">
        <v>0.9399999999999999</v>
      </c>
      <c r="T438" s="25" t="n">
        <v>0.35</v>
      </c>
      <c r="U438" s="42" t="inlineStr">
        <is>
          <t>Tier 1A (Direct Coloc, &lt;1 km)</t>
        </is>
      </c>
      <c r="V438" s="24" t="n">
        <v>83.09999999999999</v>
      </c>
      <c r="W438" s="24" t="n">
        <v>100</v>
      </c>
      <c r="X438" s="24" t="n">
        <v>28</v>
      </c>
      <c r="Y438" s="45">
        <f>ROUND((V438*'Methodology &amp; Assumptions'!$B$6)+(W438*'Methodology &amp; Assumptions'!$B$5)+(X438*'Methodology &amp; Assumptions'!$B$7), 2)</f>
        <v/>
      </c>
    </row>
    <row r="439" ht="19" customHeight="1">
      <c r="A439" s="35" t="n">
        <v>435</v>
      </c>
      <c r="B439" s="35" t="n">
        <v>1435</v>
      </c>
      <c r="C439" s="36" t="inlineStr">
        <is>
          <t>0402120034</t>
        </is>
      </c>
      <c r="D439" s="36" t="inlineStr">
        <is>
          <t>Region IV-A (CALABARZON)</t>
        </is>
      </c>
      <c r="E439" s="36" t="inlineStr">
        <is>
          <t>Cavite</t>
        </is>
      </c>
      <c r="F439" s="36" t="inlineStr">
        <is>
          <t>Tanza</t>
        </is>
      </c>
      <c r="G439" s="36" t="inlineStr">
        <is>
          <t>Daang Amaya II</t>
        </is>
      </c>
      <c r="H439" s="37" t="n">
        <v>14.396073</v>
      </c>
      <c r="I439" s="37" t="n">
        <v>120.853592</v>
      </c>
      <c r="J439" s="8" t="inlineStr">
        <is>
          <t>U</t>
        </is>
      </c>
      <c r="K439" s="36" t="inlineStr">
        <is>
          <t>Class 1-3 / Urban</t>
        </is>
      </c>
      <c r="L439" s="18" t="n">
        <v>6866</v>
      </c>
      <c r="M439" s="20" t="n">
        <v>4.49</v>
      </c>
      <c r="N439" s="18">
        <f>ROUND(L439/M439, 0)</f>
        <v/>
      </c>
      <c r="O439" s="18">
        <f>ROUND(N439*'Methodology &amp; Assumptions'!$B$8, 0)</f>
        <v/>
      </c>
      <c r="P439" s="8" t="inlineStr">
        <is>
          <t>Band n50 (1.5 GHz, 60 MHz)</t>
        </is>
      </c>
      <c r="Q439" s="38">
        <f>ROUNDUP(O439/'Methodology &amp; Assumptions'!$B$9, 0)</f>
        <v/>
      </c>
      <c r="R439" s="39" t="n">
        <v>1</v>
      </c>
      <c r="S439" s="21" t="n">
        <v>0.9399999999999999</v>
      </c>
      <c r="T439" s="21" t="n">
        <v>0.34</v>
      </c>
      <c r="U439" s="36" t="inlineStr">
        <is>
          <t>Tier 1A (Direct Coloc, &lt;1 km)</t>
        </is>
      </c>
      <c r="V439" s="20" t="n">
        <v>83.09999999999999</v>
      </c>
      <c r="W439" s="20" t="n">
        <v>100</v>
      </c>
      <c r="X439" s="20" t="n">
        <v>28</v>
      </c>
      <c r="Y439" s="40">
        <f>ROUND((V439*'Methodology &amp; Assumptions'!$B$6)+(W439*'Methodology &amp; Assumptions'!$B$5)+(X439*'Methodology &amp; Assumptions'!$B$7), 2)</f>
        <v/>
      </c>
    </row>
    <row r="440" ht="19" customHeight="1">
      <c r="A440" s="41" t="n">
        <v>436</v>
      </c>
      <c r="B440" s="41" t="n">
        <v>1436</v>
      </c>
      <c r="C440" s="42" t="inlineStr">
        <is>
          <t>0405601003</t>
        </is>
      </c>
      <c r="D440" s="42" t="inlineStr">
        <is>
          <t>Region IV-A (CALABARZON)</t>
        </is>
      </c>
      <c r="E440" s="42" t="inlineStr">
        <is>
          <t>Quezon</t>
        </is>
      </c>
      <c r="F440" s="42" t="inlineStr">
        <is>
          <t>Agdangan</t>
        </is>
      </c>
      <c r="G440" s="42" t="inlineStr">
        <is>
          <t>Ibabang Kinagunan</t>
        </is>
      </c>
      <c r="H440" s="43" t="n">
        <v>13.8735</v>
      </c>
      <c r="I440" s="43" t="n">
        <v>121.909792</v>
      </c>
      <c r="J440" s="44" t="inlineStr">
        <is>
          <t>R</t>
        </is>
      </c>
      <c r="K440" s="42" t="inlineStr">
        <is>
          <t>5th</t>
        </is>
      </c>
      <c r="L440" s="23" t="n">
        <v>1565</v>
      </c>
      <c r="M440" s="24" t="n">
        <v>4.05</v>
      </c>
      <c r="N440" s="23">
        <f>ROUND(L440/M440, 0)</f>
        <v/>
      </c>
      <c r="O440" s="23">
        <f>ROUND(N440*'Methodology &amp; Assumptions'!$B$8, 0)</f>
        <v/>
      </c>
      <c r="P440" s="44" t="inlineStr">
        <is>
          <t>Band n50 (1.5 GHz, 60 MHz)</t>
        </is>
      </c>
      <c r="Q440" s="38">
        <f>ROUNDUP(O440/'Methodology &amp; Assumptions'!$B$9, 0)</f>
        <v/>
      </c>
      <c r="R440" s="39" t="n">
        <v>1</v>
      </c>
      <c r="S440" s="25" t="n">
        <v>0.6899999999999999</v>
      </c>
      <c r="T440" s="25" t="n">
        <v>0.25</v>
      </c>
      <c r="U440" s="42" t="inlineStr">
        <is>
          <t>Tier 1A (Direct Coloc, &lt;1 km)</t>
        </is>
      </c>
      <c r="V440" s="24" t="n">
        <v>89.5</v>
      </c>
      <c r="W440" s="24" t="n">
        <v>54.9</v>
      </c>
      <c r="X440" s="24" t="n">
        <v>73</v>
      </c>
      <c r="Y440" s="45">
        <f>ROUND((V440*'Methodology &amp; Assumptions'!$B$6)+(W440*'Methodology &amp; Assumptions'!$B$5)+(X440*'Methodology &amp; Assumptions'!$B$7), 2)</f>
        <v/>
      </c>
    </row>
    <row r="441" ht="19" customHeight="1">
      <c r="A441" s="35" t="n">
        <v>437</v>
      </c>
      <c r="B441" s="35" t="n">
        <v>1437</v>
      </c>
      <c r="C441" s="36" t="inlineStr">
        <is>
          <t>0405615016</t>
        </is>
      </c>
      <c r="D441" s="36" t="inlineStr">
        <is>
          <t>Region IV-A (CALABARZON)</t>
        </is>
      </c>
      <c r="E441" s="36" t="inlineStr">
        <is>
          <t>Quezon</t>
        </is>
      </c>
      <c r="F441" s="36" t="inlineStr">
        <is>
          <t>Dolores</t>
        </is>
      </c>
      <c r="G441" s="36" t="inlineStr">
        <is>
          <t>Bulakin II</t>
        </is>
      </c>
      <c r="H441" s="37" t="n">
        <v>14.013569</v>
      </c>
      <c r="I441" s="37" t="n">
        <v>121.393064</v>
      </c>
      <c r="J441" s="8" t="inlineStr">
        <is>
          <t>R</t>
        </is>
      </c>
      <c r="K441" s="36" t="inlineStr">
        <is>
          <t>3rd</t>
        </is>
      </c>
      <c r="L441" s="18" t="n">
        <v>2499</v>
      </c>
      <c r="M441" s="20" t="n">
        <v>4.43</v>
      </c>
      <c r="N441" s="18">
        <f>ROUND(L441/M441, 0)</f>
        <v/>
      </c>
      <c r="O441" s="18">
        <f>ROUND(N441*'Methodology &amp; Assumptions'!$B$8, 0)</f>
        <v/>
      </c>
      <c r="P441" s="8" t="inlineStr">
        <is>
          <t>Band n50 (1.5 GHz, 60 MHz)</t>
        </is>
      </c>
      <c r="Q441" s="38">
        <f>ROUNDUP(O441/'Methodology &amp; Assumptions'!$B$9, 0)</f>
        <v/>
      </c>
      <c r="R441" s="39" t="n">
        <v>1</v>
      </c>
      <c r="S441" s="21" t="n">
        <v>0.37</v>
      </c>
      <c r="T441" s="21" t="n">
        <v>5.62</v>
      </c>
      <c r="U441" s="36" t="inlineStr">
        <is>
          <t>Tier 1A (Direct Coloc, &lt;1 km)</t>
        </is>
      </c>
      <c r="V441" s="20" t="n">
        <v>88.3</v>
      </c>
      <c r="W441" s="20" t="n">
        <v>69.09999999999999</v>
      </c>
      <c r="X441" s="20" t="n">
        <v>58</v>
      </c>
      <c r="Y441" s="40">
        <f>ROUND((V441*'Methodology &amp; Assumptions'!$B$6)+(W441*'Methodology &amp; Assumptions'!$B$5)+(X441*'Methodology &amp; Assumptions'!$B$7), 2)</f>
        <v/>
      </c>
    </row>
    <row r="442" ht="19" customHeight="1">
      <c r="A442" s="41" t="n">
        <v>438</v>
      </c>
      <c r="B442" s="41" t="n">
        <v>1438</v>
      </c>
      <c r="C442" s="42" t="inlineStr">
        <is>
          <t>0304927002</t>
        </is>
      </c>
      <c r="D442" s="42" t="inlineStr">
        <is>
          <t>Region III (Central Luzon)</t>
        </is>
      </c>
      <c r="E442" s="42" t="inlineStr">
        <is>
          <t>Nueva Ecija</t>
        </is>
      </c>
      <c r="F442" s="42" t="inlineStr">
        <is>
          <t>San Leonardo</t>
        </is>
      </c>
      <c r="G442" s="42" t="inlineStr">
        <is>
          <t>Bonifacio District</t>
        </is>
      </c>
      <c r="H442" s="43" t="n">
        <v>15.381105</v>
      </c>
      <c r="I442" s="43" t="n">
        <v>120.950344</v>
      </c>
      <c r="J442" s="44" t="inlineStr">
        <is>
          <t>R</t>
        </is>
      </c>
      <c r="K442" s="42" t="inlineStr">
        <is>
          <t>Class 1-3 / Urban</t>
        </is>
      </c>
      <c r="L442" s="23" t="n">
        <v>3294</v>
      </c>
      <c r="M442" s="24" t="n">
        <v>4.32</v>
      </c>
      <c r="N442" s="23">
        <f>ROUND(L442/M442, 0)</f>
        <v/>
      </c>
      <c r="O442" s="23">
        <f>ROUND(N442*'Methodology &amp; Assumptions'!$B$8, 0)</f>
        <v/>
      </c>
      <c r="P442" s="44" t="inlineStr">
        <is>
          <t>Band n50 (1.5 GHz, 60 MHz)</t>
        </is>
      </c>
      <c r="Q442" s="38">
        <f>ROUNDUP(O442/'Methodology &amp; Assumptions'!$B$9, 0)</f>
        <v/>
      </c>
      <c r="R442" s="39" t="n">
        <v>1</v>
      </c>
      <c r="S442" s="25" t="n">
        <v>2.12</v>
      </c>
      <c r="T442" s="25" t="n">
        <v>1.02</v>
      </c>
      <c r="U442" s="42" t="inlineStr">
        <is>
          <t>Tier 1B (Micro Drop, 1-3 km)</t>
        </is>
      </c>
      <c r="V442" s="24" t="n">
        <v>59.4</v>
      </c>
      <c r="W442" s="24" t="n">
        <v>85.09999999999999</v>
      </c>
      <c r="X442" s="24" t="n">
        <v>73</v>
      </c>
      <c r="Y442" s="45">
        <f>ROUND((V442*'Methodology &amp; Assumptions'!$B$6)+(W442*'Methodology &amp; Assumptions'!$B$5)+(X442*'Methodology &amp; Assumptions'!$B$7), 2)</f>
        <v/>
      </c>
    </row>
    <row r="443" ht="19" customHeight="1">
      <c r="A443" s="35" t="n">
        <v>439</v>
      </c>
      <c r="B443" s="35" t="n">
        <v>1439</v>
      </c>
      <c r="C443" s="36" t="inlineStr">
        <is>
          <t>0603044004</t>
        </is>
      </c>
      <c r="D443" s="36" t="inlineStr">
        <is>
          <t>Region VI (Western Visayas)</t>
        </is>
      </c>
      <c r="E443" s="36" t="inlineStr">
        <is>
          <t>Iloilo</t>
        </is>
      </c>
      <c r="F443" s="36" t="inlineStr">
        <is>
          <t>Sara</t>
        </is>
      </c>
      <c r="G443" s="36" t="inlineStr">
        <is>
          <t>Anoring</t>
        </is>
      </c>
      <c r="H443" s="37" t="n">
        <v>11.260729</v>
      </c>
      <c r="I443" s="37" t="n">
        <v>123.021917</v>
      </c>
      <c r="J443" s="8" t="inlineStr">
        <is>
          <t>R</t>
        </is>
      </c>
      <c r="K443" s="36" t="inlineStr">
        <is>
          <t>Class 1-3 / Urban</t>
        </is>
      </c>
      <c r="L443" s="18" t="n">
        <v>2571</v>
      </c>
      <c r="M443" s="20" t="n">
        <v>4.39</v>
      </c>
      <c r="N443" s="18">
        <f>ROUND(L443/M443, 0)</f>
        <v/>
      </c>
      <c r="O443" s="18">
        <f>ROUND(N443*'Methodology &amp; Assumptions'!$B$8, 0)</f>
        <v/>
      </c>
      <c r="P443" s="8" t="inlineStr">
        <is>
          <t>Band n50 (1.5 GHz, 60 MHz)</t>
        </is>
      </c>
      <c r="Q443" s="38">
        <f>ROUNDUP(O443/'Methodology &amp; Assumptions'!$B$9, 0)</f>
        <v/>
      </c>
      <c r="R443" s="39" t="n">
        <v>1</v>
      </c>
      <c r="S443" s="21" t="n">
        <v>0.8100000000000001</v>
      </c>
      <c r="T443" s="21" t="n">
        <v>0.11</v>
      </c>
      <c r="U443" s="36" t="inlineStr">
        <is>
          <t>Tier 1A (Direct Coloc, &lt;1 km)</t>
        </is>
      </c>
      <c r="V443" s="20" t="n">
        <v>86.40000000000001</v>
      </c>
      <c r="W443" s="20" t="n">
        <v>70.90000000000001</v>
      </c>
      <c r="X443" s="20" t="n">
        <v>58</v>
      </c>
      <c r="Y443" s="40">
        <f>ROUND((V443*'Methodology &amp; Assumptions'!$B$6)+(W443*'Methodology &amp; Assumptions'!$B$5)+(X443*'Methodology &amp; Assumptions'!$B$7), 2)</f>
        <v/>
      </c>
    </row>
    <row r="444" ht="19" customHeight="1">
      <c r="A444" s="41" t="n">
        <v>440</v>
      </c>
      <c r="B444" s="41" t="n">
        <v>1440</v>
      </c>
      <c r="C444" s="42" t="inlineStr">
        <is>
          <t>0401012046</t>
        </is>
      </c>
      <c r="D444" s="42" t="inlineStr">
        <is>
          <t>Region IV-A (CALABARZON)</t>
        </is>
      </c>
      <c r="E444" s="42" t="inlineStr">
        <is>
          <t>Batangas</t>
        </is>
      </c>
      <c r="F444" s="42" t="inlineStr">
        <is>
          <t>Lemery</t>
        </is>
      </c>
      <c r="G444" s="42" t="inlineStr">
        <is>
          <t>Wawa Ibaba</t>
        </is>
      </c>
      <c r="H444" s="43" t="n">
        <v>13.8733</v>
      </c>
      <c r="I444" s="43" t="n">
        <v>120.9139</v>
      </c>
      <c r="J444" s="44" t="inlineStr">
        <is>
          <t>R</t>
        </is>
      </c>
      <c r="K444" s="42" t="inlineStr">
        <is>
          <t>Class 1-3 / Urban</t>
        </is>
      </c>
      <c r="L444" s="23" t="n">
        <v>2692</v>
      </c>
      <c r="M444" s="24" t="n">
        <v>4.62</v>
      </c>
      <c r="N444" s="23">
        <f>ROUND(L444/M444, 0)</f>
        <v/>
      </c>
      <c r="O444" s="23">
        <f>ROUND(N444*'Methodology &amp; Assumptions'!$B$8, 0)</f>
        <v/>
      </c>
      <c r="P444" s="44" t="inlineStr">
        <is>
          <t>Band n50 (1.5 GHz, 60 MHz)</t>
        </is>
      </c>
      <c r="Q444" s="38">
        <f>ROUNDUP(O444/'Methodology &amp; Assumptions'!$B$9, 0)</f>
        <v/>
      </c>
      <c r="R444" s="39" t="n">
        <v>1</v>
      </c>
      <c r="S444" s="25" t="n">
        <v>0.43</v>
      </c>
      <c r="T444" s="25" t="n">
        <v>2.58</v>
      </c>
      <c r="U444" s="42" t="inlineStr">
        <is>
          <t>Tier 1A (Direct Coloc, &lt;1 km)</t>
        </is>
      </c>
      <c r="V444" s="24" t="n">
        <v>86.59999999999999</v>
      </c>
      <c r="W444" s="24" t="n">
        <v>70.7</v>
      </c>
      <c r="X444" s="24" t="n">
        <v>58</v>
      </c>
      <c r="Y444" s="45">
        <f>ROUND((V444*'Methodology &amp; Assumptions'!$B$6)+(W444*'Methodology &amp; Assumptions'!$B$5)+(X444*'Methodology &amp; Assumptions'!$B$7), 2)</f>
        <v/>
      </c>
    </row>
    <row r="445" ht="19" customHeight="1">
      <c r="A445" s="35" t="n">
        <v>441</v>
      </c>
      <c r="B445" s="35" t="n">
        <v>1441</v>
      </c>
      <c r="C445" s="36" t="inlineStr">
        <is>
          <t>0603026019</t>
        </is>
      </c>
      <c r="D445" s="36" t="inlineStr">
        <is>
          <t>Region VI (Western Visayas)</t>
        </is>
      </c>
      <c r="E445" s="36" t="inlineStr">
        <is>
          <t>Iloilo</t>
        </is>
      </c>
      <c r="F445" s="36" t="inlineStr">
        <is>
          <t>Leganes</t>
        </is>
      </c>
      <c r="G445" s="36" t="inlineStr">
        <is>
          <t>Poblacion</t>
        </is>
      </c>
      <c r="H445" s="37" t="n">
        <v>10.785538</v>
      </c>
      <c r="I445" s="37" t="n">
        <v>122.590618</v>
      </c>
      <c r="J445" s="8" t="inlineStr">
        <is>
          <t>U</t>
        </is>
      </c>
      <c r="K445" s="36" t="inlineStr">
        <is>
          <t>2nd</t>
        </is>
      </c>
      <c r="L445" s="18" t="n">
        <v>3385</v>
      </c>
      <c r="M445" s="20" t="n">
        <v>4.6</v>
      </c>
      <c r="N445" s="18">
        <f>ROUND(L445/M445, 0)</f>
        <v/>
      </c>
      <c r="O445" s="18">
        <f>ROUND(N445*'Methodology &amp; Assumptions'!$B$8, 0)</f>
        <v/>
      </c>
      <c r="P445" s="8" t="inlineStr">
        <is>
          <t>Band n50 (1.5 GHz, 60 MHz)</t>
        </is>
      </c>
      <c r="Q445" s="38">
        <f>ROUNDUP(O445/'Methodology &amp; Assumptions'!$B$9, 0)</f>
        <v/>
      </c>
      <c r="R445" s="39" t="n">
        <v>1</v>
      </c>
      <c r="S445" s="21" t="n">
        <v>0.29</v>
      </c>
      <c r="T445" s="21" t="n">
        <v>0.08</v>
      </c>
      <c r="U445" s="36" t="inlineStr">
        <is>
          <t>Tier 1A (Direct Coloc, &lt;1 km)</t>
        </is>
      </c>
      <c r="V445" s="20" t="n">
        <v>100</v>
      </c>
      <c r="W445" s="20" t="n">
        <v>82.90000000000001</v>
      </c>
      <c r="X445" s="20" t="n">
        <v>28</v>
      </c>
      <c r="Y445" s="40">
        <f>ROUND((V445*'Methodology &amp; Assumptions'!$B$6)+(W445*'Methodology &amp; Assumptions'!$B$5)+(X445*'Methodology &amp; Assumptions'!$B$7), 2)</f>
        <v/>
      </c>
    </row>
    <row r="446" ht="19" customHeight="1">
      <c r="A446" s="41" t="n">
        <v>442</v>
      </c>
      <c r="B446" s="41" t="n">
        <v>1442</v>
      </c>
      <c r="C446" s="42" t="inlineStr">
        <is>
          <t>0501720012</t>
        </is>
      </c>
      <c r="D446" s="42" t="inlineStr">
        <is>
          <t>Region V (Bicol Region)</t>
        </is>
      </c>
      <c r="E446" s="42" t="inlineStr">
        <is>
          <t>Camarines Sur</t>
        </is>
      </c>
      <c r="F446" s="42" t="inlineStr">
        <is>
          <t>Magarao</t>
        </is>
      </c>
      <c r="G446" s="42" t="inlineStr">
        <is>
          <t>San Pantaleon</t>
        </is>
      </c>
      <c r="H446" s="43" t="n">
        <v>13.6607</v>
      </c>
      <c r="I446" s="43" t="n">
        <v>123.1846</v>
      </c>
      <c r="J446" s="44" t="inlineStr">
        <is>
          <t>R</t>
        </is>
      </c>
      <c r="K446" s="42" t="inlineStr">
        <is>
          <t>4th</t>
        </is>
      </c>
      <c r="L446" s="23" t="n">
        <v>1238</v>
      </c>
      <c r="M446" s="24" t="n">
        <v>4.81</v>
      </c>
      <c r="N446" s="23">
        <f>ROUND(L446/M446, 0)</f>
        <v/>
      </c>
      <c r="O446" s="23">
        <f>ROUND(N446*'Methodology &amp; Assumptions'!$B$8, 0)</f>
        <v/>
      </c>
      <c r="P446" s="44" t="inlineStr">
        <is>
          <t>Band n50 (1.5 GHz, 60 MHz)</t>
        </is>
      </c>
      <c r="Q446" s="38">
        <f>ROUNDUP(O446/'Methodology &amp; Assumptions'!$B$9, 0)</f>
        <v/>
      </c>
      <c r="R446" s="39" t="n">
        <v>1</v>
      </c>
      <c r="S446" s="25" t="n">
        <v>0.64</v>
      </c>
      <c r="T446" s="25" t="n">
        <v>0.09</v>
      </c>
      <c r="U446" s="42" t="inlineStr">
        <is>
          <t>Tier 1A (Direct Coloc, &lt;1 km)</t>
        </is>
      </c>
      <c r="V446" s="24" t="n">
        <v>90.8</v>
      </c>
      <c r="W446" s="24" t="n">
        <v>44.5</v>
      </c>
      <c r="X446" s="24" t="n">
        <v>83.5</v>
      </c>
      <c r="Y446" s="45">
        <f>ROUND((V446*'Methodology &amp; Assumptions'!$B$6)+(W446*'Methodology &amp; Assumptions'!$B$5)+(X446*'Methodology &amp; Assumptions'!$B$7), 2)</f>
        <v/>
      </c>
    </row>
    <row r="447" ht="19" customHeight="1">
      <c r="A447" s="35" t="n">
        <v>443</v>
      </c>
      <c r="B447" s="35" t="n">
        <v>1443</v>
      </c>
      <c r="C447" s="36" t="inlineStr">
        <is>
          <t>1102408002</t>
        </is>
      </c>
      <c r="D447" s="36" t="inlineStr">
        <is>
          <t>Region XI (Davao Region)</t>
        </is>
      </c>
      <c r="E447" s="36" t="inlineStr">
        <is>
          <t>Davao del Sur</t>
        </is>
      </c>
      <c r="F447" s="36" t="inlineStr">
        <is>
          <t>Malalag</t>
        </is>
      </c>
      <c r="G447" s="36" t="inlineStr">
        <is>
          <t>Baybay</t>
        </is>
      </c>
      <c r="H447" s="37" t="n">
        <v>6.603066</v>
      </c>
      <c r="I447" s="37" t="n">
        <v>125.401891</v>
      </c>
      <c r="J447" s="8" t="inlineStr">
        <is>
          <t>R</t>
        </is>
      </c>
      <c r="K447" s="36" t="inlineStr">
        <is>
          <t>Class 1-3 / Urban</t>
        </is>
      </c>
      <c r="L447" s="18" t="n">
        <v>4359</v>
      </c>
      <c r="M447" s="20" t="n">
        <v>4.1</v>
      </c>
      <c r="N447" s="18">
        <f>ROUND(L447/M447, 0)</f>
        <v/>
      </c>
      <c r="O447" s="18">
        <f>ROUND(N447*'Methodology &amp; Assumptions'!$B$8, 0)</f>
        <v/>
      </c>
      <c r="P447" s="8" t="inlineStr">
        <is>
          <t>Band n50 (1.5 GHz, 60 MHz)</t>
        </is>
      </c>
      <c r="Q447" s="38">
        <f>ROUNDUP(O447/'Methodology &amp; Assumptions'!$B$9, 0)</f>
        <v/>
      </c>
      <c r="R447" s="39" t="n">
        <v>1</v>
      </c>
      <c r="S447" s="21" t="n">
        <v>1.68</v>
      </c>
      <c r="T447" s="21" t="n">
        <v>5.66</v>
      </c>
      <c r="U447" s="36" t="inlineStr">
        <is>
          <t>Tier 1B (Micro Drop, 1-3 km)</t>
        </is>
      </c>
      <c r="V447" s="20" t="n">
        <v>57.2</v>
      </c>
      <c r="W447" s="20" t="n">
        <v>100</v>
      </c>
      <c r="X447" s="20" t="n">
        <v>58</v>
      </c>
      <c r="Y447" s="40">
        <f>ROUND((V447*'Methodology &amp; Assumptions'!$B$6)+(W447*'Methodology &amp; Assumptions'!$B$5)+(X447*'Methodology &amp; Assumptions'!$B$7), 2)</f>
        <v/>
      </c>
    </row>
    <row r="448" ht="19" customHeight="1">
      <c r="A448" s="41" t="n">
        <v>444</v>
      </c>
      <c r="B448" s="41" t="n">
        <v>1444</v>
      </c>
      <c r="C448" s="42" t="inlineStr">
        <is>
          <t>0601914012</t>
        </is>
      </c>
      <c r="D448" s="42" t="inlineStr">
        <is>
          <t>Region VI (Western Visayas)</t>
        </is>
      </c>
      <c r="E448" s="42" t="inlineStr">
        <is>
          <t>Capiz</t>
        </is>
      </c>
      <c r="F448" s="42" t="inlineStr">
        <is>
          <t>City of Roxas</t>
        </is>
      </c>
      <c r="G448" s="42" t="inlineStr">
        <is>
          <t>Poblacion V</t>
        </is>
      </c>
      <c r="H448" s="43" t="n">
        <v>11.585122</v>
      </c>
      <c r="I448" s="43" t="n">
        <v>122.747197</v>
      </c>
      <c r="J448" s="44" t="inlineStr">
        <is>
          <t>R</t>
        </is>
      </c>
      <c r="K448" s="42" t="inlineStr">
        <is>
          <t>Class 1-3 / Urban</t>
        </is>
      </c>
      <c r="L448" s="23" t="n">
        <v>1934</v>
      </c>
      <c r="M448" s="24" t="n">
        <v>4.2</v>
      </c>
      <c r="N448" s="23">
        <f>ROUND(L448/M448, 0)</f>
        <v/>
      </c>
      <c r="O448" s="23">
        <f>ROUND(N448*'Methodology &amp; Assumptions'!$B$8, 0)</f>
        <v/>
      </c>
      <c r="P448" s="44" t="inlineStr">
        <is>
          <t>Band n50 (1.5 GHz, 60 MHz)</t>
        </is>
      </c>
      <c r="Q448" s="38">
        <f>ROUNDUP(O448/'Methodology &amp; Assumptions'!$B$9, 0)</f>
        <v/>
      </c>
      <c r="R448" s="39" t="n">
        <v>1</v>
      </c>
      <c r="S448" s="25" t="n">
        <v>0.44</v>
      </c>
      <c r="T448" s="25" t="n">
        <v>0.26</v>
      </c>
      <c r="U448" s="42" t="inlineStr">
        <is>
          <t>Tier 1A (Direct Coloc, &lt;1 km)</t>
        </is>
      </c>
      <c r="V448" s="24" t="n">
        <v>96.40000000000001</v>
      </c>
      <c r="W448" s="24" t="n">
        <v>60.8</v>
      </c>
      <c r="X448" s="24" t="n">
        <v>58</v>
      </c>
      <c r="Y448" s="45">
        <f>ROUND((V448*'Methodology &amp; Assumptions'!$B$6)+(W448*'Methodology &amp; Assumptions'!$B$5)+(X448*'Methodology &amp; Assumptions'!$B$7), 2)</f>
        <v/>
      </c>
    </row>
    <row r="449" ht="19" customHeight="1">
      <c r="A449" s="35" t="n">
        <v>445</v>
      </c>
      <c r="B449" s="35" t="n">
        <v>1445</v>
      </c>
      <c r="C449" s="36" t="inlineStr">
        <is>
          <t>1630400016</t>
        </is>
      </c>
      <c r="D449" s="36" t="inlineStr">
        <is>
          <t>Region XIII (Caraga)</t>
        </is>
      </c>
      <c r="E449" s="36" t="inlineStr">
        <is>
          <t>Agusan del Norte</t>
        </is>
      </c>
      <c r="F449" s="36" t="inlineStr">
        <is>
          <t>City of Butuan</t>
        </is>
      </c>
      <c r="G449" s="36" t="inlineStr">
        <is>
          <t>Bancasi</t>
        </is>
      </c>
      <c r="H449" s="37" t="n">
        <v>8.945169999999999</v>
      </c>
      <c r="I449" s="37" t="n">
        <v>125.488147</v>
      </c>
      <c r="J449" s="8" t="inlineStr">
        <is>
          <t>U</t>
        </is>
      </c>
      <c r="K449" s="36" t="inlineStr">
        <is>
          <t>Class 1-3 / Urban</t>
        </is>
      </c>
      <c r="L449" s="18" t="n">
        <v>5388</v>
      </c>
      <c r="M449" s="20" t="n">
        <v>4.63</v>
      </c>
      <c r="N449" s="18">
        <f>ROUND(L449/M449, 0)</f>
        <v/>
      </c>
      <c r="O449" s="18">
        <f>ROUND(N449*'Methodology &amp; Assumptions'!$B$8, 0)</f>
        <v/>
      </c>
      <c r="P449" s="8" t="inlineStr">
        <is>
          <t>Band n50 (1.5 GHz, 60 MHz)</t>
        </is>
      </c>
      <c r="Q449" s="38">
        <f>ROUNDUP(O449/'Methodology &amp; Assumptions'!$B$9, 0)</f>
        <v/>
      </c>
      <c r="R449" s="39" t="n">
        <v>1</v>
      </c>
      <c r="S449" s="21" t="n">
        <v>1.53</v>
      </c>
      <c r="T449" s="21" t="n">
        <v>0.05</v>
      </c>
      <c r="U449" s="36" t="inlineStr">
        <is>
          <t>Tier 1B (Micro Drop, 1-3 km)</t>
        </is>
      </c>
      <c r="V449" s="20" t="n">
        <v>70.09999999999999</v>
      </c>
      <c r="W449" s="20" t="n">
        <v>100</v>
      </c>
      <c r="X449" s="20" t="n">
        <v>43</v>
      </c>
      <c r="Y449" s="40">
        <f>ROUND((V449*'Methodology &amp; Assumptions'!$B$6)+(W449*'Methodology &amp; Assumptions'!$B$5)+(X449*'Methodology &amp; Assumptions'!$B$7), 2)</f>
        <v/>
      </c>
    </row>
    <row r="450" ht="19" customHeight="1">
      <c r="A450" s="41" t="n">
        <v>446</v>
      </c>
      <c r="B450" s="41" t="n">
        <v>1446</v>
      </c>
      <c r="C450" s="42" t="inlineStr">
        <is>
          <t>0403404002</t>
        </is>
      </c>
      <c r="D450" s="42" t="inlineStr">
        <is>
          <t>Region IV-A (CALABARZON)</t>
        </is>
      </c>
      <c r="E450" s="42" t="inlineStr">
        <is>
          <t>Laguna</t>
        </is>
      </c>
      <c r="F450" s="42" t="inlineStr">
        <is>
          <t>City of Cabuyao</t>
        </is>
      </c>
      <c r="G450" s="42" t="inlineStr">
        <is>
          <t>Banaybanay</t>
        </is>
      </c>
      <c r="H450" s="43" t="n">
        <v>14.254131</v>
      </c>
      <c r="I450" s="43" t="n">
        <v>121.12828</v>
      </c>
      <c r="J450" s="44" t="inlineStr">
        <is>
          <t>U</t>
        </is>
      </c>
      <c r="K450" s="42" t="inlineStr">
        <is>
          <t>Class 1-3 / Urban</t>
        </is>
      </c>
      <c r="L450" s="23" t="n">
        <v>34260</v>
      </c>
      <c r="M450" s="24" t="n">
        <v>4.2</v>
      </c>
      <c r="N450" s="23">
        <f>ROUND(L450/M450, 0)</f>
        <v/>
      </c>
      <c r="O450" s="23">
        <f>ROUND(N450*'Methodology &amp; Assumptions'!$B$8, 0)</f>
        <v/>
      </c>
      <c r="P450" s="44" t="inlineStr">
        <is>
          <t>Band n50 (1.5 GHz, 60 MHz)</t>
        </is>
      </c>
      <c r="Q450" s="38">
        <f>ROUNDUP(O450/'Methodology &amp; Assumptions'!$B$9, 0)</f>
        <v/>
      </c>
      <c r="R450" s="39" t="n">
        <v>1</v>
      </c>
      <c r="S450" s="25" t="n">
        <v>0.89</v>
      </c>
      <c r="T450" s="25" t="n">
        <v>0.15</v>
      </c>
      <c r="U450" s="42" t="inlineStr">
        <is>
          <t>Tier 1A (Direct Coloc, &lt;1 km)</t>
        </is>
      </c>
      <c r="V450" s="24" t="n">
        <v>84.3</v>
      </c>
      <c r="W450" s="24" t="n">
        <v>98.59999999999999</v>
      </c>
      <c r="X450" s="24" t="n">
        <v>28</v>
      </c>
      <c r="Y450" s="45">
        <f>ROUND((V450*'Methodology &amp; Assumptions'!$B$6)+(W450*'Methodology &amp; Assumptions'!$B$5)+(X450*'Methodology &amp; Assumptions'!$B$7), 2)</f>
        <v/>
      </c>
    </row>
    <row r="451" ht="19" customHeight="1">
      <c r="A451" s="35" t="n">
        <v>447</v>
      </c>
      <c r="B451" s="35" t="n">
        <v>1447</v>
      </c>
      <c r="C451" s="36" t="inlineStr">
        <is>
          <t>0402103048</t>
        </is>
      </c>
      <c r="D451" s="36" t="inlineStr">
        <is>
          <t>Region IV-A (CALABARZON)</t>
        </is>
      </c>
      <c r="E451" s="36" t="inlineStr">
        <is>
          <t>Cavite</t>
        </is>
      </c>
      <c r="F451" s="36" t="inlineStr">
        <is>
          <t>City of Bacoor</t>
        </is>
      </c>
      <c r="G451" s="36" t="inlineStr">
        <is>
          <t>Molino V</t>
        </is>
      </c>
      <c r="H451" s="37" t="n">
        <v>14.396411</v>
      </c>
      <c r="I451" s="37" t="n">
        <v>120.968933</v>
      </c>
      <c r="J451" s="8" t="inlineStr">
        <is>
          <t>U</t>
        </is>
      </c>
      <c r="K451" s="36" t="inlineStr">
        <is>
          <t>Class 1-3 / Urban</t>
        </is>
      </c>
      <c r="L451" s="18" t="n">
        <v>6562</v>
      </c>
      <c r="M451" s="20" t="n">
        <v>4.49</v>
      </c>
      <c r="N451" s="18">
        <f>ROUND(L451/M451, 0)</f>
        <v/>
      </c>
      <c r="O451" s="18">
        <f>ROUND(N451*'Methodology &amp; Assumptions'!$B$8, 0)</f>
        <v/>
      </c>
      <c r="P451" s="8" t="inlineStr">
        <is>
          <t>Band n50 (1.5 GHz, 60 MHz)</t>
        </is>
      </c>
      <c r="Q451" s="38">
        <f>ROUNDUP(O451/'Methodology &amp; Assumptions'!$B$9, 0)</f>
        <v/>
      </c>
      <c r="R451" s="39" t="n">
        <v>1</v>
      </c>
      <c r="S451" s="21" t="n">
        <v>0.5600000000000001</v>
      </c>
      <c r="T451" s="21" t="n">
        <v>5.71</v>
      </c>
      <c r="U451" s="36" t="inlineStr">
        <is>
          <t>Tier 1A (Direct Coloc, &lt;1 km)</t>
        </is>
      </c>
      <c r="V451" s="20" t="n">
        <v>82.90000000000001</v>
      </c>
      <c r="W451" s="20" t="n">
        <v>100</v>
      </c>
      <c r="X451" s="20" t="n">
        <v>28</v>
      </c>
      <c r="Y451" s="40">
        <f>ROUND((V451*'Methodology &amp; Assumptions'!$B$6)+(W451*'Methodology &amp; Assumptions'!$B$5)+(X451*'Methodology &amp; Assumptions'!$B$7), 2)</f>
        <v/>
      </c>
    </row>
    <row r="452" ht="19" customHeight="1">
      <c r="A452" s="41" t="n">
        <v>448</v>
      </c>
      <c r="B452" s="41" t="n">
        <v>1448</v>
      </c>
      <c r="C452" s="42" t="inlineStr">
        <is>
          <t>0401003048</t>
        </is>
      </c>
      <c r="D452" s="42" t="inlineStr">
        <is>
          <t>Region IV-A (CALABARZON)</t>
        </is>
      </c>
      <c r="E452" s="42" t="inlineStr">
        <is>
          <t>Batangas</t>
        </is>
      </c>
      <c r="F452" s="42" t="inlineStr">
        <is>
          <t>Balayan</t>
        </is>
      </c>
      <c r="G452" s="42" t="inlineStr">
        <is>
          <t>Santol</t>
        </is>
      </c>
      <c r="H452" s="43" t="n">
        <v>13.9386</v>
      </c>
      <c r="I452" s="43" t="n">
        <v>120.7103</v>
      </c>
      <c r="J452" s="44" t="inlineStr">
        <is>
          <t>R</t>
        </is>
      </c>
      <c r="K452" s="42" t="inlineStr">
        <is>
          <t>Class 1-3 / Urban</t>
        </is>
      </c>
      <c r="L452" s="23" t="n">
        <v>4144</v>
      </c>
      <c r="M452" s="24" t="n">
        <v>4.62</v>
      </c>
      <c r="N452" s="23">
        <f>ROUND(L452/M452, 0)</f>
        <v/>
      </c>
      <c r="O452" s="23">
        <f>ROUND(N452*'Methodology &amp; Assumptions'!$B$8, 0)</f>
        <v/>
      </c>
      <c r="P452" s="44" t="inlineStr">
        <is>
          <t>Band n50 (1.5 GHz, 60 MHz)</t>
        </is>
      </c>
      <c r="Q452" s="38">
        <f>ROUNDUP(O452/'Methodology &amp; Assumptions'!$B$9, 0)</f>
        <v/>
      </c>
      <c r="R452" s="39" t="n">
        <v>1</v>
      </c>
      <c r="S452" s="25" t="n">
        <v>2</v>
      </c>
      <c r="T452" s="25" t="n">
        <v>1.34</v>
      </c>
      <c r="U452" s="42" t="inlineStr">
        <is>
          <t>Tier 1B (Micro Drop, 1-3 km)</t>
        </is>
      </c>
      <c r="V452" s="24" t="n">
        <v>61.4</v>
      </c>
      <c r="W452" s="24" t="n">
        <v>95.7</v>
      </c>
      <c r="X452" s="24" t="n">
        <v>58</v>
      </c>
      <c r="Y452" s="45">
        <f>ROUND((V452*'Methodology &amp; Assumptions'!$B$6)+(W452*'Methodology &amp; Assumptions'!$B$5)+(X452*'Methodology &amp; Assumptions'!$B$7), 2)</f>
        <v/>
      </c>
    </row>
    <row r="453" ht="19" customHeight="1">
      <c r="A453" s="35" t="n">
        <v>449</v>
      </c>
      <c r="B453" s="35" t="n">
        <v>1449</v>
      </c>
      <c r="C453" s="36" t="inlineStr">
        <is>
          <t>0301421037</t>
        </is>
      </c>
      <c r="D453" s="36" t="inlineStr">
        <is>
          <t>Region III (Central Luzon)</t>
        </is>
      </c>
      <c r="E453" s="36" t="inlineStr">
        <is>
          <t>Bulacan</t>
        </is>
      </c>
      <c r="F453" s="36" t="inlineStr">
        <is>
          <t>San Miguel</t>
        </is>
      </c>
      <c r="G453" s="36" t="inlineStr">
        <is>
          <t>Poblacion</t>
        </is>
      </c>
      <c r="H453" s="37" t="n">
        <v>15.141941</v>
      </c>
      <c r="I453" s="37" t="n">
        <v>120.97313</v>
      </c>
      <c r="J453" s="8" t="inlineStr">
        <is>
          <t>R</t>
        </is>
      </c>
      <c r="K453" s="36" t="inlineStr">
        <is>
          <t>Class 1-3 / Urban</t>
        </is>
      </c>
      <c r="L453" s="18" t="n">
        <v>3127</v>
      </c>
      <c r="M453" s="20" t="n">
        <v>4.1</v>
      </c>
      <c r="N453" s="18">
        <f>ROUND(L453/M453, 0)</f>
        <v/>
      </c>
      <c r="O453" s="18">
        <f>ROUND(N453*'Methodology &amp; Assumptions'!$B$8, 0)</f>
        <v/>
      </c>
      <c r="P453" s="8" t="inlineStr">
        <is>
          <t>Band n50 (1.5 GHz, 60 MHz)</t>
        </is>
      </c>
      <c r="Q453" s="38">
        <f>ROUNDUP(O453/'Methodology &amp; Assumptions'!$B$9, 0)</f>
        <v/>
      </c>
      <c r="R453" s="39" t="n">
        <v>1</v>
      </c>
      <c r="S453" s="21" t="n">
        <v>1.43</v>
      </c>
      <c r="T453" s="21" t="n">
        <v>0.23</v>
      </c>
      <c r="U453" s="36" t="inlineStr">
        <is>
          <t>Tier 1B (Micro Drop, 1-3 km)</t>
        </is>
      </c>
      <c r="V453" s="20" t="n">
        <v>72.09999999999999</v>
      </c>
      <c r="W453" s="20" t="n">
        <v>85.09999999999999</v>
      </c>
      <c r="X453" s="20" t="n">
        <v>58</v>
      </c>
      <c r="Y453" s="40">
        <f>ROUND((V453*'Methodology &amp; Assumptions'!$B$6)+(W453*'Methodology &amp; Assumptions'!$B$5)+(X453*'Methodology &amp; Assumptions'!$B$7), 2)</f>
        <v/>
      </c>
    </row>
    <row r="454" ht="19" customHeight="1">
      <c r="A454" s="41" t="n">
        <v>450</v>
      </c>
      <c r="B454" s="41" t="n">
        <v>1450</v>
      </c>
      <c r="C454" s="42" t="inlineStr">
        <is>
          <t>0300804013</t>
        </is>
      </c>
      <c r="D454" s="42" t="inlineStr">
        <is>
          <t>Region III (Central Luzon)</t>
        </is>
      </c>
      <c r="E454" s="42" t="inlineStr">
        <is>
          <t>Bataan</t>
        </is>
      </c>
      <c r="F454" s="42" t="inlineStr">
        <is>
          <t>Dinalupihan</t>
        </is>
      </c>
      <c r="G454" s="42" t="inlineStr">
        <is>
          <t>Happy Valley</t>
        </is>
      </c>
      <c r="H454" s="43" t="n">
        <v>14.847022</v>
      </c>
      <c r="I454" s="43" t="n">
        <v>120.400304</v>
      </c>
      <c r="J454" s="44" t="inlineStr">
        <is>
          <t>R</t>
        </is>
      </c>
      <c r="K454" s="42" t="inlineStr">
        <is>
          <t>Class 1-3 / Urban</t>
        </is>
      </c>
      <c r="L454" s="23" t="n">
        <v>1913</v>
      </c>
      <c r="M454" s="24" t="n">
        <v>4.57</v>
      </c>
      <c r="N454" s="23">
        <f>ROUND(L454/M454, 0)</f>
        <v/>
      </c>
      <c r="O454" s="23">
        <f>ROUND(N454*'Methodology &amp; Assumptions'!$B$8, 0)</f>
        <v/>
      </c>
      <c r="P454" s="44" t="inlineStr">
        <is>
          <t>Band n50 (1.5 GHz, 60 MHz)</t>
        </is>
      </c>
      <c r="Q454" s="38">
        <f>ROUNDUP(O454/'Methodology &amp; Assumptions'!$B$9, 0)</f>
        <v/>
      </c>
      <c r="R454" s="39" t="n">
        <v>1</v>
      </c>
      <c r="S454" s="25" t="n">
        <v>0.33</v>
      </c>
      <c r="T454" s="25" t="n">
        <v>0.12</v>
      </c>
      <c r="U454" s="42" t="inlineStr">
        <is>
          <t>Tier 1A (Direct Coloc, &lt;1 km)</t>
        </is>
      </c>
      <c r="V454" s="24" t="n">
        <v>99.5</v>
      </c>
      <c r="W454" s="24" t="n">
        <v>57.6</v>
      </c>
      <c r="X454" s="24" t="n">
        <v>58</v>
      </c>
      <c r="Y454" s="45">
        <f>ROUND((V454*'Methodology &amp; Assumptions'!$B$6)+(W454*'Methodology &amp; Assumptions'!$B$5)+(X454*'Methodology &amp; Assumptions'!$B$7), 2)</f>
        <v/>
      </c>
    </row>
    <row r="455" ht="19" customHeight="1">
      <c r="A455" s="35" t="n">
        <v>451</v>
      </c>
      <c r="B455" s="35" t="n">
        <v>1451</v>
      </c>
      <c r="C455" s="36" t="inlineStr">
        <is>
          <t>0501709013</t>
        </is>
      </c>
      <c r="D455" s="36" t="inlineStr">
        <is>
          <t>Region V (Bicol Region)</t>
        </is>
      </c>
      <c r="E455" s="36" t="inlineStr">
        <is>
          <t>Camarines Sur</t>
        </is>
      </c>
      <c r="F455" s="36" t="inlineStr">
        <is>
          <t>Camaligan</t>
        </is>
      </c>
      <c r="G455" s="36" t="inlineStr">
        <is>
          <t>San Roque</t>
        </is>
      </c>
      <c r="H455" s="37" t="n">
        <v>13.620247</v>
      </c>
      <c r="I455" s="37" t="n">
        <v>123.1742</v>
      </c>
      <c r="J455" s="8" t="inlineStr">
        <is>
          <t>U</t>
        </is>
      </c>
      <c r="K455" s="36" t="inlineStr">
        <is>
          <t>4th</t>
        </is>
      </c>
      <c r="L455" s="18" t="n">
        <v>3098</v>
      </c>
      <c r="M455" s="20" t="n">
        <v>4.97</v>
      </c>
      <c r="N455" s="18">
        <f>ROUND(L455/M455, 0)</f>
        <v/>
      </c>
      <c r="O455" s="18">
        <f>ROUND(N455*'Methodology &amp; Assumptions'!$B$8, 0)</f>
        <v/>
      </c>
      <c r="P455" s="8" t="inlineStr">
        <is>
          <t>Band n50 (1.5 GHz, 60 MHz)</t>
        </is>
      </c>
      <c r="Q455" s="38">
        <f>ROUNDUP(O455/'Methodology &amp; Assumptions'!$B$9, 0)</f>
        <v/>
      </c>
      <c r="R455" s="39" t="n">
        <v>1</v>
      </c>
      <c r="S455" s="21" t="n">
        <v>0.24</v>
      </c>
      <c r="T455" s="21" t="n">
        <v>1.25</v>
      </c>
      <c r="U455" s="36" t="inlineStr">
        <is>
          <t>Tier 1A (Direct Coloc, &lt;1 km)</t>
        </is>
      </c>
      <c r="V455" s="20" t="n">
        <v>100</v>
      </c>
      <c r="W455" s="20" t="n">
        <v>73.90000000000001</v>
      </c>
      <c r="X455" s="20" t="n">
        <v>38.5</v>
      </c>
      <c r="Y455" s="40">
        <f>ROUND((V455*'Methodology &amp; Assumptions'!$B$6)+(W455*'Methodology &amp; Assumptions'!$B$5)+(X455*'Methodology &amp; Assumptions'!$B$7), 2)</f>
        <v/>
      </c>
    </row>
    <row r="456" ht="19" customHeight="1">
      <c r="A456" s="41" t="n">
        <v>452</v>
      </c>
      <c r="B456" s="41" t="n">
        <v>1452</v>
      </c>
      <c r="C456" s="42" t="inlineStr">
        <is>
          <t>0501724025</t>
        </is>
      </c>
      <c r="D456" s="42" t="inlineStr">
        <is>
          <t>Region V (Bicol Region)</t>
        </is>
      </c>
      <c r="E456" s="42" t="inlineStr">
        <is>
          <t>Camarines Sur</t>
        </is>
      </c>
      <c r="F456" s="42" t="inlineStr">
        <is>
          <t>City of Naga</t>
        </is>
      </c>
      <c r="G456" s="42" t="inlineStr">
        <is>
          <t>Sabang</t>
        </is>
      </c>
      <c r="H456" s="43" t="n">
        <v>13.619956</v>
      </c>
      <c r="I456" s="43" t="n">
        <v>123.180834</v>
      </c>
      <c r="J456" s="44" t="inlineStr">
        <is>
          <t>U</t>
        </is>
      </c>
      <c r="K456" s="42" t="inlineStr">
        <is>
          <t>Class 1-3 / Urban</t>
        </is>
      </c>
      <c r="L456" s="23" t="n">
        <v>6838</v>
      </c>
      <c r="M456" s="24" t="n">
        <v>4.9</v>
      </c>
      <c r="N456" s="23">
        <f>ROUND(L456/M456, 0)</f>
        <v/>
      </c>
      <c r="O456" s="23">
        <f>ROUND(N456*'Methodology &amp; Assumptions'!$B$8, 0)</f>
        <v/>
      </c>
      <c r="P456" s="44" t="inlineStr">
        <is>
          <t>Band n50 (1.5 GHz, 60 MHz)</t>
        </is>
      </c>
      <c r="Q456" s="38">
        <f>ROUNDUP(O456/'Methodology &amp; Assumptions'!$B$9, 0)</f>
        <v/>
      </c>
      <c r="R456" s="39" t="n">
        <v>1</v>
      </c>
      <c r="S456" s="25" t="n">
        <v>0.95</v>
      </c>
      <c r="T456" s="25" t="n">
        <v>0.67</v>
      </c>
      <c r="U456" s="42" t="inlineStr">
        <is>
          <t>Tier 1A (Direct Coloc, &lt;1 km)</t>
        </is>
      </c>
      <c r="V456" s="24" t="n">
        <v>82.8</v>
      </c>
      <c r="W456" s="24" t="n">
        <v>100</v>
      </c>
      <c r="X456" s="24" t="n">
        <v>28</v>
      </c>
      <c r="Y456" s="45">
        <f>ROUND((V456*'Methodology &amp; Assumptions'!$B$6)+(W456*'Methodology &amp; Assumptions'!$B$5)+(X456*'Methodology &amp; Assumptions'!$B$7), 2)</f>
        <v/>
      </c>
    </row>
    <row r="457" ht="19" customHeight="1">
      <c r="A457" s="35" t="n">
        <v>453</v>
      </c>
      <c r="B457" s="35" t="n">
        <v>1453</v>
      </c>
      <c r="C457" s="36" t="inlineStr">
        <is>
          <t>0405647043</t>
        </is>
      </c>
      <c r="D457" s="36" t="inlineStr">
        <is>
          <t>Region IV-A (CALABARZON)</t>
        </is>
      </c>
      <c r="E457" s="36" t="inlineStr">
        <is>
          <t>Quezon</t>
        </is>
      </c>
      <c r="F457" s="36" t="inlineStr">
        <is>
          <t>City of Tayabas</t>
        </is>
      </c>
      <c r="G457" s="36" t="inlineStr">
        <is>
          <t>Mateuna</t>
        </is>
      </c>
      <c r="H457" s="37" t="n">
        <v>14.022872</v>
      </c>
      <c r="I457" s="37" t="n">
        <v>121.602259</v>
      </c>
      <c r="J457" s="8" t="inlineStr">
        <is>
          <t>U</t>
        </is>
      </c>
      <c r="K457" s="36" t="inlineStr">
        <is>
          <t>Class 1-3 / Urban</t>
        </is>
      </c>
      <c r="L457" s="18" t="n">
        <v>6669</v>
      </c>
      <c r="M457" s="20" t="n">
        <v>4.46</v>
      </c>
      <c r="N457" s="18">
        <f>ROUND(L457/M457, 0)</f>
        <v/>
      </c>
      <c r="O457" s="18">
        <f>ROUND(N457*'Methodology &amp; Assumptions'!$B$8, 0)</f>
        <v/>
      </c>
      <c r="P457" s="8" t="inlineStr">
        <is>
          <t>Band n50 (1.5 GHz, 60 MHz)</t>
        </is>
      </c>
      <c r="Q457" s="38">
        <f>ROUNDUP(O457/'Methodology &amp; Assumptions'!$B$9, 0)</f>
        <v/>
      </c>
      <c r="R457" s="39" t="n">
        <v>1</v>
      </c>
      <c r="S457" s="21" t="n">
        <v>0.95</v>
      </c>
      <c r="T457" s="21" t="n">
        <v>0.58</v>
      </c>
      <c r="U457" s="36" t="inlineStr">
        <is>
          <t>Tier 1A (Direct Coloc, &lt;1 km)</t>
        </is>
      </c>
      <c r="V457" s="20" t="n">
        <v>82.8</v>
      </c>
      <c r="W457" s="20" t="n">
        <v>100</v>
      </c>
      <c r="X457" s="20" t="n">
        <v>28</v>
      </c>
      <c r="Y457" s="40">
        <f>ROUND((V457*'Methodology &amp; Assumptions'!$B$6)+(W457*'Methodology &amp; Assumptions'!$B$5)+(X457*'Methodology &amp; Assumptions'!$B$7), 2)</f>
        <v/>
      </c>
    </row>
    <row r="458" ht="19" customHeight="1">
      <c r="A458" s="41" t="n">
        <v>454</v>
      </c>
      <c r="B458" s="41" t="n">
        <v>1454</v>
      </c>
      <c r="C458" s="42" t="inlineStr">
        <is>
          <t>0105506004</t>
        </is>
      </c>
      <c r="D458" s="42" t="inlineStr">
        <is>
          <t>Region I (Ilocos Region)</t>
        </is>
      </c>
      <c r="E458" s="42" t="inlineStr">
        <is>
          <t>Pangasinan</t>
        </is>
      </c>
      <c r="F458" s="42" t="inlineStr">
        <is>
          <t>Asingan</t>
        </is>
      </c>
      <c r="G458" s="42" t="inlineStr">
        <is>
          <t>Bantog</t>
        </is>
      </c>
      <c r="H458" s="43" t="n">
        <v>16.007484</v>
      </c>
      <c r="I458" s="43" t="n">
        <v>120.690827</v>
      </c>
      <c r="J458" s="44" t="inlineStr">
        <is>
          <t>R</t>
        </is>
      </c>
      <c r="K458" s="42" t="inlineStr">
        <is>
          <t>Class 1-3 / Urban</t>
        </is>
      </c>
      <c r="L458" s="23" t="n">
        <v>4333</v>
      </c>
      <c r="M458" s="24" t="n">
        <v>4.39</v>
      </c>
      <c r="N458" s="23">
        <f>ROUND(L458/M458, 0)</f>
        <v/>
      </c>
      <c r="O458" s="23">
        <f>ROUND(N458*'Methodology &amp; Assumptions'!$B$8, 0)</f>
        <v/>
      </c>
      <c r="P458" s="44" t="inlineStr">
        <is>
          <t>Band n50 (1.5 GHz, 60 MHz)</t>
        </is>
      </c>
      <c r="Q458" s="38">
        <f>ROUNDUP(O458/'Methodology &amp; Assumptions'!$B$9, 0)</f>
        <v/>
      </c>
      <c r="R458" s="39" t="n">
        <v>1</v>
      </c>
      <c r="S458" s="25" t="n">
        <v>2.26</v>
      </c>
      <c r="T458" s="25" t="n">
        <v>0.34</v>
      </c>
      <c r="U458" s="42" t="inlineStr">
        <is>
          <t>Tier 1B (Micro Drop, 1-3 km)</t>
        </is>
      </c>
      <c r="V458" s="24" t="n">
        <v>57.1</v>
      </c>
      <c r="W458" s="24" t="n">
        <v>100</v>
      </c>
      <c r="X458" s="24" t="n">
        <v>58</v>
      </c>
      <c r="Y458" s="45">
        <f>ROUND((V458*'Methodology &amp; Assumptions'!$B$6)+(W458*'Methodology &amp; Assumptions'!$B$5)+(X458*'Methodology &amp; Assumptions'!$B$7), 2)</f>
        <v/>
      </c>
    </row>
    <row r="459" ht="19" customHeight="1">
      <c r="A459" s="35" t="n">
        <v>455</v>
      </c>
      <c r="B459" s="35" t="n">
        <v>1455</v>
      </c>
      <c r="C459" s="36" t="inlineStr">
        <is>
          <t>0300803018</t>
        </is>
      </c>
      <c r="D459" s="36" t="inlineStr">
        <is>
          <t>Region III (Central Luzon)</t>
        </is>
      </c>
      <c r="E459" s="36" t="inlineStr">
        <is>
          <t>Bataan</t>
        </is>
      </c>
      <c r="F459" s="36" t="inlineStr">
        <is>
          <t>City of Balanga</t>
        </is>
      </c>
      <c r="G459" s="36" t="inlineStr">
        <is>
          <t>Camacho</t>
        </is>
      </c>
      <c r="H459" s="37" t="n">
        <v>14.683732</v>
      </c>
      <c r="I459" s="37" t="n">
        <v>120.523585</v>
      </c>
      <c r="J459" s="8" t="inlineStr">
        <is>
          <t>R</t>
        </is>
      </c>
      <c r="K459" s="36" t="inlineStr">
        <is>
          <t>Class 1-3 / Urban</t>
        </is>
      </c>
      <c r="L459" s="18" t="n">
        <v>3844</v>
      </c>
      <c r="M459" s="20" t="n">
        <v>4.57</v>
      </c>
      <c r="N459" s="18">
        <f>ROUND(L459/M459, 0)</f>
        <v/>
      </c>
      <c r="O459" s="18">
        <f>ROUND(N459*'Methodology &amp; Assumptions'!$B$8, 0)</f>
        <v/>
      </c>
      <c r="P459" s="8" t="inlineStr">
        <is>
          <t>Band n50 (1.5 GHz, 60 MHz)</t>
        </is>
      </c>
      <c r="Q459" s="38">
        <f>ROUNDUP(O459/'Methodology &amp; Assumptions'!$B$9, 0)</f>
        <v/>
      </c>
      <c r="R459" s="39" t="n">
        <v>1</v>
      </c>
      <c r="S459" s="21" t="n">
        <v>1.75</v>
      </c>
      <c r="T459" s="21" t="n">
        <v>0.46</v>
      </c>
      <c r="U459" s="36" t="inlineStr">
        <is>
          <t>Tier 1B (Micro Drop, 1-3 km)</t>
        </is>
      </c>
      <c r="V459" s="20" t="n">
        <v>65.90000000000001</v>
      </c>
      <c r="W459" s="20" t="n">
        <v>91.2</v>
      </c>
      <c r="X459" s="20" t="n">
        <v>58</v>
      </c>
      <c r="Y459" s="40">
        <f>ROUND((V459*'Methodology &amp; Assumptions'!$B$6)+(W459*'Methodology &amp; Assumptions'!$B$5)+(X459*'Methodology &amp; Assumptions'!$B$7), 2)</f>
        <v/>
      </c>
    </row>
    <row r="460" ht="19" customHeight="1">
      <c r="A460" s="41" t="n">
        <v>456</v>
      </c>
      <c r="B460" s="41" t="n">
        <v>1456</v>
      </c>
      <c r="C460" s="42" t="inlineStr">
        <is>
          <t>0402103023</t>
        </is>
      </c>
      <c r="D460" s="42" t="inlineStr">
        <is>
          <t>Region IV-A (CALABARZON)</t>
        </is>
      </c>
      <c r="E460" s="42" t="inlineStr">
        <is>
          <t>Cavite</t>
        </is>
      </c>
      <c r="F460" s="42" t="inlineStr">
        <is>
          <t>City of Bacoor</t>
        </is>
      </c>
      <c r="G460" s="42" t="inlineStr">
        <is>
          <t>Tabing Dagat</t>
        </is>
      </c>
      <c r="H460" s="43" t="n">
        <v>14.436707</v>
      </c>
      <c r="I460" s="43" t="n">
        <v>120.961346</v>
      </c>
      <c r="J460" s="44" t="inlineStr">
        <is>
          <t>R</t>
        </is>
      </c>
      <c r="K460" s="42" t="inlineStr">
        <is>
          <t>Class 1-3 / Urban</t>
        </is>
      </c>
      <c r="L460" s="23" t="n">
        <v>3424</v>
      </c>
      <c r="M460" s="24" t="n">
        <v>4.49</v>
      </c>
      <c r="N460" s="23">
        <f>ROUND(L460/M460, 0)</f>
        <v/>
      </c>
      <c r="O460" s="23">
        <f>ROUND(N460*'Methodology &amp; Assumptions'!$B$8, 0)</f>
        <v/>
      </c>
      <c r="P460" s="44" t="inlineStr">
        <is>
          <t>Band n50 (1.5 GHz, 60 MHz)</t>
        </is>
      </c>
      <c r="Q460" s="38">
        <f>ROUNDUP(O460/'Methodology &amp; Assumptions'!$B$9, 0)</f>
        <v/>
      </c>
      <c r="R460" s="39" t="n">
        <v>1</v>
      </c>
      <c r="S460" s="25" t="n">
        <v>1.43</v>
      </c>
      <c r="T460" s="25" t="n">
        <v>1.32</v>
      </c>
      <c r="U460" s="42" t="inlineStr">
        <is>
          <t>Tier 1B (Micro Drop, 1-3 km)</t>
        </is>
      </c>
      <c r="V460" s="24" t="n">
        <v>72</v>
      </c>
      <c r="W460" s="24" t="n">
        <v>85.09999999999999</v>
      </c>
      <c r="X460" s="24" t="n">
        <v>58</v>
      </c>
      <c r="Y460" s="45">
        <f>ROUND((V460*'Methodology &amp; Assumptions'!$B$6)+(W460*'Methodology &amp; Assumptions'!$B$5)+(X460*'Methodology &amp; Assumptions'!$B$7), 2)</f>
        <v/>
      </c>
    </row>
    <row r="461" ht="19" customHeight="1">
      <c r="A461" s="35" t="n">
        <v>457</v>
      </c>
      <c r="B461" s="35" t="n">
        <v>1457</v>
      </c>
      <c r="C461" s="36" t="inlineStr">
        <is>
          <t>0501701019</t>
        </is>
      </c>
      <c r="D461" s="36" t="inlineStr">
        <is>
          <t>Region V (Bicol Region)</t>
        </is>
      </c>
      <c r="E461" s="36" t="inlineStr">
        <is>
          <t>Camarines Sur</t>
        </is>
      </c>
      <c r="F461" s="36" t="inlineStr">
        <is>
          <t>Baao</t>
        </is>
      </c>
      <c r="G461" s="36" t="inlineStr">
        <is>
          <t>San Nicolas</t>
        </is>
      </c>
      <c r="H461" s="37" t="n">
        <v>13.456504</v>
      </c>
      <c r="I461" s="37" t="n">
        <v>123.366793</v>
      </c>
      <c r="J461" s="8" t="inlineStr">
        <is>
          <t>R</t>
        </is>
      </c>
      <c r="K461" s="36" t="inlineStr">
        <is>
          <t>Class 1-3 / Urban</t>
        </is>
      </c>
      <c r="L461" s="18" t="n">
        <v>2033</v>
      </c>
      <c r="M461" s="20" t="n">
        <v>4.9</v>
      </c>
      <c r="N461" s="18">
        <f>ROUND(L461/M461, 0)</f>
        <v/>
      </c>
      <c r="O461" s="18">
        <f>ROUND(N461*'Methodology &amp; Assumptions'!$B$8, 0)</f>
        <v/>
      </c>
      <c r="P461" s="8" t="inlineStr">
        <is>
          <t>Band n50 (1.5 GHz, 60 MHz)</t>
        </is>
      </c>
      <c r="Q461" s="38">
        <f>ROUNDUP(O461/'Methodology &amp; Assumptions'!$B$9, 0)</f>
        <v/>
      </c>
      <c r="R461" s="39" t="n">
        <v>1</v>
      </c>
      <c r="S461" s="21" t="n">
        <v>0.2</v>
      </c>
      <c r="T461" s="21" t="n">
        <v>0.2</v>
      </c>
      <c r="U461" s="36" t="inlineStr">
        <is>
          <t>Tier 1A (Direct Coloc, &lt;1 km)</t>
        </is>
      </c>
      <c r="V461" s="20" t="n">
        <v>100</v>
      </c>
      <c r="W461" s="20" t="n">
        <v>57.1</v>
      </c>
      <c r="X461" s="20" t="n">
        <v>58</v>
      </c>
      <c r="Y461" s="40">
        <f>ROUND((V461*'Methodology &amp; Assumptions'!$B$6)+(W461*'Methodology &amp; Assumptions'!$B$5)+(X461*'Methodology &amp; Assumptions'!$B$7), 2)</f>
        <v/>
      </c>
    </row>
    <row r="462" ht="19" customHeight="1">
      <c r="A462" s="41" t="n">
        <v>458</v>
      </c>
      <c r="B462" s="41" t="n">
        <v>1458</v>
      </c>
      <c r="C462" s="42" t="inlineStr">
        <is>
          <t>0201525003</t>
        </is>
      </c>
      <c r="D462" s="42" t="inlineStr">
        <is>
          <t>Region II (Cagayan Valley)</t>
        </is>
      </c>
      <c r="E462" s="42" t="inlineStr">
        <is>
          <t>Cagayan</t>
        </is>
      </c>
      <c r="F462" s="42" t="inlineStr">
        <is>
          <t>Santa Teresita</t>
        </is>
      </c>
      <c r="G462" s="42" t="inlineStr">
        <is>
          <t>Centro East</t>
        </is>
      </c>
      <c r="H462" s="43" t="n">
        <v>18.2492</v>
      </c>
      <c r="I462" s="43" t="n">
        <v>121.9099</v>
      </c>
      <c r="J462" s="44" t="inlineStr">
        <is>
          <t>R</t>
        </is>
      </c>
      <c r="K462" s="42" t="inlineStr">
        <is>
          <t>3rd</t>
        </is>
      </c>
      <c r="L462" s="23" t="n">
        <v>1838</v>
      </c>
      <c r="M462" s="24" t="n">
        <v>4.45</v>
      </c>
      <c r="N462" s="23">
        <f>ROUND(L462/M462, 0)</f>
        <v/>
      </c>
      <c r="O462" s="23">
        <f>ROUND(N462*'Methodology &amp; Assumptions'!$B$8, 0)</f>
        <v/>
      </c>
      <c r="P462" s="44" t="inlineStr">
        <is>
          <t>Band n50 (1.5 GHz, 60 MHz)</t>
        </is>
      </c>
      <c r="Q462" s="38">
        <f>ROUNDUP(O462/'Methodology &amp; Assumptions'!$B$9, 0)</f>
        <v/>
      </c>
      <c r="R462" s="39" t="n">
        <v>1</v>
      </c>
      <c r="S462" s="25" t="n">
        <v>0.23</v>
      </c>
      <c r="T462" s="25" t="n">
        <v>0.19</v>
      </c>
      <c r="U462" s="42" t="inlineStr">
        <is>
          <t>Tier 1A (Direct Coloc, &lt;1 km)</t>
        </is>
      </c>
      <c r="V462" s="24" t="n">
        <v>100</v>
      </c>
      <c r="W462" s="24" t="n">
        <v>57.1</v>
      </c>
      <c r="X462" s="24" t="n">
        <v>58</v>
      </c>
      <c r="Y462" s="45">
        <f>ROUND((V462*'Methodology &amp; Assumptions'!$B$6)+(W462*'Methodology &amp; Assumptions'!$B$5)+(X462*'Methodology &amp; Assumptions'!$B$7), 2)</f>
        <v/>
      </c>
    </row>
    <row r="463" ht="19" customHeight="1">
      <c r="A463" s="35" t="n">
        <v>459</v>
      </c>
      <c r="B463" s="35" t="n">
        <v>1459</v>
      </c>
      <c r="C463" s="36" t="inlineStr">
        <is>
          <t>0304905030</t>
        </is>
      </c>
      <c r="D463" s="36" t="inlineStr">
        <is>
          <t>Region III (Central Luzon)</t>
        </is>
      </c>
      <c r="E463" s="36" t="inlineStr">
        <is>
          <t>Nueva Ecija</t>
        </is>
      </c>
      <c r="F463" s="36" t="inlineStr">
        <is>
          <t>Carranglan</t>
        </is>
      </c>
      <c r="G463" s="36" t="inlineStr">
        <is>
          <t>Minuli</t>
        </is>
      </c>
      <c r="H463" s="37" t="n">
        <v>16.07431</v>
      </c>
      <c r="I463" s="37" t="n">
        <v>120.942496</v>
      </c>
      <c r="J463" s="8" t="inlineStr">
        <is>
          <t>R</t>
        </is>
      </c>
      <c r="K463" s="36" t="inlineStr">
        <is>
          <t>Class 1-3 / Urban</t>
        </is>
      </c>
      <c r="L463" s="18" t="n">
        <v>1788</v>
      </c>
      <c r="M463" s="20" t="n">
        <v>4.32</v>
      </c>
      <c r="N463" s="18">
        <f>ROUND(L463/M463, 0)</f>
        <v/>
      </c>
      <c r="O463" s="18">
        <f>ROUND(N463*'Methodology &amp; Assumptions'!$B$8, 0)</f>
        <v/>
      </c>
      <c r="P463" s="8" t="inlineStr">
        <is>
          <t>Band n50 (1.5 GHz, 60 MHz)</t>
        </is>
      </c>
      <c r="Q463" s="38">
        <f>ROUNDUP(O463/'Methodology &amp; Assumptions'!$B$9, 0)</f>
        <v/>
      </c>
      <c r="R463" s="39" t="n">
        <v>1</v>
      </c>
      <c r="S463" s="21" t="n">
        <v>0.07000000000000001</v>
      </c>
      <c r="T463" s="21" t="n">
        <v>0.08</v>
      </c>
      <c r="U463" s="36" t="inlineStr">
        <is>
          <t>Tier 1A (Direct Coloc, &lt;1 km)</t>
        </is>
      </c>
      <c r="V463" s="20" t="n">
        <v>100</v>
      </c>
      <c r="W463" s="20" t="n">
        <v>57.1</v>
      </c>
      <c r="X463" s="20" t="n">
        <v>58</v>
      </c>
      <c r="Y463" s="40">
        <f>ROUND((V463*'Methodology &amp; Assumptions'!$B$6)+(W463*'Methodology &amp; Assumptions'!$B$5)+(X463*'Methodology &amp; Assumptions'!$B$7), 2)</f>
        <v/>
      </c>
    </row>
    <row r="464" ht="19" customHeight="1">
      <c r="A464" s="41" t="n">
        <v>460</v>
      </c>
      <c r="B464" s="41" t="n">
        <v>1460</v>
      </c>
      <c r="C464" s="42" t="inlineStr">
        <is>
          <t>0431200016</t>
        </is>
      </c>
      <c r="D464" s="42" t="inlineStr">
        <is>
          <t>Region IV-A (CALABARZON)</t>
        </is>
      </c>
      <c r="E464" s="42" t="inlineStr">
        <is>
          <t>Quezon</t>
        </is>
      </c>
      <c r="F464" s="42" t="inlineStr">
        <is>
          <t>City of Lucena</t>
        </is>
      </c>
      <c r="G464" s="42" t="inlineStr">
        <is>
          <t>Cotta</t>
        </is>
      </c>
      <c r="H464" s="43" t="n">
        <v>13.924769</v>
      </c>
      <c r="I464" s="43" t="n">
        <v>121.613476</v>
      </c>
      <c r="J464" s="44" t="inlineStr">
        <is>
          <t>U</t>
        </is>
      </c>
      <c r="K464" s="42" t="inlineStr">
        <is>
          <t>Class 1-3 / Urban</t>
        </is>
      </c>
      <c r="L464" s="23" t="n">
        <v>21603</v>
      </c>
      <c r="M464" s="24" t="n">
        <v>4.46</v>
      </c>
      <c r="N464" s="23">
        <f>ROUND(L464/M464, 0)</f>
        <v/>
      </c>
      <c r="O464" s="23">
        <f>ROUND(N464*'Methodology &amp; Assumptions'!$B$8, 0)</f>
        <v/>
      </c>
      <c r="P464" s="44" t="inlineStr">
        <is>
          <t>Band n50 (1.5 GHz, 60 MHz)</t>
        </is>
      </c>
      <c r="Q464" s="38">
        <f>ROUNDUP(O464/'Methodology &amp; Assumptions'!$B$9, 0)</f>
        <v/>
      </c>
      <c r="R464" s="39" t="n">
        <v>1</v>
      </c>
      <c r="S464" s="25" t="n">
        <v>0.95</v>
      </c>
      <c r="T464" s="25" t="n">
        <v>0.93</v>
      </c>
      <c r="U464" s="42" t="inlineStr">
        <is>
          <t>Tier 1A (Direct Coloc, &lt;1 km)</t>
        </is>
      </c>
      <c r="V464" s="24" t="n">
        <v>82.8</v>
      </c>
      <c r="W464" s="24" t="n">
        <v>100</v>
      </c>
      <c r="X464" s="24" t="n">
        <v>28</v>
      </c>
      <c r="Y464" s="45">
        <f>ROUND((V464*'Methodology &amp; Assumptions'!$B$6)+(W464*'Methodology &amp; Assumptions'!$B$5)+(X464*'Methodology &amp; Assumptions'!$B$7), 2)</f>
        <v/>
      </c>
    </row>
    <row r="465" ht="19" customHeight="1">
      <c r="A465" s="35" t="n">
        <v>461</v>
      </c>
      <c r="B465" s="35" t="n">
        <v>1461</v>
      </c>
      <c r="C465" s="36" t="inlineStr">
        <is>
          <t>0501709008</t>
        </is>
      </c>
      <c r="D465" s="36" t="inlineStr">
        <is>
          <t>Region V (Bicol Region)</t>
        </is>
      </c>
      <c r="E465" s="36" t="inlineStr">
        <is>
          <t>Camarines Sur</t>
        </is>
      </c>
      <c r="F465" s="36" t="inlineStr">
        <is>
          <t>Camaligan</t>
        </is>
      </c>
      <c r="G465" s="36" t="inlineStr">
        <is>
          <t>San Marcos</t>
        </is>
      </c>
      <c r="H465" s="37" t="n">
        <v>13.619603</v>
      </c>
      <c r="I465" s="37" t="n">
        <v>123.170677</v>
      </c>
      <c r="J465" s="8" t="inlineStr">
        <is>
          <t>R</t>
        </is>
      </c>
      <c r="K465" s="36" t="inlineStr">
        <is>
          <t>4th</t>
        </is>
      </c>
      <c r="L465" s="18" t="n">
        <v>1495</v>
      </c>
      <c r="M465" s="20" t="n">
        <v>4.97</v>
      </c>
      <c r="N465" s="18">
        <f>ROUND(L465/M465, 0)</f>
        <v/>
      </c>
      <c r="O465" s="18">
        <f>ROUND(N465*'Methodology &amp; Assumptions'!$B$8, 0)</f>
        <v/>
      </c>
      <c r="P465" s="8" t="inlineStr">
        <is>
          <t>Band n50 (1.5 GHz, 60 MHz)</t>
        </is>
      </c>
      <c r="Q465" s="38">
        <f>ROUNDUP(O465/'Methodology &amp; Assumptions'!$B$9, 0)</f>
        <v/>
      </c>
      <c r="R465" s="39" t="n">
        <v>1</v>
      </c>
      <c r="S465" s="21" t="n">
        <v>0.15</v>
      </c>
      <c r="T465" s="21" t="n">
        <v>1.58</v>
      </c>
      <c r="U465" s="36" t="inlineStr">
        <is>
          <t>Tier 1A (Direct Coloc, &lt;1 km)</t>
        </is>
      </c>
      <c r="V465" s="20" t="n">
        <v>100</v>
      </c>
      <c r="W465" s="20" t="n">
        <v>48</v>
      </c>
      <c r="X465" s="20" t="n">
        <v>68.5</v>
      </c>
      <c r="Y465" s="40">
        <f>ROUND((V465*'Methodology &amp; Assumptions'!$B$6)+(W465*'Methodology &amp; Assumptions'!$B$5)+(X465*'Methodology &amp; Assumptions'!$B$7), 2)</f>
        <v/>
      </c>
    </row>
    <row r="466" ht="19" customHeight="1">
      <c r="A466" s="41" t="n">
        <v>462</v>
      </c>
      <c r="B466" s="41" t="n">
        <v>1462</v>
      </c>
      <c r="C466" s="42" t="inlineStr">
        <is>
          <t>1130700086</t>
        </is>
      </c>
      <c r="D466" s="42" t="inlineStr">
        <is>
          <t>Region XI (Davao Region)</t>
        </is>
      </c>
      <c r="E466" s="42" t="inlineStr">
        <is>
          <t>Davao del Sur</t>
        </is>
      </c>
      <c r="F466" s="42" t="inlineStr">
        <is>
          <t>City of Davao</t>
        </is>
      </c>
      <c r="G466" s="42" t="inlineStr">
        <is>
          <t>Pampanga</t>
        </is>
      </c>
      <c r="H466" s="43" t="n">
        <v>7.11895</v>
      </c>
      <c r="I466" s="43" t="n">
        <v>125.64898</v>
      </c>
      <c r="J466" s="44" t="inlineStr">
        <is>
          <t>U</t>
        </is>
      </c>
      <c r="K466" s="42" t="inlineStr">
        <is>
          <t>Class 1-3 / Urban</t>
        </is>
      </c>
      <c r="L466" s="23" t="n">
        <v>15616</v>
      </c>
      <c r="M466" s="24" t="n">
        <v>4.1</v>
      </c>
      <c r="N466" s="23">
        <f>ROUND(L466/M466, 0)</f>
        <v/>
      </c>
      <c r="O466" s="23">
        <f>ROUND(N466*'Methodology &amp; Assumptions'!$B$8, 0)</f>
        <v/>
      </c>
      <c r="P466" s="44" t="inlineStr">
        <is>
          <t>Band n50 (1.5 GHz, 60 MHz)</t>
        </is>
      </c>
      <c r="Q466" s="38">
        <f>ROUNDUP(O466/'Methodology &amp; Assumptions'!$B$9, 0)</f>
        <v/>
      </c>
      <c r="R466" s="39" t="n">
        <v>1</v>
      </c>
      <c r="S466" s="25" t="n">
        <v>0.96</v>
      </c>
      <c r="T466" s="25" t="n">
        <v>0.77</v>
      </c>
      <c r="U466" s="42" t="inlineStr">
        <is>
          <t>Tier 1A (Direct Coloc, &lt;1 km)</t>
        </is>
      </c>
      <c r="V466" s="24" t="n">
        <v>82.7</v>
      </c>
      <c r="W466" s="24" t="n">
        <v>100</v>
      </c>
      <c r="X466" s="24" t="n">
        <v>28</v>
      </c>
      <c r="Y466" s="45">
        <f>ROUND((V466*'Methodology &amp; Assumptions'!$B$6)+(W466*'Methodology &amp; Assumptions'!$B$5)+(X466*'Methodology &amp; Assumptions'!$B$7), 2)</f>
        <v/>
      </c>
    </row>
    <row r="467" ht="19" customHeight="1">
      <c r="A467" s="35" t="n">
        <v>463</v>
      </c>
      <c r="B467" s="35" t="n">
        <v>1463</v>
      </c>
      <c r="C467" s="36" t="inlineStr">
        <is>
          <t>0907322041</t>
        </is>
      </c>
      <c r="D467" s="36" t="inlineStr">
        <is>
          <t>Region IX (Zamboanga Peninsula)</t>
        </is>
      </c>
      <c r="E467" s="36" t="inlineStr">
        <is>
          <t>Zamboanga del Sur</t>
        </is>
      </c>
      <c r="F467" s="36" t="inlineStr">
        <is>
          <t>City of Pagadian</t>
        </is>
      </c>
      <c r="G467" s="36" t="inlineStr">
        <is>
          <t>San Pedro</t>
        </is>
      </c>
      <c r="H467" s="37" t="n">
        <v>7.823083</v>
      </c>
      <c r="I467" s="37" t="n">
        <v>123.44314</v>
      </c>
      <c r="J467" s="8" t="inlineStr">
        <is>
          <t>U</t>
        </is>
      </c>
      <c r="K467" s="36" t="inlineStr">
        <is>
          <t>Class 1-3 / Urban</t>
        </is>
      </c>
      <c r="L467" s="18" t="n">
        <v>8110</v>
      </c>
      <c r="M467" s="20" t="n">
        <v>4.61</v>
      </c>
      <c r="N467" s="18">
        <f>ROUND(L467/M467, 0)</f>
        <v/>
      </c>
      <c r="O467" s="18">
        <f>ROUND(N467*'Methodology &amp; Assumptions'!$B$8, 0)</f>
        <v/>
      </c>
      <c r="P467" s="8" t="inlineStr">
        <is>
          <t>Band n50 (1.5 GHz, 60 MHz)</t>
        </is>
      </c>
      <c r="Q467" s="38">
        <f>ROUNDUP(O467/'Methodology &amp; Assumptions'!$B$9, 0)</f>
        <v/>
      </c>
      <c r="R467" s="39" t="n">
        <v>1</v>
      </c>
      <c r="S467" s="21" t="n">
        <v>0.96</v>
      </c>
      <c r="T467" s="21" t="n">
        <v>0.86</v>
      </c>
      <c r="U467" s="36" t="inlineStr">
        <is>
          <t>Tier 1A (Direct Coloc, &lt;1 km)</t>
        </is>
      </c>
      <c r="V467" s="20" t="n">
        <v>82.7</v>
      </c>
      <c r="W467" s="20" t="n">
        <v>100</v>
      </c>
      <c r="X467" s="20" t="n">
        <v>28</v>
      </c>
      <c r="Y467" s="40">
        <f>ROUND((V467*'Methodology &amp; Assumptions'!$B$6)+(W467*'Methodology &amp; Assumptions'!$B$5)+(X467*'Methodology &amp; Assumptions'!$B$7), 2)</f>
        <v/>
      </c>
    </row>
    <row r="468" ht="19" customHeight="1">
      <c r="A468" s="41" t="n">
        <v>464</v>
      </c>
      <c r="B468" s="41" t="n">
        <v>1464</v>
      </c>
      <c r="C468" s="42" t="inlineStr">
        <is>
          <t>0300811023</t>
        </is>
      </c>
      <c r="D468" s="42" t="inlineStr">
        <is>
          <t>Region III (Central Luzon)</t>
        </is>
      </c>
      <c r="E468" s="42" t="inlineStr">
        <is>
          <t>Bataan</t>
        </is>
      </c>
      <c r="F468" s="42" t="inlineStr">
        <is>
          <t>Pilar</t>
        </is>
      </c>
      <c r="G468" s="42" t="inlineStr">
        <is>
          <t>Santa Rosa</t>
        </is>
      </c>
      <c r="H468" s="43" t="n">
        <v>14.67542</v>
      </c>
      <c r="I468" s="43" t="n">
        <v>120.547841</v>
      </c>
      <c r="J468" s="44" t="inlineStr">
        <is>
          <t>U</t>
        </is>
      </c>
      <c r="K468" s="42" t="inlineStr">
        <is>
          <t>Class 1-3 / Urban</t>
        </is>
      </c>
      <c r="L468" s="23" t="n">
        <v>7179</v>
      </c>
      <c r="M468" s="24" t="n">
        <v>4.57</v>
      </c>
      <c r="N468" s="23">
        <f>ROUND(L468/M468, 0)</f>
        <v/>
      </c>
      <c r="O468" s="23">
        <f>ROUND(N468*'Methodology &amp; Assumptions'!$B$8, 0)</f>
        <v/>
      </c>
      <c r="P468" s="44" t="inlineStr">
        <is>
          <t>Band n50 (1.5 GHz, 60 MHz)</t>
        </is>
      </c>
      <c r="Q468" s="38">
        <f>ROUNDUP(O468/'Methodology &amp; Assumptions'!$B$9, 0)</f>
        <v/>
      </c>
      <c r="R468" s="39" t="n">
        <v>1</v>
      </c>
      <c r="S468" s="25" t="n">
        <v>0.96</v>
      </c>
      <c r="T468" s="25" t="n">
        <v>0.29</v>
      </c>
      <c r="U468" s="42" t="inlineStr">
        <is>
          <t>Tier 1A (Direct Coloc, &lt;1 km)</t>
        </is>
      </c>
      <c r="V468" s="24" t="n">
        <v>82.7</v>
      </c>
      <c r="W468" s="24" t="n">
        <v>100</v>
      </c>
      <c r="X468" s="24" t="n">
        <v>28</v>
      </c>
      <c r="Y468" s="45">
        <f>ROUND((V468*'Methodology &amp; Assumptions'!$B$6)+(W468*'Methodology &amp; Assumptions'!$B$5)+(X468*'Methodology &amp; Assumptions'!$B$7), 2)</f>
        <v/>
      </c>
    </row>
    <row r="469" ht="19" customHeight="1">
      <c r="A469" s="35" t="n">
        <v>465</v>
      </c>
      <c r="B469" s="35" t="n">
        <v>1465</v>
      </c>
      <c r="C469" s="36" t="inlineStr">
        <is>
          <t>0405645040</t>
        </is>
      </c>
      <c r="D469" s="36" t="inlineStr">
        <is>
          <t>Region IV-A (CALABARZON)</t>
        </is>
      </c>
      <c r="E469" s="36" t="inlineStr">
        <is>
          <t>Quezon</t>
        </is>
      </c>
      <c r="F469" s="36" t="inlineStr">
        <is>
          <t>Sariaya</t>
        </is>
      </c>
      <c r="G469" s="36" t="inlineStr">
        <is>
          <t>Sampaloc 2</t>
        </is>
      </c>
      <c r="H469" s="37" t="n">
        <v>13.95748</v>
      </c>
      <c r="I469" s="37" t="n">
        <v>121.5093</v>
      </c>
      <c r="J469" s="8" t="inlineStr">
        <is>
          <t>U</t>
        </is>
      </c>
      <c r="K469" s="36" t="inlineStr">
        <is>
          <t>Class 1-3 / Urban</t>
        </is>
      </c>
      <c r="L469" s="18" t="n">
        <v>6862</v>
      </c>
      <c r="M469" s="20" t="n">
        <v>4.46</v>
      </c>
      <c r="N469" s="18">
        <f>ROUND(L469/M469, 0)</f>
        <v/>
      </c>
      <c r="O469" s="18">
        <f>ROUND(N469*'Methodology &amp; Assumptions'!$B$8, 0)</f>
        <v/>
      </c>
      <c r="P469" s="8" t="inlineStr">
        <is>
          <t>Band n50 (1.5 GHz, 60 MHz)</t>
        </is>
      </c>
      <c r="Q469" s="38">
        <f>ROUNDUP(O469/'Methodology &amp; Assumptions'!$B$9, 0)</f>
        <v/>
      </c>
      <c r="R469" s="39" t="n">
        <v>1</v>
      </c>
      <c r="S469" s="21" t="n">
        <v>0.96</v>
      </c>
      <c r="T469" s="21" t="n">
        <v>0.05</v>
      </c>
      <c r="U469" s="36" t="inlineStr">
        <is>
          <t>Tier 1A (Direct Coloc, &lt;1 km)</t>
        </is>
      </c>
      <c r="V469" s="20" t="n">
        <v>82.59999999999999</v>
      </c>
      <c r="W469" s="20" t="n">
        <v>100</v>
      </c>
      <c r="X469" s="20" t="n">
        <v>28</v>
      </c>
      <c r="Y469" s="40">
        <f>ROUND((V469*'Methodology &amp; Assumptions'!$B$6)+(W469*'Methodology &amp; Assumptions'!$B$5)+(X469*'Methodology &amp; Assumptions'!$B$7), 2)</f>
        <v/>
      </c>
    </row>
    <row r="470" ht="19" customHeight="1">
      <c r="A470" s="41" t="n">
        <v>466</v>
      </c>
      <c r="B470" s="41" t="n">
        <v>1466</v>
      </c>
      <c r="C470" s="42" t="inlineStr">
        <is>
          <t>1401110004</t>
        </is>
      </c>
      <c r="D470" s="42" t="inlineStr">
        <is>
          <t>Cordillera Administrative Region (CAR)</t>
        </is>
      </c>
      <c r="E470" s="42" t="inlineStr">
        <is>
          <t>Benguet</t>
        </is>
      </c>
      <c r="F470" s="42" t="inlineStr">
        <is>
          <t>La Trinidad</t>
        </is>
      </c>
      <c r="G470" s="42" t="inlineStr">
        <is>
          <t>Bahong</t>
        </is>
      </c>
      <c r="H470" s="43" t="n">
        <v>16.47174</v>
      </c>
      <c r="I470" s="43" t="n">
        <v>120.60606</v>
      </c>
      <c r="J470" s="44" t="inlineStr">
        <is>
          <t>U</t>
        </is>
      </c>
      <c r="K470" s="42" t="inlineStr">
        <is>
          <t>Class 1-3 / Urban</t>
        </is>
      </c>
      <c r="L470" s="23" t="n">
        <v>5993</v>
      </c>
      <c r="M470" s="24" t="n">
        <v>4.58</v>
      </c>
      <c r="N470" s="23">
        <f>ROUND(L470/M470, 0)</f>
        <v/>
      </c>
      <c r="O470" s="23">
        <f>ROUND(N470*'Methodology &amp; Assumptions'!$B$8, 0)</f>
        <v/>
      </c>
      <c r="P470" s="44" t="inlineStr">
        <is>
          <t>Band n50 (1.5 GHz, 60 MHz)</t>
        </is>
      </c>
      <c r="Q470" s="38">
        <f>ROUNDUP(O470/'Methodology &amp; Assumptions'!$B$9, 0)</f>
        <v/>
      </c>
      <c r="R470" s="39" t="n">
        <v>1</v>
      </c>
      <c r="S470" s="25" t="n">
        <v>0.96</v>
      </c>
      <c r="T470" s="25" t="n">
        <v>1.09</v>
      </c>
      <c r="U470" s="42" t="inlineStr">
        <is>
          <t>Tier 1A (Direct Coloc, &lt;1 km)</t>
        </is>
      </c>
      <c r="V470" s="24" t="n">
        <v>82.7</v>
      </c>
      <c r="W470" s="24" t="n">
        <v>100</v>
      </c>
      <c r="X470" s="24" t="n">
        <v>28</v>
      </c>
      <c r="Y470" s="45">
        <f>ROUND((V470*'Methodology &amp; Assumptions'!$B$6)+(W470*'Methodology &amp; Assumptions'!$B$5)+(X470*'Methodology &amp; Assumptions'!$B$7), 2)</f>
        <v/>
      </c>
    </row>
    <row r="471" ht="19" customHeight="1">
      <c r="A471" s="35" t="n">
        <v>467</v>
      </c>
      <c r="B471" s="35" t="n">
        <v>1467</v>
      </c>
      <c r="C471" s="36" t="inlineStr">
        <is>
          <t>1130700155</t>
        </is>
      </c>
      <c r="D471" s="36" t="inlineStr">
        <is>
          <t>Region XI (Davao Region)</t>
        </is>
      </c>
      <c r="E471" s="36" t="inlineStr">
        <is>
          <t>Davao del Sur</t>
        </is>
      </c>
      <c r="F471" s="36" t="inlineStr">
        <is>
          <t>City of Davao</t>
        </is>
      </c>
      <c r="G471" s="36" t="inlineStr">
        <is>
          <t>Barangay 22-C</t>
        </is>
      </c>
      <c r="H471" s="37" t="n">
        <v>7.069652</v>
      </c>
      <c r="I471" s="37" t="n">
        <v>125.621168</v>
      </c>
      <c r="J471" s="8" t="inlineStr">
        <is>
          <t>U</t>
        </is>
      </c>
      <c r="K471" s="36" t="inlineStr">
        <is>
          <t>Class 1-3 / Urban</t>
        </is>
      </c>
      <c r="L471" s="18" t="n">
        <v>7643</v>
      </c>
      <c r="M471" s="20" t="n">
        <v>4.1</v>
      </c>
      <c r="N471" s="18">
        <f>ROUND(L471/M471, 0)</f>
        <v/>
      </c>
      <c r="O471" s="18">
        <f>ROUND(N471*'Methodology &amp; Assumptions'!$B$8, 0)</f>
        <v/>
      </c>
      <c r="P471" s="8" t="inlineStr">
        <is>
          <t>Band n50 (1.5 GHz, 60 MHz)</t>
        </is>
      </c>
      <c r="Q471" s="38">
        <f>ROUNDUP(O471/'Methodology &amp; Assumptions'!$B$9, 0)</f>
        <v/>
      </c>
      <c r="R471" s="39" t="n">
        <v>1</v>
      </c>
      <c r="S471" s="21" t="n">
        <v>0.96</v>
      </c>
      <c r="T471" s="21" t="n">
        <v>0.13</v>
      </c>
      <c r="U471" s="36" t="inlineStr">
        <is>
          <t>Tier 1A (Direct Coloc, &lt;1 km)</t>
        </is>
      </c>
      <c r="V471" s="20" t="n">
        <v>82.59999999999999</v>
      </c>
      <c r="W471" s="20" t="n">
        <v>100</v>
      </c>
      <c r="X471" s="20" t="n">
        <v>28</v>
      </c>
      <c r="Y471" s="40">
        <f>ROUND((V471*'Methodology &amp; Assumptions'!$B$6)+(W471*'Methodology &amp; Assumptions'!$B$5)+(X471*'Methodology &amp; Assumptions'!$B$7), 2)</f>
        <v/>
      </c>
    </row>
    <row r="472" ht="19" customHeight="1">
      <c r="A472" s="41" t="n">
        <v>468</v>
      </c>
      <c r="B472" s="41" t="n">
        <v>1468</v>
      </c>
      <c r="C472" s="42" t="inlineStr">
        <is>
          <t>0806417039</t>
        </is>
      </c>
      <c r="D472" s="42" t="inlineStr">
        <is>
          <t>Region VIII (Eastern Visayas)</t>
        </is>
      </c>
      <c r="E472" s="42" t="inlineStr">
        <is>
          <t>Southern Leyte</t>
        </is>
      </c>
      <c r="F472" s="42" t="inlineStr">
        <is>
          <t>Sogod</t>
        </is>
      </c>
      <c r="G472" s="42" t="inlineStr">
        <is>
          <t>San Pedro</t>
        </is>
      </c>
      <c r="H472" s="43" t="n">
        <v>10.387123</v>
      </c>
      <c r="I472" s="43" t="n">
        <v>124.973252</v>
      </c>
      <c r="J472" s="44" t="inlineStr">
        <is>
          <t>R</t>
        </is>
      </c>
      <c r="K472" s="42" t="inlineStr">
        <is>
          <t>Class 1-3 / Urban</t>
        </is>
      </c>
      <c r="L472" s="23" t="n">
        <v>2172</v>
      </c>
      <c r="M472" s="24" t="n">
        <v>4.53</v>
      </c>
      <c r="N472" s="23">
        <f>ROUND(L472/M472, 0)</f>
        <v/>
      </c>
      <c r="O472" s="23">
        <f>ROUND(N472*'Methodology &amp; Assumptions'!$B$8, 0)</f>
        <v/>
      </c>
      <c r="P472" s="44" t="inlineStr">
        <is>
          <t>Band n50 (1.5 GHz, 60 MHz)</t>
        </is>
      </c>
      <c r="Q472" s="38">
        <f>ROUNDUP(O472/'Methodology &amp; Assumptions'!$B$9, 0)</f>
        <v/>
      </c>
      <c r="R472" s="39" t="n">
        <v>1</v>
      </c>
      <c r="S472" s="25" t="n">
        <v>1</v>
      </c>
      <c r="T472" s="25" t="n">
        <v>0.68</v>
      </c>
      <c r="U472" s="42" t="inlineStr">
        <is>
          <t>Tier 1B (Micro Drop, 1-3 km)</t>
        </is>
      </c>
      <c r="V472" s="24" t="n">
        <v>81.59999999999999</v>
      </c>
      <c r="W472" s="24" t="n">
        <v>62.4</v>
      </c>
      <c r="X472" s="24" t="n">
        <v>73</v>
      </c>
      <c r="Y472" s="45">
        <f>ROUND((V472*'Methodology &amp; Assumptions'!$B$6)+(W472*'Methodology &amp; Assumptions'!$B$5)+(X472*'Methodology &amp; Assumptions'!$B$7), 2)</f>
        <v/>
      </c>
    </row>
    <row r="473" ht="19" customHeight="1">
      <c r="A473" s="35" t="n">
        <v>469</v>
      </c>
      <c r="B473" s="35" t="n">
        <v>1469</v>
      </c>
      <c r="C473" s="36" t="inlineStr">
        <is>
          <t>0702233013</t>
        </is>
      </c>
      <c r="D473" s="36" t="inlineStr">
        <is>
          <t>Region VII (Central Visayas)</t>
        </is>
      </c>
      <c r="E473" s="36" t="inlineStr">
        <is>
          <t>Cebu</t>
        </is>
      </c>
      <c r="F473" s="36" t="inlineStr">
        <is>
          <t>Moalboal</t>
        </is>
      </c>
      <c r="G473" s="36" t="inlineStr">
        <is>
          <t>Tomonoy</t>
        </is>
      </c>
      <c r="H473" s="37" t="n">
        <v>9.931884999999999</v>
      </c>
      <c r="I473" s="37" t="n">
        <v>123.3997</v>
      </c>
      <c r="J473" s="8" t="inlineStr">
        <is>
          <t>R</t>
        </is>
      </c>
      <c r="K473" s="36" t="inlineStr">
        <is>
          <t>1st</t>
        </is>
      </c>
      <c r="L473" s="18" t="n">
        <v>2634</v>
      </c>
      <c r="M473" s="20" t="n">
        <v>4.27</v>
      </c>
      <c r="N473" s="18">
        <f>ROUND(L473/M473, 0)</f>
        <v/>
      </c>
      <c r="O473" s="18">
        <f>ROUND(N473*'Methodology &amp; Assumptions'!$B$8, 0)</f>
        <v/>
      </c>
      <c r="P473" s="8" t="inlineStr">
        <is>
          <t>Band n50 (1.5 GHz, 60 MHz)</t>
        </is>
      </c>
      <c r="Q473" s="38">
        <f>ROUNDUP(O473/'Methodology &amp; Assumptions'!$B$9, 0)</f>
        <v/>
      </c>
      <c r="R473" s="39" t="n">
        <v>1</v>
      </c>
      <c r="S473" s="21" t="n">
        <v>0.92</v>
      </c>
      <c r="T473" s="21" t="n">
        <v>0.07000000000000001</v>
      </c>
      <c r="U473" s="36" t="inlineStr">
        <is>
          <t>Tier 1A (Direct Coloc, &lt;1 km)</t>
        </is>
      </c>
      <c r="V473" s="20" t="n">
        <v>83.5</v>
      </c>
      <c r="W473" s="20" t="n">
        <v>73.3</v>
      </c>
      <c r="X473" s="20" t="n">
        <v>58</v>
      </c>
      <c r="Y473" s="40">
        <f>ROUND((V473*'Methodology &amp; Assumptions'!$B$6)+(W473*'Methodology &amp; Assumptions'!$B$5)+(X473*'Methodology &amp; Assumptions'!$B$7), 2)</f>
        <v/>
      </c>
    </row>
    <row r="474" ht="19" customHeight="1">
      <c r="A474" s="41" t="n">
        <v>470</v>
      </c>
      <c r="B474" s="41" t="n">
        <v>1470</v>
      </c>
      <c r="C474" s="42" t="inlineStr">
        <is>
          <t>0405813004</t>
        </is>
      </c>
      <c r="D474" s="42" t="inlineStr">
        <is>
          <t>Region IV-A (CALABARZON)</t>
        </is>
      </c>
      <c r="E474" s="42" t="inlineStr">
        <is>
          <t>Rizal</t>
        </is>
      </c>
      <c r="F474" s="42" t="inlineStr">
        <is>
          <t>Taytay</t>
        </is>
      </c>
      <c r="G474" s="42" t="inlineStr">
        <is>
          <t>San Juan</t>
        </is>
      </c>
      <c r="H474" s="43" t="n">
        <v>14.55591</v>
      </c>
      <c r="I474" s="43" t="n">
        <v>121.141</v>
      </c>
      <c r="J474" s="44" t="inlineStr">
        <is>
          <t>U</t>
        </is>
      </c>
      <c r="K474" s="42" t="inlineStr">
        <is>
          <t>Class 1-3 / Urban</t>
        </is>
      </c>
      <c r="L474" s="23" t="n">
        <v>127999</v>
      </c>
      <c r="M474" s="24" t="n">
        <v>4.39</v>
      </c>
      <c r="N474" s="23">
        <f>ROUND(L474/M474, 0)</f>
        <v/>
      </c>
      <c r="O474" s="23">
        <f>ROUND(N474*'Methodology &amp; Assumptions'!$B$8, 0)</f>
        <v/>
      </c>
      <c r="P474" s="44" t="inlineStr">
        <is>
          <t>Band n50 (1.5 GHz, 60 MHz)</t>
        </is>
      </c>
      <c r="Q474" s="38">
        <f>ROUNDUP(O474/'Methodology &amp; Assumptions'!$B$9, 0)</f>
        <v/>
      </c>
      <c r="R474" s="39" t="n">
        <v>1</v>
      </c>
      <c r="S474" s="25" t="n">
        <v>0.61</v>
      </c>
      <c r="T474" s="25" t="n">
        <v>0.37</v>
      </c>
      <c r="U474" s="42" t="inlineStr">
        <is>
          <t>Tier 1A (Direct Coloc, &lt;1 km)</t>
        </is>
      </c>
      <c r="V474" s="24" t="n">
        <v>91.59999999999999</v>
      </c>
      <c r="W474" s="24" t="n">
        <v>91</v>
      </c>
      <c r="X474" s="24" t="n">
        <v>28</v>
      </c>
      <c r="Y474" s="45">
        <f>ROUND((V474*'Methodology &amp; Assumptions'!$B$6)+(W474*'Methodology &amp; Assumptions'!$B$5)+(X474*'Methodology &amp; Assumptions'!$B$7), 2)</f>
        <v/>
      </c>
    </row>
    <row r="475" ht="19" customHeight="1">
      <c r="A475" s="35" t="n">
        <v>471</v>
      </c>
      <c r="B475" s="35" t="n">
        <v>1471</v>
      </c>
      <c r="C475" s="36" t="inlineStr">
        <is>
          <t>1004303010</t>
        </is>
      </c>
      <c r="D475" s="36" t="inlineStr">
        <is>
          <t>Region X (Northern Mindanao)</t>
        </is>
      </c>
      <c r="E475" s="36" t="inlineStr">
        <is>
          <t>Misamis Oriental</t>
        </is>
      </c>
      <c r="F475" s="36" t="inlineStr">
        <is>
          <t>Balingoan</t>
        </is>
      </c>
      <c r="G475" s="36" t="inlineStr">
        <is>
          <t>San Alonzo</t>
        </is>
      </c>
      <c r="H475" s="37" t="n">
        <v>9.003949</v>
      </c>
      <c r="I475" s="37" t="n">
        <v>124.838503</v>
      </c>
      <c r="J475" s="8" t="inlineStr">
        <is>
          <t>R</t>
        </is>
      </c>
      <c r="K475" s="36" t="inlineStr">
        <is>
          <t>4th</t>
        </is>
      </c>
      <c r="L475" s="18" t="n">
        <v>1665</v>
      </c>
      <c r="M475" s="20" t="n">
        <v>4.76</v>
      </c>
      <c r="N475" s="18">
        <f>ROUND(L475/M475, 0)</f>
        <v/>
      </c>
      <c r="O475" s="18">
        <f>ROUND(N475*'Methodology &amp; Assumptions'!$B$8, 0)</f>
        <v/>
      </c>
      <c r="P475" s="8" t="inlineStr">
        <is>
          <t>Band n50 (1.5 GHz, 60 MHz)</t>
        </is>
      </c>
      <c r="Q475" s="38">
        <f>ROUNDUP(O475/'Methodology &amp; Assumptions'!$B$9, 0)</f>
        <v/>
      </c>
      <c r="R475" s="39" t="n">
        <v>1</v>
      </c>
      <c r="S475" s="21" t="n">
        <v>0.46</v>
      </c>
      <c r="T475" s="21" t="n">
        <v>0.05</v>
      </c>
      <c r="U475" s="36" t="inlineStr">
        <is>
          <t>Tier 1A (Direct Coloc, &lt;1 km)</t>
        </is>
      </c>
      <c r="V475" s="20" t="n">
        <v>95.8</v>
      </c>
      <c r="W475" s="20" t="n">
        <v>52</v>
      </c>
      <c r="X475" s="20" t="n">
        <v>68.5</v>
      </c>
      <c r="Y475" s="40">
        <f>ROUND((V475*'Methodology &amp; Assumptions'!$B$6)+(W475*'Methodology &amp; Assumptions'!$B$5)+(X475*'Methodology &amp; Assumptions'!$B$7), 2)</f>
        <v/>
      </c>
    </row>
    <row r="476" ht="19" customHeight="1">
      <c r="A476" s="41" t="n">
        <v>472</v>
      </c>
      <c r="B476" s="41" t="n">
        <v>1472</v>
      </c>
      <c r="C476" s="42" t="inlineStr">
        <is>
          <t>0301421033</t>
        </is>
      </c>
      <c r="D476" s="42" t="inlineStr">
        <is>
          <t>Region III (Central Luzon)</t>
        </is>
      </c>
      <c r="E476" s="42" t="inlineStr">
        <is>
          <t>Bulacan</t>
        </is>
      </c>
      <c r="F476" s="42" t="inlineStr">
        <is>
          <t>San Miguel</t>
        </is>
      </c>
      <c r="G476" s="42" t="inlineStr">
        <is>
          <t>Paliwasan</t>
        </is>
      </c>
      <c r="H476" s="43" t="n">
        <v>15.119632</v>
      </c>
      <c r="I476" s="43" t="n">
        <v>120.967587</v>
      </c>
      <c r="J476" s="44" t="inlineStr">
        <is>
          <t>R</t>
        </is>
      </c>
      <c r="K476" s="42" t="inlineStr">
        <is>
          <t>Class 1-3 / Urban</t>
        </is>
      </c>
      <c r="L476" s="23" t="n">
        <v>3240</v>
      </c>
      <c r="M476" s="24" t="n">
        <v>4.1</v>
      </c>
      <c r="N476" s="23">
        <f>ROUND(L476/M476, 0)</f>
        <v/>
      </c>
      <c r="O476" s="23">
        <f>ROUND(N476*'Methodology &amp; Assumptions'!$B$8, 0)</f>
        <v/>
      </c>
      <c r="P476" s="44" t="inlineStr">
        <is>
          <t>Band n50 (1.5 GHz, 60 MHz)</t>
        </is>
      </c>
      <c r="Q476" s="38">
        <f>ROUNDUP(O476/'Methodology &amp; Assumptions'!$B$9, 0)</f>
        <v/>
      </c>
      <c r="R476" s="39" t="n">
        <v>1</v>
      </c>
      <c r="S476" s="25" t="n">
        <v>1.55</v>
      </c>
      <c r="T476" s="25" t="n">
        <v>1.45</v>
      </c>
      <c r="U476" s="42" t="inlineStr">
        <is>
          <t>Tier 1B (Micro Drop, 1-3 km)</t>
        </is>
      </c>
      <c r="V476" s="24" t="n">
        <v>69.59999999999999</v>
      </c>
      <c r="W476" s="24" t="n">
        <v>87.2</v>
      </c>
      <c r="X476" s="24" t="n">
        <v>58</v>
      </c>
      <c r="Y476" s="45">
        <f>ROUND((V476*'Methodology &amp; Assumptions'!$B$6)+(W476*'Methodology &amp; Assumptions'!$B$5)+(X476*'Methodology &amp; Assumptions'!$B$7), 2)</f>
        <v/>
      </c>
    </row>
    <row r="477" ht="19" customHeight="1">
      <c r="A477" s="35" t="n">
        <v>473</v>
      </c>
      <c r="B477" s="35" t="n">
        <v>1473</v>
      </c>
      <c r="C477" s="36" t="inlineStr">
        <is>
          <t>0301421046</t>
        </is>
      </c>
      <c r="D477" s="36" t="inlineStr">
        <is>
          <t>Region III (Central Luzon)</t>
        </is>
      </c>
      <c r="E477" s="36" t="inlineStr">
        <is>
          <t>Bulacan</t>
        </is>
      </c>
      <c r="F477" s="36" t="inlineStr">
        <is>
          <t>San Miguel</t>
        </is>
      </c>
      <c r="G477" s="36" t="inlineStr">
        <is>
          <t>San Vicente</t>
        </is>
      </c>
      <c r="H477" s="37" t="n">
        <v>15.14003</v>
      </c>
      <c r="I477" s="37" t="n">
        <v>120.970799</v>
      </c>
      <c r="J477" s="8" t="inlineStr">
        <is>
          <t>R</t>
        </is>
      </c>
      <c r="K477" s="36" t="inlineStr">
        <is>
          <t>Class 1-3 / Urban</t>
        </is>
      </c>
      <c r="L477" s="18" t="n">
        <v>2746</v>
      </c>
      <c r="M477" s="20" t="n">
        <v>4.1</v>
      </c>
      <c r="N477" s="18">
        <f>ROUND(L477/M477, 0)</f>
        <v/>
      </c>
      <c r="O477" s="18">
        <f>ROUND(N477*'Methodology &amp; Assumptions'!$B$8, 0)</f>
        <v/>
      </c>
      <c r="P477" s="8" t="inlineStr">
        <is>
          <t>Band n50 (1.5 GHz, 60 MHz)</t>
        </is>
      </c>
      <c r="Q477" s="38">
        <f>ROUNDUP(O477/'Methodology &amp; Assumptions'!$B$9, 0)</f>
        <v/>
      </c>
      <c r="R477" s="39" t="n">
        <v>1</v>
      </c>
      <c r="S477" s="21" t="n">
        <v>1.1</v>
      </c>
      <c r="T477" s="21" t="n">
        <v>0.26</v>
      </c>
      <c r="U477" s="36" t="inlineStr">
        <is>
          <t>Tier 1B (Micro Drop, 1-3 km)</t>
        </is>
      </c>
      <c r="V477" s="20" t="n">
        <v>79.2</v>
      </c>
      <c r="W477" s="20" t="n">
        <v>77.59999999999999</v>
      </c>
      <c r="X477" s="20" t="n">
        <v>58</v>
      </c>
      <c r="Y477" s="40">
        <f>ROUND((V477*'Methodology &amp; Assumptions'!$B$6)+(W477*'Methodology &amp; Assumptions'!$B$5)+(X477*'Methodology &amp; Assumptions'!$B$7), 2)</f>
        <v/>
      </c>
    </row>
    <row r="478" ht="19" customHeight="1">
      <c r="A478" s="41" t="n">
        <v>474</v>
      </c>
      <c r="B478" s="41" t="n">
        <v>1474</v>
      </c>
      <c r="C478" s="42" t="inlineStr">
        <is>
          <t>0105543002</t>
        </is>
      </c>
      <c r="D478" s="42" t="inlineStr">
        <is>
          <t>Region I (Ilocos Region)</t>
        </is>
      </c>
      <c r="E478" s="42" t="inlineStr">
        <is>
          <t>Pangasinan</t>
        </is>
      </c>
      <c r="F478" s="42" t="inlineStr">
        <is>
          <t>Tayug</t>
        </is>
      </c>
      <c r="G478" s="42" t="inlineStr">
        <is>
          <t>Amistad</t>
        </is>
      </c>
      <c r="H478" s="43" t="n">
        <v>16.03211</v>
      </c>
      <c r="I478" s="43" t="n">
        <v>120.746368</v>
      </c>
      <c r="J478" s="44" t="inlineStr">
        <is>
          <t>R</t>
        </is>
      </c>
      <c r="K478" s="42" t="inlineStr">
        <is>
          <t>Class 1-3 / Urban</t>
        </is>
      </c>
      <c r="L478" s="23" t="n">
        <v>2458</v>
      </c>
      <c r="M478" s="24" t="n">
        <v>4.39</v>
      </c>
      <c r="N478" s="23">
        <f>ROUND(L478/M478, 0)</f>
        <v/>
      </c>
      <c r="O478" s="23">
        <f>ROUND(N478*'Methodology &amp; Assumptions'!$B$8, 0)</f>
        <v/>
      </c>
      <c r="P478" s="44" t="inlineStr">
        <is>
          <t>Band n50 (1.5 GHz, 60 MHz)</t>
        </is>
      </c>
      <c r="Q478" s="38">
        <f>ROUNDUP(O478/'Methodology &amp; Assumptions'!$B$9, 0)</f>
        <v/>
      </c>
      <c r="R478" s="39" t="n">
        <v>1</v>
      </c>
      <c r="S478" s="25" t="n">
        <v>0.74</v>
      </c>
      <c r="T478" s="25" t="n">
        <v>1</v>
      </c>
      <c r="U478" s="42" t="inlineStr">
        <is>
          <t>Tier 1A (Direct Coloc, &lt;1 km)</t>
        </is>
      </c>
      <c r="V478" s="24" t="n">
        <v>88</v>
      </c>
      <c r="W478" s="24" t="n">
        <v>68.8</v>
      </c>
      <c r="X478" s="24" t="n">
        <v>58</v>
      </c>
      <c r="Y478" s="45">
        <f>ROUND((V478*'Methodology &amp; Assumptions'!$B$6)+(W478*'Methodology &amp; Assumptions'!$B$5)+(X478*'Methodology &amp; Assumptions'!$B$7), 2)</f>
        <v/>
      </c>
    </row>
    <row r="479" ht="19" customHeight="1">
      <c r="A479" s="35" t="n">
        <v>475</v>
      </c>
      <c r="B479" s="35" t="n">
        <v>1475</v>
      </c>
      <c r="C479" s="36" t="inlineStr">
        <is>
          <t>1600301016</t>
        </is>
      </c>
      <c r="D479" s="36" t="inlineStr">
        <is>
          <t>Region XIII (Caraga)</t>
        </is>
      </c>
      <c r="E479" s="36" t="inlineStr">
        <is>
          <t>Agusan del Sur</t>
        </is>
      </c>
      <c r="F479" s="36" t="inlineStr">
        <is>
          <t>City of Bayugan</t>
        </is>
      </c>
      <c r="G479" s="36" t="inlineStr">
        <is>
          <t>Poblacion</t>
        </is>
      </c>
      <c r="H479" s="37" t="n">
        <v>8.710711</v>
      </c>
      <c r="I479" s="37" t="n">
        <v>125.7482</v>
      </c>
      <c r="J479" s="8" t="inlineStr">
        <is>
          <t>U</t>
        </is>
      </c>
      <c r="K479" s="36" t="inlineStr">
        <is>
          <t>Class 1-3 / Urban</t>
        </is>
      </c>
      <c r="L479" s="18" t="n">
        <v>16853</v>
      </c>
      <c r="M479" s="20" t="n">
        <v>4.1</v>
      </c>
      <c r="N479" s="18">
        <f>ROUND(L479/M479, 0)</f>
        <v/>
      </c>
      <c r="O479" s="18">
        <f>ROUND(N479*'Methodology &amp; Assumptions'!$B$8, 0)</f>
        <v/>
      </c>
      <c r="P479" s="8" t="inlineStr">
        <is>
          <t>Band n50 (1.5 GHz, 60 MHz)</t>
        </is>
      </c>
      <c r="Q479" s="38">
        <f>ROUNDUP(O479/'Methodology &amp; Assumptions'!$B$9, 0)</f>
        <v/>
      </c>
      <c r="R479" s="39" t="n">
        <v>1</v>
      </c>
      <c r="S479" s="21" t="n">
        <v>0.96</v>
      </c>
      <c r="T479" s="21" t="n">
        <v>0.31</v>
      </c>
      <c r="U479" s="36" t="inlineStr">
        <is>
          <t>Tier 1A (Direct Coloc, &lt;1 km)</t>
        </is>
      </c>
      <c r="V479" s="20" t="n">
        <v>82.5</v>
      </c>
      <c r="W479" s="20" t="n">
        <v>100</v>
      </c>
      <c r="X479" s="20" t="n">
        <v>28</v>
      </c>
      <c r="Y479" s="40">
        <f>ROUND((V479*'Methodology &amp; Assumptions'!$B$6)+(W479*'Methodology &amp; Assumptions'!$B$5)+(X479*'Methodology &amp; Assumptions'!$B$7), 2)</f>
        <v/>
      </c>
    </row>
    <row r="480" ht="19" customHeight="1">
      <c r="A480" s="41" t="n">
        <v>476</v>
      </c>
      <c r="B480" s="41" t="n">
        <v>1476</v>
      </c>
      <c r="C480" s="42" t="inlineStr">
        <is>
          <t>0403403007</t>
        </is>
      </c>
      <c r="D480" s="42" t="inlineStr">
        <is>
          <t>Region IV-A (CALABARZON)</t>
        </is>
      </c>
      <c r="E480" s="42" t="inlineStr">
        <is>
          <t>Laguna</t>
        </is>
      </c>
      <c r="F480" s="42" t="inlineStr">
        <is>
          <t>City of Biñan</t>
        </is>
      </c>
      <c r="G480" s="42" t="inlineStr">
        <is>
          <t>Ganado</t>
        </is>
      </c>
      <c r="H480" s="43" t="n">
        <v>14.284724</v>
      </c>
      <c r="I480" s="43" t="n">
        <v>121.080523</v>
      </c>
      <c r="J480" s="44" t="inlineStr">
        <is>
          <t>U</t>
        </is>
      </c>
      <c r="K480" s="42" t="inlineStr">
        <is>
          <t>Class 1-3 / Urban</t>
        </is>
      </c>
      <c r="L480" s="23" t="n">
        <v>6463</v>
      </c>
      <c r="M480" s="24" t="n">
        <v>4.2</v>
      </c>
      <c r="N480" s="23">
        <f>ROUND(L480/M480, 0)</f>
        <v/>
      </c>
      <c r="O480" s="23">
        <f>ROUND(N480*'Methodology &amp; Assumptions'!$B$8, 0)</f>
        <v/>
      </c>
      <c r="P480" s="44" t="inlineStr">
        <is>
          <t>Band n50 (1.5 GHz, 60 MHz)</t>
        </is>
      </c>
      <c r="Q480" s="38">
        <f>ROUNDUP(O480/'Methodology &amp; Assumptions'!$B$9, 0)</f>
        <v/>
      </c>
      <c r="R480" s="39" t="n">
        <v>1</v>
      </c>
      <c r="S480" s="25" t="n">
        <v>0.96</v>
      </c>
      <c r="T480" s="25" t="n">
        <v>0.71</v>
      </c>
      <c r="U480" s="42" t="inlineStr">
        <is>
          <t>Tier 1A (Direct Coloc, &lt;1 km)</t>
        </is>
      </c>
      <c r="V480" s="24" t="n">
        <v>82.59999999999999</v>
      </c>
      <c r="W480" s="24" t="n">
        <v>100</v>
      </c>
      <c r="X480" s="24" t="n">
        <v>28</v>
      </c>
      <c r="Y480" s="45">
        <f>ROUND((V480*'Methodology &amp; Assumptions'!$B$6)+(W480*'Methodology &amp; Assumptions'!$B$5)+(X480*'Methodology &amp; Assumptions'!$B$7), 2)</f>
        <v/>
      </c>
    </row>
    <row r="481" ht="19" customHeight="1">
      <c r="A481" s="35" t="n">
        <v>477</v>
      </c>
      <c r="B481" s="35" t="n">
        <v>1477</v>
      </c>
      <c r="C481" s="36" t="inlineStr">
        <is>
          <t>0305410015</t>
        </is>
      </c>
      <c r="D481" s="36" t="inlineStr">
        <is>
          <t>Region III (Central Luzon)</t>
        </is>
      </c>
      <c r="E481" s="36" t="inlineStr">
        <is>
          <t>Pampanga</t>
        </is>
      </c>
      <c r="F481" s="36" t="inlineStr">
        <is>
          <t>Macabebe</t>
        </is>
      </c>
      <c r="G481" s="36" t="inlineStr">
        <is>
          <t>San Roque</t>
        </is>
      </c>
      <c r="H481" s="37" t="n">
        <v>14.909192</v>
      </c>
      <c r="I481" s="37" t="n">
        <v>120.714785</v>
      </c>
      <c r="J481" s="8" t="inlineStr">
        <is>
          <t>R</t>
        </is>
      </c>
      <c r="K481" s="36" t="inlineStr">
        <is>
          <t>Class 1-3 / Urban</t>
        </is>
      </c>
      <c r="L481" s="18" t="n">
        <v>4127</v>
      </c>
      <c r="M481" s="20" t="n">
        <v>4.63</v>
      </c>
      <c r="N481" s="18">
        <f>ROUND(L481/M481, 0)</f>
        <v/>
      </c>
      <c r="O481" s="18">
        <f>ROUND(N481*'Methodology &amp; Assumptions'!$B$8, 0)</f>
        <v/>
      </c>
      <c r="P481" s="8" t="inlineStr">
        <is>
          <t>Band n50 (1.5 GHz, 60 MHz)</t>
        </is>
      </c>
      <c r="Q481" s="38">
        <f>ROUNDUP(O481/'Methodology &amp; Assumptions'!$B$9, 0)</f>
        <v/>
      </c>
      <c r="R481" s="39" t="n">
        <v>1</v>
      </c>
      <c r="S481" s="21" t="n">
        <v>2.16</v>
      </c>
      <c r="T481" s="21" t="n">
        <v>2.13</v>
      </c>
      <c r="U481" s="36" t="inlineStr">
        <is>
          <t>Tier 1B (Micro Drop, 1-3 km)</t>
        </is>
      </c>
      <c r="V481" s="20" t="n">
        <v>48.7</v>
      </c>
      <c r="W481" s="20" t="n">
        <v>95.2</v>
      </c>
      <c r="X481" s="20" t="n">
        <v>73</v>
      </c>
      <c r="Y481" s="40">
        <f>ROUND((V481*'Methodology &amp; Assumptions'!$B$6)+(W481*'Methodology &amp; Assumptions'!$B$5)+(X481*'Methodology &amp; Assumptions'!$B$7), 2)</f>
        <v/>
      </c>
    </row>
    <row r="482" ht="19" customHeight="1">
      <c r="A482" s="41" t="n">
        <v>478</v>
      </c>
      <c r="B482" s="41" t="n">
        <v>1478</v>
      </c>
      <c r="C482" s="42" t="inlineStr">
        <is>
          <t>0402117019</t>
        </is>
      </c>
      <c r="D482" s="42" t="inlineStr">
        <is>
          <t>Region IV-A (CALABARZON)</t>
        </is>
      </c>
      <c r="E482" s="42" t="inlineStr">
        <is>
          <t>Cavite</t>
        </is>
      </c>
      <c r="F482" s="42" t="inlineStr">
        <is>
          <t>Rosario</t>
        </is>
      </c>
      <c r="G482" s="42" t="inlineStr">
        <is>
          <t>Silangan II</t>
        </is>
      </c>
      <c r="H482" s="43" t="n">
        <v>14.416045</v>
      </c>
      <c r="I482" s="43" t="n">
        <v>120.858149</v>
      </c>
      <c r="J482" s="44" t="inlineStr">
        <is>
          <t>R</t>
        </is>
      </c>
      <c r="K482" s="42" t="inlineStr">
        <is>
          <t>Class 1-3 / Urban</t>
        </is>
      </c>
      <c r="L482" s="23" t="n">
        <v>3873</v>
      </c>
      <c r="M482" s="24" t="n">
        <v>4.49</v>
      </c>
      <c r="N482" s="23">
        <f>ROUND(L482/M482, 0)</f>
        <v/>
      </c>
      <c r="O482" s="23">
        <f>ROUND(N482*'Methodology &amp; Assumptions'!$B$8, 0)</f>
        <v/>
      </c>
      <c r="P482" s="44" t="inlineStr">
        <is>
          <t>Band n50 (1.5 GHz, 60 MHz)</t>
        </is>
      </c>
      <c r="Q482" s="38">
        <f>ROUNDUP(O482/'Methodology &amp; Assumptions'!$B$9, 0)</f>
        <v/>
      </c>
      <c r="R482" s="39" t="n">
        <v>1</v>
      </c>
      <c r="S482" s="25" t="n">
        <v>2.03</v>
      </c>
      <c r="T482" s="25" t="n">
        <v>2.28</v>
      </c>
      <c r="U482" s="42" t="inlineStr">
        <is>
          <t>Tier 1B (Micro Drop, 1-3 km)</t>
        </is>
      </c>
      <c r="V482" s="24" t="n">
        <v>50.9</v>
      </c>
      <c r="W482" s="24" t="n">
        <v>93.09999999999999</v>
      </c>
      <c r="X482" s="24" t="n">
        <v>73</v>
      </c>
      <c r="Y482" s="45">
        <f>ROUND((V482*'Methodology &amp; Assumptions'!$B$6)+(W482*'Methodology &amp; Assumptions'!$B$5)+(X482*'Methodology &amp; Assumptions'!$B$7), 2)</f>
        <v/>
      </c>
    </row>
    <row r="483" ht="19" customHeight="1">
      <c r="A483" s="35" t="n">
        <v>479</v>
      </c>
      <c r="B483" s="35" t="n">
        <v>1479</v>
      </c>
      <c r="C483" s="36" t="inlineStr">
        <is>
          <t>0300804020</t>
        </is>
      </c>
      <c r="D483" s="36" t="inlineStr">
        <is>
          <t>Region III (Central Luzon)</t>
        </is>
      </c>
      <c r="E483" s="36" t="inlineStr">
        <is>
          <t>Bataan</t>
        </is>
      </c>
      <c r="F483" s="36" t="inlineStr">
        <is>
          <t>Dinalupihan</t>
        </is>
      </c>
      <c r="G483" s="36" t="inlineStr">
        <is>
          <t>Naparing</t>
        </is>
      </c>
      <c r="H483" s="37" t="n">
        <v>14.846732</v>
      </c>
      <c r="I483" s="37" t="n">
        <v>120.407899</v>
      </c>
      <c r="J483" s="8" t="inlineStr">
        <is>
          <t>R</t>
        </is>
      </c>
      <c r="K483" s="36" t="inlineStr">
        <is>
          <t>Class 1-3 / Urban</t>
        </is>
      </c>
      <c r="L483" s="18" t="n">
        <v>3105</v>
      </c>
      <c r="M483" s="20" t="n">
        <v>4.57</v>
      </c>
      <c r="N483" s="18">
        <f>ROUND(L483/M483, 0)</f>
        <v/>
      </c>
      <c r="O483" s="18">
        <f>ROUND(N483*'Methodology &amp; Assumptions'!$B$8, 0)</f>
        <v/>
      </c>
      <c r="P483" s="8" t="inlineStr">
        <is>
          <t>Band n50 (1.5 GHz, 60 MHz)</t>
        </is>
      </c>
      <c r="Q483" s="38">
        <f>ROUNDUP(O483/'Methodology &amp; Assumptions'!$B$9, 0)</f>
        <v/>
      </c>
      <c r="R483" s="39" t="n">
        <v>1</v>
      </c>
      <c r="S483" s="21" t="n">
        <v>1.14</v>
      </c>
      <c r="T483" s="21" t="n">
        <v>0.05</v>
      </c>
      <c r="U483" s="36" t="inlineStr">
        <is>
          <t>Tier 1B (Micro Drop, 1-3 km)</t>
        </is>
      </c>
      <c r="V483" s="20" t="n">
        <v>78.40000000000001</v>
      </c>
      <c r="W483" s="20" t="n">
        <v>78.40000000000001</v>
      </c>
      <c r="X483" s="20" t="n">
        <v>58</v>
      </c>
      <c r="Y483" s="40">
        <f>ROUND((V483*'Methodology &amp; Assumptions'!$B$6)+(W483*'Methodology &amp; Assumptions'!$B$5)+(X483*'Methodology &amp; Assumptions'!$B$7), 2)</f>
        <v/>
      </c>
    </row>
    <row r="484" ht="19" customHeight="1">
      <c r="A484" s="41" t="n">
        <v>480</v>
      </c>
      <c r="B484" s="41" t="n">
        <v>1480</v>
      </c>
      <c r="C484" s="42" t="inlineStr">
        <is>
          <t>0402118011</t>
        </is>
      </c>
      <c r="D484" s="42" t="inlineStr">
        <is>
          <t>Region IV-A (CALABARZON)</t>
        </is>
      </c>
      <c r="E484" s="42" t="inlineStr">
        <is>
          <t>Cavite</t>
        </is>
      </c>
      <c r="F484" s="42" t="inlineStr">
        <is>
          <t>Silang</t>
        </is>
      </c>
      <c r="G484" s="42" t="inlineStr">
        <is>
          <t>Bulihan</t>
        </is>
      </c>
      <c r="H484" s="43" t="n">
        <v>14.280578</v>
      </c>
      <c r="I484" s="43" t="n">
        <v>120.997026</v>
      </c>
      <c r="J484" s="44" t="inlineStr">
        <is>
          <t>U</t>
        </is>
      </c>
      <c r="K484" s="42" t="inlineStr">
        <is>
          <t>Class 1-3 / Urban</t>
        </is>
      </c>
      <c r="L484" s="23" t="n">
        <v>24985</v>
      </c>
      <c r="M484" s="24" t="n">
        <v>4.49</v>
      </c>
      <c r="N484" s="23">
        <f>ROUND(L484/M484, 0)</f>
        <v/>
      </c>
      <c r="O484" s="23">
        <f>ROUND(N484*'Methodology &amp; Assumptions'!$B$8, 0)</f>
        <v/>
      </c>
      <c r="P484" s="44" t="inlineStr">
        <is>
          <t>Band n50 (1.5 GHz, 60 MHz)</t>
        </is>
      </c>
      <c r="Q484" s="38">
        <f>ROUNDUP(O484/'Methodology &amp; Assumptions'!$B$9, 0)</f>
        <v/>
      </c>
      <c r="R484" s="39" t="n">
        <v>1</v>
      </c>
      <c r="S484" s="25" t="n">
        <v>0.58</v>
      </c>
      <c r="T484" s="25" t="n">
        <v>3.4</v>
      </c>
      <c r="U484" s="42" t="inlineStr">
        <is>
          <t>Tier 1A (Direct Coloc, &lt;1 km)</t>
        </is>
      </c>
      <c r="V484" s="24" t="n">
        <v>82.5</v>
      </c>
      <c r="W484" s="24" t="n">
        <v>100</v>
      </c>
      <c r="X484" s="24" t="n">
        <v>28</v>
      </c>
      <c r="Y484" s="45">
        <f>ROUND((V484*'Methodology &amp; Assumptions'!$B$6)+(W484*'Methodology &amp; Assumptions'!$B$5)+(X484*'Methodology &amp; Assumptions'!$B$7), 2)</f>
        <v/>
      </c>
    </row>
    <row r="485" ht="19" customHeight="1">
      <c r="A485" s="35" t="n">
        <v>481</v>
      </c>
      <c r="B485" s="35" t="n">
        <v>1481</v>
      </c>
      <c r="C485" s="36" t="inlineStr">
        <is>
          <t>1130700153</t>
        </is>
      </c>
      <c r="D485" s="36" t="inlineStr">
        <is>
          <t>Region XI (Davao Region)</t>
        </is>
      </c>
      <c r="E485" s="36" t="inlineStr">
        <is>
          <t>Davao del Sur</t>
        </is>
      </c>
      <c r="F485" s="36" t="inlineStr">
        <is>
          <t>City of Davao</t>
        </is>
      </c>
      <c r="G485" s="36" t="inlineStr">
        <is>
          <t>Barangay 20-B</t>
        </is>
      </c>
      <c r="H485" s="37" t="n">
        <v>7.088906</v>
      </c>
      <c r="I485" s="37" t="n">
        <v>125.613649</v>
      </c>
      <c r="J485" s="8" t="inlineStr">
        <is>
          <t>U</t>
        </is>
      </c>
      <c r="K485" s="36" t="inlineStr">
        <is>
          <t>Class 1-3 / Urban</t>
        </is>
      </c>
      <c r="L485" s="18" t="n">
        <v>4929</v>
      </c>
      <c r="M485" s="20" t="n">
        <v>4.1</v>
      </c>
      <c r="N485" s="18">
        <f>ROUND(L485/M485, 0)</f>
        <v/>
      </c>
      <c r="O485" s="18">
        <f>ROUND(N485*'Methodology &amp; Assumptions'!$B$8, 0)</f>
        <v/>
      </c>
      <c r="P485" s="8" t="inlineStr">
        <is>
          <t>Band n50 (1.5 GHz, 60 MHz)</t>
        </is>
      </c>
      <c r="Q485" s="38">
        <f>ROUNDUP(O485/'Methodology &amp; Assumptions'!$B$9, 0)</f>
        <v/>
      </c>
      <c r="R485" s="39" t="n">
        <v>1</v>
      </c>
      <c r="S485" s="21" t="n">
        <v>0.96</v>
      </c>
      <c r="T485" s="21" t="n">
        <v>0.39</v>
      </c>
      <c r="U485" s="36" t="inlineStr">
        <is>
          <t>Tier 1A (Direct Coloc, &lt;1 km)</t>
        </is>
      </c>
      <c r="V485" s="20" t="n">
        <v>82.5</v>
      </c>
      <c r="W485" s="20" t="n">
        <v>100</v>
      </c>
      <c r="X485" s="20" t="n">
        <v>28</v>
      </c>
      <c r="Y485" s="40">
        <f>ROUND((V485*'Methodology &amp; Assumptions'!$B$6)+(W485*'Methodology &amp; Assumptions'!$B$5)+(X485*'Methodology &amp; Assumptions'!$B$7), 2)</f>
        <v/>
      </c>
    </row>
    <row r="486" ht="19" customHeight="1">
      <c r="A486" s="41" t="n">
        <v>482</v>
      </c>
      <c r="B486" s="41" t="n">
        <v>1482</v>
      </c>
      <c r="C486" s="42" t="inlineStr">
        <is>
          <t>0604526005</t>
        </is>
      </c>
      <c r="D486" s="42" t="inlineStr">
        <is>
          <t>Region VI (Western Visayas)</t>
        </is>
      </c>
      <c r="E486" s="42" t="inlineStr">
        <is>
          <t>Negros Occidental</t>
        </is>
      </c>
      <c r="F486" s="42" t="inlineStr">
        <is>
          <t>City of Silay</t>
        </is>
      </c>
      <c r="G486" s="42" t="inlineStr">
        <is>
          <t>Barangay IV</t>
        </is>
      </c>
      <c r="H486" s="43" t="n">
        <v>10.796436</v>
      </c>
      <c r="I486" s="43" t="n">
        <v>122.981724</v>
      </c>
      <c r="J486" s="44" t="inlineStr">
        <is>
          <t>U</t>
        </is>
      </c>
      <c r="K486" s="42" t="inlineStr">
        <is>
          <t>Class 1-3 / Urban</t>
        </is>
      </c>
      <c r="L486" s="23" t="n">
        <v>4050</v>
      </c>
      <c r="M486" s="24" t="n">
        <v>4.33</v>
      </c>
      <c r="N486" s="23">
        <f>ROUND(L486/M486, 0)</f>
        <v/>
      </c>
      <c r="O486" s="23">
        <f>ROUND(N486*'Methodology &amp; Assumptions'!$B$8, 0)</f>
        <v/>
      </c>
      <c r="P486" s="44" t="inlineStr">
        <is>
          <t>Band n50 (1.5 GHz, 60 MHz)</t>
        </is>
      </c>
      <c r="Q486" s="38">
        <f>ROUNDUP(O486/'Methodology &amp; Assumptions'!$B$9, 0)</f>
        <v/>
      </c>
      <c r="R486" s="39" t="n">
        <v>1</v>
      </c>
      <c r="S486" s="25" t="n">
        <v>0.91</v>
      </c>
      <c r="T486" s="25" t="n">
        <v>0.72</v>
      </c>
      <c r="U486" s="42" t="inlineStr">
        <is>
          <t>Tier 1A (Direct Coloc, &lt;1 km)</t>
        </is>
      </c>
      <c r="V486" s="24" t="n">
        <v>83.8</v>
      </c>
      <c r="W486" s="24" t="n">
        <v>98.7</v>
      </c>
      <c r="X486" s="24" t="n">
        <v>28</v>
      </c>
      <c r="Y486" s="45">
        <f>ROUND((V486*'Methodology &amp; Assumptions'!$B$6)+(W486*'Methodology &amp; Assumptions'!$B$5)+(X486*'Methodology &amp; Assumptions'!$B$7), 2)</f>
        <v/>
      </c>
    </row>
    <row r="487" ht="19" customHeight="1">
      <c r="A487" s="35" t="n">
        <v>483</v>
      </c>
      <c r="B487" s="35" t="n">
        <v>1483</v>
      </c>
      <c r="C487" s="36" t="inlineStr">
        <is>
          <t>0501717036</t>
        </is>
      </c>
      <c r="D487" s="36" t="inlineStr">
        <is>
          <t>Region V (Bicol Region)</t>
        </is>
      </c>
      <c r="E487" s="36" t="inlineStr">
        <is>
          <t>Camarines Sur</t>
        </is>
      </c>
      <c r="F487" s="36" t="inlineStr">
        <is>
          <t>Lagonoy</t>
        </is>
      </c>
      <c r="G487" s="36" t="inlineStr">
        <is>
          <t>Santa Maria</t>
        </is>
      </c>
      <c r="H487" s="37" t="n">
        <v>13.737289</v>
      </c>
      <c r="I487" s="37" t="n">
        <v>123.521808</v>
      </c>
      <c r="J487" s="8" t="inlineStr">
        <is>
          <t>R</t>
        </is>
      </c>
      <c r="K487" s="36" t="inlineStr">
        <is>
          <t>Class 1-3 / Urban</t>
        </is>
      </c>
      <c r="L487" s="18" t="n">
        <v>3131</v>
      </c>
      <c r="M487" s="20" t="n">
        <v>4.9</v>
      </c>
      <c r="N487" s="18">
        <f>ROUND(L487/M487, 0)</f>
        <v/>
      </c>
      <c r="O487" s="18">
        <f>ROUND(N487*'Methodology &amp; Assumptions'!$B$8, 0)</f>
        <v/>
      </c>
      <c r="P487" s="8" t="inlineStr">
        <is>
          <t>Band n50 (1.5 GHz, 60 MHz)</t>
        </is>
      </c>
      <c r="Q487" s="38">
        <f>ROUNDUP(O487/'Methodology &amp; Assumptions'!$B$9, 0)</f>
        <v/>
      </c>
      <c r="R487" s="39" t="n">
        <v>1</v>
      </c>
      <c r="S487" s="21" t="n">
        <v>0.61</v>
      </c>
      <c r="T487" s="21" t="n">
        <v>6.05</v>
      </c>
      <c r="U487" s="36" t="inlineStr">
        <is>
          <t>Tier 1A (Direct Coloc, &lt;1 km)</t>
        </is>
      </c>
      <c r="V487" s="20" t="n">
        <v>81.59999999999999</v>
      </c>
      <c r="W487" s="20" t="n">
        <v>75.2</v>
      </c>
      <c r="X487" s="20" t="n">
        <v>58</v>
      </c>
      <c r="Y487" s="40">
        <f>ROUND((V487*'Methodology &amp; Assumptions'!$B$6)+(W487*'Methodology &amp; Assumptions'!$B$5)+(X487*'Methodology &amp; Assumptions'!$B$7), 2)</f>
        <v/>
      </c>
    </row>
    <row r="488" ht="19" customHeight="1">
      <c r="A488" s="41" t="n">
        <v>484</v>
      </c>
      <c r="B488" s="41" t="n">
        <v>1484</v>
      </c>
      <c r="C488" s="42" t="inlineStr">
        <is>
          <t>0203101005</t>
        </is>
      </c>
      <c r="D488" s="42" t="inlineStr">
        <is>
          <t>Region II (Cagayan Valley)</t>
        </is>
      </c>
      <c r="E488" s="42" t="inlineStr">
        <is>
          <t>Isabela</t>
        </is>
      </c>
      <c r="F488" s="42" t="inlineStr">
        <is>
          <t>Alicia</t>
        </is>
      </c>
      <c r="G488" s="42" t="inlineStr">
        <is>
          <t>Bagnos</t>
        </is>
      </c>
      <c r="H488" s="43" t="n">
        <v>16.8051</v>
      </c>
      <c r="I488" s="43" t="n">
        <v>121.6303</v>
      </c>
      <c r="J488" s="44" t="inlineStr">
        <is>
          <t>R</t>
        </is>
      </c>
      <c r="K488" s="42" t="inlineStr">
        <is>
          <t>Class 1-3 / Urban</t>
        </is>
      </c>
      <c r="L488" s="23" t="n">
        <v>2217</v>
      </c>
      <c r="M488" s="24" t="n">
        <v>4.3</v>
      </c>
      <c r="N488" s="23">
        <f>ROUND(L488/M488, 0)</f>
        <v/>
      </c>
      <c r="O488" s="23">
        <f>ROUND(N488*'Methodology &amp; Assumptions'!$B$8, 0)</f>
        <v/>
      </c>
      <c r="P488" s="44" t="inlineStr">
        <is>
          <t>Band n50 (1.5 GHz, 60 MHz)</t>
        </is>
      </c>
      <c r="Q488" s="38">
        <f>ROUNDUP(O488/'Methodology &amp; Assumptions'!$B$9, 0)</f>
        <v/>
      </c>
      <c r="R488" s="39" t="n">
        <v>1</v>
      </c>
      <c r="S488" s="25" t="n">
        <v>0.27</v>
      </c>
      <c r="T488" s="25" t="n">
        <v>7.93</v>
      </c>
      <c r="U488" s="42" t="inlineStr">
        <is>
          <t>Tier 1A (Direct Coloc, &lt;1 km)</t>
        </is>
      </c>
      <c r="V488" s="24" t="n">
        <v>91.40000000000001</v>
      </c>
      <c r="W488" s="24" t="n">
        <v>65.3</v>
      </c>
      <c r="X488" s="24" t="n">
        <v>58</v>
      </c>
      <c r="Y488" s="45">
        <f>ROUND((V488*'Methodology &amp; Assumptions'!$B$6)+(W488*'Methodology &amp; Assumptions'!$B$5)+(X488*'Methodology &amp; Assumptions'!$B$7), 2)</f>
        <v/>
      </c>
    </row>
    <row r="489" ht="19" customHeight="1">
      <c r="A489" s="35" t="n">
        <v>485</v>
      </c>
      <c r="B489" s="35" t="n">
        <v>1485</v>
      </c>
      <c r="C489" s="36" t="inlineStr">
        <is>
          <t>0307114011</t>
        </is>
      </c>
      <c r="D489" s="36" t="inlineStr">
        <is>
          <t>Region III (Central Luzon)</t>
        </is>
      </c>
      <c r="E489" s="36" t="inlineStr">
        <is>
          <t>Zambales</t>
        </is>
      </c>
      <c r="F489" s="36" t="inlineStr">
        <is>
          <t>Subic</t>
        </is>
      </c>
      <c r="G489" s="36" t="inlineStr">
        <is>
          <t>Cawag</t>
        </is>
      </c>
      <c r="H489" s="37" t="n">
        <v>14.885332</v>
      </c>
      <c r="I489" s="37" t="n">
        <v>120.223903</v>
      </c>
      <c r="J489" s="8" t="inlineStr">
        <is>
          <t>U</t>
        </is>
      </c>
      <c r="K489" s="36" t="inlineStr">
        <is>
          <t>Class 1-3 / Urban</t>
        </is>
      </c>
      <c r="L489" s="18" t="n">
        <v>16982</v>
      </c>
      <c r="M489" s="20" t="n">
        <v>4.05</v>
      </c>
      <c r="N489" s="18">
        <f>ROUND(L489/M489, 0)</f>
        <v/>
      </c>
      <c r="O489" s="18">
        <f>ROUND(N489*'Methodology &amp; Assumptions'!$B$8, 0)</f>
        <v/>
      </c>
      <c r="P489" s="8" t="inlineStr">
        <is>
          <t>Band n50 (1.5 GHz, 60 MHz)</t>
        </is>
      </c>
      <c r="Q489" s="38">
        <f>ROUNDUP(O489/'Methodology &amp; Assumptions'!$B$9, 0)</f>
        <v/>
      </c>
      <c r="R489" s="39" t="n">
        <v>1</v>
      </c>
      <c r="S489" s="21" t="n">
        <v>1.55</v>
      </c>
      <c r="T489" s="21" t="n">
        <v>1.3</v>
      </c>
      <c r="U489" s="36" t="inlineStr">
        <is>
          <t>Tier 1B (Micro Drop, 1-3 km)</t>
        </is>
      </c>
      <c r="V489" s="20" t="n">
        <v>69.59999999999999</v>
      </c>
      <c r="W489" s="20" t="n">
        <v>100</v>
      </c>
      <c r="X489" s="20" t="n">
        <v>43</v>
      </c>
      <c r="Y489" s="40">
        <f>ROUND((V489*'Methodology &amp; Assumptions'!$B$6)+(W489*'Methodology &amp; Assumptions'!$B$5)+(X489*'Methodology &amp; Assumptions'!$B$7), 2)</f>
        <v/>
      </c>
    </row>
    <row r="490" ht="19" customHeight="1">
      <c r="A490" s="41" t="n">
        <v>486</v>
      </c>
      <c r="B490" s="41" t="n">
        <v>1486</v>
      </c>
      <c r="C490" s="42" t="inlineStr">
        <is>
          <t>0702232002</t>
        </is>
      </c>
      <c r="D490" s="42" t="inlineStr">
        <is>
          <t>Region VII (Central Visayas)</t>
        </is>
      </c>
      <c r="E490" s="42" t="inlineStr">
        <is>
          <t>Cebu</t>
        </is>
      </c>
      <c r="F490" s="42" t="inlineStr">
        <is>
          <t>Minglanilla</t>
        </is>
      </c>
      <c r="G490" s="42" t="inlineStr">
        <is>
          <t>Calajo-an</t>
        </is>
      </c>
      <c r="H490" s="43" t="n">
        <v>10.239676</v>
      </c>
      <c r="I490" s="43" t="n">
        <v>123.802525</v>
      </c>
      <c r="J490" s="44" t="inlineStr">
        <is>
          <t>U</t>
        </is>
      </c>
      <c r="K490" s="42" t="inlineStr">
        <is>
          <t>Class 1-3 / Urban</t>
        </is>
      </c>
      <c r="L490" s="23" t="n">
        <v>12958</v>
      </c>
      <c r="M490" s="24" t="n">
        <v>4.42</v>
      </c>
      <c r="N490" s="23">
        <f>ROUND(L490/M490, 0)</f>
        <v/>
      </c>
      <c r="O490" s="23">
        <f>ROUND(N490*'Methodology &amp; Assumptions'!$B$8, 0)</f>
        <v/>
      </c>
      <c r="P490" s="44" t="inlineStr">
        <is>
          <t>Band n50 (1.5 GHz, 60 MHz)</t>
        </is>
      </c>
      <c r="Q490" s="38">
        <f>ROUNDUP(O490/'Methodology &amp; Assumptions'!$B$9, 0)</f>
        <v/>
      </c>
      <c r="R490" s="39" t="n">
        <v>1</v>
      </c>
      <c r="S490" s="25" t="n">
        <v>0.97</v>
      </c>
      <c r="T490" s="25" t="n">
        <v>0.16</v>
      </c>
      <c r="U490" s="42" t="inlineStr">
        <is>
          <t>Tier 1A (Direct Coloc, &lt;1 km)</t>
        </is>
      </c>
      <c r="V490" s="24" t="n">
        <v>82.5</v>
      </c>
      <c r="W490" s="24" t="n">
        <v>100</v>
      </c>
      <c r="X490" s="24" t="n">
        <v>28</v>
      </c>
      <c r="Y490" s="45">
        <f>ROUND((V490*'Methodology &amp; Assumptions'!$B$6)+(W490*'Methodology &amp; Assumptions'!$B$5)+(X490*'Methodology &amp; Assumptions'!$B$7), 2)</f>
        <v/>
      </c>
    </row>
    <row r="491" ht="19" customHeight="1">
      <c r="A491" s="35" t="n">
        <v>487</v>
      </c>
      <c r="B491" s="35" t="n">
        <v>1487</v>
      </c>
      <c r="C491" s="36" t="inlineStr">
        <is>
          <t>1004319003</t>
        </is>
      </c>
      <c r="D491" s="36" t="inlineStr">
        <is>
          <t>Region X (Northern Mindanao)</t>
        </is>
      </c>
      <c r="E491" s="36" t="inlineStr">
        <is>
          <t>Misamis Oriental</t>
        </is>
      </c>
      <c r="F491" s="36" t="inlineStr">
        <is>
          <t>Medina</t>
        </is>
      </c>
      <c r="G491" s="36" t="inlineStr">
        <is>
          <t>Cabug</t>
        </is>
      </c>
      <c r="H491" s="37" t="n">
        <v>8.904334</v>
      </c>
      <c r="I491" s="37" t="n">
        <v>125.024934</v>
      </c>
      <c r="J491" s="8" t="inlineStr">
        <is>
          <t>R</t>
        </is>
      </c>
      <c r="K491" s="36" t="inlineStr">
        <is>
          <t>2nd</t>
        </is>
      </c>
      <c r="L491" s="18" t="n">
        <v>2830</v>
      </c>
      <c r="M491" s="20" t="n">
        <v>4.59</v>
      </c>
      <c r="N491" s="18">
        <f>ROUND(L491/M491, 0)</f>
        <v/>
      </c>
      <c r="O491" s="18">
        <f>ROUND(N491*'Methodology &amp; Assumptions'!$B$8, 0)</f>
        <v/>
      </c>
      <c r="P491" s="8" t="inlineStr">
        <is>
          <t>Band n50 (1.5 GHz, 60 MHz)</t>
        </is>
      </c>
      <c r="Q491" s="38">
        <f>ROUNDUP(O491/'Methodology &amp; Assumptions'!$B$9, 0)</f>
        <v/>
      </c>
      <c r="R491" s="39" t="n">
        <v>1</v>
      </c>
      <c r="S491" s="21" t="n">
        <v>0.93</v>
      </c>
      <c r="T491" s="21" t="n">
        <v>0.7</v>
      </c>
      <c r="U491" s="36" t="inlineStr">
        <is>
          <t>Tier 1A (Direct Coloc, &lt;1 km)</t>
        </is>
      </c>
      <c r="V491" s="20" t="n">
        <v>83.40000000000001</v>
      </c>
      <c r="W491" s="20" t="n">
        <v>73.3</v>
      </c>
      <c r="X491" s="20" t="n">
        <v>58</v>
      </c>
      <c r="Y491" s="40">
        <f>ROUND((V491*'Methodology &amp; Assumptions'!$B$6)+(W491*'Methodology &amp; Assumptions'!$B$5)+(X491*'Methodology &amp; Assumptions'!$B$7), 2)</f>
        <v/>
      </c>
    </row>
    <row r="492" ht="19" customHeight="1">
      <c r="A492" s="41" t="n">
        <v>488</v>
      </c>
      <c r="B492" s="41" t="n">
        <v>1488</v>
      </c>
      <c r="C492" s="42" t="inlineStr">
        <is>
          <t>0301419028</t>
        </is>
      </c>
      <c r="D492" s="42" t="inlineStr">
        <is>
          <t>Region III (Central Luzon)</t>
        </is>
      </c>
      <c r="E492" s="42" t="inlineStr">
        <is>
          <t>Bulacan</t>
        </is>
      </c>
      <c r="F492" s="42" t="inlineStr">
        <is>
          <t>San Ildefonso</t>
        </is>
      </c>
      <c r="G492" s="42" t="inlineStr">
        <is>
          <t>San Juan</t>
        </is>
      </c>
      <c r="H492" s="43" t="n">
        <v>15.081969</v>
      </c>
      <c r="I492" s="43" t="n">
        <v>120.939365</v>
      </c>
      <c r="J492" s="44" t="inlineStr">
        <is>
          <t>U</t>
        </is>
      </c>
      <c r="K492" s="42" t="inlineStr">
        <is>
          <t>Class 1-3 / Urban</t>
        </is>
      </c>
      <c r="L492" s="23" t="n">
        <v>4986</v>
      </c>
      <c r="M492" s="24" t="n">
        <v>4.1</v>
      </c>
      <c r="N492" s="23">
        <f>ROUND(L492/M492, 0)</f>
        <v/>
      </c>
      <c r="O492" s="23">
        <f>ROUND(N492*'Methodology &amp; Assumptions'!$B$8, 0)</f>
        <v/>
      </c>
      <c r="P492" s="44" t="inlineStr">
        <is>
          <t>Band n50 (1.5 GHz, 60 MHz)</t>
        </is>
      </c>
      <c r="Q492" s="38">
        <f>ROUNDUP(O492/'Methodology &amp; Assumptions'!$B$9, 0)</f>
        <v/>
      </c>
      <c r="R492" s="39" t="n">
        <v>1</v>
      </c>
      <c r="S492" s="25" t="n">
        <v>0.97</v>
      </c>
      <c r="T492" s="25" t="n">
        <v>0.1</v>
      </c>
      <c r="U492" s="42" t="inlineStr">
        <is>
          <t>Tier 1A (Direct Coloc, &lt;1 km)</t>
        </is>
      </c>
      <c r="V492" s="24" t="n">
        <v>82.5</v>
      </c>
      <c r="W492" s="24" t="n">
        <v>100</v>
      </c>
      <c r="X492" s="24" t="n">
        <v>28</v>
      </c>
      <c r="Y492" s="45">
        <f>ROUND((V492*'Methodology &amp; Assumptions'!$B$6)+(W492*'Methodology &amp; Assumptions'!$B$5)+(X492*'Methodology &amp; Assumptions'!$B$7), 2)</f>
        <v/>
      </c>
    </row>
    <row r="493" ht="19" customHeight="1">
      <c r="A493" s="35" t="n">
        <v>489</v>
      </c>
      <c r="B493" s="35" t="n">
        <v>1489</v>
      </c>
      <c r="C493" s="36" t="inlineStr">
        <is>
          <t>0601910013</t>
        </is>
      </c>
      <c r="D493" s="36" t="inlineStr">
        <is>
          <t>Region VI (Western Visayas)</t>
        </is>
      </c>
      <c r="E493" s="36" t="inlineStr">
        <is>
          <t>Capiz</t>
        </is>
      </c>
      <c r="F493" s="36" t="inlineStr">
        <is>
          <t>Panitan</t>
        </is>
      </c>
      <c r="G493" s="36" t="inlineStr">
        <is>
          <t>Cogon</t>
        </is>
      </c>
      <c r="H493" s="37" t="n">
        <v>11.458097</v>
      </c>
      <c r="I493" s="37" t="n">
        <v>122.815847</v>
      </c>
      <c r="J493" s="8" t="inlineStr">
        <is>
          <t>R</t>
        </is>
      </c>
      <c r="K493" s="36" t="inlineStr">
        <is>
          <t>Class 1-3 / Urban</t>
        </is>
      </c>
      <c r="L493" s="18" t="n">
        <v>3810</v>
      </c>
      <c r="M493" s="20" t="n">
        <v>4.2</v>
      </c>
      <c r="N493" s="18">
        <f>ROUND(L493/M493, 0)</f>
        <v/>
      </c>
      <c r="O493" s="18">
        <f>ROUND(N493*'Methodology &amp; Assumptions'!$B$8, 0)</f>
        <v/>
      </c>
      <c r="P493" s="8" t="inlineStr">
        <is>
          <t>Band n50 (1.5 GHz, 60 MHz)</t>
        </is>
      </c>
      <c r="Q493" s="38">
        <f>ROUNDUP(O493/'Methodology &amp; Assumptions'!$B$9, 0)</f>
        <v/>
      </c>
      <c r="R493" s="39" t="n">
        <v>1</v>
      </c>
      <c r="S493" s="21" t="n">
        <v>2.96</v>
      </c>
      <c r="T493" s="21" t="n">
        <v>0.04</v>
      </c>
      <c r="U493" s="36" t="inlineStr">
        <is>
          <t>Tier 1B (Micro Drop, 1-3 km)</t>
        </is>
      </c>
      <c r="V493" s="20" t="n">
        <v>47.3</v>
      </c>
      <c r="W493" s="20" t="n">
        <v>96.5</v>
      </c>
      <c r="X493" s="20" t="n">
        <v>73</v>
      </c>
      <c r="Y493" s="40">
        <f>ROUND((V493*'Methodology &amp; Assumptions'!$B$6)+(W493*'Methodology &amp; Assumptions'!$B$5)+(X493*'Methodology &amp; Assumptions'!$B$7), 2)</f>
        <v/>
      </c>
    </row>
    <row r="494" ht="19" customHeight="1">
      <c r="A494" s="41" t="n">
        <v>490</v>
      </c>
      <c r="B494" s="41" t="n">
        <v>1490</v>
      </c>
      <c r="C494" s="42" t="inlineStr">
        <is>
          <t>0600416016</t>
        </is>
      </c>
      <c r="D494" s="42" t="inlineStr">
        <is>
          <t>Region VI (Western Visayas)</t>
        </is>
      </c>
      <c r="E494" s="42" t="inlineStr">
        <is>
          <t>Aklan</t>
        </is>
      </c>
      <c r="F494" s="42" t="inlineStr">
        <is>
          <t>Numancia</t>
        </is>
      </c>
      <c r="G494" s="42" t="inlineStr">
        <is>
          <t>Poblacion</t>
        </is>
      </c>
      <c r="H494" s="43" t="n">
        <v>11.706314</v>
      </c>
      <c r="I494" s="43" t="n">
        <v>122.32759</v>
      </c>
      <c r="J494" s="44" t="inlineStr">
        <is>
          <t>R</t>
        </is>
      </c>
      <c r="K494" s="42" t="inlineStr">
        <is>
          <t>3rd</t>
        </is>
      </c>
      <c r="L494" s="23" t="n">
        <v>1774</v>
      </c>
      <c r="M494" s="24" t="n">
        <v>4.29</v>
      </c>
      <c r="N494" s="23">
        <f>ROUND(L494/M494, 0)</f>
        <v/>
      </c>
      <c r="O494" s="23">
        <f>ROUND(N494*'Methodology &amp; Assumptions'!$B$8, 0)</f>
        <v/>
      </c>
      <c r="P494" s="44" t="inlineStr">
        <is>
          <t>Band n50 (1.5 GHz, 60 MHz)</t>
        </is>
      </c>
      <c r="Q494" s="38">
        <f>ROUNDUP(O494/'Methodology &amp; Assumptions'!$B$9, 0)</f>
        <v/>
      </c>
      <c r="R494" s="39" t="n">
        <v>1</v>
      </c>
      <c r="S494" s="25" t="n">
        <v>0.33</v>
      </c>
      <c r="T494" s="25" t="n">
        <v>0.48</v>
      </c>
      <c r="U494" s="42" t="inlineStr">
        <is>
          <t>Tier 1A (Direct Coloc, &lt;1 km)</t>
        </is>
      </c>
      <c r="V494" s="24" t="n">
        <v>99.7</v>
      </c>
      <c r="W494" s="24" t="n">
        <v>57.1</v>
      </c>
      <c r="X494" s="24" t="n">
        <v>58</v>
      </c>
      <c r="Y494" s="45">
        <f>ROUND((V494*'Methodology &amp; Assumptions'!$B$6)+(W494*'Methodology &amp; Assumptions'!$B$5)+(X494*'Methodology &amp; Assumptions'!$B$7), 2)</f>
        <v/>
      </c>
    </row>
    <row r="495" ht="19" customHeight="1">
      <c r="A495" s="35" t="n">
        <v>491</v>
      </c>
      <c r="B495" s="35" t="n">
        <v>1491</v>
      </c>
      <c r="C495" s="36" t="inlineStr">
        <is>
          <t>0501608004</t>
        </is>
      </c>
      <c r="D495" s="36" t="inlineStr">
        <is>
          <t>Region V (Bicol Region)</t>
        </is>
      </c>
      <c r="E495" s="36" t="inlineStr">
        <is>
          <t>Camarines Norte</t>
        </is>
      </c>
      <c r="F495" s="36" t="inlineStr">
        <is>
          <t>Paracale</t>
        </is>
      </c>
      <c r="G495" s="36" t="inlineStr">
        <is>
          <t>Batobalani</t>
        </is>
      </c>
      <c r="H495" s="37" t="n">
        <v>14.2348</v>
      </c>
      <c r="I495" s="37" t="n">
        <v>122.7453</v>
      </c>
      <c r="J495" s="8" t="inlineStr">
        <is>
          <t>U</t>
        </is>
      </c>
      <c r="K495" s="36" t="inlineStr">
        <is>
          <t>Class 1-3 / Urban</t>
        </is>
      </c>
      <c r="L495" s="18" t="n">
        <v>5210</v>
      </c>
      <c r="M495" s="20" t="n">
        <v>4.4</v>
      </c>
      <c r="N495" s="18">
        <f>ROUND(L495/M495, 0)</f>
        <v/>
      </c>
      <c r="O495" s="18">
        <f>ROUND(N495*'Methodology &amp; Assumptions'!$B$8, 0)</f>
        <v/>
      </c>
      <c r="P495" s="8" t="inlineStr">
        <is>
          <t>Band n50 (1.5 GHz, 60 MHz)</t>
        </is>
      </c>
      <c r="Q495" s="38">
        <f>ROUNDUP(O495/'Methodology &amp; Assumptions'!$B$9, 0)</f>
        <v/>
      </c>
      <c r="R495" s="39" t="n">
        <v>1</v>
      </c>
      <c r="S495" s="21" t="n">
        <v>0.58</v>
      </c>
      <c r="T495" s="21" t="n">
        <v>5.76</v>
      </c>
      <c r="U495" s="36" t="inlineStr">
        <is>
          <t>Tier 1A (Direct Coloc, &lt;1 km)</t>
        </is>
      </c>
      <c r="V495" s="20" t="n">
        <v>82.40000000000001</v>
      </c>
      <c r="W495" s="20" t="n">
        <v>100</v>
      </c>
      <c r="X495" s="20" t="n">
        <v>28</v>
      </c>
      <c r="Y495" s="40">
        <f>ROUND((V495*'Methodology &amp; Assumptions'!$B$6)+(W495*'Methodology &amp; Assumptions'!$B$5)+(X495*'Methodology &amp; Assumptions'!$B$7), 2)</f>
        <v/>
      </c>
    </row>
    <row r="496" ht="19" customHeight="1">
      <c r="A496" s="41" t="n">
        <v>492</v>
      </c>
      <c r="B496" s="41" t="n">
        <v>1492</v>
      </c>
      <c r="C496" s="42" t="inlineStr">
        <is>
          <t>1108204002</t>
        </is>
      </c>
      <c r="D496" s="42" t="inlineStr">
        <is>
          <t>Region XI (Davao Region)</t>
        </is>
      </c>
      <c r="E496" s="42" t="inlineStr">
        <is>
          <t>Davao de Oro</t>
        </is>
      </c>
      <c r="F496" s="42" t="inlineStr">
        <is>
          <t>Maco</t>
        </is>
      </c>
      <c r="G496" s="42" t="inlineStr">
        <is>
          <t>Anislagan</t>
        </is>
      </c>
      <c r="H496" s="43" t="n">
        <v>7.348709</v>
      </c>
      <c r="I496" s="43" t="n">
        <v>125.862074</v>
      </c>
      <c r="J496" s="44" t="inlineStr">
        <is>
          <t>R</t>
        </is>
      </c>
      <c r="K496" s="42" t="inlineStr">
        <is>
          <t>Class 1-3 / Urban</t>
        </is>
      </c>
      <c r="L496" s="23" t="n">
        <v>2729</v>
      </c>
      <c r="M496" s="24" t="n">
        <v>4.1</v>
      </c>
      <c r="N496" s="23">
        <f>ROUND(L496/M496, 0)</f>
        <v/>
      </c>
      <c r="O496" s="23">
        <f>ROUND(N496*'Methodology &amp; Assumptions'!$B$8, 0)</f>
        <v/>
      </c>
      <c r="P496" s="44" t="inlineStr">
        <is>
          <t>Band n50 (1.5 GHz, 60 MHz)</t>
        </is>
      </c>
      <c r="Q496" s="38">
        <f>ROUNDUP(O496/'Methodology &amp; Assumptions'!$B$9, 0)</f>
        <v/>
      </c>
      <c r="R496" s="39" t="n">
        <v>1</v>
      </c>
      <c r="S496" s="25" t="n">
        <v>1.1</v>
      </c>
      <c r="T496" s="25" t="n">
        <v>0.6</v>
      </c>
      <c r="U496" s="42" t="inlineStr">
        <is>
          <t>Tier 1B (Micro Drop, 1-3 km)</t>
        </is>
      </c>
      <c r="V496" s="24" t="n">
        <v>79.40000000000001</v>
      </c>
      <c r="W496" s="24" t="n">
        <v>77.3</v>
      </c>
      <c r="X496" s="24" t="n">
        <v>58</v>
      </c>
      <c r="Y496" s="45">
        <f>ROUND((V496*'Methodology &amp; Assumptions'!$B$6)+(W496*'Methodology &amp; Assumptions'!$B$5)+(X496*'Methodology &amp; Assumptions'!$B$7), 2)</f>
        <v/>
      </c>
    </row>
    <row r="497" ht="19" customHeight="1">
      <c r="A497" s="35" t="n">
        <v>493</v>
      </c>
      <c r="B497" s="35" t="n">
        <v>1493</v>
      </c>
      <c r="C497" s="36" t="inlineStr">
        <is>
          <t>0500509013</t>
        </is>
      </c>
      <c r="D497" s="36" t="inlineStr">
        <is>
          <t>Region V (Bicol Region)</t>
        </is>
      </c>
      <c r="E497" s="36" t="inlineStr">
        <is>
          <t>Albay</t>
        </is>
      </c>
      <c r="F497" s="36" t="inlineStr">
        <is>
          <t>Malilipot</t>
        </is>
      </c>
      <c r="G497" s="36" t="inlineStr">
        <is>
          <t>San Isidro Ilawod</t>
        </is>
      </c>
      <c r="H497" s="37" t="n">
        <v>13.3304</v>
      </c>
      <c r="I497" s="37" t="n">
        <v>123.7383</v>
      </c>
      <c r="J497" s="8" t="inlineStr">
        <is>
          <t>R</t>
        </is>
      </c>
      <c r="K497" s="36" t="inlineStr">
        <is>
          <t>1st</t>
        </is>
      </c>
      <c r="L497" s="18" t="n">
        <v>3939</v>
      </c>
      <c r="M497" s="20" t="n">
        <v>4.66</v>
      </c>
      <c r="N497" s="18">
        <f>ROUND(L497/M497, 0)</f>
        <v/>
      </c>
      <c r="O497" s="18">
        <f>ROUND(N497*'Methodology &amp; Assumptions'!$B$8, 0)</f>
        <v/>
      </c>
      <c r="P497" s="8" t="inlineStr">
        <is>
          <t>Band n50 (1.5 GHz, 60 MHz)</t>
        </is>
      </c>
      <c r="Q497" s="38">
        <f>ROUNDUP(O497/'Methodology &amp; Assumptions'!$B$9, 0)</f>
        <v/>
      </c>
      <c r="R497" s="39" t="n">
        <v>1</v>
      </c>
      <c r="S497" s="21" t="n">
        <v>2.6</v>
      </c>
      <c r="T497" s="21" t="n">
        <v>0.33</v>
      </c>
      <c r="U497" s="36" t="inlineStr">
        <is>
          <t>Tier 1B (Micro Drop, 1-3 km)</t>
        </is>
      </c>
      <c r="V497" s="20" t="n">
        <v>52.1</v>
      </c>
      <c r="W497" s="20" t="n">
        <v>91.7</v>
      </c>
      <c r="X497" s="20" t="n">
        <v>73</v>
      </c>
      <c r="Y497" s="40">
        <f>ROUND((V497*'Methodology &amp; Assumptions'!$B$6)+(W497*'Methodology &amp; Assumptions'!$B$5)+(X497*'Methodology &amp; Assumptions'!$B$7), 2)</f>
        <v/>
      </c>
    </row>
    <row r="498" ht="19" customHeight="1">
      <c r="A498" s="41" t="n">
        <v>494</v>
      </c>
      <c r="B498" s="41" t="n">
        <v>1494</v>
      </c>
      <c r="C498" s="42" t="inlineStr">
        <is>
          <t>0401017005</t>
        </is>
      </c>
      <c r="D498" s="42" t="inlineStr">
        <is>
          <t>Region IV-A (CALABARZON)</t>
        </is>
      </c>
      <c r="E498" s="42" t="inlineStr">
        <is>
          <t>Batangas</t>
        </is>
      </c>
      <c r="F498" s="42" t="inlineStr">
        <is>
          <t>Malvar</t>
        </is>
      </c>
      <c r="G498" s="42" t="inlineStr">
        <is>
          <t>Luta Del Norte</t>
        </is>
      </c>
      <c r="H498" s="43" t="n">
        <v>14.039786</v>
      </c>
      <c r="I498" s="43" t="n">
        <v>121.155288</v>
      </c>
      <c r="J498" s="44" t="inlineStr">
        <is>
          <t>R</t>
        </is>
      </c>
      <c r="K498" s="42" t="inlineStr">
        <is>
          <t>Class 1-3 / Urban</t>
        </is>
      </c>
      <c r="L498" s="23" t="n">
        <v>4392</v>
      </c>
      <c r="M498" s="24" t="n">
        <v>4.62</v>
      </c>
      <c r="N498" s="23">
        <f>ROUND(L498/M498, 0)</f>
        <v/>
      </c>
      <c r="O498" s="23">
        <f>ROUND(N498*'Methodology &amp; Assumptions'!$B$8, 0)</f>
        <v/>
      </c>
      <c r="P498" s="44" t="inlineStr">
        <is>
          <t>Band n50 (1.5 GHz, 60 MHz)</t>
        </is>
      </c>
      <c r="Q498" s="38">
        <f>ROUNDUP(O498/'Methodology &amp; Assumptions'!$B$9, 0)</f>
        <v/>
      </c>
      <c r="R498" s="39" t="n">
        <v>1</v>
      </c>
      <c r="S498" s="25" t="n">
        <v>2.29</v>
      </c>
      <c r="T498" s="25" t="n">
        <v>0.5600000000000001</v>
      </c>
      <c r="U498" s="42" t="inlineStr">
        <is>
          <t>Tier 1B (Micro Drop, 1-3 km)</t>
        </is>
      </c>
      <c r="V498" s="24" t="n">
        <v>56.7</v>
      </c>
      <c r="W498" s="24" t="n">
        <v>100</v>
      </c>
      <c r="X498" s="24" t="n">
        <v>58</v>
      </c>
      <c r="Y498" s="45">
        <f>ROUND((V498*'Methodology &amp; Assumptions'!$B$6)+(W498*'Methodology &amp; Assumptions'!$B$5)+(X498*'Methodology &amp; Assumptions'!$B$7), 2)</f>
        <v/>
      </c>
    </row>
    <row r="499" ht="19" customHeight="1">
      <c r="A499" s="35" t="n">
        <v>495</v>
      </c>
      <c r="B499" s="35" t="n">
        <v>1495</v>
      </c>
      <c r="C499" s="36" t="inlineStr">
        <is>
          <t>0301404005</t>
        </is>
      </c>
      <c r="D499" s="36" t="inlineStr">
        <is>
          <t>Region III (Central Luzon)</t>
        </is>
      </c>
      <c r="E499" s="36" t="inlineStr">
        <is>
          <t>Bulacan</t>
        </is>
      </c>
      <c r="F499" s="36" t="inlineStr">
        <is>
          <t>Bocaue</t>
        </is>
      </c>
      <c r="G499" s="36" t="inlineStr">
        <is>
          <t>Biñang 1st</t>
        </is>
      </c>
      <c r="H499" s="37" t="n">
        <v>14.794243</v>
      </c>
      <c r="I499" s="37" t="n">
        <v>120.930742</v>
      </c>
      <c r="J499" s="8" t="inlineStr">
        <is>
          <t>R</t>
        </is>
      </c>
      <c r="K499" s="36" t="inlineStr">
        <is>
          <t>Class 1-3 / Urban</t>
        </is>
      </c>
      <c r="L499" s="18" t="n">
        <v>3406</v>
      </c>
      <c r="M499" s="20" t="n">
        <v>4.1</v>
      </c>
      <c r="N499" s="18">
        <f>ROUND(L499/M499, 0)</f>
        <v/>
      </c>
      <c r="O499" s="18">
        <f>ROUND(N499*'Methodology &amp; Assumptions'!$B$8, 0)</f>
        <v/>
      </c>
      <c r="P499" s="8" t="inlineStr">
        <is>
          <t>Band n50 (1.5 GHz, 60 MHz)</t>
        </is>
      </c>
      <c r="Q499" s="38">
        <f>ROUNDUP(O499/'Methodology &amp; Assumptions'!$B$9, 0)</f>
        <v/>
      </c>
      <c r="R499" s="39" t="n">
        <v>1</v>
      </c>
      <c r="S499" s="21" t="n">
        <v>1.73</v>
      </c>
      <c r="T499" s="21" t="n">
        <v>0.11</v>
      </c>
      <c r="U499" s="36" t="inlineStr">
        <is>
          <t>Tier 1B (Micro Drop, 1-3 km)</t>
        </is>
      </c>
      <c r="V499" s="20" t="n">
        <v>66.3</v>
      </c>
      <c r="W499" s="20" t="n">
        <v>90.40000000000001</v>
      </c>
      <c r="X499" s="20" t="n">
        <v>58</v>
      </c>
      <c r="Y499" s="40">
        <f>ROUND((V499*'Methodology &amp; Assumptions'!$B$6)+(W499*'Methodology &amp; Assumptions'!$B$5)+(X499*'Methodology &amp; Assumptions'!$B$7), 2)</f>
        <v/>
      </c>
    </row>
    <row r="500" ht="19" customHeight="1">
      <c r="A500" s="41" t="n">
        <v>496</v>
      </c>
      <c r="B500" s="41" t="n">
        <v>1496</v>
      </c>
      <c r="C500" s="42" t="inlineStr">
        <is>
          <t>1030500045</t>
        </is>
      </c>
      <c r="D500" s="42" t="inlineStr">
        <is>
          <t>Region X (Northern Mindanao)</t>
        </is>
      </c>
      <c r="E500" s="42" t="inlineStr">
        <is>
          <t>Misamis Oriental</t>
        </is>
      </c>
      <c r="F500" s="42" t="inlineStr">
        <is>
          <t>City of Cagayan De Oro</t>
        </is>
      </c>
      <c r="G500" s="42" t="inlineStr">
        <is>
          <t>Consolacion</t>
        </is>
      </c>
      <c r="H500" s="43" t="n">
        <v>8.489722</v>
      </c>
      <c r="I500" s="43" t="n">
        <v>124.645552</v>
      </c>
      <c r="J500" s="44" t="inlineStr">
        <is>
          <t>U</t>
        </is>
      </c>
      <c r="K500" s="42" t="inlineStr">
        <is>
          <t>Class 1-3 / Urban</t>
        </is>
      </c>
      <c r="L500" s="23" t="n">
        <v>9396</v>
      </c>
      <c r="M500" s="24" t="n">
        <v>4.54</v>
      </c>
      <c r="N500" s="23">
        <f>ROUND(L500/M500, 0)</f>
        <v/>
      </c>
      <c r="O500" s="23">
        <f>ROUND(N500*'Methodology &amp; Assumptions'!$B$8, 0)</f>
        <v/>
      </c>
      <c r="P500" s="44" t="inlineStr">
        <is>
          <t>Band n50 (1.5 GHz, 60 MHz)</t>
        </is>
      </c>
      <c r="Q500" s="38">
        <f>ROUNDUP(O500/'Methodology &amp; Assumptions'!$B$9, 0)</f>
        <v/>
      </c>
      <c r="R500" s="39" t="n">
        <v>1</v>
      </c>
      <c r="S500" s="25" t="n">
        <v>0.97</v>
      </c>
      <c r="T500" s="25" t="n">
        <v>0.35</v>
      </c>
      <c r="U500" s="42" t="inlineStr">
        <is>
          <t>Tier 1A (Direct Coloc, &lt;1 km)</t>
        </is>
      </c>
      <c r="V500" s="24" t="n">
        <v>82.40000000000001</v>
      </c>
      <c r="W500" s="24" t="n">
        <v>100</v>
      </c>
      <c r="X500" s="24" t="n">
        <v>28</v>
      </c>
      <c r="Y500" s="45">
        <f>ROUND((V500*'Methodology &amp; Assumptions'!$B$6)+(W500*'Methodology &amp; Assumptions'!$B$5)+(X500*'Methodology &amp; Assumptions'!$B$7), 2)</f>
        <v/>
      </c>
    </row>
    <row r="501" ht="19" customHeight="1">
      <c r="A501" s="35" t="n">
        <v>497</v>
      </c>
      <c r="B501" s="35" t="n">
        <v>1497</v>
      </c>
      <c r="C501" s="36" t="inlineStr">
        <is>
          <t>0501605012</t>
        </is>
      </c>
      <c r="D501" s="36" t="inlineStr">
        <is>
          <t>Region V (Bicol Region)</t>
        </is>
      </c>
      <c r="E501" s="36" t="inlineStr">
        <is>
          <t>Camarines Norte</t>
        </is>
      </c>
      <c r="F501" s="36" t="inlineStr">
        <is>
          <t>Jose Panganiban</t>
        </is>
      </c>
      <c r="G501" s="36" t="inlineStr">
        <is>
          <t>Parang</t>
        </is>
      </c>
      <c r="H501" s="37" t="n">
        <v>14.282045</v>
      </c>
      <c r="I501" s="37" t="n">
        <v>122.693371</v>
      </c>
      <c r="J501" s="8" t="inlineStr">
        <is>
          <t>U</t>
        </is>
      </c>
      <c r="K501" s="36" t="inlineStr">
        <is>
          <t>Class 1-3 / Urban</t>
        </is>
      </c>
      <c r="L501" s="18" t="n">
        <v>6500</v>
      </c>
      <c r="M501" s="20" t="n">
        <v>4.4</v>
      </c>
      <c r="N501" s="18">
        <f>ROUND(L501/M501, 0)</f>
        <v/>
      </c>
      <c r="O501" s="18">
        <f>ROUND(N501*'Methodology &amp; Assumptions'!$B$8, 0)</f>
        <v/>
      </c>
      <c r="P501" s="8" t="inlineStr">
        <is>
          <t>Band n50 (1.5 GHz, 60 MHz)</t>
        </is>
      </c>
      <c r="Q501" s="38">
        <f>ROUNDUP(O501/'Methodology &amp; Assumptions'!$B$9, 0)</f>
        <v/>
      </c>
      <c r="R501" s="39" t="n">
        <v>1</v>
      </c>
      <c r="S501" s="21" t="n">
        <v>0.58</v>
      </c>
      <c r="T501" s="21" t="n">
        <v>9.890000000000001</v>
      </c>
      <c r="U501" s="36" t="inlineStr">
        <is>
          <t>Tier 1A (Direct Coloc, &lt;1 km)</t>
        </is>
      </c>
      <c r="V501" s="20" t="n">
        <v>82.40000000000001</v>
      </c>
      <c r="W501" s="20" t="n">
        <v>100</v>
      </c>
      <c r="X501" s="20" t="n">
        <v>28</v>
      </c>
      <c r="Y501" s="40">
        <f>ROUND((V501*'Methodology &amp; Assumptions'!$B$6)+(W501*'Methodology &amp; Assumptions'!$B$5)+(X501*'Methodology &amp; Assumptions'!$B$7), 2)</f>
        <v/>
      </c>
    </row>
    <row r="502" ht="19" customHeight="1">
      <c r="A502" s="41" t="n">
        <v>498</v>
      </c>
      <c r="B502" s="41" t="n">
        <v>1498</v>
      </c>
      <c r="C502" s="42" t="inlineStr">
        <is>
          <t>0205702007</t>
        </is>
      </c>
      <c r="D502" s="42" t="inlineStr">
        <is>
          <t>Region II (Cagayan Valley)</t>
        </is>
      </c>
      <c r="E502" s="42" t="inlineStr">
        <is>
          <t>Quirino</t>
        </is>
      </c>
      <c r="F502" s="42" t="inlineStr">
        <is>
          <t>Cabarroguis</t>
        </is>
      </c>
      <c r="G502" s="42" t="inlineStr">
        <is>
          <t>Gundaway</t>
        </is>
      </c>
      <c r="H502" s="43" t="n">
        <v>16.515073</v>
      </c>
      <c r="I502" s="43" t="n">
        <v>121.522727</v>
      </c>
      <c r="J502" s="44" t="inlineStr">
        <is>
          <t>U</t>
        </is>
      </c>
      <c r="K502" s="42" t="inlineStr">
        <is>
          <t>Class 1-3 / Urban</t>
        </is>
      </c>
      <c r="L502" s="23" t="n">
        <v>4465</v>
      </c>
      <c r="M502" s="24" t="n">
        <v>4.03</v>
      </c>
      <c r="N502" s="23">
        <f>ROUND(L502/M502, 0)</f>
        <v/>
      </c>
      <c r="O502" s="23">
        <f>ROUND(N502*'Methodology &amp; Assumptions'!$B$8, 0)</f>
        <v/>
      </c>
      <c r="P502" s="44" t="inlineStr">
        <is>
          <t>Band n50 (1.5 GHz, 60 MHz)</t>
        </is>
      </c>
      <c r="Q502" s="38">
        <f>ROUNDUP(O502/'Methodology &amp; Assumptions'!$B$9, 0)</f>
        <v/>
      </c>
      <c r="R502" s="39" t="n">
        <v>1</v>
      </c>
      <c r="S502" s="25" t="n">
        <v>0.58</v>
      </c>
      <c r="T502" s="25" t="n">
        <v>2.7</v>
      </c>
      <c r="U502" s="42" t="inlineStr">
        <is>
          <t>Tier 1A (Direct Coloc, &lt;1 km)</t>
        </is>
      </c>
      <c r="V502" s="24" t="n">
        <v>82.40000000000001</v>
      </c>
      <c r="W502" s="24" t="n">
        <v>100</v>
      </c>
      <c r="X502" s="24" t="n">
        <v>28</v>
      </c>
      <c r="Y502" s="45">
        <f>ROUND((V502*'Methodology &amp; Assumptions'!$B$6)+(W502*'Methodology &amp; Assumptions'!$B$5)+(X502*'Methodology &amp; Assumptions'!$B$7), 2)</f>
        <v/>
      </c>
    </row>
    <row r="503" ht="19" customHeight="1">
      <c r="A503" s="35" t="n">
        <v>499</v>
      </c>
      <c r="B503" s="35" t="n">
        <v>1499</v>
      </c>
      <c r="C503" s="36" t="inlineStr">
        <is>
          <t>1600203011</t>
        </is>
      </c>
      <c r="D503" s="36" t="inlineStr">
        <is>
          <t>Region XIII (Caraga)</t>
        </is>
      </c>
      <c r="E503" s="36" t="inlineStr">
        <is>
          <t>Agusan del Norte</t>
        </is>
      </c>
      <c r="F503" s="36" t="inlineStr">
        <is>
          <t>City of Cabadbaran</t>
        </is>
      </c>
      <c r="G503" s="36" t="inlineStr">
        <is>
          <t>Calibunan</t>
        </is>
      </c>
      <c r="H503" s="37" t="n">
        <v>9.107025999999999</v>
      </c>
      <c r="I503" s="37" t="n">
        <v>125.529468</v>
      </c>
      <c r="J503" s="8" t="inlineStr">
        <is>
          <t>R</t>
        </is>
      </c>
      <c r="K503" s="36" t="inlineStr">
        <is>
          <t>Class 1-3 / Urban</t>
        </is>
      </c>
      <c r="L503" s="18" t="n">
        <v>4139</v>
      </c>
      <c r="M503" s="20" t="n">
        <v>4.63</v>
      </c>
      <c r="N503" s="18">
        <f>ROUND(L503/M503, 0)</f>
        <v/>
      </c>
      <c r="O503" s="18">
        <f>ROUND(N503*'Methodology &amp; Assumptions'!$B$8, 0)</f>
        <v/>
      </c>
      <c r="P503" s="8" t="inlineStr">
        <is>
          <t>Band n50 (1.5 GHz, 60 MHz)</t>
        </is>
      </c>
      <c r="Q503" s="38">
        <f>ROUNDUP(O503/'Methodology &amp; Assumptions'!$B$9, 0)</f>
        <v/>
      </c>
      <c r="R503" s="39" t="n">
        <v>1</v>
      </c>
      <c r="S503" s="21" t="n">
        <v>2.01</v>
      </c>
      <c r="T503" s="21" t="n">
        <v>1.66</v>
      </c>
      <c r="U503" s="36" t="inlineStr">
        <is>
          <t>Tier 1B (Micro Drop, 1-3 km)</t>
        </is>
      </c>
      <c r="V503" s="20" t="n">
        <v>61.2</v>
      </c>
      <c r="W503" s="20" t="n">
        <v>95.5</v>
      </c>
      <c r="X503" s="20" t="n">
        <v>58</v>
      </c>
      <c r="Y503" s="40">
        <f>ROUND((V503*'Methodology &amp; Assumptions'!$B$6)+(W503*'Methodology &amp; Assumptions'!$B$5)+(X503*'Methodology &amp; Assumptions'!$B$7), 2)</f>
        <v/>
      </c>
    </row>
    <row r="504" ht="19" customHeight="1">
      <c r="A504" s="41" t="n">
        <v>500</v>
      </c>
      <c r="B504" s="41" t="n">
        <v>1500</v>
      </c>
      <c r="C504" s="42" t="inlineStr">
        <is>
          <t>1430300046</t>
        </is>
      </c>
      <c r="D504" s="42" t="inlineStr">
        <is>
          <t>Cordillera Administrative Region (CAR)</t>
        </is>
      </c>
      <c r="E504" s="42" t="inlineStr">
        <is>
          <t>Benguet</t>
        </is>
      </c>
      <c r="F504" s="42" t="inlineStr">
        <is>
          <t>City of Baguio</t>
        </is>
      </c>
      <c r="G504" s="42" t="inlineStr">
        <is>
          <t>Holy Ghost Extension</t>
        </is>
      </c>
      <c r="H504" s="43" t="n">
        <v>16.4187</v>
      </c>
      <c r="I504" s="43" t="n">
        <v>120.6049</v>
      </c>
      <c r="J504" s="44" t="inlineStr">
        <is>
          <t>R</t>
        </is>
      </c>
      <c r="K504" s="42" t="inlineStr">
        <is>
          <t>Class 1-3 / Urban</t>
        </is>
      </c>
      <c r="L504" s="23" t="n">
        <v>2928</v>
      </c>
      <c r="M504" s="24" t="n">
        <v>4.58</v>
      </c>
      <c r="N504" s="23">
        <f>ROUND(L504/M504, 0)</f>
        <v/>
      </c>
      <c r="O504" s="23">
        <f>ROUND(N504*'Methodology &amp; Assumptions'!$B$8, 0)</f>
        <v/>
      </c>
      <c r="P504" s="44" t="inlineStr">
        <is>
          <t>Band n50 (1.5 GHz, 60 MHz)</t>
        </is>
      </c>
      <c r="Q504" s="38">
        <f>ROUNDUP(O504/'Methodology &amp; Assumptions'!$B$9, 0)</f>
        <v/>
      </c>
      <c r="R504" s="39" t="n">
        <v>1</v>
      </c>
      <c r="S504" s="25" t="n">
        <v>0.85</v>
      </c>
      <c r="T504" s="25" t="n">
        <v>1.05</v>
      </c>
      <c r="U504" s="42" t="inlineStr">
        <is>
          <t>Tier 1A (Direct Coloc, &lt;1 km)</t>
        </is>
      </c>
      <c r="V504" s="24" t="n">
        <v>85.40000000000001</v>
      </c>
      <c r="W504" s="24" t="n">
        <v>71.2</v>
      </c>
      <c r="X504" s="24" t="n">
        <v>58</v>
      </c>
      <c r="Y504" s="45">
        <f>ROUND((V504*'Methodology &amp; Assumptions'!$B$6)+(W504*'Methodology &amp; Assumptions'!$B$5)+(X504*'Methodology &amp; Assumptions'!$B$7), 2)</f>
        <v/>
      </c>
    </row>
    <row r="505" ht="19" customHeight="1">
      <c r="A505" s="35" t="n">
        <v>501</v>
      </c>
      <c r="B505" s="35" t="n">
        <v>1501</v>
      </c>
      <c r="C505" s="36" t="inlineStr">
        <is>
          <t>0403410027</t>
        </is>
      </c>
      <c r="D505" s="36" t="inlineStr">
        <is>
          <t>Region IV-A (CALABARZON)</t>
        </is>
      </c>
      <c r="E505" s="36" t="inlineStr">
        <is>
          <t>Laguna</t>
        </is>
      </c>
      <c r="F505" s="36" t="inlineStr">
        <is>
          <t>Liliw</t>
        </is>
      </c>
      <c r="G505" s="36" t="inlineStr">
        <is>
          <t>Masikap</t>
        </is>
      </c>
      <c r="H505" s="37" t="n">
        <v>14.135443</v>
      </c>
      <c r="I505" s="37" t="n">
        <v>121.433131</v>
      </c>
      <c r="J505" s="8" t="inlineStr">
        <is>
          <t>R</t>
        </is>
      </c>
      <c r="K505" s="36" t="inlineStr">
        <is>
          <t>3rd</t>
        </is>
      </c>
      <c r="L505" s="18" t="n">
        <v>1648</v>
      </c>
      <c r="M505" s="20" t="n">
        <v>3.93</v>
      </c>
      <c r="N505" s="18">
        <f>ROUND(L505/M505, 0)</f>
        <v/>
      </c>
      <c r="O505" s="18">
        <f>ROUND(N505*'Methodology &amp; Assumptions'!$B$8, 0)</f>
        <v/>
      </c>
      <c r="P505" s="8" t="inlineStr">
        <is>
          <t>Band n50 (1.5 GHz, 60 MHz)</t>
        </is>
      </c>
      <c r="Q505" s="38">
        <f>ROUNDUP(O505/'Methodology &amp; Assumptions'!$B$9, 0)</f>
        <v/>
      </c>
      <c r="R505" s="39" t="n">
        <v>1</v>
      </c>
      <c r="S505" s="21" t="n">
        <v>0.35</v>
      </c>
      <c r="T505" s="21" t="n">
        <v>0.22</v>
      </c>
      <c r="U505" s="36" t="inlineStr">
        <is>
          <t>Tier 1A (Direct Coloc, &lt;1 km)</t>
        </is>
      </c>
      <c r="V505" s="20" t="n">
        <v>99</v>
      </c>
      <c r="W505" s="20" t="n">
        <v>57.6</v>
      </c>
      <c r="X505" s="20" t="n">
        <v>58</v>
      </c>
      <c r="Y505" s="40">
        <f>ROUND((V505*'Methodology &amp; Assumptions'!$B$6)+(W505*'Methodology &amp; Assumptions'!$B$5)+(X505*'Methodology &amp; Assumptions'!$B$7), 2)</f>
        <v/>
      </c>
    </row>
    <row r="506" ht="19" customHeight="1">
      <c r="A506" s="41" t="n">
        <v>502</v>
      </c>
      <c r="B506" s="41" t="n">
        <v>1502</v>
      </c>
      <c r="C506" s="42" t="inlineStr">
        <is>
          <t>0604531027</t>
        </is>
      </c>
      <c r="D506" s="42" t="inlineStr">
        <is>
          <t>Region VI (Western Visayas)</t>
        </is>
      </c>
      <c r="E506" s="42" t="inlineStr">
        <is>
          <t>Negros Occidental</t>
        </is>
      </c>
      <c r="F506" s="42" t="inlineStr">
        <is>
          <t>City of Victorias</t>
        </is>
      </c>
      <c r="G506" s="42" t="inlineStr">
        <is>
          <t>Barangay XX</t>
        </is>
      </c>
      <c r="H506" s="43" t="n">
        <v>10.911162</v>
      </c>
      <c r="I506" s="43" t="n">
        <v>123.062719</v>
      </c>
      <c r="J506" s="44" t="inlineStr">
        <is>
          <t>U</t>
        </is>
      </c>
      <c r="K506" s="42" t="inlineStr">
        <is>
          <t>Class 1-3 / Urban</t>
        </is>
      </c>
      <c r="L506" s="23" t="n">
        <v>7904</v>
      </c>
      <c r="M506" s="24" t="n">
        <v>4.33</v>
      </c>
      <c r="N506" s="23">
        <f>ROUND(L506/M506, 0)</f>
        <v/>
      </c>
      <c r="O506" s="23">
        <f>ROUND(N506*'Methodology &amp; Assumptions'!$B$8, 0)</f>
        <v/>
      </c>
      <c r="P506" s="44" t="inlineStr">
        <is>
          <t>Band n50 (1.5 GHz, 60 MHz)</t>
        </is>
      </c>
      <c r="Q506" s="38">
        <f>ROUNDUP(O506/'Methodology &amp; Assumptions'!$B$9, 0)</f>
        <v/>
      </c>
      <c r="R506" s="39" t="n">
        <v>1</v>
      </c>
      <c r="S506" s="25" t="n">
        <v>1.56</v>
      </c>
      <c r="T506" s="25" t="n">
        <v>1.43</v>
      </c>
      <c r="U506" s="42" t="inlineStr">
        <is>
          <t>Tier 1B (Micro Drop, 1-3 km)</t>
        </is>
      </c>
      <c r="V506" s="24" t="n">
        <v>69.5</v>
      </c>
      <c r="W506" s="24" t="n">
        <v>100</v>
      </c>
      <c r="X506" s="24" t="n">
        <v>43</v>
      </c>
      <c r="Y506" s="45">
        <f>ROUND((V506*'Methodology &amp; Assumptions'!$B$6)+(W506*'Methodology &amp; Assumptions'!$B$5)+(X506*'Methodology &amp; Assumptions'!$B$7), 2)</f>
        <v/>
      </c>
    </row>
    <row r="507" ht="19" customHeight="1">
      <c r="A507" s="35" t="n">
        <v>503</v>
      </c>
      <c r="B507" s="35" t="n">
        <v>1503</v>
      </c>
      <c r="C507" s="36" t="inlineStr">
        <is>
          <t>0604531009</t>
        </is>
      </c>
      <c r="D507" s="36" t="inlineStr">
        <is>
          <t>Region VI (Western Visayas)</t>
        </is>
      </c>
      <c r="E507" s="36" t="inlineStr">
        <is>
          <t>Negros Occidental</t>
        </is>
      </c>
      <c r="F507" s="36" t="inlineStr">
        <is>
          <t>City of Victorias</t>
        </is>
      </c>
      <c r="G507" s="36" t="inlineStr">
        <is>
          <t>Barangay VI</t>
        </is>
      </c>
      <c r="H507" s="37" t="n">
        <v>10.911162</v>
      </c>
      <c r="I507" s="37" t="n">
        <v>123.062719</v>
      </c>
      <c r="J507" s="8" t="inlineStr">
        <is>
          <t>U</t>
        </is>
      </c>
      <c r="K507" s="36" t="inlineStr">
        <is>
          <t>Class 1-3 / Urban</t>
        </is>
      </c>
      <c r="L507" s="18" t="n">
        <v>5607</v>
      </c>
      <c r="M507" s="20" t="n">
        <v>4.33</v>
      </c>
      <c r="N507" s="18">
        <f>ROUND(L507/M507, 0)</f>
        <v/>
      </c>
      <c r="O507" s="18">
        <f>ROUND(N507*'Methodology &amp; Assumptions'!$B$8, 0)</f>
        <v/>
      </c>
      <c r="P507" s="8" t="inlineStr">
        <is>
          <t>Band n50 (1.5 GHz, 60 MHz)</t>
        </is>
      </c>
      <c r="Q507" s="38">
        <f>ROUNDUP(O507/'Methodology &amp; Assumptions'!$B$9, 0)</f>
        <v/>
      </c>
      <c r="R507" s="39" t="n">
        <v>1</v>
      </c>
      <c r="S507" s="21" t="n">
        <v>1.56</v>
      </c>
      <c r="T507" s="21" t="n">
        <v>1.43</v>
      </c>
      <c r="U507" s="36" t="inlineStr">
        <is>
          <t>Tier 1B (Micro Drop, 1-3 km)</t>
        </is>
      </c>
      <c r="V507" s="20" t="n">
        <v>69.5</v>
      </c>
      <c r="W507" s="20" t="n">
        <v>100</v>
      </c>
      <c r="X507" s="20" t="n">
        <v>43</v>
      </c>
      <c r="Y507" s="40">
        <f>ROUND((V507*'Methodology &amp; Assumptions'!$B$6)+(W507*'Methodology &amp; Assumptions'!$B$5)+(X507*'Methodology &amp; Assumptions'!$B$7), 2)</f>
        <v/>
      </c>
    </row>
    <row r="508" ht="19" customHeight="1">
      <c r="A508" s="41" t="n">
        <v>504</v>
      </c>
      <c r="B508" s="41" t="n">
        <v>1504</v>
      </c>
      <c r="C508" s="42" t="inlineStr">
        <is>
          <t>1004304005</t>
        </is>
      </c>
      <c r="D508" s="42" t="inlineStr">
        <is>
          <t>Region X (Northern Mindanao)</t>
        </is>
      </c>
      <c r="E508" s="42" t="inlineStr">
        <is>
          <t>Misamis Oriental</t>
        </is>
      </c>
      <c r="F508" s="42" t="inlineStr">
        <is>
          <t>Binuangan</t>
        </is>
      </c>
      <c r="G508" s="42" t="inlineStr">
        <is>
          <t>Mosangot</t>
        </is>
      </c>
      <c r="H508" s="43" t="n">
        <v>8.914122000000001</v>
      </c>
      <c r="I508" s="43" t="n">
        <v>124.784812</v>
      </c>
      <c r="J508" s="44" t="inlineStr">
        <is>
          <t>R</t>
        </is>
      </c>
      <c r="K508" s="42" t="inlineStr">
        <is>
          <t>5th</t>
        </is>
      </c>
      <c r="L508" s="23" t="n">
        <v>1373</v>
      </c>
      <c r="M508" s="24" t="n">
        <v>4.83</v>
      </c>
      <c r="N508" s="23">
        <f>ROUND(L508/M508, 0)</f>
        <v/>
      </c>
      <c r="O508" s="23">
        <f>ROUND(N508*'Methodology &amp; Assumptions'!$B$8, 0)</f>
        <v/>
      </c>
      <c r="P508" s="44" t="inlineStr">
        <is>
          <t>Band n50 (1.5 GHz, 60 MHz)</t>
        </is>
      </c>
      <c r="Q508" s="38">
        <f>ROUNDUP(O508/'Methodology &amp; Assumptions'!$B$9, 0)</f>
        <v/>
      </c>
      <c r="R508" s="39" t="n">
        <v>1</v>
      </c>
      <c r="S508" s="25" t="n">
        <v>0.41</v>
      </c>
      <c r="T508" s="25" t="n">
        <v>0.06</v>
      </c>
      <c r="U508" s="42" t="inlineStr">
        <is>
          <t>Tier 1A (Direct Coloc, &lt;1 km)</t>
        </is>
      </c>
      <c r="V508" s="24" t="n">
        <v>97.09999999999999</v>
      </c>
      <c r="W508" s="24" t="n">
        <v>46.7</v>
      </c>
      <c r="X508" s="24" t="n">
        <v>73</v>
      </c>
      <c r="Y508" s="45">
        <f>ROUND((V508*'Methodology &amp; Assumptions'!$B$6)+(W508*'Methodology &amp; Assumptions'!$B$5)+(X508*'Methodology &amp; Assumptions'!$B$7), 2)</f>
        <v/>
      </c>
    </row>
    <row r="509" ht="19" customHeight="1">
      <c r="A509" s="35" t="n">
        <v>505</v>
      </c>
      <c r="B509" s="35" t="n">
        <v>1505</v>
      </c>
      <c r="C509" s="36" t="inlineStr">
        <is>
          <t>0806417040</t>
        </is>
      </c>
      <c r="D509" s="36" t="inlineStr">
        <is>
          <t>Region VIII (Eastern Visayas)</t>
        </is>
      </c>
      <c r="E509" s="36" t="inlineStr">
        <is>
          <t>Southern Leyte</t>
        </is>
      </c>
      <c r="F509" s="36" t="inlineStr">
        <is>
          <t>Sogod</t>
        </is>
      </c>
      <c r="G509" s="36" t="inlineStr">
        <is>
          <t>San Roque</t>
        </is>
      </c>
      <c r="H509" s="37" t="n">
        <v>10.39123</v>
      </c>
      <c r="I509" s="37" t="n">
        <v>124.9786</v>
      </c>
      <c r="J509" s="8" t="inlineStr">
        <is>
          <t>R</t>
        </is>
      </c>
      <c r="K509" s="36" t="inlineStr">
        <is>
          <t>Class 1-3 / Urban</t>
        </is>
      </c>
      <c r="L509" s="18" t="n">
        <v>1735</v>
      </c>
      <c r="M509" s="20" t="n">
        <v>4.53</v>
      </c>
      <c r="N509" s="18">
        <f>ROUND(L509/M509, 0)</f>
        <v/>
      </c>
      <c r="O509" s="18">
        <f>ROUND(N509*'Methodology &amp; Assumptions'!$B$8, 0)</f>
        <v/>
      </c>
      <c r="P509" s="8" t="inlineStr">
        <is>
          <t>Band n50 (1.5 GHz, 60 MHz)</t>
        </is>
      </c>
      <c r="Q509" s="38">
        <f>ROUNDUP(O509/'Methodology &amp; Assumptions'!$B$9, 0)</f>
        <v/>
      </c>
      <c r="R509" s="39" t="n">
        <v>1</v>
      </c>
      <c r="S509" s="21" t="n">
        <v>0.7</v>
      </c>
      <c r="T509" s="21" t="n">
        <v>0.58</v>
      </c>
      <c r="U509" s="36" t="inlineStr">
        <is>
          <t>Tier 1A (Direct Coloc, &lt;1 km)</t>
        </is>
      </c>
      <c r="V509" s="20" t="n">
        <v>89.09999999999999</v>
      </c>
      <c r="W509" s="20" t="n">
        <v>54.7</v>
      </c>
      <c r="X509" s="20" t="n">
        <v>73</v>
      </c>
      <c r="Y509" s="40">
        <f>ROUND((V509*'Methodology &amp; Assumptions'!$B$6)+(W509*'Methodology &amp; Assumptions'!$B$5)+(X509*'Methodology &amp; Assumptions'!$B$7), 2)</f>
        <v/>
      </c>
    </row>
    <row r="510" ht="19" customHeight="1">
      <c r="A510" s="41" t="n">
        <v>506</v>
      </c>
      <c r="B510" s="41" t="n">
        <v>1506</v>
      </c>
      <c r="C510" s="42" t="inlineStr">
        <is>
          <t>0401020021</t>
        </is>
      </c>
      <c r="D510" s="42" t="inlineStr">
        <is>
          <t>Region IV-A (CALABARZON)</t>
        </is>
      </c>
      <c r="E510" s="42" t="inlineStr">
        <is>
          <t>Batangas</t>
        </is>
      </c>
      <c r="F510" s="42" t="inlineStr">
        <is>
          <t>Padre Garcia</t>
        </is>
      </c>
      <c r="G510" s="42" t="inlineStr">
        <is>
          <t>Pansol</t>
        </is>
      </c>
      <c r="H510" s="43" t="n">
        <v>13.879656</v>
      </c>
      <c r="I510" s="43" t="n">
        <v>121.242606</v>
      </c>
      <c r="J510" s="44" t="inlineStr">
        <is>
          <t>R</t>
        </is>
      </c>
      <c r="K510" s="42" t="inlineStr">
        <is>
          <t>Class 1-3 / Urban</t>
        </is>
      </c>
      <c r="L510" s="23" t="n">
        <v>4720</v>
      </c>
      <c r="M510" s="24" t="n">
        <v>4.62</v>
      </c>
      <c r="N510" s="23">
        <f>ROUND(L510/M510, 0)</f>
        <v/>
      </c>
      <c r="O510" s="23">
        <f>ROUND(N510*'Methodology &amp; Assumptions'!$B$8, 0)</f>
        <v/>
      </c>
      <c r="P510" s="44" t="inlineStr">
        <is>
          <t>Band n50 (1.5 GHz, 60 MHz)</t>
        </is>
      </c>
      <c r="Q510" s="38">
        <f>ROUNDUP(O510/'Methodology &amp; Assumptions'!$B$9, 0)</f>
        <v/>
      </c>
      <c r="R510" s="39" t="n">
        <v>1</v>
      </c>
      <c r="S510" s="25" t="n">
        <v>2.29</v>
      </c>
      <c r="T510" s="25" t="n">
        <v>0.8</v>
      </c>
      <c r="U510" s="42" t="inlineStr">
        <is>
          <t>Tier 1B (Micro Drop, 1-3 km)</t>
        </is>
      </c>
      <c r="V510" s="24" t="n">
        <v>56.6</v>
      </c>
      <c r="W510" s="24" t="n">
        <v>100</v>
      </c>
      <c r="X510" s="24" t="n">
        <v>58</v>
      </c>
      <c r="Y510" s="45">
        <f>ROUND((V510*'Methodology &amp; Assumptions'!$B$6)+(W510*'Methodology &amp; Assumptions'!$B$5)+(X510*'Methodology &amp; Assumptions'!$B$7), 2)</f>
        <v/>
      </c>
    </row>
    <row r="511" ht="19" customHeight="1">
      <c r="A511" s="35" t="n">
        <v>507</v>
      </c>
      <c r="B511" s="35" t="n">
        <v>1507</v>
      </c>
      <c r="C511" s="36" t="inlineStr">
        <is>
          <t>1408104020</t>
        </is>
      </c>
      <c r="D511" s="36" t="inlineStr">
        <is>
          <t>Cordillera Administrative Region (CAR)</t>
        </is>
      </c>
      <c r="E511" s="36" t="inlineStr">
        <is>
          <t>Apayao</t>
        </is>
      </c>
      <c r="F511" s="36" t="inlineStr">
        <is>
          <t>Kabugao</t>
        </is>
      </c>
      <c r="G511" s="36" t="inlineStr">
        <is>
          <t>Poblacion</t>
        </is>
      </c>
      <c r="H511" s="37" t="n">
        <v>18.024509</v>
      </c>
      <c r="I511" s="37" t="n">
        <v>121.184477</v>
      </c>
      <c r="J511" s="8" t="inlineStr">
        <is>
          <t>R</t>
        </is>
      </c>
      <c r="K511" s="36" t="inlineStr">
        <is>
          <t>Class 1-3 / Urban</t>
        </is>
      </c>
      <c r="L511" s="18" t="n">
        <v>3154</v>
      </c>
      <c r="M511" s="20" t="n">
        <v>4.49</v>
      </c>
      <c r="N511" s="18">
        <f>ROUND(L511/M511, 0)</f>
        <v/>
      </c>
      <c r="O511" s="18">
        <f>ROUND(N511*'Methodology &amp; Assumptions'!$B$8, 0)</f>
        <v/>
      </c>
      <c r="P511" s="8" t="inlineStr">
        <is>
          <t>Band n50 (1.5 GHz, 60 MHz)</t>
        </is>
      </c>
      <c r="Q511" s="38">
        <f>ROUNDUP(O511/'Methodology &amp; Assumptions'!$B$9, 0)</f>
        <v/>
      </c>
      <c r="R511" s="39" t="n">
        <v>1</v>
      </c>
      <c r="S511" s="21" t="n">
        <v>0.66</v>
      </c>
      <c r="T511" s="21" t="n">
        <v>9.390000000000001</v>
      </c>
      <c r="U511" s="36" t="inlineStr">
        <is>
          <t>Tier 1A (Direct Coloc, &lt;1 km)</t>
        </is>
      </c>
      <c r="V511" s="20" t="n">
        <v>80.3</v>
      </c>
      <c r="W511" s="20" t="n">
        <v>76.3</v>
      </c>
      <c r="X511" s="20" t="n">
        <v>58</v>
      </c>
      <c r="Y511" s="40">
        <f>ROUND((V511*'Methodology &amp; Assumptions'!$B$6)+(W511*'Methodology &amp; Assumptions'!$B$5)+(X511*'Methodology &amp; Assumptions'!$B$7), 2)</f>
        <v/>
      </c>
    </row>
    <row r="512" ht="19" customHeight="1">
      <c r="A512" s="41" t="n">
        <v>508</v>
      </c>
      <c r="B512" s="41" t="n">
        <v>1508</v>
      </c>
      <c r="C512" s="42" t="inlineStr">
        <is>
          <t>0304902009</t>
        </is>
      </c>
      <c r="D512" s="42" t="inlineStr">
        <is>
          <t>Region III (Central Luzon)</t>
        </is>
      </c>
      <c r="E512" s="42" t="inlineStr">
        <is>
          <t>Nueva Ecija</t>
        </is>
      </c>
      <c r="F512" s="42" t="inlineStr">
        <is>
          <t>Bongabon</t>
        </is>
      </c>
      <c r="G512" s="42" t="inlineStr">
        <is>
          <t>Kaingin</t>
        </is>
      </c>
      <c r="H512" s="43" t="n">
        <v>15.623784</v>
      </c>
      <c r="I512" s="43" t="n">
        <v>121.137306</v>
      </c>
      <c r="J512" s="44" t="inlineStr">
        <is>
          <t>R</t>
        </is>
      </c>
      <c r="K512" s="42" t="inlineStr">
        <is>
          <t>Class 1-3 / Urban</t>
        </is>
      </c>
      <c r="L512" s="23" t="n">
        <v>2735</v>
      </c>
      <c r="M512" s="24" t="n">
        <v>4.32</v>
      </c>
      <c r="N512" s="23">
        <f>ROUND(L512/M512, 0)</f>
        <v/>
      </c>
      <c r="O512" s="23">
        <f>ROUND(N512*'Methodology &amp; Assumptions'!$B$8, 0)</f>
        <v/>
      </c>
      <c r="P512" s="44" t="inlineStr">
        <is>
          <t>Band n50 (1.5 GHz, 60 MHz)</t>
        </is>
      </c>
      <c r="Q512" s="38">
        <f>ROUNDUP(O512/'Methodology &amp; Assumptions'!$B$9, 0)</f>
        <v/>
      </c>
      <c r="R512" s="39" t="n">
        <v>1</v>
      </c>
      <c r="S512" s="25" t="n">
        <v>0.99</v>
      </c>
      <c r="T512" s="25" t="n">
        <v>0.99</v>
      </c>
      <c r="U512" s="42" t="inlineStr">
        <is>
          <t>Tier 1A (Direct Coloc, &lt;1 km)</t>
        </is>
      </c>
      <c r="V512" s="24" t="n">
        <v>81.90000000000001</v>
      </c>
      <c r="W512" s="24" t="n">
        <v>74.7</v>
      </c>
      <c r="X512" s="24" t="n">
        <v>58</v>
      </c>
      <c r="Y512" s="45">
        <f>ROUND((V512*'Methodology &amp; Assumptions'!$B$6)+(W512*'Methodology &amp; Assumptions'!$B$5)+(X512*'Methodology &amp; Assumptions'!$B$7), 2)</f>
        <v/>
      </c>
    </row>
    <row r="513" ht="19" customHeight="1">
      <c r="A513" s="35" t="n">
        <v>509</v>
      </c>
      <c r="B513" s="35" t="n">
        <v>1509</v>
      </c>
      <c r="C513" s="36" t="inlineStr">
        <is>
          <t>0105506005</t>
        </is>
      </c>
      <c r="D513" s="36" t="inlineStr">
        <is>
          <t>Region I (Ilocos Region)</t>
        </is>
      </c>
      <c r="E513" s="36" t="inlineStr">
        <is>
          <t>Pangasinan</t>
        </is>
      </c>
      <c r="F513" s="36" t="inlineStr">
        <is>
          <t>Asingan</t>
        </is>
      </c>
      <c r="G513" s="36" t="inlineStr">
        <is>
          <t>Baro</t>
        </is>
      </c>
      <c r="H513" s="37" t="n">
        <v>15.99693</v>
      </c>
      <c r="I513" s="37" t="n">
        <v>120.670673</v>
      </c>
      <c r="J513" s="8" t="inlineStr">
        <is>
          <t>R</t>
        </is>
      </c>
      <c r="K513" s="36" t="inlineStr">
        <is>
          <t>Class 1-3 / Urban</t>
        </is>
      </c>
      <c r="L513" s="18" t="n">
        <v>2684</v>
      </c>
      <c r="M513" s="20" t="n">
        <v>4.39</v>
      </c>
      <c r="N513" s="18">
        <f>ROUND(L513/M513, 0)</f>
        <v/>
      </c>
      <c r="O513" s="18">
        <f>ROUND(N513*'Methodology &amp; Assumptions'!$B$8, 0)</f>
        <v/>
      </c>
      <c r="P513" s="8" t="inlineStr">
        <is>
          <t>Band n50 (1.5 GHz, 60 MHz)</t>
        </is>
      </c>
      <c r="Q513" s="38">
        <f>ROUNDUP(O513/'Methodology &amp; Assumptions'!$B$9, 0)</f>
        <v/>
      </c>
      <c r="R513" s="39" t="n">
        <v>1</v>
      </c>
      <c r="S513" s="21" t="n">
        <v>0.91</v>
      </c>
      <c r="T513" s="21" t="n">
        <v>0.95</v>
      </c>
      <c r="U513" s="36" t="inlineStr">
        <is>
          <t>Tier 1A (Direct Coloc, &lt;1 km)</t>
        </is>
      </c>
      <c r="V513" s="20" t="n">
        <v>83.7</v>
      </c>
      <c r="W513" s="20" t="n">
        <v>72.8</v>
      </c>
      <c r="X513" s="20" t="n">
        <v>58</v>
      </c>
      <c r="Y513" s="40">
        <f>ROUND((V513*'Methodology &amp; Assumptions'!$B$6)+(W513*'Methodology &amp; Assumptions'!$B$5)+(X513*'Methodology &amp; Assumptions'!$B$7), 2)</f>
        <v/>
      </c>
    </row>
    <row r="514" ht="19" customHeight="1">
      <c r="A514" s="41" t="n">
        <v>510</v>
      </c>
      <c r="B514" s="41" t="n">
        <v>1510</v>
      </c>
      <c r="C514" s="42" t="inlineStr">
        <is>
          <t>0305412004</t>
        </is>
      </c>
      <c r="D514" s="42" t="inlineStr">
        <is>
          <t>Region III (Central Luzon)</t>
        </is>
      </c>
      <c r="E514" s="42" t="inlineStr">
        <is>
          <t>Pampanga</t>
        </is>
      </c>
      <c r="F514" s="42" t="inlineStr">
        <is>
          <t>Masantol</t>
        </is>
      </c>
      <c r="G514" s="42" t="inlineStr">
        <is>
          <t>Balibago</t>
        </is>
      </c>
      <c r="H514" s="43" t="n">
        <v>15.166357</v>
      </c>
      <c r="I514" s="43" t="n">
        <v>120.59086</v>
      </c>
      <c r="J514" s="44" t="inlineStr">
        <is>
          <t>R</t>
        </is>
      </c>
      <c r="K514" s="42" t="inlineStr">
        <is>
          <t>Class 1-3 / Urban</t>
        </is>
      </c>
      <c r="L514" s="23" t="n">
        <v>1890</v>
      </c>
      <c r="M514" s="24" t="n">
        <v>4.63</v>
      </c>
      <c r="N514" s="23">
        <f>ROUND(L514/M514, 0)</f>
        <v/>
      </c>
      <c r="O514" s="23">
        <f>ROUND(N514*'Methodology &amp; Assumptions'!$B$8, 0)</f>
        <v/>
      </c>
      <c r="P514" s="44" t="inlineStr">
        <is>
          <t>Band n50 (1.5 GHz, 60 MHz)</t>
        </is>
      </c>
      <c r="Q514" s="38">
        <f>ROUNDUP(O514/'Methodology &amp; Assumptions'!$B$9, 0)</f>
        <v/>
      </c>
      <c r="R514" s="39" t="n">
        <v>1</v>
      </c>
      <c r="S514" s="25" t="n">
        <v>0.11</v>
      </c>
      <c r="T514" s="25" t="n">
        <v>0.12</v>
      </c>
      <c r="U514" s="42" t="inlineStr">
        <is>
          <t>Tier 1A (Direct Coloc, &lt;1 km)</t>
        </is>
      </c>
      <c r="V514" s="24" t="n">
        <v>100</v>
      </c>
      <c r="W514" s="24" t="n">
        <v>56.5</v>
      </c>
      <c r="X514" s="24" t="n">
        <v>58</v>
      </c>
      <c r="Y514" s="45">
        <f>ROUND((V514*'Methodology &amp; Assumptions'!$B$6)+(W514*'Methodology &amp; Assumptions'!$B$5)+(X514*'Methodology &amp; Assumptions'!$B$7), 2)</f>
        <v/>
      </c>
    </row>
    <row r="515" ht="19" customHeight="1">
      <c r="A515" s="35" t="n">
        <v>511</v>
      </c>
      <c r="B515" s="35" t="n">
        <v>1511</v>
      </c>
      <c r="C515" s="36" t="inlineStr">
        <is>
          <t>1401101002</t>
        </is>
      </c>
      <c r="D515" s="36" t="inlineStr">
        <is>
          <t>Cordillera Administrative Region (CAR)</t>
        </is>
      </c>
      <c r="E515" s="36" t="inlineStr">
        <is>
          <t>Benguet</t>
        </is>
      </c>
      <c r="F515" s="36" t="inlineStr">
        <is>
          <t>Atok</t>
        </is>
      </c>
      <c r="G515" s="36" t="inlineStr">
        <is>
          <t>Caliking</t>
        </is>
      </c>
      <c r="H515" s="37" t="n">
        <v>16.52377</v>
      </c>
      <c r="I515" s="37" t="n">
        <v>120.6991</v>
      </c>
      <c r="J515" s="8" t="inlineStr">
        <is>
          <t>R</t>
        </is>
      </c>
      <c r="K515" s="36" t="inlineStr">
        <is>
          <t>3rd</t>
        </is>
      </c>
      <c r="L515" s="18" t="n">
        <v>3368</v>
      </c>
      <c r="M515" s="20" t="n">
        <v>4.47</v>
      </c>
      <c r="N515" s="18">
        <f>ROUND(L515/M515, 0)</f>
        <v/>
      </c>
      <c r="O515" s="18">
        <f>ROUND(N515*'Methodology &amp; Assumptions'!$B$8, 0)</f>
        <v/>
      </c>
      <c r="P515" s="8" t="inlineStr">
        <is>
          <t>Band n50 (1.5 GHz, 60 MHz)</t>
        </is>
      </c>
      <c r="Q515" s="38">
        <f>ROUNDUP(O515/'Methodology &amp; Assumptions'!$B$9, 0)</f>
        <v/>
      </c>
      <c r="R515" s="39" t="n">
        <v>1</v>
      </c>
      <c r="S515" s="21" t="n">
        <v>1.23</v>
      </c>
      <c r="T515" s="21" t="n">
        <v>0.2</v>
      </c>
      <c r="U515" s="36" t="inlineStr">
        <is>
          <t>Tier 1B (Micro Drop, 1-3 km)</t>
        </is>
      </c>
      <c r="V515" s="20" t="n">
        <v>76.3</v>
      </c>
      <c r="W515" s="20" t="n">
        <v>80.3</v>
      </c>
      <c r="X515" s="20" t="n">
        <v>58</v>
      </c>
      <c r="Y515" s="40">
        <f>ROUND((V515*'Methodology &amp; Assumptions'!$B$6)+(W515*'Methodology &amp; Assumptions'!$B$5)+(X515*'Methodology &amp; Assumptions'!$B$7), 2)</f>
        <v/>
      </c>
    </row>
    <row r="516" ht="19" customHeight="1">
      <c r="A516" s="41" t="n">
        <v>512</v>
      </c>
      <c r="B516" s="41" t="n">
        <v>1512</v>
      </c>
      <c r="C516" s="42" t="inlineStr">
        <is>
          <t>0405647003</t>
        </is>
      </c>
      <c r="D516" s="42" t="inlineStr">
        <is>
          <t>Region IV-A (CALABARZON)</t>
        </is>
      </c>
      <c r="E516" s="42" t="inlineStr">
        <is>
          <t>Quezon</t>
        </is>
      </c>
      <c r="F516" s="42" t="inlineStr">
        <is>
          <t>City of Tayabas</t>
        </is>
      </c>
      <c r="G516" s="42" t="inlineStr">
        <is>
          <t>Angeles Zone I</t>
        </is>
      </c>
      <c r="H516" s="43" t="n">
        <v>14.027569</v>
      </c>
      <c r="I516" s="43" t="n">
        <v>121.593525</v>
      </c>
      <c r="J516" s="44" t="inlineStr">
        <is>
          <t>R</t>
        </is>
      </c>
      <c r="K516" s="42" t="inlineStr">
        <is>
          <t>Class 1-3 / Urban</t>
        </is>
      </c>
      <c r="L516" s="23" t="n">
        <v>1995</v>
      </c>
      <c r="M516" s="24" t="n">
        <v>4.46</v>
      </c>
      <c r="N516" s="23">
        <f>ROUND(L516/M516, 0)</f>
        <v/>
      </c>
      <c r="O516" s="23">
        <f>ROUND(N516*'Methodology &amp; Assumptions'!$B$8, 0)</f>
        <v/>
      </c>
      <c r="P516" s="44" t="inlineStr">
        <is>
          <t>Band n50 (1.5 GHz, 60 MHz)</t>
        </is>
      </c>
      <c r="Q516" s="38">
        <f>ROUNDUP(O516/'Methodology &amp; Assumptions'!$B$9, 0)</f>
        <v/>
      </c>
      <c r="R516" s="39" t="n">
        <v>1</v>
      </c>
      <c r="S516" s="25" t="n">
        <v>0.43</v>
      </c>
      <c r="T516" s="25" t="n">
        <v>0.15</v>
      </c>
      <c r="U516" s="42" t="inlineStr">
        <is>
          <t>Tier 1A (Direct Coloc, &lt;1 km)</t>
        </is>
      </c>
      <c r="V516" s="24" t="n">
        <v>96.8</v>
      </c>
      <c r="W516" s="24" t="n">
        <v>59.7</v>
      </c>
      <c r="X516" s="24" t="n">
        <v>58</v>
      </c>
      <c r="Y516" s="45">
        <f>ROUND((V516*'Methodology &amp; Assumptions'!$B$6)+(W516*'Methodology &amp; Assumptions'!$B$5)+(X516*'Methodology &amp; Assumptions'!$B$7), 2)</f>
        <v/>
      </c>
    </row>
    <row r="517" ht="19" customHeight="1">
      <c r="A517" s="35" t="n">
        <v>513</v>
      </c>
      <c r="B517" s="35" t="n">
        <v>1513</v>
      </c>
      <c r="C517" s="36" t="inlineStr">
        <is>
          <t>0401031037</t>
        </is>
      </c>
      <c r="D517" s="36" t="inlineStr">
        <is>
          <t>Region IV-A (CALABARZON)</t>
        </is>
      </c>
      <c r="E517" s="36" t="inlineStr">
        <is>
          <t>Batangas</t>
        </is>
      </c>
      <c r="F517" s="36" t="inlineStr">
        <is>
          <t>City of Tanauan</t>
        </is>
      </c>
      <c r="G517" s="36" t="inlineStr">
        <is>
          <t>Poblacion Barangay 6</t>
        </is>
      </c>
      <c r="H517" s="37" t="n">
        <v>14.085494</v>
      </c>
      <c r="I517" s="37" t="n">
        <v>121.14598</v>
      </c>
      <c r="J517" s="8" t="inlineStr">
        <is>
          <t>U</t>
        </is>
      </c>
      <c r="K517" s="36" t="inlineStr">
        <is>
          <t>Class 1-3 / Urban</t>
        </is>
      </c>
      <c r="L517" s="18" t="n">
        <v>3549</v>
      </c>
      <c r="M517" s="20" t="n">
        <v>4.62</v>
      </c>
      <c r="N517" s="18">
        <f>ROUND(L517/M517, 0)</f>
        <v/>
      </c>
      <c r="O517" s="18">
        <f>ROUND(N517*'Methodology &amp; Assumptions'!$B$8, 0)</f>
        <v/>
      </c>
      <c r="P517" s="8" t="inlineStr">
        <is>
          <t>Band n50 (1.5 GHz, 60 MHz)</t>
        </is>
      </c>
      <c r="Q517" s="38">
        <f>ROUNDUP(O517/'Methodology &amp; Assumptions'!$B$9, 0)</f>
        <v/>
      </c>
      <c r="R517" s="39" t="n">
        <v>1</v>
      </c>
      <c r="S517" s="21" t="n">
        <v>0.42</v>
      </c>
      <c r="T517" s="21" t="n">
        <v>0.43</v>
      </c>
      <c r="U517" s="36" t="inlineStr">
        <is>
          <t>Tier 1A (Direct Coloc, &lt;1 km)</t>
        </is>
      </c>
      <c r="V517" s="20" t="n">
        <v>96.90000000000001</v>
      </c>
      <c r="W517" s="20" t="n">
        <v>85.3</v>
      </c>
      <c r="X517" s="20" t="n">
        <v>28</v>
      </c>
      <c r="Y517" s="40">
        <f>ROUND((V517*'Methodology &amp; Assumptions'!$B$6)+(W517*'Methodology &amp; Assumptions'!$B$5)+(X517*'Methodology &amp; Assumptions'!$B$7), 2)</f>
        <v/>
      </c>
    </row>
    <row r="518" ht="19" customHeight="1">
      <c r="A518" s="41" t="n">
        <v>514</v>
      </c>
      <c r="B518" s="41" t="n">
        <v>1514</v>
      </c>
      <c r="C518" s="42" t="inlineStr">
        <is>
          <t>1400108005</t>
        </is>
      </c>
      <c r="D518" s="42" t="inlineStr">
        <is>
          <t>Cordillera Administrative Region (CAR)</t>
        </is>
      </c>
      <c r="E518" s="42" t="inlineStr">
        <is>
          <t>Abra</t>
        </is>
      </c>
      <c r="F518" s="42" t="inlineStr">
        <is>
          <t>La Paz</t>
        </is>
      </c>
      <c r="G518" s="42" t="inlineStr">
        <is>
          <t>Canan</t>
        </is>
      </c>
      <c r="H518" s="43" t="n">
        <v>17.66302</v>
      </c>
      <c r="I518" s="43" t="n">
        <v>120.6664</v>
      </c>
      <c r="J518" s="44" t="inlineStr">
        <is>
          <t>R</t>
        </is>
      </c>
      <c r="K518" s="42" t="inlineStr">
        <is>
          <t>4th</t>
        </is>
      </c>
      <c r="L518" s="23" t="n">
        <v>1532</v>
      </c>
      <c r="M518" s="24" t="n">
        <v>4.48</v>
      </c>
      <c r="N518" s="23">
        <f>ROUND(L518/M518, 0)</f>
        <v/>
      </c>
      <c r="O518" s="23">
        <f>ROUND(N518*'Methodology &amp; Assumptions'!$B$8, 0)</f>
        <v/>
      </c>
      <c r="P518" s="44" t="inlineStr">
        <is>
          <t>Band n50 (1.5 GHz, 60 MHz)</t>
        </is>
      </c>
      <c r="Q518" s="38">
        <f>ROUNDUP(O518/'Methodology &amp; Assumptions'!$B$9, 0)</f>
        <v/>
      </c>
      <c r="R518" s="39" t="n">
        <v>1</v>
      </c>
      <c r="S518" s="25" t="n">
        <v>0.14</v>
      </c>
      <c r="T518" s="25" t="n">
        <v>0.16</v>
      </c>
      <c r="U518" s="42" t="inlineStr">
        <is>
          <t>Tier 1A (Direct Coloc, &lt;1 km)</t>
        </is>
      </c>
      <c r="V518" s="24" t="n">
        <v>100</v>
      </c>
      <c r="W518" s="24" t="n">
        <v>47.5</v>
      </c>
      <c r="X518" s="24" t="n">
        <v>68.5</v>
      </c>
      <c r="Y518" s="45">
        <f>ROUND((V518*'Methodology &amp; Assumptions'!$B$6)+(W518*'Methodology &amp; Assumptions'!$B$5)+(X518*'Methodology &amp; Assumptions'!$B$7), 2)</f>
        <v/>
      </c>
    </row>
    <row r="519" ht="19" customHeight="1">
      <c r="A519" s="35" t="n">
        <v>515</v>
      </c>
      <c r="B519" s="35" t="n">
        <v>1515</v>
      </c>
      <c r="C519" s="36" t="inlineStr">
        <is>
          <t>0301412017</t>
        </is>
      </c>
      <c r="D519" s="36" t="inlineStr">
        <is>
          <t>Region III (Central Luzon)</t>
        </is>
      </c>
      <c r="E519" s="36" t="inlineStr">
        <is>
          <t>Bulacan</t>
        </is>
      </c>
      <c r="F519" s="36" t="inlineStr">
        <is>
          <t>City of Meycauayan</t>
        </is>
      </c>
      <c r="G519" s="36" t="inlineStr">
        <is>
          <t>Pandayan</t>
        </is>
      </c>
      <c r="H519" s="37" t="n">
        <v>14.74967</v>
      </c>
      <c r="I519" s="37" t="n">
        <v>120.965547</v>
      </c>
      <c r="J519" s="8" t="inlineStr">
        <is>
          <t>U</t>
        </is>
      </c>
      <c r="K519" s="36" t="inlineStr">
        <is>
          <t>Class 1-3 / Urban</t>
        </is>
      </c>
      <c r="L519" s="18" t="n">
        <v>17171</v>
      </c>
      <c r="M519" s="20" t="n">
        <v>4.1</v>
      </c>
      <c r="N519" s="18">
        <f>ROUND(L519/M519, 0)</f>
        <v/>
      </c>
      <c r="O519" s="18">
        <f>ROUND(N519*'Methodology &amp; Assumptions'!$B$8, 0)</f>
        <v/>
      </c>
      <c r="P519" s="8" t="inlineStr">
        <is>
          <t>Band n50 (1.5 GHz, 60 MHz)</t>
        </is>
      </c>
      <c r="Q519" s="38">
        <f>ROUNDUP(O519/'Methodology &amp; Assumptions'!$B$9, 0)</f>
        <v/>
      </c>
      <c r="R519" s="39" t="n">
        <v>1</v>
      </c>
      <c r="S519" s="21" t="n">
        <v>0.98</v>
      </c>
      <c r="T519" s="21" t="n">
        <v>0.89</v>
      </c>
      <c r="U519" s="36" t="inlineStr">
        <is>
          <t>Tier 1A (Direct Coloc, &lt;1 km)</t>
        </is>
      </c>
      <c r="V519" s="20" t="n">
        <v>82.2</v>
      </c>
      <c r="W519" s="20" t="n">
        <v>100</v>
      </c>
      <c r="X519" s="20" t="n">
        <v>28</v>
      </c>
      <c r="Y519" s="40">
        <f>ROUND((V519*'Methodology &amp; Assumptions'!$B$6)+(W519*'Methodology &amp; Assumptions'!$B$5)+(X519*'Methodology &amp; Assumptions'!$B$7), 2)</f>
        <v/>
      </c>
    </row>
    <row r="520" ht="19" customHeight="1">
      <c r="A520" s="41" t="n">
        <v>516</v>
      </c>
      <c r="B520" s="41" t="n">
        <v>1516</v>
      </c>
      <c r="C520" s="42" t="inlineStr">
        <is>
          <t>1600307006</t>
        </is>
      </c>
      <c r="D520" s="42" t="inlineStr">
        <is>
          <t>Region XIII (Caraga)</t>
        </is>
      </c>
      <c r="E520" s="42" t="inlineStr">
        <is>
          <t>Agusan del Sur</t>
        </is>
      </c>
      <c r="F520" s="42" t="inlineStr">
        <is>
          <t>Rosario</t>
        </is>
      </c>
      <c r="G520" s="42" t="inlineStr">
        <is>
          <t>Poblacion</t>
        </is>
      </c>
      <c r="H520" s="43" t="n">
        <v>8.384567000000001</v>
      </c>
      <c r="I520" s="43" t="n">
        <v>126.0036</v>
      </c>
      <c r="J520" s="44" t="inlineStr">
        <is>
          <t>U</t>
        </is>
      </c>
      <c r="K520" s="42" t="inlineStr">
        <is>
          <t>Class 1-3 / Urban</t>
        </is>
      </c>
      <c r="L520" s="23" t="n">
        <v>5431</v>
      </c>
      <c r="M520" s="24" t="n">
        <v>4.1</v>
      </c>
      <c r="N520" s="23">
        <f>ROUND(L520/M520, 0)</f>
        <v/>
      </c>
      <c r="O520" s="23">
        <f>ROUND(N520*'Methodology &amp; Assumptions'!$B$8, 0)</f>
        <v/>
      </c>
      <c r="P520" s="44" t="inlineStr">
        <is>
          <t>Band n50 (1.5 GHz, 60 MHz)</t>
        </is>
      </c>
      <c r="Q520" s="38">
        <f>ROUNDUP(O520/'Methodology &amp; Assumptions'!$B$9, 0)</f>
        <v/>
      </c>
      <c r="R520" s="39" t="n">
        <v>1</v>
      </c>
      <c r="S520" s="25" t="n">
        <v>0.98</v>
      </c>
      <c r="T520" s="25" t="n">
        <v>0.3</v>
      </c>
      <c r="U520" s="42" t="inlineStr">
        <is>
          <t>Tier 1A (Direct Coloc, &lt;1 km)</t>
        </is>
      </c>
      <c r="V520" s="24" t="n">
        <v>82.2</v>
      </c>
      <c r="W520" s="24" t="n">
        <v>100</v>
      </c>
      <c r="X520" s="24" t="n">
        <v>28</v>
      </c>
      <c r="Y520" s="45">
        <f>ROUND((V520*'Methodology &amp; Assumptions'!$B$6)+(W520*'Methodology &amp; Assumptions'!$B$5)+(X520*'Methodology &amp; Assumptions'!$B$7), 2)</f>
        <v/>
      </c>
    </row>
    <row r="521" ht="19" customHeight="1">
      <c r="A521" s="35" t="n">
        <v>517</v>
      </c>
      <c r="B521" s="35" t="n">
        <v>1517</v>
      </c>
      <c r="C521" s="36" t="inlineStr">
        <is>
          <t>0307113024</t>
        </is>
      </c>
      <c r="D521" s="36" t="inlineStr">
        <is>
          <t>Region III (Central Luzon)</t>
        </is>
      </c>
      <c r="E521" s="36" t="inlineStr">
        <is>
          <t>Zambales</t>
        </is>
      </c>
      <c r="F521" s="36" t="inlineStr">
        <is>
          <t>Santa Cruz</t>
        </is>
      </c>
      <c r="G521" s="36" t="inlineStr">
        <is>
          <t>Poblacion South</t>
        </is>
      </c>
      <c r="H521" s="37" t="n">
        <v>15.760153</v>
      </c>
      <c r="I521" s="37" t="n">
        <v>119.91066</v>
      </c>
      <c r="J521" s="8" t="inlineStr">
        <is>
          <t>U</t>
        </is>
      </c>
      <c r="K521" s="36" t="inlineStr">
        <is>
          <t>Class 1-3 / Urban</t>
        </is>
      </c>
      <c r="L521" s="18" t="n">
        <v>3705</v>
      </c>
      <c r="M521" s="20" t="n">
        <v>4.05</v>
      </c>
      <c r="N521" s="18">
        <f>ROUND(L521/M521, 0)</f>
        <v/>
      </c>
      <c r="O521" s="18">
        <f>ROUND(N521*'Methodology &amp; Assumptions'!$B$8, 0)</f>
        <v/>
      </c>
      <c r="P521" s="8" t="inlineStr">
        <is>
          <t>Band n50 (1.5 GHz, 60 MHz)</t>
        </is>
      </c>
      <c r="Q521" s="38">
        <f>ROUNDUP(O521/'Methodology &amp; Assumptions'!$B$9, 0)</f>
        <v/>
      </c>
      <c r="R521" s="39" t="n">
        <v>1</v>
      </c>
      <c r="S521" s="21" t="n">
        <v>0.86</v>
      </c>
      <c r="T521" s="21" t="n">
        <v>0.2</v>
      </c>
      <c r="U521" s="36" t="inlineStr">
        <is>
          <t>Tier 1A (Direct Coloc, &lt;1 km)</t>
        </is>
      </c>
      <c r="V521" s="20" t="n">
        <v>85.09999999999999</v>
      </c>
      <c r="W521" s="20" t="n">
        <v>97.09999999999999</v>
      </c>
      <c r="X521" s="20" t="n">
        <v>28</v>
      </c>
      <c r="Y521" s="40">
        <f>ROUND((V521*'Methodology &amp; Assumptions'!$B$6)+(W521*'Methodology &amp; Assumptions'!$B$5)+(X521*'Methodology &amp; Assumptions'!$B$7), 2)</f>
        <v/>
      </c>
    </row>
    <row r="522" ht="19" customHeight="1">
      <c r="A522" s="41" t="n">
        <v>518</v>
      </c>
      <c r="B522" s="41" t="n">
        <v>1518</v>
      </c>
      <c r="C522" s="42" t="inlineStr">
        <is>
          <t>1004319007</t>
        </is>
      </c>
      <c r="D522" s="42" t="inlineStr">
        <is>
          <t>Region X (Northern Mindanao)</t>
        </is>
      </c>
      <c r="E522" s="42" t="inlineStr">
        <is>
          <t>Misamis Oriental</t>
        </is>
      </c>
      <c r="F522" s="42" t="inlineStr">
        <is>
          <t>Medina</t>
        </is>
      </c>
      <c r="G522" s="42" t="inlineStr">
        <is>
          <t>Maanas</t>
        </is>
      </c>
      <c r="H522" s="43" t="n">
        <v>8.893252</v>
      </c>
      <c r="I522" s="43" t="n">
        <v>125.030739</v>
      </c>
      <c r="J522" s="44" t="inlineStr">
        <is>
          <t>R</t>
        </is>
      </c>
      <c r="K522" s="42" t="inlineStr">
        <is>
          <t>2nd</t>
        </is>
      </c>
      <c r="L522" s="23" t="n">
        <v>4311</v>
      </c>
      <c r="M522" s="24" t="n">
        <v>4.59</v>
      </c>
      <c r="N522" s="23">
        <f>ROUND(L522/M522, 0)</f>
        <v/>
      </c>
      <c r="O522" s="23">
        <f>ROUND(N522*'Methodology &amp; Assumptions'!$B$8, 0)</f>
        <v/>
      </c>
      <c r="P522" s="44" t="inlineStr">
        <is>
          <t>Band n50 (1.5 GHz, 60 MHz)</t>
        </is>
      </c>
      <c r="Q522" s="38">
        <f>ROUNDUP(O522/'Methodology &amp; Assumptions'!$B$9, 0)</f>
        <v/>
      </c>
      <c r="R522" s="39" t="n">
        <v>1</v>
      </c>
      <c r="S522" s="25" t="n">
        <v>2.25</v>
      </c>
      <c r="T522" s="25" t="n">
        <v>0.04</v>
      </c>
      <c r="U522" s="42" t="inlineStr">
        <is>
          <t>Tier 1B (Micro Drop, 1-3 km)</t>
        </is>
      </c>
      <c r="V522" s="24" t="n">
        <v>57.2</v>
      </c>
      <c r="W522" s="24" t="n">
        <v>99.2</v>
      </c>
      <c r="X522" s="24" t="n">
        <v>58</v>
      </c>
      <c r="Y522" s="45">
        <f>ROUND((V522*'Methodology &amp; Assumptions'!$B$6)+(W522*'Methodology &amp; Assumptions'!$B$5)+(X522*'Methodology &amp; Assumptions'!$B$7), 2)</f>
        <v/>
      </c>
    </row>
    <row r="523" ht="19" customHeight="1">
      <c r="A523" s="35" t="n">
        <v>519</v>
      </c>
      <c r="B523" s="35" t="n">
        <v>1519</v>
      </c>
      <c r="C523" s="36" t="inlineStr">
        <is>
          <t>0203123014</t>
        </is>
      </c>
      <c r="D523" s="36" t="inlineStr">
        <is>
          <t>Region II (Cagayan Valley)</t>
        </is>
      </c>
      <c r="E523" s="36" t="inlineStr">
        <is>
          <t>Isabela</t>
        </is>
      </c>
      <c r="F523" s="36" t="inlineStr">
        <is>
          <t>Quirino</t>
        </is>
      </c>
      <c r="G523" s="36" t="inlineStr">
        <is>
          <t>Santa Lucia</t>
        </is>
      </c>
      <c r="H523" s="37" t="n">
        <v>17.137746</v>
      </c>
      <c r="I523" s="37" t="n">
        <v>121.733795</v>
      </c>
      <c r="J523" s="8" t="inlineStr">
        <is>
          <t>R</t>
        </is>
      </c>
      <c r="K523" s="36" t="inlineStr">
        <is>
          <t>1st</t>
        </is>
      </c>
      <c r="L523" s="18" t="n">
        <v>2145</v>
      </c>
      <c r="M523" s="20" t="n">
        <v>3.87</v>
      </c>
      <c r="N523" s="18">
        <f>ROUND(L523/M523, 0)</f>
        <v/>
      </c>
      <c r="O523" s="18">
        <f>ROUND(N523*'Methodology &amp; Assumptions'!$B$8, 0)</f>
        <v/>
      </c>
      <c r="P523" s="8" t="inlineStr">
        <is>
          <t>Band n50 (1.5 GHz, 60 MHz)</t>
        </is>
      </c>
      <c r="Q523" s="38">
        <f>ROUNDUP(O523/'Methodology &amp; Assumptions'!$B$9, 0)</f>
        <v/>
      </c>
      <c r="R523" s="39" t="n">
        <v>1</v>
      </c>
      <c r="S523" s="21" t="n">
        <v>0.38</v>
      </c>
      <c r="T523" s="21" t="n">
        <v>5.89</v>
      </c>
      <c r="U523" s="36" t="inlineStr">
        <is>
          <t>Tier 1A (Direct Coloc, &lt;1 km)</t>
        </is>
      </c>
      <c r="V523" s="20" t="n">
        <v>88.2</v>
      </c>
      <c r="W523" s="20" t="n">
        <v>68.3</v>
      </c>
      <c r="X523" s="20" t="n">
        <v>58</v>
      </c>
      <c r="Y523" s="40">
        <f>ROUND((V523*'Methodology &amp; Assumptions'!$B$6)+(W523*'Methodology &amp; Assumptions'!$B$5)+(X523*'Methodology &amp; Assumptions'!$B$7), 2)</f>
        <v/>
      </c>
    </row>
    <row r="524" ht="19" customHeight="1">
      <c r="A524" s="41" t="n">
        <v>520</v>
      </c>
      <c r="B524" s="41" t="n">
        <v>1520</v>
      </c>
      <c r="C524" s="42" t="inlineStr">
        <is>
          <t>0102903003</t>
        </is>
      </c>
      <c r="D524" s="42" t="inlineStr">
        <is>
          <t>Region I (Ilocos Region)</t>
        </is>
      </c>
      <c r="E524" s="42" t="inlineStr">
        <is>
          <t>Ilocos Sur</t>
        </is>
      </c>
      <c r="F524" s="42" t="inlineStr">
        <is>
          <t>Bantay</t>
        </is>
      </c>
      <c r="G524" s="42" t="inlineStr">
        <is>
          <t>Balaleng</t>
        </is>
      </c>
      <c r="H524" s="43" t="n">
        <v>17.58854</v>
      </c>
      <c r="I524" s="43" t="n">
        <v>120.38912</v>
      </c>
      <c r="J524" s="44" t="inlineStr">
        <is>
          <t>U</t>
        </is>
      </c>
      <c r="K524" s="42" t="inlineStr">
        <is>
          <t>Class 1-3 / Urban</t>
        </is>
      </c>
      <c r="L524" s="23" t="n">
        <v>3016</v>
      </c>
      <c r="M524" s="24" t="n">
        <v>4.56</v>
      </c>
      <c r="N524" s="23">
        <f>ROUND(L524/M524, 0)</f>
        <v/>
      </c>
      <c r="O524" s="23">
        <f>ROUND(N524*'Methodology &amp; Assumptions'!$B$8, 0)</f>
        <v/>
      </c>
      <c r="P524" s="44" t="inlineStr">
        <is>
          <t>Band n50 (1.5 GHz, 60 MHz)</t>
        </is>
      </c>
      <c r="Q524" s="38">
        <f>ROUNDUP(O524/'Methodology &amp; Assumptions'!$B$9, 0)</f>
        <v/>
      </c>
      <c r="R524" s="39" t="n">
        <v>1</v>
      </c>
      <c r="S524" s="25" t="n">
        <v>0.58</v>
      </c>
      <c r="T524" s="25" t="n">
        <v>0.38</v>
      </c>
      <c r="U524" s="42" t="inlineStr">
        <is>
          <t>Tier 1A (Direct Coloc, &lt;1 km)</t>
        </is>
      </c>
      <c r="V524" s="24" t="n">
        <v>92.5</v>
      </c>
      <c r="W524" s="24" t="n">
        <v>76.8</v>
      </c>
      <c r="X524" s="24" t="n">
        <v>43</v>
      </c>
      <c r="Y524" s="45">
        <f>ROUND((V524*'Methodology &amp; Assumptions'!$B$6)+(W524*'Methodology &amp; Assumptions'!$B$5)+(X524*'Methodology &amp; Assumptions'!$B$7), 2)</f>
        <v/>
      </c>
    </row>
    <row r="525" ht="19" customHeight="1">
      <c r="A525" s="35" t="n">
        <v>521</v>
      </c>
      <c r="B525" s="35" t="n">
        <v>1521</v>
      </c>
      <c r="C525" s="36" t="inlineStr">
        <is>
          <t>0403425026</t>
        </is>
      </c>
      <c r="D525" s="36" t="inlineStr">
        <is>
          <t>Region IV-A (CALABARZON)</t>
        </is>
      </c>
      <c r="E525" s="36" t="inlineStr">
        <is>
          <t>Laguna</t>
        </is>
      </c>
      <c r="F525" s="36" t="inlineStr">
        <is>
          <t>City of San Pedro</t>
        </is>
      </c>
      <c r="G525" s="36" t="inlineStr">
        <is>
          <t>Pacita 1</t>
        </is>
      </c>
      <c r="H525" s="37" t="n">
        <v>14.345361</v>
      </c>
      <c r="I525" s="37" t="n">
        <v>121.056528</v>
      </c>
      <c r="J525" s="8" t="inlineStr">
        <is>
          <t>U</t>
        </is>
      </c>
      <c r="K525" s="36" t="inlineStr">
        <is>
          <t>Class 1-3 / Urban</t>
        </is>
      </c>
      <c r="L525" s="18" t="n">
        <v>22581</v>
      </c>
      <c r="M525" s="20" t="n">
        <v>4.2</v>
      </c>
      <c r="N525" s="18">
        <f>ROUND(L525/M525, 0)</f>
        <v/>
      </c>
      <c r="O525" s="18">
        <f>ROUND(N525*'Methodology &amp; Assumptions'!$B$8, 0)</f>
        <v/>
      </c>
      <c r="P525" s="8" t="inlineStr">
        <is>
          <t>Band n50 (1.5 GHz, 60 MHz)</t>
        </is>
      </c>
      <c r="Q525" s="38">
        <f>ROUNDUP(O525/'Methodology &amp; Assumptions'!$B$9, 0)</f>
        <v/>
      </c>
      <c r="R525" s="39" t="n">
        <v>1</v>
      </c>
      <c r="S525" s="21" t="n">
        <v>0.98</v>
      </c>
      <c r="T525" s="21" t="n">
        <v>0.27</v>
      </c>
      <c r="U525" s="36" t="inlineStr">
        <is>
          <t>Tier 1A (Direct Coloc, &lt;1 km)</t>
        </is>
      </c>
      <c r="V525" s="20" t="n">
        <v>82.09999999999999</v>
      </c>
      <c r="W525" s="20" t="n">
        <v>100</v>
      </c>
      <c r="X525" s="20" t="n">
        <v>28</v>
      </c>
      <c r="Y525" s="40">
        <f>ROUND((V525*'Methodology &amp; Assumptions'!$B$6)+(W525*'Methodology &amp; Assumptions'!$B$5)+(X525*'Methodology &amp; Assumptions'!$B$7), 2)</f>
        <v/>
      </c>
    </row>
    <row r="526" ht="19" customHeight="1">
      <c r="A526" s="41" t="n">
        <v>522</v>
      </c>
      <c r="B526" s="41" t="n">
        <v>1522</v>
      </c>
      <c r="C526" s="42" t="inlineStr">
        <is>
          <t>0105514017</t>
        </is>
      </c>
      <c r="D526" s="42" t="inlineStr">
        <is>
          <t>Region I (Ilocos Region)</t>
        </is>
      </c>
      <c r="E526" s="42" t="inlineStr">
        <is>
          <t>Pangasinan</t>
        </is>
      </c>
      <c r="F526" s="42" t="inlineStr">
        <is>
          <t>Bolinao</t>
        </is>
      </c>
      <c r="G526" s="42" t="inlineStr">
        <is>
          <t>Luciente 1.0</t>
        </is>
      </c>
      <c r="H526" s="43" t="n">
        <v>16.38775</v>
      </c>
      <c r="I526" s="43" t="n">
        <v>119.9039</v>
      </c>
      <c r="J526" s="44" t="inlineStr">
        <is>
          <t>U</t>
        </is>
      </c>
      <c r="K526" s="42" t="inlineStr">
        <is>
          <t>Class 1-3 / Urban</t>
        </is>
      </c>
      <c r="L526" s="23" t="n">
        <v>5475</v>
      </c>
      <c r="M526" s="24" t="n">
        <v>4.39</v>
      </c>
      <c r="N526" s="23">
        <f>ROUND(L526/M526, 0)</f>
        <v/>
      </c>
      <c r="O526" s="23">
        <f>ROUND(N526*'Methodology &amp; Assumptions'!$B$8, 0)</f>
        <v/>
      </c>
      <c r="P526" s="44" t="inlineStr">
        <is>
          <t>Band n50 (1.5 GHz, 60 MHz)</t>
        </is>
      </c>
      <c r="Q526" s="38">
        <f>ROUNDUP(O526/'Methodology &amp; Assumptions'!$B$9, 0)</f>
        <v/>
      </c>
      <c r="R526" s="39" t="n">
        <v>1</v>
      </c>
      <c r="S526" s="25" t="n">
        <v>0.98</v>
      </c>
      <c r="T526" s="25" t="n">
        <v>0.99</v>
      </c>
      <c r="U526" s="42" t="inlineStr">
        <is>
          <t>Tier 1A (Direct Coloc, &lt;1 km)</t>
        </is>
      </c>
      <c r="V526" s="24" t="n">
        <v>82.09999999999999</v>
      </c>
      <c r="W526" s="24" t="n">
        <v>100</v>
      </c>
      <c r="X526" s="24" t="n">
        <v>28</v>
      </c>
      <c r="Y526" s="45">
        <f>ROUND((V526*'Methodology &amp; Assumptions'!$B$6)+(W526*'Methodology &amp; Assumptions'!$B$5)+(X526*'Methodology &amp; Assumptions'!$B$7), 2)</f>
        <v/>
      </c>
    </row>
    <row r="527" ht="19" customHeight="1">
      <c r="A527" s="35" t="n">
        <v>523</v>
      </c>
      <c r="B527" s="35" t="n">
        <v>1523</v>
      </c>
      <c r="C527" s="36" t="inlineStr">
        <is>
          <t>0401029029</t>
        </is>
      </c>
      <c r="D527" s="36" t="inlineStr">
        <is>
          <t>Region IV-A (CALABARZON)</t>
        </is>
      </c>
      <c r="E527" s="36" t="inlineStr">
        <is>
          <t>Batangas</t>
        </is>
      </c>
      <c r="F527" s="36" t="inlineStr">
        <is>
          <t>Taal</t>
        </is>
      </c>
      <c r="G527" s="36" t="inlineStr">
        <is>
          <t>Poblacion 5</t>
        </is>
      </c>
      <c r="H527" s="37" t="n">
        <v>13.876102</v>
      </c>
      <c r="I527" s="37" t="n">
        <v>120.917707</v>
      </c>
      <c r="J527" s="8" t="inlineStr">
        <is>
          <t>R</t>
        </is>
      </c>
      <c r="K527" s="36" t="inlineStr">
        <is>
          <t>Class 1-3 / Urban</t>
        </is>
      </c>
      <c r="L527" s="18" t="n">
        <v>2038</v>
      </c>
      <c r="M527" s="20" t="n">
        <v>4.62</v>
      </c>
      <c r="N527" s="18">
        <f>ROUND(L527/M527, 0)</f>
        <v/>
      </c>
      <c r="O527" s="18">
        <f>ROUND(N527*'Methodology &amp; Assumptions'!$B$8, 0)</f>
        <v/>
      </c>
      <c r="P527" s="8" t="inlineStr">
        <is>
          <t>Band n50 (1.5 GHz, 60 MHz)</t>
        </is>
      </c>
      <c r="Q527" s="38">
        <f>ROUNDUP(O527/'Methodology &amp; Assumptions'!$B$9, 0)</f>
        <v/>
      </c>
      <c r="R527" s="39" t="n">
        <v>1</v>
      </c>
      <c r="S527" s="21" t="n">
        <v>0.08</v>
      </c>
      <c r="T527" s="21" t="n">
        <v>2.32</v>
      </c>
      <c r="U527" s="36" t="inlineStr">
        <is>
          <t>Tier 1A (Direct Coloc, &lt;1 km)</t>
        </is>
      </c>
      <c r="V527" s="20" t="n">
        <v>97.2</v>
      </c>
      <c r="W527" s="20" t="n">
        <v>59.2</v>
      </c>
      <c r="X527" s="20" t="n">
        <v>58</v>
      </c>
      <c r="Y527" s="40">
        <f>ROUND((V527*'Methodology &amp; Assumptions'!$B$6)+(W527*'Methodology &amp; Assumptions'!$B$5)+(X527*'Methodology &amp; Assumptions'!$B$7), 2)</f>
        <v/>
      </c>
    </row>
    <row r="528" ht="19" customHeight="1">
      <c r="A528" s="41" t="n">
        <v>524</v>
      </c>
      <c r="B528" s="41" t="n">
        <v>1524</v>
      </c>
      <c r="C528" s="42" t="inlineStr">
        <is>
          <t>1004321003</t>
        </is>
      </c>
      <c r="D528" s="42" t="inlineStr">
        <is>
          <t>Region X (Northern Mindanao)</t>
        </is>
      </c>
      <c r="E528" s="42" t="inlineStr">
        <is>
          <t>Misamis Oriental</t>
        </is>
      </c>
      <c r="F528" s="42" t="inlineStr">
        <is>
          <t>Opol</t>
        </is>
      </c>
      <c r="G528" s="42" t="inlineStr">
        <is>
          <t>Barra</t>
        </is>
      </c>
      <c r="H528" s="43" t="n">
        <v>8.508487000000001</v>
      </c>
      <c r="I528" s="43" t="n">
        <v>124.6071</v>
      </c>
      <c r="J528" s="44" t="inlineStr">
        <is>
          <t>U</t>
        </is>
      </c>
      <c r="K528" s="42" t="inlineStr">
        <is>
          <t>Class 1-3 / Urban</t>
        </is>
      </c>
      <c r="L528" s="23" t="n">
        <v>14823</v>
      </c>
      <c r="M528" s="24" t="n">
        <v>4.54</v>
      </c>
      <c r="N528" s="23">
        <f>ROUND(L528/M528, 0)</f>
        <v/>
      </c>
      <c r="O528" s="23">
        <f>ROUND(N528*'Methodology &amp; Assumptions'!$B$8, 0)</f>
        <v/>
      </c>
      <c r="P528" s="44" t="inlineStr">
        <is>
          <t>Band n50 (1.5 GHz, 60 MHz)</t>
        </is>
      </c>
      <c r="Q528" s="38">
        <f>ROUNDUP(O528/'Methodology &amp; Assumptions'!$B$9, 0)</f>
        <v/>
      </c>
      <c r="R528" s="39" t="n">
        <v>1</v>
      </c>
      <c r="S528" s="25" t="n">
        <v>0.98</v>
      </c>
      <c r="T528" s="25" t="n">
        <v>0.53</v>
      </c>
      <c r="U528" s="42" t="inlineStr">
        <is>
          <t>Tier 1A (Direct Coloc, &lt;1 km)</t>
        </is>
      </c>
      <c r="V528" s="24" t="n">
        <v>82.09999999999999</v>
      </c>
      <c r="W528" s="24" t="n">
        <v>100</v>
      </c>
      <c r="X528" s="24" t="n">
        <v>28</v>
      </c>
      <c r="Y528" s="45">
        <f>ROUND((V528*'Methodology &amp; Assumptions'!$B$6)+(W528*'Methodology &amp; Assumptions'!$B$5)+(X528*'Methodology &amp; Assumptions'!$B$7), 2)</f>
        <v/>
      </c>
    </row>
    <row r="529" ht="19" customHeight="1">
      <c r="A529" s="35" t="n">
        <v>525</v>
      </c>
      <c r="B529" s="35" t="n">
        <v>1525</v>
      </c>
      <c r="C529" s="36" t="inlineStr">
        <is>
          <t>0405608008</t>
        </is>
      </c>
      <c r="D529" s="36" t="inlineStr">
        <is>
          <t>Region IV-A (CALABARZON)</t>
        </is>
      </c>
      <c r="E529" s="36" t="inlineStr">
        <is>
          <t>Quezon</t>
        </is>
      </c>
      <c r="F529" s="36" t="inlineStr">
        <is>
          <t>Candelaria</t>
        </is>
      </c>
      <c r="G529" s="36" t="inlineStr">
        <is>
          <t>Malabanban Norte</t>
        </is>
      </c>
      <c r="H529" s="37" t="n">
        <v>13.928024</v>
      </c>
      <c r="I529" s="37" t="n">
        <v>121.429319</v>
      </c>
      <c r="J529" s="8" t="inlineStr">
        <is>
          <t>U</t>
        </is>
      </c>
      <c r="K529" s="36" t="inlineStr">
        <is>
          <t>Class 1-3 / Urban</t>
        </is>
      </c>
      <c r="L529" s="18" t="n">
        <v>13453</v>
      </c>
      <c r="M529" s="20" t="n">
        <v>4.46</v>
      </c>
      <c r="N529" s="18">
        <f>ROUND(L529/M529, 0)</f>
        <v/>
      </c>
      <c r="O529" s="18">
        <f>ROUND(N529*'Methodology &amp; Assumptions'!$B$8, 0)</f>
        <v/>
      </c>
      <c r="P529" s="8" t="inlineStr">
        <is>
          <t>Band n50 (1.5 GHz, 60 MHz)</t>
        </is>
      </c>
      <c r="Q529" s="38">
        <f>ROUNDUP(O529/'Methodology &amp; Assumptions'!$B$9, 0)</f>
        <v/>
      </c>
      <c r="R529" s="39" t="n">
        <v>1</v>
      </c>
      <c r="S529" s="21" t="n">
        <v>0.98</v>
      </c>
      <c r="T529" s="21" t="n">
        <v>0.21</v>
      </c>
      <c r="U529" s="36" t="inlineStr">
        <is>
          <t>Tier 1A (Direct Coloc, &lt;1 km)</t>
        </is>
      </c>
      <c r="V529" s="20" t="n">
        <v>82.09999999999999</v>
      </c>
      <c r="W529" s="20" t="n">
        <v>100</v>
      </c>
      <c r="X529" s="20" t="n">
        <v>28</v>
      </c>
      <c r="Y529" s="40">
        <f>ROUND((V529*'Methodology &amp; Assumptions'!$B$6)+(W529*'Methodology &amp; Assumptions'!$B$5)+(X529*'Methodology &amp; Assumptions'!$B$7), 2)</f>
        <v/>
      </c>
    </row>
    <row r="530" ht="19" customHeight="1">
      <c r="A530" s="41" t="n">
        <v>526</v>
      </c>
      <c r="B530" s="41" t="n">
        <v>1526</v>
      </c>
      <c r="C530" s="42" t="inlineStr">
        <is>
          <t>0403426004</t>
        </is>
      </c>
      <c r="D530" s="42" t="inlineStr">
        <is>
          <t>Region IV-A (CALABARZON)</t>
        </is>
      </c>
      <c r="E530" s="42" t="inlineStr">
        <is>
          <t>Laguna</t>
        </is>
      </c>
      <c r="F530" s="42" t="inlineStr">
        <is>
          <t>Santa Cruz</t>
        </is>
      </c>
      <c r="G530" s="42" t="inlineStr">
        <is>
          <t>Calios</t>
        </is>
      </c>
      <c r="H530" s="43" t="n">
        <v>14.273992</v>
      </c>
      <c r="I530" s="43" t="n">
        <v>121.405665</v>
      </c>
      <c r="J530" s="44" t="inlineStr">
        <is>
          <t>U</t>
        </is>
      </c>
      <c r="K530" s="42" t="inlineStr">
        <is>
          <t>Class 1-3 / Urban</t>
        </is>
      </c>
      <c r="L530" s="23" t="n">
        <v>10082</v>
      </c>
      <c r="M530" s="24" t="n">
        <v>4.2</v>
      </c>
      <c r="N530" s="23">
        <f>ROUND(L530/M530, 0)</f>
        <v/>
      </c>
      <c r="O530" s="23">
        <f>ROUND(N530*'Methodology &amp; Assumptions'!$B$8, 0)</f>
        <v/>
      </c>
      <c r="P530" s="44" t="inlineStr">
        <is>
          <t>Band n50 (1.5 GHz, 60 MHz)</t>
        </is>
      </c>
      <c r="Q530" s="38">
        <f>ROUNDUP(O530/'Methodology &amp; Assumptions'!$B$9, 0)</f>
        <v/>
      </c>
      <c r="R530" s="39" t="n">
        <v>1</v>
      </c>
      <c r="S530" s="25" t="n">
        <v>0.98</v>
      </c>
      <c r="T530" s="25" t="n">
        <v>0.88</v>
      </c>
      <c r="U530" s="42" t="inlineStr">
        <is>
          <t>Tier 1A (Direct Coloc, &lt;1 km)</t>
        </is>
      </c>
      <c r="V530" s="24" t="n">
        <v>82.09999999999999</v>
      </c>
      <c r="W530" s="24" t="n">
        <v>100</v>
      </c>
      <c r="X530" s="24" t="n">
        <v>28</v>
      </c>
      <c r="Y530" s="45">
        <f>ROUND((V530*'Methodology &amp; Assumptions'!$B$6)+(W530*'Methodology &amp; Assumptions'!$B$5)+(X530*'Methodology &amp; Assumptions'!$B$7), 2)</f>
        <v/>
      </c>
    </row>
    <row r="531" ht="19" customHeight="1">
      <c r="A531" s="35" t="n">
        <v>527</v>
      </c>
      <c r="B531" s="35" t="n">
        <v>1527</v>
      </c>
      <c r="C531" s="36" t="inlineStr">
        <is>
          <t>0105547009</t>
        </is>
      </c>
      <c r="D531" s="36" t="inlineStr">
        <is>
          <t>Region I (Ilocos Region)</t>
        </is>
      </c>
      <c r="E531" s="36" t="inlineStr">
        <is>
          <t>Pangasinan</t>
        </is>
      </c>
      <c r="F531" s="36" t="inlineStr">
        <is>
          <t>Villasis</t>
        </is>
      </c>
      <c r="G531" s="36" t="inlineStr">
        <is>
          <t>Lipay</t>
        </is>
      </c>
      <c r="H531" s="37" t="n">
        <v>15.900315</v>
      </c>
      <c r="I531" s="37" t="n">
        <v>120.605978</v>
      </c>
      <c r="J531" s="8" t="inlineStr">
        <is>
          <t>R</t>
        </is>
      </c>
      <c r="K531" s="36" t="inlineStr">
        <is>
          <t>Class 1-3 / Urban</t>
        </is>
      </c>
      <c r="L531" s="18" t="n">
        <v>3760</v>
      </c>
      <c r="M531" s="20" t="n">
        <v>4.39</v>
      </c>
      <c r="N531" s="18">
        <f>ROUND(L531/M531, 0)</f>
        <v/>
      </c>
      <c r="O531" s="18">
        <f>ROUND(N531*'Methodology &amp; Assumptions'!$B$8, 0)</f>
        <v/>
      </c>
      <c r="P531" s="8" t="inlineStr">
        <is>
          <t>Band n50 (1.5 GHz, 60 MHz)</t>
        </is>
      </c>
      <c r="Q531" s="38">
        <f>ROUNDUP(O531/'Methodology &amp; Assumptions'!$B$9, 0)</f>
        <v/>
      </c>
      <c r="R531" s="39" t="n">
        <v>1</v>
      </c>
      <c r="S531" s="21" t="n">
        <v>2.68</v>
      </c>
      <c r="T531" s="21" t="n">
        <v>1.1</v>
      </c>
      <c r="U531" s="36" t="inlineStr">
        <is>
          <t>Tier 1B (Micro Drop, 1-3 km)</t>
        </is>
      </c>
      <c r="V531" s="20" t="n">
        <v>51</v>
      </c>
      <c r="W531" s="20" t="n">
        <v>92.5</v>
      </c>
      <c r="X531" s="20" t="n">
        <v>73</v>
      </c>
      <c r="Y531" s="40">
        <f>ROUND((V531*'Methodology &amp; Assumptions'!$B$6)+(W531*'Methodology &amp; Assumptions'!$B$5)+(X531*'Methodology &amp; Assumptions'!$B$7), 2)</f>
        <v/>
      </c>
    </row>
    <row r="532" ht="19" customHeight="1">
      <c r="A532" s="41" t="n">
        <v>528</v>
      </c>
      <c r="B532" s="41" t="n">
        <v>1528</v>
      </c>
      <c r="C532" s="42" t="inlineStr">
        <is>
          <t>0301406010</t>
        </is>
      </c>
      <c r="D532" s="42" t="inlineStr">
        <is>
          <t>Region III (Central Luzon)</t>
        </is>
      </c>
      <c r="E532" s="42" t="inlineStr">
        <is>
          <t>Bulacan</t>
        </is>
      </c>
      <c r="F532" s="42" t="inlineStr">
        <is>
          <t>Bustos</t>
        </is>
      </c>
      <c r="G532" s="42" t="inlineStr">
        <is>
          <t>Poblacion</t>
        </is>
      </c>
      <c r="H532" s="43" t="n">
        <v>14.955594</v>
      </c>
      <c r="I532" s="43" t="n">
        <v>120.909471</v>
      </c>
      <c r="J532" s="44" t="inlineStr">
        <is>
          <t>U</t>
        </is>
      </c>
      <c r="K532" s="42" t="inlineStr">
        <is>
          <t>Class 1-3 / Urban</t>
        </is>
      </c>
      <c r="L532" s="23" t="n">
        <v>8262</v>
      </c>
      <c r="M532" s="24" t="n">
        <v>4.1</v>
      </c>
      <c r="N532" s="23">
        <f>ROUND(L532/M532, 0)</f>
        <v/>
      </c>
      <c r="O532" s="23">
        <f>ROUND(N532*'Methodology &amp; Assumptions'!$B$8, 0)</f>
        <v/>
      </c>
      <c r="P532" s="44" t="inlineStr">
        <is>
          <t>Band n50 (1.5 GHz, 60 MHz)</t>
        </is>
      </c>
      <c r="Q532" s="38">
        <f>ROUNDUP(O532/'Methodology &amp; Assumptions'!$B$9, 0)</f>
        <v/>
      </c>
      <c r="R532" s="39" t="n">
        <v>1</v>
      </c>
      <c r="S532" s="25" t="n">
        <v>0.98</v>
      </c>
      <c r="T532" s="25" t="n">
        <v>0.03</v>
      </c>
      <c r="U532" s="42" t="inlineStr">
        <is>
          <t>Tier 1A (Direct Coloc, &lt;1 km)</t>
        </is>
      </c>
      <c r="V532" s="24" t="n">
        <v>82.09999999999999</v>
      </c>
      <c r="W532" s="24" t="n">
        <v>100</v>
      </c>
      <c r="X532" s="24" t="n">
        <v>28</v>
      </c>
      <c r="Y532" s="45">
        <f>ROUND((V532*'Methodology &amp; Assumptions'!$B$6)+(W532*'Methodology &amp; Assumptions'!$B$5)+(X532*'Methodology &amp; Assumptions'!$B$7), 2)</f>
        <v/>
      </c>
    </row>
    <row r="533" ht="19" customHeight="1">
      <c r="A533" s="35" t="n">
        <v>529</v>
      </c>
      <c r="B533" s="35" t="n">
        <v>1529</v>
      </c>
      <c r="C533" s="36" t="inlineStr">
        <is>
          <t>0103313029</t>
        </is>
      </c>
      <c r="D533" s="36" t="inlineStr">
        <is>
          <t>Region I (Ilocos Region)</t>
        </is>
      </c>
      <c r="E533" s="36" t="inlineStr">
        <is>
          <t>La Union</t>
        </is>
      </c>
      <c r="F533" s="36" t="inlineStr">
        <is>
          <t>Rosario</t>
        </is>
      </c>
      <c r="G533" s="36" t="inlineStr">
        <is>
          <t>Subusub</t>
        </is>
      </c>
      <c r="H533" s="37" t="n">
        <v>16.228912</v>
      </c>
      <c r="I533" s="37" t="n">
        <v>120.493101</v>
      </c>
      <c r="J533" s="8" t="inlineStr">
        <is>
          <t>R</t>
        </is>
      </c>
      <c r="K533" s="36" t="inlineStr">
        <is>
          <t>Class 1-3 / Urban</t>
        </is>
      </c>
      <c r="L533" s="18" t="n">
        <v>2965</v>
      </c>
      <c r="M533" s="20" t="n">
        <v>4.42</v>
      </c>
      <c r="N533" s="18">
        <f>ROUND(L533/M533, 0)</f>
        <v/>
      </c>
      <c r="O533" s="18">
        <f>ROUND(N533*'Methodology &amp; Assumptions'!$B$8, 0)</f>
        <v/>
      </c>
      <c r="P533" s="8" t="inlineStr">
        <is>
          <t>Band n50 (1.5 GHz, 60 MHz)</t>
        </is>
      </c>
      <c r="Q533" s="38">
        <f>ROUNDUP(O533/'Methodology &amp; Assumptions'!$B$9, 0)</f>
        <v/>
      </c>
      <c r="R533" s="39" t="n">
        <v>1</v>
      </c>
      <c r="S533" s="21" t="n">
        <v>1.13</v>
      </c>
      <c r="T533" s="21" t="n">
        <v>0.36</v>
      </c>
      <c r="U533" s="36" t="inlineStr">
        <is>
          <t>Tier 1B (Micro Drop, 1-3 km)</t>
        </is>
      </c>
      <c r="V533" s="20" t="n">
        <v>78.7</v>
      </c>
      <c r="W533" s="20" t="n">
        <v>77.59999999999999</v>
      </c>
      <c r="X533" s="20" t="n">
        <v>58</v>
      </c>
      <c r="Y533" s="40">
        <f>ROUND((V533*'Methodology &amp; Assumptions'!$B$6)+(W533*'Methodology &amp; Assumptions'!$B$5)+(X533*'Methodology &amp; Assumptions'!$B$7), 2)</f>
        <v/>
      </c>
    </row>
    <row r="534" ht="19" customHeight="1">
      <c r="A534" s="41" t="n">
        <v>530</v>
      </c>
      <c r="B534" s="41" t="n">
        <v>1530</v>
      </c>
      <c r="C534" s="42" t="inlineStr">
        <is>
          <t>1004322014</t>
        </is>
      </c>
      <c r="D534" s="42" t="inlineStr">
        <is>
          <t>Region X (Northern Mindanao)</t>
        </is>
      </c>
      <c r="E534" s="42" t="inlineStr">
        <is>
          <t>Misamis Oriental</t>
        </is>
      </c>
      <c r="F534" s="42" t="inlineStr">
        <is>
          <t>Salay</t>
        </is>
      </c>
      <c r="G534" s="42" t="inlineStr">
        <is>
          <t>Salay River I</t>
        </is>
      </c>
      <c r="H534" s="43" t="n">
        <v>8.860424</v>
      </c>
      <c r="I534" s="43" t="n">
        <v>124.789269</v>
      </c>
      <c r="J534" s="44" t="inlineStr">
        <is>
          <t>R</t>
        </is>
      </c>
      <c r="K534" s="42" t="inlineStr">
        <is>
          <t>2nd</t>
        </is>
      </c>
      <c r="L534" s="23" t="n">
        <v>1940</v>
      </c>
      <c r="M534" s="24" t="n">
        <v>4.51</v>
      </c>
      <c r="N534" s="23">
        <f>ROUND(L534/M534, 0)</f>
        <v/>
      </c>
      <c r="O534" s="23">
        <f>ROUND(N534*'Methodology &amp; Assumptions'!$B$8, 0)</f>
        <v/>
      </c>
      <c r="P534" s="44" t="inlineStr">
        <is>
          <t>Band n50 (1.5 GHz, 60 MHz)</t>
        </is>
      </c>
      <c r="Q534" s="38">
        <f>ROUNDUP(O534/'Methodology &amp; Assumptions'!$B$9, 0)</f>
        <v/>
      </c>
      <c r="R534" s="39" t="n">
        <v>1</v>
      </c>
      <c r="S534" s="25" t="n">
        <v>0.39</v>
      </c>
      <c r="T534" s="25" t="n">
        <v>0.17</v>
      </c>
      <c r="U534" s="42" t="inlineStr">
        <is>
          <t>Tier 1A (Direct Coloc, &lt;1 km)</t>
        </is>
      </c>
      <c r="V534" s="24" t="n">
        <v>97.90000000000001</v>
      </c>
      <c r="W534" s="24" t="n">
        <v>58.4</v>
      </c>
      <c r="X534" s="24" t="n">
        <v>58</v>
      </c>
      <c r="Y534" s="45">
        <f>ROUND((V534*'Methodology &amp; Assumptions'!$B$6)+(W534*'Methodology &amp; Assumptions'!$B$5)+(X534*'Methodology &amp; Assumptions'!$B$7), 2)</f>
        <v/>
      </c>
    </row>
    <row r="535" ht="19" customHeight="1">
      <c r="A535" s="35" t="n">
        <v>531</v>
      </c>
      <c r="B535" s="35" t="n">
        <v>1531</v>
      </c>
      <c r="C535" s="36" t="inlineStr">
        <is>
          <t>0300802008</t>
        </is>
      </c>
      <c r="D535" s="36" t="inlineStr">
        <is>
          <t>Region III (Central Luzon)</t>
        </is>
      </c>
      <c r="E535" s="36" t="inlineStr">
        <is>
          <t>Bataan</t>
        </is>
      </c>
      <c r="F535" s="36" t="inlineStr">
        <is>
          <t>Bagac</t>
        </is>
      </c>
      <c r="G535" s="36" t="inlineStr">
        <is>
          <t>Pag-asa</t>
        </is>
      </c>
      <c r="H535" s="37" t="n">
        <v>14.593013</v>
      </c>
      <c r="I535" s="37" t="n">
        <v>120.389382</v>
      </c>
      <c r="J535" s="8" t="inlineStr">
        <is>
          <t>R</t>
        </is>
      </c>
      <c r="K535" s="36" t="inlineStr">
        <is>
          <t>Class 1-3 / Urban</t>
        </is>
      </c>
      <c r="L535" s="18" t="n">
        <v>3729</v>
      </c>
      <c r="M535" s="20" t="n">
        <v>4.57</v>
      </c>
      <c r="N535" s="18">
        <f>ROUND(L535/M535, 0)</f>
        <v/>
      </c>
      <c r="O535" s="18">
        <f>ROUND(N535*'Methodology &amp; Assumptions'!$B$8, 0)</f>
        <v/>
      </c>
      <c r="P535" s="8" t="inlineStr">
        <is>
          <t>Band n50 (1.5 GHz, 60 MHz)</t>
        </is>
      </c>
      <c r="Q535" s="38">
        <f>ROUNDUP(O535/'Methodology &amp; Assumptions'!$B$9, 0)</f>
        <v/>
      </c>
      <c r="R535" s="39" t="n">
        <v>1</v>
      </c>
      <c r="S535" s="21" t="n">
        <v>1.69</v>
      </c>
      <c r="T535" s="21" t="n">
        <v>0.8</v>
      </c>
      <c r="U535" s="36" t="inlineStr">
        <is>
          <t>Tier 1B (Micro Drop, 1-3 km)</t>
        </is>
      </c>
      <c r="V535" s="20" t="n">
        <v>66.90000000000001</v>
      </c>
      <c r="W535" s="20" t="n">
        <v>89.3</v>
      </c>
      <c r="X535" s="20" t="n">
        <v>58</v>
      </c>
      <c r="Y535" s="40">
        <f>ROUND((V535*'Methodology &amp; Assumptions'!$B$6)+(W535*'Methodology &amp; Assumptions'!$B$5)+(X535*'Methodology &amp; Assumptions'!$B$7), 2)</f>
        <v/>
      </c>
    </row>
    <row r="536" ht="19" customHeight="1">
      <c r="A536" s="41" t="n">
        <v>532</v>
      </c>
      <c r="B536" s="41" t="n">
        <v>1532</v>
      </c>
      <c r="C536" s="42" t="inlineStr">
        <is>
          <t>0331400021</t>
        </is>
      </c>
      <c r="D536" s="42" t="inlineStr">
        <is>
          <t>Region III (Central Luzon)</t>
        </is>
      </c>
      <c r="E536" s="42" t="inlineStr">
        <is>
          <t>Zambales</t>
        </is>
      </c>
      <c r="F536" s="42" t="inlineStr">
        <is>
          <t>City of Olongapo</t>
        </is>
      </c>
      <c r="G536" s="42" t="inlineStr">
        <is>
          <t>Old Cabalan</t>
        </is>
      </c>
      <c r="H536" s="43" t="n">
        <v>14.848727</v>
      </c>
      <c r="I536" s="43" t="n">
        <v>120.315088</v>
      </c>
      <c r="J536" s="44" t="inlineStr">
        <is>
          <t>U</t>
        </is>
      </c>
      <c r="K536" s="42" t="inlineStr">
        <is>
          <t>Class 1-3 / Urban</t>
        </is>
      </c>
      <c r="L536" s="23" t="n">
        <v>23401</v>
      </c>
      <c r="M536" s="24" t="n">
        <v>4.05</v>
      </c>
      <c r="N536" s="23">
        <f>ROUND(L536/M536, 0)</f>
        <v/>
      </c>
      <c r="O536" s="23">
        <f>ROUND(N536*'Methodology &amp; Assumptions'!$B$8, 0)</f>
        <v/>
      </c>
      <c r="P536" s="44" t="inlineStr">
        <is>
          <t>Band n50 (1.5 GHz, 60 MHz)</t>
        </is>
      </c>
      <c r="Q536" s="38">
        <f>ROUNDUP(O536/'Methodology &amp; Assumptions'!$B$9, 0)</f>
        <v/>
      </c>
      <c r="R536" s="39" t="n">
        <v>1</v>
      </c>
      <c r="S536" s="25" t="n">
        <v>0.99</v>
      </c>
      <c r="T536" s="25" t="n">
        <v>0.1</v>
      </c>
      <c r="U536" s="42" t="inlineStr">
        <is>
          <t>Tier 1A (Direct Coloc, &lt;1 km)</t>
        </is>
      </c>
      <c r="V536" s="24" t="n">
        <v>82</v>
      </c>
      <c r="W536" s="24" t="n">
        <v>100</v>
      </c>
      <c r="X536" s="24" t="n">
        <v>28</v>
      </c>
      <c r="Y536" s="45">
        <f>ROUND((V536*'Methodology &amp; Assumptions'!$B$6)+(W536*'Methodology &amp; Assumptions'!$B$5)+(X536*'Methodology &amp; Assumptions'!$B$7), 2)</f>
        <v/>
      </c>
    </row>
    <row r="537" ht="19" customHeight="1">
      <c r="A537" s="35" t="n">
        <v>533</v>
      </c>
      <c r="B537" s="35" t="n">
        <v>1533</v>
      </c>
      <c r="C537" s="36" t="inlineStr">
        <is>
          <t>0403426023</t>
        </is>
      </c>
      <c r="D537" s="36" t="inlineStr">
        <is>
          <t>Region IV-A (CALABARZON)</t>
        </is>
      </c>
      <c r="E537" s="36" t="inlineStr">
        <is>
          <t>Laguna</t>
        </is>
      </c>
      <c r="F537" s="36" t="inlineStr">
        <is>
          <t>Santa Cruz</t>
        </is>
      </c>
      <c r="G537" s="36" t="inlineStr">
        <is>
          <t>Santisima Cruz</t>
        </is>
      </c>
      <c r="H537" s="37" t="n">
        <v>14.287778</v>
      </c>
      <c r="I537" s="37" t="n">
        <v>121.411194</v>
      </c>
      <c r="J537" s="8" t="inlineStr">
        <is>
          <t>U</t>
        </is>
      </c>
      <c r="K537" s="36" t="inlineStr">
        <is>
          <t>Class 1-3 / Urban</t>
        </is>
      </c>
      <c r="L537" s="18" t="n">
        <v>9801</v>
      </c>
      <c r="M537" s="20" t="n">
        <v>4.2</v>
      </c>
      <c r="N537" s="18">
        <f>ROUND(L537/M537, 0)</f>
        <v/>
      </c>
      <c r="O537" s="18">
        <f>ROUND(N537*'Methodology &amp; Assumptions'!$B$8, 0)</f>
        <v/>
      </c>
      <c r="P537" s="8" t="inlineStr">
        <is>
          <t>Band n50 (1.5 GHz, 60 MHz)</t>
        </is>
      </c>
      <c r="Q537" s="38">
        <f>ROUNDUP(O537/'Methodology &amp; Assumptions'!$B$9, 0)</f>
        <v/>
      </c>
      <c r="R537" s="39" t="n">
        <v>1</v>
      </c>
      <c r="S537" s="21" t="n">
        <v>0.99</v>
      </c>
      <c r="T537" s="21" t="n">
        <v>0.9</v>
      </c>
      <c r="U537" s="36" t="inlineStr">
        <is>
          <t>Tier 1A (Direct Coloc, &lt;1 km)</t>
        </is>
      </c>
      <c r="V537" s="20" t="n">
        <v>82</v>
      </c>
      <c r="W537" s="20" t="n">
        <v>100</v>
      </c>
      <c r="X537" s="20" t="n">
        <v>28</v>
      </c>
      <c r="Y537" s="40">
        <f>ROUND((V537*'Methodology &amp; Assumptions'!$B$6)+(W537*'Methodology &amp; Assumptions'!$B$5)+(X537*'Methodology &amp; Assumptions'!$B$7), 2)</f>
        <v/>
      </c>
    </row>
    <row r="538" ht="19" customHeight="1">
      <c r="A538" s="41" t="n">
        <v>534</v>
      </c>
      <c r="B538" s="41" t="n">
        <v>1534</v>
      </c>
      <c r="C538" s="42" t="inlineStr">
        <is>
          <t>0403422007</t>
        </is>
      </c>
      <c r="D538" s="42" t="inlineStr">
        <is>
          <t>Region IV-A (CALABARZON)</t>
        </is>
      </c>
      <c r="E538" s="42" t="inlineStr">
        <is>
          <t>Laguna</t>
        </is>
      </c>
      <c r="F538" s="42" t="inlineStr">
        <is>
          <t>Pila</t>
        </is>
      </c>
      <c r="G538" s="42" t="inlineStr">
        <is>
          <t>Labuin</t>
        </is>
      </c>
      <c r="H538" s="43" t="n">
        <v>14.2456</v>
      </c>
      <c r="I538" s="43" t="n">
        <v>121.368373</v>
      </c>
      <c r="J538" s="44" t="inlineStr">
        <is>
          <t>U</t>
        </is>
      </c>
      <c r="K538" s="42" t="inlineStr">
        <is>
          <t>Class 1-3 / Urban</t>
        </is>
      </c>
      <c r="L538" s="23" t="n">
        <v>5758</v>
      </c>
      <c r="M538" s="24" t="n">
        <v>4.2</v>
      </c>
      <c r="N538" s="23">
        <f>ROUND(L538/M538, 0)</f>
        <v/>
      </c>
      <c r="O538" s="23">
        <f>ROUND(N538*'Methodology &amp; Assumptions'!$B$8, 0)</f>
        <v/>
      </c>
      <c r="P538" s="44" t="inlineStr">
        <is>
          <t>Band n50 (1.5 GHz, 60 MHz)</t>
        </is>
      </c>
      <c r="Q538" s="38">
        <f>ROUNDUP(O538/'Methodology &amp; Assumptions'!$B$9, 0)</f>
        <v/>
      </c>
      <c r="R538" s="39" t="n">
        <v>1</v>
      </c>
      <c r="S538" s="25" t="n">
        <v>0.99</v>
      </c>
      <c r="T538" s="25" t="n">
        <v>0.14</v>
      </c>
      <c r="U538" s="42" t="inlineStr">
        <is>
          <t>Tier 1A (Direct Coloc, &lt;1 km)</t>
        </is>
      </c>
      <c r="V538" s="24" t="n">
        <v>82</v>
      </c>
      <c r="W538" s="24" t="n">
        <v>100</v>
      </c>
      <c r="X538" s="24" t="n">
        <v>28</v>
      </c>
      <c r="Y538" s="45">
        <f>ROUND((V538*'Methodology &amp; Assumptions'!$B$6)+(W538*'Methodology &amp; Assumptions'!$B$5)+(X538*'Methodology &amp; Assumptions'!$B$7), 2)</f>
        <v/>
      </c>
    </row>
    <row r="539" ht="19" customHeight="1">
      <c r="A539" s="35" t="n">
        <v>535</v>
      </c>
      <c r="B539" s="35" t="n">
        <v>1535</v>
      </c>
      <c r="C539" s="36" t="inlineStr">
        <is>
          <t>1430300161</t>
        </is>
      </c>
      <c r="D539" s="36" t="inlineStr">
        <is>
          <t>Cordillera Administrative Region (CAR)</t>
        </is>
      </c>
      <c r="E539" s="36" t="inlineStr">
        <is>
          <t>Benguet</t>
        </is>
      </c>
      <c r="F539" s="36" t="inlineStr">
        <is>
          <t>City of Baguio</t>
        </is>
      </c>
      <c r="G539" s="36" t="inlineStr">
        <is>
          <t>Padre Zamora</t>
        </is>
      </c>
      <c r="H539" s="37" t="n">
        <v>16.41787</v>
      </c>
      <c r="I539" s="37" t="n">
        <v>120.59323</v>
      </c>
      <c r="J539" s="8" t="inlineStr">
        <is>
          <t>R</t>
        </is>
      </c>
      <c r="K539" s="36" t="inlineStr">
        <is>
          <t>Class 1-3 / Urban</t>
        </is>
      </c>
      <c r="L539" s="18" t="n">
        <v>2390</v>
      </c>
      <c r="M539" s="20" t="n">
        <v>4.58</v>
      </c>
      <c r="N539" s="18">
        <f>ROUND(L539/M539, 0)</f>
        <v/>
      </c>
      <c r="O539" s="18">
        <f>ROUND(N539*'Methodology &amp; Assumptions'!$B$8, 0)</f>
        <v/>
      </c>
      <c r="P539" s="8" t="inlineStr">
        <is>
          <t>Band n50 (1.5 GHz, 60 MHz)</t>
        </is>
      </c>
      <c r="Q539" s="38">
        <f>ROUNDUP(O539/'Methodology &amp; Assumptions'!$B$9, 0)</f>
        <v/>
      </c>
      <c r="R539" s="39" t="n">
        <v>1</v>
      </c>
      <c r="S539" s="21" t="n">
        <v>0.51</v>
      </c>
      <c r="T539" s="21" t="n">
        <v>0.42</v>
      </c>
      <c r="U539" s="36" t="inlineStr">
        <is>
          <t>Tier 1A (Direct Coloc, &lt;1 km)</t>
        </is>
      </c>
      <c r="V539" s="20" t="n">
        <v>94.40000000000001</v>
      </c>
      <c r="W539" s="20" t="n">
        <v>61.9</v>
      </c>
      <c r="X539" s="20" t="n">
        <v>58</v>
      </c>
      <c r="Y539" s="40">
        <f>ROUND((V539*'Methodology &amp; Assumptions'!$B$6)+(W539*'Methodology &amp; Assumptions'!$B$5)+(X539*'Methodology &amp; Assumptions'!$B$7), 2)</f>
        <v/>
      </c>
    </row>
    <row r="540" ht="19" customHeight="1">
      <c r="A540" s="41" t="n">
        <v>536</v>
      </c>
      <c r="B540" s="41" t="n">
        <v>1536</v>
      </c>
      <c r="C540" s="42" t="inlineStr">
        <is>
          <t>1401105001</t>
        </is>
      </c>
      <c r="D540" s="42" t="inlineStr">
        <is>
          <t>Cordillera Administrative Region (CAR)</t>
        </is>
      </c>
      <c r="E540" s="42" t="inlineStr">
        <is>
          <t>Benguet</t>
        </is>
      </c>
      <c r="F540" s="42" t="inlineStr">
        <is>
          <t>Buguias</t>
        </is>
      </c>
      <c r="G540" s="42" t="inlineStr">
        <is>
          <t>Abatan</t>
        </is>
      </c>
      <c r="H540" s="43" t="n">
        <v>16.80301</v>
      </c>
      <c r="I540" s="43" t="n">
        <v>120.82191</v>
      </c>
      <c r="J540" s="44" t="inlineStr">
        <is>
          <t>U</t>
        </is>
      </c>
      <c r="K540" s="42" t="inlineStr">
        <is>
          <t>Class 1-3 / Urban</t>
        </is>
      </c>
      <c r="L540" s="23" t="n">
        <v>3548</v>
      </c>
      <c r="M540" s="24" t="n">
        <v>4.58</v>
      </c>
      <c r="N540" s="23">
        <f>ROUND(L540/M540, 0)</f>
        <v/>
      </c>
      <c r="O540" s="23">
        <f>ROUND(N540*'Methodology &amp; Assumptions'!$B$8, 0)</f>
        <v/>
      </c>
      <c r="P540" s="44" t="inlineStr">
        <is>
          <t>Band n50 (1.5 GHz, 60 MHz)</t>
        </is>
      </c>
      <c r="Q540" s="38">
        <f>ROUNDUP(O540/'Methodology &amp; Assumptions'!$B$9, 0)</f>
        <v/>
      </c>
      <c r="R540" s="39" t="n">
        <v>1</v>
      </c>
      <c r="S540" s="25" t="n">
        <v>0.09</v>
      </c>
      <c r="T540" s="25" t="n">
        <v>0.08</v>
      </c>
      <c r="U540" s="42" t="inlineStr">
        <is>
          <t>Tier 1A (Direct Coloc, &lt;1 km)</t>
        </is>
      </c>
      <c r="V540" s="24" t="n">
        <v>100</v>
      </c>
      <c r="W540" s="24" t="n">
        <v>81.90000000000001</v>
      </c>
      <c r="X540" s="24" t="n">
        <v>28</v>
      </c>
      <c r="Y540" s="45">
        <f>ROUND((V540*'Methodology &amp; Assumptions'!$B$6)+(W540*'Methodology &amp; Assumptions'!$B$5)+(X540*'Methodology &amp; Assumptions'!$B$7), 2)</f>
        <v/>
      </c>
    </row>
    <row r="541" ht="19" customHeight="1">
      <c r="A541" s="35" t="n">
        <v>537</v>
      </c>
      <c r="B541" s="35" t="n">
        <v>1537</v>
      </c>
      <c r="C541" s="36" t="inlineStr">
        <is>
          <t>0301416002</t>
        </is>
      </c>
      <c r="D541" s="36" t="inlineStr">
        <is>
          <t>Region III (Central Luzon)</t>
        </is>
      </c>
      <c r="E541" s="36" t="inlineStr">
        <is>
          <t>Bulacan</t>
        </is>
      </c>
      <c r="F541" s="36" t="inlineStr">
        <is>
          <t>Paombong</t>
        </is>
      </c>
      <c r="G541" s="36" t="inlineStr">
        <is>
          <t>Kapitangan</t>
        </is>
      </c>
      <c r="H541" s="37" t="n">
        <v>14.864317</v>
      </c>
      <c r="I541" s="37" t="n">
        <v>120.788171</v>
      </c>
      <c r="J541" s="8" t="inlineStr">
        <is>
          <t>R</t>
        </is>
      </c>
      <c r="K541" s="36" t="inlineStr">
        <is>
          <t>Class 1-3 / Urban</t>
        </is>
      </c>
      <c r="L541" s="18" t="n">
        <v>4708</v>
      </c>
      <c r="M541" s="20" t="n">
        <v>4.1</v>
      </c>
      <c r="N541" s="18">
        <f>ROUND(L541/M541, 0)</f>
        <v/>
      </c>
      <c r="O541" s="18">
        <f>ROUND(N541*'Methodology &amp; Assumptions'!$B$8, 0)</f>
        <v/>
      </c>
      <c r="P541" s="8" t="inlineStr">
        <is>
          <t>Band n50 (1.5 GHz, 60 MHz)</t>
        </is>
      </c>
      <c r="Q541" s="38">
        <f>ROUNDUP(O541/'Methodology &amp; Assumptions'!$B$9, 0)</f>
        <v/>
      </c>
      <c r="R541" s="39" t="n">
        <v>1</v>
      </c>
      <c r="S541" s="21" t="n">
        <v>3.3</v>
      </c>
      <c r="T541" s="21" t="n">
        <v>1.43</v>
      </c>
      <c r="U541" s="36" t="inlineStr">
        <is>
          <t>Tier 2 (Fiber Corridor / Lateral, 3-5 km)</t>
        </is>
      </c>
      <c r="V541" s="20" t="n">
        <v>43.3</v>
      </c>
      <c r="W541" s="20" t="n">
        <v>100</v>
      </c>
      <c r="X541" s="20" t="n">
        <v>73</v>
      </c>
      <c r="Y541" s="40">
        <f>ROUND((V541*'Methodology &amp; Assumptions'!$B$6)+(W541*'Methodology &amp; Assumptions'!$B$5)+(X541*'Methodology &amp; Assumptions'!$B$7), 2)</f>
        <v/>
      </c>
    </row>
    <row r="542" ht="19" customHeight="1">
      <c r="A542" s="41" t="n">
        <v>538</v>
      </c>
      <c r="B542" s="41" t="n">
        <v>1538</v>
      </c>
      <c r="C542" s="42" t="inlineStr">
        <is>
          <t>0403403016</t>
        </is>
      </c>
      <c r="D542" s="42" t="inlineStr">
        <is>
          <t>Region IV-A (CALABARZON)</t>
        </is>
      </c>
      <c r="E542" s="42" t="inlineStr">
        <is>
          <t>Laguna</t>
        </is>
      </c>
      <c r="F542" s="42" t="inlineStr">
        <is>
          <t>City of Biñan</t>
        </is>
      </c>
      <c r="G542" s="42" t="inlineStr">
        <is>
          <t>Poblacion</t>
        </is>
      </c>
      <c r="H542" s="43" t="n">
        <v>14.339651</v>
      </c>
      <c r="I542" s="43" t="n">
        <v>121.084914</v>
      </c>
      <c r="J542" s="44" t="inlineStr">
        <is>
          <t>U</t>
        </is>
      </c>
      <c r="K542" s="42" t="inlineStr">
        <is>
          <t>Class 1-3 / Urban</t>
        </is>
      </c>
      <c r="L542" s="23" t="n">
        <v>5012</v>
      </c>
      <c r="M542" s="24" t="n">
        <v>4.2</v>
      </c>
      <c r="N542" s="23">
        <f>ROUND(L542/M542, 0)</f>
        <v/>
      </c>
      <c r="O542" s="23">
        <f>ROUND(N542*'Methodology &amp; Assumptions'!$B$8, 0)</f>
        <v/>
      </c>
      <c r="P542" s="44" t="inlineStr">
        <is>
          <t>Band n50 (1.5 GHz, 60 MHz)</t>
        </is>
      </c>
      <c r="Q542" s="38">
        <f>ROUNDUP(O542/'Methodology &amp; Assumptions'!$B$9, 0)</f>
        <v/>
      </c>
      <c r="R542" s="39" t="n">
        <v>1</v>
      </c>
      <c r="S542" s="25" t="n">
        <v>0.99</v>
      </c>
      <c r="T542" s="25" t="n">
        <v>0.1</v>
      </c>
      <c r="U542" s="42" t="inlineStr">
        <is>
          <t>Tier 1A (Direct Coloc, &lt;1 km)</t>
        </is>
      </c>
      <c r="V542" s="24" t="n">
        <v>81.8</v>
      </c>
      <c r="W542" s="24" t="n">
        <v>100</v>
      </c>
      <c r="X542" s="24" t="n">
        <v>28</v>
      </c>
      <c r="Y542" s="45">
        <f>ROUND((V542*'Methodology &amp; Assumptions'!$B$6)+(W542*'Methodology &amp; Assumptions'!$B$5)+(X542*'Methodology &amp; Assumptions'!$B$7), 2)</f>
        <v/>
      </c>
    </row>
    <row r="543" ht="19" customHeight="1">
      <c r="A543" s="35" t="n">
        <v>539</v>
      </c>
      <c r="B543" s="35" t="n">
        <v>1539</v>
      </c>
      <c r="C543" s="36" t="inlineStr">
        <is>
          <t>0201516023</t>
        </is>
      </c>
      <c r="D543" s="36" t="inlineStr">
        <is>
          <t>Region II (Cagayan Valley)</t>
        </is>
      </c>
      <c r="E543" s="36" t="inlineStr">
        <is>
          <t>Cagayan</t>
        </is>
      </c>
      <c r="F543" s="36" t="inlineStr">
        <is>
          <t>Lal-Lo</t>
        </is>
      </c>
      <c r="G543" s="36" t="inlineStr">
        <is>
          <t>Magapit</t>
        </is>
      </c>
      <c r="H543" s="37" t="n">
        <v>18.129334</v>
      </c>
      <c r="I543" s="37" t="n">
        <v>121.684464</v>
      </c>
      <c r="J543" s="8" t="inlineStr">
        <is>
          <t>U</t>
        </is>
      </c>
      <c r="K543" s="36" t="inlineStr">
        <is>
          <t>Class 1-3 / Urban</t>
        </is>
      </c>
      <c r="L543" s="18" t="n">
        <v>4015</v>
      </c>
      <c r="M543" s="20" t="n">
        <v>4.38</v>
      </c>
      <c r="N543" s="18">
        <f>ROUND(L543/M543, 0)</f>
        <v/>
      </c>
      <c r="O543" s="18">
        <f>ROUND(N543*'Methodology &amp; Assumptions'!$B$8, 0)</f>
        <v/>
      </c>
      <c r="P543" s="8" t="inlineStr">
        <is>
          <t>Band n50 (1.5 GHz, 60 MHz)</t>
        </is>
      </c>
      <c r="Q543" s="38">
        <f>ROUNDUP(O543/'Methodology &amp; Assumptions'!$B$9, 0)</f>
        <v/>
      </c>
      <c r="R543" s="39" t="n">
        <v>1</v>
      </c>
      <c r="S543" s="21" t="n">
        <v>0.88</v>
      </c>
      <c r="T543" s="21" t="n">
        <v>0.23</v>
      </c>
      <c r="U543" s="36" t="inlineStr">
        <is>
          <t>Tier 1A (Direct Coloc, &lt;1 km)</t>
        </is>
      </c>
      <c r="V543" s="20" t="n">
        <v>84.5</v>
      </c>
      <c r="W543" s="20" t="n">
        <v>97.3</v>
      </c>
      <c r="X543" s="20" t="n">
        <v>28</v>
      </c>
      <c r="Y543" s="40">
        <f>ROUND((V543*'Methodology &amp; Assumptions'!$B$6)+(W543*'Methodology &amp; Assumptions'!$B$5)+(X543*'Methodology &amp; Assumptions'!$B$7), 2)</f>
        <v/>
      </c>
    </row>
    <row r="544" ht="19" customHeight="1">
      <c r="A544" s="41" t="n">
        <v>540</v>
      </c>
      <c r="B544" s="41" t="n">
        <v>1540</v>
      </c>
      <c r="C544" s="42" t="inlineStr">
        <is>
          <t>0403403001</t>
        </is>
      </c>
      <c r="D544" s="42" t="inlineStr">
        <is>
          <t>Region IV-A (CALABARZON)</t>
        </is>
      </c>
      <c r="E544" s="42" t="inlineStr">
        <is>
          <t>Laguna</t>
        </is>
      </c>
      <c r="F544" s="42" t="inlineStr">
        <is>
          <t>City of Biñan</t>
        </is>
      </c>
      <c r="G544" s="42" t="inlineStr">
        <is>
          <t>Biñan</t>
        </is>
      </c>
      <c r="H544" s="43" t="n">
        <v>14.33964</v>
      </c>
      <c r="I544" s="43" t="n">
        <v>121.084924</v>
      </c>
      <c r="J544" s="44" t="inlineStr">
        <is>
          <t>U</t>
        </is>
      </c>
      <c r="K544" s="42" t="inlineStr">
        <is>
          <t>Class 1-3 / Urban</t>
        </is>
      </c>
      <c r="L544" s="23" t="n">
        <v>7103</v>
      </c>
      <c r="M544" s="24" t="n">
        <v>4.2</v>
      </c>
      <c r="N544" s="23">
        <f>ROUND(L544/M544, 0)</f>
        <v/>
      </c>
      <c r="O544" s="23">
        <f>ROUND(N544*'Methodology &amp; Assumptions'!$B$8, 0)</f>
        <v/>
      </c>
      <c r="P544" s="44" t="inlineStr">
        <is>
          <t>Band n50 (1.5 GHz, 60 MHz)</t>
        </is>
      </c>
      <c r="Q544" s="38">
        <f>ROUNDUP(O544/'Methodology &amp; Assumptions'!$B$9, 0)</f>
        <v/>
      </c>
      <c r="R544" s="39" t="n">
        <v>1</v>
      </c>
      <c r="S544" s="25" t="n">
        <v>0.99</v>
      </c>
      <c r="T544" s="25" t="n">
        <v>0.1</v>
      </c>
      <c r="U544" s="42" t="inlineStr">
        <is>
          <t>Tier 1A (Direct Coloc, &lt;1 km)</t>
        </is>
      </c>
      <c r="V544" s="24" t="n">
        <v>81.8</v>
      </c>
      <c r="W544" s="24" t="n">
        <v>100</v>
      </c>
      <c r="X544" s="24" t="n">
        <v>28</v>
      </c>
      <c r="Y544" s="45">
        <f>ROUND((V544*'Methodology &amp; Assumptions'!$B$6)+(W544*'Methodology &amp; Assumptions'!$B$5)+(X544*'Methodology &amp; Assumptions'!$B$7), 2)</f>
        <v/>
      </c>
    </row>
    <row r="545" ht="19" customHeight="1">
      <c r="A545" s="35" t="n">
        <v>541</v>
      </c>
      <c r="B545" s="35" t="n">
        <v>1541</v>
      </c>
      <c r="C545" s="36" t="inlineStr">
        <is>
          <t>0330100002</t>
        </is>
      </c>
      <c r="D545" s="36" t="inlineStr">
        <is>
          <t>Region III (Central Luzon)</t>
        </is>
      </c>
      <c r="E545" s="36" t="inlineStr">
        <is>
          <t>Pampanga</t>
        </is>
      </c>
      <c r="F545" s="36" t="inlineStr">
        <is>
          <t>City of Angeles</t>
        </is>
      </c>
      <c r="G545" s="36" t="inlineStr">
        <is>
          <t>Anunas</t>
        </is>
      </c>
      <c r="H545" s="37" t="n">
        <v>15.155958</v>
      </c>
      <c r="I545" s="37" t="n">
        <v>120.55272</v>
      </c>
      <c r="J545" s="8" t="inlineStr">
        <is>
          <t>U</t>
        </is>
      </c>
      <c r="K545" s="36" t="inlineStr">
        <is>
          <t>Class 1-3 / Urban</t>
        </is>
      </c>
      <c r="L545" s="18" t="n">
        <v>26063</v>
      </c>
      <c r="M545" s="20" t="n">
        <v>4.63</v>
      </c>
      <c r="N545" s="18">
        <f>ROUND(L545/M545, 0)</f>
        <v/>
      </c>
      <c r="O545" s="18">
        <f>ROUND(N545*'Methodology &amp; Assumptions'!$B$8, 0)</f>
        <v/>
      </c>
      <c r="P545" s="8" t="inlineStr">
        <is>
          <t>Band n50 (1.5 GHz, 60 MHz)</t>
        </is>
      </c>
      <c r="Q545" s="38">
        <f>ROUNDUP(O545/'Methodology &amp; Assumptions'!$B$9, 0)</f>
        <v/>
      </c>
      <c r="R545" s="39" t="n">
        <v>1</v>
      </c>
      <c r="S545" s="21" t="n">
        <v>0.99</v>
      </c>
      <c r="T545" s="21" t="n">
        <v>0.5600000000000001</v>
      </c>
      <c r="U545" s="36" t="inlineStr">
        <is>
          <t>Tier 1A (Direct Coloc, &lt;1 km)</t>
        </is>
      </c>
      <c r="V545" s="20" t="n">
        <v>81.8</v>
      </c>
      <c r="W545" s="20" t="n">
        <v>100</v>
      </c>
      <c r="X545" s="20" t="n">
        <v>28</v>
      </c>
      <c r="Y545" s="40">
        <f>ROUND((V545*'Methodology &amp; Assumptions'!$B$6)+(W545*'Methodology &amp; Assumptions'!$B$5)+(X545*'Methodology &amp; Assumptions'!$B$7), 2)</f>
        <v/>
      </c>
    </row>
    <row r="546" ht="19" customHeight="1">
      <c r="A546" s="41" t="n">
        <v>542</v>
      </c>
      <c r="B546" s="41" t="n">
        <v>1542</v>
      </c>
      <c r="C546" s="42" t="inlineStr">
        <is>
          <t>0205702008</t>
        </is>
      </c>
      <c r="D546" s="42" t="inlineStr">
        <is>
          <t>Region II (Cagayan Valley)</t>
        </is>
      </c>
      <c r="E546" s="42" t="inlineStr">
        <is>
          <t>Quirino</t>
        </is>
      </c>
      <c r="F546" s="42" t="inlineStr">
        <is>
          <t>Cabarroguis</t>
        </is>
      </c>
      <c r="G546" s="42" t="inlineStr">
        <is>
          <t>Mangandingay</t>
        </is>
      </c>
      <c r="H546" s="43" t="n">
        <v>16.506033</v>
      </c>
      <c r="I546" s="43" t="n">
        <v>121.545564</v>
      </c>
      <c r="J546" s="44" t="inlineStr">
        <is>
          <t>R</t>
        </is>
      </c>
      <c r="K546" s="42" t="inlineStr">
        <is>
          <t>Class 1-3 / Urban</t>
        </is>
      </c>
      <c r="L546" s="23" t="n">
        <v>3775</v>
      </c>
      <c r="M546" s="24" t="n">
        <v>4.03</v>
      </c>
      <c r="N546" s="23">
        <f>ROUND(L546/M546, 0)</f>
        <v/>
      </c>
      <c r="O546" s="23">
        <f>ROUND(N546*'Methodology &amp; Assumptions'!$B$8, 0)</f>
        <v/>
      </c>
      <c r="P546" s="44" t="inlineStr">
        <is>
          <t>Band n50 (1.5 GHz, 60 MHz)</t>
        </is>
      </c>
      <c r="Q546" s="38">
        <f>ROUNDUP(O546/'Methodology &amp; Assumptions'!$B$9, 0)</f>
        <v/>
      </c>
      <c r="R546" s="39" t="n">
        <v>1</v>
      </c>
      <c r="S546" s="25" t="n">
        <v>2.26</v>
      </c>
      <c r="T546" s="25" t="n">
        <v>1.12</v>
      </c>
      <c r="U546" s="42" t="inlineStr">
        <is>
          <t>Tier 1B (Micro Drop, 1-3 km)</t>
        </is>
      </c>
      <c r="V546" s="24" t="n">
        <v>57.1</v>
      </c>
      <c r="W546" s="24" t="n">
        <v>98.90000000000001</v>
      </c>
      <c r="X546" s="24" t="n">
        <v>58</v>
      </c>
      <c r="Y546" s="45">
        <f>ROUND((V546*'Methodology &amp; Assumptions'!$B$6)+(W546*'Methodology &amp; Assumptions'!$B$5)+(X546*'Methodology &amp; Assumptions'!$B$7), 2)</f>
        <v/>
      </c>
    </row>
    <row r="547" ht="19" customHeight="1">
      <c r="A547" s="35" t="n">
        <v>543</v>
      </c>
      <c r="B547" s="35" t="n">
        <v>1543</v>
      </c>
      <c r="C547" s="36" t="inlineStr">
        <is>
          <t>0201529039</t>
        </is>
      </c>
      <c r="D547" s="36" t="inlineStr">
        <is>
          <t>Region II (Cagayan Valley)</t>
        </is>
      </c>
      <c r="E547" s="36" t="inlineStr">
        <is>
          <t>Cagayan</t>
        </is>
      </c>
      <c r="F547" s="36" t="inlineStr">
        <is>
          <t>Tuguegarao City</t>
        </is>
      </c>
      <c r="G547" s="36" t="inlineStr">
        <is>
          <t>Atulayan Sur</t>
        </is>
      </c>
      <c r="H547" s="37" t="n">
        <v>17.6351</v>
      </c>
      <c r="I547" s="37" t="n">
        <v>121.721</v>
      </c>
      <c r="J547" s="8" t="inlineStr">
        <is>
          <t>R</t>
        </is>
      </c>
      <c r="K547" s="36" t="inlineStr">
        <is>
          <t>Class 1-3 / Urban</t>
        </is>
      </c>
      <c r="L547" s="18" t="n">
        <v>4518</v>
      </c>
      <c r="M547" s="20" t="n">
        <v>4.38</v>
      </c>
      <c r="N547" s="18">
        <f>ROUND(L547/M547, 0)</f>
        <v/>
      </c>
      <c r="O547" s="18">
        <f>ROUND(N547*'Methodology &amp; Assumptions'!$B$8, 0)</f>
        <v/>
      </c>
      <c r="P547" s="8" t="inlineStr">
        <is>
          <t>Band n50 (1.5 GHz, 60 MHz)</t>
        </is>
      </c>
      <c r="Q547" s="38">
        <f>ROUNDUP(O547/'Methodology &amp; Assumptions'!$B$9, 0)</f>
        <v/>
      </c>
      <c r="R547" s="39" t="n">
        <v>1</v>
      </c>
      <c r="S547" s="21" t="n">
        <v>3.31</v>
      </c>
      <c r="T547" s="21" t="n">
        <v>0.93</v>
      </c>
      <c r="U547" s="36" t="inlineStr">
        <is>
          <t>Tier 2 (Fiber Corridor / Lateral, 3-5 km)</t>
        </is>
      </c>
      <c r="V547" s="20" t="n">
        <v>43.1</v>
      </c>
      <c r="W547" s="20" t="n">
        <v>100</v>
      </c>
      <c r="X547" s="20" t="n">
        <v>73</v>
      </c>
      <c r="Y547" s="40">
        <f>ROUND((V547*'Methodology &amp; Assumptions'!$B$6)+(W547*'Methodology &amp; Assumptions'!$B$5)+(X547*'Methodology &amp; Assumptions'!$B$7), 2)</f>
        <v/>
      </c>
    </row>
    <row r="548" ht="19" customHeight="1">
      <c r="A548" s="41" t="n">
        <v>544</v>
      </c>
      <c r="B548" s="41" t="n">
        <v>1544</v>
      </c>
      <c r="C548" s="42" t="inlineStr">
        <is>
          <t>0203135033</t>
        </is>
      </c>
      <c r="D548" s="42" t="inlineStr">
        <is>
          <t>Region II (Cagayan Valley)</t>
        </is>
      </c>
      <c r="E548" s="42" t="inlineStr">
        <is>
          <t>Isabela</t>
        </is>
      </c>
      <c r="F548" s="42" t="inlineStr">
        <is>
          <t>City of Santiago</t>
        </is>
      </c>
      <c r="G548" s="42" t="inlineStr">
        <is>
          <t>Sinsayon</t>
        </is>
      </c>
      <c r="H548" s="43" t="n">
        <v>16.693107</v>
      </c>
      <c r="I548" s="43" t="n">
        <v>121.533788</v>
      </c>
      <c r="J548" s="44" t="inlineStr">
        <is>
          <t>U</t>
        </is>
      </c>
      <c r="K548" s="42" t="inlineStr">
        <is>
          <t>Class 1-3 / Urban</t>
        </is>
      </c>
      <c r="L548" s="23" t="n">
        <v>3651</v>
      </c>
      <c r="M548" s="24" t="n">
        <v>4.3</v>
      </c>
      <c r="N548" s="23">
        <f>ROUND(L548/M548, 0)</f>
        <v/>
      </c>
      <c r="O548" s="23">
        <f>ROUND(N548*'Methodology &amp; Assumptions'!$B$8, 0)</f>
        <v/>
      </c>
      <c r="P548" s="44" t="inlineStr">
        <is>
          <t>Band n50 (1.5 GHz, 60 MHz)</t>
        </is>
      </c>
      <c r="Q548" s="38">
        <f>ROUNDUP(O548/'Methodology &amp; Assumptions'!$B$9, 0)</f>
        <v/>
      </c>
      <c r="R548" s="39" t="n">
        <v>1</v>
      </c>
      <c r="S548" s="25" t="n">
        <v>0.68</v>
      </c>
      <c r="T548" s="25" t="n">
        <v>0.09</v>
      </c>
      <c r="U548" s="42" t="inlineStr">
        <is>
          <t>Tier 1A (Direct Coloc, &lt;1 km)</t>
        </is>
      </c>
      <c r="V548" s="24" t="n">
        <v>89.7</v>
      </c>
      <c r="W548" s="24" t="n">
        <v>92</v>
      </c>
      <c r="X548" s="24" t="n">
        <v>28</v>
      </c>
      <c r="Y548" s="45">
        <f>ROUND((V548*'Methodology &amp; Assumptions'!$B$6)+(W548*'Methodology &amp; Assumptions'!$B$5)+(X548*'Methodology &amp; Assumptions'!$B$7), 2)</f>
        <v/>
      </c>
    </row>
    <row r="549" ht="19" customHeight="1">
      <c r="A549" s="35" t="n">
        <v>545</v>
      </c>
      <c r="B549" s="35" t="n">
        <v>1545</v>
      </c>
      <c r="C549" s="36" t="inlineStr">
        <is>
          <t>0405620026</t>
        </is>
      </c>
      <c r="D549" s="36" t="inlineStr">
        <is>
          <t>Region IV-A (CALABARZON)</t>
        </is>
      </c>
      <c r="E549" s="36" t="inlineStr">
        <is>
          <t>Quezon</t>
        </is>
      </c>
      <c r="F549" s="36" t="inlineStr">
        <is>
          <t>Infanta</t>
        </is>
      </c>
      <c r="G549" s="36" t="inlineStr">
        <is>
          <t>Libjo</t>
        </is>
      </c>
      <c r="H549" s="37" t="n">
        <v>14.753017</v>
      </c>
      <c r="I549" s="37" t="n">
        <v>121.671086</v>
      </c>
      <c r="J549" s="8" t="inlineStr">
        <is>
          <t>R</t>
        </is>
      </c>
      <c r="K549" s="36" t="inlineStr">
        <is>
          <t>Class 1-3 / Urban</t>
        </is>
      </c>
      <c r="L549" s="18" t="n">
        <v>2731</v>
      </c>
      <c r="M549" s="20" t="n">
        <v>4.46</v>
      </c>
      <c r="N549" s="18">
        <f>ROUND(L549/M549, 0)</f>
        <v/>
      </c>
      <c r="O549" s="18">
        <f>ROUND(N549*'Methodology &amp; Assumptions'!$B$8, 0)</f>
        <v/>
      </c>
      <c r="P549" s="8" t="inlineStr">
        <is>
          <t>Band n50 (1.5 GHz, 60 MHz)</t>
        </is>
      </c>
      <c r="Q549" s="38">
        <f>ROUNDUP(O549/'Methodology &amp; Assumptions'!$B$9, 0)</f>
        <v/>
      </c>
      <c r="R549" s="39" t="n">
        <v>1</v>
      </c>
      <c r="S549" s="21" t="n">
        <v>0.5600000000000001</v>
      </c>
      <c r="T549" s="21" t="n">
        <v>42.42</v>
      </c>
      <c r="U549" s="36" t="inlineStr">
        <is>
          <t>Tier 1A (Direct Coloc, &lt;1 km)</t>
        </is>
      </c>
      <c r="V549" s="20" t="n">
        <v>82.90000000000001</v>
      </c>
      <c r="W549" s="20" t="n">
        <v>73.09999999999999</v>
      </c>
      <c r="X549" s="20" t="n">
        <v>58</v>
      </c>
      <c r="Y549" s="40">
        <f>ROUND((V549*'Methodology &amp; Assumptions'!$B$6)+(W549*'Methodology &amp; Assumptions'!$B$5)+(X549*'Methodology &amp; Assumptions'!$B$7), 2)</f>
        <v/>
      </c>
    </row>
    <row r="550" ht="19" customHeight="1">
      <c r="A550" s="41" t="n">
        <v>546</v>
      </c>
      <c r="B550" s="41" t="n">
        <v>1546</v>
      </c>
      <c r="C550" s="42" t="inlineStr">
        <is>
          <t>1001305013</t>
        </is>
      </c>
      <c r="D550" s="42" t="inlineStr">
        <is>
          <t>Region X (Northern Mindanao)</t>
        </is>
      </c>
      <c r="E550" s="42" t="inlineStr">
        <is>
          <t>Bukidnon</t>
        </is>
      </c>
      <c r="F550" s="42" t="inlineStr">
        <is>
          <t>Impasug-ong</t>
        </is>
      </c>
      <c r="G550" s="42" t="inlineStr">
        <is>
          <t>Poblacion</t>
        </is>
      </c>
      <c r="H550" s="43" t="n">
        <v>8.306018999999999</v>
      </c>
      <c r="I550" s="43" t="n">
        <v>125.003919</v>
      </c>
      <c r="J550" s="44" t="inlineStr">
        <is>
          <t>U</t>
        </is>
      </c>
      <c r="K550" s="42" t="inlineStr">
        <is>
          <t>Class 1-3 / Urban</t>
        </is>
      </c>
      <c r="L550" s="23" t="n">
        <v>12693</v>
      </c>
      <c r="M550" s="24" t="n">
        <v>4.63</v>
      </c>
      <c r="N550" s="23">
        <f>ROUND(L550/M550, 0)</f>
        <v/>
      </c>
      <c r="O550" s="23">
        <f>ROUND(N550*'Methodology &amp; Assumptions'!$B$8, 0)</f>
        <v/>
      </c>
      <c r="P550" s="44" t="inlineStr">
        <is>
          <t>Band n50 (1.5 GHz, 60 MHz)</t>
        </is>
      </c>
      <c r="Q550" s="38">
        <f>ROUNDUP(O550/'Methodology &amp; Assumptions'!$B$9, 0)</f>
        <v/>
      </c>
      <c r="R550" s="39" t="n">
        <v>1</v>
      </c>
      <c r="S550" s="25" t="n">
        <v>0.61</v>
      </c>
      <c r="T550" s="25" t="n">
        <v>2.01</v>
      </c>
      <c r="U550" s="42" t="inlineStr">
        <is>
          <t>Tier 1A (Direct Coloc, &lt;1 km)</t>
        </is>
      </c>
      <c r="V550" s="24" t="n">
        <v>81.7</v>
      </c>
      <c r="W550" s="24" t="n">
        <v>100</v>
      </c>
      <c r="X550" s="24" t="n">
        <v>28</v>
      </c>
      <c r="Y550" s="45">
        <f>ROUND((V550*'Methodology &amp; Assumptions'!$B$6)+(W550*'Methodology &amp; Assumptions'!$B$5)+(X550*'Methodology &amp; Assumptions'!$B$7), 2)</f>
        <v/>
      </c>
    </row>
    <row r="551" ht="19" customHeight="1">
      <c r="A551" s="35" t="n">
        <v>547</v>
      </c>
      <c r="B551" s="35" t="n">
        <v>1547</v>
      </c>
      <c r="C551" s="36" t="inlineStr">
        <is>
          <t>0701216010</t>
        </is>
      </c>
      <c r="D551" s="36" t="inlineStr">
        <is>
          <t>Region VII (Central Visayas)</t>
        </is>
      </c>
      <c r="E551" s="36" t="inlineStr">
        <is>
          <t>Bohol</t>
        </is>
      </c>
      <c r="F551" s="36" t="inlineStr">
        <is>
          <t>Cortes</t>
        </is>
      </c>
      <c r="G551" s="36" t="inlineStr">
        <is>
          <t>Poblacion</t>
        </is>
      </c>
      <c r="H551" s="37" t="n">
        <v>9.721625</v>
      </c>
      <c r="I551" s="37" t="n">
        <v>123.879848</v>
      </c>
      <c r="J551" s="8" t="inlineStr">
        <is>
          <t>R</t>
        </is>
      </c>
      <c r="K551" s="36" t="inlineStr">
        <is>
          <t>4th</t>
        </is>
      </c>
      <c r="L551" s="18" t="n">
        <v>1334</v>
      </c>
      <c r="M551" s="20" t="n">
        <v>4.66</v>
      </c>
      <c r="N551" s="18">
        <f>ROUND(L551/M551, 0)</f>
        <v/>
      </c>
      <c r="O551" s="18">
        <f>ROUND(N551*'Methodology &amp; Assumptions'!$B$8, 0)</f>
        <v/>
      </c>
      <c r="P551" s="8" t="inlineStr">
        <is>
          <t>Band n50 (1.5 GHz, 60 MHz)</t>
        </is>
      </c>
      <c r="Q551" s="38">
        <f>ROUNDUP(O551/'Methodology &amp; Assumptions'!$B$9, 0)</f>
        <v/>
      </c>
      <c r="R551" s="39" t="n">
        <v>1</v>
      </c>
      <c r="S551" s="21" t="n">
        <v>0.26</v>
      </c>
      <c r="T551" s="21" t="n">
        <v>0.52</v>
      </c>
      <c r="U551" s="36" t="inlineStr">
        <is>
          <t>Tier 1A (Direct Coloc, &lt;1 km)</t>
        </is>
      </c>
      <c r="V551" s="20" t="n">
        <v>100</v>
      </c>
      <c r="W551" s="20" t="n">
        <v>46.9</v>
      </c>
      <c r="X551" s="20" t="n">
        <v>68.5</v>
      </c>
      <c r="Y551" s="40">
        <f>ROUND((V551*'Methodology &amp; Assumptions'!$B$6)+(W551*'Methodology &amp; Assumptions'!$B$5)+(X551*'Methodology &amp; Assumptions'!$B$7), 2)</f>
        <v/>
      </c>
    </row>
    <row r="552" ht="19" customHeight="1">
      <c r="A552" s="41" t="n">
        <v>548</v>
      </c>
      <c r="B552" s="41" t="n">
        <v>1548</v>
      </c>
      <c r="C552" s="42" t="inlineStr">
        <is>
          <t>0105503017</t>
        </is>
      </c>
      <c r="D552" s="42" t="inlineStr">
        <is>
          <t>Region I (Ilocos Region)</t>
        </is>
      </c>
      <c r="E552" s="42" t="inlineStr">
        <is>
          <t>Pangasinan</t>
        </is>
      </c>
      <c r="F552" s="42" t="inlineStr">
        <is>
          <t>City of Alaminos</t>
        </is>
      </c>
      <c r="G552" s="42" t="inlineStr">
        <is>
          <t>Magsaysay</t>
        </is>
      </c>
      <c r="H552" s="43" t="n">
        <v>16.170244</v>
      </c>
      <c r="I552" s="43" t="n">
        <v>119.987048</v>
      </c>
      <c r="J552" s="44" t="inlineStr">
        <is>
          <t>R</t>
        </is>
      </c>
      <c r="K552" s="42" t="inlineStr">
        <is>
          <t>Class 1-3 / Urban</t>
        </is>
      </c>
      <c r="L552" s="23" t="n">
        <v>3984</v>
      </c>
      <c r="M552" s="24" t="n">
        <v>4.39</v>
      </c>
      <c r="N552" s="23">
        <f>ROUND(L552/M552, 0)</f>
        <v/>
      </c>
      <c r="O552" s="23">
        <f>ROUND(N552*'Methodology &amp; Assumptions'!$B$8, 0)</f>
        <v/>
      </c>
      <c r="P552" s="44" t="inlineStr">
        <is>
          <t>Band n50 (1.5 GHz, 60 MHz)</t>
        </is>
      </c>
      <c r="Q552" s="38">
        <f>ROUNDUP(O552/'Methodology &amp; Assumptions'!$B$9, 0)</f>
        <v/>
      </c>
      <c r="R552" s="39" t="n">
        <v>1</v>
      </c>
      <c r="S552" s="25" t="n">
        <v>2.11</v>
      </c>
      <c r="T552" s="25" t="n">
        <v>1.75</v>
      </c>
      <c r="U552" s="42" t="inlineStr">
        <is>
          <t>Tier 1B (Micro Drop, 1-3 km)</t>
        </is>
      </c>
      <c r="V552" s="24" t="n">
        <v>59.4</v>
      </c>
      <c r="W552" s="24" t="n">
        <v>96.5</v>
      </c>
      <c r="X552" s="24" t="n">
        <v>58</v>
      </c>
      <c r="Y552" s="45">
        <f>ROUND((V552*'Methodology &amp; Assumptions'!$B$6)+(W552*'Methodology &amp; Assumptions'!$B$5)+(X552*'Methodology &amp; Assumptions'!$B$7), 2)</f>
        <v/>
      </c>
    </row>
    <row r="553" ht="19" customHeight="1">
      <c r="A553" s="35" t="n">
        <v>549</v>
      </c>
      <c r="B553" s="35" t="n">
        <v>1549</v>
      </c>
      <c r="C553" s="36" t="inlineStr">
        <is>
          <t>0831600122</t>
        </is>
      </c>
      <c r="D553" s="36" t="inlineStr">
        <is>
          <t>Region VIII (Eastern Visayas)</t>
        </is>
      </c>
      <c r="E553" s="36" t="inlineStr">
        <is>
          <t>Leyte</t>
        </is>
      </c>
      <c r="F553" s="36" t="inlineStr">
        <is>
          <t>City of Tacloban</t>
        </is>
      </c>
      <c r="G553" s="36" t="inlineStr">
        <is>
          <t>Barangay 89</t>
        </is>
      </c>
      <c r="H553" s="37" t="n">
        <v>11.203777</v>
      </c>
      <c r="I553" s="37" t="n">
        <v>125.0247</v>
      </c>
      <c r="J553" s="8" t="inlineStr">
        <is>
          <t>R</t>
        </is>
      </c>
      <c r="K553" s="36" t="inlineStr">
        <is>
          <t>Class 1-3 / Urban</t>
        </is>
      </c>
      <c r="L553" s="18" t="n">
        <v>3675</v>
      </c>
      <c r="M553" s="20" t="n">
        <v>4.24</v>
      </c>
      <c r="N553" s="18">
        <f>ROUND(L553/M553, 0)</f>
        <v/>
      </c>
      <c r="O553" s="18">
        <f>ROUND(N553*'Methodology &amp; Assumptions'!$B$8, 0)</f>
        <v/>
      </c>
      <c r="P553" s="8" t="inlineStr">
        <is>
          <t>Band n50 (1.5 GHz, 60 MHz)</t>
        </is>
      </c>
      <c r="Q553" s="38">
        <f>ROUNDUP(O553/'Methodology &amp; Assumptions'!$B$9, 0)</f>
        <v/>
      </c>
      <c r="R553" s="39" t="n">
        <v>1</v>
      </c>
      <c r="S553" s="21" t="n">
        <v>1.93</v>
      </c>
      <c r="T553" s="21" t="n">
        <v>0.57</v>
      </c>
      <c r="U553" s="36" t="inlineStr">
        <is>
          <t>Tier 1B (Micro Drop, 1-3 km)</t>
        </is>
      </c>
      <c r="V553" s="20" t="n">
        <v>62.6</v>
      </c>
      <c r="W553" s="20" t="n">
        <v>93.3</v>
      </c>
      <c r="X553" s="20" t="n">
        <v>58</v>
      </c>
      <c r="Y553" s="40">
        <f>ROUND((V553*'Methodology &amp; Assumptions'!$B$6)+(W553*'Methodology &amp; Assumptions'!$B$5)+(X553*'Methodology &amp; Assumptions'!$B$7), 2)</f>
        <v/>
      </c>
    </row>
    <row r="554" ht="19" customHeight="1">
      <c r="A554" s="41" t="n">
        <v>550</v>
      </c>
      <c r="B554" s="41" t="n">
        <v>1550</v>
      </c>
      <c r="C554" s="42" t="inlineStr">
        <is>
          <t>0300803001</t>
        </is>
      </c>
      <c r="D554" s="42" t="inlineStr">
        <is>
          <t>Region III (Central Luzon)</t>
        </is>
      </c>
      <c r="E554" s="42" t="inlineStr">
        <is>
          <t>Bataan</t>
        </is>
      </c>
      <c r="F554" s="42" t="inlineStr">
        <is>
          <t>City of Balanga</t>
        </is>
      </c>
      <c r="G554" s="42" t="inlineStr">
        <is>
          <t>Bagumbayan</t>
        </is>
      </c>
      <c r="H554" s="43" t="n">
        <v>14.679517</v>
      </c>
      <c r="I554" s="43" t="n">
        <v>120.545204</v>
      </c>
      <c r="J554" s="44" t="inlineStr">
        <is>
          <t>R</t>
        </is>
      </c>
      <c r="K554" s="42" t="inlineStr">
        <is>
          <t>Class 1-3 / Urban</t>
        </is>
      </c>
      <c r="L554" s="23" t="n">
        <v>2067</v>
      </c>
      <c r="M554" s="24" t="n">
        <v>4.57</v>
      </c>
      <c r="N554" s="23">
        <f>ROUND(L554/M554, 0)</f>
        <v/>
      </c>
      <c r="O554" s="23">
        <f>ROUND(N554*'Methodology &amp; Assumptions'!$B$8, 0)</f>
        <v/>
      </c>
      <c r="P554" s="44" t="inlineStr">
        <is>
          <t>Band n50 (1.5 GHz, 60 MHz)</t>
        </is>
      </c>
      <c r="Q554" s="38">
        <f>ROUNDUP(O554/'Methodology &amp; Assumptions'!$B$9, 0)</f>
        <v/>
      </c>
      <c r="R554" s="39" t="n">
        <v>1</v>
      </c>
      <c r="S554" s="25" t="n">
        <v>0.46</v>
      </c>
      <c r="T554" s="25" t="n">
        <v>0.23</v>
      </c>
      <c r="U554" s="42" t="inlineStr">
        <is>
          <t>Tier 1A (Direct Coloc, &lt;1 km)</t>
        </is>
      </c>
      <c r="V554" s="24" t="n">
        <v>95.7</v>
      </c>
      <c r="W554" s="24" t="n">
        <v>60.3</v>
      </c>
      <c r="X554" s="24" t="n">
        <v>58</v>
      </c>
      <c r="Y554" s="45">
        <f>ROUND((V554*'Methodology &amp; Assumptions'!$B$6)+(W554*'Methodology &amp; Assumptions'!$B$5)+(X554*'Methodology &amp; Assumptions'!$B$7), 2)</f>
        <v/>
      </c>
    </row>
    <row r="555" ht="19" customHeight="1">
      <c r="A555" s="35" t="n">
        <v>551</v>
      </c>
      <c r="B555" s="35" t="n">
        <v>1551</v>
      </c>
      <c r="C555" s="36" t="inlineStr">
        <is>
          <t>1004319018</t>
        </is>
      </c>
      <c r="D555" s="36" t="inlineStr">
        <is>
          <t>Region X (Northern Mindanao)</t>
        </is>
      </c>
      <c r="E555" s="36" t="inlineStr">
        <is>
          <t>Misamis Oriental</t>
        </is>
      </c>
      <c r="F555" s="36" t="inlineStr">
        <is>
          <t>Medina</t>
        </is>
      </c>
      <c r="G555" s="36" t="inlineStr">
        <is>
          <t>South Poblacion</t>
        </is>
      </c>
      <c r="H555" s="37" t="n">
        <v>8.906724000000001</v>
      </c>
      <c r="I555" s="37" t="n">
        <v>125.025101</v>
      </c>
      <c r="J555" s="8" t="inlineStr">
        <is>
          <t>U</t>
        </is>
      </c>
      <c r="K555" s="36" t="inlineStr">
        <is>
          <t>2nd</t>
        </is>
      </c>
      <c r="L555" s="18" t="n">
        <v>3864</v>
      </c>
      <c r="M555" s="20" t="n">
        <v>4.59</v>
      </c>
      <c r="N555" s="18">
        <f>ROUND(L555/M555, 0)</f>
        <v/>
      </c>
      <c r="O555" s="18">
        <f>ROUND(N555*'Methodology &amp; Assumptions'!$B$8, 0)</f>
        <v/>
      </c>
      <c r="P555" s="8" t="inlineStr">
        <is>
          <t>Band n50 (1.5 GHz, 60 MHz)</t>
        </is>
      </c>
      <c r="Q555" s="38">
        <f>ROUNDUP(O555/'Methodology &amp; Assumptions'!$B$9, 0)</f>
        <v/>
      </c>
      <c r="R555" s="39" t="n">
        <v>1</v>
      </c>
      <c r="S555" s="21" t="n">
        <v>0.66</v>
      </c>
      <c r="T555" s="21" t="n">
        <v>0.97</v>
      </c>
      <c r="U555" s="36" t="inlineStr">
        <is>
          <t>Tier 1A (Direct Coloc, &lt;1 km)</t>
        </is>
      </c>
      <c r="V555" s="20" t="n">
        <v>90.2</v>
      </c>
      <c r="W555" s="20" t="n">
        <v>91.5</v>
      </c>
      <c r="X555" s="20" t="n">
        <v>28</v>
      </c>
      <c r="Y555" s="40">
        <f>ROUND((V555*'Methodology &amp; Assumptions'!$B$6)+(W555*'Methodology &amp; Assumptions'!$B$5)+(X555*'Methodology &amp; Assumptions'!$B$7), 2)</f>
        <v/>
      </c>
    </row>
    <row r="556" ht="19" customHeight="1">
      <c r="A556" s="41" t="n">
        <v>552</v>
      </c>
      <c r="B556" s="41" t="n">
        <v>1552</v>
      </c>
      <c r="C556" s="42" t="inlineStr">
        <is>
          <t>0402122014</t>
        </is>
      </c>
      <c r="D556" s="42" t="inlineStr">
        <is>
          <t>Region IV-A (CALABARZON)</t>
        </is>
      </c>
      <c r="E556" s="42" t="inlineStr">
        <is>
          <t>Cavite</t>
        </is>
      </c>
      <c r="F556" s="42" t="inlineStr">
        <is>
          <t>City of Trece Martires</t>
        </is>
      </c>
      <c r="G556" s="42" t="inlineStr">
        <is>
          <t>Lapidario</t>
        </is>
      </c>
      <c r="H556" s="43" t="n">
        <v>14.273775</v>
      </c>
      <c r="I556" s="43" t="n">
        <v>120.86629</v>
      </c>
      <c r="J556" s="44" t="inlineStr">
        <is>
          <t>U</t>
        </is>
      </c>
      <c r="K556" s="42" t="inlineStr">
        <is>
          <t>Class 1-3 / Urban</t>
        </is>
      </c>
      <c r="L556" s="23" t="n">
        <v>12817</v>
      </c>
      <c r="M556" s="24" t="n">
        <v>4.49</v>
      </c>
      <c r="N556" s="23">
        <f>ROUND(L556/M556, 0)</f>
        <v/>
      </c>
      <c r="O556" s="23">
        <f>ROUND(N556*'Methodology &amp; Assumptions'!$B$8, 0)</f>
        <v/>
      </c>
      <c r="P556" s="44" t="inlineStr">
        <is>
          <t>Band n50 (1.5 GHz, 60 MHz)</t>
        </is>
      </c>
      <c r="Q556" s="38">
        <f>ROUNDUP(O556/'Methodology &amp; Assumptions'!$B$9, 0)</f>
        <v/>
      </c>
      <c r="R556" s="39" t="n">
        <v>1</v>
      </c>
      <c r="S556" s="25" t="n">
        <v>1</v>
      </c>
      <c r="T556" s="25" t="n">
        <v>0.9399999999999999</v>
      </c>
      <c r="U556" s="42" t="inlineStr">
        <is>
          <t>Tier 1B (Micro Drop, 1-3 km)</t>
        </is>
      </c>
      <c r="V556" s="24" t="n">
        <v>81.59999999999999</v>
      </c>
      <c r="W556" s="24" t="n">
        <v>100</v>
      </c>
      <c r="X556" s="24" t="n">
        <v>28</v>
      </c>
      <c r="Y556" s="45">
        <f>ROUND((V556*'Methodology &amp; Assumptions'!$B$6)+(W556*'Methodology &amp; Assumptions'!$B$5)+(X556*'Methodology &amp; Assumptions'!$B$7), 2)</f>
        <v/>
      </c>
    </row>
    <row r="557" ht="19" customHeight="1">
      <c r="A557" s="35" t="n">
        <v>553</v>
      </c>
      <c r="B557" s="35" t="n">
        <v>1553</v>
      </c>
      <c r="C557" s="36" t="inlineStr">
        <is>
          <t>0604528032</t>
        </is>
      </c>
      <c r="D557" s="36" t="inlineStr">
        <is>
          <t>Region VI (Western Visayas)</t>
        </is>
      </c>
      <c r="E557" s="36" t="inlineStr">
        <is>
          <t>Negros Occidental</t>
        </is>
      </c>
      <c r="F557" s="36" t="inlineStr">
        <is>
          <t>City of Talisay</t>
        </is>
      </c>
      <c r="G557" s="36" t="inlineStr">
        <is>
          <t>Zone 15</t>
        </is>
      </c>
      <c r="H557" s="37" t="n">
        <v>10.732369</v>
      </c>
      <c r="I557" s="37" t="n">
        <v>122.964073</v>
      </c>
      <c r="J557" s="8" t="inlineStr">
        <is>
          <t>U</t>
        </is>
      </c>
      <c r="K557" s="36" t="inlineStr">
        <is>
          <t>Class 1-3 / Urban</t>
        </is>
      </c>
      <c r="L557" s="18" t="n">
        <v>8565</v>
      </c>
      <c r="M557" s="20" t="n">
        <v>4.33</v>
      </c>
      <c r="N557" s="18">
        <f>ROUND(L557/M557, 0)</f>
        <v/>
      </c>
      <c r="O557" s="18">
        <f>ROUND(N557*'Methodology &amp; Assumptions'!$B$8, 0)</f>
        <v/>
      </c>
      <c r="P557" s="8" t="inlineStr">
        <is>
          <t>Band n50 (1.5 GHz, 60 MHz)</t>
        </is>
      </c>
      <c r="Q557" s="38">
        <f>ROUNDUP(O557/'Methodology &amp; Assumptions'!$B$9, 0)</f>
        <v/>
      </c>
      <c r="R557" s="39" t="n">
        <v>1</v>
      </c>
      <c r="S557" s="21" t="n">
        <v>1</v>
      </c>
      <c r="T557" s="21" t="n">
        <v>0.16</v>
      </c>
      <c r="U557" s="36" t="inlineStr">
        <is>
          <t>Tier 1B (Micro Drop, 1-3 km)</t>
        </is>
      </c>
      <c r="V557" s="20" t="n">
        <v>81.59999999999999</v>
      </c>
      <c r="W557" s="20" t="n">
        <v>100</v>
      </c>
      <c r="X557" s="20" t="n">
        <v>28</v>
      </c>
      <c r="Y557" s="40">
        <f>ROUND((V557*'Methodology &amp; Assumptions'!$B$6)+(W557*'Methodology &amp; Assumptions'!$B$5)+(X557*'Methodology &amp; Assumptions'!$B$7), 2)</f>
        <v/>
      </c>
    </row>
    <row r="558" ht="19" customHeight="1">
      <c r="A558" s="41" t="n">
        <v>554</v>
      </c>
      <c r="B558" s="41" t="n">
        <v>1554</v>
      </c>
      <c r="C558" s="42" t="inlineStr">
        <is>
          <t>0603034022</t>
        </is>
      </c>
      <c r="D558" s="42" t="inlineStr">
        <is>
          <t>Region VI (Western Visayas)</t>
        </is>
      </c>
      <c r="E558" s="42" t="inlineStr">
        <is>
          <t>Iloilo</t>
        </is>
      </c>
      <c r="F558" s="42" t="inlineStr">
        <is>
          <t>Oton</t>
        </is>
      </c>
      <c r="G558" s="42" t="inlineStr">
        <is>
          <t>Poblacion South</t>
        </is>
      </c>
      <c r="H558" s="43" t="n">
        <v>10.690009</v>
      </c>
      <c r="I558" s="43" t="n">
        <v>122.471546</v>
      </c>
      <c r="J558" s="44" t="inlineStr">
        <is>
          <t>U</t>
        </is>
      </c>
      <c r="K558" s="42" t="inlineStr">
        <is>
          <t>Class 1-3 / Urban</t>
        </is>
      </c>
      <c r="L558" s="23" t="n">
        <v>5481</v>
      </c>
      <c r="M558" s="24" t="n">
        <v>4.39</v>
      </c>
      <c r="N558" s="23">
        <f>ROUND(L558/M558, 0)</f>
        <v/>
      </c>
      <c r="O558" s="23">
        <f>ROUND(N558*'Methodology &amp; Assumptions'!$B$8, 0)</f>
        <v/>
      </c>
      <c r="P558" s="44" t="inlineStr">
        <is>
          <t>Band n50 (1.5 GHz, 60 MHz)</t>
        </is>
      </c>
      <c r="Q558" s="38">
        <f>ROUNDUP(O558/'Methodology &amp; Assumptions'!$B$9, 0)</f>
        <v/>
      </c>
      <c r="R558" s="39" t="n">
        <v>1</v>
      </c>
      <c r="S558" s="25" t="n">
        <v>1</v>
      </c>
      <c r="T558" s="25" t="n">
        <v>0.17</v>
      </c>
      <c r="U558" s="42" t="inlineStr">
        <is>
          <t>Tier 1B (Micro Drop, 1-3 km)</t>
        </is>
      </c>
      <c r="V558" s="24" t="n">
        <v>81.59999999999999</v>
      </c>
      <c r="W558" s="24" t="n">
        <v>100</v>
      </c>
      <c r="X558" s="24" t="n">
        <v>28</v>
      </c>
      <c r="Y558" s="45">
        <f>ROUND((V558*'Methodology &amp; Assumptions'!$B$6)+(W558*'Methodology &amp; Assumptions'!$B$5)+(X558*'Methodology &amp; Assumptions'!$B$7), 2)</f>
        <v/>
      </c>
    </row>
    <row r="559" ht="19" customHeight="1">
      <c r="A559" s="35" t="n">
        <v>555</v>
      </c>
      <c r="B559" s="35" t="n">
        <v>1555</v>
      </c>
      <c r="C559" s="36" t="inlineStr">
        <is>
          <t>0102805036</t>
        </is>
      </c>
      <c r="D559" s="36" t="inlineStr">
        <is>
          <t>Region I (Ilocos Region)</t>
        </is>
      </c>
      <c r="E559" s="36" t="inlineStr">
        <is>
          <t>Ilocos Norte</t>
        </is>
      </c>
      <c r="F559" s="36" t="inlineStr">
        <is>
          <t>City of Batac</t>
        </is>
      </c>
      <c r="G559" s="36" t="inlineStr">
        <is>
          <t>Quiling Sur</t>
        </is>
      </c>
      <c r="H559" s="37" t="n">
        <v>18.067437</v>
      </c>
      <c r="I559" s="37" t="n">
        <v>120.545003</v>
      </c>
      <c r="J559" s="8" t="inlineStr">
        <is>
          <t>R</t>
        </is>
      </c>
      <c r="K559" s="36" t="inlineStr">
        <is>
          <t>Class 1-3 / Urban</t>
        </is>
      </c>
      <c r="L559" s="18" t="n">
        <v>3267</v>
      </c>
      <c r="M559" s="20" t="n">
        <v>4.35</v>
      </c>
      <c r="N559" s="18">
        <f>ROUND(L559/M559, 0)</f>
        <v/>
      </c>
      <c r="O559" s="18">
        <f>ROUND(N559*'Methodology &amp; Assumptions'!$B$8, 0)</f>
        <v/>
      </c>
      <c r="P559" s="8" t="inlineStr">
        <is>
          <t>Band n50 (1.5 GHz, 60 MHz)</t>
        </is>
      </c>
      <c r="Q559" s="38">
        <f>ROUNDUP(O559/'Methodology &amp; Assumptions'!$B$9, 0)</f>
        <v/>
      </c>
      <c r="R559" s="39" t="n">
        <v>1</v>
      </c>
      <c r="S559" s="21" t="n">
        <v>1.44</v>
      </c>
      <c r="T559" s="21" t="n">
        <v>1.07</v>
      </c>
      <c r="U559" s="36" t="inlineStr">
        <is>
          <t>Tier 1B (Micro Drop, 1-3 km)</t>
        </is>
      </c>
      <c r="V559" s="20" t="n">
        <v>71.90000000000001</v>
      </c>
      <c r="W559" s="20" t="n">
        <v>84</v>
      </c>
      <c r="X559" s="20" t="n">
        <v>58</v>
      </c>
      <c r="Y559" s="40">
        <f>ROUND((V559*'Methodology &amp; Assumptions'!$B$6)+(W559*'Methodology &amp; Assumptions'!$B$5)+(X559*'Methodology &amp; Assumptions'!$B$7), 2)</f>
        <v/>
      </c>
    </row>
    <row r="560" ht="19" customHeight="1">
      <c r="A560" s="41" t="n">
        <v>556</v>
      </c>
      <c r="B560" s="41" t="n">
        <v>1556</v>
      </c>
      <c r="C560" s="42" t="inlineStr">
        <is>
          <t>0806407059</t>
        </is>
      </c>
      <c r="D560" s="42" t="inlineStr">
        <is>
          <t>Region VIII (Eastern Visayas)</t>
        </is>
      </c>
      <c r="E560" s="42" t="inlineStr">
        <is>
          <t>Southern Leyte</t>
        </is>
      </c>
      <c r="F560" s="42" t="inlineStr">
        <is>
          <t>City of Maasin</t>
        </is>
      </c>
      <c r="G560" s="42" t="inlineStr">
        <is>
          <t>Tagnipa</t>
        </is>
      </c>
      <c r="H560" s="43" t="n">
        <v>10.135863</v>
      </c>
      <c r="I560" s="43" t="n">
        <v>124.83528</v>
      </c>
      <c r="J560" s="44" t="inlineStr">
        <is>
          <t>U</t>
        </is>
      </c>
      <c r="K560" s="42" t="inlineStr">
        <is>
          <t>Class 1-3 / Urban</t>
        </is>
      </c>
      <c r="L560" s="23" t="n">
        <v>3266</v>
      </c>
      <c r="M560" s="24" t="n">
        <v>4.53</v>
      </c>
      <c r="N560" s="23">
        <f>ROUND(L560/M560, 0)</f>
        <v/>
      </c>
      <c r="O560" s="23">
        <f>ROUND(N560*'Methodology &amp; Assumptions'!$B$8, 0)</f>
        <v/>
      </c>
      <c r="P560" s="44" t="inlineStr">
        <is>
          <t>Band n50 (1.5 GHz, 60 MHz)</t>
        </is>
      </c>
      <c r="Q560" s="38">
        <f>ROUNDUP(O560/'Methodology &amp; Assumptions'!$B$9, 0)</f>
        <v/>
      </c>
      <c r="R560" s="39" t="n">
        <v>1</v>
      </c>
      <c r="S560" s="25" t="n">
        <v>0.17</v>
      </c>
      <c r="T560" s="25" t="n">
        <v>0.17</v>
      </c>
      <c r="U560" s="42" t="inlineStr">
        <is>
          <t>Tier 1A (Direct Coloc, &lt;1 km)</t>
        </is>
      </c>
      <c r="V560" s="24" t="n">
        <v>100</v>
      </c>
      <c r="W560" s="24" t="n">
        <v>81.59999999999999</v>
      </c>
      <c r="X560" s="24" t="n">
        <v>28</v>
      </c>
      <c r="Y560" s="45">
        <f>ROUND((V560*'Methodology &amp; Assumptions'!$B$6)+(W560*'Methodology &amp; Assumptions'!$B$5)+(X560*'Methodology &amp; Assumptions'!$B$7), 2)</f>
        <v/>
      </c>
    </row>
    <row r="561" ht="19" customHeight="1">
      <c r="A561" s="35" t="n">
        <v>557</v>
      </c>
      <c r="B561" s="35" t="n">
        <v>1557</v>
      </c>
      <c r="C561" s="36" t="inlineStr">
        <is>
          <t>0405607073</t>
        </is>
      </c>
      <c r="D561" s="36" t="inlineStr">
        <is>
          <t>Region IV-A (CALABARZON)</t>
        </is>
      </c>
      <c r="E561" s="36" t="inlineStr">
        <is>
          <t>Quezon</t>
        </is>
      </c>
      <c r="F561" s="36" t="inlineStr">
        <is>
          <t>Calauag</t>
        </is>
      </c>
      <c r="G561" s="36" t="inlineStr">
        <is>
          <t>Santa Maria</t>
        </is>
      </c>
      <c r="H561" s="37" t="n">
        <v>13.955738</v>
      </c>
      <c r="I561" s="37" t="n">
        <v>122.296198</v>
      </c>
      <c r="J561" s="8" t="inlineStr">
        <is>
          <t>U</t>
        </is>
      </c>
      <c r="K561" s="36" t="inlineStr">
        <is>
          <t>Class 1-3 / Urban</t>
        </is>
      </c>
      <c r="L561" s="18" t="n">
        <v>6939</v>
      </c>
      <c r="M561" s="20" t="n">
        <v>4.46</v>
      </c>
      <c r="N561" s="18">
        <f>ROUND(L561/M561, 0)</f>
        <v/>
      </c>
      <c r="O561" s="18">
        <f>ROUND(N561*'Methodology &amp; Assumptions'!$B$8, 0)</f>
        <v/>
      </c>
      <c r="P561" s="8" t="inlineStr">
        <is>
          <t>Band n50 (1.5 GHz, 60 MHz)</t>
        </is>
      </c>
      <c r="Q561" s="38">
        <f>ROUNDUP(O561/'Methodology &amp; Assumptions'!$B$9, 0)</f>
        <v/>
      </c>
      <c r="R561" s="39" t="n">
        <v>1</v>
      </c>
      <c r="S561" s="21" t="n">
        <v>1</v>
      </c>
      <c r="T561" s="21" t="n">
        <v>0.33</v>
      </c>
      <c r="U561" s="36" t="inlineStr">
        <is>
          <t>Tier 1B (Micro Drop, 1-3 km)</t>
        </is>
      </c>
      <c r="V561" s="20" t="n">
        <v>81.59999999999999</v>
      </c>
      <c r="W561" s="20" t="n">
        <v>100</v>
      </c>
      <c r="X561" s="20" t="n">
        <v>28</v>
      </c>
      <c r="Y561" s="40">
        <f>ROUND((V561*'Methodology &amp; Assumptions'!$B$6)+(W561*'Methodology &amp; Assumptions'!$B$5)+(X561*'Methodology &amp; Assumptions'!$B$7), 2)</f>
        <v/>
      </c>
    </row>
    <row r="562" ht="19" customHeight="1">
      <c r="A562" s="41" t="n">
        <v>558</v>
      </c>
      <c r="B562" s="41" t="n">
        <v>1558</v>
      </c>
      <c r="C562" s="42" t="inlineStr">
        <is>
          <t>0402110035</t>
        </is>
      </c>
      <c r="D562" s="42" t="inlineStr">
        <is>
          <t>Region IV-A (CALABARZON)</t>
        </is>
      </c>
      <c r="E562" s="42" t="inlineStr">
        <is>
          <t>Cavite</t>
        </is>
      </c>
      <c r="F562" s="42" t="inlineStr">
        <is>
          <t>Indang</t>
        </is>
      </c>
      <c r="G562" s="42" t="inlineStr">
        <is>
          <t>Kayquit III</t>
        </is>
      </c>
      <c r="H562" s="43" t="n">
        <v>14.193533</v>
      </c>
      <c r="I562" s="43" t="n">
        <v>120.871426</v>
      </c>
      <c r="J562" s="44" t="inlineStr">
        <is>
          <t>R</t>
        </is>
      </c>
      <c r="K562" s="42" t="inlineStr">
        <is>
          <t>Class 1-3 / Urban</t>
        </is>
      </c>
      <c r="L562" s="23" t="n">
        <v>2605</v>
      </c>
      <c r="M562" s="24" t="n">
        <v>4.49</v>
      </c>
      <c r="N562" s="23">
        <f>ROUND(L562/M562, 0)</f>
        <v/>
      </c>
      <c r="O562" s="23">
        <f>ROUND(N562*'Methodology &amp; Assumptions'!$B$8, 0)</f>
        <v/>
      </c>
      <c r="P562" s="44" t="inlineStr">
        <is>
          <t>Band n50 (1.5 GHz, 60 MHz)</t>
        </is>
      </c>
      <c r="Q562" s="38">
        <f>ROUNDUP(O562/'Methodology &amp; Assumptions'!$B$9, 0)</f>
        <v/>
      </c>
      <c r="R562" s="39" t="n">
        <v>1</v>
      </c>
      <c r="S562" s="25" t="n">
        <v>0.47</v>
      </c>
      <c r="T562" s="25" t="n">
        <v>9.6</v>
      </c>
      <c r="U562" s="42" t="inlineStr">
        <is>
          <t>Tier 1A (Direct Coloc, &lt;1 km)</t>
        </is>
      </c>
      <c r="V562" s="24" t="n">
        <v>85.40000000000001</v>
      </c>
      <c r="W562" s="24" t="n">
        <v>70.40000000000001</v>
      </c>
      <c r="X562" s="24" t="n">
        <v>58</v>
      </c>
      <c r="Y562" s="45">
        <f>ROUND((V562*'Methodology &amp; Assumptions'!$B$6)+(W562*'Methodology &amp; Assumptions'!$B$5)+(X562*'Methodology &amp; Assumptions'!$B$7), 2)</f>
        <v/>
      </c>
    </row>
    <row r="563" ht="19" customHeight="1">
      <c r="A563" s="35" t="n">
        <v>559</v>
      </c>
      <c r="B563" s="35" t="n">
        <v>1559</v>
      </c>
      <c r="C563" s="36" t="inlineStr">
        <is>
          <t>0803722013</t>
        </is>
      </c>
      <c r="D563" s="36" t="inlineStr">
        <is>
          <t>Region VIII (Eastern Visayas)</t>
        </is>
      </c>
      <c r="E563" s="36" t="inlineStr">
        <is>
          <t>Leyte</t>
        </is>
      </c>
      <c r="F563" s="36" t="inlineStr">
        <is>
          <t>Isabel</t>
        </is>
      </c>
      <c r="G563" s="36" t="inlineStr">
        <is>
          <t>Marvel</t>
        </is>
      </c>
      <c r="H563" s="37" t="n">
        <v>10.933887</v>
      </c>
      <c r="I563" s="37" t="n">
        <v>124.434401</v>
      </c>
      <c r="J563" s="8" t="inlineStr">
        <is>
          <t>U</t>
        </is>
      </c>
      <c r="K563" s="36" t="inlineStr">
        <is>
          <t>Class 1-3 / Urban</t>
        </is>
      </c>
      <c r="L563" s="18" t="n">
        <v>4054</v>
      </c>
      <c r="M563" s="20" t="n">
        <v>4.24</v>
      </c>
      <c r="N563" s="18">
        <f>ROUND(L563/M563, 0)</f>
        <v/>
      </c>
      <c r="O563" s="18">
        <f>ROUND(N563*'Methodology &amp; Assumptions'!$B$8, 0)</f>
        <v/>
      </c>
      <c r="P563" s="8" t="inlineStr">
        <is>
          <t>Band n50 (1.5 GHz, 60 MHz)</t>
        </is>
      </c>
      <c r="Q563" s="38">
        <f>ROUNDUP(O563/'Methodology &amp; Assumptions'!$B$9, 0)</f>
        <v/>
      </c>
      <c r="R563" s="39" t="n">
        <v>1</v>
      </c>
      <c r="S563" s="21" t="n">
        <v>1</v>
      </c>
      <c r="T563" s="21" t="n">
        <v>0.03</v>
      </c>
      <c r="U563" s="36" t="inlineStr">
        <is>
          <t>Tier 1B (Micro Drop, 1-3 km)</t>
        </is>
      </c>
      <c r="V563" s="20" t="n">
        <v>81.5</v>
      </c>
      <c r="W563" s="20" t="n">
        <v>100</v>
      </c>
      <c r="X563" s="20" t="n">
        <v>28</v>
      </c>
      <c r="Y563" s="40">
        <f>ROUND((V563*'Methodology &amp; Assumptions'!$B$6)+(W563*'Methodology &amp; Assumptions'!$B$5)+(X563*'Methodology &amp; Assumptions'!$B$7), 2)</f>
        <v/>
      </c>
    </row>
    <row r="564" ht="19" customHeight="1">
      <c r="A564" s="41" t="n">
        <v>560</v>
      </c>
      <c r="B564" s="41" t="n">
        <v>1560</v>
      </c>
      <c r="C564" s="42" t="inlineStr">
        <is>
          <t>0205004009</t>
        </is>
      </c>
      <c r="D564" s="42" t="inlineStr">
        <is>
          <t>Region II (Cagayan Valley)</t>
        </is>
      </c>
      <c r="E564" s="42" t="inlineStr">
        <is>
          <t>Nueva Vizcaya</t>
        </is>
      </c>
      <c r="F564" s="42" t="inlineStr">
        <is>
          <t>Bambang</t>
        </is>
      </c>
      <c r="G564" s="42" t="inlineStr">
        <is>
          <t>Buag</t>
        </is>
      </c>
      <c r="H564" s="43" t="n">
        <v>16.385523</v>
      </c>
      <c r="I564" s="43" t="n">
        <v>121.103061</v>
      </c>
      <c r="J564" s="44" t="inlineStr">
        <is>
          <t>R</t>
        </is>
      </c>
      <c r="K564" s="42" t="inlineStr">
        <is>
          <t>Class 1-3 / Urban</t>
        </is>
      </c>
      <c r="L564" s="23" t="n">
        <v>3035</v>
      </c>
      <c r="M564" s="24" t="n">
        <v>4.19</v>
      </c>
      <c r="N564" s="23">
        <f>ROUND(L564/M564, 0)</f>
        <v/>
      </c>
      <c r="O564" s="23">
        <f>ROUND(N564*'Methodology &amp; Assumptions'!$B$8, 0)</f>
        <v/>
      </c>
      <c r="P564" s="44" t="inlineStr">
        <is>
          <t>Band n50 (1.5 GHz, 60 MHz)</t>
        </is>
      </c>
      <c r="Q564" s="38">
        <f>ROUNDUP(O564/'Methodology &amp; Assumptions'!$B$9, 0)</f>
        <v/>
      </c>
      <c r="R564" s="39" t="n">
        <v>1</v>
      </c>
      <c r="S564" s="25" t="n">
        <v>1.34</v>
      </c>
      <c r="T564" s="25" t="n">
        <v>0.51</v>
      </c>
      <c r="U564" s="42" t="inlineStr">
        <is>
          <t>Tier 1B (Micro Drop, 1-3 km)</t>
        </is>
      </c>
      <c r="V564" s="24" t="n">
        <v>73.90000000000001</v>
      </c>
      <c r="W564" s="24" t="n">
        <v>81.90000000000001</v>
      </c>
      <c r="X564" s="24" t="n">
        <v>58</v>
      </c>
      <c r="Y564" s="45">
        <f>ROUND((V564*'Methodology &amp; Assumptions'!$B$6)+(W564*'Methodology &amp; Assumptions'!$B$5)+(X564*'Methodology &amp; Assumptions'!$B$7), 2)</f>
        <v/>
      </c>
    </row>
    <row r="565" ht="19" customHeight="1">
      <c r="A565" s="35" t="n">
        <v>561</v>
      </c>
      <c r="B565" s="35" t="n">
        <v>1561</v>
      </c>
      <c r="C565" s="36" t="inlineStr">
        <is>
          <t>1208007026</t>
        </is>
      </c>
      <c r="D565" s="36" t="inlineStr">
        <is>
          <t>Region XII (SOCCSKSARGEN)</t>
        </is>
      </c>
      <c r="E565" s="36" t="inlineStr">
        <is>
          <t>Sarangani</t>
        </is>
      </c>
      <c r="F565" s="36" t="inlineStr">
        <is>
          <t>Malungon</t>
        </is>
      </c>
      <c r="G565" s="36" t="inlineStr">
        <is>
          <t>San Roque</t>
        </is>
      </c>
      <c r="H565" s="37" t="n">
        <v>6.33603</v>
      </c>
      <c r="I565" s="37" t="n">
        <v>125.260907</v>
      </c>
      <c r="J565" s="8" t="inlineStr">
        <is>
          <t>R</t>
        </is>
      </c>
      <c r="K565" s="36" t="inlineStr">
        <is>
          <t>Class 1-3 / Urban</t>
        </is>
      </c>
      <c r="L565" s="18" t="n">
        <v>4521</v>
      </c>
      <c r="M565" s="20" t="n">
        <v>4.1</v>
      </c>
      <c r="N565" s="18">
        <f>ROUND(L565/M565, 0)</f>
        <v/>
      </c>
      <c r="O565" s="18">
        <f>ROUND(N565*'Methodology &amp; Assumptions'!$B$8, 0)</f>
        <v/>
      </c>
      <c r="P565" s="8" t="inlineStr">
        <is>
          <t>Band n50 (1.5 GHz, 60 MHz)</t>
        </is>
      </c>
      <c r="Q565" s="38">
        <f>ROUNDUP(O565/'Methodology &amp; Assumptions'!$B$9, 0)</f>
        <v/>
      </c>
      <c r="R565" s="39" t="n">
        <v>1</v>
      </c>
      <c r="S565" s="21" t="n">
        <v>3.33</v>
      </c>
      <c r="T565" s="21" t="n">
        <v>0.1</v>
      </c>
      <c r="U565" s="36" t="inlineStr">
        <is>
          <t>Tier 2 (Fiber Corridor / Lateral, 3-5 km)</t>
        </is>
      </c>
      <c r="V565" s="20" t="n">
        <v>42.9</v>
      </c>
      <c r="W565" s="20" t="n">
        <v>100</v>
      </c>
      <c r="X565" s="20" t="n">
        <v>73</v>
      </c>
      <c r="Y565" s="40">
        <f>ROUND((V565*'Methodology &amp; Assumptions'!$B$6)+(W565*'Methodology &amp; Assumptions'!$B$5)+(X565*'Methodology &amp; Assumptions'!$B$7), 2)</f>
        <v/>
      </c>
    </row>
    <row r="566" ht="19" customHeight="1">
      <c r="A566" s="41" t="n">
        <v>562</v>
      </c>
      <c r="B566" s="41" t="n">
        <v>1562</v>
      </c>
      <c r="C566" s="42" t="inlineStr">
        <is>
          <t>0201507020</t>
        </is>
      </c>
      <c r="D566" s="42" t="inlineStr">
        <is>
          <t>Region II (Cagayan Valley)</t>
        </is>
      </c>
      <c r="E566" s="42" t="inlineStr">
        <is>
          <t>Cagayan</t>
        </is>
      </c>
      <c r="F566" s="42" t="inlineStr">
        <is>
          <t>Ballesteros</t>
        </is>
      </c>
      <c r="G566" s="42" t="inlineStr">
        <is>
          <t>Santa Cruz</t>
        </is>
      </c>
      <c r="H566" s="43" t="n">
        <v>18.4019</v>
      </c>
      <c r="I566" s="43" t="n">
        <v>121.5261</v>
      </c>
      <c r="J566" s="44" t="inlineStr">
        <is>
          <t>R</t>
        </is>
      </c>
      <c r="K566" s="42" t="inlineStr">
        <is>
          <t>2nd</t>
        </is>
      </c>
      <c r="L566" s="23" t="n">
        <v>3731</v>
      </c>
      <c r="M566" s="24" t="n">
        <v>4.09</v>
      </c>
      <c r="N566" s="23">
        <f>ROUND(L566/M566, 0)</f>
        <v/>
      </c>
      <c r="O566" s="23">
        <f>ROUND(N566*'Methodology &amp; Assumptions'!$B$8, 0)</f>
        <v/>
      </c>
      <c r="P566" s="44" t="inlineStr">
        <is>
          <t>Band n50 (1.5 GHz, 60 MHz)</t>
        </is>
      </c>
      <c r="Q566" s="38">
        <f>ROUNDUP(O566/'Methodology &amp; Assumptions'!$B$9, 0)</f>
        <v/>
      </c>
      <c r="R566" s="39" t="n">
        <v>1</v>
      </c>
      <c r="S566" s="25" t="n">
        <v>1.6</v>
      </c>
      <c r="T566" s="25" t="n">
        <v>6.8</v>
      </c>
      <c r="U566" s="42" t="inlineStr">
        <is>
          <t>Tier 1B (Micro Drop, 1-3 km)</t>
        </is>
      </c>
      <c r="V566" s="24" t="n">
        <v>58.7</v>
      </c>
      <c r="W566" s="24" t="n">
        <v>97.09999999999999</v>
      </c>
      <c r="X566" s="24" t="n">
        <v>58</v>
      </c>
      <c r="Y566" s="45">
        <f>ROUND((V566*'Methodology &amp; Assumptions'!$B$6)+(W566*'Methodology &amp; Assumptions'!$B$5)+(X566*'Methodology &amp; Assumptions'!$B$7), 2)</f>
        <v/>
      </c>
    </row>
    <row r="567" ht="19" customHeight="1">
      <c r="A567" s="35" t="n">
        <v>563</v>
      </c>
      <c r="B567" s="35" t="n">
        <v>1563</v>
      </c>
      <c r="C567" s="36" t="inlineStr">
        <is>
          <t>0306909026</t>
        </is>
      </c>
      <c r="D567" s="36" t="inlineStr">
        <is>
          <t>Region III (Central Luzon)</t>
        </is>
      </c>
      <c r="E567" s="36" t="inlineStr">
        <is>
          <t>Tarlac</t>
        </is>
      </c>
      <c r="F567" s="36" t="inlineStr">
        <is>
          <t>Moncada</t>
        </is>
      </c>
      <c r="G567" s="36" t="inlineStr">
        <is>
          <t>San Julian</t>
        </is>
      </c>
      <c r="H567" s="37" t="n">
        <v>15.718404</v>
      </c>
      <c r="I567" s="37" t="n">
        <v>120.58423</v>
      </c>
      <c r="J567" s="8" t="inlineStr">
        <is>
          <t>R</t>
        </is>
      </c>
      <c r="K567" s="36" t="inlineStr">
        <is>
          <t>Class 1-3 / Urban</t>
        </is>
      </c>
      <c r="L567" s="18" t="n">
        <v>2975</v>
      </c>
      <c r="M567" s="20" t="n">
        <v>4.3</v>
      </c>
      <c r="N567" s="18">
        <f>ROUND(L567/M567, 0)</f>
        <v/>
      </c>
      <c r="O567" s="18">
        <f>ROUND(N567*'Methodology &amp; Assumptions'!$B$8, 0)</f>
        <v/>
      </c>
      <c r="P567" s="8" t="inlineStr">
        <is>
          <t>Band n50 (1.5 GHz, 60 MHz)</t>
        </is>
      </c>
      <c r="Q567" s="38">
        <f>ROUNDUP(O567/'Methodology &amp; Assumptions'!$B$9, 0)</f>
        <v/>
      </c>
      <c r="R567" s="39" t="n">
        <v>1</v>
      </c>
      <c r="S567" s="21" t="n">
        <v>1.23</v>
      </c>
      <c r="T567" s="21" t="n">
        <v>0.75</v>
      </c>
      <c r="U567" s="36" t="inlineStr">
        <is>
          <t>Tier 1B (Micro Drop, 1-3 km)</t>
        </is>
      </c>
      <c r="V567" s="20" t="n">
        <v>76.3</v>
      </c>
      <c r="W567" s="20" t="n">
        <v>79.5</v>
      </c>
      <c r="X567" s="20" t="n">
        <v>58</v>
      </c>
      <c r="Y567" s="40">
        <f>ROUND((V567*'Methodology &amp; Assumptions'!$B$6)+(W567*'Methodology &amp; Assumptions'!$B$5)+(X567*'Methodology &amp; Assumptions'!$B$7), 2)</f>
        <v/>
      </c>
    </row>
    <row r="568" ht="19" customHeight="1">
      <c r="A568" s="41" t="n">
        <v>564</v>
      </c>
      <c r="B568" s="41" t="n">
        <v>1564</v>
      </c>
      <c r="C568" s="42" t="inlineStr">
        <is>
          <t>1600203024</t>
        </is>
      </c>
      <c r="D568" s="42" t="inlineStr">
        <is>
          <t>Region XIII (Caraga)</t>
        </is>
      </c>
      <c r="E568" s="42" t="inlineStr">
        <is>
          <t>Agusan del Norte</t>
        </is>
      </c>
      <c r="F568" s="42" t="inlineStr">
        <is>
          <t>City of Cabadbaran</t>
        </is>
      </c>
      <c r="G568" s="42" t="inlineStr">
        <is>
          <t>Poblacion 12</t>
        </is>
      </c>
      <c r="H568" s="43" t="n">
        <v>9.119717</v>
      </c>
      <c r="I568" s="43" t="n">
        <v>125.540236</v>
      </c>
      <c r="J568" s="44" t="inlineStr">
        <is>
          <t>R</t>
        </is>
      </c>
      <c r="K568" s="42" t="inlineStr">
        <is>
          <t>Class 1-3 / Urban</t>
        </is>
      </c>
      <c r="L568" s="23" t="n">
        <v>2471</v>
      </c>
      <c r="M568" s="24" t="n">
        <v>4.63</v>
      </c>
      <c r="N568" s="23">
        <f>ROUND(L568/M568, 0)</f>
        <v/>
      </c>
      <c r="O568" s="23">
        <f>ROUND(N568*'Methodology &amp; Assumptions'!$B$8, 0)</f>
        <v/>
      </c>
      <c r="P568" s="44" t="inlineStr">
        <is>
          <t>Band n50 (1.5 GHz, 60 MHz)</t>
        </is>
      </c>
      <c r="Q568" s="38">
        <f>ROUNDUP(O568/'Methodology &amp; Assumptions'!$B$9, 0)</f>
        <v/>
      </c>
      <c r="R568" s="39" t="n">
        <v>1</v>
      </c>
      <c r="S568" s="25" t="n">
        <v>0.7</v>
      </c>
      <c r="T568" s="25" t="n">
        <v>0.18</v>
      </c>
      <c r="U568" s="42" t="inlineStr">
        <is>
          <t>Tier 1A (Direct Coloc, &lt;1 km)</t>
        </is>
      </c>
      <c r="V568" s="24" t="n">
        <v>89.09999999999999</v>
      </c>
      <c r="W568" s="24" t="n">
        <v>66.7</v>
      </c>
      <c r="X568" s="24" t="n">
        <v>58</v>
      </c>
      <c r="Y568" s="45">
        <f>ROUND((V568*'Methodology &amp; Assumptions'!$B$6)+(W568*'Methodology &amp; Assumptions'!$B$5)+(X568*'Methodology &amp; Assumptions'!$B$7), 2)</f>
        <v/>
      </c>
    </row>
    <row r="569" ht="19" customHeight="1">
      <c r="A569" s="35" t="n">
        <v>565</v>
      </c>
      <c r="B569" s="35" t="n">
        <v>1565</v>
      </c>
      <c r="C569" s="36" t="inlineStr">
        <is>
          <t>0301420036</t>
        </is>
      </c>
      <c r="D569" s="36" t="inlineStr">
        <is>
          <t>Region III (Central Luzon)</t>
        </is>
      </c>
      <c r="E569" s="36" t="inlineStr">
        <is>
          <t>Bulacan</t>
        </is>
      </c>
      <c r="F569" s="36" t="inlineStr">
        <is>
          <t>City of San Jose Del Monte</t>
        </is>
      </c>
      <c r="G569" s="36" t="inlineStr">
        <is>
          <t>Maharlika</t>
        </is>
      </c>
      <c r="H569" s="37" t="n">
        <v>14.794961</v>
      </c>
      <c r="I569" s="37" t="n">
        <v>121.072211</v>
      </c>
      <c r="J569" s="8" t="inlineStr">
        <is>
          <t>U</t>
        </is>
      </c>
      <c r="K569" s="36" t="inlineStr">
        <is>
          <t>Class 1-3 / Urban</t>
        </is>
      </c>
      <c r="L569" s="18" t="n">
        <v>3057</v>
      </c>
      <c r="M569" s="20" t="n">
        <v>4.1</v>
      </c>
      <c r="N569" s="18">
        <f>ROUND(L569/M569, 0)</f>
        <v/>
      </c>
      <c r="O569" s="18">
        <f>ROUND(N569*'Methodology &amp; Assumptions'!$B$8, 0)</f>
        <v/>
      </c>
      <c r="P569" s="8" t="inlineStr">
        <is>
          <t>Band n50 (1.5 GHz, 60 MHz)</t>
        </is>
      </c>
      <c r="Q569" s="38">
        <f>ROUNDUP(O569/'Methodology &amp; Assumptions'!$B$9, 0)</f>
        <v/>
      </c>
      <c r="R569" s="39" t="n">
        <v>1</v>
      </c>
      <c r="S569" s="21" t="n">
        <v>0.39</v>
      </c>
      <c r="T569" s="21" t="n">
        <v>0.28</v>
      </c>
      <c r="U569" s="36" t="inlineStr">
        <is>
          <t>Tier 1A (Direct Coloc, &lt;1 km)</t>
        </is>
      </c>
      <c r="V569" s="20" t="n">
        <v>97.8</v>
      </c>
      <c r="W569" s="20" t="n">
        <v>83.7</v>
      </c>
      <c r="X569" s="20" t="n">
        <v>28</v>
      </c>
      <c r="Y569" s="40">
        <f>ROUND((V569*'Methodology &amp; Assumptions'!$B$6)+(W569*'Methodology &amp; Assumptions'!$B$5)+(X569*'Methodology &amp; Assumptions'!$B$7), 2)</f>
        <v/>
      </c>
    </row>
    <row r="570" ht="19" customHeight="1">
      <c r="A570" s="41" t="n">
        <v>566</v>
      </c>
      <c r="B570" s="41" t="n">
        <v>1566</v>
      </c>
      <c r="C570" s="42" t="inlineStr">
        <is>
          <t>0402113001</t>
        </is>
      </c>
      <c r="D570" s="42" t="inlineStr">
        <is>
          <t>Region IV-A (CALABARZON)</t>
        </is>
      </c>
      <c r="E570" s="42" t="inlineStr">
        <is>
          <t>Cavite</t>
        </is>
      </c>
      <c r="F570" s="42" t="inlineStr">
        <is>
          <t>Maragondon</t>
        </is>
      </c>
      <c r="G570" s="42" t="inlineStr">
        <is>
          <t>Caingin Pob.</t>
        </is>
      </c>
      <c r="H570" s="43" t="n">
        <v>14.270452</v>
      </c>
      <c r="I570" s="43" t="n">
        <v>120.73714</v>
      </c>
      <c r="J570" s="44" t="inlineStr">
        <is>
          <t>R</t>
        </is>
      </c>
      <c r="K570" s="42" t="inlineStr">
        <is>
          <t>Class 1-3 / Urban</t>
        </is>
      </c>
      <c r="L570" s="23" t="n">
        <v>2211</v>
      </c>
      <c r="M570" s="24" t="n">
        <v>4.49</v>
      </c>
      <c r="N570" s="23">
        <f>ROUND(L570/M570, 0)</f>
        <v/>
      </c>
      <c r="O570" s="23">
        <f>ROUND(N570*'Methodology &amp; Assumptions'!$B$8, 0)</f>
        <v/>
      </c>
      <c r="P570" s="44" t="inlineStr">
        <is>
          <t>Band n50 (1.5 GHz, 60 MHz)</t>
        </is>
      </c>
      <c r="Q570" s="38">
        <f>ROUNDUP(O570/'Methodology &amp; Assumptions'!$B$9, 0)</f>
        <v/>
      </c>
      <c r="R570" s="39" t="n">
        <v>1</v>
      </c>
      <c r="S570" s="25" t="n">
        <v>0.59</v>
      </c>
      <c r="T570" s="25" t="n">
        <v>0.49</v>
      </c>
      <c r="U570" s="42" t="inlineStr">
        <is>
          <t>Tier 1A (Direct Coloc, &lt;1 km)</t>
        </is>
      </c>
      <c r="V570" s="24" t="n">
        <v>92.3</v>
      </c>
      <c r="W570" s="24" t="n">
        <v>63.5</v>
      </c>
      <c r="X570" s="24" t="n">
        <v>58</v>
      </c>
      <c r="Y570" s="45">
        <f>ROUND((V570*'Methodology &amp; Assumptions'!$B$6)+(W570*'Methodology &amp; Assumptions'!$B$5)+(X570*'Methodology &amp; Assumptions'!$B$7), 2)</f>
        <v/>
      </c>
    </row>
    <row r="571" ht="19" customHeight="1">
      <c r="A571" s="35" t="n">
        <v>567</v>
      </c>
      <c r="B571" s="35" t="n">
        <v>1567</v>
      </c>
      <c r="C571" s="36" t="inlineStr">
        <is>
          <t>0402113008</t>
        </is>
      </c>
      <c r="D571" s="36" t="inlineStr">
        <is>
          <t>Region IV-A (CALABARZON)</t>
        </is>
      </c>
      <c r="E571" s="36" t="inlineStr">
        <is>
          <t>Cavite</t>
        </is>
      </c>
      <c r="F571" s="36" t="inlineStr">
        <is>
          <t>Maragondon</t>
        </is>
      </c>
      <c r="G571" s="36" t="inlineStr">
        <is>
          <t>Garita I A</t>
        </is>
      </c>
      <c r="H571" s="37" t="n">
        <v>14.276028</v>
      </c>
      <c r="I571" s="37" t="n">
        <v>120.735778</v>
      </c>
      <c r="J571" s="8" t="inlineStr">
        <is>
          <t>R</t>
        </is>
      </c>
      <c r="K571" s="36" t="inlineStr">
        <is>
          <t>Class 1-3 / Urban</t>
        </is>
      </c>
      <c r="L571" s="18" t="n">
        <v>1783</v>
      </c>
      <c r="M571" s="20" t="n">
        <v>4.49</v>
      </c>
      <c r="N571" s="18">
        <f>ROUND(L571/M571, 0)</f>
        <v/>
      </c>
      <c r="O571" s="18">
        <f>ROUND(N571*'Methodology &amp; Assumptions'!$B$8, 0)</f>
        <v/>
      </c>
      <c r="P571" s="8" t="inlineStr">
        <is>
          <t>Band n50 (1.5 GHz, 60 MHz)</t>
        </is>
      </c>
      <c r="Q571" s="38">
        <f>ROUNDUP(O571/'Methodology &amp; Assumptions'!$B$9, 0)</f>
        <v/>
      </c>
      <c r="R571" s="39" t="n">
        <v>1</v>
      </c>
      <c r="S571" s="21" t="n">
        <v>0.16</v>
      </c>
      <c r="T571" s="21" t="n">
        <v>0.14</v>
      </c>
      <c r="U571" s="36" t="inlineStr">
        <is>
          <t>Tier 1A (Direct Coloc, &lt;1 km)</t>
        </is>
      </c>
      <c r="V571" s="20" t="n">
        <v>100</v>
      </c>
      <c r="W571" s="20" t="n">
        <v>55.7</v>
      </c>
      <c r="X571" s="20" t="n">
        <v>58</v>
      </c>
      <c r="Y571" s="40">
        <f>ROUND((V571*'Methodology &amp; Assumptions'!$B$6)+(W571*'Methodology &amp; Assumptions'!$B$5)+(X571*'Methodology &amp; Assumptions'!$B$7), 2)</f>
        <v/>
      </c>
    </row>
    <row r="572" ht="19" customHeight="1">
      <c r="A572" s="41" t="n">
        <v>568</v>
      </c>
      <c r="B572" s="41" t="n">
        <v>1568</v>
      </c>
      <c r="C572" s="42" t="inlineStr">
        <is>
          <t>1606819008</t>
        </is>
      </c>
      <c r="D572" s="42" t="inlineStr">
        <is>
          <t>Region XIII (Caraga)</t>
        </is>
      </c>
      <c r="E572" s="42" t="inlineStr">
        <is>
          <t>Surigao del Sur</t>
        </is>
      </c>
      <c r="F572" s="42" t="inlineStr">
        <is>
          <t>City of Tandag</t>
        </is>
      </c>
      <c r="G572" s="42" t="inlineStr">
        <is>
          <t>Mabua</t>
        </is>
      </c>
      <c r="H572" s="43" t="n">
        <v>9.070147</v>
      </c>
      <c r="I572" s="43" t="n">
        <v>126.203431</v>
      </c>
      <c r="J572" s="44" t="inlineStr">
        <is>
          <t>U</t>
        </is>
      </c>
      <c r="K572" s="42" t="inlineStr">
        <is>
          <t>Class 1-3 / Urban</t>
        </is>
      </c>
      <c r="L572" s="23" t="n">
        <v>8475</v>
      </c>
      <c r="M572" s="24" t="n">
        <v>4.56</v>
      </c>
      <c r="N572" s="23">
        <f>ROUND(L572/M572, 0)</f>
        <v/>
      </c>
      <c r="O572" s="23">
        <f>ROUND(N572*'Methodology &amp; Assumptions'!$B$8, 0)</f>
        <v/>
      </c>
      <c r="P572" s="44" t="inlineStr">
        <is>
          <t>Band n50 (1.5 GHz, 60 MHz)</t>
        </is>
      </c>
      <c r="Q572" s="38">
        <f>ROUNDUP(O572/'Methodology &amp; Assumptions'!$B$9, 0)</f>
        <v/>
      </c>
      <c r="R572" s="39" t="n">
        <v>1</v>
      </c>
      <c r="S572" s="25" t="n">
        <v>1.01</v>
      </c>
      <c r="T572" s="25" t="n">
        <v>0.28</v>
      </c>
      <c r="U572" s="42" t="inlineStr">
        <is>
          <t>Tier 1B (Micro Drop, 1-3 km)</t>
        </is>
      </c>
      <c r="V572" s="24" t="n">
        <v>81.5</v>
      </c>
      <c r="W572" s="24" t="n">
        <v>100</v>
      </c>
      <c r="X572" s="24" t="n">
        <v>28</v>
      </c>
      <c r="Y572" s="45">
        <f>ROUND((V572*'Methodology &amp; Assumptions'!$B$6)+(W572*'Methodology &amp; Assumptions'!$B$5)+(X572*'Methodology &amp; Assumptions'!$B$7), 2)</f>
        <v/>
      </c>
    </row>
    <row r="573" ht="19" customHeight="1">
      <c r="A573" s="35" t="n">
        <v>569</v>
      </c>
      <c r="B573" s="35" t="n">
        <v>1569</v>
      </c>
      <c r="C573" s="36" t="inlineStr">
        <is>
          <t>1004307003</t>
        </is>
      </c>
      <c r="D573" s="36" t="inlineStr">
        <is>
          <t>Region X (Northern Mindanao)</t>
        </is>
      </c>
      <c r="E573" s="36" t="inlineStr">
        <is>
          <t>Misamis Oriental</t>
        </is>
      </c>
      <c r="F573" s="36" t="inlineStr">
        <is>
          <t>City of El Salvador</t>
        </is>
      </c>
      <c r="G573" s="36" t="inlineStr">
        <is>
          <t>Bolobolo</t>
        </is>
      </c>
      <c r="H573" s="37" t="n">
        <v>8.555837</v>
      </c>
      <c r="I573" s="37" t="n">
        <v>124.532895</v>
      </c>
      <c r="J573" s="8" t="inlineStr">
        <is>
          <t>U</t>
        </is>
      </c>
      <c r="K573" s="36" t="inlineStr">
        <is>
          <t>Class 1-3 / Urban</t>
        </is>
      </c>
      <c r="L573" s="18" t="n">
        <v>4602</v>
      </c>
      <c r="M573" s="20" t="n">
        <v>4.54</v>
      </c>
      <c r="N573" s="18">
        <f>ROUND(L573/M573, 0)</f>
        <v/>
      </c>
      <c r="O573" s="18">
        <f>ROUND(N573*'Methodology &amp; Assumptions'!$B$8, 0)</f>
        <v/>
      </c>
      <c r="P573" s="8" t="inlineStr">
        <is>
          <t>Band n50 (1.5 GHz, 60 MHz)</t>
        </is>
      </c>
      <c r="Q573" s="38">
        <f>ROUNDUP(O573/'Methodology &amp; Assumptions'!$B$9, 0)</f>
        <v/>
      </c>
      <c r="R573" s="39" t="n">
        <v>1</v>
      </c>
      <c r="S573" s="21" t="n">
        <v>1.01</v>
      </c>
      <c r="T573" s="21" t="n">
        <v>0.05</v>
      </c>
      <c r="U573" s="36" t="inlineStr">
        <is>
          <t>Tier 1B (Micro Drop, 1-3 km)</t>
        </is>
      </c>
      <c r="V573" s="20" t="n">
        <v>81.5</v>
      </c>
      <c r="W573" s="20" t="n">
        <v>100</v>
      </c>
      <c r="X573" s="20" t="n">
        <v>28</v>
      </c>
      <c r="Y573" s="40">
        <f>ROUND((V573*'Methodology &amp; Assumptions'!$B$6)+(W573*'Methodology &amp; Assumptions'!$B$5)+(X573*'Methodology &amp; Assumptions'!$B$7), 2)</f>
        <v/>
      </c>
    </row>
    <row r="574" ht="19" customHeight="1">
      <c r="A574" s="41" t="n">
        <v>570</v>
      </c>
      <c r="B574" s="41" t="n">
        <v>1570</v>
      </c>
      <c r="C574" s="42" t="inlineStr">
        <is>
          <t>0401005116</t>
        </is>
      </c>
      <c r="D574" s="42" t="inlineStr">
        <is>
          <t>Region IV-A (CALABARZON)</t>
        </is>
      </c>
      <c r="E574" s="42" t="inlineStr">
        <is>
          <t>Batangas</t>
        </is>
      </c>
      <c r="F574" s="42" t="inlineStr">
        <is>
          <t>Batangas City</t>
        </is>
      </c>
      <c r="G574" s="42" t="inlineStr">
        <is>
          <t>Tulo</t>
        </is>
      </c>
      <c r="H574" s="43" t="n">
        <v>13.7543</v>
      </c>
      <c r="I574" s="43" t="n">
        <v>121.1251</v>
      </c>
      <c r="J574" s="44" t="inlineStr">
        <is>
          <t>R</t>
        </is>
      </c>
      <c r="K574" s="42" t="inlineStr">
        <is>
          <t>Class 1-3 / Urban</t>
        </is>
      </c>
      <c r="L574" s="23" t="n">
        <v>4359</v>
      </c>
      <c r="M574" s="24" t="n">
        <v>4.62</v>
      </c>
      <c r="N574" s="23">
        <f>ROUND(L574/M574, 0)</f>
        <v/>
      </c>
      <c r="O574" s="23">
        <f>ROUND(N574*'Methodology &amp; Assumptions'!$B$8, 0)</f>
        <v/>
      </c>
      <c r="P574" s="44" t="inlineStr">
        <is>
          <t>Band n50 (1.5 GHz, 60 MHz)</t>
        </is>
      </c>
      <c r="Q574" s="38">
        <f>ROUNDUP(O574/'Methodology &amp; Assumptions'!$B$9, 0)</f>
        <v/>
      </c>
      <c r="R574" s="39" t="n">
        <v>1</v>
      </c>
      <c r="S574" s="25" t="n">
        <v>1.73</v>
      </c>
      <c r="T574" s="25" t="n">
        <v>4.98</v>
      </c>
      <c r="U574" s="42" t="inlineStr">
        <is>
          <t>Tier 1B (Micro Drop, 1-3 km)</t>
        </is>
      </c>
      <c r="V574" s="24" t="n">
        <v>56.2</v>
      </c>
      <c r="W574" s="24" t="n">
        <v>99.5</v>
      </c>
      <c r="X574" s="24" t="n">
        <v>58</v>
      </c>
      <c r="Y574" s="45">
        <f>ROUND((V574*'Methodology &amp; Assumptions'!$B$6)+(W574*'Methodology &amp; Assumptions'!$B$5)+(X574*'Methodology &amp; Assumptions'!$B$7), 2)</f>
        <v/>
      </c>
    </row>
    <row r="575" ht="19" customHeight="1">
      <c r="A575" s="35" t="n">
        <v>571</v>
      </c>
      <c r="B575" s="35" t="n">
        <v>1571</v>
      </c>
      <c r="C575" s="36" t="inlineStr">
        <is>
          <t>0331400017</t>
        </is>
      </c>
      <c r="D575" s="36" t="inlineStr">
        <is>
          <t>Region III (Central Luzon)</t>
        </is>
      </c>
      <c r="E575" s="36" t="inlineStr">
        <is>
          <t>Zambales</t>
        </is>
      </c>
      <c r="F575" s="36" t="inlineStr">
        <is>
          <t>City of Olongapo</t>
        </is>
      </c>
      <c r="G575" s="36" t="inlineStr">
        <is>
          <t>Pag-asa</t>
        </is>
      </c>
      <c r="H575" s="37" t="n">
        <v>14.827017</v>
      </c>
      <c r="I575" s="37" t="n">
        <v>120.28729</v>
      </c>
      <c r="J575" s="8" t="inlineStr">
        <is>
          <t>U</t>
        </is>
      </c>
      <c r="K575" s="36" t="inlineStr">
        <is>
          <t>Class 1-3 / Urban</t>
        </is>
      </c>
      <c r="L575" s="18" t="n">
        <v>6593</v>
      </c>
      <c r="M575" s="20" t="n">
        <v>4.05</v>
      </c>
      <c r="N575" s="18">
        <f>ROUND(L575/M575, 0)</f>
        <v/>
      </c>
      <c r="O575" s="18">
        <f>ROUND(N575*'Methodology &amp; Assumptions'!$B$8, 0)</f>
        <v/>
      </c>
      <c r="P575" s="8" t="inlineStr">
        <is>
          <t>Band n50 (1.5 GHz, 60 MHz)</t>
        </is>
      </c>
      <c r="Q575" s="38">
        <f>ROUNDUP(O575/'Methodology &amp; Assumptions'!$B$9, 0)</f>
        <v/>
      </c>
      <c r="R575" s="39" t="n">
        <v>1</v>
      </c>
      <c r="S575" s="21" t="n">
        <v>1.01</v>
      </c>
      <c r="T575" s="21" t="n">
        <v>0.41</v>
      </c>
      <c r="U575" s="36" t="inlineStr">
        <is>
          <t>Tier 1B (Micro Drop, 1-3 km)</t>
        </is>
      </c>
      <c r="V575" s="20" t="n">
        <v>81.40000000000001</v>
      </c>
      <c r="W575" s="20" t="n">
        <v>100</v>
      </c>
      <c r="X575" s="20" t="n">
        <v>28</v>
      </c>
      <c r="Y575" s="40">
        <f>ROUND((V575*'Methodology &amp; Assumptions'!$B$6)+(W575*'Methodology &amp; Assumptions'!$B$5)+(X575*'Methodology &amp; Assumptions'!$B$7), 2)</f>
        <v/>
      </c>
    </row>
    <row r="576" ht="19" customHeight="1">
      <c r="A576" s="41" t="n">
        <v>572</v>
      </c>
      <c r="B576" s="41" t="n">
        <v>1572</v>
      </c>
      <c r="C576" s="42" t="inlineStr">
        <is>
          <t>0403413008</t>
        </is>
      </c>
      <c r="D576" s="42" t="inlineStr">
        <is>
          <t>Region IV-A (CALABARZON)</t>
        </is>
      </c>
      <c r="E576" s="42" t="inlineStr">
        <is>
          <t>Laguna</t>
        </is>
      </c>
      <c r="F576" s="42" t="inlineStr">
        <is>
          <t>Lumban</t>
        </is>
      </c>
      <c r="G576" s="42" t="inlineStr">
        <is>
          <t>Maytalang I</t>
        </is>
      </c>
      <c r="H576" s="43" t="n">
        <v>14.30113</v>
      </c>
      <c r="I576" s="43" t="n">
        <v>121.453526</v>
      </c>
      <c r="J576" s="44" t="inlineStr">
        <is>
          <t>U</t>
        </is>
      </c>
      <c r="K576" s="42" t="inlineStr">
        <is>
          <t>Class 1-3 / Urban</t>
        </is>
      </c>
      <c r="L576" s="23" t="n">
        <v>3986</v>
      </c>
      <c r="M576" s="24" t="n">
        <v>4.2</v>
      </c>
      <c r="N576" s="23">
        <f>ROUND(L576/M576, 0)</f>
        <v/>
      </c>
      <c r="O576" s="23">
        <f>ROUND(N576*'Methodology &amp; Assumptions'!$B$8, 0)</f>
        <v/>
      </c>
      <c r="P576" s="44" t="inlineStr">
        <is>
          <t>Band n50 (1.5 GHz, 60 MHz)</t>
        </is>
      </c>
      <c r="Q576" s="38">
        <f>ROUNDUP(O576/'Methodology &amp; Assumptions'!$B$9, 0)</f>
        <v/>
      </c>
      <c r="R576" s="39" t="n">
        <v>1</v>
      </c>
      <c r="S576" s="25" t="n">
        <v>1.01</v>
      </c>
      <c r="T576" s="25" t="n">
        <v>1.14</v>
      </c>
      <c r="U576" s="42" t="inlineStr">
        <is>
          <t>Tier 1B (Micro Drop, 1-3 km)</t>
        </is>
      </c>
      <c r="V576" s="24" t="n">
        <v>81.40000000000001</v>
      </c>
      <c r="W576" s="24" t="n">
        <v>100</v>
      </c>
      <c r="X576" s="24" t="n">
        <v>28</v>
      </c>
      <c r="Y576" s="45">
        <f>ROUND((V576*'Methodology &amp; Assumptions'!$B$6)+(W576*'Methodology &amp; Assumptions'!$B$5)+(X576*'Methodology &amp; Assumptions'!$B$7), 2)</f>
        <v/>
      </c>
    </row>
    <row r="577" ht="19" customHeight="1">
      <c r="A577" s="35" t="n">
        <v>573</v>
      </c>
      <c r="B577" s="35" t="n">
        <v>1573</v>
      </c>
      <c r="C577" s="36" t="inlineStr">
        <is>
          <t>0730600028</t>
        </is>
      </c>
      <c r="D577" s="36" t="inlineStr">
        <is>
          <t>Region VII (Central Visayas)</t>
        </is>
      </c>
      <c r="E577" s="36" t="inlineStr">
        <is>
          <t>Cebu</t>
        </is>
      </c>
      <c r="F577" s="36" t="inlineStr">
        <is>
          <t>City of Cebu</t>
        </is>
      </c>
      <c r="G577" s="36" t="inlineStr">
        <is>
          <t>Ermita</t>
        </is>
      </c>
      <c r="H577" s="37" t="n">
        <v>10.292033</v>
      </c>
      <c r="I577" s="37" t="n">
        <v>123.896226</v>
      </c>
      <c r="J577" s="8" t="inlineStr">
        <is>
          <t>U</t>
        </is>
      </c>
      <c r="K577" s="36" t="inlineStr">
        <is>
          <t>Class 1-3 / Urban</t>
        </is>
      </c>
      <c r="L577" s="18" t="n">
        <v>8541</v>
      </c>
      <c r="M577" s="20" t="n">
        <v>4.42</v>
      </c>
      <c r="N577" s="18">
        <f>ROUND(L577/M577, 0)</f>
        <v/>
      </c>
      <c r="O577" s="18">
        <f>ROUND(N577*'Methodology &amp; Assumptions'!$B$8, 0)</f>
        <v/>
      </c>
      <c r="P577" s="8" t="inlineStr">
        <is>
          <t>Band n50 (1.5 GHz, 60 MHz)</t>
        </is>
      </c>
      <c r="Q577" s="38">
        <f>ROUNDUP(O577/'Methodology &amp; Assumptions'!$B$9, 0)</f>
        <v/>
      </c>
      <c r="R577" s="39" t="n">
        <v>1</v>
      </c>
      <c r="S577" s="21" t="n">
        <v>1.01</v>
      </c>
      <c r="T577" s="21" t="n">
        <v>0.78</v>
      </c>
      <c r="U577" s="36" t="inlineStr">
        <is>
          <t>Tier 1B (Micro Drop, 1-3 km)</t>
        </is>
      </c>
      <c r="V577" s="20" t="n">
        <v>81.40000000000001</v>
      </c>
      <c r="W577" s="20" t="n">
        <v>100</v>
      </c>
      <c r="X577" s="20" t="n">
        <v>28</v>
      </c>
      <c r="Y577" s="40">
        <f>ROUND((V577*'Methodology &amp; Assumptions'!$B$6)+(W577*'Methodology &amp; Assumptions'!$B$5)+(X577*'Methodology &amp; Assumptions'!$B$7), 2)</f>
        <v/>
      </c>
    </row>
    <row r="578" ht="19" customHeight="1">
      <c r="A578" s="41" t="n">
        <v>574</v>
      </c>
      <c r="B578" s="41" t="n">
        <v>1574</v>
      </c>
      <c r="C578" s="42" t="inlineStr">
        <is>
          <t>0305410003</t>
        </is>
      </c>
      <c r="D578" s="42" t="inlineStr">
        <is>
          <t>Region III (Central Luzon)</t>
        </is>
      </c>
      <c r="E578" s="42" t="inlineStr">
        <is>
          <t>Pampanga</t>
        </is>
      </c>
      <c r="F578" s="42" t="inlineStr">
        <is>
          <t>Macabebe</t>
        </is>
      </c>
      <c r="G578" s="42" t="inlineStr">
        <is>
          <t>Candelaria</t>
        </is>
      </c>
      <c r="H578" s="43" t="n">
        <v>14.883819</v>
      </c>
      <c r="I578" s="43" t="n">
        <v>120.72064</v>
      </c>
      <c r="J578" s="44" t="inlineStr">
        <is>
          <t>R</t>
        </is>
      </c>
      <c r="K578" s="42" t="inlineStr">
        <is>
          <t>Class 1-3 / Urban</t>
        </is>
      </c>
      <c r="L578" s="23" t="n">
        <v>3030</v>
      </c>
      <c r="M578" s="24" t="n">
        <v>4.63</v>
      </c>
      <c r="N578" s="23">
        <f>ROUND(L578/M578, 0)</f>
        <v/>
      </c>
      <c r="O578" s="23">
        <f>ROUND(N578*'Methodology &amp; Assumptions'!$B$8, 0)</f>
        <v/>
      </c>
      <c r="P578" s="44" t="inlineStr">
        <is>
          <t>Band n50 (1.5 GHz, 60 MHz)</t>
        </is>
      </c>
      <c r="Q578" s="38">
        <f>ROUNDUP(O578/'Methodology &amp; Assumptions'!$B$9, 0)</f>
        <v/>
      </c>
      <c r="R578" s="39" t="n">
        <v>1</v>
      </c>
      <c r="S578" s="25" t="n">
        <v>1.71</v>
      </c>
      <c r="T578" s="25" t="n">
        <v>0.36</v>
      </c>
      <c r="U578" s="42" t="inlineStr">
        <is>
          <t>Tier 1B (Micro Drop, 1-3 km)</t>
        </is>
      </c>
      <c r="V578" s="24" t="n">
        <v>66.5</v>
      </c>
      <c r="W578" s="24" t="n">
        <v>76.3</v>
      </c>
      <c r="X578" s="24" t="n">
        <v>73</v>
      </c>
      <c r="Y578" s="45">
        <f>ROUND((V578*'Methodology &amp; Assumptions'!$B$6)+(W578*'Methodology &amp; Assumptions'!$B$5)+(X578*'Methodology &amp; Assumptions'!$B$7), 2)</f>
        <v/>
      </c>
    </row>
    <row r="579" ht="19" customHeight="1">
      <c r="A579" s="35" t="n">
        <v>575</v>
      </c>
      <c r="B579" s="35" t="n">
        <v>1575</v>
      </c>
      <c r="C579" s="36" t="inlineStr">
        <is>
          <t>0205703019</t>
        </is>
      </c>
      <c r="D579" s="36" t="inlineStr">
        <is>
          <t>Region II (Cagayan Valley)</t>
        </is>
      </c>
      <c r="E579" s="36" t="inlineStr">
        <is>
          <t>Quirino</t>
        </is>
      </c>
      <c r="F579" s="36" t="inlineStr">
        <is>
          <t>Diffun</t>
        </is>
      </c>
      <c r="G579" s="36" t="inlineStr">
        <is>
          <t>Liwayway</t>
        </is>
      </c>
      <c r="H579" s="37" t="n">
        <v>16.579875</v>
      </c>
      <c r="I579" s="37" t="n">
        <v>121.499888</v>
      </c>
      <c r="J579" s="8" t="inlineStr">
        <is>
          <t>R</t>
        </is>
      </c>
      <c r="K579" s="36" t="inlineStr">
        <is>
          <t>Class 1-3 / Urban</t>
        </is>
      </c>
      <c r="L579" s="18" t="n">
        <v>2953</v>
      </c>
      <c r="M579" s="20" t="n">
        <v>4.03</v>
      </c>
      <c r="N579" s="18">
        <f>ROUND(L579/M579, 0)</f>
        <v/>
      </c>
      <c r="O579" s="18">
        <f>ROUND(N579*'Methodology &amp; Assumptions'!$B$8, 0)</f>
        <v/>
      </c>
      <c r="P579" s="8" t="inlineStr">
        <is>
          <t>Band n50 (1.5 GHz, 60 MHz)</t>
        </is>
      </c>
      <c r="Q579" s="38">
        <f>ROUNDUP(O579/'Methodology &amp; Assumptions'!$B$9, 0)</f>
        <v/>
      </c>
      <c r="R579" s="39" t="n">
        <v>1</v>
      </c>
      <c r="S579" s="21" t="n">
        <v>0.95</v>
      </c>
      <c r="T579" s="21" t="n">
        <v>7.37</v>
      </c>
      <c r="U579" s="36" t="inlineStr">
        <is>
          <t>Tier 1A (Direct Coloc, &lt;1 km)</t>
        </is>
      </c>
      <c r="V579" s="20" t="n">
        <v>73</v>
      </c>
      <c r="W579" s="20" t="n">
        <v>82.7</v>
      </c>
      <c r="X579" s="20" t="n">
        <v>58</v>
      </c>
      <c r="Y579" s="40">
        <f>ROUND((V579*'Methodology &amp; Assumptions'!$B$6)+(W579*'Methodology &amp; Assumptions'!$B$5)+(X579*'Methodology &amp; Assumptions'!$B$7), 2)</f>
        <v/>
      </c>
    </row>
    <row r="580" ht="19" customHeight="1">
      <c r="A580" s="41" t="n">
        <v>576</v>
      </c>
      <c r="B580" s="41" t="n">
        <v>1576</v>
      </c>
      <c r="C580" s="42" t="inlineStr">
        <is>
          <t>0501724026</t>
        </is>
      </c>
      <c r="D580" s="42" t="inlineStr">
        <is>
          <t>Region V (Bicol Region)</t>
        </is>
      </c>
      <c r="E580" s="42" t="inlineStr">
        <is>
          <t>Camarines Sur</t>
        </is>
      </c>
      <c r="F580" s="42" t="inlineStr">
        <is>
          <t>City of Naga</t>
        </is>
      </c>
      <c r="G580" s="42" t="inlineStr">
        <is>
          <t>San Felipe</t>
        </is>
      </c>
      <c r="H580" s="43" t="n">
        <v>13.637473</v>
      </c>
      <c r="I580" s="43" t="n">
        <v>123.202073</v>
      </c>
      <c r="J580" s="44" t="inlineStr">
        <is>
          <t>U</t>
        </is>
      </c>
      <c r="K580" s="42" t="inlineStr">
        <is>
          <t>Class 1-3 / Urban</t>
        </is>
      </c>
      <c r="L580" s="23" t="n">
        <v>21098</v>
      </c>
      <c r="M580" s="24" t="n">
        <v>4.9</v>
      </c>
      <c r="N580" s="23">
        <f>ROUND(L580/M580, 0)</f>
        <v/>
      </c>
      <c r="O580" s="23">
        <f>ROUND(N580*'Methodology &amp; Assumptions'!$B$8, 0)</f>
        <v/>
      </c>
      <c r="P580" s="44" t="inlineStr">
        <is>
          <t>Band n50 (1.5 GHz, 60 MHz)</t>
        </is>
      </c>
      <c r="Q580" s="38">
        <f>ROUNDUP(O580/'Methodology &amp; Assumptions'!$B$9, 0)</f>
        <v/>
      </c>
      <c r="R580" s="39" t="n">
        <v>1</v>
      </c>
      <c r="S580" s="25" t="n">
        <v>1.01</v>
      </c>
      <c r="T580" s="25" t="n">
        <v>0.89</v>
      </c>
      <c r="U580" s="42" t="inlineStr">
        <is>
          <t>Tier 1B (Micro Drop, 1-3 km)</t>
        </is>
      </c>
      <c r="V580" s="24" t="n">
        <v>81.3</v>
      </c>
      <c r="W580" s="24" t="n">
        <v>100</v>
      </c>
      <c r="X580" s="24" t="n">
        <v>28</v>
      </c>
      <c r="Y580" s="45">
        <f>ROUND((V580*'Methodology &amp; Assumptions'!$B$6)+(W580*'Methodology &amp; Assumptions'!$B$5)+(X580*'Methodology &amp; Assumptions'!$B$7), 2)</f>
        <v/>
      </c>
    </row>
    <row r="581" ht="19" customHeight="1">
      <c r="A581" s="35" t="n">
        <v>577</v>
      </c>
      <c r="B581" s="35" t="n">
        <v>1577</v>
      </c>
      <c r="C581" s="36" t="inlineStr">
        <is>
          <t>0704610009</t>
        </is>
      </c>
      <c r="D581" s="36" t="inlineStr">
        <is>
          <t>Region VII (Central Visayas)</t>
        </is>
      </c>
      <c r="E581" s="36" t="inlineStr">
        <is>
          <t>Negros Oriental</t>
        </is>
      </c>
      <c r="F581" s="36" t="inlineStr">
        <is>
          <t>City of Dumaguete</t>
        </is>
      </c>
      <c r="G581" s="36" t="inlineStr">
        <is>
          <t>Calindagan</t>
        </is>
      </c>
      <c r="H581" s="37" t="n">
        <v>9.300132</v>
      </c>
      <c r="I581" s="37" t="n">
        <v>123.311504</v>
      </c>
      <c r="J581" s="8" t="inlineStr">
        <is>
          <t>U</t>
        </is>
      </c>
      <c r="K581" s="36" t="inlineStr">
        <is>
          <t>Class 1-3 / Urban</t>
        </is>
      </c>
      <c r="L581" s="18" t="n">
        <v>6709</v>
      </c>
      <c r="M581" s="20" t="n">
        <v>4.33</v>
      </c>
      <c r="N581" s="18">
        <f>ROUND(L581/M581, 0)</f>
        <v/>
      </c>
      <c r="O581" s="18">
        <f>ROUND(N581*'Methodology &amp; Assumptions'!$B$8, 0)</f>
        <v/>
      </c>
      <c r="P581" s="8" t="inlineStr">
        <is>
          <t>Band n50 (1.5 GHz, 60 MHz)</t>
        </is>
      </c>
      <c r="Q581" s="38">
        <f>ROUNDUP(O581/'Methodology &amp; Assumptions'!$B$9, 0)</f>
        <v/>
      </c>
      <c r="R581" s="39" t="n">
        <v>1</v>
      </c>
      <c r="S581" s="21" t="n">
        <v>1.01</v>
      </c>
      <c r="T581" s="21" t="n">
        <v>0.45</v>
      </c>
      <c r="U581" s="36" t="inlineStr">
        <is>
          <t>Tier 1B (Micro Drop, 1-3 km)</t>
        </is>
      </c>
      <c r="V581" s="20" t="n">
        <v>81.40000000000001</v>
      </c>
      <c r="W581" s="20" t="n">
        <v>100</v>
      </c>
      <c r="X581" s="20" t="n">
        <v>28</v>
      </c>
      <c r="Y581" s="40">
        <f>ROUND((V581*'Methodology &amp; Assumptions'!$B$6)+(W581*'Methodology &amp; Assumptions'!$B$5)+(X581*'Methodology &amp; Assumptions'!$B$7), 2)</f>
        <v/>
      </c>
    </row>
    <row r="582" ht="19" customHeight="1">
      <c r="A582" s="41" t="n">
        <v>578</v>
      </c>
      <c r="B582" s="41" t="n">
        <v>1578</v>
      </c>
      <c r="C582" s="42" t="inlineStr">
        <is>
          <t>1705206028</t>
        </is>
      </c>
      <c r="D582" s="42" t="inlineStr">
        <is>
          <t>MIMAROPA Region</t>
        </is>
      </c>
      <c r="E582" s="42" t="inlineStr">
        <is>
          <t>Oriental Mindoro</t>
        </is>
      </c>
      <c r="F582" s="42" t="inlineStr">
        <is>
          <t>Gloria</t>
        </is>
      </c>
      <c r="G582" s="42" t="inlineStr">
        <is>
          <t>Tambong</t>
        </is>
      </c>
      <c r="H582" s="43" t="n">
        <v>12.968276</v>
      </c>
      <c r="I582" s="43" t="n">
        <v>121.486991</v>
      </c>
      <c r="J582" s="44" t="inlineStr">
        <is>
          <t>R</t>
        </is>
      </c>
      <c r="K582" s="42" t="inlineStr">
        <is>
          <t>Class 1-3 / Urban</t>
        </is>
      </c>
      <c r="L582" s="23" t="n">
        <v>3505</v>
      </c>
      <c r="M582" s="24" t="n">
        <v>4.41</v>
      </c>
      <c r="N582" s="23">
        <f>ROUND(L582/M582, 0)</f>
        <v/>
      </c>
      <c r="O582" s="23">
        <f>ROUND(N582*'Methodology &amp; Assumptions'!$B$8, 0)</f>
        <v/>
      </c>
      <c r="P582" s="44" t="inlineStr">
        <is>
          <t>Band n50 (1.5 GHz, 60 MHz)</t>
        </is>
      </c>
      <c r="Q582" s="38">
        <f>ROUNDUP(O582/'Methodology &amp; Assumptions'!$B$9, 0)</f>
        <v/>
      </c>
      <c r="R582" s="39" t="n">
        <v>1</v>
      </c>
      <c r="S582" s="25" t="n">
        <v>1.43</v>
      </c>
      <c r="T582" s="25" t="n">
        <v>1.05</v>
      </c>
      <c r="U582" s="42" t="inlineStr">
        <is>
          <t>Tier 1B (Micro Drop, 1-3 km)</t>
        </is>
      </c>
      <c r="V582" s="24" t="n">
        <v>72.09999999999999</v>
      </c>
      <c r="W582" s="24" t="n">
        <v>83.5</v>
      </c>
      <c r="X582" s="24" t="n">
        <v>58</v>
      </c>
      <c r="Y582" s="45">
        <f>ROUND((V582*'Methodology &amp; Assumptions'!$B$6)+(W582*'Methodology &amp; Assumptions'!$B$5)+(X582*'Methodology &amp; Assumptions'!$B$7), 2)</f>
        <v/>
      </c>
    </row>
    <row r="583" ht="19" customHeight="1">
      <c r="A583" s="35" t="n">
        <v>579</v>
      </c>
      <c r="B583" s="35" t="n">
        <v>1579</v>
      </c>
      <c r="C583" s="36" t="inlineStr">
        <is>
          <t>0506207034</t>
        </is>
      </c>
      <c r="D583" s="36" t="inlineStr">
        <is>
          <t>Region V (Bicol Region)</t>
        </is>
      </c>
      <c r="E583" s="36" t="inlineStr">
        <is>
          <t>Sorsogon</t>
        </is>
      </c>
      <c r="F583" s="36" t="inlineStr">
        <is>
          <t>Donsol</t>
        </is>
      </c>
      <c r="G583" s="36" t="inlineStr">
        <is>
          <t>Rawis</t>
        </is>
      </c>
      <c r="H583" s="37" t="n">
        <v>12.903021</v>
      </c>
      <c r="I583" s="37" t="n">
        <v>123.594693</v>
      </c>
      <c r="J583" s="8" t="inlineStr">
        <is>
          <t>R</t>
        </is>
      </c>
      <c r="K583" s="36" t="inlineStr">
        <is>
          <t>Class 1-3 / Urban</t>
        </is>
      </c>
      <c r="L583" s="18" t="n">
        <v>2279</v>
      </c>
      <c r="M583" s="20" t="n">
        <v>4.58</v>
      </c>
      <c r="N583" s="18">
        <f>ROUND(L583/M583, 0)</f>
        <v/>
      </c>
      <c r="O583" s="18">
        <f>ROUND(N583*'Methodology &amp; Assumptions'!$B$8, 0)</f>
        <v/>
      </c>
      <c r="P583" s="8" t="inlineStr">
        <is>
          <t>Band n50 (1.5 GHz, 60 MHz)</t>
        </is>
      </c>
      <c r="Q583" s="38">
        <f>ROUNDUP(O583/'Methodology &amp; Assumptions'!$B$9, 0)</f>
        <v/>
      </c>
      <c r="R583" s="39" t="n">
        <v>1</v>
      </c>
      <c r="S583" s="21" t="n">
        <v>0.25</v>
      </c>
      <c r="T583" s="21" t="n">
        <v>18.18</v>
      </c>
      <c r="U583" s="36" t="inlineStr">
        <is>
          <t>Tier 1A (Direct Coloc, &lt;1 km)</t>
        </is>
      </c>
      <c r="V583" s="20" t="n">
        <v>91.90000000000001</v>
      </c>
      <c r="W583" s="20" t="n">
        <v>63.7</v>
      </c>
      <c r="X583" s="20" t="n">
        <v>58</v>
      </c>
      <c r="Y583" s="40">
        <f>ROUND((V583*'Methodology &amp; Assumptions'!$B$6)+(W583*'Methodology &amp; Assumptions'!$B$5)+(X583*'Methodology &amp; Assumptions'!$B$7), 2)</f>
        <v/>
      </c>
    </row>
    <row r="584" ht="19" customHeight="1">
      <c r="A584" s="41" t="n">
        <v>580</v>
      </c>
      <c r="B584" s="41" t="n">
        <v>1580</v>
      </c>
      <c r="C584" s="42" t="inlineStr">
        <is>
          <t>0403413011</t>
        </is>
      </c>
      <c r="D584" s="42" t="inlineStr">
        <is>
          <t>Region IV-A (CALABARZON)</t>
        </is>
      </c>
      <c r="E584" s="42" t="inlineStr">
        <is>
          <t>Laguna</t>
        </is>
      </c>
      <c r="F584" s="42" t="inlineStr">
        <is>
          <t>Lumban</t>
        </is>
      </c>
      <c r="G584" s="42" t="inlineStr">
        <is>
          <t>Primera Pulo</t>
        </is>
      </c>
      <c r="H584" s="43" t="n">
        <v>14.300815</v>
      </c>
      <c r="I584" s="43" t="n">
        <v>121.459252</v>
      </c>
      <c r="J584" s="44" t="inlineStr">
        <is>
          <t>R</t>
        </is>
      </c>
      <c r="K584" s="42" t="inlineStr">
        <is>
          <t>Class 1-3 / Urban</t>
        </is>
      </c>
      <c r="L584" s="23" t="n">
        <v>2104</v>
      </c>
      <c r="M584" s="24" t="n">
        <v>4.2</v>
      </c>
      <c r="N584" s="23">
        <f>ROUND(L584/M584, 0)</f>
        <v/>
      </c>
      <c r="O584" s="23">
        <f>ROUND(N584*'Methodology &amp; Assumptions'!$B$8, 0)</f>
        <v/>
      </c>
      <c r="P584" s="44" t="inlineStr">
        <is>
          <t>Band n50 (1.5 GHz, 60 MHz)</t>
        </is>
      </c>
      <c r="Q584" s="38">
        <f>ROUNDUP(O584/'Methodology &amp; Assumptions'!$B$9, 0)</f>
        <v/>
      </c>
      <c r="R584" s="39" t="n">
        <v>1</v>
      </c>
      <c r="S584" s="25" t="n">
        <v>0.61</v>
      </c>
      <c r="T584" s="25" t="n">
        <v>0.58</v>
      </c>
      <c r="U584" s="42" t="inlineStr">
        <is>
          <t>Tier 1A (Direct Coloc, &lt;1 km)</t>
        </is>
      </c>
      <c r="V584" s="24" t="n">
        <v>91.59999999999999</v>
      </c>
      <c r="W584" s="24" t="n">
        <v>64</v>
      </c>
      <c r="X584" s="24" t="n">
        <v>58</v>
      </c>
      <c r="Y584" s="45">
        <f>ROUND((V584*'Methodology &amp; Assumptions'!$B$6)+(W584*'Methodology &amp; Assumptions'!$B$5)+(X584*'Methodology &amp; Assumptions'!$B$7), 2)</f>
        <v/>
      </c>
    </row>
    <row r="585" ht="19" customHeight="1">
      <c r="A585" s="35" t="n">
        <v>581</v>
      </c>
      <c r="B585" s="35" t="n">
        <v>1581</v>
      </c>
      <c r="C585" s="36" t="inlineStr">
        <is>
          <t>1030500044</t>
        </is>
      </c>
      <c r="D585" s="36" t="inlineStr">
        <is>
          <t>Region X (Northern Mindanao)</t>
        </is>
      </c>
      <c r="E585" s="36" t="inlineStr">
        <is>
          <t>Misamis Oriental</t>
        </is>
      </c>
      <c r="F585" s="36" t="inlineStr">
        <is>
          <t>City of Cagayan De Oro</t>
        </is>
      </c>
      <c r="G585" s="36" t="inlineStr">
        <is>
          <t>Carmen</t>
        </is>
      </c>
      <c r="H585" s="37" t="n">
        <v>8.481023</v>
      </c>
      <c r="I585" s="37" t="n">
        <v>124.636086</v>
      </c>
      <c r="J585" s="8" t="inlineStr">
        <is>
          <t>U</t>
        </is>
      </c>
      <c r="K585" s="36" t="inlineStr">
        <is>
          <t>Class 1-3 / Urban</t>
        </is>
      </c>
      <c r="L585" s="18" t="n">
        <v>77756</v>
      </c>
      <c r="M585" s="20" t="n">
        <v>4.54</v>
      </c>
      <c r="N585" s="18">
        <f>ROUND(L585/M585, 0)</f>
        <v/>
      </c>
      <c r="O585" s="18">
        <f>ROUND(N585*'Methodology &amp; Assumptions'!$B$8, 0)</f>
        <v/>
      </c>
      <c r="P585" s="8" t="inlineStr">
        <is>
          <t>Band n50 (1.5 GHz, 60 MHz)</t>
        </is>
      </c>
      <c r="Q585" s="38">
        <f>ROUNDUP(O585/'Methodology &amp; Assumptions'!$B$9, 0)</f>
        <v/>
      </c>
      <c r="R585" s="39" t="n">
        <v>1</v>
      </c>
      <c r="S585" s="21" t="n">
        <v>0.78</v>
      </c>
      <c r="T585" s="21" t="n">
        <v>0.99</v>
      </c>
      <c r="U585" s="36" t="inlineStr">
        <is>
          <t>Tier 1A (Direct Coloc, &lt;1 km)</t>
        </is>
      </c>
      <c r="V585" s="20" t="n">
        <v>87.09999999999999</v>
      </c>
      <c r="W585" s="20" t="n">
        <v>94.2</v>
      </c>
      <c r="X585" s="20" t="n">
        <v>28</v>
      </c>
      <c r="Y585" s="40">
        <f>ROUND((V585*'Methodology &amp; Assumptions'!$B$6)+(W585*'Methodology &amp; Assumptions'!$B$5)+(X585*'Methodology &amp; Assumptions'!$B$7), 2)</f>
        <v/>
      </c>
    </row>
    <row r="586" ht="19" customHeight="1">
      <c r="A586" s="41" t="n">
        <v>582</v>
      </c>
      <c r="B586" s="41" t="n">
        <v>1582</v>
      </c>
      <c r="C586" s="42" t="inlineStr">
        <is>
          <t>0304923028</t>
        </is>
      </c>
      <c r="D586" s="42" t="inlineStr">
        <is>
          <t>Region III (Central Luzon)</t>
        </is>
      </c>
      <c r="E586" s="42" t="inlineStr">
        <is>
          <t>Nueva Ecija</t>
        </is>
      </c>
      <c r="F586" s="42" t="inlineStr">
        <is>
          <t>Rizal</t>
        </is>
      </c>
      <c r="G586" s="42" t="inlineStr">
        <is>
          <t>Poblacion Sur</t>
        </is>
      </c>
      <c r="H586" s="43" t="n">
        <v>15.585783</v>
      </c>
      <c r="I586" s="43" t="n">
        <v>120.924577</v>
      </c>
      <c r="J586" s="44" t="inlineStr">
        <is>
          <t>U</t>
        </is>
      </c>
      <c r="K586" s="42" t="inlineStr">
        <is>
          <t>Class 1-3 / Urban</t>
        </is>
      </c>
      <c r="L586" s="23" t="n">
        <v>3690</v>
      </c>
      <c r="M586" s="24" t="n">
        <v>4.32</v>
      </c>
      <c r="N586" s="23">
        <f>ROUND(L586/M586, 0)</f>
        <v/>
      </c>
      <c r="O586" s="23">
        <f>ROUND(N586*'Methodology &amp; Assumptions'!$B$8, 0)</f>
        <v/>
      </c>
      <c r="P586" s="44" t="inlineStr">
        <is>
          <t>Band n50 (1.5 GHz, 60 MHz)</t>
        </is>
      </c>
      <c r="Q586" s="38">
        <f>ROUNDUP(O586/'Methodology &amp; Assumptions'!$B$9, 0)</f>
        <v/>
      </c>
      <c r="R586" s="39" t="n">
        <v>1</v>
      </c>
      <c r="S586" s="25" t="n">
        <v>0.71</v>
      </c>
      <c r="T586" s="25" t="n">
        <v>0.52</v>
      </c>
      <c r="U586" s="42" t="inlineStr">
        <is>
          <t>Tier 1A (Direct Coloc, &lt;1 km)</t>
        </is>
      </c>
      <c r="V586" s="24" t="n">
        <v>89</v>
      </c>
      <c r="W586" s="24" t="n">
        <v>92.3</v>
      </c>
      <c r="X586" s="24" t="n">
        <v>28</v>
      </c>
      <c r="Y586" s="45">
        <f>ROUND((V586*'Methodology &amp; Assumptions'!$B$6)+(W586*'Methodology &amp; Assumptions'!$B$5)+(X586*'Methodology &amp; Assumptions'!$B$7), 2)</f>
        <v/>
      </c>
    </row>
    <row r="587" ht="19" customHeight="1">
      <c r="A587" s="35" t="n">
        <v>583</v>
      </c>
      <c r="B587" s="35" t="n">
        <v>1583</v>
      </c>
      <c r="C587" s="36" t="inlineStr">
        <is>
          <t>0401014058</t>
        </is>
      </c>
      <c r="D587" s="36" t="inlineStr">
        <is>
          <t>Region IV-A (CALABARZON)</t>
        </is>
      </c>
      <c r="E587" s="36" t="inlineStr">
        <is>
          <t>Batangas</t>
        </is>
      </c>
      <c r="F587" s="36" t="inlineStr">
        <is>
          <t>City of Lipa</t>
        </is>
      </c>
      <c r="G587" s="36" t="inlineStr">
        <is>
          <t>San Celestino</t>
        </is>
      </c>
      <c r="H587" s="37" t="n">
        <v>13.91911</v>
      </c>
      <c r="I587" s="37" t="n">
        <v>121.226865</v>
      </c>
      <c r="J587" s="8" t="inlineStr">
        <is>
          <t>R</t>
        </is>
      </c>
      <c r="K587" s="36" t="inlineStr">
        <is>
          <t>Class 1-3 / Urban</t>
        </is>
      </c>
      <c r="L587" s="18" t="n">
        <v>2319</v>
      </c>
      <c r="M587" s="20" t="n">
        <v>4.62</v>
      </c>
      <c r="N587" s="18">
        <f>ROUND(L587/M587, 0)</f>
        <v/>
      </c>
      <c r="O587" s="18">
        <f>ROUND(N587*'Methodology &amp; Assumptions'!$B$8, 0)</f>
        <v/>
      </c>
      <c r="P587" s="8" t="inlineStr">
        <is>
          <t>Band n50 (1.5 GHz, 60 MHz)</t>
        </is>
      </c>
      <c r="Q587" s="38">
        <f>ROUNDUP(O587/'Methodology &amp; Assumptions'!$B$9, 0)</f>
        <v/>
      </c>
      <c r="R587" s="39" t="n">
        <v>1</v>
      </c>
      <c r="S587" s="21" t="n">
        <v>0.27</v>
      </c>
      <c r="T587" s="21" t="n">
        <v>3.6</v>
      </c>
      <c r="U587" s="36" t="inlineStr">
        <is>
          <t>Tier 1A (Direct Coloc, &lt;1 km)</t>
        </is>
      </c>
      <c r="V587" s="20" t="n">
        <v>91.3</v>
      </c>
      <c r="W587" s="20" t="n">
        <v>64.3</v>
      </c>
      <c r="X587" s="20" t="n">
        <v>58</v>
      </c>
      <c r="Y587" s="40">
        <f>ROUND((V587*'Methodology &amp; Assumptions'!$B$6)+(W587*'Methodology &amp; Assumptions'!$B$5)+(X587*'Methodology &amp; Assumptions'!$B$7), 2)</f>
        <v/>
      </c>
    </row>
    <row r="588" ht="19" customHeight="1">
      <c r="A588" s="41" t="n">
        <v>584</v>
      </c>
      <c r="B588" s="41" t="n">
        <v>1584</v>
      </c>
      <c r="C588" s="42" t="inlineStr">
        <is>
          <t>0301421051</t>
        </is>
      </c>
      <c r="D588" s="42" t="inlineStr">
        <is>
          <t>Region III (Central Luzon)</t>
        </is>
      </c>
      <c r="E588" s="42" t="inlineStr">
        <is>
          <t>Bulacan</t>
        </is>
      </c>
      <c r="F588" s="42" t="inlineStr">
        <is>
          <t>San Miguel</t>
        </is>
      </c>
      <c r="G588" s="42" t="inlineStr">
        <is>
          <t>Sapang</t>
        </is>
      </c>
      <c r="H588" s="43" t="n">
        <v>15.192461</v>
      </c>
      <c r="I588" s="43" t="n">
        <v>120.990702</v>
      </c>
      <c r="J588" s="44" t="inlineStr">
        <is>
          <t>R</t>
        </is>
      </c>
      <c r="K588" s="42" t="inlineStr">
        <is>
          <t>Class 1-3 / Urban</t>
        </is>
      </c>
      <c r="L588" s="23" t="n">
        <v>1997</v>
      </c>
      <c r="M588" s="24" t="n">
        <v>4.1</v>
      </c>
      <c r="N588" s="23">
        <f>ROUND(L588/M588, 0)</f>
        <v/>
      </c>
      <c r="O588" s="23">
        <f>ROUND(N588*'Methodology &amp; Assumptions'!$B$8, 0)</f>
        <v/>
      </c>
      <c r="P588" s="44" t="inlineStr">
        <is>
          <t>Band n50 (1.5 GHz, 60 MHz)</t>
        </is>
      </c>
      <c r="Q588" s="38">
        <f>ROUNDUP(O588/'Methodology &amp; Assumptions'!$B$9, 0)</f>
        <v/>
      </c>
      <c r="R588" s="39" t="n">
        <v>1</v>
      </c>
      <c r="S588" s="25" t="n">
        <v>0.23</v>
      </c>
      <c r="T588" s="25" t="n">
        <v>2.62</v>
      </c>
      <c r="U588" s="42" t="inlineStr">
        <is>
          <t>Tier 1A (Direct Coloc, &lt;1 km)</t>
        </is>
      </c>
      <c r="V588" s="24" t="n">
        <v>92.59999999999999</v>
      </c>
      <c r="W588" s="24" t="n">
        <v>62.9</v>
      </c>
      <c r="X588" s="24" t="n">
        <v>58</v>
      </c>
      <c r="Y588" s="45">
        <f>ROUND((V588*'Methodology &amp; Assumptions'!$B$6)+(W588*'Methodology &amp; Assumptions'!$B$5)+(X588*'Methodology &amp; Assumptions'!$B$7), 2)</f>
        <v/>
      </c>
    </row>
    <row r="589" ht="19" customHeight="1">
      <c r="A589" s="35" t="n">
        <v>585</v>
      </c>
      <c r="B589" s="35" t="n">
        <v>1585</v>
      </c>
      <c r="C589" s="36" t="inlineStr">
        <is>
          <t>0702232017</t>
        </is>
      </c>
      <c r="D589" s="36" t="inlineStr">
        <is>
          <t>Region VII (Central Visayas)</t>
        </is>
      </c>
      <c r="E589" s="36" t="inlineStr">
        <is>
          <t>Cebu</t>
        </is>
      </c>
      <c r="F589" s="36" t="inlineStr">
        <is>
          <t>Minglanilla</t>
        </is>
      </c>
      <c r="G589" s="36" t="inlineStr">
        <is>
          <t>Tungkop</t>
        </is>
      </c>
      <c r="H589" s="37" t="n">
        <v>10.232959</v>
      </c>
      <c r="I589" s="37" t="n">
        <v>123.785081</v>
      </c>
      <c r="J589" s="8" t="inlineStr">
        <is>
          <t>U</t>
        </is>
      </c>
      <c r="K589" s="36" t="inlineStr">
        <is>
          <t>Class 1-3 / Urban</t>
        </is>
      </c>
      <c r="L589" s="18" t="n">
        <v>14252</v>
      </c>
      <c r="M589" s="20" t="n">
        <v>4.42</v>
      </c>
      <c r="N589" s="18">
        <f>ROUND(L589/M589, 0)</f>
        <v/>
      </c>
      <c r="O589" s="18">
        <f>ROUND(N589*'Methodology &amp; Assumptions'!$B$8, 0)</f>
        <v/>
      </c>
      <c r="P589" s="8" t="inlineStr">
        <is>
          <t>Band n50 (1.5 GHz, 60 MHz)</t>
        </is>
      </c>
      <c r="Q589" s="38">
        <f>ROUNDUP(O589/'Methodology &amp; Assumptions'!$B$9, 0)</f>
        <v/>
      </c>
      <c r="R589" s="39" t="n">
        <v>1</v>
      </c>
      <c r="S589" s="21" t="n">
        <v>1.02</v>
      </c>
      <c r="T589" s="21" t="n">
        <v>0.23</v>
      </c>
      <c r="U589" s="36" t="inlineStr">
        <is>
          <t>Tier 1B (Micro Drop, 1-3 km)</t>
        </is>
      </c>
      <c r="V589" s="20" t="n">
        <v>81.2</v>
      </c>
      <c r="W589" s="20" t="n">
        <v>100</v>
      </c>
      <c r="X589" s="20" t="n">
        <v>28</v>
      </c>
      <c r="Y589" s="40">
        <f>ROUND((V589*'Methodology &amp; Assumptions'!$B$6)+(W589*'Methodology &amp; Assumptions'!$B$5)+(X589*'Methodology &amp; Assumptions'!$B$7), 2)</f>
        <v/>
      </c>
    </row>
    <row r="590" ht="19" customHeight="1">
      <c r="A590" s="41" t="n">
        <v>586</v>
      </c>
      <c r="B590" s="41" t="n">
        <v>1586</v>
      </c>
      <c r="C590" s="42" t="inlineStr">
        <is>
          <t>0500503010</t>
        </is>
      </c>
      <c r="D590" s="42" t="inlineStr">
        <is>
          <t>Region V (Bicol Region)</t>
        </is>
      </c>
      <c r="E590" s="42" t="inlineStr">
        <is>
          <t>Albay</t>
        </is>
      </c>
      <c r="F590" s="42" t="inlineStr">
        <is>
          <t>Daraga</t>
        </is>
      </c>
      <c r="G590" s="42" t="inlineStr">
        <is>
          <t>Binitayan</t>
        </is>
      </c>
      <c r="H590" s="43" t="n">
        <v>13.155354</v>
      </c>
      <c r="I590" s="43" t="n">
        <v>123.715825</v>
      </c>
      <c r="J590" s="44" t="inlineStr">
        <is>
          <t>U</t>
        </is>
      </c>
      <c r="K590" s="42" t="inlineStr">
        <is>
          <t>Class 1-3 / Urban</t>
        </is>
      </c>
      <c r="L590" s="23" t="n">
        <v>4643</v>
      </c>
      <c r="M590" s="24" t="n">
        <v>4.67</v>
      </c>
      <c r="N590" s="23">
        <f>ROUND(L590/M590, 0)</f>
        <v/>
      </c>
      <c r="O590" s="23">
        <f>ROUND(N590*'Methodology &amp; Assumptions'!$B$8, 0)</f>
        <v/>
      </c>
      <c r="P590" s="44" t="inlineStr">
        <is>
          <t>Band n50 (1.5 GHz, 60 MHz)</t>
        </is>
      </c>
      <c r="Q590" s="38">
        <f>ROUNDUP(O590/'Methodology &amp; Assumptions'!$B$9, 0)</f>
        <v/>
      </c>
      <c r="R590" s="39" t="n">
        <v>1</v>
      </c>
      <c r="S590" s="25" t="n">
        <v>1.02</v>
      </c>
      <c r="T590" s="25" t="n">
        <v>0.05</v>
      </c>
      <c r="U590" s="42" t="inlineStr">
        <is>
          <t>Tier 1B (Micro Drop, 1-3 km)</t>
        </is>
      </c>
      <c r="V590" s="24" t="n">
        <v>81.3</v>
      </c>
      <c r="W590" s="24" t="n">
        <v>100</v>
      </c>
      <c r="X590" s="24" t="n">
        <v>28</v>
      </c>
      <c r="Y590" s="45">
        <f>ROUND((V590*'Methodology &amp; Assumptions'!$B$6)+(W590*'Methodology &amp; Assumptions'!$B$5)+(X590*'Methodology &amp; Assumptions'!$B$7), 2)</f>
        <v/>
      </c>
    </row>
    <row r="591" ht="19" customHeight="1">
      <c r="A591" s="35" t="n">
        <v>587</v>
      </c>
      <c r="B591" s="35" t="n">
        <v>1587</v>
      </c>
      <c r="C591" s="36" t="inlineStr">
        <is>
          <t>0803750008</t>
        </is>
      </c>
      <c r="D591" s="36" t="inlineStr">
        <is>
          <t>Region VIII (Eastern Visayas)</t>
        </is>
      </c>
      <c r="E591" s="36" t="inlineStr">
        <is>
          <t>Leyte</t>
        </is>
      </c>
      <c r="F591" s="36" t="inlineStr">
        <is>
          <t>Tunga</t>
        </is>
      </c>
      <c r="G591" s="36" t="inlineStr">
        <is>
          <t>Santo Niño</t>
        </is>
      </c>
      <c r="H591" s="37" t="n">
        <v>11.243713</v>
      </c>
      <c r="I591" s="37" t="n">
        <v>124.751251</v>
      </c>
      <c r="J591" s="8" t="inlineStr">
        <is>
          <t>R</t>
        </is>
      </c>
      <c r="K591" s="36" t="inlineStr">
        <is>
          <t>5th</t>
        </is>
      </c>
      <c r="L591" s="18" t="n">
        <v>1105</v>
      </c>
      <c r="M591" s="20" t="n">
        <v>4.75</v>
      </c>
      <c r="N591" s="18">
        <f>ROUND(L591/M591, 0)</f>
        <v/>
      </c>
      <c r="O591" s="18">
        <f>ROUND(N591*'Methodology &amp; Assumptions'!$B$8, 0)</f>
        <v/>
      </c>
      <c r="P591" s="8" t="inlineStr">
        <is>
          <t>Band n50 (1.5 GHz, 60 MHz)</t>
        </is>
      </c>
      <c r="Q591" s="38">
        <f>ROUNDUP(O591/'Methodology &amp; Assumptions'!$B$9, 0)</f>
        <v/>
      </c>
      <c r="R591" s="39" t="n">
        <v>1</v>
      </c>
      <c r="S591" s="21" t="n">
        <v>0.24</v>
      </c>
      <c r="T591" s="21" t="n">
        <v>0.14</v>
      </c>
      <c r="U591" s="36" t="inlineStr">
        <is>
          <t>Tier 1A (Direct Coloc, &lt;1 km)</t>
        </is>
      </c>
      <c r="V591" s="20" t="n">
        <v>100</v>
      </c>
      <c r="W591" s="20" t="n">
        <v>42.7</v>
      </c>
      <c r="X591" s="20" t="n">
        <v>73</v>
      </c>
      <c r="Y591" s="40">
        <f>ROUND((V591*'Methodology &amp; Assumptions'!$B$6)+(W591*'Methodology &amp; Assumptions'!$B$5)+(X591*'Methodology &amp; Assumptions'!$B$7), 2)</f>
        <v/>
      </c>
    </row>
    <row r="592" ht="19" customHeight="1">
      <c r="A592" s="41" t="n">
        <v>588</v>
      </c>
      <c r="B592" s="41" t="n">
        <v>1588</v>
      </c>
      <c r="C592" s="42" t="inlineStr">
        <is>
          <t>0500504022</t>
        </is>
      </c>
      <c r="D592" s="42" t="inlineStr">
        <is>
          <t>Region V (Bicol Region)</t>
        </is>
      </c>
      <c r="E592" s="42" t="inlineStr">
        <is>
          <t>Albay</t>
        </is>
      </c>
      <c r="F592" s="42" t="inlineStr">
        <is>
          <t>Guinobatan</t>
        </is>
      </c>
      <c r="G592" s="42" t="inlineStr">
        <is>
          <t>Maipon</t>
        </is>
      </c>
      <c r="H592" s="43" t="n">
        <v>13.203797</v>
      </c>
      <c r="I592" s="43" t="n">
        <v>123.604991</v>
      </c>
      <c r="J592" s="44" t="inlineStr">
        <is>
          <t>R</t>
        </is>
      </c>
      <c r="K592" s="42" t="inlineStr">
        <is>
          <t>Class 1-3 / Urban</t>
        </is>
      </c>
      <c r="L592" s="23" t="n">
        <v>3789</v>
      </c>
      <c r="M592" s="24" t="n">
        <v>4.67</v>
      </c>
      <c r="N592" s="23">
        <f>ROUND(L592/M592, 0)</f>
        <v/>
      </c>
      <c r="O592" s="23">
        <f>ROUND(N592*'Methodology &amp; Assumptions'!$B$8, 0)</f>
        <v/>
      </c>
      <c r="P592" s="44" t="inlineStr">
        <is>
          <t>Band n50 (1.5 GHz, 60 MHz)</t>
        </is>
      </c>
      <c r="Q592" s="38">
        <f>ROUNDUP(O592/'Methodology &amp; Assumptions'!$B$9, 0)</f>
        <v/>
      </c>
      <c r="R592" s="39" t="n">
        <v>1</v>
      </c>
      <c r="S592" s="25" t="n">
        <v>1.7</v>
      </c>
      <c r="T592" s="25" t="n">
        <v>1.4</v>
      </c>
      <c r="U592" s="42" t="inlineStr">
        <is>
          <t>Tier 1B (Micro Drop, 1-3 km)</t>
        </is>
      </c>
      <c r="V592" s="24" t="n">
        <v>66.7</v>
      </c>
      <c r="W592" s="24" t="n">
        <v>88.8</v>
      </c>
      <c r="X592" s="24" t="n">
        <v>58</v>
      </c>
      <c r="Y592" s="45">
        <f>ROUND((V592*'Methodology &amp; Assumptions'!$B$6)+(W592*'Methodology &amp; Assumptions'!$B$5)+(X592*'Methodology &amp; Assumptions'!$B$7), 2)</f>
        <v/>
      </c>
    </row>
    <row r="593" ht="19" customHeight="1">
      <c r="A593" s="35" t="n">
        <v>589</v>
      </c>
      <c r="B593" s="35" t="n">
        <v>1589</v>
      </c>
      <c r="C593" s="36" t="inlineStr">
        <is>
          <t>0301411016</t>
        </is>
      </c>
      <c r="D593" s="36" t="inlineStr">
        <is>
          <t>Region III (Central Luzon)</t>
        </is>
      </c>
      <c r="E593" s="36" t="inlineStr">
        <is>
          <t>Bulacan</t>
        </is>
      </c>
      <c r="F593" s="36" t="inlineStr">
        <is>
          <t>Marilao</t>
        </is>
      </c>
      <c r="G593" s="36" t="inlineStr">
        <is>
          <t>Tabing Ilog</t>
        </is>
      </c>
      <c r="H593" s="37" t="n">
        <v>14.765208</v>
      </c>
      <c r="I593" s="37" t="n">
        <v>120.948503</v>
      </c>
      <c r="J593" s="8" t="inlineStr">
        <is>
          <t>U</t>
        </is>
      </c>
      <c r="K593" s="36" t="inlineStr">
        <is>
          <t>Class 1-3 / Urban</t>
        </is>
      </c>
      <c r="L593" s="18" t="n">
        <v>8056</v>
      </c>
      <c r="M593" s="20" t="n">
        <v>4.1</v>
      </c>
      <c r="N593" s="18">
        <f>ROUND(L593/M593, 0)</f>
        <v/>
      </c>
      <c r="O593" s="18">
        <f>ROUND(N593*'Methodology &amp; Assumptions'!$B$8, 0)</f>
        <v/>
      </c>
      <c r="P593" s="8" t="inlineStr">
        <is>
          <t>Band n50 (1.5 GHz, 60 MHz)</t>
        </is>
      </c>
      <c r="Q593" s="38">
        <f>ROUNDUP(O593/'Methodology &amp; Assumptions'!$B$9, 0)</f>
        <v/>
      </c>
      <c r="R593" s="39" t="n">
        <v>1</v>
      </c>
      <c r="S593" s="21" t="n">
        <v>1.02</v>
      </c>
      <c r="T593" s="21" t="n">
        <v>0.28</v>
      </c>
      <c r="U593" s="36" t="inlineStr">
        <is>
          <t>Tier 1B (Micro Drop, 1-3 km)</t>
        </is>
      </c>
      <c r="V593" s="20" t="n">
        <v>81.2</v>
      </c>
      <c r="W593" s="20" t="n">
        <v>100</v>
      </c>
      <c r="X593" s="20" t="n">
        <v>28</v>
      </c>
      <c r="Y593" s="40">
        <f>ROUND((V593*'Methodology &amp; Assumptions'!$B$6)+(W593*'Methodology &amp; Assumptions'!$B$5)+(X593*'Methodology &amp; Assumptions'!$B$7), 2)</f>
        <v/>
      </c>
    </row>
    <row r="594" ht="19" customHeight="1">
      <c r="A594" s="41" t="n">
        <v>590</v>
      </c>
      <c r="B594" s="41" t="n">
        <v>1590</v>
      </c>
      <c r="C594" s="42" t="inlineStr">
        <is>
          <t>0931700070</t>
        </is>
      </c>
      <c r="D594" s="42" t="inlineStr">
        <is>
          <t>Region IX (Zamboanga Peninsula)</t>
        </is>
      </c>
      <c r="E594" s="42" t="inlineStr">
        <is>
          <t>Zamboanga del Sur</t>
        </is>
      </c>
      <c r="F594" s="42" t="inlineStr">
        <is>
          <t>City of Zamboanga</t>
        </is>
      </c>
      <c r="G594" s="42" t="inlineStr">
        <is>
          <t>San Jose Cawa-cawa</t>
        </is>
      </c>
      <c r="H594" s="43" t="n">
        <v>6.911847</v>
      </c>
      <c r="I594" s="43" t="n">
        <v>122.065279</v>
      </c>
      <c r="J594" s="44" t="inlineStr">
        <is>
          <t>U</t>
        </is>
      </c>
      <c r="K594" s="42" t="inlineStr">
        <is>
          <t>Class 1-3 / Urban</t>
        </is>
      </c>
      <c r="L594" s="23" t="n">
        <v>4292</v>
      </c>
      <c r="M594" s="24" t="n">
        <v>4.61</v>
      </c>
      <c r="N594" s="23">
        <f>ROUND(L594/M594, 0)</f>
        <v/>
      </c>
      <c r="O594" s="23">
        <f>ROUND(N594*'Methodology &amp; Assumptions'!$B$8, 0)</f>
        <v/>
      </c>
      <c r="P594" s="44" t="inlineStr">
        <is>
          <t>Band n50 (1.5 GHz, 60 MHz)</t>
        </is>
      </c>
      <c r="Q594" s="38">
        <f>ROUNDUP(O594/'Methodology &amp; Assumptions'!$B$9, 0)</f>
        <v/>
      </c>
      <c r="R594" s="39" t="n">
        <v>1</v>
      </c>
      <c r="S594" s="25" t="n">
        <v>0.95</v>
      </c>
      <c r="T594" s="25" t="n">
        <v>0.95</v>
      </c>
      <c r="U594" s="42" t="inlineStr">
        <is>
          <t>Tier 1A (Direct Coloc, &lt;1 km)</t>
        </is>
      </c>
      <c r="V594" s="24" t="n">
        <v>82.8</v>
      </c>
      <c r="W594" s="24" t="n">
        <v>98.40000000000001</v>
      </c>
      <c r="X594" s="24" t="n">
        <v>28</v>
      </c>
      <c r="Y594" s="45">
        <f>ROUND((V594*'Methodology &amp; Assumptions'!$B$6)+(W594*'Methodology &amp; Assumptions'!$B$5)+(X594*'Methodology &amp; Assumptions'!$B$7), 2)</f>
        <v/>
      </c>
    </row>
    <row r="595" ht="19" customHeight="1">
      <c r="A595" s="35" t="n">
        <v>591</v>
      </c>
      <c r="B595" s="35" t="n">
        <v>1591</v>
      </c>
      <c r="C595" s="36" t="inlineStr">
        <is>
          <t>0402117017</t>
        </is>
      </c>
      <c r="D595" s="36" t="inlineStr">
        <is>
          <t>Region IV-A (CALABARZON)</t>
        </is>
      </c>
      <c r="E595" s="36" t="inlineStr">
        <is>
          <t>Cavite</t>
        </is>
      </c>
      <c r="F595" s="36" t="inlineStr">
        <is>
          <t>Rosario</t>
        </is>
      </c>
      <c r="G595" s="36" t="inlineStr">
        <is>
          <t>Sapa III</t>
        </is>
      </c>
      <c r="H595" s="37" t="n">
        <v>14.416199</v>
      </c>
      <c r="I595" s="37" t="n">
        <v>120.8481</v>
      </c>
      <c r="J595" s="8" t="inlineStr">
        <is>
          <t>R</t>
        </is>
      </c>
      <c r="K595" s="36" t="inlineStr">
        <is>
          <t>Class 1-3 / Urban</t>
        </is>
      </c>
      <c r="L595" s="18" t="n">
        <v>4225</v>
      </c>
      <c r="M595" s="20" t="n">
        <v>4.49</v>
      </c>
      <c r="N595" s="18">
        <f>ROUND(L595/M595, 0)</f>
        <v/>
      </c>
      <c r="O595" s="18">
        <f>ROUND(N595*'Methodology &amp; Assumptions'!$B$8, 0)</f>
        <v/>
      </c>
      <c r="P595" s="8" t="inlineStr">
        <is>
          <t>Band n50 (1.5 GHz, 60 MHz)</t>
        </is>
      </c>
      <c r="Q595" s="38">
        <f>ROUNDUP(O595/'Methodology &amp; Assumptions'!$B$9, 0)</f>
        <v/>
      </c>
      <c r="R595" s="39" t="n">
        <v>1</v>
      </c>
      <c r="S595" s="21" t="n">
        <v>2.5</v>
      </c>
      <c r="T595" s="21" t="n">
        <v>2.65</v>
      </c>
      <c r="U595" s="36" t="inlineStr">
        <is>
          <t>Tier 1B (Micro Drop, 1-3 km)</t>
        </is>
      </c>
      <c r="V595" s="20" t="n">
        <v>43.4</v>
      </c>
      <c r="W595" s="20" t="n">
        <v>99.2</v>
      </c>
      <c r="X595" s="20" t="n">
        <v>73</v>
      </c>
      <c r="Y595" s="40">
        <f>ROUND((V595*'Methodology &amp; Assumptions'!$B$6)+(W595*'Methodology &amp; Assumptions'!$B$5)+(X595*'Methodology &amp; Assumptions'!$B$7), 2)</f>
        <v/>
      </c>
    </row>
    <row r="596" ht="19" customHeight="1">
      <c r="A596" s="41" t="n">
        <v>592</v>
      </c>
      <c r="B596" s="41" t="n">
        <v>1592</v>
      </c>
      <c r="C596" s="42" t="inlineStr">
        <is>
          <t>0304927013</t>
        </is>
      </c>
      <c r="D596" s="42" t="inlineStr">
        <is>
          <t>Region III (Central Luzon)</t>
        </is>
      </c>
      <c r="E596" s="42" t="inlineStr">
        <is>
          <t>Nueva Ecija</t>
        </is>
      </c>
      <c r="F596" s="42" t="inlineStr">
        <is>
          <t>San Leonardo</t>
        </is>
      </c>
      <c r="G596" s="42" t="inlineStr">
        <is>
          <t>San Roque</t>
        </is>
      </c>
      <c r="H596" s="43" t="n">
        <v>15.3266</v>
      </c>
      <c r="I596" s="43" t="n">
        <v>120.925973</v>
      </c>
      <c r="J596" s="44" t="inlineStr">
        <is>
          <t>R</t>
        </is>
      </c>
      <c r="K596" s="42" t="inlineStr">
        <is>
          <t>Class 1-3 / Urban</t>
        </is>
      </c>
      <c r="L596" s="23" t="n">
        <v>3292</v>
      </c>
      <c r="M596" s="24" t="n">
        <v>4.32</v>
      </c>
      <c r="N596" s="23">
        <f>ROUND(L596/M596, 0)</f>
        <v/>
      </c>
      <c r="O596" s="23">
        <f>ROUND(N596*'Methodology &amp; Assumptions'!$B$8, 0)</f>
        <v/>
      </c>
      <c r="P596" s="44" t="inlineStr">
        <is>
          <t>Band n50 (1.5 GHz, 60 MHz)</t>
        </is>
      </c>
      <c r="Q596" s="38">
        <f>ROUNDUP(O596/'Methodology &amp; Assumptions'!$B$9, 0)</f>
        <v/>
      </c>
      <c r="R596" s="39" t="n">
        <v>1</v>
      </c>
      <c r="S596" s="25" t="n">
        <v>2.23</v>
      </c>
      <c r="T596" s="25" t="n">
        <v>1.24</v>
      </c>
      <c r="U596" s="42" t="inlineStr">
        <is>
          <t>Tier 1B (Micro Drop, 1-3 km)</t>
        </is>
      </c>
      <c r="V596" s="24" t="n">
        <v>57.6</v>
      </c>
      <c r="W596" s="24" t="n">
        <v>85.09999999999999</v>
      </c>
      <c r="X596" s="24" t="n">
        <v>73</v>
      </c>
      <c r="Y596" s="45">
        <f>ROUND((V596*'Methodology &amp; Assumptions'!$B$6)+(W596*'Methodology &amp; Assumptions'!$B$5)+(X596*'Methodology &amp; Assumptions'!$B$7), 2)</f>
        <v/>
      </c>
    </row>
    <row r="597" ht="19" customHeight="1">
      <c r="A597" s="35" t="n">
        <v>593</v>
      </c>
      <c r="B597" s="35" t="n">
        <v>1593</v>
      </c>
      <c r="C597" s="36" t="inlineStr">
        <is>
          <t>0402118052</t>
        </is>
      </c>
      <c r="D597" s="36" t="inlineStr">
        <is>
          <t>Region IV-A (CALABARZON)</t>
        </is>
      </c>
      <c r="E597" s="36" t="inlineStr">
        <is>
          <t>Cavite</t>
        </is>
      </c>
      <c r="F597" s="36" t="inlineStr">
        <is>
          <t>Silang</t>
        </is>
      </c>
      <c r="G597" s="36" t="inlineStr">
        <is>
          <t>Narra I</t>
        </is>
      </c>
      <c r="H597" s="37" t="n">
        <v>14.278724</v>
      </c>
      <c r="I597" s="37" t="n">
        <v>120.994969</v>
      </c>
      <c r="J597" s="8" t="inlineStr">
        <is>
          <t>R</t>
        </is>
      </c>
      <c r="K597" s="36" t="inlineStr">
        <is>
          <t>Class 1-3 / Urban</t>
        </is>
      </c>
      <c r="L597" s="18" t="n">
        <v>3167</v>
      </c>
      <c r="M597" s="20" t="n">
        <v>4.49</v>
      </c>
      <c r="N597" s="18">
        <f>ROUND(L597/M597, 0)</f>
        <v/>
      </c>
      <c r="O597" s="18">
        <f>ROUND(N597*'Methodology &amp; Assumptions'!$B$8, 0)</f>
        <v/>
      </c>
      <c r="P597" s="8" t="inlineStr">
        <is>
          <t>Band n50 (1.5 GHz, 60 MHz)</t>
        </is>
      </c>
      <c r="Q597" s="38">
        <f>ROUNDUP(O597/'Methodology &amp; Assumptions'!$B$9, 0)</f>
        <v/>
      </c>
      <c r="R597" s="39" t="n">
        <v>1</v>
      </c>
      <c r="S597" s="21" t="n">
        <v>0.87</v>
      </c>
      <c r="T597" s="21" t="n">
        <v>3.12</v>
      </c>
      <c r="U597" s="36" t="inlineStr">
        <is>
          <t>Tier 1A (Direct Coloc, &lt;1 km)</t>
        </is>
      </c>
      <c r="V597" s="20" t="n">
        <v>74.90000000000001</v>
      </c>
      <c r="W597" s="20" t="n">
        <v>80.5</v>
      </c>
      <c r="X597" s="20" t="n">
        <v>58</v>
      </c>
      <c r="Y597" s="40">
        <f>ROUND((V597*'Methodology &amp; Assumptions'!$B$6)+(W597*'Methodology &amp; Assumptions'!$B$5)+(X597*'Methodology &amp; Assumptions'!$B$7), 2)</f>
        <v/>
      </c>
    </row>
    <row r="598" ht="19" customHeight="1">
      <c r="A598" s="41" t="n">
        <v>594</v>
      </c>
      <c r="B598" s="41" t="n">
        <v>1594</v>
      </c>
      <c r="C598" s="42" t="inlineStr">
        <is>
          <t>0201503011</t>
        </is>
      </c>
      <c r="D598" s="42" t="inlineStr">
        <is>
          <t>Region II (Cagayan Valley)</t>
        </is>
      </c>
      <c r="E598" s="42" t="inlineStr">
        <is>
          <t>Cagayan</t>
        </is>
      </c>
      <c r="F598" s="42" t="inlineStr">
        <is>
          <t>Allacapan</t>
        </is>
      </c>
      <c r="G598" s="42" t="inlineStr">
        <is>
          <t>Centro West</t>
        </is>
      </c>
      <c r="H598" s="43" t="n">
        <v>18.224482</v>
      </c>
      <c r="I598" s="43" t="n">
        <v>121.554972</v>
      </c>
      <c r="J598" s="44" t="inlineStr">
        <is>
          <t>R</t>
        </is>
      </c>
      <c r="K598" s="42" t="inlineStr">
        <is>
          <t>Class 1-3 / Urban</t>
        </is>
      </c>
      <c r="L598" s="23" t="n">
        <v>1898</v>
      </c>
      <c r="M598" s="24" t="n">
        <v>4.38</v>
      </c>
      <c r="N598" s="23">
        <f>ROUND(L598/M598, 0)</f>
        <v/>
      </c>
      <c r="O598" s="23">
        <f>ROUND(N598*'Methodology &amp; Assumptions'!$B$8, 0)</f>
        <v/>
      </c>
      <c r="P598" s="44" t="inlineStr">
        <is>
          <t>Band n50 (1.5 GHz, 60 MHz)</t>
        </is>
      </c>
      <c r="Q598" s="38">
        <f>ROUNDUP(O598/'Methodology &amp; Assumptions'!$B$9, 0)</f>
        <v/>
      </c>
      <c r="R598" s="39" t="n">
        <v>1</v>
      </c>
      <c r="S598" s="25" t="n">
        <v>0.42</v>
      </c>
      <c r="T598" s="25" t="n">
        <v>0.38</v>
      </c>
      <c r="U598" s="42" t="inlineStr">
        <is>
          <t>Tier 1A (Direct Coloc, &lt;1 km)</t>
        </is>
      </c>
      <c r="V598" s="24" t="n">
        <v>96.8</v>
      </c>
      <c r="W598" s="24" t="n">
        <v>58.7</v>
      </c>
      <c r="X598" s="24" t="n">
        <v>58</v>
      </c>
      <c r="Y598" s="45">
        <f>ROUND((V598*'Methodology &amp; Assumptions'!$B$6)+(W598*'Methodology &amp; Assumptions'!$B$5)+(X598*'Methodology &amp; Assumptions'!$B$7), 2)</f>
        <v/>
      </c>
    </row>
    <row r="599" ht="19" customHeight="1">
      <c r="A599" s="35" t="n">
        <v>595</v>
      </c>
      <c r="B599" s="35" t="n">
        <v>1595</v>
      </c>
      <c r="C599" s="36" t="inlineStr">
        <is>
          <t>0402116012</t>
        </is>
      </c>
      <c r="D599" s="36" t="inlineStr">
        <is>
          <t>Region IV-A (CALABARZON)</t>
        </is>
      </c>
      <c r="E599" s="36" t="inlineStr">
        <is>
          <t>Cavite</t>
        </is>
      </c>
      <c r="F599" s="36" t="inlineStr">
        <is>
          <t>Noveleta</t>
        </is>
      </c>
      <c r="G599" s="36" t="inlineStr">
        <is>
          <t>San Jose II</t>
        </is>
      </c>
      <c r="H599" s="37" t="n">
        <v>14.431197</v>
      </c>
      <c r="I599" s="37" t="n">
        <v>120.885889</v>
      </c>
      <c r="J599" s="8" t="inlineStr">
        <is>
          <t>R</t>
        </is>
      </c>
      <c r="K599" s="36" t="inlineStr">
        <is>
          <t>Class 1-3 / Urban</t>
        </is>
      </c>
      <c r="L599" s="18" t="n">
        <v>1844</v>
      </c>
      <c r="M599" s="20" t="n">
        <v>4.49</v>
      </c>
      <c r="N599" s="18">
        <f>ROUND(L599/M599, 0)</f>
        <v/>
      </c>
      <c r="O599" s="18">
        <f>ROUND(N599*'Methodology &amp; Assumptions'!$B$8, 0)</f>
        <v/>
      </c>
      <c r="P599" s="8" t="inlineStr">
        <is>
          <t>Band n50 (1.5 GHz, 60 MHz)</t>
        </is>
      </c>
      <c r="Q599" s="38">
        <f>ROUNDUP(O599/'Methodology &amp; Assumptions'!$B$9, 0)</f>
        <v/>
      </c>
      <c r="R599" s="39" t="n">
        <v>1</v>
      </c>
      <c r="S599" s="21" t="n">
        <v>0.36</v>
      </c>
      <c r="T599" s="21" t="n">
        <v>0.13</v>
      </c>
      <c r="U599" s="36" t="inlineStr">
        <is>
          <t>Tier 1A (Direct Coloc, &lt;1 km)</t>
        </is>
      </c>
      <c r="V599" s="20" t="n">
        <v>98.7</v>
      </c>
      <c r="W599" s="20" t="n">
        <v>56.8</v>
      </c>
      <c r="X599" s="20" t="n">
        <v>58</v>
      </c>
      <c r="Y599" s="40">
        <f>ROUND((V599*'Methodology &amp; Assumptions'!$B$6)+(W599*'Methodology &amp; Assumptions'!$B$5)+(X599*'Methodology &amp; Assumptions'!$B$7), 2)</f>
        <v/>
      </c>
    </row>
    <row r="600" ht="19" customHeight="1">
      <c r="A600" s="41" t="n">
        <v>596</v>
      </c>
      <c r="B600" s="41" t="n">
        <v>1596</v>
      </c>
      <c r="C600" s="42" t="inlineStr">
        <is>
          <t>0304932004</t>
        </is>
      </c>
      <c r="D600" s="42" t="inlineStr">
        <is>
          <t>Region III (Central Luzon)</t>
        </is>
      </c>
      <c r="E600" s="42" t="inlineStr">
        <is>
          <t>Nueva Ecija</t>
        </is>
      </c>
      <c r="F600" s="42" t="inlineStr">
        <is>
          <t>Zaragoza</t>
        </is>
      </c>
      <c r="G600" s="42" t="inlineStr">
        <is>
          <t>Concepcion</t>
        </is>
      </c>
      <c r="H600" s="43" t="n">
        <v>15.444444</v>
      </c>
      <c r="I600" s="43" t="n">
        <v>120.795833</v>
      </c>
      <c r="J600" s="44" t="inlineStr">
        <is>
          <t>U</t>
        </is>
      </c>
      <c r="K600" s="42" t="inlineStr">
        <is>
          <t>Class 1-3 / Urban</t>
        </is>
      </c>
      <c r="L600" s="23" t="n">
        <v>5965</v>
      </c>
      <c r="M600" s="24" t="n">
        <v>4.32</v>
      </c>
      <c r="N600" s="23">
        <f>ROUND(L600/M600, 0)</f>
        <v/>
      </c>
      <c r="O600" s="23">
        <f>ROUND(N600*'Methodology &amp; Assumptions'!$B$8, 0)</f>
        <v/>
      </c>
      <c r="P600" s="44" t="inlineStr">
        <is>
          <t>Band n50 (1.5 GHz, 60 MHz)</t>
        </is>
      </c>
      <c r="Q600" s="38">
        <f>ROUNDUP(O600/'Methodology &amp; Assumptions'!$B$9, 0)</f>
        <v/>
      </c>
      <c r="R600" s="39" t="n">
        <v>1</v>
      </c>
      <c r="S600" s="25" t="n">
        <v>1.02</v>
      </c>
      <c r="T600" s="25" t="n">
        <v>0.46</v>
      </c>
      <c r="U600" s="42" t="inlineStr">
        <is>
          <t>Tier 1B (Micro Drop, 1-3 km)</t>
        </is>
      </c>
      <c r="V600" s="24" t="n">
        <v>81.2</v>
      </c>
      <c r="W600" s="24" t="n">
        <v>100</v>
      </c>
      <c r="X600" s="24" t="n">
        <v>28</v>
      </c>
      <c r="Y600" s="45">
        <f>ROUND((V600*'Methodology &amp; Assumptions'!$B$6)+(W600*'Methodology &amp; Assumptions'!$B$5)+(X600*'Methodology &amp; Assumptions'!$B$7), 2)</f>
        <v/>
      </c>
    </row>
    <row r="601" ht="19" customHeight="1">
      <c r="A601" s="35" t="n">
        <v>597</v>
      </c>
      <c r="B601" s="35" t="n">
        <v>1597</v>
      </c>
      <c r="C601" s="36" t="inlineStr">
        <is>
          <t>0304908010</t>
        </is>
      </c>
      <c r="D601" s="36" t="inlineStr">
        <is>
          <t>Region III (Central Luzon)</t>
        </is>
      </c>
      <c r="E601" s="36" t="inlineStr">
        <is>
          <t>Nueva Ecija</t>
        </is>
      </c>
      <c r="F601" s="36" t="inlineStr">
        <is>
          <t>City of Gapan</t>
        </is>
      </c>
      <c r="G601" s="36" t="inlineStr">
        <is>
          <t>San Lorenzo</t>
        </is>
      </c>
      <c r="H601" s="37" t="n">
        <v>15.312799</v>
      </c>
      <c r="I601" s="37" t="n">
        <v>120.953395</v>
      </c>
      <c r="J601" s="8" t="inlineStr">
        <is>
          <t>U</t>
        </is>
      </c>
      <c r="K601" s="36" t="inlineStr">
        <is>
          <t>Class 1-3 / Urban</t>
        </is>
      </c>
      <c r="L601" s="18" t="n">
        <v>5933</v>
      </c>
      <c r="M601" s="20" t="n">
        <v>4.32</v>
      </c>
      <c r="N601" s="18">
        <f>ROUND(L601/M601, 0)</f>
        <v/>
      </c>
      <c r="O601" s="18">
        <f>ROUND(N601*'Methodology &amp; Assumptions'!$B$8, 0)</f>
        <v/>
      </c>
      <c r="P601" s="8" t="inlineStr">
        <is>
          <t>Band n50 (1.5 GHz, 60 MHz)</t>
        </is>
      </c>
      <c r="Q601" s="38">
        <f>ROUNDUP(O601/'Methodology &amp; Assumptions'!$B$9, 0)</f>
        <v/>
      </c>
      <c r="R601" s="39" t="n">
        <v>1</v>
      </c>
      <c r="S601" s="21" t="n">
        <v>1.02</v>
      </c>
      <c r="T601" s="21" t="n">
        <v>0.33</v>
      </c>
      <c r="U601" s="36" t="inlineStr">
        <is>
          <t>Tier 1B (Micro Drop, 1-3 km)</t>
        </is>
      </c>
      <c r="V601" s="20" t="n">
        <v>81.2</v>
      </c>
      <c r="W601" s="20" t="n">
        <v>100</v>
      </c>
      <c r="X601" s="20" t="n">
        <v>28</v>
      </c>
      <c r="Y601" s="40">
        <f>ROUND((V601*'Methodology &amp; Assumptions'!$B$6)+(W601*'Methodology &amp; Assumptions'!$B$5)+(X601*'Methodology &amp; Assumptions'!$B$7), 2)</f>
        <v/>
      </c>
    </row>
    <row r="602" ht="19" customHeight="1">
      <c r="A602" s="41" t="n">
        <v>598</v>
      </c>
      <c r="B602" s="41" t="n">
        <v>1598</v>
      </c>
      <c r="C602" s="42" t="inlineStr">
        <is>
          <t>0401030004</t>
        </is>
      </c>
      <c r="D602" s="42" t="inlineStr">
        <is>
          <t>Region IV-A (CALABARZON)</t>
        </is>
      </c>
      <c r="E602" s="42" t="inlineStr">
        <is>
          <t>Batangas</t>
        </is>
      </c>
      <c r="F602" s="42" t="inlineStr">
        <is>
          <t>Talisay</t>
        </is>
      </c>
      <c r="G602" s="42" t="inlineStr">
        <is>
          <t>Banga</t>
        </is>
      </c>
      <c r="H602" s="43" t="n">
        <v>14.092417</v>
      </c>
      <c r="I602" s="43" t="n">
        <v>121.012739</v>
      </c>
      <c r="J602" s="44" t="inlineStr">
        <is>
          <t>U</t>
        </is>
      </c>
      <c r="K602" s="42" t="inlineStr">
        <is>
          <t>Class 1-3 / Urban</t>
        </is>
      </c>
      <c r="L602" s="23" t="n">
        <v>4834</v>
      </c>
      <c r="M602" s="24" t="n">
        <v>4.62</v>
      </c>
      <c r="N602" s="23">
        <f>ROUND(L602/M602, 0)</f>
        <v/>
      </c>
      <c r="O602" s="23">
        <f>ROUND(N602*'Methodology &amp; Assumptions'!$B$8, 0)</f>
        <v/>
      </c>
      <c r="P602" s="44" t="inlineStr">
        <is>
          <t>Band n50 (1.5 GHz, 60 MHz)</t>
        </is>
      </c>
      <c r="Q602" s="38">
        <f>ROUNDUP(O602/'Methodology &amp; Assumptions'!$B$9, 0)</f>
        <v/>
      </c>
      <c r="R602" s="39" t="n">
        <v>1</v>
      </c>
      <c r="S602" s="25" t="n">
        <v>0.62</v>
      </c>
      <c r="T602" s="25" t="n">
        <v>5.14</v>
      </c>
      <c r="U602" s="42" t="inlineStr">
        <is>
          <t>Tier 1A (Direct Coloc, &lt;1 km)</t>
        </is>
      </c>
      <c r="V602" s="24" t="n">
        <v>81.2</v>
      </c>
      <c r="W602" s="24" t="n">
        <v>100</v>
      </c>
      <c r="X602" s="24" t="n">
        <v>28</v>
      </c>
      <c r="Y602" s="45">
        <f>ROUND((V602*'Methodology &amp; Assumptions'!$B$6)+(W602*'Methodology &amp; Assumptions'!$B$5)+(X602*'Methodology &amp; Assumptions'!$B$7), 2)</f>
        <v/>
      </c>
    </row>
    <row r="603" ht="19" customHeight="1">
      <c r="A603" s="35" t="n">
        <v>599</v>
      </c>
      <c r="B603" s="35" t="n">
        <v>1599</v>
      </c>
      <c r="C603" s="36" t="inlineStr">
        <is>
          <t>1705204012</t>
        </is>
      </c>
      <c r="D603" s="36" t="inlineStr">
        <is>
          <t>MIMAROPA Region</t>
        </is>
      </c>
      <c r="E603" s="36" t="inlineStr">
        <is>
          <t>Oriental Mindoro</t>
        </is>
      </c>
      <c r="F603" s="36" t="inlineStr">
        <is>
          <t>Bulalacao</t>
        </is>
      </c>
      <c r="G603" s="36" t="inlineStr">
        <is>
          <t>Poblacion</t>
        </is>
      </c>
      <c r="H603" s="37" t="n">
        <v>12.32561</v>
      </c>
      <c r="I603" s="37" t="n">
        <v>121.343063</v>
      </c>
      <c r="J603" s="8" t="inlineStr">
        <is>
          <t>U</t>
        </is>
      </c>
      <c r="K603" s="36" t="inlineStr">
        <is>
          <t>Class 1-3 / Urban</t>
        </is>
      </c>
      <c r="L603" s="18" t="n">
        <v>3805</v>
      </c>
      <c r="M603" s="20" t="n">
        <v>4.41</v>
      </c>
      <c r="N603" s="18">
        <f>ROUND(L603/M603, 0)</f>
        <v/>
      </c>
      <c r="O603" s="18">
        <f>ROUND(N603*'Methodology &amp; Assumptions'!$B$8, 0)</f>
        <v/>
      </c>
      <c r="P603" s="8" t="inlineStr">
        <is>
          <t>Band n50 (1.5 GHz, 60 MHz)</t>
        </is>
      </c>
      <c r="Q603" s="38">
        <f>ROUNDUP(O603/'Methodology &amp; Assumptions'!$B$9, 0)</f>
        <v/>
      </c>
      <c r="R603" s="39" t="n">
        <v>1</v>
      </c>
      <c r="S603" s="21" t="n">
        <v>0.59</v>
      </c>
      <c r="T603" s="21" t="n">
        <v>0.26</v>
      </c>
      <c r="U603" s="36" t="inlineStr">
        <is>
          <t>Tier 1A (Direct Coloc, &lt;1 km)</t>
        </is>
      </c>
      <c r="V603" s="20" t="n">
        <v>92.09999999999999</v>
      </c>
      <c r="W603" s="20" t="n">
        <v>89.09999999999999</v>
      </c>
      <c r="X603" s="20" t="n">
        <v>28</v>
      </c>
      <c r="Y603" s="40">
        <f>ROUND((V603*'Methodology &amp; Assumptions'!$B$6)+(W603*'Methodology &amp; Assumptions'!$B$5)+(X603*'Methodology &amp; Assumptions'!$B$7), 2)</f>
        <v/>
      </c>
    </row>
    <row r="604" ht="19" customHeight="1">
      <c r="A604" s="41" t="n">
        <v>600</v>
      </c>
      <c r="B604" s="41" t="n">
        <v>1600</v>
      </c>
      <c r="C604" s="42" t="inlineStr">
        <is>
          <t>0405646027</t>
        </is>
      </c>
      <c r="D604" s="42" t="inlineStr">
        <is>
          <t>Region IV-A (CALABARZON)</t>
        </is>
      </c>
      <c r="E604" s="42" t="inlineStr">
        <is>
          <t>Quezon</t>
        </is>
      </c>
      <c r="F604" s="42" t="inlineStr">
        <is>
          <t>Tagkawayan</t>
        </is>
      </c>
      <c r="G604" s="42" t="inlineStr">
        <is>
          <t>Munting Parang</t>
        </is>
      </c>
      <c r="H604" s="43" t="n">
        <v>13.966859</v>
      </c>
      <c r="I604" s="43" t="n">
        <v>122.541426</v>
      </c>
      <c r="J604" s="44" t="inlineStr">
        <is>
          <t>R</t>
        </is>
      </c>
      <c r="K604" s="42" t="inlineStr">
        <is>
          <t>Class 1-3 / Urban</t>
        </is>
      </c>
      <c r="L604" s="23" t="n">
        <v>1757</v>
      </c>
      <c r="M604" s="24" t="n">
        <v>4.46</v>
      </c>
      <c r="N604" s="23">
        <f>ROUND(L604/M604, 0)</f>
        <v/>
      </c>
      <c r="O604" s="23">
        <f>ROUND(N604*'Methodology &amp; Assumptions'!$B$8, 0)</f>
        <v/>
      </c>
      <c r="P604" s="44" t="inlineStr">
        <is>
          <t>Band n50 (1.5 GHz, 60 MHz)</t>
        </is>
      </c>
      <c r="Q604" s="38">
        <f>ROUNDUP(O604/'Methodology &amp; Assumptions'!$B$9, 0)</f>
        <v/>
      </c>
      <c r="R604" s="39" t="n">
        <v>1</v>
      </c>
      <c r="S604" s="25" t="n">
        <v>0.15</v>
      </c>
      <c r="T604" s="25" t="n">
        <v>0.08</v>
      </c>
      <c r="U604" s="42" t="inlineStr">
        <is>
          <t>Tier 1A (Direct Coloc, &lt;1 km)</t>
        </is>
      </c>
      <c r="V604" s="24" t="n">
        <v>100</v>
      </c>
      <c r="W604" s="24" t="n">
        <v>55.5</v>
      </c>
      <c r="X604" s="24" t="n">
        <v>58</v>
      </c>
      <c r="Y604" s="45">
        <f>ROUND((V604*'Methodology &amp; Assumptions'!$B$6)+(W604*'Methodology &amp; Assumptions'!$B$5)+(X604*'Methodology &amp; Assumptions'!$B$7), 2)</f>
        <v/>
      </c>
    </row>
    <row r="605" ht="19" customHeight="1">
      <c r="A605" s="35" t="n">
        <v>601</v>
      </c>
      <c r="B605" s="35" t="n">
        <v>1601</v>
      </c>
      <c r="C605" s="36" t="inlineStr">
        <is>
          <t>0301420028</t>
        </is>
      </c>
      <c r="D605" s="36" t="inlineStr">
        <is>
          <t>Region III (Central Luzon)</t>
        </is>
      </c>
      <c r="E605" s="36" t="inlineStr">
        <is>
          <t>Bulacan</t>
        </is>
      </c>
      <c r="F605" s="36" t="inlineStr">
        <is>
          <t>City of San Jose Del Monte</t>
        </is>
      </c>
      <c r="G605" s="36" t="inlineStr">
        <is>
          <t>Francisco Homes-Mulawin</t>
        </is>
      </c>
      <c r="H605" s="37" t="n">
        <v>14.806503</v>
      </c>
      <c r="I605" s="37" t="n">
        <v>121.066889</v>
      </c>
      <c r="J605" s="8" t="inlineStr">
        <is>
          <t>U</t>
        </is>
      </c>
      <c r="K605" s="36" t="inlineStr">
        <is>
          <t>Class 1-3 / Urban</t>
        </is>
      </c>
      <c r="L605" s="18" t="n">
        <v>11226</v>
      </c>
      <c r="M605" s="20" t="n">
        <v>4.1</v>
      </c>
      <c r="N605" s="18">
        <f>ROUND(L605/M605, 0)</f>
        <v/>
      </c>
      <c r="O605" s="18">
        <f>ROUND(N605*'Methodology &amp; Assumptions'!$B$8, 0)</f>
        <v/>
      </c>
      <c r="P605" s="8" t="inlineStr">
        <is>
          <t>Band n50 (1.5 GHz, 60 MHz)</t>
        </is>
      </c>
      <c r="Q605" s="38">
        <f>ROUNDUP(O605/'Methodology &amp; Assumptions'!$B$9, 0)</f>
        <v/>
      </c>
      <c r="R605" s="39" t="n">
        <v>1</v>
      </c>
      <c r="S605" s="21" t="n">
        <v>1.02</v>
      </c>
      <c r="T605" s="21" t="n">
        <v>1.54</v>
      </c>
      <c r="U605" s="36" t="inlineStr">
        <is>
          <t>Tier 1B (Micro Drop, 1-3 km)</t>
        </is>
      </c>
      <c r="V605" s="20" t="n">
        <v>81.2</v>
      </c>
      <c r="W605" s="20" t="n">
        <v>100</v>
      </c>
      <c r="X605" s="20" t="n">
        <v>28</v>
      </c>
      <c r="Y605" s="40">
        <f>ROUND((V605*'Methodology &amp; Assumptions'!$B$6)+(W605*'Methodology &amp; Assumptions'!$B$5)+(X605*'Methodology &amp; Assumptions'!$B$7), 2)</f>
        <v/>
      </c>
    </row>
    <row r="606" ht="19" customHeight="1">
      <c r="A606" s="41" t="n">
        <v>602</v>
      </c>
      <c r="B606" s="41" t="n">
        <v>1602</v>
      </c>
      <c r="C606" s="42" t="inlineStr">
        <is>
          <t>0301422007</t>
        </is>
      </c>
      <c r="D606" s="42" t="inlineStr">
        <is>
          <t>Region III (Central Luzon)</t>
        </is>
      </c>
      <c r="E606" s="42" t="inlineStr">
        <is>
          <t>Bulacan</t>
        </is>
      </c>
      <c r="F606" s="42" t="inlineStr">
        <is>
          <t>San Rafael</t>
        </is>
      </c>
      <c r="G606" s="42" t="inlineStr">
        <is>
          <t>Diliman I</t>
        </is>
      </c>
      <c r="H606" s="43" t="n">
        <v>15.023378</v>
      </c>
      <c r="I606" s="43" t="n">
        <v>120.95338</v>
      </c>
      <c r="J606" s="44" t="inlineStr">
        <is>
          <t>R</t>
        </is>
      </c>
      <c r="K606" s="42" t="inlineStr">
        <is>
          <t>Class 1-3 / Urban</t>
        </is>
      </c>
      <c r="L606" s="23" t="n">
        <v>3634</v>
      </c>
      <c r="M606" s="24" t="n">
        <v>4.1</v>
      </c>
      <c r="N606" s="23">
        <f>ROUND(L606/M606, 0)</f>
        <v/>
      </c>
      <c r="O606" s="23">
        <f>ROUND(N606*'Methodology &amp; Assumptions'!$B$8, 0)</f>
        <v/>
      </c>
      <c r="P606" s="44" t="inlineStr">
        <is>
          <t>Band n50 (1.5 GHz, 60 MHz)</t>
        </is>
      </c>
      <c r="Q606" s="38">
        <f>ROUNDUP(O606/'Methodology &amp; Assumptions'!$B$9, 0)</f>
        <v/>
      </c>
      <c r="R606" s="39" t="n">
        <v>1</v>
      </c>
      <c r="S606" s="25" t="n">
        <v>1.51</v>
      </c>
      <c r="T606" s="25" t="n">
        <v>2.07</v>
      </c>
      <c r="U606" s="42" t="inlineStr">
        <is>
          <t>Tier 1B (Micro Drop, 1-3 km)</t>
        </is>
      </c>
      <c r="V606" s="24" t="n">
        <v>60.5</v>
      </c>
      <c r="W606" s="24" t="n">
        <v>94.90000000000001</v>
      </c>
      <c r="X606" s="24" t="n">
        <v>58</v>
      </c>
      <c r="Y606" s="45">
        <f>ROUND((V606*'Methodology &amp; Assumptions'!$B$6)+(W606*'Methodology &amp; Assumptions'!$B$5)+(X606*'Methodology &amp; Assumptions'!$B$7), 2)</f>
        <v/>
      </c>
    </row>
    <row r="607" ht="19" customHeight="1">
      <c r="A607" s="35" t="n">
        <v>603</v>
      </c>
      <c r="B607" s="35" t="n">
        <v>1603</v>
      </c>
      <c r="C607" s="36" t="inlineStr">
        <is>
          <t>0431200014</t>
        </is>
      </c>
      <c r="D607" s="36" t="inlineStr">
        <is>
          <t>Region IV-A (CALABARZON)</t>
        </is>
      </c>
      <c r="E607" s="36" t="inlineStr">
        <is>
          <t>Quezon</t>
        </is>
      </c>
      <c r="F607" s="36" t="inlineStr">
        <is>
          <t>City of Lucena</t>
        </is>
      </c>
      <c r="G607" s="36" t="inlineStr">
        <is>
          <t>Bocohan</t>
        </is>
      </c>
      <c r="H607" s="37" t="n">
        <v>13.954794</v>
      </c>
      <c r="I607" s="37" t="n">
        <v>121.588507</v>
      </c>
      <c r="J607" s="8" t="inlineStr">
        <is>
          <t>U</t>
        </is>
      </c>
      <c r="K607" s="36" t="inlineStr">
        <is>
          <t>Class 1-3 / Urban</t>
        </is>
      </c>
      <c r="L607" s="18" t="n">
        <v>6362</v>
      </c>
      <c r="M607" s="20" t="n">
        <v>4.46</v>
      </c>
      <c r="N607" s="18">
        <f>ROUND(L607/M607, 0)</f>
        <v/>
      </c>
      <c r="O607" s="18">
        <f>ROUND(N607*'Methodology &amp; Assumptions'!$B$8, 0)</f>
        <v/>
      </c>
      <c r="P607" s="8" t="inlineStr">
        <is>
          <t>Band n50 (1.5 GHz, 60 MHz)</t>
        </is>
      </c>
      <c r="Q607" s="38">
        <f>ROUNDUP(O607/'Methodology &amp; Assumptions'!$B$9, 0)</f>
        <v/>
      </c>
      <c r="R607" s="39" t="n">
        <v>1</v>
      </c>
      <c r="S607" s="21" t="n">
        <v>1.02</v>
      </c>
      <c r="T607" s="21" t="n">
        <v>0.83</v>
      </c>
      <c r="U607" s="36" t="inlineStr">
        <is>
          <t>Tier 1B (Micro Drop, 1-3 km)</t>
        </is>
      </c>
      <c r="V607" s="20" t="n">
        <v>81.09999999999999</v>
      </c>
      <c r="W607" s="20" t="n">
        <v>100</v>
      </c>
      <c r="X607" s="20" t="n">
        <v>28</v>
      </c>
      <c r="Y607" s="40">
        <f>ROUND((V607*'Methodology &amp; Assumptions'!$B$6)+(W607*'Methodology &amp; Assumptions'!$B$5)+(X607*'Methodology &amp; Assumptions'!$B$7), 2)</f>
        <v/>
      </c>
    </row>
    <row r="608" ht="19" customHeight="1">
      <c r="A608" s="41" t="n">
        <v>604</v>
      </c>
      <c r="B608" s="41" t="n">
        <v>1604</v>
      </c>
      <c r="C608" s="42" t="inlineStr">
        <is>
          <t>0600416011</t>
        </is>
      </c>
      <c r="D608" s="42" t="inlineStr">
        <is>
          <t>Region VI (Western Visayas)</t>
        </is>
      </c>
      <c r="E608" s="42" t="inlineStr">
        <is>
          <t>Aklan</t>
        </is>
      </c>
      <c r="F608" s="42" t="inlineStr">
        <is>
          <t>Numancia</t>
        </is>
      </c>
      <c r="G608" s="42" t="inlineStr">
        <is>
          <t>Joyao-joyao</t>
        </is>
      </c>
      <c r="H608" s="43" t="n">
        <v>11.700429</v>
      </c>
      <c r="I608" s="43" t="n">
        <v>122.332717</v>
      </c>
      <c r="J608" s="44" t="inlineStr">
        <is>
          <t>R</t>
        </is>
      </c>
      <c r="K608" s="42" t="inlineStr">
        <is>
          <t>3rd</t>
        </is>
      </c>
      <c r="L608" s="23" t="n">
        <v>2159</v>
      </c>
      <c r="M608" s="24" t="n">
        <v>4.29</v>
      </c>
      <c r="N608" s="23">
        <f>ROUND(L608/M608, 0)</f>
        <v/>
      </c>
      <c r="O608" s="23">
        <f>ROUND(N608*'Methodology &amp; Assumptions'!$B$8, 0)</f>
        <v/>
      </c>
      <c r="P608" s="44" t="inlineStr">
        <is>
          <t>Band n50 (1.5 GHz, 60 MHz)</t>
        </is>
      </c>
      <c r="Q608" s="38">
        <f>ROUNDUP(O608/'Methodology &amp; Assumptions'!$B$9, 0)</f>
        <v/>
      </c>
      <c r="R608" s="39" t="n">
        <v>1</v>
      </c>
      <c r="S608" s="25" t="n">
        <v>0.63</v>
      </c>
      <c r="T608" s="25" t="n">
        <v>0.5</v>
      </c>
      <c r="U608" s="42" t="inlineStr">
        <is>
          <t>Tier 1A (Direct Coloc, &lt;1 km)</t>
        </is>
      </c>
      <c r="V608" s="24" t="n">
        <v>91.09999999999999</v>
      </c>
      <c r="W608" s="24" t="n">
        <v>64.3</v>
      </c>
      <c r="X608" s="24" t="n">
        <v>58</v>
      </c>
      <c r="Y608" s="45">
        <f>ROUND((V608*'Methodology &amp; Assumptions'!$B$6)+(W608*'Methodology &amp; Assumptions'!$B$5)+(X608*'Methodology &amp; Assumptions'!$B$7), 2)</f>
        <v/>
      </c>
    </row>
    <row r="609" ht="19" customHeight="1">
      <c r="A609" s="35" t="n">
        <v>605</v>
      </c>
      <c r="B609" s="35" t="n">
        <v>1605</v>
      </c>
      <c r="C609" s="36" t="inlineStr">
        <is>
          <t>0604524002</t>
        </is>
      </c>
      <c r="D609" s="36" t="inlineStr">
        <is>
          <t>Region VI (Western Visayas)</t>
        </is>
      </c>
      <c r="E609" s="36" t="inlineStr">
        <is>
          <t>Negros Occidental</t>
        </is>
      </c>
      <c r="F609" s="36" t="inlineStr">
        <is>
          <t>City of San Carlos</t>
        </is>
      </c>
      <c r="G609" s="36" t="inlineStr">
        <is>
          <t>Buluangan</t>
        </is>
      </c>
      <c r="H609" s="37" t="n">
        <v>10.385444</v>
      </c>
      <c r="I609" s="37" t="n">
        <v>123.338328</v>
      </c>
      <c r="J609" s="8" t="inlineStr">
        <is>
          <t>U</t>
        </is>
      </c>
      <c r="K609" s="36" t="inlineStr">
        <is>
          <t>Class 1-3 / Urban</t>
        </is>
      </c>
      <c r="L609" s="18" t="n">
        <v>10962</v>
      </c>
      <c r="M609" s="20" t="n">
        <v>4.33</v>
      </c>
      <c r="N609" s="18">
        <f>ROUND(L609/M609, 0)</f>
        <v/>
      </c>
      <c r="O609" s="18">
        <f>ROUND(N609*'Methodology &amp; Assumptions'!$B$8, 0)</f>
        <v/>
      </c>
      <c r="P609" s="8" t="inlineStr">
        <is>
          <t>Band n50 (1.5 GHz, 60 MHz)</t>
        </is>
      </c>
      <c r="Q609" s="38">
        <f>ROUNDUP(O609/'Methodology &amp; Assumptions'!$B$9, 0)</f>
        <v/>
      </c>
      <c r="R609" s="39" t="n">
        <v>1</v>
      </c>
      <c r="S609" s="21" t="n">
        <v>1.02</v>
      </c>
      <c r="T609" s="21" t="n">
        <v>0.22</v>
      </c>
      <c r="U609" s="36" t="inlineStr">
        <is>
          <t>Tier 1B (Micro Drop, 1-3 km)</t>
        </is>
      </c>
      <c r="V609" s="20" t="n">
        <v>81.09999999999999</v>
      </c>
      <c r="W609" s="20" t="n">
        <v>100</v>
      </c>
      <c r="X609" s="20" t="n">
        <v>28</v>
      </c>
      <c r="Y609" s="40">
        <f>ROUND((V609*'Methodology &amp; Assumptions'!$B$6)+(W609*'Methodology &amp; Assumptions'!$B$5)+(X609*'Methodology &amp; Assumptions'!$B$7), 2)</f>
        <v/>
      </c>
    </row>
    <row r="610" ht="19" customHeight="1">
      <c r="A610" s="41" t="n">
        <v>606</v>
      </c>
      <c r="B610" s="41" t="n">
        <v>1606</v>
      </c>
      <c r="C610" s="42" t="inlineStr">
        <is>
          <t>0301403026</t>
        </is>
      </c>
      <c r="D610" s="42" t="inlineStr">
        <is>
          <t>Region III (Central Luzon)</t>
        </is>
      </c>
      <c r="E610" s="42" t="inlineStr">
        <is>
          <t>Bulacan</t>
        </is>
      </c>
      <c r="F610" s="42" t="inlineStr">
        <is>
          <t>Baliuag</t>
        </is>
      </c>
      <c r="G610" s="42" t="inlineStr">
        <is>
          <t>Tiaong</t>
        </is>
      </c>
      <c r="H610" s="43" t="n">
        <v>14.943806</v>
      </c>
      <c r="I610" s="43" t="n">
        <v>120.896428</v>
      </c>
      <c r="J610" s="44" t="inlineStr">
        <is>
          <t>U</t>
        </is>
      </c>
      <c r="K610" s="42" t="inlineStr">
        <is>
          <t>Class 1-3 / Urban</t>
        </is>
      </c>
      <c r="L610" s="23" t="n">
        <v>5861</v>
      </c>
      <c r="M610" s="24" t="n">
        <v>4.1</v>
      </c>
      <c r="N610" s="23">
        <f>ROUND(L610/M610, 0)</f>
        <v/>
      </c>
      <c r="O610" s="23">
        <f>ROUND(N610*'Methodology &amp; Assumptions'!$B$8, 0)</f>
        <v/>
      </c>
      <c r="P610" s="44" t="inlineStr">
        <is>
          <t>Band n50 (1.5 GHz, 60 MHz)</t>
        </is>
      </c>
      <c r="Q610" s="38">
        <f>ROUNDUP(O610/'Methodology &amp; Assumptions'!$B$9, 0)</f>
        <v/>
      </c>
      <c r="R610" s="39" t="n">
        <v>1</v>
      </c>
      <c r="S610" s="25" t="n">
        <v>1.02</v>
      </c>
      <c r="T610" s="25" t="n">
        <v>0.48</v>
      </c>
      <c r="U610" s="42" t="inlineStr">
        <is>
          <t>Tier 1B (Micro Drop, 1-3 km)</t>
        </is>
      </c>
      <c r="V610" s="24" t="n">
        <v>81.09999999999999</v>
      </c>
      <c r="W610" s="24" t="n">
        <v>100</v>
      </c>
      <c r="X610" s="24" t="n">
        <v>28</v>
      </c>
      <c r="Y610" s="45">
        <f>ROUND((V610*'Methodology &amp; Assumptions'!$B$6)+(W610*'Methodology &amp; Assumptions'!$B$5)+(X610*'Methodology &amp; Assumptions'!$B$7), 2)</f>
        <v/>
      </c>
    </row>
    <row r="611" ht="19" customHeight="1">
      <c r="A611" s="35" t="n">
        <v>607</v>
      </c>
      <c r="B611" s="35" t="n">
        <v>1607</v>
      </c>
      <c r="C611" s="36" t="inlineStr">
        <is>
          <t>1705206017</t>
        </is>
      </c>
      <c r="D611" s="36" t="inlineStr">
        <is>
          <t>MIMAROPA Region</t>
        </is>
      </c>
      <c r="E611" s="36" t="inlineStr">
        <is>
          <t>Oriental Mindoro</t>
        </is>
      </c>
      <c r="F611" s="36" t="inlineStr">
        <is>
          <t>Gloria</t>
        </is>
      </c>
      <c r="G611" s="36" t="inlineStr">
        <is>
          <t>Maligaya</t>
        </is>
      </c>
      <c r="H611" s="37" t="n">
        <v>12.97048</v>
      </c>
      <c r="I611" s="37" t="n">
        <v>121.47726</v>
      </c>
      <c r="J611" s="8" t="inlineStr">
        <is>
          <t>R</t>
        </is>
      </c>
      <c r="K611" s="36" t="inlineStr">
        <is>
          <t>Class 1-3 / Urban</t>
        </is>
      </c>
      <c r="L611" s="18" t="n">
        <v>3265</v>
      </c>
      <c r="M611" s="20" t="n">
        <v>4.41</v>
      </c>
      <c r="N611" s="18">
        <f>ROUND(L611/M611, 0)</f>
        <v/>
      </c>
      <c r="O611" s="18">
        <f>ROUND(N611*'Methodology &amp; Assumptions'!$B$8, 0)</f>
        <v/>
      </c>
      <c r="P611" s="8" t="inlineStr">
        <is>
          <t>Band n50 (1.5 GHz, 60 MHz)</t>
        </is>
      </c>
      <c r="Q611" s="38">
        <f>ROUNDUP(O611/'Methodology &amp; Assumptions'!$B$9, 0)</f>
        <v/>
      </c>
      <c r="R611" s="39" t="n">
        <v>1</v>
      </c>
      <c r="S611" s="21" t="n">
        <v>1.24</v>
      </c>
      <c r="T611" s="21" t="n">
        <v>0.09</v>
      </c>
      <c r="U611" s="36" t="inlineStr">
        <is>
          <t>Tier 1B (Micro Drop, 1-3 km)</t>
        </is>
      </c>
      <c r="V611" s="20" t="n">
        <v>76.2</v>
      </c>
      <c r="W611" s="20" t="n">
        <v>79.2</v>
      </c>
      <c r="X611" s="20" t="n">
        <v>58</v>
      </c>
      <c r="Y611" s="40">
        <f>ROUND((V611*'Methodology &amp; Assumptions'!$B$6)+(W611*'Methodology &amp; Assumptions'!$B$5)+(X611*'Methodology &amp; Assumptions'!$B$7), 2)</f>
        <v/>
      </c>
    </row>
    <row r="612" ht="19" customHeight="1">
      <c r="A612" s="41" t="n">
        <v>608</v>
      </c>
      <c r="B612" s="41" t="n">
        <v>1608</v>
      </c>
      <c r="C612" s="42" t="inlineStr">
        <is>
          <t>0403421006</t>
        </is>
      </c>
      <c r="D612" s="42" t="inlineStr">
        <is>
          <t>Region IV-A (CALABARZON)</t>
        </is>
      </c>
      <c r="E612" s="42" t="inlineStr">
        <is>
          <t>Laguna</t>
        </is>
      </c>
      <c r="F612" s="42" t="inlineStr">
        <is>
          <t>Pangil</t>
        </is>
      </c>
      <c r="G612" s="42" t="inlineStr">
        <is>
          <t>Natividad</t>
        </is>
      </c>
      <c r="H612" s="43" t="n">
        <v>14.405767</v>
      </c>
      <c r="I612" s="43" t="n">
        <v>121.470494</v>
      </c>
      <c r="J612" s="44" t="inlineStr">
        <is>
          <t>R</t>
        </is>
      </c>
      <c r="K612" s="42" t="inlineStr">
        <is>
          <t>3rd</t>
        </is>
      </c>
      <c r="L612" s="23" t="n">
        <v>2567</v>
      </c>
      <c r="M612" s="24" t="n">
        <v>4.42</v>
      </c>
      <c r="N612" s="23">
        <f>ROUND(L612/M612, 0)</f>
        <v/>
      </c>
      <c r="O612" s="23">
        <f>ROUND(N612*'Methodology &amp; Assumptions'!$B$8, 0)</f>
        <v/>
      </c>
      <c r="P612" s="44" t="inlineStr">
        <is>
          <t>Band n50 (1.5 GHz, 60 MHz)</t>
        </is>
      </c>
      <c r="Q612" s="38">
        <f>ROUNDUP(O612/'Methodology &amp; Assumptions'!$B$9, 0)</f>
        <v/>
      </c>
      <c r="R612" s="39" t="n">
        <v>1</v>
      </c>
      <c r="S612" s="25" t="n">
        <v>0.86</v>
      </c>
      <c r="T612" s="25" t="n">
        <v>0.03</v>
      </c>
      <c r="U612" s="42" t="inlineStr">
        <is>
          <t>Tier 1A (Direct Coloc, &lt;1 km)</t>
        </is>
      </c>
      <c r="V612" s="24" t="n">
        <v>85</v>
      </c>
      <c r="W612" s="24" t="n">
        <v>70.40000000000001</v>
      </c>
      <c r="X612" s="24" t="n">
        <v>58</v>
      </c>
      <c r="Y612" s="45">
        <f>ROUND((V612*'Methodology &amp; Assumptions'!$B$6)+(W612*'Methodology &amp; Assumptions'!$B$5)+(X612*'Methodology &amp; Assumptions'!$B$7), 2)</f>
        <v/>
      </c>
    </row>
    <row r="613" ht="19" customHeight="1">
      <c r="A613" s="35" t="n">
        <v>609</v>
      </c>
      <c r="B613" s="35" t="n">
        <v>1609</v>
      </c>
      <c r="C613" s="36" t="inlineStr">
        <is>
          <t>0431200024</t>
        </is>
      </c>
      <c r="D613" s="36" t="inlineStr">
        <is>
          <t>Region IV-A (CALABARZON)</t>
        </is>
      </c>
      <c r="E613" s="36" t="inlineStr">
        <is>
          <t>Quezon</t>
        </is>
      </c>
      <c r="F613" s="36" t="inlineStr">
        <is>
          <t>City of Lucena</t>
        </is>
      </c>
      <c r="G613" s="36" t="inlineStr">
        <is>
          <t>Ilayang Iyam</t>
        </is>
      </c>
      <c r="H613" s="37" t="n">
        <v>13.936676</v>
      </c>
      <c r="I613" s="37" t="n">
        <v>121.602779</v>
      </c>
      <c r="J613" s="8" t="inlineStr">
        <is>
          <t>U</t>
        </is>
      </c>
      <c r="K613" s="36" t="inlineStr">
        <is>
          <t>Class 1-3 / Urban</t>
        </is>
      </c>
      <c r="L613" s="18" t="n">
        <v>12170</v>
      </c>
      <c r="M613" s="20" t="n">
        <v>4.46</v>
      </c>
      <c r="N613" s="18">
        <f>ROUND(L613/M613, 0)</f>
        <v/>
      </c>
      <c r="O613" s="18">
        <f>ROUND(N613*'Methodology &amp; Assumptions'!$B$8, 0)</f>
        <v/>
      </c>
      <c r="P613" s="8" t="inlineStr">
        <is>
          <t>Band n50 (1.5 GHz, 60 MHz)</t>
        </is>
      </c>
      <c r="Q613" s="38">
        <f>ROUNDUP(O613/'Methodology &amp; Assumptions'!$B$9, 0)</f>
        <v/>
      </c>
      <c r="R613" s="39" t="n">
        <v>1</v>
      </c>
      <c r="S613" s="21" t="n">
        <v>1.02</v>
      </c>
      <c r="T613" s="21" t="n">
        <v>0.21</v>
      </c>
      <c r="U613" s="36" t="inlineStr">
        <is>
          <t>Tier 1B (Micro Drop, 1-3 km)</t>
        </is>
      </c>
      <c r="V613" s="20" t="n">
        <v>81.09999999999999</v>
      </c>
      <c r="W613" s="20" t="n">
        <v>100</v>
      </c>
      <c r="X613" s="20" t="n">
        <v>28</v>
      </c>
      <c r="Y613" s="40">
        <f>ROUND((V613*'Methodology &amp; Assumptions'!$B$6)+(W613*'Methodology &amp; Assumptions'!$B$5)+(X613*'Methodology &amp; Assumptions'!$B$7), 2)</f>
        <v/>
      </c>
    </row>
    <row r="614" ht="19" customHeight="1">
      <c r="A614" s="41" t="n">
        <v>610</v>
      </c>
      <c r="B614" s="41" t="n">
        <v>1610</v>
      </c>
      <c r="C614" s="42" t="inlineStr">
        <is>
          <t>0402106022</t>
        </is>
      </c>
      <c r="D614" s="42" t="inlineStr">
        <is>
          <t>Region IV-A (CALABARZON)</t>
        </is>
      </c>
      <c r="E614" s="42" t="inlineStr">
        <is>
          <t>Cavite</t>
        </is>
      </c>
      <c r="F614" s="42" t="inlineStr">
        <is>
          <t>City of Dasmariñas</t>
        </is>
      </c>
      <c r="G614" s="42" t="inlineStr">
        <is>
          <t>Fatima I</t>
        </is>
      </c>
      <c r="H614" s="43" t="n">
        <v>14.317896</v>
      </c>
      <c r="I614" s="43" t="n">
        <v>120.96416</v>
      </c>
      <c r="J614" s="44" t="inlineStr">
        <is>
          <t>U</t>
        </is>
      </c>
      <c r="K614" s="42" t="inlineStr">
        <is>
          <t>Class 1-3 / Urban</t>
        </is>
      </c>
      <c r="L614" s="23" t="n">
        <v>6782</v>
      </c>
      <c r="M614" s="24" t="n">
        <v>4.49</v>
      </c>
      <c r="N614" s="23">
        <f>ROUND(L614/M614, 0)</f>
        <v/>
      </c>
      <c r="O614" s="23">
        <f>ROUND(N614*'Methodology &amp; Assumptions'!$B$8, 0)</f>
        <v/>
      </c>
      <c r="P614" s="44" t="inlineStr">
        <is>
          <t>Band n50 (1.5 GHz, 60 MHz)</t>
        </is>
      </c>
      <c r="Q614" s="38">
        <f>ROUNDUP(O614/'Methodology &amp; Assumptions'!$B$9, 0)</f>
        <v/>
      </c>
      <c r="R614" s="39" t="n">
        <v>1</v>
      </c>
      <c r="S614" s="25" t="n">
        <v>0.63</v>
      </c>
      <c r="T614" s="25" t="n">
        <v>2.12</v>
      </c>
      <c r="U614" s="42" t="inlineStr">
        <is>
          <t>Tier 1A (Direct Coloc, &lt;1 km)</t>
        </is>
      </c>
      <c r="V614" s="24" t="n">
        <v>81.09999999999999</v>
      </c>
      <c r="W614" s="24" t="n">
        <v>100</v>
      </c>
      <c r="X614" s="24" t="n">
        <v>28</v>
      </c>
      <c r="Y614" s="45">
        <f>ROUND((V614*'Methodology &amp; Assumptions'!$B$6)+(W614*'Methodology &amp; Assumptions'!$B$5)+(X614*'Methodology &amp; Assumptions'!$B$7), 2)</f>
        <v/>
      </c>
    </row>
    <row r="615" ht="19" customHeight="1">
      <c r="A615" s="35" t="n">
        <v>611</v>
      </c>
      <c r="B615" s="35" t="n">
        <v>1611</v>
      </c>
      <c r="C615" s="36" t="inlineStr">
        <is>
          <t>0105511029</t>
        </is>
      </c>
      <c r="D615" s="36" t="inlineStr">
        <is>
          <t>Region I (Ilocos Region)</t>
        </is>
      </c>
      <c r="E615" s="36" t="inlineStr">
        <is>
          <t>Pangasinan</t>
        </is>
      </c>
      <c r="F615" s="36" t="inlineStr">
        <is>
          <t>Bayambang</t>
        </is>
      </c>
      <c r="G615" s="36" t="inlineStr">
        <is>
          <t>Hermoza</t>
        </is>
      </c>
      <c r="H615" s="37" t="n">
        <v>15.776075</v>
      </c>
      <c r="I615" s="37" t="n">
        <v>120.397083</v>
      </c>
      <c r="J615" s="8" t="inlineStr">
        <is>
          <t>R</t>
        </is>
      </c>
      <c r="K615" s="36" t="inlineStr">
        <is>
          <t>Class 1-3 / Urban</t>
        </is>
      </c>
      <c r="L615" s="18" t="n">
        <v>3570</v>
      </c>
      <c r="M615" s="20" t="n">
        <v>4.39</v>
      </c>
      <c r="N615" s="18">
        <f>ROUND(L615/M615, 0)</f>
        <v/>
      </c>
      <c r="O615" s="18">
        <f>ROUND(N615*'Methodology &amp; Assumptions'!$B$8, 0)</f>
        <v/>
      </c>
      <c r="P615" s="8" t="inlineStr">
        <is>
          <t>Band n50 (1.5 GHz, 60 MHz)</t>
        </is>
      </c>
      <c r="Q615" s="38">
        <f>ROUNDUP(O615/'Methodology &amp; Assumptions'!$B$9, 0)</f>
        <v/>
      </c>
      <c r="R615" s="39" t="n">
        <v>1</v>
      </c>
      <c r="S615" s="21" t="n">
        <v>1.23</v>
      </c>
      <c r="T615" s="21" t="n">
        <v>5.44</v>
      </c>
      <c r="U615" s="36" t="inlineStr">
        <is>
          <t>Tier 1B (Micro Drop, 1-3 km)</t>
        </is>
      </c>
      <c r="V615" s="20" t="n">
        <v>66.3</v>
      </c>
      <c r="W615" s="20" t="n">
        <v>89.09999999999999</v>
      </c>
      <c r="X615" s="20" t="n">
        <v>58</v>
      </c>
      <c r="Y615" s="40">
        <f>ROUND((V615*'Methodology &amp; Assumptions'!$B$6)+(W615*'Methodology &amp; Assumptions'!$B$5)+(X615*'Methodology &amp; Assumptions'!$B$7), 2)</f>
        <v/>
      </c>
    </row>
    <row r="616" ht="19" customHeight="1">
      <c r="A616" s="41" t="n">
        <v>612</v>
      </c>
      <c r="B616" s="41" t="n">
        <v>1612</v>
      </c>
      <c r="C616" s="42" t="inlineStr">
        <is>
          <t>0103311011</t>
        </is>
      </c>
      <c r="D616" s="42" t="inlineStr">
        <is>
          <t>Region I (Ilocos Region)</t>
        </is>
      </c>
      <c r="E616" s="42" t="inlineStr">
        <is>
          <t>La Union</t>
        </is>
      </c>
      <c r="F616" s="42" t="inlineStr">
        <is>
          <t>Naguilian</t>
        </is>
      </c>
      <c r="G616" s="42" t="inlineStr">
        <is>
          <t>Bariquir</t>
        </is>
      </c>
      <c r="H616" s="43" t="n">
        <v>16.533497</v>
      </c>
      <c r="I616" s="43" t="n">
        <v>120.403205</v>
      </c>
      <c r="J616" s="44" t="inlineStr">
        <is>
          <t>R</t>
        </is>
      </c>
      <c r="K616" s="42" t="inlineStr">
        <is>
          <t>Class 1-3 / Urban</t>
        </is>
      </c>
      <c r="L616" s="23" t="n">
        <v>2303</v>
      </c>
      <c r="M616" s="24" t="n">
        <v>4.42</v>
      </c>
      <c r="N616" s="23">
        <f>ROUND(L616/M616, 0)</f>
        <v/>
      </c>
      <c r="O616" s="23">
        <f>ROUND(N616*'Methodology &amp; Assumptions'!$B$8, 0)</f>
        <v/>
      </c>
      <c r="P616" s="44" t="inlineStr">
        <is>
          <t>Band n50 (1.5 GHz, 60 MHz)</t>
        </is>
      </c>
      <c r="Q616" s="38">
        <f>ROUNDUP(O616/'Methodology &amp; Assumptions'!$B$9, 0)</f>
        <v/>
      </c>
      <c r="R616" s="39" t="n">
        <v>1</v>
      </c>
      <c r="S616" s="25" t="n">
        <v>0.68</v>
      </c>
      <c r="T616" s="25" t="n">
        <v>0.64</v>
      </c>
      <c r="U616" s="42" t="inlineStr">
        <is>
          <t>Tier 1A (Direct Coloc, &lt;1 km)</t>
        </is>
      </c>
      <c r="V616" s="24" t="n">
        <v>89.7</v>
      </c>
      <c r="W616" s="24" t="n">
        <v>65.59999999999999</v>
      </c>
      <c r="X616" s="24" t="n">
        <v>58</v>
      </c>
      <c r="Y616" s="45">
        <f>ROUND((V616*'Methodology &amp; Assumptions'!$B$6)+(W616*'Methodology &amp; Assumptions'!$B$5)+(X616*'Methodology &amp; Assumptions'!$B$7), 2)</f>
        <v/>
      </c>
    </row>
    <row r="617" ht="19" customHeight="1">
      <c r="A617" s="35" t="n">
        <v>613</v>
      </c>
      <c r="B617" s="35" t="n">
        <v>1613</v>
      </c>
      <c r="C617" s="36" t="inlineStr">
        <is>
          <t>0403409001</t>
        </is>
      </c>
      <c r="D617" s="36" t="inlineStr">
        <is>
          <t>Region IV-A (CALABARZON)</t>
        </is>
      </c>
      <c r="E617" s="36" t="inlineStr">
        <is>
          <t>Laguna</t>
        </is>
      </c>
      <c r="F617" s="36" t="inlineStr">
        <is>
          <t>Kalayaan</t>
        </is>
      </c>
      <c r="G617" s="36" t="inlineStr">
        <is>
          <t>Longos</t>
        </is>
      </c>
      <c r="H617" s="37" t="n">
        <v>14.34011</v>
      </c>
      <c r="I617" s="37" t="n">
        <v>121.480724</v>
      </c>
      <c r="J617" s="8" t="inlineStr">
        <is>
          <t>U</t>
        </is>
      </c>
      <c r="K617" s="36" t="inlineStr">
        <is>
          <t>Class 1-3 / Urban</t>
        </is>
      </c>
      <c r="L617" s="18" t="n">
        <v>6830</v>
      </c>
      <c r="M617" s="20" t="n">
        <v>4.2</v>
      </c>
      <c r="N617" s="18">
        <f>ROUND(L617/M617, 0)</f>
        <v/>
      </c>
      <c r="O617" s="18">
        <f>ROUND(N617*'Methodology &amp; Assumptions'!$B$8, 0)</f>
        <v/>
      </c>
      <c r="P617" s="8" t="inlineStr">
        <is>
          <t>Band n50 (1.5 GHz, 60 MHz)</t>
        </is>
      </c>
      <c r="Q617" s="38">
        <f>ROUNDUP(O617/'Methodology &amp; Assumptions'!$B$9, 0)</f>
        <v/>
      </c>
      <c r="R617" s="39" t="n">
        <v>1</v>
      </c>
      <c r="S617" s="21" t="n">
        <v>1.03</v>
      </c>
      <c r="T617" s="21" t="n">
        <v>0.23</v>
      </c>
      <c r="U617" s="36" t="inlineStr">
        <is>
          <t>Tier 1B (Micro Drop, 1-3 km)</t>
        </is>
      </c>
      <c r="V617" s="20" t="n">
        <v>81.09999999999999</v>
      </c>
      <c r="W617" s="20" t="n">
        <v>100</v>
      </c>
      <c r="X617" s="20" t="n">
        <v>28</v>
      </c>
      <c r="Y617" s="40">
        <f>ROUND((V617*'Methodology &amp; Assumptions'!$B$6)+(W617*'Methodology &amp; Assumptions'!$B$5)+(X617*'Methodology &amp; Assumptions'!$B$7), 2)</f>
        <v/>
      </c>
    </row>
    <row r="618" ht="19" customHeight="1">
      <c r="A618" s="41" t="n">
        <v>614</v>
      </c>
      <c r="B618" s="41" t="n">
        <v>1614</v>
      </c>
      <c r="C618" s="42" t="inlineStr">
        <is>
          <t>0300804016</t>
        </is>
      </c>
      <c r="D618" s="42" t="inlineStr">
        <is>
          <t>Region III (Central Luzon)</t>
        </is>
      </c>
      <c r="E618" s="42" t="inlineStr">
        <is>
          <t>Bataan</t>
        </is>
      </c>
      <c r="F618" s="42" t="inlineStr">
        <is>
          <t>Dinalupihan</t>
        </is>
      </c>
      <c r="G618" s="42" t="inlineStr">
        <is>
          <t>Luacan</t>
        </is>
      </c>
      <c r="H618" s="43" t="n">
        <v>14.864118</v>
      </c>
      <c r="I618" s="43" t="n">
        <v>120.447495</v>
      </c>
      <c r="J618" s="44" t="inlineStr">
        <is>
          <t>U</t>
        </is>
      </c>
      <c r="K618" s="42" t="inlineStr">
        <is>
          <t>Class 1-3 / Urban</t>
        </is>
      </c>
      <c r="L618" s="23" t="n">
        <v>5953</v>
      </c>
      <c r="M618" s="24" t="n">
        <v>4.57</v>
      </c>
      <c r="N618" s="23">
        <f>ROUND(L618/M618, 0)</f>
        <v/>
      </c>
      <c r="O618" s="23">
        <f>ROUND(N618*'Methodology &amp; Assumptions'!$B$8, 0)</f>
        <v/>
      </c>
      <c r="P618" s="44" t="inlineStr">
        <is>
          <t>Band n50 (1.5 GHz, 60 MHz)</t>
        </is>
      </c>
      <c r="Q618" s="38">
        <f>ROUNDUP(O618/'Methodology &amp; Assumptions'!$B$9, 0)</f>
        <v/>
      </c>
      <c r="R618" s="39" t="n">
        <v>1</v>
      </c>
      <c r="S618" s="25" t="n">
        <v>1.02</v>
      </c>
      <c r="T618" s="25" t="n">
        <v>0.01</v>
      </c>
      <c r="U618" s="42" t="inlineStr">
        <is>
          <t>Tier 1B (Micro Drop, 1-3 km)</t>
        </is>
      </c>
      <c r="V618" s="24" t="n">
        <v>81.09999999999999</v>
      </c>
      <c r="W618" s="24" t="n">
        <v>100</v>
      </c>
      <c r="X618" s="24" t="n">
        <v>28</v>
      </c>
      <c r="Y618" s="45">
        <f>ROUND((V618*'Methodology &amp; Assumptions'!$B$6)+(W618*'Methodology &amp; Assumptions'!$B$5)+(X618*'Methodology &amp; Assumptions'!$B$7), 2)</f>
        <v/>
      </c>
    </row>
    <row r="619" ht="19" customHeight="1">
      <c r="A619" s="35" t="n">
        <v>615</v>
      </c>
      <c r="B619" s="35" t="n">
        <v>1615</v>
      </c>
      <c r="C619" s="36" t="inlineStr">
        <is>
          <t>0500514013</t>
        </is>
      </c>
      <c r="D619" s="36" t="inlineStr">
        <is>
          <t>Region V (Bicol Region)</t>
        </is>
      </c>
      <c r="E619" s="36" t="inlineStr">
        <is>
          <t>Albay</t>
        </is>
      </c>
      <c r="F619" s="36" t="inlineStr">
        <is>
          <t>Polangui</t>
        </is>
      </c>
      <c r="G619" s="36" t="inlineStr">
        <is>
          <t>Centro Occidental</t>
        </is>
      </c>
      <c r="H619" s="37" t="n">
        <v>13.293605</v>
      </c>
      <c r="I619" s="37" t="n">
        <v>123.481638</v>
      </c>
      <c r="J619" s="8" t="inlineStr">
        <is>
          <t>U</t>
        </is>
      </c>
      <c r="K619" s="36" t="inlineStr">
        <is>
          <t>Class 1-3 / Urban</t>
        </is>
      </c>
      <c r="L619" s="18" t="n">
        <v>3324</v>
      </c>
      <c r="M619" s="20" t="n">
        <v>4.67</v>
      </c>
      <c r="N619" s="18">
        <f>ROUND(L619/M619, 0)</f>
        <v/>
      </c>
      <c r="O619" s="18">
        <f>ROUND(N619*'Methodology &amp; Assumptions'!$B$8, 0)</f>
        <v/>
      </c>
      <c r="P619" s="8" t="inlineStr">
        <is>
          <t>Band n50 (1.5 GHz, 60 MHz)</t>
        </is>
      </c>
      <c r="Q619" s="38">
        <f>ROUNDUP(O619/'Methodology &amp; Assumptions'!$B$9, 0)</f>
        <v/>
      </c>
      <c r="R619" s="39" t="n">
        <v>1</v>
      </c>
      <c r="S619" s="21" t="n">
        <v>0.19</v>
      </c>
      <c r="T619" s="21" t="n">
        <v>0.07000000000000001</v>
      </c>
      <c r="U619" s="36" t="inlineStr">
        <is>
          <t>Tier 1A (Direct Coloc, &lt;1 km)</t>
        </is>
      </c>
      <c r="V619" s="20" t="n">
        <v>100</v>
      </c>
      <c r="W619" s="20" t="n">
        <v>81.09999999999999</v>
      </c>
      <c r="X619" s="20" t="n">
        <v>28</v>
      </c>
      <c r="Y619" s="40">
        <f>ROUND((V619*'Methodology &amp; Assumptions'!$B$6)+(W619*'Methodology &amp; Assumptions'!$B$5)+(X619*'Methodology &amp; Assumptions'!$B$7), 2)</f>
        <v/>
      </c>
    </row>
    <row r="620" ht="19" customHeight="1">
      <c r="A620" s="41" t="n">
        <v>616</v>
      </c>
      <c r="B620" s="41" t="n">
        <v>1616</v>
      </c>
      <c r="C620" s="42" t="inlineStr">
        <is>
          <t>0702219014</t>
        </is>
      </c>
      <c r="D620" s="42" t="inlineStr">
        <is>
          <t>Region VII (Central Visayas)</t>
        </is>
      </c>
      <c r="E620" s="42" t="inlineStr">
        <is>
          <t>Cebu</t>
        </is>
      </c>
      <c r="F620" s="42" t="inlineStr">
        <is>
          <t>Consolacion</t>
        </is>
      </c>
      <c r="G620" s="42" t="inlineStr">
        <is>
          <t>Poblacion Oriental</t>
        </is>
      </c>
      <c r="H620" s="43" t="n">
        <v>10.375493</v>
      </c>
      <c r="I620" s="43" t="n">
        <v>123.957111</v>
      </c>
      <c r="J620" s="44" t="inlineStr">
        <is>
          <t>U</t>
        </is>
      </c>
      <c r="K620" s="42" t="inlineStr">
        <is>
          <t>Class 1-3 / Urban</t>
        </is>
      </c>
      <c r="L620" s="23" t="n">
        <v>3147</v>
      </c>
      <c r="M620" s="24" t="n">
        <v>4.42</v>
      </c>
      <c r="N620" s="23">
        <f>ROUND(L620/M620, 0)</f>
        <v/>
      </c>
      <c r="O620" s="23">
        <f>ROUND(N620*'Methodology &amp; Assumptions'!$B$8, 0)</f>
        <v/>
      </c>
      <c r="P620" s="44" t="inlineStr">
        <is>
          <t>Band n50 (1.5 GHz, 60 MHz)</t>
        </is>
      </c>
      <c r="Q620" s="38">
        <f>ROUNDUP(O620/'Methodology &amp; Assumptions'!$B$9, 0)</f>
        <v/>
      </c>
      <c r="R620" s="39" t="n">
        <v>1</v>
      </c>
      <c r="S620" s="25" t="n">
        <v>0.21</v>
      </c>
      <c r="T620" s="25" t="n">
        <v>0.06</v>
      </c>
      <c r="U620" s="42" t="inlineStr">
        <is>
          <t>Tier 1A (Direct Coloc, &lt;1 km)</t>
        </is>
      </c>
      <c r="V620" s="24" t="n">
        <v>100</v>
      </c>
      <c r="W620" s="24" t="n">
        <v>81.09999999999999</v>
      </c>
      <c r="X620" s="24" t="n">
        <v>28</v>
      </c>
      <c r="Y620" s="45">
        <f>ROUND((V620*'Methodology &amp; Assumptions'!$B$6)+(W620*'Methodology &amp; Assumptions'!$B$5)+(X620*'Methodology &amp; Assumptions'!$B$7), 2)</f>
        <v/>
      </c>
    </row>
    <row r="621" ht="19" customHeight="1">
      <c r="A621" s="35" t="n">
        <v>617</v>
      </c>
      <c r="B621" s="35" t="n">
        <v>1617</v>
      </c>
      <c r="C621" s="36" t="inlineStr">
        <is>
          <t>0304903048</t>
        </is>
      </c>
      <c r="D621" s="36" t="inlineStr">
        <is>
          <t>Region III (Central Luzon)</t>
        </is>
      </c>
      <c r="E621" s="36" t="inlineStr">
        <is>
          <t>Nueva Ecija</t>
        </is>
      </c>
      <c r="F621" s="36" t="inlineStr">
        <is>
          <t>City of Cabanatuan</t>
        </is>
      </c>
      <c r="G621" s="36" t="inlineStr">
        <is>
          <t>Macatbong</t>
        </is>
      </c>
      <c r="H621" s="37" t="n">
        <v>15.502234</v>
      </c>
      <c r="I621" s="37" t="n">
        <v>121.078935</v>
      </c>
      <c r="J621" s="8" t="inlineStr">
        <is>
          <t>R</t>
        </is>
      </c>
      <c r="K621" s="36" t="inlineStr">
        <is>
          <t>Class 1-3 / Urban</t>
        </is>
      </c>
      <c r="L621" s="18" t="n">
        <v>3623</v>
      </c>
      <c r="M621" s="20" t="n">
        <v>4.32</v>
      </c>
      <c r="N621" s="18">
        <f>ROUND(L621/M621, 0)</f>
        <v/>
      </c>
      <c r="O621" s="18">
        <f>ROUND(N621*'Methodology &amp; Assumptions'!$B$8, 0)</f>
        <v/>
      </c>
      <c r="P621" s="8" t="inlineStr">
        <is>
          <t>Band n50 (1.5 GHz, 60 MHz)</t>
        </is>
      </c>
      <c r="Q621" s="38">
        <f>ROUNDUP(O621/'Methodology &amp; Assumptions'!$B$9, 0)</f>
        <v/>
      </c>
      <c r="R621" s="39" t="n">
        <v>1</v>
      </c>
      <c r="S621" s="21" t="n">
        <v>1.84</v>
      </c>
      <c r="T621" s="21" t="n">
        <v>1.85</v>
      </c>
      <c r="U621" s="36" t="inlineStr">
        <is>
          <t>Tier 1B (Micro Drop, 1-3 km)</t>
        </is>
      </c>
      <c r="V621" s="20" t="n">
        <v>64.09999999999999</v>
      </c>
      <c r="W621" s="20" t="n">
        <v>91.2</v>
      </c>
      <c r="X621" s="20" t="n">
        <v>58</v>
      </c>
      <c r="Y621" s="40">
        <f>ROUND((V621*'Methodology &amp; Assumptions'!$B$6)+(W621*'Methodology &amp; Assumptions'!$B$5)+(X621*'Methodology &amp; Assumptions'!$B$7), 2)</f>
        <v/>
      </c>
    </row>
    <row r="622" ht="19" customHeight="1">
      <c r="A622" s="41" t="n">
        <v>618</v>
      </c>
      <c r="B622" s="41" t="n">
        <v>1618</v>
      </c>
      <c r="C622" s="42" t="inlineStr">
        <is>
          <t>1130700050</t>
        </is>
      </c>
      <c r="D622" s="42" t="inlineStr">
        <is>
          <t>Region XI (Davao Region)</t>
        </is>
      </c>
      <c r="E622" s="42" t="inlineStr">
        <is>
          <t>Davao del Sur</t>
        </is>
      </c>
      <c r="F622" s="42" t="inlineStr">
        <is>
          <t>City of Davao</t>
        </is>
      </c>
      <c r="G622" s="42" t="inlineStr">
        <is>
          <t>Indangan</t>
        </is>
      </c>
      <c r="H622" s="43" t="n">
        <v>7.167165</v>
      </c>
      <c r="I622" s="43" t="n">
        <v>125.593615</v>
      </c>
      <c r="J622" s="44" t="inlineStr">
        <is>
          <t>U</t>
        </is>
      </c>
      <c r="K622" s="42" t="inlineStr">
        <is>
          <t>Class 1-3 / Urban</t>
        </is>
      </c>
      <c r="L622" s="23" t="n">
        <v>24879</v>
      </c>
      <c r="M622" s="24" t="n">
        <v>4.1</v>
      </c>
      <c r="N622" s="23">
        <f>ROUND(L622/M622, 0)</f>
        <v/>
      </c>
      <c r="O622" s="23">
        <f>ROUND(N622*'Methodology &amp; Assumptions'!$B$8, 0)</f>
        <v/>
      </c>
      <c r="P622" s="44" t="inlineStr">
        <is>
          <t>Band n50 (1.5 GHz, 60 MHz)</t>
        </is>
      </c>
      <c r="Q622" s="38">
        <f>ROUNDUP(O622/'Methodology &amp; Assumptions'!$B$9, 0)</f>
        <v/>
      </c>
      <c r="R622" s="39" t="n">
        <v>1</v>
      </c>
      <c r="S622" s="25" t="n">
        <v>1.03</v>
      </c>
      <c r="T622" s="25" t="n">
        <v>0.06</v>
      </c>
      <c r="U622" s="42" t="inlineStr">
        <is>
          <t>Tier 1B (Micro Drop, 1-3 km)</t>
        </is>
      </c>
      <c r="V622" s="24" t="n">
        <v>81</v>
      </c>
      <c r="W622" s="24" t="n">
        <v>100</v>
      </c>
      <c r="X622" s="24" t="n">
        <v>28</v>
      </c>
      <c r="Y622" s="45">
        <f>ROUND((V622*'Methodology &amp; Assumptions'!$B$6)+(W622*'Methodology &amp; Assumptions'!$B$5)+(X622*'Methodology &amp; Assumptions'!$B$7), 2)</f>
        <v/>
      </c>
    </row>
    <row r="623" ht="19" customHeight="1">
      <c r="A623" s="35" t="n">
        <v>619</v>
      </c>
      <c r="B623" s="35" t="n">
        <v>1619</v>
      </c>
      <c r="C623" s="36" t="inlineStr">
        <is>
          <t>0500503035</t>
        </is>
      </c>
      <c r="D623" s="36" t="inlineStr">
        <is>
          <t>Region V (Bicol Region)</t>
        </is>
      </c>
      <c r="E623" s="36" t="inlineStr">
        <is>
          <t>Albay</t>
        </is>
      </c>
      <c r="F623" s="36" t="inlineStr">
        <is>
          <t>Daraga</t>
        </is>
      </c>
      <c r="G623" s="36" t="inlineStr">
        <is>
          <t>Maroroy</t>
        </is>
      </c>
      <c r="H623" s="37" t="n">
        <v>13.150994</v>
      </c>
      <c r="I623" s="37" t="n">
        <v>123.720338</v>
      </c>
      <c r="J623" s="8" t="inlineStr">
        <is>
          <t>U</t>
        </is>
      </c>
      <c r="K623" s="36" t="inlineStr">
        <is>
          <t>Class 1-3 / Urban</t>
        </is>
      </c>
      <c r="L623" s="18" t="n">
        <v>5425</v>
      </c>
      <c r="M623" s="20" t="n">
        <v>4.67</v>
      </c>
      <c r="N623" s="18">
        <f>ROUND(L623/M623, 0)</f>
        <v/>
      </c>
      <c r="O623" s="18">
        <f>ROUND(N623*'Methodology &amp; Assumptions'!$B$8, 0)</f>
        <v/>
      </c>
      <c r="P623" s="8" t="inlineStr">
        <is>
          <t>Band n50 (1.5 GHz, 60 MHz)</t>
        </is>
      </c>
      <c r="Q623" s="38">
        <f>ROUNDUP(O623/'Methodology &amp; Assumptions'!$B$9, 0)</f>
        <v/>
      </c>
      <c r="R623" s="39" t="n">
        <v>1</v>
      </c>
      <c r="S623" s="21" t="n">
        <v>1.03</v>
      </c>
      <c r="T623" s="21" t="n">
        <v>0.37</v>
      </c>
      <c r="U623" s="36" t="inlineStr">
        <is>
          <t>Tier 1B (Micro Drop, 1-3 km)</t>
        </is>
      </c>
      <c r="V623" s="20" t="n">
        <v>81</v>
      </c>
      <c r="W623" s="20" t="n">
        <v>100</v>
      </c>
      <c r="X623" s="20" t="n">
        <v>28</v>
      </c>
      <c r="Y623" s="40">
        <f>ROUND((V623*'Methodology &amp; Assumptions'!$B$6)+(W623*'Methodology &amp; Assumptions'!$B$5)+(X623*'Methodology &amp; Assumptions'!$B$7), 2)</f>
        <v/>
      </c>
    </row>
    <row r="624" ht="19" customHeight="1">
      <c r="A624" s="41" t="n">
        <v>620</v>
      </c>
      <c r="B624" s="41" t="n">
        <v>1620</v>
      </c>
      <c r="C624" s="42" t="inlineStr">
        <is>
          <t>0500503025</t>
        </is>
      </c>
      <c r="D624" s="42" t="inlineStr">
        <is>
          <t>Region V (Bicol Region)</t>
        </is>
      </c>
      <c r="E624" s="42" t="inlineStr">
        <is>
          <t>Albay</t>
        </is>
      </c>
      <c r="F624" s="42" t="inlineStr">
        <is>
          <t>Daraga</t>
        </is>
      </c>
      <c r="G624" s="42" t="inlineStr">
        <is>
          <t>Kilicao</t>
        </is>
      </c>
      <c r="H624" s="43" t="n">
        <v>13.166492</v>
      </c>
      <c r="I624" s="43" t="n">
        <v>123.721036</v>
      </c>
      <c r="J624" s="44" t="inlineStr">
        <is>
          <t>R</t>
        </is>
      </c>
      <c r="K624" s="42" t="inlineStr">
        <is>
          <t>Class 1-3 / Urban</t>
        </is>
      </c>
      <c r="L624" s="23" t="n">
        <v>4930</v>
      </c>
      <c r="M624" s="24" t="n">
        <v>4.67</v>
      </c>
      <c r="N624" s="23">
        <f>ROUND(L624/M624, 0)</f>
        <v/>
      </c>
      <c r="O624" s="23">
        <f>ROUND(N624*'Methodology &amp; Assumptions'!$B$8, 0)</f>
        <v/>
      </c>
      <c r="P624" s="44" t="inlineStr">
        <is>
          <t>Band n50 (1.5 GHz, 60 MHz)</t>
        </is>
      </c>
      <c r="Q624" s="38">
        <f>ROUNDUP(O624/'Methodology &amp; Assumptions'!$B$9, 0)</f>
        <v/>
      </c>
      <c r="R624" s="39" t="n">
        <v>1</v>
      </c>
      <c r="S624" s="25" t="n">
        <v>2.38</v>
      </c>
      <c r="T624" s="25" t="n">
        <v>1.02</v>
      </c>
      <c r="U624" s="42" t="inlineStr">
        <is>
          <t>Tier 1B (Micro Drop, 1-3 km)</t>
        </is>
      </c>
      <c r="V624" s="24" t="n">
        <v>55.3</v>
      </c>
      <c r="W624" s="24" t="n">
        <v>100</v>
      </c>
      <c r="X624" s="24" t="n">
        <v>58</v>
      </c>
      <c r="Y624" s="45">
        <f>ROUND((V624*'Methodology &amp; Assumptions'!$B$6)+(W624*'Methodology &amp; Assumptions'!$B$5)+(X624*'Methodology &amp; Assumptions'!$B$7), 2)</f>
        <v/>
      </c>
    </row>
    <row r="625" ht="19" customHeight="1">
      <c r="A625" s="35" t="n">
        <v>621</v>
      </c>
      <c r="B625" s="35" t="n">
        <v>1621</v>
      </c>
      <c r="C625" s="36" t="inlineStr">
        <is>
          <t>0401011002</t>
        </is>
      </c>
      <c r="D625" s="36" t="inlineStr">
        <is>
          <t>Region IV-A (CALABARZON)</t>
        </is>
      </c>
      <c r="E625" s="36" t="inlineStr">
        <is>
          <t>Batangas</t>
        </is>
      </c>
      <c r="F625" s="36" t="inlineStr">
        <is>
          <t>Laurel</t>
        </is>
      </c>
      <c r="G625" s="36" t="inlineStr">
        <is>
          <t>Balakilong</t>
        </is>
      </c>
      <c r="H625" s="37" t="n">
        <v>14.066061</v>
      </c>
      <c r="I625" s="37" t="n">
        <v>120.924522</v>
      </c>
      <c r="J625" s="8" t="inlineStr">
        <is>
          <t>R</t>
        </is>
      </c>
      <c r="K625" s="36" t="inlineStr">
        <is>
          <t>Class 1-3 / Urban</t>
        </is>
      </c>
      <c r="L625" s="18" t="n">
        <v>4338</v>
      </c>
      <c r="M625" s="20" t="n">
        <v>4.62</v>
      </c>
      <c r="N625" s="18">
        <f>ROUND(L625/M625, 0)</f>
        <v/>
      </c>
      <c r="O625" s="18">
        <f>ROUND(N625*'Methodology &amp; Assumptions'!$B$8, 0)</f>
        <v/>
      </c>
      <c r="P625" s="8" t="inlineStr">
        <is>
          <t>Band n50 (1.5 GHz, 60 MHz)</t>
        </is>
      </c>
      <c r="Q625" s="38">
        <f>ROUNDUP(O625/'Methodology &amp; Assumptions'!$B$9, 0)</f>
        <v/>
      </c>
      <c r="R625" s="39" t="n">
        <v>1</v>
      </c>
      <c r="S625" s="21" t="n">
        <v>1.74</v>
      </c>
      <c r="T625" s="21" t="n">
        <v>3.02</v>
      </c>
      <c r="U625" s="36" t="inlineStr">
        <is>
          <t>Tier 1B (Micro Drop, 1-3 km)</t>
        </is>
      </c>
      <c r="V625" s="20" t="n">
        <v>56.1</v>
      </c>
      <c r="W625" s="20" t="n">
        <v>99.2</v>
      </c>
      <c r="X625" s="20" t="n">
        <v>58</v>
      </c>
      <c r="Y625" s="40">
        <f>ROUND((V625*'Methodology &amp; Assumptions'!$B$6)+(W625*'Methodology &amp; Assumptions'!$B$5)+(X625*'Methodology &amp; Assumptions'!$B$7), 2)</f>
        <v/>
      </c>
    </row>
    <row r="626" ht="19" customHeight="1">
      <c r="A626" s="41" t="n">
        <v>622</v>
      </c>
      <c r="B626" s="41" t="n">
        <v>1622</v>
      </c>
      <c r="C626" s="42" t="inlineStr">
        <is>
          <t>0405804012</t>
        </is>
      </c>
      <c r="D626" s="42" t="inlineStr">
        <is>
          <t>Region IV-A (CALABARZON)</t>
        </is>
      </c>
      <c r="E626" s="42" t="inlineStr">
        <is>
          <t>Rizal</t>
        </is>
      </c>
      <c r="F626" s="42" t="inlineStr">
        <is>
          <t>Binangonan</t>
        </is>
      </c>
      <c r="G626" s="42" t="inlineStr">
        <is>
          <t>Ithan</t>
        </is>
      </c>
      <c r="H626" s="43" t="n">
        <v>14.432278</v>
      </c>
      <c r="I626" s="43" t="n">
        <v>121.212806</v>
      </c>
      <c r="J626" s="44" t="inlineStr">
        <is>
          <t>R</t>
        </is>
      </c>
      <c r="K626" s="42" t="inlineStr">
        <is>
          <t>Class 1-3 / Urban</t>
        </is>
      </c>
      <c r="L626" s="23" t="n">
        <v>3757</v>
      </c>
      <c r="M626" s="24" t="n">
        <v>4.39</v>
      </c>
      <c r="N626" s="23">
        <f>ROUND(L626/M626, 0)</f>
        <v/>
      </c>
      <c r="O626" s="23">
        <f>ROUND(N626*'Methodology &amp; Assumptions'!$B$8, 0)</f>
        <v/>
      </c>
      <c r="P626" s="44" t="inlineStr">
        <is>
          <t>Band n50 (1.5 GHz, 60 MHz)</t>
        </is>
      </c>
      <c r="Q626" s="38">
        <f>ROUNDUP(O626/'Methodology &amp; Assumptions'!$B$9, 0)</f>
        <v/>
      </c>
      <c r="R626" s="39" t="n">
        <v>1</v>
      </c>
      <c r="S626" s="25" t="n">
        <v>1.4</v>
      </c>
      <c r="T626" s="25" t="n">
        <v>4.54</v>
      </c>
      <c r="U626" s="42" t="inlineStr">
        <is>
          <t>Tier 1B (Micro Drop, 1-3 km)</t>
        </is>
      </c>
      <c r="V626" s="24" t="n">
        <v>62.8</v>
      </c>
      <c r="W626" s="24" t="n">
        <v>92.5</v>
      </c>
      <c r="X626" s="24" t="n">
        <v>58</v>
      </c>
      <c r="Y626" s="45">
        <f>ROUND((V626*'Methodology &amp; Assumptions'!$B$6)+(W626*'Methodology &amp; Assumptions'!$B$5)+(X626*'Methodology &amp; Assumptions'!$B$7), 2)</f>
        <v/>
      </c>
    </row>
    <row r="627" ht="19" customHeight="1">
      <c r="A627" s="35" t="n">
        <v>623</v>
      </c>
      <c r="B627" s="35" t="n">
        <v>1623</v>
      </c>
      <c r="C627" s="36" t="inlineStr">
        <is>
          <t>0201529016</t>
        </is>
      </c>
      <c r="D627" s="36" t="inlineStr">
        <is>
          <t>Region II (Cagayan Valley)</t>
        </is>
      </c>
      <c r="E627" s="36" t="inlineStr">
        <is>
          <t>Cagayan</t>
        </is>
      </c>
      <c r="F627" s="36" t="inlineStr">
        <is>
          <t>Tuguegarao City</t>
        </is>
      </c>
      <c r="G627" s="36" t="inlineStr">
        <is>
          <t>Caggay</t>
        </is>
      </c>
      <c r="H627" s="37" t="n">
        <v>17.6368</v>
      </c>
      <c r="I627" s="37" t="n">
        <v>121.749</v>
      </c>
      <c r="J627" s="8" t="inlineStr">
        <is>
          <t>U</t>
        </is>
      </c>
      <c r="K627" s="36" t="inlineStr">
        <is>
          <t>Class 1-3 / Urban</t>
        </is>
      </c>
      <c r="L627" s="18" t="n">
        <v>8500</v>
      </c>
      <c r="M627" s="20" t="n">
        <v>4.38</v>
      </c>
      <c r="N627" s="18">
        <f>ROUND(L627/M627, 0)</f>
        <v/>
      </c>
      <c r="O627" s="18">
        <f>ROUND(N627*'Methodology &amp; Assumptions'!$B$8, 0)</f>
        <v/>
      </c>
      <c r="P627" s="8" t="inlineStr">
        <is>
          <t>Band n50 (1.5 GHz, 60 MHz)</t>
        </is>
      </c>
      <c r="Q627" s="38">
        <f>ROUNDUP(O627/'Methodology &amp; Assumptions'!$B$9, 0)</f>
        <v/>
      </c>
      <c r="R627" s="39" t="n">
        <v>1</v>
      </c>
      <c r="S627" s="21" t="n">
        <v>1.63</v>
      </c>
      <c r="T627" s="21" t="n">
        <v>0.19</v>
      </c>
      <c r="U627" s="36" t="inlineStr">
        <is>
          <t>Tier 1B (Micro Drop, 1-3 km)</t>
        </is>
      </c>
      <c r="V627" s="20" t="n">
        <v>68.09999999999999</v>
      </c>
      <c r="W627" s="20" t="n">
        <v>100</v>
      </c>
      <c r="X627" s="20" t="n">
        <v>43</v>
      </c>
      <c r="Y627" s="40">
        <f>ROUND((V627*'Methodology &amp; Assumptions'!$B$6)+(W627*'Methodology &amp; Assumptions'!$B$5)+(X627*'Methodology &amp; Assumptions'!$B$7), 2)</f>
        <v/>
      </c>
    </row>
    <row r="628" ht="19" customHeight="1">
      <c r="A628" s="41" t="n">
        <v>624</v>
      </c>
      <c r="B628" s="41" t="n">
        <v>1624</v>
      </c>
      <c r="C628" s="42" t="inlineStr">
        <is>
          <t>0402123005</t>
        </is>
      </c>
      <c r="D628" s="42" t="inlineStr">
        <is>
          <t>Region IV-A (CALABARZON)</t>
        </is>
      </c>
      <c r="E628" s="42" t="inlineStr">
        <is>
          <t>Cavite</t>
        </is>
      </c>
      <c r="F628" s="42" t="inlineStr">
        <is>
          <t>Gen. Mariano Alvarez</t>
        </is>
      </c>
      <c r="G628" s="42" t="inlineStr">
        <is>
          <t>Barangay 4 Poblacion</t>
        </is>
      </c>
      <c r="H628" s="43" t="n">
        <v>14.2972</v>
      </c>
      <c r="I628" s="43" t="n">
        <v>121.008423</v>
      </c>
      <c r="J628" s="44" t="inlineStr">
        <is>
          <t>R</t>
        </is>
      </c>
      <c r="K628" s="42" t="inlineStr">
        <is>
          <t>Class 1-3 / Urban</t>
        </is>
      </c>
      <c r="L628" s="23" t="n">
        <v>4742</v>
      </c>
      <c r="M628" s="24" t="n">
        <v>4.49</v>
      </c>
      <c r="N628" s="23">
        <f>ROUND(L628/M628, 0)</f>
        <v/>
      </c>
      <c r="O628" s="23">
        <f>ROUND(N628*'Methodology &amp; Assumptions'!$B$8, 0)</f>
        <v/>
      </c>
      <c r="P628" s="44" t="inlineStr">
        <is>
          <t>Band n50 (1.5 GHz, 60 MHz)</t>
        </is>
      </c>
      <c r="Q628" s="38">
        <f>ROUNDUP(O628/'Methodology &amp; Assumptions'!$B$9, 0)</f>
        <v/>
      </c>
      <c r="R628" s="39" t="n">
        <v>1</v>
      </c>
      <c r="S628" s="25" t="n">
        <v>1.78</v>
      </c>
      <c r="T628" s="25" t="n">
        <v>4.74</v>
      </c>
      <c r="U628" s="42" t="inlineStr">
        <is>
          <t>Tier 1B (Micro Drop, 1-3 km)</t>
        </is>
      </c>
      <c r="V628" s="24" t="n">
        <v>55.3</v>
      </c>
      <c r="W628" s="24" t="n">
        <v>100</v>
      </c>
      <c r="X628" s="24" t="n">
        <v>58</v>
      </c>
      <c r="Y628" s="45">
        <f>ROUND((V628*'Methodology &amp; Assumptions'!$B$6)+(W628*'Methodology &amp; Assumptions'!$B$5)+(X628*'Methodology &amp; Assumptions'!$B$7), 2)</f>
        <v/>
      </c>
    </row>
    <row r="629" ht="19" customHeight="1">
      <c r="A629" s="35" t="n">
        <v>625</v>
      </c>
      <c r="B629" s="35" t="n">
        <v>1625</v>
      </c>
      <c r="C629" s="36" t="inlineStr">
        <is>
          <t>0405804024</t>
        </is>
      </c>
      <c r="D629" s="36" t="inlineStr">
        <is>
          <t>Region IV-A (CALABARZON)</t>
        </is>
      </c>
      <c r="E629" s="36" t="inlineStr">
        <is>
          <t>Rizal</t>
        </is>
      </c>
      <c r="F629" s="36" t="inlineStr">
        <is>
          <t>Binangonan</t>
        </is>
      </c>
      <c r="G629" s="36" t="inlineStr">
        <is>
          <t>Macamot</t>
        </is>
      </c>
      <c r="H629" s="37" t="n">
        <v>14.483399</v>
      </c>
      <c r="I629" s="37" t="n">
        <v>121.195692</v>
      </c>
      <c r="J629" s="8" t="inlineStr">
        <is>
          <t>U</t>
        </is>
      </c>
      <c r="K629" s="36" t="inlineStr">
        <is>
          <t>Class 1-3 / Urban</t>
        </is>
      </c>
      <c r="L629" s="18" t="n">
        <v>10301</v>
      </c>
      <c r="M629" s="20" t="n">
        <v>4.39</v>
      </c>
      <c r="N629" s="18">
        <f>ROUND(L629/M629, 0)</f>
        <v/>
      </c>
      <c r="O629" s="18">
        <f>ROUND(N629*'Methodology &amp; Assumptions'!$B$8, 0)</f>
        <v/>
      </c>
      <c r="P629" s="8" t="inlineStr">
        <is>
          <t>Band n50 (1.5 GHz, 60 MHz)</t>
        </is>
      </c>
      <c r="Q629" s="38">
        <f>ROUNDUP(O629/'Methodology &amp; Assumptions'!$B$9, 0)</f>
        <v/>
      </c>
      <c r="R629" s="39" t="n">
        <v>1</v>
      </c>
      <c r="S629" s="21" t="n">
        <v>1.03</v>
      </c>
      <c r="T629" s="21" t="n">
        <v>0.9</v>
      </c>
      <c r="U629" s="36" t="inlineStr">
        <is>
          <t>Tier 1B (Micro Drop, 1-3 km)</t>
        </is>
      </c>
      <c r="V629" s="20" t="n">
        <v>81</v>
      </c>
      <c r="W629" s="20" t="n">
        <v>100</v>
      </c>
      <c r="X629" s="20" t="n">
        <v>28</v>
      </c>
      <c r="Y629" s="40">
        <f>ROUND((V629*'Methodology &amp; Assumptions'!$B$6)+(W629*'Methodology &amp; Assumptions'!$B$5)+(X629*'Methodology &amp; Assumptions'!$B$7), 2)</f>
        <v/>
      </c>
    </row>
    <row r="630" ht="19" customHeight="1">
      <c r="A630" s="41" t="n">
        <v>626</v>
      </c>
      <c r="B630" s="41" t="n">
        <v>1626</v>
      </c>
      <c r="C630" s="42" t="inlineStr">
        <is>
          <t>0203108033</t>
        </is>
      </c>
      <c r="D630" s="42" t="inlineStr">
        <is>
          <t>Region II (Cagayan Valley)</t>
        </is>
      </c>
      <c r="E630" s="42" t="inlineStr">
        <is>
          <t>Isabela</t>
        </is>
      </c>
      <c r="F630" s="42" t="inlineStr">
        <is>
          <t>City of Cauayan</t>
        </is>
      </c>
      <c r="G630" s="42" t="inlineStr">
        <is>
          <t>District III</t>
        </is>
      </c>
      <c r="H630" s="43" t="n">
        <v>16.932614</v>
      </c>
      <c r="I630" s="43" t="n">
        <v>121.774681</v>
      </c>
      <c r="J630" s="44" t="inlineStr">
        <is>
          <t>U</t>
        </is>
      </c>
      <c r="K630" s="42" t="inlineStr">
        <is>
          <t>Class 1-3 / Urban</t>
        </is>
      </c>
      <c r="L630" s="23" t="n">
        <v>6263</v>
      </c>
      <c r="M630" s="24" t="n">
        <v>4.3</v>
      </c>
      <c r="N630" s="23">
        <f>ROUND(L630/M630, 0)</f>
        <v/>
      </c>
      <c r="O630" s="23">
        <f>ROUND(N630*'Methodology &amp; Assumptions'!$B$8, 0)</f>
        <v/>
      </c>
      <c r="P630" s="44" t="inlineStr">
        <is>
          <t>Band n50 (1.5 GHz, 60 MHz)</t>
        </is>
      </c>
      <c r="Q630" s="38">
        <f>ROUNDUP(O630/'Methodology &amp; Assumptions'!$B$9, 0)</f>
        <v/>
      </c>
      <c r="R630" s="39" t="n">
        <v>1</v>
      </c>
      <c r="S630" s="25" t="n">
        <v>1.03</v>
      </c>
      <c r="T630" s="25" t="n">
        <v>0.91</v>
      </c>
      <c r="U630" s="42" t="inlineStr">
        <is>
          <t>Tier 1B (Micro Drop, 1-3 km)</t>
        </is>
      </c>
      <c r="V630" s="24" t="n">
        <v>81</v>
      </c>
      <c r="W630" s="24" t="n">
        <v>100</v>
      </c>
      <c r="X630" s="24" t="n">
        <v>28</v>
      </c>
      <c r="Y630" s="45">
        <f>ROUND((V630*'Methodology &amp; Assumptions'!$B$6)+(W630*'Methodology &amp; Assumptions'!$B$5)+(X630*'Methodology &amp; Assumptions'!$B$7), 2)</f>
        <v/>
      </c>
    </row>
    <row r="631" ht="19" customHeight="1">
      <c r="A631" s="35" t="n">
        <v>627</v>
      </c>
      <c r="B631" s="35" t="n">
        <v>1627</v>
      </c>
      <c r="C631" s="36" t="inlineStr">
        <is>
          <t>0702223009</t>
        </is>
      </c>
      <c r="D631" s="36" t="inlineStr">
        <is>
          <t>Region VII (Central Visayas)</t>
        </is>
      </c>
      <c r="E631" s="36" t="inlineStr">
        <is>
          <t>Cebu</t>
        </is>
      </c>
      <c r="F631" s="36" t="inlineStr">
        <is>
          <t>Danao City</t>
        </is>
      </c>
      <c r="G631" s="36" t="inlineStr">
        <is>
          <t>Cambanay</t>
        </is>
      </c>
      <c r="H631" s="37" t="n">
        <v>10.538383</v>
      </c>
      <c r="I631" s="37" t="n">
        <v>124.012526</v>
      </c>
      <c r="J631" s="8" t="inlineStr">
        <is>
          <t>R</t>
        </is>
      </c>
      <c r="K631" s="36" t="inlineStr">
        <is>
          <t>Class 1-3 / Urban</t>
        </is>
      </c>
      <c r="L631" s="18" t="n">
        <v>4320</v>
      </c>
      <c r="M631" s="20" t="n">
        <v>4.42</v>
      </c>
      <c r="N631" s="18">
        <f>ROUND(L631/M631, 0)</f>
        <v/>
      </c>
      <c r="O631" s="18">
        <f>ROUND(N631*'Methodology &amp; Assumptions'!$B$8, 0)</f>
        <v/>
      </c>
      <c r="P631" s="8" t="inlineStr">
        <is>
          <t>Band n50 (1.5 GHz, 60 MHz)</t>
        </is>
      </c>
      <c r="Q631" s="38">
        <f>ROUNDUP(O631/'Methodology &amp; Assumptions'!$B$9, 0)</f>
        <v/>
      </c>
      <c r="R631" s="39" t="n">
        <v>1</v>
      </c>
      <c r="S631" s="21" t="n">
        <v>2.38</v>
      </c>
      <c r="T631" s="21" t="n">
        <v>1.31</v>
      </c>
      <c r="U631" s="36" t="inlineStr">
        <is>
          <t>Tier 1B (Micro Drop, 1-3 km)</t>
        </is>
      </c>
      <c r="V631" s="20" t="n">
        <v>55.2</v>
      </c>
      <c r="W631" s="20" t="n">
        <v>100</v>
      </c>
      <c r="X631" s="20" t="n">
        <v>58</v>
      </c>
      <c r="Y631" s="40">
        <f>ROUND((V631*'Methodology &amp; Assumptions'!$B$6)+(W631*'Methodology &amp; Assumptions'!$B$5)+(X631*'Methodology &amp; Assumptions'!$B$7), 2)</f>
        <v/>
      </c>
    </row>
    <row r="632" ht="19" customHeight="1">
      <c r="A632" s="41" t="n">
        <v>628</v>
      </c>
      <c r="B632" s="41" t="n">
        <v>1628</v>
      </c>
      <c r="C632" s="42" t="inlineStr">
        <is>
          <t>0401005026</t>
        </is>
      </c>
      <c r="D632" s="42" t="inlineStr">
        <is>
          <t>Region IV-A (CALABARZON)</t>
        </is>
      </c>
      <c r="E632" s="42" t="inlineStr">
        <is>
          <t>Batangas</t>
        </is>
      </c>
      <c r="F632" s="42" t="inlineStr">
        <is>
          <t>Batangas City</t>
        </is>
      </c>
      <c r="G632" s="42" t="inlineStr">
        <is>
          <t>Domoclay</t>
        </is>
      </c>
      <c r="H632" s="43" t="n">
        <v>13.7449</v>
      </c>
      <c r="I632" s="43" t="n">
        <v>121.1022</v>
      </c>
      <c r="J632" s="44" t="inlineStr">
        <is>
          <t>R</t>
        </is>
      </c>
      <c r="K632" s="42" t="inlineStr">
        <is>
          <t>Class 1-3 / Urban</t>
        </is>
      </c>
      <c r="L632" s="23" t="n">
        <v>3908</v>
      </c>
      <c r="M632" s="24" t="n">
        <v>4.62</v>
      </c>
      <c r="N632" s="23">
        <f>ROUND(L632/M632, 0)</f>
        <v/>
      </c>
      <c r="O632" s="23">
        <f>ROUND(N632*'Methodology &amp; Assumptions'!$B$8, 0)</f>
        <v/>
      </c>
      <c r="P632" s="44" t="inlineStr">
        <is>
          <t>Band n50 (1.5 GHz, 60 MHz)</t>
        </is>
      </c>
      <c r="Q632" s="38">
        <f>ROUNDUP(O632/'Methodology &amp; Assumptions'!$B$9, 0)</f>
        <v/>
      </c>
      <c r="R632" s="39" t="n">
        <v>1</v>
      </c>
      <c r="S632" s="25" t="n">
        <v>1.36</v>
      </c>
      <c r="T632" s="25" t="n">
        <v>4.42</v>
      </c>
      <c r="U632" s="42" t="inlineStr">
        <is>
          <t>Tier 1B (Micro Drop, 1-3 km)</t>
        </is>
      </c>
      <c r="V632" s="24" t="n">
        <v>63.5</v>
      </c>
      <c r="W632" s="24" t="n">
        <v>91.7</v>
      </c>
      <c r="X632" s="24" t="n">
        <v>58</v>
      </c>
      <c r="Y632" s="45">
        <f>ROUND((V632*'Methodology &amp; Assumptions'!$B$6)+(W632*'Methodology &amp; Assumptions'!$B$5)+(X632*'Methodology &amp; Assumptions'!$B$7), 2)</f>
        <v/>
      </c>
    </row>
    <row r="633" ht="19" customHeight="1">
      <c r="A633" s="35" t="n">
        <v>629</v>
      </c>
      <c r="B633" s="35" t="n">
        <v>1629</v>
      </c>
      <c r="C633" s="36" t="inlineStr">
        <is>
          <t>0402109056</t>
        </is>
      </c>
      <c r="D633" s="36" t="inlineStr">
        <is>
          <t>Region IV-A (CALABARZON)</t>
        </is>
      </c>
      <c r="E633" s="36" t="inlineStr">
        <is>
          <t>Cavite</t>
        </is>
      </c>
      <c r="F633" s="36" t="inlineStr">
        <is>
          <t>City of Imus</t>
        </is>
      </c>
      <c r="G633" s="36" t="inlineStr">
        <is>
          <t>Maharlika</t>
        </is>
      </c>
      <c r="H633" s="37" t="n">
        <v>14.396171</v>
      </c>
      <c r="I633" s="37" t="n">
        <v>120.959524</v>
      </c>
      <c r="J633" s="8" t="inlineStr">
        <is>
          <t>U</t>
        </is>
      </c>
      <c r="K633" s="36" t="inlineStr">
        <is>
          <t>Class 1-3 / Urban</t>
        </is>
      </c>
      <c r="L633" s="18" t="n">
        <v>5786</v>
      </c>
      <c r="M633" s="20" t="n">
        <v>4.49</v>
      </c>
      <c r="N633" s="18">
        <f>ROUND(L633/M633, 0)</f>
        <v/>
      </c>
      <c r="O633" s="18">
        <f>ROUND(N633*'Methodology &amp; Assumptions'!$B$8, 0)</f>
        <v/>
      </c>
      <c r="P633" s="8" t="inlineStr">
        <is>
          <t>Band n50 (1.5 GHz, 60 MHz)</t>
        </is>
      </c>
      <c r="Q633" s="38">
        <f>ROUNDUP(O633/'Methodology &amp; Assumptions'!$B$9, 0)</f>
        <v/>
      </c>
      <c r="R633" s="39" t="n">
        <v>1</v>
      </c>
      <c r="S633" s="21" t="n">
        <v>0.63</v>
      </c>
      <c r="T633" s="21" t="n">
        <v>5.51</v>
      </c>
      <c r="U633" s="36" t="inlineStr">
        <is>
          <t>Tier 1A (Direct Coloc, &lt;1 km)</t>
        </is>
      </c>
      <c r="V633" s="20" t="n">
        <v>80.90000000000001</v>
      </c>
      <c r="W633" s="20" t="n">
        <v>100</v>
      </c>
      <c r="X633" s="20" t="n">
        <v>28</v>
      </c>
      <c r="Y633" s="40">
        <f>ROUND((V633*'Methodology &amp; Assumptions'!$B$6)+(W633*'Methodology &amp; Assumptions'!$B$5)+(X633*'Methodology &amp; Assumptions'!$B$7), 2)</f>
        <v/>
      </c>
    </row>
    <row r="634" ht="19" customHeight="1">
      <c r="A634" s="41" t="n">
        <v>630</v>
      </c>
      <c r="B634" s="41" t="n">
        <v>1630</v>
      </c>
      <c r="C634" s="42" t="inlineStr">
        <is>
          <t>0501710012</t>
        </is>
      </c>
      <c r="D634" s="42" t="inlineStr">
        <is>
          <t>Region V (Bicol Region)</t>
        </is>
      </c>
      <c r="E634" s="42" t="inlineStr">
        <is>
          <t>Camarines Sur</t>
        </is>
      </c>
      <c r="F634" s="42" t="inlineStr">
        <is>
          <t>Canaman</t>
        </is>
      </c>
      <c r="G634" s="42" t="inlineStr">
        <is>
          <t>San Agustin</t>
        </is>
      </c>
      <c r="H634" s="43" t="n">
        <v>13.64564</v>
      </c>
      <c r="I634" s="43" t="n">
        <v>123.183152</v>
      </c>
      <c r="J634" s="44" t="inlineStr">
        <is>
          <t>R</t>
        </is>
      </c>
      <c r="K634" s="42" t="inlineStr">
        <is>
          <t>3rd</t>
        </is>
      </c>
      <c r="L634" s="23" t="n">
        <v>3192</v>
      </c>
      <c r="M634" s="24" t="n">
        <v>4.79</v>
      </c>
      <c r="N634" s="23">
        <f>ROUND(L634/M634, 0)</f>
        <v/>
      </c>
      <c r="O634" s="23">
        <f>ROUND(N634*'Methodology &amp; Assumptions'!$B$8, 0)</f>
        <v/>
      </c>
      <c r="P634" s="44" t="inlineStr">
        <is>
          <t>Band n50 (1.5 GHz, 60 MHz)</t>
        </is>
      </c>
      <c r="Q634" s="38">
        <f>ROUNDUP(O634/'Methodology &amp; Assumptions'!$B$9, 0)</f>
        <v/>
      </c>
      <c r="R634" s="39" t="n">
        <v>1</v>
      </c>
      <c r="S634" s="25" t="n">
        <v>1.16</v>
      </c>
      <c r="T634" s="25" t="n">
        <v>0.09</v>
      </c>
      <c r="U634" s="42" t="inlineStr">
        <is>
          <t>Tier 1B (Micro Drop, 1-3 km)</t>
        </is>
      </c>
      <c r="V634" s="24" t="n">
        <v>77.90000000000001</v>
      </c>
      <c r="W634" s="24" t="n">
        <v>77.3</v>
      </c>
      <c r="X634" s="24" t="n">
        <v>58</v>
      </c>
      <c r="Y634" s="45">
        <f>ROUND((V634*'Methodology &amp; Assumptions'!$B$6)+(W634*'Methodology &amp; Assumptions'!$B$5)+(X634*'Methodology &amp; Assumptions'!$B$7), 2)</f>
        <v/>
      </c>
    </row>
    <row r="635" ht="19" customHeight="1">
      <c r="A635" s="35" t="n">
        <v>631</v>
      </c>
      <c r="B635" s="35" t="n">
        <v>1631</v>
      </c>
      <c r="C635" s="36" t="inlineStr">
        <is>
          <t>0603034028</t>
        </is>
      </c>
      <c r="D635" s="36" t="inlineStr">
        <is>
          <t>Region VI (Western Visayas)</t>
        </is>
      </c>
      <c r="E635" s="36" t="inlineStr">
        <is>
          <t>Iloilo</t>
        </is>
      </c>
      <c r="F635" s="36" t="inlineStr">
        <is>
          <t>Oton</t>
        </is>
      </c>
      <c r="G635" s="36" t="inlineStr">
        <is>
          <t>San Antonio</t>
        </is>
      </c>
      <c r="H635" s="37" t="n">
        <v>10.692527</v>
      </c>
      <c r="I635" s="37" t="n">
        <v>122.487389</v>
      </c>
      <c r="J635" s="8" t="inlineStr">
        <is>
          <t>R</t>
        </is>
      </c>
      <c r="K635" s="36" t="inlineStr">
        <is>
          <t>Class 1-3 / Urban</t>
        </is>
      </c>
      <c r="L635" s="18" t="n">
        <v>2435</v>
      </c>
      <c r="M635" s="20" t="n">
        <v>4.39</v>
      </c>
      <c r="N635" s="18">
        <f>ROUND(L635/M635, 0)</f>
        <v/>
      </c>
      <c r="O635" s="18">
        <f>ROUND(N635*'Methodology &amp; Assumptions'!$B$8, 0)</f>
        <v/>
      </c>
      <c r="P635" s="8" t="inlineStr">
        <is>
          <t>Band n50 (1.5 GHz, 60 MHz)</t>
        </is>
      </c>
      <c r="Q635" s="38">
        <f>ROUNDUP(O635/'Methodology &amp; Assumptions'!$B$9, 0)</f>
        <v/>
      </c>
      <c r="R635" s="39" t="n">
        <v>1</v>
      </c>
      <c r="S635" s="21" t="n">
        <v>0.79</v>
      </c>
      <c r="T635" s="21" t="n">
        <v>0.25</v>
      </c>
      <c r="U635" s="36" t="inlineStr">
        <is>
          <t>Tier 1A (Direct Coloc, &lt;1 km)</t>
        </is>
      </c>
      <c r="V635" s="20" t="n">
        <v>86.90000000000001</v>
      </c>
      <c r="W635" s="20" t="n">
        <v>68.3</v>
      </c>
      <c r="X635" s="20" t="n">
        <v>58</v>
      </c>
      <c r="Y635" s="40">
        <f>ROUND((V635*'Methodology &amp; Assumptions'!$B$6)+(W635*'Methodology &amp; Assumptions'!$B$5)+(X635*'Methodology &amp; Assumptions'!$B$7), 2)</f>
        <v/>
      </c>
    </row>
    <row r="636" ht="19" customHeight="1">
      <c r="A636" s="41" t="n">
        <v>632</v>
      </c>
      <c r="B636" s="41" t="n">
        <v>1632</v>
      </c>
      <c r="C636" s="42" t="inlineStr">
        <is>
          <t>0105538011</t>
        </is>
      </c>
      <c r="D636" s="42" t="inlineStr">
        <is>
          <t>Region I (Ilocos Region)</t>
        </is>
      </c>
      <c r="E636" s="42" t="inlineStr">
        <is>
          <t>Pangasinan</t>
        </is>
      </c>
      <c r="F636" s="42" t="inlineStr">
        <is>
          <t>Santa Barbara</t>
        </is>
      </c>
      <c r="G636" s="42" t="inlineStr">
        <is>
          <t>Leet</t>
        </is>
      </c>
      <c r="H636" s="43" t="n">
        <v>15.990402</v>
      </c>
      <c r="I636" s="43" t="n">
        <v>120.466253</v>
      </c>
      <c r="J636" s="44" t="inlineStr">
        <is>
          <t>U</t>
        </is>
      </c>
      <c r="K636" s="42" t="inlineStr">
        <is>
          <t>Class 1-3 / Urban</t>
        </is>
      </c>
      <c r="L636" s="23" t="n">
        <v>7275</v>
      </c>
      <c r="M636" s="24" t="n">
        <v>4.39</v>
      </c>
      <c r="N636" s="23">
        <f>ROUND(L636/M636, 0)</f>
        <v/>
      </c>
      <c r="O636" s="23">
        <f>ROUND(N636*'Methodology &amp; Assumptions'!$B$8, 0)</f>
        <v/>
      </c>
      <c r="P636" s="44" t="inlineStr">
        <is>
          <t>Band n50 (1.5 GHz, 60 MHz)</t>
        </is>
      </c>
      <c r="Q636" s="38">
        <f>ROUNDUP(O636/'Methodology &amp; Assumptions'!$B$9, 0)</f>
        <v/>
      </c>
      <c r="R636" s="39" t="n">
        <v>1</v>
      </c>
      <c r="S636" s="25" t="n">
        <v>1.03</v>
      </c>
      <c r="T636" s="25" t="n">
        <v>0.9399999999999999</v>
      </c>
      <c r="U636" s="42" t="inlineStr">
        <is>
          <t>Tier 1B (Micro Drop, 1-3 km)</t>
        </is>
      </c>
      <c r="V636" s="24" t="n">
        <v>80.90000000000001</v>
      </c>
      <c r="W636" s="24" t="n">
        <v>100</v>
      </c>
      <c r="X636" s="24" t="n">
        <v>28</v>
      </c>
      <c r="Y636" s="45">
        <f>ROUND((V636*'Methodology &amp; Assumptions'!$B$6)+(W636*'Methodology &amp; Assumptions'!$B$5)+(X636*'Methodology &amp; Assumptions'!$B$7), 2)</f>
        <v/>
      </c>
    </row>
    <row r="637" ht="19" customHeight="1">
      <c r="A637" s="35" t="n">
        <v>633</v>
      </c>
      <c r="B637" s="35" t="n">
        <v>1633</v>
      </c>
      <c r="C637" s="36" t="inlineStr">
        <is>
          <t>0300809008</t>
        </is>
      </c>
      <c r="D637" s="36" t="inlineStr">
        <is>
          <t>Region III (Central Luzon)</t>
        </is>
      </c>
      <c r="E637" s="36" t="inlineStr">
        <is>
          <t>Bataan</t>
        </is>
      </c>
      <c r="F637" s="36" t="inlineStr">
        <is>
          <t>Orani</t>
        </is>
      </c>
      <c r="G637" s="36" t="inlineStr">
        <is>
          <t>Kaparangan</t>
        </is>
      </c>
      <c r="H637" s="37" t="n">
        <v>14.792652</v>
      </c>
      <c r="I637" s="37" t="n">
        <v>120.539556</v>
      </c>
      <c r="J637" s="8" t="inlineStr">
        <is>
          <t>R</t>
        </is>
      </c>
      <c r="K637" s="36" t="inlineStr">
        <is>
          <t>Class 1-3 / Urban</t>
        </is>
      </c>
      <c r="L637" s="18" t="n">
        <v>2975</v>
      </c>
      <c r="M637" s="20" t="n">
        <v>4.57</v>
      </c>
      <c r="N637" s="18">
        <f>ROUND(L637/M637, 0)</f>
        <v/>
      </c>
      <c r="O637" s="18">
        <f>ROUND(N637*'Methodology &amp; Assumptions'!$B$8, 0)</f>
        <v/>
      </c>
      <c r="P637" s="8" t="inlineStr">
        <is>
          <t>Band n50 (1.5 GHz, 60 MHz)</t>
        </is>
      </c>
      <c r="Q637" s="38">
        <f>ROUNDUP(O637/'Methodology &amp; Assumptions'!$B$9, 0)</f>
        <v/>
      </c>
      <c r="R637" s="39" t="n">
        <v>1</v>
      </c>
      <c r="S637" s="21" t="n">
        <v>1.11</v>
      </c>
      <c r="T637" s="21" t="n">
        <v>0.18</v>
      </c>
      <c r="U637" s="36" t="inlineStr">
        <is>
          <t>Tier 1B (Micro Drop, 1-3 km)</t>
        </is>
      </c>
      <c r="V637" s="20" t="n">
        <v>79.2</v>
      </c>
      <c r="W637" s="20" t="n">
        <v>76</v>
      </c>
      <c r="X637" s="20" t="n">
        <v>58</v>
      </c>
      <c r="Y637" s="40">
        <f>ROUND((V637*'Methodology &amp; Assumptions'!$B$6)+(W637*'Methodology &amp; Assumptions'!$B$5)+(X637*'Methodology &amp; Assumptions'!$B$7), 2)</f>
        <v/>
      </c>
    </row>
    <row r="638" ht="19" customHeight="1">
      <c r="A638" s="41" t="n">
        <v>634</v>
      </c>
      <c r="B638" s="41" t="n">
        <v>1634</v>
      </c>
      <c r="C638" s="42" t="inlineStr">
        <is>
          <t>0301423019</t>
        </is>
      </c>
      <c r="D638" s="42" t="inlineStr">
        <is>
          <t>Region III (Central Luzon)</t>
        </is>
      </c>
      <c r="E638" s="42" t="inlineStr">
        <is>
          <t>Bulacan</t>
        </is>
      </c>
      <c r="F638" s="42" t="inlineStr">
        <is>
          <t>Santa Maria</t>
        </is>
      </c>
      <c r="G638" s="42" t="inlineStr">
        <is>
          <t>San Jose Patag</t>
        </is>
      </c>
      <c r="H638" s="43" t="n">
        <v>14.824749</v>
      </c>
      <c r="I638" s="43" t="n">
        <v>120.980119</v>
      </c>
      <c r="J638" s="44" t="inlineStr">
        <is>
          <t>U</t>
        </is>
      </c>
      <c r="K638" s="42" t="inlineStr">
        <is>
          <t>Class 1-3 / Urban</t>
        </is>
      </c>
      <c r="L638" s="23" t="n">
        <v>13985</v>
      </c>
      <c r="M638" s="24" t="n">
        <v>4.1</v>
      </c>
      <c r="N638" s="23">
        <f>ROUND(L638/M638, 0)</f>
        <v/>
      </c>
      <c r="O638" s="23">
        <f>ROUND(N638*'Methodology &amp; Assumptions'!$B$8, 0)</f>
        <v/>
      </c>
      <c r="P638" s="44" t="inlineStr">
        <is>
          <t>Band n50 (1.5 GHz, 60 MHz)</t>
        </is>
      </c>
      <c r="Q638" s="38">
        <f>ROUNDUP(O638/'Methodology &amp; Assumptions'!$B$9, 0)</f>
        <v/>
      </c>
      <c r="R638" s="39" t="n">
        <v>1</v>
      </c>
      <c r="S638" s="25" t="n">
        <v>1.03</v>
      </c>
      <c r="T638" s="25" t="n">
        <v>1.06</v>
      </c>
      <c r="U638" s="42" t="inlineStr">
        <is>
          <t>Tier 1B (Micro Drop, 1-3 km)</t>
        </is>
      </c>
      <c r="V638" s="24" t="n">
        <v>80.90000000000001</v>
      </c>
      <c r="W638" s="24" t="n">
        <v>100</v>
      </c>
      <c r="X638" s="24" t="n">
        <v>28</v>
      </c>
      <c r="Y638" s="45">
        <f>ROUND((V638*'Methodology &amp; Assumptions'!$B$6)+(W638*'Methodology &amp; Assumptions'!$B$5)+(X638*'Methodology &amp; Assumptions'!$B$7), 2)</f>
        <v/>
      </c>
    </row>
    <row r="639" ht="19" customHeight="1">
      <c r="A639" s="35" t="n">
        <v>635</v>
      </c>
      <c r="B639" s="35" t="n">
        <v>1635</v>
      </c>
      <c r="C639" s="36" t="inlineStr">
        <is>
          <t>0704604001</t>
        </is>
      </c>
      <c r="D639" s="36" t="inlineStr">
        <is>
          <t>Region VII (Central Visayas)</t>
        </is>
      </c>
      <c r="E639" s="36" t="inlineStr">
        <is>
          <t>Negros Oriental</t>
        </is>
      </c>
      <c r="F639" s="36" t="inlineStr">
        <is>
          <t>City of Bais</t>
        </is>
      </c>
      <c r="G639" s="36" t="inlineStr">
        <is>
          <t>Barangay I</t>
        </is>
      </c>
      <c r="H639" s="37" t="n">
        <v>9.59083</v>
      </c>
      <c r="I639" s="37" t="n">
        <v>123.11807</v>
      </c>
      <c r="J639" s="8" t="inlineStr">
        <is>
          <t>U</t>
        </is>
      </c>
      <c r="K639" s="36" t="inlineStr">
        <is>
          <t>Class 1-3 / Urban</t>
        </is>
      </c>
      <c r="L639" s="18" t="n">
        <v>3478</v>
      </c>
      <c r="M639" s="20" t="n">
        <v>4.33</v>
      </c>
      <c r="N639" s="18">
        <f>ROUND(L639/M639, 0)</f>
        <v/>
      </c>
      <c r="O639" s="18">
        <f>ROUND(N639*'Methodology &amp; Assumptions'!$B$8, 0)</f>
        <v/>
      </c>
      <c r="P639" s="8" t="inlineStr">
        <is>
          <t>Band n50 (1.5 GHz, 60 MHz)</t>
        </is>
      </c>
      <c r="Q639" s="38">
        <f>ROUNDUP(O639/'Methodology &amp; Assumptions'!$B$9, 0)</f>
        <v/>
      </c>
      <c r="R639" s="39" t="n">
        <v>1</v>
      </c>
      <c r="S639" s="21" t="n">
        <v>0.57</v>
      </c>
      <c r="T639" s="21" t="n">
        <v>0.32</v>
      </c>
      <c r="U639" s="36" t="inlineStr">
        <is>
          <t>Tier 1A (Direct Coloc, &lt;1 km)</t>
        </is>
      </c>
      <c r="V639" s="20" t="n">
        <v>92.59999999999999</v>
      </c>
      <c r="W639" s="20" t="n">
        <v>88.3</v>
      </c>
      <c r="X639" s="20" t="n">
        <v>28</v>
      </c>
      <c r="Y639" s="40">
        <f>ROUND((V639*'Methodology &amp; Assumptions'!$B$6)+(W639*'Methodology &amp; Assumptions'!$B$5)+(X639*'Methodology &amp; Assumptions'!$B$7), 2)</f>
        <v/>
      </c>
    </row>
    <row r="640" ht="19" customHeight="1">
      <c r="A640" s="41" t="n">
        <v>636</v>
      </c>
      <c r="B640" s="41" t="n">
        <v>1636</v>
      </c>
      <c r="C640" s="42" t="inlineStr">
        <is>
          <t>0307111007</t>
        </is>
      </c>
      <c r="D640" s="42" t="inlineStr">
        <is>
          <t>Region III (Central Luzon)</t>
        </is>
      </c>
      <c r="E640" s="42" t="inlineStr">
        <is>
          <t>Zambales</t>
        </is>
      </c>
      <c r="F640" s="42" t="inlineStr">
        <is>
          <t>San Marcelino</t>
        </is>
      </c>
      <c r="G640" s="42" t="inlineStr">
        <is>
          <t>Laoag</t>
        </is>
      </c>
      <c r="H640" s="43" t="n">
        <v>14.976099</v>
      </c>
      <c r="I640" s="43" t="n">
        <v>120.167424</v>
      </c>
      <c r="J640" s="44" t="inlineStr">
        <is>
          <t>R</t>
        </is>
      </c>
      <c r="K640" s="42" t="inlineStr">
        <is>
          <t>Class 1-3 / Urban</t>
        </is>
      </c>
      <c r="L640" s="23" t="n">
        <v>3210</v>
      </c>
      <c r="M640" s="24" t="n">
        <v>4.05</v>
      </c>
      <c r="N640" s="23">
        <f>ROUND(L640/M640, 0)</f>
        <v/>
      </c>
      <c r="O640" s="23">
        <f>ROUND(N640*'Methodology &amp; Assumptions'!$B$8, 0)</f>
        <v/>
      </c>
      <c r="P640" s="44" t="inlineStr">
        <is>
          <t>Band n50 (1.5 GHz, 60 MHz)</t>
        </is>
      </c>
      <c r="Q640" s="38">
        <f>ROUNDUP(O640/'Methodology &amp; Assumptions'!$B$9, 0)</f>
        <v/>
      </c>
      <c r="R640" s="39" t="n">
        <v>1</v>
      </c>
      <c r="S640" s="25" t="n">
        <v>1.65</v>
      </c>
      <c r="T640" s="25" t="n">
        <v>1.29</v>
      </c>
      <c r="U640" s="42" t="inlineStr">
        <is>
          <t>Tier 1B (Micro Drop, 1-3 km)</t>
        </is>
      </c>
      <c r="V640" s="24" t="n">
        <v>67.7</v>
      </c>
      <c r="W640" s="24" t="n">
        <v>87.5</v>
      </c>
      <c r="X640" s="24" t="n">
        <v>58</v>
      </c>
      <c r="Y640" s="45">
        <f>ROUND((V640*'Methodology &amp; Assumptions'!$B$6)+(W640*'Methodology &amp; Assumptions'!$B$5)+(X640*'Methodology &amp; Assumptions'!$B$7), 2)</f>
        <v/>
      </c>
    </row>
    <row r="641" ht="19" customHeight="1">
      <c r="A641" s="35" t="n">
        <v>637</v>
      </c>
      <c r="B641" s="35" t="n">
        <v>1637</v>
      </c>
      <c r="C641" s="36" t="inlineStr">
        <is>
          <t>0402123013</t>
        </is>
      </c>
      <c r="D641" s="36" t="inlineStr">
        <is>
          <t>Region IV-A (CALABARZON)</t>
        </is>
      </c>
      <c r="E641" s="36" t="inlineStr">
        <is>
          <t>Cavite</t>
        </is>
      </c>
      <c r="F641" s="36" t="inlineStr">
        <is>
          <t>Gen. Mariano Alvarez</t>
        </is>
      </c>
      <c r="G641" s="36" t="inlineStr">
        <is>
          <t>Gavino Maderan</t>
        </is>
      </c>
      <c r="H641" s="37" t="n">
        <v>14.288161</v>
      </c>
      <c r="I641" s="37" t="n">
        <v>121.001546</v>
      </c>
      <c r="J641" s="8" t="inlineStr">
        <is>
          <t>U</t>
        </is>
      </c>
      <c r="K641" s="36" t="inlineStr">
        <is>
          <t>Class 1-3 / Urban</t>
        </is>
      </c>
      <c r="L641" s="18" t="n">
        <v>8599</v>
      </c>
      <c r="M641" s="20" t="n">
        <v>4.49</v>
      </c>
      <c r="N641" s="18">
        <f>ROUND(L641/M641, 0)</f>
        <v/>
      </c>
      <c r="O641" s="18">
        <f>ROUND(N641*'Methodology &amp; Assumptions'!$B$8, 0)</f>
        <v/>
      </c>
      <c r="P641" s="8" t="inlineStr">
        <is>
          <t>Band n50 (1.5 GHz, 60 MHz)</t>
        </is>
      </c>
      <c r="Q641" s="38">
        <f>ROUNDUP(O641/'Methodology &amp; Assumptions'!$B$9, 0)</f>
        <v/>
      </c>
      <c r="R641" s="39" t="n">
        <v>1</v>
      </c>
      <c r="S641" s="21" t="n">
        <v>0.64</v>
      </c>
      <c r="T641" s="21" t="n">
        <v>4.15</v>
      </c>
      <c r="U641" s="36" t="inlineStr">
        <is>
          <t>Tier 1A (Direct Coloc, &lt;1 km)</t>
        </is>
      </c>
      <c r="V641" s="20" t="n">
        <v>80.90000000000001</v>
      </c>
      <c r="W641" s="20" t="n">
        <v>100</v>
      </c>
      <c r="X641" s="20" t="n">
        <v>28</v>
      </c>
      <c r="Y641" s="40">
        <f>ROUND((V641*'Methodology &amp; Assumptions'!$B$6)+(W641*'Methodology &amp; Assumptions'!$B$5)+(X641*'Methodology &amp; Assumptions'!$B$7), 2)</f>
        <v/>
      </c>
    </row>
    <row r="642" ht="19" customHeight="1">
      <c r="A642" s="41" t="n">
        <v>638</v>
      </c>
      <c r="B642" s="41" t="n">
        <v>1638</v>
      </c>
      <c r="C642" s="42" t="inlineStr">
        <is>
          <t>0603023020</t>
        </is>
      </c>
      <c r="D642" s="42" t="inlineStr">
        <is>
          <t>Region VI (Western Visayas)</t>
        </is>
      </c>
      <c r="E642" s="42" t="inlineStr">
        <is>
          <t>Iloilo</t>
        </is>
      </c>
      <c r="F642" s="42" t="inlineStr">
        <is>
          <t>Janiuay</t>
        </is>
      </c>
      <c r="G642" s="42" t="inlineStr">
        <is>
          <t>Damo-ong</t>
        </is>
      </c>
      <c r="H642" s="43" t="n">
        <v>10.942928</v>
      </c>
      <c r="I642" s="43" t="n">
        <v>122.516743</v>
      </c>
      <c r="J642" s="44" t="inlineStr">
        <is>
          <t>R</t>
        </is>
      </c>
      <c r="K642" s="42" t="inlineStr">
        <is>
          <t>Class 1-3 / Urban</t>
        </is>
      </c>
      <c r="L642" s="23" t="n">
        <v>1967</v>
      </c>
      <c r="M642" s="24" t="n">
        <v>4.39</v>
      </c>
      <c r="N642" s="23">
        <f>ROUND(L642/M642, 0)</f>
        <v/>
      </c>
      <c r="O642" s="23">
        <f>ROUND(N642*'Methodology &amp; Assumptions'!$B$8, 0)</f>
        <v/>
      </c>
      <c r="P642" s="44" t="inlineStr">
        <is>
          <t>Band n50 (1.5 GHz, 60 MHz)</t>
        </is>
      </c>
      <c r="Q642" s="38">
        <f>ROUNDUP(O642/'Methodology &amp; Assumptions'!$B$9, 0)</f>
        <v/>
      </c>
      <c r="R642" s="39" t="n">
        <v>1</v>
      </c>
      <c r="S642" s="25" t="n">
        <v>0.47</v>
      </c>
      <c r="T642" s="25" t="n">
        <v>0.26</v>
      </c>
      <c r="U642" s="42" t="inlineStr">
        <is>
          <t>Tier 1A (Direct Coloc, &lt;1 km)</t>
        </is>
      </c>
      <c r="V642" s="24" t="n">
        <v>95.40000000000001</v>
      </c>
      <c r="W642" s="24" t="n">
        <v>59.7</v>
      </c>
      <c r="X642" s="24" t="n">
        <v>58</v>
      </c>
      <c r="Y642" s="45">
        <f>ROUND((V642*'Methodology &amp; Assumptions'!$B$6)+(W642*'Methodology &amp; Assumptions'!$B$5)+(X642*'Methodology &amp; Assumptions'!$B$7), 2)</f>
        <v/>
      </c>
    </row>
    <row r="643" ht="19" customHeight="1">
      <c r="A643" s="35" t="n">
        <v>639</v>
      </c>
      <c r="B643" s="35" t="n">
        <v>1639</v>
      </c>
      <c r="C643" s="36" t="inlineStr">
        <is>
          <t>0403422017</t>
        </is>
      </c>
      <c r="D643" s="36" t="inlineStr">
        <is>
          <t>Region IV-A (CALABARZON)</t>
        </is>
      </c>
      <c r="E643" s="36" t="inlineStr">
        <is>
          <t>Laguna</t>
        </is>
      </c>
      <c r="F643" s="36" t="inlineStr">
        <is>
          <t>Pila</t>
        </is>
      </c>
      <c r="G643" s="36" t="inlineStr">
        <is>
          <t>Santa Clara Sur</t>
        </is>
      </c>
      <c r="H643" s="37" t="n">
        <v>14.227764</v>
      </c>
      <c r="I643" s="37" t="n">
        <v>121.366021</v>
      </c>
      <c r="J643" s="8" t="inlineStr">
        <is>
          <t>U</t>
        </is>
      </c>
      <c r="K643" s="36" t="inlineStr">
        <is>
          <t>Class 1-3 / Urban</t>
        </is>
      </c>
      <c r="L643" s="18" t="n">
        <v>5901</v>
      </c>
      <c r="M643" s="20" t="n">
        <v>4.2</v>
      </c>
      <c r="N643" s="18">
        <f>ROUND(L643/M643, 0)</f>
        <v/>
      </c>
      <c r="O643" s="18">
        <f>ROUND(N643*'Methodology &amp; Assumptions'!$B$8, 0)</f>
        <v/>
      </c>
      <c r="P643" s="8" t="inlineStr">
        <is>
          <t>Band n50 (1.5 GHz, 60 MHz)</t>
        </is>
      </c>
      <c r="Q643" s="38">
        <f>ROUNDUP(O643/'Methodology &amp; Assumptions'!$B$9, 0)</f>
        <v/>
      </c>
      <c r="R643" s="39" t="n">
        <v>1</v>
      </c>
      <c r="S643" s="21" t="n">
        <v>1.03</v>
      </c>
      <c r="T643" s="21" t="n">
        <v>0.04</v>
      </c>
      <c r="U643" s="36" t="inlineStr">
        <is>
          <t>Tier 1B (Micro Drop, 1-3 km)</t>
        </is>
      </c>
      <c r="V643" s="20" t="n">
        <v>80.8</v>
      </c>
      <c r="W643" s="20" t="n">
        <v>100</v>
      </c>
      <c r="X643" s="20" t="n">
        <v>28</v>
      </c>
      <c r="Y643" s="40">
        <f>ROUND((V643*'Methodology &amp; Assumptions'!$B$6)+(W643*'Methodology &amp; Assumptions'!$B$5)+(X643*'Methodology &amp; Assumptions'!$B$7), 2)</f>
        <v/>
      </c>
    </row>
    <row r="644" ht="19" customHeight="1">
      <c r="A644" s="41" t="n">
        <v>640</v>
      </c>
      <c r="B644" s="41" t="n">
        <v>1640</v>
      </c>
      <c r="C644" s="42" t="inlineStr">
        <is>
          <t>0304903038</t>
        </is>
      </c>
      <c r="D644" s="42" t="inlineStr">
        <is>
          <t>Region III (Central Luzon)</t>
        </is>
      </c>
      <c r="E644" s="42" t="inlineStr">
        <is>
          <t>Nueva Ecija</t>
        </is>
      </c>
      <c r="F644" s="42" t="inlineStr">
        <is>
          <t>City of Cabanatuan</t>
        </is>
      </c>
      <c r="G644" s="42" t="inlineStr">
        <is>
          <t>Imelda District</t>
        </is>
      </c>
      <c r="H644" s="43" t="n">
        <v>15.47547</v>
      </c>
      <c r="I644" s="43" t="n">
        <v>120.961101</v>
      </c>
      <c r="J644" s="44" t="inlineStr">
        <is>
          <t>U</t>
        </is>
      </c>
      <c r="K644" s="42" t="inlineStr">
        <is>
          <t>Class 1-3 / Urban</t>
        </is>
      </c>
      <c r="L644" s="23" t="n">
        <v>3639</v>
      </c>
      <c r="M644" s="24" t="n">
        <v>4.32</v>
      </c>
      <c r="N644" s="23">
        <f>ROUND(L644/M644, 0)</f>
        <v/>
      </c>
      <c r="O644" s="23">
        <f>ROUND(N644*'Methodology &amp; Assumptions'!$B$8, 0)</f>
        <v/>
      </c>
      <c r="P644" s="44" t="inlineStr">
        <is>
          <t>Band n50 (1.5 GHz, 60 MHz)</t>
        </is>
      </c>
      <c r="Q644" s="38">
        <f>ROUNDUP(O644/'Methodology &amp; Assumptions'!$B$9, 0)</f>
        <v/>
      </c>
      <c r="R644" s="39" t="n">
        <v>1</v>
      </c>
      <c r="S644" s="25" t="n">
        <v>0.6899999999999999</v>
      </c>
      <c r="T644" s="25" t="n">
        <v>0.43</v>
      </c>
      <c r="U644" s="42" t="inlineStr">
        <is>
          <t>Tier 1A (Direct Coloc, &lt;1 km)</t>
        </is>
      </c>
      <c r="V644" s="24" t="n">
        <v>89.40000000000001</v>
      </c>
      <c r="W644" s="24" t="n">
        <v>91.5</v>
      </c>
      <c r="X644" s="24" t="n">
        <v>28</v>
      </c>
      <c r="Y644" s="45">
        <f>ROUND((V644*'Methodology &amp; Assumptions'!$B$6)+(W644*'Methodology &amp; Assumptions'!$B$5)+(X644*'Methodology &amp; Assumptions'!$B$7), 2)</f>
        <v/>
      </c>
    </row>
    <row r="645" ht="19" customHeight="1">
      <c r="A645" s="35" t="n">
        <v>641</v>
      </c>
      <c r="B645" s="35" t="n">
        <v>1641</v>
      </c>
      <c r="C645" s="36" t="inlineStr">
        <is>
          <t>0501726015</t>
        </is>
      </c>
      <c r="D645" s="36" t="inlineStr">
        <is>
          <t>Region V (Bicol Region)</t>
        </is>
      </c>
      <c r="E645" s="36" t="inlineStr">
        <is>
          <t>Camarines Sur</t>
        </is>
      </c>
      <c r="F645" s="36" t="inlineStr">
        <is>
          <t>Pamplona</t>
        </is>
      </c>
      <c r="G645" s="36" t="inlineStr">
        <is>
          <t>San Vicente</t>
        </is>
      </c>
      <c r="H645" s="37" t="n">
        <v>13.457443</v>
      </c>
      <c r="I645" s="37" t="n">
        <v>123.384044</v>
      </c>
      <c r="J645" s="8" t="inlineStr">
        <is>
          <t>R</t>
        </is>
      </c>
      <c r="K645" s="36" t="inlineStr">
        <is>
          <t>3rd</t>
        </is>
      </c>
      <c r="L645" s="18" t="n">
        <v>4260</v>
      </c>
      <c r="M645" s="20" t="n">
        <v>4.8</v>
      </c>
      <c r="N645" s="18">
        <f>ROUND(L645/M645, 0)</f>
        <v/>
      </c>
      <c r="O645" s="18">
        <f>ROUND(N645*'Methodology &amp; Assumptions'!$B$8, 0)</f>
        <v/>
      </c>
      <c r="P645" s="8" t="inlineStr">
        <is>
          <t>Band n50 (1.5 GHz, 60 MHz)</t>
        </is>
      </c>
      <c r="Q645" s="38">
        <f>ROUNDUP(O645/'Methodology &amp; Assumptions'!$B$9, 0)</f>
        <v/>
      </c>
      <c r="R645" s="39" t="n">
        <v>1</v>
      </c>
      <c r="S645" s="21" t="n">
        <v>2.07</v>
      </c>
      <c r="T645" s="21" t="n">
        <v>0.59</v>
      </c>
      <c r="U645" s="36" t="inlineStr">
        <is>
          <t>Tier 1B (Micro Drop, 1-3 km)</t>
        </is>
      </c>
      <c r="V645" s="20" t="n">
        <v>60.1</v>
      </c>
      <c r="W645" s="20" t="n">
        <v>94.90000000000001</v>
      </c>
      <c r="X645" s="20" t="n">
        <v>58</v>
      </c>
      <c r="Y645" s="40">
        <f>ROUND((V645*'Methodology &amp; Assumptions'!$B$6)+(W645*'Methodology &amp; Assumptions'!$B$5)+(X645*'Methodology &amp; Assumptions'!$B$7), 2)</f>
        <v/>
      </c>
    </row>
    <row r="646" ht="19" customHeight="1">
      <c r="A646" s="41" t="n">
        <v>642</v>
      </c>
      <c r="B646" s="41" t="n">
        <v>1642</v>
      </c>
      <c r="C646" s="42" t="inlineStr">
        <is>
          <t>0300809013</t>
        </is>
      </c>
      <c r="D646" s="42" t="inlineStr">
        <is>
          <t>Region III (Central Luzon)</t>
        </is>
      </c>
      <c r="E646" s="42" t="inlineStr">
        <is>
          <t>Bataan</t>
        </is>
      </c>
      <c r="F646" s="42" t="inlineStr">
        <is>
          <t>Orani</t>
        </is>
      </c>
      <c r="G646" s="42" t="inlineStr">
        <is>
          <t>Pantalan Bago</t>
        </is>
      </c>
      <c r="H646" s="43" t="n">
        <v>14.803625</v>
      </c>
      <c r="I646" s="43" t="n">
        <v>120.541898</v>
      </c>
      <c r="J646" s="44" t="inlineStr">
        <is>
          <t>R</t>
        </is>
      </c>
      <c r="K646" s="42" t="inlineStr">
        <is>
          <t>Class 1-3 / Urban</t>
        </is>
      </c>
      <c r="L646" s="23" t="n">
        <v>2269</v>
      </c>
      <c r="M646" s="24" t="n">
        <v>4.57</v>
      </c>
      <c r="N646" s="23">
        <f>ROUND(L646/M646, 0)</f>
        <v/>
      </c>
      <c r="O646" s="23">
        <f>ROUND(N646*'Methodology &amp; Assumptions'!$B$8, 0)</f>
        <v/>
      </c>
      <c r="P646" s="44" t="inlineStr">
        <is>
          <t>Band n50 (1.5 GHz, 60 MHz)</t>
        </is>
      </c>
      <c r="Q646" s="38">
        <f>ROUNDUP(O646/'Methodology &amp; Assumptions'!$B$9, 0)</f>
        <v/>
      </c>
      <c r="R646" s="39" t="n">
        <v>1</v>
      </c>
      <c r="S646" s="25" t="n">
        <v>0.62</v>
      </c>
      <c r="T646" s="25" t="n">
        <v>0.63</v>
      </c>
      <c r="U646" s="42" t="inlineStr">
        <is>
          <t>Tier 1A (Direct Coloc, &lt;1 km)</t>
        </is>
      </c>
      <c r="V646" s="24" t="n">
        <v>91.40000000000001</v>
      </c>
      <c r="W646" s="24" t="n">
        <v>63.7</v>
      </c>
      <c r="X646" s="24" t="n">
        <v>58</v>
      </c>
      <c r="Y646" s="45">
        <f>ROUND((V646*'Methodology &amp; Assumptions'!$B$6)+(W646*'Methodology &amp; Assumptions'!$B$5)+(X646*'Methodology &amp; Assumptions'!$B$7), 2)</f>
        <v/>
      </c>
    </row>
    <row r="647" ht="19" customHeight="1">
      <c r="A647" s="35" t="n">
        <v>643</v>
      </c>
      <c r="B647" s="35" t="n">
        <v>1643</v>
      </c>
      <c r="C647" s="36" t="inlineStr">
        <is>
          <t>0305409006</t>
        </is>
      </c>
      <c r="D647" s="36" t="inlineStr">
        <is>
          <t>Region III (Central Luzon)</t>
        </is>
      </c>
      <c r="E647" s="36" t="inlineStr">
        <is>
          <t>Pampanga</t>
        </is>
      </c>
      <c r="F647" s="36" t="inlineStr">
        <is>
          <t>Mabalacat City</t>
        </is>
      </c>
      <c r="G647" s="36" t="inlineStr">
        <is>
          <t>Camachiles</t>
        </is>
      </c>
      <c r="H647" s="37" t="n">
        <v>15.192248</v>
      </c>
      <c r="I647" s="37" t="n">
        <v>120.58608</v>
      </c>
      <c r="J647" s="8" t="inlineStr">
        <is>
          <t>U</t>
        </is>
      </c>
      <c r="K647" s="36" t="inlineStr">
        <is>
          <t>Class 1-3 / Urban</t>
        </is>
      </c>
      <c r="L647" s="18" t="n">
        <v>13063</v>
      </c>
      <c r="M647" s="20" t="n">
        <v>4.63</v>
      </c>
      <c r="N647" s="18">
        <f>ROUND(L647/M647, 0)</f>
        <v/>
      </c>
      <c r="O647" s="18">
        <f>ROUND(N647*'Methodology &amp; Assumptions'!$B$8, 0)</f>
        <v/>
      </c>
      <c r="P647" s="8" t="inlineStr">
        <is>
          <t>Band n50 (1.5 GHz, 60 MHz)</t>
        </is>
      </c>
      <c r="Q647" s="38">
        <f>ROUNDUP(O647/'Methodology &amp; Assumptions'!$B$9, 0)</f>
        <v/>
      </c>
      <c r="R647" s="39" t="n">
        <v>1</v>
      </c>
      <c r="S647" s="21" t="n">
        <v>1.04</v>
      </c>
      <c r="T647" s="21" t="n">
        <v>0.25</v>
      </c>
      <c r="U647" s="36" t="inlineStr">
        <is>
          <t>Tier 1B (Micro Drop, 1-3 km)</t>
        </is>
      </c>
      <c r="V647" s="20" t="n">
        <v>80.8</v>
      </c>
      <c r="W647" s="20" t="n">
        <v>100</v>
      </c>
      <c r="X647" s="20" t="n">
        <v>28</v>
      </c>
      <c r="Y647" s="40">
        <f>ROUND((V647*'Methodology &amp; Assumptions'!$B$6)+(W647*'Methodology &amp; Assumptions'!$B$5)+(X647*'Methodology &amp; Assumptions'!$B$7), 2)</f>
        <v/>
      </c>
    </row>
    <row r="648" ht="19" customHeight="1">
      <c r="A648" s="41" t="n">
        <v>644</v>
      </c>
      <c r="B648" s="41" t="n">
        <v>1644</v>
      </c>
      <c r="C648" s="42" t="inlineStr">
        <is>
          <t>0731300025</t>
        </is>
      </c>
      <c r="D648" s="42" t="inlineStr">
        <is>
          <t>Region VII (Central Visayas)</t>
        </is>
      </c>
      <c r="E648" s="42" t="inlineStr">
        <is>
          <t>Cebu</t>
        </is>
      </c>
      <c r="F648" s="42" t="inlineStr">
        <is>
          <t>City of Mandaue</t>
        </is>
      </c>
      <c r="G648" s="42" t="inlineStr">
        <is>
          <t>Tingub</t>
        </is>
      </c>
      <c r="H648" s="43" t="n">
        <v>10.352064</v>
      </c>
      <c r="I648" s="43" t="n">
        <v>123.93442</v>
      </c>
      <c r="J648" s="44" t="inlineStr">
        <is>
          <t>U</t>
        </is>
      </c>
      <c r="K648" s="42" t="inlineStr">
        <is>
          <t>Class 1-3 / Urban</t>
        </is>
      </c>
      <c r="L648" s="23" t="n">
        <v>6082</v>
      </c>
      <c r="M648" s="24" t="n">
        <v>4.42</v>
      </c>
      <c r="N648" s="23">
        <f>ROUND(L648/M648, 0)</f>
        <v/>
      </c>
      <c r="O648" s="23">
        <f>ROUND(N648*'Methodology &amp; Assumptions'!$B$8, 0)</f>
        <v/>
      </c>
      <c r="P648" s="44" t="inlineStr">
        <is>
          <t>Band n50 (1.5 GHz, 60 MHz)</t>
        </is>
      </c>
      <c r="Q648" s="38">
        <f>ROUNDUP(O648/'Methodology &amp; Assumptions'!$B$9, 0)</f>
        <v/>
      </c>
      <c r="R648" s="39" t="n">
        <v>1</v>
      </c>
      <c r="S648" s="25" t="n">
        <v>1.04</v>
      </c>
      <c r="T648" s="25" t="n">
        <v>0.83</v>
      </c>
      <c r="U648" s="42" t="inlineStr">
        <is>
          <t>Tier 1B (Micro Drop, 1-3 km)</t>
        </is>
      </c>
      <c r="V648" s="24" t="n">
        <v>80.8</v>
      </c>
      <c r="W648" s="24" t="n">
        <v>100</v>
      </c>
      <c r="X648" s="24" t="n">
        <v>28</v>
      </c>
      <c r="Y648" s="45">
        <f>ROUND((V648*'Methodology &amp; Assumptions'!$B$6)+(W648*'Methodology &amp; Assumptions'!$B$5)+(X648*'Methodology &amp; Assumptions'!$B$7), 2)</f>
        <v/>
      </c>
    </row>
    <row r="649" ht="19" customHeight="1">
      <c r="A649" s="35" t="n">
        <v>645</v>
      </c>
      <c r="B649" s="35" t="n">
        <v>1645</v>
      </c>
      <c r="C649" s="36" t="inlineStr">
        <is>
          <t>0105503009</t>
        </is>
      </c>
      <c r="D649" s="36" t="inlineStr">
        <is>
          <t>Region I (Ilocos Region)</t>
        </is>
      </c>
      <c r="E649" s="36" t="inlineStr">
        <is>
          <t>Pangasinan</t>
        </is>
      </c>
      <c r="F649" s="36" t="inlineStr">
        <is>
          <t>City of Alaminos</t>
        </is>
      </c>
      <c r="G649" s="36" t="inlineStr">
        <is>
          <t>Bued</t>
        </is>
      </c>
      <c r="H649" s="37" t="n">
        <v>16.163529</v>
      </c>
      <c r="I649" s="37" t="n">
        <v>119.996806</v>
      </c>
      <c r="J649" s="8" t="inlineStr">
        <is>
          <t>R</t>
        </is>
      </c>
      <c r="K649" s="36" t="inlineStr">
        <is>
          <t>Class 1-3 / Urban</t>
        </is>
      </c>
      <c r="L649" s="18" t="n">
        <v>3711</v>
      </c>
      <c r="M649" s="20" t="n">
        <v>4.39</v>
      </c>
      <c r="N649" s="18">
        <f>ROUND(L649/M649, 0)</f>
        <v/>
      </c>
      <c r="O649" s="18">
        <f>ROUND(N649*'Methodology &amp; Assumptions'!$B$8, 0)</f>
        <v/>
      </c>
      <c r="P649" s="8" t="inlineStr">
        <is>
          <t>Band n50 (1.5 GHz, 60 MHz)</t>
        </is>
      </c>
      <c r="Q649" s="38">
        <f>ROUNDUP(O649/'Methodology &amp; Assumptions'!$B$9, 0)</f>
        <v/>
      </c>
      <c r="R649" s="39" t="n">
        <v>1</v>
      </c>
      <c r="S649" s="21" t="n">
        <v>1.89</v>
      </c>
      <c r="T649" s="21" t="n">
        <v>1.88</v>
      </c>
      <c r="U649" s="36" t="inlineStr">
        <is>
          <t>Tier 1B (Micro Drop, 1-3 km)</t>
        </is>
      </c>
      <c r="V649" s="20" t="n">
        <v>63.3</v>
      </c>
      <c r="W649" s="20" t="n">
        <v>91.7</v>
      </c>
      <c r="X649" s="20" t="n">
        <v>58</v>
      </c>
      <c r="Y649" s="40">
        <f>ROUND((V649*'Methodology &amp; Assumptions'!$B$6)+(W649*'Methodology &amp; Assumptions'!$B$5)+(X649*'Methodology &amp; Assumptions'!$B$7), 2)</f>
        <v/>
      </c>
    </row>
    <row r="650" ht="19" customHeight="1">
      <c r="A650" s="41" t="n">
        <v>646</v>
      </c>
      <c r="B650" s="41" t="n">
        <v>1646</v>
      </c>
      <c r="C650" s="42" t="inlineStr">
        <is>
          <t>0702219016</t>
        </is>
      </c>
      <c r="D650" s="42" t="inlineStr">
        <is>
          <t>Region VII (Central Visayas)</t>
        </is>
      </c>
      <c r="E650" s="42" t="inlineStr">
        <is>
          <t>Cebu</t>
        </is>
      </c>
      <c r="F650" s="42" t="inlineStr">
        <is>
          <t>Consolacion</t>
        </is>
      </c>
      <c r="G650" s="42" t="inlineStr">
        <is>
          <t>Pulpogan</t>
        </is>
      </c>
      <c r="H650" s="43" t="n">
        <v>10.38563</v>
      </c>
      <c r="I650" s="43" t="n">
        <v>123.956753</v>
      </c>
      <c r="J650" s="44" t="inlineStr">
        <is>
          <t>U</t>
        </is>
      </c>
      <c r="K650" s="42" t="inlineStr">
        <is>
          <t>Class 1-3 / Urban</t>
        </is>
      </c>
      <c r="L650" s="23" t="n">
        <v>14700</v>
      </c>
      <c r="M650" s="24" t="n">
        <v>4.42</v>
      </c>
      <c r="N650" s="23">
        <f>ROUND(L650/M650, 0)</f>
        <v/>
      </c>
      <c r="O650" s="23">
        <f>ROUND(N650*'Methodology &amp; Assumptions'!$B$8, 0)</f>
        <v/>
      </c>
      <c r="P650" s="44" t="inlineStr">
        <is>
          <t>Band n50 (1.5 GHz, 60 MHz)</t>
        </is>
      </c>
      <c r="Q650" s="38">
        <f>ROUNDUP(O650/'Methodology &amp; Assumptions'!$B$9, 0)</f>
        <v/>
      </c>
      <c r="R650" s="39" t="n">
        <v>1</v>
      </c>
      <c r="S650" s="25" t="n">
        <v>1.04</v>
      </c>
      <c r="T650" s="25" t="n">
        <v>1.06</v>
      </c>
      <c r="U650" s="42" t="inlineStr">
        <is>
          <t>Tier 1B (Micro Drop, 1-3 km)</t>
        </is>
      </c>
      <c r="V650" s="24" t="n">
        <v>80.7</v>
      </c>
      <c r="W650" s="24" t="n">
        <v>100</v>
      </c>
      <c r="X650" s="24" t="n">
        <v>28</v>
      </c>
      <c r="Y650" s="45">
        <f>ROUND((V650*'Methodology &amp; Assumptions'!$B$6)+(W650*'Methodology &amp; Assumptions'!$B$5)+(X650*'Methodology &amp; Assumptions'!$B$7), 2)</f>
        <v/>
      </c>
    </row>
    <row r="651" ht="19" customHeight="1">
      <c r="A651" s="35" t="n">
        <v>647</v>
      </c>
      <c r="B651" s="35" t="n">
        <v>1647</v>
      </c>
      <c r="C651" s="36" t="inlineStr">
        <is>
          <t>0403405045</t>
        </is>
      </c>
      <c r="D651" s="36" t="inlineStr">
        <is>
          <t>Region IV-A (CALABARZON)</t>
        </is>
      </c>
      <c r="E651" s="36" t="inlineStr">
        <is>
          <t>Laguna</t>
        </is>
      </c>
      <c r="F651" s="36" t="inlineStr">
        <is>
          <t>City of Calamba</t>
        </is>
      </c>
      <c r="G651" s="36" t="inlineStr">
        <is>
          <t>Prinza</t>
        </is>
      </c>
      <c r="H651" s="37" t="n">
        <v>14.195531</v>
      </c>
      <c r="I651" s="37" t="n">
        <v>121.136687</v>
      </c>
      <c r="J651" s="8" t="inlineStr">
        <is>
          <t>U</t>
        </is>
      </c>
      <c r="K651" s="36" t="inlineStr">
        <is>
          <t>Class 1-3 / Urban</t>
        </is>
      </c>
      <c r="L651" s="18" t="n">
        <v>5284</v>
      </c>
      <c r="M651" s="20" t="n">
        <v>4.2</v>
      </c>
      <c r="N651" s="18">
        <f>ROUND(L651/M651, 0)</f>
        <v/>
      </c>
      <c r="O651" s="18">
        <f>ROUND(N651*'Methodology &amp; Assumptions'!$B$8, 0)</f>
        <v/>
      </c>
      <c r="P651" s="8" t="inlineStr">
        <is>
          <t>Band n50 (1.5 GHz, 60 MHz)</t>
        </is>
      </c>
      <c r="Q651" s="38">
        <f>ROUNDUP(O651/'Methodology &amp; Assumptions'!$B$9, 0)</f>
        <v/>
      </c>
      <c r="R651" s="39" t="n">
        <v>1</v>
      </c>
      <c r="S651" s="21" t="n">
        <v>1.04</v>
      </c>
      <c r="T651" s="21" t="n">
        <v>0.26</v>
      </c>
      <c r="U651" s="36" t="inlineStr">
        <is>
          <t>Tier 1B (Micro Drop, 1-3 km)</t>
        </is>
      </c>
      <c r="V651" s="20" t="n">
        <v>80.7</v>
      </c>
      <c r="W651" s="20" t="n">
        <v>100</v>
      </c>
      <c r="X651" s="20" t="n">
        <v>28</v>
      </c>
      <c r="Y651" s="40">
        <f>ROUND((V651*'Methodology &amp; Assumptions'!$B$6)+(W651*'Methodology &amp; Assumptions'!$B$5)+(X651*'Methodology &amp; Assumptions'!$B$7), 2)</f>
        <v/>
      </c>
    </row>
    <row r="652" ht="19" customHeight="1">
      <c r="A652" s="41" t="n">
        <v>648</v>
      </c>
      <c r="B652" s="41" t="n">
        <v>1648</v>
      </c>
      <c r="C652" s="42" t="inlineStr">
        <is>
          <t>0402114022</t>
        </is>
      </c>
      <c r="D652" s="42" t="inlineStr">
        <is>
          <t>Region IV-A (CALABARZON)</t>
        </is>
      </c>
      <c r="E652" s="42" t="inlineStr">
        <is>
          <t>Cavite</t>
        </is>
      </c>
      <c r="F652" s="42" t="inlineStr">
        <is>
          <t>Mendez</t>
        </is>
      </c>
      <c r="G652" s="42" t="inlineStr">
        <is>
          <t>Galicia III</t>
        </is>
      </c>
      <c r="H652" s="43" t="n">
        <v>14.12305</v>
      </c>
      <c r="I652" s="43" t="n">
        <v>120.904434</v>
      </c>
      <c r="J652" s="44" t="inlineStr">
        <is>
          <t>R</t>
        </is>
      </c>
      <c r="K652" s="42" t="inlineStr">
        <is>
          <t>2nd</t>
        </is>
      </c>
      <c r="L652" s="23" t="n">
        <v>4239</v>
      </c>
      <c r="M652" s="24" t="n">
        <v>4.37</v>
      </c>
      <c r="N652" s="23">
        <f>ROUND(L652/M652, 0)</f>
        <v/>
      </c>
      <c r="O652" s="23">
        <f>ROUND(N652*'Methodology &amp; Assumptions'!$B$8, 0)</f>
        <v/>
      </c>
      <c r="P652" s="44" t="inlineStr">
        <is>
          <t>Band n50 (1.5 GHz, 60 MHz)</t>
        </is>
      </c>
      <c r="Q652" s="38">
        <f>ROUNDUP(O652/'Methodology &amp; Assumptions'!$B$9, 0)</f>
        <v/>
      </c>
      <c r="R652" s="39" t="n">
        <v>1</v>
      </c>
      <c r="S652" s="25" t="n">
        <v>1.79</v>
      </c>
      <c r="T652" s="25" t="n">
        <v>3.25</v>
      </c>
      <c r="U652" s="42" t="inlineStr">
        <is>
          <t>Tier 1B (Micro Drop, 1-3 km)</t>
        </is>
      </c>
      <c r="V652" s="24" t="n">
        <v>55</v>
      </c>
      <c r="W652" s="24" t="n">
        <v>100</v>
      </c>
      <c r="X652" s="24" t="n">
        <v>58</v>
      </c>
      <c r="Y652" s="45">
        <f>ROUND((V652*'Methodology &amp; Assumptions'!$B$6)+(W652*'Methodology &amp; Assumptions'!$B$5)+(X652*'Methodology &amp; Assumptions'!$B$7), 2)</f>
        <v/>
      </c>
    </row>
    <row r="653" ht="19" customHeight="1">
      <c r="A653" s="35" t="n">
        <v>649</v>
      </c>
      <c r="B653" s="35" t="n">
        <v>1649</v>
      </c>
      <c r="C653" s="36" t="inlineStr">
        <is>
          <t>0401005053</t>
        </is>
      </c>
      <c r="D653" s="36" t="inlineStr">
        <is>
          <t>Region IV-A (CALABARZON)</t>
        </is>
      </c>
      <c r="E653" s="36" t="inlineStr">
        <is>
          <t>Batangas</t>
        </is>
      </c>
      <c r="F653" s="36" t="inlineStr">
        <is>
          <t>Batangas City</t>
        </is>
      </c>
      <c r="G653" s="36" t="inlineStr">
        <is>
          <t>Pinamucan Ibaba</t>
        </is>
      </c>
      <c r="H653" s="37" t="n">
        <v>13.686473</v>
      </c>
      <c r="I653" s="37" t="n">
        <v>121.063665</v>
      </c>
      <c r="J653" s="8" t="inlineStr">
        <is>
          <t>R</t>
        </is>
      </c>
      <c r="K653" s="36" t="inlineStr">
        <is>
          <t>Class 1-3 / Urban</t>
        </is>
      </c>
      <c r="L653" s="18" t="n">
        <v>1822</v>
      </c>
      <c r="M653" s="20" t="n">
        <v>4.62</v>
      </c>
      <c r="N653" s="18">
        <f>ROUND(L653/M653, 0)</f>
        <v/>
      </c>
      <c r="O653" s="18">
        <f>ROUND(N653*'Methodology &amp; Assumptions'!$B$8, 0)</f>
        <v/>
      </c>
      <c r="P653" s="8" t="inlineStr">
        <is>
          <t>Band n50 (1.5 GHz, 60 MHz)</t>
        </is>
      </c>
      <c r="Q653" s="38">
        <f>ROUNDUP(O653/'Methodology &amp; Assumptions'!$B$9, 0)</f>
        <v/>
      </c>
      <c r="R653" s="39" t="n">
        <v>1</v>
      </c>
      <c r="S653" s="21" t="n">
        <v>0.01</v>
      </c>
      <c r="T653" s="21" t="n">
        <v>7.77</v>
      </c>
      <c r="U653" s="36" t="inlineStr">
        <is>
          <t>Tier 1A (Direct Coloc, &lt;1 km)</t>
        </is>
      </c>
      <c r="V653" s="20" t="n">
        <v>99.5</v>
      </c>
      <c r="W653" s="20" t="n">
        <v>55.5</v>
      </c>
      <c r="X653" s="20" t="n">
        <v>58</v>
      </c>
      <c r="Y653" s="40">
        <f>ROUND((V653*'Methodology &amp; Assumptions'!$B$6)+(W653*'Methodology &amp; Assumptions'!$B$5)+(X653*'Methodology &amp; Assumptions'!$B$7), 2)</f>
        <v/>
      </c>
    </row>
    <row r="654" ht="19" customHeight="1">
      <c r="A654" s="41" t="n">
        <v>650</v>
      </c>
      <c r="B654" s="41" t="n">
        <v>1650</v>
      </c>
      <c r="C654" s="42" t="inlineStr">
        <is>
          <t>0304927004</t>
        </is>
      </c>
      <c r="D654" s="42" t="inlineStr">
        <is>
          <t>Region III (Central Luzon)</t>
        </is>
      </c>
      <c r="E654" s="42" t="inlineStr">
        <is>
          <t>Nueva Ecija</t>
        </is>
      </c>
      <c r="F654" s="42" t="inlineStr">
        <is>
          <t>San Leonardo</t>
        </is>
      </c>
      <c r="G654" s="42" t="inlineStr">
        <is>
          <t>Castellano</t>
        </is>
      </c>
      <c r="H654" s="43" t="n">
        <v>15.319508</v>
      </c>
      <c r="I654" s="43" t="n">
        <v>120.934547</v>
      </c>
      <c r="J654" s="44" t="inlineStr">
        <is>
          <t>U</t>
        </is>
      </c>
      <c r="K654" s="42" t="inlineStr">
        <is>
          <t>Class 1-3 / Urban</t>
        </is>
      </c>
      <c r="L654" s="23" t="n">
        <v>5548</v>
      </c>
      <c r="M654" s="24" t="n">
        <v>4.32</v>
      </c>
      <c r="N654" s="23">
        <f>ROUND(L654/M654, 0)</f>
        <v/>
      </c>
      <c r="O654" s="23">
        <f>ROUND(N654*'Methodology &amp; Assumptions'!$B$8, 0)</f>
        <v/>
      </c>
      <c r="P654" s="44" t="inlineStr">
        <is>
          <t>Band n50 (1.5 GHz, 60 MHz)</t>
        </is>
      </c>
      <c r="Q654" s="38">
        <f>ROUNDUP(O654/'Methodology &amp; Assumptions'!$B$9, 0)</f>
        <v/>
      </c>
      <c r="R654" s="39" t="n">
        <v>1</v>
      </c>
      <c r="S654" s="25" t="n">
        <v>1.64</v>
      </c>
      <c r="T654" s="25" t="n">
        <v>0.27</v>
      </c>
      <c r="U654" s="42" t="inlineStr">
        <is>
          <t>Tier 1B (Micro Drop, 1-3 km)</t>
        </is>
      </c>
      <c r="V654" s="24" t="n">
        <v>67.90000000000001</v>
      </c>
      <c r="W654" s="24" t="n">
        <v>100</v>
      </c>
      <c r="X654" s="24" t="n">
        <v>43</v>
      </c>
      <c r="Y654" s="45">
        <f>ROUND((V654*'Methodology &amp; Assumptions'!$B$6)+(W654*'Methodology &amp; Assumptions'!$B$5)+(X654*'Methodology &amp; Assumptions'!$B$7), 2)</f>
        <v/>
      </c>
    </row>
    <row r="655" ht="19" customHeight="1">
      <c r="A655" s="35" t="n">
        <v>651</v>
      </c>
      <c r="B655" s="35" t="n">
        <v>1651</v>
      </c>
      <c r="C655" s="36" t="inlineStr">
        <is>
          <t>0730600067</t>
        </is>
      </c>
      <c r="D655" s="36" t="inlineStr">
        <is>
          <t>Region VII (Central Visayas)</t>
        </is>
      </c>
      <c r="E655" s="36" t="inlineStr">
        <is>
          <t>Cebu</t>
        </is>
      </c>
      <c r="F655" s="36" t="inlineStr">
        <is>
          <t>City of Cebu</t>
        </is>
      </c>
      <c r="G655" s="36" t="inlineStr">
        <is>
          <t>San Jose</t>
        </is>
      </c>
      <c r="H655" s="37" t="n">
        <v>10.378905</v>
      </c>
      <c r="I655" s="37" t="n">
        <v>123.91651</v>
      </c>
      <c r="J655" s="8" t="inlineStr">
        <is>
          <t>U</t>
        </is>
      </c>
      <c r="K655" s="36" t="inlineStr">
        <is>
          <t>Class 1-3 / Urban</t>
        </is>
      </c>
      <c r="L655" s="18" t="n">
        <v>8027</v>
      </c>
      <c r="M655" s="20" t="n">
        <v>4.42</v>
      </c>
      <c r="N655" s="18">
        <f>ROUND(L655/M655, 0)</f>
        <v/>
      </c>
      <c r="O655" s="18">
        <f>ROUND(N655*'Methodology &amp; Assumptions'!$B$8, 0)</f>
        <v/>
      </c>
      <c r="P655" s="8" t="inlineStr">
        <is>
          <t>Band n50 (1.5 GHz, 60 MHz)</t>
        </is>
      </c>
      <c r="Q655" s="38">
        <f>ROUNDUP(O655/'Methodology &amp; Assumptions'!$B$9, 0)</f>
        <v/>
      </c>
      <c r="R655" s="39" t="n">
        <v>1</v>
      </c>
      <c r="S655" s="21" t="n">
        <v>1.04</v>
      </c>
      <c r="T655" s="21" t="n">
        <v>0.5</v>
      </c>
      <c r="U655" s="36" t="inlineStr">
        <is>
          <t>Tier 1B (Micro Drop, 1-3 km)</t>
        </is>
      </c>
      <c r="V655" s="20" t="n">
        <v>80.7</v>
      </c>
      <c r="W655" s="20" t="n">
        <v>100</v>
      </c>
      <c r="X655" s="20" t="n">
        <v>28</v>
      </c>
      <c r="Y655" s="40">
        <f>ROUND((V655*'Methodology &amp; Assumptions'!$B$6)+(W655*'Methodology &amp; Assumptions'!$B$5)+(X655*'Methodology &amp; Assumptions'!$B$7), 2)</f>
        <v/>
      </c>
    </row>
    <row r="656" ht="19" customHeight="1">
      <c r="A656" s="41" t="n">
        <v>652</v>
      </c>
      <c r="B656" s="41" t="n">
        <v>1652</v>
      </c>
      <c r="C656" s="42" t="inlineStr">
        <is>
          <t>1102403007</t>
        </is>
      </c>
      <c r="D656" s="42" t="inlineStr">
        <is>
          <t>Region XI (Davao Region)</t>
        </is>
      </c>
      <c r="E656" s="42" t="inlineStr">
        <is>
          <t>Davao del Sur</t>
        </is>
      </c>
      <c r="F656" s="42" t="inlineStr">
        <is>
          <t>City of Digos</t>
        </is>
      </c>
      <c r="G656" s="42" t="inlineStr">
        <is>
          <t>Dawis</t>
        </is>
      </c>
      <c r="H656" s="43" t="n">
        <v>6.730513</v>
      </c>
      <c r="I656" s="43" t="n">
        <v>125.3699</v>
      </c>
      <c r="J656" s="44" t="inlineStr">
        <is>
          <t>U</t>
        </is>
      </c>
      <c r="K656" s="42" t="inlineStr">
        <is>
          <t>Class 1-3 / Urban</t>
        </is>
      </c>
      <c r="L656" s="23" t="n">
        <v>5814</v>
      </c>
      <c r="M656" s="24" t="n">
        <v>4.1</v>
      </c>
      <c r="N656" s="23">
        <f>ROUND(L656/M656, 0)</f>
        <v/>
      </c>
      <c r="O656" s="23">
        <f>ROUND(N656*'Methodology &amp; Assumptions'!$B$8, 0)</f>
        <v/>
      </c>
      <c r="P656" s="44" t="inlineStr">
        <is>
          <t>Band n50 (1.5 GHz, 60 MHz)</t>
        </is>
      </c>
      <c r="Q656" s="38">
        <f>ROUNDUP(O656/'Methodology &amp; Assumptions'!$B$9, 0)</f>
        <v/>
      </c>
      <c r="R656" s="39" t="n">
        <v>1</v>
      </c>
      <c r="S656" s="25" t="n">
        <v>1.04</v>
      </c>
      <c r="T656" s="25" t="n">
        <v>0.77</v>
      </c>
      <c r="U656" s="42" t="inlineStr">
        <is>
          <t>Tier 1B (Micro Drop, 1-3 km)</t>
        </is>
      </c>
      <c r="V656" s="24" t="n">
        <v>80.7</v>
      </c>
      <c r="W656" s="24" t="n">
        <v>100</v>
      </c>
      <c r="X656" s="24" t="n">
        <v>28</v>
      </c>
      <c r="Y656" s="45">
        <f>ROUND((V656*'Methodology &amp; Assumptions'!$B$6)+(W656*'Methodology &amp; Assumptions'!$B$5)+(X656*'Methodology &amp; Assumptions'!$B$7), 2)</f>
        <v/>
      </c>
    </row>
    <row r="657" ht="19" customHeight="1">
      <c r="A657" s="35" t="n">
        <v>653</v>
      </c>
      <c r="B657" s="35" t="n">
        <v>1653</v>
      </c>
      <c r="C657" s="36" t="inlineStr">
        <is>
          <t>0403419015</t>
        </is>
      </c>
      <c r="D657" s="36" t="inlineStr">
        <is>
          <t>Region IV-A (CALABARZON)</t>
        </is>
      </c>
      <c r="E657" s="36" t="inlineStr">
        <is>
          <t>Laguna</t>
        </is>
      </c>
      <c r="F657" s="36" t="inlineStr">
        <is>
          <t>Pagsanjan</t>
        </is>
      </c>
      <c r="G657" s="36" t="inlineStr">
        <is>
          <t>Sampaloc</t>
        </is>
      </c>
      <c r="H657" s="37" t="n">
        <v>14.268225</v>
      </c>
      <c r="I657" s="37" t="n">
        <v>121.442333</v>
      </c>
      <c r="J657" s="8" t="inlineStr">
        <is>
          <t>U</t>
        </is>
      </c>
      <c r="K657" s="36" t="inlineStr">
        <is>
          <t>Class 1-3 / Urban</t>
        </is>
      </c>
      <c r="L657" s="18" t="n">
        <v>4258</v>
      </c>
      <c r="M657" s="20" t="n">
        <v>4.2</v>
      </c>
      <c r="N657" s="18">
        <f>ROUND(L657/M657, 0)</f>
        <v/>
      </c>
      <c r="O657" s="18">
        <f>ROUND(N657*'Methodology &amp; Assumptions'!$B$8, 0)</f>
        <v/>
      </c>
      <c r="P657" s="8" t="inlineStr">
        <is>
          <t>Band n50 (1.5 GHz, 60 MHz)</t>
        </is>
      </c>
      <c r="Q657" s="38">
        <f>ROUNDUP(O657/'Methodology &amp; Assumptions'!$B$9, 0)</f>
        <v/>
      </c>
      <c r="R657" s="39" t="n">
        <v>1</v>
      </c>
      <c r="S657" s="21" t="n">
        <v>1.04</v>
      </c>
      <c r="T657" s="21" t="n">
        <v>0.08</v>
      </c>
      <c r="U657" s="36" t="inlineStr">
        <is>
          <t>Tier 1B (Micro Drop, 1-3 km)</t>
        </is>
      </c>
      <c r="V657" s="20" t="n">
        <v>80.7</v>
      </c>
      <c r="W657" s="20" t="n">
        <v>100</v>
      </c>
      <c r="X657" s="20" t="n">
        <v>28</v>
      </c>
      <c r="Y657" s="40">
        <f>ROUND((V657*'Methodology &amp; Assumptions'!$B$6)+(W657*'Methodology &amp; Assumptions'!$B$5)+(X657*'Methodology &amp; Assumptions'!$B$7), 2)</f>
        <v/>
      </c>
    </row>
    <row r="658" ht="19" customHeight="1">
      <c r="A658" s="41" t="n">
        <v>654</v>
      </c>
      <c r="B658" s="41" t="n">
        <v>1654</v>
      </c>
      <c r="C658" s="42" t="inlineStr">
        <is>
          <t>0306903018</t>
        </is>
      </c>
      <c r="D658" s="42" t="inlineStr">
        <is>
          <t>Region III (Central Luzon)</t>
        </is>
      </c>
      <c r="E658" s="42" t="inlineStr">
        <is>
          <t>Tarlac</t>
        </is>
      </c>
      <c r="F658" s="42" t="inlineStr">
        <is>
          <t>Camiling</t>
        </is>
      </c>
      <c r="G658" s="42" t="inlineStr">
        <is>
          <t>Cacamilingan Sur</t>
        </is>
      </c>
      <c r="H658" s="43" t="n">
        <v>15.686111</v>
      </c>
      <c r="I658" s="43" t="n">
        <v>120.421111</v>
      </c>
      <c r="J658" s="44" t="inlineStr">
        <is>
          <t>R</t>
        </is>
      </c>
      <c r="K658" s="42" t="inlineStr">
        <is>
          <t>Class 1-3 / Urban</t>
        </is>
      </c>
      <c r="L658" s="23" t="n">
        <v>2275</v>
      </c>
      <c r="M658" s="24" t="n">
        <v>4.3</v>
      </c>
      <c r="N658" s="23">
        <f>ROUND(L658/M658, 0)</f>
        <v/>
      </c>
      <c r="O658" s="23">
        <f>ROUND(N658*'Methodology &amp; Assumptions'!$B$8, 0)</f>
        <v/>
      </c>
      <c r="P658" s="44" t="inlineStr">
        <is>
          <t>Band n50 (1.5 GHz, 60 MHz)</t>
        </is>
      </c>
      <c r="Q658" s="38">
        <f>ROUNDUP(O658/'Methodology &amp; Assumptions'!$B$9, 0)</f>
        <v/>
      </c>
      <c r="R658" s="39" t="n">
        <v>1</v>
      </c>
      <c r="S658" s="25" t="n">
        <v>0.72</v>
      </c>
      <c r="T658" s="25" t="n">
        <v>0.3</v>
      </c>
      <c r="U658" s="42" t="inlineStr">
        <is>
          <t>Tier 1A (Direct Coloc, &lt;1 km)</t>
        </is>
      </c>
      <c r="V658" s="24" t="n">
        <v>88.5</v>
      </c>
      <c r="W658" s="24" t="n">
        <v>66.40000000000001</v>
      </c>
      <c r="X658" s="24" t="n">
        <v>58</v>
      </c>
      <c r="Y658" s="45">
        <f>ROUND((V658*'Methodology &amp; Assumptions'!$B$6)+(W658*'Methodology &amp; Assumptions'!$B$5)+(X658*'Methodology &amp; Assumptions'!$B$7), 2)</f>
        <v/>
      </c>
    </row>
    <row r="659" ht="19" customHeight="1">
      <c r="A659" s="35" t="n">
        <v>655</v>
      </c>
      <c r="B659" s="35" t="n">
        <v>1655</v>
      </c>
      <c r="C659" s="36" t="inlineStr">
        <is>
          <t>0307701005</t>
        </is>
      </c>
      <c r="D659" s="36" t="inlineStr">
        <is>
          <t>Region III (Central Luzon)</t>
        </is>
      </c>
      <c r="E659" s="36" t="inlineStr">
        <is>
          <t>Aurora</t>
        </is>
      </c>
      <c r="F659" s="36" t="inlineStr">
        <is>
          <t>Baler</t>
        </is>
      </c>
      <c r="G659" s="36" t="inlineStr">
        <is>
          <t>Barangay V</t>
        </is>
      </c>
      <c r="H659" s="37" t="n">
        <v>15.760127</v>
      </c>
      <c r="I659" s="37" t="n">
        <v>121.565074</v>
      </c>
      <c r="J659" s="8" t="inlineStr">
        <is>
          <t>R</t>
        </is>
      </c>
      <c r="K659" s="36" t="inlineStr">
        <is>
          <t>Class 1-3 / Urban</t>
        </is>
      </c>
      <c r="L659" s="18" t="n">
        <v>1647</v>
      </c>
      <c r="M659" s="20" t="n">
        <v>4.24</v>
      </c>
      <c r="N659" s="18">
        <f>ROUND(L659/M659, 0)</f>
        <v/>
      </c>
      <c r="O659" s="18">
        <f>ROUND(N659*'Methodology &amp; Assumptions'!$B$8, 0)</f>
        <v/>
      </c>
      <c r="P659" s="8" t="inlineStr">
        <is>
          <t>Band n50 (1.5 GHz, 60 MHz)</t>
        </is>
      </c>
      <c r="Q659" s="38">
        <f>ROUNDUP(O659/'Methodology &amp; Assumptions'!$B$9, 0)</f>
        <v/>
      </c>
      <c r="R659" s="39" t="n">
        <v>1</v>
      </c>
      <c r="S659" s="21" t="n">
        <v>0.19</v>
      </c>
      <c r="T659" s="21" t="n">
        <v>0.04</v>
      </c>
      <c r="U659" s="36" t="inlineStr">
        <is>
          <t>Tier 1A (Direct Coloc, &lt;1 km)</t>
        </is>
      </c>
      <c r="V659" s="20" t="n">
        <v>100</v>
      </c>
      <c r="W659" s="20" t="n">
        <v>54.9</v>
      </c>
      <c r="X659" s="20" t="n">
        <v>58</v>
      </c>
      <c r="Y659" s="40">
        <f>ROUND((V659*'Methodology &amp; Assumptions'!$B$6)+(W659*'Methodology &amp; Assumptions'!$B$5)+(X659*'Methodology &amp; Assumptions'!$B$7), 2)</f>
        <v/>
      </c>
    </row>
    <row r="660" ht="19" customHeight="1">
      <c r="A660" s="41" t="n">
        <v>656</v>
      </c>
      <c r="B660" s="41" t="n">
        <v>1656</v>
      </c>
      <c r="C660" s="42" t="inlineStr">
        <is>
          <t>0304911056</t>
        </is>
      </c>
      <c r="D660" s="42" t="inlineStr">
        <is>
          <t>Region III (Central Luzon)</t>
        </is>
      </c>
      <c r="E660" s="42" t="inlineStr">
        <is>
          <t>Nueva Ecija</t>
        </is>
      </c>
      <c r="F660" s="42" t="inlineStr">
        <is>
          <t>Guimba</t>
        </is>
      </c>
      <c r="G660" s="42" t="inlineStr">
        <is>
          <t>San Roque</t>
        </is>
      </c>
      <c r="H660" s="43" t="n">
        <v>15.648846</v>
      </c>
      <c r="I660" s="43" t="n">
        <v>120.768898</v>
      </c>
      <c r="J660" s="44" t="inlineStr">
        <is>
          <t>U</t>
        </is>
      </c>
      <c r="K660" s="42" t="inlineStr">
        <is>
          <t>Class 1-3 / Urban</t>
        </is>
      </c>
      <c r="L660" s="23" t="n">
        <v>6307</v>
      </c>
      <c r="M660" s="24" t="n">
        <v>4.32</v>
      </c>
      <c r="N660" s="23">
        <f>ROUND(L660/M660, 0)</f>
        <v/>
      </c>
      <c r="O660" s="23">
        <f>ROUND(N660*'Methodology &amp; Assumptions'!$B$8, 0)</f>
        <v/>
      </c>
      <c r="P660" s="44" t="inlineStr">
        <is>
          <t>Band n50 (1.5 GHz, 60 MHz)</t>
        </is>
      </c>
      <c r="Q660" s="38">
        <f>ROUNDUP(O660/'Methodology &amp; Assumptions'!$B$9, 0)</f>
        <v/>
      </c>
      <c r="R660" s="39" t="n">
        <v>1</v>
      </c>
      <c r="S660" s="25" t="n">
        <v>1.04</v>
      </c>
      <c r="T660" s="25" t="n">
        <v>0.02</v>
      </c>
      <c r="U660" s="42" t="inlineStr">
        <is>
          <t>Tier 1B (Micro Drop, 1-3 km)</t>
        </is>
      </c>
      <c r="V660" s="24" t="n">
        <v>80.7</v>
      </c>
      <c r="W660" s="24" t="n">
        <v>100</v>
      </c>
      <c r="X660" s="24" t="n">
        <v>28</v>
      </c>
      <c r="Y660" s="45">
        <f>ROUND((V660*'Methodology &amp; Assumptions'!$B$6)+(W660*'Methodology &amp; Assumptions'!$B$5)+(X660*'Methodology &amp; Assumptions'!$B$7), 2)</f>
        <v/>
      </c>
    </row>
    <row r="661" ht="19" customHeight="1">
      <c r="A661" s="35" t="n">
        <v>657</v>
      </c>
      <c r="B661" s="35" t="n">
        <v>1657</v>
      </c>
      <c r="C661" s="36" t="inlineStr">
        <is>
          <t>0105510009</t>
        </is>
      </c>
      <c r="D661" s="36" t="inlineStr">
        <is>
          <t>Region I (Ilocos Region)</t>
        </is>
      </c>
      <c r="E661" s="36" t="inlineStr">
        <is>
          <t>Pangasinan</t>
        </is>
      </c>
      <c r="F661" s="36" t="inlineStr">
        <is>
          <t>Bautista</t>
        </is>
      </c>
      <c r="G661" s="36" t="inlineStr">
        <is>
          <t>Nibaliw Norte</t>
        </is>
      </c>
      <c r="H661" s="37" t="n">
        <v>15.81284</v>
      </c>
      <c r="I661" s="37" t="n">
        <v>120.4647</v>
      </c>
      <c r="J661" s="8" t="inlineStr">
        <is>
          <t>R</t>
        </is>
      </c>
      <c r="K661" s="36" t="inlineStr">
        <is>
          <t>3rd</t>
        </is>
      </c>
      <c r="L661" s="18" t="n">
        <v>2276</v>
      </c>
      <c r="M661" s="20" t="n">
        <v>4.69</v>
      </c>
      <c r="N661" s="18">
        <f>ROUND(L661/M661, 0)</f>
        <v/>
      </c>
      <c r="O661" s="18">
        <f>ROUND(N661*'Methodology &amp; Assumptions'!$B$8, 0)</f>
        <v/>
      </c>
      <c r="P661" s="8" t="inlineStr">
        <is>
          <t>Band n50 (1.5 GHz, 60 MHz)</t>
        </is>
      </c>
      <c r="Q661" s="38">
        <f>ROUNDUP(O661/'Methodology &amp; Assumptions'!$B$9, 0)</f>
        <v/>
      </c>
      <c r="R661" s="39" t="n">
        <v>1</v>
      </c>
      <c r="S661" s="21" t="n">
        <v>1.11</v>
      </c>
      <c r="T661" s="21" t="n">
        <v>0.88</v>
      </c>
      <c r="U661" s="36" t="inlineStr">
        <is>
          <t>Tier 1B (Micro Drop, 1-3 km)</t>
        </is>
      </c>
      <c r="V661" s="20" t="n">
        <v>79.09999999999999</v>
      </c>
      <c r="W661" s="20" t="n">
        <v>62.9</v>
      </c>
      <c r="X661" s="20" t="n">
        <v>73</v>
      </c>
      <c r="Y661" s="40">
        <f>ROUND((V661*'Methodology &amp; Assumptions'!$B$6)+(W661*'Methodology &amp; Assumptions'!$B$5)+(X661*'Methodology &amp; Assumptions'!$B$7), 2)</f>
        <v/>
      </c>
    </row>
    <row r="662" ht="19" customHeight="1">
      <c r="A662" s="41" t="n">
        <v>658</v>
      </c>
      <c r="B662" s="41" t="n">
        <v>1658</v>
      </c>
      <c r="C662" s="42" t="inlineStr">
        <is>
          <t>1004313009</t>
        </is>
      </c>
      <c r="D662" s="42" t="inlineStr">
        <is>
          <t>Region X (Northern Mindanao)</t>
        </is>
      </c>
      <c r="E662" s="42" t="inlineStr">
        <is>
          <t>Misamis Oriental</t>
        </is>
      </c>
      <c r="F662" s="42" t="inlineStr">
        <is>
          <t>Lagonglong</t>
        </is>
      </c>
      <c r="G662" s="42" t="inlineStr">
        <is>
          <t>Tabok</t>
        </is>
      </c>
      <c r="H662" s="43" t="n">
        <v>8.798812</v>
      </c>
      <c r="I662" s="43" t="n">
        <v>124.783184</v>
      </c>
      <c r="J662" s="44" t="inlineStr">
        <is>
          <t>R</t>
        </is>
      </c>
      <c r="K662" s="42" t="inlineStr">
        <is>
          <t>4th</t>
        </is>
      </c>
      <c r="L662" s="23" t="n">
        <v>2413</v>
      </c>
      <c r="M662" s="24" t="n">
        <v>4.72</v>
      </c>
      <c r="N662" s="23">
        <f>ROUND(L662/M662, 0)</f>
        <v/>
      </c>
      <c r="O662" s="23">
        <f>ROUND(N662*'Methodology &amp; Assumptions'!$B$8, 0)</f>
        <v/>
      </c>
      <c r="P662" s="44" t="inlineStr">
        <is>
          <t>Band n50 (1.5 GHz, 60 MHz)</t>
        </is>
      </c>
      <c r="Q662" s="38">
        <f>ROUNDUP(O662/'Methodology &amp; Assumptions'!$B$9, 0)</f>
        <v/>
      </c>
      <c r="R662" s="39" t="n">
        <v>1</v>
      </c>
      <c r="S662" s="25" t="n">
        <v>1.02</v>
      </c>
      <c r="T662" s="25" t="n">
        <v>0.43</v>
      </c>
      <c r="U662" s="42" t="inlineStr">
        <is>
          <t>Tier 1B (Micro Drop, 1-3 km)</t>
        </is>
      </c>
      <c r="V662" s="24" t="n">
        <v>81.09999999999999</v>
      </c>
      <c r="W662" s="24" t="n">
        <v>64.8</v>
      </c>
      <c r="X662" s="24" t="n">
        <v>68.5</v>
      </c>
      <c r="Y662" s="45">
        <f>ROUND((V662*'Methodology &amp; Assumptions'!$B$6)+(W662*'Methodology &amp; Assumptions'!$B$5)+(X662*'Methodology &amp; Assumptions'!$B$7), 2)</f>
        <v/>
      </c>
    </row>
    <row r="663" ht="19" customHeight="1">
      <c r="A663" s="35" t="n">
        <v>659</v>
      </c>
      <c r="B663" s="35" t="n">
        <v>1659</v>
      </c>
      <c r="C663" s="36" t="inlineStr">
        <is>
          <t>0301424004</t>
        </is>
      </c>
      <c r="D663" s="36" t="inlineStr">
        <is>
          <t>Region III (Central Luzon)</t>
        </is>
      </c>
      <c r="E663" s="36" t="inlineStr">
        <is>
          <t>Bulacan</t>
        </is>
      </c>
      <c r="F663" s="36" t="inlineStr">
        <is>
          <t>Doña Remedios Trinidad</t>
        </is>
      </c>
      <c r="G663" s="36" t="inlineStr">
        <is>
          <t>Camachile</t>
        </is>
      </c>
      <c r="H663" s="37" t="n">
        <v>14.980486</v>
      </c>
      <c r="I663" s="37" t="n">
        <v>121.072284</v>
      </c>
      <c r="J663" s="8" t="inlineStr">
        <is>
          <t>R</t>
        </is>
      </c>
      <c r="K663" s="36" t="inlineStr">
        <is>
          <t>Class 1-3 / Urban</t>
        </is>
      </c>
      <c r="L663" s="18" t="n">
        <v>4611</v>
      </c>
      <c r="M663" s="20" t="n">
        <v>4.1</v>
      </c>
      <c r="N663" s="18">
        <f>ROUND(L663/M663, 0)</f>
        <v/>
      </c>
      <c r="O663" s="18">
        <f>ROUND(N663*'Methodology &amp; Assumptions'!$B$8, 0)</f>
        <v/>
      </c>
      <c r="P663" s="8" t="inlineStr">
        <is>
          <t>Band n50 (1.5 GHz, 60 MHz)</t>
        </is>
      </c>
      <c r="Q663" s="38">
        <f>ROUNDUP(O663/'Methodology &amp; Assumptions'!$B$9, 0)</f>
        <v/>
      </c>
      <c r="R663" s="39" t="n">
        <v>1</v>
      </c>
      <c r="S663" s="21" t="n">
        <v>1.8</v>
      </c>
      <c r="T663" s="21" t="n">
        <v>14.06</v>
      </c>
      <c r="U663" s="36" t="inlineStr">
        <is>
          <t>Tier 1B (Micro Drop, 1-3 km)</t>
        </is>
      </c>
      <c r="V663" s="20" t="n">
        <v>54.9</v>
      </c>
      <c r="W663" s="20" t="n">
        <v>100</v>
      </c>
      <c r="X663" s="20" t="n">
        <v>58</v>
      </c>
      <c r="Y663" s="40">
        <f>ROUND((V663*'Methodology &amp; Assumptions'!$B$6)+(W663*'Methodology &amp; Assumptions'!$B$5)+(X663*'Methodology &amp; Assumptions'!$B$7), 2)</f>
        <v/>
      </c>
    </row>
    <row r="664" ht="19" customHeight="1">
      <c r="A664" s="41" t="n">
        <v>660</v>
      </c>
      <c r="B664" s="41" t="n">
        <v>1660</v>
      </c>
      <c r="C664" s="42" t="inlineStr">
        <is>
          <t>0205702011</t>
        </is>
      </c>
      <c r="D664" s="42" t="inlineStr">
        <is>
          <t>Region II (Cagayan Valley)</t>
        </is>
      </c>
      <c r="E664" s="42" t="inlineStr">
        <is>
          <t>Quirino</t>
        </is>
      </c>
      <c r="F664" s="42" t="inlineStr">
        <is>
          <t>Cabarroguis</t>
        </is>
      </c>
      <c r="G664" s="42" t="inlineStr">
        <is>
          <t>Zamora</t>
        </is>
      </c>
      <c r="H664" s="43" t="n">
        <v>16.506472</v>
      </c>
      <c r="I664" s="43" t="n">
        <v>121.521296</v>
      </c>
      <c r="J664" s="44" t="inlineStr">
        <is>
          <t>R</t>
        </is>
      </c>
      <c r="K664" s="42" t="inlineStr">
        <is>
          <t>Class 1-3 / Urban</t>
        </is>
      </c>
      <c r="L664" s="23" t="n">
        <v>3396</v>
      </c>
      <c r="M664" s="24" t="n">
        <v>4.03</v>
      </c>
      <c r="N664" s="23">
        <f>ROUND(L664/M664, 0)</f>
        <v/>
      </c>
      <c r="O664" s="23">
        <f>ROUND(N664*'Methodology &amp; Assumptions'!$B$8, 0)</f>
        <v/>
      </c>
      <c r="P664" s="44" t="inlineStr">
        <is>
          <t>Band n50 (1.5 GHz, 60 MHz)</t>
        </is>
      </c>
      <c r="Q664" s="38">
        <f>ROUNDUP(O664/'Methodology &amp; Assumptions'!$B$9, 0)</f>
        <v/>
      </c>
      <c r="R664" s="39" t="n">
        <v>1</v>
      </c>
      <c r="S664" s="25" t="n">
        <v>1.37</v>
      </c>
      <c r="T664" s="25" t="n">
        <v>3.04</v>
      </c>
      <c r="U664" s="42" t="inlineStr">
        <is>
          <t>Tier 1B (Micro Drop, 1-3 km)</t>
        </is>
      </c>
      <c r="V664" s="24" t="n">
        <v>63.4</v>
      </c>
      <c r="W664" s="24" t="n">
        <v>91.5</v>
      </c>
      <c r="X664" s="24" t="n">
        <v>58</v>
      </c>
      <c r="Y664" s="45">
        <f>ROUND((V664*'Methodology &amp; Assumptions'!$B$6)+(W664*'Methodology &amp; Assumptions'!$B$5)+(X664*'Methodology &amp; Assumptions'!$B$7), 2)</f>
        <v/>
      </c>
    </row>
    <row r="665" ht="19" customHeight="1">
      <c r="A665" s="35" t="n">
        <v>661</v>
      </c>
      <c r="B665" s="35" t="n">
        <v>1661</v>
      </c>
      <c r="C665" s="36" t="inlineStr">
        <is>
          <t>0403428004</t>
        </is>
      </c>
      <c r="D665" s="36" t="inlineStr">
        <is>
          <t>Region IV-A (CALABARZON)</t>
        </is>
      </c>
      <c r="E665" s="36" t="inlineStr">
        <is>
          <t>Laguna</t>
        </is>
      </c>
      <c r="F665" s="36" t="inlineStr">
        <is>
          <t>City of Santa Rosa</t>
        </is>
      </c>
      <c r="G665" s="36" t="inlineStr">
        <is>
          <t>Dila</t>
        </is>
      </c>
      <c r="H665" s="37" t="n">
        <v>14.288223</v>
      </c>
      <c r="I665" s="37" t="n">
        <v>121.108585</v>
      </c>
      <c r="J665" s="8" t="inlineStr">
        <is>
          <t>U</t>
        </is>
      </c>
      <c r="K665" s="36" t="inlineStr">
        <is>
          <t>Class 1-3 / Urban</t>
        </is>
      </c>
      <c r="L665" s="18" t="n">
        <v>39496</v>
      </c>
      <c r="M665" s="20" t="n">
        <v>4.2</v>
      </c>
      <c r="N665" s="18">
        <f>ROUND(L665/M665, 0)</f>
        <v/>
      </c>
      <c r="O665" s="18">
        <f>ROUND(N665*'Methodology &amp; Assumptions'!$B$8, 0)</f>
        <v/>
      </c>
      <c r="P665" s="8" t="inlineStr">
        <is>
          <t>Band n50 (1.5 GHz, 60 MHz)</t>
        </is>
      </c>
      <c r="Q665" s="38">
        <f>ROUNDUP(O665/'Methodology &amp; Assumptions'!$B$9, 0)</f>
        <v/>
      </c>
      <c r="R665" s="39" t="n">
        <v>1</v>
      </c>
      <c r="S665" s="21" t="n">
        <v>0.95</v>
      </c>
      <c r="T665" s="21" t="n">
        <v>0.27</v>
      </c>
      <c r="U665" s="36" t="inlineStr">
        <is>
          <t>Tier 1A (Direct Coloc, &lt;1 km)</t>
        </is>
      </c>
      <c r="V665" s="20" t="n">
        <v>82.90000000000001</v>
      </c>
      <c r="W665" s="20" t="n">
        <v>97.8</v>
      </c>
      <c r="X665" s="20" t="n">
        <v>28</v>
      </c>
      <c r="Y665" s="40">
        <f>ROUND((V665*'Methodology &amp; Assumptions'!$B$6)+(W665*'Methodology &amp; Assumptions'!$B$5)+(X665*'Methodology &amp; Assumptions'!$B$7), 2)</f>
        <v/>
      </c>
    </row>
    <row r="666" ht="19" customHeight="1">
      <c r="A666" s="41" t="n">
        <v>662</v>
      </c>
      <c r="B666" s="41" t="n">
        <v>1662</v>
      </c>
      <c r="C666" s="42" t="inlineStr">
        <is>
          <t>0403404005</t>
        </is>
      </c>
      <c r="D666" s="42" t="inlineStr">
        <is>
          <t>Region IV-A (CALABARZON)</t>
        </is>
      </c>
      <c r="E666" s="42" t="inlineStr">
        <is>
          <t>Laguna</t>
        </is>
      </c>
      <c r="F666" s="42" t="inlineStr">
        <is>
          <t>City of Cabuyao</t>
        </is>
      </c>
      <c r="G666" s="42" t="inlineStr">
        <is>
          <t>Bigaa</t>
        </is>
      </c>
      <c r="H666" s="43" t="n">
        <v>14.290763</v>
      </c>
      <c r="I666" s="43" t="n">
        <v>121.128754</v>
      </c>
      <c r="J666" s="44" t="inlineStr">
        <is>
          <t>U</t>
        </is>
      </c>
      <c r="K666" s="42" t="inlineStr">
        <is>
          <t>Class 1-3 / Urban</t>
        </is>
      </c>
      <c r="L666" s="23" t="n">
        <v>13665</v>
      </c>
      <c r="M666" s="24" t="n">
        <v>4.2</v>
      </c>
      <c r="N666" s="23">
        <f>ROUND(L666/M666, 0)</f>
        <v/>
      </c>
      <c r="O666" s="23">
        <f>ROUND(N666*'Methodology &amp; Assumptions'!$B$8, 0)</f>
        <v/>
      </c>
      <c r="P666" s="44" t="inlineStr">
        <is>
          <t>Band n50 (1.5 GHz, 60 MHz)</t>
        </is>
      </c>
      <c r="Q666" s="38">
        <f>ROUNDUP(O666/'Methodology &amp; Assumptions'!$B$9, 0)</f>
        <v/>
      </c>
      <c r="R666" s="39" t="n">
        <v>1</v>
      </c>
      <c r="S666" s="25" t="n">
        <v>1.04</v>
      </c>
      <c r="T666" s="25" t="n">
        <v>2</v>
      </c>
      <c r="U666" s="42" t="inlineStr">
        <is>
          <t>Tier 1B (Micro Drop, 1-3 km)</t>
        </is>
      </c>
      <c r="V666" s="24" t="n">
        <v>80.59999999999999</v>
      </c>
      <c r="W666" s="24" t="n">
        <v>100</v>
      </c>
      <c r="X666" s="24" t="n">
        <v>28</v>
      </c>
      <c r="Y666" s="45">
        <f>ROUND((V666*'Methodology &amp; Assumptions'!$B$6)+(W666*'Methodology &amp; Assumptions'!$B$5)+(X666*'Methodology &amp; Assumptions'!$B$7), 2)</f>
        <v/>
      </c>
    </row>
    <row r="667" ht="19" customHeight="1">
      <c r="A667" s="35" t="n">
        <v>663</v>
      </c>
      <c r="B667" s="35" t="n">
        <v>1663</v>
      </c>
      <c r="C667" s="36" t="inlineStr">
        <is>
          <t>0631000115</t>
        </is>
      </c>
      <c r="D667" s="36" t="inlineStr">
        <is>
          <t>Region VI (Western Visayas)</t>
        </is>
      </c>
      <c r="E667" s="36" t="inlineStr">
        <is>
          <t>Iloilo</t>
        </is>
      </c>
      <c r="F667" s="36" t="inlineStr">
        <is>
          <t>City of Iloilo</t>
        </is>
      </c>
      <c r="G667" s="36" t="inlineStr">
        <is>
          <t>Navais</t>
        </is>
      </c>
      <c r="H667" s="37" t="n">
        <v>10.704167</v>
      </c>
      <c r="I667" s="37" t="n">
        <v>122.533551</v>
      </c>
      <c r="J667" s="8" t="inlineStr">
        <is>
          <t>R</t>
        </is>
      </c>
      <c r="K667" s="36" t="inlineStr">
        <is>
          <t>Class 1-3 / Urban</t>
        </is>
      </c>
      <c r="L667" s="18" t="n">
        <v>4527</v>
      </c>
      <c r="M667" s="20" t="n">
        <v>4.39</v>
      </c>
      <c r="N667" s="18">
        <f>ROUND(L667/M667, 0)</f>
        <v/>
      </c>
      <c r="O667" s="18">
        <f>ROUND(N667*'Methodology &amp; Assumptions'!$B$8, 0)</f>
        <v/>
      </c>
      <c r="P667" s="8" t="inlineStr">
        <is>
          <t>Band n50 (1.5 GHz, 60 MHz)</t>
        </is>
      </c>
      <c r="Q667" s="38">
        <f>ROUNDUP(O667/'Methodology &amp; Assumptions'!$B$9, 0)</f>
        <v/>
      </c>
      <c r="R667" s="39" t="n">
        <v>1</v>
      </c>
      <c r="S667" s="21" t="n">
        <v>1.8</v>
      </c>
      <c r="T667" s="21" t="n">
        <v>3.37</v>
      </c>
      <c r="U667" s="36" t="inlineStr">
        <is>
          <t>Tier 1B (Micro Drop, 1-3 km)</t>
        </is>
      </c>
      <c r="V667" s="20" t="n">
        <v>54.9</v>
      </c>
      <c r="W667" s="20" t="n">
        <v>100</v>
      </c>
      <c r="X667" s="20" t="n">
        <v>58</v>
      </c>
      <c r="Y667" s="40">
        <f>ROUND((V667*'Methodology &amp; Assumptions'!$B$6)+(W667*'Methodology &amp; Assumptions'!$B$5)+(X667*'Methodology &amp; Assumptions'!$B$7), 2)</f>
        <v/>
      </c>
    </row>
    <row r="668" ht="19" customHeight="1">
      <c r="A668" s="41" t="n">
        <v>664</v>
      </c>
      <c r="B668" s="41" t="n">
        <v>1664</v>
      </c>
      <c r="C668" s="42" t="inlineStr">
        <is>
          <t>0631000005</t>
        </is>
      </c>
      <c r="D668" s="42" t="inlineStr">
        <is>
          <t>Region VI (Western Visayas)</t>
        </is>
      </c>
      <c r="E668" s="42" t="inlineStr">
        <is>
          <t>Iloilo</t>
        </is>
      </c>
      <c r="F668" s="42" t="inlineStr">
        <is>
          <t>City of Iloilo</t>
        </is>
      </c>
      <c r="G668" s="42" t="inlineStr">
        <is>
          <t>Alalasan Lapuz</t>
        </is>
      </c>
      <c r="H668" s="43" t="n">
        <v>10.705572</v>
      </c>
      <c r="I668" s="43" t="n">
        <v>122.573507</v>
      </c>
      <c r="J668" s="44" t="inlineStr">
        <is>
          <t>R</t>
        </is>
      </c>
      <c r="K668" s="42" t="inlineStr">
        <is>
          <t>Class 1-3 / Urban</t>
        </is>
      </c>
      <c r="L668" s="23" t="n">
        <v>2829</v>
      </c>
      <c r="M668" s="24" t="n">
        <v>4.39</v>
      </c>
      <c r="N668" s="23">
        <f>ROUND(L668/M668, 0)</f>
        <v/>
      </c>
      <c r="O668" s="23">
        <f>ROUND(N668*'Methodology &amp; Assumptions'!$B$8, 0)</f>
        <v/>
      </c>
      <c r="P668" s="44" t="inlineStr">
        <is>
          <t>Band n50 (1.5 GHz, 60 MHz)</t>
        </is>
      </c>
      <c r="Q668" s="38">
        <f>ROUNDUP(O668/'Methodology &amp; Assumptions'!$B$9, 0)</f>
        <v/>
      </c>
      <c r="R668" s="39" t="n">
        <v>1</v>
      </c>
      <c r="S668" s="25" t="n">
        <v>1.1</v>
      </c>
      <c r="T668" s="25" t="n">
        <v>0.44</v>
      </c>
      <c r="U668" s="42" t="inlineStr">
        <is>
          <t>Tier 1B (Micro Drop, 1-3 km)</t>
        </is>
      </c>
      <c r="V668" s="24" t="n">
        <v>79.40000000000001</v>
      </c>
      <c r="W668" s="24" t="n">
        <v>75.5</v>
      </c>
      <c r="X668" s="24" t="n">
        <v>58</v>
      </c>
      <c r="Y668" s="45">
        <f>ROUND((V668*'Methodology &amp; Assumptions'!$B$6)+(W668*'Methodology &amp; Assumptions'!$B$5)+(X668*'Methodology &amp; Assumptions'!$B$7), 2)</f>
        <v/>
      </c>
    </row>
    <row r="669" ht="19" customHeight="1">
      <c r="A669" s="35" t="n">
        <v>665</v>
      </c>
      <c r="B669" s="35" t="n">
        <v>1665</v>
      </c>
      <c r="C669" s="36" t="inlineStr">
        <is>
          <t>0304902028</t>
        </is>
      </c>
      <c r="D669" s="36" t="inlineStr">
        <is>
          <t>Region III (Central Luzon)</t>
        </is>
      </c>
      <c r="E669" s="36" t="inlineStr">
        <is>
          <t>Nueva Ecija</t>
        </is>
      </c>
      <c r="F669" s="36" t="inlineStr">
        <is>
          <t>Bongabon</t>
        </is>
      </c>
      <c r="G669" s="36" t="inlineStr">
        <is>
          <t>Tulay na Bato</t>
        </is>
      </c>
      <c r="H669" s="37" t="n">
        <v>15.626661</v>
      </c>
      <c r="I669" s="37" t="n">
        <v>121.140299</v>
      </c>
      <c r="J669" s="8" t="inlineStr">
        <is>
          <t>R</t>
        </is>
      </c>
      <c r="K669" s="36" t="inlineStr">
        <is>
          <t>Class 1-3 / Urban</t>
        </is>
      </c>
      <c r="L669" s="18" t="n">
        <v>2291</v>
      </c>
      <c r="M669" s="20" t="n">
        <v>4.32</v>
      </c>
      <c r="N669" s="18">
        <f>ROUND(L669/M669, 0)</f>
        <v/>
      </c>
      <c r="O669" s="18">
        <f>ROUND(N669*'Methodology &amp; Assumptions'!$B$8, 0)</f>
        <v/>
      </c>
      <c r="P669" s="8" t="inlineStr">
        <is>
          <t>Band n50 (1.5 GHz, 60 MHz)</t>
        </is>
      </c>
      <c r="Q669" s="38">
        <f>ROUNDUP(O669/'Methodology &amp; Assumptions'!$B$9, 0)</f>
        <v/>
      </c>
      <c r="R669" s="39" t="n">
        <v>1</v>
      </c>
      <c r="S669" s="21" t="n">
        <v>0.73</v>
      </c>
      <c r="T669" s="21" t="n">
        <v>0.73</v>
      </c>
      <c r="U669" s="36" t="inlineStr">
        <is>
          <t>Tier 1A (Direct Coloc, &lt;1 km)</t>
        </is>
      </c>
      <c r="V669" s="20" t="n">
        <v>88.5</v>
      </c>
      <c r="W669" s="20" t="n">
        <v>66.40000000000001</v>
      </c>
      <c r="X669" s="20" t="n">
        <v>58</v>
      </c>
      <c r="Y669" s="40">
        <f>ROUND((V669*'Methodology &amp; Assumptions'!$B$6)+(W669*'Methodology &amp; Assumptions'!$B$5)+(X669*'Methodology &amp; Assumptions'!$B$7), 2)</f>
        <v/>
      </c>
    </row>
    <row r="670" ht="19" customHeight="1">
      <c r="A670" s="41" t="n">
        <v>666</v>
      </c>
      <c r="B670" s="41" t="n">
        <v>1666</v>
      </c>
      <c r="C670" s="42" t="inlineStr">
        <is>
          <t>0401018002</t>
        </is>
      </c>
      <c r="D670" s="42" t="inlineStr">
        <is>
          <t>Region IV-A (CALABARZON)</t>
        </is>
      </c>
      <c r="E670" s="42" t="inlineStr">
        <is>
          <t>Batangas</t>
        </is>
      </c>
      <c r="F670" s="42" t="inlineStr">
        <is>
          <t>Mataasnakahoy</t>
        </is>
      </c>
      <c r="G670" s="42" t="inlineStr">
        <is>
          <t>District II</t>
        </is>
      </c>
      <c r="H670" s="43" t="n">
        <v>13.95979</v>
      </c>
      <c r="I670" s="43" t="n">
        <v>121.114113</v>
      </c>
      <c r="J670" s="44" t="inlineStr">
        <is>
          <t>R</t>
        </is>
      </c>
      <c r="K670" s="42" t="inlineStr">
        <is>
          <t>3rd</t>
        </is>
      </c>
      <c r="L670" s="23" t="n">
        <v>2157</v>
      </c>
      <c r="M670" s="24" t="n">
        <v>4.23</v>
      </c>
      <c r="N670" s="23">
        <f>ROUND(L670/M670, 0)</f>
        <v/>
      </c>
      <c r="O670" s="23">
        <f>ROUND(N670*'Methodology &amp; Assumptions'!$B$8, 0)</f>
        <v/>
      </c>
      <c r="P670" s="44" t="inlineStr">
        <is>
          <t>Band n50 (1.5 GHz, 60 MHz)</t>
        </is>
      </c>
      <c r="Q670" s="38">
        <f>ROUNDUP(O670/'Methodology &amp; Assumptions'!$B$9, 0)</f>
        <v/>
      </c>
      <c r="R670" s="39" t="n">
        <v>1</v>
      </c>
      <c r="S670" s="25" t="n">
        <v>0.31</v>
      </c>
      <c r="T670" s="25" t="n">
        <v>2.33</v>
      </c>
      <c r="U670" s="42" t="inlineStr">
        <is>
          <t>Tier 1A (Direct Coloc, &lt;1 km)</t>
        </is>
      </c>
      <c r="V670" s="24" t="n">
        <v>90.09999999999999</v>
      </c>
      <c r="W670" s="24" t="n">
        <v>64.8</v>
      </c>
      <c r="X670" s="24" t="n">
        <v>58</v>
      </c>
      <c r="Y670" s="45">
        <f>ROUND((V670*'Methodology &amp; Assumptions'!$B$6)+(W670*'Methodology &amp; Assumptions'!$B$5)+(X670*'Methodology &amp; Assumptions'!$B$7), 2)</f>
        <v/>
      </c>
    </row>
    <row r="671" ht="19" customHeight="1">
      <c r="A671" s="35" t="n">
        <v>667</v>
      </c>
      <c r="B671" s="35" t="n">
        <v>1667</v>
      </c>
      <c r="C671" s="36" t="inlineStr">
        <is>
          <t>0731300021</t>
        </is>
      </c>
      <c r="D671" s="36" t="inlineStr">
        <is>
          <t>Region VII (Central Visayas)</t>
        </is>
      </c>
      <c r="E671" s="36" t="inlineStr">
        <is>
          <t>Cebu</t>
        </is>
      </c>
      <c r="F671" s="36" t="inlineStr">
        <is>
          <t>City of Mandaue</t>
        </is>
      </c>
      <c r="G671" s="36" t="inlineStr">
        <is>
          <t>Pagsabungan</t>
        </is>
      </c>
      <c r="H671" s="37" t="n">
        <v>10.356459</v>
      </c>
      <c r="I671" s="37" t="n">
        <v>123.940771</v>
      </c>
      <c r="J671" s="8" t="inlineStr">
        <is>
          <t>U</t>
        </is>
      </c>
      <c r="K671" s="36" t="inlineStr">
        <is>
          <t>Class 1-3 / Urban</t>
        </is>
      </c>
      <c r="L671" s="18" t="n">
        <v>20266</v>
      </c>
      <c r="M671" s="20" t="n">
        <v>4.42</v>
      </c>
      <c r="N671" s="18">
        <f>ROUND(L671/M671, 0)</f>
        <v/>
      </c>
      <c r="O671" s="18">
        <f>ROUND(N671*'Methodology &amp; Assumptions'!$B$8, 0)</f>
        <v/>
      </c>
      <c r="P671" s="8" t="inlineStr">
        <is>
          <t>Band n50 (1.5 GHz, 60 MHz)</t>
        </is>
      </c>
      <c r="Q671" s="38">
        <f>ROUNDUP(O671/'Methodology &amp; Assumptions'!$B$9, 0)</f>
        <v/>
      </c>
      <c r="R671" s="39" t="n">
        <v>1</v>
      </c>
      <c r="S671" s="21" t="n">
        <v>1.05</v>
      </c>
      <c r="T671" s="21" t="n">
        <v>1.01</v>
      </c>
      <c r="U671" s="36" t="inlineStr">
        <is>
          <t>Tier 1B (Micro Drop, 1-3 km)</t>
        </is>
      </c>
      <c r="V671" s="20" t="n">
        <v>80.59999999999999</v>
      </c>
      <c r="W671" s="20" t="n">
        <v>100</v>
      </c>
      <c r="X671" s="20" t="n">
        <v>28</v>
      </c>
      <c r="Y671" s="40">
        <f>ROUND((V671*'Methodology &amp; Assumptions'!$B$6)+(W671*'Methodology &amp; Assumptions'!$B$5)+(X671*'Methodology &amp; Assumptions'!$B$7), 2)</f>
        <v/>
      </c>
    </row>
    <row r="672" ht="19" customHeight="1">
      <c r="A672" s="41" t="n">
        <v>668</v>
      </c>
      <c r="B672" s="41" t="n">
        <v>1668</v>
      </c>
      <c r="C672" s="42" t="inlineStr">
        <is>
          <t>0402101010</t>
        </is>
      </c>
      <c r="D672" s="42" t="inlineStr">
        <is>
          <t>Region IV-A (CALABARZON)</t>
        </is>
      </c>
      <c r="E672" s="42" t="inlineStr">
        <is>
          <t>Cavite</t>
        </is>
      </c>
      <c r="F672" s="42" t="inlineStr">
        <is>
          <t>Alfonso</t>
        </is>
      </c>
      <c r="G672" s="42" t="inlineStr">
        <is>
          <t>Luksuhin</t>
        </is>
      </c>
      <c r="H672" s="43" t="n">
        <v>14.093553</v>
      </c>
      <c r="I672" s="43" t="n">
        <v>120.880576</v>
      </c>
      <c r="J672" s="44" t="inlineStr">
        <is>
          <t>U</t>
        </is>
      </c>
      <c r="K672" s="42" t="inlineStr">
        <is>
          <t>Class 1-3 / Urban</t>
        </is>
      </c>
      <c r="L672" s="23" t="n">
        <v>4774</v>
      </c>
      <c r="M672" s="24" t="n">
        <v>4.49</v>
      </c>
      <c r="N672" s="23">
        <f>ROUND(L672/M672, 0)</f>
        <v/>
      </c>
      <c r="O672" s="23">
        <f>ROUND(N672*'Methodology &amp; Assumptions'!$B$8, 0)</f>
        <v/>
      </c>
      <c r="P672" s="44" t="inlineStr">
        <is>
          <t>Band n50 (1.5 GHz, 60 MHz)</t>
        </is>
      </c>
      <c r="Q672" s="38">
        <f>ROUNDUP(O672/'Methodology &amp; Assumptions'!$B$9, 0)</f>
        <v/>
      </c>
      <c r="R672" s="39" t="n">
        <v>1</v>
      </c>
      <c r="S672" s="25" t="n">
        <v>1.05</v>
      </c>
      <c r="T672" s="25" t="n">
        <v>1.04</v>
      </c>
      <c r="U672" s="42" t="inlineStr">
        <is>
          <t>Tier 1B (Micro Drop, 1-3 km)</t>
        </is>
      </c>
      <c r="V672" s="24" t="n">
        <v>80.59999999999999</v>
      </c>
      <c r="W672" s="24" t="n">
        <v>100</v>
      </c>
      <c r="X672" s="24" t="n">
        <v>28</v>
      </c>
      <c r="Y672" s="45">
        <f>ROUND((V672*'Methodology &amp; Assumptions'!$B$6)+(W672*'Methodology &amp; Assumptions'!$B$5)+(X672*'Methodology &amp; Assumptions'!$B$7), 2)</f>
        <v/>
      </c>
    </row>
    <row r="673" ht="19" customHeight="1">
      <c r="A673" s="35" t="n">
        <v>669</v>
      </c>
      <c r="B673" s="35" t="n">
        <v>1669</v>
      </c>
      <c r="C673" s="36" t="inlineStr">
        <is>
          <t>0301405001</t>
        </is>
      </c>
      <c r="D673" s="36" t="inlineStr">
        <is>
          <t>Region III (Central Luzon)</t>
        </is>
      </c>
      <c r="E673" s="36" t="inlineStr">
        <is>
          <t>Bulacan</t>
        </is>
      </c>
      <c r="F673" s="36" t="inlineStr">
        <is>
          <t>Bulacan</t>
        </is>
      </c>
      <c r="G673" s="36" t="inlineStr">
        <is>
          <t>Bagumbayan</t>
        </is>
      </c>
      <c r="H673" s="37" t="n">
        <v>14.790264</v>
      </c>
      <c r="I673" s="37" t="n">
        <v>120.87791</v>
      </c>
      <c r="J673" s="8" t="inlineStr">
        <is>
          <t>U</t>
        </is>
      </c>
      <c r="K673" s="36" t="inlineStr">
        <is>
          <t>Class 1-3 / Urban</t>
        </is>
      </c>
      <c r="L673" s="18" t="n">
        <v>4297</v>
      </c>
      <c r="M673" s="20" t="n">
        <v>4.1</v>
      </c>
      <c r="N673" s="18">
        <f>ROUND(L673/M673, 0)</f>
        <v/>
      </c>
      <c r="O673" s="18">
        <f>ROUND(N673*'Methodology &amp; Assumptions'!$B$8, 0)</f>
        <v/>
      </c>
      <c r="P673" s="8" t="inlineStr">
        <is>
          <t>Band n50 (1.5 GHz, 60 MHz)</t>
        </is>
      </c>
      <c r="Q673" s="38">
        <f>ROUNDUP(O673/'Methodology &amp; Assumptions'!$B$9, 0)</f>
        <v/>
      </c>
      <c r="R673" s="39" t="n">
        <v>1</v>
      </c>
      <c r="S673" s="21" t="n">
        <v>0.65</v>
      </c>
      <c r="T673" s="21" t="n">
        <v>4.21</v>
      </c>
      <c r="U673" s="36" t="inlineStr">
        <is>
          <t>Tier 1A (Direct Coloc, &lt;1 km)</t>
        </is>
      </c>
      <c r="V673" s="20" t="n">
        <v>80.59999999999999</v>
      </c>
      <c r="W673" s="20" t="n">
        <v>100</v>
      </c>
      <c r="X673" s="20" t="n">
        <v>28</v>
      </c>
      <c r="Y673" s="40">
        <f>ROUND((V673*'Methodology &amp; Assumptions'!$B$6)+(W673*'Methodology &amp; Assumptions'!$B$5)+(X673*'Methodology &amp; Assumptions'!$B$7), 2)</f>
        <v/>
      </c>
    </row>
    <row r="674" ht="19" customHeight="1">
      <c r="A674" s="41" t="n">
        <v>670</v>
      </c>
      <c r="B674" s="41" t="n">
        <v>1670</v>
      </c>
      <c r="C674" s="42" t="inlineStr">
        <is>
          <t>1430300079</t>
        </is>
      </c>
      <c r="D674" s="42" t="inlineStr">
        <is>
          <t>Cordillera Administrative Region (CAR)</t>
        </is>
      </c>
      <c r="E674" s="42" t="inlineStr">
        <is>
          <t>Benguet</t>
        </is>
      </c>
      <c r="F674" s="42" t="inlineStr">
        <is>
          <t>City of Baguio</t>
        </is>
      </c>
      <c r="G674" s="42" t="inlineStr">
        <is>
          <t>Sanitary Camp, North</t>
        </is>
      </c>
      <c r="H674" s="43" t="n">
        <v>16.42994</v>
      </c>
      <c r="I674" s="43" t="n">
        <v>120.59869</v>
      </c>
      <c r="J674" s="44" t="inlineStr">
        <is>
          <t>R</t>
        </is>
      </c>
      <c r="K674" s="42" t="inlineStr">
        <is>
          <t>Class 1-3 / Urban</t>
        </is>
      </c>
      <c r="L674" s="23" t="n">
        <v>2636</v>
      </c>
      <c r="M674" s="24" t="n">
        <v>4.58</v>
      </c>
      <c r="N674" s="23">
        <f>ROUND(L674/M674, 0)</f>
        <v/>
      </c>
      <c r="O674" s="23">
        <f>ROUND(N674*'Methodology &amp; Assumptions'!$B$8, 0)</f>
        <v/>
      </c>
      <c r="P674" s="44" t="inlineStr">
        <is>
          <t>Band n50 (1.5 GHz, 60 MHz)</t>
        </is>
      </c>
      <c r="Q674" s="38">
        <f>ROUNDUP(O674/'Methodology &amp; Assumptions'!$B$9, 0)</f>
        <v/>
      </c>
      <c r="R674" s="39" t="n">
        <v>1</v>
      </c>
      <c r="S674" s="25" t="n">
        <v>0.72</v>
      </c>
      <c r="T674" s="25" t="n">
        <v>1.84</v>
      </c>
      <c r="U674" s="42" t="inlineStr">
        <is>
          <t>Tier 1A (Direct Coloc, &lt;1 km)</t>
        </is>
      </c>
      <c r="V674" s="24" t="n">
        <v>88.7</v>
      </c>
      <c r="W674" s="24" t="n">
        <v>66.09999999999999</v>
      </c>
      <c r="X674" s="24" t="n">
        <v>58</v>
      </c>
      <c r="Y674" s="45">
        <f>ROUND((V674*'Methodology &amp; Assumptions'!$B$6)+(W674*'Methodology &amp; Assumptions'!$B$5)+(X674*'Methodology &amp; Assumptions'!$B$7), 2)</f>
        <v/>
      </c>
    </row>
    <row r="675" ht="19" customHeight="1">
      <c r="A675" s="35" t="n">
        <v>671</v>
      </c>
      <c r="B675" s="35" t="n">
        <v>1671</v>
      </c>
      <c r="C675" s="36" t="inlineStr">
        <is>
          <t>0405813003</t>
        </is>
      </c>
      <c r="D675" s="36" t="inlineStr">
        <is>
          <t>Region IV-A (CALABARZON)</t>
        </is>
      </c>
      <c r="E675" s="36" t="inlineStr">
        <is>
          <t>Rizal</t>
        </is>
      </c>
      <c r="F675" s="36" t="inlineStr">
        <is>
          <t>Taytay</t>
        </is>
      </c>
      <c r="G675" s="36" t="inlineStr">
        <is>
          <t>San Isidro</t>
        </is>
      </c>
      <c r="H675" s="37" t="n">
        <v>14.57777</v>
      </c>
      <c r="I675" s="37" t="n">
        <v>121.135</v>
      </c>
      <c r="J675" s="8" t="inlineStr">
        <is>
          <t>U</t>
        </is>
      </c>
      <c r="K675" s="36" t="inlineStr">
        <is>
          <t>Class 1-3 / Urban</t>
        </is>
      </c>
      <c r="L675" s="18" t="n">
        <v>41455</v>
      </c>
      <c r="M675" s="20" t="n">
        <v>4.39</v>
      </c>
      <c r="N675" s="18">
        <f>ROUND(L675/M675, 0)</f>
        <v/>
      </c>
      <c r="O675" s="18">
        <f>ROUND(N675*'Methodology &amp; Assumptions'!$B$8, 0)</f>
        <v/>
      </c>
      <c r="P675" s="8" t="inlineStr">
        <is>
          <t>Band n50 (1.5 GHz, 60 MHz)</t>
        </is>
      </c>
      <c r="Q675" s="38">
        <f>ROUNDUP(O675/'Methodology &amp; Assumptions'!$B$9, 0)</f>
        <v/>
      </c>
      <c r="R675" s="39" t="n">
        <v>1</v>
      </c>
      <c r="S675" s="21" t="n">
        <v>0.95</v>
      </c>
      <c r="T675" s="21" t="n">
        <v>0.26</v>
      </c>
      <c r="U675" s="36" t="inlineStr">
        <is>
          <t>Tier 1A (Direct Coloc, &lt;1 km)</t>
        </is>
      </c>
      <c r="V675" s="20" t="n">
        <v>82.8</v>
      </c>
      <c r="W675" s="20" t="n">
        <v>97.8</v>
      </c>
      <c r="X675" s="20" t="n">
        <v>28</v>
      </c>
      <c r="Y675" s="40">
        <f>ROUND((V675*'Methodology &amp; Assumptions'!$B$6)+(W675*'Methodology &amp; Assumptions'!$B$5)+(X675*'Methodology &amp; Assumptions'!$B$7), 2)</f>
        <v/>
      </c>
    </row>
    <row r="676" ht="19" customHeight="1">
      <c r="A676" s="41" t="n">
        <v>672</v>
      </c>
      <c r="B676" s="41" t="n">
        <v>1672</v>
      </c>
      <c r="C676" s="42" t="inlineStr">
        <is>
          <t>0306914012</t>
        </is>
      </c>
      <c r="D676" s="42" t="inlineStr">
        <is>
          <t>Region III (Central Luzon)</t>
        </is>
      </c>
      <c r="E676" s="42" t="inlineStr">
        <is>
          <t>Tarlac</t>
        </is>
      </c>
      <c r="F676" s="42" t="inlineStr">
        <is>
          <t>San Manuel</t>
        </is>
      </c>
      <c r="G676" s="42" t="inlineStr">
        <is>
          <t>San Miguel</t>
        </is>
      </c>
      <c r="H676" s="43" t="n">
        <v>15.803494</v>
      </c>
      <c r="I676" s="43" t="n">
        <v>120.607973</v>
      </c>
      <c r="J676" s="44" t="inlineStr">
        <is>
          <t>R</t>
        </is>
      </c>
      <c r="K676" s="42" t="inlineStr">
        <is>
          <t>1st</t>
        </is>
      </c>
      <c r="L676" s="23" t="n">
        <v>2447</v>
      </c>
      <c r="M676" s="24" t="n">
        <v>4.47</v>
      </c>
      <c r="N676" s="23">
        <f>ROUND(L676/M676, 0)</f>
        <v/>
      </c>
      <c r="O676" s="23">
        <f>ROUND(N676*'Methodology &amp; Assumptions'!$B$8, 0)</f>
        <v/>
      </c>
      <c r="P676" s="44" t="inlineStr">
        <is>
          <t>Band n50 (1.5 GHz, 60 MHz)</t>
        </is>
      </c>
      <c r="Q676" s="38">
        <f>ROUNDUP(O676/'Methodology &amp; Assumptions'!$B$9, 0)</f>
        <v/>
      </c>
      <c r="R676" s="39" t="n">
        <v>1</v>
      </c>
      <c r="S676" s="25" t="n">
        <v>0.78</v>
      </c>
      <c r="T676" s="25" t="n">
        <v>0.04</v>
      </c>
      <c r="U676" s="42" t="inlineStr">
        <is>
          <t>Tier 1A (Direct Coloc, &lt;1 km)</t>
        </is>
      </c>
      <c r="V676" s="24" t="n">
        <v>87.09999999999999</v>
      </c>
      <c r="W676" s="24" t="n">
        <v>67.7</v>
      </c>
      <c r="X676" s="24" t="n">
        <v>58</v>
      </c>
      <c r="Y676" s="45">
        <f>ROUND((V676*'Methodology &amp; Assumptions'!$B$6)+(W676*'Methodology &amp; Assumptions'!$B$5)+(X676*'Methodology &amp; Assumptions'!$B$7), 2)</f>
        <v/>
      </c>
    </row>
    <row r="677" ht="19" customHeight="1">
      <c r="A677" s="35" t="n">
        <v>673</v>
      </c>
      <c r="B677" s="35" t="n">
        <v>1673</v>
      </c>
      <c r="C677" s="36" t="inlineStr">
        <is>
          <t>0402117021</t>
        </is>
      </c>
      <c r="D677" s="36" t="inlineStr">
        <is>
          <t>Region IV-A (CALABARZON)</t>
        </is>
      </c>
      <c r="E677" s="36" t="inlineStr">
        <is>
          <t>Cavite</t>
        </is>
      </c>
      <c r="F677" s="36" t="inlineStr">
        <is>
          <t>Rosario</t>
        </is>
      </c>
      <c r="G677" s="36" t="inlineStr">
        <is>
          <t>Wawa III</t>
        </is>
      </c>
      <c r="H677" s="37" t="n">
        <v>14.406468</v>
      </c>
      <c r="I677" s="37" t="n">
        <v>120.849294</v>
      </c>
      <c r="J677" s="8" t="inlineStr">
        <is>
          <t>U</t>
        </is>
      </c>
      <c r="K677" s="36" t="inlineStr">
        <is>
          <t>Class 1-3 / Urban</t>
        </is>
      </c>
      <c r="L677" s="18" t="n">
        <v>11890</v>
      </c>
      <c r="M677" s="20" t="n">
        <v>4.49</v>
      </c>
      <c r="N677" s="18">
        <f>ROUND(L677/M677, 0)</f>
        <v/>
      </c>
      <c r="O677" s="18">
        <f>ROUND(N677*'Methodology &amp; Assumptions'!$B$8, 0)</f>
        <v/>
      </c>
      <c r="P677" s="8" t="inlineStr">
        <is>
          <t>Band n50 (1.5 GHz, 60 MHz)</t>
        </is>
      </c>
      <c r="Q677" s="38">
        <f>ROUNDUP(O677/'Methodology &amp; Assumptions'!$B$9, 0)</f>
        <v/>
      </c>
      <c r="R677" s="39" t="n">
        <v>1</v>
      </c>
      <c r="S677" s="21" t="n">
        <v>1.65</v>
      </c>
      <c r="T677" s="21" t="n">
        <v>1.58</v>
      </c>
      <c r="U677" s="36" t="inlineStr">
        <is>
          <t>Tier 1B (Micro Drop, 1-3 km)</t>
        </is>
      </c>
      <c r="V677" s="20" t="n">
        <v>67.7</v>
      </c>
      <c r="W677" s="20" t="n">
        <v>100</v>
      </c>
      <c r="X677" s="20" t="n">
        <v>43</v>
      </c>
      <c r="Y677" s="40">
        <f>ROUND((V677*'Methodology &amp; Assumptions'!$B$6)+(W677*'Methodology &amp; Assumptions'!$B$5)+(X677*'Methodology &amp; Assumptions'!$B$7), 2)</f>
        <v/>
      </c>
    </row>
    <row r="678" ht="19" customHeight="1">
      <c r="A678" s="41" t="n">
        <v>674</v>
      </c>
      <c r="B678" s="41" t="n">
        <v>1674</v>
      </c>
      <c r="C678" s="42" t="inlineStr">
        <is>
          <t>0405639013</t>
        </is>
      </c>
      <c r="D678" s="42" t="inlineStr">
        <is>
          <t>Region IV-A (CALABARZON)</t>
        </is>
      </c>
      <c r="E678" s="42" t="inlineStr">
        <is>
          <t>Quezon</t>
        </is>
      </c>
      <c r="F678" s="42" t="inlineStr">
        <is>
          <t>Sampaloc</t>
        </is>
      </c>
      <c r="G678" s="42" t="inlineStr">
        <is>
          <t>Ilayang Owain</t>
        </is>
      </c>
      <c r="H678" s="43" t="n">
        <v>14.16074</v>
      </c>
      <c r="I678" s="43" t="n">
        <v>121.641002</v>
      </c>
      <c r="J678" s="44" t="inlineStr">
        <is>
          <t>R</t>
        </is>
      </c>
      <c r="K678" s="42" t="inlineStr">
        <is>
          <t>4th</t>
        </is>
      </c>
      <c r="L678" s="23" t="n">
        <v>1950</v>
      </c>
      <c r="M678" s="24" t="n">
        <v>4.56</v>
      </c>
      <c r="N678" s="23">
        <f>ROUND(L678/M678, 0)</f>
        <v/>
      </c>
      <c r="O678" s="23">
        <f>ROUND(N678*'Methodology &amp; Assumptions'!$B$8, 0)</f>
        <v/>
      </c>
      <c r="P678" s="44" t="inlineStr">
        <is>
          <t>Band n50 (1.5 GHz, 60 MHz)</t>
        </is>
      </c>
      <c r="Q678" s="38">
        <f>ROUNDUP(O678/'Methodology &amp; Assumptions'!$B$9, 0)</f>
        <v/>
      </c>
      <c r="R678" s="39" t="n">
        <v>1</v>
      </c>
      <c r="S678" s="25" t="n">
        <v>0.4</v>
      </c>
      <c r="T678" s="25" t="n">
        <v>9.66</v>
      </c>
      <c r="U678" s="42" t="inlineStr">
        <is>
          <t>Tier 1A (Direct Coloc, &lt;1 km)</t>
        </is>
      </c>
      <c r="V678" s="24" t="n">
        <v>87.59999999999999</v>
      </c>
      <c r="W678" s="24" t="n">
        <v>58.1</v>
      </c>
      <c r="X678" s="24" t="n">
        <v>68.5</v>
      </c>
      <c r="Y678" s="45">
        <f>ROUND((V678*'Methodology &amp; Assumptions'!$B$6)+(W678*'Methodology &amp; Assumptions'!$B$5)+(X678*'Methodology &amp; Assumptions'!$B$7), 2)</f>
        <v/>
      </c>
    </row>
    <row r="679" ht="19" customHeight="1">
      <c r="A679" s="35" t="n">
        <v>675</v>
      </c>
      <c r="B679" s="35" t="n">
        <v>1675</v>
      </c>
      <c r="C679" s="36" t="inlineStr">
        <is>
          <t>0504112001</t>
        </is>
      </c>
      <c r="D679" s="36" t="inlineStr">
        <is>
          <t>Region V (Bicol Region)</t>
        </is>
      </c>
      <c r="E679" s="36" t="inlineStr">
        <is>
          <t>Masbate</t>
        </is>
      </c>
      <c r="F679" s="36" t="inlineStr">
        <is>
          <t>Milagros</t>
        </is>
      </c>
      <c r="G679" s="36" t="inlineStr">
        <is>
          <t>Bacolod</t>
        </is>
      </c>
      <c r="H679" s="37" t="n">
        <v>12.23141</v>
      </c>
      <c r="I679" s="37" t="n">
        <v>123.5066</v>
      </c>
      <c r="J679" s="8" t="inlineStr">
        <is>
          <t>R</t>
        </is>
      </c>
      <c r="K679" s="36" t="inlineStr">
        <is>
          <t>Class 1-3 / Urban</t>
        </is>
      </c>
      <c r="L679" s="18" t="n">
        <v>3350</v>
      </c>
      <c r="M679" s="20" t="n">
        <v>4.6</v>
      </c>
      <c r="N679" s="18">
        <f>ROUND(L679/M679, 0)</f>
        <v/>
      </c>
      <c r="O679" s="18">
        <f>ROUND(N679*'Methodology &amp; Assumptions'!$B$8, 0)</f>
        <v/>
      </c>
      <c r="P679" s="8" t="inlineStr">
        <is>
          <t>Band n50 (1.5 GHz, 60 MHz)</t>
        </is>
      </c>
      <c r="Q679" s="38">
        <f>ROUNDUP(O679/'Methodology &amp; Assumptions'!$B$9, 0)</f>
        <v/>
      </c>
      <c r="R679" s="39" t="n">
        <v>1</v>
      </c>
      <c r="S679" s="21" t="n">
        <v>1.4</v>
      </c>
      <c r="T679" s="21" t="n">
        <v>0.02</v>
      </c>
      <c r="U679" s="36" t="inlineStr">
        <is>
          <t>Tier 1B (Micro Drop, 1-3 km)</t>
        </is>
      </c>
      <c r="V679" s="20" t="n">
        <v>72.59999999999999</v>
      </c>
      <c r="W679" s="20" t="n">
        <v>82.09999999999999</v>
      </c>
      <c r="X679" s="20" t="n">
        <v>58</v>
      </c>
      <c r="Y679" s="40">
        <f>ROUND((V679*'Methodology &amp; Assumptions'!$B$6)+(W679*'Methodology &amp; Assumptions'!$B$5)+(X679*'Methodology &amp; Assumptions'!$B$7), 2)</f>
        <v/>
      </c>
    </row>
    <row r="680" ht="19" customHeight="1">
      <c r="A680" s="41" t="n">
        <v>676</v>
      </c>
      <c r="B680" s="41" t="n">
        <v>1676</v>
      </c>
      <c r="C680" s="42" t="inlineStr">
        <is>
          <t>1003502013</t>
        </is>
      </c>
      <c r="D680" s="42" t="inlineStr">
        <is>
          <t>Region X (Northern Mindanao)</t>
        </is>
      </c>
      <c r="E680" s="42" t="inlineStr">
        <is>
          <t>Lanao del Norte</t>
        </is>
      </c>
      <c r="F680" s="42" t="inlineStr">
        <is>
          <t>Baloi</t>
        </is>
      </c>
      <c r="G680" s="42" t="inlineStr">
        <is>
          <t>Lumbac</t>
        </is>
      </c>
      <c r="H680" s="43" t="n">
        <v>8.019105</v>
      </c>
      <c r="I680" s="43" t="n">
        <v>124.276247</v>
      </c>
      <c r="J680" s="44" t="inlineStr">
        <is>
          <t>R</t>
        </is>
      </c>
      <c r="K680" s="42" t="inlineStr">
        <is>
          <t>Class 1-3 / Urban</t>
        </is>
      </c>
      <c r="L680" s="23" t="n">
        <v>2375</v>
      </c>
      <c r="M680" s="24" t="n">
        <v>5.12</v>
      </c>
      <c r="N680" s="23">
        <f>ROUND(L680/M680, 0)</f>
        <v/>
      </c>
      <c r="O680" s="23">
        <f>ROUND(N680*'Methodology &amp; Assumptions'!$B$8, 0)</f>
        <v/>
      </c>
      <c r="P680" s="44" t="inlineStr">
        <is>
          <t>Band n50 (1.5 GHz, 60 MHz)</t>
        </is>
      </c>
      <c r="Q680" s="38">
        <f>ROUNDUP(O680/'Methodology &amp; Assumptions'!$B$9, 0)</f>
        <v/>
      </c>
      <c r="R680" s="39" t="n">
        <v>1</v>
      </c>
      <c r="S680" s="25" t="n">
        <v>1.03</v>
      </c>
      <c r="T680" s="25" t="n">
        <v>0.58</v>
      </c>
      <c r="U680" s="42" t="inlineStr">
        <is>
          <t>Tier 1B (Micro Drop, 1-3 km)</t>
        </is>
      </c>
      <c r="V680" s="24" t="n">
        <v>80.8</v>
      </c>
      <c r="W680" s="24" t="n">
        <v>61.1</v>
      </c>
      <c r="X680" s="24" t="n">
        <v>73</v>
      </c>
      <c r="Y680" s="45">
        <f>ROUND((V680*'Methodology &amp; Assumptions'!$B$6)+(W680*'Methodology &amp; Assumptions'!$B$5)+(X680*'Methodology &amp; Assumptions'!$B$7), 2)</f>
        <v/>
      </c>
    </row>
    <row r="681" ht="19" customHeight="1">
      <c r="A681" s="35" t="n">
        <v>677</v>
      </c>
      <c r="B681" s="35" t="n">
        <v>1677</v>
      </c>
      <c r="C681" s="36" t="inlineStr">
        <is>
          <t>0405610009</t>
        </is>
      </c>
      <c r="D681" s="36" t="inlineStr">
        <is>
          <t>Region IV-A (CALABARZON)</t>
        </is>
      </c>
      <c r="E681" s="36" t="inlineStr">
        <is>
          <t>Quezon</t>
        </is>
      </c>
      <c r="F681" s="36" t="inlineStr">
        <is>
          <t>Catanauan</t>
        </is>
      </c>
      <c r="G681" s="36" t="inlineStr">
        <is>
          <t>Barangay 7</t>
        </is>
      </c>
      <c r="H681" s="37" t="n">
        <v>13.591281</v>
      </c>
      <c r="I681" s="37" t="n">
        <v>122.322838</v>
      </c>
      <c r="J681" s="8" t="inlineStr">
        <is>
          <t>R</t>
        </is>
      </c>
      <c r="K681" s="36" t="inlineStr">
        <is>
          <t>Class 1-3 / Urban</t>
        </is>
      </c>
      <c r="L681" s="18" t="n">
        <v>2508</v>
      </c>
      <c r="M681" s="20" t="n">
        <v>4.46</v>
      </c>
      <c r="N681" s="18">
        <f>ROUND(L681/M681, 0)</f>
        <v/>
      </c>
      <c r="O681" s="18">
        <f>ROUND(N681*'Methodology &amp; Assumptions'!$B$8, 0)</f>
        <v/>
      </c>
      <c r="P681" s="8" t="inlineStr">
        <is>
          <t>Band n50 (1.5 GHz, 60 MHz)</t>
        </is>
      </c>
      <c r="Q681" s="38">
        <f>ROUNDUP(O681/'Methodology &amp; Assumptions'!$B$9, 0)</f>
        <v/>
      </c>
      <c r="R681" s="39" t="n">
        <v>1</v>
      </c>
      <c r="S681" s="21" t="n">
        <v>0.84</v>
      </c>
      <c r="T681" s="21" t="n">
        <v>0.51</v>
      </c>
      <c r="U681" s="36" t="inlineStr">
        <is>
          <t>Tier 1A (Direct Coloc, &lt;1 km)</t>
        </is>
      </c>
      <c r="V681" s="20" t="n">
        <v>85.7</v>
      </c>
      <c r="W681" s="20" t="n">
        <v>69.09999999999999</v>
      </c>
      <c r="X681" s="20" t="n">
        <v>58</v>
      </c>
      <c r="Y681" s="40">
        <f>ROUND((V681*'Methodology &amp; Assumptions'!$B$6)+(W681*'Methodology &amp; Assumptions'!$B$5)+(X681*'Methodology &amp; Assumptions'!$B$7), 2)</f>
        <v/>
      </c>
    </row>
    <row r="682" ht="19" customHeight="1">
      <c r="A682" s="41" t="n">
        <v>678</v>
      </c>
      <c r="B682" s="41" t="n">
        <v>1678</v>
      </c>
      <c r="C682" s="42" t="inlineStr">
        <is>
          <t>1401106001</t>
        </is>
      </c>
      <c r="D682" s="42" t="inlineStr">
        <is>
          <t>Cordillera Administrative Region (CAR)</t>
        </is>
      </c>
      <c r="E682" s="42" t="inlineStr">
        <is>
          <t>Benguet</t>
        </is>
      </c>
      <c r="F682" s="42" t="inlineStr">
        <is>
          <t>Itogon</t>
        </is>
      </c>
      <c r="G682" s="42" t="inlineStr">
        <is>
          <t>Ampucao</t>
        </is>
      </c>
      <c r="H682" s="43" t="n">
        <v>16.32569</v>
      </c>
      <c r="I682" s="43" t="n">
        <v>120.65502</v>
      </c>
      <c r="J682" s="44" t="inlineStr">
        <is>
          <t>U</t>
        </is>
      </c>
      <c r="K682" s="42" t="inlineStr">
        <is>
          <t>Class 1-3 / Urban</t>
        </is>
      </c>
      <c r="L682" s="23" t="n">
        <v>10924</v>
      </c>
      <c r="M682" s="24" t="n">
        <v>4.58</v>
      </c>
      <c r="N682" s="23">
        <f>ROUND(L682/M682, 0)</f>
        <v/>
      </c>
      <c r="O682" s="23">
        <f>ROUND(N682*'Methodology &amp; Assumptions'!$B$8, 0)</f>
        <v/>
      </c>
      <c r="P682" s="44" t="inlineStr">
        <is>
          <t>Band n50 (1.5 GHz, 60 MHz)</t>
        </is>
      </c>
      <c r="Q682" s="38">
        <f>ROUNDUP(O682/'Methodology &amp; Assumptions'!$B$9, 0)</f>
        <v/>
      </c>
      <c r="R682" s="39" t="n">
        <v>1</v>
      </c>
      <c r="S682" s="25" t="n">
        <v>0.65</v>
      </c>
      <c r="T682" s="25" t="n">
        <v>10.21</v>
      </c>
      <c r="U682" s="42" t="inlineStr">
        <is>
          <t>Tier 1A (Direct Coloc, &lt;1 km)</t>
        </is>
      </c>
      <c r="V682" s="24" t="n">
        <v>80.40000000000001</v>
      </c>
      <c r="W682" s="24" t="n">
        <v>100</v>
      </c>
      <c r="X682" s="24" t="n">
        <v>28</v>
      </c>
      <c r="Y682" s="45">
        <f>ROUND((V682*'Methodology &amp; Assumptions'!$B$6)+(W682*'Methodology &amp; Assumptions'!$B$5)+(X682*'Methodology &amp; Assumptions'!$B$7), 2)</f>
        <v/>
      </c>
    </row>
    <row r="683" ht="19" customHeight="1">
      <c r="A683" s="35" t="n">
        <v>679</v>
      </c>
      <c r="B683" s="35" t="n">
        <v>1679</v>
      </c>
      <c r="C683" s="36" t="inlineStr">
        <is>
          <t>0105518018</t>
        </is>
      </c>
      <c r="D683" s="36" t="inlineStr">
        <is>
          <t>Region I (Ilocos Region)</t>
        </is>
      </c>
      <c r="E683" s="36" t="inlineStr">
        <is>
          <t>Pangasinan</t>
        </is>
      </c>
      <c r="F683" s="36" t="inlineStr">
        <is>
          <t>City of Dagupan</t>
        </is>
      </c>
      <c r="G683" s="36" t="inlineStr">
        <is>
          <t>Malued</t>
        </is>
      </c>
      <c r="H683" s="37" t="n">
        <v>16.028991</v>
      </c>
      <c r="I683" s="37" t="n">
        <v>120.335314</v>
      </c>
      <c r="J683" s="8" t="inlineStr">
        <is>
          <t>U</t>
        </is>
      </c>
      <c r="K683" s="36" t="inlineStr">
        <is>
          <t>Class 1-3 / Urban</t>
        </is>
      </c>
      <c r="L683" s="18" t="n">
        <v>9265</v>
      </c>
      <c r="M683" s="20" t="n">
        <v>4.39</v>
      </c>
      <c r="N683" s="18">
        <f>ROUND(L683/M683, 0)</f>
        <v/>
      </c>
      <c r="O683" s="18">
        <f>ROUND(N683*'Methodology &amp; Assumptions'!$B$8, 0)</f>
        <v/>
      </c>
      <c r="P683" s="8" t="inlineStr">
        <is>
          <t>Band n50 (1.5 GHz, 60 MHz)</t>
        </is>
      </c>
      <c r="Q683" s="38">
        <f>ROUNDUP(O683/'Methodology &amp; Assumptions'!$B$9, 0)</f>
        <v/>
      </c>
      <c r="R683" s="39" t="n">
        <v>1</v>
      </c>
      <c r="S683" s="21" t="n">
        <v>1.05</v>
      </c>
      <c r="T683" s="21" t="n">
        <v>0.65</v>
      </c>
      <c r="U683" s="36" t="inlineStr">
        <is>
          <t>Tier 1B (Micro Drop, 1-3 km)</t>
        </is>
      </c>
      <c r="V683" s="20" t="n">
        <v>80.5</v>
      </c>
      <c r="W683" s="20" t="n">
        <v>100</v>
      </c>
      <c r="X683" s="20" t="n">
        <v>28</v>
      </c>
      <c r="Y683" s="40">
        <f>ROUND((V683*'Methodology &amp; Assumptions'!$B$6)+(W683*'Methodology &amp; Assumptions'!$B$5)+(X683*'Methodology &amp; Assumptions'!$B$7), 2)</f>
        <v/>
      </c>
    </row>
    <row r="684" ht="19" customHeight="1">
      <c r="A684" s="41" t="n">
        <v>680</v>
      </c>
      <c r="B684" s="41" t="n">
        <v>1680</v>
      </c>
      <c r="C684" s="42" t="inlineStr">
        <is>
          <t>1402709008</t>
        </is>
      </c>
      <c r="D684" s="42" t="inlineStr">
        <is>
          <t>Cordillera Administrative Region (CAR)</t>
        </is>
      </c>
      <c r="E684" s="42" t="inlineStr">
        <is>
          <t>Ifugao</t>
        </is>
      </c>
      <c r="F684" s="42" t="inlineStr">
        <is>
          <t>Hingyon</t>
        </is>
      </c>
      <c r="G684" s="42" t="inlineStr">
        <is>
          <t>Piwong</t>
        </is>
      </c>
      <c r="H684" s="43" t="n">
        <v>16.843636</v>
      </c>
      <c r="I684" s="43" t="n">
        <v>121.09043</v>
      </c>
      <c r="J684" s="44" t="inlineStr">
        <is>
          <t>R</t>
        </is>
      </c>
      <c r="K684" s="42" t="inlineStr">
        <is>
          <t>5th</t>
        </is>
      </c>
      <c r="L684" s="23" t="n">
        <v>1241</v>
      </c>
      <c r="M684" s="24" t="n">
        <v>4.51</v>
      </c>
      <c r="N684" s="23">
        <f>ROUND(L684/M684, 0)</f>
        <v/>
      </c>
      <c r="O684" s="23">
        <f>ROUND(N684*'Methodology &amp; Assumptions'!$B$8, 0)</f>
        <v/>
      </c>
      <c r="P684" s="44" t="inlineStr">
        <is>
          <t>Band n50 (1.5 GHz, 60 MHz)</t>
        </is>
      </c>
      <c r="Q684" s="38">
        <f>ROUNDUP(O684/'Methodology &amp; Assumptions'!$B$9, 0)</f>
        <v/>
      </c>
      <c r="R684" s="39" t="n">
        <v>1</v>
      </c>
      <c r="S684" s="25" t="n">
        <v>0.03</v>
      </c>
      <c r="T684" s="25" t="n">
        <v>0.24</v>
      </c>
      <c r="U684" s="42" t="inlineStr">
        <is>
          <t>Tier 1A (Direct Coloc, &lt;1 km)</t>
        </is>
      </c>
      <c r="V684" s="24" t="n">
        <v>100</v>
      </c>
      <c r="W684" s="24" t="n">
        <v>41.9</v>
      </c>
      <c r="X684" s="24" t="n">
        <v>73</v>
      </c>
      <c r="Y684" s="45">
        <f>ROUND((V684*'Methodology &amp; Assumptions'!$B$6)+(W684*'Methodology &amp; Assumptions'!$B$5)+(X684*'Methodology &amp; Assumptions'!$B$7), 2)</f>
        <v/>
      </c>
    </row>
    <row r="685" ht="19" customHeight="1">
      <c r="A685" s="35" t="n">
        <v>681</v>
      </c>
      <c r="B685" s="35" t="n">
        <v>1681</v>
      </c>
      <c r="C685" s="36" t="inlineStr">
        <is>
          <t>1705203033</t>
        </is>
      </c>
      <c r="D685" s="36" t="inlineStr">
        <is>
          <t>MIMAROPA Region</t>
        </is>
      </c>
      <c r="E685" s="36" t="inlineStr">
        <is>
          <t>Oriental Mindoro</t>
        </is>
      </c>
      <c r="F685" s="36" t="inlineStr">
        <is>
          <t>Bongabong</t>
        </is>
      </c>
      <c r="G685" s="36" t="inlineStr">
        <is>
          <t>Aplaya</t>
        </is>
      </c>
      <c r="H685" s="37" t="n">
        <v>12.751444</v>
      </c>
      <c r="I685" s="37" t="n">
        <v>121.487954</v>
      </c>
      <c r="J685" s="8" t="inlineStr">
        <is>
          <t>R</t>
        </is>
      </c>
      <c r="K685" s="36" t="inlineStr">
        <is>
          <t>Class 1-3 / Urban</t>
        </is>
      </c>
      <c r="L685" s="18" t="n">
        <v>2702</v>
      </c>
      <c r="M685" s="20" t="n">
        <v>4.41</v>
      </c>
      <c r="N685" s="18">
        <f>ROUND(L685/M685, 0)</f>
        <v/>
      </c>
      <c r="O685" s="18">
        <f>ROUND(N685*'Methodology &amp; Assumptions'!$B$8, 0)</f>
        <v/>
      </c>
      <c r="P685" s="8" t="inlineStr">
        <is>
          <t>Band n50 (1.5 GHz, 60 MHz)</t>
        </is>
      </c>
      <c r="Q685" s="38">
        <f>ROUNDUP(O685/'Methodology &amp; Assumptions'!$B$9, 0)</f>
        <v/>
      </c>
      <c r="R685" s="39" t="n">
        <v>1</v>
      </c>
      <c r="S685" s="21" t="n">
        <v>0.84</v>
      </c>
      <c r="T685" s="21" t="n">
        <v>0.67</v>
      </c>
      <c r="U685" s="36" t="inlineStr">
        <is>
          <t>Tier 1A (Direct Coloc, &lt;1 km)</t>
        </is>
      </c>
      <c r="V685" s="20" t="n">
        <v>85.7</v>
      </c>
      <c r="W685" s="20" t="n">
        <v>69.09999999999999</v>
      </c>
      <c r="X685" s="20" t="n">
        <v>58</v>
      </c>
      <c r="Y685" s="40">
        <f>ROUND((V685*'Methodology &amp; Assumptions'!$B$6)+(W685*'Methodology &amp; Assumptions'!$B$5)+(X685*'Methodology &amp; Assumptions'!$B$7), 2)</f>
        <v/>
      </c>
    </row>
    <row r="686" ht="19" customHeight="1">
      <c r="A686" s="41" t="n">
        <v>682</v>
      </c>
      <c r="B686" s="41" t="n">
        <v>1682</v>
      </c>
      <c r="C686" s="42" t="inlineStr">
        <is>
          <t>0331400015</t>
        </is>
      </c>
      <c r="D686" s="42" t="inlineStr">
        <is>
          <t>Region III (Central Luzon)</t>
        </is>
      </c>
      <c r="E686" s="42" t="inlineStr">
        <is>
          <t>Zambales</t>
        </is>
      </c>
      <c r="F686" s="42" t="inlineStr">
        <is>
          <t>City of Olongapo</t>
        </is>
      </c>
      <c r="G686" s="42" t="inlineStr">
        <is>
          <t>New Ilalim</t>
        </is>
      </c>
      <c r="H686" s="43" t="n">
        <v>14.835009</v>
      </c>
      <c r="I686" s="43" t="n">
        <v>120.278225</v>
      </c>
      <c r="J686" s="44" t="inlineStr">
        <is>
          <t>R</t>
        </is>
      </c>
      <c r="K686" s="42" t="inlineStr">
        <is>
          <t>Class 1-3 / Urban</t>
        </is>
      </c>
      <c r="L686" s="23" t="n">
        <v>1561</v>
      </c>
      <c r="M686" s="24" t="n">
        <v>4.05</v>
      </c>
      <c r="N686" s="23">
        <f>ROUND(L686/M686, 0)</f>
        <v/>
      </c>
      <c r="O686" s="23">
        <f>ROUND(N686*'Methodology &amp; Assumptions'!$B$8, 0)</f>
        <v/>
      </c>
      <c r="P686" s="44" t="inlineStr">
        <is>
          <t>Band n50 (1.5 GHz, 60 MHz)</t>
        </is>
      </c>
      <c r="Q686" s="38">
        <f>ROUNDUP(O686/'Methodology &amp; Assumptions'!$B$9, 0)</f>
        <v/>
      </c>
      <c r="R686" s="39" t="n">
        <v>1</v>
      </c>
      <c r="S686" s="25" t="n">
        <v>0.32</v>
      </c>
      <c r="T686" s="25" t="n">
        <v>0.14</v>
      </c>
      <c r="U686" s="42" t="inlineStr">
        <is>
          <t>Tier 1A (Direct Coloc, &lt;1 km)</t>
        </is>
      </c>
      <c r="V686" s="24" t="n">
        <v>99.8</v>
      </c>
      <c r="W686" s="24" t="n">
        <v>54.9</v>
      </c>
      <c r="X686" s="24" t="n">
        <v>58</v>
      </c>
      <c r="Y686" s="45">
        <f>ROUND((V686*'Methodology &amp; Assumptions'!$B$6)+(W686*'Methodology &amp; Assumptions'!$B$5)+(X686*'Methodology &amp; Assumptions'!$B$7), 2)</f>
        <v/>
      </c>
    </row>
    <row r="687" ht="19" customHeight="1">
      <c r="A687" s="35" t="n">
        <v>683</v>
      </c>
      <c r="B687" s="35" t="n">
        <v>1683</v>
      </c>
      <c r="C687" s="36" t="inlineStr">
        <is>
          <t>0403403021</t>
        </is>
      </c>
      <c r="D687" s="36" t="inlineStr">
        <is>
          <t>Region IV-A (CALABARZON)</t>
        </is>
      </c>
      <c r="E687" s="36" t="inlineStr">
        <is>
          <t>Laguna</t>
        </is>
      </c>
      <c r="F687" s="36" t="inlineStr">
        <is>
          <t>City of Biñan</t>
        </is>
      </c>
      <c r="G687" s="36" t="inlineStr">
        <is>
          <t>San Vicente</t>
        </is>
      </c>
      <c r="H687" s="37" t="n">
        <v>14.330189</v>
      </c>
      <c r="I687" s="37" t="n">
        <v>121.080183</v>
      </c>
      <c r="J687" s="8" t="inlineStr">
        <is>
          <t>U</t>
        </is>
      </c>
      <c r="K687" s="36" t="inlineStr">
        <is>
          <t>Class 1-3 / Urban</t>
        </is>
      </c>
      <c r="L687" s="18" t="n">
        <v>9236</v>
      </c>
      <c r="M687" s="20" t="n">
        <v>4.2</v>
      </c>
      <c r="N687" s="18">
        <f>ROUND(L687/M687, 0)</f>
        <v/>
      </c>
      <c r="O687" s="18">
        <f>ROUND(N687*'Methodology &amp; Assumptions'!$B$8, 0)</f>
        <v/>
      </c>
      <c r="P687" s="8" t="inlineStr">
        <is>
          <t>Band n50 (1.5 GHz, 60 MHz)</t>
        </is>
      </c>
      <c r="Q687" s="38">
        <f>ROUNDUP(O687/'Methodology &amp; Assumptions'!$B$9, 0)</f>
        <v/>
      </c>
      <c r="R687" s="39" t="n">
        <v>1</v>
      </c>
      <c r="S687" s="21" t="n">
        <v>1.05</v>
      </c>
      <c r="T687" s="21" t="n">
        <v>0.4</v>
      </c>
      <c r="U687" s="36" t="inlineStr">
        <is>
          <t>Tier 1B (Micro Drop, 1-3 km)</t>
        </is>
      </c>
      <c r="V687" s="20" t="n">
        <v>80.40000000000001</v>
      </c>
      <c r="W687" s="20" t="n">
        <v>100</v>
      </c>
      <c r="X687" s="20" t="n">
        <v>28</v>
      </c>
      <c r="Y687" s="40">
        <f>ROUND((V687*'Methodology &amp; Assumptions'!$B$6)+(W687*'Methodology &amp; Assumptions'!$B$5)+(X687*'Methodology &amp; Assumptions'!$B$7), 2)</f>
        <v/>
      </c>
    </row>
    <row r="688" ht="19" customHeight="1">
      <c r="A688" s="41" t="n">
        <v>684</v>
      </c>
      <c r="B688" s="41" t="n">
        <v>1684</v>
      </c>
      <c r="C688" s="42" t="inlineStr">
        <is>
          <t>0601914043</t>
        </is>
      </c>
      <c r="D688" s="42" t="inlineStr">
        <is>
          <t>Region VI (Western Visayas)</t>
        </is>
      </c>
      <c r="E688" s="42" t="inlineStr">
        <is>
          <t>Capiz</t>
        </is>
      </c>
      <c r="F688" s="42" t="inlineStr">
        <is>
          <t>City of Roxas</t>
        </is>
      </c>
      <c r="G688" s="42" t="inlineStr">
        <is>
          <t>Punta Tabuc</t>
        </is>
      </c>
      <c r="H688" s="43" t="n">
        <v>11.57973</v>
      </c>
      <c r="I688" s="43" t="n">
        <v>122.74599</v>
      </c>
      <c r="J688" s="44" t="inlineStr">
        <is>
          <t>U</t>
        </is>
      </c>
      <c r="K688" s="42" t="inlineStr">
        <is>
          <t>Class 1-3 / Urban</t>
        </is>
      </c>
      <c r="L688" s="23" t="n">
        <v>5782</v>
      </c>
      <c r="M688" s="24" t="n">
        <v>4.2</v>
      </c>
      <c r="N688" s="23">
        <f>ROUND(L688/M688, 0)</f>
        <v/>
      </c>
      <c r="O688" s="23">
        <f>ROUND(N688*'Methodology &amp; Assumptions'!$B$8, 0)</f>
        <v/>
      </c>
      <c r="P688" s="44" t="inlineStr">
        <is>
          <t>Band n50 (1.5 GHz, 60 MHz)</t>
        </is>
      </c>
      <c r="Q688" s="38">
        <f>ROUNDUP(O688/'Methodology &amp; Assumptions'!$B$9, 0)</f>
        <v/>
      </c>
      <c r="R688" s="39" t="n">
        <v>1</v>
      </c>
      <c r="S688" s="25" t="n">
        <v>1.05</v>
      </c>
      <c r="T688" s="25" t="n">
        <v>0.1</v>
      </c>
      <c r="U688" s="42" t="inlineStr">
        <is>
          <t>Tier 1B (Micro Drop, 1-3 km)</t>
        </is>
      </c>
      <c r="V688" s="24" t="n">
        <v>80.40000000000001</v>
      </c>
      <c r="W688" s="24" t="n">
        <v>100</v>
      </c>
      <c r="X688" s="24" t="n">
        <v>28</v>
      </c>
      <c r="Y688" s="45">
        <f>ROUND((V688*'Methodology &amp; Assumptions'!$B$6)+(W688*'Methodology &amp; Assumptions'!$B$5)+(X688*'Methodology &amp; Assumptions'!$B$7), 2)</f>
        <v/>
      </c>
    </row>
    <row r="689" ht="19" customHeight="1">
      <c r="A689" s="35" t="n">
        <v>685</v>
      </c>
      <c r="B689" s="35" t="n">
        <v>1685</v>
      </c>
      <c r="C689" s="36" t="inlineStr">
        <is>
          <t>0305411008</t>
        </is>
      </c>
      <c r="D689" s="36" t="inlineStr">
        <is>
          <t>Region III (Central Luzon)</t>
        </is>
      </c>
      <c r="E689" s="36" t="inlineStr">
        <is>
          <t>Pampanga</t>
        </is>
      </c>
      <c r="F689" s="36" t="inlineStr">
        <is>
          <t>Magalang</t>
        </is>
      </c>
      <c r="G689" s="36" t="inlineStr">
        <is>
          <t>San Franciso</t>
        </is>
      </c>
      <c r="H689" s="37" t="n">
        <v>15.207893</v>
      </c>
      <c r="I689" s="37" t="n">
        <v>120.64962</v>
      </c>
      <c r="J689" s="8" t="inlineStr">
        <is>
          <t>U</t>
        </is>
      </c>
      <c r="K689" s="36" t="inlineStr">
        <is>
          <t>Class 1-3 / Urban</t>
        </is>
      </c>
      <c r="L689" s="18" t="n">
        <v>4948</v>
      </c>
      <c r="M689" s="20" t="n">
        <v>4.63</v>
      </c>
      <c r="N689" s="18">
        <f>ROUND(L689/M689, 0)</f>
        <v/>
      </c>
      <c r="O689" s="18">
        <f>ROUND(N689*'Methodology &amp; Assumptions'!$B$8, 0)</f>
        <v/>
      </c>
      <c r="P689" s="8" t="inlineStr">
        <is>
          <t>Band n50 (1.5 GHz, 60 MHz)</t>
        </is>
      </c>
      <c r="Q689" s="38">
        <f>ROUNDUP(O689/'Methodology &amp; Assumptions'!$B$9, 0)</f>
        <v/>
      </c>
      <c r="R689" s="39" t="n">
        <v>1</v>
      </c>
      <c r="S689" s="21" t="n">
        <v>1.05</v>
      </c>
      <c r="T689" s="21" t="n">
        <v>0.03</v>
      </c>
      <c r="U689" s="36" t="inlineStr">
        <is>
          <t>Tier 1B (Micro Drop, 1-3 km)</t>
        </is>
      </c>
      <c r="V689" s="20" t="n">
        <v>80.40000000000001</v>
      </c>
      <c r="W689" s="20" t="n">
        <v>100</v>
      </c>
      <c r="X689" s="20" t="n">
        <v>28</v>
      </c>
      <c r="Y689" s="40">
        <f>ROUND((V689*'Methodology &amp; Assumptions'!$B$6)+(W689*'Methodology &amp; Assumptions'!$B$5)+(X689*'Methodology &amp; Assumptions'!$B$7), 2)</f>
        <v/>
      </c>
    </row>
    <row r="690" ht="19" customHeight="1">
      <c r="A690" s="41" t="n">
        <v>686</v>
      </c>
      <c r="B690" s="41" t="n">
        <v>1686</v>
      </c>
      <c r="C690" s="42" t="inlineStr">
        <is>
          <t>0305410012</t>
        </is>
      </c>
      <c r="D690" s="42" t="inlineStr">
        <is>
          <t>Region III (Central Luzon)</t>
        </is>
      </c>
      <c r="E690" s="42" t="inlineStr">
        <is>
          <t>Pampanga</t>
        </is>
      </c>
      <c r="F690" s="42" t="inlineStr">
        <is>
          <t>Macabebe</t>
        </is>
      </c>
      <c r="G690" s="42" t="inlineStr">
        <is>
          <t>San Jose</t>
        </is>
      </c>
      <c r="H690" s="43" t="n">
        <v>14.974493</v>
      </c>
      <c r="I690" s="43" t="n">
        <v>120.617383</v>
      </c>
      <c r="J690" s="44" t="inlineStr">
        <is>
          <t>U</t>
        </is>
      </c>
      <c r="K690" s="42" t="inlineStr">
        <is>
          <t>Class 1-3 / Urban</t>
        </is>
      </c>
      <c r="L690" s="23" t="n">
        <v>3984</v>
      </c>
      <c r="M690" s="24" t="n">
        <v>4.63</v>
      </c>
      <c r="N690" s="23">
        <f>ROUND(L690/M690, 0)</f>
        <v/>
      </c>
      <c r="O690" s="23">
        <f>ROUND(N690*'Methodology &amp; Assumptions'!$B$8, 0)</f>
        <v/>
      </c>
      <c r="P690" s="44" t="inlineStr">
        <is>
          <t>Band n50 (1.5 GHz, 60 MHz)</t>
        </is>
      </c>
      <c r="Q690" s="38">
        <f>ROUNDUP(O690/'Methodology &amp; Assumptions'!$B$9, 0)</f>
        <v/>
      </c>
      <c r="R690" s="39" t="n">
        <v>1</v>
      </c>
      <c r="S690" s="25" t="n">
        <v>1.3</v>
      </c>
      <c r="T690" s="25" t="n">
        <v>0.53</v>
      </c>
      <c r="U690" s="42" t="inlineStr">
        <is>
          <t>Tier 1B (Micro Drop, 1-3 km)</t>
        </is>
      </c>
      <c r="V690" s="24" t="n">
        <v>74.7</v>
      </c>
      <c r="W690" s="24" t="n">
        <v>92.8</v>
      </c>
      <c r="X690" s="24" t="n">
        <v>43</v>
      </c>
      <c r="Y690" s="45">
        <f>ROUND((V690*'Methodology &amp; Assumptions'!$B$6)+(W690*'Methodology &amp; Assumptions'!$B$5)+(X690*'Methodology &amp; Assumptions'!$B$7), 2)</f>
        <v/>
      </c>
    </row>
    <row r="691" ht="19" customHeight="1">
      <c r="A691" s="35" t="n">
        <v>687</v>
      </c>
      <c r="B691" s="35" t="n">
        <v>1687</v>
      </c>
      <c r="C691" s="36" t="inlineStr">
        <is>
          <t>1130700116</t>
        </is>
      </c>
      <c r="D691" s="36" t="inlineStr">
        <is>
          <t>Region XI (Davao Region)</t>
        </is>
      </c>
      <c r="E691" s="36" t="inlineStr">
        <is>
          <t>Davao del Sur</t>
        </is>
      </c>
      <c r="F691" s="36" t="inlineStr">
        <is>
          <t>City of Davao</t>
        </is>
      </c>
      <c r="G691" s="36" t="inlineStr">
        <is>
          <t>Talomo</t>
        </is>
      </c>
      <c r="H691" s="37" t="n">
        <v>7.04902</v>
      </c>
      <c r="I691" s="37" t="n">
        <v>125.54791</v>
      </c>
      <c r="J691" s="8" t="inlineStr">
        <is>
          <t>U</t>
        </is>
      </c>
      <c r="K691" s="36" t="inlineStr">
        <is>
          <t>Class 1-3 / Urban</t>
        </is>
      </c>
      <c r="L691" s="18" t="n">
        <v>61698</v>
      </c>
      <c r="M691" s="20" t="n">
        <v>4.1</v>
      </c>
      <c r="N691" s="18">
        <f>ROUND(L691/M691, 0)</f>
        <v/>
      </c>
      <c r="O691" s="18">
        <f>ROUND(N691*'Methodology &amp; Assumptions'!$B$8, 0)</f>
        <v/>
      </c>
      <c r="P691" s="8" t="inlineStr">
        <is>
          <t>Band n50 (1.5 GHz, 60 MHz)</t>
        </is>
      </c>
      <c r="Q691" s="38">
        <f>ROUNDUP(O691/'Methodology &amp; Assumptions'!$B$9, 0)</f>
        <v/>
      </c>
      <c r="R691" s="39" t="n">
        <v>1</v>
      </c>
      <c r="S691" s="21" t="n">
        <v>0.85</v>
      </c>
      <c r="T691" s="21" t="n">
        <v>0.68</v>
      </c>
      <c r="U691" s="36" t="inlineStr">
        <is>
          <t>Tier 1A (Direct Coloc, &lt;1 km)</t>
        </is>
      </c>
      <c r="V691" s="20" t="n">
        <v>85.40000000000001</v>
      </c>
      <c r="W691" s="20" t="n">
        <v>95</v>
      </c>
      <c r="X691" s="20" t="n">
        <v>28</v>
      </c>
      <c r="Y691" s="40">
        <f>ROUND((V691*'Methodology &amp; Assumptions'!$B$6)+(W691*'Methodology &amp; Assumptions'!$B$5)+(X691*'Methodology &amp; Assumptions'!$B$7), 2)</f>
        <v/>
      </c>
    </row>
    <row r="692" ht="19" customHeight="1">
      <c r="A692" s="41" t="n">
        <v>688</v>
      </c>
      <c r="B692" s="41" t="n">
        <v>1688</v>
      </c>
      <c r="C692" s="42" t="inlineStr">
        <is>
          <t>0403428008</t>
        </is>
      </c>
      <c r="D692" s="42" t="inlineStr">
        <is>
          <t>Region IV-A (CALABARZON)</t>
        </is>
      </c>
      <c r="E692" s="42" t="inlineStr">
        <is>
          <t>Laguna</t>
        </is>
      </c>
      <c r="F692" s="42" t="inlineStr">
        <is>
          <t>City of Santa Rosa</t>
        </is>
      </c>
      <c r="G692" s="42" t="inlineStr">
        <is>
          <t>Labas</t>
        </is>
      </c>
      <c r="H692" s="43" t="n">
        <v>14.307064</v>
      </c>
      <c r="I692" s="43" t="n">
        <v>121.10968</v>
      </c>
      <c r="J692" s="44" t="inlineStr">
        <is>
          <t>U</t>
        </is>
      </c>
      <c r="K692" s="42" t="inlineStr">
        <is>
          <t>Class 1-3 / Urban</t>
        </is>
      </c>
      <c r="L692" s="23" t="n">
        <v>21288</v>
      </c>
      <c r="M692" s="24" t="n">
        <v>4.2</v>
      </c>
      <c r="N692" s="23">
        <f>ROUND(L692/M692, 0)</f>
        <v/>
      </c>
      <c r="O692" s="23">
        <f>ROUND(N692*'Methodology &amp; Assumptions'!$B$8, 0)</f>
        <v/>
      </c>
      <c r="P692" s="44" t="inlineStr">
        <is>
          <t>Band n50 (1.5 GHz, 60 MHz)</t>
        </is>
      </c>
      <c r="Q692" s="38">
        <f>ROUNDUP(O692/'Methodology &amp; Assumptions'!$B$9, 0)</f>
        <v/>
      </c>
      <c r="R692" s="39" t="n">
        <v>1</v>
      </c>
      <c r="S692" s="25" t="n">
        <v>1.05</v>
      </c>
      <c r="T692" s="25" t="n">
        <v>0.8100000000000001</v>
      </c>
      <c r="U692" s="42" t="inlineStr">
        <is>
          <t>Tier 1B (Micro Drop, 1-3 km)</t>
        </is>
      </c>
      <c r="V692" s="24" t="n">
        <v>80.40000000000001</v>
      </c>
      <c r="W692" s="24" t="n">
        <v>100</v>
      </c>
      <c r="X692" s="24" t="n">
        <v>28</v>
      </c>
      <c r="Y692" s="45">
        <f>ROUND((V692*'Methodology &amp; Assumptions'!$B$6)+(W692*'Methodology &amp; Assumptions'!$B$5)+(X692*'Methodology &amp; Assumptions'!$B$7), 2)</f>
        <v/>
      </c>
    </row>
    <row r="693" ht="19" customHeight="1">
      <c r="A693" s="35" t="n">
        <v>689</v>
      </c>
      <c r="B693" s="35" t="n">
        <v>1689</v>
      </c>
      <c r="C693" s="36" t="inlineStr">
        <is>
          <t>0803738060</t>
        </is>
      </c>
      <c r="D693" s="36" t="inlineStr">
        <is>
          <t>Region VIII (Eastern Visayas)</t>
        </is>
      </c>
      <c r="E693" s="36" t="inlineStr">
        <is>
          <t>Leyte</t>
        </is>
      </c>
      <c r="F693" s="36" t="inlineStr">
        <is>
          <t>Ormoc City</t>
        </is>
      </c>
      <c r="G693" s="36" t="inlineStr">
        <is>
          <t>Linao</t>
        </is>
      </c>
      <c r="H693" s="37" t="n">
        <v>11.01517</v>
      </c>
      <c r="I693" s="37" t="n">
        <v>124.591776</v>
      </c>
      <c r="J693" s="8" t="inlineStr">
        <is>
          <t>U</t>
        </is>
      </c>
      <c r="K693" s="36" t="inlineStr">
        <is>
          <t>Class 1-3 / Urban</t>
        </is>
      </c>
      <c r="L693" s="18" t="n">
        <v>8210</v>
      </c>
      <c r="M693" s="20" t="n">
        <v>4.24</v>
      </c>
      <c r="N693" s="18">
        <f>ROUND(L693/M693, 0)</f>
        <v/>
      </c>
      <c r="O693" s="18">
        <f>ROUND(N693*'Methodology &amp; Assumptions'!$B$8, 0)</f>
        <v/>
      </c>
      <c r="P693" s="8" t="inlineStr">
        <is>
          <t>Band n50 (1.5 GHz, 60 MHz)</t>
        </is>
      </c>
      <c r="Q693" s="38">
        <f>ROUNDUP(O693/'Methodology &amp; Assumptions'!$B$9, 0)</f>
        <v/>
      </c>
      <c r="R693" s="39" t="n">
        <v>1</v>
      </c>
      <c r="S693" s="21" t="n">
        <v>1.05</v>
      </c>
      <c r="T693" s="21" t="n">
        <v>0.79</v>
      </c>
      <c r="U693" s="36" t="inlineStr">
        <is>
          <t>Tier 1B (Micro Drop, 1-3 km)</t>
        </is>
      </c>
      <c r="V693" s="20" t="n">
        <v>80.40000000000001</v>
      </c>
      <c r="W693" s="20" t="n">
        <v>100</v>
      </c>
      <c r="X693" s="20" t="n">
        <v>28</v>
      </c>
      <c r="Y693" s="40">
        <f>ROUND((V693*'Methodology &amp; Assumptions'!$B$6)+(W693*'Methodology &amp; Assumptions'!$B$5)+(X693*'Methodology &amp; Assumptions'!$B$7), 2)</f>
        <v/>
      </c>
    </row>
    <row r="694" ht="19" customHeight="1">
      <c r="A694" s="41" t="n">
        <v>690</v>
      </c>
      <c r="B694" s="41" t="n">
        <v>1690</v>
      </c>
      <c r="C694" s="42" t="inlineStr">
        <is>
          <t>0501707006</t>
        </is>
      </c>
      <c r="D694" s="42" t="inlineStr">
        <is>
          <t>Region V (Bicol Region)</t>
        </is>
      </c>
      <c r="E694" s="42" t="inlineStr">
        <is>
          <t>Camarines Sur</t>
        </is>
      </c>
      <c r="F694" s="42" t="inlineStr">
        <is>
          <t>Cabusao</t>
        </is>
      </c>
      <c r="G694" s="42" t="inlineStr">
        <is>
          <t>New Poblacion</t>
        </is>
      </c>
      <c r="H694" s="43" t="n">
        <v>13.725861</v>
      </c>
      <c r="I694" s="43" t="n">
        <v>123.113612</v>
      </c>
      <c r="J694" s="44" t="inlineStr">
        <is>
          <t>R</t>
        </is>
      </c>
      <c r="K694" s="42" t="inlineStr">
        <is>
          <t>4th</t>
        </is>
      </c>
      <c r="L694" s="23" t="n">
        <v>1304</v>
      </c>
      <c r="M694" s="24" t="n">
        <v>4.71</v>
      </c>
      <c r="N694" s="23">
        <f>ROUND(L694/M694, 0)</f>
        <v/>
      </c>
      <c r="O694" s="23">
        <f>ROUND(N694*'Methodology &amp; Assumptions'!$B$8, 0)</f>
        <v/>
      </c>
      <c r="P694" s="44" t="inlineStr">
        <is>
          <t>Band n50 (1.5 GHz, 60 MHz)</t>
        </is>
      </c>
      <c r="Q694" s="38">
        <f>ROUNDUP(O694/'Methodology &amp; Assumptions'!$B$9, 0)</f>
        <v/>
      </c>
      <c r="R694" s="39" t="n">
        <v>1</v>
      </c>
      <c r="S694" s="25" t="n">
        <v>0.01</v>
      </c>
      <c r="T694" s="25" t="n">
        <v>9.91</v>
      </c>
      <c r="U694" s="42" t="inlineStr">
        <is>
          <t>Tier 1A (Direct Coloc, &lt;1 km)</t>
        </is>
      </c>
      <c r="V694" s="24" t="n">
        <v>99.5</v>
      </c>
      <c r="W694" s="24" t="n">
        <v>46.1</v>
      </c>
      <c r="X694" s="24" t="n">
        <v>68.5</v>
      </c>
      <c r="Y694" s="45">
        <f>ROUND((V694*'Methodology &amp; Assumptions'!$B$6)+(W694*'Methodology &amp; Assumptions'!$B$5)+(X694*'Methodology &amp; Assumptions'!$B$7), 2)</f>
        <v/>
      </c>
    </row>
    <row r="695" ht="19" customHeight="1">
      <c r="A695" s="35" t="n">
        <v>691</v>
      </c>
      <c r="B695" s="35" t="n">
        <v>1691</v>
      </c>
      <c r="C695" s="36" t="inlineStr">
        <is>
          <t>0306916093</t>
        </is>
      </c>
      <c r="D695" s="36" t="inlineStr">
        <is>
          <t>Region III (Central Luzon)</t>
        </is>
      </c>
      <c r="E695" s="36" t="inlineStr">
        <is>
          <t>Tarlac</t>
        </is>
      </c>
      <c r="F695" s="36" t="inlineStr">
        <is>
          <t>City of Tarlac</t>
        </is>
      </c>
      <c r="G695" s="36" t="inlineStr">
        <is>
          <t>Ungot</t>
        </is>
      </c>
      <c r="H695" s="37" t="n">
        <v>15.460115</v>
      </c>
      <c r="I695" s="37" t="n">
        <v>120.614059</v>
      </c>
      <c r="J695" s="8" t="inlineStr">
        <is>
          <t>R</t>
        </is>
      </c>
      <c r="K695" s="36" t="inlineStr">
        <is>
          <t>Class 1-3 / Urban</t>
        </is>
      </c>
      <c r="L695" s="18" t="n">
        <v>4006</v>
      </c>
      <c r="M695" s="20" t="n">
        <v>4.3</v>
      </c>
      <c r="N695" s="18">
        <f>ROUND(L695/M695, 0)</f>
        <v/>
      </c>
      <c r="O695" s="18">
        <f>ROUND(N695*'Methodology &amp; Assumptions'!$B$8, 0)</f>
        <v/>
      </c>
      <c r="P695" s="8" t="inlineStr">
        <is>
          <t>Band n50 (1.5 GHz, 60 MHz)</t>
        </is>
      </c>
      <c r="Q695" s="38">
        <f>ROUNDUP(O695/'Methodology &amp; Assumptions'!$B$9, 0)</f>
        <v/>
      </c>
      <c r="R695" s="39" t="n">
        <v>1</v>
      </c>
      <c r="S695" s="21" t="n">
        <v>2.33</v>
      </c>
      <c r="T695" s="21" t="n">
        <v>1.59</v>
      </c>
      <c r="U695" s="36" t="inlineStr">
        <is>
          <t>Tier 1B (Micro Drop, 1-3 km)</t>
        </is>
      </c>
      <c r="V695" s="20" t="n">
        <v>56</v>
      </c>
      <c r="W695" s="20" t="n">
        <v>98.7</v>
      </c>
      <c r="X695" s="20" t="n">
        <v>58</v>
      </c>
      <c r="Y695" s="40">
        <f>ROUND((V695*'Methodology &amp; Assumptions'!$B$6)+(W695*'Methodology &amp; Assumptions'!$B$5)+(X695*'Methodology &amp; Assumptions'!$B$7), 2)</f>
        <v/>
      </c>
    </row>
    <row r="696" ht="19" customHeight="1">
      <c r="A696" s="41" t="n">
        <v>692</v>
      </c>
      <c r="B696" s="41" t="n">
        <v>1692</v>
      </c>
      <c r="C696" s="42" t="inlineStr">
        <is>
          <t>0304919015</t>
        </is>
      </c>
      <c r="D696" s="42" t="inlineStr">
        <is>
          <t>Region III (Central Luzon)</t>
        </is>
      </c>
      <c r="E696" s="42" t="inlineStr">
        <is>
          <t>Nueva Ecija</t>
        </is>
      </c>
      <c r="F696" s="42" t="inlineStr">
        <is>
          <t>City of Palayan</t>
        </is>
      </c>
      <c r="G696" s="42" t="inlineStr">
        <is>
          <t>Caimito</t>
        </is>
      </c>
      <c r="H696" s="43" t="n">
        <v>15.545769</v>
      </c>
      <c r="I696" s="43" t="n">
        <v>121.086547</v>
      </c>
      <c r="J696" s="44" t="inlineStr">
        <is>
          <t>R</t>
        </is>
      </c>
      <c r="K696" s="42" t="inlineStr">
        <is>
          <t>Class 1-3 / Urban</t>
        </is>
      </c>
      <c r="L696" s="23" t="n">
        <v>2553</v>
      </c>
      <c r="M696" s="24" t="n">
        <v>4.32</v>
      </c>
      <c r="N696" s="23">
        <f>ROUND(L696/M696, 0)</f>
        <v/>
      </c>
      <c r="O696" s="23">
        <f>ROUND(N696*'Methodology &amp; Assumptions'!$B$8, 0)</f>
        <v/>
      </c>
      <c r="P696" s="44" t="inlineStr">
        <is>
          <t>Band n50 (1.5 GHz, 60 MHz)</t>
        </is>
      </c>
      <c r="Q696" s="38">
        <f>ROUNDUP(O696/'Methodology &amp; Assumptions'!$B$9, 0)</f>
        <v/>
      </c>
      <c r="R696" s="39" t="n">
        <v>1</v>
      </c>
      <c r="S696" s="25" t="n">
        <v>0.92</v>
      </c>
      <c r="T696" s="25" t="n">
        <v>1.31</v>
      </c>
      <c r="U696" s="42" t="inlineStr">
        <is>
          <t>Tier 1A (Direct Coloc, &lt;1 km)</t>
        </is>
      </c>
      <c r="V696" s="24" t="n">
        <v>83.5</v>
      </c>
      <c r="W696" s="24" t="n">
        <v>71.2</v>
      </c>
      <c r="X696" s="24" t="n">
        <v>58</v>
      </c>
      <c r="Y696" s="45">
        <f>ROUND((V696*'Methodology &amp; Assumptions'!$B$6)+(W696*'Methodology &amp; Assumptions'!$B$5)+(X696*'Methodology &amp; Assumptions'!$B$7), 2)</f>
        <v/>
      </c>
    </row>
    <row r="697" ht="19" customHeight="1">
      <c r="A697" s="35" t="n">
        <v>693</v>
      </c>
      <c r="B697" s="35" t="n">
        <v>1693</v>
      </c>
      <c r="C697" s="36" t="inlineStr">
        <is>
          <t>0103305014</t>
        </is>
      </c>
      <c r="D697" s="36" t="inlineStr">
        <is>
          <t>Region I (Ilocos Region)</t>
        </is>
      </c>
      <c r="E697" s="36" t="inlineStr">
        <is>
          <t>La Union</t>
        </is>
      </c>
      <c r="F697" s="36" t="inlineStr">
        <is>
          <t>Balaoan</t>
        </is>
      </c>
      <c r="G697" s="36" t="inlineStr">
        <is>
          <t>Calungbuyan</t>
        </is>
      </c>
      <c r="H697" s="37" t="n">
        <v>16.810947</v>
      </c>
      <c r="I697" s="37" t="n">
        <v>120.405447</v>
      </c>
      <c r="J697" s="8" t="inlineStr">
        <is>
          <t>R</t>
        </is>
      </c>
      <c r="K697" s="36" t="inlineStr">
        <is>
          <t>Class 1-3 / Urban</t>
        </is>
      </c>
      <c r="L697" s="18" t="n">
        <v>1691</v>
      </c>
      <c r="M697" s="20" t="n">
        <v>4.42</v>
      </c>
      <c r="N697" s="18">
        <f>ROUND(L697/M697, 0)</f>
        <v/>
      </c>
      <c r="O697" s="18">
        <f>ROUND(N697*'Methodology &amp; Assumptions'!$B$8, 0)</f>
        <v/>
      </c>
      <c r="P697" s="8" t="inlineStr">
        <is>
          <t>Band n50 (1.5 GHz, 60 MHz)</t>
        </is>
      </c>
      <c r="Q697" s="38">
        <f>ROUNDUP(O697/'Methodology &amp; Assumptions'!$B$9, 0)</f>
        <v/>
      </c>
      <c r="R697" s="39" t="n">
        <v>1</v>
      </c>
      <c r="S697" s="21" t="n">
        <v>0.32</v>
      </c>
      <c r="T697" s="21" t="n">
        <v>0.1</v>
      </c>
      <c r="U697" s="36" t="inlineStr">
        <is>
          <t>Tier 1A (Direct Coloc, &lt;1 km)</t>
        </is>
      </c>
      <c r="V697" s="20" t="n">
        <v>100</v>
      </c>
      <c r="W697" s="20" t="n">
        <v>54.7</v>
      </c>
      <c r="X697" s="20" t="n">
        <v>58</v>
      </c>
      <c r="Y697" s="40">
        <f>ROUND((V697*'Methodology &amp; Assumptions'!$B$6)+(W697*'Methodology &amp; Assumptions'!$B$5)+(X697*'Methodology &amp; Assumptions'!$B$7), 2)</f>
        <v/>
      </c>
    </row>
    <row r="698" ht="19" customHeight="1">
      <c r="A698" s="41" t="n">
        <v>694</v>
      </c>
      <c r="B698" s="41" t="n">
        <v>1694</v>
      </c>
      <c r="C698" s="42" t="inlineStr">
        <is>
          <t>1401110008</t>
        </is>
      </c>
      <c r="D698" s="42" t="inlineStr">
        <is>
          <t>Cordillera Administrative Region (CAR)</t>
        </is>
      </c>
      <c r="E698" s="42" t="inlineStr">
        <is>
          <t>Benguet</t>
        </is>
      </c>
      <c r="F698" s="42" t="inlineStr">
        <is>
          <t>La Trinidad</t>
        </is>
      </c>
      <c r="G698" s="42" t="inlineStr">
        <is>
          <t>Betag</t>
        </is>
      </c>
      <c r="H698" s="43" t="n">
        <v>16.45553</v>
      </c>
      <c r="I698" s="43" t="n">
        <v>120.58394</v>
      </c>
      <c r="J698" s="44" t="inlineStr">
        <is>
          <t>U</t>
        </is>
      </c>
      <c r="K698" s="42" t="inlineStr">
        <is>
          <t>Class 1-3 / Urban</t>
        </is>
      </c>
      <c r="L698" s="23" t="n">
        <v>9297</v>
      </c>
      <c r="M698" s="24" t="n">
        <v>4.58</v>
      </c>
      <c r="N698" s="23">
        <f>ROUND(L698/M698, 0)</f>
        <v/>
      </c>
      <c r="O698" s="23">
        <f>ROUND(N698*'Methodology &amp; Assumptions'!$B$8, 0)</f>
        <v/>
      </c>
      <c r="P698" s="44" t="inlineStr">
        <is>
          <t>Band n50 (1.5 GHz, 60 MHz)</t>
        </is>
      </c>
      <c r="Q698" s="38">
        <f>ROUNDUP(O698/'Methodology &amp; Assumptions'!$B$9, 0)</f>
        <v/>
      </c>
      <c r="R698" s="39" t="n">
        <v>1</v>
      </c>
      <c r="S698" s="25" t="n">
        <v>1.06</v>
      </c>
      <c r="T698" s="25" t="n">
        <v>0.55</v>
      </c>
      <c r="U698" s="42" t="inlineStr">
        <is>
          <t>Tier 1B (Micro Drop, 1-3 km)</t>
        </is>
      </c>
      <c r="V698" s="24" t="n">
        <v>80.3</v>
      </c>
      <c r="W698" s="24" t="n">
        <v>100</v>
      </c>
      <c r="X698" s="24" t="n">
        <v>28</v>
      </c>
      <c r="Y698" s="45">
        <f>ROUND((V698*'Methodology &amp; Assumptions'!$B$6)+(W698*'Methodology &amp; Assumptions'!$B$5)+(X698*'Methodology &amp; Assumptions'!$B$7), 2)</f>
        <v/>
      </c>
    </row>
    <row r="699" ht="19" customHeight="1">
      <c r="A699" s="35" t="n">
        <v>695</v>
      </c>
      <c r="B699" s="35" t="n">
        <v>1695</v>
      </c>
      <c r="C699" s="36" t="inlineStr">
        <is>
          <t>0304926006</t>
        </is>
      </c>
      <c r="D699" s="36" t="inlineStr">
        <is>
          <t>Region III (Central Luzon)</t>
        </is>
      </c>
      <c r="E699" s="36" t="inlineStr">
        <is>
          <t>Nueva Ecija</t>
        </is>
      </c>
      <c r="F699" s="36" t="inlineStr">
        <is>
          <t>San Jose City</t>
        </is>
      </c>
      <c r="G699" s="36" t="inlineStr">
        <is>
          <t>Calaocan</t>
        </is>
      </c>
      <c r="H699" s="37" t="n">
        <v>15.78516</v>
      </c>
      <c r="I699" s="37" t="n">
        <v>120.9886</v>
      </c>
      <c r="J699" s="8" t="inlineStr">
        <is>
          <t>U</t>
        </is>
      </c>
      <c r="K699" s="36" t="inlineStr">
        <is>
          <t>Class 1-3 / Urban</t>
        </is>
      </c>
      <c r="L699" s="18" t="n">
        <v>5945</v>
      </c>
      <c r="M699" s="20" t="n">
        <v>4.32</v>
      </c>
      <c r="N699" s="18">
        <f>ROUND(L699/M699, 0)</f>
        <v/>
      </c>
      <c r="O699" s="18">
        <f>ROUND(N699*'Methodology &amp; Assumptions'!$B$8, 0)</f>
        <v/>
      </c>
      <c r="P699" s="8" t="inlineStr">
        <is>
          <t>Band n50 (1.5 GHz, 60 MHz)</t>
        </is>
      </c>
      <c r="Q699" s="38">
        <f>ROUNDUP(O699/'Methodology &amp; Assumptions'!$B$9, 0)</f>
        <v/>
      </c>
      <c r="R699" s="39" t="n">
        <v>1</v>
      </c>
      <c r="S699" s="21" t="n">
        <v>1.06</v>
      </c>
      <c r="T699" s="21" t="n">
        <v>0.51</v>
      </c>
      <c r="U699" s="36" t="inlineStr">
        <is>
          <t>Tier 1B (Micro Drop, 1-3 km)</t>
        </is>
      </c>
      <c r="V699" s="20" t="n">
        <v>80.3</v>
      </c>
      <c r="W699" s="20" t="n">
        <v>100</v>
      </c>
      <c r="X699" s="20" t="n">
        <v>28</v>
      </c>
      <c r="Y699" s="40">
        <f>ROUND((V699*'Methodology &amp; Assumptions'!$B$6)+(W699*'Methodology &amp; Assumptions'!$B$5)+(X699*'Methodology &amp; Assumptions'!$B$7), 2)</f>
        <v/>
      </c>
    </row>
    <row r="700" ht="19" customHeight="1">
      <c r="A700" s="41" t="n">
        <v>696</v>
      </c>
      <c r="B700" s="41" t="n">
        <v>1696</v>
      </c>
      <c r="C700" s="42" t="inlineStr">
        <is>
          <t>0402109068</t>
        </is>
      </c>
      <c r="D700" s="42" t="inlineStr">
        <is>
          <t>Region IV-A (CALABARZON)</t>
        </is>
      </c>
      <c r="E700" s="42" t="inlineStr">
        <is>
          <t>Cavite</t>
        </is>
      </c>
      <c r="F700" s="42" t="inlineStr">
        <is>
          <t>City of Imus</t>
        </is>
      </c>
      <c r="G700" s="42" t="inlineStr">
        <is>
          <t>Malagasang II-G</t>
        </is>
      </c>
      <c r="H700" s="43" t="n">
        <v>14.354999</v>
      </c>
      <c r="I700" s="43" t="n">
        <v>120.923392</v>
      </c>
      <c r="J700" s="44" t="inlineStr">
        <is>
          <t>R</t>
        </is>
      </c>
      <c r="K700" s="42" t="inlineStr">
        <is>
          <t>Class 1-3 / Urban</t>
        </is>
      </c>
      <c r="L700" s="23" t="n">
        <v>4739</v>
      </c>
      <c r="M700" s="24" t="n">
        <v>4.49</v>
      </c>
      <c r="N700" s="23">
        <f>ROUND(L700/M700, 0)</f>
        <v/>
      </c>
      <c r="O700" s="23">
        <f>ROUND(N700*'Methodology &amp; Assumptions'!$B$8, 0)</f>
        <v/>
      </c>
      <c r="P700" s="44" t="inlineStr">
        <is>
          <t>Band n50 (1.5 GHz, 60 MHz)</t>
        </is>
      </c>
      <c r="Q700" s="38">
        <f>ROUNDUP(O700/'Methodology &amp; Assumptions'!$B$9, 0)</f>
        <v/>
      </c>
      <c r="R700" s="39" t="n">
        <v>1</v>
      </c>
      <c r="S700" s="25" t="n">
        <v>1.82</v>
      </c>
      <c r="T700" s="25" t="n">
        <v>6.76</v>
      </c>
      <c r="U700" s="42" t="inlineStr">
        <is>
          <t>Tier 1B (Micro Drop, 1-3 km)</t>
        </is>
      </c>
      <c r="V700" s="24" t="n">
        <v>54.6</v>
      </c>
      <c r="W700" s="24" t="n">
        <v>100</v>
      </c>
      <c r="X700" s="24" t="n">
        <v>58</v>
      </c>
      <c r="Y700" s="45">
        <f>ROUND((V700*'Methodology &amp; Assumptions'!$B$6)+(W700*'Methodology &amp; Assumptions'!$B$5)+(X700*'Methodology &amp; Assumptions'!$B$7), 2)</f>
        <v/>
      </c>
    </row>
    <row r="701" ht="19" customHeight="1">
      <c r="A701" s="35" t="n">
        <v>697</v>
      </c>
      <c r="B701" s="35" t="n">
        <v>1697</v>
      </c>
      <c r="C701" s="36" t="inlineStr">
        <is>
          <t>0300810020</t>
        </is>
      </c>
      <c r="D701" s="36" t="inlineStr">
        <is>
          <t>Region III (Central Luzon)</t>
        </is>
      </c>
      <c r="E701" s="36" t="inlineStr">
        <is>
          <t>Bataan</t>
        </is>
      </c>
      <c r="F701" s="36" t="inlineStr">
        <is>
          <t>Orion</t>
        </is>
      </c>
      <c r="G701" s="36" t="inlineStr">
        <is>
          <t>Puting Buhangin</t>
        </is>
      </c>
      <c r="H701" s="37" t="n">
        <v>14.583282</v>
      </c>
      <c r="I701" s="37" t="n">
        <v>120.58976</v>
      </c>
      <c r="J701" s="8" t="inlineStr">
        <is>
          <t>R</t>
        </is>
      </c>
      <c r="K701" s="36" t="inlineStr">
        <is>
          <t>Class 1-3 / Urban</t>
        </is>
      </c>
      <c r="L701" s="18" t="n">
        <v>3053</v>
      </c>
      <c r="M701" s="20" t="n">
        <v>4.57</v>
      </c>
      <c r="N701" s="18">
        <f>ROUND(L701/M701, 0)</f>
        <v/>
      </c>
      <c r="O701" s="18">
        <f>ROUND(N701*'Methodology &amp; Assumptions'!$B$8, 0)</f>
        <v/>
      </c>
      <c r="P701" s="8" t="inlineStr">
        <is>
          <t>Band n50 (1.5 GHz, 60 MHz)</t>
        </is>
      </c>
      <c r="Q701" s="38">
        <f>ROUNDUP(O701/'Methodology &amp; Assumptions'!$B$9, 0)</f>
        <v/>
      </c>
      <c r="R701" s="39" t="n">
        <v>1</v>
      </c>
      <c r="S701" s="21" t="n">
        <v>1.19</v>
      </c>
      <c r="T701" s="21" t="n">
        <v>0.3</v>
      </c>
      <c r="U701" s="36" t="inlineStr">
        <is>
          <t>Tier 1B (Micro Drop, 1-3 km)</t>
        </is>
      </c>
      <c r="V701" s="20" t="n">
        <v>77.2</v>
      </c>
      <c r="W701" s="20" t="n">
        <v>77.3</v>
      </c>
      <c r="X701" s="20" t="n">
        <v>58</v>
      </c>
      <c r="Y701" s="40">
        <f>ROUND((V701*'Methodology &amp; Assumptions'!$B$6)+(W701*'Methodology &amp; Assumptions'!$B$5)+(X701*'Methodology &amp; Assumptions'!$B$7), 2)</f>
        <v/>
      </c>
    </row>
    <row r="702" ht="19" customHeight="1">
      <c r="A702" s="41" t="n">
        <v>698</v>
      </c>
      <c r="B702" s="41" t="n">
        <v>1698</v>
      </c>
      <c r="C702" s="42" t="inlineStr">
        <is>
          <t>0402116002</t>
        </is>
      </c>
      <c r="D702" s="42" t="inlineStr">
        <is>
          <t>Region IV-A (CALABARZON)</t>
        </is>
      </c>
      <c r="E702" s="42" t="inlineStr">
        <is>
          <t>Cavite</t>
        </is>
      </c>
      <c r="F702" s="42" t="inlineStr">
        <is>
          <t>Noveleta</t>
        </is>
      </c>
      <c r="G702" s="42" t="inlineStr">
        <is>
          <t>Poblacion</t>
        </is>
      </c>
      <c r="H702" s="43" t="n">
        <v>14.425517</v>
      </c>
      <c r="I702" s="43" t="n">
        <v>120.879176</v>
      </c>
      <c r="J702" s="44" t="inlineStr">
        <is>
          <t>R</t>
        </is>
      </c>
      <c r="K702" s="42" t="inlineStr">
        <is>
          <t>Class 1-3 / Urban</t>
        </is>
      </c>
      <c r="L702" s="23" t="n">
        <v>2176</v>
      </c>
      <c r="M702" s="24" t="n">
        <v>4.49</v>
      </c>
      <c r="N702" s="23">
        <f>ROUND(L702/M702, 0)</f>
        <v/>
      </c>
      <c r="O702" s="23">
        <f>ROUND(N702*'Methodology &amp; Assumptions'!$B$8, 0)</f>
        <v/>
      </c>
      <c r="P702" s="44" t="inlineStr">
        <is>
          <t>Band n50 (1.5 GHz, 60 MHz)</t>
        </is>
      </c>
      <c r="Q702" s="38">
        <f>ROUNDUP(O702/'Methodology &amp; Assumptions'!$B$9, 0)</f>
        <v/>
      </c>
      <c r="R702" s="39" t="n">
        <v>1</v>
      </c>
      <c r="S702" s="25" t="n">
        <v>0.61</v>
      </c>
      <c r="T702" s="25" t="n">
        <v>0.59</v>
      </c>
      <c r="U702" s="42" t="inlineStr">
        <is>
          <t>Tier 1A (Direct Coloc, &lt;1 km)</t>
        </is>
      </c>
      <c r="V702" s="24" t="n">
        <v>91.59999999999999</v>
      </c>
      <c r="W702" s="24" t="n">
        <v>62.9</v>
      </c>
      <c r="X702" s="24" t="n">
        <v>58</v>
      </c>
      <c r="Y702" s="45">
        <f>ROUND((V702*'Methodology &amp; Assumptions'!$B$6)+(W702*'Methodology &amp; Assumptions'!$B$5)+(X702*'Methodology &amp; Assumptions'!$B$7), 2)</f>
        <v/>
      </c>
    </row>
    <row r="703" ht="19" customHeight="1">
      <c r="A703" s="35" t="n">
        <v>699</v>
      </c>
      <c r="B703" s="35" t="n">
        <v>1699</v>
      </c>
      <c r="C703" s="36" t="inlineStr">
        <is>
          <t>0403414004</t>
        </is>
      </c>
      <c r="D703" s="36" t="inlineStr">
        <is>
          <t>Region IV-A (CALABARZON)</t>
        </is>
      </c>
      <c r="E703" s="36" t="inlineStr">
        <is>
          <t>Laguna</t>
        </is>
      </c>
      <c r="F703" s="36" t="inlineStr">
        <is>
          <t>Mabitac</t>
        </is>
      </c>
      <c r="G703" s="36" t="inlineStr">
        <is>
          <t>Matalatala</t>
        </is>
      </c>
      <c r="H703" s="37" t="n">
        <v>14.416372</v>
      </c>
      <c r="I703" s="37" t="n">
        <v>121.409308</v>
      </c>
      <c r="J703" s="8" t="inlineStr">
        <is>
          <t>R</t>
        </is>
      </c>
      <c r="K703" s="36" t="inlineStr">
        <is>
          <t>4th</t>
        </is>
      </c>
      <c r="L703" s="18" t="n">
        <v>4352</v>
      </c>
      <c r="M703" s="20" t="n">
        <v>4.48</v>
      </c>
      <c r="N703" s="18">
        <f>ROUND(L703/M703, 0)</f>
        <v/>
      </c>
      <c r="O703" s="18">
        <f>ROUND(N703*'Methodology &amp; Assumptions'!$B$8, 0)</f>
        <v/>
      </c>
      <c r="P703" s="8" t="inlineStr">
        <is>
          <t>Band n50 (1.5 GHz, 60 MHz)</t>
        </is>
      </c>
      <c r="Q703" s="38">
        <f>ROUNDUP(O703/'Methodology &amp; Assumptions'!$B$9, 0)</f>
        <v/>
      </c>
      <c r="R703" s="39" t="n">
        <v>1</v>
      </c>
      <c r="S703" s="21" t="n">
        <v>2.36</v>
      </c>
      <c r="T703" s="21" t="n">
        <v>2.96</v>
      </c>
      <c r="U703" s="36" t="inlineStr">
        <is>
          <t>Tier 1B (Micro Drop, 1-3 km)</t>
        </is>
      </c>
      <c r="V703" s="20" t="n">
        <v>45.5</v>
      </c>
      <c r="W703" s="20" t="n">
        <v>100</v>
      </c>
      <c r="X703" s="20" t="n">
        <v>68.5</v>
      </c>
      <c r="Y703" s="40">
        <f>ROUND((V703*'Methodology &amp; Assumptions'!$B$6)+(W703*'Methodology &amp; Assumptions'!$B$5)+(X703*'Methodology &amp; Assumptions'!$B$7), 2)</f>
        <v/>
      </c>
    </row>
    <row r="704" ht="19" customHeight="1">
      <c r="A704" s="41" t="n">
        <v>700</v>
      </c>
      <c r="B704" s="41" t="n">
        <v>1700</v>
      </c>
      <c r="C704" s="42" t="inlineStr">
        <is>
          <t>0401030025</t>
        </is>
      </c>
      <c r="D704" s="42" t="inlineStr">
        <is>
          <t>Region IV-A (CALABARZON)</t>
        </is>
      </c>
      <c r="E704" s="42" t="inlineStr">
        <is>
          <t>Batangas</t>
        </is>
      </c>
      <c r="F704" s="42" t="inlineStr">
        <is>
          <t>Talisay</t>
        </is>
      </c>
      <c r="G704" s="42" t="inlineStr">
        <is>
          <t>Tumaway</t>
        </is>
      </c>
      <c r="H704" s="43" t="n">
        <v>14.093593</v>
      </c>
      <c r="I704" s="43" t="n">
        <v>121.028934</v>
      </c>
      <c r="J704" s="44" t="inlineStr">
        <is>
          <t>R</t>
        </is>
      </c>
      <c r="K704" s="42" t="inlineStr">
        <is>
          <t>Class 1-3 / Urban</t>
        </is>
      </c>
      <c r="L704" s="23" t="n">
        <v>3572</v>
      </c>
      <c r="M704" s="24" t="n">
        <v>4.62</v>
      </c>
      <c r="N704" s="23">
        <f>ROUND(L704/M704, 0)</f>
        <v/>
      </c>
      <c r="O704" s="23">
        <f>ROUND(N704*'Methodology &amp; Assumptions'!$B$8, 0)</f>
        <v/>
      </c>
      <c r="P704" s="44" t="inlineStr">
        <is>
          <t>Band n50 (1.5 GHz, 60 MHz)</t>
        </is>
      </c>
      <c r="Q704" s="38">
        <f>ROUNDUP(O704/'Methodology &amp; Assumptions'!$B$9, 0)</f>
        <v/>
      </c>
      <c r="R704" s="39" t="n">
        <v>1</v>
      </c>
      <c r="S704" s="25" t="n">
        <v>1.13</v>
      </c>
      <c r="T704" s="25" t="n">
        <v>6.38</v>
      </c>
      <c r="U704" s="42" t="inlineStr">
        <is>
          <t>Tier 1B (Micro Drop, 1-3 km)</t>
        </is>
      </c>
      <c r="V704" s="24" t="n">
        <v>68.7</v>
      </c>
      <c r="W704" s="24" t="n">
        <v>85.90000000000001</v>
      </c>
      <c r="X704" s="24" t="n">
        <v>58</v>
      </c>
      <c r="Y704" s="45">
        <f>ROUND((V704*'Methodology &amp; Assumptions'!$B$6)+(W704*'Methodology &amp; Assumptions'!$B$5)+(X704*'Methodology &amp; Assumptions'!$B$7), 2)</f>
        <v/>
      </c>
    </row>
    <row r="705" ht="19" customHeight="1">
      <c r="A705" s="35" t="n">
        <v>701</v>
      </c>
      <c r="B705" s="35" t="n">
        <v>1701</v>
      </c>
      <c r="C705" s="36" t="inlineStr">
        <is>
          <t>0331400013</t>
        </is>
      </c>
      <c r="D705" s="36" t="inlineStr">
        <is>
          <t>Region III (Central Luzon)</t>
        </is>
      </c>
      <c r="E705" s="36" t="inlineStr">
        <is>
          <t>Zambales</t>
        </is>
      </c>
      <c r="F705" s="36" t="inlineStr">
        <is>
          <t>City of Olongapo</t>
        </is>
      </c>
      <c r="G705" s="36" t="inlineStr">
        <is>
          <t>Mabayuan</t>
        </is>
      </c>
      <c r="H705" s="37" t="n">
        <v>14.843151</v>
      </c>
      <c r="I705" s="37" t="n">
        <v>120.281987</v>
      </c>
      <c r="J705" s="8" t="inlineStr">
        <is>
          <t>U</t>
        </is>
      </c>
      <c r="K705" s="36" t="inlineStr">
        <is>
          <t>Class 1-3 / Urban</t>
        </is>
      </c>
      <c r="L705" s="18" t="n">
        <v>12436</v>
      </c>
      <c r="M705" s="20" t="n">
        <v>4.05</v>
      </c>
      <c r="N705" s="18">
        <f>ROUND(L705/M705, 0)</f>
        <v/>
      </c>
      <c r="O705" s="18">
        <f>ROUND(N705*'Methodology &amp; Assumptions'!$B$8, 0)</f>
        <v/>
      </c>
      <c r="P705" s="8" t="inlineStr">
        <is>
          <t>Band n50 (1.5 GHz, 60 MHz)</t>
        </is>
      </c>
      <c r="Q705" s="38">
        <f>ROUNDUP(O705/'Methodology &amp; Assumptions'!$B$9, 0)</f>
        <v/>
      </c>
      <c r="R705" s="39" t="n">
        <v>1</v>
      </c>
      <c r="S705" s="21" t="n">
        <v>1.06</v>
      </c>
      <c r="T705" s="21" t="n">
        <v>0.45</v>
      </c>
      <c r="U705" s="36" t="inlineStr">
        <is>
          <t>Tier 1B (Micro Drop, 1-3 km)</t>
        </is>
      </c>
      <c r="V705" s="20" t="n">
        <v>80.3</v>
      </c>
      <c r="W705" s="20" t="n">
        <v>100</v>
      </c>
      <c r="X705" s="20" t="n">
        <v>28</v>
      </c>
      <c r="Y705" s="40">
        <f>ROUND((V705*'Methodology &amp; Assumptions'!$B$6)+(W705*'Methodology &amp; Assumptions'!$B$5)+(X705*'Methodology &amp; Assumptions'!$B$7), 2)</f>
        <v/>
      </c>
    </row>
    <row r="706" ht="19" customHeight="1">
      <c r="A706" s="41" t="n">
        <v>702</v>
      </c>
      <c r="B706" s="41" t="n">
        <v>1702</v>
      </c>
      <c r="C706" s="42" t="inlineStr">
        <is>
          <t>0631000014</t>
        </is>
      </c>
      <c r="D706" s="42" t="inlineStr">
        <is>
          <t>Region VI (Western Visayas)</t>
        </is>
      </c>
      <c r="E706" s="42" t="inlineStr">
        <is>
          <t>Iloilo</t>
        </is>
      </c>
      <c r="F706" s="42" t="inlineStr">
        <is>
          <t>City of Iloilo</t>
        </is>
      </c>
      <c r="G706" s="42" t="inlineStr">
        <is>
          <t>Sinikway</t>
        </is>
      </c>
      <c r="H706" s="43" t="n">
        <v>10.706883</v>
      </c>
      <c r="I706" s="43" t="n">
        <v>122.574869</v>
      </c>
      <c r="J706" s="44" t="inlineStr">
        <is>
          <t>R</t>
        </is>
      </c>
      <c r="K706" s="42" t="inlineStr">
        <is>
          <t>Class 1-3 / Urban</t>
        </is>
      </c>
      <c r="L706" s="23" t="n">
        <v>2786</v>
      </c>
      <c r="M706" s="24" t="n">
        <v>4.39</v>
      </c>
      <c r="N706" s="23">
        <f>ROUND(L706/M706, 0)</f>
        <v/>
      </c>
      <c r="O706" s="23">
        <f>ROUND(N706*'Methodology &amp; Assumptions'!$B$8, 0)</f>
        <v/>
      </c>
      <c r="P706" s="44" t="inlineStr">
        <is>
          <t>Band n50 (1.5 GHz, 60 MHz)</t>
        </is>
      </c>
      <c r="Q706" s="38">
        <f>ROUNDUP(O706/'Methodology &amp; Assumptions'!$B$9, 0)</f>
        <v/>
      </c>
      <c r="R706" s="39" t="n">
        <v>1</v>
      </c>
      <c r="S706" s="25" t="n">
        <v>1.08</v>
      </c>
      <c r="T706" s="25" t="n">
        <v>0.64</v>
      </c>
      <c r="U706" s="42" t="inlineStr">
        <is>
          <t>Tier 1B (Micro Drop, 1-3 km)</t>
        </is>
      </c>
      <c r="V706" s="24" t="n">
        <v>79.8</v>
      </c>
      <c r="W706" s="24" t="n">
        <v>74.7</v>
      </c>
      <c r="X706" s="24" t="n">
        <v>58</v>
      </c>
      <c r="Y706" s="45">
        <f>ROUND((V706*'Methodology &amp; Assumptions'!$B$6)+(W706*'Methodology &amp; Assumptions'!$B$5)+(X706*'Methodology &amp; Assumptions'!$B$7), 2)</f>
        <v/>
      </c>
    </row>
    <row r="707" ht="19" customHeight="1">
      <c r="A707" s="35" t="n">
        <v>703</v>
      </c>
      <c r="B707" s="35" t="n">
        <v>1703</v>
      </c>
      <c r="C707" s="36" t="inlineStr">
        <is>
          <t>0405802014</t>
        </is>
      </c>
      <c r="D707" s="36" t="inlineStr">
        <is>
          <t>Region IV-A (CALABARZON)</t>
        </is>
      </c>
      <c r="E707" s="36" t="inlineStr">
        <is>
          <t>Rizal</t>
        </is>
      </c>
      <c r="F707" s="36" t="inlineStr">
        <is>
          <t>City of Antipolo</t>
        </is>
      </c>
      <c r="G707" s="36" t="inlineStr">
        <is>
          <t>Inarawan</t>
        </is>
      </c>
      <c r="H707" s="37" t="n">
        <v>14.624615</v>
      </c>
      <c r="I707" s="37" t="n">
        <v>121.180512</v>
      </c>
      <c r="J707" s="8" t="inlineStr">
        <is>
          <t>U</t>
        </is>
      </c>
      <c r="K707" s="36" t="inlineStr">
        <is>
          <t>Class 1-3 / Urban</t>
        </is>
      </c>
      <c r="L707" s="18" t="n">
        <v>31917</v>
      </c>
      <c r="M707" s="20" t="n">
        <v>4.39</v>
      </c>
      <c r="N707" s="18">
        <f>ROUND(L707/M707, 0)</f>
        <v/>
      </c>
      <c r="O707" s="18">
        <f>ROUND(N707*'Methodology &amp; Assumptions'!$B$8, 0)</f>
        <v/>
      </c>
      <c r="P707" s="8" t="inlineStr">
        <is>
          <t>Band n50 (1.5 GHz, 60 MHz)</t>
        </is>
      </c>
      <c r="Q707" s="38">
        <f>ROUNDUP(O707/'Methodology &amp; Assumptions'!$B$9, 0)</f>
        <v/>
      </c>
      <c r="R707" s="39" t="n">
        <v>1</v>
      </c>
      <c r="S707" s="21" t="n">
        <v>1.03</v>
      </c>
      <c r="T707" s="21" t="n">
        <v>0.58</v>
      </c>
      <c r="U707" s="36" t="inlineStr">
        <is>
          <t>Tier 1B (Micro Drop, 1-3 km)</t>
        </is>
      </c>
      <c r="V707" s="20" t="n">
        <v>80.90000000000001</v>
      </c>
      <c r="W707" s="20" t="n">
        <v>99.3</v>
      </c>
      <c r="X707" s="20" t="n">
        <v>28</v>
      </c>
      <c r="Y707" s="40">
        <f>ROUND((V707*'Methodology &amp; Assumptions'!$B$6)+(W707*'Methodology &amp; Assumptions'!$B$5)+(X707*'Methodology &amp; Assumptions'!$B$7), 2)</f>
        <v/>
      </c>
    </row>
    <row r="708" ht="19" customHeight="1">
      <c r="A708" s="41" t="n">
        <v>704</v>
      </c>
      <c r="B708" s="41" t="n">
        <v>1704</v>
      </c>
      <c r="C708" s="42" t="inlineStr">
        <is>
          <t>1001304005</t>
        </is>
      </c>
      <c r="D708" s="42" t="inlineStr">
        <is>
          <t>Region X (Northern Mindanao)</t>
        </is>
      </c>
      <c r="E708" s="42" t="inlineStr">
        <is>
          <t>Bukidnon</t>
        </is>
      </c>
      <c r="F708" s="42" t="inlineStr">
        <is>
          <t>Don Carlos</t>
        </is>
      </c>
      <c r="G708" s="42" t="inlineStr">
        <is>
          <t>Don Carlos Norte</t>
        </is>
      </c>
      <c r="H708" s="43" t="n">
        <v>7.686984</v>
      </c>
      <c r="I708" s="43" t="n">
        <v>124.996416</v>
      </c>
      <c r="J708" s="44" t="inlineStr">
        <is>
          <t>U</t>
        </is>
      </c>
      <c r="K708" s="42" t="inlineStr">
        <is>
          <t>Class 1-3 / Urban</t>
        </is>
      </c>
      <c r="L708" s="23" t="n">
        <v>7380</v>
      </c>
      <c r="M708" s="24" t="n">
        <v>4.63</v>
      </c>
      <c r="N708" s="23">
        <f>ROUND(L708/M708, 0)</f>
        <v/>
      </c>
      <c r="O708" s="23">
        <f>ROUND(N708*'Methodology &amp; Assumptions'!$B$8, 0)</f>
        <v/>
      </c>
      <c r="P708" s="44" t="inlineStr">
        <is>
          <t>Band n50 (1.5 GHz, 60 MHz)</t>
        </is>
      </c>
      <c r="Q708" s="38">
        <f>ROUNDUP(O708/'Methodology &amp; Assumptions'!$B$9, 0)</f>
        <v/>
      </c>
      <c r="R708" s="39" t="n">
        <v>1</v>
      </c>
      <c r="S708" s="25" t="n">
        <v>1.06</v>
      </c>
      <c r="T708" s="25" t="n">
        <v>0.21</v>
      </c>
      <c r="U708" s="42" t="inlineStr">
        <is>
          <t>Tier 1B (Micro Drop, 1-3 km)</t>
        </is>
      </c>
      <c r="V708" s="24" t="n">
        <v>80.2</v>
      </c>
      <c r="W708" s="24" t="n">
        <v>100</v>
      </c>
      <c r="X708" s="24" t="n">
        <v>28</v>
      </c>
      <c r="Y708" s="45">
        <f>ROUND((V708*'Methodology &amp; Assumptions'!$B$6)+(W708*'Methodology &amp; Assumptions'!$B$5)+(X708*'Methodology &amp; Assumptions'!$B$7), 2)</f>
        <v/>
      </c>
    </row>
    <row r="709" ht="19" customHeight="1">
      <c r="A709" s="35" t="n">
        <v>705</v>
      </c>
      <c r="B709" s="35" t="n">
        <v>1705</v>
      </c>
      <c r="C709" s="36" t="inlineStr">
        <is>
          <t>0803740036</t>
        </is>
      </c>
      <c r="D709" s="36" t="inlineStr">
        <is>
          <t>Region VIII (Eastern Visayas)</t>
        </is>
      </c>
      <c r="E709" s="36" t="inlineStr">
        <is>
          <t>Leyte</t>
        </is>
      </c>
      <c r="F709" s="36" t="inlineStr">
        <is>
          <t>Palompon</t>
        </is>
      </c>
      <c r="G709" s="36" t="inlineStr">
        <is>
          <t>San Isidro</t>
        </is>
      </c>
      <c r="H709" s="37" t="n">
        <v>11.058749</v>
      </c>
      <c r="I709" s="37" t="n">
        <v>124.383485</v>
      </c>
      <c r="J709" s="8" t="inlineStr">
        <is>
          <t>U</t>
        </is>
      </c>
      <c r="K709" s="36" t="inlineStr">
        <is>
          <t>Class 1-3 / Urban</t>
        </is>
      </c>
      <c r="L709" s="18" t="n">
        <v>3743</v>
      </c>
      <c r="M709" s="20" t="n">
        <v>4.24</v>
      </c>
      <c r="N709" s="18">
        <f>ROUND(L709/M709, 0)</f>
        <v/>
      </c>
      <c r="O709" s="18">
        <f>ROUND(N709*'Methodology &amp; Assumptions'!$B$8, 0)</f>
        <v/>
      </c>
      <c r="P709" s="8" t="inlineStr">
        <is>
          <t>Band n50 (1.5 GHz, 60 MHz)</t>
        </is>
      </c>
      <c r="Q709" s="38">
        <f>ROUNDUP(O709/'Methodology &amp; Assumptions'!$B$9, 0)</f>
        <v/>
      </c>
      <c r="R709" s="39" t="n">
        <v>1</v>
      </c>
      <c r="S709" s="21" t="n">
        <v>0.84</v>
      </c>
      <c r="T709" s="21" t="n">
        <v>1</v>
      </c>
      <c r="U709" s="36" t="inlineStr">
        <is>
          <t>Tier 1A (Direct Coloc, &lt;1 km)</t>
        </is>
      </c>
      <c r="V709" s="20" t="n">
        <v>85.5</v>
      </c>
      <c r="W709" s="20" t="n">
        <v>94.7</v>
      </c>
      <c r="X709" s="20" t="n">
        <v>28</v>
      </c>
      <c r="Y709" s="40">
        <f>ROUND((V709*'Methodology &amp; Assumptions'!$B$6)+(W709*'Methodology &amp; Assumptions'!$B$5)+(X709*'Methodology &amp; Assumptions'!$B$7), 2)</f>
        <v/>
      </c>
    </row>
    <row r="710" ht="19" customHeight="1">
      <c r="A710" s="41" t="n">
        <v>706</v>
      </c>
      <c r="B710" s="41" t="n">
        <v>1706</v>
      </c>
      <c r="C710" s="42" t="inlineStr">
        <is>
          <t>0405807008</t>
        </is>
      </c>
      <c r="D710" s="42" t="inlineStr">
        <is>
          <t>Region IV-A (CALABARZON)</t>
        </is>
      </c>
      <c r="E710" s="42" t="inlineStr">
        <is>
          <t>Rizal</t>
        </is>
      </c>
      <c r="F710" s="42" t="inlineStr">
        <is>
          <t>Jala-Jala</t>
        </is>
      </c>
      <c r="G710" s="42" t="inlineStr">
        <is>
          <t>Pagkalinawan</t>
        </is>
      </c>
      <c r="H710" s="43" t="n">
        <v>14.317288</v>
      </c>
      <c r="I710" s="43" t="n">
        <v>121.340064</v>
      </c>
      <c r="J710" s="44" t="inlineStr">
        <is>
          <t>R</t>
        </is>
      </c>
      <c r="K710" s="42" t="inlineStr">
        <is>
          <t>3rd</t>
        </is>
      </c>
      <c r="L710" s="23" t="n">
        <v>2121</v>
      </c>
      <c r="M710" s="24" t="n">
        <v>4.64</v>
      </c>
      <c r="N710" s="23">
        <f>ROUND(L710/M710, 0)</f>
        <v/>
      </c>
      <c r="O710" s="23">
        <f>ROUND(N710*'Methodology &amp; Assumptions'!$B$8, 0)</f>
        <v/>
      </c>
      <c r="P710" s="44" t="inlineStr">
        <is>
          <t>Band n50 (1.5 GHz, 60 MHz)</t>
        </is>
      </c>
      <c r="Q710" s="38">
        <f>ROUNDUP(O710/'Methodology &amp; Assumptions'!$B$9, 0)</f>
        <v/>
      </c>
      <c r="R710" s="39" t="n">
        <v>1</v>
      </c>
      <c r="S710" s="25" t="n">
        <v>0.19</v>
      </c>
      <c r="T710" s="25" t="n">
        <v>8.609999999999999</v>
      </c>
      <c r="U710" s="42" t="inlineStr">
        <is>
          <t>Tier 1A (Direct Coloc, &lt;1 km)</t>
        </is>
      </c>
      <c r="V710" s="24" t="n">
        <v>93.90000000000001</v>
      </c>
      <c r="W710" s="24" t="n">
        <v>60.5</v>
      </c>
      <c r="X710" s="24" t="n">
        <v>58</v>
      </c>
      <c r="Y710" s="45">
        <f>ROUND((V710*'Methodology &amp; Assumptions'!$B$6)+(W710*'Methodology &amp; Assumptions'!$B$5)+(X710*'Methodology &amp; Assumptions'!$B$7), 2)</f>
        <v/>
      </c>
    </row>
    <row r="711" ht="19" customHeight="1">
      <c r="A711" s="35" t="n">
        <v>707</v>
      </c>
      <c r="B711" s="35" t="n">
        <v>1707</v>
      </c>
      <c r="C711" s="36" t="inlineStr">
        <is>
          <t>0301421044</t>
        </is>
      </c>
      <c r="D711" s="36" t="inlineStr">
        <is>
          <t>Region III (Central Luzon)</t>
        </is>
      </c>
      <c r="E711" s="36" t="inlineStr">
        <is>
          <t>Bulacan</t>
        </is>
      </c>
      <c r="F711" s="36" t="inlineStr">
        <is>
          <t>San Miguel</t>
        </is>
      </c>
      <c r="G711" s="36" t="inlineStr">
        <is>
          <t>San Jose</t>
        </is>
      </c>
      <c r="H711" s="37" t="n">
        <v>15.145988</v>
      </c>
      <c r="I711" s="37" t="n">
        <v>120.980401</v>
      </c>
      <c r="J711" s="8" t="inlineStr">
        <is>
          <t>U</t>
        </is>
      </c>
      <c r="K711" s="36" t="inlineStr">
        <is>
          <t>Class 1-3 / Urban</t>
        </is>
      </c>
      <c r="L711" s="18" t="n">
        <v>4613</v>
      </c>
      <c r="M711" s="20" t="n">
        <v>4.1</v>
      </c>
      <c r="N711" s="18">
        <f>ROUND(L711/M711, 0)</f>
        <v/>
      </c>
      <c r="O711" s="18">
        <f>ROUND(N711*'Methodology &amp; Assumptions'!$B$8, 0)</f>
        <v/>
      </c>
      <c r="P711" s="8" t="inlineStr">
        <is>
          <t>Band n50 (1.5 GHz, 60 MHz)</t>
        </is>
      </c>
      <c r="Q711" s="38">
        <f>ROUNDUP(O711/'Methodology &amp; Assumptions'!$B$9, 0)</f>
        <v/>
      </c>
      <c r="R711" s="39" t="n">
        <v>1</v>
      </c>
      <c r="S711" s="21" t="n">
        <v>1.06</v>
      </c>
      <c r="T711" s="21" t="n">
        <v>0.24</v>
      </c>
      <c r="U711" s="36" t="inlineStr">
        <is>
          <t>Tier 1B (Micro Drop, 1-3 km)</t>
        </is>
      </c>
      <c r="V711" s="20" t="n">
        <v>80.2</v>
      </c>
      <c r="W711" s="20" t="n">
        <v>100</v>
      </c>
      <c r="X711" s="20" t="n">
        <v>28</v>
      </c>
      <c r="Y711" s="40">
        <f>ROUND((V711*'Methodology &amp; Assumptions'!$B$6)+(W711*'Methodology &amp; Assumptions'!$B$5)+(X711*'Methodology &amp; Assumptions'!$B$7), 2)</f>
        <v/>
      </c>
    </row>
    <row r="712" ht="19" customHeight="1">
      <c r="A712" s="41" t="n">
        <v>708</v>
      </c>
      <c r="B712" s="41" t="n">
        <v>1708</v>
      </c>
      <c r="C712" s="42" t="inlineStr">
        <is>
          <t>0402103029</t>
        </is>
      </c>
      <c r="D712" s="42" t="inlineStr">
        <is>
          <t>Region IV-A (CALABARZON)</t>
        </is>
      </c>
      <c r="E712" s="42" t="inlineStr">
        <is>
          <t>Cavite</t>
        </is>
      </c>
      <c r="F712" s="42" t="inlineStr">
        <is>
          <t>City of Bacoor</t>
        </is>
      </c>
      <c r="G712" s="42" t="inlineStr">
        <is>
          <t>Aniban II</t>
        </is>
      </c>
      <c r="H712" s="43" t="n">
        <v>14.436707</v>
      </c>
      <c r="I712" s="43" t="n">
        <v>120.961346</v>
      </c>
      <c r="J712" s="44" t="inlineStr">
        <is>
          <t>R</t>
        </is>
      </c>
      <c r="K712" s="42" t="inlineStr">
        <is>
          <t>Class 1-3 / Urban</t>
        </is>
      </c>
      <c r="L712" s="23" t="n">
        <v>3278</v>
      </c>
      <c r="M712" s="24" t="n">
        <v>4.49</v>
      </c>
      <c r="N712" s="23">
        <f>ROUND(L712/M712, 0)</f>
        <v/>
      </c>
      <c r="O712" s="23">
        <f>ROUND(N712*'Methodology &amp; Assumptions'!$B$8, 0)</f>
        <v/>
      </c>
      <c r="P712" s="44" t="inlineStr">
        <is>
          <t>Band n50 (1.5 GHz, 60 MHz)</t>
        </is>
      </c>
      <c r="Q712" s="38">
        <f>ROUNDUP(O712/'Methodology &amp; Assumptions'!$B$9, 0)</f>
        <v/>
      </c>
      <c r="R712" s="39" t="n">
        <v>1</v>
      </c>
      <c r="S712" s="25" t="n">
        <v>1.43</v>
      </c>
      <c r="T712" s="25" t="n">
        <v>1.32</v>
      </c>
      <c r="U712" s="42" t="inlineStr">
        <is>
          <t>Tier 1B (Micro Drop, 1-3 km)</t>
        </is>
      </c>
      <c r="V712" s="24" t="n">
        <v>72</v>
      </c>
      <c r="W712" s="24" t="n">
        <v>82.40000000000001</v>
      </c>
      <c r="X712" s="24" t="n">
        <v>58</v>
      </c>
      <c r="Y712" s="45">
        <f>ROUND((V712*'Methodology &amp; Assumptions'!$B$6)+(W712*'Methodology &amp; Assumptions'!$B$5)+(X712*'Methodology &amp; Assumptions'!$B$7), 2)</f>
        <v/>
      </c>
    </row>
    <row r="713" ht="19" customHeight="1">
      <c r="A713" s="35" t="n">
        <v>709</v>
      </c>
      <c r="B713" s="35" t="n">
        <v>1709</v>
      </c>
      <c r="C713" s="36" t="inlineStr">
        <is>
          <t>0730600083</t>
        </is>
      </c>
      <c r="D713" s="36" t="inlineStr">
        <is>
          <t>Region VII (Central Visayas)</t>
        </is>
      </c>
      <c r="E713" s="36" t="inlineStr">
        <is>
          <t>Cebu</t>
        </is>
      </c>
      <c r="F713" s="36" t="inlineStr">
        <is>
          <t>City of Cebu</t>
        </is>
      </c>
      <c r="G713" s="36" t="inlineStr">
        <is>
          <t>Tejero</t>
        </is>
      </c>
      <c r="H713" s="37" t="n">
        <v>10.301682</v>
      </c>
      <c r="I713" s="37" t="n">
        <v>123.908781</v>
      </c>
      <c r="J713" s="8" t="inlineStr">
        <is>
          <t>U</t>
        </is>
      </c>
      <c r="K713" s="36" t="inlineStr">
        <is>
          <t>Class 1-3 / Urban</t>
        </is>
      </c>
      <c r="L713" s="18" t="n">
        <v>14084</v>
      </c>
      <c r="M713" s="20" t="n">
        <v>4.42</v>
      </c>
      <c r="N713" s="18">
        <f>ROUND(L713/M713, 0)</f>
        <v/>
      </c>
      <c r="O713" s="18">
        <f>ROUND(N713*'Methodology &amp; Assumptions'!$B$8, 0)</f>
        <v/>
      </c>
      <c r="P713" s="8" t="inlineStr">
        <is>
          <t>Band n50 (1.5 GHz, 60 MHz)</t>
        </is>
      </c>
      <c r="Q713" s="38">
        <f>ROUNDUP(O713/'Methodology &amp; Assumptions'!$B$9, 0)</f>
        <v/>
      </c>
      <c r="R713" s="39" t="n">
        <v>1</v>
      </c>
      <c r="S713" s="21" t="n">
        <v>1.06</v>
      </c>
      <c r="T713" s="21" t="n">
        <v>0.66</v>
      </c>
      <c r="U713" s="36" t="inlineStr">
        <is>
          <t>Tier 1B (Micro Drop, 1-3 km)</t>
        </is>
      </c>
      <c r="V713" s="20" t="n">
        <v>80.09999999999999</v>
      </c>
      <c r="W713" s="20" t="n">
        <v>100</v>
      </c>
      <c r="X713" s="20" t="n">
        <v>28</v>
      </c>
      <c r="Y713" s="40">
        <f>ROUND((V713*'Methodology &amp; Assumptions'!$B$6)+(W713*'Methodology &amp; Assumptions'!$B$5)+(X713*'Methodology &amp; Assumptions'!$B$7), 2)</f>
        <v/>
      </c>
    </row>
    <row r="714" ht="19" customHeight="1">
      <c r="A714" s="41" t="n">
        <v>710</v>
      </c>
      <c r="B714" s="41" t="n">
        <v>1710</v>
      </c>
      <c r="C714" s="42" t="inlineStr">
        <is>
          <t>0831600150</t>
        </is>
      </c>
      <c r="D714" s="42" t="inlineStr">
        <is>
          <t>Region VIII (Eastern Visayas)</t>
        </is>
      </c>
      <c r="E714" s="42" t="inlineStr">
        <is>
          <t>Leyte</t>
        </is>
      </c>
      <c r="F714" s="42" t="inlineStr">
        <is>
          <t>City of Tacloban</t>
        </is>
      </c>
      <c r="G714" s="42" t="inlineStr">
        <is>
          <t>Barangay 83-B</t>
        </is>
      </c>
      <c r="H714" s="43" t="n">
        <v>11.205664</v>
      </c>
      <c r="I714" s="43" t="n">
        <v>125.01864</v>
      </c>
      <c r="J714" s="44" t="inlineStr">
        <is>
          <t>R</t>
        </is>
      </c>
      <c r="K714" s="42" t="inlineStr">
        <is>
          <t>Class 1-3 / Urban</t>
        </is>
      </c>
      <c r="L714" s="23" t="n">
        <v>2896</v>
      </c>
      <c r="M714" s="24" t="n">
        <v>4.24</v>
      </c>
      <c r="N714" s="23">
        <f>ROUND(L714/M714, 0)</f>
        <v/>
      </c>
      <c r="O714" s="23">
        <f>ROUND(N714*'Methodology &amp; Assumptions'!$B$8, 0)</f>
        <v/>
      </c>
      <c r="P714" s="44" t="inlineStr">
        <is>
          <t>Band n50 (1.5 GHz, 60 MHz)</t>
        </is>
      </c>
      <c r="Q714" s="38">
        <f>ROUNDUP(O714/'Methodology &amp; Assumptions'!$B$9, 0)</f>
        <v/>
      </c>
      <c r="R714" s="39" t="n">
        <v>1</v>
      </c>
      <c r="S714" s="25" t="n">
        <v>1.26</v>
      </c>
      <c r="T714" s="25" t="n">
        <v>0.15</v>
      </c>
      <c r="U714" s="42" t="inlineStr">
        <is>
          <t>Tier 1B (Micro Drop, 1-3 km)</t>
        </is>
      </c>
      <c r="V714" s="24" t="n">
        <v>75.7</v>
      </c>
      <c r="W714" s="24" t="n">
        <v>78.7</v>
      </c>
      <c r="X714" s="24" t="n">
        <v>58</v>
      </c>
      <c r="Y714" s="45">
        <f>ROUND((V714*'Methodology &amp; Assumptions'!$B$6)+(W714*'Methodology &amp; Assumptions'!$B$5)+(X714*'Methodology &amp; Assumptions'!$B$7), 2)</f>
        <v/>
      </c>
    </row>
    <row r="715" ht="19" customHeight="1">
      <c r="A715" s="35" t="n">
        <v>711</v>
      </c>
      <c r="B715" s="35" t="n">
        <v>1711</v>
      </c>
      <c r="C715" s="36" t="inlineStr">
        <is>
          <t>0630200025</t>
        </is>
      </c>
      <c r="D715" s="36" t="inlineStr">
        <is>
          <t>Region VI (Western Visayas)</t>
        </is>
      </c>
      <c r="E715" s="36" t="inlineStr">
        <is>
          <t>Negros Occidental</t>
        </is>
      </c>
      <c r="F715" s="36" t="inlineStr">
        <is>
          <t>City of Bacolod</t>
        </is>
      </c>
      <c r="G715" s="36" t="inlineStr">
        <is>
          <t>Barangay 29</t>
        </is>
      </c>
      <c r="H715" s="37" t="n">
        <v>10.664991</v>
      </c>
      <c r="I715" s="37" t="n">
        <v>122.95037</v>
      </c>
      <c r="J715" s="8" t="inlineStr">
        <is>
          <t>R</t>
        </is>
      </c>
      <c r="K715" s="36" t="inlineStr">
        <is>
          <t>Class 1-3 / Urban</t>
        </is>
      </c>
      <c r="L715" s="18" t="n">
        <v>1648</v>
      </c>
      <c r="M715" s="20" t="n">
        <v>4.33</v>
      </c>
      <c r="N715" s="18">
        <f>ROUND(L715/M715, 0)</f>
        <v/>
      </c>
      <c r="O715" s="18">
        <f>ROUND(N715*'Methodology &amp; Assumptions'!$B$8, 0)</f>
        <v/>
      </c>
      <c r="P715" s="8" t="inlineStr">
        <is>
          <t>Band n50 (1.5 GHz, 60 MHz)</t>
        </is>
      </c>
      <c r="Q715" s="38">
        <f>ROUNDUP(O715/'Methodology &amp; Assumptions'!$B$9, 0)</f>
        <v/>
      </c>
      <c r="R715" s="39" t="n">
        <v>1</v>
      </c>
      <c r="S715" s="21" t="n">
        <v>0.3</v>
      </c>
      <c r="T715" s="21" t="n">
        <v>0.22</v>
      </c>
      <c r="U715" s="36" t="inlineStr">
        <is>
          <t>Tier 1A (Direct Coloc, &lt;1 km)</t>
        </is>
      </c>
      <c r="V715" s="20" t="n">
        <v>100</v>
      </c>
      <c r="W715" s="20" t="n">
        <v>54.4</v>
      </c>
      <c r="X715" s="20" t="n">
        <v>58</v>
      </c>
      <c r="Y715" s="40">
        <f>ROUND((V715*'Methodology &amp; Assumptions'!$B$6)+(W715*'Methodology &amp; Assumptions'!$B$5)+(X715*'Methodology &amp; Assumptions'!$B$7), 2)</f>
        <v/>
      </c>
    </row>
    <row r="716" ht="19" customHeight="1">
      <c r="A716" s="41" t="n">
        <v>712</v>
      </c>
      <c r="B716" s="41" t="n">
        <v>1712</v>
      </c>
      <c r="C716" s="42" t="inlineStr">
        <is>
          <t>0600403012</t>
        </is>
      </c>
      <c r="D716" s="42" t="inlineStr">
        <is>
          <t>Region VI (Western Visayas)</t>
        </is>
      </c>
      <c r="E716" s="42" t="inlineStr">
        <is>
          <t>Aklan</t>
        </is>
      </c>
      <c r="F716" s="42" t="inlineStr">
        <is>
          <t>Banga</t>
        </is>
      </c>
      <c r="G716" s="42" t="inlineStr">
        <is>
          <t>Libas</t>
        </is>
      </c>
      <c r="H716" s="43" t="n">
        <v>11.629874</v>
      </c>
      <c r="I716" s="43" t="n">
        <v>122.341602</v>
      </c>
      <c r="J716" s="44" t="inlineStr">
        <is>
          <t>R</t>
        </is>
      </c>
      <c r="K716" s="42" t="inlineStr">
        <is>
          <t>Class 1-3 / Urban</t>
        </is>
      </c>
      <c r="L716" s="23" t="n">
        <v>1617</v>
      </c>
      <c r="M716" s="24" t="n">
        <v>4.27</v>
      </c>
      <c r="N716" s="23">
        <f>ROUND(L716/M716, 0)</f>
        <v/>
      </c>
      <c r="O716" s="23">
        <f>ROUND(N716*'Methodology &amp; Assumptions'!$B$8, 0)</f>
        <v/>
      </c>
      <c r="P716" s="44" t="inlineStr">
        <is>
          <t>Band n50 (1.5 GHz, 60 MHz)</t>
        </is>
      </c>
      <c r="Q716" s="38">
        <f>ROUNDUP(O716/'Methodology &amp; Assumptions'!$B$9, 0)</f>
        <v/>
      </c>
      <c r="R716" s="39" t="n">
        <v>1</v>
      </c>
      <c r="S716" s="25" t="n">
        <v>0.15</v>
      </c>
      <c r="T716" s="25" t="n">
        <v>0.08</v>
      </c>
      <c r="U716" s="42" t="inlineStr">
        <is>
          <t>Tier 1A (Direct Coloc, &lt;1 km)</t>
        </is>
      </c>
      <c r="V716" s="24" t="n">
        <v>100</v>
      </c>
      <c r="W716" s="24" t="n">
        <v>54.4</v>
      </c>
      <c r="X716" s="24" t="n">
        <v>58</v>
      </c>
      <c r="Y716" s="45">
        <f>ROUND((V716*'Methodology &amp; Assumptions'!$B$6)+(W716*'Methodology &amp; Assumptions'!$B$5)+(X716*'Methodology &amp; Assumptions'!$B$7), 2)</f>
        <v/>
      </c>
    </row>
    <row r="717" ht="19" customHeight="1">
      <c r="A717" s="35" t="n">
        <v>713</v>
      </c>
      <c r="B717" s="35" t="n">
        <v>1713</v>
      </c>
      <c r="C717" s="36" t="inlineStr">
        <is>
          <t>0604531029</t>
        </is>
      </c>
      <c r="D717" s="36" t="inlineStr">
        <is>
          <t>Region VI (Western Visayas)</t>
        </is>
      </c>
      <c r="E717" s="36" t="inlineStr">
        <is>
          <t>Negros Occidental</t>
        </is>
      </c>
      <c r="F717" s="36" t="inlineStr">
        <is>
          <t>City of Victorias</t>
        </is>
      </c>
      <c r="G717" s="36" t="inlineStr">
        <is>
          <t>Barangay VI-A</t>
        </is>
      </c>
      <c r="H717" s="37" t="n">
        <v>10.912492</v>
      </c>
      <c r="I717" s="37" t="n">
        <v>123.062595</v>
      </c>
      <c r="J717" s="8" t="inlineStr">
        <is>
          <t>U</t>
        </is>
      </c>
      <c r="K717" s="36" t="inlineStr">
        <is>
          <t>Class 1-3 / Urban</t>
        </is>
      </c>
      <c r="L717" s="18" t="n">
        <v>6287</v>
      </c>
      <c r="M717" s="20" t="n">
        <v>4.33</v>
      </c>
      <c r="N717" s="18">
        <f>ROUND(L717/M717, 0)</f>
        <v/>
      </c>
      <c r="O717" s="18">
        <f>ROUND(N717*'Methodology &amp; Assumptions'!$B$8, 0)</f>
        <v/>
      </c>
      <c r="P717" s="8" t="inlineStr">
        <is>
          <t>Band n50 (1.5 GHz, 60 MHz)</t>
        </is>
      </c>
      <c r="Q717" s="38">
        <f>ROUNDUP(O717/'Methodology &amp; Assumptions'!$B$9, 0)</f>
        <v/>
      </c>
      <c r="R717" s="39" t="n">
        <v>1</v>
      </c>
      <c r="S717" s="21" t="n">
        <v>1.67</v>
      </c>
      <c r="T717" s="21" t="n">
        <v>1.55</v>
      </c>
      <c r="U717" s="36" t="inlineStr">
        <is>
          <t>Tier 1B (Micro Drop, 1-3 km)</t>
        </is>
      </c>
      <c r="V717" s="20" t="n">
        <v>67.3</v>
      </c>
      <c r="W717" s="20" t="n">
        <v>100</v>
      </c>
      <c r="X717" s="20" t="n">
        <v>43</v>
      </c>
      <c r="Y717" s="40">
        <f>ROUND((V717*'Methodology &amp; Assumptions'!$B$6)+(W717*'Methodology &amp; Assumptions'!$B$5)+(X717*'Methodology &amp; Assumptions'!$B$7), 2)</f>
        <v/>
      </c>
    </row>
    <row r="718" ht="19" customHeight="1">
      <c r="A718" s="41" t="n">
        <v>714</v>
      </c>
      <c r="B718" s="41" t="n">
        <v>1714</v>
      </c>
      <c r="C718" s="42" t="inlineStr">
        <is>
          <t>0306906018</t>
        </is>
      </c>
      <c r="D718" s="42" t="inlineStr">
        <is>
          <t>Region III (Central Luzon)</t>
        </is>
      </c>
      <c r="E718" s="42" t="inlineStr">
        <is>
          <t>Tarlac</t>
        </is>
      </c>
      <c r="F718" s="42" t="inlineStr">
        <is>
          <t>Gerona</t>
        </is>
      </c>
      <c r="G718" s="42" t="inlineStr">
        <is>
          <t>Magaspac</t>
        </is>
      </c>
      <c r="H718" s="43" t="n">
        <v>15.618158</v>
      </c>
      <c r="I718" s="43" t="n">
        <v>120.596078</v>
      </c>
      <c r="J718" s="44" t="inlineStr">
        <is>
          <t>R</t>
        </is>
      </c>
      <c r="K718" s="42" t="inlineStr">
        <is>
          <t>Class 1-3 / Urban</t>
        </is>
      </c>
      <c r="L718" s="23" t="n">
        <v>4898</v>
      </c>
      <c r="M718" s="24" t="n">
        <v>4.3</v>
      </c>
      <c r="N718" s="23">
        <f>ROUND(L718/M718, 0)</f>
        <v/>
      </c>
      <c r="O718" s="23">
        <f>ROUND(N718*'Methodology &amp; Assumptions'!$B$8, 0)</f>
        <v/>
      </c>
      <c r="P718" s="44" t="inlineStr">
        <is>
          <t>Band n50 (1.5 GHz, 60 MHz)</t>
        </is>
      </c>
      <c r="Q718" s="38">
        <f>ROUNDUP(O718/'Methodology &amp; Assumptions'!$B$9, 0)</f>
        <v/>
      </c>
      <c r="R718" s="39" t="n">
        <v>1</v>
      </c>
      <c r="S718" s="25" t="n">
        <v>2.44</v>
      </c>
      <c r="T718" s="25" t="n">
        <v>0.15</v>
      </c>
      <c r="U718" s="42" t="inlineStr">
        <is>
          <t>Tier 1B (Micro Drop, 1-3 km)</t>
        </is>
      </c>
      <c r="V718" s="24" t="n">
        <v>54.4</v>
      </c>
      <c r="W718" s="24" t="n">
        <v>100</v>
      </c>
      <c r="X718" s="24" t="n">
        <v>58</v>
      </c>
      <c r="Y718" s="45">
        <f>ROUND((V718*'Methodology &amp; Assumptions'!$B$6)+(W718*'Methodology &amp; Assumptions'!$B$5)+(X718*'Methodology &amp; Assumptions'!$B$7), 2)</f>
        <v/>
      </c>
    </row>
    <row r="719" ht="19" customHeight="1">
      <c r="A719" s="35" t="n">
        <v>715</v>
      </c>
      <c r="B719" s="35" t="n">
        <v>1715</v>
      </c>
      <c r="C719" s="36" t="inlineStr">
        <is>
          <t>0631000077</t>
        </is>
      </c>
      <c r="D719" s="36" t="inlineStr">
        <is>
          <t>Region VI (Western Visayas)</t>
        </is>
      </c>
      <c r="E719" s="36" t="inlineStr">
        <is>
          <t>Iloilo</t>
        </is>
      </c>
      <c r="F719" s="36" t="inlineStr">
        <is>
          <t>City of Iloilo</t>
        </is>
      </c>
      <c r="G719" s="36" t="inlineStr">
        <is>
          <t>Jereos</t>
        </is>
      </c>
      <c r="H719" s="37" t="n">
        <v>10.718904</v>
      </c>
      <c r="I719" s="37" t="n">
        <v>122.566439</v>
      </c>
      <c r="J719" s="8" t="inlineStr">
        <is>
          <t>U</t>
        </is>
      </c>
      <c r="K719" s="36" t="inlineStr">
        <is>
          <t>Class 1-3 / Urban</t>
        </is>
      </c>
      <c r="L719" s="18" t="n">
        <v>3511</v>
      </c>
      <c r="M719" s="20" t="n">
        <v>4.39</v>
      </c>
      <c r="N719" s="18">
        <f>ROUND(L719/M719, 0)</f>
        <v/>
      </c>
      <c r="O719" s="18">
        <f>ROUND(N719*'Methodology &amp; Assumptions'!$B$8, 0)</f>
        <v/>
      </c>
      <c r="P719" s="8" t="inlineStr">
        <is>
          <t>Band n50 (1.5 GHz, 60 MHz)</t>
        </is>
      </c>
      <c r="Q719" s="38">
        <f>ROUNDUP(O719/'Methodology &amp; Assumptions'!$B$9, 0)</f>
        <v/>
      </c>
      <c r="R719" s="39" t="n">
        <v>1</v>
      </c>
      <c r="S719" s="21" t="n">
        <v>0.59</v>
      </c>
      <c r="T719" s="21" t="n">
        <v>0.54</v>
      </c>
      <c r="U719" s="36" t="inlineStr">
        <is>
          <t>Tier 1A (Direct Coloc, &lt;1 km)</t>
        </is>
      </c>
      <c r="V719" s="20" t="n">
        <v>92.09999999999999</v>
      </c>
      <c r="W719" s="20" t="n">
        <v>88</v>
      </c>
      <c r="X719" s="20" t="n">
        <v>28</v>
      </c>
      <c r="Y719" s="40">
        <f>ROUND((V719*'Methodology &amp; Assumptions'!$B$6)+(W719*'Methodology &amp; Assumptions'!$B$5)+(X719*'Methodology &amp; Assumptions'!$B$7), 2)</f>
        <v/>
      </c>
    </row>
    <row r="720" ht="19" customHeight="1">
      <c r="A720" s="41" t="n">
        <v>716</v>
      </c>
      <c r="B720" s="41" t="n">
        <v>1716</v>
      </c>
      <c r="C720" s="42" t="inlineStr">
        <is>
          <t>0702243002</t>
        </is>
      </c>
      <c r="D720" s="42" t="inlineStr">
        <is>
          <t>Region VII (Central Visayas)</t>
        </is>
      </c>
      <c r="E720" s="42" t="inlineStr">
        <is>
          <t>Cebu</t>
        </is>
      </c>
      <c r="F720" s="42" t="inlineStr">
        <is>
          <t>San Remigio</t>
        </is>
      </c>
      <c r="G720" s="42" t="inlineStr">
        <is>
          <t>Argawanon</t>
        </is>
      </c>
      <c r="H720" s="43" t="n">
        <v>11.069824</v>
      </c>
      <c r="I720" s="43" t="n">
        <v>123.957635</v>
      </c>
      <c r="J720" s="44" t="inlineStr">
        <is>
          <t>R</t>
        </is>
      </c>
      <c r="K720" s="42" t="inlineStr">
        <is>
          <t>Class 1-3 / Urban</t>
        </is>
      </c>
      <c r="L720" s="23" t="n">
        <v>4738</v>
      </c>
      <c r="M720" s="24" t="n">
        <v>4.42</v>
      </c>
      <c r="N720" s="23">
        <f>ROUND(L720/M720, 0)</f>
        <v/>
      </c>
      <c r="O720" s="23">
        <f>ROUND(N720*'Methodology &amp; Assumptions'!$B$8, 0)</f>
        <v/>
      </c>
      <c r="P720" s="44" t="inlineStr">
        <is>
          <t>Band n50 (1.5 GHz, 60 MHz)</t>
        </is>
      </c>
      <c r="Q720" s="38">
        <f>ROUNDUP(O720/'Methodology &amp; Assumptions'!$B$9, 0)</f>
        <v/>
      </c>
      <c r="R720" s="39" t="n">
        <v>1</v>
      </c>
      <c r="S720" s="25" t="n">
        <v>2.44</v>
      </c>
      <c r="T720" s="25" t="n">
        <v>0.04</v>
      </c>
      <c r="U720" s="42" t="inlineStr">
        <is>
          <t>Tier 1B (Micro Drop, 1-3 km)</t>
        </is>
      </c>
      <c r="V720" s="24" t="n">
        <v>54.3</v>
      </c>
      <c r="W720" s="24" t="n">
        <v>100</v>
      </c>
      <c r="X720" s="24" t="n">
        <v>58</v>
      </c>
      <c r="Y720" s="45">
        <f>ROUND((V720*'Methodology &amp; Assumptions'!$B$6)+(W720*'Methodology &amp; Assumptions'!$B$5)+(X720*'Methodology &amp; Assumptions'!$B$7), 2)</f>
        <v/>
      </c>
    </row>
    <row r="721" ht="19" customHeight="1">
      <c r="A721" s="35" t="n">
        <v>717</v>
      </c>
      <c r="B721" s="35" t="n">
        <v>1717</v>
      </c>
      <c r="C721" s="36" t="inlineStr">
        <is>
          <t>1001315015</t>
        </is>
      </c>
      <c r="D721" s="36" t="inlineStr">
        <is>
          <t>Region X (Northern Mindanao)</t>
        </is>
      </c>
      <c r="E721" s="36" t="inlineStr">
        <is>
          <t>Bukidnon</t>
        </is>
      </c>
      <c r="F721" s="36" t="inlineStr">
        <is>
          <t>Maramag</t>
        </is>
      </c>
      <c r="G721" s="36" t="inlineStr">
        <is>
          <t>South Poblacion</t>
        </is>
      </c>
      <c r="H721" s="37" t="n">
        <v>7.754762</v>
      </c>
      <c r="I721" s="37" t="n">
        <v>125.00785</v>
      </c>
      <c r="J721" s="8" t="inlineStr">
        <is>
          <t>U</t>
        </is>
      </c>
      <c r="K721" s="36" t="inlineStr">
        <is>
          <t>Class 1-3 / Urban</t>
        </is>
      </c>
      <c r="L721" s="18" t="n">
        <v>13190</v>
      </c>
      <c r="M721" s="20" t="n">
        <v>4.63</v>
      </c>
      <c r="N721" s="18">
        <f>ROUND(L721/M721, 0)</f>
        <v/>
      </c>
      <c r="O721" s="18">
        <f>ROUND(N721*'Methodology &amp; Assumptions'!$B$8, 0)</f>
        <v/>
      </c>
      <c r="P721" s="8" t="inlineStr">
        <is>
          <t>Band n50 (1.5 GHz, 60 MHz)</t>
        </is>
      </c>
      <c r="Q721" s="38">
        <f>ROUNDUP(O721/'Methodology &amp; Assumptions'!$B$9, 0)</f>
        <v/>
      </c>
      <c r="R721" s="39" t="n">
        <v>1</v>
      </c>
      <c r="S721" s="21" t="n">
        <v>1.07</v>
      </c>
      <c r="T721" s="21" t="n">
        <v>0.25</v>
      </c>
      <c r="U721" s="36" t="inlineStr">
        <is>
          <t>Tier 1B (Micro Drop, 1-3 km)</t>
        </is>
      </c>
      <c r="V721" s="20" t="n">
        <v>80.09999999999999</v>
      </c>
      <c r="W721" s="20" t="n">
        <v>100</v>
      </c>
      <c r="X721" s="20" t="n">
        <v>28</v>
      </c>
      <c r="Y721" s="40">
        <f>ROUND((V721*'Methodology &amp; Assumptions'!$B$6)+(W721*'Methodology &amp; Assumptions'!$B$5)+(X721*'Methodology &amp; Assumptions'!$B$7), 2)</f>
        <v/>
      </c>
    </row>
    <row r="722" ht="19" customHeight="1">
      <c r="A722" s="41" t="n">
        <v>718</v>
      </c>
      <c r="B722" s="41" t="n">
        <v>1718</v>
      </c>
      <c r="C722" s="42" t="inlineStr">
        <is>
          <t>0500503004</t>
        </is>
      </c>
      <c r="D722" s="42" t="inlineStr">
        <is>
          <t>Region V (Bicol Region)</t>
        </is>
      </c>
      <c r="E722" s="42" t="inlineStr">
        <is>
          <t>Albay</t>
        </is>
      </c>
      <c r="F722" s="42" t="inlineStr">
        <is>
          <t>Daraga</t>
        </is>
      </c>
      <c r="G722" s="42" t="inlineStr">
        <is>
          <t>Bagumbayan</t>
        </is>
      </c>
      <c r="H722" s="43" t="n">
        <v>13.141327</v>
      </c>
      <c r="I722" s="43" t="n">
        <v>123.715479</v>
      </c>
      <c r="J722" s="44" t="inlineStr">
        <is>
          <t>U</t>
        </is>
      </c>
      <c r="K722" s="42" t="inlineStr">
        <is>
          <t>Class 1-3 / Urban</t>
        </is>
      </c>
      <c r="L722" s="23" t="n">
        <v>4007</v>
      </c>
      <c r="M722" s="24" t="n">
        <v>4.67</v>
      </c>
      <c r="N722" s="23">
        <f>ROUND(L722/M722, 0)</f>
        <v/>
      </c>
      <c r="O722" s="23">
        <f>ROUND(N722*'Methodology &amp; Assumptions'!$B$8, 0)</f>
        <v/>
      </c>
      <c r="P722" s="44" t="inlineStr">
        <is>
          <t>Band n50 (1.5 GHz, 60 MHz)</t>
        </is>
      </c>
      <c r="Q722" s="38">
        <f>ROUNDUP(O722/'Methodology &amp; Assumptions'!$B$9, 0)</f>
        <v/>
      </c>
      <c r="R722" s="39" t="n">
        <v>1</v>
      </c>
      <c r="S722" s="25" t="n">
        <v>0.76</v>
      </c>
      <c r="T722" s="25" t="n">
        <v>0.39</v>
      </c>
      <c r="U722" s="42" t="inlineStr">
        <is>
          <t>Tier 1A (Direct Coloc, &lt;1 km)</t>
        </is>
      </c>
      <c r="V722" s="24" t="n">
        <v>87.5</v>
      </c>
      <c r="W722" s="24" t="n">
        <v>92.5</v>
      </c>
      <c r="X722" s="24" t="n">
        <v>28</v>
      </c>
      <c r="Y722" s="45">
        <f>ROUND((V722*'Methodology &amp; Assumptions'!$B$6)+(W722*'Methodology &amp; Assumptions'!$B$5)+(X722*'Methodology &amp; Assumptions'!$B$7), 2)</f>
        <v/>
      </c>
    </row>
    <row r="723" ht="19" customHeight="1">
      <c r="A723" s="35" t="n">
        <v>719</v>
      </c>
      <c r="B723" s="35" t="n">
        <v>1719</v>
      </c>
      <c r="C723" s="36" t="inlineStr">
        <is>
          <t>0205013020</t>
        </is>
      </c>
      <c r="D723" s="36" t="inlineStr">
        <is>
          <t>Region II (Cagayan Valley)</t>
        </is>
      </c>
      <c r="E723" s="36" t="inlineStr">
        <is>
          <t>Nueva Vizcaya</t>
        </is>
      </c>
      <c r="F723" s="36" t="inlineStr">
        <is>
          <t>Solano</t>
        </is>
      </c>
      <c r="G723" s="36" t="inlineStr">
        <is>
          <t>Bagahabag</t>
        </is>
      </c>
      <c r="H723" s="37" t="n">
        <v>16.509605</v>
      </c>
      <c r="I723" s="37" t="n">
        <v>121.207206</v>
      </c>
      <c r="J723" s="8" t="inlineStr">
        <is>
          <t>R</t>
        </is>
      </c>
      <c r="K723" s="36" t="inlineStr">
        <is>
          <t>Class 1-3 / Urban</t>
        </is>
      </c>
      <c r="L723" s="18" t="n">
        <v>4462</v>
      </c>
      <c r="M723" s="20" t="n">
        <v>4.19</v>
      </c>
      <c r="N723" s="18">
        <f>ROUND(L723/M723, 0)</f>
        <v/>
      </c>
      <c r="O723" s="18">
        <f>ROUND(N723*'Methodology &amp; Assumptions'!$B$8, 0)</f>
        <v/>
      </c>
      <c r="P723" s="8" t="inlineStr">
        <is>
          <t>Band n50 (1.5 GHz, 60 MHz)</t>
        </is>
      </c>
      <c r="Q723" s="38">
        <f>ROUNDUP(O723/'Methodology &amp; Assumptions'!$B$9, 0)</f>
        <v/>
      </c>
      <c r="R723" s="39" t="n">
        <v>1</v>
      </c>
      <c r="S723" s="21" t="n">
        <v>2.44</v>
      </c>
      <c r="T723" s="21" t="n">
        <v>1.87</v>
      </c>
      <c r="U723" s="36" t="inlineStr">
        <is>
          <t>Tier 1B (Micro Drop, 1-3 km)</t>
        </is>
      </c>
      <c r="V723" s="20" t="n">
        <v>54.3</v>
      </c>
      <c r="W723" s="20" t="n">
        <v>100</v>
      </c>
      <c r="X723" s="20" t="n">
        <v>58</v>
      </c>
      <c r="Y723" s="40">
        <f>ROUND((V723*'Methodology &amp; Assumptions'!$B$6)+(W723*'Methodology &amp; Assumptions'!$B$5)+(X723*'Methodology &amp; Assumptions'!$B$7), 2)</f>
        <v/>
      </c>
    </row>
    <row r="724" ht="19" customHeight="1">
      <c r="A724" s="41" t="n">
        <v>720</v>
      </c>
      <c r="B724" s="41" t="n">
        <v>1720</v>
      </c>
      <c r="C724" s="42" t="inlineStr">
        <is>
          <t>0402106067</t>
        </is>
      </c>
      <c r="D724" s="42" t="inlineStr">
        <is>
          <t>Region IV-A (CALABARZON)</t>
        </is>
      </c>
      <c r="E724" s="42" t="inlineStr">
        <is>
          <t>Cavite</t>
        </is>
      </c>
      <c r="F724" s="42" t="inlineStr">
        <is>
          <t>City of Dasmariñas</t>
        </is>
      </c>
      <c r="G724" s="42" t="inlineStr">
        <is>
          <t>San Andres II</t>
        </is>
      </c>
      <c r="H724" s="43" t="n">
        <v>14.321411</v>
      </c>
      <c r="I724" s="43" t="n">
        <v>120.969534</v>
      </c>
      <c r="J724" s="44" t="inlineStr">
        <is>
          <t>R</t>
        </is>
      </c>
      <c r="K724" s="42" t="inlineStr">
        <is>
          <t>Class 1-3 / Urban</t>
        </is>
      </c>
      <c r="L724" s="23" t="n">
        <v>3405</v>
      </c>
      <c r="M724" s="24" t="n">
        <v>4.49</v>
      </c>
      <c r="N724" s="23">
        <f>ROUND(L724/M724, 0)</f>
        <v/>
      </c>
      <c r="O724" s="23">
        <f>ROUND(N724*'Methodology &amp; Assumptions'!$B$8, 0)</f>
        <v/>
      </c>
      <c r="P724" s="44" t="inlineStr">
        <is>
          <t>Band n50 (1.5 GHz, 60 MHz)</t>
        </is>
      </c>
      <c r="Q724" s="38">
        <f>ROUNDUP(O724/'Methodology &amp; Assumptions'!$B$9, 0)</f>
        <v/>
      </c>
      <c r="R724" s="39" t="n">
        <v>1</v>
      </c>
      <c r="S724" s="25" t="n">
        <v>1.08</v>
      </c>
      <c r="T724" s="25" t="n">
        <v>2.72</v>
      </c>
      <c r="U724" s="42" t="inlineStr">
        <is>
          <t>Tier 1B (Micro Drop, 1-3 km)</t>
        </is>
      </c>
      <c r="V724" s="24" t="n">
        <v>69.8</v>
      </c>
      <c r="W724" s="24" t="n">
        <v>84.5</v>
      </c>
      <c r="X724" s="24" t="n">
        <v>58</v>
      </c>
      <c r="Y724" s="45">
        <f>ROUND((V724*'Methodology &amp; Assumptions'!$B$6)+(W724*'Methodology &amp; Assumptions'!$B$5)+(X724*'Methodology &amp; Assumptions'!$B$7), 2)</f>
        <v/>
      </c>
    </row>
    <row r="725" ht="19" customHeight="1">
      <c r="A725" s="35" t="n">
        <v>721</v>
      </c>
      <c r="B725" s="35" t="n">
        <v>1721</v>
      </c>
      <c r="C725" s="36" t="inlineStr">
        <is>
          <t>0501612014</t>
        </is>
      </c>
      <c r="D725" s="36" t="inlineStr">
        <is>
          <t>Region V (Bicol Region)</t>
        </is>
      </c>
      <c r="E725" s="36" t="inlineStr">
        <is>
          <t>Camarines Norte</t>
        </is>
      </c>
      <c r="F725" s="36" t="inlineStr">
        <is>
          <t>Vinzons</t>
        </is>
      </c>
      <c r="G725" s="36" t="inlineStr">
        <is>
          <t>Barangay I</t>
        </is>
      </c>
      <c r="H725" s="37" t="n">
        <v>14.176969</v>
      </c>
      <c r="I725" s="37" t="n">
        <v>122.906954</v>
      </c>
      <c r="J725" s="8" t="inlineStr">
        <is>
          <t>R</t>
        </is>
      </c>
      <c r="K725" s="36" t="inlineStr">
        <is>
          <t>Class 1-3 / Urban</t>
        </is>
      </c>
      <c r="L725" s="18" t="n">
        <v>2218</v>
      </c>
      <c r="M725" s="20" t="n">
        <v>4.4</v>
      </c>
      <c r="N725" s="18">
        <f>ROUND(L725/M725, 0)</f>
        <v/>
      </c>
      <c r="O725" s="18">
        <f>ROUND(N725*'Methodology &amp; Assumptions'!$B$8, 0)</f>
        <v/>
      </c>
      <c r="P725" s="8" t="inlineStr">
        <is>
          <t>Band n50 (1.5 GHz, 60 MHz)</t>
        </is>
      </c>
      <c r="Q725" s="38">
        <f>ROUNDUP(O725/'Methodology &amp; Assumptions'!$B$9, 0)</f>
        <v/>
      </c>
      <c r="R725" s="39" t="n">
        <v>1</v>
      </c>
      <c r="S725" s="21" t="n">
        <v>0.31</v>
      </c>
      <c r="T725" s="21" t="n">
        <v>3.75</v>
      </c>
      <c r="U725" s="36" t="inlineStr">
        <is>
          <t>Tier 1A (Direct Coloc, &lt;1 km)</t>
        </is>
      </c>
      <c r="V725" s="20" t="n">
        <v>90</v>
      </c>
      <c r="W725" s="20" t="n">
        <v>64.3</v>
      </c>
      <c r="X725" s="20" t="n">
        <v>58</v>
      </c>
      <c r="Y725" s="40">
        <f>ROUND((V725*'Methodology &amp; Assumptions'!$B$6)+(W725*'Methodology &amp; Assumptions'!$B$5)+(X725*'Methodology &amp; Assumptions'!$B$7), 2)</f>
        <v/>
      </c>
    </row>
    <row r="726" ht="19" customHeight="1">
      <c r="A726" s="41" t="n">
        <v>722</v>
      </c>
      <c r="B726" s="41" t="n">
        <v>1722</v>
      </c>
      <c r="C726" s="42" t="inlineStr">
        <is>
          <t>0702250022</t>
        </is>
      </c>
      <c r="D726" s="42" t="inlineStr">
        <is>
          <t>Region VII (Central Visayas)</t>
        </is>
      </c>
      <c r="E726" s="42" t="inlineStr">
        <is>
          <t>Cebu</t>
        </is>
      </c>
      <c r="F726" s="42" t="inlineStr">
        <is>
          <t>City of Talisay</t>
        </is>
      </c>
      <c r="G726" s="42" t="inlineStr">
        <is>
          <t>Lawaan III</t>
        </is>
      </c>
      <c r="H726" s="43" t="n">
        <v>10.26523</v>
      </c>
      <c r="I726" s="43" t="n">
        <v>123.831459</v>
      </c>
      <c r="J726" s="44" t="inlineStr">
        <is>
          <t>U</t>
        </is>
      </c>
      <c r="K726" s="42" t="inlineStr">
        <is>
          <t>Class 1-3 / Urban</t>
        </is>
      </c>
      <c r="L726" s="23" t="n">
        <v>14413</v>
      </c>
      <c r="M726" s="24" t="n">
        <v>4.42</v>
      </c>
      <c r="N726" s="23">
        <f>ROUND(L726/M726, 0)</f>
        <v/>
      </c>
      <c r="O726" s="23">
        <f>ROUND(N726*'Methodology &amp; Assumptions'!$B$8, 0)</f>
        <v/>
      </c>
      <c r="P726" s="44" t="inlineStr">
        <is>
          <t>Band n50 (1.5 GHz, 60 MHz)</t>
        </is>
      </c>
      <c r="Q726" s="38">
        <f>ROUNDUP(O726/'Methodology &amp; Assumptions'!$B$9, 0)</f>
        <v/>
      </c>
      <c r="R726" s="39" t="n">
        <v>1</v>
      </c>
      <c r="S726" s="25" t="n">
        <v>1.07</v>
      </c>
      <c r="T726" s="25" t="n">
        <v>0.57</v>
      </c>
      <c r="U726" s="42" t="inlineStr">
        <is>
          <t>Tier 1B (Micro Drop, 1-3 km)</t>
        </is>
      </c>
      <c r="V726" s="24" t="n">
        <v>80</v>
      </c>
      <c r="W726" s="24" t="n">
        <v>100</v>
      </c>
      <c r="X726" s="24" t="n">
        <v>28</v>
      </c>
      <c r="Y726" s="45">
        <f>ROUND((V726*'Methodology &amp; Assumptions'!$B$6)+(W726*'Methodology &amp; Assumptions'!$B$5)+(X726*'Methodology &amp; Assumptions'!$B$7), 2)</f>
        <v/>
      </c>
    </row>
    <row r="727" ht="19" customHeight="1">
      <c r="A727" s="35" t="n">
        <v>723</v>
      </c>
      <c r="B727" s="35" t="n">
        <v>1723</v>
      </c>
      <c r="C727" s="36" t="inlineStr">
        <is>
          <t>0405608009</t>
        </is>
      </c>
      <c r="D727" s="36" t="inlineStr">
        <is>
          <t>Region IV-A (CALABARZON)</t>
        </is>
      </c>
      <c r="E727" s="36" t="inlineStr">
        <is>
          <t>Quezon</t>
        </is>
      </c>
      <c r="F727" s="36" t="inlineStr">
        <is>
          <t>Candelaria</t>
        </is>
      </c>
      <c r="G727" s="36" t="inlineStr">
        <is>
          <t>Malabanban Sur</t>
        </is>
      </c>
      <c r="H727" s="37" t="n">
        <v>13.91962</v>
      </c>
      <c r="I727" s="37" t="n">
        <v>121.4324</v>
      </c>
      <c r="J727" s="8" t="inlineStr">
        <is>
          <t>U</t>
        </is>
      </c>
      <c r="K727" s="36" t="inlineStr">
        <is>
          <t>Class 1-3 / Urban</t>
        </is>
      </c>
      <c r="L727" s="18" t="n">
        <v>9701</v>
      </c>
      <c r="M727" s="20" t="n">
        <v>4.46</v>
      </c>
      <c r="N727" s="18">
        <f>ROUND(L727/M727, 0)</f>
        <v/>
      </c>
      <c r="O727" s="18">
        <f>ROUND(N727*'Methodology &amp; Assumptions'!$B$8, 0)</f>
        <v/>
      </c>
      <c r="P727" s="8" t="inlineStr">
        <is>
          <t>Band n50 (1.5 GHz, 60 MHz)</t>
        </is>
      </c>
      <c r="Q727" s="38">
        <f>ROUNDUP(O727/'Methodology &amp; Assumptions'!$B$9, 0)</f>
        <v/>
      </c>
      <c r="R727" s="39" t="n">
        <v>1</v>
      </c>
      <c r="S727" s="21" t="n">
        <v>1.07</v>
      </c>
      <c r="T727" s="21" t="n">
        <v>0.46</v>
      </c>
      <c r="U727" s="36" t="inlineStr">
        <is>
          <t>Tier 1B (Micro Drop, 1-3 km)</t>
        </is>
      </c>
      <c r="V727" s="20" t="n">
        <v>80</v>
      </c>
      <c r="W727" s="20" t="n">
        <v>100</v>
      </c>
      <c r="X727" s="20" t="n">
        <v>28</v>
      </c>
      <c r="Y727" s="40">
        <f>ROUND((V727*'Methodology &amp; Assumptions'!$B$6)+(W727*'Methodology &amp; Assumptions'!$B$5)+(X727*'Methodology &amp; Assumptions'!$B$7), 2)</f>
        <v/>
      </c>
    </row>
    <row r="728" ht="19" customHeight="1">
      <c r="A728" s="41" t="n">
        <v>724</v>
      </c>
      <c r="B728" s="41" t="n">
        <v>1724</v>
      </c>
      <c r="C728" s="42" t="inlineStr">
        <is>
          <t>0806407028</t>
        </is>
      </c>
      <c r="D728" s="42" t="inlineStr">
        <is>
          <t>Region VIII (Eastern Visayas)</t>
        </is>
      </c>
      <c r="E728" s="42" t="inlineStr">
        <is>
          <t>Southern Leyte</t>
        </is>
      </c>
      <c r="F728" s="42" t="inlineStr">
        <is>
          <t>City of Maasin</t>
        </is>
      </c>
      <c r="G728" s="42" t="inlineStr">
        <is>
          <t>Ibarra</t>
        </is>
      </c>
      <c r="H728" s="43" t="n">
        <v>10.126719</v>
      </c>
      <c r="I728" s="43" t="n">
        <v>124.879345</v>
      </c>
      <c r="J728" s="44" t="inlineStr">
        <is>
          <t>R</t>
        </is>
      </c>
      <c r="K728" s="42" t="inlineStr">
        <is>
          <t>Class 1-3 / Urban</t>
        </is>
      </c>
      <c r="L728" s="23" t="n">
        <v>4346</v>
      </c>
      <c r="M728" s="24" t="n">
        <v>4.53</v>
      </c>
      <c r="N728" s="23">
        <f>ROUND(L728/M728, 0)</f>
        <v/>
      </c>
      <c r="O728" s="23">
        <f>ROUND(N728*'Methodology &amp; Assumptions'!$B$8, 0)</f>
        <v/>
      </c>
      <c r="P728" s="44" t="inlineStr">
        <is>
          <t>Band n50 (1.5 GHz, 60 MHz)</t>
        </is>
      </c>
      <c r="Q728" s="38">
        <f>ROUNDUP(O728/'Methodology &amp; Assumptions'!$B$9, 0)</f>
        <v/>
      </c>
      <c r="R728" s="39" t="n">
        <v>1</v>
      </c>
      <c r="S728" s="25" t="n">
        <v>2.44</v>
      </c>
      <c r="T728" s="25" t="n">
        <v>0.02</v>
      </c>
      <c r="U728" s="42" t="inlineStr">
        <is>
          <t>Tier 1B (Micro Drop, 1-3 km)</t>
        </is>
      </c>
      <c r="V728" s="24" t="n">
        <v>54.3</v>
      </c>
      <c r="W728" s="24" t="n">
        <v>100</v>
      </c>
      <c r="X728" s="24" t="n">
        <v>58</v>
      </c>
      <c r="Y728" s="45">
        <f>ROUND((V728*'Methodology &amp; Assumptions'!$B$6)+(W728*'Methodology &amp; Assumptions'!$B$5)+(X728*'Methodology &amp; Assumptions'!$B$7), 2)</f>
        <v/>
      </c>
    </row>
    <row r="729" ht="19" customHeight="1">
      <c r="A729" s="35" t="n">
        <v>725</v>
      </c>
      <c r="B729" s="35" t="n">
        <v>1725</v>
      </c>
      <c r="C729" s="36" t="inlineStr">
        <is>
          <t>1606807008</t>
        </is>
      </c>
      <c r="D729" s="36" t="inlineStr">
        <is>
          <t>Region XIII (Caraga)</t>
        </is>
      </c>
      <c r="E729" s="36" t="inlineStr">
        <is>
          <t>Surigao del Sur</t>
        </is>
      </c>
      <c r="F729" s="36" t="inlineStr">
        <is>
          <t>Carrascal</t>
        </is>
      </c>
      <c r="G729" s="36" t="inlineStr">
        <is>
          <t>Doyos</t>
        </is>
      </c>
      <c r="H729" s="37" t="n">
        <v>9.371079999999999</v>
      </c>
      <c r="I729" s="37" t="n">
        <v>125.951</v>
      </c>
      <c r="J729" s="8" t="inlineStr">
        <is>
          <t>R</t>
        </is>
      </c>
      <c r="K729" s="36" t="inlineStr">
        <is>
          <t>1st</t>
        </is>
      </c>
      <c r="L729" s="18" t="n">
        <v>1887</v>
      </c>
      <c r="M729" s="20" t="n">
        <v>4.46</v>
      </c>
      <c r="N729" s="18">
        <f>ROUND(L729/M729, 0)</f>
        <v/>
      </c>
      <c r="O729" s="18">
        <f>ROUND(N729*'Methodology &amp; Assumptions'!$B$8, 0)</f>
        <v/>
      </c>
      <c r="P729" s="8" t="inlineStr">
        <is>
          <t>Band n50 (1.5 GHz, 60 MHz)</t>
        </is>
      </c>
      <c r="Q729" s="38">
        <f>ROUNDUP(O729/'Methodology &amp; Assumptions'!$B$9, 0)</f>
        <v/>
      </c>
      <c r="R729" s="39" t="n">
        <v>1</v>
      </c>
      <c r="S729" s="21" t="n">
        <v>0.44</v>
      </c>
      <c r="T729" s="21" t="n">
        <v>0.43</v>
      </c>
      <c r="U729" s="36" t="inlineStr">
        <is>
          <t>Tier 1A (Direct Coloc, &lt;1 km)</t>
        </is>
      </c>
      <c r="V729" s="20" t="n">
        <v>96.40000000000001</v>
      </c>
      <c r="W729" s="20" t="n">
        <v>57.9</v>
      </c>
      <c r="X729" s="20" t="n">
        <v>58</v>
      </c>
      <c r="Y729" s="40">
        <f>ROUND((V729*'Methodology &amp; Assumptions'!$B$6)+(W729*'Methodology &amp; Assumptions'!$B$5)+(X729*'Methodology &amp; Assumptions'!$B$7), 2)</f>
        <v/>
      </c>
    </row>
    <row r="730" ht="19" customHeight="1">
      <c r="A730" s="41" t="n">
        <v>726</v>
      </c>
      <c r="B730" s="41" t="n">
        <v>1726</v>
      </c>
      <c r="C730" s="42" t="inlineStr">
        <is>
          <t>0330100019</t>
        </is>
      </c>
      <c r="D730" s="42" t="inlineStr">
        <is>
          <t>Region III (Central Luzon)</t>
        </is>
      </c>
      <c r="E730" s="42" t="inlineStr">
        <is>
          <t>Pampanga</t>
        </is>
      </c>
      <c r="F730" s="42" t="inlineStr">
        <is>
          <t>City of Angeles</t>
        </is>
      </c>
      <c r="G730" s="42" t="inlineStr">
        <is>
          <t>Pulung Maragul</t>
        </is>
      </c>
      <c r="H730" s="43" t="n">
        <v>15.161896</v>
      </c>
      <c r="I730" s="43" t="n">
        <v>120.607694</v>
      </c>
      <c r="J730" s="44" t="inlineStr">
        <is>
          <t>U</t>
        </is>
      </c>
      <c r="K730" s="42" t="inlineStr">
        <is>
          <t>Class 1-3 / Urban</t>
        </is>
      </c>
      <c r="L730" s="23" t="n">
        <v>20675</v>
      </c>
      <c r="M730" s="24" t="n">
        <v>4.63</v>
      </c>
      <c r="N730" s="23">
        <f>ROUND(L730/M730, 0)</f>
        <v/>
      </c>
      <c r="O730" s="23">
        <f>ROUND(N730*'Methodology &amp; Assumptions'!$B$8, 0)</f>
        <v/>
      </c>
      <c r="P730" s="44" t="inlineStr">
        <is>
          <t>Band n50 (1.5 GHz, 60 MHz)</t>
        </is>
      </c>
      <c r="Q730" s="38">
        <f>ROUNDUP(O730/'Methodology &amp; Assumptions'!$B$9, 0)</f>
        <v/>
      </c>
      <c r="R730" s="39" t="n">
        <v>1</v>
      </c>
      <c r="S730" s="25" t="n">
        <v>1.07</v>
      </c>
      <c r="T730" s="25" t="n">
        <v>0.1</v>
      </c>
      <c r="U730" s="42" t="inlineStr">
        <is>
          <t>Tier 1B (Micro Drop, 1-3 km)</t>
        </is>
      </c>
      <c r="V730" s="24" t="n">
        <v>80</v>
      </c>
      <c r="W730" s="24" t="n">
        <v>100</v>
      </c>
      <c r="X730" s="24" t="n">
        <v>28</v>
      </c>
      <c r="Y730" s="45">
        <f>ROUND((V730*'Methodology &amp; Assumptions'!$B$6)+(W730*'Methodology &amp; Assumptions'!$B$5)+(X730*'Methodology &amp; Assumptions'!$B$7), 2)</f>
        <v/>
      </c>
    </row>
    <row r="731" ht="19" customHeight="1">
      <c r="A731" s="35" t="n">
        <v>727</v>
      </c>
      <c r="B731" s="35" t="n">
        <v>1727</v>
      </c>
      <c r="C731" s="36" t="inlineStr">
        <is>
          <t>0301420034</t>
        </is>
      </c>
      <c r="D731" s="36" t="inlineStr">
        <is>
          <t>Region III (Central Luzon)</t>
        </is>
      </c>
      <c r="E731" s="36" t="inlineStr">
        <is>
          <t>Bulacan</t>
        </is>
      </c>
      <c r="F731" s="36" t="inlineStr">
        <is>
          <t>City of San Jose Del Monte</t>
        </is>
      </c>
      <c r="G731" s="36" t="inlineStr">
        <is>
          <t>Gumaoc West</t>
        </is>
      </c>
      <c r="H731" s="37" t="n">
        <v>14.799666</v>
      </c>
      <c r="I731" s="37" t="n">
        <v>121.060418</v>
      </c>
      <c r="J731" s="8" t="inlineStr">
        <is>
          <t>U</t>
        </is>
      </c>
      <c r="K731" s="36" t="inlineStr">
        <is>
          <t>Class 1-3 / Urban</t>
        </is>
      </c>
      <c r="L731" s="18" t="n">
        <v>8885</v>
      </c>
      <c r="M731" s="20" t="n">
        <v>4.1</v>
      </c>
      <c r="N731" s="18">
        <f>ROUND(L731/M731, 0)</f>
        <v/>
      </c>
      <c r="O731" s="18">
        <f>ROUND(N731*'Methodology &amp; Assumptions'!$B$8, 0)</f>
        <v/>
      </c>
      <c r="P731" s="8" t="inlineStr">
        <is>
          <t>Band n50 (1.5 GHz, 60 MHz)</t>
        </is>
      </c>
      <c r="Q731" s="38">
        <f>ROUNDUP(O731/'Methodology &amp; Assumptions'!$B$9, 0)</f>
        <v/>
      </c>
      <c r="R731" s="39" t="n">
        <v>1</v>
      </c>
      <c r="S731" s="21" t="n">
        <v>1.07</v>
      </c>
      <c r="T731" s="21" t="n">
        <v>0.83</v>
      </c>
      <c r="U731" s="36" t="inlineStr">
        <is>
          <t>Tier 1B (Micro Drop, 1-3 km)</t>
        </is>
      </c>
      <c r="V731" s="20" t="n">
        <v>80</v>
      </c>
      <c r="W731" s="20" t="n">
        <v>100</v>
      </c>
      <c r="X731" s="20" t="n">
        <v>28</v>
      </c>
      <c r="Y731" s="40">
        <f>ROUND((V731*'Methodology &amp; Assumptions'!$B$6)+(W731*'Methodology &amp; Assumptions'!$B$5)+(X731*'Methodology &amp; Assumptions'!$B$7), 2)</f>
        <v/>
      </c>
    </row>
    <row r="732" ht="19" customHeight="1">
      <c r="A732" s="41" t="n">
        <v>728</v>
      </c>
      <c r="B732" s="41" t="n">
        <v>1728</v>
      </c>
      <c r="C732" s="42" t="inlineStr">
        <is>
          <t>0301403020</t>
        </is>
      </c>
      <c r="D732" s="42" t="inlineStr">
        <is>
          <t>Region III (Central Luzon)</t>
        </is>
      </c>
      <c r="E732" s="42" t="inlineStr">
        <is>
          <t>Bulacan</t>
        </is>
      </c>
      <c r="F732" s="42" t="inlineStr">
        <is>
          <t>Baliuag</t>
        </is>
      </c>
      <c r="G732" s="42" t="inlineStr">
        <is>
          <t>Santo Cristo</t>
        </is>
      </c>
      <c r="H732" s="43" t="n">
        <v>14.955424</v>
      </c>
      <c r="I732" s="43" t="n">
        <v>120.894322</v>
      </c>
      <c r="J732" s="44" t="inlineStr">
        <is>
          <t>U</t>
        </is>
      </c>
      <c r="K732" s="42" t="inlineStr">
        <is>
          <t>Class 1-3 / Urban</t>
        </is>
      </c>
      <c r="L732" s="23" t="n">
        <v>9600</v>
      </c>
      <c r="M732" s="24" t="n">
        <v>4.1</v>
      </c>
      <c r="N732" s="23">
        <f>ROUND(L732/M732, 0)</f>
        <v/>
      </c>
      <c r="O732" s="23">
        <f>ROUND(N732*'Methodology &amp; Assumptions'!$B$8, 0)</f>
        <v/>
      </c>
      <c r="P732" s="44" t="inlineStr">
        <is>
          <t>Band n50 (1.5 GHz, 60 MHz)</t>
        </is>
      </c>
      <c r="Q732" s="38">
        <f>ROUNDUP(O732/'Methodology &amp; Assumptions'!$B$9, 0)</f>
        <v/>
      </c>
      <c r="R732" s="39" t="n">
        <v>1</v>
      </c>
      <c r="S732" s="25" t="n">
        <v>1.07</v>
      </c>
      <c r="T732" s="25" t="n">
        <v>0.51</v>
      </c>
      <c r="U732" s="42" t="inlineStr">
        <is>
          <t>Tier 1B (Micro Drop, 1-3 km)</t>
        </is>
      </c>
      <c r="V732" s="24" t="n">
        <v>80</v>
      </c>
      <c r="W732" s="24" t="n">
        <v>100</v>
      </c>
      <c r="X732" s="24" t="n">
        <v>28</v>
      </c>
      <c r="Y732" s="45">
        <f>ROUND((V732*'Methodology &amp; Assumptions'!$B$6)+(W732*'Methodology &amp; Assumptions'!$B$5)+(X732*'Methodology &amp; Assumptions'!$B$7), 2)</f>
        <v/>
      </c>
    </row>
    <row r="733" ht="19" customHeight="1">
      <c r="A733" s="35" t="n">
        <v>729</v>
      </c>
      <c r="B733" s="35" t="n">
        <v>1729</v>
      </c>
      <c r="C733" s="36" t="inlineStr">
        <is>
          <t>1630400025</t>
        </is>
      </c>
      <c r="D733" s="36" t="inlineStr">
        <is>
          <t>Region XIII (Caraga)</t>
        </is>
      </c>
      <c r="E733" s="36" t="inlineStr">
        <is>
          <t>Agusan del Norte</t>
        </is>
      </c>
      <c r="F733" s="36" t="inlineStr">
        <is>
          <t>City of Butuan</t>
        </is>
      </c>
      <c r="G733" s="36" t="inlineStr">
        <is>
          <t>Bonbon</t>
        </is>
      </c>
      <c r="H733" s="37" t="n">
        <v>8.929304999999999</v>
      </c>
      <c r="I733" s="37" t="n">
        <v>125.506874</v>
      </c>
      <c r="J733" s="8" t="inlineStr">
        <is>
          <t>U</t>
        </is>
      </c>
      <c r="K733" s="36" t="inlineStr">
        <is>
          <t>Class 1-3 / Urban</t>
        </is>
      </c>
      <c r="L733" s="18" t="n">
        <v>6289</v>
      </c>
      <c r="M733" s="20" t="n">
        <v>4.63</v>
      </c>
      <c r="N733" s="18">
        <f>ROUND(L733/M733, 0)</f>
        <v/>
      </c>
      <c r="O733" s="18">
        <f>ROUND(N733*'Methodology &amp; Assumptions'!$B$8, 0)</f>
        <v/>
      </c>
      <c r="P733" s="8" t="inlineStr">
        <is>
          <t>Band n50 (1.5 GHz, 60 MHz)</t>
        </is>
      </c>
      <c r="Q733" s="38">
        <f>ROUNDUP(O733/'Methodology &amp; Assumptions'!$B$9, 0)</f>
        <v/>
      </c>
      <c r="R733" s="39" t="n">
        <v>1</v>
      </c>
      <c r="S733" s="21" t="n">
        <v>1.68</v>
      </c>
      <c r="T733" s="21" t="n">
        <v>0.71</v>
      </c>
      <c r="U733" s="36" t="inlineStr">
        <is>
          <t>Tier 1B (Micro Drop, 1-3 km)</t>
        </is>
      </c>
      <c r="V733" s="20" t="n">
        <v>67.09999999999999</v>
      </c>
      <c r="W733" s="20" t="n">
        <v>100</v>
      </c>
      <c r="X733" s="20" t="n">
        <v>43</v>
      </c>
      <c r="Y733" s="40">
        <f>ROUND((V733*'Methodology &amp; Assumptions'!$B$6)+(W733*'Methodology &amp; Assumptions'!$B$5)+(X733*'Methodology &amp; Assumptions'!$B$7), 2)</f>
        <v/>
      </c>
    </row>
    <row r="734" ht="19" customHeight="1">
      <c r="A734" s="41" t="n">
        <v>730</v>
      </c>
      <c r="B734" s="41" t="n">
        <v>1730</v>
      </c>
      <c r="C734" s="42" t="inlineStr">
        <is>
          <t>0300803016</t>
        </is>
      </c>
      <c r="D734" s="42" t="inlineStr">
        <is>
          <t>Region III (Central Luzon)</t>
        </is>
      </c>
      <c r="E734" s="42" t="inlineStr">
        <is>
          <t>Bataan</t>
        </is>
      </c>
      <c r="F734" s="42" t="inlineStr">
        <is>
          <t>City of Balanga</t>
        </is>
      </c>
      <c r="G734" s="42" t="inlineStr">
        <is>
          <t>San Jose</t>
        </is>
      </c>
      <c r="H734" s="43" t="n">
        <v>14.675882</v>
      </c>
      <c r="I734" s="43" t="n">
        <v>120.53593</v>
      </c>
      <c r="J734" s="44" t="inlineStr">
        <is>
          <t>U</t>
        </is>
      </c>
      <c r="K734" s="42" t="inlineStr">
        <is>
          <t>Class 1-3 / Urban</t>
        </is>
      </c>
      <c r="L734" s="23" t="n">
        <v>6718</v>
      </c>
      <c r="M734" s="24" t="n">
        <v>4.57</v>
      </c>
      <c r="N734" s="23">
        <f>ROUND(L734/M734, 0)</f>
        <v/>
      </c>
      <c r="O734" s="23">
        <f>ROUND(N734*'Methodology &amp; Assumptions'!$B$8, 0)</f>
        <v/>
      </c>
      <c r="P734" s="44" t="inlineStr">
        <is>
          <t>Band n50 (1.5 GHz, 60 MHz)</t>
        </is>
      </c>
      <c r="Q734" s="38">
        <f>ROUNDUP(O734/'Methodology &amp; Assumptions'!$B$9, 0)</f>
        <v/>
      </c>
      <c r="R734" s="39" t="n">
        <v>1</v>
      </c>
      <c r="S734" s="25" t="n">
        <v>1.07</v>
      </c>
      <c r="T734" s="25" t="n">
        <v>0.83</v>
      </c>
      <c r="U734" s="42" t="inlineStr">
        <is>
          <t>Tier 1B (Micro Drop, 1-3 km)</t>
        </is>
      </c>
      <c r="V734" s="24" t="n">
        <v>79.90000000000001</v>
      </c>
      <c r="W734" s="24" t="n">
        <v>100</v>
      </c>
      <c r="X734" s="24" t="n">
        <v>28</v>
      </c>
      <c r="Y734" s="45">
        <f>ROUND((V734*'Methodology &amp; Assumptions'!$B$6)+(W734*'Methodology &amp; Assumptions'!$B$5)+(X734*'Methodology &amp; Assumptions'!$B$7), 2)</f>
        <v/>
      </c>
    </row>
    <row r="735" ht="19" customHeight="1">
      <c r="A735" s="35" t="n">
        <v>731</v>
      </c>
      <c r="B735" s="35" t="n">
        <v>1731</v>
      </c>
      <c r="C735" s="36" t="inlineStr">
        <is>
          <t>0600414021</t>
        </is>
      </c>
      <c r="D735" s="36" t="inlineStr">
        <is>
          <t>Region VI (Western Visayas)</t>
        </is>
      </c>
      <c r="E735" s="36" t="inlineStr">
        <is>
          <t>Aklan</t>
        </is>
      </c>
      <c r="F735" s="36" t="inlineStr">
        <is>
          <t>Nabas</t>
        </is>
      </c>
      <c r="G735" s="36" t="inlineStr">
        <is>
          <t>Union</t>
        </is>
      </c>
      <c r="H735" s="37" t="n">
        <v>11.932823</v>
      </c>
      <c r="I735" s="37" t="n">
        <v>121.96186</v>
      </c>
      <c r="J735" s="8" t="inlineStr">
        <is>
          <t>R</t>
        </is>
      </c>
      <c r="K735" s="36" t="inlineStr">
        <is>
          <t>2nd</t>
        </is>
      </c>
      <c r="L735" s="18" t="n">
        <v>3632</v>
      </c>
      <c r="M735" s="20" t="n">
        <v>4.6</v>
      </c>
      <c r="N735" s="18">
        <f>ROUND(L735/M735, 0)</f>
        <v/>
      </c>
      <c r="O735" s="18">
        <f>ROUND(N735*'Methodology &amp; Assumptions'!$B$8, 0)</f>
        <v/>
      </c>
      <c r="P735" s="8" t="inlineStr">
        <is>
          <t>Band n50 (1.5 GHz, 60 MHz)</t>
        </is>
      </c>
      <c r="Q735" s="38">
        <f>ROUNDUP(O735/'Methodology &amp; Assumptions'!$B$9, 0)</f>
        <v/>
      </c>
      <c r="R735" s="39" t="n">
        <v>1</v>
      </c>
      <c r="S735" s="21" t="n">
        <v>2.45</v>
      </c>
      <c r="T735" s="21" t="n">
        <v>0.25</v>
      </c>
      <c r="U735" s="36" t="inlineStr">
        <is>
          <t>Tier 1B (Micro Drop, 1-3 km)</t>
        </is>
      </c>
      <c r="V735" s="20" t="n">
        <v>54.2</v>
      </c>
      <c r="W735" s="20" t="n">
        <v>87.2</v>
      </c>
      <c r="X735" s="20" t="n">
        <v>73</v>
      </c>
      <c r="Y735" s="40">
        <f>ROUND((V735*'Methodology &amp; Assumptions'!$B$6)+(W735*'Methodology &amp; Assumptions'!$B$5)+(X735*'Methodology &amp; Assumptions'!$B$7), 2)</f>
        <v/>
      </c>
    </row>
    <row r="736" ht="19" customHeight="1">
      <c r="A736" s="41" t="n">
        <v>732</v>
      </c>
      <c r="B736" s="41" t="n">
        <v>1732</v>
      </c>
      <c r="C736" s="42" t="inlineStr">
        <is>
          <t>0102903023</t>
        </is>
      </c>
      <c r="D736" s="42" t="inlineStr">
        <is>
          <t>Region I (Ilocos Region)</t>
        </is>
      </c>
      <c r="E736" s="42" t="inlineStr">
        <is>
          <t>Ilocos Sur</t>
        </is>
      </c>
      <c r="F736" s="42" t="inlineStr">
        <is>
          <t>Bantay</t>
        </is>
      </c>
      <c r="G736" s="42" t="inlineStr">
        <is>
          <t>San Isidro</t>
        </is>
      </c>
      <c r="H736" s="43" t="n">
        <v>17.191129</v>
      </c>
      <c r="I736" s="43" t="n">
        <v>120.444877</v>
      </c>
      <c r="J736" s="44" t="inlineStr">
        <is>
          <t>R</t>
        </is>
      </c>
      <c r="K736" s="42" t="inlineStr">
        <is>
          <t>Class 1-3 / Urban</t>
        </is>
      </c>
      <c r="L736" s="23" t="n">
        <v>983</v>
      </c>
      <c r="M736" s="24" t="n">
        <v>4.56</v>
      </c>
      <c r="N736" s="23">
        <f>ROUND(L736/M736, 0)</f>
        <v/>
      </c>
      <c r="O736" s="23">
        <f>ROUND(N736*'Methodology &amp; Assumptions'!$B$8, 0)</f>
        <v/>
      </c>
      <c r="P736" s="44" t="inlineStr">
        <is>
          <t>Band n50 (1.5 GHz, 60 MHz)</t>
        </is>
      </c>
      <c r="Q736" s="38">
        <f>ROUNDUP(O736/'Methodology &amp; Assumptions'!$B$9, 0)</f>
        <v/>
      </c>
      <c r="R736" s="39" t="n">
        <v>1</v>
      </c>
      <c r="S736" s="25" t="n">
        <v>0.2</v>
      </c>
      <c r="T736" s="25" t="n">
        <v>0.22</v>
      </c>
      <c r="U736" s="42" t="inlineStr">
        <is>
          <t>Tier 1A (Direct Coloc, &lt;1 km)</t>
        </is>
      </c>
      <c r="V736" s="24" t="n">
        <v>100</v>
      </c>
      <c r="W736" s="24" t="n">
        <v>41.3</v>
      </c>
      <c r="X736" s="24" t="n">
        <v>73</v>
      </c>
      <c r="Y736" s="45">
        <f>ROUND((V736*'Methodology &amp; Assumptions'!$B$6)+(W736*'Methodology &amp; Assumptions'!$B$5)+(X736*'Methodology &amp; Assumptions'!$B$7), 2)</f>
        <v/>
      </c>
    </row>
    <row r="737" ht="19" customHeight="1">
      <c r="A737" s="35" t="n">
        <v>733</v>
      </c>
      <c r="B737" s="35" t="n">
        <v>1733</v>
      </c>
      <c r="C737" s="36" t="inlineStr">
        <is>
          <t>0103314022</t>
        </is>
      </c>
      <c r="D737" s="36" t="inlineStr">
        <is>
          <t>Region I (Ilocos Region)</t>
        </is>
      </c>
      <c r="E737" s="36" t="inlineStr">
        <is>
          <t>La Union</t>
        </is>
      </c>
      <c r="F737" s="36" t="inlineStr">
        <is>
          <t>City of San Fernando</t>
        </is>
      </c>
      <c r="G737" s="36" t="inlineStr">
        <is>
          <t>Catbangen</t>
        </is>
      </c>
      <c r="H737" s="37" t="n">
        <v>16.610674</v>
      </c>
      <c r="I737" s="37" t="n">
        <v>120.310959</v>
      </c>
      <c r="J737" s="8" t="inlineStr">
        <is>
          <t>U</t>
        </is>
      </c>
      <c r="K737" s="36" t="inlineStr">
        <is>
          <t>Class 1-3 / Urban</t>
        </is>
      </c>
      <c r="L737" s="18" t="n">
        <v>9638</v>
      </c>
      <c r="M737" s="20" t="n">
        <v>4.42</v>
      </c>
      <c r="N737" s="18">
        <f>ROUND(L737/M737, 0)</f>
        <v/>
      </c>
      <c r="O737" s="18">
        <f>ROUND(N737*'Methodology &amp; Assumptions'!$B$8, 0)</f>
        <v/>
      </c>
      <c r="P737" s="8" t="inlineStr">
        <is>
          <t>Band n50 (1.5 GHz, 60 MHz)</t>
        </is>
      </c>
      <c r="Q737" s="38">
        <f>ROUNDUP(O737/'Methodology &amp; Assumptions'!$B$9, 0)</f>
        <v/>
      </c>
      <c r="R737" s="39" t="n">
        <v>1</v>
      </c>
      <c r="S737" s="21" t="n">
        <v>1.07</v>
      </c>
      <c r="T737" s="21" t="n">
        <v>0.6</v>
      </c>
      <c r="U737" s="36" t="inlineStr">
        <is>
          <t>Tier 1B (Micro Drop, 1-3 km)</t>
        </is>
      </c>
      <c r="V737" s="20" t="n">
        <v>79.90000000000001</v>
      </c>
      <c r="W737" s="20" t="n">
        <v>100</v>
      </c>
      <c r="X737" s="20" t="n">
        <v>28</v>
      </c>
      <c r="Y737" s="40">
        <f>ROUND((V737*'Methodology &amp; Assumptions'!$B$6)+(W737*'Methodology &amp; Assumptions'!$B$5)+(X737*'Methodology &amp; Assumptions'!$B$7), 2)</f>
        <v/>
      </c>
    </row>
    <row r="738" ht="19" customHeight="1">
      <c r="A738" s="41" t="n">
        <v>734</v>
      </c>
      <c r="B738" s="41" t="n">
        <v>1734</v>
      </c>
      <c r="C738" s="42" t="inlineStr">
        <is>
          <t>0307106013</t>
        </is>
      </c>
      <c r="D738" s="42" t="inlineStr">
        <is>
          <t>Region III (Central Luzon)</t>
        </is>
      </c>
      <c r="E738" s="42" t="inlineStr">
        <is>
          <t>Zambales</t>
        </is>
      </c>
      <c r="F738" s="42" t="inlineStr">
        <is>
          <t>Masinloc</t>
        </is>
      </c>
      <c r="G738" s="42" t="inlineStr">
        <is>
          <t>Tapuac</t>
        </is>
      </c>
      <c r="H738" s="43" t="n">
        <v>15.54873</v>
      </c>
      <c r="I738" s="43" t="n">
        <v>119.960037</v>
      </c>
      <c r="J738" s="44" t="inlineStr">
        <is>
          <t>R</t>
        </is>
      </c>
      <c r="K738" s="42" t="inlineStr">
        <is>
          <t>Class 1-3 / Urban</t>
        </is>
      </c>
      <c r="L738" s="23" t="n">
        <v>3087</v>
      </c>
      <c r="M738" s="24" t="n">
        <v>4.05</v>
      </c>
      <c r="N738" s="23">
        <f>ROUND(L738/M738, 0)</f>
        <v/>
      </c>
      <c r="O738" s="23">
        <f>ROUND(N738*'Methodology &amp; Assumptions'!$B$8, 0)</f>
        <v/>
      </c>
      <c r="P738" s="44" t="inlineStr">
        <is>
          <t>Band n50 (1.5 GHz, 60 MHz)</t>
        </is>
      </c>
      <c r="Q738" s="38">
        <f>ROUNDUP(O738/'Methodology &amp; Assumptions'!$B$9, 0)</f>
        <v/>
      </c>
      <c r="R738" s="39" t="n">
        <v>1</v>
      </c>
      <c r="S738" s="25" t="n">
        <v>1.58</v>
      </c>
      <c r="T738" s="25" t="n">
        <v>1.09</v>
      </c>
      <c r="U738" s="42" t="inlineStr">
        <is>
          <t>Tier 1B (Micro Drop, 1-3 km)</t>
        </is>
      </c>
      <c r="V738" s="24" t="n">
        <v>69.09999999999999</v>
      </c>
      <c r="W738" s="24" t="n">
        <v>85.09999999999999</v>
      </c>
      <c r="X738" s="24" t="n">
        <v>58</v>
      </c>
      <c r="Y738" s="45">
        <f>ROUND((V738*'Methodology &amp; Assumptions'!$B$6)+(W738*'Methodology &amp; Assumptions'!$B$5)+(X738*'Methodology &amp; Assumptions'!$B$7), 2)</f>
        <v/>
      </c>
    </row>
    <row r="739" ht="19" customHeight="1">
      <c r="A739" s="35" t="n">
        <v>735</v>
      </c>
      <c r="B739" s="35" t="n">
        <v>1735</v>
      </c>
      <c r="C739" s="36" t="inlineStr">
        <is>
          <t>0301412006</t>
        </is>
      </c>
      <c r="D739" s="36" t="inlineStr">
        <is>
          <t>Region III (Central Luzon)</t>
        </is>
      </c>
      <c r="E739" s="36" t="inlineStr">
        <is>
          <t>Bulacan</t>
        </is>
      </c>
      <c r="F739" s="36" t="inlineStr">
        <is>
          <t>City of Meycauayan</t>
        </is>
      </c>
      <c r="G739" s="36" t="inlineStr">
        <is>
          <t>Calvario</t>
        </is>
      </c>
      <c r="H739" s="37" t="n">
        <v>14.734459</v>
      </c>
      <c r="I739" s="37" t="n">
        <v>120.959293</v>
      </c>
      <c r="J739" s="8" t="inlineStr">
        <is>
          <t>U</t>
        </is>
      </c>
      <c r="K739" s="36" t="inlineStr">
        <is>
          <t>Class 1-3 / Urban</t>
        </is>
      </c>
      <c r="L739" s="18" t="n">
        <v>5074</v>
      </c>
      <c r="M739" s="20" t="n">
        <v>4.1</v>
      </c>
      <c r="N739" s="18">
        <f>ROUND(L739/M739, 0)</f>
        <v/>
      </c>
      <c r="O739" s="18">
        <f>ROUND(N739*'Methodology &amp; Assumptions'!$B$8, 0)</f>
        <v/>
      </c>
      <c r="P739" s="8" t="inlineStr">
        <is>
          <t>Band n50 (1.5 GHz, 60 MHz)</t>
        </is>
      </c>
      <c r="Q739" s="38">
        <f>ROUNDUP(O739/'Methodology &amp; Assumptions'!$B$9, 0)</f>
        <v/>
      </c>
      <c r="R739" s="39" t="n">
        <v>1</v>
      </c>
      <c r="S739" s="21" t="n">
        <v>1.08</v>
      </c>
      <c r="T739" s="21" t="n">
        <v>0.23</v>
      </c>
      <c r="U739" s="36" t="inlineStr">
        <is>
          <t>Tier 1B (Micro Drop, 1-3 km)</t>
        </is>
      </c>
      <c r="V739" s="20" t="n">
        <v>79.90000000000001</v>
      </c>
      <c r="W739" s="20" t="n">
        <v>100</v>
      </c>
      <c r="X739" s="20" t="n">
        <v>28</v>
      </c>
      <c r="Y739" s="40">
        <f>ROUND((V739*'Methodology &amp; Assumptions'!$B$6)+(W739*'Methodology &amp; Assumptions'!$B$5)+(X739*'Methodology &amp; Assumptions'!$B$7), 2)</f>
        <v/>
      </c>
    </row>
    <row r="740" ht="19" customHeight="1">
      <c r="A740" s="41" t="n">
        <v>736</v>
      </c>
      <c r="B740" s="41" t="n">
        <v>1736</v>
      </c>
      <c r="C740" s="42" t="inlineStr">
        <is>
          <t>0201508005</t>
        </is>
      </c>
      <c r="D740" s="42" t="inlineStr">
        <is>
          <t>Region II (Cagayan Valley)</t>
        </is>
      </c>
      <c r="E740" s="42" t="inlineStr">
        <is>
          <t>Cagayan</t>
        </is>
      </c>
      <c r="F740" s="42" t="inlineStr">
        <is>
          <t>Buguey</t>
        </is>
      </c>
      <c r="G740" s="42" t="inlineStr">
        <is>
          <t>Centro</t>
        </is>
      </c>
      <c r="H740" s="43" t="n">
        <v>18.290094</v>
      </c>
      <c r="I740" s="43" t="n">
        <v>121.83064</v>
      </c>
      <c r="J740" s="44" t="inlineStr">
        <is>
          <t>R</t>
        </is>
      </c>
      <c r="K740" s="42" t="inlineStr">
        <is>
          <t>Class 1-3 / Urban</t>
        </is>
      </c>
      <c r="L740" s="23" t="n">
        <v>2252</v>
      </c>
      <c r="M740" s="24" t="n">
        <v>4.38</v>
      </c>
      <c r="N740" s="23">
        <f>ROUND(L740/M740, 0)</f>
        <v/>
      </c>
      <c r="O740" s="23">
        <f>ROUND(N740*'Methodology &amp; Assumptions'!$B$8, 0)</f>
        <v/>
      </c>
      <c r="P740" s="44" t="inlineStr">
        <is>
          <t>Band n50 (1.5 GHz, 60 MHz)</t>
        </is>
      </c>
      <c r="Q740" s="38">
        <f>ROUNDUP(O740/'Methodology &amp; Assumptions'!$B$9, 0)</f>
        <v/>
      </c>
      <c r="R740" s="39" t="n">
        <v>1</v>
      </c>
      <c r="S740" s="25" t="n">
        <v>0.35</v>
      </c>
      <c r="T740" s="25" t="n">
        <v>4.51</v>
      </c>
      <c r="U740" s="42" t="inlineStr">
        <is>
          <t>Tier 1A (Direct Coloc, &lt;1 km)</t>
        </is>
      </c>
      <c r="V740" s="24" t="n">
        <v>89.09999999999999</v>
      </c>
      <c r="W740" s="24" t="n">
        <v>65.09999999999999</v>
      </c>
      <c r="X740" s="24" t="n">
        <v>58</v>
      </c>
      <c r="Y740" s="45">
        <f>ROUND((V740*'Methodology &amp; Assumptions'!$B$6)+(W740*'Methodology &amp; Assumptions'!$B$5)+(X740*'Methodology &amp; Assumptions'!$B$7), 2)</f>
        <v/>
      </c>
    </row>
    <row r="741" ht="19" customHeight="1">
      <c r="A741" s="35" t="n">
        <v>737</v>
      </c>
      <c r="B741" s="35" t="n">
        <v>1737</v>
      </c>
      <c r="C741" s="36" t="inlineStr">
        <is>
          <t>0501727015</t>
        </is>
      </c>
      <c r="D741" s="36" t="inlineStr">
        <is>
          <t>Region V (Bicol Region)</t>
        </is>
      </c>
      <c r="E741" s="36" t="inlineStr">
        <is>
          <t>Camarines Sur</t>
        </is>
      </c>
      <c r="F741" s="36" t="inlineStr">
        <is>
          <t>Pasacao</t>
        </is>
      </c>
      <c r="G741" s="36" t="inlineStr">
        <is>
          <t>San Cirilo</t>
        </is>
      </c>
      <c r="H741" s="37" t="n">
        <v>13.509314</v>
      </c>
      <c r="I741" s="37" t="n">
        <v>123.044653</v>
      </c>
      <c r="J741" s="8" t="inlineStr">
        <is>
          <t>U</t>
        </is>
      </c>
      <c r="K741" s="36" t="inlineStr">
        <is>
          <t>Class 1-3 / Urban</t>
        </is>
      </c>
      <c r="L741" s="18" t="n">
        <v>5331</v>
      </c>
      <c r="M741" s="20" t="n">
        <v>4.9</v>
      </c>
      <c r="N741" s="18">
        <f>ROUND(L741/M741, 0)</f>
        <v/>
      </c>
      <c r="O741" s="18">
        <f>ROUND(N741*'Methodology &amp; Assumptions'!$B$8, 0)</f>
        <v/>
      </c>
      <c r="P741" s="8" t="inlineStr">
        <is>
          <t>Band n50 (1.5 GHz, 60 MHz)</t>
        </is>
      </c>
      <c r="Q741" s="38">
        <f>ROUNDUP(O741/'Methodology &amp; Assumptions'!$B$9, 0)</f>
        <v/>
      </c>
      <c r="R741" s="39" t="n">
        <v>1</v>
      </c>
      <c r="S741" s="21" t="n">
        <v>1.08</v>
      </c>
      <c r="T741" s="21" t="n">
        <v>0.4</v>
      </c>
      <c r="U741" s="36" t="inlineStr">
        <is>
          <t>Tier 1B (Micro Drop, 1-3 km)</t>
        </is>
      </c>
      <c r="V741" s="20" t="n">
        <v>79.8</v>
      </c>
      <c r="W741" s="20" t="n">
        <v>100</v>
      </c>
      <c r="X741" s="20" t="n">
        <v>28</v>
      </c>
      <c r="Y741" s="40">
        <f>ROUND((V741*'Methodology &amp; Assumptions'!$B$6)+(W741*'Methodology &amp; Assumptions'!$B$5)+(X741*'Methodology &amp; Assumptions'!$B$7), 2)</f>
        <v/>
      </c>
    </row>
    <row r="742" ht="19" customHeight="1">
      <c r="A742" s="41" t="n">
        <v>738</v>
      </c>
      <c r="B742" s="41" t="n">
        <v>1738</v>
      </c>
      <c r="C742" s="42" t="inlineStr">
        <is>
          <t>0103314054</t>
        </is>
      </c>
      <c r="D742" s="42" t="inlineStr">
        <is>
          <t>Region I (Ilocos Region)</t>
        </is>
      </c>
      <c r="E742" s="42" t="inlineStr">
        <is>
          <t>La Union</t>
        </is>
      </c>
      <c r="F742" s="42" t="inlineStr">
        <is>
          <t>City of San Fernando</t>
        </is>
      </c>
      <c r="G742" s="42" t="inlineStr">
        <is>
          <t>Santiago Norte</t>
        </is>
      </c>
      <c r="H742" s="43" t="n">
        <v>16.615206</v>
      </c>
      <c r="I742" s="43" t="n">
        <v>120.335719</v>
      </c>
      <c r="J742" s="44" t="inlineStr">
        <is>
          <t>R</t>
        </is>
      </c>
      <c r="K742" s="42" t="inlineStr">
        <is>
          <t>Class 1-3 / Urban</t>
        </is>
      </c>
      <c r="L742" s="23" t="n">
        <v>4085</v>
      </c>
      <c r="M742" s="24" t="n">
        <v>4.42</v>
      </c>
      <c r="N742" s="23">
        <f>ROUND(L742/M742, 0)</f>
        <v/>
      </c>
      <c r="O742" s="23">
        <f>ROUND(N742*'Methodology &amp; Assumptions'!$B$8, 0)</f>
        <v/>
      </c>
      <c r="P742" s="44" t="inlineStr">
        <is>
          <t>Band n50 (1.5 GHz, 60 MHz)</t>
        </is>
      </c>
      <c r="Q742" s="38">
        <f>ROUNDUP(O742/'Methodology &amp; Assumptions'!$B$9, 0)</f>
        <v/>
      </c>
      <c r="R742" s="39" t="n">
        <v>1</v>
      </c>
      <c r="S742" s="25" t="n">
        <v>2.31</v>
      </c>
      <c r="T742" s="25" t="n">
        <v>2</v>
      </c>
      <c r="U742" s="42" t="inlineStr">
        <is>
          <t>Tier 1B (Micro Drop, 1-3 km)</t>
        </is>
      </c>
      <c r="V742" s="24" t="n">
        <v>56.3</v>
      </c>
      <c r="W742" s="24" t="n">
        <v>97.90000000000001</v>
      </c>
      <c r="X742" s="24" t="n">
        <v>58</v>
      </c>
      <c r="Y742" s="45">
        <f>ROUND((V742*'Methodology &amp; Assumptions'!$B$6)+(W742*'Methodology &amp; Assumptions'!$B$5)+(X742*'Methodology &amp; Assumptions'!$B$7), 2)</f>
        <v/>
      </c>
    </row>
    <row r="743" ht="19" customHeight="1">
      <c r="A743" s="35" t="n">
        <v>739</v>
      </c>
      <c r="B743" s="35" t="n">
        <v>1739</v>
      </c>
      <c r="C743" s="36" t="inlineStr">
        <is>
          <t>1102403030</t>
        </is>
      </c>
      <c r="D743" s="36" t="inlineStr">
        <is>
          <t>Region XI (Davao Region)</t>
        </is>
      </c>
      <c r="E743" s="36" t="inlineStr">
        <is>
          <t>Davao del Sur</t>
        </is>
      </c>
      <c r="F743" s="36" t="inlineStr">
        <is>
          <t>City of Digos</t>
        </is>
      </c>
      <c r="G743" s="36" t="inlineStr">
        <is>
          <t>Zone 3</t>
        </is>
      </c>
      <c r="H743" s="37" t="n">
        <v>6.74539</v>
      </c>
      <c r="I743" s="37" t="n">
        <v>125.35709</v>
      </c>
      <c r="J743" s="8" t="inlineStr">
        <is>
          <t>U</t>
        </is>
      </c>
      <c r="K743" s="36" t="inlineStr">
        <is>
          <t>Class 1-3 / Urban</t>
        </is>
      </c>
      <c r="L743" s="18" t="n">
        <v>18068</v>
      </c>
      <c r="M743" s="20" t="n">
        <v>4.1</v>
      </c>
      <c r="N743" s="18">
        <f>ROUND(L743/M743, 0)</f>
        <v/>
      </c>
      <c r="O743" s="18">
        <f>ROUND(N743*'Methodology &amp; Assumptions'!$B$8, 0)</f>
        <v/>
      </c>
      <c r="P743" s="8" t="inlineStr">
        <is>
          <t>Band n50 (1.5 GHz, 60 MHz)</t>
        </is>
      </c>
      <c r="Q743" s="38">
        <f>ROUNDUP(O743/'Methodology &amp; Assumptions'!$B$9, 0)</f>
        <v/>
      </c>
      <c r="R743" s="39" t="n">
        <v>1</v>
      </c>
      <c r="S743" s="21" t="n">
        <v>1.08</v>
      </c>
      <c r="T743" s="21" t="n">
        <v>0.78</v>
      </c>
      <c r="U743" s="36" t="inlineStr">
        <is>
          <t>Tier 1B (Micro Drop, 1-3 km)</t>
        </is>
      </c>
      <c r="V743" s="20" t="n">
        <v>79.8</v>
      </c>
      <c r="W743" s="20" t="n">
        <v>100</v>
      </c>
      <c r="X743" s="20" t="n">
        <v>28</v>
      </c>
      <c r="Y743" s="40">
        <f>ROUND((V743*'Methodology &amp; Assumptions'!$B$6)+(W743*'Methodology &amp; Assumptions'!$B$5)+(X743*'Methodology &amp; Assumptions'!$B$7), 2)</f>
        <v/>
      </c>
    </row>
    <row r="744" ht="19" customHeight="1">
      <c r="A744" s="41" t="n">
        <v>740</v>
      </c>
      <c r="B744" s="41" t="n">
        <v>1740</v>
      </c>
      <c r="C744" s="42" t="inlineStr">
        <is>
          <t>0604524019</t>
        </is>
      </c>
      <c r="D744" s="42" t="inlineStr">
        <is>
          <t>Region VI (Western Visayas)</t>
        </is>
      </c>
      <c r="E744" s="42" t="inlineStr">
        <is>
          <t>Negros Occidental</t>
        </is>
      </c>
      <c r="F744" s="42" t="inlineStr">
        <is>
          <t>City of San Carlos</t>
        </is>
      </c>
      <c r="G744" s="42" t="inlineStr">
        <is>
          <t>Rizal</t>
        </is>
      </c>
      <c r="H744" s="43" t="n">
        <v>10.485631</v>
      </c>
      <c r="I744" s="43" t="n">
        <v>123.413306</v>
      </c>
      <c r="J744" s="44" t="inlineStr">
        <is>
          <t>U</t>
        </is>
      </c>
      <c r="K744" s="42" t="inlineStr">
        <is>
          <t>Class 1-3 / Urban</t>
        </is>
      </c>
      <c r="L744" s="23" t="n">
        <v>16775</v>
      </c>
      <c r="M744" s="24" t="n">
        <v>4.33</v>
      </c>
      <c r="N744" s="23">
        <f>ROUND(L744/M744, 0)</f>
        <v/>
      </c>
      <c r="O744" s="23">
        <f>ROUND(N744*'Methodology &amp; Assumptions'!$B$8, 0)</f>
        <v/>
      </c>
      <c r="P744" s="44" t="inlineStr">
        <is>
          <t>Band n50 (1.5 GHz, 60 MHz)</t>
        </is>
      </c>
      <c r="Q744" s="38">
        <f>ROUNDUP(O744/'Methodology &amp; Assumptions'!$B$9, 0)</f>
        <v/>
      </c>
      <c r="R744" s="39" t="n">
        <v>1</v>
      </c>
      <c r="S744" s="25" t="n">
        <v>1.08</v>
      </c>
      <c r="T744" s="25" t="n">
        <v>0.29</v>
      </c>
      <c r="U744" s="42" t="inlineStr">
        <is>
          <t>Tier 1B (Micro Drop, 1-3 km)</t>
        </is>
      </c>
      <c r="V744" s="24" t="n">
        <v>79.8</v>
      </c>
      <c r="W744" s="24" t="n">
        <v>100</v>
      </c>
      <c r="X744" s="24" t="n">
        <v>28</v>
      </c>
      <c r="Y744" s="45">
        <f>ROUND((V744*'Methodology &amp; Assumptions'!$B$6)+(W744*'Methodology &amp; Assumptions'!$B$5)+(X744*'Methodology &amp; Assumptions'!$B$7), 2)</f>
        <v/>
      </c>
    </row>
    <row r="745" ht="19" customHeight="1">
      <c r="A745" s="35" t="n">
        <v>741</v>
      </c>
      <c r="B745" s="35" t="n">
        <v>1741</v>
      </c>
      <c r="C745" s="36" t="inlineStr">
        <is>
          <t>0403425008</t>
        </is>
      </c>
      <c r="D745" s="36" t="inlineStr">
        <is>
          <t>Region IV-A (CALABARZON)</t>
        </is>
      </c>
      <c r="E745" s="36" t="inlineStr">
        <is>
          <t>Laguna</t>
        </is>
      </c>
      <c r="F745" s="36" t="inlineStr">
        <is>
          <t>City of San Pedro</t>
        </is>
      </c>
      <c r="G745" s="36" t="inlineStr">
        <is>
          <t>Magsaysay</t>
        </is>
      </c>
      <c r="H745" s="37" t="n">
        <v>14.337468</v>
      </c>
      <c r="I745" s="37" t="n">
        <v>121.033305</v>
      </c>
      <c r="J745" s="8" t="inlineStr">
        <is>
          <t>U</t>
        </is>
      </c>
      <c r="K745" s="36" t="inlineStr">
        <is>
          <t>Class 1-3 / Urban</t>
        </is>
      </c>
      <c r="L745" s="18" t="n">
        <v>12793</v>
      </c>
      <c r="M745" s="20" t="n">
        <v>4.2</v>
      </c>
      <c r="N745" s="18">
        <f>ROUND(L745/M745, 0)</f>
        <v/>
      </c>
      <c r="O745" s="18">
        <f>ROUND(N745*'Methodology &amp; Assumptions'!$B$8, 0)</f>
        <v/>
      </c>
      <c r="P745" s="8" t="inlineStr">
        <is>
          <t>Band n50 (1.5 GHz, 60 MHz)</t>
        </is>
      </c>
      <c r="Q745" s="38">
        <f>ROUNDUP(O745/'Methodology &amp; Assumptions'!$B$9, 0)</f>
        <v/>
      </c>
      <c r="R745" s="39" t="n">
        <v>1</v>
      </c>
      <c r="S745" s="21" t="n">
        <v>1.08</v>
      </c>
      <c r="T745" s="21" t="n">
        <v>1.1</v>
      </c>
      <c r="U745" s="36" t="inlineStr">
        <is>
          <t>Tier 1B (Micro Drop, 1-3 km)</t>
        </is>
      </c>
      <c r="V745" s="20" t="n">
        <v>79.8</v>
      </c>
      <c r="W745" s="20" t="n">
        <v>100</v>
      </c>
      <c r="X745" s="20" t="n">
        <v>28</v>
      </c>
      <c r="Y745" s="40">
        <f>ROUND((V745*'Methodology &amp; Assumptions'!$B$6)+(W745*'Methodology &amp; Assumptions'!$B$5)+(X745*'Methodology &amp; Assumptions'!$B$7), 2)</f>
        <v/>
      </c>
    </row>
    <row r="746" ht="19" customHeight="1">
      <c r="A746" s="41" t="n">
        <v>742</v>
      </c>
      <c r="B746" s="41" t="n">
        <v>1742</v>
      </c>
      <c r="C746" s="42" t="inlineStr">
        <is>
          <t>0401007032</t>
        </is>
      </c>
      <c r="D746" s="42" t="inlineStr">
        <is>
          <t>Region IV-A (CALABARZON)</t>
        </is>
      </c>
      <c r="E746" s="42" t="inlineStr">
        <is>
          <t>Batangas</t>
        </is>
      </c>
      <c r="F746" s="42" t="inlineStr">
        <is>
          <t>City of Calaca</t>
        </is>
      </c>
      <c r="G746" s="42" t="inlineStr">
        <is>
          <t>Pantay</t>
        </is>
      </c>
      <c r="H746" s="43" t="n">
        <v>13.938467</v>
      </c>
      <c r="I746" s="43" t="n">
        <v>120.79724</v>
      </c>
      <c r="J746" s="44" t="inlineStr">
        <is>
          <t>U</t>
        </is>
      </c>
      <c r="K746" s="42" t="inlineStr">
        <is>
          <t>Class 1-3 / Urban</t>
        </is>
      </c>
      <c r="L746" s="23" t="n">
        <v>6201</v>
      </c>
      <c r="M746" s="24" t="n">
        <v>4.62</v>
      </c>
      <c r="N746" s="23">
        <f>ROUND(L746/M746, 0)</f>
        <v/>
      </c>
      <c r="O746" s="23">
        <f>ROUND(N746*'Methodology &amp; Assumptions'!$B$8, 0)</f>
        <v/>
      </c>
      <c r="P746" s="44" t="inlineStr">
        <is>
          <t>Band n50 (1.5 GHz, 60 MHz)</t>
        </is>
      </c>
      <c r="Q746" s="38">
        <f>ROUNDUP(O746/'Methodology &amp; Assumptions'!$B$9, 0)</f>
        <v/>
      </c>
      <c r="R746" s="39" t="n">
        <v>1</v>
      </c>
      <c r="S746" s="25" t="n">
        <v>1.08</v>
      </c>
      <c r="T746" s="25" t="n">
        <v>0.21</v>
      </c>
      <c r="U746" s="42" t="inlineStr">
        <is>
          <t>Tier 1B (Micro Drop, 1-3 km)</t>
        </is>
      </c>
      <c r="V746" s="24" t="n">
        <v>79.8</v>
      </c>
      <c r="W746" s="24" t="n">
        <v>100</v>
      </c>
      <c r="X746" s="24" t="n">
        <v>28</v>
      </c>
      <c r="Y746" s="45">
        <f>ROUND((V746*'Methodology &amp; Assumptions'!$B$6)+(W746*'Methodology &amp; Assumptions'!$B$5)+(X746*'Methodology &amp; Assumptions'!$B$7), 2)</f>
        <v/>
      </c>
    </row>
    <row r="747" ht="19" customHeight="1">
      <c r="A747" s="35" t="n">
        <v>743</v>
      </c>
      <c r="B747" s="35" t="n">
        <v>1743</v>
      </c>
      <c r="C747" s="36" t="inlineStr">
        <is>
          <t>0500514019</t>
        </is>
      </c>
      <c r="D747" s="36" t="inlineStr">
        <is>
          <t>Region V (Bicol Region)</t>
        </is>
      </c>
      <c r="E747" s="36" t="inlineStr">
        <is>
          <t>Albay</t>
        </is>
      </c>
      <c r="F747" s="36" t="inlineStr">
        <is>
          <t>Polangui</t>
        </is>
      </c>
      <c r="G747" s="36" t="inlineStr">
        <is>
          <t>Gabon</t>
        </is>
      </c>
      <c r="H747" s="37" t="n">
        <v>13.294168</v>
      </c>
      <c r="I747" s="37" t="n">
        <v>123.494484</v>
      </c>
      <c r="J747" s="8" t="inlineStr">
        <is>
          <t>R</t>
        </is>
      </c>
      <c r="K747" s="36" t="inlineStr">
        <is>
          <t>Class 1-3 / Urban</t>
        </is>
      </c>
      <c r="L747" s="18" t="n">
        <v>3106</v>
      </c>
      <c r="M747" s="20" t="n">
        <v>4.67</v>
      </c>
      <c r="N747" s="18">
        <f>ROUND(L747/M747, 0)</f>
        <v/>
      </c>
      <c r="O747" s="18">
        <f>ROUND(N747*'Methodology &amp; Assumptions'!$B$8, 0)</f>
        <v/>
      </c>
      <c r="P747" s="8" t="inlineStr">
        <is>
          <t>Band n50 (1.5 GHz, 60 MHz)</t>
        </is>
      </c>
      <c r="Q747" s="38">
        <f>ROUNDUP(O747/'Methodology &amp; Assumptions'!$B$9, 0)</f>
        <v/>
      </c>
      <c r="R747" s="39" t="n">
        <v>1</v>
      </c>
      <c r="S747" s="21" t="n">
        <v>1.21</v>
      </c>
      <c r="T747" s="21" t="n">
        <v>0.37</v>
      </c>
      <c r="U747" s="36" t="inlineStr">
        <is>
          <t>Tier 1B (Micro Drop, 1-3 km)</t>
        </is>
      </c>
      <c r="V747" s="20" t="n">
        <v>76.8</v>
      </c>
      <c r="W747" s="20" t="n">
        <v>77.3</v>
      </c>
      <c r="X747" s="20" t="n">
        <v>58</v>
      </c>
      <c r="Y747" s="40">
        <f>ROUND((V747*'Methodology &amp; Assumptions'!$B$6)+(W747*'Methodology &amp; Assumptions'!$B$5)+(X747*'Methodology &amp; Assumptions'!$B$7), 2)</f>
        <v/>
      </c>
    </row>
    <row r="748" ht="19" customHeight="1">
      <c r="A748" s="41" t="n">
        <v>744</v>
      </c>
      <c r="B748" s="41" t="n">
        <v>1744</v>
      </c>
      <c r="C748" s="42" t="inlineStr">
        <is>
          <t>1430300013</t>
        </is>
      </c>
      <c r="D748" s="42" t="inlineStr">
        <is>
          <t>Cordillera Administrative Region (CAR)</t>
        </is>
      </c>
      <c r="E748" s="42" t="inlineStr">
        <is>
          <t>Benguet</t>
        </is>
      </c>
      <c r="F748" s="42" t="inlineStr">
        <is>
          <t>City of Baguio</t>
        </is>
      </c>
      <c r="G748" s="42" t="inlineStr">
        <is>
          <t>Cabinet Hill-Teacher's Camp</t>
        </is>
      </c>
      <c r="H748" s="43" t="n">
        <v>16.41093</v>
      </c>
      <c r="I748" s="43" t="n">
        <v>120.60363</v>
      </c>
      <c r="J748" s="44" t="inlineStr">
        <is>
          <t>U</t>
        </is>
      </c>
      <c r="K748" s="42" t="inlineStr">
        <is>
          <t>Class 1-3 / Urban</t>
        </is>
      </c>
      <c r="L748" s="23" t="n">
        <v>3478</v>
      </c>
      <c r="M748" s="24" t="n">
        <v>4.58</v>
      </c>
      <c r="N748" s="23">
        <f>ROUND(L748/M748, 0)</f>
        <v/>
      </c>
      <c r="O748" s="23">
        <f>ROUND(N748*'Methodology &amp; Assumptions'!$B$8, 0)</f>
        <v/>
      </c>
      <c r="P748" s="44" t="inlineStr">
        <is>
          <t>Band n50 (1.5 GHz, 60 MHz)</t>
        </is>
      </c>
      <c r="Q748" s="38">
        <f>ROUNDUP(O748/'Methodology &amp; Assumptions'!$B$9, 0)</f>
        <v/>
      </c>
      <c r="R748" s="39" t="n">
        <v>1</v>
      </c>
      <c r="S748" s="25" t="n">
        <v>0.35</v>
      </c>
      <c r="T748" s="25" t="n">
        <v>0.43</v>
      </c>
      <c r="U748" s="42" t="inlineStr">
        <is>
          <t>Tier 1A (Direct Coloc, &lt;1 km)</t>
        </is>
      </c>
      <c r="V748" s="24" t="n">
        <v>99</v>
      </c>
      <c r="W748" s="24" t="n">
        <v>80.8</v>
      </c>
      <c r="X748" s="24" t="n">
        <v>28</v>
      </c>
      <c r="Y748" s="45">
        <f>ROUND((V748*'Methodology &amp; Assumptions'!$B$6)+(W748*'Methodology &amp; Assumptions'!$B$5)+(X748*'Methodology &amp; Assumptions'!$B$7), 2)</f>
        <v/>
      </c>
    </row>
    <row r="749" ht="19" customHeight="1">
      <c r="A749" s="35" t="n">
        <v>745</v>
      </c>
      <c r="B749" s="35" t="n">
        <v>1745</v>
      </c>
      <c r="C749" s="36" t="inlineStr">
        <is>
          <t>0103301028</t>
        </is>
      </c>
      <c r="D749" s="36" t="inlineStr">
        <is>
          <t>Region I (Ilocos Region)</t>
        </is>
      </c>
      <c r="E749" s="36" t="inlineStr">
        <is>
          <t>La Union</t>
        </is>
      </c>
      <c r="F749" s="36" t="inlineStr">
        <is>
          <t>Agoo</t>
        </is>
      </c>
      <c r="G749" s="36" t="inlineStr">
        <is>
          <t>San Marcos</t>
        </is>
      </c>
      <c r="H749" s="37" t="n">
        <v>16.325806</v>
      </c>
      <c r="I749" s="37" t="n">
        <v>120.362793</v>
      </c>
      <c r="J749" s="8" t="inlineStr">
        <is>
          <t>R</t>
        </is>
      </c>
      <c r="K749" s="36" t="inlineStr">
        <is>
          <t>Class 1-3 / Urban</t>
        </is>
      </c>
      <c r="L749" s="18" t="n">
        <v>2191</v>
      </c>
      <c r="M749" s="20" t="n">
        <v>4.42</v>
      </c>
      <c r="N749" s="18">
        <f>ROUND(L749/M749, 0)</f>
        <v/>
      </c>
      <c r="O749" s="18">
        <f>ROUND(N749*'Methodology &amp; Assumptions'!$B$8, 0)</f>
        <v/>
      </c>
      <c r="P749" s="8" t="inlineStr">
        <is>
          <t>Band n50 (1.5 GHz, 60 MHz)</t>
        </is>
      </c>
      <c r="Q749" s="38">
        <f>ROUNDUP(O749/'Methodology &amp; Assumptions'!$B$9, 0)</f>
        <v/>
      </c>
      <c r="R749" s="39" t="n">
        <v>1</v>
      </c>
      <c r="S749" s="21" t="n">
        <v>0.66</v>
      </c>
      <c r="T749" s="21" t="n">
        <v>0.41</v>
      </c>
      <c r="U749" s="36" t="inlineStr">
        <is>
          <t>Tier 1A (Direct Coloc, &lt;1 km)</t>
        </is>
      </c>
      <c r="V749" s="20" t="n">
        <v>90.3</v>
      </c>
      <c r="W749" s="20" t="n">
        <v>63.7</v>
      </c>
      <c r="X749" s="20" t="n">
        <v>58</v>
      </c>
      <c r="Y749" s="40">
        <f>ROUND((V749*'Methodology &amp; Assumptions'!$B$6)+(W749*'Methodology &amp; Assumptions'!$B$5)+(X749*'Methodology &amp; Assumptions'!$B$7), 2)</f>
        <v/>
      </c>
    </row>
    <row r="750" ht="19" customHeight="1">
      <c r="A750" s="41" t="n">
        <v>746</v>
      </c>
      <c r="B750" s="41" t="n">
        <v>1746</v>
      </c>
      <c r="C750" s="42" t="inlineStr">
        <is>
          <t>0730600065</t>
        </is>
      </c>
      <c r="D750" s="42" t="inlineStr">
        <is>
          <t>Region VII (Central Visayas)</t>
        </is>
      </c>
      <c r="E750" s="42" t="inlineStr">
        <is>
          <t>Cebu</t>
        </is>
      </c>
      <c r="F750" s="42" t="inlineStr">
        <is>
          <t>City of Cebu</t>
        </is>
      </c>
      <c r="G750" s="42" t="inlineStr">
        <is>
          <t>Sambag II</t>
        </is>
      </c>
      <c r="H750" s="43" t="n">
        <v>10.305468</v>
      </c>
      <c r="I750" s="43" t="n">
        <v>123.890517</v>
      </c>
      <c r="J750" s="44" t="inlineStr">
        <is>
          <t>U</t>
        </is>
      </c>
      <c r="K750" s="42" t="inlineStr">
        <is>
          <t>Class 1-3 / Urban</t>
        </is>
      </c>
      <c r="L750" s="23" t="n">
        <v>12173</v>
      </c>
      <c r="M750" s="24" t="n">
        <v>4.42</v>
      </c>
      <c r="N750" s="23">
        <f>ROUND(L750/M750, 0)</f>
        <v/>
      </c>
      <c r="O750" s="23">
        <f>ROUND(N750*'Methodology &amp; Assumptions'!$B$8, 0)</f>
        <v/>
      </c>
      <c r="P750" s="44" t="inlineStr">
        <is>
          <t>Band n50 (1.5 GHz, 60 MHz)</t>
        </is>
      </c>
      <c r="Q750" s="38">
        <f>ROUNDUP(O750/'Methodology &amp; Assumptions'!$B$9, 0)</f>
        <v/>
      </c>
      <c r="R750" s="39" t="n">
        <v>1</v>
      </c>
      <c r="S750" s="25" t="n">
        <v>1.08</v>
      </c>
      <c r="T750" s="25" t="n">
        <v>0.43</v>
      </c>
      <c r="U750" s="42" t="inlineStr">
        <is>
          <t>Tier 1B (Micro Drop, 1-3 km)</t>
        </is>
      </c>
      <c r="V750" s="24" t="n">
        <v>79.8</v>
      </c>
      <c r="W750" s="24" t="n">
        <v>100</v>
      </c>
      <c r="X750" s="24" t="n">
        <v>28</v>
      </c>
      <c r="Y750" s="45">
        <f>ROUND((V750*'Methodology &amp; Assumptions'!$B$6)+(W750*'Methodology &amp; Assumptions'!$B$5)+(X750*'Methodology &amp; Assumptions'!$B$7), 2)</f>
        <v/>
      </c>
    </row>
    <row r="751" ht="19" customHeight="1">
      <c r="A751" s="35" t="n">
        <v>747</v>
      </c>
      <c r="B751" s="35" t="n">
        <v>1747</v>
      </c>
      <c r="C751" s="36" t="inlineStr">
        <is>
          <t>0402117014</t>
        </is>
      </c>
      <c r="D751" s="36" t="inlineStr">
        <is>
          <t>Region IV-A (CALABARZON)</t>
        </is>
      </c>
      <c r="E751" s="36" t="inlineStr">
        <is>
          <t>Cavite</t>
        </is>
      </c>
      <c r="F751" s="36" t="inlineStr">
        <is>
          <t>Rosario</t>
        </is>
      </c>
      <c r="G751" s="36" t="inlineStr">
        <is>
          <t>Ligtong IV</t>
        </is>
      </c>
      <c r="H751" s="37" t="n">
        <v>14.426171</v>
      </c>
      <c r="I751" s="37" t="n">
        <v>120.866402</v>
      </c>
      <c r="J751" s="8" t="inlineStr">
        <is>
          <t>R</t>
        </is>
      </c>
      <c r="K751" s="36" t="inlineStr">
        <is>
          <t>Class 1-3 / Urban</t>
        </is>
      </c>
      <c r="L751" s="18" t="n">
        <v>2961</v>
      </c>
      <c r="M751" s="20" t="n">
        <v>4.49</v>
      </c>
      <c r="N751" s="18">
        <f>ROUND(L751/M751, 0)</f>
        <v/>
      </c>
      <c r="O751" s="18">
        <f>ROUND(N751*'Methodology &amp; Assumptions'!$B$8, 0)</f>
        <v/>
      </c>
      <c r="P751" s="8" t="inlineStr">
        <is>
          <t>Band n50 (1.5 GHz, 60 MHz)</t>
        </is>
      </c>
      <c r="Q751" s="38">
        <f>ROUNDUP(O751/'Methodology &amp; Assumptions'!$B$9, 0)</f>
        <v/>
      </c>
      <c r="R751" s="39" t="n">
        <v>1</v>
      </c>
      <c r="S751" s="21" t="n">
        <v>1.83</v>
      </c>
      <c r="T751" s="21" t="n">
        <v>1.8</v>
      </c>
      <c r="U751" s="36" t="inlineStr">
        <is>
          <t>Tier 1B (Micro Drop, 1-3 km)</t>
        </is>
      </c>
      <c r="V751" s="20" t="n">
        <v>64.40000000000001</v>
      </c>
      <c r="W751" s="20" t="n">
        <v>76.8</v>
      </c>
      <c r="X751" s="20" t="n">
        <v>73</v>
      </c>
      <c r="Y751" s="40">
        <f>ROUND((V751*'Methodology &amp; Assumptions'!$B$6)+(W751*'Methodology &amp; Assumptions'!$B$5)+(X751*'Methodology &amp; Assumptions'!$B$7), 2)</f>
        <v/>
      </c>
    </row>
    <row r="752" ht="19" customHeight="1">
      <c r="A752" s="41" t="n">
        <v>748</v>
      </c>
      <c r="B752" s="41" t="n">
        <v>1748</v>
      </c>
      <c r="C752" s="42" t="inlineStr">
        <is>
          <t>0501724010</t>
        </is>
      </c>
      <c r="D752" s="42" t="inlineStr">
        <is>
          <t>Region V (Bicol Region)</t>
        </is>
      </c>
      <c r="E752" s="42" t="inlineStr">
        <is>
          <t>Camarines Sur</t>
        </is>
      </c>
      <c r="F752" s="42" t="inlineStr">
        <is>
          <t>City of Naga</t>
        </is>
      </c>
      <c r="G752" s="42" t="inlineStr">
        <is>
          <t>Concepcion Pequeña</t>
        </is>
      </c>
      <c r="H752" s="43" t="n">
        <v>13.620304</v>
      </c>
      <c r="I752" s="43" t="n">
        <v>123.203852</v>
      </c>
      <c r="J752" s="44" t="inlineStr">
        <is>
          <t>U</t>
        </is>
      </c>
      <c r="K752" s="42" t="inlineStr">
        <is>
          <t>Class 1-3 / Urban</t>
        </is>
      </c>
      <c r="L752" s="23" t="n">
        <v>25139</v>
      </c>
      <c r="M752" s="24" t="n">
        <v>4.9</v>
      </c>
      <c r="N752" s="23">
        <f>ROUND(L752/M752, 0)</f>
        <v/>
      </c>
      <c r="O752" s="23">
        <f>ROUND(N752*'Methodology &amp; Assumptions'!$B$8, 0)</f>
        <v/>
      </c>
      <c r="P752" s="44" t="inlineStr">
        <is>
          <t>Band n50 (1.5 GHz, 60 MHz)</t>
        </is>
      </c>
      <c r="Q752" s="38">
        <f>ROUNDUP(O752/'Methodology &amp; Assumptions'!$B$9, 0)</f>
        <v/>
      </c>
      <c r="R752" s="39" t="n">
        <v>1</v>
      </c>
      <c r="S752" s="25" t="n">
        <v>1.08</v>
      </c>
      <c r="T752" s="25" t="n">
        <v>0.8100000000000001</v>
      </c>
      <c r="U752" s="42" t="inlineStr">
        <is>
          <t>Tier 1B (Micro Drop, 1-3 km)</t>
        </is>
      </c>
      <c r="V752" s="24" t="n">
        <v>79.8</v>
      </c>
      <c r="W752" s="24" t="n">
        <v>100</v>
      </c>
      <c r="X752" s="24" t="n">
        <v>28</v>
      </c>
      <c r="Y752" s="45">
        <f>ROUND((V752*'Methodology &amp; Assumptions'!$B$6)+(W752*'Methodology &amp; Assumptions'!$B$5)+(X752*'Methodology &amp; Assumptions'!$B$7), 2)</f>
        <v/>
      </c>
    </row>
    <row r="753" ht="19" customHeight="1">
      <c r="A753" s="35" t="n">
        <v>749</v>
      </c>
      <c r="B753" s="35" t="n">
        <v>1749</v>
      </c>
      <c r="C753" s="36" t="inlineStr">
        <is>
          <t>0500502038</t>
        </is>
      </c>
      <c r="D753" s="36" t="inlineStr">
        <is>
          <t>Region V (Bicol Region)</t>
        </is>
      </c>
      <c r="E753" s="36" t="inlineStr">
        <is>
          <t>Albay</t>
        </is>
      </c>
      <c r="F753" s="36" t="inlineStr">
        <is>
          <t>Camalig</t>
        </is>
      </c>
      <c r="G753" s="36" t="inlineStr">
        <is>
          <t>Sumlang</t>
        </is>
      </c>
      <c r="H753" s="37" t="n">
        <v>13.180801</v>
      </c>
      <c r="I753" s="37" t="n">
        <v>123.666966</v>
      </c>
      <c r="J753" s="8" t="inlineStr">
        <is>
          <t>R</t>
        </is>
      </c>
      <c r="K753" s="36" t="inlineStr">
        <is>
          <t>Class 1-3 / Urban</t>
        </is>
      </c>
      <c r="L753" s="18" t="n">
        <v>2088</v>
      </c>
      <c r="M753" s="20" t="n">
        <v>4.67</v>
      </c>
      <c r="N753" s="18">
        <f>ROUND(L753/M753, 0)</f>
        <v/>
      </c>
      <c r="O753" s="18">
        <f>ROUND(N753*'Methodology &amp; Assumptions'!$B$8, 0)</f>
        <v/>
      </c>
      <c r="P753" s="8" t="inlineStr">
        <is>
          <t>Band n50 (1.5 GHz, 60 MHz)</t>
        </is>
      </c>
      <c r="Q753" s="38">
        <f>ROUNDUP(O753/'Methodology &amp; Assumptions'!$B$9, 0)</f>
        <v/>
      </c>
      <c r="R753" s="39" t="n">
        <v>1</v>
      </c>
      <c r="S753" s="21" t="n">
        <v>0.51</v>
      </c>
      <c r="T753" s="21" t="n">
        <v>0.53</v>
      </c>
      <c r="U753" s="36" t="inlineStr">
        <is>
          <t>Tier 1A (Direct Coloc, &lt;1 km)</t>
        </is>
      </c>
      <c r="V753" s="20" t="n">
        <v>94.3</v>
      </c>
      <c r="W753" s="20" t="n">
        <v>59.7</v>
      </c>
      <c r="X753" s="20" t="n">
        <v>58</v>
      </c>
      <c r="Y753" s="40">
        <f>ROUND((V753*'Methodology &amp; Assumptions'!$B$6)+(W753*'Methodology &amp; Assumptions'!$B$5)+(X753*'Methodology &amp; Assumptions'!$B$7), 2)</f>
        <v/>
      </c>
    </row>
    <row r="754" ht="19" customHeight="1">
      <c r="A754" s="41" t="n">
        <v>750</v>
      </c>
      <c r="B754" s="41" t="n">
        <v>1750</v>
      </c>
      <c r="C754" s="42" t="inlineStr">
        <is>
          <t>0803738081</t>
        </is>
      </c>
      <c r="D754" s="42" t="inlineStr">
        <is>
          <t>Region VIII (Eastern Visayas)</t>
        </is>
      </c>
      <c r="E754" s="42" t="inlineStr">
        <is>
          <t>Leyte</t>
        </is>
      </c>
      <c r="F754" s="42" t="inlineStr">
        <is>
          <t>Ormoc City</t>
        </is>
      </c>
      <c r="G754" s="42" t="inlineStr">
        <is>
          <t>San Antonio</t>
        </is>
      </c>
      <c r="H754" s="43" t="n">
        <v>10.965464</v>
      </c>
      <c r="I754" s="43" t="n">
        <v>124.646995</v>
      </c>
      <c r="J754" s="44" t="inlineStr">
        <is>
          <t>R</t>
        </is>
      </c>
      <c r="K754" s="42" t="inlineStr">
        <is>
          <t>Class 1-3 / Urban</t>
        </is>
      </c>
      <c r="L754" s="23" t="n">
        <v>1926</v>
      </c>
      <c r="M754" s="24" t="n">
        <v>4.24</v>
      </c>
      <c r="N754" s="23">
        <f>ROUND(L754/M754, 0)</f>
        <v/>
      </c>
      <c r="O754" s="23">
        <f>ROUND(N754*'Methodology &amp; Assumptions'!$B$8, 0)</f>
        <v/>
      </c>
      <c r="P754" s="44" t="inlineStr">
        <is>
          <t>Band n50 (1.5 GHz, 60 MHz)</t>
        </is>
      </c>
      <c r="Q754" s="38">
        <f>ROUNDUP(O754/'Methodology &amp; Assumptions'!$B$9, 0)</f>
        <v/>
      </c>
      <c r="R754" s="39" t="n">
        <v>1</v>
      </c>
      <c r="S754" s="25" t="n">
        <v>0.53</v>
      </c>
      <c r="T754" s="25" t="n">
        <v>0.26</v>
      </c>
      <c r="U754" s="42" t="inlineStr">
        <is>
          <t>Tier 1A (Direct Coloc, &lt;1 km)</t>
        </is>
      </c>
      <c r="V754" s="24" t="n">
        <v>93.7</v>
      </c>
      <c r="W754" s="24" t="n">
        <v>60.3</v>
      </c>
      <c r="X754" s="24" t="n">
        <v>58</v>
      </c>
      <c r="Y754" s="45">
        <f>ROUND((V754*'Methodology &amp; Assumptions'!$B$6)+(W754*'Methodology &amp; Assumptions'!$B$5)+(X754*'Methodology &amp; Assumptions'!$B$7), 2)</f>
        <v/>
      </c>
    </row>
    <row r="755" ht="19" customHeight="1">
      <c r="A755" s="35" t="n">
        <v>751</v>
      </c>
      <c r="B755" s="35" t="n">
        <v>1751</v>
      </c>
      <c r="C755" s="36" t="inlineStr">
        <is>
          <t>0402111013</t>
        </is>
      </c>
      <c r="D755" s="36" t="inlineStr">
        <is>
          <t>Region IV-A (CALABARZON)</t>
        </is>
      </c>
      <c r="E755" s="36" t="inlineStr">
        <is>
          <t>Cavite</t>
        </is>
      </c>
      <c r="F755" s="36" t="inlineStr">
        <is>
          <t>Kawit</t>
        </is>
      </c>
      <c r="G755" s="36" t="inlineStr">
        <is>
          <t>Batong Dalig</t>
        </is>
      </c>
      <c r="H755" s="37" t="n">
        <v>14.434945</v>
      </c>
      <c r="I755" s="37" t="n">
        <v>120.897757</v>
      </c>
      <c r="J755" s="8" t="inlineStr">
        <is>
          <t>U</t>
        </is>
      </c>
      <c r="K755" s="36" t="inlineStr">
        <is>
          <t>Class 1-3 / Urban</t>
        </is>
      </c>
      <c r="L755" s="18" t="n">
        <v>5141</v>
      </c>
      <c r="M755" s="20" t="n">
        <v>4.49</v>
      </c>
      <c r="N755" s="18">
        <f>ROUND(L755/M755, 0)</f>
        <v/>
      </c>
      <c r="O755" s="18">
        <f>ROUND(N755*'Methodology &amp; Assumptions'!$B$8, 0)</f>
        <v/>
      </c>
      <c r="P755" s="8" t="inlineStr">
        <is>
          <t>Band n50 (1.5 GHz, 60 MHz)</t>
        </is>
      </c>
      <c r="Q755" s="38">
        <f>ROUNDUP(O755/'Methodology &amp; Assumptions'!$B$9, 0)</f>
        <v/>
      </c>
      <c r="R755" s="39" t="n">
        <v>1</v>
      </c>
      <c r="S755" s="21" t="n">
        <v>1.7</v>
      </c>
      <c r="T755" s="21" t="n">
        <v>0.28</v>
      </c>
      <c r="U755" s="36" t="inlineStr">
        <is>
          <t>Tier 1B (Micro Drop, 1-3 km)</t>
        </is>
      </c>
      <c r="V755" s="20" t="n">
        <v>66.8</v>
      </c>
      <c r="W755" s="20" t="n">
        <v>100</v>
      </c>
      <c r="X755" s="20" t="n">
        <v>43</v>
      </c>
      <c r="Y755" s="40">
        <f>ROUND((V755*'Methodology &amp; Assumptions'!$B$6)+(W755*'Methodology &amp; Assumptions'!$B$5)+(X755*'Methodology &amp; Assumptions'!$B$7), 2)</f>
        <v/>
      </c>
    </row>
    <row r="756" ht="19" customHeight="1">
      <c r="A756" s="41" t="n">
        <v>752</v>
      </c>
      <c r="B756" s="41" t="n">
        <v>1752</v>
      </c>
      <c r="C756" s="42" t="inlineStr">
        <is>
          <t>0405635008</t>
        </is>
      </c>
      <c r="D756" s="42" t="inlineStr">
        <is>
          <t>Region IV-A (CALABARZON)</t>
        </is>
      </c>
      <c r="E756" s="42" t="inlineStr">
        <is>
          <t>Quezon</t>
        </is>
      </c>
      <c r="F756" s="42" t="inlineStr">
        <is>
          <t>Plaridel</t>
        </is>
      </c>
      <c r="G756" s="42" t="inlineStr">
        <is>
          <t>Central</t>
        </is>
      </c>
      <c r="H756" s="43" t="n">
        <v>13.956235</v>
      </c>
      <c r="I756" s="43" t="n">
        <v>122.019482</v>
      </c>
      <c r="J756" s="44" t="inlineStr">
        <is>
          <t>R</t>
        </is>
      </c>
      <c r="K756" s="42" t="inlineStr">
        <is>
          <t>5th</t>
        </is>
      </c>
      <c r="L756" s="23" t="n">
        <v>982</v>
      </c>
      <c r="M756" s="24" t="n">
        <v>4.59</v>
      </c>
      <c r="N756" s="23">
        <f>ROUND(L756/M756, 0)</f>
        <v/>
      </c>
      <c r="O756" s="23">
        <f>ROUND(N756*'Methodology &amp; Assumptions'!$B$8, 0)</f>
        <v/>
      </c>
      <c r="P756" s="44" t="inlineStr">
        <is>
          <t>Band n50 (1.5 GHz, 60 MHz)</t>
        </is>
      </c>
      <c r="Q756" s="38">
        <f>ROUNDUP(O756/'Methodology &amp; Assumptions'!$B$9, 0)</f>
        <v/>
      </c>
      <c r="R756" s="39" t="n">
        <v>1</v>
      </c>
      <c r="S756" s="25" t="n">
        <v>0.28</v>
      </c>
      <c r="T756" s="25" t="n">
        <v>0.2</v>
      </c>
      <c r="U756" s="42" t="inlineStr">
        <is>
          <t>Tier 1A (Direct Coloc, &lt;1 km)</t>
        </is>
      </c>
      <c r="V756" s="24" t="n">
        <v>100</v>
      </c>
      <c r="W756" s="24" t="n">
        <v>41.1</v>
      </c>
      <c r="X756" s="24" t="n">
        <v>73</v>
      </c>
      <c r="Y756" s="45">
        <f>ROUND((V756*'Methodology &amp; Assumptions'!$B$6)+(W756*'Methodology &amp; Assumptions'!$B$5)+(X756*'Methodology &amp; Assumptions'!$B$7), 2)</f>
        <v/>
      </c>
    </row>
    <row r="757" ht="19" customHeight="1">
      <c r="A757" s="35" t="n">
        <v>753</v>
      </c>
      <c r="B757" s="35" t="n">
        <v>1753</v>
      </c>
      <c r="C757" s="36" t="inlineStr">
        <is>
          <t>0402122003</t>
        </is>
      </c>
      <c r="D757" s="36" t="inlineStr">
        <is>
          <t>Region IV-A (CALABARZON)</t>
        </is>
      </c>
      <c r="E757" s="36" t="inlineStr">
        <is>
          <t>Cavite</t>
        </is>
      </c>
      <c r="F757" s="36" t="inlineStr">
        <is>
          <t>City of Trece Martires</t>
        </is>
      </c>
      <c r="G757" s="36" t="inlineStr">
        <is>
          <t>Cabuco</t>
        </is>
      </c>
      <c r="H757" s="37" t="n">
        <v>14.27917</v>
      </c>
      <c r="I757" s="37" t="n">
        <v>120.844608</v>
      </c>
      <c r="J757" s="8" t="inlineStr">
        <is>
          <t>U</t>
        </is>
      </c>
      <c r="K757" s="36" t="inlineStr">
        <is>
          <t>Class 1-3 / Urban</t>
        </is>
      </c>
      <c r="L757" s="18" t="n">
        <v>38621</v>
      </c>
      <c r="M757" s="20" t="n">
        <v>4.49</v>
      </c>
      <c r="N757" s="18">
        <f>ROUND(L757/M757, 0)</f>
        <v/>
      </c>
      <c r="O757" s="18">
        <f>ROUND(N757*'Methodology &amp; Assumptions'!$B$8, 0)</f>
        <v/>
      </c>
      <c r="P757" s="8" t="inlineStr">
        <is>
          <t>Band n50 (1.5 GHz, 60 MHz)</t>
        </is>
      </c>
      <c r="Q757" s="38">
        <f>ROUNDUP(O757/'Methodology &amp; Assumptions'!$B$9, 0)</f>
        <v/>
      </c>
      <c r="R757" s="39" t="n">
        <v>1</v>
      </c>
      <c r="S757" s="21" t="n">
        <v>1.01</v>
      </c>
      <c r="T757" s="21" t="n">
        <v>0.01</v>
      </c>
      <c r="U757" s="36" t="inlineStr">
        <is>
          <t>Tier 1B (Micro Drop, 1-3 km)</t>
        </is>
      </c>
      <c r="V757" s="20" t="n">
        <v>81.3</v>
      </c>
      <c r="W757" s="20" t="n">
        <v>98.3</v>
      </c>
      <c r="X757" s="20" t="n">
        <v>28</v>
      </c>
      <c r="Y757" s="40">
        <f>ROUND((V757*'Methodology &amp; Assumptions'!$B$6)+(W757*'Methodology &amp; Assumptions'!$B$5)+(X757*'Methodology &amp; Assumptions'!$B$7), 2)</f>
        <v/>
      </c>
    </row>
    <row r="758" ht="19" customHeight="1">
      <c r="A758" s="41" t="n">
        <v>754</v>
      </c>
      <c r="B758" s="41" t="n">
        <v>1754</v>
      </c>
      <c r="C758" s="42" t="inlineStr">
        <is>
          <t>0500506035</t>
        </is>
      </c>
      <c r="D758" s="42" t="inlineStr">
        <is>
          <t>Region V (Bicol Region)</t>
        </is>
      </c>
      <c r="E758" s="42" t="inlineStr">
        <is>
          <t>Albay</t>
        </is>
      </c>
      <c r="F758" s="42" t="inlineStr">
        <is>
          <t>City of Legazpi</t>
        </is>
      </c>
      <c r="G758" s="42" t="inlineStr">
        <is>
          <t>Bgy. 37 - Bitano</t>
        </is>
      </c>
      <c r="H758" s="43" t="n">
        <v>13.14612</v>
      </c>
      <c r="I758" s="43" t="n">
        <v>123.74547</v>
      </c>
      <c r="J758" s="44" t="inlineStr">
        <is>
          <t>U</t>
        </is>
      </c>
      <c r="K758" s="42" t="inlineStr">
        <is>
          <t>Class 1-3 / Urban</t>
        </is>
      </c>
      <c r="L758" s="23" t="n">
        <v>7799</v>
      </c>
      <c r="M758" s="24" t="n">
        <v>4.67</v>
      </c>
      <c r="N758" s="23">
        <f>ROUND(L758/M758, 0)</f>
        <v/>
      </c>
      <c r="O758" s="23">
        <f>ROUND(N758*'Methodology &amp; Assumptions'!$B$8, 0)</f>
        <v/>
      </c>
      <c r="P758" s="44" t="inlineStr">
        <is>
          <t>Band n50 (1.5 GHz, 60 MHz)</t>
        </is>
      </c>
      <c r="Q758" s="38">
        <f>ROUNDUP(O758/'Methodology &amp; Assumptions'!$B$9, 0)</f>
        <v/>
      </c>
      <c r="R758" s="39" t="n">
        <v>1</v>
      </c>
      <c r="S758" s="25" t="n">
        <v>1.09</v>
      </c>
      <c r="T758" s="25" t="n">
        <v>0.23</v>
      </c>
      <c r="U758" s="42" t="inlineStr">
        <is>
          <t>Tier 1B (Micro Drop, 1-3 km)</t>
        </is>
      </c>
      <c r="V758" s="24" t="n">
        <v>79.59999999999999</v>
      </c>
      <c r="W758" s="24" t="n">
        <v>100</v>
      </c>
      <c r="X758" s="24" t="n">
        <v>28</v>
      </c>
      <c r="Y758" s="45">
        <f>ROUND((V758*'Methodology &amp; Assumptions'!$B$6)+(W758*'Methodology &amp; Assumptions'!$B$5)+(X758*'Methodology &amp; Assumptions'!$B$7), 2)</f>
        <v/>
      </c>
    </row>
    <row r="759" ht="19" customHeight="1">
      <c r="A759" s="35" t="n">
        <v>755</v>
      </c>
      <c r="B759" s="35" t="n">
        <v>1755</v>
      </c>
      <c r="C759" s="36" t="inlineStr">
        <is>
          <t>0402116010</t>
        </is>
      </c>
      <c r="D759" s="36" t="inlineStr">
        <is>
          <t>Region IV-A (CALABARZON)</t>
        </is>
      </c>
      <c r="E759" s="36" t="inlineStr">
        <is>
          <t>Cavite</t>
        </is>
      </c>
      <c r="F759" s="36" t="inlineStr">
        <is>
          <t>Noveleta</t>
        </is>
      </c>
      <c r="G759" s="36" t="inlineStr">
        <is>
          <t>Salcedo II</t>
        </is>
      </c>
      <c r="H759" s="37" t="n">
        <v>14.425691</v>
      </c>
      <c r="I759" s="37" t="n">
        <v>120.873745</v>
      </c>
      <c r="J759" s="8" t="inlineStr">
        <is>
          <t>U</t>
        </is>
      </c>
      <c r="K759" s="36" t="inlineStr">
        <is>
          <t>Class 1-3 / Urban</t>
        </is>
      </c>
      <c r="L759" s="18" t="n">
        <v>6414</v>
      </c>
      <c r="M759" s="20" t="n">
        <v>4.49</v>
      </c>
      <c r="N759" s="18">
        <f>ROUND(L759/M759, 0)</f>
        <v/>
      </c>
      <c r="O759" s="18">
        <f>ROUND(N759*'Methodology &amp; Assumptions'!$B$8, 0)</f>
        <v/>
      </c>
      <c r="P759" s="8" t="inlineStr">
        <is>
          <t>Band n50 (1.5 GHz, 60 MHz)</t>
        </is>
      </c>
      <c r="Q759" s="38">
        <f>ROUNDUP(O759/'Methodology &amp; Assumptions'!$B$9, 0)</f>
        <v/>
      </c>
      <c r="R759" s="39" t="n">
        <v>1</v>
      </c>
      <c r="S759" s="21" t="n">
        <v>1.09</v>
      </c>
      <c r="T759" s="21" t="n">
        <v>1.06</v>
      </c>
      <c r="U759" s="36" t="inlineStr">
        <is>
          <t>Tier 1B (Micro Drop, 1-3 km)</t>
        </is>
      </c>
      <c r="V759" s="20" t="n">
        <v>79.59999999999999</v>
      </c>
      <c r="W759" s="20" t="n">
        <v>100</v>
      </c>
      <c r="X759" s="20" t="n">
        <v>28</v>
      </c>
      <c r="Y759" s="40">
        <f>ROUND((V759*'Methodology &amp; Assumptions'!$B$6)+(W759*'Methodology &amp; Assumptions'!$B$5)+(X759*'Methodology &amp; Assumptions'!$B$7), 2)</f>
        <v/>
      </c>
    </row>
    <row r="760" ht="19" customHeight="1">
      <c r="A760" s="41" t="n">
        <v>756</v>
      </c>
      <c r="B760" s="41" t="n">
        <v>1756</v>
      </c>
      <c r="C760" s="42" t="inlineStr">
        <is>
          <t>0301414002</t>
        </is>
      </c>
      <c r="D760" s="42" t="inlineStr">
        <is>
          <t>Region III (Central Luzon)</t>
        </is>
      </c>
      <c r="E760" s="42" t="inlineStr">
        <is>
          <t>Bulacan</t>
        </is>
      </c>
      <c r="F760" s="42" t="inlineStr">
        <is>
          <t>Obando</t>
        </is>
      </c>
      <c r="G760" s="42" t="inlineStr">
        <is>
          <t>Catanghalan</t>
        </is>
      </c>
      <c r="H760" s="43" t="n">
        <v>14.70638</v>
      </c>
      <c r="I760" s="43" t="n">
        <v>120.94103</v>
      </c>
      <c r="J760" s="44" t="inlineStr">
        <is>
          <t>U</t>
        </is>
      </c>
      <c r="K760" s="42" t="inlineStr">
        <is>
          <t>Class 1-3 / Urban</t>
        </is>
      </c>
      <c r="L760" s="23" t="n">
        <v>3238</v>
      </c>
      <c r="M760" s="24" t="n">
        <v>4.1</v>
      </c>
      <c r="N760" s="23">
        <f>ROUND(L760/M760, 0)</f>
        <v/>
      </c>
      <c r="O760" s="23">
        <f>ROUND(N760*'Methodology &amp; Assumptions'!$B$8, 0)</f>
        <v/>
      </c>
      <c r="P760" s="44" t="inlineStr">
        <is>
          <t>Band n50 (1.5 GHz, 60 MHz)</t>
        </is>
      </c>
      <c r="Q760" s="38">
        <f>ROUNDUP(O760/'Methodology &amp; Assumptions'!$B$9, 0)</f>
        <v/>
      </c>
      <c r="R760" s="39" t="n">
        <v>1</v>
      </c>
      <c r="S760" s="25" t="n">
        <v>0.58</v>
      </c>
      <c r="T760" s="25" t="n">
        <v>1.62</v>
      </c>
      <c r="U760" s="42" t="inlineStr">
        <is>
          <t>Tier 1A (Direct Coloc, &lt;1 km)</t>
        </is>
      </c>
      <c r="V760" s="24" t="n">
        <v>92.40000000000001</v>
      </c>
      <c r="W760" s="24" t="n">
        <v>87.2</v>
      </c>
      <c r="X760" s="24" t="n">
        <v>28</v>
      </c>
      <c r="Y760" s="45">
        <f>ROUND((V760*'Methodology &amp; Assumptions'!$B$6)+(W760*'Methodology &amp; Assumptions'!$B$5)+(X760*'Methodology &amp; Assumptions'!$B$7), 2)</f>
        <v/>
      </c>
    </row>
    <row r="761" ht="19" customHeight="1">
      <c r="A761" s="35" t="n">
        <v>757</v>
      </c>
      <c r="B761" s="35" t="n">
        <v>1757</v>
      </c>
      <c r="C761" s="36" t="inlineStr">
        <is>
          <t>0105510021</t>
        </is>
      </c>
      <c r="D761" s="36" t="inlineStr">
        <is>
          <t>Region I (Ilocos Region)</t>
        </is>
      </c>
      <c r="E761" s="36" t="inlineStr">
        <is>
          <t>Pangasinan</t>
        </is>
      </c>
      <c r="F761" s="36" t="inlineStr">
        <is>
          <t>Bautista</t>
        </is>
      </c>
      <c r="G761" s="36" t="inlineStr">
        <is>
          <t>Baluyot</t>
        </is>
      </c>
      <c r="H761" s="37" t="n">
        <v>15.79506</v>
      </c>
      <c r="I761" s="37" t="n">
        <v>120.4619</v>
      </c>
      <c r="J761" s="8" t="inlineStr">
        <is>
          <t>R</t>
        </is>
      </c>
      <c r="K761" s="36" t="inlineStr">
        <is>
          <t>3rd</t>
        </is>
      </c>
      <c r="L761" s="18" t="n">
        <v>3705</v>
      </c>
      <c r="M761" s="20" t="n">
        <v>4.69</v>
      </c>
      <c r="N761" s="18">
        <f>ROUND(L761/M761, 0)</f>
        <v/>
      </c>
      <c r="O761" s="18">
        <f>ROUND(N761*'Methodology &amp; Assumptions'!$B$8, 0)</f>
        <v/>
      </c>
      <c r="P761" s="8" t="inlineStr">
        <is>
          <t>Band n50 (1.5 GHz, 60 MHz)</t>
        </is>
      </c>
      <c r="Q761" s="38">
        <f>ROUNDUP(O761/'Methodology &amp; Assumptions'!$B$9, 0)</f>
        <v/>
      </c>
      <c r="R761" s="39" t="n">
        <v>1</v>
      </c>
      <c r="S761" s="21" t="n">
        <v>2.48</v>
      </c>
      <c r="T761" s="21" t="n">
        <v>0.6</v>
      </c>
      <c r="U761" s="36" t="inlineStr">
        <is>
          <t>Tier 1B (Micro Drop, 1-3 km)</t>
        </is>
      </c>
      <c r="V761" s="20" t="n">
        <v>53.8</v>
      </c>
      <c r="W761" s="20" t="n">
        <v>87.2</v>
      </c>
      <c r="X761" s="20" t="n">
        <v>73</v>
      </c>
      <c r="Y761" s="40">
        <f>ROUND((V761*'Methodology &amp; Assumptions'!$B$6)+(W761*'Methodology &amp; Assumptions'!$B$5)+(X761*'Methodology &amp; Assumptions'!$B$7), 2)</f>
        <v/>
      </c>
    </row>
    <row r="762" ht="19" customHeight="1">
      <c r="A762" s="41" t="n">
        <v>758</v>
      </c>
      <c r="B762" s="41" t="n">
        <v>1758</v>
      </c>
      <c r="C762" s="42" t="inlineStr">
        <is>
          <t>0402104008</t>
        </is>
      </c>
      <c r="D762" s="42" t="inlineStr">
        <is>
          <t>Region IV-A (CALABARZON)</t>
        </is>
      </c>
      <c r="E762" s="42" t="inlineStr">
        <is>
          <t>Cavite</t>
        </is>
      </c>
      <c r="F762" s="42" t="inlineStr">
        <is>
          <t>Carmona</t>
        </is>
      </c>
      <c r="G762" s="42" t="inlineStr">
        <is>
          <t>Lantic</t>
        </is>
      </c>
      <c r="H762" s="43" t="n">
        <v>14.298415</v>
      </c>
      <c r="I762" s="43" t="n">
        <v>121.049651</v>
      </c>
      <c r="J762" s="44" t="inlineStr">
        <is>
          <t>U</t>
        </is>
      </c>
      <c r="K762" s="42" t="inlineStr">
        <is>
          <t>Class 1-3 / Urban</t>
        </is>
      </c>
      <c r="L762" s="23" t="n">
        <v>24721</v>
      </c>
      <c r="M762" s="24" t="n">
        <v>4.49</v>
      </c>
      <c r="N762" s="23">
        <f>ROUND(L762/M762, 0)</f>
        <v/>
      </c>
      <c r="O762" s="23">
        <f>ROUND(N762*'Methodology &amp; Assumptions'!$B$8, 0)</f>
        <v/>
      </c>
      <c r="P762" s="44" t="inlineStr">
        <is>
          <t>Band n50 (1.5 GHz, 60 MHz)</t>
        </is>
      </c>
      <c r="Q762" s="38">
        <f>ROUNDUP(O762/'Methodology &amp; Assumptions'!$B$9, 0)</f>
        <v/>
      </c>
      <c r="R762" s="39" t="n">
        <v>1</v>
      </c>
      <c r="S762" s="25" t="n">
        <v>1.09</v>
      </c>
      <c r="T762" s="25" t="n">
        <v>1.39</v>
      </c>
      <c r="U762" s="42" t="inlineStr">
        <is>
          <t>Tier 1B (Micro Drop, 1-3 km)</t>
        </is>
      </c>
      <c r="V762" s="24" t="n">
        <v>79.59999999999999</v>
      </c>
      <c r="W762" s="24" t="n">
        <v>100</v>
      </c>
      <c r="X762" s="24" t="n">
        <v>28</v>
      </c>
      <c r="Y762" s="45">
        <f>ROUND((V762*'Methodology &amp; Assumptions'!$B$6)+(W762*'Methodology &amp; Assumptions'!$B$5)+(X762*'Methodology &amp; Assumptions'!$B$7), 2)</f>
        <v/>
      </c>
    </row>
    <row r="763" ht="19" customHeight="1">
      <c r="A763" s="35" t="n">
        <v>759</v>
      </c>
      <c r="B763" s="35" t="n">
        <v>1759</v>
      </c>
      <c r="C763" s="36" t="inlineStr">
        <is>
          <t>0403428001</t>
        </is>
      </c>
      <c r="D763" s="36" t="inlineStr">
        <is>
          <t>Region IV-A (CALABARZON)</t>
        </is>
      </c>
      <c r="E763" s="36" t="inlineStr">
        <is>
          <t>Laguna</t>
        </is>
      </c>
      <c r="F763" s="36" t="inlineStr">
        <is>
          <t>City of Santa Rosa</t>
        </is>
      </c>
      <c r="G763" s="36" t="inlineStr">
        <is>
          <t>Aplaya</t>
        </is>
      </c>
      <c r="H763" s="37" t="n">
        <v>14.315083</v>
      </c>
      <c r="I763" s="37" t="n">
        <v>121.122685</v>
      </c>
      <c r="J763" s="8" t="inlineStr">
        <is>
          <t>U</t>
        </is>
      </c>
      <c r="K763" s="36" t="inlineStr">
        <is>
          <t>Class 1-3 / Urban</t>
        </is>
      </c>
      <c r="L763" s="18" t="n">
        <v>15858</v>
      </c>
      <c r="M763" s="20" t="n">
        <v>4.2</v>
      </c>
      <c r="N763" s="18">
        <f>ROUND(L763/M763, 0)</f>
        <v/>
      </c>
      <c r="O763" s="18">
        <f>ROUND(N763*'Methodology &amp; Assumptions'!$B$8, 0)</f>
        <v/>
      </c>
      <c r="P763" s="8" t="inlineStr">
        <is>
          <t>Band n50 (1.5 GHz, 60 MHz)</t>
        </is>
      </c>
      <c r="Q763" s="38">
        <f>ROUNDUP(O763/'Methodology &amp; Assumptions'!$B$9, 0)</f>
        <v/>
      </c>
      <c r="R763" s="39" t="n">
        <v>1</v>
      </c>
      <c r="S763" s="21" t="n">
        <v>0.68</v>
      </c>
      <c r="T763" s="21" t="n">
        <v>2.4</v>
      </c>
      <c r="U763" s="36" t="inlineStr">
        <is>
          <t>Tier 1A (Direct Coloc, &lt;1 km)</t>
        </is>
      </c>
      <c r="V763" s="20" t="n">
        <v>79.59999999999999</v>
      </c>
      <c r="W763" s="20" t="n">
        <v>100</v>
      </c>
      <c r="X763" s="20" t="n">
        <v>28</v>
      </c>
      <c r="Y763" s="40">
        <f>ROUND((V763*'Methodology &amp; Assumptions'!$B$6)+(W763*'Methodology &amp; Assumptions'!$B$5)+(X763*'Methodology &amp; Assumptions'!$B$7), 2)</f>
        <v/>
      </c>
    </row>
    <row r="764" ht="19" customHeight="1">
      <c r="A764" s="41" t="n">
        <v>760</v>
      </c>
      <c r="B764" s="41" t="n">
        <v>1760</v>
      </c>
      <c r="C764" s="42" t="inlineStr">
        <is>
          <t>0702223044</t>
        </is>
      </c>
      <c r="D764" s="42" t="inlineStr">
        <is>
          <t>Region VII (Central Visayas)</t>
        </is>
      </c>
      <c r="E764" s="42" t="inlineStr">
        <is>
          <t>Cebu</t>
        </is>
      </c>
      <c r="F764" s="42" t="inlineStr">
        <is>
          <t>Danao City</t>
        </is>
      </c>
      <c r="G764" s="42" t="inlineStr">
        <is>
          <t>Tuburan Sur</t>
        </is>
      </c>
      <c r="H764" s="43" t="n">
        <v>10.515631</v>
      </c>
      <c r="I764" s="43" t="n">
        <v>124.018633</v>
      </c>
      <c r="J764" s="44" t="inlineStr">
        <is>
          <t>U</t>
        </is>
      </c>
      <c r="K764" s="42" t="inlineStr">
        <is>
          <t>Class 1-3 / Urban</t>
        </is>
      </c>
      <c r="L764" s="23" t="n">
        <v>7982</v>
      </c>
      <c r="M764" s="24" t="n">
        <v>4.42</v>
      </c>
      <c r="N764" s="23">
        <f>ROUND(L764/M764, 0)</f>
        <v/>
      </c>
      <c r="O764" s="23">
        <f>ROUND(N764*'Methodology &amp; Assumptions'!$B$8, 0)</f>
        <v/>
      </c>
      <c r="P764" s="44" t="inlineStr">
        <is>
          <t>Band n50 (1.5 GHz, 60 MHz)</t>
        </is>
      </c>
      <c r="Q764" s="38">
        <f>ROUNDUP(O764/'Methodology &amp; Assumptions'!$B$9, 0)</f>
        <v/>
      </c>
      <c r="R764" s="39" t="n">
        <v>1</v>
      </c>
      <c r="S764" s="25" t="n">
        <v>1.09</v>
      </c>
      <c r="T764" s="25" t="n">
        <v>0.7</v>
      </c>
      <c r="U764" s="42" t="inlineStr">
        <is>
          <t>Tier 1B (Micro Drop, 1-3 km)</t>
        </is>
      </c>
      <c r="V764" s="24" t="n">
        <v>79.59999999999999</v>
      </c>
      <c r="W764" s="24" t="n">
        <v>100</v>
      </c>
      <c r="X764" s="24" t="n">
        <v>28</v>
      </c>
      <c r="Y764" s="45">
        <f>ROUND((V764*'Methodology &amp; Assumptions'!$B$6)+(W764*'Methodology &amp; Assumptions'!$B$5)+(X764*'Methodology &amp; Assumptions'!$B$7), 2)</f>
        <v/>
      </c>
    </row>
    <row r="765" ht="19" customHeight="1">
      <c r="A765" s="35" t="n">
        <v>761</v>
      </c>
      <c r="B765" s="35" t="n">
        <v>1761</v>
      </c>
      <c r="C765" s="36" t="inlineStr">
        <is>
          <t>0403405028</t>
        </is>
      </c>
      <c r="D765" s="36" t="inlineStr">
        <is>
          <t>Region IV-A (CALABARZON)</t>
        </is>
      </c>
      <c r="E765" s="36" t="inlineStr">
        <is>
          <t>Laguna</t>
        </is>
      </c>
      <c r="F765" s="36" t="inlineStr">
        <is>
          <t>City of Calamba</t>
        </is>
      </c>
      <c r="G765" s="36" t="inlineStr">
        <is>
          <t>Mapagong</t>
        </is>
      </c>
      <c r="H765" s="37" t="n">
        <v>14.217622</v>
      </c>
      <c r="I765" s="37" t="n">
        <v>121.130297</v>
      </c>
      <c r="J765" s="8" t="inlineStr">
        <is>
          <t>U</t>
        </is>
      </c>
      <c r="K765" s="36" t="inlineStr">
        <is>
          <t>Class 1-3 / Urban</t>
        </is>
      </c>
      <c r="L765" s="18" t="n">
        <v>7254</v>
      </c>
      <c r="M765" s="20" t="n">
        <v>4.2</v>
      </c>
      <c r="N765" s="18">
        <f>ROUND(L765/M765, 0)</f>
        <v/>
      </c>
      <c r="O765" s="18">
        <f>ROUND(N765*'Methodology &amp; Assumptions'!$B$8, 0)</f>
        <v/>
      </c>
      <c r="P765" s="8" t="inlineStr">
        <is>
          <t>Band n50 (1.5 GHz, 60 MHz)</t>
        </is>
      </c>
      <c r="Q765" s="38">
        <f>ROUNDUP(O765/'Methodology &amp; Assumptions'!$B$9, 0)</f>
        <v/>
      </c>
      <c r="R765" s="39" t="n">
        <v>1</v>
      </c>
      <c r="S765" s="21" t="n">
        <v>1.09</v>
      </c>
      <c r="T765" s="21" t="n">
        <v>0.73</v>
      </c>
      <c r="U765" s="36" t="inlineStr">
        <is>
          <t>Tier 1B (Micro Drop, 1-3 km)</t>
        </is>
      </c>
      <c r="V765" s="20" t="n">
        <v>79.59999999999999</v>
      </c>
      <c r="W765" s="20" t="n">
        <v>100</v>
      </c>
      <c r="X765" s="20" t="n">
        <v>28</v>
      </c>
      <c r="Y765" s="40">
        <f>ROUND((V765*'Methodology &amp; Assumptions'!$B$6)+(W765*'Methodology &amp; Assumptions'!$B$5)+(X765*'Methodology &amp; Assumptions'!$B$7), 2)</f>
        <v/>
      </c>
    </row>
    <row r="766" ht="19" customHeight="1">
      <c r="A766" s="41" t="n">
        <v>762</v>
      </c>
      <c r="B766" s="41" t="n">
        <v>1762</v>
      </c>
      <c r="C766" s="42" t="inlineStr">
        <is>
          <t>0103320001</t>
        </is>
      </c>
      <c r="D766" s="42" t="inlineStr">
        <is>
          <t>Region I (Ilocos Region)</t>
        </is>
      </c>
      <c r="E766" s="42" t="inlineStr">
        <is>
          <t>La Union</t>
        </is>
      </c>
      <c r="F766" s="42" t="inlineStr">
        <is>
          <t>Tubao</t>
        </is>
      </c>
      <c r="G766" s="42" t="inlineStr">
        <is>
          <t>Amallapay</t>
        </is>
      </c>
      <c r="H766" s="43" t="n">
        <v>16.3278</v>
      </c>
      <c r="I766" s="43" t="n">
        <v>120.4083</v>
      </c>
      <c r="J766" s="44" t="inlineStr">
        <is>
          <t>R</t>
        </is>
      </c>
      <c r="K766" s="42" t="inlineStr">
        <is>
          <t>2nd</t>
        </is>
      </c>
      <c r="L766" s="23" t="n">
        <v>2025</v>
      </c>
      <c r="M766" s="24" t="n">
        <v>4.46</v>
      </c>
      <c r="N766" s="23">
        <f>ROUND(L766/M766, 0)</f>
        <v/>
      </c>
      <c r="O766" s="23">
        <f>ROUND(N766*'Methodology &amp; Assumptions'!$B$8, 0)</f>
        <v/>
      </c>
      <c r="P766" s="44" t="inlineStr">
        <is>
          <t>Band n50 (1.5 GHz, 60 MHz)</t>
        </is>
      </c>
      <c r="Q766" s="38">
        <f>ROUNDUP(O766/'Methodology &amp; Assumptions'!$B$9, 0)</f>
        <v/>
      </c>
      <c r="R766" s="39" t="n">
        <v>1</v>
      </c>
      <c r="S766" s="25" t="n">
        <v>0.54</v>
      </c>
      <c r="T766" s="25" t="n">
        <v>0.67</v>
      </c>
      <c r="U766" s="42" t="inlineStr">
        <is>
          <t>Tier 1A (Direct Coloc, &lt;1 km)</t>
        </is>
      </c>
      <c r="V766" s="24" t="n">
        <v>93.59999999999999</v>
      </c>
      <c r="W766" s="24" t="n">
        <v>60.3</v>
      </c>
      <c r="X766" s="24" t="n">
        <v>58</v>
      </c>
      <c r="Y766" s="45">
        <f>ROUND((V766*'Methodology &amp; Assumptions'!$B$6)+(W766*'Methodology &amp; Assumptions'!$B$5)+(X766*'Methodology &amp; Assumptions'!$B$7), 2)</f>
        <v/>
      </c>
    </row>
    <row r="767" ht="19" customHeight="1">
      <c r="A767" s="35" t="n">
        <v>763</v>
      </c>
      <c r="B767" s="35" t="n">
        <v>1763</v>
      </c>
      <c r="C767" s="36" t="inlineStr">
        <is>
          <t>0501709002</t>
        </is>
      </c>
      <c r="D767" s="36" t="inlineStr">
        <is>
          <t>Region V (Bicol Region)</t>
        </is>
      </c>
      <c r="E767" s="36" t="inlineStr">
        <is>
          <t>Camarines Sur</t>
        </is>
      </c>
      <c r="F767" s="36" t="inlineStr">
        <is>
          <t>Camaligan</t>
        </is>
      </c>
      <c r="G767" s="36" t="inlineStr">
        <is>
          <t>Marupit</t>
        </is>
      </c>
      <c r="H767" s="37" t="n">
        <v>13.62774</v>
      </c>
      <c r="I767" s="37" t="n">
        <v>123.16658</v>
      </c>
      <c r="J767" s="8" t="inlineStr">
        <is>
          <t>U</t>
        </is>
      </c>
      <c r="K767" s="36" t="inlineStr">
        <is>
          <t>4th</t>
        </is>
      </c>
      <c r="L767" s="18" t="n">
        <v>5037</v>
      </c>
      <c r="M767" s="20" t="n">
        <v>4.97</v>
      </c>
      <c r="N767" s="18">
        <f>ROUND(L767/M767, 0)</f>
        <v/>
      </c>
      <c r="O767" s="18">
        <f>ROUND(N767*'Methodology &amp; Assumptions'!$B$8, 0)</f>
        <v/>
      </c>
      <c r="P767" s="8" t="inlineStr">
        <is>
          <t>Band n50 (1.5 GHz, 60 MHz)</t>
        </is>
      </c>
      <c r="Q767" s="38">
        <f>ROUNDUP(O767/'Methodology &amp; Assumptions'!$B$9, 0)</f>
        <v/>
      </c>
      <c r="R767" s="39" t="n">
        <v>1</v>
      </c>
      <c r="S767" s="21" t="n">
        <v>1.05</v>
      </c>
      <c r="T767" s="21" t="n">
        <v>2.32</v>
      </c>
      <c r="U767" s="36" t="inlineStr">
        <is>
          <t>Tier 1B (Micro Drop, 1-3 km)</t>
        </is>
      </c>
      <c r="V767" s="20" t="n">
        <v>70.59999999999999</v>
      </c>
      <c r="W767" s="20" t="n">
        <v>100</v>
      </c>
      <c r="X767" s="20" t="n">
        <v>38.5</v>
      </c>
      <c r="Y767" s="40">
        <f>ROUND((V767*'Methodology &amp; Assumptions'!$B$6)+(W767*'Methodology &amp; Assumptions'!$B$5)+(X767*'Methodology &amp; Assumptions'!$B$7), 2)</f>
        <v/>
      </c>
    </row>
    <row r="768" ht="19" customHeight="1">
      <c r="A768" s="41" t="n">
        <v>764</v>
      </c>
      <c r="B768" s="41" t="n">
        <v>1764</v>
      </c>
      <c r="C768" s="42" t="inlineStr">
        <is>
          <t>1003503019</t>
        </is>
      </c>
      <c r="D768" s="42" t="inlineStr">
        <is>
          <t>Region X (Northern Mindanao)</t>
        </is>
      </c>
      <c r="E768" s="42" t="inlineStr">
        <is>
          <t>Lanao del Norte</t>
        </is>
      </c>
      <c r="F768" s="42" t="inlineStr">
        <is>
          <t>Baroy</t>
        </is>
      </c>
      <c r="G768" s="42" t="inlineStr">
        <is>
          <t>Sagadan</t>
        </is>
      </c>
      <c r="H768" s="43" t="n">
        <v>8.0373</v>
      </c>
      <c r="I768" s="43" t="n">
        <v>123.7839</v>
      </c>
      <c r="J768" s="44" t="inlineStr">
        <is>
          <t>R</t>
        </is>
      </c>
      <c r="K768" s="42" t="inlineStr">
        <is>
          <t>4th</t>
        </is>
      </c>
      <c r="L768" s="23" t="n">
        <v>2162</v>
      </c>
      <c r="M768" s="24" t="n">
        <v>4.03</v>
      </c>
      <c r="N768" s="23">
        <f>ROUND(L768/M768, 0)</f>
        <v/>
      </c>
      <c r="O768" s="23">
        <f>ROUND(N768*'Methodology &amp; Assumptions'!$B$8, 0)</f>
        <v/>
      </c>
      <c r="P768" s="44" t="inlineStr">
        <is>
          <t>Band n50 (1.5 GHz, 60 MHz)</t>
        </is>
      </c>
      <c r="Q768" s="38">
        <f>ROUNDUP(O768/'Methodology &amp; Assumptions'!$B$9, 0)</f>
        <v/>
      </c>
      <c r="R768" s="39" t="n">
        <v>1</v>
      </c>
      <c r="S768" s="25" t="n">
        <v>1.79</v>
      </c>
      <c r="T768" s="25" t="n">
        <v>0.65</v>
      </c>
      <c r="U768" s="42" t="inlineStr">
        <is>
          <t>Tier 1B (Micro Drop, 1-3 km)</t>
        </is>
      </c>
      <c r="V768" s="24" t="n">
        <v>65</v>
      </c>
      <c r="W768" s="24" t="n">
        <v>66.90000000000001</v>
      </c>
      <c r="X768" s="24" t="n">
        <v>83.5</v>
      </c>
      <c r="Y768" s="45">
        <f>ROUND((V768*'Methodology &amp; Assumptions'!$B$6)+(W768*'Methodology &amp; Assumptions'!$B$5)+(X768*'Methodology &amp; Assumptions'!$B$7), 2)</f>
        <v/>
      </c>
    </row>
    <row r="769" ht="19" customHeight="1">
      <c r="A769" s="35" t="n">
        <v>765</v>
      </c>
      <c r="B769" s="35" t="n">
        <v>1765</v>
      </c>
      <c r="C769" s="36" t="inlineStr">
        <is>
          <t>0601905012</t>
        </is>
      </c>
      <c r="D769" s="36" t="inlineStr">
        <is>
          <t>Region VI (Western Visayas)</t>
        </is>
      </c>
      <c r="E769" s="36" t="inlineStr">
        <is>
          <t>Capiz</t>
        </is>
      </c>
      <c r="F769" s="36" t="inlineStr">
        <is>
          <t>Ivisan</t>
        </is>
      </c>
      <c r="G769" s="36" t="inlineStr">
        <is>
          <t>Ondoy</t>
        </is>
      </c>
      <c r="H769" s="37" t="n">
        <v>11.510066</v>
      </c>
      <c r="I769" s="37" t="n">
        <v>122.696755</v>
      </c>
      <c r="J769" s="8" t="inlineStr">
        <is>
          <t>R</t>
        </is>
      </c>
      <c r="K769" s="36" t="inlineStr">
        <is>
          <t>3rd</t>
        </is>
      </c>
      <c r="L769" s="18" t="n">
        <v>2219</v>
      </c>
      <c r="M769" s="20" t="n">
        <v>4.31</v>
      </c>
      <c r="N769" s="18">
        <f>ROUND(L769/M769, 0)</f>
        <v/>
      </c>
      <c r="O769" s="18">
        <f>ROUND(N769*'Methodology &amp; Assumptions'!$B$8, 0)</f>
        <v/>
      </c>
      <c r="P769" s="8" t="inlineStr">
        <is>
          <t>Band n50 (1.5 GHz, 60 MHz)</t>
        </is>
      </c>
      <c r="Q769" s="38">
        <f>ROUNDUP(O769/'Methodology &amp; Assumptions'!$B$9, 0)</f>
        <v/>
      </c>
      <c r="R769" s="39" t="n">
        <v>1</v>
      </c>
      <c r="S769" s="21" t="n">
        <v>1.25</v>
      </c>
      <c r="T769" s="21" t="n">
        <v>0.17</v>
      </c>
      <c r="U769" s="36" t="inlineStr">
        <is>
          <t>Tier 1B (Micro Drop, 1-3 km)</t>
        </is>
      </c>
      <c r="V769" s="20" t="n">
        <v>75.90000000000001</v>
      </c>
      <c r="W769" s="20" t="n">
        <v>65.09999999999999</v>
      </c>
      <c r="X769" s="20" t="n">
        <v>73</v>
      </c>
      <c r="Y769" s="40">
        <f>ROUND((V769*'Methodology &amp; Assumptions'!$B$6)+(W769*'Methodology &amp; Assumptions'!$B$5)+(X769*'Methodology &amp; Assumptions'!$B$7), 2)</f>
        <v/>
      </c>
    </row>
    <row r="770" ht="19" customHeight="1">
      <c r="A770" s="41" t="n">
        <v>766</v>
      </c>
      <c r="B770" s="41" t="n">
        <v>1766</v>
      </c>
      <c r="C770" s="42" t="inlineStr">
        <is>
          <t>0604524011</t>
        </is>
      </c>
      <c r="D770" s="42" t="inlineStr">
        <is>
          <t>Region VI (Western Visayas)</t>
        </is>
      </c>
      <c r="E770" s="42" t="inlineStr">
        <is>
          <t>Negros Occidental</t>
        </is>
      </c>
      <c r="F770" s="42" t="inlineStr">
        <is>
          <t>City of San Carlos</t>
        </is>
      </c>
      <c r="G770" s="42" t="inlineStr">
        <is>
          <t>Barangay II</t>
        </is>
      </c>
      <c r="H770" s="43" t="n">
        <v>10.483305</v>
      </c>
      <c r="I770" s="43" t="n">
        <v>123.41161</v>
      </c>
      <c r="J770" s="44" t="inlineStr">
        <is>
          <t>U</t>
        </is>
      </c>
      <c r="K770" s="42" t="inlineStr">
        <is>
          <t>Class 1-3 / Urban</t>
        </is>
      </c>
      <c r="L770" s="23" t="n">
        <v>6488</v>
      </c>
      <c r="M770" s="24" t="n">
        <v>4.33</v>
      </c>
      <c r="N770" s="23">
        <f>ROUND(L770/M770, 0)</f>
        <v/>
      </c>
      <c r="O770" s="23">
        <f>ROUND(N770*'Methodology &amp; Assumptions'!$B$8, 0)</f>
        <v/>
      </c>
      <c r="P770" s="44" t="inlineStr">
        <is>
          <t>Band n50 (1.5 GHz, 60 MHz)</t>
        </is>
      </c>
      <c r="Q770" s="38">
        <f>ROUNDUP(O770/'Methodology &amp; Assumptions'!$B$9, 0)</f>
        <v/>
      </c>
      <c r="R770" s="39" t="n">
        <v>1</v>
      </c>
      <c r="S770" s="25" t="n">
        <v>1.09</v>
      </c>
      <c r="T770" s="25" t="n">
        <v>0.13</v>
      </c>
      <c r="U770" s="42" t="inlineStr">
        <is>
          <t>Tier 1B (Micro Drop, 1-3 km)</t>
        </is>
      </c>
      <c r="V770" s="24" t="n">
        <v>79.5</v>
      </c>
      <c r="W770" s="24" t="n">
        <v>100</v>
      </c>
      <c r="X770" s="24" t="n">
        <v>28</v>
      </c>
      <c r="Y770" s="45">
        <f>ROUND((V770*'Methodology &amp; Assumptions'!$B$6)+(W770*'Methodology &amp; Assumptions'!$B$5)+(X770*'Methodology &amp; Assumptions'!$B$7), 2)</f>
        <v/>
      </c>
    </row>
    <row r="771" ht="19" customHeight="1">
      <c r="A771" s="35" t="n">
        <v>767</v>
      </c>
      <c r="B771" s="35" t="n">
        <v>1767</v>
      </c>
      <c r="C771" s="36" t="inlineStr">
        <is>
          <t>0501731004</t>
        </is>
      </c>
      <c r="D771" s="36" t="inlineStr">
        <is>
          <t>Region V (Bicol Region)</t>
        </is>
      </c>
      <c r="E771" s="36" t="inlineStr">
        <is>
          <t>Camarines Sur</t>
        </is>
      </c>
      <c r="F771" s="36" t="inlineStr">
        <is>
          <t>Sagñay</t>
        </is>
      </c>
      <c r="G771" s="36" t="inlineStr">
        <is>
          <t>Buracan</t>
        </is>
      </c>
      <c r="H771" s="37" t="n">
        <v>13.600961</v>
      </c>
      <c r="I771" s="37" t="n">
        <v>123.510733</v>
      </c>
      <c r="J771" s="8" t="inlineStr">
        <is>
          <t>R</t>
        </is>
      </c>
      <c r="K771" s="36" t="inlineStr">
        <is>
          <t>2nd</t>
        </is>
      </c>
      <c r="L771" s="18" t="n">
        <v>3151</v>
      </c>
      <c r="M771" s="20" t="n">
        <v>4.94</v>
      </c>
      <c r="N771" s="18">
        <f>ROUND(L771/M771, 0)</f>
        <v/>
      </c>
      <c r="O771" s="18">
        <f>ROUND(N771*'Methodology &amp; Assumptions'!$B$8, 0)</f>
        <v/>
      </c>
      <c r="P771" s="8" t="inlineStr">
        <is>
          <t>Band n50 (1.5 GHz, 60 MHz)</t>
        </is>
      </c>
      <c r="Q771" s="38">
        <f>ROUNDUP(O771/'Methodology &amp; Assumptions'!$B$9, 0)</f>
        <v/>
      </c>
      <c r="R771" s="39" t="n">
        <v>1</v>
      </c>
      <c r="S771" s="21" t="n">
        <v>1.12</v>
      </c>
      <c r="T771" s="21" t="n">
        <v>1.07</v>
      </c>
      <c r="U771" s="36" t="inlineStr">
        <is>
          <t>Tier 1B (Micro Drop, 1-3 km)</t>
        </is>
      </c>
      <c r="V771" s="20" t="n">
        <v>78.8</v>
      </c>
      <c r="W771" s="20" t="n">
        <v>74.90000000000001</v>
      </c>
      <c r="X771" s="20" t="n">
        <v>58</v>
      </c>
      <c r="Y771" s="40">
        <f>ROUND((V771*'Methodology &amp; Assumptions'!$B$6)+(W771*'Methodology &amp; Assumptions'!$B$5)+(X771*'Methodology &amp; Assumptions'!$B$7), 2)</f>
        <v/>
      </c>
    </row>
    <row r="772" ht="19" customHeight="1">
      <c r="A772" s="41" t="n">
        <v>768</v>
      </c>
      <c r="B772" s="41" t="n">
        <v>1768</v>
      </c>
      <c r="C772" s="42" t="inlineStr">
        <is>
          <t>0403420003</t>
        </is>
      </c>
      <c r="D772" s="42" t="inlineStr">
        <is>
          <t>Region IV-A (CALABARZON)</t>
        </is>
      </c>
      <c r="E772" s="42" t="inlineStr">
        <is>
          <t>Laguna</t>
        </is>
      </c>
      <c r="F772" s="42" t="inlineStr">
        <is>
          <t>Pakil</t>
        </is>
      </c>
      <c r="G772" s="42" t="inlineStr">
        <is>
          <t>Burgos</t>
        </is>
      </c>
      <c r="H772" s="43" t="n">
        <v>14.373286</v>
      </c>
      <c r="I772" s="43" t="n">
        <v>121.47806</v>
      </c>
      <c r="J772" s="44" t="inlineStr">
        <is>
          <t>R</t>
        </is>
      </c>
      <c r="K772" s="42" t="inlineStr">
        <is>
          <t>3rd</t>
        </is>
      </c>
      <c r="L772" s="23" t="n">
        <v>2203</v>
      </c>
      <c r="M772" s="24" t="n">
        <v>4.49</v>
      </c>
      <c r="N772" s="23">
        <f>ROUND(L772/M772, 0)</f>
        <v/>
      </c>
      <c r="O772" s="23">
        <f>ROUND(N772*'Methodology &amp; Assumptions'!$B$8, 0)</f>
        <v/>
      </c>
      <c r="P772" s="44" t="inlineStr">
        <is>
          <t>Band n50 (1.5 GHz, 60 MHz)</t>
        </is>
      </c>
      <c r="Q772" s="38">
        <f>ROUNDUP(O772/'Methodology &amp; Assumptions'!$B$9, 0)</f>
        <v/>
      </c>
      <c r="R772" s="39" t="n">
        <v>1</v>
      </c>
      <c r="S772" s="25" t="n">
        <v>0.65</v>
      </c>
      <c r="T772" s="25" t="n">
        <v>0.02</v>
      </c>
      <c r="U772" s="42" t="inlineStr">
        <is>
          <t>Tier 1A (Direct Coloc, &lt;1 km)</t>
        </is>
      </c>
      <c r="V772" s="24" t="n">
        <v>90.59999999999999</v>
      </c>
      <c r="W772" s="24" t="n">
        <v>63.2</v>
      </c>
      <c r="X772" s="24" t="n">
        <v>58</v>
      </c>
      <c r="Y772" s="45">
        <f>ROUND((V772*'Methodology &amp; Assumptions'!$B$6)+(W772*'Methodology &amp; Assumptions'!$B$5)+(X772*'Methodology &amp; Assumptions'!$B$7), 2)</f>
        <v/>
      </c>
    </row>
    <row r="773" ht="19" customHeight="1">
      <c r="A773" s="35" t="n">
        <v>769</v>
      </c>
      <c r="B773" s="35" t="n">
        <v>1769</v>
      </c>
      <c r="C773" s="36" t="inlineStr">
        <is>
          <t>0603035024</t>
        </is>
      </c>
      <c r="D773" s="36" t="inlineStr">
        <is>
          <t>Region VI (Western Visayas)</t>
        </is>
      </c>
      <c r="E773" s="36" t="inlineStr">
        <is>
          <t>Iloilo</t>
        </is>
      </c>
      <c r="F773" s="36" t="inlineStr">
        <is>
          <t>City of Passi</t>
        </is>
      </c>
      <c r="G773" s="36" t="inlineStr">
        <is>
          <t>Imbang Grande</t>
        </is>
      </c>
      <c r="H773" s="37" t="n">
        <v>11.104836</v>
      </c>
      <c r="I773" s="37" t="n">
        <v>122.65652</v>
      </c>
      <c r="J773" s="8" t="inlineStr">
        <is>
          <t>R</t>
        </is>
      </c>
      <c r="K773" s="36" t="inlineStr">
        <is>
          <t>Class 1-3 / Urban</t>
        </is>
      </c>
      <c r="L773" s="18" t="n">
        <v>2797</v>
      </c>
      <c r="M773" s="20" t="n">
        <v>4.39</v>
      </c>
      <c r="N773" s="18">
        <f>ROUND(L773/M773, 0)</f>
        <v/>
      </c>
      <c r="O773" s="18">
        <f>ROUND(N773*'Methodology &amp; Assumptions'!$B$8, 0)</f>
        <v/>
      </c>
      <c r="P773" s="8" t="inlineStr">
        <is>
          <t>Band n50 (1.5 GHz, 60 MHz)</t>
        </is>
      </c>
      <c r="Q773" s="38">
        <f>ROUNDUP(O773/'Methodology &amp; Assumptions'!$B$9, 0)</f>
        <v/>
      </c>
      <c r="R773" s="39" t="n">
        <v>1</v>
      </c>
      <c r="S773" s="21" t="n">
        <v>1.12</v>
      </c>
      <c r="T773" s="21" t="n">
        <v>0.21</v>
      </c>
      <c r="U773" s="36" t="inlineStr">
        <is>
          <t>Tier 1B (Micro Drop, 1-3 km)</t>
        </is>
      </c>
      <c r="V773" s="20" t="n">
        <v>78.8</v>
      </c>
      <c r="W773" s="20" t="n">
        <v>74.90000000000001</v>
      </c>
      <c r="X773" s="20" t="n">
        <v>58</v>
      </c>
      <c r="Y773" s="40">
        <f>ROUND((V773*'Methodology &amp; Assumptions'!$B$6)+(W773*'Methodology &amp; Assumptions'!$B$5)+(X773*'Methodology &amp; Assumptions'!$B$7), 2)</f>
        <v/>
      </c>
    </row>
    <row r="774" ht="19" customHeight="1">
      <c r="A774" s="41" t="n">
        <v>770</v>
      </c>
      <c r="B774" s="41" t="n">
        <v>1770</v>
      </c>
      <c r="C774" s="42" t="inlineStr">
        <is>
          <t>1004326012</t>
        </is>
      </c>
      <c r="D774" s="42" t="inlineStr">
        <is>
          <t>Region X (Northern Mindanao)</t>
        </is>
      </c>
      <c r="E774" s="42" t="inlineStr">
        <is>
          <t>Misamis Oriental</t>
        </is>
      </c>
      <c r="F774" s="42" t="inlineStr">
        <is>
          <t>Villanueva</t>
        </is>
      </c>
      <c r="G774" s="42" t="inlineStr">
        <is>
          <t>Poblacion 2</t>
        </is>
      </c>
      <c r="H774" s="43" t="n">
        <v>8.5861</v>
      </c>
      <c r="I774" s="43" t="n">
        <v>124.771608</v>
      </c>
      <c r="J774" s="44" t="inlineStr">
        <is>
          <t>R</t>
        </is>
      </c>
      <c r="K774" s="42" t="inlineStr">
        <is>
          <t>Class 1-3 / Urban</t>
        </is>
      </c>
      <c r="L774" s="23" t="n">
        <v>2704</v>
      </c>
      <c r="M774" s="24" t="n">
        <v>4.54</v>
      </c>
      <c r="N774" s="23">
        <f>ROUND(L774/M774, 0)</f>
        <v/>
      </c>
      <c r="O774" s="23">
        <f>ROUND(N774*'Methodology &amp; Assumptions'!$B$8, 0)</f>
        <v/>
      </c>
      <c r="P774" s="44" t="inlineStr">
        <is>
          <t>Band n50 (1.5 GHz, 60 MHz)</t>
        </is>
      </c>
      <c r="Q774" s="38">
        <f>ROUNDUP(O774/'Methodology &amp; Assumptions'!$B$9, 0)</f>
        <v/>
      </c>
      <c r="R774" s="39" t="n">
        <v>1</v>
      </c>
      <c r="S774" s="25" t="n">
        <v>0.99</v>
      </c>
      <c r="T774" s="25" t="n">
        <v>0.11</v>
      </c>
      <c r="U774" s="42" t="inlineStr">
        <is>
          <t>Tier 1A (Direct Coloc, &lt;1 km)</t>
        </is>
      </c>
      <c r="V774" s="24" t="n">
        <v>82</v>
      </c>
      <c r="W774" s="24" t="n">
        <v>71.7</v>
      </c>
      <c r="X774" s="24" t="n">
        <v>58</v>
      </c>
      <c r="Y774" s="45">
        <f>ROUND((V774*'Methodology &amp; Assumptions'!$B$6)+(W774*'Methodology &amp; Assumptions'!$B$5)+(X774*'Methodology &amp; Assumptions'!$B$7), 2)</f>
        <v/>
      </c>
    </row>
    <row r="775" ht="19" customHeight="1">
      <c r="A775" s="35" t="n">
        <v>771</v>
      </c>
      <c r="B775" s="35" t="n">
        <v>1771</v>
      </c>
      <c r="C775" s="36" t="inlineStr">
        <is>
          <t>0501702008</t>
        </is>
      </c>
      <c r="D775" s="36" t="inlineStr">
        <is>
          <t>Region V (Bicol Region)</t>
        </is>
      </c>
      <c r="E775" s="36" t="inlineStr">
        <is>
          <t>Camarines Sur</t>
        </is>
      </c>
      <c r="F775" s="36" t="inlineStr">
        <is>
          <t>Balatan</t>
        </is>
      </c>
      <c r="G775" s="36" t="inlineStr">
        <is>
          <t>Duran</t>
        </is>
      </c>
      <c r="H775" s="37" t="n">
        <v>13.309699</v>
      </c>
      <c r="I775" s="37" t="n">
        <v>123.236117</v>
      </c>
      <c r="J775" s="8" t="inlineStr">
        <is>
          <t>U</t>
        </is>
      </c>
      <c r="K775" s="36" t="inlineStr">
        <is>
          <t>3rd</t>
        </is>
      </c>
      <c r="L775" s="18" t="n">
        <v>5473</v>
      </c>
      <c r="M775" s="20" t="n">
        <v>5.25</v>
      </c>
      <c r="N775" s="18">
        <f>ROUND(L775/M775, 0)</f>
        <v/>
      </c>
      <c r="O775" s="18">
        <f>ROUND(N775*'Methodology &amp; Assumptions'!$B$8, 0)</f>
        <v/>
      </c>
      <c r="P775" s="8" t="inlineStr">
        <is>
          <t>Band n50 (1.5 GHz, 60 MHz)</t>
        </is>
      </c>
      <c r="Q775" s="38">
        <f>ROUNDUP(O775/'Methodology &amp; Assumptions'!$B$9, 0)</f>
        <v/>
      </c>
      <c r="R775" s="39" t="n">
        <v>1</v>
      </c>
      <c r="S775" s="21" t="n">
        <v>0.6899999999999999</v>
      </c>
      <c r="T775" s="21" t="n">
        <v>14.81</v>
      </c>
      <c r="U775" s="36" t="inlineStr">
        <is>
          <t>Tier 1A (Direct Coloc, &lt;1 km)</t>
        </is>
      </c>
      <c r="V775" s="20" t="n">
        <v>79.5</v>
      </c>
      <c r="W775" s="20" t="n">
        <v>100</v>
      </c>
      <c r="X775" s="20" t="n">
        <v>28</v>
      </c>
      <c r="Y775" s="40">
        <f>ROUND((V775*'Methodology &amp; Assumptions'!$B$6)+(W775*'Methodology &amp; Assumptions'!$B$5)+(X775*'Methodology &amp; Assumptions'!$B$7), 2)</f>
        <v/>
      </c>
    </row>
    <row r="776" ht="19" customHeight="1">
      <c r="A776" s="41" t="n">
        <v>772</v>
      </c>
      <c r="B776" s="41" t="n">
        <v>1772</v>
      </c>
      <c r="C776" s="42" t="inlineStr">
        <is>
          <t>0330100011</t>
        </is>
      </c>
      <c r="D776" s="42" t="inlineStr">
        <is>
          <t>Region III (Central Luzon)</t>
        </is>
      </c>
      <c r="E776" s="42" t="inlineStr">
        <is>
          <t>Pampanga</t>
        </is>
      </c>
      <c r="F776" s="42" t="inlineStr">
        <is>
          <t>City of Angeles</t>
        </is>
      </c>
      <c r="G776" s="42" t="inlineStr">
        <is>
          <t>Lourdes Sur</t>
        </is>
      </c>
      <c r="H776" s="43" t="n">
        <v>15.141801</v>
      </c>
      <c r="I776" s="43" t="n">
        <v>120.59083</v>
      </c>
      <c r="J776" s="44" t="inlineStr">
        <is>
          <t>U</t>
        </is>
      </c>
      <c r="K776" s="42" t="inlineStr">
        <is>
          <t>Class 1-3 / Urban</t>
        </is>
      </c>
      <c r="L776" s="23" t="n">
        <v>4879</v>
      </c>
      <c r="M776" s="24" t="n">
        <v>4.63</v>
      </c>
      <c r="N776" s="23">
        <f>ROUND(L776/M776, 0)</f>
        <v/>
      </c>
      <c r="O776" s="23">
        <f>ROUND(N776*'Methodology &amp; Assumptions'!$B$8, 0)</f>
        <v/>
      </c>
      <c r="P776" s="44" t="inlineStr">
        <is>
          <t>Band n50 (1.5 GHz, 60 MHz)</t>
        </is>
      </c>
      <c r="Q776" s="38">
        <f>ROUNDUP(O776/'Methodology &amp; Assumptions'!$B$9, 0)</f>
        <v/>
      </c>
      <c r="R776" s="39" t="n">
        <v>1</v>
      </c>
      <c r="S776" s="25" t="n">
        <v>1.09</v>
      </c>
      <c r="T776" s="25" t="n">
        <v>0.31</v>
      </c>
      <c r="U776" s="42" t="inlineStr">
        <is>
          <t>Tier 1B (Micro Drop, 1-3 km)</t>
        </is>
      </c>
      <c r="V776" s="24" t="n">
        <v>79.5</v>
      </c>
      <c r="W776" s="24" t="n">
        <v>100</v>
      </c>
      <c r="X776" s="24" t="n">
        <v>28</v>
      </c>
      <c r="Y776" s="45">
        <f>ROUND((V776*'Methodology &amp; Assumptions'!$B$6)+(W776*'Methodology &amp; Assumptions'!$B$5)+(X776*'Methodology &amp; Assumptions'!$B$7), 2)</f>
        <v/>
      </c>
    </row>
    <row r="777" ht="19" customHeight="1">
      <c r="A777" s="35" t="n">
        <v>773</v>
      </c>
      <c r="B777" s="35" t="n">
        <v>1773</v>
      </c>
      <c r="C777" s="36" t="inlineStr">
        <is>
          <t>0402106029</t>
        </is>
      </c>
      <c r="D777" s="36" t="inlineStr">
        <is>
          <t>Region IV-A (CALABARZON)</t>
        </is>
      </c>
      <c r="E777" s="36" t="inlineStr">
        <is>
          <t>Cavite</t>
        </is>
      </c>
      <c r="F777" s="36" t="inlineStr">
        <is>
          <t>City of Dasmariñas</t>
        </is>
      </c>
      <c r="G777" s="36" t="inlineStr">
        <is>
          <t>San Francisco I</t>
        </is>
      </c>
      <c r="H777" s="37" t="n">
        <v>14.320358</v>
      </c>
      <c r="I777" s="37" t="n">
        <v>120.96634</v>
      </c>
      <c r="J777" s="8" t="inlineStr">
        <is>
          <t>R</t>
        </is>
      </c>
      <c r="K777" s="36" t="inlineStr">
        <is>
          <t>Class 1-3 / Urban</t>
        </is>
      </c>
      <c r="L777" s="18" t="n">
        <v>3099</v>
      </c>
      <c r="M777" s="20" t="n">
        <v>4.49</v>
      </c>
      <c r="N777" s="18">
        <f>ROUND(L777/M777, 0)</f>
        <v/>
      </c>
      <c r="O777" s="18">
        <f>ROUND(N777*'Methodology &amp; Assumptions'!$B$8, 0)</f>
        <v/>
      </c>
      <c r="P777" s="8" t="inlineStr">
        <is>
          <t>Band n50 (1.5 GHz, 60 MHz)</t>
        </is>
      </c>
      <c r="Q777" s="38">
        <f>ROUNDUP(O777/'Methodology &amp; Assumptions'!$B$9, 0)</f>
        <v/>
      </c>
      <c r="R777" s="39" t="n">
        <v>1</v>
      </c>
      <c r="S777" s="21" t="n">
        <v>0.88</v>
      </c>
      <c r="T777" s="21" t="n">
        <v>2.47</v>
      </c>
      <c r="U777" s="36" t="inlineStr">
        <is>
          <t>Tier 1A (Direct Coloc, &lt;1 km)</t>
        </is>
      </c>
      <c r="V777" s="20" t="n">
        <v>74.5</v>
      </c>
      <c r="W777" s="20" t="n">
        <v>79.2</v>
      </c>
      <c r="X777" s="20" t="n">
        <v>58</v>
      </c>
      <c r="Y777" s="40">
        <f>ROUND((V777*'Methodology &amp; Assumptions'!$B$6)+(W777*'Methodology &amp; Assumptions'!$B$5)+(X777*'Methodology &amp; Assumptions'!$B$7), 2)</f>
        <v/>
      </c>
    </row>
    <row r="778" ht="19" customHeight="1">
      <c r="A778" s="41" t="n">
        <v>774</v>
      </c>
      <c r="B778" s="41" t="n">
        <v>1774</v>
      </c>
      <c r="C778" s="42" t="inlineStr">
        <is>
          <t>1102408016</t>
        </is>
      </c>
      <c r="D778" s="42" t="inlineStr">
        <is>
          <t>Region XI (Davao Region)</t>
        </is>
      </c>
      <c r="E778" s="42" t="inlineStr">
        <is>
          <t>Davao del Sur</t>
        </is>
      </c>
      <c r="F778" s="42" t="inlineStr">
        <is>
          <t>Malalag</t>
        </is>
      </c>
      <c r="G778" s="42" t="inlineStr">
        <is>
          <t>Poblacion</t>
        </is>
      </c>
      <c r="H778" s="43" t="n">
        <v>6.59331</v>
      </c>
      <c r="I778" s="43" t="n">
        <v>125.40123</v>
      </c>
      <c r="J778" s="44" t="inlineStr">
        <is>
          <t>U</t>
        </is>
      </c>
      <c r="K778" s="42" t="inlineStr">
        <is>
          <t>Class 1-3 / Urban</t>
        </is>
      </c>
      <c r="L778" s="23" t="n">
        <v>6476</v>
      </c>
      <c r="M778" s="24" t="n">
        <v>4.1</v>
      </c>
      <c r="N778" s="23">
        <f>ROUND(L778/M778, 0)</f>
        <v/>
      </c>
      <c r="O778" s="23">
        <f>ROUND(N778*'Methodology &amp; Assumptions'!$B$8, 0)</f>
        <v/>
      </c>
      <c r="P778" s="44" t="inlineStr">
        <is>
          <t>Band n50 (1.5 GHz, 60 MHz)</t>
        </is>
      </c>
      <c r="Q778" s="38">
        <f>ROUNDUP(O778/'Methodology &amp; Assumptions'!$B$9, 0)</f>
        <v/>
      </c>
      <c r="R778" s="39" t="n">
        <v>1</v>
      </c>
      <c r="S778" s="25" t="n">
        <v>0.6899999999999999</v>
      </c>
      <c r="T778" s="25" t="n">
        <v>4.99</v>
      </c>
      <c r="U778" s="42" t="inlineStr">
        <is>
          <t>Tier 1A (Direct Coloc, &lt;1 km)</t>
        </is>
      </c>
      <c r="V778" s="24" t="n">
        <v>79.40000000000001</v>
      </c>
      <c r="W778" s="24" t="n">
        <v>100</v>
      </c>
      <c r="X778" s="24" t="n">
        <v>28</v>
      </c>
      <c r="Y778" s="45">
        <f>ROUND((V778*'Methodology &amp; Assumptions'!$B$6)+(W778*'Methodology &amp; Assumptions'!$B$5)+(X778*'Methodology &amp; Assumptions'!$B$7), 2)</f>
        <v/>
      </c>
    </row>
    <row r="779" ht="19" customHeight="1">
      <c r="A779" s="35" t="n">
        <v>775</v>
      </c>
      <c r="B779" s="35" t="n">
        <v>1775</v>
      </c>
      <c r="C779" s="36" t="inlineStr">
        <is>
          <t>0701219010</t>
        </is>
      </c>
      <c r="D779" s="36" t="inlineStr">
        <is>
          <t>Region VII (Central Visayas)</t>
        </is>
      </c>
      <c r="E779" s="36" t="inlineStr">
        <is>
          <t>Bohol</t>
        </is>
      </c>
      <c r="F779" s="36" t="inlineStr">
        <is>
          <t>Dauis</t>
        </is>
      </c>
      <c r="G779" s="36" t="inlineStr">
        <is>
          <t>Tinago</t>
        </is>
      </c>
      <c r="H779" s="37" t="n">
        <v>9.609145</v>
      </c>
      <c r="I779" s="37" t="n">
        <v>123.826672</v>
      </c>
      <c r="J779" s="8" t="inlineStr">
        <is>
          <t>R</t>
        </is>
      </c>
      <c r="K779" s="36" t="inlineStr">
        <is>
          <t>1st</t>
        </is>
      </c>
      <c r="L779" s="18" t="n">
        <v>3325</v>
      </c>
      <c r="M779" s="20" t="n">
        <v>4.6</v>
      </c>
      <c r="N779" s="18">
        <f>ROUND(L779/M779, 0)</f>
        <v/>
      </c>
      <c r="O779" s="18">
        <f>ROUND(N779*'Methodology &amp; Assumptions'!$B$8, 0)</f>
        <v/>
      </c>
      <c r="P779" s="8" t="inlineStr">
        <is>
          <t>Band n50 (1.5 GHz, 60 MHz)</t>
        </is>
      </c>
      <c r="Q779" s="38">
        <f>ROUNDUP(O779/'Methodology &amp; Assumptions'!$B$9, 0)</f>
        <v/>
      </c>
      <c r="R779" s="39" t="n">
        <v>1</v>
      </c>
      <c r="S779" s="21" t="n">
        <v>1.59</v>
      </c>
      <c r="T779" s="21" t="n">
        <v>4.81</v>
      </c>
      <c r="U779" s="36" t="inlineStr">
        <is>
          <t>Tier 1B (Micro Drop, 1-3 km)</t>
        </is>
      </c>
      <c r="V779" s="20" t="n">
        <v>59</v>
      </c>
      <c r="W779" s="20" t="n">
        <v>81.90000000000001</v>
      </c>
      <c r="X779" s="20" t="n">
        <v>73</v>
      </c>
      <c r="Y779" s="40">
        <f>ROUND((V779*'Methodology &amp; Assumptions'!$B$6)+(W779*'Methodology &amp; Assumptions'!$B$5)+(X779*'Methodology &amp; Assumptions'!$B$7), 2)</f>
        <v/>
      </c>
    </row>
    <row r="780" ht="19" customHeight="1">
      <c r="A780" s="41" t="n">
        <v>776</v>
      </c>
      <c r="B780" s="41" t="n">
        <v>1776</v>
      </c>
      <c r="C780" s="42" t="inlineStr">
        <is>
          <t>0702215008</t>
        </is>
      </c>
      <c r="D780" s="42" t="inlineStr">
        <is>
          <t>Region VII (Central Visayas)</t>
        </is>
      </c>
      <c r="E780" s="42" t="inlineStr">
        <is>
          <t>Cebu</t>
        </is>
      </c>
      <c r="F780" s="42" t="inlineStr">
        <is>
          <t>Carmen</t>
        </is>
      </c>
      <c r="G780" s="42" t="inlineStr">
        <is>
          <t>Dawis Sur</t>
        </is>
      </c>
      <c r="H780" s="43" t="n">
        <v>10.568107</v>
      </c>
      <c r="I780" s="43" t="n">
        <v>124.02147</v>
      </c>
      <c r="J780" s="44" t="inlineStr">
        <is>
          <t>R</t>
        </is>
      </c>
      <c r="K780" s="42" t="inlineStr">
        <is>
          <t>Class 1-3 / Urban</t>
        </is>
      </c>
      <c r="L780" s="23" t="n">
        <v>2646</v>
      </c>
      <c r="M780" s="24" t="n">
        <v>4.42</v>
      </c>
      <c r="N780" s="23">
        <f>ROUND(L780/M780, 0)</f>
        <v/>
      </c>
      <c r="O780" s="23">
        <f>ROUND(N780*'Methodology &amp; Assumptions'!$B$8, 0)</f>
        <v/>
      </c>
      <c r="P780" s="44" t="inlineStr">
        <is>
          <t>Band n50 (1.5 GHz, 60 MHz)</t>
        </is>
      </c>
      <c r="Q780" s="38">
        <f>ROUNDUP(O780/'Methodology &amp; Assumptions'!$B$9, 0)</f>
        <v/>
      </c>
      <c r="R780" s="39" t="n">
        <v>1</v>
      </c>
      <c r="S780" s="25" t="n">
        <v>1</v>
      </c>
      <c r="T780" s="25" t="n">
        <v>0.09</v>
      </c>
      <c r="U780" s="42" t="inlineStr">
        <is>
          <t>Tier 1A (Direct Coloc, &lt;1 km)</t>
        </is>
      </c>
      <c r="V780" s="24" t="n">
        <v>81.7</v>
      </c>
      <c r="W780" s="24" t="n">
        <v>72</v>
      </c>
      <c r="X780" s="24" t="n">
        <v>58</v>
      </c>
      <c r="Y780" s="45">
        <f>ROUND((V780*'Methodology &amp; Assumptions'!$B$6)+(W780*'Methodology &amp; Assumptions'!$B$5)+(X780*'Methodology &amp; Assumptions'!$B$7), 2)</f>
        <v/>
      </c>
    </row>
    <row r="781" ht="19" customHeight="1">
      <c r="A781" s="35" t="n">
        <v>777</v>
      </c>
      <c r="B781" s="35" t="n">
        <v>1777</v>
      </c>
      <c r="C781" s="36" t="inlineStr">
        <is>
          <t>0601902019</t>
        </is>
      </c>
      <c r="D781" s="36" t="inlineStr">
        <is>
          <t>Region VI (Western Visayas)</t>
        </is>
      </c>
      <c r="E781" s="36" t="inlineStr">
        <is>
          <t>Capiz</t>
        </is>
      </c>
      <c r="F781" s="36" t="inlineStr">
        <is>
          <t>Dao</t>
        </is>
      </c>
      <c r="G781" s="36" t="inlineStr">
        <is>
          <t>Poblacion Ilaya</t>
        </is>
      </c>
      <c r="H781" s="37" t="n">
        <v>11.390698</v>
      </c>
      <c r="I781" s="37" t="n">
        <v>122.682838</v>
      </c>
      <c r="J781" s="8" t="inlineStr">
        <is>
          <t>R</t>
        </is>
      </c>
      <c r="K781" s="36" t="inlineStr">
        <is>
          <t>3rd</t>
        </is>
      </c>
      <c r="L781" s="18" t="n">
        <v>1923</v>
      </c>
      <c r="M781" s="20" t="n">
        <v>4.19</v>
      </c>
      <c r="N781" s="18">
        <f>ROUND(L781/M781, 0)</f>
        <v/>
      </c>
      <c r="O781" s="18">
        <f>ROUND(N781*'Methodology &amp; Assumptions'!$B$8, 0)</f>
        <v/>
      </c>
      <c r="P781" s="8" t="inlineStr">
        <is>
          <t>Band n50 (1.5 GHz, 60 MHz)</t>
        </is>
      </c>
      <c r="Q781" s="38">
        <f>ROUNDUP(O781/'Methodology &amp; Assumptions'!$B$9, 0)</f>
        <v/>
      </c>
      <c r="R781" s="39" t="n">
        <v>1</v>
      </c>
      <c r="S781" s="21" t="n">
        <v>0.5600000000000001</v>
      </c>
      <c r="T781" s="21" t="n">
        <v>0.66</v>
      </c>
      <c r="U781" s="36" t="inlineStr">
        <is>
          <t>Tier 1A (Direct Coloc, &lt;1 km)</t>
        </is>
      </c>
      <c r="V781" s="20" t="n">
        <v>92.90000000000001</v>
      </c>
      <c r="W781" s="20" t="n">
        <v>60.8</v>
      </c>
      <c r="X781" s="20" t="n">
        <v>58</v>
      </c>
      <c r="Y781" s="40">
        <f>ROUND((V781*'Methodology &amp; Assumptions'!$B$6)+(W781*'Methodology &amp; Assumptions'!$B$5)+(X781*'Methodology &amp; Assumptions'!$B$7), 2)</f>
        <v/>
      </c>
    </row>
    <row r="782" ht="19" customHeight="1">
      <c r="A782" s="41" t="n">
        <v>778</v>
      </c>
      <c r="B782" s="41" t="n">
        <v>1778</v>
      </c>
      <c r="C782" s="42" t="inlineStr">
        <is>
          <t>1130700156</t>
        </is>
      </c>
      <c r="D782" s="42" t="inlineStr">
        <is>
          <t>Region XI (Davao Region)</t>
        </is>
      </c>
      <c r="E782" s="42" t="inlineStr">
        <is>
          <t>Davao del Sur</t>
        </is>
      </c>
      <c r="F782" s="42" t="inlineStr">
        <is>
          <t>City of Davao</t>
        </is>
      </c>
      <c r="G782" s="42" t="inlineStr">
        <is>
          <t>Barangay 23-C</t>
        </is>
      </c>
      <c r="H782" s="43" t="n">
        <v>7.07157</v>
      </c>
      <c r="I782" s="43" t="n">
        <v>125.6219</v>
      </c>
      <c r="J782" s="44" t="inlineStr">
        <is>
          <t>U</t>
        </is>
      </c>
      <c r="K782" s="42" t="inlineStr">
        <is>
          <t>Class 1-3 / Urban</t>
        </is>
      </c>
      <c r="L782" s="23" t="n">
        <v>17030</v>
      </c>
      <c r="M782" s="24" t="n">
        <v>4.1</v>
      </c>
      <c r="N782" s="23">
        <f>ROUND(L782/M782, 0)</f>
        <v/>
      </c>
      <c r="O782" s="23">
        <f>ROUND(N782*'Methodology &amp; Assumptions'!$B$8, 0)</f>
        <v/>
      </c>
      <c r="P782" s="44" t="inlineStr">
        <is>
          <t>Band n50 (1.5 GHz, 60 MHz)</t>
        </is>
      </c>
      <c r="Q782" s="38">
        <f>ROUNDUP(O782/'Methodology &amp; Assumptions'!$B$9, 0)</f>
        <v/>
      </c>
      <c r="R782" s="39" t="n">
        <v>1</v>
      </c>
      <c r="S782" s="25" t="n">
        <v>1.1</v>
      </c>
      <c r="T782" s="25" t="n">
        <v>0.17</v>
      </c>
      <c r="U782" s="42" t="inlineStr">
        <is>
          <t>Tier 1B (Micro Drop, 1-3 km)</t>
        </is>
      </c>
      <c r="V782" s="24" t="n">
        <v>79.40000000000001</v>
      </c>
      <c r="W782" s="24" t="n">
        <v>100</v>
      </c>
      <c r="X782" s="24" t="n">
        <v>28</v>
      </c>
      <c r="Y782" s="45">
        <f>ROUND((V782*'Methodology &amp; Assumptions'!$B$6)+(W782*'Methodology &amp; Assumptions'!$B$5)+(X782*'Methodology &amp; Assumptions'!$B$7), 2)</f>
        <v/>
      </c>
    </row>
    <row r="783" ht="19" customHeight="1">
      <c r="A783" s="35" t="n">
        <v>779</v>
      </c>
      <c r="B783" s="35" t="n">
        <v>1779</v>
      </c>
      <c r="C783" s="36" t="inlineStr">
        <is>
          <t>0305403017</t>
        </is>
      </c>
      <c r="D783" s="36" t="inlineStr">
        <is>
          <t>Region III (Central Luzon)</t>
        </is>
      </c>
      <c r="E783" s="36" t="inlineStr">
        <is>
          <t>Pampanga</t>
        </is>
      </c>
      <c r="F783" s="36" t="inlineStr">
        <is>
          <t>Arayat</t>
        </is>
      </c>
      <c r="G783" s="36" t="inlineStr">
        <is>
          <t>Plazang Luma</t>
        </is>
      </c>
      <c r="H783" s="37" t="n">
        <v>15.15171</v>
      </c>
      <c r="I783" s="37" t="n">
        <v>120.76868</v>
      </c>
      <c r="J783" s="8" t="inlineStr">
        <is>
          <t>U</t>
        </is>
      </c>
      <c r="K783" s="36" t="inlineStr">
        <is>
          <t>Class 1-3 / Urban</t>
        </is>
      </c>
      <c r="L783" s="18" t="n">
        <v>5362</v>
      </c>
      <c r="M783" s="20" t="n">
        <v>4.63</v>
      </c>
      <c r="N783" s="18">
        <f>ROUND(L783/M783, 0)</f>
        <v/>
      </c>
      <c r="O783" s="18">
        <f>ROUND(N783*'Methodology &amp; Assumptions'!$B$8, 0)</f>
        <v/>
      </c>
      <c r="P783" s="8" t="inlineStr">
        <is>
          <t>Band n50 (1.5 GHz, 60 MHz)</t>
        </is>
      </c>
      <c r="Q783" s="38">
        <f>ROUNDUP(O783/'Methodology &amp; Assumptions'!$B$9, 0)</f>
        <v/>
      </c>
      <c r="R783" s="39" t="n">
        <v>1</v>
      </c>
      <c r="S783" s="21" t="n">
        <v>1.1</v>
      </c>
      <c r="T783" s="21" t="n">
        <v>0.31</v>
      </c>
      <c r="U783" s="36" t="inlineStr">
        <is>
          <t>Tier 1B (Micro Drop, 1-3 km)</t>
        </is>
      </c>
      <c r="V783" s="20" t="n">
        <v>79.40000000000001</v>
      </c>
      <c r="W783" s="20" t="n">
        <v>100</v>
      </c>
      <c r="X783" s="20" t="n">
        <v>28</v>
      </c>
      <c r="Y783" s="40">
        <f>ROUND((V783*'Methodology &amp; Assumptions'!$B$6)+(W783*'Methodology &amp; Assumptions'!$B$5)+(X783*'Methodology &amp; Assumptions'!$B$7), 2)</f>
        <v/>
      </c>
    </row>
    <row r="784" ht="19" customHeight="1">
      <c r="A784" s="41" t="n">
        <v>780</v>
      </c>
      <c r="B784" s="41" t="n">
        <v>1780</v>
      </c>
      <c r="C784" s="42" t="inlineStr">
        <is>
          <t>0304922005</t>
        </is>
      </c>
      <c r="D784" s="42" t="inlineStr">
        <is>
          <t>Region III (Central Luzon)</t>
        </is>
      </c>
      <c r="E784" s="42" t="inlineStr">
        <is>
          <t>Nueva Ecija</t>
        </is>
      </c>
      <c r="F784" s="42" t="inlineStr">
        <is>
          <t>Quezon</t>
        </is>
      </c>
      <c r="G784" s="42" t="inlineStr">
        <is>
          <t>Dulong Bayan</t>
        </is>
      </c>
      <c r="H784" s="43" t="n">
        <v>15.565687</v>
      </c>
      <c r="I784" s="43" t="n">
        <v>120.801075</v>
      </c>
      <c r="J784" s="44" t="inlineStr">
        <is>
          <t>U</t>
        </is>
      </c>
      <c r="K784" s="42" t="inlineStr">
        <is>
          <t>2nd</t>
        </is>
      </c>
      <c r="L784" s="23" t="n">
        <v>4687</v>
      </c>
      <c r="M784" s="24" t="n">
        <v>4.28</v>
      </c>
      <c r="N784" s="23">
        <f>ROUND(L784/M784, 0)</f>
        <v/>
      </c>
      <c r="O784" s="23">
        <f>ROUND(N784*'Methodology &amp; Assumptions'!$B$8, 0)</f>
        <v/>
      </c>
      <c r="P784" s="44" t="inlineStr">
        <is>
          <t>Band n50 (1.5 GHz, 60 MHz)</t>
        </is>
      </c>
      <c r="Q784" s="38">
        <f>ROUNDUP(O784/'Methodology &amp; Assumptions'!$B$9, 0)</f>
        <v/>
      </c>
      <c r="R784" s="39" t="n">
        <v>1</v>
      </c>
      <c r="S784" s="25" t="n">
        <v>1.1</v>
      </c>
      <c r="T784" s="25" t="n">
        <v>0.31</v>
      </c>
      <c r="U784" s="42" t="inlineStr">
        <is>
          <t>Tier 1B (Micro Drop, 1-3 km)</t>
        </is>
      </c>
      <c r="V784" s="24" t="n">
        <v>79.40000000000001</v>
      </c>
      <c r="W784" s="24" t="n">
        <v>100</v>
      </c>
      <c r="X784" s="24" t="n">
        <v>28</v>
      </c>
      <c r="Y784" s="45">
        <f>ROUND((V784*'Methodology &amp; Assumptions'!$B$6)+(W784*'Methodology &amp; Assumptions'!$B$5)+(X784*'Methodology &amp; Assumptions'!$B$7), 2)</f>
        <v/>
      </c>
    </row>
    <row r="785" ht="19" customHeight="1">
      <c r="A785" s="35" t="n">
        <v>781</v>
      </c>
      <c r="B785" s="35" t="n">
        <v>1781</v>
      </c>
      <c r="C785" s="36" t="inlineStr">
        <is>
          <t>0501716019</t>
        </is>
      </c>
      <c r="D785" s="36" t="inlineStr">
        <is>
          <t>Region V (Bicol Region)</t>
        </is>
      </c>
      <c r="E785" s="36" t="inlineStr">
        <is>
          <t>Camarines Sur</t>
        </is>
      </c>
      <c r="F785" s="36" t="inlineStr">
        <is>
          <t>City of Iriga</t>
        </is>
      </c>
      <c r="G785" s="36" t="inlineStr">
        <is>
          <t>San Juan</t>
        </is>
      </c>
      <c r="H785" s="37" t="n">
        <v>13.451889</v>
      </c>
      <c r="I785" s="37" t="n">
        <v>123.385716</v>
      </c>
      <c r="J785" s="8" t="inlineStr">
        <is>
          <t>R</t>
        </is>
      </c>
      <c r="K785" s="36" t="inlineStr">
        <is>
          <t>Class 1-3 / Urban</t>
        </is>
      </c>
      <c r="L785" s="18" t="n">
        <v>4473</v>
      </c>
      <c r="M785" s="20" t="n">
        <v>4.9</v>
      </c>
      <c r="N785" s="18">
        <f>ROUND(L785/M785, 0)</f>
        <v/>
      </c>
      <c r="O785" s="18">
        <f>ROUND(N785*'Methodology &amp; Assumptions'!$B$8, 0)</f>
        <v/>
      </c>
      <c r="P785" s="8" t="inlineStr">
        <is>
          <t>Band n50 (1.5 GHz, 60 MHz)</t>
        </is>
      </c>
      <c r="Q785" s="38">
        <f>ROUNDUP(O785/'Methodology &amp; Assumptions'!$B$9, 0)</f>
        <v/>
      </c>
      <c r="R785" s="39" t="n">
        <v>1</v>
      </c>
      <c r="S785" s="21" t="n">
        <v>2.3</v>
      </c>
      <c r="T785" s="21" t="n">
        <v>0.29</v>
      </c>
      <c r="U785" s="36" t="inlineStr">
        <is>
          <t>Tier 1B (Micro Drop, 1-3 km)</t>
        </is>
      </c>
      <c r="V785" s="20" t="n">
        <v>56.5</v>
      </c>
      <c r="W785" s="20" t="n">
        <v>97.09999999999999</v>
      </c>
      <c r="X785" s="20" t="n">
        <v>58</v>
      </c>
      <c r="Y785" s="40">
        <f>ROUND((V785*'Methodology &amp; Assumptions'!$B$6)+(W785*'Methodology &amp; Assumptions'!$B$5)+(X785*'Methodology &amp; Assumptions'!$B$7), 2)</f>
        <v/>
      </c>
    </row>
    <row r="786" ht="19" customHeight="1">
      <c r="A786" s="41" t="n">
        <v>782</v>
      </c>
      <c r="B786" s="41" t="n">
        <v>1782</v>
      </c>
      <c r="C786" s="42" t="inlineStr">
        <is>
          <t>1401107017</t>
        </is>
      </c>
      <c r="D786" s="42" t="inlineStr">
        <is>
          <t>Cordillera Administrative Region (CAR)</t>
        </is>
      </c>
      <c r="E786" s="42" t="inlineStr">
        <is>
          <t>Benguet</t>
        </is>
      </c>
      <c r="F786" s="42" t="inlineStr">
        <is>
          <t>Kabayan</t>
        </is>
      </c>
      <c r="G786" s="42" t="inlineStr">
        <is>
          <t>Poblacion</t>
        </is>
      </c>
      <c r="H786" s="43" t="n">
        <v>16.62616</v>
      </c>
      <c r="I786" s="43" t="n">
        <v>120.8385</v>
      </c>
      <c r="J786" s="44" t="inlineStr">
        <is>
          <t>R</t>
        </is>
      </c>
      <c r="K786" s="42" t="inlineStr">
        <is>
          <t>3rd</t>
        </is>
      </c>
      <c r="L786" s="23" t="n">
        <v>1918</v>
      </c>
      <c r="M786" s="24" t="n">
        <v>4.37</v>
      </c>
      <c r="N786" s="23">
        <f>ROUND(L786/M786, 0)</f>
        <v/>
      </c>
      <c r="O786" s="23">
        <f>ROUND(N786*'Methodology &amp; Assumptions'!$B$8, 0)</f>
        <v/>
      </c>
      <c r="P786" s="44" t="inlineStr">
        <is>
          <t>Band n50 (1.5 GHz, 60 MHz)</t>
        </is>
      </c>
      <c r="Q786" s="38">
        <f>ROUNDUP(O786/'Methodology &amp; Assumptions'!$B$9, 0)</f>
        <v/>
      </c>
      <c r="R786" s="39" t="n">
        <v>1</v>
      </c>
      <c r="S786" s="25" t="n">
        <v>0.05</v>
      </c>
      <c r="T786" s="25" t="n">
        <v>7.16</v>
      </c>
      <c r="U786" s="42" t="inlineStr">
        <is>
          <t>Tier 1A (Direct Coloc, &lt;1 km)</t>
        </is>
      </c>
      <c r="V786" s="24" t="n">
        <v>98.40000000000001</v>
      </c>
      <c r="W786" s="24" t="n">
        <v>55.2</v>
      </c>
      <c r="X786" s="24" t="n">
        <v>58</v>
      </c>
      <c r="Y786" s="45">
        <f>ROUND((V786*'Methodology &amp; Assumptions'!$B$6)+(W786*'Methodology &amp; Assumptions'!$B$5)+(X786*'Methodology &amp; Assumptions'!$B$7), 2)</f>
        <v/>
      </c>
    </row>
    <row r="787" ht="19" customHeight="1">
      <c r="A787" s="35" t="n">
        <v>783</v>
      </c>
      <c r="B787" s="35" t="n">
        <v>1783</v>
      </c>
      <c r="C787" s="36" t="inlineStr">
        <is>
          <t>0501730029</t>
        </is>
      </c>
      <c r="D787" s="36" t="inlineStr">
        <is>
          <t>Region V (Bicol Region)</t>
        </is>
      </c>
      <c r="E787" s="36" t="inlineStr">
        <is>
          <t>Camarines Sur</t>
        </is>
      </c>
      <c r="F787" s="36" t="inlineStr">
        <is>
          <t>Ragay</t>
        </is>
      </c>
      <c r="G787" s="36" t="inlineStr">
        <is>
          <t>Poblacion Ilaod</t>
        </is>
      </c>
      <c r="H787" s="37" t="n">
        <v>13.818807</v>
      </c>
      <c r="I787" s="37" t="n">
        <v>122.791157</v>
      </c>
      <c r="J787" s="8" t="inlineStr">
        <is>
          <t>R</t>
        </is>
      </c>
      <c r="K787" s="36" t="inlineStr">
        <is>
          <t>Class 1-3 / Urban</t>
        </is>
      </c>
      <c r="L787" s="18" t="n">
        <v>1816</v>
      </c>
      <c r="M787" s="20" t="n">
        <v>4.9</v>
      </c>
      <c r="N787" s="18">
        <f>ROUND(L787/M787, 0)</f>
        <v/>
      </c>
      <c r="O787" s="18">
        <f>ROUND(N787*'Methodology &amp; Assumptions'!$B$8, 0)</f>
        <v/>
      </c>
      <c r="P787" s="8" t="inlineStr">
        <is>
          <t>Band n50 (1.5 GHz, 60 MHz)</t>
        </is>
      </c>
      <c r="Q787" s="38">
        <f>ROUNDUP(O787/'Methodology &amp; Assumptions'!$B$9, 0)</f>
        <v/>
      </c>
      <c r="R787" s="39" t="n">
        <v>1</v>
      </c>
      <c r="S787" s="21" t="n">
        <v>0.28</v>
      </c>
      <c r="T787" s="21" t="n">
        <v>0.27</v>
      </c>
      <c r="U787" s="36" t="inlineStr">
        <is>
          <t>Tier 1A (Direct Coloc, &lt;1 km)</t>
        </is>
      </c>
      <c r="V787" s="20" t="n">
        <v>100</v>
      </c>
      <c r="W787" s="20" t="n">
        <v>53.6</v>
      </c>
      <c r="X787" s="20" t="n">
        <v>58</v>
      </c>
      <c r="Y787" s="40">
        <f>ROUND((V787*'Methodology &amp; Assumptions'!$B$6)+(W787*'Methodology &amp; Assumptions'!$B$5)+(X787*'Methodology &amp; Assumptions'!$B$7), 2)</f>
        <v/>
      </c>
    </row>
    <row r="788" ht="19" customHeight="1">
      <c r="A788" s="41" t="n">
        <v>784</v>
      </c>
      <c r="B788" s="41" t="n">
        <v>1784</v>
      </c>
      <c r="C788" s="42" t="inlineStr">
        <is>
          <t>1606807004</t>
        </is>
      </c>
      <c r="D788" s="42" t="inlineStr">
        <is>
          <t>Region XIII (Caraga)</t>
        </is>
      </c>
      <c r="E788" s="42" t="inlineStr">
        <is>
          <t>Surigao del Sur</t>
        </is>
      </c>
      <c r="F788" s="42" t="inlineStr">
        <is>
          <t>Carrascal</t>
        </is>
      </c>
      <c r="G788" s="42" t="inlineStr">
        <is>
          <t>Baybay</t>
        </is>
      </c>
      <c r="H788" s="43" t="n">
        <v>9.369417</v>
      </c>
      <c r="I788" s="43" t="n">
        <v>125.948833</v>
      </c>
      <c r="J788" s="44" t="inlineStr">
        <is>
          <t>R</t>
        </is>
      </c>
      <c r="K788" s="42" t="inlineStr">
        <is>
          <t>1st</t>
        </is>
      </c>
      <c r="L788" s="23" t="n">
        <v>1644</v>
      </c>
      <c r="M788" s="24" t="n">
        <v>4.46</v>
      </c>
      <c r="N788" s="23">
        <f>ROUND(L788/M788, 0)</f>
        <v/>
      </c>
      <c r="O788" s="23">
        <f>ROUND(N788*'Methodology &amp; Assumptions'!$B$8, 0)</f>
        <v/>
      </c>
      <c r="P788" s="44" t="inlineStr">
        <is>
          <t>Band n50 (1.5 GHz, 60 MHz)</t>
        </is>
      </c>
      <c r="Q788" s="38">
        <f>ROUNDUP(O788/'Methodology &amp; Assumptions'!$B$9, 0)</f>
        <v/>
      </c>
      <c r="R788" s="39" t="n">
        <v>1</v>
      </c>
      <c r="S788" s="25" t="n">
        <v>0.17</v>
      </c>
      <c r="T788" s="25" t="n">
        <v>0.17</v>
      </c>
      <c r="U788" s="42" t="inlineStr">
        <is>
          <t>Tier 1A (Direct Coloc, &lt;1 km)</t>
        </is>
      </c>
      <c r="V788" s="24" t="n">
        <v>100</v>
      </c>
      <c r="W788" s="24" t="n">
        <v>53.6</v>
      </c>
      <c r="X788" s="24" t="n">
        <v>58</v>
      </c>
      <c r="Y788" s="45">
        <f>ROUND((V788*'Methodology &amp; Assumptions'!$B$6)+(W788*'Methodology &amp; Assumptions'!$B$5)+(X788*'Methodology &amp; Assumptions'!$B$7), 2)</f>
        <v/>
      </c>
    </row>
    <row r="789" ht="19" customHeight="1">
      <c r="A789" s="35" t="n">
        <v>785</v>
      </c>
      <c r="B789" s="35" t="n">
        <v>1785</v>
      </c>
      <c r="C789" s="36" t="inlineStr">
        <is>
          <t>0908305038</t>
        </is>
      </c>
      <c r="D789" s="36" t="inlineStr">
        <is>
          <t>Region IX (Zamboanga Peninsula)</t>
        </is>
      </c>
      <c r="E789" s="36" t="inlineStr">
        <is>
          <t>Zamboanga Sibugay</t>
        </is>
      </c>
      <c r="F789" s="36" t="inlineStr">
        <is>
          <t>Ipil</t>
        </is>
      </c>
      <c r="G789" s="36" t="inlineStr">
        <is>
          <t>Veteran's Village</t>
        </is>
      </c>
      <c r="H789" s="37" t="n">
        <v>7.775086</v>
      </c>
      <c r="I789" s="37" t="n">
        <v>122.574944</v>
      </c>
      <c r="J789" s="8" t="inlineStr">
        <is>
          <t>U</t>
        </is>
      </c>
      <c r="K789" s="36" t="inlineStr">
        <is>
          <t>Class 1-3 / Urban</t>
        </is>
      </c>
      <c r="L789" s="18" t="n">
        <v>9502</v>
      </c>
      <c r="M789" s="20" t="n">
        <v>5.06</v>
      </c>
      <c r="N789" s="18">
        <f>ROUND(L789/M789, 0)</f>
        <v/>
      </c>
      <c r="O789" s="18">
        <f>ROUND(N789*'Methodology &amp; Assumptions'!$B$8, 0)</f>
        <v/>
      </c>
      <c r="P789" s="8" t="inlineStr">
        <is>
          <t>Band n50 (1.5 GHz, 60 MHz)</t>
        </is>
      </c>
      <c r="Q789" s="38">
        <f>ROUNDUP(O789/'Methodology &amp; Assumptions'!$B$9, 0)</f>
        <v/>
      </c>
      <c r="R789" s="39" t="n">
        <v>1</v>
      </c>
      <c r="S789" s="21" t="n">
        <v>1.1</v>
      </c>
      <c r="T789" s="21" t="n">
        <v>0.33</v>
      </c>
      <c r="U789" s="36" t="inlineStr">
        <is>
          <t>Tier 1B (Micro Drop, 1-3 km)</t>
        </is>
      </c>
      <c r="V789" s="20" t="n">
        <v>79.3</v>
      </c>
      <c r="W789" s="20" t="n">
        <v>100</v>
      </c>
      <c r="X789" s="20" t="n">
        <v>28</v>
      </c>
      <c r="Y789" s="40">
        <f>ROUND((V789*'Methodology &amp; Assumptions'!$B$6)+(W789*'Methodology &amp; Assumptions'!$B$5)+(X789*'Methodology &amp; Assumptions'!$B$7), 2)</f>
        <v/>
      </c>
    </row>
    <row r="790" ht="19" customHeight="1">
      <c r="A790" s="41" t="n">
        <v>786</v>
      </c>
      <c r="B790" s="41" t="n">
        <v>1786</v>
      </c>
      <c r="C790" s="42" t="inlineStr">
        <is>
          <t>0702239010</t>
        </is>
      </c>
      <c r="D790" s="42" t="inlineStr">
        <is>
          <t>Region VII (Central Visayas)</t>
        </is>
      </c>
      <c r="E790" s="42" t="inlineStr">
        <is>
          <t>Cebu</t>
        </is>
      </c>
      <c r="F790" s="42" t="inlineStr">
        <is>
          <t>Ronda</t>
        </is>
      </c>
      <c r="G790" s="42" t="inlineStr">
        <is>
          <t>Palanas</t>
        </is>
      </c>
      <c r="H790" s="43" t="n">
        <v>9.993399999999999</v>
      </c>
      <c r="I790" s="43" t="n">
        <v>123.407701</v>
      </c>
      <c r="J790" s="44" t="inlineStr">
        <is>
          <t>R</t>
        </is>
      </c>
      <c r="K790" s="42" t="inlineStr">
        <is>
          <t>4th</t>
        </is>
      </c>
      <c r="L790" s="23" t="n">
        <v>1703</v>
      </c>
      <c r="M790" s="24" t="n">
        <v>4.22</v>
      </c>
      <c r="N790" s="23">
        <f>ROUND(L790/M790, 0)</f>
        <v/>
      </c>
      <c r="O790" s="23">
        <f>ROUND(N790*'Methodology &amp; Assumptions'!$B$8, 0)</f>
        <v/>
      </c>
      <c r="P790" s="44" t="inlineStr">
        <is>
          <t>Band n50 (1.5 GHz, 60 MHz)</t>
        </is>
      </c>
      <c r="Q790" s="38">
        <f>ROUNDUP(O790/'Methodology &amp; Assumptions'!$B$9, 0)</f>
        <v/>
      </c>
      <c r="R790" s="39" t="n">
        <v>1</v>
      </c>
      <c r="S790" s="25" t="n">
        <v>0.73</v>
      </c>
      <c r="T790" s="25" t="n">
        <v>0.11</v>
      </c>
      <c r="U790" s="42" t="inlineStr">
        <is>
          <t>Tier 1A (Direct Coloc, &lt;1 km)</t>
        </is>
      </c>
      <c r="V790" s="24" t="n">
        <v>88.3</v>
      </c>
      <c r="W790" s="24" t="n">
        <v>56.3</v>
      </c>
      <c r="X790" s="24" t="n">
        <v>68.5</v>
      </c>
      <c r="Y790" s="45">
        <f>ROUND((V790*'Methodology &amp; Assumptions'!$B$6)+(W790*'Methodology &amp; Assumptions'!$B$5)+(X790*'Methodology &amp; Assumptions'!$B$7), 2)</f>
        <v/>
      </c>
    </row>
    <row r="791" ht="19" customHeight="1">
      <c r="A791" s="35" t="n">
        <v>787</v>
      </c>
      <c r="B791" s="35" t="n">
        <v>1787</v>
      </c>
      <c r="C791" s="36" t="inlineStr">
        <is>
          <t>0306916018</t>
        </is>
      </c>
      <c r="D791" s="36" t="inlineStr">
        <is>
          <t>Region III (Central Luzon)</t>
        </is>
      </c>
      <c r="E791" s="36" t="inlineStr">
        <is>
          <t>Tarlac</t>
        </is>
      </c>
      <c r="F791" s="36" t="inlineStr">
        <is>
          <t>City of Tarlac</t>
        </is>
      </c>
      <c r="G791" s="36" t="inlineStr">
        <is>
          <t>Binauganan</t>
        </is>
      </c>
      <c r="H791" s="37" t="n">
        <v>15.476533</v>
      </c>
      <c r="I791" s="37" t="n">
        <v>120.602768</v>
      </c>
      <c r="J791" s="8" t="inlineStr">
        <is>
          <t>U</t>
        </is>
      </c>
      <c r="K791" s="36" t="inlineStr">
        <is>
          <t>Class 1-3 / Urban</t>
        </is>
      </c>
      <c r="L791" s="18" t="n">
        <v>5791</v>
      </c>
      <c r="M791" s="20" t="n">
        <v>4.3</v>
      </c>
      <c r="N791" s="18">
        <f>ROUND(L791/M791, 0)</f>
        <v/>
      </c>
      <c r="O791" s="18">
        <f>ROUND(N791*'Methodology &amp; Assumptions'!$B$8, 0)</f>
        <v/>
      </c>
      <c r="P791" s="8" t="inlineStr">
        <is>
          <t>Band n50 (1.5 GHz, 60 MHz)</t>
        </is>
      </c>
      <c r="Q791" s="38">
        <f>ROUNDUP(O791/'Methodology &amp; Assumptions'!$B$9, 0)</f>
        <v/>
      </c>
      <c r="R791" s="39" t="n">
        <v>1</v>
      </c>
      <c r="S791" s="21" t="n">
        <v>1.1</v>
      </c>
      <c r="T791" s="21" t="n">
        <v>0.64</v>
      </c>
      <c r="U791" s="36" t="inlineStr">
        <is>
          <t>Tier 1B (Micro Drop, 1-3 km)</t>
        </is>
      </c>
      <c r="V791" s="20" t="n">
        <v>79.3</v>
      </c>
      <c r="W791" s="20" t="n">
        <v>100</v>
      </c>
      <c r="X791" s="20" t="n">
        <v>28</v>
      </c>
      <c r="Y791" s="40">
        <f>ROUND((V791*'Methodology &amp; Assumptions'!$B$6)+(W791*'Methodology &amp; Assumptions'!$B$5)+(X791*'Methodology &amp; Assumptions'!$B$7), 2)</f>
        <v/>
      </c>
    </row>
    <row r="792" ht="19" customHeight="1">
      <c r="A792" s="41" t="n">
        <v>788</v>
      </c>
      <c r="B792" s="41" t="n">
        <v>1788</v>
      </c>
      <c r="C792" s="42" t="inlineStr">
        <is>
          <t>1403213037</t>
        </is>
      </c>
      <c r="D792" s="42" t="inlineStr">
        <is>
          <t>Cordillera Administrative Region (CAR)</t>
        </is>
      </c>
      <c r="E792" s="42" t="inlineStr">
        <is>
          <t>Kalinga</t>
        </is>
      </c>
      <c r="F792" s="42" t="inlineStr">
        <is>
          <t>City of Tabuk</t>
        </is>
      </c>
      <c r="G792" s="42" t="inlineStr">
        <is>
          <t>Dagupan Weste</t>
        </is>
      </c>
      <c r="H792" s="43" t="n">
        <v>17.472973</v>
      </c>
      <c r="I792" s="43" t="n">
        <v>121.46453</v>
      </c>
      <c r="J792" s="44" t="inlineStr">
        <is>
          <t>U</t>
        </is>
      </c>
      <c r="K792" s="42" t="inlineStr">
        <is>
          <t>Class 1-3 / Urban</t>
        </is>
      </c>
      <c r="L792" s="23" t="n">
        <v>5029</v>
      </c>
      <c r="M792" s="24" t="n">
        <v>5.34</v>
      </c>
      <c r="N792" s="23">
        <f>ROUND(L792/M792, 0)</f>
        <v/>
      </c>
      <c r="O792" s="23">
        <f>ROUND(N792*'Methodology &amp; Assumptions'!$B$8, 0)</f>
        <v/>
      </c>
      <c r="P792" s="44" t="inlineStr">
        <is>
          <t>Band n50 (1.5 GHz, 60 MHz)</t>
        </is>
      </c>
      <c r="Q792" s="38">
        <f>ROUNDUP(O792/'Methodology &amp; Assumptions'!$B$9, 0)</f>
        <v/>
      </c>
      <c r="R792" s="39" t="n">
        <v>1</v>
      </c>
      <c r="S792" s="25" t="n">
        <v>0.53</v>
      </c>
      <c r="T792" s="25" t="n">
        <v>3.6</v>
      </c>
      <c r="U792" s="42" t="inlineStr">
        <is>
          <t>Tier 1A (Direct Coloc, &lt;1 km)</t>
        </is>
      </c>
      <c r="V792" s="24" t="n">
        <v>83.8</v>
      </c>
      <c r="W792" s="24" t="n">
        <v>95.5</v>
      </c>
      <c r="X792" s="24" t="n">
        <v>28</v>
      </c>
      <c r="Y792" s="45">
        <f>ROUND((V792*'Methodology &amp; Assumptions'!$B$6)+(W792*'Methodology &amp; Assumptions'!$B$5)+(X792*'Methodology &amp; Assumptions'!$B$7), 2)</f>
        <v/>
      </c>
    </row>
    <row r="793" ht="19" customHeight="1">
      <c r="A793" s="35" t="n">
        <v>789</v>
      </c>
      <c r="B793" s="35" t="n">
        <v>1789</v>
      </c>
      <c r="C793" s="36" t="inlineStr">
        <is>
          <t>0803738073</t>
        </is>
      </c>
      <c r="D793" s="36" t="inlineStr">
        <is>
          <t>Region VIII (Eastern Visayas)</t>
        </is>
      </c>
      <c r="E793" s="36" t="inlineStr">
        <is>
          <t>Leyte</t>
        </is>
      </c>
      <c r="F793" s="36" t="inlineStr">
        <is>
          <t>Ormoc City</t>
        </is>
      </c>
      <c r="G793" s="36" t="inlineStr">
        <is>
          <t>Naungan</t>
        </is>
      </c>
      <c r="H793" s="37" t="n">
        <v>11.012776</v>
      </c>
      <c r="I793" s="37" t="n">
        <v>124.579213</v>
      </c>
      <c r="J793" s="8" t="inlineStr">
        <is>
          <t>R</t>
        </is>
      </c>
      <c r="K793" s="36" t="inlineStr">
        <is>
          <t>Class 1-3 / Urban</t>
        </is>
      </c>
      <c r="L793" s="18" t="n">
        <v>3935</v>
      </c>
      <c r="M793" s="20" t="n">
        <v>4.24</v>
      </c>
      <c r="N793" s="18">
        <f>ROUND(L793/M793, 0)</f>
        <v/>
      </c>
      <c r="O793" s="18">
        <f>ROUND(N793*'Methodology &amp; Assumptions'!$B$8, 0)</f>
        <v/>
      </c>
      <c r="P793" s="8" t="inlineStr">
        <is>
          <t>Band n50 (1.5 GHz, 60 MHz)</t>
        </is>
      </c>
      <c r="Q793" s="38">
        <f>ROUNDUP(O793/'Methodology &amp; Assumptions'!$B$9, 0)</f>
        <v/>
      </c>
      <c r="R793" s="39" t="n">
        <v>1</v>
      </c>
      <c r="S793" s="21" t="n">
        <v>2.37</v>
      </c>
      <c r="T793" s="21" t="n">
        <v>1.92</v>
      </c>
      <c r="U793" s="36" t="inlineStr">
        <is>
          <t>Tier 1B (Micro Drop, 1-3 km)</t>
        </is>
      </c>
      <c r="V793" s="20" t="n">
        <v>55.4</v>
      </c>
      <c r="W793" s="20" t="n">
        <v>98.09999999999999</v>
      </c>
      <c r="X793" s="20" t="n">
        <v>58</v>
      </c>
      <c r="Y793" s="40">
        <f>ROUND((V793*'Methodology &amp; Assumptions'!$B$6)+(W793*'Methodology &amp; Assumptions'!$B$5)+(X793*'Methodology &amp; Assumptions'!$B$7), 2)</f>
        <v/>
      </c>
    </row>
    <row r="794" ht="19" customHeight="1">
      <c r="A794" s="41" t="n">
        <v>790</v>
      </c>
      <c r="B794" s="41" t="n">
        <v>1790</v>
      </c>
      <c r="C794" s="42" t="inlineStr">
        <is>
          <t>1403209020</t>
        </is>
      </c>
      <c r="D794" s="42" t="inlineStr">
        <is>
          <t>Cordillera Administrative Region (CAR)</t>
        </is>
      </c>
      <c r="E794" s="42" t="inlineStr">
        <is>
          <t>Kalinga</t>
        </is>
      </c>
      <c r="F794" s="42" t="inlineStr">
        <is>
          <t>Pinukpuk</t>
        </is>
      </c>
      <c r="G794" s="42" t="inlineStr">
        <is>
          <t>Pinukpuk Junction</t>
        </is>
      </c>
      <c r="H794" s="43" t="n">
        <v>17.615745</v>
      </c>
      <c r="I794" s="43" t="n">
        <v>121.408215</v>
      </c>
      <c r="J794" s="44" t="inlineStr">
        <is>
          <t>R</t>
        </is>
      </c>
      <c r="K794" s="42" t="inlineStr">
        <is>
          <t>Class 1-3 / Urban</t>
        </is>
      </c>
      <c r="L794" s="23" t="n">
        <v>3337</v>
      </c>
      <c r="M794" s="24" t="n">
        <v>5.34</v>
      </c>
      <c r="N794" s="23">
        <f>ROUND(L794/M794, 0)</f>
        <v/>
      </c>
      <c r="O794" s="23">
        <f>ROUND(N794*'Methodology &amp; Assumptions'!$B$8, 0)</f>
        <v/>
      </c>
      <c r="P794" s="44" t="inlineStr">
        <is>
          <t>Band n50 (1.5 GHz, 60 MHz)</t>
        </is>
      </c>
      <c r="Q794" s="38">
        <f>ROUNDUP(O794/'Methodology &amp; Assumptions'!$B$9, 0)</f>
        <v/>
      </c>
      <c r="R794" s="39" t="n">
        <v>1</v>
      </c>
      <c r="S794" s="25" t="n">
        <v>0.93</v>
      </c>
      <c r="T794" s="25" t="n">
        <v>0.13</v>
      </c>
      <c r="U794" s="42" t="inlineStr">
        <is>
          <t>Tier 1A (Direct Coloc, &lt;1 km)</t>
        </is>
      </c>
      <c r="V794" s="24" t="n">
        <v>83.40000000000001</v>
      </c>
      <c r="W794" s="24" t="n">
        <v>70.09999999999999</v>
      </c>
      <c r="X794" s="24" t="n">
        <v>58</v>
      </c>
      <c r="Y794" s="45">
        <f>ROUND((V794*'Methodology &amp; Assumptions'!$B$6)+(W794*'Methodology &amp; Assumptions'!$B$5)+(X794*'Methodology &amp; Assumptions'!$B$7), 2)</f>
        <v/>
      </c>
    </row>
    <row r="795" ht="19" customHeight="1">
      <c r="A795" s="35" t="n">
        <v>791</v>
      </c>
      <c r="B795" s="35" t="n">
        <v>1791</v>
      </c>
      <c r="C795" s="36" t="inlineStr">
        <is>
          <t>0401014054</t>
        </is>
      </c>
      <c r="D795" s="36" t="inlineStr">
        <is>
          <t>Region IV-A (CALABARZON)</t>
        </is>
      </c>
      <c r="E795" s="36" t="inlineStr">
        <is>
          <t>Batangas</t>
        </is>
      </c>
      <c r="F795" s="36" t="inlineStr">
        <is>
          <t>City of Lipa</t>
        </is>
      </c>
      <c r="G795" s="36" t="inlineStr">
        <is>
          <t>Sabang</t>
        </is>
      </c>
      <c r="H795" s="37" t="n">
        <v>13.951013</v>
      </c>
      <c r="I795" s="37" t="n">
        <v>121.173902</v>
      </c>
      <c r="J795" s="8" t="inlineStr">
        <is>
          <t>U</t>
        </is>
      </c>
      <c r="K795" s="36" t="inlineStr">
        <is>
          <t>Class 1-3 / Urban</t>
        </is>
      </c>
      <c r="L795" s="18" t="n">
        <v>22153</v>
      </c>
      <c r="M795" s="20" t="n">
        <v>4.62</v>
      </c>
      <c r="N795" s="18">
        <f>ROUND(L795/M795, 0)</f>
        <v/>
      </c>
      <c r="O795" s="18">
        <f>ROUND(N795*'Methodology &amp; Assumptions'!$B$8, 0)</f>
        <v/>
      </c>
      <c r="P795" s="8" t="inlineStr">
        <is>
          <t>Band n50 (1.5 GHz, 60 MHz)</t>
        </is>
      </c>
      <c r="Q795" s="38">
        <f>ROUNDUP(O795/'Methodology &amp; Assumptions'!$B$9, 0)</f>
        <v/>
      </c>
      <c r="R795" s="39" t="n">
        <v>1</v>
      </c>
      <c r="S795" s="21" t="n">
        <v>1.1</v>
      </c>
      <c r="T795" s="21" t="n">
        <v>0.89</v>
      </c>
      <c r="U795" s="36" t="inlineStr">
        <is>
          <t>Tier 1B (Micro Drop, 1-3 km)</t>
        </is>
      </c>
      <c r="V795" s="20" t="n">
        <v>79.3</v>
      </c>
      <c r="W795" s="20" t="n">
        <v>100</v>
      </c>
      <c r="X795" s="20" t="n">
        <v>28</v>
      </c>
      <c r="Y795" s="40">
        <f>ROUND((V795*'Methodology &amp; Assumptions'!$B$6)+(W795*'Methodology &amp; Assumptions'!$B$5)+(X795*'Methodology &amp; Assumptions'!$B$7), 2)</f>
        <v/>
      </c>
    </row>
    <row r="796" ht="19" customHeight="1">
      <c r="A796" s="41" t="n">
        <v>792</v>
      </c>
      <c r="B796" s="41" t="n">
        <v>1792</v>
      </c>
      <c r="C796" s="42" t="inlineStr">
        <is>
          <t>0403415013</t>
        </is>
      </c>
      <c r="D796" s="42" t="inlineStr">
        <is>
          <t>Region IV-A (CALABARZON)</t>
        </is>
      </c>
      <c r="E796" s="42" t="inlineStr">
        <is>
          <t>Laguna</t>
        </is>
      </c>
      <c r="F796" s="42" t="inlineStr">
        <is>
          <t>Magdalena</t>
        </is>
      </c>
      <c r="G796" s="42" t="inlineStr">
        <is>
          <t>Ibabang Butnong</t>
        </is>
      </c>
      <c r="H796" s="43" t="n">
        <v>14.203032</v>
      </c>
      <c r="I796" s="43" t="n">
        <v>121.428164</v>
      </c>
      <c r="J796" s="44" t="inlineStr">
        <is>
          <t>R</t>
        </is>
      </c>
      <c r="K796" s="42" t="inlineStr">
        <is>
          <t>3rd</t>
        </is>
      </c>
      <c r="L796" s="23" t="n">
        <v>1995</v>
      </c>
      <c r="M796" s="24" t="n">
        <v>4.3</v>
      </c>
      <c r="N796" s="23">
        <f>ROUND(L796/M796, 0)</f>
        <v/>
      </c>
      <c r="O796" s="23">
        <f>ROUND(N796*'Methodology &amp; Assumptions'!$B$8, 0)</f>
        <v/>
      </c>
      <c r="P796" s="44" t="inlineStr">
        <is>
          <t>Band n50 (1.5 GHz, 60 MHz)</t>
        </is>
      </c>
      <c r="Q796" s="38">
        <f>ROUNDUP(O796/'Methodology &amp; Assumptions'!$B$9, 0)</f>
        <v/>
      </c>
      <c r="R796" s="39" t="n">
        <v>1</v>
      </c>
      <c r="S796" s="25" t="n">
        <v>0.58</v>
      </c>
      <c r="T796" s="25" t="n">
        <v>0.16</v>
      </c>
      <c r="U796" s="42" t="inlineStr">
        <is>
          <t>Tier 1A (Direct Coloc, &lt;1 km)</t>
        </is>
      </c>
      <c r="V796" s="24" t="n">
        <v>92.5</v>
      </c>
      <c r="W796" s="24" t="n">
        <v>61.1</v>
      </c>
      <c r="X796" s="24" t="n">
        <v>58</v>
      </c>
      <c r="Y796" s="45">
        <f>ROUND((V796*'Methodology &amp; Assumptions'!$B$6)+(W796*'Methodology &amp; Assumptions'!$B$5)+(X796*'Methodology &amp; Assumptions'!$B$7), 2)</f>
        <v/>
      </c>
    </row>
    <row r="797" ht="19" customHeight="1">
      <c r="A797" s="35" t="n">
        <v>793</v>
      </c>
      <c r="B797" s="35" t="n">
        <v>1793</v>
      </c>
      <c r="C797" s="36" t="inlineStr">
        <is>
          <t>0500510010</t>
        </is>
      </c>
      <c r="D797" s="36" t="inlineStr">
        <is>
          <t>Region V (Bicol Region)</t>
        </is>
      </c>
      <c r="E797" s="36" t="inlineStr">
        <is>
          <t>Albay</t>
        </is>
      </c>
      <c r="F797" s="36" t="inlineStr">
        <is>
          <t>Malinao</t>
        </is>
      </c>
      <c r="G797" s="36" t="inlineStr">
        <is>
          <t>Comun</t>
        </is>
      </c>
      <c r="H797" s="37" t="n">
        <v>13.344287</v>
      </c>
      <c r="I797" s="37" t="n">
        <v>123.662767</v>
      </c>
      <c r="J797" s="8" t="inlineStr">
        <is>
          <t>R</t>
        </is>
      </c>
      <c r="K797" s="36" t="inlineStr">
        <is>
          <t>Class 1-3 / Urban</t>
        </is>
      </c>
      <c r="L797" s="18" t="n">
        <v>1839</v>
      </c>
      <c r="M797" s="20" t="n">
        <v>4.67</v>
      </c>
      <c r="N797" s="18">
        <f>ROUND(L797/M797, 0)</f>
        <v/>
      </c>
      <c r="O797" s="18">
        <f>ROUND(N797*'Methodology &amp; Assumptions'!$B$8, 0)</f>
        <v/>
      </c>
      <c r="P797" s="8" t="inlineStr">
        <is>
          <t>Band n50 (1.5 GHz, 60 MHz)</t>
        </is>
      </c>
      <c r="Q797" s="38">
        <f>ROUNDUP(O797/'Methodology &amp; Assumptions'!$B$9, 0)</f>
        <v/>
      </c>
      <c r="R797" s="39" t="n">
        <v>1</v>
      </c>
      <c r="S797" s="21" t="n">
        <v>0.38</v>
      </c>
      <c r="T797" s="21" t="n">
        <v>0.86</v>
      </c>
      <c r="U797" s="36" t="inlineStr">
        <is>
          <t>Tier 1A (Direct Coloc, &lt;1 km)</t>
        </is>
      </c>
      <c r="V797" s="20" t="n">
        <v>98.09999999999999</v>
      </c>
      <c r="W797" s="20" t="n">
        <v>55.5</v>
      </c>
      <c r="X797" s="20" t="n">
        <v>58</v>
      </c>
      <c r="Y797" s="40">
        <f>ROUND((V797*'Methodology &amp; Assumptions'!$B$6)+(W797*'Methodology &amp; Assumptions'!$B$5)+(X797*'Methodology &amp; Assumptions'!$B$7), 2)</f>
        <v/>
      </c>
    </row>
    <row r="798" ht="19" customHeight="1">
      <c r="A798" s="41" t="n">
        <v>794</v>
      </c>
      <c r="B798" s="41" t="n">
        <v>1794</v>
      </c>
      <c r="C798" s="42" t="inlineStr">
        <is>
          <t>0330100010</t>
        </is>
      </c>
      <c r="D798" s="42" t="inlineStr">
        <is>
          <t>Region III (Central Luzon)</t>
        </is>
      </c>
      <c r="E798" s="42" t="inlineStr">
        <is>
          <t>Pampanga</t>
        </is>
      </c>
      <c r="F798" s="42" t="inlineStr">
        <is>
          <t>City of Angeles</t>
        </is>
      </c>
      <c r="G798" s="42" t="inlineStr">
        <is>
          <t>Lourdes North West</t>
        </is>
      </c>
      <c r="H798" s="43" t="n">
        <v>15.144647</v>
      </c>
      <c r="I798" s="43" t="n">
        <v>120.58466</v>
      </c>
      <c r="J798" s="44" t="inlineStr">
        <is>
          <t>U</t>
        </is>
      </c>
      <c r="K798" s="42" t="inlineStr">
        <is>
          <t>Class 1-3 / Urban</t>
        </is>
      </c>
      <c r="L798" s="23" t="n">
        <v>10054</v>
      </c>
      <c r="M798" s="24" t="n">
        <v>4.63</v>
      </c>
      <c r="N798" s="23">
        <f>ROUND(L798/M798, 0)</f>
        <v/>
      </c>
      <c r="O798" s="23">
        <f>ROUND(N798*'Methodology &amp; Assumptions'!$B$8, 0)</f>
        <v/>
      </c>
      <c r="P798" s="44" t="inlineStr">
        <is>
          <t>Band n50 (1.5 GHz, 60 MHz)</t>
        </is>
      </c>
      <c r="Q798" s="38">
        <f>ROUNDUP(O798/'Methodology &amp; Assumptions'!$B$9, 0)</f>
        <v/>
      </c>
      <c r="R798" s="39" t="n">
        <v>1</v>
      </c>
      <c r="S798" s="25" t="n">
        <v>1.1</v>
      </c>
      <c r="T798" s="25" t="n">
        <v>0.11</v>
      </c>
      <c r="U798" s="42" t="inlineStr">
        <is>
          <t>Tier 1B (Micro Drop, 1-3 km)</t>
        </is>
      </c>
      <c r="V798" s="24" t="n">
        <v>79.2</v>
      </c>
      <c r="W798" s="24" t="n">
        <v>100</v>
      </c>
      <c r="X798" s="24" t="n">
        <v>28</v>
      </c>
      <c r="Y798" s="45">
        <f>ROUND((V798*'Methodology &amp; Assumptions'!$B$6)+(W798*'Methodology &amp; Assumptions'!$B$5)+(X798*'Methodology &amp; Assumptions'!$B$7), 2)</f>
        <v/>
      </c>
    </row>
    <row r="799" ht="19" customHeight="1">
      <c r="A799" s="35" t="n">
        <v>795</v>
      </c>
      <c r="B799" s="35" t="n">
        <v>1795</v>
      </c>
      <c r="C799" s="36" t="inlineStr">
        <is>
          <t>0205010019</t>
        </is>
      </c>
      <c r="D799" s="36" t="inlineStr">
        <is>
          <t>Region II (Cagayan Valley)</t>
        </is>
      </c>
      <c r="E799" s="36" t="inlineStr">
        <is>
          <t>Nueva Vizcaya</t>
        </is>
      </c>
      <c r="F799" s="36" t="inlineStr">
        <is>
          <t>Kayapa</t>
        </is>
      </c>
      <c r="G799" s="36" t="inlineStr">
        <is>
          <t>Pingkian</t>
        </is>
      </c>
      <c r="H799" s="37" t="n">
        <v>16.309776</v>
      </c>
      <c r="I799" s="37" t="n">
        <v>120.956898</v>
      </c>
      <c r="J799" s="8" t="inlineStr">
        <is>
          <t>R</t>
        </is>
      </c>
      <c r="K799" s="36" t="inlineStr">
        <is>
          <t>Class 1-3 / Urban</t>
        </is>
      </c>
      <c r="L799" s="18" t="n">
        <v>1652</v>
      </c>
      <c r="M799" s="20" t="n">
        <v>4.19</v>
      </c>
      <c r="N799" s="18">
        <f>ROUND(L799/M799, 0)</f>
        <v/>
      </c>
      <c r="O799" s="18">
        <f>ROUND(N799*'Methodology &amp; Assumptions'!$B$8, 0)</f>
        <v/>
      </c>
      <c r="P799" s="8" t="inlineStr">
        <is>
          <t>Band n50 (1.5 GHz, 60 MHz)</t>
        </is>
      </c>
      <c r="Q799" s="38">
        <f>ROUNDUP(O799/'Methodology &amp; Assumptions'!$B$9, 0)</f>
        <v/>
      </c>
      <c r="R799" s="39" t="n">
        <v>1</v>
      </c>
      <c r="S799" s="21" t="n">
        <v>0.38</v>
      </c>
      <c r="T799" s="21" t="n">
        <v>0.07000000000000001</v>
      </c>
      <c r="U799" s="36" t="inlineStr">
        <is>
          <t>Tier 1A (Direct Coloc, &lt;1 km)</t>
        </is>
      </c>
      <c r="V799" s="20" t="n">
        <v>98</v>
      </c>
      <c r="W799" s="20" t="n">
        <v>55.5</v>
      </c>
      <c r="X799" s="20" t="n">
        <v>58</v>
      </c>
      <c r="Y799" s="40">
        <f>ROUND((V799*'Methodology &amp; Assumptions'!$B$6)+(W799*'Methodology &amp; Assumptions'!$B$5)+(X799*'Methodology &amp; Assumptions'!$B$7), 2)</f>
        <v/>
      </c>
    </row>
    <row r="800" ht="19" customHeight="1">
      <c r="A800" s="41" t="n">
        <v>796</v>
      </c>
      <c r="B800" s="41" t="n">
        <v>1796</v>
      </c>
      <c r="C800" s="42" t="inlineStr">
        <is>
          <t>0730600068</t>
        </is>
      </c>
      <c r="D800" s="42" t="inlineStr">
        <is>
          <t>Region VII (Central Visayas)</t>
        </is>
      </c>
      <c r="E800" s="42" t="inlineStr">
        <is>
          <t>Cebu</t>
        </is>
      </c>
      <c r="F800" s="42" t="inlineStr">
        <is>
          <t>City of Cebu</t>
        </is>
      </c>
      <c r="G800" s="42" t="inlineStr">
        <is>
          <t>San Nicolas Central</t>
        </is>
      </c>
      <c r="H800" s="43" t="n">
        <v>10.295138</v>
      </c>
      <c r="I800" s="43" t="n">
        <v>123.890716</v>
      </c>
      <c r="J800" s="44" t="inlineStr">
        <is>
          <t>U</t>
        </is>
      </c>
      <c r="K800" s="42" t="inlineStr">
        <is>
          <t>Class 1-3 / Urban</t>
        </is>
      </c>
      <c r="L800" s="23" t="n">
        <v>5327</v>
      </c>
      <c r="M800" s="24" t="n">
        <v>4.42</v>
      </c>
      <c r="N800" s="23">
        <f>ROUND(L800/M800, 0)</f>
        <v/>
      </c>
      <c r="O800" s="23">
        <f>ROUND(N800*'Methodology &amp; Assumptions'!$B$8, 0)</f>
        <v/>
      </c>
      <c r="P800" s="44" t="inlineStr">
        <is>
          <t>Band n50 (1.5 GHz, 60 MHz)</t>
        </is>
      </c>
      <c r="Q800" s="38">
        <f>ROUNDUP(O800/'Methodology &amp; Assumptions'!$B$9, 0)</f>
        <v/>
      </c>
      <c r="R800" s="39" t="n">
        <v>1</v>
      </c>
      <c r="S800" s="25" t="n">
        <v>1.11</v>
      </c>
      <c r="T800" s="25" t="n">
        <v>0.41</v>
      </c>
      <c r="U800" s="42" t="inlineStr">
        <is>
          <t>Tier 1B (Micro Drop, 1-3 km)</t>
        </is>
      </c>
      <c r="V800" s="24" t="n">
        <v>79.2</v>
      </c>
      <c r="W800" s="24" t="n">
        <v>100</v>
      </c>
      <c r="X800" s="24" t="n">
        <v>28</v>
      </c>
      <c r="Y800" s="45">
        <f>ROUND((V800*'Methodology &amp; Assumptions'!$B$6)+(W800*'Methodology &amp; Assumptions'!$B$5)+(X800*'Methodology &amp; Assumptions'!$B$7), 2)</f>
        <v/>
      </c>
    </row>
    <row r="801" ht="19" customHeight="1">
      <c r="A801" s="35" t="n">
        <v>797</v>
      </c>
      <c r="B801" s="35" t="n">
        <v>1797</v>
      </c>
      <c r="C801" s="36" t="inlineStr">
        <is>
          <t>0506203057</t>
        </is>
      </c>
      <c r="D801" s="36" t="inlineStr">
        <is>
          <t>Region V (Bicol Region)</t>
        </is>
      </c>
      <c r="E801" s="36" t="inlineStr">
        <is>
          <t>Sorsogon</t>
        </is>
      </c>
      <c r="F801" s="36" t="inlineStr">
        <is>
          <t>Bulan</t>
        </is>
      </c>
      <c r="G801" s="36" t="inlineStr">
        <is>
          <t>San Vicente</t>
        </is>
      </c>
      <c r="H801" s="37" t="n">
        <v>12.662764</v>
      </c>
      <c r="I801" s="37" t="n">
        <v>123.880119</v>
      </c>
      <c r="J801" s="8" t="inlineStr">
        <is>
          <t>U</t>
        </is>
      </c>
      <c r="K801" s="36" t="inlineStr">
        <is>
          <t>Class 1-3 / Urban</t>
        </is>
      </c>
      <c r="L801" s="18" t="n">
        <v>5309</v>
      </c>
      <c r="M801" s="20" t="n">
        <v>4.58</v>
      </c>
      <c r="N801" s="18">
        <f>ROUND(L801/M801, 0)</f>
        <v/>
      </c>
      <c r="O801" s="18">
        <f>ROUND(N801*'Methodology &amp; Assumptions'!$B$8, 0)</f>
        <v/>
      </c>
      <c r="P801" s="8" t="inlineStr">
        <is>
          <t>Band n50 (1.5 GHz, 60 MHz)</t>
        </is>
      </c>
      <c r="Q801" s="38">
        <f>ROUNDUP(O801/'Methodology &amp; Assumptions'!$B$9, 0)</f>
        <v/>
      </c>
      <c r="R801" s="39" t="n">
        <v>1</v>
      </c>
      <c r="S801" s="21" t="n">
        <v>1.11</v>
      </c>
      <c r="T801" s="21" t="n">
        <v>0.4</v>
      </c>
      <c r="U801" s="36" t="inlineStr">
        <is>
          <t>Tier 1B (Micro Drop, 1-3 km)</t>
        </is>
      </c>
      <c r="V801" s="20" t="n">
        <v>79.2</v>
      </c>
      <c r="W801" s="20" t="n">
        <v>100</v>
      </c>
      <c r="X801" s="20" t="n">
        <v>28</v>
      </c>
      <c r="Y801" s="40">
        <f>ROUND((V801*'Methodology &amp; Assumptions'!$B$6)+(W801*'Methodology &amp; Assumptions'!$B$5)+(X801*'Methodology &amp; Assumptions'!$B$7), 2)</f>
        <v/>
      </c>
    </row>
    <row r="802" ht="19" customHeight="1">
      <c r="A802" s="41" t="n">
        <v>798</v>
      </c>
      <c r="B802" s="41" t="n">
        <v>1798</v>
      </c>
      <c r="C802" s="42" t="inlineStr">
        <is>
          <t>0701201001</t>
        </is>
      </c>
      <c r="D802" s="42" t="inlineStr">
        <is>
          <t>Region VII (Central Visayas)</t>
        </is>
      </c>
      <c r="E802" s="42" t="inlineStr">
        <is>
          <t>Bohol</t>
        </is>
      </c>
      <c r="F802" s="42" t="inlineStr">
        <is>
          <t>Alburquerque</t>
        </is>
      </c>
      <c r="G802" s="42" t="inlineStr">
        <is>
          <t>Bahi</t>
        </is>
      </c>
      <c r="H802" s="43" t="n">
        <v>9.612434</v>
      </c>
      <c r="I802" s="43" t="n">
        <v>123.943866</v>
      </c>
      <c r="J802" s="44" t="inlineStr">
        <is>
          <t>R</t>
        </is>
      </c>
      <c r="K802" s="42" t="inlineStr">
        <is>
          <t>4th</t>
        </is>
      </c>
      <c r="L802" s="23" t="n">
        <v>1049</v>
      </c>
      <c r="M802" s="24" t="n">
        <v>4.34</v>
      </c>
      <c r="N802" s="23">
        <f>ROUND(L802/M802, 0)</f>
        <v/>
      </c>
      <c r="O802" s="23">
        <f>ROUND(N802*'Methodology &amp; Assumptions'!$B$8, 0)</f>
        <v/>
      </c>
      <c r="P802" s="44" t="inlineStr">
        <is>
          <t>Band n50 (1.5 GHz, 60 MHz)</t>
        </is>
      </c>
      <c r="Q802" s="38">
        <f>ROUNDUP(O802/'Methodology &amp; Assumptions'!$B$9, 0)</f>
        <v/>
      </c>
      <c r="R802" s="39" t="n">
        <v>1</v>
      </c>
      <c r="S802" s="25" t="n">
        <v>0.74</v>
      </c>
      <c r="T802" s="25" t="n">
        <v>0.25</v>
      </c>
      <c r="U802" s="42" t="inlineStr">
        <is>
          <t>Tier 1A (Direct Coloc, &lt;1 km)</t>
        </is>
      </c>
      <c r="V802" s="24" t="n">
        <v>88.09999999999999</v>
      </c>
      <c r="W802" s="24" t="n">
        <v>43.5</v>
      </c>
      <c r="X802" s="24" t="n">
        <v>83.5</v>
      </c>
      <c r="Y802" s="45">
        <f>ROUND((V802*'Methodology &amp; Assumptions'!$B$6)+(W802*'Methodology &amp; Assumptions'!$B$5)+(X802*'Methodology &amp; Assumptions'!$B$7), 2)</f>
        <v/>
      </c>
    </row>
    <row r="803" ht="19" customHeight="1">
      <c r="A803" s="35" t="n">
        <v>799</v>
      </c>
      <c r="B803" s="35" t="n">
        <v>1799</v>
      </c>
      <c r="C803" s="36" t="inlineStr">
        <is>
          <t>0305415022</t>
        </is>
      </c>
      <c r="D803" s="36" t="inlineStr">
        <is>
          <t>Region III (Central Luzon)</t>
        </is>
      </c>
      <c r="E803" s="36" t="inlineStr">
        <is>
          <t>Pampanga</t>
        </is>
      </c>
      <c r="F803" s="36" t="inlineStr">
        <is>
          <t>Porac</t>
        </is>
      </c>
      <c r="G803" s="36" t="inlineStr">
        <is>
          <t>Palat</t>
        </is>
      </c>
      <c r="H803" s="37" t="n">
        <v>15.04258</v>
      </c>
      <c r="I803" s="37" t="n">
        <v>120.5358</v>
      </c>
      <c r="J803" s="8" t="inlineStr">
        <is>
          <t>R</t>
        </is>
      </c>
      <c r="K803" s="36" t="inlineStr">
        <is>
          <t>Class 1-3 / Urban</t>
        </is>
      </c>
      <c r="L803" s="18" t="n">
        <v>4426</v>
      </c>
      <c r="M803" s="20" t="n">
        <v>4.63</v>
      </c>
      <c r="N803" s="18">
        <f>ROUND(L803/M803, 0)</f>
        <v/>
      </c>
      <c r="O803" s="18">
        <f>ROUND(N803*'Methodology &amp; Assumptions'!$B$8, 0)</f>
        <v/>
      </c>
      <c r="P803" s="8" t="inlineStr">
        <is>
          <t>Band n50 (1.5 GHz, 60 MHz)</t>
        </is>
      </c>
      <c r="Q803" s="38">
        <f>ROUNDUP(O803/'Methodology &amp; Assumptions'!$B$9, 0)</f>
        <v/>
      </c>
      <c r="R803" s="39" t="n">
        <v>1</v>
      </c>
      <c r="S803" s="21" t="n">
        <v>2.5</v>
      </c>
      <c r="T803" s="21" t="n">
        <v>0.98</v>
      </c>
      <c r="U803" s="36" t="inlineStr">
        <is>
          <t>Tier 1B (Micro Drop, 1-3 km)</t>
        </is>
      </c>
      <c r="V803" s="20" t="n">
        <v>53.4</v>
      </c>
      <c r="W803" s="20" t="n">
        <v>100</v>
      </c>
      <c r="X803" s="20" t="n">
        <v>58</v>
      </c>
      <c r="Y803" s="40">
        <f>ROUND((V803*'Methodology &amp; Assumptions'!$B$6)+(W803*'Methodology &amp; Assumptions'!$B$5)+(X803*'Methodology &amp; Assumptions'!$B$7), 2)</f>
        <v/>
      </c>
    </row>
    <row r="804" ht="19" customHeight="1">
      <c r="A804" s="41" t="n">
        <v>800</v>
      </c>
      <c r="B804" s="41" t="n">
        <v>1800</v>
      </c>
      <c r="C804" s="42" t="inlineStr">
        <is>
          <t>0501612016</t>
        </is>
      </c>
      <c r="D804" s="42" t="inlineStr">
        <is>
          <t>Region V (Bicol Region)</t>
        </is>
      </c>
      <c r="E804" s="42" t="inlineStr">
        <is>
          <t>Camarines Norte</t>
        </is>
      </c>
      <c r="F804" s="42" t="inlineStr">
        <is>
          <t>Vinzons</t>
        </is>
      </c>
      <c r="G804" s="42" t="inlineStr">
        <is>
          <t>Barangay III</t>
        </is>
      </c>
      <c r="H804" s="43" t="n">
        <v>14.1745</v>
      </c>
      <c r="I804" s="43" t="n">
        <v>122.9047</v>
      </c>
      <c r="J804" s="44" t="inlineStr">
        <is>
          <t>R</t>
        </is>
      </c>
      <c r="K804" s="42" t="inlineStr">
        <is>
          <t>Class 1-3 / Urban</t>
        </is>
      </c>
      <c r="L804" s="23" t="n">
        <v>2145</v>
      </c>
      <c r="M804" s="24" t="n">
        <v>4.4</v>
      </c>
      <c r="N804" s="23">
        <f>ROUND(L804/M804, 0)</f>
        <v/>
      </c>
      <c r="O804" s="23">
        <f>ROUND(N804*'Methodology &amp; Assumptions'!$B$8, 0)</f>
        <v/>
      </c>
      <c r="P804" s="44" t="inlineStr">
        <is>
          <t>Band n50 (1.5 GHz, 60 MHz)</t>
        </is>
      </c>
      <c r="Q804" s="38">
        <f>ROUNDUP(O804/'Methodology &amp; Assumptions'!$B$9, 0)</f>
        <v/>
      </c>
      <c r="R804" s="39" t="n">
        <v>1</v>
      </c>
      <c r="S804" s="25" t="n">
        <v>0.3</v>
      </c>
      <c r="T804" s="25" t="n">
        <v>3.6</v>
      </c>
      <c r="U804" s="42" t="inlineStr">
        <is>
          <t>Tier 1A (Direct Coloc, &lt;1 km)</t>
        </is>
      </c>
      <c r="V804" s="24" t="n">
        <v>90.5</v>
      </c>
      <c r="W804" s="24" t="n">
        <v>62.9</v>
      </c>
      <c r="X804" s="24" t="n">
        <v>58</v>
      </c>
      <c r="Y804" s="45">
        <f>ROUND((V804*'Methodology &amp; Assumptions'!$B$6)+(W804*'Methodology &amp; Assumptions'!$B$5)+(X804*'Methodology &amp; Assumptions'!$B$7), 2)</f>
        <v/>
      </c>
    </row>
    <row r="805" ht="19" customHeight="1">
      <c r="A805" s="35" t="n">
        <v>801</v>
      </c>
      <c r="B805" s="35" t="n">
        <v>1801</v>
      </c>
      <c r="C805" s="36" t="inlineStr">
        <is>
          <t>0401022013</t>
        </is>
      </c>
      <c r="D805" s="36" t="inlineStr">
        <is>
          <t>Region IV-A (CALABARZON)</t>
        </is>
      </c>
      <c r="E805" s="36" t="inlineStr">
        <is>
          <t>Batangas</t>
        </is>
      </c>
      <c r="F805" s="36" t="inlineStr">
        <is>
          <t>San Jose</t>
        </is>
      </c>
      <c r="G805" s="36" t="inlineStr">
        <is>
          <t>Don Luis</t>
        </is>
      </c>
      <c r="H805" s="37" t="n">
        <v>13.874308</v>
      </c>
      <c r="I805" s="37" t="n">
        <v>121.103812</v>
      </c>
      <c r="J805" s="8" t="inlineStr">
        <is>
          <t>R</t>
        </is>
      </c>
      <c r="K805" s="36" t="inlineStr">
        <is>
          <t>Class 1-3 / Urban</t>
        </is>
      </c>
      <c r="L805" s="18" t="n">
        <v>2100</v>
      </c>
      <c r="M805" s="20" t="n">
        <v>4.62</v>
      </c>
      <c r="N805" s="18">
        <f>ROUND(L805/M805, 0)</f>
        <v/>
      </c>
      <c r="O805" s="18">
        <f>ROUND(N805*'Methodology &amp; Assumptions'!$B$8, 0)</f>
        <v/>
      </c>
      <c r="P805" s="8" t="inlineStr">
        <is>
          <t>Band n50 (1.5 GHz, 60 MHz)</t>
        </is>
      </c>
      <c r="Q805" s="38">
        <f>ROUNDUP(O805/'Methodology &amp; Assumptions'!$B$9, 0)</f>
        <v/>
      </c>
      <c r="R805" s="39" t="n">
        <v>1</v>
      </c>
      <c r="S805" s="21" t="n">
        <v>0.55</v>
      </c>
      <c r="T805" s="21" t="n">
        <v>0.48</v>
      </c>
      <c r="U805" s="36" t="inlineStr">
        <is>
          <t>Tier 1A (Direct Coloc, &lt;1 km)</t>
        </is>
      </c>
      <c r="V805" s="20" t="n">
        <v>93.09999999999999</v>
      </c>
      <c r="W805" s="20" t="n">
        <v>60.3</v>
      </c>
      <c r="X805" s="20" t="n">
        <v>58</v>
      </c>
      <c r="Y805" s="40">
        <f>ROUND((V805*'Methodology &amp; Assumptions'!$B$6)+(W805*'Methodology &amp; Assumptions'!$B$5)+(X805*'Methodology &amp; Assumptions'!$B$7), 2)</f>
        <v/>
      </c>
    </row>
    <row r="806" ht="19" customHeight="1">
      <c r="A806" s="41" t="n">
        <v>802</v>
      </c>
      <c r="B806" s="41" t="n">
        <v>1802</v>
      </c>
      <c r="C806" s="42" t="inlineStr">
        <is>
          <t>1600204010</t>
        </is>
      </c>
      <c r="D806" s="42" t="inlineStr">
        <is>
          <t>Region XIII (Caraga)</t>
        </is>
      </c>
      <c r="E806" s="42" t="inlineStr">
        <is>
          <t>Agusan del Norte</t>
        </is>
      </c>
      <c r="F806" s="42" t="inlineStr">
        <is>
          <t>Carmen</t>
        </is>
      </c>
      <c r="G806" s="42" t="inlineStr">
        <is>
          <t>Rojales</t>
        </is>
      </c>
      <c r="H806" s="43" t="n">
        <v>8.993513999999999</v>
      </c>
      <c r="I806" s="43" t="n">
        <v>125.276132</v>
      </c>
      <c r="J806" s="44" t="inlineStr">
        <is>
          <t>R</t>
        </is>
      </c>
      <c r="K806" s="42" t="inlineStr">
        <is>
          <t>3rd</t>
        </is>
      </c>
      <c r="L806" s="23" t="n">
        <v>3022</v>
      </c>
      <c r="M806" s="24" t="n">
        <v>4.42</v>
      </c>
      <c r="N806" s="23">
        <f>ROUND(L806/M806, 0)</f>
        <v/>
      </c>
      <c r="O806" s="23">
        <f>ROUND(N806*'Methodology &amp; Assumptions'!$B$8, 0)</f>
        <v/>
      </c>
      <c r="P806" s="44" t="inlineStr">
        <is>
          <t>Band n50 (1.5 GHz, 60 MHz)</t>
        </is>
      </c>
      <c r="Q806" s="38">
        <f>ROUNDUP(O806/'Methodology &amp; Assumptions'!$B$9, 0)</f>
        <v/>
      </c>
      <c r="R806" s="39" t="n">
        <v>1</v>
      </c>
      <c r="S806" s="25" t="n">
        <v>1.31</v>
      </c>
      <c r="T806" s="25" t="n">
        <v>0.18</v>
      </c>
      <c r="U806" s="42" t="inlineStr">
        <is>
          <t>Tier 1B (Micro Drop, 1-3 km)</t>
        </is>
      </c>
      <c r="V806" s="24" t="n">
        <v>74.7</v>
      </c>
      <c r="W806" s="24" t="n">
        <v>78.7</v>
      </c>
      <c r="X806" s="24" t="n">
        <v>58</v>
      </c>
      <c r="Y806" s="45">
        <f>ROUND((V806*'Methodology &amp; Assumptions'!$B$6)+(W806*'Methodology &amp; Assumptions'!$B$5)+(X806*'Methodology &amp; Assumptions'!$B$7), 2)</f>
        <v/>
      </c>
    </row>
    <row r="807" ht="19" customHeight="1">
      <c r="A807" s="35" t="n">
        <v>803</v>
      </c>
      <c r="B807" s="35" t="n">
        <v>1803</v>
      </c>
      <c r="C807" s="36" t="inlineStr">
        <is>
          <t>0305405009</t>
        </is>
      </c>
      <c r="D807" s="36" t="inlineStr">
        <is>
          <t>Region III (Central Luzon)</t>
        </is>
      </c>
      <c r="E807" s="36" t="inlineStr">
        <is>
          <t>Pampanga</t>
        </is>
      </c>
      <c r="F807" s="36" t="inlineStr">
        <is>
          <t>Candaba</t>
        </is>
      </c>
      <c r="G807" s="36" t="inlineStr">
        <is>
          <t>Dalayap</t>
        </is>
      </c>
      <c r="H807" s="37" t="n">
        <v>15.01909</v>
      </c>
      <c r="I807" s="37" t="n">
        <v>120.8641</v>
      </c>
      <c r="J807" s="8" t="inlineStr">
        <is>
          <t>R</t>
        </is>
      </c>
      <c r="K807" s="36" t="inlineStr">
        <is>
          <t>Class 1-3 / Urban</t>
        </is>
      </c>
      <c r="L807" s="18" t="n">
        <v>2480</v>
      </c>
      <c r="M807" s="20" t="n">
        <v>4.63</v>
      </c>
      <c r="N807" s="18">
        <f>ROUND(L807/M807, 0)</f>
        <v/>
      </c>
      <c r="O807" s="18">
        <f>ROUND(N807*'Methodology &amp; Assumptions'!$B$8, 0)</f>
        <v/>
      </c>
      <c r="P807" s="8" t="inlineStr">
        <is>
          <t>Band n50 (1.5 GHz, 60 MHz)</t>
        </is>
      </c>
      <c r="Q807" s="38">
        <f>ROUNDUP(O807/'Methodology &amp; Assumptions'!$B$9, 0)</f>
        <v/>
      </c>
      <c r="R807" s="39" t="n">
        <v>1</v>
      </c>
      <c r="S807" s="21" t="n">
        <v>0.8100000000000001</v>
      </c>
      <c r="T807" s="21" t="n">
        <v>0.13</v>
      </c>
      <c r="U807" s="36" t="inlineStr">
        <is>
          <t>Tier 1A (Direct Coloc, &lt;1 km)</t>
        </is>
      </c>
      <c r="V807" s="20" t="n">
        <v>86.40000000000001</v>
      </c>
      <c r="W807" s="20" t="n">
        <v>66.90000000000001</v>
      </c>
      <c r="X807" s="20" t="n">
        <v>58</v>
      </c>
      <c r="Y807" s="40">
        <f>ROUND((V807*'Methodology &amp; Assumptions'!$B$6)+(W807*'Methodology &amp; Assumptions'!$B$5)+(X807*'Methodology &amp; Assumptions'!$B$7), 2)</f>
        <v/>
      </c>
    </row>
    <row r="808" ht="19" customHeight="1">
      <c r="A808" s="41" t="n">
        <v>804</v>
      </c>
      <c r="B808" s="41" t="n">
        <v>1804</v>
      </c>
      <c r="C808" s="42" t="inlineStr">
        <is>
          <t>1705209037</t>
        </is>
      </c>
      <c r="D808" s="42" t="inlineStr">
        <is>
          <t>MIMAROPA Region</t>
        </is>
      </c>
      <c r="E808" s="42" t="inlineStr">
        <is>
          <t>Oriental Mindoro</t>
        </is>
      </c>
      <c r="F808" s="42" t="inlineStr">
        <is>
          <t>Pinamalayan</t>
        </is>
      </c>
      <c r="G808" s="42" t="inlineStr">
        <is>
          <t>Guinhawa</t>
        </is>
      </c>
      <c r="H808" s="43" t="n">
        <v>13.0657</v>
      </c>
      <c r="I808" s="43" t="n">
        <v>121.5052</v>
      </c>
      <c r="J808" s="44" t="inlineStr">
        <is>
          <t>R</t>
        </is>
      </c>
      <c r="K808" s="42" t="inlineStr">
        <is>
          <t>Class 1-3 / Urban</t>
        </is>
      </c>
      <c r="L808" s="23" t="n">
        <v>2236</v>
      </c>
      <c r="M808" s="24" t="n">
        <v>4.41</v>
      </c>
      <c r="N808" s="23">
        <f>ROUND(L808/M808, 0)</f>
        <v/>
      </c>
      <c r="O808" s="23">
        <f>ROUND(N808*'Methodology &amp; Assumptions'!$B$8, 0)</f>
        <v/>
      </c>
      <c r="P808" s="44" t="inlineStr">
        <is>
          <t>Band n50 (1.5 GHz, 60 MHz)</t>
        </is>
      </c>
      <c r="Q808" s="38">
        <f>ROUNDUP(O808/'Methodology &amp; Assumptions'!$B$9, 0)</f>
        <v/>
      </c>
      <c r="R808" s="39" t="n">
        <v>1</v>
      </c>
      <c r="S808" s="25" t="n">
        <v>0.22</v>
      </c>
      <c r="T808" s="25" t="n">
        <v>4.05</v>
      </c>
      <c r="U808" s="42" t="inlineStr">
        <is>
          <t>Tier 1A (Direct Coloc, &lt;1 km)</t>
        </is>
      </c>
      <c r="V808" s="24" t="n">
        <v>92.8</v>
      </c>
      <c r="W808" s="24" t="n">
        <v>60.5</v>
      </c>
      <c r="X808" s="24" t="n">
        <v>58</v>
      </c>
      <c r="Y808" s="45">
        <f>ROUND((V808*'Methodology &amp; Assumptions'!$B$6)+(W808*'Methodology &amp; Assumptions'!$B$5)+(X808*'Methodology &amp; Assumptions'!$B$7), 2)</f>
        <v/>
      </c>
    </row>
    <row r="809" ht="19" customHeight="1">
      <c r="A809" s="35" t="n">
        <v>805</v>
      </c>
      <c r="B809" s="35" t="n">
        <v>1805</v>
      </c>
      <c r="C809" s="36" t="inlineStr">
        <is>
          <t>0403417007</t>
        </is>
      </c>
      <c r="D809" s="36" t="inlineStr">
        <is>
          <t>Region IV-A (CALABARZON)</t>
        </is>
      </c>
      <c r="E809" s="36" t="inlineStr">
        <is>
          <t>Laguna</t>
        </is>
      </c>
      <c r="F809" s="36" t="inlineStr">
        <is>
          <t>Nagcarlan</t>
        </is>
      </c>
      <c r="G809" s="36" t="inlineStr">
        <is>
          <t>Bambang</t>
        </is>
      </c>
      <c r="H809" s="37" t="n">
        <v>14.130562</v>
      </c>
      <c r="I809" s="37" t="n">
        <v>121.415356</v>
      </c>
      <c r="J809" s="8" t="inlineStr">
        <is>
          <t>R</t>
        </is>
      </c>
      <c r="K809" s="36" t="inlineStr">
        <is>
          <t>Class 1-3 / Urban</t>
        </is>
      </c>
      <c r="L809" s="18" t="n">
        <v>2172</v>
      </c>
      <c r="M809" s="20" t="n">
        <v>4.2</v>
      </c>
      <c r="N809" s="18">
        <f>ROUND(L809/M809, 0)</f>
        <v/>
      </c>
      <c r="O809" s="18">
        <f>ROUND(N809*'Methodology &amp; Assumptions'!$B$8, 0)</f>
        <v/>
      </c>
      <c r="P809" s="8" t="inlineStr">
        <is>
          <t>Band n50 (1.5 GHz, 60 MHz)</t>
        </is>
      </c>
      <c r="Q809" s="38">
        <f>ROUNDUP(O809/'Methodology &amp; Assumptions'!$B$9, 0)</f>
        <v/>
      </c>
      <c r="R809" s="39" t="n">
        <v>1</v>
      </c>
      <c r="S809" s="21" t="n">
        <v>0.75</v>
      </c>
      <c r="T809" s="21" t="n">
        <v>0.14</v>
      </c>
      <c r="U809" s="36" t="inlineStr">
        <is>
          <t>Tier 1A (Direct Coloc, &lt;1 km)</t>
        </is>
      </c>
      <c r="V809" s="20" t="n">
        <v>88</v>
      </c>
      <c r="W809" s="20" t="n">
        <v>65.3</v>
      </c>
      <c r="X809" s="20" t="n">
        <v>58</v>
      </c>
      <c r="Y809" s="40">
        <f>ROUND((V809*'Methodology &amp; Assumptions'!$B$6)+(W809*'Methodology &amp; Assumptions'!$B$5)+(X809*'Methodology &amp; Assumptions'!$B$7), 2)</f>
        <v/>
      </c>
    </row>
    <row r="810" ht="19" customHeight="1">
      <c r="A810" s="41" t="n">
        <v>806</v>
      </c>
      <c r="B810" s="41" t="n">
        <v>1806</v>
      </c>
      <c r="C810" s="42" t="inlineStr">
        <is>
          <t>0306914015</t>
        </is>
      </c>
      <c r="D810" s="42" t="inlineStr">
        <is>
          <t>Region III (Central Luzon)</t>
        </is>
      </c>
      <c r="E810" s="42" t="inlineStr">
        <is>
          <t>Tarlac</t>
        </is>
      </c>
      <c r="F810" s="42" t="inlineStr">
        <is>
          <t>San Manuel</t>
        </is>
      </c>
      <c r="G810" s="42" t="inlineStr">
        <is>
          <t>Santa Maria</t>
        </is>
      </c>
      <c r="H810" s="43" t="n">
        <v>15.797632</v>
      </c>
      <c r="I810" s="43" t="n">
        <v>120.60776</v>
      </c>
      <c r="J810" s="44" t="inlineStr">
        <is>
          <t>R</t>
        </is>
      </c>
      <c r="K810" s="42" t="inlineStr">
        <is>
          <t>1st</t>
        </is>
      </c>
      <c r="L810" s="23" t="n">
        <v>1644</v>
      </c>
      <c r="M810" s="24" t="n">
        <v>4.47</v>
      </c>
      <c r="N810" s="23">
        <f>ROUND(L810/M810, 0)</f>
        <v/>
      </c>
      <c r="O810" s="23">
        <f>ROUND(N810*'Methodology &amp; Assumptions'!$B$8, 0)</f>
        <v/>
      </c>
      <c r="P810" s="44" t="inlineStr">
        <is>
          <t>Band n50 (1.5 GHz, 60 MHz)</t>
        </is>
      </c>
      <c r="Q810" s="38">
        <f>ROUNDUP(O810/'Methodology &amp; Assumptions'!$B$9, 0)</f>
        <v/>
      </c>
      <c r="R810" s="39" t="n">
        <v>1</v>
      </c>
      <c r="S810" s="25" t="n">
        <v>0.13</v>
      </c>
      <c r="T810" s="25" t="n">
        <v>0.06</v>
      </c>
      <c r="U810" s="42" t="inlineStr">
        <is>
          <t>Tier 1A (Direct Coloc, &lt;1 km)</t>
        </is>
      </c>
      <c r="V810" s="24" t="n">
        <v>100</v>
      </c>
      <c r="W810" s="24" t="n">
        <v>53.3</v>
      </c>
      <c r="X810" s="24" t="n">
        <v>58</v>
      </c>
      <c r="Y810" s="45">
        <f>ROUND((V810*'Methodology &amp; Assumptions'!$B$6)+(W810*'Methodology &amp; Assumptions'!$B$5)+(X810*'Methodology &amp; Assumptions'!$B$7), 2)</f>
        <v/>
      </c>
    </row>
    <row r="811" ht="19" customHeight="1">
      <c r="A811" s="35" t="n">
        <v>807</v>
      </c>
      <c r="B811" s="35" t="n">
        <v>1807</v>
      </c>
      <c r="C811" s="36" t="inlineStr">
        <is>
          <t>0631000047</t>
        </is>
      </c>
      <c r="D811" s="36" t="inlineStr">
        <is>
          <t>Region VI (Western Visayas)</t>
        </is>
      </c>
      <c r="E811" s="36" t="inlineStr">
        <is>
          <t>Iloilo</t>
        </is>
      </c>
      <c r="F811" s="36" t="inlineStr">
        <is>
          <t>City of Iloilo</t>
        </is>
      </c>
      <c r="G811" s="36" t="inlineStr">
        <is>
          <t>Don Esteban-Lapuz</t>
        </is>
      </c>
      <c r="H811" s="37" t="n">
        <v>10.704067</v>
      </c>
      <c r="I811" s="37" t="n">
        <v>122.576588</v>
      </c>
      <c r="J811" s="8" t="inlineStr">
        <is>
          <t>R</t>
        </is>
      </c>
      <c r="K811" s="36" t="inlineStr">
        <is>
          <t>Class 1-3 / Urban</t>
        </is>
      </c>
      <c r="L811" s="18" t="n">
        <v>3146</v>
      </c>
      <c r="M811" s="20" t="n">
        <v>4.39</v>
      </c>
      <c r="N811" s="18">
        <f>ROUND(L811/M811, 0)</f>
        <v/>
      </c>
      <c r="O811" s="18">
        <f>ROUND(N811*'Methodology &amp; Assumptions'!$B$8, 0)</f>
        <v/>
      </c>
      <c r="P811" s="8" t="inlineStr">
        <is>
          <t>Band n50 (1.5 GHz, 60 MHz)</t>
        </is>
      </c>
      <c r="Q811" s="38">
        <f>ROUNDUP(O811/'Methodology &amp; Assumptions'!$B$9, 0)</f>
        <v/>
      </c>
      <c r="R811" s="39" t="n">
        <v>1</v>
      </c>
      <c r="S811" s="21" t="n">
        <v>1.43</v>
      </c>
      <c r="T811" s="21" t="n">
        <v>0.61</v>
      </c>
      <c r="U811" s="36" t="inlineStr">
        <is>
          <t>Tier 1B (Micro Drop, 1-3 km)</t>
        </is>
      </c>
      <c r="V811" s="20" t="n">
        <v>72</v>
      </c>
      <c r="W811" s="20" t="n">
        <v>81.3</v>
      </c>
      <c r="X811" s="20" t="n">
        <v>58</v>
      </c>
      <c r="Y811" s="40">
        <f>ROUND((V811*'Methodology &amp; Assumptions'!$B$6)+(W811*'Methodology &amp; Assumptions'!$B$5)+(X811*'Methodology &amp; Assumptions'!$B$7), 2)</f>
        <v/>
      </c>
    </row>
    <row r="812" ht="19" customHeight="1">
      <c r="A812" s="41" t="n">
        <v>808</v>
      </c>
      <c r="B812" s="41" t="n">
        <v>1808</v>
      </c>
      <c r="C812" s="42" t="inlineStr">
        <is>
          <t>0301413006</t>
        </is>
      </c>
      <c r="D812" s="42" t="inlineStr">
        <is>
          <t>Region III (Central Luzon)</t>
        </is>
      </c>
      <c r="E812" s="42" t="inlineStr">
        <is>
          <t>Bulacan</t>
        </is>
      </c>
      <c r="F812" s="42" t="inlineStr">
        <is>
          <t>Norzagaray</t>
        </is>
      </c>
      <c r="G812" s="42" t="inlineStr">
        <is>
          <t>Bigte</t>
        </is>
      </c>
      <c r="H812" s="43" t="n">
        <v>14.853591</v>
      </c>
      <c r="I812" s="43" t="n">
        <v>121.0838</v>
      </c>
      <c r="J812" s="44" t="inlineStr">
        <is>
          <t>U</t>
        </is>
      </c>
      <c r="K812" s="42" t="inlineStr">
        <is>
          <t>Class 1-3 / Urban</t>
        </is>
      </c>
      <c r="L812" s="23" t="n">
        <v>15119</v>
      </c>
      <c r="M812" s="24" t="n">
        <v>4.1</v>
      </c>
      <c r="N812" s="23">
        <f>ROUND(L812/M812, 0)</f>
        <v/>
      </c>
      <c r="O812" s="23">
        <f>ROUND(N812*'Methodology &amp; Assumptions'!$B$8, 0)</f>
        <v/>
      </c>
      <c r="P812" s="44" t="inlineStr">
        <is>
          <t>Band n50 (1.5 GHz, 60 MHz)</t>
        </is>
      </c>
      <c r="Q812" s="38">
        <f>ROUNDUP(O812/'Methodology &amp; Assumptions'!$B$9, 0)</f>
        <v/>
      </c>
      <c r="R812" s="39" t="n">
        <v>1</v>
      </c>
      <c r="S812" s="25" t="n">
        <v>0.71</v>
      </c>
      <c r="T812" s="25" t="n">
        <v>5.13</v>
      </c>
      <c r="U812" s="42" t="inlineStr">
        <is>
          <t>Tier 1A (Direct Coloc, &lt;1 km)</t>
        </is>
      </c>
      <c r="V812" s="24" t="n">
        <v>79</v>
      </c>
      <c r="W812" s="24" t="n">
        <v>100</v>
      </c>
      <c r="X812" s="24" t="n">
        <v>28</v>
      </c>
      <c r="Y812" s="45">
        <f>ROUND((V812*'Methodology &amp; Assumptions'!$B$6)+(W812*'Methodology &amp; Assumptions'!$B$5)+(X812*'Methodology &amp; Assumptions'!$B$7), 2)</f>
        <v/>
      </c>
    </row>
    <row r="813" ht="19" customHeight="1">
      <c r="A813" s="35" t="n">
        <v>809</v>
      </c>
      <c r="B813" s="35" t="n">
        <v>1809</v>
      </c>
      <c r="C813" s="36" t="inlineStr">
        <is>
          <t>0300805008</t>
        </is>
      </c>
      <c r="D813" s="36" t="inlineStr">
        <is>
          <t>Region III (Central Luzon)</t>
        </is>
      </c>
      <c r="E813" s="36" t="inlineStr">
        <is>
          <t>Bataan</t>
        </is>
      </c>
      <c r="F813" s="36" t="inlineStr">
        <is>
          <t>Hermosa</t>
        </is>
      </c>
      <c r="G813" s="36" t="inlineStr">
        <is>
          <t>Culis</t>
        </is>
      </c>
      <c r="H813" s="37" t="n">
        <v>14.8385</v>
      </c>
      <c r="I813" s="37" t="n">
        <v>120.47851</v>
      </c>
      <c r="J813" s="8" t="inlineStr">
        <is>
          <t>U</t>
        </is>
      </c>
      <c r="K813" s="36" t="inlineStr">
        <is>
          <t>Class 1-3 / Urban</t>
        </is>
      </c>
      <c r="L813" s="18" t="n">
        <v>10322</v>
      </c>
      <c r="M813" s="20" t="n">
        <v>4.57</v>
      </c>
      <c r="N813" s="18">
        <f>ROUND(L813/M813, 0)</f>
        <v/>
      </c>
      <c r="O813" s="18">
        <f>ROUND(N813*'Methodology &amp; Assumptions'!$B$8, 0)</f>
        <v/>
      </c>
      <c r="P813" s="8" t="inlineStr">
        <is>
          <t>Band n50 (1.5 GHz, 60 MHz)</t>
        </is>
      </c>
      <c r="Q813" s="38">
        <f>ROUNDUP(O813/'Methodology &amp; Assumptions'!$B$9, 0)</f>
        <v/>
      </c>
      <c r="R813" s="39" t="n">
        <v>1</v>
      </c>
      <c r="S813" s="21" t="n">
        <v>1.11</v>
      </c>
      <c r="T813" s="21" t="n">
        <v>0.11</v>
      </c>
      <c r="U813" s="36" t="inlineStr">
        <is>
          <t>Tier 1B (Micro Drop, 1-3 km)</t>
        </is>
      </c>
      <c r="V813" s="20" t="n">
        <v>79</v>
      </c>
      <c r="W813" s="20" t="n">
        <v>100</v>
      </c>
      <c r="X813" s="20" t="n">
        <v>28</v>
      </c>
      <c r="Y813" s="40">
        <f>ROUND((V813*'Methodology &amp; Assumptions'!$B$6)+(W813*'Methodology &amp; Assumptions'!$B$5)+(X813*'Methodology &amp; Assumptions'!$B$7), 2)</f>
        <v/>
      </c>
    </row>
    <row r="814" ht="19" customHeight="1">
      <c r="A814" s="41" t="n">
        <v>810</v>
      </c>
      <c r="B814" s="41" t="n">
        <v>1810</v>
      </c>
      <c r="C814" s="42" t="inlineStr">
        <is>
          <t>0403411001</t>
        </is>
      </c>
      <c r="D814" s="42" t="inlineStr">
        <is>
          <t>Region IV-A (CALABARZON)</t>
        </is>
      </c>
      <c r="E814" s="42" t="inlineStr">
        <is>
          <t>Laguna</t>
        </is>
      </c>
      <c r="F814" s="42" t="inlineStr">
        <is>
          <t>Los Baños</t>
        </is>
      </c>
      <c r="G814" s="42" t="inlineStr">
        <is>
          <t>Anos</t>
        </is>
      </c>
      <c r="H814" s="43" t="n">
        <v>14.18125</v>
      </c>
      <c r="I814" s="43" t="n">
        <v>121.232256</v>
      </c>
      <c r="J814" s="44" t="inlineStr">
        <is>
          <t>U</t>
        </is>
      </c>
      <c r="K814" s="42" t="inlineStr">
        <is>
          <t>Class 1-3 / Urban</t>
        </is>
      </c>
      <c r="L814" s="23" t="n">
        <v>8815</v>
      </c>
      <c r="M814" s="24" t="n">
        <v>4.2</v>
      </c>
      <c r="N814" s="23">
        <f>ROUND(L814/M814, 0)</f>
        <v/>
      </c>
      <c r="O814" s="23">
        <f>ROUND(N814*'Methodology &amp; Assumptions'!$B$8, 0)</f>
        <v/>
      </c>
      <c r="P814" s="44" t="inlineStr">
        <is>
          <t>Band n50 (1.5 GHz, 60 MHz)</t>
        </is>
      </c>
      <c r="Q814" s="38">
        <f>ROUNDUP(O814/'Methodology &amp; Assumptions'!$B$9, 0)</f>
        <v/>
      </c>
      <c r="R814" s="39" t="n">
        <v>1</v>
      </c>
      <c r="S814" s="25" t="n">
        <v>1.11</v>
      </c>
      <c r="T814" s="25" t="n">
        <v>0.03</v>
      </c>
      <c r="U814" s="42" t="inlineStr">
        <is>
          <t>Tier 1B (Micro Drop, 1-3 km)</t>
        </is>
      </c>
      <c r="V814" s="24" t="n">
        <v>79</v>
      </c>
      <c r="W814" s="24" t="n">
        <v>100</v>
      </c>
      <c r="X814" s="24" t="n">
        <v>28</v>
      </c>
      <c r="Y814" s="45">
        <f>ROUND((V814*'Methodology &amp; Assumptions'!$B$6)+(W814*'Methodology &amp; Assumptions'!$B$5)+(X814*'Methodology &amp; Assumptions'!$B$7), 2)</f>
        <v/>
      </c>
    </row>
    <row r="815" ht="19" customHeight="1">
      <c r="A815" s="35" t="n">
        <v>811</v>
      </c>
      <c r="B815" s="35" t="n">
        <v>1811</v>
      </c>
      <c r="C815" s="36" t="inlineStr">
        <is>
          <t>0301420039</t>
        </is>
      </c>
      <c r="D815" s="36" t="inlineStr">
        <is>
          <t>Region III (Central Luzon)</t>
        </is>
      </c>
      <c r="E815" s="36" t="inlineStr">
        <is>
          <t>Bulacan</t>
        </is>
      </c>
      <c r="F815" s="36" t="inlineStr">
        <is>
          <t>City of San Jose Del Monte</t>
        </is>
      </c>
      <c r="G815" s="36" t="inlineStr">
        <is>
          <t>Minuyan IV</t>
        </is>
      </c>
      <c r="H815" s="37" t="n">
        <v>14.8467</v>
      </c>
      <c r="I815" s="37" t="n">
        <v>121.0743</v>
      </c>
      <c r="J815" s="8" t="inlineStr">
        <is>
          <t>U</t>
        </is>
      </c>
      <c r="K815" s="36" t="inlineStr">
        <is>
          <t>Class 1-3 / Urban</t>
        </is>
      </c>
      <c r="L815" s="18" t="n">
        <v>4769</v>
      </c>
      <c r="M815" s="20" t="n">
        <v>4.1</v>
      </c>
      <c r="N815" s="18">
        <f>ROUND(L815/M815, 0)</f>
        <v/>
      </c>
      <c r="O815" s="18">
        <f>ROUND(N815*'Methodology &amp; Assumptions'!$B$8, 0)</f>
        <v/>
      </c>
      <c r="P815" s="8" t="inlineStr">
        <is>
          <t>Band n50 (1.5 GHz, 60 MHz)</t>
        </is>
      </c>
      <c r="Q815" s="38">
        <f>ROUNDUP(O815/'Methodology &amp; Assumptions'!$B$9, 0)</f>
        <v/>
      </c>
      <c r="R815" s="39" t="n">
        <v>1</v>
      </c>
      <c r="S815" s="21" t="n">
        <v>0.71</v>
      </c>
      <c r="T815" s="21" t="n">
        <v>3.87</v>
      </c>
      <c r="U815" s="36" t="inlineStr">
        <is>
          <t>Tier 1A (Direct Coloc, &lt;1 km)</t>
        </is>
      </c>
      <c r="V815" s="20" t="n">
        <v>79</v>
      </c>
      <c r="W815" s="20" t="n">
        <v>100</v>
      </c>
      <c r="X815" s="20" t="n">
        <v>28</v>
      </c>
      <c r="Y815" s="40">
        <f>ROUND((V815*'Methodology &amp; Assumptions'!$B$6)+(W815*'Methodology &amp; Assumptions'!$B$5)+(X815*'Methodology &amp; Assumptions'!$B$7), 2)</f>
        <v/>
      </c>
    </row>
    <row r="816" ht="19" customHeight="1">
      <c r="A816" s="41" t="n">
        <v>812</v>
      </c>
      <c r="B816" s="41" t="n">
        <v>1812</v>
      </c>
      <c r="C816" s="42" t="inlineStr">
        <is>
          <t>0307111016</t>
        </is>
      </c>
      <c r="D816" s="42" t="inlineStr">
        <is>
          <t>Region III (Central Luzon)</t>
        </is>
      </c>
      <c r="E816" s="42" t="inlineStr">
        <is>
          <t>Zambales</t>
        </is>
      </c>
      <c r="F816" s="42" t="inlineStr">
        <is>
          <t>San Marcelino</t>
        </is>
      </c>
      <c r="G816" s="42" t="inlineStr">
        <is>
          <t>San Isidro</t>
        </is>
      </c>
      <c r="H816" s="43" t="n">
        <v>14.972725</v>
      </c>
      <c r="I816" s="43" t="n">
        <v>120.153451</v>
      </c>
      <c r="J816" s="44" t="inlineStr">
        <is>
          <t>R</t>
        </is>
      </c>
      <c r="K816" s="42" t="inlineStr">
        <is>
          <t>Class 1-3 / Urban</t>
        </is>
      </c>
      <c r="L816" s="23" t="n">
        <v>2095</v>
      </c>
      <c r="M816" s="24" t="n">
        <v>4.05</v>
      </c>
      <c r="N816" s="23">
        <f>ROUND(L816/M816, 0)</f>
        <v/>
      </c>
      <c r="O816" s="23">
        <f>ROUND(N816*'Methodology &amp; Assumptions'!$B$8, 0)</f>
        <v/>
      </c>
      <c r="P816" s="44" t="inlineStr">
        <is>
          <t>Band n50 (1.5 GHz, 60 MHz)</t>
        </is>
      </c>
      <c r="Q816" s="38">
        <f>ROUNDUP(O816/'Methodology &amp; Assumptions'!$B$9, 0)</f>
        <v/>
      </c>
      <c r="R816" s="39" t="n">
        <v>1</v>
      </c>
      <c r="S816" s="25" t="n">
        <v>0.75</v>
      </c>
      <c r="T816" s="25" t="n">
        <v>0.25</v>
      </c>
      <c r="U816" s="42" t="inlineStr">
        <is>
          <t>Tier 1A (Direct Coloc, &lt;1 km)</t>
        </is>
      </c>
      <c r="V816" s="24" t="n">
        <v>87.90000000000001</v>
      </c>
      <c r="W816" s="24" t="n">
        <v>65.3</v>
      </c>
      <c r="X816" s="24" t="n">
        <v>58</v>
      </c>
      <c r="Y816" s="45">
        <f>ROUND((V816*'Methodology &amp; Assumptions'!$B$6)+(W816*'Methodology &amp; Assumptions'!$B$5)+(X816*'Methodology &amp; Assumptions'!$B$7), 2)</f>
        <v/>
      </c>
    </row>
    <row r="817" ht="19" customHeight="1">
      <c r="A817" s="35" t="n">
        <v>813</v>
      </c>
      <c r="B817" s="35" t="n">
        <v>1813</v>
      </c>
      <c r="C817" s="36" t="inlineStr">
        <is>
          <t>0403404015</t>
        </is>
      </c>
      <c r="D817" s="36" t="inlineStr">
        <is>
          <t>Region IV-A (CALABARZON)</t>
        </is>
      </c>
      <c r="E817" s="36" t="inlineStr">
        <is>
          <t>Laguna</t>
        </is>
      </c>
      <c r="F817" s="36" t="inlineStr">
        <is>
          <t>City of Cabuyao</t>
        </is>
      </c>
      <c r="G817" s="36" t="inlineStr">
        <is>
          <t>San Isidro</t>
        </is>
      </c>
      <c r="H817" s="37" t="n">
        <v>14.241316</v>
      </c>
      <c r="I817" s="37" t="n">
        <v>121.138518</v>
      </c>
      <c r="J817" s="8" t="inlineStr">
        <is>
          <t>U</t>
        </is>
      </c>
      <c r="K817" s="36" t="inlineStr">
        <is>
          <t>Class 1-3 / Urban</t>
        </is>
      </c>
      <c r="L817" s="18" t="n">
        <v>23324</v>
      </c>
      <c r="M817" s="20" t="n">
        <v>4.2</v>
      </c>
      <c r="N817" s="18">
        <f>ROUND(L817/M817, 0)</f>
        <v/>
      </c>
      <c r="O817" s="18">
        <f>ROUND(N817*'Methodology &amp; Assumptions'!$B$8, 0)</f>
        <v/>
      </c>
      <c r="P817" s="8" t="inlineStr">
        <is>
          <t>Band n50 (1.5 GHz, 60 MHz)</t>
        </is>
      </c>
      <c r="Q817" s="38">
        <f>ROUNDUP(O817/'Methodology &amp; Assumptions'!$B$9, 0)</f>
        <v/>
      </c>
      <c r="R817" s="39" t="n">
        <v>1</v>
      </c>
      <c r="S817" s="21" t="n">
        <v>1.11</v>
      </c>
      <c r="T817" s="21" t="n">
        <v>0.63</v>
      </c>
      <c r="U817" s="36" t="inlineStr">
        <is>
          <t>Tier 1B (Micro Drop, 1-3 km)</t>
        </is>
      </c>
      <c r="V817" s="20" t="n">
        <v>79</v>
      </c>
      <c r="W817" s="20" t="n">
        <v>100</v>
      </c>
      <c r="X817" s="20" t="n">
        <v>28</v>
      </c>
      <c r="Y817" s="40">
        <f>ROUND((V817*'Methodology &amp; Assumptions'!$B$6)+(W817*'Methodology &amp; Assumptions'!$B$5)+(X817*'Methodology &amp; Assumptions'!$B$7), 2)</f>
        <v/>
      </c>
    </row>
    <row r="818" ht="19" customHeight="1">
      <c r="A818" s="41" t="n">
        <v>814</v>
      </c>
      <c r="B818" s="41" t="n">
        <v>1814</v>
      </c>
      <c r="C818" s="42" t="inlineStr">
        <is>
          <t>0702227008</t>
        </is>
      </c>
      <c r="D818" s="42" t="inlineStr">
        <is>
          <t>Region VII (Central Visayas)</t>
        </is>
      </c>
      <c r="E818" s="42" t="inlineStr">
        <is>
          <t>Cebu</t>
        </is>
      </c>
      <c r="F818" s="42" t="inlineStr">
        <is>
          <t>Liloan</t>
        </is>
      </c>
      <c r="G818" s="42" t="inlineStr">
        <is>
          <t>Poblacion</t>
        </is>
      </c>
      <c r="H818" s="43" t="n">
        <v>10.397885</v>
      </c>
      <c r="I818" s="43" t="n">
        <v>124.000509</v>
      </c>
      <c r="J818" s="44" t="inlineStr">
        <is>
          <t>U</t>
        </is>
      </c>
      <c r="K818" s="42" t="inlineStr">
        <is>
          <t>Class 1-3 / Urban</t>
        </is>
      </c>
      <c r="L818" s="23" t="n">
        <v>16657</v>
      </c>
      <c r="M818" s="24" t="n">
        <v>4.42</v>
      </c>
      <c r="N818" s="23">
        <f>ROUND(L818/M818, 0)</f>
        <v/>
      </c>
      <c r="O818" s="23">
        <f>ROUND(N818*'Methodology &amp; Assumptions'!$B$8, 0)</f>
        <v/>
      </c>
      <c r="P818" s="44" t="inlineStr">
        <is>
          <t>Band n50 (1.5 GHz, 60 MHz)</t>
        </is>
      </c>
      <c r="Q818" s="38">
        <f>ROUNDUP(O818/'Methodology &amp; Assumptions'!$B$9, 0)</f>
        <v/>
      </c>
      <c r="R818" s="39" t="n">
        <v>1</v>
      </c>
      <c r="S818" s="25" t="n">
        <v>1.11</v>
      </c>
      <c r="T818" s="25" t="n">
        <v>0.02</v>
      </c>
      <c r="U818" s="42" t="inlineStr">
        <is>
          <t>Tier 1B (Micro Drop, 1-3 km)</t>
        </is>
      </c>
      <c r="V818" s="24" t="n">
        <v>79</v>
      </c>
      <c r="W818" s="24" t="n">
        <v>100</v>
      </c>
      <c r="X818" s="24" t="n">
        <v>28</v>
      </c>
      <c r="Y818" s="45">
        <f>ROUND((V818*'Methodology &amp; Assumptions'!$B$6)+(W818*'Methodology &amp; Assumptions'!$B$5)+(X818*'Methodology &amp; Assumptions'!$B$7), 2)</f>
        <v/>
      </c>
    </row>
    <row r="819" ht="19" customHeight="1">
      <c r="A819" s="35" t="n">
        <v>815</v>
      </c>
      <c r="B819" s="35" t="n">
        <v>1815</v>
      </c>
      <c r="C819" s="36" t="inlineStr">
        <is>
          <t>0305402011</t>
        </is>
      </c>
      <c r="D819" s="36" t="inlineStr">
        <is>
          <t>Region III (Central Luzon)</t>
        </is>
      </c>
      <c r="E819" s="36" t="inlineStr">
        <is>
          <t>Pampanga</t>
        </is>
      </c>
      <c r="F819" s="36" t="inlineStr">
        <is>
          <t>Apalit</t>
        </is>
      </c>
      <c r="G819" s="36" t="inlineStr">
        <is>
          <t>San Juan</t>
        </is>
      </c>
      <c r="H819" s="37" t="n">
        <v>14.953171</v>
      </c>
      <c r="I819" s="37" t="n">
        <v>120.76826</v>
      </c>
      <c r="J819" s="8" t="inlineStr">
        <is>
          <t>U</t>
        </is>
      </c>
      <c r="K819" s="36" t="inlineStr">
        <is>
          <t>Class 1-3 / Urban</t>
        </is>
      </c>
      <c r="L819" s="18" t="n">
        <v>8861</v>
      </c>
      <c r="M819" s="20" t="n">
        <v>4.63</v>
      </c>
      <c r="N819" s="18">
        <f>ROUND(L819/M819, 0)</f>
        <v/>
      </c>
      <c r="O819" s="18">
        <f>ROUND(N819*'Methodology &amp; Assumptions'!$B$8, 0)</f>
        <v/>
      </c>
      <c r="P819" s="8" t="inlineStr">
        <is>
          <t>Band n50 (1.5 GHz, 60 MHz)</t>
        </is>
      </c>
      <c r="Q819" s="38">
        <f>ROUNDUP(O819/'Methodology &amp; Assumptions'!$B$9, 0)</f>
        <v/>
      </c>
      <c r="R819" s="39" t="n">
        <v>1</v>
      </c>
      <c r="S819" s="21" t="n">
        <v>1.11</v>
      </c>
      <c r="T819" s="21" t="n">
        <v>1.03</v>
      </c>
      <c r="U819" s="36" t="inlineStr">
        <is>
          <t>Tier 1B (Micro Drop, 1-3 km)</t>
        </is>
      </c>
      <c r="V819" s="20" t="n">
        <v>79</v>
      </c>
      <c r="W819" s="20" t="n">
        <v>100</v>
      </c>
      <c r="X819" s="20" t="n">
        <v>28</v>
      </c>
      <c r="Y819" s="40">
        <f>ROUND((V819*'Methodology &amp; Assumptions'!$B$6)+(W819*'Methodology &amp; Assumptions'!$B$5)+(X819*'Methodology &amp; Assumptions'!$B$7), 2)</f>
        <v/>
      </c>
    </row>
    <row r="820" ht="19" customHeight="1">
      <c r="A820" s="41" t="n">
        <v>816</v>
      </c>
      <c r="B820" s="41" t="n">
        <v>1816</v>
      </c>
      <c r="C820" s="42" t="inlineStr">
        <is>
          <t>0501728013</t>
        </is>
      </c>
      <c r="D820" s="42" t="inlineStr">
        <is>
          <t>Region V (Bicol Region)</t>
        </is>
      </c>
      <c r="E820" s="42" t="inlineStr">
        <is>
          <t>Camarines Sur</t>
        </is>
      </c>
      <c r="F820" s="42" t="inlineStr">
        <is>
          <t>Pili</t>
        </is>
      </c>
      <c r="G820" s="42" t="inlineStr">
        <is>
          <t>Palestina</t>
        </is>
      </c>
      <c r="H820" s="43" t="n">
        <v>13.612251</v>
      </c>
      <c r="I820" s="43" t="n">
        <v>123.249022</v>
      </c>
      <c r="J820" s="44" t="inlineStr">
        <is>
          <t>U</t>
        </is>
      </c>
      <c r="K820" s="42" t="inlineStr">
        <is>
          <t>Class 1-3 / Urban</t>
        </is>
      </c>
      <c r="L820" s="23" t="n">
        <v>6024</v>
      </c>
      <c r="M820" s="24" t="n">
        <v>4.9</v>
      </c>
      <c r="N820" s="23">
        <f>ROUND(L820/M820, 0)</f>
        <v/>
      </c>
      <c r="O820" s="23">
        <f>ROUND(N820*'Methodology &amp; Assumptions'!$B$8, 0)</f>
        <v/>
      </c>
      <c r="P820" s="44" t="inlineStr">
        <is>
          <t>Band n50 (1.5 GHz, 60 MHz)</t>
        </is>
      </c>
      <c r="Q820" s="38">
        <f>ROUNDUP(O820/'Methodology &amp; Assumptions'!$B$9, 0)</f>
        <v/>
      </c>
      <c r="R820" s="39" t="n">
        <v>1</v>
      </c>
      <c r="S820" s="25" t="n">
        <v>1.11</v>
      </c>
      <c r="T820" s="25" t="n">
        <v>0.19</v>
      </c>
      <c r="U820" s="42" t="inlineStr">
        <is>
          <t>Tier 1B (Micro Drop, 1-3 km)</t>
        </is>
      </c>
      <c r="V820" s="24" t="n">
        <v>79</v>
      </c>
      <c r="W820" s="24" t="n">
        <v>100</v>
      </c>
      <c r="X820" s="24" t="n">
        <v>28</v>
      </c>
      <c r="Y820" s="45">
        <f>ROUND((V820*'Methodology &amp; Assumptions'!$B$6)+(W820*'Methodology &amp; Assumptions'!$B$5)+(X820*'Methodology &amp; Assumptions'!$B$7), 2)</f>
        <v/>
      </c>
    </row>
    <row r="821" ht="19" customHeight="1">
      <c r="A821" s="35" t="n">
        <v>817</v>
      </c>
      <c r="B821" s="35" t="n">
        <v>1817</v>
      </c>
      <c r="C821" s="36" t="inlineStr">
        <is>
          <t>0403423007</t>
        </is>
      </c>
      <c r="D821" s="36" t="inlineStr">
        <is>
          <t>Region IV-A (CALABARZON)</t>
        </is>
      </c>
      <c r="E821" s="36" t="inlineStr">
        <is>
          <t>Laguna</t>
        </is>
      </c>
      <c r="F821" s="36" t="inlineStr">
        <is>
          <t>Rizal</t>
        </is>
      </c>
      <c r="G821" s="36" t="inlineStr">
        <is>
          <t>West Poblacion</t>
        </is>
      </c>
      <c r="H821" s="37" t="n">
        <v>14.11084</v>
      </c>
      <c r="I821" s="37" t="n">
        <v>121.391599</v>
      </c>
      <c r="J821" s="8" t="inlineStr">
        <is>
          <t>R</t>
        </is>
      </c>
      <c r="K821" s="36" t="inlineStr">
        <is>
          <t>4th</t>
        </is>
      </c>
      <c r="L821" s="18" t="n">
        <v>1074</v>
      </c>
      <c r="M821" s="20" t="n">
        <v>4.24</v>
      </c>
      <c r="N821" s="18">
        <f>ROUND(L821/M821, 0)</f>
        <v/>
      </c>
      <c r="O821" s="18">
        <f>ROUND(N821*'Methodology &amp; Assumptions'!$B$8, 0)</f>
        <v/>
      </c>
      <c r="P821" s="8" t="inlineStr">
        <is>
          <t>Band n50 (1.5 GHz, 60 MHz)</t>
        </is>
      </c>
      <c r="Q821" s="38">
        <f>ROUNDUP(O821/'Methodology &amp; Assumptions'!$B$9, 0)</f>
        <v/>
      </c>
      <c r="R821" s="39" t="n">
        <v>1</v>
      </c>
      <c r="S821" s="21" t="n">
        <v>0.13</v>
      </c>
      <c r="T821" s="21" t="n">
        <v>0.17</v>
      </c>
      <c r="U821" s="36" t="inlineStr">
        <is>
          <t>Tier 1A (Direct Coloc, &lt;1 km)</t>
        </is>
      </c>
      <c r="V821" s="20" t="n">
        <v>100</v>
      </c>
      <c r="W821" s="20" t="n">
        <v>44.3</v>
      </c>
      <c r="X821" s="20" t="n">
        <v>68.5</v>
      </c>
      <c r="Y821" s="40">
        <f>ROUND((V821*'Methodology &amp; Assumptions'!$B$6)+(W821*'Methodology &amp; Assumptions'!$B$5)+(X821*'Methodology &amp; Assumptions'!$B$7), 2)</f>
        <v/>
      </c>
    </row>
    <row r="822" ht="19" customHeight="1">
      <c r="A822" s="41" t="n">
        <v>818</v>
      </c>
      <c r="B822" s="41" t="n">
        <v>1818</v>
      </c>
      <c r="C822" s="42" t="inlineStr">
        <is>
          <t>0831600120</t>
        </is>
      </c>
      <c r="D822" s="42" t="inlineStr">
        <is>
          <t>Region VIII (Eastern Visayas)</t>
        </is>
      </c>
      <c r="E822" s="42" t="inlineStr">
        <is>
          <t>Leyte</t>
        </is>
      </c>
      <c r="F822" s="42" t="inlineStr">
        <is>
          <t>City of Tacloban</t>
        </is>
      </c>
      <c r="G822" s="42" t="inlineStr">
        <is>
          <t>Barangay 87</t>
        </is>
      </c>
      <c r="H822" s="43" t="n">
        <v>11.204763</v>
      </c>
      <c r="I822" s="43" t="n">
        <v>125.021626</v>
      </c>
      <c r="J822" s="44" t="inlineStr">
        <is>
          <t>R</t>
        </is>
      </c>
      <c r="K822" s="42" t="inlineStr">
        <is>
          <t>Class 1-3 / Urban</t>
        </is>
      </c>
      <c r="L822" s="23" t="n">
        <v>3198</v>
      </c>
      <c r="M822" s="24" t="n">
        <v>4.24</v>
      </c>
      <c r="N822" s="23">
        <f>ROUND(L822/M822, 0)</f>
        <v/>
      </c>
      <c r="O822" s="23">
        <f>ROUND(N822*'Methodology &amp; Assumptions'!$B$8, 0)</f>
        <v/>
      </c>
      <c r="P822" s="44" t="inlineStr">
        <is>
          <t>Band n50 (1.5 GHz, 60 MHz)</t>
        </is>
      </c>
      <c r="Q822" s="38">
        <f>ROUNDUP(O822/'Methodology &amp; Assumptions'!$B$9, 0)</f>
        <v/>
      </c>
      <c r="R822" s="39" t="n">
        <v>1</v>
      </c>
      <c r="S822" s="25" t="n">
        <v>1.58</v>
      </c>
      <c r="T822" s="25" t="n">
        <v>0.23</v>
      </c>
      <c r="U822" s="42" t="inlineStr">
        <is>
          <t>Tier 1B (Micro Drop, 1-3 km)</t>
        </is>
      </c>
      <c r="V822" s="24" t="n">
        <v>69</v>
      </c>
      <c r="W822" s="24" t="n">
        <v>84.3</v>
      </c>
      <c r="X822" s="24" t="n">
        <v>58</v>
      </c>
      <c r="Y822" s="45">
        <f>ROUND((V822*'Methodology &amp; Assumptions'!$B$6)+(W822*'Methodology &amp; Assumptions'!$B$5)+(X822*'Methodology &amp; Assumptions'!$B$7), 2)</f>
        <v/>
      </c>
    </row>
    <row r="823" ht="19" customHeight="1">
      <c r="A823" s="35" t="n">
        <v>819</v>
      </c>
      <c r="B823" s="35" t="n">
        <v>1819</v>
      </c>
      <c r="C823" s="36" t="inlineStr">
        <is>
          <t>0301410053</t>
        </is>
      </c>
      <c r="D823" s="36" t="inlineStr">
        <is>
          <t>Region III (Central Luzon)</t>
        </is>
      </c>
      <c r="E823" s="36" t="inlineStr">
        <is>
          <t>Bulacan</t>
        </is>
      </c>
      <c r="F823" s="36" t="inlineStr">
        <is>
          <t>City of Malolos</t>
        </is>
      </c>
      <c r="G823" s="36" t="inlineStr">
        <is>
          <t>Sumapang Matanda</t>
        </is>
      </c>
      <c r="H823" s="37" t="n">
        <v>14.85738</v>
      </c>
      <c r="I823" s="37" t="n">
        <v>120.827486</v>
      </c>
      <c r="J823" s="8" t="inlineStr">
        <is>
          <t>U</t>
        </is>
      </c>
      <c r="K823" s="36" t="inlineStr">
        <is>
          <t>Class 1-3 / Urban</t>
        </is>
      </c>
      <c r="L823" s="18" t="n">
        <v>8719</v>
      </c>
      <c r="M823" s="20" t="n">
        <v>4.1</v>
      </c>
      <c r="N823" s="18">
        <f>ROUND(L823/M823, 0)</f>
        <v/>
      </c>
      <c r="O823" s="18">
        <f>ROUND(N823*'Methodology &amp; Assumptions'!$B$8, 0)</f>
        <v/>
      </c>
      <c r="P823" s="8" t="inlineStr">
        <is>
          <t>Band n50 (1.5 GHz, 60 MHz)</t>
        </is>
      </c>
      <c r="Q823" s="38">
        <f>ROUNDUP(O823/'Methodology &amp; Assumptions'!$B$9, 0)</f>
        <v/>
      </c>
      <c r="R823" s="39" t="n">
        <v>1</v>
      </c>
      <c r="S823" s="21" t="n">
        <v>1.11</v>
      </c>
      <c r="T823" s="21" t="n">
        <v>0.96</v>
      </c>
      <c r="U823" s="36" t="inlineStr">
        <is>
          <t>Tier 1B (Micro Drop, 1-3 km)</t>
        </is>
      </c>
      <c r="V823" s="20" t="n">
        <v>79</v>
      </c>
      <c r="W823" s="20" t="n">
        <v>100</v>
      </c>
      <c r="X823" s="20" t="n">
        <v>28</v>
      </c>
      <c r="Y823" s="40">
        <f>ROUND((V823*'Methodology &amp; Assumptions'!$B$6)+(W823*'Methodology &amp; Assumptions'!$B$5)+(X823*'Methodology &amp; Assumptions'!$B$7), 2)</f>
        <v/>
      </c>
    </row>
    <row r="824" ht="19" customHeight="1">
      <c r="A824" s="41" t="n">
        <v>820</v>
      </c>
      <c r="B824" s="41" t="n">
        <v>1820</v>
      </c>
      <c r="C824" s="42" t="inlineStr">
        <is>
          <t>0402119037</t>
        </is>
      </c>
      <c r="D824" s="42" t="inlineStr">
        <is>
          <t>Region IV-A (CALABARZON)</t>
        </is>
      </c>
      <c r="E824" s="42" t="inlineStr">
        <is>
          <t>Cavite</t>
        </is>
      </c>
      <c r="F824" s="42" t="inlineStr">
        <is>
          <t>City of Tagaytay</t>
        </is>
      </c>
      <c r="G824" s="42" t="inlineStr">
        <is>
          <t>Tolentino East</t>
        </is>
      </c>
      <c r="H824" s="43" t="n">
        <v>14.132533</v>
      </c>
      <c r="I824" s="43" t="n">
        <v>120.978417</v>
      </c>
      <c r="J824" s="44" t="inlineStr">
        <is>
          <t>R</t>
        </is>
      </c>
      <c r="K824" s="42" t="inlineStr">
        <is>
          <t>Class 1-3 / Urban</t>
        </is>
      </c>
      <c r="L824" s="23" t="n">
        <v>2243</v>
      </c>
      <c r="M824" s="24" t="n">
        <v>4.49</v>
      </c>
      <c r="N824" s="23">
        <f>ROUND(L824/M824, 0)</f>
        <v/>
      </c>
      <c r="O824" s="23">
        <f>ROUND(N824*'Methodology &amp; Assumptions'!$B$8, 0)</f>
        <v/>
      </c>
      <c r="P824" s="44" t="inlineStr">
        <is>
          <t>Band n50 (1.5 GHz, 60 MHz)</t>
        </is>
      </c>
      <c r="Q824" s="38">
        <f>ROUNDUP(O824/'Methodology &amp; Assumptions'!$B$9, 0)</f>
        <v/>
      </c>
      <c r="R824" s="39" t="n">
        <v>1</v>
      </c>
      <c r="S824" s="25" t="n">
        <v>0.7</v>
      </c>
      <c r="T824" s="25" t="n">
        <v>0.12</v>
      </c>
      <c r="U824" s="42" t="inlineStr">
        <is>
          <t>Tier 1A (Direct Coloc, &lt;1 km)</t>
        </is>
      </c>
      <c r="V824" s="24" t="n">
        <v>89.2</v>
      </c>
      <c r="W824" s="24" t="n">
        <v>64</v>
      </c>
      <c r="X824" s="24" t="n">
        <v>58</v>
      </c>
      <c r="Y824" s="45">
        <f>ROUND((V824*'Methodology &amp; Assumptions'!$B$6)+(W824*'Methodology &amp; Assumptions'!$B$5)+(X824*'Methodology &amp; Assumptions'!$B$7), 2)</f>
        <v/>
      </c>
    </row>
    <row r="825" ht="19" customHeight="1">
      <c r="A825" s="35" t="n">
        <v>821</v>
      </c>
      <c r="B825" s="35" t="n">
        <v>1821</v>
      </c>
      <c r="C825" s="36" t="inlineStr">
        <is>
          <t>0304926002</t>
        </is>
      </c>
      <c r="D825" s="36" t="inlineStr">
        <is>
          <t>Region III (Central Luzon)</t>
        </is>
      </c>
      <c r="E825" s="36" t="inlineStr">
        <is>
          <t>Nueva Ecija</t>
        </is>
      </c>
      <c r="F825" s="36" t="inlineStr">
        <is>
          <t>San Jose City</t>
        </is>
      </c>
      <c r="G825" s="36" t="inlineStr">
        <is>
          <t>Abar Ist</t>
        </is>
      </c>
      <c r="H825" s="37" t="n">
        <v>15.792553</v>
      </c>
      <c r="I825" s="37" t="n">
        <v>120.977582</v>
      </c>
      <c r="J825" s="8" t="inlineStr">
        <is>
          <t>U</t>
        </is>
      </c>
      <c r="K825" s="36" t="inlineStr">
        <is>
          <t>Class 1-3 / Urban</t>
        </is>
      </c>
      <c r="L825" s="18" t="n">
        <v>21214</v>
      </c>
      <c r="M825" s="20" t="n">
        <v>4.32</v>
      </c>
      <c r="N825" s="18">
        <f>ROUND(L825/M825, 0)</f>
        <v/>
      </c>
      <c r="O825" s="18">
        <f>ROUND(N825*'Methodology &amp; Assumptions'!$B$8, 0)</f>
        <v/>
      </c>
      <c r="P825" s="8" t="inlineStr">
        <is>
          <t>Band n50 (1.5 GHz, 60 MHz)</t>
        </is>
      </c>
      <c r="Q825" s="38">
        <f>ROUNDUP(O825/'Methodology &amp; Assumptions'!$B$9, 0)</f>
        <v/>
      </c>
      <c r="R825" s="39" t="n">
        <v>1</v>
      </c>
      <c r="S825" s="21" t="n">
        <v>1.12</v>
      </c>
      <c r="T825" s="21" t="n">
        <v>0.55</v>
      </c>
      <c r="U825" s="36" t="inlineStr">
        <is>
          <t>Tier 1B (Micro Drop, 1-3 km)</t>
        </is>
      </c>
      <c r="V825" s="20" t="n">
        <v>78.90000000000001</v>
      </c>
      <c r="W825" s="20" t="n">
        <v>100</v>
      </c>
      <c r="X825" s="20" t="n">
        <v>28</v>
      </c>
      <c r="Y825" s="40">
        <f>ROUND((V825*'Methodology &amp; Assumptions'!$B$6)+(W825*'Methodology &amp; Assumptions'!$B$5)+(X825*'Methodology &amp; Assumptions'!$B$7), 2)</f>
        <v/>
      </c>
    </row>
    <row r="826" ht="19" customHeight="1">
      <c r="A826" s="41" t="n">
        <v>822</v>
      </c>
      <c r="B826" s="41" t="n">
        <v>1822</v>
      </c>
      <c r="C826" s="42" t="inlineStr">
        <is>
          <t>0506213004</t>
        </is>
      </c>
      <c r="D826" s="42" t="inlineStr">
        <is>
          <t>Region V (Bicol Region)</t>
        </is>
      </c>
      <c r="E826" s="42" t="inlineStr">
        <is>
          <t>Sorsogon</t>
        </is>
      </c>
      <c r="F826" s="42" t="inlineStr">
        <is>
          <t>Pilar</t>
        </is>
      </c>
      <c r="G826" s="42" t="inlineStr">
        <is>
          <t>Banuyo</t>
        </is>
      </c>
      <c r="H826" s="43" t="n">
        <v>12.924119</v>
      </c>
      <c r="I826" s="43" t="n">
        <v>123.67595</v>
      </c>
      <c r="J826" s="44" t="inlineStr">
        <is>
          <t>R</t>
        </is>
      </c>
      <c r="K826" s="42" t="inlineStr">
        <is>
          <t>Class 1-3 / Urban</t>
        </is>
      </c>
      <c r="L826" s="23" t="n">
        <v>3809</v>
      </c>
      <c r="M826" s="24" t="n">
        <v>4.58</v>
      </c>
      <c r="N826" s="23">
        <f>ROUND(L826/M826, 0)</f>
        <v/>
      </c>
      <c r="O826" s="23">
        <f>ROUND(N826*'Methodology &amp; Assumptions'!$B$8, 0)</f>
        <v/>
      </c>
      <c r="P826" s="44" t="inlineStr">
        <is>
          <t>Band n50 (1.5 GHz, 60 MHz)</t>
        </is>
      </c>
      <c r="Q826" s="38">
        <f>ROUNDUP(O826/'Methodology &amp; Assumptions'!$B$9, 0)</f>
        <v/>
      </c>
      <c r="R826" s="39" t="n">
        <v>1</v>
      </c>
      <c r="S826" s="25" t="n">
        <v>1.41</v>
      </c>
      <c r="T826" s="25" t="n">
        <v>10.43</v>
      </c>
      <c r="U826" s="42" t="inlineStr">
        <is>
          <t>Tier 1B (Micro Drop, 1-3 km)</t>
        </is>
      </c>
      <c r="V826" s="24" t="n">
        <v>62.5</v>
      </c>
      <c r="W826" s="24" t="n">
        <v>90.7</v>
      </c>
      <c r="X826" s="24" t="n">
        <v>58</v>
      </c>
      <c r="Y826" s="45">
        <f>ROUND((V826*'Methodology &amp; Assumptions'!$B$6)+(W826*'Methodology &amp; Assumptions'!$B$5)+(X826*'Methodology &amp; Assumptions'!$B$7), 2)</f>
        <v/>
      </c>
    </row>
    <row r="827" ht="19" customHeight="1">
      <c r="A827" s="35" t="n">
        <v>823</v>
      </c>
      <c r="B827" s="35" t="n">
        <v>1823</v>
      </c>
      <c r="C827" s="36" t="inlineStr">
        <is>
          <t>0501603013</t>
        </is>
      </c>
      <c r="D827" s="36" t="inlineStr">
        <is>
          <t>Region V (Bicol Region)</t>
        </is>
      </c>
      <c r="E827" s="36" t="inlineStr">
        <is>
          <t>Camarines Norte</t>
        </is>
      </c>
      <c r="F827" s="36" t="inlineStr">
        <is>
          <t>Daet</t>
        </is>
      </c>
      <c r="G827" s="36" t="inlineStr">
        <is>
          <t>Gahonon</t>
        </is>
      </c>
      <c r="H827" s="37" t="n">
        <v>14.131389</v>
      </c>
      <c r="I827" s="37" t="n">
        <v>122.950668</v>
      </c>
      <c r="J827" s="8" t="inlineStr">
        <is>
          <t>R</t>
        </is>
      </c>
      <c r="K827" s="36" t="inlineStr">
        <is>
          <t>Class 1-3 / Urban</t>
        </is>
      </c>
      <c r="L827" s="18" t="n">
        <v>3635</v>
      </c>
      <c r="M827" s="20" t="n">
        <v>4.4</v>
      </c>
      <c r="N827" s="18">
        <f>ROUND(L827/M827, 0)</f>
        <v/>
      </c>
      <c r="O827" s="18">
        <f>ROUND(N827*'Methodology &amp; Assumptions'!$B$8, 0)</f>
        <v/>
      </c>
      <c r="P827" s="8" t="inlineStr">
        <is>
          <t>Band n50 (1.5 GHz, 60 MHz)</t>
        </is>
      </c>
      <c r="Q827" s="38">
        <f>ROUNDUP(O827/'Methodology &amp; Assumptions'!$B$9, 0)</f>
        <v/>
      </c>
      <c r="R827" s="39" t="n">
        <v>1</v>
      </c>
      <c r="S827" s="21" t="n">
        <v>1.9</v>
      </c>
      <c r="T827" s="21" t="n">
        <v>1.8</v>
      </c>
      <c r="U827" s="36" t="inlineStr">
        <is>
          <t>Tier 1B (Micro Drop, 1-3 km)</t>
        </is>
      </c>
      <c r="V827" s="20" t="n">
        <v>63.1</v>
      </c>
      <c r="W827" s="20" t="n">
        <v>90.09999999999999</v>
      </c>
      <c r="X827" s="20" t="n">
        <v>58</v>
      </c>
      <c r="Y827" s="40">
        <f>ROUND((V827*'Methodology &amp; Assumptions'!$B$6)+(W827*'Methodology &amp; Assumptions'!$B$5)+(X827*'Methodology &amp; Assumptions'!$B$7), 2)</f>
        <v/>
      </c>
    </row>
    <row r="828" ht="19" customHeight="1">
      <c r="A828" s="41" t="n">
        <v>824</v>
      </c>
      <c r="B828" s="41" t="n">
        <v>1824</v>
      </c>
      <c r="C828" s="42" t="inlineStr">
        <is>
          <t>1705211008</t>
        </is>
      </c>
      <c r="D828" s="42" t="inlineStr">
        <is>
          <t>MIMAROPA Region</t>
        </is>
      </c>
      <c r="E828" s="42" t="inlineStr">
        <is>
          <t>Oriental Mindoro</t>
        </is>
      </c>
      <c r="F828" s="42" t="inlineStr">
        <is>
          <t>Puerto Galera</t>
        </is>
      </c>
      <c r="G828" s="42" t="inlineStr">
        <is>
          <t>Santo Niño</t>
        </is>
      </c>
      <c r="H828" s="43" t="n">
        <v>13.502819</v>
      </c>
      <c r="I828" s="43" t="n">
        <v>120.947451</v>
      </c>
      <c r="J828" s="44" t="inlineStr">
        <is>
          <t>R</t>
        </is>
      </c>
      <c r="K828" s="42" t="inlineStr">
        <is>
          <t>Class 1-3 / Urban</t>
        </is>
      </c>
      <c r="L828" s="23" t="n">
        <v>2711</v>
      </c>
      <c r="M828" s="24" t="n">
        <v>4.41</v>
      </c>
      <c r="N828" s="23">
        <f>ROUND(L828/M828, 0)</f>
        <v/>
      </c>
      <c r="O828" s="23">
        <f>ROUND(N828*'Methodology &amp; Assumptions'!$B$8, 0)</f>
        <v/>
      </c>
      <c r="P828" s="44" t="inlineStr">
        <is>
          <t>Band n50 (1.5 GHz, 60 MHz)</t>
        </is>
      </c>
      <c r="Q828" s="38">
        <f>ROUNDUP(O828/'Methodology &amp; Assumptions'!$B$9, 0)</f>
        <v/>
      </c>
      <c r="R828" s="39" t="n">
        <v>1</v>
      </c>
      <c r="S828" s="25" t="n">
        <v>0.9</v>
      </c>
      <c r="T828" s="25" t="n">
        <v>0.1</v>
      </c>
      <c r="U828" s="42" t="inlineStr">
        <is>
          <t>Tier 1A (Direct Coloc, &lt;1 km)</t>
        </is>
      </c>
      <c r="V828" s="24" t="n">
        <v>84.09999999999999</v>
      </c>
      <c r="W828" s="24" t="n">
        <v>69.09999999999999</v>
      </c>
      <c r="X828" s="24" t="n">
        <v>58</v>
      </c>
      <c r="Y828" s="45">
        <f>ROUND((V828*'Methodology &amp; Assumptions'!$B$6)+(W828*'Methodology &amp; Assumptions'!$B$5)+(X828*'Methodology &amp; Assumptions'!$B$7), 2)</f>
        <v/>
      </c>
    </row>
    <row r="829" ht="19" customHeight="1">
      <c r="A829" s="35" t="n">
        <v>825</v>
      </c>
      <c r="B829" s="35" t="n">
        <v>1825</v>
      </c>
      <c r="C829" s="36" t="inlineStr">
        <is>
          <t>0300803005</t>
        </is>
      </c>
      <c r="D829" s="36" t="inlineStr">
        <is>
          <t>Region III (Central Luzon)</t>
        </is>
      </c>
      <c r="E829" s="36" t="inlineStr">
        <is>
          <t>Bataan</t>
        </is>
      </c>
      <c r="F829" s="36" t="inlineStr">
        <is>
          <t>City of Balanga</t>
        </is>
      </c>
      <c r="G829" s="36" t="inlineStr">
        <is>
          <t>Cataning</t>
        </is>
      </c>
      <c r="H829" s="37" t="n">
        <v>14.674727</v>
      </c>
      <c r="I829" s="37" t="n">
        <v>120.540379</v>
      </c>
      <c r="J829" s="8" t="inlineStr">
        <is>
          <t>U</t>
        </is>
      </c>
      <c r="K829" s="36" t="inlineStr">
        <is>
          <t>Class 1-3 / Urban</t>
        </is>
      </c>
      <c r="L829" s="18" t="n">
        <v>9775</v>
      </c>
      <c r="M829" s="20" t="n">
        <v>4.57</v>
      </c>
      <c r="N829" s="18">
        <f>ROUND(L829/M829, 0)</f>
        <v/>
      </c>
      <c r="O829" s="18">
        <f>ROUND(N829*'Methodology &amp; Assumptions'!$B$8, 0)</f>
        <v/>
      </c>
      <c r="P829" s="8" t="inlineStr">
        <is>
          <t>Band n50 (1.5 GHz, 60 MHz)</t>
        </is>
      </c>
      <c r="Q829" s="38">
        <f>ROUNDUP(O829/'Methodology &amp; Assumptions'!$B$9, 0)</f>
        <v/>
      </c>
      <c r="R829" s="39" t="n">
        <v>1</v>
      </c>
      <c r="S829" s="21" t="n">
        <v>1.12</v>
      </c>
      <c r="T829" s="21" t="n">
        <v>0.48</v>
      </c>
      <c r="U829" s="36" t="inlineStr">
        <is>
          <t>Tier 1B (Micro Drop, 1-3 km)</t>
        </is>
      </c>
      <c r="V829" s="20" t="n">
        <v>78.90000000000001</v>
      </c>
      <c r="W829" s="20" t="n">
        <v>100</v>
      </c>
      <c r="X829" s="20" t="n">
        <v>28</v>
      </c>
      <c r="Y829" s="40">
        <f>ROUND((V829*'Methodology &amp; Assumptions'!$B$6)+(W829*'Methodology &amp; Assumptions'!$B$5)+(X829*'Methodology &amp; Assumptions'!$B$7), 2)</f>
        <v/>
      </c>
    </row>
    <row r="830" ht="19" customHeight="1">
      <c r="A830" s="41" t="n">
        <v>826</v>
      </c>
      <c r="B830" s="41" t="n">
        <v>1826</v>
      </c>
      <c r="C830" s="42" t="inlineStr">
        <is>
          <t>0103309002</t>
        </is>
      </c>
      <c r="D830" s="42" t="inlineStr">
        <is>
          <t>Region I (Ilocos Region)</t>
        </is>
      </c>
      <c r="E830" s="42" t="inlineStr">
        <is>
          <t>La Union</t>
        </is>
      </c>
      <c r="F830" s="42" t="inlineStr">
        <is>
          <t>Caba</t>
        </is>
      </c>
      <c r="G830" s="42" t="inlineStr">
        <is>
          <t>Gana</t>
        </is>
      </c>
      <c r="H830" s="43" t="n">
        <v>16.422742</v>
      </c>
      <c r="I830" s="43" t="n">
        <v>120.349714</v>
      </c>
      <c r="J830" s="44" t="inlineStr">
        <is>
          <t>R</t>
        </is>
      </c>
      <c r="K830" s="42" t="inlineStr">
        <is>
          <t>1st</t>
        </is>
      </c>
      <c r="L830" s="23" t="n">
        <v>2248</v>
      </c>
      <c r="M830" s="24" t="n">
        <v>4.2</v>
      </c>
      <c r="N830" s="23">
        <f>ROUND(L830/M830, 0)</f>
        <v/>
      </c>
      <c r="O830" s="23">
        <f>ROUND(N830*'Methodology &amp; Assumptions'!$B$8, 0)</f>
        <v/>
      </c>
      <c r="P830" s="44" t="inlineStr">
        <is>
          <t>Band n50 (1.5 GHz, 60 MHz)</t>
        </is>
      </c>
      <c r="Q830" s="38">
        <f>ROUNDUP(O830/'Methodology &amp; Assumptions'!$B$9, 0)</f>
        <v/>
      </c>
      <c r="R830" s="39" t="n">
        <v>1</v>
      </c>
      <c r="S830" s="25" t="n">
        <v>0.8</v>
      </c>
      <c r="T830" s="25" t="n">
        <v>0.09</v>
      </c>
      <c r="U830" s="42" t="inlineStr">
        <is>
          <t>Tier 1A (Direct Coloc, &lt;1 km)</t>
        </is>
      </c>
      <c r="V830" s="24" t="n">
        <v>86.5</v>
      </c>
      <c r="W830" s="24" t="n">
        <v>66.7</v>
      </c>
      <c r="X830" s="24" t="n">
        <v>58</v>
      </c>
      <c r="Y830" s="45">
        <f>ROUND((V830*'Methodology &amp; Assumptions'!$B$6)+(W830*'Methodology &amp; Assumptions'!$B$5)+(X830*'Methodology &amp; Assumptions'!$B$7), 2)</f>
        <v/>
      </c>
    </row>
    <row r="831" ht="19" customHeight="1">
      <c r="A831" s="35" t="n">
        <v>827</v>
      </c>
      <c r="B831" s="35" t="n">
        <v>1827</v>
      </c>
      <c r="C831" s="36" t="inlineStr">
        <is>
          <t>0405812007</t>
        </is>
      </c>
      <c r="D831" s="36" t="inlineStr">
        <is>
          <t>Region IV-A (CALABARZON)</t>
        </is>
      </c>
      <c r="E831" s="36" t="inlineStr">
        <is>
          <t>Rizal</t>
        </is>
      </c>
      <c r="F831" s="36" t="inlineStr">
        <is>
          <t>Tanay</t>
        </is>
      </c>
      <c r="G831" s="36" t="inlineStr">
        <is>
          <t>Mag-Ampon</t>
        </is>
      </c>
      <c r="H831" s="37" t="n">
        <v>14.50033</v>
      </c>
      <c r="I831" s="37" t="n">
        <v>121.28752</v>
      </c>
      <c r="J831" s="8" t="inlineStr">
        <is>
          <t>R</t>
        </is>
      </c>
      <c r="K831" s="36" t="inlineStr">
        <is>
          <t>Class 1-3 / Urban</t>
        </is>
      </c>
      <c r="L831" s="18" t="n">
        <v>1874</v>
      </c>
      <c r="M831" s="20" t="n">
        <v>4.39</v>
      </c>
      <c r="N831" s="18">
        <f>ROUND(L831/M831, 0)</f>
        <v/>
      </c>
      <c r="O831" s="18">
        <f>ROUND(N831*'Methodology &amp; Assumptions'!$B$8, 0)</f>
        <v/>
      </c>
      <c r="P831" s="8" t="inlineStr">
        <is>
          <t>Band n50 (1.5 GHz, 60 MHz)</t>
        </is>
      </c>
      <c r="Q831" s="38">
        <f>ROUNDUP(O831/'Methodology &amp; Assumptions'!$B$9, 0)</f>
        <v/>
      </c>
      <c r="R831" s="39" t="n">
        <v>1</v>
      </c>
      <c r="S831" s="21" t="n">
        <v>0.49</v>
      </c>
      <c r="T831" s="21" t="n">
        <v>0.37</v>
      </c>
      <c r="U831" s="36" t="inlineStr">
        <is>
          <t>Tier 1A (Direct Coloc, &lt;1 km)</t>
        </is>
      </c>
      <c r="V831" s="20" t="n">
        <v>95</v>
      </c>
      <c r="W831" s="20" t="n">
        <v>58.1</v>
      </c>
      <c r="X831" s="20" t="n">
        <v>58</v>
      </c>
      <c r="Y831" s="40">
        <f>ROUND((V831*'Methodology &amp; Assumptions'!$B$6)+(W831*'Methodology &amp; Assumptions'!$B$5)+(X831*'Methodology &amp; Assumptions'!$B$7), 2)</f>
        <v/>
      </c>
    </row>
    <row r="832" ht="19" customHeight="1">
      <c r="A832" s="41" t="n">
        <v>828</v>
      </c>
      <c r="B832" s="41" t="n">
        <v>1828</v>
      </c>
      <c r="C832" s="42" t="inlineStr">
        <is>
          <t>0405802009</t>
        </is>
      </c>
      <c r="D832" s="42" t="inlineStr">
        <is>
          <t>Region IV-A (CALABARZON)</t>
        </is>
      </c>
      <c r="E832" s="42" t="inlineStr">
        <is>
          <t>Rizal</t>
        </is>
      </c>
      <c r="F832" s="42" t="inlineStr">
        <is>
          <t>City of Antipolo</t>
        </is>
      </c>
      <c r="G832" s="42" t="inlineStr">
        <is>
          <t>San Roque</t>
        </is>
      </c>
      <c r="H832" s="43" t="n">
        <v>14.568849</v>
      </c>
      <c r="I832" s="43" t="n">
        <v>121.175461</v>
      </c>
      <c r="J832" s="44" t="inlineStr">
        <is>
          <t>U</t>
        </is>
      </c>
      <c r="K832" s="42" t="inlineStr">
        <is>
          <t>Class 1-3 / Urban</t>
        </is>
      </c>
      <c r="L832" s="23" t="n">
        <v>70120</v>
      </c>
      <c r="M832" s="24" t="n">
        <v>4.39</v>
      </c>
      <c r="N832" s="23">
        <f>ROUND(L832/M832, 0)</f>
        <v/>
      </c>
      <c r="O832" s="23">
        <f>ROUND(N832*'Methodology &amp; Assumptions'!$B$8, 0)</f>
        <v/>
      </c>
      <c r="P832" s="44" t="inlineStr">
        <is>
          <t>Band n50 (1.5 GHz, 60 MHz)</t>
        </is>
      </c>
      <c r="Q832" s="38">
        <f>ROUNDUP(O832/'Methodology &amp; Assumptions'!$B$9, 0)</f>
        <v/>
      </c>
      <c r="R832" s="39" t="n">
        <v>1</v>
      </c>
      <c r="S832" s="25" t="n">
        <v>0.89</v>
      </c>
      <c r="T832" s="25" t="n">
        <v>0.71</v>
      </c>
      <c r="U832" s="42" t="inlineStr">
        <is>
          <t>Tier 1A (Direct Coloc, &lt;1 km)</t>
        </is>
      </c>
      <c r="V832" s="24" t="n">
        <v>84.3</v>
      </c>
      <c r="W832" s="24" t="n">
        <v>94.59999999999999</v>
      </c>
      <c r="X832" s="24" t="n">
        <v>28</v>
      </c>
      <c r="Y832" s="45">
        <f>ROUND((V832*'Methodology &amp; Assumptions'!$B$6)+(W832*'Methodology &amp; Assumptions'!$B$5)+(X832*'Methodology &amp; Assumptions'!$B$7), 2)</f>
        <v/>
      </c>
    </row>
    <row r="833" ht="19" customHeight="1">
      <c r="A833" s="35" t="n">
        <v>829</v>
      </c>
      <c r="B833" s="35" t="n">
        <v>1829</v>
      </c>
      <c r="C833" s="36" t="inlineStr">
        <is>
          <t>0105522021</t>
        </is>
      </c>
      <c r="D833" s="36" t="inlineStr">
        <is>
          <t>Region I (Ilocos Region)</t>
        </is>
      </c>
      <c r="E833" s="36" t="inlineStr">
        <is>
          <t>Pangasinan</t>
        </is>
      </c>
      <c r="F833" s="36" t="inlineStr">
        <is>
          <t>Lingayen</t>
        </is>
      </c>
      <c r="G833" s="36" t="inlineStr">
        <is>
          <t>Maniboc</t>
        </is>
      </c>
      <c r="H833" s="37" t="n">
        <v>16.029518</v>
      </c>
      <c r="I833" s="37" t="n">
        <v>120.224745</v>
      </c>
      <c r="J833" s="8" t="inlineStr">
        <is>
          <t>U</t>
        </is>
      </c>
      <c r="K833" s="36" t="inlineStr">
        <is>
          <t>Class 1-3 / Urban</t>
        </is>
      </c>
      <c r="L833" s="18" t="n">
        <v>8149</v>
      </c>
      <c r="M833" s="20" t="n">
        <v>4.39</v>
      </c>
      <c r="N833" s="18">
        <f>ROUND(L833/M833, 0)</f>
        <v/>
      </c>
      <c r="O833" s="18">
        <f>ROUND(N833*'Methodology &amp; Assumptions'!$B$8, 0)</f>
        <v/>
      </c>
      <c r="P833" s="8" t="inlineStr">
        <is>
          <t>Band n50 (1.5 GHz, 60 MHz)</t>
        </is>
      </c>
      <c r="Q833" s="38">
        <f>ROUNDUP(O833/'Methodology &amp; Assumptions'!$B$9, 0)</f>
        <v/>
      </c>
      <c r="R833" s="39" t="n">
        <v>1</v>
      </c>
      <c r="S833" s="21" t="n">
        <v>1.12</v>
      </c>
      <c r="T833" s="21" t="n">
        <v>1.11</v>
      </c>
      <c r="U833" s="36" t="inlineStr">
        <is>
          <t>Tier 1B (Micro Drop, 1-3 km)</t>
        </is>
      </c>
      <c r="V833" s="20" t="n">
        <v>78.90000000000001</v>
      </c>
      <c r="W833" s="20" t="n">
        <v>100</v>
      </c>
      <c r="X833" s="20" t="n">
        <v>28</v>
      </c>
      <c r="Y833" s="40">
        <f>ROUND((V833*'Methodology &amp; Assumptions'!$B$6)+(W833*'Methodology &amp; Assumptions'!$B$5)+(X833*'Methodology &amp; Assumptions'!$B$7), 2)</f>
        <v/>
      </c>
    </row>
    <row r="834" ht="19" customHeight="1">
      <c r="A834" s="41" t="n">
        <v>830</v>
      </c>
      <c r="B834" s="41" t="n">
        <v>1830</v>
      </c>
      <c r="C834" s="42" t="inlineStr">
        <is>
          <t>0405802002</t>
        </is>
      </c>
      <c r="D834" s="42" t="inlineStr">
        <is>
          <t>Region IV-A (CALABARZON)</t>
        </is>
      </c>
      <c r="E834" s="42" t="inlineStr">
        <is>
          <t>Rizal</t>
        </is>
      </c>
      <c r="F834" s="42" t="inlineStr">
        <is>
          <t>City of Antipolo</t>
        </is>
      </c>
      <c r="G834" s="42" t="inlineStr">
        <is>
          <t>Cupang</t>
        </is>
      </c>
      <c r="H834" s="43" t="n">
        <v>14.635834</v>
      </c>
      <c r="I834" s="43" t="n">
        <v>121.123856</v>
      </c>
      <c r="J834" s="44" t="inlineStr">
        <is>
          <t>U</t>
        </is>
      </c>
      <c r="K834" s="42" t="inlineStr">
        <is>
          <t>Class 1-3 / Urban</t>
        </is>
      </c>
      <c r="L834" s="23" t="n">
        <v>135064</v>
      </c>
      <c r="M834" s="24" t="n">
        <v>4.39</v>
      </c>
      <c r="N834" s="23">
        <f>ROUND(L834/M834, 0)</f>
        <v/>
      </c>
      <c r="O834" s="23">
        <f>ROUND(N834*'Methodology &amp; Assumptions'!$B$8, 0)</f>
        <v/>
      </c>
      <c r="P834" s="44" t="inlineStr">
        <is>
          <t>Band n50 (1.5 GHz, 60 MHz)</t>
        </is>
      </c>
      <c r="Q834" s="38">
        <f>ROUNDUP(O834/'Methodology &amp; Assumptions'!$B$9, 0)</f>
        <v/>
      </c>
      <c r="R834" s="39" t="n">
        <v>1</v>
      </c>
      <c r="S834" s="25" t="n">
        <v>0.74</v>
      </c>
      <c r="T834" s="25" t="n">
        <v>0.25</v>
      </c>
      <c r="U834" s="42" t="inlineStr">
        <is>
          <t>Tier 1A (Direct Coloc, &lt;1 km)</t>
        </is>
      </c>
      <c r="V834" s="24" t="n">
        <v>88.2</v>
      </c>
      <c r="W834" s="24" t="n">
        <v>90.7</v>
      </c>
      <c r="X834" s="24" t="n">
        <v>28</v>
      </c>
      <c r="Y834" s="45">
        <f>ROUND((V834*'Methodology &amp; Assumptions'!$B$6)+(W834*'Methodology &amp; Assumptions'!$B$5)+(X834*'Methodology &amp; Assumptions'!$B$7), 2)</f>
        <v/>
      </c>
    </row>
    <row r="835" ht="19" customHeight="1">
      <c r="A835" s="35" t="n">
        <v>831</v>
      </c>
      <c r="B835" s="35" t="n">
        <v>1831</v>
      </c>
      <c r="C835" s="36" t="inlineStr">
        <is>
          <t>0401004005</t>
        </is>
      </c>
      <c r="D835" s="36" t="inlineStr">
        <is>
          <t>Region IV-A (CALABARZON)</t>
        </is>
      </c>
      <c r="E835" s="36" t="inlineStr">
        <is>
          <t>Batangas</t>
        </is>
      </c>
      <c r="F835" s="36" t="inlineStr">
        <is>
          <t>Balete</t>
        </is>
      </c>
      <c r="G835" s="36" t="inlineStr">
        <is>
          <t>Makina</t>
        </is>
      </c>
      <c r="H835" s="37" t="n">
        <v>14.021655</v>
      </c>
      <c r="I835" s="37" t="n">
        <v>121.11089</v>
      </c>
      <c r="J835" s="8" t="inlineStr">
        <is>
          <t>R</t>
        </is>
      </c>
      <c r="K835" s="36" t="inlineStr">
        <is>
          <t>4th</t>
        </is>
      </c>
      <c r="L835" s="18" t="n">
        <v>3624</v>
      </c>
      <c r="M835" s="20" t="n">
        <v>4.78</v>
      </c>
      <c r="N835" s="18">
        <f>ROUND(L835/M835, 0)</f>
        <v/>
      </c>
      <c r="O835" s="18">
        <f>ROUND(N835*'Methodology &amp; Assumptions'!$B$8, 0)</f>
        <v/>
      </c>
      <c r="P835" s="8" t="inlineStr">
        <is>
          <t>Band n50 (1.5 GHz, 60 MHz)</t>
        </is>
      </c>
      <c r="Q835" s="38">
        <f>ROUNDUP(O835/'Methodology &amp; Assumptions'!$B$9, 0)</f>
        <v/>
      </c>
      <c r="R835" s="39" t="n">
        <v>1</v>
      </c>
      <c r="S835" s="21" t="n">
        <v>1.55</v>
      </c>
      <c r="T835" s="21" t="n">
        <v>5.49</v>
      </c>
      <c r="U835" s="36" t="inlineStr">
        <is>
          <t>Tier 1B (Micro Drop, 1-3 km)</t>
        </is>
      </c>
      <c r="V835" s="20" t="n">
        <v>59.6</v>
      </c>
      <c r="W835" s="20" t="n">
        <v>84.5</v>
      </c>
      <c r="X835" s="20" t="n">
        <v>68.5</v>
      </c>
      <c r="Y835" s="40">
        <f>ROUND((V835*'Methodology &amp; Assumptions'!$B$6)+(W835*'Methodology &amp; Assumptions'!$B$5)+(X835*'Methodology &amp; Assumptions'!$B$7), 2)</f>
        <v/>
      </c>
    </row>
    <row r="836" ht="19" customHeight="1">
      <c r="A836" s="41" t="n">
        <v>832</v>
      </c>
      <c r="B836" s="41" t="n">
        <v>1832</v>
      </c>
      <c r="C836" s="42" t="inlineStr">
        <is>
          <t>0402106045</t>
        </is>
      </c>
      <c r="D836" s="42" t="inlineStr">
        <is>
          <t>Region IV-A (CALABARZON)</t>
        </is>
      </c>
      <c r="E836" s="42" t="inlineStr">
        <is>
          <t>Cavite</t>
        </is>
      </c>
      <c r="F836" s="42" t="inlineStr">
        <is>
          <t>City of Dasmariñas</t>
        </is>
      </c>
      <c r="G836" s="42" t="inlineStr">
        <is>
          <t>Santo Cristo</t>
        </is>
      </c>
      <c r="H836" s="43" t="n">
        <v>14.34124</v>
      </c>
      <c r="I836" s="43" t="n">
        <v>120.954405</v>
      </c>
      <c r="J836" s="44" t="inlineStr">
        <is>
          <t>R</t>
        </is>
      </c>
      <c r="K836" s="42" t="inlineStr">
        <is>
          <t>Class 1-3 / Urban</t>
        </is>
      </c>
      <c r="L836" s="23" t="n">
        <v>4551</v>
      </c>
      <c r="M836" s="24" t="n">
        <v>4.49</v>
      </c>
      <c r="N836" s="23">
        <f>ROUND(L836/M836, 0)</f>
        <v/>
      </c>
      <c r="O836" s="23">
        <f>ROUND(N836*'Methodology &amp; Assumptions'!$B$8, 0)</f>
        <v/>
      </c>
      <c r="P836" s="44" t="inlineStr">
        <is>
          <t>Band n50 (1.5 GHz, 60 MHz)</t>
        </is>
      </c>
      <c r="Q836" s="38">
        <f>ROUNDUP(O836/'Methodology &amp; Assumptions'!$B$9, 0)</f>
        <v/>
      </c>
      <c r="R836" s="39" t="n">
        <v>1</v>
      </c>
      <c r="S836" s="25" t="n">
        <v>1.9</v>
      </c>
      <c r="T836" s="25" t="n">
        <v>4.4</v>
      </c>
      <c r="U836" s="42" t="inlineStr">
        <is>
          <t>Tier 1B (Micro Drop, 1-3 km)</t>
        </is>
      </c>
      <c r="V836" s="24" t="n">
        <v>53.1</v>
      </c>
      <c r="W836" s="24" t="n">
        <v>100</v>
      </c>
      <c r="X836" s="24" t="n">
        <v>58</v>
      </c>
      <c r="Y836" s="45">
        <f>ROUND((V836*'Methodology &amp; Assumptions'!$B$6)+(W836*'Methodology &amp; Assumptions'!$B$5)+(X836*'Methodology &amp; Assumptions'!$B$7), 2)</f>
        <v/>
      </c>
    </row>
    <row r="837" ht="19" customHeight="1">
      <c r="A837" s="35" t="n">
        <v>833</v>
      </c>
      <c r="B837" s="35" t="n">
        <v>1833</v>
      </c>
      <c r="C837" s="36" t="inlineStr">
        <is>
          <t>0500508015</t>
        </is>
      </c>
      <c r="D837" s="36" t="inlineStr">
        <is>
          <t>Region V (Bicol Region)</t>
        </is>
      </c>
      <c r="E837" s="36" t="inlineStr">
        <is>
          <t>Albay</t>
        </is>
      </c>
      <c r="F837" s="36" t="inlineStr">
        <is>
          <t>City of Ligao</t>
        </is>
      </c>
      <c r="G837" s="36" t="inlineStr">
        <is>
          <t>Bonga</t>
        </is>
      </c>
      <c r="H837" s="37" t="n">
        <v>13.227732</v>
      </c>
      <c r="I837" s="37" t="n">
        <v>123.54704</v>
      </c>
      <c r="J837" s="8" t="inlineStr">
        <is>
          <t>R</t>
        </is>
      </c>
      <c r="K837" s="36" t="inlineStr">
        <is>
          <t>Class 1-3 / Urban</t>
        </is>
      </c>
      <c r="L837" s="18" t="n">
        <v>3765</v>
      </c>
      <c r="M837" s="20" t="n">
        <v>4.67</v>
      </c>
      <c r="N837" s="18">
        <f>ROUND(L837/M837, 0)</f>
        <v/>
      </c>
      <c r="O837" s="18">
        <f>ROUND(N837*'Methodology &amp; Assumptions'!$B$8, 0)</f>
        <v/>
      </c>
      <c r="P837" s="8" t="inlineStr">
        <is>
          <t>Band n50 (1.5 GHz, 60 MHz)</t>
        </is>
      </c>
      <c r="Q837" s="38">
        <f>ROUNDUP(O837/'Methodology &amp; Assumptions'!$B$9, 0)</f>
        <v/>
      </c>
      <c r="R837" s="39" t="n">
        <v>1</v>
      </c>
      <c r="S837" s="21" t="n">
        <v>1.82</v>
      </c>
      <c r="T837" s="21" t="n">
        <v>1.08</v>
      </c>
      <c r="U837" s="36" t="inlineStr">
        <is>
          <t>Tier 1B (Micro Drop, 1-3 km)</t>
        </is>
      </c>
      <c r="V837" s="20" t="n">
        <v>64.59999999999999</v>
      </c>
      <c r="W837" s="20" t="n">
        <v>88.5</v>
      </c>
      <c r="X837" s="20" t="n">
        <v>58</v>
      </c>
      <c r="Y837" s="40">
        <f>ROUND((V837*'Methodology &amp; Assumptions'!$B$6)+(W837*'Methodology &amp; Assumptions'!$B$5)+(X837*'Methodology &amp; Assumptions'!$B$7), 2)</f>
        <v/>
      </c>
    </row>
    <row r="838" ht="19" customHeight="1">
      <c r="A838" s="41" t="n">
        <v>834</v>
      </c>
      <c r="B838" s="41" t="n">
        <v>1834</v>
      </c>
      <c r="C838" s="42" t="inlineStr">
        <is>
          <t>0402106036</t>
        </is>
      </c>
      <c r="D838" s="42" t="inlineStr">
        <is>
          <t>Region IV-A (CALABARZON)</t>
        </is>
      </c>
      <c r="E838" s="42" t="inlineStr">
        <is>
          <t>Cavite</t>
        </is>
      </c>
      <c r="F838" s="42" t="inlineStr">
        <is>
          <t>City of Dasmariñas</t>
        </is>
      </c>
      <c r="G838" s="42" t="inlineStr">
        <is>
          <t>San Miguel</t>
        </is>
      </c>
      <c r="H838" s="43" t="n">
        <v>14.337581</v>
      </c>
      <c r="I838" s="43" t="n">
        <v>120.948898</v>
      </c>
      <c r="J838" s="44" t="inlineStr">
        <is>
          <t>R</t>
        </is>
      </c>
      <c r="K838" s="42" t="inlineStr">
        <is>
          <t>Class 1-3 / Urban</t>
        </is>
      </c>
      <c r="L838" s="23" t="n">
        <v>4118</v>
      </c>
      <c r="M838" s="24" t="n">
        <v>4.49</v>
      </c>
      <c r="N838" s="23">
        <f>ROUND(L838/M838, 0)</f>
        <v/>
      </c>
      <c r="O838" s="23">
        <f>ROUND(N838*'Methodology &amp; Assumptions'!$B$8, 0)</f>
        <v/>
      </c>
      <c r="P838" s="44" t="inlineStr">
        <is>
          <t>Band n50 (1.5 GHz, 60 MHz)</t>
        </is>
      </c>
      <c r="Q838" s="38">
        <f>ROUNDUP(O838/'Methodology &amp; Assumptions'!$B$9, 0)</f>
        <v/>
      </c>
      <c r="R838" s="39" t="n">
        <v>1</v>
      </c>
      <c r="S838" s="25" t="n">
        <v>1.75</v>
      </c>
      <c r="T838" s="25" t="n">
        <v>4.02</v>
      </c>
      <c r="U838" s="42" t="inlineStr">
        <is>
          <t>Tier 1B (Micro Drop, 1-3 km)</t>
        </is>
      </c>
      <c r="V838" s="24" t="n">
        <v>55.7</v>
      </c>
      <c r="W838" s="24" t="n">
        <v>97.3</v>
      </c>
      <c r="X838" s="24" t="n">
        <v>58</v>
      </c>
      <c r="Y838" s="45">
        <f>ROUND((V838*'Methodology &amp; Assumptions'!$B$6)+(W838*'Methodology &amp; Assumptions'!$B$5)+(X838*'Methodology &amp; Assumptions'!$B$7), 2)</f>
        <v/>
      </c>
    </row>
    <row r="839" ht="19" customHeight="1">
      <c r="A839" s="35" t="n">
        <v>835</v>
      </c>
      <c r="B839" s="35" t="n">
        <v>1835</v>
      </c>
      <c r="C839" s="36" t="inlineStr">
        <is>
          <t>0803708087</t>
        </is>
      </c>
      <c r="D839" s="36" t="inlineStr">
        <is>
          <t>Region VIII (Eastern Visayas)</t>
        </is>
      </c>
      <c r="E839" s="36" t="inlineStr">
        <is>
          <t>Leyte</t>
        </is>
      </c>
      <c r="F839" s="36" t="inlineStr">
        <is>
          <t>City of Baybay</t>
        </is>
      </c>
      <c r="G839" s="36" t="inlineStr">
        <is>
          <t>Santo Rosario</t>
        </is>
      </c>
      <c r="H839" s="37" t="n">
        <v>10.679631</v>
      </c>
      <c r="I839" s="37" t="n">
        <v>124.795465</v>
      </c>
      <c r="J839" s="8" t="inlineStr">
        <is>
          <t>R</t>
        </is>
      </c>
      <c r="K839" s="36" t="inlineStr">
        <is>
          <t>Class 1-3 / Urban</t>
        </is>
      </c>
      <c r="L839" s="18" t="n">
        <v>2087</v>
      </c>
      <c r="M839" s="20" t="n">
        <v>4.24</v>
      </c>
      <c r="N839" s="18">
        <f>ROUND(L839/M839, 0)</f>
        <v/>
      </c>
      <c r="O839" s="18">
        <f>ROUND(N839*'Methodology &amp; Assumptions'!$B$8, 0)</f>
        <v/>
      </c>
      <c r="P839" s="8" t="inlineStr">
        <is>
          <t>Band n50 (1.5 GHz, 60 MHz)</t>
        </is>
      </c>
      <c r="Q839" s="38">
        <f>ROUNDUP(O839/'Methodology &amp; Assumptions'!$B$9, 0)</f>
        <v/>
      </c>
      <c r="R839" s="39" t="n">
        <v>1</v>
      </c>
      <c r="S839" s="21" t="n">
        <v>0.68</v>
      </c>
      <c r="T839" s="21" t="n">
        <v>0.39</v>
      </c>
      <c r="U839" s="36" t="inlineStr">
        <is>
          <t>Tier 1A (Direct Coloc, &lt;1 km)</t>
        </is>
      </c>
      <c r="V839" s="20" t="n">
        <v>89.59999999999999</v>
      </c>
      <c r="W839" s="20" t="n">
        <v>63.5</v>
      </c>
      <c r="X839" s="20" t="n">
        <v>58</v>
      </c>
      <c r="Y839" s="40">
        <f>ROUND((V839*'Methodology &amp; Assumptions'!$B$6)+(W839*'Methodology &amp; Assumptions'!$B$5)+(X839*'Methodology &amp; Assumptions'!$B$7), 2)</f>
        <v/>
      </c>
    </row>
    <row r="840" ht="19" customHeight="1">
      <c r="A840" s="41" t="n">
        <v>836</v>
      </c>
      <c r="B840" s="41" t="n">
        <v>1836</v>
      </c>
      <c r="C840" s="42" t="inlineStr">
        <is>
          <t>0405805017</t>
        </is>
      </c>
      <c r="D840" s="42" t="inlineStr">
        <is>
          <t>Region IV-A (CALABARZON)</t>
        </is>
      </c>
      <c r="E840" s="42" t="inlineStr">
        <is>
          <t>Rizal</t>
        </is>
      </c>
      <c r="F840" s="42" t="inlineStr">
        <is>
          <t>Cainta</t>
        </is>
      </c>
      <c r="G840" s="42" t="inlineStr">
        <is>
          <t>San Roque</t>
        </is>
      </c>
      <c r="H840" s="43" t="n">
        <v>14.57639</v>
      </c>
      <c r="I840" s="43" t="n">
        <v>121.1161</v>
      </c>
      <c r="J840" s="44" t="inlineStr">
        <is>
          <t>U</t>
        </is>
      </c>
      <c r="K840" s="42" t="inlineStr">
        <is>
          <t>Class 1-3 / Urban</t>
        </is>
      </c>
      <c r="L840" s="23" t="n">
        <v>10289</v>
      </c>
      <c r="M840" s="24" t="n">
        <v>4.39</v>
      </c>
      <c r="N840" s="23">
        <f>ROUND(L840/M840, 0)</f>
        <v/>
      </c>
      <c r="O840" s="23">
        <f>ROUND(N840*'Methodology &amp; Assumptions'!$B$8, 0)</f>
        <v/>
      </c>
      <c r="P840" s="44" t="inlineStr">
        <is>
          <t>Band n50 (1.5 GHz, 60 MHz)</t>
        </is>
      </c>
      <c r="Q840" s="38">
        <f>ROUNDUP(O840/'Methodology &amp; Assumptions'!$B$9, 0)</f>
        <v/>
      </c>
      <c r="R840" s="39" t="n">
        <v>1</v>
      </c>
      <c r="S840" s="25" t="n">
        <v>1.12</v>
      </c>
      <c r="T840" s="25" t="n">
        <v>0.06</v>
      </c>
      <c r="U840" s="42" t="inlineStr">
        <is>
          <t>Tier 1B (Micro Drop, 1-3 km)</t>
        </is>
      </c>
      <c r="V840" s="24" t="n">
        <v>78.8</v>
      </c>
      <c r="W840" s="24" t="n">
        <v>100</v>
      </c>
      <c r="X840" s="24" t="n">
        <v>28</v>
      </c>
      <c r="Y840" s="45">
        <f>ROUND((V840*'Methodology &amp; Assumptions'!$B$6)+(W840*'Methodology &amp; Assumptions'!$B$5)+(X840*'Methodology &amp; Assumptions'!$B$7), 2)</f>
        <v/>
      </c>
    </row>
    <row r="841" ht="19" customHeight="1">
      <c r="A841" s="35" t="n">
        <v>837</v>
      </c>
      <c r="B841" s="35" t="n">
        <v>1837</v>
      </c>
      <c r="C841" s="36" t="inlineStr">
        <is>
          <t>0304932017</t>
        </is>
      </c>
      <c r="D841" s="36" t="inlineStr">
        <is>
          <t>Region III (Central Luzon)</t>
        </is>
      </c>
      <c r="E841" s="36" t="inlineStr">
        <is>
          <t>Nueva Ecija</t>
        </is>
      </c>
      <c r="F841" s="36" t="inlineStr">
        <is>
          <t>Zaragoza</t>
        </is>
      </c>
      <c r="G841" s="36" t="inlineStr">
        <is>
          <t>San Vicente</t>
        </is>
      </c>
      <c r="H841" s="37" t="n">
        <v>15.454167</v>
      </c>
      <c r="I841" s="37" t="n">
        <v>120.789722</v>
      </c>
      <c r="J841" s="8" t="inlineStr">
        <is>
          <t>R</t>
        </is>
      </c>
      <c r="K841" s="36" t="inlineStr">
        <is>
          <t>Class 1-3 / Urban</t>
        </is>
      </c>
      <c r="L841" s="18" t="n">
        <v>1562</v>
      </c>
      <c r="M841" s="20" t="n">
        <v>4.32</v>
      </c>
      <c r="N841" s="18">
        <f>ROUND(L841/M841, 0)</f>
        <v/>
      </c>
      <c r="O841" s="18">
        <f>ROUND(N841*'Methodology &amp; Assumptions'!$B$8, 0)</f>
        <v/>
      </c>
      <c r="P841" s="8" t="inlineStr">
        <is>
          <t>Band n50 (1.5 GHz, 60 MHz)</t>
        </is>
      </c>
      <c r="Q841" s="38">
        <f>ROUNDUP(O841/'Methodology &amp; Assumptions'!$B$9, 0)</f>
        <v/>
      </c>
      <c r="R841" s="39" t="n">
        <v>1</v>
      </c>
      <c r="S841" s="21" t="n">
        <v>0.27</v>
      </c>
      <c r="T841" s="21" t="n">
        <v>0.54</v>
      </c>
      <c r="U841" s="36" t="inlineStr">
        <is>
          <t>Tier 1A (Direct Coloc, &lt;1 km)</t>
        </is>
      </c>
      <c r="V841" s="20" t="n">
        <v>100</v>
      </c>
      <c r="W841" s="20" t="n">
        <v>53.1</v>
      </c>
      <c r="X841" s="20" t="n">
        <v>58</v>
      </c>
      <c r="Y841" s="40">
        <f>ROUND((V841*'Methodology &amp; Assumptions'!$B$6)+(W841*'Methodology &amp; Assumptions'!$B$5)+(X841*'Methodology &amp; Assumptions'!$B$7), 2)</f>
        <v/>
      </c>
    </row>
    <row r="842" ht="19" customHeight="1">
      <c r="A842" s="41" t="n">
        <v>838</v>
      </c>
      <c r="B842" s="41" t="n">
        <v>1838</v>
      </c>
      <c r="C842" s="42" t="inlineStr">
        <is>
          <t>0102806011</t>
        </is>
      </c>
      <c r="D842" s="42" t="inlineStr">
        <is>
          <t>Region I (Ilocos Region)</t>
        </is>
      </c>
      <c r="E842" s="42" t="inlineStr">
        <is>
          <t>Ilocos Norte</t>
        </is>
      </c>
      <c r="F842" s="42" t="inlineStr">
        <is>
          <t>Burgos</t>
        </is>
      </c>
      <c r="G842" s="42" t="inlineStr">
        <is>
          <t>Poblacion</t>
        </is>
      </c>
      <c r="H842" s="43" t="n">
        <v>18.512674</v>
      </c>
      <c r="I842" s="43" t="n">
        <v>120.644823</v>
      </c>
      <c r="J842" s="44" t="inlineStr">
        <is>
          <t>R</t>
        </is>
      </c>
      <c r="K842" s="42" t="inlineStr">
        <is>
          <t>3rd</t>
        </is>
      </c>
      <c r="L842" s="23" t="n">
        <v>1468</v>
      </c>
      <c r="M842" s="24" t="n">
        <v>4.05</v>
      </c>
      <c r="N842" s="23">
        <f>ROUND(L842/M842, 0)</f>
        <v/>
      </c>
      <c r="O842" s="23">
        <f>ROUND(N842*'Methodology &amp; Assumptions'!$B$8, 0)</f>
        <v/>
      </c>
      <c r="P842" s="44" t="inlineStr">
        <is>
          <t>Band n50 (1.5 GHz, 60 MHz)</t>
        </is>
      </c>
      <c r="Q842" s="38">
        <f>ROUNDUP(O842/'Methodology &amp; Assumptions'!$B$9, 0)</f>
        <v/>
      </c>
      <c r="R842" s="39" t="n">
        <v>1</v>
      </c>
      <c r="S842" s="25" t="n">
        <v>0.24</v>
      </c>
      <c r="T842" s="25" t="n">
        <v>0.08</v>
      </c>
      <c r="U842" s="42" t="inlineStr">
        <is>
          <t>Tier 1A (Direct Coloc, &lt;1 km)</t>
        </is>
      </c>
      <c r="V842" s="24" t="n">
        <v>100</v>
      </c>
      <c r="W842" s="24" t="n">
        <v>53.1</v>
      </c>
      <c r="X842" s="24" t="n">
        <v>58</v>
      </c>
      <c r="Y842" s="45">
        <f>ROUND((V842*'Methodology &amp; Assumptions'!$B$6)+(W842*'Methodology &amp; Assumptions'!$B$5)+(X842*'Methodology &amp; Assumptions'!$B$7), 2)</f>
        <v/>
      </c>
    </row>
    <row r="843" ht="19" customHeight="1">
      <c r="A843" s="35" t="n">
        <v>839</v>
      </c>
      <c r="B843" s="35" t="n">
        <v>1839</v>
      </c>
      <c r="C843" s="36" t="inlineStr">
        <is>
          <t>0105526004</t>
        </is>
      </c>
      <c r="D843" s="36" t="inlineStr">
        <is>
          <t>Region I (Ilocos Region)</t>
        </is>
      </c>
      <c r="E843" s="36" t="inlineStr">
        <is>
          <t>Pangasinan</t>
        </is>
      </c>
      <c r="F843" s="36" t="inlineStr">
        <is>
          <t>Mangaldan</t>
        </is>
      </c>
      <c r="G843" s="36" t="inlineStr">
        <is>
          <t>Banaoang</t>
        </is>
      </c>
      <c r="H843" s="37" t="n">
        <v>16.060305</v>
      </c>
      <c r="I843" s="37" t="n">
        <v>120.409327</v>
      </c>
      <c r="J843" s="8" t="inlineStr">
        <is>
          <t>U</t>
        </is>
      </c>
      <c r="K843" s="36" t="inlineStr">
        <is>
          <t>Class 1-3 / Urban</t>
        </is>
      </c>
      <c r="L843" s="18" t="n">
        <v>5857</v>
      </c>
      <c r="M843" s="20" t="n">
        <v>4.39</v>
      </c>
      <c r="N843" s="18">
        <f>ROUND(L843/M843, 0)</f>
        <v/>
      </c>
      <c r="O843" s="18">
        <f>ROUND(N843*'Methodology &amp; Assumptions'!$B$8, 0)</f>
        <v/>
      </c>
      <c r="P843" s="8" t="inlineStr">
        <is>
          <t>Band n50 (1.5 GHz, 60 MHz)</t>
        </is>
      </c>
      <c r="Q843" s="38">
        <f>ROUNDUP(O843/'Methodology &amp; Assumptions'!$B$9, 0)</f>
        <v/>
      </c>
      <c r="R843" s="39" t="n">
        <v>1</v>
      </c>
      <c r="S843" s="21" t="n">
        <v>1.12</v>
      </c>
      <c r="T843" s="21" t="n">
        <v>0.75</v>
      </c>
      <c r="U843" s="36" t="inlineStr">
        <is>
          <t>Tier 1B (Micro Drop, 1-3 km)</t>
        </is>
      </c>
      <c r="V843" s="20" t="n">
        <v>78.8</v>
      </c>
      <c r="W843" s="20" t="n">
        <v>100</v>
      </c>
      <c r="X843" s="20" t="n">
        <v>28</v>
      </c>
      <c r="Y843" s="40">
        <f>ROUND((V843*'Methodology &amp; Assumptions'!$B$6)+(W843*'Methodology &amp; Assumptions'!$B$5)+(X843*'Methodology &amp; Assumptions'!$B$7), 2)</f>
        <v/>
      </c>
    </row>
    <row r="844" ht="19" customHeight="1">
      <c r="A844" s="41" t="n">
        <v>840</v>
      </c>
      <c r="B844" s="41" t="n">
        <v>1840</v>
      </c>
      <c r="C844" s="42" t="inlineStr">
        <is>
          <t>0500510012</t>
        </is>
      </c>
      <c r="D844" s="42" t="inlineStr">
        <is>
          <t>Region V (Bicol Region)</t>
        </is>
      </c>
      <c r="E844" s="42" t="inlineStr">
        <is>
          <t>Albay</t>
        </is>
      </c>
      <c r="F844" s="42" t="inlineStr">
        <is>
          <t>Malinao</t>
        </is>
      </c>
      <c r="G844" s="42" t="inlineStr">
        <is>
          <t>Estancia</t>
        </is>
      </c>
      <c r="H844" s="43" t="n">
        <v>13.357044</v>
      </c>
      <c r="I844" s="43" t="n">
        <v>123.678569</v>
      </c>
      <c r="J844" s="44" t="inlineStr">
        <is>
          <t>R</t>
        </is>
      </c>
      <c r="K844" s="42" t="inlineStr">
        <is>
          <t>Class 1-3 / Urban</t>
        </is>
      </c>
      <c r="L844" s="23" t="n">
        <v>4758</v>
      </c>
      <c r="M844" s="24" t="n">
        <v>4.67</v>
      </c>
      <c r="N844" s="23">
        <f>ROUND(L844/M844, 0)</f>
        <v/>
      </c>
      <c r="O844" s="23">
        <f>ROUND(N844*'Methodology &amp; Assumptions'!$B$8, 0)</f>
        <v/>
      </c>
      <c r="P844" s="44" t="inlineStr">
        <is>
          <t>Band n50 (1.5 GHz, 60 MHz)</t>
        </is>
      </c>
      <c r="Q844" s="38">
        <f>ROUNDUP(O844/'Methodology &amp; Assumptions'!$B$9, 0)</f>
        <v/>
      </c>
      <c r="R844" s="39" t="n">
        <v>1</v>
      </c>
      <c r="S844" s="25" t="n">
        <v>2.53</v>
      </c>
      <c r="T844" s="25" t="n">
        <v>1.02</v>
      </c>
      <c r="U844" s="42" t="inlineStr">
        <is>
          <t>Tier 1B (Micro Drop, 1-3 km)</t>
        </is>
      </c>
      <c r="V844" s="24" t="n">
        <v>53</v>
      </c>
      <c r="W844" s="24" t="n">
        <v>100</v>
      </c>
      <c r="X844" s="24" t="n">
        <v>58</v>
      </c>
      <c r="Y844" s="45">
        <f>ROUND((V844*'Methodology &amp; Assumptions'!$B$6)+(W844*'Methodology &amp; Assumptions'!$B$5)+(X844*'Methodology &amp; Assumptions'!$B$7), 2)</f>
        <v/>
      </c>
    </row>
    <row r="845" ht="19" customHeight="1">
      <c r="A845" s="35" t="n">
        <v>841</v>
      </c>
      <c r="B845" s="35" t="n">
        <v>1841</v>
      </c>
      <c r="C845" s="36" t="inlineStr">
        <is>
          <t>0103311010</t>
        </is>
      </c>
      <c r="D845" s="36" t="inlineStr">
        <is>
          <t>Region I (Ilocos Region)</t>
        </is>
      </c>
      <c r="E845" s="36" t="inlineStr">
        <is>
          <t>La Union</t>
        </is>
      </c>
      <c r="F845" s="36" t="inlineStr">
        <is>
          <t>Naguilian</t>
        </is>
      </c>
      <c r="G845" s="36" t="inlineStr">
        <is>
          <t>Baraoas Sur</t>
        </is>
      </c>
      <c r="H845" s="37" t="n">
        <v>16.542552</v>
      </c>
      <c r="I845" s="37" t="n">
        <v>120.390802</v>
      </c>
      <c r="J845" s="8" t="inlineStr">
        <is>
          <t>R</t>
        </is>
      </c>
      <c r="K845" s="36" t="inlineStr">
        <is>
          <t>Class 1-3 / Urban</t>
        </is>
      </c>
      <c r="L845" s="18" t="n">
        <v>3542</v>
      </c>
      <c r="M845" s="20" t="n">
        <v>4.42</v>
      </c>
      <c r="N845" s="18">
        <f>ROUND(L845/M845, 0)</f>
        <v/>
      </c>
      <c r="O845" s="18">
        <f>ROUND(N845*'Methodology &amp; Assumptions'!$B$8, 0)</f>
        <v/>
      </c>
      <c r="P845" s="8" t="inlineStr">
        <is>
          <t>Band n50 (1.5 GHz, 60 MHz)</t>
        </is>
      </c>
      <c r="Q845" s="38">
        <f>ROUNDUP(O845/'Methodology &amp; Assumptions'!$B$9, 0)</f>
        <v/>
      </c>
      <c r="R845" s="39" t="n">
        <v>1</v>
      </c>
      <c r="S845" s="21" t="n">
        <v>1.79</v>
      </c>
      <c r="T845" s="21" t="n">
        <v>1.31</v>
      </c>
      <c r="U845" s="36" t="inlineStr">
        <is>
          <t>Tier 1B (Micro Drop, 1-3 km)</t>
        </is>
      </c>
      <c r="V845" s="20" t="n">
        <v>65</v>
      </c>
      <c r="W845" s="20" t="n">
        <v>88</v>
      </c>
      <c r="X845" s="20" t="n">
        <v>58</v>
      </c>
      <c r="Y845" s="40">
        <f>ROUND((V845*'Methodology &amp; Assumptions'!$B$6)+(W845*'Methodology &amp; Assumptions'!$B$5)+(X845*'Methodology &amp; Assumptions'!$B$7), 2)</f>
        <v/>
      </c>
    </row>
    <row r="846" ht="19" customHeight="1">
      <c r="A846" s="41" t="n">
        <v>842</v>
      </c>
      <c r="B846" s="41" t="n">
        <v>1842</v>
      </c>
      <c r="C846" s="42" t="inlineStr">
        <is>
          <t>0301419038</t>
        </is>
      </c>
      <c r="D846" s="42" t="inlineStr">
        <is>
          <t>Region III (Central Luzon)</t>
        </is>
      </c>
      <c r="E846" s="42" t="inlineStr">
        <is>
          <t>Bulacan</t>
        </is>
      </c>
      <c r="F846" s="42" t="inlineStr">
        <is>
          <t>San Ildefonso</t>
        </is>
      </c>
      <c r="G846" s="42" t="inlineStr">
        <is>
          <t>Mataas na Parang</t>
        </is>
      </c>
      <c r="H846" s="43" t="n">
        <v>15.08522</v>
      </c>
      <c r="I846" s="43" t="n">
        <v>120.952051</v>
      </c>
      <c r="J846" s="44" t="inlineStr">
        <is>
          <t>R</t>
        </is>
      </c>
      <c r="K846" s="42" t="inlineStr">
        <is>
          <t>Class 1-3 / Urban</t>
        </is>
      </c>
      <c r="L846" s="23" t="n">
        <v>3070</v>
      </c>
      <c r="M846" s="24" t="n">
        <v>4.1</v>
      </c>
      <c r="N846" s="23">
        <f>ROUND(L846/M846, 0)</f>
        <v/>
      </c>
      <c r="O846" s="23">
        <f>ROUND(N846*'Methodology &amp; Assumptions'!$B$8, 0)</f>
        <v/>
      </c>
      <c r="P846" s="44" t="inlineStr">
        <is>
          <t>Band n50 (1.5 GHz, 60 MHz)</t>
        </is>
      </c>
      <c r="Q846" s="38">
        <f>ROUNDUP(O846/'Methodology &amp; Assumptions'!$B$9, 0)</f>
        <v/>
      </c>
      <c r="R846" s="39" t="n">
        <v>1</v>
      </c>
      <c r="S846" s="25" t="n">
        <v>1.58</v>
      </c>
      <c r="T846" s="25" t="n">
        <v>1.36</v>
      </c>
      <c r="U846" s="42" t="inlineStr">
        <is>
          <t>Tier 1B (Micro Drop, 1-3 km)</t>
        </is>
      </c>
      <c r="V846" s="24" t="n">
        <v>69</v>
      </c>
      <c r="W846" s="24" t="n">
        <v>84</v>
      </c>
      <c r="X846" s="24" t="n">
        <v>58</v>
      </c>
      <c r="Y846" s="45">
        <f>ROUND((V846*'Methodology &amp; Assumptions'!$B$6)+(W846*'Methodology &amp; Assumptions'!$B$5)+(X846*'Methodology &amp; Assumptions'!$B$7), 2)</f>
        <v/>
      </c>
    </row>
    <row r="847" ht="19" customHeight="1">
      <c r="A847" s="35" t="n">
        <v>843</v>
      </c>
      <c r="B847" s="35" t="n">
        <v>1843</v>
      </c>
      <c r="C847" s="36" t="inlineStr">
        <is>
          <t>0401026024</t>
        </is>
      </c>
      <c r="D847" s="36" t="inlineStr">
        <is>
          <t>Region IV-A (CALABARZON)</t>
        </is>
      </c>
      <c r="E847" s="36" t="inlineStr">
        <is>
          <t>Batangas</t>
        </is>
      </c>
      <c r="F847" s="36" t="inlineStr">
        <is>
          <t>San Pascual</t>
        </is>
      </c>
      <c r="G847" s="36" t="inlineStr">
        <is>
          <t>Sambat</t>
        </is>
      </c>
      <c r="H847" s="37" t="n">
        <v>13.800407</v>
      </c>
      <c r="I847" s="37" t="n">
        <v>121.011438</v>
      </c>
      <c r="J847" s="8" t="inlineStr">
        <is>
          <t>U</t>
        </is>
      </c>
      <c r="K847" s="36" t="inlineStr">
        <is>
          <t>Class 1-3 / Urban</t>
        </is>
      </c>
      <c r="L847" s="18" t="n">
        <v>6006</v>
      </c>
      <c r="M847" s="20" t="n">
        <v>4.62</v>
      </c>
      <c r="N847" s="18">
        <f>ROUND(L847/M847, 0)</f>
        <v/>
      </c>
      <c r="O847" s="18">
        <f>ROUND(N847*'Methodology &amp; Assumptions'!$B$8, 0)</f>
        <v/>
      </c>
      <c r="P847" s="8" t="inlineStr">
        <is>
          <t>Band n50 (1.5 GHz, 60 MHz)</t>
        </is>
      </c>
      <c r="Q847" s="38">
        <f>ROUNDUP(O847/'Methodology &amp; Assumptions'!$B$9, 0)</f>
        <v/>
      </c>
      <c r="R847" s="39" t="n">
        <v>1</v>
      </c>
      <c r="S847" s="21" t="n">
        <v>1.12</v>
      </c>
      <c r="T847" s="21" t="n">
        <v>0.79</v>
      </c>
      <c r="U847" s="36" t="inlineStr">
        <is>
          <t>Tier 1B (Micro Drop, 1-3 km)</t>
        </is>
      </c>
      <c r="V847" s="20" t="n">
        <v>78.7</v>
      </c>
      <c r="W847" s="20" t="n">
        <v>100</v>
      </c>
      <c r="X847" s="20" t="n">
        <v>28</v>
      </c>
      <c r="Y847" s="40">
        <f>ROUND((V847*'Methodology &amp; Assumptions'!$B$6)+(W847*'Methodology &amp; Assumptions'!$B$5)+(X847*'Methodology &amp; Assumptions'!$B$7), 2)</f>
        <v/>
      </c>
    </row>
    <row r="848" ht="19" customHeight="1">
      <c r="A848" s="41" t="n">
        <v>844</v>
      </c>
      <c r="B848" s="41" t="n">
        <v>1844</v>
      </c>
      <c r="C848" s="42" t="inlineStr">
        <is>
          <t>0402120009</t>
        </is>
      </c>
      <c r="D848" s="42" t="inlineStr">
        <is>
          <t>Region IV-A (CALABARZON)</t>
        </is>
      </c>
      <c r="E848" s="42" t="inlineStr">
        <is>
          <t>Cavite</t>
        </is>
      </c>
      <c r="F848" s="42" t="inlineStr">
        <is>
          <t>Tanza</t>
        </is>
      </c>
      <c r="G848" s="42" t="inlineStr">
        <is>
          <t>Daang Amaya I</t>
        </is>
      </c>
      <c r="H848" s="43" t="n">
        <v>14.391758</v>
      </c>
      <c r="I848" s="43" t="n">
        <v>120.854014</v>
      </c>
      <c r="J848" s="44" t="inlineStr">
        <is>
          <t>U</t>
        </is>
      </c>
      <c r="K848" s="42" t="inlineStr">
        <is>
          <t>Class 1-3 / Urban</t>
        </is>
      </c>
      <c r="L848" s="23" t="n">
        <v>4794</v>
      </c>
      <c r="M848" s="24" t="n">
        <v>4.49</v>
      </c>
      <c r="N848" s="23">
        <f>ROUND(L848/M848, 0)</f>
        <v/>
      </c>
      <c r="O848" s="23">
        <f>ROUND(N848*'Methodology &amp; Assumptions'!$B$8, 0)</f>
        <v/>
      </c>
      <c r="P848" s="44" t="inlineStr">
        <is>
          <t>Band n50 (1.5 GHz, 60 MHz)</t>
        </is>
      </c>
      <c r="Q848" s="38">
        <f>ROUNDUP(O848/'Methodology &amp; Assumptions'!$B$9, 0)</f>
        <v/>
      </c>
      <c r="R848" s="39" t="n">
        <v>1</v>
      </c>
      <c r="S848" s="25" t="n">
        <v>1.12</v>
      </c>
      <c r="T848" s="25" t="n">
        <v>0.17</v>
      </c>
      <c r="U848" s="42" t="inlineStr">
        <is>
          <t>Tier 1B (Micro Drop, 1-3 km)</t>
        </is>
      </c>
      <c r="V848" s="24" t="n">
        <v>78.8</v>
      </c>
      <c r="W848" s="24" t="n">
        <v>100</v>
      </c>
      <c r="X848" s="24" t="n">
        <v>28</v>
      </c>
      <c r="Y848" s="45">
        <f>ROUND((V848*'Methodology &amp; Assumptions'!$B$6)+(W848*'Methodology &amp; Assumptions'!$B$5)+(X848*'Methodology &amp; Assumptions'!$B$7), 2)</f>
        <v/>
      </c>
    </row>
    <row r="849" ht="19" customHeight="1">
      <c r="A849" s="35" t="n">
        <v>845</v>
      </c>
      <c r="B849" s="35" t="n">
        <v>1845</v>
      </c>
      <c r="C849" s="36" t="inlineStr">
        <is>
          <t>0702250021</t>
        </is>
      </c>
      <c r="D849" s="36" t="inlineStr">
        <is>
          <t>Region VII (Central Visayas)</t>
        </is>
      </c>
      <c r="E849" s="36" t="inlineStr">
        <is>
          <t>Cebu</t>
        </is>
      </c>
      <c r="F849" s="36" t="inlineStr">
        <is>
          <t>City of Talisay</t>
        </is>
      </c>
      <c r="G849" s="36" t="inlineStr">
        <is>
          <t>Lawaan II</t>
        </is>
      </c>
      <c r="H849" s="37" t="n">
        <v>10.252967</v>
      </c>
      <c r="I849" s="37" t="n">
        <v>123.830706</v>
      </c>
      <c r="J849" s="8" t="inlineStr">
        <is>
          <t>U</t>
        </is>
      </c>
      <c r="K849" s="36" t="inlineStr">
        <is>
          <t>Class 1-3 / Urban</t>
        </is>
      </c>
      <c r="L849" s="18" t="n">
        <v>6848</v>
      </c>
      <c r="M849" s="20" t="n">
        <v>4.42</v>
      </c>
      <c r="N849" s="18">
        <f>ROUND(L849/M849, 0)</f>
        <v/>
      </c>
      <c r="O849" s="18">
        <f>ROUND(N849*'Methodology &amp; Assumptions'!$B$8, 0)</f>
        <v/>
      </c>
      <c r="P849" s="8" t="inlineStr">
        <is>
          <t>Band n50 (1.5 GHz, 60 MHz)</t>
        </is>
      </c>
      <c r="Q849" s="38">
        <f>ROUNDUP(O849/'Methodology &amp; Assumptions'!$B$9, 0)</f>
        <v/>
      </c>
      <c r="R849" s="39" t="n">
        <v>1</v>
      </c>
      <c r="S849" s="21" t="n">
        <v>1.13</v>
      </c>
      <c r="T849" s="21" t="n">
        <v>0.16</v>
      </c>
      <c r="U849" s="36" t="inlineStr">
        <is>
          <t>Tier 1B (Micro Drop, 1-3 km)</t>
        </is>
      </c>
      <c r="V849" s="20" t="n">
        <v>78.7</v>
      </c>
      <c r="W849" s="20" t="n">
        <v>100</v>
      </c>
      <c r="X849" s="20" t="n">
        <v>28</v>
      </c>
      <c r="Y849" s="40">
        <f>ROUND((V849*'Methodology &amp; Assumptions'!$B$6)+(W849*'Methodology &amp; Assumptions'!$B$5)+(X849*'Methodology &amp; Assumptions'!$B$7), 2)</f>
        <v/>
      </c>
    </row>
    <row r="850" ht="19" customHeight="1">
      <c r="A850" s="41" t="n">
        <v>846</v>
      </c>
      <c r="B850" s="41" t="n">
        <v>1846</v>
      </c>
      <c r="C850" s="42" t="inlineStr">
        <is>
          <t>0331400001</t>
        </is>
      </c>
      <c r="D850" s="42" t="inlineStr">
        <is>
          <t>Region III (Central Luzon)</t>
        </is>
      </c>
      <c r="E850" s="42" t="inlineStr">
        <is>
          <t>Zambales</t>
        </is>
      </c>
      <c r="F850" s="42" t="inlineStr">
        <is>
          <t>City of Olongapo</t>
        </is>
      </c>
      <c r="G850" s="42" t="inlineStr">
        <is>
          <t>Asinan</t>
        </is>
      </c>
      <c r="H850" s="43" t="n">
        <v>14.827921</v>
      </c>
      <c r="I850" s="43" t="n">
        <v>120.285758</v>
      </c>
      <c r="J850" s="44" t="inlineStr">
        <is>
          <t>U</t>
        </is>
      </c>
      <c r="K850" s="42" t="inlineStr">
        <is>
          <t>Class 1-3 / Urban</t>
        </is>
      </c>
      <c r="L850" s="23" t="n">
        <v>3485</v>
      </c>
      <c r="M850" s="24" t="n">
        <v>4.05</v>
      </c>
      <c r="N850" s="23">
        <f>ROUND(L850/M850, 0)</f>
        <v/>
      </c>
      <c r="O850" s="23">
        <f>ROUND(N850*'Methodology &amp; Assumptions'!$B$8, 0)</f>
        <v/>
      </c>
      <c r="P850" s="44" t="inlineStr">
        <is>
          <t>Band n50 (1.5 GHz, 60 MHz)</t>
        </is>
      </c>
      <c r="Q850" s="38">
        <f>ROUNDUP(O850/'Methodology &amp; Assumptions'!$B$9, 0)</f>
        <v/>
      </c>
      <c r="R850" s="39" t="n">
        <v>1</v>
      </c>
      <c r="S850" s="25" t="n">
        <v>0.83</v>
      </c>
      <c r="T850" s="25" t="n">
        <v>0.44</v>
      </c>
      <c r="U850" s="42" t="inlineStr">
        <is>
          <t>Tier 1A (Direct Coloc, &lt;1 km)</t>
        </is>
      </c>
      <c r="V850" s="24" t="n">
        <v>85.90000000000001</v>
      </c>
      <c r="W850" s="24" t="n">
        <v>92.8</v>
      </c>
      <c r="X850" s="24" t="n">
        <v>28</v>
      </c>
      <c r="Y850" s="45">
        <f>ROUND((V850*'Methodology &amp; Assumptions'!$B$6)+(W850*'Methodology &amp; Assumptions'!$B$5)+(X850*'Methodology &amp; Assumptions'!$B$7), 2)</f>
        <v/>
      </c>
    </row>
    <row r="851" ht="19" customHeight="1">
      <c r="A851" s="35" t="n">
        <v>847</v>
      </c>
      <c r="B851" s="35" t="n">
        <v>1847</v>
      </c>
      <c r="C851" s="36" t="inlineStr">
        <is>
          <t>0304903033</t>
        </is>
      </c>
      <c r="D851" s="36" t="inlineStr">
        <is>
          <t>Region III (Central Luzon)</t>
        </is>
      </c>
      <c r="E851" s="36" t="inlineStr">
        <is>
          <t>Nueva Ecija</t>
        </is>
      </c>
      <c r="F851" s="36" t="inlineStr">
        <is>
          <t>City of Cabanatuan</t>
        </is>
      </c>
      <c r="G851" s="36" t="inlineStr">
        <is>
          <t>Dionisio S. Garcia</t>
        </is>
      </c>
      <c r="H851" s="37" t="n">
        <v>15.47182</v>
      </c>
      <c r="I851" s="37" t="n">
        <v>120.958828</v>
      </c>
      <c r="J851" s="8" t="inlineStr">
        <is>
          <t>U</t>
        </is>
      </c>
      <c r="K851" s="36" t="inlineStr">
        <is>
          <t>Class 1-3 / Urban</t>
        </is>
      </c>
      <c r="L851" s="18" t="n">
        <v>7405</v>
      </c>
      <c r="M851" s="20" t="n">
        <v>4.32</v>
      </c>
      <c r="N851" s="18">
        <f>ROUND(L851/M851, 0)</f>
        <v/>
      </c>
      <c r="O851" s="18">
        <f>ROUND(N851*'Methodology &amp; Assumptions'!$B$8, 0)</f>
        <v/>
      </c>
      <c r="P851" s="8" t="inlineStr">
        <is>
          <t>Band n50 (1.5 GHz, 60 MHz)</t>
        </is>
      </c>
      <c r="Q851" s="38">
        <f>ROUNDUP(O851/'Methodology &amp; Assumptions'!$B$9, 0)</f>
        <v/>
      </c>
      <c r="R851" s="39" t="n">
        <v>1</v>
      </c>
      <c r="S851" s="21" t="n">
        <v>1.13</v>
      </c>
      <c r="T851" s="21" t="n">
        <v>0.32</v>
      </c>
      <c r="U851" s="36" t="inlineStr">
        <is>
          <t>Tier 1B (Micro Drop, 1-3 km)</t>
        </is>
      </c>
      <c r="V851" s="20" t="n">
        <v>78.7</v>
      </c>
      <c r="W851" s="20" t="n">
        <v>100</v>
      </c>
      <c r="X851" s="20" t="n">
        <v>28</v>
      </c>
      <c r="Y851" s="40">
        <f>ROUND((V851*'Methodology &amp; Assumptions'!$B$6)+(W851*'Methodology &amp; Assumptions'!$B$5)+(X851*'Methodology &amp; Assumptions'!$B$7), 2)</f>
        <v/>
      </c>
    </row>
    <row r="852" ht="19" customHeight="1">
      <c r="A852" s="41" t="n">
        <v>848</v>
      </c>
      <c r="B852" s="41" t="n">
        <v>1848</v>
      </c>
      <c r="C852" s="42" t="inlineStr">
        <is>
          <t>1004320002</t>
        </is>
      </c>
      <c r="D852" s="42" t="inlineStr">
        <is>
          <t>Region X (Northern Mindanao)</t>
        </is>
      </c>
      <c r="E852" s="42" t="inlineStr">
        <is>
          <t>Misamis Oriental</t>
        </is>
      </c>
      <c r="F852" s="42" t="inlineStr">
        <is>
          <t>Naawan</t>
        </is>
      </c>
      <c r="G852" s="42" t="inlineStr">
        <is>
          <t>Linangkayan</t>
        </is>
      </c>
      <c r="H852" s="43" t="n">
        <v>8.411386</v>
      </c>
      <c r="I852" s="43" t="n">
        <v>124.291108</v>
      </c>
      <c r="J852" s="44" t="inlineStr">
        <is>
          <t>R</t>
        </is>
      </c>
      <c r="K852" s="42" t="inlineStr">
        <is>
          <t>3rd</t>
        </is>
      </c>
      <c r="L852" s="23" t="n">
        <v>3020</v>
      </c>
      <c r="M852" s="24" t="n">
        <v>4.42</v>
      </c>
      <c r="N852" s="23">
        <f>ROUND(L852/M852, 0)</f>
        <v/>
      </c>
      <c r="O852" s="23">
        <f>ROUND(N852*'Methodology &amp; Assumptions'!$B$8, 0)</f>
        <v/>
      </c>
      <c r="P852" s="44" t="inlineStr">
        <is>
          <t>Band n50 (1.5 GHz, 60 MHz)</t>
        </is>
      </c>
      <c r="Q852" s="38">
        <f>ROUNDUP(O852/'Methodology &amp; Assumptions'!$B$9, 0)</f>
        <v/>
      </c>
      <c r="R852" s="39" t="n">
        <v>1</v>
      </c>
      <c r="S852" s="25" t="n">
        <v>1.33</v>
      </c>
      <c r="T852" s="25" t="n">
        <v>0.16</v>
      </c>
      <c r="U852" s="42" t="inlineStr">
        <is>
          <t>Tier 1B (Micro Drop, 1-3 km)</t>
        </is>
      </c>
      <c r="V852" s="24" t="n">
        <v>74.3</v>
      </c>
      <c r="W852" s="24" t="n">
        <v>78.7</v>
      </c>
      <c r="X852" s="24" t="n">
        <v>58</v>
      </c>
      <c r="Y852" s="45">
        <f>ROUND((V852*'Methodology &amp; Assumptions'!$B$6)+(W852*'Methodology &amp; Assumptions'!$B$5)+(X852*'Methodology &amp; Assumptions'!$B$7), 2)</f>
        <v/>
      </c>
    </row>
    <row r="853" ht="19" customHeight="1">
      <c r="A853" s="35" t="n">
        <v>849</v>
      </c>
      <c r="B853" s="35" t="n">
        <v>1849</v>
      </c>
      <c r="C853" s="36" t="inlineStr">
        <is>
          <t>0103312003</t>
        </is>
      </c>
      <c r="D853" s="36" t="inlineStr">
        <is>
          <t>Region I (Ilocos Region)</t>
        </is>
      </c>
      <c r="E853" s="36" t="inlineStr">
        <is>
          <t>La Union</t>
        </is>
      </c>
      <c r="F853" s="36" t="inlineStr">
        <is>
          <t>Pugo</t>
        </is>
      </c>
      <c r="G853" s="36" t="inlineStr">
        <is>
          <t>Cares</t>
        </is>
      </c>
      <c r="H853" s="37" t="n">
        <v>16.322719</v>
      </c>
      <c r="I853" s="37" t="n">
        <v>120.469231</v>
      </c>
      <c r="J853" s="8" t="inlineStr">
        <is>
          <t>R</t>
        </is>
      </c>
      <c r="K853" s="36" t="inlineStr">
        <is>
          <t>3rd</t>
        </is>
      </c>
      <c r="L853" s="18" t="n">
        <v>2708</v>
      </c>
      <c r="M853" s="20" t="n">
        <v>4.08</v>
      </c>
      <c r="N853" s="18">
        <f>ROUND(L853/M853, 0)</f>
        <v/>
      </c>
      <c r="O853" s="18">
        <f>ROUND(N853*'Methodology &amp; Assumptions'!$B$8, 0)</f>
        <v/>
      </c>
      <c r="P853" s="8" t="inlineStr">
        <is>
          <t>Band n50 (1.5 GHz, 60 MHz)</t>
        </is>
      </c>
      <c r="Q853" s="38">
        <f>ROUNDUP(O853/'Methodology &amp; Assumptions'!$B$9, 0)</f>
        <v/>
      </c>
      <c r="R853" s="39" t="n">
        <v>1</v>
      </c>
      <c r="S853" s="21" t="n">
        <v>1.25</v>
      </c>
      <c r="T853" s="21" t="n">
        <v>0.32</v>
      </c>
      <c r="U853" s="36" t="inlineStr">
        <is>
          <t>Tier 1B (Micro Drop, 1-3 km)</t>
        </is>
      </c>
      <c r="V853" s="20" t="n">
        <v>75.90000000000001</v>
      </c>
      <c r="W853" s="20" t="n">
        <v>77.09999999999999</v>
      </c>
      <c r="X853" s="20" t="n">
        <v>58</v>
      </c>
      <c r="Y853" s="40">
        <f>ROUND((V853*'Methodology &amp; Assumptions'!$B$6)+(W853*'Methodology &amp; Assumptions'!$B$5)+(X853*'Methodology &amp; Assumptions'!$B$7), 2)</f>
        <v/>
      </c>
    </row>
    <row r="854" ht="19" customHeight="1">
      <c r="A854" s="41" t="n">
        <v>850</v>
      </c>
      <c r="B854" s="41" t="n">
        <v>1850</v>
      </c>
      <c r="C854" s="42" t="inlineStr">
        <is>
          <t>0102820009</t>
        </is>
      </c>
      <c r="D854" s="42" t="inlineStr">
        <is>
          <t>Region I (Ilocos Region)</t>
        </is>
      </c>
      <c r="E854" s="42" t="inlineStr">
        <is>
          <t>Ilocos Norte</t>
        </is>
      </c>
      <c r="F854" s="42" t="inlineStr">
        <is>
          <t>San Nicolas</t>
        </is>
      </c>
      <c r="G854" s="42" t="inlineStr">
        <is>
          <t>San Gregorio</t>
        </is>
      </c>
      <c r="H854" s="43" t="n">
        <v>18.173049</v>
      </c>
      <c r="I854" s="43" t="n">
        <v>120.588682</v>
      </c>
      <c r="J854" s="44" t="inlineStr">
        <is>
          <t>R</t>
        </is>
      </c>
      <c r="K854" s="42" t="inlineStr">
        <is>
          <t>Class 1-3 / Urban</t>
        </is>
      </c>
      <c r="L854" s="23" t="n">
        <v>1987</v>
      </c>
      <c r="M854" s="24" t="n">
        <v>4.35</v>
      </c>
      <c r="N854" s="23">
        <f>ROUND(L854/M854, 0)</f>
        <v/>
      </c>
      <c r="O854" s="23">
        <f>ROUND(N854*'Methodology &amp; Assumptions'!$B$8, 0)</f>
        <v/>
      </c>
      <c r="P854" s="44" t="inlineStr">
        <is>
          <t>Band n50 (1.5 GHz, 60 MHz)</t>
        </is>
      </c>
      <c r="Q854" s="38">
        <f>ROUNDUP(O854/'Methodology &amp; Assumptions'!$B$9, 0)</f>
        <v/>
      </c>
      <c r="R854" s="39" t="n">
        <v>1</v>
      </c>
      <c r="S854" s="25" t="n">
        <v>0.58</v>
      </c>
      <c r="T854" s="25" t="n">
        <v>0.48</v>
      </c>
      <c r="U854" s="42" t="inlineStr">
        <is>
          <t>Tier 1A (Direct Coloc, &lt;1 km)</t>
        </is>
      </c>
      <c r="V854" s="24" t="n">
        <v>92.40000000000001</v>
      </c>
      <c r="W854" s="24" t="n">
        <v>60.5</v>
      </c>
      <c r="X854" s="24" t="n">
        <v>58</v>
      </c>
      <c r="Y854" s="45">
        <f>ROUND((V854*'Methodology &amp; Assumptions'!$B$6)+(W854*'Methodology &amp; Assumptions'!$B$5)+(X854*'Methodology &amp; Assumptions'!$B$7), 2)</f>
        <v/>
      </c>
    </row>
    <row r="855" ht="19" customHeight="1">
      <c r="A855" s="35" t="n">
        <v>851</v>
      </c>
      <c r="B855" s="35" t="n">
        <v>1851</v>
      </c>
      <c r="C855" s="36" t="inlineStr">
        <is>
          <t>0506211017</t>
        </is>
      </c>
      <c r="D855" s="36" t="inlineStr">
        <is>
          <t>Region V (Bicol Region)</t>
        </is>
      </c>
      <c r="E855" s="36" t="inlineStr">
        <is>
          <t>Sorsogon</t>
        </is>
      </c>
      <c r="F855" s="36" t="inlineStr">
        <is>
          <t>Magallanes</t>
        </is>
      </c>
      <c r="G855" s="36" t="inlineStr">
        <is>
          <t>Cawit Extension</t>
        </is>
      </c>
      <c r="H855" s="37" t="n">
        <v>12.824434</v>
      </c>
      <c r="I855" s="37" t="n">
        <v>123.841813</v>
      </c>
      <c r="J855" s="8" t="inlineStr">
        <is>
          <t>R</t>
        </is>
      </c>
      <c r="K855" s="36" t="inlineStr">
        <is>
          <t>Class 1-3 / Urban</t>
        </is>
      </c>
      <c r="L855" s="18" t="n">
        <v>1721</v>
      </c>
      <c r="M855" s="20" t="n">
        <v>4.58</v>
      </c>
      <c r="N855" s="18">
        <f>ROUND(L855/M855, 0)</f>
        <v/>
      </c>
      <c r="O855" s="18">
        <f>ROUND(N855*'Methodology &amp; Assumptions'!$B$8, 0)</f>
        <v/>
      </c>
      <c r="P855" s="8" t="inlineStr">
        <is>
          <t>Band n50 (1.5 GHz, 60 MHz)</t>
        </is>
      </c>
      <c r="Q855" s="38">
        <f>ROUNDUP(O855/'Methodology &amp; Assumptions'!$B$9, 0)</f>
        <v/>
      </c>
      <c r="R855" s="39" t="n">
        <v>1</v>
      </c>
      <c r="S855" s="21" t="n">
        <v>0.36</v>
      </c>
      <c r="T855" s="21" t="n">
        <v>0.31</v>
      </c>
      <c r="U855" s="36" t="inlineStr">
        <is>
          <t>Tier 1A (Direct Coloc, &lt;1 km)</t>
        </is>
      </c>
      <c r="V855" s="20" t="n">
        <v>98.8</v>
      </c>
      <c r="W855" s="20" t="n">
        <v>54.1</v>
      </c>
      <c r="X855" s="20" t="n">
        <v>58</v>
      </c>
      <c r="Y855" s="40">
        <f>ROUND((V855*'Methodology &amp; Assumptions'!$B$6)+(W855*'Methodology &amp; Assumptions'!$B$5)+(X855*'Methodology &amp; Assumptions'!$B$7), 2)</f>
        <v/>
      </c>
    </row>
    <row r="856" ht="19" customHeight="1">
      <c r="A856" s="41" t="n">
        <v>852</v>
      </c>
      <c r="B856" s="41" t="n">
        <v>1852</v>
      </c>
      <c r="C856" s="42" t="inlineStr">
        <is>
          <t>0403406014</t>
        </is>
      </c>
      <c r="D856" s="42" t="inlineStr">
        <is>
          <t>Region IV-A (CALABARZON)</t>
        </is>
      </c>
      <c r="E856" s="42" t="inlineStr">
        <is>
          <t>Laguna</t>
        </is>
      </c>
      <c r="F856" s="42" t="inlineStr">
        <is>
          <t>Calauan</t>
        </is>
      </c>
      <c r="G856" s="42" t="inlineStr">
        <is>
          <t>Silangan</t>
        </is>
      </c>
      <c r="H856" s="43" t="n">
        <v>14.147425</v>
      </c>
      <c r="I856" s="43" t="n">
        <v>121.3174</v>
      </c>
      <c r="J856" s="44" t="inlineStr">
        <is>
          <t>R</t>
        </is>
      </c>
      <c r="K856" s="42" t="inlineStr">
        <is>
          <t>Class 1-3 / Urban</t>
        </is>
      </c>
      <c r="L856" s="23" t="n">
        <v>1662</v>
      </c>
      <c r="M856" s="24" t="n">
        <v>4.2</v>
      </c>
      <c r="N856" s="23">
        <f>ROUND(L856/M856, 0)</f>
        <v/>
      </c>
      <c r="O856" s="23">
        <f>ROUND(N856*'Methodology &amp; Assumptions'!$B$8, 0)</f>
        <v/>
      </c>
      <c r="P856" s="44" t="inlineStr">
        <is>
          <t>Band n50 (1.5 GHz, 60 MHz)</t>
        </is>
      </c>
      <c r="Q856" s="38">
        <f>ROUNDUP(O856/'Methodology &amp; Assumptions'!$B$9, 0)</f>
        <v/>
      </c>
      <c r="R856" s="39" t="n">
        <v>1</v>
      </c>
      <c r="S856" s="25" t="n">
        <v>0.41</v>
      </c>
      <c r="T856" s="25" t="n">
        <v>0.12</v>
      </c>
      <c r="U856" s="42" t="inlineStr">
        <is>
          <t>Tier 1A (Direct Coloc, &lt;1 km)</t>
        </is>
      </c>
      <c r="V856" s="24" t="n">
        <v>97.2</v>
      </c>
      <c r="W856" s="24" t="n">
        <v>55.7</v>
      </c>
      <c r="X856" s="24" t="n">
        <v>58</v>
      </c>
      <c r="Y856" s="45">
        <f>ROUND((V856*'Methodology &amp; Assumptions'!$B$6)+(W856*'Methodology &amp; Assumptions'!$B$5)+(X856*'Methodology &amp; Assumptions'!$B$7), 2)</f>
        <v/>
      </c>
    </row>
    <row r="857" ht="19" customHeight="1">
      <c r="A857" s="35" t="n">
        <v>853</v>
      </c>
      <c r="B857" s="35" t="n">
        <v>1853</v>
      </c>
      <c r="C857" s="36" t="inlineStr">
        <is>
          <t>0307114009</t>
        </is>
      </c>
      <c r="D857" s="36" t="inlineStr">
        <is>
          <t>Region III (Central Luzon)</t>
        </is>
      </c>
      <c r="E857" s="36" t="inlineStr">
        <is>
          <t>Zambales</t>
        </is>
      </c>
      <c r="F857" s="36" t="inlineStr">
        <is>
          <t>Subic</t>
        </is>
      </c>
      <c r="G857" s="36" t="inlineStr">
        <is>
          <t>Calapandayan</t>
        </is>
      </c>
      <c r="H857" s="37" t="n">
        <v>14.873487</v>
      </c>
      <c r="I857" s="37" t="n">
        <v>120.235333</v>
      </c>
      <c r="J857" s="8" t="inlineStr">
        <is>
          <t>U</t>
        </is>
      </c>
      <c r="K857" s="36" t="inlineStr">
        <is>
          <t>Class 1-3 / Urban</t>
        </is>
      </c>
      <c r="L857" s="18" t="n">
        <v>10343</v>
      </c>
      <c r="M857" s="20" t="n">
        <v>4.05</v>
      </c>
      <c r="N857" s="18">
        <f>ROUND(L857/M857, 0)</f>
        <v/>
      </c>
      <c r="O857" s="18">
        <f>ROUND(N857*'Methodology &amp; Assumptions'!$B$8, 0)</f>
        <v/>
      </c>
      <c r="P857" s="8" t="inlineStr">
        <is>
          <t>Band n50 (1.5 GHz, 60 MHz)</t>
        </is>
      </c>
      <c r="Q857" s="38">
        <f>ROUNDUP(O857/'Methodology &amp; Assumptions'!$B$9, 0)</f>
        <v/>
      </c>
      <c r="R857" s="39" t="n">
        <v>1</v>
      </c>
      <c r="S857" s="21" t="n">
        <v>1.75</v>
      </c>
      <c r="T857" s="21" t="n">
        <v>0.19</v>
      </c>
      <c r="U857" s="36" t="inlineStr">
        <is>
          <t>Tier 1B (Micro Drop, 1-3 km)</t>
        </is>
      </c>
      <c r="V857" s="20" t="n">
        <v>65.8</v>
      </c>
      <c r="W857" s="20" t="n">
        <v>100</v>
      </c>
      <c r="X857" s="20" t="n">
        <v>43</v>
      </c>
      <c r="Y857" s="40">
        <f>ROUND((V857*'Methodology &amp; Assumptions'!$B$6)+(W857*'Methodology &amp; Assumptions'!$B$5)+(X857*'Methodology &amp; Assumptions'!$B$7), 2)</f>
        <v/>
      </c>
    </row>
    <row r="858" ht="19" customHeight="1">
      <c r="A858" s="41" t="n">
        <v>854</v>
      </c>
      <c r="B858" s="41" t="n">
        <v>1854</v>
      </c>
      <c r="C858" s="42" t="inlineStr">
        <is>
          <t>0402106063</t>
        </is>
      </c>
      <c r="D858" s="42" t="inlineStr">
        <is>
          <t>Region IV-A (CALABARZON)</t>
        </is>
      </c>
      <c r="E858" s="42" t="inlineStr">
        <is>
          <t>Cavite</t>
        </is>
      </c>
      <c r="F858" s="42" t="inlineStr">
        <is>
          <t>City of Dasmariñas</t>
        </is>
      </c>
      <c r="G858" s="42" t="inlineStr">
        <is>
          <t>Sampaloc IV</t>
        </is>
      </c>
      <c r="H858" s="43" t="n">
        <v>14.305142</v>
      </c>
      <c r="I858" s="43" t="n">
        <v>120.971668</v>
      </c>
      <c r="J858" s="44" t="inlineStr">
        <is>
          <t>U</t>
        </is>
      </c>
      <c r="K858" s="42" t="inlineStr">
        <is>
          <t>Class 1-3 / Urban</t>
        </is>
      </c>
      <c r="L858" s="23" t="n">
        <v>41678</v>
      </c>
      <c r="M858" s="24" t="n">
        <v>4.49</v>
      </c>
      <c r="N858" s="23">
        <f>ROUND(L858/M858, 0)</f>
        <v/>
      </c>
      <c r="O858" s="23">
        <f>ROUND(N858*'Methodology &amp; Assumptions'!$B$8, 0)</f>
        <v/>
      </c>
      <c r="P858" s="44" t="inlineStr">
        <is>
          <t>Band n50 (1.5 GHz, 60 MHz)</t>
        </is>
      </c>
      <c r="Q858" s="38">
        <f>ROUNDUP(O858/'Methodology &amp; Assumptions'!$B$9, 0)</f>
        <v/>
      </c>
      <c r="R858" s="39" t="n">
        <v>1</v>
      </c>
      <c r="S858" s="25" t="n">
        <v>1.04</v>
      </c>
      <c r="T858" s="25" t="n">
        <v>1.63</v>
      </c>
      <c r="U858" s="42" t="inlineStr">
        <is>
          <t>Tier 1B (Micro Drop, 1-3 km)</t>
        </is>
      </c>
      <c r="V858" s="24" t="n">
        <v>80.8</v>
      </c>
      <c r="W858" s="24" t="n">
        <v>97.90000000000001</v>
      </c>
      <c r="X858" s="24" t="n">
        <v>28</v>
      </c>
      <c r="Y858" s="45">
        <f>ROUND((V858*'Methodology &amp; Assumptions'!$B$6)+(W858*'Methodology &amp; Assumptions'!$B$5)+(X858*'Methodology &amp; Assumptions'!$B$7), 2)</f>
        <v/>
      </c>
    </row>
    <row r="859" ht="19" customHeight="1">
      <c r="A859" s="35" t="n">
        <v>855</v>
      </c>
      <c r="B859" s="35" t="n">
        <v>1855</v>
      </c>
      <c r="C859" s="36" t="inlineStr">
        <is>
          <t>0500504015</t>
        </is>
      </c>
      <c r="D859" s="36" t="inlineStr">
        <is>
          <t>Region V (Bicol Region)</t>
        </is>
      </c>
      <c r="E859" s="36" t="inlineStr">
        <is>
          <t>Albay</t>
        </is>
      </c>
      <c r="F859" s="36" t="inlineStr">
        <is>
          <t>Guinobatan</t>
        </is>
      </c>
      <c r="G859" s="36" t="inlineStr">
        <is>
          <t>Inamnan Grande</t>
        </is>
      </c>
      <c r="H859" s="37" t="n">
        <v>13.187904</v>
      </c>
      <c r="I859" s="37" t="n">
        <v>123.597291</v>
      </c>
      <c r="J859" s="8" t="inlineStr">
        <is>
          <t>R</t>
        </is>
      </c>
      <c r="K859" s="36" t="inlineStr">
        <is>
          <t>Class 1-3 / Urban</t>
        </is>
      </c>
      <c r="L859" s="18" t="n">
        <v>2334</v>
      </c>
      <c r="M859" s="20" t="n">
        <v>4.67</v>
      </c>
      <c r="N859" s="18">
        <f>ROUND(L859/M859, 0)</f>
        <v/>
      </c>
      <c r="O859" s="18">
        <f>ROUND(N859*'Methodology &amp; Assumptions'!$B$8, 0)</f>
        <v/>
      </c>
      <c r="P859" s="8" t="inlineStr">
        <is>
          <t>Band n50 (1.5 GHz, 60 MHz)</t>
        </is>
      </c>
      <c r="Q859" s="38">
        <f>ROUNDUP(O859/'Methodology &amp; Assumptions'!$B$9, 0)</f>
        <v/>
      </c>
      <c r="R859" s="39" t="n">
        <v>1</v>
      </c>
      <c r="S859" s="21" t="n">
        <v>0.71</v>
      </c>
      <c r="T859" s="21" t="n">
        <v>0.5</v>
      </c>
      <c r="U859" s="36" t="inlineStr">
        <is>
          <t>Tier 1A (Direct Coloc, &lt;1 km)</t>
        </is>
      </c>
      <c r="V859" s="20" t="n">
        <v>88.90000000000001</v>
      </c>
      <c r="W859" s="20" t="n">
        <v>64</v>
      </c>
      <c r="X859" s="20" t="n">
        <v>58</v>
      </c>
      <c r="Y859" s="40">
        <f>ROUND((V859*'Methodology &amp; Assumptions'!$B$6)+(W859*'Methodology &amp; Assumptions'!$B$5)+(X859*'Methodology &amp; Assumptions'!$B$7), 2)</f>
        <v/>
      </c>
    </row>
    <row r="860" ht="19" customHeight="1">
      <c r="A860" s="41" t="n">
        <v>856</v>
      </c>
      <c r="B860" s="41" t="n">
        <v>1856</v>
      </c>
      <c r="C860" s="42" t="inlineStr">
        <is>
          <t>1731500065</t>
        </is>
      </c>
      <c r="D860" s="42" t="inlineStr">
        <is>
          <t>MIMAROPA Region</t>
        </is>
      </c>
      <c r="E860" s="42" t="inlineStr">
        <is>
          <t>Palawan</t>
        </is>
      </c>
      <c r="F860" s="42" t="inlineStr">
        <is>
          <t>City of Puerto Princesa</t>
        </is>
      </c>
      <c r="G860" s="42" t="inlineStr">
        <is>
          <t>Mandaragat</t>
        </is>
      </c>
      <c r="H860" s="43" t="n">
        <v>9.748913</v>
      </c>
      <c r="I860" s="43" t="n">
        <v>118.739524</v>
      </c>
      <c r="J860" s="44" t="inlineStr">
        <is>
          <t>U</t>
        </is>
      </c>
      <c r="K860" s="42" t="inlineStr">
        <is>
          <t>Class 1-3 / Urban</t>
        </is>
      </c>
      <c r="L860" s="23" t="n">
        <v>10248</v>
      </c>
      <c r="M860" s="24" t="n">
        <v>4.35</v>
      </c>
      <c r="N860" s="23">
        <f>ROUND(L860/M860, 0)</f>
        <v/>
      </c>
      <c r="O860" s="23">
        <f>ROUND(N860*'Methodology &amp; Assumptions'!$B$8, 0)</f>
        <v/>
      </c>
      <c r="P860" s="44" t="inlineStr">
        <is>
          <t>Band n50 (1.5 GHz, 60 MHz)</t>
        </is>
      </c>
      <c r="Q860" s="38">
        <f>ROUNDUP(O860/'Methodology &amp; Assumptions'!$B$9, 0)</f>
        <v/>
      </c>
      <c r="R860" s="39" t="n">
        <v>1</v>
      </c>
      <c r="S860" s="25" t="n">
        <v>1.13</v>
      </c>
      <c r="T860" s="25" t="n">
        <v>1.18</v>
      </c>
      <c r="U860" s="42" t="inlineStr">
        <is>
          <t>Tier 1B (Micro Drop, 1-3 km)</t>
        </is>
      </c>
      <c r="V860" s="24" t="n">
        <v>78.59999999999999</v>
      </c>
      <c r="W860" s="24" t="n">
        <v>100</v>
      </c>
      <c r="X860" s="24" t="n">
        <v>28</v>
      </c>
      <c r="Y860" s="45">
        <f>ROUND((V860*'Methodology &amp; Assumptions'!$B$6)+(W860*'Methodology &amp; Assumptions'!$B$5)+(X860*'Methodology &amp; Assumptions'!$B$7), 2)</f>
        <v/>
      </c>
    </row>
    <row r="861" ht="19" customHeight="1">
      <c r="A861" s="35" t="n">
        <v>857</v>
      </c>
      <c r="B861" s="35" t="n">
        <v>1857</v>
      </c>
      <c r="C861" s="36" t="inlineStr">
        <is>
          <t>1401111003</t>
        </is>
      </c>
      <c r="D861" s="36" t="inlineStr">
        <is>
          <t>Cordillera Administrative Region (CAR)</t>
        </is>
      </c>
      <c r="E861" s="36" t="inlineStr">
        <is>
          <t>Benguet</t>
        </is>
      </c>
      <c r="F861" s="36" t="inlineStr">
        <is>
          <t>Mankayan</t>
        </is>
      </c>
      <c r="G861" s="36" t="inlineStr">
        <is>
          <t>Bulalacao</t>
        </is>
      </c>
      <c r="H861" s="37" t="n">
        <v>16.84017</v>
      </c>
      <c r="I861" s="37" t="n">
        <v>120.80751</v>
      </c>
      <c r="J861" s="8" t="inlineStr">
        <is>
          <t>R</t>
        </is>
      </c>
      <c r="K861" s="36" t="inlineStr">
        <is>
          <t>Class 1-3 / Urban</t>
        </is>
      </c>
      <c r="L861" s="18" t="n">
        <v>3362</v>
      </c>
      <c r="M861" s="20" t="n">
        <v>4.58</v>
      </c>
      <c r="N861" s="18">
        <f>ROUND(L861/M861, 0)</f>
        <v/>
      </c>
      <c r="O861" s="18">
        <f>ROUND(N861*'Methodology &amp; Assumptions'!$B$8, 0)</f>
        <v/>
      </c>
      <c r="P861" s="8" t="inlineStr">
        <is>
          <t>Band n50 (1.5 GHz, 60 MHz)</t>
        </is>
      </c>
      <c r="Q861" s="38">
        <f>ROUNDUP(O861/'Methodology &amp; Assumptions'!$B$9, 0)</f>
        <v/>
      </c>
      <c r="R861" s="39" t="n">
        <v>1</v>
      </c>
      <c r="S861" s="21" t="n">
        <v>2</v>
      </c>
      <c r="T861" s="21" t="n">
        <v>0.27</v>
      </c>
      <c r="U861" s="36" t="inlineStr">
        <is>
          <t>Tier 1B (Micro Drop, 1-3 km)</t>
        </is>
      </c>
      <c r="V861" s="20" t="n">
        <v>61.4</v>
      </c>
      <c r="W861" s="20" t="n">
        <v>78.7</v>
      </c>
      <c r="X861" s="20" t="n">
        <v>73</v>
      </c>
      <c r="Y861" s="40">
        <f>ROUND((V861*'Methodology &amp; Assumptions'!$B$6)+(W861*'Methodology &amp; Assumptions'!$B$5)+(X861*'Methodology &amp; Assumptions'!$B$7), 2)</f>
        <v/>
      </c>
    </row>
    <row r="862" ht="19" customHeight="1">
      <c r="A862" s="41" t="n">
        <v>858</v>
      </c>
      <c r="B862" s="41" t="n">
        <v>1858</v>
      </c>
      <c r="C862" s="42" t="inlineStr">
        <is>
          <t>0105511023</t>
        </is>
      </c>
      <c r="D862" s="42" t="inlineStr">
        <is>
          <t>Region I (Ilocos Region)</t>
        </is>
      </c>
      <c r="E862" s="42" t="inlineStr">
        <is>
          <t>Pangasinan</t>
        </is>
      </c>
      <c r="F862" s="42" t="inlineStr">
        <is>
          <t>Bayambang</t>
        </is>
      </c>
      <c r="G862" s="42" t="inlineStr">
        <is>
          <t>Cadre Site</t>
        </is>
      </c>
      <c r="H862" s="43" t="n">
        <v>15.805883</v>
      </c>
      <c r="I862" s="43" t="n">
        <v>120.454761</v>
      </c>
      <c r="J862" s="44" t="inlineStr">
        <is>
          <t>R</t>
        </is>
      </c>
      <c r="K862" s="42" t="inlineStr">
        <is>
          <t>Class 1-3 / Urban</t>
        </is>
      </c>
      <c r="L862" s="23" t="n">
        <v>2799</v>
      </c>
      <c r="M862" s="24" t="n">
        <v>4.39</v>
      </c>
      <c r="N862" s="23">
        <f>ROUND(L862/M862, 0)</f>
        <v/>
      </c>
      <c r="O862" s="23">
        <f>ROUND(N862*'Methodology &amp; Assumptions'!$B$8, 0)</f>
        <v/>
      </c>
      <c r="P862" s="44" t="inlineStr">
        <is>
          <t>Band n50 (1.5 GHz, 60 MHz)</t>
        </is>
      </c>
      <c r="Q862" s="38">
        <f>ROUNDUP(O862/'Methodology &amp; Assumptions'!$B$9, 0)</f>
        <v/>
      </c>
      <c r="R862" s="39" t="n">
        <v>1</v>
      </c>
      <c r="S862" s="25" t="n">
        <v>1.16</v>
      </c>
      <c r="T862" s="25" t="n">
        <v>0.41</v>
      </c>
      <c r="U862" s="42" t="inlineStr">
        <is>
          <t>Tier 1B (Micro Drop, 1-3 km)</t>
        </is>
      </c>
      <c r="V862" s="24" t="n">
        <v>77.90000000000001</v>
      </c>
      <c r="W862" s="24" t="n">
        <v>74.90000000000001</v>
      </c>
      <c r="X862" s="24" t="n">
        <v>58</v>
      </c>
      <c r="Y862" s="45">
        <f>ROUND((V862*'Methodology &amp; Assumptions'!$B$6)+(W862*'Methodology &amp; Assumptions'!$B$5)+(X862*'Methodology &amp; Assumptions'!$B$7), 2)</f>
        <v/>
      </c>
    </row>
    <row r="863" ht="19" customHeight="1">
      <c r="A863" s="35" t="n">
        <v>859</v>
      </c>
      <c r="B863" s="35" t="n">
        <v>1859</v>
      </c>
      <c r="C863" s="36" t="inlineStr">
        <is>
          <t>0201525012</t>
        </is>
      </c>
      <c r="D863" s="36" t="inlineStr">
        <is>
          <t>Region II (Cagayan Valley)</t>
        </is>
      </c>
      <c r="E863" s="36" t="inlineStr">
        <is>
          <t>Cagayan</t>
        </is>
      </c>
      <c r="F863" s="36" t="inlineStr">
        <is>
          <t>Santa Teresita</t>
        </is>
      </c>
      <c r="G863" s="36" t="inlineStr">
        <is>
          <t>Villa</t>
        </is>
      </c>
      <c r="H863" s="37" t="n">
        <v>18.2472</v>
      </c>
      <c r="I863" s="37" t="n">
        <v>121.9177</v>
      </c>
      <c r="J863" s="8" t="inlineStr">
        <is>
          <t>R</t>
        </is>
      </c>
      <c r="K863" s="36" t="inlineStr">
        <is>
          <t>3rd</t>
        </is>
      </c>
      <c r="L863" s="18" t="n">
        <v>2217</v>
      </c>
      <c r="M863" s="20" t="n">
        <v>4.45</v>
      </c>
      <c r="N863" s="18">
        <f>ROUND(L863/M863, 0)</f>
        <v/>
      </c>
      <c r="O863" s="18">
        <f>ROUND(N863*'Methodology &amp; Assumptions'!$B$8, 0)</f>
        <v/>
      </c>
      <c r="P863" s="8" t="inlineStr">
        <is>
          <t>Band n50 (1.5 GHz, 60 MHz)</t>
        </is>
      </c>
      <c r="Q863" s="38">
        <f>ROUNDUP(O863/'Methodology &amp; Assumptions'!$B$9, 0)</f>
        <v/>
      </c>
      <c r="R863" s="39" t="n">
        <v>1</v>
      </c>
      <c r="S863" s="21" t="n">
        <v>0.7</v>
      </c>
      <c r="T863" s="21" t="n">
        <v>0.2</v>
      </c>
      <c r="U863" s="36" t="inlineStr">
        <is>
          <t>Tier 1A (Direct Coloc, &lt;1 km)</t>
        </is>
      </c>
      <c r="V863" s="20" t="n">
        <v>89.2</v>
      </c>
      <c r="W863" s="20" t="n">
        <v>63.7</v>
      </c>
      <c r="X863" s="20" t="n">
        <v>58</v>
      </c>
      <c r="Y863" s="40">
        <f>ROUND((V863*'Methodology &amp; Assumptions'!$B$6)+(W863*'Methodology &amp; Assumptions'!$B$5)+(X863*'Methodology &amp; Assumptions'!$B$7), 2)</f>
        <v/>
      </c>
    </row>
    <row r="864" ht="19" customHeight="1">
      <c r="A864" s="41" t="n">
        <v>860</v>
      </c>
      <c r="B864" s="41" t="n">
        <v>1860</v>
      </c>
      <c r="C864" s="42" t="inlineStr">
        <is>
          <t>0301423015</t>
        </is>
      </c>
      <c r="D864" s="42" t="inlineStr">
        <is>
          <t>Region III (Central Luzon)</t>
        </is>
      </c>
      <c r="E864" s="42" t="inlineStr">
        <is>
          <t>Bulacan</t>
        </is>
      </c>
      <c r="F864" s="42" t="inlineStr">
        <is>
          <t>Santa Maria</t>
        </is>
      </c>
      <c r="G864" s="42" t="inlineStr">
        <is>
          <t>Parada</t>
        </is>
      </c>
      <c r="H864" s="43" t="n">
        <v>14.810515</v>
      </c>
      <c r="I864" s="43" t="n">
        <v>120.986298</v>
      </c>
      <c r="J864" s="44" t="inlineStr">
        <is>
          <t>U</t>
        </is>
      </c>
      <c r="K864" s="42" t="inlineStr">
        <is>
          <t>Class 1-3 / Urban</t>
        </is>
      </c>
      <c r="L864" s="23" t="n">
        <v>9419</v>
      </c>
      <c r="M864" s="24" t="n">
        <v>4.1</v>
      </c>
      <c r="N864" s="23">
        <f>ROUND(L864/M864, 0)</f>
        <v/>
      </c>
      <c r="O864" s="23">
        <f>ROUND(N864*'Methodology &amp; Assumptions'!$B$8, 0)</f>
        <v/>
      </c>
      <c r="P864" s="44" t="inlineStr">
        <is>
          <t>Band n50 (1.5 GHz, 60 MHz)</t>
        </is>
      </c>
      <c r="Q864" s="38">
        <f>ROUNDUP(O864/'Methodology &amp; Assumptions'!$B$9, 0)</f>
        <v/>
      </c>
      <c r="R864" s="39" t="n">
        <v>1</v>
      </c>
      <c r="S864" s="25" t="n">
        <v>1.13</v>
      </c>
      <c r="T864" s="25" t="n">
        <v>0.02</v>
      </c>
      <c r="U864" s="42" t="inlineStr">
        <is>
          <t>Tier 1B (Micro Drop, 1-3 km)</t>
        </is>
      </c>
      <c r="V864" s="24" t="n">
        <v>78.59999999999999</v>
      </c>
      <c r="W864" s="24" t="n">
        <v>100</v>
      </c>
      <c r="X864" s="24" t="n">
        <v>28</v>
      </c>
      <c r="Y864" s="45">
        <f>ROUND((V864*'Methodology &amp; Assumptions'!$B$6)+(W864*'Methodology &amp; Assumptions'!$B$5)+(X864*'Methodology &amp; Assumptions'!$B$7), 2)</f>
        <v/>
      </c>
    </row>
    <row r="865" ht="19" customHeight="1">
      <c r="A865" s="35" t="n">
        <v>861</v>
      </c>
      <c r="B865" s="35" t="n">
        <v>1861</v>
      </c>
      <c r="C865" s="36" t="inlineStr">
        <is>
          <t>0403411008</t>
        </is>
      </c>
      <c r="D865" s="36" t="inlineStr">
        <is>
          <t>Region IV-A (CALABARZON)</t>
        </is>
      </c>
      <c r="E865" s="36" t="inlineStr">
        <is>
          <t>Laguna</t>
        </is>
      </c>
      <c r="F865" s="36" t="inlineStr">
        <is>
          <t>Los Baños</t>
        </is>
      </c>
      <c r="G865" s="36" t="inlineStr">
        <is>
          <t>Maahas</t>
        </is>
      </c>
      <c r="H865" s="37" t="n">
        <v>14.179806</v>
      </c>
      <c r="I865" s="37" t="n">
        <v>121.252822</v>
      </c>
      <c r="J865" s="8" t="inlineStr">
        <is>
          <t>U</t>
        </is>
      </c>
      <c r="K865" s="36" t="inlineStr">
        <is>
          <t>Class 1-3 / Urban</t>
        </is>
      </c>
      <c r="L865" s="18" t="n">
        <v>8785</v>
      </c>
      <c r="M865" s="20" t="n">
        <v>4.2</v>
      </c>
      <c r="N865" s="18">
        <f>ROUND(L865/M865, 0)</f>
        <v/>
      </c>
      <c r="O865" s="18">
        <f>ROUND(N865*'Methodology &amp; Assumptions'!$B$8, 0)</f>
        <v/>
      </c>
      <c r="P865" s="8" t="inlineStr">
        <is>
          <t>Band n50 (1.5 GHz, 60 MHz)</t>
        </is>
      </c>
      <c r="Q865" s="38">
        <f>ROUNDUP(O865/'Methodology &amp; Assumptions'!$B$9, 0)</f>
        <v/>
      </c>
      <c r="R865" s="39" t="n">
        <v>1</v>
      </c>
      <c r="S865" s="21" t="n">
        <v>1.13</v>
      </c>
      <c r="T865" s="21" t="n">
        <v>0.36</v>
      </c>
      <c r="U865" s="36" t="inlineStr">
        <is>
          <t>Tier 1B (Micro Drop, 1-3 km)</t>
        </is>
      </c>
      <c r="V865" s="20" t="n">
        <v>78.59999999999999</v>
      </c>
      <c r="W865" s="20" t="n">
        <v>100</v>
      </c>
      <c r="X865" s="20" t="n">
        <v>28</v>
      </c>
      <c r="Y865" s="40">
        <f>ROUND((V865*'Methodology &amp; Assumptions'!$B$6)+(W865*'Methodology &amp; Assumptions'!$B$5)+(X865*'Methodology &amp; Assumptions'!$B$7), 2)</f>
        <v/>
      </c>
    </row>
    <row r="866" ht="19" customHeight="1">
      <c r="A866" s="41" t="n">
        <v>862</v>
      </c>
      <c r="B866" s="41" t="n">
        <v>1862</v>
      </c>
      <c r="C866" s="42" t="inlineStr">
        <is>
          <t>0730600084</t>
        </is>
      </c>
      <c r="D866" s="42" t="inlineStr">
        <is>
          <t>Region VII (Central Visayas)</t>
        </is>
      </c>
      <c r="E866" s="42" t="inlineStr">
        <is>
          <t>Cebu</t>
        </is>
      </c>
      <c r="F866" s="42" t="inlineStr">
        <is>
          <t>City of Cebu</t>
        </is>
      </c>
      <c r="G866" s="42" t="inlineStr">
        <is>
          <t>Tinago</t>
        </is>
      </c>
      <c r="H866" s="43" t="n">
        <v>10.297043</v>
      </c>
      <c r="I866" s="43" t="n">
        <v>123.908772</v>
      </c>
      <c r="J866" s="44" t="inlineStr">
        <is>
          <t>U</t>
        </is>
      </c>
      <c r="K866" s="42" t="inlineStr">
        <is>
          <t>Class 1-3 / Urban</t>
        </is>
      </c>
      <c r="L866" s="23" t="n">
        <v>6700</v>
      </c>
      <c r="M866" s="24" t="n">
        <v>4.42</v>
      </c>
      <c r="N866" s="23">
        <f>ROUND(L866/M866, 0)</f>
        <v/>
      </c>
      <c r="O866" s="23">
        <f>ROUND(N866*'Methodology &amp; Assumptions'!$B$8, 0)</f>
        <v/>
      </c>
      <c r="P866" s="44" t="inlineStr">
        <is>
          <t>Band n50 (1.5 GHz, 60 MHz)</t>
        </is>
      </c>
      <c r="Q866" s="38">
        <f>ROUNDUP(O866/'Methodology &amp; Assumptions'!$B$9, 0)</f>
        <v/>
      </c>
      <c r="R866" s="39" t="n">
        <v>1</v>
      </c>
      <c r="S866" s="25" t="n">
        <v>1.13</v>
      </c>
      <c r="T866" s="25" t="n">
        <v>0.96</v>
      </c>
      <c r="U866" s="42" t="inlineStr">
        <is>
          <t>Tier 1B (Micro Drop, 1-3 km)</t>
        </is>
      </c>
      <c r="V866" s="24" t="n">
        <v>78.59999999999999</v>
      </c>
      <c r="W866" s="24" t="n">
        <v>100</v>
      </c>
      <c r="X866" s="24" t="n">
        <v>28</v>
      </c>
      <c r="Y866" s="45">
        <f>ROUND((V866*'Methodology &amp; Assumptions'!$B$6)+(W866*'Methodology &amp; Assumptions'!$B$5)+(X866*'Methodology &amp; Assumptions'!$B$7), 2)</f>
        <v/>
      </c>
    </row>
    <row r="867" ht="19" customHeight="1">
      <c r="A867" s="35" t="n">
        <v>863</v>
      </c>
      <c r="B867" s="35" t="n">
        <v>1863</v>
      </c>
      <c r="C867" s="36" t="inlineStr">
        <is>
          <t>0301422009</t>
        </is>
      </c>
      <c r="D867" s="36" t="inlineStr">
        <is>
          <t>Region III (Central Luzon)</t>
        </is>
      </c>
      <c r="E867" s="36" t="inlineStr">
        <is>
          <t>Bulacan</t>
        </is>
      </c>
      <c r="F867" s="36" t="inlineStr">
        <is>
          <t>San Rafael</t>
        </is>
      </c>
      <c r="G867" s="36" t="inlineStr">
        <is>
          <t>Capihan</t>
        </is>
      </c>
      <c r="H867" s="37" t="n">
        <v>14.997408</v>
      </c>
      <c r="I867" s="37" t="n">
        <v>120.931836</v>
      </c>
      <c r="J867" s="8" t="inlineStr">
        <is>
          <t>U</t>
        </is>
      </c>
      <c r="K867" s="36" t="inlineStr">
        <is>
          <t>Class 1-3 / Urban</t>
        </is>
      </c>
      <c r="L867" s="18" t="n">
        <v>6128</v>
      </c>
      <c r="M867" s="20" t="n">
        <v>4.1</v>
      </c>
      <c r="N867" s="18">
        <f>ROUND(L867/M867, 0)</f>
        <v/>
      </c>
      <c r="O867" s="18">
        <f>ROUND(N867*'Methodology &amp; Assumptions'!$B$8, 0)</f>
        <v/>
      </c>
      <c r="P867" s="8" t="inlineStr">
        <is>
          <t>Band n50 (1.5 GHz, 60 MHz)</t>
        </is>
      </c>
      <c r="Q867" s="38">
        <f>ROUNDUP(O867/'Methodology &amp; Assumptions'!$B$9, 0)</f>
        <v/>
      </c>
      <c r="R867" s="39" t="n">
        <v>1</v>
      </c>
      <c r="S867" s="21" t="n">
        <v>1.13</v>
      </c>
      <c r="T867" s="21" t="n">
        <v>0.22</v>
      </c>
      <c r="U867" s="36" t="inlineStr">
        <is>
          <t>Tier 1B (Micro Drop, 1-3 km)</t>
        </is>
      </c>
      <c r="V867" s="20" t="n">
        <v>78.59999999999999</v>
      </c>
      <c r="W867" s="20" t="n">
        <v>100</v>
      </c>
      <c r="X867" s="20" t="n">
        <v>28</v>
      </c>
      <c r="Y867" s="40">
        <f>ROUND((V867*'Methodology &amp; Assumptions'!$B$6)+(W867*'Methodology &amp; Assumptions'!$B$5)+(X867*'Methodology &amp; Assumptions'!$B$7), 2)</f>
        <v/>
      </c>
    </row>
    <row r="868" ht="19" customHeight="1">
      <c r="A868" s="41" t="n">
        <v>864</v>
      </c>
      <c r="B868" s="41" t="n">
        <v>1864</v>
      </c>
      <c r="C868" s="42" t="inlineStr">
        <is>
          <t>1108207003</t>
        </is>
      </c>
      <c r="D868" s="42" t="inlineStr">
        <is>
          <t>Region XI (Davao Region)</t>
        </is>
      </c>
      <c r="E868" s="42" t="inlineStr">
        <is>
          <t>Davao de Oro</t>
        </is>
      </c>
      <c r="F868" s="42" t="inlineStr">
        <is>
          <t>Monkayo</t>
        </is>
      </c>
      <c r="G868" s="42" t="inlineStr">
        <is>
          <t>Banlag</t>
        </is>
      </c>
      <c r="H868" s="43" t="n">
        <v>7.828398</v>
      </c>
      <c r="I868" s="43" t="n">
        <v>126.033096</v>
      </c>
      <c r="J868" s="44" t="inlineStr">
        <is>
          <t>R</t>
        </is>
      </c>
      <c r="K868" s="42" t="inlineStr">
        <is>
          <t>Class 1-3 / Urban</t>
        </is>
      </c>
      <c r="L868" s="23" t="n">
        <v>4786</v>
      </c>
      <c r="M868" s="24" t="n">
        <v>4.1</v>
      </c>
      <c r="N868" s="23">
        <f>ROUND(L868/M868, 0)</f>
        <v/>
      </c>
      <c r="O868" s="23">
        <f>ROUND(N868*'Methodology &amp; Assumptions'!$B$8, 0)</f>
        <v/>
      </c>
      <c r="P868" s="44" t="inlineStr">
        <is>
          <t>Band n50 (1.5 GHz, 60 MHz)</t>
        </is>
      </c>
      <c r="Q868" s="38">
        <f>ROUNDUP(O868/'Methodology &amp; Assumptions'!$B$9, 0)</f>
        <v/>
      </c>
      <c r="R868" s="39" t="n">
        <v>1</v>
      </c>
      <c r="S868" s="25" t="n">
        <v>2.54</v>
      </c>
      <c r="T868" s="25" t="n">
        <v>0.25</v>
      </c>
      <c r="U868" s="42" t="inlineStr">
        <is>
          <t>Tier 1B (Micro Drop, 1-3 km)</t>
        </is>
      </c>
      <c r="V868" s="24" t="n">
        <v>52.8</v>
      </c>
      <c r="W868" s="24" t="n">
        <v>100</v>
      </c>
      <c r="X868" s="24" t="n">
        <v>58</v>
      </c>
      <c r="Y868" s="45">
        <f>ROUND((V868*'Methodology &amp; Assumptions'!$B$6)+(W868*'Methodology &amp; Assumptions'!$B$5)+(X868*'Methodology &amp; Assumptions'!$B$7), 2)</f>
        <v/>
      </c>
    </row>
    <row r="869" ht="19" customHeight="1">
      <c r="A869" s="35" t="n">
        <v>865</v>
      </c>
      <c r="B869" s="35" t="n">
        <v>1865</v>
      </c>
      <c r="C869" s="36" t="inlineStr">
        <is>
          <t>0304930053</t>
        </is>
      </c>
      <c r="D869" s="36" t="inlineStr">
        <is>
          <t>Region III (Central Luzon)</t>
        </is>
      </c>
      <c r="E869" s="36" t="inlineStr">
        <is>
          <t>Nueva Ecija</t>
        </is>
      </c>
      <c r="F869" s="36" t="inlineStr">
        <is>
          <t>Talavera</t>
        </is>
      </c>
      <c r="G869" s="36" t="inlineStr">
        <is>
          <t>Sibul</t>
        </is>
      </c>
      <c r="H869" s="37" t="n">
        <v>15.56768</v>
      </c>
      <c r="I869" s="37" t="n">
        <v>120.920195</v>
      </c>
      <c r="J869" s="8" t="inlineStr">
        <is>
          <t>R</t>
        </is>
      </c>
      <c r="K869" s="36" t="inlineStr">
        <is>
          <t>Class 1-3 / Urban</t>
        </is>
      </c>
      <c r="L869" s="18" t="n">
        <v>3240</v>
      </c>
      <c r="M869" s="20" t="n">
        <v>4.32</v>
      </c>
      <c r="N869" s="18">
        <f>ROUND(L869/M869, 0)</f>
        <v/>
      </c>
      <c r="O869" s="18">
        <f>ROUND(N869*'Methodology &amp; Assumptions'!$B$8, 0)</f>
        <v/>
      </c>
      <c r="P869" s="8" t="inlineStr">
        <is>
          <t>Band n50 (1.5 GHz, 60 MHz)</t>
        </is>
      </c>
      <c r="Q869" s="38">
        <f>ROUNDUP(O869/'Methodology &amp; Assumptions'!$B$9, 0)</f>
        <v/>
      </c>
      <c r="R869" s="39" t="n">
        <v>1</v>
      </c>
      <c r="S869" s="21" t="n">
        <v>1.59</v>
      </c>
      <c r="T869" s="21" t="n">
        <v>0.22</v>
      </c>
      <c r="U869" s="36" t="inlineStr">
        <is>
          <t>Tier 1B (Micro Drop, 1-3 km)</t>
        </is>
      </c>
      <c r="V869" s="20" t="n">
        <v>68.8</v>
      </c>
      <c r="W869" s="20" t="n">
        <v>84</v>
      </c>
      <c r="X869" s="20" t="n">
        <v>58</v>
      </c>
      <c r="Y869" s="40">
        <f>ROUND((V869*'Methodology &amp; Assumptions'!$B$6)+(W869*'Methodology &amp; Assumptions'!$B$5)+(X869*'Methodology &amp; Assumptions'!$B$7), 2)</f>
        <v/>
      </c>
    </row>
    <row r="870" ht="19" customHeight="1">
      <c r="A870" s="41" t="n">
        <v>866</v>
      </c>
      <c r="B870" s="41" t="n">
        <v>1866</v>
      </c>
      <c r="C870" s="42" t="inlineStr">
        <is>
          <t>0405630019</t>
        </is>
      </c>
      <c r="D870" s="42" t="inlineStr">
        <is>
          <t>Region IV-A (CALABARZON)</t>
        </is>
      </c>
      <c r="E870" s="42" t="inlineStr">
        <is>
          <t>Quezon</t>
        </is>
      </c>
      <c r="F870" s="42" t="inlineStr">
        <is>
          <t>Pagbilao</t>
        </is>
      </c>
      <c r="G870" s="42" t="inlineStr">
        <is>
          <t>Barangay 1 Castillo</t>
        </is>
      </c>
      <c r="H870" s="43" t="n">
        <v>13.970706</v>
      </c>
      <c r="I870" s="43" t="n">
        <v>121.683344</v>
      </c>
      <c r="J870" s="44" t="inlineStr">
        <is>
          <t>R</t>
        </is>
      </c>
      <c r="K870" s="42" t="inlineStr">
        <is>
          <t>Class 1-3 / Urban</t>
        </is>
      </c>
      <c r="L870" s="23" t="n">
        <v>1603</v>
      </c>
      <c r="M870" s="24" t="n">
        <v>4.46</v>
      </c>
      <c r="N870" s="23">
        <f>ROUND(L870/M870, 0)</f>
        <v/>
      </c>
      <c r="O870" s="23">
        <f>ROUND(N870*'Methodology &amp; Assumptions'!$B$8, 0)</f>
        <v/>
      </c>
      <c r="P870" s="44" t="inlineStr">
        <is>
          <t>Band n50 (1.5 GHz, 60 MHz)</t>
        </is>
      </c>
      <c r="Q870" s="38">
        <f>ROUNDUP(O870/'Methodology &amp; Assumptions'!$B$9, 0)</f>
        <v/>
      </c>
      <c r="R870" s="39" t="n">
        <v>1</v>
      </c>
      <c r="S870" s="25" t="n">
        <v>0.19</v>
      </c>
      <c r="T870" s="25" t="n">
        <v>0.04</v>
      </c>
      <c r="U870" s="42" t="inlineStr">
        <is>
          <t>Tier 1A (Direct Coloc, &lt;1 km)</t>
        </is>
      </c>
      <c r="V870" s="24" t="n">
        <v>100</v>
      </c>
      <c r="W870" s="24" t="n">
        <v>52.8</v>
      </c>
      <c r="X870" s="24" t="n">
        <v>58</v>
      </c>
      <c r="Y870" s="45">
        <f>ROUND((V870*'Methodology &amp; Assumptions'!$B$6)+(W870*'Methodology &amp; Assumptions'!$B$5)+(X870*'Methodology &amp; Assumptions'!$B$7), 2)</f>
        <v/>
      </c>
    </row>
    <row r="871" ht="19" customHeight="1">
      <c r="A871" s="35" t="n">
        <v>867</v>
      </c>
      <c r="B871" s="35" t="n">
        <v>1867</v>
      </c>
      <c r="C871" s="36" t="inlineStr">
        <is>
          <t>0203114082</t>
        </is>
      </c>
      <c r="D871" s="36" t="inlineStr">
        <is>
          <t>Region II (Cagayan Valley)</t>
        </is>
      </c>
      <c r="E871" s="36" t="inlineStr">
        <is>
          <t>Isabela</t>
        </is>
      </c>
      <c r="F871" s="36" t="inlineStr">
        <is>
          <t>City of Ilagan</t>
        </is>
      </c>
      <c r="G871" s="36" t="inlineStr">
        <is>
          <t>San Isidro</t>
        </is>
      </c>
      <c r="H871" s="37" t="n">
        <v>17.166782</v>
      </c>
      <c r="I871" s="37" t="n">
        <v>121.915452</v>
      </c>
      <c r="J871" s="8" t="inlineStr">
        <is>
          <t>R</t>
        </is>
      </c>
      <c r="K871" s="36" t="inlineStr">
        <is>
          <t>Class 1-3 / Urban</t>
        </is>
      </c>
      <c r="L871" s="18" t="n">
        <v>1547</v>
      </c>
      <c r="M871" s="20" t="n">
        <v>4.3</v>
      </c>
      <c r="N871" s="18">
        <f>ROUND(L871/M871, 0)</f>
        <v/>
      </c>
      <c r="O871" s="18">
        <f>ROUND(N871*'Methodology &amp; Assumptions'!$B$8, 0)</f>
        <v/>
      </c>
      <c r="P871" s="8" t="inlineStr">
        <is>
          <t>Band n50 (1.5 GHz, 60 MHz)</t>
        </is>
      </c>
      <c r="Q871" s="38">
        <f>ROUNDUP(O871/'Methodology &amp; Assumptions'!$B$9, 0)</f>
        <v/>
      </c>
      <c r="R871" s="39" t="n">
        <v>1</v>
      </c>
      <c r="S871" s="21" t="n">
        <v>0.19</v>
      </c>
      <c r="T871" s="21" t="n">
        <v>0.18</v>
      </c>
      <c r="U871" s="36" t="inlineStr">
        <is>
          <t>Tier 1A (Direct Coloc, &lt;1 km)</t>
        </is>
      </c>
      <c r="V871" s="20" t="n">
        <v>100</v>
      </c>
      <c r="W871" s="20" t="n">
        <v>52.8</v>
      </c>
      <c r="X871" s="20" t="n">
        <v>58</v>
      </c>
      <c r="Y871" s="40">
        <f>ROUND((V871*'Methodology &amp; Assumptions'!$B$6)+(W871*'Methodology &amp; Assumptions'!$B$5)+(X871*'Methodology &amp; Assumptions'!$B$7), 2)</f>
        <v/>
      </c>
    </row>
    <row r="872" ht="19" customHeight="1">
      <c r="A872" s="41" t="n">
        <v>868</v>
      </c>
      <c r="B872" s="41" t="n">
        <v>1868</v>
      </c>
      <c r="C872" s="42" t="inlineStr">
        <is>
          <t>0305407018</t>
        </is>
      </c>
      <c r="D872" s="42" t="inlineStr">
        <is>
          <t>Region III (Central Luzon)</t>
        </is>
      </c>
      <c r="E872" s="42" t="inlineStr">
        <is>
          <t>Pampanga</t>
        </is>
      </c>
      <c r="F872" s="42" t="inlineStr">
        <is>
          <t>Guagua</t>
        </is>
      </c>
      <c r="G872" s="42" t="inlineStr">
        <is>
          <t>San Matias</t>
        </is>
      </c>
      <c r="H872" s="43" t="n">
        <v>14.97816</v>
      </c>
      <c r="I872" s="43" t="n">
        <v>120.6216</v>
      </c>
      <c r="J872" s="44" t="inlineStr">
        <is>
          <t>U</t>
        </is>
      </c>
      <c r="K872" s="42" t="inlineStr">
        <is>
          <t>Class 1-3 / Urban</t>
        </is>
      </c>
      <c r="L872" s="23" t="n">
        <v>4240</v>
      </c>
      <c r="M872" s="24" t="n">
        <v>4.63</v>
      </c>
      <c r="N872" s="23">
        <f>ROUND(L872/M872, 0)</f>
        <v/>
      </c>
      <c r="O872" s="23">
        <f>ROUND(N872*'Methodology &amp; Assumptions'!$B$8, 0)</f>
        <v/>
      </c>
      <c r="P872" s="44" t="inlineStr">
        <is>
          <t>Band n50 (1.5 GHz, 60 MHz)</t>
        </is>
      </c>
      <c r="Q872" s="38">
        <f>ROUNDUP(O872/'Methodology &amp; Assumptions'!$B$9, 0)</f>
        <v/>
      </c>
      <c r="R872" s="39" t="n">
        <v>1</v>
      </c>
      <c r="S872" s="25" t="n">
        <v>1.02</v>
      </c>
      <c r="T872" s="25" t="n">
        <v>0.44</v>
      </c>
      <c r="U872" s="42" t="inlineStr">
        <is>
          <t>Tier 1B (Micro Drop, 1-3 km)</t>
        </is>
      </c>
      <c r="V872" s="24" t="n">
        <v>81.2</v>
      </c>
      <c r="W872" s="24" t="n">
        <v>97.3</v>
      </c>
      <c r="X872" s="24" t="n">
        <v>28</v>
      </c>
      <c r="Y872" s="45">
        <f>ROUND((V872*'Methodology &amp; Assumptions'!$B$6)+(W872*'Methodology &amp; Assumptions'!$B$5)+(X872*'Methodology &amp; Assumptions'!$B$7), 2)</f>
        <v/>
      </c>
    </row>
    <row r="873" ht="19" customHeight="1">
      <c r="A873" s="35" t="n">
        <v>869</v>
      </c>
      <c r="B873" s="35" t="n">
        <v>1869</v>
      </c>
      <c r="C873" s="36" t="inlineStr">
        <is>
          <t>0306916085</t>
        </is>
      </c>
      <c r="D873" s="36" t="inlineStr">
        <is>
          <t>Region III (Central Luzon)</t>
        </is>
      </c>
      <c r="E873" s="36" t="inlineStr">
        <is>
          <t>Tarlac</t>
        </is>
      </c>
      <c r="F873" s="36" t="inlineStr">
        <is>
          <t>City of Tarlac</t>
        </is>
      </c>
      <c r="G873" s="36" t="inlineStr">
        <is>
          <t>Suizo</t>
        </is>
      </c>
      <c r="H873" s="37" t="n">
        <v>15.461206</v>
      </c>
      <c r="I873" s="37" t="n">
        <v>120.602914</v>
      </c>
      <c r="J873" s="8" t="inlineStr">
        <is>
          <t>R</t>
        </is>
      </c>
      <c r="K873" s="36" t="inlineStr">
        <is>
          <t>Class 1-3 / Urban</t>
        </is>
      </c>
      <c r="L873" s="18" t="n">
        <v>3967</v>
      </c>
      <c r="M873" s="20" t="n">
        <v>4.3</v>
      </c>
      <c r="N873" s="18">
        <f>ROUND(L873/M873, 0)</f>
        <v/>
      </c>
      <c r="O873" s="18">
        <f>ROUND(N873*'Methodology &amp; Assumptions'!$B$8, 0)</f>
        <v/>
      </c>
      <c r="P873" s="8" t="inlineStr">
        <is>
          <t>Band n50 (1.5 GHz, 60 MHz)</t>
        </is>
      </c>
      <c r="Q873" s="38">
        <f>ROUNDUP(O873/'Methodology &amp; Assumptions'!$B$9, 0)</f>
        <v/>
      </c>
      <c r="R873" s="39" t="n">
        <v>1</v>
      </c>
      <c r="S873" s="21" t="n">
        <v>2.4</v>
      </c>
      <c r="T873" s="21" t="n">
        <v>0.43</v>
      </c>
      <c r="U873" s="36" t="inlineStr">
        <is>
          <t>Tier 1B (Micro Drop, 1-3 km)</t>
        </is>
      </c>
      <c r="V873" s="20" t="n">
        <v>54.9</v>
      </c>
      <c r="W873" s="20" t="n">
        <v>97.90000000000001</v>
      </c>
      <c r="X873" s="20" t="n">
        <v>58</v>
      </c>
      <c r="Y873" s="40">
        <f>ROUND((V873*'Methodology &amp; Assumptions'!$B$6)+(W873*'Methodology &amp; Assumptions'!$B$5)+(X873*'Methodology &amp; Assumptions'!$B$7), 2)</f>
        <v/>
      </c>
    </row>
    <row r="874" ht="19" customHeight="1">
      <c r="A874" s="41" t="n">
        <v>870</v>
      </c>
      <c r="B874" s="41" t="n">
        <v>1870</v>
      </c>
      <c r="C874" s="42" t="inlineStr">
        <is>
          <t>0102810002</t>
        </is>
      </c>
      <c r="D874" s="42" t="inlineStr">
        <is>
          <t>Region I (Ilocos Region)</t>
        </is>
      </c>
      <c r="E874" s="42" t="inlineStr">
        <is>
          <t>Ilocos Norte</t>
        </is>
      </c>
      <c r="F874" s="42" t="inlineStr">
        <is>
          <t>Dumalneg</t>
        </is>
      </c>
      <c r="G874" s="42" t="inlineStr">
        <is>
          <t>San Isidro</t>
        </is>
      </c>
      <c r="H874" s="43" t="n">
        <v>18.315355</v>
      </c>
      <c r="I874" s="43" t="n">
        <v>120.61518</v>
      </c>
      <c r="J874" s="44" t="inlineStr">
        <is>
          <t>R</t>
        </is>
      </c>
      <c r="K874" s="42" t="inlineStr">
        <is>
          <t>4th</t>
        </is>
      </c>
      <c r="L874" s="23" t="n">
        <v>1026</v>
      </c>
      <c r="M874" s="24" t="n">
        <v>4.91</v>
      </c>
      <c r="N874" s="23">
        <f>ROUND(L874/M874, 0)</f>
        <v/>
      </c>
      <c r="O874" s="23">
        <f>ROUND(N874*'Methodology &amp; Assumptions'!$B$8, 0)</f>
        <v/>
      </c>
      <c r="P874" s="44" t="inlineStr">
        <is>
          <t>Band n50 (1.5 GHz, 60 MHz)</t>
        </is>
      </c>
      <c r="Q874" s="38">
        <f>ROUNDUP(O874/'Methodology &amp; Assumptions'!$B$9, 0)</f>
        <v/>
      </c>
      <c r="R874" s="39" t="n">
        <v>1</v>
      </c>
      <c r="S874" s="25" t="n">
        <v>0.67</v>
      </c>
      <c r="T874" s="25" t="n">
        <v>0.58</v>
      </c>
      <c r="U874" s="42" t="inlineStr">
        <is>
          <t>Tier 1A (Direct Coloc, &lt;1 km)</t>
        </is>
      </c>
      <c r="V874" s="24" t="n">
        <v>90.09999999999999</v>
      </c>
      <c r="W874" s="24" t="n">
        <v>40.8</v>
      </c>
      <c r="X874" s="24" t="n">
        <v>83.5</v>
      </c>
      <c r="Y874" s="45">
        <f>ROUND((V874*'Methodology &amp; Assumptions'!$B$6)+(W874*'Methodology &amp; Assumptions'!$B$5)+(X874*'Methodology &amp; Assumptions'!$B$7), 2)</f>
        <v/>
      </c>
    </row>
    <row r="875" ht="19" customHeight="1">
      <c r="A875" s="35" t="n">
        <v>871</v>
      </c>
      <c r="B875" s="35" t="n">
        <v>1871</v>
      </c>
      <c r="C875" s="36" t="inlineStr">
        <is>
          <t>1401109005</t>
        </is>
      </c>
      <c r="D875" s="36" t="inlineStr">
        <is>
          <t>Cordillera Administrative Region (CAR)</t>
        </is>
      </c>
      <c r="E875" s="36" t="inlineStr">
        <is>
          <t>Benguet</t>
        </is>
      </c>
      <c r="F875" s="36" t="inlineStr">
        <is>
          <t>Kibungan</t>
        </is>
      </c>
      <c r="G875" s="36" t="inlineStr">
        <is>
          <t>Poblacion</t>
        </is>
      </c>
      <c r="H875" s="37" t="n">
        <v>16.6941</v>
      </c>
      <c r="I875" s="37" t="n">
        <v>120.65455</v>
      </c>
      <c r="J875" s="8" t="inlineStr">
        <is>
          <t>R</t>
        </is>
      </c>
      <c r="K875" s="36" t="inlineStr">
        <is>
          <t>3rd</t>
        </is>
      </c>
      <c r="L875" s="18" t="n">
        <v>2427</v>
      </c>
      <c r="M875" s="20" t="n">
        <v>4.82</v>
      </c>
      <c r="N875" s="18">
        <f>ROUND(L875/M875, 0)</f>
        <v/>
      </c>
      <c r="O875" s="18">
        <f>ROUND(N875*'Methodology &amp; Assumptions'!$B$8, 0)</f>
        <v/>
      </c>
      <c r="P875" s="8" t="inlineStr">
        <is>
          <t>Band n50 (1.5 GHz, 60 MHz)</t>
        </is>
      </c>
      <c r="Q875" s="38">
        <f>ROUNDUP(O875/'Methodology &amp; Assumptions'!$B$9, 0)</f>
        <v/>
      </c>
      <c r="R875" s="39" t="n">
        <v>1</v>
      </c>
      <c r="S875" s="21" t="n">
        <v>0.24</v>
      </c>
      <c r="T875" s="21" t="n">
        <v>12.06</v>
      </c>
      <c r="U875" s="36" t="inlineStr">
        <is>
          <t>Tier 1A (Direct Coloc, &lt;1 km)</t>
        </is>
      </c>
      <c r="V875" s="20" t="n">
        <v>92.40000000000001</v>
      </c>
      <c r="W875" s="20" t="n">
        <v>60.3</v>
      </c>
      <c r="X875" s="20" t="n">
        <v>58</v>
      </c>
      <c r="Y875" s="40">
        <f>ROUND((V875*'Methodology &amp; Assumptions'!$B$6)+(W875*'Methodology &amp; Assumptions'!$B$5)+(X875*'Methodology &amp; Assumptions'!$B$7), 2)</f>
        <v/>
      </c>
    </row>
    <row r="876" ht="19" customHeight="1">
      <c r="A876" s="41" t="n">
        <v>872</v>
      </c>
      <c r="B876" s="41" t="n">
        <v>1872</v>
      </c>
      <c r="C876" s="42" t="inlineStr">
        <is>
          <t>0604527003</t>
        </is>
      </c>
      <c r="D876" s="42" t="inlineStr">
        <is>
          <t>Region VI (Western Visayas)</t>
        </is>
      </c>
      <c r="E876" s="42" t="inlineStr">
        <is>
          <t>Negros Occidental</t>
        </is>
      </c>
      <c r="F876" s="42" t="inlineStr">
        <is>
          <t>City of Sipalay</t>
        </is>
      </c>
      <c r="G876" s="42" t="inlineStr">
        <is>
          <t>Barangay 3</t>
        </is>
      </c>
      <c r="H876" s="43" t="n">
        <v>9.749771000000001</v>
      </c>
      <c r="I876" s="43" t="n">
        <v>122.407509</v>
      </c>
      <c r="J876" s="44" t="inlineStr">
        <is>
          <t>R</t>
        </is>
      </c>
      <c r="K876" s="42" t="inlineStr">
        <is>
          <t>Class 1-3 / Urban</t>
        </is>
      </c>
      <c r="L876" s="23" t="n">
        <v>1872</v>
      </c>
      <c r="M876" s="24" t="n">
        <v>4.33</v>
      </c>
      <c r="N876" s="23">
        <f>ROUND(L876/M876, 0)</f>
        <v/>
      </c>
      <c r="O876" s="23">
        <f>ROUND(N876*'Methodology &amp; Assumptions'!$B$8, 0)</f>
        <v/>
      </c>
      <c r="P876" s="44" t="inlineStr">
        <is>
          <t>Band n50 (1.5 GHz, 60 MHz)</t>
        </is>
      </c>
      <c r="Q876" s="38">
        <f>ROUNDUP(O876/'Methodology &amp; Assumptions'!$B$9, 0)</f>
        <v/>
      </c>
      <c r="R876" s="39" t="n">
        <v>1</v>
      </c>
      <c r="S876" s="25" t="n">
        <v>0.52</v>
      </c>
      <c r="T876" s="25" t="n">
        <v>0.11</v>
      </c>
      <c r="U876" s="42" t="inlineStr">
        <is>
          <t>Tier 1A (Direct Coloc, &lt;1 km)</t>
        </is>
      </c>
      <c r="V876" s="24" t="n">
        <v>94</v>
      </c>
      <c r="W876" s="24" t="n">
        <v>58.7</v>
      </c>
      <c r="X876" s="24" t="n">
        <v>58</v>
      </c>
      <c r="Y876" s="45">
        <f>ROUND((V876*'Methodology &amp; Assumptions'!$B$6)+(W876*'Methodology &amp; Assumptions'!$B$5)+(X876*'Methodology &amp; Assumptions'!$B$7), 2)</f>
        <v/>
      </c>
    </row>
    <row r="877" ht="19" customHeight="1">
      <c r="A877" s="35" t="n">
        <v>873</v>
      </c>
      <c r="B877" s="35" t="n">
        <v>1873</v>
      </c>
      <c r="C877" s="36" t="inlineStr">
        <is>
          <t>0403405035</t>
        </is>
      </c>
      <c r="D877" s="36" t="inlineStr">
        <is>
          <t>Region IV-A (CALABARZON)</t>
        </is>
      </c>
      <c r="E877" s="36" t="inlineStr">
        <is>
          <t>Laguna</t>
        </is>
      </c>
      <c r="F877" s="36" t="inlineStr">
        <is>
          <t>City of Calamba</t>
        </is>
      </c>
      <c r="G877" s="36" t="inlineStr">
        <is>
          <t>Palo-Alto</t>
        </is>
      </c>
      <c r="H877" s="37" t="n">
        <v>14.184594</v>
      </c>
      <c r="I877" s="37" t="n">
        <v>121.108612</v>
      </c>
      <c r="J877" s="8" t="inlineStr">
        <is>
          <t>U</t>
        </is>
      </c>
      <c r="K877" s="36" t="inlineStr">
        <is>
          <t>Class 1-3 / Urban</t>
        </is>
      </c>
      <c r="L877" s="18" t="n">
        <v>18874</v>
      </c>
      <c r="M877" s="20" t="n">
        <v>4.2</v>
      </c>
      <c r="N877" s="18">
        <f>ROUND(L877/M877, 0)</f>
        <v/>
      </c>
      <c r="O877" s="18">
        <f>ROUND(N877*'Methodology &amp; Assumptions'!$B$8, 0)</f>
        <v/>
      </c>
      <c r="P877" s="8" t="inlineStr">
        <is>
          <t>Band n50 (1.5 GHz, 60 MHz)</t>
        </is>
      </c>
      <c r="Q877" s="38">
        <f>ROUNDUP(O877/'Methodology &amp; Assumptions'!$B$9, 0)</f>
        <v/>
      </c>
      <c r="R877" s="39" t="n">
        <v>1</v>
      </c>
      <c r="S877" s="21" t="n">
        <v>1.14</v>
      </c>
      <c r="T877" s="21" t="n">
        <v>0.26</v>
      </c>
      <c r="U877" s="36" t="inlineStr">
        <is>
          <t>Tier 1B (Micro Drop, 1-3 km)</t>
        </is>
      </c>
      <c r="V877" s="20" t="n">
        <v>78.40000000000001</v>
      </c>
      <c r="W877" s="20" t="n">
        <v>100</v>
      </c>
      <c r="X877" s="20" t="n">
        <v>28</v>
      </c>
      <c r="Y877" s="40">
        <f>ROUND((V877*'Methodology &amp; Assumptions'!$B$6)+(W877*'Methodology &amp; Assumptions'!$B$5)+(X877*'Methodology &amp; Assumptions'!$B$7), 2)</f>
        <v/>
      </c>
    </row>
    <row r="878" ht="19" customHeight="1">
      <c r="A878" s="41" t="n">
        <v>874</v>
      </c>
      <c r="B878" s="41" t="n">
        <v>1874</v>
      </c>
      <c r="C878" s="42" t="inlineStr">
        <is>
          <t>0631000026</t>
        </is>
      </c>
      <c r="D878" s="42" t="inlineStr">
        <is>
          <t>Region VI (Western Visayas)</t>
        </is>
      </c>
      <c r="E878" s="42" t="inlineStr">
        <is>
          <t>Iloilo</t>
        </is>
      </c>
      <c r="F878" s="42" t="inlineStr">
        <is>
          <t>City of Iloilo</t>
        </is>
      </c>
      <c r="G878" s="42" t="inlineStr">
        <is>
          <t>Buntatala</t>
        </is>
      </c>
      <c r="H878" s="43" t="n">
        <v>10.776577</v>
      </c>
      <c r="I878" s="43" t="n">
        <v>122.584725</v>
      </c>
      <c r="J878" s="44" t="inlineStr">
        <is>
          <t>U</t>
        </is>
      </c>
      <c r="K878" s="42" t="inlineStr">
        <is>
          <t>Class 1-3 / Urban</t>
        </is>
      </c>
      <c r="L878" s="23" t="n">
        <v>4428</v>
      </c>
      <c r="M878" s="24" t="n">
        <v>4.39</v>
      </c>
      <c r="N878" s="23">
        <f>ROUND(L878/M878, 0)</f>
        <v/>
      </c>
      <c r="O878" s="23">
        <f>ROUND(N878*'Methodology &amp; Assumptions'!$B$8, 0)</f>
        <v/>
      </c>
      <c r="P878" s="44" t="inlineStr">
        <is>
          <t>Band n50 (1.5 GHz, 60 MHz)</t>
        </is>
      </c>
      <c r="Q878" s="38">
        <f>ROUNDUP(O878/'Methodology &amp; Assumptions'!$B$9, 0)</f>
        <v/>
      </c>
      <c r="R878" s="39" t="n">
        <v>1</v>
      </c>
      <c r="S878" s="25" t="n">
        <v>1.14</v>
      </c>
      <c r="T878" s="25" t="n">
        <v>0.09</v>
      </c>
      <c r="U878" s="42" t="inlineStr">
        <is>
          <t>Tier 1B (Micro Drop, 1-3 km)</t>
        </is>
      </c>
      <c r="V878" s="24" t="n">
        <v>78.40000000000001</v>
      </c>
      <c r="W878" s="24" t="n">
        <v>100</v>
      </c>
      <c r="X878" s="24" t="n">
        <v>28</v>
      </c>
      <c r="Y878" s="45">
        <f>ROUND((V878*'Methodology &amp; Assumptions'!$B$6)+(W878*'Methodology &amp; Assumptions'!$B$5)+(X878*'Methodology &amp; Assumptions'!$B$7), 2)</f>
        <v/>
      </c>
    </row>
    <row r="879" ht="19" customHeight="1">
      <c r="A879" s="35" t="n">
        <v>875</v>
      </c>
      <c r="B879" s="35" t="n">
        <v>1875</v>
      </c>
      <c r="C879" s="36" t="inlineStr">
        <is>
          <t>0803726016</t>
        </is>
      </c>
      <c r="D879" s="36" t="inlineStr">
        <is>
          <t>Region VIII (Eastern Visayas)</t>
        </is>
      </c>
      <c r="E879" s="36" t="inlineStr">
        <is>
          <t>Leyte</t>
        </is>
      </c>
      <c r="F879" s="36" t="inlineStr">
        <is>
          <t>Kananga</t>
        </is>
      </c>
      <c r="G879" s="36" t="inlineStr">
        <is>
          <t>Rizal</t>
        </is>
      </c>
      <c r="H879" s="37" t="n">
        <v>11.162058</v>
      </c>
      <c r="I879" s="37" t="n">
        <v>124.560831</v>
      </c>
      <c r="J879" s="8" t="inlineStr">
        <is>
          <t>R</t>
        </is>
      </c>
      <c r="K879" s="36" t="inlineStr">
        <is>
          <t>Class 1-3 / Urban</t>
        </is>
      </c>
      <c r="L879" s="18" t="n">
        <v>4640</v>
      </c>
      <c r="M879" s="20" t="n">
        <v>4.24</v>
      </c>
      <c r="N879" s="18">
        <f>ROUND(L879/M879, 0)</f>
        <v/>
      </c>
      <c r="O879" s="18">
        <f>ROUND(N879*'Methodology &amp; Assumptions'!$B$8, 0)</f>
        <v/>
      </c>
      <c r="P879" s="8" t="inlineStr">
        <is>
          <t>Band n50 (1.5 GHz, 60 MHz)</t>
        </is>
      </c>
      <c r="Q879" s="38">
        <f>ROUNDUP(O879/'Methodology &amp; Assumptions'!$B$9, 0)</f>
        <v/>
      </c>
      <c r="R879" s="39" t="n">
        <v>1</v>
      </c>
      <c r="S879" s="21" t="n">
        <v>2.55</v>
      </c>
      <c r="T879" s="21" t="n">
        <v>0.09</v>
      </c>
      <c r="U879" s="36" t="inlineStr">
        <is>
          <t>Tier 1B (Micro Drop, 1-3 km)</t>
        </is>
      </c>
      <c r="V879" s="20" t="n">
        <v>52.7</v>
      </c>
      <c r="W879" s="20" t="n">
        <v>100</v>
      </c>
      <c r="X879" s="20" t="n">
        <v>58</v>
      </c>
      <c r="Y879" s="40">
        <f>ROUND((V879*'Methodology &amp; Assumptions'!$B$6)+(W879*'Methodology &amp; Assumptions'!$B$5)+(X879*'Methodology &amp; Assumptions'!$B$7), 2)</f>
        <v/>
      </c>
    </row>
    <row r="880" ht="19" customHeight="1">
      <c r="A880" s="41" t="n">
        <v>876</v>
      </c>
      <c r="B880" s="41" t="n">
        <v>1876</v>
      </c>
      <c r="C880" s="42" t="inlineStr">
        <is>
          <t>0405810009</t>
        </is>
      </c>
      <c r="D880" s="42" t="inlineStr">
        <is>
          <t>Region IV-A (CALABARZON)</t>
        </is>
      </c>
      <c r="E880" s="42" t="inlineStr">
        <is>
          <t>Rizal</t>
        </is>
      </c>
      <c r="F880" s="42" t="inlineStr">
        <is>
          <t>Pililla</t>
        </is>
      </c>
      <c r="G880" s="42" t="inlineStr">
        <is>
          <t>Wawa</t>
        </is>
      </c>
      <c r="H880" s="43" t="n">
        <v>14.4776</v>
      </c>
      <c r="I880" s="43" t="n">
        <v>121.30582</v>
      </c>
      <c r="J880" s="44" t="inlineStr">
        <is>
          <t>R</t>
        </is>
      </c>
      <c r="K880" s="42" t="inlineStr">
        <is>
          <t>Class 1-3 / Urban</t>
        </is>
      </c>
      <c r="L880" s="23" t="n">
        <v>4366</v>
      </c>
      <c r="M880" s="24" t="n">
        <v>4.39</v>
      </c>
      <c r="N880" s="23">
        <f>ROUND(L880/M880, 0)</f>
        <v/>
      </c>
      <c r="O880" s="23">
        <f>ROUND(N880*'Methodology &amp; Assumptions'!$B$8, 0)</f>
        <v/>
      </c>
      <c r="P880" s="44" t="inlineStr">
        <is>
          <t>Band n50 (1.5 GHz, 60 MHz)</t>
        </is>
      </c>
      <c r="Q880" s="38">
        <f>ROUNDUP(O880/'Methodology &amp; Assumptions'!$B$9, 0)</f>
        <v/>
      </c>
      <c r="R880" s="39" t="n">
        <v>1</v>
      </c>
      <c r="S880" s="25" t="n">
        <v>2.55</v>
      </c>
      <c r="T880" s="25" t="n">
        <v>0.47</v>
      </c>
      <c r="U880" s="42" t="inlineStr">
        <is>
          <t>Tier 1B (Micro Drop, 1-3 km)</t>
        </is>
      </c>
      <c r="V880" s="24" t="n">
        <v>52.7</v>
      </c>
      <c r="W880" s="24" t="n">
        <v>100</v>
      </c>
      <c r="X880" s="24" t="n">
        <v>58</v>
      </c>
      <c r="Y880" s="45">
        <f>ROUND((V880*'Methodology &amp; Assumptions'!$B$6)+(W880*'Methodology &amp; Assumptions'!$B$5)+(X880*'Methodology &amp; Assumptions'!$B$7), 2)</f>
        <v/>
      </c>
    </row>
    <row r="881" ht="19" customHeight="1">
      <c r="A881" s="35" t="n">
        <v>877</v>
      </c>
      <c r="B881" s="35" t="n">
        <v>1877</v>
      </c>
      <c r="C881" s="36" t="inlineStr">
        <is>
          <t>0203105005</t>
        </is>
      </c>
      <c r="D881" s="36" t="inlineStr">
        <is>
          <t>Region II (Cagayan Valley)</t>
        </is>
      </c>
      <c r="E881" s="36" t="inlineStr">
        <is>
          <t>Isabela</t>
        </is>
      </c>
      <c r="F881" s="36" t="inlineStr">
        <is>
          <t>Burgos</t>
        </is>
      </c>
      <c r="G881" s="36" t="inlineStr">
        <is>
          <t>Catabban</t>
        </is>
      </c>
      <c r="H881" s="37" t="n">
        <v>17.030226</v>
      </c>
      <c r="I881" s="37" t="n">
        <v>121.739846</v>
      </c>
      <c r="J881" s="8" t="inlineStr">
        <is>
          <t>R</t>
        </is>
      </c>
      <c r="K881" s="36" t="inlineStr">
        <is>
          <t>3rd</t>
        </is>
      </c>
      <c r="L881" s="18" t="n">
        <v>1707</v>
      </c>
      <c r="M881" s="20" t="n">
        <v>4.13</v>
      </c>
      <c r="N881" s="18">
        <f>ROUND(L881/M881, 0)</f>
        <v/>
      </c>
      <c r="O881" s="18">
        <f>ROUND(N881*'Methodology &amp; Assumptions'!$B$8, 0)</f>
        <v/>
      </c>
      <c r="P881" s="8" t="inlineStr">
        <is>
          <t>Band n50 (1.5 GHz, 60 MHz)</t>
        </is>
      </c>
      <c r="Q881" s="38">
        <f>ROUNDUP(O881/'Methodology &amp; Assumptions'!$B$9, 0)</f>
        <v/>
      </c>
      <c r="R881" s="39" t="n">
        <v>1</v>
      </c>
      <c r="S881" s="21" t="n">
        <v>0.13</v>
      </c>
      <c r="T881" s="21" t="n">
        <v>4.78</v>
      </c>
      <c r="U881" s="36" t="inlineStr">
        <is>
          <t>Tier 1A (Direct Coloc, &lt;1 km)</t>
        </is>
      </c>
      <c r="V881" s="20" t="n">
        <v>95.59999999999999</v>
      </c>
      <c r="W881" s="20" t="n">
        <v>57.1</v>
      </c>
      <c r="X881" s="20" t="n">
        <v>58</v>
      </c>
      <c r="Y881" s="40">
        <f>ROUND((V881*'Methodology &amp; Assumptions'!$B$6)+(W881*'Methodology &amp; Assumptions'!$B$5)+(X881*'Methodology &amp; Assumptions'!$B$7), 2)</f>
        <v/>
      </c>
    </row>
    <row r="882" ht="19" customHeight="1">
      <c r="A882" s="41" t="n">
        <v>878</v>
      </c>
      <c r="B882" s="41" t="n">
        <v>1878</v>
      </c>
      <c r="C882" s="42" t="inlineStr">
        <is>
          <t>0306902010</t>
        </is>
      </c>
      <c r="D882" s="42" t="inlineStr">
        <is>
          <t>Region III (Central Luzon)</t>
        </is>
      </c>
      <c r="E882" s="42" t="inlineStr">
        <is>
          <t>Tarlac</t>
        </is>
      </c>
      <c r="F882" s="42" t="inlineStr">
        <is>
          <t>Bamban</t>
        </is>
      </c>
      <c r="G882" s="42" t="inlineStr">
        <is>
          <t>San Nicolas</t>
        </is>
      </c>
      <c r="H882" s="43" t="n">
        <v>15.274</v>
      </c>
      <c r="I882" s="43" t="n">
        <v>120.5656</v>
      </c>
      <c r="J882" s="44" t="inlineStr">
        <is>
          <t>U</t>
        </is>
      </c>
      <c r="K882" s="42" t="inlineStr">
        <is>
          <t>Class 1-3 / Urban</t>
        </is>
      </c>
      <c r="L882" s="23" t="n">
        <v>19777</v>
      </c>
      <c r="M882" s="24" t="n">
        <v>4.3</v>
      </c>
      <c r="N882" s="23">
        <f>ROUND(L882/M882, 0)</f>
        <v/>
      </c>
      <c r="O882" s="23">
        <f>ROUND(N882*'Methodology &amp; Assumptions'!$B$8, 0)</f>
        <v/>
      </c>
      <c r="P882" s="44" t="inlineStr">
        <is>
          <t>Band n50 (1.5 GHz, 60 MHz)</t>
        </is>
      </c>
      <c r="Q882" s="38">
        <f>ROUNDUP(O882/'Methodology &amp; Assumptions'!$B$9, 0)</f>
        <v/>
      </c>
      <c r="R882" s="39" t="n">
        <v>1</v>
      </c>
      <c r="S882" s="25" t="n">
        <v>1.14</v>
      </c>
      <c r="T882" s="25" t="n">
        <v>0.29</v>
      </c>
      <c r="U882" s="42" t="inlineStr">
        <is>
          <t>Tier 1B (Micro Drop, 1-3 km)</t>
        </is>
      </c>
      <c r="V882" s="24" t="n">
        <v>78.40000000000001</v>
      </c>
      <c r="W882" s="24" t="n">
        <v>100</v>
      </c>
      <c r="X882" s="24" t="n">
        <v>28</v>
      </c>
      <c r="Y882" s="45">
        <f>ROUND((V882*'Methodology &amp; Assumptions'!$B$6)+(W882*'Methodology &amp; Assumptions'!$B$5)+(X882*'Methodology &amp; Assumptions'!$B$7), 2)</f>
        <v/>
      </c>
    </row>
    <row r="883" ht="19" customHeight="1">
      <c r="A883" s="35" t="n">
        <v>879</v>
      </c>
      <c r="B883" s="35" t="n">
        <v>1879</v>
      </c>
      <c r="C883" s="36" t="inlineStr">
        <is>
          <t>0702206017</t>
        </is>
      </c>
      <c r="D883" s="36" t="inlineStr">
        <is>
          <t>Region VII (Central Visayas)</t>
        </is>
      </c>
      <c r="E883" s="36" t="inlineStr">
        <is>
          <t>Cebu</t>
        </is>
      </c>
      <c r="F883" s="36" t="inlineStr">
        <is>
          <t>Asturias</t>
        </is>
      </c>
      <c r="G883" s="36" t="inlineStr">
        <is>
          <t>Owak</t>
        </is>
      </c>
      <c r="H883" s="37" t="n">
        <v>10.54168</v>
      </c>
      <c r="I883" s="37" t="n">
        <v>123.716499</v>
      </c>
      <c r="J883" s="8" t="inlineStr">
        <is>
          <t>R</t>
        </is>
      </c>
      <c r="K883" s="36" t="inlineStr">
        <is>
          <t>Class 1-3 / Urban</t>
        </is>
      </c>
      <c r="L883" s="18" t="n">
        <v>4891</v>
      </c>
      <c r="M883" s="20" t="n">
        <v>4.42</v>
      </c>
      <c r="N883" s="18">
        <f>ROUND(L883/M883, 0)</f>
        <v/>
      </c>
      <c r="O883" s="18">
        <f>ROUND(N883*'Methodology &amp; Assumptions'!$B$8, 0)</f>
        <v/>
      </c>
      <c r="P883" s="8" t="inlineStr">
        <is>
          <t>Band n50 (1.5 GHz, 60 MHz)</t>
        </is>
      </c>
      <c r="Q883" s="38">
        <f>ROUNDUP(O883/'Methodology &amp; Assumptions'!$B$9, 0)</f>
        <v/>
      </c>
      <c r="R883" s="39" t="n">
        <v>1</v>
      </c>
      <c r="S883" s="21" t="n">
        <v>3.63</v>
      </c>
      <c r="T883" s="21" t="n">
        <v>0.28</v>
      </c>
      <c r="U883" s="36" t="inlineStr">
        <is>
          <t>Tier 2 (Fiber Corridor / Lateral, 3-5 km)</t>
        </is>
      </c>
      <c r="V883" s="20" t="n">
        <v>39.8</v>
      </c>
      <c r="W883" s="20" t="n">
        <v>100</v>
      </c>
      <c r="X883" s="20" t="n">
        <v>73</v>
      </c>
      <c r="Y883" s="40">
        <f>ROUND((V883*'Methodology &amp; Assumptions'!$B$6)+(W883*'Methodology &amp; Assumptions'!$B$5)+(X883*'Methodology &amp; Assumptions'!$B$7), 2)</f>
        <v/>
      </c>
    </row>
    <row r="884" ht="19" customHeight="1">
      <c r="A884" s="41" t="n">
        <v>880</v>
      </c>
      <c r="B884" s="41" t="n">
        <v>1880</v>
      </c>
      <c r="C884" s="42" t="inlineStr">
        <is>
          <t>0330100006</t>
        </is>
      </c>
      <c r="D884" s="42" t="inlineStr">
        <is>
          <t>Region III (Central Luzon)</t>
        </is>
      </c>
      <c r="E884" s="42" t="inlineStr">
        <is>
          <t>Pampanga</t>
        </is>
      </c>
      <c r="F884" s="42" t="inlineStr">
        <is>
          <t>City of Angeles</t>
        </is>
      </c>
      <c r="G884" s="42" t="inlineStr">
        <is>
          <t>Cuayan</t>
        </is>
      </c>
      <c r="H884" s="43" t="n">
        <v>15.145816</v>
      </c>
      <c r="I884" s="43" t="n">
        <v>120.54819</v>
      </c>
      <c r="J884" s="44" t="inlineStr">
        <is>
          <t>U</t>
        </is>
      </c>
      <c r="K884" s="42" t="inlineStr">
        <is>
          <t>Class 1-3 / Urban</t>
        </is>
      </c>
      <c r="L884" s="23" t="n">
        <v>15046</v>
      </c>
      <c r="M884" s="24" t="n">
        <v>4.63</v>
      </c>
      <c r="N884" s="23">
        <f>ROUND(L884/M884, 0)</f>
        <v/>
      </c>
      <c r="O884" s="23">
        <f>ROUND(N884*'Methodology &amp; Assumptions'!$B$8, 0)</f>
        <v/>
      </c>
      <c r="P884" s="44" t="inlineStr">
        <is>
          <t>Band n50 (1.5 GHz, 60 MHz)</t>
        </is>
      </c>
      <c r="Q884" s="38">
        <f>ROUNDUP(O884/'Methodology &amp; Assumptions'!$B$9, 0)</f>
        <v/>
      </c>
      <c r="R884" s="39" t="n">
        <v>1</v>
      </c>
      <c r="S884" s="25" t="n">
        <v>1.14</v>
      </c>
      <c r="T884" s="25" t="n">
        <v>1.2</v>
      </c>
      <c r="U884" s="42" t="inlineStr">
        <is>
          <t>Tier 1B (Micro Drop, 1-3 km)</t>
        </is>
      </c>
      <c r="V884" s="24" t="n">
        <v>78.40000000000001</v>
      </c>
      <c r="W884" s="24" t="n">
        <v>100</v>
      </c>
      <c r="X884" s="24" t="n">
        <v>28</v>
      </c>
      <c r="Y884" s="45">
        <f>ROUND((V884*'Methodology &amp; Assumptions'!$B$6)+(W884*'Methodology &amp; Assumptions'!$B$5)+(X884*'Methodology &amp; Assumptions'!$B$7), 2)</f>
        <v/>
      </c>
    </row>
    <row r="885" ht="19" customHeight="1">
      <c r="A885" s="35" t="n">
        <v>881</v>
      </c>
      <c r="B885" s="35" t="n">
        <v>1881</v>
      </c>
      <c r="C885" s="36" t="inlineStr">
        <is>
          <t>0401005034</t>
        </is>
      </c>
      <c r="D885" s="36" t="inlineStr">
        <is>
          <t>Region IV-A (CALABARZON)</t>
        </is>
      </c>
      <c r="E885" s="36" t="inlineStr">
        <is>
          <t>Batangas</t>
        </is>
      </c>
      <c r="F885" s="36" t="inlineStr">
        <is>
          <t>Batangas City</t>
        </is>
      </c>
      <c r="G885" s="36" t="inlineStr">
        <is>
          <t>Kumintang Ibaba</t>
        </is>
      </c>
      <c r="H885" s="37" t="n">
        <v>13.765711</v>
      </c>
      <c r="I885" s="37" t="n">
        <v>121.066829</v>
      </c>
      <c r="J885" s="8" t="inlineStr">
        <is>
          <t>U</t>
        </is>
      </c>
      <c r="K885" s="36" t="inlineStr">
        <is>
          <t>Class 1-3 / Urban</t>
        </is>
      </c>
      <c r="L885" s="18" t="n">
        <v>9162</v>
      </c>
      <c r="M885" s="20" t="n">
        <v>4.62</v>
      </c>
      <c r="N885" s="18">
        <f>ROUND(L885/M885, 0)</f>
        <v/>
      </c>
      <c r="O885" s="18">
        <f>ROUND(N885*'Methodology &amp; Assumptions'!$B$8, 0)</f>
        <v/>
      </c>
      <c r="P885" s="8" t="inlineStr">
        <is>
          <t>Band n50 (1.5 GHz, 60 MHz)</t>
        </is>
      </c>
      <c r="Q885" s="38">
        <f>ROUNDUP(O885/'Methodology &amp; Assumptions'!$B$9, 0)</f>
        <v/>
      </c>
      <c r="R885" s="39" t="n">
        <v>1</v>
      </c>
      <c r="S885" s="21" t="n">
        <v>1.14</v>
      </c>
      <c r="T885" s="21" t="n">
        <v>0.23</v>
      </c>
      <c r="U885" s="36" t="inlineStr">
        <is>
          <t>Tier 1B (Micro Drop, 1-3 km)</t>
        </is>
      </c>
      <c r="V885" s="20" t="n">
        <v>78.40000000000001</v>
      </c>
      <c r="W885" s="20" t="n">
        <v>100</v>
      </c>
      <c r="X885" s="20" t="n">
        <v>28</v>
      </c>
      <c r="Y885" s="40">
        <f>ROUND((V885*'Methodology &amp; Assumptions'!$B$6)+(W885*'Methodology &amp; Assumptions'!$B$5)+(X885*'Methodology &amp; Assumptions'!$B$7), 2)</f>
        <v/>
      </c>
    </row>
    <row r="886" ht="19" customHeight="1">
      <c r="A886" s="41" t="n">
        <v>882</v>
      </c>
      <c r="B886" s="41" t="n">
        <v>1882</v>
      </c>
      <c r="C886" s="42" t="inlineStr">
        <is>
          <t>0305408025</t>
        </is>
      </c>
      <c r="D886" s="42" t="inlineStr">
        <is>
          <t>Region III (Central Luzon)</t>
        </is>
      </c>
      <c r="E886" s="42" t="inlineStr">
        <is>
          <t>Pampanga</t>
        </is>
      </c>
      <c r="F886" s="42" t="inlineStr">
        <is>
          <t>Lubao</t>
        </is>
      </c>
      <c r="G886" s="42" t="inlineStr">
        <is>
          <t>San Pablo 2nd</t>
        </is>
      </c>
      <c r="H886" s="43" t="n">
        <v>14.92034</v>
      </c>
      <c r="I886" s="43" t="n">
        <v>120.5395</v>
      </c>
      <c r="J886" s="44" t="inlineStr">
        <is>
          <t>R</t>
        </is>
      </c>
      <c r="K886" s="42" t="inlineStr">
        <is>
          <t>Class 1-3 / Urban</t>
        </is>
      </c>
      <c r="L886" s="23" t="n">
        <v>4340</v>
      </c>
      <c r="M886" s="24" t="n">
        <v>4.63</v>
      </c>
      <c r="N886" s="23">
        <f>ROUND(L886/M886, 0)</f>
        <v/>
      </c>
      <c r="O886" s="23">
        <f>ROUND(N886*'Methodology &amp; Assumptions'!$B$8, 0)</f>
        <v/>
      </c>
      <c r="P886" s="44" t="inlineStr">
        <is>
          <t>Band n50 (1.5 GHz, 60 MHz)</t>
        </is>
      </c>
      <c r="Q886" s="38">
        <f>ROUNDUP(O886/'Methodology &amp; Assumptions'!$B$9, 0)</f>
        <v/>
      </c>
      <c r="R886" s="39" t="n">
        <v>1</v>
      </c>
      <c r="S886" s="25" t="n">
        <v>1.87</v>
      </c>
      <c r="T886" s="25" t="n">
        <v>2.28</v>
      </c>
      <c r="U886" s="42" t="inlineStr">
        <is>
          <t>Tier 1B (Micro Drop, 1-3 km)</t>
        </is>
      </c>
      <c r="V886" s="24" t="n">
        <v>53.7</v>
      </c>
      <c r="W886" s="24" t="n">
        <v>98.90000000000001</v>
      </c>
      <c r="X886" s="24" t="n">
        <v>58</v>
      </c>
      <c r="Y886" s="45">
        <f>ROUND((V886*'Methodology &amp; Assumptions'!$B$6)+(W886*'Methodology &amp; Assumptions'!$B$5)+(X886*'Methodology &amp; Assumptions'!$B$7), 2)</f>
        <v/>
      </c>
    </row>
    <row r="887" ht="19" customHeight="1">
      <c r="A887" s="35" t="n">
        <v>883</v>
      </c>
      <c r="B887" s="35" t="n">
        <v>1883</v>
      </c>
      <c r="C887" s="36" t="inlineStr">
        <is>
          <t>0203137031</t>
        </is>
      </c>
      <c r="D887" s="36" t="inlineStr">
        <is>
          <t>Region II (Cagayan Valley)</t>
        </is>
      </c>
      <c r="E887" s="36" t="inlineStr">
        <is>
          <t>Isabela</t>
        </is>
      </c>
      <c r="F887" s="36" t="inlineStr">
        <is>
          <t>Tumauini</t>
        </is>
      </c>
      <c r="G887" s="36" t="inlineStr">
        <is>
          <t>Maligaya</t>
        </is>
      </c>
      <c r="H887" s="37" t="n">
        <v>17.275087</v>
      </c>
      <c r="I887" s="37" t="n">
        <v>121.823522</v>
      </c>
      <c r="J887" s="8" t="inlineStr">
        <is>
          <t>R</t>
        </is>
      </c>
      <c r="K887" s="36" t="inlineStr">
        <is>
          <t>Class 1-3 / Urban</t>
        </is>
      </c>
      <c r="L887" s="18" t="n">
        <v>2409</v>
      </c>
      <c r="M887" s="20" t="n">
        <v>4.3</v>
      </c>
      <c r="N887" s="18">
        <f>ROUND(L887/M887, 0)</f>
        <v/>
      </c>
      <c r="O887" s="18">
        <f>ROUND(N887*'Methodology &amp; Assumptions'!$B$8, 0)</f>
        <v/>
      </c>
      <c r="P887" s="8" t="inlineStr">
        <is>
          <t>Band n50 (1.5 GHz, 60 MHz)</t>
        </is>
      </c>
      <c r="Q887" s="38">
        <f>ROUNDUP(O887/'Methodology &amp; Assumptions'!$B$9, 0)</f>
        <v/>
      </c>
      <c r="R887" s="39" t="n">
        <v>1</v>
      </c>
      <c r="S887" s="21" t="n">
        <v>0.91</v>
      </c>
      <c r="T887" s="21" t="n">
        <v>0.24</v>
      </c>
      <c r="U887" s="36" t="inlineStr">
        <is>
          <t>Tier 1A (Direct Coloc, &lt;1 km)</t>
        </is>
      </c>
      <c r="V887" s="20" t="n">
        <v>83.8</v>
      </c>
      <c r="W887" s="20" t="n">
        <v>68.8</v>
      </c>
      <c r="X887" s="20" t="n">
        <v>58</v>
      </c>
      <c r="Y887" s="40">
        <f>ROUND((V887*'Methodology &amp; Assumptions'!$B$6)+(W887*'Methodology &amp; Assumptions'!$B$5)+(X887*'Methodology &amp; Assumptions'!$B$7), 2)</f>
        <v/>
      </c>
    </row>
    <row r="888" ht="19" customHeight="1">
      <c r="A888" s="41" t="n">
        <v>884</v>
      </c>
      <c r="B888" s="41" t="n">
        <v>1884</v>
      </c>
      <c r="C888" s="42" t="inlineStr">
        <is>
          <t>0731300026</t>
        </is>
      </c>
      <c r="D888" s="42" t="inlineStr">
        <is>
          <t>Region VII (Central Visayas)</t>
        </is>
      </c>
      <c r="E888" s="42" t="inlineStr">
        <is>
          <t>Cebu</t>
        </is>
      </c>
      <c r="F888" s="42" t="inlineStr">
        <is>
          <t>City of Mandaue</t>
        </is>
      </c>
      <c r="G888" s="42" t="inlineStr">
        <is>
          <t>Tipolo</t>
        </is>
      </c>
      <c r="H888" s="43" t="n">
        <v>10.331564</v>
      </c>
      <c r="I888" s="43" t="n">
        <v>123.92971</v>
      </c>
      <c r="J888" s="44" t="inlineStr">
        <is>
          <t>U</t>
        </is>
      </c>
      <c r="K888" s="42" t="inlineStr">
        <is>
          <t>Class 1-3 / Urban</t>
        </is>
      </c>
      <c r="L888" s="23" t="n">
        <v>15790</v>
      </c>
      <c r="M888" s="24" t="n">
        <v>4.42</v>
      </c>
      <c r="N888" s="23">
        <f>ROUND(L888/M888, 0)</f>
        <v/>
      </c>
      <c r="O888" s="23">
        <f>ROUND(N888*'Methodology &amp; Assumptions'!$B$8, 0)</f>
        <v/>
      </c>
      <c r="P888" s="44" t="inlineStr">
        <is>
          <t>Band n50 (1.5 GHz, 60 MHz)</t>
        </is>
      </c>
      <c r="Q888" s="38">
        <f>ROUNDUP(O888/'Methodology &amp; Assumptions'!$B$9, 0)</f>
        <v/>
      </c>
      <c r="R888" s="39" t="n">
        <v>1</v>
      </c>
      <c r="S888" s="25" t="n">
        <v>1.14</v>
      </c>
      <c r="T888" s="25" t="n">
        <v>0.37</v>
      </c>
      <c r="U888" s="42" t="inlineStr">
        <is>
          <t>Tier 1B (Micro Drop, 1-3 km)</t>
        </is>
      </c>
      <c r="V888" s="24" t="n">
        <v>78.3</v>
      </c>
      <c r="W888" s="24" t="n">
        <v>100</v>
      </c>
      <c r="X888" s="24" t="n">
        <v>28</v>
      </c>
      <c r="Y888" s="45">
        <f>ROUND((V888*'Methodology &amp; Assumptions'!$B$6)+(W888*'Methodology &amp; Assumptions'!$B$5)+(X888*'Methodology &amp; Assumptions'!$B$7), 2)</f>
        <v/>
      </c>
    </row>
    <row r="889" ht="19" customHeight="1">
      <c r="A889" s="35" t="n">
        <v>885</v>
      </c>
      <c r="B889" s="35" t="n">
        <v>1885</v>
      </c>
      <c r="C889" s="36" t="inlineStr">
        <is>
          <t>0604524006</t>
        </is>
      </c>
      <c r="D889" s="36" t="inlineStr">
        <is>
          <t>Region VI (Western Visayas)</t>
        </is>
      </c>
      <c r="E889" s="36" t="inlineStr">
        <is>
          <t>Negros Occidental</t>
        </is>
      </c>
      <c r="F889" s="36" t="inlineStr">
        <is>
          <t>City of San Carlos</t>
        </is>
      </c>
      <c r="G889" s="36" t="inlineStr">
        <is>
          <t>Guadalupe</t>
        </is>
      </c>
      <c r="H889" s="37" t="n">
        <v>10.487145</v>
      </c>
      <c r="I889" s="37" t="n">
        <v>123.414064</v>
      </c>
      <c r="J889" s="8" t="inlineStr">
        <is>
          <t>U</t>
        </is>
      </c>
      <c r="K889" s="36" t="inlineStr">
        <is>
          <t>Class 1-3 / Urban</t>
        </is>
      </c>
      <c r="L889" s="18" t="n">
        <v>10746</v>
      </c>
      <c r="M889" s="20" t="n">
        <v>4.33</v>
      </c>
      <c r="N889" s="18">
        <f>ROUND(L889/M889, 0)</f>
        <v/>
      </c>
      <c r="O889" s="18">
        <f>ROUND(N889*'Methodology &amp; Assumptions'!$B$8, 0)</f>
        <v/>
      </c>
      <c r="P889" s="8" t="inlineStr">
        <is>
          <t>Band n50 (1.5 GHz, 60 MHz)</t>
        </is>
      </c>
      <c r="Q889" s="38">
        <f>ROUNDUP(O889/'Methodology &amp; Assumptions'!$B$9, 0)</f>
        <v/>
      </c>
      <c r="R889" s="39" t="n">
        <v>1</v>
      </c>
      <c r="S889" s="21" t="n">
        <v>1.14</v>
      </c>
      <c r="T889" s="21" t="n">
        <v>0.35</v>
      </c>
      <c r="U889" s="36" t="inlineStr">
        <is>
          <t>Tier 1B (Micro Drop, 1-3 km)</t>
        </is>
      </c>
      <c r="V889" s="20" t="n">
        <v>78.3</v>
      </c>
      <c r="W889" s="20" t="n">
        <v>100</v>
      </c>
      <c r="X889" s="20" t="n">
        <v>28</v>
      </c>
      <c r="Y889" s="40">
        <f>ROUND((V889*'Methodology &amp; Assumptions'!$B$6)+(W889*'Methodology &amp; Assumptions'!$B$5)+(X889*'Methodology &amp; Assumptions'!$B$7), 2)</f>
        <v/>
      </c>
    </row>
    <row r="890" ht="19" customHeight="1">
      <c r="A890" s="41" t="n">
        <v>886</v>
      </c>
      <c r="B890" s="41" t="n">
        <v>1886</v>
      </c>
      <c r="C890" s="42" t="inlineStr">
        <is>
          <t>0301421020</t>
        </is>
      </c>
      <c r="D890" s="42" t="inlineStr">
        <is>
          <t>Region III (Central Luzon)</t>
        </is>
      </c>
      <c r="E890" s="42" t="inlineStr">
        <is>
          <t>Bulacan</t>
        </is>
      </c>
      <c r="F890" s="42" t="inlineStr">
        <is>
          <t>San Miguel</t>
        </is>
      </c>
      <c r="G890" s="42" t="inlineStr">
        <is>
          <t>Camias</t>
        </is>
      </c>
      <c r="H890" s="43" t="n">
        <v>15.164729</v>
      </c>
      <c r="I890" s="43" t="n">
        <v>120.974037</v>
      </c>
      <c r="J890" s="44" t="inlineStr">
        <is>
          <t>U</t>
        </is>
      </c>
      <c r="K890" s="42" t="inlineStr">
        <is>
          <t>Class 1-3 / Urban</t>
        </is>
      </c>
      <c r="L890" s="23" t="n">
        <v>8555</v>
      </c>
      <c r="M890" s="24" t="n">
        <v>4.1</v>
      </c>
      <c r="N890" s="23">
        <f>ROUND(L890/M890, 0)</f>
        <v/>
      </c>
      <c r="O890" s="23">
        <f>ROUND(N890*'Methodology &amp; Assumptions'!$B$8, 0)</f>
        <v/>
      </c>
      <c r="P890" s="44" t="inlineStr">
        <is>
          <t>Band n50 (1.5 GHz, 60 MHz)</t>
        </is>
      </c>
      <c r="Q890" s="38">
        <f>ROUNDUP(O890/'Methodology &amp; Assumptions'!$B$9, 0)</f>
        <v/>
      </c>
      <c r="R890" s="39" t="n">
        <v>1</v>
      </c>
      <c r="S890" s="25" t="n">
        <v>1.14</v>
      </c>
      <c r="T890" s="25" t="n">
        <v>0.29</v>
      </c>
      <c r="U890" s="42" t="inlineStr">
        <is>
          <t>Tier 1B (Micro Drop, 1-3 km)</t>
        </is>
      </c>
      <c r="V890" s="24" t="n">
        <v>78.3</v>
      </c>
      <c r="W890" s="24" t="n">
        <v>100</v>
      </c>
      <c r="X890" s="24" t="n">
        <v>28</v>
      </c>
      <c r="Y890" s="45">
        <f>ROUND((V890*'Methodology &amp; Assumptions'!$B$6)+(W890*'Methodology &amp; Assumptions'!$B$5)+(X890*'Methodology &amp; Assumptions'!$B$7), 2)</f>
        <v/>
      </c>
    </row>
    <row r="891" ht="19" customHeight="1">
      <c r="A891" s="35" t="n">
        <v>887</v>
      </c>
      <c r="B891" s="35" t="n">
        <v>1887</v>
      </c>
      <c r="C891" s="36" t="inlineStr">
        <is>
          <t>1004309007</t>
        </is>
      </c>
      <c r="D891" s="36" t="inlineStr">
        <is>
          <t>Region X (Northern Mindanao)</t>
        </is>
      </c>
      <c r="E891" s="36" t="inlineStr">
        <is>
          <t>Misamis Oriental</t>
        </is>
      </c>
      <c r="F891" s="36" t="inlineStr">
        <is>
          <t>Gitagum</t>
        </is>
      </c>
      <c r="G891" s="36" t="inlineStr">
        <is>
          <t>Matangad</t>
        </is>
      </c>
      <c r="H891" s="37" t="n">
        <v>8.576359</v>
      </c>
      <c r="I891" s="37" t="n">
        <v>124.371082</v>
      </c>
      <c r="J891" s="8" t="inlineStr">
        <is>
          <t>R</t>
        </is>
      </c>
      <c r="K891" s="36" t="inlineStr">
        <is>
          <t>2nd</t>
        </is>
      </c>
      <c r="L891" s="18" t="n">
        <v>4021</v>
      </c>
      <c r="M891" s="20" t="n">
        <v>4.2</v>
      </c>
      <c r="N891" s="18">
        <f>ROUND(L891/M891, 0)</f>
        <v/>
      </c>
      <c r="O891" s="18">
        <f>ROUND(N891*'Methodology &amp; Assumptions'!$B$8, 0)</f>
        <v/>
      </c>
      <c r="P891" s="8" t="inlineStr">
        <is>
          <t>Band n50 (1.5 GHz, 60 MHz)</t>
        </is>
      </c>
      <c r="Q891" s="38">
        <f>ROUNDUP(O891/'Methodology &amp; Assumptions'!$B$9, 0)</f>
        <v/>
      </c>
      <c r="R891" s="39" t="n">
        <v>1</v>
      </c>
      <c r="S891" s="21" t="n">
        <v>2.56</v>
      </c>
      <c r="T891" s="21" t="n">
        <v>0.06</v>
      </c>
      <c r="U891" s="36" t="inlineStr">
        <is>
          <t>Tier 1B (Micro Drop, 1-3 km)</t>
        </is>
      </c>
      <c r="V891" s="20" t="n">
        <v>52.6</v>
      </c>
      <c r="W891" s="20" t="n">
        <v>100</v>
      </c>
      <c r="X891" s="20" t="n">
        <v>58</v>
      </c>
      <c r="Y891" s="40">
        <f>ROUND((V891*'Methodology &amp; Assumptions'!$B$6)+(W891*'Methodology &amp; Assumptions'!$B$5)+(X891*'Methodology &amp; Assumptions'!$B$7), 2)</f>
        <v/>
      </c>
    </row>
    <row r="892" ht="19" customHeight="1">
      <c r="A892" s="41" t="n">
        <v>888</v>
      </c>
      <c r="B892" s="41" t="n">
        <v>1888</v>
      </c>
      <c r="C892" s="42" t="inlineStr">
        <is>
          <t>0702218011</t>
        </is>
      </c>
      <c r="D892" s="42" t="inlineStr">
        <is>
          <t>Region VII (Central Visayas)</t>
        </is>
      </c>
      <c r="E892" s="42" t="inlineStr">
        <is>
          <t>Cebu</t>
        </is>
      </c>
      <c r="F892" s="42" t="inlineStr">
        <is>
          <t>Compostela</t>
        </is>
      </c>
      <c r="G892" s="42" t="inlineStr">
        <is>
          <t>Magay</t>
        </is>
      </c>
      <c r="H892" s="43" t="n">
        <v>10.4704</v>
      </c>
      <c r="I892" s="43" t="n">
        <v>124.01634</v>
      </c>
      <c r="J892" s="44" t="inlineStr">
        <is>
          <t>R</t>
        </is>
      </c>
      <c r="K892" s="42" t="inlineStr">
        <is>
          <t>Class 1-3 / Urban</t>
        </is>
      </c>
      <c r="L892" s="23" t="n">
        <v>3792</v>
      </c>
      <c r="M892" s="24" t="n">
        <v>4.42</v>
      </c>
      <c r="N892" s="23">
        <f>ROUND(L892/M892, 0)</f>
        <v/>
      </c>
      <c r="O892" s="23">
        <f>ROUND(N892*'Methodology &amp; Assumptions'!$B$8, 0)</f>
        <v/>
      </c>
      <c r="P892" s="44" t="inlineStr">
        <is>
          <t>Band n50 (1.5 GHz, 60 MHz)</t>
        </is>
      </c>
      <c r="Q892" s="38">
        <f>ROUNDUP(O892/'Methodology &amp; Assumptions'!$B$9, 0)</f>
        <v/>
      </c>
      <c r="R892" s="39" t="n">
        <v>1</v>
      </c>
      <c r="S892" s="25" t="n">
        <v>2.08</v>
      </c>
      <c r="T892" s="25" t="n">
        <v>0.24</v>
      </c>
      <c r="U892" s="42" t="inlineStr">
        <is>
          <t>Tier 1B (Micro Drop, 1-3 km)</t>
        </is>
      </c>
      <c r="V892" s="24" t="n">
        <v>60.1</v>
      </c>
      <c r="W892" s="24" t="n">
        <v>92.5</v>
      </c>
      <c r="X892" s="24" t="n">
        <v>58</v>
      </c>
      <c r="Y892" s="45">
        <f>ROUND((V892*'Methodology &amp; Assumptions'!$B$6)+(W892*'Methodology &amp; Assumptions'!$B$5)+(X892*'Methodology &amp; Assumptions'!$B$7), 2)</f>
        <v/>
      </c>
    </row>
    <row r="893" ht="19" customHeight="1">
      <c r="A893" s="35" t="n">
        <v>889</v>
      </c>
      <c r="B893" s="35" t="n">
        <v>1889</v>
      </c>
      <c r="C893" s="36" t="inlineStr">
        <is>
          <t>0203105007</t>
        </is>
      </c>
      <c r="D893" s="36" t="inlineStr">
        <is>
          <t>Region II (Cagayan Valley)</t>
        </is>
      </c>
      <c r="E893" s="36" t="inlineStr">
        <is>
          <t>Isabela</t>
        </is>
      </c>
      <c r="F893" s="36" t="inlineStr">
        <is>
          <t>Burgos</t>
        </is>
      </c>
      <c r="G893" s="36" t="inlineStr">
        <is>
          <t>Cullalabo San Antonio</t>
        </is>
      </c>
      <c r="H893" s="37" t="n">
        <v>17.077935</v>
      </c>
      <c r="I893" s="37" t="n">
        <v>121.716696</v>
      </c>
      <c r="J893" s="8" t="inlineStr">
        <is>
          <t>R</t>
        </is>
      </c>
      <c r="K893" s="36" t="inlineStr">
        <is>
          <t>3rd</t>
        </is>
      </c>
      <c r="L893" s="18" t="n">
        <v>3391</v>
      </c>
      <c r="M893" s="20" t="n">
        <v>4.13</v>
      </c>
      <c r="N893" s="18">
        <f>ROUND(L893/M893, 0)</f>
        <v/>
      </c>
      <c r="O893" s="18">
        <f>ROUND(N893*'Methodology &amp; Assumptions'!$B$8, 0)</f>
        <v/>
      </c>
      <c r="P893" s="8" t="inlineStr">
        <is>
          <t>Band n50 (1.5 GHz, 60 MHz)</t>
        </is>
      </c>
      <c r="Q893" s="38">
        <f>ROUNDUP(O893/'Methodology &amp; Assumptions'!$B$9, 0)</f>
        <v/>
      </c>
      <c r="R893" s="39" t="n">
        <v>1</v>
      </c>
      <c r="S893" s="21" t="n">
        <v>1.9</v>
      </c>
      <c r="T893" s="21" t="n">
        <v>1.05</v>
      </c>
      <c r="U893" s="36" t="inlineStr">
        <is>
          <t>Tier 1B (Micro Drop, 1-3 km)</t>
        </is>
      </c>
      <c r="V893" s="20" t="n">
        <v>63</v>
      </c>
      <c r="W893" s="20" t="n">
        <v>89.59999999999999</v>
      </c>
      <c r="X893" s="20" t="n">
        <v>58</v>
      </c>
      <c r="Y893" s="40">
        <f>ROUND((V893*'Methodology &amp; Assumptions'!$B$6)+(W893*'Methodology &amp; Assumptions'!$B$5)+(X893*'Methodology &amp; Assumptions'!$B$7), 2)</f>
        <v/>
      </c>
    </row>
    <row r="894" ht="19" customHeight="1">
      <c r="A894" s="41" t="n">
        <v>890</v>
      </c>
      <c r="B894" s="41" t="n">
        <v>1890</v>
      </c>
      <c r="C894" s="42" t="inlineStr">
        <is>
          <t>0307114022</t>
        </is>
      </c>
      <c r="D894" s="42" t="inlineStr">
        <is>
          <t>Region III (Central Luzon)</t>
        </is>
      </c>
      <c r="E894" s="42" t="inlineStr">
        <is>
          <t>Zambales</t>
        </is>
      </c>
      <c r="F894" s="42" t="inlineStr">
        <is>
          <t>Subic</t>
        </is>
      </c>
      <c r="G894" s="42" t="inlineStr">
        <is>
          <t>Santo Tomas</t>
        </is>
      </c>
      <c r="H894" s="43" t="n">
        <v>14.85564</v>
      </c>
      <c r="I894" s="43" t="n">
        <v>120.2557</v>
      </c>
      <c r="J894" s="44" t="inlineStr">
        <is>
          <t>U</t>
        </is>
      </c>
      <c r="K894" s="42" t="inlineStr">
        <is>
          <t>Class 1-3 / Urban</t>
        </is>
      </c>
      <c r="L894" s="23" t="n">
        <v>5427</v>
      </c>
      <c r="M894" s="24" t="n">
        <v>4.05</v>
      </c>
      <c r="N894" s="23">
        <f>ROUND(L894/M894, 0)</f>
        <v/>
      </c>
      <c r="O894" s="23">
        <f>ROUND(N894*'Methodology &amp; Assumptions'!$B$8, 0)</f>
        <v/>
      </c>
      <c r="P894" s="44" t="inlineStr">
        <is>
          <t>Band n50 (1.5 GHz, 60 MHz)</t>
        </is>
      </c>
      <c r="Q894" s="38">
        <f>ROUNDUP(O894/'Methodology &amp; Assumptions'!$B$9, 0)</f>
        <v/>
      </c>
      <c r="R894" s="39" t="n">
        <v>1</v>
      </c>
      <c r="S894" s="25" t="n">
        <v>1.77</v>
      </c>
      <c r="T894" s="25" t="n">
        <v>0.43</v>
      </c>
      <c r="U894" s="42" t="inlineStr">
        <is>
          <t>Tier 1B (Micro Drop, 1-3 km)</t>
        </is>
      </c>
      <c r="V894" s="24" t="n">
        <v>65.5</v>
      </c>
      <c r="W894" s="24" t="n">
        <v>100</v>
      </c>
      <c r="X894" s="24" t="n">
        <v>43</v>
      </c>
      <c r="Y894" s="45">
        <f>ROUND((V894*'Methodology &amp; Assumptions'!$B$6)+(W894*'Methodology &amp; Assumptions'!$B$5)+(X894*'Methodology &amp; Assumptions'!$B$7), 2)</f>
        <v/>
      </c>
    </row>
    <row r="895" ht="19" customHeight="1">
      <c r="A895" s="35" t="n">
        <v>891</v>
      </c>
      <c r="B895" s="35" t="n">
        <v>1891</v>
      </c>
      <c r="C895" s="36" t="inlineStr">
        <is>
          <t>0403403025</t>
        </is>
      </c>
      <c r="D895" s="36" t="inlineStr">
        <is>
          <t>Region IV-A (CALABARZON)</t>
        </is>
      </c>
      <c r="E895" s="36" t="inlineStr">
        <is>
          <t>Laguna</t>
        </is>
      </c>
      <c r="F895" s="36" t="inlineStr">
        <is>
          <t>City of Biñan</t>
        </is>
      </c>
      <c r="G895" s="36" t="inlineStr">
        <is>
          <t>Tubigan</t>
        </is>
      </c>
      <c r="H895" s="37" t="n">
        <v>14.328717</v>
      </c>
      <c r="I895" s="37" t="n">
        <v>121.072895</v>
      </c>
      <c r="J895" s="8" t="inlineStr">
        <is>
          <t>U</t>
        </is>
      </c>
      <c r="K895" s="36" t="inlineStr">
        <is>
          <t>Class 1-3 / Urban</t>
        </is>
      </c>
      <c r="L895" s="18" t="n">
        <v>6247</v>
      </c>
      <c r="M895" s="20" t="n">
        <v>4.2</v>
      </c>
      <c r="N895" s="18">
        <f>ROUND(L895/M895, 0)</f>
        <v/>
      </c>
      <c r="O895" s="18">
        <f>ROUND(N895*'Methodology &amp; Assumptions'!$B$8, 0)</f>
        <v/>
      </c>
      <c r="P895" s="8" t="inlineStr">
        <is>
          <t>Band n50 (1.5 GHz, 60 MHz)</t>
        </is>
      </c>
      <c r="Q895" s="38">
        <f>ROUNDUP(O895/'Methodology &amp; Assumptions'!$B$9, 0)</f>
        <v/>
      </c>
      <c r="R895" s="39" t="n">
        <v>1</v>
      </c>
      <c r="S895" s="21" t="n">
        <v>1.14</v>
      </c>
      <c r="T895" s="21" t="n">
        <v>0.4</v>
      </c>
      <c r="U895" s="36" t="inlineStr">
        <is>
          <t>Tier 1B (Micro Drop, 1-3 km)</t>
        </is>
      </c>
      <c r="V895" s="20" t="n">
        <v>78.3</v>
      </c>
      <c r="W895" s="20" t="n">
        <v>100</v>
      </c>
      <c r="X895" s="20" t="n">
        <v>28</v>
      </c>
      <c r="Y895" s="40">
        <f>ROUND((V895*'Methodology &amp; Assumptions'!$B$6)+(W895*'Methodology &amp; Assumptions'!$B$5)+(X895*'Methodology &amp; Assumptions'!$B$7), 2)</f>
        <v/>
      </c>
    </row>
    <row r="896" ht="19" customHeight="1">
      <c r="A896" s="41" t="n">
        <v>892</v>
      </c>
      <c r="B896" s="41" t="n">
        <v>1892</v>
      </c>
      <c r="C896" s="42" t="inlineStr">
        <is>
          <t>0307701006</t>
        </is>
      </c>
      <c r="D896" s="42" t="inlineStr">
        <is>
          <t>Region III (Central Luzon)</t>
        </is>
      </c>
      <c r="E896" s="42" t="inlineStr">
        <is>
          <t>Aurora</t>
        </is>
      </c>
      <c r="F896" s="42" t="inlineStr">
        <is>
          <t>Baler</t>
        </is>
      </c>
      <c r="G896" s="42" t="inlineStr">
        <is>
          <t>Buhangin</t>
        </is>
      </c>
      <c r="H896" s="43" t="n">
        <v>15.769449</v>
      </c>
      <c r="I896" s="43" t="n">
        <v>121.557704</v>
      </c>
      <c r="J896" s="44" t="inlineStr">
        <is>
          <t>U</t>
        </is>
      </c>
      <c r="K896" s="42" t="inlineStr">
        <is>
          <t>Class 1-3 / Urban</t>
        </is>
      </c>
      <c r="L896" s="23" t="n">
        <v>5985</v>
      </c>
      <c r="M896" s="24" t="n">
        <v>4.24</v>
      </c>
      <c r="N896" s="23">
        <f>ROUND(L896/M896, 0)</f>
        <v/>
      </c>
      <c r="O896" s="23">
        <f>ROUND(N896*'Methodology &amp; Assumptions'!$B$8, 0)</f>
        <v/>
      </c>
      <c r="P896" s="44" t="inlineStr">
        <is>
          <t>Band n50 (1.5 GHz, 60 MHz)</t>
        </is>
      </c>
      <c r="Q896" s="38">
        <f>ROUNDUP(O896/'Methodology &amp; Assumptions'!$B$9, 0)</f>
        <v/>
      </c>
      <c r="R896" s="39" t="n">
        <v>1</v>
      </c>
      <c r="S896" s="25" t="n">
        <v>1.14</v>
      </c>
      <c r="T896" s="25" t="n">
        <v>0.22</v>
      </c>
      <c r="U896" s="42" t="inlineStr">
        <is>
          <t>Tier 1B (Micro Drop, 1-3 km)</t>
        </is>
      </c>
      <c r="V896" s="24" t="n">
        <v>78.3</v>
      </c>
      <c r="W896" s="24" t="n">
        <v>100</v>
      </c>
      <c r="X896" s="24" t="n">
        <v>28</v>
      </c>
      <c r="Y896" s="45">
        <f>ROUND((V896*'Methodology &amp; Assumptions'!$B$6)+(W896*'Methodology &amp; Assumptions'!$B$5)+(X896*'Methodology &amp; Assumptions'!$B$7), 2)</f>
        <v/>
      </c>
    </row>
    <row r="897" ht="19" customHeight="1">
      <c r="A897" s="35" t="n">
        <v>893</v>
      </c>
      <c r="B897" s="35" t="n">
        <v>1893</v>
      </c>
      <c r="C897" s="36" t="inlineStr">
        <is>
          <t>0402105064</t>
        </is>
      </c>
      <c r="D897" s="36" t="inlineStr">
        <is>
          <t>Region IV-A (CALABARZON)</t>
        </is>
      </c>
      <c r="E897" s="36" t="inlineStr">
        <is>
          <t>Cavite</t>
        </is>
      </c>
      <c r="F897" s="36" t="inlineStr">
        <is>
          <t>City of Cavite</t>
        </is>
      </c>
      <c r="G897" s="36" t="inlineStr">
        <is>
          <t>Barangay 10-B</t>
        </is>
      </c>
      <c r="H897" s="37" t="n">
        <v>14.469041</v>
      </c>
      <c r="I897" s="37" t="n">
        <v>120.889725</v>
      </c>
      <c r="J897" s="8" t="inlineStr">
        <is>
          <t>R</t>
        </is>
      </c>
      <c r="K897" s="36" t="inlineStr">
        <is>
          <t>Class 1-3 / Urban</t>
        </is>
      </c>
      <c r="L897" s="18" t="n">
        <v>2737</v>
      </c>
      <c r="M897" s="20" t="n">
        <v>4.49</v>
      </c>
      <c r="N897" s="18">
        <f>ROUND(L897/M897, 0)</f>
        <v/>
      </c>
      <c r="O897" s="18">
        <f>ROUND(N897*'Methodology &amp; Assumptions'!$B$8, 0)</f>
        <v/>
      </c>
      <c r="P897" s="8" t="inlineStr">
        <is>
          <t>Band n50 (1.5 GHz, 60 MHz)</t>
        </is>
      </c>
      <c r="Q897" s="38">
        <f>ROUNDUP(O897/'Methodology &amp; Assumptions'!$B$9, 0)</f>
        <v/>
      </c>
      <c r="R897" s="39" t="n">
        <v>1</v>
      </c>
      <c r="S897" s="21" t="n">
        <v>0.68</v>
      </c>
      <c r="T897" s="21" t="n">
        <v>3.69</v>
      </c>
      <c r="U897" s="36" t="inlineStr">
        <is>
          <t>Tier 1A (Direct Coloc, &lt;1 km)</t>
        </is>
      </c>
      <c r="V897" s="20" t="n">
        <v>79.7</v>
      </c>
      <c r="W897" s="20" t="n">
        <v>72.8</v>
      </c>
      <c r="X897" s="20" t="n">
        <v>58</v>
      </c>
      <c r="Y897" s="40">
        <f>ROUND((V897*'Methodology &amp; Assumptions'!$B$6)+(W897*'Methodology &amp; Assumptions'!$B$5)+(X897*'Methodology &amp; Assumptions'!$B$7), 2)</f>
        <v/>
      </c>
    </row>
    <row r="898" ht="19" customHeight="1">
      <c r="A898" s="41" t="n">
        <v>894</v>
      </c>
      <c r="B898" s="41" t="n">
        <v>1894</v>
      </c>
      <c r="C898" s="42" t="inlineStr">
        <is>
          <t>0501715016</t>
        </is>
      </c>
      <c r="D898" s="42" t="inlineStr">
        <is>
          <t>Region V (Bicol Region)</t>
        </is>
      </c>
      <c r="E898" s="42" t="inlineStr">
        <is>
          <t>Camarines Sur</t>
        </is>
      </c>
      <c r="F898" s="42" t="inlineStr">
        <is>
          <t>Goa</t>
        </is>
      </c>
      <c r="G898" s="42" t="inlineStr">
        <is>
          <t>Matacla</t>
        </is>
      </c>
      <c r="H898" s="43" t="n">
        <v>13.686534</v>
      </c>
      <c r="I898" s="43" t="n">
        <v>123.493724</v>
      </c>
      <c r="J898" s="44" t="inlineStr">
        <is>
          <t>U</t>
        </is>
      </c>
      <c r="K898" s="42" t="inlineStr">
        <is>
          <t>Class 1-3 / Urban</t>
        </is>
      </c>
      <c r="L898" s="23" t="n">
        <v>5584</v>
      </c>
      <c r="M898" s="24" t="n">
        <v>4.9</v>
      </c>
      <c r="N898" s="23">
        <f>ROUND(L898/M898, 0)</f>
        <v/>
      </c>
      <c r="O898" s="23">
        <f>ROUND(N898*'Methodology &amp; Assumptions'!$B$8, 0)</f>
        <v/>
      </c>
      <c r="P898" s="44" t="inlineStr">
        <is>
          <t>Band n50 (1.5 GHz, 60 MHz)</t>
        </is>
      </c>
      <c r="Q898" s="38">
        <f>ROUNDUP(O898/'Methodology &amp; Assumptions'!$B$9, 0)</f>
        <v/>
      </c>
      <c r="R898" s="39" t="n">
        <v>1</v>
      </c>
      <c r="S898" s="25" t="n">
        <v>1.15</v>
      </c>
      <c r="T898" s="25" t="n">
        <v>0.02</v>
      </c>
      <c r="U898" s="42" t="inlineStr">
        <is>
          <t>Tier 1B (Micro Drop, 1-3 km)</t>
        </is>
      </c>
      <c r="V898" s="24" t="n">
        <v>78.3</v>
      </c>
      <c r="W898" s="24" t="n">
        <v>100</v>
      </c>
      <c r="X898" s="24" t="n">
        <v>28</v>
      </c>
      <c r="Y898" s="45">
        <f>ROUND((V898*'Methodology &amp; Assumptions'!$B$6)+(W898*'Methodology &amp; Assumptions'!$B$5)+(X898*'Methodology &amp; Assumptions'!$B$7), 2)</f>
        <v/>
      </c>
    </row>
    <row r="899" ht="19" customHeight="1">
      <c r="A899" s="35" t="n">
        <v>895</v>
      </c>
      <c r="B899" s="35" t="n">
        <v>1895</v>
      </c>
      <c r="C899" s="36" t="inlineStr">
        <is>
          <t>0702232016</t>
        </is>
      </c>
      <c r="D899" s="36" t="inlineStr">
        <is>
          <t>Region VII (Central Visayas)</t>
        </is>
      </c>
      <c r="E899" s="36" t="inlineStr">
        <is>
          <t>Cebu</t>
        </is>
      </c>
      <c r="F899" s="36" t="inlineStr">
        <is>
          <t>Minglanilla</t>
        </is>
      </c>
      <c r="G899" s="36" t="inlineStr">
        <is>
          <t>Tunghaan</t>
        </is>
      </c>
      <c r="H899" s="37" t="n">
        <v>10.245492</v>
      </c>
      <c r="I899" s="37" t="n">
        <v>123.780817</v>
      </c>
      <c r="J899" s="8" t="inlineStr">
        <is>
          <t>U</t>
        </is>
      </c>
      <c r="K899" s="36" t="inlineStr">
        <is>
          <t>Class 1-3 / Urban</t>
        </is>
      </c>
      <c r="L899" s="18" t="n">
        <v>16538</v>
      </c>
      <c r="M899" s="20" t="n">
        <v>4.42</v>
      </c>
      <c r="N899" s="18">
        <f>ROUND(L899/M899, 0)</f>
        <v/>
      </c>
      <c r="O899" s="18">
        <f>ROUND(N899*'Methodology &amp; Assumptions'!$B$8, 0)</f>
        <v/>
      </c>
      <c r="P899" s="8" t="inlineStr">
        <is>
          <t>Band n50 (1.5 GHz, 60 MHz)</t>
        </is>
      </c>
      <c r="Q899" s="38">
        <f>ROUNDUP(O899/'Methodology &amp; Assumptions'!$B$9, 0)</f>
        <v/>
      </c>
      <c r="R899" s="39" t="n">
        <v>1</v>
      </c>
      <c r="S899" s="21" t="n">
        <v>1.15</v>
      </c>
      <c r="T899" s="21" t="n">
        <v>0.57</v>
      </c>
      <c r="U899" s="36" t="inlineStr">
        <is>
          <t>Tier 1B (Micro Drop, 1-3 km)</t>
        </is>
      </c>
      <c r="V899" s="20" t="n">
        <v>78.2</v>
      </c>
      <c r="W899" s="20" t="n">
        <v>100</v>
      </c>
      <c r="X899" s="20" t="n">
        <v>28</v>
      </c>
      <c r="Y899" s="40">
        <f>ROUND((V899*'Methodology &amp; Assumptions'!$B$6)+(W899*'Methodology &amp; Assumptions'!$B$5)+(X899*'Methodology &amp; Assumptions'!$B$7), 2)</f>
        <v/>
      </c>
    </row>
    <row r="900" ht="19" customHeight="1">
      <c r="A900" s="41" t="n">
        <v>896</v>
      </c>
      <c r="B900" s="41" t="n">
        <v>1896</v>
      </c>
      <c r="C900" s="42" t="inlineStr">
        <is>
          <t>0403426025</t>
        </is>
      </c>
      <c r="D900" s="42" t="inlineStr">
        <is>
          <t>Region IV-A (CALABARZON)</t>
        </is>
      </c>
      <c r="E900" s="42" t="inlineStr">
        <is>
          <t>Laguna</t>
        </is>
      </c>
      <c r="F900" s="42" t="inlineStr">
        <is>
          <t>Santa Cruz</t>
        </is>
      </c>
      <c r="G900" s="42" t="inlineStr">
        <is>
          <t>Santo Angel Norte</t>
        </is>
      </c>
      <c r="H900" s="43" t="n">
        <v>14.288122</v>
      </c>
      <c r="I900" s="43" t="n">
        <v>121.407913</v>
      </c>
      <c r="J900" s="44" t="inlineStr">
        <is>
          <t>U</t>
        </is>
      </c>
      <c r="K900" s="42" t="inlineStr">
        <is>
          <t>Class 1-3 / Urban</t>
        </is>
      </c>
      <c r="L900" s="23" t="n">
        <v>5417</v>
      </c>
      <c r="M900" s="24" t="n">
        <v>4.2</v>
      </c>
      <c r="N900" s="23">
        <f>ROUND(L900/M900, 0)</f>
        <v/>
      </c>
      <c r="O900" s="23">
        <f>ROUND(N900*'Methodology &amp; Assumptions'!$B$8, 0)</f>
        <v/>
      </c>
      <c r="P900" s="44" t="inlineStr">
        <is>
          <t>Band n50 (1.5 GHz, 60 MHz)</t>
        </is>
      </c>
      <c r="Q900" s="38">
        <f>ROUNDUP(O900/'Methodology &amp; Assumptions'!$B$9, 0)</f>
        <v/>
      </c>
      <c r="R900" s="39" t="n">
        <v>1</v>
      </c>
      <c r="S900" s="25" t="n">
        <v>1.15</v>
      </c>
      <c r="T900" s="25" t="n">
        <v>1.11</v>
      </c>
      <c r="U900" s="42" t="inlineStr">
        <is>
          <t>Tier 1B (Micro Drop, 1-3 km)</t>
        </is>
      </c>
      <c r="V900" s="24" t="n">
        <v>78.2</v>
      </c>
      <c r="W900" s="24" t="n">
        <v>100</v>
      </c>
      <c r="X900" s="24" t="n">
        <v>28</v>
      </c>
      <c r="Y900" s="45">
        <f>ROUND((V900*'Methodology &amp; Assumptions'!$B$6)+(W900*'Methodology &amp; Assumptions'!$B$5)+(X900*'Methodology &amp; Assumptions'!$B$7), 2)</f>
        <v/>
      </c>
    </row>
    <row r="901" ht="19" customHeight="1">
      <c r="A901" s="35" t="n">
        <v>897</v>
      </c>
      <c r="B901" s="35" t="n">
        <v>1897</v>
      </c>
      <c r="C901" s="36" t="inlineStr">
        <is>
          <t>0403419016</t>
        </is>
      </c>
      <c r="D901" s="36" t="inlineStr">
        <is>
          <t>Region IV-A (CALABARZON)</t>
        </is>
      </c>
      <c r="E901" s="36" t="inlineStr">
        <is>
          <t>Laguna</t>
        </is>
      </c>
      <c r="F901" s="36" t="inlineStr">
        <is>
          <t>Pagsanjan</t>
        </is>
      </c>
      <c r="G901" s="36" t="inlineStr">
        <is>
          <t>San Isidro</t>
        </is>
      </c>
      <c r="H901" s="37" t="n">
        <v>14.282383</v>
      </c>
      <c r="I901" s="37" t="n">
        <v>121.457446</v>
      </c>
      <c r="J901" s="8" t="inlineStr">
        <is>
          <t>R</t>
        </is>
      </c>
      <c r="K901" s="36" t="inlineStr">
        <is>
          <t>Class 1-3 / Urban</t>
        </is>
      </c>
      <c r="L901" s="18" t="n">
        <v>2757</v>
      </c>
      <c r="M901" s="20" t="n">
        <v>4.2</v>
      </c>
      <c r="N901" s="18">
        <f>ROUND(L901/M901, 0)</f>
        <v/>
      </c>
      <c r="O901" s="18">
        <f>ROUND(N901*'Methodology &amp; Assumptions'!$B$8, 0)</f>
        <v/>
      </c>
      <c r="P901" s="8" t="inlineStr">
        <is>
          <t>Band n50 (1.5 GHz, 60 MHz)</t>
        </is>
      </c>
      <c r="Q901" s="38">
        <f>ROUNDUP(O901/'Methodology &amp; Assumptions'!$B$9, 0)</f>
        <v/>
      </c>
      <c r="R901" s="39" t="n">
        <v>1</v>
      </c>
      <c r="S901" s="21" t="n">
        <v>1.25</v>
      </c>
      <c r="T901" s="21" t="n">
        <v>0.03</v>
      </c>
      <c r="U901" s="36" t="inlineStr">
        <is>
          <t>Tier 1B (Micro Drop, 1-3 km)</t>
        </is>
      </c>
      <c r="V901" s="20" t="n">
        <v>75.90000000000001</v>
      </c>
      <c r="W901" s="20" t="n">
        <v>76.5</v>
      </c>
      <c r="X901" s="20" t="n">
        <v>58</v>
      </c>
      <c r="Y901" s="40">
        <f>ROUND((V901*'Methodology &amp; Assumptions'!$B$6)+(W901*'Methodology &amp; Assumptions'!$B$5)+(X901*'Methodology &amp; Assumptions'!$B$7), 2)</f>
        <v/>
      </c>
    </row>
    <row r="902" ht="19" customHeight="1">
      <c r="A902" s="41" t="n">
        <v>898</v>
      </c>
      <c r="B902" s="41" t="n">
        <v>1898</v>
      </c>
      <c r="C902" s="42" t="inlineStr">
        <is>
          <t>0501734041</t>
        </is>
      </c>
      <c r="D902" s="42" t="inlineStr">
        <is>
          <t>Region V (Bicol Region)</t>
        </is>
      </c>
      <c r="E902" s="42" t="inlineStr">
        <is>
          <t>Camarines Sur</t>
        </is>
      </c>
      <c r="F902" s="42" t="inlineStr">
        <is>
          <t>Sipocot</t>
        </is>
      </c>
      <c r="G902" s="42" t="inlineStr">
        <is>
          <t>South Villazar</t>
        </is>
      </c>
      <c r="H902" s="43" t="n">
        <v>13.851715</v>
      </c>
      <c r="I902" s="43" t="n">
        <v>122.948416</v>
      </c>
      <c r="J902" s="44" t="inlineStr">
        <is>
          <t>R</t>
        </is>
      </c>
      <c r="K902" s="42" t="inlineStr">
        <is>
          <t>Class 1-3 / Urban</t>
        </is>
      </c>
      <c r="L902" s="23" t="n">
        <v>2072</v>
      </c>
      <c r="M902" s="24" t="n">
        <v>4.9</v>
      </c>
      <c r="N902" s="23">
        <f>ROUND(L902/M902, 0)</f>
        <v/>
      </c>
      <c r="O902" s="23">
        <f>ROUND(N902*'Methodology &amp; Assumptions'!$B$8, 0)</f>
        <v/>
      </c>
      <c r="P902" s="44" t="inlineStr">
        <is>
          <t>Band n50 (1.5 GHz, 60 MHz)</t>
        </is>
      </c>
      <c r="Q902" s="38">
        <f>ROUNDUP(O902/'Methodology &amp; Assumptions'!$B$9, 0)</f>
        <v/>
      </c>
      <c r="R902" s="39" t="n">
        <v>1</v>
      </c>
      <c r="S902" s="25" t="n">
        <v>0.5</v>
      </c>
      <c r="T902" s="25" t="n">
        <v>0.48</v>
      </c>
      <c r="U902" s="42" t="inlineStr">
        <is>
          <t>Tier 1A (Direct Coloc, &lt;1 km)</t>
        </is>
      </c>
      <c r="V902" s="24" t="n">
        <v>94.59999999999999</v>
      </c>
      <c r="W902" s="24" t="n">
        <v>57.9</v>
      </c>
      <c r="X902" s="24" t="n">
        <v>58</v>
      </c>
      <c r="Y902" s="45">
        <f>ROUND((V902*'Methodology &amp; Assumptions'!$B$6)+(W902*'Methodology &amp; Assumptions'!$B$5)+(X902*'Methodology &amp; Assumptions'!$B$7), 2)</f>
        <v/>
      </c>
    </row>
    <row r="903" ht="19" customHeight="1">
      <c r="A903" s="35" t="n">
        <v>899</v>
      </c>
      <c r="B903" s="35" t="n">
        <v>1899</v>
      </c>
      <c r="C903" s="36" t="inlineStr">
        <is>
          <t>0203136009</t>
        </is>
      </c>
      <c r="D903" s="36" t="inlineStr">
        <is>
          <t>Region II (Cagayan Valley)</t>
        </is>
      </c>
      <c r="E903" s="36" t="inlineStr">
        <is>
          <t>Isabela</t>
        </is>
      </c>
      <c r="F903" s="36" t="inlineStr">
        <is>
          <t>Santo Tomas</t>
        </is>
      </c>
      <c r="G903" s="36" t="inlineStr">
        <is>
          <t>Bolinao-Culalabo</t>
        </is>
      </c>
      <c r="H903" s="37" t="n">
        <v>17.386495</v>
      </c>
      <c r="I903" s="37" t="n">
        <v>121.767072</v>
      </c>
      <c r="J903" s="8" t="inlineStr">
        <is>
          <t>R</t>
        </is>
      </c>
      <c r="K903" s="36" t="inlineStr">
        <is>
          <t>3rd</t>
        </is>
      </c>
      <c r="L903" s="18" t="n">
        <v>1851</v>
      </c>
      <c r="M903" s="20" t="n">
        <v>4.61</v>
      </c>
      <c r="N903" s="18">
        <f>ROUND(L903/M903, 0)</f>
        <v/>
      </c>
      <c r="O903" s="18">
        <f>ROUND(N903*'Methodology &amp; Assumptions'!$B$8, 0)</f>
        <v/>
      </c>
      <c r="P903" s="8" t="inlineStr">
        <is>
          <t>Band n50 (1.5 GHz, 60 MHz)</t>
        </is>
      </c>
      <c r="Q903" s="38">
        <f>ROUNDUP(O903/'Methodology &amp; Assumptions'!$B$9, 0)</f>
        <v/>
      </c>
      <c r="R903" s="39" t="n">
        <v>1</v>
      </c>
      <c r="S903" s="21" t="n">
        <v>0.44</v>
      </c>
      <c r="T903" s="21" t="n">
        <v>0.37</v>
      </c>
      <c r="U903" s="36" t="inlineStr">
        <is>
          <t>Tier 1A (Direct Coloc, &lt;1 km)</t>
        </is>
      </c>
      <c r="V903" s="20" t="n">
        <v>96.2</v>
      </c>
      <c r="W903" s="20" t="n">
        <v>56.3</v>
      </c>
      <c r="X903" s="20" t="n">
        <v>58</v>
      </c>
      <c r="Y903" s="40">
        <f>ROUND((V903*'Methodology &amp; Assumptions'!$B$6)+(W903*'Methodology &amp; Assumptions'!$B$5)+(X903*'Methodology &amp; Assumptions'!$B$7), 2)</f>
        <v/>
      </c>
    </row>
    <row r="904" ht="19" customHeight="1">
      <c r="A904" s="41" t="n">
        <v>900</v>
      </c>
      <c r="B904" s="41" t="n">
        <v>1900</v>
      </c>
      <c r="C904" s="42" t="inlineStr">
        <is>
          <t>0604526015</t>
        </is>
      </c>
      <c r="D904" s="42" t="inlineStr">
        <is>
          <t>Region VI (Western Visayas)</t>
        </is>
      </c>
      <c r="E904" s="42" t="inlineStr">
        <is>
          <t>Negros Occidental</t>
        </is>
      </c>
      <c r="F904" s="42" t="inlineStr">
        <is>
          <t>City of Silay</t>
        </is>
      </c>
      <c r="G904" s="42" t="inlineStr">
        <is>
          <t>Mambulac</t>
        </is>
      </c>
      <c r="H904" s="43" t="n">
        <v>10.797443</v>
      </c>
      <c r="I904" s="43" t="n">
        <v>122.967735</v>
      </c>
      <c r="J904" s="44" t="inlineStr">
        <is>
          <t>U</t>
        </is>
      </c>
      <c r="K904" s="42" t="inlineStr">
        <is>
          <t>Class 1-3 / Urban</t>
        </is>
      </c>
      <c r="L904" s="23" t="n">
        <v>18581</v>
      </c>
      <c r="M904" s="24" t="n">
        <v>4.33</v>
      </c>
      <c r="N904" s="23">
        <f>ROUND(L904/M904, 0)</f>
        <v/>
      </c>
      <c r="O904" s="23">
        <f>ROUND(N904*'Methodology &amp; Assumptions'!$B$8, 0)</f>
        <v/>
      </c>
      <c r="P904" s="44" t="inlineStr">
        <is>
          <t>Band n50 (1.5 GHz, 60 MHz)</t>
        </is>
      </c>
      <c r="Q904" s="38">
        <f>ROUNDUP(O904/'Methodology &amp; Assumptions'!$B$9, 0)</f>
        <v/>
      </c>
      <c r="R904" s="39" t="n">
        <v>1</v>
      </c>
      <c r="S904" s="25" t="n">
        <v>1.15</v>
      </c>
      <c r="T904" s="25" t="n">
        <v>0.7</v>
      </c>
      <c r="U904" s="42" t="inlineStr">
        <is>
          <t>Tier 1B (Micro Drop, 1-3 km)</t>
        </is>
      </c>
      <c r="V904" s="24" t="n">
        <v>78.2</v>
      </c>
      <c r="W904" s="24" t="n">
        <v>100</v>
      </c>
      <c r="X904" s="24" t="n">
        <v>28</v>
      </c>
      <c r="Y904" s="45">
        <f>ROUND((V904*'Methodology &amp; Assumptions'!$B$6)+(W904*'Methodology &amp; Assumptions'!$B$5)+(X904*'Methodology &amp; Assumptions'!$B$7), 2)</f>
        <v/>
      </c>
    </row>
    <row r="905" ht="19" customHeight="1">
      <c r="A905" s="35" t="n">
        <v>901</v>
      </c>
      <c r="B905" s="35" t="n">
        <v>1901</v>
      </c>
      <c r="C905" s="36" t="inlineStr">
        <is>
          <t>0831600093</t>
        </is>
      </c>
      <c r="D905" s="36" t="inlineStr">
        <is>
          <t>Region VIII (Eastern Visayas)</t>
        </is>
      </c>
      <c r="E905" s="36" t="inlineStr">
        <is>
          <t>Leyte</t>
        </is>
      </c>
      <c r="F905" s="36" t="inlineStr">
        <is>
          <t>City of Tacloban</t>
        </is>
      </c>
      <c r="G905" s="36" t="inlineStr">
        <is>
          <t>Barangay 63</t>
        </is>
      </c>
      <c r="H905" s="37" t="n">
        <v>11.216223</v>
      </c>
      <c r="I905" s="37" t="n">
        <v>125.004526</v>
      </c>
      <c r="J905" s="8" t="inlineStr">
        <is>
          <t>R</t>
        </is>
      </c>
      <c r="K905" s="36" t="inlineStr">
        <is>
          <t>Class 1-3 / Urban</t>
        </is>
      </c>
      <c r="L905" s="18" t="n">
        <v>2044</v>
      </c>
      <c r="M905" s="20" t="n">
        <v>4.24</v>
      </c>
      <c r="N905" s="18">
        <f>ROUND(L905/M905, 0)</f>
        <v/>
      </c>
      <c r="O905" s="18">
        <f>ROUND(N905*'Methodology &amp; Assumptions'!$B$8, 0)</f>
        <v/>
      </c>
      <c r="P905" s="8" t="inlineStr">
        <is>
          <t>Band n50 (1.5 GHz, 60 MHz)</t>
        </is>
      </c>
      <c r="Q905" s="38">
        <f>ROUNDUP(O905/'Methodology &amp; Assumptions'!$B$9, 0)</f>
        <v/>
      </c>
      <c r="R905" s="39" t="n">
        <v>1</v>
      </c>
      <c r="S905" s="21" t="n">
        <v>0.68</v>
      </c>
      <c r="T905" s="21" t="n">
        <v>0.67</v>
      </c>
      <c r="U905" s="36" t="inlineStr">
        <is>
          <t>Tier 1A (Direct Coloc, &lt;1 km)</t>
        </is>
      </c>
      <c r="V905" s="20" t="n">
        <v>89.8</v>
      </c>
      <c r="W905" s="20" t="n">
        <v>62.7</v>
      </c>
      <c r="X905" s="20" t="n">
        <v>58</v>
      </c>
      <c r="Y905" s="40">
        <f>ROUND((V905*'Methodology &amp; Assumptions'!$B$6)+(W905*'Methodology &amp; Assumptions'!$B$5)+(X905*'Methodology &amp; Assumptions'!$B$7), 2)</f>
        <v/>
      </c>
    </row>
    <row r="906" ht="19" customHeight="1">
      <c r="A906" s="41" t="n">
        <v>902</v>
      </c>
      <c r="B906" s="41" t="n">
        <v>1902</v>
      </c>
      <c r="C906" s="42" t="inlineStr">
        <is>
          <t>0501715006</t>
        </is>
      </c>
      <c r="D906" s="42" t="inlineStr">
        <is>
          <t>Region V (Bicol Region)</t>
        </is>
      </c>
      <c r="E906" s="42" t="inlineStr">
        <is>
          <t>Camarines Sur</t>
        </is>
      </c>
      <c r="F906" s="42" t="inlineStr">
        <is>
          <t>Goa</t>
        </is>
      </c>
      <c r="G906" s="42" t="inlineStr">
        <is>
          <t>Buyo</t>
        </is>
      </c>
      <c r="H906" s="43" t="n">
        <v>13.679691</v>
      </c>
      <c r="I906" s="43" t="n">
        <v>123.473816</v>
      </c>
      <c r="J906" s="44" t="inlineStr">
        <is>
          <t>R</t>
        </is>
      </c>
      <c r="K906" s="42" t="inlineStr">
        <is>
          <t>Class 1-3 / Urban</t>
        </is>
      </c>
      <c r="L906" s="23" t="n">
        <v>4441</v>
      </c>
      <c r="M906" s="24" t="n">
        <v>4.9</v>
      </c>
      <c r="N906" s="23">
        <f>ROUND(L906/M906, 0)</f>
        <v/>
      </c>
      <c r="O906" s="23">
        <f>ROUND(N906*'Methodology &amp; Assumptions'!$B$8, 0)</f>
        <v/>
      </c>
      <c r="P906" s="44" t="inlineStr">
        <is>
          <t>Band n50 (1.5 GHz, 60 MHz)</t>
        </is>
      </c>
      <c r="Q906" s="38">
        <f>ROUNDUP(O906/'Methodology &amp; Assumptions'!$B$9, 0)</f>
        <v/>
      </c>
      <c r="R906" s="39" t="n">
        <v>1</v>
      </c>
      <c r="S906" s="25" t="n">
        <v>2.34</v>
      </c>
      <c r="T906" s="25" t="n">
        <v>1.79</v>
      </c>
      <c r="U906" s="42" t="inlineStr">
        <is>
          <t>Tier 1B (Micro Drop, 1-3 km)</t>
        </is>
      </c>
      <c r="V906" s="24" t="n">
        <v>55.9</v>
      </c>
      <c r="W906" s="24" t="n">
        <v>96.5</v>
      </c>
      <c r="X906" s="24" t="n">
        <v>58</v>
      </c>
      <c r="Y906" s="45">
        <f>ROUND((V906*'Methodology &amp; Assumptions'!$B$6)+(W906*'Methodology &amp; Assumptions'!$B$5)+(X906*'Methodology &amp; Assumptions'!$B$7), 2)</f>
        <v/>
      </c>
    </row>
    <row r="907" ht="19" customHeight="1">
      <c r="A907" s="35" t="n">
        <v>903</v>
      </c>
      <c r="B907" s="35" t="n">
        <v>1903</v>
      </c>
      <c r="C907" s="36" t="inlineStr">
        <is>
          <t>0405805016</t>
        </is>
      </c>
      <c r="D907" s="36" t="inlineStr">
        <is>
          <t>Region IV-A (CALABARZON)</t>
        </is>
      </c>
      <c r="E907" s="36" t="inlineStr">
        <is>
          <t>Rizal</t>
        </is>
      </c>
      <c r="F907" s="36" t="inlineStr">
        <is>
          <t>Cainta</t>
        </is>
      </c>
      <c r="G907" s="36" t="inlineStr">
        <is>
          <t>San Juan</t>
        </is>
      </c>
      <c r="H907" s="37" t="n">
        <v>14.576059</v>
      </c>
      <c r="I907" s="37" t="n">
        <v>121.122771</v>
      </c>
      <c r="J907" s="8" t="inlineStr">
        <is>
          <t>U</t>
        </is>
      </c>
      <c r="K907" s="36" t="inlineStr">
        <is>
          <t>Class 1-3 / Urban</t>
        </is>
      </c>
      <c r="L907" s="18" t="n">
        <v>104132</v>
      </c>
      <c r="M907" s="20" t="n">
        <v>4.39</v>
      </c>
      <c r="N907" s="18">
        <f>ROUND(L907/M907, 0)</f>
        <v/>
      </c>
      <c r="O907" s="18">
        <f>ROUND(N907*'Methodology &amp; Assumptions'!$B$8, 0)</f>
        <v/>
      </c>
      <c r="P907" s="8" t="inlineStr">
        <is>
          <t>Band n50 (1.5 GHz, 60 MHz)</t>
        </is>
      </c>
      <c r="Q907" s="38">
        <f>ROUNDUP(O907/'Methodology &amp; Assumptions'!$B$9, 0)</f>
        <v/>
      </c>
      <c r="R907" s="39" t="n">
        <v>1</v>
      </c>
      <c r="S907" s="21" t="n">
        <v>0.83</v>
      </c>
      <c r="T907" s="21" t="n">
        <v>0.14</v>
      </c>
      <c r="U907" s="36" t="inlineStr">
        <is>
          <t>Tier 1A (Direct Coloc, &lt;1 km)</t>
        </is>
      </c>
      <c r="V907" s="20" t="n">
        <v>85.90000000000001</v>
      </c>
      <c r="W907" s="20" t="n">
        <v>92.2</v>
      </c>
      <c r="X907" s="20" t="n">
        <v>28</v>
      </c>
      <c r="Y907" s="40">
        <f>ROUND((V907*'Methodology &amp; Assumptions'!$B$6)+(W907*'Methodology &amp; Assumptions'!$B$5)+(X907*'Methodology &amp; Assumptions'!$B$7), 2)</f>
        <v/>
      </c>
    </row>
    <row r="908" ht="19" customHeight="1">
      <c r="A908" s="41" t="n">
        <v>904</v>
      </c>
      <c r="B908" s="41" t="n">
        <v>1904</v>
      </c>
      <c r="C908" s="42" t="inlineStr">
        <is>
          <t>0501727017</t>
        </is>
      </c>
      <c r="D908" s="42" t="inlineStr">
        <is>
          <t>Region V (Bicol Region)</t>
        </is>
      </c>
      <c r="E908" s="42" t="inlineStr">
        <is>
          <t>Camarines Sur</t>
        </is>
      </c>
      <c r="F908" s="42" t="inlineStr">
        <is>
          <t>Pasacao</t>
        </is>
      </c>
      <c r="G908" s="42" t="inlineStr">
        <is>
          <t>Santa Rosa Del Sur</t>
        </is>
      </c>
      <c r="H908" s="43" t="n">
        <v>13.504815</v>
      </c>
      <c r="I908" s="43" t="n">
        <v>123.040862</v>
      </c>
      <c r="J908" s="44" t="inlineStr">
        <is>
          <t>U</t>
        </is>
      </c>
      <c r="K908" s="42" t="inlineStr">
        <is>
          <t>Class 1-3 / Urban</t>
        </is>
      </c>
      <c r="L908" s="23" t="n">
        <v>3527</v>
      </c>
      <c r="M908" s="24" t="n">
        <v>4.9</v>
      </c>
      <c r="N908" s="23">
        <f>ROUND(L908/M908, 0)</f>
        <v/>
      </c>
      <c r="O908" s="23">
        <f>ROUND(N908*'Methodology &amp; Assumptions'!$B$8, 0)</f>
        <v/>
      </c>
      <c r="P908" s="44" t="inlineStr">
        <is>
          <t>Band n50 (1.5 GHz, 60 MHz)</t>
        </is>
      </c>
      <c r="Q908" s="38">
        <f>ROUNDUP(O908/'Methodology &amp; Assumptions'!$B$9, 0)</f>
        <v/>
      </c>
      <c r="R908" s="39" t="n">
        <v>1</v>
      </c>
      <c r="S908" s="25" t="n">
        <v>0.43</v>
      </c>
      <c r="T908" s="25" t="n">
        <v>0.21</v>
      </c>
      <c r="U908" s="42" t="inlineStr">
        <is>
          <t>Tier 1A (Direct Coloc, &lt;1 km)</t>
        </is>
      </c>
      <c r="V908" s="24" t="n">
        <v>96.5</v>
      </c>
      <c r="W908" s="24" t="n">
        <v>81.59999999999999</v>
      </c>
      <c r="X908" s="24" t="n">
        <v>28</v>
      </c>
      <c r="Y908" s="45">
        <f>ROUND((V908*'Methodology &amp; Assumptions'!$B$6)+(W908*'Methodology &amp; Assumptions'!$B$5)+(X908*'Methodology &amp; Assumptions'!$B$7), 2)</f>
        <v/>
      </c>
    </row>
    <row r="909" ht="19" customHeight="1">
      <c r="A909" s="35" t="n">
        <v>905</v>
      </c>
      <c r="B909" s="35" t="n">
        <v>1905</v>
      </c>
      <c r="C909" s="36" t="inlineStr">
        <is>
          <t>0405603005</t>
        </is>
      </c>
      <c r="D909" s="36" t="inlineStr">
        <is>
          <t>Region IV-A (CALABARZON)</t>
        </is>
      </c>
      <c r="E909" s="36" t="inlineStr">
        <is>
          <t>Quezon</t>
        </is>
      </c>
      <c r="F909" s="36" t="inlineStr">
        <is>
          <t>Atimonan</t>
        </is>
      </c>
      <c r="G909" s="36" t="inlineStr">
        <is>
          <t>Barangay Zone 2</t>
        </is>
      </c>
      <c r="H909" s="37" t="n">
        <v>13.999898</v>
      </c>
      <c r="I909" s="37" t="n">
        <v>121.922957</v>
      </c>
      <c r="J909" s="8" t="inlineStr">
        <is>
          <t>U</t>
        </is>
      </c>
      <c r="K909" s="36" t="inlineStr">
        <is>
          <t>Class 1-3 / Urban</t>
        </is>
      </c>
      <c r="L909" s="18" t="n">
        <v>3025</v>
      </c>
      <c r="M909" s="20" t="n">
        <v>4.46</v>
      </c>
      <c r="N909" s="18">
        <f>ROUND(L909/M909, 0)</f>
        <v/>
      </c>
      <c r="O909" s="18">
        <f>ROUND(N909*'Methodology &amp; Assumptions'!$B$8, 0)</f>
        <v/>
      </c>
      <c r="P909" s="8" t="inlineStr">
        <is>
          <t>Band n50 (1.5 GHz, 60 MHz)</t>
        </is>
      </c>
      <c r="Q909" s="38">
        <f>ROUNDUP(O909/'Methodology &amp; Assumptions'!$B$9, 0)</f>
        <v/>
      </c>
      <c r="R909" s="39" t="n">
        <v>1</v>
      </c>
      <c r="S909" s="21" t="n">
        <v>0.27</v>
      </c>
      <c r="T909" s="21" t="n">
        <v>0.04</v>
      </c>
      <c r="U909" s="36" t="inlineStr">
        <is>
          <t>Tier 1A (Direct Coloc, &lt;1 km)</t>
        </is>
      </c>
      <c r="V909" s="20" t="n">
        <v>100</v>
      </c>
      <c r="W909" s="20" t="n">
        <v>78.09999999999999</v>
      </c>
      <c r="X909" s="20" t="n">
        <v>28</v>
      </c>
      <c r="Y909" s="40">
        <f>ROUND((V909*'Methodology &amp; Assumptions'!$B$6)+(W909*'Methodology &amp; Assumptions'!$B$5)+(X909*'Methodology &amp; Assumptions'!$B$7), 2)</f>
        <v/>
      </c>
    </row>
    <row r="910" ht="19" customHeight="1">
      <c r="A910" s="41" t="n">
        <v>906</v>
      </c>
      <c r="B910" s="41" t="n">
        <v>1906</v>
      </c>
      <c r="C910" s="42" t="inlineStr">
        <is>
          <t>0301420041</t>
        </is>
      </c>
      <c r="D910" s="42" t="inlineStr">
        <is>
          <t>Region III (Central Luzon)</t>
        </is>
      </c>
      <c r="E910" s="42" t="inlineStr">
        <is>
          <t>Bulacan</t>
        </is>
      </c>
      <c r="F910" s="42" t="inlineStr">
        <is>
          <t>City of San Jose Del Monte</t>
        </is>
      </c>
      <c r="G910" s="42" t="inlineStr">
        <is>
          <t>Minuyan Proper</t>
        </is>
      </c>
      <c r="H910" s="43" t="n">
        <v>14.842789</v>
      </c>
      <c r="I910" s="43" t="n">
        <v>121.078709</v>
      </c>
      <c r="J910" s="44" t="inlineStr">
        <is>
          <t>U</t>
        </is>
      </c>
      <c r="K910" s="42" t="inlineStr">
        <is>
          <t>Class 1-3 / Urban</t>
        </is>
      </c>
      <c r="L910" s="23" t="n">
        <v>46171</v>
      </c>
      <c r="M910" s="24" t="n">
        <v>4.1</v>
      </c>
      <c r="N910" s="23">
        <f>ROUND(L910/M910, 0)</f>
        <v/>
      </c>
      <c r="O910" s="23">
        <f>ROUND(N910*'Methodology &amp; Assumptions'!$B$8, 0)</f>
        <v/>
      </c>
      <c r="P910" s="44" t="inlineStr">
        <is>
          <t>Band n50 (1.5 GHz, 60 MHz)</t>
        </is>
      </c>
      <c r="Q910" s="38">
        <f>ROUNDUP(O910/'Methodology &amp; Assumptions'!$B$9, 0)</f>
        <v/>
      </c>
      <c r="R910" s="39" t="n">
        <v>1</v>
      </c>
      <c r="S910" s="25" t="n">
        <v>0.62</v>
      </c>
      <c r="T910" s="25" t="n">
        <v>4.11</v>
      </c>
      <c r="U910" s="42" t="inlineStr">
        <is>
          <t>Tier 1A (Direct Coloc, &lt;1 km)</t>
        </is>
      </c>
      <c r="V910" s="24" t="n">
        <v>81.40000000000001</v>
      </c>
      <c r="W910" s="24" t="n">
        <v>96.7</v>
      </c>
      <c r="X910" s="24" t="n">
        <v>28</v>
      </c>
      <c r="Y910" s="45">
        <f>ROUND((V910*'Methodology &amp; Assumptions'!$B$6)+(W910*'Methodology &amp; Assumptions'!$B$5)+(X910*'Methodology &amp; Assumptions'!$B$7), 2)</f>
        <v/>
      </c>
    </row>
    <row r="911" ht="19" customHeight="1">
      <c r="A911" s="35" t="n">
        <v>907</v>
      </c>
      <c r="B911" s="35" t="n">
        <v>1907</v>
      </c>
      <c r="C911" s="36" t="inlineStr">
        <is>
          <t>0702232018</t>
        </is>
      </c>
      <c r="D911" s="36" t="inlineStr">
        <is>
          <t>Region VII (Central Visayas)</t>
        </is>
      </c>
      <c r="E911" s="36" t="inlineStr">
        <is>
          <t>Cebu</t>
        </is>
      </c>
      <c r="F911" s="36" t="inlineStr">
        <is>
          <t>Minglanilla</t>
        </is>
      </c>
      <c r="G911" s="36" t="inlineStr">
        <is>
          <t>Vito</t>
        </is>
      </c>
      <c r="H911" s="37" t="n">
        <v>10.254737</v>
      </c>
      <c r="I911" s="37" t="n">
        <v>123.792043</v>
      </c>
      <c r="J911" s="8" t="inlineStr">
        <is>
          <t>U</t>
        </is>
      </c>
      <c r="K911" s="36" t="inlineStr">
        <is>
          <t>Class 1-3 / Urban</t>
        </is>
      </c>
      <c r="L911" s="18" t="n">
        <v>11133</v>
      </c>
      <c r="M911" s="20" t="n">
        <v>4.42</v>
      </c>
      <c r="N911" s="18">
        <f>ROUND(L911/M911, 0)</f>
        <v/>
      </c>
      <c r="O911" s="18">
        <f>ROUND(N911*'Methodology &amp; Assumptions'!$B$8, 0)</f>
        <v/>
      </c>
      <c r="P911" s="8" t="inlineStr">
        <is>
          <t>Band n50 (1.5 GHz, 60 MHz)</t>
        </is>
      </c>
      <c r="Q911" s="38">
        <f>ROUNDUP(O911/'Methodology &amp; Assumptions'!$B$9, 0)</f>
        <v/>
      </c>
      <c r="R911" s="39" t="n">
        <v>1</v>
      </c>
      <c r="S911" s="21" t="n">
        <v>1.15</v>
      </c>
      <c r="T911" s="21" t="n">
        <v>1.11</v>
      </c>
      <c r="U911" s="36" t="inlineStr">
        <is>
          <t>Tier 1B (Micro Drop, 1-3 km)</t>
        </is>
      </c>
      <c r="V911" s="20" t="n">
        <v>78.09999999999999</v>
      </c>
      <c r="W911" s="20" t="n">
        <v>100</v>
      </c>
      <c r="X911" s="20" t="n">
        <v>28</v>
      </c>
      <c r="Y911" s="40">
        <f>ROUND((V911*'Methodology &amp; Assumptions'!$B$6)+(W911*'Methodology &amp; Assumptions'!$B$5)+(X911*'Methodology &amp; Assumptions'!$B$7), 2)</f>
        <v/>
      </c>
    </row>
    <row r="912" ht="19" customHeight="1">
      <c r="A912" s="41" t="n">
        <v>908</v>
      </c>
      <c r="B912" s="41" t="n">
        <v>1908</v>
      </c>
      <c r="C912" s="42" t="inlineStr">
        <is>
          <t>1408103010</t>
        </is>
      </c>
      <c r="D912" s="42" t="inlineStr">
        <is>
          <t>Cordillera Administrative Region (CAR)</t>
        </is>
      </c>
      <c r="E912" s="42" t="inlineStr">
        <is>
          <t>Apayao</t>
        </is>
      </c>
      <c r="F912" s="42" t="inlineStr">
        <is>
          <t>Flora</t>
        </is>
      </c>
      <c r="G912" s="42" t="inlineStr">
        <is>
          <t>Poblacion East</t>
        </is>
      </c>
      <c r="H912" s="43" t="n">
        <v>18.213146</v>
      </c>
      <c r="I912" s="43" t="n">
        <v>121.421147</v>
      </c>
      <c r="J912" s="44" t="inlineStr">
        <is>
          <t>R</t>
        </is>
      </c>
      <c r="K912" s="42" t="inlineStr">
        <is>
          <t>Class 1-3 / Urban</t>
        </is>
      </c>
      <c r="L912" s="23" t="n">
        <v>2652</v>
      </c>
      <c r="M912" s="24" t="n">
        <v>4.49</v>
      </c>
      <c r="N912" s="23">
        <f>ROUND(L912/M912, 0)</f>
        <v/>
      </c>
      <c r="O912" s="23">
        <f>ROUND(N912*'Methodology &amp; Assumptions'!$B$8, 0)</f>
        <v/>
      </c>
      <c r="P912" s="44" t="inlineStr">
        <is>
          <t>Band n50 (1.5 GHz, 60 MHz)</t>
        </is>
      </c>
      <c r="Q912" s="38">
        <f>ROUNDUP(O912/'Methodology &amp; Assumptions'!$B$9, 0)</f>
        <v/>
      </c>
      <c r="R912" s="39" t="n">
        <v>1</v>
      </c>
      <c r="S912" s="25" t="n">
        <v>0.48</v>
      </c>
      <c r="T912" s="25" t="n">
        <v>4.61</v>
      </c>
      <c r="U912" s="42" t="inlineStr">
        <is>
          <t>Tier 1A (Direct Coloc, &lt;1 km)</t>
        </is>
      </c>
      <c r="V912" s="24" t="n">
        <v>85.2</v>
      </c>
      <c r="W912" s="24" t="n">
        <v>67.2</v>
      </c>
      <c r="X912" s="24" t="n">
        <v>58</v>
      </c>
      <c r="Y912" s="45">
        <f>ROUND((V912*'Methodology &amp; Assumptions'!$B$6)+(W912*'Methodology &amp; Assumptions'!$B$5)+(X912*'Methodology &amp; Assumptions'!$B$7), 2)</f>
        <v/>
      </c>
    </row>
    <row r="913" ht="19" customHeight="1">
      <c r="A913" s="35" t="n">
        <v>909</v>
      </c>
      <c r="B913" s="35" t="n">
        <v>1909</v>
      </c>
      <c r="C913" s="36" t="inlineStr">
        <is>
          <t>0201505038</t>
        </is>
      </c>
      <c r="D913" s="36" t="inlineStr">
        <is>
          <t>Region II (Cagayan Valley)</t>
        </is>
      </c>
      <c r="E913" s="36" t="inlineStr">
        <is>
          <t>Cagayan</t>
        </is>
      </c>
      <c r="F913" s="36" t="inlineStr">
        <is>
          <t>Aparri</t>
        </is>
      </c>
      <c r="G913" s="36" t="inlineStr">
        <is>
          <t>San Antonio</t>
        </is>
      </c>
      <c r="H913" s="37" t="n">
        <v>18.3589</v>
      </c>
      <c r="I913" s="37" t="n">
        <v>121.6412</v>
      </c>
      <c r="J913" s="8" t="inlineStr">
        <is>
          <t>U</t>
        </is>
      </c>
      <c r="K913" s="36" t="inlineStr">
        <is>
          <t>Class 1-3 / Urban</t>
        </is>
      </c>
      <c r="L913" s="18" t="n">
        <v>3972</v>
      </c>
      <c r="M913" s="20" t="n">
        <v>4.38</v>
      </c>
      <c r="N913" s="18">
        <f>ROUND(L913/M913, 0)</f>
        <v/>
      </c>
      <c r="O913" s="18">
        <f>ROUND(N913*'Methodology &amp; Assumptions'!$B$8, 0)</f>
        <v/>
      </c>
      <c r="P913" s="8" t="inlineStr">
        <is>
          <t>Band n50 (1.5 GHz, 60 MHz)</t>
        </is>
      </c>
      <c r="Q913" s="38">
        <f>ROUNDUP(O913/'Methodology &amp; Assumptions'!$B$9, 0)</f>
        <v/>
      </c>
      <c r="R913" s="39" t="n">
        <v>1</v>
      </c>
      <c r="S913" s="21" t="n">
        <v>0.61</v>
      </c>
      <c r="T913" s="21" t="n">
        <v>10.91</v>
      </c>
      <c r="U913" s="36" t="inlineStr">
        <is>
          <t>Tier 1A (Direct Coloc, &lt;1 km)</t>
        </is>
      </c>
      <c r="V913" s="20" t="n">
        <v>81.5</v>
      </c>
      <c r="W913" s="20" t="n">
        <v>96.5</v>
      </c>
      <c r="X913" s="20" t="n">
        <v>28</v>
      </c>
      <c r="Y913" s="40">
        <f>ROUND((V913*'Methodology &amp; Assumptions'!$B$6)+(W913*'Methodology &amp; Assumptions'!$B$5)+(X913*'Methodology &amp; Assumptions'!$B$7), 2)</f>
        <v/>
      </c>
    </row>
    <row r="914" ht="19" customHeight="1">
      <c r="A914" s="41" t="n">
        <v>910</v>
      </c>
      <c r="B914" s="41" t="n">
        <v>1910</v>
      </c>
      <c r="C914" s="42" t="inlineStr">
        <is>
          <t>0205003002</t>
        </is>
      </c>
      <c r="D914" s="42" t="inlineStr">
        <is>
          <t>Region II (Cagayan Valley)</t>
        </is>
      </c>
      <c r="E914" s="42" t="inlineStr">
        <is>
          <t>Nueva Vizcaya</t>
        </is>
      </c>
      <c r="F914" s="42" t="inlineStr">
        <is>
          <t>Bagabag</t>
        </is>
      </c>
      <c r="G914" s="42" t="inlineStr">
        <is>
          <t>Baretbet</t>
        </is>
      </c>
      <c r="H914" s="43" t="n">
        <v>16.585315</v>
      </c>
      <c r="I914" s="43" t="n">
        <v>121.260996</v>
      </c>
      <c r="J914" s="44" t="inlineStr">
        <is>
          <t>U</t>
        </is>
      </c>
      <c r="K914" s="42" t="inlineStr">
        <is>
          <t>Class 1-3 / Urban</t>
        </is>
      </c>
      <c r="L914" s="23" t="n">
        <v>5253</v>
      </c>
      <c r="M914" s="24" t="n">
        <v>4.19</v>
      </c>
      <c r="N914" s="23">
        <f>ROUND(L914/M914, 0)</f>
        <v/>
      </c>
      <c r="O914" s="23">
        <f>ROUND(N914*'Methodology &amp; Assumptions'!$B$8, 0)</f>
        <v/>
      </c>
      <c r="P914" s="44" t="inlineStr">
        <is>
          <t>Band n50 (1.5 GHz, 60 MHz)</t>
        </is>
      </c>
      <c r="Q914" s="38">
        <f>ROUNDUP(O914/'Methodology &amp; Assumptions'!$B$9, 0)</f>
        <v/>
      </c>
      <c r="R914" s="39" t="n">
        <v>1</v>
      </c>
      <c r="S914" s="25" t="n">
        <v>1.78</v>
      </c>
      <c r="T914" s="25" t="n">
        <v>0.04</v>
      </c>
      <c r="U914" s="42" t="inlineStr">
        <is>
          <t>Tier 1B (Micro Drop, 1-3 km)</t>
        </is>
      </c>
      <c r="V914" s="24" t="n">
        <v>65.2</v>
      </c>
      <c r="W914" s="24" t="n">
        <v>100</v>
      </c>
      <c r="X914" s="24" t="n">
        <v>43</v>
      </c>
      <c r="Y914" s="45">
        <f>ROUND((V914*'Methodology &amp; Assumptions'!$B$6)+(W914*'Methodology &amp; Assumptions'!$B$5)+(X914*'Methodology &amp; Assumptions'!$B$7), 2)</f>
        <v/>
      </c>
    </row>
    <row r="915" ht="19" customHeight="1">
      <c r="A915" s="35" t="n">
        <v>911</v>
      </c>
      <c r="B915" s="35" t="n">
        <v>1911</v>
      </c>
      <c r="C915" s="36" t="inlineStr">
        <is>
          <t>0405635011</t>
        </is>
      </c>
      <c r="D915" s="36" t="inlineStr">
        <is>
          <t>Region IV-A (CALABARZON)</t>
        </is>
      </c>
      <c r="E915" s="36" t="inlineStr">
        <is>
          <t>Quezon</t>
        </is>
      </c>
      <c r="F915" s="36" t="inlineStr">
        <is>
          <t>Plaridel</t>
        </is>
      </c>
      <c r="G915" s="36" t="inlineStr">
        <is>
          <t>M. L. Tumagay Pob.</t>
        </is>
      </c>
      <c r="H915" s="37" t="n">
        <v>13.954581</v>
      </c>
      <c r="I915" s="37" t="n">
        <v>122.021862</v>
      </c>
      <c r="J915" s="8" t="inlineStr">
        <is>
          <t>R</t>
        </is>
      </c>
      <c r="K915" s="36" t="inlineStr">
        <is>
          <t>5th</t>
        </is>
      </c>
      <c r="L915" s="18" t="n">
        <v>888</v>
      </c>
      <c r="M915" s="20" t="n">
        <v>4.59</v>
      </c>
      <c r="N915" s="18">
        <f>ROUND(L915/M915, 0)</f>
        <v/>
      </c>
      <c r="O915" s="18">
        <f>ROUND(N915*'Methodology &amp; Assumptions'!$B$8, 0)</f>
        <v/>
      </c>
      <c r="P915" s="8" t="inlineStr">
        <is>
          <t>Band n50 (1.5 GHz, 60 MHz)</t>
        </is>
      </c>
      <c r="Q915" s="38">
        <f>ROUNDUP(O915/'Methodology &amp; Assumptions'!$B$9, 0)</f>
        <v/>
      </c>
      <c r="R915" s="39" t="n">
        <v>1</v>
      </c>
      <c r="S915" s="21" t="n">
        <v>0.15</v>
      </c>
      <c r="T915" s="21" t="n">
        <v>0.23</v>
      </c>
      <c r="U915" s="36" t="inlineStr">
        <is>
          <t>Tier 1A (Direct Coloc, &lt;1 km)</t>
        </is>
      </c>
      <c r="V915" s="20" t="n">
        <v>100</v>
      </c>
      <c r="W915" s="20" t="n">
        <v>39.5</v>
      </c>
      <c r="X915" s="20" t="n">
        <v>73</v>
      </c>
      <c r="Y915" s="40">
        <f>ROUND((V915*'Methodology &amp; Assumptions'!$B$6)+(W915*'Methodology &amp; Assumptions'!$B$5)+(X915*'Methodology &amp; Assumptions'!$B$7), 2)</f>
        <v/>
      </c>
    </row>
    <row r="916" ht="19" customHeight="1">
      <c r="A916" s="41" t="n">
        <v>912</v>
      </c>
      <c r="B916" s="41" t="n">
        <v>1912</v>
      </c>
      <c r="C916" s="42" t="inlineStr">
        <is>
          <t>1001317028</t>
        </is>
      </c>
      <c r="D916" s="42" t="inlineStr">
        <is>
          <t>Region X (Northern Mindanao)</t>
        </is>
      </c>
      <c r="E916" s="42" t="inlineStr">
        <is>
          <t>Bukidnon</t>
        </is>
      </c>
      <c r="F916" s="42" t="inlineStr">
        <is>
          <t>Quezon</t>
        </is>
      </c>
      <c r="G916" s="42" t="inlineStr">
        <is>
          <t>Poblacion</t>
        </is>
      </c>
      <c r="H916" s="43" t="n">
        <v>7.731385</v>
      </c>
      <c r="I916" s="43" t="n">
        <v>125.104148</v>
      </c>
      <c r="J916" s="44" t="inlineStr">
        <is>
          <t>U</t>
        </is>
      </c>
      <c r="K916" s="42" t="inlineStr">
        <is>
          <t>Class 1-3 / Urban</t>
        </is>
      </c>
      <c r="L916" s="23" t="n">
        <v>17078</v>
      </c>
      <c r="M916" s="24" t="n">
        <v>4.63</v>
      </c>
      <c r="N916" s="23">
        <f>ROUND(L916/M916, 0)</f>
        <v/>
      </c>
      <c r="O916" s="23">
        <f>ROUND(N916*'Methodology &amp; Assumptions'!$B$8, 0)</f>
        <v/>
      </c>
      <c r="P916" s="44" t="inlineStr">
        <is>
          <t>Band n50 (1.5 GHz, 60 MHz)</t>
        </is>
      </c>
      <c r="Q916" s="38">
        <f>ROUNDUP(O916/'Methodology &amp; Assumptions'!$B$9, 0)</f>
        <v/>
      </c>
      <c r="R916" s="39" t="n">
        <v>1</v>
      </c>
      <c r="S916" s="25" t="n">
        <v>1.16</v>
      </c>
      <c r="T916" s="25" t="n">
        <v>0.47</v>
      </c>
      <c r="U916" s="42" t="inlineStr">
        <is>
          <t>Tier 1B (Micro Drop, 1-3 km)</t>
        </is>
      </c>
      <c r="V916" s="24" t="n">
        <v>78</v>
      </c>
      <c r="W916" s="24" t="n">
        <v>100</v>
      </c>
      <c r="X916" s="24" t="n">
        <v>28</v>
      </c>
      <c r="Y916" s="45">
        <f>ROUND((V916*'Methodology &amp; Assumptions'!$B$6)+(W916*'Methodology &amp; Assumptions'!$B$5)+(X916*'Methodology &amp; Assumptions'!$B$7), 2)</f>
        <v/>
      </c>
    </row>
    <row r="917" ht="19" customHeight="1">
      <c r="A917" s="35" t="n">
        <v>913</v>
      </c>
      <c r="B917" s="35" t="n">
        <v>1913</v>
      </c>
      <c r="C917" s="36" t="inlineStr">
        <is>
          <t>0431200012</t>
        </is>
      </c>
      <c r="D917" s="36" t="inlineStr">
        <is>
          <t>Region IV-A (CALABARZON)</t>
        </is>
      </c>
      <c r="E917" s="36" t="inlineStr">
        <is>
          <t>Quezon</t>
        </is>
      </c>
      <c r="F917" s="36" t="inlineStr">
        <is>
          <t>City of Lucena</t>
        </is>
      </c>
      <c r="G917" s="36" t="inlineStr">
        <is>
          <t>Barangay 9</t>
        </is>
      </c>
      <c r="H917" s="37" t="n">
        <v>13.931172</v>
      </c>
      <c r="I917" s="37" t="n">
        <v>121.616318</v>
      </c>
      <c r="J917" s="8" t="inlineStr">
        <is>
          <t>U</t>
        </is>
      </c>
      <c r="K917" s="36" t="inlineStr">
        <is>
          <t>Class 1-3 / Urban</t>
        </is>
      </c>
      <c r="L917" s="18" t="n">
        <v>3403</v>
      </c>
      <c r="M917" s="20" t="n">
        <v>4.46</v>
      </c>
      <c r="N917" s="18">
        <f>ROUND(L917/M917, 0)</f>
        <v/>
      </c>
      <c r="O917" s="18">
        <f>ROUND(N917*'Methodology &amp; Assumptions'!$B$8, 0)</f>
        <v/>
      </c>
      <c r="P917" s="8" t="inlineStr">
        <is>
          <t>Band n50 (1.5 GHz, 60 MHz)</t>
        </is>
      </c>
      <c r="Q917" s="38">
        <f>ROUNDUP(O917/'Methodology &amp; Assumptions'!$B$9, 0)</f>
        <v/>
      </c>
      <c r="R917" s="39" t="n">
        <v>1</v>
      </c>
      <c r="S917" s="21" t="n">
        <v>0.5600000000000001</v>
      </c>
      <c r="T917" s="21" t="n">
        <v>0.44</v>
      </c>
      <c r="U917" s="36" t="inlineStr">
        <is>
          <t>Tier 1A (Direct Coloc, &lt;1 km)</t>
        </is>
      </c>
      <c r="V917" s="20" t="n">
        <v>93</v>
      </c>
      <c r="W917" s="20" t="n">
        <v>85.09999999999999</v>
      </c>
      <c r="X917" s="20" t="n">
        <v>28</v>
      </c>
      <c r="Y917" s="40">
        <f>ROUND((V917*'Methodology &amp; Assumptions'!$B$6)+(W917*'Methodology &amp; Assumptions'!$B$5)+(X917*'Methodology &amp; Assumptions'!$B$7), 2)</f>
        <v/>
      </c>
    </row>
    <row r="918" ht="19" customHeight="1">
      <c r="A918" s="41" t="n">
        <v>914</v>
      </c>
      <c r="B918" s="41" t="n">
        <v>1914</v>
      </c>
      <c r="C918" s="42" t="inlineStr">
        <is>
          <t>0702215009</t>
        </is>
      </c>
      <c r="D918" s="42" t="inlineStr">
        <is>
          <t>Region VII (Central Visayas)</t>
        </is>
      </c>
      <c r="E918" s="42" t="inlineStr">
        <is>
          <t>Cebu</t>
        </is>
      </c>
      <c r="F918" s="42" t="inlineStr">
        <is>
          <t>Carmen</t>
        </is>
      </c>
      <c r="G918" s="42" t="inlineStr">
        <is>
          <t>Cogon East</t>
        </is>
      </c>
      <c r="H918" s="43" t="n">
        <v>10.591184</v>
      </c>
      <c r="I918" s="43" t="n">
        <v>124.021235</v>
      </c>
      <c r="J918" s="44" t="inlineStr">
        <is>
          <t>R</t>
        </is>
      </c>
      <c r="K918" s="42" t="inlineStr">
        <is>
          <t>Class 1-3 / Urban</t>
        </is>
      </c>
      <c r="L918" s="23" t="n">
        <v>3316</v>
      </c>
      <c r="M918" s="24" t="n">
        <v>4.42</v>
      </c>
      <c r="N918" s="23">
        <f>ROUND(L918/M918, 0)</f>
        <v/>
      </c>
      <c r="O918" s="23">
        <f>ROUND(N918*'Methodology &amp; Assumptions'!$B$8, 0)</f>
        <v/>
      </c>
      <c r="P918" s="44" t="inlineStr">
        <is>
          <t>Band n50 (1.5 GHz, 60 MHz)</t>
        </is>
      </c>
      <c r="Q918" s="38">
        <f>ROUNDUP(O918/'Methodology &amp; Assumptions'!$B$9, 0)</f>
        <v/>
      </c>
      <c r="R918" s="39" t="n">
        <v>1</v>
      </c>
      <c r="S918" s="25" t="n">
        <v>1.62</v>
      </c>
      <c r="T918" s="25" t="n">
        <v>0.34</v>
      </c>
      <c r="U918" s="42" t="inlineStr">
        <is>
          <t>Tier 1B (Micro Drop, 1-3 km)</t>
        </is>
      </c>
      <c r="V918" s="24" t="n">
        <v>68.3</v>
      </c>
      <c r="W918" s="24" t="n">
        <v>84</v>
      </c>
      <c r="X918" s="24" t="n">
        <v>58</v>
      </c>
      <c r="Y918" s="45">
        <f>ROUND((V918*'Methodology &amp; Assumptions'!$B$6)+(W918*'Methodology &amp; Assumptions'!$B$5)+(X918*'Methodology &amp; Assumptions'!$B$7), 2)</f>
        <v/>
      </c>
    </row>
    <row r="919" ht="19" customHeight="1">
      <c r="A919" s="35" t="n">
        <v>915</v>
      </c>
      <c r="B919" s="35" t="n">
        <v>1915</v>
      </c>
      <c r="C919" s="36" t="inlineStr">
        <is>
          <t>0603006003</t>
        </is>
      </c>
      <c r="D919" s="36" t="inlineStr">
        <is>
          <t>Region VI (Western Visayas)</t>
        </is>
      </c>
      <c r="E919" s="36" t="inlineStr">
        <is>
          <t>Iloilo</t>
        </is>
      </c>
      <c r="F919" s="36" t="inlineStr">
        <is>
          <t>Banate</t>
        </is>
      </c>
      <c r="G919" s="36" t="inlineStr">
        <is>
          <t>Alacaygan</t>
        </is>
      </c>
      <c r="H919" s="37" t="n">
        <v>10.998298</v>
      </c>
      <c r="I919" s="37" t="n">
        <v>122.809597</v>
      </c>
      <c r="J919" s="8" t="inlineStr">
        <is>
          <t>R</t>
        </is>
      </c>
      <c r="K919" s="36" t="inlineStr">
        <is>
          <t>2nd</t>
        </is>
      </c>
      <c r="L919" s="18" t="n">
        <v>1973</v>
      </c>
      <c r="M919" s="20" t="n">
        <v>4.06</v>
      </c>
      <c r="N919" s="18">
        <f>ROUND(L919/M919, 0)</f>
        <v/>
      </c>
      <c r="O919" s="18">
        <f>ROUND(N919*'Methodology &amp; Assumptions'!$B$8, 0)</f>
        <v/>
      </c>
      <c r="P919" s="8" t="inlineStr">
        <is>
          <t>Band n50 (1.5 GHz, 60 MHz)</t>
        </is>
      </c>
      <c r="Q919" s="38">
        <f>ROUNDUP(O919/'Methodology &amp; Assumptions'!$B$9, 0)</f>
        <v/>
      </c>
      <c r="R919" s="39" t="n">
        <v>1</v>
      </c>
      <c r="S919" s="21" t="n">
        <v>0.6899999999999999</v>
      </c>
      <c r="T919" s="21" t="n">
        <v>0.22</v>
      </c>
      <c r="U919" s="36" t="inlineStr">
        <is>
          <t>Tier 1A (Direct Coloc, &lt;1 km)</t>
        </is>
      </c>
      <c r="V919" s="20" t="n">
        <v>89.3</v>
      </c>
      <c r="W919" s="20" t="n">
        <v>62.9</v>
      </c>
      <c r="X919" s="20" t="n">
        <v>58</v>
      </c>
      <c r="Y919" s="40">
        <f>ROUND((V919*'Methodology &amp; Assumptions'!$B$6)+(W919*'Methodology &amp; Assumptions'!$B$5)+(X919*'Methodology &amp; Assumptions'!$B$7), 2)</f>
        <v/>
      </c>
    </row>
    <row r="920" ht="19" customHeight="1">
      <c r="A920" s="41" t="n">
        <v>916</v>
      </c>
      <c r="B920" s="41" t="n">
        <v>1916</v>
      </c>
      <c r="C920" s="42" t="inlineStr">
        <is>
          <t>0702250001</t>
        </is>
      </c>
      <c r="D920" s="42" t="inlineStr">
        <is>
          <t>Region VII (Central Visayas)</t>
        </is>
      </c>
      <c r="E920" s="42" t="inlineStr">
        <is>
          <t>Cebu</t>
        </is>
      </c>
      <c r="F920" s="42" t="inlineStr">
        <is>
          <t>City of Talisay</t>
        </is>
      </c>
      <c r="G920" s="42" t="inlineStr">
        <is>
          <t>Bulacao</t>
        </is>
      </c>
      <c r="H920" s="43" t="n">
        <v>10.27204</v>
      </c>
      <c r="I920" s="43" t="n">
        <v>123.843489</v>
      </c>
      <c r="J920" s="44" t="inlineStr">
        <is>
          <t>U</t>
        </is>
      </c>
      <c r="K920" s="42" t="inlineStr">
        <is>
          <t>Class 1-3 / Urban</t>
        </is>
      </c>
      <c r="L920" s="23" t="n">
        <v>12360</v>
      </c>
      <c r="M920" s="24" t="n">
        <v>4.42</v>
      </c>
      <c r="N920" s="23">
        <f>ROUND(L920/M920, 0)</f>
        <v/>
      </c>
      <c r="O920" s="23">
        <f>ROUND(N920*'Methodology &amp; Assumptions'!$B$8, 0)</f>
        <v/>
      </c>
      <c r="P920" s="44" t="inlineStr">
        <is>
          <t>Band n50 (1.5 GHz, 60 MHz)</t>
        </is>
      </c>
      <c r="Q920" s="38">
        <f>ROUNDUP(O920/'Methodology &amp; Assumptions'!$B$9, 0)</f>
        <v/>
      </c>
      <c r="R920" s="39" t="n">
        <v>1</v>
      </c>
      <c r="S920" s="25" t="n">
        <v>1.16</v>
      </c>
      <c r="T920" s="25" t="n">
        <v>0.47</v>
      </c>
      <c r="U920" s="42" t="inlineStr">
        <is>
          <t>Tier 1B (Micro Drop, 1-3 km)</t>
        </is>
      </c>
      <c r="V920" s="24" t="n">
        <v>78</v>
      </c>
      <c r="W920" s="24" t="n">
        <v>100</v>
      </c>
      <c r="X920" s="24" t="n">
        <v>28</v>
      </c>
      <c r="Y920" s="45">
        <f>ROUND((V920*'Methodology &amp; Assumptions'!$B$6)+(W920*'Methodology &amp; Assumptions'!$B$5)+(X920*'Methodology &amp; Assumptions'!$B$7), 2)</f>
        <v/>
      </c>
    </row>
    <row r="921" ht="19" customHeight="1">
      <c r="A921" s="35" t="n">
        <v>917</v>
      </c>
      <c r="B921" s="35" t="n">
        <v>1917</v>
      </c>
      <c r="C921" s="36" t="inlineStr">
        <is>
          <t>1600201022</t>
        </is>
      </c>
      <c r="D921" s="36" t="inlineStr">
        <is>
          <t>Region XIII (Caraga)</t>
        </is>
      </c>
      <c r="E921" s="36" t="inlineStr">
        <is>
          <t>Agusan del Norte</t>
        </is>
      </c>
      <c r="F921" s="36" t="inlineStr">
        <is>
          <t>Buenavista</t>
        </is>
      </c>
      <c r="G921" s="36" t="inlineStr">
        <is>
          <t>Poblacion 10</t>
        </is>
      </c>
      <c r="H921" s="37" t="n">
        <v>8.979559999999999</v>
      </c>
      <c r="I921" s="37" t="n">
        <v>125.412718</v>
      </c>
      <c r="J921" s="8" t="inlineStr">
        <is>
          <t>R</t>
        </is>
      </c>
      <c r="K921" s="36" t="inlineStr">
        <is>
          <t>Class 1-3 / Urban</t>
        </is>
      </c>
      <c r="L921" s="18" t="n">
        <v>2669</v>
      </c>
      <c r="M921" s="20" t="n">
        <v>4.63</v>
      </c>
      <c r="N921" s="18">
        <f>ROUND(L921/M921, 0)</f>
        <v/>
      </c>
      <c r="O921" s="18">
        <f>ROUND(N921*'Methodology &amp; Assumptions'!$B$8, 0)</f>
        <v/>
      </c>
      <c r="P921" s="8" t="inlineStr">
        <is>
          <t>Band n50 (1.5 GHz, 60 MHz)</t>
        </is>
      </c>
      <c r="Q921" s="38">
        <f>ROUNDUP(O921/'Methodology &amp; Assumptions'!$B$9, 0)</f>
        <v/>
      </c>
      <c r="R921" s="39" t="n">
        <v>1</v>
      </c>
      <c r="S921" s="21" t="n">
        <v>0.98</v>
      </c>
      <c r="T921" s="21" t="n">
        <v>0.34</v>
      </c>
      <c r="U921" s="36" t="inlineStr">
        <is>
          <t>Tier 1A (Direct Coloc, &lt;1 km)</t>
        </is>
      </c>
      <c r="V921" s="20" t="n">
        <v>82.09999999999999</v>
      </c>
      <c r="W921" s="20" t="n">
        <v>70.09999999999999</v>
      </c>
      <c r="X921" s="20" t="n">
        <v>58</v>
      </c>
      <c r="Y921" s="40">
        <f>ROUND((V921*'Methodology &amp; Assumptions'!$B$6)+(W921*'Methodology &amp; Assumptions'!$B$5)+(X921*'Methodology &amp; Assumptions'!$B$7), 2)</f>
        <v/>
      </c>
    </row>
    <row r="922" ht="19" customHeight="1">
      <c r="A922" s="41" t="n">
        <v>918</v>
      </c>
      <c r="B922" s="41" t="n">
        <v>1918</v>
      </c>
      <c r="C922" s="42" t="inlineStr">
        <is>
          <t>0201506022</t>
        </is>
      </c>
      <c r="D922" s="42" t="inlineStr">
        <is>
          <t>Region II (Cagayan Valley)</t>
        </is>
      </c>
      <c r="E922" s="42" t="inlineStr">
        <is>
          <t>Cagayan</t>
        </is>
      </c>
      <c r="F922" s="42" t="inlineStr">
        <is>
          <t>Baggao</t>
        </is>
      </c>
      <c r="G922" s="42" t="inlineStr">
        <is>
          <t>Dalla</t>
        </is>
      </c>
      <c r="H922" s="43" t="n">
        <v>17.954342</v>
      </c>
      <c r="I922" s="43" t="n">
        <v>121.890761</v>
      </c>
      <c r="J922" s="44" t="inlineStr">
        <is>
          <t>R</t>
        </is>
      </c>
      <c r="K922" s="42" t="inlineStr">
        <is>
          <t>Class 1-3 / Urban</t>
        </is>
      </c>
      <c r="L922" s="23" t="n">
        <v>1673</v>
      </c>
      <c r="M922" s="24" t="n">
        <v>4.38</v>
      </c>
      <c r="N922" s="23">
        <f>ROUND(L922/M922, 0)</f>
        <v/>
      </c>
      <c r="O922" s="23">
        <f>ROUND(N922*'Methodology &amp; Assumptions'!$B$8, 0)</f>
        <v/>
      </c>
      <c r="P922" s="44" t="inlineStr">
        <is>
          <t>Band n50 (1.5 GHz, 60 MHz)</t>
        </is>
      </c>
      <c r="Q922" s="38">
        <f>ROUNDUP(O922/'Methodology &amp; Assumptions'!$B$9, 0)</f>
        <v/>
      </c>
      <c r="R922" s="39" t="n">
        <v>1</v>
      </c>
      <c r="S922" s="25" t="n">
        <v>0.07000000000000001</v>
      </c>
      <c r="T922" s="25" t="n">
        <v>21.13</v>
      </c>
      <c r="U922" s="42" t="inlineStr">
        <is>
          <t>Tier 1A (Direct Coloc, &lt;1 km)</t>
        </is>
      </c>
      <c r="V922" s="24" t="n">
        <v>97.59999999999999</v>
      </c>
      <c r="W922" s="24" t="n">
        <v>54.7</v>
      </c>
      <c r="X922" s="24" t="n">
        <v>58</v>
      </c>
      <c r="Y922" s="45">
        <f>ROUND((V922*'Methodology &amp; Assumptions'!$B$6)+(W922*'Methodology &amp; Assumptions'!$B$5)+(X922*'Methodology &amp; Assumptions'!$B$7), 2)</f>
        <v/>
      </c>
    </row>
    <row r="923" ht="19" customHeight="1">
      <c r="A923" s="35" t="n">
        <v>919</v>
      </c>
      <c r="B923" s="35" t="n">
        <v>1919</v>
      </c>
      <c r="C923" s="36" t="inlineStr">
        <is>
          <t>0201514020</t>
        </is>
      </c>
      <c r="D923" s="36" t="inlineStr">
        <is>
          <t>Region II (Cagayan Valley)</t>
        </is>
      </c>
      <c r="E923" s="36" t="inlineStr">
        <is>
          <t>Cagayan</t>
        </is>
      </c>
      <c r="F923" s="36" t="inlineStr">
        <is>
          <t>Gonzaga</t>
        </is>
      </c>
      <c r="G923" s="36" t="inlineStr">
        <is>
          <t>San Jose</t>
        </is>
      </c>
      <c r="H923" s="37" t="n">
        <v>18.3577</v>
      </c>
      <c r="I923" s="37" t="n">
        <v>122.1033</v>
      </c>
      <c r="J923" s="8" t="inlineStr">
        <is>
          <t>R</t>
        </is>
      </c>
      <c r="K923" s="36" t="inlineStr">
        <is>
          <t>Class 1-3 / Urban</t>
        </is>
      </c>
      <c r="L923" s="18" t="n">
        <v>1547</v>
      </c>
      <c r="M923" s="20" t="n">
        <v>4.38</v>
      </c>
      <c r="N923" s="18">
        <f>ROUND(L923/M923, 0)</f>
        <v/>
      </c>
      <c r="O923" s="18">
        <f>ROUND(N923*'Methodology &amp; Assumptions'!$B$8, 0)</f>
        <v/>
      </c>
      <c r="P923" s="8" t="inlineStr">
        <is>
          <t>Band n50 (1.5 GHz, 60 MHz)</t>
        </is>
      </c>
      <c r="Q923" s="38">
        <f>ROUNDUP(O923/'Methodology &amp; Assumptions'!$B$9, 0)</f>
        <v/>
      </c>
      <c r="R923" s="39" t="n">
        <v>1</v>
      </c>
      <c r="S923" s="21" t="n">
        <v>0.15</v>
      </c>
      <c r="T923" s="21" t="n">
        <v>0.09</v>
      </c>
      <c r="U923" s="36" t="inlineStr">
        <is>
          <t>Tier 1A (Direct Coloc, &lt;1 km)</t>
        </is>
      </c>
      <c r="V923" s="20" t="n">
        <v>100</v>
      </c>
      <c r="W923" s="20" t="n">
        <v>52.3</v>
      </c>
      <c r="X923" s="20" t="n">
        <v>58</v>
      </c>
      <c r="Y923" s="40">
        <f>ROUND((V923*'Methodology &amp; Assumptions'!$B$6)+(W923*'Methodology &amp; Assumptions'!$B$5)+(X923*'Methodology &amp; Assumptions'!$B$7), 2)</f>
        <v/>
      </c>
    </row>
    <row r="924" ht="19" customHeight="1">
      <c r="A924" s="41" t="n">
        <v>920</v>
      </c>
      <c r="B924" s="41" t="n">
        <v>1920</v>
      </c>
      <c r="C924" s="42" t="inlineStr">
        <is>
          <t>0402123003</t>
        </is>
      </c>
      <c r="D924" s="42" t="inlineStr">
        <is>
          <t>Region IV-A (CALABARZON)</t>
        </is>
      </c>
      <c r="E924" s="42" t="inlineStr">
        <is>
          <t>Cavite</t>
        </is>
      </c>
      <c r="F924" s="42" t="inlineStr">
        <is>
          <t>Gen. Mariano Alvarez</t>
        </is>
      </c>
      <c r="G924" s="42" t="inlineStr">
        <is>
          <t>Barangay 2 Poblacion</t>
        </is>
      </c>
      <c r="H924" s="43" t="n">
        <v>14.297372</v>
      </c>
      <c r="I924" s="43" t="n">
        <v>121.009448</v>
      </c>
      <c r="J924" s="44" t="inlineStr">
        <is>
          <t>R</t>
        </is>
      </c>
      <c r="K924" s="42" t="inlineStr">
        <is>
          <t>Class 1-3 / Urban</t>
        </is>
      </c>
      <c r="L924" s="23" t="n">
        <v>4163</v>
      </c>
      <c r="M924" s="24" t="n">
        <v>4.49</v>
      </c>
      <c r="N924" s="23">
        <f>ROUND(L924/M924, 0)</f>
        <v/>
      </c>
      <c r="O924" s="23">
        <f>ROUND(N924*'Methodology &amp; Assumptions'!$B$8, 0)</f>
        <v/>
      </c>
      <c r="P924" s="44" t="inlineStr">
        <is>
          <t>Band n50 (1.5 GHz, 60 MHz)</t>
        </is>
      </c>
      <c r="Q924" s="38">
        <f>ROUNDUP(O924/'Methodology &amp; Assumptions'!$B$9, 0)</f>
        <v/>
      </c>
      <c r="R924" s="39" t="n">
        <v>1</v>
      </c>
      <c r="S924" s="25" t="n">
        <v>1.84</v>
      </c>
      <c r="T924" s="25" t="n">
        <v>4.62</v>
      </c>
      <c r="U924" s="42" t="inlineStr">
        <is>
          <t>Tier 1B (Micro Drop, 1-3 km)</t>
        </is>
      </c>
      <c r="V924" s="24" t="n">
        <v>54.1</v>
      </c>
      <c r="W924" s="24" t="n">
        <v>98.09999999999999</v>
      </c>
      <c r="X924" s="24" t="n">
        <v>58</v>
      </c>
      <c r="Y924" s="45">
        <f>ROUND((V924*'Methodology &amp; Assumptions'!$B$6)+(W924*'Methodology &amp; Assumptions'!$B$5)+(X924*'Methodology &amp; Assumptions'!$B$7), 2)</f>
        <v/>
      </c>
    </row>
    <row r="925" ht="19" customHeight="1">
      <c r="A925" s="35" t="n">
        <v>921</v>
      </c>
      <c r="B925" s="35" t="n">
        <v>1921</v>
      </c>
      <c r="C925" s="36" t="inlineStr">
        <is>
          <t>0300803023</t>
        </is>
      </c>
      <c r="D925" s="36" t="inlineStr">
        <is>
          <t>Region III (Central Luzon)</t>
        </is>
      </c>
      <c r="E925" s="36" t="inlineStr">
        <is>
          <t>Bataan</t>
        </is>
      </c>
      <c r="F925" s="36" t="inlineStr">
        <is>
          <t>City of Balanga</t>
        </is>
      </c>
      <c r="G925" s="36" t="inlineStr">
        <is>
          <t>Tuyo</t>
        </is>
      </c>
      <c r="H925" s="37" t="n">
        <v>14.695015</v>
      </c>
      <c r="I925" s="37" t="n">
        <v>120.537602</v>
      </c>
      <c r="J925" s="8" t="inlineStr">
        <is>
          <t>U</t>
        </is>
      </c>
      <c r="K925" s="36" t="inlineStr">
        <is>
          <t>Class 1-3 / Urban</t>
        </is>
      </c>
      <c r="L925" s="18" t="n">
        <v>12057</v>
      </c>
      <c r="M925" s="20" t="n">
        <v>4.57</v>
      </c>
      <c r="N925" s="18">
        <f>ROUND(L925/M925, 0)</f>
        <v/>
      </c>
      <c r="O925" s="18">
        <f>ROUND(N925*'Methodology &amp; Assumptions'!$B$8, 0)</f>
        <v/>
      </c>
      <c r="P925" s="8" t="inlineStr">
        <is>
          <t>Band n50 (1.5 GHz, 60 MHz)</t>
        </is>
      </c>
      <c r="Q925" s="38">
        <f>ROUNDUP(O925/'Methodology &amp; Assumptions'!$B$9, 0)</f>
        <v/>
      </c>
      <c r="R925" s="39" t="n">
        <v>1</v>
      </c>
      <c r="S925" s="21" t="n">
        <v>1.16</v>
      </c>
      <c r="T925" s="21" t="n">
        <v>0.27</v>
      </c>
      <c r="U925" s="36" t="inlineStr">
        <is>
          <t>Tier 1B (Micro Drop, 1-3 km)</t>
        </is>
      </c>
      <c r="V925" s="20" t="n">
        <v>77.90000000000001</v>
      </c>
      <c r="W925" s="20" t="n">
        <v>100</v>
      </c>
      <c r="X925" s="20" t="n">
        <v>28</v>
      </c>
      <c r="Y925" s="40">
        <f>ROUND((V925*'Methodology &amp; Assumptions'!$B$6)+(W925*'Methodology &amp; Assumptions'!$B$5)+(X925*'Methodology &amp; Assumptions'!$B$7), 2)</f>
        <v/>
      </c>
    </row>
    <row r="926" ht="19" customHeight="1">
      <c r="A926" s="41" t="n">
        <v>922</v>
      </c>
      <c r="B926" s="41" t="n">
        <v>1922</v>
      </c>
      <c r="C926" s="42" t="inlineStr">
        <is>
          <t>0304924003</t>
        </is>
      </c>
      <c r="D926" s="42" t="inlineStr">
        <is>
          <t>Region III (Central Luzon)</t>
        </is>
      </c>
      <c r="E926" s="42" t="inlineStr">
        <is>
          <t>Nueva Ecija</t>
        </is>
      </c>
      <c r="F926" s="42" t="inlineStr">
        <is>
          <t>San Antonio</t>
        </is>
      </c>
      <c r="G926" s="42" t="inlineStr">
        <is>
          <t>Julo</t>
        </is>
      </c>
      <c r="H926" s="43" t="n">
        <v>15.304424</v>
      </c>
      <c r="I926" s="43" t="n">
        <v>120.864406</v>
      </c>
      <c r="J926" s="44" t="inlineStr">
        <is>
          <t>U</t>
        </is>
      </c>
      <c r="K926" s="42" t="inlineStr">
        <is>
          <t>Class 1-3 / Urban</t>
        </is>
      </c>
      <c r="L926" s="23" t="n">
        <v>5082</v>
      </c>
      <c r="M926" s="24" t="n">
        <v>4.32</v>
      </c>
      <c r="N926" s="23">
        <f>ROUND(L926/M926, 0)</f>
        <v/>
      </c>
      <c r="O926" s="23">
        <f>ROUND(N926*'Methodology &amp; Assumptions'!$B$8, 0)</f>
        <v/>
      </c>
      <c r="P926" s="44" t="inlineStr">
        <is>
          <t>Band n50 (1.5 GHz, 60 MHz)</t>
        </is>
      </c>
      <c r="Q926" s="38">
        <f>ROUNDUP(O926/'Methodology &amp; Assumptions'!$B$9, 0)</f>
        <v/>
      </c>
      <c r="R926" s="39" t="n">
        <v>1</v>
      </c>
      <c r="S926" s="25" t="n">
        <v>0.75</v>
      </c>
      <c r="T926" s="25" t="n">
        <v>2.52</v>
      </c>
      <c r="U926" s="42" t="inlineStr">
        <is>
          <t>Tier 1A (Direct Coloc, &lt;1 km)</t>
        </is>
      </c>
      <c r="V926" s="24" t="n">
        <v>77.90000000000001</v>
      </c>
      <c r="W926" s="24" t="n">
        <v>100</v>
      </c>
      <c r="X926" s="24" t="n">
        <v>28</v>
      </c>
      <c r="Y926" s="45">
        <f>ROUND((V926*'Methodology &amp; Assumptions'!$B$6)+(W926*'Methodology &amp; Assumptions'!$B$5)+(X926*'Methodology &amp; Assumptions'!$B$7), 2)</f>
        <v/>
      </c>
    </row>
    <row r="927" ht="19" customHeight="1">
      <c r="A927" s="35" t="n">
        <v>923</v>
      </c>
      <c r="B927" s="35" t="n">
        <v>1923</v>
      </c>
      <c r="C927" s="36" t="inlineStr">
        <is>
          <t>0300804008</t>
        </is>
      </c>
      <c r="D927" s="36" t="inlineStr">
        <is>
          <t>Region III (Central Luzon)</t>
        </is>
      </c>
      <c r="E927" s="36" t="inlineStr">
        <is>
          <t>Bataan</t>
        </is>
      </c>
      <c r="F927" s="36" t="inlineStr">
        <is>
          <t>Dinalupihan</t>
        </is>
      </c>
      <c r="G927" s="36" t="inlineStr">
        <is>
          <t>Daang Bago</t>
        </is>
      </c>
      <c r="H927" s="37" t="n">
        <v>14.855969</v>
      </c>
      <c r="I927" s="37" t="n">
        <v>120.479824</v>
      </c>
      <c r="J927" s="8" t="inlineStr">
        <is>
          <t>R</t>
        </is>
      </c>
      <c r="K927" s="36" t="inlineStr">
        <is>
          <t>Class 1-3 / Urban</t>
        </is>
      </c>
      <c r="L927" s="18" t="n">
        <v>3247</v>
      </c>
      <c r="M927" s="20" t="n">
        <v>4.57</v>
      </c>
      <c r="N927" s="18">
        <f>ROUND(L927/M927, 0)</f>
        <v/>
      </c>
      <c r="O927" s="18">
        <f>ROUND(N927*'Methodology &amp; Assumptions'!$B$8, 0)</f>
        <v/>
      </c>
      <c r="P927" s="8" t="inlineStr">
        <is>
          <t>Band n50 (1.5 GHz, 60 MHz)</t>
        </is>
      </c>
      <c r="Q927" s="38">
        <f>ROUNDUP(O927/'Methodology &amp; Assumptions'!$B$9, 0)</f>
        <v/>
      </c>
      <c r="R927" s="39" t="n">
        <v>1</v>
      </c>
      <c r="S927" s="21" t="n">
        <v>1.46</v>
      </c>
      <c r="T927" s="21" t="n">
        <v>0.2</v>
      </c>
      <c r="U927" s="36" t="inlineStr">
        <is>
          <t>Tier 1B (Micro Drop, 1-3 km)</t>
        </is>
      </c>
      <c r="V927" s="20" t="n">
        <v>71.40000000000001</v>
      </c>
      <c r="W927" s="20" t="n">
        <v>80.8</v>
      </c>
      <c r="X927" s="20" t="n">
        <v>58</v>
      </c>
      <c r="Y927" s="40">
        <f>ROUND((V927*'Methodology &amp; Assumptions'!$B$6)+(W927*'Methodology &amp; Assumptions'!$B$5)+(X927*'Methodology &amp; Assumptions'!$B$7), 2)</f>
        <v/>
      </c>
    </row>
    <row r="928" ht="19" customHeight="1">
      <c r="A928" s="41" t="n">
        <v>924</v>
      </c>
      <c r="B928" s="41" t="n">
        <v>1924</v>
      </c>
      <c r="C928" s="42" t="inlineStr">
        <is>
          <t>0304925002</t>
        </is>
      </c>
      <c r="D928" s="42" t="inlineStr">
        <is>
          <t>Region III (Central Luzon)</t>
        </is>
      </c>
      <c r="E928" s="42" t="inlineStr">
        <is>
          <t>Nueva Ecija</t>
        </is>
      </c>
      <c r="F928" s="42" t="inlineStr">
        <is>
          <t>San Isidro</t>
        </is>
      </c>
      <c r="G928" s="42" t="inlineStr">
        <is>
          <t>Calaba</t>
        </is>
      </c>
      <c r="H928" s="43" t="n">
        <v>15.301659</v>
      </c>
      <c r="I928" s="43" t="n">
        <v>120.873862</v>
      </c>
      <c r="J928" s="44" t="inlineStr">
        <is>
          <t>U</t>
        </is>
      </c>
      <c r="K928" s="42" t="inlineStr">
        <is>
          <t>Class 1-3 / Urban</t>
        </is>
      </c>
      <c r="L928" s="23" t="n">
        <v>5290</v>
      </c>
      <c r="M928" s="24" t="n">
        <v>4.32</v>
      </c>
      <c r="N928" s="23">
        <f>ROUND(L928/M928, 0)</f>
        <v/>
      </c>
      <c r="O928" s="23">
        <f>ROUND(N928*'Methodology &amp; Assumptions'!$B$8, 0)</f>
        <v/>
      </c>
      <c r="P928" s="44" t="inlineStr">
        <is>
          <t>Band n50 (1.5 GHz, 60 MHz)</t>
        </is>
      </c>
      <c r="Q928" s="38">
        <f>ROUNDUP(O928/'Methodology &amp; Assumptions'!$B$9, 0)</f>
        <v/>
      </c>
      <c r="R928" s="39" t="n">
        <v>1</v>
      </c>
      <c r="S928" s="25" t="n">
        <v>1.79</v>
      </c>
      <c r="T928" s="25" t="n">
        <v>1.51</v>
      </c>
      <c r="U928" s="42" t="inlineStr">
        <is>
          <t>Tier 1B (Micro Drop, 1-3 km)</t>
        </is>
      </c>
      <c r="V928" s="24" t="n">
        <v>65</v>
      </c>
      <c r="W928" s="24" t="n">
        <v>100</v>
      </c>
      <c r="X928" s="24" t="n">
        <v>43</v>
      </c>
      <c r="Y928" s="45">
        <f>ROUND((V928*'Methodology &amp; Assumptions'!$B$6)+(W928*'Methodology &amp; Assumptions'!$B$5)+(X928*'Methodology &amp; Assumptions'!$B$7), 2)</f>
        <v/>
      </c>
    </row>
    <row r="929" ht="19" customHeight="1">
      <c r="A929" s="35" t="n">
        <v>925</v>
      </c>
      <c r="B929" s="35" t="n">
        <v>1925</v>
      </c>
      <c r="C929" s="36" t="inlineStr">
        <is>
          <t>0301412010</t>
        </is>
      </c>
      <c r="D929" s="36" t="inlineStr">
        <is>
          <t>Region III (Central Luzon)</t>
        </is>
      </c>
      <c r="E929" s="36" t="inlineStr">
        <is>
          <t>Bulacan</t>
        </is>
      </c>
      <c r="F929" s="36" t="inlineStr">
        <is>
          <t>City of Meycauayan</t>
        </is>
      </c>
      <c r="G929" s="36" t="inlineStr">
        <is>
          <t>Langka</t>
        </is>
      </c>
      <c r="H929" s="37" t="n">
        <v>14.739728</v>
      </c>
      <c r="I929" s="37" t="n">
        <v>120.979153</v>
      </c>
      <c r="J929" s="8" t="inlineStr">
        <is>
          <t>U</t>
        </is>
      </c>
      <c r="K929" s="36" t="inlineStr">
        <is>
          <t>Class 1-3 / Urban</t>
        </is>
      </c>
      <c r="L929" s="18" t="n">
        <v>4319</v>
      </c>
      <c r="M929" s="20" t="n">
        <v>4.1</v>
      </c>
      <c r="N929" s="18">
        <f>ROUND(L929/M929, 0)</f>
        <v/>
      </c>
      <c r="O929" s="18">
        <f>ROUND(N929*'Methodology &amp; Assumptions'!$B$8, 0)</f>
        <v/>
      </c>
      <c r="P929" s="8" t="inlineStr">
        <is>
          <t>Band n50 (1.5 GHz, 60 MHz)</t>
        </is>
      </c>
      <c r="Q929" s="38">
        <f>ROUNDUP(O929/'Methodology &amp; Assumptions'!$B$9, 0)</f>
        <v/>
      </c>
      <c r="R929" s="39" t="n">
        <v>1</v>
      </c>
      <c r="S929" s="21" t="n">
        <v>1.16</v>
      </c>
      <c r="T929" s="21" t="n">
        <v>1.08</v>
      </c>
      <c r="U929" s="36" t="inlineStr">
        <is>
          <t>Tier 1B (Micro Drop, 1-3 km)</t>
        </is>
      </c>
      <c r="V929" s="20" t="n">
        <v>77.90000000000001</v>
      </c>
      <c r="W929" s="20" t="n">
        <v>100</v>
      </c>
      <c r="X929" s="20" t="n">
        <v>28</v>
      </c>
      <c r="Y929" s="40">
        <f>ROUND((V929*'Methodology &amp; Assumptions'!$B$6)+(W929*'Methodology &amp; Assumptions'!$B$5)+(X929*'Methodology &amp; Assumptions'!$B$7), 2)</f>
        <v/>
      </c>
    </row>
    <row r="930" ht="19" customHeight="1">
      <c r="A930" s="41" t="n">
        <v>926</v>
      </c>
      <c r="B930" s="41" t="n">
        <v>1926</v>
      </c>
      <c r="C930" s="42" t="inlineStr">
        <is>
          <t>0401002018</t>
        </is>
      </c>
      <c r="D930" s="42" t="inlineStr">
        <is>
          <t>Region IV-A (CALABARZON)</t>
        </is>
      </c>
      <c r="E930" s="42" t="inlineStr">
        <is>
          <t>Batangas</t>
        </is>
      </c>
      <c r="F930" s="42" t="inlineStr">
        <is>
          <t>Alitagtag</t>
        </is>
      </c>
      <c r="G930" s="42" t="inlineStr">
        <is>
          <t>San Jose</t>
        </is>
      </c>
      <c r="H930" s="43" t="n">
        <v>13.864216</v>
      </c>
      <c r="I930" s="43" t="n">
        <v>120.997172</v>
      </c>
      <c r="J930" s="44" t="inlineStr">
        <is>
          <t>R</t>
        </is>
      </c>
      <c r="K930" s="42" t="inlineStr">
        <is>
          <t>4th</t>
        </is>
      </c>
      <c r="L930" s="23" t="n">
        <v>2441</v>
      </c>
      <c r="M930" s="24" t="n">
        <v>4.55</v>
      </c>
      <c r="N930" s="23">
        <f>ROUND(L930/M930, 0)</f>
        <v/>
      </c>
      <c r="O930" s="23">
        <f>ROUND(N930*'Methodology &amp; Assumptions'!$B$8, 0)</f>
        <v/>
      </c>
      <c r="P930" s="44" t="inlineStr">
        <is>
          <t>Band n50 (1.5 GHz, 60 MHz)</t>
        </is>
      </c>
      <c r="Q930" s="38">
        <f>ROUNDUP(O930/'Methodology &amp; Assumptions'!$B$9, 0)</f>
        <v/>
      </c>
      <c r="R930" s="39" t="n">
        <v>1</v>
      </c>
      <c r="S930" s="25" t="n">
        <v>1.24</v>
      </c>
      <c r="T930" s="25" t="n">
        <v>0.47</v>
      </c>
      <c r="U930" s="42" t="inlineStr">
        <is>
          <t>Tier 1B (Micro Drop, 1-3 km)</t>
        </is>
      </c>
      <c r="V930" s="24" t="n">
        <v>76.2</v>
      </c>
      <c r="W930" s="24" t="n">
        <v>66.90000000000001</v>
      </c>
      <c r="X930" s="24" t="n">
        <v>68.5</v>
      </c>
      <c r="Y930" s="45">
        <f>ROUND((V930*'Methodology &amp; Assumptions'!$B$6)+(W930*'Methodology &amp; Assumptions'!$B$5)+(X930*'Methodology &amp; Assumptions'!$B$7), 2)</f>
        <v/>
      </c>
    </row>
    <row r="931" ht="19" customHeight="1">
      <c r="A931" s="35" t="n">
        <v>927</v>
      </c>
      <c r="B931" s="35" t="n">
        <v>1927</v>
      </c>
      <c r="C931" s="36" t="inlineStr">
        <is>
          <t>0301410031</t>
        </is>
      </c>
      <c r="D931" s="36" t="inlineStr">
        <is>
          <t>Region III (Central Luzon)</t>
        </is>
      </c>
      <c r="E931" s="36" t="inlineStr">
        <is>
          <t>Bulacan</t>
        </is>
      </c>
      <c r="F931" s="36" t="inlineStr">
        <is>
          <t>City of Malolos</t>
        </is>
      </c>
      <c r="G931" s="36" t="inlineStr">
        <is>
          <t>Mambog</t>
        </is>
      </c>
      <c r="H931" s="37" t="n">
        <v>14.481451</v>
      </c>
      <c r="I931" s="37" t="n">
        <v>121.211934</v>
      </c>
      <c r="J931" s="8" t="inlineStr">
        <is>
          <t>R</t>
        </is>
      </c>
      <c r="K931" s="36" t="inlineStr">
        <is>
          <t>Class 1-3 / Urban</t>
        </is>
      </c>
      <c r="L931" s="18" t="n">
        <v>2836</v>
      </c>
      <c r="M931" s="20" t="n">
        <v>4.1</v>
      </c>
      <c r="N931" s="18">
        <f>ROUND(L931/M931, 0)</f>
        <v/>
      </c>
      <c r="O931" s="18">
        <f>ROUND(N931*'Methodology &amp; Assumptions'!$B$8, 0)</f>
        <v/>
      </c>
      <c r="P931" s="8" t="inlineStr">
        <is>
          <t>Band n50 (1.5 GHz, 60 MHz)</t>
        </is>
      </c>
      <c r="Q931" s="38">
        <f>ROUNDUP(O931/'Methodology &amp; Assumptions'!$B$9, 0)</f>
        <v/>
      </c>
      <c r="R931" s="39" t="n">
        <v>1</v>
      </c>
      <c r="S931" s="21" t="n">
        <v>1.4</v>
      </c>
      <c r="T931" s="21" t="n">
        <v>0.43</v>
      </c>
      <c r="U931" s="36" t="inlineStr">
        <is>
          <t>Tier 1B (Micro Drop, 1-3 km)</t>
        </is>
      </c>
      <c r="V931" s="20" t="n">
        <v>72.7</v>
      </c>
      <c r="W931" s="20" t="n">
        <v>79.5</v>
      </c>
      <c r="X931" s="20" t="n">
        <v>58</v>
      </c>
      <c r="Y931" s="40">
        <f>ROUND((V931*'Methodology &amp; Assumptions'!$B$6)+(W931*'Methodology &amp; Assumptions'!$B$5)+(X931*'Methodology &amp; Assumptions'!$B$7), 2)</f>
        <v/>
      </c>
    </row>
    <row r="932" ht="19" customHeight="1">
      <c r="A932" s="41" t="n">
        <v>928</v>
      </c>
      <c r="B932" s="41" t="n">
        <v>1928</v>
      </c>
      <c r="C932" s="42" t="inlineStr">
        <is>
          <t>0702205035</t>
        </is>
      </c>
      <c r="D932" s="42" t="inlineStr">
        <is>
          <t>Region VII (Central Visayas)</t>
        </is>
      </c>
      <c r="E932" s="42" t="inlineStr">
        <is>
          <t>Cebu</t>
        </is>
      </c>
      <c r="F932" s="42" t="inlineStr">
        <is>
          <t>Argao</t>
        </is>
      </c>
      <c r="G932" s="42" t="inlineStr">
        <is>
          <t>Poblacion</t>
        </is>
      </c>
      <c r="H932" s="43" t="n">
        <v>9.880674000000001</v>
      </c>
      <c r="I932" s="43" t="n">
        <v>123.608917</v>
      </c>
      <c r="J932" s="44" t="inlineStr">
        <is>
          <t>U</t>
        </is>
      </c>
      <c r="K932" s="42" t="inlineStr">
        <is>
          <t>Class 1-3 / Urban</t>
        </is>
      </c>
      <c r="L932" s="23" t="n">
        <v>6009</v>
      </c>
      <c r="M932" s="24" t="n">
        <v>4.42</v>
      </c>
      <c r="N932" s="23">
        <f>ROUND(L932/M932, 0)</f>
        <v/>
      </c>
      <c r="O932" s="23">
        <f>ROUND(N932*'Methodology &amp; Assumptions'!$B$8, 0)</f>
        <v/>
      </c>
      <c r="P932" s="44" t="inlineStr">
        <is>
          <t>Band n50 (1.5 GHz, 60 MHz)</t>
        </is>
      </c>
      <c r="Q932" s="38">
        <f>ROUNDUP(O932/'Methodology &amp; Assumptions'!$B$9, 0)</f>
        <v/>
      </c>
      <c r="R932" s="39" t="n">
        <v>1</v>
      </c>
      <c r="S932" s="25" t="n">
        <v>1.16</v>
      </c>
      <c r="T932" s="25" t="n">
        <v>0.54</v>
      </c>
      <c r="U932" s="42" t="inlineStr">
        <is>
          <t>Tier 1B (Micro Drop, 1-3 km)</t>
        </is>
      </c>
      <c r="V932" s="24" t="n">
        <v>77.90000000000001</v>
      </c>
      <c r="W932" s="24" t="n">
        <v>100</v>
      </c>
      <c r="X932" s="24" t="n">
        <v>28</v>
      </c>
      <c r="Y932" s="45">
        <f>ROUND((V932*'Methodology &amp; Assumptions'!$B$6)+(W932*'Methodology &amp; Assumptions'!$B$5)+(X932*'Methodology &amp; Assumptions'!$B$7), 2)</f>
        <v/>
      </c>
    </row>
    <row r="933" ht="19" customHeight="1">
      <c r="A933" s="35" t="n">
        <v>929</v>
      </c>
      <c r="B933" s="35" t="n">
        <v>1929</v>
      </c>
      <c r="C933" s="36" t="inlineStr">
        <is>
          <t>0305409002</t>
        </is>
      </c>
      <c r="D933" s="36" t="inlineStr">
        <is>
          <t>Region III (Central Luzon)</t>
        </is>
      </c>
      <c r="E933" s="36" t="inlineStr">
        <is>
          <t>Pampanga</t>
        </is>
      </c>
      <c r="F933" s="36" t="inlineStr">
        <is>
          <t>Mabalacat City</t>
        </is>
      </c>
      <c r="G933" s="36" t="inlineStr">
        <is>
          <t>Bical</t>
        </is>
      </c>
      <c r="H933" s="37" t="n">
        <v>15.194996</v>
      </c>
      <c r="I933" s="37" t="n">
        <v>120.61977</v>
      </c>
      <c r="J933" s="8" t="inlineStr">
        <is>
          <t>R</t>
        </is>
      </c>
      <c r="K933" s="36" t="inlineStr">
        <is>
          <t>Class 1-3 / Urban</t>
        </is>
      </c>
      <c r="L933" s="18" t="n">
        <v>4786</v>
      </c>
      <c r="M933" s="20" t="n">
        <v>4.63</v>
      </c>
      <c r="N933" s="18">
        <f>ROUND(L933/M933, 0)</f>
        <v/>
      </c>
      <c r="O933" s="18">
        <f>ROUND(N933*'Methodology &amp; Assumptions'!$B$8, 0)</f>
        <v/>
      </c>
      <c r="P933" s="8" t="inlineStr">
        <is>
          <t>Band n50 (1.5 GHz, 60 MHz)</t>
        </is>
      </c>
      <c r="Q933" s="38">
        <f>ROUNDUP(O933/'Methodology &amp; Assumptions'!$B$9, 0)</f>
        <v/>
      </c>
      <c r="R933" s="39" t="n">
        <v>1</v>
      </c>
      <c r="S933" s="21" t="n">
        <v>2.59</v>
      </c>
      <c r="T933" s="21" t="n">
        <v>1.69</v>
      </c>
      <c r="U933" s="36" t="inlineStr">
        <is>
          <t>Tier 1B (Micro Drop, 1-3 km)</t>
        </is>
      </c>
      <c r="V933" s="20" t="n">
        <v>52.2</v>
      </c>
      <c r="W933" s="20" t="n">
        <v>100</v>
      </c>
      <c r="X933" s="20" t="n">
        <v>58</v>
      </c>
      <c r="Y933" s="40">
        <f>ROUND((V933*'Methodology &amp; Assumptions'!$B$6)+(W933*'Methodology &amp; Assumptions'!$B$5)+(X933*'Methodology &amp; Assumptions'!$B$7), 2)</f>
        <v/>
      </c>
    </row>
    <row r="934" ht="19" customHeight="1">
      <c r="A934" s="41" t="n">
        <v>930</v>
      </c>
      <c r="B934" s="41" t="n">
        <v>1930</v>
      </c>
      <c r="C934" s="42" t="inlineStr">
        <is>
          <t>0803739018</t>
        </is>
      </c>
      <c r="D934" s="42" t="inlineStr">
        <is>
          <t>Region VIII (Eastern Visayas)</t>
        </is>
      </c>
      <c r="E934" s="42" t="inlineStr">
        <is>
          <t>Leyte</t>
        </is>
      </c>
      <c r="F934" s="42" t="inlineStr">
        <is>
          <t>Palo</t>
        </is>
      </c>
      <c r="G934" s="42" t="inlineStr">
        <is>
          <t>Naga-naga</t>
        </is>
      </c>
      <c r="H934" s="43" t="n">
        <v>11.154771</v>
      </c>
      <c r="I934" s="43" t="n">
        <v>124.991015</v>
      </c>
      <c r="J934" s="44" t="inlineStr">
        <is>
          <t>R</t>
        </is>
      </c>
      <c r="K934" s="42" t="inlineStr">
        <is>
          <t>Class 1-3 / Urban</t>
        </is>
      </c>
      <c r="L934" s="23" t="n">
        <v>2661</v>
      </c>
      <c r="M934" s="24" t="n">
        <v>4.24</v>
      </c>
      <c r="N934" s="23">
        <f>ROUND(L934/M934, 0)</f>
        <v/>
      </c>
      <c r="O934" s="23">
        <f>ROUND(N934*'Methodology &amp; Assumptions'!$B$8, 0)</f>
        <v/>
      </c>
      <c r="P934" s="44" t="inlineStr">
        <is>
          <t>Band n50 (1.5 GHz, 60 MHz)</t>
        </is>
      </c>
      <c r="Q934" s="38">
        <f>ROUNDUP(O934/'Methodology &amp; Assumptions'!$B$9, 0)</f>
        <v/>
      </c>
      <c r="R934" s="39" t="n">
        <v>1</v>
      </c>
      <c r="S934" s="25" t="n">
        <v>1.16</v>
      </c>
      <c r="T934" s="25" t="n">
        <v>0.43</v>
      </c>
      <c r="U934" s="42" t="inlineStr">
        <is>
          <t>Tier 1B (Micro Drop, 1-3 km)</t>
        </is>
      </c>
      <c r="V934" s="24" t="n">
        <v>78</v>
      </c>
      <c r="W934" s="24" t="n">
        <v>74.09999999999999</v>
      </c>
      <c r="X934" s="24" t="n">
        <v>58</v>
      </c>
      <c r="Y934" s="45">
        <f>ROUND((V934*'Methodology &amp; Assumptions'!$B$6)+(W934*'Methodology &amp; Assumptions'!$B$5)+(X934*'Methodology &amp; Assumptions'!$B$7), 2)</f>
        <v/>
      </c>
    </row>
    <row r="935" ht="19" customHeight="1">
      <c r="A935" s="35" t="n">
        <v>931</v>
      </c>
      <c r="B935" s="35" t="n">
        <v>1931</v>
      </c>
      <c r="C935" s="36" t="inlineStr">
        <is>
          <t>0401023029</t>
        </is>
      </c>
      <c r="D935" s="36" t="inlineStr">
        <is>
          <t>Region IV-A (CALABARZON)</t>
        </is>
      </c>
      <c r="E935" s="36" t="inlineStr">
        <is>
          <t>Batangas</t>
        </is>
      </c>
      <c r="F935" s="36" t="inlineStr">
        <is>
          <t>San Juan</t>
        </is>
      </c>
      <c r="G935" s="36" t="inlineStr">
        <is>
          <t>Poblacion</t>
        </is>
      </c>
      <c r="H935" s="37" t="n">
        <v>13.827654</v>
      </c>
      <c r="I935" s="37" t="n">
        <v>121.394731</v>
      </c>
      <c r="J935" s="8" t="inlineStr">
        <is>
          <t>U</t>
        </is>
      </c>
      <c r="K935" s="36" t="inlineStr">
        <is>
          <t>Class 1-3 / Urban</t>
        </is>
      </c>
      <c r="L935" s="18" t="n">
        <v>3116</v>
      </c>
      <c r="M935" s="20" t="n">
        <v>4.62</v>
      </c>
      <c r="N935" s="18">
        <f>ROUND(L935/M935, 0)</f>
        <v/>
      </c>
      <c r="O935" s="18">
        <f>ROUND(N935*'Methodology &amp; Assumptions'!$B$8, 0)</f>
        <v/>
      </c>
      <c r="P935" s="8" t="inlineStr">
        <is>
          <t>Band n50 (1.5 GHz, 60 MHz)</t>
        </is>
      </c>
      <c r="Q935" s="38">
        <f>ROUNDUP(O935/'Methodology &amp; Assumptions'!$B$9, 0)</f>
        <v/>
      </c>
      <c r="R935" s="39" t="n">
        <v>1</v>
      </c>
      <c r="S935" s="21" t="n">
        <v>0.31</v>
      </c>
      <c r="T935" s="21" t="n">
        <v>0.31</v>
      </c>
      <c r="U935" s="36" t="inlineStr">
        <is>
          <t>Tier 1A (Direct Coloc, &lt;1 km)</t>
        </is>
      </c>
      <c r="V935" s="20" t="n">
        <v>100</v>
      </c>
      <c r="W935" s="20" t="n">
        <v>77.90000000000001</v>
      </c>
      <c r="X935" s="20" t="n">
        <v>28</v>
      </c>
      <c r="Y935" s="40">
        <f>ROUND((V935*'Methodology &amp; Assumptions'!$B$6)+(W935*'Methodology &amp; Assumptions'!$B$5)+(X935*'Methodology &amp; Assumptions'!$B$7), 2)</f>
        <v/>
      </c>
    </row>
    <row r="936" ht="19" customHeight="1">
      <c r="A936" s="41" t="n">
        <v>932</v>
      </c>
      <c r="B936" s="41" t="n">
        <v>1932</v>
      </c>
      <c r="C936" s="42" t="inlineStr">
        <is>
          <t>0105538003</t>
        </is>
      </c>
      <c r="D936" s="42" t="inlineStr">
        <is>
          <t>Region I (Ilocos Region)</t>
        </is>
      </c>
      <c r="E936" s="42" t="inlineStr">
        <is>
          <t>Pangasinan</t>
        </is>
      </c>
      <c r="F936" s="42" t="inlineStr">
        <is>
          <t>Santa Barbara</t>
        </is>
      </c>
      <c r="G936" s="42" t="inlineStr">
        <is>
          <t>Banaoang</t>
        </is>
      </c>
      <c r="H936" s="43" t="n">
        <v>15.99056</v>
      </c>
      <c r="I936" s="43" t="n">
        <v>120.436606</v>
      </c>
      <c r="J936" s="44" t="inlineStr">
        <is>
          <t>R</t>
        </is>
      </c>
      <c r="K936" s="42" t="inlineStr">
        <is>
          <t>Class 1-3 / Urban</t>
        </is>
      </c>
      <c r="L936" s="23" t="n">
        <v>4477</v>
      </c>
      <c r="M936" s="24" t="n">
        <v>4.39</v>
      </c>
      <c r="N936" s="23">
        <f>ROUND(L936/M936, 0)</f>
        <v/>
      </c>
      <c r="O936" s="23">
        <f>ROUND(N936*'Methodology &amp; Assumptions'!$B$8, 0)</f>
        <v/>
      </c>
      <c r="P936" s="44" t="inlineStr">
        <is>
          <t>Band n50 (1.5 GHz, 60 MHz)</t>
        </is>
      </c>
      <c r="Q936" s="38">
        <f>ROUNDUP(O936/'Methodology &amp; Assumptions'!$B$9, 0)</f>
        <v/>
      </c>
      <c r="R936" s="39" t="n">
        <v>1</v>
      </c>
      <c r="S936" s="25" t="n">
        <v>2.59</v>
      </c>
      <c r="T936" s="25" t="n">
        <v>0.1</v>
      </c>
      <c r="U936" s="42" t="inlineStr">
        <is>
          <t>Tier 1B (Micro Drop, 1-3 km)</t>
        </is>
      </c>
      <c r="V936" s="24" t="n">
        <v>52.1</v>
      </c>
      <c r="W936" s="24" t="n">
        <v>100</v>
      </c>
      <c r="X936" s="24" t="n">
        <v>58</v>
      </c>
      <c r="Y936" s="45">
        <f>ROUND((V936*'Methodology &amp; Assumptions'!$B$6)+(W936*'Methodology &amp; Assumptions'!$B$5)+(X936*'Methodology &amp; Assumptions'!$B$7), 2)</f>
        <v/>
      </c>
    </row>
    <row r="937" ht="19" customHeight="1">
      <c r="A937" s="35" t="n">
        <v>933</v>
      </c>
      <c r="B937" s="35" t="n">
        <v>1933</v>
      </c>
      <c r="C937" s="36" t="inlineStr">
        <is>
          <t>0604518002</t>
        </is>
      </c>
      <c r="D937" s="36" t="inlineStr">
        <is>
          <t>Region VI (Western Visayas)</t>
        </is>
      </c>
      <c r="E937" s="36" t="inlineStr">
        <is>
          <t>Negros Occidental</t>
        </is>
      </c>
      <c r="F937" s="36" t="inlineStr">
        <is>
          <t>Manapla</t>
        </is>
      </c>
      <c r="G937" s="36" t="inlineStr">
        <is>
          <t>Barangay I</t>
        </is>
      </c>
      <c r="H937" s="37" t="n">
        <v>10.955895</v>
      </c>
      <c r="I937" s="37" t="n">
        <v>123.126099</v>
      </c>
      <c r="J937" s="8" t="inlineStr">
        <is>
          <t>R</t>
        </is>
      </c>
      <c r="K937" s="36" t="inlineStr">
        <is>
          <t>Class 1-3 / Urban</t>
        </is>
      </c>
      <c r="L937" s="18" t="n">
        <v>2151</v>
      </c>
      <c r="M937" s="20" t="n">
        <v>4.33</v>
      </c>
      <c r="N937" s="18">
        <f>ROUND(L937/M937, 0)</f>
        <v/>
      </c>
      <c r="O937" s="18">
        <f>ROUND(N937*'Methodology &amp; Assumptions'!$B$8, 0)</f>
        <v/>
      </c>
      <c r="P937" s="8" t="inlineStr">
        <is>
          <t>Band n50 (1.5 GHz, 60 MHz)</t>
        </is>
      </c>
      <c r="Q937" s="38">
        <f>ROUNDUP(O937/'Methodology &amp; Assumptions'!$B$9, 0)</f>
        <v/>
      </c>
      <c r="R937" s="39" t="n">
        <v>1</v>
      </c>
      <c r="S937" s="21" t="n">
        <v>0.73</v>
      </c>
      <c r="T937" s="21" t="n">
        <v>1.43</v>
      </c>
      <c r="U937" s="36" t="inlineStr">
        <is>
          <t>Tier 1A (Direct Coloc, &lt;1 km)</t>
        </is>
      </c>
      <c r="V937" s="20" t="n">
        <v>88.40000000000001</v>
      </c>
      <c r="W937" s="20" t="n">
        <v>63.7</v>
      </c>
      <c r="X937" s="20" t="n">
        <v>58</v>
      </c>
      <c r="Y937" s="40">
        <f>ROUND((V937*'Methodology &amp; Assumptions'!$B$6)+(W937*'Methodology &amp; Assumptions'!$B$5)+(X937*'Methodology &amp; Assumptions'!$B$7), 2)</f>
        <v/>
      </c>
    </row>
    <row r="938" ht="19" customHeight="1">
      <c r="A938" s="41" t="n">
        <v>934</v>
      </c>
      <c r="B938" s="41" t="n">
        <v>1934</v>
      </c>
      <c r="C938" s="42" t="inlineStr">
        <is>
          <t>0203112056</t>
        </is>
      </c>
      <c r="D938" s="42" t="inlineStr">
        <is>
          <t>Region II (Cagayan Valley)</t>
        </is>
      </c>
      <c r="E938" s="42" t="inlineStr">
        <is>
          <t>Isabela</t>
        </is>
      </c>
      <c r="F938" s="42" t="inlineStr">
        <is>
          <t>Echague</t>
        </is>
      </c>
      <c r="G938" s="42" t="inlineStr">
        <is>
          <t>Silauan Sur</t>
        </is>
      </c>
      <c r="H938" s="43" t="n">
        <v>16.715628</v>
      </c>
      <c r="I938" s="43" t="n">
        <v>121.683127</v>
      </c>
      <c r="J938" s="44" t="inlineStr">
        <is>
          <t>R</t>
        </is>
      </c>
      <c r="K938" s="42" t="inlineStr">
        <is>
          <t>Class 1-3 / Urban</t>
        </is>
      </c>
      <c r="L938" s="23" t="n">
        <v>1906</v>
      </c>
      <c r="M938" s="24" t="n">
        <v>4.3</v>
      </c>
      <c r="N938" s="23">
        <f>ROUND(L938/M938, 0)</f>
        <v/>
      </c>
      <c r="O938" s="23">
        <f>ROUND(N938*'Methodology &amp; Assumptions'!$B$8, 0)</f>
        <v/>
      </c>
      <c r="P938" s="44" t="inlineStr">
        <is>
          <t>Band n50 (1.5 GHz, 60 MHz)</t>
        </is>
      </c>
      <c r="Q938" s="38">
        <f>ROUNDUP(O938/'Methodology &amp; Assumptions'!$B$9, 0)</f>
        <v/>
      </c>
      <c r="R938" s="39" t="n">
        <v>1</v>
      </c>
      <c r="S938" s="25" t="n">
        <v>0.57</v>
      </c>
      <c r="T938" s="25" t="n">
        <v>0.37</v>
      </c>
      <c r="U938" s="42" t="inlineStr">
        <is>
          <t>Tier 1A (Direct Coloc, &lt;1 km)</t>
        </is>
      </c>
      <c r="V938" s="24" t="n">
        <v>92.59999999999999</v>
      </c>
      <c r="W938" s="24" t="n">
        <v>59.5</v>
      </c>
      <c r="X938" s="24" t="n">
        <v>58</v>
      </c>
      <c r="Y938" s="45">
        <f>ROUND((V938*'Methodology &amp; Assumptions'!$B$6)+(W938*'Methodology &amp; Assumptions'!$B$5)+(X938*'Methodology &amp; Assumptions'!$B$7), 2)</f>
        <v/>
      </c>
    </row>
    <row r="939" ht="19" customHeight="1">
      <c r="A939" s="35" t="n">
        <v>935</v>
      </c>
      <c r="B939" s="35" t="n">
        <v>1935</v>
      </c>
      <c r="C939" s="36" t="inlineStr">
        <is>
          <t>0501608023</t>
        </is>
      </c>
      <c r="D939" s="36" t="inlineStr">
        <is>
          <t>Region V (Bicol Region)</t>
        </is>
      </c>
      <c r="E939" s="36" t="inlineStr">
        <is>
          <t>Camarines Norte</t>
        </is>
      </c>
      <c r="F939" s="36" t="inlineStr">
        <is>
          <t>Paracale</t>
        </is>
      </c>
      <c r="G939" s="36" t="inlineStr">
        <is>
          <t>Poblacion Sur</t>
        </is>
      </c>
      <c r="H939" s="37" t="n">
        <v>14.279108</v>
      </c>
      <c r="I939" s="37" t="n">
        <v>122.787541</v>
      </c>
      <c r="J939" s="8" t="inlineStr">
        <is>
          <t>R</t>
        </is>
      </c>
      <c r="K939" s="36" t="inlineStr">
        <is>
          <t>Class 1-3 / Urban</t>
        </is>
      </c>
      <c r="L939" s="18" t="n">
        <v>1737</v>
      </c>
      <c r="M939" s="20" t="n">
        <v>4.4</v>
      </c>
      <c r="N939" s="18">
        <f>ROUND(L939/M939, 0)</f>
        <v/>
      </c>
      <c r="O939" s="18">
        <f>ROUND(N939*'Methodology &amp; Assumptions'!$B$8, 0)</f>
        <v/>
      </c>
      <c r="P939" s="8" t="inlineStr">
        <is>
          <t>Band n50 (1.5 GHz, 60 MHz)</t>
        </is>
      </c>
      <c r="Q939" s="38">
        <f>ROUNDUP(O939/'Methodology &amp; Assumptions'!$B$9, 0)</f>
        <v/>
      </c>
      <c r="R939" s="39" t="n">
        <v>1</v>
      </c>
      <c r="S939" s="21" t="n">
        <v>0.1</v>
      </c>
      <c r="T939" s="21" t="n">
        <v>9.289999999999999</v>
      </c>
      <c r="U939" s="36" t="inlineStr">
        <is>
          <t>Tier 1A (Direct Coloc, &lt;1 km)</t>
        </is>
      </c>
      <c r="V939" s="20" t="n">
        <v>96.59999999999999</v>
      </c>
      <c r="W939" s="20" t="n">
        <v>55.5</v>
      </c>
      <c r="X939" s="20" t="n">
        <v>58</v>
      </c>
      <c r="Y939" s="40">
        <f>ROUND((V939*'Methodology &amp; Assumptions'!$B$6)+(W939*'Methodology &amp; Assumptions'!$B$5)+(X939*'Methodology &amp; Assumptions'!$B$7), 2)</f>
        <v/>
      </c>
    </row>
    <row r="940" ht="19" customHeight="1">
      <c r="A940" s="41" t="n">
        <v>936</v>
      </c>
      <c r="B940" s="41" t="n">
        <v>1936</v>
      </c>
      <c r="C940" s="42" t="inlineStr">
        <is>
          <t>0506213005</t>
        </is>
      </c>
      <c r="D940" s="42" t="inlineStr">
        <is>
          <t>Region V (Bicol Region)</t>
        </is>
      </c>
      <c r="E940" s="42" t="inlineStr">
        <is>
          <t>Sorsogon</t>
        </is>
      </c>
      <c r="F940" s="42" t="inlineStr">
        <is>
          <t>Pilar</t>
        </is>
      </c>
      <c r="G940" s="42" t="inlineStr">
        <is>
          <t>Bayasong</t>
        </is>
      </c>
      <c r="H940" s="43" t="n">
        <v>12.987492</v>
      </c>
      <c r="I940" s="43" t="n">
        <v>123.683289</v>
      </c>
      <c r="J940" s="44" t="inlineStr">
        <is>
          <t>R</t>
        </is>
      </c>
      <c r="K940" s="42" t="inlineStr">
        <is>
          <t>Class 1-3 / Urban</t>
        </is>
      </c>
      <c r="L940" s="23" t="n">
        <v>1734</v>
      </c>
      <c r="M940" s="24" t="n">
        <v>4.58</v>
      </c>
      <c r="N940" s="23">
        <f>ROUND(L940/M940, 0)</f>
        <v/>
      </c>
      <c r="O940" s="23">
        <f>ROUND(N940*'Methodology &amp; Assumptions'!$B$8, 0)</f>
        <v/>
      </c>
      <c r="P940" s="44" t="inlineStr">
        <is>
          <t>Band n50 (1.5 GHz, 60 MHz)</t>
        </is>
      </c>
      <c r="Q940" s="38">
        <f>ROUNDUP(O940/'Methodology &amp; Assumptions'!$B$9, 0)</f>
        <v/>
      </c>
      <c r="R940" s="39" t="n">
        <v>1</v>
      </c>
      <c r="S940" s="25" t="n">
        <v>0.07000000000000001</v>
      </c>
      <c r="T940" s="25" t="n">
        <v>4.75</v>
      </c>
      <c r="U940" s="42" t="inlineStr">
        <is>
          <t>Tier 1A (Direct Coloc, &lt;1 km)</t>
        </is>
      </c>
      <c r="V940" s="24" t="n">
        <v>97.7</v>
      </c>
      <c r="W940" s="24" t="n">
        <v>54.4</v>
      </c>
      <c r="X940" s="24" t="n">
        <v>58</v>
      </c>
      <c r="Y940" s="45">
        <f>ROUND((V940*'Methodology &amp; Assumptions'!$B$6)+(W940*'Methodology &amp; Assumptions'!$B$5)+(X940*'Methodology &amp; Assumptions'!$B$7), 2)</f>
        <v/>
      </c>
    </row>
    <row r="941" ht="19" customHeight="1">
      <c r="A941" s="35" t="n">
        <v>937</v>
      </c>
      <c r="B941" s="35" t="n">
        <v>1937</v>
      </c>
      <c r="C941" s="36" t="inlineStr">
        <is>
          <t>0403424048</t>
        </is>
      </c>
      <c r="D941" s="36" t="inlineStr">
        <is>
          <t>Region IV-A (CALABARZON)</t>
        </is>
      </c>
      <c r="E941" s="36" t="inlineStr">
        <is>
          <t>Laguna</t>
        </is>
      </c>
      <c r="F941" s="36" t="inlineStr">
        <is>
          <t>City of San Pablo</t>
        </is>
      </c>
      <c r="G941" s="36" t="inlineStr">
        <is>
          <t>San Gabriel</t>
        </is>
      </c>
      <c r="H941" s="37" t="n">
        <v>14.057709</v>
      </c>
      <c r="I941" s="37" t="n">
        <v>121.31887</v>
      </c>
      <c r="J941" s="8" t="inlineStr">
        <is>
          <t>U</t>
        </is>
      </c>
      <c r="K941" s="36" t="inlineStr">
        <is>
          <t>Class 1-3 / Urban</t>
        </is>
      </c>
      <c r="L941" s="18" t="n">
        <v>8875</v>
      </c>
      <c r="M941" s="20" t="n">
        <v>4.2</v>
      </c>
      <c r="N941" s="18">
        <f>ROUND(L941/M941, 0)</f>
        <v/>
      </c>
      <c r="O941" s="18">
        <f>ROUND(N941*'Methodology &amp; Assumptions'!$B$8, 0)</f>
        <v/>
      </c>
      <c r="P941" s="8" t="inlineStr">
        <is>
          <t>Band n50 (1.5 GHz, 60 MHz)</t>
        </is>
      </c>
      <c r="Q941" s="38">
        <f>ROUNDUP(O941/'Methodology &amp; Assumptions'!$B$9, 0)</f>
        <v/>
      </c>
      <c r="R941" s="39" t="n">
        <v>1</v>
      </c>
      <c r="S941" s="21" t="n">
        <v>1.16</v>
      </c>
      <c r="T941" s="21" t="n">
        <v>0.87</v>
      </c>
      <c r="U941" s="36" t="inlineStr">
        <is>
          <t>Tier 1B (Micro Drop, 1-3 km)</t>
        </is>
      </c>
      <c r="V941" s="20" t="n">
        <v>77.8</v>
      </c>
      <c r="W941" s="20" t="n">
        <v>100</v>
      </c>
      <c r="X941" s="20" t="n">
        <v>28</v>
      </c>
      <c r="Y941" s="40">
        <f>ROUND((V941*'Methodology &amp; Assumptions'!$B$6)+(W941*'Methodology &amp; Assumptions'!$B$5)+(X941*'Methodology &amp; Assumptions'!$B$7), 2)</f>
        <v/>
      </c>
    </row>
    <row r="942" ht="19" customHeight="1">
      <c r="A942" s="41" t="n">
        <v>938</v>
      </c>
      <c r="B942" s="41" t="n">
        <v>1938</v>
      </c>
      <c r="C942" s="42" t="inlineStr">
        <is>
          <t>0401012026</t>
        </is>
      </c>
      <c r="D942" s="42" t="inlineStr">
        <is>
          <t>Region IV-A (CALABARZON)</t>
        </is>
      </c>
      <c r="E942" s="42" t="inlineStr">
        <is>
          <t>Batangas</t>
        </is>
      </c>
      <c r="F942" s="42" t="inlineStr">
        <is>
          <t>Lemery</t>
        </is>
      </c>
      <c r="G942" s="42" t="inlineStr">
        <is>
          <t>Mayasang</t>
        </is>
      </c>
      <c r="H942" s="43" t="n">
        <v>14.016002</v>
      </c>
      <c r="I942" s="43" t="n">
        <v>120.863354</v>
      </c>
      <c r="J942" s="44" t="inlineStr">
        <is>
          <t>R</t>
        </is>
      </c>
      <c r="K942" s="42" t="inlineStr">
        <is>
          <t>Class 1-3 / Urban</t>
        </is>
      </c>
      <c r="L942" s="23" t="n">
        <v>2749</v>
      </c>
      <c r="M942" s="24" t="n">
        <v>4.62</v>
      </c>
      <c r="N942" s="23">
        <f>ROUND(L942/M942, 0)</f>
        <v/>
      </c>
      <c r="O942" s="23">
        <f>ROUND(N942*'Methodology &amp; Assumptions'!$B$8, 0)</f>
        <v/>
      </c>
      <c r="P942" s="44" t="inlineStr">
        <is>
          <t>Band n50 (1.5 GHz, 60 MHz)</t>
        </is>
      </c>
      <c r="Q942" s="38">
        <f>ROUNDUP(O942/'Methodology &amp; Assumptions'!$B$9, 0)</f>
        <v/>
      </c>
      <c r="R942" s="39" t="n">
        <v>1</v>
      </c>
      <c r="S942" s="25" t="n">
        <v>0.65</v>
      </c>
      <c r="T942" s="25" t="n">
        <v>5.01</v>
      </c>
      <c r="U942" s="42" t="inlineStr">
        <is>
          <t>Tier 1A (Direct Coloc, &lt;1 km)</t>
        </is>
      </c>
      <c r="V942" s="24" t="n">
        <v>80.59999999999999</v>
      </c>
      <c r="W942" s="24" t="n">
        <v>71.5</v>
      </c>
      <c r="X942" s="24" t="n">
        <v>58</v>
      </c>
      <c r="Y942" s="45">
        <f>ROUND((V942*'Methodology &amp; Assumptions'!$B$6)+(W942*'Methodology &amp; Assumptions'!$B$5)+(X942*'Methodology &amp; Assumptions'!$B$7), 2)</f>
        <v/>
      </c>
    </row>
    <row r="943" ht="19" customHeight="1">
      <c r="A943" s="35" t="n">
        <v>939</v>
      </c>
      <c r="B943" s="35" t="n">
        <v>1939</v>
      </c>
      <c r="C943" s="36" t="inlineStr">
        <is>
          <t>0307109010</t>
        </is>
      </c>
      <c r="D943" s="36" t="inlineStr">
        <is>
          <t>Region III (Central Luzon)</t>
        </is>
      </c>
      <c r="E943" s="36" t="inlineStr">
        <is>
          <t>Zambales</t>
        </is>
      </c>
      <c r="F943" s="36" t="inlineStr">
        <is>
          <t>San Antonio</t>
        </is>
      </c>
      <c r="G943" s="36" t="inlineStr">
        <is>
          <t>San Juan</t>
        </is>
      </c>
      <c r="H943" s="37" t="n">
        <v>14.946752</v>
      </c>
      <c r="I943" s="37" t="n">
        <v>120.088075</v>
      </c>
      <c r="J943" s="8" t="inlineStr">
        <is>
          <t>R</t>
        </is>
      </c>
      <c r="K943" s="36" t="inlineStr">
        <is>
          <t>Class 1-3 / Urban</t>
        </is>
      </c>
      <c r="L943" s="18" t="n">
        <v>1634</v>
      </c>
      <c r="M943" s="20" t="n">
        <v>4.05</v>
      </c>
      <c r="N943" s="18">
        <f>ROUND(L943/M943, 0)</f>
        <v/>
      </c>
      <c r="O943" s="18">
        <f>ROUND(N943*'Methodology &amp; Assumptions'!$B$8, 0)</f>
        <v/>
      </c>
      <c r="P943" s="8" t="inlineStr">
        <is>
          <t>Band n50 (1.5 GHz, 60 MHz)</t>
        </is>
      </c>
      <c r="Q943" s="38">
        <f>ROUNDUP(O943/'Methodology &amp; Assumptions'!$B$9, 0)</f>
        <v/>
      </c>
      <c r="R943" s="39" t="n">
        <v>1</v>
      </c>
      <c r="S943" s="21" t="n">
        <v>0.46</v>
      </c>
      <c r="T943" s="21" t="n">
        <v>0.24</v>
      </c>
      <c r="U943" s="36" t="inlineStr">
        <is>
          <t>Tier 1A (Direct Coloc, &lt;1 km)</t>
        </is>
      </c>
      <c r="V943" s="20" t="n">
        <v>95.8</v>
      </c>
      <c r="W943" s="20" t="n">
        <v>56.3</v>
      </c>
      <c r="X943" s="20" t="n">
        <v>58</v>
      </c>
      <c r="Y943" s="40">
        <f>ROUND((V943*'Methodology &amp; Assumptions'!$B$6)+(W943*'Methodology &amp; Assumptions'!$B$5)+(X943*'Methodology &amp; Assumptions'!$B$7), 2)</f>
        <v/>
      </c>
    </row>
    <row r="944" ht="19" customHeight="1">
      <c r="A944" s="41" t="n">
        <v>940</v>
      </c>
      <c r="B944" s="41" t="n">
        <v>1940</v>
      </c>
      <c r="C944" s="42" t="inlineStr">
        <is>
          <t>0500517032</t>
        </is>
      </c>
      <c r="D944" s="42" t="inlineStr">
        <is>
          <t>Region V (Bicol Region)</t>
        </is>
      </c>
      <c r="E944" s="42" t="inlineStr">
        <is>
          <t>Albay</t>
        </is>
      </c>
      <c r="F944" s="42" t="inlineStr">
        <is>
          <t>City of Tabaco</t>
        </is>
      </c>
      <c r="G944" s="42" t="inlineStr">
        <is>
          <t>Quinastillojan</t>
        </is>
      </c>
      <c r="H944" s="43" t="n">
        <v>13.343941</v>
      </c>
      <c r="I944" s="43" t="n">
        <v>123.665211</v>
      </c>
      <c r="J944" s="44" t="inlineStr">
        <is>
          <t>R</t>
        </is>
      </c>
      <c r="K944" s="42" t="inlineStr">
        <is>
          <t>Class 1-3 / Urban</t>
        </is>
      </c>
      <c r="L944" s="23" t="n">
        <v>1909</v>
      </c>
      <c r="M944" s="24" t="n">
        <v>4.67</v>
      </c>
      <c r="N944" s="23">
        <f>ROUND(L944/M944, 0)</f>
        <v/>
      </c>
      <c r="O944" s="23">
        <f>ROUND(N944*'Methodology &amp; Assumptions'!$B$8, 0)</f>
        <v/>
      </c>
      <c r="P944" s="44" t="inlineStr">
        <is>
          <t>Band n50 (1.5 GHz, 60 MHz)</t>
        </is>
      </c>
      <c r="Q944" s="38">
        <f>ROUNDUP(O944/'Methodology &amp; Assumptions'!$B$9, 0)</f>
        <v/>
      </c>
      <c r="R944" s="39" t="n">
        <v>1</v>
      </c>
      <c r="S944" s="25" t="n">
        <v>0.48</v>
      </c>
      <c r="T944" s="25" t="n">
        <v>0.95</v>
      </c>
      <c r="U944" s="42" t="inlineStr">
        <is>
          <t>Tier 1A (Direct Coloc, &lt;1 km)</t>
        </is>
      </c>
      <c r="V944" s="24" t="n">
        <v>95.3</v>
      </c>
      <c r="W944" s="24" t="n">
        <v>56.8</v>
      </c>
      <c r="X944" s="24" t="n">
        <v>58</v>
      </c>
      <c r="Y944" s="45">
        <f>ROUND((V944*'Methodology &amp; Assumptions'!$B$6)+(W944*'Methodology &amp; Assumptions'!$B$5)+(X944*'Methodology &amp; Assumptions'!$B$7), 2)</f>
        <v/>
      </c>
    </row>
    <row r="945" ht="19" customHeight="1">
      <c r="A945" s="35" t="n">
        <v>941</v>
      </c>
      <c r="B945" s="35" t="n">
        <v>1941</v>
      </c>
      <c r="C945" s="36" t="inlineStr">
        <is>
          <t>0431200021</t>
        </is>
      </c>
      <c r="D945" s="36" t="inlineStr">
        <is>
          <t>Region IV-A (CALABARZON)</t>
        </is>
      </c>
      <c r="E945" s="36" t="inlineStr">
        <is>
          <t>Quezon</t>
        </is>
      </c>
      <c r="F945" s="36" t="inlineStr">
        <is>
          <t>City of Lucena</t>
        </is>
      </c>
      <c r="G945" s="36" t="inlineStr">
        <is>
          <t>Ibabang Iyam</t>
        </is>
      </c>
      <c r="H945" s="37" t="n">
        <v>13.931607</v>
      </c>
      <c r="I945" s="37" t="n">
        <v>121.600836</v>
      </c>
      <c r="J945" s="8" t="inlineStr">
        <is>
          <t>U</t>
        </is>
      </c>
      <c r="K945" s="36" t="inlineStr">
        <is>
          <t>Class 1-3 / Urban</t>
        </is>
      </c>
      <c r="L945" s="18" t="n">
        <v>28078</v>
      </c>
      <c r="M945" s="20" t="n">
        <v>4.46</v>
      </c>
      <c r="N945" s="18">
        <f>ROUND(L945/M945, 0)</f>
        <v/>
      </c>
      <c r="O945" s="18">
        <f>ROUND(N945*'Methodology &amp; Assumptions'!$B$8, 0)</f>
        <v/>
      </c>
      <c r="P945" s="8" t="inlineStr">
        <is>
          <t>Band n50 (1.5 GHz, 60 MHz)</t>
        </is>
      </c>
      <c r="Q945" s="38">
        <f>ROUNDUP(O945/'Methodology &amp; Assumptions'!$B$9, 0)</f>
        <v/>
      </c>
      <c r="R945" s="39" t="n">
        <v>1</v>
      </c>
      <c r="S945" s="21" t="n">
        <v>1.17</v>
      </c>
      <c r="T945" s="21" t="n">
        <v>0.4</v>
      </c>
      <c r="U945" s="36" t="inlineStr">
        <is>
          <t>Tier 1B (Micro Drop, 1-3 km)</t>
        </is>
      </c>
      <c r="V945" s="20" t="n">
        <v>77.8</v>
      </c>
      <c r="W945" s="20" t="n">
        <v>100</v>
      </c>
      <c r="X945" s="20" t="n">
        <v>28</v>
      </c>
      <c r="Y945" s="40">
        <f>ROUND((V945*'Methodology &amp; Assumptions'!$B$6)+(W945*'Methodology &amp; Assumptions'!$B$5)+(X945*'Methodology &amp; Assumptions'!$B$7), 2)</f>
        <v/>
      </c>
    </row>
    <row r="946" ht="19" customHeight="1">
      <c r="A946" s="41" t="n">
        <v>942</v>
      </c>
      <c r="B946" s="41" t="n">
        <v>1942</v>
      </c>
      <c r="C946" s="42" t="inlineStr">
        <is>
          <t>0405647013</t>
        </is>
      </c>
      <c r="D946" s="42" t="inlineStr">
        <is>
          <t>Region IV-A (CALABARZON)</t>
        </is>
      </c>
      <c r="E946" s="42" t="inlineStr">
        <is>
          <t>Quezon</t>
        </is>
      </c>
      <c r="F946" s="42" t="inlineStr">
        <is>
          <t>City of Tayabas</t>
        </is>
      </c>
      <c r="G946" s="42" t="inlineStr">
        <is>
          <t>Baguio</t>
        </is>
      </c>
      <c r="H946" s="43" t="n">
        <v>14.013405</v>
      </c>
      <c r="I946" s="43" t="n">
        <v>121.58437</v>
      </c>
      <c r="J946" s="44" t="inlineStr">
        <is>
          <t>R</t>
        </is>
      </c>
      <c r="K946" s="42" t="inlineStr">
        <is>
          <t>Class 1-3 / Urban</t>
        </is>
      </c>
      <c r="L946" s="23" t="n">
        <v>3208</v>
      </c>
      <c r="M946" s="24" t="n">
        <v>4.46</v>
      </c>
      <c r="N946" s="23">
        <f>ROUND(L946/M946, 0)</f>
        <v/>
      </c>
      <c r="O946" s="23">
        <f>ROUND(N946*'Methodology &amp; Assumptions'!$B$8, 0)</f>
        <v/>
      </c>
      <c r="P946" s="44" t="inlineStr">
        <is>
          <t>Band n50 (1.5 GHz, 60 MHz)</t>
        </is>
      </c>
      <c r="Q946" s="38">
        <f>ROUNDUP(O946/'Methodology &amp; Assumptions'!$B$9, 0)</f>
        <v/>
      </c>
      <c r="R946" s="39" t="n">
        <v>1</v>
      </c>
      <c r="S946" s="25" t="n">
        <v>1.51</v>
      </c>
      <c r="T946" s="25" t="n">
        <v>1.52</v>
      </c>
      <c r="U946" s="42" t="inlineStr">
        <is>
          <t>Tier 1B (Micro Drop, 1-3 km)</t>
        </is>
      </c>
      <c r="V946" s="24" t="n">
        <v>70.40000000000001</v>
      </c>
      <c r="W946" s="24" t="n">
        <v>81.59999999999999</v>
      </c>
      <c r="X946" s="24" t="n">
        <v>58</v>
      </c>
      <c r="Y946" s="45">
        <f>ROUND((V946*'Methodology &amp; Assumptions'!$B$6)+(W946*'Methodology &amp; Assumptions'!$B$5)+(X946*'Methodology &amp; Assumptions'!$B$7), 2)</f>
        <v/>
      </c>
    </row>
    <row r="947" ht="19" customHeight="1">
      <c r="A947" s="35" t="n">
        <v>943</v>
      </c>
      <c r="B947" s="35" t="n">
        <v>1943</v>
      </c>
      <c r="C947" s="36" t="inlineStr">
        <is>
          <t>1403209016</t>
        </is>
      </c>
      <c r="D947" s="36" t="inlineStr">
        <is>
          <t>Cordillera Administrative Region (CAR)</t>
        </is>
      </c>
      <c r="E947" s="36" t="inlineStr">
        <is>
          <t>Kalinga</t>
        </is>
      </c>
      <c r="F947" s="36" t="inlineStr">
        <is>
          <t>Pinukpuk</t>
        </is>
      </c>
      <c r="G947" s="36" t="inlineStr">
        <is>
          <t>Malagnat</t>
        </is>
      </c>
      <c r="H947" s="37" t="n">
        <v>17.645542</v>
      </c>
      <c r="I947" s="37" t="n">
        <v>121.38985</v>
      </c>
      <c r="J947" s="8" t="inlineStr">
        <is>
          <t>R</t>
        </is>
      </c>
      <c r="K947" s="36" t="inlineStr">
        <is>
          <t>Class 1-3 / Urban</t>
        </is>
      </c>
      <c r="L947" s="18" t="n">
        <v>2133</v>
      </c>
      <c r="M947" s="20" t="n">
        <v>5.34</v>
      </c>
      <c r="N947" s="18">
        <f>ROUND(L947/M947, 0)</f>
        <v/>
      </c>
      <c r="O947" s="18">
        <f>ROUND(N947*'Methodology &amp; Assumptions'!$B$8, 0)</f>
        <v/>
      </c>
      <c r="P947" s="8" t="inlineStr">
        <is>
          <t>Band n50 (1.5 GHz, 60 MHz)</t>
        </is>
      </c>
      <c r="Q947" s="38">
        <f>ROUNDUP(O947/'Methodology &amp; Assumptions'!$B$9, 0)</f>
        <v/>
      </c>
      <c r="R947" s="39" t="n">
        <v>1</v>
      </c>
      <c r="S947" s="21" t="n">
        <v>0.3</v>
      </c>
      <c r="T947" s="21" t="n">
        <v>1.32</v>
      </c>
      <c r="U947" s="36" t="inlineStr">
        <is>
          <t>Tier 1A (Direct Coloc, &lt;1 km)</t>
        </is>
      </c>
      <c r="V947" s="20" t="n">
        <v>100</v>
      </c>
      <c r="W947" s="20" t="n">
        <v>52</v>
      </c>
      <c r="X947" s="20" t="n">
        <v>58</v>
      </c>
      <c r="Y947" s="40">
        <f>ROUND((V947*'Methodology &amp; Assumptions'!$B$6)+(W947*'Methodology &amp; Assumptions'!$B$5)+(X947*'Methodology &amp; Assumptions'!$B$7), 2)</f>
        <v/>
      </c>
    </row>
    <row r="948" ht="19" customHeight="1">
      <c r="A948" s="41" t="n">
        <v>944</v>
      </c>
      <c r="B948" s="41" t="n">
        <v>1944</v>
      </c>
      <c r="C948" s="42" t="inlineStr">
        <is>
          <t>0803722019</t>
        </is>
      </c>
      <c r="D948" s="42" t="inlineStr">
        <is>
          <t>Region VIII (Eastern Visayas)</t>
        </is>
      </c>
      <c r="E948" s="42" t="inlineStr">
        <is>
          <t>Leyte</t>
        </is>
      </c>
      <c r="F948" s="42" t="inlineStr">
        <is>
          <t>Isabel</t>
        </is>
      </c>
      <c r="G948" s="42" t="inlineStr">
        <is>
          <t>San Roque</t>
        </is>
      </c>
      <c r="H948" s="43" t="n">
        <v>10.925053</v>
      </c>
      <c r="I948" s="43" t="n">
        <v>124.440968</v>
      </c>
      <c r="J948" s="44" t="inlineStr">
        <is>
          <t>R</t>
        </is>
      </c>
      <c r="K948" s="42" t="inlineStr">
        <is>
          <t>Class 1-3 / Urban</t>
        </is>
      </c>
      <c r="L948" s="23" t="n">
        <v>1486</v>
      </c>
      <c r="M948" s="24" t="n">
        <v>4.24</v>
      </c>
      <c r="N948" s="23">
        <f>ROUND(L948/M948, 0)</f>
        <v/>
      </c>
      <c r="O948" s="23">
        <f>ROUND(N948*'Methodology &amp; Assumptions'!$B$8, 0)</f>
        <v/>
      </c>
      <c r="P948" s="44" t="inlineStr">
        <is>
          <t>Band n50 (1.5 GHz, 60 MHz)</t>
        </is>
      </c>
      <c r="Q948" s="38">
        <f>ROUNDUP(O948/'Methodology &amp; Assumptions'!$B$9, 0)</f>
        <v/>
      </c>
      <c r="R948" s="39" t="n">
        <v>1</v>
      </c>
      <c r="S948" s="25" t="n">
        <v>0.21</v>
      </c>
      <c r="T948" s="25" t="n">
        <v>0.2</v>
      </c>
      <c r="U948" s="42" t="inlineStr">
        <is>
          <t>Tier 1A (Direct Coloc, &lt;1 km)</t>
        </is>
      </c>
      <c r="V948" s="24" t="n">
        <v>100</v>
      </c>
      <c r="W948" s="24" t="n">
        <v>52</v>
      </c>
      <c r="X948" s="24" t="n">
        <v>58</v>
      </c>
      <c r="Y948" s="45">
        <f>ROUND((V948*'Methodology &amp; Assumptions'!$B$6)+(W948*'Methodology &amp; Assumptions'!$B$5)+(X948*'Methodology &amp; Assumptions'!$B$7), 2)</f>
        <v/>
      </c>
    </row>
    <row r="949" ht="19" customHeight="1">
      <c r="A949" s="35" t="n">
        <v>945</v>
      </c>
      <c r="B949" s="35" t="n">
        <v>1945</v>
      </c>
      <c r="C949" s="36" t="inlineStr">
        <is>
          <t>0401031046</t>
        </is>
      </c>
      <c r="D949" s="36" t="inlineStr">
        <is>
          <t>Region IV-A (CALABARZON)</t>
        </is>
      </c>
      <c r="E949" s="36" t="inlineStr">
        <is>
          <t>Batangas</t>
        </is>
      </c>
      <c r="F949" s="36" t="inlineStr">
        <is>
          <t>City of Tanauan</t>
        </is>
      </c>
      <c r="G949" s="36" t="inlineStr">
        <is>
          <t>Talaga</t>
        </is>
      </c>
      <c r="H949" s="37" t="n">
        <v>14.098776</v>
      </c>
      <c r="I949" s="37" t="n">
        <v>121.09183</v>
      </c>
      <c r="J949" s="8" t="inlineStr">
        <is>
          <t>U</t>
        </is>
      </c>
      <c r="K949" s="36" t="inlineStr">
        <is>
          <t>Class 1-3 / Urban</t>
        </is>
      </c>
      <c r="L949" s="18" t="n">
        <v>5600</v>
      </c>
      <c r="M949" s="20" t="n">
        <v>4.62</v>
      </c>
      <c r="N949" s="18">
        <f>ROUND(L949/M949, 0)</f>
        <v/>
      </c>
      <c r="O949" s="18">
        <f>ROUND(N949*'Methodology &amp; Assumptions'!$B$8, 0)</f>
        <v/>
      </c>
      <c r="P949" s="8" t="inlineStr">
        <is>
          <t>Band n50 (1.5 GHz, 60 MHz)</t>
        </is>
      </c>
      <c r="Q949" s="38">
        <f>ROUNDUP(O949/'Methodology &amp; Assumptions'!$B$9, 0)</f>
        <v/>
      </c>
      <c r="R949" s="39" t="n">
        <v>1</v>
      </c>
      <c r="S949" s="21" t="n">
        <v>0.76</v>
      </c>
      <c r="T949" s="21" t="n">
        <v>5.48</v>
      </c>
      <c r="U949" s="36" t="inlineStr">
        <is>
          <t>Tier 1A (Direct Coloc, &lt;1 km)</t>
        </is>
      </c>
      <c r="V949" s="20" t="n">
        <v>77.7</v>
      </c>
      <c r="W949" s="20" t="n">
        <v>100</v>
      </c>
      <c r="X949" s="20" t="n">
        <v>28</v>
      </c>
      <c r="Y949" s="40">
        <f>ROUND((V949*'Methodology &amp; Assumptions'!$B$6)+(W949*'Methodology &amp; Assumptions'!$B$5)+(X949*'Methodology &amp; Assumptions'!$B$7), 2)</f>
        <v/>
      </c>
    </row>
    <row r="950" ht="19" customHeight="1">
      <c r="A950" s="41" t="n">
        <v>946</v>
      </c>
      <c r="B950" s="41" t="n">
        <v>1946</v>
      </c>
      <c r="C950" s="42" t="inlineStr">
        <is>
          <t>0803738091</t>
        </is>
      </c>
      <c r="D950" s="42" t="inlineStr">
        <is>
          <t>Region VIII (Eastern Visayas)</t>
        </is>
      </c>
      <c r="E950" s="42" t="inlineStr">
        <is>
          <t>Leyte</t>
        </is>
      </c>
      <c r="F950" s="42" t="inlineStr">
        <is>
          <t>Ormoc City</t>
        </is>
      </c>
      <c r="G950" s="42" t="inlineStr">
        <is>
          <t>Barangay 29</t>
        </is>
      </c>
      <c r="H950" s="43" t="n">
        <v>11.047473</v>
      </c>
      <c r="I950" s="43" t="n">
        <v>124.59754</v>
      </c>
      <c r="J950" s="44" t="inlineStr">
        <is>
          <t>R</t>
        </is>
      </c>
      <c r="K950" s="42" t="inlineStr">
        <is>
          <t>Class 1-3 / Urban</t>
        </is>
      </c>
      <c r="L950" s="23" t="n">
        <v>4131</v>
      </c>
      <c r="M950" s="24" t="n">
        <v>4.24</v>
      </c>
      <c r="N950" s="23">
        <f>ROUND(L950/M950, 0)</f>
        <v/>
      </c>
      <c r="O950" s="23">
        <f>ROUND(N950*'Methodology &amp; Assumptions'!$B$8, 0)</f>
        <v/>
      </c>
      <c r="P950" s="44" t="inlineStr">
        <is>
          <t>Band n50 (1.5 GHz, 60 MHz)</t>
        </is>
      </c>
      <c r="Q950" s="38">
        <f>ROUNDUP(O950/'Methodology &amp; Assumptions'!$B$9, 0)</f>
        <v/>
      </c>
      <c r="R950" s="39" t="n">
        <v>1</v>
      </c>
      <c r="S950" s="25" t="n">
        <v>2.61</v>
      </c>
      <c r="T950" s="25" t="n">
        <v>0.82</v>
      </c>
      <c r="U950" s="42" t="inlineStr">
        <is>
          <t>Tier 1B (Micro Drop, 1-3 km)</t>
        </is>
      </c>
      <c r="V950" s="24" t="n">
        <v>52</v>
      </c>
      <c r="W950" s="24" t="n">
        <v>100</v>
      </c>
      <c r="X950" s="24" t="n">
        <v>58</v>
      </c>
      <c r="Y950" s="45">
        <f>ROUND((V950*'Methodology &amp; Assumptions'!$B$6)+(W950*'Methodology &amp; Assumptions'!$B$5)+(X950*'Methodology &amp; Assumptions'!$B$7), 2)</f>
        <v/>
      </c>
    </row>
    <row r="951" ht="19" customHeight="1">
      <c r="A951" s="35" t="n">
        <v>947</v>
      </c>
      <c r="B951" s="35" t="n">
        <v>1947</v>
      </c>
      <c r="C951" s="36" t="inlineStr">
        <is>
          <t>0301404002</t>
        </is>
      </c>
      <c r="D951" s="36" t="inlineStr">
        <is>
          <t>Region III (Central Luzon)</t>
        </is>
      </c>
      <c r="E951" s="36" t="inlineStr">
        <is>
          <t>Bulacan</t>
        </is>
      </c>
      <c r="F951" s="36" t="inlineStr">
        <is>
          <t>Bocaue</t>
        </is>
      </c>
      <c r="G951" s="36" t="inlineStr">
        <is>
          <t>Bagumbayan</t>
        </is>
      </c>
      <c r="H951" s="37" t="n">
        <v>14.79861</v>
      </c>
      <c r="I951" s="37" t="n">
        <v>120.922237</v>
      </c>
      <c r="J951" s="8" t="inlineStr">
        <is>
          <t>R</t>
        </is>
      </c>
      <c r="K951" s="36" t="inlineStr">
        <is>
          <t>Class 1-3 / Urban</t>
        </is>
      </c>
      <c r="L951" s="18" t="n">
        <v>3863</v>
      </c>
      <c r="M951" s="20" t="n">
        <v>4.1</v>
      </c>
      <c r="N951" s="18">
        <f>ROUND(L951/M951, 0)</f>
        <v/>
      </c>
      <c r="O951" s="18">
        <f>ROUND(N951*'Methodology &amp; Assumptions'!$B$8, 0)</f>
        <v/>
      </c>
      <c r="P951" s="8" t="inlineStr">
        <is>
          <t>Band n50 (1.5 GHz, 60 MHz)</t>
        </is>
      </c>
      <c r="Q951" s="38">
        <f>ROUNDUP(O951/'Methodology &amp; Assumptions'!$B$9, 0)</f>
        <v/>
      </c>
      <c r="R951" s="39" t="n">
        <v>1</v>
      </c>
      <c r="S951" s="21" t="n">
        <v>2.57</v>
      </c>
      <c r="T951" s="21" t="n">
        <v>0.17</v>
      </c>
      <c r="U951" s="36" t="inlineStr">
        <is>
          <t>Tier 1B (Micro Drop, 1-3 km)</t>
        </is>
      </c>
      <c r="V951" s="20" t="n">
        <v>52.5</v>
      </c>
      <c r="W951" s="20" t="n">
        <v>99.5</v>
      </c>
      <c r="X951" s="20" t="n">
        <v>58</v>
      </c>
      <c r="Y951" s="40">
        <f>ROUND((V951*'Methodology &amp; Assumptions'!$B$6)+(W951*'Methodology &amp; Assumptions'!$B$5)+(X951*'Methodology &amp; Assumptions'!$B$7), 2)</f>
        <v/>
      </c>
    </row>
    <row r="952" ht="19" customHeight="1">
      <c r="A952" s="41" t="n">
        <v>948</v>
      </c>
      <c r="B952" s="41" t="n">
        <v>1948</v>
      </c>
      <c r="C952" s="42" t="inlineStr">
        <is>
          <t>0401029005</t>
        </is>
      </c>
      <c r="D952" s="42" t="inlineStr">
        <is>
          <t>Region IV-A (CALABARZON)</t>
        </is>
      </c>
      <c r="E952" s="42" t="inlineStr">
        <is>
          <t>Batangas</t>
        </is>
      </c>
      <c r="F952" s="42" t="inlineStr">
        <is>
          <t>Taal</t>
        </is>
      </c>
      <c r="G952" s="42" t="inlineStr">
        <is>
          <t>Buli</t>
        </is>
      </c>
      <c r="H952" s="43" t="n">
        <v>13.882064</v>
      </c>
      <c r="I952" s="43" t="n">
        <v>120.956322</v>
      </c>
      <c r="J952" s="44" t="inlineStr">
        <is>
          <t>U</t>
        </is>
      </c>
      <c r="K952" s="42" t="inlineStr">
        <is>
          <t>Class 1-3 / Urban</t>
        </is>
      </c>
      <c r="L952" s="23" t="n">
        <v>5703</v>
      </c>
      <c r="M952" s="24" t="n">
        <v>4.62</v>
      </c>
      <c r="N952" s="23">
        <f>ROUND(L952/M952, 0)</f>
        <v/>
      </c>
      <c r="O952" s="23">
        <f>ROUND(N952*'Methodology &amp; Assumptions'!$B$8, 0)</f>
        <v/>
      </c>
      <c r="P952" s="44" t="inlineStr">
        <is>
          <t>Band n50 (1.5 GHz, 60 MHz)</t>
        </is>
      </c>
      <c r="Q952" s="38">
        <f>ROUNDUP(O952/'Methodology &amp; Assumptions'!$B$9, 0)</f>
        <v/>
      </c>
      <c r="R952" s="39" t="n">
        <v>1</v>
      </c>
      <c r="S952" s="25" t="n">
        <v>1.17</v>
      </c>
      <c r="T952" s="25" t="n">
        <v>0.1</v>
      </c>
      <c r="U952" s="42" t="inlineStr">
        <is>
          <t>Tier 1B (Micro Drop, 1-3 km)</t>
        </is>
      </c>
      <c r="V952" s="24" t="n">
        <v>77.7</v>
      </c>
      <c r="W952" s="24" t="n">
        <v>100</v>
      </c>
      <c r="X952" s="24" t="n">
        <v>28</v>
      </c>
      <c r="Y952" s="45">
        <f>ROUND((V952*'Methodology &amp; Assumptions'!$B$6)+(W952*'Methodology &amp; Assumptions'!$B$5)+(X952*'Methodology &amp; Assumptions'!$B$7), 2)</f>
        <v/>
      </c>
    </row>
    <row r="953" ht="19" customHeight="1">
      <c r="A953" s="35" t="n">
        <v>949</v>
      </c>
      <c r="B953" s="35" t="n">
        <v>1949</v>
      </c>
      <c r="C953" s="36" t="inlineStr">
        <is>
          <t>0105526029</t>
        </is>
      </c>
      <c r="D953" s="36" t="inlineStr">
        <is>
          <t>Region I (Ilocos Region)</t>
        </is>
      </c>
      <c r="E953" s="36" t="inlineStr">
        <is>
          <t>Pangasinan</t>
        </is>
      </c>
      <c r="F953" s="36" t="inlineStr">
        <is>
          <t>Mangaldan</t>
        </is>
      </c>
      <c r="G953" s="36" t="inlineStr">
        <is>
          <t>Tebag</t>
        </is>
      </c>
      <c r="H953" s="37" t="n">
        <v>16.079946</v>
      </c>
      <c r="I953" s="37" t="n">
        <v>120.40651</v>
      </c>
      <c r="J953" s="8" t="inlineStr">
        <is>
          <t>R</t>
        </is>
      </c>
      <c r="K953" s="36" t="inlineStr">
        <is>
          <t>Class 1-3 / Urban</t>
        </is>
      </c>
      <c r="L953" s="18" t="n">
        <v>3059</v>
      </c>
      <c r="M953" s="20" t="n">
        <v>4.39</v>
      </c>
      <c r="N953" s="18">
        <f>ROUND(L953/M953, 0)</f>
        <v/>
      </c>
      <c r="O953" s="18">
        <f>ROUND(N953*'Methodology &amp; Assumptions'!$B$8, 0)</f>
        <v/>
      </c>
      <c r="P953" s="8" t="inlineStr">
        <is>
          <t>Band n50 (1.5 GHz, 60 MHz)</t>
        </is>
      </c>
      <c r="Q953" s="38">
        <f>ROUNDUP(O953/'Methodology &amp; Assumptions'!$B$9, 0)</f>
        <v/>
      </c>
      <c r="R953" s="39" t="n">
        <v>1</v>
      </c>
      <c r="S953" s="21" t="n">
        <v>1.42</v>
      </c>
      <c r="T953" s="21" t="n">
        <v>0.83</v>
      </c>
      <c r="U953" s="36" t="inlineStr">
        <is>
          <t>Tier 1B (Micro Drop, 1-3 km)</t>
        </is>
      </c>
      <c r="V953" s="20" t="n">
        <v>72.2</v>
      </c>
      <c r="W953" s="20" t="n">
        <v>79.7</v>
      </c>
      <c r="X953" s="20" t="n">
        <v>58</v>
      </c>
      <c r="Y953" s="40">
        <f>ROUND((V953*'Methodology &amp; Assumptions'!$B$6)+(W953*'Methodology &amp; Assumptions'!$B$5)+(X953*'Methodology &amp; Assumptions'!$B$7), 2)</f>
        <v/>
      </c>
    </row>
    <row r="954" ht="19" customHeight="1">
      <c r="A954" s="41" t="n">
        <v>950</v>
      </c>
      <c r="B954" s="41" t="n">
        <v>1950</v>
      </c>
      <c r="C954" s="42" t="inlineStr">
        <is>
          <t>0401019010</t>
        </is>
      </c>
      <c r="D954" s="42" t="inlineStr">
        <is>
          <t>Region IV-A (CALABARZON)</t>
        </is>
      </c>
      <c r="E954" s="42" t="inlineStr">
        <is>
          <t>Batangas</t>
        </is>
      </c>
      <c r="F954" s="42" t="inlineStr">
        <is>
          <t>Nasugbu</t>
        </is>
      </c>
      <c r="G954" s="42" t="inlineStr">
        <is>
          <t>Barangay 5</t>
        </is>
      </c>
      <c r="H954" s="43" t="n">
        <v>14.0756</v>
      </c>
      <c r="I954" s="43" t="n">
        <v>120.6343</v>
      </c>
      <c r="J954" s="44" t="inlineStr">
        <is>
          <t>R</t>
        </is>
      </c>
      <c r="K954" s="42" t="inlineStr">
        <is>
          <t>Class 1-3 / Urban</t>
        </is>
      </c>
      <c r="L954" s="23" t="n">
        <v>1988</v>
      </c>
      <c r="M954" s="24" t="n">
        <v>4.62</v>
      </c>
      <c r="N954" s="23">
        <f>ROUND(L954/M954, 0)</f>
        <v/>
      </c>
      <c r="O954" s="23">
        <f>ROUND(N954*'Methodology &amp; Assumptions'!$B$8, 0)</f>
        <v/>
      </c>
      <c r="P954" s="44" t="inlineStr">
        <is>
          <t>Band n50 (1.5 GHz, 60 MHz)</t>
        </is>
      </c>
      <c r="Q954" s="38">
        <f>ROUNDUP(O954/'Methodology &amp; Assumptions'!$B$9, 0)</f>
        <v/>
      </c>
      <c r="R954" s="39" t="n">
        <v>1</v>
      </c>
      <c r="S954" s="25" t="n">
        <v>0.54</v>
      </c>
      <c r="T954" s="25" t="n">
        <v>0.26</v>
      </c>
      <c r="U954" s="42" t="inlineStr">
        <is>
          <t>Tier 1A (Direct Coloc, &lt;1 km)</t>
        </is>
      </c>
      <c r="V954" s="24" t="n">
        <v>93.5</v>
      </c>
      <c r="W954" s="24" t="n">
        <v>58.4</v>
      </c>
      <c r="X954" s="24" t="n">
        <v>58</v>
      </c>
      <c r="Y954" s="45">
        <f>ROUND((V954*'Methodology &amp; Assumptions'!$B$6)+(W954*'Methodology &amp; Assumptions'!$B$5)+(X954*'Methodology &amp; Assumptions'!$B$7), 2)</f>
        <v/>
      </c>
    </row>
    <row r="955" ht="19" customHeight="1">
      <c r="A955" s="35" t="n">
        <v>951</v>
      </c>
      <c r="B955" s="35" t="n">
        <v>1951</v>
      </c>
      <c r="C955" s="36" t="inlineStr">
        <is>
          <t>0730600024</t>
        </is>
      </c>
      <c r="D955" s="36" t="inlineStr">
        <is>
          <t>Region VII (Central Visayas)</t>
        </is>
      </c>
      <c r="E955" s="36" t="inlineStr">
        <is>
          <t>Cebu</t>
        </is>
      </c>
      <c r="F955" s="36" t="inlineStr">
        <is>
          <t>City of Cebu</t>
        </is>
      </c>
      <c r="G955" s="36" t="inlineStr">
        <is>
          <t>Cogon Pardo</t>
        </is>
      </c>
      <c r="H955" s="37" t="n">
        <v>10.274476</v>
      </c>
      <c r="I955" s="37" t="n">
        <v>123.859862</v>
      </c>
      <c r="J955" s="8" t="inlineStr">
        <is>
          <t>U</t>
        </is>
      </c>
      <c r="K955" s="36" t="inlineStr">
        <is>
          <t>Class 1-3 / Urban</t>
        </is>
      </c>
      <c r="L955" s="18" t="n">
        <v>23828</v>
      </c>
      <c r="M955" s="20" t="n">
        <v>4.42</v>
      </c>
      <c r="N955" s="18">
        <f>ROUND(L955/M955, 0)</f>
        <v/>
      </c>
      <c r="O955" s="18">
        <f>ROUND(N955*'Methodology &amp; Assumptions'!$B$8, 0)</f>
        <v/>
      </c>
      <c r="P955" s="8" t="inlineStr">
        <is>
          <t>Band n50 (1.5 GHz, 60 MHz)</t>
        </is>
      </c>
      <c r="Q955" s="38">
        <f>ROUNDUP(O955/'Methodology &amp; Assumptions'!$B$9, 0)</f>
        <v/>
      </c>
      <c r="R955" s="39" t="n">
        <v>1</v>
      </c>
      <c r="S955" s="21" t="n">
        <v>1.17</v>
      </c>
      <c r="T955" s="21" t="n">
        <v>0.34</v>
      </c>
      <c r="U955" s="36" t="inlineStr">
        <is>
          <t>Tier 1B (Micro Drop, 1-3 km)</t>
        </is>
      </c>
      <c r="V955" s="20" t="n">
        <v>77.7</v>
      </c>
      <c r="W955" s="20" t="n">
        <v>100</v>
      </c>
      <c r="X955" s="20" t="n">
        <v>28</v>
      </c>
      <c r="Y955" s="40">
        <f>ROUND((V955*'Methodology &amp; Assumptions'!$B$6)+(W955*'Methodology &amp; Assumptions'!$B$5)+(X955*'Methodology &amp; Assumptions'!$B$7), 2)</f>
        <v/>
      </c>
    </row>
    <row r="956" ht="19" customHeight="1">
      <c r="A956" s="41" t="n">
        <v>952</v>
      </c>
      <c r="B956" s="41" t="n">
        <v>1952</v>
      </c>
      <c r="C956" s="42" t="inlineStr">
        <is>
          <t>0907322046</t>
        </is>
      </c>
      <c r="D956" s="42" t="inlineStr">
        <is>
          <t>Region IX (Zamboanga Peninsula)</t>
        </is>
      </c>
      <c r="E956" s="42" t="inlineStr">
        <is>
          <t>Zamboanga del Sur</t>
        </is>
      </c>
      <c r="F956" s="42" t="inlineStr">
        <is>
          <t>City of Pagadian</t>
        </is>
      </c>
      <c r="G956" s="42" t="inlineStr">
        <is>
          <t>Tuburan</t>
        </is>
      </c>
      <c r="H956" s="43" t="n">
        <v>7.836995</v>
      </c>
      <c r="I956" s="43" t="n">
        <v>123.447912</v>
      </c>
      <c r="J956" s="44" t="inlineStr">
        <is>
          <t>U</t>
        </is>
      </c>
      <c r="K956" s="42" t="inlineStr">
        <is>
          <t>Class 1-3 / Urban</t>
        </is>
      </c>
      <c r="L956" s="23" t="n">
        <v>9535</v>
      </c>
      <c r="M956" s="24" t="n">
        <v>4.61</v>
      </c>
      <c r="N956" s="23">
        <f>ROUND(L956/M956, 0)</f>
        <v/>
      </c>
      <c r="O956" s="23">
        <f>ROUND(N956*'Methodology &amp; Assumptions'!$B$8, 0)</f>
        <v/>
      </c>
      <c r="P956" s="44" t="inlineStr">
        <is>
          <t>Band n50 (1.5 GHz, 60 MHz)</t>
        </is>
      </c>
      <c r="Q956" s="38">
        <f>ROUNDUP(O956/'Methodology &amp; Assumptions'!$B$9, 0)</f>
        <v/>
      </c>
      <c r="R956" s="39" t="n">
        <v>1</v>
      </c>
      <c r="S956" s="25" t="n">
        <v>1.17</v>
      </c>
      <c r="T956" s="25" t="n">
        <v>0.75</v>
      </c>
      <c r="U956" s="42" t="inlineStr">
        <is>
          <t>Tier 1B (Micro Drop, 1-3 km)</t>
        </is>
      </c>
      <c r="V956" s="24" t="n">
        <v>77.7</v>
      </c>
      <c r="W956" s="24" t="n">
        <v>100</v>
      </c>
      <c r="X956" s="24" t="n">
        <v>28</v>
      </c>
      <c r="Y956" s="45">
        <f>ROUND((V956*'Methodology &amp; Assumptions'!$B$6)+(W956*'Methodology &amp; Assumptions'!$B$5)+(X956*'Methodology &amp; Assumptions'!$B$7), 2)</f>
        <v/>
      </c>
    </row>
    <row r="957" ht="19" customHeight="1">
      <c r="A957" s="35" t="n">
        <v>953</v>
      </c>
      <c r="B957" s="35" t="n">
        <v>1953</v>
      </c>
      <c r="C957" s="36" t="inlineStr">
        <is>
          <t>0631000199</t>
        </is>
      </c>
      <c r="D957" s="36" t="inlineStr">
        <is>
          <t>Region VI (Western Visayas)</t>
        </is>
      </c>
      <c r="E957" s="36" t="inlineStr">
        <is>
          <t>Iloilo</t>
        </is>
      </c>
      <c r="F957" s="36" t="inlineStr">
        <is>
          <t>City of Iloilo</t>
        </is>
      </c>
      <c r="G957" s="36" t="inlineStr">
        <is>
          <t>San Isidro</t>
        </is>
      </c>
      <c r="H957" s="37" t="n">
        <v>10.722465</v>
      </c>
      <c r="I957" s="37" t="n">
        <v>122.583648</v>
      </c>
      <c r="J957" s="8" t="inlineStr">
        <is>
          <t>R</t>
        </is>
      </c>
      <c r="K957" s="36" t="inlineStr">
        <is>
          <t>Class 1-3 / Urban</t>
        </is>
      </c>
      <c r="L957" s="18" t="n">
        <v>4301</v>
      </c>
      <c r="M957" s="20" t="n">
        <v>4.39</v>
      </c>
      <c r="N957" s="18">
        <f>ROUND(L957/M957, 0)</f>
        <v/>
      </c>
      <c r="O957" s="18">
        <f>ROUND(N957*'Methodology &amp; Assumptions'!$B$8, 0)</f>
        <v/>
      </c>
      <c r="P957" s="8" t="inlineStr">
        <is>
          <t>Band n50 (1.5 GHz, 60 MHz)</t>
        </is>
      </c>
      <c r="Q957" s="38">
        <f>ROUNDUP(O957/'Methodology &amp; Assumptions'!$B$9, 0)</f>
        <v/>
      </c>
      <c r="R957" s="39" t="n">
        <v>1</v>
      </c>
      <c r="S957" s="21" t="n">
        <v>1.97</v>
      </c>
      <c r="T957" s="21" t="n">
        <v>2.34</v>
      </c>
      <c r="U957" s="36" t="inlineStr">
        <is>
          <t>Tier 1B (Micro Drop, 1-3 km)</t>
        </is>
      </c>
      <c r="V957" s="20" t="n">
        <v>51.9</v>
      </c>
      <c r="W957" s="20" t="n">
        <v>100</v>
      </c>
      <c r="X957" s="20" t="n">
        <v>58</v>
      </c>
      <c r="Y957" s="40">
        <f>ROUND((V957*'Methodology &amp; Assumptions'!$B$6)+(W957*'Methodology &amp; Assumptions'!$B$5)+(X957*'Methodology &amp; Assumptions'!$B$7), 2)</f>
        <v/>
      </c>
    </row>
    <row r="958" ht="19" customHeight="1">
      <c r="A958" s="41" t="n">
        <v>954</v>
      </c>
      <c r="B958" s="41" t="n">
        <v>1954</v>
      </c>
      <c r="C958" s="42" t="inlineStr">
        <is>
          <t>0205013011</t>
        </is>
      </c>
      <c r="D958" s="42" t="inlineStr">
        <is>
          <t>Region II (Cagayan Valley)</t>
        </is>
      </c>
      <c r="E958" s="42" t="inlineStr">
        <is>
          <t>Nueva Vizcaya</t>
        </is>
      </c>
      <c r="F958" s="42" t="inlineStr">
        <is>
          <t>Solano</t>
        </is>
      </c>
      <c r="G958" s="42" t="inlineStr">
        <is>
          <t>Quezon</t>
        </is>
      </c>
      <c r="H958" s="43" t="n">
        <v>16.516181</v>
      </c>
      <c r="I958" s="43" t="n">
        <v>121.174109</v>
      </c>
      <c r="J958" s="44" t="inlineStr">
        <is>
          <t>U</t>
        </is>
      </c>
      <c r="K958" s="42" t="inlineStr">
        <is>
          <t>Class 1-3 / Urban</t>
        </is>
      </c>
      <c r="L958" s="23" t="n">
        <v>5404</v>
      </c>
      <c r="M958" s="24" t="n">
        <v>4.19</v>
      </c>
      <c r="N958" s="23">
        <f>ROUND(L958/M958, 0)</f>
        <v/>
      </c>
      <c r="O958" s="23">
        <f>ROUND(N958*'Methodology &amp; Assumptions'!$B$8, 0)</f>
        <v/>
      </c>
      <c r="P958" s="44" t="inlineStr">
        <is>
          <t>Band n50 (1.5 GHz, 60 MHz)</t>
        </is>
      </c>
      <c r="Q958" s="38">
        <f>ROUNDUP(O958/'Methodology &amp; Assumptions'!$B$9, 0)</f>
        <v/>
      </c>
      <c r="R958" s="39" t="n">
        <v>1</v>
      </c>
      <c r="S958" s="25" t="n">
        <v>1.17</v>
      </c>
      <c r="T958" s="25" t="n">
        <v>0.52</v>
      </c>
      <c r="U958" s="42" t="inlineStr">
        <is>
          <t>Tier 1B (Micro Drop, 1-3 km)</t>
        </is>
      </c>
      <c r="V958" s="24" t="n">
        <v>77.59999999999999</v>
      </c>
      <c r="W958" s="24" t="n">
        <v>100</v>
      </c>
      <c r="X958" s="24" t="n">
        <v>28</v>
      </c>
      <c r="Y958" s="45">
        <f>ROUND((V958*'Methodology &amp; Assumptions'!$B$6)+(W958*'Methodology &amp; Assumptions'!$B$5)+(X958*'Methodology &amp; Assumptions'!$B$7), 2)</f>
        <v/>
      </c>
    </row>
    <row r="959" ht="19" customHeight="1">
      <c r="A959" s="35" t="n">
        <v>955</v>
      </c>
      <c r="B959" s="35" t="n">
        <v>1955</v>
      </c>
      <c r="C959" s="36" t="inlineStr">
        <is>
          <t>0402118061</t>
        </is>
      </c>
      <c r="D959" s="36" t="inlineStr">
        <is>
          <t>Region IV-A (CALABARZON)</t>
        </is>
      </c>
      <c r="E959" s="36" t="inlineStr">
        <is>
          <t>Cavite</t>
        </is>
      </c>
      <c r="F959" s="36" t="inlineStr">
        <is>
          <t>Silang</t>
        </is>
      </c>
      <c r="G959" s="36" t="inlineStr">
        <is>
          <t>Narra III</t>
        </is>
      </c>
      <c r="H959" s="37" t="n">
        <v>14.27831</v>
      </c>
      <c r="I959" s="37" t="n">
        <v>120.993299</v>
      </c>
      <c r="J959" s="8" t="inlineStr">
        <is>
          <t>R</t>
        </is>
      </c>
      <c r="K959" s="36" t="inlineStr">
        <is>
          <t>Class 1-3 / Urban</t>
        </is>
      </c>
      <c r="L959" s="18" t="n">
        <v>3223</v>
      </c>
      <c r="M959" s="20" t="n">
        <v>4.49</v>
      </c>
      <c r="N959" s="18">
        <f>ROUND(L959/M959, 0)</f>
        <v/>
      </c>
      <c r="O959" s="18">
        <f>ROUND(N959*'Methodology &amp; Assumptions'!$B$8, 0)</f>
        <v/>
      </c>
      <c r="P959" s="8" t="inlineStr">
        <is>
          <t>Band n50 (1.5 GHz, 60 MHz)</t>
        </is>
      </c>
      <c r="Q959" s="38">
        <f>ROUNDUP(O959/'Methodology &amp; Assumptions'!$B$9, 0)</f>
        <v/>
      </c>
      <c r="R959" s="39" t="n">
        <v>1</v>
      </c>
      <c r="S959" s="21" t="n">
        <v>1.05</v>
      </c>
      <c r="T959" s="21" t="n">
        <v>2.94</v>
      </c>
      <c r="U959" s="36" t="inlineStr">
        <is>
          <t>Tier 1B (Micro Drop, 1-3 km)</t>
        </is>
      </c>
      <c r="V959" s="20" t="n">
        <v>70.59999999999999</v>
      </c>
      <c r="W959" s="20" t="n">
        <v>81.3</v>
      </c>
      <c r="X959" s="20" t="n">
        <v>58</v>
      </c>
      <c r="Y959" s="40">
        <f>ROUND((V959*'Methodology &amp; Assumptions'!$B$6)+(W959*'Methodology &amp; Assumptions'!$B$5)+(X959*'Methodology &amp; Assumptions'!$B$7), 2)</f>
        <v/>
      </c>
    </row>
    <row r="960" ht="19" customHeight="1">
      <c r="A960" s="41" t="n">
        <v>956</v>
      </c>
      <c r="B960" s="41" t="n">
        <v>1956</v>
      </c>
      <c r="C960" s="42" t="inlineStr">
        <is>
          <t>0305413027</t>
        </is>
      </c>
      <c r="D960" s="42" t="inlineStr">
        <is>
          <t>Region III (Central Luzon)</t>
        </is>
      </c>
      <c r="E960" s="42" t="inlineStr">
        <is>
          <t>Pampanga</t>
        </is>
      </c>
      <c r="F960" s="42" t="inlineStr">
        <is>
          <t>Mexico</t>
        </is>
      </c>
      <c r="G960" s="42" t="inlineStr">
        <is>
          <t>San Carlos</t>
        </is>
      </c>
      <c r="H960" s="43" t="n">
        <v>15.07005</v>
      </c>
      <c r="I960" s="43" t="n">
        <v>120.7208</v>
      </c>
      <c r="J960" s="44" t="inlineStr">
        <is>
          <t>R</t>
        </is>
      </c>
      <c r="K960" s="42" t="inlineStr">
        <is>
          <t>Class 1-3 / Urban</t>
        </is>
      </c>
      <c r="L960" s="23" t="n">
        <v>3076</v>
      </c>
      <c r="M960" s="24" t="n">
        <v>4.63</v>
      </c>
      <c r="N960" s="23">
        <f>ROUND(L960/M960, 0)</f>
        <v/>
      </c>
      <c r="O960" s="23">
        <f>ROUND(N960*'Methodology &amp; Assumptions'!$B$8, 0)</f>
        <v/>
      </c>
      <c r="P960" s="44" t="inlineStr">
        <is>
          <t>Band n50 (1.5 GHz, 60 MHz)</t>
        </is>
      </c>
      <c r="Q960" s="38">
        <f>ROUNDUP(O960/'Methodology &amp; Assumptions'!$B$9, 0)</f>
        <v/>
      </c>
      <c r="R960" s="39" t="n">
        <v>1</v>
      </c>
      <c r="S960" s="25" t="n">
        <v>1.3</v>
      </c>
      <c r="T960" s="25" t="n">
        <v>0.64</v>
      </c>
      <c r="U960" s="42" t="inlineStr">
        <is>
          <t>Tier 1B (Micro Drop, 1-3 km)</t>
        </is>
      </c>
      <c r="V960" s="24" t="n">
        <v>74.8</v>
      </c>
      <c r="W960" s="24" t="n">
        <v>77.09999999999999</v>
      </c>
      <c r="X960" s="24" t="n">
        <v>58</v>
      </c>
      <c r="Y960" s="45">
        <f>ROUND((V960*'Methodology &amp; Assumptions'!$B$6)+(W960*'Methodology &amp; Assumptions'!$B$5)+(X960*'Methodology &amp; Assumptions'!$B$7), 2)</f>
        <v/>
      </c>
    </row>
    <row r="961" ht="19" customHeight="1">
      <c r="A961" s="35" t="n">
        <v>957</v>
      </c>
      <c r="B961" s="35" t="n">
        <v>1957</v>
      </c>
      <c r="C961" s="36" t="inlineStr">
        <is>
          <t>0907322039</t>
        </is>
      </c>
      <c r="D961" s="36" t="inlineStr">
        <is>
          <t>Region IX (Zamboanga Peninsula)</t>
        </is>
      </c>
      <c r="E961" s="36" t="inlineStr">
        <is>
          <t>Zamboanga del Sur</t>
        </is>
      </c>
      <c r="F961" s="36" t="inlineStr">
        <is>
          <t>City of Pagadian</t>
        </is>
      </c>
      <c r="G961" s="36" t="inlineStr">
        <is>
          <t>San Francisco</t>
        </is>
      </c>
      <c r="H961" s="37" t="n">
        <v>7.8291</v>
      </c>
      <c r="I961" s="37" t="n">
        <v>123.440179</v>
      </c>
      <c r="J961" s="8" t="inlineStr">
        <is>
          <t>U</t>
        </is>
      </c>
      <c r="K961" s="36" t="inlineStr">
        <is>
          <t>Class 1-3 / Urban</t>
        </is>
      </c>
      <c r="L961" s="18" t="n">
        <v>3091</v>
      </c>
      <c r="M961" s="20" t="n">
        <v>4.61</v>
      </c>
      <c r="N961" s="18">
        <f>ROUND(L961/M961, 0)</f>
        <v/>
      </c>
      <c r="O961" s="18">
        <f>ROUND(N961*'Methodology &amp; Assumptions'!$B$8, 0)</f>
        <v/>
      </c>
      <c r="P961" s="8" t="inlineStr">
        <is>
          <t>Band n50 (1.5 GHz, 60 MHz)</t>
        </is>
      </c>
      <c r="Q961" s="38">
        <f>ROUNDUP(O961/'Methodology &amp; Assumptions'!$B$9, 0)</f>
        <v/>
      </c>
      <c r="R961" s="39" t="n">
        <v>1</v>
      </c>
      <c r="S961" s="21" t="n">
        <v>0.21</v>
      </c>
      <c r="T961" s="21" t="n">
        <v>0.2</v>
      </c>
      <c r="U961" s="36" t="inlineStr">
        <is>
          <t>Tier 1A (Direct Coloc, &lt;1 km)</t>
        </is>
      </c>
      <c r="V961" s="20" t="n">
        <v>100</v>
      </c>
      <c r="W961" s="20" t="n">
        <v>77.59999999999999</v>
      </c>
      <c r="X961" s="20" t="n">
        <v>28</v>
      </c>
      <c r="Y961" s="40">
        <f>ROUND((V961*'Methodology &amp; Assumptions'!$B$6)+(W961*'Methodology &amp; Assumptions'!$B$5)+(X961*'Methodology &amp; Assumptions'!$B$7), 2)</f>
        <v/>
      </c>
    </row>
    <row r="962" ht="19" customHeight="1">
      <c r="A962" s="41" t="n">
        <v>958</v>
      </c>
      <c r="B962" s="41" t="n">
        <v>1958</v>
      </c>
      <c r="C962" s="42" t="inlineStr">
        <is>
          <t>0631000079</t>
        </is>
      </c>
      <c r="D962" s="42" t="inlineStr">
        <is>
          <t>Region VI (Western Visayas)</t>
        </is>
      </c>
      <c r="E962" s="42" t="inlineStr">
        <is>
          <t>Iloilo</t>
        </is>
      </c>
      <c r="F962" s="42" t="inlineStr">
        <is>
          <t>City of Iloilo</t>
        </is>
      </c>
      <c r="G962" s="42" t="inlineStr">
        <is>
          <t>Kasingkasing</t>
        </is>
      </c>
      <c r="H962" s="43" t="n">
        <v>10.693709</v>
      </c>
      <c r="I962" s="43" t="n">
        <v>122.546572</v>
      </c>
      <c r="J962" s="44" t="inlineStr">
        <is>
          <t>R</t>
        </is>
      </c>
      <c r="K962" s="42" t="inlineStr">
        <is>
          <t>Class 1-3 / Urban</t>
        </is>
      </c>
      <c r="L962" s="23" t="n">
        <v>2434</v>
      </c>
      <c r="M962" s="24" t="n">
        <v>4.39</v>
      </c>
      <c r="N962" s="23">
        <f>ROUND(L962/M962, 0)</f>
        <v/>
      </c>
      <c r="O962" s="23">
        <f>ROUND(N962*'Methodology &amp; Assumptions'!$B$8, 0)</f>
        <v/>
      </c>
      <c r="P962" s="44" t="inlineStr">
        <is>
          <t>Band n50 (1.5 GHz, 60 MHz)</t>
        </is>
      </c>
      <c r="Q962" s="38">
        <f>ROUNDUP(O962/'Methodology &amp; Assumptions'!$B$9, 0)</f>
        <v/>
      </c>
      <c r="R962" s="39" t="n">
        <v>1</v>
      </c>
      <c r="S962" s="25" t="n">
        <v>0.54</v>
      </c>
      <c r="T962" s="25" t="n">
        <v>2.56</v>
      </c>
      <c r="U962" s="42" t="inlineStr">
        <is>
          <t>Tier 1A (Direct Coloc, &lt;1 km)</t>
        </is>
      </c>
      <c r="V962" s="24" t="n">
        <v>83.59999999999999</v>
      </c>
      <c r="W962" s="24" t="n">
        <v>68.3</v>
      </c>
      <c r="X962" s="24" t="n">
        <v>58</v>
      </c>
      <c r="Y962" s="45">
        <f>ROUND((V962*'Methodology &amp; Assumptions'!$B$6)+(W962*'Methodology &amp; Assumptions'!$B$5)+(X962*'Methodology &amp; Assumptions'!$B$7), 2)</f>
        <v/>
      </c>
    </row>
    <row r="963" ht="19" customHeight="1">
      <c r="A963" s="35" t="n">
        <v>959</v>
      </c>
      <c r="B963" s="35" t="n">
        <v>1959</v>
      </c>
      <c r="C963" s="36" t="inlineStr">
        <is>
          <t>0201528023</t>
        </is>
      </c>
      <c r="D963" s="36" t="inlineStr">
        <is>
          <t>Region II (Cagayan Valley)</t>
        </is>
      </c>
      <c r="E963" s="36" t="inlineStr">
        <is>
          <t>Cagayan</t>
        </is>
      </c>
      <c r="F963" s="36" t="inlineStr">
        <is>
          <t>Tuao</t>
        </is>
      </c>
      <c r="G963" s="36" t="inlineStr">
        <is>
          <t>Naruangan</t>
        </is>
      </c>
      <c r="H963" s="37" t="n">
        <v>17.6688</v>
      </c>
      <c r="I963" s="37" t="n">
        <v>121.5144</v>
      </c>
      <c r="J963" s="8" t="inlineStr">
        <is>
          <t>R</t>
        </is>
      </c>
      <c r="K963" s="36" t="inlineStr">
        <is>
          <t>Class 1-3 / Urban</t>
        </is>
      </c>
      <c r="L963" s="18" t="n">
        <v>2105</v>
      </c>
      <c r="M963" s="20" t="n">
        <v>4.38</v>
      </c>
      <c r="N963" s="18">
        <f>ROUND(L963/M963, 0)</f>
        <v/>
      </c>
      <c r="O963" s="18">
        <f>ROUND(N963*'Methodology &amp; Assumptions'!$B$8, 0)</f>
        <v/>
      </c>
      <c r="P963" s="8" t="inlineStr">
        <is>
          <t>Band n50 (1.5 GHz, 60 MHz)</t>
        </is>
      </c>
      <c r="Q963" s="38">
        <f>ROUNDUP(O963/'Methodology &amp; Assumptions'!$B$9, 0)</f>
        <v/>
      </c>
      <c r="R963" s="39" t="n">
        <v>1</v>
      </c>
      <c r="S963" s="21" t="n">
        <v>0.33</v>
      </c>
      <c r="T963" s="21" t="n">
        <v>8.44</v>
      </c>
      <c r="U963" s="36" t="inlineStr">
        <is>
          <t>Tier 1A (Direct Coloc, &lt;1 km)</t>
        </is>
      </c>
      <c r="V963" s="20" t="n">
        <v>89.5</v>
      </c>
      <c r="W963" s="20" t="n">
        <v>62.4</v>
      </c>
      <c r="X963" s="20" t="n">
        <v>58</v>
      </c>
      <c r="Y963" s="40">
        <f>ROUND((V963*'Methodology &amp; Assumptions'!$B$6)+(W963*'Methodology &amp; Assumptions'!$B$5)+(X963*'Methodology &amp; Assumptions'!$B$7), 2)</f>
        <v/>
      </c>
    </row>
    <row r="964" ht="19" customHeight="1">
      <c r="A964" s="41" t="n">
        <v>960</v>
      </c>
      <c r="B964" s="41" t="n">
        <v>1960</v>
      </c>
      <c r="C964" s="42" t="inlineStr">
        <is>
          <t>0307103011</t>
        </is>
      </c>
      <c r="D964" s="42" t="inlineStr">
        <is>
          <t>Region III (Central Luzon)</t>
        </is>
      </c>
      <c r="E964" s="42" t="inlineStr">
        <is>
          <t>Zambales</t>
        </is>
      </c>
      <c r="F964" s="42" t="inlineStr">
        <is>
          <t>Candelaria</t>
        </is>
      </c>
      <c r="G964" s="42" t="inlineStr">
        <is>
          <t>Pamibian</t>
        </is>
      </c>
      <c r="H964" s="43" t="n">
        <v>15.625736</v>
      </c>
      <c r="I964" s="43" t="n">
        <v>119.934574</v>
      </c>
      <c r="J964" s="44" t="inlineStr">
        <is>
          <t>R</t>
        </is>
      </c>
      <c r="K964" s="42" t="inlineStr">
        <is>
          <t>Class 1-3 / Urban</t>
        </is>
      </c>
      <c r="L964" s="23" t="n">
        <v>1431</v>
      </c>
      <c r="M964" s="24" t="n">
        <v>4.05</v>
      </c>
      <c r="N964" s="23">
        <f>ROUND(L964/M964, 0)</f>
        <v/>
      </c>
      <c r="O964" s="23">
        <f>ROUND(N964*'Methodology &amp; Assumptions'!$B$8, 0)</f>
        <v/>
      </c>
      <c r="P964" s="44" t="inlineStr">
        <is>
          <t>Band n50 (1.5 GHz, 60 MHz)</t>
        </is>
      </c>
      <c r="Q964" s="38">
        <f>ROUNDUP(O964/'Methodology &amp; Assumptions'!$B$9, 0)</f>
        <v/>
      </c>
      <c r="R964" s="39" t="n">
        <v>1</v>
      </c>
      <c r="S964" s="25" t="n">
        <v>0.33</v>
      </c>
      <c r="T964" s="25" t="n">
        <v>0.32</v>
      </c>
      <c r="U964" s="42" t="inlineStr">
        <is>
          <t>Tier 1A (Direct Coloc, &lt;1 km)</t>
        </is>
      </c>
      <c r="V964" s="24" t="n">
        <v>99.59999999999999</v>
      </c>
      <c r="W964" s="24" t="n">
        <v>52.3</v>
      </c>
      <c r="X964" s="24" t="n">
        <v>58</v>
      </c>
      <c r="Y964" s="45">
        <f>ROUND((V964*'Methodology &amp; Assumptions'!$B$6)+(W964*'Methodology &amp; Assumptions'!$B$5)+(X964*'Methodology &amp; Assumptions'!$B$7), 2)</f>
        <v/>
      </c>
    </row>
    <row r="965" ht="19" customHeight="1">
      <c r="A965" s="35" t="n">
        <v>961</v>
      </c>
      <c r="B965" s="35" t="n">
        <v>1961</v>
      </c>
      <c r="C965" s="36" t="inlineStr">
        <is>
          <t>1705209023</t>
        </is>
      </c>
      <c r="D965" s="36" t="inlineStr">
        <is>
          <t>MIMAROPA Region</t>
        </is>
      </c>
      <c r="E965" s="36" t="inlineStr">
        <is>
          <t>Oriental Mindoro</t>
        </is>
      </c>
      <c r="F965" s="36" t="inlineStr">
        <is>
          <t>Pinamalayan</t>
        </is>
      </c>
      <c r="G965" s="36" t="inlineStr">
        <is>
          <t>Pili</t>
        </is>
      </c>
      <c r="H965" s="37" t="n">
        <v>13.0693</v>
      </c>
      <c r="I965" s="37" t="n">
        <v>121.5197</v>
      </c>
      <c r="J965" s="8" t="inlineStr">
        <is>
          <t>R</t>
        </is>
      </c>
      <c r="K965" s="36" t="inlineStr">
        <is>
          <t>Class 1-3 / Urban</t>
        </is>
      </c>
      <c r="L965" s="18" t="n">
        <v>3937</v>
      </c>
      <c r="M965" s="20" t="n">
        <v>4.41</v>
      </c>
      <c r="N965" s="18">
        <f>ROUND(L965/M965, 0)</f>
        <v/>
      </c>
      <c r="O965" s="18">
        <f>ROUND(N965*'Methodology &amp; Assumptions'!$B$8, 0)</f>
        <v/>
      </c>
      <c r="P965" s="8" t="inlineStr">
        <is>
          <t>Band n50 (1.5 GHz, 60 MHz)</t>
        </is>
      </c>
      <c r="Q965" s="38">
        <f>ROUNDUP(O965/'Methodology &amp; Assumptions'!$B$9, 0)</f>
        <v/>
      </c>
      <c r="R965" s="39" t="n">
        <v>1</v>
      </c>
      <c r="S965" s="21" t="n">
        <v>1.52</v>
      </c>
      <c r="T965" s="21" t="n">
        <v>5.49</v>
      </c>
      <c r="U965" s="36" t="inlineStr">
        <is>
          <t>Tier 1B (Micro Drop, 1-3 km)</t>
        </is>
      </c>
      <c r="V965" s="20" t="n">
        <v>60.4</v>
      </c>
      <c r="W965" s="20" t="n">
        <v>91.5</v>
      </c>
      <c r="X965" s="20" t="n">
        <v>58</v>
      </c>
      <c r="Y965" s="40">
        <f>ROUND((V965*'Methodology &amp; Assumptions'!$B$6)+(W965*'Methodology &amp; Assumptions'!$B$5)+(X965*'Methodology &amp; Assumptions'!$B$7), 2)</f>
        <v/>
      </c>
    </row>
    <row r="966" ht="19" customHeight="1">
      <c r="A966" s="41" t="n">
        <v>962</v>
      </c>
      <c r="B966" s="41" t="n">
        <v>1962</v>
      </c>
      <c r="C966" s="42" t="inlineStr">
        <is>
          <t>0305408040</t>
        </is>
      </c>
      <c r="D966" s="42" t="inlineStr">
        <is>
          <t>Region III (Central Luzon)</t>
        </is>
      </c>
      <c r="E966" s="42" t="inlineStr">
        <is>
          <t>Pampanga</t>
        </is>
      </c>
      <c r="F966" s="42" t="inlineStr">
        <is>
          <t>Lubao</t>
        </is>
      </c>
      <c r="G966" s="42" t="inlineStr">
        <is>
          <t>Santa Teresa 1st</t>
        </is>
      </c>
      <c r="H966" s="43" t="n">
        <v>14.926418</v>
      </c>
      <c r="I966" s="43" t="n">
        <v>120.557401</v>
      </c>
      <c r="J966" s="44" t="inlineStr">
        <is>
          <t>R</t>
        </is>
      </c>
      <c r="K966" s="42" t="inlineStr">
        <is>
          <t>Class 1-3 / Urban</t>
        </is>
      </c>
      <c r="L966" s="23" t="n">
        <v>3606</v>
      </c>
      <c r="M966" s="24" t="n">
        <v>4.63</v>
      </c>
      <c r="N966" s="23">
        <f>ROUND(L966/M966, 0)</f>
        <v/>
      </c>
      <c r="O966" s="23">
        <f>ROUND(N966*'Methodology &amp; Assumptions'!$B$8, 0)</f>
        <v/>
      </c>
      <c r="P966" s="44" t="inlineStr">
        <is>
          <t>Band n50 (1.5 GHz, 60 MHz)</t>
        </is>
      </c>
      <c r="Q966" s="38">
        <f>ROUNDUP(O966/'Methodology &amp; Assumptions'!$B$9, 0)</f>
        <v/>
      </c>
      <c r="R966" s="39" t="n">
        <v>1</v>
      </c>
      <c r="S966" s="25" t="n">
        <v>1.77</v>
      </c>
      <c r="T966" s="25" t="n">
        <v>1.78</v>
      </c>
      <c r="U966" s="42" t="inlineStr">
        <is>
          <t>Tier 1B (Micro Drop, 1-3 km)</t>
        </is>
      </c>
      <c r="V966" s="24" t="n">
        <v>65.40000000000001</v>
      </c>
      <c r="W966" s="24" t="n">
        <v>86.40000000000001</v>
      </c>
      <c r="X966" s="24" t="n">
        <v>58</v>
      </c>
      <c r="Y966" s="45">
        <f>ROUND((V966*'Methodology &amp; Assumptions'!$B$6)+(W966*'Methodology &amp; Assumptions'!$B$5)+(X966*'Methodology &amp; Assumptions'!$B$7), 2)</f>
        <v/>
      </c>
    </row>
    <row r="967" ht="19" customHeight="1">
      <c r="A967" s="35" t="n">
        <v>963</v>
      </c>
      <c r="B967" s="35" t="n">
        <v>1963</v>
      </c>
      <c r="C967" s="36" t="inlineStr">
        <is>
          <t>0500508033</t>
        </is>
      </c>
      <c r="D967" s="36" t="inlineStr">
        <is>
          <t>Region V (Bicol Region)</t>
        </is>
      </c>
      <c r="E967" s="36" t="inlineStr">
        <is>
          <t>Albay</t>
        </is>
      </c>
      <c r="F967" s="36" t="inlineStr">
        <is>
          <t>City of Ligao</t>
        </is>
      </c>
      <c r="G967" s="36" t="inlineStr">
        <is>
          <t>Nabonton</t>
        </is>
      </c>
      <c r="H967" s="37" t="n">
        <v>13.250989</v>
      </c>
      <c r="I967" s="37" t="n">
        <v>123.591944</v>
      </c>
      <c r="J967" s="8" t="inlineStr">
        <is>
          <t>R</t>
        </is>
      </c>
      <c r="K967" s="36" t="inlineStr">
        <is>
          <t>Class 1-3 / Urban</t>
        </is>
      </c>
      <c r="L967" s="18" t="n">
        <v>2848</v>
      </c>
      <c r="M967" s="20" t="n">
        <v>4.67</v>
      </c>
      <c r="N967" s="18">
        <f>ROUND(L967/M967, 0)</f>
        <v/>
      </c>
      <c r="O967" s="18">
        <f>ROUND(N967*'Methodology &amp; Assumptions'!$B$8, 0)</f>
        <v/>
      </c>
      <c r="P967" s="8" t="inlineStr">
        <is>
          <t>Band n50 (1.5 GHz, 60 MHz)</t>
        </is>
      </c>
      <c r="Q967" s="38">
        <f>ROUNDUP(O967/'Methodology &amp; Assumptions'!$B$9, 0)</f>
        <v/>
      </c>
      <c r="R967" s="39" t="n">
        <v>1</v>
      </c>
      <c r="S967" s="21" t="n">
        <v>1.11</v>
      </c>
      <c r="T967" s="21" t="n">
        <v>1.28</v>
      </c>
      <c r="U967" s="36" t="inlineStr">
        <is>
          <t>Tier 1B (Micro Drop, 1-3 km)</t>
        </is>
      </c>
      <c r="V967" s="20" t="n">
        <v>79</v>
      </c>
      <c r="W967" s="20" t="n">
        <v>72.8</v>
      </c>
      <c r="X967" s="20" t="n">
        <v>58</v>
      </c>
      <c r="Y967" s="40">
        <f>ROUND((V967*'Methodology &amp; Assumptions'!$B$6)+(W967*'Methodology &amp; Assumptions'!$B$5)+(X967*'Methodology &amp; Assumptions'!$B$7), 2)</f>
        <v/>
      </c>
    </row>
    <row r="968" ht="19" customHeight="1">
      <c r="A968" s="41" t="n">
        <v>964</v>
      </c>
      <c r="B968" s="41" t="n">
        <v>1964</v>
      </c>
      <c r="C968" s="42" t="inlineStr">
        <is>
          <t>0402118055</t>
        </is>
      </c>
      <c r="D968" s="42" t="inlineStr">
        <is>
          <t>Region IV-A (CALABARZON)</t>
        </is>
      </c>
      <c r="E968" s="42" t="inlineStr">
        <is>
          <t>Cavite</t>
        </is>
      </c>
      <c r="F968" s="42" t="inlineStr">
        <is>
          <t>Silang</t>
        </is>
      </c>
      <c r="G968" s="42" t="inlineStr">
        <is>
          <t>Banaba</t>
        </is>
      </c>
      <c r="H968" s="43" t="n">
        <v>14.28281</v>
      </c>
      <c r="I968" s="43" t="n">
        <v>120.994942</v>
      </c>
      <c r="J968" s="44" t="inlineStr">
        <is>
          <t>U</t>
        </is>
      </c>
      <c r="K968" s="42" t="inlineStr">
        <is>
          <t>Class 1-3 / Urban</t>
        </is>
      </c>
      <c r="L968" s="23" t="n">
        <v>6315</v>
      </c>
      <c r="M968" s="24" t="n">
        <v>4.49</v>
      </c>
      <c r="N968" s="23">
        <f>ROUND(L968/M968, 0)</f>
        <v/>
      </c>
      <c r="O968" s="23">
        <f>ROUND(N968*'Methodology &amp; Assumptions'!$B$8, 0)</f>
        <v/>
      </c>
      <c r="P968" s="44" t="inlineStr">
        <is>
          <t>Band n50 (1.5 GHz, 60 MHz)</t>
        </is>
      </c>
      <c r="Q968" s="38">
        <f>ROUNDUP(O968/'Methodology &amp; Assumptions'!$B$9, 0)</f>
        <v/>
      </c>
      <c r="R968" s="39" t="n">
        <v>1</v>
      </c>
      <c r="S968" s="25" t="n">
        <v>0.76</v>
      </c>
      <c r="T968" s="25" t="n">
        <v>3.29</v>
      </c>
      <c r="U968" s="42" t="inlineStr">
        <is>
          <t>Tier 1A (Direct Coloc, &lt;1 km)</t>
        </is>
      </c>
      <c r="V968" s="24" t="n">
        <v>77.5</v>
      </c>
      <c r="W968" s="24" t="n">
        <v>100</v>
      </c>
      <c r="X968" s="24" t="n">
        <v>28</v>
      </c>
      <c r="Y968" s="45">
        <f>ROUND((V968*'Methodology &amp; Assumptions'!$B$6)+(W968*'Methodology &amp; Assumptions'!$B$5)+(X968*'Methodology &amp; Assumptions'!$B$7), 2)</f>
        <v/>
      </c>
    </row>
    <row r="969" ht="19" customHeight="1">
      <c r="A969" s="35" t="n">
        <v>965</v>
      </c>
      <c r="B969" s="35" t="n">
        <v>1965</v>
      </c>
      <c r="C969" s="36" t="inlineStr">
        <is>
          <t>0203131006</t>
        </is>
      </c>
      <c r="D969" s="36" t="inlineStr">
        <is>
          <t>Region II (Cagayan Valley)</t>
        </is>
      </c>
      <c r="E969" s="36" t="inlineStr">
        <is>
          <t>Isabela</t>
        </is>
      </c>
      <c r="F969" s="36" t="inlineStr">
        <is>
          <t>San Mariano</t>
        </is>
      </c>
      <c r="G969" s="36" t="inlineStr">
        <is>
          <t>Cadsalan</t>
        </is>
      </c>
      <c r="H969" s="37" t="n">
        <v>16.983516</v>
      </c>
      <c r="I969" s="37" t="n">
        <v>122.012798</v>
      </c>
      <c r="J969" s="8" t="inlineStr">
        <is>
          <t>R</t>
        </is>
      </c>
      <c r="K969" s="36" t="inlineStr">
        <is>
          <t>Class 1-3 / Urban</t>
        </is>
      </c>
      <c r="L969" s="18" t="n">
        <v>1828</v>
      </c>
      <c r="M969" s="20" t="n">
        <v>4.3</v>
      </c>
      <c r="N969" s="18">
        <f>ROUND(L969/M969, 0)</f>
        <v/>
      </c>
      <c r="O969" s="18">
        <f>ROUND(N969*'Methodology &amp; Assumptions'!$B$8, 0)</f>
        <v/>
      </c>
      <c r="P969" s="8" t="inlineStr">
        <is>
          <t>Band n50 (1.5 GHz, 60 MHz)</t>
        </is>
      </c>
      <c r="Q969" s="38">
        <f>ROUNDUP(O969/'Methodology &amp; Assumptions'!$B$9, 0)</f>
        <v/>
      </c>
      <c r="R969" s="39" t="n">
        <v>1</v>
      </c>
      <c r="S969" s="21" t="n">
        <v>0.2</v>
      </c>
      <c r="T969" s="21" t="n">
        <v>16.79</v>
      </c>
      <c r="U969" s="36" t="inlineStr">
        <is>
          <t>Tier 1A (Direct Coloc, &lt;1 km)</t>
        </is>
      </c>
      <c r="V969" s="20" t="n">
        <v>93.59999999999999</v>
      </c>
      <c r="W969" s="20" t="n">
        <v>58.1</v>
      </c>
      <c r="X969" s="20" t="n">
        <v>58</v>
      </c>
      <c r="Y969" s="40">
        <f>ROUND((V969*'Methodology &amp; Assumptions'!$B$6)+(W969*'Methodology &amp; Assumptions'!$B$5)+(X969*'Methodology &amp; Assumptions'!$B$7), 2)</f>
        <v/>
      </c>
    </row>
    <row r="970" ht="19" customHeight="1">
      <c r="A970" s="41" t="n">
        <v>966</v>
      </c>
      <c r="B970" s="41" t="n">
        <v>1966</v>
      </c>
      <c r="C970" s="42" t="inlineStr">
        <is>
          <t>0501603015</t>
        </is>
      </c>
      <c r="D970" s="42" t="inlineStr">
        <is>
          <t>Region V (Bicol Region)</t>
        </is>
      </c>
      <c r="E970" s="42" t="inlineStr">
        <is>
          <t>Camarines Norte</t>
        </is>
      </c>
      <c r="F970" s="42" t="inlineStr">
        <is>
          <t>Daet</t>
        </is>
      </c>
      <c r="G970" s="42" t="inlineStr">
        <is>
          <t>Lag-On</t>
        </is>
      </c>
      <c r="H970" s="43" t="n">
        <v>14.118934</v>
      </c>
      <c r="I970" s="43" t="n">
        <v>122.943746</v>
      </c>
      <c r="J970" s="44" t="inlineStr">
        <is>
          <t>U</t>
        </is>
      </c>
      <c r="K970" s="42" t="inlineStr">
        <is>
          <t>Class 1-3 / Urban</t>
        </is>
      </c>
      <c r="L970" s="23" t="n">
        <v>6264</v>
      </c>
      <c r="M970" s="24" t="n">
        <v>4.4</v>
      </c>
      <c r="N970" s="23">
        <f>ROUND(L970/M970, 0)</f>
        <v/>
      </c>
      <c r="O970" s="23">
        <f>ROUND(N970*'Methodology &amp; Assumptions'!$B$8, 0)</f>
        <v/>
      </c>
      <c r="P970" s="44" t="inlineStr">
        <is>
          <t>Band n50 (1.5 GHz, 60 MHz)</t>
        </is>
      </c>
      <c r="Q970" s="38">
        <f>ROUNDUP(O970/'Methodology &amp; Assumptions'!$B$9, 0)</f>
        <v/>
      </c>
      <c r="R970" s="39" t="n">
        <v>1</v>
      </c>
      <c r="S970" s="25" t="n">
        <v>1.18</v>
      </c>
      <c r="T970" s="25" t="n">
        <v>0.58</v>
      </c>
      <c r="U970" s="42" t="inlineStr">
        <is>
          <t>Tier 1B (Micro Drop, 1-3 km)</t>
        </is>
      </c>
      <c r="V970" s="24" t="n">
        <v>77.5</v>
      </c>
      <c r="W970" s="24" t="n">
        <v>100</v>
      </c>
      <c r="X970" s="24" t="n">
        <v>28</v>
      </c>
      <c r="Y970" s="45">
        <f>ROUND((V970*'Methodology &amp; Assumptions'!$B$6)+(W970*'Methodology &amp; Assumptions'!$B$5)+(X970*'Methodology &amp; Assumptions'!$B$7), 2)</f>
        <v/>
      </c>
    </row>
    <row r="971" ht="19" customHeight="1">
      <c r="A971" s="35" t="n">
        <v>967</v>
      </c>
      <c r="B971" s="35" t="n">
        <v>1967</v>
      </c>
      <c r="C971" s="36" t="inlineStr">
        <is>
          <t>0401021043</t>
        </is>
      </c>
      <c r="D971" s="36" t="inlineStr">
        <is>
          <t>Region IV-A (CALABARZON)</t>
        </is>
      </c>
      <c r="E971" s="36" t="inlineStr">
        <is>
          <t>Batangas</t>
        </is>
      </c>
      <c r="F971" s="36" t="inlineStr">
        <is>
          <t>Rosario</t>
        </is>
      </c>
      <c r="G971" s="36" t="inlineStr">
        <is>
          <t>San Roque</t>
        </is>
      </c>
      <c r="H971" s="37" t="n">
        <v>13.854965</v>
      </c>
      <c r="I971" s="37" t="n">
        <v>121.203175</v>
      </c>
      <c r="J971" s="8" t="inlineStr">
        <is>
          <t>U</t>
        </is>
      </c>
      <c r="K971" s="36" t="inlineStr">
        <is>
          <t>Class 1-3 / Urban</t>
        </is>
      </c>
      <c r="L971" s="18" t="n">
        <v>4603</v>
      </c>
      <c r="M971" s="20" t="n">
        <v>4.62</v>
      </c>
      <c r="N971" s="18">
        <f>ROUND(L971/M971, 0)</f>
        <v/>
      </c>
      <c r="O971" s="18">
        <f>ROUND(N971*'Methodology &amp; Assumptions'!$B$8, 0)</f>
        <v/>
      </c>
      <c r="P971" s="8" t="inlineStr">
        <is>
          <t>Band n50 (1.5 GHz, 60 MHz)</t>
        </is>
      </c>
      <c r="Q971" s="38">
        <f>ROUNDUP(O971/'Methodology &amp; Assumptions'!$B$9, 0)</f>
        <v/>
      </c>
      <c r="R971" s="39" t="n">
        <v>1</v>
      </c>
      <c r="S971" s="21" t="n">
        <v>1.18</v>
      </c>
      <c r="T971" s="21" t="n">
        <v>0.18</v>
      </c>
      <c r="U971" s="36" t="inlineStr">
        <is>
          <t>Tier 1B (Micro Drop, 1-3 km)</t>
        </is>
      </c>
      <c r="V971" s="20" t="n">
        <v>77.5</v>
      </c>
      <c r="W971" s="20" t="n">
        <v>100</v>
      </c>
      <c r="X971" s="20" t="n">
        <v>28</v>
      </c>
      <c r="Y971" s="40">
        <f>ROUND((V971*'Methodology &amp; Assumptions'!$B$6)+(W971*'Methodology &amp; Assumptions'!$B$5)+(X971*'Methodology &amp; Assumptions'!$B$7), 2)</f>
        <v/>
      </c>
    </row>
    <row r="972" ht="19" customHeight="1">
      <c r="A972" s="41" t="n">
        <v>968</v>
      </c>
      <c r="B972" s="41" t="n">
        <v>1968</v>
      </c>
      <c r="C972" s="42" t="inlineStr">
        <is>
          <t>0405630022</t>
        </is>
      </c>
      <c r="D972" s="42" t="inlineStr">
        <is>
          <t>Region IV-A (CALABARZON)</t>
        </is>
      </c>
      <c r="E972" s="42" t="inlineStr">
        <is>
          <t>Quezon</t>
        </is>
      </c>
      <c r="F972" s="42" t="inlineStr">
        <is>
          <t>Pagbilao</t>
        </is>
      </c>
      <c r="G972" s="42" t="inlineStr">
        <is>
          <t>Barangay 4 Parang</t>
        </is>
      </c>
      <c r="H972" s="43" t="n">
        <v>13.970425</v>
      </c>
      <c r="I972" s="43" t="n">
        <v>121.68932</v>
      </c>
      <c r="J972" s="44" t="inlineStr">
        <is>
          <t>R</t>
        </is>
      </c>
      <c r="K972" s="42" t="inlineStr">
        <is>
          <t>Class 1-3 / Urban</t>
        </is>
      </c>
      <c r="L972" s="23" t="n">
        <v>2304</v>
      </c>
      <c r="M972" s="24" t="n">
        <v>4.46</v>
      </c>
      <c r="N972" s="23">
        <f>ROUND(L972/M972, 0)</f>
        <v/>
      </c>
      <c r="O972" s="23">
        <f>ROUND(N972*'Methodology &amp; Assumptions'!$B$8, 0)</f>
        <v/>
      </c>
      <c r="P972" s="44" t="inlineStr">
        <is>
          <t>Band n50 (1.5 GHz, 60 MHz)</t>
        </is>
      </c>
      <c r="Q972" s="38">
        <f>ROUNDUP(O972/'Methodology &amp; Assumptions'!$B$9, 0)</f>
        <v/>
      </c>
      <c r="R972" s="39" t="n">
        <v>1</v>
      </c>
      <c r="S972" s="25" t="n">
        <v>0.8100000000000001</v>
      </c>
      <c r="T972" s="25" t="n">
        <v>0.23</v>
      </c>
      <c r="U972" s="42" t="inlineStr">
        <is>
          <t>Tier 1A (Direct Coloc, &lt;1 km)</t>
        </is>
      </c>
      <c r="V972" s="24" t="n">
        <v>86.40000000000001</v>
      </c>
      <c r="W972" s="24" t="n">
        <v>65.3</v>
      </c>
      <c r="X972" s="24" t="n">
        <v>58</v>
      </c>
      <c r="Y972" s="45">
        <f>ROUND((V972*'Methodology &amp; Assumptions'!$B$6)+(W972*'Methodology &amp; Assumptions'!$B$5)+(X972*'Methodology &amp; Assumptions'!$B$7), 2)</f>
        <v/>
      </c>
    </row>
    <row r="973" ht="19" customHeight="1">
      <c r="A973" s="35" t="n">
        <v>969</v>
      </c>
      <c r="B973" s="35" t="n">
        <v>1969</v>
      </c>
      <c r="C973" s="36" t="inlineStr">
        <is>
          <t>0306914007</t>
        </is>
      </c>
      <c r="D973" s="36" t="inlineStr">
        <is>
          <t>Region III (Central Luzon)</t>
        </is>
      </c>
      <c r="E973" s="36" t="inlineStr">
        <is>
          <t>Tarlac</t>
        </is>
      </c>
      <c r="F973" s="36" t="inlineStr">
        <is>
          <t>San Manuel</t>
        </is>
      </c>
      <c r="G973" s="36" t="inlineStr">
        <is>
          <t>Poblacion</t>
        </is>
      </c>
      <c r="H973" s="37" t="n">
        <v>15.798702</v>
      </c>
      <c r="I973" s="37" t="n">
        <v>120.608313</v>
      </c>
      <c r="J973" s="8" t="inlineStr">
        <is>
          <t>R</t>
        </is>
      </c>
      <c r="K973" s="36" t="inlineStr">
        <is>
          <t>1st</t>
        </is>
      </c>
      <c r="L973" s="18" t="n">
        <v>1549</v>
      </c>
      <c r="M973" s="20" t="n">
        <v>4.47</v>
      </c>
      <c r="N973" s="18">
        <f>ROUND(L973/M973, 0)</f>
        <v/>
      </c>
      <c r="O973" s="18">
        <f>ROUND(N973*'Methodology &amp; Assumptions'!$B$8, 0)</f>
        <v/>
      </c>
      <c r="P973" s="8" t="inlineStr">
        <is>
          <t>Band n50 (1.5 GHz, 60 MHz)</t>
        </is>
      </c>
      <c r="Q973" s="38">
        <f>ROUNDUP(O973/'Methodology &amp; Assumptions'!$B$9, 0)</f>
        <v/>
      </c>
      <c r="R973" s="39" t="n">
        <v>1</v>
      </c>
      <c r="S973" s="21" t="n">
        <v>0.25</v>
      </c>
      <c r="T973" s="21" t="n">
        <v>0.11</v>
      </c>
      <c r="U973" s="36" t="inlineStr">
        <is>
          <t>Tier 1A (Direct Coloc, &lt;1 km)</t>
        </is>
      </c>
      <c r="V973" s="20" t="n">
        <v>100</v>
      </c>
      <c r="W973" s="20" t="n">
        <v>51.7</v>
      </c>
      <c r="X973" s="20" t="n">
        <v>58</v>
      </c>
      <c r="Y973" s="40">
        <f>ROUND((V973*'Methodology &amp; Assumptions'!$B$6)+(W973*'Methodology &amp; Assumptions'!$B$5)+(X973*'Methodology &amp; Assumptions'!$B$7), 2)</f>
        <v/>
      </c>
    </row>
    <row r="974" ht="19" customHeight="1">
      <c r="A974" s="41" t="n">
        <v>970</v>
      </c>
      <c r="B974" s="41" t="n">
        <v>1970</v>
      </c>
      <c r="C974" s="42" t="inlineStr">
        <is>
          <t>0704624006</t>
        </is>
      </c>
      <c r="D974" s="42" t="inlineStr">
        <is>
          <t>Region VII (Central Visayas)</t>
        </is>
      </c>
      <c r="E974" s="42" t="inlineStr">
        <is>
          <t>Negros Oriental</t>
        </is>
      </c>
      <c r="F974" s="42" t="inlineStr">
        <is>
          <t>Vallehermoso</t>
        </is>
      </c>
      <c r="G974" s="42" t="inlineStr">
        <is>
          <t>Macapso</t>
        </is>
      </c>
      <c r="H974" s="43" t="n">
        <v>10.37823</v>
      </c>
      <c r="I974" s="43" t="n">
        <v>123.3325</v>
      </c>
      <c r="J974" s="44" t="inlineStr">
        <is>
          <t>R</t>
        </is>
      </c>
      <c r="K974" s="42" t="inlineStr">
        <is>
          <t>Class 1-3 / Urban</t>
        </is>
      </c>
      <c r="L974" s="23" t="n">
        <v>1502</v>
      </c>
      <c r="M974" s="24" t="n">
        <v>4.33</v>
      </c>
      <c r="N974" s="23">
        <f>ROUND(L974/M974, 0)</f>
        <v/>
      </c>
      <c r="O974" s="23">
        <f>ROUND(N974*'Methodology &amp; Assumptions'!$B$8, 0)</f>
        <v/>
      </c>
      <c r="P974" s="44" t="inlineStr">
        <is>
          <t>Band n50 (1.5 GHz, 60 MHz)</t>
        </is>
      </c>
      <c r="Q974" s="38">
        <f>ROUNDUP(O974/'Methodology &amp; Assumptions'!$B$9, 0)</f>
        <v/>
      </c>
      <c r="R974" s="39" t="n">
        <v>1</v>
      </c>
      <c r="S974" s="25" t="n">
        <v>0.05</v>
      </c>
      <c r="T974" s="25" t="n">
        <v>0.24</v>
      </c>
      <c r="U974" s="42" t="inlineStr">
        <is>
          <t>Tier 1A (Direct Coloc, &lt;1 km)</t>
        </is>
      </c>
      <c r="V974" s="24" t="n">
        <v>100</v>
      </c>
      <c r="W974" s="24" t="n">
        <v>51.7</v>
      </c>
      <c r="X974" s="24" t="n">
        <v>58</v>
      </c>
      <c r="Y974" s="45">
        <f>ROUND((V974*'Methodology &amp; Assumptions'!$B$6)+(W974*'Methodology &amp; Assumptions'!$B$5)+(X974*'Methodology &amp; Assumptions'!$B$7), 2)</f>
        <v/>
      </c>
    </row>
    <row r="975" ht="19" customHeight="1">
      <c r="A975" s="35" t="n">
        <v>971</v>
      </c>
      <c r="B975" s="35" t="n">
        <v>1971</v>
      </c>
      <c r="C975" s="36" t="inlineStr">
        <is>
          <t>1003503015</t>
        </is>
      </c>
      <c r="D975" s="36" t="inlineStr">
        <is>
          <t>Region X (Northern Mindanao)</t>
        </is>
      </c>
      <c r="E975" s="36" t="inlineStr">
        <is>
          <t>Lanao del Norte</t>
        </is>
      </c>
      <c r="F975" s="36" t="inlineStr">
        <is>
          <t>Baroy</t>
        </is>
      </c>
      <c r="G975" s="36" t="inlineStr">
        <is>
          <t>Poblacion</t>
        </is>
      </c>
      <c r="H975" s="37" t="n">
        <v>8.0259</v>
      </c>
      <c r="I975" s="37" t="n">
        <v>123.7802</v>
      </c>
      <c r="J975" s="8" t="inlineStr">
        <is>
          <t>R</t>
        </is>
      </c>
      <c r="K975" s="36" t="inlineStr">
        <is>
          <t>4th</t>
        </is>
      </c>
      <c r="L975" s="18" t="n">
        <v>2864</v>
      </c>
      <c r="M975" s="20" t="n">
        <v>4.03</v>
      </c>
      <c r="N975" s="18">
        <f>ROUND(L975/M975, 0)</f>
        <v/>
      </c>
      <c r="O975" s="18">
        <f>ROUND(N975*'Methodology &amp; Assumptions'!$B$8, 0)</f>
        <v/>
      </c>
      <c r="P975" s="8" t="inlineStr">
        <is>
          <t>Band n50 (1.5 GHz, 60 MHz)</t>
        </is>
      </c>
      <c r="Q975" s="38">
        <f>ROUNDUP(O975/'Methodology &amp; Assumptions'!$B$9, 0)</f>
        <v/>
      </c>
      <c r="R975" s="39" t="n">
        <v>1</v>
      </c>
      <c r="S975" s="21" t="n">
        <v>2.82</v>
      </c>
      <c r="T975" s="21" t="n">
        <v>0.5</v>
      </c>
      <c r="U975" s="36" t="inlineStr">
        <is>
          <t>Tier 1B (Micro Drop, 1-3 km)</t>
        </is>
      </c>
      <c r="V975" s="20" t="n">
        <v>49.1</v>
      </c>
      <c r="W975" s="20" t="n">
        <v>80.8</v>
      </c>
      <c r="X975" s="20" t="n">
        <v>83.5</v>
      </c>
      <c r="Y975" s="40">
        <f>ROUND((V975*'Methodology &amp; Assumptions'!$B$6)+(W975*'Methodology &amp; Assumptions'!$B$5)+(X975*'Methodology &amp; Assumptions'!$B$7), 2)</f>
        <v/>
      </c>
    </row>
    <row r="976" ht="19" customHeight="1">
      <c r="A976" s="41" t="n">
        <v>972</v>
      </c>
      <c r="B976" s="41" t="n">
        <v>1972</v>
      </c>
      <c r="C976" s="42" t="inlineStr">
        <is>
          <t>1630400061</t>
        </is>
      </c>
      <c r="D976" s="42" t="inlineStr">
        <is>
          <t>Region XIII (Caraga)</t>
        </is>
      </c>
      <c r="E976" s="42" t="inlineStr">
        <is>
          <t>Agusan del Norte</t>
        </is>
      </c>
      <c r="F976" s="42" t="inlineStr">
        <is>
          <t>City of Butuan</t>
        </is>
      </c>
      <c r="G976" s="42" t="inlineStr">
        <is>
          <t>Mahay</t>
        </is>
      </c>
      <c r="H976" s="43" t="n">
        <v>8.925336</v>
      </c>
      <c r="I976" s="43" t="n">
        <v>125.560403</v>
      </c>
      <c r="J976" s="44" t="inlineStr">
        <is>
          <t>R</t>
        </is>
      </c>
      <c r="K976" s="42" t="inlineStr">
        <is>
          <t>Class 1-3 / Urban</t>
        </is>
      </c>
      <c r="L976" s="23" t="n">
        <v>4874</v>
      </c>
      <c r="M976" s="24" t="n">
        <v>4.63</v>
      </c>
      <c r="N976" s="23">
        <f>ROUND(L976/M976, 0)</f>
        <v/>
      </c>
      <c r="O976" s="23">
        <f>ROUND(N976*'Methodology &amp; Assumptions'!$B$8, 0)</f>
        <v/>
      </c>
      <c r="P976" s="44" t="inlineStr">
        <is>
          <t>Band n50 (1.5 GHz, 60 MHz)</t>
        </is>
      </c>
      <c r="Q976" s="38">
        <f>ROUNDUP(O976/'Methodology &amp; Assumptions'!$B$9, 0)</f>
        <v/>
      </c>
      <c r="R976" s="39" t="n">
        <v>1</v>
      </c>
      <c r="S976" s="25" t="n">
        <v>3.73</v>
      </c>
      <c r="T976" s="25" t="n">
        <v>0.19</v>
      </c>
      <c r="U976" s="42" t="inlineStr">
        <is>
          <t>Tier 2 (Fiber Corridor / Lateral, 3-5 km)</t>
        </is>
      </c>
      <c r="V976" s="24" t="n">
        <v>38.9</v>
      </c>
      <c r="W976" s="24" t="n">
        <v>100</v>
      </c>
      <c r="X976" s="24" t="n">
        <v>73</v>
      </c>
      <c r="Y976" s="45">
        <f>ROUND((V976*'Methodology &amp; Assumptions'!$B$6)+(W976*'Methodology &amp; Assumptions'!$B$5)+(X976*'Methodology &amp; Assumptions'!$B$7), 2)</f>
        <v/>
      </c>
    </row>
    <row r="977" ht="19" customHeight="1">
      <c r="A977" s="35" t="n">
        <v>973</v>
      </c>
      <c r="B977" s="35" t="n">
        <v>1973</v>
      </c>
      <c r="C977" s="36" t="inlineStr">
        <is>
          <t>0405811005</t>
        </is>
      </c>
      <c r="D977" s="36" t="inlineStr">
        <is>
          <t>Region IV-A (CALABARZON)</t>
        </is>
      </c>
      <c r="E977" s="36" t="inlineStr">
        <is>
          <t>Rizal</t>
        </is>
      </c>
      <c r="F977" s="36" t="inlineStr">
        <is>
          <t>San Mateo</t>
        </is>
      </c>
      <c r="G977" s="36" t="inlineStr">
        <is>
          <t>Guitnang Bayan I</t>
        </is>
      </c>
      <c r="H977" s="37" t="n">
        <v>14.69558</v>
      </c>
      <c r="I977" s="37" t="n">
        <v>121.12149</v>
      </c>
      <c r="J977" s="8" t="inlineStr">
        <is>
          <t>U</t>
        </is>
      </c>
      <c r="K977" s="36" t="inlineStr">
        <is>
          <t>Class 1-3 / Urban</t>
        </is>
      </c>
      <c r="L977" s="18" t="n">
        <v>35121</v>
      </c>
      <c r="M977" s="20" t="n">
        <v>4.39</v>
      </c>
      <c r="N977" s="18">
        <f>ROUND(L977/M977, 0)</f>
        <v/>
      </c>
      <c r="O977" s="18">
        <f>ROUND(N977*'Methodology &amp; Assumptions'!$B$8, 0)</f>
        <v/>
      </c>
      <c r="P977" s="8" t="inlineStr">
        <is>
          <t>Band n50 (1.5 GHz, 60 MHz)</t>
        </is>
      </c>
      <c r="Q977" s="38">
        <f>ROUNDUP(O977/'Methodology &amp; Assumptions'!$B$9, 0)</f>
        <v/>
      </c>
      <c r="R977" s="39" t="n">
        <v>1</v>
      </c>
      <c r="S977" s="21" t="n">
        <v>1.13</v>
      </c>
      <c r="T977" s="21" t="n">
        <v>0.52</v>
      </c>
      <c r="U977" s="36" t="inlineStr">
        <is>
          <t>Tier 1B (Micro Drop, 1-3 km)</t>
        </is>
      </c>
      <c r="V977" s="20" t="n">
        <v>78.7</v>
      </c>
      <c r="W977" s="20" t="n">
        <v>98.7</v>
      </c>
      <c r="X977" s="20" t="n">
        <v>28</v>
      </c>
      <c r="Y977" s="40">
        <f>ROUND((V977*'Methodology &amp; Assumptions'!$B$6)+(W977*'Methodology &amp; Assumptions'!$B$5)+(X977*'Methodology &amp; Assumptions'!$B$7), 2)</f>
        <v/>
      </c>
    </row>
    <row r="978" ht="19" customHeight="1">
      <c r="A978" s="41" t="n">
        <v>974</v>
      </c>
      <c r="B978" s="41" t="n">
        <v>1974</v>
      </c>
      <c r="C978" s="42" t="inlineStr">
        <is>
          <t>0403405019</t>
        </is>
      </c>
      <c r="D978" s="42" t="inlineStr">
        <is>
          <t>Region IV-A (CALABARZON)</t>
        </is>
      </c>
      <c r="E978" s="42" t="inlineStr">
        <is>
          <t>Laguna</t>
        </is>
      </c>
      <c r="F978" s="42" t="inlineStr">
        <is>
          <t>City of Calamba</t>
        </is>
      </c>
      <c r="G978" s="42" t="inlineStr">
        <is>
          <t>Lawa</t>
        </is>
      </c>
      <c r="H978" s="43" t="n">
        <v>14.207875</v>
      </c>
      <c r="I978" s="43" t="n">
        <v>121.146396</v>
      </c>
      <c r="J978" s="44" t="inlineStr">
        <is>
          <t>U</t>
        </is>
      </c>
      <c r="K978" s="42" t="inlineStr">
        <is>
          <t>Class 1-3 / Urban</t>
        </is>
      </c>
      <c r="L978" s="23" t="n">
        <v>12245</v>
      </c>
      <c r="M978" s="24" t="n">
        <v>4.2</v>
      </c>
      <c r="N978" s="23">
        <f>ROUND(L978/M978, 0)</f>
        <v/>
      </c>
      <c r="O978" s="23">
        <f>ROUND(N978*'Methodology &amp; Assumptions'!$B$8, 0)</f>
        <v/>
      </c>
      <c r="P978" s="44" t="inlineStr">
        <is>
          <t>Band n50 (1.5 GHz, 60 MHz)</t>
        </is>
      </c>
      <c r="Q978" s="38">
        <f>ROUNDUP(O978/'Methodology &amp; Assumptions'!$B$9, 0)</f>
        <v/>
      </c>
      <c r="R978" s="39" t="n">
        <v>1</v>
      </c>
      <c r="S978" s="25" t="n">
        <v>1.18</v>
      </c>
      <c r="T978" s="25" t="n">
        <v>0.5</v>
      </c>
      <c r="U978" s="42" t="inlineStr">
        <is>
          <t>Tier 1B (Micro Drop, 1-3 km)</t>
        </is>
      </c>
      <c r="V978" s="24" t="n">
        <v>77.40000000000001</v>
      </c>
      <c r="W978" s="24" t="n">
        <v>100</v>
      </c>
      <c r="X978" s="24" t="n">
        <v>28</v>
      </c>
      <c r="Y978" s="45">
        <f>ROUND((V978*'Methodology &amp; Assumptions'!$B$6)+(W978*'Methodology &amp; Assumptions'!$B$5)+(X978*'Methodology &amp; Assumptions'!$B$7), 2)</f>
        <v/>
      </c>
    </row>
    <row r="979" ht="19" customHeight="1">
      <c r="A979" s="35" t="n">
        <v>975</v>
      </c>
      <c r="B979" s="35" t="n">
        <v>1975</v>
      </c>
      <c r="C979" s="36" t="inlineStr">
        <is>
          <t>0105513032</t>
        </is>
      </c>
      <c r="D979" s="36" t="inlineStr">
        <is>
          <t>Region I (Ilocos Region)</t>
        </is>
      </c>
      <c r="E979" s="36" t="inlineStr">
        <is>
          <t>Pangasinan</t>
        </is>
      </c>
      <c r="F979" s="36" t="inlineStr">
        <is>
          <t>Binmaley</t>
        </is>
      </c>
      <c r="G979" s="36" t="inlineStr">
        <is>
          <t>Santa Rosa</t>
        </is>
      </c>
      <c r="H979" s="37" t="n">
        <v>16.0018</v>
      </c>
      <c r="I979" s="37" t="n">
        <v>120.311</v>
      </c>
      <c r="J979" s="8" t="inlineStr">
        <is>
          <t>R</t>
        </is>
      </c>
      <c r="K979" s="36" t="inlineStr">
        <is>
          <t>Class 1-3 / Urban</t>
        </is>
      </c>
      <c r="L979" s="18" t="n">
        <v>3695</v>
      </c>
      <c r="M979" s="20" t="n">
        <v>4.39</v>
      </c>
      <c r="N979" s="18">
        <f>ROUND(L979/M979, 0)</f>
        <v/>
      </c>
      <c r="O979" s="18">
        <f>ROUND(N979*'Methodology &amp; Assumptions'!$B$8, 0)</f>
        <v/>
      </c>
      <c r="P979" s="8" t="inlineStr">
        <is>
          <t>Band n50 (1.5 GHz, 60 MHz)</t>
        </is>
      </c>
      <c r="Q979" s="38">
        <f>ROUNDUP(O979/'Methodology &amp; Assumptions'!$B$9, 0)</f>
        <v/>
      </c>
      <c r="R979" s="39" t="n">
        <v>1</v>
      </c>
      <c r="S979" s="21" t="n">
        <v>2.95</v>
      </c>
      <c r="T979" s="21" t="n">
        <v>1.35</v>
      </c>
      <c r="U979" s="36" t="inlineStr">
        <is>
          <t>Tier 1B (Micro Drop, 1-3 km)</t>
        </is>
      </c>
      <c r="V979" s="20" t="n">
        <v>47.4</v>
      </c>
      <c r="W979" s="20" t="n">
        <v>91.5</v>
      </c>
      <c r="X979" s="20" t="n">
        <v>73</v>
      </c>
      <c r="Y979" s="40">
        <f>ROUND((V979*'Methodology &amp; Assumptions'!$B$6)+(W979*'Methodology &amp; Assumptions'!$B$5)+(X979*'Methodology &amp; Assumptions'!$B$7), 2)</f>
        <v/>
      </c>
    </row>
    <row r="980" ht="19" customHeight="1">
      <c r="A980" s="41" t="n">
        <v>976</v>
      </c>
      <c r="B980" s="41" t="n">
        <v>1976</v>
      </c>
      <c r="C980" s="42" t="inlineStr">
        <is>
          <t>1004308065</t>
        </is>
      </c>
      <c r="D980" s="42" t="inlineStr">
        <is>
          <t>Region X (Northern Mindanao)</t>
        </is>
      </c>
      <c r="E980" s="42" t="inlineStr">
        <is>
          <t>Misamis Oriental</t>
        </is>
      </c>
      <c r="F980" s="42" t="inlineStr">
        <is>
          <t>City of Gingoog</t>
        </is>
      </c>
      <c r="G980" s="42" t="inlineStr">
        <is>
          <t>San Juan</t>
        </is>
      </c>
      <c r="H980" s="43" t="n">
        <v>8.82724</v>
      </c>
      <c r="I980" s="43" t="n">
        <v>125.08124</v>
      </c>
      <c r="J980" s="44" t="inlineStr">
        <is>
          <t>R</t>
        </is>
      </c>
      <c r="K980" s="42" t="inlineStr">
        <is>
          <t>Class 1-3 / Urban</t>
        </is>
      </c>
      <c r="L980" s="23" t="n">
        <v>4896</v>
      </c>
      <c r="M980" s="24" t="n">
        <v>4.54</v>
      </c>
      <c r="N980" s="23">
        <f>ROUND(L980/M980, 0)</f>
        <v/>
      </c>
      <c r="O980" s="23">
        <f>ROUND(N980*'Methodology &amp; Assumptions'!$B$8, 0)</f>
        <v/>
      </c>
      <c r="P980" s="44" t="inlineStr">
        <is>
          <t>Band n50 (1.5 GHz, 60 MHz)</t>
        </is>
      </c>
      <c r="Q980" s="38">
        <f>ROUNDUP(O980/'Methodology &amp; Assumptions'!$B$9, 0)</f>
        <v/>
      </c>
      <c r="R980" s="39" t="n">
        <v>1</v>
      </c>
      <c r="S980" s="25" t="n">
        <v>2.62</v>
      </c>
      <c r="T980" s="25" t="n">
        <v>0.28</v>
      </c>
      <c r="U980" s="42" t="inlineStr">
        <is>
          <t>Tier 1B (Micro Drop, 1-3 km)</t>
        </is>
      </c>
      <c r="V980" s="24" t="n">
        <v>51.7</v>
      </c>
      <c r="W980" s="24" t="n">
        <v>100</v>
      </c>
      <c r="X980" s="24" t="n">
        <v>58</v>
      </c>
      <c r="Y980" s="45">
        <f>ROUND((V980*'Methodology &amp; Assumptions'!$B$6)+(W980*'Methodology &amp; Assumptions'!$B$5)+(X980*'Methodology &amp; Assumptions'!$B$7), 2)</f>
        <v/>
      </c>
    </row>
    <row r="981" ht="19" customHeight="1">
      <c r="A981" s="35" t="n">
        <v>977</v>
      </c>
      <c r="B981" s="35" t="n">
        <v>1977</v>
      </c>
      <c r="C981" s="36" t="inlineStr">
        <is>
          <t>0701233001</t>
        </is>
      </c>
      <c r="D981" s="36" t="inlineStr">
        <is>
          <t>Region VII (Central Visayas)</t>
        </is>
      </c>
      <c r="E981" s="36" t="inlineStr">
        <is>
          <t>Bohol</t>
        </is>
      </c>
      <c r="F981" s="36" t="inlineStr">
        <is>
          <t>Panglao</t>
        </is>
      </c>
      <c r="G981" s="36" t="inlineStr">
        <is>
          <t>Bil-isan</t>
        </is>
      </c>
      <c r="H981" s="37" t="n">
        <v>9.598637999999999</v>
      </c>
      <c r="I981" s="37" t="n">
        <v>123.761346</v>
      </c>
      <c r="J981" s="8" t="inlineStr">
        <is>
          <t>R</t>
        </is>
      </c>
      <c r="K981" s="36" t="inlineStr">
        <is>
          <t>1st</t>
        </is>
      </c>
      <c r="L981" s="18" t="n">
        <v>3988</v>
      </c>
      <c r="M981" s="20" t="n">
        <v>4.74</v>
      </c>
      <c r="N981" s="18">
        <f>ROUND(L981/M981, 0)</f>
        <v/>
      </c>
      <c r="O981" s="18">
        <f>ROUND(N981*'Methodology &amp; Assumptions'!$B$8, 0)</f>
        <v/>
      </c>
      <c r="P981" s="8" t="inlineStr">
        <is>
          <t>Band n50 (1.5 GHz, 60 MHz)</t>
        </is>
      </c>
      <c r="Q981" s="38">
        <f>ROUNDUP(O981/'Methodology &amp; Assumptions'!$B$9, 0)</f>
        <v/>
      </c>
      <c r="R981" s="39" t="n">
        <v>1</v>
      </c>
      <c r="S981" s="21" t="n">
        <v>1.51</v>
      </c>
      <c r="T981" s="21" t="n">
        <v>10.53</v>
      </c>
      <c r="U981" s="36" t="inlineStr">
        <is>
          <t>Tier 1B (Micro Drop, 1-3 km)</t>
        </is>
      </c>
      <c r="V981" s="20" t="n">
        <v>60.5</v>
      </c>
      <c r="W981" s="20" t="n">
        <v>91.2</v>
      </c>
      <c r="X981" s="20" t="n">
        <v>58</v>
      </c>
      <c r="Y981" s="40">
        <f>ROUND((V981*'Methodology &amp; Assumptions'!$B$6)+(W981*'Methodology &amp; Assumptions'!$B$5)+(X981*'Methodology &amp; Assumptions'!$B$7), 2)</f>
        <v/>
      </c>
    </row>
    <row r="982" ht="19" customHeight="1">
      <c r="A982" s="41" t="n">
        <v>978</v>
      </c>
      <c r="B982" s="41" t="n">
        <v>1978</v>
      </c>
      <c r="C982" s="42" t="inlineStr">
        <is>
          <t>0301423017</t>
        </is>
      </c>
      <c r="D982" s="42" t="inlineStr">
        <is>
          <t>Region III (Central Luzon)</t>
        </is>
      </c>
      <c r="E982" s="42" t="inlineStr">
        <is>
          <t>Bulacan</t>
        </is>
      </c>
      <c r="F982" s="42" t="inlineStr">
        <is>
          <t>Santa Maria</t>
        </is>
      </c>
      <c r="G982" s="42" t="inlineStr">
        <is>
          <t>Pulong Buhangin</t>
        </is>
      </c>
      <c r="H982" s="43" t="n">
        <v>14.871311</v>
      </c>
      <c r="I982" s="43" t="n">
        <v>121.001661</v>
      </c>
      <c r="J982" s="44" t="inlineStr">
        <is>
          <t>U</t>
        </is>
      </c>
      <c r="K982" s="42" t="inlineStr">
        <is>
          <t>Class 1-3 / Urban</t>
        </is>
      </c>
      <c r="L982" s="23" t="n">
        <v>41218</v>
      </c>
      <c r="M982" s="24" t="n">
        <v>4.1</v>
      </c>
      <c r="N982" s="23">
        <f>ROUND(L982/M982, 0)</f>
        <v/>
      </c>
      <c r="O982" s="23">
        <f>ROUND(N982*'Methodology &amp; Assumptions'!$B$8, 0)</f>
        <v/>
      </c>
      <c r="P982" s="44" t="inlineStr">
        <is>
          <t>Band n50 (1.5 GHz, 60 MHz)</t>
        </is>
      </c>
      <c r="Q982" s="38">
        <f>ROUNDUP(O982/'Methodology &amp; Assumptions'!$B$9, 0)</f>
        <v/>
      </c>
      <c r="R982" s="39" t="n">
        <v>1</v>
      </c>
      <c r="S982" s="25" t="n">
        <v>1.07</v>
      </c>
      <c r="T982" s="25" t="n">
        <v>0.08</v>
      </c>
      <c r="U982" s="42" t="inlineStr">
        <is>
          <t>Tier 1B (Micro Drop, 1-3 km)</t>
        </is>
      </c>
      <c r="V982" s="24" t="n">
        <v>80</v>
      </c>
      <c r="W982" s="24" t="n">
        <v>97.40000000000001</v>
      </c>
      <c r="X982" s="24" t="n">
        <v>28</v>
      </c>
      <c r="Y982" s="45">
        <f>ROUND((V982*'Methodology &amp; Assumptions'!$B$6)+(W982*'Methodology &amp; Assumptions'!$B$5)+(X982*'Methodology &amp; Assumptions'!$B$7), 2)</f>
        <v/>
      </c>
    </row>
    <row r="983" ht="19" customHeight="1">
      <c r="A983" s="35" t="n">
        <v>979</v>
      </c>
      <c r="B983" s="35" t="n">
        <v>1979</v>
      </c>
      <c r="C983" s="36" t="inlineStr">
        <is>
          <t>0506215003</t>
        </is>
      </c>
      <c r="D983" s="36" t="inlineStr">
        <is>
          <t>Region V (Bicol Region)</t>
        </is>
      </c>
      <c r="E983" s="36" t="inlineStr">
        <is>
          <t>Sorsogon</t>
        </is>
      </c>
      <c r="F983" s="36" t="inlineStr">
        <is>
          <t>Santa Magdalena</t>
        </is>
      </c>
      <c r="G983" s="36" t="inlineStr">
        <is>
          <t>Barangay Poblacion I</t>
        </is>
      </c>
      <c r="H983" s="37" t="n">
        <v>12.64649</v>
      </c>
      <c r="I983" s="37" t="n">
        <v>124.105933</v>
      </c>
      <c r="J983" s="8" t="inlineStr">
        <is>
          <t>R</t>
        </is>
      </c>
      <c r="K983" s="36" t="inlineStr">
        <is>
          <t>4th</t>
        </is>
      </c>
      <c r="L983" s="18" t="n">
        <v>1091</v>
      </c>
      <c r="M983" s="20" t="n">
        <v>4.69</v>
      </c>
      <c r="N983" s="18">
        <f>ROUND(L983/M983, 0)</f>
        <v/>
      </c>
      <c r="O983" s="18">
        <f>ROUND(N983*'Methodology &amp; Assumptions'!$B$8, 0)</f>
        <v/>
      </c>
      <c r="P983" s="8" t="inlineStr">
        <is>
          <t>Band n50 (1.5 GHz, 60 MHz)</t>
        </is>
      </c>
      <c r="Q983" s="38">
        <f>ROUNDUP(O983/'Methodology &amp; Assumptions'!$B$9, 0)</f>
        <v/>
      </c>
      <c r="R983" s="39" t="n">
        <v>1</v>
      </c>
      <c r="S983" s="21" t="n">
        <v>0.1</v>
      </c>
      <c r="T983" s="21" t="n">
        <v>0.23</v>
      </c>
      <c r="U983" s="36" t="inlineStr">
        <is>
          <t>Tier 1A (Direct Coloc, &lt;1 km)</t>
        </is>
      </c>
      <c r="V983" s="20" t="n">
        <v>100</v>
      </c>
      <c r="W983" s="20" t="n">
        <v>42.7</v>
      </c>
      <c r="X983" s="20" t="n">
        <v>68.5</v>
      </c>
      <c r="Y983" s="40">
        <f>ROUND((V983*'Methodology &amp; Assumptions'!$B$6)+(W983*'Methodology &amp; Assumptions'!$B$5)+(X983*'Methodology &amp; Assumptions'!$B$7), 2)</f>
        <v/>
      </c>
    </row>
    <row r="984" ht="19" customHeight="1">
      <c r="A984" s="41" t="n">
        <v>980</v>
      </c>
      <c r="B984" s="41" t="n">
        <v>1980</v>
      </c>
      <c r="C984" s="42" t="inlineStr">
        <is>
          <t>0401021001</t>
        </is>
      </c>
      <c r="D984" s="42" t="inlineStr">
        <is>
          <t>Region IV-A (CALABARZON)</t>
        </is>
      </c>
      <c r="E984" s="42" t="inlineStr">
        <is>
          <t>Batangas</t>
        </is>
      </c>
      <c r="F984" s="42" t="inlineStr">
        <is>
          <t>Rosario</t>
        </is>
      </c>
      <c r="G984" s="42" t="inlineStr">
        <is>
          <t>Alupay</t>
        </is>
      </c>
      <c r="H984" s="43" t="n">
        <v>13.844637</v>
      </c>
      <c r="I984" s="43" t="n">
        <v>121.297648</v>
      </c>
      <c r="J984" s="44" t="inlineStr">
        <is>
          <t>R</t>
        </is>
      </c>
      <c r="K984" s="42" t="inlineStr">
        <is>
          <t>Class 1-3 / Urban</t>
        </is>
      </c>
      <c r="L984" s="23" t="n">
        <v>4306</v>
      </c>
      <c r="M984" s="24" t="n">
        <v>4.62</v>
      </c>
      <c r="N984" s="23">
        <f>ROUND(L984/M984, 0)</f>
        <v/>
      </c>
      <c r="O984" s="23">
        <f>ROUND(N984*'Methodology &amp; Assumptions'!$B$8, 0)</f>
        <v/>
      </c>
      <c r="P984" s="44" t="inlineStr">
        <is>
          <t>Band n50 (1.5 GHz, 60 MHz)</t>
        </is>
      </c>
      <c r="Q984" s="38">
        <f>ROUNDUP(O984/'Methodology &amp; Assumptions'!$B$9, 0)</f>
        <v/>
      </c>
      <c r="R984" s="39" t="n">
        <v>1</v>
      </c>
      <c r="S984" s="25" t="n">
        <v>2.53</v>
      </c>
      <c r="T984" s="25" t="n">
        <v>0.02</v>
      </c>
      <c r="U984" s="42" t="inlineStr">
        <is>
          <t>Tier 1B (Micro Drop, 1-3 km)</t>
        </is>
      </c>
      <c r="V984" s="24" t="n">
        <v>53</v>
      </c>
      <c r="W984" s="24" t="n">
        <v>98.7</v>
      </c>
      <c r="X984" s="24" t="n">
        <v>58</v>
      </c>
      <c r="Y984" s="45">
        <f>ROUND((V984*'Methodology &amp; Assumptions'!$B$6)+(W984*'Methodology &amp; Assumptions'!$B$5)+(X984*'Methodology &amp; Assumptions'!$B$7), 2)</f>
        <v/>
      </c>
    </row>
    <row r="985" ht="19" customHeight="1">
      <c r="A985" s="35" t="n">
        <v>981</v>
      </c>
      <c r="B985" s="35" t="n">
        <v>1981</v>
      </c>
      <c r="C985" s="36" t="inlineStr">
        <is>
          <t>0306905026</t>
        </is>
      </c>
      <c r="D985" s="36" t="inlineStr">
        <is>
          <t>Region III (Central Luzon)</t>
        </is>
      </c>
      <c r="E985" s="36" t="inlineStr">
        <is>
          <t>Tarlac</t>
        </is>
      </c>
      <c r="F985" s="36" t="inlineStr">
        <is>
          <t>Concepcion</t>
        </is>
      </c>
      <c r="G985" s="36" t="inlineStr">
        <is>
          <t>Pitabunan</t>
        </is>
      </c>
      <c r="H985" s="37" t="n">
        <v>15.34074</v>
      </c>
      <c r="I985" s="37" t="n">
        <v>120.653993</v>
      </c>
      <c r="J985" s="8" t="inlineStr">
        <is>
          <t>R</t>
        </is>
      </c>
      <c r="K985" s="36" t="inlineStr">
        <is>
          <t>Class 1-3 / Urban</t>
        </is>
      </c>
      <c r="L985" s="18" t="n">
        <v>3368</v>
      </c>
      <c r="M985" s="20" t="n">
        <v>4.3</v>
      </c>
      <c r="N985" s="18">
        <f>ROUND(L985/M985, 0)</f>
        <v/>
      </c>
      <c r="O985" s="18">
        <f>ROUND(N985*'Methodology &amp; Assumptions'!$B$8, 0)</f>
        <v/>
      </c>
      <c r="P985" s="8" t="inlineStr">
        <is>
          <t>Band n50 (1.5 GHz, 60 MHz)</t>
        </is>
      </c>
      <c r="Q985" s="38">
        <f>ROUNDUP(O985/'Methodology &amp; Assumptions'!$B$9, 0)</f>
        <v/>
      </c>
      <c r="R985" s="39" t="n">
        <v>1</v>
      </c>
      <c r="S985" s="21" t="n">
        <v>1.79</v>
      </c>
      <c r="T985" s="21" t="n">
        <v>1.72</v>
      </c>
      <c r="U985" s="36" t="inlineStr">
        <is>
          <t>Tier 1B (Micro Drop, 1-3 km)</t>
        </is>
      </c>
      <c r="V985" s="20" t="n">
        <v>65</v>
      </c>
      <c r="W985" s="20" t="n">
        <v>86.7</v>
      </c>
      <c r="X985" s="20" t="n">
        <v>58</v>
      </c>
      <c r="Y985" s="40">
        <f>ROUND((V985*'Methodology &amp; Assumptions'!$B$6)+(W985*'Methodology &amp; Assumptions'!$B$5)+(X985*'Methodology &amp; Assumptions'!$B$7), 2)</f>
        <v/>
      </c>
    </row>
    <row r="986" ht="19" customHeight="1">
      <c r="A986" s="41" t="n">
        <v>982</v>
      </c>
      <c r="B986" s="41" t="n">
        <v>1982</v>
      </c>
      <c r="C986" s="42" t="inlineStr">
        <is>
          <t>0501712019</t>
        </is>
      </c>
      <c r="D986" s="42" t="inlineStr">
        <is>
          <t>Region V (Bicol Region)</t>
        </is>
      </c>
      <c r="E986" s="42" t="inlineStr">
        <is>
          <t>Camarines Sur</t>
        </is>
      </c>
      <c r="F986" s="42" t="inlineStr">
        <is>
          <t>Del Gallego</t>
        </is>
      </c>
      <c r="G986" s="42" t="inlineStr">
        <is>
          <t>Zone II San Antonio</t>
        </is>
      </c>
      <c r="H986" s="43" t="n">
        <v>13.921082</v>
      </c>
      <c r="I986" s="43" t="n">
        <v>122.594045</v>
      </c>
      <c r="J986" s="44" t="inlineStr">
        <is>
          <t>R</t>
        </is>
      </c>
      <c r="K986" s="42" t="inlineStr">
        <is>
          <t>3rd</t>
        </is>
      </c>
      <c r="L986" s="23" t="n">
        <v>2207</v>
      </c>
      <c r="M986" s="24" t="n">
        <v>4.83</v>
      </c>
      <c r="N986" s="23">
        <f>ROUND(L986/M986, 0)</f>
        <v/>
      </c>
      <c r="O986" s="23">
        <f>ROUND(N986*'Methodology &amp; Assumptions'!$B$8, 0)</f>
        <v/>
      </c>
      <c r="P986" s="44" t="inlineStr">
        <is>
          <t>Band n50 (1.5 GHz, 60 MHz)</t>
        </is>
      </c>
      <c r="Q986" s="38">
        <f>ROUNDUP(O986/'Methodology &amp; Assumptions'!$B$9, 0)</f>
        <v/>
      </c>
      <c r="R986" s="39" t="n">
        <v>1</v>
      </c>
      <c r="S986" s="25" t="n">
        <v>0.63</v>
      </c>
      <c r="T986" s="25" t="n">
        <v>0.42</v>
      </c>
      <c r="U986" s="42" t="inlineStr">
        <is>
          <t>Tier 1A (Direct Coloc, &lt;1 km)</t>
        </is>
      </c>
      <c r="V986" s="24" t="n">
        <v>91.09999999999999</v>
      </c>
      <c r="W986" s="24" t="n">
        <v>60.5</v>
      </c>
      <c r="X986" s="24" t="n">
        <v>58</v>
      </c>
      <c r="Y986" s="45">
        <f>ROUND((V986*'Methodology &amp; Assumptions'!$B$6)+(W986*'Methodology &amp; Assumptions'!$B$5)+(X986*'Methodology &amp; Assumptions'!$B$7), 2)</f>
        <v/>
      </c>
    </row>
    <row r="987" ht="19" customHeight="1">
      <c r="A987" s="35" t="n">
        <v>983</v>
      </c>
      <c r="B987" s="35" t="n">
        <v>1983</v>
      </c>
      <c r="C987" s="36" t="inlineStr">
        <is>
          <t>0500517037</t>
        </is>
      </c>
      <c r="D987" s="36" t="inlineStr">
        <is>
          <t>Region V (Bicol Region)</t>
        </is>
      </c>
      <c r="E987" s="36" t="inlineStr">
        <is>
          <t>Albay</t>
        </is>
      </c>
      <c r="F987" s="36" t="inlineStr">
        <is>
          <t>City of Tabaco</t>
        </is>
      </c>
      <c r="G987" s="36" t="inlineStr">
        <is>
          <t>San Carlos</t>
        </is>
      </c>
      <c r="H987" s="37" t="n">
        <v>13.3757</v>
      </c>
      <c r="I987" s="37" t="n">
        <v>123.7195</v>
      </c>
      <c r="J987" s="8" t="inlineStr">
        <is>
          <t>R</t>
        </is>
      </c>
      <c r="K987" s="36" t="inlineStr">
        <is>
          <t>Class 1-3 / Urban</t>
        </is>
      </c>
      <c r="L987" s="18" t="n">
        <v>4212</v>
      </c>
      <c r="M987" s="20" t="n">
        <v>4.67</v>
      </c>
      <c r="N987" s="18">
        <f>ROUND(L987/M987, 0)</f>
        <v/>
      </c>
      <c r="O987" s="18">
        <f>ROUND(N987*'Methodology &amp; Assumptions'!$B$8, 0)</f>
        <v/>
      </c>
      <c r="P987" s="8" t="inlineStr">
        <is>
          <t>Band n50 (1.5 GHz, 60 MHz)</t>
        </is>
      </c>
      <c r="Q987" s="38">
        <f>ROUNDUP(O987/'Methodology &amp; Assumptions'!$B$9, 0)</f>
        <v/>
      </c>
      <c r="R987" s="39" t="n">
        <v>1</v>
      </c>
      <c r="S987" s="21" t="n">
        <v>2.37</v>
      </c>
      <c r="T987" s="21" t="n">
        <v>0.22</v>
      </c>
      <c r="U987" s="36" t="inlineStr">
        <is>
          <t>Tier 1B (Micro Drop, 1-3 km)</t>
        </is>
      </c>
      <c r="V987" s="20" t="n">
        <v>55.4</v>
      </c>
      <c r="W987" s="20" t="n">
        <v>96.3</v>
      </c>
      <c r="X987" s="20" t="n">
        <v>58</v>
      </c>
      <c r="Y987" s="40">
        <f>ROUND((V987*'Methodology &amp; Assumptions'!$B$6)+(W987*'Methodology &amp; Assumptions'!$B$5)+(X987*'Methodology &amp; Assumptions'!$B$7), 2)</f>
        <v/>
      </c>
    </row>
    <row r="988" ht="19" customHeight="1">
      <c r="A988" s="41" t="n">
        <v>984</v>
      </c>
      <c r="B988" s="41" t="n">
        <v>1984</v>
      </c>
      <c r="C988" s="42" t="inlineStr">
        <is>
          <t>1630400039</t>
        </is>
      </c>
      <c r="D988" s="42" t="inlineStr">
        <is>
          <t>Region XIII (Caraga)</t>
        </is>
      </c>
      <c r="E988" s="42" t="inlineStr">
        <is>
          <t>Agusan del Norte</t>
        </is>
      </c>
      <c r="F988" s="42" t="inlineStr">
        <is>
          <t>City of Butuan</t>
        </is>
      </c>
      <c r="G988" s="42" t="inlineStr">
        <is>
          <t>Doongan</t>
        </is>
      </c>
      <c r="H988" s="43" t="n">
        <v>8.958691999999999</v>
      </c>
      <c r="I988" s="43" t="n">
        <v>125.523862</v>
      </c>
      <c r="J988" s="44" t="inlineStr">
        <is>
          <t>U</t>
        </is>
      </c>
      <c r="K988" s="42" t="inlineStr">
        <is>
          <t>Class 1-3 / Urban</t>
        </is>
      </c>
      <c r="L988" s="23" t="n">
        <v>13814</v>
      </c>
      <c r="M988" s="24" t="n">
        <v>4.63</v>
      </c>
      <c r="N988" s="23">
        <f>ROUND(L988/M988, 0)</f>
        <v/>
      </c>
      <c r="O988" s="23">
        <f>ROUND(N988*'Methodology &amp; Assumptions'!$B$8, 0)</f>
        <v/>
      </c>
      <c r="P988" s="44" t="inlineStr">
        <is>
          <t>Band n50 (1.5 GHz, 60 MHz)</t>
        </is>
      </c>
      <c r="Q988" s="38">
        <f>ROUNDUP(O988/'Methodology &amp; Assumptions'!$B$9, 0)</f>
        <v/>
      </c>
      <c r="R988" s="39" t="n">
        <v>1</v>
      </c>
      <c r="S988" s="25" t="n">
        <v>1.82</v>
      </c>
      <c r="T988" s="25" t="n">
        <v>0.09</v>
      </c>
      <c r="U988" s="42" t="inlineStr">
        <is>
          <t>Tier 1B (Micro Drop, 1-3 km)</t>
        </is>
      </c>
      <c r="V988" s="24" t="n">
        <v>64.5</v>
      </c>
      <c r="W988" s="24" t="n">
        <v>100</v>
      </c>
      <c r="X988" s="24" t="n">
        <v>43</v>
      </c>
      <c r="Y988" s="45">
        <f>ROUND((V988*'Methodology &amp; Assumptions'!$B$6)+(W988*'Methodology &amp; Assumptions'!$B$5)+(X988*'Methodology &amp; Assumptions'!$B$7), 2)</f>
        <v/>
      </c>
    </row>
    <row r="989" ht="19" customHeight="1">
      <c r="A989" s="35" t="n">
        <v>985</v>
      </c>
      <c r="B989" s="35" t="n">
        <v>1985</v>
      </c>
      <c r="C989" s="36" t="inlineStr">
        <is>
          <t>0402117002</t>
        </is>
      </c>
      <c r="D989" s="36" t="inlineStr">
        <is>
          <t>Region IV-A (CALABARZON)</t>
        </is>
      </c>
      <c r="E989" s="36" t="inlineStr">
        <is>
          <t>Cavite</t>
        </is>
      </c>
      <c r="F989" s="36" t="inlineStr">
        <is>
          <t>Rosario</t>
        </is>
      </c>
      <c r="G989" s="36" t="inlineStr">
        <is>
          <t>Bagbag I</t>
        </is>
      </c>
      <c r="H989" s="37" t="n">
        <v>14.422671</v>
      </c>
      <c r="I989" s="37" t="n">
        <v>120.867651</v>
      </c>
      <c r="J989" s="8" t="inlineStr">
        <is>
          <t>U</t>
        </is>
      </c>
      <c r="K989" s="36" t="inlineStr">
        <is>
          <t>Class 1-3 / Urban</t>
        </is>
      </c>
      <c r="L989" s="18" t="n">
        <v>6032</v>
      </c>
      <c r="M989" s="20" t="n">
        <v>4.49</v>
      </c>
      <c r="N989" s="18">
        <f>ROUND(L989/M989, 0)</f>
        <v/>
      </c>
      <c r="O989" s="18">
        <f>ROUND(N989*'Methodology &amp; Assumptions'!$B$8, 0)</f>
        <v/>
      </c>
      <c r="P989" s="8" t="inlineStr">
        <is>
          <t>Band n50 (1.5 GHz, 60 MHz)</t>
        </is>
      </c>
      <c r="Q989" s="38">
        <f>ROUNDUP(O989/'Methodology &amp; Assumptions'!$B$9, 0)</f>
        <v/>
      </c>
      <c r="R989" s="39" t="n">
        <v>1</v>
      </c>
      <c r="S989" s="21" t="n">
        <v>1.82</v>
      </c>
      <c r="T989" s="21" t="n">
        <v>1.61</v>
      </c>
      <c r="U989" s="36" t="inlineStr">
        <is>
          <t>Tier 1B (Micro Drop, 1-3 km)</t>
        </is>
      </c>
      <c r="V989" s="20" t="n">
        <v>64.5</v>
      </c>
      <c r="W989" s="20" t="n">
        <v>100</v>
      </c>
      <c r="X989" s="20" t="n">
        <v>43</v>
      </c>
      <c r="Y989" s="40">
        <f>ROUND((V989*'Methodology &amp; Assumptions'!$B$6)+(W989*'Methodology &amp; Assumptions'!$B$5)+(X989*'Methodology &amp; Assumptions'!$B$7), 2)</f>
        <v/>
      </c>
    </row>
    <row r="990" ht="19" customHeight="1">
      <c r="A990" s="41" t="n">
        <v>986</v>
      </c>
      <c r="B990" s="41" t="n">
        <v>1986</v>
      </c>
      <c r="C990" s="42" t="inlineStr">
        <is>
          <t>1102401008</t>
        </is>
      </c>
      <c r="D990" s="42" t="inlineStr">
        <is>
          <t>Region XI (Davao Region)</t>
        </is>
      </c>
      <c r="E990" s="42" t="inlineStr">
        <is>
          <t>Davao del Sur</t>
        </is>
      </c>
      <c r="F990" s="42" t="inlineStr">
        <is>
          <t>Bansalan</t>
        </is>
      </c>
      <c r="G990" s="42" t="inlineStr">
        <is>
          <t>Dolo</t>
        </is>
      </c>
      <c r="H990" s="43" t="n">
        <v>6.807949</v>
      </c>
      <c r="I990" s="43" t="n">
        <v>125.19334</v>
      </c>
      <c r="J990" s="44" t="inlineStr">
        <is>
          <t>R</t>
        </is>
      </c>
      <c r="K990" s="42" t="inlineStr">
        <is>
          <t>Class 1-3 / Urban</t>
        </is>
      </c>
      <c r="L990" s="23" t="n">
        <v>4356</v>
      </c>
      <c r="M990" s="24" t="n">
        <v>4.1</v>
      </c>
      <c r="N990" s="23">
        <f>ROUND(L990/M990, 0)</f>
        <v/>
      </c>
      <c r="O990" s="23">
        <f>ROUND(N990*'Methodology &amp; Assumptions'!$B$8, 0)</f>
        <v/>
      </c>
      <c r="P990" s="44" t="inlineStr">
        <is>
          <t>Band n50 (1.5 GHz, 60 MHz)</t>
        </is>
      </c>
      <c r="Q990" s="38">
        <f>ROUNDUP(O990/'Methodology &amp; Assumptions'!$B$9, 0)</f>
        <v/>
      </c>
      <c r="R990" s="39" t="n">
        <v>1</v>
      </c>
      <c r="S990" s="25" t="n">
        <v>2.84</v>
      </c>
      <c r="T990" s="25" t="n">
        <v>19.44</v>
      </c>
      <c r="U990" s="42" t="inlineStr">
        <is>
          <t>Tier 1B (Micro Drop, 1-3 km)</t>
        </is>
      </c>
      <c r="V990" s="24" t="n">
        <v>38.7</v>
      </c>
      <c r="W990" s="24" t="n">
        <v>100</v>
      </c>
      <c r="X990" s="24" t="n">
        <v>73</v>
      </c>
      <c r="Y990" s="45">
        <f>ROUND((V990*'Methodology &amp; Assumptions'!$B$6)+(W990*'Methodology &amp; Assumptions'!$B$5)+(X990*'Methodology &amp; Assumptions'!$B$7), 2)</f>
        <v/>
      </c>
    </row>
    <row r="991" ht="19" customHeight="1">
      <c r="A991" s="35" t="n">
        <v>987</v>
      </c>
      <c r="B991" s="35" t="n">
        <v>1987</v>
      </c>
      <c r="C991" s="36" t="inlineStr">
        <is>
          <t>0931700074</t>
        </is>
      </c>
      <c r="D991" s="36" t="inlineStr">
        <is>
          <t>Region IX (Zamboanga Peninsula)</t>
        </is>
      </c>
      <c r="E991" s="36" t="inlineStr">
        <is>
          <t>Zamboanga del Sur</t>
        </is>
      </c>
      <c r="F991" s="36" t="inlineStr">
        <is>
          <t>City of Zamboanga</t>
        </is>
      </c>
      <c r="G991" s="36" t="inlineStr">
        <is>
          <t>Santa Barbara</t>
        </is>
      </c>
      <c r="H991" s="37" t="n">
        <v>6.903454</v>
      </c>
      <c r="I991" s="37" t="n">
        <v>122.081974</v>
      </c>
      <c r="J991" s="8" t="inlineStr">
        <is>
          <t>U</t>
        </is>
      </c>
      <c r="K991" s="36" t="inlineStr">
        <is>
          <t>Class 1-3 / Urban</t>
        </is>
      </c>
      <c r="L991" s="18" t="n">
        <v>6711</v>
      </c>
      <c r="M991" s="20" t="n">
        <v>4.61</v>
      </c>
      <c r="N991" s="18">
        <f>ROUND(L991/M991, 0)</f>
        <v/>
      </c>
      <c r="O991" s="18">
        <f>ROUND(N991*'Methodology &amp; Assumptions'!$B$8, 0)</f>
        <v/>
      </c>
      <c r="P991" s="8" t="inlineStr">
        <is>
          <t>Band n50 (1.5 GHz, 60 MHz)</t>
        </is>
      </c>
      <c r="Q991" s="38">
        <f>ROUNDUP(O991/'Methodology &amp; Assumptions'!$B$9, 0)</f>
        <v/>
      </c>
      <c r="R991" s="39" t="n">
        <v>1</v>
      </c>
      <c r="S991" s="21" t="n">
        <v>1.19</v>
      </c>
      <c r="T991" s="21" t="n">
        <v>1.12</v>
      </c>
      <c r="U991" s="36" t="inlineStr">
        <is>
          <t>Tier 1B (Micro Drop, 1-3 km)</t>
        </is>
      </c>
      <c r="V991" s="20" t="n">
        <v>77.3</v>
      </c>
      <c r="W991" s="20" t="n">
        <v>100</v>
      </c>
      <c r="X991" s="20" t="n">
        <v>28</v>
      </c>
      <c r="Y991" s="40">
        <f>ROUND((V991*'Methodology &amp; Assumptions'!$B$6)+(W991*'Methodology &amp; Assumptions'!$B$5)+(X991*'Methodology &amp; Assumptions'!$B$7), 2)</f>
        <v/>
      </c>
    </row>
    <row r="992" ht="19" customHeight="1">
      <c r="A992" s="41" t="n">
        <v>988</v>
      </c>
      <c r="B992" s="41" t="n">
        <v>1988</v>
      </c>
      <c r="C992" s="42" t="inlineStr">
        <is>
          <t>1004308075</t>
        </is>
      </c>
      <c r="D992" s="42" t="inlineStr">
        <is>
          <t>Region X (Northern Mindanao)</t>
        </is>
      </c>
      <c r="E992" s="42" t="inlineStr">
        <is>
          <t>Misamis Oriental</t>
        </is>
      </c>
      <c r="F992" s="42" t="inlineStr">
        <is>
          <t>City of Gingoog</t>
        </is>
      </c>
      <c r="G992" s="42" t="inlineStr">
        <is>
          <t>Barangay 24-A</t>
        </is>
      </c>
      <c r="H992" s="43" t="n">
        <v>8.82179</v>
      </c>
      <c r="I992" s="43" t="n">
        <v>125.09685</v>
      </c>
      <c r="J992" s="44" t="inlineStr">
        <is>
          <t>U</t>
        </is>
      </c>
      <c r="K992" s="42" t="inlineStr">
        <is>
          <t>Class 1-3 / Urban</t>
        </is>
      </c>
      <c r="L992" s="23" t="n">
        <v>4046</v>
      </c>
      <c r="M992" s="24" t="n">
        <v>4.54</v>
      </c>
      <c r="N992" s="23">
        <f>ROUND(L992/M992, 0)</f>
        <v/>
      </c>
      <c r="O992" s="23">
        <f>ROUND(N992*'Methodology &amp; Assumptions'!$B$8, 0)</f>
        <v/>
      </c>
      <c r="P992" s="44" t="inlineStr">
        <is>
          <t>Band n50 (1.5 GHz, 60 MHz)</t>
        </is>
      </c>
      <c r="Q992" s="38">
        <f>ROUNDUP(O992/'Methodology &amp; Assumptions'!$B$9, 0)</f>
        <v/>
      </c>
      <c r="R992" s="39" t="n">
        <v>1</v>
      </c>
      <c r="S992" s="25" t="n">
        <v>0.98</v>
      </c>
      <c r="T992" s="25" t="n">
        <v>0.23</v>
      </c>
      <c r="U992" s="42" t="inlineStr">
        <is>
          <t>Tier 1A (Direct Coloc, &lt;1 km)</t>
        </is>
      </c>
      <c r="V992" s="24" t="n">
        <v>82.09999999999999</v>
      </c>
      <c r="W992" s="24" t="n">
        <v>95.2</v>
      </c>
      <c r="X992" s="24" t="n">
        <v>28</v>
      </c>
      <c r="Y992" s="45">
        <f>ROUND((V992*'Methodology &amp; Assumptions'!$B$6)+(W992*'Methodology &amp; Assumptions'!$B$5)+(X992*'Methodology &amp; Assumptions'!$B$7), 2)</f>
        <v/>
      </c>
    </row>
    <row r="993" ht="19" customHeight="1">
      <c r="A993" s="35" t="n">
        <v>989</v>
      </c>
      <c r="B993" s="35" t="n">
        <v>1989</v>
      </c>
      <c r="C993" s="36" t="inlineStr">
        <is>
          <t>0105533020</t>
        </is>
      </c>
      <c r="D993" s="36" t="inlineStr">
        <is>
          <t>Region I (Ilocos Region)</t>
        </is>
      </c>
      <c r="E993" s="36" t="inlineStr">
        <is>
          <t>Pangasinan</t>
        </is>
      </c>
      <c r="F993" s="36" t="inlineStr">
        <is>
          <t>San Fabian</t>
        </is>
      </c>
      <c r="G993" s="36" t="inlineStr">
        <is>
          <t>Poblacion</t>
        </is>
      </c>
      <c r="H993" s="37" t="n">
        <v>16.12143</v>
      </c>
      <c r="I993" s="37" t="n">
        <v>120.40635</v>
      </c>
      <c r="J993" s="8" t="inlineStr">
        <is>
          <t>U</t>
        </is>
      </c>
      <c r="K993" s="36" t="inlineStr">
        <is>
          <t>Class 1-3 / Urban</t>
        </is>
      </c>
      <c r="L993" s="18" t="n">
        <v>3910</v>
      </c>
      <c r="M993" s="20" t="n">
        <v>4.39</v>
      </c>
      <c r="N993" s="18">
        <f>ROUND(L993/M993, 0)</f>
        <v/>
      </c>
      <c r="O993" s="18">
        <f>ROUND(N993*'Methodology &amp; Assumptions'!$B$8, 0)</f>
        <v/>
      </c>
      <c r="P993" s="8" t="inlineStr">
        <is>
          <t>Band n50 (1.5 GHz, 60 MHz)</t>
        </is>
      </c>
      <c r="Q993" s="38">
        <f>ROUNDUP(O993/'Methodology &amp; Assumptions'!$B$9, 0)</f>
        <v/>
      </c>
      <c r="R993" s="39" t="n">
        <v>1</v>
      </c>
      <c r="S993" s="21" t="n">
        <v>0.98</v>
      </c>
      <c r="T993" s="21" t="n">
        <v>0.4</v>
      </c>
      <c r="U993" s="36" t="inlineStr">
        <is>
          <t>Tier 1A (Direct Coloc, &lt;1 km)</t>
        </is>
      </c>
      <c r="V993" s="20" t="n">
        <v>82.09999999999999</v>
      </c>
      <c r="W993" s="20" t="n">
        <v>95.2</v>
      </c>
      <c r="X993" s="20" t="n">
        <v>28</v>
      </c>
      <c r="Y993" s="40">
        <f>ROUND((V993*'Methodology &amp; Assumptions'!$B$6)+(W993*'Methodology &amp; Assumptions'!$B$5)+(X993*'Methodology &amp; Assumptions'!$B$7), 2)</f>
        <v/>
      </c>
    </row>
    <row r="994" ht="19" customHeight="1">
      <c r="A994" s="41" t="n">
        <v>990</v>
      </c>
      <c r="B994" s="41" t="n">
        <v>1990</v>
      </c>
      <c r="C994" s="42" t="inlineStr">
        <is>
          <t>0300809026</t>
        </is>
      </c>
      <c r="D994" s="42" t="inlineStr">
        <is>
          <t>Region III (Central Luzon)</t>
        </is>
      </c>
      <c r="E994" s="42" t="inlineStr">
        <is>
          <t>Bataan</t>
        </is>
      </c>
      <c r="F994" s="42" t="inlineStr">
        <is>
          <t>Orani</t>
        </is>
      </c>
      <c r="G994" s="42" t="inlineStr">
        <is>
          <t>Kabalutan</t>
        </is>
      </c>
      <c r="H994" s="43" t="n">
        <v>14.81332</v>
      </c>
      <c r="I994" s="43" t="n">
        <v>120.532846</v>
      </c>
      <c r="J994" s="44" t="inlineStr">
        <is>
          <t>R</t>
        </is>
      </c>
      <c r="K994" s="42" t="inlineStr">
        <is>
          <t>Class 1-3 / Urban</t>
        </is>
      </c>
      <c r="L994" s="23" t="n">
        <v>3019</v>
      </c>
      <c r="M994" s="24" t="n">
        <v>4.57</v>
      </c>
      <c r="N994" s="23">
        <f>ROUND(L994/M994, 0)</f>
        <v/>
      </c>
      <c r="O994" s="23">
        <f>ROUND(N994*'Methodology &amp; Assumptions'!$B$8, 0)</f>
        <v/>
      </c>
      <c r="P994" s="44" t="inlineStr">
        <is>
          <t>Band n50 (1.5 GHz, 60 MHz)</t>
        </is>
      </c>
      <c r="Q994" s="38">
        <f>ROUNDUP(O994/'Methodology &amp; Assumptions'!$B$9, 0)</f>
        <v/>
      </c>
      <c r="R994" s="39" t="n">
        <v>1</v>
      </c>
      <c r="S994" s="25" t="n">
        <v>1.3</v>
      </c>
      <c r="T994" s="25" t="n">
        <v>0.87</v>
      </c>
      <c r="U994" s="42" t="inlineStr">
        <is>
          <t>Tier 1B (Micro Drop, 1-3 km)</t>
        </is>
      </c>
      <c r="V994" s="24" t="n">
        <v>74.8</v>
      </c>
      <c r="W994" s="24" t="n">
        <v>76.8</v>
      </c>
      <c r="X994" s="24" t="n">
        <v>58</v>
      </c>
      <c r="Y994" s="45">
        <f>ROUND((V994*'Methodology &amp; Assumptions'!$B$6)+(W994*'Methodology &amp; Assumptions'!$B$5)+(X994*'Methodology &amp; Assumptions'!$B$7), 2)</f>
        <v/>
      </c>
    </row>
    <row r="995" ht="19" customHeight="1">
      <c r="A995" s="35" t="n">
        <v>991</v>
      </c>
      <c r="B995" s="35" t="n">
        <v>1991</v>
      </c>
      <c r="C995" s="36" t="inlineStr">
        <is>
          <t>0730600008</t>
        </is>
      </c>
      <c r="D995" s="36" t="inlineStr">
        <is>
          <t>Region VII (Central Visayas)</t>
        </is>
      </c>
      <c r="E995" s="36" t="inlineStr">
        <is>
          <t>Cebu</t>
        </is>
      </c>
      <c r="F995" s="36" t="inlineStr">
        <is>
          <t>City of Cebu</t>
        </is>
      </c>
      <c r="G995" s="36" t="inlineStr">
        <is>
          <t>Basak San Nicolas</t>
        </is>
      </c>
      <c r="H995" s="37" t="n">
        <v>10.286122</v>
      </c>
      <c r="I995" s="37" t="n">
        <v>123.870433</v>
      </c>
      <c r="J995" s="8" t="inlineStr">
        <is>
          <t>U</t>
        </is>
      </c>
      <c r="K995" s="36" t="inlineStr">
        <is>
          <t>Class 1-3 / Urban</t>
        </is>
      </c>
      <c r="L995" s="18" t="n">
        <v>38965</v>
      </c>
      <c r="M995" s="20" t="n">
        <v>4.42</v>
      </c>
      <c r="N995" s="18">
        <f>ROUND(L995/M995, 0)</f>
        <v/>
      </c>
      <c r="O995" s="18">
        <f>ROUND(N995*'Methodology &amp; Assumptions'!$B$8, 0)</f>
        <v/>
      </c>
      <c r="P995" s="8" t="inlineStr">
        <is>
          <t>Band n50 (1.5 GHz, 60 MHz)</t>
        </is>
      </c>
      <c r="Q995" s="38">
        <f>ROUNDUP(O995/'Methodology &amp; Assumptions'!$B$9, 0)</f>
        <v/>
      </c>
      <c r="R995" s="39" t="n">
        <v>1</v>
      </c>
      <c r="S995" s="21" t="n">
        <v>1.11</v>
      </c>
      <c r="T995" s="21" t="n">
        <v>0.43</v>
      </c>
      <c r="U995" s="36" t="inlineStr">
        <is>
          <t>Tier 1B (Micro Drop, 1-3 km)</t>
        </is>
      </c>
      <c r="V995" s="20" t="n">
        <v>79.09999999999999</v>
      </c>
      <c r="W995" s="20" t="n">
        <v>98.2</v>
      </c>
      <c r="X995" s="20" t="n">
        <v>28</v>
      </c>
      <c r="Y995" s="40">
        <f>ROUND((V995*'Methodology &amp; Assumptions'!$B$6)+(W995*'Methodology &amp; Assumptions'!$B$5)+(X995*'Methodology &amp; Assumptions'!$B$7), 2)</f>
        <v/>
      </c>
    </row>
    <row r="996" ht="19" customHeight="1">
      <c r="A996" s="41" t="n">
        <v>992</v>
      </c>
      <c r="B996" s="41" t="n">
        <v>1992</v>
      </c>
      <c r="C996" s="42" t="inlineStr">
        <is>
          <t>1130700143</t>
        </is>
      </c>
      <c r="D996" s="42" t="inlineStr">
        <is>
          <t>Region XI (Davao Region)</t>
        </is>
      </c>
      <c r="E996" s="42" t="inlineStr">
        <is>
          <t>Davao del Sur</t>
        </is>
      </c>
      <c r="F996" s="42" t="inlineStr">
        <is>
          <t>City of Davao</t>
        </is>
      </c>
      <c r="G996" s="42" t="inlineStr">
        <is>
          <t>Barangay 10-A</t>
        </is>
      </c>
      <c r="H996" s="43" t="n">
        <v>7.081048</v>
      </c>
      <c r="I996" s="43" t="n">
        <v>125.606496</v>
      </c>
      <c r="J996" s="44" t="inlineStr">
        <is>
          <t>U</t>
        </is>
      </c>
      <c r="K996" s="42" t="inlineStr">
        <is>
          <t>Class 1-3 / Urban</t>
        </is>
      </c>
      <c r="L996" s="23" t="n">
        <v>7867</v>
      </c>
      <c r="M996" s="24" t="n">
        <v>4.1</v>
      </c>
      <c r="N996" s="23">
        <f>ROUND(L996/M996, 0)</f>
        <v/>
      </c>
      <c r="O996" s="23">
        <f>ROUND(N996*'Methodology &amp; Assumptions'!$B$8, 0)</f>
        <v/>
      </c>
      <c r="P996" s="44" t="inlineStr">
        <is>
          <t>Band n50 (1.5 GHz, 60 MHz)</t>
        </is>
      </c>
      <c r="Q996" s="38">
        <f>ROUNDUP(O996/'Methodology &amp; Assumptions'!$B$9, 0)</f>
        <v/>
      </c>
      <c r="R996" s="39" t="n">
        <v>1</v>
      </c>
      <c r="S996" s="25" t="n">
        <v>1.19</v>
      </c>
      <c r="T996" s="25" t="n">
        <v>0.7</v>
      </c>
      <c r="U996" s="42" t="inlineStr">
        <is>
          <t>Tier 1B (Micro Drop, 1-3 km)</t>
        </is>
      </c>
      <c r="V996" s="24" t="n">
        <v>77.3</v>
      </c>
      <c r="W996" s="24" t="n">
        <v>100</v>
      </c>
      <c r="X996" s="24" t="n">
        <v>28</v>
      </c>
      <c r="Y996" s="45">
        <f>ROUND((V996*'Methodology &amp; Assumptions'!$B$6)+(W996*'Methodology &amp; Assumptions'!$B$5)+(X996*'Methodology &amp; Assumptions'!$B$7), 2)</f>
        <v/>
      </c>
    </row>
    <row r="997" ht="19" customHeight="1">
      <c r="A997" s="35" t="n">
        <v>993</v>
      </c>
      <c r="B997" s="35" t="n">
        <v>1993</v>
      </c>
      <c r="C997" s="36" t="inlineStr">
        <is>
          <t>0806417036</t>
        </is>
      </c>
      <c r="D997" s="36" t="inlineStr">
        <is>
          <t>Region VIII (Eastern Visayas)</t>
        </is>
      </c>
      <c r="E997" s="36" t="inlineStr">
        <is>
          <t>Southern Leyte</t>
        </is>
      </c>
      <c r="F997" s="36" t="inlineStr">
        <is>
          <t>Sogod</t>
        </is>
      </c>
      <c r="G997" s="36" t="inlineStr">
        <is>
          <t>San Jose</t>
        </is>
      </c>
      <c r="H997" s="37" t="n">
        <v>10.382447</v>
      </c>
      <c r="I997" s="37" t="n">
        <v>124.976514</v>
      </c>
      <c r="J997" s="8" t="inlineStr">
        <is>
          <t>R</t>
        </is>
      </c>
      <c r="K997" s="36" t="inlineStr">
        <is>
          <t>Class 1-3 / Urban</t>
        </is>
      </c>
      <c r="L997" s="18" t="n">
        <v>1528</v>
      </c>
      <c r="M997" s="20" t="n">
        <v>4.53</v>
      </c>
      <c r="N997" s="18">
        <f>ROUND(L997/M997, 0)</f>
        <v/>
      </c>
      <c r="O997" s="18">
        <f>ROUND(N997*'Methodology &amp; Assumptions'!$B$8, 0)</f>
        <v/>
      </c>
      <c r="P997" s="8" t="inlineStr">
        <is>
          <t>Band n50 (1.5 GHz, 60 MHz)</t>
        </is>
      </c>
      <c r="Q997" s="38">
        <f>ROUNDUP(O997/'Methodology &amp; Assumptions'!$B$9, 0)</f>
        <v/>
      </c>
      <c r="R997" s="39" t="n">
        <v>1</v>
      </c>
      <c r="S997" s="21" t="n">
        <v>0.76</v>
      </c>
      <c r="T997" s="21" t="n">
        <v>0.18</v>
      </c>
      <c r="U997" s="36" t="inlineStr">
        <is>
          <t>Tier 1A (Direct Coloc, &lt;1 km)</t>
        </is>
      </c>
      <c r="V997" s="20" t="n">
        <v>87.7</v>
      </c>
      <c r="W997" s="20" t="n">
        <v>50.9</v>
      </c>
      <c r="X997" s="20" t="n">
        <v>73</v>
      </c>
      <c r="Y997" s="40">
        <f>ROUND((V997*'Methodology &amp; Assumptions'!$B$6)+(W997*'Methodology &amp; Assumptions'!$B$5)+(X997*'Methodology &amp; Assumptions'!$B$7), 2)</f>
        <v/>
      </c>
    </row>
    <row r="998" ht="19" customHeight="1">
      <c r="A998" s="41" t="n">
        <v>994</v>
      </c>
      <c r="B998" s="41" t="n">
        <v>1994</v>
      </c>
      <c r="C998" s="42" t="inlineStr">
        <is>
          <t>0405610025</t>
        </is>
      </c>
      <c r="D998" s="42" t="inlineStr">
        <is>
          <t>Region IV-A (CALABARZON)</t>
        </is>
      </c>
      <c r="E998" s="42" t="inlineStr">
        <is>
          <t>Quezon</t>
        </is>
      </c>
      <c r="F998" s="42" t="inlineStr">
        <is>
          <t>Catanauan</t>
        </is>
      </c>
      <c r="G998" s="42" t="inlineStr">
        <is>
          <t>Madulao</t>
        </is>
      </c>
      <c r="H998" s="43" t="n">
        <v>13.58166</v>
      </c>
      <c r="I998" s="43" t="n">
        <v>122.3385</v>
      </c>
      <c r="J998" s="44" t="inlineStr">
        <is>
          <t>U</t>
        </is>
      </c>
      <c r="K998" s="42" t="inlineStr">
        <is>
          <t>Class 1-3 / Urban</t>
        </is>
      </c>
      <c r="L998" s="23" t="n">
        <v>5503</v>
      </c>
      <c r="M998" s="24" t="n">
        <v>4.46</v>
      </c>
      <c r="N998" s="23">
        <f>ROUND(L998/M998, 0)</f>
        <v/>
      </c>
      <c r="O998" s="23">
        <f>ROUND(N998*'Methodology &amp; Assumptions'!$B$8, 0)</f>
        <v/>
      </c>
      <c r="P998" s="44" t="inlineStr">
        <is>
          <t>Band n50 (1.5 GHz, 60 MHz)</t>
        </is>
      </c>
      <c r="Q998" s="38">
        <f>ROUNDUP(O998/'Methodology &amp; Assumptions'!$B$9, 0)</f>
        <v/>
      </c>
      <c r="R998" s="39" t="n">
        <v>1</v>
      </c>
      <c r="S998" s="25" t="n">
        <v>1.19</v>
      </c>
      <c r="T998" s="25" t="n">
        <v>0.42</v>
      </c>
      <c r="U998" s="42" t="inlineStr">
        <is>
          <t>Tier 1B (Micro Drop, 1-3 km)</t>
        </is>
      </c>
      <c r="V998" s="24" t="n">
        <v>77.3</v>
      </c>
      <c r="W998" s="24" t="n">
        <v>100</v>
      </c>
      <c r="X998" s="24" t="n">
        <v>28</v>
      </c>
      <c r="Y998" s="45">
        <f>ROUND((V998*'Methodology &amp; Assumptions'!$B$6)+(W998*'Methodology &amp; Assumptions'!$B$5)+(X998*'Methodology &amp; Assumptions'!$B$7), 2)</f>
        <v/>
      </c>
    </row>
    <row r="999" ht="19" customHeight="1">
      <c r="A999" s="35" t="n">
        <v>995</v>
      </c>
      <c r="B999" s="35" t="n">
        <v>1995</v>
      </c>
      <c r="C999" s="36" t="inlineStr">
        <is>
          <t>0300812008</t>
        </is>
      </c>
      <c r="D999" s="36" t="inlineStr">
        <is>
          <t>Region III (Central Luzon)</t>
        </is>
      </c>
      <c r="E999" s="36" t="inlineStr">
        <is>
          <t>Bataan</t>
        </is>
      </c>
      <c r="F999" s="36" t="inlineStr">
        <is>
          <t>Samal</t>
        </is>
      </c>
      <c r="G999" s="36" t="inlineStr">
        <is>
          <t>San Juan</t>
        </is>
      </c>
      <c r="H999" s="37" t="n">
        <v>14.768475</v>
      </c>
      <c r="I999" s="37" t="n">
        <v>120.538939</v>
      </c>
      <c r="J999" s="8" t="inlineStr">
        <is>
          <t>R</t>
        </is>
      </c>
      <c r="K999" s="36" t="inlineStr">
        <is>
          <t>2nd</t>
        </is>
      </c>
      <c r="L999" s="18" t="n">
        <v>4456</v>
      </c>
      <c r="M999" s="20" t="n">
        <v>4.57</v>
      </c>
      <c r="N999" s="18">
        <f>ROUND(L999/M999, 0)</f>
        <v/>
      </c>
      <c r="O999" s="18">
        <f>ROUND(N999*'Methodology &amp; Assumptions'!$B$8, 0)</f>
        <v/>
      </c>
      <c r="P999" s="8" t="inlineStr">
        <is>
          <t>Band n50 (1.5 GHz, 60 MHz)</t>
        </is>
      </c>
      <c r="Q999" s="38">
        <f>ROUNDUP(O999/'Methodology &amp; Assumptions'!$B$9, 0)</f>
        <v/>
      </c>
      <c r="R999" s="39" t="n">
        <v>1</v>
      </c>
      <c r="S999" s="21" t="n">
        <v>3.75</v>
      </c>
      <c r="T999" s="21" t="n">
        <v>0.45</v>
      </c>
      <c r="U999" s="36" t="inlineStr">
        <is>
          <t>Tier 2 (Fiber Corridor / Lateral, 3-5 km)</t>
        </is>
      </c>
      <c r="V999" s="20" t="n">
        <v>38.7</v>
      </c>
      <c r="W999" s="20" t="n">
        <v>100</v>
      </c>
      <c r="X999" s="20" t="n">
        <v>73</v>
      </c>
      <c r="Y999" s="40">
        <f>ROUND((V999*'Methodology &amp; Assumptions'!$B$6)+(W999*'Methodology &amp; Assumptions'!$B$5)+(X999*'Methodology &amp; Assumptions'!$B$7), 2)</f>
        <v/>
      </c>
    </row>
    <row r="1000" ht="19" customHeight="1">
      <c r="A1000" s="41" t="n">
        <v>996</v>
      </c>
      <c r="B1000" s="41" t="n">
        <v>1996</v>
      </c>
      <c r="C1000" s="42" t="inlineStr">
        <is>
          <t>0402104010</t>
        </is>
      </c>
      <c r="D1000" s="42" t="inlineStr">
        <is>
          <t>Region IV-A (CALABARZON)</t>
        </is>
      </c>
      <c r="E1000" s="42" t="inlineStr">
        <is>
          <t>Cavite</t>
        </is>
      </c>
      <c r="F1000" s="42" t="inlineStr">
        <is>
          <t>Carmona</t>
        </is>
      </c>
      <c r="G1000" s="42" t="inlineStr">
        <is>
          <t>Maduya</t>
        </is>
      </c>
      <c r="H1000" s="43" t="n">
        <v>14.322487</v>
      </c>
      <c r="I1000" s="43" t="n">
        <v>121.064373</v>
      </c>
      <c r="J1000" s="44" t="inlineStr">
        <is>
          <t>U</t>
        </is>
      </c>
      <c r="K1000" s="42" t="inlineStr">
        <is>
          <t>Class 1-3 / Urban</t>
        </is>
      </c>
      <c r="L1000" s="23" t="n">
        <v>10595</v>
      </c>
      <c r="M1000" s="24" t="n">
        <v>4.49</v>
      </c>
      <c r="N1000" s="23">
        <f>ROUND(L1000/M1000, 0)</f>
        <v/>
      </c>
      <c r="O1000" s="23">
        <f>ROUND(N1000*'Methodology &amp; Assumptions'!$B$8, 0)</f>
        <v/>
      </c>
      <c r="P1000" s="44" t="inlineStr">
        <is>
          <t>Band n50 (1.5 GHz, 60 MHz)</t>
        </is>
      </c>
      <c r="Q1000" s="38">
        <f>ROUNDUP(O1000/'Methodology &amp; Assumptions'!$B$9, 0)</f>
        <v/>
      </c>
      <c r="R1000" s="39" t="n">
        <v>1</v>
      </c>
      <c r="S1000" s="25" t="n">
        <v>1.19</v>
      </c>
      <c r="T1000" s="25" t="n">
        <v>0.6899999999999999</v>
      </c>
      <c r="U1000" s="42" t="inlineStr">
        <is>
          <t>Tier 1B (Micro Drop, 1-3 km)</t>
        </is>
      </c>
      <c r="V1000" s="24" t="n">
        <v>77.2</v>
      </c>
      <c r="W1000" s="24" t="n">
        <v>100</v>
      </c>
      <c r="X1000" s="24" t="n">
        <v>28</v>
      </c>
      <c r="Y1000" s="45">
        <f>ROUND((V1000*'Methodology &amp; Assumptions'!$B$6)+(W1000*'Methodology &amp; Assumptions'!$B$5)+(X1000*'Methodology &amp; Assumptions'!$B$7), 2)</f>
        <v/>
      </c>
    </row>
    <row r="1001" ht="19" customHeight="1">
      <c r="A1001" s="35" t="n">
        <v>997</v>
      </c>
      <c r="B1001" s="35" t="n">
        <v>1997</v>
      </c>
      <c r="C1001" s="36" t="inlineStr">
        <is>
          <t>0304902023</t>
        </is>
      </c>
      <c r="D1001" s="36" t="inlineStr">
        <is>
          <t>Region III (Central Luzon)</t>
        </is>
      </c>
      <c r="E1001" s="36" t="inlineStr">
        <is>
          <t>Nueva Ecija</t>
        </is>
      </c>
      <c r="F1001" s="36" t="inlineStr">
        <is>
          <t>Bongabon</t>
        </is>
      </c>
      <c r="G1001" s="36" t="inlineStr">
        <is>
          <t>Santor</t>
        </is>
      </c>
      <c r="H1001" s="37" t="n">
        <v>15.633858</v>
      </c>
      <c r="I1001" s="37" t="n">
        <v>121.142042</v>
      </c>
      <c r="J1001" s="8" t="inlineStr">
        <is>
          <t>U</t>
        </is>
      </c>
      <c r="K1001" s="36" t="inlineStr">
        <is>
          <t>Class 1-3 / Urban</t>
        </is>
      </c>
      <c r="L1001" s="18" t="n">
        <v>6046</v>
      </c>
      <c r="M1001" s="20" t="n">
        <v>4.32</v>
      </c>
      <c r="N1001" s="18">
        <f>ROUND(L1001/M1001, 0)</f>
        <v/>
      </c>
      <c r="O1001" s="18">
        <f>ROUND(N1001*'Methodology &amp; Assumptions'!$B$8, 0)</f>
        <v/>
      </c>
      <c r="P1001" s="8" t="inlineStr">
        <is>
          <t>Band n50 (1.5 GHz, 60 MHz)</t>
        </is>
      </c>
      <c r="Q1001" s="38">
        <f>ROUNDUP(O1001/'Methodology &amp; Assumptions'!$B$9, 0)</f>
        <v/>
      </c>
      <c r="R1001" s="39" t="n">
        <v>1</v>
      </c>
      <c r="S1001" s="21" t="n">
        <v>1.19</v>
      </c>
      <c r="T1001" s="21" t="n">
        <v>0.26</v>
      </c>
      <c r="U1001" s="36" t="inlineStr">
        <is>
          <t>Tier 1B (Micro Drop, 1-3 km)</t>
        </is>
      </c>
      <c r="V1001" s="20" t="n">
        <v>77.2</v>
      </c>
      <c r="W1001" s="20" t="n">
        <v>100</v>
      </c>
      <c r="X1001" s="20" t="n">
        <v>28</v>
      </c>
      <c r="Y1001" s="40">
        <f>ROUND((V1001*'Methodology &amp; Assumptions'!$B$6)+(W1001*'Methodology &amp; Assumptions'!$B$5)+(X1001*'Methodology &amp; Assumptions'!$B$7), 2)</f>
        <v/>
      </c>
    </row>
    <row r="1002" ht="19" customHeight="1">
      <c r="A1002" s="41" t="n">
        <v>998</v>
      </c>
      <c r="B1002" s="41" t="n">
        <v>1998</v>
      </c>
      <c r="C1002" s="42" t="inlineStr">
        <is>
          <t>0402109042</t>
        </is>
      </c>
      <c r="D1002" s="42" t="inlineStr">
        <is>
          <t>Region IV-A (CALABARZON)</t>
        </is>
      </c>
      <c r="E1002" s="42" t="inlineStr">
        <is>
          <t>Cavite</t>
        </is>
      </c>
      <c r="F1002" s="42" t="inlineStr">
        <is>
          <t>City of Imus</t>
        </is>
      </c>
      <c r="G1002" s="42" t="inlineStr">
        <is>
          <t>Bayan Luma III</t>
        </is>
      </c>
      <c r="H1002" s="43" t="n">
        <v>14.419334</v>
      </c>
      <c r="I1002" s="43" t="n">
        <v>120.937055</v>
      </c>
      <c r="J1002" s="44" t="inlineStr">
        <is>
          <t>R</t>
        </is>
      </c>
      <c r="K1002" s="42" t="inlineStr">
        <is>
          <t>Class 1-3 / Urban</t>
        </is>
      </c>
      <c r="L1002" s="23" t="n">
        <v>3672</v>
      </c>
      <c r="M1002" s="24" t="n">
        <v>4.49</v>
      </c>
      <c r="N1002" s="23">
        <f>ROUND(L1002/M1002, 0)</f>
        <v/>
      </c>
      <c r="O1002" s="23">
        <f>ROUND(N1002*'Methodology &amp; Assumptions'!$B$8, 0)</f>
        <v/>
      </c>
      <c r="P1002" s="44" t="inlineStr">
        <is>
          <t>Band n50 (1.5 GHz, 60 MHz)</t>
        </is>
      </c>
      <c r="Q1002" s="38">
        <f>ROUNDUP(O1002/'Methodology &amp; Assumptions'!$B$9, 0)</f>
        <v/>
      </c>
      <c r="R1002" s="39" t="n">
        <v>1</v>
      </c>
      <c r="S1002" s="25" t="n">
        <v>1.43</v>
      </c>
      <c r="T1002" s="25" t="n">
        <v>3.19</v>
      </c>
      <c r="U1002" s="42" t="inlineStr">
        <is>
          <t>Tier 1B (Micro Drop, 1-3 km)</t>
        </is>
      </c>
      <c r="V1002" s="24" t="n">
        <v>62.2</v>
      </c>
      <c r="W1002" s="24" t="n">
        <v>89.3</v>
      </c>
      <c r="X1002" s="24" t="n">
        <v>58</v>
      </c>
      <c r="Y1002" s="45">
        <f>ROUND((V1002*'Methodology &amp; Assumptions'!$B$6)+(W1002*'Methodology &amp; Assumptions'!$B$5)+(X1002*'Methodology &amp; Assumptions'!$B$7), 2)</f>
        <v/>
      </c>
    </row>
    <row r="1003" ht="19" customHeight="1">
      <c r="A1003" s="35" t="n">
        <v>999</v>
      </c>
      <c r="B1003" s="35" t="n">
        <v>1999</v>
      </c>
      <c r="C1003" s="36" t="inlineStr">
        <is>
          <t>0300809022</t>
        </is>
      </c>
      <c r="D1003" s="36" t="inlineStr">
        <is>
          <t>Region III (Central Luzon)</t>
        </is>
      </c>
      <c r="E1003" s="36" t="inlineStr">
        <is>
          <t>Bataan</t>
        </is>
      </c>
      <c r="F1003" s="36" t="inlineStr">
        <is>
          <t>Orani</t>
        </is>
      </c>
      <c r="G1003" s="36" t="inlineStr">
        <is>
          <t>Tenejero</t>
        </is>
      </c>
      <c r="H1003" s="37" t="n">
        <v>14.799885</v>
      </c>
      <c r="I1003" s="37" t="n">
        <v>120.539025</v>
      </c>
      <c r="J1003" s="8" t="inlineStr">
        <is>
          <t>R</t>
        </is>
      </c>
      <c r="K1003" s="36" t="inlineStr">
        <is>
          <t>Class 1-3 / Urban</t>
        </is>
      </c>
      <c r="L1003" s="18" t="n">
        <v>1672</v>
      </c>
      <c r="M1003" s="20" t="n">
        <v>4.57</v>
      </c>
      <c r="N1003" s="18">
        <f>ROUND(L1003/M1003, 0)</f>
        <v/>
      </c>
      <c r="O1003" s="18">
        <f>ROUND(N1003*'Methodology &amp; Assumptions'!$B$8, 0)</f>
        <v/>
      </c>
      <c r="P1003" s="8" t="inlineStr">
        <is>
          <t>Band n50 (1.5 GHz, 60 MHz)</t>
        </is>
      </c>
      <c r="Q1003" s="38">
        <f>ROUNDUP(O1003/'Methodology &amp; Assumptions'!$B$9, 0)</f>
        <v/>
      </c>
      <c r="R1003" s="39" t="n">
        <v>1</v>
      </c>
      <c r="S1003" s="21" t="n">
        <v>0.38</v>
      </c>
      <c r="T1003" s="21" t="n">
        <v>0.3</v>
      </c>
      <c r="U1003" s="36" t="inlineStr">
        <is>
          <t>Tier 1A (Direct Coloc, &lt;1 km)</t>
        </is>
      </c>
      <c r="V1003" s="20" t="n">
        <v>98.09999999999999</v>
      </c>
      <c r="W1003" s="20" t="n">
        <v>53.3</v>
      </c>
      <c r="X1003" s="20" t="n">
        <v>58</v>
      </c>
      <c r="Y1003" s="40">
        <f>ROUND((V1003*'Methodology &amp; Assumptions'!$B$6)+(W1003*'Methodology &amp; Assumptions'!$B$5)+(X1003*'Methodology &amp; Assumptions'!$B$7), 2)</f>
        <v/>
      </c>
    </row>
    <row r="1004" ht="19" customHeight="1">
      <c r="A1004" s="41" t="n">
        <v>1000</v>
      </c>
      <c r="B1004" s="41" t="n">
        <v>2000</v>
      </c>
      <c r="C1004" s="42" t="inlineStr">
        <is>
          <t>0403405033</t>
        </is>
      </c>
      <c r="D1004" s="42" t="inlineStr">
        <is>
          <t>Region IV-A (CALABARZON)</t>
        </is>
      </c>
      <c r="E1004" s="42" t="inlineStr">
        <is>
          <t>Laguna</t>
        </is>
      </c>
      <c r="F1004" s="42" t="inlineStr">
        <is>
          <t>City of Calamba</t>
        </is>
      </c>
      <c r="G1004" s="42" t="inlineStr">
        <is>
          <t>Paciano Rizal</t>
        </is>
      </c>
      <c r="H1004" s="43" t="n">
        <v>14.212158</v>
      </c>
      <c r="I1004" s="43" t="n">
        <v>121.133703</v>
      </c>
      <c r="J1004" s="44" t="inlineStr">
        <is>
          <t>U</t>
        </is>
      </c>
      <c r="K1004" s="42" t="inlineStr">
        <is>
          <t>Class 1-3 / Urban</t>
        </is>
      </c>
      <c r="L1004" s="23" t="n">
        <v>15679</v>
      </c>
      <c r="M1004" s="24" t="n">
        <v>4.2</v>
      </c>
      <c r="N1004" s="23">
        <f>ROUND(L1004/M1004, 0)</f>
        <v/>
      </c>
      <c r="O1004" s="23">
        <f>ROUND(N1004*'Methodology &amp; Assumptions'!$B$8, 0)</f>
        <v/>
      </c>
      <c r="P1004" s="44" t="inlineStr">
        <is>
          <t>Band n50 (1.5 GHz, 60 MHz)</t>
        </is>
      </c>
      <c r="Q1004" s="38">
        <f>ROUNDUP(O1004/'Methodology &amp; Assumptions'!$B$9, 0)</f>
        <v/>
      </c>
      <c r="R1004" s="39" t="n">
        <v>1</v>
      </c>
      <c r="S1004" s="25" t="n">
        <v>1.19</v>
      </c>
      <c r="T1004" s="25" t="n">
        <v>0.15</v>
      </c>
      <c r="U1004" s="42" t="inlineStr">
        <is>
          <t>Tier 1B (Micro Drop, 1-3 km)</t>
        </is>
      </c>
      <c r="V1004" s="24" t="n">
        <v>77.2</v>
      </c>
      <c r="W1004" s="24" t="n">
        <v>100</v>
      </c>
      <c r="X1004" s="24" t="n">
        <v>28</v>
      </c>
      <c r="Y1004" s="45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3 — Sites 2,001 to 3,000</t>
        </is>
      </c>
    </row>
    <row r="2">
      <c r="A2" s="2" t="inlineStr">
        <is>
          <t>Dynamic commercial deployment rollout schedule (1,000 sites), linked to live parameters in 'Methodology &amp; Assumptions'.</t>
        </is>
      </c>
    </row>
    <row r="4" ht="28" customHeight="1">
      <c r="A4" s="47" t="inlineStr">
        <is>
          <t>Batch Rank</t>
        </is>
      </c>
      <c r="B4" s="47" t="inlineStr">
        <is>
          <t>Overall Rank</t>
        </is>
      </c>
      <c r="C4" s="47" t="inlineStr">
        <is>
          <t>PSGC Code</t>
        </is>
      </c>
      <c r="D4" s="47" t="inlineStr">
        <is>
          <t>Region</t>
        </is>
      </c>
      <c r="E4" s="47" t="inlineStr">
        <is>
          <t>Province</t>
        </is>
      </c>
      <c r="F4" s="47" t="inlineStr">
        <is>
          <t>Municipality</t>
        </is>
      </c>
      <c r="G4" s="47" t="inlineStr">
        <is>
          <t>Barangay</t>
        </is>
      </c>
      <c r="H4" s="47" t="inlineStr">
        <is>
          <t>Latitude</t>
        </is>
      </c>
      <c r="I4" s="47" t="inlineStr">
        <is>
          <t>Longitude</t>
        </is>
      </c>
      <c r="J4" s="47" t="inlineStr">
        <is>
          <t>Urban / Rural</t>
        </is>
      </c>
      <c r="K4" s="47" t="inlineStr">
        <is>
          <t>Municipal Income Class</t>
        </is>
      </c>
      <c r="L4" s="47" t="inlineStr">
        <is>
          <t>2020 Pop</t>
        </is>
      </c>
      <c r="M4" s="47" t="inlineStr">
        <is>
          <t>Avg HH Size</t>
        </is>
      </c>
      <c r="N4" s="47" t="inlineStr">
        <is>
          <t>Households</t>
        </is>
      </c>
      <c r="O4" s="47" t="inlineStr">
        <is>
          <t>Subs @ 30%</t>
        </is>
      </c>
      <c r="P4" s="47" t="inlineStr">
        <is>
          <t>Carrier Spectrum</t>
        </is>
      </c>
      <c r="Q4" s="47" t="inlineStr">
        <is>
          <t>Peak 30% Demand Capacity (BTS)</t>
        </is>
      </c>
      <c r="R4" s="47" t="inlineStr">
        <is>
          <t>Initial Day 1 Build (BTS)</t>
        </is>
      </c>
      <c r="S4" s="47" t="inlineStr">
        <is>
          <t>Dist. to Nearest Node (km)</t>
        </is>
      </c>
      <c r="T4" s="47" t="inlineStr">
        <is>
          <t>Dist. to Fiber Line (km)</t>
        </is>
      </c>
      <c r="U4" s="47" t="inlineStr">
        <is>
          <t>Deploy Tier</t>
        </is>
      </c>
      <c r="V4" s="47" t="inlineStr">
        <is>
          <t>Deploy Score (35%)</t>
        </is>
      </c>
      <c r="W4" s="47" t="inlineStr">
        <is>
          <t>Viability Score (35%)</t>
        </is>
      </c>
      <c r="X4" s="47" t="inlineStr">
        <is>
          <t>Necessity Score (30%)</t>
        </is>
      </c>
      <c r="Y4" s="47" t="inlineStr">
        <is>
          <t>Composite Score</t>
        </is>
      </c>
    </row>
    <row r="5" ht="19" customHeight="1">
      <c r="A5" s="35" t="n">
        <v>1</v>
      </c>
      <c r="B5" s="35" t="n">
        <v>2001</v>
      </c>
      <c r="C5" s="36" t="inlineStr">
        <is>
          <t>0301420037</t>
        </is>
      </c>
      <c r="D5" s="36" t="inlineStr">
        <is>
          <t>Region III (Central Luzon)</t>
        </is>
      </c>
      <c r="E5" s="36" t="inlineStr">
        <is>
          <t>Bulacan</t>
        </is>
      </c>
      <c r="F5" s="36" t="inlineStr">
        <is>
          <t>City of San Jose Del Monte</t>
        </is>
      </c>
      <c r="G5" s="36" t="inlineStr">
        <is>
          <t>Minuyan II</t>
        </is>
      </c>
      <c r="H5" s="37" t="n">
        <v>14.843118</v>
      </c>
      <c r="I5" s="37" t="n">
        <v>121.075554</v>
      </c>
      <c r="J5" s="8" t="inlineStr">
        <is>
          <t>U</t>
        </is>
      </c>
      <c r="K5" s="36" t="inlineStr">
        <is>
          <t>Class 1-3 / Urban</t>
        </is>
      </c>
      <c r="L5" s="18" t="n">
        <v>5977</v>
      </c>
      <c r="M5" s="20" t="n">
        <v>4.1</v>
      </c>
      <c r="N5" s="18">
        <f>ROUND(L5/M5, 0)</f>
        <v/>
      </c>
      <c r="O5" s="18">
        <f>ROUND(N5*'Methodology &amp; Assumptions'!$B$8, 0)</f>
        <v/>
      </c>
      <c r="P5" s="8" t="inlineStr">
        <is>
          <t>Band n50 (1.5 GHz, 60 MHz)</t>
        </is>
      </c>
      <c r="Q5" s="38">
        <f>ROUNDUP(O5/'Methodology &amp; Assumptions'!$B$9, 0)</f>
        <v/>
      </c>
      <c r="R5" s="39" t="n">
        <v>1</v>
      </c>
      <c r="S5" s="21" t="n">
        <v>0.78</v>
      </c>
      <c r="T5" s="21" t="n">
        <v>3.82</v>
      </c>
      <c r="U5" s="36" t="inlineStr">
        <is>
          <t>Tier 1A (Direct Coloc, &lt;1 km)</t>
        </is>
      </c>
      <c r="V5" s="20" t="n">
        <v>77.2</v>
      </c>
      <c r="W5" s="20" t="n">
        <v>100</v>
      </c>
      <c r="X5" s="20" t="n">
        <v>28</v>
      </c>
      <c r="Y5" s="40">
        <f>ROUND((V5*'Methodology &amp; Assumptions'!$B$6)+(W5*'Methodology &amp; Assumptions'!$B$5)+(X5*'Methodology &amp; Assumptions'!$B$7), 2)</f>
        <v/>
      </c>
    </row>
    <row r="6" ht="19" customHeight="1">
      <c r="A6" s="41" t="n">
        <v>2</v>
      </c>
      <c r="B6" s="41" t="n">
        <v>2002</v>
      </c>
      <c r="C6" s="42" t="inlineStr">
        <is>
          <t>1001304021</t>
        </is>
      </c>
      <c r="D6" s="42" t="inlineStr">
        <is>
          <t>Region X (Northern Mindanao)</t>
        </is>
      </c>
      <c r="E6" s="42" t="inlineStr">
        <is>
          <t>Bukidnon</t>
        </is>
      </c>
      <c r="F6" s="42" t="inlineStr">
        <is>
          <t>Don Carlos</t>
        </is>
      </c>
      <c r="G6" s="42" t="inlineStr">
        <is>
          <t>Pinamaloy</t>
        </is>
      </c>
      <c r="H6" s="43" t="n">
        <v>7.664438</v>
      </c>
      <c r="I6" s="43" t="n">
        <v>124.994282</v>
      </c>
      <c r="J6" s="44" t="inlineStr">
        <is>
          <t>R</t>
        </is>
      </c>
      <c r="K6" s="42" t="inlineStr">
        <is>
          <t>Class 1-3 / Urban</t>
        </is>
      </c>
      <c r="L6" s="23" t="n">
        <v>3236</v>
      </c>
      <c r="M6" s="24" t="n">
        <v>4.63</v>
      </c>
      <c r="N6" s="23">
        <f>ROUND(L6/M6, 0)</f>
        <v/>
      </c>
      <c r="O6" s="23">
        <f>ROUND(N6*'Methodology &amp; Assumptions'!$B$8, 0)</f>
        <v/>
      </c>
      <c r="P6" s="44" t="inlineStr">
        <is>
          <t>Band n50 (1.5 GHz, 60 MHz)</t>
        </is>
      </c>
      <c r="Q6" s="38">
        <f>ROUNDUP(O6/'Methodology &amp; Assumptions'!$B$9, 0)</f>
        <v/>
      </c>
      <c r="R6" s="39" t="n">
        <v>1</v>
      </c>
      <c r="S6" s="25" t="n">
        <v>1.46</v>
      </c>
      <c r="T6" s="25" t="n">
        <v>0.32</v>
      </c>
      <c r="U6" s="42" t="inlineStr">
        <is>
          <t>Tier 1B (Micro Drop, 1-3 km)</t>
        </is>
      </c>
      <c r="V6" s="24" t="n">
        <v>71.40000000000001</v>
      </c>
      <c r="W6" s="24" t="n">
        <v>80</v>
      </c>
      <c r="X6" s="24" t="n">
        <v>58</v>
      </c>
      <c r="Y6" s="45">
        <f>ROUND((V6*'Methodology &amp; Assumptions'!$B$6)+(W6*'Methodology &amp; Assumptions'!$B$5)+(X6*'Methodology &amp; Assumptions'!$B$7), 2)</f>
        <v/>
      </c>
    </row>
    <row r="7" ht="19" customHeight="1">
      <c r="A7" s="35" t="n">
        <v>3</v>
      </c>
      <c r="B7" s="35" t="n">
        <v>2003</v>
      </c>
      <c r="C7" s="36" t="inlineStr">
        <is>
          <t>0304923030</t>
        </is>
      </c>
      <c r="D7" s="36" t="inlineStr">
        <is>
          <t>Region III (Central Luzon)</t>
        </is>
      </c>
      <c r="E7" s="36" t="inlineStr">
        <is>
          <t>Nueva Ecija</t>
        </is>
      </c>
      <c r="F7" s="36" t="inlineStr">
        <is>
          <t>Rizal</t>
        </is>
      </c>
      <c r="G7" s="36" t="inlineStr">
        <is>
          <t>Portal</t>
        </is>
      </c>
      <c r="H7" s="37" t="n">
        <v>15.585783</v>
      </c>
      <c r="I7" s="37" t="n">
        <v>120.924577</v>
      </c>
      <c r="J7" s="8" t="inlineStr">
        <is>
          <t>R</t>
        </is>
      </c>
      <c r="K7" s="36" t="inlineStr">
        <is>
          <t>Class 1-3 / Urban</t>
        </is>
      </c>
      <c r="L7" s="18" t="n">
        <v>2075</v>
      </c>
      <c r="M7" s="20" t="n">
        <v>4.32</v>
      </c>
      <c r="N7" s="18">
        <f>ROUND(L7/M7, 0)</f>
        <v/>
      </c>
      <c r="O7" s="18">
        <f>ROUND(N7*'Methodology &amp; Assumptions'!$B$8, 0)</f>
        <v/>
      </c>
      <c r="P7" s="8" t="inlineStr">
        <is>
          <t>Band n50 (1.5 GHz, 60 MHz)</t>
        </is>
      </c>
      <c r="Q7" s="38">
        <f>ROUNDUP(O7/'Methodology &amp; Assumptions'!$B$9, 0)</f>
        <v/>
      </c>
      <c r="R7" s="39" t="n">
        <v>1</v>
      </c>
      <c r="S7" s="21" t="n">
        <v>0.71</v>
      </c>
      <c r="T7" s="21" t="n">
        <v>0.52</v>
      </c>
      <c r="U7" s="36" t="inlineStr">
        <is>
          <t>Tier 1A (Direct Coloc, &lt;1 km)</t>
        </is>
      </c>
      <c r="V7" s="20" t="n">
        <v>89</v>
      </c>
      <c r="W7" s="20" t="n">
        <v>62.4</v>
      </c>
      <c r="X7" s="20" t="n">
        <v>58</v>
      </c>
      <c r="Y7" s="40">
        <f>ROUND((V7*'Methodology &amp; Assumptions'!$B$6)+(W7*'Methodology &amp; Assumptions'!$B$5)+(X7*'Methodology &amp; Assumptions'!$B$7), 2)</f>
        <v/>
      </c>
    </row>
    <row r="8" ht="19" customHeight="1">
      <c r="A8" s="41" t="n">
        <v>4</v>
      </c>
      <c r="B8" s="41" t="n">
        <v>2004</v>
      </c>
      <c r="C8" s="42" t="inlineStr">
        <is>
          <t>0504113020</t>
        </is>
      </c>
      <c r="D8" s="42" t="inlineStr">
        <is>
          <t>Region V (Bicol Region)</t>
        </is>
      </c>
      <c r="E8" s="42" t="inlineStr">
        <is>
          <t>Masbate</t>
        </is>
      </c>
      <c r="F8" s="42" t="inlineStr">
        <is>
          <t>Mobo</t>
        </is>
      </c>
      <c r="G8" s="42" t="inlineStr">
        <is>
          <t>Poblacion Dist. II</t>
        </is>
      </c>
      <c r="H8" s="43" t="n">
        <v>12.337958</v>
      </c>
      <c r="I8" s="43" t="n">
        <v>123.657664</v>
      </c>
      <c r="J8" s="44" t="inlineStr">
        <is>
          <t>R</t>
        </is>
      </c>
      <c r="K8" s="42" t="inlineStr">
        <is>
          <t>2nd</t>
        </is>
      </c>
      <c r="L8" s="23" t="n">
        <v>2063</v>
      </c>
      <c r="M8" s="24" t="n">
        <v>5</v>
      </c>
      <c r="N8" s="23">
        <f>ROUND(L8/M8, 0)</f>
        <v/>
      </c>
      <c r="O8" s="23">
        <f>ROUND(N8*'Methodology &amp; Assumptions'!$B$8, 0)</f>
        <v/>
      </c>
      <c r="P8" s="44" t="inlineStr">
        <is>
          <t>Band n50 (1.5 GHz, 60 MHz)</t>
        </is>
      </c>
      <c r="Q8" s="38">
        <f>ROUNDUP(O8/'Methodology &amp; Assumptions'!$B$9, 0)</f>
        <v/>
      </c>
      <c r="R8" s="39" t="n">
        <v>1</v>
      </c>
      <c r="S8" s="25" t="n">
        <v>0.17</v>
      </c>
      <c r="T8" s="25" t="n">
        <v>4.4</v>
      </c>
      <c r="U8" s="42" t="inlineStr">
        <is>
          <t>Tier 1A (Direct Coloc, &lt;1 km)</t>
        </is>
      </c>
      <c r="V8" s="24" t="n">
        <v>94.40000000000001</v>
      </c>
      <c r="W8" s="24" t="n">
        <v>57.1</v>
      </c>
      <c r="X8" s="24" t="n">
        <v>58</v>
      </c>
      <c r="Y8" s="45">
        <f>ROUND((V8*'Methodology &amp; Assumptions'!$B$6)+(W8*'Methodology &amp; Assumptions'!$B$5)+(X8*'Methodology &amp; Assumptions'!$B$7), 2)</f>
        <v/>
      </c>
    </row>
    <row r="9" ht="19" customHeight="1">
      <c r="A9" s="35" t="n">
        <v>5</v>
      </c>
      <c r="B9" s="35" t="n">
        <v>2005</v>
      </c>
      <c r="C9" s="36" t="inlineStr">
        <is>
          <t>0405618034</t>
        </is>
      </c>
      <c r="D9" s="36" t="inlineStr">
        <is>
          <t>Region IV-A (CALABARZON)</t>
        </is>
      </c>
      <c r="E9" s="36" t="inlineStr">
        <is>
          <t>Quezon</t>
        </is>
      </c>
      <c r="F9" s="36" t="inlineStr">
        <is>
          <t>Guinayangan</t>
        </is>
      </c>
      <c r="G9" s="36" t="inlineStr">
        <is>
          <t>Manlayo</t>
        </is>
      </c>
      <c r="H9" s="37" t="n">
        <v>13.904886</v>
      </c>
      <c r="I9" s="37" t="n">
        <v>122.450276</v>
      </c>
      <c r="J9" s="8" t="inlineStr">
        <is>
          <t>R</t>
        </is>
      </c>
      <c r="K9" s="36" t="inlineStr">
        <is>
          <t>Class 1-3 / Urban</t>
        </is>
      </c>
      <c r="L9" s="18" t="n">
        <v>1927</v>
      </c>
      <c r="M9" s="20" t="n">
        <v>4.46</v>
      </c>
      <c r="N9" s="18">
        <f>ROUND(L9/M9, 0)</f>
        <v/>
      </c>
      <c r="O9" s="18">
        <f>ROUND(N9*'Methodology &amp; Assumptions'!$B$8, 0)</f>
        <v/>
      </c>
      <c r="P9" s="8" t="inlineStr">
        <is>
          <t>Band n50 (1.5 GHz, 60 MHz)</t>
        </is>
      </c>
      <c r="Q9" s="38">
        <f>ROUNDUP(O9/'Methodology &amp; Assumptions'!$B$9, 0)</f>
        <v/>
      </c>
      <c r="R9" s="39" t="n">
        <v>1</v>
      </c>
      <c r="S9" s="21" t="n">
        <v>0.22</v>
      </c>
      <c r="T9" s="21" t="n">
        <v>11.35</v>
      </c>
      <c r="U9" s="36" t="inlineStr">
        <is>
          <t>Tier 1A (Direct Coloc, &lt;1 km)</t>
        </is>
      </c>
      <c r="V9" s="20" t="n">
        <v>92.8</v>
      </c>
      <c r="W9" s="20" t="n">
        <v>58.7</v>
      </c>
      <c r="X9" s="20" t="n">
        <v>58</v>
      </c>
      <c r="Y9" s="40">
        <f>ROUND((V9*'Methodology &amp; Assumptions'!$B$6)+(W9*'Methodology &amp; Assumptions'!$B$5)+(X9*'Methodology &amp; Assumptions'!$B$7), 2)</f>
        <v/>
      </c>
    </row>
    <row r="10" ht="19" customHeight="1">
      <c r="A10" s="41" t="n">
        <v>6</v>
      </c>
      <c r="B10" s="41" t="n">
        <v>2006</v>
      </c>
      <c r="C10" s="42" t="inlineStr">
        <is>
          <t>0405623013</t>
        </is>
      </c>
      <c r="D10" s="42" t="inlineStr">
        <is>
          <t>Region IV-A (CALABARZON)</t>
        </is>
      </c>
      <c r="E10" s="42" t="inlineStr">
        <is>
          <t>Quezon</t>
        </is>
      </c>
      <c r="F10" s="42" t="inlineStr">
        <is>
          <t>Lucban</t>
        </is>
      </c>
      <c r="G10" s="42" t="inlineStr">
        <is>
          <t>Barangay 10</t>
        </is>
      </c>
      <c r="H10" s="43" t="n">
        <v>14.114231</v>
      </c>
      <c r="I10" s="43" t="n">
        <v>121.559964</v>
      </c>
      <c r="J10" s="44" t="inlineStr">
        <is>
          <t>R</t>
        </is>
      </c>
      <c r="K10" s="42" t="inlineStr">
        <is>
          <t>Class 1-3 / Urban</t>
        </is>
      </c>
      <c r="L10" s="23" t="n">
        <v>1534</v>
      </c>
      <c r="M10" s="24" t="n">
        <v>4.46</v>
      </c>
      <c r="N10" s="23">
        <f>ROUND(L10/M10, 0)</f>
        <v/>
      </c>
      <c r="O10" s="23">
        <f>ROUND(N10*'Methodology &amp; Assumptions'!$B$8, 0)</f>
        <v/>
      </c>
      <c r="P10" s="44" t="inlineStr">
        <is>
          <t>Band n50 (1.5 GHz, 60 MHz)</t>
        </is>
      </c>
      <c r="Q10" s="38">
        <f>ROUNDUP(O10/'Methodology &amp; Assumptions'!$B$9, 0)</f>
        <v/>
      </c>
      <c r="R10" s="39" t="n">
        <v>1</v>
      </c>
      <c r="S10" s="25" t="n">
        <v>0.2</v>
      </c>
      <c r="T10" s="25" t="n">
        <v>0.19</v>
      </c>
      <c r="U10" s="42" t="inlineStr">
        <is>
          <t>Tier 1A (Direct Coloc, &lt;1 km)</t>
        </is>
      </c>
      <c r="V10" s="24" t="n">
        <v>100</v>
      </c>
      <c r="W10" s="24" t="n">
        <v>51.5</v>
      </c>
      <c r="X10" s="24" t="n">
        <v>58</v>
      </c>
      <c r="Y10" s="45">
        <f>ROUND((V10*'Methodology &amp; Assumptions'!$B$6)+(W10*'Methodology &amp; Assumptions'!$B$5)+(X10*'Methodology &amp; Assumptions'!$B$7), 2)</f>
        <v/>
      </c>
    </row>
    <row r="11" ht="19" customHeight="1">
      <c r="A11" s="35" t="n">
        <v>7</v>
      </c>
      <c r="B11" s="35" t="n">
        <v>2007</v>
      </c>
      <c r="C11" s="36" t="inlineStr">
        <is>
          <t>1130700175</t>
        </is>
      </c>
      <c r="D11" s="36" t="inlineStr">
        <is>
          <t>Region XI (Davao Region)</t>
        </is>
      </c>
      <c r="E11" s="36" t="inlineStr">
        <is>
          <t>Davao del Sur</t>
        </is>
      </c>
      <c r="F11" s="36" t="inlineStr">
        <is>
          <t>City of Davao</t>
        </is>
      </c>
      <c r="G11" s="36" t="inlineStr">
        <is>
          <t>Baganihan</t>
        </is>
      </c>
      <c r="H11" s="37" t="n">
        <v>7.475985</v>
      </c>
      <c r="I11" s="37" t="n">
        <v>125.244143</v>
      </c>
      <c r="J11" s="8" t="inlineStr">
        <is>
          <t>R</t>
        </is>
      </c>
      <c r="K11" s="36" t="inlineStr">
        <is>
          <t>Class 1-3 / Urban</t>
        </is>
      </c>
      <c r="L11" s="18" t="n">
        <v>1507</v>
      </c>
      <c r="M11" s="20" t="n">
        <v>4.1</v>
      </c>
      <c r="N11" s="18">
        <f>ROUND(L11/M11, 0)</f>
        <v/>
      </c>
      <c r="O11" s="18">
        <f>ROUND(N11*'Methodology &amp; Assumptions'!$B$8, 0)</f>
        <v/>
      </c>
      <c r="P11" s="8" t="inlineStr">
        <is>
          <t>Band n50 (1.5 GHz, 60 MHz)</t>
        </is>
      </c>
      <c r="Q11" s="38">
        <f>ROUNDUP(O11/'Methodology &amp; Assumptions'!$B$9, 0)</f>
        <v/>
      </c>
      <c r="R11" s="39" t="n">
        <v>1</v>
      </c>
      <c r="S11" s="21" t="n">
        <v>0.38</v>
      </c>
      <c r="T11" s="21" t="n">
        <v>0.24</v>
      </c>
      <c r="U11" s="36" t="inlineStr">
        <is>
          <t>Tier 1A (Direct Coloc, &lt;1 km)</t>
        </is>
      </c>
      <c r="V11" s="20" t="n">
        <v>98.09999999999999</v>
      </c>
      <c r="W11" s="20" t="n">
        <v>53.3</v>
      </c>
      <c r="X11" s="20" t="n">
        <v>58</v>
      </c>
      <c r="Y11" s="40">
        <f>ROUND((V11*'Methodology &amp; Assumptions'!$B$6)+(W11*'Methodology &amp; Assumptions'!$B$5)+(X11*'Methodology &amp; Assumptions'!$B$7), 2)</f>
        <v/>
      </c>
    </row>
    <row r="12" ht="19" customHeight="1">
      <c r="A12" s="41" t="n">
        <v>8</v>
      </c>
      <c r="B12" s="41" t="n">
        <v>2008</v>
      </c>
      <c r="C12" s="42" t="inlineStr">
        <is>
          <t>1102403003</t>
        </is>
      </c>
      <c r="D12" s="42" t="inlineStr">
        <is>
          <t>Region XI (Davao Region)</t>
        </is>
      </c>
      <c r="E12" s="42" t="inlineStr">
        <is>
          <t>Davao del Sur</t>
        </is>
      </c>
      <c r="F12" s="42" t="inlineStr">
        <is>
          <t>City of Digos</t>
        </is>
      </c>
      <c r="G12" s="42" t="inlineStr">
        <is>
          <t>San Jose</t>
        </is>
      </c>
      <c r="H12" s="43" t="n">
        <v>6.733199</v>
      </c>
      <c r="I12" s="43" t="n">
        <v>125.354715</v>
      </c>
      <c r="J12" s="44" t="inlineStr">
        <is>
          <t>U</t>
        </is>
      </c>
      <c r="K12" s="42" t="inlineStr">
        <is>
          <t>Class 1-3 / Urban</t>
        </is>
      </c>
      <c r="L12" s="23" t="n">
        <v>7009</v>
      </c>
      <c r="M12" s="24" t="n">
        <v>4.1</v>
      </c>
      <c r="N12" s="23">
        <f>ROUND(L12/M12, 0)</f>
        <v/>
      </c>
      <c r="O12" s="23">
        <f>ROUND(N12*'Methodology &amp; Assumptions'!$B$8, 0)</f>
        <v/>
      </c>
      <c r="P12" s="44" t="inlineStr">
        <is>
          <t>Band n50 (1.5 GHz, 60 MHz)</t>
        </is>
      </c>
      <c r="Q12" s="38">
        <f>ROUNDUP(O12/'Methodology &amp; Assumptions'!$B$9, 0)</f>
        <v/>
      </c>
      <c r="R12" s="39" t="n">
        <v>1</v>
      </c>
      <c r="S12" s="25" t="n">
        <v>1.19</v>
      </c>
      <c r="T12" s="25" t="n">
        <v>0.05</v>
      </c>
      <c r="U12" s="42" t="inlineStr">
        <is>
          <t>Tier 1B (Micro Drop, 1-3 km)</t>
        </is>
      </c>
      <c r="V12" s="24" t="n">
        <v>77.2</v>
      </c>
      <c r="W12" s="24" t="n">
        <v>100</v>
      </c>
      <c r="X12" s="24" t="n">
        <v>28</v>
      </c>
      <c r="Y12" s="45">
        <f>ROUND((V12*'Methodology &amp; Assumptions'!$B$6)+(W12*'Methodology &amp; Assumptions'!$B$5)+(X12*'Methodology &amp; Assumptions'!$B$7), 2)</f>
        <v/>
      </c>
    </row>
    <row r="13" ht="19" customHeight="1">
      <c r="A13" s="35" t="n">
        <v>9</v>
      </c>
      <c r="B13" s="35" t="n">
        <v>2009</v>
      </c>
      <c r="C13" s="36" t="inlineStr">
        <is>
          <t>0402109084</t>
        </is>
      </c>
      <c r="D13" s="36" t="inlineStr">
        <is>
          <t>Region IV-A (CALABARZON)</t>
        </is>
      </c>
      <c r="E13" s="36" t="inlineStr">
        <is>
          <t>Cavite</t>
        </is>
      </c>
      <c r="F13" s="36" t="inlineStr">
        <is>
          <t>City of Imus</t>
        </is>
      </c>
      <c r="G13" s="36" t="inlineStr">
        <is>
          <t>Palico IV</t>
        </is>
      </c>
      <c r="H13" s="37" t="n">
        <v>14.426589</v>
      </c>
      <c r="I13" s="37" t="n">
        <v>120.945671</v>
      </c>
      <c r="J13" s="8" t="inlineStr">
        <is>
          <t>U</t>
        </is>
      </c>
      <c r="K13" s="36" t="inlineStr">
        <is>
          <t>Class 1-3 / Urban</t>
        </is>
      </c>
      <c r="L13" s="18" t="n">
        <v>3677</v>
      </c>
      <c r="M13" s="20" t="n">
        <v>4.49</v>
      </c>
      <c r="N13" s="18">
        <f>ROUND(L13/M13, 0)</f>
        <v/>
      </c>
      <c r="O13" s="18">
        <f>ROUND(N13*'Methodology &amp; Assumptions'!$B$8, 0)</f>
        <v/>
      </c>
      <c r="P13" s="8" t="inlineStr">
        <is>
          <t>Band n50 (1.5 GHz, 60 MHz)</t>
        </is>
      </c>
      <c r="Q13" s="38">
        <f>ROUNDUP(O13/'Methodology &amp; Assumptions'!$B$9, 0)</f>
        <v/>
      </c>
      <c r="R13" s="39" t="n">
        <v>1</v>
      </c>
      <c r="S13" s="21" t="n">
        <v>0.4</v>
      </c>
      <c r="T13" s="21" t="n">
        <v>2.2</v>
      </c>
      <c r="U13" s="36" t="inlineStr">
        <is>
          <t>Tier 1A (Direct Coloc, &lt;1 km)</t>
        </is>
      </c>
      <c r="V13" s="20" t="n">
        <v>87.59999999999999</v>
      </c>
      <c r="W13" s="20" t="n">
        <v>89.59999999999999</v>
      </c>
      <c r="X13" s="20" t="n">
        <v>28</v>
      </c>
      <c r="Y13" s="40">
        <f>ROUND((V13*'Methodology &amp; Assumptions'!$B$6)+(W13*'Methodology &amp; Assumptions'!$B$5)+(X13*'Methodology &amp; Assumptions'!$B$7), 2)</f>
        <v/>
      </c>
    </row>
    <row r="14" ht="19" customHeight="1">
      <c r="A14" s="41" t="n">
        <v>10</v>
      </c>
      <c r="B14" s="41" t="n">
        <v>2010</v>
      </c>
      <c r="C14" s="42" t="inlineStr">
        <is>
          <t>0301421036</t>
        </is>
      </c>
      <c r="D14" s="42" t="inlineStr">
        <is>
          <t>Region III (Central Luzon)</t>
        </is>
      </c>
      <c r="E14" s="42" t="inlineStr">
        <is>
          <t>Bulacan</t>
        </is>
      </c>
      <c r="F14" s="42" t="inlineStr">
        <is>
          <t>San Miguel</t>
        </is>
      </c>
      <c r="G14" s="42" t="inlineStr">
        <is>
          <t>Pinambaran</t>
        </is>
      </c>
      <c r="H14" s="43" t="n">
        <v>15.203454</v>
      </c>
      <c r="I14" s="43" t="n">
        <v>120.977379</v>
      </c>
      <c r="J14" s="44" t="inlineStr">
        <is>
          <t>R</t>
        </is>
      </c>
      <c r="K14" s="42" t="inlineStr">
        <is>
          <t>Class 1-3 / Urban</t>
        </is>
      </c>
      <c r="L14" s="23" t="n">
        <v>4573</v>
      </c>
      <c r="M14" s="24" t="n">
        <v>4.1</v>
      </c>
      <c r="N14" s="23">
        <f>ROUND(L14/M14, 0)</f>
        <v/>
      </c>
      <c r="O14" s="23">
        <f>ROUND(N14*'Methodology &amp; Assumptions'!$B$8, 0)</f>
        <v/>
      </c>
      <c r="P14" s="44" t="inlineStr">
        <is>
          <t>Band n50 (1.5 GHz, 60 MHz)</t>
        </is>
      </c>
      <c r="Q14" s="38">
        <f>ROUNDUP(O14/'Methodology &amp; Assumptions'!$B$9, 0)</f>
        <v/>
      </c>
      <c r="R14" s="39" t="n">
        <v>1</v>
      </c>
      <c r="S14" s="25" t="n">
        <v>2</v>
      </c>
      <c r="T14" s="25" t="n">
        <v>2.16</v>
      </c>
      <c r="U14" s="42" t="inlineStr">
        <is>
          <t>Tier 1B (Micro Drop, 1-3 km)</t>
        </is>
      </c>
      <c r="V14" s="24" t="n">
        <v>51.4</v>
      </c>
      <c r="W14" s="24" t="n">
        <v>100</v>
      </c>
      <c r="X14" s="24" t="n">
        <v>58</v>
      </c>
      <c r="Y14" s="45">
        <f>ROUND((V14*'Methodology &amp; Assumptions'!$B$6)+(W14*'Methodology &amp; Assumptions'!$B$5)+(X14*'Methodology &amp; Assumptions'!$B$7), 2)</f>
        <v/>
      </c>
    </row>
    <row r="15" ht="19" customHeight="1">
      <c r="A15" s="35" t="n">
        <v>11</v>
      </c>
      <c r="B15" s="35" t="n">
        <v>2011</v>
      </c>
      <c r="C15" s="36" t="inlineStr">
        <is>
          <t>1600307010</t>
        </is>
      </c>
      <c r="D15" s="36" t="inlineStr">
        <is>
          <t>Region XIII (Caraga)</t>
        </is>
      </c>
      <c r="E15" s="36" t="inlineStr">
        <is>
          <t>Agusan del Sur</t>
        </is>
      </c>
      <c r="F15" s="36" t="inlineStr">
        <is>
          <t>Rosario</t>
        </is>
      </c>
      <c r="G15" s="36" t="inlineStr">
        <is>
          <t>Libuac</t>
        </is>
      </c>
      <c r="H15" s="37" t="n">
        <v>8.390706</v>
      </c>
      <c r="I15" s="37" t="n">
        <v>126.0098</v>
      </c>
      <c r="J15" s="8" t="inlineStr">
        <is>
          <t>R</t>
        </is>
      </c>
      <c r="K15" s="36" t="inlineStr">
        <is>
          <t>Class 1-3 / Urban</t>
        </is>
      </c>
      <c r="L15" s="18" t="n">
        <v>3208</v>
      </c>
      <c r="M15" s="20" t="n">
        <v>4.1</v>
      </c>
      <c r="N15" s="18">
        <f>ROUND(L15/M15, 0)</f>
        <v/>
      </c>
      <c r="O15" s="18">
        <f>ROUND(N15*'Methodology &amp; Assumptions'!$B$8, 0)</f>
        <v/>
      </c>
      <c r="P15" s="8" t="inlineStr">
        <is>
          <t>Band n50 (1.5 GHz, 60 MHz)</t>
        </is>
      </c>
      <c r="Q15" s="38">
        <f>ROUNDUP(O15/'Methodology &amp; Assumptions'!$B$9, 0)</f>
        <v/>
      </c>
      <c r="R15" s="39" t="n">
        <v>1</v>
      </c>
      <c r="S15" s="21" t="n">
        <v>1.81</v>
      </c>
      <c r="T15" s="21" t="n">
        <v>1.15</v>
      </c>
      <c r="U15" s="36" t="inlineStr">
        <is>
          <t>Tier 1B (Micro Drop, 1-3 km)</t>
        </is>
      </c>
      <c r="V15" s="20" t="n">
        <v>64.8</v>
      </c>
      <c r="W15" s="20" t="n">
        <v>86.7</v>
      </c>
      <c r="X15" s="20" t="n">
        <v>58</v>
      </c>
      <c r="Y15" s="40">
        <f>ROUND((V15*'Methodology &amp; Assumptions'!$B$6)+(W15*'Methodology &amp; Assumptions'!$B$5)+(X15*'Methodology &amp; Assumptions'!$B$7), 2)</f>
        <v/>
      </c>
    </row>
    <row r="16" ht="19" customHeight="1">
      <c r="A16" s="41" t="n">
        <v>12</v>
      </c>
      <c r="B16" s="41" t="n">
        <v>2012</v>
      </c>
      <c r="C16" s="42" t="inlineStr">
        <is>
          <t>0600407001</t>
        </is>
      </c>
      <c r="D16" s="42" t="inlineStr">
        <is>
          <t>Region VI (Western Visayas)</t>
        </is>
      </c>
      <c r="E16" s="42" t="inlineStr">
        <is>
          <t>Aklan</t>
        </is>
      </c>
      <c r="F16" s="42" t="inlineStr">
        <is>
          <t>Kalibo</t>
        </is>
      </c>
      <c r="G16" s="42" t="inlineStr">
        <is>
          <t>Andagaw</t>
        </is>
      </c>
      <c r="H16" s="43" t="n">
        <v>11.704115</v>
      </c>
      <c r="I16" s="43" t="n">
        <v>122.375666</v>
      </c>
      <c r="J16" s="44" t="inlineStr">
        <is>
          <t>U</t>
        </is>
      </c>
      <c r="K16" s="42" t="inlineStr">
        <is>
          <t>Class 1-3 / Urban</t>
        </is>
      </c>
      <c r="L16" s="23" t="n">
        <v>15404</v>
      </c>
      <c r="M16" s="24" t="n">
        <v>4.27</v>
      </c>
      <c r="N16" s="23">
        <f>ROUND(L16/M16, 0)</f>
        <v/>
      </c>
      <c r="O16" s="23">
        <f>ROUND(N16*'Methodology &amp; Assumptions'!$B$8, 0)</f>
        <v/>
      </c>
      <c r="P16" s="44" t="inlineStr">
        <is>
          <t>Band n50 (1.5 GHz, 60 MHz)</t>
        </is>
      </c>
      <c r="Q16" s="38">
        <f>ROUNDUP(O16/'Methodology &amp; Assumptions'!$B$9, 0)</f>
        <v/>
      </c>
      <c r="R16" s="39" t="n">
        <v>1</v>
      </c>
      <c r="S16" s="25" t="n">
        <v>1.19</v>
      </c>
      <c r="T16" s="25" t="n">
        <v>0.93</v>
      </c>
      <c r="U16" s="42" t="inlineStr">
        <is>
          <t>Tier 1B (Micro Drop, 1-3 km)</t>
        </is>
      </c>
      <c r="V16" s="24" t="n">
        <v>77.2</v>
      </c>
      <c r="W16" s="24" t="n">
        <v>100</v>
      </c>
      <c r="X16" s="24" t="n">
        <v>28</v>
      </c>
      <c r="Y16" s="45">
        <f>ROUND((V16*'Methodology &amp; Assumptions'!$B$6)+(W16*'Methodology &amp; Assumptions'!$B$5)+(X16*'Methodology &amp; Assumptions'!$B$7), 2)</f>
        <v/>
      </c>
    </row>
    <row r="17" ht="19" customHeight="1">
      <c r="A17" s="35" t="n">
        <v>13</v>
      </c>
      <c r="B17" s="35" t="n">
        <v>2013</v>
      </c>
      <c r="C17" s="36" t="inlineStr">
        <is>
          <t>0704610015</t>
        </is>
      </c>
      <c r="D17" s="36" t="inlineStr">
        <is>
          <t>Region VII (Central Visayas)</t>
        </is>
      </c>
      <c r="E17" s="36" t="inlineStr">
        <is>
          <t>Negros Oriental</t>
        </is>
      </c>
      <c r="F17" s="36" t="inlineStr">
        <is>
          <t>City of Dumaguete</t>
        </is>
      </c>
      <c r="G17" s="36" t="inlineStr">
        <is>
          <t>Looc</t>
        </is>
      </c>
      <c r="H17" s="37" t="n">
        <v>9.314126999999999</v>
      </c>
      <c r="I17" s="37" t="n">
        <v>123.310184</v>
      </c>
      <c r="J17" s="8" t="inlineStr">
        <is>
          <t>U</t>
        </is>
      </c>
      <c r="K17" s="36" t="inlineStr">
        <is>
          <t>Class 1-3 / Urban</t>
        </is>
      </c>
      <c r="L17" s="18" t="n">
        <v>4063</v>
      </c>
      <c r="M17" s="20" t="n">
        <v>4.33</v>
      </c>
      <c r="N17" s="18">
        <f>ROUND(L17/M17, 0)</f>
        <v/>
      </c>
      <c r="O17" s="18">
        <f>ROUND(N17*'Methodology &amp; Assumptions'!$B$8, 0)</f>
        <v/>
      </c>
      <c r="P17" s="8" t="inlineStr">
        <is>
          <t>Band n50 (1.5 GHz, 60 MHz)</t>
        </is>
      </c>
      <c r="Q17" s="38">
        <f>ROUNDUP(O17/'Methodology &amp; Assumptions'!$B$9, 0)</f>
        <v/>
      </c>
      <c r="R17" s="39" t="n">
        <v>1</v>
      </c>
      <c r="S17" s="21" t="n">
        <v>1.15</v>
      </c>
      <c r="T17" s="21" t="n">
        <v>0.66</v>
      </c>
      <c r="U17" s="36" t="inlineStr">
        <is>
          <t>Tier 1B (Micro Drop, 1-3 km)</t>
        </is>
      </c>
      <c r="V17" s="20" t="n">
        <v>78.2</v>
      </c>
      <c r="W17" s="20" t="n">
        <v>98.90000000000001</v>
      </c>
      <c r="X17" s="20" t="n">
        <v>28</v>
      </c>
      <c r="Y17" s="40">
        <f>ROUND((V17*'Methodology &amp; Assumptions'!$B$6)+(W17*'Methodology &amp; Assumptions'!$B$5)+(X17*'Methodology &amp; Assumptions'!$B$7), 2)</f>
        <v/>
      </c>
    </row>
    <row r="18" ht="19" customHeight="1">
      <c r="A18" s="41" t="n">
        <v>14</v>
      </c>
      <c r="B18" s="41" t="n">
        <v>2014</v>
      </c>
      <c r="C18" s="42" t="inlineStr">
        <is>
          <t>0305412023</t>
        </is>
      </c>
      <c r="D18" s="42" t="inlineStr">
        <is>
          <t>Region III (Central Luzon)</t>
        </is>
      </c>
      <c r="E18" s="42" t="inlineStr">
        <is>
          <t>Pampanga</t>
        </is>
      </c>
      <c r="F18" s="42" t="inlineStr">
        <is>
          <t>Masantol</t>
        </is>
      </c>
      <c r="G18" s="42" t="inlineStr">
        <is>
          <t>Sta. Lucia Matua</t>
        </is>
      </c>
      <c r="H18" s="43" t="n">
        <v>14.888815</v>
      </c>
      <c r="I18" s="43" t="n">
        <v>120.7038</v>
      </c>
      <c r="J18" s="44" t="inlineStr">
        <is>
          <t>U</t>
        </is>
      </c>
      <c r="K18" s="42" t="inlineStr">
        <is>
          <t>Class 1-3 / Urban</t>
        </is>
      </c>
      <c r="L18" s="23" t="n">
        <v>3262</v>
      </c>
      <c r="M18" s="24" t="n">
        <v>4.63</v>
      </c>
      <c r="N18" s="23">
        <f>ROUND(L18/M18, 0)</f>
        <v/>
      </c>
      <c r="O18" s="23">
        <f>ROUND(N18*'Methodology &amp; Assumptions'!$B$8, 0)</f>
        <v/>
      </c>
      <c r="P18" s="44" t="inlineStr">
        <is>
          <t>Band n50 (1.5 GHz, 60 MHz)</t>
        </is>
      </c>
      <c r="Q18" s="38">
        <f>ROUNDUP(O18/'Methodology &amp; Assumptions'!$B$9, 0)</f>
        <v/>
      </c>
      <c r="R18" s="39" t="n">
        <v>1</v>
      </c>
      <c r="S18" s="25" t="n">
        <v>0.43</v>
      </c>
      <c r="T18" s="25" t="n">
        <v>1.86</v>
      </c>
      <c r="U18" s="42" t="inlineStr">
        <is>
          <t>Tier 1A (Direct Coloc, &lt;1 km)</t>
        </is>
      </c>
      <c r="V18" s="24" t="n">
        <v>96.59999999999999</v>
      </c>
      <c r="W18" s="24" t="n">
        <v>80.5</v>
      </c>
      <c r="X18" s="24" t="n">
        <v>28</v>
      </c>
      <c r="Y18" s="45">
        <f>ROUND((V18*'Methodology &amp; Assumptions'!$B$6)+(W18*'Methodology &amp; Assumptions'!$B$5)+(X18*'Methodology &amp; Assumptions'!$B$7), 2)</f>
        <v/>
      </c>
    </row>
    <row r="19" ht="19" customHeight="1">
      <c r="A19" s="35" t="n">
        <v>15</v>
      </c>
      <c r="B19" s="35" t="n">
        <v>2015</v>
      </c>
      <c r="C19" s="36" t="inlineStr">
        <is>
          <t>0306905043</t>
        </is>
      </c>
      <c r="D19" s="36" t="inlineStr">
        <is>
          <t>Region III (Central Luzon)</t>
        </is>
      </c>
      <c r="E19" s="36" t="inlineStr">
        <is>
          <t>Tarlac</t>
        </is>
      </c>
      <c r="F19" s="36" t="inlineStr">
        <is>
          <t>Concepcion</t>
        </is>
      </c>
      <c r="G19" s="36" t="inlineStr">
        <is>
          <t>Santa Rita</t>
        </is>
      </c>
      <c r="H19" s="37" t="n">
        <v>15.314974</v>
      </c>
      <c r="I19" s="37" t="n">
        <v>120.660836</v>
      </c>
      <c r="J19" s="8" t="inlineStr">
        <is>
          <t>U</t>
        </is>
      </c>
      <c r="K19" s="36" t="inlineStr">
        <is>
          <t>Class 1-3 / Urban</t>
        </is>
      </c>
      <c r="L19" s="18" t="n">
        <v>5586</v>
      </c>
      <c r="M19" s="20" t="n">
        <v>4.3</v>
      </c>
      <c r="N19" s="18">
        <f>ROUND(L19/M19, 0)</f>
        <v/>
      </c>
      <c r="O19" s="18">
        <f>ROUND(N19*'Methodology &amp; Assumptions'!$B$8, 0)</f>
        <v/>
      </c>
      <c r="P19" s="8" t="inlineStr">
        <is>
          <t>Band n50 (1.5 GHz, 60 MHz)</t>
        </is>
      </c>
      <c r="Q19" s="38">
        <f>ROUNDUP(O19/'Methodology &amp; Assumptions'!$B$9, 0)</f>
        <v/>
      </c>
      <c r="R19" s="39" t="n">
        <v>1</v>
      </c>
      <c r="S19" s="21" t="n">
        <v>1.2</v>
      </c>
      <c r="T19" s="21" t="n">
        <v>1.1</v>
      </c>
      <c r="U19" s="36" t="inlineStr">
        <is>
          <t>Tier 1B (Micro Drop, 1-3 km)</t>
        </is>
      </c>
      <c r="V19" s="20" t="n">
        <v>77.09999999999999</v>
      </c>
      <c r="W19" s="20" t="n">
        <v>100</v>
      </c>
      <c r="X19" s="20" t="n">
        <v>28</v>
      </c>
      <c r="Y19" s="40">
        <f>ROUND((V19*'Methodology &amp; Assumptions'!$B$6)+(W19*'Methodology &amp; Assumptions'!$B$5)+(X19*'Methodology &amp; Assumptions'!$B$7), 2)</f>
        <v/>
      </c>
    </row>
    <row r="20" ht="19" customHeight="1">
      <c r="A20" s="41" t="n">
        <v>16</v>
      </c>
      <c r="B20" s="41" t="n">
        <v>2016</v>
      </c>
      <c r="C20" s="42" t="inlineStr">
        <is>
          <t>0500517035</t>
        </is>
      </c>
      <c r="D20" s="42" t="inlineStr">
        <is>
          <t>Region V (Bicol Region)</t>
        </is>
      </c>
      <c r="E20" s="42" t="inlineStr">
        <is>
          <t>Albay</t>
        </is>
      </c>
      <c r="F20" s="42" t="inlineStr">
        <is>
          <t>City of Tabaco</t>
        </is>
      </c>
      <c r="G20" s="42" t="inlineStr">
        <is>
          <t>Salvacion</t>
        </is>
      </c>
      <c r="H20" s="43" t="n">
        <v>13.3471</v>
      </c>
      <c r="I20" s="43" t="n">
        <v>123.7355</v>
      </c>
      <c r="J20" s="44" t="inlineStr">
        <is>
          <t>U</t>
        </is>
      </c>
      <c r="K20" s="42" t="inlineStr">
        <is>
          <t>Class 1-3 / Urban</t>
        </is>
      </c>
      <c r="L20" s="23" t="n">
        <v>3842</v>
      </c>
      <c r="M20" s="24" t="n">
        <v>4.67</v>
      </c>
      <c r="N20" s="23">
        <f>ROUND(L20/M20, 0)</f>
        <v/>
      </c>
      <c r="O20" s="23">
        <f>ROUND(N20*'Methodology &amp; Assumptions'!$B$8, 0)</f>
        <v/>
      </c>
      <c r="P20" s="44" t="inlineStr">
        <is>
          <t>Band n50 (1.5 GHz, 60 MHz)</t>
        </is>
      </c>
      <c r="Q20" s="38">
        <f>ROUNDUP(O20/'Methodology &amp; Assumptions'!$B$9, 0)</f>
        <v/>
      </c>
      <c r="R20" s="39" t="n">
        <v>1</v>
      </c>
      <c r="S20" s="25" t="n">
        <v>0.77</v>
      </c>
      <c r="T20" s="25" t="n">
        <v>0.32</v>
      </c>
      <c r="U20" s="42" t="inlineStr">
        <is>
          <t>Tier 1A (Direct Coloc, &lt;1 km)</t>
        </is>
      </c>
      <c r="V20" s="24" t="n">
        <v>87.3</v>
      </c>
      <c r="W20" s="24" t="n">
        <v>89.90000000000001</v>
      </c>
      <c r="X20" s="24" t="n">
        <v>28</v>
      </c>
      <c r="Y20" s="45">
        <f>ROUND((V20*'Methodology &amp; Assumptions'!$B$6)+(W20*'Methodology &amp; Assumptions'!$B$5)+(X20*'Methodology &amp; Assumptions'!$B$7), 2)</f>
        <v/>
      </c>
    </row>
    <row r="21" ht="19" customHeight="1">
      <c r="A21" s="35" t="n">
        <v>17</v>
      </c>
      <c r="B21" s="35" t="n">
        <v>2017</v>
      </c>
      <c r="C21" s="36" t="inlineStr">
        <is>
          <t>1705205049</t>
        </is>
      </c>
      <c r="D21" s="36" t="inlineStr">
        <is>
          <t>MIMAROPA Region</t>
        </is>
      </c>
      <c r="E21" s="36" t="inlineStr">
        <is>
          <t>Oriental Mindoro</t>
        </is>
      </c>
      <c r="F21" s="36" t="inlineStr">
        <is>
          <t>City of Calapan</t>
        </is>
      </c>
      <c r="G21" s="36" t="inlineStr">
        <is>
          <t>San Antonio</t>
        </is>
      </c>
      <c r="H21" s="37" t="n">
        <v>13.425175</v>
      </c>
      <c r="I21" s="37" t="n">
        <v>121.195783</v>
      </c>
      <c r="J21" s="8" t="inlineStr">
        <is>
          <t>U</t>
        </is>
      </c>
      <c r="K21" s="36" t="inlineStr">
        <is>
          <t>Class 1-3 / Urban</t>
        </is>
      </c>
      <c r="L21" s="18" t="n">
        <v>3521</v>
      </c>
      <c r="M21" s="20" t="n">
        <v>4.41</v>
      </c>
      <c r="N21" s="18">
        <f>ROUND(L21/M21, 0)</f>
        <v/>
      </c>
      <c r="O21" s="18">
        <f>ROUND(N21*'Methodology &amp; Assumptions'!$B$8, 0)</f>
        <v/>
      </c>
      <c r="P21" s="8" t="inlineStr">
        <is>
          <t>Band n50 (1.5 GHz, 60 MHz)</t>
        </is>
      </c>
      <c r="Q21" s="38">
        <f>ROUNDUP(O21/'Methodology &amp; Assumptions'!$B$9, 0)</f>
        <v/>
      </c>
      <c r="R21" s="39" t="n">
        <v>1</v>
      </c>
      <c r="S21" s="21" t="n">
        <v>0.21</v>
      </c>
      <c r="T21" s="21" t="n">
        <v>6.34</v>
      </c>
      <c r="U21" s="36" t="inlineStr">
        <is>
          <t>Tier 1A (Direct Coloc, &lt;1 km)</t>
        </is>
      </c>
      <c r="V21" s="20" t="n">
        <v>93.40000000000001</v>
      </c>
      <c r="W21" s="20" t="n">
        <v>83.7</v>
      </c>
      <c r="X21" s="20" t="n">
        <v>28</v>
      </c>
      <c r="Y21" s="40">
        <f>ROUND((V21*'Methodology &amp; Assumptions'!$B$6)+(W21*'Methodology &amp; Assumptions'!$B$5)+(X21*'Methodology &amp; Assumptions'!$B$7), 2)</f>
        <v/>
      </c>
    </row>
    <row r="22" ht="19" customHeight="1">
      <c r="A22" s="41" t="n">
        <v>18</v>
      </c>
      <c r="B22" s="41" t="n">
        <v>2018</v>
      </c>
      <c r="C22" s="42" t="inlineStr">
        <is>
          <t>0405802013</t>
        </is>
      </c>
      <c r="D22" s="42" t="inlineStr">
        <is>
          <t>Region IV-A (CALABARZON)</t>
        </is>
      </c>
      <c r="E22" s="42" t="inlineStr">
        <is>
          <t>Rizal</t>
        </is>
      </c>
      <c r="F22" s="42" t="inlineStr">
        <is>
          <t>City of Antipolo</t>
        </is>
      </c>
      <c r="G22" s="42" t="inlineStr">
        <is>
          <t>Dalig</t>
        </is>
      </c>
      <c r="H22" s="43" t="n">
        <v>14.572923</v>
      </c>
      <c r="I22" s="43" t="n">
        <v>121.186498</v>
      </c>
      <c r="J22" s="44" t="inlineStr">
        <is>
          <t>U</t>
        </is>
      </c>
      <c r="K22" s="42" t="inlineStr">
        <is>
          <t>Class 1-3 / Urban</t>
        </is>
      </c>
      <c r="L22" s="23" t="n">
        <v>58598</v>
      </c>
      <c r="M22" s="24" t="n">
        <v>4.39</v>
      </c>
      <c r="N22" s="23">
        <f>ROUND(L22/M22, 0)</f>
        <v/>
      </c>
      <c r="O22" s="23">
        <f>ROUND(N22*'Methodology &amp; Assumptions'!$B$8, 0)</f>
        <v/>
      </c>
      <c r="P22" s="44" t="inlineStr">
        <is>
          <t>Band n50 (1.5 GHz, 60 MHz)</t>
        </is>
      </c>
      <c r="Q22" s="38">
        <f>ROUNDUP(O22/'Methodology &amp; Assumptions'!$B$9, 0)</f>
        <v/>
      </c>
      <c r="R22" s="39" t="n">
        <v>1</v>
      </c>
      <c r="S22" s="25" t="n">
        <v>1.01</v>
      </c>
      <c r="T22" s="25" t="n">
        <v>0.29</v>
      </c>
      <c r="U22" s="42" t="inlineStr">
        <is>
          <t>Tier 1B (Micro Drop, 1-3 km)</t>
        </is>
      </c>
      <c r="V22" s="24" t="n">
        <v>81.40000000000001</v>
      </c>
      <c r="W22" s="24" t="n">
        <v>95.7</v>
      </c>
      <c r="X22" s="24" t="n">
        <v>28</v>
      </c>
      <c r="Y22" s="45">
        <f>ROUND((V22*'Methodology &amp; Assumptions'!$B$6)+(W22*'Methodology &amp; Assumptions'!$B$5)+(X22*'Methodology &amp; Assumptions'!$B$7), 2)</f>
        <v/>
      </c>
    </row>
    <row r="23" ht="19" customHeight="1">
      <c r="A23" s="35" t="n">
        <v>19</v>
      </c>
      <c r="B23" s="35" t="n">
        <v>2019</v>
      </c>
      <c r="C23" s="36" t="inlineStr">
        <is>
          <t>0305403013</t>
        </is>
      </c>
      <c r="D23" s="36" t="inlineStr">
        <is>
          <t>Region III (Central Luzon)</t>
        </is>
      </c>
      <c r="E23" s="36" t="inlineStr">
        <is>
          <t>Pampanga</t>
        </is>
      </c>
      <c r="F23" s="36" t="inlineStr">
        <is>
          <t>Arayat</t>
        </is>
      </c>
      <c r="G23" s="36" t="inlineStr">
        <is>
          <t>Mangga-Cacutud</t>
        </is>
      </c>
      <c r="H23" s="37" t="n">
        <v>15.148032</v>
      </c>
      <c r="I23" s="37" t="n">
        <v>120.7622</v>
      </c>
      <c r="J23" s="8" t="inlineStr">
        <is>
          <t>U</t>
        </is>
      </c>
      <c r="K23" s="36" t="inlineStr">
        <is>
          <t>Class 1-3 / Urban</t>
        </is>
      </c>
      <c r="L23" s="18" t="n">
        <v>10996</v>
      </c>
      <c r="M23" s="20" t="n">
        <v>4.63</v>
      </c>
      <c r="N23" s="18">
        <f>ROUND(L23/M23, 0)</f>
        <v/>
      </c>
      <c r="O23" s="18">
        <f>ROUND(N23*'Methodology &amp; Assumptions'!$B$8, 0)</f>
        <v/>
      </c>
      <c r="P23" s="8" t="inlineStr">
        <is>
          <t>Band n50 (1.5 GHz, 60 MHz)</t>
        </is>
      </c>
      <c r="Q23" s="38">
        <f>ROUNDUP(O23/'Methodology &amp; Assumptions'!$B$9, 0)</f>
        <v/>
      </c>
      <c r="R23" s="39" t="n">
        <v>1</v>
      </c>
      <c r="S23" s="21" t="n">
        <v>1.2</v>
      </c>
      <c r="T23" s="21" t="n">
        <v>0.08</v>
      </c>
      <c r="U23" s="36" t="inlineStr">
        <is>
          <t>Tier 1B (Micro Drop, 1-3 km)</t>
        </is>
      </c>
      <c r="V23" s="20" t="n">
        <v>77.09999999999999</v>
      </c>
      <c r="W23" s="20" t="n">
        <v>100</v>
      </c>
      <c r="X23" s="20" t="n">
        <v>28</v>
      </c>
      <c r="Y23" s="40">
        <f>ROUND((V23*'Methodology &amp; Assumptions'!$B$6)+(W23*'Methodology &amp; Assumptions'!$B$5)+(X23*'Methodology &amp; Assumptions'!$B$7), 2)</f>
        <v/>
      </c>
    </row>
    <row r="24" ht="19" customHeight="1">
      <c r="A24" s="41" t="n">
        <v>20</v>
      </c>
      <c r="B24" s="41" t="n">
        <v>2020</v>
      </c>
      <c r="C24" s="42" t="inlineStr">
        <is>
          <t>0304932020</t>
        </is>
      </c>
      <c r="D24" s="42" t="inlineStr">
        <is>
          <t>Region III (Central Luzon)</t>
        </is>
      </c>
      <c r="E24" s="42" t="inlineStr">
        <is>
          <t>Nueva Ecija</t>
        </is>
      </c>
      <c r="F24" s="42" t="inlineStr">
        <is>
          <t>Zaragoza</t>
        </is>
      </c>
      <c r="G24" s="42" t="inlineStr">
        <is>
          <t>San Isidro</t>
        </is>
      </c>
      <c r="H24" s="43" t="n">
        <v>15.448889</v>
      </c>
      <c r="I24" s="43" t="n">
        <v>120.800833</v>
      </c>
      <c r="J24" s="44" t="inlineStr">
        <is>
          <t>U</t>
        </is>
      </c>
      <c r="K24" s="42" t="inlineStr">
        <is>
          <t>Class 1-3 / Urban</t>
        </is>
      </c>
      <c r="L24" s="23" t="n">
        <v>6130</v>
      </c>
      <c r="M24" s="24" t="n">
        <v>4.32</v>
      </c>
      <c r="N24" s="23">
        <f>ROUND(L24/M24, 0)</f>
        <v/>
      </c>
      <c r="O24" s="23">
        <f>ROUND(N24*'Methodology &amp; Assumptions'!$B$8, 0)</f>
        <v/>
      </c>
      <c r="P24" s="44" t="inlineStr">
        <is>
          <t>Band n50 (1.5 GHz, 60 MHz)</t>
        </is>
      </c>
      <c r="Q24" s="38">
        <f>ROUNDUP(O24/'Methodology &amp; Assumptions'!$B$9, 0)</f>
        <v/>
      </c>
      <c r="R24" s="39" t="n">
        <v>1</v>
      </c>
      <c r="S24" s="25" t="n">
        <v>1.2</v>
      </c>
      <c r="T24" s="25" t="n">
        <v>0.13</v>
      </c>
      <c r="U24" s="42" t="inlineStr">
        <is>
          <t>Tier 1B (Micro Drop, 1-3 km)</t>
        </is>
      </c>
      <c r="V24" s="24" t="n">
        <v>77.09999999999999</v>
      </c>
      <c r="W24" s="24" t="n">
        <v>100</v>
      </c>
      <c r="X24" s="24" t="n">
        <v>28</v>
      </c>
      <c r="Y24" s="45">
        <f>ROUND((V24*'Methodology &amp; Assumptions'!$B$6)+(W24*'Methodology &amp; Assumptions'!$B$5)+(X24*'Methodology &amp; Assumptions'!$B$7), 2)</f>
        <v/>
      </c>
    </row>
    <row r="25" ht="19" customHeight="1">
      <c r="A25" s="35" t="n">
        <v>21</v>
      </c>
      <c r="B25" s="35" t="n">
        <v>2021</v>
      </c>
      <c r="C25" s="36" t="inlineStr">
        <is>
          <t>0501720011</t>
        </is>
      </c>
      <c r="D25" s="36" t="inlineStr">
        <is>
          <t>Region V (Bicol Region)</t>
        </is>
      </c>
      <c r="E25" s="36" t="inlineStr">
        <is>
          <t>Camarines Sur</t>
        </is>
      </c>
      <c r="F25" s="36" t="inlineStr">
        <is>
          <t>Magarao</t>
        </is>
      </c>
      <c r="G25" s="36" t="inlineStr">
        <is>
          <t>San Miguel</t>
        </is>
      </c>
      <c r="H25" s="37" t="n">
        <v>13.660885</v>
      </c>
      <c r="I25" s="37" t="n">
        <v>123.182286</v>
      </c>
      <c r="J25" s="8" t="inlineStr">
        <is>
          <t>R</t>
        </is>
      </c>
      <c r="K25" s="36" t="inlineStr">
        <is>
          <t>4th</t>
        </is>
      </c>
      <c r="L25" s="18" t="n">
        <v>752</v>
      </c>
      <c r="M25" s="20" t="n">
        <v>4.81</v>
      </c>
      <c r="N25" s="18">
        <f>ROUND(L25/M25, 0)</f>
        <v/>
      </c>
      <c r="O25" s="18">
        <f>ROUND(N25*'Methodology &amp; Assumptions'!$B$8, 0)</f>
        <v/>
      </c>
      <c r="P25" s="8" t="inlineStr">
        <is>
          <t>Band n50 (1.5 GHz, 60 MHz)</t>
        </is>
      </c>
      <c r="Q25" s="38">
        <f>ROUNDUP(O25/'Methodology &amp; Assumptions'!$B$9, 0)</f>
        <v/>
      </c>
      <c r="R25" s="39" t="n">
        <v>1</v>
      </c>
      <c r="S25" s="21" t="n">
        <v>0.5600000000000001</v>
      </c>
      <c r="T25" s="21" t="n">
        <v>0.12</v>
      </c>
      <c r="U25" s="36" t="inlineStr">
        <is>
          <t>Tier 1A (Direct Coloc, &lt;1 km)</t>
        </is>
      </c>
      <c r="V25" s="20" t="n">
        <v>92.90000000000001</v>
      </c>
      <c r="W25" s="20" t="n">
        <v>36.5</v>
      </c>
      <c r="X25" s="20" t="n">
        <v>83.5</v>
      </c>
      <c r="Y25" s="40">
        <f>ROUND((V25*'Methodology &amp; Assumptions'!$B$6)+(W25*'Methodology &amp; Assumptions'!$B$5)+(X25*'Methodology &amp; Assumptions'!$B$7), 2)</f>
        <v/>
      </c>
    </row>
    <row r="26" ht="19" customHeight="1">
      <c r="A26" s="41" t="n">
        <v>22</v>
      </c>
      <c r="B26" s="41" t="n">
        <v>2022</v>
      </c>
      <c r="C26" s="42" t="inlineStr">
        <is>
          <t>0105545005</t>
        </is>
      </c>
      <c r="D26" s="42" t="inlineStr">
        <is>
          <t>Region I (Ilocos Region)</t>
        </is>
      </c>
      <c r="E26" s="42" t="inlineStr">
        <is>
          <t>Pangasinan</t>
        </is>
      </c>
      <c r="F26" s="42" t="inlineStr">
        <is>
          <t>Urbiztondo</t>
        </is>
      </c>
      <c r="G26" s="42" t="inlineStr">
        <is>
          <t>Bayaoas</t>
        </is>
      </c>
      <c r="H26" s="43" t="n">
        <v>15.832962</v>
      </c>
      <c r="I26" s="43" t="n">
        <v>120.353471</v>
      </c>
      <c r="J26" s="44" t="inlineStr">
        <is>
          <t>R</t>
        </is>
      </c>
      <c r="K26" s="42" t="inlineStr">
        <is>
          <t>Class 1-3 / Urban</t>
        </is>
      </c>
      <c r="L26" s="23" t="n">
        <v>4351</v>
      </c>
      <c r="M26" s="24" t="n">
        <v>4.39</v>
      </c>
      <c r="N26" s="23">
        <f>ROUND(L26/M26, 0)</f>
        <v/>
      </c>
      <c r="O26" s="23">
        <f>ROUND(N26*'Methodology &amp; Assumptions'!$B$8, 0)</f>
        <v/>
      </c>
      <c r="P26" s="44" t="inlineStr">
        <is>
          <t>Band n50 (1.5 GHz, 60 MHz)</t>
        </is>
      </c>
      <c r="Q26" s="38">
        <f>ROUNDUP(O26/'Methodology &amp; Assumptions'!$B$9, 0)</f>
        <v/>
      </c>
      <c r="R26" s="39" t="n">
        <v>1</v>
      </c>
      <c r="S26" s="25" t="n">
        <v>2</v>
      </c>
      <c r="T26" s="25" t="n">
        <v>9.56</v>
      </c>
      <c r="U26" s="42" t="inlineStr">
        <is>
          <t>Tier 1B (Micro Drop, 1-3 km)</t>
        </is>
      </c>
      <c r="V26" s="24" t="n">
        <v>51.4</v>
      </c>
      <c r="W26" s="24" t="n">
        <v>100</v>
      </c>
      <c r="X26" s="24" t="n">
        <v>58</v>
      </c>
      <c r="Y26" s="45">
        <f>ROUND((V26*'Methodology &amp; Assumptions'!$B$6)+(W26*'Methodology &amp; Assumptions'!$B$5)+(X26*'Methodology &amp; Assumptions'!$B$7), 2)</f>
        <v/>
      </c>
    </row>
    <row r="27" ht="19" customHeight="1">
      <c r="A27" s="35" t="n">
        <v>23</v>
      </c>
      <c r="B27" s="35" t="n">
        <v>2023</v>
      </c>
      <c r="C27" s="36" t="inlineStr">
        <is>
          <t>0306903021</t>
        </is>
      </c>
      <c r="D27" s="36" t="inlineStr">
        <is>
          <t>Region III (Central Luzon)</t>
        </is>
      </c>
      <c r="E27" s="36" t="inlineStr">
        <is>
          <t>Tarlac</t>
        </is>
      </c>
      <c r="F27" s="36" t="inlineStr">
        <is>
          <t>Camiling</t>
        </is>
      </c>
      <c r="G27" s="36" t="inlineStr">
        <is>
          <t>Cayaoan</t>
        </is>
      </c>
      <c r="H27" s="37" t="n">
        <v>15.69677</v>
      </c>
      <c r="I27" s="37" t="n">
        <v>120.4152</v>
      </c>
      <c r="J27" s="8" t="inlineStr">
        <is>
          <t>R</t>
        </is>
      </c>
      <c r="K27" s="36" t="inlineStr">
        <is>
          <t>Class 1-3 / Urban</t>
        </is>
      </c>
      <c r="L27" s="18" t="n">
        <v>2263</v>
      </c>
      <c r="M27" s="20" t="n">
        <v>4.3</v>
      </c>
      <c r="N27" s="18">
        <f>ROUND(L27/M27, 0)</f>
        <v/>
      </c>
      <c r="O27" s="18">
        <f>ROUND(N27*'Methodology &amp; Assumptions'!$B$8, 0)</f>
        <v/>
      </c>
      <c r="P27" s="8" t="inlineStr">
        <is>
          <t>Band n50 (1.5 GHz, 60 MHz)</t>
        </is>
      </c>
      <c r="Q27" s="38">
        <f>ROUNDUP(O27/'Methodology &amp; Assumptions'!$B$9, 0)</f>
        <v/>
      </c>
      <c r="R27" s="39" t="n">
        <v>1</v>
      </c>
      <c r="S27" s="21" t="n">
        <v>0.85</v>
      </c>
      <c r="T27" s="21" t="n">
        <v>0.86</v>
      </c>
      <c r="U27" s="36" t="inlineStr">
        <is>
          <t>Tier 1A (Direct Coloc, &lt;1 km)</t>
        </is>
      </c>
      <c r="V27" s="20" t="n">
        <v>85.2</v>
      </c>
      <c r="W27" s="20" t="n">
        <v>66.09999999999999</v>
      </c>
      <c r="X27" s="20" t="n">
        <v>58</v>
      </c>
      <c r="Y27" s="40">
        <f>ROUND((V27*'Methodology &amp; Assumptions'!$B$6)+(W27*'Methodology &amp; Assumptions'!$B$5)+(X27*'Methodology &amp; Assumptions'!$B$7), 2)</f>
        <v/>
      </c>
    </row>
    <row r="28" ht="19" customHeight="1">
      <c r="A28" s="41" t="n">
        <v>24</v>
      </c>
      <c r="B28" s="41" t="n">
        <v>2024</v>
      </c>
      <c r="C28" s="42" t="inlineStr">
        <is>
          <t>0307108013</t>
        </is>
      </c>
      <c r="D28" s="42" t="inlineStr">
        <is>
          <t>Region III (Central Luzon)</t>
        </is>
      </c>
      <c r="E28" s="42" t="inlineStr">
        <is>
          <t>Zambales</t>
        </is>
      </c>
      <c r="F28" s="42" t="inlineStr">
        <is>
          <t>Palauig</t>
        </is>
      </c>
      <c r="G28" s="42" t="inlineStr">
        <is>
          <t>East Poblacion</t>
        </is>
      </c>
      <c r="H28" s="43" t="n">
        <v>15.434404</v>
      </c>
      <c r="I28" s="43" t="n">
        <v>119.91166</v>
      </c>
      <c r="J28" s="44" t="inlineStr">
        <is>
          <t>R</t>
        </is>
      </c>
      <c r="K28" s="42" t="inlineStr">
        <is>
          <t>Class 1-3 / Urban</t>
        </is>
      </c>
      <c r="L28" s="23" t="n">
        <v>1778</v>
      </c>
      <c r="M28" s="24" t="n">
        <v>4.05</v>
      </c>
      <c r="N28" s="23">
        <f>ROUND(L28/M28, 0)</f>
        <v/>
      </c>
      <c r="O28" s="23">
        <f>ROUND(N28*'Methodology &amp; Assumptions'!$B$8, 0)</f>
        <v/>
      </c>
      <c r="P28" s="44" t="inlineStr">
        <is>
          <t>Band n50 (1.5 GHz, 60 MHz)</t>
        </is>
      </c>
      <c r="Q28" s="38">
        <f>ROUNDUP(O28/'Methodology &amp; Assumptions'!$B$9, 0)</f>
        <v/>
      </c>
      <c r="R28" s="39" t="n">
        <v>1</v>
      </c>
      <c r="S28" s="25" t="n">
        <v>0.59</v>
      </c>
      <c r="T28" s="25" t="n">
        <v>0.16</v>
      </c>
      <c r="U28" s="42" t="inlineStr">
        <is>
          <t>Tier 1A (Direct Coloc, &lt;1 km)</t>
        </is>
      </c>
      <c r="V28" s="24" t="n">
        <v>92.2</v>
      </c>
      <c r="W28" s="24" t="n">
        <v>59.2</v>
      </c>
      <c r="X28" s="24" t="n">
        <v>58</v>
      </c>
      <c r="Y28" s="45">
        <f>ROUND((V28*'Methodology &amp; Assumptions'!$B$6)+(W28*'Methodology &amp; Assumptions'!$B$5)+(X28*'Methodology &amp; Assumptions'!$B$7), 2)</f>
        <v/>
      </c>
    </row>
    <row r="29" ht="19" customHeight="1">
      <c r="A29" s="35" t="n">
        <v>25</v>
      </c>
      <c r="B29" s="35" t="n">
        <v>2025</v>
      </c>
      <c r="C29" s="36" t="inlineStr">
        <is>
          <t>1600307009</t>
        </is>
      </c>
      <c r="D29" s="36" t="inlineStr">
        <is>
          <t>Region XIII (Caraga)</t>
        </is>
      </c>
      <c r="E29" s="36" t="inlineStr">
        <is>
          <t>Agusan del Sur</t>
        </is>
      </c>
      <c r="F29" s="36" t="inlineStr">
        <is>
          <t>Rosario</t>
        </is>
      </c>
      <c r="G29" s="36" t="inlineStr">
        <is>
          <t>Wasi-an</t>
        </is>
      </c>
      <c r="H29" s="37" t="n">
        <v>8.323276999999999</v>
      </c>
      <c r="I29" s="37" t="n">
        <v>126.0089</v>
      </c>
      <c r="J29" s="8" t="inlineStr">
        <is>
          <t>R</t>
        </is>
      </c>
      <c r="K29" s="36" t="inlineStr">
        <is>
          <t>Class 1-3 / Urban</t>
        </is>
      </c>
      <c r="L29" s="18" t="n">
        <v>4651</v>
      </c>
      <c r="M29" s="20" t="n">
        <v>4.1</v>
      </c>
      <c r="N29" s="18">
        <f>ROUND(L29/M29, 0)</f>
        <v/>
      </c>
      <c r="O29" s="18">
        <f>ROUND(N29*'Methodology &amp; Assumptions'!$B$8, 0)</f>
        <v/>
      </c>
      <c r="P29" s="8" t="inlineStr">
        <is>
          <t>Band n50 (1.5 GHz, 60 MHz)</t>
        </is>
      </c>
      <c r="Q29" s="38">
        <f>ROUNDUP(O29/'Methodology &amp; Assumptions'!$B$9, 0)</f>
        <v/>
      </c>
      <c r="R29" s="39" t="n">
        <v>1</v>
      </c>
      <c r="S29" s="21" t="n">
        <v>2.65</v>
      </c>
      <c r="T29" s="21" t="n">
        <v>0.31</v>
      </c>
      <c r="U29" s="36" t="inlineStr">
        <is>
          <t>Tier 1B (Micro Drop, 1-3 km)</t>
        </is>
      </c>
      <c r="V29" s="20" t="n">
        <v>51.3</v>
      </c>
      <c r="W29" s="20" t="n">
        <v>100</v>
      </c>
      <c r="X29" s="20" t="n">
        <v>58</v>
      </c>
      <c r="Y29" s="40">
        <f>ROUND((V29*'Methodology &amp; Assumptions'!$B$6)+(W29*'Methodology &amp; Assumptions'!$B$5)+(X29*'Methodology &amp; Assumptions'!$B$7), 2)</f>
        <v/>
      </c>
    </row>
    <row r="30" ht="19" customHeight="1">
      <c r="A30" s="41" t="n">
        <v>26</v>
      </c>
      <c r="B30" s="41" t="n">
        <v>2026</v>
      </c>
      <c r="C30" s="42" t="inlineStr">
        <is>
          <t>0500512030</t>
        </is>
      </c>
      <c r="D30" s="42" t="inlineStr">
        <is>
          <t>Region V (Bicol Region)</t>
        </is>
      </c>
      <c r="E30" s="42" t="inlineStr">
        <is>
          <t>Albay</t>
        </is>
      </c>
      <c r="F30" s="42" t="inlineStr">
        <is>
          <t>Oas</t>
        </is>
      </c>
      <c r="G30" s="42" t="inlineStr">
        <is>
          <t>Maramba</t>
        </is>
      </c>
      <c r="H30" s="43" t="n">
        <v>13.123889</v>
      </c>
      <c r="I30" s="43" t="n">
        <v>123.294074</v>
      </c>
      <c r="J30" s="44" t="inlineStr">
        <is>
          <t>R</t>
        </is>
      </c>
      <c r="K30" s="42" t="inlineStr">
        <is>
          <t>Class 1-3 / Urban</t>
        </is>
      </c>
      <c r="L30" s="23" t="n">
        <v>2935</v>
      </c>
      <c r="M30" s="24" t="n">
        <v>4.67</v>
      </c>
      <c r="N30" s="23">
        <f>ROUND(L30/M30, 0)</f>
        <v/>
      </c>
      <c r="O30" s="23">
        <f>ROUND(N30*'Methodology &amp; Assumptions'!$B$8, 0)</f>
        <v/>
      </c>
      <c r="P30" s="44" t="inlineStr">
        <is>
          <t>Band n50 (1.5 GHz, 60 MHz)</t>
        </is>
      </c>
      <c r="Q30" s="38">
        <f>ROUNDUP(O30/'Methodology &amp; Assumptions'!$B$9, 0)</f>
        <v/>
      </c>
      <c r="R30" s="39" t="n">
        <v>1</v>
      </c>
      <c r="S30" s="25" t="n">
        <v>0.78</v>
      </c>
      <c r="T30" s="25" t="n">
        <v>26.35</v>
      </c>
      <c r="U30" s="42" t="inlineStr">
        <is>
          <t>Tier 1A (Direct Coloc, &lt;1 km)</t>
        </is>
      </c>
      <c r="V30" s="24" t="n">
        <v>77.2</v>
      </c>
      <c r="W30" s="24" t="n">
        <v>74.09999999999999</v>
      </c>
      <c r="X30" s="24" t="n">
        <v>58</v>
      </c>
      <c r="Y30" s="45">
        <f>ROUND((V30*'Methodology &amp; Assumptions'!$B$6)+(W30*'Methodology &amp; Assumptions'!$B$5)+(X30*'Methodology &amp; Assumptions'!$B$7), 2)</f>
        <v/>
      </c>
    </row>
    <row r="31" ht="19" customHeight="1">
      <c r="A31" s="35" t="n">
        <v>27</v>
      </c>
      <c r="B31" s="35" t="n">
        <v>2027</v>
      </c>
      <c r="C31" s="36" t="inlineStr">
        <is>
          <t>0403426021</t>
        </is>
      </c>
      <c r="D31" s="36" t="inlineStr">
        <is>
          <t>Region IV-A (CALABARZON)</t>
        </is>
      </c>
      <c r="E31" s="36" t="inlineStr">
        <is>
          <t>Laguna</t>
        </is>
      </c>
      <c r="F31" s="36" t="inlineStr">
        <is>
          <t>Santa Cruz</t>
        </is>
      </c>
      <c r="G31" s="36" t="inlineStr">
        <is>
          <t>San Pablo Norte</t>
        </is>
      </c>
      <c r="H31" s="37" t="n">
        <v>14.2907</v>
      </c>
      <c r="I31" s="37" t="n">
        <v>121.413017</v>
      </c>
      <c r="J31" s="8" t="inlineStr">
        <is>
          <t>R</t>
        </is>
      </c>
      <c r="K31" s="36" t="inlineStr">
        <is>
          <t>Class 1-3 / Urban</t>
        </is>
      </c>
      <c r="L31" s="18" t="n">
        <v>2751</v>
      </c>
      <c r="M31" s="20" t="n">
        <v>4.2</v>
      </c>
      <c r="N31" s="18">
        <f>ROUND(L31/M31, 0)</f>
        <v/>
      </c>
      <c r="O31" s="18">
        <f>ROUND(N31*'Methodology &amp; Assumptions'!$B$8, 0)</f>
        <v/>
      </c>
      <c r="P31" s="8" t="inlineStr">
        <is>
          <t>Band n50 (1.5 GHz, 60 MHz)</t>
        </is>
      </c>
      <c r="Q31" s="38">
        <f>ROUNDUP(O31/'Methodology &amp; Assumptions'!$B$9, 0)</f>
        <v/>
      </c>
      <c r="R31" s="39" t="n">
        <v>1</v>
      </c>
      <c r="S31" s="21" t="n">
        <v>1.29</v>
      </c>
      <c r="T31" s="21" t="n">
        <v>1.14</v>
      </c>
      <c r="U31" s="36" t="inlineStr">
        <is>
          <t>Tier 1B (Micro Drop, 1-3 km)</t>
        </is>
      </c>
      <c r="V31" s="20" t="n">
        <v>75.09999999999999</v>
      </c>
      <c r="W31" s="20" t="n">
        <v>76.3</v>
      </c>
      <c r="X31" s="20" t="n">
        <v>58</v>
      </c>
      <c r="Y31" s="40">
        <f>ROUND((V31*'Methodology &amp; Assumptions'!$B$6)+(W31*'Methodology &amp; Assumptions'!$B$5)+(X31*'Methodology &amp; Assumptions'!$B$7), 2)</f>
        <v/>
      </c>
    </row>
    <row r="32" ht="19" customHeight="1">
      <c r="A32" s="41" t="n">
        <v>28</v>
      </c>
      <c r="B32" s="41" t="n">
        <v>2028</v>
      </c>
      <c r="C32" s="42" t="inlineStr">
        <is>
          <t>0403425027</t>
        </is>
      </c>
      <c r="D32" s="42" t="inlineStr">
        <is>
          <t>Region IV-A (CALABARZON)</t>
        </is>
      </c>
      <c r="E32" s="42" t="inlineStr">
        <is>
          <t>Laguna</t>
        </is>
      </c>
      <c r="F32" s="42" t="inlineStr">
        <is>
          <t>City of San Pedro</t>
        </is>
      </c>
      <c r="G32" s="42" t="inlineStr">
        <is>
          <t>Pacita 2</t>
        </is>
      </c>
      <c r="H32" s="43" t="n">
        <v>14.35027</v>
      </c>
      <c r="I32" s="43" t="n">
        <v>121.053304</v>
      </c>
      <c r="J32" s="44" t="inlineStr">
        <is>
          <t>U</t>
        </is>
      </c>
      <c r="K32" s="42" t="inlineStr">
        <is>
          <t>Class 1-3 / Urban</t>
        </is>
      </c>
      <c r="L32" s="23" t="n">
        <v>11993</v>
      </c>
      <c r="M32" s="24" t="n">
        <v>4.2</v>
      </c>
      <c r="N32" s="23">
        <f>ROUND(L32/M32, 0)</f>
        <v/>
      </c>
      <c r="O32" s="23">
        <f>ROUND(N32*'Methodology &amp; Assumptions'!$B$8, 0)</f>
        <v/>
      </c>
      <c r="P32" s="44" t="inlineStr">
        <is>
          <t>Band n50 (1.5 GHz, 60 MHz)</t>
        </is>
      </c>
      <c r="Q32" s="38">
        <f>ROUNDUP(O32/'Methodology &amp; Assumptions'!$B$9, 0)</f>
        <v/>
      </c>
      <c r="R32" s="39" t="n">
        <v>1</v>
      </c>
      <c r="S32" s="25" t="n">
        <v>1.2</v>
      </c>
      <c r="T32" s="25" t="n">
        <v>0.63</v>
      </c>
      <c r="U32" s="42" t="inlineStr">
        <is>
          <t>Tier 1B (Micro Drop, 1-3 km)</t>
        </is>
      </c>
      <c r="V32" s="24" t="n">
        <v>77</v>
      </c>
      <c r="W32" s="24" t="n">
        <v>100</v>
      </c>
      <c r="X32" s="24" t="n">
        <v>28</v>
      </c>
      <c r="Y32" s="45">
        <f>ROUND((V32*'Methodology &amp; Assumptions'!$B$6)+(W32*'Methodology &amp; Assumptions'!$B$5)+(X32*'Methodology &amp; Assumptions'!$B$7), 2)</f>
        <v/>
      </c>
    </row>
    <row r="33" ht="19" customHeight="1">
      <c r="A33" s="35" t="n">
        <v>29</v>
      </c>
      <c r="B33" s="35" t="n">
        <v>2029</v>
      </c>
      <c r="C33" s="36" t="inlineStr">
        <is>
          <t>0301404010</t>
        </is>
      </c>
      <c r="D33" s="36" t="inlineStr">
        <is>
          <t>Region III (Central Luzon)</t>
        </is>
      </c>
      <c r="E33" s="36" t="inlineStr">
        <is>
          <t>Bulacan</t>
        </is>
      </c>
      <c r="F33" s="36" t="inlineStr">
        <is>
          <t>Bocaue</t>
        </is>
      </c>
      <c r="G33" s="36" t="inlineStr">
        <is>
          <t>Caingin</t>
        </is>
      </c>
      <c r="H33" s="37" t="n">
        <v>14.801026</v>
      </c>
      <c r="I33" s="37" t="n">
        <v>120.925016</v>
      </c>
      <c r="J33" s="8" t="inlineStr">
        <is>
          <t>R</t>
        </is>
      </c>
      <c r="K33" s="36" t="inlineStr">
        <is>
          <t>Class 1-3 / Urban</t>
        </is>
      </c>
      <c r="L33" s="18" t="n">
        <v>4813</v>
      </c>
      <c r="M33" s="20" t="n">
        <v>4.1</v>
      </c>
      <c r="N33" s="18">
        <f>ROUND(L33/M33, 0)</f>
        <v/>
      </c>
      <c r="O33" s="18">
        <f>ROUND(N33*'Methodology &amp; Assumptions'!$B$8, 0)</f>
        <v/>
      </c>
      <c r="P33" s="8" t="inlineStr">
        <is>
          <t>Band n50 (1.5 GHz, 60 MHz)</t>
        </is>
      </c>
      <c r="Q33" s="38">
        <f>ROUNDUP(O33/'Methodology &amp; Assumptions'!$B$9, 0)</f>
        <v/>
      </c>
      <c r="R33" s="39" t="n">
        <v>1</v>
      </c>
      <c r="S33" s="21" t="n">
        <v>2.65</v>
      </c>
      <c r="T33" s="21" t="n">
        <v>0.22</v>
      </c>
      <c r="U33" s="36" t="inlineStr">
        <is>
          <t>Tier 1B (Micro Drop, 1-3 km)</t>
        </is>
      </c>
      <c r="V33" s="20" t="n">
        <v>51.3</v>
      </c>
      <c r="W33" s="20" t="n">
        <v>100</v>
      </c>
      <c r="X33" s="20" t="n">
        <v>58</v>
      </c>
      <c r="Y33" s="40">
        <f>ROUND((V33*'Methodology &amp; Assumptions'!$B$6)+(W33*'Methodology &amp; Assumptions'!$B$5)+(X33*'Methodology &amp; Assumptions'!$B$7), 2)</f>
        <v/>
      </c>
    </row>
    <row r="34" ht="19" customHeight="1">
      <c r="A34" s="41" t="n">
        <v>30</v>
      </c>
      <c r="B34" s="41" t="n">
        <v>2030</v>
      </c>
      <c r="C34" s="42" t="inlineStr">
        <is>
          <t>0803750004</t>
        </is>
      </c>
      <c r="D34" s="42" t="inlineStr">
        <is>
          <t>Region VIII (Eastern Visayas)</t>
        </is>
      </c>
      <c r="E34" s="42" t="inlineStr">
        <is>
          <t>Leyte</t>
        </is>
      </c>
      <c r="F34" s="42" t="inlineStr">
        <is>
          <t>Tunga</t>
        </is>
      </c>
      <c r="G34" s="42" t="inlineStr">
        <is>
          <t>San Antonio</t>
        </is>
      </c>
      <c r="H34" s="43" t="n">
        <v>11.244816</v>
      </c>
      <c r="I34" s="43" t="n">
        <v>124.7494</v>
      </c>
      <c r="J34" s="44" t="inlineStr">
        <is>
          <t>R</t>
        </is>
      </c>
      <c r="K34" s="42" t="inlineStr">
        <is>
          <t>5th</t>
        </is>
      </c>
      <c r="L34" s="23" t="n">
        <v>851</v>
      </c>
      <c r="M34" s="24" t="n">
        <v>4.75</v>
      </c>
      <c r="N34" s="23">
        <f>ROUND(L34/M34, 0)</f>
        <v/>
      </c>
      <c r="O34" s="23">
        <f>ROUND(N34*'Methodology &amp; Assumptions'!$B$8, 0)</f>
        <v/>
      </c>
      <c r="P34" s="44" t="inlineStr">
        <is>
          <t>Band n50 (1.5 GHz, 60 MHz)</t>
        </is>
      </c>
      <c r="Q34" s="38">
        <f>ROUNDUP(O34/'Methodology &amp; Assumptions'!$B$9, 0)</f>
        <v/>
      </c>
      <c r="R34" s="39" t="n">
        <v>1</v>
      </c>
      <c r="S34" s="25" t="n">
        <v>0.02</v>
      </c>
      <c r="T34" s="25" t="n">
        <v>0.28</v>
      </c>
      <c r="U34" s="42" t="inlineStr">
        <is>
          <t>Tier 1A (Direct Coloc, &lt;1 km)</t>
        </is>
      </c>
      <c r="V34" s="24" t="n">
        <v>100</v>
      </c>
      <c r="W34" s="24" t="n">
        <v>38.4</v>
      </c>
      <c r="X34" s="24" t="n">
        <v>73</v>
      </c>
      <c r="Y34" s="45">
        <f>ROUND((V34*'Methodology &amp; Assumptions'!$B$6)+(W34*'Methodology &amp; Assumptions'!$B$5)+(X34*'Methodology &amp; Assumptions'!$B$7), 2)</f>
        <v/>
      </c>
    </row>
    <row r="35" ht="19" customHeight="1">
      <c r="A35" s="35" t="n">
        <v>31</v>
      </c>
      <c r="B35" s="35" t="n">
        <v>2031</v>
      </c>
      <c r="C35" s="36" t="inlineStr">
        <is>
          <t>0103317013</t>
        </is>
      </c>
      <c r="D35" s="36" t="inlineStr">
        <is>
          <t>Region I (Ilocos Region)</t>
        </is>
      </c>
      <c r="E35" s="36" t="inlineStr">
        <is>
          <t>La Union</t>
        </is>
      </c>
      <c r="F35" s="36" t="inlineStr">
        <is>
          <t>Santo Tomas</t>
        </is>
      </c>
      <c r="G35" s="36" t="inlineStr">
        <is>
          <t>Lomboy</t>
        </is>
      </c>
      <c r="H35" s="37" t="n">
        <v>16.287781</v>
      </c>
      <c r="I35" s="37" t="n">
        <v>120.385792</v>
      </c>
      <c r="J35" s="8" t="inlineStr">
        <is>
          <t>R</t>
        </is>
      </c>
      <c r="K35" s="36" t="inlineStr">
        <is>
          <t>1st</t>
        </is>
      </c>
      <c r="L35" s="18" t="n">
        <v>1537</v>
      </c>
      <c r="M35" s="20" t="n">
        <v>4.34</v>
      </c>
      <c r="N35" s="18">
        <f>ROUND(L35/M35, 0)</f>
        <v/>
      </c>
      <c r="O35" s="18">
        <f>ROUND(N35*'Methodology &amp; Assumptions'!$B$8, 0)</f>
        <v/>
      </c>
      <c r="P35" s="8" t="inlineStr">
        <is>
          <t>Band n50 (1.5 GHz, 60 MHz)</t>
        </is>
      </c>
      <c r="Q35" s="38">
        <f>ROUNDUP(O35/'Methodology &amp; Assumptions'!$B$9, 0)</f>
        <v/>
      </c>
      <c r="R35" s="39" t="n">
        <v>1</v>
      </c>
      <c r="S35" s="21" t="n">
        <v>0.35</v>
      </c>
      <c r="T35" s="21" t="n">
        <v>0.24</v>
      </c>
      <c r="U35" s="36" t="inlineStr">
        <is>
          <t>Tier 1A (Direct Coloc, &lt;1 km)</t>
        </is>
      </c>
      <c r="V35" s="20" t="n">
        <v>99</v>
      </c>
      <c r="W35" s="20" t="n">
        <v>52.3</v>
      </c>
      <c r="X35" s="20" t="n">
        <v>58</v>
      </c>
      <c r="Y35" s="40">
        <f>ROUND((V35*'Methodology &amp; Assumptions'!$B$6)+(W35*'Methodology &amp; Assumptions'!$B$5)+(X35*'Methodology &amp; Assumptions'!$B$7), 2)</f>
        <v/>
      </c>
    </row>
    <row r="36" ht="19" customHeight="1">
      <c r="A36" s="41" t="n">
        <v>32</v>
      </c>
      <c r="B36" s="41" t="n">
        <v>2032</v>
      </c>
      <c r="C36" s="42" t="inlineStr">
        <is>
          <t>0702219003</t>
        </is>
      </c>
      <c r="D36" s="42" t="inlineStr">
        <is>
          <t>Region VII (Central Visayas)</t>
        </is>
      </c>
      <c r="E36" s="42" t="inlineStr">
        <is>
          <t>Cebu</t>
        </is>
      </c>
      <c r="F36" s="42" t="inlineStr">
        <is>
          <t>Consolacion</t>
        </is>
      </c>
      <c r="G36" s="42" t="inlineStr">
        <is>
          <t>Casili</t>
        </is>
      </c>
      <c r="H36" s="43" t="n">
        <v>10.374008</v>
      </c>
      <c r="I36" s="43" t="n">
        <v>123.948057</v>
      </c>
      <c r="J36" s="44" t="inlineStr">
        <is>
          <t>U</t>
        </is>
      </c>
      <c r="K36" s="42" t="inlineStr">
        <is>
          <t>Class 1-3 / Urban</t>
        </is>
      </c>
      <c r="L36" s="23" t="n">
        <v>18601</v>
      </c>
      <c r="M36" s="24" t="n">
        <v>4.42</v>
      </c>
      <c r="N36" s="23">
        <f>ROUND(L36/M36, 0)</f>
        <v/>
      </c>
      <c r="O36" s="23">
        <f>ROUND(N36*'Methodology &amp; Assumptions'!$B$8, 0)</f>
        <v/>
      </c>
      <c r="P36" s="44" t="inlineStr">
        <is>
          <t>Band n50 (1.5 GHz, 60 MHz)</t>
        </is>
      </c>
      <c r="Q36" s="38">
        <f>ROUNDUP(O36/'Methodology &amp; Assumptions'!$B$9, 0)</f>
        <v/>
      </c>
      <c r="R36" s="39" t="n">
        <v>1</v>
      </c>
      <c r="S36" s="25" t="n">
        <v>1.2</v>
      </c>
      <c r="T36" s="25" t="n">
        <v>0.26</v>
      </c>
      <c r="U36" s="42" t="inlineStr">
        <is>
          <t>Tier 1B (Micro Drop, 1-3 km)</t>
        </is>
      </c>
      <c r="V36" s="24" t="n">
        <v>77</v>
      </c>
      <c r="W36" s="24" t="n">
        <v>100</v>
      </c>
      <c r="X36" s="24" t="n">
        <v>28</v>
      </c>
      <c r="Y36" s="45">
        <f>ROUND((V36*'Methodology &amp; Assumptions'!$B$6)+(W36*'Methodology &amp; Assumptions'!$B$5)+(X36*'Methodology &amp; Assumptions'!$B$7), 2)</f>
        <v/>
      </c>
    </row>
    <row r="37" ht="19" customHeight="1">
      <c r="A37" s="35" t="n">
        <v>33</v>
      </c>
      <c r="B37" s="35" t="n">
        <v>2033</v>
      </c>
      <c r="C37" s="36" t="inlineStr">
        <is>
          <t>0405623020</t>
        </is>
      </c>
      <c r="D37" s="36" t="inlineStr">
        <is>
          <t>Region IV-A (CALABARZON)</t>
        </is>
      </c>
      <c r="E37" s="36" t="inlineStr">
        <is>
          <t>Quezon</t>
        </is>
      </c>
      <c r="F37" s="36" t="inlineStr">
        <is>
          <t>Lucban</t>
        </is>
      </c>
      <c r="G37" s="36" t="inlineStr">
        <is>
          <t>Kulapi</t>
        </is>
      </c>
      <c r="H37" s="37" t="n">
        <v>14.111234</v>
      </c>
      <c r="I37" s="37" t="n">
        <v>121.566892</v>
      </c>
      <c r="J37" s="8" t="inlineStr">
        <is>
          <t>U</t>
        </is>
      </c>
      <c r="K37" s="36" t="inlineStr">
        <is>
          <t>Class 1-3 / Urban</t>
        </is>
      </c>
      <c r="L37" s="18" t="n">
        <v>3946</v>
      </c>
      <c r="M37" s="20" t="n">
        <v>4.46</v>
      </c>
      <c r="N37" s="18">
        <f>ROUND(L37/M37, 0)</f>
        <v/>
      </c>
      <c r="O37" s="18">
        <f>ROUND(N37*'Methodology &amp; Assumptions'!$B$8, 0)</f>
        <v/>
      </c>
      <c r="P37" s="8" t="inlineStr">
        <is>
          <t>Band n50 (1.5 GHz, 60 MHz)</t>
        </is>
      </c>
      <c r="Q37" s="38">
        <f>ROUNDUP(O37/'Methodology &amp; Assumptions'!$B$9, 0)</f>
        <v/>
      </c>
      <c r="R37" s="39" t="n">
        <v>1</v>
      </c>
      <c r="S37" s="21" t="n">
        <v>0.98</v>
      </c>
      <c r="T37" s="21" t="n">
        <v>0.25</v>
      </c>
      <c r="U37" s="36" t="inlineStr">
        <is>
          <t>Tier 1A (Direct Coloc, &lt;1 km)</t>
        </is>
      </c>
      <c r="V37" s="20" t="n">
        <v>82</v>
      </c>
      <c r="W37" s="20" t="n">
        <v>94.90000000000001</v>
      </c>
      <c r="X37" s="20" t="n">
        <v>28</v>
      </c>
      <c r="Y37" s="40">
        <f>ROUND((V37*'Methodology &amp; Assumptions'!$B$6)+(W37*'Methodology &amp; Assumptions'!$B$5)+(X37*'Methodology &amp; Assumptions'!$B$7), 2)</f>
        <v/>
      </c>
    </row>
    <row r="38" ht="19" customHeight="1">
      <c r="A38" s="41" t="n">
        <v>34</v>
      </c>
      <c r="B38" s="41" t="n">
        <v>2034</v>
      </c>
      <c r="C38" s="42" t="inlineStr">
        <is>
          <t>0300805007</t>
        </is>
      </c>
      <c r="D38" s="42" t="inlineStr">
        <is>
          <t>Region III (Central Luzon)</t>
        </is>
      </c>
      <c r="E38" s="42" t="inlineStr">
        <is>
          <t>Bataan</t>
        </is>
      </c>
      <c r="F38" s="42" t="inlineStr">
        <is>
          <t>Hermosa</t>
        </is>
      </c>
      <c r="G38" s="42" t="inlineStr">
        <is>
          <t>Cataning</t>
        </is>
      </c>
      <c r="H38" s="43" t="n">
        <v>14.832879</v>
      </c>
      <c r="I38" s="43" t="n">
        <v>120.499947</v>
      </c>
      <c r="J38" s="44" t="inlineStr">
        <is>
          <t>R</t>
        </is>
      </c>
      <c r="K38" s="42" t="inlineStr">
        <is>
          <t>Class 1-3 / Urban</t>
        </is>
      </c>
      <c r="L38" s="23" t="n">
        <v>3000</v>
      </c>
      <c r="M38" s="24" t="n">
        <v>4.57</v>
      </c>
      <c r="N38" s="23">
        <f>ROUND(L38/M38, 0)</f>
        <v/>
      </c>
      <c r="O38" s="23">
        <f>ROUND(N38*'Methodology &amp; Assumptions'!$B$8, 0)</f>
        <v/>
      </c>
      <c r="P38" s="44" t="inlineStr">
        <is>
          <t>Band n50 (1.5 GHz, 60 MHz)</t>
        </is>
      </c>
      <c r="Q38" s="38">
        <f>ROUNDUP(O38/'Methodology &amp; Assumptions'!$B$9, 0)</f>
        <v/>
      </c>
      <c r="R38" s="39" t="n">
        <v>1</v>
      </c>
      <c r="S38" s="25" t="n">
        <v>1.31</v>
      </c>
      <c r="T38" s="25" t="n">
        <v>0.07000000000000001</v>
      </c>
      <c r="U38" s="42" t="inlineStr">
        <is>
          <t>Tier 1B (Micro Drop, 1-3 km)</t>
        </is>
      </c>
      <c r="V38" s="24" t="n">
        <v>74.7</v>
      </c>
      <c r="W38" s="24" t="n">
        <v>76.5</v>
      </c>
      <c r="X38" s="24" t="n">
        <v>58</v>
      </c>
      <c r="Y38" s="45">
        <f>ROUND((V38*'Methodology &amp; Assumptions'!$B$6)+(W38*'Methodology &amp; Assumptions'!$B$5)+(X38*'Methodology &amp; Assumptions'!$B$7), 2)</f>
        <v/>
      </c>
    </row>
    <row r="39" ht="19" customHeight="1">
      <c r="A39" s="35" t="n">
        <v>35</v>
      </c>
      <c r="B39" s="35" t="n">
        <v>2035</v>
      </c>
      <c r="C39" s="36" t="inlineStr">
        <is>
          <t>0403403018</t>
        </is>
      </c>
      <c r="D39" s="36" t="inlineStr">
        <is>
          <t>Region IV-A (CALABARZON)</t>
        </is>
      </c>
      <c r="E39" s="36" t="inlineStr">
        <is>
          <t>Laguna</t>
        </is>
      </c>
      <c r="F39" s="36" t="inlineStr">
        <is>
          <t>City of Biñan</t>
        </is>
      </c>
      <c r="G39" s="36" t="inlineStr">
        <is>
          <t>Santo Niño</t>
        </is>
      </c>
      <c r="H39" s="37" t="n">
        <v>14.329948</v>
      </c>
      <c r="I39" s="37" t="n">
        <v>121.082451</v>
      </c>
      <c r="J39" s="8" t="inlineStr">
        <is>
          <t>U</t>
        </is>
      </c>
      <c r="K39" s="36" t="inlineStr">
        <is>
          <t>Class 1-3 / Urban</t>
        </is>
      </c>
      <c r="L39" s="18" t="n">
        <v>7736</v>
      </c>
      <c r="M39" s="20" t="n">
        <v>4.2</v>
      </c>
      <c r="N39" s="18">
        <f>ROUND(L39/M39, 0)</f>
        <v/>
      </c>
      <c r="O39" s="18">
        <f>ROUND(N39*'Methodology &amp; Assumptions'!$B$8, 0)</f>
        <v/>
      </c>
      <c r="P39" s="8" t="inlineStr">
        <is>
          <t>Band n50 (1.5 GHz, 60 MHz)</t>
        </is>
      </c>
      <c r="Q39" s="38">
        <f>ROUNDUP(O39/'Methodology &amp; Assumptions'!$B$9, 0)</f>
        <v/>
      </c>
      <c r="R39" s="39" t="n">
        <v>1</v>
      </c>
      <c r="S39" s="21" t="n">
        <v>1.2</v>
      </c>
      <c r="T39" s="21" t="n">
        <v>0.29</v>
      </c>
      <c r="U39" s="36" t="inlineStr">
        <is>
          <t>Tier 1B (Micro Drop, 1-3 km)</t>
        </is>
      </c>
      <c r="V39" s="20" t="n">
        <v>76.90000000000001</v>
      </c>
      <c r="W39" s="20" t="n">
        <v>100</v>
      </c>
      <c r="X39" s="20" t="n">
        <v>28</v>
      </c>
      <c r="Y39" s="40">
        <f>ROUND((V39*'Methodology &amp; Assumptions'!$B$6)+(W39*'Methodology &amp; Assumptions'!$B$5)+(X39*'Methodology &amp; Assumptions'!$B$7), 2)</f>
        <v/>
      </c>
    </row>
    <row r="40" ht="19" customHeight="1">
      <c r="A40" s="41" t="n">
        <v>36</v>
      </c>
      <c r="B40" s="41" t="n">
        <v>2036</v>
      </c>
      <c r="C40" s="42" t="inlineStr">
        <is>
          <t>0301421041</t>
        </is>
      </c>
      <c r="D40" s="42" t="inlineStr">
        <is>
          <t>Region III (Central Luzon)</t>
        </is>
      </c>
      <c r="E40" s="42" t="inlineStr">
        <is>
          <t>Bulacan</t>
        </is>
      </c>
      <c r="F40" s="42" t="inlineStr">
        <is>
          <t>San Miguel</t>
        </is>
      </c>
      <c r="G40" s="42" t="inlineStr">
        <is>
          <t>Salangan</t>
        </is>
      </c>
      <c r="H40" s="43" t="n">
        <v>15.128474</v>
      </c>
      <c r="I40" s="43" t="n">
        <v>120.953339</v>
      </c>
      <c r="J40" s="44" t="inlineStr">
        <is>
          <t>U</t>
        </is>
      </c>
      <c r="K40" s="42" t="inlineStr">
        <is>
          <t>Class 1-3 / Urban</t>
        </is>
      </c>
      <c r="L40" s="23" t="n">
        <v>5363</v>
      </c>
      <c r="M40" s="24" t="n">
        <v>4.1</v>
      </c>
      <c r="N40" s="23">
        <f>ROUND(L40/M40, 0)</f>
        <v/>
      </c>
      <c r="O40" s="23">
        <f>ROUND(N40*'Methodology &amp; Assumptions'!$B$8, 0)</f>
        <v/>
      </c>
      <c r="P40" s="44" t="inlineStr">
        <is>
          <t>Band n50 (1.5 GHz, 60 MHz)</t>
        </is>
      </c>
      <c r="Q40" s="38">
        <f>ROUNDUP(O40/'Methodology &amp; Assumptions'!$B$9, 0)</f>
        <v/>
      </c>
      <c r="R40" s="39" t="n">
        <v>1</v>
      </c>
      <c r="S40" s="25" t="n">
        <v>1.2</v>
      </c>
      <c r="T40" s="25" t="n">
        <v>0.06</v>
      </c>
      <c r="U40" s="42" t="inlineStr">
        <is>
          <t>Tier 1B (Micro Drop, 1-3 km)</t>
        </is>
      </c>
      <c r="V40" s="24" t="n">
        <v>76.90000000000001</v>
      </c>
      <c r="W40" s="24" t="n">
        <v>100</v>
      </c>
      <c r="X40" s="24" t="n">
        <v>28</v>
      </c>
      <c r="Y40" s="45">
        <f>ROUND((V40*'Methodology &amp; Assumptions'!$B$6)+(W40*'Methodology &amp; Assumptions'!$B$5)+(X40*'Methodology &amp; Assumptions'!$B$7), 2)</f>
        <v/>
      </c>
    </row>
    <row r="41" ht="19" customHeight="1">
      <c r="A41" s="35" t="n">
        <v>37</v>
      </c>
      <c r="B41" s="35" t="n">
        <v>2037</v>
      </c>
      <c r="C41" s="36" t="inlineStr">
        <is>
          <t>0203122002</t>
        </is>
      </c>
      <c r="D41" s="36" t="inlineStr">
        <is>
          <t>Region II (Cagayan Valley)</t>
        </is>
      </c>
      <c r="E41" s="36" t="inlineStr">
        <is>
          <t>Isabela</t>
        </is>
      </c>
      <c r="F41" s="36" t="inlineStr">
        <is>
          <t>Quezon</t>
        </is>
      </c>
      <c r="G41" s="36" t="inlineStr">
        <is>
          <t>Alunan</t>
        </is>
      </c>
      <c r="H41" s="37" t="n">
        <v>17.308915</v>
      </c>
      <c r="I41" s="37" t="n">
        <v>121.60727</v>
      </c>
      <c r="J41" s="8" t="inlineStr">
        <is>
          <t>R</t>
        </is>
      </c>
      <c r="K41" s="36" t="inlineStr">
        <is>
          <t>1st</t>
        </is>
      </c>
      <c r="L41" s="18" t="n">
        <v>1501</v>
      </c>
      <c r="M41" s="20" t="n">
        <v>4.4</v>
      </c>
      <c r="N41" s="18">
        <f>ROUND(L41/M41, 0)</f>
        <v/>
      </c>
      <c r="O41" s="18">
        <f>ROUND(N41*'Methodology &amp; Assumptions'!$B$8, 0)</f>
        <v/>
      </c>
      <c r="P41" s="8" t="inlineStr">
        <is>
          <t>Band n50 (1.5 GHz, 60 MHz)</t>
        </is>
      </c>
      <c r="Q41" s="38">
        <f>ROUNDUP(O41/'Methodology &amp; Assumptions'!$B$9, 0)</f>
        <v/>
      </c>
      <c r="R41" s="39" t="n">
        <v>1</v>
      </c>
      <c r="S41" s="21" t="n">
        <v>0.02</v>
      </c>
      <c r="T41" s="21" t="n">
        <v>0.44</v>
      </c>
      <c r="U41" s="36" t="inlineStr">
        <is>
          <t>Tier 1A (Direct Coloc, &lt;1 km)</t>
        </is>
      </c>
      <c r="V41" s="20" t="n">
        <v>100</v>
      </c>
      <c r="W41" s="20" t="n">
        <v>51.2</v>
      </c>
      <c r="X41" s="20" t="n">
        <v>58</v>
      </c>
      <c r="Y41" s="40">
        <f>ROUND((V41*'Methodology &amp; Assumptions'!$B$6)+(W41*'Methodology &amp; Assumptions'!$B$5)+(X41*'Methodology &amp; Assumptions'!$B$7), 2)</f>
        <v/>
      </c>
    </row>
    <row r="42" ht="19" customHeight="1">
      <c r="A42" s="41" t="n">
        <v>38</v>
      </c>
      <c r="B42" s="41" t="n">
        <v>2038</v>
      </c>
      <c r="C42" s="42" t="inlineStr">
        <is>
          <t>0504121002</t>
        </is>
      </c>
      <c r="D42" s="42" t="inlineStr">
        <is>
          <t>Region V (Bicol Region)</t>
        </is>
      </c>
      <c r="E42" s="42" t="inlineStr">
        <is>
          <t>Masbate</t>
        </is>
      </c>
      <c r="F42" s="42" t="inlineStr">
        <is>
          <t>Uson</t>
        </is>
      </c>
      <c r="G42" s="42" t="inlineStr">
        <is>
          <t>Armenia</t>
        </is>
      </c>
      <c r="H42" s="43" t="n">
        <v>12.25032</v>
      </c>
      <c r="I42" s="43" t="n">
        <v>123.74466</v>
      </c>
      <c r="J42" s="44" t="inlineStr">
        <is>
          <t>R</t>
        </is>
      </c>
      <c r="K42" s="42" t="inlineStr">
        <is>
          <t>Class 1-3 / Urban</t>
        </is>
      </c>
      <c r="L42" s="23" t="n">
        <v>4325</v>
      </c>
      <c r="M42" s="24" t="n">
        <v>4.6</v>
      </c>
      <c r="N42" s="23">
        <f>ROUND(L42/M42, 0)</f>
        <v/>
      </c>
      <c r="O42" s="23">
        <f>ROUND(N42*'Methodology &amp; Assumptions'!$B$8, 0)</f>
        <v/>
      </c>
      <c r="P42" s="44" t="inlineStr">
        <is>
          <t>Band n50 (1.5 GHz, 60 MHz)</t>
        </is>
      </c>
      <c r="Q42" s="38">
        <f>ROUNDUP(O42/'Methodology &amp; Assumptions'!$B$9, 0)</f>
        <v/>
      </c>
      <c r="R42" s="39" t="n">
        <v>1</v>
      </c>
      <c r="S42" s="25" t="n">
        <v>1.96</v>
      </c>
      <c r="T42" s="25" t="n">
        <v>17.93</v>
      </c>
      <c r="U42" s="42" t="inlineStr">
        <is>
          <t>Tier 1B (Micro Drop, 1-3 km)</t>
        </is>
      </c>
      <c r="V42" s="24" t="n">
        <v>52</v>
      </c>
      <c r="W42" s="24" t="n">
        <v>99.2</v>
      </c>
      <c r="X42" s="24" t="n">
        <v>58</v>
      </c>
      <c r="Y42" s="45">
        <f>ROUND((V42*'Methodology &amp; Assumptions'!$B$6)+(W42*'Methodology &amp; Assumptions'!$B$5)+(X42*'Methodology &amp; Assumptions'!$B$7), 2)</f>
        <v/>
      </c>
    </row>
    <row r="43" ht="19" customHeight="1">
      <c r="A43" s="35" t="n">
        <v>39</v>
      </c>
      <c r="B43" s="35" t="n">
        <v>2039</v>
      </c>
      <c r="C43" s="36" t="inlineStr">
        <is>
          <t>0402108016</t>
        </is>
      </c>
      <c r="D43" s="36" t="inlineStr">
        <is>
          <t>Region IV-A (CALABARZON)</t>
        </is>
      </c>
      <c r="E43" s="36" t="inlineStr">
        <is>
          <t>Cavite</t>
        </is>
      </c>
      <c r="F43" s="36" t="inlineStr">
        <is>
          <t>City of General Trias</t>
        </is>
      </c>
      <c r="G43" s="36" t="inlineStr">
        <is>
          <t>Navarro</t>
        </is>
      </c>
      <c r="H43" s="37" t="n">
        <v>14.386232</v>
      </c>
      <c r="I43" s="37" t="n">
        <v>120.901812</v>
      </c>
      <c r="J43" s="8" t="inlineStr">
        <is>
          <t>U</t>
        </is>
      </c>
      <c r="K43" s="36" t="inlineStr">
        <is>
          <t>Class 1-3 / Urban</t>
        </is>
      </c>
      <c r="L43" s="18" t="n">
        <v>48105</v>
      </c>
      <c r="M43" s="20" t="n">
        <v>4.49</v>
      </c>
      <c r="N43" s="18">
        <f>ROUND(L43/M43, 0)</f>
        <v/>
      </c>
      <c r="O43" s="18">
        <f>ROUND(N43*'Methodology &amp; Assumptions'!$B$8, 0)</f>
        <v/>
      </c>
      <c r="P43" s="8" t="inlineStr">
        <is>
          <t>Band n50 (1.5 GHz, 60 MHz)</t>
        </is>
      </c>
      <c r="Q43" s="38">
        <f>ROUNDUP(O43/'Methodology &amp; Assumptions'!$B$9, 0)</f>
        <v/>
      </c>
      <c r="R43" s="39" t="n">
        <v>1</v>
      </c>
      <c r="S43" s="21" t="n">
        <v>0.67</v>
      </c>
      <c r="T43" s="21" t="n">
        <v>3.26</v>
      </c>
      <c r="U43" s="36" t="inlineStr">
        <is>
          <t>Tier 1A (Direct Coloc, &lt;1 km)</t>
        </is>
      </c>
      <c r="V43" s="20" t="n">
        <v>79.90000000000001</v>
      </c>
      <c r="W43" s="20" t="n">
        <v>97</v>
      </c>
      <c r="X43" s="20" t="n">
        <v>28</v>
      </c>
      <c r="Y43" s="40">
        <f>ROUND((V43*'Methodology &amp; Assumptions'!$B$6)+(W43*'Methodology &amp; Assumptions'!$B$5)+(X43*'Methodology &amp; Assumptions'!$B$7), 2)</f>
        <v/>
      </c>
    </row>
    <row r="44" ht="19" customHeight="1">
      <c r="A44" s="41" t="n">
        <v>40</v>
      </c>
      <c r="B44" s="41" t="n">
        <v>2040</v>
      </c>
      <c r="C44" s="42" t="inlineStr">
        <is>
          <t>0506203006</t>
        </is>
      </c>
      <c r="D44" s="42" t="inlineStr">
        <is>
          <t>Region V (Bicol Region)</t>
        </is>
      </c>
      <c r="E44" s="42" t="inlineStr">
        <is>
          <t>Sorsogon</t>
        </is>
      </c>
      <c r="F44" s="42" t="inlineStr">
        <is>
          <t>Bulan</t>
        </is>
      </c>
      <c r="G44" s="42" t="inlineStr">
        <is>
          <t>Zone II Pob.</t>
        </is>
      </c>
      <c r="H44" s="43" t="n">
        <v>12.659167</v>
      </c>
      <c r="I44" s="43" t="n">
        <v>123.875339</v>
      </c>
      <c r="J44" s="44" t="inlineStr">
        <is>
          <t>U</t>
        </is>
      </c>
      <c r="K44" s="42" t="inlineStr">
        <is>
          <t>Class 1-3 / Urban</t>
        </is>
      </c>
      <c r="L44" s="23" t="n">
        <v>5834</v>
      </c>
      <c r="M44" s="24" t="n">
        <v>4.58</v>
      </c>
      <c r="N44" s="23">
        <f>ROUND(L44/M44, 0)</f>
        <v/>
      </c>
      <c r="O44" s="23">
        <f>ROUND(N44*'Methodology &amp; Assumptions'!$B$8, 0)</f>
        <v/>
      </c>
      <c r="P44" s="44" t="inlineStr">
        <is>
          <t>Band n50 (1.5 GHz, 60 MHz)</t>
        </is>
      </c>
      <c r="Q44" s="38">
        <f>ROUNDUP(O44/'Methodology &amp; Assumptions'!$B$9, 0)</f>
        <v/>
      </c>
      <c r="R44" s="39" t="n">
        <v>1</v>
      </c>
      <c r="S44" s="25" t="n">
        <v>1.21</v>
      </c>
      <c r="T44" s="25" t="n">
        <v>1.01</v>
      </c>
      <c r="U44" s="42" t="inlineStr">
        <is>
          <t>Tier 1B (Micro Drop, 1-3 km)</t>
        </is>
      </c>
      <c r="V44" s="24" t="n">
        <v>76.90000000000001</v>
      </c>
      <c r="W44" s="24" t="n">
        <v>100</v>
      </c>
      <c r="X44" s="24" t="n">
        <v>28</v>
      </c>
      <c r="Y44" s="45">
        <f>ROUND((V44*'Methodology &amp; Assumptions'!$B$6)+(W44*'Methodology &amp; Assumptions'!$B$5)+(X44*'Methodology &amp; Assumptions'!$B$7), 2)</f>
        <v/>
      </c>
    </row>
    <row r="45" ht="19" customHeight="1">
      <c r="A45" s="35" t="n">
        <v>41</v>
      </c>
      <c r="B45" s="35" t="n">
        <v>2041</v>
      </c>
      <c r="C45" s="36" t="inlineStr">
        <is>
          <t>0402118054</t>
        </is>
      </c>
      <c r="D45" s="36" t="inlineStr">
        <is>
          <t>Region IV-A (CALABARZON)</t>
        </is>
      </c>
      <c r="E45" s="36" t="inlineStr">
        <is>
          <t>Cavite</t>
        </is>
      </c>
      <c r="F45" s="36" t="inlineStr">
        <is>
          <t>Silang</t>
        </is>
      </c>
      <c r="G45" s="36" t="inlineStr">
        <is>
          <t>Anahaw II</t>
        </is>
      </c>
      <c r="H45" s="37" t="n">
        <v>14.271269</v>
      </c>
      <c r="I45" s="37" t="n">
        <v>120.996754</v>
      </c>
      <c r="J45" s="8" t="inlineStr">
        <is>
          <t>R</t>
        </is>
      </c>
      <c r="K45" s="36" t="inlineStr">
        <is>
          <t>Class 1-3 / Urban</t>
        </is>
      </c>
      <c r="L45" s="18" t="n">
        <v>3581</v>
      </c>
      <c r="M45" s="20" t="n">
        <v>4.49</v>
      </c>
      <c r="N45" s="18">
        <f>ROUND(L45/M45, 0)</f>
        <v/>
      </c>
      <c r="O45" s="18">
        <f>ROUND(N45*'Methodology &amp; Assumptions'!$B$8, 0)</f>
        <v/>
      </c>
      <c r="P45" s="8" t="inlineStr">
        <is>
          <t>Band n50 (1.5 GHz, 60 MHz)</t>
        </is>
      </c>
      <c r="Q45" s="38">
        <f>ROUNDUP(O45/'Methodology &amp; Assumptions'!$B$9, 0)</f>
        <v/>
      </c>
      <c r="R45" s="39" t="n">
        <v>1</v>
      </c>
      <c r="S45" s="21" t="n">
        <v>1.37</v>
      </c>
      <c r="T45" s="21" t="n">
        <v>3.03</v>
      </c>
      <c r="U45" s="36" t="inlineStr">
        <is>
          <t>Tier 1B (Micro Drop, 1-3 km)</t>
        </is>
      </c>
      <c r="V45" s="20" t="n">
        <v>63.4</v>
      </c>
      <c r="W45" s="20" t="n">
        <v>87.7</v>
      </c>
      <c r="X45" s="20" t="n">
        <v>58</v>
      </c>
      <c r="Y45" s="40">
        <f>ROUND((V45*'Methodology &amp; Assumptions'!$B$6)+(W45*'Methodology &amp; Assumptions'!$B$5)+(X45*'Methodology &amp; Assumptions'!$B$7), 2)</f>
        <v/>
      </c>
    </row>
    <row r="46" ht="19" customHeight="1">
      <c r="A46" s="41" t="n">
        <v>42</v>
      </c>
      <c r="B46" s="41" t="n">
        <v>2042</v>
      </c>
      <c r="C46" s="42" t="inlineStr">
        <is>
          <t>1030500041</t>
        </is>
      </c>
      <c r="D46" s="42" t="inlineStr">
        <is>
          <t>Region X (Northern Mindanao)</t>
        </is>
      </c>
      <c r="E46" s="42" t="inlineStr">
        <is>
          <t>Misamis Oriental</t>
        </is>
      </c>
      <c r="F46" s="42" t="inlineStr">
        <is>
          <t>City of Cagayan De Oro</t>
        </is>
      </c>
      <c r="G46" s="42" t="inlineStr">
        <is>
          <t>Bugo</t>
        </is>
      </c>
      <c r="H46" s="43" t="n">
        <v>8.507415</v>
      </c>
      <c r="I46" s="43" t="n">
        <v>124.755076</v>
      </c>
      <c r="J46" s="44" t="inlineStr">
        <is>
          <t>U</t>
        </is>
      </c>
      <c r="K46" s="42" t="inlineStr">
        <is>
          <t>Class 1-3 / Urban</t>
        </is>
      </c>
      <c r="L46" s="23" t="n">
        <v>31229</v>
      </c>
      <c r="M46" s="24" t="n">
        <v>4.54</v>
      </c>
      <c r="N46" s="23">
        <f>ROUND(L46/M46, 0)</f>
        <v/>
      </c>
      <c r="O46" s="23">
        <f>ROUND(N46*'Methodology &amp; Assumptions'!$B$8, 0)</f>
        <v/>
      </c>
      <c r="P46" s="44" t="inlineStr">
        <is>
          <t>Band n50 (1.5 GHz, 60 MHz)</t>
        </is>
      </c>
      <c r="Q46" s="38">
        <f>ROUNDUP(O46/'Methodology &amp; Assumptions'!$B$9, 0)</f>
        <v/>
      </c>
      <c r="R46" s="39" t="n">
        <v>1</v>
      </c>
      <c r="S46" s="25" t="n">
        <v>1.19</v>
      </c>
      <c r="T46" s="25" t="n">
        <v>0.23</v>
      </c>
      <c r="U46" s="42" t="inlineStr">
        <is>
          <t>Tier 1B (Micro Drop, 1-3 km)</t>
        </is>
      </c>
      <c r="V46" s="24" t="n">
        <v>77.2</v>
      </c>
      <c r="W46" s="24" t="n">
        <v>99.7</v>
      </c>
      <c r="X46" s="24" t="n">
        <v>28</v>
      </c>
      <c r="Y46" s="45">
        <f>ROUND((V46*'Methodology &amp; Assumptions'!$B$6)+(W46*'Methodology &amp; Assumptions'!$B$5)+(X46*'Methodology &amp; Assumptions'!$B$7), 2)</f>
        <v/>
      </c>
    </row>
    <row r="47" ht="19" customHeight="1">
      <c r="A47" s="35" t="n">
        <v>43</v>
      </c>
      <c r="B47" s="35" t="n">
        <v>2043</v>
      </c>
      <c r="C47" s="36" t="inlineStr">
        <is>
          <t>0403425028</t>
        </is>
      </c>
      <c r="D47" s="36" t="inlineStr">
        <is>
          <t>Region IV-A (CALABARZON)</t>
        </is>
      </c>
      <c r="E47" s="36" t="inlineStr">
        <is>
          <t>Laguna</t>
        </is>
      </c>
      <c r="F47" s="36" t="inlineStr">
        <is>
          <t>City of San Pedro</t>
        </is>
      </c>
      <c r="G47" s="36" t="inlineStr">
        <is>
          <t>Rosario</t>
        </is>
      </c>
      <c r="H47" s="37" t="n">
        <v>14.336889</v>
      </c>
      <c r="I47" s="37" t="n">
        <v>121.048306</v>
      </c>
      <c r="J47" s="8" t="inlineStr">
        <is>
          <t>U</t>
        </is>
      </c>
      <c r="K47" s="36" t="inlineStr">
        <is>
          <t>Class 1-3 / Urban</t>
        </is>
      </c>
      <c r="L47" s="18" t="n">
        <v>5911</v>
      </c>
      <c r="M47" s="20" t="n">
        <v>4.2</v>
      </c>
      <c r="N47" s="18">
        <f>ROUND(L47/M47, 0)</f>
        <v/>
      </c>
      <c r="O47" s="18">
        <f>ROUND(N47*'Methodology &amp; Assumptions'!$B$8, 0)</f>
        <v/>
      </c>
      <c r="P47" s="8" t="inlineStr">
        <is>
          <t>Band n50 (1.5 GHz, 60 MHz)</t>
        </is>
      </c>
      <c r="Q47" s="38">
        <f>ROUNDUP(O47/'Methodology &amp; Assumptions'!$B$9, 0)</f>
        <v/>
      </c>
      <c r="R47" s="39" t="n">
        <v>1</v>
      </c>
      <c r="S47" s="21" t="n">
        <v>1.21</v>
      </c>
      <c r="T47" s="21" t="n">
        <v>0.88</v>
      </c>
      <c r="U47" s="36" t="inlineStr">
        <is>
          <t>Tier 1B (Micro Drop, 1-3 km)</t>
        </is>
      </c>
      <c r="V47" s="20" t="n">
        <v>76.8</v>
      </c>
      <c r="W47" s="20" t="n">
        <v>100</v>
      </c>
      <c r="X47" s="20" t="n">
        <v>28</v>
      </c>
      <c r="Y47" s="40">
        <f>ROUND((V47*'Methodology &amp; Assumptions'!$B$6)+(W47*'Methodology &amp; Assumptions'!$B$5)+(X47*'Methodology &amp; Assumptions'!$B$7), 2)</f>
        <v/>
      </c>
    </row>
    <row r="48" ht="19" customHeight="1">
      <c r="A48" s="41" t="n">
        <v>44</v>
      </c>
      <c r="B48" s="41" t="n">
        <v>2044</v>
      </c>
      <c r="C48" s="42" t="inlineStr">
        <is>
          <t>0501703027</t>
        </is>
      </c>
      <c r="D48" s="42" t="inlineStr">
        <is>
          <t>Region V (Bicol Region)</t>
        </is>
      </c>
      <c r="E48" s="42" t="inlineStr">
        <is>
          <t>Camarines Sur</t>
        </is>
      </c>
      <c r="F48" s="42" t="inlineStr">
        <is>
          <t>Bato</t>
        </is>
      </c>
      <c r="G48" s="42" t="inlineStr">
        <is>
          <t>San Miguel</t>
        </is>
      </c>
      <c r="H48" s="43" t="n">
        <v>13.34825</v>
      </c>
      <c r="I48" s="43" t="n">
        <v>123.384953</v>
      </c>
      <c r="J48" s="44" t="inlineStr">
        <is>
          <t>R</t>
        </is>
      </c>
      <c r="K48" s="42" t="inlineStr">
        <is>
          <t>Class 1-3 / Urban</t>
        </is>
      </c>
      <c r="L48" s="23" t="n">
        <v>4389</v>
      </c>
      <c r="M48" s="24" t="n">
        <v>4.9</v>
      </c>
      <c r="N48" s="23">
        <f>ROUND(L48/M48, 0)</f>
        <v/>
      </c>
      <c r="O48" s="23">
        <f>ROUND(N48*'Methodology &amp; Assumptions'!$B$8, 0)</f>
        <v/>
      </c>
      <c r="P48" s="44" t="inlineStr">
        <is>
          <t>Band n50 (1.5 GHz, 60 MHz)</t>
        </is>
      </c>
      <c r="Q48" s="38">
        <f>ROUNDUP(O48/'Methodology &amp; Assumptions'!$B$9, 0)</f>
        <v/>
      </c>
      <c r="R48" s="39" t="n">
        <v>1</v>
      </c>
      <c r="S48" s="25" t="n">
        <v>2.37</v>
      </c>
      <c r="T48" s="25" t="n">
        <v>0.17</v>
      </c>
      <c r="U48" s="42" t="inlineStr">
        <is>
          <t>Tier 1B (Micro Drop, 1-3 km)</t>
        </is>
      </c>
      <c r="V48" s="24" t="n">
        <v>55.4</v>
      </c>
      <c r="W48" s="24" t="n">
        <v>95.7</v>
      </c>
      <c r="X48" s="24" t="n">
        <v>58</v>
      </c>
      <c r="Y48" s="45">
        <f>ROUND((V48*'Methodology &amp; Assumptions'!$B$6)+(W48*'Methodology &amp; Assumptions'!$B$5)+(X48*'Methodology &amp; Assumptions'!$B$7), 2)</f>
        <v/>
      </c>
    </row>
    <row r="49" ht="19" customHeight="1">
      <c r="A49" s="35" t="n">
        <v>45</v>
      </c>
      <c r="B49" s="35" t="n">
        <v>2045</v>
      </c>
      <c r="C49" s="36" t="inlineStr">
        <is>
          <t>0702219020</t>
        </is>
      </c>
      <c r="D49" s="36" t="inlineStr">
        <is>
          <t>Region VII (Central Visayas)</t>
        </is>
      </c>
      <c r="E49" s="36" t="inlineStr">
        <is>
          <t>Cebu</t>
        </is>
      </c>
      <c r="F49" s="36" t="inlineStr">
        <is>
          <t>Consolacion</t>
        </is>
      </c>
      <c r="G49" s="36" t="inlineStr">
        <is>
          <t>Tolotolo</t>
        </is>
      </c>
      <c r="H49" s="37" t="n">
        <v>10.392254</v>
      </c>
      <c r="I49" s="37" t="n">
        <v>123.942494</v>
      </c>
      <c r="J49" s="8" t="inlineStr">
        <is>
          <t>R</t>
        </is>
      </c>
      <c r="K49" s="36" t="inlineStr">
        <is>
          <t>Class 1-3 / Urban</t>
        </is>
      </c>
      <c r="L49" s="18" t="n">
        <v>4072</v>
      </c>
      <c r="M49" s="20" t="n">
        <v>4.42</v>
      </c>
      <c r="N49" s="18">
        <f>ROUND(L49/M49, 0)</f>
        <v/>
      </c>
      <c r="O49" s="18">
        <f>ROUND(N49*'Methodology &amp; Assumptions'!$B$8, 0)</f>
        <v/>
      </c>
      <c r="P49" s="8" t="inlineStr">
        <is>
          <t>Band n50 (1.5 GHz, 60 MHz)</t>
        </is>
      </c>
      <c r="Q49" s="38">
        <f>ROUNDUP(O49/'Methodology &amp; Assumptions'!$B$9, 0)</f>
        <v/>
      </c>
      <c r="R49" s="39" t="n">
        <v>1</v>
      </c>
      <c r="S49" s="21" t="n">
        <v>2.5</v>
      </c>
      <c r="T49" s="21" t="n">
        <v>1.32</v>
      </c>
      <c r="U49" s="36" t="inlineStr">
        <is>
          <t>Tier 1B (Micro Drop, 1-3 km)</t>
        </is>
      </c>
      <c r="V49" s="20" t="n">
        <v>53.5</v>
      </c>
      <c r="W49" s="20" t="n">
        <v>97.59999999999999</v>
      </c>
      <c r="X49" s="20" t="n">
        <v>58</v>
      </c>
      <c r="Y49" s="40">
        <f>ROUND((V49*'Methodology &amp; Assumptions'!$B$6)+(W49*'Methodology &amp; Assumptions'!$B$5)+(X49*'Methodology &amp; Assumptions'!$B$7), 2)</f>
        <v/>
      </c>
    </row>
    <row r="50" ht="19" customHeight="1">
      <c r="A50" s="41" t="n">
        <v>46</v>
      </c>
      <c r="B50" s="41" t="n">
        <v>2046</v>
      </c>
      <c r="C50" s="42" t="inlineStr">
        <is>
          <t>0704623012</t>
        </is>
      </c>
      <c r="D50" s="42" t="inlineStr">
        <is>
          <t>Region VII (Central Visayas)</t>
        </is>
      </c>
      <c r="E50" s="42" t="inlineStr">
        <is>
          <t>Negros Oriental</t>
        </is>
      </c>
      <c r="F50" s="42" t="inlineStr">
        <is>
          <t>Valencia</t>
        </is>
      </c>
      <c r="G50" s="42" t="inlineStr">
        <is>
          <t>Jawa</t>
        </is>
      </c>
      <c r="H50" s="43" t="n">
        <v>9.275747000000001</v>
      </c>
      <c r="I50" s="43" t="n">
        <v>123.2393</v>
      </c>
      <c r="J50" s="44" t="inlineStr">
        <is>
          <t>R</t>
        </is>
      </c>
      <c r="K50" s="42" t="inlineStr">
        <is>
          <t>Class 1-3 / Urban</t>
        </is>
      </c>
      <c r="L50" s="23" t="n">
        <v>2639</v>
      </c>
      <c r="M50" s="24" t="n">
        <v>4.33</v>
      </c>
      <c r="N50" s="23">
        <f>ROUND(L50/M50, 0)</f>
        <v/>
      </c>
      <c r="O50" s="23">
        <f>ROUND(N50*'Methodology &amp; Assumptions'!$B$8, 0)</f>
        <v/>
      </c>
      <c r="P50" s="44" t="inlineStr">
        <is>
          <t>Band n50 (1.5 GHz, 60 MHz)</t>
        </is>
      </c>
      <c r="Q50" s="38">
        <f>ROUNDUP(O50/'Methodology &amp; Assumptions'!$B$9, 0)</f>
        <v/>
      </c>
      <c r="R50" s="39" t="n">
        <v>1</v>
      </c>
      <c r="S50" s="25" t="n">
        <v>0.73</v>
      </c>
      <c r="T50" s="25" t="n">
        <v>5.87</v>
      </c>
      <c r="U50" s="42" t="inlineStr">
        <is>
          <t>Tier 1A (Direct Coloc, &lt;1 km)</t>
        </is>
      </c>
      <c r="V50" s="24" t="n">
        <v>78.3</v>
      </c>
      <c r="W50" s="24" t="n">
        <v>72.8</v>
      </c>
      <c r="X50" s="24" t="n">
        <v>58</v>
      </c>
      <c r="Y50" s="45">
        <f>ROUND((V50*'Methodology &amp; Assumptions'!$B$6)+(W50*'Methodology &amp; Assumptions'!$B$5)+(X50*'Methodology &amp; Assumptions'!$B$7), 2)</f>
        <v/>
      </c>
    </row>
    <row r="51" ht="19" customHeight="1">
      <c r="A51" s="35" t="n">
        <v>47</v>
      </c>
      <c r="B51" s="35" t="n">
        <v>2047</v>
      </c>
      <c r="C51" s="36" t="inlineStr">
        <is>
          <t>1606724041</t>
        </is>
      </c>
      <c r="D51" s="36" t="inlineStr">
        <is>
          <t>Region XIII (Caraga)</t>
        </is>
      </c>
      <c r="E51" s="36" t="inlineStr">
        <is>
          <t>Surigao del Norte</t>
        </is>
      </c>
      <c r="F51" s="36" t="inlineStr">
        <is>
          <t>City of Surigao</t>
        </is>
      </c>
      <c r="G51" s="36" t="inlineStr">
        <is>
          <t>San Juan</t>
        </is>
      </c>
      <c r="H51" s="37" t="n">
        <v>9.791974</v>
      </c>
      <c r="I51" s="37" t="n">
        <v>125.484517</v>
      </c>
      <c r="J51" s="8" t="inlineStr">
        <is>
          <t>U</t>
        </is>
      </c>
      <c r="K51" s="36" t="inlineStr">
        <is>
          <t>Class 1-3 / Urban</t>
        </is>
      </c>
      <c r="L51" s="18" t="n">
        <v>16565</v>
      </c>
      <c r="M51" s="20" t="n">
        <v>4.5</v>
      </c>
      <c r="N51" s="18">
        <f>ROUND(L51/M51, 0)</f>
        <v/>
      </c>
      <c r="O51" s="18">
        <f>ROUND(N51*'Methodology &amp; Assumptions'!$B$8, 0)</f>
        <v/>
      </c>
      <c r="P51" s="8" t="inlineStr">
        <is>
          <t>Band n50 (1.5 GHz, 60 MHz)</t>
        </is>
      </c>
      <c r="Q51" s="38">
        <f>ROUNDUP(O51/'Methodology &amp; Assumptions'!$B$9, 0)</f>
        <v/>
      </c>
      <c r="R51" s="39" t="n">
        <v>1</v>
      </c>
      <c r="S51" s="21" t="n">
        <v>1.21</v>
      </c>
      <c r="T51" s="21" t="n">
        <v>1.01</v>
      </c>
      <c r="U51" s="36" t="inlineStr">
        <is>
          <t>Tier 1B (Micro Drop, 1-3 km)</t>
        </is>
      </c>
      <c r="V51" s="20" t="n">
        <v>76.8</v>
      </c>
      <c r="W51" s="20" t="n">
        <v>100</v>
      </c>
      <c r="X51" s="20" t="n">
        <v>28</v>
      </c>
      <c r="Y51" s="40">
        <f>ROUND((V51*'Methodology &amp; Assumptions'!$B$6)+(W51*'Methodology &amp; Assumptions'!$B$5)+(X51*'Methodology &amp; Assumptions'!$B$7), 2)</f>
        <v/>
      </c>
    </row>
    <row r="52" ht="19" customHeight="1">
      <c r="A52" s="41" t="n">
        <v>48</v>
      </c>
      <c r="B52" s="41" t="n">
        <v>2048</v>
      </c>
      <c r="C52" s="42" t="inlineStr">
        <is>
          <t>0604502020</t>
        </is>
      </c>
      <c r="D52" s="42" t="inlineStr">
        <is>
          <t>Region VI (Western Visayas)</t>
        </is>
      </c>
      <c r="E52" s="42" t="inlineStr">
        <is>
          <t>Negros Occidental</t>
        </is>
      </c>
      <c r="F52" s="42" t="inlineStr">
        <is>
          <t>City of Bago</t>
        </is>
      </c>
      <c r="G52" s="42" t="inlineStr">
        <is>
          <t>Poblacion</t>
        </is>
      </c>
      <c r="H52" s="43" t="n">
        <v>10.539343</v>
      </c>
      <c r="I52" s="43" t="n">
        <v>122.836679</v>
      </c>
      <c r="J52" s="44" t="inlineStr">
        <is>
          <t>U</t>
        </is>
      </c>
      <c r="K52" s="42" t="inlineStr">
        <is>
          <t>Class 1-3 / Urban</t>
        </is>
      </c>
      <c r="L52" s="23" t="n">
        <v>11511</v>
      </c>
      <c r="M52" s="24" t="n">
        <v>4.33</v>
      </c>
      <c r="N52" s="23">
        <f>ROUND(L52/M52, 0)</f>
        <v/>
      </c>
      <c r="O52" s="23">
        <f>ROUND(N52*'Methodology &amp; Assumptions'!$B$8, 0)</f>
        <v/>
      </c>
      <c r="P52" s="44" t="inlineStr">
        <is>
          <t>Band n50 (1.5 GHz, 60 MHz)</t>
        </is>
      </c>
      <c r="Q52" s="38">
        <f>ROUNDUP(O52/'Methodology &amp; Assumptions'!$B$9, 0)</f>
        <v/>
      </c>
      <c r="R52" s="39" t="n">
        <v>1</v>
      </c>
      <c r="S52" s="25" t="n">
        <v>1.21</v>
      </c>
      <c r="T52" s="25" t="n">
        <v>1.15</v>
      </c>
      <c r="U52" s="42" t="inlineStr">
        <is>
          <t>Tier 1B (Micro Drop, 1-3 km)</t>
        </is>
      </c>
      <c r="V52" s="24" t="n">
        <v>76.8</v>
      </c>
      <c r="W52" s="24" t="n">
        <v>100</v>
      </c>
      <c r="X52" s="24" t="n">
        <v>28</v>
      </c>
      <c r="Y52" s="45">
        <f>ROUND((V52*'Methodology &amp; Assumptions'!$B$6)+(W52*'Methodology &amp; Assumptions'!$B$5)+(X52*'Methodology &amp; Assumptions'!$B$7), 2)</f>
        <v/>
      </c>
    </row>
    <row r="53" ht="19" customHeight="1">
      <c r="A53" s="35" t="n">
        <v>49</v>
      </c>
      <c r="B53" s="35" t="n">
        <v>2049</v>
      </c>
      <c r="C53" s="36" t="inlineStr">
        <is>
          <t>0203114102</t>
        </is>
      </c>
      <c r="D53" s="36" t="inlineStr">
        <is>
          <t>Region II (Cagayan Valley)</t>
        </is>
      </c>
      <c r="E53" s="36" t="inlineStr">
        <is>
          <t>Isabela</t>
        </is>
      </c>
      <c r="F53" s="36" t="inlineStr">
        <is>
          <t>City of Ilagan</t>
        </is>
      </c>
      <c r="G53" s="36" t="inlineStr">
        <is>
          <t>Imelda Bliss Village</t>
        </is>
      </c>
      <c r="H53" s="37" t="n">
        <v>17.118539</v>
      </c>
      <c r="I53" s="37" t="n">
        <v>121.874357</v>
      </c>
      <c r="J53" s="8" t="inlineStr">
        <is>
          <t>U</t>
        </is>
      </c>
      <c r="K53" s="36" t="inlineStr">
        <is>
          <t>Class 1-3 / Urban</t>
        </is>
      </c>
      <c r="L53" s="18" t="n">
        <v>7951</v>
      </c>
      <c r="M53" s="20" t="n">
        <v>4.3</v>
      </c>
      <c r="N53" s="18">
        <f>ROUND(L53/M53, 0)</f>
        <v/>
      </c>
      <c r="O53" s="18">
        <f>ROUND(N53*'Methodology &amp; Assumptions'!$B$8, 0)</f>
        <v/>
      </c>
      <c r="P53" s="8" t="inlineStr">
        <is>
          <t>Band n50 (1.5 GHz, 60 MHz)</t>
        </is>
      </c>
      <c r="Q53" s="38">
        <f>ROUNDUP(O53/'Methodology &amp; Assumptions'!$B$9, 0)</f>
        <v/>
      </c>
      <c r="R53" s="39" t="n">
        <v>1</v>
      </c>
      <c r="S53" s="21" t="n">
        <v>1.21</v>
      </c>
      <c r="T53" s="21" t="n">
        <v>0.71</v>
      </c>
      <c r="U53" s="36" t="inlineStr">
        <is>
          <t>Tier 1B (Micro Drop, 1-3 km)</t>
        </is>
      </c>
      <c r="V53" s="20" t="n">
        <v>76.8</v>
      </c>
      <c r="W53" s="20" t="n">
        <v>100</v>
      </c>
      <c r="X53" s="20" t="n">
        <v>28</v>
      </c>
      <c r="Y53" s="40">
        <f>ROUND((V53*'Methodology &amp; Assumptions'!$B$6)+(W53*'Methodology &amp; Assumptions'!$B$5)+(X53*'Methodology &amp; Assumptions'!$B$7), 2)</f>
        <v/>
      </c>
    </row>
    <row r="54" ht="19" customHeight="1">
      <c r="A54" s="41" t="n">
        <v>50</v>
      </c>
      <c r="B54" s="41" t="n">
        <v>2050</v>
      </c>
      <c r="C54" s="42" t="inlineStr">
        <is>
          <t>0301416012</t>
        </is>
      </c>
      <c r="D54" s="42" t="inlineStr">
        <is>
          <t>Region III (Central Luzon)</t>
        </is>
      </c>
      <c r="E54" s="42" t="inlineStr">
        <is>
          <t>Bulacan</t>
        </is>
      </c>
      <c r="F54" s="42" t="inlineStr">
        <is>
          <t>Paombong</t>
        </is>
      </c>
      <c r="G54" s="42" t="inlineStr">
        <is>
          <t>San Roque</t>
        </is>
      </c>
      <c r="H54" s="43" t="n">
        <v>14.831026</v>
      </c>
      <c r="I54" s="43" t="n">
        <v>120.787225</v>
      </c>
      <c r="J54" s="44" t="inlineStr">
        <is>
          <t>R</t>
        </is>
      </c>
      <c r="K54" s="42" t="inlineStr">
        <is>
          <t>Class 1-3 / Urban</t>
        </is>
      </c>
      <c r="L54" s="23" t="n">
        <v>4810</v>
      </c>
      <c r="M54" s="24" t="n">
        <v>4.1</v>
      </c>
      <c r="N54" s="23">
        <f>ROUND(L54/M54, 0)</f>
        <v/>
      </c>
      <c r="O54" s="23">
        <f>ROUND(N54*'Methodology &amp; Assumptions'!$B$8, 0)</f>
        <v/>
      </c>
      <c r="P54" s="44" t="inlineStr">
        <is>
          <t>Band n50 (1.5 GHz, 60 MHz)</t>
        </is>
      </c>
      <c r="Q54" s="38">
        <f>ROUNDUP(O54/'Methodology &amp; Assumptions'!$B$9, 0)</f>
        <v/>
      </c>
      <c r="R54" s="39" t="n">
        <v>1</v>
      </c>
      <c r="S54" s="25" t="n">
        <v>2.89</v>
      </c>
      <c r="T54" s="25" t="n">
        <v>3.82</v>
      </c>
      <c r="U54" s="42" t="inlineStr">
        <is>
          <t>Tier 1B (Micro Drop, 1-3 km)</t>
        </is>
      </c>
      <c r="V54" s="24" t="n">
        <v>38.2</v>
      </c>
      <c r="W54" s="24" t="n">
        <v>100</v>
      </c>
      <c r="X54" s="24" t="n">
        <v>73</v>
      </c>
      <c r="Y54" s="45">
        <f>ROUND((V54*'Methodology &amp; Assumptions'!$B$6)+(W54*'Methodology &amp; Assumptions'!$B$5)+(X54*'Methodology &amp; Assumptions'!$B$7), 2)</f>
        <v/>
      </c>
    </row>
    <row r="55" ht="19" customHeight="1">
      <c r="A55" s="35" t="n">
        <v>51</v>
      </c>
      <c r="B55" s="35" t="n">
        <v>2051</v>
      </c>
      <c r="C55" s="36" t="inlineStr">
        <is>
          <t>1004307016</t>
        </is>
      </c>
      <c r="D55" s="36" t="inlineStr">
        <is>
          <t>Region X (Northern Mindanao)</t>
        </is>
      </c>
      <c r="E55" s="36" t="inlineStr">
        <is>
          <t>Misamis Oriental</t>
        </is>
      </c>
      <c r="F55" s="36" t="inlineStr">
        <is>
          <t>City of El Salvador</t>
        </is>
      </c>
      <c r="G55" s="36" t="inlineStr">
        <is>
          <t>Taytay</t>
        </is>
      </c>
      <c r="H55" s="37" t="n">
        <v>8.539885</v>
      </c>
      <c r="I55" s="37" t="n">
        <v>124.541124</v>
      </c>
      <c r="J55" s="8" t="inlineStr">
        <is>
          <t>R</t>
        </is>
      </c>
      <c r="K55" s="36" t="inlineStr">
        <is>
          <t>Class 1-3 / Urban</t>
        </is>
      </c>
      <c r="L55" s="18" t="n">
        <v>4310</v>
      </c>
      <c r="M55" s="20" t="n">
        <v>4.54</v>
      </c>
      <c r="N55" s="18">
        <f>ROUND(L55/M55, 0)</f>
        <v/>
      </c>
      <c r="O55" s="18">
        <f>ROUND(N55*'Methodology &amp; Assumptions'!$B$8, 0)</f>
        <v/>
      </c>
      <c r="P55" s="8" t="inlineStr">
        <is>
          <t>Band n50 (1.5 GHz, 60 MHz)</t>
        </is>
      </c>
      <c r="Q55" s="38">
        <f>ROUNDUP(O55/'Methodology &amp; Assumptions'!$B$9, 0)</f>
        <v/>
      </c>
      <c r="R55" s="39" t="n">
        <v>1</v>
      </c>
      <c r="S55" s="21" t="n">
        <v>2.67</v>
      </c>
      <c r="T55" s="21" t="n">
        <v>0.16</v>
      </c>
      <c r="U55" s="36" t="inlineStr">
        <is>
          <t>Tier 1B (Micro Drop, 1-3 km)</t>
        </is>
      </c>
      <c r="V55" s="20" t="n">
        <v>51.1</v>
      </c>
      <c r="W55" s="20" t="n">
        <v>100</v>
      </c>
      <c r="X55" s="20" t="n">
        <v>58</v>
      </c>
      <c r="Y55" s="40">
        <f>ROUND((V55*'Methodology &amp; Assumptions'!$B$6)+(W55*'Methodology &amp; Assumptions'!$B$5)+(X55*'Methodology &amp; Assumptions'!$B$7), 2)</f>
        <v/>
      </c>
    </row>
    <row r="56" ht="19" customHeight="1">
      <c r="A56" s="41" t="n">
        <v>52</v>
      </c>
      <c r="B56" s="41" t="n">
        <v>2052</v>
      </c>
      <c r="C56" s="42" t="inlineStr">
        <is>
          <t>0501731012</t>
        </is>
      </c>
      <c r="D56" s="42" t="inlineStr">
        <is>
          <t>Region V (Bicol Region)</t>
        </is>
      </c>
      <c r="E56" s="42" t="inlineStr">
        <is>
          <t>Camarines Sur</t>
        </is>
      </c>
      <c r="F56" s="42" t="inlineStr">
        <is>
          <t>Sagñay</t>
        </is>
      </c>
      <c r="G56" s="42" t="inlineStr">
        <is>
          <t>Nato</t>
        </is>
      </c>
      <c r="H56" s="43" t="n">
        <v>13.605216</v>
      </c>
      <c r="I56" s="43" t="n">
        <v>123.539467</v>
      </c>
      <c r="J56" s="44" t="inlineStr">
        <is>
          <t>R</t>
        </is>
      </c>
      <c r="K56" s="42" t="inlineStr">
        <is>
          <t>2nd</t>
        </is>
      </c>
      <c r="L56" s="23" t="n">
        <v>4081</v>
      </c>
      <c r="M56" s="24" t="n">
        <v>4.94</v>
      </c>
      <c r="N56" s="23">
        <f>ROUND(L56/M56, 0)</f>
        <v/>
      </c>
      <c r="O56" s="23">
        <f>ROUND(N56*'Methodology &amp; Assumptions'!$B$8, 0)</f>
        <v/>
      </c>
      <c r="P56" s="44" t="inlineStr">
        <is>
          <t>Band n50 (1.5 GHz, 60 MHz)</t>
        </is>
      </c>
      <c r="Q56" s="38">
        <f>ROUNDUP(O56/'Methodology &amp; Assumptions'!$B$9, 0)</f>
        <v/>
      </c>
      <c r="R56" s="39" t="n">
        <v>1</v>
      </c>
      <c r="S56" s="25" t="n">
        <v>2.02</v>
      </c>
      <c r="T56" s="25" t="n">
        <v>0.47</v>
      </c>
      <c r="U56" s="42" t="inlineStr">
        <is>
          <t>Tier 1B (Micro Drop, 1-3 km)</t>
        </is>
      </c>
      <c r="V56" s="24" t="n">
        <v>61</v>
      </c>
      <c r="W56" s="24" t="n">
        <v>90.09999999999999</v>
      </c>
      <c r="X56" s="24" t="n">
        <v>58</v>
      </c>
      <c r="Y56" s="45">
        <f>ROUND((V56*'Methodology &amp; Assumptions'!$B$6)+(W56*'Methodology &amp; Assumptions'!$B$5)+(X56*'Methodology &amp; Assumptions'!$B$7), 2)</f>
        <v/>
      </c>
    </row>
    <row r="57" ht="19" customHeight="1">
      <c r="A57" s="35" t="n">
        <v>53</v>
      </c>
      <c r="B57" s="35" t="n">
        <v>2053</v>
      </c>
      <c r="C57" s="36" t="inlineStr">
        <is>
          <t>0501723006</t>
        </is>
      </c>
      <c r="D57" s="36" t="inlineStr">
        <is>
          <t>Region V (Bicol Region)</t>
        </is>
      </c>
      <c r="E57" s="36" t="inlineStr">
        <is>
          <t>Camarines Sur</t>
        </is>
      </c>
      <c r="F57" s="36" t="inlineStr">
        <is>
          <t>Nabua</t>
        </is>
      </c>
      <c r="G57" s="36" t="inlineStr">
        <is>
          <t>Inapatan</t>
        </is>
      </c>
      <c r="H57" s="37" t="n">
        <v>13.398196</v>
      </c>
      <c r="I57" s="37" t="n">
        <v>123.31726</v>
      </c>
      <c r="J57" s="8" t="inlineStr">
        <is>
          <t>R</t>
        </is>
      </c>
      <c r="K57" s="36" t="inlineStr">
        <is>
          <t>Class 1-3 / Urban</t>
        </is>
      </c>
      <c r="L57" s="18" t="n">
        <v>2949</v>
      </c>
      <c r="M57" s="20" t="n">
        <v>4.9</v>
      </c>
      <c r="N57" s="18">
        <f>ROUND(L57/M57, 0)</f>
        <v/>
      </c>
      <c r="O57" s="18">
        <f>ROUND(N57*'Methodology &amp; Assumptions'!$B$8, 0)</f>
        <v/>
      </c>
      <c r="P57" s="8" t="inlineStr">
        <is>
          <t>Band n50 (1.5 GHz, 60 MHz)</t>
        </is>
      </c>
      <c r="Q57" s="38">
        <f>ROUNDUP(O57/'Methodology &amp; Assumptions'!$B$9, 0)</f>
        <v/>
      </c>
      <c r="R57" s="39" t="n">
        <v>1</v>
      </c>
      <c r="S57" s="21" t="n">
        <v>0.71</v>
      </c>
      <c r="T57" s="21" t="n">
        <v>6.08</v>
      </c>
      <c r="U57" s="36" t="inlineStr">
        <is>
          <t>Tier 1A (Direct Coloc, &lt;1 km)</t>
        </is>
      </c>
      <c r="V57" s="20" t="n">
        <v>78.8</v>
      </c>
      <c r="W57" s="20" t="n">
        <v>72.3</v>
      </c>
      <c r="X57" s="20" t="n">
        <v>58</v>
      </c>
      <c r="Y57" s="40">
        <f>ROUND((V57*'Methodology &amp; Assumptions'!$B$6)+(W57*'Methodology &amp; Assumptions'!$B$5)+(X57*'Methodology &amp; Assumptions'!$B$7), 2)</f>
        <v/>
      </c>
    </row>
    <row r="58" ht="19" customHeight="1">
      <c r="A58" s="41" t="n">
        <v>54</v>
      </c>
      <c r="B58" s="41" t="n">
        <v>2054</v>
      </c>
      <c r="C58" s="42" t="inlineStr">
        <is>
          <t>0506203065</t>
        </is>
      </c>
      <c r="D58" s="42" t="inlineStr">
        <is>
          <t>Region V (Bicol Region)</t>
        </is>
      </c>
      <c r="E58" s="42" t="inlineStr">
        <is>
          <t>Sorsogon</t>
        </is>
      </c>
      <c r="F58" s="42" t="inlineStr">
        <is>
          <t>Bulan</t>
        </is>
      </c>
      <c r="G58" s="42" t="inlineStr">
        <is>
          <t>Zone VIII Pob.</t>
        </is>
      </c>
      <c r="H58" s="43" t="n">
        <v>12.666319</v>
      </c>
      <c r="I58" s="43" t="n">
        <v>123.878368</v>
      </c>
      <c r="J58" s="44" t="inlineStr">
        <is>
          <t>R</t>
        </is>
      </c>
      <c r="K58" s="42" t="inlineStr">
        <is>
          <t>Class 1-3 / Urban</t>
        </is>
      </c>
      <c r="L58" s="23" t="n">
        <v>2183</v>
      </c>
      <c r="M58" s="24" t="n">
        <v>4.58</v>
      </c>
      <c r="N58" s="23">
        <f>ROUND(L58/M58, 0)</f>
        <v/>
      </c>
      <c r="O58" s="23">
        <f>ROUND(N58*'Methodology &amp; Assumptions'!$B$8, 0)</f>
        <v/>
      </c>
      <c r="P58" s="44" t="inlineStr">
        <is>
          <t>Band n50 (1.5 GHz, 60 MHz)</t>
        </is>
      </c>
      <c r="Q58" s="38">
        <f>ROUNDUP(O58/'Methodology &amp; Assumptions'!$B$9, 0)</f>
        <v/>
      </c>
      <c r="R58" s="39" t="n">
        <v>1</v>
      </c>
      <c r="S58" s="25" t="n">
        <v>0.71</v>
      </c>
      <c r="T58" s="25" t="n">
        <v>0.31</v>
      </c>
      <c r="U58" s="42" t="inlineStr">
        <is>
          <t>Tier 1A (Direct Coloc, &lt;1 km)</t>
        </is>
      </c>
      <c r="V58" s="24" t="n">
        <v>89</v>
      </c>
      <c r="W58" s="24" t="n">
        <v>62.1</v>
      </c>
      <c r="X58" s="24" t="n">
        <v>58</v>
      </c>
      <c r="Y58" s="45">
        <f>ROUND((V58*'Methodology &amp; Assumptions'!$B$6)+(W58*'Methodology &amp; Assumptions'!$B$5)+(X58*'Methodology &amp; Assumptions'!$B$7), 2)</f>
        <v/>
      </c>
    </row>
    <row r="59" ht="19" customHeight="1">
      <c r="A59" s="35" t="n">
        <v>55</v>
      </c>
      <c r="B59" s="35" t="n">
        <v>2055</v>
      </c>
      <c r="C59" s="36" t="inlineStr">
        <is>
          <t>0403410008</t>
        </is>
      </c>
      <c r="D59" s="36" t="inlineStr">
        <is>
          <t>Region IV-A (CALABARZON)</t>
        </is>
      </c>
      <c r="E59" s="36" t="inlineStr">
        <is>
          <t>Laguna</t>
        </is>
      </c>
      <c r="F59" s="36" t="inlineStr">
        <is>
          <t>Liliw</t>
        </is>
      </c>
      <c r="G59" s="36" t="inlineStr">
        <is>
          <t>Calumpang</t>
        </is>
      </c>
      <c r="H59" s="37" t="n">
        <v>14.182375</v>
      </c>
      <c r="I59" s="37" t="n">
        <v>121.412361</v>
      </c>
      <c r="J59" s="8" t="inlineStr">
        <is>
          <t>R</t>
        </is>
      </c>
      <c r="K59" s="36" t="inlineStr">
        <is>
          <t>3rd</t>
        </is>
      </c>
      <c r="L59" s="18" t="n">
        <v>3729</v>
      </c>
      <c r="M59" s="20" t="n">
        <v>3.93</v>
      </c>
      <c r="N59" s="18">
        <f>ROUND(L59/M59, 0)</f>
        <v/>
      </c>
      <c r="O59" s="18">
        <f>ROUND(N59*'Methodology &amp; Assumptions'!$B$8, 0)</f>
        <v/>
      </c>
      <c r="P59" s="8" t="inlineStr">
        <is>
          <t>Band n50 (1.5 GHz, 60 MHz)</t>
        </is>
      </c>
      <c r="Q59" s="38">
        <f>ROUNDUP(O59/'Methodology &amp; Assumptions'!$B$9, 0)</f>
        <v/>
      </c>
      <c r="R59" s="39" t="n">
        <v>1</v>
      </c>
      <c r="S59" s="21" t="n">
        <v>2.67</v>
      </c>
      <c r="T59" s="21" t="n">
        <v>1.67</v>
      </c>
      <c r="U59" s="36" t="inlineStr">
        <is>
          <t>Tier 1B (Micro Drop, 1-3 km)</t>
        </is>
      </c>
      <c r="V59" s="20" t="n">
        <v>51.1</v>
      </c>
      <c r="W59" s="20" t="n">
        <v>100</v>
      </c>
      <c r="X59" s="20" t="n">
        <v>58</v>
      </c>
      <c r="Y59" s="40">
        <f>ROUND((V59*'Methodology &amp; Assumptions'!$B$6)+(W59*'Methodology &amp; Assumptions'!$B$5)+(X59*'Methodology &amp; Assumptions'!$B$7), 2)</f>
        <v/>
      </c>
    </row>
    <row r="60" ht="19" customHeight="1">
      <c r="A60" s="41" t="n">
        <v>56</v>
      </c>
      <c r="B60" s="41" t="n">
        <v>2056</v>
      </c>
      <c r="C60" s="42" t="inlineStr">
        <is>
          <t>0402106076</t>
        </is>
      </c>
      <c r="D60" s="42" t="inlineStr">
        <is>
          <t>Region IV-A (CALABARZON)</t>
        </is>
      </c>
      <c r="E60" s="42" t="inlineStr">
        <is>
          <t>Cavite</t>
        </is>
      </c>
      <c r="F60" s="42" t="inlineStr">
        <is>
          <t>City of Dasmariñas</t>
        </is>
      </c>
      <c r="G60" s="42" t="inlineStr">
        <is>
          <t>Santa Cristina II</t>
        </is>
      </c>
      <c r="H60" s="43" t="n">
        <v>14.32417</v>
      </c>
      <c r="I60" s="43" t="n">
        <v>120.966583</v>
      </c>
      <c r="J60" s="44" t="inlineStr">
        <is>
          <t>R</t>
        </is>
      </c>
      <c r="K60" s="42" t="inlineStr">
        <is>
          <t>Class 1-3 / Urban</t>
        </is>
      </c>
      <c r="L60" s="23" t="n">
        <v>3505</v>
      </c>
      <c r="M60" s="24" t="n">
        <v>4.49</v>
      </c>
      <c r="N60" s="23">
        <f>ROUND(L60/M60, 0)</f>
        <v/>
      </c>
      <c r="O60" s="23">
        <f>ROUND(N60*'Methodology &amp; Assumptions'!$B$8, 0)</f>
        <v/>
      </c>
      <c r="P60" s="44" t="inlineStr">
        <is>
          <t>Band n50 (1.5 GHz, 60 MHz)</t>
        </is>
      </c>
      <c r="Q60" s="38">
        <f>ROUNDUP(O60/'Methodology &amp; Assumptions'!$B$9, 0)</f>
        <v/>
      </c>
      <c r="R60" s="39" t="n">
        <v>1</v>
      </c>
      <c r="S60" s="25" t="n">
        <v>1.31</v>
      </c>
      <c r="T60" s="25" t="n">
        <v>2.86</v>
      </c>
      <c r="U60" s="42" t="inlineStr">
        <is>
          <t>Tier 1B (Micro Drop, 1-3 km)</t>
        </is>
      </c>
      <c r="V60" s="24" t="n">
        <v>64.7</v>
      </c>
      <c r="W60" s="24" t="n">
        <v>86.40000000000001</v>
      </c>
      <c r="X60" s="24" t="n">
        <v>58</v>
      </c>
      <c r="Y60" s="45">
        <f>ROUND((V60*'Methodology &amp; Assumptions'!$B$6)+(W60*'Methodology &amp; Assumptions'!$B$5)+(X60*'Methodology &amp; Assumptions'!$B$7), 2)</f>
        <v/>
      </c>
    </row>
    <row r="61" ht="19" customHeight="1">
      <c r="A61" s="35" t="n">
        <v>57</v>
      </c>
      <c r="B61" s="35" t="n">
        <v>2057</v>
      </c>
      <c r="C61" s="36" t="inlineStr">
        <is>
          <t>0401018001</t>
        </is>
      </c>
      <c r="D61" s="36" t="inlineStr">
        <is>
          <t>Region IV-A (CALABARZON)</t>
        </is>
      </c>
      <c r="E61" s="36" t="inlineStr">
        <is>
          <t>Batangas</t>
        </is>
      </c>
      <c r="F61" s="36" t="inlineStr">
        <is>
          <t>Mataasnakahoy</t>
        </is>
      </c>
      <c r="G61" s="36" t="inlineStr">
        <is>
          <t>District I</t>
        </is>
      </c>
      <c r="H61" s="37" t="n">
        <v>13.955252</v>
      </c>
      <c r="I61" s="37" t="n">
        <v>121.110175</v>
      </c>
      <c r="J61" s="8" t="inlineStr">
        <is>
          <t>R</t>
        </is>
      </c>
      <c r="K61" s="36" t="inlineStr">
        <is>
          <t>3rd</t>
        </is>
      </c>
      <c r="L61" s="18" t="n">
        <v>2351</v>
      </c>
      <c r="M61" s="20" t="n">
        <v>4.23</v>
      </c>
      <c r="N61" s="18">
        <f>ROUND(L61/M61, 0)</f>
        <v/>
      </c>
      <c r="O61" s="18">
        <f>ROUND(N61*'Methodology &amp; Assumptions'!$B$8, 0)</f>
        <v/>
      </c>
      <c r="P61" s="8" t="inlineStr">
        <is>
          <t>Band n50 (1.5 GHz, 60 MHz)</t>
        </is>
      </c>
      <c r="Q61" s="38">
        <f>ROUNDUP(O61/'Methodology &amp; Assumptions'!$B$9, 0)</f>
        <v/>
      </c>
      <c r="R61" s="39" t="n">
        <v>1</v>
      </c>
      <c r="S61" s="21" t="n">
        <v>0.58</v>
      </c>
      <c r="T61" s="21" t="n">
        <v>2.25</v>
      </c>
      <c r="U61" s="36" t="inlineStr">
        <is>
          <t>Tier 1A (Direct Coloc, &lt;1 km)</t>
        </is>
      </c>
      <c r="V61" s="20" t="n">
        <v>82.5</v>
      </c>
      <c r="W61" s="20" t="n">
        <v>68.5</v>
      </c>
      <c r="X61" s="20" t="n">
        <v>58</v>
      </c>
      <c r="Y61" s="40">
        <f>ROUND((V61*'Methodology &amp; Assumptions'!$B$6)+(W61*'Methodology &amp; Assumptions'!$B$5)+(X61*'Methodology &amp; Assumptions'!$B$7), 2)</f>
        <v/>
      </c>
    </row>
    <row r="62" ht="19" customHeight="1">
      <c r="A62" s="41" t="n">
        <v>58</v>
      </c>
      <c r="B62" s="41" t="n">
        <v>2058</v>
      </c>
      <c r="C62" s="42" t="inlineStr">
        <is>
          <t>0501720009</t>
        </is>
      </c>
      <c r="D62" s="42" t="inlineStr">
        <is>
          <t>Region V (Bicol Region)</t>
        </is>
      </c>
      <c r="E62" s="42" t="inlineStr">
        <is>
          <t>Camarines Sur</t>
        </is>
      </c>
      <c r="F62" s="42" t="inlineStr">
        <is>
          <t>Magarao</t>
        </is>
      </c>
      <c r="G62" s="42" t="inlineStr">
        <is>
          <t>San Isidro</t>
        </is>
      </c>
      <c r="H62" s="43" t="n">
        <v>13.660908</v>
      </c>
      <c r="I62" s="43" t="n">
        <v>123.190142</v>
      </c>
      <c r="J62" s="44" t="inlineStr">
        <is>
          <t>U</t>
        </is>
      </c>
      <c r="K62" s="42" t="inlineStr">
        <is>
          <t>4th</t>
        </is>
      </c>
      <c r="L62" s="23" t="n">
        <v>3111</v>
      </c>
      <c r="M62" s="24" t="n">
        <v>4.81</v>
      </c>
      <c r="N62" s="23">
        <f>ROUND(L62/M62, 0)</f>
        <v/>
      </c>
      <c r="O62" s="23">
        <f>ROUND(N62*'Methodology &amp; Assumptions'!$B$8, 0)</f>
        <v/>
      </c>
      <c r="P62" s="44" t="inlineStr">
        <is>
          <t>Band n50 (1.5 GHz, 60 MHz)</t>
        </is>
      </c>
      <c r="Q62" s="38">
        <f>ROUNDUP(O62/'Methodology &amp; Assumptions'!$B$9, 0)</f>
        <v/>
      </c>
      <c r="R62" s="39" t="n">
        <v>1</v>
      </c>
      <c r="S62" s="25" t="n">
        <v>1.11</v>
      </c>
      <c r="T62" s="25" t="n">
        <v>0.06</v>
      </c>
      <c r="U62" s="42" t="inlineStr">
        <is>
          <t>Tier 1B (Micro Drop, 1-3 km)</t>
        </is>
      </c>
      <c r="V62" s="24" t="n">
        <v>79.2</v>
      </c>
      <c r="W62" s="24" t="n">
        <v>75.7</v>
      </c>
      <c r="X62" s="24" t="n">
        <v>53.5</v>
      </c>
      <c r="Y62" s="45">
        <f>ROUND((V62*'Methodology &amp; Assumptions'!$B$6)+(W62*'Methodology &amp; Assumptions'!$B$5)+(X62*'Methodology &amp; Assumptions'!$B$7), 2)</f>
        <v/>
      </c>
    </row>
    <row r="63" ht="19" customHeight="1">
      <c r="A63" s="35" t="n">
        <v>59</v>
      </c>
      <c r="B63" s="35" t="n">
        <v>2059</v>
      </c>
      <c r="C63" s="36" t="inlineStr">
        <is>
          <t>0631000110</t>
        </is>
      </c>
      <c r="D63" s="36" t="inlineStr">
        <is>
          <t>Region VI (Western Visayas)</t>
        </is>
      </c>
      <c r="E63" s="36" t="inlineStr">
        <is>
          <t>Iloilo</t>
        </is>
      </c>
      <c r="F63" s="36" t="inlineStr">
        <is>
          <t>City of Iloilo</t>
        </is>
      </c>
      <c r="G63" s="36" t="inlineStr">
        <is>
          <t>Molo Boulevard</t>
        </is>
      </c>
      <c r="H63" s="37" t="n">
        <v>10.688861</v>
      </c>
      <c r="I63" s="37" t="n">
        <v>122.54974</v>
      </c>
      <c r="J63" s="8" t="inlineStr">
        <is>
          <t>U</t>
        </is>
      </c>
      <c r="K63" s="36" t="inlineStr">
        <is>
          <t>Class 1-3 / Urban</t>
        </is>
      </c>
      <c r="L63" s="18" t="n">
        <v>8162</v>
      </c>
      <c r="M63" s="20" t="n">
        <v>4.39</v>
      </c>
      <c r="N63" s="18">
        <f>ROUND(L63/M63, 0)</f>
        <v/>
      </c>
      <c r="O63" s="18">
        <f>ROUND(N63*'Methodology &amp; Assumptions'!$B$8, 0)</f>
        <v/>
      </c>
      <c r="P63" s="8" t="inlineStr">
        <is>
          <t>Band n50 (1.5 GHz, 60 MHz)</t>
        </is>
      </c>
      <c r="Q63" s="38">
        <f>ROUNDUP(O63/'Methodology &amp; Assumptions'!$B$9, 0)</f>
        <v/>
      </c>
      <c r="R63" s="39" t="n">
        <v>1</v>
      </c>
      <c r="S63" s="21" t="n">
        <v>0.79</v>
      </c>
      <c r="T63" s="21" t="n">
        <v>2.51</v>
      </c>
      <c r="U63" s="36" t="inlineStr">
        <is>
          <t>Tier 1A (Direct Coloc, &lt;1 km)</t>
        </is>
      </c>
      <c r="V63" s="20" t="n">
        <v>76.7</v>
      </c>
      <c r="W63" s="20" t="n">
        <v>100</v>
      </c>
      <c r="X63" s="20" t="n">
        <v>28</v>
      </c>
      <c r="Y63" s="40">
        <f>ROUND((V63*'Methodology &amp; Assumptions'!$B$6)+(W63*'Methodology &amp; Assumptions'!$B$5)+(X63*'Methodology &amp; Assumptions'!$B$7), 2)</f>
        <v/>
      </c>
    </row>
    <row r="64" ht="19" customHeight="1">
      <c r="A64" s="41" t="n">
        <v>60</v>
      </c>
      <c r="B64" s="41" t="n">
        <v>2060</v>
      </c>
      <c r="C64" s="42" t="inlineStr">
        <is>
          <t>1630400080</t>
        </is>
      </c>
      <c r="D64" s="42" t="inlineStr">
        <is>
          <t>Region XIII (Caraga)</t>
        </is>
      </c>
      <c r="E64" s="42" t="inlineStr">
        <is>
          <t>Agusan del Norte</t>
        </is>
      </c>
      <c r="F64" s="42" t="inlineStr">
        <is>
          <t>City of Butuan</t>
        </is>
      </c>
      <c r="G64" s="42" t="inlineStr">
        <is>
          <t>Sumilihon</t>
        </is>
      </c>
      <c r="H64" s="43" t="n">
        <v>8.992713999999999</v>
      </c>
      <c r="I64" s="43" t="n">
        <v>125.611909</v>
      </c>
      <c r="J64" s="44" t="inlineStr">
        <is>
          <t>R</t>
        </is>
      </c>
      <c r="K64" s="42" t="inlineStr">
        <is>
          <t>Class 1-3 / Urban</t>
        </is>
      </c>
      <c r="L64" s="23" t="n">
        <v>4935</v>
      </c>
      <c r="M64" s="24" t="n">
        <v>4.63</v>
      </c>
      <c r="N64" s="23">
        <f>ROUND(L64/M64, 0)</f>
        <v/>
      </c>
      <c r="O64" s="23">
        <f>ROUND(N64*'Methodology &amp; Assumptions'!$B$8, 0)</f>
        <v/>
      </c>
      <c r="P64" s="44" t="inlineStr">
        <is>
          <t>Band n50 (1.5 GHz, 60 MHz)</t>
        </is>
      </c>
      <c r="Q64" s="38">
        <f>ROUNDUP(O64/'Methodology &amp; Assumptions'!$B$9, 0)</f>
        <v/>
      </c>
      <c r="R64" s="39" t="n">
        <v>1</v>
      </c>
      <c r="S64" s="25" t="n">
        <v>3.8</v>
      </c>
      <c r="T64" s="25" t="n">
        <v>0.07000000000000001</v>
      </c>
      <c r="U64" s="42" t="inlineStr">
        <is>
          <t>Tier 2 (Fiber Corridor / Lateral, 3-5 km)</t>
        </is>
      </c>
      <c r="V64" s="24" t="n">
        <v>38.1</v>
      </c>
      <c r="W64" s="24" t="n">
        <v>100</v>
      </c>
      <c r="X64" s="24" t="n">
        <v>73</v>
      </c>
      <c r="Y64" s="45">
        <f>ROUND((V64*'Methodology &amp; Assumptions'!$B$6)+(W64*'Methodology &amp; Assumptions'!$B$5)+(X64*'Methodology &amp; Assumptions'!$B$7), 2)</f>
        <v/>
      </c>
    </row>
    <row r="65" ht="19" customHeight="1">
      <c r="A65" s="35" t="n">
        <v>61</v>
      </c>
      <c r="B65" s="35" t="n">
        <v>2061</v>
      </c>
      <c r="C65" s="36" t="inlineStr">
        <is>
          <t>0501737040</t>
        </is>
      </c>
      <c r="D65" s="36" t="inlineStr">
        <is>
          <t>Region V (Bicol Region)</t>
        </is>
      </c>
      <c r="E65" s="36" t="inlineStr">
        <is>
          <t>Camarines Sur</t>
        </is>
      </c>
      <c r="F65" s="36" t="inlineStr">
        <is>
          <t>Tinambac</t>
        </is>
      </c>
      <c r="G65" s="36" t="inlineStr">
        <is>
          <t>Sogod</t>
        </is>
      </c>
      <c r="H65" s="37" t="n">
        <v>13.824207</v>
      </c>
      <c r="I65" s="37" t="n">
        <v>123.322777</v>
      </c>
      <c r="J65" s="8" t="inlineStr">
        <is>
          <t>R</t>
        </is>
      </c>
      <c r="K65" s="36" t="inlineStr">
        <is>
          <t>Class 1-3 / Urban</t>
        </is>
      </c>
      <c r="L65" s="18" t="n">
        <v>3937</v>
      </c>
      <c r="M65" s="20" t="n">
        <v>4.9</v>
      </c>
      <c r="N65" s="18">
        <f>ROUND(L65/M65, 0)</f>
        <v/>
      </c>
      <c r="O65" s="18">
        <f>ROUND(N65*'Methodology &amp; Assumptions'!$B$8, 0)</f>
        <v/>
      </c>
      <c r="P65" s="8" t="inlineStr">
        <is>
          <t>Band n50 (1.5 GHz, 60 MHz)</t>
        </is>
      </c>
      <c r="Q65" s="38">
        <f>ROUNDUP(O65/'Methodology &amp; Assumptions'!$B$9, 0)</f>
        <v/>
      </c>
      <c r="R65" s="39" t="n">
        <v>1</v>
      </c>
      <c r="S65" s="21" t="n">
        <v>1.92</v>
      </c>
      <c r="T65" s="21" t="n">
        <v>1.01</v>
      </c>
      <c r="U65" s="36" t="inlineStr">
        <is>
          <t>Tier 1B (Micro Drop, 1-3 km)</t>
        </is>
      </c>
      <c r="V65" s="20" t="n">
        <v>62.7</v>
      </c>
      <c r="W65" s="20" t="n">
        <v>88.3</v>
      </c>
      <c r="X65" s="20" t="n">
        <v>58</v>
      </c>
      <c r="Y65" s="40">
        <f>ROUND((V65*'Methodology &amp; Assumptions'!$B$6)+(W65*'Methodology &amp; Assumptions'!$B$5)+(X65*'Methodology &amp; Assumptions'!$B$7), 2)</f>
        <v/>
      </c>
    </row>
    <row r="66" ht="19" customHeight="1">
      <c r="A66" s="41" t="n">
        <v>62</v>
      </c>
      <c r="B66" s="41" t="n">
        <v>2062</v>
      </c>
      <c r="C66" s="42" t="inlineStr">
        <is>
          <t>0403402016</t>
        </is>
      </c>
      <c r="D66" s="42" t="inlineStr">
        <is>
          <t>Region IV-A (CALABARZON)</t>
        </is>
      </c>
      <c r="E66" s="42" t="inlineStr">
        <is>
          <t>Laguna</t>
        </is>
      </c>
      <c r="F66" s="42" t="inlineStr">
        <is>
          <t>Bay</t>
        </is>
      </c>
      <c r="G66" s="42" t="inlineStr">
        <is>
          <t>San Agustin</t>
        </is>
      </c>
      <c r="H66" s="43" t="n">
        <v>14.180311</v>
      </c>
      <c r="I66" s="43" t="n">
        <v>121.283376</v>
      </c>
      <c r="J66" s="44" t="inlineStr">
        <is>
          <t>R</t>
        </is>
      </c>
      <c r="K66" s="42" t="inlineStr">
        <is>
          <t>Class 1-3 / Urban</t>
        </is>
      </c>
      <c r="L66" s="23" t="n">
        <v>1432</v>
      </c>
      <c r="M66" s="24" t="n">
        <v>4.2</v>
      </c>
      <c r="N66" s="23">
        <f>ROUND(L66/M66, 0)</f>
        <v/>
      </c>
      <c r="O66" s="23">
        <f>ROUND(N66*'Methodology &amp; Assumptions'!$B$8, 0)</f>
        <v/>
      </c>
      <c r="P66" s="44" t="inlineStr">
        <is>
          <t>Band n50 (1.5 GHz, 60 MHz)</t>
        </is>
      </c>
      <c r="Q66" s="38">
        <f>ROUNDUP(O66/'Methodology &amp; Assumptions'!$B$9, 0)</f>
        <v/>
      </c>
      <c r="R66" s="39" t="n">
        <v>1</v>
      </c>
      <c r="S66" s="25" t="n">
        <v>0.32</v>
      </c>
      <c r="T66" s="25" t="n">
        <v>0.08</v>
      </c>
      <c r="U66" s="42" t="inlineStr">
        <is>
          <t>Tier 1A (Direct Coloc, &lt;1 km)</t>
        </is>
      </c>
      <c r="V66" s="24" t="n">
        <v>99.8</v>
      </c>
      <c r="W66" s="24" t="n">
        <v>51.2</v>
      </c>
      <c r="X66" s="24" t="n">
        <v>58</v>
      </c>
      <c r="Y66" s="45">
        <f>ROUND((V66*'Methodology &amp; Assumptions'!$B$6)+(W66*'Methodology &amp; Assumptions'!$B$5)+(X66*'Methodology &amp; Assumptions'!$B$7), 2)</f>
        <v/>
      </c>
    </row>
    <row r="67" ht="19" customHeight="1">
      <c r="A67" s="35" t="n">
        <v>63</v>
      </c>
      <c r="B67" s="35" t="n">
        <v>2063</v>
      </c>
      <c r="C67" s="36" t="inlineStr">
        <is>
          <t>0402104001</t>
        </is>
      </c>
      <c r="D67" s="36" t="inlineStr">
        <is>
          <t>Region IV-A (CALABARZON)</t>
        </is>
      </c>
      <c r="E67" s="36" t="inlineStr">
        <is>
          <t>Cavite</t>
        </is>
      </c>
      <c r="F67" s="36" t="inlineStr">
        <is>
          <t>Carmona</t>
        </is>
      </c>
      <c r="G67" s="36" t="inlineStr">
        <is>
          <t>Bancal</t>
        </is>
      </c>
      <c r="H67" s="37" t="n">
        <v>14.284149</v>
      </c>
      <c r="I67" s="37" t="n">
        <v>121.009187</v>
      </c>
      <c r="J67" s="8" t="inlineStr">
        <is>
          <t>U</t>
        </is>
      </c>
      <c r="K67" s="36" t="inlineStr">
        <is>
          <t>Class 1-3 / Urban</t>
        </is>
      </c>
      <c r="L67" s="18" t="n">
        <v>16221</v>
      </c>
      <c r="M67" s="20" t="n">
        <v>4.49</v>
      </c>
      <c r="N67" s="18">
        <f>ROUND(L67/M67, 0)</f>
        <v/>
      </c>
      <c r="O67" s="18">
        <f>ROUND(N67*'Methodology &amp; Assumptions'!$B$8, 0)</f>
        <v/>
      </c>
      <c r="P67" s="8" t="inlineStr">
        <is>
          <t>Band n50 (1.5 GHz, 60 MHz)</t>
        </is>
      </c>
      <c r="Q67" s="38">
        <f>ROUNDUP(O67/'Methodology &amp; Assumptions'!$B$9, 0)</f>
        <v/>
      </c>
      <c r="R67" s="39" t="n">
        <v>1</v>
      </c>
      <c r="S67" s="21" t="n">
        <v>0.8</v>
      </c>
      <c r="T67" s="21" t="n">
        <v>4.77</v>
      </c>
      <c r="U67" s="36" t="inlineStr">
        <is>
          <t>Tier 1A (Direct Coloc, &lt;1 km)</t>
        </is>
      </c>
      <c r="V67" s="20" t="n">
        <v>76.7</v>
      </c>
      <c r="W67" s="20" t="n">
        <v>100</v>
      </c>
      <c r="X67" s="20" t="n">
        <v>28</v>
      </c>
      <c r="Y67" s="40">
        <f>ROUND((V67*'Methodology &amp; Assumptions'!$B$6)+(W67*'Methodology &amp; Assumptions'!$B$5)+(X67*'Methodology &amp; Assumptions'!$B$7), 2)</f>
        <v/>
      </c>
    </row>
    <row r="68" ht="19" customHeight="1">
      <c r="A68" s="41" t="n">
        <v>64</v>
      </c>
      <c r="B68" s="41" t="n">
        <v>2064</v>
      </c>
      <c r="C68" s="42" t="inlineStr">
        <is>
          <t>0403424004</t>
        </is>
      </c>
      <c r="D68" s="42" t="inlineStr">
        <is>
          <t>Region IV-A (CALABARZON)</t>
        </is>
      </c>
      <c r="E68" s="42" t="inlineStr">
        <is>
          <t>Laguna</t>
        </is>
      </c>
      <c r="F68" s="42" t="inlineStr">
        <is>
          <t>City of San Pablo</t>
        </is>
      </c>
      <c r="G68" s="42" t="inlineStr">
        <is>
          <t>Barangay I-B</t>
        </is>
      </c>
      <c r="H68" s="43" t="n">
        <v>14.070131</v>
      </c>
      <c r="I68" s="43" t="n">
        <v>121.316274</v>
      </c>
      <c r="J68" s="44" t="inlineStr">
        <is>
          <t>U</t>
        </is>
      </c>
      <c r="K68" s="42" t="inlineStr">
        <is>
          <t>Class 1-3 / Urban</t>
        </is>
      </c>
      <c r="L68" s="23" t="n">
        <v>4002</v>
      </c>
      <c r="M68" s="24" t="n">
        <v>4.2</v>
      </c>
      <c r="N68" s="23">
        <f>ROUND(L68/M68, 0)</f>
        <v/>
      </c>
      <c r="O68" s="23">
        <f>ROUND(N68*'Methodology &amp; Assumptions'!$B$8, 0)</f>
        <v/>
      </c>
      <c r="P68" s="44" t="inlineStr">
        <is>
          <t>Band n50 (1.5 GHz, 60 MHz)</t>
        </is>
      </c>
      <c r="Q68" s="38">
        <f>ROUNDUP(O68/'Methodology &amp; Assumptions'!$B$9, 0)</f>
        <v/>
      </c>
      <c r="R68" s="39" t="n">
        <v>1</v>
      </c>
      <c r="S68" s="25" t="n">
        <v>1.21</v>
      </c>
      <c r="T68" s="25" t="n">
        <v>0.36</v>
      </c>
      <c r="U68" s="42" t="inlineStr">
        <is>
          <t>Tier 1B (Micro Drop, 1-3 km)</t>
        </is>
      </c>
      <c r="V68" s="24" t="n">
        <v>76.7</v>
      </c>
      <c r="W68" s="24" t="n">
        <v>100</v>
      </c>
      <c r="X68" s="24" t="n">
        <v>28</v>
      </c>
      <c r="Y68" s="45">
        <f>ROUND((V68*'Methodology &amp; Assumptions'!$B$6)+(W68*'Methodology &amp; Assumptions'!$B$5)+(X68*'Methodology &amp; Assumptions'!$B$7), 2)</f>
        <v/>
      </c>
    </row>
    <row r="69" ht="19" customHeight="1">
      <c r="A69" s="35" t="n">
        <v>65</v>
      </c>
      <c r="B69" s="35" t="n">
        <v>2065</v>
      </c>
      <c r="C69" s="36" t="inlineStr">
        <is>
          <t>1030500018</t>
        </is>
      </c>
      <c r="D69" s="36" t="inlineStr">
        <is>
          <t>Region X (Northern Mindanao)</t>
        </is>
      </c>
      <c r="E69" s="36" t="inlineStr">
        <is>
          <t>Misamis Oriental</t>
        </is>
      </c>
      <c r="F69" s="36" t="inlineStr">
        <is>
          <t>City of Cagayan De Oro</t>
        </is>
      </c>
      <c r="G69" s="36" t="inlineStr">
        <is>
          <t>Barangay 22</t>
        </is>
      </c>
      <c r="H69" s="37" t="n">
        <v>8.491114</v>
      </c>
      <c r="I69" s="37" t="n">
        <v>124.654274</v>
      </c>
      <c r="J69" s="8" t="inlineStr">
        <is>
          <t>U</t>
        </is>
      </c>
      <c r="K69" s="36" t="inlineStr">
        <is>
          <t>Class 1-3 / Urban</t>
        </is>
      </c>
      <c r="L69" s="18" t="n">
        <v>3324</v>
      </c>
      <c r="M69" s="20" t="n">
        <v>4.54</v>
      </c>
      <c r="N69" s="18">
        <f>ROUND(L69/M69, 0)</f>
        <v/>
      </c>
      <c r="O69" s="18">
        <f>ROUND(N69*'Methodology &amp; Assumptions'!$B$8, 0)</f>
        <v/>
      </c>
      <c r="P69" s="8" t="inlineStr">
        <is>
          <t>Band n50 (1.5 GHz, 60 MHz)</t>
        </is>
      </c>
      <c r="Q69" s="38">
        <f>ROUNDUP(O69/'Methodology &amp; Assumptions'!$B$9, 0)</f>
        <v/>
      </c>
      <c r="R69" s="39" t="n">
        <v>1</v>
      </c>
      <c r="S69" s="21" t="n">
        <v>0.52</v>
      </c>
      <c r="T69" s="21" t="n">
        <v>0.64</v>
      </c>
      <c r="U69" s="36" t="inlineStr">
        <is>
          <t>Tier 1A (Direct Coloc, &lt;1 km)</t>
        </is>
      </c>
      <c r="V69" s="20" t="n">
        <v>94.09999999999999</v>
      </c>
      <c r="W69" s="20" t="n">
        <v>82.7</v>
      </c>
      <c r="X69" s="20" t="n">
        <v>28</v>
      </c>
      <c r="Y69" s="40">
        <f>ROUND((V69*'Methodology &amp; Assumptions'!$B$6)+(W69*'Methodology &amp; Assumptions'!$B$5)+(X69*'Methodology &amp; Assumptions'!$B$7), 2)</f>
        <v/>
      </c>
    </row>
    <row r="70" ht="19" customHeight="1">
      <c r="A70" s="41" t="n">
        <v>66</v>
      </c>
      <c r="B70" s="41" t="n">
        <v>2066</v>
      </c>
      <c r="C70" s="42" t="inlineStr">
        <is>
          <t>0702211022</t>
        </is>
      </c>
      <c r="D70" s="42" t="inlineStr">
        <is>
          <t>Region VII (Central Visayas)</t>
        </is>
      </c>
      <c r="E70" s="42" t="inlineStr">
        <is>
          <t>Cebu</t>
        </is>
      </c>
      <c r="F70" s="42" t="inlineStr">
        <is>
          <t>City of Bogo</t>
        </is>
      </c>
      <c r="G70" s="42" t="inlineStr">
        <is>
          <t>Polambato</t>
        </is>
      </c>
      <c r="H70" s="43" t="n">
        <v>11.065945</v>
      </c>
      <c r="I70" s="43" t="n">
        <v>123.992436</v>
      </c>
      <c r="J70" s="44" t="inlineStr">
        <is>
          <t>R</t>
        </is>
      </c>
      <c r="K70" s="42" t="inlineStr">
        <is>
          <t>Class 1-3 / Urban</t>
        </is>
      </c>
      <c r="L70" s="23" t="n">
        <v>4332</v>
      </c>
      <c r="M70" s="24" t="n">
        <v>4.42</v>
      </c>
      <c r="N70" s="23">
        <f>ROUND(L70/M70, 0)</f>
        <v/>
      </c>
      <c r="O70" s="23">
        <f>ROUND(N70*'Methodology &amp; Assumptions'!$B$8, 0)</f>
        <v/>
      </c>
      <c r="P70" s="44" t="inlineStr">
        <is>
          <t>Band n50 (1.5 GHz, 60 MHz)</t>
        </is>
      </c>
      <c r="Q70" s="38">
        <f>ROUNDUP(O70/'Methodology &amp; Assumptions'!$B$9, 0)</f>
        <v/>
      </c>
      <c r="R70" s="39" t="n">
        <v>1</v>
      </c>
      <c r="S70" s="25" t="n">
        <v>2.68</v>
      </c>
      <c r="T70" s="25" t="n">
        <v>1.57</v>
      </c>
      <c r="U70" s="42" t="inlineStr">
        <is>
          <t>Tier 1B (Micro Drop, 1-3 km)</t>
        </is>
      </c>
      <c r="V70" s="24" t="n">
        <v>51</v>
      </c>
      <c r="W70" s="24" t="n">
        <v>100</v>
      </c>
      <c r="X70" s="24" t="n">
        <v>58</v>
      </c>
      <c r="Y70" s="45">
        <f>ROUND((V70*'Methodology &amp; Assumptions'!$B$6)+(W70*'Methodology &amp; Assumptions'!$B$5)+(X70*'Methodology &amp; Assumptions'!$B$7), 2)</f>
        <v/>
      </c>
    </row>
    <row r="71" ht="19" customHeight="1">
      <c r="A71" s="35" t="n">
        <v>67</v>
      </c>
      <c r="B71" s="35" t="n">
        <v>2067</v>
      </c>
      <c r="C71" s="36" t="inlineStr">
        <is>
          <t>1402707011</t>
        </is>
      </c>
      <c r="D71" s="36" t="inlineStr">
        <is>
          <t>Cordillera Administrative Region (CAR)</t>
        </is>
      </c>
      <c r="E71" s="36" t="inlineStr">
        <is>
          <t>Ifugao</t>
        </is>
      </c>
      <c r="F71" s="36" t="inlineStr">
        <is>
          <t>Alfonso Lista</t>
        </is>
      </c>
      <c r="G71" s="36" t="inlineStr">
        <is>
          <t>Poblacion</t>
        </is>
      </c>
      <c r="H71" s="37" t="n">
        <v>16.888992</v>
      </c>
      <c r="I71" s="37" t="n">
        <v>121.459297</v>
      </c>
      <c r="J71" s="8" t="inlineStr">
        <is>
          <t>R</t>
        </is>
      </c>
      <c r="K71" s="36" t="inlineStr">
        <is>
          <t>Class 1-3 / Urban</t>
        </is>
      </c>
      <c r="L71" s="18" t="n">
        <v>2188</v>
      </c>
      <c r="M71" s="20" t="n">
        <v>4.82</v>
      </c>
      <c r="N71" s="18">
        <f>ROUND(L71/M71, 0)</f>
        <v/>
      </c>
      <c r="O71" s="18">
        <f>ROUND(N71*'Methodology &amp; Assumptions'!$B$8, 0)</f>
        <v/>
      </c>
      <c r="P71" s="8" t="inlineStr">
        <is>
          <t>Band n50 (1.5 GHz, 60 MHz)</t>
        </is>
      </c>
      <c r="Q71" s="38">
        <f>ROUNDUP(O71/'Methodology &amp; Assumptions'!$B$9, 0)</f>
        <v/>
      </c>
      <c r="R71" s="39" t="n">
        <v>1</v>
      </c>
      <c r="S71" s="21" t="n">
        <v>0.16</v>
      </c>
      <c r="T71" s="21" t="n">
        <v>21.75</v>
      </c>
      <c r="U71" s="36" t="inlineStr">
        <is>
          <t>Tier 1A (Direct Coloc, &lt;1 km)</t>
        </is>
      </c>
      <c r="V71" s="20" t="n">
        <v>94.7</v>
      </c>
      <c r="W71" s="20" t="n">
        <v>56.3</v>
      </c>
      <c r="X71" s="20" t="n">
        <v>58</v>
      </c>
      <c r="Y71" s="40">
        <f>ROUND((V71*'Methodology &amp; Assumptions'!$B$6)+(W71*'Methodology &amp; Assumptions'!$B$5)+(X71*'Methodology &amp; Assumptions'!$B$7), 2)</f>
        <v/>
      </c>
    </row>
    <row r="72" ht="19" customHeight="1">
      <c r="A72" s="41" t="n">
        <v>68</v>
      </c>
      <c r="B72" s="41" t="n">
        <v>2068</v>
      </c>
      <c r="C72" s="42" t="inlineStr">
        <is>
          <t>0307104014</t>
        </is>
      </c>
      <c r="D72" s="42" t="inlineStr">
        <is>
          <t>Region III (Central Luzon)</t>
        </is>
      </c>
      <c r="E72" s="42" t="inlineStr">
        <is>
          <t>Zambales</t>
        </is>
      </c>
      <c r="F72" s="42" t="inlineStr">
        <is>
          <t>Castillejos</t>
        </is>
      </c>
      <c r="G72" s="42" t="inlineStr">
        <is>
          <t>San Roque</t>
        </is>
      </c>
      <c r="H72" s="43" t="n">
        <v>14.932351</v>
      </c>
      <c r="I72" s="43" t="n">
        <v>120.202889</v>
      </c>
      <c r="J72" s="44" t="inlineStr">
        <is>
          <t>R</t>
        </is>
      </c>
      <c r="K72" s="42" t="inlineStr">
        <is>
          <t>Class 1-3 / Urban</t>
        </is>
      </c>
      <c r="L72" s="23" t="n">
        <v>1422</v>
      </c>
      <c r="M72" s="24" t="n">
        <v>4.05</v>
      </c>
      <c r="N72" s="23">
        <f>ROUND(L72/M72, 0)</f>
        <v/>
      </c>
      <c r="O72" s="23">
        <f>ROUND(N72*'Methodology &amp; Assumptions'!$B$8, 0)</f>
        <v/>
      </c>
      <c r="P72" s="44" t="inlineStr">
        <is>
          <t>Band n50 (1.5 GHz, 60 MHz)</t>
        </is>
      </c>
      <c r="Q72" s="38">
        <f>ROUNDUP(O72/'Methodology &amp; Assumptions'!$B$9, 0)</f>
        <v/>
      </c>
      <c r="R72" s="39" t="n">
        <v>1</v>
      </c>
      <c r="S72" s="25" t="n">
        <v>0.35</v>
      </c>
      <c r="T72" s="25" t="n">
        <v>0.33</v>
      </c>
      <c r="U72" s="42" t="inlineStr">
        <is>
          <t>Tier 1A (Direct Coloc, &lt;1 km)</t>
        </is>
      </c>
      <c r="V72" s="24" t="n">
        <v>99</v>
      </c>
      <c r="W72" s="24" t="n">
        <v>52</v>
      </c>
      <c r="X72" s="24" t="n">
        <v>58</v>
      </c>
      <c r="Y72" s="45">
        <f>ROUND((V72*'Methodology &amp; Assumptions'!$B$6)+(W72*'Methodology &amp; Assumptions'!$B$5)+(X72*'Methodology &amp; Assumptions'!$B$7), 2)</f>
        <v/>
      </c>
    </row>
    <row r="73" ht="19" customHeight="1">
      <c r="A73" s="35" t="n">
        <v>69</v>
      </c>
      <c r="B73" s="35" t="n">
        <v>2069</v>
      </c>
      <c r="C73" s="36" t="inlineStr">
        <is>
          <t>0405804035</t>
        </is>
      </c>
      <c r="D73" s="36" t="inlineStr">
        <is>
          <t>Region IV-A (CALABARZON)</t>
        </is>
      </c>
      <c r="E73" s="36" t="inlineStr">
        <is>
          <t>Rizal</t>
        </is>
      </c>
      <c r="F73" s="36" t="inlineStr">
        <is>
          <t>Binangonan</t>
        </is>
      </c>
      <c r="G73" s="36" t="inlineStr">
        <is>
          <t>Tatala</t>
        </is>
      </c>
      <c r="H73" s="37" t="n">
        <v>14.484022</v>
      </c>
      <c r="I73" s="37" t="n">
        <v>121.207469</v>
      </c>
      <c r="J73" s="8" t="inlineStr">
        <is>
          <t>U</t>
        </is>
      </c>
      <c r="K73" s="36" t="inlineStr">
        <is>
          <t>Class 1-3 / Urban</t>
        </is>
      </c>
      <c r="L73" s="18" t="n">
        <v>16152</v>
      </c>
      <c r="M73" s="20" t="n">
        <v>4.39</v>
      </c>
      <c r="N73" s="18">
        <f>ROUND(L73/M73, 0)</f>
        <v/>
      </c>
      <c r="O73" s="18">
        <f>ROUND(N73*'Methodology &amp; Assumptions'!$B$8, 0)</f>
        <v/>
      </c>
      <c r="P73" s="8" t="inlineStr">
        <is>
          <t>Band n50 (1.5 GHz, 60 MHz)</t>
        </is>
      </c>
      <c r="Q73" s="38">
        <f>ROUNDUP(O73/'Methodology &amp; Assumptions'!$B$9, 0)</f>
        <v/>
      </c>
      <c r="R73" s="39" t="n">
        <v>1</v>
      </c>
      <c r="S73" s="21" t="n">
        <v>1.22</v>
      </c>
      <c r="T73" s="21" t="n">
        <v>0.8</v>
      </c>
      <c r="U73" s="36" t="inlineStr">
        <is>
          <t>Tier 1B (Micro Drop, 1-3 km)</t>
        </is>
      </c>
      <c r="V73" s="20" t="n">
        <v>76.7</v>
      </c>
      <c r="W73" s="20" t="n">
        <v>100</v>
      </c>
      <c r="X73" s="20" t="n">
        <v>28</v>
      </c>
      <c r="Y73" s="40">
        <f>ROUND((V73*'Methodology &amp; Assumptions'!$B$6)+(W73*'Methodology &amp; Assumptions'!$B$5)+(X73*'Methodology &amp; Assumptions'!$B$7), 2)</f>
        <v/>
      </c>
    </row>
    <row r="74" ht="19" customHeight="1">
      <c r="A74" s="41" t="n">
        <v>70</v>
      </c>
      <c r="B74" s="41" t="n">
        <v>2070</v>
      </c>
      <c r="C74" s="42" t="inlineStr">
        <is>
          <t>0105526013</t>
        </is>
      </c>
      <c r="D74" s="42" t="inlineStr">
        <is>
          <t>Region I (Ilocos Region)</t>
        </is>
      </c>
      <c r="E74" s="42" t="inlineStr">
        <is>
          <t>Pangasinan</t>
        </is>
      </c>
      <c r="F74" s="42" t="inlineStr">
        <is>
          <t>Mangaldan</t>
        </is>
      </c>
      <c r="G74" s="42" t="inlineStr">
        <is>
          <t>Guiguilonen</t>
        </is>
      </c>
      <c r="H74" s="43" t="n">
        <v>16.07141</v>
      </c>
      <c r="I74" s="43" t="n">
        <v>120.4074</v>
      </c>
      <c r="J74" s="44" t="inlineStr">
        <is>
          <t>U</t>
        </is>
      </c>
      <c r="K74" s="42" t="inlineStr">
        <is>
          <t>Class 1-3 / Urban</t>
        </is>
      </c>
      <c r="L74" s="23" t="n">
        <v>3452</v>
      </c>
      <c r="M74" s="24" t="n">
        <v>4.39</v>
      </c>
      <c r="N74" s="23">
        <f>ROUND(L74/M74, 0)</f>
        <v/>
      </c>
      <c r="O74" s="23">
        <f>ROUND(N74*'Methodology &amp; Assumptions'!$B$8, 0)</f>
        <v/>
      </c>
      <c r="P74" s="44" t="inlineStr">
        <is>
          <t>Band n50 (1.5 GHz, 60 MHz)</t>
        </is>
      </c>
      <c r="Q74" s="38">
        <f>ROUNDUP(O74/'Methodology &amp; Assumptions'!$B$9, 0)</f>
        <v/>
      </c>
      <c r="R74" s="39" t="n">
        <v>1</v>
      </c>
      <c r="S74" s="25" t="n">
        <v>0.68</v>
      </c>
      <c r="T74" s="25" t="n">
        <v>0.42</v>
      </c>
      <c r="U74" s="42" t="inlineStr">
        <is>
          <t>Tier 1A (Direct Coloc, &lt;1 km)</t>
        </is>
      </c>
      <c r="V74" s="24" t="n">
        <v>89.7</v>
      </c>
      <c r="W74" s="24" t="n">
        <v>86.90000000000001</v>
      </c>
      <c r="X74" s="24" t="n">
        <v>28</v>
      </c>
      <c r="Y74" s="45">
        <f>ROUND((V74*'Methodology &amp; Assumptions'!$B$6)+(W74*'Methodology &amp; Assumptions'!$B$5)+(X74*'Methodology &amp; Assumptions'!$B$7), 2)</f>
        <v/>
      </c>
    </row>
    <row r="75" ht="19" customHeight="1">
      <c r="A75" s="35" t="n">
        <v>71</v>
      </c>
      <c r="B75" s="35" t="n">
        <v>2071</v>
      </c>
      <c r="C75" s="36" t="inlineStr">
        <is>
          <t>0704603017</t>
        </is>
      </c>
      <c r="D75" s="36" t="inlineStr">
        <is>
          <t>Region VII (Central Visayas)</t>
        </is>
      </c>
      <c r="E75" s="36" t="inlineStr">
        <is>
          <t>Negros Oriental</t>
        </is>
      </c>
      <c r="F75" s="36" t="inlineStr">
        <is>
          <t>Bacong</t>
        </is>
      </c>
      <c r="G75" s="36" t="inlineStr">
        <is>
          <t>South Poblacion</t>
        </is>
      </c>
      <c r="H75" s="37" t="n">
        <v>9.241960000000001</v>
      </c>
      <c r="I75" s="37" t="n">
        <v>123.29328</v>
      </c>
      <c r="J75" s="8" t="inlineStr">
        <is>
          <t>R</t>
        </is>
      </c>
      <c r="K75" s="36" t="inlineStr">
        <is>
          <t>2nd</t>
        </is>
      </c>
      <c r="L75" s="18" t="n">
        <v>1492</v>
      </c>
      <c r="M75" s="20" t="n">
        <v>4.41</v>
      </c>
      <c r="N75" s="18">
        <f>ROUND(L75/M75, 0)</f>
        <v/>
      </c>
      <c r="O75" s="18">
        <f>ROUND(N75*'Methodology &amp; Assumptions'!$B$8, 0)</f>
        <v/>
      </c>
      <c r="P75" s="8" t="inlineStr">
        <is>
          <t>Band n50 (1.5 GHz, 60 MHz)</t>
        </is>
      </c>
      <c r="Q75" s="38">
        <f>ROUNDUP(O75/'Methodology &amp; Assumptions'!$B$9, 0)</f>
        <v/>
      </c>
      <c r="R75" s="39" t="n">
        <v>1</v>
      </c>
      <c r="S75" s="21" t="n">
        <v>0.24</v>
      </c>
      <c r="T75" s="21" t="n">
        <v>0.02</v>
      </c>
      <c r="U75" s="36" t="inlineStr">
        <is>
          <t>Tier 1A (Direct Coloc, &lt;1 km)</t>
        </is>
      </c>
      <c r="V75" s="20" t="n">
        <v>100</v>
      </c>
      <c r="W75" s="20" t="n">
        <v>50.9</v>
      </c>
      <c r="X75" s="20" t="n">
        <v>58</v>
      </c>
      <c r="Y75" s="40">
        <f>ROUND((V75*'Methodology &amp; Assumptions'!$B$6)+(W75*'Methodology &amp; Assumptions'!$B$5)+(X75*'Methodology &amp; Assumptions'!$B$7), 2)</f>
        <v/>
      </c>
    </row>
    <row r="76" ht="19" customHeight="1">
      <c r="A76" s="41" t="n">
        <v>72</v>
      </c>
      <c r="B76" s="41" t="n">
        <v>2072</v>
      </c>
      <c r="C76" s="42" t="inlineStr">
        <is>
          <t>0501606009</t>
        </is>
      </c>
      <c r="D76" s="42" t="inlineStr">
        <is>
          <t>Region V (Bicol Region)</t>
        </is>
      </c>
      <c r="E76" s="42" t="inlineStr">
        <is>
          <t>Camarines Norte</t>
        </is>
      </c>
      <c r="F76" s="42" t="inlineStr">
        <is>
          <t>Labo</t>
        </is>
      </c>
      <c r="G76" s="42" t="inlineStr">
        <is>
          <t>Bayabas</t>
        </is>
      </c>
      <c r="H76" s="43" t="n">
        <v>14.18923</v>
      </c>
      <c r="I76" s="43" t="n">
        <v>122.466772</v>
      </c>
      <c r="J76" s="44" t="inlineStr">
        <is>
          <t>R</t>
        </is>
      </c>
      <c r="K76" s="42" t="inlineStr">
        <is>
          <t>Class 1-3 / Urban</t>
        </is>
      </c>
      <c r="L76" s="23" t="n">
        <v>1479</v>
      </c>
      <c r="M76" s="24" t="n">
        <v>4.4</v>
      </c>
      <c r="N76" s="23">
        <f>ROUND(L76/M76, 0)</f>
        <v/>
      </c>
      <c r="O76" s="23">
        <f>ROUND(N76*'Methodology &amp; Assumptions'!$B$8, 0)</f>
        <v/>
      </c>
      <c r="P76" s="44" t="inlineStr">
        <is>
          <t>Band n50 (1.5 GHz, 60 MHz)</t>
        </is>
      </c>
      <c r="Q76" s="38">
        <f>ROUNDUP(O76/'Methodology &amp; Assumptions'!$B$9, 0)</f>
        <v/>
      </c>
      <c r="R76" s="39" t="n">
        <v>1</v>
      </c>
      <c r="S76" s="25" t="n">
        <v>0.02</v>
      </c>
      <c r="T76" s="25" t="n">
        <v>0.35</v>
      </c>
      <c r="U76" s="42" t="inlineStr">
        <is>
          <t>Tier 1A (Direct Coloc, &lt;1 km)</t>
        </is>
      </c>
      <c r="V76" s="24" t="n">
        <v>100</v>
      </c>
      <c r="W76" s="24" t="n">
        <v>50.9</v>
      </c>
      <c r="X76" s="24" t="n">
        <v>58</v>
      </c>
      <c r="Y76" s="45">
        <f>ROUND((V76*'Methodology &amp; Assumptions'!$B$6)+(W76*'Methodology &amp; Assumptions'!$B$5)+(X76*'Methodology &amp; Assumptions'!$B$7), 2)</f>
        <v/>
      </c>
    </row>
    <row r="77" ht="19" customHeight="1">
      <c r="A77" s="35" t="n">
        <v>73</v>
      </c>
      <c r="B77" s="35" t="n">
        <v>2073</v>
      </c>
      <c r="C77" s="36" t="inlineStr">
        <is>
          <t>0405623004</t>
        </is>
      </c>
      <c r="D77" s="36" t="inlineStr">
        <is>
          <t>Region IV-A (CALABARZON)</t>
        </is>
      </c>
      <c r="E77" s="36" t="inlineStr">
        <is>
          <t>Quezon</t>
        </is>
      </c>
      <c r="F77" s="36" t="inlineStr">
        <is>
          <t>Lucban</t>
        </is>
      </c>
      <c r="G77" s="36" t="inlineStr">
        <is>
          <t>Ayuti</t>
        </is>
      </c>
      <c r="H77" s="37" t="n">
        <v>14.115744</v>
      </c>
      <c r="I77" s="37" t="n">
        <v>121.547059</v>
      </c>
      <c r="J77" s="8" t="inlineStr">
        <is>
          <t>U</t>
        </is>
      </c>
      <c r="K77" s="36" t="inlineStr">
        <is>
          <t>Class 1-3 / Urban</t>
        </is>
      </c>
      <c r="L77" s="18" t="n">
        <v>11446</v>
      </c>
      <c r="M77" s="20" t="n">
        <v>4.46</v>
      </c>
      <c r="N77" s="18">
        <f>ROUND(L77/M77, 0)</f>
        <v/>
      </c>
      <c r="O77" s="18">
        <f>ROUND(N77*'Methodology &amp; Assumptions'!$B$8, 0)</f>
        <v/>
      </c>
      <c r="P77" s="8" t="inlineStr">
        <is>
          <t>Band n50 (1.5 GHz, 60 MHz)</t>
        </is>
      </c>
      <c r="Q77" s="38">
        <f>ROUNDUP(O77/'Methodology &amp; Assumptions'!$B$9, 0)</f>
        <v/>
      </c>
      <c r="R77" s="39" t="n">
        <v>1</v>
      </c>
      <c r="S77" s="21" t="n">
        <v>1.22</v>
      </c>
      <c r="T77" s="21" t="n">
        <v>0.18</v>
      </c>
      <c r="U77" s="36" t="inlineStr">
        <is>
          <t>Tier 1B (Micro Drop, 1-3 km)</t>
        </is>
      </c>
      <c r="V77" s="20" t="n">
        <v>76.7</v>
      </c>
      <c r="W77" s="20" t="n">
        <v>100</v>
      </c>
      <c r="X77" s="20" t="n">
        <v>28</v>
      </c>
      <c r="Y77" s="40">
        <f>ROUND((V77*'Methodology &amp; Assumptions'!$B$6)+(W77*'Methodology &amp; Assumptions'!$B$5)+(X77*'Methodology &amp; Assumptions'!$B$7), 2)</f>
        <v/>
      </c>
    </row>
    <row r="78" ht="19" customHeight="1">
      <c r="A78" s="41" t="n">
        <v>74</v>
      </c>
      <c r="B78" s="41" t="n">
        <v>2074</v>
      </c>
      <c r="C78" s="42" t="inlineStr">
        <is>
          <t>0301406011</t>
        </is>
      </c>
      <c r="D78" s="42" t="inlineStr">
        <is>
          <t>Region III (Central Luzon)</t>
        </is>
      </c>
      <c r="E78" s="42" t="inlineStr">
        <is>
          <t>Bulacan</t>
        </is>
      </c>
      <c r="F78" s="42" t="inlineStr">
        <is>
          <t>Bustos</t>
        </is>
      </c>
      <c r="G78" s="42" t="inlineStr">
        <is>
          <t>San Pedro</t>
        </is>
      </c>
      <c r="H78" s="43" t="n">
        <v>14.948507</v>
      </c>
      <c r="I78" s="43" t="n">
        <v>120.907661</v>
      </c>
      <c r="J78" s="44" t="inlineStr">
        <is>
          <t>U</t>
        </is>
      </c>
      <c r="K78" s="42" t="inlineStr">
        <is>
          <t>Class 1-3 / Urban</t>
        </is>
      </c>
      <c r="L78" s="23" t="n">
        <v>8113</v>
      </c>
      <c r="M78" s="24" t="n">
        <v>4.1</v>
      </c>
      <c r="N78" s="23">
        <f>ROUND(L78/M78, 0)</f>
        <v/>
      </c>
      <c r="O78" s="23">
        <f>ROUND(N78*'Methodology &amp; Assumptions'!$B$8, 0)</f>
        <v/>
      </c>
      <c r="P78" s="44" t="inlineStr">
        <is>
          <t>Band n50 (1.5 GHz, 60 MHz)</t>
        </is>
      </c>
      <c r="Q78" s="38">
        <f>ROUNDUP(O78/'Methodology &amp; Assumptions'!$B$9, 0)</f>
        <v/>
      </c>
      <c r="R78" s="39" t="n">
        <v>1</v>
      </c>
      <c r="S78" s="25" t="n">
        <v>1.22</v>
      </c>
      <c r="T78" s="25" t="n">
        <v>0.65</v>
      </c>
      <c r="U78" s="42" t="inlineStr">
        <is>
          <t>Tier 1B (Micro Drop, 1-3 km)</t>
        </is>
      </c>
      <c r="V78" s="24" t="n">
        <v>76.7</v>
      </c>
      <c r="W78" s="24" t="n">
        <v>100</v>
      </c>
      <c r="X78" s="24" t="n">
        <v>28</v>
      </c>
      <c r="Y78" s="45">
        <f>ROUND((V78*'Methodology &amp; Assumptions'!$B$6)+(W78*'Methodology &amp; Assumptions'!$B$5)+(X78*'Methodology &amp; Assumptions'!$B$7), 2)</f>
        <v/>
      </c>
    </row>
    <row r="79" ht="19" customHeight="1">
      <c r="A79" s="35" t="n">
        <v>75</v>
      </c>
      <c r="B79" s="35" t="n">
        <v>2075</v>
      </c>
      <c r="C79" s="36" t="inlineStr">
        <is>
          <t>0105517020</t>
        </is>
      </c>
      <c r="D79" s="36" t="inlineStr">
        <is>
          <t>Region I (Ilocos Region)</t>
        </is>
      </c>
      <c r="E79" s="36" t="inlineStr">
        <is>
          <t>Pangasinan</t>
        </is>
      </c>
      <c r="F79" s="36" t="inlineStr">
        <is>
          <t>Calasiao</t>
        </is>
      </c>
      <c r="G79" s="36" t="inlineStr">
        <is>
          <t>Quesban</t>
        </is>
      </c>
      <c r="H79" s="37" t="n">
        <v>16.01234</v>
      </c>
      <c r="I79" s="37" t="n">
        <v>120.3729</v>
      </c>
      <c r="J79" s="8" t="inlineStr">
        <is>
          <t>R</t>
        </is>
      </c>
      <c r="K79" s="36" t="inlineStr">
        <is>
          <t>Class 1-3 / Urban</t>
        </is>
      </c>
      <c r="L79" s="18" t="n">
        <v>3191</v>
      </c>
      <c r="M79" s="20" t="n">
        <v>4.39</v>
      </c>
      <c r="N79" s="18">
        <f>ROUND(L79/M79, 0)</f>
        <v/>
      </c>
      <c r="O79" s="18">
        <f>ROUND(N79*'Methodology &amp; Assumptions'!$B$8, 0)</f>
        <v/>
      </c>
      <c r="P79" s="8" t="inlineStr">
        <is>
          <t>Band n50 (1.5 GHz, 60 MHz)</t>
        </is>
      </c>
      <c r="Q79" s="38">
        <f>ROUNDUP(O79/'Methodology &amp; Assumptions'!$B$9, 0)</f>
        <v/>
      </c>
      <c r="R79" s="39" t="n">
        <v>1</v>
      </c>
      <c r="S79" s="21" t="n">
        <v>1.59</v>
      </c>
      <c r="T79" s="21" t="n">
        <v>0.65</v>
      </c>
      <c r="U79" s="36" t="inlineStr">
        <is>
          <t>Tier 1B (Micro Drop, 1-3 km)</t>
        </is>
      </c>
      <c r="V79" s="20" t="n">
        <v>68.8</v>
      </c>
      <c r="W79" s="20" t="n">
        <v>82.09999999999999</v>
      </c>
      <c r="X79" s="20" t="n">
        <v>58</v>
      </c>
      <c r="Y79" s="40">
        <f>ROUND((V79*'Methodology &amp; Assumptions'!$B$6)+(W79*'Methodology &amp; Assumptions'!$B$5)+(X79*'Methodology &amp; Assumptions'!$B$7), 2)</f>
        <v/>
      </c>
    </row>
    <row r="80" ht="19" customHeight="1">
      <c r="A80" s="41" t="n">
        <v>76</v>
      </c>
      <c r="B80" s="41" t="n">
        <v>2076</v>
      </c>
      <c r="C80" s="42" t="inlineStr">
        <is>
          <t>0401003004</t>
        </is>
      </c>
      <c r="D80" s="42" t="inlineStr">
        <is>
          <t>Region IV-A (CALABARZON)</t>
        </is>
      </c>
      <c r="E80" s="42" t="inlineStr">
        <is>
          <t>Batangas</t>
        </is>
      </c>
      <c r="F80" s="42" t="inlineStr">
        <is>
          <t>Balayan</t>
        </is>
      </c>
      <c r="G80" s="42" t="inlineStr">
        <is>
          <t>Barangay 10</t>
        </is>
      </c>
      <c r="H80" s="43" t="n">
        <v>13.936093</v>
      </c>
      <c r="I80" s="43" t="n">
        <v>120.734277</v>
      </c>
      <c r="J80" s="44" t="inlineStr">
        <is>
          <t>R</t>
        </is>
      </c>
      <c r="K80" s="42" t="inlineStr">
        <is>
          <t>Class 1-3 / Urban</t>
        </is>
      </c>
      <c r="L80" s="23" t="n">
        <v>2697</v>
      </c>
      <c r="M80" s="24" t="n">
        <v>4.62</v>
      </c>
      <c r="N80" s="23">
        <f>ROUND(L80/M80, 0)</f>
        <v/>
      </c>
      <c r="O80" s="23">
        <f>ROUND(N80*'Methodology &amp; Assumptions'!$B$8, 0)</f>
        <v/>
      </c>
      <c r="P80" s="44" t="inlineStr">
        <is>
          <t>Band n50 (1.5 GHz, 60 MHz)</t>
        </is>
      </c>
      <c r="Q80" s="38">
        <f>ROUNDUP(O80/'Methodology &amp; Assumptions'!$B$9, 0)</f>
        <v/>
      </c>
      <c r="R80" s="39" t="n">
        <v>1</v>
      </c>
      <c r="S80" s="25" t="n">
        <v>1.06</v>
      </c>
      <c r="T80" s="25" t="n">
        <v>0.39</v>
      </c>
      <c r="U80" s="42" t="inlineStr">
        <is>
          <t>Tier 1B (Micro Drop, 1-3 km)</t>
        </is>
      </c>
      <c r="V80" s="24" t="n">
        <v>80.3</v>
      </c>
      <c r="W80" s="24" t="n">
        <v>70.7</v>
      </c>
      <c r="X80" s="24" t="n">
        <v>58</v>
      </c>
      <c r="Y80" s="45">
        <f>ROUND((V80*'Methodology &amp; Assumptions'!$B$6)+(W80*'Methodology &amp; Assumptions'!$B$5)+(X80*'Methodology &amp; Assumptions'!$B$7), 2)</f>
        <v/>
      </c>
    </row>
    <row r="81" ht="19" customHeight="1">
      <c r="A81" s="35" t="n">
        <v>77</v>
      </c>
      <c r="B81" s="35" t="n">
        <v>2077</v>
      </c>
      <c r="C81" s="36" t="inlineStr">
        <is>
          <t>1705320001</t>
        </is>
      </c>
      <c r="D81" s="36" t="inlineStr">
        <is>
          <t>MIMAROPA Region</t>
        </is>
      </c>
      <c r="E81" s="36" t="inlineStr">
        <is>
          <t>Palawan</t>
        </is>
      </c>
      <c r="F81" s="36" t="inlineStr">
        <is>
          <t>Taytay</t>
        </is>
      </c>
      <c r="G81" s="36" t="inlineStr">
        <is>
          <t>Abongan</t>
        </is>
      </c>
      <c r="H81" s="37" t="n">
        <v>10.674752</v>
      </c>
      <c r="I81" s="37" t="n">
        <v>119.456936</v>
      </c>
      <c r="J81" s="8" t="inlineStr">
        <is>
          <t>R</t>
        </is>
      </c>
      <c r="K81" s="36" t="inlineStr">
        <is>
          <t>Class 1-3 / Urban</t>
        </is>
      </c>
      <c r="L81" s="18" t="n">
        <v>4642</v>
      </c>
      <c r="M81" s="20" t="n">
        <v>4.35</v>
      </c>
      <c r="N81" s="18">
        <f>ROUND(L81/M81, 0)</f>
        <v/>
      </c>
      <c r="O81" s="18">
        <f>ROUND(N81*'Methodology &amp; Assumptions'!$B$8, 0)</f>
        <v/>
      </c>
      <c r="P81" s="8" t="inlineStr">
        <is>
          <t>Band n50 (1.5 GHz, 60 MHz)</t>
        </is>
      </c>
      <c r="Q81" s="38">
        <f>ROUNDUP(O81/'Methodology &amp; Assumptions'!$B$9, 0)</f>
        <v/>
      </c>
      <c r="R81" s="39" t="n">
        <v>1</v>
      </c>
      <c r="S81" s="21" t="n">
        <v>2.68</v>
      </c>
      <c r="T81" s="21" t="n">
        <v>0.19</v>
      </c>
      <c r="U81" s="36" t="inlineStr">
        <is>
          <t>Tier 1B (Micro Drop, 1-3 km)</t>
        </is>
      </c>
      <c r="V81" s="20" t="n">
        <v>50.9</v>
      </c>
      <c r="W81" s="20" t="n">
        <v>100</v>
      </c>
      <c r="X81" s="20" t="n">
        <v>58</v>
      </c>
      <c r="Y81" s="40">
        <f>ROUND((V81*'Methodology &amp; Assumptions'!$B$6)+(W81*'Methodology &amp; Assumptions'!$B$5)+(X81*'Methodology &amp; Assumptions'!$B$7), 2)</f>
        <v/>
      </c>
    </row>
    <row r="82" ht="19" customHeight="1">
      <c r="A82" s="41" t="n">
        <v>78</v>
      </c>
      <c r="B82" s="41" t="n">
        <v>2078</v>
      </c>
      <c r="C82" s="42" t="inlineStr">
        <is>
          <t>0305417015</t>
        </is>
      </c>
      <c r="D82" s="42" t="inlineStr">
        <is>
          <t>Region III (Central Luzon)</t>
        </is>
      </c>
      <c r="E82" s="42" t="inlineStr">
        <is>
          <t>Pampanga</t>
        </is>
      </c>
      <c r="F82" s="42" t="inlineStr">
        <is>
          <t>San Luis</t>
        </is>
      </c>
      <c r="G82" s="42" t="inlineStr">
        <is>
          <t>Santa Rita</t>
        </is>
      </c>
      <c r="H82" s="43" t="n">
        <v>15.034114</v>
      </c>
      <c r="I82" s="43" t="n">
        <v>120.780554</v>
      </c>
      <c r="J82" s="44" t="inlineStr">
        <is>
          <t>R</t>
        </is>
      </c>
      <c r="K82" s="42" t="inlineStr">
        <is>
          <t>Class 1-3 / Urban</t>
        </is>
      </c>
      <c r="L82" s="23" t="n">
        <v>2645</v>
      </c>
      <c r="M82" s="24" t="n">
        <v>4.63</v>
      </c>
      <c r="N82" s="23">
        <f>ROUND(L82/M82, 0)</f>
        <v/>
      </c>
      <c r="O82" s="23">
        <f>ROUND(N82*'Methodology &amp; Assumptions'!$B$8, 0)</f>
        <v/>
      </c>
      <c r="P82" s="44" t="inlineStr">
        <is>
          <t>Band n50 (1.5 GHz, 60 MHz)</t>
        </is>
      </c>
      <c r="Q82" s="38">
        <f>ROUNDUP(O82/'Methodology &amp; Assumptions'!$B$9, 0)</f>
        <v/>
      </c>
      <c r="R82" s="39" t="n">
        <v>1</v>
      </c>
      <c r="S82" s="25" t="n">
        <v>1.02</v>
      </c>
      <c r="T82" s="25" t="n">
        <v>0.85</v>
      </c>
      <c r="U82" s="42" t="inlineStr">
        <is>
          <t>Tier 1B (Micro Drop, 1-3 km)</t>
        </is>
      </c>
      <c r="V82" s="24" t="n">
        <v>81.2</v>
      </c>
      <c r="W82" s="24" t="n">
        <v>69.59999999999999</v>
      </c>
      <c r="X82" s="24" t="n">
        <v>58</v>
      </c>
      <c r="Y82" s="45">
        <f>ROUND((V82*'Methodology &amp; Assumptions'!$B$6)+(W82*'Methodology &amp; Assumptions'!$B$5)+(X82*'Methodology &amp; Assumptions'!$B$7), 2)</f>
        <v/>
      </c>
    </row>
    <row r="83" ht="19" customHeight="1">
      <c r="A83" s="35" t="n">
        <v>79</v>
      </c>
      <c r="B83" s="35" t="n">
        <v>2079</v>
      </c>
      <c r="C83" s="36" t="inlineStr">
        <is>
          <t>0405638008</t>
        </is>
      </c>
      <c r="D83" s="36" t="inlineStr">
        <is>
          <t>Region IV-A (CALABARZON)</t>
        </is>
      </c>
      <c r="E83" s="36" t="inlineStr">
        <is>
          <t>Quezon</t>
        </is>
      </c>
      <c r="F83" s="36" t="inlineStr">
        <is>
          <t>Real</t>
        </is>
      </c>
      <c r="G83" s="36" t="inlineStr">
        <is>
          <t>Maragondon</t>
        </is>
      </c>
      <c r="H83" s="37" t="n">
        <v>14.53442</v>
      </c>
      <c r="I83" s="37" t="n">
        <v>121.577895</v>
      </c>
      <c r="J83" s="8" t="inlineStr">
        <is>
          <t>R</t>
        </is>
      </c>
      <c r="K83" s="36" t="inlineStr">
        <is>
          <t>Class 1-3 / Urban</t>
        </is>
      </c>
      <c r="L83" s="18" t="n">
        <v>2233</v>
      </c>
      <c r="M83" s="20" t="n">
        <v>4.46</v>
      </c>
      <c r="N83" s="18">
        <f>ROUND(L83/M83, 0)</f>
        <v/>
      </c>
      <c r="O83" s="18">
        <f>ROUND(N83*'Methodology &amp; Assumptions'!$B$8, 0)</f>
        <v/>
      </c>
      <c r="P83" s="8" t="inlineStr">
        <is>
          <t>Band n50 (1.5 GHz, 60 MHz)</t>
        </is>
      </c>
      <c r="Q83" s="38">
        <f>ROUNDUP(O83/'Methodology &amp; Assumptions'!$B$9, 0)</f>
        <v/>
      </c>
      <c r="R83" s="39" t="n">
        <v>1</v>
      </c>
      <c r="S83" s="21" t="n">
        <v>0.42</v>
      </c>
      <c r="T83" s="21" t="n">
        <v>17.01</v>
      </c>
      <c r="U83" s="36" t="inlineStr">
        <is>
          <t>Tier 1A (Direct Coloc, &lt;1 km)</t>
        </is>
      </c>
      <c r="V83" s="20" t="n">
        <v>86.8</v>
      </c>
      <c r="W83" s="20" t="n">
        <v>64</v>
      </c>
      <c r="X83" s="20" t="n">
        <v>58</v>
      </c>
      <c r="Y83" s="40">
        <f>ROUND((V83*'Methodology &amp; Assumptions'!$B$6)+(W83*'Methodology &amp; Assumptions'!$B$5)+(X83*'Methodology &amp; Assumptions'!$B$7), 2)</f>
        <v/>
      </c>
    </row>
    <row r="84" ht="19" customHeight="1">
      <c r="A84" s="41" t="n">
        <v>80</v>
      </c>
      <c r="B84" s="41" t="n">
        <v>2080</v>
      </c>
      <c r="C84" s="42" t="inlineStr">
        <is>
          <t>1430300109</t>
        </is>
      </c>
      <c r="D84" s="42" t="inlineStr">
        <is>
          <t>Cordillera Administrative Region (CAR)</t>
        </is>
      </c>
      <c r="E84" s="42" t="inlineStr">
        <is>
          <t>Benguet</t>
        </is>
      </c>
      <c r="F84" s="42" t="inlineStr">
        <is>
          <t>City of Baguio</t>
        </is>
      </c>
      <c r="G84" s="42" t="inlineStr">
        <is>
          <t>Sanitary Camp, South</t>
        </is>
      </c>
      <c r="H84" s="43" t="n">
        <v>16.42753</v>
      </c>
      <c r="I84" s="43" t="n">
        <v>120.59777</v>
      </c>
      <c r="J84" s="44" t="inlineStr">
        <is>
          <t>R</t>
        </is>
      </c>
      <c r="K84" s="42" t="inlineStr">
        <is>
          <t>Class 1-3 / Urban</t>
        </is>
      </c>
      <c r="L84" s="23" t="n">
        <v>2053</v>
      </c>
      <c r="M84" s="24" t="n">
        <v>4.58</v>
      </c>
      <c r="N84" s="23">
        <f>ROUND(L84/M84, 0)</f>
        <v/>
      </c>
      <c r="O84" s="23">
        <f>ROUND(N84*'Methodology &amp; Assumptions'!$B$8, 0)</f>
        <v/>
      </c>
      <c r="P84" s="44" t="inlineStr">
        <is>
          <t>Band n50 (1.5 GHz, 60 MHz)</t>
        </is>
      </c>
      <c r="Q84" s="38">
        <f>ROUNDUP(O84/'Methodology &amp; Assumptions'!$B$9, 0)</f>
        <v/>
      </c>
      <c r="R84" s="39" t="n">
        <v>1</v>
      </c>
      <c r="S84" s="25" t="n">
        <v>0.48</v>
      </c>
      <c r="T84" s="25" t="n">
        <v>1.55</v>
      </c>
      <c r="U84" s="42" t="inlineStr">
        <is>
          <t>Tier 1A (Direct Coloc, &lt;1 km)</t>
        </is>
      </c>
      <c r="V84" s="24" t="n">
        <v>95.09999999999999</v>
      </c>
      <c r="W84" s="24" t="n">
        <v>55.7</v>
      </c>
      <c r="X84" s="24" t="n">
        <v>58</v>
      </c>
      <c r="Y84" s="45">
        <f>ROUND((V84*'Methodology &amp; Assumptions'!$B$6)+(W84*'Methodology &amp; Assumptions'!$B$5)+(X84*'Methodology &amp; Assumptions'!$B$7), 2)</f>
        <v/>
      </c>
    </row>
    <row r="85" ht="19" customHeight="1">
      <c r="A85" s="35" t="n">
        <v>81</v>
      </c>
      <c r="B85" s="35" t="n">
        <v>2081</v>
      </c>
      <c r="C85" s="36" t="inlineStr">
        <is>
          <t>0604528027</t>
        </is>
      </c>
      <c r="D85" s="36" t="inlineStr">
        <is>
          <t>Region VI (Western Visayas)</t>
        </is>
      </c>
      <c r="E85" s="36" t="inlineStr">
        <is>
          <t>Negros Occidental</t>
        </is>
      </c>
      <c r="F85" s="36" t="inlineStr">
        <is>
          <t>City of Talisay</t>
        </is>
      </c>
      <c r="G85" s="36" t="inlineStr">
        <is>
          <t>Zone 6</t>
        </is>
      </c>
      <c r="H85" s="37" t="n">
        <v>10.737705</v>
      </c>
      <c r="I85" s="37" t="n">
        <v>122.965562</v>
      </c>
      <c r="J85" s="8" t="inlineStr">
        <is>
          <t>R</t>
        </is>
      </c>
      <c r="K85" s="36" t="inlineStr">
        <is>
          <t>Class 1-3 / Urban</t>
        </is>
      </c>
      <c r="L85" s="18" t="n">
        <v>1580</v>
      </c>
      <c r="M85" s="20" t="n">
        <v>4.33</v>
      </c>
      <c r="N85" s="18">
        <f>ROUND(L85/M85, 0)</f>
        <v/>
      </c>
      <c r="O85" s="18">
        <f>ROUND(N85*'Methodology &amp; Assumptions'!$B$8, 0)</f>
        <v/>
      </c>
      <c r="P85" s="8" t="inlineStr">
        <is>
          <t>Band n50 (1.5 GHz, 60 MHz)</t>
        </is>
      </c>
      <c r="Q85" s="38">
        <f>ROUNDUP(O85/'Methodology &amp; Assumptions'!$B$9, 0)</f>
        <v/>
      </c>
      <c r="R85" s="39" t="n">
        <v>1</v>
      </c>
      <c r="S85" s="21" t="n">
        <v>0.4</v>
      </c>
      <c r="T85" s="21" t="n">
        <v>0.25</v>
      </c>
      <c r="U85" s="36" t="inlineStr">
        <is>
          <t>Tier 1A (Direct Coloc, &lt;1 km)</t>
        </is>
      </c>
      <c r="V85" s="20" t="n">
        <v>97.5</v>
      </c>
      <c r="W85" s="20" t="n">
        <v>53.3</v>
      </c>
      <c r="X85" s="20" t="n">
        <v>58</v>
      </c>
      <c r="Y85" s="40">
        <f>ROUND((V85*'Methodology &amp; Assumptions'!$B$6)+(W85*'Methodology &amp; Assumptions'!$B$5)+(X85*'Methodology &amp; Assumptions'!$B$7), 2)</f>
        <v/>
      </c>
    </row>
    <row r="86" ht="19" customHeight="1">
      <c r="A86" s="41" t="n">
        <v>82</v>
      </c>
      <c r="B86" s="41" t="n">
        <v>2082</v>
      </c>
      <c r="C86" s="42" t="inlineStr">
        <is>
          <t>0305416034</t>
        </is>
      </c>
      <c r="D86" s="42" t="inlineStr">
        <is>
          <t>Region III (Central Luzon)</t>
        </is>
      </c>
      <c r="E86" s="42" t="inlineStr">
        <is>
          <t>Pampanga</t>
        </is>
      </c>
      <c r="F86" s="42" t="inlineStr">
        <is>
          <t>City of San Fernando</t>
        </is>
      </c>
      <c r="G86" s="42" t="inlineStr">
        <is>
          <t>Santo Niño</t>
        </is>
      </c>
      <c r="H86" s="43" t="n">
        <v>15.029063</v>
      </c>
      <c r="I86" s="43" t="n">
        <v>120.682746</v>
      </c>
      <c r="J86" s="44" t="inlineStr">
        <is>
          <t>U</t>
        </is>
      </c>
      <c r="K86" s="42" t="inlineStr">
        <is>
          <t>Class 1-3 / Urban</t>
        </is>
      </c>
      <c r="L86" s="23" t="n">
        <v>11208</v>
      </c>
      <c r="M86" s="24" t="n">
        <v>4.63</v>
      </c>
      <c r="N86" s="23">
        <f>ROUND(L86/M86, 0)</f>
        <v/>
      </c>
      <c r="O86" s="23">
        <f>ROUND(N86*'Methodology &amp; Assumptions'!$B$8, 0)</f>
        <v/>
      </c>
      <c r="P86" s="44" t="inlineStr">
        <is>
          <t>Band n50 (1.5 GHz, 60 MHz)</t>
        </is>
      </c>
      <c r="Q86" s="38">
        <f>ROUNDUP(O86/'Methodology &amp; Assumptions'!$B$9, 0)</f>
        <v/>
      </c>
      <c r="R86" s="39" t="n">
        <v>1</v>
      </c>
      <c r="S86" s="25" t="n">
        <v>1.22</v>
      </c>
      <c r="T86" s="25" t="n">
        <v>0.55</v>
      </c>
      <c r="U86" s="42" t="inlineStr">
        <is>
          <t>Tier 1B (Micro Drop, 1-3 km)</t>
        </is>
      </c>
      <c r="V86" s="24" t="n">
        <v>76.59999999999999</v>
      </c>
      <c r="W86" s="24" t="n">
        <v>100</v>
      </c>
      <c r="X86" s="24" t="n">
        <v>28</v>
      </c>
      <c r="Y86" s="45">
        <f>ROUND((V86*'Methodology &amp; Assumptions'!$B$6)+(W86*'Methodology &amp; Assumptions'!$B$5)+(X86*'Methodology &amp; Assumptions'!$B$7), 2)</f>
        <v/>
      </c>
    </row>
    <row r="87" ht="19" customHeight="1">
      <c r="A87" s="35" t="n">
        <v>83</v>
      </c>
      <c r="B87" s="35" t="n">
        <v>2083</v>
      </c>
      <c r="C87" s="36" t="inlineStr">
        <is>
          <t>0402109045</t>
        </is>
      </c>
      <c r="D87" s="36" t="inlineStr">
        <is>
          <t>Region IV-A (CALABARZON)</t>
        </is>
      </c>
      <c r="E87" s="36" t="inlineStr">
        <is>
          <t>Cavite</t>
        </is>
      </c>
      <c r="F87" s="36" t="inlineStr">
        <is>
          <t>City of Imus</t>
        </is>
      </c>
      <c r="G87" s="36" t="inlineStr">
        <is>
          <t>Bayan Luma VI</t>
        </is>
      </c>
      <c r="H87" s="37" t="n">
        <v>14.410908</v>
      </c>
      <c r="I87" s="37" t="n">
        <v>120.935179</v>
      </c>
      <c r="J87" s="8" t="inlineStr">
        <is>
          <t>R</t>
        </is>
      </c>
      <c r="K87" s="36" t="inlineStr">
        <is>
          <t>Class 1-3 / Urban</t>
        </is>
      </c>
      <c r="L87" s="18" t="n">
        <v>2715</v>
      </c>
      <c r="M87" s="20" t="n">
        <v>4.49</v>
      </c>
      <c r="N87" s="18">
        <f>ROUND(L87/M87, 0)</f>
        <v/>
      </c>
      <c r="O87" s="18">
        <f>ROUND(N87*'Methodology &amp; Assumptions'!$B$8, 0)</f>
        <v/>
      </c>
      <c r="P87" s="8" t="inlineStr">
        <is>
          <t>Band n50 (1.5 GHz, 60 MHz)</t>
        </is>
      </c>
      <c r="Q87" s="38">
        <f>ROUNDUP(O87/'Methodology &amp; Assumptions'!$B$9, 0)</f>
        <v/>
      </c>
      <c r="R87" s="39" t="n">
        <v>1</v>
      </c>
      <c r="S87" s="21" t="n">
        <v>0.73</v>
      </c>
      <c r="T87" s="21" t="n">
        <v>4.15</v>
      </c>
      <c r="U87" s="36" t="inlineStr">
        <is>
          <t>Tier 1A (Direct Coloc, &lt;1 km)</t>
        </is>
      </c>
      <c r="V87" s="20" t="n">
        <v>78.3</v>
      </c>
      <c r="W87" s="20" t="n">
        <v>72.5</v>
      </c>
      <c r="X87" s="20" t="n">
        <v>58</v>
      </c>
      <c r="Y87" s="40">
        <f>ROUND((V87*'Methodology &amp; Assumptions'!$B$6)+(W87*'Methodology &amp; Assumptions'!$B$5)+(X87*'Methodology &amp; Assumptions'!$B$7), 2)</f>
        <v/>
      </c>
    </row>
    <row r="88" ht="19" customHeight="1">
      <c r="A88" s="41" t="n">
        <v>84</v>
      </c>
      <c r="B88" s="41" t="n">
        <v>2084</v>
      </c>
      <c r="C88" s="42" t="inlineStr">
        <is>
          <t>0405806019</t>
        </is>
      </c>
      <c r="D88" s="42" t="inlineStr">
        <is>
          <t>Region IV-A (CALABARZON)</t>
        </is>
      </c>
      <c r="E88" s="42" t="inlineStr">
        <is>
          <t>Rizal</t>
        </is>
      </c>
      <c r="F88" s="42" t="inlineStr">
        <is>
          <t>Cardona</t>
        </is>
      </c>
      <c r="G88" s="42" t="inlineStr">
        <is>
          <t>Patunhay</t>
        </is>
      </c>
      <c r="H88" s="43" t="n">
        <v>14.48623</v>
      </c>
      <c r="I88" s="43" t="n">
        <v>121.2334</v>
      </c>
      <c r="J88" s="44" t="inlineStr">
        <is>
          <t>R</t>
        </is>
      </c>
      <c r="K88" s="42" t="inlineStr">
        <is>
          <t>Class 1-3 / Urban</t>
        </is>
      </c>
      <c r="L88" s="23" t="n">
        <v>1519</v>
      </c>
      <c r="M88" s="24" t="n">
        <v>4.39</v>
      </c>
      <c r="N88" s="23">
        <f>ROUND(L88/M88, 0)</f>
        <v/>
      </c>
      <c r="O88" s="23">
        <f>ROUND(N88*'Methodology &amp; Assumptions'!$B$8, 0)</f>
        <v/>
      </c>
      <c r="P88" s="44" t="inlineStr">
        <is>
          <t>Band n50 (1.5 GHz, 60 MHz)</t>
        </is>
      </c>
      <c r="Q88" s="38">
        <f>ROUNDUP(O88/'Methodology &amp; Assumptions'!$B$9, 0)</f>
        <v/>
      </c>
      <c r="R88" s="39" t="n">
        <v>1</v>
      </c>
      <c r="S88" s="25" t="n">
        <v>0.35</v>
      </c>
      <c r="T88" s="25" t="n">
        <v>0.14</v>
      </c>
      <c r="U88" s="42" t="inlineStr">
        <is>
          <t>Tier 1A (Direct Coloc, &lt;1 km)</t>
        </is>
      </c>
      <c r="V88" s="24" t="n">
        <v>99.09999999999999</v>
      </c>
      <c r="W88" s="24" t="n">
        <v>51.7</v>
      </c>
      <c r="X88" s="24" t="n">
        <v>58</v>
      </c>
      <c r="Y88" s="45">
        <f>ROUND((V88*'Methodology &amp; Assumptions'!$B$6)+(W88*'Methodology &amp; Assumptions'!$B$5)+(X88*'Methodology &amp; Assumptions'!$B$7), 2)</f>
        <v/>
      </c>
    </row>
    <row r="89" ht="19" customHeight="1">
      <c r="A89" s="35" t="n">
        <v>85</v>
      </c>
      <c r="B89" s="35" t="n">
        <v>2085</v>
      </c>
      <c r="C89" s="36" t="inlineStr">
        <is>
          <t>0403422008</t>
        </is>
      </c>
      <c r="D89" s="36" t="inlineStr">
        <is>
          <t>Region IV-A (CALABARZON)</t>
        </is>
      </c>
      <c r="E89" s="36" t="inlineStr">
        <is>
          <t>Laguna</t>
        </is>
      </c>
      <c r="F89" s="36" t="inlineStr">
        <is>
          <t>Pila</t>
        </is>
      </c>
      <c r="G89" s="36" t="inlineStr">
        <is>
          <t>Linga</t>
        </is>
      </c>
      <c r="H89" s="37" t="n">
        <v>14.255423</v>
      </c>
      <c r="I89" s="37" t="n">
        <v>121.359026</v>
      </c>
      <c r="J89" s="8" t="inlineStr">
        <is>
          <t>R</t>
        </is>
      </c>
      <c r="K89" s="36" t="inlineStr">
        <is>
          <t>Class 1-3 / Urban</t>
        </is>
      </c>
      <c r="L89" s="18" t="n">
        <v>3580</v>
      </c>
      <c r="M89" s="20" t="n">
        <v>4.2</v>
      </c>
      <c r="N89" s="18">
        <f>ROUND(L89/M89, 0)</f>
        <v/>
      </c>
      <c r="O89" s="18">
        <f>ROUND(N89*'Methodology &amp; Assumptions'!$B$8, 0)</f>
        <v/>
      </c>
      <c r="P89" s="8" t="inlineStr">
        <is>
          <t>Band n50 (1.5 GHz, 60 MHz)</t>
        </is>
      </c>
      <c r="Q89" s="38">
        <f>ROUNDUP(O89/'Methodology &amp; Assumptions'!$B$9, 0)</f>
        <v/>
      </c>
      <c r="R89" s="39" t="n">
        <v>1</v>
      </c>
      <c r="S89" s="21" t="n">
        <v>2.17</v>
      </c>
      <c r="T89" s="21" t="n">
        <v>1.63</v>
      </c>
      <c r="U89" s="36" t="inlineStr">
        <is>
          <t>Tier 1B (Micro Drop, 1-3 km)</t>
        </is>
      </c>
      <c r="V89" s="20" t="n">
        <v>58.5</v>
      </c>
      <c r="W89" s="20" t="n">
        <v>92.3</v>
      </c>
      <c r="X89" s="20" t="n">
        <v>58</v>
      </c>
      <c r="Y89" s="40">
        <f>ROUND((V89*'Methodology &amp; Assumptions'!$B$6)+(W89*'Methodology &amp; Assumptions'!$B$5)+(X89*'Methodology &amp; Assumptions'!$B$7), 2)</f>
        <v/>
      </c>
    </row>
    <row r="90" ht="19" customHeight="1">
      <c r="A90" s="41" t="n">
        <v>86</v>
      </c>
      <c r="B90" s="41" t="n">
        <v>2086</v>
      </c>
      <c r="C90" s="42" t="inlineStr">
        <is>
          <t>0306909011</t>
        </is>
      </c>
      <c r="D90" s="42" t="inlineStr">
        <is>
          <t>Region III (Central Luzon)</t>
        </is>
      </c>
      <c r="E90" s="42" t="inlineStr">
        <is>
          <t>Tarlac</t>
        </is>
      </c>
      <c r="F90" s="42" t="inlineStr">
        <is>
          <t>Moncada</t>
        </is>
      </c>
      <c r="G90" s="42" t="inlineStr">
        <is>
          <t>Camangaan East</t>
        </is>
      </c>
      <c r="H90" s="43" t="n">
        <v>15.72625</v>
      </c>
      <c r="I90" s="43" t="n">
        <v>120.5713</v>
      </c>
      <c r="J90" s="44" t="inlineStr">
        <is>
          <t>R</t>
        </is>
      </c>
      <c r="K90" s="42" t="inlineStr">
        <is>
          <t>Class 1-3 / Urban</t>
        </is>
      </c>
      <c r="L90" s="23" t="n">
        <v>1713</v>
      </c>
      <c r="M90" s="24" t="n">
        <v>4.3</v>
      </c>
      <c r="N90" s="23">
        <f>ROUND(L90/M90, 0)</f>
        <v/>
      </c>
      <c r="O90" s="23">
        <f>ROUND(N90*'Methodology &amp; Assumptions'!$B$8, 0)</f>
        <v/>
      </c>
      <c r="P90" s="44" t="inlineStr">
        <is>
          <t>Band n50 (1.5 GHz, 60 MHz)</t>
        </is>
      </c>
      <c r="Q90" s="38">
        <f>ROUNDUP(O90/'Methodology &amp; Assumptions'!$B$9, 0)</f>
        <v/>
      </c>
      <c r="R90" s="39" t="n">
        <v>1</v>
      </c>
      <c r="S90" s="25" t="n">
        <v>0.48</v>
      </c>
      <c r="T90" s="25" t="n">
        <v>0.14</v>
      </c>
      <c r="U90" s="42" t="inlineStr">
        <is>
          <t>Tier 1A (Direct Coloc, &lt;1 km)</t>
        </is>
      </c>
      <c r="V90" s="24" t="n">
        <v>95.09999999999999</v>
      </c>
      <c r="W90" s="24" t="n">
        <v>55.7</v>
      </c>
      <c r="X90" s="24" t="n">
        <v>58</v>
      </c>
      <c r="Y90" s="45">
        <f>ROUND((V90*'Methodology &amp; Assumptions'!$B$6)+(W90*'Methodology &amp; Assumptions'!$B$5)+(X90*'Methodology &amp; Assumptions'!$B$7), 2)</f>
        <v/>
      </c>
    </row>
    <row r="91" ht="19" customHeight="1">
      <c r="A91" s="35" t="n">
        <v>87</v>
      </c>
      <c r="B91" s="35" t="n">
        <v>2087</v>
      </c>
      <c r="C91" s="36" t="inlineStr">
        <is>
          <t>0307106006</t>
        </is>
      </c>
      <c r="D91" s="36" t="inlineStr">
        <is>
          <t>Region III (Central Luzon)</t>
        </is>
      </c>
      <c r="E91" s="36" t="inlineStr">
        <is>
          <t>Zambales</t>
        </is>
      </c>
      <c r="F91" s="36" t="inlineStr">
        <is>
          <t>Masinloc</t>
        </is>
      </c>
      <c r="G91" s="36" t="inlineStr">
        <is>
          <t>North Poblacion</t>
        </is>
      </c>
      <c r="H91" s="37" t="n">
        <v>15.5393</v>
      </c>
      <c r="I91" s="37" t="n">
        <v>119.949317</v>
      </c>
      <c r="J91" s="8" t="inlineStr">
        <is>
          <t>R</t>
        </is>
      </c>
      <c r="K91" s="36" t="inlineStr">
        <is>
          <t>Class 1-3 / Urban</t>
        </is>
      </c>
      <c r="L91" s="18" t="n">
        <v>1672</v>
      </c>
      <c r="M91" s="20" t="n">
        <v>4.05</v>
      </c>
      <c r="N91" s="18">
        <f>ROUND(L91/M91, 0)</f>
        <v/>
      </c>
      <c r="O91" s="18">
        <f>ROUND(N91*'Methodology &amp; Assumptions'!$B$8, 0)</f>
        <v/>
      </c>
      <c r="P91" s="8" t="inlineStr">
        <is>
          <t>Band n50 (1.5 GHz, 60 MHz)</t>
        </is>
      </c>
      <c r="Q91" s="38">
        <f>ROUNDUP(O91/'Methodology &amp; Assumptions'!$B$9, 0)</f>
        <v/>
      </c>
      <c r="R91" s="39" t="n">
        <v>1</v>
      </c>
      <c r="S91" s="21" t="n">
        <v>0.53</v>
      </c>
      <c r="T91" s="21" t="n">
        <v>0.47</v>
      </c>
      <c r="U91" s="36" t="inlineStr">
        <is>
          <t>Tier 1A (Direct Coloc, &lt;1 km)</t>
        </is>
      </c>
      <c r="V91" s="20" t="n">
        <v>93.7</v>
      </c>
      <c r="W91" s="20" t="n">
        <v>57.1</v>
      </c>
      <c r="X91" s="20" t="n">
        <v>58</v>
      </c>
      <c r="Y91" s="40">
        <f>ROUND((V91*'Methodology &amp; Assumptions'!$B$6)+(W91*'Methodology &amp; Assumptions'!$B$5)+(X91*'Methodology &amp; Assumptions'!$B$7), 2)</f>
        <v/>
      </c>
    </row>
    <row r="92" ht="19" customHeight="1">
      <c r="A92" s="41" t="n">
        <v>88</v>
      </c>
      <c r="B92" s="41" t="n">
        <v>2088</v>
      </c>
      <c r="C92" s="42" t="inlineStr">
        <is>
          <t>0506205021</t>
        </is>
      </c>
      <c r="D92" s="42" t="inlineStr">
        <is>
          <t>Region V (Bicol Region)</t>
        </is>
      </c>
      <c r="E92" s="42" t="inlineStr">
        <is>
          <t>Sorsogon</t>
        </is>
      </c>
      <c r="F92" s="42" t="inlineStr">
        <is>
          <t>Casiguran</t>
        </is>
      </c>
      <c r="G92" s="42" t="inlineStr">
        <is>
          <t>Somal-ot</t>
        </is>
      </c>
      <c r="H92" s="43" t="n">
        <v>12.87429</v>
      </c>
      <c r="I92" s="43" t="n">
        <v>124.01085</v>
      </c>
      <c r="J92" s="44" t="inlineStr">
        <is>
          <t>R</t>
        </is>
      </c>
      <c r="K92" s="42" t="inlineStr">
        <is>
          <t>3rd</t>
        </is>
      </c>
      <c r="L92" s="23" t="n">
        <v>1624</v>
      </c>
      <c r="M92" s="24" t="n">
        <v>4.6</v>
      </c>
      <c r="N92" s="23">
        <f>ROUND(L92/M92, 0)</f>
        <v/>
      </c>
      <c r="O92" s="23">
        <f>ROUND(N92*'Methodology &amp; Assumptions'!$B$8, 0)</f>
        <v/>
      </c>
      <c r="P92" s="44" t="inlineStr">
        <is>
          <t>Band n50 (1.5 GHz, 60 MHz)</t>
        </is>
      </c>
      <c r="Q92" s="38">
        <f>ROUNDUP(O92/'Methodology &amp; Assumptions'!$B$9, 0)</f>
        <v/>
      </c>
      <c r="R92" s="39" t="n">
        <v>1</v>
      </c>
      <c r="S92" s="25" t="n">
        <v>0.37</v>
      </c>
      <c r="T92" s="25" t="n">
        <v>0.39</v>
      </c>
      <c r="U92" s="42" t="inlineStr">
        <is>
          <t>Tier 1A (Direct Coloc, &lt;1 km)</t>
        </is>
      </c>
      <c r="V92" s="24" t="n">
        <v>98.5</v>
      </c>
      <c r="W92" s="24" t="n">
        <v>52.3</v>
      </c>
      <c r="X92" s="24" t="n">
        <v>58</v>
      </c>
      <c r="Y92" s="45">
        <f>ROUND((V92*'Methodology &amp; Assumptions'!$B$6)+(W92*'Methodology &amp; Assumptions'!$B$5)+(X92*'Methodology &amp; Assumptions'!$B$7), 2)</f>
        <v/>
      </c>
    </row>
    <row r="93" ht="19" customHeight="1">
      <c r="A93" s="35" t="n">
        <v>89</v>
      </c>
      <c r="B93" s="35" t="n">
        <v>2089</v>
      </c>
      <c r="C93" s="36" t="inlineStr">
        <is>
          <t>0501701013</t>
        </is>
      </c>
      <c r="D93" s="36" t="inlineStr">
        <is>
          <t>Region V (Bicol Region)</t>
        </is>
      </c>
      <c r="E93" s="36" t="inlineStr">
        <is>
          <t>Camarines Sur</t>
        </is>
      </c>
      <c r="F93" s="36" t="inlineStr">
        <is>
          <t>Baao</t>
        </is>
      </c>
      <c r="G93" s="36" t="inlineStr">
        <is>
          <t>Salvacion</t>
        </is>
      </c>
      <c r="H93" s="37" t="n">
        <v>13.461644</v>
      </c>
      <c r="I93" s="37" t="n">
        <v>123.375856</v>
      </c>
      <c r="J93" s="8" t="inlineStr">
        <is>
          <t>R</t>
        </is>
      </c>
      <c r="K93" s="36" t="inlineStr">
        <is>
          <t>Class 1-3 / Urban</t>
        </is>
      </c>
      <c r="L93" s="18" t="n">
        <v>3225</v>
      </c>
      <c r="M93" s="20" t="n">
        <v>4.9</v>
      </c>
      <c r="N93" s="18">
        <f>ROUND(L93/M93, 0)</f>
        <v/>
      </c>
      <c r="O93" s="18">
        <f>ROUND(N93*'Methodology &amp; Assumptions'!$B$8, 0)</f>
        <v/>
      </c>
      <c r="P93" s="8" t="inlineStr">
        <is>
          <t>Band n50 (1.5 GHz, 60 MHz)</t>
        </is>
      </c>
      <c r="Q93" s="38">
        <f>ROUNDUP(O93/'Methodology &amp; Assumptions'!$B$9, 0)</f>
        <v/>
      </c>
      <c r="R93" s="39" t="n">
        <v>1</v>
      </c>
      <c r="S93" s="21" t="n">
        <v>1.33</v>
      </c>
      <c r="T93" s="21" t="n">
        <v>1.1</v>
      </c>
      <c r="U93" s="36" t="inlineStr">
        <is>
          <t>Tier 1B (Micro Drop, 1-3 km)</t>
        </is>
      </c>
      <c r="V93" s="20" t="n">
        <v>74.2</v>
      </c>
      <c r="W93" s="20" t="n">
        <v>76.5</v>
      </c>
      <c r="X93" s="20" t="n">
        <v>58</v>
      </c>
      <c r="Y93" s="40">
        <f>ROUND((V93*'Methodology &amp; Assumptions'!$B$6)+(W93*'Methodology &amp; Assumptions'!$B$5)+(X93*'Methodology &amp; Assumptions'!$B$7), 2)</f>
        <v/>
      </c>
    </row>
    <row r="94" ht="19" customHeight="1">
      <c r="A94" s="41" t="n">
        <v>90</v>
      </c>
      <c r="B94" s="41" t="n">
        <v>2090</v>
      </c>
      <c r="C94" s="42" t="inlineStr">
        <is>
          <t>0401014007</t>
        </is>
      </c>
      <c r="D94" s="42" t="inlineStr">
        <is>
          <t>Region IV-A (CALABARZON)</t>
        </is>
      </c>
      <c r="E94" s="42" t="inlineStr">
        <is>
          <t>Batangas</t>
        </is>
      </c>
      <c r="F94" s="42" t="inlineStr">
        <is>
          <t>City of Lipa</t>
        </is>
      </c>
      <c r="G94" s="42" t="inlineStr">
        <is>
          <t>Bagong Pook</t>
        </is>
      </c>
      <c r="H94" s="43" t="n">
        <v>13.942137</v>
      </c>
      <c r="I94" s="43" t="n">
        <v>121.110155</v>
      </c>
      <c r="J94" s="44" t="inlineStr">
        <is>
          <t>U</t>
        </is>
      </c>
      <c r="K94" s="42" t="inlineStr">
        <is>
          <t>Class 1-3 / Urban</t>
        </is>
      </c>
      <c r="L94" s="23" t="n">
        <v>7081</v>
      </c>
      <c r="M94" s="24" t="n">
        <v>4.62</v>
      </c>
      <c r="N94" s="23">
        <f>ROUND(L94/M94, 0)</f>
        <v/>
      </c>
      <c r="O94" s="23">
        <f>ROUND(N94*'Methodology &amp; Assumptions'!$B$8, 0)</f>
        <v/>
      </c>
      <c r="P94" s="44" t="inlineStr">
        <is>
          <t>Band n50 (1.5 GHz, 60 MHz)</t>
        </is>
      </c>
      <c r="Q94" s="38">
        <f>ROUNDUP(O94/'Methodology &amp; Assumptions'!$B$9, 0)</f>
        <v/>
      </c>
      <c r="R94" s="39" t="n">
        <v>1</v>
      </c>
      <c r="S94" s="25" t="n">
        <v>1.23</v>
      </c>
      <c r="T94" s="25" t="n">
        <v>1.17</v>
      </c>
      <c r="U94" s="42" t="inlineStr">
        <is>
          <t>Tier 1B (Micro Drop, 1-3 km)</t>
        </is>
      </c>
      <c r="V94" s="24" t="n">
        <v>76.5</v>
      </c>
      <c r="W94" s="24" t="n">
        <v>100</v>
      </c>
      <c r="X94" s="24" t="n">
        <v>28</v>
      </c>
      <c r="Y94" s="45">
        <f>ROUND((V94*'Methodology &amp; Assumptions'!$B$6)+(W94*'Methodology &amp; Assumptions'!$B$5)+(X94*'Methodology &amp; Assumptions'!$B$7), 2)</f>
        <v/>
      </c>
    </row>
    <row r="95" ht="19" customHeight="1">
      <c r="A95" s="35" t="n">
        <v>91</v>
      </c>
      <c r="B95" s="35" t="n">
        <v>2091</v>
      </c>
      <c r="C95" s="36" t="inlineStr">
        <is>
          <t>0306906029</t>
        </is>
      </c>
      <c r="D95" s="36" t="inlineStr">
        <is>
          <t>Region III (Central Luzon)</t>
        </is>
      </c>
      <c r="E95" s="36" t="inlineStr">
        <is>
          <t>Tarlac</t>
        </is>
      </c>
      <c r="F95" s="36" t="inlineStr">
        <is>
          <t>Gerona</t>
        </is>
      </c>
      <c r="G95" s="36" t="inlineStr">
        <is>
          <t>Poblacion 1</t>
        </is>
      </c>
      <c r="H95" s="37" t="n">
        <v>15.608703</v>
      </c>
      <c r="I95" s="37" t="n">
        <v>120.597393</v>
      </c>
      <c r="J95" s="8" t="inlineStr">
        <is>
          <t>R</t>
        </is>
      </c>
      <c r="K95" s="36" t="inlineStr">
        <is>
          <t>Class 1-3 / Urban</t>
        </is>
      </c>
      <c r="L95" s="18" t="n">
        <v>2986</v>
      </c>
      <c r="M95" s="20" t="n">
        <v>4.3</v>
      </c>
      <c r="N95" s="18">
        <f>ROUND(L95/M95, 0)</f>
        <v/>
      </c>
      <c r="O95" s="18">
        <f>ROUND(N95*'Methodology &amp; Assumptions'!$B$8, 0)</f>
        <v/>
      </c>
      <c r="P95" s="8" t="inlineStr">
        <is>
          <t>Band n50 (1.5 GHz, 60 MHz)</t>
        </is>
      </c>
      <c r="Q95" s="38">
        <f>ROUNDUP(O95/'Methodology &amp; Assumptions'!$B$9, 0)</f>
        <v/>
      </c>
      <c r="R95" s="39" t="n">
        <v>1</v>
      </c>
      <c r="S95" s="21" t="n">
        <v>1.47</v>
      </c>
      <c r="T95" s="21" t="n">
        <v>0.27</v>
      </c>
      <c r="U95" s="36" t="inlineStr">
        <is>
          <t>Tier 1B (Micro Drop, 1-3 km)</t>
        </is>
      </c>
      <c r="V95" s="20" t="n">
        <v>71.2</v>
      </c>
      <c r="W95" s="20" t="n">
        <v>79.5</v>
      </c>
      <c r="X95" s="20" t="n">
        <v>58</v>
      </c>
      <c r="Y95" s="40">
        <f>ROUND((V95*'Methodology &amp; Assumptions'!$B$6)+(W95*'Methodology &amp; Assumptions'!$B$5)+(X95*'Methodology &amp; Assumptions'!$B$7), 2)</f>
        <v/>
      </c>
    </row>
    <row r="96" ht="19" customHeight="1">
      <c r="A96" s="41" t="n">
        <v>92</v>
      </c>
      <c r="B96" s="41" t="n">
        <v>2092</v>
      </c>
      <c r="C96" s="42" t="inlineStr">
        <is>
          <t>0704610019</t>
        </is>
      </c>
      <c r="D96" s="42" t="inlineStr">
        <is>
          <t>Region VII (Central Visayas)</t>
        </is>
      </c>
      <c r="E96" s="42" t="inlineStr">
        <is>
          <t>Negros Oriental</t>
        </is>
      </c>
      <c r="F96" s="42" t="inlineStr">
        <is>
          <t>City of Dumaguete</t>
        </is>
      </c>
      <c r="G96" s="42" t="inlineStr">
        <is>
          <t>Poblacion No. 1</t>
        </is>
      </c>
      <c r="H96" s="43" t="n">
        <v>9.30204</v>
      </c>
      <c r="I96" s="43" t="n">
        <v>123.3102</v>
      </c>
      <c r="J96" s="44" t="inlineStr">
        <is>
          <t>R</t>
        </is>
      </c>
      <c r="K96" s="42" t="inlineStr">
        <is>
          <t>Class 1-3 / Urban</t>
        </is>
      </c>
      <c r="L96" s="23" t="n">
        <v>2141</v>
      </c>
      <c r="M96" s="24" t="n">
        <v>4.33</v>
      </c>
      <c r="N96" s="23">
        <f>ROUND(L96/M96, 0)</f>
        <v/>
      </c>
      <c r="O96" s="23">
        <f>ROUND(N96*'Methodology &amp; Assumptions'!$B$8, 0)</f>
        <v/>
      </c>
      <c r="P96" s="44" t="inlineStr">
        <is>
          <t>Band n50 (1.5 GHz, 60 MHz)</t>
        </is>
      </c>
      <c r="Q96" s="38">
        <f>ROUNDUP(O96/'Methodology &amp; Assumptions'!$B$9, 0)</f>
        <v/>
      </c>
      <c r="R96" s="39" t="n">
        <v>1</v>
      </c>
      <c r="S96" s="25" t="n">
        <v>0.77</v>
      </c>
      <c r="T96" s="25" t="n">
        <v>0.25</v>
      </c>
      <c r="U96" s="42" t="inlineStr">
        <is>
          <t>Tier 1A (Direct Coloc, &lt;1 km)</t>
        </is>
      </c>
      <c r="V96" s="24" t="n">
        <v>87.3</v>
      </c>
      <c r="W96" s="24" t="n">
        <v>63.5</v>
      </c>
      <c r="X96" s="24" t="n">
        <v>58</v>
      </c>
      <c r="Y96" s="45">
        <f>ROUND((V96*'Methodology &amp; Assumptions'!$B$6)+(W96*'Methodology &amp; Assumptions'!$B$5)+(X96*'Methodology &amp; Assumptions'!$B$7), 2)</f>
        <v/>
      </c>
    </row>
    <row r="97" ht="19" customHeight="1">
      <c r="A97" s="35" t="n">
        <v>93</v>
      </c>
      <c r="B97" s="35" t="n">
        <v>2093</v>
      </c>
      <c r="C97" s="36" t="inlineStr">
        <is>
          <t>0301423020</t>
        </is>
      </c>
      <c r="D97" s="36" t="inlineStr">
        <is>
          <t>Region III (Central Luzon)</t>
        </is>
      </c>
      <c r="E97" s="36" t="inlineStr">
        <is>
          <t>Bulacan</t>
        </is>
      </c>
      <c r="F97" s="36" t="inlineStr">
        <is>
          <t>Santa Maria</t>
        </is>
      </c>
      <c r="G97" s="36" t="inlineStr">
        <is>
          <t>San Vicente</t>
        </is>
      </c>
      <c r="H97" s="37" t="n">
        <v>14.806908</v>
      </c>
      <c r="I97" s="37" t="n">
        <v>121.003914</v>
      </c>
      <c r="J97" s="8" t="inlineStr">
        <is>
          <t>U</t>
        </is>
      </c>
      <c r="K97" s="36" t="inlineStr">
        <is>
          <t>Class 1-3 / Urban</t>
        </is>
      </c>
      <c r="L97" s="18" t="n">
        <v>24451</v>
      </c>
      <c r="M97" s="20" t="n">
        <v>4.1</v>
      </c>
      <c r="N97" s="18">
        <f>ROUND(L97/M97, 0)</f>
        <v/>
      </c>
      <c r="O97" s="18">
        <f>ROUND(N97*'Methodology &amp; Assumptions'!$B$8, 0)</f>
        <v/>
      </c>
      <c r="P97" s="8" t="inlineStr">
        <is>
          <t>Band n50 (1.5 GHz, 60 MHz)</t>
        </is>
      </c>
      <c r="Q97" s="38">
        <f>ROUNDUP(O97/'Methodology &amp; Assumptions'!$B$9, 0)</f>
        <v/>
      </c>
      <c r="R97" s="39" t="n">
        <v>1</v>
      </c>
      <c r="S97" s="21" t="n">
        <v>1.23</v>
      </c>
      <c r="T97" s="21" t="n">
        <v>0.1</v>
      </c>
      <c r="U97" s="36" t="inlineStr">
        <is>
          <t>Tier 1B (Micro Drop, 1-3 km)</t>
        </is>
      </c>
      <c r="V97" s="20" t="n">
        <v>76.40000000000001</v>
      </c>
      <c r="W97" s="20" t="n">
        <v>100</v>
      </c>
      <c r="X97" s="20" t="n">
        <v>28</v>
      </c>
      <c r="Y97" s="40">
        <f>ROUND((V97*'Methodology &amp; Assumptions'!$B$6)+(W97*'Methodology &amp; Assumptions'!$B$5)+(X97*'Methodology &amp; Assumptions'!$B$7), 2)</f>
        <v/>
      </c>
    </row>
    <row r="98" ht="19" customHeight="1">
      <c r="A98" s="41" t="n">
        <v>94</v>
      </c>
      <c r="B98" s="41" t="n">
        <v>2094</v>
      </c>
      <c r="C98" s="42" t="inlineStr">
        <is>
          <t>0731300005</t>
        </is>
      </c>
      <c r="D98" s="42" t="inlineStr">
        <is>
          <t>Region VII (Central Visayas)</t>
        </is>
      </c>
      <c r="E98" s="42" t="inlineStr">
        <is>
          <t>Cebu</t>
        </is>
      </c>
      <c r="F98" s="42" t="inlineStr">
        <is>
          <t>City of Mandaue</t>
        </is>
      </c>
      <c r="G98" s="42" t="inlineStr">
        <is>
          <t>Cabancalan</t>
        </is>
      </c>
      <c r="H98" s="43" t="n">
        <v>10.351003</v>
      </c>
      <c r="I98" s="43" t="n">
        <v>123.924083</v>
      </c>
      <c r="J98" s="44" t="inlineStr">
        <is>
          <t>U</t>
        </is>
      </c>
      <c r="K98" s="42" t="inlineStr">
        <is>
          <t>Class 1-3 / Urban</t>
        </is>
      </c>
      <c r="L98" s="23" t="n">
        <v>14841</v>
      </c>
      <c r="M98" s="24" t="n">
        <v>4.42</v>
      </c>
      <c r="N98" s="23">
        <f>ROUND(L98/M98, 0)</f>
        <v/>
      </c>
      <c r="O98" s="23">
        <f>ROUND(N98*'Methodology &amp; Assumptions'!$B$8, 0)</f>
        <v/>
      </c>
      <c r="P98" s="44" t="inlineStr">
        <is>
          <t>Band n50 (1.5 GHz, 60 MHz)</t>
        </is>
      </c>
      <c r="Q98" s="38">
        <f>ROUNDUP(O98/'Methodology &amp; Assumptions'!$B$9, 0)</f>
        <v/>
      </c>
      <c r="R98" s="39" t="n">
        <v>1</v>
      </c>
      <c r="S98" s="25" t="n">
        <v>1.23</v>
      </c>
      <c r="T98" s="25" t="n">
        <v>0.54</v>
      </c>
      <c r="U98" s="42" t="inlineStr">
        <is>
          <t>Tier 1B (Micro Drop, 1-3 km)</t>
        </is>
      </c>
      <c r="V98" s="24" t="n">
        <v>76.40000000000001</v>
      </c>
      <c r="W98" s="24" t="n">
        <v>100</v>
      </c>
      <c r="X98" s="24" t="n">
        <v>28</v>
      </c>
      <c r="Y98" s="45">
        <f>ROUND((V98*'Methodology &amp; Assumptions'!$B$6)+(W98*'Methodology &amp; Assumptions'!$B$5)+(X98*'Methodology &amp; Assumptions'!$B$7), 2)</f>
        <v/>
      </c>
    </row>
    <row r="99" ht="19" customHeight="1">
      <c r="A99" s="35" t="n">
        <v>95</v>
      </c>
      <c r="B99" s="35" t="n">
        <v>2095</v>
      </c>
      <c r="C99" s="36" t="inlineStr">
        <is>
          <t>0405608016</t>
        </is>
      </c>
      <c r="D99" s="36" t="inlineStr">
        <is>
          <t>Region IV-A (CALABARZON)</t>
        </is>
      </c>
      <c r="E99" s="36" t="inlineStr">
        <is>
          <t>Quezon</t>
        </is>
      </c>
      <c r="F99" s="36" t="inlineStr">
        <is>
          <t>Candelaria</t>
        </is>
      </c>
      <c r="G99" s="36" t="inlineStr">
        <is>
          <t>Masin Norte</t>
        </is>
      </c>
      <c r="H99" s="37" t="n">
        <v>13.930815</v>
      </c>
      <c r="I99" s="37" t="n">
        <v>121.420696</v>
      </c>
      <c r="J99" s="8" t="inlineStr">
        <is>
          <t>U</t>
        </is>
      </c>
      <c r="K99" s="36" t="inlineStr">
        <is>
          <t>Class 1-3 / Urban</t>
        </is>
      </c>
      <c r="L99" s="18" t="n">
        <v>7587</v>
      </c>
      <c r="M99" s="20" t="n">
        <v>4.46</v>
      </c>
      <c r="N99" s="18">
        <f>ROUND(L99/M99, 0)</f>
        <v/>
      </c>
      <c r="O99" s="18">
        <f>ROUND(N99*'Methodology &amp; Assumptions'!$B$8, 0)</f>
        <v/>
      </c>
      <c r="P99" s="8" t="inlineStr">
        <is>
          <t>Band n50 (1.5 GHz, 60 MHz)</t>
        </is>
      </c>
      <c r="Q99" s="38">
        <f>ROUNDUP(O99/'Methodology &amp; Assumptions'!$B$9, 0)</f>
        <v/>
      </c>
      <c r="R99" s="39" t="n">
        <v>1</v>
      </c>
      <c r="S99" s="21" t="n">
        <v>1.23</v>
      </c>
      <c r="T99" s="21" t="n">
        <v>0.25</v>
      </c>
      <c r="U99" s="36" t="inlineStr">
        <is>
          <t>Tier 1B (Micro Drop, 1-3 km)</t>
        </is>
      </c>
      <c r="V99" s="20" t="n">
        <v>76.40000000000001</v>
      </c>
      <c r="W99" s="20" t="n">
        <v>100</v>
      </c>
      <c r="X99" s="20" t="n">
        <v>28</v>
      </c>
      <c r="Y99" s="40">
        <f>ROUND((V99*'Methodology &amp; Assumptions'!$B$6)+(W99*'Methodology &amp; Assumptions'!$B$5)+(X99*'Methodology &amp; Assumptions'!$B$7), 2)</f>
        <v/>
      </c>
    </row>
    <row r="100" ht="19" customHeight="1">
      <c r="A100" s="41" t="n">
        <v>96</v>
      </c>
      <c r="B100" s="41" t="n">
        <v>2096</v>
      </c>
      <c r="C100" s="42" t="inlineStr">
        <is>
          <t>0405620018</t>
        </is>
      </c>
      <c r="D100" s="42" t="inlineStr">
        <is>
          <t>Region IV-A (CALABARZON)</t>
        </is>
      </c>
      <c r="E100" s="42" t="inlineStr">
        <is>
          <t>Quezon</t>
        </is>
      </c>
      <c r="F100" s="42" t="inlineStr">
        <is>
          <t>Infanta</t>
        </is>
      </c>
      <c r="G100" s="42" t="inlineStr">
        <is>
          <t>Comon</t>
        </is>
      </c>
      <c r="H100" s="43" t="n">
        <v>14.73822</v>
      </c>
      <c r="I100" s="43" t="n">
        <v>121.64326</v>
      </c>
      <c r="J100" s="44" t="inlineStr">
        <is>
          <t>U</t>
        </is>
      </c>
      <c r="K100" s="42" t="inlineStr">
        <is>
          <t>Class 1-3 / Urban</t>
        </is>
      </c>
      <c r="L100" s="23" t="n">
        <v>3408</v>
      </c>
      <c r="M100" s="24" t="n">
        <v>4.46</v>
      </c>
      <c r="N100" s="23">
        <f>ROUND(L100/M100, 0)</f>
        <v/>
      </c>
      <c r="O100" s="23">
        <f>ROUND(N100*'Methodology &amp; Assumptions'!$B$8, 0)</f>
        <v/>
      </c>
      <c r="P100" s="44" t="inlineStr">
        <is>
          <t>Band n50 (1.5 GHz, 60 MHz)</t>
        </is>
      </c>
      <c r="Q100" s="38">
        <f>ROUNDUP(O100/'Methodology &amp; Assumptions'!$B$9, 0)</f>
        <v/>
      </c>
      <c r="R100" s="39" t="n">
        <v>1</v>
      </c>
      <c r="S100" s="25" t="n">
        <v>0.27</v>
      </c>
      <c r="T100" s="25" t="n">
        <v>39.48</v>
      </c>
      <c r="U100" s="42" t="inlineStr">
        <is>
          <t>Tier 1A (Direct Coloc, &lt;1 km)</t>
        </is>
      </c>
      <c r="V100" s="24" t="n">
        <v>91.3</v>
      </c>
      <c r="W100" s="24" t="n">
        <v>85.09999999999999</v>
      </c>
      <c r="X100" s="24" t="n">
        <v>28</v>
      </c>
      <c r="Y100" s="45">
        <f>ROUND((V100*'Methodology &amp; Assumptions'!$B$6)+(W100*'Methodology &amp; Assumptions'!$B$5)+(X100*'Methodology &amp; Assumptions'!$B$7), 2)</f>
        <v/>
      </c>
    </row>
    <row r="101" ht="19" customHeight="1">
      <c r="A101" s="35" t="n">
        <v>97</v>
      </c>
      <c r="B101" s="35" t="n">
        <v>2097</v>
      </c>
      <c r="C101" s="36" t="inlineStr">
        <is>
          <t>0405639017</t>
        </is>
      </c>
      <c r="D101" s="36" t="inlineStr">
        <is>
          <t>Region IV-A (CALABARZON)</t>
        </is>
      </c>
      <c r="E101" s="36" t="inlineStr">
        <is>
          <t>Quezon</t>
        </is>
      </c>
      <c r="F101" s="36" t="inlineStr">
        <is>
          <t>Sampaloc</t>
        </is>
      </c>
      <c r="G101" s="36" t="inlineStr">
        <is>
          <t>San Isidro</t>
        </is>
      </c>
      <c r="H101" s="37" t="n">
        <v>14.163674</v>
      </c>
      <c r="I101" s="37" t="n">
        <v>121.641493</v>
      </c>
      <c r="J101" s="8" t="inlineStr">
        <is>
          <t>R</t>
        </is>
      </c>
      <c r="K101" s="36" t="inlineStr">
        <is>
          <t>4th</t>
        </is>
      </c>
      <c r="L101" s="18" t="n">
        <v>1743</v>
      </c>
      <c r="M101" s="20" t="n">
        <v>4.56</v>
      </c>
      <c r="N101" s="18">
        <f>ROUND(L101/M101, 0)</f>
        <v/>
      </c>
      <c r="O101" s="18">
        <f>ROUND(N101*'Methodology &amp; Assumptions'!$B$8, 0)</f>
        <v/>
      </c>
      <c r="P101" s="8" t="inlineStr">
        <is>
          <t>Band n50 (1.5 GHz, 60 MHz)</t>
        </is>
      </c>
      <c r="Q101" s="38">
        <f>ROUNDUP(O101/'Methodology &amp; Assumptions'!$B$9, 0)</f>
        <v/>
      </c>
      <c r="R101" s="39" t="n">
        <v>1</v>
      </c>
      <c r="S101" s="21" t="n">
        <v>0.42</v>
      </c>
      <c r="T101" s="21" t="n">
        <v>9.93</v>
      </c>
      <c r="U101" s="36" t="inlineStr">
        <is>
          <t>Tier 1A (Direct Coloc, &lt;1 km)</t>
        </is>
      </c>
      <c r="V101" s="20" t="n">
        <v>87</v>
      </c>
      <c r="W101" s="20" t="n">
        <v>54.7</v>
      </c>
      <c r="X101" s="20" t="n">
        <v>68.5</v>
      </c>
      <c r="Y101" s="40">
        <f>ROUND((V101*'Methodology &amp; Assumptions'!$B$6)+(W101*'Methodology &amp; Assumptions'!$B$5)+(X101*'Methodology &amp; Assumptions'!$B$7), 2)</f>
        <v/>
      </c>
    </row>
    <row r="102" ht="19" customHeight="1">
      <c r="A102" s="41" t="n">
        <v>98</v>
      </c>
      <c r="B102" s="41" t="n">
        <v>2098</v>
      </c>
      <c r="C102" s="42" t="inlineStr">
        <is>
          <t>0603018034</t>
        </is>
      </c>
      <c r="D102" s="42" t="inlineStr">
        <is>
          <t>Region VI (Western Visayas)</t>
        </is>
      </c>
      <c r="E102" s="42" t="inlineStr">
        <is>
          <t>Iloilo</t>
        </is>
      </c>
      <c r="F102" s="42" t="inlineStr">
        <is>
          <t>Dumangas</t>
        </is>
      </c>
      <c r="G102" s="42" t="inlineStr">
        <is>
          <t>Paloc Sool</t>
        </is>
      </c>
      <c r="H102" s="43" t="n">
        <v>10.827135</v>
      </c>
      <c r="I102" s="43" t="n">
        <v>122.727586</v>
      </c>
      <c r="J102" s="44" t="inlineStr">
        <is>
          <t>R</t>
        </is>
      </c>
      <c r="K102" s="42" t="inlineStr">
        <is>
          <t>Class 1-3 / Urban</t>
        </is>
      </c>
      <c r="L102" s="23" t="n">
        <v>3542</v>
      </c>
      <c r="M102" s="24" t="n">
        <v>4.39</v>
      </c>
      <c r="N102" s="23">
        <f>ROUND(L102/M102, 0)</f>
        <v/>
      </c>
      <c r="O102" s="23">
        <f>ROUND(N102*'Methodology &amp; Assumptions'!$B$8, 0)</f>
        <v/>
      </c>
      <c r="P102" s="44" t="inlineStr">
        <is>
          <t>Band n50 (1.5 GHz, 60 MHz)</t>
        </is>
      </c>
      <c r="Q102" s="38">
        <f>ROUNDUP(O102/'Methodology &amp; Assumptions'!$B$9, 0)</f>
        <v/>
      </c>
      <c r="R102" s="39" t="n">
        <v>1</v>
      </c>
      <c r="S102" s="25" t="n">
        <v>1.96</v>
      </c>
      <c r="T102" s="25" t="n">
        <v>1.64</v>
      </c>
      <c r="U102" s="42" t="inlineStr">
        <is>
          <t>Tier 1B (Micro Drop, 1-3 km)</t>
        </is>
      </c>
      <c r="V102" s="24" t="n">
        <v>62.1</v>
      </c>
      <c r="W102" s="24" t="n">
        <v>88.5</v>
      </c>
      <c r="X102" s="24" t="n">
        <v>58</v>
      </c>
      <c r="Y102" s="45">
        <f>ROUND((V102*'Methodology &amp; Assumptions'!$B$6)+(W102*'Methodology &amp; Assumptions'!$B$5)+(X102*'Methodology &amp; Assumptions'!$B$7), 2)</f>
        <v/>
      </c>
    </row>
    <row r="103" ht="19" customHeight="1">
      <c r="A103" s="35" t="n">
        <v>99</v>
      </c>
      <c r="B103" s="35" t="n">
        <v>2099</v>
      </c>
      <c r="C103" s="36" t="inlineStr">
        <is>
          <t>0304923026</t>
        </is>
      </c>
      <c r="D103" s="36" t="inlineStr">
        <is>
          <t>Region III (Central Luzon)</t>
        </is>
      </c>
      <c r="E103" s="36" t="inlineStr">
        <is>
          <t>Nueva Ecija</t>
        </is>
      </c>
      <c r="F103" s="36" t="inlineStr">
        <is>
          <t>Rizal</t>
        </is>
      </c>
      <c r="G103" s="36" t="inlineStr">
        <is>
          <t>Poblacion East</t>
        </is>
      </c>
      <c r="H103" s="37" t="n">
        <v>15.585783</v>
      </c>
      <c r="I103" s="37" t="n">
        <v>120.924577</v>
      </c>
      <c r="J103" s="8" t="inlineStr">
        <is>
          <t>R</t>
        </is>
      </c>
      <c r="K103" s="36" t="inlineStr">
        <is>
          <t>Class 1-3 / Urban</t>
        </is>
      </c>
      <c r="L103" s="18" t="n">
        <v>2025</v>
      </c>
      <c r="M103" s="20" t="n">
        <v>4.32</v>
      </c>
      <c r="N103" s="18">
        <f>ROUND(L103/M103, 0)</f>
        <v/>
      </c>
      <c r="O103" s="18">
        <f>ROUND(N103*'Methodology &amp; Assumptions'!$B$8, 0)</f>
        <v/>
      </c>
      <c r="P103" s="8" t="inlineStr">
        <is>
          <t>Band n50 (1.5 GHz, 60 MHz)</t>
        </is>
      </c>
      <c r="Q103" s="38">
        <f>ROUNDUP(O103/'Methodology &amp; Assumptions'!$B$9, 0)</f>
        <v/>
      </c>
      <c r="R103" s="39" t="n">
        <v>1</v>
      </c>
      <c r="S103" s="21" t="n">
        <v>0.71</v>
      </c>
      <c r="T103" s="21" t="n">
        <v>0.52</v>
      </c>
      <c r="U103" s="36" t="inlineStr">
        <is>
          <t>Tier 1A (Direct Coloc, &lt;1 km)</t>
        </is>
      </c>
      <c r="V103" s="20" t="n">
        <v>89</v>
      </c>
      <c r="W103" s="20" t="n">
        <v>61.6</v>
      </c>
      <c r="X103" s="20" t="n">
        <v>58</v>
      </c>
      <c r="Y103" s="40">
        <f>ROUND((V103*'Methodology &amp; Assumptions'!$B$6)+(W103*'Methodology &amp; Assumptions'!$B$5)+(X103*'Methodology &amp; Assumptions'!$B$7), 2)</f>
        <v/>
      </c>
    </row>
    <row r="104" ht="19" customHeight="1">
      <c r="A104" s="41" t="n">
        <v>100</v>
      </c>
      <c r="B104" s="41" t="n">
        <v>2100</v>
      </c>
      <c r="C104" s="42" t="inlineStr">
        <is>
          <t>1004317016</t>
        </is>
      </c>
      <c r="D104" s="42" t="inlineStr">
        <is>
          <t>Region X (Northern Mindanao)</t>
        </is>
      </c>
      <c r="E104" s="42" t="inlineStr">
        <is>
          <t>Misamis Oriental</t>
        </is>
      </c>
      <c r="F104" s="42" t="inlineStr">
        <is>
          <t>Magsaysay</t>
        </is>
      </c>
      <c r="G104" s="42" t="inlineStr">
        <is>
          <t>Poblacion</t>
        </is>
      </c>
      <c r="H104" s="43" t="n">
        <v>9.018945</v>
      </c>
      <c r="I104" s="43" t="n">
        <v>125.18143</v>
      </c>
      <c r="J104" s="44" t="inlineStr">
        <is>
          <t>R</t>
        </is>
      </c>
      <c r="K104" s="42" t="inlineStr">
        <is>
          <t>2nd</t>
        </is>
      </c>
      <c r="L104" s="23" t="n">
        <v>1659</v>
      </c>
      <c r="M104" s="24" t="n">
        <v>4.95</v>
      </c>
      <c r="N104" s="23">
        <f>ROUND(L104/M104, 0)</f>
        <v/>
      </c>
      <c r="O104" s="23">
        <f>ROUND(N104*'Methodology &amp; Assumptions'!$B$8, 0)</f>
        <v/>
      </c>
      <c r="P104" s="44" t="inlineStr">
        <is>
          <t>Band n50 (1.5 GHz, 60 MHz)</t>
        </is>
      </c>
      <c r="Q104" s="38">
        <f>ROUNDUP(O104/'Methodology &amp; Assumptions'!$B$9, 0)</f>
        <v/>
      </c>
      <c r="R104" s="39" t="n">
        <v>1</v>
      </c>
      <c r="S104" s="25" t="n">
        <v>0.01</v>
      </c>
      <c r="T104" s="25" t="n">
        <v>1.59</v>
      </c>
      <c r="U104" s="42" t="inlineStr">
        <is>
          <t>Tier 1A (Direct Coloc, &lt;1 km)</t>
        </is>
      </c>
      <c r="V104" s="24" t="n">
        <v>100</v>
      </c>
      <c r="W104" s="24" t="n">
        <v>50.7</v>
      </c>
      <c r="X104" s="24" t="n">
        <v>58</v>
      </c>
      <c r="Y104" s="45">
        <f>ROUND((V104*'Methodology &amp; Assumptions'!$B$6)+(W104*'Methodology &amp; Assumptions'!$B$5)+(X104*'Methodology &amp; Assumptions'!$B$7), 2)</f>
        <v/>
      </c>
    </row>
    <row r="105" ht="19" customHeight="1">
      <c r="A105" s="35" t="n">
        <v>101</v>
      </c>
      <c r="B105" s="35" t="n">
        <v>2101</v>
      </c>
      <c r="C105" s="36" t="inlineStr">
        <is>
          <t>0102820011</t>
        </is>
      </c>
      <c r="D105" s="36" t="inlineStr">
        <is>
          <t>Region I (Ilocos Region)</t>
        </is>
      </c>
      <c r="E105" s="36" t="inlineStr">
        <is>
          <t>Ilocos Norte</t>
        </is>
      </c>
      <c r="F105" s="36" t="inlineStr">
        <is>
          <t>San Nicolas</t>
        </is>
      </c>
      <c r="G105" s="36" t="inlineStr">
        <is>
          <t>San Jose</t>
        </is>
      </c>
      <c r="H105" s="37" t="n">
        <v>18.172744</v>
      </c>
      <c r="I105" s="37" t="n">
        <v>120.592301</v>
      </c>
      <c r="J105" s="8" t="inlineStr">
        <is>
          <t>R</t>
        </is>
      </c>
      <c r="K105" s="36" t="inlineStr">
        <is>
          <t>Class 1-3 / Urban</t>
        </is>
      </c>
      <c r="L105" s="18" t="n">
        <v>1452</v>
      </c>
      <c r="M105" s="20" t="n">
        <v>4.35</v>
      </c>
      <c r="N105" s="18">
        <f>ROUND(L105/M105, 0)</f>
        <v/>
      </c>
      <c r="O105" s="18">
        <f>ROUND(N105*'Methodology &amp; Assumptions'!$B$8, 0)</f>
        <v/>
      </c>
      <c r="P105" s="8" t="inlineStr">
        <is>
          <t>Band n50 (1.5 GHz, 60 MHz)</t>
        </is>
      </c>
      <c r="Q105" s="38">
        <f>ROUNDUP(O105/'Methodology &amp; Assumptions'!$B$9, 0)</f>
        <v/>
      </c>
      <c r="R105" s="39" t="n">
        <v>1</v>
      </c>
      <c r="S105" s="21" t="n">
        <v>0.29</v>
      </c>
      <c r="T105" s="21" t="n">
        <v>0.16</v>
      </c>
      <c r="U105" s="36" t="inlineStr">
        <is>
          <t>Tier 1A (Direct Coloc, &lt;1 km)</t>
        </is>
      </c>
      <c r="V105" s="20" t="n">
        <v>100</v>
      </c>
      <c r="W105" s="20" t="n">
        <v>50.7</v>
      </c>
      <c r="X105" s="20" t="n">
        <v>58</v>
      </c>
      <c r="Y105" s="40">
        <f>ROUND((V105*'Methodology &amp; Assumptions'!$B$6)+(W105*'Methodology &amp; Assumptions'!$B$5)+(X105*'Methodology &amp; Assumptions'!$B$7), 2)</f>
        <v/>
      </c>
    </row>
    <row r="106" ht="19" customHeight="1">
      <c r="A106" s="41" t="n">
        <v>102</v>
      </c>
      <c r="B106" s="41" t="n">
        <v>2102</v>
      </c>
      <c r="C106" s="42" t="inlineStr">
        <is>
          <t>0403406013</t>
        </is>
      </c>
      <c r="D106" s="42" t="inlineStr">
        <is>
          <t>Region IV-A (CALABARZON)</t>
        </is>
      </c>
      <c r="E106" s="42" t="inlineStr">
        <is>
          <t>Laguna</t>
        </is>
      </c>
      <c r="F106" s="42" t="inlineStr">
        <is>
          <t>Calauan</t>
        </is>
      </c>
      <c r="G106" s="42" t="inlineStr">
        <is>
          <t>Kanluran</t>
        </is>
      </c>
      <c r="H106" s="43" t="n">
        <v>14.144953</v>
      </c>
      <c r="I106" s="43" t="n">
        <v>121.313675</v>
      </c>
      <c r="J106" s="44" t="inlineStr">
        <is>
          <t>R</t>
        </is>
      </c>
      <c r="K106" s="42" t="inlineStr">
        <is>
          <t>Class 1-3 / Urban</t>
        </is>
      </c>
      <c r="L106" s="23" t="n">
        <v>1403</v>
      </c>
      <c r="M106" s="24" t="n">
        <v>4.2</v>
      </c>
      <c r="N106" s="23">
        <f>ROUND(L106/M106, 0)</f>
        <v/>
      </c>
      <c r="O106" s="23">
        <f>ROUND(N106*'Methodology &amp; Assumptions'!$B$8, 0)</f>
        <v/>
      </c>
      <c r="P106" s="44" t="inlineStr">
        <is>
          <t>Band n50 (1.5 GHz, 60 MHz)</t>
        </is>
      </c>
      <c r="Q106" s="38">
        <f>ROUNDUP(O106/'Methodology &amp; Assumptions'!$B$9, 0)</f>
        <v/>
      </c>
      <c r="R106" s="39" t="n">
        <v>1</v>
      </c>
      <c r="S106" s="25" t="n">
        <v>0.12</v>
      </c>
      <c r="T106" s="25" t="n">
        <v>0.11</v>
      </c>
      <c r="U106" s="42" t="inlineStr">
        <is>
          <t>Tier 1A (Direct Coloc, &lt;1 km)</t>
        </is>
      </c>
      <c r="V106" s="24" t="n">
        <v>100</v>
      </c>
      <c r="W106" s="24" t="n">
        <v>50.7</v>
      </c>
      <c r="X106" s="24" t="n">
        <v>58</v>
      </c>
      <c r="Y106" s="45">
        <f>ROUND((V106*'Methodology &amp; Assumptions'!$B$6)+(W106*'Methodology &amp; Assumptions'!$B$5)+(X106*'Methodology &amp; Assumptions'!$B$7), 2)</f>
        <v/>
      </c>
    </row>
    <row r="107" ht="19" customHeight="1">
      <c r="A107" s="35" t="n">
        <v>103</v>
      </c>
      <c r="B107" s="35" t="n">
        <v>2103</v>
      </c>
      <c r="C107" s="36" t="inlineStr">
        <is>
          <t>0105518008</t>
        </is>
      </c>
      <c r="D107" s="36" t="inlineStr">
        <is>
          <t>Region I (Ilocos Region)</t>
        </is>
      </c>
      <c r="E107" s="36" t="inlineStr">
        <is>
          <t>Pangasinan</t>
        </is>
      </c>
      <c r="F107" s="36" t="inlineStr">
        <is>
          <t>City of Dagupan</t>
        </is>
      </c>
      <c r="G107" s="36" t="inlineStr">
        <is>
          <t>Bonuan Boquig</t>
        </is>
      </c>
      <c r="H107" s="37" t="n">
        <v>16.076341</v>
      </c>
      <c r="I107" s="37" t="n">
        <v>120.356476</v>
      </c>
      <c r="J107" s="8" t="inlineStr">
        <is>
          <t>U</t>
        </is>
      </c>
      <c r="K107" s="36" t="inlineStr">
        <is>
          <t>Class 1-3 / Urban</t>
        </is>
      </c>
      <c r="L107" s="18" t="n">
        <v>15351</v>
      </c>
      <c r="M107" s="20" t="n">
        <v>4.39</v>
      </c>
      <c r="N107" s="18">
        <f>ROUND(L107/M107, 0)</f>
        <v/>
      </c>
      <c r="O107" s="18">
        <f>ROUND(N107*'Methodology &amp; Assumptions'!$B$8, 0)</f>
        <v/>
      </c>
      <c r="P107" s="8" t="inlineStr">
        <is>
          <t>Band n50 (1.5 GHz, 60 MHz)</t>
        </is>
      </c>
      <c r="Q107" s="38">
        <f>ROUNDUP(O107/'Methodology &amp; Assumptions'!$B$9, 0)</f>
        <v/>
      </c>
      <c r="R107" s="39" t="n">
        <v>1</v>
      </c>
      <c r="S107" s="21" t="n">
        <v>0.8100000000000001</v>
      </c>
      <c r="T107" s="21" t="n">
        <v>3.33</v>
      </c>
      <c r="U107" s="36" t="inlineStr">
        <is>
          <t>Tier 1A (Direct Coloc, &lt;1 km)</t>
        </is>
      </c>
      <c r="V107" s="20" t="n">
        <v>76.40000000000001</v>
      </c>
      <c r="W107" s="20" t="n">
        <v>100</v>
      </c>
      <c r="X107" s="20" t="n">
        <v>28</v>
      </c>
      <c r="Y107" s="40">
        <f>ROUND((V107*'Methodology &amp; Assumptions'!$B$6)+(W107*'Methodology &amp; Assumptions'!$B$5)+(X107*'Methodology &amp; Assumptions'!$B$7), 2)</f>
        <v/>
      </c>
    </row>
    <row r="108" ht="19" customHeight="1">
      <c r="A108" s="41" t="n">
        <v>104</v>
      </c>
      <c r="B108" s="41" t="n">
        <v>2104</v>
      </c>
      <c r="C108" s="42" t="inlineStr">
        <is>
          <t>0105517006</t>
        </is>
      </c>
      <c r="D108" s="42" t="inlineStr">
        <is>
          <t>Region I (Ilocos Region)</t>
        </is>
      </c>
      <c r="E108" s="42" t="inlineStr">
        <is>
          <t>Pangasinan</t>
        </is>
      </c>
      <c r="F108" s="42" t="inlineStr">
        <is>
          <t>Calasiao</t>
        </is>
      </c>
      <c r="G108" s="42" t="inlineStr">
        <is>
          <t>Cabilocaan</t>
        </is>
      </c>
      <c r="H108" s="43" t="n">
        <v>16.02347</v>
      </c>
      <c r="I108" s="43" t="n">
        <v>120.3781</v>
      </c>
      <c r="J108" s="44" t="inlineStr">
        <is>
          <t>R</t>
        </is>
      </c>
      <c r="K108" s="42" t="inlineStr">
        <is>
          <t>Class 1-3 / Urban</t>
        </is>
      </c>
      <c r="L108" s="23" t="n">
        <v>2985</v>
      </c>
      <c r="M108" s="24" t="n">
        <v>4.39</v>
      </c>
      <c r="N108" s="23">
        <f>ROUND(L108/M108, 0)</f>
        <v/>
      </c>
      <c r="O108" s="23">
        <f>ROUND(N108*'Methodology &amp; Assumptions'!$B$8, 0)</f>
        <v/>
      </c>
      <c r="P108" s="44" t="inlineStr">
        <is>
          <t>Band n50 (1.5 GHz, 60 MHz)</t>
        </is>
      </c>
      <c r="Q108" s="38">
        <f>ROUNDUP(O108/'Methodology &amp; Assumptions'!$B$9, 0)</f>
        <v/>
      </c>
      <c r="R108" s="39" t="n">
        <v>1</v>
      </c>
      <c r="S108" s="25" t="n">
        <v>1.42</v>
      </c>
      <c r="T108" s="25" t="n">
        <v>0.58</v>
      </c>
      <c r="U108" s="42" t="inlineStr">
        <is>
          <t>Tier 1B (Micro Drop, 1-3 km)</t>
        </is>
      </c>
      <c r="V108" s="24" t="n">
        <v>72.2</v>
      </c>
      <c r="W108" s="24" t="n">
        <v>78.40000000000001</v>
      </c>
      <c r="X108" s="24" t="n">
        <v>58</v>
      </c>
      <c r="Y108" s="45">
        <f>ROUND((V108*'Methodology &amp; Assumptions'!$B$6)+(W108*'Methodology &amp; Assumptions'!$B$5)+(X108*'Methodology &amp; Assumptions'!$B$7), 2)</f>
        <v/>
      </c>
    </row>
    <row r="109" ht="19" customHeight="1">
      <c r="A109" s="35" t="n">
        <v>105</v>
      </c>
      <c r="B109" s="35" t="n">
        <v>2105</v>
      </c>
      <c r="C109" s="36" t="inlineStr">
        <is>
          <t>0803702050</t>
        </is>
      </c>
      <c r="D109" s="36" t="inlineStr">
        <is>
          <t>Region VIII (Eastern Visayas)</t>
        </is>
      </c>
      <c r="E109" s="36" t="inlineStr">
        <is>
          <t>Leyte</t>
        </is>
      </c>
      <c r="F109" s="36" t="inlineStr">
        <is>
          <t>Alangalang</t>
        </is>
      </c>
      <c r="G109" s="36" t="inlineStr">
        <is>
          <t>Holy Child I</t>
        </is>
      </c>
      <c r="H109" s="37" t="n">
        <v>11.205765</v>
      </c>
      <c r="I109" s="37" t="n">
        <v>124.841031</v>
      </c>
      <c r="J109" s="8" t="inlineStr">
        <is>
          <t>R</t>
        </is>
      </c>
      <c r="K109" s="36" t="inlineStr">
        <is>
          <t>Class 1-3 / Urban</t>
        </is>
      </c>
      <c r="L109" s="18" t="n">
        <v>1491</v>
      </c>
      <c r="M109" s="20" t="n">
        <v>4.24</v>
      </c>
      <c r="N109" s="18">
        <f>ROUND(L109/M109, 0)</f>
        <v/>
      </c>
      <c r="O109" s="18">
        <f>ROUND(N109*'Methodology &amp; Assumptions'!$B$8, 0)</f>
        <v/>
      </c>
      <c r="P109" s="8" t="inlineStr">
        <is>
          <t>Band n50 (1.5 GHz, 60 MHz)</t>
        </is>
      </c>
      <c r="Q109" s="38">
        <f>ROUNDUP(O109/'Methodology &amp; Assumptions'!$B$9, 0)</f>
        <v/>
      </c>
      <c r="R109" s="39" t="n">
        <v>1</v>
      </c>
      <c r="S109" s="21" t="n">
        <v>0.37</v>
      </c>
      <c r="T109" s="21" t="n">
        <v>0.44</v>
      </c>
      <c r="U109" s="36" t="inlineStr">
        <is>
          <t>Tier 1A (Direct Coloc, &lt;1 km)</t>
        </is>
      </c>
      <c r="V109" s="20" t="n">
        <v>98.40000000000001</v>
      </c>
      <c r="W109" s="20" t="n">
        <v>52.3</v>
      </c>
      <c r="X109" s="20" t="n">
        <v>58</v>
      </c>
      <c r="Y109" s="40">
        <f>ROUND((V109*'Methodology &amp; Assumptions'!$B$6)+(W109*'Methodology &amp; Assumptions'!$B$5)+(X109*'Methodology &amp; Assumptions'!$B$7), 2)</f>
        <v/>
      </c>
    </row>
    <row r="110" ht="19" customHeight="1">
      <c r="A110" s="41" t="n">
        <v>106</v>
      </c>
      <c r="B110" s="41" t="n">
        <v>2106</v>
      </c>
      <c r="C110" s="42" t="inlineStr">
        <is>
          <t>0305402012</t>
        </is>
      </c>
      <c r="D110" s="42" t="inlineStr">
        <is>
          <t>Region III (Central Luzon)</t>
        </is>
      </c>
      <c r="E110" s="42" t="inlineStr">
        <is>
          <t>Pampanga</t>
        </is>
      </c>
      <c r="F110" s="42" t="inlineStr">
        <is>
          <t>Apalit</t>
        </is>
      </c>
      <c r="G110" s="42" t="inlineStr">
        <is>
          <t>San Vicente</t>
        </is>
      </c>
      <c r="H110" s="43" t="n">
        <v>14.945862</v>
      </c>
      <c r="I110" s="43" t="n">
        <v>120.74802</v>
      </c>
      <c r="J110" s="44" t="inlineStr">
        <is>
          <t>U</t>
        </is>
      </c>
      <c r="K110" s="42" t="inlineStr">
        <is>
          <t>Class 1-3 / Urban</t>
        </is>
      </c>
      <c r="L110" s="23" t="n">
        <v>23686</v>
      </c>
      <c r="M110" s="24" t="n">
        <v>4.63</v>
      </c>
      <c r="N110" s="23">
        <f>ROUND(L110/M110, 0)</f>
        <v/>
      </c>
      <c r="O110" s="23">
        <f>ROUND(N110*'Methodology &amp; Assumptions'!$B$8, 0)</f>
        <v/>
      </c>
      <c r="P110" s="44" t="inlineStr">
        <is>
          <t>Band n50 (1.5 GHz, 60 MHz)</t>
        </is>
      </c>
      <c r="Q110" s="38">
        <f>ROUNDUP(O110/'Methodology &amp; Assumptions'!$B$9, 0)</f>
        <v/>
      </c>
      <c r="R110" s="39" t="n">
        <v>1</v>
      </c>
      <c r="S110" s="25" t="n">
        <v>1.23</v>
      </c>
      <c r="T110" s="25" t="n">
        <v>1.05</v>
      </c>
      <c r="U110" s="42" t="inlineStr">
        <is>
          <t>Tier 1B (Micro Drop, 1-3 km)</t>
        </is>
      </c>
      <c r="V110" s="24" t="n">
        <v>76.3</v>
      </c>
      <c r="W110" s="24" t="n">
        <v>100</v>
      </c>
      <c r="X110" s="24" t="n">
        <v>28</v>
      </c>
      <c r="Y110" s="45">
        <f>ROUND((V110*'Methodology &amp; Assumptions'!$B$6)+(W110*'Methodology &amp; Assumptions'!$B$5)+(X110*'Methodology &amp; Assumptions'!$B$7), 2)</f>
        <v/>
      </c>
    </row>
    <row r="111" ht="19" customHeight="1">
      <c r="A111" s="35" t="n">
        <v>107</v>
      </c>
      <c r="B111" s="35" t="n">
        <v>2107</v>
      </c>
      <c r="C111" s="36" t="inlineStr">
        <is>
          <t>0301423021</t>
        </is>
      </c>
      <c r="D111" s="36" t="inlineStr">
        <is>
          <t>Region III (Central Luzon)</t>
        </is>
      </c>
      <c r="E111" s="36" t="inlineStr">
        <is>
          <t>Bulacan</t>
        </is>
      </c>
      <c r="F111" s="36" t="inlineStr">
        <is>
          <t>Santa Maria</t>
        </is>
      </c>
      <c r="G111" s="36" t="inlineStr">
        <is>
          <t>Sta. Clara</t>
        </is>
      </c>
      <c r="H111" s="37" t="n">
        <v>14.825868</v>
      </c>
      <c r="I111" s="37" t="n">
        <v>120.953032</v>
      </c>
      <c r="J111" s="8" t="inlineStr">
        <is>
          <t>U</t>
        </is>
      </c>
      <c r="K111" s="36" t="inlineStr">
        <is>
          <t>Class 1-3 / Urban</t>
        </is>
      </c>
      <c r="L111" s="18" t="n">
        <v>12419</v>
      </c>
      <c r="M111" s="20" t="n">
        <v>4.1</v>
      </c>
      <c r="N111" s="18">
        <f>ROUND(L111/M111, 0)</f>
        <v/>
      </c>
      <c r="O111" s="18">
        <f>ROUND(N111*'Methodology &amp; Assumptions'!$B$8, 0)</f>
        <v/>
      </c>
      <c r="P111" s="8" t="inlineStr">
        <is>
          <t>Band n50 (1.5 GHz, 60 MHz)</t>
        </is>
      </c>
      <c r="Q111" s="38">
        <f>ROUNDUP(O111/'Methodology &amp; Assumptions'!$B$9, 0)</f>
        <v/>
      </c>
      <c r="R111" s="39" t="n">
        <v>1</v>
      </c>
      <c r="S111" s="21" t="n">
        <v>1.23</v>
      </c>
      <c r="T111" s="21" t="n">
        <v>0.11</v>
      </c>
      <c r="U111" s="36" t="inlineStr">
        <is>
          <t>Tier 1B (Micro Drop, 1-3 km)</t>
        </is>
      </c>
      <c r="V111" s="20" t="n">
        <v>76.3</v>
      </c>
      <c r="W111" s="20" t="n">
        <v>100</v>
      </c>
      <c r="X111" s="20" t="n">
        <v>28</v>
      </c>
      <c r="Y111" s="40">
        <f>ROUND((V111*'Methodology &amp; Assumptions'!$B$6)+(W111*'Methodology &amp; Assumptions'!$B$5)+(X111*'Methodology &amp; Assumptions'!$B$7), 2)</f>
        <v/>
      </c>
    </row>
    <row r="112" ht="19" customHeight="1">
      <c r="A112" s="41" t="n">
        <v>108</v>
      </c>
      <c r="B112" s="41" t="n">
        <v>2108</v>
      </c>
      <c r="C112" s="42" t="inlineStr">
        <is>
          <t>0305407026</t>
        </is>
      </c>
      <c r="D112" s="42" t="inlineStr">
        <is>
          <t>Region III (Central Luzon)</t>
        </is>
      </c>
      <c r="E112" s="42" t="inlineStr">
        <is>
          <t>Pampanga</t>
        </is>
      </c>
      <c r="F112" s="42" t="inlineStr">
        <is>
          <t>Guagua</t>
        </is>
      </c>
      <c r="G112" s="42" t="inlineStr">
        <is>
          <t>San Vicente</t>
        </is>
      </c>
      <c r="H112" s="43" t="n">
        <v>14.945862</v>
      </c>
      <c r="I112" s="43" t="n">
        <v>120.74802</v>
      </c>
      <c r="J112" s="44" t="inlineStr">
        <is>
          <t>U</t>
        </is>
      </c>
      <c r="K112" s="42" t="inlineStr">
        <is>
          <t>Class 1-3 / Urban</t>
        </is>
      </c>
      <c r="L112" s="23" t="n">
        <v>6098</v>
      </c>
      <c r="M112" s="24" t="n">
        <v>4.63</v>
      </c>
      <c r="N112" s="23">
        <f>ROUND(L112/M112, 0)</f>
        <v/>
      </c>
      <c r="O112" s="23">
        <f>ROUND(N112*'Methodology &amp; Assumptions'!$B$8, 0)</f>
        <v/>
      </c>
      <c r="P112" s="44" t="inlineStr">
        <is>
          <t>Band n50 (1.5 GHz, 60 MHz)</t>
        </is>
      </c>
      <c r="Q112" s="38">
        <f>ROUNDUP(O112/'Methodology &amp; Assumptions'!$B$9, 0)</f>
        <v/>
      </c>
      <c r="R112" s="39" t="n">
        <v>1</v>
      </c>
      <c r="S112" s="25" t="n">
        <v>1.23</v>
      </c>
      <c r="T112" s="25" t="n">
        <v>1.05</v>
      </c>
      <c r="U112" s="42" t="inlineStr">
        <is>
          <t>Tier 1B (Micro Drop, 1-3 km)</t>
        </is>
      </c>
      <c r="V112" s="24" t="n">
        <v>76.3</v>
      </c>
      <c r="W112" s="24" t="n">
        <v>100</v>
      </c>
      <c r="X112" s="24" t="n">
        <v>28</v>
      </c>
      <c r="Y112" s="45">
        <f>ROUND((V112*'Methodology &amp; Assumptions'!$B$6)+(W112*'Methodology &amp; Assumptions'!$B$5)+(X112*'Methodology &amp; Assumptions'!$B$7), 2)</f>
        <v/>
      </c>
    </row>
    <row r="113" ht="19" customHeight="1">
      <c r="A113" s="35" t="n">
        <v>109</v>
      </c>
      <c r="B113" s="35" t="n">
        <v>2109</v>
      </c>
      <c r="C113" s="36" t="inlineStr">
        <is>
          <t>0307114004</t>
        </is>
      </c>
      <c r="D113" s="36" t="inlineStr">
        <is>
          <t>Region III (Central Luzon)</t>
        </is>
      </c>
      <c r="E113" s="36" t="inlineStr">
        <is>
          <t>Zambales</t>
        </is>
      </c>
      <c r="F113" s="36" t="inlineStr">
        <is>
          <t>Subic</t>
        </is>
      </c>
      <c r="G113" s="36" t="inlineStr">
        <is>
          <t>Baraca-Camachile</t>
        </is>
      </c>
      <c r="H113" s="37" t="n">
        <v>14.877061</v>
      </c>
      <c r="I113" s="37" t="n">
        <v>120.233918</v>
      </c>
      <c r="J113" s="8" t="inlineStr">
        <is>
          <t>U</t>
        </is>
      </c>
      <c r="K113" s="36" t="inlineStr">
        <is>
          <t>Class 1-3 / Urban</t>
        </is>
      </c>
      <c r="L113" s="18" t="n">
        <v>3369</v>
      </c>
      <c r="M113" s="20" t="n">
        <v>4.05</v>
      </c>
      <c r="N113" s="18">
        <f>ROUND(L113/M113, 0)</f>
        <v/>
      </c>
      <c r="O113" s="18">
        <f>ROUND(N113*'Methodology &amp; Assumptions'!$B$8, 0)</f>
        <v/>
      </c>
      <c r="P113" s="8" t="inlineStr">
        <is>
          <t>Band n50 (1.5 GHz, 60 MHz)</t>
        </is>
      </c>
      <c r="Q113" s="38">
        <f>ROUNDUP(O113/'Methodology &amp; Assumptions'!$B$9, 0)</f>
        <v/>
      </c>
      <c r="R113" s="39" t="n">
        <v>1</v>
      </c>
      <c r="S113" s="21" t="n">
        <v>1.4</v>
      </c>
      <c r="T113" s="21" t="n">
        <v>0.16</v>
      </c>
      <c r="U113" s="36" t="inlineStr">
        <is>
          <t>Tier 1B (Micro Drop, 1-3 km)</t>
        </is>
      </c>
      <c r="V113" s="20" t="n">
        <v>72.8</v>
      </c>
      <c r="W113" s="20" t="n">
        <v>90.7</v>
      </c>
      <c r="X113" s="20" t="n">
        <v>43</v>
      </c>
      <c r="Y113" s="40">
        <f>ROUND((V113*'Methodology &amp; Assumptions'!$B$6)+(W113*'Methodology &amp; Assumptions'!$B$5)+(X113*'Methodology &amp; Assumptions'!$B$7), 2)</f>
        <v/>
      </c>
    </row>
    <row r="114" ht="19" customHeight="1">
      <c r="A114" s="41" t="n">
        <v>110</v>
      </c>
      <c r="B114" s="41" t="n">
        <v>2110</v>
      </c>
      <c r="C114" s="42" t="inlineStr">
        <is>
          <t>0403425016</t>
        </is>
      </c>
      <c r="D114" s="42" t="inlineStr">
        <is>
          <t>Region IV-A (CALABARZON)</t>
        </is>
      </c>
      <c r="E114" s="42" t="inlineStr">
        <is>
          <t>Laguna</t>
        </is>
      </c>
      <c r="F114" s="42" t="inlineStr">
        <is>
          <t>City of San Pedro</t>
        </is>
      </c>
      <c r="G114" s="42" t="inlineStr">
        <is>
          <t>San Vicente</t>
        </is>
      </c>
      <c r="H114" s="43" t="n">
        <v>14.349361</v>
      </c>
      <c r="I114" s="43" t="n">
        <v>121.053028</v>
      </c>
      <c r="J114" s="44" t="inlineStr">
        <is>
          <t>U</t>
        </is>
      </c>
      <c r="K114" s="42" t="inlineStr">
        <is>
          <t>Class 1-3 / Urban</t>
        </is>
      </c>
      <c r="L114" s="23" t="n">
        <v>27561</v>
      </c>
      <c r="M114" s="24" t="n">
        <v>4.2</v>
      </c>
      <c r="N114" s="23">
        <f>ROUND(L114/M114, 0)</f>
        <v/>
      </c>
      <c r="O114" s="23">
        <f>ROUND(N114*'Methodology &amp; Assumptions'!$B$8, 0)</f>
        <v/>
      </c>
      <c r="P114" s="44" t="inlineStr">
        <is>
          <t>Band n50 (1.5 GHz, 60 MHz)</t>
        </is>
      </c>
      <c r="Q114" s="38">
        <f>ROUNDUP(O114/'Methodology &amp; Assumptions'!$B$9, 0)</f>
        <v/>
      </c>
      <c r="R114" s="39" t="n">
        <v>1</v>
      </c>
      <c r="S114" s="25" t="n">
        <v>1.23</v>
      </c>
      <c r="T114" s="25" t="n">
        <v>0.52</v>
      </c>
      <c r="U114" s="42" t="inlineStr">
        <is>
          <t>Tier 1B (Micro Drop, 1-3 km)</t>
        </is>
      </c>
      <c r="V114" s="24" t="n">
        <v>76.40000000000001</v>
      </c>
      <c r="W114" s="24" t="n">
        <v>99.90000000000001</v>
      </c>
      <c r="X114" s="24" t="n">
        <v>28</v>
      </c>
      <c r="Y114" s="45">
        <f>ROUND((V114*'Methodology &amp; Assumptions'!$B$6)+(W114*'Methodology &amp; Assumptions'!$B$5)+(X114*'Methodology &amp; Assumptions'!$B$7), 2)</f>
        <v/>
      </c>
    </row>
    <row r="115" ht="19" customHeight="1">
      <c r="A115" s="35" t="n">
        <v>111</v>
      </c>
      <c r="B115" s="35" t="n">
        <v>2111</v>
      </c>
      <c r="C115" s="36" t="inlineStr">
        <is>
          <t>1230800035</t>
        </is>
      </c>
      <c r="D115" s="36" t="inlineStr">
        <is>
          <t>Region XII (SOCCSKSARGEN)</t>
        </is>
      </c>
      <c r="E115" s="36" t="inlineStr">
        <is>
          <t>South Cotabato</t>
        </is>
      </c>
      <c r="F115" s="36" t="inlineStr">
        <is>
          <t>City of General Santos</t>
        </is>
      </c>
      <c r="G115" s="36" t="inlineStr">
        <is>
          <t>Dadiangas North</t>
        </is>
      </c>
      <c r="H115" s="37" t="n">
        <v>6.116414</v>
      </c>
      <c r="I115" s="37" t="n">
        <v>125.163155</v>
      </c>
      <c r="J115" s="8" t="inlineStr">
        <is>
          <t>U</t>
        </is>
      </c>
      <c r="K115" s="36" t="inlineStr">
        <is>
          <t>Class 1-3 / Urban</t>
        </is>
      </c>
      <c r="L115" s="18" t="n">
        <v>6801</v>
      </c>
      <c r="M115" s="20" t="n">
        <v>4.1</v>
      </c>
      <c r="N115" s="18">
        <f>ROUND(L115/M115, 0)</f>
        <v/>
      </c>
      <c r="O115" s="18">
        <f>ROUND(N115*'Methodology &amp; Assumptions'!$B$8, 0)</f>
        <v/>
      </c>
      <c r="P115" s="8" t="inlineStr">
        <is>
          <t>Band n50 (1.5 GHz, 60 MHz)</t>
        </is>
      </c>
      <c r="Q115" s="38">
        <f>ROUNDUP(O115/'Methodology &amp; Assumptions'!$B$9, 0)</f>
        <v/>
      </c>
      <c r="R115" s="39" t="n">
        <v>1</v>
      </c>
      <c r="S115" s="21" t="n">
        <v>1.23</v>
      </c>
      <c r="T115" s="21" t="n">
        <v>0.39</v>
      </c>
      <c r="U115" s="36" t="inlineStr">
        <is>
          <t>Tier 1B (Micro Drop, 1-3 km)</t>
        </is>
      </c>
      <c r="V115" s="20" t="n">
        <v>76.3</v>
      </c>
      <c r="W115" s="20" t="n">
        <v>100</v>
      </c>
      <c r="X115" s="20" t="n">
        <v>28</v>
      </c>
      <c r="Y115" s="40">
        <f>ROUND((V115*'Methodology &amp; Assumptions'!$B$6)+(W115*'Methodology &amp; Assumptions'!$B$5)+(X115*'Methodology &amp; Assumptions'!$B$7), 2)</f>
        <v/>
      </c>
    </row>
    <row r="116" ht="19" customHeight="1">
      <c r="A116" s="41" t="n">
        <v>112</v>
      </c>
      <c r="B116" s="41" t="n">
        <v>2112</v>
      </c>
      <c r="C116" s="42" t="inlineStr">
        <is>
          <t>1001312038</t>
        </is>
      </c>
      <c r="D116" s="42" t="inlineStr">
        <is>
          <t>Region X (Northern Mindanao)</t>
        </is>
      </c>
      <c r="E116" s="42" t="inlineStr">
        <is>
          <t>Bukidnon</t>
        </is>
      </c>
      <c r="F116" s="42" t="inlineStr">
        <is>
          <t>City of Malaybalay</t>
        </is>
      </c>
      <c r="G116" s="42" t="inlineStr">
        <is>
          <t>Barangay 1</t>
        </is>
      </c>
      <c r="H116" s="43" t="n">
        <v>8.161025</v>
      </c>
      <c r="I116" s="43" t="n">
        <v>125.130768</v>
      </c>
      <c r="J116" s="44" t="inlineStr">
        <is>
          <t>U</t>
        </is>
      </c>
      <c r="K116" s="42" t="inlineStr">
        <is>
          <t>Class 1-3 / Urban</t>
        </is>
      </c>
      <c r="L116" s="23" t="n">
        <v>6442</v>
      </c>
      <c r="M116" s="24" t="n">
        <v>4.63</v>
      </c>
      <c r="N116" s="23">
        <f>ROUND(L116/M116, 0)</f>
        <v/>
      </c>
      <c r="O116" s="23">
        <f>ROUND(N116*'Methodology &amp; Assumptions'!$B$8, 0)</f>
        <v/>
      </c>
      <c r="P116" s="44" t="inlineStr">
        <is>
          <t>Band n50 (1.5 GHz, 60 MHz)</t>
        </is>
      </c>
      <c r="Q116" s="38">
        <f>ROUNDUP(O116/'Methodology &amp; Assumptions'!$B$9, 0)</f>
        <v/>
      </c>
      <c r="R116" s="39" t="n">
        <v>1</v>
      </c>
      <c r="S116" s="25" t="n">
        <v>1.23</v>
      </c>
      <c r="T116" s="25" t="n">
        <v>0.71</v>
      </c>
      <c r="U116" s="42" t="inlineStr">
        <is>
          <t>Tier 1B (Micro Drop, 1-3 km)</t>
        </is>
      </c>
      <c r="V116" s="24" t="n">
        <v>76.3</v>
      </c>
      <c r="W116" s="24" t="n">
        <v>100</v>
      </c>
      <c r="X116" s="24" t="n">
        <v>28</v>
      </c>
      <c r="Y116" s="45">
        <f>ROUND((V116*'Methodology &amp; Assumptions'!$B$6)+(W116*'Methodology &amp; Assumptions'!$B$5)+(X116*'Methodology &amp; Assumptions'!$B$7), 2)</f>
        <v/>
      </c>
    </row>
    <row r="117" ht="19" customHeight="1">
      <c r="A117" s="35" t="n">
        <v>113</v>
      </c>
      <c r="B117" s="35" t="n">
        <v>2113</v>
      </c>
      <c r="C117" s="36" t="inlineStr">
        <is>
          <t>0702241014</t>
        </is>
      </c>
      <c r="D117" s="36" t="inlineStr">
        <is>
          <t>Region VII (Central Visayas)</t>
        </is>
      </c>
      <c r="E117" s="36" t="inlineStr">
        <is>
          <t>Cebu</t>
        </is>
      </c>
      <c r="F117" s="36" t="inlineStr">
        <is>
          <t>San Fernando</t>
        </is>
      </c>
      <c r="G117" s="36" t="inlineStr">
        <is>
          <t>Panadtaran</t>
        </is>
      </c>
      <c r="H117" s="37" t="n">
        <v>10.15442</v>
      </c>
      <c r="I117" s="37" t="n">
        <v>123.70008</v>
      </c>
      <c r="J117" s="8" t="inlineStr">
        <is>
          <t>U</t>
        </is>
      </c>
      <c r="K117" s="36" t="inlineStr">
        <is>
          <t>Class 1-3 / Urban</t>
        </is>
      </c>
      <c r="L117" s="18" t="n">
        <v>6219</v>
      </c>
      <c r="M117" s="20" t="n">
        <v>4.42</v>
      </c>
      <c r="N117" s="18">
        <f>ROUND(L117/M117, 0)</f>
        <v/>
      </c>
      <c r="O117" s="18">
        <f>ROUND(N117*'Methodology &amp; Assumptions'!$B$8, 0)</f>
        <v/>
      </c>
      <c r="P117" s="8" t="inlineStr">
        <is>
          <t>Band n50 (1.5 GHz, 60 MHz)</t>
        </is>
      </c>
      <c r="Q117" s="38">
        <f>ROUNDUP(O117/'Methodology &amp; Assumptions'!$B$9, 0)</f>
        <v/>
      </c>
      <c r="R117" s="39" t="n">
        <v>1</v>
      </c>
      <c r="S117" s="21" t="n">
        <v>1.23</v>
      </c>
      <c r="T117" s="21" t="n">
        <v>0.17</v>
      </c>
      <c r="U117" s="36" t="inlineStr">
        <is>
          <t>Tier 1B (Micro Drop, 1-3 km)</t>
        </is>
      </c>
      <c r="V117" s="20" t="n">
        <v>76.3</v>
      </c>
      <c r="W117" s="20" t="n">
        <v>100</v>
      </c>
      <c r="X117" s="20" t="n">
        <v>28</v>
      </c>
      <c r="Y117" s="40">
        <f>ROUND((V117*'Methodology &amp; Assumptions'!$B$6)+(W117*'Methodology &amp; Assumptions'!$B$5)+(X117*'Methodology &amp; Assumptions'!$B$7), 2)</f>
        <v/>
      </c>
    </row>
    <row r="118" ht="19" customHeight="1">
      <c r="A118" s="41" t="n">
        <v>114</v>
      </c>
      <c r="B118" s="41" t="n">
        <v>2114</v>
      </c>
      <c r="C118" s="42" t="inlineStr">
        <is>
          <t>0603026012</t>
        </is>
      </c>
      <c r="D118" s="42" t="inlineStr">
        <is>
          <t>Region VI (Western Visayas)</t>
        </is>
      </c>
      <c r="E118" s="42" t="inlineStr">
        <is>
          <t>Iloilo</t>
        </is>
      </c>
      <c r="F118" s="42" t="inlineStr">
        <is>
          <t>Leganes</t>
        </is>
      </c>
      <c r="G118" s="42" t="inlineStr">
        <is>
          <t>Guihaman</t>
        </is>
      </c>
      <c r="H118" s="43" t="n">
        <v>10.7799</v>
      </c>
      <c r="I118" s="43" t="n">
        <v>122.584835</v>
      </c>
      <c r="J118" s="44" t="inlineStr">
        <is>
          <t>R</t>
        </is>
      </c>
      <c r="K118" s="42" t="inlineStr">
        <is>
          <t>2nd</t>
        </is>
      </c>
      <c r="L118" s="23" t="n">
        <v>2290</v>
      </c>
      <c r="M118" s="24" t="n">
        <v>4.6</v>
      </c>
      <c r="N118" s="23">
        <f>ROUND(L118/M118, 0)</f>
        <v/>
      </c>
      <c r="O118" s="23">
        <f>ROUND(N118*'Methodology &amp; Assumptions'!$B$8, 0)</f>
        <v/>
      </c>
      <c r="P118" s="44" t="inlineStr">
        <is>
          <t>Band n50 (1.5 GHz, 60 MHz)</t>
        </is>
      </c>
      <c r="Q118" s="38">
        <f>ROUNDUP(O118/'Methodology &amp; Assumptions'!$B$9, 0)</f>
        <v/>
      </c>
      <c r="R118" s="39" t="n">
        <v>1</v>
      </c>
      <c r="S118" s="25" t="n">
        <v>0.79</v>
      </c>
      <c r="T118" s="25" t="n">
        <v>0.02</v>
      </c>
      <c r="U118" s="42" t="inlineStr">
        <is>
          <t>Tier 1A (Direct Coloc, &lt;1 km)</t>
        </is>
      </c>
      <c r="V118" s="24" t="n">
        <v>86.8</v>
      </c>
      <c r="W118" s="24" t="n">
        <v>63.7</v>
      </c>
      <c r="X118" s="24" t="n">
        <v>58</v>
      </c>
      <c r="Y118" s="45">
        <f>ROUND((V118*'Methodology &amp; Assumptions'!$B$6)+(W118*'Methodology &amp; Assumptions'!$B$5)+(X118*'Methodology &amp; Assumptions'!$B$7), 2)</f>
        <v/>
      </c>
    </row>
    <row r="119" ht="19" customHeight="1">
      <c r="A119" s="35" t="n">
        <v>115</v>
      </c>
      <c r="B119" s="35" t="n">
        <v>2115</v>
      </c>
      <c r="C119" s="36" t="inlineStr">
        <is>
          <t>0201507009</t>
        </is>
      </c>
      <c r="D119" s="36" t="inlineStr">
        <is>
          <t>Region II (Cagayan Valley)</t>
        </is>
      </c>
      <c r="E119" s="36" t="inlineStr">
        <is>
          <t>Cagayan</t>
        </is>
      </c>
      <c r="F119" s="36" t="inlineStr">
        <is>
          <t>Ballesteros</t>
        </is>
      </c>
      <c r="G119" s="36" t="inlineStr">
        <is>
          <t>Centro West</t>
        </is>
      </c>
      <c r="H119" s="37" t="n">
        <v>18.4113</v>
      </c>
      <c r="I119" s="37" t="n">
        <v>121.5098</v>
      </c>
      <c r="J119" s="8" t="inlineStr">
        <is>
          <t>R</t>
        </is>
      </c>
      <c r="K119" s="36" t="inlineStr">
        <is>
          <t>2nd</t>
        </is>
      </c>
      <c r="L119" s="18" t="n">
        <v>2046</v>
      </c>
      <c r="M119" s="20" t="n">
        <v>4.09</v>
      </c>
      <c r="N119" s="18">
        <f>ROUND(L119/M119, 0)</f>
        <v/>
      </c>
      <c r="O119" s="18">
        <f>ROUND(N119*'Methodology &amp; Assumptions'!$B$8, 0)</f>
        <v/>
      </c>
      <c r="P119" s="8" t="inlineStr">
        <is>
          <t>Band n50 (1.5 GHz, 60 MHz)</t>
        </is>
      </c>
      <c r="Q119" s="38">
        <f>ROUNDUP(O119/'Methodology &amp; Assumptions'!$B$9, 0)</f>
        <v/>
      </c>
      <c r="R119" s="39" t="n">
        <v>1</v>
      </c>
      <c r="S119" s="21" t="n">
        <v>0.43</v>
      </c>
      <c r="T119" s="21" t="n">
        <v>7.31</v>
      </c>
      <c r="U119" s="36" t="inlineStr">
        <is>
          <t>Tier 1A (Direct Coloc, &lt;1 km)</t>
        </is>
      </c>
      <c r="V119" s="20" t="n">
        <v>86.5</v>
      </c>
      <c r="W119" s="20" t="n">
        <v>64</v>
      </c>
      <c r="X119" s="20" t="n">
        <v>58</v>
      </c>
      <c r="Y119" s="40">
        <f>ROUND((V119*'Methodology &amp; Assumptions'!$B$6)+(W119*'Methodology &amp; Assumptions'!$B$5)+(X119*'Methodology &amp; Assumptions'!$B$7), 2)</f>
        <v/>
      </c>
    </row>
    <row r="120" ht="19" customHeight="1">
      <c r="A120" s="41" t="n">
        <v>116</v>
      </c>
      <c r="B120" s="41" t="n">
        <v>2116</v>
      </c>
      <c r="C120" s="42" t="inlineStr">
        <is>
          <t>0301412026</t>
        </is>
      </c>
      <c r="D120" s="42" t="inlineStr">
        <is>
          <t>Region III (Central Luzon)</t>
        </is>
      </c>
      <c r="E120" s="42" t="inlineStr">
        <is>
          <t>Bulacan</t>
        </is>
      </c>
      <c r="F120" s="42" t="inlineStr">
        <is>
          <t>City of Meycauayan</t>
        </is>
      </c>
      <c r="G120" s="42" t="inlineStr">
        <is>
          <t>Caingin</t>
        </is>
      </c>
      <c r="H120" s="43" t="n">
        <v>14.727487</v>
      </c>
      <c r="I120" s="43" t="n">
        <v>120.970956</v>
      </c>
      <c r="J120" s="44" t="inlineStr">
        <is>
          <t>U</t>
        </is>
      </c>
      <c r="K120" s="42" t="inlineStr">
        <is>
          <t>Class 1-3 / Urban</t>
        </is>
      </c>
      <c r="L120" s="23" t="n">
        <v>6895</v>
      </c>
      <c r="M120" s="24" t="n">
        <v>4.1</v>
      </c>
      <c r="N120" s="23">
        <f>ROUND(L120/M120, 0)</f>
        <v/>
      </c>
      <c r="O120" s="23">
        <f>ROUND(N120*'Methodology &amp; Assumptions'!$B$8, 0)</f>
        <v/>
      </c>
      <c r="P120" s="44" t="inlineStr">
        <is>
          <t>Band n50 (1.5 GHz, 60 MHz)</t>
        </is>
      </c>
      <c r="Q120" s="38">
        <f>ROUNDUP(O120/'Methodology &amp; Assumptions'!$B$9, 0)</f>
        <v/>
      </c>
      <c r="R120" s="39" t="n">
        <v>1</v>
      </c>
      <c r="S120" s="25" t="n">
        <v>1.23</v>
      </c>
      <c r="T120" s="25" t="n">
        <v>1.03</v>
      </c>
      <c r="U120" s="42" t="inlineStr">
        <is>
          <t>Tier 1B (Micro Drop, 1-3 km)</t>
        </is>
      </c>
      <c r="V120" s="24" t="n">
        <v>76.3</v>
      </c>
      <c r="W120" s="24" t="n">
        <v>100</v>
      </c>
      <c r="X120" s="24" t="n">
        <v>28</v>
      </c>
      <c r="Y120" s="45">
        <f>ROUND((V120*'Methodology &amp; Assumptions'!$B$6)+(W120*'Methodology &amp; Assumptions'!$B$5)+(X120*'Methodology &amp; Assumptions'!$B$7), 2)</f>
        <v/>
      </c>
    </row>
    <row r="121" ht="19" customHeight="1">
      <c r="A121" s="35" t="n">
        <v>117</v>
      </c>
      <c r="B121" s="35" t="n">
        <v>2117</v>
      </c>
      <c r="C121" s="36" t="inlineStr">
        <is>
          <t>0730600004</t>
        </is>
      </c>
      <c r="D121" s="36" t="inlineStr">
        <is>
          <t>Region VII (Central Visayas)</t>
        </is>
      </c>
      <c r="E121" s="36" t="inlineStr">
        <is>
          <t>Cebu</t>
        </is>
      </c>
      <c r="F121" s="36" t="inlineStr">
        <is>
          <t>City of Cebu</t>
        </is>
      </c>
      <c r="G121" s="36" t="inlineStr">
        <is>
          <t>Babag</t>
        </is>
      </c>
      <c r="H121" s="37" t="n">
        <v>10.373957</v>
      </c>
      <c r="I121" s="37" t="n">
        <v>123.84993</v>
      </c>
      <c r="J121" s="8" t="inlineStr">
        <is>
          <t>U</t>
        </is>
      </c>
      <c r="K121" s="36" t="inlineStr">
        <is>
          <t>Class 1-3 / Urban</t>
        </is>
      </c>
      <c r="L121" s="18" t="n">
        <v>5945</v>
      </c>
      <c r="M121" s="20" t="n">
        <v>4.42</v>
      </c>
      <c r="N121" s="18">
        <f>ROUND(L121/M121, 0)</f>
        <v/>
      </c>
      <c r="O121" s="18">
        <f>ROUND(N121*'Methodology &amp; Assumptions'!$B$8, 0)</f>
        <v/>
      </c>
      <c r="P121" s="8" t="inlineStr">
        <is>
          <t>Band n50 (1.5 GHz, 60 MHz)</t>
        </is>
      </c>
      <c r="Q121" s="38">
        <f>ROUNDUP(O121/'Methodology &amp; Assumptions'!$B$9, 0)</f>
        <v/>
      </c>
      <c r="R121" s="39" t="n">
        <v>1</v>
      </c>
      <c r="S121" s="21" t="n">
        <v>0.8100000000000001</v>
      </c>
      <c r="T121" s="21" t="n">
        <v>7.56</v>
      </c>
      <c r="U121" s="36" t="inlineStr">
        <is>
          <t>Tier 1A (Direct Coloc, &lt;1 km)</t>
        </is>
      </c>
      <c r="V121" s="20" t="n">
        <v>76.3</v>
      </c>
      <c r="W121" s="20" t="n">
        <v>100</v>
      </c>
      <c r="X121" s="20" t="n">
        <v>28</v>
      </c>
      <c r="Y121" s="40">
        <f>ROUND((V121*'Methodology &amp; Assumptions'!$B$6)+(W121*'Methodology &amp; Assumptions'!$B$5)+(X121*'Methodology &amp; Assumptions'!$B$7), 2)</f>
        <v/>
      </c>
    </row>
    <row r="122" ht="19" customHeight="1">
      <c r="A122" s="41" t="n">
        <v>118</v>
      </c>
      <c r="B122" s="41" t="n">
        <v>2118</v>
      </c>
      <c r="C122" s="42" t="inlineStr">
        <is>
          <t>0105514011</t>
        </is>
      </c>
      <c r="D122" s="42" t="inlineStr">
        <is>
          <t>Region I (Ilocos Region)</t>
        </is>
      </c>
      <c r="E122" s="42" t="inlineStr">
        <is>
          <t>Pangasinan</t>
        </is>
      </c>
      <c r="F122" s="42" t="inlineStr">
        <is>
          <t>Bolinao</t>
        </is>
      </c>
      <c r="G122" s="42" t="inlineStr">
        <is>
          <t>Germinal</t>
        </is>
      </c>
      <c r="H122" s="43" t="n">
        <v>16.387942</v>
      </c>
      <c r="I122" s="43" t="n">
        <v>119.892968</v>
      </c>
      <c r="J122" s="44" t="inlineStr">
        <is>
          <t>U</t>
        </is>
      </c>
      <c r="K122" s="42" t="inlineStr">
        <is>
          <t>Class 1-3 / Urban</t>
        </is>
      </c>
      <c r="L122" s="23" t="n">
        <v>2876</v>
      </c>
      <c r="M122" s="24" t="n">
        <v>4.39</v>
      </c>
      <c r="N122" s="23">
        <f>ROUND(L122/M122, 0)</f>
        <v/>
      </c>
      <c r="O122" s="23">
        <f>ROUND(N122*'Methodology &amp; Assumptions'!$B$8, 0)</f>
        <v/>
      </c>
      <c r="P122" s="44" t="inlineStr">
        <is>
          <t>Band n50 (1.5 GHz, 60 MHz)</t>
        </is>
      </c>
      <c r="Q122" s="38">
        <f>ROUNDUP(O122/'Methodology &amp; Assumptions'!$B$9, 0)</f>
        <v/>
      </c>
      <c r="R122" s="39" t="n">
        <v>1</v>
      </c>
      <c r="S122" s="25" t="n">
        <v>0.24</v>
      </c>
      <c r="T122" s="25" t="n">
        <v>0.08</v>
      </c>
      <c r="U122" s="42" t="inlineStr">
        <is>
          <t>Tier 1A (Direct Coloc, &lt;1 km)</t>
        </is>
      </c>
      <c r="V122" s="24" t="n">
        <v>100</v>
      </c>
      <c r="W122" s="24" t="n">
        <v>76.3</v>
      </c>
      <c r="X122" s="24" t="n">
        <v>28</v>
      </c>
      <c r="Y122" s="45">
        <f>ROUND((V122*'Methodology &amp; Assumptions'!$B$6)+(W122*'Methodology &amp; Assumptions'!$B$5)+(X122*'Methodology &amp; Assumptions'!$B$7), 2)</f>
        <v/>
      </c>
    </row>
    <row r="123" ht="19" customHeight="1">
      <c r="A123" s="35" t="n">
        <v>119</v>
      </c>
      <c r="B123" s="35" t="n">
        <v>2119</v>
      </c>
      <c r="C123" s="36" t="inlineStr">
        <is>
          <t>0501715035</t>
        </is>
      </c>
      <c r="D123" s="36" t="inlineStr">
        <is>
          <t>Region V (Bicol Region)</t>
        </is>
      </c>
      <c r="E123" s="36" t="inlineStr">
        <is>
          <t>Camarines Sur</t>
        </is>
      </c>
      <c r="F123" s="36" t="inlineStr">
        <is>
          <t>Goa</t>
        </is>
      </c>
      <c r="G123" s="36" t="inlineStr">
        <is>
          <t>Taytay</t>
        </is>
      </c>
      <c r="H123" s="37" t="n">
        <v>13.707357</v>
      </c>
      <c r="I123" s="37" t="n">
        <v>123.493556</v>
      </c>
      <c r="J123" s="8" t="inlineStr">
        <is>
          <t>R</t>
        </is>
      </c>
      <c r="K123" s="36" t="inlineStr">
        <is>
          <t>Class 1-3 / Urban</t>
        </is>
      </c>
      <c r="L123" s="18" t="n">
        <v>3373</v>
      </c>
      <c r="M123" s="20" t="n">
        <v>4.9</v>
      </c>
      <c r="N123" s="18">
        <f>ROUND(L123/M123, 0)</f>
        <v/>
      </c>
      <c r="O123" s="18">
        <f>ROUND(N123*'Methodology &amp; Assumptions'!$B$8, 0)</f>
        <v/>
      </c>
      <c r="P123" s="8" t="inlineStr">
        <is>
          <t>Band n50 (1.5 GHz, 60 MHz)</t>
        </is>
      </c>
      <c r="Q123" s="38">
        <f>ROUNDUP(O123/'Methodology &amp; Assumptions'!$B$9, 0)</f>
        <v/>
      </c>
      <c r="R123" s="39" t="n">
        <v>1</v>
      </c>
      <c r="S123" s="21" t="n">
        <v>1.45</v>
      </c>
      <c r="T123" s="21" t="n">
        <v>1.59</v>
      </c>
      <c r="U123" s="36" t="inlineStr">
        <is>
          <t>Tier 1B (Micro Drop, 1-3 km)</t>
        </is>
      </c>
      <c r="V123" s="20" t="n">
        <v>71.59999999999999</v>
      </c>
      <c r="W123" s="20" t="n">
        <v>78.90000000000001</v>
      </c>
      <c r="X123" s="20" t="n">
        <v>58</v>
      </c>
      <c r="Y123" s="40">
        <f>ROUND((V123*'Methodology &amp; Assumptions'!$B$6)+(W123*'Methodology &amp; Assumptions'!$B$5)+(X123*'Methodology &amp; Assumptions'!$B$7), 2)</f>
        <v/>
      </c>
    </row>
    <row r="124" ht="19" customHeight="1">
      <c r="A124" s="41" t="n">
        <v>120</v>
      </c>
      <c r="B124" s="41" t="n">
        <v>2120</v>
      </c>
      <c r="C124" s="42" t="inlineStr">
        <is>
          <t>1130700057</t>
        </is>
      </c>
      <c r="D124" s="42" t="inlineStr">
        <is>
          <t>Region XI (Davao Region)</t>
        </is>
      </c>
      <c r="E124" s="42" t="inlineStr">
        <is>
          <t>Davao del Sur</t>
        </is>
      </c>
      <c r="F124" s="42" t="inlineStr">
        <is>
          <t>City of Davao</t>
        </is>
      </c>
      <c r="G124" s="42" t="inlineStr">
        <is>
          <t>Lizada</t>
        </is>
      </c>
      <c r="H124" s="43" t="n">
        <v>7.011184</v>
      </c>
      <c r="I124" s="43" t="n">
        <v>125.489086</v>
      </c>
      <c r="J124" s="44" t="inlineStr">
        <is>
          <t>U</t>
        </is>
      </c>
      <c r="K124" s="42" t="inlineStr">
        <is>
          <t>Class 1-3 / Urban</t>
        </is>
      </c>
      <c r="L124" s="23" t="n">
        <v>23717</v>
      </c>
      <c r="M124" s="24" t="n">
        <v>4.1</v>
      </c>
      <c r="N124" s="23">
        <f>ROUND(L124/M124, 0)</f>
        <v/>
      </c>
      <c r="O124" s="23">
        <f>ROUND(N124*'Methodology &amp; Assumptions'!$B$8, 0)</f>
        <v/>
      </c>
      <c r="P124" s="44" t="inlineStr">
        <is>
          <t>Band n50 (1.5 GHz, 60 MHz)</t>
        </is>
      </c>
      <c r="Q124" s="38">
        <f>ROUNDUP(O124/'Methodology &amp; Assumptions'!$B$9, 0)</f>
        <v/>
      </c>
      <c r="R124" s="39" t="n">
        <v>1</v>
      </c>
      <c r="S124" s="25" t="n">
        <v>1.24</v>
      </c>
      <c r="T124" s="25" t="n">
        <v>0.26</v>
      </c>
      <c r="U124" s="42" t="inlineStr">
        <is>
          <t>Tier 1B (Micro Drop, 1-3 km)</t>
        </is>
      </c>
      <c r="V124" s="24" t="n">
        <v>76.2</v>
      </c>
      <c r="W124" s="24" t="n">
        <v>100</v>
      </c>
      <c r="X124" s="24" t="n">
        <v>28</v>
      </c>
      <c r="Y124" s="45">
        <f>ROUND((V124*'Methodology &amp; Assumptions'!$B$6)+(W124*'Methodology &amp; Assumptions'!$B$5)+(X124*'Methodology &amp; Assumptions'!$B$7), 2)</f>
        <v/>
      </c>
    </row>
    <row r="125" ht="19" customHeight="1">
      <c r="A125" s="35" t="n">
        <v>121</v>
      </c>
      <c r="B125" s="35" t="n">
        <v>2121</v>
      </c>
      <c r="C125" s="36" t="inlineStr">
        <is>
          <t>0105547003</t>
        </is>
      </c>
      <c r="D125" s="36" t="inlineStr">
        <is>
          <t>Region I (Ilocos Region)</t>
        </is>
      </c>
      <c r="E125" s="36" t="inlineStr">
        <is>
          <t>Pangasinan</t>
        </is>
      </c>
      <c r="F125" s="36" t="inlineStr">
        <is>
          <t>Villasis</t>
        </is>
      </c>
      <c r="G125" s="36" t="inlineStr">
        <is>
          <t>Barangobong</t>
        </is>
      </c>
      <c r="H125" s="37" t="n">
        <v>16.03549</v>
      </c>
      <c r="I125" s="37" t="n">
        <v>120.771433</v>
      </c>
      <c r="J125" s="8" t="inlineStr">
        <is>
          <t>R</t>
        </is>
      </c>
      <c r="K125" s="36" t="inlineStr">
        <is>
          <t>Class 1-3 / Urban</t>
        </is>
      </c>
      <c r="L125" s="18" t="n">
        <v>4174</v>
      </c>
      <c r="M125" s="20" t="n">
        <v>4.39</v>
      </c>
      <c r="N125" s="18">
        <f>ROUND(L125/M125, 0)</f>
        <v/>
      </c>
      <c r="O125" s="18">
        <f>ROUND(N125*'Methodology &amp; Assumptions'!$B$8, 0)</f>
        <v/>
      </c>
      <c r="P125" s="8" t="inlineStr">
        <is>
          <t>Band n50 (1.5 GHz, 60 MHz)</t>
        </is>
      </c>
      <c r="Q125" s="38">
        <f>ROUNDUP(O125/'Methodology &amp; Assumptions'!$B$9, 0)</f>
        <v/>
      </c>
      <c r="R125" s="39" t="n">
        <v>1</v>
      </c>
      <c r="S125" s="21" t="n">
        <v>2.93</v>
      </c>
      <c r="T125" s="21" t="n">
        <v>2.82</v>
      </c>
      <c r="U125" s="36" t="inlineStr">
        <is>
          <t>Tier 1B (Micro Drop, 1-3 km)</t>
        </is>
      </c>
      <c r="V125" s="20" t="n">
        <v>37.6</v>
      </c>
      <c r="W125" s="20" t="n">
        <v>100</v>
      </c>
      <c r="X125" s="20" t="n">
        <v>73</v>
      </c>
      <c r="Y125" s="40">
        <f>ROUND((V125*'Methodology &amp; Assumptions'!$B$6)+(W125*'Methodology &amp; Assumptions'!$B$5)+(X125*'Methodology &amp; Assumptions'!$B$7), 2)</f>
        <v/>
      </c>
    </row>
    <row r="126" ht="19" customHeight="1">
      <c r="A126" s="41" t="n">
        <v>122</v>
      </c>
      <c r="B126" s="41" t="n">
        <v>2122</v>
      </c>
      <c r="C126" s="42" t="inlineStr">
        <is>
          <t>1001314012</t>
        </is>
      </c>
      <c r="D126" s="42" t="inlineStr">
        <is>
          <t>Region X (Northern Mindanao)</t>
        </is>
      </c>
      <c r="E126" s="42" t="inlineStr">
        <is>
          <t>Bukidnon</t>
        </is>
      </c>
      <c r="F126" s="42" t="inlineStr">
        <is>
          <t>Manolo Fortich</t>
        </is>
      </c>
      <c r="G126" s="42" t="inlineStr">
        <is>
          <t>Maluko</t>
        </is>
      </c>
      <c r="H126" s="43" t="n">
        <v>8.371589</v>
      </c>
      <c r="I126" s="43" t="n">
        <v>124.955552</v>
      </c>
      <c r="J126" s="44" t="inlineStr">
        <is>
          <t>R</t>
        </is>
      </c>
      <c r="K126" s="42" t="inlineStr">
        <is>
          <t>Class 1-3 / Urban</t>
        </is>
      </c>
      <c r="L126" s="23" t="n">
        <v>4447</v>
      </c>
      <c r="M126" s="24" t="n">
        <v>4.63</v>
      </c>
      <c r="N126" s="23">
        <f>ROUND(L126/M126, 0)</f>
        <v/>
      </c>
      <c r="O126" s="23">
        <f>ROUND(N126*'Methodology &amp; Assumptions'!$B$8, 0)</f>
        <v/>
      </c>
      <c r="P126" s="44" t="inlineStr">
        <is>
          <t>Band n50 (1.5 GHz, 60 MHz)</t>
        </is>
      </c>
      <c r="Q126" s="38">
        <f>ROUNDUP(O126/'Methodology &amp; Assumptions'!$B$9, 0)</f>
        <v/>
      </c>
      <c r="R126" s="39" t="n">
        <v>1</v>
      </c>
      <c r="S126" s="25" t="n">
        <v>2.71</v>
      </c>
      <c r="T126" s="25" t="n">
        <v>0.23</v>
      </c>
      <c r="U126" s="42" t="inlineStr">
        <is>
          <t>Tier 1B (Micro Drop, 1-3 km)</t>
        </is>
      </c>
      <c r="V126" s="24" t="n">
        <v>50.5</v>
      </c>
      <c r="W126" s="24" t="n">
        <v>100</v>
      </c>
      <c r="X126" s="24" t="n">
        <v>58</v>
      </c>
      <c r="Y126" s="45">
        <f>ROUND((V126*'Methodology &amp; Assumptions'!$B$6)+(W126*'Methodology &amp; Assumptions'!$B$5)+(X126*'Methodology &amp; Assumptions'!$B$7), 2)</f>
        <v/>
      </c>
    </row>
    <row r="127" ht="19" customHeight="1">
      <c r="A127" s="35" t="n">
        <v>123</v>
      </c>
      <c r="B127" s="35" t="n">
        <v>2123</v>
      </c>
      <c r="C127" s="36" t="inlineStr">
        <is>
          <t>0601914014</t>
        </is>
      </c>
      <c r="D127" s="36" t="inlineStr">
        <is>
          <t>Region VI (Western Visayas)</t>
        </is>
      </c>
      <c r="E127" s="36" t="inlineStr">
        <is>
          <t>Capiz</t>
        </is>
      </c>
      <c r="F127" s="36" t="inlineStr">
        <is>
          <t>City of Roxas</t>
        </is>
      </c>
      <c r="G127" s="36" t="inlineStr">
        <is>
          <t>Poblacion VII</t>
        </is>
      </c>
      <c r="H127" s="37" t="n">
        <v>11.58164</v>
      </c>
      <c r="I127" s="37" t="n">
        <v>122.747324</v>
      </c>
      <c r="J127" s="8" t="inlineStr">
        <is>
          <t>R</t>
        </is>
      </c>
      <c r="K127" s="36" t="inlineStr">
        <is>
          <t>Class 1-3 / Urban</t>
        </is>
      </c>
      <c r="L127" s="18" t="n">
        <v>2117</v>
      </c>
      <c r="M127" s="20" t="n">
        <v>4.2</v>
      </c>
      <c r="N127" s="18">
        <f>ROUND(L127/M127, 0)</f>
        <v/>
      </c>
      <c r="O127" s="18">
        <f>ROUND(N127*'Methodology &amp; Assumptions'!$B$8, 0)</f>
        <v/>
      </c>
      <c r="P127" s="8" t="inlineStr">
        <is>
          <t>Band n50 (1.5 GHz, 60 MHz)</t>
        </is>
      </c>
      <c r="Q127" s="38">
        <f>ROUNDUP(O127/'Methodology &amp; Assumptions'!$B$9, 0)</f>
        <v/>
      </c>
      <c r="R127" s="39" t="n">
        <v>1</v>
      </c>
      <c r="S127" s="21" t="n">
        <v>0.82</v>
      </c>
      <c r="T127" s="21" t="n">
        <v>0.12</v>
      </c>
      <c r="U127" s="36" t="inlineStr">
        <is>
          <t>Tier 1A (Direct Coloc, &lt;1 km)</t>
        </is>
      </c>
      <c r="V127" s="20" t="n">
        <v>86.2</v>
      </c>
      <c r="W127" s="20" t="n">
        <v>64.3</v>
      </c>
      <c r="X127" s="20" t="n">
        <v>58</v>
      </c>
      <c r="Y127" s="40">
        <f>ROUND((V127*'Methodology &amp; Assumptions'!$B$6)+(W127*'Methodology &amp; Assumptions'!$B$5)+(X127*'Methodology &amp; Assumptions'!$B$7), 2)</f>
        <v/>
      </c>
    </row>
    <row r="128" ht="19" customHeight="1">
      <c r="A128" s="41" t="n">
        <v>124</v>
      </c>
      <c r="B128" s="41" t="n">
        <v>2124</v>
      </c>
      <c r="C128" s="42" t="inlineStr">
        <is>
          <t>1230800029</t>
        </is>
      </c>
      <c r="D128" s="42" t="inlineStr">
        <is>
          <t>Region XII (SOCCSKSARGEN)</t>
        </is>
      </c>
      <c r="E128" s="42" t="inlineStr">
        <is>
          <t>South Cotabato</t>
        </is>
      </c>
      <c r="F128" s="42" t="inlineStr">
        <is>
          <t>City of General Santos</t>
        </is>
      </c>
      <c r="G128" s="42" t="inlineStr">
        <is>
          <t>Apopong</t>
        </is>
      </c>
      <c r="H128" s="43" t="n">
        <v>6.131163</v>
      </c>
      <c r="I128" s="43" t="n">
        <v>125.130551</v>
      </c>
      <c r="J128" s="44" t="inlineStr">
        <is>
          <t>U</t>
        </is>
      </c>
      <c r="K128" s="42" t="inlineStr">
        <is>
          <t>Class 1-3 / Urban</t>
        </is>
      </c>
      <c r="L128" s="23" t="n">
        <v>58314</v>
      </c>
      <c r="M128" s="24" t="n">
        <v>4.1</v>
      </c>
      <c r="N128" s="23">
        <f>ROUND(L128/M128, 0)</f>
        <v/>
      </c>
      <c r="O128" s="23">
        <f>ROUND(N128*'Methodology &amp; Assumptions'!$B$8, 0)</f>
        <v/>
      </c>
      <c r="P128" s="44" t="inlineStr">
        <is>
          <t>Band n50 (1.5 GHz, 60 MHz)</t>
        </is>
      </c>
      <c r="Q128" s="38">
        <f>ROUNDUP(O128/'Methodology &amp; Assumptions'!$B$9, 0)</f>
        <v/>
      </c>
      <c r="R128" s="39" t="n">
        <v>1</v>
      </c>
      <c r="S128" s="25" t="n">
        <v>1.03</v>
      </c>
      <c r="T128" s="25" t="n">
        <v>1.49</v>
      </c>
      <c r="U128" s="42" t="inlineStr">
        <is>
          <t>Tier 1B (Micro Drop, 1-3 km)</t>
        </is>
      </c>
      <c r="V128" s="24" t="n">
        <v>80.90000000000001</v>
      </c>
      <c r="W128" s="24" t="n">
        <v>95.3</v>
      </c>
      <c r="X128" s="24" t="n">
        <v>28</v>
      </c>
      <c r="Y128" s="45">
        <f>ROUND((V128*'Methodology &amp; Assumptions'!$B$6)+(W128*'Methodology &amp; Assumptions'!$B$5)+(X128*'Methodology &amp; Assumptions'!$B$7), 2)</f>
        <v/>
      </c>
    </row>
    <row r="129" ht="19" customHeight="1">
      <c r="A129" s="35" t="n">
        <v>125</v>
      </c>
      <c r="B129" s="35" t="n">
        <v>2125</v>
      </c>
      <c r="C129" s="36" t="inlineStr">
        <is>
          <t>0403428005</t>
        </is>
      </c>
      <c r="D129" s="36" t="inlineStr">
        <is>
          <t>Region IV-A (CALABARZON)</t>
        </is>
      </c>
      <c r="E129" s="36" t="inlineStr">
        <is>
          <t>Laguna</t>
        </is>
      </c>
      <c r="F129" s="36" t="inlineStr">
        <is>
          <t>City of Santa Rosa</t>
        </is>
      </c>
      <c r="G129" s="36" t="inlineStr">
        <is>
          <t>Dita</t>
        </is>
      </c>
      <c r="H129" s="37" t="n">
        <v>14.282139</v>
      </c>
      <c r="I129" s="37" t="n">
        <v>121.111519</v>
      </c>
      <c r="J129" s="8" t="inlineStr">
        <is>
          <t>U</t>
        </is>
      </c>
      <c r="K129" s="36" t="inlineStr">
        <is>
          <t>Class 1-3 / Urban</t>
        </is>
      </c>
      <c r="L129" s="18" t="n">
        <v>34650</v>
      </c>
      <c r="M129" s="20" t="n">
        <v>4.2</v>
      </c>
      <c r="N129" s="18">
        <f>ROUND(L129/M129, 0)</f>
        <v/>
      </c>
      <c r="O129" s="18">
        <f>ROUND(N129*'Methodology &amp; Assumptions'!$B$8, 0)</f>
        <v/>
      </c>
      <c r="P129" s="8" t="inlineStr">
        <is>
          <t>Band n50 (1.5 GHz, 60 MHz)</t>
        </is>
      </c>
      <c r="Q129" s="38">
        <f>ROUNDUP(O129/'Methodology &amp; Assumptions'!$B$9, 0)</f>
        <v/>
      </c>
      <c r="R129" s="39" t="n">
        <v>1</v>
      </c>
      <c r="S129" s="21" t="n">
        <v>1.17</v>
      </c>
      <c r="T129" s="21" t="n">
        <v>0.03</v>
      </c>
      <c r="U129" s="36" t="inlineStr">
        <is>
          <t>Tier 1B (Micro Drop, 1-3 km)</t>
        </is>
      </c>
      <c r="V129" s="20" t="n">
        <v>77.59999999999999</v>
      </c>
      <c r="W129" s="20" t="n">
        <v>98.59999999999999</v>
      </c>
      <c r="X129" s="20" t="n">
        <v>28</v>
      </c>
      <c r="Y129" s="40">
        <f>ROUND((V129*'Methodology &amp; Assumptions'!$B$6)+(W129*'Methodology &amp; Assumptions'!$B$5)+(X129*'Methodology &amp; Assumptions'!$B$7), 2)</f>
        <v/>
      </c>
    </row>
    <row r="130" ht="19" customHeight="1">
      <c r="A130" s="41" t="n">
        <v>126</v>
      </c>
      <c r="B130" s="41" t="n">
        <v>2126</v>
      </c>
      <c r="C130" s="42" t="inlineStr">
        <is>
          <t>0301405002</t>
        </is>
      </c>
      <c r="D130" s="42" t="inlineStr">
        <is>
          <t>Region III (Central Luzon)</t>
        </is>
      </c>
      <c r="E130" s="42" t="inlineStr">
        <is>
          <t>Bulacan</t>
        </is>
      </c>
      <c r="F130" s="42" t="inlineStr">
        <is>
          <t>Bulacan</t>
        </is>
      </c>
      <c r="G130" s="42" t="inlineStr">
        <is>
          <t>Balubad</t>
        </is>
      </c>
      <c r="H130" s="43" t="n">
        <v>14.801185</v>
      </c>
      <c r="I130" s="43" t="n">
        <v>120.874136</v>
      </c>
      <c r="J130" s="44" t="inlineStr">
        <is>
          <t>U</t>
        </is>
      </c>
      <c r="K130" s="42" t="inlineStr">
        <is>
          <t>Class 1-3 / Urban</t>
        </is>
      </c>
      <c r="L130" s="23" t="n">
        <v>3738</v>
      </c>
      <c r="M130" s="24" t="n">
        <v>4.1</v>
      </c>
      <c r="N130" s="23">
        <f>ROUND(L130/M130, 0)</f>
        <v/>
      </c>
      <c r="O130" s="23">
        <f>ROUND(N130*'Methodology &amp; Assumptions'!$B$8, 0)</f>
        <v/>
      </c>
      <c r="P130" s="44" t="inlineStr">
        <is>
          <t>Band n50 (1.5 GHz, 60 MHz)</t>
        </is>
      </c>
      <c r="Q130" s="38">
        <f>ROUNDUP(O130/'Methodology &amp; Assumptions'!$B$9, 0)</f>
        <v/>
      </c>
      <c r="R130" s="39" t="n">
        <v>1</v>
      </c>
      <c r="S130" s="25" t="n">
        <v>0.7</v>
      </c>
      <c r="T130" s="25" t="n">
        <v>3</v>
      </c>
      <c r="U130" s="42" t="inlineStr">
        <is>
          <t>Tier 1A (Direct Coloc, &lt;1 km)</t>
        </is>
      </c>
      <c r="V130" s="24" t="n">
        <v>79.09999999999999</v>
      </c>
      <c r="W130" s="24" t="n">
        <v>97.09999999999999</v>
      </c>
      <c r="X130" s="24" t="n">
        <v>28</v>
      </c>
      <c r="Y130" s="45">
        <f>ROUND((V130*'Methodology &amp; Assumptions'!$B$6)+(W130*'Methodology &amp; Assumptions'!$B$5)+(X130*'Methodology &amp; Assumptions'!$B$7), 2)</f>
        <v/>
      </c>
    </row>
    <row r="131" ht="19" customHeight="1">
      <c r="A131" s="35" t="n">
        <v>127</v>
      </c>
      <c r="B131" s="35" t="n">
        <v>2127</v>
      </c>
      <c r="C131" s="36" t="inlineStr">
        <is>
          <t>0702231014</t>
        </is>
      </c>
      <c r="D131" s="36" t="inlineStr">
        <is>
          <t>Region VII (Central Visayas)</t>
        </is>
      </c>
      <c r="E131" s="36" t="inlineStr">
        <is>
          <t>Cebu</t>
        </is>
      </c>
      <c r="F131" s="36" t="inlineStr">
        <is>
          <t>Medellin</t>
        </is>
      </c>
      <c r="G131" s="36" t="inlineStr">
        <is>
          <t>Poblacion</t>
        </is>
      </c>
      <c r="H131" s="37" t="n">
        <v>11.127865</v>
      </c>
      <c r="I131" s="37" t="n">
        <v>123.959935</v>
      </c>
      <c r="J131" s="8" t="inlineStr">
        <is>
          <t>U</t>
        </is>
      </c>
      <c r="K131" s="36" t="inlineStr">
        <is>
          <t>Class 1-3 / Urban</t>
        </is>
      </c>
      <c r="L131" s="18" t="n">
        <v>6825</v>
      </c>
      <c r="M131" s="20" t="n">
        <v>4.42</v>
      </c>
      <c r="N131" s="18">
        <f>ROUND(L131/M131, 0)</f>
        <v/>
      </c>
      <c r="O131" s="18">
        <f>ROUND(N131*'Methodology &amp; Assumptions'!$B$8, 0)</f>
        <v/>
      </c>
      <c r="P131" s="8" t="inlineStr">
        <is>
          <t>Band n50 (1.5 GHz, 60 MHz)</t>
        </is>
      </c>
      <c r="Q131" s="38">
        <f>ROUNDUP(O131/'Methodology &amp; Assumptions'!$B$9, 0)</f>
        <v/>
      </c>
      <c r="R131" s="39" t="n">
        <v>1</v>
      </c>
      <c r="S131" s="21" t="n">
        <v>1.24</v>
      </c>
      <c r="T131" s="21" t="n">
        <v>0.44</v>
      </c>
      <c r="U131" s="36" t="inlineStr">
        <is>
          <t>Tier 1B (Micro Drop, 1-3 km)</t>
        </is>
      </c>
      <c r="V131" s="20" t="n">
        <v>76.09999999999999</v>
      </c>
      <c r="W131" s="20" t="n">
        <v>100</v>
      </c>
      <c r="X131" s="20" t="n">
        <v>28</v>
      </c>
      <c r="Y131" s="40">
        <f>ROUND((V131*'Methodology &amp; Assumptions'!$B$6)+(W131*'Methodology &amp; Assumptions'!$B$5)+(X131*'Methodology &amp; Assumptions'!$B$7), 2)</f>
        <v/>
      </c>
    </row>
    <row r="132" ht="19" customHeight="1">
      <c r="A132" s="41" t="n">
        <v>128</v>
      </c>
      <c r="B132" s="41" t="n">
        <v>2128</v>
      </c>
      <c r="C132" s="42" t="inlineStr">
        <is>
          <t>0105533013</t>
        </is>
      </c>
      <c r="D132" s="42" t="inlineStr">
        <is>
          <t>Region I (Ilocos Region)</t>
        </is>
      </c>
      <c r="E132" s="42" t="inlineStr">
        <is>
          <t>Pangasinan</t>
        </is>
      </c>
      <c r="F132" s="42" t="inlineStr">
        <is>
          <t>San Fabian</t>
        </is>
      </c>
      <c r="G132" s="42" t="inlineStr">
        <is>
          <t>Lekep-Butao</t>
        </is>
      </c>
      <c r="H132" s="43" t="n">
        <v>16.11066</v>
      </c>
      <c r="I132" s="43" t="n">
        <v>120.40952</v>
      </c>
      <c r="J132" s="44" t="inlineStr">
        <is>
          <t>R</t>
        </is>
      </c>
      <c r="K132" s="42" t="inlineStr">
        <is>
          <t>Class 1-3 / Urban</t>
        </is>
      </c>
      <c r="L132" s="23" t="n">
        <v>2761</v>
      </c>
      <c r="M132" s="24" t="n">
        <v>4.39</v>
      </c>
      <c r="N132" s="23">
        <f>ROUND(L132/M132, 0)</f>
        <v/>
      </c>
      <c r="O132" s="23">
        <f>ROUND(N132*'Methodology &amp; Assumptions'!$B$8, 0)</f>
        <v/>
      </c>
      <c r="P132" s="44" t="inlineStr">
        <is>
          <t>Band n50 (1.5 GHz, 60 MHz)</t>
        </is>
      </c>
      <c r="Q132" s="38">
        <f>ROUNDUP(O132/'Methodology &amp; Assumptions'!$B$9, 0)</f>
        <v/>
      </c>
      <c r="R132" s="39" t="n">
        <v>1</v>
      </c>
      <c r="S132" s="25" t="n">
        <v>1.25</v>
      </c>
      <c r="T132" s="25" t="n">
        <v>1.24</v>
      </c>
      <c r="U132" s="42" t="inlineStr">
        <is>
          <t>Tier 1B (Micro Drop, 1-3 km)</t>
        </is>
      </c>
      <c r="V132" s="24" t="n">
        <v>76</v>
      </c>
      <c r="W132" s="24" t="n">
        <v>74.40000000000001</v>
      </c>
      <c r="X132" s="24" t="n">
        <v>58</v>
      </c>
      <c r="Y132" s="45">
        <f>ROUND((V132*'Methodology &amp; Assumptions'!$B$6)+(W132*'Methodology &amp; Assumptions'!$B$5)+(X132*'Methodology &amp; Assumptions'!$B$7), 2)</f>
        <v/>
      </c>
    </row>
    <row r="133" ht="19" customHeight="1">
      <c r="A133" s="35" t="n">
        <v>129</v>
      </c>
      <c r="B133" s="35" t="n">
        <v>2129</v>
      </c>
      <c r="C133" s="36" t="inlineStr">
        <is>
          <t>0506207033</t>
        </is>
      </c>
      <c r="D133" s="36" t="inlineStr">
        <is>
          <t>Region V (Bicol Region)</t>
        </is>
      </c>
      <c r="E133" s="36" t="inlineStr">
        <is>
          <t>Sorsogon</t>
        </is>
      </c>
      <c r="F133" s="36" t="inlineStr">
        <is>
          <t>Donsol</t>
        </is>
      </c>
      <c r="G133" s="36" t="inlineStr">
        <is>
          <t>Punta Waling-Waling Pob.</t>
        </is>
      </c>
      <c r="H133" s="37" t="n">
        <v>12.903356</v>
      </c>
      <c r="I133" s="37" t="n">
        <v>123.59385</v>
      </c>
      <c r="J133" s="8" t="inlineStr">
        <is>
          <t>R</t>
        </is>
      </c>
      <c r="K133" s="36" t="inlineStr">
        <is>
          <t>Class 1-3 / Urban</t>
        </is>
      </c>
      <c r="L133" s="18" t="n">
        <v>1869</v>
      </c>
      <c r="M133" s="20" t="n">
        <v>4.58</v>
      </c>
      <c r="N133" s="18">
        <f>ROUND(L133/M133, 0)</f>
        <v/>
      </c>
      <c r="O133" s="18">
        <f>ROUND(N133*'Methodology &amp; Assumptions'!$B$8, 0)</f>
        <v/>
      </c>
      <c r="P133" s="8" t="inlineStr">
        <is>
          <t>Band n50 (1.5 GHz, 60 MHz)</t>
        </is>
      </c>
      <c r="Q133" s="38">
        <f>ROUNDUP(O133/'Methodology &amp; Assumptions'!$B$9, 0)</f>
        <v/>
      </c>
      <c r="R133" s="39" t="n">
        <v>1</v>
      </c>
      <c r="S133" s="21" t="n">
        <v>0.19</v>
      </c>
      <c r="T133" s="21" t="n">
        <v>18.22</v>
      </c>
      <c r="U133" s="36" t="inlineStr">
        <is>
          <t>Tier 1A (Direct Coloc, &lt;1 km)</t>
        </is>
      </c>
      <c r="V133" s="20" t="n">
        <v>93.90000000000001</v>
      </c>
      <c r="W133" s="20" t="n">
        <v>56.5</v>
      </c>
      <c r="X133" s="20" t="n">
        <v>58</v>
      </c>
      <c r="Y133" s="40">
        <f>ROUND((V133*'Methodology &amp; Assumptions'!$B$6)+(W133*'Methodology &amp; Assumptions'!$B$5)+(X133*'Methodology &amp; Assumptions'!$B$7), 2)</f>
        <v/>
      </c>
    </row>
    <row r="134" ht="19" customHeight="1">
      <c r="A134" s="41" t="n">
        <v>130</v>
      </c>
      <c r="B134" s="41" t="n">
        <v>2130</v>
      </c>
      <c r="C134" s="42" t="inlineStr">
        <is>
          <t>0405608019</t>
        </is>
      </c>
      <c r="D134" s="42" t="inlineStr">
        <is>
          <t>Region IV-A (CALABARZON)</t>
        </is>
      </c>
      <c r="E134" s="42" t="inlineStr">
        <is>
          <t>Quezon</t>
        </is>
      </c>
      <c r="F134" s="42" t="inlineStr">
        <is>
          <t>Candelaria</t>
        </is>
      </c>
      <c r="G134" s="42" t="inlineStr">
        <is>
          <t>Pahinga Norte</t>
        </is>
      </c>
      <c r="H134" s="43" t="n">
        <v>13.918573</v>
      </c>
      <c r="I134" s="43" t="n">
        <v>121.425204</v>
      </c>
      <c r="J134" s="44" t="inlineStr">
        <is>
          <t>U</t>
        </is>
      </c>
      <c r="K134" s="42" t="inlineStr">
        <is>
          <t>Class 1-3 / Urban</t>
        </is>
      </c>
      <c r="L134" s="23" t="n">
        <v>16237</v>
      </c>
      <c r="M134" s="24" t="n">
        <v>4.46</v>
      </c>
      <c r="N134" s="23">
        <f>ROUND(L134/M134, 0)</f>
        <v/>
      </c>
      <c r="O134" s="23">
        <f>ROUND(N134*'Methodology &amp; Assumptions'!$B$8, 0)</f>
        <v/>
      </c>
      <c r="P134" s="44" t="inlineStr">
        <is>
          <t>Band n50 (1.5 GHz, 60 MHz)</t>
        </is>
      </c>
      <c r="Q134" s="38">
        <f>ROUNDUP(O134/'Methodology &amp; Assumptions'!$B$9, 0)</f>
        <v/>
      </c>
      <c r="R134" s="39" t="n">
        <v>1</v>
      </c>
      <c r="S134" s="25" t="n">
        <v>1.24</v>
      </c>
      <c r="T134" s="25" t="n">
        <v>0.91</v>
      </c>
      <c r="U134" s="42" t="inlineStr">
        <is>
          <t>Tier 1B (Micro Drop, 1-3 km)</t>
        </is>
      </c>
      <c r="V134" s="24" t="n">
        <v>76.09999999999999</v>
      </c>
      <c r="W134" s="24" t="n">
        <v>100</v>
      </c>
      <c r="X134" s="24" t="n">
        <v>28</v>
      </c>
      <c r="Y134" s="45">
        <f>ROUND((V134*'Methodology &amp; Assumptions'!$B$6)+(W134*'Methodology &amp; Assumptions'!$B$5)+(X134*'Methodology &amp; Assumptions'!$B$7), 2)</f>
        <v/>
      </c>
    </row>
    <row r="135" ht="19" customHeight="1">
      <c r="A135" s="35" t="n">
        <v>131</v>
      </c>
      <c r="B135" s="35" t="n">
        <v>2131</v>
      </c>
      <c r="C135" s="36" t="inlineStr">
        <is>
          <t>0704606025</t>
        </is>
      </c>
      <c r="D135" s="36" t="inlineStr">
        <is>
          <t>Region VII (Central Visayas)</t>
        </is>
      </c>
      <c r="E135" s="36" t="inlineStr">
        <is>
          <t>Negros Oriental</t>
        </is>
      </c>
      <c r="F135" s="36" t="inlineStr">
        <is>
          <t>City of Bayawan</t>
        </is>
      </c>
      <c r="G135" s="36" t="inlineStr">
        <is>
          <t>Tinago</t>
        </is>
      </c>
      <c r="H135" s="37" t="n">
        <v>9.36204</v>
      </c>
      <c r="I135" s="37" t="n">
        <v>122.80649</v>
      </c>
      <c r="J135" s="8" t="inlineStr">
        <is>
          <t>U</t>
        </is>
      </c>
      <c r="K135" s="36" t="inlineStr">
        <is>
          <t>Class 1-3 / Urban</t>
        </is>
      </c>
      <c r="L135" s="18" t="n">
        <v>3191</v>
      </c>
      <c r="M135" s="20" t="n">
        <v>4.33</v>
      </c>
      <c r="N135" s="18">
        <f>ROUND(L135/M135, 0)</f>
        <v/>
      </c>
      <c r="O135" s="18">
        <f>ROUND(N135*'Methodology &amp; Assumptions'!$B$8, 0)</f>
        <v/>
      </c>
      <c r="P135" s="8" t="inlineStr">
        <is>
          <t>Band n50 (1.5 GHz, 60 MHz)</t>
        </is>
      </c>
      <c r="Q135" s="38">
        <f>ROUNDUP(O135/'Methodology &amp; Assumptions'!$B$9, 0)</f>
        <v/>
      </c>
      <c r="R135" s="39" t="n">
        <v>1</v>
      </c>
      <c r="S135" s="21" t="n">
        <v>0.55</v>
      </c>
      <c r="T135" s="21" t="n">
        <v>0.27</v>
      </c>
      <c r="U135" s="36" t="inlineStr">
        <is>
          <t>Tier 1A (Direct Coloc, &lt;1 km)</t>
        </is>
      </c>
      <c r="V135" s="20" t="n">
        <v>93.2</v>
      </c>
      <c r="W135" s="20" t="n">
        <v>82.90000000000001</v>
      </c>
      <c r="X135" s="20" t="n">
        <v>28</v>
      </c>
      <c r="Y135" s="40">
        <f>ROUND((V135*'Methodology &amp; Assumptions'!$B$6)+(W135*'Methodology &amp; Assumptions'!$B$5)+(X135*'Methodology &amp; Assumptions'!$B$7), 2)</f>
        <v/>
      </c>
    </row>
    <row r="136" ht="19" customHeight="1">
      <c r="A136" s="41" t="n">
        <v>132</v>
      </c>
      <c r="B136" s="41" t="n">
        <v>2132</v>
      </c>
      <c r="C136" s="42" t="inlineStr">
        <is>
          <t>0301418034</t>
        </is>
      </c>
      <c r="D136" s="42" t="inlineStr">
        <is>
          <t>Region III (Central Luzon)</t>
        </is>
      </c>
      <c r="E136" s="42" t="inlineStr">
        <is>
          <t>Bulacan</t>
        </is>
      </c>
      <c r="F136" s="42" t="inlineStr">
        <is>
          <t>Pulilan</t>
        </is>
      </c>
      <c r="G136" s="42" t="inlineStr">
        <is>
          <t>Tabon</t>
        </is>
      </c>
      <c r="H136" s="43" t="n">
        <v>14.910769</v>
      </c>
      <c r="I136" s="43" t="n">
        <v>120.826886</v>
      </c>
      <c r="J136" s="44" t="inlineStr">
        <is>
          <t>R</t>
        </is>
      </c>
      <c r="K136" s="42" t="inlineStr">
        <is>
          <t>Class 1-3 / Urban</t>
        </is>
      </c>
      <c r="L136" s="23" t="n">
        <v>4931</v>
      </c>
      <c r="M136" s="24" t="n">
        <v>4.1</v>
      </c>
      <c r="N136" s="23">
        <f>ROUND(L136/M136, 0)</f>
        <v/>
      </c>
      <c r="O136" s="23">
        <f>ROUND(N136*'Methodology &amp; Assumptions'!$B$8, 0)</f>
        <v/>
      </c>
      <c r="P136" s="44" t="inlineStr">
        <is>
          <t>Band n50 (1.5 GHz, 60 MHz)</t>
        </is>
      </c>
      <c r="Q136" s="38">
        <f>ROUNDUP(O136/'Methodology &amp; Assumptions'!$B$9, 0)</f>
        <v/>
      </c>
      <c r="R136" s="39" t="n">
        <v>1</v>
      </c>
      <c r="S136" s="25" t="n">
        <v>2.72</v>
      </c>
      <c r="T136" s="25" t="n">
        <v>0.18</v>
      </c>
      <c r="U136" s="42" t="inlineStr">
        <is>
          <t>Tier 1B (Micro Drop, 1-3 km)</t>
        </is>
      </c>
      <c r="V136" s="24" t="n">
        <v>50.4</v>
      </c>
      <c r="W136" s="24" t="n">
        <v>100</v>
      </c>
      <c r="X136" s="24" t="n">
        <v>58</v>
      </c>
      <c r="Y136" s="45">
        <f>ROUND((V136*'Methodology &amp; Assumptions'!$B$6)+(W136*'Methodology &amp; Assumptions'!$B$5)+(X136*'Methodology &amp; Assumptions'!$B$7), 2)</f>
        <v/>
      </c>
    </row>
    <row r="137" ht="19" customHeight="1">
      <c r="A137" s="35" t="n">
        <v>133</v>
      </c>
      <c r="B137" s="35" t="n">
        <v>2133</v>
      </c>
      <c r="C137" s="36" t="inlineStr">
        <is>
          <t>0305408034</t>
        </is>
      </c>
      <c r="D137" s="36" t="inlineStr">
        <is>
          <t>Region III (Central Luzon)</t>
        </is>
      </c>
      <c r="E137" s="36" t="inlineStr">
        <is>
          <t>Pampanga</t>
        </is>
      </c>
      <c r="F137" s="36" t="inlineStr">
        <is>
          <t>Lubao</t>
        </is>
      </c>
      <c r="G137" s="36" t="inlineStr">
        <is>
          <t>Santa Cruz</t>
        </is>
      </c>
      <c r="H137" s="37" t="n">
        <v>14.910794</v>
      </c>
      <c r="I137" s="37" t="n">
        <v>120.565398</v>
      </c>
      <c r="J137" s="8" t="inlineStr">
        <is>
          <t>U</t>
        </is>
      </c>
      <c r="K137" s="36" t="inlineStr">
        <is>
          <t>Class 1-3 / Urban</t>
        </is>
      </c>
      <c r="L137" s="18" t="n">
        <v>17700</v>
      </c>
      <c r="M137" s="20" t="n">
        <v>4.63</v>
      </c>
      <c r="N137" s="18">
        <f>ROUND(L137/M137, 0)</f>
        <v/>
      </c>
      <c r="O137" s="18">
        <f>ROUND(N137*'Methodology &amp; Assumptions'!$B$8, 0)</f>
        <v/>
      </c>
      <c r="P137" s="8" t="inlineStr">
        <is>
          <t>Band n50 (1.5 GHz, 60 MHz)</t>
        </is>
      </c>
      <c r="Q137" s="38">
        <f>ROUNDUP(O137/'Methodology &amp; Assumptions'!$B$9, 0)</f>
        <v/>
      </c>
      <c r="R137" s="39" t="n">
        <v>1</v>
      </c>
      <c r="S137" s="21" t="n">
        <v>1.24</v>
      </c>
      <c r="T137" s="21" t="n">
        <v>0.22</v>
      </c>
      <c r="U137" s="36" t="inlineStr">
        <is>
          <t>Tier 1B (Micro Drop, 1-3 km)</t>
        </is>
      </c>
      <c r="V137" s="20" t="n">
        <v>76.09999999999999</v>
      </c>
      <c r="W137" s="20" t="n">
        <v>100</v>
      </c>
      <c r="X137" s="20" t="n">
        <v>28</v>
      </c>
      <c r="Y137" s="40">
        <f>ROUND((V137*'Methodology &amp; Assumptions'!$B$6)+(W137*'Methodology &amp; Assumptions'!$B$5)+(X137*'Methodology &amp; Assumptions'!$B$7), 2)</f>
        <v/>
      </c>
    </row>
    <row r="138" ht="19" customHeight="1">
      <c r="A138" s="41" t="n">
        <v>134</v>
      </c>
      <c r="B138" s="41" t="n">
        <v>2134</v>
      </c>
      <c r="C138" s="42" t="inlineStr">
        <is>
          <t>0603034029</t>
        </is>
      </c>
      <c r="D138" s="42" t="inlineStr">
        <is>
          <t>Region VI (Western Visayas)</t>
        </is>
      </c>
      <c r="E138" s="42" t="inlineStr">
        <is>
          <t>Iloilo</t>
        </is>
      </c>
      <c r="F138" s="42" t="inlineStr">
        <is>
          <t>Oton</t>
        </is>
      </c>
      <c r="G138" s="42" t="inlineStr">
        <is>
          <t>San Nicolas</t>
        </is>
      </c>
      <c r="H138" s="43" t="n">
        <v>10.692516</v>
      </c>
      <c r="I138" s="43" t="n">
        <v>122.495056</v>
      </c>
      <c r="J138" s="44" t="inlineStr">
        <is>
          <t>R</t>
        </is>
      </c>
      <c r="K138" s="42" t="inlineStr">
        <is>
          <t>Class 1-3 / Urban</t>
        </is>
      </c>
      <c r="L138" s="23" t="n">
        <v>3191</v>
      </c>
      <c r="M138" s="24" t="n">
        <v>4.39</v>
      </c>
      <c r="N138" s="23">
        <f>ROUND(L138/M138, 0)</f>
        <v/>
      </c>
      <c r="O138" s="23">
        <f>ROUND(N138*'Methodology &amp; Assumptions'!$B$8, 0)</f>
        <v/>
      </c>
      <c r="P138" s="44" t="inlineStr">
        <is>
          <t>Band n50 (1.5 GHz, 60 MHz)</t>
        </is>
      </c>
      <c r="Q138" s="38">
        <f>ROUNDUP(O138/'Methodology &amp; Assumptions'!$B$9, 0)</f>
        <v/>
      </c>
      <c r="R138" s="39" t="n">
        <v>1</v>
      </c>
      <c r="S138" s="25" t="n">
        <v>1.62</v>
      </c>
      <c r="T138" s="25" t="n">
        <v>0.12</v>
      </c>
      <c r="U138" s="42" t="inlineStr">
        <is>
          <t>Tier 1B (Micro Drop, 1-3 km)</t>
        </is>
      </c>
      <c r="V138" s="24" t="n">
        <v>68.2</v>
      </c>
      <c r="W138" s="24" t="n">
        <v>82.09999999999999</v>
      </c>
      <c r="X138" s="24" t="n">
        <v>58</v>
      </c>
      <c r="Y138" s="45">
        <f>ROUND((V138*'Methodology &amp; Assumptions'!$B$6)+(W138*'Methodology &amp; Assumptions'!$B$5)+(X138*'Methodology &amp; Assumptions'!$B$7), 2)</f>
        <v/>
      </c>
    </row>
    <row r="139" ht="19" customHeight="1">
      <c r="A139" s="35" t="n">
        <v>135</v>
      </c>
      <c r="B139" s="35" t="n">
        <v>2135</v>
      </c>
      <c r="C139" s="36" t="inlineStr">
        <is>
          <t>0301405004</t>
        </is>
      </c>
      <c r="D139" s="36" t="inlineStr">
        <is>
          <t>Region III (Central Luzon)</t>
        </is>
      </c>
      <c r="E139" s="36" t="inlineStr">
        <is>
          <t>Bulacan</t>
        </is>
      </c>
      <c r="F139" s="36" t="inlineStr">
        <is>
          <t>Bulacan</t>
        </is>
      </c>
      <c r="G139" s="36" t="inlineStr">
        <is>
          <t>Matungao</t>
        </is>
      </c>
      <c r="H139" s="37" t="n">
        <v>14.803094</v>
      </c>
      <c r="I139" s="37" t="n">
        <v>120.880461</v>
      </c>
      <c r="J139" s="8" t="inlineStr">
        <is>
          <t>U</t>
        </is>
      </c>
      <c r="K139" s="36" t="inlineStr">
        <is>
          <t>Class 1-3 / Urban</t>
        </is>
      </c>
      <c r="L139" s="18" t="n">
        <v>12950</v>
      </c>
      <c r="M139" s="20" t="n">
        <v>4.1</v>
      </c>
      <c r="N139" s="18">
        <f>ROUND(L139/M139, 0)</f>
        <v/>
      </c>
      <c r="O139" s="18">
        <f>ROUND(N139*'Methodology &amp; Assumptions'!$B$8, 0)</f>
        <v/>
      </c>
      <c r="P139" s="8" t="inlineStr">
        <is>
          <t>Band n50 (1.5 GHz, 60 MHz)</t>
        </is>
      </c>
      <c r="Q139" s="38">
        <f>ROUNDUP(O139/'Methodology &amp; Assumptions'!$B$9, 0)</f>
        <v/>
      </c>
      <c r="R139" s="39" t="n">
        <v>1</v>
      </c>
      <c r="S139" s="21" t="n">
        <v>0.82</v>
      </c>
      <c r="T139" s="21" t="n">
        <v>2.79</v>
      </c>
      <c r="U139" s="36" t="inlineStr">
        <is>
          <t>Tier 1A (Direct Coloc, &lt;1 km)</t>
        </is>
      </c>
      <c r="V139" s="20" t="n">
        <v>76.09999999999999</v>
      </c>
      <c r="W139" s="20" t="n">
        <v>100</v>
      </c>
      <c r="X139" s="20" t="n">
        <v>28</v>
      </c>
      <c r="Y139" s="40">
        <f>ROUND((V139*'Methodology &amp; Assumptions'!$B$6)+(W139*'Methodology &amp; Assumptions'!$B$5)+(X139*'Methodology &amp; Assumptions'!$B$7), 2)</f>
        <v/>
      </c>
    </row>
    <row r="140" ht="19" customHeight="1">
      <c r="A140" s="41" t="n">
        <v>136</v>
      </c>
      <c r="B140" s="41" t="n">
        <v>2136</v>
      </c>
      <c r="C140" s="42" t="inlineStr">
        <is>
          <t>1705203032</t>
        </is>
      </c>
      <c r="D140" s="42" t="inlineStr">
        <is>
          <t>MIMAROPA Region</t>
        </is>
      </c>
      <c r="E140" s="42" t="inlineStr">
        <is>
          <t>Oriental Mindoro</t>
        </is>
      </c>
      <c r="F140" s="42" t="inlineStr">
        <is>
          <t>Bongabong</t>
        </is>
      </c>
      <c r="G140" s="42" t="inlineStr">
        <is>
          <t>Poblacion</t>
        </is>
      </c>
      <c r="H140" s="43" t="n">
        <v>12.745502</v>
      </c>
      <c r="I140" s="43" t="n">
        <v>121.490575</v>
      </c>
      <c r="J140" s="44" t="inlineStr">
        <is>
          <t>R</t>
        </is>
      </c>
      <c r="K140" s="42" t="inlineStr">
        <is>
          <t>Class 1-3 / Urban</t>
        </is>
      </c>
      <c r="L140" s="23" t="n">
        <v>1792</v>
      </c>
      <c r="M140" s="24" t="n">
        <v>4.41</v>
      </c>
      <c r="N140" s="23">
        <f>ROUND(L140/M140, 0)</f>
        <v/>
      </c>
      <c r="O140" s="23">
        <f>ROUND(N140*'Methodology &amp; Assumptions'!$B$8, 0)</f>
        <v/>
      </c>
      <c r="P140" s="44" t="inlineStr">
        <is>
          <t>Band n50 (1.5 GHz, 60 MHz)</t>
        </is>
      </c>
      <c r="Q140" s="38">
        <f>ROUNDUP(O140/'Methodology &amp; Assumptions'!$B$9, 0)</f>
        <v/>
      </c>
      <c r="R140" s="39" t="n">
        <v>1</v>
      </c>
      <c r="S140" s="25" t="n">
        <v>0.39</v>
      </c>
      <c r="T140" s="25" t="n">
        <v>0.32</v>
      </c>
      <c r="U140" s="42" t="inlineStr">
        <is>
          <t>Tier 1A (Direct Coloc, &lt;1 km)</t>
        </is>
      </c>
      <c r="V140" s="24" t="n">
        <v>97.8</v>
      </c>
      <c r="W140" s="24" t="n">
        <v>52.5</v>
      </c>
      <c r="X140" s="24" t="n">
        <v>58</v>
      </c>
      <c r="Y140" s="45">
        <f>ROUND((V140*'Methodology &amp; Assumptions'!$B$6)+(W140*'Methodology &amp; Assumptions'!$B$5)+(X140*'Methodology &amp; Assumptions'!$B$7), 2)</f>
        <v/>
      </c>
    </row>
    <row r="141" ht="19" customHeight="1">
      <c r="A141" s="35" t="n">
        <v>137</v>
      </c>
      <c r="B141" s="35" t="n">
        <v>2137</v>
      </c>
      <c r="C141" s="36" t="inlineStr">
        <is>
          <t>0405638006</t>
        </is>
      </c>
      <c r="D141" s="36" t="inlineStr">
        <is>
          <t>Region IV-A (CALABARZON)</t>
        </is>
      </c>
      <c r="E141" s="36" t="inlineStr">
        <is>
          <t>Quezon</t>
        </is>
      </c>
      <c r="F141" s="36" t="inlineStr">
        <is>
          <t>Real</t>
        </is>
      </c>
      <c r="G141" s="36" t="inlineStr">
        <is>
          <t>Lubayat</t>
        </is>
      </c>
      <c r="H141" s="37" t="n">
        <v>14.503339</v>
      </c>
      <c r="I141" s="37" t="n">
        <v>121.629375</v>
      </c>
      <c r="J141" s="8" t="inlineStr">
        <is>
          <t>R</t>
        </is>
      </c>
      <c r="K141" s="36" t="inlineStr">
        <is>
          <t>Class 1-3 / Urban</t>
        </is>
      </c>
      <c r="L141" s="18" t="n">
        <v>1914</v>
      </c>
      <c r="M141" s="20" t="n">
        <v>4.46</v>
      </c>
      <c r="N141" s="18">
        <f>ROUND(L141/M141, 0)</f>
        <v/>
      </c>
      <c r="O141" s="18">
        <f>ROUND(N141*'Methodology &amp; Assumptions'!$B$8, 0)</f>
        <v/>
      </c>
      <c r="P141" s="8" t="inlineStr">
        <is>
          <t>Band n50 (1.5 GHz, 60 MHz)</t>
        </is>
      </c>
      <c r="Q141" s="38">
        <f>ROUNDUP(O141/'Methodology &amp; Assumptions'!$B$9, 0)</f>
        <v/>
      </c>
      <c r="R141" s="39" t="n">
        <v>1</v>
      </c>
      <c r="S141" s="21" t="n">
        <v>0.25</v>
      </c>
      <c r="T141" s="21" t="n">
        <v>19.62</v>
      </c>
      <c r="U141" s="36" t="inlineStr">
        <is>
          <t>Tier 1A (Direct Coloc, &lt;1 km)</t>
        </is>
      </c>
      <c r="V141" s="20" t="n">
        <v>91.90000000000001</v>
      </c>
      <c r="W141" s="20" t="n">
        <v>58.4</v>
      </c>
      <c r="X141" s="20" t="n">
        <v>58</v>
      </c>
      <c r="Y141" s="40">
        <f>ROUND((V141*'Methodology &amp; Assumptions'!$B$6)+(W141*'Methodology &amp; Assumptions'!$B$5)+(X141*'Methodology &amp; Assumptions'!$B$7), 2)</f>
        <v/>
      </c>
    </row>
    <row r="142" ht="19" customHeight="1">
      <c r="A142" s="41" t="n">
        <v>138</v>
      </c>
      <c r="B142" s="41" t="n">
        <v>2138</v>
      </c>
      <c r="C142" s="42" t="inlineStr">
        <is>
          <t>0304917003</t>
        </is>
      </c>
      <c r="D142" s="42" t="inlineStr">
        <is>
          <t>Region III (Central Luzon)</t>
        </is>
      </c>
      <c r="E142" s="42" t="inlineStr">
        <is>
          <t>Nueva Ecija</t>
        </is>
      </c>
      <c r="F142" s="42" t="inlineStr">
        <is>
          <t>Science City of Muñoz</t>
        </is>
      </c>
      <c r="G142" s="42" t="inlineStr">
        <is>
          <t>Bantug</t>
        </is>
      </c>
      <c r="H142" s="43" t="n">
        <v>15.72081</v>
      </c>
      <c r="I142" s="43" t="n">
        <v>120.91996</v>
      </c>
      <c r="J142" s="44" t="inlineStr">
        <is>
          <t>U</t>
        </is>
      </c>
      <c r="K142" s="42" t="inlineStr">
        <is>
          <t>Class 1-3 / Urban</t>
        </is>
      </c>
      <c r="L142" s="23" t="n">
        <v>11104</v>
      </c>
      <c r="M142" s="24" t="n">
        <v>4.32</v>
      </c>
      <c r="N142" s="23">
        <f>ROUND(L142/M142, 0)</f>
        <v/>
      </c>
      <c r="O142" s="23">
        <f>ROUND(N142*'Methodology &amp; Assumptions'!$B$8, 0)</f>
        <v/>
      </c>
      <c r="P142" s="44" t="inlineStr">
        <is>
          <t>Band n50 (1.5 GHz, 60 MHz)</t>
        </is>
      </c>
      <c r="Q142" s="38">
        <f>ROUNDUP(O142/'Methodology &amp; Assumptions'!$B$9, 0)</f>
        <v/>
      </c>
      <c r="R142" s="39" t="n">
        <v>1</v>
      </c>
      <c r="S142" s="25" t="n">
        <v>1.9</v>
      </c>
      <c r="T142" s="25" t="n">
        <v>0.1</v>
      </c>
      <c r="U142" s="42" t="inlineStr">
        <is>
          <t>Tier 1B (Micro Drop, 1-3 km)</t>
        </is>
      </c>
      <c r="V142" s="24" t="n">
        <v>63.1</v>
      </c>
      <c r="W142" s="24" t="n">
        <v>100</v>
      </c>
      <c r="X142" s="24" t="n">
        <v>43</v>
      </c>
      <c r="Y142" s="45">
        <f>ROUND((V142*'Methodology &amp; Assumptions'!$B$6)+(W142*'Methodology &amp; Assumptions'!$B$5)+(X142*'Methodology &amp; Assumptions'!$B$7), 2)</f>
        <v/>
      </c>
    </row>
    <row r="143" ht="19" customHeight="1">
      <c r="A143" s="35" t="n">
        <v>139</v>
      </c>
      <c r="B143" s="35" t="n">
        <v>2139</v>
      </c>
      <c r="C143" s="36" t="inlineStr">
        <is>
          <t>0205013008</t>
        </is>
      </c>
      <c r="D143" s="36" t="inlineStr">
        <is>
          <t>Region II (Cagayan Valley)</t>
        </is>
      </c>
      <c r="E143" s="36" t="inlineStr">
        <is>
          <t>Nueva Vizcaya</t>
        </is>
      </c>
      <c r="F143" s="36" t="inlineStr">
        <is>
          <t>Solano</t>
        </is>
      </c>
      <c r="G143" s="36" t="inlineStr">
        <is>
          <t>Osmeña</t>
        </is>
      </c>
      <c r="H143" s="37" t="n">
        <v>16.5218</v>
      </c>
      <c r="I143" s="37" t="n">
        <v>121.1775</v>
      </c>
      <c r="J143" s="8" t="inlineStr">
        <is>
          <t>U</t>
        </is>
      </c>
      <c r="K143" s="36" t="inlineStr">
        <is>
          <t>Class 1-3 / Urban</t>
        </is>
      </c>
      <c r="L143" s="18" t="n">
        <v>5700</v>
      </c>
      <c r="M143" s="20" t="n">
        <v>4.19</v>
      </c>
      <c r="N143" s="18">
        <f>ROUND(L143/M143, 0)</f>
        <v/>
      </c>
      <c r="O143" s="18">
        <f>ROUND(N143*'Methodology &amp; Assumptions'!$B$8, 0)</f>
        <v/>
      </c>
      <c r="P143" s="8" t="inlineStr">
        <is>
          <t>Band n50 (1.5 GHz, 60 MHz)</t>
        </is>
      </c>
      <c r="Q143" s="38">
        <f>ROUNDUP(O143/'Methodology &amp; Assumptions'!$B$9, 0)</f>
        <v/>
      </c>
      <c r="R143" s="39" t="n">
        <v>1</v>
      </c>
      <c r="S143" s="21" t="n">
        <v>1.25</v>
      </c>
      <c r="T143" s="21" t="n">
        <v>0.55</v>
      </c>
      <c r="U143" s="36" t="inlineStr">
        <is>
          <t>Tier 1B (Micro Drop, 1-3 km)</t>
        </is>
      </c>
      <c r="V143" s="20" t="n">
        <v>76</v>
      </c>
      <c r="W143" s="20" t="n">
        <v>100</v>
      </c>
      <c r="X143" s="20" t="n">
        <v>28</v>
      </c>
      <c r="Y143" s="40">
        <f>ROUND((V143*'Methodology &amp; Assumptions'!$B$6)+(W143*'Methodology &amp; Assumptions'!$B$5)+(X143*'Methodology &amp; Assumptions'!$B$7), 2)</f>
        <v/>
      </c>
    </row>
    <row r="144" ht="19" customHeight="1">
      <c r="A144" s="41" t="n">
        <v>140</v>
      </c>
      <c r="B144" s="41" t="n">
        <v>2140</v>
      </c>
      <c r="C144" s="42" t="inlineStr">
        <is>
          <t>1004313005</t>
        </is>
      </c>
      <c r="D144" s="42" t="inlineStr">
        <is>
          <t>Region X (Northern Mindanao)</t>
        </is>
      </c>
      <c r="E144" s="42" t="inlineStr">
        <is>
          <t>Misamis Oriental</t>
        </is>
      </c>
      <c r="F144" s="42" t="inlineStr">
        <is>
          <t>Lagonglong</t>
        </is>
      </c>
      <c r="G144" s="42" t="inlineStr">
        <is>
          <t>Kauswagan</t>
        </is>
      </c>
      <c r="H144" s="43" t="n">
        <v>8.784553000000001</v>
      </c>
      <c r="I144" s="43" t="n">
        <v>124.786551</v>
      </c>
      <c r="J144" s="44" t="inlineStr">
        <is>
          <t>R</t>
        </is>
      </c>
      <c r="K144" s="42" t="inlineStr">
        <is>
          <t>4th</t>
        </is>
      </c>
      <c r="L144" s="23" t="n">
        <v>3598</v>
      </c>
      <c r="M144" s="24" t="n">
        <v>4.72</v>
      </c>
      <c r="N144" s="23">
        <f>ROUND(L144/M144, 0)</f>
        <v/>
      </c>
      <c r="O144" s="23">
        <f>ROUND(N144*'Methodology &amp; Assumptions'!$B$8, 0)</f>
        <v/>
      </c>
      <c r="P144" s="44" t="inlineStr">
        <is>
          <t>Band n50 (1.5 GHz, 60 MHz)</t>
        </is>
      </c>
      <c r="Q144" s="38">
        <f>ROUNDUP(O144/'Methodology &amp; Assumptions'!$B$9, 0)</f>
        <v/>
      </c>
      <c r="R144" s="39" t="n">
        <v>1</v>
      </c>
      <c r="S144" s="25" t="n">
        <v>2.32</v>
      </c>
      <c r="T144" s="25" t="n">
        <v>0.02</v>
      </c>
      <c r="U144" s="42" t="inlineStr">
        <is>
          <t>Tier 1B (Micro Drop, 1-3 km)</t>
        </is>
      </c>
      <c r="V144" s="24" t="n">
        <v>56.2</v>
      </c>
      <c r="W144" s="24" t="n">
        <v>85.09999999999999</v>
      </c>
      <c r="X144" s="24" t="n">
        <v>68.5</v>
      </c>
      <c r="Y144" s="45">
        <f>ROUND((V144*'Methodology &amp; Assumptions'!$B$6)+(W144*'Methodology &amp; Assumptions'!$B$5)+(X144*'Methodology &amp; Assumptions'!$B$7), 2)</f>
        <v/>
      </c>
    </row>
    <row r="145" ht="19" customHeight="1">
      <c r="A145" s="35" t="n">
        <v>141</v>
      </c>
      <c r="B145" s="35" t="n">
        <v>2141</v>
      </c>
      <c r="C145" s="36" t="inlineStr">
        <is>
          <t>0102805044</t>
        </is>
      </c>
      <c r="D145" s="36" t="inlineStr">
        <is>
          <t>Region I (Ilocos Region)</t>
        </is>
      </c>
      <c r="E145" s="36" t="inlineStr">
        <is>
          <t>Ilocos Norte</t>
        </is>
      </c>
      <c r="F145" s="36" t="inlineStr">
        <is>
          <t>City of Batac</t>
        </is>
      </c>
      <c r="G145" s="36" t="inlineStr">
        <is>
          <t>Tabug</t>
        </is>
      </c>
      <c r="H145" s="37" t="n">
        <v>18.040131</v>
      </c>
      <c r="I145" s="37" t="n">
        <v>120.552375</v>
      </c>
      <c r="J145" s="8" t="inlineStr">
        <is>
          <t>R</t>
        </is>
      </c>
      <c r="K145" s="36" t="inlineStr">
        <is>
          <t>Class 1-3 / Urban</t>
        </is>
      </c>
      <c r="L145" s="18" t="n">
        <v>3355</v>
      </c>
      <c r="M145" s="20" t="n">
        <v>4.35</v>
      </c>
      <c r="N145" s="18">
        <f>ROUND(L145/M145, 0)</f>
        <v/>
      </c>
      <c r="O145" s="18">
        <f>ROUND(N145*'Methodology &amp; Assumptions'!$B$8, 0)</f>
        <v/>
      </c>
      <c r="P145" s="8" t="inlineStr">
        <is>
          <t>Band n50 (1.5 GHz, 60 MHz)</t>
        </is>
      </c>
      <c r="Q145" s="38">
        <f>ROUNDUP(O145/'Methodology &amp; Assumptions'!$B$9, 0)</f>
        <v/>
      </c>
      <c r="R145" s="39" t="n">
        <v>1</v>
      </c>
      <c r="S145" s="21" t="n">
        <v>1.81</v>
      </c>
      <c r="T145" s="21" t="n">
        <v>1.82</v>
      </c>
      <c r="U145" s="36" t="inlineStr">
        <is>
          <t>Tier 1B (Micro Drop, 1-3 km)</t>
        </is>
      </c>
      <c r="V145" s="20" t="n">
        <v>64.7</v>
      </c>
      <c r="W145" s="20" t="n">
        <v>85.59999999999999</v>
      </c>
      <c r="X145" s="20" t="n">
        <v>58</v>
      </c>
      <c r="Y145" s="40">
        <f>ROUND((V145*'Methodology &amp; Assumptions'!$B$6)+(W145*'Methodology &amp; Assumptions'!$B$5)+(X145*'Methodology &amp; Assumptions'!$B$7), 2)</f>
        <v/>
      </c>
    </row>
    <row r="146" ht="19" customHeight="1">
      <c r="A146" s="41" t="n">
        <v>142</v>
      </c>
      <c r="B146" s="41" t="n">
        <v>2142</v>
      </c>
      <c r="C146" s="42" t="inlineStr">
        <is>
          <t>0201529018</t>
        </is>
      </c>
      <c r="D146" s="42" t="inlineStr">
        <is>
          <t>Region II (Cagayan Valley)</t>
        </is>
      </c>
      <c r="E146" s="42" t="inlineStr">
        <is>
          <t>Cagayan</t>
        </is>
      </c>
      <c r="F146" s="42" t="inlineStr">
        <is>
          <t>Tuguegarao City</t>
        </is>
      </c>
      <c r="G146" s="42" t="inlineStr">
        <is>
          <t>Carig</t>
        </is>
      </c>
      <c r="H146" s="43" t="n">
        <v>17.667972</v>
      </c>
      <c r="I146" s="43" t="n">
        <v>121.751203</v>
      </c>
      <c r="J146" s="44" t="inlineStr">
        <is>
          <t>U</t>
        </is>
      </c>
      <c r="K146" s="42" t="inlineStr">
        <is>
          <t>Class 1-3 / Urban</t>
        </is>
      </c>
      <c r="L146" s="23" t="n">
        <v>5018</v>
      </c>
      <c r="M146" s="24" t="n">
        <v>4.38</v>
      </c>
      <c r="N146" s="23">
        <f>ROUND(L146/M146, 0)</f>
        <v/>
      </c>
      <c r="O146" s="23">
        <f>ROUND(N146*'Methodology &amp; Assumptions'!$B$8, 0)</f>
        <v/>
      </c>
      <c r="P146" s="44" t="inlineStr">
        <is>
          <t>Band n50 (1.5 GHz, 60 MHz)</t>
        </is>
      </c>
      <c r="Q146" s="38">
        <f>ROUNDUP(O146/'Methodology &amp; Assumptions'!$B$9, 0)</f>
        <v/>
      </c>
      <c r="R146" s="39" t="n">
        <v>1</v>
      </c>
      <c r="S146" s="25" t="n">
        <v>1.9</v>
      </c>
      <c r="T146" s="25" t="n">
        <v>0.16</v>
      </c>
      <c r="U146" s="42" t="inlineStr">
        <is>
          <t>Tier 1B (Micro Drop, 1-3 km)</t>
        </is>
      </c>
      <c r="V146" s="24" t="n">
        <v>63.1</v>
      </c>
      <c r="W146" s="24" t="n">
        <v>100</v>
      </c>
      <c r="X146" s="24" t="n">
        <v>43</v>
      </c>
      <c r="Y146" s="45">
        <f>ROUND((V146*'Methodology &amp; Assumptions'!$B$6)+(W146*'Methodology &amp; Assumptions'!$B$5)+(X146*'Methodology &amp; Assumptions'!$B$7), 2)</f>
        <v/>
      </c>
    </row>
    <row r="147" ht="19" customHeight="1">
      <c r="A147" s="35" t="n">
        <v>143</v>
      </c>
      <c r="B147" s="35" t="n">
        <v>2143</v>
      </c>
      <c r="C147" s="36" t="inlineStr">
        <is>
          <t>0405804007</t>
        </is>
      </c>
      <c r="D147" s="36" t="inlineStr">
        <is>
          <t>Region IV-A (CALABARZON)</t>
        </is>
      </c>
      <c r="E147" s="36" t="inlineStr">
        <is>
          <t>Rizal</t>
        </is>
      </c>
      <c r="F147" s="36" t="inlineStr">
        <is>
          <t>Binangonan</t>
        </is>
      </c>
      <c r="G147" s="36" t="inlineStr">
        <is>
          <t>Calumpang</t>
        </is>
      </c>
      <c r="H147" s="37" t="n">
        <v>14.475354</v>
      </c>
      <c r="I147" s="37" t="n">
        <v>121.188926</v>
      </c>
      <c r="J147" s="8" t="inlineStr">
        <is>
          <t>U</t>
        </is>
      </c>
      <c r="K147" s="36" t="inlineStr">
        <is>
          <t>Class 1-3 / Urban</t>
        </is>
      </c>
      <c r="L147" s="18" t="n">
        <v>19092</v>
      </c>
      <c r="M147" s="20" t="n">
        <v>4.39</v>
      </c>
      <c r="N147" s="18">
        <f>ROUND(L147/M147, 0)</f>
        <v/>
      </c>
      <c r="O147" s="18">
        <f>ROUND(N147*'Methodology &amp; Assumptions'!$B$8, 0)</f>
        <v/>
      </c>
      <c r="P147" s="8" t="inlineStr">
        <is>
          <t>Band n50 (1.5 GHz, 60 MHz)</t>
        </is>
      </c>
      <c r="Q147" s="38">
        <f>ROUNDUP(O147/'Methodology &amp; Assumptions'!$B$9, 0)</f>
        <v/>
      </c>
      <c r="R147" s="39" t="n">
        <v>1</v>
      </c>
      <c r="S147" s="21" t="n">
        <v>1.25</v>
      </c>
      <c r="T147" s="21" t="n">
        <v>0.03</v>
      </c>
      <c r="U147" s="36" t="inlineStr">
        <is>
          <t>Tier 1B (Micro Drop, 1-3 km)</t>
        </is>
      </c>
      <c r="V147" s="20" t="n">
        <v>76</v>
      </c>
      <c r="W147" s="20" t="n">
        <v>100</v>
      </c>
      <c r="X147" s="20" t="n">
        <v>28</v>
      </c>
      <c r="Y147" s="40">
        <f>ROUND((V147*'Methodology &amp; Assumptions'!$B$6)+(W147*'Methodology &amp; Assumptions'!$B$5)+(X147*'Methodology &amp; Assumptions'!$B$7), 2)</f>
        <v/>
      </c>
    </row>
    <row r="148" ht="19" customHeight="1">
      <c r="A148" s="41" t="n">
        <v>144</v>
      </c>
      <c r="B148" s="41" t="n">
        <v>2144</v>
      </c>
      <c r="C148" s="42" t="inlineStr">
        <is>
          <t>0603026005</t>
        </is>
      </c>
      <c r="D148" s="42" t="inlineStr">
        <is>
          <t>Region VI (Western Visayas)</t>
        </is>
      </c>
      <c r="E148" s="42" t="inlineStr">
        <is>
          <t>Iloilo</t>
        </is>
      </c>
      <c r="F148" s="42" t="inlineStr">
        <is>
          <t>Leganes</t>
        </is>
      </c>
      <c r="G148" s="42" t="inlineStr">
        <is>
          <t>Cagamutan Sur</t>
        </is>
      </c>
      <c r="H148" s="43" t="n">
        <v>10.790832</v>
      </c>
      <c r="I148" s="43" t="n">
        <v>122.5912</v>
      </c>
      <c r="J148" s="44" t="inlineStr">
        <is>
          <t>R</t>
        </is>
      </c>
      <c r="K148" s="42" t="inlineStr">
        <is>
          <t>2nd</t>
        </is>
      </c>
      <c r="L148" s="23" t="n">
        <v>1992</v>
      </c>
      <c r="M148" s="24" t="n">
        <v>4.6</v>
      </c>
      <c r="N148" s="23">
        <f>ROUND(L148/M148, 0)</f>
        <v/>
      </c>
      <c r="O148" s="23">
        <f>ROUND(N148*'Methodology &amp; Assumptions'!$B$8, 0)</f>
        <v/>
      </c>
      <c r="P148" s="44" t="inlineStr">
        <is>
          <t>Band n50 (1.5 GHz, 60 MHz)</t>
        </is>
      </c>
      <c r="Q148" s="38">
        <f>ROUNDUP(O148/'Methodology &amp; Assumptions'!$B$9, 0)</f>
        <v/>
      </c>
      <c r="R148" s="39" t="n">
        <v>1</v>
      </c>
      <c r="S148" s="25" t="n">
        <v>0.61</v>
      </c>
      <c r="T148" s="25" t="n">
        <v>0.06</v>
      </c>
      <c r="U148" s="42" t="inlineStr">
        <is>
          <t>Tier 1A (Direct Coloc, &lt;1 km)</t>
        </is>
      </c>
      <c r="V148" s="24" t="n">
        <v>91.5</v>
      </c>
      <c r="W148" s="24" t="n">
        <v>58.7</v>
      </c>
      <c r="X148" s="24" t="n">
        <v>58</v>
      </c>
      <c r="Y148" s="45">
        <f>ROUND((V148*'Methodology &amp; Assumptions'!$B$6)+(W148*'Methodology &amp; Assumptions'!$B$5)+(X148*'Methodology &amp; Assumptions'!$B$7), 2)</f>
        <v/>
      </c>
    </row>
    <row r="149" ht="19" customHeight="1">
      <c r="A149" s="35" t="n">
        <v>145</v>
      </c>
      <c r="B149" s="35" t="n">
        <v>2145</v>
      </c>
      <c r="C149" s="36" t="inlineStr">
        <is>
          <t>0203112020</t>
        </is>
      </c>
      <c r="D149" s="36" t="inlineStr">
        <is>
          <t>Region II (Cagayan Valley)</t>
        </is>
      </c>
      <c r="E149" s="36" t="inlineStr">
        <is>
          <t>Isabela</t>
        </is>
      </c>
      <c r="F149" s="36" t="inlineStr">
        <is>
          <t>Echague</t>
        </is>
      </c>
      <c r="G149" s="36" t="inlineStr">
        <is>
          <t>Gucab</t>
        </is>
      </c>
      <c r="H149" s="37" t="n">
        <v>16.701368</v>
      </c>
      <c r="I149" s="37" t="n">
        <v>121.686661</v>
      </c>
      <c r="J149" s="8" t="inlineStr">
        <is>
          <t>R</t>
        </is>
      </c>
      <c r="K149" s="36" t="inlineStr">
        <is>
          <t>Class 1-3 / Urban</t>
        </is>
      </c>
      <c r="L149" s="18" t="n">
        <v>3098</v>
      </c>
      <c r="M149" s="20" t="n">
        <v>4.3</v>
      </c>
      <c r="N149" s="18">
        <f>ROUND(L149/M149, 0)</f>
        <v/>
      </c>
      <c r="O149" s="18">
        <f>ROUND(N149*'Methodology &amp; Assumptions'!$B$8, 0)</f>
        <v/>
      </c>
      <c r="P149" s="8" t="inlineStr">
        <is>
          <t>Band n50 (1.5 GHz, 60 MHz)</t>
        </is>
      </c>
      <c r="Q149" s="38">
        <f>ROUNDUP(O149/'Methodology &amp; Assumptions'!$B$9, 0)</f>
        <v/>
      </c>
      <c r="R149" s="39" t="n">
        <v>1</v>
      </c>
      <c r="S149" s="21" t="n">
        <v>1.6</v>
      </c>
      <c r="T149" s="21" t="n">
        <v>1.8</v>
      </c>
      <c r="U149" s="36" t="inlineStr">
        <is>
          <t>Tier 1B (Micro Drop, 1-3 km)</t>
        </is>
      </c>
      <c r="V149" s="20" t="n">
        <v>68.59999999999999</v>
      </c>
      <c r="W149" s="20" t="n">
        <v>81.59999999999999</v>
      </c>
      <c r="X149" s="20" t="n">
        <v>58</v>
      </c>
      <c r="Y149" s="40">
        <f>ROUND((V149*'Methodology &amp; Assumptions'!$B$6)+(W149*'Methodology &amp; Assumptions'!$B$5)+(X149*'Methodology &amp; Assumptions'!$B$7), 2)</f>
        <v/>
      </c>
    </row>
    <row r="150" ht="19" customHeight="1">
      <c r="A150" s="41" t="n">
        <v>146</v>
      </c>
      <c r="B150" s="41" t="n">
        <v>2146</v>
      </c>
      <c r="C150" s="42" t="inlineStr">
        <is>
          <t>0402120010</t>
        </is>
      </c>
      <c r="D150" s="42" t="inlineStr">
        <is>
          <t>Region IV-A (CALABARZON)</t>
        </is>
      </c>
      <c r="E150" s="42" t="inlineStr">
        <is>
          <t>Cavite</t>
        </is>
      </c>
      <c r="F150" s="42" t="inlineStr">
        <is>
          <t>Tanza</t>
        </is>
      </c>
      <c r="G150" s="42" t="inlineStr">
        <is>
          <t>Halayhay</t>
        </is>
      </c>
      <c r="H150" s="43" t="n">
        <v>14.374008</v>
      </c>
      <c r="I150" s="43" t="n">
        <v>120.812053</v>
      </c>
      <c r="J150" s="44" t="inlineStr">
        <is>
          <t>U</t>
        </is>
      </c>
      <c r="K150" s="42" t="inlineStr">
        <is>
          <t>Class 1-3 / Urban</t>
        </is>
      </c>
      <c r="L150" s="23" t="n">
        <v>6627</v>
      </c>
      <c r="M150" s="24" t="n">
        <v>4.49</v>
      </c>
      <c r="N150" s="23">
        <f>ROUND(L150/M150, 0)</f>
        <v/>
      </c>
      <c r="O150" s="23">
        <f>ROUND(N150*'Methodology &amp; Assumptions'!$B$8, 0)</f>
        <v/>
      </c>
      <c r="P150" s="44" t="inlineStr">
        <is>
          <t>Band n50 (1.5 GHz, 60 MHz)</t>
        </is>
      </c>
      <c r="Q150" s="38">
        <f>ROUNDUP(O150/'Methodology &amp; Assumptions'!$B$9, 0)</f>
        <v/>
      </c>
      <c r="R150" s="39" t="n">
        <v>1</v>
      </c>
      <c r="S150" s="25" t="n">
        <v>1.25</v>
      </c>
      <c r="T150" s="25" t="n">
        <v>1.07</v>
      </c>
      <c r="U150" s="42" t="inlineStr">
        <is>
          <t>Tier 1B (Micro Drop, 1-3 km)</t>
        </is>
      </c>
      <c r="V150" s="24" t="n">
        <v>75.90000000000001</v>
      </c>
      <c r="W150" s="24" t="n">
        <v>100</v>
      </c>
      <c r="X150" s="24" t="n">
        <v>28</v>
      </c>
      <c r="Y150" s="45">
        <f>ROUND((V150*'Methodology &amp; Assumptions'!$B$6)+(W150*'Methodology &amp; Assumptions'!$B$5)+(X150*'Methodology &amp; Assumptions'!$B$7), 2)</f>
        <v/>
      </c>
    </row>
    <row r="151" ht="19" customHeight="1">
      <c r="A151" s="35" t="n">
        <v>147</v>
      </c>
      <c r="B151" s="35" t="n">
        <v>2147</v>
      </c>
      <c r="C151" s="36" t="inlineStr">
        <is>
          <t>0600407006</t>
        </is>
      </c>
      <c r="D151" s="36" t="inlineStr">
        <is>
          <t>Region VI (Western Visayas)</t>
        </is>
      </c>
      <c r="E151" s="36" t="inlineStr">
        <is>
          <t>Aklan</t>
        </is>
      </c>
      <c r="F151" s="36" t="inlineStr">
        <is>
          <t>Kalibo</t>
        </is>
      </c>
      <c r="G151" s="36" t="inlineStr">
        <is>
          <t>Buswang Old</t>
        </is>
      </c>
      <c r="H151" s="37" t="n">
        <v>11.688927</v>
      </c>
      <c r="I151" s="37" t="n">
        <v>122.366903</v>
      </c>
      <c r="J151" s="8" t="inlineStr">
        <is>
          <t>U</t>
        </is>
      </c>
      <c r="K151" s="36" t="inlineStr">
        <is>
          <t>Class 1-3 / Urban</t>
        </is>
      </c>
      <c r="L151" s="18" t="n">
        <v>3683</v>
      </c>
      <c r="M151" s="20" t="n">
        <v>4.27</v>
      </c>
      <c r="N151" s="18">
        <f>ROUND(L151/M151, 0)</f>
        <v/>
      </c>
      <c r="O151" s="18">
        <f>ROUND(N151*'Methodology &amp; Assumptions'!$B$8, 0)</f>
        <v/>
      </c>
      <c r="P151" s="8" t="inlineStr">
        <is>
          <t>Band n50 (1.5 GHz, 60 MHz)</t>
        </is>
      </c>
      <c r="Q151" s="38">
        <f>ROUNDUP(O151/'Methodology &amp; Assumptions'!$B$9, 0)</f>
        <v/>
      </c>
      <c r="R151" s="39" t="n">
        <v>1</v>
      </c>
      <c r="S151" s="21" t="n">
        <v>0.95</v>
      </c>
      <c r="T151" s="21" t="n">
        <v>0.05</v>
      </c>
      <c r="U151" s="36" t="inlineStr">
        <is>
          <t>Tier 1A (Direct Coloc, &lt;1 km)</t>
        </is>
      </c>
      <c r="V151" s="20" t="n">
        <v>82.8</v>
      </c>
      <c r="W151" s="20" t="n">
        <v>93.09999999999999</v>
      </c>
      <c r="X151" s="20" t="n">
        <v>28</v>
      </c>
      <c r="Y151" s="40">
        <f>ROUND((V151*'Methodology &amp; Assumptions'!$B$6)+(W151*'Methodology &amp; Assumptions'!$B$5)+(X151*'Methodology &amp; Assumptions'!$B$7), 2)</f>
        <v/>
      </c>
    </row>
    <row r="152" ht="19" customHeight="1">
      <c r="A152" s="41" t="n">
        <v>148</v>
      </c>
      <c r="B152" s="41" t="n">
        <v>2148</v>
      </c>
      <c r="C152" s="42" t="inlineStr">
        <is>
          <t>0603027002</t>
        </is>
      </c>
      <c r="D152" s="42" t="inlineStr">
        <is>
          <t>Region VI (Western Visayas)</t>
        </is>
      </c>
      <c r="E152" s="42" t="inlineStr">
        <is>
          <t>Iloilo</t>
        </is>
      </c>
      <c r="F152" s="42" t="inlineStr">
        <is>
          <t>Lemery</t>
        </is>
      </c>
      <c r="G152" s="42" t="inlineStr">
        <is>
          <t>Alcantara</t>
        </is>
      </c>
      <c r="H152" s="43" t="n">
        <v>11.225685</v>
      </c>
      <c r="I152" s="43" t="n">
        <v>122.925282</v>
      </c>
      <c r="J152" s="44" t="inlineStr">
        <is>
          <t>R</t>
        </is>
      </c>
      <c r="K152" s="42" t="inlineStr">
        <is>
          <t>3rd</t>
        </is>
      </c>
      <c r="L152" s="23" t="n">
        <v>1325</v>
      </c>
      <c r="M152" s="24" t="n">
        <v>3.93</v>
      </c>
      <c r="N152" s="23">
        <f>ROUND(L152/M152, 0)</f>
        <v/>
      </c>
      <c r="O152" s="23">
        <f>ROUND(N152*'Methodology &amp; Assumptions'!$B$8, 0)</f>
        <v/>
      </c>
      <c r="P152" s="44" t="inlineStr">
        <is>
          <t>Band n50 (1.5 GHz, 60 MHz)</t>
        </is>
      </c>
      <c r="Q152" s="38">
        <f>ROUNDUP(O152/'Methodology &amp; Assumptions'!$B$9, 0)</f>
        <v/>
      </c>
      <c r="R152" s="39" t="n">
        <v>1</v>
      </c>
      <c r="S152" s="25" t="n">
        <v>0.34</v>
      </c>
      <c r="T152" s="25" t="n">
        <v>0.14</v>
      </c>
      <c r="U152" s="42" t="inlineStr">
        <is>
          <t>Tier 1A (Direct Coloc, &lt;1 km)</t>
        </is>
      </c>
      <c r="V152" s="24" t="n">
        <v>99.2</v>
      </c>
      <c r="W152" s="24" t="n">
        <v>50.9</v>
      </c>
      <c r="X152" s="24" t="n">
        <v>58</v>
      </c>
      <c r="Y152" s="45">
        <f>ROUND((V152*'Methodology &amp; Assumptions'!$B$6)+(W152*'Methodology &amp; Assumptions'!$B$5)+(X152*'Methodology &amp; Assumptions'!$B$7), 2)</f>
        <v/>
      </c>
    </row>
    <row r="153" ht="19" customHeight="1">
      <c r="A153" s="35" t="n">
        <v>149</v>
      </c>
      <c r="B153" s="35" t="n">
        <v>2149</v>
      </c>
      <c r="C153" s="36" t="inlineStr">
        <is>
          <t>0907322055</t>
        </is>
      </c>
      <c r="D153" s="36" t="inlineStr">
        <is>
          <t>Region IX (Zamboanga Peninsula)</t>
        </is>
      </c>
      <c r="E153" s="36" t="inlineStr">
        <is>
          <t>Zamboanga del Sur</t>
        </is>
      </c>
      <c r="F153" s="36" t="inlineStr">
        <is>
          <t>City of Pagadian</t>
        </is>
      </c>
      <c r="G153" s="36" t="inlineStr">
        <is>
          <t>Santo Niño</t>
        </is>
      </c>
      <c r="H153" s="37" t="n">
        <v>7.829509</v>
      </c>
      <c r="I153" s="37" t="n">
        <v>123.427993</v>
      </c>
      <c r="J153" s="8" t="inlineStr">
        <is>
          <t>U</t>
        </is>
      </c>
      <c r="K153" s="36" t="inlineStr">
        <is>
          <t>Class 1-3 / Urban</t>
        </is>
      </c>
      <c r="L153" s="18" t="n">
        <v>8611</v>
      </c>
      <c r="M153" s="20" t="n">
        <v>4.61</v>
      </c>
      <c r="N153" s="18">
        <f>ROUND(L153/M153, 0)</f>
        <v/>
      </c>
      <c r="O153" s="18">
        <f>ROUND(N153*'Methodology &amp; Assumptions'!$B$8, 0)</f>
        <v/>
      </c>
      <c r="P153" s="8" t="inlineStr">
        <is>
          <t>Band n50 (1.5 GHz, 60 MHz)</t>
        </is>
      </c>
      <c r="Q153" s="38">
        <f>ROUNDUP(O153/'Methodology &amp; Assumptions'!$B$9, 0)</f>
        <v/>
      </c>
      <c r="R153" s="39" t="n">
        <v>1</v>
      </c>
      <c r="S153" s="21" t="n">
        <v>1.25</v>
      </c>
      <c r="T153" s="21" t="n">
        <v>0.46</v>
      </c>
      <c r="U153" s="36" t="inlineStr">
        <is>
          <t>Tier 1B (Micro Drop, 1-3 km)</t>
        </is>
      </c>
      <c r="V153" s="20" t="n">
        <v>75.8</v>
      </c>
      <c r="W153" s="20" t="n">
        <v>100</v>
      </c>
      <c r="X153" s="20" t="n">
        <v>28</v>
      </c>
      <c r="Y153" s="40">
        <f>ROUND((V153*'Methodology &amp; Assumptions'!$B$6)+(W153*'Methodology &amp; Assumptions'!$B$5)+(X153*'Methodology &amp; Assumptions'!$B$7), 2)</f>
        <v/>
      </c>
    </row>
    <row r="154" ht="19" customHeight="1">
      <c r="A154" s="41" t="n">
        <v>150</v>
      </c>
      <c r="B154" s="41" t="n">
        <v>2150</v>
      </c>
      <c r="C154" s="42" t="inlineStr">
        <is>
          <t>0301404008</t>
        </is>
      </c>
      <c r="D154" s="42" t="inlineStr">
        <is>
          <t>Region III (Central Luzon)</t>
        </is>
      </c>
      <c r="E154" s="42" t="inlineStr">
        <is>
          <t>Bulacan</t>
        </is>
      </c>
      <c r="F154" s="42" t="inlineStr">
        <is>
          <t>Bocaue</t>
        </is>
      </c>
      <c r="G154" s="42" t="inlineStr">
        <is>
          <t>Bundukan</t>
        </is>
      </c>
      <c r="H154" s="43" t="n">
        <v>14.788451</v>
      </c>
      <c r="I154" s="43" t="n">
        <v>120.942579</v>
      </c>
      <c r="J154" s="44" t="inlineStr">
        <is>
          <t>U</t>
        </is>
      </c>
      <c r="K154" s="42" t="inlineStr">
        <is>
          <t>Class 1-3 / Urban</t>
        </is>
      </c>
      <c r="L154" s="23" t="n">
        <v>11129</v>
      </c>
      <c r="M154" s="24" t="n">
        <v>4.1</v>
      </c>
      <c r="N154" s="23">
        <f>ROUND(L154/M154, 0)</f>
        <v/>
      </c>
      <c r="O154" s="23">
        <f>ROUND(N154*'Methodology &amp; Assumptions'!$B$8, 0)</f>
        <v/>
      </c>
      <c r="P154" s="44" t="inlineStr">
        <is>
          <t>Band n50 (1.5 GHz, 60 MHz)</t>
        </is>
      </c>
      <c r="Q154" s="38">
        <f>ROUNDUP(O154/'Methodology &amp; Assumptions'!$B$9, 0)</f>
        <v/>
      </c>
      <c r="R154" s="39" t="n">
        <v>1</v>
      </c>
      <c r="S154" s="25" t="n">
        <v>1.25</v>
      </c>
      <c r="T154" s="25" t="n">
        <v>1.11</v>
      </c>
      <c r="U154" s="42" t="inlineStr">
        <is>
          <t>Tier 1B (Micro Drop, 1-3 km)</t>
        </is>
      </c>
      <c r="V154" s="24" t="n">
        <v>75.8</v>
      </c>
      <c r="W154" s="24" t="n">
        <v>100</v>
      </c>
      <c r="X154" s="24" t="n">
        <v>28</v>
      </c>
      <c r="Y154" s="45">
        <f>ROUND((V154*'Methodology &amp; Assumptions'!$B$6)+(W154*'Methodology &amp; Assumptions'!$B$5)+(X154*'Methodology &amp; Assumptions'!$B$7), 2)</f>
        <v/>
      </c>
    </row>
    <row r="155" ht="19" customHeight="1">
      <c r="A155" s="35" t="n">
        <v>151</v>
      </c>
      <c r="B155" s="35" t="n">
        <v>2151</v>
      </c>
      <c r="C155" s="36" t="inlineStr">
        <is>
          <t>0501603005</t>
        </is>
      </c>
      <c r="D155" s="36" t="inlineStr">
        <is>
          <t>Region V (Bicol Region)</t>
        </is>
      </c>
      <c r="E155" s="36" t="inlineStr">
        <is>
          <t>Camarines Norte</t>
        </is>
      </c>
      <c r="F155" s="36" t="inlineStr">
        <is>
          <t>Daet</t>
        </is>
      </c>
      <c r="G155" s="36" t="inlineStr">
        <is>
          <t>Borabod</t>
        </is>
      </c>
      <c r="H155" s="37" t="n">
        <v>14.128865</v>
      </c>
      <c r="I155" s="37" t="n">
        <v>122.966037</v>
      </c>
      <c r="J155" s="8" t="inlineStr">
        <is>
          <t>R</t>
        </is>
      </c>
      <c r="K155" s="36" t="inlineStr">
        <is>
          <t>Class 1-3 / Urban</t>
        </is>
      </c>
      <c r="L155" s="18" t="n">
        <v>4245</v>
      </c>
      <c r="M155" s="20" t="n">
        <v>4.4</v>
      </c>
      <c r="N155" s="18">
        <f>ROUND(L155/M155, 0)</f>
        <v/>
      </c>
      <c r="O155" s="18">
        <f>ROUND(N155*'Methodology &amp; Assumptions'!$B$8, 0)</f>
        <v/>
      </c>
      <c r="P155" s="8" t="inlineStr">
        <is>
          <t>Band n50 (1.5 GHz, 60 MHz)</t>
        </is>
      </c>
      <c r="Q155" s="38">
        <f>ROUNDUP(O155/'Methodology &amp; Assumptions'!$B$9, 0)</f>
        <v/>
      </c>
      <c r="R155" s="39" t="n">
        <v>1</v>
      </c>
      <c r="S155" s="21" t="n">
        <v>2.07</v>
      </c>
      <c r="T155" s="21" t="n">
        <v>3.11</v>
      </c>
      <c r="U155" s="36" t="inlineStr">
        <is>
          <t>Tier 1B (Micro Drop, 1-3 km)</t>
        </is>
      </c>
      <c r="V155" s="20" t="n">
        <v>50.1</v>
      </c>
      <c r="W155" s="20" t="n">
        <v>100</v>
      </c>
      <c r="X155" s="20" t="n">
        <v>58</v>
      </c>
      <c r="Y155" s="40">
        <f>ROUND((V155*'Methodology &amp; Assumptions'!$B$6)+(W155*'Methodology &amp; Assumptions'!$B$5)+(X155*'Methodology &amp; Assumptions'!$B$7), 2)</f>
        <v/>
      </c>
    </row>
    <row r="156" ht="19" customHeight="1">
      <c r="A156" s="41" t="n">
        <v>152</v>
      </c>
      <c r="B156" s="41" t="n">
        <v>2152</v>
      </c>
      <c r="C156" s="42" t="inlineStr">
        <is>
          <t>0201511008</t>
        </is>
      </c>
      <c r="D156" s="42" t="inlineStr">
        <is>
          <t>Region II (Cagayan Valley)</t>
        </is>
      </c>
      <c r="E156" s="42" t="inlineStr">
        <is>
          <t>Cagayan</t>
        </is>
      </c>
      <c r="F156" s="42" t="inlineStr">
        <is>
          <t>Claveria</t>
        </is>
      </c>
      <c r="G156" s="42" t="inlineStr">
        <is>
          <t>Centro I</t>
        </is>
      </c>
      <c r="H156" s="43" t="n">
        <v>18.605051</v>
      </c>
      <c r="I156" s="43" t="n">
        <v>121.074355</v>
      </c>
      <c r="J156" s="44" t="inlineStr">
        <is>
          <t>R</t>
        </is>
      </c>
      <c r="K156" s="42" t="inlineStr">
        <is>
          <t>Class 1-3 / Urban</t>
        </is>
      </c>
      <c r="L156" s="23" t="n">
        <v>1785</v>
      </c>
      <c r="M156" s="24" t="n">
        <v>4.38</v>
      </c>
      <c r="N156" s="23">
        <f>ROUND(L156/M156, 0)</f>
        <v/>
      </c>
      <c r="O156" s="23">
        <f>ROUND(N156*'Methodology &amp; Assumptions'!$B$8, 0)</f>
        <v/>
      </c>
      <c r="P156" s="44" t="inlineStr">
        <is>
          <t>Band n50 (1.5 GHz, 60 MHz)</t>
        </is>
      </c>
      <c r="Q156" s="38">
        <f>ROUNDUP(O156/'Methodology &amp; Assumptions'!$B$9, 0)</f>
        <v/>
      </c>
      <c r="R156" s="39" t="n">
        <v>1</v>
      </c>
      <c r="S156" s="25" t="n">
        <v>0.54</v>
      </c>
      <c r="T156" s="25" t="n">
        <v>0.23</v>
      </c>
      <c r="U156" s="42" t="inlineStr">
        <is>
          <t>Tier 1A (Direct Coloc, &lt;1 km)</t>
        </is>
      </c>
      <c r="V156" s="24" t="n">
        <v>93.59999999999999</v>
      </c>
      <c r="W156" s="24" t="n">
        <v>56.5</v>
      </c>
      <c r="X156" s="24" t="n">
        <v>58</v>
      </c>
      <c r="Y156" s="45">
        <f>ROUND((V156*'Methodology &amp; Assumptions'!$B$6)+(W156*'Methodology &amp; Assumptions'!$B$5)+(X156*'Methodology &amp; Assumptions'!$B$7), 2)</f>
        <v/>
      </c>
    </row>
    <row r="157" ht="19" customHeight="1">
      <c r="A157" s="35" t="n">
        <v>153</v>
      </c>
      <c r="B157" s="35" t="n">
        <v>2153</v>
      </c>
      <c r="C157" s="36" t="inlineStr">
        <is>
          <t>0402120019</t>
        </is>
      </c>
      <c r="D157" s="36" t="inlineStr">
        <is>
          <t>Region IV-A (CALABARZON)</t>
        </is>
      </c>
      <c r="E157" s="36" t="inlineStr">
        <is>
          <t>Cavite</t>
        </is>
      </c>
      <c r="F157" s="36" t="inlineStr">
        <is>
          <t>Tanza</t>
        </is>
      </c>
      <c r="G157" s="36" t="inlineStr">
        <is>
          <t>Barangay IV</t>
        </is>
      </c>
      <c r="H157" s="37" t="n">
        <v>14.396178</v>
      </c>
      <c r="I157" s="37" t="n">
        <v>120.85869</v>
      </c>
      <c r="J157" s="8" t="inlineStr">
        <is>
          <t>R</t>
        </is>
      </c>
      <c r="K157" s="36" t="inlineStr">
        <is>
          <t>Class 1-3 / Urban</t>
        </is>
      </c>
      <c r="L157" s="18" t="n">
        <v>1653</v>
      </c>
      <c r="M157" s="20" t="n">
        <v>4.49</v>
      </c>
      <c r="N157" s="18">
        <f>ROUND(L157/M157, 0)</f>
        <v/>
      </c>
      <c r="O157" s="18">
        <f>ROUND(N157*'Methodology &amp; Assumptions'!$B$8, 0)</f>
        <v/>
      </c>
      <c r="P157" s="8" t="inlineStr">
        <is>
          <t>Band n50 (1.5 GHz, 60 MHz)</t>
        </is>
      </c>
      <c r="Q157" s="38">
        <f>ROUNDUP(O157/'Methodology &amp; Assumptions'!$B$9, 0)</f>
        <v/>
      </c>
      <c r="R157" s="39" t="n">
        <v>1</v>
      </c>
      <c r="S157" s="21" t="n">
        <v>0.43</v>
      </c>
      <c r="T157" s="21" t="n">
        <v>0.2</v>
      </c>
      <c r="U157" s="36" t="inlineStr">
        <is>
          <t>Tier 1A (Direct Coloc, &lt;1 km)</t>
        </is>
      </c>
      <c r="V157" s="20" t="n">
        <v>96.8</v>
      </c>
      <c r="W157" s="20" t="n">
        <v>53.3</v>
      </c>
      <c r="X157" s="20" t="n">
        <v>58</v>
      </c>
      <c r="Y157" s="40">
        <f>ROUND((V157*'Methodology &amp; Assumptions'!$B$6)+(W157*'Methodology &amp; Assumptions'!$B$5)+(X157*'Methodology &amp; Assumptions'!$B$7), 2)</f>
        <v/>
      </c>
    </row>
    <row r="158" ht="19" customHeight="1">
      <c r="A158" s="41" t="n">
        <v>154</v>
      </c>
      <c r="B158" s="41" t="n">
        <v>2154</v>
      </c>
      <c r="C158" s="42" t="inlineStr">
        <is>
          <t>0403430009</t>
        </is>
      </c>
      <c r="D158" s="42" t="inlineStr">
        <is>
          <t>Region IV-A (CALABARZON)</t>
        </is>
      </c>
      <c r="E158" s="42" t="inlineStr">
        <is>
          <t>Laguna</t>
        </is>
      </c>
      <c r="F158" s="42" t="inlineStr">
        <is>
          <t>Victoria</t>
        </is>
      </c>
      <c r="G158" s="42" t="inlineStr">
        <is>
          <t>San Francisco</t>
        </is>
      </c>
      <c r="H158" s="43" t="n">
        <v>14.215442</v>
      </c>
      <c r="I158" s="43" t="n">
        <v>121.339604</v>
      </c>
      <c r="J158" s="44" t="inlineStr">
        <is>
          <t>U</t>
        </is>
      </c>
      <c r="K158" s="42" t="inlineStr">
        <is>
          <t>2nd</t>
        </is>
      </c>
      <c r="L158" s="23" t="n">
        <v>6584</v>
      </c>
      <c r="M158" s="24" t="n">
        <v>3.63</v>
      </c>
      <c r="N158" s="23">
        <f>ROUND(L158/M158, 0)</f>
        <v/>
      </c>
      <c r="O158" s="23">
        <f>ROUND(N158*'Methodology &amp; Assumptions'!$B$8, 0)</f>
        <v/>
      </c>
      <c r="P158" s="44" t="inlineStr">
        <is>
          <t>Band n50 (1.5 GHz, 60 MHz)</t>
        </is>
      </c>
      <c r="Q158" s="38">
        <f>ROUNDUP(O158/'Methodology &amp; Assumptions'!$B$9, 0)</f>
        <v/>
      </c>
      <c r="R158" s="39" t="n">
        <v>1</v>
      </c>
      <c r="S158" s="25" t="n">
        <v>1.26</v>
      </c>
      <c r="T158" s="25" t="n">
        <v>1.42</v>
      </c>
      <c r="U158" s="42" t="inlineStr">
        <is>
          <t>Tier 1B (Micro Drop, 1-3 km)</t>
        </is>
      </c>
      <c r="V158" s="24" t="n">
        <v>75.8</v>
      </c>
      <c r="W158" s="24" t="n">
        <v>100</v>
      </c>
      <c r="X158" s="24" t="n">
        <v>28</v>
      </c>
      <c r="Y158" s="45">
        <f>ROUND((V158*'Methodology &amp; Assumptions'!$B$6)+(W158*'Methodology &amp; Assumptions'!$B$5)+(X158*'Methodology &amp; Assumptions'!$B$7), 2)</f>
        <v/>
      </c>
    </row>
    <row r="159" ht="19" customHeight="1">
      <c r="A159" s="35" t="n">
        <v>155</v>
      </c>
      <c r="B159" s="35" t="n">
        <v>2155</v>
      </c>
      <c r="C159" s="36" t="inlineStr">
        <is>
          <t>0501705040</t>
        </is>
      </c>
      <c r="D159" s="36" t="inlineStr">
        <is>
          <t>Region V (Bicol Region)</t>
        </is>
      </c>
      <c r="E159" s="36" t="inlineStr">
        <is>
          <t>Camarines Sur</t>
        </is>
      </c>
      <c r="F159" s="36" t="inlineStr">
        <is>
          <t>Buhi</t>
        </is>
      </c>
      <c r="G159" s="36" t="inlineStr">
        <is>
          <t>Lourdes</t>
        </is>
      </c>
      <c r="H159" s="37" t="n">
        <v>13.405537</v>
      </c>
      <c r="I159" s="37" t="n">
        <v>123.500513</v>
      </c>
      <c r="J159" s="8" t="inlineStr">
        <is>
          <t>R</t>
        </is>
      </c>
      <c r="K159" s="36" t="inlineStr">
        <is>
          <t>Class 1-3 / Urban</t>
        </is>
      </c>
      <c r="L159" s="18" t="n">
        <v>3841</v>
      </c>
      <c r="M159" s="20" t="n">
        <v>4.9</v>
      </c>
      <c r="N159" s="18">
        <f>ROUND(L159/M159, 0)</f>
        <v/>
      </c>
      <c r="O159" s="18">
        <f>ROUND(N159*'Methodology &amp; Assumptions'!$B$8, 0)</f>
        <v/>
      </c>
      <c r="P159" s="8" t="inlineStr">
        <is>
          <t>Band n50 (1.5 GHz, 60 MHz)</t>
        </is>
      </c>
      <c r="Q159" s="38">
        <f>ROUNDUP(O159/'Methodology &amp; Assumptions'!$B$9, 0)</f>
        <v/>
      </c>
      <c r="R159" s="39" t="n">
        <v>1</v>
      </c>
      <c r="S159" s="21" t="n">
        <v>1.88</v>
      </c>
      <c r="T159" s="21" t="n">
        <v>0.23</v>
      </c>
      <c r="U159" s="36" t="inlineStr">
        <is>
          <t>Tier 1B (Micro Drop, 1-3 km)</t>
        </is>
      </c>
      <c r="V159" s="20" t="n">
        <v>63.4</v>
      </c>
      <c r="W159" s="20" t="n">
        <v>86.7</v>
      </c>
      <c r="X159" s="20" t="n">
        <v>58</v>
      </c>
      <c r="Y159" s="40">
        <f>ROUND((V159*'Methodology &amp; Assumptions'!$B$6)+(W159*'Methodology &amp; Assumptions'!$B$5)+(X159*'Methodology &amp; Assumptions'!$B$7), 2)</f>
        <v/>
      </c>
    </row>
    <row r="160" ht="19" customHeight="1">
      <c r="A160" s="41" t="n">
        <v>156</v>
      </c>
      <c r="B160" s="41" t="n">
        <v>2156</v>
      </c>
      <c r="C160" s="42" t="inlineStr">
        <is>
          <t>0405804023</t>
        </is>
      </c>
      <c r="D160" s="42" t="inlineStr">
        <is>
          <t>Region IV-A (CALABARZON)</t>
        </is>
      </c>
      <c r="E160" s="42" t="inlineStr">
        <is>
          <t>Rizal</t>
        </is>
      </c>
      <c r="F160" s="42" t="inlineStr">
        <is>
          <t>Binangonan</t>
        </is>
      </c>
      <c r="G160" s="42" t="inlineStr">
        <is>
          <t>Mahabang Parang</t>
        </is>
      </c>
      <c r="H160" s="43" t="n">
        <v>14.469499</v>
      </c>
      <c r="I160" s="43" t="n">
        <v>121.210455</v>
      </c>
      <c r="J160" s="44" t="inlineStr">
        <is>
          <t>U</t>
        </is>
      </c>
      <c r="K160" s="42" t="inlineStr">
        <is>
          <t>Class 1-3 / Urban</t>
        </is>
      </c>
      <c r="L160" s="23" t="n">
        <v>11052</v>
      </c>
      <c r="M160" s="24" t="n">
        <v>4.39</v>
      </c>
      <c r="N160" s="23">
        <f>ROUND(L160/M160, 0)</f>
        <v/>
      </c>
      <c r="O160" s="23">
        <f>ROUND(N160*'Methodology &amp; Assumptions'!$B$8, 0)</f>
        <v/>
      </c>
      <c r="P160" s="44" t="inlineStr">
        <is>
          <t>Band n50 (1.5 GHz, 60 MHz)</t>
        </is>
      </c>
      <c r="Q160" s="38">
        <f>ROUNDUP(O160/'Methodology &amp; Assumptions'!$B$9, 0)</f>
        <v/>
      </c>
      <c r="R160" s="39" t="n">
        <v>1</v>
      </c>
      <c r="S160" s="25" t="n">
        <v>1.26</v>
      </c>
      <c r="T160" s="25" t="n">
        <v>0.83</v>
      </c>
      <c r="U160" s="42" t="inlineStr">
        <is>
          <t>Tier 1B (Micro Drop, 1-3 km)</t>
        </is>
      </c>
      <c r="V160" s="24" t="n">
        <v>75.8</v>
      </c>
      <c r="W160" s="24" t="n">
        <v>100</v>
      </c>
      <c r="X160" s="24" t="n">
        <v>28</v>
      </c>
      <c r="Y160" s="45">
        <f>ROUND((V160*'Methodology &amp; Assumptions'!$B$6)+(W160*'Methodology &amp; Assumptions'!$B$5)+(X160*'Methodology &amp; Assumptions'!$B$7), 2)</f>
        <v/>
      </c>
    </row>
    <row r="161" ht="19" customHeight="1">
      <c r="A161" s="35" t="n">
        <v>157</v>
      </c>
      <c r="B161" s="35" t="n">
        <v>2157</v>
      </c>
      <c r="C161" s="36" t="inlineStr">
        <is>
          <t>0601905015</t>
        </is>
      </c>
      <c r="D161" s="36" t="inlineStr">
        <is>
          <t>Region VI (Western Visayas)</t>
        </is>
      </c>
      <c r="E161" s="36" t="inlineStr">
        <is>
          <t>Capiz</t>
        </is>
      </c>
      <c r="F161" s="36" t="inlineStr">
        <is>
          <t>Ivisan</t>
        </is>
      </c>
      <c r="G161" s="36" t="inlineStr">
        <is>
          <t>Santa Cruz</t>
        </is>
      </c>
      <c r="H161" s="37" t="n">
        <v>11.517418</v>
      </c>
      <c r="I161" s="37" t="n">
        <v>122.705152</v>
      </c>
      <c r="J161" s="8" t="inlineStr">
        <is>
          <t>R</t>
        </is>
      </c>
      <c r="K161" s="36" t="inlineStr">
        <is>
          <t>3rd</t>
        </is>
      </c>
      <c r="L161" s="18" t="n">
        <v>2046</v>
      </c>
      <c r="M161" s="20" t="n">
        <v>4.31</v>
      </c>
      <c r="N161" s="18">
        <f>ROUND(L161/M161, 0)</f>
        <v/>
      </c>
      <c r="O161" s="18">
        <f>ROUND(N161*'Methodology &amp; Assumptions'!$B$8, 0)</f>
        <v/>
      </c>
      <c r="P161" s="8" t="inlineStr">
        <is>
          <t>Band n50 (1.5 GHz, 60 MHz)</t>
        </is>
      </c>
      <c r="Q161" s="38">
        <f>ROUNDUP(O161/'Methodology &amp; Assumptions'!$B$9, 0)</f>
        <v/>
      </c>
      <c r="R161" s="39" t="n">
        <v>1</v>
      </c>
      <c r="S161" s="21" t="n">
        <v>1.28</v>
      </c>
      <c r="T161" s="21" t="n">
        <v>0.24</v>
      </c>
      <c r="U161" s="36" t="inlineStr">
        <is>
          <t>Tier 1B (Micro Drop, 1-3 km)</t>
        </is>
      </c>
      <c r="V161" s="20" t="n">
        <v>75.3</v>
      </c>
      <c r="W161" s="20" t="n">
        <v>61.9</v>
      </c>
      <c r="X161" s="20" t="n">
        <v>73</v>
      </c>
      <c r="Y161" s="40">
        <f>ROUND((V161*'Methodology &amp; Assumptions'!$B$6)+(W161*'Methodology &amp; Assumptions'!$B$5)+(X161*'Methodology &amp; Assumptions'!$B$7), 2)</f>
        <v/>
      </c>
    </row>
    <row r="162" ht="19" customHeight="1">
      <c r="A162" s="41" t="n">
        <v>158</v>
      </c>
      <c r="B162" s="41" t="n">
        <v>2158</v>
      </c>
      <c r="C162" s="42" t="inlineStr">
        <is>
          <t>1130700036</t>
        </is>
      </c>
      <c r="D162" s="42" t="inlineStr">
        <is>
          <t>Region XI (Davao Region)</t>
        </is>
      </c>
      <c r="E162" s="42" t="inlineStr">
        <is>
          <t>Davao del Sur</t>
        </is>
      </c>
      <c r="F162" s="42" t="inlineStr">
        <is>
          <t>City of Davao</t>
        </is>
      </c>
      <c r="G162" s="42" t="inlineStr">
        <is>
          <t>Crossing Bayabas</t>
        </is>
      </c>
      <c r="H162" s="43" t="n">
        <v>7.022971</v>
      </c>
      <c r="I162" s="43" t="n">
        <v>125.495227</v>
      </c>
      <c r="J162" s="44" t="inlineStr">
        <is>
          <t>U</t>
        </is>
      </c>
      <c r="K162" s="42" t="inlineStr">
        <is>
          <t>Class 1-3 / Urban</t>
        </is>
      </c>
      <c r="L162" s="23" t="n">
        <v>12406</v>
      </c>
      <c r="M162" s="24" t="n">
        <v>4.1</v>
      </c>
      <c r="N162" s="23">
        <f>ROUND(L162/M162, 0)</f>
        <v/>
      </c>
      <c r="O162" s="23">
        <f>ROUND(N162*'Methodology &amp; Assumptions'!$B$8, 0)</f>
        <v/>
      </c>
      <c r="P162" s="44" t="inlineStr">
        <is>
          <t>Band n50 (1.5 GHz, 60 MHz)</t>
        </is>
      </c>
      <c r="Q162" s="38">
        <f>ROUNDUP(O162/'Methodology &amp; Assumptions'!$B$9, 0)</f>
        <v/>
      </c>
      <c r="R162" s="39" t="n">
        <v>1</v>
      </c>
      <c r="S162" s="25" t="n">
        <v>1.26</v>
      </c>
      <c r="T162" s="25" t="n">
        <v>0.32</v>
      </c>
      <c r="U162" s="42" t="inlineStr">
        <is>
          <t>Tier 1B (Micro Drop, 1-3 km)</t>
        </is>
      </c>
      <c r="V162" s="24" t="n">
        <v>75.7</v>
      </c>
      <c r="W162" s="24" t="n">
        <v>100</v>
      </c>
      <c r="X162" s="24" t="n">
        <v>28</v>
      </c>
      <c r="Y162" s="45">
        <f>ROUND((V162*'Methodology &amp; Assumptions'!$B$6)+(W162*'Methodology &amp; Assumptions'!$B$5)+(X162*'Methodology &amp; Assumptions'!$B$7), 2)</f>
        <v/>
      </c>
    </row>
    <row r="163" ht="19" customHeight="1">
      <c r="A163" s="35" t="n">
        <v>159</v>
      </c>
      <c r="B163" s="35" t="n">
        <v>2159</v>
      </c>
      <c r="C163" s="36" t="inlineStr">
        <is>
          <t>0201504020</t>
        </is>
      </c>
      <c r="D163" s="36" t="inlineStr">
        <is>
          <t>Region II (Cagayan Valley)</t>
        </is>
      </c>
      <c r="E163" s="36" t="inlineStr">
        <is>
          <t>Cagayan</t>
        </is>
      </c>
      <c r="F163" s="36" t="inlineStr">
        <is>
          <t>Amulung</t>
        </is>
      </c>
      <c r="G163" s="36" t="inlineStr">
        <is>
          <t>Centro</t>
        </is>
      </c>
      <c r="H163" s="37" t="n">
        <v>17.8358</v>
      </c>
      <c r="I163" s="37" t="n">
        <v>121.7233</v>
      </c>
      <c r="J163" s="8" t="inlineStr">
        <is>
          <t>U</t>
        </is>
      </c>
      <c r="K163" s="36" t="inlineStr">
        <is>
          <t>Class 1-3 / Urban</t>
        </is>
      </c>
      <c r="L163" s="18" t="n">
        <v>2838</v>
      </c>
      <c r="M163" s="20" t="n">
        <v>4.38</v>
      </c>
      <c r="N163" s="18">
        <f>ROUND(L163/M163, 0)</f>
        <v/>
      </c>
      <c r="O163" s="18">
        <f>ROUND(N163*'Methodology &amp; Assumptions'!$B$8, 0)</f>
        <v/>
      </c>
      <c r="P163" s="8" t="inlineStr">
        <is>
          <t>Band n50 (1.5 GHz, 60 MHz)</t>
        </is>
      </c>
      <c r="Q163" s="38">
        <f>ROUNDUP(O163/'Methodology &amp; Assumptions'!$B$9, 0)</f>
        <v/>
      </c>
      <c r="R163" s="39" t="n">
        <v>1</v>
      </c>
      <c r="S163" s="21" t="n">
        <v>0.13</v>
      </c>
      <c r="T163" s="21" t="n">
        <v>0.13</v>
      </c>
      <c r="U163" s="36" t="inlineStr">
        <is>
          <t>Tier 1A (Direct Coloc, &lt;1 km)</t>
        </is>
      </c>
      <c r="V163" s="20" t="n">
        <v>100</v>
      </c>
      <c r="W163" s="20" t="n">
        <v>75.7</v>
      </c>
      <c r="X163" s="20" t="n">
        <v>28</v>
      </c>
      <c r="Y163" s="40">
        <f>ROUND((V163*'Methodology &amp; Assumptions'!$B$6)+(W163*'Methodology &amp; Assumptions'!$B$5)+(X163*'Methodology &amp; Assumptions'!$B$7), 2)</f>
        <v/>
      </c>
    </row>
    <row r="164" ht="19" customHeight="1">
      <c r="A164" s="41" t="n">
        <v>160</v>
      </c>
      <c r="B164" s="41" t="n">
        <v>2160</v>
      </c>
      <c r="C164" s="42" t="inlineStr">
        <is>
          <t>0500512025</t>
        </is>
      </c>
      <c r="D164" s="42" t="inlineStr">
        <is>
          <t>Region V (Bicol Region)</t>
        </is>
      </c>
      <c r="E164" s="42" t="inlineStr">
        <is>
          <t>Albay</t>
        </is>
      </c>
      <c r="F164" s="42" t="inlineStr">
        <is>
          <t>Oas</t>
        </is>
      </c>
      <c r="G164" s="42" t="inlineStr">
        <is>
          <t>Ilaor Sur</t>
        </is>
      </c>
      <c r="H164" s="43" t="n">
        <v>13.258546</v>
      </c>
      <c r="I164" s="43" t="n">
        <v>123.499393</v>
      </c>
      <c r="J164" s="44" t="inlineStr">
        <is>
          <t>R</t>
        </is>
      </c>
      <c r="K164" s="42" t="inlineStr">
        <is>
          <t>Class 1-3 / Urban</t>
        </is>
      </c>
      <c r="L164" s="23" t="n">
        <v>1778</v>
      </c>
      <c r="M164" s="24" t="n">
        <v>4.67</v>
      </c>
      <c r="N164" s="23">
        <f>ROUND(L164/M164, 0)</f>
        <v/>
      </c>
      <c r="O164" s="23">
        <f>ROUND(N164*'Methodology &amp; Assumptions'!$B$8, 0)</f>
        <v/>
      </c>
      <c r="P164" s="44" t="inlineStr">
        <is>
          <t>Band n50 (1.5 GHz, 60 MHz)</t>
        </is>
      </c>
      <c r="Q164" s="38">
        <f>ROUNDUP(O164/'Methodology &amp; Assumptions'!$B$9, 0)</f>
        <v/>
      </c>
      <c r="R164" s="39" t="n">
        <v>1</v>
      </c>
      <c r="S164" s="25" t="n">
        <v>0.47</v>
      </c>
      <c r="T164" s="25" t="n">
        <v>0.19</v>
      </c>
      <c r="U164" s="42" t="inlineStr">
        <is>
          <t>Tier 1A (Direct Coloc, &lt;1 km)</t>
        </is>
      </c>
      <c r="V164" s="24" t="n">
        <v>95.59999999999999</v>
      </c>
      <c r="W164" s="24" t="n">
        <v>54.4</v>
      </c>
      <c r="X164" s="24" t="n">
        <v>58</v>
      </c>
      <c r="Y164" s="45">
        <f>ROUND((V164*'Methodology &amp; Assumptions'!$B$6)+(W164*'Methodology &amp; Assumptions'!$B$5)+(X164*'Methodology &amp; Assumptions'!$B$7), 2)</f>
        <v/>
      </c>
    </row>
    <row r="165" ht="19" customHeight="1">
      <c r="A165" s="35" t="n">
        <v>161</v>
      </c>
      <c r="B165" s="35" t="n">
        <v>2161</v>
      </c>
      <c r="C165" s="36" t="inlineStr">
        <is>
          <t>0603027001</t>
        </is>
      </c>
      <c r="D165" s="36" t="inlineStr">
        <is>
          <t>Region VI (Western Visayas)</t>
        </is>
      </c>
      <c r="E165" s="36" t="inlineStr">
        <is>
          <t>Iloilo</t>
        </is>
      </c>
      <c r="F165" s="36" t="inlineStr">
        <is>
          <t>Lemery</t>
        </is>
      </c>
      <c r="G165" s="36" t="inlineStr">
        <is>
          <t>Agpipili</t>
        </is>
      </c>
      <c r="H165" s="37" t="n">
        <v>11.227378</v>
      </c>
      <c r="I165" s="37" t="n">
        <v>122.925221</v>
      </c>
      <c r="J165" s="8" t="inlineStr">
        <is>
          <t>R</t>
        </is>
      </c>
      <c r="K165" s="36" t="inlineStr">
        <is>
          <t>3rd</t>
        </is>
      </c>
      <c r="L165" s="18" t="n">
        <v>1403</v>
      </c>
      <c r="M165" s="20" t="n">
        <v>3.93</v>
      </c>
      <c r="N165" s="18">
        <f>ROUND(L165/M165, 0)</f>
        <v/>
      </c>
      <c r="O165" s="18">
        <f>ROUND(N165*'Methodology &amp; Assumptions'!$B$8, 0)</f>
        <v/>
      </c>
      <c r="P165" s="8" t="inlineStr">
        <is>
          <t>Band n50 (1.5 GHz, 60 MHz)</t>
        </is>
      </c>
      <c r="Q165" s="38">
        <f>ROUNDUP(O165/'Methodology &amp; Assumptions'!$B$9, 0)</f>
        <v/>
      </c>
      <c r="R165" s="39" t="n">
        <v>1</v>
      </c>
      <c r="S165" s="21" t="n">
        <v>0.4</v>
      </c>
      <c r="T165" s="21" t="n">
        <v>0.32</v>
      </c>
      <c r="U165" s="36" t="inlineStr">
        <is>
          <t>Tier 1A (Direct Coloc, &lt;1 km)</t>
        </is>
      </c>
      <c r="V165" s="20" t="n">
        <v>97.5</v>
      </c>
      <c r="W165" s="20" t="n">
        <v>52.5</v>
      </c>
      <c r="X165" s="20" t="n">
        <v>58</v>
      </c>
      <c r="Y165" s="40">
        <f>ROUND((V165*'Methodology &amp; Assumptions'!$B$6)+(W165*'Methodology &amp; Assumptions'!$B$5)+(X165*'Methodology &amp; Assumptions'!$B$7), 2)</f>
        <v/>
      </c>
    </row>
    <row r="166" ht="19" customHeight="1">
      <c r="A166" s="41" t="n">
        <v>162</v>
      </c>
      <c r="B166" s="41" t="n">
        <v>2162</v>
      </c>
      <c r="C166" s="42" t="inlineStr">
        <is>
          <t>1630400100</t>
        </is>
      </c>
      <c r="D166" s="42" t="inlineStr">
        <is>
          <t>Region XIII (Caraga)</t>
        </is>
      </c>
      <c r="E166" s="42" t="inlineStr">
        <is>
          <t>Agusan del Norte</t>
        </is>
      </c>
      <c r="F166" s="42" t="inlineStr">
        <is>
          <t>City of Butuan</t>
        </is>
      </c>
      <c r="G166" s="42" t="inlineStr">
        <is>
          <t>Santo Niño</t>
        </is>
      </c>
      <c r="H166" s="43" t="n">
        <v>9.035287</v>
      </c>
      <c r="I166" s="43" t="n">
        <v>125.59533</v>
      </c>
      <c r="J166" s="44" t="inlineStr">
        <is>
          <t>R</t>
        </is>
      </c>
      <c r="K166" s="42" t="inlineStr">
        <is>
          <t>Class 1-3 / Urban</t>
        </is>
      </c>
      <c r="L166" s="23" t="n">
        <v>3116</v>
      </c>
      <c r="M166" s="24" t="n">
        <v>4.63</v>
      </c>
      <c r="N166" s="23">
        <f>ROUND(L166/M166, 0)</f>
        <v/>
      </c>
      <c r="O166" s="23">
        <f>ROUND(N166*'Methodology &amp; Assumptions'!$B$8, 0)</f>
        <v/>
      </c>
      <c r="P166" s="44" t="inlineStr">
        <is>
          <t>Band n50 (1.5 GHz, 60 MHz)</t>
        </is>
      </c>
      <c r="Q166" s="38">
        <f>ROUNDUP(O166/'Methodology &amp; Assumptions'!$B$9, 0)</f>
        <v/>
      </c>
      <c r="R166" s="39" t="n">
        <v>1</v>
      </c>
      <c r="S166" s="25" t="n">
        <v>2.12</v>
      </c>
      <c r="T166" s="25" t="n">
        <v>0.27</v>
      </c>
      <c r="U166" s="42" t="inlineStr">
        <is>
          <t>Tier 1B (Micro Drop, 1-3 km)</t>
        </is>
      </c>
      <c r="V166" s="24" t="n">
        <v>59.2</v>
      </c>
      <c r="W166" s="24" t="n">
        <v>77.90000000000001</v>
      </c>
      <c r="X166" s="24" t="n">
        <v>73</v>
      </c>
      <c r="Y166" s="45">
        <f>ROUND((V166*'Methodology &amp; Assumptions'!$B$6)+(W166*'Methodology &amp; Assumptions'!$B$5)+(X166*'Methodology &amp; Assumptions'!$B$7), 2)</f>
        <v/>
      </c>
    </row>
    <row r="167" ht="19" customHeight="1">
      <c r="A167" s="35" t="n">
        <v>163</v>
      </c>
      <c r="B167" s="35" t="n">
        <v>2163</v>
      </c>
      <c r="C167" s="36" t="inlineStr">
        <is>
          <t>0403414007</t>
        </is>
      </c>
      <c r="D167" s="36" t="inlineStr">
        <is>
          <t>Region IV-A (CALABARZON)</t>
        </is>
      </c>
      <c r="E167" s="36" t="inlineStr">
        <is>
          <t>Laguna</t>
        </is>
      </c>
      <c r="F167" s="36" t="inlineStr">
        <is>
          <t>Mabitac</t>
        </is>
      </c>
      <c r="G167" s="36" t="inlineStr">
        <is>
          <t>Paagahan</t>
        </is>
      </c>
      <c r="H167" s="37" t="n">
        <v>14.444853</v>
      </c>
      <c r="I167" s="37" t="n">
        <v>121.401575</v>
      </c>
      <c r="J167" s="8" t="inlineStr">
        <is>
          <t>R</t>
        </is>
      </c>
      <c r="K167" s="36" t="inlineStr">
        <is>
          <t>4th</t>
        </is>
      </c>
      <c r="L167" s="18" t="n">
        <v>4043</v>
      </c>
      <c r="M167" s="20" t="n">
        <v>4.48</v>
      </c>
      <c r="N167" s="18">
        <f>ROUND(L167/M167, 0)</f>
        <v/>
      </c>
      <c r="O167" s="18">
        <f>ROUND(N167*'Methodology &amp; Assumptions'!$B$8, 0)</f>
        <v/>
      </c>
      <c r="P167" s="8" t="inlineStr">
        <is>
          <t>Band n50 (1.5 GHz, 60 MHz)</t>
        </is>
      </c>
      <c r="Q167" s="38">
        <f>ROUNDUP(O167/'Methodology &amp; Assumptions'!$B$9, 0)</f>
        <v/>
      </c>
      <c r="R167" s="39" t="n">
        <v>1</v>
      </c>
      <c r="S167" s="21" t="n">
        <v>3.17</v>
      </c>
      <c r="T167" s="21" t="n">
        <v>0.22</v>
      </c>
      <c r="U167" s="36" t="inlineStr">
        <is>
          <t>Tier 2 (Fiber Corridor / Lateral, 3-5 km)</t>
        </is>
      </c>
      <c r="V167" s="20" t="n">
        <v>44.7</v>
      </c>
      <c r="W167" s="20" t="n">
        <v>96.3</v>
      </c>
      <c r="X167" s="20" t="n">
        <v>68.5</v>
      </c>
      <c r="Y167" s="40">
        <f>ROUND((V167*'Methodology &amp; Assumptions'!$B$6)+(W167*'Methodology &amp; Assumptions'!$B$5)+(X167*'Methodology &amp; Assumptions'!$B$7), 2)</f>
        <v/>
      </c>
    </row>
    <row r="168" ht="19" customHeight="1">
      <c r="A168" s="41" t="n">
        <v>164</v>
      </c>
      <c r="B168" s="41" t="n">
        <v>2164</v>
      </c>
      <c r="C168" s="42" t="inlineStr">
        <is>
          <t>0500504009</t>
        </is>
      </c>
      <c r="D168" s="42" t="inlineStr">
        <is>
          <t>Region V (Bicol Region)</t>
        </is>
      </c>
      <c r="E168" s="42" t="inlineStr">
        <is>
          <t>Albay</t>
        </is>
      </c>
      <c r="F168" s="42" t="inlineStr">
        <is>
          <t>Guinobatan</t>
        </is>
      </c>
      <c r="G168" s="42" t="inlineStr">
        <is>
          <t>Calzada</t>
        </is>
      </c>
      <c r="H168" s="43" t="n">
        <v>13.188774</v>
      </c>
      <c r="I168" s="43" t="n">
        <v>123.594609</v>
      </c>
      <c r="J168" s="44" t="inlineStr">
        <is>
          <t>R</t>
        </is>
      </c>
      <c r="K168" s="42" t="inlineStr">
        <is>
          <t>Class 1-3 / Urban</t>
        </is>
      </c>
      <c r="L168" s="23" t="n">
        <v>2591</v>
      </c>
      <c r="M168" s="24" t="n">
        <v>4.67</v>
      </c>
      <c r="N168" s="23">
        <f>ROUND(L168/M168, 0)</f>
        <v/>
      </c>
      <c r="O168" s="23">
        <f>ROUND(N168*'Methodology &amp; Assumptions'!$B$8, 0)</f>
        <v/>
      </c>
      <c r="P168" s="44" t="inlineStr">
        <is>
          <t>Band n50 (1.5 GHz, 60 MHz)</t>
        </is>
      </c>
      <c r="Q168" s="38">
        <f>ROUNDUP(O168/'Methodology &amp; Assumptions'!$B$9, 0)</f>
        <v/>
      </c>
      <c r="R168" s="39" t="n">
        <v>1</v>
      </c>
      <c r="S168" s="25" t="n">
        <v>1</v>
      </c>
      <c r="T168" s="25" t="n">
        <v>0.66</v>
      </c>
      <c r="U168" s="42" t="inlineStr">
        <is>
          <t>Tier 1A (Direct Coloc, &lt;1 km)</t>
        </is>
      </c>
      <c r="V168" s="24" t="n">
        <v>81.7</v>
      </c>
      <c r="W168" s="24" t="n">
        <v>68.3</v>
      </c>
      <c r="X168" s="24" t="n">
        <v>58</v>
      </c>
      <c r="Y168" s="45">
        <f>ROUND((V168*'Methodology &amp; Assumptions'!$B$6)+(W168*'Methodology &amp; Assumptions'!$B$5)+(X168*'Methodology &amp; Assumptions'!$B$7), 2)</f>
        <v/>
      </c>
    </row>
    <row r="169" ht="19" customHeight="1">
      <c r="A169" s="35" t="n">
        <v>165</v>
      </c>
      <c r="B169" s="35" t="n">
        <v>2165</v>
      </c>
      <c r="C169" s="36" t="inlineStr">
        <is>
          <t>0405804028</t>
        </is>
      </c>
      <c r="D169" s="36" t="inlineStr">
        <is>
          <t>Region IV-A (CALABARZON)</t>
        </is>
      </c>
      <c r="E169" s="36" t="inlineStr">
        <is>
          <t>Rizal</t>
        </is>
      </c>
      <c r="F169" s="36" t="inlineStr">
        <is>
          <t>Binangonan</t>
        </is>
      </c>
      <c r="G169" s="36" t="inlineStr">
        <is>
          <t>Pila Pila</t>
        </is>
      </c>
      <c r="H169" s="37" t="n">
        <v>14.44901</v>
      </c>
      <c r="I169" s="37" t="n">
        <v>121.2022</v>
      </c>
      <c r="J169" s="8" t="inlineStr">
        <is>
          <t>U</t>
        </is>
      </c>
      <c r="K169" s="36" t="inlineStr">
        <is>
          <t>Class 1-3 / Urban</t>
        </is>
      </c>
      <c r="L169" s="18" t="n">
        <v>9437</v>
      </c>
      <c r="M169" s="20" t="n">
        <v>4.39</v>
      </c>
      <c r="N169" s="18">
        <f>ROUND(L169/M169, 0)</f>
        <v/>
      </c>
      <c r="O169" s="18">
        <f>ROUND(N169*'Methodology &amp; Assumptions'!$B$8, 0)</f>
        <v/>
      </c>
      <c r="P169" s="8" t="inlineStr">
        <is>
          <t>Band n50 (1.5 GHz, 60 MHz)</t>
        </is>
      </c>
      <c r="Q169" s="38">
        <f>ROUNDUP(O169/'Methodology &amp; Assumptions'!$B$9, 0)</f>
        <v/>
      </c>
      <c r="R169" s="39" t="n">
        <v>1</v>
      </c>
      <c r="S169" s="21" t="n">
        <v>0.84</v>
      </c>
      <c r="T169" s="21" t="n">
        <v>2.35</v>
      </c>
      <c r="U169" s="36" t="inlineStr">
        <is>
          <t>Tier 1A (Direct Coloc, &lt;1 km)</t>
        </is>
      </c>
      <c r="V169" s="20" t="n">
        <v>75.7</v>
      </c>
      <c r="W169" s="20" t="n">
        <v>100</v>
      </c>
      <c r="X169" s="20" t="n">
        <v>28</v>
      </c>
      <c r="Y169" s="40">
        <f>ROUND((V169*'Methodology &amp; Assumptions'!$B$6)+(W169*'Methodology &amp; Assumptions'!$B$5)+(X169*'Methodology &amp; Assumptions'!$B$7), 2)</f>
        <v/>
      </c>
    </row>
    <row r="170" ht="19" customHeight="1">
      <c r="A170" s="41" t="n">
        <v>166</v>
      </c>
      <c r="B170" s="41" t="n">
        <v>2166</v>
      </c>
      <c r="C170" s="42" t="inlineStr">
        <is>
          <t>1705207020</t>
        </is>
      </c>
      <c r="D170" s="42" t="inlineStr">
        <is>
          <t>MIMAROPA Region</t>
        </is>
      </c>
      <c r="E170" s="42" t="inlineStr">
        <is>
          <t>Oriental Mindoro</t>
        </is>
      </c>
      <c r="F170" s="42" t="inlineStr">
        <is>
          <t>Mansalay</t>
        </is>
      </c>
      <c r="G170" s="42" t="inlineStr">
        <is>
          <t>Santa Teresita</t>
        </is>
      </c>
      <c r="H170" s="43" t="n">
        <v>12.522192</v>
      </c>
      <c r="I170" s="43" t="n">
        <v>121.427563</v>
      </c>
      <c r="J170" s="44" t="inlineStr">
        <is>
          <t>U</t>
        </is>
      </c>
      <c r="K170" s="42" t="inlineStr">
        <is>
          <t>Class 1-3 / Urban</t>
        </is>
      </c>
      <c r="L170" s="23" t="n">
        <v>5383</v>
      </c>
      <c r="M170" s="24" t="n">
        <v>4.41</v>
      </c>
      <c r="N170" s="23">
        <f>ROUND(L170/M170, 0)</f>
        <v/>
      </c>
      <c r="O170" s="23">
        <f>ROUND(N170*'Methodology &amp; Assumptions'!$B$8, 0)</f>
        <v/>
      </c>
      <c r="P170" s="44" t="inlineStr">
        <is>
          <t>Band n50 (1.5 GHz, 60 MHz)</t>
        </is>
      </c>
      <c r="Q170" s="38">
        <f>ROUNDUP(O170/'Methodology &amp; Assumptions'!$B$9, 0)</f>
        <v/>
      </c>
      <c r="R170" s="39" t="n">
        <v>1</v>
      </c>
      <c r="S170" s="25" t="n">
        <v>1.26</v>
      </c>
      <c r="T170" s="25" t="n">
        <v>0.22</v>
      </c>
      <c r="U170" s="42" t="inlineStr">
        <is>
          <t>Tier 1B (Micro Drop, 1-3 km)</t>
        </is>
      </c>
      <c r="V170" s="24" t="n">
        <v>75.7</v>
      </c>
      <c r="W170" s="24" t="n">
        <v>100</v>
      </c>
      <c r="X170" s="24" t="n">
        <v>28</v>
      </c>
      <c r="Y170" s="45">
        <f>ROUND((V170*'Methodology &amp; Assumptions'!$B$6)+(W170*'Methodology &amp; Assumptions'!$B$5)+(X170*'Methodology &amp; Assumptions'!$B$7), 2)</f>
        <v/>
      </c>
    </row>
    <row r="171" ht="19" customHeight="1">
      <c r="A171" s="35" t="n">
        <v>167</v>
      </c>
      <c r="B171" s="35" t="n">
        <v>2167</v>
      </c>
      <c r="C171" s="36" t="inlineStr">
        <is>
          <t>0702233010</t>
        </is>
      </c>
      <c r="D171" s="36" t="inlineStr">
        <is>
          <t>Region VII (Central Visayas)</t>
        </is>
      </c>
      <c r="E171" s="36" t="inlineStr">
        <is>
          <t>Cebu</t>
        </is>
      </c>
      <c r="F171" s="36" t="inlineStr">
        <is>
          <t>Moalboal</t>
        </is>
      </c>
      <c r="G171" s="36" t="inlineStr">
        <is>
          <t>Poblacion East</t>
        </is>
      </c>
      <c r="H171" s="37" t="n">
        <v>9.937580000000001</v>
      </c>
      <c r="I171" s="37" t="n">
        <v>123.398483</v>
      </c>
      <c r="J171" s="8" t="inlineStr">
        <is>
          <t>U</t>
        </is>
      </c>
      <c r="K171" s="36" t="inlineStr">
        <is>
          <t>1st</t>
        </is>
      </c>
      <c r="L171" s="18" t="n">
        <v>2911</v>
      </c>
      <c r="M171" s="20" t="n">
        <v>4.27</v>
      </c>
      <c r="N171" s="18">
        <f>ROUND(L171/M171, 0)</f>
        <v/>
      </c>
      <c r="O171" s="18">
        <f>ROUND(N171*'Methodology &amp; Assumptions'!$B$8, 0)</f>
        <v/>
      </c>
      <c r="P171" s="8" t="inlineStr">
        <is>
          <t>Band n50 (1.5 GHz, 60 MHz)</t>
        </is>
      </c>
      <c r="Q171" s="38">
        <f>ROUNDUP(O171/'Methodology &amp; Assumptions'!$B$9, 0)</f>
        <v/>
      </c>
      <c r="R171" s="39" t="n">
        <v>1</v>
      </c>
      <c r="S171" s="21" t="n">
        <v>0.42</v>
      </c>
      <c r="T171" s="21" t="n">
        <v>0.52</v>
      </c>
      <c r="U171" s="36" t="inlineStr">
        <is>
          <t>Tier 1A (Direct Coloc, &lt;1 km)</t>
        </is>
      </c>
      <c r="V171" s="20" t="n">
        <v>97</v>
      </c>
      <c r="W171" s="20" t="n">
        <v>78.7</v>
      </c>
      <c r="X171" s="20" t="n">
        <v>28</v>
      </c>
      <c r="Y171" s="40">
        <f>ROUND((V171*'Methodology &amp; Assumptions'!$B$6)+(W171*'Methodology &amp; Assumptions'!$B$5)+(X171*'Methodology &amp; Assumptions'!$B$7), 2)</f>
        <v/>
      </c>
    </row>
    <row r="172" ht="19" customHeight="1">
      <c r="A172" s="41" t="n">
        <v>168</v>
      </c>
      <c r="B172" s="41" t="n">
        <v>2168</v>
      </c>
      <c r="C172" s="42" t="inlineStr">
        <is>
          <t>0506216037</t>
        </is>
      </c>
      <c r="D172" s="42" t="inlineStr">
        <is>
          <t>Region V (Bicol Region)</t>
        </is>
      </c>
      <c r="E172" s="42" t="inlineStr">
        <is>
          <t>Sorsogon</t>
        </is>
      </c>
      <c r="F172" s="42" t="inlineStr">
        <is>
          <t>City of Sorsogon</t>
        </is>
      </c>
      <c r="G172" s="42" t="inlineStr">
        <is>
          <t>Tugos</t>
        </is>
      </c>
      <c r="H172" s="43" t="n">
        <v>12.968097</v>
      </c>
      <c r="I172" s="43" t="n">
        <v>123.989339</v>
      </c>
      <c r="J172" s="44" t="inlineStr">
        <is>
          <t>R</t>
        </is>
      </c>
      <c r="K172" s="42" t="inlineStr">
        <is>
          <t>Class 1-3 / Urban</t>
        </is>
      </c>
      <c r="L172" s="23" t="n">
        <v>3209</v>
      </c>
      <c r="M172" s="24" t="n">
        <v>4.58</v>
      </c>
      <c r="N172" s="23">
        <f>ROUND(L172/M172, 0)</f>
        <v/>
      </c>
      <c r="O172" s="23">
        <f>ROUND(N172*'Methodology &amp; Assumptions'!$B$8, 0)</f>
        <v/>
      </c>
      <c r="P172" s="44" t="inlineStr">
        <is>
          <t>Band n50 (1.5 GHz, 60 MHz)</t>
        </is>
      </c>
      <c r="Q172" s="38">
        <f>ROUNDUP(O172/'Methodology &amp; Assumptions'!$B$9, 0)</f>
        <v/>
      </c>
      <c r="R172" s="39" t="n">
        <v>1</v>
      </c>
      <c r="S172" s="25" t="n">
        <v>1.54</v>
      </c>
      <c r="T172" s="25" t="n">
        <v>0.58</v>
      </c>
      <c r="U172" s="42" t="inlineStr">
        <is>
          <t>Tier 1B (Micro Drop, 1-3 km)</t>
        </is>
      </c>
      <c r="V172" s="24" t="n">
        <v>69.90000000000001</v>
      </c>
      <c r="W172" s="24" t="n">
        <v>80</v>
      </c>
      <c r="X172" s="24" t="n">
        <v>58</v>
      </c>
      <c r="Y172" s="45">
        <f>ROUND((V172*'Methodology &amp; Assumptions'!$B$6)+(W172*'Methodology &amp; Assumptions'!$B$5)+(X172*'Methodology &amp; Assumptions'!$B$7), 2)</f>
        <v/>
      </c>
    </row>
    <row r="173" ht="19" customHeight="1">
      <c r="A173" s="35" t="n">
        <v>169</v>
      </c>
      <c r="B173" s="35" t="n">
        <v>2169</v>
      </c>
      <c r="C173" s="36" t="inlineStr">
        <is>
          <t>0103314050</t>
        </is>
      </c>
      <c r="D173" s="36" t="inlineStr">
        <is>
          <t>Region I (Ilocos Region)</t>
        </is>
      </c>
      <c r="E173" s="36" t="inlineStr">
        <is>
          <t>La Union</t>
        </is>
      </c>
      <c r="F173" s="36" t="inlineStr">
        <is>
          <t>City of San Fernando</t>
        </is>
      </c>
      <c r="G173" s="36" t="inlineStr">
        <is>
          <t>Sagayad</t>
        </is>
      </c>
      <c r="H173" s="37" t="n">
        <v>16.596965</v>
      </c>
      <c r="I173" s="37" t="n">
        <v>120.331126</v>
      </c>
      <c r="J173" s="8" t="inlineStr">
        <is>
          <t>R</t>
        </is>
      </c>
      <c r="K173" s="36" t="inlineStr">
        <is>
          <t>Class 1-3 / Urban</t>
        </is>
      </c>
      <c r="L173" s="18" t="n">
        <v>3164</v>
      </c>
      <c r="M173" s="20" t="n">
        <v>4.42</v>
      </c>
      <c r="N173" s="18">
        <f>ROUND(L173/M173, 0)</f>
        <v/>
      </c>
      <c r="O173" s="18">
        <f>ROUND(N173*'Methodology &amp; Assumptions'!$B$8, 0)</f>
        <v/>
      </c>
      <c r="P173" s="8" t="inlineStr">
        <is>
          <t>Band n50 (1.5 GHz, 60 MHz)</t>
        </is>
      </c>
      <c r="Q173" s="38">
        <f>ROUNDUP(O173/'Methodology &amp; Assumptions'!$B$9, 0)</f>
        <v/>
      </c>
      <c r="R173" s="39" t="n">
        <v>1</v>
      </c>
      <c r="S173" s="21" t="n">
        <v>1.6</v>
      </c>
      <c r="T173" s="21" t="n">
        <v>1.09</v>
      </c>
      <c r="U173" s="36" t="inlineStr">
        <is>
          <t>Tier 1B (Micro Drop, 1-3 km)</t>
        </is>
      </c>
      <c r="V173" s="20" t="n">
        <v>68.59999999999999</v>
      </c>
      <c r="W173" s="20" t="n">
        <v>81.3</v>
      </c>
      <c r="X173" s="20" t="n">
        <v>58</v>
      </c>
      <c r="Y173" s="40">
        <f>ROUND((V173*'Methodology &amp; Assumptions'!$B$6)+(W173*'Methodology &amp; Assumptions'!$B$5)+(X173*'Methodology &amp; Assumptions'!$B$7), 2)</f>
        <v/>
      </c>
    </row>
    <row r="174" ht="19" customHeight="1">
      <c r="A174" s="41" t="n">
        <v>170</v>
      </c>
      <c r="B174" s="41" t="n">
        <v>2170</v>
      </c>
      <c r="C174" s="42" t="inlineStr">
        <is>
          <t>0730600044</t>
        </is>
      </c>
      <c r="D174" s="42" t="inlineStr">
        <is>
          <t>Region VII (Central Visayas)</t>
        </is>
      </c>
      <c r="E174" s="42" t="inlineStr">
        <is>
          <t>Cebu</t>
        </is>
      </c>
      <c r="F174" s="42" t="inlineStr">
        <is>
          <t>City of Cebu</t>
        </is>
      </c>
      <c r="G174" s="42" t="inlineStr">
        <is>
          <t>Luz</t>
        </is>
      </c>
      <c r="H174" s="43" t="n">
        <v>10.323738</v>
      </c>
      <c r="I174" s="43" t="n">
        <v>123.906224</v>
      </c>
      <c r="J174" s="44" t="inlineStr">
        <is>
          <t>U</t>
        </is>
      </c>
      <c r="K174" s="42" t="inlineStr">
        <is>
          <t>Class 1-3 / Urban</t>
        </is>
      </c>
      <c r="L174" s="23" t="n">
        <v>16175</v>
      </c>
      <c r="M174" s="24" t="n">
        <v>4.42</v>
      </c>
      <c r="N174" s="23">
        <f>ROUND(L174/M174, 0)</f>
        <v/>
      </c>
      <c r="O174" s="23">
        <f>ROUND(N174*'Methodology &amp; Assumptions'!$B$8, 0)</f>
        <v/>
      </c>
      <c r="P174" s="44" t="inlineStr">
        <is>
          <t>Band n50 (1.5 GHz, 60 MHz)</t>
        </is>
      </c>
      <c r="Q174" s="38">
        <f>ROUNDUP(O174/'Methodology &amp; Assumptions'!$B$9, 0)</f>
        <v/>
      </c>
      <c r="R174" s="39" t="n">
        <v>1</v>
      </c>
      <c r="S174" s="25" t="n">
        <v>1.26</v>
      </c>
      <c r="T174" s="25" t="n">
        <v>1.37</v>
      </c>
      <c r="U174" s="42" t="inlineStr">
        <is>
          <t>Tier 1B (Micro Drop, 1-3 km)</t>
        </is>
      </c>
      <c r="V174" s="24" t="n">
        <v>75.7</v>
      </c>
      <c r="W174" s="24" t="n">
        <v>100</v>
      </c>
      <c r="X174" s="24" t="n">
        <v>28</v>
      </c>
      <c r="Y174" s="45">
        <f>ROUND((V174*'Methodology &amp; Assumptions'!$B$6)+(W174*'Methodology &amp; Assumptions'!$B$5)+(X174*'Methodology &amp; Assumptions'!$B$7), 2)</f>
        <v/>
      </c>
    </row>
    <row r="175" ht="19" customHeight="1">
      <c r="A175" s="35" t="n">
        <v>171</v>
      </c>
      <c r="B175" s="35" t="n">
        <v>2171</v>
      </c>
      <c r="C175" s="36" t="inlineStr">
        <is>
          <t>0105517003</t>
        </is>
      </c>
      <c r="D175" s="36" t="inlineStr">
        <is>
          <t>Region I (Ilocos Region)</t>
        </is>
      </c>
      <c r="E175" s="36" t="inlineStr">
        <is>
          <t>Pangasinan</t>
        </is>
      </c>
      <c r="F175" s="36" t="inlineStr">
        <is>
          <t>Calasiao</t>
        </is>
      </c>
      <c r="G175" s="36" t="inlineStr">
        <is>
          <t>Banaoang</t>
        </is>
      </c>
      <c r="H175" s="37" t="n">
        <v>16.01298</v>
      </c>
      <c r="I175" s="37" t="n">
        <v>120.3386</v>
      </c>
      <c r="J175" s="8" t="inlineStr">
        <is>
          <t>U</t>
        </is>
      </c>
      <c r="K175" s="36" t="inlineStr">
        <is>
          <t>Class 1-3 / Urban</t>
        </is>
      </c>
      <c r="L175" s="18" t="n">
        <v>5032</v>
      </c>
      <c r="M175" s="20" t="n">
        <v>4.39</v>
      </c>
      <c r="N175" s="18">
        <f>ROUND(L175/M175, 0)</f>
        <v/>
      </c>
      <c r="O175" s="18">
        <f>ROUND(N175*'Methodology &amp; Assumptions'!$B$8, 0)</f>
        <v/>
      </c>
      <c r="P175" s="8" t="inlineStr">
        <is>
          <t>Band n50 (1.5 GHz, 60 MHz)</t>
        </is>
      </c>
      <c r="Q175" s="38">
        <f>ROUNDUP(O175/'Methodology &amp; Assumptions'!$B$9, 0)</f>
        <v/>
      </c>
      <c r="R175" s="39" t="n">
        <v>1</v>
      </c>
      <c r="S175" s="21" t="n">
        <v>1.26</v>
      </c>
      <c r="T175" s="21" t="n">
        <v>0.53</v>
      </c>
      <c r="U175" s="36" t="inlineStr">
        <is>
          <t>Tier 1B (Micro Drop, 1-3 km)</t>
        </is>
      </c>
      <c r="V175" s="20" t="n">
        <v>75.59999999999999</v>
      </c>
      <c r="W175" s="20" t="n">
        <v>100</v>
      </c>
      <c r="X175" s="20" t="n">
        <v>28</v>
      </c>
      <c r="Y175" s="40">
        <f>ROUND((V175*'Methodology &amp; Assumptions'!$B$6)+(W175*'Methodology &amp; Assumptions'!$B$5)+(X175*'Methodology &amp; Assumptions'!$B$7), 2)</f>
        <v/>
      </c>
    </row>
    <row r="176" ht="19" customHeight="1">
      <c r="A176" s="41" t="n">
        <v>172</v>
      </c>
      <c r="B176" s="41" t="n">
        <v>2172</v>
      </c>
      <c r="C176" s="42" t="inlineStr">
        <is>
          <t>0306906001</t>
        </is>
      </c>
      <c r="D176" s="42" t="inlineStr">
        <is>
          <t>Region III (Central Luzon)</t>
        </is>
      </c>
      <c r="E176" s="42" t="inlineStr">
        <is>
          <t>Tarlac</t>
        </is>
      </c>
      <c r="F176" s="42" t="inlineStr">
        <is>
          <t>Gerona</t>
        </is>
      </c>
      <c r="G176" s="42" t="inlineStr">
        <is>
          <t>Abagon</t>
        </is>
      </c>
      <c r="H176" s="43" t="n">
        <v>15.609722</v>
      </c>
      <c r="I176" s="43" t="n">
        <v>120.607778</v>
      </c>
      <c r="J176" s="44" t="inlineStr">
        <is>
          <t>U</t>
        </is>
      </c>
      <c r="K176" s="42" t="inlineStr">
        <is>
          <t>Class 1-3 / Urban</t>
        </is>
      </c>
      <c r="L176" s="23" t="n">
        <v>4678</v>
      </c>
      <c r="M176" s="24" t="n">
        <v>4.3</v>
      </c>
      <c r="N176" s="23">
        <f>ROUND(L176/M176, 0)</f>
        <v/>
      </c>
      <c r="O176" s="23">
        <f>ROUND(N176*'Methodology &amp; Assumptions'!$B$8, 0)</f>
        <v/>
      </c>
      <c r="P176" s="44" t="inlineStr">
        <is>
          <t>Band n50 (1.5 GHz, 60 MHz)</t>
        </is>
      </c>
      <c r="Q176" s="38">
        <f>ROUNDUP(O176/'Methodology &amp; Assumptions'!$B$9, 0)</f>
        <v/>
      </c>
      <c r="R176" s="39" t="n">
        <v>1</v>
      </c>
      <c r="S176" s="25" t="n">
        <v>1.26</v>
      </c>
      <c r="T176" s="25" t="n">
        <v>0.28</v>
      </c>
      <c r="U176" s="42" t="inlineStr">
        <is>
          <t>Tier 1B (Micro Drop, 1-3 km)</t>
        </is>
      </c>
      <c r="V176" s="24" t="n">
        <v>75.7</v>
      </c>
      <c r="W176" s="24" t="n">
        <v>100</v>
      </c>
      <c r="X176" s="24" t="n">
        <v>28</v>
      </c>
      <c r="Y176" s="45">
        <f>ROUND((V176*'Methodology &amp; Assumptions'!$B$6)+(W176*'Methodology &amp; Assumptions'!$B$5)+(X176*'Methodology &amp; Assumptions'!$B$7), 2)</f>
        <v/>
      </c>
    </row>
    <row r="177" ht="19" customHeight="1">
      <c r="A177" s="35" t="n">
        <v>173</v>
      </c>
      <c r="B177" s="35" t="n">
        <v>2173</v>
      </c>
      <c r="C177" s="36" t="inlineStr">
        <is>
          <t>1430300131</t>
        </is>
      </c>
      <c r="D177" s="36" t="inlineStr">
        <is>
          <t>Cordillera Administrative Region (CAR)</t>
        </is>
      </c>
      <c r="E177" s="36" t="inlineStr">
        <is>
          <t>Benguet</t>
        </is>
      </c>
      <c r="F177" s="36" t="inlineStr">
        <is>
          <t>City of Baguio</t>
        </is>
      </c>
      <c r="G177" s="36" t="inlineStr">
        <is>
          <t>BGH Compound</t>
        </is>
      </c>
      <c r="H177" s="37" t="n">
        <v>16.39956</v>
      </c>
      <c r="I177" s="37" t="n">
        <v>120.59975</v>
      </c>
      <c r="J177" s="8" t="inlineStr">
        <is>
          <t>R</t>
        </is>
      </c>
      <c r="K177" s="36" t="inlineStr">
        <is>
          <t>Class 1-3 / Urban</t>
        </is>
      </c>
      <c r="L177" s="18" t="n">
        <v>1860</v>
      </c>
      <c r="M177" s="20" t="n">
        <v>4.58</v>
      </c>
      <c r="N177" s="18">
        <f>ROUND(L177/M177, 0)</f>
        <v/>
      </c>
      <c r="O177" s="18">
        <f>ROUND(N177*'Methodology &amp; Assumptions'!$B$8, 0)</f>
        <v/>
      </c>
      <c r="P177" s="8" t="inlineStr">
        <is>
          <t>Band n50 (1.5 GHz, 60 MHz)</t>
        </is>
      </c>
      <c r="Q177" s="38">
        <f>ROUNDUP(O177/'Methodology &amp; Assumptions'!$B$9, 0)</f>
        <v/>
      </c>
      <c r="R177" s="39" t="n">
        <v>1</v>
      </c>
      <c r="S177" s="21" t="n">
        <v>0.4</v>
      </c>
      <c r="T177" s="21" t="n">
        <v>0.32</v>
      </c>
      <c r="U177" s="36" t="inlineStr">
        <is>
          <t>Tier 1A (Direct Coloc, &lt;1 km)</t>
        </is>
      </c>
      <c r="V177" s="20" t="n">
        <v>97.40000000000001</v>
      </c>
      <c r="W177" s="20" t="n">
        <v>52.5</v>
      </c>
      <c r="X177" s="20" t="n">
        <v>58</v>
      </c>
      <c r="Y177" s="40">
        <f>ROUND((V177*'Methodology &amp; Assumptions'!$B$6)+(W177*'Methodology &amp; Assumptions'!$B$5)+(X177*'Methodology &amp; Assumptions'!$B$7), 2)</f>
        <v/>
      </c>
    </row>
    <row r="178" ht="19" customHeight="1">
      <c r="A178" s="41" t="n">
        <v>174</v>
      </c>
      <c r="B178" s="41" t="n">
        <v>2174</v>
      </c>
      <c r="C178" s="42" t="inlineStr">
        <is>
          <t>1630400020</t>
        </is>
      </c>
      <c r="D178" s="42" t="inlineStr">
        <is>
          <t>Region XIII (Caraga)</t>
        </is>
      </c>
      <c r="E178" s="42" t="inlineStr">
        <is>
          <t>Agusan del Norte</t>
        </is>
      </c>
      <c r="F178" s="42" t="inlineStr">
        <is>
          <t>City of Butuan</t>
        </is>
      </c>
      <c r="G178" s="42" t="inlineStr">
        <is>
          <t>Bayanihan Pob.</t>
        </is>
      </c>
      <c r="H178" s="43" t="n">
        <v>8.940277</v>
      </c>
      <c r="I178" s="43" t="n">
        <v>125.524979</v>
      </c>
      <c r="J178" s="44" t="inlineStr">
        <is>
          <t>U</t>
        </is>
      </c>
      <c r="K178" s="42" t="inlineStr">
        <is>
          <t>Class 1-3 / Urban</t>
        </is>
      </c>
      <c r="L178" s="23" t="n">
        <v>5626</v>
      </c>
      <c r="M178" s="24" t="n">
        <v>4.63</v>
      </c>
      <c r="N178" s="23">
        <f>ROUND(L178/M178, 0)</f>
        <v/>
      </c>
      <c r="O178" s="23">
        <f>ROUND(N178*'Methodology &amp; Assumptions'!$B$8, 0)</f>
        <v/>
      </c>
      <c r="P178" s="44" t="inlineStr">
        <is>
          <t>Band n50 (1.5 GHz, 60 MHz)</t>
        </is>
      </c>
      <c r="Q178" s="38">
        <f>ROUNDUP(O178/'Methodology &amp; Assumptions'!$B$9, 0)</f>
        <v/>
      </c>
      <c r="R178" s="39" t="n">
        <v>1</v>
      </c>
      <c r="S178" s="25" t="n">
        <v>1.92</v>
      </c>
      <c r="T178" s="25" t="n">
        <v>0.39</v>
      </c>
      <c r="U178" s="42" t="inlineStr">
        <is>
          <t>Tier 1B (Micro Drop, 1-3 km)</t>
        </is>
      </c>
      <c r="V178" s="24" t="n">
        <v>62.8</v>
      </c>
      <c r="W178" s="24" t="n">
        <v>100</v>
      </c>
      <c r="X178" s="24" t="n">
        <v>43</v>
      </c>
      <c r="Y178" s="45">
        <f>ROUND((V178*'Methodology &amp; Assumptions'!$B$6)+(W178*'Methodology &amp; Assumptions'!$B$5)+(X178*'Methodology &amp; Assumptions'!$B$7), 2)</f>
        <v/>
      </c>
    </row>
    <row r="179" ht="19" customHeight="1">
      <c r="A179" s="35" t="n">
        <v>175</v>
      </c>
      <c r="B179" s="35" t="n">
        <v>2175</v>
      </c>
      <c r="C179" s="36" t="inlineStr">
        <is>
          <t>1401110010</t>
        </is>
      </c>
      <c r="D179" s="36" t="inlineStr">
        <is>
          <t>Cordillera Administrative Region (CAR)</t>
        </is>
      </c>
      <c r="E179" s="36" t="inlineStr">
        <is>
          <t>Benguet</t>
        </is>
      </c>
      <c r="F179" s="36" t="inlineStr">
        <is>
          <t>La Trinidad</t>
        </is>
      </c>
      <c r="G179" s="36" t="inlineStr">
        <is>
          <t>Lubas</t>
        </is>
      </c>
      <c r="H179" s="37" t="n">
        <v>16.4454</v>
      </c>
      <c r="I179" s="37" t="n">
        <v>120.60017</v>
      </c>
      <c r="J179" s="8" t="inlineStr">
        <is>
          <t>U</t>
        </is>
      </c>
      <c r="K179" s="36" t="inlineStr">
        <is>
          <t>Class 1-3 / Urban</t>
        </is>
      </c>
      <c r="L179" s="18" t="n">
        <v>7708</v>
      </c>
      <c r="M179" s="20" t="n">
        <v>4.58</v>
      </c>
      <c r="N179" s="18">
        <f>ROUND(L179/M179, 0)</f>
        <v/>
      </c>
      <c r="O179" s="18">
        <f>ROUND(N179*'Methodology &amp; Assumptions'!$B$8, 0)</f>
        <v/>
      </c>
      <c r="P179" s="8" t="inlineStr">
        <is>
          <t>Band n50 (1.5 GHz, 60 MHz)</t>
        </is>
      </c>
      <c r="Q179" s="38">
        <f>ROUNDUP(O179/'Methodology &amp; Assumptions'!$B$9, 0)</f>
        <v/>
      </c>
      <c r="R179" s="39" t="n">
        <v>1</v>
      </c>
      <c r="S179" s="21" t="n">
        <v>1.27</v>
      </c>
      <c r="T179" s="21" t="n">
        <v>1.06</v>
      </c>
      <c r="U179" s="36" t="inlineStr">
        <is>
          <t>Tier 1B (Micro Drop, 1-3 km)</t>
        </is>
      </c>
      <c r="V179" s="20" t="n">
        <v>75.59999999999999</v>
      </c>
      <c r="W179" s="20" t="n">
        <v>100</v>
      </c>
      <c r="X179" s="20" t="n">
        <v>28</v>
      </c>
      <c r="Y179" s="40">
        <f>ROUND((V179*'Methodology &amp; Assumptions'!$B$6)+(W179*'Methodology &amp; Assumptions'!$B$5)+(X179*'Methodology &amp; Assumptions'!$B$7), 2)</f>
        <v/>
      </c>
    </row>
    <row r="180" ht="19" customHeight="1">
      <c r="A180" s="41" t="n">
        <v>176</v>
      </c>
      <c r="B180" s="41" t="n">
        <v>2176</v>
      </c>
      <c r="C180" s="42" t="inlineStr">
        <is>
          <t>0603009004</t>
        </is>
      </c>
      <c r="D180" s="42" t="inlineStr">
        <is>
          <t>Region VI (Western Visayas)</t>
        </is>
      </c>
      <c r="E180" s="42" t="inlineStr">
        <is>
          <t>Iloilo</t>
        </is>
      </c>
      <c r="F180" s="42" t="inlineStr">
        <is>
          <t>Batad</t>
        </is>
      </c>
      <c r="G180" s="42" t="inlineStr">
        <is>
          <t>Batad Viejo</t>
        </is>
      </c>
      <c r="H180" s="43" t="n">
        <v>11.422832</v>
      </c>
      <c r="I180" s="43" t="n">
        <v>123.105049</v>
      </c>
      <c r="J180" s="44" t="inlineStr">
        <is>
          <t>R</t>
        </is>
      </c>
      <c r="K180" s="42" t="inlineStr">
        <is>
          <t>4th</t>
        </is>
      </c>
      <c r="L180" s="23" t="n">
        <v>1189</v>
      </c>
      <c r="M180" s="24" t="n">
        <v>4.13</v>
      </c>
      <c r="N180" s="23">
        <f>ROUND(L180/M180, 0)</f>
        <v/>
      </c>
      <c r="O180" s="23">
        <f>ROUND(N180*'Methodology &amp; Assumptions'!$B$8, 0)</f>
        <v/>
      </c>
      <c r="P180" s="44" t="inlineStr">
        <is>
          <t>Band n50 (1.5 GHz, 60 MHz)</t>
        </is>
      </c>
      <c r="Q180" s="38">
        <f>ROUNDUP(O180/'Methodology &amp; Assumptions'!$B$9, 0)</f>
        <v/>
      </c>
      <c r="R180" s="39" t="n">
        <v>1</v>
      </c>
      <c r="S180" s="25" t="n">
        <v>0.53</v>
      </c>
      <c r="T180" s="25" t="n">
        <v>0.5</v>
      </c>
      <c r="U180" s="42" t="inlineStr">
        <is>
          <t>Tier 1A (Direct Coloc, &lt;1 km)</t>
        </is>
      </c>
      <c r="V180" s="24" t="n">
        <v>93.90000000000001</v>
      </c>
      <c r="W180" s="24" t="n">
        <v>46.9</v>
      </c>
      <c r="X180" s="24" t="n">
        <v>68.5</v>
      </c>
      <c r="Y180" s="45">
        <f>ROUND((V180*'Methodology &amp; Assumptions'!$B$6)+(W180*'Methodology &amp; Assumptions'!$B$5)+(X180*'Methodology &amp; Assumptions'!$B$7), 2)</f>
        <v/>
      </c>
    </row>
    <row r="181" ht="19" customHeight="1">
      <c r="A181" s="35" t="n">
        <v>177</v>
      </c>
      <c r="B181" s="35" t="n">
        <v>2177</v>
      </c>
      <c r="C181" s="36" t="inlineStr">
        <is>
          <t>0304926021</t>
        </is>
      </c>
      <c r="D181" s="36" t="inlineStr">
        <is>
          <t>Region III (Central Luzon)</t>
        </is>
      </c>
      <c r="E181" s="36" t="inlineStr">
        <is>
          <t>Nueva Ecija</t>
        </is>
      </c>
      <c r="F181" s="36" t="inlineStr">
        <is>
          <t>San Jose City</t>
        </is>
      </c>
      <c r="G181" s="36" t="inlineStr">
        <is>
          <t>Canuto Ramos Pob.</t>
        </is>
      </c>
      <c r="H181" s="37" t="n">
        <v>15.787933</v>
      </c>
      <c r="I181" s="37" t="n">
        <v>120.989515</v>
      </c>
      <c r="J181" s="8" t="inlineStr">
        <is>
          <t>R</t>
        </is>
      </c>
      <c r="K181" s="36" t="inlineStr">
        <is>
          <t>Class 1-3 / Urban</t>
        </is>
      </c>
      <c r="L181" s="18" t="n">
        <v>2069</v>
      </c>
      <c r="M181" s="20" t="n">
        <v>4.32</v>
      </c>
      <c r="N181" s="18">
        <f>ROUND(L181/M181, 0)</f>
        <v/>
      </c>
      <c r="O181" s="18">
        <f>ROUND(N181*'Methodology &amp; Assumptions'!$B$8, 0)</f>
        <v/>
      </c>
      <c r="P181" s="8" t="inlineStr">
        <is>
          <t>Band n50 (1.5 GHz, 60 MHz)</t>
        </is>
      </c>
      <c r="Q181" s="38">
        <f>ROUNDUP(O181/'Methodology &amp; Assumptions'!$B$9, 0)</f>
        <v/>
      </c>
      <c r="R181" s="39" t="n">
        <v>1</v>
      </c>
      <c r="S181" s="21" t="n">
        <v>0.77</v>
      </c>
      <c r="T181" s="21" t="n">
        <v>0.35</v>
      </c>
      <c r="U181" s="36" t="inlineStr">
        <is>
          <t>Tier 1A (Direct Coloc, &lt;1 km)</t>
        </is>
      </c>
      <c r="V181" s="20" t="n">
        <v>87.5</v>
      </c>
      <c r="W181" s="20" t="n">
        <v>62.4</v>
      </c>
      <c r="X181" s="20" t="n">
        <v>58</v>
      </c>
      <c r="Y181" s="40">
        <f>ROUND((V181*'Methodology &amp; Assumptions'!$B$6)+(W181*'Methodology &amp; Assumptions'!$B$5)+(X181*'Methodology &amp; Assumptions'!$B$7), 2)</f>
        <v/>
      </c>
    </row>
    <row r="182" ht="19" customHeight="1">
      <c r="A182" s="41" t="n">
        <v>178</v>
      </c>
      <c r="B182" s="41" t="n">
        <v>2178</v>
      </c>
      <c r="C182" s="42" t="inlineStr">
        <is>
          <t>0402116008</t>
        </is>
      </c>
      <c r="D182" s="42" t="inlineStr">
        <is>
          <t>Region IV-A (CALABARZON)</t>
        </is>
      </c>
      <c r="E182" s="42" t="inlineStr">
        <is>
          <t>Cavite</t>
        </is>
      </c>
      <c r="F182" s="42" t="inlineStr">
        <is>
          <t>Noveleta</t>
        </is>
      </c>
      <c r="G182" s="42" t="inlineStr">
        <is>
          <t>San Jose I</t>
        </is>
      </c>
      <c r="H182" s="43" t="n">
        <v>14.428822</v>
      </c>
      <c r="I182" s="43" t="n">
        <v>120.883903</v>
      </c>
      <c r="J182" s="44" t="inlineStr">
        <is>
          <t>R</t>
        </is>
      </c>
      <c r="K182" s="42" t="inlineStr">
        <is>
          <t>Class 1-3 / Urban</t>
        </is>
      </c>
      <c r="L182" s="23" t="n">
        <v>1455</v>
      </c>
      <c r="M182" s="24" t="n">
        <v>4.49</v>
      </c>
      <c r="N182" s="23">
        <f>ROUND(L182/M182, 0)</f>
        <v/>
      </c>
      <c r="O182" s="23">
        <f>ROUND(N182*'Methodology &amp; Assumptions'!$B$8, 0)</f>
        <v/>
      </c>
      <c r="P182" s="44" t="inlineStr">
        <is>
          <t>Band n50 (1.5 GHz, 60 MHz)</t>
        </is>
      </c>
      <c r="Q182" s="38">
        <f>ROUNDUP(O182/'Methodology &amp; Assumptions'!$B$9, 0)</f>
        <v/>
      </c>
      <c r="R182" s="39" t="n">
        <v>1</v>
      </c>
      <c r="S182" s="25" t="n">
        <v>0.12</v>
      </c>
      <c r="T182" s="25" t="n">
        <v>0.16</v>
      </c>
      <c r="U182" s="42" t="inlineStr">
        <is>
          <t>Tier 1A (Direct Coloc, &lt;1 km)</t>
        </is>
      </c>
      <c r="V182" s="24" t="n">
        <v>100</v>
      </c>
      <c r="W182" s="24" t="n">
        <v>49.9</v>
      </c>
      <c r="X182" s="24" t="n">
        <v>58</v>
      </c>
      <c r="Y182" s="45">
        <f>ROUND((V182*'Methodology &amp; Assumptions'!$B$6)+(W182*'Methodology &amp; Assumptions'!$B$5)+(X182*'Methodology &amp; Assumptions'!$B$7), 2)</f>
        <v/>
      </c>
    </row>
    <row r="183" ht="19" customHeight="1">
      <c r="A183" s="35" t="n">
        <v>179</v>
      </c>
      <c r="B183" s="35" t="n">
        <v>2179</v>
      </c>
      <c r="C183" s="36" t="inlineStr">
        <is>
          <t>0603017048</t>
        </is>
      </c>
      <c r="D183" s="36" t="inlineStr">
        <is>
          <t>Region VI (Western Visayas)</t>
        </is>
      </c>
      <c r="E183" s="36" t="inlineStr">
        <is>
          <t>Iloilo</t>
        </is>
      </c>
      <c r="F183" s="36" t="inlineStr">
        <is>
          <t>Dueñas</t>
        </is>
      </c>
      <c r="G183" s="36" t="inlineStr">
        <is>
          <t>Poblacion A</t>
        </is>
      </c>
      <c r="H183" s="37" t="n">
        <v>11.065979</v>
      </c>
      <c r="I183" s="37" t="n">
        <v>122.618536</v>
      </c>
      <c r="J183" s="8" t="inlineStr">
        <is>
          <t>R</t>
        </is>
      </c>
      <c r="K183" s="36" t="inlineStr">
        <is>
          <t>3rd</t>
        </is>
      </c>
      <c r="L183" s="18" t="n">
        <v>1411</v>
      </c>
      <c r="M183" s="20" t="n">
        <v>4.38</v>
      </c>
      <c r="N183" s="18">
        <f>ROUND(L183/M183, 0)</f>
        <v/>
      </c>
      <c r="O183" s="18">
        <f>ROUND(N183*'Methodology &amp; Assumptions'!$B$8, 0)</f>
        <v/>
      </c>
      <c r="P183" s="8" t="inlineStr">
        <is>
          <t>Band n50 (1.5 GHz, 60 MHz)</t>
        </is>
      </c>
      <c r="Q183" s="38">
        <f>ROUNDUP(O183/'Methodology &amp; Assumptions'!$B$9, 0)</f>
        <v/>
      </c>
      <c r="R183" s="39" t="n">
        <v>1</v>
      </c>
      <c r="S183" s="21" t="n">
        <v>0.16</v>
      </c>
      <c r="T183" s="21" t="n">
        <v>0.71</v>
      </c>
      <c r="U183" s="36" t="inlineStr">
        <is>
          <t>Tier 1A (Direct Coloc, &lt;1 km)</t>
        </is>
      </c>
      <c r="V183" s="20" t="n">
        <v>100</v>
      </c>
      <c r="W183" s="20" t="n">
        <v>49.9</v>
      </c>
      <c r="X183" s="20" t="n">
        <v>58</v>
      </c>
      <c r="Y183" s="40">
        <f>ROUND((V183*'Methodology &amp; Assumptions'!$B$6)+(W183*'Methodology &amp; Assumptions'!$B$5)+(X183*'Methodology &amp; Assumptions'!$B$7), 2)</f>
        <v/>
      </c>
    </row>
    <row r="184" ht="19" customHeight="1">
      <c r="A184" s="41" t="n">
        <v>180</v>
      </c>
      <c r="B184" s="41" t="n">
        <v>2180</v>
      </c>
      <c r="C184" s="42" t="inlineStr">
        <is>
          <t>0402115005</t>
        </is>
      </c>
      <c r="D184" s="42" t="inlineStr">
        <is>
          <t>Region IV-A (CALABARZON)</t>
        </is>
      </c>
      <c r="E184" s="42" t="inlineStr">
        <is>
          <t>Cavite</t>
        </is>
      </c>
      <c r="F184" s="42" t="inlineStr">
        <is>
          <t>Naic</t>
        </is>
      </c>
      <c r="G184" s="42" t="inlineStr">
        <is>
          <t>Bucana Sasahan</t>
        </is>
      </c>
      <c r="H184" s="43" t="n">
        <v>14.323022</v>
      </c>
      <c r="I184" s="43" t="n">
        <v>120.759982</v>
      </c>
      <c r="J184" s="44" t="inlineStr">
        <is>
          <t>U</t>
        </is>
      </c>
      <c r="K184" s="42" t="inlineStr">
        <is>
          <t>Class 1-3 / Urban</t>
        </is>
      </c>
      <c r="L184" s="23" t="n">
        <v>5960</v>
      </c>
      <c r="M184" s="24" t="n">
        <v>4.49</v>
      </c>
      <c r="N184" s="23">
        <f>ROUND(L184/M184, 0)</f>
        <v/>
      </c>
      <c r="O184" s="23">
        <f>ROUND(N184*'Methodology &amp; Assumptions'!$B$8, 0)</f>
        <v/>
      </c>
      <c r="P184" s="44" t="inlineStr">
        <is>
          <t>Band n50 (1.5 GHz, 60 MHz)</t>
        </is>
      </c>
      <c r="Q184" s="38">
        <f>ROUNDUP(O184/'Methodology &amp; Assumptions'!$B$9, 0)</f>
        <v/>
      </c>
      <c r="R184" s="39" t="n">
        <v>1</v>
      </c>
      <c r="S184" s="25" t="n">
        <v>1.27</v>
      </c>
      <c r="T184" s="25" t="n">
        <v>1.26</v>
      </c>
      <c r="U184" s="42" t="inlineStr">
        <is>
          <t>Tier 1B (Micro Drop, 1-3 km)</t>
        </is>
      </c>
      <c r="V184" s="24" t="n">
        <v>75.59999999999999</v>
      </c>
      <c r="W184" s="24" t="n">
        <v>100</v>
      </c>
      <c r="X184" s="24" t="n">
        <v>28</v>
      </c>
      <c r="Y184" s="45">
        <f>ROUND((V184*'Methodology &amp; Assumptions'!$B$6)+(W184*'Methodology &amp; Assumptions'!$B$5)+(X184*'Methodology &amp; Assumptions'!$B$7), 2)</f>
        <v/>
      </c>
    </row>
    <row r="185" ht="19" customHeight="1">
      <c r="A185" s="35" t="n">
        <v>181</v>
      </c>
      <c r="B185" s="35" t="n">
        <v>2181</v>
      </c>
      <c r="C185" s="36" t="inlineStr">
        <is>
          <t>0301420043</t>
        </is>
      </c>
      <c r="D185" s="36" t="inlineStr">
        <is>
          <t>Region III (Central Luzon)</t>
        </is>
      </c>
      <c r="E185" s="36" t="inlineStr">
        <is>
          <t>Bulacan</t>
        </is>
      </c>
      <c r="F185" s="36" t="inlineStr">
        <is>
          <t>City of San Jose Del Monte</t>
        </is>
      </c>
      <c r="G185" s="36" t="inlineStr">
        <is>
          <t>Poblacion I</t>
        </is>
      </c>
      <c r="H185" s="37" t="n">
        <v>14.808496</v>
      </c>
      <c r="I185" s="37" t="n">
        <v>121.045823</v>
      </c>
      <c r="J185" s="8" t="inlineStr">
        <is>
          <t>U</t>
        </is>
      </c>
      <c r="K185" s="36" t="inlineStr">
        <is>
          <t>Class 1-3 / Urban</t>
        </is>
      </c>
      <c r="L185" s="18" t="n">
        <v>5617</v>
      </c>
      <c r="M185" s="20" t="n">
        <v>4.1</v>
      </c>
      <c r="N185" s="18">
        <f>ROUND(L185/M185, 0)</f>
        <v/>
      </c>
      <c r="O185" s="18">
        <f>ROUND(N185*'Methodology &amp; Assumptions'!$B$8, 0)</f>
        <v/>
      </c>
      <c r="P185" s="8" t="inlineStr">
        <is>
          <t>Band n50 (1.5 GHz, 60 MHz)</t>
        </is>
      </c>
      <c r="Q185" s="38">
        <f>ROUNDUP(O185/'Methodology &amp; Assumptions'!$B$9, 0)</f>
        <v/>
      </c>
      <c r="R185" s="39" t="n">
        <v>1</v>
      </c>
      <c r="S185" s="21" t="n">
        <v>1.27</v>
      </c>
      <c r="T185" s="21" t="n">
        <v>0.3</v>
      </c>
      <c r="U185" s="36" t="inlineStr">
        <is>
          <t>Tier 1B (Micro Drop, 1-3 km)</t>
        </is>
      </c>
      <c r="V185" s="20" t="n">
        <v>75.59999999999999</v>
      </c>
      <c r="W185" s="20" t="n">
        <v>100</v>
      </c>
      <c r="X185" s="20" t="n">
        <v>28</v>
      </c>
      <c r="Y185" s="40">
        <f>ROUND((V185*'Methodology &amp; Assumptions'!$B$6)+(W185*'Methodology &amp; Assumptions'!$B$5)+(X185*'Methodology &amp; Assumptions'!$B$7), 2)</f>
        <v/>
      </c>
    </row>
    <row r="186" ht="19" customHeight="1">
      <c r="A186" s="41" t="n">
        <v>182</v>
      </c>
      <c r="B186" s="41" t="n">
        <v>2182</v>
      </c>
      <c r="C186" s="42" t="inlineStr">
        <is>
          <t>0501716021</t>
        </is>
      </c>
      <c r="D186" s="42" t="inlineStr">
        <is>
          <t>Region V (Bicol Region)</t>
        </is>
      </c>
      <c r="E186" s="42" t="inlineStr">
        <is>
          <t>Camarines Sur</t>
        </is>
      </c>
      <c r="F186" s="42" t="inlineStr">
        <is>
          <t>City of Iriga</t>
        </is>
      </c>
      <c r="G186" s="42" t="inlineStr">
        <is>
          <t>San Nicolas</t>
        </is>
      </c>
      <c r="H186" s="43" t="n">
        <v>13.431864</v>
      </c>
      <c r="I186" s="43" t="n">
        <v>123.413863</v>
      </c>
      <c r="J186" s="44" t="inlineStr">
        <is>
          <t>U</t>
        </is>
      </c>
      <c r="K186" s="42" t="inlineStr">
        <is>
          <t>Class 1-3 / Urban</t>
        </is>
      </c>
      <c r="L186" s="23" t="n">
        <v>11665</v>
      </c>
      <c r="M186" s="24" t="n">
        <v>4.9</v>
      </c>
      <c r="N186" s="23">
        <f>ROUND(L186/M186, 0)</f>
        <v/>
      </c>
      <c r="O186" s="23">
        <f>ROUND(N186*'Methodology &amp; Assumptions'!$B$8, 0)</f>
        <v/>
      </c>
      <c r="P186" s="44" t="inlineStr">
        <is>
          <t>Band n50 (1.5 GHz, 60 MHz)</t>
        </is>
      </c>
      <c r="Q186" s="38">
        <f>ROUNDUP(O186/'Methodology &amp; Assumptions'!$B$9, 0)</f>
        <v/>
      </c>
      <c r="R186" s="39" t="n">
        <v>1</v>
      </c>
      <c r="S186" s="25" t="n">
        <v>1.27</v>
      </c>
      <c r="T186" s="25" t="n">
        <v>0.36</v>
      </c>
      <c r="U186" s="42" t="inlineStr">
        <is>
          <t>Tier 1B (Micro Drop, 1-3 km)</t>
        </is>
      </c>
      <c r="V186" s="24" t="n">
        <v>75.5</v>
      </c>
      <c r="W186" s="24" t="n">
        <v>100</v>
      </c>
      <c r="X186" s="24" t="n">
        <v>28</v>
      </c>
      <c r="Y186" s="45">
        <f>ROUND((V186*'Methodology &amp; Assumptions'!$B$6)+(W186*'Methodology &amp; Assumptions'!$B$5)+(X186*'Methodology &amp; Assumptions'!$B$7), 2)</f>
        <v/>
      </c>
    </row>
    <row r="187" ht="19" customHeight="1">
      <c r="A187" s="35" t="n">
        <v>183</v>
      </c>
      <c r="B187" s="35" t="n">
        <v>2183</v>
      </c>
      <c r="C187" s="36" t="inlineStr">
        <is>
          <t>0405814004</t>
        </is>
      </c>
      <c r="D187" s="36" t="inlineStr">
        <is>
          <t>Region IV-A (CALABARZON)</t>
        </is>
      </c>
      <c r="E187" s="36" t="inlineStr">
        <is>
          <t>Rizal</t>
        </is>
      </c>
      <c r="F187" s="36" t="inlineStr">
        <is>
          <t>Teresa</t>
        </is>
      </c>
      <c r="G187" s="36" t="inlineStr">
        <is>
          <t>Dulumbayan</t>
        </is>
      </c>
      <c r="H187" s="37" t="n">
        <v>14.55772</v>
      </c>
      <c r="I187" s="37" t="n">
        <v>121.2051</v>
      </c>
      <c r="J187" s="8" t="inlineStr">
        <is>
          <t>U</t>
        </is>
      </c>
      <c r="K187" s="36" t="inlineStr">
        <is>
          <t>Class 1-3 / Urban</t>
        </is>
      </c>
      <c r="L187" s="18" t="n">
        <v>9295</v>
      </c>
      <c r="M187" s="20" t="n">
        <v>4.39</v>
      </c>
      <c r="N187" s="18">
        <f>ROUND(L187/M187, 0)</f>
        <v/>
      </c>
      <c r="O187" s="18">
        <f>ROUND(N187*'Methodology &amp; Assumptions'!$B$8, 0)</f>
        <v/>
      </c>
      <c r="P187" s="8" t="inlineStr">
        <is>
          <t>Band n50 (1.5 GHz, 60 MHz)</t>
        </is>
      </c>
      <c r="Q187" s="38">
        <f>ROUNDUP(O187/'Methodology &amp; Assumptions'!$B$9, 0)</f>
        <v/>
      </c>
      <c r="R187" s="39" t="n">
        <v>1</v>
      </c>
      <c r="S187" s="21" t="n">
        <v>1.27</v>
      </c>
      <c r="T187" s="21" t="n">
        <v>0.53</v>
      </c>
      <c r="U187" s="36" t="inlineStr">
        <is>
          <t>Tier 1B (Micro Drop, 1-3 km)</t>
        </is>
      </c>
      <c r="V187" s="20" t="n">
        <v>75.5</v>
      </c>
      <c r="W187" s="20" t="n">
        <v>100</v>
      </c>
      <c r="X187" s="20" t="n">
        <v>28</v>
      </c>
      <c r="Y187" s="40">
        <f>ROUND((V187*'Methodology &amp; Assumptions'!$B$6)+(W187*'Methodology &amp; Assumptions'!$B$5)+(X187*'Methodology &amp; Assumptions'!$B$7), 2)</f>
        <v/>
      </c>
    </row>
    <row r="188" ht="19" customHeight="1">
      <c r="A188" s="41" t="n">
        <v>184</v>
      </c>
      <c r="B188" s="41" t="n">
        <v>2184</v>
      </c>
      <c r="C188" s="42" t="inlineStr">
        <is>
          <t>0405648016</t>
        </is>
      </c>
      <c r="D188" s="42" t="inlineStr">
        <is>
          <t>Region IV-A (CALABARZON)</t>
        </is>
      </c>
      <c r="E188" s="42" t="inlineStr">
        <is>
          <t>Quezon</t>
        </is>
      </c>
      <c r="F188" s="42" t="inlineStr">
        <is>
          <t>Tiaong</t>
        </is>
      </c>
      <c r="G188" s="42" t="inlineStr">
        <is>
          <t>Lumingon</t>
        </is>
      </c>
      <c r="H188" s="43" t="n">
        <v>13.957161</v>
      </c>
      <c r="I188" s="43" t="n">
        <v>121.330443</v>
      </c>
      <c r="J188" s="44" t="inlineStr">
        <is>
          <t>U</t>
        </is>
      </c>
      <c r="K188" s="42" t="inlineStr">
        <is>
          <t>Class 1-3 / Urban</t>
        </is>
      </c>
      <c r="L188" s="23" t="n">
        <v>5144</v>
      </c>
      <c r="M188" s="24" t="n">
        <v>4.46</v>
      </c>
      <c r="N188" s="23">
        <f>ROUND(L188/M188, 0)</f>
        <v/>
      </c>
      <c r="O188" s="23">
        <f>ROUND(N188*'Methodology &amp; Assumptions'!$B$8, 0)</f>
        <v/>
      </c>
      <c r="P188" s="44" t="inlineStr">
        <is>
          <t>Band n50 (1.5 GHz, 60 MHz)</t>
        </is>
      </c>
      <c r="Q188" s="38">
        <f>ROUNDUP(O188/'Methodology &amp; Assumptions'!$B$9, 0)</f>
        <v/>
      </c>
      <c r="R188" s="39" t="n">
        <v>1</v>
      </c>
      <c r="S188" s="25" t="n">
        <v>1.27</v>
      </c>
      <c r="T188" s="25" t="n">
        <v>0.18</v>
      </c>
      <c r="U188" s="42" t="inlineStr">
        <is>
          <t>Tier 1B (Micro Drop, 1-3 km)</t>
        </is>
      </c>
      <c r="V188" s="24" t="n">
        <v>75.5</v>
      </c>
      <c r="W188" s="24" t="n">
        <v>100</v>
      </c>
      <c r="X188" s="24" t="n">
        <v>28</v>
      </c>
      <c r="Y188" s="45">
        <f>ROUND((V188*'Methodology &amp; Assumptions'!$B$6)+(W188*'Methodology &amp; Assumptions'!$B$5)+(X188*'Methodology &amp; Assumptions'!$B$7), 2)</f>
        <v/>
      </c>
    </row>
    <row r="189" ht="19" customHeight="1">
      <c r="A189" s="35" t="n">
        <v>185</v>
      </c>
      <c r="B189" s="35" t="n">
        <v>2185</v>
      </c>
      <c r="C189" s="36" t="inlineStr">
        <is>
          <t>0803714015</t>
        </is>
      </c>
      <c r="D189" s="36" t="inlineStr">
        <is>
          <t>Region VIII (Eastern Visayas)</t>
        </is>
      </c>
      <c r="E189" s="36" t="inlineStr">
        <is>
          <t>Leyte</t>
        </is>
      </c>
      <c r="F189" s="36" t="inlineStr">
        <is>
          <t>Capoocan</t>
        </is>
      </c>
      <c r="G189" s="36" t="inlineStr">
        <is>
          <t>Poblacion Zone I</t>
        </is>
      </c>
      <c r="H189" s="37" t="n">
        <v>11.293897</v>
      </c>
      <c r="I189" s="37" t="n">
        <v>124.644108</v>
      </c>
      <c r="J189" s="8" t="inlineStr">
        <is>
          <t>R</t>
        </is>
      </c>
      <c r="K189" s="36" t="inlineStr">
        <is>
          <t>2nd</t>
        </is>
      </c>
      <c r="L189" s="18" t="n">
        <v>2386</v>
      </c>
      <c r="M189" s="20" t="n">
        <v>4.58</v>
      </c>
      <c r="N189" s="18">
        <f>ROUND(L189/M189, 0)</f>
        <v/>
      </c>
      <c r="O189" s="18">
        <f>ROUND(N189*'Methodology &amp; Assumptions'!$B$8, 0)</f>
        <v/>
      </c>
      <c r="P189" s="8" t="inlineStr">
        <is>
          <t>Band n50 (1.5 GHz, 60 MHz)</t>
        </is>
      </c>
      <c r="Q189" s="38">
        <f>ROUNDUP(O189/'Methodology &amp; Assumptions'!$B$9, 0)</f>
        <v/>
      </c>
      <c r="R189" s="39" t="n">
        <v>1</v>
      </c>
      <c r="S189" s="21" t="n">
        <v>0.9</v>
      </c>
      <c r="T189" s="21" t="n">
        <v>0.07000000000000001</v>
      </c>
      <c r="U189" s="36" t="inlineStr">
        <is>
          <t>Tier 1A (Direct Coloc, &lt;1 km)</t>
        </is>
      </c>
      <c r="V189" s="20" t="n">
        <v>84.09999999999999</v>
      </c>
      <c r="W189" s="20" t="n">
        <v>65.59999999999999</v>
      </c>
      <c r="X189" s="20" t="n">
        <v>58</v>
      </c>
      <c r="Y189" s="40">
        <f>ROUND((V189*'Methodology &amp; Assumptions'!$B$6)+(W189*'Methodology &amp; Assumptions'!$B$5)+(X189*'Methodology &amp; Assumptions'!$B$7), 2)</f>
        <v/>
      </c>
    </row>
    <row r="190" ht="19" customHeight="1">
      <c r="A190" s="41" t="n">
        <v>186</v>
      </c>
      <c r="B190" s="41" t="n">
        <v>2186</v>
      </c>
      <c r="C190" s="42" t="inlineStr">
        <is>
          <t>0304916017</t>
        </is>
      </c>
      <c r="D190" s="42" t="inlineStr">
        <is>
          <t>Region III (Central Luzon)</t>
        </is>
      </c>
      <c r="E190" s="42" t="inlineStr">
        <is>
          <t>Nueva Ecija</t>
        </is>
      </c>
      <c r="F190" s="42" t="inlineStr">
        <is>
          <t>Lupao</t>
        </is>
      </c>
      <c r="G190" s="42" t="inlineStr">
        <is>
          <t>Namulandayan</t>
        </is>
      </c>
      <c r="H190" s="43" t="n">
        <v>15.882608</v>
      </c>
      <c r="I190" s="43" t="n">
        <v>120.90465</v>
      </c>
      <c r="J190" s="44" t="inlineStr">
        <is>
          <t>R</t>
        </is>
      </c>
      <c r="K190" s="42" t="inlineStr">
        <is>
          <t>Class 1-3 / Urban</t>
        </is>
      </c>
      <c r="L190" s="23" t="n">
        <v>2058</v>
      </c>
      <c r="M190" s="24" t="n">
        <v>4.32</v>
      </c>
      <c r="N190" s="23">
        <f>ROUND(L190/M190, 0)</f>
        <v/>
      </c>
      <c r="O190" s="23">
        <f>ROUND(N190*'Methodology &amp; Assumptions'!$B$8, 0)</f>
        <v/>
      </c>
      <c r="P190" s="44" t="inlineStr">
        <is>
          <t>Band n50 (1.5 GHz, 60 MHz)</t>
        </is>
      </c>
      <c r="Q190" s="38">
        <f>ROUNDUP(O190/'Methodology &amp; Assumptions'!$B$9, 0)</f>
        <v/>
      </c>
      <c r="R190" s="39" t="n">
        <v>1</v>
      </c>
      <c r="S190" s="25" t="n">
        <v>0.76</v>
      </c>
      <c r="T190" s="25" t="n">
        <v>1.12</v>
      </c>
      <c r="U190" s="42" t="inlineStr">
        <is>
          <t>Tier 1A (Direct Coloc, &lt;1 km)</t>
        </is>
      </c>
      <c r="V190" s="24" t="n">
        <v>87.59999999999999</v>
      </c>
      <c r="W190" s="24" t="n">
        <v>62.1</v>
      </c>
      <c r="X190" s="24" t="n">
        <v>58</v>
      </c>
      <c r="Y190" s="45">
        <f>ROUND((V190*'Methodology &amp; Assumptions'!$B$6)+(W190*'Methodology &amp; Assumptions'!$B$5)+(X190*'Methodology &amp; Assumptions'!$B$7), 2)</f>
        <v/>
      </c>
    </row>
    <row r="191" ht="19" customHeight="1">
      <c r="A191" s="35" t="n">
        <v>187</v>
      </c>
      <c r="B191" s="35" t="n">
        <v>2187</v>
      </c>
      <c r="C191" s="36" t="inlineStr">
        <is>
          <t>0803740050</t>
        </is>
      </c>
      <c r="D191" s="36" t="inlineStr">
        <is>
          <t>Region VIII (Eastern Visayas)</t>
        </is>
      </c>
      <c r="E191" s="36" t="inlineStr">
        <is>
          <t>Leyte</t>
        </is>
      </c>
      <c r="F191" s="36" t="inlineStr">
        <is>
          <t>Palompon</t>
        </is>
      </c>
      <c r="G191" s="36" t="inlineStr">
        <is>
          <t>Pinagdait Pob.</t>
        </is>
      </c>
      <c r="H191" s="37" t="n">
        <v>11.0479</v>
      </c>
      <c r="I191" s="37" t="n">
        <v>124.388995</v>
      </c>
      <c r="J191" s="8" t="inlineStr">
        <is>
          <t>R</t>
        </is>
      </c>
      <c r="K191" s="36" t="inlineStr">
        <is>
          <t>Class 1-3 / Urban</t>
        </is>
      </c>
      <c r="L191" s="18" t="n">
        <v>1687</v>
      </c>
      <c r="M191" s="20" t="n">
        <v>4.24</v>
      </c>
      <c r="N191" s="18">
        <f>ROUND(L191/M191, 0)</f>
        <v/>
      </c>
      <c r="O191" s="18">
        <f>ROUND(N191*'Methodology &amp; Assumptions'!$B$8, 0)</f>
        <v/>
      </c>
      <c r="P191" s="8" t="inlineStr">
        <is>
          <t>Band n50 (1.5 GHz, 60 MHz)</t>
        </is>
      </c>
      <c r="Q191" s="38">
        <f>ROUNDUP(O191/'Methodology &amp; Assumptions'!$B$9, 0)</f>
        <v/>
      </c>
      <c r="R191" s="39" t="n">
        <v>1</v>
      </c>
      <c r="S191" s="21" t="n">
        <v>0.52</v>
      </c>
      <c r="T191" s="21" t="n">
        <v>0.14</v>
      </c>
      <c r="U191" s="36" t="inlineStr">
        <is>
          <t>Tier 1A (Direct Coloc, &lt;1 km)</t>
        </is>
      </c>
      <c r="V191" s="20" t="n">
        <v>94</v>
      </c>
      <c r="W191" s="20" t="n">
        <v>55.7</v>
      </c>
      <c r="X191" s="20" t="n">
        <v>58</v>
      </c>
      <c r="Y191" s="40">
        <f>ROUND((V191*'Methodology &amp; Assumptions'!$B$6)+(W191*'Methodology &amp; Assumptions'!$B$5)+(X191*'Methodology &amp; Assumptions'!$B$7), 2)</f>
        <v/>
      </c>
    </row>
    <row r="192" ht="19" customHeight="1">
      <c r="A192" s="41" t="n">
        <v>188</v>
      </c>
      <c r="B192" s="41" t="n">
        <v>2188</v>
      </c>
      <c r="C192" s="42" t="inlineStr">
        <is>
          <t>0403424027</t>
        </is>
      </c>
      <c r="D192" s="42" t="inlineStr">
        <is>
          <t>Region IV-A (CALABARZON)</t>
        </is>
      </c>
      <c r="E192" s="42" t="inlineStr">
        <is>
          <t>Laguna</t>
        </is>
      </c>
      <c r="F192" s="42" t="inlineStr">
        <is>
          <t>City of San Pablo</t>
        </is>
      </c>
      <c r="G192" s="42" t="inlineStr">
        <is>
          <t>Barangay VI-D</t>
        </is>
      </c>
      <c r="H192" s="43" t="n">
        <v>14.0789</v>
      </c>
      <c r="I192" s="43" t="n">
        <v>121.319829</v>
      </c>
      <c r="J192" s="44" t="inlineStr">
        <is>
          <t>R</t>
        </is>
      </c>
      <c r="K192" s="42" t="inlineStr">
        <is>
          <t>Class 1-3 / Urban</t>
        </is>
      </c>
      <c r="L192" s="23" t="n">
        <v>1531</v>
      </c>
      <c r="M192" s="24" t="n">
        <v>4.2</v>
      </c>
      <c r="N192" s="23">
        <f>ROUND(L192/M192, 0)</f>
        <v/>
      </c>
      <c r="O192" s="23">
        <f>ROUND(N192*'Methodology &amp; Assumptions'!$B$8, 0)</f>
        <v/>
      </c>
      <c r="P192" s="44" t="inlineStr">
        <is>
          <t>Band n50 (1.5 GHz, 60 MHz)</t>
        </is>
      </c>
      <c r="Q192" s="38">
        <f>ROUNDUP(O192/'Methodology &amp; Assumptions'!$B$9, 0)</f>
        <v/>
      </c>
      <c r="R192" s="39" t="n">
        <v>1</v>
      </c>
      <c r="S192" s="25" t="n">
        <v>0.44</v>
      </c>
      <c r="T192" s="25" t="n">
        <v>0.42</v>
      </c>
      <c r="U192" s="42" t="inlineStr">
        <is>
          <t>Tier 1A (Direct Coloc, &lt;1 km)</t>
        </is>
      </c>
      <c r="V192" s="24" t="n">
        <v>96.40000000000001</v>
      </c>
      <c r="W192" s="24" t="n">
        <v>53.3</v>
      </c>
      <c r="X192" s="24" t="n">
        <v>58</v>
      </c>
      <c r="Y192" s="45">
        <f>ROUND((V192*'Methodology &amp; Assumptions'!$B$6)+(W192*'Methodology &amp; Assumptions'!$B$5)+(X192*'Methodology &amp; Assumptions'!$B$7), 2)</f>
        <v/>
      </c>
    </row>
    <row r="193" ht="19" customHeight="1">
      <c r="A193" s="35" t="n">
        <v>189</v>
      </c>
      <c r="B193" s="35" t="n">
        <v>2189</v>
      </c>
      <c r="C193" s="36" t="inlineStr">
        <is>
          <t>0730600056</t>
        </is>
      </c>
      <c r="D193" s="36" t="inlineStr">
        <is>
          <t>Region VII (Central Visayas)</t>
        </is>
      </c>
      <c r="E193" s="36" t="inlineStr">
        <is>
          <t>Cebu</t>
        </is>
      </c>
      <c r="F193" s="36" t="inlineStr">
        <is>
          <t>City of Cebu</t>
        </is>
      </c>
      <c r="G193" s="36" t="inlineStr">
        <is>
          <t>Pasil</t>
        </is>
      </c>
      <c r="H193" s="37" t="n">
        <v>10.290147</v>
      </c>
      <c r="I193" s="37" t="n">
        <v>123.894571</v>
      </c>
      <c r="J193" s="8" t="inlineStr">
        <is>
          <t>U</t>
        </is>
      </c>
      <c r="K193" s="36" t="inlineStr">
        <is>
          <t>Class 1-3 / Urban</t>
        </is>
      </c>
      <c r="L193" s="18" t="n">
        <v>8395</v>
      </c>
      <c r="M193" s="20" t="n">
        <v>4.42</v>
      </c>
      <c r="N193" s="18">
        <f>ROUND(L193/M193, 0)</f>
        <v/>
      </c>
      <c r="O193" s="18">
        <f>ROUND(N193*'Methodology &amp; Assumptions'!$B$8, 0)</f>
        <v/>
      </c>
      <c r="P193" s="8" t="inlineStr">
        <is>
          <t>Band n50 (1.5 GHz, 60 MHz)</t>
        </is>
      </c>
      <c r="Q193" s="38">
        <f>ROUNDUP(O193/'Methodology &amp; Assumptions'!$B$9, 0)</f>
        <v/>
      </c>
      <c r="R193" s="39" t="n">
        <v>1</v>
      </c>
      <c r="S193" s="21" t="n">
        <v>1.27</v>
      </c>
      <c r="T193" s="21" t="n">
        <v>0.96</v>
      </c>
      <c r="U193" s="36" t="inlineStr">
        <is>
          <t>Tier 1B (Micro Drop, 1-3 km)</t>
        </is>
      </c>
      <c r="V193" s="20" t="n">
        <v>75.5</v>
      </c>
      <c r="W193" s="20" t="n">
        <v>100</v>
      </c>
      <c r="X193" s="20" t="n">
        <v>28</v>
      </c>
      <c r="Y193" s="40">
        <f>ROUND((V193*'Methodology &amp; Assumptions'!$B$6)+(W193*'Methodology &amp; Assumptions'!$B$5)+(X193*'Methodology &amp; Assumptions'!$B$7), 2)</f>
        <v/>
      </c>
    </row>
    <row r="194" ht="19" customHeight="1">
      <c r="A194" s="41" t="n">
        <v>190</v>
      </c>
      <c r="B194" s="41" t="n">
        <v>2190</v>
      </c>
      <c r="C194" s="42" t="inlineStr">
        <is>
          <t>0305411004</t>
        </is>
      </c>
      <c r="D194" s="42" t="inlineStr">
        <is>
          <t>Region III (Central Luzon)</t>
        </is>
      </c>
      <c r="E194" s="42" t="inlineStr">
        <is>
          <t>Pampanga</t>
        </is>
      </c>
      <c r="F194" s="42" t="inlineStr">
        <is>
          <t>Magalang</t>
        </is>
      </c>
      <c r="G194" s="42" t="inlineStr">
        <is>
          <t>La Paz</t>
        </is>
      </c>
      <c r="H194" s="43" t="n">
        <v>15.226073</v>
      </c>
      <c r="I194" s="43" t="n">
        <v>120.644976</v>
      </c>
      <c r="J194" s="44" t="inlineStr">
        <is>
          <t>R</t>
        </is>
      </c>
      <c r="K194" s="42" t="inlineStr">
        <is>
          <t>Class 1-3 / Urban</t>
        </is>
      </c>
      <c r="L194" s="23" t="n">
        <v>2472</v>
      </c>
      <c r="M194" s="24" t="n">
        <v>4.63</v>
      </c>
      <c r="N194" s="23">
        <f>ROUND(L194/M194, 0)</f>
        <v/>
      </c>
      <c r="O194" s="23">
        <f>ROUND(N194*'Methodology &amp; Assumptions'!$B$8, 0)</f>
        <v/>
      </c>
      <c r="P194" s="44" t="inlineStr">
        <is>
          <t>Band n50 (1.5 GHz, 60 MHz)</t>
        </is>
      </c>
      <c r="Q194" s="38">
        <f>ROUNDUP(O194/'Methodology &amp; Assumptions'!$B$9, 0)</f>
        <v/>
      </c>
      <c r="R194" s="39" t="n">
        <v>1</v>
      </c>
      <c r="S194" s="25" t="n">
        <v>0.9399999999999999</v>
      </c>
      <c r="T194" s="25" t="n">
        <v>1.69</v>
      </c>
      <c r="U194" s="42" t="inlineStr">
        <is>
          <t>Tier 1A (Direct Coloc, &lt;1 km)</t>
        </is>
      </c>
      <c r="V194" s="24" t="n">
        <v>83</v>
      </c>
      <c r="W194" s="24" t="n">
        <v>66.7</v>
      </c>
      <c r="X194" s="24" t="n">
        <v>58</v>
      </c>
      <c r="Y194" s="45">
        <f>ROUND((V194*'Methodology &amp; Assumptions'!$B$6)+(W194*'Methodology &amp; Assumptions'!$B$5)+(X194*'Methodology &amp; Assumptions'!$B$7), 2)</f>
        <v/>
      </c>
    </row>
    <row r="195" ht="19" customHeight="1">
      <c r="A195" s="35" t="n">
        <v>191</v>
      </c>
      <c r="B195" s="35" t="n">
        <v>2191</v>
      </c>
      <c r="C195" s="36" t="inlineStr">
        <is>
          <t>0305402010</t>
        </is>
      </c>
      <c r="D195" s="36" t="inlineStr">
        <is>
          <t>Region III (Central Luzon)</t>
        </is>
      </c>
      <c r="E195" s="36" t="inlineStr">
        <is>
          <t>Pampanga</t>
        </is>
      </c>
      <c r="F195" s="36" t="inlineStr">
        <is>
          <t>Apalit</t>
        </is>
      </c>
      <c r="G195" s="36" t="inlineStr">
        <is>
          <t>Sampaloc</t>
        </is>
      </c>
      <c r="H195" s="37" t="n">
        <v>14.959673</v>
      </c>
      <c r="I195" s="37" t="n">
        <v>120.75763</v>
      </c>
      <c r="J195" s="8" t="inlineStr">
        <is>
          <t>U</t>
        </is>
      </c>
      <c r="K195" s="36" t="inlineStr">
        <is>
          <t>Class 1-3 / Urban</t>
        </is>
      </c>
      <c r="L195" s="18" t="n">
        <v>13408</v>
      </c>
      <c r="M195" s="20" t="n">
        <v>4.63</v>
      </c>
      <c r="N195" s="18">
        <f>ROUND(L195/M195, 0)</f>
        <v/>
      </c>
      <c r="O195" s="18">
        <f>ROUND(N195*'Methodology &amp; Assumptions'!$B$8, 0)</f>
        <v/>
      </c>
      <c r="P195" s="8" t="inlineStr">
        <is>
          <t>Band n50 (1.5 GHz, 60 MHz)</t>
        </is>
      </c>
      <c r="Q195" s="38">
        <f>ROUNDUP(O195/'Methodology &amp; Assumptions'!$B$9, 0)</f>
        <v/>
      </c>
      <c r="R195" s="39" t="n">
        <v>1</v>
      </c>
      <c r="S195" s="21" t="n">
        <v>1.27</v>
      </c>
      <c r="T195" s="21" t="n">
        <v>0.09</v>
      </c>
      <c r="U195" s="36" t="inlineStr">
        <is>
          <t>Tier 1B (Micro Drop, 1-3 km)</t>
        </is>
      </c>
      <c r="V195" s="20" t="n">
        <v>75.40000000000001</v>
      </c>
      <c r="W195" s="20" t="n">
        <v>100</v>
      </c>
      <c r="X195" s="20" t="n">
        <v>28</v>
      </c>
      <c r="Y195" s="40">
        <f>ROUND((V195*'Methodology &amp; Assumptions'!$B$6)+(W195*'Methodology &amp; Assumptions'!$B$5)+(X195*'Methodology &amp; Assumptions'!$B$7), 2)</f>
        <v/>
      </c>
    </row>
    <row r="196" ht="19" customHeight="1">
      <c r="A196" s="41" t="n">
        <v>192</v>
      </c>
      <c r="B196" s="41" t="n">
        <v>2192</v>
      </c>
      <c r="C196" s="42" t="inlineStr">
        <is>
          <t>0305406027</t>
        </is>
      </c>
      <c r="D196" s="42" t="inlineStr">
        <is>
          <t>Region III (Central Luzon)</t>
        </is>
      </c>
      <c r="E196" s="42" t="inlineStr">
        <is>
          <t>Pampanga</t>
        </is>
      </c>
      <c r="F196" s="42" t="inlineStr">
        <is>
          <t>Floridablanca</t>
        </is>
      </c>
      <c r="G196" s="42" t="inlineStr">
        <is>
          <t>San Nicolas</t>
        </is>
      </c>
      <c r="H196" s="43" t="n">
        <v>14.97297</v>
      </c>
      <c r="I196" s="43" t="n">
        <v>120.5077</v>
      </c>
      <c r="J196" s="44" t="inlineStr">
        <is>
          <t>U</t>
        </is>
      </c>
      <c r="K196" s="42" t="inlineStr">
        <is>
          <t>Class 1-3 / Urban</t>
        </is>
      </c>
      <c r="L196" s="23" t="n">
        <v>5885</v>
      </c>
      <c r="M196" s="24" t="n">
        <v>4.63</v>
      </c>
      <c r="N196" s="23">
        <f>ROUND(L196/M196, 0)</f>
        <v/>
      </c>
      <c r="O196" s="23">
        <f>ROUND(N196*'Methodology &amp; Assumptions'!$B$8, 0)</f>
        <v/>
      </c>
      <c r="P196" s="44" t="inlineStr">
        <is>
          <t>Band n50 (1.5 GHz, 60 MHz)</t>
        </is>
      </c>
      <c r="Q196" s="38">
        <f>ROUNDUP(O196/'Methodology &amp; Assumptions'!$B$9, 0)</f>
        <v/>
      </c>
      <c r="R196" s="39" t="n">
        <v>1</v>
      </c>
      <c r="S196" s="25" t="n">
        <v>1.27</v>
      </c>
      <c r="T196" s="25" t="n">
        <v>0.73</v>
      </c>
      <c r="U196" s="42" t="inlineStr">
        <is>
          <t>Tier 1B (Micro Drop, 1-3 km)</t>
        </is>
      </c>
      <c r="V196" s="24" t="n">
        <v>75.40000000000001</v>
      </c>
      <c r="W196" s="24" t="n">
        <v>100</v>
      </c>
      <c r="X196" s="24" t="n">
        <v>28</v>
      </c>
      <c r="Y196" s="45">
        <f>ROUND((V196*'Methodology &amp; Assumptions'!$B$6)+(W196*'Methodology &amp; Assumptions'!$B$5)+(X196*'Methodology &amp; Assumptions'!$B$7), 2)</f>
        <v/>
      </c>
    </row>
    <row r="197" ht="19" customHeight="1">
      <c r="A197" s="35" t="n">
        <v>193</v>
      </c>
      <c r="B197" s="35" t="n">
        <v>2193</v>
      </c>
      <c r="C197" s="36" t="inlineStr">
        <is>
          <t>0403425029</t>
        </is>
      </c>
      <c r="D197" s="36" t="inlineStr">
        <is>
          <t>Region IV-A (CALABARZON)</t>
        </is>
      </c>
      <c r="E197" s="36" t="inlineStr">
        <is>
          <t>Laguna</t>
        </is>
      </c>
      <c r="F197" s="36" t="inlineStr">
        <is>
          <t>City of San Pedro</t>
        </is>
      </c>
      <c r="G197" s="36" t="inlineStr">
        <is>
          <t>San Lorenzo Ruiz</t>
        </is>
      </c>
      <c r="H197" s="37" t="n">
        <v>14.351056</v>
      </c>
      <c r="I197" s="37" t="n">
        <v>121.052694</v>
      </c>
      <c r="J197" s="8" t="inlineStr">
        <is>
          <t>U</t>
        </is>
      </c>
      <c r="K197" s="36" t="inlineStr">
        <is>
          <t>Class 1-3 / Urban</t>
        </is>
      </c>
      <c r="L197" s="18" t="n">
        <v>5800</v>
      </c>
      <c r="M197" s="20" t="n">
        <v>4.2</v>
      </c>
      <c r="N197" s="18">
        <f>ROUND(L197/M197, 0)</f>
        <v/>
      </c>
      <c r="O197" s="18">
        <f>ROUND(N197*'Methodology &amp; Assumptions'!$B$8, 0)</f>
        <v/>
      </c>
      <c r="P197" s="8" t="inlineStr">
        <is>
          <t>Band n50 (1.5 GHz, 60 MHz)</t>
        </is>
      </c>
      <c r="Q197" s="38">
        <f>ROUNDUP(O197/'Methodology &amp; Assumptions'!$B$9, 0)</f>
        <v/>
      </c>
      <c r="R197" s="39" t="n">
        <v>1</v>
      </c>
      <c r="S197" s="21" t="n">
        <v>1.27</v>
      </c>
      <c r="T197" s="21" t="n">
        <v>0.62</v>
      </c>
      <c r="U197" s="36" t="inlineStr">
        <is>
          <t>Tier 1B (Micro Drop, 1-3 km)</t>
        </is>
      </c>
      <c r="V197" s="20" t="n">
        <v>75.40000000000001</v>
      </c>
      <c r="W197" s="20" t="n">
        <v>100</v>
      </c>
      <c r="X197" s="20" t="n">
        <v>28</v>
      </c>
      <c r="Y197" s="40">
        <f>ROUND((V197*'Methodology &amp; Assumptions'!$B$6)+(W197*'Methodology &amp; Assumptions'!$B$5)+(X197*'Methodology &amp; Assumptions'!$B$7), 2)</f>
        <v/>
      </c>
    </row>
    <row r="198" ht="19" customHeight="1">
      <c r="A198" s="41" t="n">
        <v>194</v>
      </c>
      <c r="B198" s="41" t="n">
        <v>2194</v>
      </c>
      <c r="C198" s="42" t="inlineStr">
        <is>
          <t>0203124004</t>
        </is>
      </c>
      <c r="D198" s="42" t="inlineStr">
        <is>
          <t>Region II (Cagayan Valley)</t>
        </is>
      </c>
      <c r="E198" s="42" t="inlineStr">
        <is>
          <t>Isabela</t>
        </is>
      </c>
      <c r="F198" s="42" t="inlineStr">
        <is>
          <t>Ramon</t>
        </is>
      </c>
      <c r="G198" s="42" t="inlineStr">
        <is>
          <t>Bugallon Norte</t>
        </is>
      </c>
      <c r="H198" s="43" t="n">
        <v>16.790745</v>
      </c>
      <c r="I198" s="43" t="n">
        <v>121.538428</v>
      </c>
      <c r="J198" s="44" t="inlineStr">
        <is>
          <t>U</t>
        </is>
      </c>
      <c r="K198" s="42" t="inlineStr">
        <is>
          <t>Class 1-3 / Urban</t>
        </is>
      </c>
      <c r="L198" s="23" t="n">
        <v>5760</v>
      </c>
      <c r="M198" s="24" t="n">
        <v>4.3</v>
      </c>
      <c r="N198" s="23">
        <f>ROUND(L198/M198, 0)</f>
        <v/>
      </c>
      <c r="O198" s="23">
        <f>ROUND(N198*'Methodology &amp; Assumptions'!$B$8, 0)</f>
        <v/>
      </c>
      <c r="P198" s="44" t="inlineStr">
        <is>
          <t>Band n50 (1.5 GHz, 60 MHz)</t>
        </is>
      </c>
      <c r="Q198" s="38">
        <f>ROUNDUP(O198/'Methodology &amp; Assumptions'!$B$9, 0)</f>
        <v/>
      </c>
      <c r="R198" s="39" t="n">
        <v>1</v>
      </c>
      <c r="S198" s="25" t="n">
        <v>0.85</v>
      </c>
      <c r="T198" s="25" t="n">
        <v>10.66</v>
      </c>
      <c r="U198" s="42" t="inlineStr">
        <is>
          <t>Tier 1A (Direct Coloc, &lt;1 km)</t>
        </is>
      </c>
      <c r="V198" s="24" t="n">
        <v>75.40000000000001</v>
      </c>
      <c r="W198" s="24" t="n">
        <v>100</v>
      </c>
      <c r="X198" s="24" t="n">
        <v>28</v>
      </c>
      <c r="Y198" s="45">
        <f>ROUND((V198*'Methodology &amp; Assumptions'!$B$6)+(W198*'Methodology &amp; Assumptions'!$B$5)+(X198*'Methodology &amp; Assumptions'!$B$7), 2)</f>
        <v/>
      </c>
    </row>
    <row r="199" ht="19" customHeight="1">
      <c r="A199" s="35" t="n">
        <v>195</v>
      </c>
      <c r="B199" s="35" t="n">
        <v>2195</v>
      </c>
      <c r="C199" s="36" t="inlineStr">
        <is>
          <t>0105546036</t>
        </is>
      </c>
      <c r="D199" s="36" t="inlineStr">
        <is>
          <t>Region I (Ilocos Region)</t>
        </is>
      </c>
      <c r="E199" s="36" t="inlineStr">
        <is>
          <t>Pangasinan</t>
        </is>
      </c>
      <c r="F199" s="36" t="inlineStr">
        <is>
          <t>City of Urdaneta</t>
        </is>
      </c>
      <c r="G199" s="36" t="inlineStr">
        <is>
          <t>Santo Domingo</t>
        </is>
      </c>
      <c r="H199" s="37" t="n">
        <v>15.957214</v>
      </c>
      <c r="I199" s="37" t="n">
        <v>120.566982</v>
      </c>
      <c r="J199" s="8" t="inlineStr">
        <is>
          <t>U</t>
        </is>
      </c>
      <c r="K199" s="36" t="inlineStr">
        <is>
          <t>Class 1-3 / Urban</t>
        </is>
      </c>
      <c r="L199" s="18" t="n">
        <v>3610</v>
      </c>
      <c r="M199" s="20" t="n">
        <v>4.39</v>
      </c>
      <c r="N199" s="18">
        <f>ROUND(L199/M199, 0)</f>
        <v/>
      </c>
      <c r="O199" s="18">
        <f>ROUND(N199*'Methodology &amp; Assumptions'!$B$8, 0)</f>
        <v/>
      </c>
      <c r="P199" s="8" t="inlineStr">
        <is>
          <t>Band n50 (1.5 GHz, 60 MHz)</t>
        </is>
      </c>
      <c r="Q199" s="38">
        <f>ROUNDUP(O199/'Methodology &amp; Assumptions'!$B$9, 0)</f>
        <v/>
      </c>
      <c r="R199" s="39" t="n">
        <v>1</v>
      </c>
      <c r="S199" s="21" t="n">
        <v>0.84</v>
      </c>
      <c r="T199" s="21" t="n">
        <v>0.83</v>
      </c>
      <c r="U199" s="36" t="inlineStr">
        <is>
          <t>Tier 1A (Direct Coloc, &lt;1 km)</t>
        </is>
      </c>
      <c r="V199" s="20" t="n">
        <v>85.5</v>
      </c>
      <c r="W199" s="20" t="n">
        <v>89.90000000000001</v>
      </c>
      <c r="X199" s="20" t="n">
        <v>28</v>
      </c>
      <c r="Y199" s="40">
        <f>ROUND((V199*'Methodology &amp; Assumptions'!$B$6)+(W199*'Methodology &amp; Assumptions'!$B$5)+(X199*'Methodology &amp; Assumptions'!$B$7), 2)</f>
        <v/>
      </c>
    </row>
    <row r="200" ht="19" customHeight="1">
      <c r="A200" s="41" t="n">
        <v>196</v>
      </c>
      <c r="B200" s="41" t="n">
        <v>2196</v>
      </c>
      <c r="C200" s="42" t="inlineStr">
        <is>
          <t>0203120012</t>
        </is>
      </c>
      <c r="D200" s="42" t="inlineStr">
        <is>
          <t>Region II (Cagayan Valley)</t>
        </is>
      </c>
      <c r="E200" s="42" t="inlineStr">
        <is>
          <t>Isabela</t>
        </is>
      </c>
      <c r="F200" s="42" t="inlineStr">
        <is>
          <t>Naguilian</t>
        </is>
      </c>
      <c r="G200" s="42" t="inlineStr">
        <is>
          <t>Palattao</t>
        </is>
      </c>
      <c r="H200" s="43" t="n">
        <v>17.004583</v>
      </c>
      <c r="I200" s="43" t="n">
        <v>121.82649</v>
      </c>
      <c r="J200" s="44" t="inlineStr">
        <is>
          <t>R</t>
        </is>
      </c>
      <c r="K200" s="42" t="inlineStr">
        <is>
          <t>1st</t>
        </is>
      </c>
      <c r="L200" s="23" t="n">
        <v>2620</v>
      </c>
      <c r="M200" s="24" t="n">
        <v>4.3</v>
      </c>
      <c r="N200" s="23">
        <f>ROUND(L200/M200, 0)</f>
        <v/>
      </c>
      <c r="O200" s="23">
        <f>ROUND(N200*'Methodology &amp; Assumptions'!$B$8, 0)</f>
        <v/>
      </c>
      <c r="P200" s="44" t="inlineStr">
        <is>
          <t>Band n50 (1.5 GHz, 60 MHz)</t>
        </is>
      </c>
      <c r="Q200" s="38">
        <f>ROUNDUP(O200/'Methodology &amp; Assumptions'!$B$9, 0)</f>
        <v/>
      </c>
      <c r="R200" s="39" t="n">
        <v>1</v>
      </c>
      <c r="S200" s="25" t="n">
        <v>1.21</v>
      </c>
      <c r="T200" s="25" t="n">
        <v>0.02</v>
      </c>
      <c r="U200" s="42" t="inlineStr">
        <is>
          <t>Tier 1B (Micro Drop, 1-3 km)</t>
        </is>
      </c>
      <c r="V200" s="24" t="n">
        <v>76.90000000000001</v>
      </c>
      <c r="W200" s="24" t="n">
        <v>72.8</v>
      </c>
      <c r="X200" s="24" t="n">
        <v>58</v>
      </c>
      <c r="Y200" s="45">
        <f>ROUND((V200*'Methodology &amp; Assumptions'!$B$6)+(W200*'Methodology &amp; Assumptions'!$B$5)+(X200*'Methodology &amp; Assumptions'!$B$7), 2)</f>
        <v/>
      </c>
    </row>
    <row r="201" ht="19" customHeight="1">
      <c r="A201" s="35" t="n">
        <v>197</v>
      </c>
      <c r="B201" s="35" t="n">
        <v>2197</v>
      </c>
      <c r="C201" s="36" t="inlineStr">
        <is>
          <t>0305407017</t>
        </is>
      </c>
      <c r="D201" s="36" t="inlineStr">
        <is>
          <t>Region III (Central Luzon)</t>
        </is>
      </c>
      <c r="E201" s="36" t="inlineStr">
        <is>
          <t>Pampanga</t>
        </is>
      </c>
      <c r="F201" s="36" t="inlineStr">
        <is>
          <t>Guagua</t>
        </is>
      </c>
      <c r="G201" s="36" t="inlineStr">
        <is>
          <t>San Juan Nepomuceno</t>
        </is>
      </c>
      <c r="H201" s="37" t="n">
        <v>14.978452</v>
      </c>
      <c r="I201" s="37" t="n">
        <v>120.639957</v>
      </c>
      <c r="J201" s="8" t="inlineStr">
        <is>
          <t>U</t>
        </is>
      </c>
      <c r="K201" s="36" t="inlineStr">
        <is>
          <t>Class 1-3 / Urban</t>
        </is>
      </c>
      <c r="L201" s="18" t="n">
        <v>6640</v>
      </c>
      <c r="M201" s="20" t="n">
        <v>4.63</v>
      </c>
      <c r="N201" s="18">
        <f>ROUND(L201/M201, 0)</f>
        <v/>
      </c>
      <c r="O201" s="18">
        <f>ROUND(N201*'Methodology &amp; Assumptions'!$B$8, 0)</f>
        <v/>
      </c>
      <c r="P201" s="8" t="inlineStr">
        <is>
          <t>Band n50 (1.5 GHz, 60 MHz)</t>
        </is>
      </c>
      <c r="Q201" s="38">
        <f>ROUNDUP(O201/'Methodology &amp; Assumptions'!$B$9, 0)</f>
        <v/>
      </c>
      <c r="R201" s="39" t="n">
        <v>1</v>
      </c>
      <c r="S201" s="21" t="n">
        <v>1.28</v>
      </c>
      <c r="T201" s="21" t="n">
        <v>0.23</v>
      </c>
      <c r="U201" s="36" t="inlineStr">
        <is>
          <t>Tier 1B (Micro Drop, 1-3 km)</t>
        </is>
      </c>
      <c r="V201" s="20" t="n">
        <v>75.40000000000001</v>
      </c>
      <c r="W201" s="20" t="n">
        <v>100</v>
      </c>
      <c r="X201" s="20" t="n">
        <v>28</v>
      </c>
      <c r="Y201" s="40">
        <f>ROUND((V201*'Methodology &amp; Assumptions'!$B$6)+(W201*'Methodology &amp; Assumptions'!$B$5)+(X201*'Methodology &amp; Assumptions'!$B$7), 2)</f>
        <v/>
      </c>
    </row>
    <row r="202" ht="19" customHeight="1">
      <c r="A202" s="41" t="n">
        <v>198</v>
      </c>
      <c r="B202" s="41" t="n">
        <v>2198</v>
      </c>
      <c r="C202" s="42" t="inlineStr">
        <is>
          <t>0803750007</t>
        </is>
      </c>
      <c r="D202" s="42" t="inlineStr">
        <is>
          <t>Region VIII (Eastern Visayas)</t>
        </is>
      </c>
      <c r="E202" s="42" t="inlineStr">
        <is>
          <t>Leyte</t>
        </is>
      </c>
      <c r="F202" s="42" t="inlineStr">
        <is>
          <t>Tunga</t>
        </is>
      </c>
      <c r="G202" s="42" t="inlineStr">
        <is>
          <t>San Vicente</t>
        </is>
      </c>
      <c r="H202" s="43" t="n">
        <v>11.244816</v>
      </c>
      <c r="I202" s="43" t="n">
        <v>124.752689</v>
      </c>
      <c r="J202" s="44" t="inlineStr">
        <is>
          <t>R</t>
        </is>
      </c>
      <c r="K202" s="42" t="inlineStr">
        <is>
          <t>5th</t>
        </is>
      </c>
      <c r="L202" s="23" t="n">
        <v>856</v>
      </c>
      <c r="M202" s="24" t="n">
        <v>4.75</v>
      </c>
      <c r="N202" s="23">
        <f>ROUND(L202/M202, 0)</f>
        <v/>
      </c>
      <c r="O202" s="23">
        <f>ROUND(N202*'Methodology &amp; Assumptions'!$B$8, 0)</f>
        <v/>
      </c>
      <c r="P202" s="44" t="inlineStr">
        <is>
          <t>Band n50 (1.5 GHz, 60 MHz)</t>
        </is>
      </c>
      <c r="Q202" s="38">
        <f>ROUNDUP(O202/'Methodology &amp; Assumptions'!$B$9, 0)</f>
        <v/>
      </c>
      <c r="R202" s="39" t="n">
        <v>1</v>
      </c>
      <c r="S202" s="25" t="n">
        <v>0.37</v>
      </c>
      <c r="T202" s="25" t="n">
        <v>0.06</v>
      </c>
      <c r="U202" s="42" t="inlineStr">
        <is>
          <t>Tier 1A (Direct Coloc, &lt;1 km)</t>
        </is>
      </c>
      <c r="V202" s="24" t="n">
        <v>98.40000000000001</v>
      </c>
      <c r="W202" s="24" t="n">
        <v>38.4</v>
      </c>
      <c r="X202" s="24" t="n">
        <v>73</v>
      </c>
      <c r="Y202" s="45">
        <f>ROUND((V202*'Methodology &amp; Assumptions'!$B$6)+(W202*'Methodology &amp; Assumptions'!$B$5)+(X202*'Methodology &amp; Assumptions'!$B$7), 2)</f>
        <v/>
      </c>
    </row>
    <row r="203" ht="19" customHeight="1">
      <c r="A203" s="35" t="n">
        <v>199</v>
      </c>
      <c r="B203" s="35" t="n">
        <v>2199</v>
      </c>
      <c r="C203" s="36" t="inlineStr">
        <is>
          <t>0704601004</t>
        </is>
      </c>
      <c r="D203" s="36" t="inlineStr">
        <is>
          <t>Region VII (Central Visayas)</t>
        </is>
      </c>
      <c r="E203" s="36" t="inlineStr">
        <is>
          <t>Negros Oriental</t>
        </is>
      </c>
      <c r="F203" s="36" t="inlineStr">
        <is>
          <t>Amlan</t>
        </is>
      </c>
      <c r="G203" s="36" t="inlineStr">
        <is>
          <t>Mag-abo</t>
        </is>
      </c>
      <c r="H203" s="37" t="n">
        <v>9.467015999999999</v>
      </c>
      <c r="I203" s="37" t="n">
        <v>123.216379</v>
      </c>
      <c r="J203" s="8" t="inlineStr">
        <is>
          <t>R</t>
        </is>
      </c>
      <c r="K203" s="36" t="inlineStr">
        <is>
          <t>3rd</t>
        </is>
      </c>
      <c r="L203" s="18" t="n">
        <v>2175</v>
      </c>
      <c r="M203" s="20" t="n">
        <v>4.28</v>
      </c>
      <c r="N203" s="18">
        <f>ROUND(L203/M203, 0)</f>
        <v/>
      </c>
      <c r="O203" s="18">
        <f>ROUND(N203*'Methodology &amp; Assumptions'!$B$8, 0)</f>
        <v/>
      </c>
      <c r="P203" s="8" t="inlineStr">
        <is>
          <t>Band n50 (1.5 GHz, 60 MHz)</t>
        </is>
      </c>
      <c r="Q203" s="38">
        <f>ROUNDUP(O203/'Methodology &amp; Assumptions'!$B$9, 0)</f>
        <v/>
      </c>
      <c r="R203" s="39" t="n">
        <v>1</v>
      </c>
      <c r="S203" s="21" t="n">
        <v>0.86</v>
      </c>
      <c r="T203" s="21" t="n">
        <v>0.11</v>
      </c>
      <c r="U203" s="36" t="inlineStr">
        <is>
          <t>Tier 1A (Direct Coloc, &lt;1 km)</t>
        </is>
      </c>
      <c r="V203" s="20" t="n">
        <v>85.09999999999999</v>
      </c>
      <c r="W203" s="20" t="n">
        <v>64.5</v>
      </c>
      <c r="X203" s="20" t="n">
        <v>58</v>
      </c>
      <c r="Y203" s="40">
        <f>ROUND((V203*'Methodology &amp; Assumptions'!$B$6)+(W203*'Methodology &amp; Assumptions'!$B$5)+(X203*'Methodology &amp; Assumptions'!$B$7), 2)</f>
        <v/>
      </c>
    </row>
    <row r="204" ht="19" customHeight="1">
      <c r="A204" s="41" t="n">
        <v>200</v>
      </c>
      <c r="B204" s="41" t="n">
        <v>2200</v>
      </c>
      <c r="C204" s="42" t="inlineStr">
        <is>
          <t>0403405046</t>
        </is>
      </c>
      <c r="D204" s="42" t="inlineStr">
        <is>
          <t>Region IV-A (CALABARZON)</t>
        </is>
      </c>
      <c r="E204" s="42" t="inlineStr">
        <is>
          <t>Laguna</t>
        </is>
      </c>
      <c r="F204" s="42" t="inlineStr">
        <is>
          <t>City of Calamba</t>
        </is>
      </c>
      <c r="G204" s="42" t="inlineStr">
        <is>
          <t>Punta</t>
        </is>
      </c>
      <c r="H204" s="43" t="n">
        <v>14.177803</v>
      </c>
      <c r="I204" s="43" t="n">
        <v>121.120392</v>
      </c>
      <c r="J204" s="44" t="inlineStr">
        <is>
          <t>U</t>
        </is>
      </c>
      <c r="K204" s="42" t="inlineStr">
        <is>
          <t>Class 1-3 / Urban</t>
        </is>
      </c>
      <c r="L204" s="23" t="n">
        <v>7321</v>
      </c>
      <c r="M204" s="24" t="n">
        <v>4.2</v>
      </c>
      <c r="N204" s="23">
        <f>ROUND(L204/M204, 0)</f>
        <v/>
      </c>
      <c r="O204" s="23">
        <f>ROUND(N204*'Methodology &amp; Assumptions'!$B$8, 0)</f>
        <v/>
      </c>
      <c r="P204" s="44" t="inlineStr">
        <is>
          <t>Band n50 (1.5 GHz, 60 MHz)</t>
        </is>
      </c>
      <c r="Q204" s="38">
        <f>ROUNDUP(O204/'Methodology &amp; Assumptions'!$B$9, 0)</f>
        <v/>
      </c>
      <c r="R204" s="39" t="n">
        <v>1</v>
      </c>
      <c r="S204" s="25" t="n">
        <v>1.28</v>
      </c>
      <c r="T204" s="25" t="n">
        <v>0.28</v>
      </c>
      <c r="U204" s="42" t="inlineStr">
        <is>
          <t>Tier 1B (Micro Drop, 1-3 km)</t>
        </is>
      </c>
      <c r="V204" s="24" t="n">
        <v>75.40000000000001</v>
      </c>
      <c r="W204" s="24" t="n">
        <v>100</v>
      </c>
      <c r="X204" s="24" t="n">
        <v>28</v>
      </c>
      <c r="Y204" s="45">
        <f>ROUND((V204*'Methodology &amp; Assumptions'!$B$6)+(W204*'Methodology &amp; Assumptions'!$B$5)+(X204*'Methodology &amp; Assumptions'!$B$7), 2)</f>
        <v/>
      </c>
    </row>
    <row r="205" ht="19" customHeight="1">
      <c r="A205" s="35" t="n">
        <v>201</v>
      </c>
      <c r="B205" s="35" t="n">
        <v>2201</v>
      </c>
      <c r="C205" s="36" t="inlineStr">
        <is>
          <t>0105545018</t>
        </is>
      </c>
      <c r="D205" s="36" t="inlineStr">
        <is>
          <t>Region I (Ilocos Region)</t>
        </is>
      </c>
      <c r="E205" s="36" t="inlineStr">
        <is>
          <t>Pangasinan</t>
        </is>
      </c>
      <c r="F205" s="36" t="inlineStr">
        <is>
          <t>Urbiztondo</t>
        </is>
      </c>
      <c r="G205" s="36" t="inlineStr">
        <is>
          <t>Poblacion</t>
        </is>
      </c>
      <c r="H205" s="37" t="n">
        <v>15.822452</v>
      </c>
      <c r="I205" s="37" t="n">
        <v>120.329332</v>
      </c>
      <c r="J205" s="8" t="inlineStr">
        <is>
          <t>U</t>
        </is>
      </c>
      <c r="K205" s="36" t="inlineStr">
        <is>
          <t>Class 1-3 / Urban</t>
        </is>
      </c>
      <c r="L205" s="18" t="n">
        <v>5234</v>
      </c>
      <c r="M205" s="20" t="n">
        <v>4.39</v>
      </c>
      <c r="N205" s="18">
        <f>ROUND(L205/M205, 0)</f>
        <v/>
      </c>
      <c r="O205" s="18">
        <f>ROUND(N205*'Methodology &amp; Assumptions'!$B$8, 0)</f>
        <v/>
      </c>
      <c r="P205" s="8" t="inlineStr">
        <is>
          <t>Band n50 (1.5 GHz, 60 MHz)</t>
        </is>
      </c>
      <c r="Q205" s="38">
        <f>ROUNDUP(O205/'Methodology &amp; Assumptions'!$B$9, 0)</f>
        <v/>
      </c>
      <c r="R205" s="39" t="n">
        <v>1</v>
      </c>
      <c r="S205" s="21" t="n">
        <v>0.85</v>
      </c>
      <c r="T205" s="21" t="n">
        <v>11.13</v>
      </c>
      <c r="U205" s="36" t="inlineStr">
        <is>
          <t>Tier 1A (Direct Coloc, &lt;1 km)</t>
        </is>
      </c>
      <c r="V205" s="20" t="n">
        <v>75.40000000000001</v>
      </c>
      <c r="W205" s="20" t="n">
        <v>100</v>
      </c>
      <c r="X205" s="20" t="n">
        <v>28</v>
      </c>
      <c r="Y205" s="40">
        <f>ROUND((V205*'Methodology &amp; Assumptions'!$B$6)+(W205*'Methodology &amp; Assumptions'!$B$5)+(X205*'Methodology &amp; Assumptions'!$B$7), 2)</f>
        <v/>
      </c>
    </row>
    <row r="206" ht="19" customHeight="1">
      <c r="A206" s="41" t="n">
        <v>202</v>
      </c>
      <c r="B206" s="41" t="n">
        <v>2202</v>
      </c>
      <c r="C206" s="42" t="inlineStr">
        <is>
          <t>0105503022</t>
        </is>
      </c>
      <c r="D206" s="42" t="inlineStr">
        <is>
          <t>Region I (Ilocos Region)</t>
        </is>
      </c>
      <c r="E206" s="42" t="inlineStr">
        <is>
          <t>Pangasinan</t>
        </is>
      </c>
      <c r="F206" s="42" t="inlineStr">
        <is>
          <t>City of Alaminos</t>
        </is>
      </c>
      <c r="G206" s="42" t="inlineStr">
        <is>
          <t>Pocalpocal</t>
        </is>
      </c>
      <c r="H206" s="43" t="n">
        <v>16.147363</v>
      </c>
      <c r="I206" s="43" t="n">
        <v>119.995822</v>
      </c>
      <c r="J206" s="44" t="inlineStr">
        <is>
          <t>R</t>
        </is>
      </c>
      <c r="K206" s="42" t="inlineStr">
        <is>
          <t>Class 1-3 / Urban</t>
        </is>
      </c>
      <c r="L206" s="23" t="n">
        <v>2778</v>
      </c>
      <c r="M206" s="24" t="n">
        <v>4.39</v>
      </c>
      <c r="N206" s="23">
        <f>ROUND(L206/M206, 0)</f>
        <v/>
      </c>
      <c r="O206" s="23">
        <f>ROUND(N206*'Methodology &amp; Assumptions'!$B$8, 0)</f>
        <v/>
      </c>
      <c r="P206" s="44" t="inlineStr">
        <is>
          <t>Band n50 (1.5 GHz, 60 MHz)</t>
        </is>
      </c>
      <c r="Q206" s="38">
        <f>ROUNDUP(O206/'Methodology &amp; Assumptions'!$B$9, 0)</f>
        <v/>
      </c>
      <c r="R206" s="39" t="n">
        <v>1</v>
      </c>
      <c r="S206" s="25" t="n">
        <v>1.3</v>
      </c>
      <c r="T206" s="25" t="n">
        <v>0.73</v>
      </c>
      <c r="U206" s="42" t="inlineStr">
        <is>
          <t>Tier 1B (Micro Drop, 1-3 km)</t>
        </is>
      </c>
      <c r="V206" s="24" t="n">
        <v>74.90000000000001</v>
      </c>
      <c r="W206" s="24" t="n">
        <v>74.7</v>
      </c>
      <c r="X206" s="24" t="n">
        <v>58</v>
      </c>
      <c r="Y206" s="45">
        <f>ROUND((V206*'Methodology &amp; Assumptions'!$B$6)+(W206*'Methodology &amp; Assumptions'!$B$5)+(X206*'Methodology &amp; Assumptions'!$B$7), 2)</f>
        <v/>
      </c>
    </row>
    <row r="207" ht="19" customHeight="1">
      <c r="A207" s="35" t="n">
        <v>203</v>
      </c>
      <c r="B207" s="35" t="n">
        <v>2203</v>
      </c>
      <c r="C207" s="36" t="inlineStr">
        <is>
          <t>0730600071</t>
        </is>
      </c>
      <c r="D207" s="36" t="inlineStr">
        <is>
          <t>Region VII (Central Visayas)</t>
        </is>
      </c>
      <c r="E207" s="36" t="inlineStr">
        <is>
          <t>Cebu</t>
        </is>
      </c>
      <c r="F207" s="36" t="inlineStr">
        <is>
          <t>City of Cebu</t>
        </is>
      </c>
      <c r="G207" s="36" t="inlineStr">
        <is>
          <t>Sawang Calero</t>
        </is>
      </c>
      <c r="H207" s="37" t="n">
        <v>10.292236</v>
      </c>
      <c r="I207" s="37" t="n">
        <v>123.89118</v>
      </c>
      <c r="J207" s="8" t="inlineStr">
        <is>
          <t>U</t>
        </is>
      </c>
      <c r="K207" s="36" t="inlineStr">
        <is>
          <t>Class 1-3 / Urban</t>
        </is>
      </c>
      <c r="L207" s="18" t="n">
        <v>7676</v>
      </c>
      <c r="M207" s="20" t="n">
        <v>4.42</v>
      </c>
      <c r="N207" s="18">
        <f>ROUND(L207/M207, 0)</f>
        <v/>
      </c>
      <c r="O207" s="18">
        <f>ROUND(N207*'Methodology &amp; Assumptions'!$B$8, 0)</f>
        <v/>
      </c>
      <c r="P207" s="8" t="inlineStr">
        <is>
          <t>Band n50 (1.5 GHz, 60 MHz)</t>
        </is>
      </c>
      <c r="Q207" s="38">
        <f>ROUNDUP(O207/'Methodology &amp; Assumptions'!$B$9, 0)</f>
        <v/>
      </c>
      <c r="R207" s="39" t="n">
        <v>1</v>
      </c>
      <c r="S207" s="21" t="n">
        <v>1.28</v>
      </c>
      <c r="T207" s="21" t="n">
        <v>0.68</v>
      </c>
      <c r="U207" s="36" t="inlineStr">
        <is>
          <t>Tier 1B (Micro Drop, 1-3 km)</t>
        </is>
      </c>
      <c r="V207" s="20" t="n">
        <v>75.3</v>
      </c>
      <c r="W207" s="20" t="n">
        <v>100</v>
      </c>
      <c r="X207" s="20" t="n">
        <v>28</v>
      </c>
      <c r="Y207" s="40">
        <f>ROUND((V207*'Methodology &amp; Assumptions'!$B$6)+(W207*'Methodology &amp; Assumptions'!$B$5)+(X207*'Methodology &amp; Assumptions'!$B$7), 2)</f>
        <v/>
      </c>
    </row>
    <row r="208" ht="19" customHeight="1">
      <c r="A208" s="41" t="n">
        <v>204</v>
      </c>
      <c r="B208" s="41" t="n">
        <v>2204</v>
      </c>
      <c r="C208" s="42" t="inlineStr">
        <is>
          <t>0501606022</t>
        </is>
      </c>
      <c r="D208" s="42" t="inlineStr">
        <is>
          <t>Region V (Bicol Region)</t>
        </is>
      </c>
      <c r="E208" s="42" t="inlineStr">
        <is>
          <t>Camarines Norte</t>
        </is>
      </c>
      <c r="F208" s="42" t="inlineStr">
        <is>
          <t>Labo</t>
        </is>
      </c>
      <c r="G208" s="42" t="inlineStr">
        <is>
          <t>Dalas</t>
        </is>
      </c>
      <c r="H208" s="43" t="n">
        <v>14.147136</v>
      </c>
      <c r="I208" s="43" t="n">
        <v>122.823479</v>
      </c>
      <c r="J208" s="44" t="inlineStr">
        <is>
          <t>U</t>
        </is>
      </c>
      <c r="K208" s="42" t="inlineStr">
        <is>
          <t>Class 1-3 / Urban</t>
        </is>
      </c>
      <c r="L208" s="23" t="n">
        <v>5650</v>
      </c>
      <c r="M208" s="24" t="n">
        <v>4.4</v>
      </c>
      <c r="N208" s="23">
        <f>ROUND(L208/M208, 0)</f>
        <v/>
      </c>
      <c r="O208" s="23">
        <f>ROUND(N208*'Methodology &amp; Assumptions'!$B$8, 0)</f>
        <v/>
      </c>
      <c r="P208" s="44" t="inlineStr">
        <is>
          <t>Band n50 (1.5 GHz, 60 MHz)</t>
        </is>
      </c>
      <c r="Q208" s="38">
        <f>ROUNDUP(O208/'Methodology &amp; Assumptions'!$B$9, 0)</f>
        <v/>
      </c>
      <c r="R208" s="39" t="n">
        <v>1</v>
      </c>
      <c r="S208" s="25" t="n">
        <v>1.28</v>
      </c>
      <c r="T208" s="25" t="n">
        <v>1.05</v>
      </c>
      <c r="U208" s="42" t="inlineStr">
        <is>
          <t>Tier 1B (Micro Drop, 1-3 km)</t>
        </is>
      </c>
      <c r="V208" s="24" t="n">
        <v>75.3</v>
      </c>
      <c r="W208" s="24" t="n">
        <v>100</v>
      </c>
      <c r="X208" s="24" t="n">
        <v>28</v>
      </c>
      <c r="Y208" s="45">
        <f>ROUND((V208*'Methodology &amp; Assumptions'!$B$6)+(W208*'Methodology &amp; Assumptions'!$B$5)+(X208*'Methodology &amp; Assumptions'!$B$7), 2)</f>
        <v/>
      </c>
    </row>
    <row r="209" ht="19" customHeight="1">
      <c r="A209" s="35" t="n">
        <v>205</v>
      </c>
      <c r="B209" s="35" t="n">
        <v>2205</v>
      </c>
      <c r="C209" s="36" t="inlineStr">
        <is>
          <t>0600403013</t>
        </is>
      </c>
      <c r="D209" s="36" t="inlineStr">
        <is>
          <t>Region VI (Western Visayas)</t>
        </is>
      </c>
      <c r="E209" s="36" t="inlineStr">
        <is>
          <t>Aklan</t>
        </is>
      </c>
      <c r="F209" s="36" t="inlineStr">
        <is>
          <t>Banga</t>
        </is>
      </c>
      <c r="G209" s="36" t="inlineStr">
        <is>
          <t>Linabuan Sur</t>
        </is>
      </c>
      <c r="H209" s="37" t="n">
        <v>11.654366</v>
      </c>
      <c r="I209" s="37" t="n">
        <v>122.345728</v>
      </c>
      <c r="J209" s="8" t="inlineStr">
        <is>
          <t>R</t>
        </is>
      </c>
      <c r="K209" s="36" t="inlineStr">
        <is>
          <t>Class 1-3 / Urban</t>
        </is>
      </c>
      <c r="L209" s="18" t="n">
        <v>3976</v>
      </c>
      <c r="M209" s="20" t="n">
        <v>4.27</v>
      </c>
      <c r="N209" s="18">
        <f>ROUND(L209/M209, 0)</f>
        <v/>
      </c>
      <c r="O209" s="18">
        <f>ROUND(N209*'Methodology &amp; Assumptions'!$B$8, 0)</f>
        <v/>
      </c>
      <c r="P209" s="8" t="inlineStr">
        <is>
          <t>Band n50 (1.5 GHz, 60 MHz)</t>
        </is>
      </c>
      <c r="Q209" s="38">
        <f>ROUNDUP(O209/'Methodology &amp; Assumptions'!$B$9, 0)</f>
        <v/>
      </c>
      <c r="R209" s="39" t="n">
        <v>1</v>
      </c>
      <c r="S209" s="21" t="n">
        <v>2.66</v>
      </c>
      <c r="T209" s="21" t="n">
        <v>0.24</v>
      </c>
      <c r="U209" s="36" t="inlineStr">
        <is>
          <t>Tier 1B (Micro Drop, 1-3 km)</t>
        </is>
      </c>
      <c r="V209" s="20" t="n">
        <v>51.2</v>
      </c>
      <c r="W209" s="20" t="n">
        <v>98.40000000000001</v>
      </c>
      <c r="X209" s="20" t="n">
        <v>58</v>
      </c>
      <c r="Y209" s="40">
        <f>ROUND((V209*'Methodology &amp; Assumptions'!$B$6)+(W209*'Methodology &amp; Assumptions'!$B$5)+(X209*'Methodology &amp; Assumptions'!$B$7), 2)</f>
        <v/>
      </c>
    </row>
    <row r="210" ht="19" customHeight="1">
      <c r="A210" s="41" t="n">
        <v>206</v>
      </c>
      <c r="B210" s="41" t="n">
        <v>2206</v>
      </c>
      <c r="C210" s="42" t="inlineStr">
        <is>
          <t>0603006026</t>
        </is>
      </c>
      <c r="D210" s="42" t="inlineStr">
        <is>
          <t>Region VI (Western Visayas)</t>
        </is>
      </c>
      <c r="E210" s="42" t="inlineStr">
        <is>
          <t>Iloilo</t>
        </is>
      </c>
      <c r="F210" s="42" t="inlineStr">
        <is>
          <t>Banate</t>
        </is>
      </c>
      <c r="G210" s="42" t="inlineStr">
        <is>
          <t>San Salvador</t>
        </is>
      </c>
      <c r="H210" s="43" t="n">
        <v>10.998917</v>
      </c>
      <c r="I210" s="43" t="n">
        <v>122.835167</v>
      </c>
      <c r="J210" s="44" t="inlineStr">
        <is>
          <t>R</t>
        </is>
      </c>
      <c r="K210" s="42" t="inlineStr">
        <is>
          <t>2nd</t>
        </is>
      </c>
      <c r="L210" s="23" t="n">
        <v>3379</v>
      </c>
      <c r="M210" s="24" t="n">
        <v>4.06</v>
      </c>
      <c r="N210" s="23">
        <f>ROUND(L210/M210, 0)</f>
        <v/>
      </c>
      <c r="O210" s="23">
        <f>ROUND(N210*'Methodology &amp; Assumptions'!$B$8, 0)</f>
        <v/>
      </c>
      <c r="P210" s="44" t="inlineStr">
        <is>
          <t>Band n50 (1.5 GHz, 60 MHz)</t>
        </is>
      </c>
      <c r="Q210" s="38">
        <f>ROUNDUP(O210/'Methodology &amp; Assumptions'!$B$9, 0)</f>
        <v/>
      </c>
      <c r="R210" s="39" t="n">
        <v>1</v>
      </c>
      <c r="S210" s="25" t="n">
        <v>2.15</v>
      </c>
      <c r="T210" s="25" t="n">
        <v>1.36</v>
      </c>
      <c r="U210" s="42" t="inlineStr">
        <is>
          <t>Tier 1B (Micro Drop, 1-3 km)</t>
        </is>
      </c>
      <c r="V210" s="24" t="n">
        <v>58.9</v>
      </c>
      <c r="W210" s="24" t="n">
        <v>90.7</v>
      </c>
      <c r="X210" s="24" t="n">
        <v>58</v>
      </c>
      <c r="Y210" s="45">
        <f>ROUND((V210*'Methodology &amp; Assumptions'!$B$6)+(W210*'Methodology &amp; Assumptions'!$B$5)+(X210*'Methodology &amp; Assumptions'!$B$7), 2)</f>
        <v/>
      </c>
    </row>
    <row r="211" ht="19" customHeight="1">
      <c r="A211" s="35" t="n">
        <v>207</v>
      </c>
      <c r="B211" s="35" t="n">
        <v>2207</v>
      </c>
      <c r="C211" s="36" t="inlineStr">
        <is>
          <t>0600411012</t>
        </is>
      </c>
      <c r="D211" s="36" t="inlineStr">
        <is>
          <t>Region VI (Western Visayas)</t>
        </is>
      </c>
      <c r="E211" s="36" t="inlineStr">
        <is>
          <t>Aklan</t>
        </is>
      </c>
      <c r="F211" s="36" t="inlineStr">
        <is>
          <t>Makato</t>
        </is>
      </c>
      <c r="G211" s="36" t="inlineStr">
        <is>
          <t>Dumga</t>
        </is>
      </c>
      <c r="H211" s="37" t="n">
        <v>11.717772</v>
      </c>
      <c r="I211" s="37" t="n">
        <v>122.283109</v>
      </c>
      <c r="J211" s="8" t="inlineStr">
        <is>
          <t>R</t>
        </is>
      </c>
      <c r="K211" s="36" t="inlineStr">
        <is>
          <t>3rd</t>
        </is>
      </c>
      <c r="L211" s="18" t="n">
        <v>2441</v>
      </c>
      <c r="M211" s="20" t="n">
        <v>4.14</v>
      </c>
      <c r="N211" s="18">
        <f>ROUND(L211/M211, 0)</f>
        <v/>
      </c>
      <c r="O211" s="18">
        <f>ROUND(N211*'Methodology &amp; Assumptions'!$B$8, 0)</f>
        <v/>
      </c>
      <c r="P211" s="8" t="inlineStr">
        <is>
          <t>Band n50 (1.5 GHz, 60 MHz)</t>
        </is>
      </c>
      <c r="Q211" s="38">
        <f>ROUNDUP(O211/'Methodology &amp; Assumptions'!$B$9, 0)</f>
        <v/>
      </c>
      <c r="R211" s="39" t="n">
        <v>1</v>
      </c>
      <c r="S211" s="21" t="n">
        <v>1.14</v>
      </c>
      <c r="T211" s="21" t="n">
        <v>0.96</v>
      </c>
      <c r="U211" s="36" t="inlineStr">
        <is>
          <t>Tier 1B (Micro Drop, 1-3 km)</t>
        </is>
      </c>
      <c r="V211" s="20" t="n">
        <v>78.40000000000001</v>
      </c>
      <c r="W211" s="20" t="n">
        <v>71.2</v>
      </c>
      <c r="X211" s="20" t="n">
        <v>58</v>
      </c>
      <c r="Y211" s="40">
        <f>ROUND((V211*'Methodology &amp; Assumptions'!$B$6)+(W211*'Methodology &amp; Assumptions'!$B$5)+(X211*'Methodology &amp; Assumptions'!$B$7), 2)</f>
        <v/>
      </c>
    </row>
    <row r="212" ht="19" customHeight="1">
      <c r="A212" s="41" t="n">
        <v>208</v>
      </c>
      <c r="B212" s="41" t="n">
        <v>2208</v>
      </c>
      <c r="C212" s="42" t="inlineStr">
        <is>
          <t>0803740051</t>
        </is>
      </c>
      <c r="D212" s="42" t="inlineStr">
        <is>
          <t>Region VIII (Eastern Visayas)</t>
        </is>
      </c>
      <c r="E212" s="42" t="inlineStr">
        <is>
          <t>Leyte</t>
        </is>
      </c>
      <c r="F212" s="42" t="inlineStr">
        <is>
          <t>Palompon</t>
        </is>
      </c>
      <c r="G212" s="42" t="inlineStr">
        <is>
          <t>Pinaghi-usa Pob.</t>
        </is>
      </c>
      <c r="H212" s="43" t="n">
        <v>11.047579</v>
      </c>
      <c r="I212" s="43" t="n">
        <v>124.3867</v>
      </c>
      <c r="J212" s="44" t="inlineStr">
        <is>
          <t>R</t>
        </is>
      </c>
      <c r="K212" s="42" t="inlineStr">
        <is>
          <t>Class 1-3 / Urban</t>
        </is>
      </c>
      <c r="L212" s="23" t="n">
        <v>1565</v>
      </c>
      <c r="M212" s="24" t="n">
        <v>4.24</v>
      </c>
      <c r="N212" s="23">
        <f>ROUND(L212/M212, 0)</f>
        <v/>
      </c>
      <c r="O212" s="23">
        <f>ROUND(N212*'Methodology &amp; Assumptions'!$B$8, 0)</f>
        <v/>
      </c>
      <c r="P212" s="44" t="inlineStr">
        <is>
          <t>Band n50 (1.5 GHz, 60 MHz)</t>
        </is>
      </c>
      <c r="Q212" s="38">
        <f>ROUNDUP(O212/'Methodology &amp; Assumptions'!$B$9, 0)</f>
        <v/>
      </c>
      <c r="R212" s="39" t="n">
        <v>1</v>
      </c>
      <c r="S212" s="25" t="n">
        <v>0.45</v>
      </c>
      <c r="T212" s="25" t="n">
        <v>0.31</v>
      </c>
      <c r="U212" s="42" t="inlineStr">
        <is>
          <t>Tier 1A (Direct Coloc, &lt;1 km)</t>
        </is>
      </c>
      <c r="V212" s="24" t="n">
        <v>96</v>
      </c>
      <c r="W212" s="24" t="n">
        <v>53.6</v>
      </c>
      <c r="X212" s="24" t="n">
        <v>58</v>
      </c>
      <c r="Y212" s="45">
        <f>ROUND((V212*'Methodology &amp; Assumptions'!$B$6)+(W212*'Methodology &amp; Assumptions'!$B$5)+(X212*'Methodology &amp; Assumptions'!$B$7), 2)</f>
        <v/>
      </c>
    </row>
    <row r="213" ht="19" customHeight="1">
      <c r="A213" s="35" t="n">
        <v>209</v>
      </c>
      <c r="B213" s="35" t="n">
        <v>2209</v>
      </c>
      <c r="C213" s="36" t="inlineStr">
        <is>
          <t>0403403019</t>
        </is>
      </c>
      <c r="D213" s="36" t="inlineStr">
        <is>
          <t>Region IV-A (CALABARZON)</t>
        </is>
      </c>
      <c r="E213" s="36" t="inlineStr">
        <is>
          <t>Laguna</t>
        </is>
      </c>
      <c r="F213" s="36" t="inlineStr">
        <is>
          <t>City of Biñan</t>
        </is>
      </c>
      <c r="G213" s="36" t="inlineStr">
        <is>
          <t>San Antonio</t>
        </is>
      </c>
      <c r="H213" s="37" t="n">
        <v>14.335585</v>
      </c>
      <c r="I213" s="37" t="n">
        <v>121.086466</v>
      </c>
      <c r="J213" s="8" t="inlineStr">
        <is>
          <t>U</t>
        </is>
      </c>
      <c r="K213" s="36" t="inlineStr">
        <is>
          <t>Class 1-3 / Urban</t>
        </is>
      </c>
      <c r="L213" s="18" t="n">
        <v>36163</v>
      </c>
      <c r="M213" s="20" t="n">
        <v>4.2</v>
      </c>
      <c r="N213" s="18">
        <f>ROUND(L213/M213, 0)</f>
        <v/>
      </c>
      <c r="O213" s="18">
        <f>ROUND(N213*'Methodology &amp; Assumptions'!$B$8, 0)</f>
        <v/>
      </c>
      <c r="P213" s="8" t="inlineStr">
        <is>
          <t>Band n50 (1.5 GHz, 60 MHz)</t>
        </is>
      </c>
      <c r="Q213" s="38">
        <f>ROUNDUP(O213/'Methodology &amp; Assumptions'!$B$9, 0)</f>
        <v/>
      </c>
      <c r="R213" s="39" t="n">
        <v>1</v>
      </c>
      <c r="S213" s="21" t="n">
        <v>1.2</v>
      </c>
      <c r="T213" s="21" t="n">
        <v>0.4</v>
      </c>
      <c r="U213" s="36" t="inlineStr">
        <is>
          <t>Tier 1B (Micro Drop, 1-3 km)</t>
        </is>
      </c>
      <c r="V213" s="20" t="n">
        <v>77</v>
      </c>
      <c r="W213" s="20" t="n">
        <v>98.3</v>
      </c>
      <c r="X213" s="20" t="n">
        <v>28</v>
      </c>
      <c r="Y213" s="40">
        <f>ROUND((V213*'Methodology &amp; Assumptions'!$B$6)+(W213*'Methodology &amp; Assumptions'!$B$5)+(X213*'Methodology &amp; Assumptions'!$B$7), 2)</f>
        <v/>
      </c>
    </row>
    <row r="214" ht="19" customHeight="1">
      <c r="A214" s="41" t="n">
        <v>210</v>
      </c>
      <c r="B214" s="41" t="n">
        <v>2210</v>
      </c>
      <c r="C214" s="42" t="inlineStr">
        <is>
          <t>0401014009</t>
        </is>
      </c>
      <c r="D214" s="42" t="inlineStr">
        <is>
          <t>Region IV-A (CALABARZON)</t>
        </is>
      </c>
      <c r="E214" s="42" t="inlineStr">
        <is>
          <t>Batangas</t>
        </is>
      </c>
      <c r="F214" s="42" t="inlineStr">
        <is>
          <t>City of Lipa</t>
        </is>
      </c>
      <c r="G214" s="42" t="inlineStr">
        <is>
          <t>Balintawak</t>
        </is>
      </c>
      <c r="H214" s="43" t="n">
        <v>13.953</v>
      </c>
      <c r="I214" s="43" t="n">
        <v>121.1588</v>
      </c>
      <c r="J214" s="44" t="inlineStr">
        <is>
          <t>U</t>
        </is>
      </c>
      <c r="K214" s="42" t="inlineStr">
        <is>
          <t>Class 1-3 / Urban</t>
        </is>
      </c>
      <c r="L214" s="23" t="n">
        <v>19278</v>
      </c>
      <c r="M214" s="24" t="n">
        <v>4.62</v>
      </c>
      <c r="N214" s="23">
        <f>ROUND(L214/M214, 0)</f>
        <v/>
      </c>
      <c r="O214" s="23">
        <f>ROUND(N214*'Methodology &amp; Assumptions'!$B$8, 0)</f>
        <v/>
      </c>
      <c r="P214" s="44" t="inlineStr">
        <is>
          <t>Band n50 (1.5 GHz, 60 MHz)</t>
        </is>
      </c>
      <c r="Q214" s="38">
        <f>ROUNDUP(O214/'Methodology &amp; Assumptions'!$B$9, 0)</f>
        <v/>
      </c>
      <c r="R214" s="39" t="n">
        <v>1</v>
      </c>
      <c r="S214" s="25" t="n">
        <v>1.28</v>
      </c>
      <c r="T214" s="25" t="n">
        <v>0.24</v>
      </c>
      <c r="U214" s="42" t="inlineStr">
        <is>
          <t>Tier 1B (Micro Drop, 1-3 km)</t>
        </is>
      </c>
      <c r="V214" s="24" t="n">
        <v>75.3</v>
      </c>
      <c r="W214" s="24" t="n">
        <v>100</v>
      </c>
      <c r="X214" s="24" t="n">
        <v>28</v>
      </c>
      <c r="Y214" s="45">
        <f>ROUND((V214*'Methodology &amp; Assumptions'!$B$6)+(W214*'Methodology &amp; Assumptions'!$B$5)+(X214*'Methodology &amp; Assumptions'!$B$7), 2)</f>
        <v/>
      </c>
    </row>
    <row r="215" ht="19" customHeight="1">
      <c r="A215" s="35" t="n">
        <v>211</v>
      </c>
      <c r="B215" s="35" t="n">
        <v>2211</v>
      </c>
      <c r="C215" s="36" t="inlineStr">
        <is>
          <t>0402120012</t>
        </is>
      </c>
      <c r="D215" s="36" t="inlineStr">
        <is>
          <t>Region IV-A (CALABARZON)</t>
        </is>
      </c>
      <c r="E215" s="36" t="inlineStr">
        <is>
          <t>Cavite</t>
        </is>
      </c>
      <c r="F215" s="36" t="inlineStr">
        <is>
          <t>Tanza</t>
        </is>
      </c>
      <c r="G215" s="36" t="inlineStr">
        <is>
          <t>Mulawin</t>
        </is>
      </c>
      <c r="H215" s="37" t="n">
        <v>14.381989</v>
      </c>
      <c r="I215" s="37" t="n">
        <v>120.853635</v>
      </c>
      <c r="J215" s="8" t="inlineStr">
        <is>
          <t>U</t>
        </is>
      </c>
      <c r="K215" s="36" t="inlineStr">
        <is>
          <t>Class 1-3 / Urban</t>
        </is>
      </c>
      <c r="L215" s="18" t="n">
        <v>12283</v>
      </c>
      <c r="M215" s="20" t="n">
        <v>4.49</v>
      </c>
      <c r="N215" s="18">
        <f>ROUND(L215/M215, 0)</f>
        <v/>
      </c>
      <c r="O215" s="18">
        <f>ROUND(N215*'Methodology &amp; Assumptions'!$B$8, 0)</f>
        <v/>
      </c>
      <c r="P215" s="8" t="inlineStr">
        <is>
          <t>Band n50 (1.5 GHz, 60 MHz)</t>
        </is>
      </c>
      <c r="Q215" s="38">
        <f>ROUNDUP(O215/'Methodology &amp; Assumptions'!$B$9, 0)</f>
        <v/>
      </c>
      <c r="R215" s="39" t="n">
        <v>1</v>
      </c>
      <c r="S215" s="21" t="n">
        <v>1.28</v>
      </c>
      <c r="T215" s="21" t="n">
        <v>0.13</v>
      </c>
      <c r="U215" s="36" t="inlineStr">
        <is>
          <t>Tier 1B (Micro Drop, 1-3 km)</t>
        </is>
      </c>
      <c r="V215" s="20" t="n">
        <v>75.3</v>
      </c>
      <c r="W215" s="20" t="n">
        <v>100</v>
      </c>
      <c r="X215" s="20" t="n">
        <v>28</v>
      </c>
      <c r="Y215" s="40">
        <f>ROUND((V215*'Methodology &amp; Assumptions'!$B$6)+(W215*'Methodology &amp; Assumptions'!$B$5)+(X215*'Methodology &amp; Assumptions'!$B$7), 2)</f>
        <v/>
      </c>
    </row>
    <row r="216" ht="19" customHeight="1">
      <c r="A216" s="41" t="n">
        <v>212</v>
      </c>
      <c r="B216" s="41" t="n">
        <v>2212</v>
      </c>
      <c r="C216" s="42" t="inlineStr">
        <is>
          <t>0405629011</t>
        </is>
      </c>
      <c r="D216" s="42" t="inlineStr">
        <is>
          <t>Region IV-A (CALABARZON)</t>
        </is>
      </c>
      <c r="E216" s="42" t="inlineStr">
        <is>
          <t>Quezon</t>
        </is>
      </c>
      <c r="F216" s="42" t="inlineStr">
        <is>
          <t>Padre Burgos</t>
        </is>
      </c>
      <c r="G216" s="42" t="inlineStr">
        <is>
          <t>Burgos</t>
        </is>
      </c>
      <c r="H216" s="43" t="n">
        <v>13.917297</v>
      </c>
      <c r="I216" s="43" t="n">
        <v>121.816534</v>
      </c>
      <c r="J216" s="44" t="inlineStr">
        <is>
          <t>R</t>
        </is>
      </c>
      <c r="K216" s="42" t="inlineStr">
        <is>
          <t>4th</t>
        </is>
      </c>
      <c r="L216" s="23" t="n">
        <v>902</v>
      </c>
      <c r="M216" s="24" t="n">
        <v>4.33</v>
      </c>
      <c r="N216" s="23">
        <f>ROUND(L216/M216, 0)</f>
        <v/>
      </c>
      <c r="O216" s="23">
        <f>ROUND(N216*'Methodology &amp; Assumptions'!$B$8, 0)</f>
        <v/>
      </c>
      <c r="P216" s="44" t="inlineStr">
        <is>
          <t>Band n50 (1.5 GHz, 60 MHz)</t>
        </is>
      </c>
      <c r="Q216" s="38">
        <f>ROUNDUP(O216/'Methodology &amp; Assumptions'!$B$9, 0)</f>
        <v/>
      </c>
      <c r="R216" s="39" t="n">
        <v>1</v>
      </c>
      <c r="S216" s="25" t="n">
        <v>0.19</v>
      </c>
      <c r="T216" s="25" t="n">
        <v>0.22</v>
      </c>
      <c r="U216" s="42" t="inlineStr">
        <is>
          <t>Tier 1A (Direct Coloc, &lt;1 km)</t>
        </is>
      </c>
      <c r="V216" s="24" t="n">
        <v>100</v>
      </c>
      <c r="W216" s="24" t="n">
        <v>40.5</v>
      </c>
      <c r="X216" s="24" t="n">
        <v>68.5</v>
      </c>
      <c r="Y216" s="45">
        <f>ROUND((V216*'Methodology &amp; Assumptions'!$B$6)+(W216*'Methodology &amp; Assumptions'!$B$5)+(X216*'Methodology &amp; Assumptions'!$B$7), 2)</f>
        <v/>
      </c>
    </row>
    <row r="217" ht="19" customHeight="1">
      <c r="A217" s="35" t="n">
        <v>213</v>
      </c>
      <c r="B217" s="35" t="n">
        <v>2213</v>
      </c>
      <c r="C217" s="36" t="inlineStr">
        <is>
          <t>0501706026</t>
        </is>
      </c>
      <c r="D217" s="36" t="inlineStr">
        <is>
          <t>Region V (Bicol Region)</t>
        </is>
      </c>
      <c r="E217" s="36" t="inlineStr">
        <is>
          <t>Camarines Sur</t>
        </is>
      </c>
      <c r="F217" s="36" t="inlineStr">
        <is>
          <t>Bula</t>
        </is>
      </c>
      <c r="G217" s="36" t="inlineStr">
        <is>
          <t>San Jose</t>
        </is>
      </c>
      <c r="H217" s="37" t="n">
        <v>13.47259</v>
      </c>
      <c r="I217" s="37" t="n">
        <v>123.283455</v>
      </c>
      <c r="J217" s="8" t="inlineStr">
        <is>
          <t>R</t>
        </is>
      </c>
      <c r="K217" s="36" t="inlineStr">
        <is>
          <t>Class 1-3 / Urban</t>
        </is>
      </c>
      <c r="L217" s="18" t="n">
        <v>2563</v>
      </c>
      <c r="M217" s="20" t="n">
        <v>4.9</v>
      </c>
      <c r="N217" s="18">
        <f>ROUND(L217/M217, 0)</f>
        <v/>
      </c>
      <c r="O217" s="18">
        <f>ROUND(N217*'Methodology &amp; Assumptions'!$B$8, 0)</f>
        <v/>
      </c>
      <c r="P217" s="8" t="inlineStr">
        <is>
          <t>Band n50 (1.5 GHz, 60 MHz)</t>
        </is>
      </c>
      <c r="Q217" s="38">
        <f>ROUNDUP(O217/'Methodology &amp; Assumptions'!$B$9, 0)</f>
        <v/>
      </c>
      <c r="R217" s="39" t="n">
        <v>1</v>
      </c>
      <c r="S217" s="21" t="n">
        <v>0.53</v>
      </c>
      <c r="T217" s="21" t="n">
        <v>4.6</v>
      </c>
      <c r="U217" s="36" t="inlineStr">
        <is>
          <t>Tier 1A (Direct Coloc, &lt;1 km)</t>
        </is>
      </c>
      <c r="V217" s="20" t="n">
        <v>83.7</v>
      </c>
      <c r="W217" s="20" t="n">
        <v>65.90000000000001</v>
      </c>
      <c r="X217" s="20" t="n">
        <v>58</v>
      </c>
      <c r="Y217" s="40">
        <f>ROUND((V217*'Methodology &amp; Assumptions'!$B$6)+(W217*'Methodology &amp; Assumptions'!$B$5)+(X217*'Methodology &amp; Assumptions'!$B$7), 2)</f>
        <v/>
      </c>
    </row>
    <row r="218" ht="19" customHeight="1">
      <c r="A218" s="41" t="n">
        <v>214</v>
      </c>
      <c r="B218" s="41" t="n">
        <v>2214</v>
      </c>
      <c r="C218" s="42" t="inlineStr">
        <is>
          <t>0806417029</t>
        </is>
      </c>
      <c r="D218" s="42" t="inlineStr">
        <is>
          <t>Region VIII (Eastern Visayas)</t>
        </is>
      </c>
      <c r="E218" s="42" t="inlineStr">
        <is>
          <t>Southern Leyte</t>
        </is>
      </c>
      <c r="F218" s="42" t="inlineStr">
        <is>
          <t>Sogod</t>
        </is>
      </c>
      <c r="G218" s="42" t="inlineStr">
        <is>
          <t>Zone III</t>
        </is>
      </c>
      <c r="H218" s="43" t="n">
        <v>10.383472</v>
      </c>
      <c r="I218" s="43" t="n">
        <v>124.983201</v>
      </c>
      <c r="J218" s="44" t="inlineStr">
        <is>
          <t>U</t>
        </is>
      </c>
      <c r="K218" s="42" t="inlineStr">
        <is>
          <t>Class 1-3 / Urban</t>
        </is>
      </c>
      <c r="L218" s="23" t="n">
        <v>2174</v>
      </c>
      <c r="M218" s="24" t="n">
        <v>4.53</v>
      </c>
      <c r="N218" s="23">
        <f>ROUND(L218/M218, 0)</f>
        <v/>
      </c>
      <c r="O218" s="23">
        <f>ROUND(N218*'Methodology &amp; Assumptions'!$B$8, 0)</f>
        <v/>
      </c>
      <c r="P218" s="44" t="inlineStr">
        <is>
          <t>Band n50 (1.5 GHz, 60 MHz)</t>
        </is>
      </c>
      <c r="Q218" s="38">
        <f>ROUNDUP(O218/'Methodology &amp; Assumptions'!$B$9, 0)</f>
        <v/>
      </c>
      <c r="R218" s="39" t="n">
        <v>1</v>
      </c>
      <c r="S218" s="25" t="n">
        <v>0.3</v>
      </c>
      <c r="T218" s="25" t="n">
        <v>0.47</v>
      </c>
      <c r="U218" s="42" t="inlineStr">
        <is>
          <t>Tier 1A (Direct Coloc, &lt;1 km)</t>
        </is>
      </c>
      <c r="V218" s="24" t="n">
        <v>100</v>
      </c>
      <c r="W218" s="24" t="n">
        <v>62.4</v>
      </c>
      <c r="X218" s="24" t="n">
        <v>43</v>
      </c>
      <c r="Y218" s="45">
        <f>ROUND((V218*'Methodology &amp; Assumptions'!$B$6)+(W218*'Methodology &amp; Assumptions'!$B$5)+(X218*'Methodology &amp; Assumptions'!$B$7), 2)</f>
        <v/>
      </c>
    </row>
    <row r="219" ht="19" customHeight="1">
      <c r="A219" s="35" t="n">
        <v>215</v>
      </c>
      <c r="B219" s="35" t="n">
        <v>2215</v>
      </c>
      <c r="C219" s="36" t="inlineStr">
        <is>
          <t>1004324010</t>
        </is>
      </c>
      <c r="D219" s="36" t="inlineStr">
        <is>
          <t>Region X (Northern Mindanao)</t>
        </is>
      </c>
      <c r="E219" s="36" t="inlineStr">
        <is>
          <t>Misamis Oriental</t>
        </is>
      </c>
      <c r="F219" s="36" t="inlineStr">
        <is>
          <t>Tagoloan</t>
        </is>
      </c>
      <c r="G219" s="36" t="inlineStr">
        <is>
          <t>Sugbongcogon</t>
        </is>
      </c>
      <c r="H219" s="37" t="n">
        <v>8.527799999999999</v>
      </c>
      <c r="I219" s="37" t="n">
        <v>124.7477</v>
      </c>
      <c r="J219" s="8" t="inlineStr">
        <is>
          <t>U</t>
        </is>
      </c>
      <c r="K219" s="36" t="inlineStr">
        <is>
          <t>Class 1-3 / Urban</t>
        </is>
      </c>
      <c r="L219" s="18" t="n">
        <v>4602</v>
      </c>
      <c r="M219" s="20" t="n">
        <v>4.54</v>
      </c>
      <c r="N219" s="18">
        <f>ROUND(L219/M219, 0)</f>
        <v/>
      </c>
      <c r="O219" s="18">
        <f>ROUND(N219*'Methodology &amp; Assumptions'!$B$8, 0)</f>
        <v/>
      </c>
      <c r="P219" s="8" t="inlineStr">
        <is>
          <t>Band n50 (1.5 GHz, 60 MHz)</t>
        </is>
      </c>
      <c r="Q219" s="38">
        <f>ROUNDUP(O219/'Methodology &amp; Assumptions'!$B$9, 0)</f>
        <v/>
      </c>
      <c r="R219" s="39" t="n">
        <v>1</v>
      </c>
      <c r="S219" s="21" t="n">
        <v>1.28</v>
      </c>
      <c r="T219" s="21" t="n">
        <v>0.91</v>
      </c>
      <c r="U219" s="36" t="inlineStr">
        <is>
          <t>Tier 1B (Micro Drop, 1-3 km)</t>
        </is>
      </c>
      <c r="V219" s="20" t="n">
        <v>75.3</v>
      </c>
      <c r="W219" s="20" t="n">
        <v>100</v>
      </c>
      <c r="X219" s="20" t="n">
        <v>28</v>
      </c>
      <c r="Y219" s="40">
        <f>ROUND((V219*'Methodology &amp; Assumptions'!$B$6)+(W219*'Methodology &amp; Assumptions'!$B$5)+(X219*'Methodology &amp; Assumptions'!$B$7), 2)</f>
        <v/>
      </c>
    </row>
    <row r="220" ht="19" customHeight="1">
      <c r="A220" s="41" t="n">
        <v>216</v>
      </c>
      <c r="B220" s="41" t="n">
        <v>2216</v>
      </c>
      <c r="C220" s="42" t="inlineStr">
        <is>
          <t>0205007010</t>
        </is>
      </c>
      <c r="D220" s="42" t="inlineStr">
        <is>
          <t>Region II (Cagayan Valley)</t>
        </is>
      </c>
      <c r="E220" s="42" t="inlineStr">
        <is>
          <t>Nueva Vizcaya</t>
        </is>
      </c>
      <c r="F220" s="42" t="inlineStr">
        <is>
          <t>Dupax del Norte</t>
        </is>
      </c>
      <c r="G220" s="42" t="inlineStr">
        <is>
          <t>Ineangan</t>
        </is>
      </c>
      <c r="H220" s="43" t="n">
        <v>16.317095</v>
      </c>
      <c r="I220" s="43" t="n">
        <v>121.091642</v>
      </c>
      <c r="J220" s="44" t="inlineStr">
        <is>
          <t>R</t>
        </is>
      </c>
      <c r="K220" s="42" t="inlineStr">
        <is>
          <t>Class 1-3 / Urban</t>
        </is>
      </c>
      <c r="L220" s="23" t="n">
        <v>4330</v>
      </c>
      <c r="M220" s="24" t="n">
        <v>4.19</v>
      </c>
      <c r="N220" s="23">
        <f>ROUND(L220/M220, 0)</f>
        <v/>
      </c>
      <c r="O220" s="23">
        <f>ROUND(N220*'Methodology &amp; Assumptions'!$B$8, 0)</f>
        <v/>
      </c>
      <c r="P220" s="44" t="inlineStr">
        <is>
          <t>Band n50 (1.5 GHz, 60 MHz)</t>
        </is>
      </c>
      <c r="Q220" s="38">
        <f>ROUNDUP(O220/'Methodology &amp; Assumptions'!$B$9, 0)</f>
        <v/>
      </c>
      <c r="R220" s="39" t="n">
        <v>1</v>
      </c>
      <c r="S220" s="25" t="n">
        <v>2.11</v>
      </c>
      <c r="T220" s="25" t="n">
        <v>2.17</v>
      </c>
      <c r="U220" s="42" t="inlineStr">
        <is>
          <t>Tier 1B (Micro Drop, 1-3 km)</t>
        </is>
      </c>
      <c r="V220" s="24" t="n">
        <v>49.5</v>
      </c>
      <c r="W220" s="24" t="n">
        <v>100</v>
      </c>
      <c r="X220" s="24" t="n">
        <v>58</v>
      </c>
      <c r="Y220" s="45">
        <f>ROUND((V220*'Methodology &amp; Assumptions'!$B$6)+(W220*'Methodology &amp; Assumptions'!$B$5)+(X220*'Methodology &amp; Assumptions'!$B$7), 2)</f>
        <v/>
      </c>
    </row>
    <row r="221" ht="19" customHeight="1">
      <c r="A221" s="35" t="n">
        <v>217</v>
      </c>
      <c r="B221" s="35" t="n">
        <v>2217</v>
      </c>
      <c r="C221" s="36" t="inlineStr">
        <is>
          <t>0506212043</t>
        </is>
      </c>
      <c r="D221" s="36" t="inlineStr">
        <is>
          <t>Region V (Bicol Region)</t>
        </is>
      </c>
      <c r="E221" s="36" t="inlineStr">
        <is>
          <t>Sorsogon</t>
        </is>
      </c>
      <c r="F221" s="36" t="inlineStr">
        <is>
          <t>Matnog</t>
        </is>
      </c>
      <c r="G221" s="36" t="inlineStr">
        <is>
          <t>Tabunan</t>
        </is>
      </c>
      <c r="H221" s="37" t="n">
        <v>12.581203</v>
      </c>
      <c r="I221" s="37" t="n">
        <v>124.084614</v>
      </c>
      <c r="J221" s="8" t="inlineStr">
        <is>
          <t>R</t>
        </is>
      </c>
      <c r="K221" s="36" t="inlineStr">
        <is>
          <t>Class 1-3 / Urban</t>
        </is>
      </c>
      <c r="L221" s="18" t="n">
        <v>2010</v>
      </c>
      <c r="M221" s="20" t="n">
        <v>4.58</v>
      </c>
      <c r="N221" s="18">
        <f>ROUND(L221/M221, 0)</f>
        <v/>
      </c>
      <c r="O221" s="18">
        <f>ROUND(N221*'Methodology &amp; Assumptions'!$B$8, 0)</f>
        <v/>
      </c>
      <c r="P221" s="8" t="inlineStr">
        <is>
          <t>Band n50 (1.5 GHz, 60 MHz)</t>
        </is>
      </c>
      <c r="Q221" s="38">
        <f>ROUNDUP(O221/'Methodology &amp; Assumptions'!$B$9, 0)</f>
        <v/>
      </c>
      <c r="R221" s="39" t="n">
        <v>1</v>
      </c>
      <c r="S221" s="21" t="n">
        <v>0.66</v>
      </c>
      <c r="T221" s="21" t="n">
        <v>0.65</v>
      </c>
      <c r="U221" s="36" t="inlineStr">
        <is>
          <t>Tier 1A (Direct Coloc, &lt;1 km)</t>
        </is>
      </c>
      <c r="V221" s="20" t="n">
        <v>90.3</v>
      </c>
      <c r="W221" s="20" t="n">
        <v>59.2</v>
      </c>
      <c r="X221" s="20" t="n">
        <v>58</v>
      </c>
      <c r="Y221" s="40">
        <f>ROUND((V221*'Methodology &amp; Assumptions'!$B$6)+(W221*'Methodology &amp; Assumptions'!$B$5)+(X221*'Methodology &amp; Assumptions'!$B$7), 2)</f>
        <v/>
      </c>
    </row>
    <row r="222" ht="19" customHeight="1">
      <c r="A222" s="41" t="n">
        <v>218</v>
      </c>
      <c r="B222" s="41" t="n">
        <v>2218</v>
      </c>
      <c r="C222" s="42" t="inlineStr">
        <is>
          <t>0403425024</t>
        </is>
      </c>
      <c r="D222" s="42" t="inlineStr">
        <is>
          <t>Region IV-A (CALABARZON)</t>
        </is>
      </c>
      <c r="E222" s="42" t="inlineStr">
        <is>
          <t>Laguna</t>
        </is>
      </c>
      <c r="F222" s="42" t="inlineStr">
        <is>
          <t>City of San Pedro</t>
        </is>
      </c>
      <c r="G222" s="42" t="inlineStr">
        <is>
          <t>Fatima</t>
        </is>
      </c>
      <c r="H222" s="43" t="n">
        <v>14.354678</v>
      </c>
      <c r="I222" s="43" t="n">
        <v>121.053696</v>
      </c>
      <c r="J222" s="44" t="inlineStr">
        <is>
          <t>U</t>
        </is>
      </c>
      <c r="K222" s="42" t="inlineStr">
        <is>
          <t>Class 1-3 / Urban</t>
        </is>
      </c>
      <c r="L222" s="23" t="n">
        <v>6491</v>
      </c>
      <c r="M222" s="24" t="n">
        <v>4.2</v>
      </c>
      <c r="N222" s="23">
        <f>ROUND(L222/M222, 0)</f>
        <v/>
      </c>
      <c r="O222" s="23">
        <f>ROUND(N222*'Methodology &amp; Assumptions'!$B$8, 0)</f>
        <v/>
      </c>
      <c r="P222" s="44" t="inlineStr">
        <is>
          <t>Band n50 (1.5 GHz, 60 MHz)</t>
        </is>
      </c>
      <c r="Q222" s="38">
        <f>ROUNDUP(O222/'Methodology &amp; Assumptions'!$B$9, 0)</f>
        <v/>
      </c>
      <c r="R222" s="39" t="n">
        <v>1</v>
      </c>
      <c r="S222" s="25" t="n">
        <v>1.28</v>
      </c>
      <c r="T222" s="25" t="n">
        <v>0.63</v>
      </c>
      <c r="U222" s="42" t="inlineStr">
        <is>
          <t>Tier 1B (Micro Drop, 1-3 km)</t>
        </is>
      </c>
      <c r="V222" s="24" t="n">
        <v>75.2</v>
      </c>
      <c r="W222" s="24" t="n">
        <v>100</v>
      </c>
      <c r="X222" s="24" t="n">
        <v>28</v>
      </c>
      <c r="Y222" s="45">
        <f>ROUND((V222*'Methodology &amp; Assumptions'!$B$6)+(W222*'Methodology &amp; Assumptions'!$B$5)+(X222*'Methodology &amp; Assumptions'!$B$7), 2)</f>
        <v/>
      </c>
    </row>
    <row r="223" ht="19" customHeight="1">
      <c r="A223" s="35" t="n">
        <v>219</v>
      </c>
      <c r="B223" s="35" t="n">
        <v>2219</v>
      </c>
      <c r="C223" s="36" t="inlineStr">
        <is>
          <t>0405645047</t>
        </is>
      </c>
      <c r="D223" s="36" t="inlineStr">
        <is>
          <t>Region IV-A (CALABARZON)</t>
        </is>
      </c>
      <c r="E223" s="36" t="inlineStr">
        <is>
          <t>Quezon</t>
        </is>
      </c>
      <c r="F223" s="36" t="inlineStr">
        <is>
          <t>Sariaya</t>
        </is>
      </c>
      <c r="G223" s="36" t="inlineStr">
        <is>
          <t>Mamala II</t>
        </is>
      </c>
      <c r="H223" s="37" t="n">
        <v>13.96857</v>
      </c>
      <c r="I223" s="37" t="n">
        <v>121.52632</v>
      </c>
      <c r="J223" s="8" t="inlineStr">
        <is>
          <t>U</t>
        </is>
      </c>
      <c r="K223" s="36" t="inlineStr">
        <is>
          <t>Class 1-3 / Urban</t>
        </is>
      </c>
      <c r="L223" s="18" t="n">
        <v>6016</v>
      </c>
      <c r="M223" s="20" t="n">
        <v>4.46</v>
      </c>
      <c r="N223" s="18">
        <f>ROUND(L223/M223, 0)</f>
        <v/>
      </c>
      <c r="O223" s="18">
        <f>ROUND(N223*'Methodology &amp; Assumptions'!$B$8, 0)</f>
        <v/>
      </c>
      <c r="P223" s="8" t="inlineStr">
        <is>
          <t>Band n50 (1.5 GHz, 60 MHz)</t>
        </is>
      </c>
      <c r="Q223" s="38">
        <f>ROUNDUP(O223/'Methodology &amp; Assumptions'!$B$9, 0)</f>
        <v/>
      </c>
      <c r="R223" s="39" t="n">
        <v>1</v>
      </c>
      <c r="S223" s="21" t="n">
        <v>1.28</v>
      </c>
      <c r="T223" s="21" t="n">
        <v>0.52</v>
      </c>
      <c r="U223" s="36" t="inlineStr">
        <is>
          <t>Tier 1B (Micro Drop, 1-3 km)</t>
        </is>
      </c>
      <c r="V223" s="20" t="n">
        <v>75.2</v>
      </c>
      <c r="W223" s="20" t="n">
        <v>100</v>
      </c>
      <c r="X223" s="20" t="n">
        <v>28</v>
      </c>
      <c r="Y223" s="40">
        <f>ROUND((V223*'Methodology &amp; Assumptions'!$B$6)+(W223*'Methodology &amp; Assumptions'!$B$5)+(X223*'Methodology &amp; Assumptions'!$B$7), 2)</f>
        <v/>
      </c>
    </row>
    <row r="224" ht="19" customHeight="1">
      <c r="A224" s="41" t="n">
        <v>220</v>
      </c>
      <c r="B224" s="41" t="n">
        <v>2220</v>
      </c>
      <c r="C224" s="42" t="inlineStr">
        <is>
          <t>0403429007</t>
        </is>
      </c>
      <c r="D224" s="42" t="inlineStr">
        <is>
          <t>Region IV-A (CALABARZON)</t>
        </is>
      </c>
      <c r="E224" s="42" t="inlineStr">
        <is>
          <t>Laguna</t>
        </is>
      </c>
      <c r="F224" s="42" t="inlineStr">
        <is>
          <t>Siniloan</t>
        </is>
      </c>
      <c r="G224" s="42" t="inlineStr">
        <is>
          <t>Halayhayin</t>
        </is>
      </c>
      <c r="H224" s="43" t="n">
        <v>14.424067</v>
      </c>
      <c r="I224" s="43" t="n">
        <v>121.448593</v>
      </c>
      <c r="J224" s="44" t="inlineStr">
        <is>
          <t>U</t>
        </is>
      </c>
      <c r="K224" s="42" t="inlineStr">
        <is>
          <t>Class 1-3 / Urban</t>
        </is>
      </c>
      <c r="L224" s="23" t="n">
        <v>4847</v>
      </c>
      <c r="M224" s="24" t="n">
        <v>4.2</v>
      </c>
      <c r="N224" s="23">
        <f>ROUND(L224/M224, 0)</f>
        <v/>
      </c>
      <c r="O224" s="23">
        <f>ROUND(N224*'Methodology &amp; Assumptions'!$B$8, 0)</f>
        <v/>
      </c>
      <c r="P224" s="44" t="inlineStr">
        <is>
          <t>Band n50 (1.5 GHz, 60 MHz)</t>
        </is>
      </c>
      <c r="Q224" s="38">
        <f>ROUNDUP(O224/'Methodology &amp; Assumptions'!$B$9, 0)</f>
        <v/>
      </c>
      <c r="R224" s="39" t="n">
        <v>1</v>
      </c>
      <c r="S224" s="25" t="n">
        <v>1.28</v>
      </c>
      <c r="T224" s="25" t="n">
        <v>1.18</v>
      </c>
      <c r="U224" s="42" t="inlineStr">
        <is>
          <t>Tier 1B (Micro Drop, 1-3 km)</t>
        </is>
      </c>
      <c r="V224" s="24" t="n">
        <v>75.2</v>
      </c>
      <c r="W224" s="24" t="n">
        <v>100</v>
      </c>
      <c r="X224" s="24" t="n">
        <v>28</v>
      </c>
      <c r="Y224" s="45">
        <f>ROUND((V224*'Methodology &amp; Assumptions'!$B$6)+(W224*'Methodology &amp; Assumptions'!$B$5)+(X224*'Methodology &amp; Assumptions'!$B$7), 2)</f>
        <v/>
      </c>
    </row>
    <row r="225" ht="19" customHeight="1">
      <c r="A225" s="35" t="n">
        <v>221</v>
      </c>
      <c r="B225" s="35" t="n">
        <v>2221</v>
      </c>
      <c r="C225" s="36" t="inlineStr">
        <is>
          <t>0305407020</t>
        </is>
      </c>
      <c r="D225" s="36" t="inlineStr">
        <is>
          <t>Region III (Central Luzon)</t>
        </is>
      </c>
      <c r="E225" s="36" t="inlineStr">
        <is>
          <t>Pampanga</t>
        </is>
      </c>
      <c r="F225" s="36" t="inlineStr">
        <is>
          <t>Guagua</t>
        </is>
      </c>
      <c r="G225" s="36" t="inlineStr">
        <is>
          <t>San Nicolas 1st</t>
        </is>
      </c>
      <c r="H225" s="37" t="n">
        <v>14.9702</v>
      </c>
      <c r="I225" s="37" t="n">
        <v>120.633416</v>
      </c>
      <c r="J225" s="8" t="inlineStr">
        <is>
          <t>R</t>
        </is>
      </c>
      <c r="K225" s="36" t="inlineStr">
        <is>
          <t>Class 1-3 / Urban</t>
        </is>
      </c>
      <c r="L225" s="18" t="n">
        <v>1822</v>
      </c>
      <c r="M225" s="20" t="n">
        <v>4.63</v>
      </c>
      <c r="N225" s="18">
        <f>ROUND(L225/M225, 0)</f>
        <v/>
      </c>
      <c r="O225" s="18">
        <f>ROUND(N225*'Methodology &amp; Assumptions'!$B$8, 0)</f>
        <v/>
      </c>
      <c r="P225" s="8" t="inlineStr">
        <is>
          <t>Band n50 (1.5 GHz, 60 MHz)</t>
        </is>
      </c>
      <c r="Q225" s="38">
        <f>ROUNDUP(O225/'Methodology &amp; Assumptions'!$B$9, 0)</f>
        <v/>
      </c>
      <c r="R225" s="39" t="n">
        <v>1</v>
      </c>
      <c r="S225" s="21" t="n">
        <v>0.52</v>
      </c>
      <c r="T225" s="21" t="n">
        <v>0.05</v>
      </c>
      <c r="U225" s="36" t="inlineStr">
        <is>
          <t>Tier 1A (Direct Coloc, &lt;1 km)</t>
        </is>
      </c>
      <c r="V225" s="20" t="n">
        <v>94</v>
      </c>
      <c r="W225" s="20" t="n">
        <v>55.5</v>
      </c>
      <c r="X225" s="20" t="n">
        <v>58</v>
      </c>
      <c r="Y225" s="40">
        <f>ROUND((V225*'Methodology &amp; Assumptions'!$B$6)+(W225*'Methodology &amp; Assumptions'!$B$5)+(X225*'Methodology &amp; Assumptions'!$B$7), 2)</f>
        <v/>
      </c>
    </row>
    <row r="226" ht="19" customHeight="1">
      <c r="A226" s="41" t="n">
        <v>222</v>
      </c>
      <c r="B226" s="41" t="n">
        <v>2222</v>
      </c>
      <c r="C226" s="42" t="inlineStr">
        <is>
          <t>0201528022</t>
        </is>
      </c>
      <c r="D226" s="42" t="inlineStr">
        <is>
          <t>Region II (Cagayan Valley)</t>
        </is>
      </c>
      <c r="E226" s="42" t="inlineStr">
        <is>
          <t>Cagayan</t>
        </is>
      </c>
      <c r="F226" s="42" t="inlineStr">
        <is>
          <t>Tuao</t>
        </is>
      </c>
      <c r="G226" s="42" t="inlineStr">
        <is>
          <t>Mungo</t>
        </is>
      </c>
      <c r="H226" s="43" t="n">
        <v>17.7199</v>
      </c>
      <c r="I226" s="43" t="n">
        <v>121.4737</v>
      </c>
      <c r="J226" s="44" t="inlineStr">
        <is>
          <t>R</t>
        </is>
      </c>
      <c r="K226" s="42" t="inlineStr">
        <is>
          <t>Class 1-3 / Urban</t>
        </is>
      </c>
      <c r="L226" s="23" t="n">
        <v>4994</v>
      </c>
      <c r="M226" s="24" t="n">
        <v>4.38</v>
      </c>
      <c r="N226" s="23">
        <f>ROUND(L226/M226, 0)</f>
        <v/>
      </c>
      <c r="O226" s="23">
        <f>ROUND(N226*'Methodology &amp; Assumptions'!$B$8, 0)</f>
        <v/>
      </c>
      <c r="P226" s="44" t="inlineStr">
        <is>
          <t>Band n50 (1.5 GHz, 60 MHz)</t>
        </is>
      </c>
      <c r="Q226" s="38">
        <f>ROUNDUP(O226/'Methodology &amp; Assumptions'!$B$9, 0)</f>
        <v/>
      </c>
      <c r="R226" s="39" t="n">
        <v>1</v>
      </c>
      <c r="S226" s="25" t="n">
        <v>2.11</v>
      </c>
      <c r="T226" s="25" t="n">
        <v>4.6</v>
      </c>
      <c r="U226" s="42" t="inlineStr">
        <is>
          <t>Tier 1B (Micro Drop, 1-3 km)</t>
        </is>
      </c>
      <c r="V226" s="24" t="n">
        <v>49.5</v>
      </c>
      <c r="W226" s="24" t="n">
        <v>100</v>
      </c>
      <c r="X226" s="24" t="n">
        <v>58</v>
      </c>
      <c r="Y226" s="45">
        <f>ROUND((V226*'Methodology &amp; Assumptions'!$B$6)+(W226*'Methodology &amp; Assumptions'!$B$5)+(X226*'Methodology &amp; Assumptions'!$B$7), 2)</f>
        <v/>
      </c>
    </row>
    <row r="227" ht="19" customHeight="1">
      <c r="A227" s="35" t="n">
        <v>223</v>
      </c>
      <c r="B227" s="35" t="n">
        <v>2223</v>
      </c>
      <c r="C227" s="36" t="inlineStr">
        <is>
          <t>0405628021</t>
        </is>
      </c>
      <c r="D227" s="36" t="inlineStr">
        <is>
          <t>Region IV-A (CALABARZON)</t>
        </is>
      </c>
      <c r="E227" s="36" t="inlineStr">
        <is>
          <t>Quezon</t>
        </is>
      </c>
      <c r="F227" s="36" t="inlineStr">
        <is>
          <t>Mulanay</t>
        </is>
      </c>
      <c r="G227" s="36" t="inlineStr">
        <is>
          <t>Ilayang Yuni</t>
        </is>
      </c>
      <c r="H227" s="37" t="n">
        <v>13.4551</v>
      </c>
      <c r="I227" s="37" t="n">
        <v>122.52077</v>
      </c>
      <c r="J227" s="8" t="inlineStr">
        <is>
          <t>R</t>
        </is>
      </c>
      <c r="K227" s="36" t="inlineStr">
        <is>
          <t>Class 1-3 / Urban</t>
        </is>
      </c>
      <c r="L227" s="18" t="n">
        <v>3840</v>
      </c>
      <c r="M227" s="20" t="n">
        <v>4.46</v>
      </c>
      <c r="N227" s="18">
        <f>ROUND(L227/M227, 0)</f>
        <v/>
      </c>
      <c r="O227" s="18">
        <f>ROUND(N227*'Methodology &amp; Assumptions'!$B$8, 0)</f>
        <v/>
      </c>
      <c r="P227" s="8" t="inlineStr">
        <is>
          <t>Band n50 (1.5 GHz, 60 MHz)</t>
        </is>
      </c>
      <c r="Q227" s="38">
        <f>ROUNDUP(O227/'Methodology &amp; Assumptions'!$B$9, 0)</f>
        <v/>
      </c>
      <c r="R227" s="39" t="n">
        <v>1</v>
      </c>
      <c r="S227" s="21" t="n">
        <v>1.7</v>
      </c>
      <c r="T227" s="21" t="n">
        <v>12.84</v>
      </c>
      <c r="U227" s="36" t="inlineStr">
        <is>
          <t>Tier 1B (Micro Drop, 1-3 km)</t>
        </is>
      </c>
      <c r="V227" s="20" t="n">
        <v>56.7</v>
      </c>
      <c r="W227" s="20" t="n">
        <v>92.8</v>
      </c>
      <c r="X227" s="20" t="n">
        <v>58</v>
      </c>
      <c r="Y227" s="40">
        <f>ROUND((V227*'Methodology &amp; Assumptions'!$B$6)+(W227*'Methodology &amp; Assumptions'!$B$5)+(X227*'Methodology &amp; Assumptions'!$B$7), 2)</f>
        <v/>
      </c>
    </row>
    <row r="228" ht="19" customHeight="1">
      <c r="A228" s="41" t="n">
        <v>224</v>
      </c>
      <c r="B228" s="41" t="n">
        <v>2224</v>
      </c>
      <c r="C228" s="42" t="inlineStr">
        <is>
          <t>0105506013</t>
        </is>
      </c>
      <c r="D228" s="42" t="inlineStr">
        <is>
          <t>Region I (Ilocos Region)</t>
        </is>
      </c>
      <c r="E228" s="42" t="inlineStr">
        <is>
          <t>Pangasinan</t>
        </is>
      </c>
      <c r="F228" s="42" t="inlineStr">
        <is>
          <t>Asingan</t>
        </is>
      </c>
      <c r="G228" s="42" t="inlineStr">
        <is>
          <t>Dupac</t>
        </is>
      </c>
      <c r="H228" s="43" t="n">
        <v>16.013698</v>
      </c>
      <c r="I228" s="43" t="n">
        <v>120.668001</v>
      </c>
      <c r="J228" s="44" t="inlineStr">
        <is>
          <t>R</t>
        </is>
      </c>
      <c r="K228" s="42" t="inlineStr">
        <is>
          <t>Class 1-3 / Urban</t>
        </is>
      </c>
      <c r="L228" s="23" t="n">
        <v>2372</v>
      </c>
      <c r="M228" s="24" t="n">
        <v>4.39</v>
      </c>
      <c r="N228" s="23">
        <f>ROUND(L228/M228, 0)</f>
        <v/>
      </c>
      <c r="O228" s="23">
        <f>ROUND(N228*'Methodology &amp; Assumptions'!$B$8, 0)</f>
        <v/>
      </c>
      <c r="P228" s="44" t="inlineStr">
        <is>
          <t>Band n50 (1.5 GHz, 60 MHz)</t>
        </is>
      </c>
      <c r="Q228" s="38">
        <f>ROUNDUP(O228/'Methodology &amp; Assumptions'!$B$9, 0)</f>
        <v/>
      </c>
      <c r="R228" s="39" t="n">
        <v>1</v>
      </c>
      <c r="S228" s="25" t="n">
        <v>0.97</v>
      </c>
      <c r="T228" s="25" t="n">
        <v>0.97</v>
      </c>
      <c r="U228" s="42" t="inlineStr">
        <is>
          <t>Tier 1A (Direct Coloc, &lt;1 km)</t>
        </is>
      </c>
      <c r="V228" s="24" t="n">
        <v>82.3</v>
      </c>
      <c r="W228" s="24" t="n">
        <v>67.2</v>
      </c>
      <c r="X228" s="24" t="n">
        <v>58</v>
      </c>
      <c r="Y228" s="45">
        <f>ROUND((V228*'Methodology &amp; Assumptions'!$B$6)+(W228*'Methodology &amp; Assumptions'!$B$5)+(X228*'Methodology &amp; Assumptions'!$B$7), 2)</f>
        <v/>
      </c>
    </row>
    <row r="229" ht="19" customHeight="1">
      <c r="A229" s="35" t="n">
        <v>225</v>
      </c>
      <c r="B229" s="35" t="n">
        <v>2225</v>
      </c>
      <c r="C229" s="36" t="inlineStr">
        <is>
          <t>0501601001</t>
        </is>
      </c>
      <c r="D229" s="36" t="inlineStr">
        <is>
          <t>Region V (Bicol Region)</t>
        </is>
      </c>
      <c r="E229" s="36" t="inlineStr">
        <is>
          <t>Camarines Norte</t>
        </is>
      </c>
      <c r="F229" s="36" t="inlineStr">
        <is>
          <t>Basud</t>
        </is>
      </c>
      <c r="G229" s="36" t="inlineStr">
        <is>
          <t>Angas</t>
        </is>
      </c>
      <c r="H229" s="37" t="n">
        <v>14.046299</v>
      </c>
      <c r="I229" s="37" t="n">
        <v>123.016832</v>
      </c>
      <c r="J229" s="8" t="inlineStr">
        <is>
          <t>R</t>
        </is>
      </c>
      <c r="K229" s="36" t="inlineStr">
        <is>
          <t>Class 1-3 / Urban</t>
        </is>
      </c>
      <c r="L229" s="18" t="n">
        <v>1483</v>
      </c>
      <c r="M229" s="20" t="n">
        <v>4.4</v>
      </c>
      <c r="N229" s="18">
        <f>ROUND(L229/M229, 0)</f>
        <v/>
      </c>
      <c r="O229" s="18">
        <f>ROUND(N229*'Methodology &amp; Assumptions'!$B$8, 0)</f>
        <v/>
      </c>
      <c r="P229" s="8" t="inlineStr">
        <is>
          <t>Band n50 (1.5 GHz, 60 MHz)</t>
        </is>
      </c>
      <c r="Q229" s="38">
        <f>ROUNDUP(O229/'Methodology &amp; Assumptions'!$B$9, 0)</f>
        <v/>
      </c>
      <c r="R229" s="39" t="n">
        <v>1</v>
      </c>
      <c r="S229" s="21" t="n">
        <v>0.04</v>
      </c>
      <c r="T229" s="21" t="n">
        <v>6.47</v>
      </c>
      <c r="U229" s="36" t="inlineStr">
        <is>
          <t>Tier 1A (Direct Coloc, &lt;1 km)</t>
        </is>
      </c>
      <c r="V229" s="20" t="n">
        <v>98.5</v>
      </c>
      <c r="W229" s="20" t="n">
        <v>50.9</v>
      </c>
      <c r="X229" s="20" t="n">
        <v>58</v>
      </c>
      <c r="Y229" s="40">
        <f>ROUND((V229*'Methodology &amp; Assumptions'!$B$6)+(W229*'Methodology &amp; Assumptions'!$B$5)+(X229*'Methodology &amp; Assumptions'!$B$7), 2)</f>
        <v/>
      </c>
    </row>
    <row r="230" ht="19" customHeight="1">
      <c r="A230" s="41" t="n">
        <v>226</v>
      </c>
      <c r="B230" s="41" t="n">
        <v>2226</v>
      </c>
      <c r="C230" s="42" t="inlineStr">
        <is>
          <t>1130700020</t>
        </is>
      </c>
      <c r="D230" s="42" t="inlineStr">
        <is>
          <t>Region XI (Davao Region)</t>
        </is>
      </c>
      <c r="E230" s="42" t="inlineStr">
        <is>
          <t>Davao del Sur</t>
        </is>
      </c>
      <c r="F230" s="42" t="inlineStr">
        <is>
          <t>City of Davao</t>
        </is>
      </c>
      <c r="G230" s="42" t="inlineStr">
        <is>
          <t>Bucana</t>
        </is>
      </c>
      <c r="H230" s="43" t="n">
        <v>7.059198</v>
      </c>
      <c r="I230" s="43" t="n">
        <v>125.613466</v>
      </c>
      <c r="J230" s="44" t="inlineStr">
        <is>
          <t>U</t>
        </is>
      </c>
      <c r="K230" s="42" t="inlineStr">
        <is>
          <t>Class 1-3 / Urban</t>
        </is>
      </c>
      <c r="L230" s="23" t="n">
        <v>80538</v>
      </c>
      <c r="M230" s="24" t="n">
        <v>4.1</v>
      </c>
      <c r="N230" s="23">
        <f>ROUND(L230/M230, 0)</f>
        <v/>
      </c>
      <c r="O230" s="23">
        <f>ROUND(N230*'Methodology &amp; Assumptions'!$B$8, 0)</f>
        <v/>
      </c>
      <c r="P230" s="44" t="inlineStr">
        <is>
          <t>Band n50 (1.5 GHz, 60 MHz)</t>
        </is>
      </c>
      <c r="Q230" s="38">
        <f>ROUNDUP(O230/'Methodology &amp; Assumptions'!$B$9, 0)</f>
        <v/>
      </c>
      <c r="R230" s="39" t="n">
        <v>1</v>
      </c>
      <c r="S230" s="25" t="n">
        <v>0.99</v>
      </c>
      <c r="T230" s="25" t="n">
        <v>0.48</v>
      </c>
      <c r="U230" s="42" t="inlineStr">
        <is>
          <t>Tier 1A (Direct Coloc, &lt;1 km)</t>
        </is>
      </c>
      <c r="V230" s="24" t="n">
        <v>81.8</v>
      </c>
      <c r="W230" s="24" t="n">
        <v>93.40000000000001</v>
      </c>
      <c r="X230" s="24" t="n">
        <v>28</v>
      </c>
      <c r="Y230" s="45">
        <f>ROUND((V230*'Methodology &amp; Assumptions'!$B$6)+(W230*'Methodology &amp; Assumptions'!$B$5)+(X230*'Methodology &amp; Assumptions'!$B$7), 2)</f>
        <v/>
      </c>
    </row>
    <row r="231" ht="19" customHeight="1">
      <c r="A231" s="35" t="n">
        <v>227</v>
      </c>
      <c r="B231" s="35" t="n">
        <v>2227</v>
      </c>
      <c r="C231" s="36" t="inlineStr">
        <is>
          <t>1130700075</t>
        </is>
      </c>
      <c r="D231" s="36" t="inlineStr">
        <is>
          <t>Region XI (Davao Region)</t>
        </is>
      </c>
      <c r="E231" s="36" t="inlineStr">
        <is>
          <t>Davao del Sur</t>
        </is>
      </c>
      <c r="F231" s="36" t="inlineStr">
        <is>
          <t>City of Davao</t>
        </is>
      </c>
      <c r="G231" s="36" t="inlineStr">
        <is>
          <t>Matina Crossing</t>
        </is>
      </c>
      <c r="H231" s="37" t="n">
        <v>7.059198</v>
      </c>
      <c r="I231" s="37" t="n">
        <v>125.568557</v>
      </c>
      <c r="J231" s="8" t="inlineStr">
        <is>
          <t>U</t>
        </is>
      </c>
      <c r="K231" s="36" t="inlineStr">
        <is>
          <t>Class 1-3 / Urban</t>
        </is>
      </c>
      <c r="L231" s="18" t="n">
        <v>41407</v>
      </c>
      <c r="M231" s="20" t="n">
        <v>4.1</v>
      </c>
      <c r="N231" s="18">
        <f>ROUND(L231/M231, 0)</f>
        <v/>
      </c>
      <c r="O231" s="18">
        <f>ROUND(N231*'Methodology &amp; Assumptions'!$B$8, 0)</f>
        <v/>
      </c>
      <c r="P231" s="8" t="inlineStr">
        <is>
          <t>Band n50 (1.5 GHz, 60 MHz)</t>
        </is>
      </c>
      <c r="Q231" s="38">
        <f>ROUNDUP(O231/'Methodology &amp; Assumptions'!$B$9, 0)</f>
        <v/>
      </c>
      <c r="R231" s="39" t="n">
        <v>1</v>
      </c>
      <c r="S231" s="21" t="n">
        <v>1.17</v>
      </c>
      <c r="T231" s="21" t="n">
        <v>0.04</v>
      </c>
      <c r="U231" s="36" t="inlineStr">
        <is>
          <t>Tier 1B (Micro Drop, 1-3 km)</t>
        </is>
      </c>
      <c r="V231" s="20" t="n">
        <v>77.8</v>
      </c>
      <c r="W231" s="20" t="n">
        <v>97.3</v>
      </c>
      <c r="X231" s="20" t="n">
        <v>28</v>
      </c>
      <c r="Y231" s="40">
        <f>ROUND((V231*'Methodology &amp; Assumptions'!$B$6)+(W231*'Methodology &amp; Assumptions'!$B$5)+(X231*'Methodology &amp; Assumptions'!$B$7), 2)</f>
        <v/>
      </c>
    </row>
    <row r="232" ht="19" customHeight="1">
      <c r="A232" s="41" t="n">
        <v>228</v>
      </c>
      <c r="B232" s="41" t="n">
        <v>2228</v>
      </c>
      <c r="C232" s="42" t="inlineStr">
        <is>
          <t>1102412021</t>
        </is>
      </c>
      <c r="D232" s="42" t="inlineStr">
        <is>
          <t>Region XI (Davao Region)</t>
        </is>
      </c>
      <c r="E232" s="42" t="inlineStr">
        <is>
          <t>Davao del Sur</t>
        </is>
      </c>
      <c r="F232" s="42" t="inlineStr">
        <is>
          <t>Santa Cruz</t>
        </is>
      </c>
      <c r="G232" s="42" t="inlineStr">
        <is>
          <t>Zone IV</t>
        </is>
      </c>
      <c r="H232" s="43" t="n">
        <v>6.83106</v>
      </c>
      <c r="I232" s="43" t="n">
        <v>125.404212</v>
      </c>
      <c r="J232" s="44" t="inlineStr">
        <is>
          <t>U</t>
        </is>
      </c>
      <c r="K232" s="42" t="inlineStr">
        <is>
          <t>Class 1-3 / Urban</t>
        </is>
      </c>
      <c r="L232" s="23" t="n">
        <v>6976</v>
      </c>
      <c r="M232" s="24" t="n">
        <v>4.1</v>
      </c>
      <c r="N232" s="23">
        <f>ROUND(L232/M232, 0)</f>
        <v/>
      </c>
      <c r="O232" s="23">
        <f>ROUND(N232*'Methodology &amp; Assumptions'!$B$8, 0)</f>
        <v/>
      </c>
      <c r="P232" s="44" t="inlineStr">
        <is>
          <t>Band n50 (1.5 GHz, 60 MHz)</t>
        </is>
      </c>
      <c r="Q232" s="38">
        <f>ROUNDUP(O232/'Methodology &amp; Assumptions'!$B$9, 0)</f>
        <v/>
      </c>
      <c r="R232" s="39" t="n">
        <v>1</v>
      </c>
      <c r="S232" s="25" t="n">
        <v>1.29</v>
      </c>
      <c r="T232" s="25" t="n">
        <v>0.29</v>
      </c>
      <c r="U232" s="42" t="inlineStr">
        <is>
          <t>Tier 1B (Micro Drop, 1-3 km)</t>
        </is>
      </c>
      <c r="V232" s="24" t="n">
        <v>75.09999999999999</v>
      </c>
      <c r="W232" s="24" t="n">
        <v>100</v>
      </c>
      <c r="X232" s="24" t="n">
        <v>28</v>
      </c>
      <c r="Y232" s="45">
        <f>ROUND((V232*'Methodology &amp; Assumptions'!$B$6)+(W232*'Methodology &amp; Assumptions'!$B$5)+(X232*'Methodology &amp; Assumptions'!$B$7), 2)</f>
        <v/>
      </c>
    </row>
    <row r="233" ht="19" customHeight="1">
      <c r="A233" s="35" t="n">
        <v>229</v>
      </c>
      <c r="B233" s="35" t="n">
        <v>2229</v>
      </c>
      <c r="C233" s="36" t="inlineStr">
        <is>
          <t>0203132020</t>
        </is>
      </c>
      <c r="D233" s="36" t="inlineStr">
        <is>
          <t>Region II (Cagayan Valley)</t>
        </is>
      </c>
      <c r="E233" s="36" t="inlineStr">
        <is>
          <t>Isabela</t>
        </is>
      </c>
      <c r="F233" s="36" t="inlineStr">
        <is>
          <t>San Mateo</t>
        </is>
      </c>
      <c r="G233" s="36" t="inlineStr">
        <is>
          <t>Barangay IV</t>
        </is>
      </c>
      <c r="H233" s="37" t="n">
        <v>16.882029</v>
      </c>
      <c r="I233" s="37" t="n">
        <v>121.585648</v>
      </c>
      <c r="J233" s="8" t="inlineStr">
        <is>
          <t>U</t>
        </is>
      </c>
      <c r="K233" s="36" t="inlineStr">
        <is>
          <t>Class 1-3 / Urban</t>
        </is>
      </c>
      <c r="L233" s="18" t="n">
        <v>3134</v>
      </c>
      <c r="M233" s="20" t="n">
        <v>4.3</v>
      </c>
      <c r="N233" s="18">
        <f>ROUND(L233/M233, 0)</f>
        <v/>
      </c>
      <c r="O233" s="18">
        <f>ROUND(N233*'Methodology &amp; Assumptions'!$B$8, 0)</f>
        <v/>
      </c>
      <c r="P233" s="8" t="inlineStr">
        <is>
          <t>Band n50 (1.5 GHz, 60 MHz)</t>
        </is>
      </c>
      <c r="Q233" s="38">
        <f>ROUNDUP(O233/'Methodology &amp; Assumptions'!$B$9, 0)</f>
        <v/>
      </c>
      <c r="R233" s="39" t="n">
        <v>1</v>
      </c>
      <c r="S233" s="21" t="n">
        <v>0.23</v>
      </c>
      <c r="T233" s="21" t="n">
        <v>11.98</v>
      </c>
      <c r="U233" s="36" t="inlineStr">
        <is>
          <t>Tier 1A (Direct Coloc, &lt;1 km)</t>
        </is>
      </c>
      <c r="V233" s="20" t="n">
        <v>92.8</v>
      </c>
      <c r="W233" s="20" t="n">
        <v>82.40000000000001</v>
      </c>
      <c r="X233" s="20" t="n">
        <v>28</v>
      </c>
      <c r="Y233" s="40">
        <f>ROUND((V233*'Methodology &amp; Assumptions'!$B$6)+(W233*'Methodology &amp; Assumptions'!$B$5)+(X233*'Methodology &amp; Assumptions'!$B$7), 2)</f>
        <v/>
      </c>
    </row>
    <row r="234" ht="19" customHeight="1">
      <c r="A234" s="41" t="n">
        <v>230</v>
      </c>
      <c r="B234" s="41" t="n">
        <v>2230</v>
      </c>
      <c r="C234" s="42" t="inlineStr">
        <is>
          <t>0304926003</t>
        </is>
      </c>
      <c r="D234" s="42" t="inlineStr">
        <is>
          <t>Region III (Central Luzon)</t>
        </is>
      </c>
      <c r="E234" s="42" t="inlineStr">
        <is>
          <t>Nueva Ecija</t>
        </is>
      </c>
      <c r="F234" s="42" t="inlineStr">
        <is>
          <t>San Jose City</t>
        </is>
      </c>
      <c r="G234" s="42" t="inlineStr">
        <is>
          <t>Abar 2nd</t>
        </is>
      </c>
      <c r="H234" s="43" t="n">
        <v>15.780046</v>
      </c>
      <c r="I234" s="43" t="n">
        <v>120.967679</v>
      </c>
      <c r="J234" s="44" t="inlineStr">
        <is>
          <t>R</t>
        </is>
      </c>
      <c r="K234" s="42" t="inlineStr">
        <is>
          <t>Class 1-3 / Urban</t>
        </is>
      </c>
      <c r="L234" s="23" t="n">
        <v>4031</v>
      </c>
      <c r="M234" s="24" t="n">
        <v>4.32</v>
      </c>
      <c r="N234" s="23">
        <f>ROUND(L234/M234, 0)</f>
        <v/>
      </c>
      <c r="O234" s="23">
        <f>ROUND(N234*'Methodology &amp; Assumptions'!$B$8, 0)</f>
        <v/>
      </c>
      <c r="P234" s="44" t="inlineStr">
        <is>
          <t>Band n50 (1.5 GHz, 60 MHz)</t>
        </is>
      </c>
      <c r="Q234" s="38">
        <f>ROUNDUP(O234/'Methodology &amp; Assumptions'!$B$9, 0)</f>
        <v/>
      </c>
      <c r="R234" s="39" t="n">
        <v>1</v>
      </c>
      <c r="S234" s="25" t="n">
        <v>2.69</v>
      </c>
      <c r="T234" s="25" t="n">
        <v>0.06</v>
      </c>
      <c r="U234" s="42" t="inlineStr">
        <is>
          <t>Tier 1B (Micro Drop, 1-3 km)</t>
        </is>
      </c>
      <c r="V234" s="24" t="n">
        <v>50.7</v>
      </c>
      <c r="W234" s="24" t="n">
        <v>98.7</v>
      </c>
      <c r="X234" s="24" t="n">
        <v>58</v>
      </c>
      <c r="Y234" s="45">
        <f>ROUND((V234*'Methodology &amp; Assumptions'!$B$6)+(W234*'Methodology &amp; Assumptions'!$B$5)+(X234*'Methodology &amp; Assumptions'!$B$7), 2)</f>
        <v/>
      </c>
    </row>
    <row r="235" ht="19" customHeight="1">
      <c r="A235" s="35" t="n">
        <v>231</v>
      </c>
      <c r="B235" s="35" t="n">
        <v>2231</v>
      </c>
      <c r="C235" s="36" t="inlineStr">
        <is>
          <t>0402118044</t>
        </is>
      </c>
      <c r="D235" s="36" t="inlineStr">
        <is>
          <t>Region IV-A (CALABARZON)</t>
        </is>
      </c>
      <c r="E235" s="36" t="inlineStr">
        <is>
          <t>Cavite</t>
        </is>
      </c>
      <c r="F235" s="36" t="inlineStr">
        <is>
          <t>Silang</t>
        </is>
      </c>
      <c r="G235" s="36" t="inlineStr">
        <is>
          <t>Santol</t>
        </is>
      </c>
      <c r="H235" s="37" t="n">
        <v>14.169332</v>
      </c>
      <c r="I235" s="37" t="n">
        <v>120.954853</v>
      </c>
      <c r="J235" s="8" t="inlineStr">
        <is>
          <t>R</t>
        </is>
      </c>
      <c r="K235" s="36" t="inlineStr">
        <is>
          <t>Class 1-3 / Urban</t>
        </is>
      </c>
      <c r="L235" s="18" t="n">
        <v>2298</v>
      </c>
      <c r="M235" s="20" t="n">
        <v>4.49</v>
      </c>
      <c r="N235" s="18">
        <f>ROUND(L235/M235, 0)</f>
        <v/>
      </c>
      <c r="O235" s="18">
        <f>ROUND(N235*'Methodology &amp; Assumptions'!$B$8, 0)</f>
        <v/>
      </c>
      <c r="P235" s="8" t="inlineStr">
        <is>
          <t>Band n50 (1.5 GHz, 60 MHz)</t>
        </is>
      </c>
      <c r="Q235" s="38">
        <f>ROUNDUP(O235/'Methodology &amp; Assumptions'!$B$9, 0)</f>
        <v/>
      </c>
      <c r="R235" s="39" t="n">
        <v>1</v>
      </c>
      <c r="S235" s="21" t="n">
        <v>0.89</v>
      </c>
      <c r="T235" s="21" t="n">
        <v>0.52</v>
      </c>
      <c r="U235" s="36" t="inlineStr">
        <is>
          <t>Tier 1A (Direct Coloc, &lt;1 km)</t>
        </is>
      </c>
      <c r="V235" s="20" t="n">
        <v>84.3</v>
      </c>
      <c r="W235" s="20" t="n">
        <v>65.09999999999999</v>
      </c>
      <c r="X235" s="20" t="n">
        <v>58</v>
      </c>
      <c r="Y235" s="40">
        <f>ROUND((V235*'Methodology &amp; Assumptions'!$B$6)+(W235*'Methodology &amp; Assumptions'!$B$5)+(X235*'Methodology &amp; Assumptions'!$B$7), 2)</f>
        <v/>
      </c>
    </row>
    <row r="236" ht="19" customHeight="1">
      <c r="A236" s="41" t="n">
        <v>232</v>
      </c>
      <c r="B236" s="41" t="n">
        <v>2232</v>
      </c>
      <c r="C236" s="42" t="inlineStr">
        <is>
          <t>0301410046</t>
        </is>
      </c>
      <c r="D236" s="42" t="inlineStr">
        <is>
          <t>Region III (Central Luzon)</t>
        </is>
      </c>
      <c r="E236" s="42" t="inlineStr">
        <is>
          <t>Bulacan</t>
        </is>
      </c>
      <c r="F236" s="42" t="inlineStr">
        <is>
          <t>City of Malolos</t>
        </is>
      </c>
      <c r="G236" s="42" t="inlineStr">
        <is>
          <t>Santiago</t>
        </is>
      </c>
      <c r="H236" s="43" t="n">
        <v>14.842881</v>
      </c>
      <c r="I236" s="43" t="n">
        <v>120.808879</v>
      </c>
      <c r="J236" s="44" t="inlineStr">
        <is>
          <t>R</t>
        </is>
      </c>
      <c r="K236" s="42" t="inlineStr">
        <is>
          <t>Class 1-3 / Urban</t>
        </is>
      </c>
      <c r="L236" s="23" t="n">
        <v>1534</v>
      </c>
      <c r="M236" s="24" t="n">
        <v>4.1</v>
      </c>
      <c r="N236" s="23">
        <f>ROUND(L236/M236, 0)</f>
        <v/>
      </c>
      <c r="O236" s="23">
        <f>ROUND(N236*'Methodology &amp; Assumptions'!$B$8, 0)</f>
        <v/>
      </c>
      <c r="P236" s="44" t="inlineStr">
        <is>
          <t>Band n50 (1.5 GHz, 60 MHz)</t>
        </is>
      </c>
      <c r="Q236" s="38">
        <f>ROUNDUP(O236/'Methodology &amp; Assumptions'!$B$9, 0)</f>
        <v/>
      </c>
      <c r="R236" s="39" t="n">
        <v>1</v>
      </c>
      <c r="S236" s="25" t="n">
        <v>0.47</v>
      </c>
      <c r="T236" s="25" t="n">
        <v>1.21</v>
      </c>
      <c r="U236" s="42" t="inlineStr">
        <is>
          <t>Tier 1A (Direct Coloc, &lt;1 km)</t>
        </is>
      </c>
      <c r="V236" s="24" t="n">
        <v>95.5</v>
      </c>
      <c r="W236" s="24" t="n">
        <v>53.9</v>
      </c>
      <c r="X236" s="24" t="n">
        <v>58</v>
      </c>
      <c r="Y236" s="45">
        <f>ROUND((V236*'Methodology &amp; Assumptions'!$B$6)+(W236*'Methodology &amp; Assumptions'!$B$5)+(X236*'Methodology &amp; Assumptions'!$B$7), 2)</f>
        <v/>
      </c>
    </row>
    <row r="237" ht="19" customHeight="1">
      <c r="A237" s="35" t="n">
        <v>233</v>
      </c>
      <c r="B237" s="35" t="n">
        <v>2233</v>
      </c>
      <c r="C237" s="36" t="inlineStr">
        <is>
          <t>0103302014</t>
        </is>
      </c>
      <c r="D237" s="36" t="inlineStr">
        <is>
          <t>Region I (Ilocos Region)</t>
        </is>
      </c>
      <c r="E237" s="36" t="inlineStr">
        <is>
          <t>La Union</t>
        </is>
      </c>
      <c r="F237" s="36" t="inlineStr">
        <is>
          <t>Aringay</t>
        </is>
      </c>
      <c r="G237" s="36" t="inlineStr">
        <is>
          <t>San Benito Norte</t>
        </is>
      </c>
      <c r="H237" s="37" t="n">
        <v>16.4102</v>
      </c>
      <c r="I237" s="37" t="n">
        <v>120.351496</v>
      </c>
      <c r="J237" s="8" t="inlineStr">
        <is>
          <t>R</t>
        </is>
      </c>
      <c r="K237" s="36" t="inlineStr">
        <is>
          <t>Class 1-3 / Urban</t>
        </is>
      </c>
      <c r="L237" s="18" t="n">
        <v>3002</v>
      </c>
      <c r="M237" s="20" t="n">
        <v>4.42</v>
      </c>
      <c r="N237" s="18">
        <f>ROUND(L237/M237, 0)</f>
        <v/>
      </c>
      <c r="O237" s="18">
        <f>ROUND(N237*'Methodology &amp; Assumptions'!$B$8, 0)</f>
        <v/>
      </c>
      <c r="P237" s="8" t="inlineStr">
        <is>
          <t>Band n50 (1.5 GHz, 60 MHz)</t>
        </is>
      </c>
      <c r="Q237" s="38">
        <f>ROUNDUP(O237/'Methodology &amp; Assumptions'!$B$9, 0)</f>
        <v/>
      </c>
      <c r="R237" s="39" t="n">
        <v>1</v>
      </c>
      <c r="S237" s="21" t="n">
        <v>2.2</v>
      </c>
      <c r="T237" s="21" t="n">
        <v>0.28</v>
      </c>
      <c r="U237" s="36" t="inlineStr">
        <is>
          <t>Tier 1B (Micro Drop, 1-3 km)</t>
        </is>
      </c>
      <c r="V237" s="20" t="n">
        <v>58.1</v>
      </c>
      <c r="W237" s="20" t="n">
        <v>78.40000000000001</v>
      </c>
      <c r="X237" s="20" t="n">
        <v>73</v>
      </c>
      <c r="Y237" s="40">
        <f>ROUND((V237*'Methodology &amp; Assumptions'!$B$6)+(W237*'Methodology &amp; Assumptions'!$B$5)+(X237*'Methodology &amp; Assumptions'!$B$7), 2)</f>
        <v/>
      </c>
    </row>
    <row r="238" ht="19" customHeight="1">
      <c r="A238" s="41" t="n">
        <v>234</v>
      </c>
      <c r="B238" s="41" t="n">
        <v>2234</v>
      </c>
      <c r="C238" s="42" t="inlineStr">
        <is>
          <t>0506205026</t>
        </is>
      </c>
      <c r="D238" s="42" t="inlineStr">
        <is>
          <t>Region V (Bicol Region)</t>
        </is>
      </c>
      <c r="E238" s="42" t="inlineStr">
        <is>
          <t>Sorsogon</t>
        </is>
      </c>
      <c r="F238" s="42" t="inlineStr">
        <is>
          <t>Casiguran</t>
        </is>
      </c>
      <c r="G238" s="42" t="inlineStr">
        <is>
          <t>Tulay</t>
        </is>
      </c>
      <c r="H238" s="43" t="n">
        <v>12.873261</v>
      </c>
      <c r="I238" s="43" t="n">
        <v>124.0061</v>
      </c>
      <c r="J238" s="44" t="inlineStr">
        <is>
          <t>R</t>
        </is>
      </c>
      <c r="K238" s="42" t="inlineStr">
        <is>
          <t>3rd</t>
        </is>
      </c>
      <c r="L238" s="23" t="n">
        <v>2283</v>
      </c>
      <c r="M238" s="24" t="n">
        <v>4.6</v>
      </c>
      <c r="N238" s="23">
        <f>ROUND(L238/M238, 0)</f>
        <v/>
      </c>
      <c r="O238" s="23">
        <f>ROUND(N238*'Methodology &amp; Assumptions'!$B$8, 0)</f>
        <v/>
      </c>
      <c r="P238" s="44" t="inlineStr">
        <is>
          <t>Band n50 (1.5 GHz, 60 MHz)</t>
        </is>
      </c>
      <c r="Q238" s="38">
        <f>ROUNDUP(O238/'Methodology &amp; Assumptions'!$B$9, 0)</f>
        <v/>
      </c>
      <c r="R238" s="39" t="n">
        <v>1</v>
      </c>
      <c r="S238" s="25" t="n">
        <v>0.84</v>
      </c>
      <c r="T238" s="25" t="n">
        <v>0.33</v>
      </c>
      <c r="U238" s="42" t="inlineStr">
        <is>
          <t>Tier 1A (Direct Coloc, &lt;1 km)</t>
        </is>
      </c>
      <c r="V238" s="24" t="n">
        <v>85.59999999999999</v>
      </c>
      <c r="W238" s="24" t="n">
        <v>63.7</v>
      </c>
      <c r="X238" s="24" t="n">
        <v>58</v>
      </c>
      <c r="Y238" s="45">
        <f>ROUND((V238*'Methodology &amp; Assumptions'!$B$6)+(W238*'Methodology &amp; Assumptions'!$B$5)+(X238*'Methodology &amp; Assumptions'!$B$7), 2)</f>
        <v/>
      </c>
    </row>
    <row r="239" ht="19" customHeight="1">
      <c r="A239" s="35" t="n">
        <v>235</v>
      </c>
      <c r="B239" s="35" t="n">
        <v>2235</v>
      </c>
      <c r="C239" s="36" t="inlineStr">
        <is>
          <t>0307110001</t>
        </is>
      </c>
      <c r="D239" s="36" t="inlineStr">
        <is>
          <t>Region III (Central Luzon)</t>
        </is>
      </c>
      <c r="E239" s="36" t="inlineStr">
        <is>
          <t>Zambales</t>
        </is>
      </c>
      <c r="F239" s="36" t="inlineStr">
        <is>
          <t>San Felipe</t>
        </is>
      </c>
      <c r="G239" s="36" t="inlineStr">
        <is>
          <t>Amagna</t>
        </is>
      </c>
      <c r="H239" s="37" t="n">
        <v>15.062239</v>
      </c>
      <c r="I239" s="37" t="n">
        <v>120.070857</v>
      </c>
      <c r="J239" s="8" t="inlineStr">
        <is>
          <t>R</t>
        </is>
      </c>
      <c r="K239" s="36" t="inlineStr">
        <is>
          <t>3rd</t>
        </is>
      </c>
      <c r="L239" s="18" t="n">
        <v>1282</v>
      </c>
      <c r="M239" s="20" t="n">
        <v>4.04</v>
      </c>
      <c r="N239" s="18">
        <f>ROUND(L239/M239, 0)</f>
        <v/>
      </c>
      <c r="O239" s="18">
        <f>ROUND(N239*'Methodology &amp; Assumptions'!$B$8, 0)</f>
        <v/>
      </c>
      <c r="P239" s="8" t="inlineStr">
        <is>
          <t>Band n50 (1.5 GHz, 60 MHz)</t>
        </is>
      </c>
      <c r="Q239" s="38">
        <f>ROUNDUP(O239/'Methodology &amp; Assumptions'!$B$9, 0)</f>
        <v/>
      </c>
      <c r="R239" s="39" t="n">
        <v>1</v>
      </c>
      <c r="S239" s="21" t="n">
        <v>0.28</v>
      </c>
      <c r="T239" s="21" t="n">
        <v>0.29</v>
      </c>
      <c r="U239" s="36" t="inlineStr">
        <is>
          <t>Tier 1A (Direct Coloc, &lt;1 km)</t>
        </is>
      </c>
      <c r="V239" s="20" t="n">
        <v>100</v>
      </c>
      <c r="W239" s="20" t="n">
        <v>49.3</v>
      </c>
      <c r="X239" s="20" t="n">
        <v>58</v>
      </c>
      <c r="Y239" s="40">
        <f>ROUND((V239*'Methodology &amp; Assumptions'!$B$6)+(W239*'Methodology &amp; Assumptions'!$B$5)+(X239*'Methodology &amp; Assumptions'!$B$7), 2)</f>
        <v/>
      </c>
    </row>
    <row r="240" ht="19" customHeight="1">
      <c r="A240" s="41" t="n">
        <v>236</v>
      </c>
      <c r="B240" s="41" t="n">
        <v>2236</v>
      </c>
      <c r="C240" s="42" t="inlineStr">
        <is>
          <t>1130700197</t>
        </is>
      </c>
      <c r="D240" s="42" t="inlineStr">
        <is>
          <t>Region XI (Davao Region)</t>
        </is>
      </c>
      <c r="E240" s="42" t="inlineStr">
        <is>
          <t>Davao del Sur</t>
        </is>
      </c>
      <c r="F240" s="42" t="inlineStr">
        <is>
          <t>City of Davao</t>
        </is>
      </c>
      <c r="G240" s="42" t="inlineStr">
        <is>
          <t>Alfonso Angliongto Sr.</t>
        </is>
      </c>
      <c r="H240" s="43" t="n">
        <v>7.1106</v>
      </c>
      <c r="I240" s="43" t="n">
        <v>125.636944</v>
      </c>
      <c r="J240" s="44" t="inlineStr">
        <is>
          <t>U</t>
        </is>
      </c>
      <c r="K240" s="42" t="inlineStr">
        <is>
          <t>Class 1-3 / Urban</t>
        </is>
      </c>
      <c r="L240" s="23" t="n">
        <v>14962</v>
      </c>
      <c r="M240" s="24" t="n">
        <v>4.1</v>
      </c>
      <c r="N240" s="23">
        <f>ROUND(L240/M240, 0)</f>
        <v/>
      </c>
      <c r="O240" s="23">
        <f>ROUND(N240*'Methodology &amp; Assumptions'!$B$8, 0)</f>
        <v/>
      </c>
      <c r="P240" s="44" t="inlineStr">
        <is>
          <t>Band n50 (1.5 GHz, 60 MHz)</t>
        </is>
      </c>
      <c r="Q240" s="38">
        <f>ROUNDUP(O240/'Methodology &amp; Assumptions'!$B$9, 0)</f>
        <v/>
      </c>
      <c r="R240" s="39" t="n">
        <v>1</v>
      </c>
      <c r="S240" s="25" t="n">
        <v>1.29</v>
      </c>
      <c r="T240" s="25" t="n">
        <v>0.52</v>
      </c>
      <c r="U240" s="42" t="inlineStr">
        <is>
          <t>Tier 1B (Micro Drop, 1-3 km)</t>
        </is>
      </c>
      <c r="V240" s="24" t="n">
        <v>75.09999999999999</v>
      </c>
      <c r="W240" s="24" t="n">
        <v>100</v>
      </c>
      <c r="X240" s="24" t="n">
        <v>28</v>
      </c>
      <c r="Y240" s="45">
        <f>ROUND((V240*'Methodology &amp; Assumptions'!$B$6)+(W240*'Methodology &amp; Assumptions'!$B$5)+(X240*'Methodology &amp; Assumptions'!$B$7), 2)</f>
        <v/>
      </c>
    </row>
    <row r="241" ht="19" customHeight="1">
      <c r="A241" s="35" t="n">
        <v>237</v>
      </c>
      <c r="B241" s="35" t="n">
        <v>2237</v>
      </c>
      <c r="C241" s="36" t="inlineStr">
        <is>
          <t>0501724019</t>
        </is>
      </c>
      <c r="D241" s="36" t="inlineStr">
        <is>
          <t>Region V (Bicol Region)</t>
        </is>
      </c>
      <c r="E241" s="36" t="inlineStr">
        <is>
          <t>Camarines Sur</t>
        </is>
      </c>
      <c r="F241" s="36" t="inlineStr">
        <is>
          <t>City of Naga</t>
        </is>
      </c>
      <c r="G241" s="36" t="inlineStr">
        <is>
          <t>Mabolo</t>
        </is>
      </c>
      <c r="H241" s="37" t="n">
        <v>13.614383</v>
      </c>
      <c r="I241" s="37" t="n">
        <v>123.182487</v>
      </c>
      <c r="J241" s="8" t="inlineStr">
        <is>
          <t>U</t>
        </is>
      </c>
      <c r="K241" s="36" t="inlineStr">
        <is>
          <t>Class 1-3 / Urban</t>
        </is>
      </c>
      <c r="L241" s="18" t="n">
        <v>8125</v>
      </c>
      <c r="M241" s="20" t="n">
        <v>4.9</v>
      </c>
      <c r="N241" s="18">
        <f>ROUND(L241/M241, 0)</f>
        <v/>
      </c>
      <c r="O241" s="18">
        <f>ROUND(N241*'Methodology &amp; Assumptions'!$B$8, 0)</f>
        <v/>
      </c>
      <c r="P241" s="8" t="inlineStr">
        <is>
          <t>Band n50 (1.5 GHz, 60 MHz)</t>
        </is>
      </c>
      <c r="Q241" s="38">
        <f>ROUNDUP(O241/'Methodology &amp; Assumptions'!$B$9, 0)</f>
        <v/>
      </c>
      <c r="R241" s="39" t="n">
        <v>1</v>
      </c>
      <c r="S241" s="21" t="n">
        <v>1.29</v>
      </c>
      <c r="T241" s="21" t="n">
        <v>0.24</v>
      </c>
      <c r="U241" s="36" t="inlineStr">
        <is>
          <t>Tier 1B (Micro Drop, 1-3 km)</t>
        </is>
      </c>
      <c r="V241" s="20" t="n">
        <v>75.09999999999999</v>
      </c>
      <c r="W241" s="20" t="n">
        <v>100</v>
      </c>
      <c r="X241" s="20" t="n">
        <v>28</v>
      </c>
      <c r="Y241" s="40">
        <f>ROUND((V241*'Methodology &amp; Assumptions'!$B$6)+(W241*'Methodology &amp; Assumptions'!$B$5)+(X241*'Methodology &amp; Assumptions'!$B$7), 2)</f>
        <v/>
      </c>
    </row>
    <row r="242" ht="19" customHeight="1">
      <c r="A242" s="41" t="n">
        <v>238</v>
      </c>
      <c r="B242" s="41" t="n">
        <v>2238</v>
      </c>
      <c r="C242" s="42" t="inlineStr">
        <is>
          <t>0402105061</t>
        </is>
      </c>
      <c r="D242" s="42" t="inlineStr">
        <is>
          <t>Region IV-A (CALABARZON)</t>
        </is>
      </c>
      <c r="E242" s="42" t="inlineStr">
        <is>
          <t>Cavite</t>
        </is>
      </c>
      <c r="F242" s="42" t="inlineStr">
        <is>
          <t>City of Cavite</t>
        </is>
      </c>
      <c r="G242" s="42" t="inlineStr">
        <is>
          <t>Barangay 8</t>
        </is>
      </c>
      <c r="H242" s="43" t="n">
        <v>14.481256</v>
      </c>
      <c r="I242" s="43" t="n">
        <v>120.89197</v>
      </c>
      <c r="J242" s="44" t="inlineStr">
        <is>
          <t>U</t>
        </is>
      </c>
      <c r="K242" s="42" t="inlineStr">
        <is>
          <t>Class 1-3 / Urban</t>
        </is>
      </c>
      <c r="L242" s="23" t="n">
        <v>5232</v>
      </c>
      <c r="M242" s="24" t="n">
        <v>4.49</v>
      </c>
      <c r="N242" s="23">
        <f>ROUND(L242/M242, 0)</f>
        <v/>
      </c>
      <c r="O242" s="23">
        <f>ROUND(N242*'Methodology &amp; Assumptions'!$B$8, 0)</f>
        <v/>
      </c>
      <c r="P242" s="44" t="inlineStr">
        <is>
          <t>Band n50 (1.5 GHz, 60 MHz)</t>
        </is>
      </c>
      <c r="Q242" s="38">
        <f>ROUNDUP(O242/'Methodology &amp; Assumptions'!$B$9, 0)</f>
        <v/>
      </c>
      <c r="R242" s="39" t="n">
        <v>1</v>
      </c>
      <c r="S242" s="25" t="n">
        <v>0.86</v>
      </c>
      <c r="T242" s="25" t="n">
        <v>4.56</v>
      </c>
      <c r="U242" s="42" t="inlineStr">
        <is>
          <t>Tier 1A (Direct Coloc, &lt;1 km)</t>
        </is>
      </c>
      <c r="V242" s="24" t="n">
        <v>75.09999999999999</v>
      </c>
      <c r="W242" s="24" t="n">
        <v>100</v>
      </c>
      <c r="X242" s="24" t="n">
        <v>28</v>
      </c>
      <c r="Y242" s="45">
        <f>ROUND((V242*'Methodology &amp; Assumptions'!$B$6)+(W242*'Methodology &amp; Assumptions'!$B$5)+(X242*'Methodology &amp; Assumptions'!$B$7), 2)</f>
        <v/>
      </c>
    </row>
    <row r="243" ht="19" customHeight="1">
      <c r="A243" s="35" t="n">
        <v>239</v>
      </c>
      <c r="B243" s="35" t="n">
        <v>2239</v>
      </c>
      <c r="C243" s="36" t="inlineStr">
        <is>
          <t>0402109033</t>
        </is>
      </c>
      <c r="D243" s="36" t="inlineStr">
        <is>
          <t>Region IV-A (CALABARZON)</t>
        </is>
      </c>
      <c r="E243" s="36" t="inlineStr">
        <is>
          <t>Cavite</t>
        </is>
      </c>
      <c r="F243" s="36" t="inlineStr">
        <is>
          <t>City of Imus</t>
        </is>
      </c>
      <c r="G243" s="36" t="inlineStr">
        <is>
          <t>Anabu I-F</t>
        </is>
      </c>
      <c r="H243" s="37" t="n">
        <v>14.39029</v>
      </c>
      <c r="I243" s="37" t="n">
        <v>120.941006</v>
      </c>
      <c r="J243" s="8" t="inlineStr">
        <is>
          <t>R</t>
        </is>
      </c>
      <c r="K243" s="36" t="inlineStr">
        <is>
          <t>Class 1-3 / Urban</t>
        </is>
      </c>
      <c r="L243" s="18" t="n">
        <v>2675</v>
      </c>
      <c r="M243" s="20" t="n">
        <v>4.49</v>
      </c>
      <c r="N243" s="18">
        <f>ROUND(L243/M243, 0)</f>
        <v/>
      </c>
      <c r="O243" s="18">
        <f>ROUND(N243*'Methodology &amp; Assumptions'!$B$8, 0)</f>
        <v/>
      </c>
      <c r="P243" s="8" t="inlineStr">
        <is>
          <t>Band n50 (1.5 GHz, 60 MHz)</t>
        </is>
      </c>
      <c r="Q243" s="38">
        <f>ROUNDUP(O243/'Methodology &amp; Assumptions'!$B$9, 0)</f>
        <v/>
      </c>
      <c r="R243" s="39" t="n">
        <v>1</v>
      </c>
      <c r="S243" s="21" t="n">
        <v>0.76</v>
      </c>
      <c r="T243" s="21" t="n">
        <v>6.25</v>
      </c>
      <c r="U243" s="36" t="inlineStr">
        <is>
          <t>Tier 1A (Direct Coloc, &lt;1 km)</t>
        </is>
      </c>
      <c r="V243" s="20" t="n">
        <v>77.59999999999999</v>
      </c>
      <c r="W243" s="20" t="n">
        <v>71.7</v>
      </c>
      <c r="X243" s="20" t="n">
        <v>58</v>
      </c>
      <c r="Y243" s="40">
        <f>ROUND((V243*'Methodology &amp; Assumptions'!$B$6)+(W243*'Methodology &amp; Assumptions'!$B$5)+(X243*'Methodology &amp; Assumptions'!$B$7), 2)</f>
        <v/>
      </c>
    </row>
    <row r="244" ht="19" customHeight="1">
      <c r="A244" s="41" t="n">
        <v>240</v>
      </c>
      <c r="B244" s="41" t="n">
        <v>2240</v>
      </c>
      <c r="C244" s="42" t="inlineStr">
        <is>
          <t>0304923035</t>
        </is>
      </c>
      <c r="D244" s="42" t="inlineStr">
        <is>
          <t>Region III (Central Luzon)</t>
        </is>
      </c>
      <c r="E244" s="42" t="inlineStr">
        <is>
          <t>Nueva Ecija</t>
        </is>
      </c>
      <c r="F244" s="42" t="inlineStr">
        <is>
          <t>Rizal</t>
        </is>
      </c>
      <c r="G244" s="42" t="inlineStr">
        <is>
          <t>San Gregorio</t>
        </is>
      </c>
      <c r="H244" s="43" t="n">
        <v>15.585783</v>
      </c>
      <c r="I244" s="43" t="n">
        <v>120.924577</v>
      </c>
      <c r="J244" s="44" t="inlineStr">
        <is>
          <t>R</t>
        </is>
      </c>
      <c r="K244" s="42" t="inlineStr">
        <is>
          <t>Class 1-3 / Urban</t>
        </is>
      </c>
      <c r="L244" s="23" t="n">
        <v>1959</v>
      </c>
      <c r="M244" s="24" t="n">
        <v>4.32</v>
      </c>
      <c r="N244" s="23">
        <f>ROUND(L244/M244, 0)</f>
        <v/>
      </c>
      <c r="O244" s="23">
        <f>ROUND(N244*'Methodology &amp; Assumptions'!$B$8, 0)</f>
        <v/>
      </c>
      <c r="P244" s="44" t="inlineStr">
        <is>
          <t>Band n50 (1.5 GHz, 60 MHz)</t>
        </is>
      </c>
      <c r="Q244" s="38">
        <f>ROUNDUP(O244/'Methodology &amp; Assumptions'!$B$9, 0)</f>
        <v/>
      </c>
      <c r="R244" s="39" t="n">
        <v>1</v>
      </c>
      <c r="S244" s="25" t="n">
        <v>0.71</v>
      </c>
      <c r="T244" s="25" t="n">
        <v>0.52</v>
      </c>
      <c r="U244" s="42" t="inlineStr">
        <is>
          <t>Tier 1A (Direct Coloc, &lt;1 km)</t>
        </is>
      </c>
      <c r="V244" s="24" t="n">
        <v>89</v>
      </c>
      <c r="W244" s="24" t="n">
        <v>60.3</v>
      </c>
      <c r="X244" s="24" t="n">
        <v>58</v>
      </c>
      <c r="Y244" s="45">
        <f>ROUND((V244*'Methodology &amp; Assumptions'!$B$6)+(W244*'Methodology &amp; Assumptions'!$B$5)+(X244*'Methodology &amp; Assumptions'!$B$7), 2)</f>
        <v/>
      </c>
    </row>
    <row r="245" ht="19" customHeight="1">
      <c r="A245" s="35" t="n">
        <v>241</v>
      </c>
      <c r="B245" s="35" t="n">
        <v>2241</v>
      </c>
      <c r="C245" s="36" t="inlineStr">
        <is>
          <t>0402116003</t>
        </is>
      </c>
      <c r="D245" s="36" t="inlineStr">
        <is>
          <t>Region IV-A (CALABARZON)</t>
        </is>
      </c>
      <c r="E245" s="36" t="inlineStr">
        <is>
          <t>Cavite</t>
        </is>
      </c>
      <c r="F245" s="36" t="inlineStr">
        <is>
          <t>Noveleta</t>
        </is>
      </c>
      <c r="G245" s="36" t="inlineStr">
        <is>
          <t>Salcedo I</t>
        </is>
      </c>
      <c r="H245" s="37" t="n">
        <v>14.427101</v>
      </c>
      <c r="I245" s="37" t="n">
        <v>120.877885</v>
      </c>
      <c r="J245" s="8" t="inlineStr">
        <is>
          <t>R</t>
        </is>
      </c>
      <c r="K245" s="36" t="inlineStr">
        <is>
          <t>Class 1-3 / Urban</t>
        </is>
      </c>
      <c r="L245" s="18" t="n">
        <v>1899</v>
      </c>
      <c r="M245" s="20" t="n">
        <v>4.49</v>
      </c>
      <c r="N245" s="18">
        <f>ROUND(L245/M245, 0)</f>
        <v/>
      </c>
      <c r="O245" s="18">
        <f>ROUND(N245*'Methodology &amp; Assumptions'!$B$8, 0)</f>
        <v/>
      </c>
      <c r="P245" s="8" t="inlineStr">
        <is>
          <t>Band n50 (1.5 GHz, 60 MHz)</t>
        </is>
      </c>
      <c r="Q245" s="38">
        <f>ROUNDUP(O245/'Methodology &amp; Assumptions'!$B$9, 0)</f>
        <v/>
      </c>
      <c r="R245" s="39" t="n">
        <v>1</v>
      </c>
      <c r="S245" s="21" t="n">
        <v>0.62</v>
      </c>
      <c r="T245" s="21" t="n">
        <v>0.59</v>
      </c>
      <c r="U245" s="36" t="inlineStr">
        <is>
          <t>Tier 1A (Direct Coloc, &lt;1 km)</t>
        </is>
      </c>
      <c r="V245" s="20" t="n">
        <v>91.5</v>
      </c>
      <c r="W245" s="20" t="n">
        <v>57.9</v>
      </c>
      <c r="X245" s="20" t="n">
        <v>58</v>
      </c>
      <c r="Y245" s="40">
        <f>ROUND((V245*'Methodology &amp; Assumptions'!$B$6)+(W245*'Methodology &amp; Assumptions'!$B$5)+(X245*'Methodology &amp; Assumptions'!$B$7), 2)</f>
        <v/>
      </c>
    </row>
    <row r="246" ht="19" customHeight="1">
      <c r="A246" s="41" t="n">
        <v>242</v>
      </c>
      <c r="B246" s="41" t="n">
        <v>2242</v>
      </c>
      <c r="C246" s="42" t="inlineStr">
        <is>
          <t>0305408012</t>
        </is>
      </c>
      <c r="D246" s="42" t="inlineStr">
        <is>
          <t>Region III (Central Luzon)</t>
        </is>
      </c>
      <c r="E246" s="42" t="inlineStr">
        <is>
          <t>Pampanga</t>
        </is>
      </c>
      <c r="F246" s="42" t="inlineStr">
        <is>
          <t>Lubao</t>
        </is>
      </c>
      <c r="G246" s="42" t="inlineStr">
        <is>
          <t>Remedios</t>
        </is>
      </c>
      <c r="H246" s="43" t="n">
        <v>14.918754</v>
      </c>
      <c r="I246" s="43" t="n">
        <v>120.578617</v>
      </c>
      <c r="J246" s="44" t="inlineStr">
        <is>
          <t>R</t>
        </is>
      </c>
      <c r="K246" s="42" t="inlineStr">
        <is>
          <t>Class 1-3 / Urban</t>
        </is>
      </c>
      <c r="L246" s="23" t="n">
        <v>4481</v>
      </c>
      <c r="M246" s="24" t="n">
        <v>4.63</v>
      </c>
      <c r="N246" s="23">
        <f>ROUND(L246/M246, 0)</f>
        <v/>
      </c>
      <c r="O246" s="23">
        <f>ROUND(N246*'Methodology &amp; Assumptions'!$B$8, 0)</f>
        <v/>
      </c>
      <c r="P246" s="44" t="inlineStr">
        <is>
          <t>Band n50 (1.5 GHz, 60 MHz)</t>
        </is>
      </c>
      <c r="Q246" s="38">
        <f>ROUNDUP(O246/'Methodology &amp; Assumptions'!$B$9, 0)</f>
        <v/>
      </c>
      <c r="R246" s="39" t="n">
        <v>1</v>
      </c>
      <c r="S246" s="25" t="n">
        <v>2.8</v>
      </c>
      <c r="T246" s="25" t="n">
        <v>0.27</v>
      </c>
      <c r="U246" s="42" t="inlineStr">
        <is>
          <t>Tier 1B (Micro Drop, 1-3 km)</t>
        </is>
      </c>
      <c r="V246" s="24" t="n">
        <v>49.3</v>
      </c>
      <c r="W246" s="24" t="n">
        <v>100</v>
      </c>
      <c r="X246" s="24" t="n">
        <v>58</v>
      </c>
      <c r="Y246" s="45">
        <f>ROUND((V246*'Methodology &amp; Assumptions'!$B$6)+(W246*'Methodology &amp; Assumptions'!$B$5)+(X246*'Methodology &amp; Assumptions'!$B$7), 2)</f>
        <v/>
      </c>
    </row>
    <row r="247" ht="19" customHeight="1">
      <c r="A247" s="35" t="n">
        <v>243</v>
      </c>
      <c r="B247" s="35" t="n">
        <v>2243</v>
      </c>
      <c r="C247" s="36" t="inlineStr">
        <is>
          <t>0304929033</t>
        </is>
      </c>
      <c r="D247" s="36" t="inlineStr">
        <is>
          <t>Region III (Central Luzon)</t>
        </is>
      </c>
      <c r="E247" s="36" t="inlineStr">
        <is>
          <t>Nueva Ecija</t>
        </is>
      </c>
      <c r="F247" s="36" t="inlineStr">
        <is>
          <t>Santo Domingo</t>
        </is>
      </c>
      <c r="G247" s="36" t="inlineStr">
        <is>
          <t>San Pascual</t>
        </is>
      </c>
      <c r="H247" s="37" t="n">
        <v>15.59103</v>
      </c>
      <c r="I247" s="37" t="n">
        <v>120.86883</v>
      </c>
      <c r="J247" s="8" t="inlineStr">
        <is>
          <t>R</t>
        </is>
      </c>
      <c r="K247" s="36" t="inlineStr">
        <is>
          <t>Class 1-3 / Urban</t>
        </is>
      </c>
      <c r="L247" s="18" t="n">
        <v>2992</v>
      </c>
      <c r="M247" s="20" t="n">
        <v>4.32</v>
      </c>
      <c r="N247" s="18">
        <f>ROUND(L247/M247, 0)</f>
        <v/>
      </c>
      <c r="O247" s="18">
        <f>ROUND(N247*'Methodology &amp; Assumptions'!$B$8, 0)</f>
        <v/>
      </c>
      <c r="P247" s="8" t="inlineStr">
        <is>
          <t>Band n50 (1.5 GHz, 60 MHz)</t>
        </is>
      </c>
      <c r="Q247" s="38">
        <f>ROUNDUP(O247/'Methodology &amp; Assumptions'!$B$9, 0)</f>
        <v/>
      </c>
      <c r="R247" s="39" t="n">
        <v>1</v>
      </c>
      <c r="S247" s="21" t="n">
        <v>1.08</v>
      </c>
      <c r="T247" s="21" t="n">
        <v>5.38</v>
      </c>
      <c r="U247" s="36" t="inlineStr">
        <is>
          <t>Tier 1B (Micro Drop, 1-3 km)</t>
        </is>
      </c>
      <c r="V247" s="20" t="n">
        <v>69.8</v>
      </c>
      <c r="W247" s="20" t="n">
        <v>79.5</v>
      </c>
      <c r="X247" s="20" t="n">
        <v>58</v>
      </c>
      <c r="Y247" s="40">
        <f>ROUND((V247*'Methodology &amp; Assumptions'!$B$6)+(W247*'Methodology &amp; Assumptions'!$B$5)+(X247*'Methodology &amp; Assumptions'!$B$7), 2)</f>
        <v/>
      </c>
    </row>
    <row r="248" ht="19" customHeight="1">
      <c r="A248" s="41" t="n">
        <v>244</v>
      </c>
      <c r="B248" s="41" t="n">
        <v>2244</v>
      </c>
      <c r="C248" s="42" t="inlineStr">
        <is>
          <t>0405811016</t>
        </is>
      </c>
      <c r="D248" s="42" t="inlineStr">
        <is>
          <t>Region IV-A (CALABARZON)</t>
        </is>
      </c>
      <c r="E248" s="42" t="inlineStr">
        <is>
          <t>Rizal</t>
        </is>
      </c>
      <c r="F248" s="42" t="inlineStr">
        <is>
          <t>San Mateo</t>
        </is>
      </c>
      <c r="G248" s="42" t="inlineStr">
        <is>
          <t>Silangan</t>
        </is>
      </c>
      <c r="H248" s="43" t="n">
        <v>14.697822</v>
      </c>
      <c r="I248" s="43" t="n">
        <v>121.110554</v>
      </c>
      <c r="J248" s="44" t="inlineStr">
        <is>
          <t>U</t>
        </is>
      </c>
      <c r="K248" s="42" t="inlineStr">
        <is>
          <t>Class 1-3 / Urban</t>
        </is>
      </c>
      <c r="L248" s="23" t="n">
        <v>59051</v>
      </c>
      <c r="M248" s="24" t="n">
        <v>4.39</v>
      </c>
      <c r="N248" s="23">
        <f>ROUND(L248/M248, 0)</f>
        <v/>
      </c>
      <c r="O248" s="23">
        <f>ROUND(N248*'Methodology &amp; Assumptions'!$B$8, 0)</f>
        <v/>
      </c>
      <c r="P248" s="44" t="inlineStr">
        <is>
          <t>Band n50 (1.5 GHz, 60 MHz)</t>
        </is>
      </c>
      <c r="Q248" s="38">
        <f>ROUNDUP(O248/'Methodology &amp; Assumptions'!$B$9, 0)</f>
        <v/>
      </c>
      <c r="R248" s="39" t="n">
        <v>1</v>
      </c>
      <c r="S248" s="25" t="n">
        <v>1.1</v>
      </c>
      <c r="T248" s="25" t="n">
        <v>1.09</v>
      </c>
      <c r="U248" s="42" t="inlineStr">
        <is>
          <t>Tier 1B (Micro Drop, 1-3 km)</t>
        </is>
      </c>
      <c r="V248" s="24" t="n">
        <v>79.40000000000001</v>
      </c>
      <c r="W248" s="24" t="n">
        <v>95.59999999999999</v>
      </c>
      <c r="X248" s="24" t="n">
        <v>28</v>
      </c>
      <c r="Y248" s="45">
        <f>ROUND((V248*'Methodology &amp; Assumptions'!$B$6)+(W248*'Methodology &amp; Assumptions'!$B$5)+(X248*'Methodology &amp; Assumptions'!$B$7), 2)</f>
        <v/>
      </c>
    </row>
    <row r="249" ht="19" customHeight="1">
      <c r="A249" s="35" t="n">
        <v>245</v>
      </c>
      <c r="B249" s="35" t="n">
        <v>2245</v>
      </c>
      <c r="C249" s="36" t="inlineStr">
        <is>
          <t>1030500058</t>
        </is>
      </c>
      <c r="D249" s="36" t="inlineStr">
        <is>
          <t>Region X (Northern Mindanao)</t>
        </is>
      </c>
      <c r="E249" s="36" t="inlineStr">
        <is>
          <t>Misamis Oriental</t>
        </is>
      </c>
      <c r="F249" s="36" t="inlineStr">
        <is>
          <t>City of Cagayan De Oro</t>
        </is>
      </c>
      <c r="G249" s="36" t="inlineStr">
        <is>
          <t>Nazareth</t>
        </is>
      </c>
      <c r="H249" s="37" t="n">
        <v>8.4688</v>
      </c>
      <c r="I249" s="37" t="n">
        <v>124.64849</v>
      </c>
      <c r="J249" s="8" t="inlineStr">
        <is>
          <t>U</t>
        </is>
      </c>
      <c r="K249" s="36" t="inlineStr">
        <is>
          <t>Class 1-3 / Urban</t>
        </is>
      </c>
      <c r="L249" s="18" t="n">
        <v>6971</v>
      </c>
      <c r="M249" s="20" t="n">
        <v>4.54</v>
      </c>
      <c r="N249" s="18">
        <f>ROUND(L249/M249, 0)</f>
        <v/>
      </c>
      <c r="O249" s="18">
        <f>ROUND(N249*'Methodology &amp; Assumptions'!$B$8, 0)</f>
        <v/>
      </c>
      <c r="P249" s="8" t="inlineStr">
        <is>
          <t>Band n50 (1.5 GHz, 60 MHz)</t>
        </is>
      </c>
      <c r="Q249" s="38">
        <f>ROUNDUP(O249/'Methodology &amp; Assumptions'!$B$9, 0)</f>
        <v/>
      </c>
      <c r="R249" s="39" t="n">
        <v>1</v>
      </c>
      <c r="S249" s="21" t="n">
        <v>1.29</v>
      </c>
      <c r="T249" s="21" t="n">
        <v>1.92</v>
      </c>
      <c r="U249" s="36" t="inlineStr">
        <is>
          <t>Tier 1B (Micro Drop, 1-3 km)</t>
        </is>
      </c>
      <c r="V249" s="20" t="n">
        <v>75</v>
      </c>
      <c r="W249" s="20" t="n">
        <v>100</v>
      </c>
      <c r="X249" s="20" t="n">
        <v>28</v>
      </c>
      <c r="Y249" s="40">
        <f>ROUND((V249*'Methodology &amp; Assumptions'!$B$6)+(W249*'Methodology &amp; Assumptions'!$B$5)+(X249*'Methodology &amp; Assumptions'!$B$7), 2)</f>
        <v/>
      </c>
    </row>
    <row r="250" ht="19" customHeight="1">
      <c r="A250" s="41" t="n">
        <v>246</v>
      </c>
      <c r="B250" s="41" t="n">
        <v>2246</v>
      </c>
      <c r="C250" s="42" t="inlineStr">
        <is>
          <t>0402109037</t>
        </is>
      </c>
      <c r="D250" s="42" t="inlineStr">
        <is>
          <t>Region IV-A (CALABARZON)</t>
        </is>
      </c>
      <c r="E250" s="42" t="inlineStr">
        <is>
          <t>Cavite</t>
        </is>
      </c>
      <c r="F250" s="42" t="inlineStr">
        <is>
          <t>City of Imus</t>
        </is>
      </c>
      <c r="G250" s="42" t="inlineStr">
        <is>
          <t>Anabu II-D</t>
        </is>
      </c>
      <c r="H250" s="43" t="n">
        <v>14.376639</v>
      </c>
      <c r="I250" s="43" t="n">
        <v>120.942968</v>
      </c>
      <c r="J250" s="44" t="inlineStr">
        <is>
          <t>U</t>
        </is>
      </c>
      <c r="K250" s="42" t="inlineStr">
        <is>
          <t>Class 1-3 / Urban</t>
        </is>
      </c>
      <c r="L250" s="23" t="n">
        <v>5273</v>
      </c>
      <c r="M250" s="24" t="n">
        <v>4.49</v>
      </c>
      <c r="N250" s="23">
        <f>ROUND(L250/M250, 0)</f>
        <v/>
      </c>
      <c r="O250" s="23">
        <f>ROUND(N250*'Methodology &amp; Assumptions'!$B$8, 0)</f>
        <v/>
      </c>
      <c r="P250" s="44" t="inlineStr">
        <is>
          <t>Band n50 (1.5 GHz, 60 MHz)</t>
        </is>
      </c>
      <c r="Q250" s="38">
        <f>ROUNDUP(O250/'Methodology &amp; Assumptions'!$B$9, 0)</f>
        <v/>
      </c>
      <c r="R250" s="39" t="n">
        <v>1</v>
      </c>
      <c r="S250" s="25" t="n">
        <v>0.86</v>
      </c>
      <c r="T250" s="25" t="n">
        <v>7.59</v>
      </c>
      <c r="U250" s="42" t="inlineStr">
        <is>
          <t>Tier 1A (Direct Coloc, &lt;1 km)</t>
        </is>
      </c>
      <c r="V250" s="24" t="n">
        <v>75</v>
      </c>
      <c r="W250" s="24" t="n">
        <v>100</v>
      </c>
      <c r="X250" s="24" t="n">
        <v>28</v>
      </c>
      <c r="Y250" s="45">
        <f>ROUND((V250*'Methodology &amp; Assumptions'!$B$6)+(W250*'Methodology &amp; Assumptions'!$B$5)+(X250*'Methodology &amp; Assumptions'!$B$7), 2)</f>
        <v/>
      </c>
    </row>
    <row r="251" ht="19" customHeight="1">
      <c r="A251" s="35" t="n">
        <v>247</v>
      </c>
      <c r="B251" s="35" t="n">
        <v>2247</v>
      </c>
      <c r="C251" s="36" t="inlineStr">
        <is>
          <t>0103314045</t>
        </is>
      </c>
      <c r="D251" s="36" t="inlineStr">
        <is>
          <t>Region I (Ilocos Region)</t>
        </is>
      </c>
      <c r="E251" s="36" t="inlineStr">
        <is>
          <t>La Union</t>
        </is>
      </c>
      <c r="F251" s="36" t="inlineStr">
        <is>
          <t>City of San Fernando</t>
        </is>
      </c>
      <c r="G251" s="36" t="inlineStr">
        <is>
          <t>Parian</t>
        </is>
      </c>
      <c r="H251" s="37" t="n">
        <v>16.598143</v>
      </c>
      <c r="I251" s="37" t="n">
        <v>120.31271</v>
      </c>
      <c r="J251" s="8" t="inlineStr">
        <is>
          <t>U</t>
        </is>
      </c>
      <c r="K251" s="36" t="inlineStr">
        <is>
          <t>Class 1-3 / Urban</t>
        </is>
      </c>
      <c r="L251" s="18" t="n">
        <v>3561</v>
      </c>
      <c r="M251" s="20" t="n">
        <v>4.42</v>
      </c>
      <c r="N251" s="18">
        <f>ROUND(L251/M251, 0)</f>
        <v/>
      </c>
      <c r="O251" s="18">
        <f>ROUND(N251*'Methodology &amp; Assumptions'!$B$8, 0)</f>
        <v/>
      </c>
      <c r="P251" s="8" t="inlineStr">
        <is>
          <t>Band n50 (1.5 GHz, 60 MHz)</t>
        </is>
      </c>
      <c r="Q251" s="38">
        <f>ROUNDUP(O251/'Methodology &amp; Assumptions'!$B$9, 0)</f>
        <v/>
      </c>
      <c r="R251" s="39" t="n">
        <v>1</v>
      </c>
      <c r="S251" s="21" t="n">
        <v>0.8</v>
      </c>
      <c r="T251" s="21" t="n">
        <v>0.21</v>
      </c>
      <c r="U251" s="36" t="inlineStr">
        <is>
          <t>Tier 1A (Direct Coloc, &lt;1 km)</t>
        </is>
      </c>
      <c r="V251" s="20" t="n">
        <v>86.5</v>
      </c>
      <c r="W251" s="20" t="n">
        <v>88.5</v>
      </c>
      <c r="X251" s="20" t="n">
        <v>28</v>
      </c>
      <c r="Y251" s="40">
        <f>ROUND((V251*'Methodology &amp; Assumptions'!$B$6)+(W251*'Methodology &amp; Assumptions'!$B$5)+(X251*'Methodology &amp; Assumptions'!$B$7), 2)</f>
        <v/>
      </c>
    </row>
    <row r="252" ht="19" customHeight="1">
      <c r="A252" s="41" t="n">
        <v>248</v>
      </c>
      <c r="B252" s="41" t="n">
        <v>2248</v>
      </c>
      <c r="C252" s="42" t="inlineStr">
        <is>
          <t>0402123009</t>
        </is>
      </c>
      <c r="D252" s="42" t="inlineStr">
        <is>
          <t>Region IV-A (CALABARZON)</t>
        </is>
      </c>
      <c r="E252" s="42" t="inlineStr">
        <is>
          <t>Cavite</t>
        </is>
      </c>
      <c r="F252" s="42" t="inlineStr">
        <is>
          <t>Gen. Mariano Alvarez</t>
        </is>
      </c>
      <c r="G252" s="42" t="inlineStr">
        <is>
          <t>Epifanio Malia</t>
        </is>
      </c>
      <c r="H252" s="43" t="n">
        <v>14.31214</v>
      </c>
      <c r="I252" s="43" t="n">
        <v>121.023347</v>
      </c>
      <c r="J252" s="44" t="inlineStr">
        <is>
          <t>R</t>
        </is>
      </c>
      <c r="K252" s="42" t="inlineStr">
        <is>
          <t>Class 1-3 / Urban</t>
        </is>
      </c>
      <c r="L252" s="23" t="n">
        <v>4150</v>
      </c>
      <c r="M252" s="24" t="n">
        <v>4.49</v>
      </c>
      <c r="N252" s="23">
        <f>ROUND(L252/M252, 0)</f>
        <v/>
      </c>
      <c r="O252" s="23">
        <f>ROUND(N252*'Methodology &amp; Assumptions'!$B$8, 0)</f>
        <v/>
      </c>
      <c r="P252" s="44" t="inlineStr">
        <is>
          <t>Band n50 (1.5 GHz, 60 MHz)</t>
        </is>
      </c>
      <c r="Q252" s="38">
        <f>ROUNDUP(O252/'Methodology &amp; Assumptions'!$B$9, 0)</f>
        <v/>
      </c>
      <c r="R252" s="39" t="n">
        <v>1</v>
      </c>
      <c r="S252" s="25" t="n">
        <v>2</v>
      </c>
      <c r="T252" s="25" t="n">
        <v>2.88</v>
      </c>
      <c r="U252" s="42" t="inlineStr">
        <is>
          <t>Tier 1B (Micro Drop, 1-3 km)</t>
        </is>
      </c>
      <c r="V252" s="24" t="n">
        <v>51.4</v>
      </c>
      <c r="W252" s="24" t="n">
        <v>97.90000000000001</v>
      </c>
      <c r="X252" s="24" t="n">
        <v>58</v>
      </c>
      <c r="Y252" s="45">
        <f>ROUND((V252*'Methodology &amp; Assumptions'!$B$6)+(W252*'Methodology &amp; Assumptions'!$B$5)+(X252*'Methodology &amp; Assumptions'!$B$7), 2)</f>
        <v/>
      </c>
    </row>
    <row r="253" ht="19" customHeight="1">
      <c r="A253" s="35" t="n">
        <v>249</v>
      </c>
      <c r="B253" s="35" t="n">
        <v>2249</v>
      </c>
      <c r="C253" s="36" t="inlineStr">
        <is>
          <t>0631000001</t>
        </is>
      </c>
      <c r="D253" s="36" t="inlineStr">
        <is>
          <t>Region VI (Western Visayas)</t>
        </is>
      </c>
      <c r="E253" s="36" t="inlineStr">
        <is>
          <t>Iloilo</t>
        </is>
      </c>
      <c r="F253" s="36" t="inlineStr">
        <is>
          <t>City of Iloilo</t>
        </is>
      </c>
      <c r="G253" s="36" t="inlineStr">
        <is>
          <t>Santa Cruz</t>
        </is>
      </c>
      <c r="H253" s="37" t="n">
        <v>10.686298</v>
      </c>
      <c r="I253" s="37" t="n">
        <v>122.500635</v>
      </c>
      <c r="J253" s="8" t="inlineStr">
        <is>
          <t>R</t>
        </is>
      </c>
      <c r="K253" s="36" t="inlineStr">
        <is>
          <t>Class 1-3 / Urban</t>
        </is>
      </c>
      <c r="L253" s="18" t="n">
        <v>3813</v>
      </c>
      <c r="M253" s="20" t="n">
        <v>4.39</v>
      </c>
      <c r="N253" s="18">
        <f>ROUND(L253/M253, 0)</f>
        <v/>
      </c>
      <c r="O253" s="18">
        <f>ROUND(N253*'Methodology &amp; Assumptions'!$B$8, 0)</f>
        <v/>
      </c>
      <c r="P253" s="8" t="inlineStr">
        <is>
          <t>Band n50 (1.5 GHz, 60 MHz)</t>
        </is>
      </c>
      <c r="Q253" s="38">
        <f>ROUNDUP(O253/'Methodology &amp; Assumptions'!$B$9, 0)</f>
        <v/>
      </c>
      <c r="R253" s="39" t="n">
        <v>1</v>
      </c>
      <c r="S253" s="21" t="n">
        <v>2.35</v>
      </c>
      <c r="T253" s="21" t="n">
        <v>0.84</v>
      </c>
      <c r="U253" s="36" t="inlineStr">
        <is>
          <t>Tier 1B (Micro Drop, 1-3 km)</t>
        </is>
      </c>
      <c r="V253" s="20" t="n">
        <v>55.6</v>
      </c>
      <c r="W253" s="20" t="n">
        <v>93.59999999999999</v>
      </c>
      <c r="X253" s="20" t="n">
        <v>58</v>
      </c>
      <c r="Y253" s="40">
        <f>ROUND((V253*'Methodology &amp; Assumptions'!$B$6)+(W253*'Methodology &amp; Assumptions'!$B$5)+(X253*'Methodology &amp; Assumptions'!$B$7), 2)</f>
        <v/>
      </c>
    </row>
    <row r="254" ht="19" customHeight="1">
      <c r="A254" s="41" t="n">
        <v>250</v>
      </c>
      <c r="B254" s="41" t="n">
        <v>2250</v>
      </c>
      <c r="C254" s="42" t="inlineStr">
        <is>
          <t>0731300014</t>
        </is>
      </c>
      <c r="D254" s="42" t="inlineStr">
        <is>
          <t>Region VII (Central Visayas)</t>
        </is>
      </c>
      <c r="E254" s="42" t="inlineStr">
        <is>
          <t>Cebu</t>
        </is>
      </c>
      <c r="F254" s="42" t="inlineStr">
        <is>
          <t>City of Mandaue</t>
        </is>
      </c>
      <c r="G254" s="42" t="inlineStr">
        <is>
          <t>Jagobiao</t>
        </is>
      </c>
      <c r="H254" s="43" t="n">
        <v>10.366886</v>
      </c>
      <c r="I254" s="43" t="n">
        <v>123.952101</v>
      </c>
      <c r="J254" s="44" t="inlineStr">
        <is>
          <t>U</t>
        </is>
      </c>
      <c r="K254" s="42" t="inlineStr">
        <is>
          <t>Class 1-3 / Urban</t>
        </is>
      </c>
      <c r="L254" s="23" t="n">
        <v>12138</v>
      </c>
      <c r="M254" s="24" t="n">
        <v>4.42</v>
      </c>
      <c r="N254" s="23">
        <f>ROUND(L254/M254, 0)</f>
        <v/>
      </c>
      <c r="O254" s="23">
        <f>ROUND(N254*'Methodology &amp; Assumptions'!$B$8, 0)</f>
        <v/>
      </c>
      <c r="P254" s="44" t="inlineStr">
        <is>
          <t>Band n50 (1.5 GHz, 60 MHz)</t>
        </is>
      </c>
      <c r="Q254" s="38">
        <f>ROUNDUP(O254/'Methodology &amp; Assumptions'!$B$9, 0)</f>
        <v/>
      </c>
      <c r="R254" s="39" t="n">
        <v>1</v>
      </c>
      <c r="S254" s="25" t="n">
        <v>1.29</v>
      </c>
      <c r="T254" s="25" t="n">
        <v>0.02</v>
      </c>
      <c r="U254" s="42" t="inlineStr">
        <is>
          <t>Tier 1B (Micro Drop, 1-3 km)</t>
        </is>
      </c>
      <c r="V254" s="24" t="n">
        <v>75</v>
      </c>
      <c r="W254" s="24" t="n">
        <v>100</v>
      </c>
      <c r="X254" s="24" t="n">
        <v>28</v>
      </c>
      <c r="Y254" s="45">
        <f>ROUND((V254*'Methodology &amp; Assumptions'!$B$6)+(W254*'Methodology &amp; Assumptions'!$B$5)+(X254*'Methodology &amp; Assumptions'!$B$7), 2)</f>
        <v/>
      </c>
    </row>
    <row r="255" ht="19" customHeight="1">
      <c r="A255" s="35" t="n">
        <v>251</v>
      </c>
      <c r="B255" s="35" t="n">
        <v>2251</v>
      </c>
      <c r="C255" s="36" t="inlineStr">
        <is>
          <t>1630400019</t>
        </is>
      </c>
      <c r="D255" s="36" t="inlineStr">
        <is>
          <t>Region XIII (Caraga)</t>
        </is>
      </c>
      <c r="E255" s="36" t="inlineStr">
        <is>
          <t>Agusan del Norte</t>
        </is>
      </c>
      <c r="F255" s="36" t="inlineStr">
        <is>
          <t>City of Butuan</t>
        </is>
      </c>
      <c r="G255" s="36" t="inlineStr">
        <is>
          <t>Basag</t>
        </is>
      </c>
      <c r="H255" s="37" t="n">
        <v>8.934305</v>
      </c>
      <c r="I255" s="37" t="n">
        <v>125.614717</v>
      </c>
      <c r="J255" s="8" t="inlineStr">
        <is>
          <t>R</t>
        </is>
      </c>
      <c r="K255" s="36" t="inlineStr">
        <is>
          <t>Class 1-3 / Urban</t>
        </is>
      </c>
      <c r="L255" s="18" t="n">
        <v>3993</v>
      </c>
      <c r="M255" s="20" t="n">
        <v>4.63</v>
      </c>
      <c r="N255" s="18">
        <f>ROUND(L255/M255, 0)</f>
        <v/>
      </c>
      <c r="O255" s="18">
        <f>ROUND(N255*'Methodology &amp; Assumptions'!$B$8, 0)</f>
        <v/>
      </c>
      <c r="P255" s="8" t="inlineStr">
        <is>
          <t>Band n50 (1.5 GHz, 60 MHz)</t>
        </is>
      </c>
      <c r="Q255" s="38">
        <f>ROUNDUP(O255/'Methodology &amp; Assumptions'!$B$9, 0)</f>
        <v/>
      </c>
      <c r="R255" s="39" t="n">
        <v>1</v>
      </c>
      <c r="S255" s="21" t="n">
        <v>3.3</v>
      </c>
      <c r="T255" s="21" t="n">
        <v>1.63</v>
      </c>
      <c r="U255" s="36" t="inlineStr">
        <is>
          <t>Tier 2 (Fiber Corridor / Lateral, 3-5 km)</t>
        </is>
      </c>
      <c r="V255" s="20" t="n">
        <v>43.3</v>
      </c>
      <c r="W255" s="20" t="n">
        <v>93.09999999999999</v>
      </c>
      <c r="X255" s="20" t="n">
        <v>73</v>
      </c>
      <c r="Y255" s="40">
        <f>ROUND((V255*'Methodology &amp; Assumptions'!$B$6)+(W255*'Methodology &amp; Assumptions'!$B$5)+(X255*'Methodology &amp; Assumptions'!$B$7), 2)</f>
        <v/>
      </c>
    </row>
    <row r="256" ht="19" customHeight="1">
      <c r="A256" s="41" t="n">
        <v>252</v>
      </c>
      <c r="B256" s="41" t="n">
        <v>2252</v>
      </c>
      <c r="C256" s="42" t="inlineStr">
        <is>
          <t>0305407029</t>
        </is>
      </c>
      <c r="D256" s="42" t="inlineStr">
        <is>
          <t>Region III (Central Luzon)</t>
        </is>
      </c>
      <c r="E256" s="42" t="inlineStr">
        <is>
          <t>Pampanga</t>
        </is>
      </c>
      <c r="F256" s="42" t="inlineStr">
        <is>
          <t>Guagua</t>
        </is>
      </c>
      <c r="G256" s="42" t="inlineStr">
        <is>
          <t>Santa Ines</t>
        </is>
      </c>
      <c r="H256" s="43" t="n">
        <v>14.980899</v>
      </c>
      <c r="I256" s="43" t="n">
        <v>120.648621</v>
      </c>
      <c r="J256" s="44" t="inlineStr">
        <is>
          <t>R</t>
        </is>
      </c>
      <c r="K256" s="42" t="inlineStr">
        <is>
          <t>Class 1-3 / Urban</t>
        </is>
      </c>
      <c r="L256" s="23" t="n">
        <v>3920</v>
      </c>
      <c r="M256" s="24" t="n">
        <v>4.63</v>
      </c>
      <c r="N256" s="23">
        <f>ROUND(L256/M256, 0)</f>
        <v/>
      </c>
      <c r="O256" s="23">
        <f>ROUND(N256*'Methodology &amp; Assumptions'!$B$8, 0)</f>
        <v/>
      </c>
      <c r="P256" s="44" t="inlineStr">
        <is>
          <t>Band n50 (1.5 GHz, 60 MHz)</t>
        </is>
      </c>
      <c r="Q256" s="38">
        <f>ROUNDUP(O256/'Methodology &amp; Assumptions'!$B$9, 0)</f>
        <v/>
      </c>
      <c r="R256" s="39" t="n">
        <v>1</v>
      </c>
      <c r="S256" s="25" t="n">
        <v>2.23</v>
      </c>
      <c r="T256" s="25" t="n">
        <v>0.12</v>
      </c>
      <c r="U256" s="42" t="inlineStr">
        <is>
          <t>Tier 1B (Micro Drop, 1-3 km)</t>
        </is>
      </c>
      <c r="V256" s="24" t="n">
        <v>57.5</v>
      </c>
      <c r="W256" s="24" t="n">
        <v>91.7</v>
      </c>
      <c r="X256" s="24" t="n">
        <v>58</v>
      </c>
      <c r="Y256" s="45">
        <f>ROUND((V256*'Methodology &amp; Assumptions'!$B$6)+(W256*'Methodology &amp; Assumptions'!$B$5)+(X256*'Methodology &amp; Assumptions'!$B$7), 2)</f>
        <v/>
      </c>
    </row>
    <row r="257" ht="19" customHeight="1">
      <c r="A257" s="35" t="n">
        <v>253</v>
      </c>
      <c r="B257" s="35" t="n">
        <v>2253</v>
      </c>
      <c r="C257" s="36" t="inlineStr">
        <is>
          <t>0201525015</t>
        </is>
      </c>
      <c r="D257" s="36" t="inlineStr">
        <is>
          <t>Region II (Cagayan Valley)</t>
        </is>
      </c>
      <c r="E257" s="36" t="inlineStr">
        <is>
          <t>Cagayan</t>
        </is>
      </c>
      <c r="F257" s="36" t="inlineStr">
        <is>
          <t>Santa Teresita</t>
        </is>
      </c>
      <c r="G257" s="36" t="inlineStr">
        <is>
          <t>Centro West</t>
        </is>
      </c>
      <c r="H257" s="37" t="n">
        <v>18.2477</v>
      </c>
      <c r="I257" s="37" t="n">
        <v>121.9064</v>
      </c>
      <c r="J257" s="8" t="inlineStr">
        <is>
          <t>R</t>
        </is>
      </c>
      <c r="K257" s="36" t="inlineStr">
        <is>
          <t>3rd</t>
        </is>
      </c>
      <c r="L257" s="18" t="n">
        <v>1697</v>
      </c>
      <c r="M257" s="20" t="n">
        <v>4.45</v>
      </c>
      <c r="N257" s="18">
        <f>ROUND(L257/M257, 0)</f>
        <v/>
      </c>
      <c r="O257" s="18">
        <f>ROUND(N257*'Methodology &amp; Assumptions'!$B$8, 0)</f>
        <v/>
      </c>
      <c r="P257" s="8" t="inlineStr">
        <is>
          <t>Band n50 (1.5 GHz, 60 MHz)</t>
        </is>
      </c>
      <c r="Q257" s="38">
        <f>ROUNDUP(O257/'Methodology &amp; Assumptions'!$B$9, 0)</f>
        <v/>
      </c>
      <c r="R257" s="39" t="n">
        <v>1</v>
      </c>
      <c r="S257" s="21" t="n">
        <v>0.49</v>
      </c>
      <c r="T257" s="21" t="n">
        <v>0.11</v>
      </c>
      <c r="U257" s="36" t="inlineStr">
        <is>
          <t>Tier 1A (Direct Coloc, &lt;1 km)</t>
        </is>
      </c>
      <c r="V257" s="20" t="n">
        <v>94.8</v>
      </c>
      <c r="W257" s="20" t="n">
        <v>54.4</v>
      </c>
      <c r="X257" s="20" t="n">
        <v>58</v>
      </c>
      <c r="Y257" s="40">
        <f>ROUND((V257*'Methodology &amp; Assumptions'!$B$6)+(W257*'Methodology &amp; Assumptions'!$B$5)+(X257*'Methodology &amp; Assumptions'!$B$7), 2)</f>
        <v/>
      </c>
    </row>
    <row r="258" ht="19" customHeight="1">
      <c r="A258" s="41" t="n">
        <v>254</v>
      </c>
      <c r="B258" s="41" t="n">
        <v>2254</v>
      </c>
      <c r="C258" s="42" t="inlineStr">
        <is>
          <t>1001317019</t>
        </is>
      </c>
      <c r="D258" s="42" t="inlineStr">
        <is>
          <t>Region X (Northern Mindanao)</t>
        </is>
      </c>
      <c r="E258" s="42" t="inlineStr">
        <is>
          <t>Bukidnon</t>
        </is>
      </c>
      <c r="F258" s="42" t="inlineStr">
        <is>
          <t>Quezon</t>
        </is>
      </c>
      <c r="G258" s="42" t="inlineStr">
        <is>
          <t>Merangerang</t>
        </is>
      </c>
      <c r="H258" s="43" t="n">
        <v>7.747543</v>
      </c>
      <c r="I258" s="43" t="n">
        <v>125.113567</v>
      </c>
      <c r="J258" s="44" t="inlineStr">
        <is>
          <t>R</t>
        </is>
      </c>
      <c r="K258" s="42" t="inlineStr">
        <is>
          <t>Class 1-3 / Urban</t>
        </is>
      </c>
      <c r="L258" s="23" t="n">
        <v>4151</v>
      </c>
      <c r="M258" s="24" t="n">
        <v>4.63</v>
      </c>
      <c r="N258" s="23">
        <f>ROUND(L258/M258, 0)</f>
        <v/>
      </c>
      <c r="O258" s="23">
        <f>ROUND(N258*'Methodology &amp; Assumptions'!$B$8, 0)</f>
        <v/>
      </c>
      <c r="P258" s="44" t="inlineStr">
        <is>
          <t>Band n50 (1.5 GHz, 60 MHz)</t>
        </is>
      </c>
      <c r="Q258" s="38">
        <f>ROUNDUP(O258/'Methodology &amp; Assumptions'!$B$9, 0)</f>
        <v/>
      </c>
      <c r="R258" s="39" t="n">
        <v>1</v>
      </c>
      <c r="S258" s="25" t="n">
        <v>2.5</v>
      </c>
      <c r="T258" s="25" t="n">
        <v>1.6</v>
      </c>
      <c r="U258" s="42" t="inlineStr">
        <is>
          <t>Tier 1B (Micro Drop, 1-3 km)</t>
        </is>
      </c>
      <c r="V258" s="24" t="n">
        <v>53.5</v>
      </c>
      <c r="W258" s="24" t="n">
        <v>95.7</v>
      </c>
      <c r="X258" s="24" t="n">
        <v>58</v>
      </c>
      <c r="Y258" s="45">
        <f>ROUND((V258*'Methodology &amp; Assumptions'!$B$6)+(W258*'Methodology &amp; Assumptions'!$B$5)+(X258*'Methodology &amp; Assumptions'!$B$7), 2)</f>
        <v/>
      </c>
    </row>
    <row r="259" ht="19" customHeight="1">
      <c r="A259" s="35" t="n">
        <v>255</v>
      </c>
      <c r="B259" s="35" t="n">
        <v>2255</v>
      </c>
      <c r="C259" s="36" t="inlineStr">
        <is>
          <t>0506207012</t>
        </is>
      </c>
      <c r="D259" s="36" t="inlineStr">
        <is>
          <t>Region V (Bicol Region)</t>
        </is>
      </c>
      <c r="E259" s="36" t="inlineStr">
        <is>
          <t>Sorsogon</t>
        </is>
      </c>
      <c r="F259" s="36" t="inlineStr">
        <is>
          <t>Donsol</t>
        </is>
      </c>
      <c r="G259" s="36" t="inlineStr">
        <is>
          <t>Dancalan</t>
        </is>
      </c>
      <c r="H259" s="37" t="n">
        <v>12.914131</v>
      </c>
      <c r="I259" s="37" t="n">
        <v>123.585569</v>
      </c>
      <c r="J259" s="8" t="inlineStr">
        <is>
          <t>R</t>
        </is>
      </c>
      <c r="K259" s="36" t="inlineStr">
        <is>
          <t>Class 1-3 / Urban</t>
        </is>
      </c>
      <c r="L259" s="18" t="n">
        <v>3498</v>
      </c>
      <c r="M259" s="20" t="n">
        <v>4.58</v>
      </c>
      <c r="N259" s="18">
        <f>ROUND(L259/M259, 0)</f>
        <v/>
      </c>
      <c r="O259" s="18">
        <f>ROUND(N259*'Methodology &amp; Assumptions'!$B$8, 0)</f>
        <v/>
      </c>
      <c r="P259" s="8" t="inlineStr">
        <is>
          <t>Band n50 (1.5 GHz, 60 MHz)</t>
        </is>
      </c>
      <c r="Q259" s="38">
        <f>ROUNDUP(O259/'Methodology &amp; Assumptions'!$B$9, 0)</f>
        <v/>
      </c>
      <c r="R259" s="39" t="n">
        <v>1</v>
      </c>
      <c r="S259" s="21" t="n">
        <v>1.33</v>
      </c>
      <c r="T259" s="21" t="n">
        <v>18.09</v>
      </c>
      <c r="U259" s="36" t="inlineStr">
        <is>
          <t>Tier 1B (Micro Drop, 1-3 km)</t>
        </is>
      </c>
      <c r="V259" s="20" t="n">
        <v>64.09999999999999</v>
      </c>
      <c r="W259" s="20" t="n">
        <v>85.09999999999999</v>
      </c>
      <c r="X259" s="20" t="n">
        <v>58</v>
      </c>
      <c r="Y259" s="40">
        <f>ROUND((V259*'Methodology &amp; Assumptions'!$B$6)+(W259*'Methodology &amp; Assumptions'!$B$5)+(X259*'Methodology &amp; Assumptions'!$B$7), 2)</f>
        <v/>
      </c>
    </row>
    <row r="260" ht="19" customHeight="1">
      <c r="A260" s="41" t="n">
        <v>256</v>
      </c>
      <c r="B260" s="41" t="n">
        <v>2256</v>
      </c>
      <c r="C260" s="42" t="inlineStr">
        <is>
          <t>0105533017</t>
        </is>
      </c>
      <c r="D260" s="42" t="inlineStr">
        <is>
          <t>Region I (Ilocos Region)</t>
        </is>
      </c>
      <c r="E260" s="42" t="inlineStr">
        <is>
          <t>Pangasinan</t>
        </is>
      </c>
      <c r="F260" s="42" t="inlineStr">
        <is>
          <t>San Fabian</t>
        </is>
      </c>
      <c r="G260" s="42" t="inlineStr">
        <is>
          <t>Nibaliw East</t>
        </is>
      </c>
      <c r="H260" s="43" t="n">
        <v>16.125867</v>
      </c>
      <c r="I260" s="43" t="n">
        <v>120.399919</v>
      </c>
      <c r="J260" s="44" t="inlineStr">
        <is>
          <t>R</t>
        </is>
      </c>
      <c r="K260" s="42" t="inlineStr">
        <is>
          <t>Class 1-3 / Urban</t>
        </is>
      </c>
      <c r="L260" s="23" t="n">
        <v>2535</v>
      </c>
      <c r="M260" s="24" t="n">
        <v>4.39</v>
      </c>
      <c r="N260" s="23">
        <f>ROUND(L260/M260, 0)</f>
        <v/>
      </c>
      <c r="O260" s="23">
        <f>ROUND(N260*'Methodology &amp; Assumptions'!$B$8, 0)</f>
        <v/>
      </c>
      <c r="P260" s="44" t="inlineStr">
        <is>
          <t>Band n50 (1.5 GHz, 60 MHz)</t>
        </is>
      </c>
      <c r="Q260" s="38">
        <f>ROUNDUP(O260/'Methodology &amp; Assumptions'!$B$9, 0)</f>
        <v/>
      </c>
      <c r="R260" s="39" t="n">
        <v>1</v>
      </c>
      <c r="S260" s="25" t="n">
        <v>1.11</v>
      </c>
      <c r="T260" s="25" t="n">
        <v>0.45</v>
      </c>
      <c r="U260" s="42" t="inlineStr">
        <is>
          <t>Tier 1B (Micro Drop, 1-3 km)</t>
        </is>
      </c>
      <c r="V260" s="24" t="n">
        <v>79.09999999999999</v>
      </c>
      <c r="W260" s="24" t="n">
        <v>70.09999999999999</v>
      </c>
      <c r="X260" s="24" t="n">
        <v>58</v>
      </c>
      <c r="Y260" s="45">
        <f>ROUND((V260*'Methodology &amp; Assumptions'!$B$6)+(W260*'Methodology &amp; Assumptions'!$B$5)+(X260*'Methodology &amp; Assumptions'!$B$7), 2)</f>
        <v/>
      </c>
    </row>
    <row r="261" ht="19" customHeight="1">
      <c r="A261" s="35" t="n">
        <v>257</v>
      </c>
      <c r="B261" s="35" t="n">
        <v>2257</v>
      </c>
      <c r="C261" s="36" t="inlineStr">
        <is>
          <t>1630400004</t>
        </is>
      </c>
      <c r="D261" s="36" t="inlineStr">
        <is>
          <t>Region XIII (Caraga)</t>
        </is>
      </c>
      <c r="E261" s="36" t="inlineStr">
        <is>
          <t>Agusan del Norte</t>
        </is>
      </c>
      <c r="F261" s="36" t="inlineStr">
        <is>
          <t>City of Butuan</t>
        </is>
      </c>
      <c r="G261" s="36" t="inlineStr">
        <is>
          <t>Ambago</t>
        </is>
      </c>
      <c r="H261" s="37" t="n">
        <v>8.960544000000001</v>
      </c>
      <c r="I261" s="37" t="n">
        <v>125.507014</v>
      </c>
      <c r="J261" s="8" t="inlineStr">
        <is>
          <t>U</t>
        </is>
      </c>
      <c r="K261" s="36" t="inlineStr">
        <is>
          <t>Class 1-3 / Urban</t>
        </is>
      </c>
      <c r="L261" s="18" t="n">
        <v>13634</v>
      </c>
      <c r="M261" s="20" t="n">
        <v>4.63</v>
      </c>
      <c r="N261" s="18">
        <f>ROUND(L261/M261, 0)</f>
        <v/>
      </c>
      <c r="O261" s="18">
        <f>ROUND(N261*'Methodology &amp; Assumptions'!$B$8, 0)</f>
        <v/>
      </c>
      <c r="P261" s="8" t="inlineStr">
        <is>
          <t>Band n50 (1.5 GHz, 60 MHz)</t>
        </is>
      </c>
      <c r="Q261" s="38">
        <f>ROUNDUP(O261/'Methodology &amp; Assumptions'!$B$9, 0)</f>
        <v/>
      </c>
      <c r="R261" s="39" t="n">
        <v>1</v>
      </c>
      <c r="S261" s="21" t="n">
        <v>1.96</v>
      </c>
      <c r="T261" s="21" t="n">
        <v>0.27</v>
      </c>
      <c r="U261" s="36" t="inlineStr">
        <is>
          <t>Tier 1B (Micro Drop, 1-3 km)</t>
        </is>
      </c>
      <c r="V261" s="20" t="n">
        <v>62.1</v>
      </c>
      <c r="W261" s="20" t="n">
        <v>100</v>
      </c>
      <c r="X261" s="20" t="n">
        <v>43</v>
      </c>
      <c r="Y261" s="40">
        <f>ROUND((V261*'Methodology &amp; Assumptions'!$B$6)+(W261*'Methodology &amp; Assumptions'!$B$5)+(X261*'Methodology &amp; Assumptions'!$B$7), 2)</f>
        <v/>
      </c>
    </row>
    <row r="262" ht="19" customHeight="1">
      <c r="A262" s="41" t="n">
        <v>258</v>
      </c>
      <c r="B262" s="41" t="n">
        <v>2258</v>
      </c>
      <c r="C262" s="42" t="inlineStr">
        <is>
          <t>1630400014</t>
        </is>
      </c>
      <c r="D262" s="42" t="inlineStr">
        <is>
          <t>Region XIII (Caraga)</t>
        </is>
      </c>
      <c r="E262" s="42" t="inlineStr">
        <is>
          <t>Agusan del Norte</t>
        </is>
      </c>
      <c r="F262" s="42" t="inlineStr">
        <is>
          <t>City of Butuan</t>
        </is>
      </c>
      <c r="G262" s="42" t="inlineStr">
        <is>
          <t>Bading Pob.</t>
        </is>
      </c>
      <c r="H262" s="43" t="n">
        <v>8.968272000000001</v>
      </c>
      <c r="I262" s="43" t="n">
        <v>125.534537</v>
      </c>
      <c r="J262" s="44" t="inlineStr">
        <is>
          <t>U</t>
        </is>
      </c>
      <c r="K262" s="42" t="inlineStr">
        <is>
          <t>Class 1-3 / Urban</t>
        </is>
      </c>
      <c r="L262" s="23" t="n">
        <v>5668</v>
      </c>
      <c r="M262" s="24" t="n">
        <v>4.63</v>
      </c>
      <c r="N262" s="23">
        <f>ROUND(L262/M262, 0)</f>
        <v/>
      </c>
      <c r="O262" s="23">
        <f>ROUND(N262*'Methodology &amp; Assumptions'!$B$8, 0)</f>
        <v/>
      </c>
      <c r="P262" s="44" t="inlineStr">
        <is>
          <t>Band n50 (1.5 GHz, 60 MHz)</t>
        </is>
      </c>
      <c r="Q262" s="38">
        <f>ROUNDUP(O262/'Methodology &amp; Assumptions'!$B$9, 0)</f>
        <v/>
      </c>
      <c r="R262" s="39" t="n">
        <v>1</v>
      </c>
      <c r="S262" s="25" t="n">
        <v>1.96</v>
      </c>
      <c r="T262" s="25" t="n">
        <v>1.24</v>
      </c>
      <c r="U262" s="42" t="inlineStr">
        <is>
          <t>Tier 1B (Micro Drop, 1-3 km)</t>
        </is>
      </c>
      <c r="V262" s="24" t="n">
        <v>62</v>
      </c>
      <c r="W262" s="24" t="n">
        <v>100</v>
      </c>
      <c r="X262" s="24" t="n">
        <v>43</v>
      </c>
      <c r="Y262" s="45">
        <f>ROUND((V262*'Methodology &amp; Assumptions'!$B$6)+(W262*'Methodology &amp; Assumptions'!$B$5)+(X262*'Methodology &amp; Assumptions'!$B$7), 2)</f>
        <v/>
      </c>
    </row>
    <row r="263" ht="19" customHeight="1">
      <c r="A263" s="35" t="n">
        <v>259</v>
      </c>
      <c r="B263" s="35" t="n">
        <v>2259</v>
      </c>
      <c r="C263" s="36" t="inlineStr">
        <is>
          <t>0401019005</t>
        </is>
      </c>
      <c r="D263" s="36" t="inlineStr">
        <is>
          <t>Region IV-A (CALABARZON)</t>
        </is>
      </c>
      <c r="E263" s="36" t="inlineStr">
        <is>
          <t>Batangas</t>
        </is>
      </c>
      <c r="F263" s="36" t="inlineStr">
        <is>
          <t>Nasugbu</t>
        </is>
      </c>
      <c r="G263" s="36" t="inlineStr">
        <is>
          <t>Barangay 11</t>
        </is>
      </c>
      <c r="H263" s="37" t="n">
        <v>14.074686</v>
      </c>
      <c r="I263" s="37" t="n">
        <v>120.631135</v>
      </c>
      <c r="J263" s="8" t="inlineStr">
        <is>
          <t>U</t>
        </is>
      </c>
      <c r="K263" s="36" t="inlineStr">
        <is>
          <t>Class 1-3 / Urban</t>
        </is>
      </c>
      <c r="L263" s="18" t="n">
        <v>3312</v>
      </c>
      <c r="M263" s="20" t="n">
        <v>4.62</v>
      </c>
      <c r="N263" s="18">
        <f>ROUND(L263/M263, 0)</f>
        <v/>
      </c>
      <c r="O263" s="18">
        <f>ROUND(N263*'Methodology &amp; Assumptions'!$B$8, 0)</f>
        <v/>
      </c>
      <c r="P263" s="8" t="inlineStr">
        <is>
          <t>Band n50 (1.5 GHz, 60 MHz)</t>
        </is>
      </c>
      <c r="Q263" s="38">
        <f>ROUNDUP(O263/'Methodology &amp; Assumptions'!$B$9, 0)</f>
        <v/>
      </c>
      <c r="R263" s="39" t="n">
        <v>1</v>
      </c>
      <c r="S263" s="21" t="n">
        <v>0.54</v>
      </c>
      <c r="T263" s="21" t="n">
        <v>0.15</v>
      </c>
      <c r="U263" s="36" t="inlineStr">
        <is>
          <t>Tier 1A (Direct Coloc, &lt;1 km)</t>
        </is>
      </c>
      <c r="V263" s="20" t="n">
        <v>93.59999999999999</v>
      </c>
      <c r="W263" s="20" t="n">
        <v>81.3</v>
      </c>
      <c r="X263" s="20" t="n">
        <v>28</v>
      </c>
      <c r="Y263" s="40">
        <f>ROUND((V263*'Methodology &amp; Assumptions'!$B$6)+(W263*'Methodology &amp; Assumptions'!$B$5)+(X263*'Methodology &amp; Assumptions'!$B$7), 2)</f>
        <v/>
      </c>
    </row>
    <row r="264" ht="19" customHeight="1">
      <c r="A264" s="41" t="n">
        <v>260</v>
      </c>
      <c r="B264" s="41" t="n">
        <v>2260</v>
      </c>
      <c r="C264" s="42" t="inlineStr">
        <is>
          <t>0500518014</t>
        </is>
      </c>
      <c r="D264" s="42" t="inlineStr">
        <is>
          <t>Region V (Bicol Region)</t>
        </is>
      </c>
      <c r="E264" s="42" t="inlineStr">
        <is>
          <t>Albay</t>
        </is>
      </c>
      <c r="F264" s="42" t="inlineStr">
        <is>
          <t>Tiwi</t>
        </is>
      </c>
      <c r="G264" s="42" t="inlineStr">
        <is>
          <t>Libtong</t>
        </is>
      </c>
      <c r="H264" s="43" t="n">
        <v>13.453129</v>
      </c>
      <c r="I264" s="43" t="n">
        <v>123.669255</v>
      </c>
      <c r="J264" s="44" t="inlineStr">
        <is>
          <t>R</t>
        </is>
      </c>
      <c r="K264" s="42" t="inlineStr">
        <is>
          <t>Class 1-3 / Urban</t>
        </is>
      </c>
      <c r="L264" s="23" t="n">
        <v>2270</v>
      </c>
      <c r="M264" s="24" t="n">
        <v>4.67</v>
      </c>
      <c r="N264" s="23">
        <f>ROUND(L264/M264, 0)</f>
        <v/>
      </c>
      <c r="O264" s="23">
        <f>ROUND(N264*'Methodology &amp; Assumptions'!$B$8, 0)</f>
        <v/>
      </c>
      <c r="P264" s="44" t="inlineStr">
        <is>
          <t>Band n50 (1.5 GHz, 60 MHz)</t>
        </is>
      </c>
      <c r="Q264" s="38">
        <f>ROUNDUP(O264/'Methodology &amp; Assumptions'!$B$9, 0)</f>
        <v/>
      </c>
      <c r="R264" s="39" t="n">
        <v>1</v>
      </c>
      <c r="S264" s="25" t="n">
        <v>0.8100000000000001</v>
      </c>
      <c r="T264" s="25" t="n">
        <v>0.9399999999999999</v>
      </c>
      <c r="U264" s="42" t="inlineStr">
        <is>
          <t>Tier 1A (Direct Coloc, &lt;1 km)</t>
        </is>
      </c>
      <c r="V264" s="24" t="n">
        <v>86.2</v>
      </c>
      <c r="W264" s="24" t="n">
        <v>62.9</v>
      </c>
      <c r="X264" s="24" t="n">
        <v>58</v>
      </c>
      <c r="Y264" s="45">
        <f>ROUND((V264*'Methodology &amp; Assumptions'!$B$6)+(W264*'Methodology &amp; Assumptions'!$B$5)+(X264*'Methodology &amp; Assumptions'!$B$7), 2)</f>
        <v/>
      </c>
    </row>
    <row r="265" ht="19" customHeight="1">
      <c r="A265" s="35" t="n">
        <v>261</v>
      </c>
      <c r="B265" s="35" t="n">
        <v>2261</v>
      </c>
      <c r="C265" s="36" t="inlineStr">
        <is>
          <t>0603036001</t>
        </is>
      </c>
      <c r="D265" s="36" t="inlineStr">
        <is>
          <t>Region VI (Western Visayas)</t>
        </is>
      </c>
      <c r="E265" s="36" t="inlineStr">
        <is>
          <t>Iloilo</t>
        </is>
      </c>
      <c r="F265" s="36" t="inlineStr">
        <is>
          <t>Pavia</t>
        </is>
      </c>
      <c r="G265" s="36" t="inlineStr">
        <is>
          <t>Aganan</t>
        </is>
      </c>
      <c r="H265" s="37" t="n">
        <v>10.771021</v>
      </c>
      <c r="I265" s="37" t="n">
        <v>122.536158</v>
      </c>
      <c r="J265" s="8" t="inlineStr">
        <is>
          <t>U</t>
        </is>
      </c>
      <c r="K265" s="36" t="inlineStr">
        <is>
          <t>Class 1-3 / Urban</t>
        </is>
      </c>
      <c r="L265" s="18" t="n">
        <v>4968</v>
      </c>
      <c r="M265" s="20" t="n">
        <v>4.39</v>
      </c>
      <c r="N265" s="18">
        <f>ROUND(L265/M265, 0)</f>
        <v/>
      </c>
      <c r="O265" s="18">
        <f>ROUND(N265*'Methodology &amp; Assumptions'!$B$8, 0)</f>
        <v/>
      </c>
      <c r="P265" s="8" t="inlineStr">
        <is>
          <t>Band n50 (1.5 GHz, 60 MHz)</t>
        </is>
      </c>
      <c r="Q265" s="38">
        <f>ROUNDUP(O265/'Methodology &amp; Assumptions'!$B$9, 0)</f>
        <v/>
      </c>
      <c r="R265" s="39" t="n">
        <v>1</v>
      </c>
      <c r="S265" s="21" t="n">
        <v>0.87</v>
      </c>
      <c r="T265" s="21" t="n">
        <v>3.69</v>
      </c>
      <c r="U265" s="36" t="inlineStr">
        <is>
          <t>Tier 1A (Direct Coloc, &lt;1 km)</t>
        </is>
      </c>
      <c r="V265" s="20" t="n">
        <v>74.90000000000001</v>
      </c>
      <c r="W265" s="20" t="n">
        <v>100</v>
      </c>
      <c r="X265" s="20" t="n">
        <v>28</v>
      </c>
      <c r="Y265" s="40">
        <f>ROUND((V265*'Methodology &amp; Assumptions'!$B$6)+(W265*'Methodology &amp; Assumptions'!$B$5)+(X265*'Methodology &amp; Assumptions'!$B$7), 2)</f>
        <v/>
      </c>
    </row>
    <row r="266" ht="19" customHeight="1">
      <c r="A266" s="41" t="n">
        <v>262</v>
      </c>
      <c r="B266" s="41" t="n">
        <v>2262</v>
      </c>
      <c r="C266" s="42" t="inlineStr">
        <is>
          <t>0500511004</t>
        </is>
      </c>
      <c r="D266" s="42" t="inlineStr">
        <is>
          <t>Region V (Bicol Region)</t>
        </is>
      </c>
      <c r="E266" s="42" t="inlineStr">
        <is>
          <t>Albay</t>
        </is>
      </c>
      <c r="F266" s="42" t="inlineStr">
        <is>
          <t>Manito</t>
        </is>
      </c>
      <c r="G266" s="42" t="inlineStr">
        <is>
          <t>Buyo</t>
        </is>
      </c>
      <c r="H266" s="43" t="n">
        <v>13.109454</v>
      </c>
      <c r="I266" s="43" t="n">
        <v>123.865552</v>
      </c>
      <c r="J266" s="44" t="inlineStr">
        <is>
          <t>R</t>
        </is>
      </c>
      <c r="K266" s="42" t="inlineStr">
        <is>
          <t>2nd</t>
        </is>
      </c>
      <c r="L266" s="23" t="n">
        <v>4088</v>
      </c>
      <c r="M266" s="24" t="n">
        <v>4.84</v>
      </c>
      <c r="N266" s="23">
        <f>ROUND(L266/M266, 0)</f>
        <v/>
      </c>
      <c r="O266" s="23">
        <f>ROUND(N266*'Methodology &amp; Assumptions'!$B$8, 0)</f>
        <v/>
      </c>
      <c r="P266" s="44" t="inlineStr">
        <is>
          <t>Band n50 (1.5 GHz, 60 MHz)</t>
        </is>
      </c>
      <c r="Q266" s="38">
        <f>ROUNDUP(O266/'Methodology &amp; Assumptions'!$B$9, 0)</f>
        <v/>
      </c>
      <c r="R266" s="39" t="n">
        <v>1</v>
      </c>
      <c r="S266" s="25" t="n">
        <v>1.66</v>
      </c>
      <c r="T266" s="25" t="n">
        <v>12.77</v>
      </c>
      <c r="U266" s="42" t="inlineStr">
        <is>
          <t>Tier 1B (Micro Drop, 1-3 km)</t>
        </is>
      </c>
      <c r="V266" s="24" t="n">
        <v>57.4</v>
      </c>
      <c r="W266" s="24" t="n">
        <v>91.7</v>
      </c>
      <c r="X266" s="24" t="n">
        <v>58</v>
      </c>
      <c r="Y266" s="45">
        <f>ROUND((V266*'Methodology &amp; Assumptions'!$B$6)+(W266*'Methodology &amp; Assumptions'!$B$5)+(X266*'Methodology &amp; Assumptions'!$B$7), 2)</f>
        <v/>
      </c>
    </row>
    <row r="267" ht="19" customHeight="1">
      <c r="A267" s="35" t="n">
        <v>263</v>
      </c>
      <c r="B267" s="35" t="n">
        <v>2263</v>
      </c>
      <c r="C267" s="36" t="inlineStr">
        <is>
          <t>0907322052</t>
        </is>
      </c>
      <c r="D267" s="36" t="inlineStr">
        <is>
          <t>Region IX (Zamboanga Peninsula)</t>
        </is>
      </c>
      <c r="E267" s="36" t="inlineStr">
        <is>
          <t>Zamboanga del Sur</t>
        </is>
      </c>
      <c r="F267" s="36" t="inlineStr">
        <is>
          <t>City of Pagadian</t>
        </is>
      </c>
      <c r="G267" s="36" t="inlineStr">
        <is>
          <t>Kawit</t>
        </is>
      </c>
      <c r="H267" s="37" t="n">
        <v>7.824106</v>
      </c>
      <c r="I267" s="37" t="n">
        <v>123.448951</v>
      </c>
      <c r="J267" s="8" t="inlineStr">
        <is>
          <t>U</t>
        </is>
      </c>
      <c r="K267" s="36" t="inlineStr">
        <is>
          <t>Class 1-3 / Urban</t>
        </is>
      </c>
      <c r="L267" s="18" t="n">
        <v>9510</v>
      </c>
      <c r="M267" s="20" t="n">
        <v>4.61</v>
      </c>
      <c r="N267" s="18">
        <f>ROUND(L267/M267, 0)</f>
        <v/>
      </c>
      <c r="O267" s="18">
        <f>ROUND(N267*'Methodology &amp; Assumptions'!$B$8, 0)</f>
        <v/>
      </c>
      <c r="P267" s="8" t="inlineStr">
        <is>
          <t>Band n50 (1.5 GHz, 60 MHz)</t>
        </is>
      </c>
      <c r="Q267" s="38">
        <f>ROUNDUP(O267/'Methodology &amp; Assumptions'!$B$9, 0)</f>
        <v/>
      </c>
      <c r="R267" s="39" t="n">
        <v>1</v>
      </c>
      <c r="S267" s="21" t="n">
        <v>1.3</v>
      </c>
      <c r="T267" s="21" t="n">
        <v>1.29</v>
      </c>
      <c r="U267" s="36" t="inlineStr">
        <is>
          <t>Tier 1B (Micro Drop, 1-3 km)</t>
        </is>
      </c>
      <c r="V267" s="20" t="n">
        <v>74.90000000000001</v>
      </c>
      <c r="W267" s="20" t="n">
        <v>100</v>
      </c>
      <c r="X267" s="20" t="n">
        <v>28</v>
      </c>
      <c r="Y267" s="40">
        <f>ROUND((V267*'Methodology &amp; Assumptions'!$B$6)+(W267*'Methodology &amp; Assumptions'!$B$5)+(X267*'Methodology &amp; Assumptions'!$B$7), 2)</f>
        <v/>
      </c>
    </row>
    <row r="268" ht="19" customHeight="1">
      <c r="A268" s="41" t="n">
        <v>264</v>
      </c>
      <c r="B268" s="41" t="n">
        <v>2264</v>
      </c>
      <c r="C268" s="42" t="inlineStr">
        <is>
          <t>0402106042</t>
        </is>
      </c>
      <c r="D268" s="42" t="inlineStr">
        <is>
          <t>Region IV-A (CALABARZON)</t>
        </is>
      </c>
      <c r="E268" s="42" t="inlineStr">
        <is>
          <t>Cavite</t>
        </is>
      </c>
      <c r="F268" s="42" t="inlineStr">
        <is>
          <t>City of Dasmariñas</t>
        </is>
      </c>
      <c r="G268" s="42" t="inlineStr">
        <is>
          <t>Santa Fe</t>
        </is>
      </c>
      <c r="H268" s="43" t="n">
        <v>14.320191</v>
      </c>
      <c r="I268" s="43" t="n">
        <v>120.964655</v>
      </c>
      <c r="J268" s="44" t="inlineStr">
        <is>
          <t>U</t>
        </is>
      </c>
      <c r="K268" s="42" t="inlineStr">
        <is>
          <t>Class 1-3 / Urban</t>
        </is>
      </c>
      <c r="L268" s="23" t="n">
        <v>6314</v>
      </c>
      <c r="M268" s="24" t="n">
        <v>4.49</v>
      </c>
      <c r="N268" s="23">
        <f>ROUND(L268/M268, 0)</f>
        <v/>
      </c>
      <c r="O268" s="23">
        <f>ROUND(N268*'Methodology &amp; Assumptions'!$B$8, 0)</f>
        <v/>
      </c>
      <c r="P268" s="44" t="inlineStr">
        <is>
          <t>Band n50 (1.5 GHz, 60 MHz)</t>
        </is>
      </c>
      <c r="Q268" s="38">
        <f>ROUNDUP(O268/'Methodology &amp; Assumptions'!$B$9, 0)</f>
        <v/>
      </c>
      <c r="R268" s="39" t="n">
        <v>1</v>
      </c>
      <c r="S268" s="25" t="n">
        <v>0.87</v>
      </c>
      <c r="T268" s="25" t="n">
        <v>2.37</v>
      </c>
      <c r="U268" s="42" t="inlineStr">
        <is>
          <t>Tier 1A (Direct Coloc, &lt;1 km)</t>
        </is>
      </c>
      <c r="V268" s="24" t="n">
        <v>74.90000000000001</v>
      </c>
      <c r="W268" s="24" t="n">
        <v>100</v>
      </c>
      <c r="X268" s="24" t="n">
        <v>28</v>
      </c>
      <c r="Y268" s="45">
        <f>ROUND((V268*'Methodology &amp; Assumptions'!$B$6)+(W268*'Methodology &amp; Assumptions'!$B$5)+(X268*'Methodology &amp; Assumptions'!$B$7), 2)</f>
        <v/>
      </c>
    </row>
    <row r="269" ht="19" customHeight="1">
      <c r="A269" s="35" t="n">
        <v>265</v>
      </c>
      <c r="B269" s="35" t="n">
        <v>2265</v>
      </c>
      <c r="C269" s="36" t="inlineStr">
        <is>
          <t>0704604032</t>
        </is>
      </c>
      <c r="D269" s="36" t="inlineStr">
        <is>
          <t>Region VII (Central Visayas)</t>
        </is>
      </c>
      <c r="E269" s="36" t="inlineStr">
        <is>
          <t>Negros Oriental</t>
        </is>
      </c>
      <c r="F269" s="36" t="inlineStr">
        <is>
          <t>City of Bais</t>
        </is>
      </c>
      <c r="G269" s="36" t="inlineStr">
        <is>
          <t>Talungon</t>
        </is>
      </c>
      <c r="H269" s="37" t="n">
        <v>9.598800000000001</v>
      </c>
      <c r="I269" s="37" t="n">
        <v>123.12157</v>
      </c>
      <c r="J269" s="8" t="inlineStr">
        <is>
          <t>U</t>
        </is>
      </c>
      <c r="K269" s="36" t="inlineStr">
        <is>
          <t>Class 1-3 / Urban</t>
        </is>
      </c>
      <c r="L269" s="18" t="n">
        <v>3714</v>
      </c>
      <c r="M269" s="20" t="n">
        <v>4.33</v>
      </c>
      <c r="N269" s="18">
        <f>ROUND(L269/M269, 0)</f>
        <v/>
      </c>
      <c r="O269" s="18">
        <f>ROUND(N269*'Methodology &amp; Assumptions'!$B$8, 0)</f>
        <v/>
      </c>
      <c r="P269" s="8" t="inlineStr">
        <is>
          <t>Band n50 (1.5 GHz, 60 MHz)</t>
        </is>
      </c>
      <c r="Q269" s="38">
        <f>ROUNDUP(O269/'Methodology &amp; Assumptions'!$B$9, 0)</f>
        <v/>
      </c>
      <c r="R269" s="39" t="n">
        <v>1</v>
      </c>
      <c r="S269" s="21" t="n">
        <v>0.97</v>
      </c>
      <c r="T269" s="21" t="n">
        <v>0.57</v>
      </c>
      <c r="U269" s="36" t="inlineStr">
        <is>
          <t>Tier 1A (Direct Coloc, &lt;1 km)</t>
        </is>
      </c>
      <c r="V269" s="20" t="n">
        <v>82.3</v>
      </c>
      <c r="W269" s="20" t="n">
        <v>92.5</v>
      </c>
      <c r="X269" s="20" t="n">
        <v>28</v>
      </c>
      <c r="Y269" s="40">
        <f>ROUND((V269*'Methodology &amp; Assumptions'!$B$6)+(W269*'Methodology &amp; Assumptions'!$B$5)+(X269*'Methodology &amp; Assumptions'!$B$7), 2)</f>
        <v/>
      </c>
    </row>
    <row r="270" ht="19" customHeight="1">
      <c r="A270" s="41" t="n">
        <v>266</v>
      </c>
      <c r="B270" s="41" t="n">
        <v>2266</v>
      </c>
      <c r="C270" s="42" t="inlineStr">
        <is>
          <t>0402109004</t>
        </is>
      </c>
      <c r="D270" s="42" t="inlineStr">
        <is>
          <t>Region IV-A (CALABARZON)</t>
        </is>
      </c>
      <c r="E270" s="42" t="inlineStr">
        <is>
          <t>Cavite</t>
        </is>
      </c>
      <c r="F270" s="42" t="inlineStr">
        <is>
          <t>City of Imus</t>
        </is>
      </c>
      <c r="G270" s="42" t="inlineStr">
        <is>
          <t>Anabu II-A</t>
        </is>
      </c>
      <c r="H270" s="43" t="n">
        <v>14.382319</v>
      </c>
      <c r="I270" s="43" t="n">
        <v>120.937031</v>
      </c>
      <c r="J270" s="44" t="inlineStr">
        <is>
          <t>U</t>
        </is>
      </c>
      <c r="K270" s="42" t="inlineStr">
        <is>
          <t>Class 1-3 / Urban</t>
        </is>
      </c>
      <c r="L270" s="23" t="n">
        <v>3382</v>
      </c>
      <c r="M270" s="24" t="n">
        <v>4.49</v>
      </c>
      <c r="N270" s="23">
        <f>ROUND(L270/M270, 0)</f>
        <v/>
      </c>
      <c r="O270" s="23">
        <f>ROUND(N270*'Methodology &amp; Assumptions'!$B$8, 0)</f>
        <v/>
      </c>
      <c r="P270" s="44" t="inlineStr">
        <is>
          <t>Band n50 (1.5 GHz, 60 MHz)</t>
        </is>
      </c>
      <c r="Q270" s="38">
        <f>ROUNDUP(O270/'Methodology &amp; Assumptions'!$B$9, 0)</f>
        <v/>
      </c>
      <c r="R270" s="39" t="n">
        <v>1</v>
      </c>
      <c r="S270" s="25" t="n">
        <v>0.3</v>
      </c>
      <c r="T270" s="25" t="n">
        <v>6.83</v>
      </c>
      <c r="U270" s="42" t="inlineStr">
        <is>
          <t>Tier 1A (Direct Coloc, &lt;1 km)</t>
        </is>
      </c>
      <c r="V270" s="24" t="n">
        <v>90.59999999999999</v>
      </c>
      <c r="W270" s="24" t="n">
        <v>84.3</v>
      </c>
      <c r="X270" s="24" t="n">
        <v>28</v>
      </c>
      <c r="Y270" s="45">
        <f>ROUND((V270*'Methodology &amp; Assumptions'!$B$6)+(W270*'Methodology &amp; Assumptions'!$B$5)+(X270*'Methodology &amp; Assumptions'!$B$7), 2)</f>
        <v/>
      </c>
    </row>
    <row r="271" ht="19" customHeight="1">
      <c r="A271" s="35" t="n">
        <v>267</v>
      </c>
      <c r="B271" s="35" t="n">
        <v>2267</v>
      </c>
      <c r="C271" s="36" t="inlineStr">
        <is>
          <t>0301415002</t>
        </is>
      </c>
      <c r="D271" s="36" t="inlineStr">
        <is>
          <t>Region III (Central Luzon)</t>
        </is>
      </c>
      <c r="E271" s="36" t="inlineStr">
        <is>
          <t>Bulacan</t>
        </is>
      </c>
      <c r="F271" s="36" t="inlineStr">
        <is>
          <t>Pandi</t>
        </is>
      </c>
      <c r="G271" s="36" t="inlineStr">
        <is>
          <t>Bagong Barrio</t>
        </is>
      </c>
      <c r="H271" s="37" t="n">
        <v>14.895789</v>
      </c>
      <c r="I271" s="37" t="n">
        <v>120.953095</v>
      </c>
      <c r="J271" s="8" t="inlineStr">
        <is>
          <t>U</t>
        </is>
      </c>
      <c r="K271" s="36" t="inlineStr">
        <is>
          <t>Class 1-3 / Urban</t>
        </is>
      </c>
      <c r="L271" s="18" t="n">
        <v>15340</v>
      </c>
      <c r="M271" s="20" t="n">
        <v>4.1</v>
      </c>
      <c r="N271" s="18">
        <f>ROUND(L271/M271, 0)</f>
        <v/>
      </c>
      <c r="O271" s="18">
        <f>ROUND(N271*'Methodology &amp; Assumptions'!$B$8, 0)</f>
        <v/>
      </c>
      <c r="P271" s="8" t="inlineStr">
        <is>
          <t>Band n50 (1.5 GHz, 60 MHz)</t>
        </is>
      </c>
      <c r="Q271" s="38">
        <f>ROUNDUP(O271/'Methodology &amp; Assumptions'!$B$9, 0)</f>
        <v/>
      </c>
      <c r="R271" s="39" t="n">
        <v>1</v>
      </c>
      <c r="S271" s="21" t="n">
        <v>1.3</v>
      </c>
      <c r="T271" s="21" t="n">
        <v>0.03</v>
      </c>
      <c r="U271" s="36" t="inlineStr">
        <is>
          <t>Tier 1B (Micro Drop, 1-3 km)</t>
        </is>
      </c>
      <c r="V271" s="20" t="n">
        <v>74.8</v>
      </c>
      <c r="W271" s="20" t="n">
        <v>100</v>
      </c>
      <c r="X271" s="20" t="n">
        <v>28</v>
      </c>
      <c r="Y271" s="40">
        <f>ROUND((V271*'Methodology &amp; Assumptions'!$B$6)+(W271*'Methodology &amp; Assumptions'!$B$5)+(X271*'Methodology &amp; Assumptions'!$B$7), 2)</f>
        <v/>
      </c>
    </row>
    <row r="272" ht="19" customHeight="1">
      <c r="A272" s="41" t="n">
        <v>268</v>
      </c>
      <c r="B272" s="41" t="n">
        <v>2268</v>
      </c>
      <c r="C272" s="42" t="inlineStr">
        <is>
          <t>0305409010</t>
        </is>
      </c>
      <c r="D272" s="42" t="inlineStr">
        <is>
          <t>Region III (Central Luzon)</t>
        </is>
      </c>
      <c r="E272" s="42" t="inlineStr">
        <is>
          <t>Pampanga</t>
        </is>
      </c>
      <c r="F272" s="42" t="inlineStr">
        <is>
          <t>Mabalacat City</t>
        </is>
      </c>
      <c r="G272" s="42" t="inlineStr">
        <is>
          <t>Duquit</t>
        </is>
      </c>
      <c r="H272" s="43" t="n">
        <v>15.177644</v>
      </c>
      <c r="I272" s="43" t="n">
        <v>120.599829</v>
      </c>
      <c r="J272" s="44" t="inlineStr">
        <is>
          <t>U</t>
        </is>
      </c>
      <c r="K272" s="42" t="inlineStr">
        <is>
          <t>Class 1-3 / Urban</t>
        </is>
      </c>
      <c r="L272" s="23" t="n">
        <v>13899</v>
      </c>
      <c r="M272" s="24" t="n">
        <v>4.63</v>
      </c>
      <c r="N272" s="23">
        <f>ROUND(L272/M272, 0)</f>
        <v/>
      </c>
      <c r="O272" s="23">
        <f>ROUND(N272*'Methodology &amp; Assumptions'!$B$8, 0)</f>
        <v/>
      </c>
      <c r="P272" s="44" t="inlineStr">
        <is>
          <t>Band n50 (1.5 GHz, 60 MHz)</t>
        </is>
      </c>
      <c r="Q272" s="38">
        <f>ROUNDUP(O272/'Methodology &amp; Assumptions'!$B$9, 0)</f>
        <v/>
      </c>
      <c r="R272" s="39" t="n">
        <v>1</v>
      </c>
      <c r="S272" s="25" t="n">
        <v>1.3</v>
      </c>
      <c r="T272" s="25" t="n">
        <v>1.04</v>
      </c>
      <c r="U272" s="42" t="inlineStr">
        <is>
          <t>Tier 1B (Micro Drop, 1-3 km)</t>
        </is>
      </c>
      <c r="V272" s="24" t="n">
        <v>74.8</v>
      </c>
      <c r="W272" s="24" t="n">
        <v>100</v>
      </c>
      <c r="X272" s="24" t="n">
        <v>28</v>
      </c>
      <c r="Y272" s="45">
        <f>ROUND((V272*'Methodology &amp; Assumptions'!$B$6)+(W272*'Methodology &amp; Assumptions'!$B$5)+(X272*'Methodology &amp; Assumptions'!$B$7), 2)</f>
        <v/>
      </c>
    </row>
    <row r="273" ht="19" customHeight="1">
      <c r="A273" s="35" t="n">
        <v>269</v>
      </c>
      <c r="B273" s="35" t="n">
        <v>2269</v>
      </c>
      <c r="C273" s="36" t="inlineStr">
        <is>
          <t>0604527012</t>
        </is>
      </c>
      <c r="D273" s="36" t="inlineStr">
        <is>
          <t>Region VI (Western Visayas)</t>
        </is>
      </c>
      <c r="E273" s="36" t="inlineStr">
        <is>
          <t>Negros Occidental</t>
        </is>
      </c>
      <c r="F273" s="36" t="inlineStr">
        <is>
          <t>City of Sipalay</t>
        </is>
      </c>
      <c r="G273" s="36" t="inlineStr">
        <is>
          <t>Mambaroto</t>
        </is>
      </c>
      <c r="H273" s="37" t="n">
        <v>9.748666999999999</v>
      </c>
      <c r="I273" s="37" t="n">
        <v>122.423234</v>
      </c>
      <c r="J273" s="8" t="inlineStr">
        <is>
          <t>R</t>
        </is>
      </c>
      <c r="K273" s="36" t="inlineStr">
        <is>
          <t>Class 1-3 / Urban</t>
        </is>
      </c>
      <c r="L273" s="18" t="n">
        <v>3652</v>
      </c>
      <c r="M273" s="20" t="n">
        <v>4.33</v>
      </c>
      <c r="N273" s="18">
        <f>ROUND(L273/M273, 0)</f>
        <v/>
      </c>
      <c r="O273" s="18">
        <f>ROUND(N273*'Methodology &amp; Assumptions'!$B$8, 0)</f>
        <v/>
      </c>
      <c r="P273" s="8" t="inlineStr">
        <is>
          <t>Band n50 (1.5 GHz, 60 MHz)</t>
        </is>
      </c>
      <c r="Q273" s="38">
        <f>ROUNDUP(O273/'Methodology &amp; Assumptions'!$B$9, 0)</f>
        <v/>
      </c>
      <c r="R273" s="39" t="n">
        <v>1</v>
      </c>
      <c r="S273" s="21" t="n">
        <v>2.23</v>
      </c>
      <c r="T273" s="21" t="n">
        <v>0.33</v>
      </c>
      <c r="U273" s="36" t="inlineStr">
        <is>
          <t>Tier 1B (Micro Drop, 1-3 km)</t>
        </is>
      </c>
      <c r="V273" s="20" t="n">
        <v>57.6</v>
      </c>
      <c r="W273" s="20" t="n">
        <v>91.5</v>
      </c>
      <c r="X273" s="20" t="n">
        <v>58</v>
      </c>
      <c r="Y273" s="40">
        <f>ROUND((V273*'Methodology &amp; Assumptions'!$B$6)+(W273*'Methodology &amp; Assumptions'!$B$5)+(X273*'Methodology &amp; Assumptions'!$B$7), 2)</f>
        <v/>
      </c>
    </row>
    <row r="274" ht="19" customHeight="1">
      <c r="A274" s="41" t="n">
        <v>270</v>
      </c>
      <c r="B274" s="41" t="n">
        <v>2270</v>
      </c>
      <c r="C274" s="42" t="inlineStr">
        <is>
          <t>0105527011</t>
        </is>
      </c>
      <c r="D274" s="42" t="inlineStr">
        <is>
          <t>Region I (Ilocos Region)</t>
        </is>
      </c>
      <c r="E274" s="42" t="inlineStr">
        <is>
          <t>Pangasinan</t>
        </is>
      </c>
      <c r="F274" s="42" t="inlineStr">
        <is>
          <t>Mangatarem</t>
        </is>
      </c>
      <c r="G274" s="42" t="inlineStr">
        <is>
          <t>Bogtong Silag</t>
        </is>
      </c>
      <c r="H274" s="43" t="n">
        <v>15.811379</v>
      </c>
      <c r="I274" s="43" t="n">
        <v>120.281624</v>
      </c>
      <c r="J274" s="44" t="inlineStr">
        <is>
          <t>R</t>
        </is>
      </c>
      <c r="K274" s="42" t="inlineStr">
        <is>
          <t>Class 1-3 / Urban</t>
        </is>
      </c>
      <c r="L274" s="23" t="n">
        <v>1886</v>
      </c>
      <c r="M274" s="24" t="n">
        <v>4.39</v>
      </c>
      <c r="N274" s="23">
        <f>ROUND(L274/M274, 0)</f>
        <v/>
      </c>
      <c r="O274" s="23">
        <f>ROUND(N274*'Methodology &amp; Assumptions'!$B$8, 0)</f>
        <v/>
      </c>
      <c r="P274" s="44" t="inlineStr">
        <is>
          <t>Band n50 (1.5 GHz, 60 MHz)</t>
        </is>
      </c>
      <c r="Q274" s="38">
        <f>ROUNDUP(O274/'Methodology &amp; Assumptions'!$B$9, 0)</f>
        <v/>
      </c>
      <c r="R274" s="39" t="n">
        <v>1</v>
      </c>
      <c r="S274" s="25" t="n">
        <v>0.29</v>
      </c>
      <c r="T274" s="25" t="n">
        <v>14.34</v>
      </c>
      <c r="U274" s="42" t="inlineStr">
        <is>
          <t>Tier 1A (Direct Coloc, &lt;1 km)</t>
        </is>
      </c>
      <c r="V274" s="24" t="n">
        <v>90.7</v>
      </c>
      <c r="W274" s="24" t="n">
        <v>58.4</v>
      </c>
      <c r="X274" s="24" t="n">
        <v>58</v>
      </c>
      <c r="Y274" s="45">
        <f>ROUND((V274*'Methodology &amp; Assumptions'!$B$6)+(W274*'Methodology &amp; Assumptions'!$B$5)+(X274*'Methodology &amp; Assumptions'!$B$7), 2)</f>
        <v/>
      </c>
    </row>
    <row r="275" ht="19" customHeight="1">
      <c r="A275" s="35" t="n">
        <v>271</v>
      </c>
      <c r="B275" s="35" t="n">
        <v>2271</v>
      </c>
      <c r="C275" s="36" t="inlineStr">
        <is>
          <t>0702223021</t>
        </is>
      </c>
      <c r="D275" s="36" t="inlineStr">
        <is>
          <t>Region VII (Central Visayas)</t>
        </is>
      </c>
      <c r="E275" s="36" t="inlineStr">
        <is>
          <t>Cebu</t>
        </is>
      </c>
      <c r="F275" s="36" t="inlineStr">
        <is>
          <t>Danao City</t>
        </is>
      </c>
      <c r="G275" s="36" t="inlineStr">
        <is>
          <t>Looc</t>
        </is>
      </c>
      <c r="H275" s="37" t="n">
        <v>10.510128</v>
      </c>
      <c r="I275" s="37" t="n">
        <v>124.02684</v>
      </c>
      <c r="J275" s="8" t="inlineStr">
        <is>
          <t>U</t>
        </is>
      </c>
      <c r="K275" s="36" t="inlineStr">
        <is>
          <t>Class 1-3 / Urban</t>
        </is>
      </c>
      <c r="L275" s="18" t="n">
        <v>12074</v>
      </c>
      <c r="M275" s="20" t="n">
        <v>4.42</v>
      </c>
      <c r="N275" s="18">
        <f>ROUND(L275/M275, 0)</f>
        <v/>
      </c>
      <c r="O275" s="18">
        <f>ROUND(N275*'Methodology &amp; Assumptions'!$B$8, 0)</f>
        <v/>
      </c>
      <c r="P275" s="8" t="inlineStr">
        <is>
          <t>Band n50 (1.5 GHz, 60 MHz)</t>
        </is>
      </c>
      <c r="Q275" s="38">
        <f>ROUNDUP(O275/'Methodology &amp; Assumptions'!$B$9, 0)</f>
        <v/>
      </c>
      <c r="R275" s="39" t="n">
        <v>1</v>
      </c>
      <c r="S275" s="21" t="n">
        <v>1.3</v>
      </c>
      <c r="T275" s="21" t="n">
        <v>0.04</v>
      </c>
      <c r="U275" s="36" t="inlineStr">
        <is>
          <t>Tier 1B (Micro Drop, 1-3 km)</t>
        </is>
      </c>
      <c r="V275" s="20" t="n">
        <v>74.8</v>
      </c>
      <c r="W275" s="20" t="n">
        <v>100</v>
      </c>
      <c r="X275" s="20" t="n">
        <v>28</v>
      </c>
      <c r="Y275" s="40">
        <f>ROUND((V275*'Methodology &amp; Assumptions'!$B$6)+(W275*'Methodology &amp; Assumptions'!$B$5)+(X275*'Methodology &amp; Assumptions'!$B$7), 2)</f>
        <v/>
      </c>
    </row>
    <row r="276" ht="19" customHeight="1">
      <c r="A276" s="41" t="n">
        <v>272</v>
      </c>
      <c r="B276" s="41" t="n">
        <v>2272</v>
      </c>
      <c r="C276" s="42" t="inlineStr">
        <is>
          <t>1004315001</t>
        </is>
      </c>
      <c r="D276" s="42" t="inlineStr">
        <is>
          <t>Region X (Northern Mindanao)</t>
        </is>
      </c>
      <c r="E276" s="42" t="inlineStr">
        <is>
          <t>Misamis Oriental</t>
        </is>
      </c>
      <c r="F276" s="42" t="inlineStr">
        <is>
          <t>Libertad</t>
        </is>
      </c>
      <c r="G276" s="42" t="inlineStr">
        <is>
          <t>Dulong</t>
        </is>
      </c>
      <c r="H276" s="43" t="n">
        <v>8.564768000000001</v>
      </c>
      <c r="I276" s="43" t="n">
        <v>124.3595</v>
      </c>
      <c r="J276" s="44" t="inlineStr">
        <is>
          <t>R</t>
        </is>
      </c>
      <c r="K276" s="42" t="inlineStr">
        <is>
          <t>4th</t>
        </is>
      </c>
      <c r="L276" s="23" t="n">
        <v>1598</v>
      </c>
      <c r="M276" s="24" t="n">
        <v>4.54</v>
      </c>
      <c r="N276" s="23">
        <f>ROUND(L276/M276, 0)</f>
        <v/>
      </c>
      <c r="O276" s="23">
        <f>ROUND(N276*'Methodology &amp; Assumptions'!$B$8, 0)</f>
        <v/>
      </c>
      <c r="P276" s="44" t="inlineStr">
        <is>
          <t>Band n50 (1.5 GHz, 60 MHz)</t>
        </is>
      </c>
      <c r="Q276" s="38">
        <f>ROUNDUP(O276/'Methodology &amp; Assumptions'!$B$9, 0)</f>
        <v/>
      </c>
      <c r="R276" s="39" t="n">
        <v>1</v>
      </c>
      <c r="S276" s="25" t="n">
        <v>0.75</v>
      </c>
      <c r="T276" s="25" t="n">
        <v>0.34</v>
      </c>
      <c r="U276" s="42" t="inlineStr">
        <is>
          <t>Tier 1A (Direct Coloc, &lt;1 km)</t>
        </is>
      </c>
      <c r="V276" s="24" t="n">
        <v>87.8</v>
      </c>
      <c r="W276" s="24" t="n">
        <v>52.3</v>
      </c>
      <c r="X276" s="24" t="n">
        <v>68.5</v>
      </c>
      <c r="Y276" s="45">
        <f>ROUND((V276*'Methodology &amp; Assumptions'!$B$6)+(W276*'Methodology &amp; Assumptions'!$B$5)+(X276*'Methodology &amp; Assumptions'!$B$7), 2)</f>
        <v/>
      </c>
    </row>
    <row r="277" ht="19" customHeight="1">
      <c r="A277" s="35" t="n">
        <v>273</v>
      </c>
      <c r="B277" s="35" t="n">
        <v>2273</v>
      </c>
      <c r="C277" s="36" t="inlineStr">
        <is>
          <t>0301420057</t>
        </is>
      </c>
      <c r="D277" s="36" t="inlineStr">
        <is>
          <t>Region III (Central Luzon)</t>
        </is>
      </c>
      <c r="E277" s="36" t="inlineStr">
        <is>
          <t>Bulacan</t>
        </is>
      </c>
      <c r="F277" s="36" t="inlineStr">
        <is>
          <t>City of San Jose Del Monte</t>
        </is>
      </c>
      <c r="G277" s="36" t="inlineStr">
        <is>
          <t>Santa Cruz V</t>
        </is>
      </c>
      <c r="H277" s="37" t="n">
        <v>14.856297</v>
      </c>
      <c r="I277" s="37" t="n">
        <v>121.049033</v>
      </c>
      <c r="J277" s="8" t="inlineStr">
        <is>
          <t>R</t>
        </is>
      </c>
      <c r="K277" s="36" t="inlineStr">
        <is>
          <t>Class 1-3 / Urban</t>
        </is>
      </c>
      <c r="L277" s="18" t="n">
        <v>3811</v>
      </c>
      <c r="M277" s="20" t="n">
        <v>4.1</v>
      </c>
      <c r="N277" s="18">
        <f>ROUND(L277/M277, 0)</f>
        <v/>
      </c>
      <c r="O277" s="18">
        <f>ROUND(N277*'Methodology &amp; Assumptions'!$B$8, 0)</f>
        <v/>
      </c>
      <c r="P277" s="8" t="inlineStr">
        <is>
          <t>Band n50 (1.5 GHz, 60 MHz)</t>
        </is>
      </c>
      <c r="Q277" s="38">
        <f>ROUNDUP(O277/'Methodology &amp; Assumptions'!$B$9, 0)</f>
        <v/>
      </c>
      <c r="R277" s="39" t="n">
        <v>1</v>
      </c>
      <c r="S277" s="21" t="n">
        <v>2.04</v>
      </c>
      <c r="T277" s="21" t="n">
        <v>2.96</v>
      </c>
      <c r="U277" s="36" t="inlineStr">
        <is>
          <t>Tier 1B (Micro Drop, 1-3 km)</t>
        </is>
      </c>
      <c r="V277" s="20" t="n">
        <v>50.6</v>
      </c>
      <c r="W277" s="20" t="n">
        <v>98.40000000000001</v>
      </c>
      <c r="X277" s="20" t="n">
        <v>58</v>
      </c>
      <c r="Y277" s="40">
        <f>ROUND((V277*'Methodology &amp; Assumptions'!$B$6)+(W277*'Methodology &amp; Assumptions'!$B$5)+(X277*'Methodology &amp; Assumptions'!$B$7), 2)</f>
        <v/>
      </c>
    </row>
    <row r="278" ht="19" customHeight="1">
      <c r="A278" s="41" t="n">
        <v>274</v>
      </c>
      <c r="B278" s="41" t="n">
        <v>2274</v>
      </c>
      <c r="C278" s="42" t="inlineStr">
        <is>
          <t>0405646030</t>
        </is>
      </c>
      <c r="D278" s="42" t="inlineStr">
        <is>
          <t>Region IV-A (CALABARZON)</t>
        </is>
      </c>
      <c r="E278" s="42" t="inlineStr">
        <is>
          <t>Quezon</t>
        </is>
      </c>
      <c r="F278" s="42" t="inlineStr">
        <is>
          <t>Tagkawayan</t>
        </is>
      </c>
      <c r="G278" s="42" t="inlineStr">
        <is>
          <t>Rizal</t>
        </is>
      </c>
      <c r="H278" s="43" t="n">
        <v>14.027114</v>
      </c>
      <c r="I278" s="43" t="n">
        <v>122.453707</v>
      </c>
      <c r="J278" s="44" t="inlineStr">
        <is>
          <t>R</t>
        </is>
      </c>
      <c r="K278" s="42" t="inlineStr">
        <is>
          <t>Class 1-3 / Urban</t>
        </is>
      </c>
      <c r="L278" s="23" t="n">
        <v>3780</v>
      </c>
      <c r="M278" s="24" t="n">
        <v>4.46</v>
      </c>
      <c r="N278" s="23">
        <f>ROUND(L278/M278, 0)</f>
        <v/>
      </c>
      <c r="O278" s="23">
        <f>ROUND(N278*'Methodology &amp; Assumptions'!$B$8, 0)</f>
        <v/>
      </c>
      <c r="P278" s="44" t="inlineStr">
        <is>
          <t>Band n50 (1.5 GHz, 60 MHz)</t>
        </is>
      </c>
      <c r="Q278" s="38">
        <f>ROUNDUP(O278/'Methodology &amp; Assumptions'!$B$9, 0)</f>
        <v/>
      </c>
      <c r="R278" s="39" t="n">
        <v>1</v>
      </c>
      <c r="S278" s="25" t="n">
        <v>2.25</v>
      </c>
      <c r="T278" s="25" t="n">
        <v>0.07000000000000001</v>
      </c>
      <c r="U278" s="42" t="inlineStr">
        <is>
          <t>Tier 1B (Micro Drop, 1-3 km)</t>
        </is>
      </c>
      <c r="V278" s="24" t="n">
        <v>57.3</v>
      </c>
      <c r="W278" s="24" t="n">
        <v>91.7</v>
      </c>
      <c r="X278" s="24" t="n">
        <v>58</v>
      </c>
      <c r="Y278" s="45">
        <f>ROUND((V278*'Methodology &amp; Assumptions'!$B$6)+(W278*'Methodology &amp; Assumptions'!$B$5)+(X278*'Methodology &amp; Assumptions'!$B$7), 2)</f>
        <v/>
      </c>
    </row>
    <row r="279" ht="19" customHeight="1">
      <c r="A279" s="35" t="n">
        <v>275</v>
      </c>
      <c r="B279" s="35" t="n">
        <v>2275</v>
      </c>
      <c r="C279" s="36" t="inlineStr">
        <is>
          <t>1705204007</t>
        </is>
      </c>
      <c r="D279" s="36" t="inlineStr">
        <is>
          <t>MIMAROPA Region</t>
        </is>
      </c>
      <c r="E279" s="36" t="inlineStr">
        <is>
          <t>Oriental Mindoro</t>
        </is>
      </c>
      <c r="F279" s="36" t="inlineStr">
        <is>
          <t>Bulalacao</t>
        </is>
      </c>
      <c r="G279" s="36" t="inlineStr">
        <is>
          <t>Campaasan</t>
        </is>
      </c>
      <c r="H279" s="37" t="n">
        <v>12.334768</v>
      </c>
      <c r="I279" s="37" t="n">
        <v>121.341473</v>
      </c>
      <c r="J279" s="8" t="inlineStr">
        <is>
          <t>U</t>
        </is>
      </c>
      <c r="K279" s="36" t="inlineStr">
        <is>
          <t>Class 1-3 / Urban</t>
        </is>
      </c>
      <c r="L279" s="18" t="n">
        <v>3228</v>
      </c>
      <c r="M279" s="20" t="n">
        <v>4.41</v>
      </c>
      <c r="N279" s="18">
        <f>ROUND(L279/M279, 0)</f>
        <v/>
      </c>
      <c r="O279" s="18">
        <f>ROUND(N279*'Methodology &amp; Assumptions'!$B$8, 0)</f>
        <v/>
      </c>
      <c r="P279" s="8" t="inlineStr">
        <is>
          <t>Band n50 (1.5 GHz, 60 MHz)</t>
        </is>
      </c>
      <c r="Q279" s="38">
        <f>ROUNDUP(O279/'Methodology &amp; Assumptions'!$B$9, 0)</f>
        <v/>
      </c>
      <c r="R279" s="39" t="n">
        <v>1</v>
      </c>
      <c r="S279" s="21" t="n">
        <v>0.45</v>
      </c>
      <c r="T279" s="21" t="n">
        <v>0.1</v>
      </c>
      <c r="U279" s="36" t="inlineStr">
        <is>
          <t>Tier 1A (Direct Coloc, &lt;1 km)</t>
        </is>
      </c>
      <c r="V279" s="20" t="n">
        <v>96.09999999999999</v>
      </c>
      <c r="W279" s="20" t="n">
        <v>78.7</v>
      </c>
      <c r="X279" s="20" t="n">
        <v>28</v>
      </c>
      <c r="Y279" s="40">
        <f>ROUND((V279*'Methodology &amp; Assumptions'!$B$6)+(W279*'Methodology &amp; Assumptions'!$B$5)+(X279*'Methodology &amp; Assumptions'!$B$7), 2)</f>
        <v/>
      </c>
    </row>
    <row r="280" ht="19" customHeight="1">
      <c r="A280" s="41" t="n">
        <v>276</v>
      </c>
      <c r="B280" s="41" t="n">
        <v>2276</v>
      </c>
      <c r="C280" s="42" t="inlineStr">
        <is>
          <t>1102502002</t>
        </is>
      </c>
      <c r="D280" s="42" t="inlineStr">
        <is>
          <t>Region XI (Davao Region)</t>
        </is>
      </c>
      <c r="E280" s="42" t="inlineStr">
        <is>
          <t>Davao Oriental</t>
        </is>
      </c>
      <c r="F280" s="42" t="inlineStr">
        <is>
          <t>Banaybanay</t>
        </is>
      </c>
      <c r="G280" s="42" t="inlineStr">
        <is>
          <t>Caganganan</t>
        </is>
      </c>
      <c r="H280" s="43" t="n">
        <v>6.957707</v>
      </c>
      <c r="I280" s="43" t="n">
        <v>126.021366</v>
      </c>
      <c r="J280" s="44" t="inlineStr">
        <is>
          <t>R</t>
        </is>
      </c>
      <c r="K280" s="42" t="inlineStr">
        <is>
          <t>Class 1-3 / Urban</t>
        </is>
      </c>
      <c r="L280" s="23" t="n">
        <v>2330</v>
      </c>
      <c r="M280" s="24" t="n">
        <v>4.1</v>
      </c>
      <c r="N280" s="23">
        <f>ROUND(L280/M280, 0)</f>
        <v/>
      </c>
      <c r="O280" s="23">
        <f>ROUND(N280*'Methodology &amp; Assumptions'!$B$8, 0)</f>
        <v/>
      </c>
      <c r="P280" s="44" t="inlineStr">
        <is>
          <t>Band n50 (1.5 GHz, 60 MHz)</t>
        </is>
      </c>
      <c r="Q280" s="38">
        <f>ROUNDUP(O280/'Methodology &amp; Assumptions'!$B$9, 0)</f>
        <v/>
      </c>
      <c r="R280" s="39" t="n">
        <v>1</v>
      </c>
      <c r="S280" s="25" t="n">
        <v>1.08</v>
      </c>
      <c r="T280" s="25" t="n">
        <v>1.06</v>
      </c>
      <c r="U280" s="42" t="inlineStr">
        <is>
          <t>Tier 1B (Micro Drop, 1-3 km)</t>
        </is>
      </c>
      <c r="V280" s="24" t="n">
        <v>79.7</v>
      </c>
      <c r="W280" s="24" t="n">
        <v>69.3</v>
      </c>
      <c r="X280" s="24" t="n">
        <v>58</v>
      </c>
      <c r="Y280" s="45">
        <f>ROUND((V280*'Methodology &amp; Assumptions'!$B$6)+(W280*'Methodology &amp; Assumptions'!$B$5)+(X280*'Methodology &amp; Assumptions'!$B$7), 2)</f>
        <v/>
      </c>
    </row>
    <row r="281" ht="19" customHeight="1">
      <c r="A281" s="35" t="n">
        <v>277</v>
      </c>
      <c r="B281" s="35" t="n">
        <v>2277</v>
      </c>
      <c r="C281" s="36" t="inlineStr">
        <is>
          <t>0803738068</t>
        </is>
      </c>
      <c r="D281" s="36" t="inlineStr">
        <is>
          <t>Region VIII (Eastern Visayas)</t>
        </is>
      </c>
      <c r="E281" s="36" t="inlineStr">
        <is>
          <t>Leyte</t>
        </is>
      </c>
      <c r="F281" s="36" t="inlineStr">
        <is>
          <t>Ormoc City</t>
        </is>
      </c>
      <c r="G281" s="36" t="inlineStr">
        <is>
          <t>Mas-in</t>
        </is>
      </c>
      <c r="H281" s="37" t="n">
        <v>11.062727</v>
      </c>
      <c r="I281" s="37" t="n">
        <v>124.515019</v>
      </c>
      <c r="J281" s="8" t="inlineStr">
        <is>
          <t>R</t>
        </is>
      </c>
      <c r="K281" s="36" t="inlineStr">
        <is>
          <t>Class 1-3 / Urban</t>
        </is>
      </c>
      <c r="L281" s="18" t="n">
        <v>1887</v>
      </c>
      <c r="M281" s="20" t="n">
        <v>4.24</v>
      </c>
      <c r="N281" s="18">
        <f>ROUND(L281/M281, 0)</f>
        <v/>
      </c>
      <c r="O281" s="18">
        <f>ROUND(N281*'Methodology &amp; Assumptions'!$B$8, 0)</f>
        <v/>
      </c>
      <c r="P281" s="8" t="inlineStr">
        <is>
          <t>Band n50 (1.5 GHz, 60 MHz)</t>
        </is>
      </c>
      <c r="Q281" s="38">
        <f>ROUNDUP(O281/'Methodology &amp; Assumptions'!$B$9, 0)</f>
        <v/>
      </c>
      <c r="R281" s="39" t="n">
        <v>1</v>
      </c>
      <c r="S281" s="21" t="n">
        <v>0.34</v>
      </c>
      <c r="T281" s="21" t="n">
        <v>3.21</v>
      </c>
      <c r="U281" s="36" t="inlineStr">
        <is>
          <t>Tier 1A (Direct Coloc, &lt;1 km)</t>
        </is>
      </c>
      <c r="V281" s="20" t="n">
        <v>89.3</v>
      </c>
      <c r="W281" s="20" t="n">
        <v>59.7</v>
      </c>
      <c r="X281" s="20" t="n">
        <v>58</v>
      </c>
      <c r="Y281" s="40">
        <f>ROUND((V281*'Methodology &amp; Assumptions'!$B$6)+(W281*'Methodology &amp; Assumptions'!$B$5)+(X281*'Methodology &amp; Assumptions'!$B$7), 2)</f>
        <v/>
      </c>
    </row>
    <row r="282" ht="19" customHeight="1">
      <c r="A282" s="41" t="n">
        <v>278</v>
      </c>
      <c r="B282" s="41" t="n">
        <v>2278</v>
      </c>
      <c r="C282" s="42" t="inlineStr">
        <is>
          <t>0702232007</t>
        </is>
      </c>
      <c r="D282" s="42" t="inlineStr">
        <is>
          <t>Region VII (Central Visayas)</t>
        </is>
      </c>
      <c r="E282" s="42" t="inlineStr">
        <is>
          <t>Cebu</t>
        </is>
      </c>
      <c r="F282" s="42" t="inlineStr">
        <is>
          <t>Minglanilla</t>
        </is>
      </c>
      <c r="G282" s="42" t="inlineStr">
        <is>
          <t>Linao</t>
        </is>
      </c>
      <c r="H282" s="43" t="n">
        <v>10.254584</v>
      </c>
      <c r="I282" s="43" t="n">
        <v>123.809927</v>
      </c>
      <c r="J282" s="44" t="inlineStr">
        <is>
          <t>U</t>
        </is>
      </c>
      <c r="K282" s="42" t="inlineStr">
        <is>
          <t>Class 1-3 / Urban</t>
        </is>
      </c>
      <c r="L282" s="23" t="n">
        <v>16141</v>
      </c>
      <c r="M282" s="24" t="n">
        <v>4.42</v>
      </c>
      <c r="N282" s="23">
        <f>ROUND(L282/M282, 0)</f>
        <v/>
      </c>
      <c r="O282" s="23">
        <f>ROUND(N282*'Methodology &amp; Assumptions'!$B$8, 0)</f>
        <v/>
      </c>
      <c r="P282" s="44" t="inlineStr">
        <is>
          <t>Band n50 (1.5 GHz, 60 MHz)</t>
        </is>
      </c>
      <c r="Q282" s="38">
        <f>ROUNDUP(O282/'Methodology &amp; Assumptions'!$B$9, 0)</f>
        <v/>
      </c>
      <c r="R282" s="39" t="n">
        <v>1</v>
      </c>
      <c r="S282" s="25" t="n">
        <v>1.31</v>
      </c>
      <c r="T282" s="25" t="n">
        <v>0.16</v>
      </c>
      <c r="U282" s="42" t="inlineStr">
        <is>
          <t>Tier 1B (Micro Drop, 1-3 km)</t>
        </is>
      </c>
      <c r="V282" s="24" t="n">
        <v>74.7</v>
      </c>
      <c r="W282" s="24" t="n">
        <v>100</v>
      </c>
      <c r="X282" s="24" t="n">
        <v>28</v>
      </c>
      <c r="Y282" s="45">
        <f>ROUND((V282*'Methodology &amp; Assumptions'!$B$6)+(W282*'Methodology &amp; Assumptions'!$B$5)+(X282*'Methodology &amp; Assumptions'!$B$7), 2)</f>
        <v/>
      </c>
    </row>
    <row r="283" ht="19" customHeight="1">
      <c r="A283" s="35" t="n">
        <v>279</v>
      </c>
      <c r="B283" s="35" t="n">
        <v>2279</v>
      </c>
      <c r="C283" s="36" t="inlineStr">
        <is>
          <t>0702223041</t>
        </is>
      </c>
      <c r="D283" s="36" t="inlineStr">
        <is>
          <t>Region VII (Central Visayas)</t>
        </is>
      </c>
      <c r="E283" s="36" t="inlineStr">
        <is>
          <t>Cebu</t>
        </is>
      </c>
      <c r="F283" s="36" t="inlineStr">
        <is>
          <t>Danao City</t>
        </is>
      </c>
      <c r="G283" s="36" t="inlineStr">
        <is>
          <t>Taboc</t>
        </is>
      </c>
      <c r="H283" s="37" t="n">
        <v>10.531104</v>
      </c>
      <c r="I283" s="37" t="n">
        <v>124.019019</v>
      </c>
      <c r="J283" s="8" t="inlineStr">
        <is>
          <t>U</t>
        </is>
      </c>
      <c r="K283" s="36" t="inlineStr">
        <is>
          <t>Class 1-3 / Urban</t>
        </is>
      </c>
      <c r="L283" s="18" t="n">
        <v>6978</v>
      </c>
      <c r="M283" s="20" t="n">
        <v>4.42</v>
      </c>
      <c r="N283" s="18">
        <f>ROUND(L283/M283, 0)</f>
        <v/>
      </c>
      <c r="O283" s="18">
        <f>ROUND(N283*'Methodology &amp; Assumptions'!$B$8, 0)</f>
        <v/>
      </c>
      <c r="P283" s="8" t="inlineStr">
        <is>
          <t>Band n50 (1.5 GHz, 60 MHz)</t>
        </is>
      </c>
      <c r="Q283" s="38">
        <f>ROUNDUP(O283/'Methodology &amp; Assumptions'!$B$9, 0)</f>
        <v/>
      </c>
      <c r="R283" s="39" t="n">
        <v>1</v>
      </c>
      <c r="S283" s="21" t="n">
        <v>1.31</v>
      </c>
      <c r="T283" s="21" t="n">
        <v>0.65</v>
      </c>
      <c r="U283" s="36" t="inlineStr">
        <is>
          <t>Tier 1B (Micro Drop, 1-3 km)</t>
        </is>
      </c>
      <c r="V283" s="20" t="n">
        <v>74.7</v>
      </c>
      <c r="W283" s="20" t="n">
        <v>100</v>
      </c>
      <c r="X283" s="20" t="n">
        <v>28</v>
      </c>
      <c r="Y283" s="40">
        <f>ROUND((V283*'Methodology &amp; Assumptions'!$B$6)+(W283*'Methodology &amp; Assumptions'!$B$5)+(X283*'Methodology &amp; Assumptions'!$B$7), 2)</f>
        <v/>
      </c>
    </row>
    <row r="284" ht="19" customHeight="1">
      <c r="A284" s="41" t="n">
        <v>280</v>
      </c>
      <c r="B284" s="41" t="n">
        <v>2280</v>
      </c>
      <c r="C284" s="42" t="inlineStr">
        <is>
          <t>0500503034</t>
        </is>
      </c>
      <c r="D284" s="42" t="inlineStr">
        <is>
          <t>Region V (Bicol Region)</t>
        </is>
      </c>
      <c r="E284" s="42" t="inlineStr">
        <is>
          <t>Albay</t>
        </is>
      </c>
      <c r="F284" s="42" t="inlineStr">
        <is>
          <t>Daraga</t>
        </is>
      </c>
      <c r="G284" s="42" t="inlineStr">
        <is>
          <t>Market Area Pob.</t>
        </is>
      </c>
      <c r="H284" s="43" t="n">
        <v>13.150778</v>
      </c>
      <c r="I284" s="43" t="n">
        <v>123.713351</v>
      </c>
      <c r="J284" s="44" t="inlineStr">
        <is>
          <t>U</t>
        </is>
      </c>
      <c r="K284" s="42" t="inlineStr">
        <is>
          <t>Class 1-3 / Urban</t>
        </is>
      </c>
      <c r="L284" s="23" t="n">
        <v>3170</v>
      </c>
      <c r="M284" s="24" t="n">
        <v>4.67</v>
      </c>
      <c r="N284" s="23">
        <f>ROUND(L284/M284, 0)</f>
        <v/>
      </c>
      <c r="O284" s="23">
        <f>ROUND(N284*'Methodology &amp; Assumptions'!$B$8, 0)</f>
        <v/>
      </c>
      <c r="P284" s="44" t="inlineStr">
        <is>
          <t>Band n50 (1.5 GHz, 60 MHz)</t>
        </is>
      </c>
      <c r="Q284" s="38">
        <f>ROUNDUP(O284/'Methodology &amp; Assumptions'!$B$9, 0)</f>
        <v/>
      </c>
      <c r="R284" s="39" t="n">
        <v>1</v>
      </c>
      <c r="S284" s="25" t="n">
        <v>0.44</v>
      </c>
      <c r="T284" s="25" t="n">
        <v>0.25</v>
      </c>
      <c r="U284" s="42" t="inlineStr">
        <is>
          <t>Tier 1A (Direct Coloc, &lt;1 km)</t>
        </is>
      </c>
      <c r="V284" s="24" t="n">
        <v>96.3</v>
      </c>
      <c r="W284" s="24" t="n">
        <v>78.40000000000001</v>
      </c>
      <c r="X284" s="24" t="n">
        <v>28</v>
      </c>
      <c r="Y284" s="45">
        <f>ROUND((V284*'Methodology &amp; Assumptions'!$B$6)+(W284*'Methodology &amp; Assumptions'!$B$5)+(X284*'Methodology &amp; Assumptions'!$B$7), 2)</f>
        <v/>
      </c>
    </row>
    <row r="285" ht="19" customHeight="1">
      <c r="A285" s="35" t="n">
        <v>281</v>
      </c>
      <c r="B285" s="35" t="n">
        <v>2281</v>
      </c>
      <c r="C285" s="36" t="inlineStr">
        <is>
          <t>0307108019</t>
        </is>
      </c>
      <c r="D285" s="36" t="inlineStr">
        <is>
          <t>Region III (Central Luzon)</t>
        </is>
      </c>
      <c r="E285" s="36" t="inlineStr">
        <is>
          <t>Zambales</t>
        </is>
      </c>
      <c r="F285" s="36" t="inlineStr">
        <is>
          <t>Palauig</t>
        </is>
      </c>
      <c r="G285" s="36" t="inlineStr">
        <is>
          <t>Sto. Tomas</t>
        </is>
      </c>
      <c r="H285" s="37" t="n">
        <v>15.427323</v>
      </c>
      <c r="I285" s="37" t="n">
        <v>119.908724</v>
      </c>
      <c r="J285" s="8" t="inlineStr">
        <is>
          <t>R</t>
        </is>
      </c>
      <c r="K285" s="36" t="inlineStr">
        <is>
          <t>Class 1-3 / Urban</t>
        </is>
      </c>
      <c r="L285" s="18" t="n">
        <v>1744</v>
      </c>
      <c r="M285" s="20" t="n">
        <v>4.05</v>
      </c>
      <c r="N285" s="18">
        <f>ROUND(L285/M285, 0)</f>
        <v/>
      </c>
      <c r="O285" s="18">
        <f>ROUND(N285*'Methodology &amp; Assumptions'!$B$8, 0)</f>
        <v/>
      </c>
      <c r="P285" s="8" t="inlineStr">
        <is>
          <t>Band n50 (1.5 GHz, 60 MHz)</t>
        </is>
      </c>
      <c r="Q285" s="38">
        <f>ROUNDUP(O285/'Methodology &amp; Assumptions'!$B$9, 0)</f>
        <v/>
      </c>
      <c r="R285" s="39" t="n">
        <v>1</v>
      </c>
      <c r="S285" s="21" t="n">
        <v>0.65</v>
      </c>
      <c r="T285" s="21" t="n">
        <v>0.59</v>
      </c>
      <c r="U285" s="36" t="inlineStr">
        <is>
          <t>Tier 1A (Direct Coloc, &lt;1 km)</t>
        </is>
      </c>
      <c r="V285" s="20" t="n">
        <v>90.59999999999999</v>
      </c>
      <c r="W285" s="20" t="n">
        <v>58.4</v>
      </c>
      <c r="X285" s="20" t="n">
        <v>58</v>
      </c>
      <c r="Y285" s="40">
        <f>ROUND((V285*'Methodology &amp; Assumptions'!$B$6)+(W285*'Methodology &amp; Assumptions'!$B$5)+(X285*'Methodology &amp; Assumptions'!$B$7), 2)</f>
        <v/>
      </c>
    </row>
    <row r="286" ht="19" customHeight="1">
      <c r="A286" s="41" t="n">
        <v>282</v>
      </c>
      <c r="B286" s="41" t="n">
        <v>2282</v>
      </c>
      <c r="C286" s="42" t="inlineStr">
        <is>
          <t>0305409007</t>
        </is>
      </c>
      <c r="D286" s="42" t="inlineStr">
        <is>
          <t>Region III (Central Luzon)</t>
        </is>
      </c>
      <c r="E286" s="42" t="inlineStr">
        <is>
          <t>Pampanga</t>
        </is>
      </c>
      <c r="F286" s="42" t="inlineStr">
        <is>
          <t>Mabalacat City</t>
        </is>
      </c>
      <c r="G286" s="42" t="inlineStr">
        <is>
          <t>Dapdap</t>
        </is>
      </c>
      <c r="H286" s="43" t="n">
        <v>15.185805</v>
      </c>
      <c r="I286" s="43" t="n">
        <v>120.589602</v>
      </c>
      <c r="J286" s="44" t="inlineStr">
        <is>
          <t>U</t>
        </is>
      </c>
      <c r="K286" s="42" t="inlineStr">
        <is>
          <t>Class 1-3 / Urban</t>
        </is>
      </c>
      <c r="L286" s="23" t="n">
        <v>41695</v>
      </c>
      <c r="M286" s="24" t="n">
        <v>4.63</v>
      </c>
      <c r="N286" s="23">
        <f>ROUND(L286/M286, 0)</f>
        <v/>
      </c>
      <c r="O286" s="23">
        <f>ROUND(N286*'Methodology &amp; Assumptions'!$B$8, 0)</f>
        <v/>
      </c>
      <c r="P286" s="44" t="inlineStr">
        <is>
          <t>Band n50 (1.5 GHz, 60 MHz)</t>
        </is>
      </c>
      <c r="Q286" s="38">
        <f>ROUNDUP(O286/'Methodology &amp; Assumptions'!$B$9, 0)</f>
        <v/>
      </c>
      <c r="R286" s="39" t="n">
        <v>1</v>
      </c>
      <c r="S286" s="25" t="n">
        <v>1.22</v>
      </c>
      <c r="T286" s="25" t="n">
        <v>0.46</v>
      </c>
      <c r="U286" s="42" t="inlineStr">
        <is>
          <t>Tier 1B (Micro Drop, 1-3 km)</t>
        </is>
      </c>
      <c r="V286" s="24" t="n">
        <v>76.59999999999999</v>
      </c>
      <c r="W286" s="24" t="n">
        <v>98</v>
      </c>
      <c r="X286" s="24" t="n">
        <v>28</v>
      </c>
      <c r="Y286" s="45">
        <f>ROUND((V286*'Methodology &amp; Assumptions'!$B$6)+(W286*'Methodology &amp; Assumptions'!$B$5)+(X286*'Methodology &amp; Assumptions'!$B$7), 2)</f>
        <v/>
      </c>
    </row>
    <row r="287" ht="19" customHeight="1">
      <c r="A287" s="35" t="n">
        <v>283</v>
      </c>
      <c r="B287" s="35" t="n">
        <v>2283</v>
      </c>
      <c r="C287" s="36" t="inlineStr">
        <is>
          <t>1030900037</t>
        </is>
      </c>
      <c r="D287" s="36" t="inlineStr">
        <is>
          <t>Region X (Northern Mindanao)</t>
        </is>
      </c>
      <c r="E287" s="36" t="inlineStr">
        <is>
          <t>Lanao del Norte</t>
        </is>
      </c>
      <c r="F287" s="36" t="inlineStr">
        <is>
          <t>City of Iligan</t>
        </is>
      </c>
      <c r="G287" s="36" t="inlineStr">
        <is>
          <t>Tibanga</t>
        </is>
      </c>
      <c r="H287" s="37" t="n">
        <v>8.240107</v>
      </c>
      <c r="I287" s="37" t="n">
        <v>124.240847</v>
      </c>
      <c r="J287" s="8" t="inlineStr">
        <is>
          <t>U</t>
        </is>
      </c>
      <c r="K287" s="36" t="inlineStr">
        <is>
          <t>Class 1-3 / Urban</t>
        </is>
      </c>
      <c r="L287" s="18" t="n">
        <v>8089</v>
      </c>
      <c r="M287" s="20" t="n">
        <v>5.12</v>
      </c>
      <c r="N287" s="18">
        <f>ROUND(L287/M287, 0)</f>
        <v/>
      </c>
      <c r="O287" s="18">
        <f>ROUND(N287*'Methodology &amp; Assumptions'!$B$8, 0)</f>
        <v/>
      </c>
      <c r="P287" s="8" t="inlineStr">
        <is>
          <t>Band n50 (1.5 GHz, 60 MHz)</t>
        </is>
      </c>
      <c r="Q287" s="38">
        <f>ROUNDUP(O287/'Methodology &amp; Assumptions'!$B$9, 0)</f>
        <v/>
      </c>
      <c r="R287" s="39" t="n">
        <v>1</v>
      </c>
      <c r="S287" s="21" t="n">
        <v>1.31</v>
      </c>
      <c r="T287" s="21" t="n">
        <v>0.57</v>
      </c>
      <c r="U287" s="36" t="inlineStr">
        <is>
          <t>Tier 1B (Micro Drop, 1-3 km)</t>
        </is>
      </c>
      <c r="V287" s="20" t="n">
        <v>74.7</v>
      </c>
      <c r="W287" s="20" t="n">
        <v>100</v>
      </c>
      <c r="X287" s="20" t="n">
        <v>28</v>
      </c>
      <c r="Y287" s="40">
        <f>ROUND((V287*'Methodology &amp; Assumptions'!$B$6)+(W287*'Methodology &amp; Assumptions'!$B$5)+(X287*'Methodology &amp; Assumptions'!$B$7), 2)</f>
        <v/>
      </c>
    </row>
    <row r="288" ht="19" customHeight="1">
      <c r="A288" s="41" t="n">
        <v>284</v>
      </c>
      <c r="B288" s="41" t="n">
        <v>2284</v>
      </c>
      <c r="C288" s="42" t="inlineStr">
        <is>
          <t>0301410004</t>
        </is>
      </c>
      <c r="D288" s="42" t="inlineStr">
        <is>
          <t>Region III (Central Luzon)</t>
        </is>
      </c>
      <c r="E288" s="42" t="inlineStr">
        <is>
          <t>Bulacan</t>
        </is>
      </c>
      <c r="F288" s="42" t="inlineStr">
        <is>
          <t>City of Malolos</t>
        </is>
      </c>
      <c r="G288" s="42" t="inlineStr">
        <is>
          <t>Bagna</t>
        </is>
      </c>
      <c r="H288" s="43" t="n">
        <v>14.825159</v>
      </c>
      <c r="I288" s="43" t="n">
        <v>120.822566</v>
      </c>
      <c r="J288" s="44" t="inlineStr">
        <is>
          <t>U</t>
        </is>
      </c>
      <c r="K288" s="42" t="inlineStr">
        <is>
          <t>Class 1-3 / Urban</t>
        </is>
      </c>
      <c r="L288" s="23" t="n">
        <v>4947</v>
      </c>
      <c r="M288" s="24" t="n">
        <v>4.1</v>
      </c>
      <c r="N288" s="23">
        <f>ROUND(L288/M288, 0)</f>
        <v/>
      </c>
      <c r="O288" s="23">
        <f>ROUND(N288*'Methodology &amp; Assumptions'!$B$8, 0)</f>
        <v/>
      </c>
      <c r="P288" s="44" t="inlineStr">
        <is>
          <t>Band n50 (1.5 GHz, 60 MHz)</t>
        </is>
      </c>
      <c r="Q288" s="38">
        <f>ROUNDUP(O288/'Methodology &amp; Assumptions'!$B$9, 0)</f>
        <v/>
      </c>
      <c r="R288" s="39" t="n">
        <v>1</v>
      </c>
      <c r="S288" s="25" t="n">
        <v>0.88</v>
      </c>
      <c r="T288" s="25" t="n">
        <v>2.57</v>
      </c>
      <c r="U288" s="42" t="inlineStr">
        <is>
          <t>Tier 1A (Direct Coloc, &lt;1 km)</t>
        </is>
      </c>
      <c r="V288" s="24" t="n">
        <v>74.7</v>
      </c>
      <c r="W288" s="24" t="n">
        <v>100</v>
      </c>
      <c r="X288" s="24" t="n">
        <v>28</v>
      </c>
      <c r="Y288" s="45">
        <f>ROUND((V288*'Methodology &amp; Assumptions'!$B$6)+(W288*'Methodology &amp; Assumptions'!$B$5)+(X288*'Methodology &amp; Assumptions'!$B$7), 2)</f>
        <v/>
      </c>
    </row>
    <row r="289" ht="19" customHeight="1">
      <c r="A289" s="35" t="n">
        <v>285</v>
      </c>
      <c r="B289" s="35" t="n">
        <v>2285</v>
      </c>
      <c r="C289" s="36" t="inlineStr">
        <is>
          <t>0403417048</t>
        </is>
      </c>
      <c r="D289" s="36" t="inlineStr">
        <is>
          <t>Region IV-A (CALABARZON)</t>
        </is>
      </c>
      <c r="E289" s="36" t="inlineStr">
        <is>
          <t>Laguna</t>
        </is>
      </c>
      <c r="F289" s="36" t="inlineStr">
        <is>
          <t>Nagcarlan</t>
        </is>
      </c>
      <c r="G289" s="36" t="inlineStr">
        <is>
          <t>Talangan</t>
        </is>
      </c>
      <c r="H289" s="37" t="n">
        <v>14.14423</v>
      </c>
      <c r="I289" s="37" t="n">
        <v>121.41276</v>
      </c>
      <c r="J289" s="8" t="inlineStr">
        <is>
          <t>R</t>
        </is>
      </c>
      <c r="K289" s="36" t="inlineStr">
        <is>
          <t>Class 1-3 / Urban</t>
        </is>
      </c>
      <c r="L289" s="18" t="n">
        <v>2038</v>
      </c>
      <c r="M289" s="20" t="n">
        <v>4.2</v>
      </c>
      <c r="N289" s="18">
        <f>ROUND(L289/M289, 0)</f>
        <v/>
      </c>
      <c r="O289" s="18">
        <f>ROUND(N289*'Methodology &amp; Assumptions'!$B$8, 0)</f>
        <v/>
      </c>
      <c r="P289" s="8" t="inlineStr">
        <is>
          <t>Band n50 (1.5 GHz, 60 MHz)</t>
        </is>
      </c>
      <c r="Q289" s="38">
        <f>ROUNDUP(O289/'Methodology &amp; Assumptions'!$B$9, 0)</f>
        <v/>
      </c>
      <c r="R289" s="39" t="n">
        <v>1</v>
      </c>
      <c r="S289" s="21" t="n">
        <v>0.82</v>
      </c>
      <c r="T289" s="21" t="n">
        <v>0.8</v>
      </c>
      <c r="U289" s="36" t="inlineStr">
        <is>
          <t>Tier 1A (Direct Coloc, &lt;1 km)</t>
        </is>
      </c>
      <c r="V289" s="20" t="n">
        <v>86</v>
      </c>
      <c r="W289" s="20" t="n">
        <v>62.9</v>
      </c>
      <c r="X289" s="20" t="n">
        <v>58</v>
      </c>
      <c r="Y289" s="40">
        <f>ROUND((V289*'Methodology &amp; Assumptions'!$B$6)+(W289*'Methodology &amp; Assumptions'!$B$5)+(X289*'Methodology &amp; Assumptions'!$B$7), 2)</f>
        <v/>
      </c>
    </row>
    <row r="290" ht="19" customHeight="1">
      <c r="A290" s="41" t="n">
        <v>286</v>
      </c>
      <c r="B290" s="41" t="n">
        <v>2286</v>
      </c>
      <c r="C290" s="42" t="inlineStr">
        <is>
          <t>1600301023</t>
        </is>
      </c>
      <c r="D290" s="42" t="inlineStr">
        <is>
          <t>Region XIII (Caraga)</t>
        </is>
      </c>
      <c r="E290" s="42" t="inlineStr">
        <is>
          <t>Agusan del Sur</t>
        </is>
      </c>
      <c r="F290" s="42" t="inlineStr">
        <is>
          <t>City of Bayugan</t>
        </is>
      </c>
      <c r="G290" s="42" t="inlineStr">
        <is>
          <t>Santa Irene</t>
        </is>
      </c>
      <c r="H290" s="43" t="n">
        <v>8.732393</v>
      </c>
      <c r="I290" s="43" t="n">
        <v>125.7524</v>
      </c>
      <c r="J290" s="44" t="inlineStr">
        <is>
          <t>R</t>
        </is>
      </c>
      <c r="K290" s="42" t="inlineStr">
        <is>
          <t>Class 1-3 / Urban</t>
        </is>
      </c>
      <c r="L290" s="23" t="n">
        <v>4570</v>
      </c>
      <c r="M290" s="24" t="n">
        <v>4.1</v>
      </c>
      <c r="N290" s="23">
        <f>ROUND(L290/M290, 0)</f>
        <v/>
      </c>
      <c r="O290" s="23">
        <f>ROUND(N290*'Methodology &amp; Assumptions'!$B$8, 0)</f>
        <v/>
      </c>
      <c r="P290" s="44" t="inlineStr">
        <is>
          <t>Band n50 (1.5 GHz, 60 MHz)</t>
        </is>
      </c>
      <c r="Q290" s="38">
        <f>ROUNDUP(O290/'Methodology &amp; Assumptions'!$B$9, 0)</f>
        <v/>
      </c>
      <c r="R290" s="39" t="n">
        <v>1</v>
      </c>
      <c r="S290" s="25" t="n">
        <v>2.15</v>
      </c>
      <c r="T290" s="25" t="n">
        <v>2.06</v>
      </c>
      <c r="U290" s="42" t="inlineStr">
        <is>
          <t>Tier 1B (Micro Drop, 1-3 km)</t>
        </is>
      </c>
      <c r="V290" s="24" t="n">
        <v>48.9</v>
      </c>
      <c r="W290" s="24" t="n">
        <v>100</v>
      </c>
      <c r="X290" s="24" t="n">
        <v>58</v>
      </c>
      <c r="Y290" s="45">
        <f>ROUND((V290*'Methodology &amp; Assumptions'!$B$6)+(W290*'Methodology &amp; Assumptions'!$B$5)+(X290*'Methodology &amp; Assumptions'!$B$7), 2)</f>
        <v/>
      </c>
    </row>
    <row r="291" ht="19" customHeight="1">
      <c r="A291" s="35" t="n">
        <v>287</v>
      </c>
      <c r="B291" s="35" t="n">
        <v>2287</v>
      </c>
      <c r="C291" s="36" t="inlineStr">
        <is>
          <t>0403405031</t>
        </is>
      </c>
      <c r="D291" s="36" t="inlineStr">
        <is>
          <t>Region IV-A (CALABARZON)</t>
        </is>
      </c>
      <c r="E291" s="36" t="inlineStr">
        <is>
          <t>Laguna</t>
        </is>
      </c>
      <c r="F291" s="36" t="inlineStr">
        <is>
          <t>City of Calamba</t>
        </is>
      </c>
      <c r="G291" s="36" t="inlineStr">
        <is>
          <t>Maunong</t>
        </is>
      </c>
      <c r="H291" s="37" t="n">
        <v>14.172552</v>
      </c>
      <c r="I291" s="37" t="n">
        <v>121.152572</v>
      </c>
      <c r="J291" s="8" t="inlineStr">
        <is>
          <t>R</t>
        </is>
      </c>
      <c r="K291" s="36" t="inlineStr">
        <is>
          <t>Class 1-3 / Urban</t>
        </is>
      </c>
      <c r="L291" s="18" t="n">
        <v>4395</v>
      </c>
      <c r="M291" s="20" t="n">
        <v>4.2</v>
      </c>
      <c r="N291" s="18">
        <f>ROUND(L291/M291, 0)</f>
        <v/>
      </c>
      <c r="O291" s="18">
        <f>ROUND(N291*'Methodology &amp; Assumptions'!$B$8, 0)</f>
        <v/>
      </c>
      <c r="P291" s="8" t="inlineStr">
        <is>
          <t>Band n50 (1.5 GHz, 60 MHz)</t>
        </is>
      </c>
      <c r="Q291" s="38">
        <f>ROUNDUP(O291/'Methodology &amp; Assumptions'!$B$9, 0)</f>
        <v/>
      </c>
      <c r="R291" s="39" t="n">
        <v>1</v>
      </c>
      <c r="S291" s="21" t="n">
        <v>2.83</v>
      </c>
      <c r="T291" s="21" t="n">
        <v>1.63</v>
      </c>
      <c r="U291" s="36" t="inlineStr">
        <is>
          <t>Tier 1B (Micro Drop, 1-3 km)</t>
        </is>
      </c>
      <c r="V291" s="20" t="n">
        <v>48.9</v>
      </c>
      <c r="W291" s="20" t="n">
        <v>100</v>
      </c>
      <c r="X291" s="20" t="n">
        <v>58</v>
      </c>
      <c r="Y291" s="40">
        <f>ROUND((V291*'Methodology &amp; Assumptions'!$B$6)+(W291*'Methodology &amp; Assumptions'!$B$5)+(X291*'Methodology &amp; Assumptions'!$B$7), 2)</f>
        <v/>
      </c>
    </row>
    <row r="292" ht="19" customHeight="1">
      <c r="A292" s="41" t="n">
        <v>288</v>
      </c>
      <c r="B292" s="41" t="n">
        <v>2288</v>
      </c>
      <c r="C292" s="42" t="inlineStr">
        <is>
          <t>0401005014</t>
        </is>
      </c>
      <c r="D292" s="42" t="inlineStr">
        <is>
          <t>Region IV-A (CALABARZON)</t>
        </is>
      </c>
      <c r="E292" s="42" t="inlineStr">
        <is>
          <t>Batangas</t>
        </is>
      </c>
      <c r="F292" s="42" t="inlineStr">
        <is>
          <t>Batangas City</t>
        </is>
      </c>
      <c r="G292" s="42" t="inlineStr">
        <is>
          <t>Calicanto</t>
        </is>
      </c>
      <c r="H292" s="43" t="n">
        <v>13.774127</v>
      </c>
      <c r="I292" s="43" t="n">
        <v>121.056947</v>
      </c>
      <c r="J292" s="44" t="inlineStr">
        <is>
          <t>U</t>
        </is>
      </c>
      <c r="K292" s="42" t="inlineStr">
        <is>
          <t>Class 1-3 / Urban</t>
        </is>
      </c>
      <c r="L292" s="23" t="n">
        <v>10769</v>
      </c>
      <c r="M292" s="24" t="n">
        <v>4.62</v>
      </c>
      <c r="N292" s="23">
        <f>ROUND(L292/M292, 0)</f>
        <v/>
      </c>
      <c r="O292" s="23">
        <f>ROUND(N292*'Methodology &amp; Assumptions'!$B$8, 0)</f>
        <v/>
      </c>
      <c r="P292" s="44" t="inlineStr">
        <is>
          <t>Band n50 (1.5 GHz, 60 MHz)</t>
        </is>
      </c>
      <c r="Q292" s="38">
        <f>ROUNDUP(O292/'Methodology &amp; Assumptions'!$B$9, 0)</f>
        <v/>
      </c>
      <c r="R292" s="39" t="n">
        <v>1</v>
      </c>
      <c r="S292" s="25" t="n">
        <v>1.31</v>
      </c>
      <c r="T292" s="25" t="n">
        <v>0.39</v>
      </c>
      <c r="U292" s="42" t="inlineStr">
        <is>
          <t>Tier 1B (Micro Drop, 1-3 km)</t>
        </is>
      </c>
      <c r="V292" s="24" t="n">
        <v>74.59999999999999</v>
      </c>
      <c r="W292" s="24" t="n">
        <v>100</v>
      </c>
      <c r="X292" s="24" t="n">
        <v>28</v>
      </c>
      <c r="Y292" s="45">
        <f>ROUND((V292*'Methodology &amp; Assumptions'!$B$6)+(W292*'Methodology &amp; Assumptions'!$B$5)+(X292*'Methodology &amp; Assumptions'!$B$7), 2)</f>
        <v/>
      </c>
    </row>
    <row r="293" ht="19" customHeight="1">
      <c r="A293" s="35" t="n">
        <v>289</v>
      </c>
      <c r="B293" s="35" t="n">
        <v>2289</v>
      </c>
      <c r="C293" s="36" t="inlineStr">
        <is>
          <t>0301421004</t>
        </is>
      </c>
      <c r="D293" s="36" t="inlineStr">
        <is>
          <t>Region III (Central Luzon)</t>
        </is>
      </c>
      <c r="E293" s="36" t="inlineStr">
        <is>
          <t>Bulacan</t>
        </is>
      </c>
      <c r="F293" s="36" t="inlineStr">
        <is>
          <t>San Miguel</t>
        </is>
      </c>
      <c r="G293" s="36" t="inlineStr">
        <is>
          <t>Bantog</t>
        </is>
      </c>
      <c r="H293" s="37" t="n">
        <v>15.212058</v>
      </c>
      <c r="I293" s="37" t="n">
        <v>120.955379</v>
      </c>
      <c r="J293" s="8" t="inlineStr">
        <is>
          <t>U</t>
        </is>
      </c>
      <c r="K293" s="36" t="inlineStr">
        <is>
          <t>Class 1-3 / Urban</t>
        </is>
      </c>
      <c r="L293" s="18" t="n">
        <v>3955</v>
      </c>
      <c r="M293" s="20" t="n">
        <v>4.1</v>
      </c>
      <c r="N293" s="18">
        <f>ROUND(L293/M293, 0)</f>
        <v/>
      </c>
      <c r="O293" s="18">
        <f>ROUND(N293*'Methodology &amp; Assumptions'!$B$8, 0)</f>
        <v/>
      </c>
      <c r="P293" s="8" t="inlineStr">
        <is>
          <t>Band n50 (1.5 GHz, 60 MHz)</t>
        </is>
      </c>
      <c r="Q293" s="38">
        <f>ROUNDUP(O293/'Methodology &amp; Assumptions'!$B$9, 0)</f>
        <v/>
      </c>
      <c r="R293" s="39" t="n">
        <v>1</v>
      </c>
      <c r="S293" s="21" t="n">
        <v>1.31</v>
      </c>
      <c r="T293" s="21" t="n">
        <v>0.05</v>
      </c>
      <c r="U293" s="36" t="inlineStr">
        <is>
          <t>Tier 1B (Micro Drop, 1-3 km)</t>
        </is>
      </c>
      <c r="V293" s="20" t="n">
        <v>74.59999999999999</v>
      </c>
      <c r="W293" s="20" t="n">
        <v>100</v>
      </c>
      <c r="X293" s="20" t="n">
        <v>28</v>
      </c>
      <c r="Y293" s="40">
        <f>ROUND((V293*'Methodology &amp; Assumptions'!$B$6)+(W293*'Methodology &amp; Assumptions'!$B$5)+(X293*'Methodology &amp; Assumptions'!$B$7), 2)</f>
        <v/>
      </c>
    </row>
    <row r="294" ht="19" customHeight="1">
      <c r="A294" s="41" t="n">
        <v>290</v>
      </c>
      <c r="B294" s="41" t="n">
        <v>2290</v>
      </c>
      <c r="C294" s="42" t="inlineStr">
        <is>
          <t>1004314003</t>
        </is>
      </c>
      <c r="D294" s="42" t="inlineStr">
        <is>
          <t>Region X (Northern Mindanao)</t>
        </is>
      </c>
      <c r="E294" s="42" t="inlineStr">
        <is>
          <t>Misamis Oriental</t>
        </is>
      </c>
      <c r="F294" s="42" t="inlineStr">
        <is>
          <t>Laguindingan</t>
        </is>
      </c>
      <c r="G294" s="42" t="inlineStr">
        <is>
          <t>Kibaghot</t>
        </is>
      </c>
      <c r="H294" s="43" t="n">
        <v>8.590230999999999</v>
      </c>
      <c r="I294" s="43" t="n">
        <v>124.451617</v>
      </c>
      <c r="J294" s="44" t="inlineStr">
        <is>
          <t>R</t>
        </is>
      </c>
      <c r="K294" s="42" t="inlineStr">
        <is>
          <t>2nd</t>
        </is>
      </c>
      <c r="L294" s="23" t="n">
        <v>4016</v>
      </c>
      <c r="M294" s="24" t="n">
        <v>4.35</v>
      </c>
      <c r="N294" s="23">
        <f>ROUND(L294/M294, 0)</f>
        <v/>
      </c>
      <c r="O294" s="23">
        <f>ROUND(N294*'Methodology &amp; Assumptions'!$B$8, 0)</f>
        <v/>
      </c>
      <c r="P294" s="44" t="inlineStr">
        <is>
          <t>Band n50 (1.5 GHz, 60 MHz)</t>
        </is>
      </c>
      <c r="Q294" s="38">
        <f>ROUNDUP(O294/'Methodology &amp; Assumptions'!$B$9, 0)</f>
        <v/>
      </c>
      <c r="R294" s="39" t="n">
        <v>1</v>
      </c>
      <c r="S294" s="25" t="n">
        <v>2.02</v>
      </c>
      <c r="T294" s="25" t="n">
        <v>2.09</v>
      </c>
      <c r="U294" s="42" t="inlineStr">
        <is>
          <t>Tier 1B (Micro Drop, 1-3 km)</t>
        </is>
      </c>
      <c r="V294" s="24" t="n">
        <v>51</v>
      </c>
      <c r="W294" s="24" t="n">
        <v>97.90000000000001</v>
      </c>
      <c r="X294" s="24" t="n">
        <v>58</v>
      </c>
      <c r="Y294" s="45">
        <f>ROUND((V294*'Methodology &amp; Assumptions'!$B$6)+(W294*'Methodology &amp; Assumptions'!$B$5)+(X294*'Methodology &amp; Assumptions'!$B$7), 2)</f>
        <v/>
      </c>
    </row>
    <row r="295" ht="19" customHeight="1">
      <c r="A295" s="35" t="n">
        <v>291</v>
      </c>
      <c r="B295" s="35" t="n">
        <v>2291</v>
      </c>
      <c r="C295" s="36" t="inlineStr">
        <is>
          <t>0702243019</t>
        </is>
      </c>
      <c r="D295" s="36" t="inlineStr">
        <is>
          <t>Region VII (Central Visayas)</t>
        </is>
      </c>
      <c r="E295" s="36" t="inlineStr">
        <is>
          <t>Cebu</t>
        </is>
      </c>
      <c r="F295" s="36" t="inlineStr">
        <is>
          <t>San Remigio</t>
        </is>
      </c>
      <c r="G295" s="36" t="inlineStr">
        <is>
          <t>Mano</t>
        </is>
      </c>
      <c r="H295" s="37" t="n">
        <v>11.053051</v>
      </c>
      <c r="I295" s="37" t="n">
        <v>123.936747</v>
      </c>
      <c r="J295" s="8" t="inlineStr">
        <is>
          <t>R</t>
        </is>
      </c>
      <c r="K295" s="36" t="inlineStr">
        <is>
          <t>Class 1-3 / Urban</t>
        </is>
      </c>
      <c r="L295" s="18" t="n">
        <v>4340</v>
      </c>
      <c r="M295" s="20" t="n">
        <v>4.42</v>
      </c>
      <c r="N295" s="18">
        <f>ROUND(L295/M295, 0)</f>
        <v/>
      </c>
      <c r="O295" s="18">
        <f>ROUND(N295*'Methodology &amp; Assumptions'!$B$8, 0)</f>
        <v/>
      </c>
      <c r="P295" s="8" t="inlineStr">
        <is>
          <t>Band n50 (1.5 GHz, 60 MHz)</t>
        </is>
      </c>
      <c r="Q295" s="38">
        <f>ROUNDUP(O295/'Methodology &amp; Assumptions'!$B$9, 0)</f>
        <v/>
      </c>
      <c r="R295" s="39" t="n">
        <v>1</v>
      </c>
      <c r="S295" s="21" t="n">
        <v>2.84</v>
      </c>
      <c r="T295" s="21" t="n">
        <v>0.17</v>
      </c>
      <c r="U295" s="36" t="inlineStr">
        <is>
          <t>Tier 1B (Micro Drop, 1-3 km)</t>
        </is>
      </c>
      <c r="V295" s="20" t="n">
        <v>48.9</v>
      </c>
      <c r="W295" s="20" t="n">
        <v>100</v>
      </c>
      <c r="X295" s="20" t="n">
        <v>58</v>
      </c>
      <c r="Y295" s="40">
        <f>ROUND((V295*'Methodology &amp; Assumptions'!$B$6)+(W295*'Methodology &amp; Assumptions'!$B$5)+(X295*'Methodology &amp; Assumptions'!$B$7), 2)</f>
        <v/>
      </c>
    </row>
    <row r="296" ht="19" customHeight="1">
      <c r="A296" s="41" t="n">
        <v>292</v>
      </c>
      <c r="B296" s="41" t="n">
        <v>2292</v>
      </c>
      <c r="C296" s="42" t="inlineStr">
        <is>
          <t>0402102003</t>
        </is>
      </c>
      <c r="D296" s="42" t="inlineStr">
        <is>
          <t>Region IV-A (CALABARZON)</t>
        </is>
      </c>
      <c r="E296" s="42" t="inlineStr">
        <is>
          <t>Cavite</t>
        </is>
      </c>
      <c r="F296" s="42" t="inlineStr">
        <is>
          <t>Amadeo</t>
        </is>
      </c>
      <c r="G296" s="42" t="inlineStr">
        <is>
          <t>Dagatan</t>
        </is>
      </c>
      <c r="H296" s="43" t="n">
        <v>14.179858</v>
      </c>
      <c r="I296" s="43" t="n">
        <v>120.929176</v>
      </c>
      <c r="J296" s="44" t="inlineStr">
        <is>
          <t>R</t>
        </is>
      </c>
      <c r="K296" s="42" t="inlineStr">
        <is>
          <t>2nd</t>
        </is>
      </c>
      <c r="L296" s="23" t="n">
        <v>3029</v>
      </c>
      <c r="M296" s="24" t="n">
        <v>4.23</v>
      </c>
      <c r="N296" s="23">
        <f>ROUND(L296/M296, 0)</f>
        <v/>
      </c>
      <c r="O296" s="23">
        <f>ROUND(N296*'Methodology &amp; Assumptions'!$B$8, 0)</f>
        <v/>
      </c>
      <c r="P296" s="44" t="inlineStr">
        <is>
          <t>Band n50 (1.5 GHz, 60 MHz)</t>
        </is>
      </c>
      <c r="Q296" s="38">
        <f>ROUNDUP(O296/'Methodology &amp; Assumptions'!$B$9, 0)</f>
        <v/>
      </c>
      <c r="R296" s="39" t="n">
        <v>1</v>
      </c>
      <c r="S296" s="25" t="n">
        <v>1.18</v>
      </c>
      <c r="T296" s="25" t="n">
        <v>3.38</v>
      </c>
      <c r="U296" s="42" t="inlineStr">
        <is>
          <t>Tier 1B (Micro Drop, 1-3 km)</t>
        </is>
      </c>
      <c r="V296" s="24" t="n">
        <v>67.5</v>
      </c>
      <c r="W296" s="24" t="n">
        <v>81.3</v>
      </c>
      <c r="X296" s="24" t="n">
        <v>58</v>
      </c>
      <c r="Y296" s="45">
        <f>ROUND((V296*'Methodology &amp; Assumptions'!$B$6)+(W296*'Methodology &amp; Assumptions'!$B$5)+(X296*'Methodology &amp; Assumptions'!$B$7), 2)</f>
        <v/>
      </c>
    </row>
    <row r="297" ht="19" customHeight="1">
      <c r="A297" s="35" t="n">
        <v>293</v>
      </c>
      <c r="B297" s="35" t="n">
        <v>2293</v>
      </c>
      <c r="C297" s="36" t="inlineStr">
        <is>
          <t>0203108045</t>
        </is>
      </c>
      <c r="D297" s="36" t="inlineStr">
        <is>
          <t>Region II (Cagayan Valley)</t>
        </is>
      </c>
      <c r="E297" s="36" t="inlineStr">
        <is>
          <t>Isabela</t>
        </is>
      </c>
      <c r="F297" s="36" t="inlineStr">
        <is>
          <t>City of Cauayan</t>
        </is>
      </c>
      <c r="G297" s="36" t="inlineStr">
        <is>
          <t>Marabulig I</t>
        </is>
      </c>
      <c r="H297" s="37" t="n">
        <v>16.918598</v>
      </c>
      <c r="I297" s="37" t="n">
        <v>121.745417</v>
      </c>
      <c r="J297" s="8" t="inlineStr">
        <is>
          <t>R</t>
        </is>
      </c>
      <c r="K297" s="36" t="inlineStr">
        <is>
          <t>Class 1-3 / Urban</t>
        </is>
      </c>
      <c r="L297" s="18" t="n">
        <v>4542</v>
      </c>
      <c r="M297" s="20" t="n">
        <v>4.3</v>
      </c>
      <c r="N297" s="18">
        <f>ROUND(L297/M297, 0)</f>
        <v/>
      </c>
      <c r="O297" s="18">
        <f>ROUND(N297*'Methodology &amp; Assumptions'!$B$8, 0)</f>
        <v/>
      </c>
      <c r="P297" s="8" t="inlineStr">
        <is>
          <t>Band n50 (1.5 GHz, 60 MHz)</t>
        </is>
      </c>
      <c r="Q297" s="38">
        <f>ROUNDUP(O297/'Methodology &amp; Assumptions'!$B$9, 0)</f>
        <v/>
      </c>
      <c r="R297" s="39" t="n">
        <v>1</v>
      </c>
      <c r="S297" s="21" t="n">
        <v>2.84</v>
      </c>
      <c r="T297" s="21" t="n">
        <v>1.73</v>
      </c>
      <c r="U297" s="36" t="inlineStr">
        <is>
          <t>Tier 1B (Micro Drop, 1-3 km)</t>
        </is>
      </c>
      <c r="V297" s="20" t="n">
        <v>48.8</v>
      </c>
      <c r="W297" s="20" t="n">
        <v>100</v>
      </c>
      <c r="X297" s="20" t="n">
        <v>58</v>
      </c>
      <c r="Y297" s="40">
        <f>ROUND((V297*'Methodology &amp; Assumptions'!$B$6)+(W297*'Methodology &amp; Assumptions'!$B$5)+(X297*'Methodology &amp; Assumptions'!$B$7), 2)</f>
        <v/>
      </c>
    </row>
    <row r="298" ht="19" customHeight="1">
      <c r="A298" s="41" t="n">
        <v>294</v>
      </c>
      <c r="B298" s="41" t="n">
        <v>2294</v>
      </c>
      <c r="C298" s="42" t="inlineStr">
        <is>
          <t>1600314021</t>
        </is>
      </c>
      <c r="D298" s="42" t="inlineStr">
        <is>
          <t>Region XIII (Caraga)</t>
        </is>
      </c>
      <c r="E298" s="42" t="inlineStr">
        <is>
          <t>Agusan del Sur</t>
        </is>
      </c>
      <c r="F298" s="42" t="inlineStr">
        <is>
          <t>Sibagat</t>
        </is>
      </c>
      <c r="G298" s="42" t="inlineStr">
        <is>
          <t>Tabon-tabon</t>
        </is>
      </c>
      <c r="H298" s="43" t="n">
        <v>8.902647</v>
      </c>
      <c r="I298" s="43" t="n">
        <v>125.657141</v>
      </c>
      <c r="J298" s="44" t="inlineStr">
        <is>
          <t>R</t>
        </is>
      </c>
      <c r="K298" s="42" t="inlineStr">
        <is>
          <t>Class 1-3 / Urban</t>
        </is>
      </c>
      <c r="L298" s="23" t="n">
        <v>3718</v>
      </c>
      <c r="M298" s="24" t="n">
        <v>4.1</v>
      </c>
      <c r="N298" s="23">
        <f>ROUND(L298/M298, 0)</f>
        <v/>
      </c>
      <c r="O298" s="23">
        <f>ROUND(N298*'Methodology &amp; Assumptions'!$B$8, 0)</f>
        <v/>
      </c>
      <c r="P298" s="44" t="inlineStr">
        <is>
          <t>Band n50 (1.5 GHz, 60 MHz)</t>
        </is>
      </c>
      <c r="Q298" s="38">
        <f>ROUNDUP(O298/'Methodology &amp; Assumptions'!$B$9, 0)</f>
        <v/>
      </c>
      <c r="R298" s="39" t="n">
        <v>1</v>
      </c>
      <c r="S298" s="25" t="n">
        <v>2.58</v>
      </c>
      <c r="T298" s="25" t="n">
        <v>0.07000000000000001</v>
      </c>
      <c r="U298" s="42" t="inlineStr">
        <is>
          <t>Tier 1B (Micro Drop, 1-3 km)</t>
        </is>
      </c>
      <c r="V298" s="24" t="n">
        <v>52.3</v>
      </c>
      <c r="W298" s="24" t="n">
        <v>96.5</v>
      </c>
      <c r="X298" s="24" t="n">
        <v>58</v>
      </c>
      <c r="Y298" s="45">
        <f>ROUND((V298*'Methodology &amp; Assumptions'!$B$6)+(W298*'Methodology &amp; Assumptions'!$B$5)+(X298*'Methodology &amp; Assumptions'!$B$7), 2)</f>
        <v/>
      </c>
    </row>
    <row r="299" ht="19" customHeight="1">
      <c r="A299" s="35" t="n">
        <v>295</v>
      </c>
      <c r="B299" s="35" t="n">
        <v>2295</v>
      </c>
      <c r="C299" s="36" t="inlineStr">
        <is>
          <t>0403415019</t>
        </is>
      </c>
      <c r="D299" s="36" t="inlineStr">
        <is>
          <t>Region IV-A (CALABARZON)</t>
        </is>
      </c>
      <c r="E299" s="36" t="inlineStr">
        <is>
          <t>Laguna</t>
        </is>
      </c>
      <c r="F299" s="36" t="inlineStr">
        <is>
          <t>Magdalena</t>
        </is>
      </c>
      <c r="G299" s="36" t="inlineStr">
        <is>
          <t>Poblacion</t>
        </is>
      </c>
      <c r="H299" s="37" t="n">
        <v>14.208752</v>
      </c>
      <c r="I299" s="37" t="n">
        <v>121.430178</v>
      </c>
      <c r="J299" s="8" t="inlineStr">
        <is>
          <t>R</t>
        </is>
      </c>
      <c r="K299" s="36" t="inlineStr">
        <is>
          <t>3rd</t>
        </is>
      </c>
      <c r="L299" s="18" t="n">
        <v>2495</v>
      </c>
      <c r="M299" s="20" t="n">
        <v>4.3</v>
      </c>
      <c r="N299" s="18">
        <f>ROUND(L299/M299, 0)</f>
        <v/>
      </c>
      <c r="O299" s="18">
        <f>ROUND(N299*'Methodology &amp; Assumptions'!$B$8, 0)</f>
        <v/>
      </c>
      <c r="P299" s="8" t="inlineStr">
        <is>
          <t>Band n50 (1.5 GHz, 60 MHz)</t>
        </is>
      </c>
      <c r="Q299" s="38">
        <f>ROUNDUP(O299/'Methodology &amp; Assumptions'!$B$9, 0)</f>
        <v/>
      </c>
      <c r="R299" s="39" t="n">
        <v>1</v>
      </c>
      <c r="S299" s="21" t="n">
        <v>1.14</v>
      </c>
      <c r="T299" s="21" t="n">
        <v>0.17</v>
      </c>
      <c r="U299" s="36" t="inlineStr">
        <is>
          <t>Tier 1B (Micro Drop, 1-3 km)</t>
        </is>
      </c>
      <c r="V299" s="20" t="n">
        <v>78.40000000000001</v>
      </c>
      <c r="W299" s="20" t="n">
        <v>70.40000000000001</v>
      </c>
      <c r="X299" s="20" t="n">
        <v>58</v>
      </c>
      <c r="Y299" s="40">
        <f>ROUND((V299*'Methodology &amp; Assumptions'!$B$6)+(W299*'Methodology &amp; Assumptions'!$B$5)+(X299*'Methodology &amp; Assumptions'!$B$7), 2)</f>
        <v/>
      </c>
    </row>
    <row r="300" ht="19" customHeight="1">
      <c r="A300" s="41" t="n">
        <v>296</v>
      </c>
      <c r="B300" s="41" t="n">
        <v>2296</v>
      </c>
      <c r="C300" s="42" t="inlineStr">
        <is>
          <t>0102809016</t>
        </is>
      </c>
      <c r="D300" s="42" t="inlineStr">
        <is>
          <t>Region I (Ilocos Region)</t>
        </is>
      </c>
      <c r="E300" s="42" t="inlineStr">
        <is>
          <t>Ilocos Norte</t>
        </is>
      </c>
      <c r="F300" s="42" t="inlineStr">
        <is>
          <t>Dingras</t>
        </is>
      </c>
      <c r="G300" s="42" t="inlineStr">
        <is>
          <t>Madamba</t>
        </is>
      </c>
      <c r="H300" s="43" t="n">
        <v>18.10465</v>
      </c>
      <c r="I300" s="43" t="n">
        <v>120.699067</v>
      </c>
      <c r="J300" s="44" t="inlineStr">
        <is>
          <t>R</t>
        </is>
      </c>
      <c r="K300" s="42" t="inlineStr">
        <is>
          <t>Class 1-3 / Urban</t>
        </is>
      </c>
      <c r="L300" s="23" t="n">
        <v>1961</v>
      </c>
      <c r="M300" s="24" t="n">
        <v>4.35</v>
      </c>
      <c r="N300" s="23">
        <f>ROUND(L300/M300, 0)</f>
        <v/>
      </c>
      <c r="O300" s="23">
        <f>ROUND(N300*'Methodology &amp; Assumptions'!$B$8, 0)</f>
        <v/>
      </c>
      <c r="P300" s="44" t="inlineStr">
        <is>
          <t>Band n50 (1.5 GHz, 60 MHz)</t>
        </is>
      </c>
      <c r="Q300" s="38">
        <f>ROUNDUP(O300/'Methodology &amp; Assumptions'!$B$9, 0)</f>
        <v/>
      </c>
      <c r="R300" s="39" t="n">
        <v>1</v>
      </c>
      <c r="S300" s="25" t="n">
        <v>0.71</v>
      </c>
      <c r="T300" s="25" t="n">
        <v>0.52</v>
      </c>
      <c r="U300" s="42" t="inlineStr">
        <is>
          <t>Tier 1A (Direct Coloc, &lt;1 km)</t>
        </is>
      </c>
      <c r="V300" s="24" t="n">
        <v>88.8</v>
      </c>
      <c r="W300" s="24" t="n">
        <v>60</v>
      </c>
      <c r="X300" s="24" t="n">
        <v>58</v>
      </c>
      <c r="Y300" s="45">
        <f>ROUND((V300*'Methodology &amp; Assumptions'!$B$6)+(W300*'Methodology &amp; Assumptions'!$B$5)+(X300*'Methodology &amp; Assumptions'!$B$7), 2)</f>
        <v/>
      </c>
    </row>
    <row r="301" ht="19" customHeight="1">
      <c r="A301" s="35" t="n">
        <v>297</v>
      </c>
      <c r="B301" s="35" t="n">
        <v>2297</v>
      </c>
      <c r="C301" s="36" t="inlineStr">
        <is>
          <t>0105512020</t>
        </is>
      </c>
      <c r="D301" s="36" t="inlineStr">
        <is>
          <t>Region I (Ilocos Region)</t>
        </is>
      </c>
      <c r="E301" s="36" t="inlineStr">
        <is>
          <t>Pangasinan</t>
        </is>
      </c>
      <c r="F301" s="36" t="inlineStr">
        <is>
          <t>Binalonan</t>
        </is>
      </c>
      <c r="G301" s="36" t="inlineStr">
        <is>
          <t>Sta. Catalina</t>
        </is>
      </c>
      <c r="H301" s="37" t="n">
        <v>16.052574</v>
      </c>
      <c r="I301" s="37" t="n">
        <v>120.592425</v>
      </c>
      <c r="J301" s="8" t="inlineStr">
        <is>
          <t>R</t>
        </is>
      </c>
      <c r="K301" s="36" t="inlineStr">
        <is>
          <t>Class 1-3 / Urban</t>
        </is>
      </c>
      <c r="L301" s="18" t="n">
        <v>2619</v>
      </c>
      <c r="M301" s="20" t="n">
        <v>4.39</v>
      </c>
      <c r="N301" s="18">
        <f>ROUND(L301/M301, 0)</f>
        <v/>
      </c>
      <c r="O301" s="18">
        <f>ROUND(N301*'Methodology &amp; Assumptions'!$B$8, 0)</f>
        <v/>
      </c>
      <c r="P301" s="8" t="inlineStr">
        <is>
          <t>Band n50 (1.5 GHz, 60 MHz)</t>
        </is>
      </c>
      <c r="Q301" s="38">
        <f>ROUNDUP(O301/'Methodology &amp; Assumptions'!$B$9, 0)</f>
        <v/>
      </c>
      <c r="R301" s="39" t="n">
        <v>1</v>
      </c>
      <c r="S301" s="21" t="n">
        <v>1.2</v>
      </c>
      <c r="T301" s="21" t="n">
        <v>0.71</v>
      </c>
      <c r="U301" s="36" t="inlineStr">
        <is>
          <t>Tier 1B (Micro Drop, 1-3 km)</t>
        </is>
      </c>
      <c r="V301" s="20" t="n">
        <v>77.09999999999999</v>
      </c>
      <c r="W301" s="20" t="n">
        <v>71.7</v>
      </c>
      <c r="X301" s="20" t="n">
        <v>58</v>
      </c>
      <c r="Y301" s="40">
        <f>ROUND((V301*'Methodology &amp; Assumptions'!$B$6)+(W301*'Methodology &amp; Assumptions'!$B$5)+(X301*'Methodology &amp; Assumptions'!$B$7), 2)</f>
        <v/>
      </c>
    </row>
    <row r="302" ht="19" customHeight="1">
      <c r="A302" s="41" t="n">
        <v>298</v>
      </c>
      <c r="B302" s="41" t="n">
        <v>2298</v>
      </c>
      <c r="C302" s="42" t="inlineStr">
        <is>
          <t>0501715005</t>
        </is>
      </c>
      <c r="D302" s="42" t="inlineStr">
        <is>
          <t>Region V (Bicol Region)</t>
        </is>
      </c>
      <c r="E302" s="42" t="inlineStr">
        <is>
          <t>Camarines Sur</t>
        </is>
      </c>
      <c r="F302" s="42" t="inlineStr">
        <is>
          <t>Goa</t>
        </is>
      </c>
      <c r="G302" s="42" t="inlineStr">
        <is>
          <t>Belen</t>
        </is>
      </c>
      <c r="H302" s="43" t="n">
        <v>13.699235</v>
      </c>
      <c r="I302" s="43" t="n">
        <v>123.485919</v>
      </c>
      <c r="J302" s="44" t="inlineStr">
        <is>
          <t>R</t>
        </is>
      </c>
      <c r="K302" s="42" t="inlineStr">
        <is>
          <t>Class 1-3 / Urban</t>
        </is>
      </c>
      <c r="L302" s="23" t="n">
        <v>1852</v>
      </c>
      <c r="M302" s="24" t="n">
        <v>4.9</v>
      </c>
      <c r="N302" s="23">
        <f>ROUND(L302/M302, 0)</f>
        <v/>
      </c>
      <c r="O302" s="23">
        <f>ROUND(N302*'Methodology &amp; Assumptions'!$B$8, 0)</f>
        <v/>
      </c>
      <c r="P302" s="44" t="inlineStr">
        <is>
          <t>Band n50 (1.5 GHz, 60 MHz)</t>
        </is>
      </c>
      <c r="Q302" s="38">
        <f>ROUNDUP(O302/'Methodology &amp; Assumptions'!$B$9, 0)</f>
        <v/>
      </c>
      <c r="R302" s="39" t="n">
        <v>1</v>
      </c>
      <c r="S302" s="25" t="n">
        <v>0.5</v>
      </c>
      <c r="T302" s="25" t="n">
        <v>0.49</v>
      </c>
      <c r="U302" s="42" t="inlineStr">
        <is>
          <t>Tier 1A (Direct Coloc, &lt;1 km)</t>
        </is>
      </c>
      <c r="V302" s="24" t="n">
        <v>94.7</v>
      </c>
      <c r="W302" s="24" t="n">
        <v>54.1</v>
      </c>
      <c r="X302" s="24" t="n">
        <v>58</v>
      </c>
      <c r="Y302" s="45">
        <f>ROUND((V302*'Methodology &amp; Assumptions'!$B$6)+(W302*'Methodology &amp; Assumptions'!$B$5)+(X302*'Methodology &amp; Assumptions'!$B$7), 2)</f>
        <v/>
      </c>
    </row>
    <row r="303" ht="19" customHeight="1">
      <c r="A303" s="35" t="n">
        <v>299</v>
      </c>
      <c r="B303" s="35" t="n">
        <v>2299</v>
      </c>
      <c r="C303" s="36" t="inlineStr">
        <is>
          <t>0401019012</t>
        </is>
      </c>
      <c r="D303" s="36" t="inlineStr">
        <is>
          <t>Region IV-A (CALABARZON)</t>
        </is>
      </c>
      <c r="E303" s="36" t="inlineStr">
        <is>
          <t>Batangas</t>
        </is>
      </c>
      <c r="F303" s="36" t="inlineStr">
        <is>
          <t>Nasugbu</t>
        </is>
      </c>
      <c r="G303" s="36" t="inlineStr">
        <is>
          <t>Barangay 7</t>
        </is>
      </c>
      <c r="H303" s="37" t="n">
        <v>14.070375</v>
      </c>
      <c r="I303" s="37" t="n">
        <v>120.634458</v>
      </c>
      <c r="J303" s="8" t="inlineStr">
        <is>
          <t>R</t>
        </is>
      </c>
      <c r="K303" s="36" t="inlineStr">
        <is>
          <t>Class 1-3 / Urban</t>
        </is>
      </c>
      <c r="L303" s="18" t="n">
        <v>1434</v>
      </c>
      <c r="M303" s="20" t="n">
        <v>4.62</v>
      </c>
      <c r="N303" s="18">
        <f>ROUND(L303/M303, 0)</f>
        <v/>
      </c>
      <c r="O303" s="18">
        <f>ROUND(N303*'Methodology &amp; Assumptions'!$B$8, 0)</f>
        <v/>
      </c>
      <c r="P303" s="8" t="inlineStr">
        <is>
          <t>Band n50 (1.5 GHz, 60 MHz)</t>
        </is>
      </c>
      <c r="Q303" s="38">
        <f>ROUNDUP(O303/'Methodology &amp; Assumptions'!$B$9, 0)</f>
        <v/>
      </c>
      <c r="R303" s="39" t="n">
        <v>1</v>
      </c>
      <c r="S303" s="21" t="n">
        <v>0.06</v>
      </c>
      <c r="T303" s="21" t="n">
        <v>0.04</v>
      </c>
      <c r="U303" s="36" t="inlineStr">
        <is>
          <t>Tier 1A (Direct Coloc, &lt;1 km)</t>
        </is>
      </c>
      <c r="V303" s="20" t="n">
        <v>100</v>
      </c>
      <c r="W303" s="20" t="n">
        <v>48.8</v>
      </c>
      <c r="X303" s="20" t="n">
        <v>58</v>
      </c>
      <c r="Y303" s="40">
        <f>ROUND((V303*'Methodology &amp; Assumptions'!$B$6)+(W303*'Methodology &amp; Assumptions'!$B$5)+(X303*'Methodology &amp; Assumptions'!$B$7), 2)</f>
        <v/>
      </c>
    </row>
    <row r="304" ht="19" customHeight="1">
      <c r="A304" s="41" t="n">
        <v>300</v>
      </c>
      <c r="B304" s="41" t="n">
        <v>2300</v>
      </c>
      <c r="C304" s="42" t="inlineStr">
        <is>
          <t>0405646034</t>
        </is>
      </c>
      <c r="D304" s="42" t="inlineStr">
        <is>
          <t>Region IV-A (CALABARZON)</t>
        </is>
      </c>
      <c r="E304" s="42" t="inlineStr">
        <is>
          <t>Quezon</t>
        </is>
      </c>
      <c r="F304" s="42" t="inlineStr">
        <is>
          <t>Tagkawayan</t>
        </is>
      </c>
      <c r="G304" s="42" t="inlineStr">
        <is>
          <t>San Isidro</t>
        </is>
      </c>
      <c r="H304" s="43" t="n">
        <v>14.013222</v>
      </c>
      <c r="I304" s="43" t="n">
        <v>122.468726</v>
      </c>
      <c r="J304" s="44" t="inlineStr">
        <is>
          <t>R</t>
        </is>
      </c>
      <c r="K304" s="42" t="inlineStr">
        <is>
          <t>Class 1-3 / Urban</t>
        </is>
      </c>
      <c r="L304" s="23" t="n">
        <v>1379</v>
      </c>
      <c r="M304" s="24" t="n">
        <v>4.46</v>
      </c>
      <c r="N304" s="23">
        <f>ROUND(L304/M304, 0)</f>
        <v/>
      </c>
      <c r="O304" s="23">
        <f>ROUND(N304*'Methodology &amp; Assumptions'!$B$8, 0)</f>
        <v/>
      </c>
      <c r="P304" s="44" t="inlineStr">
        <is>
          <t>Band n50 (1.5 GHz, 60 MHz)</t>
        </is>
      </c>
      <c r="Q304" s="38">
        <f>ROUNDUP(O304/'Methodology &amp; Assumptions'!$B$9, 0)</f>
        <v/>
      </c>
      <c r="R304" s="39" t="n">
        <v>1</v>
      </c>
      <c r="S304" s="25" t="n">
        <v>0.06</v>
      </c>
      <c r="T304" s="25" t="n">
        <v>0.1</v>
      </c>
      <c r="U304" s="42" t="inlineStr">
        <is>
          <t>Tier 1A (Direct Coloc, &lt;1 km)</t>
        </is>
      </c>
      <c r="V304" s="24" t="n">
        <v>100</v>
      </c>
      <c r="W304" s="24" t="n">
        <v>48.8</v>
      </c>
      <c r="X304" s="24" t="n">
        <v>58</v>
      </c>
      <c r="Y304" s="45">
        <f>ROUND((V304*'Methodology &amp; Assumptions'!$B$6)+(W304*'Methodology &amp; Assumptions'!$B$5)+(X304*'Methodology &amp; Assumptions'!$B$7), 2)</f>
        <v/>
      </c>
    </row>
    <row r="305" ht="19" customHeight="1">
      <c r="A305" s="35" t="n">
        <v>301</v>
      </c>
      <c r="B305" s="35" t="n">
        <v>2301</v>
      </c>
      <c r="C305" s="36" t="inlineStr">
        <is>
          <t>0831600130</t>
        </is>
      </c>
      <c r="D305" s="36" t="inlineStr">
        <is>
          <t>Region VIII (Eastern Visayas)</t>
        </is>
      </c>
      <c r="E305" s="36" t="inlineStr">
        <is>
          <t>Leyte</t>
        </is>
      </c>
      <c r="F305" s="36" t="inlineStr">
        <is>
          <t>City of Tacloban</t>
        </is>
      </c>
      <c r="G305" s="36" t="inlineStr">
        <is>
          <t>Barangay 96</t>
        </is>
      </c>
      <c r="H305" s="37" t="n">
        <v>11.207479</v>
      </c>
      <c r="I305" s="37" t="n">
        <v>124.998488</v>
      </c>
      <c r="J305" s="8" t="inlineStr">
        <is>
          <t>U</t>
        </is>
      </c>
      <c r="K305" s="36" t="inlineStr">
        <is>
          <t>Class 1-3 / Urban</t>
        </is>
      </c>
      <c r="L305" s="18" t="n">
        <v>6263</v>
      </c>
      <c r="M305" s="20" t="n">
        <v>4.24</v>
      </c>
      <c r="N305" s="18">
        <f>ROUND(L305/M305, 0)</f>
        <v/>
      </c>
      <c r="O305" s="18">
        <f>ROUND(N305*'Methodology &amp; Assumptions'!$B$8, 0)</f>
        <v/>
      </c>
      <c r="P305" s="8" t="inlineStr">
        <is>
          <t>Band n50 (1.5 GHz, 60 MHz)</t>
        </is>
      </c>
      <c r="Q305" s="38">
        <f>ROUNDUP(O305/'Methodology &amp; Assumptions'!$B$9, 0)</f>
        <v/>
      </c>
      <c r="R305" s="39" t="n">
        <v>1</v>
      </c>
      <c r="S305" s="21" t="n">
        <v>1.31</v>
      </c>
      <c r="T305" s="21" t="n">
        <v>1.08</v>
      </c>
      <c r="U305" s="36" t="inlineStr">
        <is>
          <t>Tier 1B (Micro Drop, 1-3 km)</t>
        </is>
      </c>
      <c r="V305" s="20" t="n">
        <v>74.5</v>
      </c>
      <c r="W305" s="20" t="n">
        <v>100</v>
      </c>
      <c r="X305" s="20" t="n">
        <v>28</v>
      </c>
      <c r="Y305" s="40">
        <f>ROUND((V305*'Methodology &amp; Assumptions'!$B$6)+(W305*'Methodology &amp; Assumptions'!$B$5)+(X305*'Methodology &amp; Assumptions'!$B$7), 2)</f>
        <v/>
      </c>
    </row>
    <row r="306" ht="19" customHeight="1">
      <c r="A306" s="41" t="n">
        <v>302</v>
      </c>
      <c r="B306" s="41" t="n">
        <v>2302</v>
      </c>
      <c r="C306" s="42" t="inlineStr">
        <is>
          <t>0304923019</t>
        </is>
      </c>
      <c r="D306" s="42" t="inlineStr">
        <is>
          <t>Region III (Central Luzon)</t>
        </is>
      </c>
      <c r="E306" s="42" t="inlineStr">
        <is>
          <t>Nueva Ecija</t>
        </is>
      </c>
      <c r="F306" s="42" t="inlineStr">
        <is>
          <t>Rizal</t>
        </is>
      </c>
      <c r="G306" s="42" t="inlineStr">
        <is>
          <t>Maligaya</t>
        </is>
      </c>
      <c r="H306" s="43" t="n">
        <v>15.585783</v>
      </c>
      <c r="I306" s="43" t="n">
        <v>120.924577</v>
      </c>
      <c r="J306" s="44" t="inlineStr">
        <is>
          <t>R</t>
        </is>
      </c>
      <c r="K306" s="42" t="inlineStr">
        <is>
          <t>Class 1-3 / Urban</t>
        </is>
      </c>
      <c r="L306" s="23" t="n">
        <v>1924</v>
      </c>
      <c r="M306" s="24" t="n">
        <v>4.32</v>
      </c>
      <c r="N306" s="23">
        <f>ROUND(L306/M306, 0)</f>
        <v/>
      </c>
      <c r="O306" s="23">
        <f>ROUND(N306*'Methodology &amp; Assumptions'!$B$8, 0)</f>
        <v/>
      </c>
      <c r="P306" s="44" t="inlineStr">
        <is>
          <t>Band n50 (1.5 GHz, 60 MHz)</t>
        </is>
      </c>
      <c r="Q306" s="38">
        <f>ROUNDUP(O306/'Methodology &amp; Assumptions'!$B$9, 0)</f>
        <v/>
      </c>
      <c r="R306" s="39" t="n">
        <v>1</v>
      </c>
      <c r="S306" s="25" t="n">
        <v>0.71</v>
      </c>
      <c r="T306" s="25" t="n">
        <v>0.52</v>
      </c>
      <c r="U306" s="42" t="inlineStr">
        <is>
          <t>Tier 1A (Direct Coloc, &lt;1 km)</t>
        </is>
      </c>
      <c r="V306" s="24" t="n">
        <v>89</v>
      </c>
      <c r="W306" s="24" t="n">
        <v>59.7</v>
      </c>
      <c r="X306" s="24" t="n">
        <v>58</v>
      </c>
      <c r="Y306" s="45">
        <f>ROUND((V306*'Methodology &amp; Assumptions'!$B$6)+(W306*'Methodology &amp; Assumptions'!$B$5)+(X306*'Methodology &amp; Assumptions'!$B$7), 2)</f>
        <v/>
      </c>
    </row>
    <row r="307" ht="19" customHeight="1">
      <c r="A307" s="35" t="n">
        <v>303</v>
      </c>
      <c r="B307" s="35" t="n">
        <v>2303</v>
      </c>
      <c r="C307" s="36" t="inlineStr">
        <is>
          <t>0402114018</t>
        </is>
      </c>
      <c r="D307" s="36" t="inlineStr">
        <is>
          <t>Region IV-A (CALABARZON)</t>
        </is>
      </c>
      <c r="E307" s="36" t="inlineStr">
        <is>
          <t>Cavite</t>
        </is>
      </c>
      <c r="F307" s="36" t="inlineStr">
        <is>
          <t>Mendez</t>
        </is>
      </c>
      <c r="G307" s="36" t="inlineStr">
        <is>
          <t>Asis III</t>
        </is>
      </c>
      <c r="H307" s="37" t="n">
        <v>14.138594</v>
      </c>
      <c r="I307" s="37" t="n">
        <v>120.899412</v>
      </c>
      <c r="J307" s="8" t="inlineStr">
        <is>
          <t>R</t>
        </is>
      </c>
      <c r="K307" s="36" t="inlineStr">
        <is>
          <t>2nd</t>
        </is>
      </c>
      <c r="L307" s="18" t="n">
        <v>1563</v>
      </c>
      <c r="M307" s="20" t="n">
        <v>4.37</v>
      </c>
      <c r="N307" s="18">
        <f>ROUND(L307/M307, 0)</f>
        <v/>
      </c>
      <c r="O307" s="18">
        <f>ROUND(N307*'Methodology &amp; Assumptions'!$B$8, 0)</f>
        <v/>
      </c>
      <c r="P307" s="8" t="inlineStr">
        <is>
          <t>Band n50 (1.5 GHz, 60 MHz)</t>
        </is>
      </c>
      <c r="Q307" s="38">
        <f>ROUNDUP(O307/'Methodology &amp; Assumptions'!$B$9, 0)</f>
        <v/>
      </c>
      <c r="R307" s="39" t="n">
        <v>1</v>
      </c>
      <c r="S307" s="21" t="n">
        <v>0.12</v>
      </c>
      <c r="T307" s="21" t="n">
        <v>5.04</v>
      </c>
      <c r="U307" s="36" t="inlineStr">
        <is>
          <t>Tier 1A (Direct Coloc, &lt;1 km)</t>
        </is>
      </c>
      <c r="V307" s="20" t="n">
        <v>96.2</v>
      </c>
      <c r="W307" s="20" t="n">
        <v>52.5</v>
      </c>
      <c r="X307" s="20" t="n">
        <v>58</v>
      </c>
      <c r="Y307" s="40">
        <f>ROUND((V307*'Methodology &amp; Assumptions'!$B$6)+(W307*'Methodology &amp; Assumptions'!$B$5)+(X307*'Methodology &amp; Assumptions'!$B$7), 2)</f>
        <v/>
      </c>
    </row>
    <row r="308" ht="19" customHeight="1">
      <c r="A308" s="41" t="n">
        <v>304</v>
      </c>
      <c r="B308" s="41" t="n">
        <v>2304</v>
      </c>
      <c r="C308" s="42" t="inlineStr">
        <is>
          <t>0301412019</t>
        </is>
      </c>
      <c r="D308" s="42" t="inlineStr">
        <is>
          <t>Region III (Central Luzon)</t>
        </is>
      </c>
      <c r="E308" s="42" t="inlineStr">
        <is>
          <t>Bulacan</t>
        </is>
      </c>
      <c r="F308" s="42" t="inlineStr">
        <is>
          <t>City of Meycauayan</t>
        </is>
      </c>
      <c r="G308" s="42" t="inlineStr">
        <is>
          <t>Perez</t>
        </is>
      </c>
      <c r="H308" s="43" t="n">
        <v>14.764814</v>
      </c>
      <c r="I308" s="43" t="n">
        <v>120.997085</v>
      </c>
      <c r="J308" s="44" t="inlineStr">
        <is>
          <t>U</t>
        </is>
      </c>
      <c r="K308" s="42" t="inlineStr">
        <is>
          <t>Class 1-3 / Urban</t>
        </is>
      </c>
      <c r="L308" s="23" t="n">
        <v>18848</v>
      </c>
      <c r="M308" s="24" t="n">
        <v>4.1</v>
      </c>
      <c r="N308" s="23">
        <f>ROUND(L308/M308, 0)</f>
        <v/>
      </c>
      <c r="O308" s="23">
        <f>ROUND(N308*'Methodology &amp; Assumptions'!$B$8, 0)</f>
        <v/>
      </c>
      <c r="P308" s="44" t="inlineStr">
        <is>
          <t>Band n50 (1.5 GHz, 60 MHz)</t>
        </is>
      </c>
      <c r="Q308" s="38">
        <f>ROUNDUP(O308/'Methodology &amp; Assumptions'!$B$9, 0)</f>
        <v/>
      </c>
      <c r="R308" s="39" t="n">
        <v>1</v>
      </c>
      <c r="S308" s="25" t="n">
        <v>1.32</v>
      </c>
      <c r="T308" s="25" t="n">
        <v>1.95</v>
      </c>
      <c r="U308" s="42" t="inlineStr">
        <is>
          <t>Tier 1B (Micro Drop, 1-3 km)</t>
        </is>
      </c>
      <c r="V308" s="24" t="n">
        <v>74.5</v>
      </c>
      <c r="W308" s="24" t="n">
        <v>100</v>
      </c>
      <c r="X308" s="24" t="n">
        <v>28</v>
      </c>
      <c r="Y308" s="45">
        <f>ROUND((V308*'Methodology &amp; Assumptions'!$B$6)+(W308*'Methodology &amp; Assumptions'!$B$5)+(X308*'Methodology &amp; Assumptions'!$B$7), 2)</f>
        <v/>
      </c>
    </row>
    <row r="309" ht="19" customHeight="1">
      <c r="A309" s="35" t="n">
        <v>305</v>
      </c>
      <c r="B309" s="35" t="n">
        <v>2305</v>
      </c>
      <c r="C309" s="36" t="inlineStr">
        <is>
          <t>0403414013</t>
        </is>
      </c>
      <c r="D309" s="36" t="inlineStr">
        <is>
          <t>Region IV-A (CALABARZON)</t>
        </is>
      </c>
      <c r="E309" s="36" t="inlineStr">
        <is>
          <t>Laguna</t>
        </is>
      </c>
      <c r="F309" s="36" t="inlineStr">
        <is>
          <t>Mabitac</t>
        </is>
      </c>
      <c r="G309" s="36" t="inlineStr">
        <is>
          <t>Sinagtala</t>
        </is>
      </c>
      <c r="H309" s="37" t="n">
        <v>14.429439</v>
      </c>
      <c r="I309" s="37" t="n">
        <v>121.426547</v>
      </c>
      <c r="J309" s="8" t="inlineStr">
        <is>
          <t>R</t>
        </is>
      </c>
      <c r="K309" s="36" t="inlineStr">
        <is>
          <t>4th</t>
        </is>
      </c>
      <c r="L309" s="18" t="n">
        <v>883</v>
      </c>
      <c r="M309" s="20" t="n">
        <v>4.48</v>
      </c>
      <c r="N309" s="18">
        <f>ROUND(L309/M309, 0)</f>
        <v/>
      </c>
      <c r="O309" s="18">
        <f>ROUND(N309*'Methodology &amp; Assumptions'!$B$8, 0)</f>
        <v/>
      </c>
      <c r="P309" s="8" t="inlineStr">
        <is>
          <t>Band n50 (1.5 GHz, 60 MHz)</t>
        </is>
      </c>
      <c r="Q309" s="38">
        <f>ROUNDUP(O309/'Methodology &amp; Assumptions'!$B$9, 0)</f>
        <v/>
      </c>
      <c r="R309" s="39" t="n">
        <v>1</v>
      </c>
      <c r="S309" s="21" t="n">
        <v>0.02</v>
      </c>
      <c r="T309" s="21" t="n">
        <v>1.42</v>
      </c>
      <c r="U309" s="36" t="inlineStr">
        <is>
          <t>Tier 1A (Direct Coloc, &lt;1 km)</t>
        </is>
      </c>
      <c r="V309" s="20" t="n">
        <v>100</v>
      </c>
      <c r="W309" s="20" t="n">
        <v>39.7</v>
      </c>
      <c r="X309" s="20" t="n">
        <v>68.5</v>
      </c>
      <c r="Y309" s="40">
        <f>ROUND((V309*'Methodology &amp; Assumptions'!$B$6)+(W309*'Methodology &amp; Assumptions'!$B$5)+(X309*'Methodology &amp; Assumptions'!$B$7), 2)</f>
        <v/>
      </c>
    </row>
    <row r="310" ht="19" customHeight="1">
      <c r="A310" s="41" t="n">
        <v>306</v>
      </c>
      <c r="B310" s="41" t="n">
        <v>2306</v>
      </c>
      <c r="C310" s="42" t="inlineStr">
        <is>
          <t>0603043019</t>
        </is>
      </c>
      <c r="D310" s="42" t="inlineStr">
        <is>
          <t>Region VI (Western Visayas)</t>
        </is>
      </c>
      <c r="E310" s="42" t="inlineStr">
        <is>
          <t>Iloilo</t>
        </is>
      </c>
      <c r="F310" s="42" t="inlineStr">
        <is>
          <t>Santa Barbara</t>
        </is>
      </c>
      <c r="G310" s="42" t="inlineStr">
        <is>
          <t>Bolong Oeste</t>
        </is>
      </c>
      <c r="H310" s="43" t="n">
        <v>10.814706</v>
      </c>
      <c r="I310" s="43" t="n">
        <v>122.530412</v>
      </c>
      <c r="J310" s="44" t="inlineStr">
        <is>
          <t>R</t>
        </is>
      </c>
      <c r="K310" s="42" t="inlineStr">
        <is>
          <t>Class 1-3 / Urban</t>
        </is>
      </c>
      <c r="L310" s="23" t="n">
        <v>2941</v>
      </c>
      <c r="M310" s="24" t="n">
        <v>4.39</v>
      </c>
      <c r="N310" s="23">
        <f>ROUND(L310/M310, 0)</f>
        <v/>
      </c>
      <c r="O310" s="23">
        <f>ROUND(N310*'Methodology &amp; Assumptions'!$B$8, 0)</f>
        <v/>
      </c>
      <c r="P310" s="44" t="inlineStr">
        <is>
          <t>Band n50 (1.5 GHz, 60 MHz)</t>
        </is>
      </c>
      <c r="Q310" s="38">
        <f>ROUNDUP(O310/'Methodology &amp; Assumptions'!$B$9, 0)</f>
        <v/>
      </c>
      <c r="R310" s="39" t="n">
        <v>1</v>
      </c>
      <c r="S310" s="25" t="n">
        <v>1.48</v>
      </c>
      <c r="T310" s="25" t="n">
        <v>1.48</v>
      </c>
      <c r="U310" s="42" t="inlineStr">
        <is>
          <t>Tier 1B (Micro Drop, 1-3 km)</t>
        </is>
      </c>
      <c r="V310" s="24" t="n">
        <v>71.09999999999999</v>
      </c>
      <c r="W310" s="24" t="n">
        <v>77.59999999999999</v>
      </c>
      <c r="X310" s="24" t="n">
        <v>58</v>
      </c>
      <c r="Y310" s="45">
        <f>ROUND((V310*'Methodology &amp; Assumptions'!$B$6)+(W310*'Methodology &amp; Assumptions'!$B$5)+(X310*'Methodology &amp; Assumptions'!$B$7), 2)</f>
        <v/>
      </c>
    </row>
    <row r="311" ht="19" customHeight="1">
      <c r="A311" s="35" t="n">
        <v>307</v>
      </c>
      <c r="B311" s="35" t="n">
        <v>2307</v>
      </c>
      <c r="C311" s="36" t="inlineStr">
        <is>
          <t>0506216003</t>
        </is>
      </c>
      <c r="D311" s="36" t="inlineStr">
        <is>
          <t>Region V (Bicol Region)</t>
        </is>
      </c>
      <c r="E311" s="36" t="inlineStr">
        <is>
          <t>Sorsogon</t>
        </is>
      </c>
      <c r="F311" s="36" t="inlineStr">
        <is>
          <t>City of Sorsogon</t>
        </is>
      </c>
      <c r="G311" s="36" t="inlineStr">
        <is>
          <t>Balogo</t>
        </is>
      </c>
      <c r="H311" s="37" t="n">
        <v>12.976896</v>
      </c>
      <c r="I311" s="37" t="n">
        <v>124.013218</v>
      </c>
      <c r="J311" s="8" t="inlineStr">
        <is>
          <t>U</t>
        </is>
      </c>
      <c r="K311" s="36" t="inlineStr">
        <is>
          <t>Class 1-3 / Urban</t>
        </is>
      </c>
      <c r="L311" s="18" t="n">
        <v>7957</v>
      </c>
      <c r="M311" s="20" t="n">
        <v>4.58</v>
      </c>
      <c r="N311" s="18">
        <f>ROUND(L311/M311, 0)</f>
        <v/>
      </c>
      <c r="O311" s="18">
        <f>ROUND(N311*'Methodology &amp; Assumptions'!$B$8, 0)</f>
        <v/>
      </c>
      <c r="P311" s="8" t="inlineStr">
        <is>
          <t>Band n50 (1.5 GHz, 60 MHz)</t>
        </is>
      </c>
      <c r="Q311" s="38">
        <f>ROUNDUP(O311/'Methodology &amp; Assumptions'!$B$9, 0)</f>
        <v/>
      </c>
      <c r="R311" s="39" t="n">
        <v>1</v>
      </c>
      <c r="S311" s="21" t="n">
        <v>1.32</v>
      </c>
      <c r="T311" s="21" t="n">
        <v>0.03</v>
      </c>
      <c r="U311" s="36" t="inlineStr">
        <is>
          <t>Tier 1B (Micro Drop, 1-3 km)</t>
        </is>
      </c>
      <c r="V311" s="20" t="n">
        <v>74.5</v>
      </c>
      <c r="W311" s="20" t="n">
        <v>100</v>
      </c>
      <c r="X311" s="20" t="n">
        <v>28</v>
      </c>
      <c r="Y311" s="40">
        <f>ROUND((V311*'Methodology &amp; Assumptions'!$B$6)+(W311*'Methodology &amp; Assumptions'!$B$5)+(X311*'Methodology &amp; Assumptions'!$B$7), 2)</f>
        <v/>
      </c>
    </row>
    <row r="312" ht="19" customHeight="1">
      <c r="A312" s="41" t="n">
        <v>308</v>
      </c>
      <c r="B312" s="41" t="n">
        <v>2308</v>
      </c>
      <c r="C312" s="42" t="inlineStr">
        <is>
          <t>0501724029</t>
        </is>
      </c>
      <c r="D312" s="42" t="inlineStr">
        <is>
          <t>Region V (Bicol Region)</t>
        </is>
      </c>
      <c r="E312" s="42" t="inlineStr">
        <is>
          <t>Camarines Sur</t>
        </is>
      </c>
      <c r="F312" s="42" t="inlineStr">
        <is>
          <t>City of Naga</t>
        </is>
      </c>
      <c r="G312" s="42" t="inlineStr">
        <is>
          <t>Santa Cruz</t>
        </is>
      </c>
      <c r="H312" s="43" t="n">
        <v>13.625927</v>
      </c>
      <c r="I312" s="43" t="n">
        <v>123.182555</v>
      </c>
      <c r="J312" s="44" t="inlineStr">
        <is>
          <t>U</t>
        </is>
      </c>
      <c r="K312" s="42" t="inlineStr">
        <is>
          <t>Class 1-3 / Urban</t>
        </is>
      </c>
      <c r="L312" s="23" t="n">
        <v>7135</v>
      </c>
      <c r="M312" s="24" t="n">
        <v>4.9</v>
      </c>
      <c r="N312" s="23">
        <f>ROUND(L312/M312, 0)</f>
        <v/>
      </c>
      <c r="O312" s="23">
        <f>ROUND(N312*'Methodology &amp; Assumptions'!$B$8, 0)</f>
        <v/>
      </c>
      <c r="P312" s="44" t="inlineStr">
        <is>
          <t>Band n50 (1.5 GHz, 60 MHz)</t>
        </is>
      </c>
      <c r="Q312" s="38">
        <f>ROUNDUP(O312/'Methodology &amp; Assumptions'!$B$9, 0)</f>
        <v/>
      </c>
      <c r="R312" s="39" t="n">
        <v>1</v>
      </c>
      <c r="S312" s="25" t="n">
        <v>1.32</v>
      </c>
      <c r="T312" s="25" t="n">
        <v>1.06</v>
      </c>
      <c r="U312" s="42" t="inlineStr">
        <is>
          <t>Tier 1B (Micro Drop, 1-3 km)</t>
        </is>
      </c>
      <c r="V312" s="24" t="n">
        <v>74.5</v>
      </c>
      <c r="W312" s="24" t="n">
        <v>100</v>
      </c>
      <c r="X312" s="24" t="n">
        <v>28</v>
      </c>
      <c r="Y312" s="45">
        <f>ROUND((V312*'Methodology &amp; Assumptions'!$B$6)+(W312*'Methodology &amp; Assumptions'!$B$5)+(X312*'Methodology &amp; Assumptions'!$B$7), 2)</f>
        <v/>
      </c>
    </row>
    <row r="313" ht="19" customHeight="1">
      <c r="A313" s="35" t="n">
        <v>309</v>
      </c>
      <c r="B313" s="35" t="n">
        <v>2309</v>
      </c>
      <c r="C313" s="36" t="inlineStr">
        <is>
          <t>0304910004</t>
        </is>
      </c>
      <c r="D313" s="36" t="inlineStr">
        <is>
          <t>Region III (Central Luzon)</t>
        </is>
      </c>
      <c r="E313" s="36" t="inlineStr">
        <is>
          <t>Nueva Ecija</t>
        </is>
      </c>
      <c r="F313" s="36" t="inlineStr">
        <is>
          <t>General Tinio</t>
        </is>
      </c>
      <c r="G313" s="36" t="inlineStr">
        <is>
          <t>Padolina</t>
        </is>
      </c>
      <c r="H313" s="37" t="n">
        <v>15.346549</v>
      </c>
      <c r="I313" s="37" t="n">
        <v>121.028443</v>
      </c>
      <c r="J313" s="8" t="inlineStr">
        <is>
          <t>U</t>
        </is>
      </c>
      <c r="K313" s="36" t="inlineStr">
        <is>
          <t>Class 1-3 / Urban</t>
        </is>
      </c>
      <c r="L313" s="18" t="n">
        <v>5249</v>
      </c>
      <c r="M313" s="20" t="n">
        <v>4.32</v>
      </c>
      <c r="N313" s="18">
        <f>ROUND(L313/M313, 0)</f>
        <v/>
      </c>
      <c r="O313" s="18">
        <f>ROUND(N313*'Methodology &amp; Assumptions'!$B$8, 0)</f>
        <v/>
      </c>
      <c r="P313" s="8" t="inlineStr">
        <is>
          <t>Band n50 (1.5 GHz, 60 MHz)</t>
        </is>
      </c>
      <c r="Q313" s="38">
        <f>ROUNDUP(O313/'Methodology &amp; Assumptions'!$B$9, 0)</f>
        <v/>
      </c>
      <c r="R313" s="39" t="n">
        <v>1</v>
      </c>
      <c r="S313" s="21" t="n">
        <v>1.45</v>
      </c>
      <c r="T313" s="21" t="n">
        <v>8.470000000000001</v>
      </c>
      <c r="U313" s="36" t="inlineStr">
        <is>
          <t>Tier 1B (Micro Drop, 1-3 km)</t>
        </is>
      </c>
      <c r="V313" s="20" t="n">
        <v>61.6</v>
      </c>
      <c r="W313" s="20" t="n">
        <v>100</v>
      </c>
      <c r="X313" s="20" t="n">
        <v>43</v>
      </c>
      <c r="Y313" s="40">
        <f>ROUND((V313*'Methodology &amp; Assumptions'!$B$6)+(W313*'Methodology &amp; Assumptions'!$B$5)+(X313*'Methodology &amp; Assumptions'!$B$7), 2)</f>
        <v/>
      </c>
    </row>
    <row r="314" ht="19" customHeight="1">
      <c r="A314" s="41" t="n">
        <v>310</v>
      </c>
      <c r="B314" s="41" t="n">
        <v>2310</v>
      </c>
      <c r="C314" s="42" t="inlineStr">
        <is>
          <t>1430300124</t>
        </is>
      </c>
      <c r="D314" s="42" t="inlineStr">
        <is>
          <t>Cordillera Administrative Region (CAR)</t>
        </is>
      </c>
      <c r="E314" s="42" t="inlineStr">
        <is>
          <t>Benguet</t>
        </is>
      </c>
      <c r="F314" s="42" t="inlineStr">
        <is>
          <t>City of Baguio</t>
        </is>
      </c>
      <c r="G314" s="42" t="inlineStr">
        <is>
          <t>Quirino-Magsaysay, Upper</t>
        </is>
      </c>
      <c r="H314" s="43" t="n">
        <v>16.40577</v>
      </c>
      <c r="I314" s="43" t="n">
        <v>120.59182</v>
      </c>
      <c r="J314" s="44" t="inlineStr">
        <is>
          <t>R</t>
        </is>
      </c>
      <c r="K314" s="42" t="inlineStr">
        <is>
          <t>Class 1-3 / Urban</t>
        </is>
      </c>
      <c r="L314" s="23" t="n">
        <v>2243</v>
      </c>
      <c r="M314" s="24" t="n">
        <v>4.58</v>
      </c>
      <c r="N314" s="23">
        <f>ROUND(L314/M314, 0)</f>
        <v/>
      </c>
      <c r="O314" s="23">
        <f>ROUND(N314*'Methodology &amp; Assumptions'!$B$8, 0)</f>
        <v/>
      </c>
      <c r="P314" s="44" t="inlineStr">
        <is>
          <t>Band n50 (1.5 GHz, 60 MHz)</t>
        </is>
      </c>
      <c r="Q314" s="38">
        <f>ROUNDUP(O314/'Methodology &amp; Assumptions'!$B$9, 0)</f>
        <v/>
      </c>
      <c r="R314" s="39" t="n">
        <v>1</v>
      </c>
      <c r="S314" s="25" t="n">
        <v>0.6899999999999999</v>
      </c>
      <c r="T314" s="25" t="n">
        <v>0.12</v>
      </c>
      <c r="U314" s="42" t="inlineStr">
        <is>
          <t>Tier 1A (Direct Coloc, &lt;1 km)</t>
        </is>
      </c>
      <c r="V314" s="24" t="n">
        <v>89.5</v>
      </c>
      <c r="W314" s="24" t="n">
        <v>59.2</v>
      </c>
      <c r="X314" s="24" t="n">
        <v>58</v>
      </c>
      <c r="Y314" s="45">
        <f>ROUND((V314*'Methodology &amp; Assumptions'!$B$6)+(W314*'Methodology &amp; Assumptions'!$B$5)+(X314*'Methodology &amp; Assumptions'!$B$7), 2)</f>
        <v/>
      </c>
    </row>
    <row r="315" ht="19" customHeight="1">
      <c r="A315" s="35" t="n">
        <v>311</v>
      </c>
      <c r="B315" s="35" t="n">
        <v>2311</v>
      </c>
      <c r="C315" s="36" t="inlineStr">
        <is>
          <t>1401110015</t>
        </is>
      </c>
      <c r="D315" s="36" t="inlineStr">
        <is>
          <t>Cordillera Administrative Region (CAR)</t>
        </is>
      </c>
      <c r="E315" s="36" t="inlineStr">
        <is>
          <t>Benguet</t>
        </is>
      </c>
      <c r="F315" s="36" t="inlineStr">
        <is>
          <t>La Trinidad</t>
        </is>
      </c>
      <c r="G315" s="36" t="inlineStr">
        <is>
          <t>Tawang</t>
        </is>
      </c>
      <c r="H315" s="37" t="n">
        <v>16.45851</v>
      </c>
      <c r="I315" s="37" t="n">
        <v>120.60424</v>
      </c>
      <c r="J315" s="8" t="inlineStr">
        <is>
          <t>U</t>
        </is>
      </c>
      <c r="K315" s="36" t="inlineStr">
        <is>
          <t>Class 1-3 / Urban</t>
        </is>
      </c>
      <c r="L315" s="18" t="n">
        <v>8445</v>
      </c>
      <c r="M315" s="20" t="n">
        <v>4.58</v>
      </c>
      <c r="N315" s="18">
        <f>ROUND(L315/M315, 0)</f>
        <v/>
      </c>
      <c r="O315" s="18">
        <f>ROUND(N315*'Methodology &amp; Assumptions'!$B$8, 0)</f>
        <v/>
      </c>
      <c r="P315" s="8" t="inlineStr">
        <is>
          <t>Band n50 (1.5 GHz, 60 MHz)</t>
        </is>
      </c>
      <c r="Q315" s="38">
        <f>ROUNDUP(O315/'Methodology &amp; Assumptions'!$B$9, 0)</f>
        <v/>
      </c>
      <c r="R315" s="39" t="n">
        <v>1</v>
      </c>
      <c r="S315" s="21" t="n">
        <v>1.32</v>
      </c>
      <c r="T315" s="21" t="n">
        <v>0.44</v>
      </c>
      <c r="U315" s="36" t="inlineStr">
        <is>
          <t>Tier 1B (Micro Drop, 1-3 km)</t>
        </is>
      </c>
      <c r="V315" s="20" t="n">
        <v>74.40000000000001</v>
      </c>
      <c r="W315" s="20" t="n">
        <v>100</v>
      </c>
      <c r="X315" s="20" t="n">
        <v>28</v>
      </c>
      <c r="Y315" s="40">
        <f>ROUND((V315*'Methodology &amp; Assumptions'!$B$6)+(W315*'Methodology &amp; Assumptions'!$B$5)+(X315*'Methodology &amp; Assumptions'!$B$7), 2)</f>
        <v/>
      </c>
    </row>
    <row r="316" ht="19" customHeight="1">
      <c r="A316" s="41" t="n">
        <v>312</v>
      </c>
      <c r="B316" s="41" t="n">
        <v>2312</v>
      </c>
      <c r="C316" s="42" t="inlineStr">
        <is>
          <t>1108204003</t>
        </is>
      </c>
      <c r="D316" s="42" t="inlineStr">
        <is>
          <t>Region XI (Davao Region)</t>
        </is>
      </c>
      <c r="E316" s="42" t="inlineStr">
        <is>
          <t>Davao de Oro</t>
        </is>
      </c>
      <c r="F316" s="42" t="inlineStr">
        <is>
          <t>Maco</t>
        </is>
      </c>
      <c r="G316" s="42" t="inlineStr">
        <is>
          <t>Binuangan</t>
        </is>
      </c>
      <c r="H316" s="43" t="n">
        <v>7.36829</v>
      </c>
      <c r="I316" s="43" t="n">
        <v>125.857986</v>
      </c>
      <c r="J316" s="44" t="inlineStr">
        <is>
          <t>U</t>
        </is>
      </c>
      <c r="K316" s="42" t="inlineStr">
        <is>
          <t>Class 1-3 / Urban</t>
        </is>
      </c>
      <c r="L316" s="23" t="n">
        <v>6764</v>
      </c>
      <c r="M316" s="24" t="n">
        <v>4.1</v>
      </c>
      <c r="N316" s="23">
        <f>ROUND(L316/M316, 0)</f>
        <v/>
      </c>
      <c r="O316" s="23">
        <f>ROUND(N316*'Methodology &amp; Assumptions'!$B$8, 0)</f>
        <v/>
      </c>
      <c r="P316" s="44" t="inlineStr">
        <is>
          <t>Band n50 (1.5 GHz, 60 MHz)</t>
        </is>
      </c>
      <c r="Q316" s="38">
        <f>ROUNDUP(O316/'Methodology &amp; Assumptions'!$B$9, 0)</f>
        <v/>
      </c>
      <c r="R316" s="39" t="n">
        <v>1</v>
      </c>
      <c r="S316" s="25" t="n">
        <v>1.32</v>
      </c>
      <c r="T316" s="25" t="n">
        <v>0.33</v>
      </c>
      <c r="U316" s="42" t="inlineStr">
        <is>
          <t>Tier 1B (Micro Drop, 1-3 km)</t>
        </is>
      </c>
      <c r="V316" s="24" t="n">
        <v>74.40000000000001</v>
      </c>
      <c r="W316" s="24" t="n">
        <v>100</v>
      </c>
      <c r="X316" s="24" t="n">
        <v>28</v>
      </c>
      <c r="Y316" s="45">
        <f>ROUND((V316*'Methodology &amp; Assumptions'!$B$6)+(W316*'Methodology &amp; Assumptions'!$B$5)+(X316*'Methodology &amp; Assumptions'!$B$7), 2)</f>
        <v/>
      </c>
    </row>
    <row r="317" ht="19" customHeight="1">
      <c r="A317" s="35" t="n">
        <v>313</v>
      </c>
      <c r="B317" s="35" t="n">
        <v>2313</v>
      </c>
      <c r="C317" s="36" t="inlineStr">
        <is>
          <t>0105528004</t>
        </is>
      </c>
      <c r="D317" s="36" t="inlineStr">
        <is>
          <t>Region I (Ilocos Region)</t>
        </is>
      </c>
      <c r="E317" s="36" t="inlineStr">
        <is>
          <t>Pangasinan</t>
        </is>
      </c>
      <c r="F317" s="36" t="inlineStr">
        <is>
          <t>Mapandan</t>
        </is>
      </c>
      <c r="G317" s="36" t="inlineStr">
        <is>
          <t>Baloling</t>
        </is>
      </c>
      <c r="H317" s="37" t="n">
        <v>16.038694</v>
      </c>
      <c r="I317" s="37" t="n">
        <v>120.455841</v>
      </c>
      <c r="J317" s="8" t="inlineStr">
        <is>
          <t>R</t>
        </is>
      </c>
      <c r="K317" s="36" t="inlineStr">
        <is>
          <t>Class 1-3 / Urban</t>
        </is>
      </c>
      <c r="L317" s="18" t="n">
        <v>4393</v>
      </c>
      <c r="M317" s="20" t="n">
        <v>4.39</v>
      </c>
      <c r="N317" s="18">
        <f>ROUND(L317/M317, 0)</f>
        <v/>
      </c>
      <c r="O317" s="18">
        <f>ROUND(N317*'Methodology &amp; Assumptions'!$B$8, 0)</f>
        <v/>
      </c>
      <c r="P317" s="8" t="inlineStr">
        <is>
          <t>Band n50 (1.5 GHz, 60 MHz)</t>
        </is>
      </c>
      <c r="Q317" s="38">
        <f>ROUNDUP(O317/'Methodology &amp; Assumptions'!$B$9, 0)</f>
        <v/>
      </c>
      <c r="R317" s="39" t="n">
        <v>1</v>
      </c>
      <c r="S317" s="21" t="n">
        <v>3.08</v>
      </c>
      <c r="T317" s="21" t="n">
        <v>5.68</v>
      </c>
      <c r="U317" s="36" t="inlineStr">
        <is>
          <t>Tier 2 (Fiber Corridor / Lateral, 3-5 km)</t>
        </is>
      </c>
      <c r="V317" s="20" t="n">
        <v>35.8</v>
      </c>
      <c r="W317" s="20" t="n">
        <v>100</v>
      </c>
      <c r="X317" s="20" t="n">
        <v>73</v>
      </c>
      <c r="Y317" s="40">
        <f>ROUND((V317*'Methodology &amp; Assumptions'!$B$6)+(W317*'Methodology &amp; Assumptions'!$B$5)+(X317*'Methodology &amp; Assumptions'!$B$7), 2)</f>
        <v/>
      </c>
    </row>
    <row r="318" ht="19" customHeight="1">
      <c r="A318" s="41" t="n">
        <v>314</v>
      </c>
      <c r="B318" s="41" t="n">
        <v>2314</v>
      </c>
      <c r="C318" s="42" t="inlineStr">
        <is>
          <t>0603044010</t>
        </is>
      </c>
      <c r="D318" s="42" t="inlineStr">
        <is>
          <t>Region VI (Western Visayas)</t>
        </is>
      </c>
      <c r="E318" s="42" t="inlineStr">
        <is>
          <t>Iloilo</t>
        </is>
      </c>
      <c r="F318" s="42" t="inlineStr">
        <is>
          <t>Sara</t>
        </is>
      </c>
      <c r="G318" s="42" t="inlineStr">
        <is>
          <t>Aspera</t>
        </is>
      </c>
      <c r="H318" s="43" t="n">
        <v>11.255902</v>
      </c>
      <c r="I318" s="43" t="n">
        <v>123.00979</v>
      </c>
      <c r="J318" s="44" t="inlineStr">
        <is>
          <t>R</t>
        </is>
      </c>
      <c r="K318" s="42" t="inlineStr">
        <is>
          <t>Class 1-3 / Urban</t>
        </is>
      </c>
      <c r="L318" s="23" t="n">
        <v>2065</v>
      </c>
      <c r="M318" s="24" t="n">
        <v>4.39</v>
      </c>
      <c r="N318" s="23">
        <f>ROUND(L318/M318, 0)</f>
        <v/>
      </c>
      <c r="O318" s="23">
        <f>ROUND(N318*'Methodology &amp; Assumptions'!$B$8, 0)</f>
        <v/>
      </c>
      <c r="P318" s="44" t="inlineStr">
        <is>
          <t>Band n50 (1.5 GHz, 60 MHz)</t>
        </is>
      </c>
      <c r="Q318" s="38">
        <f>ROUNDUP(O318/'Methodology &amp; Assumptions'!$B$9, 0)</f>
        <v/>
      </c>
      <c r="R318" s="39" t="n">
        <v>1</v>
      </c>
      <c r="S318" s="25" t="n">
        <v>0.78</v>
      </c>
      <c r="T318" s="25" t="n">
        <v>0.08</v>
      </c>
      <c r="U318" s="42" t="inlineStr">
        <is>
          <t>Tier 1A (Direct Coloc, &lt;1 km)</t>
        </is>
      </c>
      <c r="V318" s="24" t="n">
        <v>87.09999999999999</v>
      </c>
      <c r="W318" s="24" t="n">
        <v>61.6</v>
      </c>
      <c r="X318" s="24" t="n">
        <v>58</v>
      </c>
      <c r="Y318" s="45">
        <f>ROUND((V318*'Methodology &amp; Assumptions'!$B$6)+(W318*'Methodology &amp; Assumptions'!$B$5)+(X318*'Methodology &amp; Assumptions'!$B$7), 2)</f>
        <v/>
      </c>
    </row>
    <row r="319" ht="19" customHeight="1">
      <c r="A319" s="35" t="n">
        <v>315</v>
      </c>
      <c r="B319" s="35" t="n">
        <v>2315</v>
      </c>
      <c r="C319" s="36" t="inlineStr">
        <is>
          <t>0102820002</t>
        </is>
      </c>
      <c r="D319" s="36" t="inlineStr">
        <is>
          <t>Region I (Ilocos Region)</t>
        </is>
      </c>
      <c r="E319" s="36" t="inlineStr">
        <is>
          <t>Ilocos Norte</t>
        </is>
      </c>
      <c r="F319" s="36" t="inlineStr">
        <is>
          <t>San Nicolas</t>
        </is>
      </c>
      <c r="G319" s="36" t="inlineStr">
        <is>
          <t>San Ildefonso</t>
        </is>
      </c>
      <c r="H319" s="37" t="n">
        <v>18.173457</v>
      </c>
      <c r="I319" s="37" t="n">
        <v>120.597695</v>
      </c>
      <c r="J319" s="8" t="inlineStr">
        <is>
          <t>R</t>
        </is>
      </c>
      <c r="K319" s="36" t="inlineStr">
        <is>
          <t>Class 1-3 / Urban</t>
        </is>
      </c>
      <c r="L319" s="18" t="n">
        <v>1743</v>
      </c>
      <c r="M319" s="20" t="n">
        <v>4.35</v>
      </c>
      <c r="N319" s="18">
        <f>ROUND(L319/M319, 0)</f>
        <v/>
      </c>
      <c r="O319" s="18">
        <f>ROUND(N319*'Methodology &amp; Assumptions'!$B$8, 0)</f>
        <v/>
      </c>
      <c r="P319" s="8" t="inlineStr">
        <is>
          <t>Band n50 (1.5 GHz, 60 MHz)</t>
        </is>
      </c>
      <c r="Q319" s="38">
        <f>ROUNDUP(O319/'Methodology &amp; Assumptions'!$B$9, 0)</f>
        <v/>
      </c>
      <c r="R319" s="39" t="n">
        <v>1</v>
      </c>
      <c r="S319" s="21" t="n">
        <v>0.57</v>
      </c>
      <c r="T319" s="21" t="n">
        <v>0.47</v>
      </c>
      <c r="U319" s="36" t="inlineStr">
        <is>
          <t>Tier 1A (Direct Coloc, &lt;1 km)</t>
        </is>
      </c>
      <c r="V319" s="20" t="n">
        <v>92.7</v>
      </c>
      <c r="W319" s="20" t="n">
        <v>56</v>
      </c>
      <c r="X319" s="20" t="n">
        <v>58</v>
      </c>
      <c r="Y319" s="40">
        <f>ROUND((V319*'Methodology &amp; Assumptions'!$B$6)+(W319*'Methodology &amp; Assumptions'!$B$5)+(X319*'Methodology &amp; Assumptions'!$B$7), 2)</f>
        <v/>
      </c>
    </row>
    <row r="320" ht="19" customHeight="1">
      <c r="A320" s="41" t="n">
        <v>316</v>
      </c>
      <c r="B320" s="41" t="n">
        <v>2316</v>
      </c>
      <c r="C320" s="42" t="inlineStr">
        <is>
          <t>0730600021</t>
        </is>
      </c>
      <c r="D320" s="42" t="inlineStr">
        <is>
          <t>Region VII (Central Visayas)</t>
        </is>
      </c>
      <c r="E320" s="42" t="inlineStr">
        <is>
          <t>Cebu</t>
        </is>
      </c>
      <c r="F320" s="42" t="inlineStr">
        <is>
          <t>City of Cebu</t>
        </is>
      </c>
      <c r="G320" s="42" t="inlineStr">
        <is>
          <t>Carreta</t>
        </is>
      </c>
      <c r="H320" s="43" t="n">
        <v>10.308021</v>
      </c>
      <c r="I320" s="43" t="n">
        <v>123.908603</v>
      </c>
      <c r="J320" s="44" t="inlineStr">
        <is>
          <t>U</t>
        </is>
      </c>
      <c r="K320" s="42" t="inlineStr">
        <is>
          <t>Class 1-3 / Urban</t>
        </is>
      </c>
      <c r="L320" s="23" t="n">
        <v>11398</v>
      </c>
      <c r="M320" s="24" t="n">
        <v>4.42</v>
      </c>
      <c r="N320" s="23">
        <f>ROUND(L320/M320, 0)</f>
        <v/>
      </c>
      <c r="O320" s="23">
        <f>ROUND(N320*'Methodology &amp; Assumptions'!$B$8, 0)</f>
        <v/>
      </c>
      <c r="P320" s="44" t="inlineStr">
        <is>
          <t>Band n50 (1.5 GHz, 60 MHz)</t>
        </is>
      </c>
      <c r="Q320" s="38">
        <f>ROUNDUP(O320/'Methodology &amp; Assumptions'!$B$9, 0)</f>
        <v/>
      </c>
      <c r="R320" s="39" t="n">
        <v>1</v>
      </c>
      <c r="S320" s="25" t="n">
        <v>1.32</v>
      </c>
      <c r="T320" s="25" t="n">
        <v>0.32</v>
      </c>
      <c r="U320" s="42" t="inlineStr">
        <is>
          <t>Tier 1B (Micro Drop, 1-3 km)</t>
        </is>
      </c>
      <c r="V320" s="24" t="n">
        <v>74.40000000000001</v>
      </c>
      <c r="W320" s="24" t="n">
        <v>100</v>
      </c>
      <c r="X320" s="24" t="n">
        <v>28</v>
      </c>
      <c r="Y320" s="45">
        <f>ROUND((V320*'Methodology &amp; Assumptions'!$B$6)+(W320*'Methodology &amp; Assumptions'!$B$5)+(X320*'Methodology &amp; Assumptions'!$B$7), 2)</f>
        <v/>
      </c>
    </row>
    <row r="321" ht="19" customHeight="1">
      <c r="A321" s="35" t="n">
        <v>317</v>
      </c>
      <c r="B321" s="35" t="n">
        <v>2317</v>
      </c>
      <c r="C321" s="36" t="inlineStr">
        <is>
          <t>1004323006</t>
        </is>
      </c>
      <c r="D321" s="36" t="inlineStr">
        <is>
          <t>Region X (Northern Mindanao)</t>
        </is>
      </c>
      <c r="E321" s="36" t="inlineStr">
        <is>
          <t>Misamis Oriental</t>
        </is>
      </c>
      <c r="F321" s="36" t="inlineStr">
        <is>
          <t>Sugbongcogon</t>
        </is>
      </c>
      <c r="G321" s="36" t="inlineStr">
        <is>
          <t>Mangga</t>
        </is>
      </c>
      <c r="H321" s="37" t="n">
        <v>8.960699999999999</v>
      </c>
      <c r="I321" s="37" t="n">
        <v>124.782664</v>
      </c>
      <c r="J321" s="8" t="inlineStr">
        <is>
          <t>R</t>
        </is>
      </c>
      <c r="K321" s="36" t="inlineStr">
        <is>
          <t>5th</t>
        </is>
      </c>
      <c r="L321" s="18" t="n">
        <v>1503</v>
      </c>
      <c r="M321" s="20" t="n">
        <v>4.82</v>
      </c>
      <c r="N321" s="18">
        <f>ROUND(L321/M321, 0)</f>
        <v/>
      </c>
      <c r="O321" s="18">
        <f>ROUND(N321*'Methodology &amp; Assumptions'!$B$8, 0)</f>
        <v/>
      </c>
      <c r="P321" s="8" t="inlineStr">
        <is>
          <t>Band n50 (1.5 GHz, 60 MHz)</t>
        </is>
      </c>
      <c r="Q321" s="38">
        <f>ROUNDUP(O321/'Methodology &amp; Assumptions'!$B$9, 0)</f>
        <v/>
      </c>
      <c r="R321" s="39" t="n">
        <v>1</v>
      </c>
      <c r="S321" s="21" t="n">
        <v>0.8</v>
      </c>
      <c r="T321" s="21" t="n">
        <v>0.8</v>
      </c>
      <c r="U321" s="36" t="inlineStr">
        <is>
          <t>Tier 1A (Direct Coloc, &lt;1 km)</t>
        </is>
      </c>
      <c r="V321" s="20" t="n">
        <v>86.7</v>
      </c>
      <c r="W321" s="20" t="n">
        <v>49.1</v>
      </c>
      <c r="X321" s="20" t="n">
        <v>73</v>
      </c>
      <c r="Y321" s="40">
        <f>ROUND((V321*'Methodology &amp; Assumptions'!$B$6)+(W321*'Methodology &amp; Assumptions'!$B$5)+(X321*'Methodology &amp; Assumptions'!$B$7), 2)</f>
        <v/>
      </c>
    </row>
    <row r="322" ht="19" customHeight="1">
      <c r="A322" s="41" t="n">
        <v>318</v>
      </c>
      <c r="B322" s="41" t="n">
        <v>2318</v>
      </c>
      <c r="C322" s="42" t="inlineStr">
        <is>
          <t>0501608026</t>
        </is>
      </c>
      <c r="D322" s="42" t="inlineStr">
        <is>
          <t>Region V (Bicol Region)</t>
        </is>
      </c>
      <c r="E322" s="42" t="inlineStr">
        <is>
          <t>Camarines Norte</t>
        </is>
      </c>
      <c r="F322" s="42" t="inlineStr">
        <is>
          <t>Paracale</t>
        </is>
      </c>
      <c r="G322" s="42" t="inlineStr">
        <is>
          <t>Tawig</t>
        </is>
      </c>
      <c r="H322" s="43" t="n">
        <v>14.250839</v>
      </c>
      <c r="I322" s="43" t="n">
        <v>122.753069</v>
      </c>
      <c r="J322" s="44" t="inlineStr">
        <is>
          <t>R</t>
        </is>
      </c>
      <c r="K322" s="42" t="inlineStr">
        <is>
          <t>Class 1-3 / Urban</t>
        </is>
      </c>
      <c r="L322" s="23" t="n">
        <v>4142</v>
      </c>
      <c r="M322" s="24" t="n">
        <v>4.4</v>
      </c>
      <c r="N322" s="23">
        <f>ROUND(L322/M322, 0)</f>
        <v/>
      </c>
      <c r="O322" s="23">
        <f>ROUND(N322*'Methodology &amp; Assumptions'!$B$8, 0)</f>
        <v/>
      </c>
      <c r="P322" s="44" t="inlineStr">
        <is>
          <t>Band n50 (1.5 GHz, 60 MHz)</t>
        </is>
      </c>
      <c r="Q322" s="38">
        <f>ROUNDUP(O322/'Methodology &amp; Assumptions'!$B$9, 0)</f>
        <v/>
      </c>
      <c r="R322" s="39" t="n">
        <v>1</v>
      </c>
      <c r="S322" s="25" t="n">
        <v>2.11</v>
      </c>
      <c r="T322" s="25" t="n">
        <v>6.8</v>
      </c>
      <c r="U322" s="42" t="inlineStr">
        <is>
          <t>Tier 1B (Micro Drop, 1-3 km)</t>
        </is>
      </c>
      <c r="V322" s="24" t="n">
        <v>49.4</v>
      </c>
      <c r="W322" s="24" t="n">
        <v>99.2</v>
      </c>
      <c r="X322" s="24" t="n">
        <v>58</v>
      </c>
      <c r="Y322" s="45">
        <f>ROUND((V322*'Methodology &amp; Assumptions'!$B$6)+(W322*'Methodology &amp; Assumptions'!$B$5)+(X322*'Methodology &amp; Assumptions'!$B$7), 2)</f>
        <v/>
      </c>
    </row>
    <row r="323" ht="19" customHeight="1">
      <c r="A323" s="35" t="n">
        <v>319</v>
      </c>
      <c r="B323" s="35" t="n">
        <v>2319</v>
      </c>
      <c r="C323" s="36" t="inlineStr">
        <is>
          <t>0402105076</t>
        </is>
      </c>
      <c r="D323" s="36" t="inlineStr">
        <is>
          <t>Region IV-A (CALABARZON)</t>
        </is>
      </c>
      <c r="E323" s="36" t="inlineStr">
        <is>
          <t>Cavite</t>
        </is>
      </c>
      <c r="F323" s="36" t="inlineStr">
        <is>
          <t>City of Cavite</t>
        </is>
      </c>
      <c r="G323" s="36" t="inlineStr">
        <is>
          <t>Barangay 48-A</t>
        </is>
      </c>
      <c r="H323" s="37" t="n">
        <v>14.484795</v>
      </c>
      <c r="I323" s="37" t="n">
        <v>120.892595</v>
      </c>
      <c r="J323" s="8" t="inlineStr">
        <is>
          <t>R</t>
        </is>
      </c>
      <c r="K323" s="36" t="inlineStr">
        <is>
          <t>Class 1-3 / Urban</t>
        </is>
      </c>
      <c r="L323" s="18" t="n">
        <v>3274</v>
      </c>
      <c r="M323" s="20" t="n">
        <v>4.49</v>
      </c>
      <c r="N323" s="18">
        <f>ROUND(L323/M323, 0)</f>
        <v/>
      </c>
      <c r="O323" s="18">
        <f>ROUND(N323*'Methodology &amp; Assumptions'!$B$8, 0)</f>
        <v/>
      </c>
      <c r="P323" s="8" t="inlineStr">
        <is>
          <t>Band n50 (1.5 GHz, 60 MHz)</t>
        </is>
      </c>
      <c r="Q323" s="38">
        <f>ROUNDUP(O323/'Methodology &amp; Assumptions'!$B$9, 0)</f>
        <v/>
      </c>
      <c r="R323" s="39" t="n">
        <v>1</v>
      </c>
      <c r="S323" s="21" t="n">
        <v>1.24</v>
      </c>
      <c r="T323" s="21" t="n">
        <v>4.86</v>
      </c>
      <c r="U323" s="36" t="inlineStr">
        <is>
          <t>Tier 1B (Micro Drop, 1-3 km)</t>
        </is>
      </c>
      <c r="V323" s="20" t="n">
        <v>66.2</v>
      </c>
      <c r="W323" s="20" t="n">
        <v>82.40000000000001</v>
      </c>
      <c r="X323" s="20" t="n">
        <v>58</v>
      </c>
      <c r="Y323" s="40">
        <f>ROUND((V323*'Methodology &amp; Assumptions'!$B$6)+(W323*'Methodology &amp; Assumptions'!$B$5)+(X323*'Methodology &amp; Assumptions'!$B$7), 2)</f>
        <v/>
      </c>
    </row>
    <row r="324" ht="19" customHeight="1">
      <c r="A324" s="41" t="n">
        <v>320</v>
      </c>
      <c r="B324" s="41" t="n">
        <v>2320</v>
      </c>
      <c r="C324" s="42" t="inlineStr">
        <is>
          <t>0403404017</t>
        </is>
      </c>
      <c r="D324" s="42" t="inlineStr">
        <is>
          <t>Region IV-A (CALABARZON)</t>
        </is>
      </c>
      <c r="E324" s="42" t="inlineStr">
        <is>
          <t>Laguna</t>
        </is>
      </c>
      <c r="F324" s="42" t="inlineStr">
        <is>
          <t>City of Cabuyao</t>
        </is>
      </c>
      <c r="G324" s="42" t="inlineStr">
        <is>
          <t>Barangay Uno</t>
        </is>
      </c>
      <c r="H324" s="43" t="n">
        <v>14.28361</v>
      </c>
      <c r="I324" s="43" t="n">
        <v>121.122665</v>
      </c>
      <c r="J324" s="44" t="inlineStr">
        <is>
          <t>U</t>
        </is>
      </c>
      <c r="K324" s="42" t="inlineStr">
        <is>
          <t>Class 1-3 / Urban</t>
        </is>
      </c>
      <c r="L324" s="23" t="n">
        <v>3690</v>
      </c>
      <c r="M324" s="24" t="n">
        <v>4.2</v>
      </c>
      <c r="N324" s="23">
        <f>ROUND(L324/M324, 0)</f>
        <v/>
      </c>
      <c r="O324" s="23">
        <f>ROUND(N324*'Methodology &amp; Assumptions'!$B$8, 0)</f>
        <v/>
      </c>
      <c r="P324" s="44" t="inlineStr">
        <is>
          <t>Band n50 (1.5 GHz, 60 MHz)</t>
        </is>
      </c>
      <c r="Q324" s="38">
        <f>ROUNDUP(O324/'Methodology &amp; Assumptions'!$B$9, 0)</f>
        <v/>
      </c>
      <c r="R324" s="39" t="n">
        <v>1</v>
      </c>
      <c r="S324" s="25" t="n">
        <v>1.07</v>
      </c>
      <c r="T324" s="25" t="n">
        <v>0.97</v>
      </c>
      <c r="U324" s="42" t="inlineStr">
        <is>
          <t>Tier 1B (Micro Drop, 1-3 km)</t>
        </is>
      </c>
      <c r="V324" s="24" t="n">
        <v>79.90000000000001</v>
      </c>
      <c r="W324" s="24" t="n">
        <v>94.40000000000001</v>
      </c>
      <c r="X324" s="24" t="n">
        <v>28</v>
      </c>
      <c r="Y324" s="45">
        <f>ROUND((V324*'Methodology &amp; Assumptions'!$B$6)+(W324*'Methodology &amp; Assumptions'!$B$5)+(X324*'Methodology &amp; Assumptions'!$B$7), 2)</f>
        <v/>
      </c>
    </row>
    <row r="325" ht="19" customHeight="1">
      <c r="A325" s="35" t="n">
        <v>321</v>
      </c>
      <c r="B325" s="35" t="n">
        <v>2321</v>
      </c>
      <c r="C325" s="36" t="inlineStr">
        <is>
          <t>0301409015</t>
        </is>
      </c>
      <c r="D325" s="36" t="inlineStr">
        <is>
          <t>Region III (Central Luzon)</t>
        </is>
      </c>
      <c r="E325" s="36" t="inlineStr">
        <is>
          <t>Bulacan</t>
        </is>
      </c>
      <c r="F325" s="36" t="inlineStr">
        <is>
          <t>Hagonoy</t>
        </is>
      </c>
      <c r="G325" s="36" t="inlineStr">
        <is>
          <t>San Pablo</t>
        </is>
      </c>
      <c r="H325" s="37" t="n">
        <v>14.834117</v>
      </c>
      <c r="I325" s="37" t="n">
        <v>120.751396</v>
      </c>
      <c r="J325" s="8" t="inlineStr">
        <is>
          <t>U</t>
        </is>
      </c>
      <c r="K325" s="36" t="inlineStr">
        <is>
          <t>Class 1-3 / Urban</t>
        </is>
      </c>
      <c r="L325" s="18" t="n">
        <v>3470</v>
      </c>
      <c r="M325" s="20" t="n">
        <v>4.1</v>
      </c>
      <c r="N325" s="18">
        <f>ROUND(L325/M325, 0)</f>
        <v/>
      </c>
      <c r="O325" s="18">
        <f>ROUND(N325*'Methodology &amp; Assumptions'!$B$8, 0)</f>
        <v/>
      </c>
      <c r="P325" s="8" t="inlineStr">
        <is>
          <t>Band n50 (1.5 GHz, 60 MHz)</t>
        </is>
      </c>
      <c r="Q325" s="38">
        <f>ROUNDUP(O325/'Methodology &amp; Assumptions'!$B$9, 0)</f>
        <v/>
      </c>
      <c r="R325" s="39" t="n">
        <v>1</v>
      </c>
      <c r="S325" s="21" t="n">
        <v>0.57</v>
      </c>
      <c r="T325" s="21" t="n">
        <v>3.12</v>
      </c>
      <c r="U325" s="36" t="inlineStr">
        <is>
          <t>Tier 1A (Direct Coloc, &lt;1 km)</t>
        </is>
      </c>
      <c r="V325" s="20" t="n">
        <v>82.59999999999999</v>
      </c>
      <c r="W325" s="20" t="n">
        <v>91.7</v>
      </c>
      <c r="X325" s="20" t="n">
        <v>28</v>
      </c>
      <c r="Y325" s="40">
        <f>ROUND((V325*'Methodology &amp; Assumptions'!$B$6)+(W325*'Methodology &amp; Assumptions'!$B$5)+(X325*'Methodology &amp; Assumptions'!$B$7), 2)</f>
        <v/>
      </c>
    </row>
    <row r="326" ht="19" customHeight="1">
      <c r="A326" s="41" t="n">
        <v>322</v>
      </c>
      <c r="B326" s="41" t="n">
        <v>2322</v>
      </c>
      <c r="C326" s="42" t="inlineStr">
        <is>
          <t>0305420003</t>
        </is>
      </c>
      <c r="D326" s="42" t="inlineStr">
        <is>
          <t>Region III (Central Luzon)</t>
        </is>
      </c>
      <c r="E326" s="42" t="inlineStr">
        <is>
          <t>Pampanga</t>
        </is>
      </c>
      <c r="F326" s="42" t="inlineStr">
        <is>
          <t>Santa Rita</t>
        </is>
      </c>
      <c r="G326" s="42" t="inlineStr">
        <is>
          <t>San Agustin</t>
        </is>
      </c>
      <c r="H326" s="43" t="n">
        <v>14.990169</v>
      </c>
      <c r="I326" s="43" t="n">
        <v>120.605661</v>
      </c>
      <c r="J326" s="44" t="inlineStr">
        <is>
          <t>R</t>
        </is>
      </c>
      <c r="K326" s="42" t="inlineStr">
        <is>
          <t>2nd</t>
        </is>
      </c>
      <c r="L326" s="23" t="n">
        <v>3792</v>
      </c>
      <c r="M326" s="24" t="n">
        <v>4.52</v>
      </c>
      <c r="N326" s="23">
        <f>ROUND(L326/M326, 0)</f>
        <v/>
      </c>
      <c r="O326" s="23">
        <f>ROUND(N326*'Methodology &amp; Assumptions'!$B$8, 0)</f>
        <v/>
      </c>
      <c r="P326" s="44" t="inlineStr">
        <is>
          <t>Band n50 (1.5 GHz, 60 MHz)</t>
        </is>
      </c>
      <c r="Q326" s="38">
        <f>ROUNDUP(O326/'Methodology &amp; Assumptions'!$B$9, 0)</f>
        <v/>
      </c>
      <c r="R326" s="39" t="n">
        <v>1</v>
      </c>
      <c r="S326" s="25" t="n">
        <v>3.19</v>
      </c>
      <c r="T326" s="25" t="n">
        <v>1.28</v>
      </c>
      <c r="U326" s="42" t="inlineStr">
        <is>
          <t>Tier 2 (Fiber Corridor / Lateral, 3-5 km)</t>
        </is>
      </c>
      <c r="V326" s="24" t="n">
        <v>44.5</v>
      </c>
      <c r="W326" s="24" t="n">
        <v>91.2</v>
      </c>
      <c r="X326" s="24" t="n">
        <v>73</v>
      </c>
      <c r="Y326" s="45">
        <f>ROUND((V326*'Methodology &amp; Assumptions'!$B$6)+(W326*'Methodology &amp; Assumptions'!$B$5)+(X326*'Methodology &amp; Assumptions'!$B$7), 2)</f>
        <v/>
      </c>
    </row>
    <row r="327" ht="19" customHeight="1">
      <c r="A327" s="35" t="n">
        <v>323</v>
      </c>
      <c r="B327" s="35" t="n">
        <v>2323</v>
      </c>
      <c r="C327" s="36" t="inlineStr">
        <is>
          <t>0603043041</t>
        </is>
      </c>
      <c r="D327" s="36" t="inlineStr">
        <is>
          <t>Region VI (Western Visayas)</t>
        </is>
      </c>
      <c r="E327" s="36" t="inlineStr">
        <is>
          <t>Iloilo</t>
        </is>
      </c>
      <c r="F327" s="36" t="inlineStr">
        <is>
          <t>Santa Barbara</t>
        </is>
      </c>
      <c r="G327" s="36" t="inlineStr">
        <is>
          <t>Lanag</t>
        </is>
      </c>
      <c r="H327" s="37" t="n">
        <v>10.832469</v>
      </c>
      <c r="I327" s="37" t="n">
        <v>122.541332</v>
      </c>
      <c r="J327" s="8" t="inlineStr">
        <is>
          <t>R</t>
        </is>
      </c>
      <c r="K327" s="36" t="inlineStr">
        <is>
          <t>Class 1-3 / Urban</t>
        </is>
      </c>
      <c r="L327" s="18" t="n">
        <v>2276</v>
      </c>
      <c r="M327" s="20" t="n">
        <v>4.39</v>
      </c>
      <c r="N327" s="18">
        <f>ROUND(L327/M327, 0)</f>
        <v/>
      </c>
      <c r="O327" s="18">
        <f>ROUND(N327*'Methodology &amp; Assumptions'!$B$8, 0)</f>
        <v/>
      </c>
      <c r="P327" s="8" t="inlineStr">
        <is>
          <t>Band n50 (1.5 GHz, 60 MHz)</t>
        </is>
      </c>
      <c r="Q327" s="38">
        <f>ROUNDUP(O327/'Methodology &amp; Assumptions'!$B$9, 0)</f>
        <v/>
      </c>
      <c r="R327" s="39" t="n">
        <v>1</v>
      </c>
      <c r="S327" s="21" t="n">
        <v>0.93</v>
      </c>
      <c r="T327" s="21" t="n">
        <v>0.93</v>
      </c>
      <c r="U327" s="36" t="inlineStr">
        <is>
          <t>Tier 1A (Direct Coloc, &lt;1 km)</t>
        </is>
      </c>
      <c r="V327" s="20" t="n">
        <v>83.3</v>
      </c>
      <c r="W327" s="20" t="n">
        <v>65.3</v>
      </c>
      <c r="X327" s="20" t="n">
        <v>58</v>
      </c>
      <c r="Y327" s="40">
        <f>ROUND((V327*'Methodology &amp; Assumptions'!$B$6)+(W327*'Methodology &amp; Assumptions'!$B$5)+(X327*'Methodology &amp; Assumptions'!$B$7), 2)</f>
        <v/>
      </c>
    </row>
    <row r="328" ht="19" customHeight="1">
      <c r="A328" s="41" t="n">
        <v>324</v>
      </c>
      <c r="B328" s="41" t="n">
        <v>2324</v>
      </c>
      <c r="C328" s="42" t="inlineStr">
        <is>
          <t>0301420027</t>
        </is>
      </c>
      <c r="D328" s="42" t="inlineStr">
        <is>
          <t>Region III (Central Luzon)</t>
        </is>
      </c>
      <c r="E328" s="42" t="inlineStr">
        <is>
          <t>Bulacan</t>
        </is>
      </c>
      <c r="F328" s="42" t="inlineStr">
        <is>
          <t>City of San Jose Del Monte</t>
        </is>
      </c>
      <c r="G328" s="42" t="inlineStr">
        <is>
          <t>Francisco Homes-Guijo</t>
        </is>
      </c>
      <c r="H328" s="43" t="n">
        <v>14.814306</v>
      </c>
      <c r="I328" s="43" t="n">
        <v>121.059647</v>
      </c>
      <c r="J328" s="44" t="inlineStr">
        <is>
          <t>U</t>
        </is>
      </c>
      <c r="K328" s="42" t="inlineStr">
        <is>
          <t>Class 1-3 / Urban</t>
        </is>
      </c>
      <c r="L328" s="23" t="n">
        <v>6972</v>
      </c>
      <c r="M328" s="24" t="n">
        <v>4.1</v>
      </c>
      <c r="N328" s="23">
        <f>ROUND(L328/M328, 0)</f>
        <v/>
      </c>
      <c r="O328" s="23">
        <f>ROUND(N328*'Methodology &amp; Assumptions'!$B$8, 0)</f>
        <v/>
      </c>
      <c r="P328" s="44" t="inlineStr">
        <is>
          <t>Band n50 (1.5 GHz, 60 MHz)</t>
        </is>
      </c>
      <c r="Q328" s="38">
        <f>ROUNDUP(O328/'Methodology &amp; Assumptions'!$B$9, 0)</f>
        <v/>
      </c>
      <c r="R328" s="39" t="n">
        <v>1</v>
      </c>
      <c r="S328" s="25" t="n">
        <v>1.32</v>
      </c>
      <c r="T328" s="25" t="n">
        <v>1.35</v>
      </c>
      <c r="U328" s="42" t="inlineStr">
        <is>
          <t>Tier 1B (Micro Drop, 1-3 km)</t>
        </is>
      </c>
      <c r="V328" s="24" t="n">
        <v>74.3</v>
      </c>
      <c r="W328" s="24" t="n">
        <v>100</v>
      </c>
      <c r="X328" s="24" t="n">
        <v>28</v>
      </c>
      <c r="Y328" s="45">
        <f>ROUND((V328*'Methodology &amp; Assumptions'!$B$6)+(W328*'Methodology &amp; Assumptions'!$B$5)+(X328*'Methodology &amp; Assumptions'!$B$7), 2)</f>
        <v/>
      </c>
    </row>
    <row r="329" ht="19" customHeight="1">
      <c r="A329" s="35" t="n">
        <v>325</v>
      </c>
      <c r="B329" s="35" t="n">
        <v>2325</v>
      </c>
      <c r="C329" s="36" t="inlineStr">
        <is>
          <t>0405630021</t>
        </is>
      </c>
      <c r="D329" s="36" t="inlineStr">
        <is>
          <t>Region IV-A (CALABARZON)</t>
        </is>
      </c>
      <c r="E329" s="36" t="inlineStr">
        <is>
          <t>Quezon</t>
        </is>
      </c>
      <c r="F329" s="36" t="inlineStr">
        <is>
          <t>Pagbilao</t>
        </is>
      </c>
      <c r="G329" s="36" t="inlineStr">
        <is>
          <t>Barangay 3 Del Carmen</t>
        </is>
      </c>
      <c r="H329" s="37" t="n">
        <v>13.96966</v>
      </c>
      <c r="I329" s="37" t="n">
        <v>121.685267</v>
      </c>
      <c r="J329" s="8" t="inlineStr">
        <is>
          <t>R</t>
        </is>
      </c>
      <c r="K329" s="36" t="inlineStr">
        <is>
          <t>Class 1-3 / Urban</t>
        </is>
      </c>
      <c r="L329" s="18" t="n">
        <v>1547</v>
      </c>
      <c r="M329" s="20" t="n">
        <v>4.46</v>
      </c>
      <c r="N329" s="18">
        <f>ROUND(L329/M329, 0)</f>
        <v/>
      </c>
      <c r="O329" s="18">
        <f>ROUND(N329*'Methodology &amp; Assumptions'!$B$8, 0)</f>
        <v/>
      </c>
      <c r="P329" s="8" t="inlineStr">
        <is>
          <t>Band n50 (1.5 GHz, 60 MHz)</t>
        </is>
      </c>
      <c r="Q329" s="38">
        <f>ROUNDUP(O329/'Methodology &amp; Assumptions'!$B$9, 0)</f>
        <v/>
      </c>
      <c r="R329" s="39" t="n">
        <v>1</v>
      </c>
      <c r="S329" s="21" t="n">
        <v>0.42</v>
      </c>
      <c r="T329" s="21" t="n">
        <v>0.07000000000000001</v>
      </c>
      <c r="U329" s="36" t="inlineStr">
        <is>
          <t>Tier 1A (Direct Coloc, &lt;1 km)</t>
        </is>
      </c>
      <c r="V329" s="20" t="n">
        <v>96.8</v>
      </c>
      <c r="W329" s="20" t="n">
        <v>51.7</v>
      </c>
      <c r="X329" s="20" t="n">
        <v>58</v>
      </c>
      <c r="Y329" s="40">
        <f>ROUND((V329*'Methodology &amp; Assumptions'!$B$6)+(W329*'Methodology &amp; Assumptions'!$B$5)+(X329*'Methodology &amp; Assumptions'!$B$7), 2)</f>
        <v/>
      </c>
    </row>
    <row r="330" ht="19" customHeight="1">
      <c r="A330" s="41" t="n">
        <v>326</v>
      </c>
      <c r="B330" s="41" t="n">
        <v>2326</v>
      </c>
      <c r="C330" s="42" t="inlineStr">
        <is>
          <t>0403416026</t>
        </is>
      </c>
      <c r="D330" s="42" t="inlineStr">
        <is>
          <t>Region IV-A (CALABARZON)</t>
        </is>
      </c>
      <c r="E330" s="42" t="inlineStr">
        <is>
          <t>Laguna</t>
        </is>
      </c>
      <c r="F330" s="42" t="inlineStr">
        <is>
          <t>Majayjay</t>
        </is>
      </c>
      <c r="G330" s="42" t="inlineStr">
        <is>
          <t>Origuel</t>
        </is>
      </c>
      <c r="H330" s="43" t="n">
        <v>14.141901</v>
      </c>
      <c r="I330" s="43" t="n">
        <v>121.473915</v>
      </c>
      <c r="J330" s="44" t="inlineStr">
        <is>
          <t>R</t>
        </is>
      </c>
      <c r="K330" s="42" t="inlineStr">
        <is>
          <t>3rd</t>
        </is>
      </c>
      <c r="L330" s="23" t="n">
        <v>1446</v>
      </c>
      <c r="M330" s="24" t="n">
        <v>4.18</v>
      </c>
      <c r="N330" s="23">
        <f>ROUND(L330/M330, 0)</f>
        <v/>
      </c>
      <c r="O330" s="23">
        <f>ROUND(N330*'Methodology &amp; Assumptions'!$B$8, 0)</f>
        <v/>
      </c>
      <c r="P330" s="44" t="inlineStr">
        <is>
          <t>Band n50 (1.5 GHz, 60 MHz)</t>
        </is>
      </c>
      <c r="Q330" s="38">
        <f>ROUNDUP(O330/'Methodology &amp; Assumptions'!$B$9, 0)</f>
        <v/>
      </c>
      <c r="R330" s="39" t="n">
        <v>1</v>
      </c>
      <c r="S330" s="25" t="n">
        <v>0.42</v>
      </c>
      <c r="T330" s="25" t="n">
        <v>0.36</v>
      </c>
      <c r="U330" s="42" t="inlineStr">
        <is>
          <t>Tier 1A (Direct Coloc, &lt;1 km)</t>
        </is>
      </c>
      <c r="V330" s="24" t="n">
        <v>96.8</v>
      </c>
      <c r="W330" s="24" t="n">
        <v>51.7</v>
      </c>
      <c r="X330" s="24" t="n">
        <v>58</v>
      </c>
      <c r="Y330" s="45">
        <f>ROUND((V330*'Methodology &amp; Assumptions'!$B$6)+(W330*'Methodology &amp; Assumptions'!$B$5)+(X330*'Methodology &amp; Assumptions'!$B$7), 2)</f>
        <v/>
      </c>
    </row>
    <row r="331" ht="19" customHeight="1">
      <c r="A331" s="35" t="n">
        <v>327</v>
      </c>
      <c r="B331" s="35" t="n">
        <v>2327</v>
      </c>
      <c r="C331" s="36" t="inlineStr">
        <is>
          <t>0300809004</t>
        </is>
      </c>
      <c r="D331" s="36" t="inlineStr">
        <is>
          <t>Region III (Central Luzon)</t>
        </is>
      </c>
      <c r="E331" s="36" t="inlineStr">
        <is>
          <t>Bataan</t>
        </is>
      </c>
      <c r="F331" s="36" t="inlineStr">
        <is>
          <t>Orani</t>
        </is>
      </c>
      <c r="G331" s="36" t="inlineStr">
        <is>
          <t>Calero</t>
        </is>
      </c>
      <c r="H331" s="37" t="n">
        <v>14.802885</v>
      </c>
      <c r="I331" s="37" t="n">
        <v>120.537129</v>
      </c>
      <c r="J331" s="8" t="inlineStr">
        <is>
          <t>R</t>
        </is>
      </c>
      <c r="K331" s="36" t="inlineStr">
        <is>
          <t>Class 1-3 / Urban</t>
        </is>
      </c>
      <c r="L331" s="18" t="n">
        <v>1402</v>
      </c>
      <c r="M331" s="20" t="n">
        <v>4.57</v>
      </c>
      <c r="N331" s="18">
        <f>ROUND(L331/M331, 0)</f>
        <v/>
      </c>
      <c r="O331" s="18">
        <f>ROUND(N331*'Methodology &amp; Assumptions'!$B$8, 0)</f>
        <v/>
      </c>
      <c r="P331" s="8" t="inlineStr">
        <is>
          <t>Band n50 (1.5 GHz, 60 MHz)</t>
        </is>
      </c>
      <c r="Q331" s="38">
        <f>ROUNDUP(O331/'Methodology &amp; Assumptions'!$B$9, 0)</f>
        <v/>
      </c>
      <c r="R331" s="39" t="n">
        <v>1</v>
      </c>
      <c r="S331" s="21" t="n">
        <v>0.12</v>
      </c>
      <c r="T331" s="21" t="n">
        <v>0.14</v>
      </c>
      <c r="U331" s="36" t="inlineStr">
        <is>
          <t>Tier 1A (Direct Coloc, &lt;1 km)</t>
        </is>
      </c>
      <c r="V331" s="20" t="n">
        <v>100</v>
      </c>
      <c r="W331" s="20" t="n">
        <v>48.5</v>
      </c>
      <c r="X331" s="20" t="n">
        <v>58</v>
      </c>
      <c r="Y331" s="40">
        <f>ROUND((V331*'Methodology &amp; Assumptions'!$B$6)+(W331*'Methodology &amp; Assumptions'!$B$5)+(X331*'Methodology &amp; Assumptions'!$B$7), 2)</f>
        <v/>
      </c>
    </row>
    <row r="332" ht="19" customHeight="1">
      <c r="A332" s="41" t="n">
        <v>328</v>
      </c>
      <c r="B332" s="41" t="n">
        <v>2328</v>
      </c>
      <c r="C332" s="42" t="inlineStr">
        <is>
          <t>0300810004</t>
        </is>
      </c>
      <c r="D332" s="42" t="inlineStr">
        <is>
          <t>Region III (Central Luzon)</t>
        </is>
      </c>
      <c r="E332" s="42" t="inlineStr">
        <is>
          <t>Bataan</t>
        </is>
      </c>
      <c r="F332" s="42" t="inlineStr">
        <is>
          <t>Orion</t>
        </is>
      </c>
      <c r="G332" s="42" t="inlineStr">
        <is>
          <t>Balut</t>
        </is>
      </c>
      <c r="H332" s="43" t="n">
        <v>14.804295</v>
      </c>
      <c r="I332" s="43" t="n">
        <v>120.534744</v>
      </c>
      <c r="J332" s="44" t="inlineStr">
        <is>
          <t>R</t>
        </is>
      </c>
      <c r="K332" s="42" t="inlineStr">
        <is>
          <t>Class 1-3 / Urban</t>
        </is>
      </c>
      <c r="L332" s="23" t="n">
        <v>1399</v>
      </c>
      <c r="M332" s="24" t="n">
        <v>4.57</v>
      </c>
      <c r="N332" s="23">
        <f>ROUND(L332/M332, 0)</f>
        <v/>
      </c>
      <c r="O332" s="23">
        <f>ROUND(N332*'Methodology &amp; Assumptions'!$B$8, 0)</f>
        <v/>
      </c>
      <c r="P332" s="44" t="inlineStr">
        <is>
          <t>Band n50 (1.5 GHz, 60 MHz)</t>
        </is>
      </c>
      <c r="Q332" s="38">
        <f>ROUNDUP(O332/'Methodology &amp; Assumptions'!$B$9, 0)</f>
        <v/>
      </c>
      <c r="R332" s="39" t="n">
        <v>1</v>
      </c>
      <c r="S332" s="25" t="n">
        <v>0.3</v>
      </c>
      <c r="T332" s="25" t="n">
        <v>0.26</v>
      </c>
      <c r="U332" s="42" t="inlineStr">
        <is>
          <t>Tier 1A (Direct Coloc, &lt;1 km)</t>
        </is>
      </c>
      <c r="V332" s="24" t="n">
        <v>100</v>
      </c>
      <c r="W332" s="24" t="n">
        <v>48.5</v>
      </c>
      <c r="X332" s="24" t="n">
        <v>58</v>
      </c>
      <c r="Y332" s="45">
        <f>ROUND((V332*'Methodology &amp; Assumptions'!$B$6)+(W332*'Methodology &amp; Assumptions'!$B$5)+(X332*'Methodology &amp; Assumptions'!$B$7), 2)</f>
        <v/>
      </c>
    </row>
    <row r="333" ht="19" customHeight="1">
      <c r="A333" s="35" t="n">
        <v>329</v>
      </c>
      <c r="B333" s="35" t="n">
        <v>2329</v>
      </c>
      <c r="C333" s="36" t="inlineStr">
        <is>
          <t>0307103015</t>
        </is>
      </c>
      <c r="D333" s="36" t="inlineStr">
        <is>
          <t>Region III (Central Luzon)</t>
        </is>
      </c>
      <c r="E333" s="36" t="inlineStr">
        <is>
          <t>Zambales</t>
        </is>
      </c>
      <c r="F333" s="36" t="inlineStr">
        <is>
          <t>Candelaria</t>
        </is>
      </c>
      <c r="G333" s="36" t="inlineStr">
        <is>
          <t>Poblacion</t>
        </is>
      </c>
      <c r="H333" s="37" t="n">
        <v>15.625403</v>
      </c>
      <c r="I333" s="37" t="n">
        <v>119.931019</v>
      </c>
      <c r="J333" s="8" t="inlineStr">
        <is>
          <t>R</t>
        </is>
      </c>
      <c r="K333" s="36" t="inlineStr">
        <is>
          <t>Class 1-3 / Urban</t>
        </is>
      </c>
      <c r="L333" s="18" t="n">
        <v>1240</v>
      </c>
      <c r="M333" s="20" t="n">
        <v>4.05</v>
      </c>
      <c r="N333" s="18">
        <f>ROUND(L333/M333, 0)</f>
        <v/>
      </c>
      <c r="O333" s="18">
        <f>ROUND(N333*'Methodology &amp; Assumptions'!$B$8, 0)</f>
        <v/>
      </c>
      <c r="P333" s="8" t="inlineStr">
        <is>
          <t>Band n50 (1.5 GHz, 60 MHz)</t>
        </is>
      </c>
      <c r="Q333" s="38">
        <f>ROUNDUP(O333/'Methodology &amp; Assumptions'!$B$9, 0)</f>
        <v/>
      </c>
      <c r="R333" s="39" t="n">
        <v>1</v>
      </c>
      <c r="S333" s="21" t="n">
        <v>0.25</v>
      </c>
      <c r="T333" s="21" t="n">
        <v>0.26</v>
      </c>
      <c r="U333" s="36" t="inlineStr">
        <is>
          <t>Tier 1A (Direct Coloc, &lt;1 km)</t>
        </is>
      </c>
      <c r="V333" s="20" t="n">
        <v>100</v>
      </c>
      <c r="W333" s="20" t="n">
        <v>48.5</v>
      </c>
      <c r="X333" s="20" t="n">
        <v>58</v>
      </c>
      <c r="Y333" s="40">
        <f>ROUND((V333*'Methodology &amp; Assumptions'!$B$6)+(W333*'Methodology &amp; Assumptions'!$B$5)+(X333*'Methodology &amp; Assumptions'!$B$7), 2)</f>
        <v/>
      </c>
    </row>
    <row r="334" ht="19" customHeight="1">
      <c r="A334" s="41" t="n">
        <v>330</v>
      </c>
      <c r="B334" s="41" t="n">
        <v>2330</v>
      </c>
      <c r="C334" s="42" t="inlineStr">
        <is>
          <t>0730600075</t>
        </is>
      </c>
      <c r="D334" s="42" t="inlineStr">
        <is>
          <t>Region VII (Central Visayas)</t>
        </is>
      </c>
      <c r="E334" s="42" t="inlineStr">
        <is>
          <t>Cebu</t>
        </is>
      </c>
      <c r="F334" s="42" t="inlineStr">
        <is>
          <t>City of Cebu</t>
        </is>
      </c>
      <c r="G334" s="42" t="inlineStr">
        <is>
          <t>Suba Pob.</t>
        </is>
      </c>
      <c r="H334" s="43" t="n">
        <v>10.289973</v>
      </c>
      <c r="I334" s="43" t="n">
        <v>123.893715</v>
      </c>
      <c r="J334" s="44" t="inlineStr">
        <is>
          <t>U</t>
        </is>
      </c>
      <c r="K334" s="42" t="inlineStr">
        <is>
          <t>Class 1-3 / Urban</t>
        </is>
      </c>
      <c r="L334" s="23" t="n">
        <v>10606</v>
      </c>
      <c r="M334" s="24" t="n">
        <v>4.42</v>
      </c>
      <c r="N334" s="23">
        <f>ROUND(L334/M334, 0)</f>
        <v/>
      </c>
      <c r="O334" s="23">
        <f>ROUND(N334*'Methodology &amp; Assumptions'!$B$8, 0)</f>
        <v/>
      </c>
      <c r="P334" s="44" t="inlineStr">
        <is>
          <t>Band n50 (1.5 GHz, 60 MHz)</t>
        </is>
      </c>
      <c r="Q334" s="38">
        <f>ROUNDUP(O334/'Methodology &amp; Assumptions'!$B$9, 0)</f>
        <v/>
      </c>
      <c r="R334" s="39" t="n">
        <v>1</v>
      </c>
      <c r="S334" s="25" t="n">
        <v>1.33</v>
      </c>
      <c r="T334" s="25" t="n">
        <v>0.96</v>
      </c>
      <c r="U334" s="42" t="inlineStr">
        <is>
          <t>Tier 1B (Micro Drop, 1-3 km)</t>
        </is>
      </c>
      <c r="V334" s="24" t="n">
        <v>74.2</v>
      </c>
      <c r="W334" s="24" t="n">
        <v>100</v>
      </c>
      <c r="X334" s="24" t="n">
        <v>28</v>
      </c>
      <c r="Y334" s="45">
        <f>ROUND((V334*'Methodology &amp; Assumptions'!$B$6)+(W334*'Methodology &amp; Assumptions'!$B$5)+(X334*'Methodology &amp; Assumptions'!$B$7), 2)</f>
        <v/>
      </c>
    </row>
    <row r="335" ht="19" customHeight="1">
      <c r="A335" s="35" t="n">
        <v>331</v>
      </c>
      <c r="B335" s="35" t="n">
        <v>2331</v>
      </c>
      <c r="C335" s="36" t="inlineStr">
        <is>
          <t>0304911049</t>
        </is>
      </c>
      <c r="D335" s="36" t="inlineStr">
        <is>
          <t>Region III (Central Luzon)</t>
        </is>
      </c>
      <c r="E335" s="36" t="inlineStr">
        <is>
          <t>Nueva Ecija</t>
        </is>
      </c>
      <c r="F335" s="36" t="inlineStr">
        <is>
          <t>Guimba</t>
        </is>
      </c>
      <c r="G335" s="36" t="inlineStr">
        <is>
          <t>Saint John District</t>
        </is>
      </c>
      <c r="H335" s="37" t="n">
        <v>15.660697</v>
      </c>
      <c r="I335" s="37" t="n">
        <v>120.771689</v>
      </c>
      <c r="J335" s="8" t="inlineStr">
        <is>
          <t>R</t>
        </is>
      </c>
      <c r="K335" s="36" t="inlineStr">
        <is>
          <t>Class 1-3 / Urban</t>
        </is>
      </c>
      <c r="L335" s="18" t="n">
        <v>1777</v>
      </c>
      <c r="M335" s="20" t="n">
        <v>4.32</v>
      </c>
      <c r="N335" s="18">
        <f>ROUND(L335/M335, 0)</f>
        <v/>
      </c>
      <c r="O335" s="18">
        <f>ROUND(N335*'Methodology &amp; Assumptions'!$B$8, 0)</f>
        <v/>
      </c>
      <c r="P335" s="8" t="inlineStr">
        <is>
          <t>Band n50 (1.5 GHz, 60 MHz)</t>
        </is>
      </c>
      <c r="Q335" s="38">
        <f>ROUNDUP(O335/'Methodology &amp; Assumptions'!$B$9, 0)</f>
        <v/>
      </c>
      <c r="R335" s="39" t="n">
        <v>1</v>
      </c>
      <c r="S335" s="21" t="n">
        <v>0.61</v>
      </c>
      <c r="T335" s="21" t="n">
        <v>0.62</v>
      </c>
      <c r="U335" s="36" t="inlineStr">
        <is>
          <t>Tier 1A (Direct Coloc, &lt;1 km)</t>
        </is>
      </c>
      <c r="V335" s="20" t="n">
        <v>91.7</v>
      </c>
      <c r="W335" s="20" t="n">
        <v>56.8</v>
      </c>
      <c r="X335" s="20" t="n">
        <v>58</v>
      </c>
      <c r="Y335" s="40">
        <f>ROUND((V335*'Methodology &amp; Assumptions'!$B$6)+(W335*'Methodology &amp; Assumptions'!$B$5)+(X335*'Methodology &amp; Assumptions'!$B$7), 2)</f>
        <v/>
      </c>
    </row>
    <row r="336" ht="19" customHeight="1">
      <c r="A336" s="41" t="n">
        <v>332</v>
      </c>
      <c r="B336" s="41" t="n">
        <v>2332</v>
      </c>
      <c r="C336" s="42" t="inlineStr">
        <is>
          <t>0600412005</t>
        </is>
      </c>
      <c r="D336" s="42" t="inlineStr">
        <is>
          <t>Region VI (Western Visayas)</t>
        </is>
      </c>
      <c r="E336" s="42" t="inlineStr">
        <is>
          <t>Aklan</t>
        </is>
      </c>
      <c r="F336" s="42" t="inlineStr">
        <is>
          <t>Malay</t>
        </is>
      </c>
      <c r="G336" s="42" t="inlineStr">
        <is>
          <t>Caticlan</t>
        </is>
      </c>
      <c r="H336" s="43" t="n">
        <v>11.931199</v>
      </c>
      <c r="I336" s="43" t="n">
        <v>121.951423</v>
      </c>
      <c r="J336" s="44" t="inlineStr">
        <is>
          <t>U</t>
        </is>
      </c>
      <c r="K336" s="42" t="inlineStr">
        <is>
          <t>Class 1-3 / Urban</t>
        </is>
      </c>
      <c r="L336" s="23" t="n">
        <v>8223</v>
      </c>
      <c r="M336" s="24" t="n">
        <v>4.27</v>
      </c>
      <c r="N336" s="23">
        <f>ROUND(L336/M336, 0)</f>
        <v/>
      </c>
      <c r="O336" s="23">
        <f>ROUND(N336*'Methodology &amp; Assumptions'!$B$8, 0)</f>
        <v/>
      </c>
      <c r="P336" s="44" t="inlineStr">
        <is>
          <t>Band n50 (1.5 GHz, 60 MHz)</t>
        </is>
      </c>
      <c r="Q336" s="38">
        <f>ROUNDUP(O336/'Methodology &amp; Assumptions'!$B$9, 0)</f>
        <v/>
      </c>
      <c r="R336" s="39" t="n">
        <v>1</v>
      </c>
      <c r="S336" s="25" t="n">
        <v>2</v>
      </c>
      <c r="T336" s="25" t="n">
        <v>0.24</v>
      </c>
      <c r="U336" s="42" t="inlineStr">
        <is>
          <t>Tier 1B (Micro Drop, 1-3 km)</t>
        </is>
      </c>
      <c r="V336" s="24" t="n">
        <v>61.3</v>
      </c>
      <c r="W336" s="24" t="n">
        <v>100</v>
      </c>
      <c r="X336" s="24" t="n">
        <v>43</v>
      </c>
      <c r="Y336" s="45">
        <f>ROUND((V336*'Methodology &amp; Assumptions'!$B$6)+(W336*'Methodology &amp; Assumptions'!$B$5)+(X336*'Methodology &amp; Assumptions'!$B$7), 2)</f>
        <v/>
      </c>
    </row>
    <row r="337" ht="19" customHeight="1">
      <c r="A337" s="35" t="n">
        <v>333</v>
      </c>
      <c r="B337" s="35" t="n">
        <v>2333</v>
      </c>
      <c r="C337" s="36" t="inlineStr">
        <is>
          <t>1430300005</t>
        </is>
      </c>
      <c r="D337" s="36" t="inlineStr">
        <is>
          <t>Cordillera Administrative Region (CAR)</t>
        </is>
      </c>
      <c r="E337" s="36" t="inlineStr">
        <is>
          <t>Benguet</t>
        </is>
      </c>
      <c r="F337" s="36" t="inlineStr">
        <is>
          <t>City of Baguio</t>
        </is>
      </c>
      <c r="G337" s="36" t="inlineStr">
        <is>
          <t>Bakakeng North</t>
        </is>
      </c>
      <c r="H337" s="37" t="n">
        <v>16.39174</v>
      </c>
      <c r="I337" s="37" t="n">
        <v>120.59072</v>
      </c>
      <c r="J337" s="8" t="inlineStr">
        <is>
          <t>U</t>
        </is>
      </c>
      <c r="K337" s="36" t="inlineStr">
        <is>
          <t>Class 1-3 / Urban</t>
        </is>
      </c>
      <c r="L337" s="18" t="n">
        <v>10867</v>
      </c>
      <c r="M337" s="20" t="n">
        <v>4.58</v>
      </c>
      <c r="N337" s="18">
        <f>ROUND(L337/M337, 0)</f>
        <v/>
      </c>
      <c r="O337" s="18">
        <f>ROUND(N337*'Methodology &amp; Assumptions'!$B$8, 0)</f>
        <v/>
      </c>
      <c r="P337" s="8" t="inlineStr">
        <is>
          <t>Band n50 (1.5 GHz, 60 MHz)</t>
        </is>
      </c>
      <c r="Q337" s="38">
        <f>ROUNDUP(O337/'Methodology &amp; Assumptions'!$B$9, 0)</f>
        <v/>
      </c>
      <c r="R337" s="39" t="n">
        <v>1</v>
      </c>
      <c r="S337" s="21" t="n">
        <v>1.33</v>
      </c>
      <c r="T337" s="21" t="n">
        <v>0.9399999999999999</v>
      </c>
      <c r="U337" s="36" t="inlineStr">
        <is>
          <t>Tier 1B (Micro Drop, 1-3 km)</t>
        </is>
      </c>
      <c r="V337" s="20" t="n">
        <v>74.2</v>
      </c>
      <c r="W337" s="20" t="n">
        <v>100</v>
      </c>
      <c r="X337" s="20" t="n">
        <v>28</v>
      </c>
      <c r="Y337" s="40">
        <f>ROUND((V337*'Methodology &amp; Assumptions'!$B$6)+(W337*'Methodology &amp; Assumptions'!$B$5)+(X337*'Methodology &amp; Assumptions'!$B$7), 2)</f>
        <v/>
      </c>
    </row>
    <row r="338" ht="19" customHeight="1">
      <c r="A338" s="41" t="n">
        <v>334</v>
      </c>
      <c r="B338" s="41" t="n">
        <v>2334</v>
      </c>
      <c r="C338" s="42" t="inlineStr">
        <is>
          <t>0704606027</t>
        </is>
      </c>
      <c r="D338" s="42" t="inlineStr">
        <is>
          <t>Region VII (Central Visayas)</t>
        </is>
      </c>
      <c r="E338" s="42" t="inlineStr">
        <is>
          <t>Negros Oriental</t>
        </is>
      </c>
      <c r="F338" s="42" t="inlineStr">
        <is>
          <t>City of Bayawan</t>
        </is>
      </c>
      <c r="G338" s="42" t="inlineStr">
        <is>
          <t>Villareal</t>
        </is>
      </c>
      <c r="H338" s="43" t="n">
        <v>9.357768999999999</v>
      </c>
      <c r="I338" s="43" t="n">
        <v>122.822715</v>
      </c>
      <c r="J338" s="44" t="inlineStr">
        <is>
          <t>U</t>
        </is>
      </c>
      <c r="K338" s="42" t="inlineStr">
        <is>
          <t>Class 1-3 / Urban</t>
        </is>
      </c>
      <c r="L338" s="23" t="n">
        <v>10730</v>
      </c>
      <c r="M338" s="24" t="n">
        <v>4.33</v>
      </c>
      <c r="N338" s="23">
        <f>ROUND(L338/M338, 0)</f>
        <v/>
      </c>
      <c r="O338" s="23">
        <f>ROUND(N338*'Methodology &amp; Assumptions'!$B$8, 0)</f>
        <v/>
      </c>
      <c r="P338" s="44" t="inlineStr">
        <is>
          <t>Band n50 (1.5 GHz, 60 MHz)</t>
        </is>
      </c>
      <c r="Q338" s="38">
        <f>ROUNDUP(O338/'Methodology &amp; Assumptions'!$B$9, 0)</f>
        <v/>
      </c>
      <c r="R338" s="39" t="n">
        <v>1</v>
      </c>
      <c r="S338" s="25" t="n">
        <v>1.33</v>
      </c>
      <c r="T338" s="25" t="n">
        <v>0.15</v>
      </c>
      <c r="U338" s="42" t="inlineStr">
        <is>
          <t>Tier 1B (Micro Drop, 1-3 km)</t>
        </is>
      </c>
      <c r="V338" s="24" t="n">
        <v>74.2</v>
      </c>
      <c r="W338" s="24" t="n">
        <v>100</v>
      </c>
      <c r="X338" s="24" t="n">
        <v>28</v>
      </c>
      <c r="Y338" s="45">
        <f>ROUND((V338*'Methodology &amp; Assumptions'!$B$6)+(W338*'Methodology &amp; Assumptions'!$B$5)+(X338*'Methodology &amp; Assumptions'!$B$7), 2)</f>
        <v/>
      </c>
    </row>
    <row r="339" ht="19" customHeight="1">
      <c r="A339" s="35" t="n">
        <v>335</v>
      </c>
      <c r="B339" s="35" t="n">
        <v>2335</v>
      </c>
      <c r="C339" s="36" t="inlineStr">
        <is>
          <t>1903617141</t>
        </is>
      </c>
      <c r="D339" s="36" t="inlineStr">
        <is>
          <t>Bangsamoro Autonomous Region In Muslim Mindanao (BARMM)</t>
        </is>
      </c>
      <c r="E339" s="36" t="inlineStr">
        <is>
          <t>Lanao del Sur</t>
        </is>
      </c>
      <c r="F339" s="36" t="inlineStr">
        <is>
          <t>City of Marawi</t>
        </is>
      </c>
      <c r="G339" s="36" t="inlineStr">
        <is>
          <t>Marawi Poblacion</t>
        </is>
      </c>
      <c r="H339" s="37" t="n">
        <v>8.003458999999999</v>
      </c>
      <c r="I339" s="37" t="n">
        <v>124.278783</v>
      </c>
      <c r="J339" s="8" t="inlineStr">
        <is>
          <t>R</t>
        </is>
      </c>
      <c r="K339" s="36" t="inlineStr">
        <is>
          <t>Class 1-3 / Urban</t>
        </is>
      </c>
      <c r="L339" s="18" t="n">
        <v>4450</v>
      </c>
      <c r="M339" s="20" t="n">
        <v>6.62</v>
      </c>
      <c r="N339" s="18">
        <f>ROUND(L339/M339, 0)</f>
        <v/>
      </c>
      <c r="O339" s="18">
        <f>ROUND(N339*'Methodology &amp; Assumptions'!$B$8, 0)</f>
        <v/>
      </c>
      <c r="P339" s="8" t="inlineStr">
        <is>
          <t>Band n50 (1.5 GHz, 60 MHz)</t>
        </is>
      </c>
      <c r="Q339" s="38">
        <f>ROUNDUP(O339/'Methodology &amp; Assumptions'!$B$9, 0)</f>
        <v/>
      </c>
      <c r="R339" s="39" t="n">
        <v>1</v>
      </c>
      <c r="S339" s="21" t="n">
        <v>0.88</v>
      </c>
      <c r="T339" s="21" t="n">
        <v>0.31</v>
      </c>
      <c r="U339" s="36" t="inlineStr">
        <is>
          <t>Tier 1A (Direct Coloc, &lt;1 km)</t>
        </is>
      </c>
      <c r="V339" s="20" t="n">
        <v>84.59999999999999</v>
      </c>
      <c r="W339" s="20" t="n">
        <v>63.9</v>
      </c>
      <c r="X339" s="20" t="n">
        <v>58</v>
      </c>
      <c r="Y339" s="40">
        <f>ROUND((V339*'Methodology &amp; Assumptions'!$B$6)+(W339*'Methodology &amp; Assumptions'!$B$5)+(X339*'Methodology &amp; Assumptions'!$B$7), 2)</f>
        <v/>
      </c>
    </row>
    <row r="340" ht="19" customHeight="1">
      <c r="A340" s="41" t="n">
        <v>336</v>
      </c>
      <c r="B340" s="41" t="n">
        <v>2336</v>
      </c>
      <c r="C340" s="42" t="inlineStr">
        <is>
          <t>0405608012</t>
        </is>
      </c>
      <c r="D340" s="42" t="inlineStr">
        <is>
          <t>Region IV-A (CALABARZON)</t>
        </is>
      </c>
      <c r="E340" s="42" t="inlineStr">
        <is>
          <t>Quezon</t>
        </is>
      </c>
      <c r="F340" s="42" t="inlineStr">
        <is>
          <t>Candelaria</t>
        </is>
      </c>
      <c r="G340" s="42" t="inlineStr">
        <is>
          <t>Masalukot I</t>
        </is>
      </c>
      <c r="H340" s="43" t="n">
        <v>13.934754</v>
      </c>
      <c r="I340" s="43" t="n">
        <v>121.426995</v>
      </c>
      <c r="J340" s="44" t="inlineStr">
        <is>
          <t>U</t>
        </is>
      </c>
      <c r="K340" s="42" t="inlineStr">
        <is>
          <t>Class 1-3 / Urban</t>
        </is>
      </c>
      <c r="L340" s="23" t="n">
        <v>6836</v>
      </c>
      <c r="M340" s="24" t="n">
        <v>4.46</v>
      </c>
      <c r="N340" s="23">
        <f>ROUND(L340/M340, 0)</f>
        <v/>
      </c>
      <c r="O340" s="23">
        <f>ROUND(N340*'Methodology &amp; Assumptions'!$B$8, 0)</f>
        <v/>
      </c>
      <c r="P340" s="44" t="inlineStr">
        <is>
          <t>Band n50 (1.5 GHz, 60 MHz)</t>
        </is>
      </c>
      <c r="Q340" s="38">
        <f>ROUNDUP(O340/'Methodology &amp; Assumptions'!$B$9, 0)</f>
        <v/>
      </c>
      <c r="R340" s="39" t="n">
        <v>1</v>
      </c>
      <c r="S340" s="25" t="n">
        <v>1.33</v>
      </c>
      <c r="T340" s="25" t="n">
        <v>0.67</v>
      </c>
      <c r="U340" s="42" t="inlineStr">
        <is>
          <t>Tier 1B (Micro Drop, 1-3 km)</t>
        </is>
      </c>
      <c r="V340" s="24" t="n">
        <v>74.2</v>
      </c>
      <c r="W340" s="24" t="n">
        <v>100</v>
      </c>
      <c r="X340" s="24" t="n">
        <v>28</v>
      </c>
      <c r="Y340" s="45">
        <f>ROUND((V340*'Methodology &amp; Assumptions'!$B$6)+(W340*'Methodology &amp; Assumptions'!$B$5)+(X340*'Methodology &amp; Assumptions'!$B$7), 2)</f>
        <v/>
      </c>
    </row>
    <row r="341" ht="19" customHeight="1">
      <c r="A341" s="35" t="n">
        <v>337</v>
      </c>
      <c r="B341" s="35" t="n">
        <v>2337</v>
      </c>
      <c r="C341" s="36" t="inlineStr">
        <is>
          <t>0702235014</t>
        </is>
      </c>
      <c r="D341" s="36" t="inlineStr">
        <is>
          <t>Region VII (Central Visayas)</t>
        </is>
      </c>
      <c r="E341" s="36" t="inlineStr">
        <is>
          <t>Cebu</t>
        </is>
      </c>
      <c r="F341" s="36" t="inlineStr">
        <is>
          <t>Oslob</t>
        </is>
      </c>
      <c r="G341" s="36" t="inlineStr">
        <is>
          <t>Lagunde</t>
        </is>
      </c>
      <c r="H341" s="37" t="n">
        <v>9.532703</v>
      </c>
      <c r="I341" s="37" t="n">
        <v>123.440848</v>
      </c>
      <c r="J341" s="8" t="inlineStr">
        <is>
          <t>R</t>
        </is>
      </c>
      <c r="K341" s="36" t="inlineStr">
        <is>
          <t>1st</t>
        </is>
      </c>
      <c r="L341" s="18" t="n">
        <v>3273</v>
      </c>
      <c r="M341" s="20" t="n">
        <v>4.65</v>
      </c>
      <c r="N341" s="18">
        <f>ROUND(L341/M341, 0)</f>
        <v/>
      </c>
      <c r="O341" s="18">
        <f>ROUND(N341*'Methodology &amp; Assumptions'!$B$8, 0)</f>
        <v/>
      </c>
      <c r="P341" s="8" t="inlineStr">
        <is>
          <t>Band n50 (1.5 GHz, 60 MHz)</t>
        </is>
      </c>
      <c r="Q341" s="38">
        <f>ROUNDUP(O341/'Methodology &amp; Assumptions'!$B$9, 0)</f>
        <v/>
      </c>
      <c r="R341" s="39" t="n">
        <v>1</v>
      </c>
      <c r="S341" s="21" t="n">
        <v>1.63</v>
      </c>
      <c r="T341" s="21" t="n">
        <v>0.28</v>
      </c>
      <c r="U341" s="36" t="inlineStr">
        <is>
          <t>Tier 1B (Micro Drop, 1-3 km)</t>
        </is>
      </c>
      <c r="V341" s="20" t="n">
        <v>68.2</v>
      </c>
      <c r="W341" s="20" t="n">
        <v>80.3</v>
      </c>
      <c r="X341" s="20" t="n">
        <v>58</v>
      </c>
      <c r="Y341" s="40">
        <f>ROUND((V341*'Methodology &amp; Assumptions'!$B$6)+(W341*'Methodology &amp; Assumptions'!$B$5)+(X341*'Methodology &amp; Assumptions'!$B$7), 2)</f>
        <v/>
      </c>
    </row>
    <row r="342" ht="19" customHeight="1">
      <c r="A342" s="41" t="n">
        <v>338</v>
      </c>
      <c r="B342" s="41" t="n">
        <v>2338</v>
      </c>
      <c r="C342" s="42" t="inlineStr">
        <is>
          <t>0500512024</t>
        </is>
      </c>
      <c r="D342" s="42" t="inlineStr">
        <is>
          <t>Region V (Bicol Region)</t>
        </is>
      </c>
      <c r="E342" s="42" t="inlineStr">
        <is>
          <t>Albay</t>
        </is>
      </c>
      <c r="F342" s="42" t="inlineStr">
        <is>
          <t>Oas</t>
        </is>
      </c>
      <c r="G342" s="42" t="inlineStr">
        <is>
          <t>Ilaor Norte</t>
        </is>
      </c>
      <c r="H342" s="43" t="n">
        <v>13.258876</v>
      </c>
      <c r="I342" s="43" t="n">
        <v>123.495885</v>
      </c>
      <c r="J342" s="44" t="inlineStr">
        <is>
          <t>R</t>
        </is>
      </c>
      <c r="K342" s="42" t="inlineStr">
        <is>
          <t>Class 1-3 / Urban</t>
        </is>
      </c>
      <c r="L342" s="23" t="n">
        <v>1475</v>
      </c>
      <c r="M342" s="24" t="n">
        <v>4.67</v>
      </c>
      <c r="N342" s="23">
        <f>ROUND(L342/M342, 0)</f>
        <v/>
      </c>
      <c r="O342" s="23">
        <f>ROUND(N342*'Methodology &amp; Assumptions'!$B$8, 0)</f>
        <v/>
      </c>
      <c r="P342" s="44" t="inlineStr">
        <is>
          <t>Band n50 (1.5 GHz, 60 MHz)</t>
        </is>
      </c>
      <c r="Q342" s="38">
        <f>ROUNDUP(O342/'Methodology &amp; Assumptions'!$B$9, 0)</f>
        <v/>
      </c>
      <c r="R342" s="39" t="n">
        <v>1</v>
      </c>
      <c r="S342" s="25" t="n">
        <v>0.35</v>
      </c>
      <c r="T342" s="25" t="n">
        <v>0.41</v>
      </c>
      <c r="U342" s="42" t="inlineStr">
        <is>
          <t>Tier 1A (Direct Coloc, &lt;1 km)</t>
        </is>
      </c>
      <c r="V342" s="24" t="n">
        <v>99.09999999999999</v>
      </c>
      <c r="W342" s="24" t="n">
        <v>49.3</v>
      </c>
      <c r="X342" s="24" t="n">
        <v>58</v>
      </c>
      <c r="Y342" s="45">
        <f>ROUND((V342*'Methodology &amp; Assumptions'!$B$6)+(W342*'Methodology &amp; Assumptions'!$B$5)+(X342*'Methodology &amp; Assumptions'!$B$7), 2)</f>
        <v/>
      </c>
    </row>
    <row r="343" ht="19" customHeight="1">
      <c r="A343" s="35" t="n">
        <v>339</v>
      </c>
      <c r="B343" s="35" t="n">
        <v>2339</v>
      </c>
      <c r="C343" s="36" t="inlineStr">
        <is>
          <t>0405811012</t>
        </is>
      </c>
      <c r="D343" s="36" t="inlineStr">
        <is>
          <t>Region IV-A (CALABARZON)</t>
        </is>
      </c>
      <c r="E343" s="36" t="inlineStr">
        <is>
          <t>Rizal</t>
        </is>
      </c>
      <c r="F343" s="36" t="inlineStr">
        <is>
          <t>San Mateo</t>
        </is>
      </c>
      <c r="G343" s="36" t="inlineStr">
        <is>
          <t>Banaba</t>
        </is>
      </c>
      <c r="H343" s="37" t="n">
        <v>14.6763</v>
      </c>
      <c r="I343" s="37" t="n">
        <v>121.1098</v>
      </c>
      <c r="J343" s="8" t="inlineStr">
        <is>
          <t>U</t>
        </is>
      </c>
      <c r="K343" s="36" t="inlineStr">
        <is>
          <t>Class 1-3 / Urban</t>
        </is>
      </c>
      <c r="L343" s="18" t="n">
        <v>27910</v>
      </c>
      <c r="M343" s="20" t="n">
        <v>4.39</v>
      </c>
      <c r="N343" s="18">
        <f>ROUND(L343/M343, 0)</f>
        <v/>
      </c>
      <c r="O343" s="18">
        <f>ROUND(N343*'Methodology &amp; Assumptions'!$B$8, 0)</f>
        <v/>
      </c>
      <c r="P343" s="8" t="inlineStr">
        <is>
          <t>Band n50 (1.5 GHz, 60 MHz)</t>
        </is>
      </c>
      <c r="Q343" s="38">
        <f>ROUNDUP(O343/'Methodology &amp; Assumptions'!$B$9, 0)</f>
        <v/>
      </c>
      <c r="R343" s="39" t="n">
        <v>1</v>
      </c>
      <c r="S343" s="21" t="n">
        <v>1.33</v>
      </c>
      <c r="T343" s="21" t="n">
        <v>0.11</v>
      </c>
      <c r="U343" s="36" t="inlineStr">
        <is>
          <t>Tier 1B (Micro Drop, 1-3 km)</t>
        </is>
      </c>
      <c r="V343" s="20" t="n">
        <v>74.09999999999999</v>
      </c>
      <c r="W343" s="20" t="n">
        <v>100</v>
      </c>
      <c r="X343" s="20" t="n">
        <v>28</v>
      </c>
      <c r="Y343" s="40">
        <f>ROUND((V343*'Methodology &amp; Assumptions'!$B$6)+(W343*'Methodology &amp; Assumptions'!$B$5)+(X343*'Methodology &amp; Assumptions'!$B$7), 2)</f>
        <v/>
      </c>
    </row>
    <row r="344" ht="19" customHeight="1">
      <c r="A344" s="41" t="n">
        <v>340</v>
      </c>
      <c r="B344" s="41" t="n">
        <v>2340</v>
      </c>
      <c r="C344" s="42" t="inlineStr">
        <is>
          <t>0405608022</t>
        </is>
      </c>
      <c r="D344" s="42" t="inlineStr">
        <is>
          <t>Region IV-A (CALABARZON)</t>
        </is>
      </c>
      <c r="E344" s="42" t="inlineStr">
        <is>
          <t>Quezon</t>
        </is>
      </c>
      <c r="F344" s="42" t="inlineStr">
        <is>
          <t>Candelaria</t>
        </is>
      </c>
      <c r="G344" s="42" t="inlineStr">
        <is>
          <t>San Andres</t>
        </is>
      </c>
      <c r="H344" s="43" t="n">
        <v>13.908468</v>
      </c>
      <c r="I344" s="43" t="n">
        <v>121.444818</v>
      </c>
      <c r="J344" s="44" t="inlineStr">
        <is>
          <t>U</t>
        </is>
      </c>
      <c r="K344" s="42" t="inlineStr">
        <is>
          <t>Class 1-3 / Urban</t>
        </is>
      </c>
      <c r="L344" s="23" t="n">
        <v>5823</v>
      </c>
      <c r="M344" s="24" t="n">
        <v>4.46</v>
      </c>
      <c r="N344" s="23">
        <f>ROUND(L344/M344, 0)</f>
        <v/>
      </c>
      <c r="O344" s="23">
        <f>ROUND(N344*'Methodology &amp; Assumptions'!$B$8, 0)</f>
        <v/>
      </c>
      <c r="P344" s="44" t="inlineStr">
        <is>
          <t>Band n50 (1.5 GHz, 60 MHz)</t>
        </is>
      </c>
      <c r="Q344" s="38">
        <f>ROUNDUP(O344/'Methodology &amp; Assumptions'!$B$9, 0)</f>
        <v/>
      </c>
      <c r="R344" s="39" t="n">
        <v>1</v>
      </c>
      <c r="S344" s="25" t="n">
        <v>1.33</v>
      </c>
      <c r="T344" s="25" t="n">
        <v>1.07</v>
      </c>
      <c r="U344" s="42" t="inlineStr">
        <is>
          <t>Tier 1B (Micro Drop, 1-3 km)</t>
        </is>
      </c>
      <c r="V344" s="24" t="n">
        <v>74.09999999999999</v>
      </c>
      <c r="W344" s="24" t="n">
        <v>100</v>
      </c>
      <c r="X344" s="24" t="n">
        <v>28</v>
      </c>
      <c r="Y344" s="45">
        <f>ROUND((V344*'Methodology &amp; Assumptions'!$B$6)+(W344*'Methodology &amp; Assumptions'!$B$5)+(X344*'Methodology &amp; Assumptions'!$B$7), 2)</f>
        <v/>
      </c>
    </row>
    <row r="345" ht="19" customHeight="1">
      <c r="A345" s="35" t="n">
        <v>341</v>
      </c>
      <c r="B345" s="35" t="n">
        <v>2341</v>
      </c>
      <c r="C345" s="36" t="inlineStr">
        <is>
          <t>0405623032</t>
        </is>
      </c>
      <c r="D345" s="36" t="inlineStr">
        <is>
          <t>Region IV-A (CALABARZON)</t>
        </is>
      </c>
      <c r="E345" s="36" t="inlineStr">
        <is>
          <t>Quezon</t>
        </is>
      </c>
      <c r="F345" s="36" t="inlineStr">
        <is>
          <t>Lucban</t>
        </is>
      </c>
      <c r="G345" s="36" t="inlineStr">
        <is>
          <t>Tinamnan</t>
        </is>
      </c>
      <c r="H345" s="37" t="n">
        <v>14.105221</v>
      </c>
      <c r="I345" s="37" t="n">
        <v>121.557318</v>
      </c>
      <c r="J345" s="8" t="inlineStr">
        <is>
          <t>U</t>
        </is>
      </c>
      <c r="K345" s="36" t="inlineStr">
        <is>
          <t>Class 1-3 / Urban</t>
        </is>
      </c>
      <c r="L345" s="18" t="n">
        <v>3765</v>
      </c>
      <c r="M345" s="20" t="n">
        <v>4.46</v>
      </c>
      <c r="N345" s="18">
        <f>ROUND(L345/M345, 0)</f>
        <v/>
      </c>
      <c r="O345" s="18">
        <f>ROUND(N345*'Methodology &amp; Assumptions'!$B$8, 0)</f>
        <v/>
      </c>
      <c r="P345" s="8" t="inlineStr">
        <is>
          <t>Band n50 (1.5 GHz, 60 MHz)</t>
        </is>
      </c>
      <c r="Q345" s="38">
        <f>ROUNDUP(O345/'Methodology &amp; Assumptions'!$B$9, 0)</f>
        <v/>
      </c>
      <c r="R345" s="39" t="n">
        <v>1</v>
      </c>
      <c r="S345" s="21" t="n">
        <v>0.96</v>
      </c>
      <c r="T345" s="21" t="n">
        <v>0.8</v>
      </c>
      <c r="U345" s="36" t="inlineStr">
        <is>
          <t>Tier 1A (Direct Coloc, &lt;1 km)</t>
        </is>
      </c>
      <c r="V345" s="20" t="n">
        <v>82.7</v>
      </c>
      <c r="W345" s="20" t="n">
        <v>91.5</v>
      </c>
      <c r="X345" s="20" t="n">
        <v>28</v>
      </c>
      <c r="Y345" s="40">
        <f>ROUND((V345*'Methodology &amp; Assumptions'!$B$6)+(W345*'Methodology &amp; Assumptions'!$B$5)+(X345*'Methodology &amp; Assumptions'!$B$7), 2)</f>
        <v/>
      </c>
    </row>
    <row r="346" ht="19" customHeight="1">
      <c r="A346" s="41" t="n">
        <v>342</v>
      </c>
      <c r="B346" s="41" t="n">
        <v>2342</v>
      </c>
      <c r="C346" s="42" t="inlineStr">
        <is>
          <t>0702215001</t>
        </is>
      </c>
      <c r="D346" s="42" t="inlineStr">
        <is>
          <t>Region VII (Central Visayas)</t>
        </is>
      </c>
      <c r="E346" s="42" t="inlineStr">
        <is>
          <t>Cebu</t>
        </is>
      </c>
      <c r="F346" s="42" t="inlineStr">
        <is>
          <t>Carmen</t>
        </is>
      </c>
      <c r="G346" s="42" t="inlineStr">
        <is>
          <t>Baring</t>
        </is>
      </c>
      <c r="H346" s="43" t="n">
        <v>10.587931</v>
      </c>
      <c r="I346" s="43" t="n">
        <v>124.014602</v>
      </c>
      <c r="J346" s="44" t="inlineStr">
        <is>
          <t>U</t>
        </is>
      </c>
      <c r="K346" s="42" t="inlineStr">
        <is>
          <t>Class 1-3 / Urban</t>
        </is>
      </c>
      <c r="L346" s="23" t="n">
        <v>5605</v>
      </c>
      <c r="M346" s="24" t="n">
        <v>4.42</v>
      </c>
      <c r="N346" s="23">
        <f>ROUND(L346/M346, 0)</f>
        <v/>
      </c>
      <c r="O346" s="23">
        <f>ROUND(N346*'Methodology &amp; Assumptions'!$B$8, 0)</f>
        <v/>
      </c>
      <c r="P346" s="44" t="inlineStr">
        <is>
          <t>Band n50 (1.5 GHz, 60 MHz)</t>
        </is>
      </c>
      <c r="Q346" s="38">
        <f>ROUNDUP(O346/'Methodology &amp; Assumptions'!$B$9, 0)</f>
        <v/>
      </c>
      <c r="R346" s="39" t="n">
        <v>1</v>
      </c>
      <c r="S346" s="25" t="n">
        <v>1.33</v>
      </c>
      <c r="T346" s="25" t="n">
        <v>0.36</v>
      </c>
      <c r="U346" s="42" t="inlineStr">
        <is>
          <t>Tier 1B (Micro Drop, 1-3 km)</t>
        </is>
      </c>
      <c r="V346" s="24" t="n">
        <v>74.09999999999999</v>
      </c>
      <c r="W346" s="24" t="n">
        <v>100</v>
      </c>
      <c r="X346" s="24" t="n">
        <v>28</v>
      </c>
      <c r="Y346" s="45">
        <f>ROUND((V346*'Methodology &amp; Assumptions'!$B$6)+(W346*'Methodology &amp; Assumptions'!$B$5)+(X346*'Methodology &amp; Assumptions'!$B$7), 2)</f>
        <v/>
      </c>
    </row>
    <row r="347" ht="19" customHeight="1">
      <c r="A347" s="35" t="n">
        <v>343</v>
      </c>
      <c r="B347" s="35" t="n">
        <v>2343</v>
      </c>
      <c r="C347" s="36" t="inlineStr">
        <is>
          <t>0506208033</t>
        </is>
      </c>
      <c r="D347" s="36" t="inlineStr">
        <is>
          <t>Region V (Bicol Region)</t>
        </is>
      </c>
      <c r="E347" s="36" t="inlineStr">
        <is>
          <t>Sorsogon</t>
        </is>
      </c>
      <c r="F347" s="36" t="inlineStr">
        <is>
          <t>Gubat</t>
        </is>
      </c>
      <c r="G347" s="36" t="inlineStr">
        <is>
          <t>Pinontingan</t>
        </is>
      </c>
      <c r="H347" s="37" t="n">
        <v>12.917286</v>
      </c>
      <c r="I347" s="37" t="n">
        <v>124.126539</v>
      </c>
      <c r="J347" s="8" t="inlineStr">
        <is>
          <t>R</t>
        </is>
      </c>
      <c r="K347" s="36" t="inlineStr">
        <is>
          <t>Class 1-3 / Urban</t>
        </is>
      </c>
      <c r="L347" s="18" t="n">
        <v>1452</v>
      </c>
      <c r="M347" s="20" t="n">
        <v>4.58</v>
      </c>
      <c r="N347" s="18">
        <f>ROUND(L347/M347, 0)</f>
        <v/>
      </c>
      <c r="O347" s="18">
        <f>ROUND(N347*'Methodology &amp; Assumptions'!$B$8, 0)</f>
        <v/>
      </c>
      <c r="P347" s="8" t="inlineStr">
        <is>
          <t>Band n50 (1.5 GHz, 60 MHz)</t>
        </is>
      </c>
      <c r="Q347" s="38">
        <f>ROUNDUP(O347/'Methodology &amp; Assumptions'!$B$9, 0)</f>
        <v/>
      </c>
      <c r="R347" s="39" t="n">
        <v>1</v>
      </c>
      <c r="S347" s="21" t="n">
        <v>0.35</v>
      </c>
      <c r="T347" s="21" t="n">
        <v>0.37</v>
      </c>
      <c r="U347" s="36" t="inlineStr">
        <is>
          <t>Tier 1A (Direct Coloc, &lt;1 km)</t>
        </is>
      </c>
      <c r="V347" s="20" t="n">
        <v>99</v>
      </c>
      <c r="W347" s="20" t="n">
        <v>49.3</v>
      </c>
      <c r="X347" s="20" t="n">
        <v>58</v>
      </c>
      <c r="Y347" s="40">
        <f>ROUND((V347*'Methodology &amp; Assumptions'!$B$6)+(W347*'Methodology &amp; Assumptions'!$B$5)+(X347*'Methodology &amp; Assumptions'!$B$7), 2)</f>
        <v/>
      </c>
    </row>
    <row r="348" ht="19" customHeight="1">
      <c r="A348" s="41" t="n">
        <v>344</v>
      </c>
      <c r="B348" s="41" t="n">
        <v>2344</v>
      </c>
      <c r="C348" s="42" t="inlineStr">
        <is>
          <t>1102319023</t>
        </is>
      </c>
      <c r="D348" s="42" t="inlineStr">
        <is>
          <t>Region XI (Davao Region)</t>
        </is>
      </c>
      <c r="E348" s="42" t="inlineStr">
        <is>
          <t>Davao del Norte</t>
        </is>
      </c>
      <c r="F348" s="42" t="inlineStr">
        <is>
          <t>City of Tagum</t>
        </is>
      </c>
      <c r="G348" s="42" t="inlineStr">
        <is>
          <t>Magugpo East</t>
        </is>
      </c>
      <c r="H348" s="43" t="n">
        <v>7.44911</v>
      </c>
      <c r="I348" s="43" t="n">
        <v>125.82029</v>
      </c>
      <c r="J348" s="44" t="inlineStr">
        <is>
          <t>U</t>
        </is>
      </c>
      <c r="K348" s="42" t="inlineStr">
        <is>
          <t>Class 1-3 / Urban</t>
        </is>
      </c>
      <c r="L348" s="23" t="n">
        <v>15770</v>
      </c>
      <c r="M348" s="24" t="n">
        <v>4.25</v>
      </c>
      <c r="N348" s="23">
        <f>ROUND(L348/M348, 0)</f>
        <v/>
      </c>
      <c r="O348" s="23">
        <f>ROUND(N348*'Methodology &amp; Assumptions'!$B$8, 0)</f>
        <v/>
      </c>
      <c r="P348" s="44" t="inlineStr">
        <is>
          <t>Band n50 (1.5 GHz, 60 MHz)</t>
        </is>
      </c>
      <c r="Q348" s="38">
        <f>ROUNDUP(O348/'Methodology &amp; Assumptions'!$B$9, 0)</f>
        <v/>
      </c>
      <c r="R348" s="39" t="n">
        <v>1</v>
      </c>
      <c r="S348" s="25" t="n">
        <v>1.34</v>
      </c>
      <c r="T348" s="25" t="n">
        <v>0.7</v>
      </c>
      <c r="U348" s="42" t="inlineStr">
        <is>
          <t>Tier 1B (Micro Drop, 1-3 km)</t>
        </is>
      </c>
      <c r="V348" s="24" t="n">
        <v>74.09999999999999</v>
      </c>
      <c r="W348" s="24" t="n">
        <v>100</v>
      </c>
      <c r="X348" s="24" t="n">
        <v>28</v>
      </c>
      <c r="Y348" s="45">
        <f>ROUND((V348*'Methodology &amp; Assumptions'!$B$6)+(W348*'Methodology &amp; Assumptions'!$B$5)+(X348*'Methodology &amp; Assumptions'!$B$7), 2)</f>
        <v/>
      </c>
    </row>
    <row r="349" ht="19" customHeight="1">
      <c r="A349" s="35" t="n">
        <v>345</v>
      </c>
      <c r="B349" s="35" t="n">
        <v>2345</v>
      </c>
      <c r="C349" s="36" t="inlineStr">
        <is>
          <t>0301411010</t>
        </is>
      </c>
      <c r="D349" s="36" t="inlineStr">
        <is>
          <t>Region III (Central Luzon)</t>
        </is>
      </c>
      <c r="E349" s="36" t="inlineStr">
        <is>
          <t>Bulacan</t>
        </is>
      </c>
      <c r="F349" s="36" t="inlineStr">
        <is>
          <t>Marilao</t>
        </is>
      </c>
      <c r="G349" s="36" t="inlineStr">
        <is>
          <t>Poblacion II</t>
        </is>
      </c>
      <c r="H349" s="37" t="n">
        <v>14.75893</v>
      </c>
      <c r="I349" s="37" t="n">
        <v>120.944014</v>
      </c>
      <c r="J349" s="8" t="inlineStr">
        <is>
          <t>U</t>
        </is>
      </c>
      <c r="K349" s="36" t="inlineStr">
        <is>
          <t>Class 1-3 / Urban</t>
        </is>
      </c>
      <c r="L349" s="18" t="n">
        <v>4968</v>
      </c>
      <c r="M349" s="20" t="n">
        <v>4.1</v>
      </c>
      <c r="N349" s="18">
        <f>ROUND(L349/M349, 0)</f>
        <v/>
      </c>
      <c r="O349" s="18">
        <f>ROUND(N349*'Methodology &amp; Assumptions'!$B$8, 0)</f>
        <v/>
      </c>
      <c r="P349" s="8" t="inlineStr">
        <is>
          <t>Band n50 (1.5 GHz, 60 MHz)</t>
        </is>
      </c>
      <c r="Q349" s="38">
        <f>ROUNDUP(O349/'Methodology &amp; Assumptions'!$B$9, 0)</f>
        <v/>
      </c>
      <c r="R349" s="39" t="n">
        <v>1</v>
      </c>
      <c r="S349" s="21" t="n">
        <v>1.34</v>
      </c>
      <c r="T349" s="21" t="n">
        <v>0.55</v>
      </c>
      <c r="U349" s="36" t="inlineStr">
        <is>
          <t>Tier 1B (Micro Drop, 1-3 km)</t>
        </is>
      </c>
      <c r="V349" s="20" t="n">
        <v>74.09999999999999</v>
      </c>
      <c r="W349" s="20" t="n">
        <v>100</v>
      </c>
      <c r="X349" s="20" t="n">
        <v>28</v>
      </c>
      <c r="Y349" s="40">
        <f>ROUND((V349*'Methodology &amp; Assumptions'!$B$6)+(W349*'Methodology &amp; Assumptions'!$B$5)+(X349*'Methodology &amp; Assumptions'!$B$7), 2)</f>
        <v/>
      </c>
    </row>
    <row r="350" ht="19" customHeight="1">
      <c r="A350" s="41" t="n">
        <v>346</v>
      </c>
      <c r="B350" s="41" t="n">
        <v>2346</v>
      </c>
      <c r="C350" s="42" t="inlineStr">
        <is>
          <t>0401027004</t>
        </is>
      </c>
      <c r="D350" s="42" t="inlineStr">
        <is>
          <t>Region IV-A (CALABARZON)</t>
        </is>
      </c>
      <c r="E350" s="42" t="inlineStr">
        <is>
          <t>Batangas</t>
        </is>
      </c>
      <c r="F350" s="42" t="inlineStr">
        <is>
          <t>Santa Teresita</t>
        </is>
      </c>
      <c r="G350" s="42" t="inlineStr">
        <is>
          <t>Calayaan</t>
        </is>
      </c>
      <c r="H350" s="43" t="n">
        <v>13.867981</v>
      </c>
      <c r="I350" s="43" t="n">
        <v>120.968989</v>
      </c>
      <c r="J350" s="44" t="inlineStr">
        <is>
          <t>R</t>
        </is>
      </c>
      <c r="K350" s="42" t="inlineStr">
        <is>
          <t>4th</t>
        </is>
      </c>
      <c r="L350" s="23" t="n">
        <v>2320</v>
      </c>
      <c r="M350" s="24" t="n">
        <v>4.9</v>
      </c>
      <c r="N350" s="23">
        <f>ROUND(L350/M350, 0)</f>
        <v/>
      </c>
      <c r="O350" s="23">
        <f>ROUND(N350*'Methodology &amp; Assumptions'!$B$8, 0)</f>
        <v/>
      </c>
      <c r="P350" s="44" t="inlineStr">
        <is>
          <t>Band n50 (1.5 GHz, 60 MHz)</t>
        </is>
      </c>
      <c r="Q350" s="38">
        <f>ROUNDUP(O350/'Methodology &amp; Assumptions'!$B$9, 0)</f>
        <v/>
      </c>
      <c r="R350" s="39" t="n">
        <v>1</v>
      </c>
      <c r="S350" s="25" t="n">
        <v>1.18</v>
      </c>
      <c r="T350" s="25" t="n">
        <v>0.8</v>
      </c>
      <c r="U350" s="42" t="inlineStr">
        <is>
          <t>Tier 1B (Micro Drop, 1-3 km)</t>
        </is>
      </c>
      <c r="V350" s="24" t="n">
        <v>77.40000000000001</v>
      </c>
      <c r="W350" s="24" t="n">
        <v>61.9</v>
      </c>
      <c r="X350" s="24" t="n">
        <v>68.5</v>
      </c>
      <c r="Y350" s="45">
        <f>ROUND((V350*'Methodology &amp; Assumptions'!$B$6)+(W350*'Methodology &amp; Assumptions'!$B$5)+(X350*'Methodology &amp; Assumptions'!$B$7), 2)</f>
        <v/>
      </c>
    </row>
    <row r="351" ht="19" customHeight="1">
      <c r="A351" s="35" t="n">
        <v>347</v>
      </c>
      <c r="B351" s="35" t="n">
        <v>2347</v>
      </c>
      <c r="C351" s="36" t="inlineStr">
        <is>
          <t>0701216012</t>
        </is>
      </c>
      <c r="D351" s="36" t="inlineStr">
        <is>
          <t>Region VII (Central Visayas)</t>
        </is>
      </c>
      <c r="E351" s="36" t="inlineStr">
        <is>
          <t>Bohol</t>
        </is>
      </c>
      <c r="F351" s="36" t="inlineStr">
        <is>
          <t>Cortes</t>
        </is>
      </c>
      <c r="G351" s="36" t="inlineStr">
        <is>
          <t>Salvador</t>
        </is>
      </c>
      <c r="H351" s="37" t="n">
        <v>9.718025000000001</v>
      </c>
      <c r="I351" s="37" t="n">
        <v>123.880559</v>
      </c>
      <c r="J351" s="8" t="inlineStr">
        <is>
          <t>R</t>
        </is>
      </c>
      <c r="K351" s="36" t="inlineStr">
        <is>
          <t>4th</t>
        </is>
      </c>
      <c r="L351" s="18" t="n">
        <v>1249</v>
      </c>
      <c r="M351" s="20" t="n">
        <v>4.66</v>
      </c>
      <c r="N351" s="18">
        <f>ROUND(L351/M351, 0)</f>
        <v/>
      </c>
      <c r="O351" s="18">
        <f>ROUND(N351*'Methodology &amp; Assumptions'!$B$8, 0)</f>
        <v/>
      </c>
      <c r="P351" s="8" t="inlineStr">
        <is>
          <t>Band n50 (1.5 GHz, 60 MHz)</t>
        </is>
      </c>
      <c r="Q351" s="38">
        <f>ROUNDUP(O351/'Methodology &amp; Assumptions'!$B$9, 0)</f>
        <v/>
      </c>
      <c r="R351" s="39" t="n">
        <v>1</v>
      </c>
      <c r="S351" s="21" t="n">
        <v>0.52</v>
      </c>
      <c r="T351" s="21" t="n">
        <v>0.59</v>
      </c>
      <c r="U351" s="36" t="inlineStr">
        <is>
          <t>Tier 1A (Direct Coloc, &lt;1 km)</t>
        </is>
      </c>
      <c r="V351" s="20" t="n">
        <v>94</v>
      </c>
      <c r="W351" s="20" t="n">
        <v>45.3</v>
      </c>
      <c r="X351" s="20" t="n">
        <v>68.5</v>
      </c>
      <c r="Y351" s="40">
        <f>ROUND((V351*'Methodology &amp; Assumptions'!$B$6)+(W351*'Methodology &amp; Assumptions'!$B$5)+(X351*'Methodology &amp; Assumptions'!$B$7), 2)</f>
        <v/>
      </c>
    </row>
    <row r="352" ht="19" customHeight="1">
      <c r="A352" s="41" t="n">
        <v>348</v>
      </c>
      <c r="B352" s="41" t="n">
        <v>2348</v>
      </c>
      <c r="C352" s="42" t="inlineStr">
        <is>
          <t>1102303022</t>
        </is>
      </c>
      <c r="D352" s="42" t="inlineStr">
        <is>
          <t>Region XI (Davao Region)</t>
        </is>
      </c>
      <c r="E352" s="42" t="inlineStr">
        <is>
          <t>Davao del Norte</t>
        </is>
      </c>
      <c r="F352" s="42" t="inlineStr">
        <is>
          <t>Carmen</t>
        </is>
      </c>
      <c r="G352" s="42" t="inlineStr">
        <is>
          <t>Tuganay</t>
        </is>
      </c>
      <c r="H352" s="43" t="n">
        <v>7.37074</v>
      </c>
      <c r="I352" s="43" t="n">
        <v>125.72162</v>
      </c>
      <c r="J352" s="44" t="inlineStr">
        <is>
          <t>R</t>
        </is>
      </c>
      <c r="K352" s="42" t="inlineStr">
        <is>
          <t>Class 1-3 / Urban</t>
        </is>
      </c>
      <c r="L352" s="23" t="n">
        <v>4966</v>
      </c>
      <c r="M352" s="24" t="n">
        <v>4.25</v>
      </c>
      <c r="N352" s="23">
        <f>ROUND(L352/M352, 0)</f>
        <v/>
      </c>
      <c r="O352" s="23">
        <f>ROUND(N352*'Methodology &amp; Assumptions'!$B$8, 0)</f>
        <v/>
      </c>
      <c r="P352" s="44" t="inlineStr">
        <is>
          <t>Band n50 (1.5 GHz, 60 MHz)</t>
        </is>
      </c>
      <c r="Q352" s="38">
        <f>ROUNDUP(O352/'Methodology &amp; Assumptions'!$B$9, 0)</f>
        <v/>
      </c>
      <c r="R352" s="39" t="n">
        <v>1</v>
      </c>
      <c r="S352" s="25" t="n">
        <v>2.88</v>
      </c>
      <c r="T352" s="25" t="n">
        <v>0.24</v>
      </c>
      <c r="U352" s="42" t="inlineStr">
        <is>
          <t>Tier 1B (Micro Drop, 1-3 km)</t>
        </is>
      </c>
      <c r="V352" s="24" t="n">
        <v>48.3</v>
      </c>
      <c r="W352" s="24" t="n">
        <v>100</v>
      </c>
      <c r="X352" s="24" t="n">
        <v>58</v>
      </c>
      <c r="Y352" s="45">
        <f>ROUND((V352*'Methodology &amp; Assumptions'!$B$6)+(W352*'Methodology &amp; Assumptions'!$B$5)+(X352*'Methodology &amp; Assumptions'!$B$7), 2)</f>
        <v/>
      </c>
    </row>
    <row r="353" ht="19" customHeight="1">
      <c r="A353" s="35" t="n">
        <v>349</v>
      </c>
      <c r="B353" s="35" t="n">
        <v>2349</v>
      </c>
      <c r="C353" s="36" t="inlineStr">
        <is>
          <t>1600204012</t>
        </is>
      </c>
      <c r="D353" s="36" t="inlineStr">
        <is>
          <t>Region XIII (Caraga)</t>
        </is>
      </c>
      <c r="E353" s="36" t="inlineStr">
        <is>
          <t>Agusan del Norte</t>
        </is>
      </c>
      <c r="F353" s="36" t="inlineStr">
        <is>
          <t>Carmen</t>
        </is>
      </c>
      <c r="G353" s="36" t="inlineStr">
        <is>
          <t>Tagcatong</t>
        </is>
      </c>
      <c r="H353" s="37" t="n">
        <v>9.000451</v>
      </c>
      <c r="I353" s="37" t="n">
        <v>125.269171</v>
      </c>
      <c r="J353" s="8" t="inlineStr">
        <is>
          <t>R</t>
        </is>
      </c>
      <c r="K353" s="36" t="inlineStr">
        <is>
          <t>3rd</t>
        </is>
      </c>
      <c r="L353" s="18" t="n">
        <v>3789</v>
      </c>
      <c r="M353" s="20" t="n">
        <v>4.42</v>
      </c>
      <c r="N353" s="18">
        <f>ROUND(L353/M353, 0)</f>
        <v/>
      </c>
      <c r="O353" s="18">
        <f>ROUND(N353*'Methodology &amp; Assumptions'!$B$8, 0)</f>
        <v/>
      </c>
      <c r="P353" s="8" t="inlineStr">
        <is>
          <t>Band n50 (1.5 GHz, 60 MHz)</t>
        </is>
      </c>
      <c r="Q353" s="38">
        <f>ROUNDUP(O353/'Methodology &amp; Assumptions'!$B$9, 0)</f>
        <v/>
      </c>
      <c r="R353" s="39" t="n">
        <v>1</v>
      </c>
      <c r="S353" s="21" t="n">
        <v>2.34</v>
      </c>
      <c r="T353" s="21" t="n">
        <v>0.14</v>
      </c>
      <c r="U353" s="36" t="inlineStr">
        <is>
          <t>Tier 1B (Micro Drop, 1-3 km)</t>
        </is>
      </c>
      <c r="V353" s="20" t="n">
        <v>55.8</v>
      </c>
      <c r="W353" s="20" t="n">
        <v>92.5</v>
      </c>
      <c r="X353" s="20" t="n">
        <v>58</v>
      </c>
      <c r="Y353" s="40">
        <f>ROUND((V353*'Methodology &amp; Assumptions'!$B$6)+(W353*'Methodology &amp; Assumptions'!$B$5)+(X353*'Methodology &amp; Assumptions'!$B$7), 2)</f>
        <v/>
      </c>
    </row>
    <row r="354" ht="19" customHeight="1">
      <c r="A354" s="41" t="n">
        <v>350</v>
      </c>
      <c r="B354" s="41" t="n">
        <v>2350</v>
      </c>
      <c r="C354" s="42" t="inlineStr">
        <is>
          <t>0205006003</t>
        </is>
      </c>
      <c r="D354" s="42" t="inlineStr">
        <is>
          <t>Region II (Cagayan Valley)</t>
        </is>
      </c>
      <c r="E354" s="42" t="inlineStr">
        <is>
          <t>Nueva Vizcaya</t>
        </is>
      </c>
      <c r="F354" s="42" t="inlineStr">
        <is>
          <t>Diadi</t>
        </is>
      </c>
      <c r="G354" s="42" t="inlineStr">
        <is>
          <t>Bugnay</t>
        </is>
      </c>
      <c r="H354" s="43" t="n">
        <v>16.658425</v>
      </c>
      <c r="I354" s="43" t="n">
        <v>121.373568</v>
      </c>
      <c r="J354" s="44" t="inlineStr">
        <is>
          <t>R</t>
        </is>
      </c>
      <c r="K354" s="42" t="inlineStr">
        <is>
          <t>3rd</t>
        </is>
      </c>
      <c r="L354" s="23" t="n">
        <v>1563</v>
      </c>
      <c r="M354" s="24" t="n">
        <v>4.08</v>
      </c>
      <c r="N354" s="23">
        <f>ROUND(L354/M354, 0)</f>
        <v/>
      </c>
      <c r="O354" s="23">
        <f>ROUND(N354*'Methodology &amp; Assumptions'!$B$8, 0)</f>
        <v/>
      </c>
      <c r="P354" s="44" t="inlineStr">
        <is>
          <t>Band n50 (1.5 GHz, 60 MHz)</t>
        </is>
      </c>
      <c r="Q354" s="38">
        <f>ROUNDUP(O354/'Methodology &amp; Assumptions'!$B$9, 0)</f>
        <v/>
      </c>
      <c r="R354" s="39" t="n">
        <v>1</v>
      </c>
      <c r="S354" s="25" t="n">
        <v>0.54</v>
      </c>
      <c r="T354" s="25" t="n">
        <v>0.02</v>
      </c>
      <c r="U354" s="42" t="inlineStr">
        <is>
          <t>Tier 1A (Direct Coloc, &lt;1 km)</t>
        </is>
      </c>
      <c r="V354" s="24" t="n">
        <v>93.59999999999999</v>
      </c>
      <c r="W354" s="24" t="n">
        <v>54.7</v>
      </c>
      <c r="X354" s="24" t="n">
        <v>58</v>
      </c>
      <c r="Y354" s="45">
        <f>ROUND((V354*'Methodology &amp; Assumptions'!$B$6)+(W354*'Methodology &amp; Assumptions'!$B$5)+(X354*'Methodology &amp; Assumptions'!$B$7), 2)</f>
        <v/>
      </c>
    </row>
    <row r="355" ht="19" customHeight="1">
      <c r="A355" s="35" t="n">
        <v>351</v>
      </c>
      <c r="B355" s="35" t="n">
        <v>2351</v>
      </c>
      <c r="C355" s="36" t="inlineStr">
        <is>
          <t>0405608011</t>
        </is>
      </c>
      <c r="D355" s="36" t="inlineStr">
        <is>
          <t>Region IV-A (CALABARZON)</t>
        </is>
      </c>
      <c r="E355" s="36" t="inlineStr">
        <is>
          <t>Quezon</t>
        </is>
      </c>
      <c r="F355" s="36" t="inlineStr">
        <is>
          <t>Candelaria</t>
        </is>
      </c>
      <c r="G355" s="36" t="inlineStr">
        <is>
          <t>Mangilag Sur</t>
        </is>
      </c>
      <c r="H355" s="37" t="n">
        <v>13.931215</v>
      </c>
      <c r="I355" s="37" t="n">
        <v>121.45483</v>
      </c>
      <c r="J355" s="8" t="inlineStr">
        <is>
          <t>U</t>
        </is>
      </c>
      <c r="K355" s="36" t="inlineStr">
        <is>
          <t>Class 1-3 / Urban</t>
        </is>
      </c>
      <c r="L355" s="18" t="n">
        <v>8451</v>
      </c>
      <c r="M355" s="20" t="n">
        <v>4.46</v>
      </c>
      <c r="N355" s="18">
        <f>ROUND(L355/M355, 0)</f>
        <v/>
      </c>
      <c r="O355" s="18">
        <f>ROUND(N355*'Methodology &amp; Assumptions'!$B$8, 0)</f>
        <v/>
      </c>
      <c r="P355" s="8" t="inlineStr">
        <is>
          <t>Band n50 (1.5 GHz, 60 MHz)</t>
        </is>
      </c>
      <c r="Q355" s="38">
        <f>ROUNDUP(O355/'Methodology &amp; Assumptions'!$B$9, 0)</f>
        <v/>
      </c>
      <c r="R355" s="39" t="n">
        <v>1</v>
      </c>
      <c r="S355" s="21" t="n">
        <v>1.34</v>
      </c>
      <c r="T355" s="21" t="n">
        <v>0.03</v>
      </c>
      <c r="U355" s="36" t="inlineStr">
        <is>
          <t>Tier 1B (Micro Drop, 1-3 km)</t>
        </is>
      </c>
      <c r="V355" s="20" t="n">
        <v>74</v>
      </c>
      <c r="W355" s="20" t="n">
        <v>100</v>
      </c>
      <c r="X355" s="20" t="n">
        <v>28</v>
      </c>
      <c r="Y355" s="40">
        <f>ROUND((V355*'Methodology &amp; Assumptions'!$B$6)+(W355*'Methodology &amp; Assumptions'!$B$5)+(X355*'Methodology &amp; Assumptions'!$B$7), 2)</f>
        <v/>
      </c>
    </row>
    <row r="356" ht="19" customHeight="1">
      <c r="A356" s="41" t="n">
        <v>352</v>
      </c>
      <c r="B356" s="41" t="n">
        <v>2352</v>
      </c>
      <c r="C356" s="42" t="inlineStr">
        <is>
          <t>0500514046</t>
        </is>
      </c>
      <c r="D356" s="42" t="inlineStr">
        <is>
          <t>Region V (Bicol Region)</t>
        </is>
      </c>
      <c r="E356" s="42" t="inlineStr">
        <is>
          <t>Albay</t>
        </is>
      </c>
      <c r="F356" s="42" t="inlineStr">
        <is>
          <t>Polangui</t>
        </is>
      </c>
      <c r="G356" s="42" t="inlineStr">
        <is>
          <t>Ubaliw</t>
        </is>
      </c>
      <c r="H356" s="43" t="n">
        <v>13.290405</v>
      </c>
      <c r="I356" s="43" t="n">
        <v>123.489013</v>
      </c>
      <c r="J356" s="44" t="inlineStr">
        <is>
          <t>U</t>
        </is>
      </c>
      <c r="K356" s="42" t="inlineStr">
        <is>
          <t>Class 1-3 / Urban</t>
        </is>
      </c>
      <c r="L356" s="23" t="n">
        <v>3529</v>
      </c>
      <c r="M356" s="24" t="n">
        <v>4.67</v>
      </c>
      <c r="N356" s="23">
        <f>ROUND(L356/M356, 0)</f>
        <v/>
      </c>
      <c r="O356" s="23">
        <f>ROUND(N356*'Methodology &amp; Assumptions'!$B$8, 0)</f>
        <v/>
      </c>
      <c r="P356" s="44" t="inlineStr">
        <is>
          <t>Band n50 (1.5 GHz, 60 MHz)</t>
        </is>
      </c>
      <c r="Q356" s="38">
        <f>ROUNDUP(O356/'Methodology &amp; Assumptions'!$B$9, 0)</f>
        <v/>
      </c>
      <c r="R356" s="39" t="n">
        <v>1</v>
      </c>
      <c r="S356" s="25" t="n">
        <v>0.6899999999999999</v>
      </c>
      <c r="T356" s="25" t="n">
        <v>0.25</v>
      </c>
      <c r="U356" s="42" t="inlineStr">
        <is>
          <t>Tier 1A (Direct Coloc, &lt;1 km)</t>
        </is>
      </c>
      <c r="V356" s="24" t="n">
        <v>89.5</v>
      </c>
      <c r="W356" s="24" t="n">
        <v>84.5</v>
      </c>
      <c r="X356" s="24" t="n">
        <v>28</v>
      </c>
      <c r="Y356" s="45">
        <f>ROUND((V356*'Methodology &amp; Assumptions'!$B$6)+(W356*'Methodology &amp; Assumptions'!$B$5)+(X356*'Methodology &amp; Assumptions'!$B$7), 2)</f>
        <v/>
      </c>
    </row>
    <row r="357" ht="19" customHeight="1">
      <c r="A357" s="35" t="n">
        <v>353</v>
      </c>
      <c r="B357" s="35" t="n">
        <v>2353</v>
      </c>
      <c r="C357" s="36" t="inlineStr">
        <is>
          <t>0304909025</t>
        </is>
      </c>
      <c r="D357" s="36" t="inlineStr">
        <is>
          <t>Region III (Central Luzon)</t>
        </is>
      </c>
      <c r="E357" s="36" t="inlineStr">
        <is>
          <t>Nueva Ecija</t>
        </is>
      </c>
      <c r="F357" s="36" t="inlineStr">
        <is>
          <t>General Mamerto Natividad</t>
        </is>
      </c>
      <c r="G357" s="36" t="inlineStr">
        <is>
          <t>Talabutab Norte</t>
        </is>
      </c>
      <c r="H357" s="37" t="n">
        <v>15.598943</v>
      </c>
      <c r="I357" s="37" t="n">
        <v>121.077731</v>
      </c>
      <c r="J357" s="8" t="inlineStr">
        <is>
          <t>R</t>
        </is>
      </c>
      <c r="K357" s="36" t="inlineStr">
        <is>
          <t>2nd</t>
        </is>
      </c>
      <c r="L357" s="18" t="n">
        <v>4054</v>
      </c>
      <c r="M357" s="20" t="n">
        <v>4.15</v>
      </c>
      <c r="N357" s="18">
        <f>ROUND(L357/M357, 0)</f>
        <v/>
      </c>
      <c r="O357" s="18">
        <f>ROUND(N357*'Methodology &amp; Assumptions'!$B$8, 0)</f>
        <v/>
      </c>
      <c r="P357" s="8" t="inlineStr">
        <is>
          <t>Band n50 (1.5 GHz, 60 MHz)</t>
        </is>
      </c>
      <c r="Q357" s="38">
        <f>ROUNDUP(O357/'Methodology &amp; Assumptions'!$B$9, 0)</f>
        <v/>
      </c>
      <c r="R357" s="39" t="n">
        <v>1</v>
      </c>
      <c r="S357" s="21" t="n">
        <v>2.88</v>
      </c>
      <c r="T357" s="21" t="n">
        <v>0.06</v>
      </c>
      <c r="U357" s="36" t="inlineStr">
        <is>
          <t>Tier 1B (Micro Drop, 1-3 km)</t>
        </is>
      </c>
      <c r="V357" s="20" t="n">
        <v>48.3</v>
      </c>
      <c r="W357" s="20" t="n">
        <v>100</v>
      </c>
      <c r="X357" s="20" t="n">
        <v>58</v>
      </c>
      <c r="Y357" s="40">
        <f>ROUND((V357*'Methodology &amp; Assumptions'!$B$6)+(W357*'Methodology &amp; Assumptions'!$B$5)+(X357*'Methodology &amp; Assumptions'!$B$7), 2)</f>
        <v/>
      </c>
    </row>
    <row r="358" ht="19" customHeight="1">
      <c r="A358" s="41" t="n">
        <v>354</v>
      </c>
      <c r="B358" s="41" t="n">
        <v>2354</v>
      </c>
      <c r="C358" s="42" t="inlineStr">
        <is>
          <t>1705202001</t>
        </is>
      </c>
      <c r="D358" s="42" t="inlineStr">
        <is>
          <t>MIMAROPA Region</t>
        </is>
      </c>
      <c r="E358" s="42" t="inlineStr">
        <is>
          <t>Oriental Mindoro</t>
        </is>
      </c>
      <c r="F358" s="42" t="inlineStr">
        <is>
          <t>Bansud</t>
        </is>
      </c>
      <c r="G358" s="42" t="inlineStr">
        <is>
          <t>Alcadesma</t>
        </is>
      </c>
      <c r="H358" s="43" t="n">
        <v>12.839229</v>
      </c>
      <c r="I358" s="43" t="n">
        <v>121.460422</v>
      </c>
      <c r="J358" s="44" t="inlineStr">
        <is>
          <t>R</t>
        </is>
      </c>
      <c r="K358" s="42" t="inlineStr">
        <is>
          <t>Class 1-3 / Urban</t>
        </is>
      </c>
      <c r="L358" s="23" t="n">
        <v>1884</v>
      </c>
      <c r="M358" s="24" t="n">
        <v>4.41</v>
      </c>
      <c r="N358" s="23">
        <f>ROUND(L358/M358, 0)</f>
        <v/>
      </c>
      <c r="O358" s="23">
        <f>ROUND(N358*'Methodology &amp; Assumptions'!$B$8, 0)</f>
        <v/>
      </c>
      <c r="P358" s="44" t="inlineStr">
        <is>
          <t>Band n50 (1.5 GHz, 60 MHz)</t>
        </is>
      </c>
      <c r="Q358" s="38">
        <f>ROUNDUP(O358/'Methodology &amp; Assumptions'!$B$9, 0)</f>
        <v/>
      </c>
      <c r="R358" s="39" t="n">
        <v>1</v>
      </c>
      <c r="S358" s="25" t="n">
        <v>0.52</v>
      </c>
      <c r="T358" s="25" t="n">
        <v>0.06</v>
      </c>
      <c r="U358" s="42" t="inlineStr">
        <is>
          <t>Tier 1A (Direct Coloc, &lt;1 km)</t>
        </is>
      </c>
      <c r="V358" s="24" t="n">
        <v>94.09999999999999</v>
      </c>
      <c r="W358" s="24" t="n">
        <v>54.1</v>
      </c>
      <c r="X358" s="24" t="n">
        <v>58</v>
      </c>
      <c r="Y358" s="45">
        <f>ROUND((V358*'Methodology &amp; Assumptions'!$B$6)+(W358*'Methodology &amp; Assumptions'!$B$5)+(X358*'Methodology &amp; Assumptions'!$B$7), 2)</f>
        <v/>
      </c>
    </row>
    <row r="359" ht="19" customHeight="1">
      <c r="A359" s="35" t="n">
        <v>355</v>
      </c>
      <c r="B359" s="35" t="n">
        <v>2355</v>
      </c>
      <c r="C359" s="36" t="inlineStr">
        <is>
          <t>0301401009</t>
        </is>
      </c>
      <c r="D359" s="36" t="inlineStr">
        <is>
          <t>Region III (Central Luzon)</t>
        </is>
      </c>
      <c r="E359" s="36" t="inlineStr">
        <is>
          <t>Bulacan</t>
        </is>
      </c>
      <c r="F359" s="36" t="inlineStr">
        <is>
          <t>Angat</t>
        </is>
      </c>
      <c r="G359" s="36" t="inlineStr">
        <is>
          <t>Niugan</t>
        </is>
      </c>
      <c r="H359" s="37" t="n">
        <v>14.946198</v>
      </c>
      <c r="I359" s="37" t="n">
        <v>120.966327</v>
      </c>
      <c r="J359" s="8" t="inlineStr">
        <is>
          <t>U</t>
        </is>
      </c>
      <c r="K359" s="36" t="inlineStr">
        <is>
          <t>Class 1-3 / Urban</t>
        </is>
      </c>
      <c r="L359" s="18" t="n">
        <v>5256</v>
      </c>
      <c r="M359" s="20" t="n">
        <v>4.1</v>
      </c>
      <c r="N359" s="18">
        <f>ROUND(L359/M359, 0)</f>
        <v/>
      </c>
      <c r="O359" s="18">
        <f>ROUND(N359*'Methodology &amp; Assumptions'!$B$8, 0)</f>
        <v/>
      </c>
      <c r="P359" s="8" t="inlineStr">
        <is>
          <t>Band n50 (1.5 GHz, 60 MHz)</t>
        </is>
      </c>
      <c r="Q359" s="38">
        <f>ROUNDUP(O359/'Methodology &amp; Assumptions'!$B$9, 0)</f>
        <v/>
      </c>
      <c r="R359" s="39" t="n">
        <v>1</v>
      </c>
      <c r="S359" s="21" t="n">
        <v>1.48</v>
      </c>
      <c r="T359" s="21" t="n">
        <v>4.24</v>
      </c>
      <c r="U359" s="36" t="inlineStr">
        <is>
          <t>Tier 1B (Micro Drop, 1-3 km)</t>
        </is>
      </c>
      <c r="V359" s="20" t="n">
        <v>61.2</v>
      </c>
      <c r="W359" s="20" t="n">
        <v>100</v>
      </c>
      <c r="X359" s="20" t="n">
        <v>43</v>
      </c>
      <c r="Y359" s="40">
        <f>ROUND((V359*'Methodology &amp; Assumptions'!$B$6)+(W359*'Methodology &amp; Assumptions'!$B$5)+(X359*'Methodology &amp; Assumptions'!$B$7), 2)</f>
        <v/>
      </c>
    </row>
    <row r="360" ht="19" customHeight="1">
      <c r="A360" s="41" t="n">
        <v>356</v>
      </c>
      <c r="B360" s="41" t="n">
        <v>2356</v>
      </c>
      <c r="C360" s="42" t="inlineStr">
        <is>
          <t>0704610001</t>
        </is>
      </c>
      <c r="D360" s="42" t="inlineStr">
        <is>
          <t>Region VII (Central Visayas)</t>
        </is>
      </c>
      <c r="E360" s="42" t="inlineStr">
        <is>
          <t>Negros Oriental</t>
        </is>
      </c>
      <c r="F360" s="42" t="inlineStr">
        <is>
          <t>City of Dumaguete</t>
        </is>
      </c>
      <c r="G360" s="42" t="inlineStr">
        <is>
          <t>Bagacay</t>
        </is>
      </c>
      <c r="H360" s="43" t="n">
        <v>9.299697999999999</v>
      </c>
      <c r="I360" s="43" t="n">
        <v>123.293598</v>
      </c>
      <c r="J360" s="44" t="inlineStr">
        <is>
          <t>U</t>
        </is>
      </c>
      <c r="K360" s="42" t="inlineStr">
        <is>
          <t>Class 1-3 / Urban</t>
        </is>
      </c>
      <c r="L360" s="23" t="n">
        <v>9592</v>
      </c>
      <c r="M360" s="24" t="n">
        <v>4.33</v>
      </c>
      <c r="N360" s="23">
        <f>ROUND(L360/M360, 0)</f>
        <v/>
      </c>
      <c r="O360" s="23">
        <f>ROUND(N360*'Methodology &amp; Assumptions'!$B$8, 0)</f>
        <v/>
      </c>
      <c r="P360" s="44" t="inlineStr">
        <is>
          <t>Band n50 (1.5 GHz, 60 MHz)</t>
        </is>
      </c>
      <c r="Q360" s="38">
        <f>ROUNDUP(O360/'Methodology &amp; Assumptions'!$B$9, 0)</f>
        <v/>
      </c>
      <c r="R360" s="39" t="n">
        <v>1</v>
      </c>
      <c r="S360" s="25" t="n">
        <v>1.34</v>
      </c>
      <c r="T360" s="25" t="n">
        <v>0.87</v>
      </c>
      <c r="U360" s="42" t="inlineStr">
        <is>
          <t>Tier 1B (Micro Drop, 1-3 km)</t>
        </is>
      </c>
      <c r="V360" s="24" t="n">
        <v>74</v>
      </c>
      <c r="W360" s="24" t="n">
        <v>100</v>
      </c>
      <c r="X360" s="24" t="n">
        <v>28</v>
      </c>
      <c r="Y360" s="45">
        <f>ROUND((V360*'Methodology &amp; Assumptions'!$B$6)+(W360*'Methodology &amp; Assumptions'!$B$5)+(X360*'Methodology &amp; Assumptions'!$B$7), 2)</f>
        <v/>
      </c>
    </row>
    <row r="361" ht="19" customHeight="1">
      <c r="A361" s="35" t="n">
        <v>357</v>
      </c>
      <c r="B361" s="35" t="n">
        <v>2357</v>
      </c>
      <c r="C361" s="36" t="inlineStr">
        <is>
          <t>0401014048</t>
        </is>
      </c>
      <c r="D361" s="36" t="inlineStr">
        <is>
          <t>Region IV-A (CALABARZON)</t>
        </is>
      </c>
      <c r="E361" s="36" t="inlineStr">
        <is>
          <t>Batangas</t>
        </is>
      </c>
      <c r="F361" s="36" t="inlineStr">
        <is>
          <t>City of Lipa</t>
        </is>
      </c>
      <c r="G361" s="36" t="inlineStr">
        <is>
          <t>Poblacion Barangay 7</t>
        </is>
      </c>
      <c r="H361" s="37" t="n">
        <v>13.9342</v>
      </c>
      <c r="I361" s="37" t="n">
        <v>121.1596</v>
      </c>
      <c r="J361" s="8" t="inlineStr">
        <is>
          <t>U</t>
        </is>
      </c>
      <c r="K361" s="36" t="inlineStr">
        <is>
          <t>Class 1-3 / Urban</t>
        </is>
      </c>
      <c r="L361" s="18" t="n">
        <v>4605</v>
      </c>
      <c r="M361" s="20" t="n">
        <v>4.62</v>
      </c>
      <c r="N361" s="18">
        <f>ROUND(L361/M361, 0)</f>
        <v/>
      </c>
      <c r="O361" s="18">
        <f>ROUND(N361*'Methodology &amp; Assumptions'!$B$8, 0)</f>
        <v/>
      </c>
      <c r="P361" s="8" t="inlineStr">
        <is>
          <t>Band n50 (1.5 GHz, 60 MHz)</t>
        </is>
      </c>
      <c r="Q361" s="38">
        <f>ROUNDUP(O361/'Methodology &amp; Assumptions'!$B$9, 0)</f>
        <v/>
      </c>
      <c r="R361" s="39" t="n">
        <v>1</v>
      </c>
      <c r="S361" s="21" t="n">
        <v>1.34</v>
      </c>
      <c r="T361" s="21" t="n">
        <v>0.59</v>
      </c>
      <c r="U361" s="36" t="inlineStr">
        <is>
          <t>Tier 1B (Micro Drop, 1-3 km)</t>
        </is>
      </c>
      <c r="V361" s="20" t="n">
        <v>74</v>
      </c>
      <c r="W361" s="20" t="n">
        <v>100</v>
      </c>
      <c r="X361" s="20" t="n">
        <v>28</v>
      </c>
      <c r="Y361" s="40">
        <f>ROUND((V361*'Methodology &amp; Assumptions'!$B$6)+(W361*'Methodology &amp; Assumptions'!$B$5)+(X361*'Methodology &amp; Assumptions'!$B$7), 2)</f>
        <v/>
      </c>
    </row>
    <row r="362" ht="19" customHeight="1">
      <c r="A362" s="41" t="n">
        <v>358</v>
      </c>
      <c r="B362" s="41" t="n">
        <v>2358</v>
      </c>
      <c r="C362" s="42" t="inlineStr">
        <is>
          <t>0402111004</t>
        </is>
      </c>
      <c r="D362" s="42" t="inlineStr">
        <is>
          <t>Region IV-A (CALABARZON)</t>
        </is>
      </c>
      <c r="E362" s="42" t="inlineStr">
        <is>
          <t>Cavite</t>
        </is>
      </c>
      <c r="F362" s="42" t="inlineStr">
        <is>
          <t>Kawit</t>
        </is>
      </c>
      <c r="G362" s="42" t="inlineStr">
        <is>
          <t>Marulas</t>
        </is>
      </c>
      <c r="H362" s="43" t="n">
        <v>14.446672</v>
      </c>
      <c r="I362" s="43" t="n">
        <v>120.908467</v>
      </c>
      <c r="J362" s="44" t="inlineStr">
        <is>
          <t>R</t>
        </is>
      </c>
      <c r="K362" s="42" t="inlineStr">
        <is>
          <t>Class 1-3 / Urban</t>
        </is>
      </c>
      <c r="L362" s="23" t="n">
        <v>3851</v>
      </c>
      <c r="M362" s="24" t="n">
        <v>4.49</v>
      </c>
      <c r="N362" s="23">
        <f>ROUND(L362/M362, 0)</f>
        <v/>
      </c>
      <c r="O362" s="23">
        <f>ROUND(N362*'Methodology &amp; Assumptions'!$B$8, 0)</f>
        <v/>
      </c>
      <c r="P362" s="44" t="inlineStr">
        <is>
          <t>Band n50 (1.5 GHz, 60 MHz)</t>
        </is>
      </c>
      <c r="Q362" s="38">
        <f>ROUNDUP(O362/'Methodology &amp; Assumptions'!$B$9, 0)</f>
        <v/>
      </c>
      <c r="R362" s="39" t="n">
        <v>1</v>
      </c>
      <c r="S362" s="25" t="n">
        <v>3.34</v>
      </c>
      <c r="T362" s="25" t="n">
        <v>0.65</v>
      </c>
      <c r="U362" s="42" t="inlineStr">
        <is>
          <t>Tier 2 (Fiber Corridor / Lateral, 3-5 km)</t>
        </is>
      </c>
      <c r="V362" s="24" t="n">
        <v>42.9</v>
      </c>
      <c r="W362" s="24" t="n">
        <v>92.5</v>
      </c>
      <c r="X362" s="24" t="n">
        <v>73</v>
      </c>
      <c r="Y362" s="45">
        <f>ROUND((V362*'Methodology &amp; Assumptions'!$B$6)+(W362*'Methodology &amp; Assumptions'!$B$5)+(X362*'Methodology &amp; Assumptions'!$B$7), 2)</f>
        <v/>
      </c>
    </row>
    <row r="363" ht="19" customHeight="1">
      <c r="A363" s="35" t="n">
        <v>359</v>
      </c>
      <c r="B363" s="35" t="n">
        <v>2359</v>
      </c>
      <c r="C363" s="36" t="inlineStr">
        <is>
          <t>0702208023</t>
        </is>
      </c>
      <c r="D363" s="36" t="inlineStr">
        <is>
          <t>Region VII (Central Visayas)</t>
        </is>
      </c>
      <c r="E363" s="36" t="inlineStr">
        <is>
          <t>Cebu</t>
        </is>
      </c>
      <c r="F363" s="36" t="inlineStr">
        <is>
          <t>Balamban</t>
        </is>
      </c>
      <c r="G363" s="36" t="inlineStr">
        <is>
          <t>Prenza</t>
        </is>
      </c>
      <c r="H363" s="37" t="n">
        <v>10.502967</v>
      </c>
      <c r="I363" s="37" t="n">
        <v>123.732214</v>
      </c>
      <c r="J363" s="8" t="inlineStr">
        <is>
          <t>R</t>
        </is>
      </c>
      <c r="K363" s="36" t="inlineStr">
        <is>
          <t>Class 1-3 / Urban</t>
        </is>
      </c>
      <c r="L363" s="18" t="n">
        <v>3542</v>
      </c>
      <c r="M363" s="20" t="n">
        <v>4.42</v>
      </c>
      <c r="N363" s="18">
        <f>ROUND(L363/M363, 0)</f>
        <v/>
      </c>
      <c r="O363" s="18">
        <f>ROUND(N363*'Methodology &amp; Assumptions'!$B$8, 0)</f>
        <v/>
      </c>
      <c r="P363" s="8" t="inlineStr">
        <is>
          <t>Band n50 (1.5 GHz, 60 MHz)</t>
        </is>
      </c>
      <c r="Q363" s="38">
        <f>ROUNDUP(O363/'Methodology &amp; Assumptions'!$B$9, 0)</f>
        <v/>
      </c>
      <c r="R363" s="39" t="n">
        <v>1</v>
      </c>
      <c r="S363" s="21" t="n">
        <v>2.06</v>
      </c>
      <c r="T363" s="21" t="n">
        <v>1.78</v>
      </c>
      <c r="U363" s="36" t="inlineStr">
        <is>
          <t>Tier 1B (Micro Drop, 1-3 km)</t>
        </is>
      </c>
      <c r="V363" s="20" t="n">
        <v>60.3</v>
      </c>
      <c r="W363" s="20" t="n">
        <v>88</v>
      </c>
      <c r="X363" s="20" t="n">
        <v>58</v>
      </c>
      <c r="Y363" s="40">
        <f>ROUND((V363*'Methodology &amp; Assumptions'!$B$6)+(W363*'Methodology &amp; Assumptions'!$B$5)+(X363*'Methodology &amp; Assumptions'!$B$7), 2)</f>
        <v/>
      </c>
    </row>
    <row r="364" ht="19" customHeight="1">
      <c r="A364" s="41" t="n">
        <v>360</v>
      </c>
      <c r="B364" s="41" t="n">
        <v>2360</v>
      </c>
      <c r="C364" s="42" t="inlineStr">
        <is>
          <t>1430300091</t>
        </is>
      </c>
      <c r="D364" s="42" t="inlineStr">
        <is>
          <t>Cordillera Administrative Region (CAR)</t>
        </is>
      </c>
      <c r="E364" s="42" t="inlineStr">
        <is>
          <t>Benguet</t>
        </is>
      </c>
      <c r="F364" s="42" t="inlineStr">
        <is>
          <t>City of Baguio</t>
        </is>
      </c>
      <c r="G364" s="42" t="inlineStr">
        <is>
          <t>MRR-Queen Of Peace</t>
        </is>
      </c>
      <c r="H364" s="43" t="n">
        <v>16.4138</v>
      </c>
      <c r="I364" s="43" t="n">
        <v>120.58879</v>
      </c>
      <c r="J364" s="44" t="inlineStr">
        <is>
          <t>R</t>
        </is>
      </c>
      <c r="K364" s="42" t="inlineStr">
        <is>
          <t>Class 1-3 / Urban</t>
        </is>
      </c>
      <c r="L364" s="23" t="n">
        <v>1614</v>
      </c>
      <c r="M364" s="24" t="n">
        <v>4.58</v>
      </c>
      <c r="N364" s="23">
        <f>ROUND(L364/M364, 0)</f>
        <v/>
      </c>
      <c r="O364" s="23">
        <f>ROUND(N364*'Methodology &amp; Assumptions'!$B$8, 0)</f>
        <v/>
      </c>
      <c r="P364" s="44" t="inlineStr">
        <is>
          <t>Band n50 (1.5 GHz, 60 MHz)</t>
        </is>
      </c>
      <c r="Q364" s="38">
        <f>ROUNDUP(O364/'Methodology &amp; Assumptions'!$B$9, 0)</f>
        <v/>
      </c>
      <c r="R364" s="39" t="n">
        <v>1</v>
      </c>
      <c r="S364" s="25" t="n">
        <v>0.13</v>
      </c>
      <c r="T364" s="25" t="n">
        <v>0.25</v>
      </c>
      <c r="U364" s="42" t="inlineStr">
        <is>
          <t>Tier 1A (Direct Coloc, &lt;1 km)</t>
        </is>
      </c>
      <c r="V364" s="24" t="n">
        <v>100</v>
      </c>
      <c r="W364" s="24" t="n">
        <v>48.3</v>
      </c>
      <c r="X364" s="24" t="n">
        <v>58</v>
      </c>
      <c r="Y364" s="45">
        <f>ROUND((V364*'Methodology &amp; Assumptions'!$B$6)+(W364*'Methodology &amp; Assumptions'!$B$5)+(X364*'Methodology &amp; Assumptions'!$B$7), 2)</f>
        <v/>
      </c>
    </row>
    <row r="365" ht="19" customHeight="1">
      <c r="A365" s="35" t="n">
        <v>361</v>
      </c>
      <c r="B365" s="35" t="n">
        <v>2361</v>
      </c>
      <c r="C365" s="36" t="inlineStr">
        <is>
          <t>1705213007</t>
        </is>
      </c>
      <c r="D365" s="36" t="inlineStr">
        <is>
          <t>MIMAROPA Region</t>
        </is>
      </c>
      <c r="E365" s="36" t="inlineStr">
        <is>
          <t>Oriental Mindoro</t>
        </is>
      </c>
      <c r="F365" s="36" t="inlineStr">
        <is>
          <t>San Teodoro</t>
        </is>
      </c>
      <c r="G365" s="36" t="inlineStr">
        <is>
          <t>Poblacion</t>
        </is>
      </c>
      <c r="H365" s="37" t="n">
        <v>13.43625</v>
      </c>
      <c r="I365" s="37" t="n">
        <v>121.0208</v>
      </c>
      <c r="J365" s="8" t="inlineStr">
        <is>
          <t>R</t>
        </is>
      </c>
      <c r="K365" s="36" t="inlineStr">
        <is>
          <t>2nd</t>
        </is>
      </c>
      <c r="L365" s="18" t="n">
        <v>1557</v>
      </c>
      <c r="M365" s="20" t="n">
        <v>4.41</v>
      </c>
      <c r="N365" s="18">
        <f>ROUND(L365/M365, 0)</f>
        <v/>
      </c>
      <c r="O365" s="18">
        <f>ROUND(N365*'Methodology &amp; Assumptions'!$B$8, 0)</f>
        <v/>
      </c>
      <c r="P365" s="8" t="inlineStr">
        <is>
          <t>Band n50 (1.5 GHz, 60 MHz)</t>
        </is>
      </c>
      <c r="Q365" s="38">
        <f>ROUNDUP(O365/'Methodology &amp; Assumptions'!$B$9, 0)</f>
        <v/>
      </c>
      <c r="R365" s="39" t="n">
        <v>1</v>
      </c>
      <c r="S365" s="21" t="n">
        <v>0.15</v>
      </c>
      <c r="T365" s="21" t="n">
        <v>0.24</v>
      </c>
      <c r="U365" s="36" t="inlineStr">
        <is>
          <t>Tier 1A (Direct Coloc, &lt;1 km)</t>
        </is>
      </c>
      <c r="V365" s="20" t="n">
        <v>100</v>
      </c>
      <c r="W365" s="20" t="n">
        <v>48.3</v>
      </c>
      <c r="X365" s="20" t="n">
        <v>58</v>
      </c>
      <c r="Y365" s="40">
        <f>ROUND((V365*'Methodology &amp; Assumptions'!$B$6)+(W365*'Methodology &amp; Assumptions'!$B$5)+(X365*'Methodology &amp; Assumptions'!$B$7), 2)</f>
        <v/>
      </c>
    </row>
    <row r="366" ht="19" customHeight="1">
      <c r="A366" s="41" t="n">
        <v>362</v>
      </c>
      <c r="B366" s="41" t="n">
        <v>2362</v>
      </c>
      <c r="C366" s="42" t="inlineStr">
        <is>
          <t>0506211001</t>
        </is>
      </c>
      <c r="D366" s="42" t="inlineStr">
        <is>
          <t>Region V (Bicol Region)</t>
        </is>
      </c>
      <c r="E366" s="42" t="inlineStr">
        <is>
          <t>Sorsogon</t>
        </is>
      </c>
      <c r="F366" s="42" t="inlineStr">
        <is>
          <t>Magallanes</t>
        </is>
      </c>
      <c r="G366" s="42" t="inlineStr">
        <is>
          <t>Aguada Norte</t>
        </is>
      </c>
      <c r="H366" s="43" t="n">
        <v>12.821868</v>
      </c>
      <c r="I366" s="43" t="n">
        <v>123.839971</v>
      </c>
      <c r="J366" s="44" t="inlineStr">
        <is>
          <t>R</t>
        </is>
      </c>
      <c r="K366" s="42" t="inlineStr">
        <is>
          <t>Class 1-3 / Urban</t>
        </is>
      </c>
      <c r="L366" s="23" t="n">
        <v>1386</v>
      </c>
      <c r="M366" s="24" t="n">
        <v>4.58</v>
      </c>
      <c r="N366" s="23">
        <f>ROUND(L366/M366, 0)</f>
        <v/>
      </c>
      <c r="O366" s="23">
        <f>ROUND(N366*'Methodology &amp; Assumptions'!$B$8, 0)</f>
        <v/>
      </c>
      <c r="P366" s="44" t="inlineStr">
        <is>
          <t>Band n50 (1.5 GHz, 60 MHz)</t>
        </is>
      </c>
      <c r="Q366" s="38">
        <f>ROUNDUP(O366/'Methodology &amp; Assumptions'!$B$9, 0)</f>
        <v/>
      </c>
      <c r="R366" s="39" t="n">
        <v>1</v>
      </c>
      <c r="S366" s="25" t="n">
        <v>0.01</v>
      </c>
      <c r="T366" s="25" t="n">
        <v>0.05</v>
      </c>
      <c r="U366" s="42" t="inlineStr">
        <is>
          <t>Tier 1A (Direct Coloc, &lt;1 km)</t>
        </is>
      </c>
      <c r="V366" s="24" t="n">
        <v>100</v>
      </c>
      <c r="W366" s="24" t="n">
        <v>48.3</v>
      </c>
      <c r="X366" s="24" t="n">
        <v>58</v>
      </c>
      <c r="Y366" s="45">
        <f>ROUND((V366*'Methodology &amp; Assumptions'!$B$6)+(W366*'Methodology &amp; Assumptions'!$B$5)+(X366*'Methodology &amp; Assumptions'!$B$7), 2)</f>
        <v/>
      </c>
    </row>
    <row r="367" ht="19" customHeight="1">
      <c r="A367" s="35" t="n">
        <v>363</v>
      </c>
      <c r="B367" s="35" t="n">
        <v>2363</v>
      </c>
      <c r="C367" s="36" t="inlineStr">
        <is>
          <t>0203114099</t>
        </is>
      </c>
      <c r="D367" s="36" t="inlineStr">
        <is>
          <t>Region II (Cagayan Valley)</t>
        </is>
      </c>
      <c r="E367" s="36" t="inlineStr">
        <is>
          <t>Isabela</t>
        </is>
      </c>
      <c r="F367" s="36" t="inlineStr">
        <is>
          <t>City of Ilagan</t>
        </is>
      </c>
      <c r="G367" s="36" t="inlineStr">
        <is>
          <t>Tangcul</t>
        </is>
      </c>
      <c r="H367" s="37" t="n">
        <v>17.166827</v>
      </c>
      <c r="I367" s="37" t="n">
        <v>121.91539</v>
      </c>
      <c r="J367" s="8" t="inlineStr">
        <is>
          <t>R</t>
        </is>
      </c>
      <c r="K367" s="36" t="inlineStr">
        <is>
          <t>Class 1-3 / Urban</t>
        </is>
      </c>
      <c r="L367" s="18" t="n">
        <v>1297</v>
      </c>
      <c r="M367" s="20" t="n">
        <v>4.3</v>
      </c>
      <c r="N367" s="18">
        <f>ROUND(L367/M367, 0)</f>
        <v/>
      </c>
      <c r="O367" s="18">
        <f>ROUND(N367*'Methodology &amp; Assumptions'!$B$8, 0)</f>
        <v/>
      </c>
      <c r="P367" s="8" t="inlineStr">
        <is>
          <t>Band n50 (1.5 GHz, 60 MHz)</t>
        </is>
      </c>
      <c r="Q367" s="38">
        <f>ROUNDUP(O367/'Methodology &amp; Assumptions'!$B$9, 0)</f>
        <v/>
      </c>
      <c r="R367" s="39" t="n">
        <v>1</v>
      </c>
      <c r="S367" s="21" t="n">
        <v>0.19</v>
      </c>
      <c r="T367" s="21" t="n">
        <v>0.19</v>
      </c>
      <c r="U367" s="36" t="inlineStr">
        <is>
          <t>Tier 1A (Direct Coloc, &lt;1 km)</t>
        </is>
      </c>
      <c r="V367" s="20" t="n">
        <v>100</v>
      </c>
      <c r="W367" s="20" t="n">
        <v>48.3</v>
      </c>
      <c r="X367" s="20" t="n">
        <v>58</v>
      </c>
      <c r="Y367" s="40">
        <f>ROUND((V367*'Methodology &amp; Assumptions'!$B$6)+(W367*'Methodology &amp; Assumptions'!$B$5)+(X367*'Methodology &amp; Assumptions'!$B$7), 2)</f>
        <v/>
      </c>
    </row>
    <row r="368" ht="19" customHeight="1">
      <c r="A368" s="41" t="n">
        <v>364</v>
      </c>
      <c r="B368" s="41" t="n">
        <v>2364</v>
      </c>
      <c r="C368" s="42" t="inlineStr">
        <is>
          <t>0403424053</t>
        </is>
      </c>
      <c r="D368" s="42" t="inlineStr">
        <is>
          <t>Region IV-A (CALABARZON)</t>
        </is>
      </c>
      <c r="E368" s="42" t="inlineStr">
        <is>
          <t>Laguna</t>
        </is>
      </c>
      <c r="F368" s="42" t="inlineStr">
        <is>
          <t>City of San Pablo</t>
        </is>
      </c>
      <c r="G368" s="42" t="inlineStr">
        <is>
          <t>San Jose</t>
        </is>
      </c>
      <c r="H368" s="43" t="n">
        <v>14.067399</v>
      </c>
      <c r="I368" s="43" t="n">
        <v>121.338732</v>
      </c>
      <c r="J368" s="44" t="inlineStr">
        <is>
          <t>U</t>
        </is>
      </c>
      <c r="K368" s="42" t="inlineStr">
        <is>
          <t>Class 1-3 / Urban</t>
        </is>
      </c>
      <c r="L368" s="23" t="n">
        <v>10720</v>
      </c>
      <c r="M368" s="24" t="n">
        <v>4.2</v>
      </c>
      <c r="N368" s="23">
        <f>ROUND(L368/M368, 0)</f>
        <v/>
      </c>
      <c r="O368" s="23">
        <f>ROUND(N368*'Methodology &amp; Assumptions'!$B$8, 0)</f>
        <v/>
      </c>
      <c r="P368" s="44" t="inlineStr">
        <is>
          <t>Band n50 (1.5 GHz, 60 MHz)</t>
        </is>
      </c>
      <c r="Q368" s="38">
        <f>ROUNDUP(O368/'Methodology &amp; Assumptions'!$B$9, 0)</f>
        <v/>
      </c>
      <c r="R368" s="39" t="n">
        <v>1</v>
      </c>
      <c r="S368" s="25" t="n">
        <v>1.34</v>
      </c>
      <c r="T368" s="25" t="n">
        <v>0.77</v>
      </c>
      <c r="U368" s="42" t="inlineStr">
        <is>
          <t>Tier 1B (Micro Drop, 1-3 km)</t>
        </is>
      </c>
      <c r="V368" s="24" t="n">
        <v>74</v>
      </c>
      <c r="W368" s="24" t="n">
        <v>100</v>
      </c>
      <c r="X368" s="24" t="n">
        <v>28</v>
      </c>
      <c r="Y368" s="45">
        <f>ROUND((V368*'Methodology &amp; Assumptions'!$B$6)+(W368*'Methodology &amp; Assumptions'!$B$5)+(X368*'Methodology &amp; Assumptions'!$B$7), 2)</f>
        <v/>
      </c>
    </row>
    <row r="369" ht="19" customHeight="1">
      <c r="A369" s="35" t="n">
        <v>365</v>
      </c>
      <c r="B369" s="35" t="n">
        <v>2365</v>
      </c>
      <c r="C369" s="36" t="inlineStr">
        <is>
          <t>0405648015</t>
        </is>
      </c>
      <c r="D369" s="36" t="inlineStr">
        <is>
          <t>Region IV-A (CALABARZON)</t>
        </is>
      </c>
      <c r="E369" s="36" t="inlineStr">
        <is>
          <t>Quezon</t>
        </is>
      </c>
      <c r="F369" s="36" t="inlineStr">
        <is>
          <t>Tiaong</t>
        </is>
      </c>
      <c r="G369" s="36" t="inlineStr">
        <is>
          <t>Lalig</t>
        </is>
      </c>
      <c r="H369" s="37" t="n">
        <v>13.97409</v>
      </c>
      <c r="I369" s="37" t="n">
        <v>121.325199</v>
      </c>
      <c r="J369" s="8" t="inlineStr">
        <is>
          <t>U</t>
        </is>
      </c>
      <c r="K369" s="36" t="inlineStr">
        <is>
          <t>Class 1-3 / Urban</t>
        </is>
      </c>
      <c r="L369" s="18" t="n">
        <v>9498</v>
      </c>
      <c r="M369" s="20" t="n">
        <v>4.46</v>
      </c>
      <c r="N369" s="18">
        <f>ROUND(L369/M369, 0)</f>
        <v/>
      </c>
      <c r="O369" s="18">
        <f>ROUND(N369*'Methodology &amp; Assumptions'!$B$8, 0)</f>
        <v/>
      </c>
      <c r="P369" s="8" t="inlineStr">
        <is>
          <t>Band n50 (1.5 GHz, 60 MHz)</t>
        </is>
      </c>
      <c r="Q369" s="38">
        <f>ROUNDUP(O369/'Methodology &amp; Assumptions'!$B$9, 0)</f>
        <v/>
      </c>
      <c r="R369" s="39" t="n">
        <v>1</v>
      </c>
      <c r="S369" s="21" t="n">
        <v>1.34</v>
      </c>
      <c r="T369" s="21" t="n">
        <v>0.34</v>
      </c>
      <c r="U369" s="36" t="inlineStr">
        <is>
          <t>Tier 1B (Micro Drop, 1-3 km)</t>
        </is>
      </c>
      <c r="V369" s="20" t="n">
        <v>73.90000000000001</v>
      </c>
      <c r="W369" s="20" t="n">
        <v>100</v>
      </c>
      <c r="X369" s="20" t="n">
        <v>28</v>
      </c>
      <c r="Y369" s="40">
        <f>ROUND((V369*'Methodology &amp; Assumptions'!$B$6)+(W369*'Methodology &amp; Assumptions'!$B$5)+(X369*'Methodology &amp; Assumptions'!$B$7), 2)</f>
        <v/>
      </c>
    </row>
    <row r="370" ht="19" customHeight="1">
      <c r="A370" s="41" t="n">
        <v>366</v>
      </c>
      <c r="B370" s="41" t="n">
        <v>2366</v>
      </c>
      <c r="C370" s="42" t="inlineStr">
        <is>
          <t>0403423011</t>
        </is>
      </c>
      <c r="D370" s="42" t="inlineStr">
        <is>
          <t>Region IV-A (CALABARZON)</t>
        </is>
      </c>
      <c r="E370" s="42" t="inlineStr">
        <is>
          <t>Laguna</t>
        </is>
      </c>
      <c r="F370" s="42" t="inlineStr">
        <is>
          <t>Rizal</t>
        </is>
      </c>
      <c r="G370" s="42" t="inlineStr">
        <is>
          <t>Tuy</t>
        </is>
      </c>
      <c r="H370" s="43" t="n">
        <v>14.111317</v>
      </c>
      <c r="I370" s="43" t="n">
        <v>121.404609</v>
      </c>
      <c r="J370" s="44" t="inlineStr">
        <is>
          <t>R</t>
        </is>
      </c>
      <c r="K370" s="42" t="inlineStr">
        <is>
          <t>4th</t>
        </is>
      </c>
      <c r="L370" s="23" t="n">
        <v>2115</v>
      </c>
      <c r="M370" s="24" t="n">
        <v>4.24</v>
      </c>
      <c r="N370" s="23">
        <f>ROUND(L370/M370, 0)</f>
        <v/>
      </c>
      <c r="O370" s="23">
        <f>ROUND(N370*'Methodology &amp; Assumptions'!$B$8, 0)</f>
        <v/>
      </c>
      <c r="P370" s="44" t="inlineStr">
        <is>
          <t>Band n50 (1.5 GHz, 60 MHz)</t>
        </is>
      </c>
      <c r="Q370" s="38">
        <f>ROUNDUP(O370/'Methodology &amp; Assumptions'!$B$9, 0)</f>
        <v/>
      </c>
      <c r="R370" s="39" t="n">
        <v>1</v>
      </c>
      <c r="S370" s="25" t="n">
        <v>1.28</v>
      </c>
      <c r="T370" s="25" t="n">
        <v>0.18</v>
      </c>
      <c r="U370" s="42" t="inlineStr">
        <is>
          <t>Tier 1B (Micro Drop, 1-3 km)</t>
        </is>
      </c>
      <c r="V370" s="24" t="n">
        <v>75.2</v>
      </c>
      <c r="W370" s="24" t="n">
        <v>64</v>
      </c>
      <c r="X370" s="24" t="n">
        <v>68.5</v>
      </c>
      <c r="Y370" s="45">
        <f>ROUND((V370*'Methodology &amp; Assumptions'!$B$6)+(W370*'Methodology &amp; Assumptions'!$B$5)+(X370*'Methodology &amp; Assumptions'!$B$7), 2)</f>
        <v/>
      </c>
    </row>
    <row r="371" ht="19" customHeight="1">
      <c r="A371" s="35" t="n">
        <v>367</v>
      </c>
      <c r="B371" s="35" t="n">
        <v>2367</v>
      </c>
      <c r="C371" s="36" t="inlineStr">
        <is>
          <t>0401014056</t>
        </is>
      </c>
      <c r="D371" s="36" t="inlineStr">
        <is>
          <t>Region IV-A (CALABARZON)</t>
        </is>
      </c>
      <c r="E371" s="36" t="inlineStr">
        <is>
          <t>Batangas</t>
        </is>
      </c>
      <c r="F371" s="36" t="inlineStr">
        <is>
          <t>City of Lipa</t>
        </is>
      </c>
      <c r="G371" s="36" t="inlineStr">
        <is>
          <t>San Benito</t>
        </is>
      </c>
      <c r="H371" s="37" t="n">
        <v>13.93506</v>
      </c>
      <c r="I371" s="37" t="n">
        <v>121.213984</v>
      </c>
      <c r="J371" s="8" t="inlineStr">
        <is>
          <t>R</t>
        </is>
      </c>
      <c r="K371" s="36" t="inlineStr">
        <is>
          <t>Class 1-3 / Urban</t>
        </is>
      </c>
      <c r="L371" s="18" t="n">
        <v>4507</v>
      </c>
      <c r="M371" s="20" t="n">
        <v>4.62</v>
      </c>
      <c r="N371" s="18">
        <f>ROUND(L371/M371, 0)</f>
        <v/>
      </c>
      <c r="O371" s="18">
        <f>ROUND(N371*'Methodology &amp; Assumptions'!$B$8, 0)</f>
        <v/>
      </c>
      <c r="P371" s="8" t="inlineStr">
        <is>
          <t>Band n50 (1.5 GHz, 60 MHz)</t>
        </is>
      </c>
      <c r="Q371" s="38">
        <f>ROUNDUP(O371/'Methodology &amp; Assumptions'!$B$9, 0)</f>
        <v/>
      </c>
      <c r="R371" s="39" t="n">
        <v>1</v>
      </c>
      <c r="S371" s="21" t="n">
        <v>2.19</v>
      </c>
      <c r="T371" s="21" t="n">
        <v>4.08</v>
      </c>
      <c r="U371" s="36" t="inlineStr">
        <is>
          <t>Tier 1B (Micro Drop, 1-3 km)</t>
        </is>
      </c>
      <c r="V371" s="20" t="n">
        <v>48.2</v>
      </c>
      <c r="W371" s="20" t="n">
        <v>100</v>
      </c>
      <c r="X371" s="20" t="n">
        <v>58</v>
      </c>
      <c r="Y371" s="40">
        <f>ROUND((V371*'Methodology &amp; Assumptions'!$B$6)+(W371*'Methodology &amp; Assumptions'!$B$5)+(X371*'Methodology &amp; Assumptions'!$B$7), 2)</f>
        <v/>
      </c>
    </row>
    <row r="372" ht="19" customHeight="1">
      <c r="A372" s="41" t="n">
        <v>368</v>
      </c>
      <c r="B372" s="41" t="n">
        <v>2368</v>
      </c>
      <c r="C372" s="42" t="inlineStr">
        <is>
          <t>0201528003</t>
        </is>
      </c>
      <c r="D372" s="42" t="inlineStr">
        <is>
          <t>Region II (Cagayan Valley)</t>
        </is>
      </c>
      <c r="E372" s="42" t="inlineStr">
        <is>
          <t>Cagayan</t>
        </is>
      </c>
      <c r="F372" s="42" t="inlineStr">
        <is>
          <t>Tuao</t>
        </is>
      </c>
      <c r="G372" s="42" t="inlineStr">
        <is>
          <t>Alabug</t>
        </is>
      </c>
      <c r="H372" s="43" t="n">
        <v>17.7311</v>
      </c>
      <c r="I372" s="43" t="n">
        <v>121.4751</v>
      </c>
      <c r="J372" s="44" t="inlineStr">
        <is>
          <t>R</t>
        </is>
      </c>
      <c r="K372" s="42" t="inlineStr">
        <is>
          <t>Class 1-3 / Urban</t>
        </is>
      </c>
      <c r="L372" s="23" t="n">
        <v>3587</v>
      </c>
      <c r="M372" s="24" t="n">
        <v>4.38</v>
      </c>
      <c r="N372" s="23">
        <f>ROUND(L372/M372, 0)</f>
        <v/>
      </c>
      <c r="O372" s="23">
        <f>ROUND(N372*'Methodology &amp; Assumptions'!$B$8, 0)</f>
        <v/>
      </c>
      <c r="P372" s="44" t="inlineStr">
        <is>
          <t>Band n50 (1.5 GHz, 60 MHz)</t>
        </is>
      </c>
      <c r="Q372" s="38">
        <f>ROUNDUP(O372/'Methodology &amp; Assumptions'!$B$9, 0)</f>
        <v/>
      </c>
      <c r="R372" s="39" t="n">
        <v>1</v>
      </c>
      <c r="S372" s="25" t="n">
        <v>1.6</v>
      </c>
      <c r="T372" s="25" t="n">
        <v>4.88</v>
      </c>
      <c r="U372" s="42" t="inlineStr">
        <is>
          <t>Tier 1B (Micro Drop, 1-3 km)</t>
        </is>
      </c>
      <c r="V372" s="24" t="n">
        <v>58.6</v>
      </c>
      <c r="W372" s="24" t="n">
        <v>89.59999999999999</v>
      </c>
      <c r="X372" s="24" t="n">
        <v>58</v>
      </c>
      <c r="Y372" s="45">
        <f>ROUND((V372*'Methodology &amp; Assumptions'!$B$6)+(W372*'Methodology &amp; Assumptions'!$B$5)+(X372*'Methodology &amp; Assumptions'!$B$7), 2)</f>
        <v/>
      </c>
    </row>
    <row r="373" ht="19" customHeight="1">
      <c r="A373" s="35" t="n">
        <v>369</v>
      </c>
      <c r="B373" s="35" t="n">
        <v>2369</v>
      </c>
      <c r="C373" s="36" t="inlineStr">
        <is>
          <t>1030500052</t>
        </is>
      </c>
      <c r="D373" s="36" t="inlineStr">
        <is>
          <t>Region X (Northern Mindanao)</t>
        </is>
      </c>
      <c r="E373" s="36" t="inlineStr">
        <is>
          <t>Misamis Oriental</t>
        </is>
      </c>
      <c r="F373" s="36" t="inlineStr">
        <is>
          <t>City of Cagayan De Oro</t>
        </is>
      </c>
      <c r="G373" s="36" t="inlineStr">
        <is>
          <t>Kauswagan</t>
        </is>
      </c>
      <c r="H373" s="37" t="n">
        <v>8.496629</v>
      </c>
      <c r="I373" s="37" t="n">
        <v>124.639933</v>
      </c>
      <c r="J373" s="8" t="inlineStr">
        <is>
          <t>U</t>
        </is>
      </c>
      <c r="K373" s="36" t="inlineStr">
        <is>
          <t>Class 1-3 / Urban</t>
        </is>
      </c>
      <c r="L373" s="18" t="n">
        <v>40239</v>
      </c>
      <c r="M373" s="20" t="n">
        <v>4.54</v>
      </c>
      <c r="N373" s="18">
        <f>ROUND(L373/M373, 0)</f>
        <v/>
      </c>
      <c r="O373" s="18">
        <f>ROUND(N373*'Methodology &amp; Assumptions'!$B$8, 0)</f>
        <v/>
      </c>
      <c r="P373" s="8" t="inlineStr">
        <is>
          <t>Band n50 (1.5 GHz, 60 MHz)</t>
        </is>
      </c>
      <c r="Q373" s="38">
        <f>ROUNDUP(O373/'Methodology &amp; Assumptions'!$B$9, 0)</f>
        <v/>
      </c>
      <c r="R373" s="39" t="n">
        <v>1</v>
      </c>
      <c r="S373" s="21" t="n">
        <v>1.26</v>
      </c>
      <c r="T373" s="21" t="n">
        <v>0.78</v>
      </c>
      <c r="U373" s="36" t="inlineStr">
        <is>
          <t>Tier 1B (Micro Drop, 1-3 km)</t>
        </is>
      </c>
      <c r="V373" s="20" t="n">
        <v>75.8</v>
      </c>
      <c r="W373" s="20" t="n">
        <v>98.09999999999999</v>
      </c>
      <c r="X373" s="20" t="n">
        <v>28</v>
      </c>
      <c r="Y373" s="40">
        <f>ROUND((V373*'Methodology &amp; Assumptions'!$B$6)+(W373*'Methodology &amp; Assumptions'!$B$5)+(X373*'Methodology &amp; Assumptions'!$B$7), 2)</f>
        <v/>
      </c>
    </row>
    <row r="374" ht="19" customHeight="1">
      <c r="A374" s="41" t="n">
        <v>370</v>
      </c>
      <c r="B374" s="41" t="n">
        <v>2370</v>
      </c>
      <c r="C374" s="42" t="inlineStr">
        <is>
          <t>1030500053</t>
        </is>
      </c>
      <c r="D374" s="42" t="inlineStr">
        <is>
          <t>Region X (Northern Mindanao)</t>
        </is>
      </c>
      <c r="E374" s="42" t="inlineStr">
        <is>
          <t>Misamis Oriental</t>
        </is>
      </c>
      <c r="F374" s="42" t="inlineStr">
        <is>
          <t>City of Cagayan De Oro</t>
        </is>
      </c>
      <c r="G374" s="42" t="inlineStr">
        <is>
          <t>Lapasan</t>
        </is>
      </c>
      <c r="H374" s="43" t="n">
        <v>8.483325000000001</v>
      </c>
      <c r="I374" s="43" t="n">
        <v>124.66477</v>
      </c>
      <c r="J374" s="44" t="inlineStr">
        <is>
          <t>U</t>
        </is>
      </c>
      <c r="K374" s="42" t="inlineStr">
        <is>
          <t>Class 1-3 / Urban</t>
        </is>
      </c>
      <c r="L374" s="23" t="n">
        <v>39234</v>
      </c>
      <c r="M374" s="24" t="n">
        <v>4.54</v>
      </c>
      <c r="N374" s="23">
        <f>ROUND(L374/M374, 0)</f>
        <v/>
      </c>
      <c r="O374" s="23">
        <f>ROUND(N374*'Methodology &amp; Assumptions'!$B$8, 0)</f>
        <v/>
      </c>
      <c r="P374" s="44" t="inlineStr">
        <is>
          <t>Band n50 (1.5 GHz, 60 MHz)</t>
        </is>
      </c>
      <c r="Q374" s="38">
        <f>ROUNDUP(O374/'Methodology &amp; Assumptions'!$B$9, 0)</f>
        <v/>
      </c>
      <c r="R374" s="39" t="n">
        <v>1</v>
      </c>
      <c r="S374" s="25" t="n">
        <v>1.26</v>
      </c>
      <c r="T374" s="25" t="n">
        <v>0.06</v>
      </c>
      <c r="U374" s="42" t="inlineStr">
        <is>
          <t>Tier 1B (Micro Drop, 1-3 km)</t>
        </is>
      </c>
      <c r="V374" s="24" t="n">
        <v>75.59999999999999</v>
      </c>
      <c r="W374" s="24" t="n">
        <v>98.3</v>
      </c>
      <c r="X374" s="24" t="n">
        <v>28</v>
      </c>
      <c r="Y374" s="45">
        <f>ROUND((V374*'Methodology &amp; Assumptions'!$B$6)+(W374*'Methodology &amp; Assumptions'!$B$5)+(X374*'Methodology &amp; Assumptions'!$B$7), 2)</f>
        <v/>
      </c>
    </row>
    <row r="375" ht="19" customHeight="1">
      <c r="A375" s="35" t="n">
        <v>371</v>
      </c>
      <c r="B375" s="35" t="n">
        <v>2371</v>
      </c>
      <c r="C375" s="36" t="inlineStr">
        <is>
          <t>0604524014</t>
        </is>
      </c>
      <c r="D375" s="36" t="inlineStr">
        <is>
          <t>Region VI (Western Visayas)</t>
        </is>
      </c>
      <c r="E375" s="36" t="inlineStr">
        <is>
          <t>Negros Occidental</t>
        </is>
      </c>
      <c r="F375" s="36" t="inlineStr">
        <is>
          <t>City of San Carlos</t>
        </is>
      </c>
      <c r="G375" s="36" t="inlineStr">
        <is>
          <t>Barangay V</t>
        </is>
      </c>
      <c r="H375" s="37" t="n">
        <v>10.486021</v>
      </c>
      <c r="I375" s="37" t="n">
        <v>123.410542</v>
      </c>
      <c r="J375" s="8" t="inlineStr">
        <is>
          <t>U</t>
        </is>
      </c>
      <c r="K375" s="36" t="inlineStr">
        <is>
          <t>Class 1-3 / Urban</t>
        </is>
      </c>
      <c r="L375" s="18" t="n">
        <v>7185</v>
      </c>
      <c r="M375" s="20" t="n">
        <v>4.33</v>
      </c>
      <c r="N375" s="18">
        <f>ROUND(L375/M375, 0)</f>
        <v/>
      </c>
      <c r="O375" s="18">
        <f>ROUND(N375*'Methodology &amp; Assumptions'!$B$8, 0)</f>
        <v/>
      </c>
      <c r="P375" s="8" t="inlineStr">
        <is>
          <t>Band n50 (1.5 GHz, 60 MHz)</t>
        </is>
      </c>
      <c r="Q375" s="38">
        <f>ROUNDUP(O375/'Methodology &amp; Assumptions'!$B$9, 0)</f>
        <v/>
      </c>
      <c r="R375" s="39" t="n">
        <v>1</v>
      </c>
      <c r="S375" s="21" t="n">
        <v>1.34</v>
      </c>
      <c r="T375" s="21" t="n">
        <v>0.17</v>
      </c>
      <c r="U375" s="36" t="inlineStr">
        <is>
          <t>Tier 1B (Micro Drop, 1-3 km)</t>
        </is>
      </c>
      <c r="V375" s="20" t="n">
        <v>73.90000000000001</v>
      </c>
      <c r="W375" s="20" t="n">
        <v>100</v>
      </c>
      <c r="X375" s="20" t="n">
        <v>28</v>
      </c>
      <c r="Y375" s="40">
        <f>ROUND((V375*'Methodology &amp; Assumptions'!$B$6)+(W375*'Methodology &amp; Assumptions'!$B$5)+(X375*'Methodology &amp; Assumptions'!$B$7), 2)</f>
        <v/>
      </c>
    </row>
    <row r="376" ht="19" customHeight="1">
      <c r="A376" s="41" t="n">
        <v>372</v>
      </c>
      <c r="B376" s="41" t="n">
        <v>2372</v>
      </c>
      <c r="C376" s="42" t="inlineStr">
        <is>
          <t>0105506012</t>
        </is>
      </c>
      <c r="D376" s="42" t="inlineStr">
        <is>
          <t>Region I (Ilocos Region)</t>
        </is>
      </c>
      <c r="E376" s="42" t="inlineStr">
        <is>
          <t>Pangasinan</t>
        </is>
      </c>
      <c r="F376" s="42" t="inlineStr">
        <is>
          <t>Asingan</t>
        </is>
      </c>
      <c r="G376" s="42" t="inlineStr">
        <is>
          <t>Domanpot</t>
        </is>
      </c>
      <c r="H376" s="43" t="n">
        <v>16.000197</v>
      </c>
      <c r="I376" s="43" t="n">
        <v>120.658333</v>
      </c>
      <c r="J376" s="44" t="inlineStr">
        <is>
          <t>U</t>
        </is>
      </c>
      <c r="K376" s="42" t="inlineStr">
        <is>
          <t>Class 1-3 / Urban</t>
        </is>
      </c>
      <c r="L376" s="23" t="n">
        <v>5455</v>
      </c>
      <c r="M376" s="24" t="n">
        <v>4.39</v>
      </c>
      <c r="N376" s="23">
        <f>ROUND(L376/M376, 0)</f>
        <v/>
      </c>
      <c r="O376" s="23">
        <f>ROUND(N376*'Methodology &amp; Assumptions'!$B$8, 0)</f>
        <v/>
      </c>
      <c r="P376" s="44" t="inlineStr">
        <is>
          <t>Band n50 (1.5 GHz, 60 MHz)</t>
        </is>
      </c>
      <c r="Q376" s="38">
        <f>ROUNDUP(O376/'Methodology &amp; Assumptions'!$B$9, 0)</f>
        <v/>
      </c>
      <c r="R376" s="39" t="n">
        <v>1</v>
      </c>
      <c r="S376" s="25" t="n">
        <v>1.34</v>
      </c>
      <c r="T376" s="25" t="n">
        <v>1.47</v>
      </c>
      <c r="U376" s="42" t="inlineStr">
        <is>
          <t>Tier 1B (Micro Drop, 1-3 km)</t>
        </is>
      </c>
      <c r="V376" s="24" t="n">
        <v>73.90000000000001</v>
      </c>
      <c r="W376" s="24" t="n">
        <v>100</v>
      </c>
      <c r="X376" s="24" t="n">
        <v>28</v>
      </c>
      <c r="Y376" s="45">
        <f>ROUND((V376*'Methodology &amp; Assumptions'!$B$6)+(W376*'Methodology &amp; Assumptions'!$B$5)+(X376*'Methodology &amp; Assumptions'!$B$7), 2)</f>
        <v/>
      </c>
    </row>
    <row r="377" ht="19" customHeight="1">
      <c r="A377" s="35" t="n">
        <v>373</v>
      </c>
      <c r="B377" s="35" t="n">
        <v>2373</v>
      </c>
      <c r="C377" s="36" t="inlineStr">
        <is>
          <t>0105502003</t>
        </is>
      </c>
      <c r="D377" s="36" t="inlineStr">
        <is>
          <t>Region I (Ilocos Region)</t>
        </is>
      </c>
      <c r="E377" s="36" t="inlineStr">
        <is>
          <t>Pangasinan</t>
        </is>
      </c>
      <c r="F377" s="36" t="inlineStr">
        <is>
          <t>Aguilar</t>
        </is>
      </c>
      <c r="G377" s="36" t="inlineStr">
        <is>
          <t>Baybay</t>
        </is>
      </c>
      <c r="H377" s="37" t="n">
        <v>15.897834</v>
      </c>
      <c r="I377" s="37" t="n">
        <v>120.234372</v>
      </c>
      <c r="J377" s="8" t="inlineStr">
        <is>
          <t>R</t>
        </is>
      </c>
      <c r="K377" s="36" t="inlineStr">
        <is>
          <t>Class 1-3 / Urban</t>
        </is>
      </c>
      <c r="L377" s="18" t="n">
        <v>3681</v>
      </c>
      <c r="M377" s="20" t="n">
        <v>4.39</v>
      </c>
      <c r="N377" s="18">
        <f>ROUND(L377/M377, 0)</f>
        <v/>
      </c>
      <c r="O377" s="18">
        <f>ROUND(N377*'Methodology &amp; Assumptions'!$B$8, 0)</f>
        <v/>
      </c>
      <c r="P377" s="8" t="inlineStr">
        <is>
          <t>Band n50 (1.5 GHz, 60 MHz)</t>
        </is>
      </c>
      <c r="Q377" s="38">
        <f>ROUNDUP(O377/'Methodology &amp; Assumptions'!$B$9, 0)</f>
        <v/>
      </c>
      <c r="R377" s="39" t="n">
        <v>1</v>
      </c>
      <c r="S377" s="21" t="n">
        <v>2.44</v>
      </c>
      <c r="T377" s="21" t="n">
        <v>12.48</v>
      </c>
      <c r="U377" s="36" t="inlineStr">
        <is>
          <t>Tier 1B (Micro Drop, 1-3 km)</t>
        </is>
      </c>
      <c r="V377" s="20" t="n">
        <v>44.3</v>
      </c>
      <c r="W377" s="20" t="n">
        <v>90.90000000000001</v>
      </c>
      <c r="X377" s="20" t="n">
        <v>73</v>
      </c>
      <c r="Y377" s="40">
        <f>ROUND((V377*'Methodology &amp; Assumptions'!$B$6)+(W377*'Methodology &amp; Assumptions'!$B$5)+(X377*'Methodology &amp; Assumptions'!$B$7), 2)</f>
        <v/>
      </c>
    </row>
    <row r="378" ht="19" customHeight="1">
      <c r="A378" s="41" t="n">
        <v>374</v>
      </c>
      <c r="B378" s="41" t="n">
        <v>2374</v>
      </c>
      <c r="C378" s="42" t="inlineStr">
        <is>
          <t>0401029014</t>
        </is>
      </c>
      <c r="D378" s="42" t="inlineStr">
        <is>
          <t>Region IV-A (CALABARZON)</t>
        </is>
      </c>
      <c r="E378" s="42" t="inlineStr">
        <is>
          <t>Batangas</t>
        </is>
      </c>
      <c r="F378" s="42" t="inlineStr">
        <is>
          <t>Taal</t>
        </is>
      </c>
      <c r="G378" s="42" t="inlineStr">
        <is>
          <t>Iba</t>
        </is>
      </c>
      <c r="H378" s="43" t="n">
        <v>13.874431</v>
      </c>
      <c r="I378" s="43" t="n">
        <v>120.93291</v>
      </c>
      <c r="J378" s="44" t="inlineStr">
        <is>
          <t>R</t>
        </is>
      </c>
      <c r="K378" s="42" t="inlineStr">
        <is>
          <t>Class 1-3 / Urban</t>
        </is>
      </c>
      <c r="L378" s="23" t="n">
        <v>3345</v>
      </c>
      <c r="M378" s="24" t="n">
        <v>4.62</v>
      </c>
      <c r="N378" s="23">
        <f>ROUND(L378/M378, 0)</f>
        <v/>
      </c>
      <c r="O378" s="23">
        <f>ROUND(N378*'Methodology &amp; Assumptions'!$B$8, 0)</f>
        <v/>
      </c>
      <c r="P378" s="44" t="inlineStr">
        <is>
          <t>Band n50 (1.5 GHz, 60 MHz)</t>
        </is>
      </c>
      <c r="Q378" s="38">
        <f>ROUNDUP(O378/'Methodology &amp; Assumptions'!$B$9, 0)</f>
        <v/>
      </c>
      <c r="R378" s="39" t="n">
        <v>1</v>
      </c>
      <c r="S378" s="25" t="n">
        <v>1.72</v>
      </c>
      <c r="T378" s="25" t="n">
        <v>1.53</v>
      </c>
      <c r="U378" s="42" t="inlineStr">
        <is>
          <t>Tier 1B (Micro Drop, 1-3 km)</t>
        </is>
      </c>
      <c r="V378" s="24" t="n">
        <v>66.3</v>
      </c>
      <c r="W378" s="24" t="n">
        <v>81.90000000000001</v>
      </c>
      <c r="X378" s="24" t="n">
        <v>58</v>
      </c>
      <c r="Y378" s="45">
        <f>ROUND((V378*'Methodology &amp; Assumptions'!$B$6)+(W378*'Methodology &amp; Assumptions'!$B$5)+(X378*'Methodology &amp; Assumptions'!$B$7), 2)</f>
        <v/>
      </c>
    </row>
    <row r="379" ht="19" customHeight="1">
      <c r="A379" s="35" t="n">
        <v>375</v>
      </c>
      <c r="B379" s="35" t="n">
        <v>2375</v>
      </c>
      <c r="C379" s="36" t="inlineStr">
        <is>
          <t>1430300144</t>
        </is>
      </c>
      <c r="D379" s="36" t="inlineStr">
        <is>
          <t>Cordillera Administrative Region (CAR)</t>
        </is>
      </c>
      <c r="E379" s="36" t="inlineStr">
        <is>
          <t>Benguet</t>
        </is>
      </c>
      <c r="F379" s="36" t="inlineStr">
        <is>
          <t>City of Baguio</t>
        </is>
      </c>
      <c r="G379" s="36" t="inlineStr">
        <is>
          <t>Gabriela Silang</t>
        </is>
      </c>
      <c r="H379" s="37" t="n">
        <v>16.39386</v>
      </c>
      <c r="I379" s="37" t="n">
        <v>120.60384</v>
      </c>
      <c r="J379" s="8" t="inlineStr">
        <is>
          <t>R</t>
        </is>
      </c>
      <c r="K379" s="36" t="inlineStr">
        <is>
          <t>Class 1-3 / Urban</t>
        </is>
      </c>
      <c r="L379" s="18" t="n">
        <v>2880</v>
      </c>
      <c r="M379" s="20" t="n">
        <v>4.58</v>
      </c>
      <c r="N379" s="18">
        <f>ROUND(L379/M379, 0)</f>
        <v/>
      </c>
      <c r="O379" s="18">
        <f>ROUND(N379*'Methodology &amp; Assumptions'!$B$8, 0)</f>
        <v/>
      </c>
      <c r="P379" s="8" t="inlineStr">
        <is>
          <t>Band n50 (1.5 GHz, 60 MHz)</t>
        </is>
      </c>
      <c r="Q379" s="38">
        <f>ROUNDUP(O379/'Methodology &amp; Assumptions'!$B$9, 0)</f>
        <v/>
      </c>
      <c r="R379" s="39" t="n">
        <v>1</v>
      </c>
      <c r="S379" s="21" t="n">
        <v>1.17</v>
      </c>
      <c r="T379" s="21" t="n">
        <v>1.02</v>
      </c>
      <c r="U379" s="36" t="inlineStr">
        <is>
          <t>Tier 1B (Micro Drop, 1-3 km)</t>
        </is>
      </c>
      <c r="V379" s="20" t="n">
        <v>77.7</v>
      </c>
      <c r="W379" s="20" t="n">
        <v>70.40000000000001</v>
      </c>
      <c r="X379" s="20" t="n">
        <v>58</v>
      </c>
      <c r="Y379" s="40">
        <f>ROUND((V379*'Methodology &amp; Assumptions'!$B$6)+(W379*'Methodology &amp; Assumptions'!$B$5)+(X379*'Methodology &amp; Assumptions'!$B$7), 2)</f>
        <v/>
      </c>
    </row>
    <row r="380" ht="19" customHeight="1">
      <c r="A380" s="41" t="n">
        <v>376</v>
      </c>
      <c r="B380" s="41" t="n">
        <v>2376</v>
      </c>
      <c r="C380" s="42" t="inlineStr">
        <is>
          <t>1402701005</t>
        </is>
      </c>
      <c r="D380" s="42" t="inlineStr">
        <is>
          <t>Cordillera Administrative Region (CAR)</t>
        </is>
      </c>
      <c r="E380" s="42" t="inlineStr">
        <is>
          <t>Ifugao</t>
        </is>
      </c>
      <c r="F380" s="42" t="inlineStr">
        <is>
          <t>Banaue</t>
        </is>
      </c>
      <c r="G380" s="42" t="inlineStr">
        <is>
          <t>Bocos</t>
        </is>
      </c>
      <c r="H380" s="43" t="n">
        <v>16.91637</v>
      </c>
      <c r="I380" s="43" t="n">
        <v>121.063091</v>
      </c>
      <c r="J380" s="44" t="inlineStr">
        <is>
          <t>R</t>
        </is>
      </c>
      <c r="K380" s="42" t="inlineStr">
        <is>
          <t>3rd</t>
        </is>
      </c>
      <c r="L380" s="23" t="n">
        <v>2606</v>
      </c>
      <c r="M380" s="24" t="n">
        <v>5.54</v>
      </c>
      <c r="N380" s="23">
        <f>ROUND(L380/M380, 0)</f>
        <v/>
      </c>
      <c r="O380" s="23">
        <f>ROUND(N380*'Methodology &amp; Assumptions'!$B$8, 0)</f>
        <v/>
      </c>
      <c r="P380" s="44" t="inlineStr">
        <is>
          <t>Band n50 (1.5 GHz, 60 MHz)</t>
        </is>
      </c>
      <c r="Q380" s="38">
        <f>ROUNDUP(O380/'Methodology &amp; Assumptions'!$B$9, 0)</f>
        <v/>
      </c>
      <c r="R380" s="39" t="n">
        <v>1</v>
      </c>
      <c r="S380" s="25" t="n">
        <v>0.65</v>
      </c>
      <c r="T380" s="25" t="n">
        <v>0.44</v>
      </c>
      <c r="U380" s="42" t="inlineStr">
        <is>
          <t>Tier 1A (Direct Coloc, &lt;1 km)</t>
        </is>
      </c>
      <c r="V380" s="24" t="n">
        <v>90.5</v>
      </c>
      <c r="W380" s="24" t="n">
        <v>57.6</v>
      </c>
      <c r="X380" s="24" t="n">
        <v>58</v>
      </c>
      <c r="Y380" s="45">
        <f>ROUND((V380*'Methodology &amp; Assumptions'!$B$6)+(W380*'Methodology &amp; Assumptions'!$B$5)+(X380*'Methodology &amp; Assumptions'!$B$7), 2)</f>
        <v/>
      </c>
    </row>
    <row r="381" ht="19" customHeight="1">
      <c r="A381" s="35" t="n">
        <v>377</v>
      </c>
      <c r="B381" s="35" t="n">
        <v>2377</v>
      </c>
      <c r="C381" s="36" t="inlineStr">
        <is>
          <t>0402108033</t>
        </is>
      </c>
      <c r="D381" s="36" t="inlineStr">
        <is>
          <t>Region IV-A (CALABARZON)</t>
        </is>
      </c>
      <c r="E381" s="36" t="inlineStr">
        <is>
          <t>Cavite</t>
        </is>
      </c>
      <c r="F381" s="36" t="inlineStr">
        <is>
          <t>City of General Trias</t>
        </is>
      </c>
      <c r="G381" s="36" t="inlineStr">
        <is>
          <t>Buenavista III</t>
        </is>
      </c>
      <c r="H381" s="37" t="n">
        <v>14.304451</v>
      </c>
      <c r="I381" s="37" t="n">
        <v>120.90339</v>
      </c>
      <c r="J381" s="8" t="inlineStr">
        <is>
          <t>U</t>
        </is>
      </c>
      <c r="K381" s="36" t="inlineStr">
        <is>
          <t>Class 1-3 / Urban</t>
        </is>
      </c>
      <c r="L381" s="18" t="n">
        <v>9139</v>
      </c>
      <c r="M381" s="20" t="n">
        <v>4.49</v>
      </c>
      <c r="N381" s="18">
        <f>ROUND(L381/M381, 0)</f>
        <v/>
      </c>
      <c r="O381" s="18">
        <f>ROUND(N381*'Methodology &amp; Assumptions'!$B$8, 0)</f>
        <v/>
      </c>
      <c r="P381" s="8" t="inlineStr">
        <is>
          <t>Band n50 (1.5 GHz, 60 MHz)</t>
        </is>
      </c>
      <c r="Q381" s="38">
        <f>ROUNDUP(O381/'Methodology &amp; Assumptions'!$B$9, 0)</f>
        <v/>
      </c>
      <c r="R381" s="39" t="n">
        <v>1</v>
      </c>
      <c r="S381" s="21" t="n">
        <v>1.35</v>
      </c>
      <c r="T381" s="21" t="n">
        <v>1.32</v>
      </c>
      <c r="U381" s="36" t="inlineStr">
        <is>
          <t>Tier 1B (Micro Drop, 1-3 km)</t>
        </is>
      </c>
      <c r="V381" s="20" t="n">
        <v>73.8</v>
      </c>
      <c r="W381" s="20" t="n">
        <v>100</v>
      </c>
      <c r="X381" s="20" t="n">
        <v>28</v>
      </c>
      <c r="Y381" s="40">
        <f>ROUND((V381*'Methodology &amp; Assumptions'!$B$6)+(W381*'Methodology &amp; Assumptions'!$B$5)+(X381*'Methodology &amp; Assumptions'!$B$7), 2)</f>
        <v/>
      </c>
    </row>
    <row r="382" ht="19" customHeight="1">
      <c r="A382" s="41" t="n">
        <v>378</v>
      </c>
      <c r="B382" s="41" t="n">
        <v>2378</v>
      </c>
      <c r="C382" s="42" t="inlineStr">
        <is>
          <t>0831600134</t>
        </is>
      </c>
      <c r="D382" s="42" t="inlineStr">
        <is>
          <t>Region VIII (Eastern Visayas)</t>
        </is>
      </c>
      <c r="E382" s="42" t="inlineStr">
        <is>
          <t>Leyte</t>
        </is>
      </c>
      <c r="F382" s="42" t="inlineStr">
        <is>
          <t>City of Tacloban</t>
        </is>
      </c>
      <c r="G382" s="42" t="inlineStr">
        <is>
          <t>Barangay 109</t>
        </is>
      </c>
      <c r="H382" s="43" t="n">
        <v>11.205317</v>
      </c>
      <c r="I382" s="43" t="n">
        <v>124.999458</v>
      </c>
      <c r="J382" s="44" t="inlineStr">
        <is>
          <t>U</t>
        </is>
      </c>
      <c r="K382" s="42" t="inlineStr">
        <is>
          <t>Class 1-3 / Urban</t>
        </is>
      </c>
      <c r="L382" s="23" t="n">
        <v>5108</v>
      </c>
      <c r="M382" s="24" t="n">
        <v>4.24</v>
      </c>
      <c r="N382" s="23">
        <f>ROUND(L382/M382, 0)</f>
        <v/>
      </c>
      <c r="O382" s="23">
        <f>ROUND(N382*'Methodology &amp; Assumptions'!$B$8, 0)</f>
        <v/>
      </c>
      <c r="P382" s="44" t="inlineStr">
        <is>
          <t>Band n50 (1.5 GHz, 60 MHz)</t>
        </is>
      </c>
      <c r="Q382" s="38">
        <f>ROUNDUP(O382/'Methodology &amp; Assumptions'!$B$9, 0)</f>
        <v/>
      </c>
      <c r="R382" s="39" t="n">
        <v>1</v>
      </c>
      <c r="S382" s="25" t="n">
        <v>1.35</v>
      </c>
      <c r="T382" s="25" t="n">
        <v>0.96</v>
      </c>
      <c r="U382" s="42" t="inlineStr">
        <is>
          <t>Tier 1B (Micro Drop, 1-3 km)</t>
        </is>
      </c>
      <c r="V382" s="24" t="n">
        <v>73.90000000000001</v>
      </c>
      <c r="W382" s="24" t="n">
        <v>100</v>
      </c>
      <c r="X382" s="24" t="n">
        <v>28</v>
      </c>
      <c r="Y382" s="45">
        <f>ROUND((V382*'Methodology &amp; Assumptions'!$B$6)+(W382*'Methodology &amp; Assumptions'!$B$5)+(X382*'Methodology &amp; Assumptions'!$B$7), 2)</f>
        <v/>
      </c>
    </row>
    <row r="383" ht="19" customHeight="1">
      <c r="A383" s="35" t="n">
        <v>379</v>
      </c>
      <c r="B383" s="35" t="n">
        <v>2379</v>
      </c>
      <c r="C383" s="36" t="inlineStr">
        <is>
          <t>0907302045</t>
        </is>
      </c>
      <c r="D383" s="36" t="inlineStr">
        <is>
          <t>Region IX (Zamboanga Peninsula)</t>
        </is>
      </c>
      <c r="E383" s="36" t="inlineStr">
        <is>
          <t>Zamboanga del Sur</t>
        </is>
      </c>
      <c r="F383" s="36" t="inlineStr">
        <is>
          <t>Aurora</t>
        </is>
      </c>
      <c r="G383" s="36" t="inlineStr">
        <is>
          <t>San Jose</t>
        </is>
      </c>
      <c r="H383" s="37" t="n">
        <v>7.955496</v>
      </c>
      <c r="I383" s="37" t="n">
        <v>123.58297</v>
      </c>
      <c r="J383" s="8" t="inlineStr">
        <is>
          <t>U</t>
        </is>
      </c>
      <c r="K383" s="36" t="inlineStr">
        <is>
          <t>Class 1-3 / Urban</t>
        </is>
      </c>
      <c r="L383" s="18" t="n">
        <v>3168</v>
      </c>
      <c r="M383" s="20" t="n">
        <v>4.61</v>
      </c>
      <c r="N383" s="18">
        <f>ROUND(L383/M383, 0)</f>
        <v/>
      </c>
      <c r="O383" s="18">
        <f>ROUND(N383*'Methodology &amp; Assumptions'!$B$8, 0)</f>
        <v/>
      </c>
      <c r="P383" s="8" t="inlineStr">
        <is>
          <t>Band n50 (1.5 GHz, 60 MHz)</t>
        </is>
      </c>
      <c r="Q383" s="38">
        <f>ROUNDUP(O383/'Methodology &amp; Assumptions'!$B$9, 0)</f>
        <v/>
      </c>
      <c r="R383" s="39" t="n">
        <v>1</v>
      </c>
      <c r="S383" s="21" t="n">
        <v>0.49</v>
      </c>
      <c r="T383" s="21" t="n">
        <v>0.32</v>
      </c>
      <c r="U383" s="36" t="inlineStr">
        <is>
          <t>Tier 1A (Direct Coloc, &lt;1 km)</t>
        </is>
      </c>
      <c r="V383" s="20" t="n">
        <v>94.90000000000001</v>
      </c>
      <c r="W383" s="20" t="n">
        <v>78.90000000000001</v>
      </c>
      <c r="X383" s="20" t="n">
        <v>28</v>
      </c>
      <c r="Y383" s="40">
        <f>ROUND((V383*'Methodology &amp; Assumptions'!$B$6)+(W383*'Methodology &amp; Assumptions'!$B$5)+(X383*'Methodology &amp; Assumptions'!$B$7), 2)</f>
        <v/>
      </c>
    </row>
    <row r="384" ht="19" customHeight="1">
      <c r="A384" s="41" t="n">
        <v>380</v>
      </c>
      <c r="B384" s="41" t="n">
        <v>2380</v>
      </c>
      <c r="C384" s="42" t="inlineStr">
        <is>
          <t>0403419009</t>
        </is>
      </c>
      <c r="D384" s="42" t="inlineStr">
        <is>
          <t>Region IV-A (CALABARZON)</t>
        </is>
      </c>
      <c r="E384" s="42" t="inlineStr">
        <is>
          <t>Laguna</t>
        </is>
      </c>
      <c r="F384" s="42" t="inlineStr">
        <is>
          <t>Pagsanjan</t>
        </is>
      </c>
      <c r="G384" s="42" t="inlineStr">
        <is>
          <t>Magdapio</t>
        </is>
      </c>
      <c r="H384" s="43" t="n">
        <v>14.269956</v>
      </c>
      <c r="I384" s="43" t="n">
        <v>121.459664</v>
      </c>
      <c r="J384" s="44" t="inlineStr">
        <is>
          <t>R</t>
        </is>
      </c>
      <c r="K384" s="42" t="inlineStr">
        <is>
          <t>Class 1-3 / Urban</t>
        </is>
      </c>
      <c r="L384" s="23" t="n">
        <v>2335</v>
      </c>
      <c r="M384" s="24" t="n">
        <v>4.2</v>
      </c>
      <c r="N384" s="23">
        <f>ROUND(L384/M384, 0)</f>
        <v/>
      </c>
      <c r="O384" s="23">
        <f>ROUND(N384*'Methodology &amp; Assumptions'!$B$8, 0)</f>
        <v/>
      </c>
      <c r="P384" s="44" t="inlineStr">
        <is>
          <t>Band n50 (1.5 GHz, 60 MHz)</t>
        </is>
      </c>
      <c r="Q384" s="38">
        <f>ROUNDUP(O384/'Methodology &amp; Assumptions'!$B$9, 0)</f>
        <v/>
      </c>
      <c r="R384" s="39" t="n">
        <v>1</v>
      </c>
      <c r="S384" s="25" t="n">
        <v>1.09</v>
      </c>
      <c r="T384" s="25" t="n">
        <v>0.5</v>
      </c>
      <c r="U384" s="42" t="inlineStr">
        <is>
          <t>Tier 1B (Micro Drop, 1-3 km)</t>
        </is>
      </c>
      <c r="V384" s="24" t="n">
        <v>79.59999999999999</v>
      </c>
      <c r="W384" s="24" t="n">
        <v>68.5</v>
      </c>
      <c r="X384" s="24" t="n">
        <v>58</v>
      </c>
      <c r="Y384" s="45">
        <f>ROUND((V384*'Methodology &amp; Assumptions'!$B$6)+(W384*'Methodology &amp; Assumptions'!$B$5)+(X384*'Methodology &amp; Assumptions'!$B$7), 2)</f>
        <v/>
      </c>
    </row>
    <row r="385" ht="19" customHeight="1">
      <c r="A385" s="35" t="n">
        <v>381</v>
      </c>
      <c r="B385" s="35" t="n">
        <v>2381</v>
      </c>
      <c r="C385" s="36" t="inlineStr">
        <is>
          <t>0301420023</t>
        </is>
      </c>
      <c r="D385" s="36" t="inlineStr">
        <is>
          <t>Region III (Central Luzon)</t>
        </is>
      </c>
      <c r="E385" s="36" t="inlineStr">
        <is>
          <t>Bulacan</t>
        </is>
      </c>
      <c r="F385" s="36" t="inlineStr">
        <is>
          <t>City of San Jose Del Monte</t>
        </is>
      </c>
      <c r="G385" s="36" t="inlineStr">
        <is>
          <t>Fatima II</t>
        </is>
      </c>
      <c r="H385" s="37" t="n">
        <v>14.843772</v>
      </c>
      <c r="I385" s="37" t="n">
        <v>121.043957</v>
      </c>
      <c r="J385" s="8" t="inlineStr">
        <is>
          <t>R</t>
        </is>
      </c>
      <c r="K385" s="36" t="inlineStr">
        <is>
          <t>Class 1-3 / Urban</t>
        </is>
      </c>
      <c r="L385" s="18" t="n">
        <v>1890</v>
      </c>
      <c r="M385" s="20" t="n">
        <v>4.1</v>
      </c>
      <c r="N385" s="18">
        <f>ROUND(L385/M385, 0)</f>
        <v/>
      </c>
      <c r="O385" s="18">
        <f>ROUND(N385*'Methodology &amp; Assumptions'!$B$8, 0)</f>
        <v/>
      </c>
      <c r="P385" s="8" t="inlineStr">
        <is>
          <t>Band n50 (1.5 GHz, 60 MHz)</t>
        </is>
      </c>
      <c r="Q385" s="38">
        <f>ROUNDUP(O385/'Methodology &amp; Assumptions'!$B$9, 0)</f>
        <v/>
      </c>
      <c r="R385" s="39" t="n">
        <v>1</v>
      </c>
      <c r="S385" s="21" t="n">
        <v>0.77</v>
      </c>
      <c r="T385" s="21" t="n">
        <v>1.49</v>
      </c>
      <c r="U385" s="36" t="inlineStr">
        <is>
          <t>Tier 1A (Direct Coloc, &lt;1 km)</t>
        </is>
      </c>
      <c r="V385" s="20" t="n">
        <v>87.3</v>
      </c>
      <c r="W385" s="20" t="n">
        <v>60.8</v>
      </c>
      <c r="X385" s="20" t="n">
        <v>58</v>
      </c>
      <c r="Y385" s="40">
        <f>ROUND((V385*'Methodology &amp; Assumptions'!$B$6)+(W385*'Methodology &amp; Assumptions'!$B$5)+(X385*'Methodology &amp; Assumptions'!$B$7), 2)</f>
        <v/>
      </c>
    </row>
    <row r="386" ht="19" customHeight="1">
      <c r="A386" s="41" t="n">
        <v>382</v>
      </c>
      <c r="B386" s="41" t="n">
        <v>2382</v>
      </c>
      <c r="C386" s="42" t="inlineStr">
        <is>
          <t>0306904021</t>
        </is>
      </c>
      <c r="D386" s="42" t="inlineStr">
        <is>
          <t>Region III (Central Luzon)</t>
        </is>
      </c>
      <c r="E386" s="42" t="inlineStr">
        <is>
          <t>Tarlac</t>
        </is>
      </c>
      <c r="F386" s="42" t="inlineStr">
        <is>
          <t>Capas</t>
        </is>
      </c>
      <c r="G386" s="42" t="inlineStr">
        <is>
          <t>Santo Rosario</t>
        </is>
      </c>
      <c r="H386" s="43" t="n">
        <v>15.335823</v>
      </c>
      <c r="I386" s="43" t="n">
        <v>120.588207</v>
      </c>
      <c r="J386" s="44" t="inlineStr">
        <is>
          <t>U</t>
        </is>
      </c>
      <c r="K386" s="42" t="inlineStr">
        <is>
          <t>Class 1-3 / Urban</t>
        </is>
      </c>
      <c r="L386" s="23" t="n">
        <v>6991</v>
      </c>
      <c r="M386" s="24" t="n">
        <v>4.3</v>
      </c>
      <c r="N386" s="23">
        <f>ROUND(L386/M386, 0)</f>
        <v/>
      </c>
      <c r="O386" s="23">
        <f>ROUND(N386*'Methodology &amp; Assumptions'!$B$8, 0)</f>
        <v/>
      </c>
      <c r="P386" s="44" t="inlineStr">
        <is>
          <t>Band n50 (1.5 GHz, 60 MHz)</t>
        </is>
      </c>
      <c r="Q386" s="38">
        <f>ROUNDUP(O386/'Methodology &amp; Assumptions'!$B$9, 0)</f>
        <v/>
      </c>
      <c r="R386" s="39" t="n">
        <v>1</v>
      </c>
      <c r="S386" s="25" t="n">
        <v>1.35</v>
      </c>
      <c r="T386" s="25" t="n">
        <v>0.33</v>
      </c>
      <c r="U386" s="42" t="inlineStr">
        <is>
          <t>Tier 1B (Micro Drop, 1-3 km)</t>
        </is>
      </c>
      <c r="V386" s="24" t="n">
        <v>73.8</v>
      </c>
      <c r="W386" s="24" t="n">
        <v>100</v>
      </c>
      <c r="X386" s="24" t="n">
        <v>28</v>
      </c>
      <c r="Y386" s="45">
        <f>ROUND((V386*'Methodology &amp; Assumptions'!$B$6)+(W386*'Methodology &amp; Assumptions'!$B$5)+(X386*'Methodology &amp; Assumptions'!$B$7), 2)</f>
        <v/>
      </c>
    </row>
    <row r="387" ht="19" customHeight="1">
      <c r="A387" s="35" t="n">
        <v>383</v>
      </c>
      <c r="B387" s="35" t="n">
        <v>2383</v>
      </c>
      <c r="C387" s="36" t="inlineStr">
        <is>
          <t>0105526016</t>
        </is>
      </c>
      <c r="D387" s="36" t="inlineStr">
        <is>
          <t>Region I (Ilocos Region)</t>
        </is>
      </c>
      <c r="E387" s="36" t="inlineStr">
        <is>
          <t>Pangasinan</t>
        </is>
      </c>
      <c r="F387" s="36" t="inlineStr">
        <is>
          <t>Mangaldan</t>
        </is>
      </c>
      <c r="G387" s="36" t="inlineStr">
        <is>
          <t>Lanas</t>
        </is>
      </c>
      <c r="H387" s="37" t="n">
        <v>16.079168</v>
      </c>
      <c r="I387" s="37" t="n">
        <v>120.38914</v>
      </c>
      <c r="J387" s="8" t="inlineStr">
        <is>
          <t>R</t>
        </is>
      </c>
      <c r="K387" s="36" t="inlineStr">
        <is>
          <t>Class 1-3 / Urban</t>
        </is>
      </c>
      <c r="L387" s="18" t="n">
        <v>3339</v>
      </c>
      <c r="M387" s="20" t="n">
        <v>4.39</v>
      </c>
      <c r="N387" s="18">
        <f>ROUND(L387/M387, 0)</f>
        <v/>
      </c>
      <c r="O387" s="18">
        <f>ROUND(N387*'Methodology &amp; Assumptions'!$B$8, 0)</f>
        <v/>
      </c>
      <c r="P387" s="8" t="inlineStr">
        <is>
          <t>Band n50 (1.5 GHz, 60 MHz)</t>
        </is>
      </c>
      <c r="Q387" s="38">
        <f>ROUNDUP(O387/'Methodology &amp; Assumptions'!$B$9, 0)</f>
        <v/>
      </c>
      <c r="R387" s="39" t="n">
        <v>1</v>
      </c>
      <c r="S387" s="21" t="n">
        <v>1.89</v>
      </c>
      <c r="T387" s="21" t="n">
        <v>0.83</v>
      </c>
      <c r="U387" s="36" t="inlineStr">
        <is>
          <t>Tier 1B (Micro Drop, 1-3 km)</t>
        </is>
      </c>
      <c r="V387" s="20" t="n">
        <v>63.3</v>
      </c>
      <c r="W387" s="20" t="n">
        <v>84.8</v>
      </c>
      <c r="X387" s="20" t="n">
        <v>58</v>
      </c>
      <c r="Y387" s="40">
        <f>ROUND((V387*'Methodology &amp; Assumptions'!$B$6)+(W387*'Methodology &amp; Assumptions'!$B$5)+(X387*'Methodology &amp; Assumptions'!$B$7), 2)</f>
        <v/>
      </c>
    </row>
    <row r="388" ht="19" customHeight="1">
      <c r="A388" s="41" t="n">
        <v>384</v>
      </c>
      <c r="B388" s="41" t="n">
        <v>2384</v>
      </c>
      <c r="C388" s="42" t="inlineStr">
        <is>
          <t>0601914036</t>
        </is>
      </c>
      <c r="D388" s="42" t="inlineStr">
        <is>
          <t>Region VI (Western Visayas)</t>
        </is>
      </c>
      <c r="E388" s="42" t="inlineStr">
        <is>
          <t>Capiz</t>
        </is>
      </c>
      <c r="F388" s="42" t="inlineStr">
        <is>
          <t>City of Roxas</t>
        </is>
      </c>
      <c r="G388" s="42" t="inlineStr">
        <is>
          <t>Loctugan</t>
        </is>
      </c>
      <c r="H388" s="43" t="n">
        <v>11.512432</v>
      </c>
      <c r="I388" s="43" t="n">
        <v>122.766068</v>
      </c>
      <c r="J388" s="44" t="inlineStr">
        <is>
          <t>R</t>
        </is>
      </c>
      <c r="K388" s="42" t="inlineStr">
        <is>
          <t>Class 1-3 / Urban</t>
        </is>
      </c>
      <c r="L388" s="23" t="n">
        <v>2359</v>
      </c>
      <c r="M388" s="24" t="n">
        <v>4.2</v>
      </c>
      <c r="N388" s="23">
        <f>ROUND(L388/M388, 0)</f>
        <v/>
      </c>
      <c r="O388" s="23">
        <f>ROUND(N388*'Methodology &amp; Assumptions'!$B$8, 0)</f>
        <v/>
      </c>
      <c r="P388" s="44" t="inlineStr">
        <is>
          <t>Band n50 (1.5 GHz, 60 MHz)</t>
        </is>
      </c>
      <c r="Q388" s="38">
        <f>ROUNDUP(O388/'Methodology &amp; Assumptions'!$B$9, 0)</f>
        <v/>
      </c>
      <c r="R388" s="39" t="n">
        <v>1</v>
      </c>
      <c r="S388" s="25" t="n">
        <v>1.11</v>
      </c>
      <c r="T388" s="25" t="n">
        <v>0.15</v>
      </c>
      <c r="U388" s="42" t="inlineStr">
        <is>
          <t>Tier 1B (Micro Drop, 1-3 km)</t>
        </is>
      </c>
      <c r="V388" s="24" t="n">
        <v>79</v>
      </c>
      <c r="W388" s="24" t="n">
        <v>69.09999999999999</v>
      </c>
      <c r="X388" s="24" t="n">
        <v>58</v>
      </c>
      <c r="Y388" s="45">
        <f>ROUND((V388*'Methodology &amp; Assumptions'!$B$6)+(W388*'Methodology &amp; Assumptions'!$B$5)+(X388*'Methodology &amp; Assumptions'!$B$7), 2)</f>
        <v/>
      </c>
    </row>
    <row r="389" ht="19" customHeight="1">
      <c r="A389" s="35" t="n">
        <v>385</v>
      </c>
      <c r="B389" s="35" t="n">
        <v>2385</v>
      </c>
      <c r="C389" s="36" t="inlineStr">
        <is>
          <t>0305410020</t>
        </is>
      </c>
      <c r="D389" s="36" t="inlineStr">
        <is>
          <t>Region III (Central Luzon)</t>
        </is>
      </c>
      <c r="E389" s="36" t="inlineStr">
        <is>
          <t>Pampanga</t>
        </is>
      </c>
      <c r="F389" s="36" t="inlineStr">
        <is>
          <t>Macabebe</t>
        </is>
      </c>
      <c r="G389" s="36" t="inlineStr">
        <is>
          <t>Sta. Rita</t>
        </is>
      </c>
      <c r="H389" s="37" t="n">
        <v>14.900012</v>
      </c>
      <c r="I389" s="37" t="n">
        <v>120.714997</v>
      </c>
      <c r="J389" s="8" t="inlineStr">
        <is>
          <t>U</t>
        </is>
      </c>
      <c r="K389" s="36" t="inlineStr">
        <is>
          <t>Class 1-3 / Urban</t>
        </is>
      </c>
      <c r="L389" s="18" t="n">
        <v>3603</v>
      </c>
      <c r="M389" s="20" t="n">
        <v>4.63</v>
      </c>
      <c r="N389" s="18">
        <f>ROUND(L389/M389, 0)</f>
        <v/>
      </c>
      <c r="O389" s="18">
        <f>ROUND(N389*'Methodology &amp; Assumptions'!$B$8, 0)</f>
        <v/>
      </c>
      <c r="P389" s="8" t="inlineStr">
        <is>
          <t>Band n50 (1.5 GHz, 60 MHz)</t>
        </is>
      </c>
      <c r="Q389" s="38">
        <f>ROUNDUP(O389/'Methodology &amp; Assumptions'!$B$9, 0)</f>
        <v/>
      </c>
      <c r="R389" s="39" t="n">
        <v>1</v>
      </c>
      <c r="S389" s="21" t="n">
        <v>1.3</v>
      </c>
      <c r="T389" s="21" t="n">
        <v>1.33</v>
      </c>
      <c r="U389" s="36" t="inlineStr">
        <is>
          <t>Tier 1B (Micro Drop, 1-3 km)</t>
        </is>
      </c>
      <c r="V389" s="20" t="n">
        <v>74.8</v>
      </c>
      <c r="W389" s="20" t="n">
        <v>86.09999999999999</v>
      </c>
      <c r="X389" s="20" t="n">
        <v>43</v>
      </c>
      <c r="Y389" s="40">
        <f>ROUND((V389*'Methodology &amp; Assumptions'!$B$6)+(W389*'Methodology &amp; Assumptions'!$B$5)+(X389*'Methodology &amp; Assumptions'!$B$7), 2)</f>
        <v/>
      </c>
    </row>
    <row r="390" ht="19" customHeight="1">
      <c r="A390" s="41" t="n">
        <v>386</v>
      </c>
      <c r="B390" s="41" t="n">
        <v>2386</v>
      </c>
      <c r="C390" s="42" t="inlineStr">
        <is>
          <t>0501720014</t>
        </is>
      </c>
      <c r="D390" s="42" t="inlineStr">
        <is>
          <t>Region V (Bicol Region)</t>
        </is>
      </c>
      <c r="E390" s="42" t="inlineStr">
        <is>
          <t>Camarines Sur</t>
        </is>
      </c>
      <c r="F390" s="42" t="inlineStr">
        <is>
          <t>Magarao</t>
        </is>
      </c>
      <c r="G390" s="42" t="inlineStr">
        <is>
          <t>Santa Rosa</t>
        </is>
      </c>
      <c r="H390" s="43" t="n">
        <v>13.660887</v>
      </c>
      <c r="I390" s="43" t="n">
        <v>123.176109</v>
      </c>
      <c r="J390" s="44" t="inlineStr">
        <is>
          <t>R</t>
        </is>
      </c>
      <c r="K390" s="42" t="inlineStr">
        <is>
          <t>4th</t>
        </is>
      </c>
      <c r="L390" s="23" t="n">
        <v>908</v>
      </c>
      <c r="M390" s="24" t="n">
        <v>4.81</v>
      </c>
      <c r="N390" s="23">
        <f>ROUND(L390/M390, 0)</f>
        <v/>
      </c>
      <c r="O390" s="23">
        <f>ROUND(N390*'Methodology &amp; Assumptions'!$B$8, 0)</f>
        <v/>
      </c>
      <c r="P390" s="44" t="inlineStr">
        <is>
          <t>Band n50 (1.5 GHz, 60 MHz)</t>
        </is>
      </c>
      <c r="Q390" s="38">
        <f>ROUNDUP(O390/'Methodology &amp; Assumptions'!$B$9, 0)</f>
        <v/>
      </c>
      <c r="R390" s="39" t="n">
        <v>1</v>
      </c>
      <c r="S390" s="25" t="n">
        <v>0.78</v>
      </c>
      <c r="T390" s="25" t="n">
        <v>0.57</v>
      </c>
      <c r="U390" s="42" t="inlineStr">
        <is>
          <t>Tier 1A (Direct Coloc, &lt;1 km)</t>
        </is>
      </c>
      <c r="V390" s="24" t="n">
        <v>87</v>
      </c>
      <c r="W390" s="24" t="n">
        <v>39.2</v>
      </c>
      <c r="X390" s="24" t="n">
        <v>83.5</v>
      </c>
      <c r="Y390" s="45">
        <f>ROUND((V390*'Methodology &amp; Assumptions'!$B$6)+(W390*'Methodology &amp; Assumptions'!$B$5)+(X390*'Methodology &amp; Assumptions'!$B$7), 2)</f>
        <v/>
      </c>
    </row>
    <row r="391" ht="19" customHeight="1">
      <c r="A391" s="35" t="n">
        <v>387</v>
      </c>
      <c r="B391" s="35" t="n">
        <v>2387</v>
      </c>
      <c r="C391" s="36" t="inlineStr">
        <is>
          <t>0201501011</t>
        </is>
      </c>
      <c r="D391" s="36" t="inlineStr">
        <is>
          <t>Region II (Cagayan Valley)</t>
        </is>
      </c>
      <c r="E391" s="36" t="inlineStr">
        <is>
          <t>Cagayan</t>
        </is>
      </c>
      <c r="F391" s="36" t="inlineStr">
        <is>
          <t>Abulug</t>
        </is>
      </c>
      <c r="G391" s="36" t="inlineStr">
        <is>
          <t>Lucban</t>
        </is>
      </c>
      <c r="H391" s="37" t="n">
        <v>18.337132</v>
      </c>
      <c r="I391" s="37" t="n">
        <v>121.431333</v>
      </c>
      <c r="J391" s="8" t="inlineStr">
        <is>
          <t>R</t>
        </is>
      </c>
      <c r="K391" s="36" t="inlineStr">
        <is>
          <t>Class 1-3 / Urban</t>
        </is>
      </c>
      <c r="L391" s="18" t="n">
        <v>3130</v>
      </c>
      <c r="M391" s="20" t="n">
        <v>4.38</v>
      </c>
      <c r="N391" s="18">
        <f>ROUND(L391/M391, 0)</f>
        <v/>
      </c>
      <c r="O391" s="18">
        <f>ROUND(N391*'Methodology &amp; Assumptions'!$B$8, 0)</f>
        <v/>
      </c>
      <c r="P391" s="8" t="inlineStr">
        <is>
          <t>Band n50 (1.5 GHz, 60 MHz)</t>
        </is>
      </c>
      <c r="Q391" s="38">
        <f>ROUNDUP(O391/'Methodology &amp; Assumptions'!$B$9, 0)</f>
        <v/>
      </c>
      <c r="R391" s="39" t="n">
        <v>1</v>
      </c>
      <c r="S391" s="21" t="n">
        <v>1.69</v>
      </c>
      <c r="T391" s="21" t="n">
        <v>0.32</v>
      </c>
      <c r="U391" s="36" t="inlineStr">
        <is>
          <t>Tier 1B (Micro Drop, 1-3 km)</t>
        </is>
      </c>
      <c r="V391" s="20" t="n">
        <v>67</v>
      </c>
      <c r="W391" s="20" t="n">
        <v>81.09999999999999</v>
      </c>
      <c r="X391" s="20" t="n">
        <v>58</v>
      </c>
      <c r="Y391" s="40">
        <f>ROUND((V391*'Methodology &amp; Assumptions'!$B$6)+(W391*'Methodology &amp; Assumptions'!$B$5)+(X391*'Methodology &amp; Assumptions'!$B$7), 2)</f>
        <v/>
      </c>
    </row>
    <row r="392" ht="19" customHeight="1">
      <c r="A392" s="41" t="n">
        <v>388</v>
      </c>
      <c r="B392" s="41" t="n">
        <v>2388</v>
      </c>
      <c r="C392" s="42" t="inlineStr">
        <is>
          <t>0402112013</t>
        </is>
      </c>
      <c r="D392" s="42" t="inlineStr">
        <is>
          <t>Region IV-A (CALABARZON)</t>
        </is>
      </c>
      <c r="E392" s="42" t="inlineStr">
        <is>
          <t>Cavite</t>
        </is>
      </c>
      <c r="F392" s="42" t="inlineStr">
        <is>
          <t>Magallanes</t>
        </is>
      </c>
      <c r="G392" s="42" t="inlineStr">
        <is>
          <t>Urdaneta</t>
        </is>
      </c>
      <c r="H392" s="43" t="n">
        <v>14.165509</v>
      </c>
      <c r="I392" s="43" t="n">
        <v>120.73261</v>
      </c>
      <c r="J392" s="44" t="inlineStr">
        <is>
          <t>R</t>
        </is>
      </c>
      <c r="K392" s="42" t="inlineStr">
        <is>
          <t>3rd</t>
        </is>
      </c>
      <c r="L392" s="23" t="n">
        <v>2225</v>
      </c>
      <c r="M392" s="24" t="n">
        <v>4.75</v>
      </c>
      <c r="N392" s="23">
        <f>ROUND(L392/M392, 0)</f>
        <v/>
      </c>
      <c r="O392" s="23">
        <f>ROUND(N392*'Methodology &amp; Assumptions'!$B$8, 0)</f>
        <v/>
      </c>
      <c r="P392" s="44" t="inlineStr">
        <is>
          <t>Band n50 (1.5 GHz, 60 MHz)</t>
        </is>
      </c>
      <c r="Q392" s="38">
        <f>ROUNDUP(O392/'Methodology &amp; Assumptions'!$B$9, 0)</f>
        <v/>
      </c>
      <c r="R392" s="39" t="n">
        <v>1</v>
      </c>
      <c r="S392" s="25" t="n">
        <v>0.79</v>
      </c>
      <c r="T392" s="25" t="n">
        <v>0.32</v>
      </c>
      <c r="U392" s="42" t="inlineStr">
        <is>
          <t>Tier 1A (Direct Coloc, &lt;1 km)</t>
        </is>
      </c>
      <c r="V392" s="24" t="n">
        <v>86.7</v>
      </c>
      <c r="W392" s="24" t="n">
        <v>61.3</v>
      </c>
      <c r="X392" s="24" t="n">
        <v>58</v>
      </c>
      <c r="Y392" s="45">
        <f>ROUND((V392*'Methodology &amp; Assumptions'!$B$6)+(W392*'Methodology &amp; Assumptions'!$B$5)+(X392*'Methodology &amp; Assumptions'!$B$7), 2)</f>
        <v/>
      </c>
    </row>
    <row r="393" ht="19" customHeight="1">
      <c r="A393" s="35" t="n">
        <v>389</v>
      </c>
      <c r="B393" s="35" t="n">
        <v>2389</v>
      </c>
      <c r="C393" s="36" t="inlineStr">
        <is>
          <t>0403424002</t>
        </is>
      </c>
      <c r="D393" s="36" t="inlineStr">
        <is>
          <t>Region IV-A (CALABARZON)</t>
        </is>
      </c>
      <c r="E393" s="36" t="inlineStr">
        <is>
          <t>Laguna</t>
        </is>
      </c>
      <c r="F393" s="36" t="inlineStr">
        <is>
          <t>City of San Pablo</t>
        </is>
      </c>
      <c r="G393" s="36" t="inlineStr">
        <is>
          <t>Bagong Pook VI-C</t>
        </is>
      </c>
      <c r="H393" s="37" t="n">
        <v>14.07594</v>
      </c>
      <c r="I393" s="37" t="n">
        <v>121.320564</v>
      </c>
      <c r="J393" s="8" t="inlineStr">
        <is>
          <t>R</t>
        </is>
      </c>
      <c r="K393" s="36" t="inlineStr">
        <is>
          <t>Class 1-3 / Urban</t>
        </is>
      </c>
      <c r="L393" s="18" t="n">
        <v>1859</v>
      </c>
      <c r="M393" s="20" t="n">
        <v>4.2</v>
      </c>
      <c r="N393" s="18">
        <f>ROUND(L393/M393, 0)</f>
        <v/>
      </c>
      <c r="O393" s="18">
        <f>ROUND(N393*'Methodology &amp; Assumptions'!$B$8, 0)</f>
        <v/>
      </c>
      <c r="P393" s="8" t="inlineStr">
        <is>
          <t>Band n50 (1.5 GHz, 60 MHz)</t>
        </is>
      </c>
      <c r="Q393" s="38">
        <f>ROUNDUP(O393/'Methodology &amp; Assumptions'!$B$9, 0)</f>
        <v/>
      </c>
      <c r="R393" s="39" t="n">
        <v>1</v>
      </c>
      <c r="S393" s="21" t="n">
        <v>0.72</v>
      </c>
      <c r="T393" s="21" t="n">
        <v>0.39</v>
      </c>
      <c r="U393" s="36" t="inlineStr">
        <is>
          <t>Tier 1A (Direct Coloc, &lt;1 km)</t>
        </is>
      </c>
      <c r="V393" s="20" t="n">
        <v>88.59999999999999</v>
      </c>
      <c r="W393" s="20" t="n">
        <v>59.5</v>
      </c>
      <c r="X393" s="20" t="n">
        <v>58</v>
      </c>
      <c r="Y393" s="40">
        <f>ROUND((V393*'Methodology &amp; Assumptions'!$B$6)+(W393*'Methodology &amp; Assumptions'!$B$5)+(X393*'Methodology &amp; Assumptions'!$B$7), 2)</f>
        <v/>
      </c>
    </row>
    <row r="394" ht="19" customHeight="1">
      <c r="A394" s="41" t="n">
        <v>390</v>
      </c>
      <c r="B394" s="41" t="n">
        <v>2390</v>
      </c>
      <c r="C394" s="42" t="inlineStr">
        <is>
          <t>0301420040</t>
        </is>
      </c>
      <c r="D394" s="42" t="inlineStr">
        <is>
          <t>Region III (Central Luzon)</t>
        </is>
      </c>
      <c r="E394" s="42" t="inlineStr">
        <is>
          <t>Bulacan</t>
        </is>
      </c>
      <c r="F394" s="42" t="inlineStr">
        <is>
          <t>City of San Jose Del Monte</t>
        </is>
      </c>
      <c r="G394" s="42" t="inlineStr">
        <is>
          <t>Minuyan V</t>
        </is>
      </c>
      <c r="H394" s="43" t="n">
        <v>14.842669</v>
      </c>
      <c r="I394" s="43" t="n">
        <v>121.078719</v>
      </c>
      <c r="J394" s="44" t="inlineStr">
        <is>
          <t>R</t>
        </is>
      </c>
      <c r="K394" s="42" t="inlineStr">
        <is>
          <t>Class 1-3 / Urban</t>
        </is>
      </c>
      <c r="L394" s="23" t="n">
        <v>2200</v>
      </c>
      <c r="M394" s="24" t="n">
        <v>4.1</v>
      </c>
      <c r="N394" s="23">
        <f>ROUND(L394/M394, 0)</f>
        <v/>
      </c>
      <c r="O394" s="23">
        <f>ROUND(N394*'Methodology &amp; Assumptions'!$B$8, 0)</f>
        <v/>
      </c>
      <c r="P394" s="44" t="inlineStr">
        <is>
          <t>Band n50 (1.5 GHz, 60 MHz)</t>
        </is>
      </c>
      <c r="Q394" s="38">
        <f>ROUNDUP(O394/'Methodology &amp; Assumptions'!$B$9, 0)</f>
        <v/>
      </c>
      <c r="R394" s="39" t="n">
        <v>1</v>
      </c>
      <c r="S394" s="25" t="n">
        <v>0.63</v>
      </c>
      <c r="T394" s="25" t="n">
        <v>4.1</v>
      </c>
      <c r="U394" s="42" t="inlineStr">
        <is>
          <t>Tier 1A (Direct Coloc, &lt;1 km)</t>
        </is>
      </c>
      <c r="V394" s="24" t="n">
        <v>81.09999999999999</v>
      </c>
      <c r="W394" s="24" t="n">
        <v>66.90000000000001</v>
      </c>
      <c r="X394" s="24" t="n">
        <v>58</v>
      </c>
      <c r="Y394" s="45">
        <f>ROUND((V394*'Methodology &amp; Assumptions'!$B$6)+(W394*'Methodology &amp; Assumptions'!$B$5)+(X394*'Methodology &amp; Assumptions'!$B$7), 2)</f>
        <v/>
      </c>
    </row>
    <row r="395" ht="19" customHeight="1">
      <c r="A395" s="35" t="n">
        <v>391</v>
      </c>
      <c r="B395" s="35" t="n">
        <v>2391</v>
      </c>
      <c r="C395" s="36" t="inlineStr">
        <is>
          <t>0405630026</t>
        </is>
      </c>
      <c r="D395" s="36" t="inlineStr">
        <is>
          <t>Region IV-A (CALABARZON)</t>
        </is>
      </c>
      <c r="E395" s="36" t="inlineStr">
        <is>
          <t>Quezon</t>
        </is>
      </c>
      <c r="F395" s="36" t="inlineStr">
        <is>
          <t>Pagbilao</t>
        </is>
      </c>
      <c r="G395" s="36" t="inlineStr">
        <is>
          <t>Talipan</t>
        </is>
      </c>
      <c r="H395" s="37" t="n">
        <v>13.964747</v>
      </c>
      <c r="I395" s="37" t="n">
        <v>121.654433</v>
      </c>
      <c r="J395" s="8" t="inlineStr">
        <is>
          <t>U</t>
        </is>
      </c>
      <c r="K395" s="36" t="inlineStr">
        <is>
          <t>Class 1-3 / Urban</t>
        </is>
      </c>
      <c r="L395" s="18" t="n">
        <v>7517</v>
      </c>
      <c r="M395" s="20" t="n">
        <v>4.46</v>
      </c>
      <c r="N395" s="18">
        <f>ROUND(L395/M395, 0)</f>
        <v/>
      </c>
      <c r="O395" s="18">
        <f>ROUND(N395*'Methodology &amp; Assumptions'!$B$8, 0)</f>
        <v/>
      </c>
      <c r="P395" s="8" t="inlineStr">
        <is>
          <t>Band n50 (1.5 GHz, 60 MHz)</t>
        </is>
      </c>
      <c r="Q395" s="38">
        <f>ROUNDUP(O395/'Methodology &amp; Assumptions'!$B$9, 0)</f>
        <v/>
      </c>
      <c r="R395" s="39" t="n">
        <v>1</v>
      </c>
      <c r="S395" s="21" t="n">
        <v>1.35</v>
      </c>
      <c r="T395" s="21" t="n">
        <v>0.36</v>
      </c>
      <c r="U395" s="36" t="inlineStr">
        <is>
          <t>Tier 1B (Micro Drop, 1-3 km)</t>
        </is>
      </c>
      <c r="V395" s="20" t="n">
        <v>73.8</v>
      </c>
      <c r="W395" s="20" t="n">
        <v>100</v>
      </c>
      <c r="X395" s="20" t="n">
        <v>28</v>
      </c>
      <c r="Y395" s="40">
        <f>ROUND((V395*'Methodology &amp; Assumptions'!$B$6)+(W395*'Methodology &amp; Assumptions'!$B$5)+(X395*'Methodology &amp; Assumptions'!$B$7), 2)</f>
        <v/>
      </c>
    </row>
    <row r="396" ht="19" customHeight="1">
      <c r="A396" s="41" t="n">
        <v>392</v>
      </c>
      <c r="B396" s="41" t="n">
        <v>2392</v>
      </c>
      <c r="C396" s="42" t="inlineStr">
        <is>
          <t>1600209005</t>
        </is>
      </c>
      <c r="D396" s="42" t="inlineStr">
        <is>
          <t>Region XIII (Caraga)</t>
        </is>
      </c>
      <c r="E396" s="42" t="inlineStr">
        <is>
          <t>Agusan del Norte</t>
        </is>
      </c>
      <c r="F396" s="42" t="inlineStr">
        <is>
          <t>Nasipit</t>
        </is>
      </c>
      <c r="G396" s="42" t="inlineStr">
        <is>
          <t>Camagong</t>
        </is>
      </c>
      <c r="H396" s="43" t="n">
        <v>8.968384</v>
      </c>
      <c r="I396" s="43" t="n">
        <v>125.337409</v>
      </c>
      <c r="J396" s="44" t="inlineStr">
        <is>
          <t>U</t>
        </is>
      </c>
      <c r="K396" s="42" t="inlineStr">
        <is>
          <t>Class 1-3 / Urban</t>
        </is>
      </c>
      <c r="L396" s="23" t="n">
        <v>5634</v>
      </c>
      <c r="M396" s="24" t="n">
        <v>4.63</v>
      </c>
      <c r="N396" s="23">
        <f>ROUND(L396/M396, 0)</f>
        <v/>
      </c>
      <c r="O396" s="23">
        <f>ROUND(N396*'Methodology &amp; Assumptions'!$B$8, 0)</f>
        <v/>
      </c>
      <c r="P396" s="44" t="inlineStr">
        <is>
          <t>Band n50 (1.5 GHz, 60 MHz)</t>
        </is>
      </c>
      <c r="Q396" s="38">
        <f>ROUNDUP(O396/'Methodology &amp; Assumptions'!$B$9, 0)</f>
        <v/>
      </c>
      <c r="R396" s="39" t="n">
        <v>1</v>
      </c>
      <c r="S396" s="25" t="n">
        <v>1.35</v>
      </c>
      <c r="T396" s="25" t="n">
        <v>0.15</v>
      </c>
      <c r="U396" s="42" t="inlineStr">
        <is>
          <t>Tier 1B (Micro Drop, 1-3 km)</t>
        </is>
      </c>
      <c r="V396" s="24" t="n">
        <v>73.8</v>
      </c>
      <c r="W396" s="24" t="n">
        <v>100</v>
      </c>
      <c r="X396" s="24" t="n">
        <v>28</v>
      </c>
      <c r="Y396" s="45">
        <f>ROUND((V396*'Methodology &amp; Assumptions'!$B$6)+(W396*'Methodology &amp; Assumptions'!$B$5)+(X396*'Methodology &amp; Assumptions'!$B$7), 2)</f>
        <v/>
      </c>
    </row>
    <row r="397" ht="19" customHeight="1">
      <c r="A397" s="35" t="n">
        <v>393</v>
      </c>
      <c r="B397" s="35" t="n">
        <v>2393</v>
      </c>
      <c r="C397" s="36" t="inlineStr">
        <is>
          <t>0702241016</t>
        </is>
      </c>
      <c r="D397" s="36" t="inlineStr">
        <is>
          <t>Region VII (Central Visayas)</t>
        </is>
      </c>
      <c r="E397" s="36" t="inlineStr">
        <is>
          <t>Cebu</t>
        </is>
      </c>
      <c r="F397" s="36" t="inlineStr">
        <is>
          <t>San Fernando</t>
        </is>
      </c>
      <c r="G397" s="36" t="inlineStr">
        <is>
          <t>San Isidro</t>
        </is>
      </c>
      <c r="H397" s="37" t="n">
        <v>10.17202</v>
      </c>
      <c r="I397" s="37" t="n">
        <v>123.71543</v>
      </c>
      <c r="J397" s="8" t="inlineStr">
        <is>
          <t>U</t>
        </is>
      </c>
      <c r="K397" s="36" t="inlineStr">
        <is>
          <t>Class 1-3 / Urban</t>
        </is>
      </c>
      <c r="L397" s="18" t="n">
        <v>4538</v>
      </c>
      <c r="M397" s="20" t="n">
        <v>4.42</v>
      </c>
      <c r="N397" s="18">
        <f>ROUND(L397/M397, 0)</f>
        <v/>
      </c>
      <c r="O397" s="18">
        <f>ROUND(N397*'Methodology &amp; Assumptions'!$B$8, 0)</f>
        <v/>
      </c>
      <c r="P397" s="8" t="inlineStr">
        <is>
          <t>Band n50 (1.5 GHz, 60 MHz)</t>
        </is>
      </c>
      <c r="Q397" s="38">
        <f>ROUNDUP(O397/'Methodology &amp; Assumptions'!$B$9, 0)</f>
        <v/>
      </c>
      <c r="R397" s="39" t="n">
        <v>1</v>
      </c>
      <c r="S397" s="21" t="n">
        <v>1.35</v>
      </c>
      <c r="T397" s="21" t="n">
        <v>0.28</v>
      </c>
      <c r="U397" s="36" t="inlineStr">
        <is>
          <t>Tier 1B (Micro Drop, 1-3 km)</t>
        </is>
      </c>
      <c r="V397" s="20" t="n">
        <v>73.7</v>
      </c>
      <c r="W397" s="20" t="n">
        <v>100</v>
      </c>
      <c r="X397" s="20" t="n">
        <v>28</v>
      </c>
      <c r="Y397" s="40">
        <f>ROUND((V397*'Methodology &amp; Assumptions'!$B$6)+(W397*'Methodology &amp; Assumptions'!$B$5)+(X397*'Methodology &amp; Assumptions'!$B$7), 2)</f>
        <v/>
      </c>
    </row>
    <row r="398" ht="19" customHeight="1">
      <c r="A398" s="41" t="n">
        <v>394</v>
      </c>
      <c r="B398" s="41" t="n">
        <v>2394</v>
      </c>
      <c r="C398" s="42" t="inlineStr">
        <is>
          <t>0603036017</t>
        </is>
      </c>
      <c r="D398" s="42" t="inlineStr">
        <is>
          <t>Region VI (Western Visayas)</t>
        </is>
      </c>
      <c r="E398" s="42" t="inlineStr">
        <is>
          <t>Iloilo</t>
        </is>
      </c>
      <c r="F398" s="42" t="inlineStr">
        <is>
          <t>Pavia</t>
        </is>
      </c>
      <c r="G398" s="42" t="inlineStr">
        <is>
          <t>Tigum</t>
        </is>
      </c>
      <c r="H398" s="43" t="n">
        <v>10.780365</v>
      </c>
      <c r="I398" s="43" t="n">
        <v>122.547671</v>
      </c>
      <c r="J398" s="44" t="inlineStr">
        <is>
          <t>R</t>
        </is>
      </c>
      <c r="K398" s="42" t="inlineStr">
        <is>
          <t>Class 1-3 / Urban</t>
        </is>
      </c>
      <c r="L398" s="23" t="n">
        <v>2607</v>
      </c>
      <c r="M398" s="24" t="n">
        <v>4.39</v>
      </c>
      <c r="N398" s="23">
        <f>ROUND(L398/M398, 0)</f>
        <v/>
      </c>
      <c r="O398" s="23">
        <f>ROUND(N398*'Methodology &amp; Assumptions'!$B$8, 0)</f>
        <v/>
      </c>
      <c r="P398" s="44" t="inlineStr">
        <is>
          <t>Band n50 (1.5 GHz, 60 MHz)</t>
        </is>
      </c>
      <c r="Q398" s="38">
        <f>ROUNDUP(O398/'Methodology &amp; Assumptions'!$B$9, 0)</f>
        <v/>
      </c>
      <c r="R398" s="39" t="n">
        <v>1</v>
      </c>
      <c r="S398" s="25" t="n">
        <v>0.8</v>
      </c>
      <c r="T398" s="25" t="n">
        <v>3.9</v>
      </c>
      <c r="U398" s="42" t="inlineStr">
        <is>
          <t>Tier 1A (Direct Coloc, &lt;1 km)</t>
        </is>
      </c>
      <c r="V398" s="24" t="n">
        <v>76.5</v>
      </c>
      <c r="W398" s="24" t="n">
        <v>71.5</v>
      </c>
      <c r="X398" s="24" t="n">
        <v>58</v>
      </c>
      <c r="Y398" s="45">
        <f>ROUND((V398*'Methodology &amp; Assumptions'!$B$6)+(W398*'Methodology &amp; Assumptions'!$B$5)+(X398*'Methodology &amp; Assumptions'!$B$7), 2)</f>
        <v/>
      </c>
    </row>
    <row r="399" ht="19" customHeight="1">
      <c r="A399" s="35" t="n">
        <v>395</v>
      </c>
      <c r="B399" s="35" t="n">
        <v>2395</v>
      </c>
      <c r="C399" s="36" t="inlineStr">
        <is>
          <t>0402121001</t>
        </is>
      </c>
      <c r="D399" s="36" t="inlineStr">
        <is>
          <t>Region IV-A (CALABARZON)</t>
        </is>
      </c>
      <c r="E399" s="36" t="inlineStr">
        <is>
          <t>Cavite</t>
        </is>
      </c>
      <c r="F399" s="36" t="inlineStr">
        <is>
          <t>Ternate</t>
        </is>
      </c>
      <c r="G399" s="36" t="inlineStr">
        <is>
          <t>Poblacion I</t>
        </is>
      </c>
      <c r="H399" s="37" t="n">
        <v>14.285783</v>
      </c>
      <c r="I399" s="37" t="n">
        <v>120.71579</v>
      </c>
      <c r="J399" s="8" t="inlineStr">
        <is>
          <t>R</t>
        </is>
      </c>
      <c r="K399" s="36" t="inlineStr">
        <is>
          <t>3rd</t>
        </is>
      </c>
      <c r="L399" s="18" t="n">
        <v>1899</v>
      </c>
      <c r="M399" s="20" t="n">
        <v>4.08</v>
      </c>
      <c r="N399" s="18">
        <f>ROUND(L399/M399, 0)</f>
        <v/>
      </c>
      <c r="O399" s="18">
        <f>ROUND(N399*'Methodology &amp; Assumptions'!$B$8, 0)</f>
        <v/>
      </c>
      <c r="P399" s="8" t="inlineStr">
        <is>
          <t>Band n50 (1.5 GHz, 60 MHz)</t>
        </is>
      </c>
      <c r="Q399" s="38">
        <f>ROUNDUP(O399/'Methodology &amp; Assumptions'!$B$9, 0)</f>
        <v/>
      </c>
      <c r="R399" s="39" t="n">
        <v>1</v>
      </c>
      <c r="S399" s="21" t="n">
        <v>0.43</v>
      </c>
      <c r="T399" s="21" t="n">
        <v>2.54</v>
      </c>
      <c r="U399" s="36" t="inlineStr">
        <is>
          <t>Tier 1A (Direct Coloc, &lt;1 km)</t>
        </is>
      </c>
      <c r="V399" s="20" t="n">
        <v>86.7</v>
      </c>
      <c r="W399" s="20" t="n">
        <v>61.3</v>
      </c>
      <c r="X399" s="20" t="n">
        <v>58</v>
      </c>
      <c r="Y399" s="40">
        <f>ROUND((V399*'Methodology &amp; Assumptions'!$B$6)+(W399*'Methodology &amp; Assumptions'!$B$5)+(X399*'Methodology &amp; Assumptions'!$B$7), 2)</f>
        <v/>
      </c>
    </row>
    <row r="400" ht="19" customHeight="1">
      <c r="A400" s="41" t="n">
        <v>396</v>
      </c>
      <c r="B400" s="41" t="n">
        <v>2396</v>
      </c>
      <c r="C400" s="42" t="inlineStr">
        <is>
          <t>1731500010</t>
        </is>
      </c>
      <c r="D400" s="42" t="inlineStr">
        <is>
          <t>MIMAROPA Region</t>
        </is>
      </c>
      <c r="E400" s="42" t="inlineStr">
        <is>
          <t>Palawan</t>
        </is>
      </c>
      <c r="F400" s="42" t="inlineStr">
        <is>
          <t>City of Puerto Princesa</t>
        </is>
      </c>
      <c r="G400" s="42" t="inlineStr">
        <is>
          <t>Binduyan</t>
        </is>
      </c>
      <c r="H400" s="43" t="n">
        <v>10.014423</v>
      </c>
      <c r="I400" s="43" t="n">
        <v>119.07099</v>
      </c>
      <c r="J400" s="44" t="inlineStr">
        <is>
          <t>R</t>
        </is>
      </c>
      <c r="K400" s="42" t="inlineStr">
        <is>
          <t>Class 1-3 / Urban</t>
        </is>
      </c>
      <c r="L400" s="23" t="n">
        <v>1519</v>
      </c>
      <c r="M400" s="24" t="n">
        <v>4.35</v>
      </c>
      <c r="N400" s="23">
        <f>ROUND(L400/M400, 0)</f>
        <v/>
      </c>
      <c r="O400" s="23">
        <f>ROUND(N400*'Methodology &amp; Assumptions'!$B$8, 0)</f>
        <v/>
      </c>
      <c r="P400" s="44" t="inlineStr">
        <is>
          <t>Band n50 (1.5 GHz, 60 MHz)</t>
        </is>
      </c>
      <c r="Q400" s="38">
        <f>ROUNDUP(O400/'Methodology &amp; Assumptions'!$B$9, 0)</f>
        <v/>
      </c>
      <c r="R400" s="39" t="n">
        <v>1</v>
      </c>
      <c r="S400" s="25" t="n">
        <v>0.03</v>
      </c>
      <c r="T400" s="25" t="n">
        <v>0.08</v>
      </c>
      <c r="U400" s="42" t="inlineStr">
        <is>
          <t>Tier 1A (Direct Coloc, &lt;1 km)</t>
        </is>
      </c>
      <c r="V400" s="24" t="n">
        <v>100</v>
      </c>
      <c r="W400" s="24" t="n">
        <v>48</v>
      </c>
      <c r="X400" s="24" t="n">
        <v>58</v>
      </c>
      <c r="Y400" s="45">
        <f>ROUND((V400*'Methodology &amp; Assumptions'!$B$6)+(W400*'Methodology &amp; Assumptions'!$B$5)+(X400*'Methodology &amp; Assumptions'!$B$7), 2)</f>
        <v/>
      </c>
    </row>
    <row r="401" ht="19" customHeight="1">
      <c r="A401" s="35" t="n">
        <v>397</v>
      </c>
      <c r="B401" s="35" t="n">
        <v>2397</v>
      </c>
      <c r="C401" s="36" t="inlineStr">
        <is>
          <t>0405623005</t>
        </is>
      </c>
      <c r="D401" s="36" t="inlineStr">
        <is>
          <t>Region IV-A (CALABARZON)</t>
        </is>
      </c>
      <c r="E401" s="36" t="inlineStr">
        <is>
          <t>Quezon</t>
        </is>
      </c>
      <c r="F401" s="36" t="inlineStr">
        <is>
          <t>Lucban</t>
        </is>
      </c>
      <c r="G401" s="36" t="inlineStr">
        <is>
          <t>Barangay 2</t>
        </is>
      </c>
      <c r="H401" s="37" t="n">
        <v>14.11359</v>
      </c>
      <c r="I401" s="37" t="n">
        <v>121.557694</v>
      </c>
      <c r="J401" s="8" t="inlineStr">
        <is>
          <t>R</t>
        </is>
      </c>
      <c r="K401" s="36" t="inlineStr">
        <is>
          <t>Class 1-3 / Urban</t>
        </is>
      </c>
      <c r="L401" s="18" t="n">
        <v>1339</v>
      </c>
      <c r="M401" s="20" t="n">
        <v>4.46</v>
      </c>
      <c r="N401" s="18">
        <f>ROUND(L401/M401, 0)</f>
        <v/>
      </c>
      <c r="O401" s="18">
        <f>ROUND(N401*'Methodology &amp; Assumptions'!$B$8, 0)</f>
        <v/>
      </c>
      <c r="P401" s="8" t="inlineStr">
        <is>
          <t>Band n50 (1.5 GHz, 60 MHz)</t>
        </is>
      </c>
      <c r="Q401" s="38">
        <f>ROUNDUP(O401/'Methodology &amp; Assumptions'!$B$9, 0)</f>
        <v/>
      </c>
      <c r="R401" s="39" t="n">
        <v>1</v>
      </c>
      <c r="S401" s="21" t="n">
        <v>0.06</v>
      </c>
      <c r="T401" s="21" t="n">
        <v>0.05</v>
      </c>
      <c r="U401" s="36" t="inlineStr">
        <is>
          <t>Tier 1A (Direct Coloc, &lt;1 km)</t>
        </is>
      </c>
      <c r="V401" s="20" t="n">
        <v>100</v>
      </c>
      <c r="W401" s="20" t="n">
        <v>48</v>
      </c>
      <c r="X401" s="20" t="n">
        <v>58</v>
      </c>
      <c r="Y401" s="40">
        <f>ROUND((V401*'Methodology &amp; Assumptions'!$B$6)+(W401*'Methodology &amp; Assumptions'!$B$5)+(X401*'Methodology &amp; Assumptions'!$B$7), 2)</f>
        <v/>
      </c>
    </row>
    <row r="402" ht="19" customHeight="1">
      <c r="A402" s="41" t="n">
        <v>398</v>
      </c>
      <c r="B402" s="41" t="n">
        <v>2398</v>
      </c>
      <c r="C402" s="42" t="inlineStr">
        <is>
          <t>0304909010</t>
        </is>
      </c>
      <c r="D402" s="42" t="inlineStr">
        <is>
          <t>Region III (Central Luzon)</t>
        </is>
      </c>
      <c r="E402" s="42" t="inlineStr">
        <is>
          <t>Nueva Ecija</t>
        </is>
      </c>
      <c r="F402" s="42" t="inlineStr">
        <is>
          <t>General Mamerto Natividad</t>
        </is>
      </c>
      <c r="G402" s="42" t="inlineStr">
        <is>
          <t>Mag-asawang Sampaloc</t>
        </is>
      </c>
      <c r="H402" s="43" t="n">
        <v>15.592594</v>
      </c>
      <c r="I402" s="43" t="n">
        <v>121.051762</v>
      </c>
      <c r="J402" s="44" t="inlineStr">
        <is>
          <t>R</t>
        </is>
      </c>
      <c r="K402" s="42" t="inlineStr">
        <is>
          <t>2nd</t>
        </is>
      </c>
      <c r="L402" s="23" t="n">
        <v>1243</v>
      </c>
      <c r="M402" s="24" t="n">
        <v>4.15</v>
      </c>
      <c r="N402" s="23">
        <f>ROUND(L402/M402, 0)</f>
        <v/>
      </c>
      <c r="O402" s="23">
        <f>ROUND(N402*'Methodology &amp; Assumptions'!$B$8, 0)</f>
        <v/>
      </c>
      <c r="P402" s="44" t="inlineStr">
        <is>
          <t>Band n50 (1.5 GHz, 60 MHz)</t>
        </is>
      </c>
      <c r="Q402" s="38">
        <f>ROUNDUP(O402/'Methodology &amp; Assumptions'!$B$9, 0)</f>
        <v/>
      </c>
      <c r="R402" s="39" t="n">
        <v>1</v>
      </c>
      <c r="S402" s="25" t="n">
        <v>0.01</v>
      </c>
      <c r="T402" s="25" t="n">
        <v>1.27</v>
      </c>
      <c r="U402" s="42" t="inlineStr">
        <is>
          <t>Tier 1A (Direct Coloc, &lt;1 km)</t>
        </is>
      </c>
      <c r="V402" s="24" t="n">
        <v>100</v>
      </c>
      <c r="W402" s="24" t="n">
        <v>48</v>
      </c>
      <c r="X402" s="24" t="n">
        <v>58</v>
      </c>
      <c r="Y402" s="45">
        <f>ROUND((V402*'Methodology &amp; Assumptions'!$B$6)+(W402*'Methodology &amp; Assumptions'!$B$5)+(X402*'Methodology &amp; Assumptions'!$B$7), 2)</f>
        <v/>
      </c>
    </row>
    <row r="403" ht="19" customHeight="1">
      <c r="A403" s="35" t="n">
        <v>399</v>
      </c>
      <c r="B403" s="35" t="n">
        <v>2399</v>
      </c>
      <c r="C403" s="36" t="inlineStr">
        <is>
          <t>0601916019</t>
        </is>
      </c>
      <c r="D403" s="36" t="inlineStr">
        <is>
          <t>Region VI (Western Visayas)</t>
        </is>
      </c>
      <c r="E403" s="36" t="inlineStr">
        <is>
          <t>Capiz</t>
        </is>
      </c>
      <c r="F403" s="36" t="inlineStr">
        <is>
          <t>Sigma</t>
        </is>
      </c>
      <c r="G403" s="36" t="inlineStr">
        <is>
          <t>Poblacion Norte</t>
        </is>
      </c>
      <c r="H403" s="37" t="n">
        <v>11.42185</v>
      </c>
      <c r="I403" s="37" t="n">
        <v>122.665406</v>
      </c>
      <c r="J403" s="8" t="inlineStr">
        <is>
          <t>R</t>
        </is>
      </c>
      <c r="K403" s="36" t="inlineStr">
        <is>
          <t>3rd</t>
        </is>
      </c>
      <c r="L403" s="18" t="n">
        <v>1221</v>
      </c>
      <c r="M403" s="20" t="n">
        <v>4.06</v>
      </c>
      <c r="N403" s="18">
        <f>ROUND(L403/M403, 0)</f>
        <v/>
      </c>
      <c r="O403" s="18">
        <f>ROUND(N403*'Methodology &amp; Assumptions'!$B$8, 0)</f>
        <v/>
      </c>
      <c r="P403" s="8" t="inlineStr">
        <is>
          <t>Band n50 (1.5 GHz, 60 MHz)</t>
        </is>
      </c>
      <c r="Q403" s="38">
        <f>ROUNDUP(O403/'Methodology &amp; Assumptions'!$B$9, 0)</f>
        <v/>
      </c>
      <c r="R403" s="39" t="n">
        <v>1</v>
      </c>
      <c r="S403" s="21" t="n">
        <v>0.31</v>
      </c>
      <c r="T403" s="21" t="n">
        <v>0.2</v>
      </c>
      <c r="U403" s="36" t="inlineStr">
        <is>
          <t>Tier 1A (Direct Coloc, &lt;1 km)</t>
        </is>
      </c>
      <c r="V403" s="20" t="n">
        <v>100</v>
      </c>
      <c r="W403" s="20" t="n">
        <v>48</v>
      </c>
      <c r="X403" s="20" t="n">
        <v>58</v>
      </c>
      <c r="Y403" s="40">
        <f>ROUND((V403*'Methodology &amp; Assumptions'!$B$6)+(W403*'Methodology &amp; Assumptions'!$B$5)+(X403*'Methodology &amp; Assumptions'!$B$7), 2)</f>
        <v/>
      </c>
    </row>
    <row r="404" ht="19" customHeight="1">
      <c r="A404" s="41" t="n">
        <v>400</v>
      </c>
      <c r="B404" s="41" t="n">
        <v>2400</v>
      </c>
      <c r="C404" s="42" t="inlineStr">
        <is>
          <t>0603006028</t>
        </is>
      </c>
      <c r="D404" s="42" t="inlineStr">
        <is>
          <t>Region VI (Western Visayas)</t>
        </is>
      </c>
      <c r="E404" s="42" t="inlineStr">
        <is>
          <t>Iloilo</t>
        </is>
      </c>
      <c r="F404" s="42" t="inlineStr">
        <is>
          <t>Banate</t>
        </is>
      </c>
      <c r="G404" s="42" t="inlineStr">
        <is>
          <t>Zona Sur</t>
        </is>
      </c>
      <c r="H404" s="43" t="n">
        <v>11.001334</v>
      </c>
      <c r="I404" s="43" t="n">
        <v>122.814877</v>
      </c>
      <c r="J404" s="44" t="inlineStr">
        <is>
          <t>R</t>
        </is>
      </c>
      <c r="K404" s="42" t="inlineStr">
        <is>
          <t>2nd</t>
        </is>
      </c>
      <c r="L404" s="23" t="n">
        <v>1213</v>
      </c>
      <c r="M404" s="24" t="n">
        <v>4.06</v>
      </c>
      <c r="N404" s="23">
        <f>ROUND(L404/M404, 0)</f>
        <v/>
      </c>
      <c r="O404" s="23">
        <f>ROUND(N404*'Methodology &amp; Assumptions'!$B$8, 0)</f>
        <v/>
      </c>
      <c r="P404" s="44" t="inlineStr">
        <is>
          <t>Band n50 (1.5 GHz, 60 MHz)</t>
        </is>
      </c>
      <c r="Q404" s="38">
        <f>ROUNDUP(O404/'Methodology &amp; Assumptions'!$B$9, 0)</f>
        <v/>
      </c>
      <c r="R404" s="39" t="n">
        <v>1</v>
      </c>
      <c r="S404" s="25" t="n">
        <v>0.13</v>
      </c>
      <c r="T404" s="25" t="n">
        <v>0.11</v>
      </c>
      <c r="U404" s="42" t="inlineStr">
        <is>
          <t>Tier 1A (Direct Coloc, &lt;1 km)</t>
        </is>
      </c>
      <c r="V404" s="24" t="n">
        <v>100</v>
      </c>
      <c r="W404" s="24" t="n">
        <v>48</v>
      </c>
      <c r="X404" s="24" t="n">
        <v>58</v>
      </c>
      <c r="Y404" s="45">
        <f>ROUND((V404*'Methodology &amp; Assumptions'!$B$6)+(W404*'Methodology &amp; Assumptions'!$B$5)+(X404*'Methodology &amp; Assumptions'!$B$7), 2)</f>
        <v/>
      </c>
    </row>
    <row r="405" ht="19" customHeight="1">
      <c r="A405" s="35" t="n">
        <v>401</v>
      </c>
      <c r="B405" s="35" t="n">
        <v>2401</v>
      </c>
      <c r="C405" s="36" t="inlineStr">
        <is>
          <t>1600206010</t>
        </is>
      </c>
      <c r="D405" s="36" t="inlineStr">
        <is>
          <t>Region XIII (Caraga)</t>
        </is>
      </c>
      <c r="E405" s="36" t="inlineStr">
        <is>
          <t>Agusan del Norte</t>
        </is>
      </c>
      <c r="F405" s="36" t="inlineStr">
        <is>
          <t>Kitcharao</t>
        </is>
      </c>
      <c r="G405" s="36" t="inlineStr">
        <is>
          <t>Crossing</t>
        </is>
      </c>
      <c r="H405" s="37" t="n">
        <v>9.45086</v>
      </c>
      <c r="I405" s="37" t="n">
        <v>125.575543</v>
      </c>
      <c r="J405" s="8" t="inlineStr">
        <is>
          <t>U</t>
        </is>
      </c>
      <c r="K405" s="36" t="inlineStr">
        <is>
          <t>3rd</t>
        </is>
      </c>
      <c r="L405" s="18" t="n">
        <v>3362</v>
      </c>
      <c r="M405" s="20" t="n">
        <v>4.27</v>
      </c>
      <c r="N405" s="18">
        <f>ROUND(L405/M405, 0)</f>
        <v/>
      </c>
      <c r="O405" s="18">
        <f>ROUND(N405*'Methodology &amp; Assumptions'!$B$8, 0)</f>
        <v/>
      </c>
      <c r="P405" s="8" t="inlineStr">
        <is>
          <t>Band n50 (1.5 GHz, 60 MHz)</t>
        </is>
      </c>
      <c r="Q405" s="38">
        <f>ROUNDUP(O405/'Methodology &amp; Assumptions'!$B$9, 0)</f>
        <v/>
      </c>
      <c r="R405" s="39" t="n">
        <v>1</v>
      </c>
      <c r="S405" s="21" t="n">
        <v>0.79</v>
      </c>
      <c r="T405" s="21" t="n">
        <v>0.18</v>
      </c>
      <c r="U405" s="36" t="inlineStr">
        <is>
          <t>Tier 1A (Direct Coloc, &lt;1 km)</t>
        </is>
      </c>
      <c r="V405" s="20" t="n">
        <v>86.8</v>
      </c>
      <c r="W405" s="20" t="n">
        <v>86.90000000000001</v>
      </c>
      <c r="X405" s="20" t="n">
        <v>28</v>
      </c>
      <c r="Y405" s="40">
        <f>ROUND((V405*'Methodology &amp; Assumptions'!$B$6)+(W405*'Methodology &amp; Assumptions'!$B$5)+(X405*'Methodology &amp; Assumptions'!$B$7), 2)</f>
        <v/>
      </c>
    </row>
    <row r="406" ht="19" customHeight="1">
      <c r="A406" s="41" t="n">
        <v>402</v>
      </c>
      <c r="B406" s="41" t="n">
        <v>2402</v>
      </c>
      <c r="C406" s="42" t="inlineStr">
        <is>
          <t>0603023046</t>
        </is>
      </c>
      <c r="D406" s="42" t="inlineStr">
        <is>
          <t>Region VI (Western Visayas)</t>
        </is>
      </c>
      <c r="E406" s="42" t="inlineStr">
        <is>
          <t>Iloilo</t>
        </is>
      </c>
      <c r="F406" s="42" t="inlineStr">
        <is>
          <t>Janiuay</t>
        </is>
      </c>
      <c r="G406" s="42" t="inlineStr">
        <is>
          <t>Aquino Nobleza East</t>
        </is>
      </c>
      <c r="H406" s="43" t="n">
        <v>10.947166</v>
      </c>
      <c r="I406" s="43" t="n">
        <v>122.50784</v>
      </c>
      <c r="J406" s="44" t="inlineStr">
        <is>
          <t>R</t>
        </is>
      </c>
      <c r="K406" s="42" t="inlineStr">
        <is>
          <t>Class 1-3 / Urban</t>
        </is>
      </c>
      <c r="L406" s="23" t="n">
        <v>1766</v>
      </c>
      <c r="M406" s="24" t="n">
        <v>4.39</v>
      </c>
      <c r="N406" s="23">
        <f>ROUND(L406/M406, 0)</f>
        <v/>
      </c>
      <c r="O406" s="23">
        <f>ROUND(N406*'Methodology &amp; Assumptions'!$B$8, 0)</f>
        <v/>
      </c>
      <c r="P406" s="44" t="inlineStr">
        <is>
          <t>Band n50 (1.5 GHz, 60 MHz)</t>
        </is>
      </c>
      <c r="Q406" s="38">
        <f>ROUNDUP(O406/'Methodology &amp; Assumptions'!$B$9, 0)</f>
        <v/>
      </c>
      <c r="R406" s="39" t="n">
        <v>1</v>
      </c>
      <c r="S406" s="25" t="n">
        <v>0.61</v>
      </c>
      <c r="T406" s="25" t="n">
        <v>0.27</v>
      </c>
      <c r="U406" s="42" t="inlineStr">
        <is>
          <t>Tier 1A (Direct Coloc, &lt;1 km)</t>
        </is>
      </c>
      <c r="V406" s="24" t="n">
        <v>91.7</v>
      </c>
      <c r="W406" s="24" t="n">
        <v>56.3</v>
      </c>
      <c r="X406" s="24" t="n">
        <v>58</v>
      </c>
      <c r="Y406" s="45">
        <f>ROUND((V406*'Methodology &amp; Assumptions'!$B$6)+(W406*'Methodology &amp; Assumptions'!$B$5)+(X406*'Methodology &amp; Assumptions'!$B$7), 2)</f>
        <v/>
      </c>
    </row>
    <row r="407" ht="19" customHeight="1">
      <c r="A407" s="35" t="n">
        <v>403</v>
      </c>
      <c r="B407" s="35" t="n">
        <v>2403</v>
      </c>
      <c r="C407" s="36" t="inlineStr">
        <is>
          <t>0403426013</t>
        </is>
      </c>
      <c r="D407" s="36" t="inlineStr">
        <is>
          <t>Region IV-A (CALABARZON)</t>
        </is>
      </c>
      <c r="E407" s="36" t="inlineStr">
        <is>
          <t>Laguna</t>
        </is>
      </c>
      <c r="F407" s="36" t="inlineStr">
        <is>
          <t>Santa Cruz</t>
        </is>
      </c>
      <c r="G407" s="36" t="inlineStr">
        <is>
          <t>Patimbao</t>
        </is>
      </c>
      <c r="H407" s="37" t="n">
        <v>14.267383</v>
      </c>
      <c r="I407" s="37" t="n">
        <v>121.416471</v>
      </c>
      <c r="J407" s="8" t="inlineStr">
        <is>
          <t>U</t>
        </is>
      </c>
      <c r="K407" s="36" t="inlineStr">
        <is>
          <t>Class 1-3 / Urban</t>
        </is>
      </c>
      <c r="L407" s="18" t="n">
        <v>9306</v>
      </c>
      <c r="M407" s="20" t="n">
        <v>4.2</v>
      </c>
      <c r="N407" s="18">
        <f>ROUND(L407/M407, 0)</f>
        <v/>
      </c>
      <c r="O407" s="18">
        <f>ROUND(N407*'Methodology &amp; Assumptions'!$B$8, 0)</f>
        <v/>
      </c>
      <c r="P407" s="8" t="inlineStr">
        <is>
          <t>Band n50 (1.5 GHz, 60 MHz)</t>
        </is>
      </c>
      <c r="Q407" s="38">
        <f>ROUNDUP(O407/'Methodology &amp; Assumptions'!$B$9, 0)</f>
        <v/>
      </c>
      <c r="R407" s="39" t="n">
        <v>1</v>
      </c>
      <c r="S407" s="21" t="n">
        <v>1.35</v>
      </c>
      <c r="T407" s="21" t="n">
        <v>0.09</v>
      </c>
      <c r="U407" s="36" t="inlineStr">
        <is>
          <t>Tier 1B (Micro Drop, 1-3 km)</t>
        </is>
      </c>
      <c r="V407" s="20" t="n">
        <v>73.7</v>
      </c>
      <c r="W407" s="20" t="n">
        <v>100</v>
      </c>
      <c r="X407" s="20" t="n">
        <v>28</v>
      </c>
      <c r="Y407" s="40">
        <f>ROUND((V407*'Methodology &amp; Assumptions'!$B$6)+(W407*'Methodology &amp; Assumptions'!$B$5)+(X407*'Methodology &amp; Assumptions'!$B$7), 2)</f>
        <v/>
      </c>
    </row>
    <row r="408" ht="19" customHeight="1">
      <c r="A408" s="41" t="n">
        <v>404</v>
      </c>
      <c r="B408" s="41" t="n">
        <v>2404</v>
      </c>
      <c r="C408" s="42" t="inlineStr">
        <is>
          <t>1404406005</t>
        </is>
      </c>
      <c r="D408" s="42" t="inlineStr">
        <is>
          <t>Cordillera Administrative Region (CAR)</t>
        </is>
      </c>
      <c r="E408" s="42" t="inlineStr">
        <is>
          <t>Mountain Province</t>
        </is>
      </c>
      <c r="F408" s="42" t="inlineStr">
        <is>
          <t>Paracelis</t>
        </is>
      </c>
      <c r="G408" s="42" t="inlineStr">
        <is>
          <t>Butigue</t>
        </is>
      </c>
      <c r="H408" s="43" t="n">
        <v>17.1027</v>
      </c>
      <c r="I408" s="43" t="n">
        <v>121.461</v>
      </c>
      <c r="J408" s="44" t="inlineStr">
        <is>
          <t>R</t>
        </is>
      </c>
      <c r="K408" s="42" t="inlineStr">
        <is>
          <t>Class 1-3 / Urban</t>
        </is>
      </c>
      <c r="L408" s="23" t="n">
        <v>3402</v>
      </c>
      <c r="M408" s="24" t="n">
        <v>4.42</v>
      </c>
      <c r="N408" s="23">
        <f>ROUND(L408/M408, 0)</f>
        <v/>
      </c>
      <c r="O408" s="23">
        <f>ROUND(N408*'Methodology &amp; Assumptions'!$B$8, 0)</f>
        <v/>
      </c>
      <c r="P408" s="44" t="inlineStr">
        <is>
          <t>Band n50 (1.5 GHz, 60 MHz)</t>
        </is>
      </c>
      <c r="Q408" s="38">
        <f>ROUNDUP(O408/'Methodology &amp; Assumptions'!$B$9, 0)</f>
        <v/>
      </c>
      <c r="R408" s="39" t="n">
        <v>1</v>
      </c>
      <c r="S408" s="25" t="n">
        <v>1.23</v>
      </c>
      <c r="T408" s="25" t="n">
        <v>16.44</v>
      </c>
      <c r="U408" s="42" t="inlineStr">
        <is>
          <t>Tier 1B (Micro Drop, 1-3 km)</t>
        </is>
      </c>
      <c r="V408" s="24" t="n">
        <v>66.3</v>
      </c>
      <c r="W408" s="24" t="n">
        <v>81.59999999999999</v>
      </c>
      <c r="X408" s="24" t="n">
        <v>58</v>
      </c>
      <c r="Y408" s="45">
        <f>ROUND((V408*'Methodology &amp; Assumptions'!$B$6)+(W408*'Methodology &amp; Assumptions'!$B$5)+(X408*'Methodology &amp; Assumptions'!$B$7), 2)</f>
        <v/>
      </c>
    </row>
    <row r="409" ht="19" customHeight="1">
      <c r="A409" s="35" t="n">
        <v>405</v>
      </c>
      <c r="B409" s="35" t="n">
        <v>2405</v>
      </c>
      <c r="C409" s="36" t="inlineStr">
        <is>
          <t>0405807005</t>
        </is>
      </c>
      <c r="D409" s="36" t="inlineStr">
        <is>
          <t>Region IV-A (CALABARZON)</t>
        </is>
      </c>
      <c r="E409" s="36" t="inlineStr">
        <is>
          <t>Rizal</t>
        </is>
      </c>
      <c r="F409" s="36" t="inlineStr">
        <is>
          <t>Jala-Jala</t>
        </is>
      </c>
      <c r="G409" s="36" t="inlineStr">
        <is>
          <t>Third District</t>
        </is>
      </c>
      <c r="H409" s="37" t="n">
        <v>14.347812</v>
      </c>
      <c r="I409" s="37" t="n">
        <v>121.322454</v>
      </c>
      <c r="J409" s="8" t="inlineStr">
        <is>
          <t>R</t>
        </is>
      </c>
      <c r="K409" s="36" t="inlineStr">
        <is>
          <t>3rd</t>
        </is>
      </c>
      <c r="L409" s="18" t="n">
        <v>3115</v>
      </c>
      <c r="M409" s="20" t="n">
        <v>4.64</v>
      </c>
      <c r="N409" s="18">
        <f>ROUND(L409/M409, 0)</f>
        <v/>
      </c>
      <c r="O409" s="18">
        <f>ROUND(N409*'Methodology &amp; Assumptions'!$B$8, 0)</f>
        <v/>
      </c>
      <c r="P409" s="8" t="inlineStr">
        <is>
          <t>Band n50 (1.5 GHz, 60 MHz)</t>
        </is>
      </c>
      <c r="Q409" s="38">
        <f>ROUNDUP(O409/'Methodology &amp; Assumptions'!$B$9, 0)</f>
        <v/>
      </c>
      <c r="R409" s="39" t="n">
        <v>1</v>
      </c>
      <c r="S409" s="21" t="n">
        <v>1.06</v>
      </c>
      <c r="T409" s="21" t="n">
        <v>12.33</v>
      </c>
      <c r="U409" s="36" t="inlineStr">
        <is>
          <t>Tier 1B (Micro Drop, 1-3 km)</t>
        </is>
      </c>
      <c r="V409" s="20" t="n">
        <v>70.3</v>
      </c>
      <c r="W409" s="20" t="n">
        <v>77.59999999999999</v>
      </c>
      <c r="X409" s="20" t="n">
        <v>58</v>
      </c>
      <c r="Y409" s="40">
        <f>ROUND((V409*'Methodology &amp; Assumptions'!$B$6)+(W409*'Methodology &amp; Assumptions'!$B$5)+(X409*'Methodology &amp; Assumptions'!$B$7), 2)</f>
        <v/>
      </c>
    </row>
    <row r="410" ht="19" customHeight="1">
      <c r="A410" s="41" t="n">
        <v>406</v>
      </c>
      <c r="B410" s="41" t="n">
        <v>2406</v>
      </c>
      <c r="C410" s="42" t="inlineStr">
        <is>
          <t>0501706021</t>
        </is>
      </c>
      <c r="D410" s="42" t="inlineStr">
        <is>
          <t>Region V (Bicol Region)</t>
        </is>
      </c>
      <c r="E410" s="42" t="inlineStr">
        <is>
          <t>Camarines Sur</t>
        </is>
      </c>
      <c r="F410" s="42" t="inlineStr">
        <is>
          <t>Bula</t>
        </is>
      </c>
      <c r="G410" s="42" t="inlineStr">
        <is>
          <t>Sagrada</t>
        </is>
      </c>
      <c r="H410" s="43" t="n">
        <v>13.474124</v>
      </c>
      <c r="I410" s="43" t="n">
        <v>123.27891</v>
      </c>
      <c r="J410" s="44" t="inlineStr">
        <is>
          <t>R</t>
        </is>
      </c>
      <c r="K410" s="42" t="inlineStr">
        <is>
          <t>Class 1-3 / Urban</t>
        </is>
      </c>
      <c r="L410" s="23" t="n">
        <v>2022</v>
      </c>
      <c r="M410" s="24" t="n">
        <v>4.9</v>
      </c>
      <c r="N410" s="23">
        <f>ROUND(L410/M410, 0)</f>
        <v/>
      </c>
      <c r="O410" s="23">
        <f>ROUND(N410*'Methodology &amp; Assumptions'!$B$8, 0)</f>
        <v/>
      </c>
      <c r="P410" s="44" t="inlineStr">
        <is>
          <t>Band n50 (1.5 GHz, 60 MHz)</t>
        </is>
      </c>
      <c r="Q410" s="38">
        <f>ROUNDUP(O410/'Methodology &amp; Assumptions'!$B$9, 0)</f>
        <v/>
      </c>
      <c r="R410" s="39" t="n">
        <v>1</v>
      </c>
      <c r="S410" s="25" t="n">
        <v>0.29</v>
      </c>
      <c r="T410" s="25" t="n">
        <v>4.8</v>
      </c>
      <c r="U410" s="42" t="inlineStr">
        <is>
          <t>Tier 1A (Direct Coloc, &lt;1 km)</t>
        </is>
      </c>
      <c r="V410" s="24" t="n">
        <v>90.90000000000001</v>
      </c>
      <c r="W410" s="24" t="n">
        <v>57.1</v>
      </c>
      <c r="X410" s="24" t="n">
        <v>58</v>
      </c>
      <c r="Y410" s="45">
        <f>ROUND((V410*'Methodology &amp; Assumptions'!$B$6)+(W410*'Methodology &amp; Assumptions'!$B$5)+(X410*'Methodology &amp; Assumptions'!$B$7), 2)</f>
        <v/>
      </c>
    </row>
    <row r="411" ht="19" customHeight="1">
      <c r="A411" s="35" t="n">
        <v>407</v>
      </c>
      <c r="B411" s="35" t="n">
        <v>2407</v>
      </c>
      <c r="C411" s="36" t="inlineStr">
        <is>
          <t>0600415001</t>
        </is>
      </c>
      <c r="D411" s="36" t="inlineStr">
        <is>
          <t>Region VI (Western Visayas)</t>
        </is>
      </c>
      <c r="E411" s="36" t="inlineStr">
        <is>
          <t>Aklan</t>
        </is>
      </c>
      <c r="F411" s="36" t="inlineStr">
        <is>
          <t>New Washington</t>
        </is>
      </c>
      <c r="G411" s="36" t="inlineStr">
        <is>
          <t>Candelaria</t>
        </is>
      </c>
      <c r="H411" s="37" t="n">
        <v>11.649624</v>
      </c>
      <c r="I411" s="37" t="n">
        <v>122.431908</v>
      </c>
      <c r="J411" s="8" t="inlineStr">
        <is>
          <t>R</t>
        </is>
      </c>
      <c r="K411" s="36" t="inlineStr">
        <is>
          <t>Class 1-3 / Urban</t>
        </is>
      </c>
      <c r="L411" s="18" t="n">
        <v>1850</v>
      </c>
      <c r="M411" s="20" t="n">
        <v>4.27</v>
      </c>
      <c r="N411" s="18">
        <f>ROUND(L411/M411, 0)</f>
        <v/>
      </c>
      <c r="O411" s="18">
        <f>ROUND(N411*'Methodology &amp; Assumptions'!$B$8, 0)</f>
        <v/>
      </c>
      <c r="P411" s="8" t="inlineStr">
        <is>
          <t>Band n50 (1.5 GHz, 60 MHz)</t>
        </is>
      </c>
      <c r="Q411" s="38">
        <f>ROUNDUP(O411/'Methodology &amp; Assumptions'!$B$9, 0)</f>
        <v/>
      </c>
      <c r="R411" s="39" t="n">
        <v>1</v>
      </c>
      <c r="S411" s="21" t="n">
        <v>0.34</v>
      </c>
      <c r="T411" s="21" t="n">
        <v>7.47</v>
      </c>
      <c r="U411" s="36" t="inlineStr">
        <is>
          <t>Tier 1A (Direct Coloc, &lt;1 km)</t>
        </is>
      </c>
      <c r="V411" s="20" t="n">
        <v>89.3</v>
      </c>
      <c r="W411" s="20" t="n">
        <v>58.7</v>
      </c>
      <c r="X411" s="20" t="n">
        <v>58</v>
      </c>
      <c r="Y411" s="40">
        <f>ROUND((V411*'Methodology &amp; Assumptions'!$B$6)+(W411*'Methodology &amp; Assumptions'!$B$5)+(X411*'Methodology &amp; Assumptions'!$B$7), 2)</f>
        <v/>
      </c>
    </row>
    <row r="412" ht="19" customHeight="1">
      <c r="A412" s="41" t="n">
        <v>408</v>
      </c>
      <c r="B412" s="41" t="n">
        <v>2408</v>
      </c>
      <c r="C412" s="42" t="inlineStr">
        <is>
          <t>0300806008</t>
        </is>
      </c>
      <c r="D412" s="42" t="inlineStr">
        <is>
          <t>Region III (Central Luzon)</t>
        </is>
      </c>
      <c r="E412" s="42" t="inlineStr">
        <is>
          <t>Bataan</t>
        </is>
      </c>
      <c r="F412" s="42" t="inlineStr">
        <is>
          <t>Limay</t>
        </is>
      </c>
      <c r="G412" s="42" t="inlineStr">
        <is>
          <t>Reformista</t>
        </is>
      </c>
      <c r="H412" s="43" t="n">
        <v>14.563931</v>
      </c>
      <c r="I412" s="43" t="n">
        <v>120.597774</v>
      </c>
      <c r="J412" s="44" t="inlineStr">
        <is>
          <t>U</t>
        </is>
      </c>
      <c r="K412" s="42" t="inlineStr">
        <is>
          <t>Class 1-3 / Urban</t>
        </is>
      </c>
      <c r="L412" s="23" t="n">
        <v>5169</v>
      </c>
      <c r="M412" s="24" t="n">
        <v>4.57</v>
      </c>
      <c r="N412" s="23">
        <f>ROUND(L412/M412, 0)</f>
        <v/>
      </c>
      <c r="O412" s="23">
        <f>ROUND(N412*'Methodology &amp; Assumptions'!$B$8, 0)</f>
        <v/>
      </c>
      <c r="P412" s="44" t="inlineStr">
        <is>
          <t>Band n50 (1.5 GHz, 60 MHz)</t>
        </is>
      </c>
      <c r="Q412" s="38">
        <f>ROUNDUP(O412/'Methodology &amp; Assumptions'!$B$9, 0)</f>
        <v/>
      </c>
      <c r="R412" s="39" t="n">
        <v>1</v>
      </c>
      <c r="S412" s="25" t="n">
        <v>1.35</v>
      </c>
      <c r="T412" s="25" t="n">
        <v>0.38</v>
      </c>
      <c r="U412" s="42" t="inlineStr">
        <is>
          <t>Tier 1B (Micro Drop, 1-3 km)</t>
        </is>
      </c>
      <c r="V412" s="24" t="n">
        <v>73.7</v>
      </c>
      <c r="W412" s="24" t="n">
        <v>100</v>
      </c>
      <c r="X412" s="24" t="n">
        <v>28</v>
      </c>
      <c r="Y412" s="45">
        <f>ROUND((V412*'Methodology &amp; Assumptions'!$B$6)+(W412*'Methodology &amp; Assumptions'!$B$5)+(X412*'Methodology &amp; Assumptions'!$B$7), 2)</f>
        <v/>
      </c>
    </row>
    <row r="413" ht="19" customHeight="1">
      <c r="A413" s="35" t="n">
        <v>409</v>
      </c>
      <c r="B413" s="35" t="n">
        <v>2409</v>
      </c>
      <c r="C413" s="36" t="inlineStr">
        <is>
          <t>0105523018</t>
        </is>
      </c>
      <c r="D413" s="36" t="inlineStr">
        <is>
          <t>Region I (Ilocos Region)</t>
        </is>
      </c>
      <c r="E413" s="36" t="inlineStr">
        <is>
          <t>Pangasinan</t>
        </is>
      </c>
      <c r="F413" s="36" t="inlineStr">
        <is>
          <t>Mabini</t>
        </is>
      </c>
      <c r="G413" s="36" t="inlineStr">
        <is>
          <t>Tagudin</t>
        </is>
      </c>
      <c r="H413" s="37" t="n">
        <v>16.081059</v>
      </c>
      <c r="I413" s="37" t="n">
        <v>119.953435</v>
      </c>
      <c r="J413" s="8" t="inlineStr">
        <is>
          <t>R</t>
        </is>
      </c>
      <c r="K413" s="36" t="inlineStr">
        <is>
          <t>Class 1-3 / Urban</t>
        </is>
      </c>
      <c r="L413" s="18" t="n">
        <v>4212</v>
      </c>
      <c r="M413" s="20" t="n">
        <v>4.39</v>
      </c>
      <c r="N413" s="18">
        <f>ROUND(L413/M413, 0)</f>
        <v/>
      </c>
      <c r="O413" s="18">
        <f>ROUND(N413*'Methodology &amp; Assumptions'!$B$8, 0)</f>
        <v/>
      </c>
      <c r="P413" s="8" t="inlineStr">
        <is>
          <t>Band n50 (1.5 GHz, 60 MHz)</t>
        </is>
      </c>
      <c r="Q413" s="38">
        <f>ROUNDUP(O413/'Methodology &amp; Assumptions'!$B$9, 0)</f>
        <v/>
      </c>
      <c r="R413" s="39" t="n">
        <v>1</v>
      </c>
      <c r="S413" s="21" t="n">
        <v>2.91</v>
      </c>
      <c r="T413" s="21" t="n">
        <v>0.19</v>
      </c>
      <c r="U413" s="36" t="inlineStr">
        <is>
          <t>Tier 1B (Micro Drop, 1-3 km)</t>
        </is>
      </c>
      <c r="V413" s="20" t="n">
        <v>47.9</v>
      </c>
      <c r="W413" s="20" t="n">
        <v>100</v>
      </c>
      <c r="X413" s="20" t="n">
        <v>58</v>
      </c>
      <c r="Y413" s="40">
        <f>ROUND((V413*'Methodology &amp; Assumptions'!$B$6)+(W413*'Methodology &amp; Assumptions'!$B$5)+(X413*'Methodology &amp; Assumptions'!$B$7), 2)</f>
        <v/>
      </c>
    </row>
    <row r="414" ht="19" customHeight="1">
      <c r="A414" s="41" t="n">
        <v>410</v>
      </c>
      <c r="B414" s="41" t="n">
        <v>2410</v>
      </c>
      <c r="C414" s="42" t="inlineStr">
        <is>
          <t>0301407004</t>
        </is>
      </c>
      <c r="D414" s="42" t="inlineStr">
        <is>
          <t>Region III (Central Luzon)</t>
        </is>
      </c>
      <c r="E414" s="42" t="inlineStr">
        <is>
          <t>Bulacan</t>
        </is>
      </c>
      <c r="F414" s="42" t="inlineStr">
        <is>
          <t>Calumpit</t>
        </is>
      </c>
      <c r="G414" s="42" t="inlineStr">
        <is>
          <t>Buguion</t>
        </is>
      </c>
      <c r="H414" s="43" t="n">
        <v>14.897917</v>
      </c>
      <c r="I414" s="43" t="n">
        <v>120.792606</v>
      </c>
      <c r="J414" s="44" t="inlineStr">
        <is>
          <t>R</t>
        </is>
      </c>
      <c r="K414" s="42" t="inlineStr">
        <is>
          <t>Class 1-3 / Urban</t>
        </is>
      </c>
      <c r="L414" s="23" t="n">
        <v>3841</v>
      </c>
      <c r="M414" s="24" t="n">
        <v>4.1</v>
      </c>
      <c r="N414" s="23">
        <f>ROUND(L414/M414, 0)</f>
        <v/>
      </c>
      <c r="O414" s="23">
        <f>ROUND(N414*'Methodology &amp; Assumptions'!$B$8, 0)</f>
        <v/>
      </c>
      <c r="P414" s="44" t="inlineStr">
        <is>
          <t>Band n50 (1.5 GHz, 60 MHz)</t>
        </is>
      </c>
      <c r="Q414" s="38">
        <f>ROUNDUP(O414/'Methodology &amp; Assumptions'!$B$9, 0)</f>
        <v/>
      </c>
      <c r="R414" s="39" t="n">
        <v>1</v>
      </c>
      <c r="S414" s="25" t="n">
        <v>2.83</v>
      </c>
      <c r="T414" s="25" t="n">
        <v>0.89</v>
      </c>
      <c r="U414" s="42" t="inlineStr">
        <is>
          <t>Tier 1B (Micro Drop, 1-3 km)</t>
        </is>
      </c>
      <c r="V414" s="24" t="n">
        <v>49</v>
      </c>
      <c r="W414" s="24" t="n">
        <v>98.90000000000001</v>
      </c>
      <c r="X414" s="24" t="n">
        <v>58</v>
      </c>
      <c r="Y414" s="45">
        <f>ROUND((V414*'Methodology &amp; Assumptions'!$B$6)+(W414*'Methodology &amp; Assumptions'!$B$5)+(X414*'Methodology &amp; Assumptions'!$B$7), 2)</f>
        <v/>
      </c>
    </row>
    <row r="415" ht="19" customHeight="1">
      <c r="A415" s="35" t="n">
        <v>411</v>
      </c>
      <c r="B415" s="35" t="n">
        <v>2411</v>
      </c>
      <c r="C415" s="36" t="inlineStr">
        <is>
          <t>0405620022</t>
        </is>
      </c>
      <c r="D415" s="36" t="inlineStr">
        <is>
          <t>Region IV-A (CALABARZON)</t>
        </is>
      </c>
      <c r="E415" s="36" t="inlineStr">
        <is>
          <t>Quezon</t>
        </is>
      </c>
      <c r="F415" s="36" t="inlineStr">
        <is>
          <t>Infanta</t>
        </is>
      </c>
      <c r="G415" s="36" t="inlineStr">
        <is>
          <t>Ingas</t>
        </is>
      </c>
      <c r="H415" s="37" t="n">
        <v>14.75189</v>
      </c>
      <c r="I415" s="37" t="n">
        <v>121.6624</v>
      </c>
      <c r="J415" s="8" t="inlineStr">
        <is>
          <t>R</t>
        </is>
      </c>
      <c r="K415" s="36" t="inlineStr">
        <is>
          <t>Class 1-3 / Urban</t>
        </is>
      </c>
      <c r="L415" s="18" t="n">
        <v>2034</v>
      </c>
      <c r="M415" s="20" t="n">
        <v>4.46</v>
      </c>
      <c r="N415" s="18">
        <f>ROUND(L415/M415, 0)</f>
        <v/>
      </c>
      <c r="O415" s="18">
        <f>ROUND(N415*'Methodology &amp; Assumptions'!$B$8, 0)</f>
        <v/>
      </c>
      <c r="P415" s="8" t="inlineStr">
        <is>
          <t>Band n50 (1.5 GHz, 60 MHz)</t>
        </is>
      </c>
      <c r="Q415" s="38">
        <f>ROUNDUP(O415/'Methodology &amp; Assumptions'!$B$9, 0)</f>
        <v/>
      </c>
      <c r="R415" s="39" t="n">
        <v>1</v>
      </c>
      <c r="S415" s="21" t="n">
        <v>0.41</v>
      </c>
      <c r="T415" s="21" t="n">
        <v>41.83</v>
      </c>
      <c r="U415" s="36" t="inlineStr">
        <is>
          <t>Tier 1A (Direct Coloc, &lt;1 km)</t>
        </is>
      </c>
      <c r="V415" s="20" t="n">
        <v>87.40000000000001</v>
      </c>
      <c r="W415" s="20" t="n">
        <v>60.5</v>
      </c>
      <c r="X415" s="20" t="n">
        <v>58</v>
      </c>
      <c r="Y415" s="40">
        <f>ROUND((V415*'Methodology &amp; Assumptions'!$B$6)+(W415*'Methodology &amp; Assumptions'!$B$5)+(X415*'Methodology &amp; Assumptions'!$B$7), 2)</f>
        <v/>
      </c>
    </row>
    <row r="416" ht="19" customHeight="1">
      <c r="A416" s="41" t="n">
        <v>412</v>
      </c>
      <c r="B416" s="41" t="n">
        <v>2412</v>
      </c>
      <c r="C416" s="42" t="inlineStr">
        <is>
          <t>0402118045</t>
        </is>
      </c>
      <c r="D416" s="42" t="inlineStr">
        <is>
          <t>Region IV-A (CALABARZON)</t>
        </is>
      </c>
      <c r="E416" s="42" t="inlineStr">
        <is>
          <t>Cavite</t>
        </is>
      </c>
      <c r="F416" s="42" t="inlineStr">
        <is>
          <t>Silang</t>
        </is>
      </c>
      <c r="G416" s="42" t="inlineStr">
        <is>
          <t>Tartaria</t>
        </is>
      </c>
      <c r="H416" s="43" t="n">
        <v>14.194983</v>
      </c>
      <c r="I416" s="43" t="n">
        <v>121.018968</v>
      </c>
      <c r="J416" s="44" t="inlineStr">
        <is>
          <t>U</t>
        </is>
      </c>
      <c r="K416" s="42" t="inlineStr">
        <is>
          <t>Class 1-3 / Urban</t>
        </is>
      </c>
      <c r="L416" s="23" t="n">
        <v>15714</v>
      </c>
      <c r="M416" s="24" t="n">
        <v>4.49</v>
      </c>
      <c r="N416" s="23">
        <f>ROUND(L416/M416, 0)</f>
        <v/>
      </c>
      <c r="O416" s="23">
        <f>ROUND(N416*'Methodology &amp; Assumptions'!$B$8, 0)</f>
        <v/>
      </c>
      <c r="P416" s="44" t="inlineStr">
        <is>
          <t>Band n50 (1.5 GHz, 60 MHz)</t>
        </is>
      </c>
      <c r="Q416" s="38">
        <f>ROUNDUP(O416/'Methodology &amp; Assumptions'!$B$9, 0)</f>
        <v/>
      </c>
      <c r="R416" s="39" t="n">
        <v>1</v>
      </c>
      <c r="S416" s="25" t="n">
        <v>1.36</v>
      </c>
      <c r="T416" s="25" t="n">
        <v>0.23</v>
      </c>
      <c r="U416" s="42" t="inlineStr">
        <is>
          <t>Tier 1B (Micro Drop, 1-3 km)</t>
        </is>
      </c>
      <c r="V416" s="24" t="n">
        <v>73.59999999999999</v>
      </c>
      <c r="W416" s="24" t="n">
        <v>100</v>
      </c>
      <c r="X416" s="24" t="n">
        <v>28</v>
      </c>
      <c r="Y416" s="45">
        <f>ROUND((V416*'Methodology &amp; Assumptions'!$B$6)+(W416*'Methodology &amp; Assumptions'!$B$5)+(X416*'Methodology &amp; Assumptions'!$B$7), 2)</f>
        <v/>
      </c>
    </row>
    <row r="417" ht="19" customHeight="1">
      <c r="A417" s="35" t="n">
        <v>413</v>
      </c>
      <c r="B417" s="35" t="n">
        <v>2413</v>
      </c>
      <c r="C417" s="36" t="inlineStr">
        <is>
          <t>1206511020</t>
        </is>
      </c>
      <c r="D417" s="36" t="inlineStr">
        <is>
          <t>Region XII (SOCCSKSARGEN)</t>
        </is>
      </c>
      <c r="E417" s="36" t="inlineStr">
        <is>
          <t>Sultan Kudarat</t>
        </is>
      </c>
      <c r="F417" s="36" t="inlineStr">
        <is>
          <t>City of Tacurong</t>
        </is>
      </c>
      <c r="G417" s="36" t="inlineStr">
        <is>
          <t>Upper Katungal</t>
        </is>
      </c>
      <c r="H417" s="37" t="n">
        <v>6.663889</v>
      </c>
      <c r="I417" s="37" t="n">
        <v>124.661667</v>
      </c>
      <c r="J417" s="8" t="inlineStr">
        <is>
          <t>R</t>
        </is>
      </c>
      <c r="K417" s="36" t="inlineStr">
        <is>
          <t>Class 1-3 / Urban</t>
        </is>
      </c>
      <c r="L417" s="18" t="n">
        <v>4609</v>
      </c>
      <c r="M417" s="20" t="n">
        <v>4.1</v>
      </c>
      <c r="N417" s="18">
        <f>ROUND(L417/M417, 0)</f>
        <v/>
      </c>
      <c r="O417" s="18">
        <f>ROUND(N417*'Methodology &amp; Assumptions'!$B$8, 0)</f>
        <v/>
      </c>
      <c r="P417" s="8" t="inlineStr">
        <is>
          <t>Band n50 (1.5 GHz, 60 MHz)</t>
        </is>
      </c>
      <c r="Q417" s="38">
        <f>ROUNDUP(O417/'Methodology &amp; Assumptions'!$B$9, 0)</f>
        <v/>
      </c>
      <c r="R417" s="39" t="n">
        <v>1</v>
      </c>
      <c r="S417" s="21" t="n">
        <v>3.15</v>
      </c>
      <c r="T417" s="21" t="n">
        <v>2.76</v>
      </c>
      <c r="U417" s="36" t="inlineStr">
        <is>
          <t>Tier 2 (Fiber Corridor / Lateral, 3-5 km)</t>
        </is>
      </c>
      <c r="V417" s="20" t="n">
        <v>35</v>
      </c>
      <c r="W417" s="20" t="n">
        <v>100</v>
      </c>
      <c r="X417" s="20" t="n">
        <v>73</v>
      </c>
      <c r="Y417" s="40">
        <f>ROUND((V417*'Methodology &amp; Assumptions'!$B$6)+(W417*'Methodology &amp; Assumptions'!$B$5)+(X417*'Methodology &amp; Assumptions'!$B$7), 2)</f>
        <v/>
      </c>
    </row>
    <row r="418" ht="19" customHeight="1">
      <c r="A418" s="41" t="n">
        <v>414</v>
      </c>
      <c r="B418" s="41" t="n">
        <v>2414</v>
      </c>
      <c r="C418" s="42" t="inlineStr">
        <is>
          <t>0103314015</t>
        </is>
      </c>
      <c r="D418" s="42" t="inlineStr">
        <is>
          <t>Region I (Ilocos Region)</t>
        </is>
      </c>
      <c r="E418" s="42" t="inlineStr">
        <is>
          <t>La Union</t>
        </is>
      </c>
      <c r="F418" s="42" t="inlineStr">
        <is>
          <t>City of San Fernando</t>
        </is>
      </c>
      <c r="G418" s="42" t="inlineStr">
        <is>
          <t>Cabaroan</t>
        </is>
      </c>
      <c r="H418" s="43" t="n">
        <v>16.619116</v>
      </c>
      <c r="I418" s="43" t="n">
        <v>120.330745</v>
      </c>
      <c r="J418" s="44" t="inlineStr">
        <is>
          <t>R</t>
        </is>
      </c>
      <c r="K418" s="42" t="inlineStr">
        <is>
          <t>Class 1-3 / Urban</t>
        </is>
      </c>
      <c r="L418" s="23" t="n">
        <v>3660</v>
      </c>
      <c r="M418" s="24" t="n">
        <v>4.42</v>
      </c>
      <c r="N418" s="23">
        <f>ROUND(L418/M418, 0)</f>
        <v/>
      </c>
      <c r="O418" s="23">
        <f>ROUND(N418*'Methodology &amp; Assumptions'!$B$8, 0)</f>
        <v/>
      </c>
      <c r="P418" s="44" t="inlineStr">
        <is>
          <t>Band n50 (1.5 GHz, 60 MHz)</t>
        </is>
      </c>
      <c r="Q418" s="38">
        <f>ROUNDUP(O418/'Methodology &amp; Assumptions'!$B$9, 0)</f>
        <v/>
      </c>
      <c r="R418" s="39" t="n">
        <v>1</v>
      </c>
      <c r="S418" s="25" t="n">
        <v>2.22</v>
      </c>
      <c r="T418" s="25" t="n">
        <v>1.45</v>
      </c>
      <c r="U418" s="42" t="inlineStr">
        <is>
          <t>Tier 1B (Micro Drop, 1-3 km)</t>
        </is>
      </c>
      <c r="V418" s="24" t="n">
        <v>57.7</v>
      </c>
      <c r="W418" s="24" t="n">
        <v>90.09999999999999</v>
      </c>
      <c r="X418" s="24" t="n">
        <v>58</v>
      </c>
      <c r="Y418" s="45">
        <f>ROUND((V418*'Methodology &amp; Assumptions'!$B$6)+(W418*'Methodology &amp; Assumptions'!$B$5)+(X418*'Methodology &amp; Assumptions'!$B$7), 2)</f>
        <v/>
      </c>
    </row>
    <row r="419" ht="19" customHeight="1">
      <c r="A419" s="35" t="n">
        <v>415</v>
      </c>
      <c r="B419" s="35" t="n">
        <v>2415</v>
      </c>
      <c r="C419" s="36" t="inlineStr">
        <is>
          <t>0405630020</t>
        </is>
      </c>
      <c r="D419" s="36" t="inlineStr">
        <is>
          <t>Region IV-A (CALABARZON)</t>
        </is>
      </c>
      <c r="E419" s="36" t="inlineStr">
        <is>
          <t>Quezon</t>
        </is>
      </c>
      <c r="F419" s="36" t="inlineStr">
        <is>
          <t>Pagbilao</t>
        </is>
      </c>
      <c r="G419" s="36" t="inlineStr">
        <is>
          <t>Barangay 2 Daungan</t>
        </is>
      </c>
      <c r="H419" s="37" t="n">
        <v>13.967198</v>
      </c>
      <c r="I419" s="37" t="n">
        <v>121.689442</v>
      </c>
      <c r="J419" s="8" t="inlineStr">
        <is>
          <t>R</t>
        </is>
      </c>
      <c r="K419" s="36" t="inlineStr">
        <is>
          <t>Class 1-3 / Urban</t>
        </is>
      </c>
      <c r="L419" s="18" t="n">
        <v>2285</v>
      </c>
      <c r="M419" s="20" t="n">
        <v>4.46</v>
      </c>
      <c r="N419" s="18">
        <f>ROUND(L419/M419, 0)</f>
        <v/>
      </c>
      <c r="O419" s="18">
        <f>ROUND(N419*'Methodology &amp; Assumptions'!$B$8, 0)</f>
        <v/>
      </c>
      <c r="P419" s="8" t="inlineStr">
        <is>
          <t>Band n50 (1.5 GHz, 60 MHz)</t>
        </is>
      </c>
      <c r="Q419" s="38">
        <f>ROUNDUP(O419/'Methodology &amp; Assumptions'!$B$9, 0)</f>
        <v/>
      </c>
      <c r="R419" s="39" t="n">
        <v>1</v>
      </c>
      <c r="S419" s="21" t="n">
        <v>0.95</v>
      </c>
      <c r="T419" s="21" t="n">
        <v>0.59</v>
      </c>
      <c r="U419" s="36" t="inlineStr">
        <is>
          <t>Tier 1A (Direct Coloc, &lt;1 km)</t>
        </is>
      </c>
      <c r="V419" s="20" t="n">
        <v>82.8</v>
      </c>
      <c r="W419" s="20" t="n">
        <v>65.09999999999999</v>
      </c>
      <c r="X419" s="20" t="n">
        <v>58</v>
      </c>
      <c r="Y419" s="40">
        <f>ROUND((V419*'Methodology &amp; Assumptions'!$B$6)+(W419*'Methodology &amp; Assumptions'!$B$5)+(X419*'Methodology &amp; Assumptions'!$B$7), 2)</f>
        <v/>
      </c>
    </row>
    <row r="420" ht="19" customHeight="1">
      <c r="A420" s="41" t="n">
        <v>416</v>
      </c>
      <c r="B420" s="41" t="n">
        <v>2416</v>
      </c>
      <c r="C420" s="42" t="inlineStr">
        <is>
          <t>0201529044</t>
        </is>
      </c>
      <c r="D420" s="42" t="inlineStr">
        <is>
          <t>Region II (Cagayan Valley)</t>
        </is>
      </c>
      <c r="E420" s="42" t="inlineStr">
        <is>
          <t>Cagayan</t>
        </is>
      </c>
      <c r="F420" s="42" t="inlineStr">
        <is>
          <t>Tuguegarao City</t>
        </is>
      </c>
      <c r="G420" s="42" t="inlineStr">
        <is>
          <t>Leonarda</t>
        </is>
      </c>
      <c r="H420" s="43" t="n">
        <v>17.642848</v>
      </c>
      <c r="I420" s="43" t="n">
        <v>121.740206</v>
      </c>
      <c r="J420" s="44" t="inlineStr">
        <is>
          <t>U</t>
        </is>
      </c>
      <c r="K420" s="42" t="inlineStr">
        <is>
          <t>Class 1-3 / Urban</t>
        </is>
      </c>
      <c r="L420" s="23" t="n">
        <v>3261</v>
      </c>
      <c r="M420" s="24" t="n">
        <v>4.38</v>
      </c>
      <c r="N420" s="23">
        <f>ROUND(L420/M420, 0)</f>
        <v/>
      </c>
      <c r="O420" s="23">
        <f>ROUND(N420*'Methodology &amp; Assumptions'!$B$8, 0)</f>
        <v/>
      </c>
      <c r="P420" s="44" t="inlineStr">
        <is>
          <t>Band n50 (1.5 GHz, 60 MHz)</t>
        </is>
      </c>
      <c r="Q420" s="38">
        <f>ROUNDUP(O420/'Methodology &amp; Assumptions'!$B$9, 0)</f>
        <v/>
      </c>
      <c r="R420" s="39" t="n">
        <v>1</v>
      </c>
      <c r="S420" s="25" t="n">
        <v>1.2</v>
      </c>
      <c r="T420" s="25" t="n">
        <v>0.1</v>
      </c>
      <c r="U420" s="42" t="inlineStr">
        <is>
          <t>Tier 1B (Micro Drop, 1-3 km)</t>
        </is>
      </c>
      <c r="V420" s="24" t="n">
        <v>77</v>
      </c>
      <c r="W420" s="24" t="n">
        <v>83.7</v>
      </c>
      <c r="X420" s="24" t="n">
        <v>43</v>
      </c>
      <c r="Y420" s="45">
        <f>ROUND((V420*'Methodology &amp; Assumptions'!$B$6)+(W420*'Methodology &amp; Assumptions'!$B$5)+(X420*'Methodology &amp; Assumptions'!$B$7), 2)</f>
        <v/>
      </c>
    </row>
    <row r="421" ht="19" customHeight="1">
      <c r="A421" s="35" t="n">
        <v>417</v>
      </c>
      <c r="B421" s="35" t="n">
        <v>2417</v>
      </c>
      <c r="C421" s="36" t="inlineStr">
        <is>
          <t>0305415017</t>
        </is>
      </c>
      <c r="D421" s="36" t="inlineStr">
        <is>
          <t>Region III (Central Luzon)</t>
        </is>
      </c>
      <c r="E421" s="36" t="inlineStr">
        <is>
          <t>Pampanga</t>
        </is>
      </c>
      <c r="F421" s="36" t="inlineStr">
        <is>
          <t>Porac</t>
        </is>
      </c>
      <c r="G421" s="36" t="inlineStr">
        <is>
          <t>Manibaug Libutad</t>
        </is>
      </c>
      <c r="H421" s="37" t="n">
        <v>15.107908</v>
      </c>
      <c r="I421" s="37" t="n">
        <v>120.563748</v>
      </c>
      <c r="J421" s="8" t="inlineStr">
        <is>
          <t>U</t>
        </is>
      </c>
      <c r="K421" s="36" t="inlineStr">
        <is>
          <t>Class 1-3 / Urban</t>
        </is>
      </c>
      <c r="L421" s="18" t="n">
        <v>5576</v>
      </c>
      <c r="M421" s="20" t="n">
        <v>4.63</v>
      </c>
      <c r="N421" s="18">
        <f>ROUND(L421/M421, 0)</f>
        <v/>
      </c>
      <c r="O421" s="18">
        <f>ROUND(N421*'Methodology &amp; Assumptions'!$B$8, 0)</f>
        <v/>
      </c>
      <c r="P421" s="8" t="inlineStr">
        <is>
          <t>Band n50 (1.5 GHz, 60 MHz)</t>
        </is>
      </c>
      <c r="Q421" s="38">
        <f>ROUNDUP(O421/'Methodology &amp; Assumptions'!$B$9, 0)</f>
        <v/>
      </c>
      <c r="R421" s="39" t="n">
        <v>1</v>
      </c>
      <c r="S421" s="21" t="n">
        <v>1.36</v>
      </c>
      <c r="T421" s="21" t="n">
        <v>0.23</v>
      </c>
      <c r="U421" s="36" t="inlineStr">
        <is>
          <t>Tier 1B (Micro Drop, 1-3 km)</t>
        </is>
      </c>
      <c r="V421" s="20" t="n">
        <v>73.59999999999999</v>
      </c>
      <c r="W421" s="20" t="n">
        <v>100</v>
      </c>
      <c r="X421" s="20" t="n">
        <v>28</v>
      </c>
      <c r="Y421" s="40">
        <f>ROUND((V421*'Methodology &amp; Assumptions'!$B$6)+(W421*'Methodology &amp; Assumptions'!$B$5)+(X421*'Methodology &amp; Assumptions'!$B$7), 2)</f>
        <v/>
      </c>
    </row>
    <row r="422" ht="19" customHeight="1">
      <c r="A422" s="41" t="n">
        <v>418</v>
      </c>
      <c r="B422" s="41" t="n">
        <v>2418</v>
      </c>
      <c r="C422" s="42" t="inlineStr">
        <is>
          <t>0600415014</t>
        </is>
      </c>
      <c r="D422" s="42" t="inlineStr">
        <is>
          <t>Region VI (Western Visayas)</t>
        </is>
      </c>
      <c r="E422" s="42" t="inlineStr">
        <is>
          <t>Aklan</t>
        </is>
      </c>
      <c r="F422" s="42" t="inlineStr">
        <is>
          <t>New Washington</t>
        </is>
      </c>
      <c r="G422" s="42" t="inlineStr">
        <is>
          <t>Polo</t>
        </is>
      </c>
      <c r="H422" s="43" t="n">
        <v>11.637309</v>
      </c>
      <c r="I422" s="43" t="n">
        <v>122.446511</v>
      </c>
      <c r="J422" s="44" t="inlineStr">
        <is>
          <t>R</t>
        </is>
      </c>
      <c r="K422" s="42" t="inlineStr">
        <is>
          <t>Class 1-3 / Urban</t>
        </is>
      </c>
      <c r="L422" s="23" t="n">
        <v>3640</v>
      </c>
      <c r="M422" s="24" t="n">
        <v>4.27</v>
      </c>
      <c r="N422" s="23">
        <f>ROUND(L422/M422, 0)</f>
        <v/>
      </c>
      <c r="O422" s="23">
        <f>ROUND(N422*'Methodology &amp; Assumptions'!$B$8, 0)</f>
        <v/>
      </c>
      <c r="P422" s="44" t="inlineStr">
        <is>
          <t>Band n50 (1.5 GHz, 60 MHz)</t>
        </is>
      </c>
      <c r="Q422" s="38">
        <f>ROUNDUP(O422/'Methodology &amp; Assumptions'!$B$9, 0)</f>
        <v/>
      </c>
      <c r="R422" s="39" t="n">
        <v>1</v>
      </c>
      <c r="S422" s="25" t="n">
        <v>1.76</v>
      </c>
      <c r="T422" s="25" t="n">
        <v>6.19</v>
      </c>
      <c r="U422" s="42" t="inlineStr">
        <is>
          <t>Tier 1B (Micro Drop, 1-3 km)</t>
        </is>
      </c>
      <c r="V422" s="24" t="n">
        <v>55.6</v>
      </c>
      <c r="W422" s="24" t="n">
        <v>92.3</v>
      </c>
      <c r="X422" s="24" t="n">
        <v>58</v>
      </c>
      <c r="Y422" s="45">
        <f>ROUND((V422*'Methodology &amp; Assumptions'!$B$6)+(W422*'Methodology &amp; Assumptions'!$B$5)+(X422*'Methodology &amp; Assumptions'!$B$7), 2)</f>
        <v/>
      </c>
    </row>
    <row r="423" ht="19" customHeight="1">
      <c r="A423" s="35" t="n">
        <v>419</v>
      </c>
      <c r="B423" s="35" t="n">
        <v>2419</v>
      </c>
      <c r="C423" s="36" t="inlineStr">
        <is>
          <t>0301420052</t>
        </is>
      </c>
      <c r="D423" s="36" t="inlineStr">
        <is>
          <t>Region III (Central Luzon)</t>
        </is>
      </c>
      <c r="E423" s="36" t="inlineStr">
        <is>
          <t>Bulacan</t>
        </is>
      </c>
      <c r="F423" s="36" t="inlineStr">
        <is>
          <t>City of San Jose Del Monte</t>
        </is>
      </c>
      <c r="G423" s="36" t="inlineStr">
        <is>
          <t>San Rafael V</t>
        </is>
      </c>
      <c r="H423" s="37" t="n">
        <v>14.850433</v>
      </c>
      <c r="I423" s="37" t="n">
        <v>121.043185</v>
      </c>
      <c r="J423" s="8" t="inlineStr">
        <is>
          <t>R</t>
        </is>
      </c>
      <c r="K423" s="36" t="inlineStr">
        <is>
          <t>Class 1-3 / Urban</t>
        </is>
      </c>
      <c r="L423" s="18" t="n">
        <v>2844</v>
      </c>
      <c r="M423" s="20" t="n">
        <v>4.1</v>
      </c>
      <c r="N423" s="18">
        <f>ROUND(L423/M423, 0)</f>
        <v/>
      </c>
      <c r="O423" s="18">
        <f>ROUND(N423*'Methodology &amp; Assumptions'!$B$8, 0)</f>
        <v/>
      </c>
      <c r="P423" s="8" t="inlineStr">
        <is>
          <t>Band n50 (1.5 GHz, 60 MHz)</t>
        </is>
      </c>
      <c r="Q423" s="38">
        <f>ROUNDUP(O423/'Methodology &amp; Assumptions'!$B$9, 0)</f>
        <v/>
      </c>
      <c r="R423" s="39" t="n">
        <v>1</v>
      </c>
      <c r="S423" s="21" t="n">
        <v>1.14</v>
      </c>
      <c r="T423" s="21" t="n">
        <v>2.23</v>
      </c>
      <c r="U423" s="36" t="inlineStr">
        <is>
          <t>Tier 1B (Micro Drop, 1-3 km)</t>
        </is>
      </c>
      <c r="V423" s="20" t="n">
        <v>68.40000000000001</v>
      </c>
      <c r="W423" s="20" t="n">
        <v>79.5</v>
      </c>
      <c r="X423" s="20" t="n">
        <v>58</v>
      </c>
      <c r="Y423" s="40">
        <f>ROUND((V423*'Methodology &amp; Assumptions'!$B$6)+(W423*'Methodology &amp; Assumptions'!$B$5)+(X423*'Methodology &amp; Assumptions'!$B$7), 2)</f>
        <v/>
      </c>
    </row>
    <row r="424" ht="19" customHeight="1">
      <c r="A424" s="41" t="n">
        <v>420</v>
      </c>
      <c r="B424" s="41" t="n">
        <v>2420</v>
      </c>
      <c r="C424" s="42" t="inlineStr">
        <is>
          <t>0501724018</t>
        </is>
      </c>
      <c r="D424" s="42" t="inlineStr">
        <is>
          <t>Region V (Bicol Region)</t>
        </is>
      </c>
      <c r="E424" s="42" t="inlineStr">
        <is>
          <t>Camarines Sur</t>
        </is>
      </c>
      <c r="F424" s="42" t="inlineStr">
        <is>
          <t>City of Naga</t>
        </is>
      </c>
      <c r="G424" s="42" t="inlineStr">
        <is>
          <t>Liboton</t>
        </is>
      </c>
      <c r="H424" s="43" t="n">
        <v>13.63771</v>
      </c>
      <c r="I424" s="43" t="n">
        <v>123.190142</v>
      </c>
      <c r="J424" s="44" t="inlineStr">
        <is>
          <t>R</t>
        </is>
      </c>
      <c r="K424" s="42" t="inlineStr">
        <is>
          <t>Class 1-3 / Urban</t>
        </is>
      </c>
      <c r="L424" s="23" t="n">
        <v>3105</v>
      </c>
      <c r="M424" s="24" t="n">
        <v>4.9</v>
      </c>
      <c r="N424" s="23">
        <f>ROUND(L424/M424, 0)</f>
        <v/>
      </c>
      <c r="O424" s="23">
        <f>ROUND(N424*'Methodology &amp; Assumptions'!$B$8, 0)</f>
        <v/>
      </c>
      <c r="P424" s="44" t="inlineStr">
        <is>
          <t>Band n50 (1.5 GHz, 60 MHz)</t>
        </is>
      </c>
      <c r="Q424" s="38">
        <f>ROUNDUP(O424/'Methodology &amp; Assumptions'!$B$9, 0)</f>
        <v/>
      </c>
      <c r="R424" s="39" t="n">
        <v>1</v>
      </c>
      <c r="S424" s="25" t="n">
        <v>1.38</v>
      </c>
      <c r="T424" s="25" t="n">
        <v>0.41</v>
      </c>
      <c r="U424" s="42" t="inlineStr">
        <is>
          <t>Tier 1B (Micro Drop, 1-3 km)</t>
        </is>
      </c>
      <c r="V424" s="24" t="n">
        <v>73.09999999999999</v>
      </c>
      <c r="W424" s="24" t="n">
        <v>74.7</v>
      </c>
      <c r="X424" s="24" t="n">
        <v>58</v>
      </c>
      <c r="Y424" s="45">
        <f>ROUND((V424*'Methodology &amp; Assumptions'!$B$6)+(W424*'Methodology &amp; Assumptions'!$B$5)+(X424*'Methodology &amp; Assumptions'!$B$7), 2)</f>
        <v/>
      </c>
    </row>
    <row r="425" ht="19" customHeight="1">
      <c r="A425" s="35" t="n">
        <v>421</v>
      </c>
      <c r="B425" s="35" t="n">
        <v>2421</v>
      </c>
      <c r="C425" s="36" t="inlineStr">
        <is>
          <t>0304927006</t>
        </is>
      </c>
      <c r="D425" s="36" t="inlineStr">
        <is>
          <t>Region III (Central Luzon)</t>
        </is>
      </c>
      <c r="E425" s="36" t="inlineStr">
        <is>
          <t>Nueva Ecija</t>
        </is>
      </c>
      <c r="F425" s="36" t="inlineStr">
        <is>
          <t>San Leonardo</t>
        </is>
      </c>
      <c r="G425" s="36" t="inlineStr">
        <is>
          <t>Magpapalayoc</t>
        </is>
      </c>
      <c r="H425" s="37" t="n">
        <v>15.381683</v>
      </c>
      <c r="I425" s="37" t="n">
        <v>120.928541</v>
      </c>
      <c r="J425" s="8" t="inlineStr">
        <is>
          <t>U</t>
        </is>
      </c>
      <c r="K425" s="36" t="inlineStr">
        <is>
          <t>Class 1-3 / Urban</t>
        </is>
      </c>
      <c r="L425" s="18" t="n">
        <v>5867</v>
      </c>
      <c r="M425" s="20" t="n">
        <v>4.32</v>
      </c>
      <c r="N425" s="18">
        <f>ROUND(L425/M425, 0)</f>
        <v/>
      </c>
      <c r="O425" s="18">
        <f>ROUND(N425*'Methodology &amp; Assumptions'!$B$8, 0)</f>
        <v/>
      </c>
      <c r="P425" s="8" t="inlineStr">
        <is>
          <t>Band n50 (1.5 GHz, 60 MHz)</t>
        </is>
      </c>
      <c r="Q425" s="38">
        <f>ROUNDUP(O425/'Methodology &amp; Assumptions'!$B$9, 0)</f>
        <v/>
      </c>
      <c r="R425" s="39" t="n">
        <v>1</v>
      </c>
      <c r="S425" s="21" t="n">
        <v>2.04</v>
      </c>
      <c r="T425" s="21" t="n">
        <v>1.34</v>
      </c>
      <c r="U425" s="36" t="inlineStr">
        <is>
          <t>Tier 1B (Micro Drop, 1-3 km)</t>
        </is>
      </c>
      <c r="V425" s="20" t="n">
        <v>60.7</v>
      </c>
      <c r="W425" s="20" t="n">
        <v>100</v>
      </c>
      <c r="X425" s="20" t="n">
        <v>43</v>
      </c>
      <c r="Y425" s="40">
        <f>ROUND((V425*'Methodology &amp; Assumptions'!$B$6)+(W425*'Methodology &amp; Assumptions'!$B$5)+(X425*'Methodology &amp; Assumptions'!$B$7), 2)</f>
        <v/>
      </c>
    </row>
    <row r="426" ht="19" customHeight="1">
      <c r="A426" s="41" t="n">
        <v>422</v>
      </c>
      <c r="B426" s="41" t="n">
        <v>2422</v>
      </c>
      <c r="C426" s="42" t="inlineStr">
        <is>
          <t>0305416011</t>
        </is>
      </c>
      <c r="D426" s="42" t="inlineStr">
        <is>
          <t>Region III (Central Luzon)</t>
        </is>
      </c>
      <c r="E426" s="42" t="inlineStr">
        <is>
          <t>Pampanga</t>
        </is>
      </c>
      <c r="F426" s="42" t="inlineStr">
        <is>
          <t>City of San Fernando</t>
        </is>
      </c>
      <c r="G426" s="42" t="inlineStr">
        <is>
          <t>Juliana</t>
        </is>
      </c>
      <c r="H426" s="43" t="n">
        <v>15.036016</v>
      </c>
      <c r="I426" s="43" t="n">
        <v>120.6905</v>
      </c>
      <c r="J426" s="44" t="inlineStr">
        <is>
          <t>U</t>
        </is>
      </c>
      <c r="K426" s="42" t="inlineStr">
        <is>
          <t>Class 1-3 / Urban</t>
        </is>
      </c>
      <c r="L426" s="23" t="n">
        <v>4048</v>
      </c>
      <c r="M426" s="24" t="n">
        <v>4.63</v>
      </c>
      <c r="N426" s="23">
        <f>ROUND(L426/M426, 0)</f>
        <v/>
      </c>
      <c r="O426" s="23">
        <f>ROUND(N426*'Methodology &amp; Assumptions'!$B$8, 0)</f>
        <v/>
      </c>
      <c r="P426" s="44" t="inlineStr">
        <is>
          <t>Band n50 (1.5 GHz, 60 MHz)</t>
        </is>
      </c>
      <c r="Q426" s="38">
        <f>ROUNDUP(O426/'Methodology &amp; Assumptions'!$B$9, 0)</f>
        <v/>
      </c>
      <c r="R426" s="39" t="n">
        <v>1</v>
      </c>
      <c r="S426" s="25" t="n">
        <v>1.09</v>
      </c>
      <c r="T426" s="25" t="n">
        <v>0.33</v>
      </c>
      <c r="U426" s="42" t="inlineStr">
        <is>
          <t>Tier 1B (Micro Drop, 1-3 km)</t>
        </is>
      </c>
      <c r="V426" s="24" t="n">
        <v>79.59999999999999</v>
      </c>
      <c r="W426" s="24" t="n">
        <v>93.90000000000001</v>
      </c>
      <c r="X426" s="24" t="n">
        <v>28</v>
      </c>
      <c r="Y426" s="45">
        <f>ROUND((V426*'Methodology &amp; Assumptions'!$B$6)+(W426*'Methodology &amp; Assumptions'!$B$5)+(X426*'Methodology &amp; Assumptions'!$B$7), 2)</f>
        <v/>
      </c>
    </row>
    <row r="427" ht="19" customHeight="1">
      <c r="A427" s="35" t="n">
        <v>423</v>
      </c>
      <c r="B427" s="35" t="n">
        <v>2423</v>
      </c>
      <c r="C427" s="36" t="inlineStr">
        <is>
          <t>0201506019</t>
        </is>
      </c>
      <c r="D427" s="36" t="inlineStr">
        <is>
          <t>Region II (Cagayan Valley)</t>
        </is>
      </c>
      <c r="E427" s="36" t="inlineStr">
        <is>
          <t>Cagayan</t>
        </is>
      </c>
      <c r="F427" s="36" t="inlineStr">
        <is>
          <t>Baggao</t>
        </is>
      </c>
      <c r="G427" s="36" t="inlineStr">
        <is>
          <t>Poblacion</t>
        </is>
      </c>
      <c r="H427" s="37" t="n">
        <v>17.9342</v>
      </c>
      <c r="I427" s="37" t="n">
        <v>121.7707</v>
      </c>
      <c r="J427" s="8" t="inlineStr">
        <is>
          <t>U</t>
        </is>
      </c>
      <c r="K427" s="36" t="inlineStr">
        <is>
          <t>Class 1-3 / Urban</t>
        </is>
      </c>
      <c r="L427" s="18" t="n">
        <v>3408</v>
      </c>
      <c r="M427" s="20" t="n">
        <v>4.38</v>
      </c>
      <c r="N427" s="18">
        <f>ROUND(L427/M427, 0)</f>
        <v/>
      </c>
      <c r="O427" s="18">
        <f>ROUND(N427*'Methodology &amp; Assumptions'!$B$8, 0)</f>
        <v/>
      </c>
      <c r="P427" s="8" t="inlineStr">
        <is>
          <t>Band n50 (1.5 GHz, 60 MHz)</t>
        </is>
      </c>
      <c r="Q427" s="38">
        <f>ROUNDUP(O427/'Methodology &amp; Assumptions'!$B$9, 0)</f>
        <v/>
      </c>
      <c r="R427" s="39" t="n">
        <v>1</v>
      </c>
      <c r="S427" s="21" t="n">
        <v>0.4</v>
      </c>
      <c r="T427" s="21" t="n">
        <v>9.640000000000001</v>
      </c>
      <c r="U427" s="36" t="inlineStr">
        <is>
          <t>Tier 1A (Direct Coloc, &lt;1 km)</t>
        </is>
      </c>
      <c r="V427" s="20" t="n">
        <v>87.40000000000001</v>
      </c>
      <c r="W427" s="20" t="n">
        <v>86.09999999999999</v>
      </c>
      <c r="X427" s="20" t="n">
        <v>28</v>
      </c>
      <c r="Y427" s="40">
        <f>ROUND((V427*'Methodology &amp; Assumptions'!$B$6)+(W427*'Methodology &amp; Assumptions'!$B$5)+(X427*'Methodology &amp; Assumptions'!$B$7), 2)</f>
        <v/>
      </c>
    </row>
    <row r="428" ht="19" customHeight="1">
      <c r="A428" s="41" t="n">
        <v>424</v>
      </c>
      <c r="B428" s="41" t="n">
        <v>2424</v>
      </c>
      <c r="C428" s="42" t="inlineStr">
        <is>
          <t>0301410001</t>
        </is>
      </c>
      <c r="D428" s="42" t="inlineStr">
        <is>
          <t>Region III (Central Luzon)</t>
        </is>
      </c>
      <c r="E428" s="42" t="inlineStr">
        <is>
          <t>Bulacan</t>
        </is>
      </c>
      <c r="F428" s="42" t="inlineStr">
        <is>
          <t>City of Malolos</t>
        </is>
      </c>
      <c r="G428" s="42" t="inlineStr">
        <is>
          <t>Anilao</t>
        </is>
      </c>
      <c r="H428" s="43" t="n">
        <v>14.846058</v>
      </c>
      <c r="I428" s="43" t="n">
        <v>120.796782</v>
      </c>
      <c r="J428" s="44" t="inlineStr">
        <is>
          <t>R</t>
        </is>
      </c>
      <c r="K428" s="42" t="inlineStr">
        <is>
          <t>Class 1-3 / Urban</t>
        </is>
      </c>
      <c r="L428" s="23" t="n">
        <v>3013</v>
      </c>
      <c r="M428" s="24" t="n">
        <v>4.1</v>
      </c>
      <c r="N428" s="23">
        <f>ROUND(L428/M428, 0)</f>
        <v/>
      </c>
      <c r="O428" s="23">
        <f>ROUND(N428*'Methodology &amp; Assumptions'!$B$8, 0)</f>
        <v/>
      </c>
      <c r="P428" s="44" t="inlineStr">
        <is>
          <t>Band n50 (1.5 GHz, 60 MHz)</t>
        </is>
      </c>
      <c r="Q428" s="38">
        <f>ROUNDUP(O428/'Methodology &amp; Assumptions'!$B$9, 0)</f>
        <v/>
      </c>
      <c r="R428" s="39" t="n">
        <v>1</v>
      </c>
      <c r="S428" s="25" t="n">
        <v>1.79</v>
      </c>
      <c r="T428" s="25" t="n">
        <v>1.96</v>
      </c>
      <c r="U428" s="42" t="inlineStr">
        <is>
          <t>Tier 1B (Micro Drop, 1-3 km)</t>
        </is>
      </c>
      <c r="V428" s="24" t="n">
        <v>65.09999999999999</v>
      </c>
      <c r="W428" s="24" t="n">
        <v>82.7</v>
      </c>
      <c r="X428" s="24" t="n">
        <v>58</v>
      </c>
      <c r="Y428" s="45">
        <f>ROUND((V428*'Methodology &amp; Assumptions'!$B$6)+(W428*'Methodology &amp; Assumptions'!$B$5)+(X428*'Methodology &amp; Assumptions'!$B$7), 2)</f>
        <v/>
      </c>
    </row>
    <row r="429" ht="19" customHeight="1">
      <c r="A429" s="35" t="n">
        <v>425</v>
      </c>
      <c r="B429" s="35" t="n">
        <v>2425</v>
      </c>
      <c r="C429" s="36" t="inlineStr">
        <is>
          <t>0402115023</t>
        </is>
      </c>
      <c r="D429" s="36" t="inlineStr">
        <is>
          <t>Region IV-A (CALABARZON)</t>
        </is>
      </c>
      <c r="E429" s="36" t="inlineStr">
        <is>
          <t>Cavite</t>
        </is>
      </c>
      <c r="F429" s="36" t="inlineStr">
        <is>
          <t>Naic</t>
        </is>
      </c>
      <c r="G429" s="36" t="inlineStr">
        <is>
          <t>Munting Mapino</t>
        </is>
      </c>
      <c r="H429" s="37" t="n">
        <v>14.333885</v>
      </c>
      <c r="I429" s="37" t="n">
        <v>120.770765</v>
      </c>
      <c r="J429" s="8" t="inlineStr">
        <is>
          <t>U</t>
        </is>
      </c>
      <c r="K429" s="36" t="inlineStr">
        <is>
          <t>Class 1-3 / Urban</t>
        </is>
      </c>
      <c r="L429" s="18" t="n">
        <v>5443</v>
      </c>
      <c r="M429" s="20" t="n">
        <v>4.49</v>
      </c>
      <c r="N429" s="18">
        <f>ROUND(L429/M429, 0)</f>
        <v/>
      </c>
      <c r="O429" s="18">
        <f>ROUND(N429*'Methodology &amp; Assumptions'!$B$8, 0)</f>
        <v/>
      </c>
      <c r="P429" s="8" t="inlineStr">
        <is>
          <t>Band n50 (1.5 GHz, 60 MHz)</t>
        </is>
      </c>
      <c r="Q429" s="38">
        <f>ROUNDUP(O429/'Methodology &amp; Assumptions'!$B$9, 0)</f>
        <v/>
      </c>
      <c r="R429" s="39" t="n">
        <v>1</v>
      </c>
      <c r="S429" s="21" t="n">
        <v>1.36</v>
      </c>
      <c r="T429" s="21" t="n">
        <v>0.97</v>
      </c>
      <c r="U429" s="36" t="inlineStr">
        <is>
          <t>Tier 1B (Micro Drop, 1-3 km)</t>
        </is>
      </c>
      <c r="V429" s="20" t="n">
        <v>73.5</v>
      </c>
      <c r="W429" s="20" t="n">
        <v>100</v>
      </c>
      <c r="X429" s="20" t="n">
        <v>28</v>
      </c>
      <c r="Y429" s="40">
        <f>ROUND((V429*'Methodology &amp; Assumptions'!$B$6)+(W429*'Methodology &amp; Assumptions'!$B$5)+(X429*'Methodology &amp; Assumptions'!$B$7), 2)</f>
        <v/>
      </c>
    </row>
    <row r="430" ht="19" customHeight="1">
      <c r="A430" s="41" t="n">
        <v>426</v>
      </c>
      <c r="B430" s="41" t="n">
        <v>2426</v>
      </c>
      <c r="C430" s="42" t="inlineStr">
        <is>
          <t>0304919001</t>
        </is>
      </c>
      <c r="D430" s="42" t="inlineStr">
        <is>
          <t>Region III (Central Luzon)</t>
        </is>
      </c>
      <c r="E430" s="42" t="inlineStr">
        <is>
          <t>Nueva Ecija</t>
        </is>
      </c>
      <c r="F430" s="42" t="inlineStr">
        <is>
          <t>City of Palayan</t>
        </is>
      </c>
      <c r="G430" s="42" t="inlineStr">
        <is>
          <t>Aulo</t>
        </is>
      </c>
      <c r="H430" s="43" t="n">
        <v>15.520661</v>
      </c>
      <c r="I430" s="43" t="n">
        <v>121.093894</v>
      </c>
      <c r="J430" s="44" t="inlineStr">
        <is>
          <t>R</t>
        </is>
      </c>
      <c r="K430" s="42" t="inlineStr">
        <is>
          <t>Class 1-3 / Urban</t>
        </is>
      </c>
      <c r="L430" s="23" t="n">
        <v>1289</v>
      </c>
      <c r="M430" s="24" t="n">
        <v>4.32</v>
      </c>
      <c r="N430" s="23">
        <f>ROUND(L430/M430, 0)</f>
        <v/>
      </c>
      <c r="O430" s="23">
        <f>ROUND(N430*'Methodology &amp; Assumptions'!$B$8, 0)</f>
        <v/>
      </c>
      <c r="P430" s="44" t="inlineStr">
        <is>
          <t>Band n50 (1.5 GHz, 60 MHz)</t>
        </is>
      </c>
      <c r="Q430" s="38">
        <f>ROUNDUP(O430/'Methodology &amp; Assumptions'!$B$9, 0)</f>
        <v/>
      </c>
      <c r="R430" s="39" t="n">
        <v>1</v>
      </c>
      <c r="S430" s="25" t="n">
        <v>0.08</v>
      </c>
      <c r="T430" s="25" t="n">
        <v>0.08</v>
      </c>
      <c r="U430" s="42" t="inlineStr">
        <is>
          <t>Tier 1A (Direct Coloc, &lt;1 km)</t>
        </is>
      </c>
      <c r="V430" s="24" t="n">
        <v>100</v>
      </c>
      <c r="W430" s="24" t="n">
        <v>47.7</v>
      </c>
      <c r="X430" s="24" t="n">
        <v>58</v>
      </c>
      <c r="Y430" s="45">
        <f>ROUND((V430*'Methodology &amp; Assumptions'!$B$6)+(W430*'Methodology &amp; Assumptions'!$B$5)+(X430*'Methodology &amp; Assumptions'!$B$7), 2)</f>
        <v/>
      </c>
    </row>
    <row r="431" ht="19" customHeight="1">
      <c r="A431" s="35" t="n">
        <v>427</v>
      </c>
      <c r="B431" s="35" t="n">
        <v>2427</v>
      </c>
      <c r="C431" s="36" t="inlineStr">
        <is>
          <t>0405622027</t>
        </is>
      </c>
      <c r="D431" s="36" t="inlineStr">
        <is>
          <t>Region IV-A (CALABARZON)</t>
        </is>
      </c>
      <c r="E431" s="36" t="inlineStr">
        <is>
          <t>Quezon</t>
        </is>
      </c>
      <c r="F431" s="36" t="inlineStr">
        <is>
          <t>Lopez</t>
        </is>
      </c>
      <c r="G431" s="36" t="inlineStr">
        <is>
          <t>Danlagan</t>
        </is>
      </c>
      <c r="H431" s="37" t="n">
        <v>13.886389</v>
      </c>
      <c r="I431" s="37" t="n">
        <v>122.2675</v>
      </c>
      <c r="J431" s="8" t="inlineStr">
        <is>
          <t>U</t>
        </is>
      </c>
      <c r="K431" s="36" t="inlineStr">
        <is>
          <t>Class 1-3 / Urban</t>
        </is>
      </c>
      <c r="L431" s="18" t="n">
        <v>3190</v>
      </c>
      <c r="M431" s="20" t="n">
        <v>4.46</v>
      </c>
      <c r="N431" s="18">
        <f>ROUND(L431/M431, 0)</f>
        <v/>
      </c>
      <c r="O431" s="18">
        <f>ROUND(N431*'Methodology &amp; Assumptions'!$B$8, 0)</f>
        <v/>
      </c>
      <c r="P431" s="8" t="inlineStr">
        <is>
          <t>Band n50 (1.5 GHz, 60 MHz)</t>
        </is>
      </c>
      <c r="Q431" s="38">
        <f>ROUNDUP(O431/'Methodology &amp; Assumptions'!$B$9, 0)</f>
        <v/>
      </c>
      <c r="R431" s="39" t="n">
        <v>1</v>
      </c>
      <c r="S431" s="21" t="n">
        <v>0.58</v>
      </c>
      <c r="T431" s="21" t="n">
        <v>0.05</v>
      </c>
      <c r="U431" s="36" t="inlineStr">
        <is>
          <t>Tier 1A (Direct Coloc, &lt;1 km)</t>
        </is>
      </c>
      <c r="V431" s="20" t="n">
        <v>92.40000000000001</v>
      </c>
      <c r="W431" s="20" t="n">
        <v>81.09999999999999</v>
      </c>
      <c r="X431" s="20" t="n">
        <v>28</v>
      </c>
      <c r="Y431" s="40">
        <f>ROUND((V431*'Methodology &amp; Assumptions'!$B$6)+(W431*'Methodology &amp; Assumptions'!$B$5)+(X431*'Methodology &amp; Assumptions'!$B$7), 2)</f>
        <v/>
      </c>
    </row>
    <row r="432" ht="19" customHeight="1">
      <c r="A432" s="41" t="n">
        <v>428</v>
      </c>
      <c r="B432" s="41" t="n">
        <v>2428</v>
      </c>
      <c r="C432" s="42" t="inlineStr">
        <is>
          <t>0604521010</t>
        </is>
      </c>
      <c r="D432" s="42" t="inlineStr">
        <is>
          <t>Region VI (Western Visayas)</t>
        </is>
      </c>
      <c r="E432" s="42" t="inlineStr">
        <is>
          <t>Negros Occidental</t>
        </is>
      </c>
      <c r="F432" s="42" t="inlineStr">
        <is>
          <t>Pontevedra</t>
        </is>
      </c>
      <c r="G432" s="42" t="inlineStr">
        <is>
          <t>Canroma</t>
        </is>
      </c>
      <c r="H432" s="43" t="n">
        <v>10.360125</v>
      </c>
      <c r="I432" s="43" t="n">
        <v>122.879885</v>
      </c>
      <c r="J432" s="44" t="inlineStr">
        <is>
          <t>R</t>
        </is>
      </c>
      <c r="K432" s="42" t="inlineStr">
        <is>
          <t>Class 1-3 / Urban</t>
        </is>
      </c>
      <c r="L432" s="23" t="n">
        <v>3294</v>
      </c>
      <c r="M432" s="24" t="n">
        <v>4.33</v>
      </c>
      <c r="N432" s="23">
        <f>ROUND(L432/M432, 0)</f>
        <v/>
      </c>
      <c r="O432" s="23">
        <f>ROUND(N432*'Methodology &amp; Assumptions'!$B$8, 0)</f>
        <v/>
      </c>
      <c r="P432" s="44" t="inlineStr">
        <is>
          <t>Band n50 (1.5 GHz, 60 MHz)</t>
        </is>
      </c>
      <c r="Q432" s="38">
        <f>ROUNDUP(O432/'Methodology &amp; Assumptions'!$B$9, 0)</f>
        <v/>
      </c>
      <c r="R432" s="39" t="n">
        <v>1</v>
      </c>
      <c r="S432" s="25" t="n">
        <v>1.91</v>
      </c>
      <c r="T432" s="25" t="n">
        <v>1.11</v>
      </c>
      <c r="U432" s="42" t="inlineStr">
        <is>
          <t>Tier 1B (Micro Drop, 1-3 km)</t>
        </is>
      </c>
      <c r="V432" s="24" t="n">
        <v>62.9</v>
      </c>
      <c r="W432" s="24" t="n">
        <v>84.8</v>
      </c>
      <c r="X432" s="24" t="n">
        <v>58</v>
      </c>
      <c r="Y432" s="45">
        <f>ROUND((V432*'Methodology &amp; Assumptions'!$B$6)+(W432*'Methodology &amp; Assumptions'!$B$5)+(X432*'Methodology &amp; Assumptions'!$B$7), 2)</f>
        <v/>
      </c>
    </row>
    <row r="433" ht="19" customHeight="1">
      <c r="A433" s="35" t="n">
        <v>429</v>
      </c>
      <c r="B433" s="35" t="n">
        <v>2429</v>
      </c>
      <c r="C433" s="36" t="inlineStr">
        <is>
          <t>0403402014</t>
        </is>
      </c>
      <c r="D433" s="36" t="inlineStr">
        <is>
          <t>Region IV-A (CALABARZON)</t>
        </is>
      </c>
      <c r="E433" s="36" t="inlineStr">
        <is>
          <t>Laguna</t>
        </is>
      </c>
      <c r="F433" s="36" t="inlineStr">
        <is>
          <t>Bay</t>
        </is>
      </c>
      <c r="G433" s="36" t="inlineStr">
        <is>
          <t>Tagumpay</t>
        </is>
      </c>
      <c r="H433" s="37" t="n">
        <v>14.193483</v>
      </c>
      <c r="I433" s="37" t="n">
        <v>121.291545</v>
      </c>
      <c r="J433" s="8" t="inlineStr">
        <is>
          <t>R</t>
        </is>
      </c>
      <c r="K433" s="36" t="inlineStr">
        <is>
          <t>Class 1-3 / Urban</t>
        </is>
      </c>
      <c r="L433" s="18" t="n">
        <v>3118</v>
      </c>
      <c r="M433" s="20" t="n">
        <v>4.2</v>
      </c>
      <c r="N433" s="18">
        <f>ROUND(L433/M433, 0)</f>
        <v/>
      </c>
      <c r="O433" s="18">
        <f>ROUND(N433*'Methodology &amp; Assumptions'!$B$8, 0)</f>
        <v/>
      </c>
      <c r="P433" s="8" t="inlineStr">
        <is>
          <t>Band n50 (1.5 GHz, 60 MHz)</t>
        </is>
      </c>
      <c r="Q433" s="38">
        <f>ROUNDUP(O433/'Methodology &amp; Assumptions'!$B$9, 0)</f>
        <v/>
      </c>
      <c r="R433" s="39" t="n">
        <v>1</v>
      </c>
      <c r="S433" s="21" t="n">
        <v>1.84</v>
      </c>
      <c r="T433" s="21" t="n">
        <v>1.63</v>
      </c>
      <c r="U433" s="36" t="inlineStr">
        <is>
          <t>Tier 1B (Micro Drop, 1-3 km)</t>
        </is>
      </c>
      <c r="V433" s="20" t="n">
        <v>64.2</v>
      </c>
      <c r="W433" s="20" t="n">
        <v>83.5</v>
      </c>
      <c r="X433" s="20" t="n">
        <v>58</v>
      </c>
      <c r="Y433" s="40">
        <f>ROUND((V433*'Methodology &amp; Assumptions'!$B$6)+(W433*'Methodology &amp; Assumptions'!$B$5)+(X433*'Methodology &amp; Assumptions'!$B$7), 2)</f>
        <v/>
      </c>
    </row>
    <row r="434" ht="19" customHeight="1">
      <c r="A434" s="41" t="n">
        <v>430</v>
      </c>
      <c r="B434" s="41" t="n">
        <v>2430</v>
      </c>
      <c r="C434" s="42" t="inlineStr">
        <is>
          <t>0702232011</t>
        </is>
      </c>
      <c r="D434" s="42" t="inlineStr">
        <is>
          <t>Region VII (Central Visayas)</t>
        </is>
      </c>
      <c r="E434" s="42" t="inlineStr">
        <is>
          <t>Cebu</t>
        </is>
      </c>
      <c r="F434" s="42" t="inlineStr">
        <is>
          <t>Minglanilla</t>
        </is>
      </c>
      <c r="G434" s="42" t="inlineStr">
        <is>
          <t>Poblacion Ward II</t>
        </is>
      </c>
      <c r="H434" s="43" t="n">
        <v>10.242996</v>
      </c>
      <c r="I434" s="43" t="n">
        <v>123.793973</v>
      </c>
      <c r="J434" s="44" t="inlineStr">
        <is>
          <t>U</t>
        </is>
      </c>
      <c r="K434" s="42" t="inlineStr">
        <is>
          <t>Class 1-3 / Urban</t>
        </is>
      </c>
      <c r="L434" s="23" t="n">
        <v>3559</v>
      </c>
      <c r="M434" s="24" t="n">
        <v>4.42</v>
      </c>
      <c r="N434" s="23">
        <f>ROUND(L434/M434, 0)</f>
        <v/>
      </c>
      <c r="O434" s="23">
        <f>ROUND(N434*'Methodology &amp; Assumptions'!$B$8, 0)</f>
        <v/>
      </c>
      <c r="P434" s="44" t="inlineStr">
        <is>
          <t>Band n50 (1.5 GHz, 60 MHz)</t>
        </is>
      </c>
      <c r="Q434" s="38">
        <f>ROUNDUP(O434/'Methodology &amp; Assumptions'!$B$9, 0)</f>
        <v/>
      </c>
      <c r="R434" s="39" t="n">
        <v>1</v>
      </c>
      <c r="S434" s="25" t="n">
        <v>0.87</v>
      </c>
      <c r="T434" s="25" t="n">
        <v>0.19</v>
      </c>
      <c r="U434" s="42" t="inlineStr">
        <is>
          <t>Tier 1A (Direct Coloc, &lt;1 km)</t>
        </is>
      </c>
      <c r="V434" s="24" t="n">
        <v>84.90000000000001</v>
      </c>
      <c r="W434" s="24" t="n">
        <v>88.5</v>
      </c>
      <c r="X434" s="24" t="n">
        <v>28</v>
      </c>
      <c r="Y434" s="45">
        <f>ROUND((V434*'Methodology &amp; Assumptions'!$B$6)+(W434*'Methodology &amp; Assumptions'!$B$5)+(X434*'Methodology &amp; Assumptions'!$B$7), 2)</f>
        <v/>
      </c>
    </row>
    <row r="435" ht="19" customHeight="1">
      <c r="A435" s="35" t="n">
        <v>431</v>
      </c>
      <c r="B435" s="35" t="n">
        <v>2431</v>
      </c>
      <c r="C435" s="36" t="inlineStr">
        <is>
          <t>0301422011</t>
        </is>
      </c>
      <c r="D435" s="36" t="inlineStr">
        <is>
          <t>Region III (Central Luzon)</t>
        </is>
      </c>
      <c r="E435" s="36" t="inlineStr">
        <is>
          <t>Bulacan</t>
        </is>
      </c>
      <c r="F435" s="36" t="inlineStr">
        <is>
          <t>San Rafael</t>
        </is>
      </c>
      <c r="G435" s="36" t="inlineStr">
        <is>
          <t>Lico</t>
        </is>
      </c>
      <c r="H435" s="37" t="n">
        <v>14.960554</v>
      </c>
      <c r="I435" s="37" t="n">
        <v>120.95715</v>
      </c>
      <c r="J435" s="8" t="inlineStr">
        <is>
          <t>R</t>
        </is>
      </c>
      <c r="K435" s="36" t="inlineStr">
        <is>
          <t>Class 1-3 / Urban</t>
        </is>
      </c>
      <c r="L435" s="18" t="n">
        <v>2001</v>
      </c>
      <c r="M435" s="20" t="n">
        <v>4.1</v>
      </c>
      <c r="N435" s="18">
        <f>ROUND(L435/M435, 0)</f>
        <v/>
      </c>
      <c r="O435" s="18">
        <f>ROUND(N435*'Methodology &amp; Assumptions'!$B$8, 0)</f>
        <v/>
      </c>
      <c r="P435" s="8" t="inlineStr">
        <is>
          <t>Band n50 (1.5 GHz, 60 MHz)</t>
        </is>
      </c>
      <c r="Q435" s="38">
        <f>ROUNDUP(O435/'Methodology &amp; Assumptions'!$B$9, 0)</f>
        <v/>
      </c>
      <c r="R435" s="39" t="n">
        <v>1</v>
      </c>
      <c r="S435" s="21" t="n">
        <v>0.5</v>
      </c>
      <c r="T435" s="21" t="n">
        <v>3.55</v>
      </c>
      <c r="U435" s="36" t="inlineStr">
        <is>
          <t>Tier 1A (Direct Coloc, &lt;1 km)</t>
        </is>
      </c>
      <c r="V435" s="20" t="n">
        <v>84.7</v>
      </c>
      <c r="W435" s="20" t="n">
        <v>62.9</v>
      </c>
      <c r="X435" s="20" t="n">
        <v>58</v>
      </c>
      <c r="Y435" s="40">
        <f>ROUND((V435*'Methodology &amp; Assumptions'!$B$6)+(W435*'Methodology &amp; Assumptions'!$B$5)+(X435*'Methodology &amp; Assumptions'!$B$7), 2)</f>
        <v/>
      </c>
    </row>
    <row r="436" ht="19" customHeight="1">
      <c r="A436" s="41" t="n">
        <v>432</v>
      </c>
      <c r="B436" s="41" t="n">
        <v>2432</v>
      </c>
      <c r="C436" s="42" t="inlineStr">
        <is>
          <t>1004324001</t>
        </is>
      </c>
      <c r="D436" s="42" t="inlineStr">
        <is>
          <t>Region X (Northern Mindanao)</t>
        </is>
      </c>
      <c r="E436" s="42" t="inlineStr">
        <is>
          <t>Misamis Oriental</t>
        </is>
      </c>
      <c r="F436" s="42" t="inlineStr">
        <is>
          <t>Tagoloan</t>
        </is>
      </c>
      <c r="G436" s="42" t="inlineStr">
        <is>
          <t>Baluarte</t>
        </is>
      </c>
      <c r="H436" s="43" t="n">
        <v>8.542821</v>
      </c>
      <c r="I436" s="43" t="n">
        <v>124.741271</v>
      </c>
      <c r="J436" s="44" t="inlineStr">
        <is>
          <t>U</t>
        </is>
      </c>
      <c r="K436" s="42" t="inlineStr">
        <is>
          <t>Class 1-3 / Urban</t>
        </is>
      </c>
      <c r="L436" s="23" t="n">
        <v>10860</v>
      </c>
      <c r="M436" s="24" t="n">
        <v>4.54</v>
      </c>
      <c r="N436" s="23">
        <f>ROUND(L436/M436, 0)</f>
        <v/>
      </c>
      <c r="O436" s="23">
        <f>ROUND(N436*'Methodology &amp; Assumptions'!$B$8, 0)</f>
        <v/>
      </c>
      <c r="P436" s="44" t="inlineStr">
        <is>
          <t>Band n50 (1.5 GHz, 60 MHz)</t>
        </is>
      </c>
      <c r="Q436" s="38">
        <f>ROUNDUP(O436/'Methodology &amp; Assumptions'!$B$9, 0)</f>
        <v/>
      </c>
      <c r="R436" s="39" t="n">
        <v>1</v>
      </c>
      <c r="S436" s="25" t="n">
        <v>1.37</v>
      </c>
      <c r="T436" s="25" t="n">
        <v>1.37</v>
      </c>
      <c r="U436" s="42" t="inlineStr">
        <is>
          <t>Tier 1B (Micro Drop, 1-3 km)</t>
        </is>
      </c>
      <c r="V436" s="24" t="n">
        <v>73.40000000000001</v>
      </c>
      <c r="W436" s="24" t="n">
        <v>100</v>
      </c>
      <c r="X436" s="24" t="n">
        <v>28</v>
      </c>
      <c r="Y436" s="45">
        <f>ROUND((V436*'Methodology &amp; Assumptions'!$B$6)+(W436*'Methodology &amp; Assumptions'!$B$5)+(X436*'Methodology &amp; Assumptions'!$B$7), 2)</f>
        <v/>
      </c>
    </row>
    <row r="437" ht="19" customHeight="1">
      <c r="A437" s="35" t="n">
        <v>433</v>
      </c>
      <c r="B437" s="35" t="n">
        <v>2433</v>
      </c>
      <c r="C437" s="36" t="inlineStr">
        <is>
          <t>0600408003</t>
        </is>
      </c>
      <c r="D437" s="36" t="inlineStr">
        <is>
          <t>Region VI (Western Visayas)</t>
        </is>
      </c>
      <c r="E437" s="36" t="inlineStr">
        <is>
          <t>Aklan</t>
        </is>
      </c>
      <c r="F437" s="36" t="inlineStr">
        <is>
          <t>Lezo</t>
        </is>
      </c>
      <c r="G437" s="36" t="inlineStr">
        <is>
          <t>Bugasongan</t>
        </is>
      </c>
      <c r="H437" s="37" t="n">
        <v>11.691696</v>
      </c>
      <c r="I437" s="37" t="n">
        <v>122.327614</v>
      </c>
      <c r="J437" s="8" t="inlineStr">
        <is>
          <t>R</t>
        </is>
      </c>
      <c r="K437" s="36" t="inlineStr">
        <is>
          <t>4th</t>
        </is>
      </c>
      <c r="L437" s="18" t="n">
        <v>1432</v>
      </c>
      <c r="M437" s="20" t="n">
        <v>4.24</v>
      </c>
      <c r="N437" s="18">
        <f>ROUND(L437/M437, 0)</f>
        <v/>
      </c>
      <c r="O437" s="18">
        <f>ROUND(N437*'Methodology &amp; Assumptions'!$B$8, 0)</f>
        <v/>
      </c>
      <c r="P437" s="8" t="inlineStr">
        <is>
          <t>Band n50 (1.5 GHz, 60 MHz)</t>
        </is>
      </c>
      <c r="Q437" s="38">
        <f>ROUNDUP(O437/'Methodology &amp; Assumptions'!$B$9, 0)</f>
        <v/>
      </c>
      <c r="R437" s="39" t="n">
        <v>1</v>
      </c>
      <c r="S437" s="21" t="n">
        <v>1.3</v>
      </c>
      <c r="T437" s="21" t="n">
        <v>1.31</v>
      </c>
      <c r="U437" s="36" t="inlineStr">
        <is>
          <t>Tier 1B (Micro Drop, 1-3 km)</t>
        </is>
      </c>
      <c r="V437" s="20" t="n">
        <v>74.90000000000001</v>
      </c>
      <c r="W437" s="20" t="n">
        <v>50.9</v>
      </c>
      <c r="X437" s="20" t="n">
        <v>83.5</v>
      </c>
      <c r="Y437" s="40">
        <f>ROUND((V437*'Methodology &amp; Assumptions'!$B$6)+(W437*'Methodology &amp; Assumptions'!$B$5)+(X437*'Methodology &amp; Assumptions'!$B$7), 2)</f>
        <v/>
      </c>
    </row>
    <row r="438" ht="19" customHeight="1">
      <c r="A438" s="41" t="n">
        <v>434</v>
      </c>
      <c r="B438" s="41" t="n">
        <v>2434</v>
      </c>
      <c r="C438" s="42" t="inlineStr">
        <is>
          <t>0105533034</t>
        </is>
      </c>
      <c r="D438" s="42" t="inlineStr">
        <is>
          <t>Region I (Ilocos Region)</t>
        </is>
      </c>
      <c r="E438" s="42" t="inlineStr">
        <is>
          <t>Pangasinan</t>
        </is>
      </c>
      <c r="F438" s="42" t="inlineStr">
        <is>
          <t>San Fabian</t>
        </is>
      </c>
      <c r="G438" s="42" t="inlineStr">
        <is>
          <t>Longos-Amangonan-Parac-Parac Fabrica</t>
        </is>
      </c>
      <c r="H438" s="43" t="n">
        <v>16.104086</v>
      </c>
      <c r="I438" s="43" t="n">
        <v>120.39405</v>
      </c>
      <c r="J438" s="44" t="inlineStr">
        <is>
          <t>R</t>
        </is>
      </c>
      <c r="K438" s="42" t="inlineStr">
        <is>
          <t>Class 1-3 / Urban</t>
        </is>
      </c>
      <c r="L438" s="23" t="n">
        <v>2820</v>
      </c>
      <c r="M438" s="24" t="n">
        <v>4.39</v>
      </c>
      <c r="N438" s="23">
        <f>ROUND(L438/M438, 0)</f>
        <v/>
      </c>
      <c r="O438" s="23">
        <f>ROUND(N438*'Methodology &amp; Assumptions'!$B$8, 0)</f>
        <v/>
      </c>
      <c r="P438" s="44" t="inlineStr">
        <is>
          <t>Band n50 (1.5 GHz, 60 MHz)</t>
        </is>
      </c>
      <c r="Q438" s="38">
        <f>ROUNDUP(O438/'Methodology &amp; Assumptions'!$B$9, 0)</f>
        <v/>
      </c>
      <c r="R438" s="39" t="n">
        <v>1</v>
      </c>
      <c r="S438" s="25" t="n">
        <v>1.42</v>
      </c>
      <c r="T438" s="25" t="n">
        <v>0.09</v>
      </c>
      <c r="U438" s="42" t="inlineStr">
        <is>
          <t>Tier 1B (Micro Drop, 1-3 km)</t>
        </is>
      </c>
      <c r="V438" s="24" t="n">
        <v>72.2</v>
      </c>
      <c r="W438" s="24" t="n">
        <v>75.5</v>
      </c>
      <c r="X438" s="24" t="n">
        <v>58</v>
      </c>
      <c r="Y438" s="45">
        <f>ROUND((V438*'Methodology &amp; Assumptions'!$B$6)+(W438*'Methodology &amp; Assumptions'!$B$5)+(X438*'Methodology &amp; Assumptions'!$B$7), 2)</f>
        <v/>
      </c>
    </row>
    <row r="439" ht="19" customHeight="1">
      <c r="A439" s="35" t="n">
        <v>435</v>
      </c>
      <c r="B439" s="35" t="n">
        <v>2435</v>
      </c>
      <c r="C439" s="36" t="inlineStr">
        <is>
          <t>1430300076</t>
        </is>
      </c>
      <c r="D439" s="36" t="inlineStr">
        <is>
          <t>Cordillera Administrative Region (CAR)</t>
        </is>
      </c>
      <c r="E439" s="36" t="inlineStr">
        <is>
          <t>Benguet</t>
        </is>
      </c>
      <c r="F439" s="36" t="inlineStr">
        <is>
          <t>City of Baguio</t>
        </is>
      </c>
      <c r="G439" s="36" t="inlineStr">
        <is>
          <t>New Lucban</t>
        </is>
      </c>
      <c r="H439" s="37" t="n">
        <v>16.42082</v>
      </c>
      <c r="I439" s="37" t="n">
        <v>120.59674</v>
      </c>
      <c r="J439" s="8" t="inlineStr">
        <is>
          <t>R</t>
        </is>
      </c>
      <c r="K439" s="36" t="inlineStr">
        <is>
          <t>Class 1-3 / Urban</t>
        </is>
      </c>
      <c r="L439" s="18" t="n">
        <v>2070</v>
      </c>
      <c r="M439" s="20" t="n">
        <v>4.58</v>
      </c>
      <c r="N439" s="18">
        <f>ROUND(L439/M439, 0)</f>
        <v/>
      </c>
      <c r="O439" s="18">
        <f>ROUND(N439*'Methodology &amp; Assumptions'!$B$8, 0)</f>
        <v/>
      </c>
      <c r="P439" s="8" t="inlineStr">
        <is>
          <t>Band n50 (1.5 GHz, 60 MHz)</t>
        </is>
      </c>
      <c r="Q439" s="38">
        <f>ROUNDUP(O439/'Methodology &amp; Assumptions'!$B$9, 0)</f>
        <v/>
      </c>
      <c r="R439" s="39" t="n">
        <v>1</v>
      </c>
      <c r="S439" s="21" t="n">
        <v>0.62</v>
      </c>
      <c r="T439" s="21" t="n">
        <v>0.8</v>
      </c>
      <c r="U439" s="36" t="inlineStr">
        <is>
          <t>Tier 1A (Direct Coloc, &lt;1 km)</t>
        </is>
      </c>
      <c r="V439" s="20" t="n">
        <v>91.40000000000001</v>
      </c>
      <c r="W439" s="20" t="n">
        <v>56.3</v>
      </c>
      <c r="X439" s="20" t="n">
        <v>58</v>
      </c>
      <c r="Y439" s="40">
        <f>ROUND((V439*'Methodology &amp; Assumptions'!$B$6)+(W439*'Methodology &amp; Assumptions'!$B$5)+(X439*'Methodology &amp; Assumptions'!$B$7), 2)</f>
        <v/>
      </c>
    </row>
    <row r="440" ht="19" customHeight="1">
      <c r="A440" s="41" t="n">
        <v>436</v>
      </c>
      <c r="B440" s="41" t="n">
        <v>2436</v>
      </c>
      <c r="C440" s="42" t="inlineStr">
        <is>
          <t>0504113019</t>
        </is>
      </c>
      <c r="D440" s="42" t="inlineStr">
        <is>
          <t>Region V (Bicol Region)</t>
        </is>
      </c>
      <c r="E440" s="42" t="inlineStr">
        <is>
          <t>Masbate</t>
        </is>
      </c>
      <c r="F440" s="42" t="inlineStr">
        <is>
          <t>Mobo</t>
        </is>
      </c>
      <c r="G440" s="42" t="inlineStr">
        <is>
          <t>Poblacion Dist. I</t>
        </is>
      </c>
      <c r="H440" s="43" t="n">
        <v>12.334937</v>
      </c>
      <c r="I440" s="43" t="n">
        <v>123.658691</v>
      </c>
      <c r="J440" s="44" t="inlineStr">
        <is>
          <t>R</t>
        </is>
      </c>
      <c r="K440" s="42" t="inlineStr">
        <is>
          <t>2nd</t>
        </is>
      </c>
      <c r="L440" s="23" t="n">
        <v>1887</v>
      </c>
      <c r="M440" s="24" t="n">
        <v>5</v>
      </c>
      <c r="N440" s="23">
        <f>ROUND(L440/M440, 0)</f>
        <v/>
      </c>
      <c r="O440" s="23">
        <f>ROUND(N440*'Methodology &amp; Assumptions'!$B$8, 0)</f>
        <v/>
      </c>
      <c r="P440" s="44" t="inlineStr">
        <is>
          <t>Band n50 (1.5 GHz, 60 MHz)</t>
        </is>
      </c>
      <c r="Q440" s="38">
        <f>ROUNDUP(O440/'Methodology &amp; Assumptions'!$B$9, 0)</f>
        <v/>
      </c>
      <c r="R440" s="39" t="n">
        <v>1</v>
      </c>
      <c r="S440" s="25" t="n">
        <v>0.2</v>
      </c>
      <c r="T440" s="25" t="n">
        <v>4.7</v>
      </c>
      <c r="U440" s="42" t="inlineStr">
        <is>
          <t>Tier 1A (Direct Coloc, &lt;1 km)</t>
        </is>
      </c>
      <c r="V440" s="24" t="n">
        <v>93.5</v>
      </c>
      <c r="W440" s="24" t="n">
        <v>54.1</v>
      </c>
      <c r="X440" s="24" t="n">
        <v>58</v>
      </c>
      <c r="Y440" s="45">
        <f>ROUND((V440*'Methodology &amp; Assumptions'!$B$6)+(W440*'Methodology &amp; Assumptions'!$B$5)+(X440*'Methodology &amp; Assumptions'!$B$7), 2)</f>
        <v/>
      </c>
    </row>
    <row r="441" ht="19" customHeight="1">
      <c r="A441" s="35" t="n">
        <v>437</v>
      </c>
      <c r="B441" s="35" t="n">
        <v>2437</v>
      </c>
      <c r="C441" s="36" t="inlineStr">
        <is>
          <t>0306903064</t>
        </is>
      </c>
      <c r="D441" s="36" t="inlineStr">
        <is>
          <t>Region III (Central Luzon)</t>
        </is>
      </c>
      <c r="E441" s="36" t="inlineStr">
        <is>
          <t>Tarlac</t>
        </is>
      </c>
      <c r="F441" s="36" t="inlineStr">
        <is>
          <t>Camiling</t>
        </is>
      </c>
      <c r="G441" s="36" t="inlineStr">
        <is>
          <t>Surgui 2nd</t>
        </is>
      </c>
      <c r="H441" s="37" t="n">
        <v>15.675278</v>
      </c>
      <c r="I441" s="37" t="n">
        <v>120.414722</v>
      </c>
      <c r="J441" s="8" t="inlineStr">
        <is>
          <t>R</t>
        </is>
      </c>
      <c r="K441" s="36" t="inlineStr">
        <is>
          <t>Class 1-3 / Urban</t>
        </is>
      </c>
      <c r="L441" s="18" t="n">
        <v>1509</v>
      </c>
      <c r="M441" s="20" t="n">
        <v>4.3</v>
      </c>
      <c r="N441" s="18">
        <f>ROUND(L441/M441, 0)</f>
        <v/>
      </c>
      <c r="O441" s="18">
        <f>ROUND(N441*'Methodology &amp; Assumptions'!$B$8, 0)</f>
        <v/>
      </c>
      <c r="P441" s="8" t="inlineStr">
        <is>
          <t>Band n50 (1.5 GHz, 60 MHz)</t>
        </is>
      </c>
      <c r="Q441" s="38">
        <f>ROUNDUP(O441/'Methodology &amp; Assumptions'!$B$9, 0)</f>
        <v/>
      </c>
      <c r="R441" s="39" t="n">
        <v>1</v>
      </c>
      <c r="S441" s="21" t="n">
        <v>0.47</v>
      </c>
      <c r="T441" s="21" t="n">
        <v>0.16</v>
      </c>
      <c r="U441" s="36" t="inlineStr">
        <is>
          <t>Tier 1A (Direct Coloc, &lt;1 km)</t>
        </is>
      </c>
      <c r="V441" s="20" t="n">
        <v>95.59999999999999</v>
      </c>
      <c r="W441" s="20" t="n">
        <v>52</v>
      </c>
      <c r="X441" s="20" t="n">
        <v>58</v>
      </c>
      <c r="Y441" s="40">
        <f>ROUND((V441*'Methodology &amp; Assumptions'!$B$6)+(W441*'Methodology &amp; Assumptions'!$B$5)+(X441*'Methodology &amp; Assumptions'!$B$7), 2)</f>
        <v/>
      </c>
    </row>
    <row r="442" ht="19" customHeight="1">
      <c r="A442" s="41" t="n">
        <v>438</v>
      </c>
      <c r="B442" s="41" t="n">
        <v>2438</v>
      </c>
      <c r="C442" s="42" t="inlineStr">
        <is>
          <t>0304928033</t>
        </is>
      </c>
      <c r="D442" s="42" t="inlineStr">
        <is>
          <t>Region III (Central Luzon)</t>
        </is>
      </c>
      <c r="E442" s="42" t="inlineStr">
        <is>
          <t>Nueva Ecija</t>
        </is>
      </c>
      <c r="F442" s="42" t="inlineStr">
        <is>
          <t>Santa Rosa</t>
        </is>
      </c>
      <c r="G442" s="42" t="inlineStr">
        <is>
          <t>San Josep</t>
        </is>
      </c>
      <c r="H442" s="43" t="n">
        <v>15.433203</v>
      </c>
      <c r="I442" s="43" t="n">
        <v>120.920111</v>
      </c>
      <c r="J442" s="44" t="inlineStr">
        <is>
          <t>U</t>
        </is>
      </c>
      <c r="K442" s="42" t="inlineStr">
        <is>
          <t>Class 1-3 / Urban</t>
        </is>
      </c>
      <c r="L442" s="23" t="n">
        <v>2695</v>
      </c>
      <c r="M442" s="24" t="n">
        <v>4.32</v>
      </c>
      <c r="N442" s="23">
        <f>ROUND(L442/M442, 0)</f>
        <v/>
      </c>
      <c r="O442" s="23">
        <f>ROUND(N442*'Methodology &amp; Assumptions'!$B$8, 0)</f>
        <v/>
      </c>
      <c r="P442" s="44" t="inlineStr">
        <is>
          <t>Band n50 (1.5 GHz, 60 MHz)</t>
        </is>
      </c>
      <c r="Q442" s="38">
        <f>ROUNDUP(O442/'Methodology &amp; Assumptions'!$B$9, 0)</f>
        <v/>
      </c>
      <c r="R442" s="39" t="n">
        <v>1</v>
      </c>
      <c r="S442" s="25" t="n">
        <v>0.33</v>
      </c>
      <c r="T442" s="25" t="n">
        <v>0.34</v>
      </c>
      <c r="U442" s="42" t="inlineStr">
        <is>
          <t>Tier 1A (Direct Coloc, &lt;1 km)</t>
        </is>
      </c>
      <c r="V442" s="24" t="n">
        <v>99.5</v>
      </c>
      <c r="W442" s="24" t="n">
        <v>73.90000000000001</v>
      </c>
      <c r="X442" s="24" t="n">
        <v>28</v>
      </c>
      <c r="Y442" s="45">
        <f>ROUND((V442*'Methodology &amp; Assumptions'!$B$6)+(W442*'Methodology &amp; Assumptions'!$B$5)+(X442*'Methodology &amp; Assumptions'!$B$7), 2)</f>
        <v/>
      </c>
    </row>
    <row r="443" ht="19" customHeight="1">
      <c r="A443" s="35" t="n">
        <v>439</v>
      </c>
      <c r="B443" s="35" t="n">
        <v>2439</v>
      </c>
      <c r="C443" s="36" t="inlineStr">
        <is>
          <t>0603005018</t>
        </is>
      </c>
      <c r="D443" s="36" t="inlineStr">
        <is>
          <t>Region VI (Western Visayas)</t>
        </is>
      </c>
      <c r="E443" s="36" t="inlineStr">
        <is>
          <t>Iloilo</t>
        </is>
      </c>
      <c r="F443" s="36" t="inlineStr">
        <is>
          <t>Balasan</t>
        </is>
      </c>
      <c r="G443" s="36" t="inlineStr">
        <is>
          <t>Poblacion Sur</t>
        </is>
      </c>
      <c r="H443" s="37" t="n">
        <v>11.472068</v>
      </c>
      <c r="I443" s="37" t="n">
        <v>123.088093</v>
      </c>
      <c r="J443" s="8" t="inlineStr">
        <is>
          <t>U</t>
        </is>
      </c>
      <c r="K443" s="36" t="inlineStr">
        <is>
          <t>2nd</t>
        </is>
      </c>
      <c r="L443" s="18" t="n">
        <v>2520</v>
      </c>
      <c r="M443" s="20" t="n">
        <v>4.09</v>
      </c>
      <c r="N443" s="18">
        <f>ROUND(L443/M443, 0)</f>
        <v/>
      </c>
      <c r="O443" s="18">
        <f>ROUND(N443*'Methodology &amp; Assumptions'!$B$8, 0)</f>
        <v/>
      </c>
      <c r="P443" s="8" t="inlineStr">
        <is>
          <t>Band n50 (1.5 GHz, 60 MHz)</t>
        </is>
      </c>
      <c r="Q443" s="38">
        <f>ROUNDUP(O443/'Methodology &amp; Assumptions'!$B$9, 0)</f>
        <v/>
      </c>
      <c r="R443" s="39" t="n">
        <v>1</v>
      </c>
      <c r="S443" s="21" t="n">
        <v>0.2</v>
      </c>
      <c r="T443" s="21" t="n">
        <v>0.24</v>
      </c>
      <c r="U443" s="36" t="inlineStr">
        <is>
          <t>Tier 1A (Direct Coloc, &lt;1 km)</t>
        </is>
      </c>
      <c r="V443" s="20" t="n">
        <v>100</v>
      </c>
      <c r="W443" s="20" t="n">
        <v>73.3</v>
      </c>
      <c r="X443" s="20" t="n">
        <v>28</v>
      </c>
      <c r="Y443" s="40">
        <f>ROUND((V443*'Methodology &amp; Assumptions'!$B$6)+(W443*'Methodology &amp; Assumptions'!$B$5)+(X443*'Methodology &amp; Assumptions'!$B$7), 2)</f>
        <v/>
      </c>
    </row>
    <row r="444" ht="19" customHeight="1">
      <c r="A444" s="41" t="n">
        <v>440</v>
      </c>
      <c r="B444" s="41" t="n">
        <v>2440</v>
      </c>
      <c r="C444" s="42" t="inlineStr">
        <is>
          <t>0205014002</t>
        </is>
      </c>
      <c r="D444" s="42" t="inlineStr">
        <is>
          <t>Region II (Cagayan Valley)</t>
        </is>
      </c>
      <c r="E444" s="42" t="inlineStr">
        <is>
          <t>Nueva Vizcaya</t>
        </is>
      </c>
      <c r="F444" s="42" t="inlineStr">
        <is>
          <t>Villaverde</t>
        </is>
      </c>
      <c r="G444" s="42" t="inlineStr">
        <is>
          <t>Ibung</t>
        </is>
      </c>
      <c r="H444" s="43" t="n">
        <v>16.6065</v>
      </c>
      <c r="I444" s="43" t="n">
        <v>121.184578</v>
      </c>
      <c r="J444" s="44" t="inlineStr">
        <is>
          <t>R</t>
        </is>
      </c>
      <c r="K444" s="42" t="inlineStr">
        <is>
          <t>4th</t>
        </is>
      </c>
      <c r="L444" s="23" t="n">
        <v>4416</v>
      </c>
      <c r="M444" s="24" t="n">
        <v>4.16</v>
      </c>
      <c r="N444" s="23">
        <f>ROUND(L444/M444, 0)</f>
        <v/>
      </c>
      <c r="O444" s="23">
        <f>ROUND(N444*'Methodology &amp; Assumptions'!$B$8, 0)</f>
        <v/>
      </c>
      <c r="P444" s="44" t="inlineStr">
        <is>
          <t>Band n50 (1.5 GHz, 60 MHz)</t>
        </is>
      </c>
      <c r="Q444" s="38">
        <f>ROUNDUP(O444/'Methodology &amp; Assumptions'!$B$9, 0)</f>
        <v/>
      </c>
      <c r="R444" s="39" t="n">
        <v>1</v>
      </c>
      <c r="S444" s="25" t="n">
        <v>2.86</v>
      </c>
      <c r="T444" s="25" t="n">
        <v>5.37</v>
      </c>
      <c r="U444" s="42" t="inlineStr">
        <is>
          <t>Tier 1B (Micro Drop, 1-3 km)</t>
        </is>
      </c>
      <c r="V444" s="24" t="n">
        <v>38.6</v>
      </c>
      <c r="W444" s="24" t="n">
        <v>100</v>
      </c>
      <c r="X444" s="24" t="n">
        <v>68.5</v>
      </c>
      <c r="Y444" s="45">
        <f>ROUND((V444*'Methodology &amp; Assumptions'!$B$6)+(W444*'Methodology &amp; Assumptions'!$B$5)+(X444*'Methodology &amp; Assumptions'!$B$7), 2)</f>
        <v/>
      </c>
    </row>
    <row r="445" ht="19" customHeight="1">
      <c r="A445" s="35" t="n">
        <v>441</v>
      </c>
      <c r="B445" s="35" t="n">
        <v>2441</v>
      </c>
      <c r="C445" s="36" t="inlineStr">
        <is>
          <t>0402109065</t>
        </is>
      </c>
      <c r="D445" s="36" t="inlineStr">
        <is>
          <t>Region IV-A (CALABARZON)</t>
        </is>
      </c>
      <c r="E445" s="36" t="inlineStr">
        <is>
          <t>Cavite</t>
        </is>
      </c>
      <c r="F445" s="36" t="inlineStr">
        <is>
          <t>City of Imus</t>
        </is>
      </c>
      <c r="G445" s="36" t="inlineStr">
        <is>
          <t>Malagasang II-D</t>
        </is>
      </c>
      <c r="H445" s="37" t="n">
        <v>14.361665</v>
      </c>
      <c r="I445" s="37" t="n">
        <v>120.927813</v>
      </c>
      <c r="J445" s="8" t="inlineStr">
        <is>
          <t>R</t>
        </is>
      </c>
      <c r="K445" s="36" t="inlineStr">
        <is>
          <t>Class 1-3 / Urban</t>
        </is>
      </c>
      <c r="L445" s="18" t="n">
        <v>3841</v>
      </c>
      <c r="M445" s="20" t="n">
        <v>4.49</v>
      </c>
      <c r="N445" s="18">
        <f>ROUND(L445/M445, 0)</f>
        <v/>
      </c>
      <c r="O445" s="18">
        <f>ROUND(N445*'Methodology &amp; Assumptions'!$B$8, 0)</f>
        <v/>
      </c>
      <c r="P445" s="8" t="inlineStr">
        <is>
          <t>Band n50 (1.5 GHz, 60 MHz)</t>
        </is>
      </c>
      <c r="Q445" s="38">
        <f>ROUNDUP(O445/'Methodology &amp; Assumptions'!$B$9, 0)</f>
        <v/>
      </c>
      <c r="R445" s="39" t="n">
        <v>1</v>
      </c>
      <c r="S445" s="21" t="n">
        <v>1.77</v>
      </c>
      <c r="T445" s="21" t="n">
        <v>7.16</v>
      </c>
      <c r="U445" s="36" t="inlineStr">
        <is>
          <t>Tier 1B (Micro Drop, 1-3 km)</t>
        </is>
      </c>
      <c r="V445" s="20" t="n">
        <v>55.3</v>
      </c>
      <c r="W445" s="20" t="n">
        <v>92.3</v>
      </c>
      <c r="X445" s="20" t="n">
        <v>58</v>
      </c>
      <c r="Y445" s="40">
        <f>ROUND((V445*'Methodology &amp; Assumptions'!$B$6)+(W445*'Methodology &amp; Assumptions'!$B$5)+(X445*'Methodology &amp; Assumptions'!$B$7), 2)</f>
        <v/>
      </c>
    </row>
    <row r="446" ht="19" customHeight="1">
      <c r="A446" s="41" t="n">
        <v>442</v>
      </c>
      <c r="B446" s="41" t="n">
        <v>2442</v>
      </c>
      <c r="C446" s="42" t="inlineStr">
        <is>
          <t>0501732019</t>
        </is>
      </c>
      <c r="D446" s="42" t="inlineStr">
        <is>
          <t>Region V (Bicol Region)</t>
        </is>
      </c>
      <c r="E446" s="42" t="inlineStr">
        <is>
          <t>Camarines Sur</t>
        </is>
      </c>
      <c r="F446" s="42" t="inlineStr">
        <is>
          <t>San Fernando</t>
        </is>
      </c>
      <c r="G446" s="42" t="inlineStr">
        <is>
          <t>Rizal</t>
        </is>
      </c>
      <c r="H446" s="43" t="n">
        <v>13.561061</v>
      </c>
      <c r="I446" s="43" t="n">
        <v>123.143357</v>
      </c>
      <c r="J446" s="44" t="inlineStr">
        <is>
          <t>R</t>
        </is>
      </c>
      <c r="K446" s="42" t="inlineStr">
        <is>
          <t>2nd</t>
        </is>
      </c>
      <c r="L446" s="23" t="n">
        <v>1534</v>
      </c>
      <c r="M446" s="24" t="n">
        <v>4.84</v>
      </c>
      <c r="N446" s="23">
        <f>ROUND(L446/M446, 0)</f>
        <v/>
      </c>
      <c r="O446" s="23">
        <f>ROUND(N446*'Methodology &amp; Assumptions'!$B$8, 0)</f>
        <v/>
      </c>
      <c r="P446" s="44" t="inlineStr">
        <is>
          <t>Band n50 (1.5 GHz, 60 MHz)</t>
        </is>
      </c>
      <c r="Q446" s="38">
        <f>ROUNDUP(O446/'Methodology &amp; Assumptions'!$B$9, 0)</f>
        <v/>
      </c>
      <c r="R446" s="39" t="n">
        <v>1</v>
      </c>
      <c r="S446" s="25" t="n">
        <v>0.37</v>
      </c>
      <c r="T446" s="25" t="n">
        <v>0.11</v>
      </c>
      <c r="U446" s="42" t="inlineStr">
        <is>
          <t>Tier 1A (Direct Coloc, &lt;1 km)</t>
        </is>
      </c>
      <c r="V446" s="24" t="n">
        <v>98.3</v>
      </c>
      <c r="W446" s="24" t="n">
        <v>49.3</v>
      </c>
      <c r="X446" s="24" t="n">
        <v>58</v>
      </c>
      <c r="Y446" s="45">
        <f>ROUND((V446*'Methodology &amp; Assumptions'!$B$6)+(W446*'Methodology &amp; Assumptions'!$B$5)+(X446*'Methodology &amp; Assumptions'!$B$7), 2)</f>
        <v/>
      </c>
    </row>
    <row r="447" ht="19" customHeight="1">
      <c r="A447" s="35" t="n">
        <v>443</v>
      </c>
      <c r="B447" s="35" t="n">
        <v>2443</v>
      </c>
      <c r="C447" s="36" t="inlineStr">
        <is>
          <t>0730600036</t>
        </is>
      </c>
      <c r="D447" s="36" t="inlineStr">
        <is>
          <t>Region VII (Central Visayas)</t>
        </is>
      </c>
      <c r="E447" s="36" t="inlineStr">
        <is>
          <t>Cebu</t>
        </is>
      </c>
      <c r="F447" s="36" t="inlineStr">
        <is>
          <t>City of Cebu</t>
        </is>
      </c>
      <c r="G447" s="36" t="inlineStr">
        <is>
          <t>Camputhaw</t>
        </is>
      </c>
      <c r="H447" s="37" t="n">
        <v>10.318167</v>
      </c>
      <c r="I447" s="37" t="n">
        <v>123.897511</v>
      </c>
      <c r="J447" s="8" t="inlineStr">
        <is>
          <t>U</t>
        </is>
      </c>
      <c r="K447" s="36" t="inlineStr">
        <is>
          <t>Class 1-3 / Urban</t>
        </is>
      </c>
      <c r="L447" s="18" t="n">
        <v>17664</v>
      </c>
      <c r="M447" s="20" t="n">
        <v>4.42</v>
      </c>
      <c r="N447" s="18">
        <f>ROUND(L447/M447, 0)</f>
        <v/>
      </c>
      <c r="O447" s="18">
        <f>ROUND(N447*'Methodology &amp; Assumptions'!$B$8, 0)</f>
        <v/>
      </c>
      <c r="P447" s="8" t="inlineStr">
        <is>
          <t>Band n50 (1.5 GHz, 60 MHz)</t>
        </is>
      </c>
      <c r="Q447" s="38">
        <f>ROUNDUP(O447/'Methodology &amp; Assumptions'!$B$9, 0)</f>
        <v/>
      </c>
      <c r="R447" s="39" t="n">
        <v>1</v>
      </c>
      <c r="S447" s="21" t="n">
        <v>1.37</v>
      </c>
      <c r="T447" s="21" t="n">
        <v>1.51</v>
      </c>
      <c r="U447" s="36" t="inlineStr">
        <is>
          <t>Tier 1B (Micro Drop, 1-3 km)</t>
        </is>
      </c>
      <c r="V447" s="20" t="n">
        <v>73.3</v>
      </c>
      <c r="W447" s="20" t="n">
        <v>100</v>
      </c>
      <c r="X447" s="20" t="n">
        <v>28</v>
      </c>
      <c r="Y447" s="40">
        <f>ROUND((V447*'Methodology &amp; Assumptions'!$B$6)+(W447*'Methodology &amp; Assumptions'!$B$5)+(X447*'Methodology &amp; Assumptions'!$B$7), 2)</f>
        <v/>
      </c>
    </row>
    <row r="448" ht="19" customHeight="1">
      <c r="A448" s="41" t="n">
        <v>444</v>
      </c>
      <c r="B448" s="41" t="n">
        <v>2444</v>
      </c>
      <c r="C448" s="42" t="inlineStr">
        <is>
          <t>0304911022</t>
        </is>
      </c>
      <c r="D448" s="42" t="inlineStr">
        <is>
          <t>Region III (Central Luzon)</t>
        </is>
      </c>
      <c r="E448" s="42" t="inlineStr">
        <is>
          <t>Nueva Ecija</t>
        </is>
      </c>
      <c r="F448" s="42" t="inlineStr">
        <is>
          <t>Guimba</t>
        </is>
      </c>
      <c r="G448" s="42" t="inlineStr">
        <is>
          <t>Cavite</t>
        </is>
      </c>
      <c r="H448" s="43" t="n">
        <v>15.677496</v>
      </c>
      <c r="I448" s="43" t="n">
        <v>120.769853</v>
      </c>
      <c r="J448" s="44" t="inlineStr">
        <is>
          <t>R</t>
        </is>
      </c>
      <c r="K448" s="42" t="inlineStr">
        <is>
          <t>Class 1-3 / Urban</t>
        </is>
      </c>
      <c r="L448" s="23" t="n">
        <v>4069</v>
      </c>
      <c r="M448" s="24" t="n">
        <v>4.32</v>
      </c>
      <c r="N448" s="23">
        <f>ROUND(L448/M448, 0)</f>
        <v/>
      </c>
      <c r="O448" s="23">
        <f>ROUND(N448*'Methodology &amp; Assumptions'!$B$8, 0)</f>
        <v/>
      </c>
      <c r="P448" s="44" t="inlineStr">
        <is>
          <t>Band n50 (1.5 GHz, 60 MHz)</t>
        </is>
      </c>
      <c r="Q448" s="38">
        <f>ROUNDUP(O448/'Methodology &amp; Assumptions'!$B$9, 0)</f>
        <v/>
      </c>
      <c r="R448" s="39" t="n">
        <v>1</v>
      </c>
      <c r="S448" s="25" t="n">
        <v>2.19</v>
      </c>
      <c r="T448" s="25" t="n">
        <v>2.5</v>
      </c>
      <c r="U448" s="42" t="inlineStr">
        <is>
          <t>Tier 1B (Micro Drop, 1-3 km)</t>
        </is>
      </c>
      <c r="V448" s="24" t="n">
        <v>48.1</v>
      </c>
      <c r="W448" s="24" t="n">
        <v>99.5</v>
      </c>
      <c r="X448" s="24" t="n">
        <v>58</v>
      </c>
      <c r="Y448" s="45">
        <f>ROUND((V448*'Methodology &amp; Assumptions'!$B$6)+(W448*'Methodology &amp; Assumptions'!$B$5)+(X448*'Methodology &amp; Assumptions'!$B$7), 2)</f>
        <v/>
      </c>
    </row>
    <row r="449" ht="19" customHeight="1">
      <c r="A449" s="35" t="n">
        <v>445</v>
      </c>
      <c r="B449" s="35" t="n">
        <v>2445</v>
      </c>
      <c r="C449" s="36" t="inlineStr">
        <is>
          <t>0405808002</t>
        </is>
      </c>
      <c r="D449" s="36" t="inlineStr">
        <is>
          <t>Region IV-A (CALABARZON)</t>
        </is>
      </c>
      <c r="E449" s="36" t="inlineStr">
        <is>
          <t>Rizal</t>
        </is>
      </c>
      <c r="F449" s="36" t="inlineStr">
        <is>
          <t>Rodriguez</t>
        </is>
      </c>
      <c r="G449" s="36" t="inlineStr">
        <is>
          <t>Burgos</t>
        </is>
      </c>
      <c r="H449" s="37" t="n">
        <v>14.71869</v>
      </c>
      <c r="I449" s="37" t="n">
        <v>121.1406</v>
      </c>
      <c r="J449" s="8" t="inlineStr">
        <is>
          <t>U</t>
        </is>
      </c>
      <c r="K449" s="36" t="inlineStr">
        <is>
          <t>Class 1-3 / Urban</t>
        </is>
      </c>
      <c r="L449" s="18" t="n">
        <v>51444</v>
      </c>
      <c r="M449" s="20" t="n">
        <v>4.39</v>
      </c>
      <c r="N449" s="18">
        <f>ROUND(L449/M449, 0)</f>
        <v/>
      </c>
      <c r="O449" s="18">
        <f>ROUND(N449*'Methodology &amp; Assumptions'!$B$8, 0)</f>
        <v/>
      </c>
      <c r="P449" s="8" t="inlineStr">
        <is>
          <t>Band n50 (1.5 GHz, 60 MHz)</t>
        </is>
      </c>
      <c r="Q449" s="38">
        <f>ROUNDUP(O449/'Methodology &amp; Assumptions'!$B$9, 0)</f>
        <v/>
      </c>
      <c r="R449" s="39" t="n">
        <v>1</v>
      </c>
      <c r="S449" s="21" t="n">
        <v>1.21</v>
      </c>
      <c r="T449" s="21" t="n">
        <v>0.32</v>
      </c>
      <c r="U449" s="36" t="inlineStr">
        <is>
          <t>Tier 1B (Micro Drop, 1-3 km)</t>
        </is>
      </c>
      <c r="V449" s="20" t="n">
        <v>76.8</v>
      </c>
      <c r="W449" s="20" t="n">
        <v>96.5</v>
      </c>
      <c r="X449" s="20" t="n">
        <v>28</v>
      </c>
      <c r="Y449" s="40">
        <f>ROUND((V449*'Methodology &amp; Assumptions'!$B$6)+(W449*'Methodology &amp; Assumptions'!$B$5)+(X449*'Methodology &amp; Assumptions'!$B$7), 2)</f>
        <v/>
      </c>
    </row>
    <row r="450" ht="19" customHeight="1">
      <c r="A450" s="41" t="n">
        <v>446</v>
      </c>
      <c r="B450" s="41" t="n">
        <v>2446</v>
      </c>
      <c r="C450" s="42" t="inlineStr">
        <is>
          <t>0831600135</t>
        </is>
      </c>
      <c r="D450" s="42" t="inlineStr">
        <is>
          <t>Region VIII (Eastern Visayas)</t>
        </is>
      </c>
      <c r="E450" s="42" t="inlineStr">
        <is>
          <t>Leyte</t>
        </is>
      </c>
      <c r="F450" s="42" t="inlineStr">
        <is>
          <t>City of Tacloban</t>
        </is>
      </c>
      <c r="G450" s="42" t="inlineStr">
        <is>
          <t>Barangay 109-A</t>
        </is>
      </c>
      <c r="H450" s="43" t="n">
        <v>11.204786</v>
      </c>
      <c r="I450" s="43" t="n">
        <v>124.999561</v>
      </c>
      <c r="J450" s="44" t="inlineStr">
        <is>
          <t>U</t>
        </is>
      </c>
      <c r="K450" s="42" t="inlineStr">
        <is>
          <t>Class 1-3 / Urban</t>
        </is>
      </c>
      <c r="L450" s="23" t="n">
        <v>8055</v>
      </c>
      <c r="M450" s="24" t="n">
        <v>4.24</v>
      </c>
      <c r="N450" s="23">
        <f>ROUND(L450/M450, 0)</f>
        <v/>
      </c>
      <c r="O450" s="23">
        <f>ROUND(N450*'Methodology &amp; Assumptions'!$B$8, 0)</f>
        <v/>
      </c>
      <c r="P450" s="44" t="inlineStr">
        <is>
          <t>Band n50 (1.5 GHz, 60 MHz)</t>
        </is>
      </c>
      <c r="Q450" s="38">
        <f>ROUNDUP(O450/'Methodology &amp; Assumptions'!$B$9, 0)</f>
        <v/>
      </c>
      <c r="R450" s="39" t="n">
        <v>1</v>
      </c>
      <c r="S450" s="25" t="n">
        <v>1.37</v>
      </c>
      <c r="T450" s="25" t="n">
        <v>0.95</v>
      </c>
      <c r="U450" s="42" t="inlineStr">
        <is>
          <t>Tier 1B (Micro Drop, 1-3 km)</t>
        </is>
      </c>
      <c r="V450" s="24" t="n">
        <v>73.3</v>
      </c>
      <c r="W450" s="24" t="n">
        <v>100</v>
      </c>
      <c r="X450" s="24" t="n">
        <v>28</v>
      </c>
      <c r="Y450" s="45">
        <f>ROUND((V450*'Methodology &amp; Assumptions'!$B$6)+(W450*'Methodology &amp; Assumptions'!$B$5)+(X450*'Methodology &amp; Assumptions'!$B$7), 2)</f>
        <v/>
      </c>
    </row>
    <row r="451" ht="19" customHeight="1">
      <c r="A451" s="35" t="n">
        <v>447</v>
      </c>
      <c r="B451" s="35" t="n">
        <v>2447</v>
      </c>
      <c r="C451" s="36" t="inlineStr">
        <is>
          <t>0402117013</t>
        </is>
      </c>
      <c r="D451" s="36" t="inlineStr">
        <is>
          <t>Region IV-A (CALABARZON)</t>
        </is>
      </c>
      <c r="E451" s="36" t="inlineStr">
        <is>
          <t>Cavite</t>
        </is>
      </c>
      <c r="F451" s="36" t="inlineStr">
        <is>
          <t>Rosario</t>
        </is>
      </c>
      <c r="G451" s="36" t="inlineStr">
        <is>
          <t>Bagbag II</t>
        </is>
      </c>
      <c r="H451" s="37" t="n">
        <v>14.422235</v>
      </c>
      <c r="I451" s="37" t="n">
        <v>120.865472</v>
      </c>
      <c r="J451" s="8" t="inlineStr">
        <is>
          <t>U</t>
        </is>
      </c>
      <c r="K451" s="36" t="inlineStr">
        <is>
          <t>Class 1-3 / Urban</t>
        </is>
      </c>
      <c r="L451" s="18" t="n">
        <v>6153</v>
      </c>
      <c r="M451" s="20" t="n">
        <v>4.49</v>
      </c>
      <c r="N451" s="18">
        <f>ROUND(L451/M451, 0)</f>
        <v/>
      </c>
      <c r="O451" s="18">
        <f>ROUND(N451*'Methodology &amp; Assumptions'!$B$8, 0)</f>
        <v/>
      </c>
      <c r="P451" s="8" t="inlineStr">
        <is>
          <t>Band n50 (1.5 GHz, 60 MHz)</t>
        </is>
      </c>
      <c r="Q451" s="38">
        <f>ROUNDUP(O451/'Methodology &amp; Assumptions'!$B$9, 0)</f>
        <v/>
      </c>
      <c r="R451" s="39" t="n">
        <v>1</v>
      </c>
      <c r="S451" s="21" t="n">
        <v>2.06</v>
      </c>
      <c r="T451" s="21" t="n">
        <v>1.78</v>
      </c>
      <c r="U451" s="36" t="inlineStr">
        <is>
          <t>Tier 1B (Micro Drop, 1-3 km)</t>
        </is>
      </c>
      <c r="V451" s="20" t="n">
        <v>60.4</v>
      </c>
      <c r="W451" s="20" t="n">
        <v>100</v>
      </c>
      <c r="X451" s="20" t="n">
        <v>43</v>
      </c>
      <c r="Y451" s="40">
        <f>ROUND((V451*'Methodology &amp; Assumptions'!$B$6)+(W451*'Methodology &amp; Assumptions'!$B$5)+(X451*'Methodology &amp; Assumptions'!$B$7), 2)</f>
        <v/>
      </c>
    </row>
    <row r="452" ht="19" customHeight="1">
      <c r="A452" s="41" t="n">
        <v>448</v>
      </c>
      <c r="B452" s="41" t="n">
        <v>2448</v>
      </c>
      <c r="C452" s="42" t="inlineStr">
        <is>
          <t>0702202001</t>
        </is>
      </c>
      <c r="D452" s="42" t="inlineStr">
        <is>
          <t>Region VII (Central Visayas)</t>
        </is>
      </c>
      <c r="E452" s="42" t="inlineStr">
        <is>
          <t>Cebu</t>
        </is>
      </c>
      <c r="F452" s="42" t="inlineStr">
        <is>
          <t>Alcoy</t>
        </is>
      </c>
      <c r="G452" s="42" t="inlineStr">
        <is>
          <t>Atabay</t>
        </is>
      </c>
      <c r="H452" s="43" t="n">
        <v>9.698098</v>
      </c>
      <c r="I452" s="43" t="n">
        <v>123.505186</v>
      </c>
      <c r="J452" s="44" t="inlineStr">
        <is>
          <t>R</t>
        </is>
      </c>
      <c r="K452" s="42" t="inlineStr">
        <is>
          <t>4th</t>
        </is>
      </c>
      <c r="L452" s="23" t="n">
        <v>2323</v>
      </c>
      <c r="M452" s="24" t="n">
        <v>5.01</v>
      </c>
      <c r="N452" s="23">
        <f>ROUND(L452/M452, 0)</f>
        <v/>
      </c>
      <c r="O452" s="23">
        <f>ROUND(N452*'Methodology &amp; Assumptions'!$B$8, 0)</f>
        <v/>
      </c>
      <c r="P452" s="44" t="inlineStr">
        <is>
          <t>Band n50 (1.5 GHz, 60 MHz)</t>
        </is>
      </c>
      <c r="Q452" s="38">
        <f>ROUNDUP(O452/'Methodology &amp; Assumptions'!$B$9, 0)</f>
        <v/>
      </c>
      <c r="R452" s="39" t="n">
        <v>1</v>
      </c>
      <c r="S452" s="25" t="n">
        <v>1.18</v>
      </c>
      <c r="T452" s="25" t="n">
        <v>0.1</v>
      </c>
      <c r="U452" s="42" t="inlineStr">
        <is>
          <t>Tier 1B (Micro Drop, 1-3 km)</t>
        </is>
      </c>
      <c r="V452" s="24" t="n">
        <v>77.40000000000001</v>
      </c>
      <c r="W452" s="24" t="n">
        <v>61.1</v>
      </c>
      <c r="X452" s="24" t="n">
        <v>68.5</v>
      </c>
      <c r="Y452" s="45">
        <f>ROUND((V452*'Methodology &amp; Assumptions'!$B$6)+(W452*'Methodology &amp; Assumptions'!$B$5)+(X452*'Methodology &amp; Assumptions'!$B$7), 2)</f>
        <v/>
      </c>
    </row>
    <row r="453" ht="19" customHeight="1">
      <c r="A453" s="35" t="n">
        <v>449</v>
      </c>
      <c r="B453" s="35" t="n">
        <v>2449</v>
      </c>
      <c r="C453" s="36" t="inlineStr">
        <is>
          <t>1430300022</t>
        </is>
      </c>
      <c r="D453" s="36" t="inlineStr">
        <is>
          <t>Cordillera Administrative Region (CAR)</t>
        </is>
      </c>
      <c r="E453" s="36" t="inlineStr">
        <is>
          <t>Benguet</t>
        </is>
      </c>
      <c r="F453" s="36" t="inlineStr">
        <is>
          <t>City of Baguio</t>
        </is>
      </c>
      <c r="G453" s="36" t="inlineStr">
        <is>
          <t>City Camp Central</t>
        </is>
      </c>
      <c r="H453" s="37" t="n">
        <v>16.41123</v>
      </c>
      <c r="I453" s="37" t="n">
        <v>120.58892</v>
      </c>
      <c r="J453" s="8" t="inlineStr">
        <is>
          <t>R</t>
        </is>
      </c>
      <c r="K453" s="36" t="inlineStr">
        <is>
          <t>Class 1-3 / Urban</t>
        </is>
      </c>
      <c r="L453" s="18" t="n">
        <v>1722</v>
      </c>
      <c r="M453" s="20" t="n">
        <v>4.58</v>
      </c>
      <c r="N453" s="18">
        <f>ROUND(L453/M453, 0)</f>
        <v/>
      </c>
      <c r="O453" s="18">
        <f>ROUND(N453*'Methodology &amp; Assumptions'!$B$8, 0)</f>
        <v/>
      </c>
      <c r="P453" s="8" t="inlineStr">
        <is>
          <t>Band n50 (1.5 GHz, 60 MHz)</t>
        </is>
      </c>
      <c r="Q453" s="38">
        <f>ROUNDUP(O453/'Methodology &amp; Assumptions'!$B$9, 0)</f>
        <v/>
      </c>
      <c r="R453" s="39" t="n">
        <v>1</v>
      </c>
      <c r="S453" s="21" t="n">
        <v>0.4</v>
      </c>
      <c r="T453" s="21" t="n">
        <v>0.2</v>
      </c>
      <c r="U453" s="36" t="inlineStr">
        <is>
          <t>Tier 1A (Direct Coloc, &lt;1 km)</t>
        </is>
      </c>
      <c r="V453" s="20" t="n">
        <v>97.40000000000001</v>
      </c>
      <c r="W453" s="20" t="n">
        <v>50.1</v>
      </c>
      <c r="X453" s="20" t="n">
        <v>58</v>
      </c>
      <c r="Y453" s="40">
        <f>ROUND((V453*'Methodology &amp; Assumptions'!$B$6)+(W453*'Methodology &amp; Assumptions'!$B$5)+(X453*'Methodology &amp; Assumptions'!$B$7), 2)</f>
        <v/>
      </c>
    </row>
    <row r="454" ht="19" customHeight="1">
      <c r="A454" s="41" t="n">
        <v>450</v>
      </c>
      <c r="B454" s="41" t="n">
        <v>2450</v>
      </c>
      <c r="C454" s="42" t="inlineStr">
        <is>
          <t>0301420004</t>
        </is>
      </c>
      <c r="D454" s="42" t="inlineStr">
        <is>
          <t>Region III (Central Luzon)</t>
        </is>
      </c>
      <c r="E454" s="42" t="inlineStr">
        <is>
          <t>Bulacan</t>
        </is>
      </c>
      <c r="F454" s="42" t="inlineStr">
        <is>
          <t>City of San Jose Del Monte</t>
        </is>
      </c>
      <c r="G454" s="42" t="inlineStr">
        <is>
          <t>Kaypian</t>
        </is>
      </c>
      <c r="H454" s="43" t="n">
        <v>14.821717</v>
      </c>
      <c r="I454" s="43" t="n">
        <v>121.062617</v>
      </c>
      <c r="J454" s="44" t="inlineStr">
        <is>
          <t>U</t>
        </is>
      </c>
      <c r="K454" s="42" t="inlineStr">
        <is>
          <t>Class 1-3 / Urban</t>
        </is>
      </c>
      <c r="L454" s="23" t="n">
        <v>46045</v>
      </c>
      <c r="M454" s="24" t="n">
        <v>4.1</v>
      </c>
      <c r="N454" s="23">
        <f>ROUND(L454/M454, 0)</f>
        <v/>
      </c>
      <c r="O454" s="23">
        <f>ROUND(N454*'Methodology &amp; Assumptions'!$B$8, 0)</f>
        <v/>
      </c>
      <c r="P454" s="44" t="inlineStr">
        <is>
          <t>Band n50 (1.5 GHz, 60 MHz)</t>
        </is>
      </c>
      <c r="Q454" s="38">
        <f>ROUNDUP(O454/'Methodology &amp; Assumptions'!$B$9, 0)</f>
        <v/>
      </c>
      <c r="R454" s="39" t="n">
        <v>1</v>
      </c>
      <c r="S454" s="25" t="n">
        <v>1.22</v>
      </c>
      <c r="T454" s="25" t="n">
        <v>1.96</v>
      </c>
      <c r="U454" s="42" t="inlineStr">
        <is>
          <t>Tier 1B (Micro Drop, 1-3 km)</t>
        </is>
      </c>
      <c r="V454" s="24" t="n">
        <v>76.5</v>
      </c>
      <c r="W454" s="24" t="n">
        <v>96.7</v>
      </c>
      <c r="X454" s="24" t="n">
        <v>28</v>
      </c>
      <c r="Y454" s="45">
        <f>ROUND((V454*'Methodology &amp; Assumptions'!$B$6)+(W454*'Methodology &amp; Assumptions'!$B$5)+(X454*'Methodology &amp; Assumptions'!$B$7), 2)</f>
        <v/>
      </c>
    </row>
    <row r="455" ht="19" customHeight="1">
      <c r="A455" s="35" t="n">
        <v>451</v>
      </c>
      <c r="B455" s="35" t="n">
        <v>2451</v>
      </c>
      <c r="C455" s="36" t="inlineStr">
        <is>
          <t>0402103064</t>
        </is>
      </c>
      <c r="D455" s="36" t="inlineStr">
        <is>
          <t>Region IV-A (CALABARZON)</t>
        </is>
      </c>
      <c r="E455" s="36" t="inlineStr">
        <is>
          <t>Cavite</t>
        </is>
      </c>
      <c r="F455" s="36" t="inlineStr">
        <is>
          <t>City of Bacoor</t>
        </is>
      </c>
      <c r="G455" s="36" t="inlineStr">
        <is>
          <t>San Nicolas II</t>
        </is>
      </c>
      <c r="H455" s="37" t="n">
        <v>14.433608</v>
      </c>
      <c r="I455" s="37" t="n">
        <v>120.974648</v>
      </c>
      <c r="J455" s="8" t="inlineStr">
        <is>
          <t>U</t>
        </is>
      </c>
      <c r="K455" s="36" t="inlineStr">
        <is>
          <t>Class 1-3 / Urban</t>
        </is>
      </c>
      <c r="L455" s="18" t="n">
        <v>12038</v>
      </c>
      <c r="M455" s="20" t="n">
        <v>4.49</v>
      </c>
      <c r="N455" s="18">
        <f>ROUND(L455/M455, 0)</f>
        <v/>
      </c>
      <c r="O455" s="18">
        <f>ROUND(N455*'Methodology &amp; Assumptions'!$B$8, 0)</f>
        <v/>
      </c>
      <c r="P455" s="8" t="inlineStr">
        <is>
          <t>Band n50 (1.5 GHz, 60 MHz)</t>
        </is>
      </c>
      <c r="Q455" s="38">
        <f>ROUNDUP(O455/'Methodology &amp; Assumptions'!$B$9, 0)</f>
        <v/>
      </c>
      <c r="R455" s="39" t="n">
        <v>1</v>
      </c>
      <c r="S455" s="21" t="n">
        <v>1.37</v>
      </c>
      <c r="T455" s="21" t="n">
        <v>1.91</v>
      </c>
      <c r="U455" s="36" t="inlineStr">
        <is>
          <t>Tier 1B (Micro Drop, 1-3 km)</t>
        </is>
      </c>
      <c r="V455" s="20" t="n">
        <v>73.2</v>
      </c>
      <c r="W455" s="20" t="n">
        <v>100</v>
      </c>
      <c r="X455" s="20" t="n">
        <v>28</v>
      </c>
      <c r="Y455" s="40">
        <f>ROUND((V455*'Methodology &amp; Assumptions'!$B$6)+(W455*'Methodology &amp; Assumptions'!$B$5)+(X455*'Methodology &amp; Assumptions'!$B$7), 2)</f>
        <v/>
      </c>
    </row>
    <row r="456" ht="19" customHeight="1">
      <c r="A456" s="41" t="n">
        <v>452</v>
      </c>
      <c r="B456" s="41" t="n">
        <v>2452</v>
      </c>
      <c r="C456" s="42" t="inlineStr">
        <is>
          <t>1401110013</t>
        </is>
      </c>
      <c r="D456" s="42" t="inlineStr">
        <is>
          <t>Cordillera Administrative Region (CAR)</t>
        </is>
      </c>
      <c r="E456" s="42" t="inlineStr">
        <is>
          <t>Benguet</t>
        </is>
      </c>
      <c r="F456" s="42" t="inlineStr">
        <is>
          <t>La Trinidad</t>
        </is>
      </c>
      <c r="G456" s="42" t="inlineStr">
        <is>
          <t>Puguis</t>
        </is>
      </c>
      <c r="H456" s="43" t="n">
        <v>16.44872</v>
      </c>
      <c r="I456" s="43" t="n">
        <v>120.57566</v>
      </c>
      <c r="J456" s="44" t="inlineStr">
        <is>
          <t>U</t>
        </is>
      </c>
      <c r="K456" s="42" t="inlineStr">
        <is>
          <t>Class 1-3 / Urban</t>
        </is>
      </c>
      <c r="L456" s="23" t="n">
        <v>10588</v>
      </c>
      <c r="M456" s="24" t="n">
        <v>4.58</v>
      </c>
      <c r="N456" s="23">
        <f>ROUND(L456/M456, 0)</f>
        <v/>
      </c>
      <c r="O456" s="23">
        <f>ROUND(N456*'Methodology &amp; Assumptions'!$B$8, 0)</f>
        <v/>
      </c>
      <c r="P456" s="44" t="inlineStr">
        <is>
          <t>Band n50 (1.5 GHz, 60 MHz)</t>
        </is>
      </c>
      <c r="Q456" s="38">
        <f>ROUNDUP(O456/'Methodology &amp; Assumptions'!$B$9, 0)</f>
        <v/>
      </c>
      <c r="R456" s="39" t="n">
        <v>1</v>
      </c>
      <c r="S456" s="25" t="n">
        <v>1.37</v>
      </c>
      <c r="T456" s="25" t="n">
        <v>0.1</v>
      </c>
      <c r="U456" s="42" t="inlineStr">
        <is>
          <t>Tier 1B (Micro Drop, 1-3 km)</t>
        </is>
      </c>
      <c r="V456" s="24" t="n">
        <v>73.2</v>
      </c>
      <c r="W456" s="24" t="n">
        <v>100</v>
      </c>
      <c r="X456" s="24" t="n">
        <v>28</v>
      </c>
      <c r="Y456" s="45">
        <f>ROUND((V456*'Methodology &amp; Assumptions'!$B$6)+(W456*'Methodology &amp; Assumptions'!$B$5)+(X456*'Methodology &amp; Assumptions'!$B$7), 2)</f>
        <v/>
      </c>
    </row>
    <row r="457" ht="19" customHeight="1">
      <c r="A457" s="35" t="n">
        <v>453</v>
      </c>
      <c r="B457" s="35" t="n">
        <v>2453</v>
      </c>
      <c r="C457" s="36" t="inlineStr">
        <is>
          <t>0306905027</t>
        </is>
      </c>
      <c r="D457" s="36" t="inlineStr">
        <is>
          <t>Region III (Central Luzon)</t>
        </is>
      </c>
      <c r="E457" s="36" t="inlineStr">
        <is>
          <t>Tarlac</t>
        </is>
      </c>
      <c r="F457" s="36" t="inlineStr">
        <is>
          <t>Concepcion</t>
        </is>
      </c>
      <c r="G457" s="36" t="inlineStr">
        <is>
          <t>San Agustin</t>
        </is>
      </c>
      <c r="H457" s="37" t="n">
        <v>15.402587</v>
      </c>
      <c r="I457" s="37" t="n">
        <v>120.607651</v>
      </c>
      <c r="J457" s="8" t="inlineStr">
        <is>
          <t>U</t>
        </is>
      </c>
      <c r="K457" s="36" t="inlineStr">
        <is>
          <t>Class 1-3 / Urban</t>
        </is>
      </c>
      <c r="L457" s="18" t="n">
        <v>7429</v>
      </c>
      <c r="M457" s="20" t="n">
        <v>4.3</v>
      </c>
      <c r="N457" s="18">
        <f>ROUND(L457/M457, 0)</f>
        <v/>
      </c>
      <c r="O457" s="18">
        <f>ROUND(N457*'Methodology &amp; Assumptions'!$B$8, 0)</f>
        <v/>
      </c>
      <c r="P457" s="8" t="inlineStr">
        <is>
          <t>Band n50 (1.5 GHz, 60 MHz)</t>
        </is>
      </c>
      <c r="Q457" s="38">
        <f>ROUNDUP(O457/'Methodology &amp; Assumptions'!$B$9, 0)</f>
        <v/>
      </c>
      <c r="R457" s="39" t="n">
        <v>1</v>
      </c>
      <c r="S457" s="21" t="n">
        <v>1.37</v>
      </c>
      <c r="T457" s="21" t="n">
        <v>0.74</v>
      </c>
      <c r="U457" s="36" t="inlineStr">
        <is>
          <t>Tier 1B (Micro Drop, 1-3 km)</t>
        </is>
      </c>
      <c r="V457" s="20" t="n">
        <v>73.2</v>
      </c>
      <c r="W457" s="20" t="n">
        <v>100</v>
      </c>
      <c r="X457" s="20" t="n">
        <v>28</v>
      </c>
      <c r="Y457" s="40">
        <f>ROUND((V457*'Methodology &amp; Assumptions'!$B$6)+(W457*'Methodology &amp; Assumptions'!$B$5)+(X457*'Methodology &amp; Assumptions'!$B$7), 2)</f>
        <v/>
      </c>
    </row>
    <row r="458" ht="19" customHeight="1">
      <c r="A458" s="41" t="n">
        <v>454</v>
      </c>
      <c r="B458" s="41" t="n">
        <v>2454</v>
      </c>
      <c r="C458" s="42" t="inlineStr">
        <is>
          <t>0105514001</t>
        </is>
      </c>
      <c r="D458" s="42" t="inlineStr">
        <is>
          <t>Region I (Ilocos Region)</t>
        </is>
      </c>
      <c r="E458" s="42" t="inlineStr">
        <is>
          <t>Pangasinan</t>
        </is>
      </c>
      <c r="F458" s="42" t="inlineStr">
        <is>
          <t>Bolinao</t>
        </is>
      </c>
      <c r="G458" s="42" t="inlineStr">
        <is>
          <t>Arnedo</t>
        </is>
      </c>
      <c r="H458" s="43" t="n">
        <v>16.382429</v>
      </c>
      <c r="I458" s="43" t="n">
        <v>119.883966</v>
      </c>
      <c r="J458" s="44" t="inlineStr">
        <is>
          <t>U</t>
        </is>
      </c>
      <c r="K458" s="42" t="inlineStr">
        <is>
          <t>Class 1-3 / Urban</t>
        </is>
      </c>
      <c r="L458" s="23" t="n">
        <v>5802</v>
      </c>
      <c r="M458" s="24" t="n">
        <v>4.39</v>
      </c>
      <c r="N458" s="23">
        <f>ROUND(L458/M458, 0)</f>
        <v/>
      </c>
      <c r="O458" s="23">
        <f>ROUND(N458*'Methodology &amp; Assumptions'!$B$8, 0)</f>
        <v/>
      </c>
      <c r="P458" s="44" t="inlineStr">
        <is>
          <t>Band n50 (1.5 GHz, 60 MHz)</t>
        </is>
      </c>
      <c r="Q458" s="38">
        <f>ROUNDUP(O458/'Methodology &amp; Assumptions'!$B$9, 0)</f>
        <v/>
      </c>
      <c r="R458" s="39" t="n">
        <v>1</v>
      </c>
      <c r="S458" s="25" t="n">
        <v>1.38</v>
      </c>
      <c r="T458" s="25" t="n">
        <v>1.01</v>
      </c>
      <c r="U458" s="42" t="inlineStr">
        <is>
          <t>Tier 1B (Micro Drop, 1-3 km)</t>
        </is>
      </c>
      <c r="V458" s="24" t="n">
        <v>73.2</v>
      </c>
      <c r="W458" s="24" t="n">
        <v>100</v>
      </c>
      <c r="X458" s="24" t="n">
        <v>28</v>
      </c>
      <c r="Y458" s="45">
        <f>ROUND((V458*'Methodology &amp; Assumptions'!$B$6)+(W458*'Methodology &amp; Assumptions'!$B$5)+(X458*'Methodology &amp; Assumptions'!$B$7), 2)</f>
        <v/>
      </c>
    </row>
    <row r="459" ht="19" customHeight="1">
      <c r="A459" s="35" t="n">
        <v>455</v>
      </c>
      <c r="B459" s="35" t="n">
        <v>2455</v>
      </c>
      <c r="C459" s="36" t="inlineStr">
        <is>
          <t>0501736015</t>
        </is>
      </c>
      <c r="D459" s="36" t="inlineStr">
        <is>
          <t>Region V (Bicol Region)</t>
        </is>
      </c>
      <c r="E459" s="36" t="inlineStr">
        <is>
          <t>Camarines Sur</t>
        </is>
      </c>
      <c r="F459" s="36" t="inlineStr">
        <is>
          <t>Tigaon</t>
        </is>
      </c>
      <c r="G459" s="36" t="inlineStr">
        <is>
          <t>Poblacion</t>
        </is>
      </c>
      <c r="H459" s="37" t="n">
        <v>13.633221</v>
      </c>
      <c r="I459" s="37" t="n">
        <v>123.496325</v>
      </c>
      <c r="J459" s="8" t="inlineStr">
        <is>
          <t>U</t>
        </is>
      </c>
      <c r="K459" s="36" t="inlineStr">
        <is>
          <t>Class 1-3 / Urban</t>
        </is>
      </c>
      <c r="L459" s="18" t="n">
        <v>3075</v>
      </c>
      <c r="M459" s="20" t="n">
        <v>4.9</v>
      </c>
      <c r="N459" s="18">
        <f>ROUND(L459/M459, 0)</f>
        <v/>
      </c>
      <c r="O459" s="18">
        <f>ROUND(N459*'Methodology &amp; Assumptions'!$B$8, 0)</f>
        <v/>
      </c>
      <c r="P459" s="8" t="inlineStr">
        <is>
          <t>Band n50 (1.5 GHz, 60 MHz)</t>
        </is>
      </c>
      <c r="Q459" s="38">
        <f>ROUNDUP(O459/'Methodology &amp; Assumptions'!$B$9, 0)</f>
        <v/>
      </c>
      <c r="R459" s="39" t="n">
        <v>1</v>
      </c>
      <c r="S459" s="21" t="n">
        <v>0.35</v>
      </c>
      <c r="T459" s="21" t="n">
        <v>0.24</v>
      </c>
      <c r="U459" s="36" t="inlineStr">
        <is>
          <t>Tier 1A (Direct Coloc, &lt;1 km)</t>
        </is>
      </c>
      <c r="V459" s="20" t="n">
        <v>99.09999999999999</v>
      </c>
      <c r="W459" s="20" t="n">
        <v>74.09999999999999</v>
      </c>
      <c r="X459" s="20" t="n">
        <v>28</v>
      </c>
      <c r="Y459" s="40">
        <f>ROUND((V459*'Methodology &amp; Assumptions'!$B$6)+(W459*'Methodology &amp; Assumptions'!$B$5)+(X459*'Methodology &amp; Assumptions'!$B$7), 2)</f>
        <v/>
      </c>
    </row>
    <row r="460" ht="19" customHeight="1">
      <c r="A460" s="41" t="n">
        <v>456</v>
      </c>
      <c r="B460" s="41" t="n">
        <v>2456</v>
      </c>
      <c r="C460" s="42" t="inlineStr">
        <is>
          <t>0702247017</t>
        </is>
      </c>
      <c r="D460" s="42" t="inlineStr">
        <is>
          <t>Region VII (Central Visayas)</t>
        </is>
      </c>
      <c r="E460" s="42" t="inlineStr">
        <is>
          <t>Cebu</t>
        </is>
      </c>
      <c r="F460" s="42" t="inlineStr">
        <is>
          <t>Sogod</t>
        </is>
      </c>
      <c r="G460" s="42" t="inlineStr">
        <is>
          <t>Tabunok</t>
        </is>
      </c>
      <c r="H460" s="43" t="n">
        <v>10.775568</v>
      </c>
      <c r="I460" s="43" t="n">
        <v>124.016298</v>
      </c>
      <c r="J460" s="44" t="inlineStr">
        <is>
          <t>R</t>
        </is>
      </c>
      <c r="K460" s="42" t="inlineStr">
        <is>
          <t>2nd</t>
        </is>
      </c>
      <c r="L460" s="23" t="n">
        <v>4064</v>
      </c>
      <c r="M460" s="24" t="n">
        <v>4.15</v>
      </c>
      <c r="N460" s="23">
        <f>ROUND(L460/M460, 0)</f>
        <v/>
      </c>
      <c r="O460" s="23">
        <f>ROUND(N460*'Methodology &amp; Assumptions'!$B$8, 0)</f>
        <v/>
      </c>
      <c r="P460" s="44" t="inlineStr">
        <is>
          <t>Band n50 (1.5 GHz, 60 MHz)</t>
        </is>
      </c>
      <c r="Q460" s="38">
        <f>ROUNDUP(O460/'Methodology &amp; Assumptions'!$B$9, 0)</f>
        <v/>
      </c>
      <c r="R460" s="39" t="n">
        <v>1</v>
      </c>
      <c r="S460" s="25" t="n">
        <v>2.95</v>
      </c>
      <c r="T460" s="25" t="n">
        <v>1.17</v>
      </c>
      <c r="U460" s="42" t="inlineStr">
        <is>
          <t>Tier 1B (Micro Drop, 1-3 km)</t>
        </is>
      </c>
      <c r="V460" s="24" t="n">
        <v>47.5</v>
      </c>
      <c r="W460" s="24" t="n">
        <v>100</v>
      </c>
      <c r="X460" s="24" t="n">
        <v>58</v>
      </c>
      <c r="Y460" s="45">
        <f>ROUND((V460*'Methodology &amp; Assumptions'!$B$6)+(W460*'Methodology &amp; Assumptions'!$B$5)+(X460*'Methodology &amp; Assumptions'!$B$7), 2)</f>
        <v/>
      </c>
    </row>
    <row r="461" ht="19" customHeight="1">
      <c r="A461" s="35" t="n">
        <v>457</v>
      </c>
      <c r="B461" s="35" t="n">
        <v>2457</v>
      </c>
      <c r="C461" s="36" t="inlineStr">
        <is>
          <t>0304931026</t>
        </is>
      </c>
      <c r="D461" s="36" t="inlineStr">
        <is>
          <t>Region III (Central Luzon)</t>
        </is>
      </c>
      <c r="E461" s="36" t="inlineStr">
        <is>
          <t>Nueva Ecija</t>
        </is>
      </c>
      <c r="F461" s="36" t="inlineStr">
        <is>
          <t>Talugtug</t>
        </is>
      </c>
      <c r="G461" s="36" t="inlineStr">
        <is>
          <t>Saverona</t>
        </is>
      </c>
      <c r="H461" s="37" t="n">
        <v>15.585783</v>
      </c>
      <c r="I461" s="37" t="n">
        <v>120.924577</v>
      </c>
      <c r="J461" s="8" t="inlineStr">
        <is>
          <t>R</t>
        </is>
      </c>
      <c r="K461" s="36" t="inlineStr">
        <is>
          <t>3rd</t>
        </is>
      </c>
      <c r="L461" s="18" t="n">
        <v>1762</v>
      </c>
      <c r="M461" s="20" t="n">
        <v>4.09</v>
      </c>
      <c r="N461" s="18">
        <f>ROUND(L461/M461, 0)</f>
        <v/>
      </c>
      <c r="O461" s="18">
        <f>ROUND(N461*'Methodology &amp; Assumptions'!$B$8, 0)</f>
        <v/>
      </c>
      <c r="P461" s="8" t="inlineStr">
        <is>
          <t>Band n50 (1.5 GHz, 60 MHz)</t>
        </is>
      </c>
      <c r="Q461" s="38">
        <f>ROUNDUP(O461/'Methodology &amp; Assumptions'!$B$9, 0)</f>
        <v/>
      </c>
      <c r="R461" s="39" t="n">
        <v>1</v>
      </c>
      <c r="S461" s="21" t="n">
        <v>0.71</v>
      </c>
      <c r="T461" s="21" t="n">
        <v>0.52</v>
      </c>
      <c r="U461" s="36" t="inlineStr">
        <is>
          <t>Tier 1A (Direct Coloc, &lt;1 km)</t>
        </is>
      </c>
      <c r="V461" s="20" t="n">
        <v>89</v>
      </c>
      <c r="W461" s="20" t="n">
        <v>58.4</v>
      </c>
      <c r="X461" s="20" t="n">
        <v>58</v>
      </c>
      <c r="Y461" s="40">
        <f>ROUND((V461*'Methodology &amp; Assumptions'!$B$6)+(W461*'Methodology &amp; Assumptions'!$B$5)+(X461*'Methodology &amp; Assumptions'!$B$7), 2)</f>
        <v/>
      </c>
    </row>
    <row r="462" ht="19" customHeight="1">
      <c r="A462" s="41" t="n">
        <v>458</v>
      </c>
      <c r="B462" s="41" t="n">
        <v>2458</v>
      </c>
      <c r="C462" s="42" t="inlineStr">
        <is>
          <t>0201513020</t>
        </is>
      </c>
      <c r="D462" s="42" t="inlineStr">
        <is>
          <t>Region II (Cagayan Valley)</t>
        </is>
      </c>
      <c r="E462" s="42" t="inlineStr">
        <is>
          <t>Cagayan</t>
        </is>
      </c>
      <c r="F462" s="42" t="inlineStr">
        <is>
          <t>Gattaran</t>
        </is>
      </c>
      <c r="G462" s="42" t="inlineStr">
        <is>
          <t>Centro Norte</t>
        </is>
      </c>
      <c r="H462" s="43" t="n">
        <v>18.067732</v>
      </c>
      <c r="I462" s="43" t="n">
        <v>121.644725</v>
      </c>
      <c r="J462" s="44" t="inlineStr">
        <is>
          <t>R</t>
        </is>
      </c>
      <c r="K462" s="42" t="inlineStr">
        <is>
          <t>Class 1-3 / Urban</t>
        </is>
      </c>
      <c r="L462" s="23" t="n">
        <v>1290</v>
      </c>
      <c r="M462" s="24" t="n">
        <v>4.38</v>
      </c>
      <c r="N462" s="23">
        <f>ROUND(L462/M462, 0)</f>
        <v/>
      </c>
      <c r="O462" s="23">
        <f>ROUND(N462*'Methodology &amp; Assumptions'!$B$8, 0)</f>
        <v/>
      </c>
      <c r="P462" s="44" t="inlineStr">
        <is>
          <t>Band n50 (1.5 GHz, 60 MHz)</t>
        </is>
      </c>
      <c r="Q462" s="38">
        <f>ROUNDUP(O462/'Methodology &amp; Assumptions'!$B$9, 0)</f>
        <v/>
      </c>
      <c r="R462" s="39" t="n">
        <v>1</v>
      </c>
      <c r="S462" s="25" t="n">
        <v>0.12</v>
      </c>
      <c r="T462" s="25" t="n">
        <v>0.08</v>
      </c>
      <c r="U462" s="42" t="inlineStr">
        <is>
          <t>Tier 1A (Direct Coloc, &lt;1 km)</t>
        </is>
      </c>
      <c r="V462" s="24" t="n">
        <v>100</v>
      </c>
      <c r="W462" s="24" t="n">
        <v>47.5</v>
      </c>
      <c r="X462" s="24" t="n">
        <v>58</v>
      </c>
      <c r="Y462" s="45">
        <f>ROUND((V462*'Methodology &amp; Assumptions'!$B$6)+(W462*'Methodology &amp; Assumptions'!$B$5)+(X462*'Methodology &amp; Assumptions'!$B$7), 2)</f>
        <v/>
      </c>
    </row>
    <row r="463" ht="19" customHeight="1">
      <c r="A463" s="35" t="n">
        <v>459</v>
      </c>
      <c r="B463" s="35" t="n">
        <v>2459</v>
      </c>
      <c r="C463" s="36" t="inlineStr">
        <is>
          <t>0307108015</t>
        </is>
      </c>
      <c r="D463" s="36" t="inlineStr">
        <is>
          <t>Region III (Central Luzon)</t>
        </is>
      </c>
      <c r="E463" s="36" t="inlineStr">
        <is>
          <t>Zambales</t>
        </is>
      </c>
      <c r="F463" s="36" t="inlineStr">
        <is>
          <t>Palauig</t>
        </is>
      </c>
      <c r="G463" s="36" t="inlineStr">
        <is>
          <t>West Poblacion</t>
        </is>
      </c>
      <c r="H463" s="37" t="n">
        <v>15.433909</v>
      </c>
      <c r="I463" s="37" t="n">
        <v>119.905385</v>
      </c>
      <c r="J463" s="8" t="inlineStr">
        <is>
          <t>R</t>
        </is>
      </c>
      <c r="K463" s="36" t="inlineStr">
        <is>
          <t>Class 1-3 / Urban</t>
        </is>
      </c>
      <c r="L463" s="18" t="n">
        <v>1182</v>
      </c>
      <c r="M463" s="20" t="n">
        <v>4.05</v>
      </c>
      <c r="N463" s="18">
        <f>ROUND(L463/M463, 0)</f>
        <v/>
      </c>
      <c r="O463" s="18">
        <f>ROUND(N463*'Methodology &amp; Assumptions'!$B$8, 0)</f>
        <v/>
      </c>
      <c r="P463" s="8" t="inlineStr">
        <is>
          <t>Band n50 (1.5 GHz, 60 MHz)</t>
        </is>
      </c>
      <c r="Q463" s="38">
        <f>ROUNDUP(O463/'Methodology &amp; Assumptions'!$B$9, 0)</f>
        <v/>
      </c>
      <c r="R463" s="39" t="n">
        <v>1</v>
      </c>
      <c r="S463" s="21" t="n">
        <v>0.17</v>
      </c>
      <c r="T463" s="21" t="n">
        <v>0.24</v>
      </c>
      <c r="U463" s="36" t="inlineStr">
        <is>
          <t>Tier 1A (Direct Coloc, &lt;1 km)</t>
        </is>
      </c>
      <c r="V463" s="20" t="n">
        <v>100</v>
      </c>
      <c r="W463" s="20" t="n">
        <v>47.5</v>
      </c>
      <c r="X463" s="20" t="n">
        <v>58</v>
      </c>
      <c r="Y463" s="40">
        <f>ROUND((V463*'Methodology &amp; Assumptions'!$B$6)+(W463*'Methodology &amp; Assumptions'!$B$5)+(X463*'Methodology &amp; Assumptions'!$B$7), 2)</f>
        <v/>
      </c>
    </row>
    <row r="464" ht="19" customHeight="1">
      <c r="A464" s="41" t="n">
        <v>460</v>
      </c>
      <c r="B464" s="41" t="n">
        <v>2460</v>
      </c>
      <c r="C464" s="42" t="inlineStr">
        <is>
          <t>0702214001</t>
        </is>
      </c>
      <c r="D464" s="42" t="inlineStr">
        <is>
          <t>Region VII (Central Visayas)</t>
        </is>
      </c>
      <c r="E464" s="42" t="inlineStr">
        <is>
          <t>Cebu</t>
        </is>
      </c>
      <c r="F464" s="42" t="inlineStr">
        <is>
          <t>City of Carcar</t>
        </is>
      </c>
      <c r="G464" s="42" t="inlineStr">
        <is>
          <t>Bolinawan</t>
        </is>
      </c>
      <c r="H464" s="43" t="n">
        <v>10.089326</v>
      </c>
      <c r="I464" s="43" t="n">
        <v>123.633248</v>
      </c>
      <c r="J464" s="44" t="inlineStr">
        <is>
          <t>U</t>
        </is>
      </c>
      <c r="K464" s="42" t="inlineStr">
        <is>
          <t>Class 1-3 / Urban</t>
        </is>
      </c>
      <c r="L464" s="23" t="n">
        <v>13499</v>
      </c>
      <c r="M464" s="24" t="n">
        <v>4.42</v>
      </c>
      <c r="N464" s="23">
        <f>ROUND(L464/M464, 0)</f>
        <v/>
      </c>
      <c r="O464" s="23">
        <f>ROUND(N464*'Methodology &amp; Assumptions'!$B$8, 0)</f>
        <v/>
      </c>
      <c r="P464" s="44" t="inlineStr">
        <is>
          <t>Band n50 (1.5 GHz, 60 MHz)</t>
        </is>
      </c>
      <c r="Q464" s="38">
        <f>ROUNDUP(O464/'Methodology &amp; Assumptions'!$B$9, 0)</f>
        <v/>
      </c>
      <c r="R464" s="39" t="n">
        <v>1</v>
      </c>
      <c r="S464" s="25" t="n">
        <v>1.38</v>
      </c>
      <c r="T464" s="25" t="n">
        <v>0.37</v>
      </c>
      <c r="U464" s="42" t="inlineStr">
        <is>
          <t>Tier 1B (Micro Drop, 1-3 km)</t>
        </is>
      </c>
      <c r="V464" s="24" t="n">
        <v>73.2</v>
      </c>
      <c r="W464" s="24" t="n">
        <v>100</v>
      </c>
      <c r="X464" s="24" t="n">
        <v>28</v>
      </c>
      <c r="Y464" s="45">
        <f>ROUND((V464*'Methodology &amp; Assumptions'!$B$6)+(W464*'Methodology &amp; Assumptions'!$B$5)+(X464*'Methodology &amp; Assumptions'!$B$7), 2)</f>
        <v/>
      </c>
    </row>
    <row r="465" ht="19" customHeight="1">
      <c r="A465" s="35" t="n">
        <v>461</v>
      </c>
      <c r="B465" s="35" t="n">
        <v>2461</v>
      </c>
      <c r="C465" s="36" t="inlineStr">
        <is>
          <t>0305407031</t>
        </is>
      </c>
      <c r="D465" s="36" t="inlineStr">
        <is>
          <t>Region III (Central Luzon)</t>
        </is>
      </c>
      <c r="E465" s="36" t="inlineStr">
        <is>
          <t>Pampanga</t>
        </is>
      </c>
      <c r="F465" s="36" t="inlineStr">
        <is>
          <t>Guagua</t>
        </is>
      </c>
      <c r="G465" s="36" t="inlineStr">
        <is>
          <t>Santo Cristo</t>
        </is>
      </c>
      <c r="H465" s="37" t="n">
        <v>14.96505</v>
      </c>
      <c r="I465" s="37" t="n">
        <v>120.6312</v>
      </c>
      <c r="J465" s="8" t="inlineStr">
        <is>
          <t>U</t>
        </is>
      </c>
      <c r="K465" s="36" t="inlineStr">
        <is>
          <t>Class 1-3 / Urban</t>
        </is>
      </c>
      <c r="L465" s="18" t="n">
        <v>3767</v>
      </c>
      <c r="M465" s="20" t="n">
        <v>4.63</v>
      </c>
      <c r="N465" s="18">
        <f>ROUND(L465/M465, 0)</f>
        <v/>
      </c>
      <c r="O465" s="18">
        <f>ROUND(N465*'Methodology &amp; Assumptions'!$B$8, 0)</f>
        <v/>
      </c>
      <c r="P465" s="8" t="inlineStr">
        <is>
          <t>Band n50 (1.5 GHz, 60 MHz)</t>
        </is>
      </c>
      <c r="Q465" s="38">
        <f>ROUNDUP(O465/'Methodology &amp; Assumptions'!$B$9, 0)</f>
        <v/>
      </c>
      <c r="R465" s="39" t="n">
        <v>1</v>
      </c>
      <c r="S465" s="21" t="n">
        <v>0.9</v>
      </c>
      <c r="T465" s="21" t="n">
        <v>0.01</v>
      </c>
      <c r="U465" s="36" t="inlineStr">
        <is>
          <t>Tier 1A (Direct Coloc, &lt;1 km)</t>
        </is>
      </c>
      <c r="V465" s="20" t="n">
        <v>84.09999999999999</v>
      </c>
      <c r="W465" s="20" t="n">
        <v>89.09999999999999</v>
      </c>
      <c r="X465" s="20" t="n">
        <v>28</v>
      </c>
      <c r="Y465" s="40">
        <f>ROUND((V465*'Methodology &amp; Assumptions'!$B$6)+(W465*'Methodology &amp; Assumptions'!$B$5)+(X465*'Methodology &amp; Assumptions'!$B$7), 2)</f>
        <v/>
      </c>
    </row>
    <row r="466" ht="19" customHeight="1">
      <c r="A466" s="41" t="n">
        <v>462</v>
      </c>
      <c r="B466" s="41" t="n">
        <v>2462</v>
      </c>
      <c r="C466" s="42" t="inlineStr">
        <is>
          <t>0405629009</t>
        </is>
      </c>
      <c r="D466" s="42" t="inlineStr">
        <is>
          <t>Region IV-A (CALABARZON)</t>
        </is>
      </c>
      <c r="E466" s="42" t="inlineStr">
        <is>
          <t>Quezon</t>
        </is>
      </c>
      <c r="F466" s="42" t="inlineStr">
        <is>
          <t>Padre Burgos</t>
        </is>
      </c>
      <c r="G466" s="42" t="inlineStr">
        <is>
          <t>Marao</t>
        </is>
      </c>
      <c r="H466" s="43" t="n">
        <v>13.903491</v>
      </c>
      <c r="I466" s="43" t="n">
        <v>121.825852</v>
      </c>
      <c r="J466" s="44" t="inlineStr">
        <is>
          <t>R</t>
        </is>
      </c>
      <c r="K466" s="42" t="inlineStr">
        <is>
          <t>4th</t>
        </is>
      </c>
      <c r="L466" s="23" t="n">
        <v>2595</v>
      </c>
      <c r="M466" s="24" t="n">
        <v>4.33</v>
      </c>
      <c r="N466" s="23">
        <f>ROUND(L466/M466, 0)</f>
        <v/>
      </c>
      <c r="O466" s="23">
        <f>ROUND(N466*'Methodology &amp; Assumptions'!$B$8, 0)</f>
        <v/>
      </c>
      <c r="P466" s="44" t="inlineStr">
        <is>
          <t>Band n50 (1.5 GHz, 60 MHz)</t>
        </is>
      </c>
      <c r="Q466" s="38">
        <f>ROUNDUP(O466/'Methodology &amp; Assumptions'!$B$9, 0)</f>
        <v/>
      </c>
      <c r="R466" s="39" t="n">
        <v>1</v>
      </c>
      <c r="S466" s="25" t="n">
        <v>1.72</v>
      </c>
      <c r="T466" s="25" t="n">
        <v>0.04</v>
      </c>
      <c r="U466" s="42" t="inlineStr">
        <is>
          <t>Tier 1B (Micro Drop, 1-3 km)</t>
        </is>
      </c>
      <c r="V466" s="24" t="n">
        <v>66.40000000000001</v>
      </c>
      <c r="W466" s="24" t="n">
        <v>72</v>
      </c>
      <c r="X466" s="24" t="n">
        <v>68.5</v>
      </c>
      <c r="Y466" s="45">
        <f>ROUND((V466*'Methodology &amp; Assumptions'!$B$6)+(W466*'Methodology &amp; Assumptions'!$B$5)+(X466*'Methodology &amp; Assumptions'!$B$7), 2)</f>
        <v/>
      </c>
    </row>
    <row r="467" ht="19" customHeight="1">
      <c r="A467" s="35" t="n">
        <v>463</v>
      </c>
      <c r="B467" s="35" t="n">
        <v>2463</v>
      </c>
      <c r="C467" s="36" t="inlineStr">
        <is>
          <t>0304912007</t>
        </is>
      </c>
      <c r="D467" s="36" t="inlineStr">
        <is>
          <t>Region III (Central Luzon)</t>
        </is>
      </c>
      <c r="E467" s="36" t="inlineStr">
        <is>
          <t>Nueva Ecija</t>
        </is>
      </c>
      <c r="F467" s="36" t="inlineStr">
        <is>
          <t>Jaen</t>
        </is>
      </c>
      <c r="G467" s="36" t="inlineStr">
        <is>
          <t>Langla</t>
        </is>
      </c>
      <c r="H467" s="37" t="n">
        <v>15.326111</v>
      </c>
      <c r="I467" s="37" t="n">
        <v>120.919246</v>
      </c>
      <c r="J467" s="8" t="inlineStr">
        <is>
          <t>R</t>
        </is>
      </c>
      <c r="K467" s="36" t="inlineStr">
        <is>
          <t>Class 1-3 / Urban</t>
        </is>
      </c>
      <c r="L467" s="18" t="n">
        <v>3290</v>
      </c>
      <c r="M467" s="20" t="n">
        <v>4.32</v>
      </c>
      <c r="N467" s="18">
        <f>ROUND(L467/M467, 0)</f>
        <v/>
      </c>
      <c r="O467" s="18">
        <f>ROUND(N467*'Methodology &amp; Assumptions'!$B$8, 0)</f>
        <v/>
      </c>
      <c r="P467" s="8" t="inlineStr">
        <is>
          <t>Band n50 (1.5 GHz, 60 MHz)</t>
        </is>
      </c>
      <c r="Q467" s="38">
        <f>ROUNDUP(O467/'Methodology &amp; Assumptions'!$B$9, 0)</f>
        <v/>
      </c>
      <c r="R467" s="39" t="n">
        <v>1</v>
      </c>
      <c r="S467" s="21" t="n">
        <v>1.94</v>
      </c>
      <c r="T467" s="21" t="n">
        <v>1.96</v>
      </c>
      <c r="U467" s="36" t="inlineStr">
        <is>
          <t>Tier 1B (Micro Drop, 1-3 km)</t>
        </is>
      </c>
      <c r="V467" s="20" t="n">
        <v>62.3</v>
      </c>
      <c r="W467" s="20" t="n">
        <v>85.09999999999999</v>
      </c>
      <c r="X467" s="20" t="n">
        <v>58</v>
      </c>
      <c r="Y467" s="40">
        <f>ROUND((V467*'Methodology &amp; Assumptions'!$B$6)+(W467*'Methodology &amp; Assumptions'!$B$5)+(X467*'Methodology &amp; Assumptions'!$B$7), 2)</f>
        <v/>
      </c>
    </row>
    <row r="468" ht="19" customHeight="1">
      <c r="A468" s="41" t="n">
        <v>464</v>
      </c>
      <c r="B468" s="41" t="n">
        <v>2464</v>
      </c>
      <c r="C468" s="42" t="inlineStr">
        <is>
          <t>0600411018</t>
        </is>
      </c>
      <c r="D468" s="42" t="inlineStr">
        <is>
          <t>Region VI (Western Visayas)</t>
        </is>
      </c>
      <c r="E468" s="42" t="inlineStr">
        <is>
          <t>Aklan</t>
        </is>
      </c>
      <c r="F468" s="42" t="inlineStr">
        <is>
          <t>Makato</t>
        </is>
      </c>
      <c r="G468" s="42" t="inlineStr">
        <is>
          <t>Tugas</t>
        </is>
      </c>
      <c r="H468" s="43" t="n">
        <v>11.724826</v>
      </c>
      <c r="I468" s="43" t="n">
        <v>122.290574</v>
      </c>
      <c r="J468" s="44" t="inlineStr">
        <is>
          <t>R</t>
        </is>
      </c>
      <c r="K468" s="42" t="inlineStr">
        <is>
          <t>3rd</t>
        </is>
      </c>
      <c r="L468" s="23" t="n">
        <v>2195</v>
      </c>
      <c r="M468" s="24" t="n">
        <v>4.14</v>
      </c>
      <c r="N468" s="23">
        <f>ROUND(L468/M468, 0)</f>
        <v/>
      </c>
      <c r="O468" s="23">
        <f>ROUND(N468*'Methodology &amp; Assumptions'!$B$8, 0)</f>
        <v/>
      </c>
      <c r="P468" s="44" t="inlineStr">
        <is>
          <t>Band n50 (1.5 GHz, 60 MHz)</t>
        </is>
      </c>
      <c r="Q468" s="38">
        <f>ROUNDUP(O468/'Methodology &amp; Assumptions'!$B$9, 0)</f>
        <v/>
      </c>
      <c r="R468" s="39" t="n">
        <v>1</v>
      </c>
      <c r="S468" s="25" t="n">
        <v>1.03</v>
      </c>
      <c r="T468" s="25" t="n">
        <v>1.59</v>
      </c>
      <c r="U468" s="42" t="inlineStr">
        <is>
          <t>Tier 1B (Micro Drop, 1-3 km)</t>
        </is>
      </c>
      <c r="V468" s="24" t="n">
        <v>81</v>
      </c>
      <c r="W468" s="24" t="n">
        <v>66.40000000000001</v>
      </c>
      <c r="X468" s="24" t="n">
        <v>58</v>
      </c>
      <c r="Y468" s="45">
        <f>ROUND((V468*'Methodology &amp; Assumptions'!$B$6)+(W468*'Methodology &amp; Assumptions'!$B$5)+(X468*'Methodology &amp; Assumptions'!$B$7), 2)</f>
        <v/>
      </c>
    </row>
    <row r="469" ht="19" customHeight="1">
      <c r="A469" s="35" t="n">
        <v>465</v>
      </c>
      <c r="B469" s="35" t="n">
        <v>2465</v>
      </c>
      <c r="C469" s="36" t="inlineStr">
        <is>
          <t>0630200022</t>
        </is>
      </c>
      <c r="D469" s="36" t="inlineStr">
        <is>
          <t>Region VI (Western Visayas)</t>
        </is>
      </c>
      <c r="E469" s="36" t="inlineStr">
        <is>
          <t>Negros Occidental</t>
        </is>
      </c>
      <c r="F469" s="36" t="inlineStr">
        <is>
          <t>City of Bacolod</t>
        </is>
      </c>
      <c r="G469" s="36" t="inlineStr">
        <is>
          <t>Barangay 26</t>
        </is>
      </c>
      <c r="H469" s="37" t="n">
        <v>10.665211</v>
      </c>
      <c r="I469" s="37" t="n">
        <v>122.955638</v>
      </c>
      <c r="J469" s="8" t="inlineStr">
        <is>
          <t>R</t>
        </is>
      </c>
      <c r="K469" s="36" t="inlineStr">
        <is>
          <t>Class 1-3 / Urban</t>
        </is>
      </c>
      <c r="L469" s="18" t="n">
        <v>1411</v>
      </c>
      <c r="M469" s="20" t="n">
        <v>4.33</v>
      </c>
      <c r="N469" s="18">
        <f>ROUND(L469/M469, 0)</f>
        <v/>
      </c>
      <c r="O469" s="18">
        <f>ROUND(N469*'Methodology &amp; Assumptions'!$B$8, 0)</f>
        <v/>
      </c>
      <c r="P469" s="8" t="inlineStr">
        <is>
          <t>Band n50 (1.5 GHz, 60 MHz)</t>
        </is>
      </c>
      <c r="Q469" s="38">
        <f>ROUNDUP(O469/'Methodology &amp; Assumptions'!$B$9, 0)</f>
        <v/>
      </c>
      <c r="R469" s="39" t="n">
        <v>1</v>
      </c>
      <c r="S469" s="21" t="n">
        <v>0.41</v>
      </c>
      <c r="T469" s="21" t="n">
        <v>0.73</v>
      </c>
      <c r="U469" s="36" t="inlineStr">
        <is>
          <t>Tier 1A (Direct Coloc, &lt;1 km)</t>
        </is>
      </c>
      <c r="V469" s="20" t="n">
        <v>97.3</v>
      </c>
      <c r="W469" s="20" t="n">
        <v>50.1</v>
      </c>
      <c r="X469" s="20" t="n">
        <v>58</v>
      </c>
      <c r="Y469" s="40">
        <f>ROUND((V469*'Methodology &amp; Assumptions'!$B$6)+(W469*'Methodology &amp; Assumptions'!$B$5)+(X469*'Methodology &amp; Assumptions'!$B$7), 2)</f>
        <v/>
      </c>
    </row>
    <row r="470" ht="19" customHeight="1">
      <c r="A470" s="41" t="n">
        <v>466</v>
      </c>
      <c r="B470" s="41" t="n">
        <v>2466</v>
      </c>
      <c r="C470" s="42" t="inlineStr">
        <is>
          <t>0501715008</t>
        </is>
      </c>
      <c r="D470" s="42" t="inlineStr">
        <is>
          <t>Region V (Bicol Region)</t>
        </is>
      </c>
      <c r="E470" s="42" t="inlineStr">
        <is>
          <t>Camarines Sur</t>
        </is>
      </c>
      <c r="F470" s="42" t="inlineStr">
        <is>
          <t>Goa</t>
        </is>
      </c>
      <c r="G470" s="42" t="inlineStr">
        <is>
          <t>Catagbacan</t>
        </is>
      </c>
      <c r="H470" s="43" t="n">
        <v>13.672634</v>
      </c>
      <c r="I470" s="43" t="n">
        <v>123.500007</v>
      </c>
      <c r="J470" s="44" t="inlineStr">
        <is>
          <t>R</t>
        </is>
      </c>
      <c r="K470" s="42" t="inlineStr">
        <is>
          <t>Class 1-3 / Urban</t>
        </is>
      </c>
      <c r="L470" s="23" t="n">
        <v>4551</v>
      </c>
      <c r="M470" s="24" t="n">
        <v>4.9</v>
      </c>
      <c r="N470" s="23">
        <f>ROUND(L470/M470, 0)</f>
        <v/>
      </c>
      <c r="O470" s="23">
        <f>ROUND(N470*'Methodology &amp; Assumptions'!$B$8, 0)</f>
        <v/>
      </c>
      <c r="P470" s="44" t="inlineStr">
        <is>
          <t>Band n50 (1.5 GHz, 60 MHz)</t>
        </is>
      </c>
      <c r="Q470" s="38">
        <f>ROUNDUP(O470/'Methodology &amp; Assumptions'!$B$9, 0)</f>
        <v/>
      </c>
      <c r="R470" s="39" t="n">
        <v>1</v>
      </c>
      <c r="S470" s="25" t="n">
        <v>2.83</v>
      </c>
      <c r="T470" s="25" t="n">
        <v>0.31</v>
      </c>
      <c r="U470" s="42" t="inlineStr">
        <is>
          <t>Tier 1B (Micro Drop, 1-3 km)</t>
        </is>
      </c>
      <c r="V470" s="24" t="n">
        <v>49</v>
      </c>
      <c r="W470" s="24" t="n">
        <v>98.40000000000001</v>
      </c>
      <c r="X470" s="24" t="n">
        <v>58</v>
      </c>
      <c r="Y470" s="45">
        <f>ROUND((V470*'Methodology &amp; Assumptions'!$B$6)+(W470*'Methodology &amp; Assumptions'!$B$5)+(X470*'Methodology &amp; Assumptions'!$B$7), 2)</f>
        <v/>
      </c>
    </row>
    <row r="471" ht="19" customHeight="1">
      <c r="A471" s="35" t="n">
        <v>467</v>
      </c>
      <c r="B471" s="35" t="n">
        <v>2467</v>
      </c>
      <c r="C471" s="36" t="inlineStr">
        <is>
          <t>0301403021</t>
        </is>
      </c>
      <c r="D471" s="36" t="inlineStr">
        <is>
          <t>Region III (Central Luzon)</t>
        </is>
      </c>
      <c r="E471" s="36" t="inlineStr">
        <is>
          <t>Bulacan</t>
        </is>
      </c>
      <c r="F471" s="36" t="inlineStr">
        <is>
          <t>Baliuag</t>
        </is>
      </c>
      <c r="G471" s="36" t="inlineStr">
        <is>
          <t>Santo Niño</t>
        </is>
      </c>
      <c r="H471" s="37" t="n">
        <v>14.869623</v>
      </c>
      <c r="I471" s="37" t="n">
        <v>120.937686</v>
      </c>
      <c r="J471" s="8" t="inlineStr">
        <is>
          <t>R</t>
        </is>
      </c>
      <c r="K471" s="36" t="inlineStr">
        <is>
          <t>Class 1-3 / Urban</t>
        </is>
      </c>
      <c r="L471" s="18" t="n">
        <v>4324</v>
      </c>
      <c r="M471" s="20" t="n">
        <v>4.1</v>
      </c>
      <c r="N471" s="18">
        <f>ROUND(L471/M471, 0)</f>
        <v/>
      </c>
      <c r="O471" s="18">
        <f>ROUND(N471*'Methodology &amp; Assumptions'!$B$8, 0)</f>
        <v/>
      </c>
      <c r="P471" s="8" t="inlineStr">
        <is>
          <t>Band n50 (1.5 GHz, 60 MHz)</t>
        </is>
      </c>
      <c r="Q471" s="38">
        <f>ROUNDUP(O471/'Methodology &amp; Assumptions'!$B$9, 0)</f>
        <v/>
      </c>
      <c r="R471" s="39" t="n">
        <v>1</v>
      </c>
      <c r="S471" s="21" t="n">
        <v>2.24</v>
      </c>
      <c r="T471" s="21" t="n">
        <v>2.08</v>
      </c>
      <c r="U471" s="36" t="inlineStr">
        <is>
          <t>Tier 1B (Micro Drop, 1-3 km)</t>
        </is>
      </c>
      <c r="V471" s="20" t="n">
        <v>47.3</v>
      </c>
      <c r="W471" s="20" t="n">
        <v>100</v>
      </c>
      <c r="X471" s="20" t="n">
        <v>58</v>
      </c>
      <c r="Y471" s="40">
        <f>ROUND((V471*'Methodology &amp; Assumptions'!$B$6)+(W471*'Methodology &amp; Assumptions'!$B$5)+(X471*'Methodology &amp; Assumptions'!$B$7), 2)</f>
        <v/>
      </c>
    </row>
    <row r="472" ht="19" customHeight="1">
      <c r="A472" s="41" t="n">
        <v>468</v>
      </c>
      <c r="B472" s="41" t="n">
        <v>2468</v>
      </c>
      <c r="C472" s="42" t="inlineStr">
        <is>
          <t>0702250003</t>
        </is>
      </c>
      <c r="D472" s="42" t="inlineStr">
        <is>
          <t>Region VII (Central Visayas)</t>
        </is>
      </c>
      <c r="E472" s="42" t="inlineStr">
        <is>
          <t>Cebu</t>
        </is>
      </c>
      <c r="F472" s="42" t="inlineStr">
        <is>
          <t>City of Talisay</t>
        </is>
      </c>
      <c r="G472" s="42" t="inlineStr">
        <is>
          <t>Cansojong</t>
        </is>
      </c>
      <c r="H472" s="43" t="n">
        <v>10.249777</v>
      </c>
      <c r="I472" s="43" t="n">
        <v>123.854496</v>
      </c>
      <c r="J472" s="44" t="inlineStr">
        <is>
          <t>U</t>
        </is>
      </c>
      <c r="K472" s="42" t="inlineStr">
        <is>
          <t>Class 1-3 / Urban</t>
        </is>
      </c>
      <c r="L472" s="23" t="n">
        <v>17364</v>
      </c>
      <c r="M472" s="24" t="n">
        <v>4.42</v>
      </c>
      <c r="N472" s="23">
        <f>ROUND(L472/M472, 0)</f>
        <v/>
      </c>
      <c r="O472" s="23">
        <f>ROUND(N472*'Methodology &amp; Assumptions'!$B$8, 0)</f>
        <v/>
      </c>
      <c r="P472" s="44" t="inlineStr">
        <is>
          <t>Band n50 (1.5 GHz, 60 MHz)</t>
        </is>
      </c>
      <c r="Q472" s="38">
        <f>ROUNDUP(O472/'Methodology &amp; Assumptions'!$B$9, 0)</f>
        <v/>
      </c>
      <c r="R472" s="39" t="n">
        <v>1</v>
      </c>
      <c r="S472" s="25" t="n">
        <v>1.38</v>
      </c>
      <c r="T472" s="25" t="n">
        <v>0.12</v>
      </c>
      <c r="U472" s="42" t="inlineStr">
        <is>
          <t>Tier 1B (Micro Drop, 1-3 km)</t>
        </is>
      </c>
      <c r="V472" s="24" t="n">
        <v>73.09999999999999</v>
      </c>
      <c r="W472" s="24" t="n">
        <v>100</v>
      </c>
      <c r="X472" s="24" t="n">
        <v>28</v>
      </c>
      <c r="Y472" s="45">
        <f>ROUND((V472*'Methodology &amp; Assumptions'!$B$6)+(W472*'Methodology &amp; Assumptions'!$B$5)+(X472*'Methodology &amp; Assumptions'!$B$7), 2)</f>
        <v/>
      </c>
    </row>
    <row r="473" ht="19" customHeight="1">
      <c r="A473" s="35" t="n">
        <v>469</v>
      </c>
      <c r="B473" s="35" t="n">
        <v>2469</v>
      </c>
      <c r="C473" s="36" t="inlineStr">
        <is>
          <t>0600613023</t>
        </is>
      </c>
      <c r="D473" s="36" t="inlineStr">
        <is>
          <t>Region VI (Western Visayas)</t>
        </is>
      </c>
      <c r="E473" s="36" t="inlineStr">
        <is>
          <t>Antique</t>
        </is>
      </c>
      <c r="F473" s="36" t="inlineStr">
        <is>
          <t>San Jose</t>
        </is>
      </c>
      <c r="G473" s="36" t="inlineStr">
        <is>
          <t>Maybato Norte</t>
        </is>
      </c>
      <c r="H473" s="37" t="n">
        <v>10.728525</v>
      </c>
      <c r="I473" s="37" t="n">
        <v>121.955714</v>
      </c>
      <c r="J473" s="8" t="inlineStr">
        <is>
          <t>R</t>
        </is>
      </c>
      <c r="K473" s="36" t="inlineStr">
        <is>
          <t>Class 1-3 / Urban</t>
        </is>
      </c>
      <c r="L473" s="18" t="n">
        <v>4554</v>
      </c>
      <c r="M473" s="20" t="n">
        <v>4.43</v>
      </c>
      <c r="N473" s="18">
        <f>ROUND(L473/M473, 0)</f>
        <v/>
      </c>
      <c r="O473" s="18">
        <f>ROUND(N473*'Methodology &amp; Assumptions'!$B$8, 0)</f>
        <v/>
      </c>
      <c r="P473" s="8" t="inlineStr">
        <is>
          <t>Band n50 (1.5 GHz, 60 MHz)</t>
        </is>
      </c>
      <c r="Q473" s="38">
        <f>ROUNDUP(O473/'Methodology &amp; Assumptions'!$B$9, 0)</f>
        <v/>
      </c>
      <c r="R473" s="39" t="n">
        <v>1</v>
      </c>
      <c r="S473" s="21" t="n">
        <v>4.23</v>
      </c>
      <c r="T473" s="21" t="n">
        <v>0.12</v>
      </c>
      <c r="U473" s="36" t="inlineStr">
        <is>
          <t>Tier 2 (Fiber Corridor / Lateral, 3-5 km)</t>
        </is>
      </c>
      <c r="V473" s="20" t="n">
        <v>34.4</v>
      </c>
      <c r="W473" s="20" t="n">
        <v>100</v>
      </c>
      <c r="X473" s="20" t="n">
        <v>73</v>
      </c>
      <c r="Y473" s="40">
        <f>ROUND((V473*'Methodology &amp; Assumptions'!$B$6)+(W473*'Methodology &amp; Assumptions'!$B$5)+(X473*'Methodology &amp; Assumptions'!$B$7), 2)</f>
        <v/>
      </c>
    </row>
    <row r="474" ht="19" customHeight="1">
      <c r="A474" s="41" t="n">
        <v>470</v>
      </c>
      <c r="B474" s="41" t="n">
        <v>2470</v>
      </c>
      <c r="C474" s="42" t="inlineStr">
        <is>
          <t>0731300020</t>
        </is>
      </c>
      <c r="D474" s="42" t="inlineStr">
        <is>
          <t>Region VII (Central Visayas)</t>
        </is>
      </c>
      <c r="E474" s="42" t="inlineStr">
        <is>
          <t>Cebu</t>
        </is>
      </c>
      <c r="F474" s="42" t="inlineStr">
        <is>
          <t>City of Mandaue</t>
        </is>
      </c>
      <c r="G474" s="42" t="inlineStr">
        <is>
          <t>Pakna-an</t>
        </is>
      </c>
      <c r="H474" s="43" t="n">
        <v>10.346293</v>
      </c>
      <c r="I474" s="43" t="n">
        <v>123.96018</v>
      </c>
      <c r="J474" s="44" t="inlineStr">
        <is>
          <t>U</t>
        </is>
      </c>
      <c r="K474" s="42" t="inlineStr">
        <is>
          <t>Class 1-3 / Urban</t>
        </is>
      </c>
      <c r="L474" s="23" t="n">
        <v>30532</v>
      </c>
      <c r="M474" s="24" t="n">
        <v>4.42</v>
      </c>
      <c r="N474" s="23">
        <f>ROUND(L474/M474, 0)</f>
        <v/>
      </c>
      <c r="O474" s="23">
        <f>ROUND(N474*'Methodology &amp; Assumptions'!$B$8, 0)</f>
        <v/>
      </c>
      <c r="P474" s="44" t="inlineStr">
        <is>
          <t>Band n50 (1.5 GHz, 60 MHz)</t>
        </is>
      </c>
      <c r="Q474" s="38">
        <f>ROUNDUP(O474/'Methodology &amp; Assumptions'!$B$9, 0)</f>
        <v/>
      </c>
      <c r="R474" s="39" t="n">
        <v>1</v>
      </c>
      <c r="S474" s="25" t="n">
        <v>1.37</v>
      </c>
      <c r="T474" s="25" t="n">
        <v>1.28</v>
      </c>
      <c r="U474" s="42" t="inlineStr">
        <is>
          <t>Tier 1B (Micro Drop, 1-3 km)</t>
        </is>
      </c>
      <c r="V474" s="24" t="n">
        <v>73.40000000000001</v>
      </c>
      <c r="W474" s="24" t="n">
        <v>99.59999999999999</v>
      </c>
      <c r="X474" s="24" t="n">
        <v>28</v>
      </c>
      <c r="Y474" s="45">
        <f>ROUND((V474*'Methodology &amp; Assumptions'!$B$6)+(W474*'Methodology &amp; Assumptions'!$B$5)+(X474*'Methodology &amp; Assumptions'!$B$7), 2)</f>
        <v/>
      </c>
    </row>
    <row r="475" ht="19" customHeight="1">
      <c r="A475" s="35" t="n">
        <v>471</v>
      </c>
      <c r="B475" s="35" t="n">
        <v>2471</v>
      </c>
      <c r="C475" s="36" t="inlineStr">
        <is>
          <t>0702227004</t>
        </is>
      </c>
      <c r="D475" s="36" t="inlineStr">
        <is>
          <t>Region VII (Central Visayas)</t>
        </is>
      </c>
      <c r="E475" s="36" t="inlineStr">
        <is>
          <t>Cebu</t>
        </is>
      </c>
      <c r="F475" s="36" t="inlineStr">
        <is>
          <t>Liloan</t>
        </is>
      </c>
      <c r="G475" s="36" t="inlineStr">
        <is>
          <t>Cotcot</t>
        </is>
      </c>
      <c r="H475" s="37" t="n">
        <v>10.42782</v>
      </c>
      <c r="I475" s="37" t="n">
        <v>124.00167</v>
      </c>
      <c r="J475" s="8" t="inlineStr">
        <is>
          <t>U</t>
        </is>
      </c>
      <c r="K475" s="36" t="inlineStr">
        <is>
          <t>Class 1-3 / Urban</t>
        </is>
      </c>
      <c r="L475" s="18" t="n">
        <v>10598</v>
      </c>
      <c r="M475" s="20" t="n">
        <v>4.42</v>
      </c>
      <c r="N475" s="18">
        <f>ROUND(L475/M475, 0)</f>
        <v/>
      </c>
      <c r="O475" s="18">
        <f>ROUND(N475*'Methodology &amp; Assumptions'!$B$8, 0)</f>
        <v/>
      </c>
      <c r="P475" s="8" t="inlineStr">
        <is>
          <t>Band n50 (1.5 GHz, 60 MHz)</t>
        </is>
      </c>
      <c r="Q475" s="38">
        <f>ROUNDUP(O475/'Methodology &amp; Assumptions'!$B$9, 0)</f>
        <v/>
      </c>
      <c r="R475" s="39" t="n">
        <v>1</v>
      </c>
      <c r="S475" s="21" t="n">
        <v>1.38</v>
      </c>
      <c r="T475" s="21" t="n">
        <v>0.06</v>
      </c>
      <c r="U475" s="36" t="inlineStr">
        <is>
          <t>Tier 1B (Micro Drop, 1-3 km)</t>
        </is>
      </c>
      <c r="V475" s="20" t="n">
        <v>73</v>
      </c>
      <c r="W475" s="20" t="n">
        <v>100</v>
      </c>
      <c r="X475" s="20" t="n">
        <v>28</v>
      </c>
      <c r="Y475" s="40">
        <f>ROUND((V475*'Methodology &amp; Assumptions'!$B$6)+(W475*'Methodology &amp; Assumptions'!$B$5)+(X475*'Methodology &amp; Assumptions'!$B$7), 2)</f>
        <v/>
      </c>
    </row>
    <row r="476" ht="19" customHeight="1">
      <c r="A476" s="41" t="n">
        <v>472</v>
      </c>
      <c r="B476" s="41" t="n">
        <v>2472</v>
      </c>
      <c r="C476" s="42" t="inlineStr">
        <is>
          <t>0631000010</t>
        </is>
      </c>
      <c r="D476" s="42" t="inlineStr">
        <is>
          <t>Region VI (Western Visayas)</t>
        </is>
      </c>
      <c r="E476" s="42" t="inlineStr">
        <is>
          <t>Iloilo</t>
        </is>
      </c>
      <c r="F476" s="42" t="inlineStr">
        <is>
          <t>City of Iloilo</t>
        </is>
      </c>
      <c r="G476" s="42" t="inlineStr">
        <is>
          <t>Balabago</t>
        </is>
      </c>
      <c r="H476" s="43" t="n">
        <v>10.738217</v>
      </c>
      <c r="I476" s="43" t="n">
        <v>122.577094</v>
      </c>
      <c r="J476" s="44" t="inlineStr">
        <is>
          <t>U</t>
        </is>
      </c>
      <c r="K476" s="42" t="inlineStr">
        <is>
          <t>Class 1-3 / Urban</t>
        </is>
      </c>
      <c r="L476" s="23" t="n">
        <v>10023</v>
      </c>
      <c r="M476" s="24" t="n">
        <v>4.39</v>
      </c>
      <c r="N476" s="23">
        <f>ROUND(L476/M476, 0)</f>
        <v/>
      </c>
      <c r="O476" s="23">
        <f>ROUND(N476*'Methodology &amp; Assumptions'!$B$8, 0)</f>
        <v/>
      </c>
      <c r="P476" s="44" t="inlineStr">
        <is>
          <t>Band n50 (1.5 GHz, 60 MHz)</t>
        </is>
      </c>
      <c r="Q476" s="38">
        <f>ROUNDUP(O476/'Methodology &amp; Assumptions'!$B$9, 0)</f>
        <v/>
      </c>
      <c r="R476" s="39" t="n">
        <v>1</v>
      </c>
      <c r="S476" s="25" t="n">
        <v>1.38</v>
      </c>
      <c r="T476" s="25" t="n">
        <v>1.37</v>
      </c>
      <c r="U476" s="42" t="inlineStr">
        <is>
          <t>Tier 1B (Micro Drop, 1-3 km)</t>
        </is>
      </c>
      <c r="V476" s="24" t="n">
        <v>73</v>
      </c>
      <c r="W476" s="24" t="n">
        <v>100</v>
      </c>
      <c r="X476" s="24" t="n">
        <v>28</v>
      </c>
      <c r="Y476" s="45">
        <f>ROUND((V476*'Methodology &amp; Assumptions'!$B$6)+(W476*'Methodology &amp; Assumptions'!$B$5)+(X476*'Methodology &amp; Assumptions'!$B$7), 2)</f>
        <v/>
      </c>
    </row>
    <row r="477" ht="19" customHeight="1">
      <c r="A477" s="35" t="n">
        <v>473</v>
      </c>
      <c r="B477" s="35" t="n">
        <v>2473</v>
      </c>
      <c r="C477" s="36" t="inlineStr">
        <is>
          <t>0631000012</t>
        </is>
      </c>
      <c r="D477" s="36" t="inlineStr">
        <is>
          <t>Region VI (Western Visayas)</t>
        </is>
      </c>
      <c r="E477" s="36" t="inlineStr">
        <is>
          <t>Iloilo</t>
        </is>
      </c>
      <c r="F477" s="36" t="inlineStr">
        <is>
          <t>City of Iloilo</t>
        </is>
      </c>
      <c r="G477" s="36" t="inlineStr">
        <is>
          <t>Baldoza</t>
        </is>
      </c>
      <c r="H477" s="37" t="n">
        <v>10.713715</v>
      </c>
      <c r="I477" s="37" t="n">
        <v>122.580629</v>
      </c>
      <c r="J477" s="8" t="inlineStr">
        <is>
          <t>U</t>
        </is>
      </c>
      <c r="K477" s="36" t="inlineStr">
        <is>
          <t>Class 1-3 / Urban</t>
        </is>
      </c>
      <c r="L477" s="18" t="n">
        <v>6149</v>
      </c>
      <c r="M477" s="20" t="n">
        <v>4.39</v>
      </c>
      <c r="N477" s="18">
        <f>ROUND(L477/M477, 0)</f>
        <v/>
      </c>
      <c r="O477" s="18">
        <f>ROUND(N477*'Methodology &amp; Assumptions'!$B$8, 0)</f>
        <v/>
      </c>
      <c r="P477" s="8" t="inlineStr">
        <is>
          <t>Band n50 (1.5 GHz, 60 MHz)</t>
        </is>
      </c>
      <c r="Q477" s="38">
        <f>ROUNDUP(O477/'Methodology &amp; Assumptions'!$B$9, 0)</f>
        <v/>
      </c>
      <c r="R477" s="39" t="n">
        <v>1</v>
      </c>
      <c r="S477" s="21" t="n">
        <v>1.38</v>
      </c>
      <c r="T477" s="21" t="n">
        <v>1.61</v>
      </c>
      <c r="U477" s="36" t="inlineStr">
        <is>
          <t>Tier 1B (Micro Drop, 1-3 km)</t>
        </is>
      </c>
      <c r="V477" s="20" t="n">
        <v>73</v>
      </c>
      <c r="W477" s="20" t="n">
        <v>100</v>
      </c>
      <c r="X477" s="20" t="n">
        <v>28</v>
      </c>
      <c r="Y477" s="40">
        <f>ROUND((V477*'Methodology &amp; Assumptions'!$B$6)+(W477*'Methodology &amp; Assumptions'!$B$5)+(X477*'Methodology &amp; Assumptions'!$B$7), 2)</f>
        <v/>
      </c>
    </row>
    <row r="478" ht="19" customHeight="1">
      <c r="A478" s="41" t="n">
        <v>474</v>
      </c>
      <c r="B478" s="41" t="n">
        <v>2474</v>
      </c>
      <c r="C478" s="42" t="inlineStr">
        <is>
          <t>0304924006</t>
        </is>
      </c>
      <c r="D478" s="42" t="inlineStr">
        <is>
          <t>Region III (Central Luzon)</t>
        </is>
      </c>
      <c r="E478" s="42" t="inlineStr">
        <is>
          <t>Nueva Ecija</t>
        </is>
      </c>
      <c r="F478" s="42" t="inlineStr">
        <is>
          <t>San Antonio</t>
        </is>
      </c>
      <c r="G478" s="42" t="inlineStr">
        <is>
          <t>Maugat</t>
        </is>
      </c>
      <c r="H478" s="43" t="n">
        <v>15.316373</v>
      </c>
      <c r="I478" s="43" t="n">
        <v>120.856872</v>
      </c>
      <c r="J478" s="44" t="inlineStr">
        <is>
          <t>U</t>
        </is>
      </c>
      <c r="K478" s="42" t="inlineStr">
        <is>
          <t>Class 1-3 / Urban</t>
        </is>
      </c>
      <c r="L478" s="23" t="n">
        <v>5383</v>
      </c>
      <c r="M478" s="24" t="n">
        <v>4.32</v>
      </c>
      <c r="N478" s="23">
        <f>ROUND(L478/M478, 0)</f>
        <v/>
      </c>
      <c r="O478" s="23">
        <f>ROUND(N478*'Methodology &amp; Assumptions'!$B$8, 0)</f>
        <v/>
      </c>
      <c r="P478" s="44" t="inlineStr">
        <is>
          <t>Band n50 (1.5 GHz, 60 MHz)</t>
        </is>
      </c>
      <c r="Q478" s="38">
        <f>ROUNDUP(O478/'Methodology &amp; Assumptions'!$B$9, 0)</f>
        <v/>
      </c>
      <c r="R478" s="39" t="n">
        <v>1</v>
      </c>
      <c r="S478" s="25" t="n">
        <v>0.9399999999999999</v>
      </c>
      <c r="T478" s="25" t="n">
        <v>3.95</v>
      </c>
      <c r="U478" s="42" t="inlineStr">
        <is>
          <t>Tier 1A (Direct Coloc, &lt;1 km)</t>
        </is>
      </c>
      <c r="V478" s="24" t="n">
        <v>73</v>
      </c>
      <c r="W478" s="24" t="n">
        <v>100</v>
      </c>
      <c r="X478" s="24" t="n">
        <v>28</v>
      </c>
      <c r="Y478" s="45">
        <f>ROUND((V478*'Methodology &amp; Assumptions'!$B$6)+(W478*'Methodology &amp; Assumptions'!$B$5)+(X478*'Methodology &amp; Assumptions'!$B$7), 2)</f>
        <v/>
      </c>
    </row>
    <row r="479" ht="19" customHeight="1">
      <c r="A479" s="35" t="n">
        <v>475</v>
      </c>
      <c r="B479" s="35" t="n">
        <v>2475</v>
      </c>
      <c r="C479" s="36" t="inlineStr">
        <is>
          <t>0403405038</t>
        </is>
      </c>
      <c r="D479" s="36" t="inlineStr">
        <is>
          <t>Region IV-A (CALABARZON)</t>
        </is>
      </c>
      <c r="E479" s="36" t="inlineStr">
        <is>
          <t>Laguna</t>
        </is>
      </c>
      <c r="F479" s="36" t="inlineStr">
        <is>
          <t>City of Calamba</t>
        </is>
      </c>
      <c r="G479" s="36" t="inlineStr">
        <is>
          <t>Barangay 1</t>
        </is>
      </c>
      <c r="H479" s="37" t="n">
        <v>14.203931</v>
      </c>
      <c r="I479" s="37" t="n">
        <v>121.157014</v>
      </c>
      <c r="J479" s="8" t="inlineStr">
        <is>
          <t>U</t>
        </is>
      </c>
      <c r="K479" s="36" t="inlineStr">
        <is>
          <t>Class 1-3 / Urban</t>
        </is>
      </c>
      <c r="L479" s="18" t="n">
        <v>5823</v>
      </c>
      <c r="M479" s="20" t="n">
        <v>4.2</v>
      </c>
      <c r="N479" s="18">
        <f>ROUND(L479/M479, 0)</f>
        <v/>
      </c>
      <c r="O479" s="18">
        <f>ROUND(N479*'Methodology &amp; Assumptions'!$B$8, 0)</f>
        <v/>
      </c>
      <c r="P479" s="8" t="inlineStr">
        <is>
          <t>Band n50 (1.5 GHz, 60 MHz)</t>
        </is>
      </c>
      <c r="Q479" s="38">
        <f>ROUNDUP(O479/'Methodology &amp; Assumptions'!$B$9, 0)</f>
        <v/>
      </c>
      <c r="R479" s="39" t="n">
        <v>1</v>
      </c>
      <c r="S479" s="21" t="n">
        <v>1.39</v>
      </c>
      <c r="T479" s="21" t="n">
        <v>0.05</v>
      </c>
      <c r="U479" s="36" t="inlineStr">
        <is>
          <t>Tier 1B (Micro Drop, 1-3 km)</t>
        </is>
      </c>
      <c r="V479" s="20" t="n">
        <v>73</v>
      </c>
      <c r="W479" s="20" t="n">
        <v>100</v>
      </c>
      <c r="X479" s="20" t="n">
        <v>28</v>
      </c>
      <c r="Y479" s="40">
        <f>ROUND((V479*'Methodology &amp; Assumptions'!$B$6)+(W479*'Methodology &amp; Assumptions'!$B$5)+(X479*'Methodology &amp; Assumptions'!$B$7), 2)</f>
        <v/>
      </c>
    </row>
    <row r="480" ht="19" customHeight="1">
      <c r="A480" s="41" t="n">
        <v>476</v>
      </c>
      <c r="B480" s="41" t="n">
        <v>2476</v>
      </c>
      <c r="C480" s="42" t="inlineStr">
        <is>
          <t>0301417005</t>
        </is>
      </c>
      <c r="D480" s="42" t="inlineStr">
        <is>
          <t>Region III (Central Luzon)</t>
        </is>
      </c>
      <c r="E480" s="42" t="inlineStr">
        <is>
          <t>Bulacan</t>
        </is>
      </c>
      <c r="F480" s="42" t="inlineStr">
        <is>
          <t>Plaridel</t>
        </is>
      </c>
      <c r="G480" s="42" t="inlineStr">
        <is>
          <t>Bintog</t>
        </is>
      </c>
      <c r="H480" s="43" t="n">
        <v>14.900831</v>
      </c>
      <c r="I480" s="43" t="n">
        <v>120.889974</v>
      </c>
      <c r="J480" s="44" t="inlineStr">
        <is>
          <t>R</t>
        </is>
      </c>
      <c r="K480" s="42" t="inlineStr">
        <is>
          <t>Class 1-3 / Urban</t>
        </is>
      </c>
      <c r="L480" s="23" t="n">
        <v>4585</v>
      </c>
      <c r="M480" s="24" t="n">
        <v>4.1</v>
      </c>
      <c r="N480" s="23">
        <f>ROUND(L480/M480, 0)</f>
        <v/>
      </c>
      <c r="O480" s="23">
        <f>ROUND(N480*'Methodology &amp; Assumptions'!$B$8, 0)</f>
        <v/>
      </c>
      <c r="P480" s="44" t="inlineStr">
        <is>
          <t>Band n50 (1.5 GHz, 60 MHz)</t>
        </is>
      </c>
      <c r="Q480" s="38">
        <f>ROUNDUP(O480/'Methodology &amp; Assumptions'!$B$9, 0)</f>
        <v/>
      </c>
      <c r="R480" s="39" t="n">
        <v>1</v>
      </c>
      <c r="S480" s="25" t="n">
        <v>4.23</v>
      </c>
      <c r="T480" s="25" t="n">
        <v>0.85</v>
      </c>
      <c r="U480" s="42" t="inlineStr">
        <is>
          <t>Tier 2 (Fiber Corridor / Lateral, 3-5 km)</t>
        </is>
      </c>
      <c r="V480" s="24" t="n">
        <v>34.4</v>
      </c>
      <c r="W480" s="24" t="n">
        <v>100</v>
      </c>
      <c r="X480" s="24" t="n">
        <v>73</v>
      </c>
      <c r="Y480" s="45">
        <f>ROUND((V480*'Methodology &amp; Assumptions'!$B$6)+(W480*'Methodology &amp; Assumptions'!$B$5)+(X480*'Methodology &amp; Assumptions'!$B$7), 2)</f>
        <v/>
      </c>
    </row>
    <row r="481" ht="19" customHeight="1">
      <c r="A481" s="35" t="n">
        <v>477</v>
      </c>
      <c r="B481" s="35" t="n">
        <v>2477</v>
      </c>
      <c r="C481" s="36" t="inlineStr">
        <is>
          <t>0102803030</t>
        </is>
      </c>
      <c r="D481" s="36" t="inlineStr">
        <is>
          <t>Region I (Ilocos Region)</t>
        </is>
      </c>
      <c r="E481" s="36" t="inlineStr">
        <is>
          <t>Ilocos Norte</t>
        </is>
      </c>
      <c r="F481" s="36" t="inlineStr">
        <is>
          <t>Badoc</t>
        </is>
      </c>
      <c r="G481" s="36" t="inlineStr">
        <is>
          <t>Paltit</t>
        </is>
      </c>
      <c r="H481" s="37" t="n">
        <v>17.918315</v>
      </c>
      <c r="I481" s="37" t="n">
        <v>120.480505</v>
      </c>
      <c r="J481" s="8" t="inlineStr">
        <is>
          <t>R</t>
        </is>
      </c>
      <c r="K481" s="36" t="inlineStr">
        <is>
          <t>Class 1-3 / Urban</t>
        </is>
      </c>
      <c r="L481" s="18" t="n">
        <v>1589</v>
      </c>
      <c r="M481" s="20" t="n">
        <v>4.35</v>
      </c>
      <c r="N481" s="18">
        <f>ROUND(L481/M481, 0)</f>
        <v/>
      </c>
      <c r="O481" s="18">
        <f>ROUND(N481*'Methodology &amp; Assumptions'!$B$8, 0)</f>
        <v/>
      </c>
      <c r="P481" s="8" t="inlineStr">
        <is>
          <t>Band n50 (1.5 GHz, 60 MHz)</t>
        </is>
      </c>
      <c r="Q481" s="38">
        <f>ROUNDUP(O481/'Methodology &amp; Assumptions'!$B$9, 0)</f>
        <v/>
      </c>
      <c r="R481" s="39" t="n">
        <v>1</v>
      </c>
      <c r="S481" s="21" t="n">
        <v>0.53</v>
      </c>
      <c r="T481" s="21" t="n">
        <v>0.57</v>
      </c>
      <c r="U481" s="36" t="inlineStr">
        <is>
          <t>Tier 1A (Direct Coloc, &lt;1 km)</t>
        </is>
      </c>
      <c r="V481" s="20" t="n">
        <v>93.90000000000001</v>
      </c>
      <c r="W481" s="20" t="n">
        <v>53.3</v>
      </c>
      <c r="X481" s="20" t="n">
        <v>58</v>
      </c>
      <c r="Y481" s="40">
        <f>ROUND((V481*'Methodology &amp; Assumptions'!$B$6)+(W481*'Methodology &amp; Assumptions'!$B$5)+(X481*'Methodology &amp; Assumptions'!$B$7), 2)</f>
        <v/>
      </c>
    </row>
    <row r="482" ht="19" customHeight="1">
      <c r="A482" s="41" t="n">
        <v>478</v>
      </c>
      <c r="B482" s="41" t="n">
        <v>2478</v>
      </c>
      <c r="C482" s="42" t="inlineStr">
        <is>
          <t>0405608001</t>
        </is>
      </c>
      <c r="D482" s="42" t="inlineStr">
        <is>
          <t>Region IV-A (CALABARZON)</t>
        </is>
      </c>
      <c r="E482" s="42" t="inlineStr">
        <is>
          <t>Quezon</t>
        </is>
      </c>
      <c r="F482" s="42" t="inlineStr">
        <is>
          <t>Candelaria</t>
        </is>
      </c>
      <c r="G482" s="42" t="inlineStr">
        <is>
          <t>Poblacion</t>
        </is>
      </c>
      <c r="H482" s="43" t="n">
        <v>13.93187</v>
      </c>
      <c r="I482" s="43" t="n">
        <v>121.425539</v>
      </c>
      <c r="J482" s="44" t="inlineStr">
        <is>
          <t>U</t>
        </is>
      </c>
      <c r="K482" s="42" t="inlineStr">
        <is>
          <t>Class 1-3 / Urban</t>
        </is>
      </c>
      <c r="L482" s="23" t="n">
        <v>6453</v>
      </c>
      <c r="M482" s="24" t="n">
        <v>4.46</v>
      </c>
      <c r="N482" s="23">
        <f>ROUND(L482/M482, 0)</f>
        <v/>
      </c>
      <c r="O482" s="23">
        <f>ROUND(N482*'Methodology &amp; Assumptions'!$B$8, 0)</f>
        <v/>
      </c>
      <c r="P482" s="44" t="inlineStr">
        <is>
          <t>Band n50 (1.5 GHz, 60 MHz)</t>
        </is>
      </c>
      <c r="Q482" s="38">
        <f>ROUNDUP(O482/'Methodology &amp; Assumptions'!$B$9, 0)</f>
        <v/>
      </c>
      <c r="R482" s="39" t="n">
        <v>1</v>
      </c>
      <c r="S482" s="25" t="n">
        <v>1.39</v>
      </c>
      <c r="T482" s="25" t="n">
        <v>0.39</v>
      </c>
      <c r="U482" s="42" t="inlineStr">
        <is>
          <t>Tier 1B (Micro Drop, 1-3 km)</t>
        </is>
      </c>
      <c r="V482" s="24" t="n">
        <v>73</v>
      </c>
      <c r="W482" s="24" t="n">
        <v>100</v>
      </c>
      <c r="X482" s="24" t="n">
        <v>28</v>
      </c>
      <c r="Y482" s="45">
        <f>ROUND((V482*'Methodology &amp; Assumptions'!$B$6)+(W482*'Methodology &amp; Assumptions'!$B$5)+(X482*'Methodology &amp; Assumptions'!$B$7), 2)</f>
        <v/>
      </c>
    </row>
    <row r="483" ht="19" customHeight="1">
      <c r="A483" s="35" t="n">
        <v>479</v>
      </c>
      <c r="B483" s="35" t="n">
        <v>2479</v>
      </c>
      <c r="C483" s="36" t="inlineStr">
        <is>
          <t>0301419017</t>
        </is>
      </c>
      <c r="D483" s="36" t="inlineStr">
        <is>
          <t>Region III (Central Luzon)</t>
        </is>
      </c>
      <c r="E483" s="36" t="inlineStr">
        <is>
          <t>Bulacan</t>
        </is>
      </c>
      <c r="F483" s="36" t="inlineStr">
        <is>
          <t>San Ildefonso</t>
        </is>
      </c>
      <c r="G483" s="36" t="inlineStr">
        <is>
          <t>Lapnit</t>
        </is>
      </c>
      <c r="H483" s="37" t="n">
        <v>15.078167</v>
      </c>
      <c r="I483" s="37" t="n">
        <v>120.936301</v>
      </c>
      <c r="J483" s="8" t="inlineStr">
        <is>
          <t>U</t>
        </is>
      </c>
      <c r="K483" s="36" t="inlineStr">
        <is>
          <t>Class 1-3 / Urban</t>
        </is>
      </c>
      <c r="L483" s="18" t="n">
        <v>3268</v>
      </c>
      <c r="M483" s="20" t="n">
        <v>4.1</v>
      </c>
      <c r="N483" s="18">
        <f>ROUND(L483/M483, 0)</f>
        <v/>
      </c>
      <c r="O483" s="18">
        <f>ROUND(N483*'Methodology &amp; Assumptions'!$B$8, 0)</f>
        <v/>
      </c>
      <c r="P483" s="8" t="inlineStr">
        <is>
          <t>Band n50 (1.5 GHz, 60 MHz)</t>
        </is>
      </c>
      <c r="Q483" s="38">
        <f>ROUNDUP(O483/'Methodology &amp; Assumptions'!$B$9, 0)</f>
        <v/>
      </c>
      <c r="R483" s="39" t="n">
        <v>1</v>
      </c>
      <c r="S483" s="21" t="n">
        <v>0.85</v>
      </c>
      <c r="T483" s="21" t="n">
        <v>0.51</v>
      </c>
      <c r="U483" s="36" t="inlineStr">
        <is>
          <t>Tier 1A (Direct Coloc, &lt;1 km)</t>
        </is>
      </c>
      <c r="V483" s="20" t="n">
        <v>85.2</v>
      </c>
      <c r="W483" s="20" t="n">
        <v>87.7</v>
      </c>
      <c r="X483" s="20" t="n">
        <v>28</v>
      </c>
      <c r="Y483" s="40">
        <f>ROUND((V483*'Methodology &amp; Assumptions'!$B$6)+(W483*'Methodology &amp; Assumptions'!$B$5)+(X483*'Methodology &amp; Assumptions'!$B$7), 2)</f>
        <v/>
      </c>
    </row>
    <row r="484" ht="19" customHeight="1">
      <c r="A484" s="41" t="n">
        <v>480</v>
      </c>
      <c r="B484" s="41" t="n">
        <v>2480</v>
      </c>
      <c r="C484" s="42" t="inlineStr">
        <is>
          <t>0306910027</t>
        </is>
      </c>
      <c r="D484" s="42" t="inlineStr">
        <is>
          <t>Region III (Central Luzon)</t>
        </is>
      </c>
      <c r="E484" s="42" t="inlineStr">
        <is>
          <t>Tarlac</t>
        </is>
      </c>
      <c r="F484" s="42" t="inlineStr">
        <is>
          <t>Paniqui</t>
        </is>
      </c>
      <c r="G484" s="42" t="inlineStr">
        <is>
          <t>Salumague</t>
        </is>
      </c>
      <c r="H484" s="43" t="n">
        <v>15.665986</v>
      </c>
      <c r="I484" s="43" t="n">
        <v>120.566394</v>
      </c>
      <c r="J484" s="44" t="inlineStr">
        <is>
          <t>R</t>
        </is>
      </c>
      <c r="K484" s="42" t="inlineStr">
        <is>
          <t>Class 1-3 / Urban</t>
        </is>
      </c>
      <c r="L484" s="23" t="n">
        <v>3529</v>
      </c>
      <c r="M484" s="24" t="n">
        <v>4.3</v>
      </c>
      <c r="N484" s="23">
        <f>ROUND(L484/M484, 0)</f>
        <v/>
      </c>
      <c r="O484" s="23">
        <f>ROUND(N484*'Methodology &amp; Assumptions'!$B$8, 0)</f>
        <v/>
      </c>
      <c r="P484" s="44" t="inlineStr">
        <is>
          <t>Band n50 (1.5 GHz, 60 MHz)</t>
        </is>
      </c>
      <c r="Q484" s="38">
        <f>ROUNDUP(O484/'Methodology &amp; Assumptions'!$B$9, 0)</f>
        <v/>
      </c>
      <c r="R484" s="39" t="n">
        <v>1</v>
      </c>
      <c r="S484" s="25" t="n">
        <v>2.23</v>
      </c>
      <c r="T484" s="25" t="n">
        <v>0.13</v>
      </c>
      <c r="U484" s="42" t="inlineStr">
        <is>
          <t>Tier 1B (Micro Drop, 1-3 km)</t>
        </is>
      </c>
      <c r="V484" s="24" t="n">
        <v>57.6</v>
      </c>
      <c r="W484" s="24" t="n">
        <v>89.59999999999999</v>
      </c>
      <c r="X484" s="24" t="n">
        <v>58</v>
      </c>
      <c r="Y484" s="45">
        <f>ROUND((V484*'Methodology &amp; Assumptions'!$B$6)+(W484*'Methodology &amp; Assumptions'!$B$5)+(X484*'Methodology &amp; Assumptions'!$B$7), 2)</f>
        <v/>
      </c>
    </row>
    <row r="485" ht="19" customHeight="1">
      <c r="A485" s="35" t="n">
        <v>481</v>
      </c>
      <c r="B485" s="35" t="n">
        <v>2481</v>
      </c>
      <c r="C485" s="36" t="inlineStr">
        <is>
          <t>0402103007</t>
        </is>
      </c>
      <c r="D485" s="36" t="inlineStr">
        <is>
          <t>Region IV-A (CALABARZON)</t>
        </is>
      </c>
      <c r="E485" s="36" t="inlineStr">
        <is>
          <t>Cavite</t>
        </is>
      </c>
      <c r="F485" s="36" t="inlineStr">
        <is>
          <t>City of Bacoor</t>
        </is>
      </c>
      <c r="G485" s="36" t="inlineStr">
        <is>
          <t>Dulong Bayan</t>
        </is>
      </c>
      <c r="H485" s="37" t="n">
        <v>14.449415</v>
      </c>
      <c r="I485" s="37" t="n">
        <v>120.936035</v>
      </c>
      <c r="J485" s="8" t="inlineStr">
        <is>
          <t>U</t>
        </is>
      </c>
      <c r="K485" s="36" t="inlineStr">
        <is>
          <t>Class 1-3 / Urban</t>
        </is>
      </c>
      <c r="L485" s="18" t="n">
        <v>6744</v>
      </c>
      <c r="M485" s="20" t="n">
        <v>4.49</v>
      </c>
      <c r="N485" s="18">
        <f>ROUND(L485/M485, 0)</f>
        <v/>
      </c>
      <c r="O485" s="18">
        <f>ROUND(N485*'Methodology &amp; Assumptions'!$B$8, 0)</f>
        <v/>
      </c>
      <c r="P485" s="8" t="inlineStr">
        <is>
          <t>Band n50 (1.5 GHz, 60 MHz)</t>
        </is>
      </c>
      <c r="Q485" s="38">
        <f>ROUNDUP(O485/'Methodology &amp; Assumptions'!$B$9, 0)</f>
        <v/>
      </c>
      <c r="R485" s="39" t="n">
        <v>1</v>
      </c>
      <c r="S485" s="21" t="n">
        <v>1.39</v>
      </c>
      <c r="T485" s="21" t="n">
        <v>0.23</v>
      </c>
      <c r="U485" s="36" t="inlineStr">
        <is>
          <t>Tier 1B (Micro Drop, 1-3 km)</t>
        </is>
      </c>
      <c r="V485" s="20" t="n">
        <v>72.90000000000001</v>
      </c>
      <c r="W485" s="20" t="n">
        <v>100</v>
      </c>
      <c r="X485" s="20" t="n">
        <v>28</v>
      </c>
      <c r="Y485" s="40">
        <f>ROUND((V485*'Methodology &amp; Assumptions'!$B$6)+(W485*'Methodology &amp; Assumptions'!$B$5)+(X485*'Methodology &amp; Assumptions'!$B$7), 2)</f>
        <v/>
      </c>
    </row>
    <row r="486" ht="19" customHeight="1">
      <c r="A486" s="41" t="n">
        <v>482</v>
      </c>
      <c r="B486" s="41" t="n">
        <v>2482</v>
      </c>
      <c r="C486" s="42" t="inlineStr">
        <is>
          <t>0401010015</t>
        </is>
      </c>
      <c r="D486" s="42" t="inlineStr">
        <is>
          <t>Region IV-A (CALABARZON)</t>
        </is>
      </c>
      <c r="E486" s="42" t="inlineStr">
        <is>
          <t>Batangas</t>
        </is>
      </c>
      <c r="F486" s="42" t="inlineStr">
        <is>
          <t>Ibaan</t>
        </is>
      </c>
      <c r="G486" s="42" t="inlineStr">
        <is>
          <t>Pangao</t>
        </is>
      </c>
      <c r="H486" s="43" t="n">
        <v>13.823441</v>
      </c>
      <c r="I486" s="43" t="n">
        <v>121.143055</v>
      </c>
      <c r="J486" s="44" t="inlineStr">
        <is>
          <t>R</t>
        </is>
      </c>
      <c r="K486" s="42" t="inlineStr">
        <is>
          <t>Class 1-3 / Urban</t>
        </is>
      </c>
      <c r="L486" s="23" t="n">
        <v>3380</v>
      </c>
      <c r="M486" s="24" t="n">
        <v>4.62</v>
      </c>
      <c r="N486" s="23">
        <f>ROUND(L486/M486, 0)</f>
        <v/>
      </c>
      <c r="O486" s="23">
        <f>ROUND(N486*'Methodology &amp; Assumptions'!$B$8, 0)</f>
        <v/>
      </c>
      <c r="P486" s="44" t="inlineStr">
        <is>
          <t>Band n50 (1.5 GHz, 60 MHz)</t>
        </is>
      </c>
      <c r="Q486" s="38">
        <f>ROUNDUP(O486/'Methodology &amp; Assumptions'!$B$9, 0)</f>
        <v/>
      </c>
      <c r="R486" s="39" t="n">
        <v>1</v>
      </c>
      <c r="S486" s="25" t="n">
        <v>1.82</v>
      </c>
      <c r="T486" s="25" t="n">
        <v>0.04</v>
      </c>
      <c r="U486" s="42" t="inlineStr">
        <is>
          <t>Tier 1B (Micro Drop, 1-3 km)</t>
        </is>
      </c>
      <c r="V486" s="24" t="n">
        <v>64.5</v>
      </c>
      <c r="W486" s="24" t="n">
        <v>82.7</v>
      </c>
      <c r="X486" s="24" t="n">
        <v>58</v>
      </c>
      <c r="Y486" s="45">
        <f>ROUND((V486*'Methodology &amp; Assumptions'!$B$6)+(W486*'Methodology &amp; Assumptions'!$B$5)+(X486*'Methodology &amp; Assumptions'!$B$7), 2)</f>
        <v/>
      </c>
    </row>
    <row r="487" ht="19" customHeight="1">
      <c r="A487" s="35" t="n">
        <v>483</v>
      </c>
      <c r="B487" s="35" t="n">
        <v>2483</v>
      </c>
      <c r="C487" s="36" t="inlineStr">
        <is>
          <t>0603005006</t>
        </is>
      </c>
      <c r="D487" s="36" t="inlineStr">
        <is>
          <t>Region VI (Western Visayas)</t>
        </is>
      </c>
      <c r="E487" s="36" t="inlineStr">
        <is>
          <t>Iloilo</t>
        </is>
      </c>
      <c r="F487" s="36" t="inlineStr">
        <is>
          <t>Balasan</t>
        </is>
      </c>
      <c r="G487" s="36" t="inlineStr">
        <is>
          <t>Camambugan</t>
        </is>
      </c>
      <c r="H487" s="37" t="n">
        <v>11.47796</v>
      </c>
      <c r="I487" s="37" t="n">
        <v>123.082007</v>
      </c>
      <c r="J487" s="8" t="inlineStr">
        <is>
          <t>R</t>
        </is>
      </c>
      <c r="K487" s="36" t="inlineStr">
        <is>
          <t>2nd</t>
        </is>
      </c>
      <c r="L487" s="18" t="n">
        <v>2284</v>
      </c>
      <c r="M487" s="20" t="n">
        <v>4.09</v>
      </c>
      <c r="N487" s="18">
        <f>ROUND(L487/M487, 0)</f>
        <v/>
      </c>
      <c r="O487" s="18">
        <f>ROUND(N487*'Methodology &amp; Assumptions'!$B$8, 0)</f>
        <v/>
      </c>
      <c r="P487" s="8" t="inlineStr">
        <is>
          <t>Band n50 (1.5 GHz, 60 MHz)</t>
        </is>
      </c>
      <c r="Q487" s="38">
        <f>ROUNDUP(O487/'Methodology &amp; Assumptions'!$B$9, 0)</f>
        <v/>
      </c>
      <c r="R487" s="39" t="n">
        <v>1</v>
      </c>
      <c r="S487" s="21" t="n">
        <v>1.13</v>
      </c>
      <c r="T487" s="21" t="n">
        <v>0.37</v>
      </c>
      <c r="U487" s="36" t="inlineStr">
        <is>
          <t>Tier 1B (Micro Drop, 1-3 km)</t>
        </is>
      </c>
      <c r="V487" s="20" t="n">
        <v>78.7</v>
      </c>
      <c r="W487" s="20" t="n">
        <v>68.5</v>
      </c>
      <c r="X487" s="20" t="n">
        <v>58</v>
      </c>
      <c r="Y487" s="40">
        <f>ROUND((V487*'Methodology &amp; Assumptions'!$B$6)+(W487*'Methodology &amp; Assumptions'!$B$5)+(X487*'Methodology &amp; Assumptions'!$B$7), 2)</f>
        <v/>
      </c>
    </row>
    <row r="488" ht="19" customHeight="1">
      <c r="A488" s="41" t="n">
        <v>484</v>
      </c>
      <c r="B488" s="41" t="n">
        <v>2484</v>
      </c>
      <c r="C488" s="42" t="inlineStr">
        <is>
          <t>0401019009</t>
        </is>
      </c>
      <c r="D488" s="42" t="inlineStr">
        <is>
          <t>Region IV-A (CALABARZON)</t>
        </is>
      </c>
      <c r="E488" s="42" t="inlineStr">
        <is>
          <t>Batangas</t>
        </is>
      </c>
      <c r="F488" s="42" t="inlineStr">
        <is>
          <t>Nasugbu</t>
        </is>
      </c>
      <c r="G488" s="42" t="inlineStr">
        <is>
          <t>Barangay 4</t>
        </is>
      </c>
      <c r="H488" s="43" t="n">
        <v>14.072948</v>
      </c>
      <c r="I488" s="43" t="n">
        <v>120.633656</v>
      </c>
      <c r="J488" s="44" t="inlineStr">
        <is>
          <t>R</t>
        </is>
      </c>
      <c r="K488" s="42" t="inlineStr">
        <is>
          <t>Class 1-3 / Urban</t>
        </is>
      </c>
      <c r="L488" s="23" t="n">
        <v>1333</v>
      </c>
      <c r="M488" s="24" t="n">
        <v>4.62</v>
      </c>
      <c r="N488" s="23">
        <f>ROUND(L488/M488, 0)</f>
        <v/>
      </c>
      <c r="O488" s="23">
        <f>ROUND(N488*'Methodology &amp; Assumptions'!$B$8, 0)</f>
        <v/>
      </c>
      <c r="P488" s="44" t="inlineStr">
        <is>
          <t>Band n50 (1.5 GHz, 60 MHz)</t>
        </is>
      </c>
      <c r="Q488" s="38">
        <f>ROUNDUP(O488/'Methodology &amp; Assumptions'!$B$9, 0)</f>
        <v/>
      </c>
      <c r="R488" s="39" t="n">
        <v>1</v>
      </c>
      <c r="S488" s="25" t="n">
        <v>0.25</v>
      </c>
      <c r="T488" s="25" t="n">
        <v>0.14</v>
      </c>
      <c r="U488" s="42" t="inlineStr">
        <is>
          <t>Tier 1A (Direct Coloc, &lt;1 km)</t>
        </is>
      </c>
      <c r="V488" s="24" t="n">
        <v>100</v>
      </c>
      <c r="W488" s="24" t="n">
        <v>47.2</v>
      </c>
      <c r="X488" s="24" t="n">
        <v>58</v>
      </c>
      <c r="Y488" s="45">
        <f>ROUND((V488*'Methodology &amp; Assumptions'!$B$6)+(W488*'Methodology &amp; Assumptions'!$B$5)+(X488*'Methodology &amp; Assumptions'!$B$7), 2)</f>
        <v/>
      </c>
    </row>
    <row r="489" ht="19" customHeight="1">
      <c r="A489" s="35" t="n">
        <v>485</v>
      </c>
      <c r="B489" s="35" t="n">
        <v>2485</v>
      </c>
      <c r="C489" s="36" t="inlineStr">
        <is>
          <t>0403420012</t>
        </is>
      </c>
      <c r="D489" s="36" t="inlineStr">
        <is>
          <t>Region IV-A (CALABARZON)</t>
        </is>
      </c>
      <c r="E489" s="36" t="inlineStr">
        <is>
          <t>Laguna</t>
        </is>
      </c>
      <c r="F489" s="36" t="inlineStr">
        <is>
          <t>Pakil</t>
        </is>
      </c>
      <c r="G489" s="36" t="inlineStr">
        <is>
          <t>Taft</t>
        </is>
      </c>
      <c r="H489" s="37" t="n">
        <v>14.377778</v>
      </c>
      <c r="I489" s="37" t="n">
        <v>121.479451</v>
      </c>
      <c r="J489" s="8" t="inlineStr">
        <is>
          <t>R</t>
        </is>
      </c>
      <c r="K489" s="36" t="inlineStr">
        <is>
          <t>3rd</t>
        </is>
      </c>
      <c r="L489" s="18" t="n">
        <v>1300</v>
      </c>
      <c r="M489" s="20" t="n">
        <v>4.49</v>
      </c>
      <c r="N489" s="18">
        <f>ROUND(L489/M489, 0)</f>
        <v/>
      </c>
      <c r="O489" s="18">
        <f>ROUND(N489*'Methodology &amp; Assumptions'!$B$8, 0)</f>
        <v/>
      </c>
      <c r="P489" s="8" t="inlineStr">
        <is>
          <t>Band n50 (1.5 GHz, 60 MHz)</t>
        </is>
      </c>
      <c r="Q489" s="38">
        <f>ROUNDUP(O489/'Methodology &amp; Assumptions'!$B$9, 0)</f>
        <v/>
      </c>
      <c r="R489" s="39" t="n">
        <v>1</v>
      </c>
      <c r="S489" s="21" t="n">
        <v>0.29</v>
      </c>
      <c r="T489" s="21" t="n">
        <v>0.31</v>
      </c>
      <c r="U489" s="36" t="inlineStr">
        <is>
          <t>Tier 1A (Direct Coloc, &lt;1 km)</t>
        </is>
      </c>
      <c r="V489" s="20" t="n">
        <v>100</v>
      </c>
      <c r="W489" s="20" t="n">
        <v>47.2</v>
      </c>
      <c r="X489" s="20" t="n">
        <v>58</v>
      </c>
      <c r="Y489" s="40">
        <f>ROUND((V489*'Methodology &amp; Assumptions'!$B$6)+(W489*'Methodology &amp; Assumptions'!$B$5)+(X489*'Methodology &amp; Assumptions'!$B$7), 2)</f>
        <v/>
      </c>
    </row>
    <row r="490" ht="19" customHeight="1">
      <c r="A490" s="41" t="n">
        <v>486</v>
      </c>
      <c r="B490" s="41" t="n">
        <v>2486</v>
      </c>
      <c r="C490" s="42" t="inlineStr">
        <is>
          <t>0105531033</t>
        </is>
      </c>
      <c r="D490" s="42" t="inlineStr">
        <is>
          <t>Region I (Ilocos Region)</t>
        </is>
      </c>
      <c r="E490" s="42" t="inlineStr">
        <is>
          <t>Pangasinan</t>
        </is>
      </c>
      <c r="F490" s="42" t="inlineStr">
        <is>
          <t>Rosales</t>
        </is>
      </c>
      <c r="G490" s="42" t="inlineStr">
        <is>
          <t>Zone I</t>
        </is>
      </c>
      <c r="H490" s="43" t="n">
        <v>15.892541</v>
      </c>
      <c r="I490" s="43" t="n">
        <v>120.63105</v>
      </c>
      <c r="J490" s="44" t="inlineStr">
        <is>
          <t>R</t>
        </is>
      </c>
      <c r="K490" s="42" t="inlineStr">
        <is>
          <t>Class 1-3 / Urban</t>
        </is>
      </c>
      <c r="L490" s="23" t="n">
        <v>1273</v>
      </c>
      <c r="M490" s="24" t="n">
        <v>4.39</v>
      </c>
      <c r="N490" s="23">
        <f>ROUND(L490/M490, 0)</f>
        <v/>
      </c>
      <c r="O490" s="23">
        <f>ROUND(N490*'Methodology &amp; Assumptions'!$B$8, 0)</f>
        <v/>
      </c>
      <c r="P490" s="44" t="inlineStr">
        <is>
          <t>Band n50 (1.5 GHz, 60 MHz)</t>
        </is>
      </c>
      <c r="Q490" s="38">
        <f>ROUNDUP(O490/'Methodology &amp; Assumptions'!$B$9, 0)</f>
        <v/>
      </c>
      <c r="R490" s="39" t="n">
        <v>1</v>
      </c>
      <c r="S490" s="25" t="n">
        <v>0.27</v>
      </c>
      <c r="T490" s="25" t="n">
        <v>0.22</v>
      </c>
      <c r="U490" s="42" t="inlineStr">
        <is>
          <t>Tier 1A (Direct Coloc, &lt;1 km)</t>
        </is>
      </c>
      <c r="V490" s="24" t="n">
        <v>100</v>
      </c>
      <c r="W490" s="24" t="n">
        <v>47.2</v>
      </c>
      <c r="X490" s="24" t="n">
        <v>58</v>
      </c>
      <c r="Y490" s="45">
        <f>ROUND((V490*'Methodology &amp; Assumptions'!$B$6)+(W490*'Methodology &amp; Assumptions'!$B$5)+(X490*'Methodology &amp; Assumptions'!$B$7), 2)</f>
        <v/>
      </c>
    </row>
    <row r="491" ht="19" customHeight="1">
      <c r="A491" s="35" t="n">
        <v>487</v>
      </c>
      <c r="B491" s="35" t="n">
        <v>2487</v>
      </c>
      <c r="C491" s="36" t="inlineStr">
        <is>
          <t>1030500051</t>
        </is>
      </c>
      <c r="D491" s="36" t="inlineStr">
        <is>
          <t>Region X (Northern Mindanao)</t>
        </is>
      </c>
      <c r="E491" s="36" t="inlineStr">
        <is>
          <t>Misamis Oriental</t>
        </is>
      </c>
      <c r="F491" s="36" t="inlineStr">
        <is>
          <t>City of Cagayan De Oro</t>
        </is>
      </c>
      <c r="G491" s="36" t="inlineStr">
        <is>
          <t>Iponan</t>
        </is>
      </c>
      <c r="H491" s="37" t="n">
        <v>8.49653</v>
      </c>
      <c r="I491" s="37" t="n">
        <v>124.604836</v>
      </c>
      <c r="J491" s="8" t="inlineStr">
        <is>
          <t>U</t>
        </is>
      </c>
      <c r="K491" s="36" t="inlineStr">
        <is>
          <t>Class 1-3 / Urban</t>
        </is>
      </c>
      <c r="L491" s="18" t="n">
        <v>27521</v>
      </c>
      <c r="M491" s="20" t="n">
        <v>4.54</v>
      </c>
      <c r="N491" s="18">
        <f>ROUND(L491/M491, 0)</f>
        <v/>
      </c>
      <c r="O491" s="18">
        <f>ROUND(N491*'Methodology &amp; Assumptions'!$B$8, 0)</f>
        <v/>
      </c>
      <c r="P491" s="8" t="inlineStr">
        <is>
          <t>Band n50 (1.5 GHz, 60 MHz)</t>
        </is>
      </c>
      <c r="Q491" s="38">
        <f>ROUNDUP(O491/'Methodology &amp; Assumptions'!$B$9, 0)</f>
        <v/>
      </c>
      <c r="R491" s="39" t="n">
        <v>1</v>
      </c>
      <c r="S491" s="21" t="n">
        <v>1.39</v>
      </c>
      <c r="T491" s="21" t="n">
        <v>0.79</v>
      </c>
      <c r="U491" s="36" t="inlineStr">
        <is>
          <t>Tier 1B (Micro Drop, 1-3 km)</t>
        </is>
      </c>
      <c r="V491" s="20" t="n">
        <v>72.90000000000001</v>
      </c>
      <c r="W491" s="20" t="n">
        <v>100</v>
      </c>
      <c r="X491" s="20" t="n">
        <v>28</v>
      </c>
      <c r="Y491" s="40">
        <f>ROUND((V491*'Methodology &amp; Assumptions'!$B$6)+(W491*'Methodology &amp; Assumptions'!$B$5)+(X491*'Methodology &amp; Assumptions'!$B$7), 2)</f>
        <v/>
      </c>
    </row>
    <row r="492" ht="19" customHeight="1">
      <c r="A492" s="41" t="n">
        <v>488</v>
      </c>
      <c r="B492" s="41" t="n">
        <v>2488</v>
      </c>
      <c r="C492" s="42" t="inlineStr">
        <is>
          <t>0307104003</t>
        </is>
      </c>
      <c r="D492" s="42" t="inlineStr">
        <is>
          <t>Region III (Central Luzon)</t>
        </is>
      </c>
      <c r="E492" s="42" t="inlineStr">
        <is>
          <t>Zambales</t>
        </is>
      </c>
      <c r="F492" s="42" t="inlineStr">
        <is>
          <t>Castillejos</t>
        </is>
      </c>
      <c r="G492" s="42" t="inlineStr">
        <is>
          <t>Del Pilar</t>
        </is>
      </c>
      <c r="H492" s="43" t="n">
        <v>14.927829</v>
      </c>
      <c r="I492" s="43" t="n">
        <v>120.21362</v>
      </c>
      <c r="J492" s="44" t="inlineStr">
        <is>
          <t>U</t>
        </is>
      </c>
      <c r="K492" s="42" t="inlineStr">
        <is>
          <t>Class 1-3 / Urban</t>
        </is>
      </c>
      <c r="L492" s="23" t="n">
        <v>12139</v>
      </c>
      <c r="M492" s="24" t="n">
        <v>4.05</v>
      </c>
      <c r="N492" s="23">
        <f>ROUND(L492/M492, 0)</f>
        <v/>
      </c>
      <c r="O492" s="23">
        <f>ROUND(N492*'Methodology &amp; Assumptions'!$B$8, 0)</f>
        <v/>
      </c>
      <c r="P492" s="44" t="inlineStr">
        <is>
          <t>Band n50 (1.5 GHz, 60 MHz)</t>
        </is>
      </c>
      <c r="Q492" s="38">
        <f>ROUNDUP(O492/'Methodology &amp; Assumptions'!$B$9, 0)</f>
        <v/>
      </c>
      <c r="R492" s="39" t="n">
        <v>1</v>
      </c>
      <c r="S492" s="25" t="n">
        <v>1.39</v>
      </c>
      <c r="T492" s="25" t="n">
        <v>0.14</v>
      </c>
      <c r="U492" s="42" t="inlineStr">
        <is>
          <t>Tier 1B (Micro Drop, 1-3 km)</t>
        </is>
      </c>
      <c r="V492" s="24" t="n">
        <v>72.90000000000001</v>
      </c>
      <c r="W492" s="24" t="n">
        <v>100</v>
      </c>
      <c r="X492" s="24" t="n">
        <v>28</v>
      </c>
      <c r="Y492" s="45">
        <f>ROUND((V492*'Methodology &amp; Assumptions'!$B$6)+(W492*'Methodology &amp; Assumptions'!$B$5)+(X492*'Methodology &amp; Assumptions'!$B$7), 2)</f>
        <v/>
      </c>
    </row>
    <row r="493" ht="19" customHeight="1">
      <c r="A493" s="35" t="n">
        <v>489</v>
      </c>
      <c r="B493" s="35" t="n">
        <v>2489</v>
      </c>
      <c r="C493" s="36" t="inlineStr">
        <is>
          <t>0702245006</t>
        </is>
      </c>
      <c r="D493" s="36" t="inlineStr">
        <is>
          <t>Region VII (Central Visayas)</t>
        </is>
      </c>
      <c r="E493" s="36" t="inlineStr">
        <is>
          <t>Cebu</t>
        </is>
      </c>
      <c r="F493" s="36" t="inlineStr">
        <is>
          <t>Santander</t>
        </is>
      </c>
      <c r="G493" s="36" t="inlineStr">
        <is>
          <t>Looc</t>
        </is>
      </c>
      <c r="H493" s="37" t="n">
        <v>9.419131999999999</v>
      </c>
      <c r="I493" s="37" t="n">
        <v>123.318656</v>
      </c>
      <c r="J493" s="8" t="inlineStr">
        <is>
          <t>R</t>
        </is>
      </c>
      <c r="K493" s="36" t="inlineStr">
        <is>
          <t>4th</t>
        </is>
      </c>
      <c r="L493" s="18" t="n">
        <v>2190</v>
      </c>
      <c r="M493" s="20" t="n">
        <v>4.2</v>
      </c>
      <c r="N493" s="18">
        <f>ROUND(L493/M493, 0)</f>
        <v/>
      </c>
      <c r="O493" s="18">
        <f>ROUND(N493*'Methodology &amp; Assumptions'!$B$8, 0)</f>
        <v/>
      </c>
      <c r="P493" s="8" t="inlineStr">
        <is>
          <t>Band n50 (1.5 GHz, 60 MHz)</t>
        </is>
      </c>
      <c r="Q493" s="38">
        <f>ROUNDUP(O493/'Methodology &amp; Assumptions'!$B$9, 0)</f>
        <v/>
      </c>
      <c r="R493" s="39" t="n">
        <v>1</v>
      </c>
      <c r="S493" s="21" t="n">
        <v>1.41</v>
      </c>
      <c r="T493" s="21" t="n">
        <v>0.9399999999999999</v>
      </c>
      <c r="U493" s="36" t="inlineStr">
        <is>
          <t>Tier 1B (Micro Drop, 1-3 km)</t>
        </is>
      </c>
      <c r="V493" s="20" t="n">
        <v>72.59999999999999</v>
      </c>
      <c r="W493" s="20" t="n">
        <v>65.59999999999999</v>
      </c>
      <c r="X493" s="20" t="n">
        <v>68.5</v>
      </c>
      <c r="Y493" s="40">
        <f>ROUND((V493*'Methodology &amp; Assumptions'!$B$6)+(W493*'Methodology &amp; Assumptions'!$B$5)+(X493*'Methodology &amp; Assumptions'!$B$7), 2)</f>
        <v/>
      </c>
    </row>
    <row r="494" ht="19" customHeight="1">
      <c r="A494" s="41" t="n">
        <v>490</v>
      </c>
      <c r="B494" s="41" t="n">
        <v>2490</v>
      </c>
      <c r="C494" s="42" t="inlineStr">
        <is>
          <t>0403414009</t>
        </is>
      </c>
      <c r="D494" s="42" t="inlineStr">
        <is>
          <t>Region IV-A (CALABARZON)</t>
        </is>
      </c>
      <c r="E494" s="42" t="inlineStr">
        <is>
          <t>Laguna</t>
        </is>
      </c>
      <c r="F494" s="42" t="inlineStr">
        <is>
          <t>Mabitac</t>
        </is>
      </c>
      <c r="G494" s="42" t="inlineStr">
        <is>
          <t>Libis ng Nayon</t>
        </is>
      </c>
      <c r="H494" s="43" t="n">
        <v>14.426192</v>
      </c>
      <c r="I494" s="43" t="n">
        <v>121.429636</v>
      </c>
      <c r="J494" s="44" t="inlineStr">
        <is>
          <t>R</t>
        </is>
      </c>
      <c r="K494" s="42" t="inlineStr">
        <is>
          <t>4th</t>
        </is>
      </c>
      <c r="L494" s="23" t="n">
        <v>1106</v>
      </c>
      <c r="M494" s="24" t="n">
        <v>4.48</v>
      </c>
      <c r="N494" s="23">
        <f>ROUND(L494/M494, 0)</f>
        <v/>
      </c>
      <c r="O494" s="23">
        <f>ROUND(N494*'Methodology &amp; Assumptions'!$B$8, 0)</f>
        <v/>
      </c>
      <c r="P494" s="44" t="inlineStr">
        <is>
          <t>Band n50 (1.5 GHz, 60 MHz)</t>
        </is>
      </c>
      <c r="Q494" s="38">
        <f>ROUNDUP(O494/'Methodology &amp; Assumptions'!$B$9, 0)</f>
        <v/>
      </c>
      <c r="R494" s="39" t="n">
        <v>1</v>
      </c>
      <c r="S494" s="25" t="n">
        <v>0.51</v>
      </c>
      <c r="T494" s="25" t="n">
        <v>1.59</v>
      </c>
      <c r="U494" s="42" t="inlineStr">
        <is>
          <t>Tier 1A (Direct Coloc, &lt;1 km)</t>
        </is>
      </c>
      <c r="V494" s="24" t="n">
        <v>94.40000000000001</v>
      </c>
      <c r="W494" s="24" t="n">
        <v>43.7</v>
      </c>
      <c r="X494" s="24" t="n">
        <v>68.5</v>
      </c>
      <c r="Y494" s="45">
        <f>ROUND((V494*'Methodology &amp; Assumptions'!$B$6)+(W494*'Methodology &amp; Assumptions'!$B$5)+(X494*'Methodology &amp; Assumptions'!$B$7), 2)</f>
        <v/>
      </c>
    </row>
    <row r="495" ht="19" customHeight="1">
      <c r="A495" s="35" t="n">
        <v>491</v>
      </c>
      <c r="B495" s="35" t="n">
        <v>2491</v>
      </c>
      <c r="C495" s="36" t="inlineStr">
        <is>
          <t>1600302006</t>
        </is>
      </c>
      <c r="D495" s="36" t="inlineStr">
        <is>
          <t>Region XIII (Caraga)</t>
        </is>
      </c>
      <c r="E495" s="36" t="inlineStr">
        <is>
          <t>Agusan del Sur</t>
        </is>
      </c>
      <c r="F495" s="36" t="inlineStr">
        <is>
          <t>Bunawan</t>
        </is>
      </c>
      <c r="G495" s="36" t="inlineStr">
        <is>
          <t>San Andres</t>
        </is>
      </c>
      <c r="H495" s="37" t="n">
        <v>8.206697999999999</v>
      </c>
      <c r="I495" s="37" t="n">
        <v>125.9956</v>
      </c>
      <c r="J495" s="8" t="inlineStr">
        <is>
          <t>R</t>
        </is>
      </c>
      <c r="K495" s="36" t="inlineStr">
        <is>
          <t>Class 1-3 / Urban</t>
        </is>
      </c>
      <c r="L495" s="18" t="n">
        <v>4406</v>
      </c>
      <c r="M495" s="20" t="n">
        <v>4.1</v>
      </c>
      <c r="N495" s="18">
        <f>ROUND(L495/M495, 0)</f>
        <v/>
      </c>
      <c r="O495" s="18">
        <f>ROUND(N495*'Methodology &amp; Assumptions'!$B$8, 0)</f>
        <v/>
      </c>
      <c r="P495" s="8" t="inlineStr">
        <is>
          <t>Band n50 (1.5 GHz, 60 MHz)</t>
        </is>
      </c>
      <c r="Q495" s="38">
        <f>ROUNDUP(O495/'Methodology &amp; Assumptions'!$B$9, 0)</f>
        <v/>
      </c>
      <c r="R495" s="39" t="n">
        <v>1</v>
      </c>
      <c r="S495" s="21" t="n">
        <v>2.97</v>
      </c>
      <c r="T495" s="21" t="n">
        <v>0.15</v>
      </c>
      <c r="U495" s="36" t="inlineStr">
        <is>
          <t>Tier 1B (Micro Drop, 1-3 km)</t>
        </is>
      </c>
      <c r="V495" s="20" t="n">
        <v>47.2</v>
      </c>
      <c r="W495" s="20" t="n">
        <v>100</v>
      </c>
      <c r="X495" s="20" t="n">
        <v>58</v>
      </c>
      <c r="Y495" s="40">
        <f>ROUND((V495*'Methodology &amp; Assumptions'!$B$6)+(W495*'Methodology &amp; Assumptions'!$B$5)+(X495*'Methodology &amp; Assumptions'!$B$7), 2)</f>
        <v/>
      </c>
    </row>
    <row r="496" ht="19" customHeight="1">
      <c r="A496" s="41" t="n">
        <v>492</v>
      </c>
      <c r="B496" s="41" t="n">
        <v>2492</v>
      </c>
      <c r="C496" s="42" t="inlineStr">
        <is>
          <t>0405620009</t>
        </is>
      </c>
      <c r="D496" s="42" t="inlineStr">
        <is>
          <t>Region IV-A (CALABARZON)</t>
        </is>
      </c>
      <c r="E496" s="42" t="inlineStr">
        <is>
          <t>Quezon</t>
        </is>
      </c>
      <c r="F496" s="42" t="inlineStr">
        <is>
          <t>Infanta</t>
        </is>
      </c>
      <c r="G496" s="42" t="inlineStr">
        <is>
          <t>Bantilan</t>
        </is>
      </c>
      <c r="H496" s="43" t="n">
        <v>14.749575</v>
      </c>
      <c r="I496" s="43" t="n">
        <v>121.649902</v>
      </c>
      <c r="J496" s="44" t="inlineStr">
        <is>
          <t>R</t>
        </is>
      </c>
      <c r="K496" s="42" t="inlineStr">
        <is>
          <t>Class 1-3 / Urban</t>
        </is>
      </c>
      <c r="L496" s="23" t="n">
        <v>3112</v>
      </c>
      <c r="M496" s="24" t="n">
        <v>4.46</v>
      </c>
      <c r="N496" s="23">
        <f>ROUND(L496/M496, 0)</f>
        <v/>
      </c>
      <c r="O496" s="23">
        <f>ROUND(N496*'Methodology &amp; Assumptions'!$B$8, 0)</f>
        <v/>
      </c>
      <c r="P496" s="44" t="inlineStr">
        <is>
          <t>Band n50 (1.5 GHz, 60 MHz)</t>
        </is>
      </c>
      <c r="Q496" s="38">
        <f>ROUNDUP(O496/'Methodology &amp; Assumptions'!$B$9, 0)</f>
        <v/>
      </c>
      <c r="R496" s="39" t="n">
        <v>1</v>
      </c>
      <c r="S496" s="25" t="n">
        <v>1.18</v>
      </c>
      <c r="T496" s="25" t="n">
        <v>40.93</v>
      </c>
      <c r="U496" s="42" t="inlineStr">
        <is>
          <t>Tier 1B (Micro Drop, 1-3 km)</t>
        </is>
      </c>
      <c r="V496" s="24" t="n">
        <v>67.40000000000001</v>
      </c>
      <c r="W496" s="24" t="n">
        <v>79.7</v>
      </c>
      <c r="X496" s="24" t="n">
        <v>58</v>
      </c>
      <c r="Y496" s="45">
        <f>ROUND((V496*'Methodology &amp; Assumptions'!$B$6)+(W496*'Methodology &amp; Assumptions'!$B$5)+(X496*'Methodology &amp; Assumptions'!$B$7), 2)</f>
        <v/>
      </c>
    </row>
    <row r="497" ht="19" customHeight="1">
      <c r="A497" s="35" t="n">
        <v>493</v>
      </c>
      <c r="B497" s="35" t="n">
        <v>2493</v>
      </c>
      <c r="C497" s="36" t="inlineStr">
        <is>
          <t>0702211011</t>
        </is>
      </c>
      <c r="D497" s="36" t="inlineStr">
        <is>
          <t>Region VII (Central Visayas)</t>
        </is>
      </c>
      <c r="E497" s="36" t="inlineStr">
        <is>
          <t>Cebu</t>
        </is>
      </c>
      <c r="F497" s="36" t="inlineStr">
        <is>
          <t>City of Bogo</t>
        </is>
      </c>
      <c r="G497" s="36" t="inlineStr">
        <is>
          <t>Gairan</t>
        </is>
      </c>
      <c r="H497" s="37" t="n">
        <v>11.048824</v>
      </c>
      <c r="I497" s="37" t="n">
        <v>124.020195</v>
      </c>
      <c r="J497" s="8" t="inlineStr">
        <is>
          <t>U</t>
        </is>
      </c>
      <c r="K497" s="36" t="inlineStr">
        <is>
          <t>Class 1-3 / Urban</t>
        </is>
      </c>
      <c r="L497" s="18" t="n">
        <v>10548</v>
      </c>
      <c r="M497" s="20" t="n">
        <v>4.42</v>
      </c>
      <c r="N497" s="18">
        <f>ROUND(L497/M497, 0)</f>
        <v/>
      </c>
      <c r="O497" s="18">
        <f>ROUND(N497*'Methodology &amp; Assumptions'!$B$8, 0)</f>
        <v/>
      </c>
      <c r="P497" s="8" t="inlineStr">
        <is>
          <t>Band n50 (1.5 GHz, 60 MHz)</t>
        </is>
      </c>
      <c r="Q497" s="38">
        <f>ROUNDUP(O497/'Methodology &amp; Assumptions'!$B$9, 0)</f>
        <v/>
      </c>
      <c r="R497" s="39" t="n">
        <v>1</v>
      </c>
      <c r="S497" s="21" t="n">
        <v>1.39</v>
      </c>
      <c r="T497" s="21" t="n">
        <v>0.61</v>
      </c>
      <c r="U497" s="36" t="inlineStr">
        <is>
          <t>Tier 1B (Micro Drop, 1-3 km)</t>
        </is>
      </c>
      <c r="V497" s="20" t="n">
        <v>72.90000000000001</v>
      </c>
      <c r="W497" s="20" t="n">
        <v>100</v>
      </c>
      <c r="X497" s="20" t="n">
        <v>28</v>
      </c>
      <c r="Y497" s="40">
        <f>ROUND((V497*'Methodology &amp; Assumptions'!$B$6)+(W497*'Methodology &amp; Assumptions'!$B$5)+(X497*'Methodology &amp; Assumptions'!$B$7), 2)</f>
        <v/>
      </c>
    </row>
    <row r="498" ht="19" customHeight="1">
      <c r="A498" s="41" t="n">
        <v>494</v>
      </c>
      <c r="B498" s="41" t="n">
        <v>2494</v>
      </c>
      <c r="C498" s="42" t="inlineStr">
        <is>
          <t>0405625016</t>
        </is>
      </c>
      <c r="D498" s="42" t="inlineStr">
        <is>
          <t>Region IV-A (CALABARZON)</t>
        </is>
      </c>
      <c r="E498" s="42" t="inlineStr">
        <is>
          <t>Quezon</t>
        </is>
      </c>
      <c r="F498" s="42" t="inlineStr">
        <is>
          <t>Macalelon</t>
        </is>
      </c>
      <c r="G498" s="42" t="inlineStr">
        <is>
          <t>Pinagbayanan</t>
        </is>
      </c>
      <c r="H498" s="43" t="n">
        <v>13.751963</v>
      </c>
      <c r="I498" s="43" t="n">
        <v>122.142775</v>
      </c>
      <c r="J498" s="44" t="inlineStr">
        <is>
          <t>R</t>
        </is>
      </c>
      <c r="K498" s="42" t="inlineStr">
        <is>
          <t>3rd</t>
        </is>
      </c>
      <c r="L498" s="23" t="n">
        <v>2388</v>
      </c>
      <c r="M498" s="24" t="n">
        <v>4.74</v>
      </c>
      <c r="N498" s="23">
        <f>ROUND(L498/M498, 0)</f>
        <v/>
      </c>
      <c r="O498" s="23">
        <f>ROUND(N498*'Methodology &amp; Assumptions'!$B$8, 0)</f>
        <v/>
      </c>
      <c r="P498" s="44" t="inlineStr">
        <is>
          <t>Band n50 (1.5 GHz, 60 MHz)</t>
        </is>
      </c>
      <c r="Q498" s="38">
        <f>ROUNDUP(O498/'Methodology &amp; Assumptions'!$B$9, 0)</f>
        <v/>
      </c>
      <c r="R498" s="39" t="n">
        <v>1</v>
      </c>
      <c r="S498" s="25" t="n">
        <v>0.95</v>
      </c>
      <c r="T498" s="25" t="n">
        <v>0.07000000000000001</v>
      </c>
      <c r="U498" s="42" t="inlineStr">
        <is>
          <t>Tier 1A (Direct Coloc, &lt;1 km)</t>
        </is>
      </c>
      <c r="V498" s="24" t="n">
        <v>82.90000000000001</v>
      </c>
      <c r="W498" s="24" t="n">
        <v>64.3</v>
      </c>
      <c r="X498" s="24" t="n">
        <v>58</v>
      </c>
      <c r="Y498" s="45">
        <f>ROUND((V498*'Methodology &amp; Assumptions'!$B$6)+(W498*'Methodology &amp; Assumptions'!$B$5)+(X498*'Methodology &amp; Assumptions'!$B$7), 2)</f>
        <v/>
      </c>
    </row>
    <row r="499" ht="19" customHeight="1">
      <c r="A499" s="35" t="n">
        <v>495</v>
      </c>
      <c r="B499" s="35" t="n">
        <v>2495</v>
      </c>
      <c r="C499" s="36" t="inlineStr">
        <is>
          <t>1130700181</t>
        </is>
      </c>
      <c r="D499" s="36" t="inlineStr">
        <is>
          <t>Region XI (Davao Region)</t>
        </is>
      </c>
      <c r="E499" s="36" t="inlineStr">
        <is>
          <t>Davao del Sur</t>
        </is>
      </c>
      <c r="F499" s="36" t="inlineStr">
        <is>
          <t>City of Davao</t>
        </is>
      </c>
      <c r="G499" s="36" t="inlineStr">
        <is>
          <t>Gov. Paciano Bangoy</t>
        </is>
      </c>
      <c r="H499" s="37" t="n">
        <v>7.092205</v>
      </c>
      <c r="I499" s="37" t="n">
        <v>125.61798</v>
      </c>
      <c r="J499" s="8" t="inlineStr">
        <is>
          <t>U</t>
        </is>
      </c>
      <c r="K499" s="36" t="inlineStr">
        <is>
          <t>Class 1-3 / Urban</t>
        </is>
      </c>
      <c r="L499" s="18" t="n">
        <v>7601</v>
      </c>
      <c r="M499" s="20" t="n">
        <v>4.1</v>
      </c>
      <c r="N499" s="18">
        <f>ROUND(L499/M499, 0)</f>
        <v/>
      </c>
      <c r="O499" s="18">
        <f>ROUND(N499*'Methodology &amp; Assumptions'!$B$8, 0)</f>
        <v/>
      </c>
      <c r="P499" s="8" t="inlineStr">
        <is>
          <t>Band n50 (1.5 GHz, 60 MHz)</t>
        </is>
      </c>
      <c r="Q499" s="38">
        <f>ROUNDUP(O499/'Methodology &amp; Assumptions'!$B$9, 0)</f>
        <v/>
      </c>
      <c r="R499" s="39" t="n">
        <v>1</v>
      </c>
      <c r="S499" s="21" t="n">
        <v>1.39</v>
      </c>
      <c r="T499" s="21" t="n">
        <v>0.5</v>
      </c>
      <c r="U499" s="36" t="inlineStr">
        <is>
          <t>Tier 1B (Micro Drop, 1-3 km)</t>
        </is>
      </c>
      <c r="V499" s="20" t="n">
        <v>72.90000000000001</v>
      </c>
      <c r="W499" s="20" t="n">
        <v>100</v>
      </c>
      <c r="X499" s="20" t="n">
        <v>28</v>
      </c>
      <c r="Y499" s="40">
        <f>ROUND((V499*'Methodology &amp; Assumptions'!$B$6)+(W499*'Methodology &amp; Assumptions'!$B$5)+(X499*'Methodology &amp; Assumptions'!$B$7), 2)</f>
        <v/>
      </c>
    </row>
    <row r="500" ht="19" customHeight="1">
      <c r="A500" s="41" t="n">
        <v>496</v>
      </c>
      <c r="B500" s="41" t="n">
        <v>2496</v>
      </c>
      <c r="C500" s="42" t="inlineStr">
        <is>
          <t>0203135024</t>
        </is>
      </c>
      <c r="D500" s="42" t="inlineStr">
        <is>
          <t>Region II (Cagayan Valley)</t>
        </is>
      </c>
      <c r="E500" s="42" t="inlineStr">
        <is>
          <t>Isabela</t>
        </is>
      </c>
      <c r="F500" s="42" t="inlineStr">
        <is>
          <t>City of Santiago</t>
        </is>
      </c>
      <c r="G500" s="42" t="inlineStr">
        <is>
          <t>Plaridel</t>
        </is>
      </c>
      <c r="H500" s="43" t="n">
        <v>16.687568</v>
      </c>
      <c r="I500" s="43" t="n">
        <v>121.539549</v>
      </c>
      <c r="J500" s="44" t="inlineStr">
        <is>
          <t>U</t>
        </is>
      </c>
      <c r="K500" s="42" t="inlineStr">
        <is>
          <t>Class 1-3 / Urban</t>
        </is>
      </c>
      <c r="L500" s="23" t="n">
        <v>7377</v>
      </c>
      <c r="M500" s="24" t="n">
        <v>4.3</v>
      </c>
      <c r="N500" s="23">
        <f>ROUND(L500/M500, 0)</f>
        <v/>
      </c>
      <c r="O500" s="23">
        <f>ROUND(N500*'Methodology &amp; Assumptions'!$B$8, 0)</f>
        <v/>
      </c>
      <c r="P500" s="44" t="inlineStr">
        <is>
          <t>Band n50 (1.5 GHz, 60 MHz)</t>
        </is>
      </c>
      <c r="Q500" s="38">
        <f>ROUNDUP(O500/'Methodology &amp; Assumptions'!$B$9, 0)</f>
        <v/>
      </c>
      <c r="R500" s="39" t="n">
        <v>1</v>
      </c>
      <c r="S500" s="25" t="n">
        <v>1.39</v>
      </c>
      <c r="T500" s="25" t="n">
        <v>0.12</v>
      </c>
      <c r="U500" s="42" t="inlineStr">
        <is>
          <t>Tier 1B (Micro Drop, 1-3 km)</t>
        </is>
      </c>
      <c r="V500" s="24" t="n">
        <v>72.90000000000001</v>
      </c>
      <c r="W500" s="24" t="n">
        <v>100</v>
      </c>
      <c r="X500" s="24" t="n">
        <v>28</v>
      </c>
      <c r="Y500" s="45">
        <f>ROUND((V500*'Methodology &amp; Assumptions'!$B$6)+(W500*'Methodology &amp; Assumptions'!$B$5)+(X500*'Methodology &amp; Assumptions'!$B$7), 2)</f>
        <v/>
      </c>
    </row>
    <row r="501" ht="19" customHeight="1">
      <c r="A501" s="35" t="n">
        <v>497</v>
      </c>
      <c r="B501" s="35" t="n">
        <v>2497</v>
      </c>
      <c r="C501" s="36" t="inlineStr">
        <is>
          <t>0402117007</t>
        </is>
      </c>
      <c r="D501" s="36" t="inlineStr">
        <is>
          <t>Region IV-A (CALABARZON)</t>
        </is>
      </c>
      <c r="E501" s="36" t="inlineStr">
        <is>
          <t>Cavite</t>
        </is>
      </c>
      <c r="F501" s="36" t="inlineStr">
        <is>
          <t>Rosario</t>
        </is>
      </c>
      <c r="G501" s="36" t="inlineStr">
        <is>
          <t>Muzon I</t>
        </is>
      </c>
      <c r="H501" s="37" t="n">
        <v>14.421047</v>
      </c>
      <c r="I501" s="37" t="n">
        <v>120.854093</v>
      </c>
      <c r="J501" s="8" t="inlineStr">
        <is>
          <t>R</t>
        </is>
      </c>
      <c r="K501" s="36" t="inlineStr">
        <is>
          <t>Class 1-3 / Urban</t>
        </is>
      </c>
      <c r="L501" s="18" t="n">
        <v>3886</v>
      </c>
      <c r="M501" s="20" t="n">
        <v>4.49</v>
      </c>
      <c r="N501" s="18">
        <f>ROUND(L501/M501, 0)</f>
        <v/>
      </c>
      <c r="O501" s="18">
        <f>ROUND(N501*'Methodology &amp; Assumptions'!$B$8, 0)</f>
        <v/>
      </c>
      <c r="P501" s="8" t="inlineStr">
        <is>
          <t>Band n50 (1.5 GHz, 60 MHz)</t>
        </is>
      </c>
      <c r="Q501" s="38">
        <f>ROUNDUP(O501/'Methodology &amp; Assumptions'!$B$9, 0)</f>
        <v/>
      </c>
      <c r="R501" s="39" t="n">
        <v>1</v>
      </c>
      <c r="S501" s="21" t="n">
        <v>2.68</v>
      </c>
      <c r="T501" s="21" t="n">
        <v>2.87</v>
      </c>
      <c r="U501" s="36" t="inlineStr">
        <is>
          <t>Tier 1B (Micro Drop, 1-3 km)</t>
        </is>
      </c>
      <c r="V501" s="20" t="n">
        <v>40.9</v>
      </c>
      <c r="W501" s="20" t="n">
        <v>93.3</v>
      </c>
      <c r="X501" s="20" t="n">
        <v>73</v>
      </c>
      <c r="Y501" s="40">
        <f>ROUND((V501*'Methodology &amp; Assumptions'!$B$6)+(W501*'Methodology &amp; Assumptions'!$B$5)+(X501*'Methodology &amp; Assumptions'!$B$7), 2)</f>
        <v/>
      </c>
    </row>
    <row r="502" ht="19" customHeight="1">
      <c r="A502" s="41" t="n">
        <v>498</v>
      </c>
      <c r="B502" s="41" t="n">
        <v>2498</v>
      </c>
      <c r="C502" s="42" t="inlineStr">
        <is>
          <t>0402123020</t>
        </is>
      </c>
      <c r="D502" s="42" t="inlineStr">
        <is>
          <t>Region IV-A (CALABARZON)</t>
        </is>
      </c>
      <c r="E502" s="42" t="inlineStr">
        <is>
          <t>Cavite</t>
        </is>
      </c>
      <c r="F502" s="42" t="inlineStr">
        <is>
          <t>Gen. Mariano Alvarez</t>
        </is>
      </c>
      <c r="G502" s="42" t="inlineStr">
        <is>
          <t>Marcelino Memije</t>
        </is>
      </c>
      <c r="H502" s="43" t="n">
        <v>14.300658</v>
      </c>
      <c r="I502" s="43" t="n">
        <v>121.01129</v>
      </c>
      <c r="J502" s="44" t="inlineStr">
        <is>
          <t>R</t>
        </is>
      </c>
      <c r="K502" s="42" t="inlineStr">
        <is>
          <t>Class 1-3 / Urban</t>
        </is>
      </c>
      <c r="L502" s="23" t="n">
        <v>4952</v>
      </c>
      <c r="M502" s="24" t="n">
        <v>4.49</v>
      </c>
      <c r="N502" s="23">
        <f>ROUND(L502/M502, 0)</f>
        <v/>
      </c>
      <c r="O502" s="23">
        <f>ROUND(N502*'Methodology &amp; Assumptions'!$B$8, 0)</f>
        <v/>
      </c>
      <c r="P502" s="44" t="inlineStr">
        <is>
          <t>Band n50 (1.5 GHz, 60 MHz)</t>
        </is>
      </c>
      <c r="Q502" s="38">
        <f>ROUNDUP(O502/'Methodology &amp; Assumptions'!$B$9, 0)</f>
        <v/>
      </c>
      <c r="R502" s="39" t="n">
        <v>1</v>
      </c>
      <c r="S502" s="25" t="n">
        <v>2.26</v>
      </c>
      <c r="T502" s="25" t="n">
        <v>4.33</v>
      </c>
      <c r="U502" s="42" t="inlineStr">
        <is>
          <t>Tier 1B (Micro Drop, 1-3 km)</t>
        </is>
      </c>
      <c r="V502" s="24" t="n">
        <v>47.1</v>
      </c>
      <c r="W502" s="24" t="n">
        <v>100</v>
      </c>
      <c r="X502" s="24" t="n">
        <v>58</v>
      </c>
      <c r="Y502" s="45">
        <f>ROUND((V502*'Methodology &amp; Assumptions'!$B$6)+(W502*'Methodology &amp; Assumptions'!$B$5)+(X502*'Methodology &amp; Assumptions'!$B$7), 2)</f>
        <v/>
      </c>
    </row>
    <row r="503" ht="19" customHeight="1">
      <c r="A503" s="35" t="n">
        <v>499</v>
      </c>
      <c r="B503" s="35" t="n">
        <v>2499</v>
      </c>
      <c r="C503" s="36" t="inlineStr">
        <is>
          <t>0603018019</t>
        </is>
      </c>
      <c r="D503" s="36" t="inlineStr">
        <is>
          <t>Region VI (Western Visayas)</t>
        </is>
      </c>
      <c r="E503" s="36" t="inlineStr">
        <is>
          <t>Iloilo</t>
        </is>
      </c>
      <c r="F503" s="36" t="inlineStr">
        <is>
          <t>Dumangas</t>
        </is>
      </c>
      <c r="G503" s="36" t="inlineStr">
        <is>
          <t>Ermita</t>
        </is>
      </c>
      <c r="H503" s="37" t="n">
        <v>10.817481</v>
      </c>
      <c r="I503" s="37" t="n">
        <v>122.693673</v>
      </c>
      <c r="J503" s="8" t="inlineStr">
        <is>
          <t>R</t>
        </is>
      </c>
      <c r="K503" s="36" t="inlineStr">
        <is>
          <t>Class 1-3 / Urban</t>
        </is>
      </c>
      <c r="L503" s="18" t="n">
        <v>3377</v>
      </c>
      <c r="M503" s="20" t="n">
        <v>4.39</v>
      </c>
      <c r="N503" s="18">
        <f>ROUND(L503/M503, 0)</f>
        <v/>
      </c>
      <c r="O503" s="18">
        <f>ROUND(N503*'Methodology &amp; Assumptions'!$B$8, 0)</f>
        <v/>
      </c>
      <c r="P503" s="8" t="inlineStr">
        <is>
          <t>Band n50 (1.5 GHz, 60 MHz)</t>
        </is>
      </c>
      <c r="Q503" s="38">
        <f>ROUNDUP(O503/'Methodology &amp; Assumptions'!$B$9, 0)</f>
        <v/>
      </c>
      <c r="R503" s="39" t="n">
        <v>1</v>
      </c>
      <c r="S503" s="21" t="n">
        <v>1.99</v>
      </c>
      <c r="T503" s="21" t="n">
        <v>0.59</v>
      </c>
      <c r="U503" s="36" t="inlineStr">
        <is>
          <t>Tier 1B (Micro Drop, 1-3 km)</t>
        </is>
      </c>
      <c r="V503" s="20" t="n">
        <v>61.5</v>
      </c>
      <c r="W503" s="20" t="n">
        <v>85.59999999999999</v>
      </c>
      <c r="X503" s="20" t="n">
        <v>58</v>
      </c>
      <c r="Y503" s="40">
        <f>ROUND((V503*'Methodology &amp; Assumptions'!$B$6)+(W503*'Methodology &amp; Assumptions'!$B$5)+(X503*'Methodology &amp; Assumptions'!$B$7), 2)</f>
        <v/>
      </c>
    </row>
    <row r="504" ht="19" customHeight="1">
      <c r="A504" s="41" t="n">
        <v>500</v>
      </c>
      <c r="B504" s="41" t="n">
        <v>2500</v>
      </c>
      <c r="C504" s="42" t="inlineStr">
        <is>
          <t>0307113023</t>
        </is>
      </c>
      <c r="D504" s="42" t="inlineStr">
        <is>
          <t>Region III (Central Luzon)</t>
        </is>
      </c>
      <c r="E504" s="42" t="inlineStr">
        <is>
          <t>Zambales</t>
        </is>
      </c>
      <c r="F504" s="42" t="inlineStr">
        <is>
          <t>Santa Cruz</t>
        </is>
      </c>
      <c r="G504" s="42" t="inlineStr">
        <is>
          <t>San Fernando</t>
        </is>
      </c>
      <c r="H504" s="43" t="n">
        <v>15.757526</v>
      </c>
      <c r="I504" s="43" t="n">
        <v>119.917521</v>
      </c>
      <c r="J504" s="44" t="inlineStr">
        <is>
          <t>R</t>
        </is>
      </c>
      <c r="K504" s="42" t="inlineStr">
        <is>
          <t>Class 1-3 / Urban</t>
        </is>
      </c>
      <c r="L504" s="23" t="n">
        <v>2597</v>
      </c>
      <c r="M504" s="24" t="n">
        <v>4.05</v>
      </c>
      <c r="N504" s="23">
        <f>ROUND(L504/M504, 0)</f>
        <v/>
      </c>
      <c r="O504" s="23">
        <f>ROUND(N504*'Methodology &amp; Assumptions'!$B$8, 0)</f>
        <v/>
      </c>
      <c r="P504" s="44" t="inlineStr">
        <is>
          <t>Band n50 (1.5 GHz, 60 MHz)</t>
        </is>
      </c>
      <c r="Q504" s="38">
        <f>ROUNDUP(O504/'Methodology &amp; Assumptions'!$B$9, 0)</f>
        <v/>
      </c>
      <c r="R504" s="39" t="n">
        <v>1</v>
      </c>
      <c r="S504" s="25" t="n">
        <v>1.44</v>
      </c>
      <c r="T504" s="25" t="n">
        <v>0.73</v>
      </c>
      <c r="U504" s="42" t="inlineStr">
        <is>
          <t>Tier 1B (Micro Drop, 1-3 km)</t>
        </is>
      </c>
      <c r="V504" s="24" t="n">
        <v>71.90000000000001</v>
      </c>
      <c r="W504" s="24" t="n">
        <v>75.2</v>
      </c>
      <c r="X504" s="24" t="n">
        <v>58</v>
      </c>
      <c r="Y504" s="45">
        <f>ROUND((V504*'Methodology &amp; Assumptions'!$B$6)+(W504*'Methodology &amp; Assumptions'!$B$5)+(X504*'Methodology &amp; Assumptions'!$B$7), 2)</f>
        <v/>
      </c>
    </row>
    <row r="505" ht="19" customHeight="1">
      <c r="A505" s="35" t="n">
        <v>501</v>
      </c>
      <c r="B505" s="35" t="n">
        <v>2501</v>
      </c>
      <c r="C505" s="36" t="inlineStr">
        <is>
          <t>0702251016</t>
        </is>
      </c>
      <c r="D505" s="36" t="inlineStr">
        <is>
          <t>Region VII (Central Visayas)</t>
        </is>
      </c>
      <c r="E505" s="36" t="inlineStr">
        <is>
          <t>Cebu</t>
        </is>
      </c>
      <c r="F505" s="36" t="inlineStr">
        <is>
          <t>City of Toledo</t>
        </is>
      </c>
      <c r="G505" s="36" t="inlineStr">
        <is>
          <t>Don Andres Soriano</t>
        </is>
      </c>
      <c r="H505" s="37" t="n">
        <v>10.30776</v>
      </c>
      <c r="I505" s="37" t="n">
        <v>123.705587</v>
      </c>
      <c r="J505" s="8" t="inlineStr">
        <is>
          <t>U</t>
        </is>
      </c>
      <c r="K505" s="36" t="inlineStr">
        <is>
          <t>Class 1-3 / Urban</t>
        </is>
      </c>
      <c r="L505" s="18" t="n">
        <v>18948</v>
      </c>
      <c r="M505" s="20" t="n">
        <v>4.42</v>
      </c>
      <c r="N505" s="18">
        <f>ROUND(L505/M505, 0)</f>
        <v/>
      </c>
      <c r="O505" s="18">
        <f>ROUND(N505*'Methodology &amp; Assumptions'!$B$8, 0)</f>
        <v/>
      </c>
      <c r="P505" s="8" t="inlineStr">
        <is>
          <t>Band n50 (1.5 GHz, 60 MHz)</t>
        </is>
      </c>
      <c r="Q505" s="38">
        <f>ROUNDUP(O505/'Methodology &amp; Assumptions'!$B$9, 0)</f>
        <v/>
      </c>
      <c r="R505" s="39" t="n">
        <v>1</v>
      </c>
      <c r="S505" s="21" t="n">
        <v>1.4</v>
      </c>
      <c r="T505" s="21" t="n">
        <v>0.4</v>
      </c>
      <c r="U505" s="36" t="inlineStr">
        <is>
          <t>Tier 1B (Micro Drop, 1-3 km)</t>
        </is>
      </c>
      <c r="V505" s="20" t="n">
        <v>72.8</v>
      </c>
      <c r="W505" s="20" t="n">
        <v>100</v>
      </c>
      <c r="X505" s="20" t="n">
        <v>28</v>
      </c>
      <c r="Y505" s="40">
        <f>ROUND((V505*'Methodology &amp; Assumptions'!$B$6)+(W505*'Methodology &amp; Assumptions'!$B$5)+(X505*'Methodology &amp; Assumptions'!$B$7), 2)</f>
        <v/>
      </c>
    </row>
    <row r="506" ht="19" customHeight="1">
      <c r="A506" s="41" t="n">
        <v>502</v>
      </c>
      <c r="B506" s="41" t="n">
        <v>2502</v>
      </c>
      <c r="C506" s="42" t="inlineStr">
        <is>
          <t>0305416032</t>
        </is>
      </c>
      <c r="D506" s="42" t="inlineStr">
        <is>
          <t>Region III (Central Luzon)</t>
        </is>
      </c>
      <c r="E506" s="42" t="inlineStr">
        <is>
          <t>Pampanga</t>
        </is>
      </c>
      <c r="F506" s="42" t="inlineStr">
        <is>
          <t>City of San Fernando</t>
        </is>
      </c>
      <c r="G506" s="42" t="inlineStr">
        <is>
          <t>Santa Lucia</t>
        </is>
      </c>
      <c r="H506" s="43" t="n">
        <v>15.219729</v>
      </c>
      <c r="I506" s="43" t="n">
        <v>120.628986</v>
      </c>
      <c r="J506" s="44" t="inlineStr">
        <is>
          <t>U</t>
        </is>
      </c>
      <c r="K506" s="42" t="inlineStr">
        <is>
          <t>Class 1-3 / Urban</t>
        </is>
      </c>
      <c r="L506" s="23" t="n">
        <v>10090</v>
      </c>
      <c r="M506" s="24" t="n">
        <v>4.63</v>
      </c>
      <c r="N506" s="23">
        <f>ROUND(L506/M506, 0)</f>
        <v/>
      </c>
      <c r="O506" s="23">
        <f>ROUND(N506*'Methodology &amp; Assumptions'!$B$8, 0)</f>
        <v/>
      </c>
      <c r="P506" s="44" t="inlineStr">
        <is>
          <t>Band n50 (1.5 GHz, 60 MHz)</t>
        </is>
      </c>
      <c r="Q506" s="38">
        <f>ROUNDUP(O506/'Methodology &amp; Assumptions'!$B$9, 0)</f>
        <v/>
      </c>
      <c r="R506" s="39" t="n">
        <v>1</v>
      </c>
      <c r="S506" s="25" t="n">
        <v>0.95</v>
      </c>
      <c r="T506" s="25" t="n">
        <v>2.03</v>
      </c>
      <c r="U506" s="42" t="inlineStr">
        <is>
          <t>Tier 1A (Direct Coloc, &lt;1 km)</t>
        </is>
      </c>
      <c r="V506" s="24" t="n">
        <v>72.8</v>
      </c>
      <c r="W506" s="24" t="n">
        <v>100</v>
      </c>
      <c r="X506" s="24" t="n">
        <v>28</v>
      </c>
      <c r="Y506" s="45">
        <f>ROUND((V506*'Methodology &amp; Assumptions'!$B$6)+(W506*'Methodology &amp; Assumptions'!$B$5)+(X506*'Methodology &amp; Assumptions'!$B$7), 2)</f>
        <v/>
      </c>
    </row>
    <row r="507" ht="19" customHeight="1">
      <c r="A507" s="35" t="n">
        <v>503</v>
      </c>
      <c r="B507" s="35" t="n">
        <v>2503</v>
      </c>
      <c r="C507" s="36" t="inlineStr">
        <is>
          <t>0305411021</t>
        </is>
      </c>
      <c r="D507" s="36" t="inlineStr">
        <is>
          <t>Region III (Central Luzon)</t>
        </is>
      </c>
      <c r="E507" s="36" t="inlineStr">
        <is>
          <t>Pampanga</t>
        </is>
      </c>
      <c r="F507" s="36" t="inlineStr">
        <is>
          <t>Magalang</t>
        </is>
      </c>
      <c r="G507" s="36" t="inlineStr">
        <is>
          <t>Santa Lucia</t>
        </is>
      </c>
      <c r="H507" s="37" t="n">
        <v>15.219729</v>
      </c>
      <c r="I507" s="37" t="n">
        <v>120.628987</v>
      </c>
      <c r="J507" s="8" t="inlineStr">
        <is>
          <t>U</t>
        </is>
      </c>
      <c r="K507" s="36" t="inlineStr">
        <is>
          <t>Class 1-3 / Urban</t>
        </is>
      </c>
      <c r="L507" s="18" t="n">
        <v>9673</v>
      </c>
      <c r="M507" s="20" t="n">
        <v>4.63</v>
      </c>
      <c r="N507" s="18">
        <f>ROUND(L507/M507, 0)</f>
        <v/>
      </c>
      <c r="O507" s="18">
        <f>ROUND(N507*'Methodology &amp; Assumptions'!$B$8, 0)</f>
        <v/>
      </c>
      <c r="P507" s="8" t="inlineStr">
        <is>
          <t>Band n50 (1.5 GHz, 60 MHz)</t>
        </is>
      </c>
      <c r="Q507" s="38">
        <f>ROUNDUP(O507/'Methodology &amp; Assumptions'!$B$9, 0)</f>
        <v/>
      </c>
      <c r="R507" s="39" t="n">
        <v>1</v>
      </c>
      <c r="S507" s="21" t="n">
        <v>0.95</v>
      </c>
      <c r="T507" s="21" t="n">
        <v>2.03</v>
      </c>
      <c r="U507" s="36" t="inlineStr">
        <is>
          <t>Tier 1A (Direct Coloc, &lt;1 km)</t>
        </is>
      </c>
      <c r="V507" s="20" t="n">
        <v>72.8</v>
      </c>
      <c r="W507" s="20" t="n">
        <v>100</v>
      </c>
      <c r="X507" s="20" t="n">
        <v>28</v>
      </c>
      <c r="Y507" s="40">
        <f>ROUND((V507*'Methodology &amp; Assumptions'!$B$6)+(W507*'Methodology &amp; Assumptions'!$B$5)+(X507*'Methodology &amp; Assumptions'!$B$7), 2)</f>
        <v/>
      </c>
    </row>
    <row r="508" ht="19" customHeight="1">
      <c r="A508" s="41" t="n">
        <v>504</v>
      </c>
      <c r="B508" s="41" t="n">
        <v>2504</v>
      </c>
      <c r="C508" s="42" t="inlineStr">
        <is>
          <t>0307109013</t>
        </is>
      </c>
      <c r="D508" s="42" t="inlineStr">
        <is>
          <t>Region III (Central Luzon)</t>
        </is>
      </c>
      <c r="E508" s="42" t="inlineStr">
        <is>
          <t>Zambales</t>
        </is>
      </c>
      <c r="F508" s="42" t="inlineStr">
        <is>
          <t>San Antonio</t>
        </is>
      </c>
      <c r="G508" s="42" t="inlineStr">
        <is>
          <t>Santiago</t>
        </is>
      </c>
      <c r="H508" s="43" t="n">
        <v>14.947582</v>
      </c>
      <c r="I508" s="43" t="n">
        <v>120.085716</v>
      </c>
      <c r="J508" s="44" t="inlineStr">
        <is>
          <t>R</t>
        </is>
      </c>
      <c r="K508" s="42" t="inlineStr">
        <is>
          <t>Class 1-3 / Urban</t>
        </is>
      </c>
      <c r="L508" s="23" t="n">
        <v>1552</v>
      </c>
      <c r="M508" s="24" t="n">
        <v>4.05</v>
      </c>
      <c r="N508" s="23">
        <f>ROUND(L508/M508, 0)</f>
        <v/>
      </c>
      <c r="O508" s="23">
        <f>ROUND(N508*'Methodology &amp; Assumptions'!$B$8, 0)</f>
        <v/>
      </c>
      <c r="P508" s="44" t="inlineStr">
        <is>
          <t>Band n50 (1.5 GHz, 60 MHz)</t>
        </is>
      </c>
      <c r="Q508" s="38">
        <f>ROUNDUP(O508/'Methodology &amp; Assumptions'!$B$9, 0)</f>
        <v/>
      </c>
      <c r="R508" s="39" t="n">
        <v>1</v>
      </c>
      <c r="S508" s="25" t="n">
        <v>0.58</v>
      </c>
      <c r="T508" s="25" t="n">
        <v>0.51</v>
      </c>
      <c r="U508" s="42" t="inlineStr">
        <is>
          <t>Tier 1A (Direct Coloc, &lt;1 km)</t>
        </is>
      </c>
      <c r="V508" s="24" t="n">
        <v>92.40000000000001</v>
      </c>
      <c r="W508" s="24" t="n">
        <v>54.7</v>
      </c>
      <c r="X508" s="24" t="n">
        <v>58</v>
      </c>
      <c r="Y508" s="45">
        <f>ROUND((V508*'Methodology &amp; Assumptions'!$B$6)+(W508*'Methodology &amp; Assumptions'!$B$5)+(X508*'Methodology &amp; Assumptions'!$B$7), 2)</f>
        <v/>
      </c>
    </row>
    <row r="509" ht="19" customHeight="1">
      <c r="A509" s="35" t="n">
        <v>505</v>
      </c>
      <c r="B509" s="35" t="n">
        <v>2505</v>
      </c>
      <c r="C509" s="36" t="inlineStr">
        <is>
          <t>1206317013</t>
        </is>
      </c>
      <c r="D509" s="36" t="inlineStr">
        <is>
          <t>Region XII (SOCCSKSARGEN)</t>
        </is>
      </c>
      <c r="E509" s="36" t="inlineStr">
        <is>
          <t>South Cotabato</t>
        </is>
      </c>
      <c r="F509" s="36" t="inlineStr">
        <is>
          <t>Tupi</t>
        </is>
      </c>
      <c r="G509" s="36" t="inlineStr">
        <is>
          <t>Poblacion</t>
        </is>
      </c>
      <c r="H509" s="37" t="n">
        <v>6.338944</v>
      </c>
      <c r="I509" s="37" t="n">
        <v>124.9516</v>
      </c>
      <c r="J509" s="8" t="inlineStr">
        <is>
          <t>U</t>
        </is>
      </c>
      <c r="K509" s="36" t="inlineStr">
        <is>
          <t>Class 1-3 / Urban</t>
        </is>
      </c>
      <c r="L509" s="18" t="n">
        <v>15398</v>
      </c>
      <c r="M509" s="20" t="n">
        <v>4.1</v>
      </c>
      <c r="N509" s="18">
        <f>ROUND(L509/M509, 0)</f>
        <v/>
      </c>
      <c r="O509" s="18">
        <f>ROUND(N509*'Methodology &amp; Assumptions'!$B$8, 0)</f>
        <v/>
      </c>
      <c r="P509" s="8" t="inlineStr">
        <is>
          <t>Band n50 (1.5 GHz, 60 MHz)</t>
        </is>
      </c>
      <c r="Q509" s="38">
        <f>ROUNDUP(O509/'Methodology &amp; Assumptions'!$B$9, 0)</f>
        <v/>
      </c>
      <c r="R509" s="39" t="n">
        <v>1</v>
      </c>
      <c r="S509" s="21" t="n">
        <v>0.95</v>
      </c>
      <c r="T509" s="21" t="n">
        <v>7.57</v>
      </c>
      <c r="U509" s="36" t="inlineStr">
        <is>
          <t>Tier 1A (Direct Coloc, &lt;1 km)</t>
        </is>
      </c>
      <c r="V509" s="20" t="n">
        <v>72.8</v>
      </c>
      <c r="W509" s="20" t="n">
        <v>100</v>
      </c>
      <c r="X509" s="20" t="n">
        <v>28</v>
      </c>
      <c r="Y509" s="40">
        <f>ROUND((V509*'Methodology &amp; Assumptions'!$B$6)+(W509*'Methodology &amp; Assumptions'!$B$5)+(X509*'Methodology &amp; Assumptions'!$B$7), 2)</f>
        <v/>
      </c>
    </row>
    <row r="510" ht="19" customHeight="1">
      <c r="A510" s="41" t="n">
        <v>506</v>
      </c>
      <c r="B510" s="41" t="n">
        <v>2506</v>
      </c>
      <c r="C510" s="42" t="inlineStr">
        <is>
          <t>0501724003</t>
        </is>
      </c>
      <c r="D510" s="42" t="inlineStr">
        <is>
          <t>Region V (Bicol Region)</t>
        </is>
      </c>
      <c r="E510" s="42" t="inlineStr">
        <is>
          <t>Camarines Sur</t>
        </is>
      </c>
      <c r="F510" s="42" t="inlineStr">
        <is>
          <t>City of Naga</t>
        </is>
      </c>
      <c r="G510" s="42" t="inlineStr">
        <is>
          <t>Bagumbayan Sur</t>
        </is>
      </c>
      <c r="H510" s="43" t="n">
        <v>13.632669</v>
      </c>
      <c r="I510" s="43" t="n">
        <v>123.186757</v>
      </c>
      <c r="J510" s="44" t="inlineStr">
        <is>
          <t>U</t>
        </is>
      </c>
      <c r="K510" s="42" t="inlineStr">
        <is>
          <t>Class 1-3 / Urban</t>
        </is>
      </c>
      <c r="L510" s="23" t="n">
        <v>7867</v>
      </c>
      <c r="M510" s="24" t="n">
        <v>4.9</v>
      </c>
      <c r="N510" s="23">
        <f>ROUND(L510/M510, 0)</f>
        <v/>
      </c>
      <c r="O510" s="23">
        <f>ROUND(N510*'Methodology &amp; Assumptions'!$B$8, 0)</f>
        <v/>
      </c>
      <c r="P510" s="44" t="inlineStr">
        <is>
          <t>Band n50 (1.5 GHz, 60 MHz)</t>
        </is>
      </c>
      <c r="Q510" s="38">
        <f>ROUNDUP(O510/'Methodology &amp; Assumptions'!$B$9, 0)</f>
        <v/>
      </c>
      <c r="R510" s="39" t="n">
        <v>1</v>
      </c>
      <c r="S510" s="25" t="n">
        <v>1.4</v>
      </c>
      <c r="T510" s="25" t="n">
        <v>0.19</v>
      </c>
      <c r="U510" s="42" t="inlineStr">
        <is>
          <t>Tier 1B (Micro Drop, 1-3 km)</t>
        </is>
      </c>
      <c r="V510" s="24" t="n">
        <v>72.8</v>
      </c>
      <c r="W510" s="24" t="n">
        <v>100</v>
      </c>
      <c r="X510" s="24" t="n">
        <v>28</v>
      </c>
      <c r="Y510" s="45">
        <f>ROUND((V510*'Methodology &amp; Assumptions'!$B$6)+(W510*'Methodology &amp; Assumptions'!$B$5)+(X510*'Methodology &amp; Assumptions'!$B$7), 2)</f>
        <v/>
      </c>
    </row>
    <row r="511" ht="19" customHeight="1">
      <c r="A511" s="35" t="n">
        <v>507</v>
      </c>
      <c r="B511" s="35" t="n">
        <v>2507</v>
      </c>
      <c r="C511" s="36" t="inlineStr">
        <is>
          <t>0301410029</t>
        </is>
      </c>
      <c r="D511" s="36" t="inlineStr">
        <is>
          <t>Region III (Central Luzon)</t>
        </is>
      </c>
      <c r="E511" s="36" t="inlineStr">
        <is>
          <t>Bulacan</t>
        </is>
      </c>
      <c r="F511" s="36" t="inlineStr">
        <is>
          <t>City of Malolos</t>
        </is>
      </c>
      <c r="G511" s="36" t="inlineStr">
        <is>
          <t>Mabolo</t>
        </is>
      </c>
      <c r="H511" s="37" t="n">
        <v>14.843617</v>
      </c>
      <c r="I511" s="37" t="n">
        <v>120.824836</v>
      </c>
      <c r="J511" s="8" t="inlineStr">
        <is>
          <t>U</t>
        </is>
      </c>
      <c r="K511" s="36" t="inlineStr">
        <is>
          <t>Class 1-3 / Urban</t>
        </is>
      </c>
      <c r="L511" s="18" t="n">
        <v>6281</v>
      </c>
      <c r="M511" s="20" t="n">
        <v>4.1</v>
      </c>
      <c r="N511" s="18">
        <f>ROUND(L511/M511, 0)</f>
        <v/>
      </c>
      <c r="O511" s="18">
        <f>ROUND(N511*'Methodology &amp; Assumptions'!$B$8, 0)</f>
        <v/>
      </c>
      <c r="P511" s="8" t="inlineStr">
        <is>
          <t>Band n50 (1.5 GHz, 60 MHz)</t>
        </is>
      </c>
      <c r="Q511" s="38">
        <f>ROUNDUP(O511/'Methodology &amp; Assumptions'!$B$9, 0)</f>
        <v/>
      </c>
      <c r="R511" s="39" t="n">
        <v>1</v>
      </c>
      <c r="S511" s="21" t="n">
        <v>1.4</v>
      </c>
      <c r="T511" s="21" t="n">
        <v>0.62</v>
      </c>
      <c r="U511" s="36" t="inlineStr">
        <is>
          <t>Tier 1B (Micro Drop, 1-3 km)</t>
        </is>
      </c>
      <c r="V511" s="20" t="n">
        <v>72.8</v>
      </c>
      <c r="W511" s="20" t="n">
        <v>100</v>
      </c>
      <c r="X511" s="20" t="n">
        <v>28</v>
      </c>
      <c r="Y511" s="40">
        <f>ROUND((V511*'Methodology &amp; Assumptions'!$B$6)+(W511*'Methodology &amp; Assumptions'!$B$5)+(X511*'Methodology &amp; Assumptions'!$B$7), 2)</f>
        <v/>
      </c>
    </row>
    <row r="512" ht="19" customHeight="1">
      <c r="A512" s="41" t="n">
        <v>508</v>
      </c>
      <c r="B512" s="41" t="n">
        <v>2508</v>
      </c>
      <c r="C512" s="42" t="inlineStr">
        <is>
          <t>0304930005</t>
        </is>
      </c>
      <c r="D512" s="42" t="inlineStr">
        <is>
          <t>Region III (Central Luzon)</t>
        </is>
      </c>
      <c r="E512" s="42" t="inlineStr">
        <is>
          <t>Nueva Ecija</t>
        </is>
      </c>
      <c r="F512" s="42" t="inlineStr">
        <is>
          <t>Talavera</t>
        </is>
      </c>
      <c r="G512" s="42" t="inlineStr">
        <is>
          <t>Bakal II</t>
        </is>
      </c>
      <c r="H512" s="43" t="n">
        <v>15.70622</v>
      </c>
      <c r="I512" s="43" t="n">
        <v>120.90058</v>
      </c>
      <c r="J512" s="44" t="inlineStr">
        <is>
          <t>U</t>
        </is>
      </c>
      <c r="K512" s="42" t="inlineStr">
        <is>
          <t>Class 1-3 / Urban</t>
        </is>
      </c>
      <c r="L512" s="23" t="n">
        <v>3724</v>
      </c>
      <c r="M512" s="24" t="n">
        <v>4.32</v>
      </c>
      <c r="N512" s="23">
        <f>ROUND(L512/M512, 0)</f>
        <v/>
      </c>
      <c r="O512" s="23">
        <f>ROUND(N512*'Methodology &amp; Assumptions'!$B$8, 0)</f>
        <v/>
      </c>
      <c r="P512" s="44" t="inlineStr">
        <is>
          <t>Band n50 (1.5 GHz, 60 MHz)</t>
        </is>
      </c>
      <c r="Q512" s="38">
        <f>ROUNDUP(O512/'Methodology &amp; Assumptions'!$B$9, 0)</f>
        <v/>
      </c>
      <c r="R512" s="39" t="n">
        <v>1</v>
      </c>
      <c r="S512" s="25" t="n">
        <v>1.08</v>
      </c>
      <c r="T512" s="25" t="n">
        <v>0.2</v>
      </c>
      <c r="U512" s="42" t="inlineStr">
        <is>
          <t>Tier 1B (Micro Drop, 1-3 km)</t>
        </is>
      </c>
      <c r="V512" s="24" t="n">
        <v>79.7</v>
      </c>
      <c r="W512" s="24" t="n">
        <v>93.09999999999999</v>
      </c>
      <c r="X512" s="24" t="n">
        <v>28</v>
      </c>
      <c r="Y512" s="45">
        <f>ROUND((V512*'Methodology &amp; Assumptions'!$B$6)+(W512*'Methodology &amp; Assumptions'!$B$5)+(X512*'Methodology &amp; Assumptions'!$B$7), 2)</f>
        <v/>
      </c>
    </row>
    <row r="513" ht="19" customHeight="1">
      <c r="A513" s="35" t="n">
        <v>509</v>
      </c>
      <c r="B513" s="35" t="n">
        <v>2509</v>
      </c>
      <c r="C513" s="36" t="inlineStr">
        <is>
          <t>0604524012</t>
        </is>
      </c>
      <c r="D513" s="36" t="inlineStr">
        <is>
          <t>Region VI (Western Visayas)</t>
        </is>
      </c>
      <c r="E513" s="36" t="inlineStr">
        <is>
          <t>Negros Occidental</t>
        </is>
      </c>
      <c r="F513" s="36" t="inlineStr">
        <is>
          <t>City of San Carlos</t>
        </is>
      </c>
      <c r="G513" s="36" t="inlineStr">
        <is>
          <t>Barangay III</t>
        </is>
      </c>
      <c r="H513" s="37" t="n">
        <v>10.48457</v>
      </c>
      <c r="I513" s="37" t="n">
        <v>123.423703</v>
      </c>
      <c r="J513" s="8" t="inlineStr">
        <is>
          <t>U</t>
        </is>
      </c>
      <c r="K513" s="36" t="inlineStr">
        <is>
          <t>Class 1-3 / Urban</t>
        </is>
      </c>
      <c r="L513" s="18" t="n">
        <v>3201</v>
      </c>
      <c r="M513" s="20" t="n">
        <v>4.33</v>
      </c>
      <c r="N513" s="18">
        <f>ROUND(L513/M513, 0)</f>
        <v/>
      </c>
      <c r="O513" s="18">
        <f>ROUND(N513*'Methodology &amp; Assumptions'!$B$8, 0)</f>
        <v/>
      </c>
      <c r="P513" s="8" t="inlineStr">
        <is>
          <t>Band n50 (1.5 GHz, 60 MHz)</t>
        </is>
      </c>
      <c r="Q513" s="38">
        <f>ROUNDUP(O513/'Methodology &amp; Assumptions'!$B$9, 0)</f>
        <v/>
      </c>
      <c r="R513" s="39" t="n">
        <v>1</v>
      </c>
      <c r="S513" s="21" t="n">
        <v>0.6899999999999999</v>
      </c>
      <c r="T513" s="21" t="n">
        <v>0.02</v>
      </c>
      <c r="U513" s="36" t="inlineStr">
        <is>
          <t>Tier 1A (Direct Coloc, &lt;1 km)</t>
        </is>
      </c>
      <c r="V513" s="20" t="n">
        <v>89.59999999999999</v>
      </c>
      <c r="W513" s="20" t="n">
        <v>83.2</v>
      </c>
      <c r="X513" s="20" t="n">
        <v>28</v>
      </c>
      <c r="Y513" s="40">
        <f>ROUND((V513*'Methodology &amp; Assumptions'!$B$6)+(W513*'Methodology &amp; Assumptions'!$B$5)+(X513*'Methodology &amp; Assumptions'!$B$7), 2)</f>
        <v/>
      </c>
    </row>
    <row r="514" ht="19" customHeight="1">
      <c r="A514" s="41" t="n">
        <v>510</v>
      </c>
      <c r="B514" s="41" t="n">
        <v>2510</v>
      </c>
      <c r="C514" s="42" t="inlineStr">
        <is>
          <t>0405607059</t>
        </is>
      </c>
      <c r="D514" s="42" t="inlineStr">
        <is>
          <t>Region IV-A (CALABARZON)</t>
        </is>
      </c>
      <c r="E514" s="42" t="inlineStr">
        <is>
          <t>Quezon</t>
        </is>
      </c>
      <c r="F514" s="42" t="inlineStr">
        <is>
          <t>Calauag</t>
        </is>
      </c>
      <c r="G514" s="42" t="inlineStr">
        <is>
          <t>Pinagbayanan</t>
        </is>
      </c>
      <c r="H514" s="43" t="n">
        <v>13.958154</v>
      </c>
      <c r="I514" s="43" t="n">
        <v>122.294788</v>
      </c>
      <c r="J514" s="44" t="inlineStr">
        <is>
          <t>R</t>
        </is>
      </c>
      <c r="K514" s="42" t="inlineStr">
        <is>
          <t>Class 1-3 / Urban</t>
        </is>
      </c>
      <c r="L514" s="23" t="n">
        <v>2079</v>
      </c>
      <c r="M514" s="24" t="n">
        <v>4.46</v>
      </c>
      <c r="N514" s="23">
        <f>ROUND(L514/M514, 0)</f>
        <v/>
      </c>
      <c r="O514" s="23">
        <f>ROUND(N514*'Methodology &amp; Assumptions'!$B$8, 0)</f>
        <v/>
      </c>
      <c r="P514" s="44" t="inlineStr">
        <is>
          <t>Band n50 (1.5 GHz, 60 MHz)</t>
        </is>
      </c>
      <c r="Q514" s="38">
        <f>ROUNDUP(O514/'Methodology &amp; Assumptions'!$B$9, 0)</f>
        <v/>
      </c>
      <c r="R514" s="39" t="n">
        <v>1</v>
      </c>
      <c r="S514" s="25" t="n">
        <v>0.83</v>
      </c>
      <c r="T514" s="25" t="n">
        <v>0.22</v>
      </c>
      <c r="U514" s="42" t="inlineStr">
        <is>
          <t>Tier 1A (Direct Coloc, &lt;1 km)</t>
        </is>
      </c>
      <c r="V514" s="24" t="n">
        <v>85.7</v>
      </c>
      <c r="W514" s="24" t="n">
        <v>61.3</v>
      </c>
      <c r="X514" s="24" t="n">
        <v>58</v>
      </c>
      <c r="Y514" s="45">
        <f>ROUND((V514*'Methodology &amp; Assumptions'!$B$6)+(W514*'Methodology &amp; Assumptions'!$B$5)+(X514*'Methodology &amp; Assumptions'!$B$7), 2)</f>
        <v/>
      </c>
    </row>
    <row r="515" ht="19" customHeight="1">
      <c r="A515" s="35" t="n">
        <v>511</v>
      </c>
      <c r="B515" s="35" t="n">
        <v>2511</v>
      </c>
      <c r="C515" s="36" t="inlineStr">
        <is>
          <t>0600407008</t>
        </is>
      </c>
      <c r="D515" s="36" t="inlineStr">
        <is>
          <t>Region VI (Western Visayas)</t>
        </is>
      </c>
      <c r="E515" s="36" t="inlineStr">
        <is>
          <t>Aklan</t>
        </is>
      </c>
      <c r="F515" s="36" t="inlineStr">
        <is>
          <t>Kalibo</t>
        </is>
      </c>
      <c r="G515" s="36" t="inlineStr">
        <is>
          <t>Estancia</t>
        </is>
      </c>
      <c r="H515" s="37" t="n">
        <v>11.684955</v>
      </c>
      <c r="I515" s="37" t="n">
        <v>122.365908</v>
      </c>
      <c r="J515" s="8" t="inlineStr">
        <is>
          <t>U</t>
        </is>
      </c>
      <c r="K515" s="36" t="inlineStr">
        <is>
          <t>Class 1-3 / Urban</t>
        </is>
      </c>
      <c r="L515" s="18" t="n">
        <v>9587</v>
      </c>
      <c r="M515" s="20" t="n">
        <v>4.27</v>
      </c>
      <c r="N515" s="18">
        <f>ROUND(L515/M515, 0)</f>
        <v/>
      </c>
      <c r="O515" s="18">
        <f>ROUND(N515*'Methodology &amp; Assumptions'!$B$8, 0)</f>
        <v/>
      </c>
      <c r="P515" s="8" t="inlineStr">
        <is>
          <t>Band n50 (1.5 GHz, 60 MHz)</t>
        </is>
      </c>
      <c r="Q515" s="38">
        <f>ROUNDUP(O515/'Methodology &amp; Assumptions'!$B$9, 0)</f>
        <v/>
      </c>
      <c r="R515" s="39" t="n">
        <v>1</v>
      </c>
      <c r="S515" s="21" t="n">
        <v>1.4</v>
      </c>
      <c r="T515" s="21" t="n">
        <v>0.07000000000000001</v>
      </c>
      <c r="U515" s="36" t="inlineStr">
        <is>
          <t>Tier 1B (Micro Drop, 1-3 km)</t>
        </is>
      </c>
      <c r="V515" s="20" t="n">
        <v>72.8</v>
      </c>
      <c r="W515" s="20" t="n">
        <v>100</v>
      </c>
      <c r="X515" s="20" t="n">
        <v>28</v>
      </c>
      <c r="Y515" s="40">
        <f>ROUND((V515*'Methodology &amp; Assumptions'!$B$6)+(W515*'Methodology &amp; Assumptions'!$B$5)+(X515*'Methodology &amp; Assumptions'!$B$7), 2)</f>
        <v/>
      </c>
    </row>
    <row r="516" ht="19" customHeight="1">
      <c r="A516" s="41" t="n">
        <v>512</v>
      </c>
      <c r="B516" s="41" t="n">
        <v>2512</v>
      </c>
      <c r="C516" s="42" t="inlineStr">
        <is>
          <t>1206317003</t>
        </is>
      </c>
      <c r="D516" s="42" t="inlineStr">
        <is>
          <t>Region XII (SOCCSKSARGEN)</t>
        </is>
      </c>
      <c r="E516" s="42" t="inlineStr">
        <is>
          <t>South Cotabato</t>
        </is>
      </c>
      <c r="F516" s="42" t="inlineStr">
        <is>
          <t>Tupi</t>
        </is>
      </c>
      <c r="G516" s="42" t="inlineStr">
        <is>
          <t>Bunao</t>
        </is>
      </c>
      <c r="H516" s="43" t="n">
        <v>6.324908</v>
      </c>
      <c r="I516" s="43" t="n">
        <v>124.9428</v>
      </c>
      <c r="J516" s="44" t="inlineStr">
        <is>
          <t>U</t>
        </is>
      </c>
      <c r="K516" s="42" t="inlineStr">
        <is>
          <t>Class 1-3 / Urban</t>
        </is>
      </c>
      <c r="L516" s="23" t="n">
        <v>5607</v>
      </c>
      <c r="M516" s="24" t="n">
        <v>4.1</v>
      </c>
      <c r="N516" s="23">
        <f>ROUND(L516/M516, 0)</f>
        <v/>
      </c>
      <c r="O516" s="23">
        <f>ROUND(N516*'Methodology &amp; Assumptions'!$B$8, 0)</f>
        <v/>
      </c>
      <c r="P516" s="44" t="inlineStr">
        <is>
          <t>Band n50 (1.5 GHz, 60 MHz)</t>
        </is>
      </c>
      <c r="Q516" s="38">
        <f>ROUNDUP(O516/'Methodology &amp; Assumptions'!$B$9, 0)</f>
        <v/>
      </c>
      <c r="R516" s="39" t="n">
        <v>1</v>
      </c>
      <c r="S516" s="25" t="n">
        <v>0.95</v>
      </c>
      <c r="T516" s="25" t="n">
        <v>8.119999999999999</v>
      </c>
      <c r="U516" s="42" t="inlineStr">
        <is>
          <t>Tier 1A (Direct Coloc, &lt;1 km)</t>
        </is>
      </c>
      <c r="V516" s="24" t="n">
        <v>72.7</v>
      </c>
      <c r="W516" s="24" t="n">
        <v>100</v>
      </c>
      <c r="X516" s="24" t="n">
        <v>28</v>
      </c>
      <c r="Y516" s="45">
        <f>ROUND((V516*'Methodology &amp; Assumptions'!$B$6)+(W516*'Methodology &amp; Assumptions'!$B$5)+(X516*'Methodology &amp; Assumptions'!$B$7), 2)</f>
        <v/>
      </c>
    </row>
    <row r="517" ht="19" customHeight="1">
      <c r="A517" s="35" t="n">
        <v>513</v>
      </c>
      <c r="B517" s="35" t="n">
        <v>2513</v>
      </c>
      <c r="C517" s="36" t="inlineStr">
        <is>
          <t>0105526018</t>
        </is>
      </c>
      <c r="D517" s="36" t="inlineStr">
        <is>
          <t>Region I (Ilocos Region)</t>
        </is>
      </c>
      <c r="E517" s="36" t="inlineStr">
        <is>
          <t>Pangasinan</t>
        </is>
      </c>
      <c r="F517" s="36" t="inlineStr">
        <is>
          <t>Mangaldan</t>
        </is>
      </c>
      <c r="G517" s="36" t="inlineStr">
        <is>
          <t>Maasin</t>
        </is>
      </c>
      <c r="H517" s="37" t="n">
        <v>16.063292</v>
      </c>
      <c r="I517" s="37" t="n">
        <v>120.37516</v>
      </c>
      <c r="J517" s="8" t="inlineStr">
        <is>
          <t>R</t>
        </is>
      </c>
      <c r="K517" s="36" t="inlineStr">
        <is>
          <t>Class 1-3 / Urban</t>
        </is>
      </c>
      <c r="L517" s="18" t="n">
        <v>4146</v>
      </c>
      <c r="M517" s="20" t="n">
        <v>4.39</v>
      </c>
      <c r="N517" s="18">
        <f>ROUND(L517/M517, 0)</f>
        <v/>
      </c>
      <c r="O517" s="18">
        <f>ROUND(N517*'Methodology &amp; Assumptions'!$B$8, 0)</f>
        <v/>
      </c>
      <c r="P517" s="8" t="inlineStr">
        <is>
          <t>Band n50 (1.5 GHz, 60 MHz)</t>
        </is>
      </c>
      <c r="Q517" s="38">
        <f>ROUNDUP(O517/'Methodology &amp; Assumptions'!$B$9, 0)</f>
        <v/>
      </c>
      <c r="R517" s="39" t="n">
        <v>1</v>
      </c>
      <c r="S517" s="21" t="n">
        <v>2.94</v>
      </c>
      <c r="T517" s="21" t="n">
        <v>1.42</v>
      </c>
      <c r="U517" s="36" t="inlineStr">
        <is>
          <t>Tier 1B (Micro Drop, 1-3 km)</t>
        </is>
      </c>
      <c r="V517" s="20" t="n">
        <v>47.5</v>
      </c>
      <c r="W517" s="20" t="n">
        <v>99.5</v>
      </c>
      <c r="X517" s="20" t="n">
        <v>58</v>
      </c>
      <c r="Y517" s="40">
        <f>ROUND((V517*'Methodology &amp; Assumptions'!$B$6)+(W517*'Methodology &amp; Assumptions'!$B$5)+(X517*'Methodology &amp; Assumptions'!$B$7), 2)</f>
        <v/>
      </c>
    </row>
    <row r="518" ht="19" customHeight="1">
      <c r="A518" s="41" t="n">
        <v>514</v>
      </c>
      <c r="B518" s="41" t="n">
        <v>2514</v>
      </c>
      <c r="C518" s="42" t="inlineStr">
        <is>
          <t>0401005012</t>
        </is>
      </c>
      <c r="D518" s="42" t="inlineStr">
        <is>
          <t>Region IV-A (CALABARZON)</t>
        </is>
      </c>
      <c r="E518" s="42" t="inlineStr">
        <is>
          <t>Batangas</t>
        </is>
      </c>
      <c r="F518" s="42" t="inlineStr">
        <is>
          <t>Batangas City</t>
        </is>
      </c>
      <c r="G518" s="42" t="inlineStr">
        <is>
          <t>Bolbok</t>
        </is>
      </c>
      <c r="H518" s="43" t="n">
        <v>13.772581</v>
      </c>
      <c r="I518" s="43" t="n">
        <v>121.049298</v>
      </c>
      <c r="J518" s="44" t="inlineStr">
        <is>
          <t>U</t>
        </is>
      </c>
      <c r="K518" s="42" t="inlineStr">
        <is>
          <t>Class 1-3 / Urban</t>
        </is>
      </c>
      <c r="L518" s="23" t="n">
        <v>12788</v>
      </c>
      <c r="M518" s="24" t="n">
        <v>4.62</v>
      </c>
      <c r="N518" s="23">
        <f>ROUND(L518/M518, 0)</f>
        <v/>
      </c>
      <c r="O518" s="23">
        <f>ROUND(N518*'Methodology &amp; Assumptions'!$B$8, 0)</f>
        <v/>
      </c>
      <c r="P518" s="44" t="inlineStr">
        <is>
          <t>Band n50 (1.5 GHz, 60 MHz)</t>
        </is>
      </c>
      <c r="Q518" s="38">
        <f>ROUNDUP(O518/'Methodology &amp; Assumptions'!$B$9, 0)</f>
        <v/>
      </c>
      <c r="R518" s="39" t="n">
        <v>1</v>
      </c>
      <c r="S518" s="25" t="n">
        <v>1.4</v>
      </c>
      <c r="T518" s="25" t="n">
        <v>0.26</v>
      </c>
      <c r="U518" s="42" t="inlineStr">
        <is>
          <t>Tier 1B (Micro Drop, 1-3 km)</t>
        </is>
      </c>
      <c r="V518" s="24" t="n">
        <v>72.7</v>
      </c>
      <c r="W518" s="24" t="n">
        <v>100</v>
      </c>
      <c r="X518" s="24" t="n">
        <v>28</v>
      </c>
      <c r="Y518" s="45">
        <f>ROUND((V518*'Methodology &amp; Assumptions'!$B$6)+(W518*'Methodology &amp; Assumptions'!$B$5)+(X518*'Methodology &amp; Assumptions'!$B$7), 2)</f>
        <v/>
      </c>
    </row>
    <row r="519" ht="19" customHeight="1">
      <c r="A519" s="35" t="n">
        <v>515</v>
      </c>
      <c r="B519" s="35" t="n">
        <v>2515</v>
      </c>
      <c r="C519" s="36" t="inlineStr">
        <is>
          <t>0403424063</t>
        </is>
      </c>
      <c r="D519" s="36" t="inlineStr">
        <is>
          <t>Region IV-A (CALABARZON)</t>
        </is>
      </c>
      <c r="E519" s="36" t="inlineStr">
        <is>
          <t>Laguna</t>
        </is>
      </c>
      <c r="F519" s="36" t="inlineStr">
        <is>
          <t>City of San Pablo</t>
        </is>
      </c>
      <c r="G519" s="36" t="inlineStr">
        <is>
          <t>San Rafael</t>
        </is>
      </c>
      <c r="H519" s="37" t="n">
        <v>14.07137</v>
      </c>
      <c r="I519" s="37" t="n">
        <v>121.30814</v>
      </c>
      <c r="J519" s="8" t="inlineStr">
        <is>
          <t>U</t>
        </is>
      </c>
      <c r="K519" s="36" t="inlineStr">
        <is>
          <t>Class 1-3 / Urban</t>
        </is>
      </c>
      <c r="L519" s="18" t="n">
        <v>4672</v>
      </c>
      <c r="M519" s="20" t="n">
        <v>4.2</v>
      </c>
      <c r="N519" s="18">
        <f>ROUND(L519/M519, 0)</f>
        <v/>
      </c>
      <c r="O519" s="18">
        <f>ROUND(N519*'Methodology &amp; Assumptions'!$B$8, 0)</f>
        <v/>
      </c>
      <c r="P519" s="8" t="inlineStr">
        <is>
          <t>Band n50 (1.5 GHz, 60 MHz)</t>
        </is>
      </c>
      <c r="Q519" s="38">
        <f>ROUNDUP(O519/'Methodology &amp; Assumptions'!$B$9, 0)</f>
        <v/>
      </c>
      <c r="R519" s="39" t="n">
        <v>1</v>
      </c>
      <c r="S519" s="21" t="n">
        <v>1.4</v>
      </c>
      <c r="T519" s="21" t="n">
        <v>0.07000000000000001</v>
      </c>
      <c r="U519" s="36" t="inlineStr">
        <is>
          <t>Tier 1B (Micro Drop, 1-3 km)</t>
        </is>
      </c>
      <c r="V519" s="20" t="n">
        <v>72.7</v>
      </c>
      <c r="W519" s="20" t="n">
        <v>100</v>
      </c>
      <c r="X519" s="20" t="n">
        <v>28</v>
      </c>
      <c r="Y519" s="40">
        <f>ROUND((V519*'Methodology &amp; Assumptions'!$B$6)+(W519*'Methodology &amp; Assumptions'!$B$5)+(X519*'Methodology &amp; Assumptions'!$B$7), 2)</f>
        <v/>
      </c>
    </row>
    <row r="520" ht="19" customHeight="1">
      <c r="A520" s="41" t="n">
        <v>516</v>
      </c>
      <c r="B520" s="41" t="n">
        <v>2516</v>
      </c>
      <c r="C520" s="42" t="inlineStr">
        <is>
          <t>0305417002</t>
        </is>
      </c>
      <c r="D520" s="42" t="inlineStr">
        <is>
          <t>Region III (Central Luzon)</t>
        </is>
      </c>
      <c r="E520" s="42" t="inlineStr">
        <is>
          <t>Pampanga</t>
        </is>
      </c>
      <c r="F520" s="42" t="inlineStr">
        <is>
          <t>San Luis</t>
        </is>
      </c>
      <c r="G520" s="42" t="inlineStr">
        <is>
          <t>San Carlos</t>
        </is>
      </c>
      <c r="H520" s="43" t="n">
        <v>15.041275</v>
      </c>
      <c r="I520" s="43" t="n">
        <v>120.760529</v>
      </c>
      <c r="J520" s="44" t="inlineStr">
        <is>
          <t>R</t>
        </is>
      </c>
      <c r="K520" s="42" t="inlineStr">
        <is>
          <t>Class 1-3 / Urban</t>
        </is>
      </c>
      <c r="L520" s="23" t="n">
        <v>4458</v>
      </c>
      <c r="M520" s="24" t="n">
        <v>4.63</v>
      </c>
      <c r="N520" s="23">
        <f>ROUND(L520/M520, 0)</f>
        <v/>
      </c>
      <c r="O520" s="23">
        <f>ROUND(N520*'Methodology &amp; Assumptions'!$B$8, 0)</f>
        <v/>
      </c>
      <c r="P520" s="44" t="inlineStr">
        <is>
          <t>Band n50 (1.5 GHz, 60 MHz)</t>
        </is>
      </c>
      <c r="Q520" s="38">
        <f>ROUNDUP(O520/'Methodology &amp; Assumptions'!$B$9, 0)</f>
        <v/>
      </c>
      <c r="R520" s="39" t="n">
        <v>1</v>
      </c>
      <c r="S520" s="25" t="n">
        <v>2.99</v>
      </c>
      <c r="T520" s="25" t="n">
        <v>1.13</v>
      </c>
      <c r="U520" s="42" t="inlineStr">
        <is>
          <t>Tier 1B (Micro Drop, 1-3 km)</t>
        </is>
      </c>
      <c r="V520" s="24" t="n">
        <v>47</v>
      </c>
      <c r="W520" s="24" t="n">
        <v>100</v>
      </c>
      <c r="X520" s="24" t="n">
        <v>58</v>
      </c>
      <c r="Y520" s="45">
        <f>ROUND((V520*'Methodology &amp; Assumptions'!$B$6)+(W520*'Methodology &amp; Assumptions'!$B$5)+(X520*'Methodology &amp; Assumptions'!$B$7), 2)</f>
        <v/>
      </c>
    </row>
    <row r="521" ht="19" customHeight="1">
      <c r="A521" s="35" t="n">
        <v>517</v>
      </c>
      <c r="B521" s="35" t="n">
        <v>2517</v>
      </c>
      <c r="C521" s="36" t="inlineStr">
        <is>
          <t>0803740052</t>
        </is>
      </c>
      <c r="D521" s="36" t="inlineStr">
        <is>
          <t>Region VIII (Eastern Visayas)</t>
        </is>
      </c>
      <c r="E521" s="36" t="inlineStr">
        <is>
          <t>Leyte</t>
        </is>
      </c>
      <c r="F521" s="36" t="inlineStr">
        <is>
          <t>Palompon</t>
        </is>
      </c>
      <c r="G521" s="36" t="inlineStr">
        <is>
          <t>Bitaog Pob.</t>
        </is>
      </c>
      <c r="H521" s="37" t="n">
        <v>11.0467</v>
      </c>
      <c r="I521" s="37" t="n">
        <v>124.3835</v>
      </c>
      <c r="J521" s="8" t="inlineStr">
        <is>
          <t>R</t>
        </is>
      </c>
      <c r="K521" s="36" t="inlineStr">
        <is>
          <t>Class 1-3 / Urban</t>
        </is>
      </c>
      <c r="L521" s="18" t="n">
        <v>1673</v>
      </c>
      <c r="M521" s="20" t="n">
        <v>4.24</v>
      </c>
      <c r="N521" s="18">
        <f>ROUND(L521/M521, 0)</f>
        <v/>
      </c>
      <c r="O521" s="18">
        <f>ROUND(N521*'Methodology &amp; Assumptions'!$B$8, 0)</f>
        <v/>
      </c>
      <c r="P521" s="8" t="inlineStr">
        <is>
          <t>Band n50 (1.5 GHz, 60 MHz)</t>
        </is>
      </c>
      <c r="Q521" s="38">
        <f>ROUNDUP(O521/'Methodology &amp; Assumptions'!$B$9, 0)</f>
        <v/>
      </c>
      <c r="R521" s="39" t="n">
        <v>1</v>
      </c>
      <c r="S521" s="21" t="n">
        <v>0.61</v>
      </c>
      <c r="T521" s="21" t="n">
        <v>0.17</v>
      </c>
      <c r="U521" s="36" t="inlineStr">
        <is>
          <t>Tier 1A (Direct Coloc, &lt;1 km)</t>
        </is>
      </c>
      <c r="V521" s="20" t="n">
        <v>91.5</v>
      </c>
      <c r="W521" s="20" t="n">
        <v>55.5</v>
      </c>
      <c r="X521" s="20" t="n">
        <v>58</v>
      </c>
      <c r="Y521" s="40">
        <f>ROUND((V521*'Methodology &amp; Assumptions'!$B$6)+(W521*'Methodology &amp; Assumptions'!$B$5)+(X521*'Methodology &amp; Assumptions'!$B$7), 2)</f>
        <v/>
      </c>
    </row>
    <row r="522" ht="19" customHeight="1">
      <c r="A522" s="41" t="n">
        <v>518</v>
      </c>
      <c r="B522" s="41" t="n">
        <v>2518</v>
      </c>
      <c r="C522" s="42" t="inlineStr">
        <is>
          <t>0304926033</t>
        </is>
      </c>
      <c r="D522" s="42" t="inlineStr">
        <is>
          <t>Region III (Central Luzon)</t>
        </is>
      </c>
      <c r="E522" s="42" t="inlineStr">
        <is>
          <t>Nueva Ecija</t>
        </is>
      </c>
      <c r="F522" s="42" t="inlineStr">
        <is>
          <t>San Jose City</t>
        </is>
      </c>
      <c r="G522" s="42" t="inlineStr">
        <is>
          <t>Sibut</t>
        </is>
      </c>
      <c r="H522" s="43" t="n">
        <v>15.79173</v>
      </c>
      <c r="I522" s="43" t="n">
        <v>121.000537</v>
      </c>
      <c r="J522" s="44" t="inlineStr">
        <is>
          <t>U</t>
        </is>
      </c>
      <c r="K522" s="42" t="inlineStr">
        <is>
          <t>Class 1-3 / Urban</t>
        </is>
      </c>
      <c r="L522" s="23" t="n">
        <v>6473</v>
      </c>
      <c r="M522" s="24" t="n">
        <v>4.32</v>
      </c>
      <c r="N522" s="23">
        <f>ROUND(L522/M522, 0)</f>
        <v/>
      </c>
      <c r="O522" s="23">
        <f>ROUND(N522*'Methodology &amp; Assumptions'!$B$8, 0)</f>
        <v/>
      </c>
      <c r="P522" s="44" t="inlineStr">
        <is>
          <t>Band n50 (1.5 GHz, 60 MHz)</t>
        </is>
      </c>
      <c r="Q522" s="38">
        <f>ROUNDUP(O522/'Methodology &amp; Assumptions'!$B$9, 0)</f>
        <v/>
      </c>
      <c r="R522" s="39" t="n">
        <v>1</v>
      </c>
      <c r="S522" s="25" t="n">
        <v>1.4</v>
      </c>
      <c r="T522" s="25" t="n">
        <v>0.92</v>
      </c>
      <c r="U522" s="42" t="inlineStr">
        <is>
          <t>Tier 1B (Micro Drop, 1-3 km)</t>
        </is>
      </c>
      <c r="V522" s="24" t="n">
        <v>72.7</v>
      </c>
      <c r="W522" s="24" t="n">
        <v>100</v>
      </c>
      <c r="X522" s="24" t="n">
        <v>28</v>
      </c>
      <c r="Y522" s="45">
        <f>ROUND((V522*'Methodology &amp; Assumptions'!$B$6)+(W522*'Methodology &amp; Assumptions'!$B$5)+(X522*'Methodology &amp; Assumptions'!$B$7), 2)</f>
        <v/>
      </c>
    </row>
    <row r="523" ht="19" customHeight="1">
      <c r="A523" s="35" t="n">
        <v>519</v>
      </c>
      <c r="B523" s="35" t="n">
        <v>2519</v>
      </c>
      <c r="C523" s="36" t="inlineStr">
        <is>
          <t>0501603031</t>
        </is>
      </c>
      <c r="D523" s="36" t="inlineStr">
        <is>
          <t>Region V (Bicol Region)</t>
        </is>
      </c>
      <c r="E523" s="36" t="inlineStr">
        <is>
          <t>Camarines Norte</t>
        </is>
      </c>
      <c r="F523" s="36" t="inlineStr">
        <is>
          <t>Daet</t>
        </is>
      </c>
      <c r="G523" s="36" t="inlineStr">
        <is>
          <t>Barangay VIII</t>
        </is>
      </c>
      <c r="H523" s="37" t="n">
        <v>14.11367</v>
      </c>
      <c r="I523" s="37" t="n">
        <v>122.95801</v>
      </c>
      <c r="J523" s="8" t="inlineStr">
        <is>
          <t>U</t>
        </is>
      </c>
      <c r="K523" s="36" t="inlineStr">
        <is>
          <t>Class 1-3 / Urban</t>
        </is>
      </c>
      <c r="L523" s="18" t="n">
        <v>2936</v>
      </c>
      <c r="M523" s="20" t="n">
        <v>4.4</v>
      </c>
      <c r="N523" s="18">
        <f>ROUND(L523/M523, 0)</f>
        <v/>
      </c>
      <c r="O523" s="18">
        <f>ROUND(N523*'Methodology &amp; Assumptions'!$B$8, 0)</f>
        <v/>
      </c>
      <c r="P523" s="8" t="inlineStr">
        <is>
          <t>Band n50 (1.5 GHz, 60 MHz)</t>
        </is>
      </c>
      <c r="Q523" s="38">
        <f>ROUNDUP(O523/'Methodology &amp; Assumptions'!$B$9, 0)</f>
        <v/>
      </c>
      <c r="R523" s="39" t="n">
        <v>1</v>
      </c>
      <c r="S523" s="21" t="n">
        <v>0.47</v>
      </c>
      <c r="T523" s="21" t="n">
        <v>1.47</v>
      </c>
      <c r="U523" s="36" t="inlineStr">
        <is>
          <t>Tier 1A (Direct Coloc, &lt;1 km)</t>
        </is>
      </c>
      <c r="V523" s="20" t="n">
        <v>95.40000000000001</v>
      </c>
      <c r="W523" s="20" t="n">
        <v>77.3</v>
      </c>
      <c r="X523" s="20" t="n">
        <v>28</v>
      </c>
      <c r="Y523" s="40">
        <f>ROUND((V523*'Methodology &amp; Assumptions'!$B$6)+(W523*'Methodology &amp; Assumptions'!$B$5)+(X523*'Methodology &amp; Assumptions'!$B$7), 2)</f>
        <v/>
      </c>
    </row>
    <row r="524" ht="19" customHeight="1">
      <c r="A524" s="41" t="n">
        <v>520</v>
      </c>
      <c r="B524" s="41" t="n">
        <v>2520</v>
      </c>
      <c r="C524" s="42" t="inlineStr">
        <is>
          <t>1004311013</t>
        </is>
      </c>
      <c r="D524" s="42" t="inlineStr">
        <is>
          <t>Region X (Northern Mindanao)</t>
        </is>
      </c>
      <c r="E524" s="42" t="inlineStr">
        <is>
          <t>Misamis Oriental</t>
        </is>
      </c>
      <c r="F524" s="42" t="inlineStr">
        <is>
          <t>Jasaan</t>
        </is>
      </c>
      <c r="G524" s="42" t="inlineStr">
        <is>
          <t>Solana</t>
        </is>
      </c>
      <c r="H524" s="43" t="n">
        <v>8.625225</v>
      </c>
      <c r="I524" s="43" t="n">
        <v>124.765335</v>
      </c>
      <c r="J524" s="44" t="inlineStr">
        <is>
          <t>R</t>
        </is>
      </c>
      <c r="K524" s="42" t="inlineStr">
        <is>
          <t>Class 1-3 / Urban</t>
        </is>
      </c>
      <c r="L524" s="23" t="n">
        <v>4566</v>
      </c>
      <c r="M524" s="24" t="n">
        <v>4.54</v>
      </c>
      <c r="N524" s="23">
        <f>ROUND(L524/M524, 0)</f>
        <v/>
      </c>
      <c r="O524" s="23">
        <f>ROUND(N524*'Methodology &amp; Assumptions'!$B$8, 0)</f>
        <v/>
      </c>
      <c r="P524" s="44" t="inlineStr">
        <is>
          <t>Band n50 (1.5 GHz, 60 MHz)</t>
        </is>
      </c>
      <c r="Q524" s="38">
        <f>ROUNDUP(O524/'Methodology &amp; Assumptions'!$B$9, 0)</f>
        <v/>
      </c>
      <c r="R524" s="39" t="n">
        <v>1</v>
      </c>
      <c r="S524" s="25" t="n">
        <v>2.99</v>
      </c>
      <c r="T524" s="25" t="n">
        <v>0.21</v>
      </c>
      <c r="U524" s="42" t="inlineStr">
        <is>
          <t>Tier 1B (Micro Drop, 1-3 km)</t>
        </is>
      </c>
      <c r="V524" s="24" t="n">
        <v>46.9</v>
      </c>
      <c r="W524" s="24" t="n">
        <v>100</v>
      </c>
      <c r="X524" s="24" t="n">
        <v>58</v>
      </c>
      <c r="Y524" s="45">
        <f>ROUND((V524*'Methodology &amp; Assumptions'!$B$6)+(W524*'Methodology &amp; Assumptions'!$B$5)+(X524*'Methodology &amp; Assumptions'!$B$7), 2)</f>
        <v/>
      </c>
    </row>
    <row r="525" ht="19" customHeight="1">
      <c r="A525" s="35" t="n">
        <v>521</v>
      </c>
      <c r="B525" s="35" t="n">
        <v>2521</v>
      </c>
      <c r="C525" s="36" t="inlineStr">
        <is>
          <t>0405804025</t>
        </is>
      </c>
      <c r="D525" s="36" t="inlineStr">
        <is>
          <t>Region IV-A (CALABARZON)</t>
        </is>
      </c>
      <c r="E525" s="36" t="inlineStr">
        <is>
          <t>Rizal</t>
        </is>
      </c>
      <c r="F525" s="36" t="inlineStr">
        <is>
          <t>Binangonan</t>
        </is>
      </c>
      <c r="G525" s="36" t="inlineStr">
        <is>
          <t>Mambog</t>
        </is>
      </c>
      <c r="H525" s="37" t="n">
        <v>14.481448</v>
      </c>
      <c r="I525" s="37" t="n">
        <v>121.21195</v>
      </c>
      <c r="J525" s="8" t="inlineStr">
        <is>
          <t>U</t>
        </is>
      </c>
      <c r="K525" s="36" t="inlineStr">
        <is>
          <t>Class 1-3 / Urban</t>
        </is>
      </c>
      <c r="L525" s="18" t="n">
        <v>11372</v>
      </c>
      <c r="M525" s="20" t="n">
        <v>4.39</v>
      </c>
      <c r="N525" s="18">
        <f>ROUND(L525/M525, 0)</f>
        <v/>
      </c>
      <c r="O525" s="18">
        <f>ROUND(N525*'Methodology &amp; Assumptions'!$B$8, 0)</f>
        <v/>
      </c>
      <c r="P525" s="8" t="inlineStr">
        <is>
          <t>Band n50 (1.5 GHz, 60 MHz)</t>
        </is>
      </c>
      <c r="Q525" s="38">
        <f>ROUNDUP(O525/'Methodology &amp; Assumptions'!$B$9, 0)</f>
        <v/>
      </c>
      <c r="R525" s="39" t="n">
        <v>1</v>
      </c>
      <c r="S525" s="21" t="n">
        <v>1.4</v>
      </c>
      <c r="T525" s="21" t="n">
        <v>0.43</v>
      </c>
      <c r="U525" s="36" t="inlineStr">
        <is>
          <t>Tier 1B (Micro Drop, 1-3 km)</t>
        </is>
      </c>
      <c r="V525" s="20" t="n">
        <v>72.7</v>
      </c>
      <c r="W525" s="20" t="n">
        <v>100</v>
      </c>
      <c r="X525" s="20" t="n">
        <v>28</v>
      </c>
      <c r="Y525" s="40">
        <f>ROUND((V525*'Methodology &amp; Assumptions'!$B$6)+(W525*'Methodology &amp; Assumptions'!$B$5)+(X525*'Methodology &amp; Assumptions'!$B$7), 2)</f>
        <v/>
      </c>
    </row>
    <row r="526" ht="19" customHeight="1">
      <c r="A526" s="41" t="n">
        <v>522</v>
      </c>
      <c r="B526" s="41" t="n">
        <v>2522</v>
      </c>
      <c r="C526" s="42" t="inlineStr">
        <is>
          <t>0305414010</t>
        </is>
      </c>
      <c r="D526" s="42" t="inlineStr">
        <is>
          <t>Region III (Central Luzon)</t>
        </is>
      </c>
      <c r="E526" s="42" t="inlineStr">
        <is>
          <t>Pampanga</t>
        </is>
      </c>
      <c r="F526" s="42" t="inlineStr">
        <is>
          <t>Minalin</t>
        </is>
      </c>
      <c r="G526" s="42" t="inlineStr">
        <is>
          <t>San Pedro</t>
        </is>
      </c>
      <c r="H526" s="43" t="n">
        <v>14.97737</v>
      </c>
      <c r="I526" s="43" t="n">
        <v>120.6895</v>
      </c>
      <c r="J526" s="44" t="inlineStr">
        <is>
          <t>R</t>
        </is>
      </c>
      <c r="K526" s="42" t="inlineStr">
        <is>
          <t>2nd</t>
        </is>
      </c>
      <c r="L526" s="23" t="n">
        <v>2534</v>
      </c>
      <c r="M526" s="24" t="n">
        <v>4.8</v>
      </c>
      <c r="N526" s="23">
        <f>ROUND(L526/M526, 0)</f>
        <v/>
      </c>
      <c r="O526" s="23">
        <f>ROUND(N526*'Methodology &amp; Assumptions'!$B$8, 0)</f>
        <v/>
      </c>
      <c r="P526" s="44" t="inlineStr">
        <is>
          <t>Band n50 (1.5 GHz, 60 MHz)</t>
        </is>
      </c>
      <c r="Q526" s="38">
        <f>ROUNDUP(O526/'Methodology &amp; Assumptions'!$B$9, 0)</f>
        <v/>
      </c>
      <c r="R526" s="39" t="n">
        <v>1</v>
      </c>
      <c r="S526" s="25" t="n">
        <v>1.16</v>
      </c>
      <c r="T526" s="25" t="n">
        <v>4.14</v>
      </c>
      <c r="U526" s="42" t="inlineStr">
        <is>
          <t>Tier 1B (Micro Drop, 1-3 km)</t>
        </is>
      </c>
      <c r="V526" s="24" t="n">
        <v>67.90000000000001</v>
      </c>
      <c r="W526" s="24" t="n">
        <v>66.09999999999999</v>
      </c>
      <c r="X526" s="24" t="n">
        <v>73</v>
      </c>
      <c r="Y526" s="45">
        <f>ROUND((V526*'Methodology &amp; Assumptions'!$B$6)+(W526*'Methodology &amp; Assumptions'!$B$5)+(X526*'Methodology &amp; Assumptions'!$B$7), 2)</f>
        <v/>
      </c>
    </row>
    <row r="527" ht="19" customHeight="1">
      <c r="A527" s="35" t="n">
        <v>523</v>
      </c>
      <c r="B527" s="35" t="n">
        <v>2523</v>
      </c>
      <c r="C527" s="36" t="inlineStr">
        <is>
          <t>0402106081</t>
        </is>
      </c>
      <c r="D527" s="36" t="inlineStr">
        <is>
          <t>Region IV-A (CALABARZON)</t>
        </is>
      </c>
      <c r="E527" s="36" t="inlineStr">
        <is>
          <t>Cavite</t>
        </is>
      </c>
      <c r="F527" s="36" t="inlineStr">
        <is>
          <t>City of Dasmariñas</t>
        </is>
      </c>
      <c r="G527" s="36" t="inlineStr">
        <is>
          <t>Victoria Reyes</t>
        </is>
      </c>
      <c r="H527" s="37" t="n">
        <v>14.317231</v>
      </c>
      <c r="I527" s="37" t="n">
        <v>120.975108</v>
      </c>
      <c r="J527" s="8" t="inlineStr">
        <is>
          <t>U</t>
        </is>
      </c>
      <c r="K527" s="36" t="inlineStr">
        <is>
          <t>Class 1-3 / Urban</t>
        </is>
      </c>
      <c r="L527" s="18" t="n">
        <v>13838</v>
      </c>
      <c r="M527" s="20" t="n">
        <v>4.49</v>
      </c>
      <c r="N527" s="18">
        <f>ROUND(L527/M527, 0)</f>
        <v/>
      </c>
      <c r="O527" s="18">
        <f>ROUND(N527*'Methodology &amp; Assumptions'!$B$8, 0)</f>
        <v/>
      </c>
      <c r="P527" s="8" t="inlineStr">
        <is>
          <t>Band n50 (1.5 GHz, 60 MHz)</t>
        </is>
      </c>
      <c r="Q527" s="38">
        <f>ROUNDUP(O527/'Methodology &amp; Assumptions'!$B$9, 0)</f>
        <v/>
      </c>
      <c r="R527" s="39" t="n">
        <v>1</v>
      </c>
      <c r="S527" s="21" t="n">
        <v>0.96</v>
      </c>
      <c r="T527" s="21" t="n">
        <v>2.7</v>
      </c>
      <c r="U527" s="36" t="inlineStr">
        <is>
          <t>Tier 1A (Direct Coloc, &lt;1 km)</t>
        </is>
      </c>
      <c r="V527" s="20" t="n">
        <v>72.59999999999999</v>
      </c>
      <c r="W527" s="20" t="n">
        <v>100</v>
      </c>
      <c r="X527" s="20" t="n">
        <v>28</v>
      </c>
      <c r="Y527" s="40">
        <f>ROUND((V527*'Methodology &amp; Assumptions'!$B$6)+(W527*'Methodology &amp; Assumptions'!$B$5)+(X527*'Methodology &amp; Assumptions'!$B$7), 2)</f>
        <v/>
      </c>
    </row>
    <row r="528" ht="19" customHeight="1">
      <c r="A528" s="41" t="n">
        <v>524</v>
      </c>
      <c r="B528" s="41" t="n">
        <v>2524</v>
      </c>
      <c r="C528" s="42" t="inlineStr">
        <is>
          <t>0105526028</t>
        </is>
      </c>
      <c r="D528" s="42" t="inlineStr">
        <is>
          <t>Region I (Ilocos Region)</t>
        </is>
      </c>
      <c r="E528" s="42" t="inlineStr">
        <is>
          <t>Pangasinan</t>
        </is>
      </c>
      <c r="F528" s="42" t="inlineStr">
        <is>
          <t>Mangaldan</t>
        </is>
      </c>
      <c r="G528" s="42" t="inlineStr">
        <is>
          <t>Salay</t>
        </is>
      </c>
      <c r="H528" s="43" t="n">
        <v>16.07964</v>
      </c>
      <c r="I528" s="43" t="n">
        <v>120.3977</v>
      </c>
      <c r="J528" s="44" t="inlineStr">
        <is>
          <t>U</t>
        </is>
      </c>
      <c r="K528" s="42" t="inlineStr">
        <is>
          <t>Class 1-3 / Urban</t>
        </is>
      </c>
      <c r="L528" s="23" t="n">
        <v>5884</v>
      </c>
      <c r="M528" s="24" t="n">
        <v>4.39</v>
      </c>
      <c r="N528" s="23">
        <f>ROUND(L528/M528, 0)</f>
        <v/>
      </c>
      <c r="O528" s="23">
        <f>ROUND(N528*'Methodology &amp; Assumptions'!$B$8, 0)</f>
        <v/>
      </c>
      <c r="P528" s="44" t="inlineStr">
        <is>
          <t>Band n50 (1.5 GHz, 60 MHz)</t>
        </is>
      </c>
      <c r="Q528" s="38">
        <f>ROUNDUP(O528/'Methodology &amp; Assumptions'!$B$9, 0)</f>
        <v/>
      </c>
      <c r="R528" s="39" t="n">
        <v>1</v>
      </c>
      <c r="S528" s="25" t="n">
        <v>1.4</v>
      </c>
      <c r="T528" s="25" t="n">
        <v>0.22</v>
      </c>
      <c r="U528" s="42" t="inlineStr">
        <is>
          <t>Tier 1B (Micro Drop, 1-3 km)</t>
        </is>
      </c>
      <c r="V528" s="24" t="n">
        <v>72.59999999999999</v>
      </c>
      <c r="W528" s="24" t="n">
        <v>100</v>
      </c>
      <c r="X528" s="24" t="n">
        <v>28</v>
      </c>
      <c r="Y528" s="45">
        <f>ROUND((V528*'Methodology &amp; Assumptions'!$B$6)+(W528*'Methodology &amp; Assumptions'!$B$5)+(X528*'Methodology &amp; Assumptions'!$B$7), 2)</f>
        <v/>
      </c>
    </row>
    <row r="529" ht="19" customHeight="1">
      <c r="A529" s="35" t="n">
        <v>525</v>
      </c>
      <c r="B529" s="35" t="n">
        <v>2525</v>
      </c>
      <c r="C529" s="36" t="inlineStr">
        <is>
          <t>0500514032</t>
        </is>
      </c>
      <c r="D529" s="36" t="inlineStr">
        <is>
          <t>Region V (Bicol Region)</t>
        </is>
      </c>
      <c r="E529" s="36" t="inlineStr">
        <is>
          <t>Albay</t>
        </is>
      </c>
      <c r="F529" s="36" t="inlineStr">
        <is>
          <t>Polangui</t>
        </is>
      </c>
      <c r="G529" s="36" t="inlineStr">
        <is>
          <t>Matacon</t>
        </is>
      </c>
      <c r="H529" s="37" t="n">
        <v>13.325636</v>
      </c>
      <c r="I529" s="37" t="n">
        <v>123.432747</v>
      </c>
      <c r="J529" s="8" t="inlineStr">
        <is>
          <t>R</t>
        </is>
      </c>
      <c r="K529" s="36" t="inlineStr">
        <is>
          <t>Class 1-3 / Urban</t>
        </is>
      </c>
      <c r="L529" s="18" t="n">
        <v>4650</v>
      </c>
      <c r="M529" s="20" t="n">
        <v>4.67</v>
      </c>
      <c r="N529" s="18">
        <f>ROUND(L529/M529, 0)</f>
        <v/>
      </c>
      <c r="O529" s="18">
        <f>ROUND(N529*'Methodology &amp; Assumptions'!$B$8, 0)</f>
        <v/>
      </c>
      <c r="P529" s="8" t="inlineStr">
        <is>
          <t>Band n50 (1.5 GHz, 60 MHz)</t>
        </is>
      </c>
      <c r="Q529" s="38">
        <f>ROUNDUP(O529/'Methodology &amp; Assumptions'!$B$9, 0)</f>
        <v/>
      </c>
      <c r="R529" s="39" t="n">
        <v>1</v>
      </c>
      <c r="S529" s="21" t="n">
        <v>2.99</v>
      </c>
      <c r="T529" s="21" t="n">
        <v>0.14</v>
      </c>
      <c r="U529" s="36" t="inlineStr">
        <is>
          <t>Tier 1B (Micro Drop, 1-3 km)</t>
        </is>
      </c>
      <c r="V529" s="20" t="n">
        <v>46.9</v>
      </c>
      <c r="W529" s="20" t="n">
        <v>100</v>
      </c>
      <c r="X529" s="20" t="n">
        <v>58</v>
      </c>
      <c r="Y529" s="40">
        <f>ROUND((V529*'Methodology &amp; Assumptions'!$B$6)+(W529*'Methodology &amp; Assumptions'!$B$5)+(X529*'Methodology &amp; Assumptions'!$B$7), 2)</f>
        <v/>
      </c>
    </row>
    <row r="530" ht="19" customHeight="1">
      <c r="A530" s="41" t="n">
        <v>526</v>
      </c>
      <c r="B530" s="41" t="n">
        <v>2526</v>
      </c>
      <c r="C530" s="42" t="inlineStr">
        <is>
          <t>1705205006</t>
        </is>
      </c>
      <c r="D530" s="42" t="inlineStr">
        <is>
          <t>MIMAROPA Region</t>
        </is>
      </c>
      <c r="E530" s="42" t="inlineStr">
        <is>
          <t>Oriental Mindoro</t>
        </is>
      </c>
      <c r="F530" s="42" t="inlineStr">
        <is>
          <t>City of Calapan</t>
        </is>
      </c>
      <c r="G530" s="42" t="inlineStr">
        <is>
          <t>Bayanan II</t>
        </is>
      </c>
      <c r="H530" s="43" t="n">
        <v>13.360403</v>
      </c>
      <c r="I530" s="43" t="n">
        <v>121.168546</v>
      </c>
      <c r="J530" s="44" t="inlineStr">
        <is>
          <t>R</t>
        </is>
      </c>
      <c r="K530" s="42" t="inlineStr">
        <is>
          <t>Class 1-3 / Urban</t>
        </is>
      </c>
      <c r="L530" s="23" t="n">
        <v>3084</v>
      </c>
      <c r="M530" s="24" t="n">
        <v>4.41</v>
      </c>
      <c r="N530" s="23">
        <f>ROUND(L530/M530, 0)</f>
        <v/>
      </c>
      <c r="O530" s="23">
        <f>ROUND(N530*'Methodology &amp; Assumptions'!$B$8, 0)</f>
        <v/>
      </c>
      <c r="P530" s="44" t="inlineStr">
        <is>
          <t>Band n50 (1.5 GHz, 60 MHz)</t>
        </is>
      </c>
      <c r="Q530" s="38">
        <f>ROUNDUP(O530/'Methodology &amp; Assumptions'!$B$9, 0)</f>
        <v/>
      </c>
      <c r="R530" s="39" t="n">
        <v>1</v>
      </c>
      <c r="S530" s="25" t="n">
        <v>1.49</v>
      </c>
      <c r="T530" s="25" t="n">
        <v>0.13</v>
      </c>
      <c r="U530" s="42" t="inlineStr">
        <is>
          <t>Tier 1B (Micro Drop, 1-3 km)</t>
        </is>
      </c>
      <c r="V530" s="24" t="n">
        <v>70.90000000000001</v>
      </c>
      <c r="W530" s="24" t="n">
        <v>76</v>
      </c>
      <c r="X530" s="24" t="n">
        <v>58</v>
      </c>
      <c r="Y530" s="45">
        <f>ROUND((V530*'Methodology &amp; Assumptions'!$B$6)+(W530*'Methodology &amp; Assumptions'!$B$5)+(X530*'Methodology &amp; Assumptions'!$B$7), 2)</f>
        <v/>
      </c>
    </row>
    <row r="531" ht="19" customHeight="1">
      <c r="A531" s="35" t="n">
        <v>527</v>
      </c>
      <c r="B531" s="35" t="n">
        <v>2527</v>
      </c>
      <c r="C531" s="36" t="inlineStr">
        <is>
          <t>0102808006</t>
        </is>
      </c>
      <c r="D531" s="36" t="inlineStr">
        <is>
          <t>Region I (Ilocos Region)</t>
        </is>
      </c>
      <c r="E531" s="36" t="inlineStr">
        <is>
          <t>Ilocos Norte</t>
        </is>
      </c>
      <c r="F531" s="36" t="inlineStr">
        <is>
          <t>Currimao</t>
        </is>
      </c>
      <c r="G531" s="36" t="inlineStr">
        <is>
          <t>Gaang</t>
        </is>
      </c>
      <c r="H531" s="37" t="n">
        <v>17.998228</v>
      </c>
      <c r="I531" s="37" t="n">
        <v>120.50344</v>
      </c>
      <c r="J531" s="8" t="inlineStr">
        <is>
          <t>R</t>
        </is>
      </c>
      <c r="K531" s="36" t="inlineStr">
        <is>
          <t>3rd</t>
        </is>
      </c>
      <c r="L531" s="18" t="n">
        <v>1287</v>
      </c>
      <c r="M531" s="20" t="n">
        <v>4.34</v>
      </c>
      <c r="N531" s="18">
        <f>ROUND(L531/M531, 0)</f>
        <v/>
      </c>
      <c r="O531" s="18">
        <f>ROUND(N531*'Methodology &amp; Assumptions'!$B$8, 0)</f>
        <v/>
      </c>
      <c r="P531" s="8" t="inlineStr">
        <is>
          <t>Band n50 (1.5 GHz, 60 MHz)</t>
        </is>
      </c>
      <c r="Q531" s="38">
        <f>ROUNDUP(O531/'Methodology &amp; Assumptions'!$B$9, 0)</f>
        <v/>
      </c>
      <c r="R531" s="39" t="n">
        <v>1</v>
      </c>
      <c r="S531" s="21" t="n">
        <v>0.34</v>
      </c>
      <c r="T531" s="21" t="n">
        <v>0.29</v>
      </c>
      <c r="U531" s="36" t="inlineStr">
        <is>
          <t>Tier 1A (Direct Coloc, &lt;1 km)</t>
        </is>
      </c>
      <c r="V531" s="20" t="n">
        <v>99.2</v>
      </c>
      <c r="W531" s="20" t="n">
        <v>47.7</v>
      </c>
      <c r="X531" s="20" t="n">
        <v>58</v>
      </c>
      <c r="Y531" s="40">
        <f>ROUND((V531*'Methodology &amp; Assumptions'!$B$6)+(W531*'Methodology &amp; Assumptions'!$B$5)+(X531*'Methodology &amp; Assumptions'!$B$7), 2)</f>
        <v/>
      </c>
    </row>
    <row r="532" ht="19" customHeight="1">
      <c r="A532" s="41" t="n">
        <v>528</v>
      </c>
      <c r="B532" s="41" t="n">
        <v>2528</v>
      </c>
      <c r="C532" s="42" t="inlineStr">
        <is>
          <t>0205008008</t>
        </is>
      </c>
      <c r="D532" s="42" t="inlineStr">
        <is>
          <t>Region II (Cagayan Valley)</t>
        </is>
      </c>
      <c r="E532" s="42" t="inlineStr">
        <is>
          <t>Nueva Vizcaya</t>
        </is>
      </c>
      <c r="F532" s="42" t="inlineStr">
        <is>
          <t>Dupax del Sur</t>
        </is>
      </c>
      <c r="G532" s="42" t="inlineStr">
        <is>
          <t>Ganao</t>
        </is>
      </c>
      <c r="H532" s="43" t="n">
        <v>16.165882</v>
      </c>
      <c r="I532" s="43" t="n">
        <v>121.180465</v>
      </c>
      <c r="J532" s="44" t="inlineStr">
        <is>
          <t>R</t>
        </is>
      </c>
      <c r="K532" s="42" t="inlineStr">
        <is>
          <t>Class 1-3 / Urban</t>
        </is>
      </c>
      <c r="L532" s="23" t="n">
        <v>1226</v>
      </c>
      <c r="M532" s="24" t="n">
        <v>4.19</v>
      </c>
      <c r="N532" s="23">
        <f>ROUND(L532/M532, 0)</f>
        <v/>
      </c>
      <c r="O532" s="23">
        <f>ROUND(N532*'Methodology &amp; Assumptions'!$B$8, 0)</f>
        <v/>
      </c>
      <c r="P532" s="44" t="inlineStr">
        <is>
          <t>Band n50 (1.5 GHz, 60 MHz)</t>
        </is>
      </c>
      <c r="Q532" s="38">
        <f>ROUNDUP(O532/'Methodology &amp; Assumptions'!$B$9, 0)</f>
        <v/>
      </c>
      <c r="R532" s="39" t="n">
        <v>1</v>
      </c>
      <c r="S532" s="25" t="n">
        <v>0.02</v>
      </c>
      <c r="T532" s="25" t="n">
        <v>20.88</v>
      </c>
      <c r="U532" s="42" t="inlineStr">
        <is>
          <t>Tier 1A (Direct Coloc, &lt;1 km)</t>
        </is>
      </c>
      <c r="V532" s="24" t="n">
        <v>99.40000000000001</v>
      </c>
      <c r="W532" s="24" t="n">
        <v>47.5</v>
      </c>
      <c r="X532" s="24" t="n">
        <v>58</v>
      </c>
      <c r="Y532" s="45">
        <f>ROUND((V532*'Methodology &amp; Assumptions'!$B$6)+(W532*'Methodology &amp; Assumptions'!$B$5)+(X532*'Methodology &amp; Assumptions'!$B$7), 2)</f>
        <v/>
      </c>
    </row>
    <row r="533" ht="19" customHeight="1">
      <c r="A533" s="35" t="n">
        <v>529</v>
      </c>
      <c r="B533" s="35" t="n">
        <v>2529</v>
      </c>
      <c r="C533" s="36" t="inlineStr">
        <is>
          <t>0403428012</t>
        </is>
      </c>
      <c r="D533" s="36" t="inlineStr">
        <is>
          <t>Region IV-A (CALABARZON)</t>
        </is>
      </c>
      <c r="E533" s="36" t="inlineStr">
        <is>
          <t>Laguna</t>
        </is>
      </c>
      <c r="F533" s="36" t="inlineStr">
        <is>
          <t>City of Santa Rosa</t>
        </is>
      </c>
      <c r="G533" s="36" t="inlineStr">
        <is>
          <t>Market Area</t>
        </is>
      </c>
      <c r="H533" s="37" t="n">
        <v>14.318932</v>
      </c>
      <c r="I533" s="37" t="n">
        <v>121.112123</v>
      </c>
      <c r="J533" s="8" t="inlineStr">
        <is>
          <t>U</t>
        </is>
      </c>
      <c r="K533" s="36" t="inlineStr">
        <is>
          <t>Class 1-3 / Urban</t>
        </is>
      </c>
      <c r="L533" s="18" t="n">
        <v>16017</v>
      </c>
      <c r="M533" s="20" t="n">
        <v>4.2</v>
      </c>
      <c r="N533" s="18">
        <f>ROUND(L533/M533, 0)</f>
        <v/>
      </c>
      <c r="O533" s="18">
        <f>ROUND(N533*'Methodology &amp; Assumptions'!$B$8, 0)</f>
        <v/>
      </c>
      <c r="P533" s="8" t="inlineStr">
        <is>
          <t>Band n50 (1.5 GHz, 60 MHz)</t>
        </is>
      </c>
      <c r="Q533" s="38">
        <f>ROUNDUP(O533/'Methodology &amp; Assumptions'!$B$9, 0)</f>
        <v/>
      </c>
      <c r="R533" s="39" t="n">
        <v>1</v>
      </c>
      <c r="S533" s="21" t="n">
        <v>1.4</v>
      </c>
      <c r="T533" s="21" t="n">
        <v>1.46</v>
      </c>
      <c r="U533" s="36" t="inlineStr">
        <is>
          <t>Tier 1B (Micro Drop, 1-3 km)</t>
        </is>
      </c>
      <c r="V533" s="20" t="n">
        <v>72.59999999999999</v>
      </c>
      <c r="W533" s="20" t="n">
        <v>100</v>
      </c>
      <c r="X533" s="20" t="n">
        <v>28</v>
      </c>
      <c r="Y533" s="40">
        <f>ROUND((V533*'Methodology &amp; Assumptions'!$B$6)+(W533*'Methodology &amp; Assumptions'!$B$5)+(X533*'Methodology &amp; Assumptions'!$B$7), 2)</f>
        <v/>
      </c>
    </row>
    <row r="534" ht="19" customHeight="1">
      <c r="A534" s="41" t="n">
        <v>530</v>
      </c>
      <c r="B534" s="41" t="n">
        <v>2530</v>
      </c>
      <c r="C534" s="42" t="inlineStr">
        <is>
          <t>0305416015</t>
        </is>
      </c>
      <c r="D534" s="42" t="inlineStr">
        <is>
          <t>Region III (Central Luzon)</t>
        </is>
      </c>
      <c r="E534" s="42" t="inlineStr">
        <is>
          <t>Pampanga</t>
        </is>
      </c>
      <c r="F534" s="42" t="inlineStr">
        <is>
          <t>City of San Fernando</t>
        </is>
      </c>
      <c r="G534" s="42" t="inlineStr">
        <is>
          <t>Maimpis</t>
        </is>
      </c>
      <c r="H534" s="43" t="n">
        <v>15.069141</v>
      </c>
      <c r="I534" s="43" t="n">
        <v>120.653097</v>
      </c>
      <c r="J534" s="44" t="inlineStr">
        <is>
          <t>U</t>
        </is>
      </c>
      <c r="K534" s="42" t="inlineStr">
        <is>
          <t>Class 1-3 / Urban</t>
        </is>
      </c>
      <c r="L534" s="23" t="n">
        <v>12847</v>
      </c>
      <c r="M534" s="24" t="n">
        <v>4.63</v>
      </c>
      <c r="N534" s="23">
        <f>ROUND(L534/M534, 0)</f>
        <v/>
      </c>
      <c r="O534" s="23">
        <f>ROUND(N534*'Methodology &amp; Assumptions'!$B$8, 0)</f>
        <v/>
      </c>
      <c r="P534" s="44" t="inlineStr">
        <is>
          <t>Band n50 (1.5 GHz, 60 MHz)</t>
        </is>
      </c>
      <c r="Q534" s="38">
        <f>ROUNDUP(O534/'Methodology &amp; Assumptions'!$B$9, 0)</f>
        <v/>
      </c>
      <c r="R534" s="39" t="n">
        <v>1</v>
      </c>
      <c r="S534" s="25" t="n">
        <v>1.4</v>
      </c>
      <c r="T534" s="25" t="n">
        <v>0.38</v>
      </c>
      <c r="U534" s="42" t="inlineStr">
        <is>
          <t>Tier 1B (Micro Drop, 1-3 km)</t>
        </is>
      </c>
      <c r="V534" s="24" t="n">
        <v>72.59999999999999</v>
      </c>
      <c r="W534" s="24" t="n">
        <v>100</v>
      </c>
      <c r="X534" s="24" t="n">
        <v>28</v>
      </c>
      <c r="Y534" s="45">
        <f>ROUND((V534*'Methodology &amp; Assumptions'!$B$6)+(W534*'Methodology &amp; Assumptions'!$B$5)+(X534*'Methodology &amp; Assumptions'!$B$7), 2)</f>
        <v/>
      </c>
    </row>
    <row r="535" ht="19" customHeight="1">
      <c r="A535" s="35" t="n">
        <v>531</v>
      </c>
      <c r="B535" s="35" t="n">
        <v>2531</v>
      </c>
      <c r="C535" s="36" t="inlineStr">
        <is>
          <t>0603010010</t>
        </is>
      </c>
      <c r="D535" s="36" t="inlineStr">
        <is>
          <t>Region VI (Western Visayas)</t>
        </is>
      </c>
      <c r="E535" s="36" t="inlineStr">
        <is>
          <t>Iloilo</t>
        </is>
      </c>
      <c r="F535" s="36" t="inlineStr">
        <is>
          <t>Bingawan</t>
        </is>
      </c>
      <c r="G535" s="36" t="inlineStr">
        <is>
          <t>Poblacion</t>
        </is>
      </c>
      <c r="H535" s="37" t="n">
        <v>11.233662</v>
      </c>
      <c r="I535" s="37" t="n">
        <v>122.56671</v>
      </c>
      <c r="J535" s="8" t="inlineStr">
        <is>
          <t>R</t>
        </is>
      </c>
      <c r="K535" s="36" t="inlineStr">
        <is>
          <t>4th</t>
        </is>
      </c>
      <c r="L535" s="18" t="n">
        <v>4602</v>
      </c>
      <c r="M535" s="20" t="n">
        <v>4.38</v>
      </c>
      <c r="N535" s="18">
        <f>ROUND(L535/M535, 0)</f>
        <v/>
      </c>
      <c r="O535" s="18">
        <f>ROUND(N535*'Methodology &amp; Assumptions'!$B$8, 0)</f>
        <v/>
      </c>
      <c r="P535" s="8" t="inlineStr">
        <is>
          <t>Band n50 (1.5 GHz, 60 MHz)</t>
        </is>
      </c>
      <c r="Q535" s="38">
        <f>ROUNDUP(O535/'Methodology &amp; Assumptions'!$B$9, 0)</f>
        <v/>
      </c>
      <c r="R535" s="39" t="n">
        <v>1</v>
      </c>
      <c r="S535" s="21" t="n">
        <v>12.27</v>
      </c>
      <c r="T535" s="21" t="n">
        <v>0.35</v>
      </c>
      <c r="U535" s="36" t="inlineStr">
        <is>
          <t>Tier 2 (Fiber Corridor / Lateral, 3-5 km)</t>
        </is>
      </c>
      <c r="V535" s="20" t="n">
        <v>25</v>
      </c>
      <c r="W535" s="20" t="n">
        <v>100</v>
      </c>
      <c r="X535" s="20" t="n">
        <v>83.5</v>
      </c>
      <c r="Y535" s="40">
        <f>ROUND((V535*'Methodology &amp; Assumptions'!$B$6)+(W535*'Methodology &amp; Assumptions'!$B$5)+(X535*'Methodology &amp; Assumptions'!$B$7), 2)</f>
        <v/>
      </c>
    </row>
    <row r="536" ht="19" customHeight="1">
      <c r="A536" s="41" t="n">
        <v>532</v>
      </c>
      <c r="B536" s="41" t="n">
        <v>2532</v>
      </c>
      <c r="C536" s="42" t="inlineStr">
        <is>
          <t>0401030019</t>
        </is>
      </c>
      <c r="D536" s="42" t="inlineStr">
        <is>
          <t>Region IV-A (CALABARZON)</t>
        </is>
      </c>
      <c r="E536" s="42" t="inlineStr">
        <is>
          <t>Batangas</t>
        </is>
      </c>
      <c r="F536" s="42" t="inlineStr">
        <is>
          <t>Talisay</t>
        </is>
      </c>
      <c r="G536" s="42" t="inlineStr">
        <is>
          <t>Quiling</t>
        </is>
      </c>
      <c r="H536" s="43" t="n">
        <v>14.094598</v>
      </c>
      <c r="I536" s="43" t="n">
        <v>121.03953</v>
      </c>
      <c r="J536" s="44" t="inlineStr">
        <is>
          <t>R</t>
        </is>
      </c>
      <c r="K536" s="42" t="inlineStr">
        <is>
          <t>Class 1-3 / Urban</t>
        </is>
      </c>
      <c r="L536" s="23" t="n">
        <v>4999</v>
      </c>
      <c r="M536" s="24" t="n">
        <v>4.62</v>
      </c>
      <c r="N536" s="23">
        <f>ROUND(L536/M536, 0)</f>
        <v/>
      </c>
      <c r="O536" s="23">
        <f>ROUND(N536*'Methodology &amp; Assumptions'!$B$8, 0)</f>
        <v/>
      </c>
      <c r="P536" s="44" t="inlineStr">
        <is>
          <t>Band n50 (1.5 GHz, 60 MHz)</t>
        </is>
      </c>
      <c r="Q536" s="38">
        <f>ROUNDUP(O536/'Methodology &amp; Assumptions'!$B$9, 0)</f>
        <v/>
      </c>
      <c r="R536" s="39" t="n">
        <v>1</v>
      </c>
      <c r="S536" s="25" t="n">
        <v>2.28</v>
      </c>
      <c r="T536" s="25" t="n">
        <v>7.3</v>
      </c>
      <c r="U536" s="42" t="inlineStr">
        <is>
          <t>Tier 1B (Micro Drop, 1-3 km)</t>
        </is>
      </c>
      <c r="V536" s="24" t="n">
        <v>46.8</v>
      </c>
      <c r="W536" s="24" t="n">
        <v>100</v>
      </c>
      <c r="X536" s="24" t="n">
        <v>58</v>
      </c>
      <c r="Y536" s="45">
        <f>ROUND((V536*'Methodology &amp; Assumptions'!$B$6)+(W536*'Methodology &amp; Assumptions'!$B$5)+(X536*'Methodology &amp; Assumptions'!$B$7), 2)</f>
        <v/>
      </c>
    </row>
    <row r="537" ht="19" customHeight="1">
      <c r="A537" s="35" t="n">
        <v>533</v>
      </c>
      <c r="B537" s="35" t="n">
        <v>2533</v>
      </c>
      <c r="C537" s="36" t="inlineStr">
        <is>
          <t>0330100014</t>
        </is>
      </c>
      <c r="D537" s="36" t="inlineStr">
        <is>
          <t>Region III (Central Luzon)</t>
        </is>
      </c>
      <c r="E537" s="36" t="inlineStr">
        <is>
          <t>Pampanga</t>
        </is>
      </c>
      <c r="F537" s="36" t="inlineStr">
        <is>
          <t>City of Angeles</t>
        </is>
      </c>
      <c r="G537" s="36" t="inlineStr">
        <is>
          <t>Margot</t>
        </is>
      </c>
      <c r="H537" s="37" t="n">
        <v>15.170684</v>
      </c>
      <c r="I537" s="37" t="n">
        <v>120.53468</v>
      </c>
      <c r="J537" s="8" t="inlineStr">
        <is>
          <t>U</t>
        </is>
      </c>
      <c r="K537" s="36" t="inlineStr">
        <is>
          <t>Class 1-3 / Urban</t>
        </is>
      </c>
      <c r="L537" s="18" t="n">
        <v>12229</v>
      </c>
      <c r="M537" s="20" t="n">
        <v>4.63</v>
      </c>
      <c r="N537" s="18">
        <f>ROUND(L537/M537, 0)</f>
        <v/>
      </c>
      <c r="O537" s="18">
        <f>ROUND(N537*'Methodology &amp; Assumptions'!$B$8, 0)</f>
        <v/>
      </c>
      <c r="P537" s="8" t="inlineStr">
        <is>
          <t>Band n50 (1.5 GHz, 60 MHz)</t>
        </is>
      </c>
      <c r="Q537" s="38">
        <f>ROUNDUP(O537/'Methodology &amp; Assumptions'!$B$9, 0)</f>
        <v/>
      </c>
      <c r="R537" s="39" t="n">
        <v>1</v>
      </c>
      <c r="S537" s="21" t="n">
        <v>1.41</v>
      </c>
      <c r="T537" s="21" t="n">
        <v>0.25</v>
      </c>
      <c r="U537" s="36" t="inlineStr">
        <is>
          <t>Tier 1B (Micro Drop, 1-3 km)</t>
        </is>
      </c>
      <c r="V537" s="20" t="n">
        <v>72.59999999999999</v>
      </c>
      <c r="W537" s="20" t="n">
        <v>100</v>
      </c>
      <c r="X537" s="20" t="n">
        <v>28</v>
      </c>
      <c r="Y537" s="40">
        <f>ROUND((V537*'Methodology &amp; Assumptions'!$B$6)+(W537*'Methodology &amp; Assumptions'!$B$5)+(X537*'Methodology &amp; Assumptions'!$B$7), 2)</f>
        <v/>
      </c>
    </row>
    <row r="538" ht="19" customHeight="1">
      <c r="A538" s="41" t="n">
        <v>534</v>
      </c>
      <c r="B538" s="41" t="n">
        <v>2534</v>
      </c>
      <c r="C538" s="42" t="inlineStr">
        <is>
          <t>0405804038</t>
        </is>
      </c>
      <c r="D538" s="42" t="inlineStr">
        <is>
          <t>Region IV-A (CALABARZON)</t>
        </is>
      </c>
      <c r="E538" s="42" t="inlineStr">
        <is>
          <t>Rizal</t>
        </is>
      </c>
      <c r="F538" s="42" t="inlineStr">
        <is>
          <t>Binangonan</t>
        </is>
      </c>
      <c r="G538" s="42" t="inlineStr">
        <is>
          <t>Libid</t>
        </is>
      </c>
      <c r="H538" s="43" t="n">
        <v>14.463516</v>
      </c>
      <c r="I538" s="43" t="n">
        <v>121.196092</v>
      </c>
      <c r="J538" s="44" t="inlineStr">
        <is>
          <t>U</t>
        </is>
      </c>
      <c r="K538" s="42" t="inlineStr">
        <is>
          <t>Class 1-3 / Urban</t>
        </is>
      </c>
      <c r="L538" s="23" t="n">
        <v>8068</v>
      </c>
      <c r="M538" s="24" t="n">
        <v>4.39</v>
      </c>
      <c r="N538" s="23">
        <f>ROUND(L538/M538, 0)</f>
        <v/>
      </c>
      <c r="O538" s="23">
        <f>ROUND(N538*'Methodology &amp; Assumptions'!$B$8, 0)</f>
        <v/>
      </c>
      <c r="P538" s="44" t="inlineStr">
        <is>
          <t>Band n50 (1.5 GHz, 60 MHz)</t>
        </is>
      </c>
      <c r="Q538" s="38">
        <f>ROUNDUP(O538/'Methodology &amp; Assumptions'!$B$9, 0)</f>
        <v/>
      </c>
      <c r="R538" s="39" t="n">
        <v>1</v>
      </c>
      <c r="S538" s="25" t="n">
        <v>1.41</v>
      </c>
      <c r="T538" s="25" t="n">
        <v>0.67</v>
      </c>
      <c r="U538" s="42" t="inlineStr">
        <is>
          <t>Tier 1B (Micro Drop, 1-3 km)</t>
        </is>
      </c>
      <c r="V538" s="24" t="n">
        <v>72.59999999999999</v>
      </c>
      <c r="W538" s="24" t="n">
        <v>100</v>
      </c>
      <c r="X538" s="24" t="n">
        <v>28</v>
      </c>
      <c r="Y538" s="45">
        <f>ROUND((V538*'Methodology &amp; Assumptions'!$B$6)+(W538*'Methodology &amp; Assumptions'!$B$5)+(X538*'Methodology &amp; Assumptions'!$B$7), 2)</f>
        <v/>
      </c>
    </row>
    <row r="539" ht="19" customHeight="1">
      <c r="A539" s="35" t="n">
        <v>535</v>
      </c>
      <c r="B539" s="35" t="n">
        <v>2535</v>
      </c>
      <c r="C539" s="36" t="inlineStr">
        <is>
          <t>0402119018</t>
        </is>
      </c>
      <c r="D539" s="36" t="inlineStr">
        <is>
          <t>Region IV-A (CALABARZON)</t>
        </is>
      </c>
      <c r="E539" s="36" t="inlineStr">
        <is>
          <t>Cavite</t>
        </is>
      </c>
      <c r="F539" s="36" t="inlineStr">
        <is>
          <t>City of Tagaytay</t>
        </is>
      </c>
      <c r="G539" s="36" t="inlineStr">
        <is>
          <t>San Jose</t>
        </is>
      </c>
      <c r="H539" s="37" t="n">
        <v>14.121333</v>
      </c>
      <c r="I539" s="37" t="n">
        <v>120.96804</v>
      </c>
      <c r="J539" s="8" t="inlineStr">
        <is>
          <t>U</t>
        </is>
      </c>
      <c r="K539" s="36" t="inlineStr">
        <is>
          <t>Class 1-3 / Urban</t>
        </is>
      </c>
      <c r="L539" s="18" t="n">
        <v>6776</v>
      </c>
      <c r="M539" s="20" t="n">
        <v>4.49</v>
      </c>
      <c r="N539" s="18">
        <f>ROUND(L539/M539, 0)</f>
        <v/>
      </c>
      <c r="O539" s="18">
        <f>ROUND(N539*'Methodology &amp; Assumptions'!$B$8, 0)</f>
        <v/>
      </c>
      <c r="P539" s="8" t="inlineStr">
        <is>
          <t>Band n50 (1.5 GHz, 60 MHz)</t>
        </is>
      </c>
      <c r="Q539" s="38">
        <f>ROUNDUP(O539/'Methodology &amp; Assumptions'!$B$9, 0)</f>
        <v/>
      </c>
      <c r="R539" s="39" t="n">
        <v>1</v>
      </c>
      <c r="S539" s="21" t="n">
        <v>1.41</v>
      </c>
      <c r="T539" s="21" t="n">
        <v>0.09</v>
      </c>
      <c r="U539" s="36" t="inlineStr">
        <is>
          <t>Tier 1B (Micro Drop, 1-3 km)</t>
        </is>
      </c>
      <c r="V539" s="20" t="n">
        <v>72.59999999999999</v>
      </c>
      <c r="W539" s="20" t="n">
        <v>100</v>
      </c>
      <c r="X539" s="20" t="n">
        <v>28</v>
      </c>
      <c r="Y539" s="40">
        <f>ROUND((V539*'Methodology &amp; Assumptions'!$B$6)+(W539*'Methodology &amp; Assumptions'!$B$5)+(X539*'Methodology &amp; Assumptions'!$B$7), 2)</f>
        <v/>
      </c>
    </row>
    <row r="540" ht="19" customHeight="1">
      <c r="A540" s="41" t="n">
        <v>536</v>
      </c>
      <c r="B540" s="41" t="n">
        <v>2536</v>
      </c>
      <c r="C540" s="42" t="inlineStr">
        <is>
          <t>0730600007</t>
        </is>
      </c>
      <c r="D540" s="42" t="inlineStr">
        <is>
          <t>Region VII (Central Visayas)</t>
        </is>
      </c>
      <c r="E540" s="42" t="inlineStr">
        <is>
          <t>Cebu</t>
        </is>
      </c>
      <c r="F540" s="42" t="inlineStr">
        <is>
          <t>City of Cebu</t>
        </is>
      </c>
      <c r="G540" s="42" t="inlineStr">
        <is>
          <t>Banilad</t>
        </is>
      </c>
      <c r="H540" s="43" t="n">
        <v>10.346424</v>
      </c>
      <c r="I540" s="43" t="n">
        <v>123.912659</v>
      </c>
      <c r="J540" s="44" t="inlineStr">
        <is>
          <t>U</t>
        </is>
      </c>
      <c r="K540" s="42" t="inlineStr">
        <is>
          <t>Class 1-3 / Urban</t>
        </is>
      </c>
      <c r="L540" s="23" t="n">
        <v>6336</v>
      </c>
      <c r="M540" s="24" t="n">
        <v>4.42</v>
      </c>
      <c r="N540" s="23">
        <f>ROUND(L540/M540, 0)</f>
        <v/>
      </c>
      <c r="O540" s="23">
        <f>ROUND(N540*'Methodology &amp; Assumptions'!$B$8, 0)</f>
        <v/>
      </c>
      <c r="P540" s="44" t="inlineStr">
        <is>
          <t>Band n50 (1.5 GHz, 60 MHz)</t>
        </is>
      </c>
      <c r="Q540" s="38">
        <f>ROUNDUP(O540/'Methodology &amp; Assumptions'!$B$9, 0)</f>
        <v/>
      </c>
      <c r="R540" s="39" t="n">
        <v>1</v>
      </c>
      <c r="S540" s="25" t="n">
        <v>1.41</v>
      </c>
      <c r="T540" s="25" t="n">
        <v>1.48</v>
      </c>
      <c r="U540" s="42" t="inlineStr">
        <is>
          <t>Tier 1B (Micro Drop, 1-3 km)</t>
        </is>
      </c>
      <c r="V540" s="24" t="n">
        <v>72.59999999999999</v>
      </c>
      <c r="W540" s="24" t="n">
        <v>100</v>
      </c>
      <c r="X540" s="24" t="n">
        <v>28</v>
      </c>
      <c r="Y540" s="45">
        <f>ROUND((V540*'Methodology &amp; Assumptions'!$B$6)+(W540*'Methodology &amp; Assumptions'!$B$5)+(X540*'Methodology &amp; Assumptions'!$B$7), 2)</f>
        <v/>
      </c>
    </row>
    <row r="541" ht="19" customHeight="1">
      <c r="A541" s="35" t="n">
        <v>537</v>
      </c>
      <c r="B541" s="35" t="n">
        <v>2537</v>
      </c>
      <c r="C541" s="36" t="inlineStr">
        <is>
          <t>1030500042</t>
        </is>
      </c>
      <c r="D541" s="36" t="inlineStr">
        <is>
          <t>Region X (Northern Mindanao)</t>
        </is>
      </c>
      <c r="E541" s="36" t="inlineStr">
        <is>
          <t>Misamis Oriental</t>
        </is>
      </c>
      <c r="F541" s="36" t="inlineStr">
        <is>
          <t>City of Cagayan De Oro</t>
        </is>
      </c>
      <c r="G541" s="36" t="inlineStr">
        <is>
          <t>Camaman-an</t>
        </is>
      </c>
      <c r="H541" s="37" t="n">
        <v>8.47372</v>
      </c>
      <c r="I541" s="37" t="n">
        <v>124.661763</v>
      </c>
      <c r="J541" s="8" t="inlineStr">
        <is>
          <t>U</t>
        </is>
      </c>
      <c r="K541" s="36" t="inlineStr">
        <is>
          <t>Class 1-3 / Urban</t>
        </is>
      </c>
      <c r="L541" s="18" t="n">
        <v>35238</v>
      </c>
      <c r="M541" s="20" t="n">
        <v>4.54</v>
      </c>
      <c r="N541" s="18">
        <f>ROUND(L541/M541, 0)</f>
        <v/>
      </c>
      <c r="O541" s="18">
        <f>ROUND(N541*'Methodology &amp; Assumptions'!$B$8, 0)</f>
        <v/>
      </c>
      <c r="P541" s="8" t="inlineStr">
        <is>
          <t>Band n50 (1.5 GHz, 60 MHz)</t>
        </is>
      </c>
      <c r="Q541" s="38">
        <f>ROUNDUP(O541/'Methodology &amp; Assumptions'!$B$9, 0)</f>
        <v/>
      </c>
      <c r="R541" s="39" t="n">
        <v>1</v>
      </c>
      <c r="S541" s="21" t="n">
        <v>1.36</v>
      </c>
      <c r="T541" s="21" t="n">
        <v>1.06</v>
      </c>
      <c r="U541" s="36" t="inlineStr">
        <is>
          <t>Tier 1B (Micro Drop, 1-3 km)</t>
        </is>
      </c>
      <c r="V541" s="20" t="n">
        <v>73.59999999999999</v>
      </c>
      <c r="W541" s="20" t="n">
        <v>98.90000000000001</v>
      </c>
      <c r="X541" s="20" t="n">
        <v>28</v>
      </c>
      <c r="Y541" s="40">
        <f>ROUND((V541*'Methodology &amp; Assumptions'!$B$6)+(W541*'Methodology &amp; Assumptions'!$B$5)+(X541*'Methodology &amp; Assumptions'!$B$7), 2)</f>
        <v/>
      </c>
    </row>
    <row r="542" ht="19" customHeight="1">
      <c r="A542" s="41" t="n">
        <v>538</v>
      </c>
      <c r="B542" s="41" t="n">
        <v>2538</v>
      </c>
      <c r="C542" s="42" t="inlineStr">
        <is>
          <t>0301411005</t>
        </is>
      </c>
      <c r="D542" s="42" t="inlineStr">
        <is>
          <t>Region III (Central Luzon)</t>
        </is>
      </c>
      <c r="E542" s="42" t="inlineStr">
        <is>
          <t>Bulacan</t>
        </is>
      </c>
      <c r="F542" s="42" t="inlineStr">
        <is>
          <t>Marilao</t>
        </is>
      </c>
      <c r="G542" s="42" t="inlineStr">
        <is>
          <t>Lias</t>
        </is>
      </c>
      <c r="H542" s="43" t="n">
        <v>14.760506</v>
      </c>
      <c r="I542" s="43" t="n">
        <v>120.96315</v>
      </c>
      <c r="J542" s="44" t="inlineStr">
        <is>
          <t>U</t>
        </is>
      </c>
      <c r="K542" s="42" t="inlineStr">
        <is>
          <t>Class 1-3 / Urban</t>
        </is>
      </c>
      <c r="L542" s="23" t="n">
        <v>15256</v>
      </c>
      <c r="M542" s="24" t="n">
        <v>4.1</v>
      </c>
      <c r="N542" s="23">
        <f>ROUND(L542/M542, 0)</f>
        <v/>
      </c>
      <c r="O542" s="23">
        <f>ROUND(N542*'Methodology &amp; Assumptions'!$B$8, 0)</f>
        <v/>
      </c>
      <c r="P542" s="44" t="inlineStr">
        <is>
          <t>Band n50 (1.5 GHz, 60 MHz)</t>
        </is>
      </c>
      <c r="Q542" s="38">
        <f>ROUNDUP(O542/'Methodology &amp; Assumptions'!$B$9, 0)</f>
        <v/>
      </c>
      <c r="R542" s="39" t="n">
        <v>1</v>
      </c>
      <c r="S542" s="25" t="n">
        <v>1.41</v>
      </c>
      <c r="T542" s="25" t="n">
        <v>1.16</v>
      </c>
      <c r="U542" s="42" t="inlineStr">
        <is>
          <t>Tier 1B (Micro Drop, 1-3 km)</t>
        </is>
      </c>
      <c r="V542" s="24" t="n">
        <v>72.5</v>
      </c>
      <c r="W542" s="24" t="n">
        <v>100</v>
      </c>
      <c r="X542" s="24" t="n">
        <v>28</v>
      </c>
      <c r="Y542" s="45">
        <f>ROUND((V542*'Methodology &amp; Assumptions'!$B$6)+(W542*'Methodology &amp; Assumptions'!$B$5)+(X542*'Methodology &amp; Assumptions'!$B$7), 2)</f>
        <v/>
      </c>
    </row>
    <row r="543" ht="19" customHeight="1">
      <c r="A543" s="35" t="n">
        <v>539</v>
      </c>
      <c r="B543" s="35" t="n">
        <v>2539</v>
      </c>
      <c r="C543" s="36" t="inlineStr">
        <is>
          <t>0402106039</t>
        </is>
      </c>
      <c r="D543" s="36" t="inlineStr">
        <is>
          <t>Region IV-A (CALABARZON)</t>
        </is>
      </c>
      <c r="E543" s="36" t="inlineStr">
        <is>
          <t>Cavite</t>
        </is>
      </c>
      <c r="F543" s="36" t="inlineStr">
        <is>
          <t>City of Dasmariñas</t>
        </is>
      </c>
      <c r="G543" s="36" t="inlineStr">
        <is>
          <t>San Simon</t>
        </is>
      </c>
      <c r="H543" s="37" t="n">
        <v>14.319047</v>
      </c>
      <c r="I543" s="37" t="n">
        <v>120.971484</v>
      </c>
      <c r="J543" s="8" t="inlineStr">
        <is>
          <t>U</t>
        </is>
      </c>
      <c r="K543" s="36" t="inlineStr">
        <is>
          <t>Class 1-3 / Urban</t>
        </is>
      </c>
      <c r="L543" s="18" t="n">
        <v>6242</v>
      </c>
      <c r="M543" s="20" t="n">
        <v>4.49</v>
      </c>
      <c r="N543" s="18">
        <f>ROUND(L543/M543, 0)</f>
        <v/>
      </c>
      <c r="O543" s="18">
        <f>ROUND(N543*'Methodology &amp; Assumptions'!$B$8, 0)</f>
        <v/>
      </c>
      <c r="P543" s="8" t="inlineStr">
        <is>
          <t>Band n50 (1.5 GHz, 60 MHz)</t>
        </is>
      </c>
      <c r="Q543" s="38">
        <f>ROUNDUP(O543/'Methodology &amp; Assumptions'!$B$9, 0)</f>
        <v/>
      </c>
      <c r="R543" s="39" t="n">
        <v>1</v>
      </c>
      <c r="S543" s="21" t="n">
        <v>0.96</v>
      </c>
      <c r="T543" s="21" t="n">
        <v>2.61</v>
      </c>
      <c r="U543" s="36" t="inlineStr">
        <is>
          <t>Tier 1A (Direct Coloc, &lt;1 km)</t>
        </is>
      </c>
      <c r="V543" s="20" t="n">
        <v>72.5</v>
      </c>
      <c r="W543" s="20" t="n">
        <v>100</v>
      </c>
      <c r="X543" s="20" t="n">
        <v>28</v>
      </c>
      <c r="Y543" s="40">
        <f>ROUND((V543*'Methodology &amp; Assumptions'!$B$6)+(W543*'Methodology &amp; Assumptions'!$B$5)+(X543*'Methodology &amp; Assumptions'!$B$7), 2)</f>
        <v/>
      </c>
    </row>
    <row r="544" ht="19" customHeight="1">
      <c r="A544" s="41" t="n">
        <v>540</v>
      </c>
      <c r="B544" s="41" t="n">
        <v>2540</v>
      </c>
      <c r="C544" s="42" t="inlineStr">
        <is>
          <t>1108207004</t>
        </is>
      </c>
      <c r="D544" s="42" t="inlineStr">
        <is>
          <t>Region XI (Davao Region)</t>
        </is>
      </c>
      <c r="E544" s="42" t="inlineStr">
        <is>
          <t>Davao de Oro</t>
        </is>
      </c>
      <c r="F544" s="42" t="inlineStr">
        <is>
          <t>Monkayo</t>
        </is>
      </c>
      <c r="G544" s="42" t="inlineStr">
        <is>
          <t>Baylo</t>
        </is>
      </c>
      <c r="H544" s="43" t="n">
        <v>7.849805</v>
      </c>
      <c r="I544" s="43" t="n">
        <v>126.071273</v>
      </c>
      <c r="J544" s="44" t="inlineStr">
        <is>
          <t>R</t>
        </is>
      </c>
      <c r="K544" s="42" t="inlineStr">
        <is>
          <t>Class 1-3 / Urban</t>
        </is>
      </c>
      <c r="L544" s="23" t="n">
        <v>3934</v>
      </c>
      <c r="M544" s="24" t="n">
        <v>4.1</v>
      </c>
      <c r="N544" s="23">
        <f>ROUND(L544/M544, 0)</f>
        <v/>
      </c>
      <c r="O544" s="23">
        <f>ROUND(N544*'Methodology &amp; Assumptions'!$B$8, 0)</f>
        <v/>
      </c>
      <c r="P544" s="44" t="inlineStr">
        <is>
          <t>Band n50 (1.5 GHz, 60 MHz)</t>
        </is>
      </c>
      <c r="Q544" s="38">
        <f>ROUNDUP(O544/'Methodology &amp; Assumptions'!$B$9, 0)</f>
        <v/>
      </c>
      <c r="R544" s="39" t="n">
        <v>1</v>
      </c>
      <c r="S544" s="25" t="n">
        <v>3</v>
      </c>
      <c r="T544" s="25" t="n">
        <v>0.36</v>
      </c>
      <c r="U544" s="42" t="inlineStr">
        <is>
          <t>Tier 1B (Micro Drop, 1-3 km)</t>
        </is>
      </c>
      <c r="V544" s="24" t="n">
        <v>46.8</v>
      </c>
      <c r="W544" s="24" t="n">
        <v>100</v>
      </c>
      <c r="X544" s="24" t="n">
        <v>58</v>
      </c>
      <c r="Y544" s="45">
        <f>ROUND((V544*'Methodology &amp; Assumptions'!$B$6)+(W544*'Methodology &amp; Assumptions'!$B$5)+(X544*'Methodology &amp; Assumptions'!$B$7), 2)</f>
        <v/>
      </c>
    </row>
    <row r="545" ht="19" customHeight="1">
      <c r="A545" s="35" t="n">
        <v>541</v>
      </c>
      <c r="B545" s="35" t="n">
        <v>2541</v>
      </c>
      <c r="C545" s="36" t="inlineStr">
        <is>
          <t>1705208050</t>
        </is>
      </c>
      <c r="D545" s="36" t="inlineStr">
        <is>
          <t>MIMAROPA Region</t>
        </is>
      </c>
      <c r="E545" s="36" t="inlineStr">
        <is>
          <t>Oriental Mindoro</t>
        </is>
      </c>
      <c r="F545" s="36" t="inlineStr">
        <is>
          <t>Naujan</t>
        </is>
      </c>
      <c r="G545" s="36" t="inlineStr">
        <is>
          <t>San Agustin I</t>
        </is>
      </c>
      <c r="H545" s="37" t="n">
        <v>13.275988</v>
      </c>
      <c r="I545" s="37" t="n">
        <v>121.305165</v>
      </c>
      <c r="J545" s="8" t="inlineStr">
        <is>
          <t>R</t>
        </is>
      </c>
      <c r="K545" s="36" t="inlineStr">
        <is>
          <t>Class 1-3 / Urban</t>
        </is>
      </c>
      <c r="L545" s="18" t="n">
        <v>1898</v>
      </c>
      <c r="M545" s="20" t="n">
        <v>4.41</v>
      </c>
      <c r="N545" s="18">
        <f>ROUND(L545/M545, 0)</f>
        <v/>
      </c>
      <c r="O545" s="18">
        <f>ROUND(N545*'Methodology &amp; Assumptions'!$B$8, 0)</f>
        <v/>
      </c>
      <c r="P545" s="8" t="inlineStr">
        <is>
          <t>Band n50 (1.5 GHz, 60 MHz)</t>
        </is>
      </c>
      <c r="Q545" s="38">
        <f>ROUNDUP(O545/'Methodology &amp; Assumptions'!$B$9, 0)</f>
        <v/>
      </c>
      <c r="R545" s="39" t="n">
        <v>1</v>
      </c>
      <c r="S545" s="21" t="n">
        <v>0.24</v>
      </c>
      <c r="T545" s="21" t="n">
        <v>4.57</v>
      </c>
      <c r="U545" s="36" t="inlineStr">
        <is>
          <t>Tier 1A (Direct Coloc, &lt;1 km)</t>
        </is>
      </c>
      <c r="V545" s="20" t="n">
        <v>92.40000000000001</v>
      </c>
      <c r="W545" s="20" t="n">
        <v>54.4</v>
      </c>
      <c r="X545" s="20" t="n">
        <v>58</v>
      </c>
      <c r="Y545" s="40">
        <f>ROUND((V545*'Methodology &amp; Assumptions'!$B$6)+(W545*'Methodology &amp; Assumptions'!$B$5)+(X545*'Methodology &amp; Assumptions'!$B$7), 2)</f>
        <v/>
      </c>
    </row>
    <row r="546" ht="19" customHeight="1">
      <c r="A546" s="41" t="n">
        <v>542</v>
      </c>
      <c r="B546" s="41" t="n">
        <v>2542</v>
      </c>
      <c r="C546" s="42" t="inlineStr">
        <is>
          <t>0203134016</t>
        </is>
      </c>
      <c r="D546" s="42" t="inlineStr">
        <is>
          <t>Region II (Cagayan Valley)</t>
        </is>
      </c>
      <c r="E546" s="42" t="inlineStr">
        <is>
          <t>Isabela</t>
        </is>
      </c>
      <c r="F546" s="42" t="inlineStr">
        <is>
          <t>Santa Maria</t>
        </is>
      </c>
      <c r="G546" s="42" t="inlineStr">
        <is>
          <t>San Antonio</t>
        </is>
      </c>
      <c r="H546" s="43" t="n">
        <v>17.47415</v>
      </c>
      <c r="I546" s="43" t="n">
        <v>121.756684</v>
      </c>
      <c r="J546" s="44" t="inlineStr">
        <is>
          <t>R</t>
        </is>
      </c>
      <c r="K546" s="42" t="inlineStr">
        <is>
          <t>3rd</t>
        </is>
      </c>
      <c r="L546" s="23" t="n">
        <v>1507</v>
      </c>
      <c r="M546" s="24" t="n">
        <v>5.22</v>
      </c>
      <c r="N546" s="23">
        <f>ROUND(L546/M546, 0)</f>
        <v/>
      </c>
      <c r="O546" s="23">
        <f>ROUND(N546*'Methodology &amp; Assumptions'!$B$8, 0)</f>
        <v/>
      </c>
      <c r="P546" s="44" t="inlineStr">
        <is>
          <t>Band n50 (1.5 GHz, 60 MHz)</t>
        </is>
      </c>
      <c r="Q546" s="38">
        <f>ROUNDUP(O546/'Methodology &amp; Assumptions'!$B$9, 0)</f>
        <v/>
      </c>
      <c r="R546" s="39" t="n">
        <v>1</v>
      </c>
      <c r="S546" s="25" t="n">
        <v>0.01</v>
      </c>
      <c r="T546" s="25" t="n">
        <v>4.03</v>
      </c>
      <c r="U546" s="42" t="inlineStr">
        <is>
          <t>Tier 1A (Direct Coloc, &lt;1 km)</t>
        </is>
      </c>
      <c r="V546" s="24" t="n">
        <v>99.59999999999999</v>
      </c>
      <c r="W546" s="24" t="n">
        <v>47.2</v>
      </c>
      <c r="X546" s="24" t="n">
        <v>58</v>
      </c>
      <c r="Y546" s="45">
        <f>ROUND((V546*'Methodology &amp; Assumptions'!$B$6)+(W546*'Methodology &amp; Assumptions'!$B$5)+(X546*'Methodology &amp; Assumptions'!$B$7), 2)</f>
        <v/>
      </c>
    </row>
    <row r="547" ht="19" customHeight="1">
      <c r="A547" s="35" t="n">
        <v>543</v>
      </c>
      <c r="B547" s="35" t="n">
        <v>2543</v>
      </c>
      <c r="C547" s="36" t="inlineStr">
        <is>
          <t>0405813001</t>
        </is>
      </c>
      <c r="D547" s="36" t="inlineStr">
        <is>
          <t>Region IV-A (CALABARZON)</t>
        </is>
      </c>
      <c r="E547" s="36" t="inlineStr">
        <is>
          <t>Rizal</t>
        </is>
      </c>
      <c r="F547" s="36" t="inlineStr">
        <is>
          <t>Taytay</t>
        </is>
      </c>
      <c r="G547" s="36" t="inlineStr">
        <is>
          <t>Dolores</t>
        </is>
      </c>
      <c r="H547" s="37" t="n">
        <v>14.569467</v>
      </c>
      <c r="I547" s="37" t="n">
        <v>121.135399</v>
      </c>
      <c r="J547" s="8" t="inlineStr">
        <is>
          <t>U</t>
        </is>
      </c>
      <c r="K547" s="36" t="inlineStr">
        <is>
          <t>Class 1-3 / Urban</t>
        </is>
      </c>
      <c r="L547" s="18" t="n">
        <v>75504</v>
      </c>
      <c r="M547" s="20" t="n">
        <v>4.39</v>
      </c>
      <c r="N547" s="18">
        <f>ROUND(L547/M547, 0)</f>
        <v/>
      </c>
      <c r="O547" s="18">
        <f>ROUND(N547*'Methodology &amp; Assumptions'!$B$8, 0)</f>
        <v/>
      </c>
      <c r="P547" s="8" t="inlineStr">
        <is>
          <t>Band n50 (1.5 GHz, 60 MHz)</t>
        </is>
      </c>
      <c r="Q547" s="38">
        <f>ROUNDUP(O547/'Methodology &amp; Assumptions'!$B$9, 0)</f>
        <v/>
      </c>
      <c r="R547" s="39" t="n">
        <v>1</v>
      </c>
      <c r="S547" s="21" t="n">
        <v>1.14</v>
      </c>
      <c r="T547" s="21" t="n">
        <v>0.44</v>
      </c>
      <c r="U547" s="36" t="inlineStr">
        <is>
          <t>Tier 1B (Micro Drop, 1-3 km)</t>
        </is>
      </c>
      <c r="V547" s="20" t="n">
        <v>78.3</v>
      </c>
      <c r="W547" s="20" t="n">
        <v>94.2</v>
      </c>
      <c r="X547" s="20" t="n">
        <v>28</v>
      </c>
      <c r="Y547" s="40">
        <f>ROUND((V547*'Methodology &amp; Assumptions'!$B$6)+(W547*'Methodology &amp; Assumptions'!$B$5)+(X547*'Methodology &amp; Assumptions'!$B$7), 2)</f>
        <v/>
      </c>
    </row>
    <row r="548" ht="19" customHeight="1">
      <c r="A548" s="41" t="n">
        <v>544</v>
      </c>
      <c r="B548" s="41" t="n">
        <v>2544</v>
      </c>
      <c r="C548" s="42" t="inlineStr">
        <is>
          <t>0402109031</t>
        </is>
      </c>
      <c r="D548" s="42" t="inlineStr">
        <is>
          <t>Region IV-A (CALABARZON)</t>
        </is>
      </c>
      <c r="E548" s="42" t="inlineStr">
        <is>
          <t>Cavite</t>
        </is>
      </c>
      <c r="F548" s="42" t="inlineStr">
        <is>
          <t>City of Imus</t>
        </is>
      </c>
      <c r="G548" s="42" t="inlineStr">
        <is>
          <t>Anabu I-D</t>
        </is>
      </c>
      <c r="H548" s="43" t="n">
        <v>14.389422</v>
      </c>
      <c r="I548" s="43" t="n">
        <v>120.938128</v>
      </c>
      <c r="J548" s="44" t="inlineStr">
        <is>
          <t>U</t>
        </is>
      </c>
      <c r="K548" s="42" t="inlineStr">
        <is>
          <t>Class 1-3 / Urban</t>
        </is>
      </c>
      <c r="L548" s="23" t="n">
        <v>3828</v>
      </c>
      <c r="M548" s="24" t="n">
        <v>4.49</v>
      </c>
      <c r="N548" s="23">
        <f>ROUND(L548/M548, 0)</f>
        <v/>
      </c>
      <c r="O548" s="23">
        <f>ROUND(N548*'Methodology &amp; Assumptions'!$B$8, 0)</f>
        <v/>
      </c>
      <c r="P548" s="44" t="inlineStr">
        <is>
          <t>Band n50 (1.5 GHz, 60 MHz)</t>
        </is>
      </c>
      <c r="Q548" s="38">
        <f>ROUNDUP(O548/'Methodology &amp; Assumptions'!$B$9, 0)</f>
        <v/>
      </c>
      <c r="R548" s="39" t="n">
        <v>1</v>
      </c>
      <c r="S548" s="25" t="n">
        <v>0.66</v>
      </c>
      <c r="T548" s="25" t="n">
        <v>6.31</v>
      </c>
      <c r="U548" s="42" t="inlineStr">
        <is>
          <t>Tier 1A (Direct Coloc, &lt;1 km)</t>
        </is>
      </c>
      <c r="V548" s="24" t="n">
        <v>80.2</v>
      </c>
      <c r="W548" s="24" t="n">
        <v>92.3</v>
      </c>
      <c r="X548" s="24" t="n">
        <v>28</v>
      </c>
      <c r="Y548" s="45">
        <f>ROUND((V548*'Methodology &amp; Assumptions'!$B$6)+(W548*'Methodology &amp; Assumptions'!$B$5)+(X548*'Methodology &amp; Assumptions'!$B$7), 2)</f>
        <v/>
      </c>
    </row>
    <row r="549" ht="19" customHeight="1">
      <c r="A549" s="35" t="n">
        <v>545</v>
      </c>
      <c r="B549" s="35" t="n">
        <v>2545</v>
      </c>
      <c r="C549" s="36" t="inlineStr">
        <is>
          <t>1606701007</t>
        </is>
      </c>
      <c r="D549" s="36" t="inlineStr">
        <is>
          <t>Region XIII (Caraga)</t>
        </is>
      </c>
      <c r="E549" s="36" t="inlineStr">
        <is>
          <t>Surigao del Norte</t>
        </is>
      </c>
      <c r="F549" s="36" t="inlineStr">
        <is>
          <t>Alegria</t>
        </is>
      </c>
      <c r="G549" s="36" t="inlineStr">
        <is>
          <t>San Pedro</t>
        </is>
      </c>
      <c r="H549" s="37" t="n">
        <v>9.476111</v>
      </c>
      <c r="I549" s="37" t="n">
        <v>125.5778</v>
      </c>
      <c r="J549" s="8" t="inlineStr">
        <is>
          <t>R</t>
        </is>
      </c>
      <c r="K549" s="36" t="inlineStr">
        <is>
          <t>4th</t>
        </is>
      </c>
      <c r="L549" s="18" t="n">
        <v>2435</v>
      </c>
      <c r="M549" s="20" t="n">
        <v>4.69</v>
      </c>
      <c r="N549" s="18">
        <f>ROUND(L549/M549, 0)</f>
        <v/>
      </c>
      <c r="O549" s="18">
        <f>ROUND(N549*'Methodology &amp; Assumptions'!$B$8, 0)</f>
        <v/>
      </c>
      <c r="P549" s="8" t="inlineStr">
        <is>
          <t>Band n50 (1.5 GHz, 60 MHz)</t>
        </is>
      </c>
      <c r="Q549" s="38">
        <f>ROUNDUP(O549/'Methodology &amp; Assumptions'!$B$9, 0)</f>
        <v/>
      </c>
      <c r="R549" s="39" t="n">
        <v>1</v>
      </c>
      <c r="S549" s="21" t="n">
        <v>2.12</v>
      </c>
      <c r="T549" s="21" t="n">
        <v>0.05</v>
      </c>
      <c r="U549" s="36" t="inlineStr">
        <is>
          <t>Tier 1B (Micro Drop, 1-3 km)</t>
        </is>
      </c>
      <c r="V549" s="20" t="n">
        <v>59.3</v>
      </c>
      <c r="W549" s="20" t="n">
        <v>65.59999999999999</v>
      </c>
      <c r="X549" s="20" t="n">
        <v>83.5</v>
      </c>
      <c r="Y549" s="40">
        <f>ROUND((V549*'Methodology &amp; Assumptions'!$B$6)+(W549*'Methodology &amp; Assumptions'!$B$5)+(X549*'Methodology &amp; Assumptions'!$B$7), 2)</f>
        <v/>
      </c>
    </row>
    <row r="550" ht="19" customHeight="1">
      <c r="A550" s="41" t="n">
        <v>546</v>
      </c>
      <c r="B550" s="41" t="n">
        <v>2546</v>
      </c>
      <c r="C550" s="42" t="inlineStr">
        <is>
          <t>0701205014</t>
        </is>
      </c>
      <c r="D550" s="42" t="inlineStr">
        <is>
          <t>Region VII (Central Visayas)</t>
        </is>
      </c>
      <c r="E550" s="42" t="inlineStr">
        <is>
          <t>Bohol</t>
        </is>
      </c>
      <c r="F550" s="42" t="inlineStr">
        <is>
          <t>Baclayon</t>
        </is>
      </c>
      <c r="G550" s="42" t="inlineStr">
        <is>
          <t>San Vicente</t>
        </is>
      </c>
      <c r="H550" s="43" t="n">
        <v>9.625920000000001</v>
      </c>
      <c r="I550" s="43" t="n">
        <v>123.907392</v>
      </c>
      <c r="J550" s="44" t="inlineStr">
        <is>
          <t>R</t>
        </is>
      </c>
      <c r="K550" s="42" t="inlineStr">
        <is>
          <t>4th</t>
        </is>
      </c>
      <c r="L550" s="23" t="n">
        <v>1399</v>
      </c>
      <c r="M550" s="24" t="n">
        <v>4.66</v>
      </c>
      <c r="N550" s="23">
        <f>ROUND(L550/M550, 0)</f>
        <v/>
      </c>
      <c r="O550" s="23">
        <f>ROUND(N550*'Methodology &amp; Assumptions'!$B$8, 0)</f>
        <v/>
      </c>
      <c r="P550" s="44" t="inlineStr">
        <is>
          <t>Band n50 (1.5 GHz, 60 MHz)</t>
        </is>
      </c>
      <c r="Q550" s="38">
        <f>ROUNDUP(O550/'Methodology &amp; Assumptions'!$B$9, 0)</f>
        <v/>
      </c>
      <c r="R550" s="39" t="n">
        <v>1</v>
      </c>
      <c r="S550" s="25" t="n">
        <v>0.68</v>
      </c>
      <c r="T550" s="25" t="n">
        <v>0.21</v>
      </c>
      <c r="U550" s="42" t="inlineStr">
        <is>
          <t>Tier 1A (Direct Coloc, &lt;1 km)</t>
        </is>
      </c>
      <c r="V550" s="24" t="n">
        <v>89.7</v>
      </c>
      <c r="W550" s="24" t="n">
        <v>48</v>
      </c>
      <c r="X550" s="24" t="n">
        <v>68.5</v>
      </c>
      <c r="Y550" s="45">
        <f>ROUND((V550*'Methodology &amp; Assumptions'!$B$6)+(W550*'Methodology &amp; Assumptions'!$B$5)+(X550*'Methodology &amp; Assumptions'!$B$7), 2)</f>
        <v/>
      </c>
    </row>
    <row r="551" ht="19" customHeight="1">
      <c r="A551" s="35" t="n">
        <v>547</v>
      </c>
      <c r="B551" s="35" t="n">
        <v>2547</v>
      </c>
      <c r="C551" s="36" t="inlineStr">
        <is>
          <t>0402112016</t>
        </is>
      </c>
      <c r="D551" s="36" t="inlineStr">
        <is>
          <t>Region IV-A (CALABARZON)</t>
        </is>
      </c>
      <c r="E551" s="36" t="inlineStr">
        <is>
          <t>Cavite</t>
        </is>
      </c>
      <c r="F551" s="36" t="inlineStr">
        <is>
          <t>Magallanes</t>
        </is>
      </c>
      <c r="G551" s="36" t="inlineStr">
        <is>
          <t>San Agustin</t>
        </is>
      </c>
      <c r="H551" s="37" t="n">
        <v>14.287792</v>
      </c>
      <c r="I551" s="37" t="n">
        <v>120.868233</v>
      </c>
      <c r="J551" s="8" t="inlineStr">
        <is>
          <t>R</t>
        </is>
      </c>
      <c r="K551" s="36" t="inlineStr">
        <is>
          <t>3rd</t>
        </is>
      </c>
      <c r="L551" s="18" t="n">
        <v>1828</v>
      </c>
      <c r="M551" s="20" t="n">
        <v>4.75</v>
      </c>
      <c r="N551" s="18">
        <f>ROUND(L551/M551, 0)</f>
        <v/>
      </c>
      <c r="O551" s="18">
        <f>ROUND(N551*'Methodology &amp; Assumptions'!$B$8, 0)</f>
        <v/>
      </c>
      <c r="P551" s="8" t="inlineStr">
        <is>
          <t>Band n50 (1.5 GHz, 60 MHz)</t>
        </is>
      </c>
      <c r="Q551" s="38">
        <f>ROUNDUP(O551/'Methodology &amp; Assumptions'!$B$9, 0)</f>
        <v/>
      </c>
      <c r="R551" s="39" t="n">
        <v>1</v>
      </c>
      <c r="S551" s="21" t="n">
        <v>0.6</v>
      </c>
      <c r="T551" s="21" t="n">
        <v>0.5600000000000001</v>
      </c>
      <c r="U551" s="36" t="inlineStr">
        <is>
          <t>Tier 1A (Direct Coloc, &lt;1 km)</t>
        </is>
      </c>
      <c r="V551" s="20" t="n">
        <v>91.8</v>
      </c>
      <c r="W551" s="20" t="n">
        <v>54.9</v>
      </c>
      <c r="X551" s="20" t="n">
        <v>58</v>
      </c>
      <c r="Y551" s="40">
        <f>ROUND((V551*'Methodology &amp; Assumptions'!$B$6)+(W551*'Methodology &amp; Assumptions'!$B$5)+(X551*'Methodology &amp; Assumptions'!$B$7), 2)</f>
        <v/>
      </c>
    </row>
    <row r="552" ht="19" customHeight="1">
      <c r="A552" s="41" t="n">
        <v>548</v>
      </c>
      <c r="B552" s="41" t="n">
        <v>2548</v>
      </c>
      <c r="C552" s="42" t="inlineStr">
        <is>
          <t>0702232015</t>
        </is>
      </c>
      <c r="D552" s="42" t="inlineStr">
        <is>
          <t>Region VII (Central Visayas)</t>
        </is>
      </c>
      <c r="E552" s="42" t="inlineStr">
        <is>
          <t>Cebu</t>
        </is>
      </c>
      <c r="F552" s="42" t="inlineStr">
        <is>
          <t>Minglanilla</t>
        </is>
      </c>
      <c r="G552" s="42" t="inlineStr">
        <is>
          <t>Tulay</t>
        </is>
      </c>
      <c r="H552" s="43" t="n">
        <v>10.238709</v>
      </c>
      <c r="I552" s="43" t="n">
        <v>123.791266</v>
      </c>
      <c r="J552" s="44" t="inlineStr">
        <is>
          <t>U</t>
        </is>
      </c>
      <c r="K552" s="42" t="inlineStr">
        <is>
          <t>Class 1-3 / Urban</t>
        </is>
      </c>
      <c r="L552" s="23" t="n">
        <v>11834</v>
      </c>
      <c r="M552" s="24" t="n">
        <v>4.42</v>
      </c>
      <c r="N552" s="23">
        <f>ROUND(L552/M552, 0)</f>
        <v/>
      </c>
      <c r="O552" s="23">
        <f>ROUND(N552*'Methodology &amp; Assumptions'!$B$8, 0)</f>
        <v/>
      </c>
      <c r="P552" s="44" t="inlineStr">
        <is>
          <t>Band n50 (1.5 GHz, 60 MHz)</t>
        </is>
      </c>
      <c r="Q552" s="38">
        <f>ROUNDUP(O552/'Methodology &amp; Assumptions'!$B$9, 0)</f>
        <v/>
      </c>
      <c r="R552" s="39" t="n">
        <v>1</v>
      </c>
      <c r="S552" s="25" t="n">
        <v>1.41</v>
      </c>
      <c r="T552" s="25" t="n">
        <v>0.05</v>
      </c>
      <c r="U552" s="42" t="inlineStr">
        <is>
          <t>Tier 1B (Micro Drop, 1-3 km)</t>
        </is>
      </c>
      <c r="V552" s="24" t="n">
        <v>72.5</v>
      </c>
      <c r="W552" s="24" t="n">
        <v>100</v>
      </c>
      <c r="X552" s="24" t="n">
        <v>28</v>
      </c>
      <c r="Y552" s="45">
        <f>ROUND((V552*'Methodology &amp; Assumptions'!$B$6)+(W552*'Methodology &amp; Assumptions'!$B$5)+(X552*'Methodology &amp; Assumptions'!$B$7), 2)</f>
        <v/>
      </c>
    </row>
    <row r="553" ht="19" customHeight="1">
      <c r="A553" s="35" t="n">
        <v>549</v>
      </c>
      <c r="B553" s="35" t="n">
        <v>2549</v>
      </c>
      <c r="C553" s="36" t="inlineStr">
        <is>
          <t>0401003044</t>
        </is>
      </c>
      <c r="D553" s="36" t="inlineStr">
        <is>
          <t>Region IV-A (CALABARZON)</t>
        </is>
      </c>
      <c r="E553" s="36" t="inlineStr">
        <is>
          <t>Batangas</t>
        </is>
      </c>
      <c r="F553" s="36" t="inlineStr">
        <is>
          <t>Balayan</t>
        </is>
      </c>
      <c r="G553" s="36" t="inlineStr">
        <is>
          <t>Sampaga</t>
        </is>
      </c>
      <c r="H553" s="37" t="n">
        <v>13.9428</v>
      </c>
      <c r="I553" s="37" t="n">
        <v>120.7728</v>
      </c>
      <c r="J553" s="8" t="inlineStr">
        <is>
          <t>R</t>
        </is>
      </c>
      <c r="K553" s="36" t="inlineStr">
        <is>
          <t>Class 1-3 / Urban</t>
        </is>
      </c>
      <c r="L553" s="18" t="n">
        <v>3122</v>
      </c>
      <c r="M553" s="20" t="n">
        <v>4.62</v>
      </c>
      <c r="N553" s="18">
        <f>ROUND(L553/M553, 0)</f>
        <v/>
      </c>
      <c r="O553" s="18">
        <f>ROUND(N553*'Methodology &amp; Assumptions'!$B$8, 0)</f>
        <v/>
      </c>
      <c r="P553" s="8" t="inlineStr">
        <is>
          <t>Band n50 (1.5 GHz, 60 MHz)</t>
        </is>
      </c>
      <c r="Q553" s="38">
        <f>ROUNDUP(O553/'Methodology &amp; Assumptions'!$B$9, 0)</f>
        <v/>
      </c>
      <c r="R553" s="39" t="n">
        <v>1</v>
      </c>
      <c r="S553" s="21" t="n">
        <v>1.6</v>
      </c>
      <c r="T553" s="21" t="n">
        <v>0.33</v>
      </c>
      <c r="U553" s="36" t="inlineStr">
        <is>
          <t>Tier 1B (Micro Drop, 1-3 km)</t>
        </is>
      </c>
      <c r="V553" s="20" t="n">
        <v>68.59999999999999</v>
      </c>
      <c r="W553" s="20" t="n">
        <v>78.09999999999999</v>
      </c>
      <c r="X553" s="20" t="n">
        <v>58</v>
      </c>
      <c r="Y553" s="40">
        <f>ROUND((V553*'Methodology &amp; Assumptions'!$B$6)+(W553*'Methodology &amp; Assumptions'!$B$5)+(X553*'Methodology &amp; Assumptions'!$B$7), 2)</f>
        <v/>
      </c>
    </row>
    <row r="554" ht="19" customHeight="1">
      <c r="A554" s="41" t="n">
        <v>550</v>
      </c>
      <c r="B554" s="41" t="n">
        <v>2550</v>
      </c>
      <c r="C554" s="42" t="inlineStr">
        <is>
          <t>0305413034</t>
        </is>
      </c>
      <c r="D554" s="42" t="inlineStr">
        <is>
          <t>Region III (Central Luzon)</t>
        </is>
      </c>
      <c r="E554" s="42" t="inlineStr">
        <is>
          <t>Pampanga</t>
        </is>
      </c>
      <c r="F554" s="42" t="inlineStr">
        <is>
          <t>Mexico</t>
        </is>
      </c>
      <c r="G554" s="42" t="inlineStr">
        <is>
          <t>San Nicolas</t>
        </is>
      </c>
      <c r="H554" s="43" t="n">
        <v>15.07114</v>
      </c>
      <c r="I554" s="43" t="n">
        <v>120.744429</v>
      </c>
      <c r="J554" s="44" t="inlineStr">
        <is>
          <t>R</t>
        </is>
      </c>
      <c r="K554" s="42" t="inlineStr">
        <is>
          <t>Class 1-3 / Urban</t>
        </is>
      </c>
      <c r="L554" s="23" t="n">
        <v>2714</v>
      </c>
      <c r="M554" s="24" t="n">
        <v>4.63</v>
      </c>
      <c r="N554" s="23">
        <f>ROUND(L554/M554, 0)</f>
        <v/>
      </c>
      <c r="O554" s="23">
        <f>ROUND(N554*'Methodology &amp; Assumptions'!$B$8, 0)</f>
        <v/>
      </c>
      <c r="P554" s="44" t="inlineStr">
        <is>
          <t>Band n50 (1.5 GHz, 60 MHz)</t>
        </is>
      </c>
      <c r="Q554" s="38">
        <f>ROUNDUP(O554/'Methodology &amp; Assumptions'!$B$9, 0)</f>
        <v/>
      </c>
      <c r="R554" s="39" t="n">
        <v>1</v>
      </c>
      <c r="S554" s="25" t="n">
        <v>1.26</v>
      </c>
      <c r="T554" s="25" t="n">
        <v>0.16</v>
      </c>
      <c r="U554" s="42" t="inlineStr">
        <is>
          <t>Tier 1B (Micro Drop, 1-3 km)</t>
        </is>
      </c>
      <c r="V554" s="24" t="n">
        <v>75.8</v>
      </c>
      <c r="W554" s="24" t="n">
        <v>70.90000000000001</v>
      </c>
      <c r="X554" s="24" t="n">
        <v>58</v>
      </c>
      <c r="Y554" s="45">
        <f>ROUND((V554*'Methodology &amp; Assumptions'!$B$6)+(W554*'Methodology &amp; Assumptions'!$B$5)+(X554*'Methodology &amp; Assumptions'!$B$7), 2)</f>
        <v/>
      </c>
    </row>
    <row r="555" ht="19" customHeight="1">
      <c r="A555" s="35" t="n">
        <v>551</v>
      </c>
      <c r="B555" s="35" t="n">
        <v>2551</v>
      </c>
      <c r="C555" s="36" t="inlineStr">
        <is>
          <t>0501720013</t>
        </is>
      </c>
      <c r="D555" s="36" t="inlineStr">
        <is>
          <t>Region V (Bicol Region)</t>
        </is>
      </c>
      <c r="E555" s="36" t="inlineStr">
        <is>
          <t>Camarines Sur</t>
        </is>
      </c>
      <c r="F555" s="36" t="inlineStr">
        <is>
          <t>Magarao</t>
        </is>
      </c>
      <c r="G555" s="36" t="inlineStr">
        <is>
          <t>Santa Lucia</t>
        </is>
      </c>
      <c r="H555" s="37" t="n">
        <v>13.66549</v>
      </c>
      <c r="I555" s="37" t="n">
        <v>123.204321</v>
      </c>
      <c r="J555" s="8" t="inlineStr">
        <is>
          <t>U</t>
        </is>
      </c>
      <c r="K555" s="36" t="inlineStr">
        <is>
          <t>4th</t>
        </is>
      </c>
      <c r="L555" s="18" t="n">
        <v>6478</v>
      </c>
      <c r="M555" s="20" t="n">
        <v>4.81</v>
      </c>
      <c r="N555" s="18">
        <f>ROUND(L555/M555, 0)</f>
        <v/>
      </c>
      <c r="O555" s="18">
        <f>ROUND(N555*'Methodology &amp; Assumptions'!$B$8, 0)</f>
        <v/>
      </c>
      <c r="P555" s="8" t="inlineStr">
        <is>
          <t>Band n50 (1.5 GHz, 60 MHz)</t>
        </is>
      </c>
      <c r="Q555" s="38">
        <f>ROUNDUP(O555/'Methodology &amp; Assumptions'!$B$9, 0)</f>
        <v/>
      </c>
      <c r="R555" s="39" t="n">
        <v>1</v>
      </c>
      <c r="S555" s="21" t="n">
        <v>2.71</v>
      </c>
      <c r="T555" s="21" t="n">
        <v>0.25</v>
      </c>
      <c r="U555" s="36" t="inlineStr">
        <is>
          <t>Tier 1B (Micro Drop, 1-3 km)</t>
        </is>
      </c>
      <c r="V555" s="20" t="n">
        <v>50.6</v>
      </c>
      <c r="W555" s="20" t="n">
        <v>100</v>
      </c>
      <c r="X555" s="20" t="n">
        <v>53.5</v>
      </c>
      <c r="Y555" s="40">
        <f>ROUND((V555*'Methodology &amp; Assumptions'!$B$6)+(W555*'Methodology &amp; Assumptions'!$B$5)+(X555*'Methodology &amp; Assumptions'!$B$7), 2)</f>
        <v/>
      </c>
    </row>
    <row r="556" ht="19" customHeight="1">
      <c r="A556" s="41" t="n">
        <v>552</v>
      </c>
      <c r="B556" s="41" t="n">
        <v>2552</v>
      </c>
      <c r="C556" s="42" t="inlineStr">
        <is>
          <t>0402106059</t>
        </is>
      </c>
      <c r="D556" s="42" t="inlineStr">
        <is>
          <t>Region IV-A (CALABARZON)</t>
        </is>
      </c>
      <c r="E556" s="42" t="inlineStr">
        <is>
          <t>Cavite</t>
        </is>
      </c>
      <c r="F556" s="42" t="inlineStr">
        <is>
          <t>City of Dasmariñas</t>
        </is>
      </c>
      <c r="G556" s="42" t="inlineStr">
        <is>
          <t>Salitran III</t>
        </is>
      </c>
      <c r="H556" s="43" t="n">
        <v>14.343743</v>
      </c>
      <c r="I556" s="43" t="n">
        <v>120.945248</v>
      </c>
      <c r="J556" s="44" t="inlineStr">
        <is>
          <t>U</t>
        </is>
      </c>
      <c r="K556" s="42" t="inlineStr">
        <is>
          <t>Class 1-3 / Urban</t>
        </is>
      </c>
      <c r="L556" s="23" t="n">
        <v>15396</v>
      </c>
      <c r="M556" s="24" t="n">
        <v>4.49</v>
      </c>
      <c r="N556" s="23">
        <f>ROUND(L556/M556, 0)</f>
        <v/>
      </c>
      <c r="O556" s="23">
        <f>ROUND(N556*'Methodology &amp; Assumptions'!$B$8, 0)</f>
        <v/>
      </c>
      <c r="P556" s="44" t="inlineStr">
        <is>
          <t>Band n50 (1.5 GHz, 60 MHz)</t>
        </is>
      </c>
      <c r="Q556" s="38">
        <f>ROUNDUP(O556/'Methodology &amp; Assumptions'!$B$9, 0)</f>
        <v/>
      </c>
      <c r="R556" s="39" t="n">
        <v>1</v>
      </c>
      <c r="S556" s="25" t="n">
        <v>0.97</v>
      </c>
      <c r="T556" s="25" t="n">
        <v>4.76</v>
      </c>
      <c r="U556" s="42" t="inlineStr">
        <is>
          <t>Tier 1A (Direct Coloc, &lt;1 km)</t>
        </is>
      </c>
      <c r="V556" s="24" t="n">
        <v>72.40000000000001</v>
      </c>
      <c r="W556" s="24" t="n">
        <v>100</v>
      </c>
      <c r="X556" s="24" t="n">
        <v>28</v>
      </c>
      <c r="Y556" s="45">
        <f>ROUND((V556*'Methodology &amp; Assumptions'!$B$6)+(W556*'Methodology &amp; Assumptions'!$B$5)+(X556*'Methodology &amp; Assumptions'!$B$7), 2)</f>
        <v/>
      </c>
    </row>
    <row r="557" ht="19" customHeight="1">
      <c r="A557" s="35" t="n">
        <v>553</v>
      </c>
      <c r="B557" s="35" t="n">
        <v>2553</v>
      </c>
      <c r="C557" s="36" t="inlineStr">
        <is>
          <t>0730600048</t>
        </is>
      </c>
      <c r="D557" s="36" t="inlineStr">
        <is>
          <t>Region VII (Central Visayas)</t>
        </is>
      </c>
      <c r="E557" s="36" t="inlineStr">
        <is>
          <t>Cebu</t>
        </is>
      </c>
      <c r="F557" s="36" t="inlineStr">
        <is>
          <t>City of Cebu</t>
        </is>
      </c>
      <c r="G557" s="36" t="inlineStr">
        <is>
          <t>Malubog</t>
        </is>
      </c>
      <c r="H557" s="37" t="n">
        <v>10.378874</v>
      </c>
      <c r="I557" s="37" t="n">
        <v>123.867837</v>
      </c>
      <c r="J557" s="8" t="inlineStr">
        <is>
          <t>R</t>
        </is>
      </c>
      <c r="K557" s="36" t="inlineStr">
        <is>
          <t>Class 1-3 / Urban</t>
        </is>
      </c>
      <c r="L557" s="18" t="n">
        <v>3316</v>
      </c>
      <c r="M557" s="20" t="n">
        <v>4.42</v>
      </c>
      <c r="N557" s="18">
        <f>ROUND(L557/M557, 0)</f>
        <v/>
      </c>
      <c r="O557" s="18">
        <f>ROUND(N557*'Methodology &amp; Assumptions'!$B$8, 0)</f>
        <v/>
      </c>
      <c r="P557" s="8" t="inlineStr">
        <is>
          <t>Band n50 (1.5 GHz, 60 MHz)</t>
        </is>
      </c>
      <c r="Q557" s="38">
        <f>ROUNDUP(O557/'Methodology &amp; Assumptions'!$B$9, 0)</f>
        <v/>
      </c>
      <c r="R557" s="39" t="n">
        <v>1</v>
      </c>
      <c r="S557" s="21" t="n">
        <v>1.4</v>
      </c>
      <c r="T557" s="21" t="n">
        <v>5.66</v>
      </c>
      <c r="U557" s="36" t="inlineStr">
        <is>
          <t>Tier 1B (Micro Drop, 1-3 km)</t>
        </is>
      </c>
      <c r="V557" s="20" t="n">
        <v>62.7</v>
      </c>
      <c r="W557" s="20" t="n">
        <v>84</v>
      </c>
      <c r="X557" s="20" t="n">
        <v>58</v>
      </c>
      <c r="Y557" s="40">
        <f>ROUND((V557*'Methodology &amp; Assumptions'!$B$6)+(W557*'Methodology &amp; Assumptions'!$B$5)+(X557*'Methodology &amp; Assumptions'!$B$7), 2)</f>
        <v/>
      </c>
    </row>
    <row r="558" ht="19" customHeight="1">
      <c r="A558" s="41" t="n">
        <v>554</v>
      </c>
      <c r="B558" s="41" t="n">
        <v>2554</v>
      </c>
      <c r="C558" s="42" t="inlineStr">
        <is>
          <t>0402103003</t>
        </is>
      </c>
      <c r="D558" s="42" t="inlineStr">
        <is>
          <t>Region IV-A (CALABARZON)</t>
        </is>
      </c>
      <c r="E558" s="42" t="inlineStr">
        <is>
          <t>Cavite</t>
        </is>
      </c>
      <c r="F558" s="42" t="inlineStr">
        <is>
          <t>City of Bacoor</t>
        </is>
      </c>
      <c r="G558" s="42" t="inlineStr">
        <is>
          <t>Banalo</t>
        </is>
      </c>
      <c r="H558" s="43" t="n">
        <v>14.436707</v>
      </c>
      <c r="I558" s="43" t="n">
        <v>120.961346</v>
      </c>
      <c r="J558" s="44" t="inlineStr">
        <is>
          <t>R</t>
        </is>
      </c>
      <c r="K558" s="42" t="inlineStr">
        <is>
          <t>Class 1-3 / Urban</t>
        </is>
      </c>
      <c r="L558" s="23" t="n">
        <v>2848</v>
      </c>
      <c r="M558" s="24" t="n">
        <v>4.49</v>
      </c>
      <c r="N558" s="23">
        <f>ROUND(L558/M558, 0)</f>
        <v/>
      </c>
      <c r="O558" s="23">
        <f>ROUND(N558*'Methodology &amp; Assumptions'!$B$8, 0)</f>
        <v/>
      </c>
      <c r="P558" s="44" t="inlineStr">
        <is>
          <t>Band n50 (1.5 GHz, 60 MHz)</t>
        </is>
      </c>
      <c r="Q558" s="38">
        <f>ROUNDUP(O558/'Methodology &amp; Assumptions'!$B$9, 0)</f>
        <v/>
      </c>
      <c r="R558" s="39" t="n">
        <v>1</v>
      </c>
      <c r="S558" s="25" t="n">
        <v>1.43</v>
      </c>
      <c r="T558" s="25" t="n">
        <v>1.32</v>
      </c>
      <c r="U558" s="42" t="inlineStr">
        <is>
          <t>Tier 1B (Micro Drop, 1-3 km)</t>
        </is>
      </c>
      <c r="V558" s="24" t="n">
        <v>72</v>
      </c>
      <c r="W558" s="24" t="n">
        <v>74.7</v>
      </c>
      <c r="X558" s="24" t="n">
        <v>58</v>
      </c>
      <c r="Y558" s="45">
        <f>ROUND((V558*'Methodology &amp; Assumptions'!$B$6)+(W558*'Methodology &amp; Assumptions'!$B$5)+(X558*'Methodology &amp; Assumptions'!$B$7), 2)</f>
        <v/>
      </c>
    </row>
    <row r="559" ht="19" customHeight="1">
      <c r="A559" s="35" t="n">
        <v>555</v>
      </c>
      <c r="B559" s="35" t="n">
        <v>2555</v>
      </c>
      <c r="C559" s="36" t="inlineStr">
        <is>
          <t>0402103005</t>
        </is>
      </c>
      <c r="D559" s="36" t="inlineStr">
        <is>
          <t>Region IV-A (CALABARZON)</t>
        </is>
      </c>
      <c r="E559" s="36" t="inlineStr">
        <is>
          <t>Cavite</t>
        </is>
      </c>
      <c r="F559" s="36" t="inlineStr">
        <is>
          <t>City of Bacoor</t>
        </is>
      </c>
      <c r="G559" s="36" t="inlineStr">
        <is>
          <t>Daang Bukid</t>
        </is>
      </c>
      <c r="H559" s="37" t="n">
        <v>14.436707</v>
      </c>
      <c r="I559" s="37" t="n">
        <v>120.961346</v>
      </c>
      <c r="J559" s="8" t="inlineStr">
        <is>
          <t>R</t>
        </is>
      </c>
      <c r="K559" s="36" t="inlineStr">
        <is>
          <t>Class 1-3 / Urban</t>
        </is>
      </c>
      <c r="L559" s="18" t="n">
        <v>2839</v>
      </c>
      <c r="M559" s="20" t="n">
        <v>4.49</v>
      </c>
      <c r="N559" s="18">
        <f>ROUND(L559/M559, 0)</f>
        <v/>
      </c>
      <c r="O559" s="18">
        <f>ROUND(N559*'Methodology &amp; Assumptions'!$B$8, 0)</f>
        <v/>
      </c>
      <c r="P559" s="8" t="inlineStr">
        <is>
          <t>Band n50 (1.5 GHz, 60 MHz)</t>
        </is>
      </c>
      <c r="Q559" s="38">
        <f>ROUNDUP(O559/'Methodology &amp; Assumptions'!$B$9, 0)</f>
        <v/>
      </c>
      <c r="R559" s="39" t="n">
        <v>1</v>
      </c>
      <c r="S559" s="21" t="n">
        <v>1.43</v>
      </c>
      <c r="T559" s="21" t="n">
        <v>1.32</v>
      </c>
      <c r="U559" s="36" t="inlineStr">
        <is>
          <t>Tier 1B (Micro Drop, 1-3 km)</t>
        </is>
      </c>
      <c r="V559" s="20" t="n">
        <v>72</v>
      </c>
      <c r="W559" s="20" t="n">
        <v>74.7</v>
      </c>
      <c r="X559" s="20" t="n">
        <v>58</v>
      </c>
      <c r="Y559" s="40">
        <f>ROUND((V559*'Methodology &amp; Assumptions'!$B$6)+(W559*'Methodology &amp; Assumptions'!$B$5)+(X559*'Methodology &amp; Assumptions'!$B$7), 2)</f>
        <v/>
      </c>
    </row>
    <row r="560" ht="19" customHeight="1">
      <c r="A560" s="41" t="n">
        <v>556</v>
      </c>
      <c r="B560" s="41" t="n">
        <v>2556</v>
      </c>
      <c r="C560" s="42" t="inlineStr">
        <is>
          <t>0504111024</t>
        </is>
      </c>
      <c r="D560" s="42" t="inlineStr">
        <is>
          <t>Region V (Bicol Region)</t>
        </is>
      </c>
      <c r="E560" s="42" t="inlineStr">
        <is>
          <t>Masbate</t>
        </is>
      </c>
      <c r="F560" s="42" t="inlineStr">
        <is>
          <t>City of Masbate</t>
        </is>
      </c>
      <c r="G560" s="42" t="inlineStr">
        <is>
          <t>Nursery</t>
        </is>
      </c>
      <c r="H560" s="43" t="n">
        <v>12.364476</v>
      </c>
      <c r="I560" s="43" t="n">
        <v>123.627851</v>
      </c>
      <c r="J560" s="44" t="inlineStr">
        <is>
          <t>U</t>
        </is>
      </c>
      <c r="K560" s="42" t="inlineStr">
        <is>
          <t>Class 1-3 / Urban</t>
        </is>
      </c>
      <c r="L560" s="23" t="n">
        <v>12654</v>
      </c>
      <c r="M560" s="24" t="n">
        <v>4.6</v>
      </c>
      <c r="N560" s="23">
        <f>ROUND(L560/M560, 0)</f>
        <v/>
      </c>
      <c r="O560" s="23">
        <f>ROUND(N560*'Methodology &amp; Assumptions'!$B$8, 0)</f>
        <v/>
      </c>
      <c r="P560" s="44" t="inlineStr">
        <is>
          <t>Band n50 (1.5 GHz, 60 MHz)</t>
        </is>
      </c>
      <c r="Q560" s="38">
        <f>ROUNDUP(O560/'Methodology &amp; Assumptions'!$B$9, 0)</f>
        <v/>
      </c>
      <c r="R560" s="39" t="n">
        <v>1</v>
      </c>
      <c r="S560" s="25" t="n">
        <v>1.41</v>
      </c>
      <c r="T560" s="25" t="n">
        <v>0.39</v>
      </c>
      <c r="U560" s="42" t="inlineStr">
        <is>
          <t>Tier 1B (Micro Drop, 1-3 km)</t>
        </is>
      </c>
      <c r="V560" s="24" t="n">
        <v>72.40000000000001</v>
      </c>
      <c r="W560" s="24" t="n">
        <v>100</v>
      </c>
      <c r="X560" s="24" t="n">
        <v>28</v>
      </c>
      <c r="Y560" s="45">
        <f>ROUND((V560*'Methodology &amp; Assumptions'!$B$6)+(W560*'Methodology &amp; Assumptions'!$B$5)+(X560*'Methodology &amp; Assumptions'!$B$7), 2)</f>
        <v/>
      </c>
    </row>
    <row r="561" ht="19" customHeight="1">
      <c r="A561" s="35" t="n">
        <v>557</v>
      </c>
      <c r="B561" s="35" t="n">
        <v>2557</v>
      </c>
      <c r="C561" s="36" t="inlineStr">
        <is>
          <t>0500508026</t>
        </is>
      </c>
      <c r="D561" s="36" t="inlineStr">
        <is>
          <t>Region V (Bicol Region)</t>
        </is>
      </c>
      <c r="E561" s="36" t="inlineStr">
        <is>
          <t>Albay</t>
        </is>
      </c>
      <c r="F561" s="36" t="inlineStr">
        <is>
          <t>City of Ligao</t>
        </is>
      </c>
      <c r="G561" s="36" t="inlineStr">
        <is>
          <t>Herrera</t>
        </is>
      </c>
      <c r="H561" s="37" t="n">
        <v>13.266935</v>
      </c>
      <c r="I561" s="37" t="n">
        <v>123.578227</v>
      </c>
      <c r="J561" s="8" t="inlineStr">
        <is>
          <t>R</t>
        </is>
      </c>
      <c r="K561" s="36" t="inlineStr">
        <is>
          <t>Class 1-3 / Urban</t>
        </is>
      </c>
      <c r="L561" s="18" t="n">
        <v>2712</v>
      </c>
      <c r="M561" s="20" t="n">
        <v>4.67</v>
      </c>
      <c r="N561" s="18">
        <f>ROUND(L561/M561, 0)</f>
        <v/>
      </c>
      <c r="O561" s="18">
        <f>ROUND(N561*'Methodology &amp; Assumptions'!$B$8, 0)</f>
        <v/>
      </c>
      <c r="P561" s="8" t="inlineStr">
        <is>
          <t>Band n50 (1.5 GHz, 60 MHz)</t>
        </is>
      </c>
      <c r="Q561" s="38">
        <f>ROUNDUP(O561/'Methodology &amp; Assumptions'!$B$9, 0)</f>
        <v/>
      </c>
      <c r="R561" s="39" t="n">
        <v>1</v>
      </c>
      <c r="S561" s="21" t="n">
        <v>1.23</v>
      </c>
      <c r="T561" s="21" t="n">
        <v>1.15</v>
      </c>
      <c r="U561" s="36" t="inlineStr">
        <is>
          <t>Tier 1B (Micro Drop, 1-3 km)</t>
        </is>
      </c>
      <c r="V561" s="20" t="n">
        <v>76.3</v>
      </c>
      <c r="W561" s="20" t="n">
        <v>70.40000000000001</v>
      </c>
      <c r="X561" s="20" t="n">
        <v>58</v>
      </c>
      <c r="Y561" s="40">
        <f>ROUND((V561*'Methodology &amp; Assumptions'!$B$6)+(W561*'Methodology &amp; Assumptions'!$B$5)+(X561*'Methodology &amp; Assumptions'!$B$7), 2)</f>
        <v/>
      </c>
    </row>
    <row r="562" ht="19" customHeight="1">
      <c r="A562" s="41" t="n">
        <v>558</v>
      </c>
      <c r="B562" s="41" t="n">
        <v>2558</v>
      </c>
      <c r="C562" s="42" t="inlineStr">
        <is>
          <t>0603037031</t>
        </is>
      </c>
      <c r="D562" s="42" t="inlineStr">
        <is>
          <t>Region VI (Western Visayas)</t>
        </is>
      </c>
      <c r="E562" s="42" t="inlineStr">
        <is>
          <t>Iloilo</t>
        </is>
      </c>
      <c r="F562" s="42" t="inlineStr">
        <is>
          <t>Pototan</t>
        </is>
      </c>
      <c r="G562" s="42" t="inlineStr">
        <is>
          <t>Primitivo Ledesma Ward</t>
        </is>
      </c>
      <c r="H562" s="43" t="n">
        <v>10.941267</v>
      </c>
      <c r="I562" s="43" t="n">
        <v>122.633914</v>
      </c>
      <c r="J562" s="44" t="inlineStr">
        <is>
          <t>R</t>
        </is>
      </c>
      <c r="K562" s="42" t="inlineStr">
        <is>
          <t>Class 1-3 / Urban</t>
        </is>
      </c>
      <c r="L562" s="23" t="n">
        <v>2203</v>
      </c>
      <c r="M562" s="24" t="n">
        <v>4.39</v>
      </c>
      <c r="N562" s="23">
        <f>ROUND(L562/M562, 0)</f>
        <v/>
      </c>
      <c r="O562" s="23">
        <f>ROUND(N562*'Methodology &amp; Assumptions'!$B$8, 0)</f>
        <v/>
      </c>
      <c r="P562" s="44" t="inlineStr">
        <is>
          <t>Band n50 (1.5 GHz, 60 MHz)</t>
        </is>
      </c>
      <c r="Q562" s="38">
        <f>ROUNDUP(O562/'Methodology &amp; Assumptions'!$B$9, 0)</f>
        <v/>
      </c>
      <c r="R562" s="39" t="n">
        <v>1</v>
      </c>
      <c r="S562" s="25" t="n">
        <v>0.97</v>
      </c>
      <c r="T562" s="25" t="n">
        <v>0.41</v>
      </c>
      <c r="U562" s="42" t="inlineStr">
        <is>
          <t>Tier 1A (Direct Coloc, &lt;1 km)</t>
        </is>
      </c>
      <c r="V562" s="24" t="n">
        <v>82.40000000000001</v>
      </c>
      <c r="W562" s="24" t="n">
        <v>64.3</v>
      </c>
      <c r="X562" s="24" t="n">
        <v>58</v>
      </c>
      <c r="Y562" s="45">
        <f>ROUND((V562*'Methodology &amp; Assumptions'!$B$6)+(W562*'Methodology &amp; Assumptions'!$B$5)+(X562*'Methodology &amp; Assumptions'!$B$7), 2)</f>
        <v/>
      </c>
    </row>
    <row r="563" ht="19" customHeight="1">
      <c r="A563" s="35" t="n">
        <v>559</v>
      </c>
      <c r="B563" s="35" t="n">
        <v>2559</v>
      </c>
      <c r="C563" s="36" t="inlineStr">
        <is>
          <t>1430300136</t>
        </is>
      </c>
      <c r="D563" s="36" t="inlineStr">
        <is>
          <t>Cordillera Administrative Region (CAR)</t>
        </is>
      </c>
      <c r="E563" s="36" t="inlineStr">
        <is>
          <t>Benguet</t>
        </is>
      </c>
      <c r="F563" s="36" t="inlineStr">
        <is>
          <t>City of Baguio</t>
        </is>
      </c>
      <c r="G563" s="36" t="inlineStr">
        <is>
          <t>Alfonso Tabora</t>
        </is>
      </c>
      <c r="H563" s="37" t="n">
        <v>16.42726</v>
      </c>
      <c r="I563" s="37" t="n">
        <v>120.59323</v>
      </c>
      <c r="J563" s="8" t="inlineStr">
        <is>
          <t>R</t>
        </is>
      </c>
      <c r="K563" s="36" t="inlineStr">
        <is>
          <t>Class 1-3 / Urban</t>
        </is>
      </c>
      <c r="L563" s="18" t="n">
        <v>1524</v>
      </c>
      <c r="M563" s="20" t="n">
        <v>4.58</v>
      </c>
      <c r="N563" s="18">
        <f>ROUND(L563/M563, 0)</f>
        <v/>
      </c>
      <c r="O563" s="18">
        <f>ROUND(N563*'Methodology &amp; Assumptions'!$B$8, 0)</f>
        <v/>
      </c>
      <c r="P563" s="8" t="inlineStr">
        <is>
          <t>Band n50 (1.5 GHz, 60 MHz)</t>
        </is>
      </c>
      <c r="Q563" s="38">
        <f>ROUNDUP(O563/'Methodology &amp; Assumptions'!$B$9, 0)</f>
        <v/>
      </c>
      <c r="R563" s="39" t="n">
        <v>1</v>
      </c>
      <c r="S563" s="21" t="n">
        <v>0.2</v>
      </c>
      <c r="T563" s="21" t="n">
        <v>1.4</v>
      </c>
      <c r="U563" s="36" t="inlineStr">
        <is>
          <t>Tier 1A (Direct Coloc, &lt;1 km)</t>
        </is>
      </c>
      <c r="V563" s="20" t="n">
        <v>100</v>
      </c>
      <c r="W563" s="20" t="n">
        <v>46.7</v>
      </c>
      <c r="X563" s="20" t="n">
        <v>58</v>
      </c>
      <c r="Y563" s="40">
        <f>ROUND((V563*'Methodology &amp; Assumptions'!$B$6)+(W563*'Methodology &amp; Assumptions'!$B$5)+(X563*'Methodology &amp; Assumptions'!$B$7), 2)</f>
        <v/>
      </c>
    </row>
    <row r="564" ht="19" customHeight="1">
      <c r="A564" s="41" t="n">
        <v>560</v>
      </c>
      <c r="B564" s="41" t="n">
        <v>2560</v>
      </c>
      <c r="C564" s="42" t="inlineStr">
        <is>
          <t>0603017051</t>
        </is>
      </c>
      <c r="D564" s="42" t="inlineStr">
        <is>
          <t>Region VI (Western Visayas)</t>
        </is>
      </c>
      <c r="E564" s="42" t="inlineStr">
        <is>
          <t>Iloilo</t>
        </is>
      </c>
      <c r="F564" s="42" t="inlineStr">
        <is>
          <t>Dueñas</t>
        </is>
      </c>
      <c r="G564" s="42" t="inlineStr">
        <is>
          <t>Poblacion D</t>
        </is>
      </c>
      <c r="H564" s="43" t="n">
        <v>11.066343</v>
      </c>
      <c r="I564" s="43" t="n">
        <v>122.620216</v>
      </c>
      <c r="J564" s="44" t="inlineStr">
        <is>
          <t>R</t>
        </is>
      </c>
      <c r="K564" s="42" t="inlineStr">
        <is>
          <t>3rd</t>
        </is>
      </c>
      <c r="L564" s="23" t="n">
        <v>1240</v>
      </c>
      <c r="M564" s="24" t="n">
        <v>4.38</v>
      </c>
      <c r="N564" s="23">
        <f>ROUND(L564/M564, 0)</f>
        <v/>
      </c>
      <c r="O564" s="23">
        <f>ROUND(N564*'Methodology &amp; Assumptions'!$B$8, 0)</f>
        <v/>
      </c>
      <c r="P564" s="44" t="inlineStr">
        <is>
          <t>Band n50 (1.5 GHz, 60 MHz)</t>
        </is>
      </c>
      <c r="Q564" s="38">
        <f>ROUNDUP(O564/'Methodology &amp; Assumptions'!$B$9, 0)</f>
        <v/>
      </c>
      <c r="R564" s="39" t="n">
        <v>1</v>
      </c>
      <c r="S564" s="25" t="n">
        <v>0.27</v>
      </c>
      <c r="T564" s="25" t="n">
        <v>0.52</v>
      </c>
      <c r="U564" s="42" t="inlineStr">
        <is>
          <t>Tier 1A (Direct Coloc, &lt;1 km)</t>
        </is>
      </c>
      <c r="V564" s="24" t="n">
        <v>100</v>
      </c>
      <c r="W564" s="24" t="n">
        <v>46.7</v>
      </c>
      <c r="X564" s="24" t="n">
        <v>58</v>
      </c>
      <c r="Y564" s="45">
        <f>ROUND((V564*'Methodology &amp; Assumptions'!$B$6)+(W564*'Methodology &amp; Assumptions'!$B$5)+(X564*'Methodology &amp; Assumptions'!$B$7), 2)</f>
        <v/>
      </c>
    </row>
    <row r="565" ht="19" customHeight="1">
      <c r="A565" s="35" t="n">
        <v>561</v>
      </c>
      <c r="B565" s="35" t="n">
        <v>2561</v>
      </c>
      <c r="C565" s="36" t="inlineStr">
        <is>
          <t>0306911014</t>
        </is>
      </c>
      <c r="D565" s="36" t="inlineStr">
        <is>
          <t>Region III (Central Luzon)</t>
        </is>
      </c>
      <c r="E565" s="36" t="inlineStr">
        <is>
          <t>Tarlac</t>
        </is>
      </c>
      <c r="F565" s="36" t="inlineStr">
        <is>
          <t>Pura</t>
        </is>
      </c>
      <c r="G565" s="36" t="inlineStr">
        <is>
          <t>Poblacion 3</t>
        </is>
      </c>
      <c r="H565" s="37" t="n">
        <v>15.625834</v>
      </c>
      <c r="I565" s="37" t="n">
        <v>120.650398</v>
      </c>
      <c r="J565" s="8" t="inlineStr">
        <is>
          <t>R</t>
        </is>
      </c>
      <c r="K565" s="36" t="inlineStr">
        <is>
          <t>3rd</t>
        </is>
      </c>
      <c r="L565" s="18" t="n">
        <v>1192</v>
      </c>
      <c r="M565" s="20" t="n">
        <v>4.22</v>
      </c>
      <c r="N565" s="18">
        <f>ROUND(L565/M565, 0)</f>
        <v/>
      </c>
      <c r="O565" s="18">
        <f>ROUND(N565*'Methodology &amp; Assumptions'!$B$8, 0)</f>
        <v/>
      </c>
      <c r="P565" s="8" t="inlineStr">
        <is>
          <t>Band n50 (1.5 GHz, 60 MHz)</t>
        </is>
      </c>
      <c r="Q565" s="38">
        <f>ROUNDUP(O565/'Methodology &amp; Assumptions'!$B$9, 0)</f>
        <v/>
      </c>
      <c r="R565" s="39" t="n">
        <v>1</v>
      </c>
      <c r="S565" s="21" t="n">
        <v>0.31</v>
      </c>
      <c r="T565" s="21" t="n">
        <v>0.29</v>
      </c>
      <c r="U565" s="36" t="inlineStr">
        <is>
          <t>Tier 1A (Direct Coloc, &lt;1 km)</t>
        </is>
      </c>
      <c r="V565" s="20" t="n">
        <v>100</v>
      </c>
      <c r="W565" s="20" t="n">
        <v>46.7</v>
      </c>
      <c r="X565" s="20" t="n">
        <v>58</v>
      </c>
      <c r="Y565" s="40">
        <f>ROUND((V565*'Methodology &amp; Assumptions'!$B$6)+(W565*'Methodology &amp; Assumptions'!$B$5)+(X565*'Methodology &amp; Assumptions'!$B$7), 2)</f>
        <v/>
      </c>
    </row>
    <row r="566" ht="19" customHeight="1">
      <c r="A566" s="41" t="n">
        <v>562</v>
      </c>
      <c r="B566" s="41" t="n">
        <v>2562</v>
      </c>
      <c r="C566" s="42" t="inlineStr">
        <is>
          <t>0304919003</t>
        </is>
      </c>
      <c r="D566" s="42" t="inlineStr">
        <is>
          <t>Region III (Central Luzon)</t>
        </is>
      </c>
      <c r="E566" s="42" t="inlineStr">
        <is>
          <t>Nueva Ecija</t>
        </is>
      </c>
      <c r="F566" s="42" t="inlineStr">
        <is>
          <t>City of Palayan</t>
        </is>
      </c>
      <c r="G566" s="42" t="inlineStr">
        <is>
          <t>Bo. Militar</t>
        </is>
      </c>
      <c r="H566" s="43" t="n">
        <v>15.432897</v>
      </c>
      <c r="I566" s="43" t="n">
        <v>121.075289</v>
      </c>
      <c r="J566" s="44" t="inlineStr">
        <is>
          <t>U</t>
        </is>
      </c>
      <c r="K566" s="42" t="inlineStr">
        <is>
          <t>Class 1-3 / Urban</t>
        </is>
      </c>
      <c r="L566" s="23" t="n">
        <v>6876</v>
      </c>
      <c r="M566" s="24" t="n">
        <v>4.32</v>
      </c>
      <c r="N566" s="23">
        <f>ROUND(L566/M566, 0)</f>
        <v/>
      </c>
      <c r="O566" s="23">
        <f>ROUND(N566*'Methodology &amp; Assumptions'!$B$8, 0)</f>
        <v/>
      </c>
      <c r="P566" s="44" t="inlineStr">
        <is>
          <t>Band n50 (1.5 GHz, 60 MHz)</t>
        </is>
      </c>
      <c r="Q566" s="38">
        <f>ROUNDUP(O566/'Methodology &amp; Assumptions'!$B$9, 0)</f>
        <v/>
      </c>
      <c r="R566" s="39" t="n">
        <v>1</v>
      </c>
      <c r="S566" s="25" t="n">
        <v>1.42</v>
      </c>
      <c r="T566" s="25" t="n">
        <v>1.46</v>
      </c>
      <c r="U566" s="42" t="inlineStr">
        <is>
          <t>Tier 1B (Micro Drop, 1-3 km)</t>
        </is>
      </c>
      <c r="V566" s="24" t="n">
        <v>72.40000000000001</v>
      </c>
      <c r="W566" s="24" t="n">
        <v>100</v>
      </c>
      <c r="X566" s="24" t="n">
        <v>28</v>
      </c>
      <c r="Y566" s="45">
        <f>ROUND((V566*'Methodology &amp; Assumptions'!$B$6)+(W566*'Methodology &amp; Assumptions'!$B$5)+(X566*'Methodology &amp; Assumptions'!$B$7), 2)</f>
        <v/>
      </c>
    </row>
    <row r="567" ht="19" customHeight="1">
      <c r="A567" s="35" t="n">
        <v>563</v>
      </c>
      <c r="B567" s="35" t="n">
        <v>2563</v>
      </c>
      <c r="C567" s="36" t="inlineStr">
        <is>
          <t>0405812011</t>
        </is>
      </c>
      <c r="D567" s="36" t="inlineStr">
        <is>
          <t>Region IV-A (CALABARZON)</t>
        </is>
      </c>
      <c r="E567" s="36" t="inlineStr">
        <is>
          <t>Rizal</t>
        </is>
      </c>
      <c r="F567" s="36" t="inlineStr">
        <is>
          <t>Tanay</t>
        </is>
      </c>
      <c r="G567" s="36" t="inlineStr">
        <is>
          <t>Plaza Aldea</t>
        </is>
      </c>
      <c r="H567" s="37" t="n">
        <v>14.50893</v>
      </c>
      <c r="I567" s="37" t="n">
        <v>121.30105</v>
      </c>
      <c r="J567" s="8" t="inlineStr">
        <is>
          <t>U</t>
        </is>
      </c>
      <c r="K567" s="36" t="inlineStr">
        <is>
          <t>Class 1-3 / Urban</t>
        </is>
      </c>
      <c r="L567" s="18" t="n">
        <v>30160</v>
      </c>
      <c r="M567" s="20" t="n">
        <v>4.39</v>
      </c>
      <c r="N567" s="18">
        <f>ROUND(L567/M567, 0)</f>
        <v/>
      </c>
      <c r="O567" s="18">
        <f>ROUND(N567*'Methodology &amp; Assumptions'!$B$8, 0)</f>
        <v/>
      </c>
      <c r="P567" s="8" t="inlineStr">
        <is>
          <t>Band n50 (1.5 GHz, 60 MHz)</t>
        </is>
      </c>
      <c r="Q567" s="38">
        <f>ROUNDUP(O567/'Methodology &amp; Assumptions'!$B$9, 0)</f>
        <v/>
      </c>
      <c r="R567" s="39" t="n">
        <v>1</v>
      </c>
      <c r="S567" s="21" t="n">
        <v>1.4</v>
      </c>
      <c r="T567" s="21" t="n">
        <v>1.92</v>
      </c>
      <c r="U567" s="36" t="inlineStr">
        <is>
          <t>Tier 1B (Micro Drop, 1-3 km)</t>
        </is>
      </c>
      <c r="V567" s="20" t="n">
        <v>72.7</v>
      </c>
      <c r="W567" s="20" t="n">
        <v>99.7</v>
      </c>
      <c r="X567" s="20" t="n">
        <v>28</v>
      </c>
      <c r="Y567" s="40">
        <f>ROUND((V567*'Methodology &amp; Assumptions'!$B$6)+(W567*'Methodology &amp; Assumptions'!$B$5)+(X567*'Methodology &amp; Assumptions'!$B$7), 2)</f>
        <v/>
      </c>
    </row>
    <row r="568" ht="19" customHeight="1">
      <c r="A568" s="41" t="n">
        <v>564</v>
      </c>
      <c r="B568" s="41" t="n">
        <v>2564</v>
      </c>
      <c r="C568" s="42" t="inlineStr">
        <is>
          <t>0306912002</t>
        </is>
      </c>
      <c r="D568" s="42" t="inlineStr">
        <is>
          <t>Region III (Central Luzon)</t>
        </is>
      </c>
      <c r="E568" s="42" t="inlineStr">
        <is>
          <t>Tarlac</t>
        </is>
      </c>
      <c r="F568" s="42" t="inlineStr">
        <is>
          <t>Ramos</t>
        </is>
      </c>
      <c r="G568" s="42" t="inlineStr">
        <is>
          <t>Guiteb</t>
        </is>
      </c>
      <c r="H568" s="43" t="n">
        <v>15.667617</v>
      </c>
      <c r="I568" s="43" t="n">
        <v>120.616799</v>
      </c>
      <c r="J568" s="44" t="inlineStr">
        <is>
          <t>R</t>
        </is>
      </c>
      <c r="K568" s="42" t="inlineStr">
        <is>
          <t>4th</t>
        </is>
      </c>
      <c r="L568" s="23" t="n">
        <v>3680</v>
      </c>
      <c r="M568" s="24" t="n">
        <v>4.46</v>
      </c>
      <c r="N568" s="23">
        <f>ROUND(L568/M568, 0)</f>
        <v/>
      </c>
      <c r="O568" s="23">
        <f>ROUND(N568*'Methodology &amp; Assumptions'!$B$8, 0)</f>
        <v/>
      </c>
      <c r="P568" s="44" t="inlineStr">
        <is>
          <t>Band n50 (1.5 GHz, 60 MHz)</t>
        </is>
      </c>
      <c r="Q568" s="38">
        <f>ROUNDUP(O568/'Methodology &amp; Assumptions'!$B$9, 0)</f>
        <v/>
      </c>
      <c r="R568" s="39" t="n">
        <v>1</v>
      </c>
      <c r="S568" s="25" t="n">
        <v>3.18</v>
      </c>
      <c r="T568" s="25" t="n">
        <v>3.19</v>
      </c>
      <c r="U568" s="42" t="inlineStr">
        <is>
          <t>Tier 2 (Fiber Corridor / Lateral, 3-5 km)</t>
        </is>
      </c>
      <c r="V568" s="24" t="n">
        <v>34.6</v>
      </c>
      <c r="W568" s="24" t="n">
        <v>90.09999999999999</v>
      </c>
      <c r="X568" s="24" t="n">
        <v>83.5</v>
      </c>
      <c r="Y568" s="45">
        <f>ROUND((V568*'Methodology &amp; Assumptions'!$B$6)+(W568*'Methodology &amp; Assumptions'!$B$5)+(X568*'Methodology &amp; Assumptions'!$B$7), 2)</f>
        <v/>
      </c>
    </row>
    <row r="569" ht="19" customHeight="1">
      <c r="A569" s="35" t="n">
        <v>565</v>
      </c>
      <c r="B569" s="35" t="n">
        <v>2565</v>
      </c>
      <c r="C569" s="36" t="inlineStr">
        <is>
          <t>0300802002</t>
        </is>
      </c>
      <c r="D569" s="36" t="inlineStr">
        <is>
          <t>Region III (Central Luzon)</t>
        </is>
      </c>
      <c r="E569" s="36" t="inlineStr">
        <is>
          <t>Bataan</t>
        </is>
      </c>
      <c r="F569" s="36" t="inlineStr">
        <is>
          <t>Bagac</t>
        </is>
      </c>
      <c r="G569" s="36" t="inlineStr">
        <is>
          <t>Banawang</t>
        </is>
      </c>
      <c r="H569" s="37" t="n">
        <v>14.619843</v>
      </c>
      <c r="I569" s="37" t="n">
        <v>120.387081</v>
      </c>
      <c r="J569" s="8" t="inlineStr">
        <is>
          <t>R</t>
        </is>
      </c>
      <c r="K569" s="36" t="inlineStr">
        <is>
          <t>Class 1-3 / Urban</t>
        </is>
      </c>
      <c r="L569" s="18" t="n">
        <v>3460</v>
      </c>
      <c r="M569" s="20" t="n">
        <v>4.57</v>
      </c>
      <c r="N569" s="18">
        <f>ROUND(L569/M569, 0)</f>
        <v/>
      </c>
      <c r="O569" s="18">
        <f>ROUND(N569*'Methodology &amp; Assumptions'!$B$8, 0)</f>
        <v/>
      </c>
      <c r="P569" s="8" t="inlineStr">
        <is>
          <t>Band n50 (1.5 GHz, 60 MHz)</t>
        </is>
      </c>
      <c r="Q569" s="38">
        <f>ROUNDUP(O569/'Methodology &amp; Assumptions'!$B$9, 0)</f>
        <v/>
      </c>
      <c r="R569" s="39" t="n">
        <v>1</v>
      </c>
      <c r="S569" s="21" t="n">
        <v>1.96</v>
      </c>
      <c r="T569" s="21" t="n">
        <v>0.59</v>
      </c>
      <c r="U569" s="36" t="inlineStr">
        <is>
          <t>Tier 1B (Micro Drop, 1-3 km)</t>
        </is>
      </c>
      <c r="V569" s="20" t="n">
        <v>62.1</v>
      </c>
      <c r="W569" s="20" t="n">
        <v>84.5</v>
      </c>
      <c r="X569" s="20" t="n">
        <v>58</v>
      </c>
      <c r="Y569" s="40">
        <f>ROUND((V569*'Methodology &amp; Assumptions'!$B$6)+(W569*'Methodology &amp; Assumptions'!$B$5)+(X569*'Methodology &amp; Assumptions'!$B$7), 2)</f>
        <v/>
      </c>
    </row>
    <row r="570" ht="19" customHeight="1">
      <c r="A570" s="41" t="n">
        <v>566</v>
      </c>
      <c r="B570" s="41" t="n">
        <v>2566</v>
      </c>
      <c r="C570" s="42" t="inlineStr">
        <is>
          <t>0405807004</t>
        </is>
      </c>
      <c r="D570" s="42" t="inlineStr">
        <is>
          <t>Region IV-A (CALABARZON)</t>
        </is>
      </c>
      <c r="E570" s="42" t="inlineStr">
        <is>
          <t>Rizal</t>
        </is>
      </c>
      <c r="F570" s="42" t="inlineStr">
        <is>
          <t>Jala-Jala</t>
        </is>
      </c>
      <c r="G570" s="42" t="inlineStr">
        <is>
          <t>Second District</t>
        </is>
      </c>
      <c r="H570" s="43" t="n">
        <v>14.35245</v>
      </c>
      <c r="I570" s="43" t="n">
        <v>121.32368</v>
      </c>
      <c r="J570" s="44" t="inlineStr">
        <is>
          <t>R</t>
        </is>
      </c>
      <c r="K570" s="42" t="inlineStr">
        <is>
          <t>3rd</t>
        </is>
      </c>
      <c r="L570" s="23" t="n">
        <v>2235</v>
      </c>
      <c r="M570" s="24" t="n">
        <v>4.64</v>
      </c>
      <c r="N570" s="23">
        <f>ROUND(L570/M570, 0)</f>
        <v/>
      </c>
      <c r="O570" s="23">
        <f>ROUND(N570*'Methodology &amp; Assumptions'!$B$8, 0)</f>
        <v/>
      </c>
      <c r="P570" s="44" t="inlineStr">
        <is>
          <t>Band n50 (1.5 GHz, 60 MHz)</t>
        </is>
      </c>
      <c r="Q570" s="38">
        <f>ROUNDUP(O570/'Methodology &amp; Assumptions'!$B$9, 0)</f>
        <v/>
      </c>
      <c r="R570" s="39" t="n">
        <v>1</v>
      </c>
      <c r="S570" s="25" t="n">
        <v>0.53</v>
      </c>
      <c r="T570" s="25" t="n">
        <v>11.83</v>
      </c>
      <c r="U570" s="42" t="inlineStr">
        <is>
          <t>Tier 1A (Direct Coloc, &lt;1 km)</t>
        </is>
      </c>
      <c r="V570" s="24" t="n">
        <v>83.90000000000001</v>
      </c>
      <c r="W570" s="24" t="n">
        <v>62.7</v>
      </c>
      <c r="X570" s="24" t="n">
        <v>58</v>
      </c>
      <c r="Y570" s="45">
        <f>ROUND((V570*'Methodology &amp; Assumptions'!$B$6)+(W570*'Methodology &amp; Assumptions'!$B$5)+(X570*'Methodology &amp; Assumptions'!$B$7), 2)</f>
        <v/>
      </c>
    </row>
    <row r="571" ht="19" customHeight="1">
      <c r="A571" s="35" t="n">
        <v>567</v>
      </c>
      <c r="B571" s="35" t="n">
        <v>2567</v>
      </c>
      <c r="C571" s="36" t="inlineStr">
        <is>
          <t>0402109086</t>
        </is>
      </c>
      <c r="D571" s="36" t="inlineStr">
        <is>
          <t>Region IV-A (CALABARZON)</t>
        </is>
      </c>
      <c r="E571" s="36" t="inlineStr">
        <is>
          <t>Cavite</t>
        </is>
      </c>
      <c r="F571" s="36" t="inlineStr">
        <is>
          <t>City of Imus</t>
        </is>
      </c>
      <c r="G571" s="36" t="inlineStr">
        <is>
          <t>Pinagbuklod</t>
        </is>
      </c>
      <c r="H571" s="37" t="n">
        <v>14.395067</v>
      </c>
      <c r="I571" s="37" t="n">
        <v>120.962521</v>
      </c>
      <c r="J571" s="8" t="inlineStr">
        <is>
          <t>R</t>
        </is>
      </c>
      <c r="K571" s="36" t="inlineStr">
        <is>
          <t>Class 1-3 / Urban</t>
        </is>
      </c>
      <c r="L571" s="18" t="n">
        <v>1801</v>
      </c>
      <c r="M571" s="20" t="n">
        <v>4.49</v>
      </c>
      <c r="N571" s="18">
        <f>ROUND(L571/M571, 0)</f>
        <v/>
      </c>
      <c r="O571" s="18">
        <f>ROUND(N571*'Methodology &amp; Assumptions'!$B$8, 0)</f>
        <v/>
      </c>
      <c r="P571" s="8" t="inlineStr">
        <is>
          <t>Band n50 (1.5 GHz, 60 MHz)</t>
        </is>
      </c>
      <c r="Q571" s="38">
        <f>ROUNDUP(O571/'Methodology &amp; Assumptions'!$B$9, 0)</f>
        <v/>
      </c>
      <c r="R571" s="39" t="n">
        <v>1</v>
      </c>
      <c r="S571" s="21" t="n">
        <v>0.3</v>
      </c>
      <c r="T571" s="21" t="n">
        <v>5.68</v>
      </c>
      <c r="U571" s="36" t="inlineStr">
        <is>
          <t>Tier 1A (Direct Coloc, &lt;1 km)</t>
        </is>
      </c>
      <c r="V571" s="20" t="n">
        <v>90.59999999999999</v>
      </c>
      <c r="W571" s="20" t="n">
        <v>56</v>
      </c>
      <c r="X571" s="20" t="n">
        <v>58</v>
      </c>
      <c r="Y571" s="40">
        <f>ROUND((V571*'Methodology &amp; Assumptions'!$B$6)+(W571*'Methodology &amp; Assumptions'!$B$5)+(X571*'Methodology &amp; Assumptions'!$B$7), 2)</f>
        <v/>
      </c>
    </row>
    <row r="572" ht="19" customHeight="1">
      <c r="A572" s="41" t="n">
        <v>568</v>
      </c>
      <c r="B572" s="41" t="n">
        <v>2568</v>
      </c>
      <c r="C572" s="42" t="inlineStr">
        <is>
          <t>0401003014</t>
        </is>
      </c>
      <c r="D572" s="42" t="inlineStr">
        <is>
          <t>Region IV-A (CALABARZON)</t>
        </is>
      </c>
      <c r="E572" s="42" t="inlineStr">
        <is>
          <t>Batangas</t>
        </is>
      </c>
      <c r="F572" s="42" t="inlineStr">
        <is>
          <t>Balayan</t>
        </is>
      </c>
      <c r="G572" s="42" t="inlineStr">
        <is>
          <t>Barangay 9</t>
        </is>
      </c>
      <c r="H572" s="43" t="n">
        <v>13.939071</v>
      </c>
      <c r="I572" s="43" t="n">
        <v>120.731403</v>
      </c>
      <c r="J572" s="44" t="inlineStr">
        <is>
          <t>R</t>
        </is>
      </c>
      <c r="K572" s="42" t="inlineStr">
        <is>
          <t>Class 1-3 / Urban</t>
        </is>
      </c>
      <c r="L572" s="23" t="n">
        <v>1777</v>
      </c>
      <c r="M572" s="24" t="n">
        <v>4.62</v>
      </c>
      <c r="N572" s="23">
        <f>ROUND(L572/M572, 0)</f>
        <v/>
      </c>
      <c r="O572" s="23">
        <f>ROUND(N572*'Methodology &amp; Assumptions'!$B$8, 0)</f>
        <v/>
      </c>
      <c r="P572" s="44" t="inlineStr">
        <is>
          <t>Band n50 (1.5 GHz, 60 MHz)</t>
        </is>
      </c>
      <c r="Q572" s="38">
        <f>ROUNDUP(O572/'Methodology &amp; Assumptions'!$B$9, 0)</f>
        <v/>
      </c>
      <c r="R572" s="39" t="n">
        <v>1</v>
      </c>
      <c r="S572" s="25" t="n">
        <v>0.61</v>
      </c>
      <c r="T572" s="25" t="n">
        <v>0.04</v>
      </c>
      <c r="U572" s="42" t="inlineStr">
        <is>
          <t>Tier 1A (Direct Coloc, &lt;1 km)</t>
        </is>
      </c>
      <c r="V572" s="24" t="n">
        <v>91.7</v>
      </c>
      <c r="W572" s="24" t="n">
        <v>54.9</v>
      </c>
      <c r="X572" s="24" t="n">
        <v>58</v>
      </c>
      <c r="Y572" s="45">
        <f>ROUND((V572*'Methodology &amp; Assumptions'!$B$6)+(W572*'Methodology &amp; Assumptions'!$B$5)+(X572*'Methodology &amp; Assumptions'!$B$7), 2)</f>
        <v/>
      </c>
    </row>
    <row r="573" ht="19" customHeight="1">
      <c r="A573" s="35" t="n">
        <v>569</v>
      </c>
      <c r="B573" s="35" t="n">
        <v>2569</v>
      </c>
      <c r="C573" s="36" t="inlineStr">
        <is>
          <t>0405811006</t>
        </is>
      </c>
      <c r="D573" s="36" t="inlineStr">
        <is>
          <t>Region IV-A (CALABARZON)</t>
        </is>
      </c>
      <c r="E573" s="36" t="inlineStr">
        <is>
          <t>Rizal</t>
        </is>
      </c>
      <c r="F573" s="36" t="inlineStr">
        <is>
          <t>San Mateo</t>
        </is>
      </c>
      <c r="G573" s="36" t="inlineStr">
        <is>
          <t>Guitnang Bayan II</t>
        </is>
      </c>
      <c r="H573" s="37" t="n">
        <v>14.697421</v>
      </c>
      <c r="I573" s="37" t="n">
        <v>121.123545</v>
      </c>
      <c r="J573" s="8" t="inlineStr">
        <is>
          <t>U</t>
        </is>
      </c>
      <c r="K573" s="36" t="inlineStr">
        <is>
          <t>Class 1-3 / Urban</t>
        </is>
      </c>
      <c r="L573" s="18" t="n">
        <v>19661</v>
      </c>
      <c r="M573" s="20" t="n">
        <v>4.39</v>
      </c>
      <c r="N573" s="18">
        <f>ROUND(L573/M573, 0)</f>
        <v/>
      </c>
      <c r="O573" s="18">
        <f>ROUND(N573*'Methodology &amp; Assumptions'!$B$8, 0)</f>
        <v/>
      </c>
      <c r="P573" s="8" t="inlineStr">
        <is>
          <t>Band n50 (1.5 GHz, 60 MHz)</t>
        </is>
      </c>
      <c r="Q573" s="38">
        <f>ROUNDUP(O573/'Methodology &amp; Assumptions'!$B$9, 0)</f>
        <v/>
      </c>
      <c r="R573" s="39" t="n">
        <v>1</v>
      </c>
      <c r="S573" s="21" t="n">
        <v>1.42</v>
      </c>
      <c r="T573" s="21" t="n">
        <v>0.27</v>
      </c>
      <c r="U573" s="36" t="inlineStr">
        <is>
          <t>Tier 1B (Micro Drop, 1-3 km)</t>
        </is>
      </c>
      <c r="V573" s="20" t="n">
        <v>72.3</v>
      </c>
      <c r="W573" s="20" t="n">
        <v>100</v>
      </c>
      <c r="X573" s="20" t="n">
        <v>28</v>
      </c>
      <c r="Y573" s="40">
        <f>ROUND((V573*'Methodology &amp; Assumptions'!$B$6)+(W573*'Methodology &amp; Assumptions'!$B$5)+(X573*'Methodology &amp; Assumptions'!$B$7), 2)</f>
        <v/>
      </c>
    </row>
    <row r="574" ht="19" customHeight="1">
      <c r="A574" s="41" t="n">
        <v>570</v>
      </c>
      <c r="B574" s="41" t="n">
        <v>2570</v>
      </c>
      <c r="C574" s="42" t="inlineStr">
        <is>
          <t>0402103014</t>
        </is>
      </c>
      <c r="D574" s="42" t="inlineStr">
        <is>
          <t>Region IV-A (CALABARZON)</t>
        </is>
      </c>
      <c r="E574" s="42" t="inlineStr">
        <is>
          <t>Cavite</t>
        </is>
      </c>
      <c r="F574" s="42" t="inlineStr">
        <is>
          <t>City of Bacoor</t>
        </is>
      </c>
      <c r="G574" s="42" t="inlineStr">
        <is>
          <t>Molino I</t>
        </is>
      </c>
      <c r="H574" s="43" t="n">
        <v>14.42142</v>
      </c>
      <c r="I574" s="43" t="n">
        <v>120.974319</v>
      </c>
      <c r="J574" s="44" t="inlineStr">
        <is>
          <t>U</t>
        </is>
      </c>
      <c r="K574" s="42" t="inlineStr">
        <is>
          <t>Class 1-3 / Urban</t>
        </is>
      </c>
      <c r="L574" s="23" t="n">
        <v>16627</v>
      </c>
      <c r="M574" s="24" t="n">
        <v>4.49</v>
      </c>
      <c r="N574" s="23">
        <f>ROUND(L574/M574, 0)</f>
        <v/>
      </c>
      <c r="O574" s="23">
        <f>ROUND(N574*'Methodology &amp; Assumptions'!$B$8, 0)</f>
        <v/>
      </c>
      <c r="P574" s="44" t="inlineStr">
        <is>
          <t>Band n50 (1.5 GHz, 60 MHz)</t>
        </is>
      </c>
      <c r="Q574" s="38">
        <f>ROUNDUP(O574/'Methodology &amp; Assumptions'!$B$9, 0)</f>
        <v/>
      </c>
      <c r="R574" s="39" t="n">
        <v>1</v>
      </c>
      <c r="S574" s="25" t="n">
        <v>0.97</v>
      </c>
      <c r="T574" s="25" t="n">
        <v>3.19</v>
      </c>
      <c r="U574" s="42" t="inlineStr">
        <is>
          <t>Tier 1A (Direct Coloc, &lt;1 km)</t>
        </is>
      </c>
      <c r="V574" s="24" t="n">
        <v>72.3</v>
      </c>
      <c r="W574" s="24" t="n">
        <v>100</v>
      </c>
      <c r="X574" s="24" t="n">
        <v>28</v>
      </c>
      <c r="Y574" s="45">
        <f>ROUND((V574*'Methodology &amp; Assumptions'!$B$6)+(W574*'Methodology &amp; Assumptions'!$B$5)+(X574*'Methodology &amp; Assumptions'!$B$7), 2)</f>
        <v/>
      </c>
    </row>
    <row r="575" ht="19" customHeight="1">
      <c r="A575" s="35" t="n">
        <v>571</v>
      </c>
      <c r="B575" s="35" t="n">
        <v>2571</v>
      </c>
      <c r="C575" s="36" t="inlineStr">
        <is>
          <t>0330100032</t>
        </is>
      </c>
      <c r="D575" s="36" t="inlineStr">
        <is>
          <t>Region III (Central Luzon)</t>
        </is>
      </c>
      <c r="E575" s="36" t="inlineStr">
        <is>
          <t>Pampanga</t>
        </is>
      </c>
      <c r="F575" s="36" t="inlineStr">
        <is>
          <t>City of Angeles</t>
        </is>
      </c>
      <c r="G575" s="36" t="inlineStr">
        <is>
          <t>Tabun</t>
        </is>
      </c>
      <c r="H575" s="37" t="n">
        <v>15.148996</v>
      </c>
      <c r="I575" s="37" t="n">
        <v>120.61414</v>
      </c>
      <c r="J575" s="8" t="inlineStr">
        <is>
          <t>U</t>
        </is>
      </c>
      <c r="K575" s="36" t="inlineStr">
        <is>
          <t>Class 1-3 / Urban</t>
        </is>
      </c>
      <c r="L575" s="18" t="n">
        <v>13656</v>
      </c>
      <c r="M575" s="20" t="n">
        <v>4.63</v>
      </c>
      <c r="N575" s="18">
        <f>ROUND(L575/M575, 0)</f>
        <v/>
      </c>
      <c r="O575" s="18">
        <f>ROUND(N575*'Methodology &amp; Assumptions'!$B$8, 0)</f>
        <v/>
      </c>
      <c r="P575" s="8" t="inlineStr">
        <is>
          <t>Band n50 (1.5 GHz, 60 MHz)</t>
        </is>
      </c>
      <c r="Q575" s="38">
        <f>ROUNDUP(O575/'Methodology &amp; Assumptions'!$B$9, 0)</f>
        <v/>
      </c>
      <c r="R575" s="39" t="n">
        <v>1</v>
      </c>
      <c r="S575" s="21" t="n">
        <v>1.42</v>
      </c>
      <c r="T575" s="21" t="n">
        <v>1.13</v>
      </c>
      <c r="U575" s="36" t="inlineStr">
        <is>
          <t>Tier 1B (Micro Drop, 1-3 km)</t>
        </is>
      </c>
      <c r="V575" s="20" t="n">
        <v>72.3</v>
      </c>
      <c r="W575" s="20" t="n">
        <v>100</v>
      </c>
      <c r="X575" s="20" t="n">
        <v>28</v>
      </c>
      <c r="Y575" s="40">
        <f>ROUND((V575*'Methodology &amp; Assumptions'!$B$6)+(W575*'Methodology &amp; Assumptions'!$B$5)+(X575*'Methodology &amp; Assumptions'!$B$7), 2)</f>
        <v/>
      </c>
    </row>
    <row r="576" ht="19" customHeight="1">
      <c r="A576" s="41" t="n">
        <v>572</v>
      </c>
      <c r="B576" s="41" t="n">
        <v>2572</v>
      </c>
      <c r="C576" s="42" t="inlineStr">
        <is>
          <t>1102315020</t>
        </is>
      </c>
      <c r="D576" s="42" t="inlineStr">
        <is>
          <t>Region XI (Davao Region)</t>
        </is>
      </c>
      <c r="E576" s="42" t="inlineStr">
        <is>
          <t>Davao del Norte</t>
        </is>
      </c>
      <c r="F576" s="42" t="inlineStr">
        <is>
          <t>City of Panabo</t>
        </is>
      </c>
      <c r="G576" s="42" t="inlineStr">
        <is>
          <t>Malativas</t>
        </is>
      </c>
      <c r="H576" s="43" t="n">
        <v>7.293904</v>
      </c>
      <c r="I576" s="43" t="n">
        <v>125.690303</v>
      </c>
      <c r="J576" s="44" t="inlineStr">
        <is>
          <t>R</t>
        </is>
      </c>
      <c r="K576" s="42" t="inlineStr">
        <is>
          <t>Class 1-3 / Urban</t>
        </is>
      </c>
      <c r="L576" s="23" t="n">
        <v>2582</v>
      </c>
      <c r="M576" s="24" t="n">
        <v>4.25</v>
      </c>
      <c r="N576" s="23">
        <f>ROUND(L576/M576, 0)</f>
        <v/>
      </c>
      <c r="O576" s="23">
        <f>ROUND(N576*'Methodology &amp; Assumptions'!$B$8, 0)</f>
        <v/>
      </c>
      <c r="P576" s="44" t="inlineStr">
        <is>
          <t>Band n50 (1.5 GHz, 60 MHz)</t>
        </is>
      </c>
      <c r="Q576" s="38">
        <f>ROUNDUP(O576/'Methodology &amp; Assumptions'!$B$9, 0)</f>
        <v/>
      </c>
      <c r="R576" s="39" t="n">
        <v>1</v>
      </c>
      <c r="S576" s="25" t="n">
        <v>1.34</v>
      </c>
      <c r="T576" s="25" t="n">
        <v>1.29</v>
      </c>
      <c r="U576" s="42" t="inlineStr">
        <is>
          <t>Tier 1B (Micro Drop, 1-3 km)</t>
        </is>
      </c>
      <c r="V576" s="24" t="n">
        <v>74</v>
      </c>
      <c r="W576" s="24" t="n">
        <v>72.5</v>
      </c>
      <c r="X576" s="24" t="n">
        <v>58</v>
      </c>
      <c r="Y576" s="45">
        <f>ROUND((V576*'Methodology &amp; Assumptions'!$B$6)+(W576*'Methodology &amp; Assumptions'!$B$5)+(X576*'Methodology &amp; Assumptions'!$B$7), 2)</f>
        <v/>
      </c>
    </row>
    <row r="577" ht="19" customHeight="1">
      <c r="A577" s="35" t="n">
        <v>573</v>
      </c>
      <c r="B577" s="35" t="n">
        <v>2573</v>
      </c>
      <c r="C577" s="36" t="inlineStr">
        <is>
          <t>0803738105</t>
        </is>
      </c>
      <c r="D577" s="36" t="inlineStr">
        <is>
          <t>Region VIII (Eastern Visayas)</t>
        </is>
      </c>
      <c r="E577" s="36" t="inlineStr">
        <is>
          <t>Leyte</t>
        </is>
      </c>
      <c r="F577" s="36" t="inlineStr">
        <is>
          <t>Ormoc City</t>
        </is>
      </c>
      <c r="G577" s="36" t="inlineStr">
        <is>
          <t>Kadaohan</t>
        </is>
      </c>
      <c r="H577" s="37" t="n">
        <v>11.106829</v>
      </c>
      <c r="I577" s="37" t="n">
        <v>124.578527</v>
      </c>
      <c r="J577" s="8" t="inlineStr">
        <is>
          <t>R</t>
        </is>
      </c>
      <c r="K577" s="36" t="inlineStr">
        <is>
          <t>Class 1-3 / Urban</t>
        </is>
      </c>
      <c r="L577" s="18" t="n">
        <v>1391</v>
      </c>
      <c r="M577" s="20" t="n">
        <v>4.24</v>
      </c>
      <c r="N577" s="18">
        <f>ROUND(L577/M577, 0)</f>
        <v/>
      </c>
      <c r="O577" s="18">
        <f>ROUND(N577*'Methodology &amp; Assumptions'!$B$8, 0)</f>
        <v/>
      </c>
      <c r="P577" s="8" t="inlineStr">
        <is>
          <t>Band n50 (1.5 GHz, 60 MHz)</t>
        </is>
      </c>
      <c r="Q577" s="38">
        <f>ROUNDUP(O577/'Methodology &amp; Assumptions'!$B$9, 0)</f>
        <v/>
      </c>
      <c r="R577" s="39" t="n">
        <v>1</v>
      </c>
      <c r="S577" s="21" t="n">
        <v>0.44</v>
      </c>
      <c r="T577" s="21" t="n">
        <v>0.13</v>
      </c>
      <c r="U577" s="36" t="inlineStr">
        <is>
          <t>Tier 1A (Direct Coloc, &lt;1 km)</t>
        </is>
      </c>
      <c r="V577" s="20" t="n">
        <v>96.40000000000001</v>
      </c>
      <c r="W577" s="20" t="n">
        <v>50.1</v>
      </c>
      <c r="X577" s="20" t="n">
        <v>58</v>
      </c>
      <c r="Y577" s="40">
        <f>ROUND((V577*'Methodology &amp; Assumptions'!$B$6)+(W577*'Methodology &amp; Assumptions'!$B$5)+(X577*'Methodology &amp; Assumptions'!$B$7), 2)</f>
        <v/>
      </c>
    </row>
    <row r="578" ht="19" customHeight="1">
      <c r="A578" s="41" t="n">
        <v>574</v>
      </c>
      <c r="B578" s="41" t="n">
        <v>2574</v>
      </c>
      <c r="C578" s="42" t="inlineStr">
        <is>
          <t>1004310013</t>
        </is>
      </c>
      <c r="D578" s="42" t="inlineStr">
        <is>
          <t>Region X (Northern Mindanao)</t>
        </is>
      </c>
      <c r="E578" s="42" t="inlineStr">
        <is>
          <t>Misamis Oriental</t>
        </is>
      </c>
      <c r="F578" s="42" t="inlineStr">
        <is>
          <t>Initao</t>
        </is>
      </c>
      <c r="G578" s="42" t="inlineStr">
        <is>
          <t>San Pedro</t>
        </is>
      </c>
      <c r="H578" s="43" t="n">
        <v>8.489535</v>
      </c>
      <c r="I578" s="43" t="n">
        <v>124.298634</v>
      </c>
      <c r="J578" s="44" t="inlineStr">
        <is>
          <t>R</t>
        </is>
      </c>
      <c r="K578" s="42" t="inlineStr">
        <is>
          <t>Class 1-3 / Urban</t>
        </is>
      </c>
      <c r="L578" s="23" t="n">
        <v>3062</v>
      </c>
      <c r="M578" s="24" t="n">
        <v>4.54</v>
      </c>
      <c r="N578" s="23">
        <f>ROUND(L578/M578, 0)</f>
        <v/>
      </c>
      <c r="O578" s="23">
        <f>ROUND(N578*'Methodology &amp; Assumptions'!$B$8, 0)</f>
        <v/>
      </c>
      <c r="P578" s="44" t="inlineStr">
        <is>
          <t>Band n50 (1.5 GHz, 60 MHz)</t>
        </is>
      </c>
      <c r="Q578" s="38">
        <f>ROUNDUP(O578/'Methodology &amp; Assumptions'!$B$9, 0)</f>
        <v/>
      </c>
      <c r="R578" s="39" t="n">
        <v>1</v>
      </c>
      <c r="S578" s="25" t="n">
        <v>1.6</v>
      </c>
      <c r="T578" s="25" t="n">
        <v>0.29</v>
      </c>
      <c r="U578" s="42" t="inlineStr">
        <is>
          <t>Tier 1B (Micro Drop, 1-3 km)</t>
        </is>
      </c>
      <c r="V578" s="24" t="n">
        <v>68.7</v>
      </c>
      <c r="W578" s="24" t="n">
        <v>77.90000000000001</v>
      </c>
      <c r="X578" s="24" t="n">
        <v>58</v>
      </c>
      <c r="Y578" s="45">
        <f>ROUND((V578*'Methodology &amp; Assumptions'!$B$6)+(W578*'Methodology &amp; Assumptions'!$B$5)+(X578*'Methodology &amp; Assumptions'!$B$7), 2)</f>
        <v/>
      </c>
    </row>
    <row r="579" ht="19" customHeight="1">
      <c r="A579" s="35" t="n">
        <v>575</v>
      </c>
      <c r="B579" s="35" t="n">
        <v>2575</v>
      </c>
      <c r="C579" s="36" t="inlineStr">
        <is>
          <t>1600209020</t>
        </is>
      </c>
      <c r="D579" s="36" t="inlineStr">
        <is>
          <t>Region XIII (Caraga)</t>
        </is>
      </c>
      <c r="E579" s="36" t="inlineStr">
        <is>
          <t>Agusan del Norte</t>
        </is>
      </c>
      <c r="F579" s="36" t="inlineStr">
        <is>
          <t>Nasipit</t>
        </is>
      </c>
      <c r="G579" s="36" t="inlineStr">
        <is>
          <t>Triangulo</t>
        </is>
      </c>
      <c r="H579" s="37" t="n">
        <v>8.976124</v>
      </c>
      <c r="I579" s="37" t="n">
        <v>125.348263</v>
      </c>
      <c r="J579" s="8" t="inlineStr">
        <is>
          <t>U</t>
        </is>
      </c>
      <c r="K579" s="36" t="inlineStr">
        <is>
          <t>Class 1-3 / Urban</t>
        </is>
      </c>
      <c r="L579" s="18" t="n">
        <v>2796</v>
      </c>
      <c r="M579" s="20" t="n">
        <v>4.63</v>
      </c>
      <c r="N579" s="18">
        <f>ROUND(L579/M579, 0)</f>
        <v/>
      </c>
      <c r="O579" s="18">
        <f>ROUND(N579*'Methodology &amp; Assumptions'!$B$8, 0)</f>
        <v/>
      </c>
      <c r="P579" s="8" t="inlineStr">
        <is>
          <t>Band n50 (1.5 GHz, 60 MHz)</t>
        </is>
      </c>
      <c r="Q579" s="38">
        <f>ROUNDUP(O579/'Methodology &amp; Assumptions'!$B$9, 0)</f>
        <v/>
      </c>
      <c r="R579" s="39" t="n">
        <v>1</v>
      </c>
      <c r="S579" s="21" t="n">
        <v>0.16</v>
      </c>
      <c r="T579" s="21" t="n">
        <v>0.08</v>
      </c>
      <c r="U579" s="36" t="inlineStr">
        <is>
          <t>Tier 1A (Direct Coloc, &lt;1 km)</t>
        </is>
      </c>
      <c r="V579" s="20" t="n">
        <v>100</v>
      </c>
      <c r="W579" s="20" t="n">
        <v>72.3</v>
      </c>
      <c r="X579" s="20" t="n">
        <v>28</v>
      </c>
      <c r="Y579" s="40">
        <f>ROUND((V579*'Methodology &amp; Assumptions'!$B$6)+(W579*'Methodology &amp; Assumptions'!$B$5)+(X579*'Methodology &amp; Assumptions'!$B$7), 2)</f>
        <v/>
      </c>
    </row>
    <row r="580" ht="19" customHeight="1">
      <c r="A580" s="41" t="n">
        <v>576</v>
      </c>
      <c r="B580" s="41" t="n">
        <v>2576</v>
      </c>
      <c r="C580" s="42" t="inlineStr">
        <is>
          <t>0304928001</t>
        </is>
      </c>
      <c r="D580" s="42" t="inlineStr">
        <is>
          <t>Region III (Central Luzon)</t>
        </is>
      </c>
      <c r="E580" s="42" t="inlineStr">
        <is>
          <t>Nueva Ecija</t>
        </is>
      </c>
      <c r="F580" s="42" t="inlineStr">
        <is>
          <t>Santa Rosa</t>
        </is>
      </c>
      <c r="G580" s="42" t="inlineStr">
        <is>
          <t>Cojuangco</t>
        </is>
      </c>
      <c r="H580" s="43" t="n">
        <v>15.425008</v>
      </c>
      <c r="I580" s="43" t="n">
        <v>120.936903</v>
      </c>
      <c r="J580" s="44" t="inlineStr">
        <is>
          <t>U</t>
        </is>
      </c>
      <c r="K580" s="42" t="inlineStr">
        <is>
          <t>Class 1-3 / Urban</t>
        </is>
      </c>
      <c r="L580" s="23" t="n">
        <v>2604</v>
      </c>
      <c r="M580" s="24" t="n">
        <v>4.32</v>
      </c>
      <c r="N580" s="23">
        <f>ROUND(L580/M580, 0)</f>
        <v/>
      </c>
      <c r="O580" s="23">
        <f>ROUND(N580*'Methodology &amp; Assumptions'!$B$8, 0)</f>
        <v/>
      </c>
      <c r="P580" s="44" t="inlineStr">
        <is>
          <t>Band n50 (1.5 GHz, 60 MHz)</t>
        </is>
      </c>
      <c r="Q580" s="38">
        <f>ROUNDUP(O580/'Methodology &amp; Assumptions'!$B$9, 0)</f>
        <v/>
      </c>
      <c r="R580" s="39" t="n">
        <v>1</v>
      </c>
      <c r="S580" s="25" t="n">
        <v>0.02</v>
      </c>
      <c r="T580" s="25" t="n">
        <v>0.02</v>
      </c>
      <c r="U580" s="42" t="inlineStr">
        <is>
          <t>Tier 1A (Direct Coloc, &lt;1 km)</t>
        </is>
      </c>
      <c r="V580" s="24" t="n">
        <v>100</v>
      </c>
      <c r="W580" s="24" t="n">
        <v>72.3</v>
      </c>
      <c r="X580" s="24" t="n">
        <v>28</v>
      </c>
      <c r="Y580" s="45">
        <f>ROUND((V580*'Methodology &amp; Assumptions'!$B$6)+(W580*'Methodology &amp; Assumptions'!$B$5)+(X580*'Methodology &amp; Assumptions'!$B$7), 2)</f>
        <v/>
      </c>
    </row>
    <row r="581" ht="19" customHeight="1">
      <c r="A581" s="35" t="n">
        <v>577</v>
      </c>
      <c r="B581" s="35" t="n">
        <v>2577</v>
      </c>
      <c r="C581" s="36" t="inlineStr">
        <is>
          <t>0603047018</t>
        </is>
      </c>
      <c r="D581" s="36" t="inlineStr">
        <is>
          <t>Region VI (Western Visayas)</t>
        </is>
      </c>
      <c r="E581" s="36" t="inlineStr">
        <is>
          <t>Iloilo</t>
        </is>
      </c>
      <c r="F581" s="36" t="inlineStr">
        <is>
          <t>Zarraga</t>
        </is>
      </c>
      <c r="G581" s="36" t="inlineStr">
        <is>
          <t>Sambag</t>
        </is>
      </c>
      <c r="H581" s="37" t="n">
        <v>10.832593</v>
      </c>
      <c r="I581" s="37" t="n">
        <v>122.625866</v>
      </c>
      <c r="J581" s="8" t="inlineStr">
        <is>
          <t>R</t>
        </is>
      </c>
      <c r="K581" s="36" t="inlineStr">
        <is>
          <t>3rd</t>
        </is>
      </c>
      <c r="L581" s="18" t="n">
        <v>2489</v>
      </c>
      <c r="M581" s="20" t="n">
        <v>4.35</v>
      </c>
      <c r="N581" s="18">
        <f>ROUND(L581/M581, 0)</f>
        <v/>
      </c>
      <c r="O581" s="18">
        <f>ROUND(N581*'Methodology &amp; Assumptions'!$B$8, 0)</f>
        <v/>
      </c>
      <c r="P581" s="8" t="inlineStr">
        <is>
          <t>Band n50 (1.5 GHz, 60 MHz)</t>
        </is>
      </c>
      <c r="Q581" s="38">
        <f>ROUNDUP(O581/'Methodology &amp; Assumptions'!$B$9, 0)</f>
        <v/>
      </c>
      <c r="R581" s="39" t="n">
        <v>1</v>
      </c>
      <c r="S581" s="21" t="n">
        <v>1.86</v>
      </c>
      <c r="T581" s="21" t="n">
        <v>0.29</v>
      </c>
      <c r="U581" s="36" t="inlineStr">
        <is>
          <t>Tier 1B (Micro Drop, 1-3 km)</t>
        </is>
      </c>
      <c r="V581" s="20" t="n">
        <v>63.8</v>
      </c>
      <c r="W581" s="20" t="n">
        <v>69.90000000000001</v>
      </c>
      <c r="X581" s="20" t="n">
        <v>73</v>
      </c>
      <c r="Y581" s="40">
        <f>ROUND((V581*'Methodology &amp; Assumptions'!$B$6)+(W581*'Methodology &amp; Assumptions'!$B$5)+(X581*'Methodology &amp; Assumptions'!$B$7), 2)</f>
        <v/>
      </c>
    </row>
    <row r="582" ht="19" customHeight="1">
      <c r="A582" s="41" t="n">
        <v>578</v>
      </c>
      <c r="B582" s="41" t="n">
        <v>2578</v>
      </c>
      <c r="C582" s="42" t="inlineStr">
        <is>
          <t>0403426012</t>
        </is>
      </c>
      <c r="D582" s="42" t="inlineStr">
        <is>
          <t>Region IV-A (CALABARZON)</t>
        </is>
      </c>
      <c r="E582" s="42" t="inlineStr">
        <is>
          <t>Laguna</t>
        </is>
      </c>
      <c r="F582" s="42" t="inlineStr">
        <is>
          <t>Santa Cruz</t>
        </is>
      </c>
      <c r="G582" s="42" t="inlineStr">
        <is>
          <t>Palasan</t>
        </is>
      </c>
      <c r="H582" s="43" t="n">
        <v>14.257348</v>
      </c>
      <c r="I582" s="43" t="n">
        <v>121.41898</v>
      </c>
      <c r="J582" s="44" t="inlineStr">
        <is>
          <t>R</t>
        </is>
      </c>
      <c r="K582" s="42" t="inlineStr">
        <is>
          <t>Class 1-3 / Urban</t>
        </is>
      </c>
      <c r="L582" s="23" t="n">
        <v>3620</v>
      </c>
      <c r="M582" s="24" t="n">
        <v>4.2</v>
      </c>
      <c r="N582" s="23">
        <f>ROUND(L582/M582, 0)</f>
        <v/>
      </c>
      <c r="O582" s="23">
        <f>ROUND(N582*'Methodology &amp; Assumptions'!$B$8, 0)</f>
        <v/>
      </c>
      <c r="P582" s="44" t="inlineStr">
        <is>
          <t>Band n50 (1.5 GHz, 60 MHz)</t>
        </is>
      </c>
      <c r="Q582" s="38">
        <f>ROUNDUP(O582/'Methodology &amp; Assumptions'!$B$9, 0)</f>
        <v/>
      </c>
      <c r="R582" s="39" t="n">
        <v>1</v>
      </c>
      <c r="S582" s="25" t="n">
        <v>2.5</v>
      </c>
      <c r="T582" s="25" t="n">
        <v>1.15</v>
      </c>
      <c r="U582" s="42" t="inlineStr">
        <is>
          <t>Tier 1B (Micro Drop, 1-3 km)</t>
        </is>
      </c>
      <c r="V582" s="24" t="n">
        <v>53.4</v>
      </c>
      <c r="W582" s="24" t="n">
        <v>93.09999999999999</v>
      </c>
      <c r="X582" s="24" t="n">
        <v>58</v>
      </c>
      <c r="Y582" s="45">
        <f>ROUND((V582*'Methodology &amp; Assumptions'!$B$6)+(W582*'Methodology &amp; Assumptions'!$B$5)+(X582*'Methodology &amp; Assumptions'!$B$7), 2)</f>
        <v/>
      </c>
    </row>
    <row r="583" ht="19" customHeight="1">
      <c r="A583" s="35" t="n">
        <v>579</v>
      </c>
      <c r="B583" s="35" t="n">
        <v>2579</v>
      </c>
      <c r="C583" s="36" t="inlineStr">
        <is>
          <t>0402114004</t>
        </is>
      </c>
      <c r="D583" s="36" t="inlineStr">
        <is>
          <t>Region IV-A (CALABARZON)</t>
        </is>
      </c>
      <c r="E583" s="36" t="inlineStr">
        <is>
          <t>Cavite</t>
        </is>
      </c>
      <c r="F583" s="36" t="inlineStr">
        <is>
          <t>Mendez</t>
        </is>
      </c>
      <c r="G583" s="36" t="inlineStr">
        <is>
          <t>Palocpoc I</t>
        </is>
      </c>
      <c r="H583" s="37" t="n">
        <v>14.130891</v>
      </c>
      <c r="I583" s="37" t="n">
        <v>120.875893</v>
      </c>
      <c r="J583" s="8" t="inlineStr">
        <is>
          <t>R</t>
        </is>
      </c>
      <c r="K583" s="36" t="inlineStr">
        <is>
          <t>2nd</t>
        </is>
      </c>
      <c r="L583" s="18" t="n">
        <v>1649</v>
      </c>
      <c r="M583" s="20" t="n">
        <v>4.37</v>
      </c>
      <c r="N583" s="18">
        <f>ROUND(L583/M583, 0)</f>
        <v/>
      </c>
      <c r="O583" s="18">
        <f>ROUND(N583*'Methodology &amp; Assumptions'!$B$8, 0)</f>
        <v/>
      </c>
      <c r="P583" s="8" t="inlineStr">
        <is>
          <t>Band n50 (1.5 GHz, 60 MHz)</t>
        </is>
      </c>
      <c r="Q583" s="38">
        <f>ROUNDUP(O583/'Methodology &amp; Assumptions'!$B$9, 0)</f>
        <v/>
      </c>
      <c r="R583" s="39" t="n">
        <v>1</v>
      </c>
      <c r="S583" s="21" t="n">
        <v>0.24</v>
      </c>
      <c r="T583" s="21" t="n">
        <v>5.16</v>
      </c>
      <c r="U583" s="36" t="inlineStr">
        <is>
          <t>Tier 1A (Direct Coloc, &lt;1 km)</t>
        </is>
      </c>
      <c r="V583" s="20" t="n">
        <v>92.40000000000001</v>
      </c>
      <c r="W583" s="20" t="n">
        <v>54.1</v>
      </c>
      <c r="X583" s="20" t="n">
        <v>58</v>
      </c>
      <c r="Y583" s="40">
        <f>ROUND((V583*'Methodology &amp; Assumptions'!$B$6)+(W583*'Methodology &amp; Assumptions'!$B$5)+(X583*'Methodology &amp; Assumptions'!$B$7), 2)</f>
        <v/>
      </c>
    </row>
    <row r="584" ht="19" customHeight="1">
      <c r="A584" s="41" t="n">
        <v>580</v>
      </c>
      <c r="B584" s="41" t="n">
        <v>2580</v>
      </c>
      <c r="C584" s="42" t="inlineStr">
        <is>
          <t>0500502019</t>
        </is>
      </c>
      <c r="D584" s="42" t="inlineStr">
        <is>
          <t>Region V (Bicol Region)</t>
        </is>
      </c>
      <c r="E584" s="42" t="inlineStr">
        <is>
          <t>Albay</t>
        </is>
      </c>
      <c r="F584" s="42" t="inlineStr">
        <is>
          <t>Camalig</t>
        </is>
      </c>
      <c r="G584" s="42" t="inlineStr">
        <is>
          <t>Iluluan</t>
        </is>
      </c>
      <c r="H584" s="43" t="n">
        <v>13.128468</v>
      </c>
      <c r="I584" s="43" t="n">
        <v>123.596816</v>
      </c>
      <c r="J584" s="44" t="inlineStr">
        <is>
          <t>R</t>
        </is>
      </c>
      <c r="K584" s="42" t="inlineStr">
        <is>
          <t>Class 1-3 / Urban</t>
        </is>
      </c>
      <c r="L584" s="23" t="n">
        <v>1597</v>
      </c>
      <c r="M584" s="24" t="n">
        <v>4.67</v>
      </c>
      <c r="N584" s="23">
        <f>ROUND(L584/M584, 0)</f>
        <v/>
      </c>
      <c r="O584" s="23">
        <f>ROUND(N584*'Methodology &amp; Assumptions'!$B$8, 0)</f>
        <v/>
      </c>
      <c r="P584" s="44" t="inlineStr">
        <is>
          <t>Band n50 (1.5 GHz, 60 MHz)</t>
        </is>
      </c>
      <c r="Q584" s="38">
        <f>ROUNDUP(O584/'Methodology &amp; Assumptions'!$B$9, 0)</f>
        <v/>
      </c>
      <c r="R584" s="39" t="n">
        <v>1</v>
      </c>
      <c r="S584" s="25" t="n">
        <v>0.15</v>
      </c>
      <c r="T584" s="25" t="n">
        <v>6.75</v>
      </c>
      <c r="U584" s="42" t="inlineStr">
        <is>
          <t>Tier 1A (Direct Coloc, &lt;1 km)</t>
        </is>
      </c>
      <c r="V584" s="24" t="n">
        <v>95</v>
      </c>
      <c r="W584" s="24" t="n">
        <v>51.5</v>
      </c>
      <c r="X584" s="24" t="n">
        <v>58</v>
      </c>
      <c r="Y584" s="45">
        <f>ROUND((V584*'Methodology &amp; Assumptions'!$B$6)+(W584*'Methodology &amp; Assumptions'!$B$5)+(X584*'Methodology &amp; Assumptions'!$B$7), 2)</f>
        <v/>
      </c>
    </row>
    <row r="585" ht="19" customHeight="1">
      <c r="A585" s="35" t="n">
        <v>581</v>
      </c>
      <c r="B585" s="35" t="n">
        <v>2581</v>
      </c>
      <c r="C585" s="36" t="inlineStr">
        <is>
          <t>0402120035</t>
        </is>
      </c>
      <c r="D585" s="36" t="inlineStr">
        <is>
          <t>Region IV-A (CALABARZON)</t>
        </is>
      </c>
      <c r="E585" s="36" t="inlineStr">
        <is>
          <t>Cavite</t>
        </is>
      </c>
      <c r="F585" s="36" t="inlineStr">
        <is>
          <t>Tanza</t>
        </is>
      </c>
      <c r="G585" s="36" t="inlineStr">
        <is>
          <t>Daang Amaya III</t>
        </is>
      </c>
      <c r="H585" s="37" t="n">
        <v>14.39599</v>
      </c>
      <c r="I585" s="37" t="n">
        <v>120.855202</v>
      </c>
      <c r="J585" s="8" t="inlineStr">
        <is>
          <t>U</t>
        </is>
      </c>
      <c r="K585" s="36" t="inlineStr">
        <is>
          <t>Class 1-3 / Urban</t>
        </is>
      </c>
      <c r="L585" s="18" t="n">
        <v>3431</v>
      </c>
      <c r="M585" s="20" t="n">
        <v>4.49</v>
      </c>
      <c r="N585" s="18">
        <f>ROUND(L585/M585, 0)</f>
        <v/>
      </c>
      <c r="O585" s="18">
        <f>ROUND(N585*'Methodology &amp; Assumptions'!$B$8, 0)</f>
        <v/>
      </c>
      <c r="P585" s="8" t="inlineStr">
        <is>
          <t>Band n50 (1.5 GHz, 60 MHz)</t>
        </is>
      </c>
      <c r="Q585" s="38">
        <f>ROUNDUP(O585/'Methodology &amp; Assumptions'!$B$9, 0)</f>
        <v/>
      </c>
      <c r="R585" s="39" t="n">
        <v>1</v>
      </c>
      <c r="S585" s="21" t="n">
        <v>0.78</v>
      </c>
      <c r="T585" s="21" t="n">
        <v>0.32</v>
      </c>
      <c r="U585" s="36" t="inlineStr">
        <is>
          <t>Tier 1A (Direct Coloc, &lt;1 km)</t>
        </is>
      </c>
      <c r="V585" s="20" t="n">
        <v>87.2</v>
      </c>
      <c r="W585" s="20" t="n">
        <v>85.09999999999999</v>
      </c>
      <c r="X585" s="20" t="n">
        <v>28</v>
      </c>
      <c r="Y585" s="40">
        <f>ROUND((V585*'Methodology &amp; Assumptions'!$B$6)+(W585*'Methodology &amp; Assumptions'!$B$5)+(X585*'Methodology &amp; Assumptions'!$B$7), 2)</f>
        <v/>
      </c>
    </row>
    <row r="586" ht="19" customHeight="1">
      <c r="A586" s="41" t="n">
        <v>582</v>
      </c>
      <c r="B586" s="41" t="n">
        <v>2582</v>
      </c>
      <c r="C586" s="42" t="inlineStr">
        <is>
          <t>0201529003</t>
        </is>
      </c>
      <c r="D586" s="42" t="inlineStr">
        <is>
          <t>Region II (Cagayan Valley)</t>
        </is>
      </c>
      <c r="E586" s="42" t="inlineStr">
        <is>
          <t>Cagayan</t>
        </is>
      </c>
      <c r="F586" s="42" t="inlineStr">
        <is>
          <t>Tuguegarao City</t>
        </is>
      </c>
      <c r="G586" s="42" t="inlineStr">
        <is>
          <t>Bagay</t>
        </is>
      </c>
      <c r="H586" s="43" t="n">
        <v>17.6324</v>
      </c>
      <c r="I586" s="43" t="n">
        <v>121.7077</v>
      </c>
      <c r="J586" s="44" t="inlineStr">
        <is>
          <t>R</t>
        </is>
      </c>
      <c r="K586" s="42" t="inlineStr">
        <is>
          <t>Class 1-3 / Urban</t>
        </is>
      </c>
      <c r="L586" s="23" t="n">
        <v>3973</v>
      </c>
      <c r="M586" s="24" t="n">
        <v>4.38</v>
      </c>
      <c r="N586" s="23">
        <f>ROUND(L586/M586, 0)</f>
        <v/>
      </c>
      <c r="O586" s="23">
        <f>ROUND(N586*'Methodology &amp; Assumptions'!$B$8, 0)</f>
        <v/>
      </c>
      <c r="P586" s="44" t="inlineStr">
        <is>
          <t>Band n50 (1.5 GHz, 60 MHz)</t>
        </is>
      </c>
      <c r="Q586" s="38">
        <f>ROUNDUP(O586/'Methodology &amp; Assumptions'!$B$9, 0)</f>
        <v/>
      </c>
      <c r="R586" s="39" t="n">
        <v>1</v>
      </c>
      <c r="S586" s="25" t="n">
        <v>3.92</v>
      </c>
      <c r="T586" s="25" t="n">
        <v>1.66</v>
      </c>
      <c r="U586" s="42" t="inlineStr">
        <is>
          <t>Tier 2 (Fiber Corridor / Lateral, 3-5 km)</t>
        </is>
      </c>
      <c r="V586" s="24" t="n">
        <v>37.1</v>
      </c>
      <c r="W586" s="24" t="n">
        <v>96.5</v>
      </c>
      <c r="X586" s="24" t="n">
        <v>73</v>
      </c>
      <c r="Y586" s="45">
        <f>ROUND((V586*'Methodology &amp; Assumptions'!$B$6)+(W586*'Methodology &amp; Assumptions'!$B$5)+(X586*'Methodology &amp; Assumptions'!$B$7), 2)</f>
        <v/>
      </c>
    </row>
    <row r="587" ht="19" customHeight="1">
      <c r="A587" s="35" t="n">
        <v>583</v>
      </c>
      <c r="B587" s="35" t="n">
        <v>2583</v>
      </c>
      <c r="C587" s="36" t="inlineStr">
        <is>
          <t>1430300026</t>
        </is>
      </c>
      <c r="D587" s="36" t="inlineStr">
        <is>
          <t>Cordillera Administrative Region (CAR)</t>
        </is>
      </c>
      <c r="E587" s="36" t="inlineStr">
        <is>
          <t>Benguet</t>
        </is>
      </c>
      <c r="F587" s="36" t="inlineStr">
        <is>
          <t>City of Baguio</t>
        </is>
      </c>
      <c r="G587" s="36" t="inlineStr">
        <is>
          <t>Cresencia Village</t>
        </is>
      </c>
      <c r="H587" s="37" t="n">
        <v>16.41868</v>
      </c>
      <c r="I587" s="37" t="n">
        <v>120.58762</v>
      </c>
      <c r="J587" s="8" t="inlineStr">
        <is>
          <t>R</t>
        </is>
      </c>
      <c r="K587" s="36" t="inlineStr">
        <is>
          <t>Class 1-3 / Urban</t>
        </is>
      </c>
      <c r="L587" s="18" t="n">
        <v>1671</v>
      </c>
      <c r="M587" s="20" t="n">
        <v>4.58</v>
      </c>
      <c r="N587" s="18">
        <f>ROUND(L587/M587, 0)</f>
        <v/>
      </c>
      <c r="O587" s="18">
        <f>ROUND(N587*'Methodology &amp; Assumptions'!$B$8, 0)</f>
        <v/>
      </c>
      <c r="P587" s="8" t="inlineStr">
        <is>
          <t>Band n50 (1.5 GHz, 60 MHz)</t>
        </is>
      </c>
      <c r="Q587" s="38">
        <f>ROUNDUP(O587/'Methodology &amp; Assumptions'!$B$9, 0)</f>
        <v/>
      </c>
      <c r="R587" s="39" t="n">
        <v>1</v>
      </c>
      <c r="S587" s="21" t="n">
        <v>0.41</v>
      </c>
      <c r="T587" s="21" t="n">
        <v>0.54</v>
      </c>
      <c r="U587" s="36" t="inlineStr">
        <is>
          <t>Tier 1A (Direct Coloc, &lt;1 km)</t>
        </is>
      </c>
      <c r="V587" s="20" t="n">
        <v>97.2</v>
      </c>
      <c r="W587" s="20" t="n">
        <v>49.3</v>
      </c>
      <c r="X587" s="20" t="n">
        <v>58</v>
      </c>
      <c r="Y587" s="40">
        <f>ROUND((V587*'Methodology &amp; Assumptions'!$B$6)+(W587*'Methodology &amp; Assumptions'!$B$5)+(X587*'Methodology &amp; Assumptions'!$B$7), 2)</f>
        <v/>
      </c>
    </row>
    <row r="588" ht="19" customHeight="1">
      <c r="A588" s="41" t="n">
        <v>584</v>
      </c>
      <c r="B588" s="41" t="n">
        <v>2584</v>
      </c>
      <c r="C588" s="42" t="inlineStr">
        <is>
          <t>1401111008</t>
        </is>
      </c>
      <c r="D588" s="42" t="inlineStr">
        <is>
          <t>Cordillera Administrative Region (CAR)</t>
        </is>
      </c>
      <c r="E588" s="42" t="inlineStr">
        <is>
          <t>Benguet</t>
        </is>
      </c>
      <c r="F588" s="42" t="inlineStr">
        <is>
          <t>Mankayan</t>
        </is>
      </c>
      <c r="G588" s="42" t="inlineStr">
        <is>
          <t>Paco</t>
        </is>
      </c>
      <c r="H588" s="43" t="n">
        <v>16.86592</v>
      </c>
      <c r="I588" s="43" t="n">
        <v>120.77981</v>
      </c>
      <c r="J588" s="44" t="inlineStr">
        <is>
          <t>U</t>
        </is>
      </c>
      <c r="K588" s="42" t="inlineStr">
        <is>
          <t>Class 1-3 / Urban</t>
        </is>
      </c>
      <c r="L588" s="23" t="n">
        <v>4844</v>
      </c>
      <c r="M588" s="24" t="n">
        <v>4.58</v>
      </c>
      <c r="N588" s="23">
        <f>ROUND(L588/M588, 0)</f>
        <v/>
      </c>
      <c r="O588" s="23">
        <f>ROUND(N588*'Methodology &amp; Assumptions'!$B$8, 0)</f>
        <v/>
      </c>
      <c r="P588" s="44" t="inlineStr">
        <is>
          <t>Band n50 (1.5 GHz, 60 MHz)</t>
        </is>
      </c>
      <c r="Q588" s="38">
        <f>ROUNDUP(O588/'Methodology &amp; Assumptions'!$B$9, 0)</f>
        <v/>
      </c>
      <c r="R588" s="39" t="n">
        <v>1</v>
      </c>
      <c r="S588" s="25" t="n">
        <v>2.12</v>
      </c>
      <c r="T588" s="25" t="n">
        <v>0.48</v>
      </c>
      <c r="U588" s="42" t="inlineStr">
        <is>
          <t>Tier 1B (Micro Drop, 1-3 km)</t>
        </is>
      </c>
      <c r="V588" s="24" t="n">
        <v>59.4</v>
      </c>
      <c r="W588" s="24" t="n">
        <v>100</v>
      </c>
      <c r="X588" s="24" t="n">
        <v>43</v>
      </c>
      <c r="Y588" s="45">
        <f>ROUND((V588*'Methodology &amp; Assumptions'!$B$6)+(W588*'Methodology &amp; Assumptions'!$B$5)+(X588*'Methodology &amp; Assumptions'!$B$7), 2)</f>
        <v/>
      </c>
    </row>
    <row r="589" ht="19" customHeight="1">
      <c r="A589" s="35" t="n">
        <v>585</v>
      </c>
      <c r="B589" s="35" t="n">
        <v>2585</v>
      </c>
      <c r="C589" s="36" t="inlineStr">
        <is>
          <t>0730600020</t>
        </is>
      </c>
      <c r="D589" s="36" t="inlineStr">
        <is>
          <t>Region VII (Central Visayas)</t>
        </is>
      </c>
      <c r="E589" s="36" t="inlineStr">
        <is>
          <t>Cebu</t>
        </is>
      </c>
      <c r="F589" s="36" t="inlineStr">
        <is>
          <t>City of Cebu</t>
        </is>
      </c>
      <c r="G589" s="36" t="inlineStr">
        <is>
          <t>Capitol Site</t>
        </is>
      </c>
      <c r="H589" s="37" t="n">
        <v>10.32462</v>
      </c>
      <c r="I589" s="37" t="n">
        <v>123.890305</v>
      </c>
      <c r="J589" s="8" t="inlineStr">
        <is>
          <t>U</t>
        </is>
      </c>
      <c r="K589" s="36" t="inlineStr">
        <is>
          <t>Class 1-3 / Urban</t>
        </is>
      </c>
      <c r="L589" s="18" t="n">
        <v>12604</v>
      </c>
      <c r="M589" s="20" t="n">
        <v>4.42</v>
      </c>
      <c r="N589" s="18">
        <f>ROUND(L589/M589, 0)</f>
        <v/>
      </c>
      <c r="O589" s="18">
        <f>ROUND(N589*'Methodology &amp; Assumptions'!$B$8, 0)</f>
        <v/>
      </c>
      <c r="P589" s="8" t="inlineStr">
        <is>
          <t>Band n50 (1.5 GHz, 60 MHz)</t>
        </is>
      </c>
      <c r="Q589" s="38">
        <f>ROUNDUP(O589/'Methodology &amp; Assumptions'!$B$9, 0)</f>
        <v/>
      </c>
      <c r="R589" s="39" t="n">
        <v>1</v>
      </c>
      <c r="S589" s="21" t="n">
        <v>0.98</v>
      </c>
      <c r="T589" s="21" t="n">
        <v>2.19</v>
      </c>
      <c r="U589" s="36" t="inlineStr">
        <is>
          <t>Tier 1A (Direct Coloc, &lt;1 km)</t>
        </is>
      </c>
      <c r="V589" s="20" t="n">
        <v>72.2</v>
      </c>
      <c r="W589" s="20" t="n">
        <v>100</v>
      </c>
      <c r="X589" s="20" t="n">
        <v>28</v>
      </c>
      <c r="Y589" s="40">
        <f>ROUND((V589*'Methodology &amp; Assumptions'!$B$6)+(W589*'Methodology &amp; Assumptions'!$B$5)+(X589*'Methodology &amp; Assumptions'!$B$7), 2)</f>
        <v/>
      </c>
    </row>
    <row r="590" ht="19" customHeight="1">
      <c r="A590" s="41" t="n">
        <v>586</v>
      </c>
      <c r="B590" s="41" t="n">
        <v>2586</v>
      </c>
      <c r="C590" s="42" t="inlineStr">
        <is>
          <t>0702251029</t>
        </is>
      </c>
      <c r="D590" s="42" t="inlineStr">
        <is>
          <t>Region VII (Central Visayas)</t>
        </is>
      </c>
      <c r="E590" s="42" t="inlineStr">
        <is>
          <t>Cebu</t>
        </is>
      </c>
      <c r="F590" s="42" t="inlineStr">
        <is>
          <t>City of Toledo</t>
        </is>
      </c>
      <c r="G590" s="42" t="inlineStr">
        <is>
          <t>Poog</t>
        </is>
      </c>
      <c r="H590" s="43" t="n">
        <v>10.322582</v>
      </c>
      <c r="I590" s="43" t="n">
        <v>123.684757</v>
      </c>
      <c r="J590" s="44" t="inlineStr">
        <is>
          <t>U</t>
        </is>
      </c>
      <c r="K590" s="42" t="inlineStr">
        <is>
          <t>Class 1-3 / Urban</t>
        </is>
      </c>
      <c r="L590" s="23" t="n">
        <v>7082</v>
      </c>
      <c r="M590" s="24" t="n">
        <v>4.42</v>
      </c>
      <c r="N590" s="23">
        <f>ROUND(L590/M590, 0)</f>
        <v/>
      </c>
      <c r="O590" s="23">
        <f>ROUND(N590*'Methodology &amp; Assumptions'!$B$8, 0)</f>
        <v/>
      </c>
      <c r="P590" s="44" t="inlineStr">
        <is>
          <t>Band n50 (1.5 GHz, 60 MHz)</t>
        </is>
      </c>
      <c r="Q590" s="38">
        <f>ROUNDUP(O590/'Methodology &amp; Assumptions'!$B$9, 0)</f>
        <v/>
      </c>
      <c r="R590" s="39" t="n">
        <v>1</v>
      </c>
      <c r="S590" s="25" t="n">
        <v>1.42</v>
      </c>
      <c r="T590" s="25" t="n">
        <v>0.03</v>
      </c>
      <c r="U590" s="42" t="inlineStr">
        <is>
          <t>Tier 1B (Micro Drop, 1-3 km)</t>
        </is>
      </c>
      <c r="V590" s="24" t="n">
        <v>72.2</v>
      </c>
      <c r="W590" s="24" t="n">
        <v>100</v>
      </c>
      <c r="X590" s="24" t="n">
        <v>28</v>
      </c>
      <c r="Y590" s="45">
        <f>ROUND((V590*'Methodology &amp; Assumptions'!$B$6)+(W590*'Methodology &amp; Assumptions'!$B$5)+(X590*'Methodology &amp; Assumptions'!$B$7), 2)</f>
        <v/>
      </c>
    </row>
    <row r="591" ht="19" customHeight="1">
      <c r="A591" s="35" t="n">
        <v>587</v>
      </c>
      <c r="B591" s="35" t="n">
        <v>2587</v>
      </c>
      <c r="C591" s="36" t="inlineStr">
        <is>
          <t>0103314047</t>
        </is>
      </c>
      <c r="D591" s="36" t="inlineStr">
        <is>
          <t>Region I (Ilocos Region)</t>
        </is>
      </c>
      <c r="E591" s="36" t="inlineStr">
        <is>
          <t>La Union</t>
        </is>
      </c>
      <c r="F591" s="36" t="inlineStr">
        <is>
          <t>City of San Fernando</t>
        </is>
      </c>
      <c r="G591" s="36" t="inlineStr">
        <is>
          <t>Poro</t>
        </is>
      </c>
      <c r="H591" s="37" t="n">
        <v>16.606756</v>
      </c>
      <c r="I591" s="37" t="n">
        <v>120.304809</v>
      </c>
      <c r="J591" s="8" t="inlineStr">
        <is>
          <t>U</t>
        </is>
      </c>
      <c r="K591" s="36" t="inlineStr">
        <is>
          <t>Class 1-3 / Urban</t>
        </is>
      </c>
      <c r="L591" s="18" t="n">
        <v>6797</v>
      </c>
      <c r="M591" s="20" t="n">
        <v>4.42</v>
      </c>
      <c r="N591" s="18">
        <f>ROUND(L591/M591, 0)</f>
        <v/>
      </c>
      <c r="O591" s="18">
        <f>ROUND(N591*'Methodology &amp; Assumptions'!$B$8, 0)</f>
        <v/>
      </c>
      <c r="P591" s="8" t="inlineStr">
        <is>
          <t>Band n50 (1.5 GHz, 60 MHz)</t>
        </is>
      </c>
      <c r="Q591" s="38">
        <f>ROUNDUP(O591/'Methodology &amp; Assumptions'!$B$9, 0)</f>
        <v/>
      </c>
      <c r="R591" s="39" t="n">
        <v>1</v>
      </c>
      <c r="S591" s="21" t="n">
        <v>1.42</v>
      </c>
      <c r="T591" s="21" t="n">
        <v>0.58</v>
      </c>
      <c r="U591" s="36" t="inlineStr">
        <is>
          <t>Tier 1B (Micro Drop, 1-3 km)</t>
        </is>
      </c>
      <c r="V591" s="20" t="n">
        <v>72.2</v>
      </c>
      <c r="W591" s="20" t="n">
        <v>100</v>
      </c>
      <c r="X591" s="20" t="n">
        <v>28</v>
      </c>
      <c r="Y591" s="40">
        <f>ROUND((V591*'Methodology &amp; Assumptions'!$B$6)+(W591*'Methodology &amp; Assumptions'!$B$5)+(X591*'Methodology &amp; Assumptions'!$B$7), 2)</f>
        <v/>
      </c>
    </row>
    <row r="592" ht="19" customHeight="1">
      <c r="A592" s="41" t="n">
        <v>588</v>
      </c>
      <c r="B592" s="41" t="n">
        <v>2588</v>
      </c>
      <c r="C592" s="42" t="inlineStr">
        <is>
          <t>0401022031</t>
        </is>
      </c>
      <c r="D592" s="42" t="inlineStr">
        <is>
          <t>Region IV-A (CALABARZON)</t>
        </is>
      </c>
      <c r="E592" s="42" t="inlineStr">
        <is>
          <t>Batangas</t>
        </is>
      </c>
      <c r="F592" s="42" t="inlineStr">
        <is>
          <t>San Jose</t>
        </is>
      </c>
      <c r="G592" s="42" t="inlineStr">
        <is>
          <t>Taysan</t>
        </is>
      </c>
      <c r="H592" s="43" t="n">
        <v>13.877061</v>
      </c>
      <c r="I592" s="43" t="n">
        <v>121.100638</v>
      </c>
      <c r="J592" s="44" t="inlineStr">
        <is>
          <t>U</t>
        </is>
      </c>
      <c r="K592" s="42" t="inlineStr">
        <is>
          <t>Class 1-3 / Urban</t>
        </is>
      </c>
      <c r="L592" s="23" t="n">
        <v>3121</v>
      </c>
      <c r="M592" s="24" t="n">
        <v>4.62</v>
      </c>
      <c r="N592" s="23">
        <f>ROUND(L592/M592, 0)</f>
        <v/>
      </c>
      <c r="O592" s="23">
        <f>ROUND(N592*'Methodology &amp; Assumptions'!$B$8, 0)</f>
        <v/>
      </c>
      <c r="P592" s="44" t="inlineStr">
        <is>
          <t>Band n50 (1.5 GHz, 60 MHz)</t>
        </is>
      </c>
      <c r="Q592" s="38">
        <f>ROUNDUP(O592/'Methodology &amp; Assumptions'!$B$9, 0)</f>
        <v/>
      </c>
      <c r="R592" s="39" t="n">
        <v>1</v>
      </c>
      <c r="S592" s="25" t="n">
        <v>0.52</v>
      </c>
      <c r="T592" s="25" t="n">
        <v>0.16</v>
      </c>
      <c r="U592" s="42" t="inlineStr">
        <is>
          <t>Tier 1A (Direct Coloc, &lt;1 km)</t>
        </is>
      </c>
      <c r="V592" s="24" t="n">
        <v>94.09999999999999</v>
      </c>
      <c r="W592" s="24" t="n">
        <v>78.09999999999999</v>
      </c>
      <c r="X592" s="24" t="n">
        <v>28</v>
      </c>
      <c r="Y592" s="45">
        <f>ROUND((V592*'Methodology &amp; Assumptions'!$B$6)+(W592*'Methodology &amp; Assumptions'!$B$5)+(X592*'Methodology &amp; Assumptions'!$B$7), 2)</f>
        <v/>
      </c>
    </row>
    <row r="593" ht="19" customHeight="1">
      <c r="A593" s="35" t="n">
        <v>589</v>
      </c>
      <c r="B593" s="35" t="n">
        <v>2589</v>
      </c>
      <c r="C593" s="36" t="inlineStr">
        <is>
          <t>1004307001</t>
        </is>
      </c>
      <c r="D593" s="36" t="inlineStr">
        <is>
          <t>Region X (Northern Mindanao)</t>
        </is>
      </c>
      <c r="E593" s="36" t="inlineStr">
        <is>
          <t>Misamis Oriental</t>
        </is>
      </c>
      <c r="F593" s="36" t="inlineStr">
        <is>
          <t>City of El Salvador</t>
        </is>
      </c>
      <c r="G593" s="36" t="inlineStr">
        <is>
          <t>Amoros</t>
        </is>
      </c>
      <c r="H593" s="37" t="n">
        <v>8.531698</v>
      </c>
      <c r="I593" s="37" t="n">
        <v>124.549827</v>
      </c>
      <c r="J593" s="8" t="inlineStr">
        <is>
          <t>R</t>
        </is>
      </c>
      <c r="K593" s="36" t="inlineStr">
        <is>
          <t>Class 1-3 / Urban</t>
        </is>
      </c>
      <c r="L593" s="18" t="n">
        <v>4896</v>
      </c>
      <c r="M593" s="20" t="n">
        <v>4.54</v>
      </c>
      <c r="N593" s="18">
        <f>ROUND(L593/M593, 0)</f>
        <v/>
      </c>
      <c r="O593" s="18">
        <f>ROUND(N593*'Methodology &amp; Assumptions'!$B$8, 0)</f>
        <v/>
      </c>
      <c r="P593" s="8" t="inlineStr">
        <is>
          <t>Band n50 (1.5 GHz, 60 MHz)</t>
        </is>
      </c>
      <c r="Q593" s="38">
        <f>ROUNDUP(O593/'Methodology &amp; Assumptions'!$B$9, 0)</f>
        <v/>
      </c>
      <c r="R593" s="39" t="n">
        <v>1</v>
      </c>
      <c r="S593" s="21" t="n">
        <v>3.03</v>
      </c>
      <c r="T593" s="21" t="n">
        <v>0.23</v>
      </c>
      <c r="U593" s="36" t="inlineStr">
        <is>
          <t>Tier 2 (Fiber Corridor / Lateral, 3-5 km)</t>
        </is>
      </c>
      <c r="V593" s="20" t="n">
        <v>46.5</v>
      </c>
      <c r="W593" s="20" t="n">
        <v>100</v>
      </c>
      <c r="X593" s="20" t="n">
        <v>58</v>
      </c>
      <c r="Y593" s="40">
        <f>ROUND((V593*'Methodology &amp; Assumptions'!$B$6)+(W593*'Methodology &amp; Assumptions'!$B$5)+(X593*'Methodology &amp; Assumptions'!$B$7), 2)</f>
        <v/>
      </c>
    </row>
    <row r="594" ht="19" customHeight="1">
      <c r="A594" s="41" t="n">
        <v>590</v>
      </c>
      <c r="B594" s="41" t="n">
        <v>2590</v>
      </c>
      <c r="C594" s="42" t="inlineStr">
        <is>
          <t>0405648026</t>
        </is>
      </c>
      <c r="D594" s="42" t="inlineStr">
        <is>
          <t>Region IV-A (CALABARZON)</t>
        </is>
      </c>
      <c r="E594" s="42" t="inlineStr">
        <is>
          <t>Quezon</t>
        </is>
      </c>
      <c r="F594" s="42" t="inlineStr">
        <is>
          <t>Tiaong</t>
        </is>
      </c>
      <c r="G594" s="42" t="inlineStr">
        <is>
          <t>San Pedro</t>
        </is>
      </c>
      <c r="H594" s="43" t="n">
        <v>13.967623</v>
      </c>
      <c r="I594" s="43" t="n">
        <v>121.308471</v>
      </c>
      <c r="J594" s="44" t="inlineStr">
        <is>
          <t>R</t>
        </is>
      </c>
      <c r="K594" s="42" t="inlineStr">
        <is>
          <t>Class 1-3 / Urban</t>
        </is>
      </c>
      <c r="L594" s="23" t="n">
        <v>2757</v>
      </c>
      <c r="M594" s="24" t="n">
        <v>4.46</v>
      </c>
      <c r="N594" s="23">
        <f>ROUND(L594/M594, 0)</f>
        <v/>
      </c>
      <c r="O594" s="23">
        <f>ROUND(N594*'Methodology &amp; Assumptions'!$B$8, 0)</f>
        <v/>
      </c>
      <c r="P594" s="44" t="inlineStr">
        <is>
          <t>Band n50 (1.5 GHz, 60 MHz)</t>
        </is>
      </c>
      <c r="Q594" s="38">
        <f>ROUNDUP(O594/'Methodology &amp; Assumptions'!$B$9, 0)</f>
        <v/>
      </c>
      <c r="R594" s="39" t="n">
        <v>1</v>
      </c>
      <c r="S594" s="25" t="n">
        <v>1.38</v>
      </c>
      <c r="T594" s="25" t="n">
        <v>1.38</v>
      </c>
      <c r="U594" s="42" t="inlineStr">
        <is>
          <t>Tier 1B (Micro Drop, 1-3 km)</t>
        </is>
      </c>
      <c r="V594" s="24" t="n">
        <v>73.09999999999999</v>
      </c>
      <c r="W594" s="24" t="n">
        <v>73.3</v>
      </c>
      <c r="X594" s="24" t="n">
        <v>58</v>
      </c>
      <c r="Y594" s="45">
        <f>ROUND((V594*'Methodology &amp; Assumptions'!$B$6)+(W594*'Methodology &amp; Assumptions'!$B$5)+(X594*'Methodology &amp; Assumptions'!$B$7), 2)</f>
        <v/>
      </c>
    </row>
    <row r="595" ht="19" customHeight="1">
      <c r="A595" s="35" t="n">
        <v>591</v>
      </c>
      <c r="B595" s="35" t="n">
        <v>2591</v>
      </c>
      <c r="C595" s="36" t="inlineStr">
        <is>
          <t>0301420025</t>
        </is>
      </c>
      <c r="D595" s="36" t="inlineStr">
        <is>
          <t>Region III (Central Luzon)</t>
        </is>
      </c>
      <c r="E595" s="36" t="inlineStr">
        <is>
          <t>Bulacan</t>
        </is>
      </c>
      <c r="F595" s="36" t="inlineStr">
        <is>
          <t>City of San Jose Del Monte</t>
        </is>
      </c>
      <c r="G595" s="36" t="inlineStr">
        <is>
          <t>Fatima IV</t>
        </is>
      </c>
      <c r="H595" s="37" t="n">
        <v>14.843529</v>
      </c>
      <c r="I595" s="37" t="n">
        <v>121.046378</v>
      </c>
      <c r="J595" s="8" t="inlineStr">
        <is>
          <t>R</t>
        </is>
      </c>
      <c r="K595" s="36" t="inlineStr">
        <is>
          <t>Class 1-3 / Urban</t>
        </is>
      </c>
      <c r="L595" s="18" t="n">
        <v>2121</v>
      </c>
      <c r="M595" s="20" t="n">
        <v>4.1</v>
      </c>
      <c r="N595" s="18">
        <f>ROUND(L595/M595, 0)</f>
        <v/>
      </c>
      <c r="O595" s="18">
        <f>ROUND(N595*'Methodology &amp; Assumptions'!$B$8, 0)</f>
        <v/>
      </c>
      <c r="P595" s="8" t="inlineStr">
        <is>
          <t>Band n50 (1.5 GHz, 60 MHz)</t>
        </is>
      </c>
      <c r="Q595" s="38">
        <f>ROUNDUP(O595/'Methodology &amp; Assumptions'!$B$9, 0)</f>
        <v/>
      </c>
      <c r="R595" s="39" t="n">
        <v>1</v>
      </c>
      <c r="S595" s="21" t="n">
        <v>1.02</v>
      </c>
      <c r="T595" s="21" t="n">
        <v>1.52</v>
      </c>
      <c r="U595" s="36" t="inlineStr">
        <is>
          <t>Tier 1B (Micro Drop, 1-3 km)</t>
        </is>
      </c>
      <c r="V595" s="20" t="n">
        <v>81.09999999999999</v>
      </c>
      <c r="W595" s="20" t="n">
        <v>65.3</v>
      </c>
      <c r="X595" s="20" t="n">
        <v>58</v>
      </c>
      <c r="Y595" s="40">
        <f>ROUND((V595*'Methodology &amp; Assumptions'!$B$6)+(W595*'Methodology &amp; Assumptions'!$B$5)+(X595*'Methodology &amp; Assumptions'!$B$7), 2)</f>
        <v/>
      </c>
    </row>
    <row r="596" ht="19" customHeight="1">
      <c r="A596" s="41" t="n">
        <v>592</v>
      </c>
      <c r="B596" s="41" t="n">
        <v>2592</v>
      </c>
      <c r="C596" s="42" t="inlineStr">
        <is>
          <t>0307701007</t>
        </is>
      </c>
      <c r="D596" s="42" t="inlineStr">
        <is>
          <t>Region III (Central Luzon)</t>
        </is>
      </c>
      <c r="E596" s="42" t="inlineStr">
        <is>
          <t>Aurora</t>
        </is>
      </c>
      <c r="F596" s="42" t="inlineStr">
        <is>
          <t>Baler</t>
        </is>
      </c>
      <c r="G596" s="42" t="inlineStr">
        <is>
          <t>Calabuanan</t>
        </is>
      </c>
      <c r="H596" s="43" t="n">
        <v>15.754377</v>
      </c>
      <c r="I596" s="43" t="n">
        <v>121.522727</v>
      </c>
      <c r="J596" s="44" t="inlineStr">
        <is>
          <t>U</t>
        </is>
      </c>
      <c r="K596" s="42" t="inlineStr">
        <is>
          <t>Class 1-3 / Urban</t>
        </is>
      </c>
      <c r="L596" s="23" t="n">
        <v>5536</v>
      </c>
      <c r="M596" s="24" t="n">
        <v>4.24</v>
      </c>
      <c r="N596" s="23">
        <f>ROUND(L596/M596, 0)</f>
        <v/>
      </c>
      <c r="O596" s="23">
        <f>ROUND(N596*'Methodology &amp; Assumptions'!$B$8, 0)</f>
        <v/>
      </c>
      <c r="P596" s="44" t="inlineStr">
        <is>
          <t>Band n50 (1.5 GHz, 60 MHz)</t>
        </is>
      </c>
      <c r="Q596" s="38">
        <f>ROUNDUP(O596/'Methodology &amp; Assumptions'!$B$9, 0)</f>
        <v/>
      </c>
      <c r="R596" s="39" t="n">
        <v>1</v>
      </c>
      <c r="S596" s="25" t="n">
        <v>1.43</v>
      </c>
      <c r="T596" s="25" t="n">
        <v>0.32</v>
      </c>
      <c r="U596" s="42" t="inlineStr">
        <is>
          <t>Tier 1B (Micro Drop, 1-3 km)</t>
        </is>
      </c>
      <c r="V596" s="24" t="n">
        <v>72.2</v>
      </c>
      <c r="W596" s="24" t="n">
        <v>100</v>
      </c>
      <c r="X596" s="24" t="n">
        <v>28</v>
      </c>
      <c r="Y596" s="45">
        <f>ROUND((V596*'Methodology &amp; Assumptions'!$B$6)+(W596*'Methodology &amp; Assumptions'!$B$5)+(X596*'Methodology &amp; Assumptions'!$B$7), 2)</f>
        <v/>
      </c>
    </row>
    <row r="597" ht="19" customHeight="1">
      <c r="A597" s="35" t="n">
        <v>593</v>
      </c>
      <c r="B597" s="35" t="n">
        <v>2593</v>
      </c>
      <c r="C597" s="36" t="inlineStr">
        <is>
          <t>0601914044</t>
        </is>
      </c>
      <c r="D597" s="36" t="inlineStr">
        <is>
          <t>Region VI (Western Visayas)</t>
        </is>
      </c>
      <c r="E597" s="36" t="inlineStr">
        <is>
          <t>Capiz</t>
        </is>
      </c>
      <c r="F597" s="36" t="inlineStr">
        <is>
          <t>City of Roxas</t>
        </is>
      </c>
      <c r="G597" s="36" t="inlineStr">
        <is>
          <t>San Jose</t>
        </is>
      </c>
      <c r="H597" s="37" t="n">
        <v>11.494847</v>
      </c>
      <c r="I597" s="37" t="n">
        <v>122.744382</v>
      </c>
      <c r="J597" s="8" t="inlineStr">
        <is>
          <t>R</t>
        </is>
      </c>
      <c r="K597" s="36" t="inlineStr">
        <is>
          <t>Class 1-3 / Urban</t>
        </is>
      </c>
      <c r="L597" s="18" t="n">
        <v>4406</v>
      </c>
      <c r="M597" s="20" t="n">
        <v>4.2</v>
      </c>
      <c r="N597" s="18">
        <f>ROUND(L597/M597, 0)</f>
        <v/>
      </c>
      <c r="O597" s="18">
        <f>ROUND(N597*'Methodology &amp; Assumptions'!$B$8, 0)</f>
        <v/>
      </c>
      <c r="P597" s="8" t="inlineStr">
        <is>
          <t>Band n50 (1.5 GHz, 60 MHz)</t>
        </is>
      </c>
      <c r="Q597" s="38">
        <f>ROUNDUP(O597/'Methodology &amp; Assumptions'!$B$9, 0)</f>
        <v/>
      </c>
      <c r="R597" s="39" t="n">
        <v>1</v>
      </c>
      <c r="S597" s="21" t="n">
        <v>3.03</v>
      </c>
      <c r="T597" s="21" t="n">
        <v>1.67</v>
      </c>
      <c r="U597" s="36" t="inlineStr">
        <is>
          <t>Tier 2 (Fiber Corridor / Lateral, 3-5 km)</t>
        </is>
      </c>
      <c r="V597" s="20" t="n">
        <v>46.4</v>
      </c>
      <c r="W597" s="20" t="n">
        <v>100</v>
      </c>
      <c r="X597" s="20" t="n">
        <v>58</v>
      </c>
      <c r="Y597" s="40">
        <f>ROUND((V597*'Methodology &amp; Assumptions'!$B$6)+(W597*'Methodology &amp; Assumptions'!$B$5)+(X597*'Methodology &amp; Assumptions'!$B$7), 2)</f>
        <v/>
      </c>
    </row>
    <row r="598" ht="19" customHeight="1">
      <c r="A598" s="41" t="n">
        <v>594</v>
      </c>
      <c r="B598" s="41" t="n">
        <v>2594</v>
      </c>
      <c r="C598" s="42" t="inlineStr">
        <is>
          <t>0702211015</t>
        </is>
      </c>
      <c r="D598" s="42" t="inlineStr">
        <is>
          <t>Region VII (Central Visayas)</t>
        </is>
      </c>
      <c r="E598" s="42" t="inlineStr">
        <is>
          <t>Cebu</t>
        </is>
      </c>
      <c r="F598" s="42" t="inlineStr">
        <is>
          <t>City of Bogo</t>
        </is>
      </c>
      <c r="G598" s="42" t="inlineStr">
        <is>
          <t>Libertad</t>
        </is>
      </c>
      <c r="H598" s="43" t="n">
        <v>11.031392</v>
      </c>
      <c r="I598" s="43" t="n">
        <v>124.021476</v>
      </c>
      <c r="J598" s="44" t="inlineStr">
        <is>
          <t>R</t>
        </is>
      </c>
      <c r="K598" s="42" t="inlineStr">
        <is>
          <t>Class 1-3 / Urban</t>
        </is>
      </c>
      <c r="L598" s="23" t="n">
        <v>4775</v>
      </c>
      <c r="M598" s="24" t="n">
        <v>4.42</v>
      </c>
      <c r="N598" s="23">
        <f>ROUND(L598/M598, 0)</f>
        <v/>
      </c>
      <c r="O598" s="23">
        <f>ROUND(N598*'Methodology &amp; Assumptions'!$B$8, 0)</f>
        <v/>
      </c>
      <c r="P598" s="44" t="inlineStr">
        <is>
          <t>Band n50 (1.5 GHz, 60 MHz)</t>
        </is>
      </c>
      <c r="Q598" s="38">
        <f>ROUNDUP(O598/'Methodology &amp; Assumptions'!$B$9, 0)</f>
        <v/>
      </c>
      <c r="R598" s="39" t="n">
        <v>1</v>
      </c>
      <c r="S598" s="25" t="n">
        <v>2.31</v>
      </c>
      <c r="T598" s="25" t="n">
        <v>2.04</v>
      </c>
      <c r="U598" s="42" t="inlineStr">
        <is>
          <t>Tier 1B (Micro Drop, 1-3 km)</t>
        </is>
      </c>
      <c r="V598" s="24" t="n">
        <v>46.4</v>
      </c>
      <c r="W598" s="24" t="n">
        <v>100</v>
      </c>
      <c r="X598" s="24" t="n">
        <v>58</v>
      </c>
      <c r="Y598" s="45">
        <f>ROUND((V598*'Methodology &amp; Assumptions'!$B$6)+(W598*'Methodology &amp; Assumptions'!$B$5)+(X598*'Methodology &amp; Assumptions'!$B$7), 2)</f>
        <v/>
      </c>
    </row>
    <row r="599" ht="19" customHeight="1">
      <c r="A599" s="35" t="n">
        <v>595</v>
      </c>
      <c r="B599" s="35" t="n">
        <v>2595</v>
      </c>
      <c r="C599" s="36" t="inlineStr">
        <is>
          <t>1430300062</t>
        </is>
      </c>
      <c r="D599" s="36" t="inlineStr">
        <is>
          <t>Cordillera Administrative Region (CAR)</t>
        </is>
      </c>
      <c r="E599" s="36" t="inlineStr">
        <is>
          <t>Benguet</t>
        </is>
      </c>
      <c r="F599" s="36" t="inlineStr">
        <is>
          <t>City of Baguio</t>
        </is>
      </c>
      <c r="G599" s="36" t="inlineStr">
        <is>
          <t>General Emilio F. Aguinaldo</t>
        </is>
      </c>
      <c r="H599" s="37" t="n">
        <v>16.40958</v>
      </c>
      <c r="I599" s="37" t="n">
        <v>120.58902</v>
      </c>
      <c r="J599" s="8" t="inlineStr">
        <is>
          <t>R</t>
        </is>
      </c>
      <c r="K599" s="36" t="inlineStr">
        <is>
          <t>Class 1-3 / Urban</t>
        </is>
      </c>
      <c r="L599" s="18" t="n">
        <v>1960</v>
      </c>
      <c r="M599" s="20" t="n">
        <v>4.58</v>
      </c>
      <c r="N599" s="18">
        <f>ROUND(L599/M599, 0)</f>
        <v/>
      </c>
      <c r="O599" s="18">
        <f>ROUND(N599*'Methodology &amp; Assumptions'!$B$8, 0)</f>
        <v/>
      </c>
      <c r="P599" s="8" t="inlineStr">
        <is>
          <t>Band n50 (1.5 GHz, 60 MHz)</t>
        </is>
      </c>
      <c r="Q599" s="38">
        <f>ROUNDUP(O599/'Methodology &amp; Assumptions'!$B$9, 0)</f>
        <v/>
      </c>
      <c r="R599" s="39" t="n">
        <v>1</v>
      </c>
      <c r="S599" s="21" t="n">
        <v>0.59</v>
      </c>
      <c r="T599" s="21" t="n">
        <v>0.24</v>
      </c>
      <c r="U599" s="36" t="inlineStr">
        <is>
          <t>Tier 1A (Direct Coloc, &lt;1 km)</t>
        </is>
      </c>
      <c r="V599" s="20" t="n">
        <v>92.2</v>
      </c>
      <c r="W599" s="20" t="n">
        <v>54.1</v>
      </c>
      <c r="X599" s="20" t="n">
        <v>58</v>
      </c>
      <c r="Y599" s="40">
        <f>ROUND((V599*'Methodology &amp; Assumptions'!$B$6)+(W599*'Methodology &amp; Assumptions'!$B$5)+(X599*'Methodology &amp; Assumptions'!$B$7), 2)</f>
        <v/>
      </c>
    </row>
    <row r="600" ht="19" customHeight="1">
      <c r="A600" s="41" t="n">
        <v>596</v>
      </c>
      <c r="B600" s="41" t="n">
        <v>2596</v>
      </c>
      <c r="C600" s="42" t="inlineStr">
        <is>
          <t>1004311002</t>
        </is>
      </c>
      <c r="D600" s="42" t="inlineStr">
        <is>
          <t>Region X (Northern Mindanao)</t>
        </is>
      </c>
      <c r="E600" s="42" t="inlineStr">
        <is>
          <t>Misamis Oriental</t>
        </is>
      </c>
      <c r="F600" s="42" t="inlineStr">
        <is>
          <t>Jasaan</t>
        </is>
      </c>
      <c r="G600" s="42" t="inlineStr">
        <is>
          <t>Bobontugan</t>
        </is>
      </c>
      <c r="H600" s="43" t="n">
        <v>8.656665</v>
      </c>
      <c r="I600" s="43" t="n">
        <v>124.743321</v>
      </c>
      <c r="J600" s="44" t="inlineStr">
        <is>
          <t>U</t>
        </is>
      </c>
      <c r="K600" s="42" t="inlineStr">
        <is>
          <t>Class 1-3 / Urban</t>
        </is>
      </c>
      <c r="L600" s="23" t="n">
        <v>6849</v>
      </c>
      <c r="M600" s="24" t="n">
        <v>4.54</v>
      </c>
      <c r="N600" s="23">
        <f>ROUND(L600/M600, 0)</f>
        <v/>
      </c>
      <c r="O600" s="23">
        <f>ROUND(N600*'Methodology &amp; Assumptions'!$B$8, 0)</f>
        <v/>
      </c>
      <c r="P600" s="44" t="inlineStr">
        <is>
          <t>Band n50 (1.5 GHz, 60 MHz)</t>
        </is>
      </c>
      <c r="Q600" s="38">
        <f>ROUNDUP(O600/'Methodology &amp; Assumptions'!$B$9, 0)</f>
        <v/>
      </c>
      <c r="R600" s="39" t="n">
        <v>1</v>
      </c>
      <c r="S600" s="25" t="n">
        <v>1.43</v>
      </c>
      <c r="T600" s="25" t="n">
        <v>0.28</v>
      </c>
      <c r="U600" s="42" t="inlineStr">
        <is>
          <t>Tier 1B (Micro Drop, 1-3 km)</t>
        </is>
      </c>
      <c r="V600" s="24" t="n">
        <v>72.09999999999999</v>
      </c>
      <c r="W600" s="24" t="n">
        <v>100</v>
      </c>
      <c r="X600" s="24" t="n">
        <v>28</v>
      </c>
      <c r="Y600" s="45">
        <f>ROUND((V600*'Methodology &amp; Assumptions'!$B$6)+(W600*'Methodology &amp; Assumptions'!$B$5)+(X600*'Methodology &amp; Assumptions'!$B$7), 2)</f>
        <v/>
      </c>
    </row>
    <row r="601" ht="19" customHeight="1">
      <c r="A601" s="35" t="n">
        <v>597</v>
      </c>
      <c r="B601" s="35" t="n">
        <v>2597</v>
      </c>
      <c r="C601" s="36" t="inlineStr">
        <is>
          <t>0403410014</t>
        </is>
      </c>
      <c r="D601" s="36" t="inlineStr">
        <is>
          <t>Region IV-A (CALABARZON)</t>
        </is>
      </c>
      <c r="E601" s="36" t="inlineStr">
        <is>
          <t>Laguna</t>
        </is>
      </c>
      <c r="F601" s="36" t="inlineStr">
        <is>
          <t>Liliw</t>
        </is>
      </c>
      <c r="G601" s="36" t="inlineStr">
        <is>
          <t>Ibabang San Roque</t>
        </is>
      </c>
      <c r="H601" s="37" t="n">
        <v>14.13352</v>
      </c>
      <c r="I601" s="37" t="n">
        <v>121.445897</v>
      </c>
      <c r="J601" s="8" t="inlineStr">
        <is>
          <t>R</t>
        </is>
      </c>
      <c r="K601" s="36" t="inlineStr">
        <is>
          <t>3rd</t>
        </is>
      </c>
      <c r="L601" s="18" t="n">
        <v>2091</v>
      </c>
      <c r="M601" s="20" t="n">
        <v>3.93</v>
      </c>
      <c r="N601" s="18">
        <f>ROUND(L601/M601, 0)</f>
        <v/>
      </c>
      <c r="O601" s="18">
        <f>ROUND(N601*'Methodology &amp; Assumptions'!$B$8, 0)</f>
        <v/>
      </c>
      <c r="P601" s="8" t="inlineStr">
        <is>
          <t>Band n50 (1.5 GHz, 60 MHz)</t>
        </is>
      </c>
      <c r="Q601" s="38">
        <f>ROUNDUP(O601/'Methodology &amp; Assumptions'!$B$9, 0)</f>
        <v/>
      </c>
      <c r="R601" s="39" t="n">
        <v>1</v>
      </c>
      <c r="S601" s="21" t="n">
        <v>1.08</v>
      </c>
      <c r="T601" s="21" t="n">
        <v>0.06</v>
      </c>
      <c r="U601" s="36" t="inlineStr">
        <is>
          <t>Tier 1B (Micro Drop, 1-3 km)</t>
        </is>
      </c>
      <c r="V601" s="20" t="n">
        <v>79.7</v>
      </c>
      <c r="W601" s="20" t="n">
        <v>66.7</v>
      </c>
      <c r="X601" s="20" t="n">
        <v>58</v>
      </c>
      <c r="Y601" s="40">
        <f>ROUND((V601*'Methodology &amp; Assumptions'!$B$6)+(W601*'Methodology &amp; Assumptions'!$B$5)+(X601*'Methodology &amp; Assumptions'!$B$7), 2)</f>
        <v/>
      </c>
    </row>
    <row r="602" ht="19" customHeight="1">
      <c r="A602" s="41" t="n">
        <v>598</v>
      </c>
      <c r="B602" s="41" t="n">
        <v>2598</v>
      </c>
      <c r="C602" s="42" t="inlineStr">
        <is>
          <t>1230800037</t>
        </is>
      </c>
      <c r="D602" s="42" t="inlineStr">
        <is>
          <t>Region XII (SOCCSKSARGEN)</t>
        </is>
      </c>
      <c r="E602" s="42" t="inlineStr">
        <is>
          <t>South Cotabato</t>
        </is>
      </c>
      <c r="F602" s="42" t="inlineStr">
        <is>
          <t>City of General Santos</t>
        </is>
      </c>
      <c r="G602" s="42" t="inlineStr">
        <is>
          <t>Dadiangas West</t>
        </is>
      </c>
      <c r="H602" s="43" t="n">
        <v>6.11116</v>
      </c>
      <c r="I602" s="43" t="n">
        <v>125.171067</v>
      </c>
      <c r="J602" s="44" t="inlineStr">
        <is>
          <t>U</t>
        </is>
      </c>
      <c r="K602" s="42" t="inlineStr">
        <is>
          <t>Class 1-3 / Urban</t>
        </is>
      </c>
      <c r="L602" s="23" t="n">
        <v>13090</v>
      </c>
      <c r="M602" s="24" t="n">
        <v>4.1</v>
      </c>
      <c r="N602" s="23">
        <f>ROUND(L602/M602, 0)</f>
        <v/>
      </c>
      <c r="O602" s="23">
        <f>ROUND(N602*'Methodology &amp; Assumptions'!$B$8, 0)</f>
        <v/>
      </c>
      <c r="P602" s="44" t="inlineStr">
        <is>
          <t>Band n50 (1.5 GHz, 60 MHz)</t>
        </is>
      </c>
      <c r="Q602" s="38">
        <f>ROUNDUP(O602/'Methodology &amp; Assumptions'!$B$9, 0)</f>
        <v/>
      </c>
      <c r="R602" s="39" t="n">
        <v>1</v>
      </c>
      <c r="S602" s="25" t="n">
        <v>1.43</v>
      </c>
      <c r="T602" s="25" t="n">
        <v>0.87</v>
      </c>
      <c r="U602" s="42" t="inlineStr">
        <is>
          <t>Tier 1B (Micro Drop, 1-3 km)</t>
        </is>
      </c>
      <c r="V602" s="24" t="n">
        <v>72</v>
      </c>
      <c r="W602" s="24" t="n">
        <v>100</v>
      </c>
      <c r="X602" s="24" t="n">
        <v>28</v>
      </c>
      <c r="Y602" s="45">
        <f>ROUND((V602*'Methodology &amp; Assumptions'!$B$6)+(W602*'Methodology &amp; Assumptions'!$B$5)+(X602*'Methodology &amp; Assumptions'!$B$7), 2)</f>
        <v/>
      </c>
    </row>
    <row r="603" ht="19" customHeight="1">
      <c r="A603" s="35" t="n">
        <v>599</v>
      </c>
      <c r="B603" s="35" t="n">
        <v>2599</v>
      </c>
      <c r="C603" s="36" t="inlineStr">
        <is>
          <t>0731300013</t>
        </is>
      </c>
      <c r="D603" s="36" t="inlineStr">
        <is>
          <t>Region VII (Central Visayas)</t>
        </is>
      </c>
      <c r="E603" s="36" t="inlineStr">
        <is>
          <t>Cebu</t>
        </is>
      </c>
      <c r="F603" s="36" t="inlineStr">
        <is>
          <t>City of Mandaue</t>
        </is>
      </c>
      <c r="G603" s="36" t="inlineStr">
        <is>
          <t>Ibabao-Estancia</t>
        </is>
      </c>
      <c r="H603" s="37" t="n">
        <v>10.335108</v>
      </c>
      <c r="I603" s="37" t="n">
        <v>123.944332</v>
      </c>
      <c r="J603" s="8" t="inlineStr">
        <is>
          <t>U</t>
        </is>
      </c>
      <c r="K603" s="36" t="inlineStr">
        <is>
          <t>Class 1-3 / Urban</t>
        </is>
      </c>
      <c r="L603" s="18" t="n">
        <v>6994</v>
      </c>
      <c r="M603" s="20" t="n">
        <v>4.42</v>
      </c>
      <c r="N603" s="18">
        <f>ROUND(L603/M603, 0)</f>
        <v/>
      </c>
      <c r="O603" s="18">
        <f>ROUND(N603*'Methodology &amp; Assumptions'!$B$8, 0)</f>
        <v/>
      </c>
      <c r="P603" s="8" t="inlineStr">
        <is>
          <t>Band n50 (1.5 GHz, 60 MHz)</t>
        </is>
      </c>
      <c r="Q603" s="38">
        <f>ROUNDUP(O603/'Methodology &amp; Assumptions'!$B$9, 0)</f>
        <v/>
      </c>
      <c r="R603" s="39" t="n">
        <v>1</v>
      </c>
      <c r="S603" s="21" t="n">
        <v>1.43</v>
      </c>
      <c r="T603" s="21" t="n">
        <v>0.39</v>
      </c>
      <c r="U603" s="36" t="inlineStr">
        <is>
          <t>Tier 1B (Micro Drop, 1-3 km)</t>
        </is>
      </c>
      <c r="V603" s="20" t="n">
        <v>72.09999999999999</v>
      </c>
      <c r="W603" s="20" t="n">
        <v>100</v>
      </c>
      <c r="X603" s="20" t="n">
        <v>28</v>
      </c>
      <c r="Y603" s="40">
        <f>ROUND((V603*'Methodology &amp; Assumptions'!$B$6)+(W603*'Methodology &amp; Assumptions'!$B$5)+(X603*'Methodology &amp; Assumptions'!$B$7), 2)</f>
        <v/>
      </c>
    </row>
    <row r="604" ht="19" customHeight="1">
      <c r="A604" s="41" t="n">
        <v>600</v>
      </c>
      <c r="B604" s="41" t="n">
        <v>2600</v>
      </c>
      <c r="C604" s="42" t="inlineStr">
        <is>
          <t>0205704017</t>
        </is>
      </c>
      <c r="D604" s="42" t="inlineStr">
        <is>
          <t>Region II (Cagayan Valley)</t>
        </is>
      </c>
      <c r="E604" s="42" t="inlineStr">
        <is>
          <t>Quirino</t>
        </is>
      </c>
      <c r="F604" s="42" t="inlineStr">
        <is>
          <t>Maddela</t>
        </is>
      </c>
      <c r="G604" s="42" t="inlineStr">
        <is>
          <t>Poblacion Norte</t>
        </is>
      </c>
      <c r="H604" s="43" t="n">
        <v>16.342772</v>
      </c>
      <c r="I604" s="43" t="n">
        <v>121.68279</v>
      </c>
      <c r="J604" s="44" t="inlineStr">
        <is>
          <t>U</t>
        </is>
      </c>
      <c r="K604" s="42" t="inlineStr">
        <is>
          <t>Class 1-3 / Urban</t>
        </is>
      </c>
      <c r="L604" s="23" t="n">
        <v>3007</v>
      </c>
      <c r="M604" s="24" t="n">
        <v>4.03</v>
      </c>
      <c r="N604" s="23">
        <f>ROUND(L604/M604, 0)</f>
        <v/>
      </c>
      <c r="O604" s="23">
        <f>ROUND(N604*'Methodology &amp; Assumptions'!$B$8, 0)</f>
        <v/>
      </c>
      <c r="P604" s="44" t="inlineStr">
        <is>
          <t>Band n50 (1.5 GHz, 60 MHz)</t>
        </is>
      </c>
      <c r="Q604" s="38">
        <f>ROUNDUP(O604/'Methodology &amp; Assumptions'!$B$9, 0)</f>
        <v/>
      </c>
      <c r="R604" s="39" t="n">
        <v>1</v>
      </c>
      <c r="S604" s="25" t="n">
        <v>0.73</v>
      </c>
      <c r="T604" s="25" t="n">
        <v>0.16</v>
      </c>
      <c r="U604" s="42" t="inlineStr">
        <is>
          <t>Tier 1A (Direct Coloc, &lt;1 km)</t>
        </is>
      </c>
      <c r="V604" s="24" t="n">
        <v>88.3</v>
      </c>
      <c r="W604" s="24" t="n">
        <v>83.7</v>
      </c>
      <c r="X604" s="24" t="n">
        <v>28</v>
      </c>
      <c r="Y604" s="45">
        <f>ROUND((V604*'Methodology &amp; Assumptions'!$B$6)+(W604*'Methodology &amp; Assumptions'!$B$5)+(X604*'Methodology &amp; Assumptions'!$B$7), 2)</f>
        <v/>
      </c>
    </row>
    <row r="605" ht="19" customHeight="1">
      <c r="A605" s="35" t="n">
        <v>601</v>
      </c>
      <c r="B605" s="35" t="n">
        <v>2601</v>
      </c>
      <c r="C605" s="36" t="inlineStr">
        <is>
          <t>0501709005</t>
        </is>
      </c>
      <c r="D605" s="36" t="inlineStr">
        <is>
          <t>Region V (Bicol Region)</t>
        </is>
      </c>
      <c r="E605" s="36" t="inlineStr">
        <is>
          <t>Camarines Sur</t>
        </is>
      </c>
      <c r="F605" s="36" t="inlineStr">
        <is>
          <t>Camaligan</t>
        </is>
      </c>
      <c r="G605" s="36" t="inlineStr">
        <is>
          <t>San Juan-San Ramon</t>
        </is>
      </c>
      <c r="H605" s="37" t="n">
        <v>13.622978</v>
      </c>
      <c r="I605" s="37" t="n">
        <v>123.169332</v>
      </c>
      <c r="J605" s="8" t="inlineStr">
        <is>
          <t>R</t>
        </is>
      </c>
      <c r="K605" s="36" t="inlineStr">
        <is>
          <t>4th</t>
        </is>
      </c>
      <c r="L605" s="18" t="n">
        <v>1067</v>
      </c>
      <c r="M605" s="20" t="n">
        <v>4.97</v>
      </c>
      <c r="N605" s="18">
        <f>ROUND(L605/M605, 0)</f>
        <v/>
      </c>
      <c r="O605" s="18">
        <f>ROUND(N605*'Methodology &amp; Assumptions'!$B$8, 0)</f>
        <v/>
      </c>
      <c r="P605" s="8" t="inlineStr">
        <is>
          <t>Band n50 (1.5 GHz, 60 MHz)</t>
        </is>
      </c>
      <c r="Q605" s="38">
        <f>ROUNDUP(O605/'Methodology &amp; Assumptions'!$B$9, 0)</f>
        <v/>
      </c>
      <c r="R605" s="39" t="n">
        <v>1</v>
      </c>
      <c r="S605" s="21" t="n">
        <v>0.44</v>
      </c>
      <c r="T605" s="21" t="n">
        <v>1.86</v>
      </c>
      <c r="U605" s="36" t="inlineStr">
        <is>
          <t>Tier 1A (Direct Coloc, &lt;1 km)</t>
        </is>
      </c>
      <c r="V605" s="20" t="n">
        <v>96.2</v>
      </c>
      <c r="W605" s="20" t="n">
        <v>41.1</v>
      </c>
      <c r="X605" s="20" t="n">
        <v>68.5</v>
      </c>
      <c r="Y605" s="40">
        <f>ROUND((V605*'Methodology &amp; Assumptions'!$B$6)+(W605*'Methodology &amp; Assumptions'!$B$5)+(X605*'Methodology &amp; Assumptions'!$B$7), 2)</f>
        <v/>
      </c>
    </row>
    <row r="606" ht="19" customHeight="1">
      <c r="A606" s="41" t="n">
        <v>602</v>
      </c>
      <c r="B606" s="41" t="n">
        <v>2602</v>
      </c>
      <c r="C606" s="42" t="inlineStr">
        <is>
          <t>0402106040</t>
        </is>
      </c>
      <c r="D606" s="42" t="inlineStr">
        <is>
          <t>Region IV-A (CALABARZON)</t>
        </is>
      </c>
      <c r="E606" s="42" t="inlineStr">
        <is>
          <t>Cavite</t>
        </is>
      </c>
      <c r="F606" s="42" t="inlineStr">
        <is>
          <t>City of Dasmariñas</t>
        </is>
      </c>
      <c r="G606" s="42" t="inlineStr">
        <is>
          <t>Santa Cristina I</t>
        </is>
      </c>
      <c r="H606" s="43" t="n">
        <v>14.324228</v>
      </c>
      <c r="I606" s="43" t="n">
        <v>120.969322</v>
      </c>
      <c r="J606" s="44" t="inlineStr">
        <is>
          <t>R</t>
        </is>
      </c>
      <c r="K606" s="42" t="inlineStr">
        <is>
          <t>Class 1-3 / Urban</t>
        </is>
      </c>
      <c r="L606" s="23" t="n">
        <v>3307</v>
      </c>
      <c r="M606" s="24" t="n">
        <v>4.49</v>
      </c>
      <c r="N606" s="23">
        <f>ROUND(L606/M606, 0)</f>
        <v/>
      </c>
      <c r="O606" s="23">
        <f>ROUND(N606*'Methodology &amp; Assumptions'!$B$8, 0)</f>
        <v/>
      </c>
      <c r="P606" s="44" t="inlineStr">
        <is>
          <t>Band n50 (1.5 GHz, 60 MHz)</t>
        </is>
      </c>
      <c r="Q606" s="38">
        <f>ROUNDUP(O606/'Methodology &amp; Assumptions'!$B$9, 0)</f>
        <v/>
      </c>
      <c r="R606" s="39" t="n">
        <v>1</v>
      </c>
      <c r="S606" s="25" t="n">
        <v>1.37</v>
      </c>
      <c r="T606" s="25" t="n">
        <v>2.99</v>
      </c>
      <c r="U606" s="42" t="inlineStr">
        <is>
          <t>Tier 1B (Micro Drop, 1-3 km)</t>
        </is>
      </c>
      <c r="V606" s="24" t="n">
        <v>63.4</v>
      </c>
      <c r="W606" s="24" t="n">
        <v>82.90000000000001</v>
      </c>
      <c r="X606" s="24" t="n">
        <v>58</v>
      </c>
      <c r="Y606" s="45">
        <f>ROUND((V606*'Methodology &amp; Assumptions'!$B$6)+(W606*'Methodology &amp; Assumptions'!$B$5)+(X606*'Methodology &amp; Assumptions'!$B$7), 2)</f>
        <v/>
      </c>
    </row>
    <row r="607" ht="19" customHeight="1">
      <c r="A607" s="35" t="n">
        <v>603</v>
      </c>
      <c r="B607" s="35" t="n">
        <v>2603</v>
      </c>
      <c r="C607" s="36" t="inlineStr">
        <is>
          <t>0402103042</t>
        </is>
      </c>
      <c r="D607" s="36" t="inlineStr">
        <is>
          <t>Region IV-A (CALABARZON)</t>
        </is>
      </c>
      <c r="E607" s="36" t="inlineStr">
        <is>
          <t>Cavite</t>
        </is>
      </c>
      <c r="F607" s="36" t="inlineStr">
        <is>
          <t>City of Bacoor</t>
        </is>
      </c>
      <c r="G607" s="36" t="inlineStr">
        <is>
          <t>Mambog III</t>
        </is>
      </c>
      <c r="H607" s="37" t="n">
        <v>14.436707</v>
      </c>
      <c r="I607" s="37" t="n">
        <v>120.961346</v>
      </c>
      <c r="J607" s="8" t="inlineStr">
        <is>
          <t>U</t>
        </is>
      </c>
      <c r="K607" s="36" t="inlineStr">
        <is>
          <t>Class 1-3 / Urban</t>
        </is>
      </c>
      <c r="L607" s="18" t="n">
        <v>21445</v>
      </c>
      <c r="M607" s="20" t="n">
        <v>4.49</v>
      </c>
      <c r="N607" s="18">
        <f>ROUND(L607/M607, 0)</f>
        <v/>
      </c>
      <c r="O607" s="18">
        <f>ROUND(N607*'Methodology &amp; Assumptions'!$B$8, 0)</f>
        <v/>
      </c>
      <c r="P607" s="8" t="inlineStr">
        <is>
          <t>Band n50 (1.5 GHz, 60 MHz)</t>
        </is>
      </c>
      <c r="Q607" s="38">
        <f>ROUNDUP(O607/'Methodology &amp; Assumptions'!$B$9, 0)</f>
        <v/>
      </c>
      <c r="R607" s="39" t="n">
        <v>1</v>
      </c>
      <c r="S607" s="21" t="n">
        <v>1.43</v>
      </c>
      <c r="T607" s="21" t="n">
        <v>1.32</v>
      </c>
      <c r="U607" s="36" t="inlineStr">
        <is>
          <t>Tier 1B (Micro Drop, 1-3 km)</t>
        </is>
      </c>
      <c r="V607" s="20" t="n">
        <v>72</v>
      </c>
      <c r="W607" s="20" t="n">
        <v>100</v>
      </c>
      <c r="X607" s="20" t="n">
        <v>28</v>
      </c>
      <c r="Y607" s="40">
        <f>ROUND((V607*'Methodology &amp; Assumptions'!$B$6)+(W607*'Methodology &amp; Assumptions'!$B$5)+(X607*'Methodology &amp; Assumptions'!$B$7), 2)</f>
        <v/>
      </c>
    </row>
    <row r="608" ht="19" customHeight="1">
      <c r="A608" s="41" t="n">
        <v>604</v>
      </c>
      <c r="B608" s="41" t="n">
        <v>2604</v>
      </c>
      <c r="C608" s="42" t="inlineStr">
        <is>
          <t>0402103020</t>
        </is>
      </c>
      <c r="D608" s="42" t="inlineStr">
        <is>
          <t>Region IV-A (CALABARZON)</t>
        </is>
      </c>
      <c r="E608" s="42" t="inlineStr">
        <is>
          <t>Cavite</t>
        </is>
      </c>
      <c r="F608" s="42" t="inlineStr">
        <is>
          <t>City of Bacoor</t>
        </is>
      </c>
      <c r="G608" s="42" t="inlineStr">
        <is>
          <t>Salinas I</t>
        </is>
      </c>
      <c r="H608" s="43" t="n">
        <v>14.436707</v>
      </c>
      <c r="I608" s="43" t="n">
        <v>120.961346</v>
      </c>
      <c r="J608" s="44" t="inlineStr">
        <is>
          <t>U</t>
        </is>
      </c>
      <c r="K608" s="42" t="inlineStr">
        <is>
          <t>Class 1-3 / Urban</t>
        </is>
      </c>
      <c r="L608" s="23" t="n">
        <v>19658</v>
      </c>
      <c r="M608" s="24" t="n">
        <v>4.49</v>
      </c>
      <c r="N608" s="23">
        <f>ROUND(L608/M608, 0)</f>
        <v/>
      </c>
      <c r="O608" s="23">
        <f>ROUND(N608*'Methodology &amp; Assumptions'!$B$8, 0)</f>
        <v/>
      </c>
      <c r="P608" s="44" t="inlineStr">
        <is>
          <t>Band n50 (1.5 GHz, 60 MHz)</t>
        </is>
      </c>
      <c r="Q608" s="38">
        <f>ROUNDUP(O608/'Methodology &amp; Assumptions'!$B$9, 0)</f>
        <v/>
      </c>
      <c r="R608" s="39" t="n">
        <v>1</v>
      </c>
      <c r="S608" s="25" t="n">
        <v>1.43</v>
      </c>
      <c r="T608" s="25" t="n">
        <v>1.32</v>
      </c>
      <c r="U608" s="42" t="inlineStr">
        <is>
          <t>Tier 1B (Micro Drop, 1-3 km)</t>
        </is>
      </c>
      <c r="V608" s="24" t="n">
        <v>72</v>
      </c>
      <c r="W608" s="24" t="n">
        <v>100</v>
      </c>
      <c r="X608" s="24" t="n">
        <v>28</v>
      </c>
      <c r="Y608" s="45">
        <f>ROUND((V608*'Methodology &amp; Assumptions'!$B$6)+(W608*'Methodology &amp; Assumptions'!$B$5)+(X608*'Methodology &amp; Assumptions'!$B$7), 2)</f>
        <v/>
      </c>
    </row>
    <row r="609" ht="19" customHeight="1">
      <c r="A609" s="35" t="n">
        <v>605</v>
      </c>
      <c r="B609" s="35" t="n">
        <v>2605</v>
      </c>
      <c r="C609" s="36" t="inlineStr">
        <is>
          <t>0402103075</t>
        </is>
      </c>
      <c r="D609" s="36" t="inlineStr">
        <is>
          <t>Region IV-A (CALABARZON)</t>
        </is>
      </c>
      <c r="E609" s="36" t="inlineStr">
        <is>
          <t>Cavite</t>
        </is>
      </c>
      <c r="F609" s="36" t="inlineStr">
        <is>
          <t>City of Bacoor</t>
        </is>
      </c>
      <c r="G609" s="36" t="inlineStr">
        <is>
          <t>Zapote V</t>
        </is>
      </c>
      <c r="H609" s="37" t="n">
        <v>14.436707</v>
      </c>
      <c r="I609" s="37" t="n">
        <v>120.961346</v>
      </c>
      <c r="J609" s="8" t="inlineStr">
        <is>
          <t>U</t>
        </is>
      </c>
      <c r="K609" s="36" t="inlineStr">
        <is>
          <t>Class 1-3 / Urban</t>
        </is>
      </c>
      <c r="L609" s="18" t="n">
        <v>19117</v>
      </c>
      <c r="M609" s="20" t="n">
        <v>4.49</v>
      </c>
      <c r="N609" s="18">
        <f>ROUND(L609/M609, 0)</f>
        <v/>
      </c>
      <c r="O609" s="18">
        <f>ROUND(N609*'Methodology &amp; Assumptions'!$B$8, 0)</f>
        <v/>
      </c>
      <c r="P609" s="8" t="inlineStr">
        <is>
          <t>Band n50 (1.5 GHz, 60 MHz)</t>
        </is>
      </c>
      <c r="Q609" s="38">
        <f>ROUNDUP(O609/'Methodology &amp; Assumptions'!$B$9, 0)</f>
        <v/>
      </c>
      <c r="R609" s="39" t="n">
        <v>1</v>
      </c>
      <c r="S609" s="21" t="n">
        <v>1.43</v>
      </c>
      <c r="T609" s="21" t="n">
        <v>1.32</v>
      </c>
      <c r="U609" s="36" t="inlineStr">
        <is>
          <t>Tier 1B (Micro Drop, 1-3 km)</t>
        </is>
      </c>
      <c r="V609" s="20" t="n">
        <v>72</v>
      </c>
      <c r="W609" s="20" t="n">
        <v>100</v>
      </c>
      <c r="X609" s="20" t="n">
        <v>28</v>
      </c>
      <c r="Y609" s="40">
        <f>ROUND((V609*'Methodology &amp; Assumptions'!$B$6)+(W609*'Methodology &amp; Assumptions'!$B$5)+(X609*'Methodology &amp; Assumptions'!$B$7), 2)</f>
        <v/>
      </c>
    </row>
    <row r="610" ht="19" customHeight="1">
      <c r="A610" s="41" t="n">
        <v>606</v>
      </c>
      <c r="B610" s="41" t="n">
        <v>2606</v>
      </c>
      <c r="C610" s="42" t="inlineStr">
        <is>
          <t>0402103066</t>
        </is>
      </c>
      <c r="D610" s="42" t="inlineStr">
        <is>
          <t>Region IV-A (CALABARZON)</t>
        </is>
      </c>
      <c r="E610" s="42" t="inlineStr">
        <is>
          <t>Cavite</t>
        </is>
      </c>
      <c r="F610" s="42" t="inlineStr">
        <is>
          <t>City of Bacoor</t>
        </is>
      </c>
      <c r="G610" s="42" t="inlineStr">
        <is>
          <t>Talaba II</t>
        </is>
      </c>
      <c r="H610" s="43" t="n">
        <v>14.436707</v>
      </c>
      <c r="I610" s="43" t="n">
        <v>120.961346</v>
      </c>
      <c r="J610" s="44" t="inlineStr">
        <is>
          <t>U</t>
        </is>
      </c>
      <c r="K610" s="42" t="inlineStr">
        <is>
          <t>Class 1-3 / Urban</t>
        </is>
      </c>
      <c r="L610" s="23" t="n">
        <v>14623</v>
      </c>
      <c r="M610" s="24" t="n">
        <v>4.49</v>
      </c>
      <c r="N610" s="23">
        <f>ROUND(L610/M610, 0)</f>
        <v/>
      </c>
      <c r="O610" s="23">
        <f>ROUND(N610*'Methodology &amp; Assumptions'!$B$8, 0)</f>
        <v/>
      </c>
      <c r="P610" s="44" t="inlineStr">
        <is>
          <t>Band n50 (1.5 GHz, 60 MHz)</t>
        </is>
      </c>
      <c r="Q610" s="38">
        <f>ROUNDUP(O610/'Methodology &amp; Assumptions'!$B$9, 0)</f>
        <v/>
      </c>
      <c r="R610" s="39" t="n">
        <v>1</v>
      </c>
      <c r="S610" s="25" t="n">
        <v>1.43</v>
      </c>
      <c r="T610" s="25" t="n">
        <v>1.32</v>
      </c>
      <c r="U610" s="42" t="inlineStr">
        <is>
          <t>Tier 1B (Micro Drop, 1-3 km)</t>
        </is>
      </c>
      <c r="V610" s="24" t="n">
        <v>72</v>
      </c>
      <c r="W610" s="24" t="n">
        <v>100</v>
      </c>
      <c r="X610" s="24" t="n">
        <v>28</v>
      </c>
      <c r="Y610" s="45">
        <f>ROUND((V610*'Methodology &amp; Assumptions'!$B$6)+(W610*'Methodology &amp; Assumptions'!$B$5)+(X610*'Methodology &amp; Assumptions'!$B$7), 2)</f>
        <v/>
      </c>
    </row>
    <row r="611" ht="19" customHeight="1">
      <c r="A611" s="35" t="n">
        <v>607</v>
      </c>
      <c r="B611" s="35" t="n">
        <v>2607</v>
      </c>
      <c r="C611" s="36" t="inlineStr">
        <is>
          <t>0402103043</t>
        </is>
      </c>
      <c r="D611" s="36" t="inlineStr">
        <is>
          <t>Region IV-A (CALABARZON)</t>
        </is>
      </c>
      <c r="E611" s="36" t="inlineStr">
        <is>
          <t>Cavite</t>
        </is>
      </c>
      <c r="F611" s="36" t="inlineStr">
        <is>
          <t>City of Bacoor</t>
        </is>
      </c>
      <c r="G611" s="36" t="inlineStr">
        <is>
          <t>Mambog IV</t>
        </is>
      </c>
      <c r="H611" s="37" t="n">
        <v>14.436707</v>
      </c>
      <c r="I611" s="37" t="n">
        <v>120.961346</v>
      </c>
      <c r="J611" s="8" t="inlineStr">
        <is>
          <t>U</t>
        </is>
      </c>
      <c r="K611" s="36" t="inlineStr">
        <is>
          <t>Class 1-3 / Urban</t>
        </is>
      </c>
      <c r="L611" s="18" t="n">
        <v>13868</v>
      </c>
      <c r="M611" s="20" t="n">
        <v>4.49</v>
      </c>
      <c r="N611" s="18">
        <f>ROUND(L611/M611, 0)</f>
        <v/>
      </c>
      <c r="O611" s="18">
        <f>ROUND(N611*'Methodology &amp; Assumptions'!$B$8, 0)</f>
        <v/>
      </c>
      <c r="P611" s="8" t="inlineStr">
        <is>
          <t>Band n50 (1.5 GHz, 60 MHz)</t>
        </is>
      </c>
      <c r="Q611" s="38">
        <f>ROUNDUP(O611/'Methodology &amp; Assumptions'!$B$9, 0)</f>
        <v/>
      </c>
      <c r="R611" s="39" t="n">
        <v>1</v>
      </c>
      <c r="S611" s="21" t="n">
        <v>1.43</v>
      </c>
      <c r="T611" s="21" t="n">
        <v>1.32</v>
      </c>
      <c r="U611" s="36" t="inlineStr">
        <is>
          <t>Tier 1B (Micro Drop, 1-3 km)</t>
        </is>
      </c>
      <c r="V611" s="20" t="n">
        <v>72</v>
      </c>
      <c r="W611" s="20" t="n">
        <v>100</v>
      </c>
      <c r="X611" s="20" t="n">
        <v>28</v>
      </c>
      <c r="Y611" s="40">
        <f>ROUND((V611*'Methodology &amp; Assumptions'!$B$6)+(W611*'Methodology &amp; Assumptions'!$B$5)+(X611*'Methodology &amp; Assumptions'!$B$7), 2)</f>
        <v/>
      </c>
    </row>
    <row r="612" ht="19" customHeight="1">
      <c r="A612" s="41" t="n">
        <v>608</v>
      </c>
      <c r="B612" s="41" t="n">
        <v>2608</v>
      </c>
      <c r="C612" s="42" t="inlineStr">
        <is>
          <t>0402103013</t>
        </is>
      </c>
      <c r="D612" s="42" t="inlineStr">
        <is>
          <t>Region IV-A (CALABARZON)</t>
        </is>
      </c>
      <c r="E612" s="42" t="inlineStr">
        <is>
          <t>Cavite</t>
        </is>
      </c>
      <c r="F612" s="42" t="inlineStr">
        <is>
          <t>City of Bacoor</t>
        </is>
      </c>
      <c r="G612" s="42" t="inlineStr">
        <is>
          <t>Mambog I</t>
        </is>
      </c>
      <c r="H612" s="43" t="n">
        <v>14.436707</v>
      </c>
      <c r="I612" s="43" t="n">
        <v>120.961346</v>
      </c>
      <c r="J612" s="44" t="inlineStr">
        <is>
          <t>U</t>
        </is>
      </c>
      <c r="K612" s="42" t="inlineStr">
        <is>
          <t>Class 1-3 / Urban</t>
        </is>
      </c>
      <c r="L612" s="23" t="n">
        <v>12330</v>
      </c>
      <c r="M612" s="24" t="n">
        <v>4.49</v>
      </c>
      <c r="N612" s="23">
        <f>ROUND(L612/M612, 0)</f>
        <v/>
      </c>
      <c r="O612" s="23">
        <f>ROUND(N612*'Methodology &amp; Assumptions'!$B$8, 0)</f>
        <v/>
      </c>
      <c r="P612" s="44" t="inlineStr">
        <is>
          <t>Band n50 (1.5 GHz, 60 MHz)</t>
        </is>
      </c>
      <c r="Q612" s="38">
        <f>ROUNDUP(O612/'Methodology &amp; Assumptions'!$B$9, 0)</f>
        <v/>
      </c>
      <c r="R612" s="39" t="n">
        <v>1</v>
      </c>
      <c r="S612" s="25" t="n">
        <v>1.43</v>
      </c>
      <c r="T612" s="25" t="n">
        <v>1.32</v>
      </c>
      <c r="U612" s="42" t="inlineStr">
        <is>
          <t>Tier 1B (Micro Drop, 1-3 km)</t>
        </is>
      </c>
      <c r="V612" s="24" t="n">
        <v>72</v>
      </c>
      <c r="W612" s="24" t="n">
        <v>100</v>
      </c>
      <c r="X612" s="24" t="n">
        <v>28</v>
      </c>
      <c r="Y612" s="45">
        <f>ROUND((V612*'Methodology &amp; Assumptions'!$B$6)+(W612*'Methodology &amp; Assumptions'!$B$5)+(X612*'Methodology &amp; Assumptions'!$B$7), 2)</f>
        <v/>
      </c>
    </row>
    <row r="613" ht="19" customHeight="1">
      <c r="A613" s="35" t="n">
        <v>609</v>
      </c>
      <c r="B613" s="35" t="n">
        <v>2609</v>
      </c>
      <c r="C613" s="36" t="inlineStr">
        <is>
          <t>0402103055</t>
        </is>
      </c>
      <c r="D613" s="36" t="inlineStr">
        <is>
          <t>Region IV-A (CALABARZON)</t>
        </is>
      </c>
      <c r="E613" s="36" t="inlineStr">
        <is>
          <t>Cavite</t>
        </is>
      </c>
      <c r="F613" s="36" t="inlineStr">
        <is>
          <t>City of Bacoor</t>
        </is>
      </c>
      <c r="G613" s="36" t="inlineStr">
        <is>
          <t>P.F. Espiritu IV</t>
        </is>
      </c>
      <c r="H613" s="37" t="n">
        <v>14.436707</v>
      </c>
      <c r="I613" s="37" t="n">
        <v>120.961346</v>
      </c>
      <c r="J613" s="8" t="inlineStr">
        <is>
          <t>U</t>
        </is>
      </c>
      <c r="K613" s="36" t="inlineStr">
        <is>
          <t>Class 1-3 / Urban</t>
        </is>
      </c>
      <c r="L613" s="18" t="n">
        <v>11694</v>
      </c>
      <c r="M613" s="20" t="n">
        <v>4.49</v>
      </c>
      <c r="N613" s="18">
        <f>ROUND(L613/M613, 0)</f>
        <v/>
      </c>
      <c r="O613" s="18">
        <f>ROUND(N613*'Methodology &amp; Assumptions'!$B$8, 0)</f>
        <v/>
      </c>
      <c r="P613" s="8" t="inlineStr">
        <is>
          <t>Band n50 (1.5 GHz, 60 MHz)</t>
        </is>
      </c>
      <c r="Q613" s="38">
        <f>ROUNDUP(O613/'Methodology &amp; Assumptions'!$B$9, 0)</f>
        <v/>
      </c>
      <c r="R613" s="39" t="n">
        <v>1</v>
      </c>
      <c r="S613" s="21" t="n">
        <v>1.43</v>
      </c>
      <c r="T613" s="21" t="n">
        <v>1.32</v>
      </c>
      <c r="U613" s="36" t="inlineStr">
        <is>
          <t>Tier 1B (Micro Drop, 1-3 km)</t>
        </is>
      </c>
      <c r="V613" s="20" t="n">
        <v>72</v>
      </c>
      <c r="W613" s="20" t="n">
        <v>100</v>
      </c>
      <c r="X613" s="20" t="n">
        <v>28</v>
      </c>
      <c r="Y613" s="40">
        <f>ROUND((V613*'Methodology &amp; Assumptions'!$B$6)+(W613*'Methodology &amp; Assumptions'!$B$5)+(X613*'Methodology &amp; Assumptions'!$B$7), 2)</f>
        <v/>
      </c>
    </row>
    <row r="614" ht="19" customHeight="1">
      <c r="A614" s="41" t="n">
        <v>610</v>
      </c>
      <c r="B614" s="41" t="n">
        <v>2610</v>
      </c>
      <c r="C614" s="42" t="inlineStr">
        <is>
          <t>0402103036</t>
        </is>
      </c>
      <c r="D614" s="42" t="inlineStr">
        <is>
          <t>Region IV-A (CALABARZON)</t>
        </is>
      </c>
      <c r="E614" s="42" t="inlineStr">
        <is>
          <t>Cavite</t>
        </is>
      </c>
      <c r="F614" s="42" t="inlineStr">
        <is>
          <t>City of Bacoor</t>
        </is>
      </c>
      <c r="G614" s="42" t="inlineStr">
        <is>
          <t>Ligas III</t>
        </is>
      </c>
      <c r="H614" s="43" t="n">
        <v>14.436707</v>
      </c>
      <c r="I614" s="43" t="n">
        <v>120.961346</v>
      </c>
      <c r="J614" s="44" t="inlineStr">
        <is>
          <t>U</t>
        </is>
      </c>
      <c r="K614" s="42" t="inlineStr">
        <is>
          <t>Class 1-3 / Urban</t>
        </is>
      </c>
      <c r="L614" s="23" t="n">
        <v>8219</v>
      </c>
      <c r="M614" s="24" t="n">
        <v>4.49</v>
      </c>
      <c r="N614" s="23">
        <f>ROUND(L614/M614, 0)</f>
        <v/>
      </c>
      <c r="O614" s="23">
        <f>ROUND(N614*'Methodology &amp; Assumptions'!$B$8, 0)</f>
        <v/>
      </c>
      <c r="P614" s="44" t="inlineStr">
        <is>
          <t>Band n50 (1.5 GHz, 60 MHz)</t>
        </is>
      </c>
      <c r="Q614" s="38">
        <f>ROUNDUP(O614/'Methodology &amp; Assumptions'!$B$9, 0)</f>
        <v/>
      </c>
      <c r="R614" s="39" t="n">
        <v>1</v>
      </c>
      <c r="S614" s="25" t="n">
        <v>1.43</v>
      </c>
      <c r="T614" s="25" t="n">
        <v>1.32</v>
      </c>
      <c r="U614" s="42" t="inlineStr">
        <is>
          <t>Tier 1B (Micro Drop, 1-3 km)</t>
        </is>
      </c>
      <c r="V614" s="24" t="n">
        <v>72</v>
      </c>
      <c r="W614" s="24" t="n">
        <v>100</v>
      </c>
      <c r="X614" s="24" t="n">
        <v>28</v>
      </c>
      <c r="Y614" s="45">
        <f>ROUND((V614*'Methodology &amp; Assumptions'!$B$6)+(W614*'Methodology &amp; Assumptions'!$B$5)+(X614*'Methodology &amp; Assumptions'!$B$7), 2)</f>
        <v/>
      </c>
    </row>
    <row r="615" ht="19" customHeight="1">
      <c r="A615" s="35" t="n">
        <v>611</v>
      </c>
      <c r="B615" s="35" t="n">
        <v>2611</v>
      </c>
      <c r="C615" s="36" t="inlineStr">
        <is>
          <t>0402103059</t>
        </is>
      </c>
      <c r="D615" s="36" t="inlineStr">
        <is>
          <t>Region IV-A (CALABARZON)</t>
        </is>
      </c>
      <c r="E615" s="36" t="inlineStr">
        <is>
          <t>Cavite</t>
        </is>
      </c>
      <c r="F615" s="36" t="inlineStr">
        <is>
          <t>City of Bacoor</t>
        </is>
      </c>
      <c r="G615" s="36" t="inlineStr">
        <is>
          <t>P.F. Espiritu VIII</t>
        </is>
      </c>
      <c r="H615" s="37" t="n">
        <v>14.436707</v>
      </c>
      <c r="I615" s="37" t="n">
        <v>120.961346</v>
      </c>
      <c r="J615" s="8" t="inlineStr">
        <is>
          <t>U</t>
        </is>
      </c>
      <c r="K615" s="36" t="inlineStr">
        <is>
          <t>Class 1-3 / Urban</t>
        </is>
      </c>
      <c r="L615" s="18" t="n">
        <v>7876</v>
      </c>
      <c r="M615" s="20" t="n">
        <v>4.49</v>
      </c>
      <c r="N615" s="18">
        <f>ROUND(L615/M615, 0)</f>
        <v/>
      </c>
      <c r="O615" s="18">
        <f>ROUND(N615*'Methodology &amp; Assumptions'!$B$8, 0)</f>
        <v/>
      </c>
      <c r="P615" s="8" t="inlineStr">
        <is>
          <t>Band n50 (1.5 GHz, 60 MHz)</t>
        </is>
      </c>
      <c r="Q615" s="38">
        <f>ROUNDUP(O615/'Methodology &amp; Assumptions'!$B$9, 0)</f>
        <v/>
      </c>
      <c r="R615" s="39" t="n">
        <v>1</v>
      </c>
      <c r="S615" s="21" t="n">
        <v>1.43</v>
      </c>
      <c r="T615" s="21" t="n">
        <v>1.32</v>
      </c>
      <c r="U615" s="36" t="inlineStr">
        <is>
          <t>Tier 1B (Micro Drop, 1-3 km)</t>
        </is>
      </c>
      <c r="V615" s="20" t="n">
        <v>72</v>
      </c>
      <c r="W615" s="20" t="n">
        <v>100</v>
      </c>
      <c r="X615" s="20" t="n">
        <v>28</v>
      </c>
      <c r="Y615" s="40">
        <f>ROUND((V615*'Methodology &amp; Assumptions'!$B$6)+(W615*'Methodology &amp; Assumptions'!$B$5)+(X615*'Methodology &amp; Assumptions'!$B$7), 2)</f>
        <v/>
      </c>
    </row>
    <row r="616" ht="19" customHeight="1">
      <c r="A616" s="41" t="n">
        <v>612</v>
      </c>
      <c r="B616" s="41" t="n">
        <v>2612</v>
      </c>
      <c r="C616" s="42" t="inlineStr">
        <is>
          <t>0402103041</t>
        </is>
      </c>
      <c r="D616" s="42" t="inlineStr">
        <is>
          <t>Region IV-A (CALABARZON)</t>
        </is>
      </c>
      <c r="E616" s="42" t="inlineStr">
        <is>
          <t>Cavite</t>
        </is>
      </c>
      <c r="F616" s="42" t="inlineStr">
        <is>
          <t>City of Bacoor</t>
        </is>
      </c>
      <c r="G616" s="42" t="inlineStr">
        <is>
          <t>Mambog II</t>
        </is>
      </c>
      <c r="H616" s="43" t="n">
        <v>14.436707</v>
      </c>
      <c r="I616" s="43" t="n">
        <v>120.961346</v>
      </c>
      <c r="J616" s="44" t="inlineStr">
        <is>
          <t>U</t>
        </is>
      </c>
      <c r="K616" s="42" t="inlineStr">
        <is>
          <t>Class 1-3 / Urban</t>
        </is>
      </c>
      <c r="L616" s="23" t="n">
        <v>7129</v>
      </c>
      <c r="M616" s="24" t="n">
        <v>4.49</v>
      </c>
      <c r="N616" s="23">
        <f>ROUND(L616/M616, 0)</f>
        <v/>
      </c>
      <c r="O616" s="23">
        <f>ROUND(N616*'Methodology &amp; Assumptions'!$B$8, 0)</f>
        <v/>
      </c>
      <c r="P616" s="44" t="inlineStr">
        <is>
          <t>Band n50 (1.5 GHz, 60 MHz)</t>
        </is>
      </c>
      <c r="Q616" s="38">
        <f>ROUNDUP(O616/'Methodology &amp; Assumptions'!$B$9, 0)</f>
        <v/>
      </c>
      <c r="R616" s="39" t="n">
        <v>1</v>
      </c>
      <c r="S616" s="25" t="n">
        <v>1.43</v>
      </c>
      <c r="T616" s="25" t="n">
        <v>1.32</v>
      </c>
      <c r="U616" s="42" t="inlineStr">
        <is>
          <t>Tier 1B (Micro Drop, 1-3 km)</t>
        </is>
      </c>
      <c r="V616" s="24" t="n">
        <v>72</v>
      </c>
      <c r="W616" s="24" t="n">
        <v>100</v>
      </c>
      <c r="X616" s="24" t="n">
        <v>28</v>
      </c>
      <c r="Y616" s="45">
        <f>ROUND((V616*'Methodology &amp; Assumptions'!$B$6)+(W616*'Methodology &amp; Assumptions'!$B$5)+(X616*'Methodology &amp; Assumptions'!$B$7), 2)</f>
        <v/>
      </c>
    </row>
    <row r="617" ht="19" customHeight="1">
      <c r="A617" s="35" t="n">
        <v>613</v>
      </c>
      <c r="B617" s="35" t="n">
        <v>2613</v>
      </c>
      <c r="C617" s="36" t="inlineStr">
        <is>
          <t>0402103051</t>
        </is>
      </c>
      <c r="D617" s="36" t="inlineStr">
        <is>
          <t>Region IV-A (CALABARZON)</t>
        </is>
      </c>
      <c r="E617" s="36" t="inlineStr">
        <is>
          <t>Cavite</t>
        </is>
      </c>
      <c r="F617" s="36" t="inlineStr">
        <is>
          <t>City of Bacoor</t>
        </is>
      </c>
      <c r="G617" s="36" t="inlineStr">
        <is>
          <t>Niog II</t>
        </is>
      </c>
      <c r="H617" s="37" t="n">
        <v>14.436707</v>
      </c>
      <c r="I617" s="37" t="n">
        <v>120.961346</v>
      </c>
      <c r="J617" s="8" t="inlineStr">
        <is>
          <t>U</t>
        </is>
      </c>
      <c r="K617" s="36" t="inlineStr">
        <is>
          <t>Class 1-3 / Urban</t>
        </is>
      </c>
      <c r="L617" s="18" t="n">
        <v>7007</v>
      </c>
      <c r="M617" s="20" t="n">
        <v>4.49</v>
      </c>
      <c r="N617" s="18">
        <f>ROUND(L617/M617, 0)</f>
        <v/>
      </c>
      <c r="O617" s="18">
        <f>ROUND(N617*'Methodology &amp; Assumptions'!$B$8, 0)</f>
        <v/>
      </c>
      <c r="P617" s="8" t="inlineStr">
        <is>
          <t>Band n50 (1.5 GHz, 60 MHz)</t>
        </is>
      </c>
      <c r="Q617" s="38">
        <f>ROUNDUP(O617/'Methodology &amp; Assumptions'!$B$9, 0)</f>
        <v/>
      </c>
      <c r="R617" s="39" t="n">
        <v>1</v>
      </c>
      <c r="S617" s="21" t="n">
        <v>1.43</v>
      </c>
      <c r="T617" s="21" t="n">
        <v>1.32</v>
      </c>
      <c r="U617" s="36" t="inlineStr">
        <is>
          <t>Tier 1B (Micro Drop, 1-3 km)</t>
        </is>
      </c>
      <c r="V617" s="20" t="n">
        <v>72</v>
      </c>
      <c r="W617" s="20" t="n">
        <v>100</v>
      </c>
      <c r="X617" s="20" t="n">
        <v>28</v>
      </c>
      <c r="Y617" s="40">
        <f>ROUND((V617*'Methodology &amp; Assumptions'!$B$6)+(W617*'Methodology &amp; Assumptions'!$B$5)+(X617*'Methodology &amp; Assumptions'!$B$7), 2)</f>
        <v/>
      </c>
    </row>
    <row r="618" ht="19" customHeight="1">
      <c r="A618" s="41" t="n">
        <v>614</v>
      </c>
      <c r="B618" s="41" t="n">
        <v>2614</v>
      </c>
      <c r="C618" s="42" t="inlineStr">
        <is>
          <t>0402103040</t>
        </is>
      </c>
      <c r="D618" s="42" t="inlineStr">
        <is>
          <t>Region IV-A (CALABARZON)</t>
        </is>
      </c>
      <c r="E618" s="42" t="inlineStr">
        <is>
          <t>Cavite</t>
        </is>
      </c>
      <c r="F618" s="42" t="inlineStr">
        <is>
          <t>City of Bacoor</t>
        </is>
      </c>
      <c r="G618" s="42" t="inlineStr">
        <is>
          <t>Maliksi III</t>
        </is>
      </c>
      <c r="H618" s="43" t="n">
        <v>14.436707</v>
      </c>
      <c r="I618" s="43" t="n">
        <v>120.961346</v>
      </c>
      <c r="J618" s="44" t="inlineStr">
        <is>
          <t>U</t>
        </is>
      </c>
      <c r="K618" s="42" t="inlineStr">
        <is>
          <t>Class 1-3 / Urban</t>
        </is>
      </c>
      <c r="L618" s="23" t="n">
        <v>6117</v>
      </c>
      <c r="M618" s="24" t="n">
        <v>4.49</v>
      </c>
      <c r="N618" s="23">
        <f>ROUND(L618/M618, 0)</f>
        <v/>
      </c>
      <c r="O618" s="23">
        <f>ROUND(N618*'Methodology &amp; Assumptions'!$B$8, 0)</f>
        <v/>
      </c>
      <c r="P618" s="44" t="inlineStr">
        <is>
          <t>Band n50 (1.5 GHz, 60 MHz)</t>
        </is>
      </c>
      <c r="Q618" s="38">
        <f>ROUNDUP(O618/'Methodology &amp; Assumptions'!$B$9, 0)</f>
        <v/>
      </c>
      <c r="R618" s="39" t="n">
        <v>1</v>
      </c>
      <c r="S618" s="25" t="n">
        <v>1.43</v>
      </c>
      <c r="T618" s="25" t="n">
        <v>1.32</v>
      </c>
      <c r="U618" s="42" t="inlineStr">
        <is>
          <t>Tier 1B (Micro Drop, 1-3 km)</t>
        </is>
      </c>
      <c r="V618" s="24" t="n">
        <v>72</v>
      </c>
      <c r="W618" s="24" t="n">
        <v>100</v>
      </c>
      <c r="X618" s="24" t="n">
        <v>28</v>
      </c>
      <c r="Y618" s="45">
        <f>ROUND((V618*'Methodology &amp; Assumptions'!$B$6)+(W618*'Methodology &amp; Assumptions'!$B$5)+(X618*'Methodology &amp; Assumptions'!$B$7), 2)</f>
        <v/>
      </c>
    </row>
    <row r="619" ht="19" customHeight="1">
      <c r="A619" s="35" t="n">
        <v>615</v>
      </c>
      <c r="B619" s="35" t="n">
        <v>2615</v>
      </c>
      <c r="C619" s="36" t="inlineStr">
        <is>
          <t>0402103025</t>
        </is>
      </c>
      <c r="D619" s="36" t="inlineStr">
        <is>
          <t>Region IV-A (CALABARZON)</t>
        </is>
      </c>
      <c r="E619" s="36" t="inlineStr">
        <is>
          <t>Cavite</t>
        </is>
      </c>
      <c r="F619" s="36" t="inlineStr">
        <is>
          <t>City of Bacoor</t>
        </is>
      </c>
      <c r="G619" s="36" t="inlineStr">
        <is>
          <t>Zapote I</t>
        </is>
      </c>
      <c r="H619" s="37" t="n">
        <v>14.436707</v>
      </c>
      <c r="I619" s="37" t="n">
        <v>120.961346</v>
      </c>
      <c r="J619" s="8" t="inlineStr">
        <is>
          <t>U</t>
        </is>
      </c>
      <c r="K619" s="36" t="inlineStr">
        <is>
          <t>Class 1-3 / Urban</t>
        </is>
      </c>
      <c r="L619" s="18" t="n">
        <v>5846</v>
      </c>
      <c r="M619" s="20" t="n">
        <v>4.49</v>
      </c>
      <c r="N619" s="18">
        <f>ROUND(L619/M619, 0)</f>
        <v/>
      </c>
      <c r="O619" s="18">
        <f>ROUND(N619*'Methodology &amp; Assumptions'!$B$8, 0)</f>
        <v/>
      </c>
      <c r="P619" s="8" t="inlineStr">
        <is>
          <t>Band n50 (1.5 GHz, 60 MHz)</t>
        </is>
      </c>
      <c r="Q619" s="38">
        <f>ROUNDUP(O619/'Methodology &amp; Assumptions'!$B$9, 0)</f>
        <v/>
      </c>
      <c r="R619" s="39" t="n">
        <v>1</v>
      </c>
      <c r="S619" s="21" t="n">
        <v>1.43</v>
      </c>
      <c r="T619" s="21" t="n">
        <v>1.32</v>
      </c>
      <c r="U619" s="36" t="inlineStr">
        <is>
          <t>Tier 1B (Micro Drop, 1-3 km)</t>
        </is>
      </c>
      <c r="V619" s="20" t="n">
        <v>72</v>
      </c>
      <c r="W619" s="20" t="n">
        <v>100</v>
      </c>
      <c r="X619" s="20" t="n">
        <v>28</v>
      </c>
      <c r="Y619" s="40">
        <f>ROUND((V619*'Methodology &amp; Assumptions'!$B$6)+(W619*'Methodology &amp; Assumptions'!$B$5)+(X619*'Methodology &amp; Assumptions'!$B$7), 2)</f>
        <v/>
      </c>
    </row>
    <row r="620" ht="19" customHeight="1">
      <c r="A620" s="41" t="n">
        <v>616</v>
      </c>
      <c r="B620" s="41" t="n">
        <v>2616</v>
      </c>
      <c r="C620" s="42" t="inlineStr">
        <is>
          <t>0402103061</t>
        </is>
      </c>
      <c r="D620" s="42" t="inlineStr">
        <is>
          <t>Region IV-A (CALABARZON)</t>
        </is>
      </c>
      <c r="E620" s="42" t="inlineStr">
        <is>
          <t>Cavite</t>
        </is>
      </c>
      <c r="F620" s="42" t="inlineStr">
        <is>
          <t>City of Bacoor</t>
        </is>
      </c>
      <c r="G620" s="42" t="inlineStr">
        <is>
          <t>Salinas II</t>
        </is>
      </c>
      <c r="H620" s="43" t="n">
        <v>14.436707</v>
      </c>
      <c r="I620" s="43" t="n">
        <v>120.961346</v>
      </c>
      <c r="J620" s="44" t="inlineStr">
        <is>
          <t>U</t>
        </is>
      </c>
      <c r="K620" s="42" t="inlineStr">
        <is>
          <t>Class 1-3 / Urban</t>
        </is>
      </c>
      <c r="L620" s="23" t="n">
        <v>5777</v>
      </c>
      <c r="M620" s="24" t="n">
        <v>4.49</v>
      </c>
      <c r="N620" s="23">
        <f>ROUND(L620/M620, 0)</f>
        <v/>
      </c>
      <c r="O620" s="23">
        <f>ROUND(N620*'Methodology &amp; Assumptions'!$B$8, 0)</f>
        <v/>
      </c>
      <c r="P620" s="44" t="inlineStr">
        <is>
          <t>Band n50 (1.5 GHz, 60 MHz)</t>
        </is>
      </c>
      <c r="Q620" s="38">
        <f>ROUNDUP(O620/'Methodology &amp; Assumptions'!$B$9, 0)</f>
        <v/>
      </c>
      <c r="R620" s="39" t="n">
        <v>1</v>
      </c>
      <c r="S620" s="25" t="n">
        <v>1.43</v>
      </c>
      <c r="T620" s="25" t="n">
        <v>1.32</v>
      </c>
      <c r="U620" s="42" t="inlineStr">
        <is>
          <t>Tier 1B (Micro Drop, 1-3 km)</t>
        </is>
      </c>
      <c r="V620" s="24" t="n">
        <v>72</v>
      </c>
      <c r="W620" s="24" t="n">
        <v>100</v>
      </c>
      <c r="X620" s="24" t="n">
        <v>28</v>
      </c>
      <c r="Y620" s="45">
        <f>ROUND((V620*'Methodology &amp; Assumptions'!$B$6)+(W620*'Methodology &amp; Assumptions'!$B$5)+(X620*'Methodology &amp; Assumptions'!$B$7), 2)</f>
        <v/>
      </c>
    </row>
    <row r="621" ht="19" customHeight="1">
      <c r="A621" s="35" t="n">
        <v>617</v>
      </c>
      <c r="B621" s="35" t="n">
        <v>2617</v>
      </c>
      <c r="C621" s="36" t="inlineStr">
        <is>
          <t>0402103056</t>
        </is>
      </c>
      <c r="D621" s="36" t="inlineStr">
        <is>
          <t>Region IV-A (CALABARZON)</t>
        </is>
      </c>
      <c r="E621" s="36" t="inlineStr">
        <is>
          <t>Cavite</t>
        </is>
      </c>
      <c r="F621" s="36" t="inlineStr">
        <is>
          <t>City of Bacoor</t>
        </is>
      </c>
      <c r="G621" s="36" t="inlineStr">
        <is>
          <t>P.F. Espiritu V</t>
        </is>
      </c>
      <c r="H621" s="37" t="n">
        <v>14.436707</v>
      </c>
      <c r="I621" s="37" t="n">
        <v>120.961346</v>
      </c>
      <c r="J621" s="8" t="inlineStr">
        <is>
          <t>U</t>
        </is>
      </c>
      <c r="K621" s="36" t="inlineStr">
        <is>
          <t>Class 1-3 / Urban</t>
        </is>
      </c>
      <c r="L621" s="18" t="n">
        <v>5640</v>
      </c>
      <c r="M621" s="20" t="n">
        <v>4.49</v>
      </c>
      <c r="N621" s="18">
        <f>ROUND(L621/M621, 0)</f>
        <v/>
      </c>
      <c r="O621" s="18">
        <f>ROUND(N621*'Methodology &amp; Assumptions'!$B$8, 0)</f>
        <v/>
      </c>
      <c r="P621" s="8" t="inlineStr">
        <is>
          <t>Band n50 (1.5 GHz, 60 MHz)</t>
        </is>
      </c>
      <c r="Q621" s="38">
        <f>ROUNDUP(O621/'Methodology &amp; Assumptions'!$B$9, 0)</f>
        <v/>
      </c>
      <c r="R621" s="39" t="n">
        <v>1</v>
      </c>
      <c r="S621" s="21" t="n">
        <v>1.43</v>
      </c>
      <c r="T621" s="21" t="n">
        <v>1.32</v>
      </c>
      <c r="U621" s="36" t="inlineStr">
        <is>
          <t>Tier 1B (Micro Drop, 1-3 km)</t>
        </is>
      </c>
      <c r="V621" s="20" t="n">
        <v>72</v>
      </c>
      <c r="W621" s="20" t="n">
        <v>100</v>
      </c>
      <c r="X621" s="20" t="n">
        <v>28</v>
      </c>
      <c r="Y621" s="40">
        <f>ROUND((V621*'Methodology &amp; Assumptions'!$B$6)+(W621*'Methodology &amp; Assumptions'!$B$5)+(X621*'Methodology &amp; Assumptions'!$B$7), 2)</f>
        <v/>
      </c>
    </row>
    <row r="622" ht="19" customHeight="1">
      <c r="A622" s="41" t="n">
        <v>618</v>
      </c>
      <c r="B622" s="41" t="n">
        <v>2618</v>
      </c>
      <c r="C622" s="42" t="inlineStr">
        <is>
          <t>0402103001</t>
        </is>
      </c>
      <c r="D622" s="42" t="inlineStr">
        <is>
          <t>Region IV-A (CALABARZON)</t>
        </is>
      </c>
      <c r="E622" s="42" t="inlineStr">
        <is>
          <t>Cavite</t>
        </is>
      </c>
      <c r="F622" s="42" t="inlineStr">
        <is>
          <t>City of Bacoor</t>
        </is>
      </c>
      <c r="G622" s="42" t="inlineStr">
        <is>
          <t>Alima</t>
        </is>
      </c>
      <c r="H622" s="43" t="n">
        <v>14.436707</v>
      </c>
      <c r="I622" s="43" t="n">
        <v>120.961346</v>
      </c>
      <c r="J622" s="44" t="inlineStr">
        <is>
          <t>U</t>
        </is>
      </c>
      <c r="K622" s="42" t="inlineStr">
        <is>
          <t>Class 1-3 / Urban</t>
        </is>
      </c>
      <c r="L622" s="23" t="n">
        <v>5639</v>
      </c>
      <c r="M622" s="24" t="n">
        <v>4.49</v>
      </c>
      <c r="N622" s="23">
        <f>ROUND(L622/M622, 0)</f>
        <v/>
      </c>
      <c r="O622" s="23">
        <f>ROUND(N622*'Methodology &amp; Assumptions'!$B$8, 0)</f>
        <v/>
      </c>
      <c r="P622" s="44" t="inlineStr">
        <is>
          <t>Band n50 (1.5 GHz, 60 MHz)</t>
        </is>
      </c>
      <c r="Q622" s="38">
        <f>ROUNDUP(O622/'Methodology &amp; Assumptions'!$B$9, 0)</f>
        <v/>
      </c>
      <c r="R622" s="39" t="n">
        <v>1</v>
      </c>
      <c r="S622" s="25" t="n">
        <v>1.43</v>
      </c>
      <c r="T622" s="25" t="n">
        <v>1.32</v>
      </c>
      <c r="U622" s="42" t="inlineStr">
        <is>
          <t>Tier 1B (Micro Drop, 1-3 km)</t>
        </is>
      </c>
      <c r="V622" s="24" t="n">
        <v>72</v>
      </c>
      <c r="W622" s="24" t="n">
        <v>100</v>
      </c>
      <c r="X622" s="24" t="n">
        <v>28</v>
      </c>
      <c r="Y622" s="45">
        <f>ROUND((V622*'Methodology &amp; Assumptions'!$B$6)+(W622*'Methodology &amp; Assumptions'!$B$5)+(X622*'Methodology &amp; Assumptions'!$B$7), 2)</f>
        <v/>
      </c>
    </row>
    <row r="623" ht="19" customHeight="1">
      <c r="A623" s="35" t="n">
        <v>619</v>
      </c>
      <c r="B623" s="35" t="n">
        <v>2619</v>
      </c>
      <c r="C623" s="36" t="inlineStr">
        <is>
          <t>0402103022</t>
        </is>
      </c>
      <c r="D623" s="36" t="inlineStr">
        <is>
          <t>Region IV-A (CALABARZON)</t>
        </is>
      </c>
      <c r="E623" s="36" t="inlineStr">
        <is>
          <t>Cavite</t>
        </is>
      </c>
      <c r="F623" s="36" t="inlineStr">
        <is>
          <t>City of Bacoor</t>
        </is>
      </c>
      <c r="G623" s="36" t="inlineStr">
        <is>
          <t>Sineguelasan</t>
        </is>
      </c>
      <c r="H623" s="37" t="n">
        <v>14.436707</v>
      </c>
      <c r="I623" s="37" t="n">
        <v>120.961346</v>
      </c>
      <c r="J623" s="8" t="inlineStr">
        <is>
          <t>U</t>
        </is>
      </c>
      <c r="K623" s="36" t="inlineStr">
        <is>
          <t>Class 1-3 / Urban</t>
        </is>
      </c>
      <c r="L623" s="18" t="n">
        <v>5561</v>
      </c>
      <c r="M623" s="20" t="n">
        <v>4.49</v>
      </c>
      <c r="N623" s="18">
        <f>ROUND(L623/M623, 0)</f>
        <v/>
      </c>
      <c r="O623" s="18">
        <f>ROUND(N623*'Methodology &amp; Assumptions'!$B$8, 0)</f>
        <v/>
      </c>
      <c r="P623" s="8" t="inlineStr">
        <is>
          <t>Band n50 (1.5 GHz, 60 MHz)</t>
        </is>
      </c>
      <c r="Q623" s="38">
        <f>ROUNDUP(O623/'Methodology &amp; Assumptions'!$B$9, 0)</f>
        <v/>
      </c>
      <c r="R623" s="39" t="n">
        <v>1</v>
      </c>
      <c r="S623" s="21" t="n">
        <v>1.43</v>
      </c>
      <c r="T623" s="21" t="n">
        <v>1.32</v>
      </c>
      <c r="U623" s="36" t="inlineStr">
        <is>
          <t>Tier 1B (Micro Drop, 1-3 km)</t>
        </is>
      </c>
      <c r="V623" s="20" t="n">
        <v>72</v>
      </c>
      <c r="W623" s="20" t="n">
        <v>100</v>
      </c>
      <c r="X623" s="20" t="n">
        <v>28</v>
      </c>
      <c r="Y623" s="40">
        <f>ROUND((V623*'Methodology &amp; Assumptions'!$B$6)+(W623*'Methodology &amp; Assumptions'!$B$5)+(X623*'Methodology &amp; Assumptions'!$B$7), 2)</f>
        <v/>
      </c>
    </row>
    <row r="624" ht="19" customHeight="1">
      <c r="A624" s="41" t="n">
        <v>620</v>
      </c>
      <c r="B624" s="41" t="n">
        <v>2620</v>
      </c>
      <c r="C624" s="42" t="inlineStr">
        <is>
          <t>0402103019</t>
        </is>
      </c>
      <c r="D624" s="42" t="inlineStr">
        <is>
          <t>Region IV-A (CALABARZON)</t>
        </is>
      </c>
      <c r="E624" s="42" t="inlineStr">
        <is>
          <t>Cavite</t>
        </is>
      </c>
      <c r="F624" s="42" t="inlineStr">
        <is>
          <t>City of Bacoor</t>
        </is>
      </c>
      <c r="G624" s="42" t="inlineStr">
        <is>
          <t>Real I</t>
        </is>
      </c>
      <c r="H624" s="43" t="n">
        <v>14.436707</v>
      </c>
      <c r="I624" s="43" t="n">
        <v>120.961346</v>
      </c>
      <c r="J624" s="44" t="inlineStr">
        <is>
          <t>U</t>
        </is>
      </c>
      <c r="K624" s="42" t="inlineStr">
        <is>
          <t>Class 1-3 / Urban</t>
        </is>
      </c>
      <c r="L624" s="23" t="n">
        <v>5282</v>
      </c>
      <c r="M624" s="24" t="n">
        <v>4.49</v>
      </c>
      <c r="N624" s="23">
        <f>ROUND(L624/M624, 0)</f>
        <v/>
      </c>
      <c r="O624" s="23">
        <f>ROUND(N624*'Methodology &amp; Assumptions'!$B$8, 0)</f>
        <v/>
      </c>
      <c r="P624" s="44" t="inlineStr">
        <is>
          <t>Band n50 (1.5 GHz, 60 MHz)</t>
        </is>
      </c>
      <c r="Q624" s="38">
        <f>ROUNDUP(O624/'Methodology &amp; Assumptions'!$B$9, 0)</f>
        <v/>
      </c>
      <c r="R624" s="39" t="n">
        <v>1</v>
      </c>
      <c r="S624" s="25" t="n">
        <v>1.43</v>
      </c>
      <c r="T624" s="25" t="n">
        <v>1.32</v>
      </c>
      <c r="U624" s="42" t="inlineStr">
        <is>
          <t>Tier 1B (Micro Drop, 1-3 km)</t>
        </is>
      </c>
      <c r="V624" s="24" t="n">
        <v>72</v>
      </c>
      <c r="W624" s="24" t="n">
        <v>100</v>
      </c>
      <c r="X624" s="24" t="n">
        <v>28</v>
      </c>
      <c r="Y624" s="45">
        <f>ROUND((V624*'Methodology &amp; Assumptions'!$B$6)+(W624*'Methodology &amp; Assumptions'!$B$5)+(X624*'Methodology &amp; Assumptions'!$B$7), 2)</f>
        <v/>
      </c>
    </row>
    <row r="625" ht="19" customHeight="1">
      <c r="A625" s="35" t="n">
        <v>621</v>
      </c>
      <c r="B625" s="35" t="n">
        <v>2621</v>
      </c>
      <c r="C625" s="36" t="inlineStr">
        <is>
          <t>0402103012</t>
        </is>
      </c>
      <c r="D625" s="36" t="inlineStr">
        <is>
          <t>Region IV-A (CALABARZON)</t>
        </is>
      </c>
      <c r="E625" s="36" t="inlineStr">
        <is>
          <t>Cavite</t>
        </is>
      </c>
      <c r="F625" s="36" t="inlineStr">
        <is>
          <t>City of Bacoor</t>
        </is>
      </c>
      <c r="G625" s="36" t="inlineStr">
        <is>
          <t>Maliksi I</t>
        </is>
      </c>
      <c r="H625" s="37" t="n">
        <v>14.436707</v>
      </c>
      <c r="I625" s="37" t="n">
        <v>120.961346</v>
      </c>
      <c r="J625" s="8" t="inlineStr">
        <is>
          <t>U</t>
        </is>
      </c>
      <c r="K625" s="36" t="inlineStr">
        <is>
          <t>Class 1-3 / Urban</t>
        </is>
      </c>
      <c r="L625" s="18" t="n">
        <v>5273</v>
      </c>
      <c r="M625" s="20" t="n">
        <v>4.49</v>
      </c>
      <c r="N625" s="18">
        <f>ROUND(L625/M625, 0)</f>
        <v/>
      </c>
      <c r="O625" s="18">
        <f>ROUND(N625*'Methodology &amp; Assumptions'!$B$8, 0)</f>
        <v/>
      </c>
      <c r="P625" s="8" t="inlineStr">
        <is>
          <t>Band n50 (1.5 GHz, 60 MHz)</t>
        </is>
      </c>
      <c r="Q625" s="38">
        <f>ROUNDUP(O625/'Methodology &amp; Assumptions'!$B$9, 0)</f>
        <v/>
      </c>
      <c r="R625" s="39" t="n">
        <v>1</v>
      </c>
      <c r="S625" s="21" t="n">
        <v>1.43</v>
      </c>
      <c r="T625" s="21" t="n">
        <v>1.32</v>
      </c>
      <c r="U625" s="36" t="inlineStr">
        <is>
          <t>Tier 1B (Micro Drop, 1-3 km)</t>
        </is>
      </c>
      <c r="V625" s="20" t="n">
        <v>72</v>
      </c>
      <c r="W625" s="20" t="n">
        <v>100</v>
      </c>
      <c r="X625" s="20" t="n">
        <v>28</v>
      </c>
      <c r="Y625" s="40">
        <f>ROUND((V625*'Methodology &amp; Assumptions'!$B$6)+(W625*'Methodology &amp; Assumptions'!$B$5)+(X625*'Methodology &amp; Assumptions'!$B$7), 2)</f>
        <v/>
      </c>
    </row>
    <row r="626" ht="19" customHeight="1">
      <c r="A626" s="41" t="n">
        <v>622</v>
      </c>
      <c r="B626" s="41" t="n">
        <v>2622</v>
      </c>
      <c r="C626" s="42" t="inlineStr">
        <is>
          <t>0402103054</t>
        </is>
      </c>
      <c r="D626" s="42" t="inlineStr">
        <is>
          <t>Region IV-A (CALABARZON)</t>
        </is>
      </c>
      <c r="E626" s="42" t="inlineStr">
        <is>
          <t>Cavite</t>
        </is>
      </c>
      <c r="F626" s="42" t="inlineStr">
        <is>
          <t>City of Bacoor</t>
        </is>
      </c>
      <c r="G626" s="42" t="inlineStr">
        <is>
          <t>P.F. Espiritu III</t>
        </is>
      </c>
      <c r="H626" s="43" t="n">
        <v>14.436707</v>
      </c>
      <c r="I626" s="43" t="n">
        <v>120.961346</v>
      </c>
      <c r="J626" s="44" t="inlineStr">
        <is>
          <t>U</t>
        </is>
      </c>
      <c r="K626" s="42" t="inlineStr">
        <is>
          <t>Class 1-3 / Urban</t>
        </is>
      </c>
      <c r="L626" s="23" t="n">
        <v>5247</v>
      </c>
      <c r="M626" s="24" t="n">
        <v>4.49</v>
      </c>
      <c r="N626" s="23">
        <f>ROUND(L626/M626, 0)</f>
        <v/>
      </c>
      <c r="O626" s="23">
        <f>ROUND(N626*'Methodology &amp; Assumptions'!$B$8, 0)</f>
        <v/>
      </c>
      <c r="P626" s="44" t="inlineStr">
        <is>
          <t>Band n50 (1.5 GHz, 60 MHz)</t>
        </is>
      </c>
      <c r="Q626" s="38">
        <f>ROUNDUP(O626/'Methodology &amp; Assumptions'!$B$9, 0)</f>
        <v/>
      </c>
      <c r="R626" s="39" t="n">
        <v>1</v>
      </c>
      <c r="S626" s="25" t="n">
        <v>1.43</v>
      </c>
      <c r="T626" s="25" t="n">
        <v>1.32</v>
      </c>
      <c r="U626" s="42" t="inlineStr">
        <is>
          <t>Tier 1B (Micro Drop, 1-3 km)</t>
        </is>
      </c>
      <c r="V626" s="24" t="n">
        <v>72</v>
      </c>
      <c r="W626" s="24" t="n">
        <v>100</v>
      </c>
      <c r="X626" s="24" t="n">
        <v>28</v>
      </c>
      <c r="Y626" s="45">
        <f>ROUND((V626*'Methodology &amp; Assumptions'!$B$6)+(W626*'Methodology &amp; Assumptions'!$B$5)+(X626*'Methodology &amp; Assumptions'!$B$7), 2)</f>
        <v/>
      </c>
    </row>
    <row r="627" ht="19" customHeight="1">
      <c r="A627" s="35" t="n">
        <v>623</v>
      </c>
      <c r="B627" s="35" t="n">
        <v>2623</v>
      </c>
      <c r="C627" s="36" t="inlineStr">
        <is>
          <t>0402103072</t>
        </is>
      </c>
      <c r="D627" s="36" t="inlineStr">
        <is>
          <t>Region IV-A (CALABARZON)</t>
        </is>
      </c>
      <c r="E627" s="36" t="inlineStr">
        <is>
          <t>Cavite</t>
        </is>
      </c>
      <c r="F627" s="36" t="inlineStr">
        <is>
          <t>City of Bacoor</t>
        </is>
      </c>
      <c r="G627" s="36" t="inlineStr">
        <is>
          <t>Zapote II</t>
        </is>
      </c>
      <c r="H627" s="37" t="n">
        <v>14.436707</v>
      </c>
      <c r="I627" s="37" t="n">
        <v>120.961346</v>
      </c>
      <c r="J627" s="8" t="inlineStr">
        <is>
          <t>U</t>
        </is>
      </c>
      <c r="K627" s="36" t="inlineStr">
        <is>
          <t>Class 1-3 / Urban</t>
        </is>
      </c>
      <c r="L627" s="18" t="n">
        <v>5137</v>
      </c>
      <c r="M627" s="20" t="n">
        <v>4.49</v>
      </c>
      <c r="N627" s="18">
        <f>ROUND(L627/M627, 0)</f>
        <v/>
      </c>
      <c r="O627" s="18">
        <f>ROUND(N627*'Methodology &amp; Assumptions'!$B$8, 0)</f>
        <v/>
      </c>
      <c r="P627" s="8" t="inlineStr">
        <is>
          <t>Band n50 (1.5 GHz, 60 MHz)</t>
        </is>
      </c>
      <c r="Q627" s="38">
        <f>ROUNDUP(O627/'Methodology &amp; Assumptions'!$B$9, 0)</f>
        <v/>
      </c>
      <c r="R627" s="39" t="n">
        <v>1</v>
      </c>
      <c r="S627" s="21" t="n">
        <v>1.43</v>
      </c>
      <c r="T627" s="21" t="n">
        <v>1.32</v>
      </c>
      <c r="U627" s="36" t="inlineStr">
        <is>
          <t>Tier 1B (Micro Drop, 1-3 km)</t>
        </is>
      </c>
      <c r="V627" s="20" t="n">
        <v>72</v>
      </c>
      <c r="W627" s="20" t="n">
        <v>100</v>
      </c>
      <c r="X627" s="20" t="n">
        <v>28</v>
      </c>
      <c r="Y627" s="40">
        <f>ROUND((V627*'Methodology &amp; Assumptions'!$B$6)+(W627*'Methodology &amp; Assumptions'!$B$5)+(X627*'Methodology &amp; Assumptions'!$B$7), 2)</f>
        <v/>
      </c>
    </row>
    <row r="628" ht="19" customHeight="1">
      <c r="A628" s="41" t="n">
        <v>624</v>
      </c>
      <c r="B628" s="41" t="n">
        <v>2624</v>
      </c>
      <c r="C628" s="42" t="inlineStr">
        <is>
          <t>0402103015</t>
        </is>
      </c>
      <c r="D628" s="42" t="inlineStr">
        <is>
          <t>Region IV-A (CALABARZON)</t>
        </is>
      </c>
      <c r="E628" s="42" t="inlineStr">
        <is>
          <t>Cavite</t>
        </is>
      </c>
      <c r="F628" s="42" t="inlineStr">
        <is>
          <t>City of Bacoor</t>
        </is>
      </c>
      <c r="G628" s="42" t="inlineStr">
        <is>
          <t>Niog I</t>
        </is>
      </c>
      <c r="H628" s="43" t="n">
        <v>14.436707</v>
      </c>
      <c r="I628" s="43" t="n">
        <v>120.961346</v>
      </c>
      <c r="J628" s="44" t="inlineStr">
        <is>
          <t>U</t>
        </is>
      </c>
      <c r="K628" s="42" t="inlineStr">
        <is>
          <t>Class 1-3 / Urban</t>
        </is>
      </c>
      <c r="L628" s="23" t="n">
        <v>5119</v>
      </c>
      <c r="M628" s="24" t="n">
        <v>4.49</v>
      </c>
      <c r="N628" s="23">
        <f>ROUND(L628/M628, 0)</f>
        <v/>
      </c>
      <c r="O628" s="23">
        <f>ROUND(N628*'Methodology &amp; Assumptions'!$B$8, 0)</f>
        <v/>
      </c>
      <c r="P628" s="44" t="inlineStr">
        <is>
          <t>Band n50 (1.5 GHz, 60 MHz)</t>
        </is>
      </c>
      <c r="Q628" s="38">
        <f>ROUNDUP(O628/'Methodology &amp; Assumptions'!$B$9, 0)</f>
        <v/>
      </c>
      <c r="R628" s="39" t="n">
        <v>1</v>
      </c>
      <c r="S628" s="25" t="n">
        <v>1.43</v>
      </c>
      <c r="T628" s="25" t="n">
        <v>1.32</v>
      </c>
      <c r="U628" s="42" t="inlineStr">
        <is>
          <t>Tier 1B (Micro Drop, 1-3 km)</t>
        </is>
      </c>
      <c r="V628" s="24" t="n">
        <v>72</v>
      </c>
      <c r="W628" s="24" t="n">
        <v>100</v>
      </c>
      <c r="X628" s="24" t="n">
        <v>28</v>
      </c>
      <c r="Y628" s="45">
        <f>ROUND((V628*'Methodology &amp; Assumptions'!$B$6)+(W628*'Methodology &amp; Assumptions'!$B$5)+(X628*'Methodology &amp; Assumptions'!$B$7), 2)</f>
        <v/>
      </c>
    </row>
    <row r="629" ht="19" customHeight="1">
      <c r="A629" s="35" t="n">
        <v>625</v>
      </c>
      <c r="B629" s="35" t="n">
        <v>2625</v>
      </c>
      <c r="C629" s="36" t="inlineStr">
        <is>
          <t>0402103035</t>
        </is>
      </c>
      <c r="D629" s="36" t="inlineStr">
        <is>
          <t>Region IV-A (CALABARZON)</t>
        </is>
      </c>
      <c r="E629" s="36" t="inlineStr">
        <is>
          <t>Cavite</t>
        </is>
      </c>
      <c r="F629" s="36" t="inlineStr">
        <is>
          <t>City of Bacoor</t>
        </is>
      </c>
      <c r="G629" s="36" t="inlineStr">
        <is>
          <t>Ligas II</t>
        </is>
      </c>
      <c r="H629" s="37" t="n">
        <v>14.436707</v>
      </c>
      <c r="I629" s="37" t="n">
        <v>120.961346</v>
      </c>
      <c r="J629" s="8" t="inlineStr">
        <is>
          <t>U</t>
        </is>
      </c>
      <c r="K629" s="36" t="inlineStr">
        <is>
          <t>Class 1-3 / Urban</t>
        </is>
      </c>
      <c r="L629" s="18" t="n">
        <v>5031</v>
      </c>
      <c r="M629" s="20" t="n">
        <v>4.49</v>
      </c>
      <c r="N629" s="18">
        <f>ROUND(L629/M629, 0)</f>
        <v/>
      </c>
      <c r="O629" s="18">
        <f>ROUND(N629*'Methodology &amp; Assumptions'!$B$8, 0)</f>
        <v/>
      </c>
      <c r="P629" s="8" t="inlineStr">
        <is>
          <t>Band n50 (1.5 GHz, 60 MHz)</t>
        </is>
      </c>
      <c r="Q629" s="38">
        <f>ROUNDUP(O629/'Methodology &amp; Assumptions'!$B$9, 0)</f>
        <v/>
      </c>
      <c r="R629" s="39" t="n">
        <v>1</v>
      </c>
      <c r="S629" s="21" t="n">
        <v>1.43</v>
      </c>
      <c r="T629" s="21" t="n">
        <v>1.32</v>
      </c>
      <c r="U629" s="36" t="inlineStr">
        <is>
          <t>Tier 1B (Micro Drop, 1-3 km)</t>
        </is>
      </c>
      <c r="V629" s="20" t="n">
        <v>72</v>
      </c>
      <c r="W629" s="20" t="n">
        <v>100</v>
      </c>
      <c r="X629" s="20" t="n">
        <v>28</v>
      </c>
      <c r="Y629" s="40">
        <f>ROUND((V629*'Methodology &amp; Assumptions'!$B$6)+(W629*'Methodology &amp; Assumptions'!$B$5)+(X629*'Methodology &amp; Assumptions'!$B$7), 2)</f>
        <v/>
      </c>
    </row>
    <row r="630" ht="19" customHeight="1">
      <c r="A630" s="41" t="n">
        <v>626</v>
      </c>
      <c r="B630" s="41" t="n">
        <v>2626</v>
      </c>
      <c r="C630" s="42" t="inlineStr">
        <is>
          <t>0402103010</t>
        </is>
      </c>
      <c r="D630" s="42" t="inlineStr">
        <is>
          <t>Region IV-A (CALABARZON)</t>
        </is>
      </c>
      <c r="E630" s="42" t="inlineStr">
        <is>
          <t>Cavite</t>
        </is>
      </c>
      <c r="F630" s="42" t="inlineStr">
        <is>
          <t>City of Bacoor</t>
        </is>
      </c>
      <c r="G630" s="42" t="inlineStr">
        <is>
          <t>Ligas I</t>
        </is>
      </c>
      <c r="H630" s="43" t="n">
        <v>14.436707</v>
      </c>
      <c r="I630" s="43" t="n">
        <v>120.961346</v>
      </c>
      <c r="J630" s="44" t="inlineStr">
        <is>
          <t>U</t>
        </is>
      </c>
      <c r="K630" s="42" t="inlineStr">
        <is>
          <t>Class 1-3 / Urban</t>
        </is>
      </c>
      <c r="L630" s="23" t="n">
        <v>4796</v>
      </c>
      <c r="M630" s="24" t="n">
        <v>4.49</v>
      </c>
      <c r="N630" s="23">
        <f>ROUND(L630/M630, 0)</f>
        <v/>
      </c>
      <c r="O630" s="23">
        <f>ROUND(N630*'Methodology &amp; Assumptions'!$B$8, 0)</f>
        <v/>
      </c>
      <c r="P630" s="44" t="inlineStr">
        <is>
          <t>Band n50 (1.5 GHz, 60 MHz)</t>
        </is>
      </c>
      <c r="Q630" s="38">
        <f>ROUNDUP(O630/'Methodology &amp; Assumptions'!$B$9, 0)</f>
        <v/>
      </c>
      <c r="R630" s="39" t="n">
        <v>1</v>
      </c>
      <c r="S630" s="25" t="n">
        <v>1.43</v>
      </c>
      <c r="T630" s="25" t="n">
        <v>1.32</v>
      </c>
      <c r="U630" s="42" t="inlineStr">
        <is>
          <t>Tier 1B (Micro Drop, 1-3 km)</t>
        </is>
      </c>
      <c r="V630" s="24" t="n">
        <v>72</v>
      </c>
      <c r="W630" s="24" t="n">
        <v>100</v>
      </c>
      <c r="X630" s="24" t="n">
        <v>28</v>
      </c>
      <c r="Y630" s="45">
        <f>ROUND((V630*'Methodology &amp; Assumptions'!$B$6)+(W630*'Methodology &amp; Assumptions'!$B$5)+(X630*'Methodology &amp; Assumptions'!$B$7), 2)</f>
        <v/>
      </c>
    </row>
    <row r="631" ht="19" customHeight="1">
      <c r="A631" s="35" t="n">
        <v>627</v>
      </c>
      <c r="B631" s="35" t="n">
        <v>2627</v>
      </c>
      <c r="C631" s="36" t="inlineStr">
        <is>
          <t>0402103052</t>
        </is>
      </c>
      <c r="D631" s="36" t="inlineStr">
        <is>
          <t>Region IV-A (CALABARZON)</t>
        </is>
      </c>
      <c r="E631" s="36" t="inlineStr">
        <is>
          <t>Cavite</t>
        </is>
      </c>
      <c r="F631" s="36" t="inlineStr">
        <is>
          <t>City of Bacoor</t>
        </is>
      </c>
      <c r="G631" s="36" t="inlineStr">
        <is>
          <t>Niog III</t>
        </is>
      </c>
      <c r="H631" s="37" t="n">
        <v>14.436707</v>
      </c>
      <c r="I631" s="37" t="n">
        <v>120.961346</v>
      </c>
      <c r="J631" s="8" t="inlineStr">
        <is>
          <t>U</t>
        </is>
      </c>
      <c r="K631" s="36" t="inlineStr">
        <is>
          <t>Class 1-3 / Urban</t>
        </is>
      </c>
      <c r="L631" s="18" t="n">
        <v>4600</v>
      </c>
      <c r="M631" s="20" t="n">
        <v>4.49</v>
      </c>
      <c r="N631" s="18">
        <f>ROUND(L631/M631, 0)</f>
        <v/>
      </c>
      <c r="O631" s="18">
        <f>ROUND(N631*'Methodology &amp; Assumptions'!$B$8, 0)</f>
        <v/>
      </c>
      <c r="P631" s="8" t="inlineStr">
        <is>
          <t>Band n50 (1.5 GHz, 60 MHz)</t>
        </is>
      </c>
      <c r="Q631" s="38">
        <f>ROUNDUP(O631/'Methodology &amp; Assumptions'!$B$9, 0)</f>
        <v/>
      </c>
      <c r="R631" s="39" t="n">
        <v>1</v>
      </c>
      <c r="S631" s="21" t="n">
        <v>1.43</v>
      </c>
      <c r="T631" s="21" t="n">
        <v>1.32</v>
      </c>
      <c r="U631" s="36" t="inlineStr">
        <is>
          <t>Tier 1B (Micro Drop, 1-3 km)</t>
        </is>
      </c>
      <c r="V631" s="20" t="n">
        <v>72</v>
      </c>
      <c r="W631" s="20" t="n">
        <v>100</v>
      </c>
      <c r="X631" s="20" t="n">
        <v>28</v>
      </c>
      <c r="Y631" s="40">
        <f>ROUND((V631*'Methodology &amp; Assumptions'!$B$6)+(W631*'Methodology &amp; Assumptions'!$B$5)+(X631*'Methodology &amp; Assumptions'!$B$7), 2)</f>
        <v/>
      </c>
    </row>
    <row r="632" ht="19" customHeight="1">
      <c r="A632" s="41" t="n">
        <v>628</v>
      </c>
      <c r="B632" s="41" t="n">
        <v>2628</v>
      </c>
      <c r="C632" s="42" t="inlineStr">
        <is>
          <t>0402103018</t>
        </is>
      </c>
      <c r="D632" s="42" t="inlineStr">
        <is>
          <t>Region IV-A (CALABARZON)</t>
        </is>
      </c>
      <c r="E632" s="42" t="inlineStr">
        <is>
          <t>Cavite</t>
        </is>
      </c>
      <c r="F632" s="42" t="inlineStr">
        <is>
          <t>City of Bacoor</t>
        </is>
      </c>
      <c r="G632" s="42" t="inlineStr">
        <is>
          <t>P.F. Espiritu I</t>
        </is>
      </c>
      <c r="H632" s="43" t="n">
        <v>14.436707</v>
      </c>
      <c r="I632" s="43" t="n">
        <v>120.961346</v>
      </c>
      <c r="J632" s="44" t="inlineStr">
        <is>
          <t>U</t>
        </is>
      </c>
      <c r="K632" s="42" t="inlineStr">
        <is>
          <t>Class 1-3 / Urban</t>
        </is>
      </c>
      <c r="L632" s="23" t="n">
        <v>4304</v>
      </c>
      <c r="M632" s="24" t="n">
        <v>4.49</v>
      </c>
      <c r="N632" s="23">
        <f>ROUND(L632/M632, 0)</f>
        <v/>
      </c>
      <c r="O632" s="23">
        <f>ROUND(N632*'Methodology &amp; Assumptions'!$B$8, 0)</f>
        <v/>
      </c>
      <c r="P632" s="44" t="inlineStr">
        <is>
          <t>Band n50 (1.5 GHz, 60 MHz)</t>
        </is>
      </c>
      <c r="Q632" s="38">
        <f>ROUNDUP(O632/'Methodology &amp; Assumptions'!$B$9, 0)</f>
        <v/>
      </c>
      <c r="R632" s="39" t="n">
        <v>1</v>
      </c>
      <c r="S632" s="25" t="n">
        <v>1.43</v>
      </c>
      <c r="T632" s="25" t="n">
        <v>1.32</v>
      </c>
      <c r="U632" s="42" t="inlineStr">
        <is>
          <t>Tier 1B (Micro Drop, 1-3 km)</t>
        </is>
      </c>
      <c r="V632" s="24" t="n">
        <v>72</v>
      </c>
      <c r="W632" s="24" t="n">
        <v>100</v>
      </c>
      <c r="X632" s="24" t="n">
        <v>28</v>
      </c>
      <c r="Y632" s="45">
        <f>ROUND((V632*'Methodology &amp; Assumptions'!$B$6)+(W632*'Methodology &amp; Assumptions'!$B$5)+(X632*'Methodology &amp; Assumptions'!$B$7), 2)</f>
        <v/>
      </c>
    </row>
    <row r="633" ht="19" customHeight="1">
      <c r="A633" s="35" t="n">
        <v>629</v>
      </c>
      <c r="B633" s="35" t="n">
        <v>2629</v>
      </c>
      <c r="C633" s="36" t="inlineStr">
        <is>
          <t>0402106031</t>
        </is>
      </c>
      <c r="D633" s="36" t="inlineStr">
        <is>
          <t>Region IV-A (CALABARZON)</t>
        </is>
      </c>
      <c r="E633" s="36" t="inlineStr">
        <is>
          <t>Cavite</t>
        </is>
      </c>
      <c r="F633" s="36" t="inlineStr">
        <is>
          <t>City of Dasmariñas</t>
        </is>
      </c>
      <c r="G633" s="36" t="inlineStr">
        <is>
          <t>San Juan</t>
        </is>
      </c>
      <c r="H633" s="37" t="n">
        <v>14.339378</v>
      </c>
      <c r="I633" s="37" t="n">
        <v>120.950263</v>
      </c>
      <c r="J633" s="8" t="inlineStr">
        <is>
          <t>R</t>
        </is>
      </c>
      <c r="K633" s="36" t="inlineStr">
        <is>
          <t>Class 1-3 / Urban</t>
        </is>
      </c>
      <c r="L633" s="18" t="n">
        <v>3667</v>
      </c>
      <c r="M633" s="20" t="n">
        <v>4.49</v>
      </c>
      <c r="N633" s="18">
        <f>ROUND(L633/M633, 0)</f>
        <v/>
      </c>
      <c r="O633" s="18">
        <f>ROUND(N633*'Methodology &amp; Assumptions'!$B$8, 0)</f>
        <v/>
      </c>
      <c r="P633" s="8" t="inlineStr">
        <is>
          <t>Band n50 (1.5 GHz, 60 MHz)</t>
        </is>
      </c>
      <c r="Q633" s="38">
        <f>ROUNDUP(O633/'Methodology &amp; Assumptions'!$B$9, 0)</f>
        <v/>
      </c>
      <c r="R633" s="39" t="n">
        <v>1</v>
      </c>
      <c r="S633" s="21" t="n">
        <v>1.69</v>
      </c>
      <c r="T633" s="21" t="n">
        <v>4.2</v>
      </c>
      <c r="U633" s="36" t="inlineStr">
        <is>
          <t>Tier 1B (Micro Drop, 1-3 km)</t>
        </is>
      </c>
      <c r="V633" s="20" t="n">
        <v>56.9</v>
      </c>
      <c r="W633" s="20" t="n">
        <v>89.3</v>
      </c>
      <c r="X633" s="20" t="n">
        <v>58</v>
      </c>
      <c r="Y633" s="40">
        <f>ROUND((V633*'Methodology &amp; Assumptions'!$B$6)+(W633*'Methodology &amp; Assumptions'!$B$5)+(X633*'Methodology &amp; Assumptions'!$B$7), 2)</f>
        <v/>
      </c>
    </row>
    <row r="634" ht="19" customHeight="1">
      <c r="A634" s="41" t="n">
        <v>630</v>
      </c>
      <c r="B634" s="41" t="n">
        <v>2630</v>
      </c>
      <c r="C634" s="42" t="inlineStr">
        <is>
          <t>0300802001</t>
        </is>
      </c>
      <c r="D634" s="42" t="inlineStr">
        <is>
          <t>Region III (Central Luzon)</t>
        </is>
      </c>
      <c r="E634" s="42" t="inlineStr">
        <is>
          <t>Bataan</t>
        </is>
      </c>
      <c r="F634" s="42" t="inlineStr">
        <is>
          <t>Bagac</t>
        </is>
      </c>
      <c r="G634" s="42" t="inlineStr">
        <is>
          <t>Bagumbayan</t>
        </is>
      </c>
      <c r="H634" s="43" t="n">
        <v>14.598837</v>
      </c>
      <c r="I634" s="43" t="n">
        <v>120.394254</v>
      </c>
      <c r="J634" s="44" t="inlineStr">
        <is>
          <t>R</t>
        </is>
      </c>
      <c r="K634" s="42" t="inlineStr">
        <is>
          <t>Class 1-3 / Urban</t>
        </is>
      </c>
      <c r="L634" s="23" t="n">
        <v>2135</v>
      </c>
      <c r="M634" s="24" t="n">
        <v>4.57</v>
      </c>
      <c r="N634" s="23">
        <f>ROUND(L634/M634, 0)</f>
        <v/>
      </c>
      <c r="O634" s="23">
        <f>ROUND(N634*'Methodology &amp; Assumptions'!$B$8, 0)</f>
        <v/>
      </c>
      <c r="P634" s="44" t="inlineStr">
        <is>
          <t>Band n50 (1.5 GHz, 60 MHz)</t>
        </is>
      </c>
      <c r="Q634" s="38">
        <f>ROUNDUP(O634/'Methodology &amp; Assumptions'!$B$9, 0)</f>
        <v/>
      </c>
      <c r="R634" s="39" t="n">
        <v>1</v>
      </c>
      <c r="S634" s="25" t="n">
        <v>0.87</v>
      </c>
      <c r="T634" s="25" t="n">
        <v>0.27</v>
      </c>
      <c r="U634" s="42" t="inlineStr">
        <is>
          <t>Tier 1A (Direct Coloc, &lt;1 km)</t>
        </is>
      </c>
      <c r="V634" s="24" t="n">
        <v>84.90000000000001</v>
      </c>
      <c r="W634" s="24" t="n">
        <v>61.3</v>
      </c>
      <c r="X634" s="24" t="n">
        <v>58</v>
      </c>
      <c r="Y634" s="45">
        <f>ROUND((V634*'Methodology &amp; Assumptions'!$B$6)+(W634*'Methodology &amp; Assumptions'!$B$5)+(X634*'Methodology &amp; Assumptions'!$B$7), 2)</f>
        <v/>
      </c>
    </row>
    <row r="635" ht="19" customHeight="1">
      <c r="A635" s="35" t="n">
        <v>631</v>
      </c>
      <c r="B635" s="35" t="n">
        <v>2631</v>
      </c>
      <c r="C635" s="36" t="inlineStr">
        <is>
          <t>0403402017</t>
        </is>
      </c>
      <c r="D635" s="36" t="inlineStr">
        <is>
          <t>Region IV-A (CALABARZON)</t>
        </is>
      </c>
      <c r="E635" s="36" t="inlineStr">
        <is>
          <t>Laguna</t>
        </is>
      </c>
      <c r="F635" s="36" t="inlineStr">
        <is>
          <t>Bay</t>
        </is>
      </c>
      <c r="G635" s="36" t="inlineStr">
        <is>
          <t>San Nicolas</t>
        </is>
      </c>
      <c r="H635" s="37" t="n">
        <v>14.181559</v>
      </c>
      <c r="I635" s="37" t="n">
        <v>121.284472</v>
      </c>
      <c r="J635" s="8" t="inlineStr">
        <is>
          <t>R</t>
        </is>
      </c>
      <c r="K635" s="36" t="inlineStr">
        <is>
          <t>Class 1-3 / Urban</t>
        </is>
      </c>
      <c r="L635" s="18" t="n">
        <v>1356</v>
      </c>
      <c r="M635" s="20" t="n">
        <v>4.2</v>
      </c>
      <c r="N635" s="18">
        <f>ROUND(L635/M635, 0)</f>
        <v/>
      </c>
      <c r="O635" s="18">
        <f>ROUND(N635*'Methodology &amp; Assumptions'!$B$8, 0)</f>
        <v/>
      </c>
      <c r="P635" s="8" t="inlineStr">
        <is>
          <t>Band n50 (1.5 GHz, 60 MHz)</t>
        </is>
      </c>
      <c r="Q635" s="38">
        <f>ROUNDUP(O635/'Methodology &amp; Assumptions'!$B$9, 0)</f>
        <v/>
      </c>
      <c r="R635" s="39" t="n">
        <v>1</v>
      </c>
      <c r="S635" s="21" t="n">
        <v>0.44</v>
      </c>
      <c r="T635" s="21" t="n">
        <v>0.25</v>
      </c>
      <c r="U635" s="36" t="inlineStr">
        <is>
          <t>Tier 1A (Direct Coloc, &lt;1 km)</t>
        </is>
      </c>
      <c r="V635" s="20" t="n">
        <v>96.40000000000001</v>
      </c>
      <c r="W635" s="20" t="n">
        <v>49.9</v>
      </c>
      <c r="X635" s="20" t="n">
        <v>58</v>
      </c>
      <c r="Y635" s="40">
        <f>ROUND((V635*'Methodology &amp; Assumptions'!$B$6)+(W635*'Methodology &amp; Assumptions'!$B$5)+(X635*'Methodology &amp; Assumptions'!$B$7), 2)</f>
        <v/>
      </c>
    </row>
    <row r="636" ht="19" customHeight="1">
      <c r="A636" s="41" t="n">
        <v>632</v>
      </c>
      <c r="B636" s="41" t="n">
        <v>2632</v>
      </c>
      <c r="C636" s="42" t="inlineStr">
        <is>
          <t>0701205006</t>
        </is>
      </c>
      <c r="D636" s="42" t="inlineStr">
        <is>
          <t>Region VII (Central Visayas)</t>
        </is>
      </c>
      <c r="E636" s="42" t="inlineStr">
        <is>
          <t>Bohol</t>
        </is>
      </c>
      <c r="F636" s="42" t="inlineStr">
        <is>
          <t>Baclayon</t>
        </is>
      </c>
      <c r="G636" s="42" t="inlineStr">
        <is>
          <t>Laya</t>
        </is>
      </c>
      <c r="H636" s="43" t="n">
        <v>9.616</v>
      </c>
      <c r="I636" s="43" t="n">
        <v>123.933006</v>
      </c>
      <c r="J636" s="44" t="inlineStr">
        <is>
          <t>R</t>
        </is>
      </c>
      <c r="K636" s="42" t="inlineStr">
        <is>
          <t>4th</t>
        </is>
      </c>
      <c r="L636" s="23" t="n">
        <v>1099</v>
      </c>
      <c r="M636" s="24" t="n">
        <v>4.66</v>
      </c>
      <c r="N636" s="23">
        <f>ROUND(L636/M636, 0)</f>
        <v/>
      </c>
      <c r="O636" s="23">
        <f>ROUND(N636*'Methodology &amp; Assumptions'!$B$8, 0)</f>
        <v/>
      </c>
      <c r="P636" s="44" t="inlineStr">
        <is>
          <t>Band n50 (1.5 GHz, 60 MHz)</t>
        </is>
      </c>
      <c r="Q636" s="38">
        <f>ROUNDUP(O636/'Methodology &amp; Assumptions'!$B$9, 0)</f>
        <v/>
      </c>
      <c r="R636" s="39" t="n">
        <v>1</v>
      </c>
      <c r="S636" s="25" t="n">
        <v>0.51</v>
      </c>
      <c r="T636" s="25" t="n">
        <v>0.02</v>
      </c>
      <c r="U636" s="42" t="inlineStr">
        <is>
          <t>Tier 1A (Direct Coloc, &lt;1 km)</t>
        </is>
      </c>
      <c r="V636" s="24" t="n">
        <v>94.3</v>
      </c>
      <c r="W636" s="24" t="n">
        <v>42.9</v>
      </c>
      <c r="X636" s="24" t="n">
        <v>68.5</v>
      </c>
      <c r="Y636" s="45">
        <f>ROUND((V636*'Methodology &amp; Assumptions'!$B$6)+(W636*'Methodology &amp; Assumptions'!$B$5)+(X636*'Methodology &amp; Assumptions'!$B$7), 2)</f>
        <v/>
      </c>
    </row>
    <row r="637" ht="19" customHeight="1">
      <c r="A637" s="35" t="n">
        <v>633</v>
      </c>
      <c r="B637" s="35" t="n">
        <v>2633</v>
      </c>
      <c r="C637" s="36" t="inlineStr">
        <is>
          <t>1102408005</t>
        </is>
      </c>
      <c r="D637" s="36" t="inlineStr">
        <is>
          <t>Region XI (Davao Region)</t>
        </is>
      </c>
      <c r="E637" s="36" t="inlineStr">
        <is>
          <t>Davao del Sur</t>
        </is>
      </c>
      <c r="F637" s="36" t="inlineStr">
        <is>
          <t>Malalag</t>
        </is>
      </c>
      <c r="G637" s="36" t="inlineStr">
        <is>
          <t>Bulacan</t>
        </is>
      </c>
      <c r="H637" s="37" t="n">
        <v>6.569358</v>
      </c>
      <c r="I637" s="37" t="n">
        <v>125.413574</v>
      </c>
      <c r="J637" s="8" t="inlineStr">
        <is>
          <t>R</t>
        </is>
      </c>
      <c r="K637" s="36" t="inlineStr">
        <is>
          <t>Class 1-3 / Urban</t>
        </is>
      </c>
      <c r="L637" s="18" t="n">
        <v>4923</v>
      </c>
      <c r="M637" s="20" t="n">
        <v>4.1</v>
      </c>
      <c r="N637" s="18">
        <f>ROUND(L637/M637, 0)</f>
        <v/>
      </c>
      <c r="O637" s="18">
        <f>ROUND(N637*'Methodology &amp; Assumptions'!$B$8, 0)</f>
        <v/>
      </c>
      <c r="P637" s="8" t="inlineStr">
        <is>
          <t>Band n50 (1.5 GHz, 60 MHz)</t>
        </is>
      </c>
      <c r="Q637" s="38">
        <f>ROUNDUP(O637/'Methodology &amp; Assumptions'!$B$9, 0)</f>
        <v/>
      </c>
      <c r="R637" s="39" t="n">
        <v>1</v>
      </c>
      <c r="S637" s="21" t="n">
        <v>2.31</v>
      </c>
      <c r="T637" s="21" t="n">
        <v>5.28</v>
      </c>
      <c r="U637" s="36" t="inlineStr">
        <is>
          <t>Tier 1B (Micro Drop, 1-3 km)</t>
        </is>
      </c>
      <c r="V637" s="20" t="n">
        <v>46.3</v>
      </c>
      <c r="W637" s="20" t="n">
        <v>100</v>
      </c>
      <c r="X637" s="20" t="n">
        <v>58</v>
      </c>
      <c r="Y637" s="40">
        <f>ROUND((V637*'Methodology &amp; Assumptions'!$B$6)+(W637*'Methodology &amp; Assumptions'!$B$5)+(X637*'Methodology &amp; Assumptions'!$B$7), 2)</f>
        <v/>
      </c>
    </row>
    <row r="638" ht="19" customHeight="1">
      <c r="A638" s="41" t="n">
        <v>634</v>
      </c>
      <c r="B638" s="41" t="n">
        <v>2634</v>
      </c>
      <c r="C638" s="42" t="inlineStr">
        <is>
          <t>0402106028</t>
        </is>
      </c>
      <c r="D638" s="42" t="inlineStr">
        <is>
          <t>Region IV-A (CALABARZON)</t>
        </is>
      </c>
      <c r="E638" s="42" t="inlineStr">
        <is>
          <t>Cavite</t>
        </is>
      </c>
      <c r="F638" s="42" t="inlineStr">
        <is>
          <t>City of Dasmariñas</t>
        </is>
      </c>
      <c r="G638" s="42" t="inlineStr">
        <is>
          <t>San Esteban</t>
        </is>
      </c>
      <c r="H638" s="43" t="n">
        <v>14.33833</v>
      </c>
      <c r="I638" s="43" t="n">
        <v>120.957009</v>
      </c>
      <c r="J638" s="44" t="inlineStr">
        <is>
          <t>R</t>
        </is>
      </c>
      <c r="K638" s="42" t="inlineStr">
        <is>
          <t>Class 1-3 / Urban</t>
        </is>
      </c>
      <c r="L638" s="23" t="n">
        <v>4583</v>
      </c>
      <c r="M638" s="24" t="n">
        <v>4.49</v>
      </c>
      <c r="N638" s="23">
        <f>ROUND(L638/M638, 0)</f>
        <v/>
      </c>
      <c r="O638" s="23">
        <f>ROUND(N638*'Methodology &amp; Assumptions'!$B$8, 0)</f>
        <v/>
      </c>
      <c r="P638" s="44" t="inlineStr">
        <is>
          <t>Band n50 (1.5 GHz, 60 MHz)</t>
        </is>
      </c>
      <c r="Q638" s="38">
        <f>ROUNDUP(O638/'Methodology &amp; Assumptions'!$B$9, 0)</f>
        <v/>
      </c>
      <c r="R638" s="39" t="n">
        <v>1</v>
      </c>
      <c r="S638" s="25" t="n">
        <v>2.31</v>
      </c>
      <c r="T638" s="25" t="n">
        <v>4.09</v>
      </c>
      <c r="U638" s="42" t="inlineStr">
        <is>
          <t>Tier 1B (Micro Drop, 1-3 km)</t>
        </is>
      </c>
      <c r="V638" s="24" t="n">
        <v>46.3</v>
      </c>
      <c r="W638" s="24" t="n">
        <v>100</v>
      </c>
      <c r="X638" s="24" t="n">
        <v>58</v>
      </c>
      <c r="Y638" s="45">
        <f>ROUND((V638*'Methodology &amp; Assumptions'!$B$6)+(W638*'Methodology &amp; Assumptions'!$B$5)+(X638*'Methodology &amp; Assumptions'!$B$7), 2)</f>
        <v/>
      </c>
    </row>
    <row r="639" ht="19" customHeight="1">
      <c r="A639" s="35" t="n">
        <v>635</v>
      </c>
      <c r="B639" s="35" t="n">
        <v>2635</v>
      </c>
      <c r="C639" s="36" t="inlineStr">
        <is>
          <t>0500503005</t>
        </is>
      </c>
      <c r="D639" s="36" t="inlineStr">
        <is>
          <t>Region V (Bicol Region)</t>
        </is>
      </c>
      <c r="E639" s="36" t="inlineStr">
        <is>
          <t>Albay</t>
        </is>
      </c>
      <c r="F639" s="36" t="inlineStr">
        <is>
          <t>Daraga</t>
        </is>
      </c>
      <c r="G639" s="36" t="inlineStr">
        <is>
          <t>Balinad</t>
        </is>
      </c>
      <c r="H639" s="37" t="n">
        <v>13.145896</v>
      </c>
      <c r="I639" s="37" t="n">
        <v>123.700444</v>
      </c>
      <c r="J639" s="8" t="inlineStr">
        <is>
          <t>R</t>
        </is>
      </c>
      <c r="K639" s="36" t="inlineStr">
        <is>
          <t>Class 1-3 / Urban</t>
        </is>
      </c>
      <c r="L639" s="18" t="n">
        <v>2683</v>
      </c>
      <c r="M639" s="20" t="n">
        <v>4.67</v>
      </c>
      <c r="N639" s="18">
        <f>ROUND(L639/M639, 0)</f>
        <v/>
      </c>
      <c r="O639" s="18">
        <f>ROUND(N639*'Methodology &amp; Assumptions'!$B$8, 0)</f>
        <v/>
      </c>
      <c r="P639" s="8" t="inlineStr">
        <is>
          <t>Band n50 (1.5 GHz, 60 MHz)</t>
        </is>
      </c>
      <c r="Q639" s="38">
        <f>ROUNDUP(O639/'Methodology &amp; Assumptions'!$B$9, 0)</f>
        <v/>
      </c>
      <c r="R639" s="39" t="n">
        <v>1</v>
      </c>
      <c r="S639" s="21" t="n">
        <v>1.23</v>
      </c>
      <c r="T639" s="21" t="n">
        <v>1.07</v>
      </c>
      <c r="U639" s="36" t="inlineStr">
        <is>
          <t>Tier 1B (Micro Drop, 1-3 km)</t>
        </is>
      </c>
      <c r="V639" s="20" t="n">
        <v>76.40000000000001</v>
      </c>
      <c r="W639" s="20" t="n">
        <v>69.90000000000001</v>
      </c>
      <c r="X639" s="20" t="n">
        <v>58</v>
      </c>
      <c r="Y639" s="40">
        <f>ROUND((V639*'Methodology &amp; Assumptions'!$B$6)+(W639*'Methodology &amp; Assumptions'!$B$5)+(X639*'Methodology &amp; Assumptions'!$B$7), 2)</f>
        <v/>
      </c>
    </row>
    <row r="640" ht="19" customHeight="1">
      <c r="A640" s="41" t="n">
        <v>636</v>
      </c>
      <c r="B640" s="41" t="n">
        <v>2636</v>
      </c>
      <c r="C640" s="42" t="inlineStr">
        <is>
          <t>1004311001</t>
        </is>
      </c>
      <c r="D640" s="42" t="inlineStr">
        <is>
          <t>Region X (Northern Mindanao)</t>
        </is>
      </c>
      <c r="E640" s="42" t="inlineStr">
        <is>
          <t>Misamis Oriental</t>
        </is>
      </c>
      <c r="F640" s="42" t="inlineStr">
        <is>
          <t>Jasaan</t>
        </is>
      </c>
      <c r="G640" s="42" t="inlineStr">
        <is>
          <t>Aplaya</t>
        </is>
      </c>
      <c r="H640" s="43" t="n">
        <v>8.605356</v>
      </c>
      <c r="I640" s="43" t="n">
        <v>124.7645</v>
      </c>
      <c r="J640" s="44" t="inlineStr">
        <is>
          <t>U</t>
        </is>
      </c>
      <c r="K640" s="42" t="inlineStr">
        <is>
          <t>Class 1-3 / Urban</t>
        </is>
      </c>
      <c r="L640" s="23" t="n">
        <v>6025</v>
      </c>
      <c r="M640" s="24" t="n">
        <v>4.54</v>
      </c>
      <c r="N640" s="23">
        <f>ROUND(L640/M640, 0)</f>
        <v/>
      </c>
      <c r="O640" s="23">
        <f>ROUND(N640*'Methodology &amp; Assumptions'!$B$8, 0)</f>
        <v/>
      </c>
      <c r="P640" s="44" t="inlineStr">
        <is>
          <t>Band n50 (1.5 GHz, 60 MHz)</t>
        </is>
      </c>
      <c r="Q640" s="38">
        <f>ROUNDUP(O640/'Methodology &amp; Assumptions'!$B$9, 0)</f>
        <v/>
      </c>
      <c r="R640" s="39" t="n">
        <v>1</v>
      </c>
      <c r="S640" s="25" t="n">
        <v>1.44</v>
      </c>
      <c r="T640" s="25" t="n">
        <v>0.03</v>
      </c>
      <c r="U640" s="42" t="inlineStr">
        <is>
          <t>Tier 1B (Micro Drop, 1-3 km)</t>
        </is>
      </c>
      <c r="V640" s="24" t="n">
        <v>72</v>
      </c>
      <c r="W640" s="24" t="n">
        <v>100</v>
      </c>
      <c r="X640" s="24" t="n">
        <v>28</v>
      </c>
      <c r="Y640" s="45">
        <f>ROUND((V640*'Methodology &amp; Assumptions'!$B$6)+(W640*'Methodology &amp; Assumptions'!$B$5)+(X640*'Methodology &amp; Assumptions'!$B$7), 2)</f>
        <v/>
      </c>
    </row>
    <row r="641" ht="19" customHeight="1">
      <c r="A641" s="35" t="n">
        <v>637</v>
      </c>
      <c r="B641" s="35" t="n">
        <v>2637</v>
      </c>
      <c r="C641" s="36" t="inlineStr">
        <is>
          <t>0205705002</t>
        </is>
      </c>
      <c r="D641" s="36" t="inlineStr">
        <is>
          <t>Region II (Cagayan Valley)</t>
        </is>
      </c>
      <c r="E641" s="36" t="inlineStr">
        <is>
          <t>Quirino</t>
        </is>
      </c>
      <c r="F641" s="36" t="inlineStr">
        <is>
          <t>Saguday</t>
        </is>
      </c>
      <c r="G641" s="36" t="inlineStr">
        <is>
          <t>La Paz</t>
        </is>
      </c>
      <c r="H641" s="37" t="n">
        <v>16.58073</v>
      </c>
      <c r="I641" s="37" t="n">
        <v>121.570925</v>
      </c>
      <c r="J641" s="8" t="inlineStr">
        <is>
          <t>R</t>
        </is>
      </c>
      <c r="K641" s="36" t="inlineStr">
        <is>
          <t>4th</t>
        </is>
      </c>
      <c r="L641" s="18" t="n">
        <v>3299</v>
      </c>
      <c r="M641" s="20" t="n">
        <v>4.03</v>
      </c>
      <c r="N641" s="18">
        <f>ROUND(L641/M641, 0)</f>
        <v/>
      </c>
      <c r="O641" s="18">
        <f>ROUND(N641*'Methodology &amp; Assumptions'!$B$8, 0)</f>
        <v/>
      </c>
      <c r="P641" s="8" t="inlineStr">
        <is>
          <t>Band n50 (1.5 GHz, 60 MHz)</t>
        </is>
      </c>
      <c r="Q641" s="38">
        <f>ROUNDUP(O641/'Methodology &amp; Assumptions'!$B$9, 0)</f>
        <v/>
      </c>
      <c r="R641" s="39" t="n">
        <v>1</v>
      </c>
      <c r="S641" s="21" t="n">
        <v>4.19</v>
      </c>
      <c r="T641" s="21" t="n">
        <v>0.15</v>
      </c>
      <c r="U641" s="36" t="inlineStr">
        <is>
          <t>Tier 2 (Fiber Corridor / Lateral, 3-5 km)</t>
        </is>
      </c>
      <c r="V641" s="20" t="n">
        <v>34.8</v>
      </c>
      <c r="W641" s="20" t="n">
        <v>89.59999999999999</v>
      </c>
      <c r="X641" s="20" t="n">
        <v>83.5</v>
      </c>
      <c r="Y641" s="40">
        <f>ROUND((V641*'Methodology &amp; Assumptions'!$B$6)+(W641*'Methodology &amp; Assumptions'!$B$5)+(X641*'Methodology &amp; Assumptions'!$B$7), 2)</f>
        <v/>
      </c>
    </row>
    <row r="642" ht="19" customHeight="1">
      <c r="A642" s="41" t="n">
        <v>638</v>
      </c>
      <c r="B642" s="41" t="n">
        <v>2638</v>
      </c>
      <c r="C642" s="42" t="inlineStr">
        <is>
          <t>0603047024</t>
        </is>
      </c>
      <c r="D642" s="42" t="inlineStr">
        <is>
          <t>Region VI (Western Visayas)</t>
        </is>
      </c>
      <c r="E642" s="42" t="inlineStr">
        <is>
          <t>Iloilo</t>
        </is>
      </c>
      <c r="F642" s="42" t="inlineStr">
        <is>
          <t>Zarraga</t>
        </is>
      </c>
      <c r="G642" s="42" t="inlineStr">
        <is>
          <t>Tuburan Sulbod</t>
        </is>
      </c>
      <c r="H642" s="43" t="n">
        <v>10.832478</v>
      </c>
      <c r="I642" s="43" t="n">
        <v>122.60178</v>
      </c>
      <c r="J642" s="44" t="inlineStr">
        <is>
          <t>R</t>
        </is>
      </c>
      <c r="K642" s="42" t="inlineStr">
        <is>
          <t>3rd</t>
        </is>
      </c>
      <c r="L642" s="23" t="n">
        <v>1313</v>
      </c>
      <c r="M642" s="24" t="n">
        <v>4.35</v>
      </c>
      <c r="N642" s="23">
        <f>ROUND(L642/M642, 0)</f>
        <v/>
      </c>
      <c r="O642" s="23">
        <f>ROUND(N642*'Methodology &amp; Assumptions'!$B$8, 0)</f>
        <v/>
      </c>
      <c r="P642" s="44" t="inlineStr">
        <is>
          <t>Band n50 (1.5 GHz, 60 MHz)</t>
        </is>
      </c>
      <c r="Q642" s="38">
        <f>ROUNDUP(O642/'Methodology &amp; Assumptions'!$B$9, 0)</f>
        <v/>
      </c>
      <c r="R642" s="39" t="n">
        <v>1</v>
      </c>
      <c r="S642" s="25" t="n">
        <v>0.86</v>
      </c>
      <c r="T642" s="25" t="n">
        <v>0.84</v>
      </c>
      <c r="U642" s="42" t="inlineStr">
        <is>
          <t>Tier 1A (Direct Coloc, &lt;1 km)</t>
        </is>
      </c>
      <c r="V642" s="24" t="n">
        <v>85.09999999999999</v>
      </c>
      <c r="W642" s="24" t="n">
        <v>48.3</v>
      </c>
      <c r="X642" s="24" t="n">
        <v>73</v>
      </c>
      <c r="Y642" s="45">
        <f>ROUND((V642*'Methodology &amp; Assumptions'!$B$6)+(W642*'Methodology &amp; Assumptions'!$B$5)+(X642*'Methodology &amp; Assumptions'!$B$7), 2)</f>
        <v/>
      </c>
    </row>
    <row r="643" ht="19" customHeight="1">
      <c r="A643" s="35" t="n">
        <v>639</v>
      </c>
      <c r="B643" s="35" t="n">
        <v>2639</v>
      </c>
      <c r="C643" s="36" t="inlineStr">
        <is>
          <t>0105532058</t>
        </is>
      </c>
      <c r="D643" s="36" t="inlineStr">
        <is>
          <t>Region I (Ilocos Region)</t>
        </is>
      </c>
      <c r="E643" s="36" t="inlineStr">
        <is>
          <t>Pangasinan</t>
        </is>
      </c>
      <c r="F643" s="36" t="inlineStr">
        <is>
          <t>City of San Carlos</t>
        </is>
      </c>
      <c r="G643" s="36" t="inlineStr">
        <is>
          <t>Pagal</t>
        </is>
      </c>
      <c r="H643" s="37" t="n">
        <v>15.950187</v>
      </c>
      <c r="I643" s="37" t="n">
        <v>120.33198</v>
      </c>
      <c r="J643" s="8" t="inlineStr">
        <is>
          <t>R</t>
        </is>
      </c>
      <c r="K643" s="36" t="inlineStr">
        <is>
          <t>Class 1-3 / Urban</t>
        </is>
      </c>
      <c r="L643" s="18" t="n">
        <v>4714</v>
      </c>
      <c r="M643" s="20" t="n">
        <v>4.39</v>
      </c>
      <c r="N643" s="18">
        <f>ROUND(L643/M643, 0)</f>
        <v/>
      </c>
      <c r="O643" s="18">
        <f>ROUND(N643*'Methodology &amp; Assumptions'!$B$8, 0)</f>
        <v/>
      </c>
      <c r="P643" s="8" t="inlineStr">
        <is>
          <t>Band n50 (1.5 GHz, 60 MHz)</t>
        </is>
      </c>
      <c r="Q643" s="38">
        <f>ROUNDUP(O643/'Methodology &amp; Assumptions'!$B$9, 0)</f>
        <v/>
      </c>
      <c r="R643" s="39" t="n">
        <v>1</v>
      </c>
      <c r="S643" s="21" t="n">
        <v>3.05</v>
      </c>
      <c r="T643" s="21" t="n">
        <v>1.52</v>
      </c>
      <c r="U643" s="36" t="inlineStr">
        <is>
          <t>Tier 2 (Fiber Corridor / Lateral, 3-5 km)</t>
        </is>
      </c>
      <c r="V643" s="20" t="n">
        <v>46.2</v>
      </c>
      <c r="W643" s="20" t="n">
        <v>100</v>
      </c>
      <c r="X643" s="20" t="n">
        <v>58</v>
      </c>
      <c r="Y643" s="40">
        <f>ROUND((V643*'Methodology &amp; Assumptions'!$B$6)+(W643*'Methodology &amp; Assumptions'!$B$5)+(X643*'Methodology &amp; Assumptions'!$B$7), 2)</f>
        <v/>
      </c>
    </row>
    <row r="644" ht="19" customHeight="1">
      <c r="A644" s="41" t="n">
        <v>640</v>
      </c>
      <c r="B644" s="41" t="n">
        <v>2640</v>
      </c>
      <c r="C644" s="42" t="inlineStr">
        <is>
          <t>0405608013</t>
        </is>
      </c>
      <c r="D644" s="42" t="inlineStr">
        <is>
          <t>Region IV-A (CALABARZON)</t>
        </is>
      </c>
      <c r="E644" s="42" t="inlineStr">
        <is>
          <t>Quezon</t>
        </is>
      </c>
      <c r="F644" s="42" t="inlineStr">
        <is>
          <t>Candelaria</t>
        </is>
      </c>
      <c r="G644" s="42" t="inlineStr">
        <is>
          <t>Masalukot II</t>
        </is>
      </c>
      <c r="H644" s="43" t="n">
        <v>13.938045</v>
      </c>
      <c r="I644" s="43" t="n">
        <v>121.422024</v>
      </c>
      <c r="J644" s="44" t="inlineStr">
        <is>
          <t>R</t>
        </is>
      </c>
      <c r="K644" s="42" t="inlineStr">
        <is>
          <t>Class 1-3 / Urban</t>
        </is>
      </c>
      <c r="L644" s="23" t="n">
        <v>3017</v>
      </c>
      <c r="M644" s="24" t="n">
        <v>4.46</v>
      </c>
      <c r="N644" s="23">
        <f>ROUND(L644/M644, 0)</f>
        <v/>
      </c>
      <c r="O644" s="23">
        <f>ROUND(N644*'Methodology &amp; Assumptions'!$B$8, 0)</f>
        <v/>
      </c>
      <c r="P644" s="44" t="inlineStr">
        <is>
          <t>Band n50 (1.5 GHz, 60 MHz)</t>
        </is>
      </c>
      <c r="Q644" s="38">
        <f>ROUNDUP(O644/'Methodology &amp; Assumptions'!$B$9, 0)</f>
        <v/>
      </c>
      <c r="R644" s="39" t="n">
        <v>1</v>
      </c>
      <c r="S644" s="25" t="n">
        <v>1.63</v>
      </c>
      <c r="T644" s="25" t="n">
        <v>1.04</v>
      </c>
      <c r="U644" s="42" t="inlineStr">
        <is>
          <t>Tier 1B (Micro Drop, 1-3 km)</t>
        </is>
      </c>
      <c r="V644" s="24" t="n">
        <v>68.09999999999999</v>
      </c>
      <c r="W644" s="24" t="n">
        <v>78.09999999999999</v>
      </c>
      <c r="X644" s="24" t="n">
        <v>58</v>
      </c>
      <c r="Y644" s="45">
        <f>ROUND((V644*'Methodology &amp; Assumptions'!$B$6)+(W644*'Methodology &amp; Assumptions'!$B$5)+(X644*'Methodology &amp; Assumptions'!$B$7), 2)</f>
        <v/>
      </c>
    </row>
    <row r="645" ht="19" customHeight="1">
      <c r="A645" s="35" t="n">
        <v>641</v>
      </c>
      <c r="B645" s="35" t="n">
        <v>2641</v>
      </c>
      <c r="C645" s="36" t="inlineStr">
        <is>
          <t>0402117003</t>
        </is>
      </c>
      <c r="D645" s="36" t="inlineStr">
        <is>
          <t>Region IV-A (CALABARZON)</t>
        </is>
      </c>
      <c r="E645" s="36" t="inlineStr">
        <is>
          <t>Cavite</t>
        </is>
      </c>
      <c r="F645" s="36" t="inlineStr">
        <is>
          <t>Rosario</t>
        </is>
      </c>
      <c r="G645" s="36" t="inlineStr">
        <is>
          <t>Kanluran</t>
        </is>
      </c>
      <c r="H645" s="37" t="n">
        <v>14.418658</v>
      </c>
      <c r="I645" s="37" t="n">
        <v>120.850498</v>
      </c>
      <c r="J645" s="8" t="inlineStr">
        <is>
          <t>R</t>
        </is>
      </c>
      <c r="K645" s="36" t="inlineStr">
        <is>
          <t>Class 1-3 / Urban</t>
        </is>
      </c>
      <c r="L645" s="18" t="n">
        <v>3769</v>
      </c>
      <c r="M645" s="20" t="n">
        <v>4.49</v>
      </c>
      <c r="N645" s="18">
        <f>ROUND(L645/M645, 0)</f>
        <v/>
      </c>
      <c r="O645" s="18">
        <f>ROUND(N645*'Methodology &amp; Assumptions'!$B$8, 0)</f>
        <v/>
      </c>
      <c r="P645" s="8" t="inlineStr">
        <is>
          <t>Band n50 (1.5 GHz, 60 MHz)</t>
        </is>
      </c>
      <c r="Q645" s="38">
        <f>ROUNDUP(O645/'Methodology &amp; Assumptions'!$B$9, 0)</f>
        <v/>
      </c>
      <c r="R645" s="39" t="n">
        <v>1</v>
      </c>
      <c r="S645" s="21" t="n">
        <v>2.59</v>
      </c>
      <c r="T645" s="21" t="n">
        <v>2.79</v>
      </c>
      <c r="U645" s="36" t="inlineStr">
        <is>
          <t>Tier 1B (Micro Drop, 1-3 km)</t>
        </is>
      </c>
      <c r="V645" s="20" t="n">
        <v>42.2</v>
      </c>
      <c r="W645" s="20" t="n">
        <v>91.2</v>
      </c>
      <c r="X645" s="20" t="n">
        <v>73</v>
      </c>
      <c r="Y645" s="40">
        <f>ROUND((V645*'Methodology &amp; Assumptions'!$B$6)+(W645*'Methodology &amp; Assumptions'!$B$5)+(X645*'Methodology &amp; Assumptions'!$B$7), 2)</f>
        <v/>
      </c>
    </row>
    <row r="646" ht="19" customHeight="1">
      <c r="A646" s="41" t="n">
        <v>642</v>
      </c>
      <c r="B646" s="41" t="n">
        <v>2642</v>
      </c>
      <c r="C646" s="42" t="inlineStr">
        <is>
          <t>0604524015</t>
        </is>
      </c>
      <c r="D646" s="42" t="inlineStr">
        <is>
          <t>Region VI (Western Visayas)</t>
        </is>
      </c>
      <c r="E646" s="42" t="inlineStr">
        <is>
          <t>Negros Occidental</t>
        </is>
      </c>
      <c r="F646" s="42" t="inlineStr">
        <is>
          <t>City of San Carlos</t>
        </is>
      </c>
      <c r="G646" s="42" t="inlineStr">
        <is>
          <t>Barangay VI</t>
        </is>
      </c>
      <c r="H646" s="43" t="n">
        <v>10.48303</v>
      </c>
      <c r="I646" s="43" t="n">
        <v>123.408097</v>
      </c>
      <c r="J646" s="44" t="inlineStr">
        <is>
          <t>U</t>
        </is>
      </c>
      <c r="K646" s="42" t="inlineStr">
        <is>
          <t>Class 1-3 / Urban</t>
        </is>
      </c>
      <c r="L646" s="23" t="n">
        <v>5364</v>
      </c>
      <c r="M646" s="24" t="n">
        <v>4.33</v>
      </c>
      <c r="N646" s="23">
        <f>ROUND(L646/M646, 0)</f>
        <v/>
      </c>
      <c r="O646" s="23">
        <f>ROUND(N646*'Methodology &amp; Assumptions'!$B$8, 0)</f>
        <v/>
      </c>
      <c r="P646" s="44" t="inlineStr">
        <is>
          <t>Band n50 (1.5 GHz, 60 MHz)</t>
        </is>
      </c>
      <c r="Q646" s="38">
        <f>ROUNDUP(O646/'Methodology &amp; Assumptions'!$B$9, 0)</f>
        <v/>
      </c>
      <c r="R646" s="39" t="n">
        <v>1</v>
      </c>
      <c r="S646" s="25" t="n">
        <v>1.44</v>
      </c>
      <c r="T646" s="25" t="n">
        <v>0.29</v>
      </c>
      <c r="U646" s="42" t="inlineStr">
        <is>
          <t>Tier 1B (Micro Drop, 1-3 km)</t>
        </is>
      </c>
      <c r="V646" s="24" t="n">
        <v>71.90000000000001</v>
      </c>
      <c r="W646" s="24" t="n">
        <v>100</v>
      </c>
      <c r="X646" s="24" t="n">
        <v>28</v>
      </c>
      <c r="Y646" s="45">
        <f>ROUND((V646*'Methodology &amp; Assumptions'!$B$6)+(W646*'Methodology &amp; Assumptions'!$B$5)+(X646*'Methodology &amp; Assumptions'!$B$7), 2)</f>
        <v/>
      </c>
    </row>
    <row r="647" ht="19" customHeight="1">
      <c r="A647" s="35" t="n">
        <v>643</v>
      </c>
      <c r="B647" s="35" t="n">
        <v>2643</v>
      </c>
      <c r="C647" s="36" t="inlineStr">
        <is>
          <t>0305409017</t>
        </is>
      </c>
      <c r="D647" s="36" t="inlineStr">
        <is>
          <t>Region III (Central Luzon)</t>
        </is>
      </c>
      <c r="E647" s="36" t="inlineStr">
        <is>
          <t>Pampanga</t>
        </is>
      </c>
      <c r="F647" s="36" t="inlineStr">
        <is>
          <t>Mabalacat City</t>
        </is>
      </c>
      <c r="G647" s="36" t="inlineStr">
        <is>
          <t>Marcos Village</t>
        </is>
      </c>
      <c r="H647" s="37" t="n">
        <v>15.209464</v>
      </c>
      <c r="I647" s="37" t="n">
        <v>120.530072</v>
      </c>
      <c r="J647" s="8" t="inlineStr">
        <is>
          <t>R</t>
        </is>
      </c>
      <c r="K647" s="36" t="inlineStr">
        <is>
          <t>Class 1-3 / Urban</t>
        </is>
      </c>
      <c r="L647" s="18" t="n">
        <v>4957</v>
      </c>
      <c r="M647" s="20" t="n">
        <v>4.63</v>
      </c>
      <c r="N647" s="18">
        <f>ROUND(L647/M647, 0)</f>
        <v/>
      </c>
      <c r="O647" s="18">
        <f>ROUND(N647*'Methodology &amp; Assumptions'!$B$8, 0)</f>
        <v/>
      </c>
      <c r="P647" s="8" t="inlineStr">
        <is>
          <t>Band n50 (1.5 GHz, 60 MHz)</t>
        </is>
      </c>
      <c r="Q647" s="38">
        <f>ROUNDUP(O647/'Methodology &amp; Assumptions'!$B$9, 0)</f>
        <v/>
      </c>
      <c r="R647" s="39" t="n">
        <v>1</v>
      </c>
      <c r="S647" s="21" t="n">
        <v>3.05</v>
      </c>
      <c r="T647" s="21" t="n">
        <v>0.18</v>
      </c>
      <c r="U647" s="36" t="inlineStr">
        <is>
          <t>Tier 2 (Fiber Corridor / Lateral, 3-5 km)</t>
        </is>
      </c>
      <c r="V647" s="20" t="n">
        <v>46.2</v>
      </c>
      <c r="W647" s="20" t="n">
        <v>100</v>
      </c>
      <c r="X647" s="20" t="n">
        <v>58</v>
      </c>
      <c r="Y647" s="40">
        <f>ROUND((V647*'Methodology &amp; Assumptions'!$B$6)+(W647*'Methodology &amp; Assumptions'!$B$5)+(X647*'Methodology &amp; Assumptions'!$B$7), 2)</f>
        <v/>
      </c>
    </row>
    <row r="648" ht="19" customHeight="1">
      <c r="A648" s="41" t="n">
        <v>644</v>
      </c>
      <c r="B648" s="41" t="n">
        <v>2644</v>
      </c>
      <c r="C648" s="42" t="inlineStr">
        <is>
          <t>1004301006</t>
        </is>
      </c>
      <c r="D648" s="42" t="inlineStr">
        <is>
          <t>Region X (Northern Mindanao)</t>
        </is>
      </c>
      <c r="E648" s="42" t="inlineStr">
        <is>
          <t>Misamis Oriental</t>
        </is>
      </c>
      <c r="F648" s="42" t="inlineStr">
        <is>
          <t>Alubijid</t>
        </is>
      </c>
      <c r="G648" s="42" t="inlineStr">
        <is>
          <t>Loguilo</t>
        </is>
      </c>
      <c r="H648" s="43" t="n">
        <v>8.575229999999999</v>
      </c>
      <c r="I648" s="43" t="n">
        <v>124.499491</v>
      </c>
      <c r="J648" s="44" t="inlineStr">
        <is>
          <t>R</t>
        </is>
      </c>
      <c r="K648" s="42" t="inlineStr">
        <is>
          <t>1st</t>
        </is>
      </c>
      <c r="L648" s="23" t="n">
        <v>3469</v>
      </c>
      <c r="M648" s="24" t="n">
        <v>3.84</v>
      </c>
      <c r="N648" s="23">
        <f>ROUND(L648/M648, 0)</f>
        <v/>
      </c>
      <c r="O648" s="23">
        <f>ROUND(N648*'Methodology &amp; Assumptions'!$B$8, 0)</f>
        <v/>
      </c>
      <c r="P648" s="44" t="inlineStr">
        <is>
          <t>Band n50 (1.5 GHz, 60 MHz)</t>
        </is>
      </c>
      <c r="Q648" s="38">
        <f>ROUNDUP(O648/'Methodology &amp; Assumptions'!$B$9, 0)</f>
        <v/>
      </c>
      <c r="R648" s="39" t="n">
        <v>1</v>
      </c>
      <c r="S648" s="25" t="n">
        <v>2.75</v>
      </c>
      <c r="T648" s="25" t="n">
        <v>0.41</v>
      </c>
      <c r="U648" s="42" t="inlineStr">
        <is>
          <t>Tier 1B (Micro Drop, 1-3 km)</t>
        </is>
      </c>
      <c r="V648" s="24" t="n">
        <v>49.9</v>
      </c>
      <c r="W648" s="24" t="n">
        <v>96.3</v>
      </c>
      <c r="X648" s="24" t="n">
        <v>58</v>
      </c>
      <c r="Y648" s="45">
        <f>ROUND((V648*'Methodology &amp; Assumptions'!$B$6)+(W648*'Methodology &amp; Assumptions'!$B$5)+(X648*'Methodology &amp; Assumptions'!$B$7), 2)</f>
        <v/>
      </c>
    </row>
    <row r="649" ht="19" customHeight="1">
      <c r="A649" s="35" t="n">
        <v>645</v>
      </c>
      <c r="B649" s="35" t="n">
        <v>2645</v>
      </c>
      <c r="C649" s="36" t="inlineStr">
        <is>
          <t>0431200027</t>
        </is>
      </c>
      <c r="D649" s="36" t="inlineStr">
        <is>
          <t>Region IV-A (CALABARZON)</t>
        </is>
      </c>
      <c r="E649" s="36" t="inlineStr">
        <is>
          <t>Quezon</t>
        </is>
      </c>
      <c r="F649" s="36" t="inlineStr">
        <is>
          <t>City of Lucena</t>
        </is>
      </c>
      <c r="G649" s="36" t="inlineStr">
        <is>
          <t>Mayao Crossing</t>
        </is>
      </c>
      <c r="H649" s="37" t="n">
        <v>13.925704</v>
      </c>
      <c r="I649" s="37" t="n">
        <v>121.622459</v>
      </c>
      <c r="J649" s="8" t="inlineStr">
        <is>
          <t>U</t>
        </is>
      </c>
      <c r="K649" s="36" t="inlineStr">
        <is>
          <t>Class 1-3 / Urban</t>
        </is>
      </c>
      <c r="L649" s="18" t="n">
        <v>17106</v>
      </c>
      <c r="M649" s="20" t="n">
        <v>4.46</v>
      </c>
      <c r="N649" s="18">
        <f>ROUND(L649/M649, 0)</f>
        <v/>
      </c>
      <c r="O649" s="18">
        <f>ROUND(N649*'Methodology &amp; Assumptions'!$B$8, 0)</f>
        <v/>
      </c>
      <c r="P649" s="8" t="inlineStr">
        <is>
          <t>Band n50 (1.5 GHz, 60 MHz)</t>
        </is>
      </c>
      <c r="Q649" s="38">
        <f>ROUNDUP(O649/'Methodology &amp; Assumptions'!$B$9, 0)</f>
        <v/>
      </c>
      <c r="R649" s="39" t="n">
        <v>1</v>
      </c>
      <c r="S649" s="21" t="n">
        <v>1.44</v>
      </c>
      <c r="T649" s="21" t="n">
        <v>1.27</v>
      </c>
      <c r="U649" s="36" t="inlineStr">
        <is>
          <t>Tier 1B (Micro Drop, 1-3 km)</t>
        </is>
      </c>
      <c r="V649" s="20" t="n">
        <v>71.90000000000001</v>
      </c>
      <c r="W649" s="20" t="n">
        <v>100</v>
      </c>
      <c r="X649" s="20" t="n">
        <v>28</v>
      </c>
      <c r="Y649" s="40">
        <f>ROUND((V649*'Methodology &amp; Assumptions'!$B$6)+(W649*'Methodology &amp; Assumptions'!$B$5)+(X649*'Methodology &amp; Assumptions'!$B$7), 2)</f>
        <v/>
      </c>
    </row>
    <row r="650" ht="19" customHeight="1">
      <c r="A650" s="41" t="n">
        <v>646</v>
      </c>
      <c r="B650" s="41" t="n">
        <v>2646</v>
      </c>
      <c r="C650" s="42" t="inlineStr">
        <is>
          <t>0403424057</t>
        </is>
      </c>
      <c r="D650" s="42" t="inlineStr">
        <is>
          <t>Region IV-A (CALABARZON)</t>
        </is>
      </c>
      <c r="E650" s="42" t="inlineStr">
        <is>
          <t>Laguna</t>
        </is>
      </c>
      <c r="F650" s="42" t="inlineStr">
        <is>
          <t>City of San Pablo</t>
        </is>
      </c>
      <c r="G650" s="42" t="inlineStr">
        <is>
          <t>San Lucas 2</t>
        </is>
      </c>
      <c r="H650" s="43" t="n">
        <v>14.087562</v>
      </c>
      <c r="I650" s="43" t="n">
        <v>121.327961</v>
      </c>
      <c r="J650" s="44" t="inlineStr">
        <is>
          <t>U</t>
        </is>
      </c>
      <c r="K650" s="42" t="inlineStr">
        <is>
          <t>Class 1-3 / Urban</t>
        </is>
      </c>
      <c r="L650" s="23" t="n">
        <v>6474</v>
      </c>
      <c r="M650" s="24" t="n">
        <v>4.2</v>
      </c>
      <c r="N650" s="23">
        <f>ROUND(L650/M650, 0)</f>
        <v/>
      </c>
      <c r="O650" s="23">
        <f>ROUND(N650*'Methodology &amp; Assumptions'!$B$8, 0)</f>
        <v/>
      </c>
      <c r="P650" s="44" t="inlineStr">
        <is>
          <t>Band n50 (1.5 GHz, 60 MHz)</t>
        </is>
      </c>
      <c r="Q650" s="38">
        <f>ROUNDUP(O650/'Methodology &amp; Assumptions'!$B$9, 0)</f>
        <v/>
      </c>
      <c r="R650" s="39" t="n">
        <v>1</v>
      </c>
      <c r="S650" s="25" t="n">
        <v>1.44</v>
      </c>
      <c r="T650" s="25" t="n">
        <v>1.37</v>
      </c>
      <c r="U650" s="42" t="inlineStr">
        <is>
          <t>Tier 1B (Micro Drop, 1-3 km)</t>
        </is>
      </c>
      <c r="V650" s="24" t="n">
        <v>71.90000000000001</v>
      </c>
      <c r="W650" s="24" t="n">
        <v>100</v>
      </c>
      <c r="X650" s="24" t="n">
        <v>28</v>
      </c>
      <c r="Y650" s="45">
        <f>ROUND((V650*'Methodology &amp; Assumptions'!$B$6)+(W650*'Methodology &amp; Assumptions'!$B$5)+(X650*'Methodology &amp; Assumptions'!$B$7), 2)</f>
        <v/>
      </c>
    </row>
    <row r="651" ht="19" customHeight="1">
      <c r="A651" s="35" t="n">
        <v>647</v>
      </c>
      <c r="B651" s="35" t="n">
        <v>2647</v>
      </c>
      <c r="C651" s="36" t="inlineStr">
        <is>
          <t>1408105008</t>
        </is>
      </c>
      <c r="D651" s="36" t="inlineStr">
        <is>
          <t>Cordillera Administrative Region (CAR)</t>
        </is>
      </c>
      <c r="E651" s="36" t="inlineStr">
        <is>
          <t>Apayao</t>
        </is>
      </c>
      <c r="F651" s="36" t="inlineStr">
        <is>
          <t>Luna</t>
        </is>
      </c>
      <c r="G651" s="36" t="inlineStr">
        <is>
          <t>Quirino</t>
        </is>
      </c>
      <c r="H651" s="37" t="n">
        <v>18.33815</v>
      </c>
      <c r="I651" s="37" t="n">
        <v>121.386354</v>
      </c>
      <c r="J651" s="8" t="inlineStr">
        <is>
          <t>R</t>
        </is>
      </c>
      <c r="K651" s="36" t="inlineStr">
        <is>
          <t>Class 1-3 / Urban</t>
        </is>
      </c>
      <c r="L651" s="18" t="n">
        <v>1458</v>
      </c>
      <c r="M651" s="20" t="n">
        <v>4.49</v>
      </c>
      <c r="N651" s="18">
        <f>ROUND(L651/M651, 0)</f>
        <v/>
      </c>
      <c r="O651" s="18">
        <f>ROUND(N651*'Methodology &amp; Assumptions'!$B$8, 0)</f>
        <v/>
      </c>
      <c r="P651" s="8" t="inlineStr">
        <is>
          <t>Band n50 (1.5 GHz, 60 MHz)</t>
        </is>
      </c>
      <c r="Q651" s="38">
        <f>ROUNDUP(O651/'Methodology &amp; Assumptions'!$B$9, 0)</f>
        <v/>
      </c>
      <c r="R651" s="39" t="n">
        <v>1</v>
      </c>
      <c r="S651" s="21" t="n">
        <v>0.13</v>
      </c>
      <c r="T651" s="21" t="n">
        <v>0.25</v>
      </c>
      <c r="U651" s="36" t="inlineStr">
        <is>
          <t>Tier 1A (Direct Coloc, &lt;1 km)</t>
        </is>
      </c>
      <c r="V651" s="20" t="n">
        <v>100</v>
      </c>
      <c r="W651" s="20" t="n">
        <v>46.1</v>
      </c>
      <c r="X651" s="20" t="n">
        <v>58</v>
      </c>
      <c r="Y651" s="40">
        <f>ROUND((V651*'Methodology &amp; Assumptions'!$B$6)+(W651*'Methodology &amp; Assumptions'!$B$5)+(X651*'Methodology &amp; Assumptions'!$B$7), 2)</f>
        <v/>
      </c>
    </row>
    <row r="652" ht="19" customHeight="1">
      <c r="A652" s="41" t="n">
        <v>648</v>
      </c>
      <c r="B652" s="41" t="n">
        <v>2648</v>
      </c>
      <c r="C652" s="42" t="inlineStr">
        <is>
          <t>0205010016</t>
        </is>
      </c>
      <c r="D652" s="42" t="inlineStr">
        <is>
          <t>Region II (Cagayan Valley)</t>
        </is>
      </c>
      <c r="E652" s="42" t="inlineStr">
        <is>
          <t>Nueva Vizcaya</t>
        </is>
      </c>
      <c r="F652" s="42" t="inlineStr">
        <is>
          <t>Kayapa</t>
        </is>
      </c>
      <c r="G652" s="42" t="inlineStr">
        <is>
          <t>Pampang</t>
        </is>
      </c>
      <c r="H652" s="43" t="n">
        <v>16.357811</v>
      </c>
      <c r="I652" s="43" t="n">
        <v>120.887992</v>
      </c>
      <c r="J652" s="44" t="inlineStr">
        <is>
          <t>R</t>
        </is>
      </c>
      <c r="K652" s="42" t="inlineStr">
        <is>
          <t>Class 1-3 / Urban</t>
        </is>
      </c>
      <c r="L652" s="23" t="n">
        <v>1159</v>
      </c>
      <c r="M652" s="24" t="n">
        <v>4.19</v>
      </c>
      <c r="N652" s="23">
        <f>ROUND(L652/M652, 0)</f>
        <v/>
      </c>
      <c r="O652" s="23">
        <f>ROUND(N652*'Methodology &amp; Assumptions'!$B$8, 0)</f>
        <v/>
      </c>
      <c r="P652" s="44" t="inlineStr">
        <is>
          <t>Band n50 (1.5 GHz, 60 MHz)</t>
        </is>
      </c>
      <c r="Q652" s="38">
        <f>ROUNDUP(O652/'Methodology &amp; Assumptions'!$B$9, 0)</f>
        <v/>
      </c>
      <c r="R652" s="39" t="n">
        <v>1</v>
      </c>
      <c r="S652" s="25" t="n">
        <v>0.27</v>
      </c>
      <c r="T652" s="25" t="n">
        <v>0.06</v>
      </c>
      <c r="U652" s="42" t="inlineStr">
        <is>
          <t>Tier 1A (Direct Coloc, &lt;1 km)</t>
        </is>
      </c>
      <c r="V652" s="24" t="n">
        <v>100</v>
      </c>
      <c r="W652" s="24" t="n">
        <v>46.1</v>
      </c>
      <c r="X652" s="24" t="n">
        <v>58</v>
      </c>
      <c r="Y652" s="45">
        <f>ROUND((V652*'Methodology &amp; Assumptions'!$B$6)+(W652*'Methodology &amp; Assumptions'!$B$5)+(X652*'Methodology &amp; Assumptions'!$B$7), 2)</f>
        <v/>
      </c>
    </row>
    <row r="653" ht="19" customHeight="1">
      <c r="A653" s="35" t="n">
        <v>649</v>
      </c>
      <c r="B653" s="35" t="n">
        <v>2649</v>
      </c>
      <c r="C653" s="36" t="inlineStr">
        <is>
          <t>0403410032</t>
        </is>
      </c>
      <c r="D653" s="36" t="inlineStr">
        <is>
          <t>Region IV-A (CALABARZON)</t>
        </is>
      </c>
      <c r="E653" s="36" t="inlineStr">
        <is>
          <t>Laguna</t>
        </is>
      </c>
      <c r="F653" s="36" t="inlineStr">
        <is>
          <t>Liliw</t>
        </is>
      </c>
      <c r="G653" s="36" t="inlineStr">
        <is>
          <t>Pag-Asa</t>
        </is>
      </c>
      <c r="H653" s="37" t="n">
        <v>14.138628</v>
      </c>
      <c r="I653" s="37" t="n">
        <v>121.436672</v>
      </c>
      <c r="J653" s="8" t="inlineStr">
        <is>
          <t>R</t>
        </is>
      </c>
      <c r="K653" s="36" t="inlineStr">
        <is>
          <t>3rd</t>
        </is>
      </c>
      <c r="L653" s="18" t="n">
        <v>1089</v>
      </c>
      <c r="M653" s="20" t="n">
        <v>3.93</v>
      </c>
      <c r="N653" s="18">
        <f>ROUND(L653/M653, 0)</f>
        <v/>
      </c>
      <c r="O653" s="18">
        <f>ROUND(N653*'Methodology &amp; Assumptions'!$B$8, 0)</f>
        <v/>
      </c>
      <c r="P653" s="8" t="inlineStr">
        <is>
          <t>Band n50 (1.5 GHz, 60 MHz)</t>
        </is>
      </c>
      <c r="Q653" s="38">
        <f>ROUNDUP(O653/'Methodology &amp; Assumptions'!$B$9, 0)</f>
        <v/>
      </c>
      <c r="R653" s="39" t="n">
        <v>1</v>
      </c>
      <c r="S653" s="21" t="n">
        <v>0.27</v>
      </c>
      <c r="T653" s="21" t="n">
        <v>0.18</v>
      </c>
      <c r="U653" s="36" t="inlineStr">
        <is>
          <t>Tier 1A (Direct Coloc, &lt;1 km)</t>
        </is>
      </c>
      <c r="V653" s="20" t="n">
        <v>100</v>
      </c>
      <c r="W653" s="20" t="n">
        <v>46.1</v>
      </c>
      <c r="X653" s="20" t="n">
        <v>58</v>
      </c>
      <c r="Y653" s="40">
        <f>ROUND((V653*'Methodology &amp; Assumptions'!$B$6)+(W653*'Methodology &amp; Assumptions'!$B$5)+(X653*'Methodology &amp; Assumptions'!$B$7), 2)</f>
        <v/>
      </c>
    </row>
    <row r="654" ht="19" customHeight="1">
      <c r="A654" s="41" t="n">
        <v>650</v>
      </c>
      <c r="B654" s="41" t="n">
        <v>2650</v>
      </c>
      <c r="C654" s="42" t="inlineStr">
        <is>
          <t>0306910028</t>
        </is>
      </c>
      <c r="D654" s="42" t="inlineStr">
        <is>
          <t>Region III (Central Luzon)</t>
        </is>
      </c>
      <c r="E654" s="42" t="inlineStr">
        <is>
          <t>Tarlac</t>
        </is>
      </c>
      <c r="F654" s="42" t="inlineStr">
        <is>
          <t>Paniqui</t>
        </is>
      </c>
      <c r="G654" s="42" t="inlineStr">
        <is>
          <t>Samput</t>
        </is>
      </c>
      <c r="H654" s="43" t="n">
        <v>15.655595</v>
      </c>
      <c r="I654" s="43" t="n">
        <v>120.583327</v>
      </c>
      <c r="J654" s="44" t="inlineStr">
        <is>
          <t>U</t>
        </is>
      </c>
      <c r="K654" s="42" t="inlineStr">
        <is>
          <t>Class 1-3 / Urban</t>
        </is>
      </c>
      <c r="L654" s="23" t="n">
        <v>6253</v>
      </c>
      <c r="M654" s="24" t="n">
        <v>4.3</v>
      </c>
      <c r="N654" s="23">
        <f>ROUND(L654/M654, 0)</f>
        <v/>
      </c>
      <c r="O654" s="23">
        <f>ROUND(N654*'Methodology &amp; Assumptions'!$B$8, 0)</f>
        <v/>
      </c>
      <c r="P654" s="44" t="inlineStr">
        <is>
          <t>Band n50 (1.5 GHz, 60 MHz)</t>
        </is>
      </c>
      <c r="Q654" s="38">
        <f>ROUNDUP(O654/'Methodology &amp; Assumptions'!$B$9, 0)</f>
        <v/>
      </c>
      <c r="R654" s="39" t="n">
        <v>1</v>
      </c>
      <c r="S654" s="25" t="n">
        <v>1.44</v>
      </c>
      <c r="T654" s="25" t="n">
        <v>0.17</v>
      </c>
      <c r="U654" s="42" t="inlineStr">
        <is>
          <t>Tier 1B (Micro Drop, 1-3 km)</t>
        </is>
      </c>
      <c r="V654" s="24" t="n">
        <v>71.90000000000001</v>
      </c>
      <c r="W654" s="24" t="n">
        <v>100</v>
      </c>
      <c r="X654" s="24" t="n">
        <v>28</v>
      </c>
      <c r="Y654" s="45">
        <f>ROUND((V654*'Methodology &amp; Assumptions'!$B$6)+(W654*'Methodology &amp; Assumptions'!$B$5)+(X654*'Methodology &amp; Assumptions'!$B$7), 2)</f>
        <v/>
      </c>
    </row>
    <row r="655" ht="19" customHeight="1">
      <c r="A655" s="35" t="n">
        <v>651</v>
      </c>
      <c r="B655" s="35" t="n">
        <v>2651</v>
      </c>
      <c r="C655" s="36" t="inlineStr">
        <is>
          <t>1600203032</t>
        </is>
      </c>
      <c r="D655" s="36" t="inlineStr">
        <is>
          <t>Region XIII (Caraga)</t>
        </is>
      </c>
      <c r="E655" s="36" t="inlineStr">
        <is>
          <t>Agusan del Norte</t>
        </is>
      </c>
      <c r="F655" s="36" t="inlineStr">
        <is>
          <t>City of Cabadbaran</t>
        </is>
      </c>
      <c r="G655" s="36" t="inlineStr">
        <is>
          <t>Poblacion 9</t>
        </is>
      </c>
      <c r="H655" s="37" t="n">
        <v>9.122423</v>
      </c>
      <c r="I655" s="37" t="n">
        <v>125.539393</v>
      </c>
      <c r="J655" s="8" t="inlineStr">
        <is>
          <t>U</t>
        </is>
      </c>
      <c r="K655" s="36" t="inlineStr">
        <is>
          <t>Class 1-3 / Urban</t>
        </is>
      </c>
      <c r="L655" s="18" t="n">
        <v>3797</v>
      </c>
      <c r="M655" s="20" t="n">
        <v>4.63</v>
      </c>
      <c r="N655" s="18">
        <f>ROUND(L655/M655, 0)</f>
        <v/>
      </c>
      <c r="O655" s="18">
        <f>ROUND(N655*'Methodology &amp; Assumptions'!$B$8, 0)</f>
        <v/>
      </c>
      <c r="P655" s="8" t="inlineStr">
        <is>
          <t>Band n50 (1.5 GHz, 60 MHz)</t>
        </is>
      </c>
      <c r="Q655" s="38">
        <f>ROUNDUP(O655/'Methodology &amp; Assumptions'!$B$9, 0)</f>
        <v/>
      </c>
      <c r="R655" s="39" t="n">
        <v>1</v>
      </c>
      <c r="S655" s="21" t="n">
        <v>0.97</v>
      </c>
      <c r="T655" s="21" t="n">
        <v>0.45</v>
      </c>
      <c r="U655" s="36" t="inlineStr">
        <is>
          <t>Tier 1A (Direct Coloc, &lt;1 km)</t>
        </is>
      </c>
      <c r="V655" s="20" t="n">
        <v>82.3</v>
      </c>
      <c r="W655" s="20" t="n">
        <v>89.59999999999999</v>
      </c>
      <c r="X655" s="20" t="n">
        <v>28</v>
      </c>
      <c r="Y655" s="40">
        <f>ROUND((V655*'Methodology &amp; Assumptions'!$B$6)+(W655*'Methodology &amp; Assumptions'!$B$5)+(X655*'Methodology &amp; Assumptions'!$B$7), 2)</f>
        <v/>
      </c>
    </row>
    <row r="656" ht="19" customHeight="1">
      <c r="A656" s="41" t="n">
        <v>652</v>
      </c>
      <c r="B656" s="41" t="n">
        <v>2652</v>
      </c>
      <c r="C656" s="42" t="inlineStr">
        <is>
          <t>0307703009</t>
        </is>
      </c>
      <c r="D656" s="42" t="inlineStr">
        <is>
          <t>Region III (Central Luzon)</t>
        </is>
      </c>
      <c r="E656" s="42" t="inlineStr">
        <is>
          <t>Aurora</t>
        </is>
      </c>
      <c r="F656" s="42" t="inlineStr">
        <is>
          <t>Dilasag</t>
        </is>
      </c>
      <c r="G656" s="42" t="inlineStr">
        <is>
          <t>Masagana</t>
        </is>
      </c>
      <c r="H656" s="43" t="n">
        <v>16.404901</v>
      </c>
      <c r="I656" s="43" t="n">
        <v>122.205821</v>
      </c>
      <c r="J656" s="44" t="inlineStr">
        <is>
          <t>R</t>
        </is>
      </c>
      <c r="K656" s="42" t="inlineStr">
        <is>
          <t>Class 1-3 / Urban</t>
        </is>
      </c>
      <c r="L656" s="23" t="n">
        <v>2280</v>
      </c>
      <c r="M656" s="24" t="n">
        <v>4.24</v>
      </c>
      <c r="N656" s="23">
        <f>ROUND(L656/M656, 0)</f>
        <v/>
      </c>
      <c r="O656" s="23">
        <f>ROUND(N656*'Methodology &amp; Assumptions'!$B$8, 0)</f>
        <v/>
      </c>
      <c r="P656" s="44" t="inlineStr">
        <is>
          <t>Band n50 (1.5 GHz, 60 MHz)</t>
        </is>
      </c>
      <c r="Q656" s="38">
        <f>ROUNDUP(O656/'Methodology &amp; Assumptions'!$B$9, 0)</f>
        <v/>
      </c>
      <c r="R656" s="39" t="n">
        <v>1</v>
      </c>
      <c r="S656" s="25" t="n">
        <v>1.11</v>
      </c>
      <c r="T656" s="25" t="n">
        <v>0.07000000000000001</v>
      </c>
      <c r="U656" s="42" t="inlineStr">
        <is>
          <t>Tier 1B (Micro Drop, 1-3 km)</t>
        </is>
      </c>
      <c r="V656" s="24" t="n">
        <v>79.2</v>
      </c>
      <c r="W656" s="24" t="n">
        <v>66.90000000000001</v>
      </c>
      <c r="X656" s="24" t="n">
        <v>58</v>
      </c>
      <c r="Y656" s="45">
        <f>ROUND((V656*'Methodology &amp; Assumptions'!$B$6)+(W656*'Methodology &amp; Assumptions'!$B$5)+(X656*'Methodology &amp; Assumptions'!$B$7), 2)</f>
        <v/>
      </c>
    </row>
    <row r="657" ht="19" customHeight="1">
      <c r="A657" s="35" t="n">
        <v>653</v>
      </c>
      <c r="B657" s="35" t="n">
        <v>2653</v>
      </c>
      <c r="C657" s="36" t="inlineStr">
        <is>
          <t>0501611001</t>
        </is>
      </c>
      <c r="D657" s="36" t="inlineStr">
        <is>
          <t>Region V (Bicol Region)</t>
        </is>
      </c>
      <c r="E657" s="36" t="inlineStr">
        <is>
          <t>Camarines Norte</t>
        </is>
      </c>
      <c r="F657" s="36" t="inlineStr">
        <is>
          <t>Talisay</t>
        </is>
      </c>
      <c r="G657" s="36" t="inlineStr">
        <is>
          <t>Binanuaan</t>
        </is>
      </c>
      <c r="H657" s="37" t="n">
        <v>14.138022</v>
      </c>
      <c r="I657" s="37" t="n">
        <v>122.941436</v>
      </c>
      <c r="J657" s="8" t="inlineStr">
        <is>
          <t>R</t>
        </is>
      </c>
      <c r="K657" s="36" t="inlineStr">
        <is>
          <t>4th</t>
        </is>
      </c>
      <c r="L657" s="18" t="n">
        <v>2925</v>
      </c>
      <c r="M657" s="20" t="n">
        <v>4.45</v>
      </c>
      <c r="N657" s="18">
        <f>ROUND(L657/M657, 0)</f>
        <v/>
      </c>
      <c r="O657" s="18">
        <f>ROUND(N657*'Methodology &amp; Assumptions'!$B$8, 0)</f>
        <v/>
      </c>
      <c r="P657" s="8" t="inlineStr">
        <is>
          <t>Band n50 (1.5 GHz, 60 MHz)</t>
        </is>
      </c>
      <c r="Q657" s="38">
        <f>ROUNDUP(O657/'Methodology &amp; Assumptions'!$B$9, 0)</f>
        <v/>
      </c>
      <c r="R657" s="39" t="n">
        <v>1</v>
      </c>
      <c r="S657" s="21" t="n">
        <v>2.93</v>
      </c>
      <c r="T657" s="21" t="n">
        <v>1.13</v>
      </c>
      <c r="U657" s="36" t="inlineStr">
        <is>
          <t>Tier 1B (Micro Drop, 1-3 km)</t>
        </is>
      </c>
      <c r="V657" s="20" t="n">
        <v>47.7</v>
      </c>
      <c r="W657" s="20" t="n">
        <v>76.5</v>
      </c>
      <c r="X657" s="20" t="n">
        <v>83.5</v>
      </c>
      <c r="Y657" s="40">
        <f>ROUND((V657*'Methodology &amp; Assumptions'!$B$6)+(W657*'Methodology &amp; Assumptions'!$B$5)+(X657*'Methodology &amp; Assumptions'!$B$7), 2)</f>
        <v/>
      </c>
    </row>
    <row r="658" ht="19" customHeight="1">
      <c r="A658" s="41" t="n">
        <v>654</v>
      </c>
      <c r="B658" s="41" t="n">
        <v>2654</v>
      </c>
      <c r="C658" s="42" t="inlineStr">
        <is>
          <t>0401019046</t>
        </is>
      </c>
      <c r="D658" s="42" t="inlineStr">
        <is>
          <t>Region IV-A (CALABARZON)</t>
        </is>
      </c>
      <c r="E658" s="42" t="inlineStr">
        <is>
          <t>Batangas</t>
        </is>
      </c>
      <c r="F658" s="42" t="inlineStr">
        <is>
          <t>Nasugbu</t>
        </is>
      </c>
      <c r="G658" s="42" t="inlineStr">
        <is>
          <t>Tumalim</t>
        </is>
      </c>
      <c r="H658" s="43" t="n">
        <v>14.080123</v>
      </c>
      <c r="I658" s="43" t="n">
        <v>120.723473</v>
      </c>
      <c r="J658" s="44" t="inlineStr">
        <is>
          <t>R</t>
        </is>
      </c>
      <c r="K658" s="42" t="inlineStr">
        <is>
          <t>Class 1-3 / Urban</t>
        </is>
      </c>
      <c r="L658" s="23" t="n">
        <v>4535</v>
      </c>
      <c r="M658" s="24" t="n">
        <v>4.62</v>
      </c>
      <c r="N658" s="23">
        <f>ROUND(L658/M658, 0)</f>
        <v/>
      </c>
      <c r="O658" s="23">
        <f>ROUND(N658*'Methodology &amp; Assumptions'!$B$8, 0)</f>
        <v/>
      </c>
      <c r="P658" s="44" t="inlineStr">
        <is>
          <t>Band n50 (1.5 GHz, 60 MHz)</t>
        </is>
      </c>
      <c r="Q658" s="38">
        <f>ROUNDUP(O658/'Methodology &amp; Assumptions'!$B$9, 0)</f>
        <v/>
      </c>
      <c r="R658" s="39" t="n">
        <v>1</v>
      </c>
      <c r="S658" s="25" t="n">
        <v>3.06</v>
      </c>
      <c r="T658" s="25" t="n">
        <v>1.79</v>
      </c>
      <c r="U658" s="42" t="inlineStr">
        <is>
          <t>Tier 2 (Fiber Corridor / Lateral, 3-5 km)</t>
        </is>
      </c>
      <c r="V658" s="24" t="n">
        <v>46.1</v>
      </c>
      <c r="W658" s="24" t="n">
        <v>100</v>
      </c>
      <c r="X658" s="24" t="n">
        <v>58</v>
      </c>
      <c r="Y658" s="45">
        <f>ROUND((V658*'Methodology &amp; Assumptions'!$B$6)+(W658*'Methodology &amp; Assumptions'!$B$5)+(X658*'Methodology &amp; Assumptions'!$B$7), 2)</f>
        <v/>
      </c>
    </row>
    <row r="659" ht="19" customHeight="1">
      <c r="A659" s="35" t="n">
        <v>655</v>
      </c>
      <c r="B659" s="35" t="n">
        <v>2655</v>
      </c>
      <c r="C659" s="36" t="inlineStr">
        <is>
          <t>0305407027</t>
        </is>
      </c>
      <c r="D659" s="36" t="inlineStr">
        <is>
          <t>Region III (Central Luzon)</t>
        </is>
      </c>
      <c r="E659" s="36" t="inlineStr">
        <is>
          <t>Pampanga</t>
        </is>
      </c>
      <c r="F659" s="36" t="inlineStr">
        <is>
          <t>Guagua</t>
        </is>
      </c>
      <c r="G659" s="36" t="inlineStr">
        <is>
          <t>San Juan</t>
        </is>
      </c>
      <c r="H659" s="37" t="n">
        <v>14.9745</v>
      </c>
      <c r="I659" s="37" t="n">
        <v>120.61744</v>
      </c>
      <c r="J659" s="8" t="inlineStr">
        <is>
          <t>R</t>
        </is>
      </c>
      <c r="K659" s="36" t="inlineStr">
        <is>
          <t>Class 1-3 / Urban</t>
        </is>
      </c>
      <c r="L659" s="18" t="n">
        <v>2738</v>
      </c>
      <c r="M659" s="20" t="n">
        <v>4.63</v>
      </c>
      <c r="N659" s="18">
        <f>ROUND(L659/M659, 0)</f>
        <v/>
      </c>
      <c r="O659" s="18">
        <f>ROUND(N659*'Methodology &amp; Assumptions'!$B$8, 0)</f>
        <v/>
      </c>
      <c r="P659" s="8" t="inlineStr">
        <is>
          <t>Band n50 (1.5 GHz, 60 MHz)</t>
        </is>
      </c>
      <c r="Q659" s="38">
        <f>ROUNDUP(O659/'Methodology &amp; Assumptions'!$B$9, 0)</f>
        <v/>
      </c>
      <c r="R659" s="39" t="n">
        <v>1</v>
      </c>
      <c r="S659" s="21" t="n">
        <v>1.3</v>
      </c>
      <c r="T659" s="21" t="n">
        <v>0.53</v>
      </c>
      <c r="U659" s="36" t="inlineStr">
        <is>
          <t>Tier 1B (Micro Drop, 1-3 km)</t>
        </is>
      </c>
      <c r="V659" s="20" t="n">
        <v>74.90000000000001</v>
      </c>
      <c r="W659" s="20" t="n">
        <v>71.2</v>
      </c>
      <c r="X659" s="20" t="n">
        <v>58</v>
      </c>
      <c r="Y659" s="40">
        <f>ROUND((V659*'Methodology &amp; Assumptions'!$B$6)+(W659*'Methodology &amp; Assumptions'!$B$5)+(X659*'Methodology &amp; Assumptions'!$B$7), 2)</f>
        <v/>
      </c>
    </row>
    <row r="660" ht="19" customHeight="1">
      <c r="A660" s="41" t="n">
        <v>656</v>
      </c>
      <c r="B660" s="41" t="n">
        <v>2656</v>
      </c>
      <c r="C660" s="42" t="inlineStr">
        <is>
          <t>0401016022</t>
        </is>
      </c>
      <c r="D660" s="42" t="inlineStr">
        <is>
          <t>Region IV-A (CALABARZON)</t>
        </is>
      </c>
      <c r="E660" s="42" t="inlineStr">
        <is>
          <t>Batangas</t>
        </is>
      </c>
      <c r="F660" s="42" t="inlineStr">
        <is>
          <t>Mabini</t>
        </is>
      </c>
      <c r="G660" s="42" t="inlineStr">
        <is>
          <t>Pulong Niogan</t>
        </is>
      </c>
      <c r="H660" s="43" t="n">
        <v>13.75369</v>
      </c>
      <c r="I660" s="43" t="n">
        <v>120.940302</v>
      </c>
      <c r="J660" s="44" t="inlineStr">
        <is>
          <t>R</t>
        </is>
      </c>
      <c r="K660" s="42" t="inlineStr">
        <is>
          <t>Class 1-3 / Urban</t>
        </is>
      </c>
      <c r="L660" s="23" t="n">
        <v>2424</v>
      </c>
      <c r="M660" s="24" t="n">
        <v>4.62</v>
      </c>
      <c r="N660" s="23">
        <f>ROUND(L660/M660, 0)</f>
        <v/>
      </c>
      <c r="O660" s="23">
        <f>ROUND(N660*'Methodology &amp; Assumptions'!$B$8, 0)</f>
        <v/>
      </c>
      <c r="P660" s="44" t="inlineStr">
        <is>
          <t>Band n50 (1.5 GHz, 60 MHz)</t>
        </is>
      </c>
      <c r="Q660" s="38">
        <f>ROUNDUP(O660/'Methodology &amp; Assumptions'!$B$9, 0)</f>
        <v/>
      </c>
      <c r="R660" s="39" t="n">
        <v>1</v>
      </c>
      <c r="S660" s="25" t="n">
        <v>0.67</v>
      </c>
      <c r="T660" s="25" t="n">
        <v>7.96</v>
      </c>
      <c r="U660" s="42" t="inlineStr">
        <is>
          <t>Tier 1A (Direct Coloc, &lt;1 km)</t>
        </is>
      </c>
      <c r="V660" s="24" t="n">
        <v>79.90000000000001</v>
      </c>
      <c r="W660" s="24" t="n">
        <v>66.09999999999999</v>
      </c>
      <c r="X660" s="24" t="n">
        <v>58</v>
      </c>
      <c r="Y660" s="45">
        <f>ROUND((V660*'Methodology &amp; Assumptions'!$B$6)+(W660*'Methodology &amp; Assumptions'!$B$5)+(X660*'Methodology &amp; Assumptions'!$B$7), 2)</f>
        <v/>
      </c>
    </row>
    <row r="661" ht="19" customHeight="1">
      <c r="A661" s="35" t="n">
        <v>657</v>
      </c>
      <c r="B661" s="35" t="n">
        <v>2657</v>
      </c>
      <c r="C661" s="36" t="inlineStr">
        <is>
          <t>0305407012</t>
        </is>
      </c>
      <c r="D661" s="36" t="inlineStr">
        <is>
          <t>Region III (Central Luzon)</t>
        </is>
      </c>
      <c r="E661" s="36" t="inlineStr">
        <is>
          <t>Pampanga</t>
        </is>
      </c>
      <c r="F661" s="36" t="inlineStr">
        <is>
          <t>Guagua</t>
        </is>
      </c>
      <c r="G661" s="36" t="inlineStr">
        <is>
          <t>San Agustin</t>
        </is>
      </c>
      <c r="H661" s="37" t="n">
        <v>14.973565</v>
      </c>
      <c r="I661" s="37" t="n">
        <v>120.642941</v>
      </c>
      <c r="J661" s="8" t="inlineStr">
        <is>
          <t>U</t>
        </is>
      </c>
      <c r="K661" s="36" t="inlineStr">
        <is>
          <t>Class 1-3 / Urban</t>
        </is>
      </c>
      <c r="L661" s="18" t="n">
        <v>6863</v>
      </c>
      <c r="M661" s="20" t="n">
        <v>4.63</v>
      </c>
      <c r="N661" s="18">
        <f>ROUND(L661/M661, 0)</f>
        <v/>
      </c>
      <c r="O661" s="18">
        <f>ROUND(N661*'Methodology &amp; Assumptions'!$B$8, 0)</f>
        <v/>
      </c>
      <c r="P661" s="8" t="inlineStr">
        <is>
          <t>Band n50 (1.5 GHz, 60 MHz)</t>
        </is>
      </c>
      <c r="Q661" s="38">
        <f>ROUNDUP(O661/'Methodology &amp; Assumptions'!$B$9, 0)</f>
        <v/>
      </c>
      <c r="R661" s="39" t="n">
        <v>1</v>
      </c>
      <c r="S661" s="21" t="n">
        <v>1.44</v>
      </c>
      <c r="T661" s="21" t="n">
        <v>0.41</v>
      </c>
      <c r="U661" s="36" t="inlineStr">
        <is>
          <t>Tier 1B (Micro Drop, 1-3 km)</t>
        </is>
      </c>
      <c r="V661" s="20" t="n">
        <v>71.8</v>
      </c>
      <c r="W661" s="20" t="n">
        <v>100</v>
      </c>
      <c r="X661" s="20" t="n">
        <v>28</v>
      </c>
      <c r="Y661" s="40">
        <f>ROUND((V661*'Methodology &amp; Assumptions'!$B$6)+(W661*'Methodology &amp; Assumptions'!$B$5)+(X661*'Methodology &amp; Assumptions'!$B$7), 2)</f>
        <v/>
      </c>
    </row>
    <row r="662" ht="19" customHeight="1">
      <c r="A662" s="41" t="n">
        <v>658</v>
      </c>
      <c r="B662" s="41" t="n">
        <v>2658</v>
      </c>
      <c r="C662" s="42" t="inlineStr">
        <is>
          <t>0300801011</t>
        </is>
      </c>
      <c r="D662" s="42" t="inlineStr">
        <is>
          <t>Region III (Central Luzon)</t>
        </is>
      </c>
      <c r="E662" s="42" t="inlineStr">
        <is>
          <t>Bataan</t>
        </is>
      </c>
      <c r="F662" s="42" t="inlineStr">
        <is>
          <t>Abucay</t>
        </is>
      </c>
      <c r="G662" s="42" t="inlineStr">
        <is>
          <t>Wawa</t>
        </is>
      </c>
      <c r="H662" s="43" t="n">
        <v>14.722035</v>
      </c>
      <c r="I662" s="43" t="n">
        <v>120.537023</v>
      </c>
      <c r="J662" s="44" t="inlineStr">
        <is>
          <t>R</t>
        </is>
      </c>
      <c r="K662" s="42" t="inlineStr">
        <is>
          <t>Class 1-3 / Urban</t>
        </is>
      </c>
      <c r="L662" s="23" t="n">
        <v>4243</v>
      </c>
      <c r="M662" s="24" t="n">
        <v>4.57</v>
      </c>
      <c r="N662" s="23">
        <f>ROUND(L662/M662, 0)</f>
        <v/>
      </c>
      <c r="O662" s="23">
        <f>ROUND(N662*'Methodology &amp; Assumptions'!$B$8, 0)</f>
        <v/>
      </c>
      <c r="P662" s="44" t="inlineStr">
        <is>
          <t>Band n50 (1.5 GHz, 60 MHz)</t>
        </is>
      </c>
      <c r="Q662" s="38">
        <f>ROUNDUP(O662/'Methodology &amp; Assumptions'!$B$9, 0)</f>
        <v/>
      </c>
      <c r="R662" s="39" t="n">
        <v>1</v>
      </c>
      <c r="S662" s="25" t="n">
        <v>4.15</v>
      </c>
      <c r="T662" s="25" t="n">
        <v>0.16</v>
      </c>
      <c r="U662" s="42" t="inlineStr">
        <is>
          <t>Tier 2 (Fiber Corridor / Lateral, 3-5 km)</t>
        </is>
      </c>
      <c r="V662" s="24" t="n">
        <v>35.1</v>
      </c>
      <c r="W662" s="24" t="n">
        <v>98.09999999999999</v>
      </c>
      <c r="X662" s="24" t="n">
        <v>73</v>
      </c>
      <c r="Y662" s="45">
        <f>ROUND((V662*'Methodology &amp; Assumptions'!$B$6)+(W662*'Methodology &amp; Assumptions'!$B$5)+(X662*'Methodology &amp; Assumptions'!$B$7), 2)</f>
        <v/>
      </c>
    </row>
    <row r="663" ht="19" customHeight="1">
      <c r="A663" s="35" t="n">
        <v>659</v>
      </c>
      <c r="B663" s="35" t="n">
        <v>2659</v>
      </c>
      <c r="C663" s="36" t="inlineStr">
        <is>
          <t>0201521018</t>
        </is>
      </c>
      <c r="D663" s="36" t="inlineStr">
        <is>
          <t>Region II (Cagayan Valley)</t>
        </is>
      </c>
      <c r="E663" s="36" t="inlineStr">
        <is>
          <t>Cagayan</t>
        </is>
      </c>
      <c r="F663" s="36" t="inlineStr">
        <is>
          <t>Rizal</t>
        </is>
      </c>
      <c r="G663" s="36" t="inlineStr">
        <is>
          <t>Masi</t>
        </is>
      </c>
      <c r="H663" s="37" t="n">
        <v>18.462815</v>
      </c>
      <c r="I663" s="37" t="n">
        <v>121.341127</v>
      </c>
      <c r="J663" s="8" t="inlineStr">
        <is>
          <t>R</t>
        </is>
      </c>
      <c r="K663" s="36" t="inlineStr">
        <is>
          <t>4th</t>
        </is>
      </c>
      <c r="L663" s="18" t="n">
        <v>731</v>
      </c>
      <c r="M663" s="20" t="n">
        <v>4.45</v>
      </c>
      <c r="N663" s="18">
        <f>ROUND(L663/M663, 0)</f>
        <v/>
      </c>
      <c r="O663" s="18">
        <f>ROUND(N663*'Methodology &amp; Assumptions'!$B$8, 0)</f>
        <v/>
      </c>
      <c r="P663" s="8" t="inlineStr">
        <is>
          <t>Band n50 (1.5 GHz, 60 MHz)</t>
        </is>
      </c>
      <c r="Q663" s="38">
        <f>ROUNDUP(O663/'Methodology &amp; Assumptions'!$B$9, 0)</f>
        <v/>
      </c>
      <c r="R663" s="39" t="n">
        <v>1</v>
      </c>
      <c r="S663" s="21" t="n">
        <v>0.23</v>
      </c>
      <c r="T663" s="21" t="n">
        <v>0.28</v>
      </c>
      <c r="U663" s="36" t="inlineStr">
        <is>
          <t>Tier 1A (Direct Coloc, &lt;1 km)</t>
        </is>
      </c>
      <c r="V663" s="20" t="n">
        <v>100</v>
      </c>
      <c r="W663" s="20" t="n">
        <v>37.1</v>
      </c>
      <c r="X663" s="20" t="n">
        <v>68.5</v>
      </c>
      <c r="Y663" s="40">
        <f>ROUND((V663*'Methodology &amp; Assumptions'!$B$6)+(W663*'Methodology &amp; Assumptions'!$B$5)+(X663*'Methodology &amp; Assumptions'!$B$7), 2)</f>
        <v/>
      </c>
    </row>
    <row r="664" ht="19" customHeight="1">
      <c r="A664" s="41" t="n">
        <v>660</v>
      </c>
      <c r="B664" s="41" t="n">
        <v>2660</v>
      </c>
      <c r="C664" s="42" t="inlineStr">
        <is>
          <t>0405629013</t>
        </is>
      </c>
      <c r="D664" s="42" t="inlineStr">
        <is>
          <t>Region IV-A (CALABARZON)</t>
        </is>
      </c>
      <c r="E664" s="42" t="inlineStr">
        <is>
          <t>Quezon</t>
        </is>
      </c>
      <c r="F664" s="42" t="inlineStr">
        <is>
          <t>Padre Burgos</t>
        </is>
      </c>
      <c r="G664" s="42" t="inlineStr">
        <is>
          <t>Basiao</t>
        </is>
      </c>
      <c r="H664" s="43" t="n">
        <v>13.914032</v>
      </c>
      <c r="I664" s="43" t="n">
        <v>121.814583</v>
      </c>
      <c r="J664" s="44" t="inlineStr">
        <is>
          <t>R</t>
        </is>
      </c>
      <c r="K664" s="42" t="inlineStr">
        <is>
          <t>4th</t>
        </is>
      </c>
      <c r="L664" s="23" t="n">
        <v>700</v>
      </c>
      <c r="M664" s="24" t="n">
        <v>4.33</v>
      </c>
      <c r="N664" s="23">
        <f>ROUND(L664/M664, 0)</f>
        <v/>
      </c>
      <c r="O664" s="23">
        <f>ROUND(N664*'Methodology &amp; Assumptions'!$B$8, 0)</f>
        <v/>
      </c>
      <c r="P664" s="44" t="inlineStr">
        <is>
          <t>Band n50 (1.5 GHz, 60 MHz)</t>
        </is>
      </c>
      <c r="Q664" s="38">
        <f>ROUNDUP(O664/'Methodology &amp; Assumptions'!$B$9, 0)</f>
        <v/>
      </c>
      <c r="R664" s="39" t="n">
        <v>1</v>
      </c>
      <c r="S664" s="25" t="n">
        <v>0.24</v>
      </c>
      <c r="T664" s="25" t="n">
        <v>0.36</v>
      </c>
      <c r="U664" s="42" t="inlineStr">
        <is>
          <t>Tier 1A (Direct Coloc, &lt;1 km)</t>
        </is>
      </c>
      <c r="V664" s="24" t="n">
        <v>100</v>
      </c>
      <c r="W664" s="24" t="n">
        <v>37.1</v>
      </c>
      <c r="X664" s="24" t="n">
        <v>68.5</v>
      </c>
      <c r="Y664" s="45">
        <f>ROUND((V664*'Methodology &amp; Assumptions'!$B$6)+(W664*'Methodology &amp; Assumptions'!$B$5)+(X664*'Methodology &amp; Assumptions'!$B$7), 2)</f>
        <v/>
      </c>
    </row>
    <row r="665" ht="19" customHeight="1">
      <c r="A665" s="35" t="n">
        <v>661</v>
      </c>
      <c r="B665" s="35" t="n">
        <v>2661</v>
      </c>
      <c r="C665" s="36" t="inlineStr">
        <is>
          <t>1130700080</t>
        </is>
      </c>
      <c r="D665" s="36" t="inlineStr">
        <is>
          <t>Region XI (Davao Region)</t>
        </is>
      </c>
      <c r="E665" s="36" t="inlineStr">
        <is>
          <t>Davao del Sur</t>
        </is>
      </c>
      <c r="F665" s="36" t="inlineStr">
        <is>
          <t>City of Davao</t>
        </is>
      </c>
      <c r="G665" s="36" t="inlineStr">
        <is>
          <t>Mudiang</t>
        </is>
      </c>
      <c r="H665" s="37" t="n">
        <v>7.183412</v>
      </c>
      <c r="I665" s="37" t="n">
        <v>125.62223</v>
      </c>
      <c r="J665" s="8" t="inlineStr">
        <is>
          <t>R</t>
        </is>
      </c>
      <c r="K665" s="36" t="inlineStr">
        <is>
          <t>Class 1-3 / Urban</t>
        </is>
      </c>
      <c r="L665" s="18" t="n">
        <v>4115</v>
      </c>
      <c r="M665" s="20" t="n">
        <v>4.1</v>
      </c>
      <c r="N665" s="18">
        <f>ROUND(L665/M665, 0)</f>
        <v/>
      </c>
      <c r="O665" s="18">
        <f>ROUND(N665*'Methodology &amp; Assumptions'!$B$8, 0)</f>
        <v/>
      </c>
      <c r="P665" s="8" t="inlineStr">
        <is>
          <t>Band n50 (1.5 GHz, 60 MHz)</t>
        </is>
      </c>
      <c r="Q665" s="38">
        <f>ROUNDUP(O665/'Methodology &amp; Assumptions'!$B$9, 0)</f>
        <v/>
      </c>
      <c r="R665" s="39" t="n">
        <v>1</v>
      </c>
      <c r="S665" s="21" t="n">
        <v>3.06</v>
      </c>
      <c r="T665" s="21" t="n">
        <v>1.55</v>
      </c>
      <c r="U665" s="36" t="inlineStr">
        <is>
          <t>Tier 2 (Fiber Corridor / Lateral, 3-5 km)</t>
        </is>
      </c>
      <c r="V665" s="20" t="n">
        <v>46</v>
      </c>
      <c r="W665" s="20" t="n">
        <v>100</v>
      </c>
      <c r="X665" s="20" t="n">
        <v>58</v>
      </c>
      <c r="Y665" s="40">
        <f>ROUND((V665*'Methodology &amp; Assumptions'!$B$6)+(W665*'Methodology &amp; Assumptions'!$B$5)+(X665*'Methodology &amp; Assumptions'!$B$7), 2)</f>
        <v/>
      </c>
    </row>
    <row r="666" ht="19" customHeight="1">
      <c r="A666" s="41" t="n">
        <v>662</v>
      </c>
      <c r="B666" s="41" t="n">
        <v>2662</v>
      </c>
      <c r="C666" s="42" t="inlineStr">
        <is>
          <t>0102914024</t>
        </is>
      </c>
      <c r="D666" s="42" t="inlineStr">
        <is>
          <t>Region I (Ilocos Region)</t>
        </is>
      </c>
      <c r="E666" s="42" t="inlineStr">
        <is>
          <t>Ilocos Sur</t>
        </is>
      </c>
      <c r="F666" s="42" t="inlineStr">
        <is>
          <t>Narvacan</t>
        </is>
      </c>
      <c r="G666" s="42" t="inlineStr">
        <is>
          <t>Quinarayan</t>
        </is>
      </c>
      <c r="H666" s="43" t="n">
        <v>17.446021</v>
      </c>
      <c r="I666" s="43" t="n">
        <v>120.472345</v>
      </c>
      <c r="J666" s="44" t="inlineStr">
        <is>
          <t>R</t>
        </is>
      </c>
      <c r="K666" s="42" t="inlineStr">
        <is>
          <t>Class 1-3 / Urban</t>
        </is>
      </c>
      <c r="L666" s="23" t="n">
        <v>2730</v>
      </c>
      <c r="M666" s="24" t="n">
        <v>4.56</v>
      </c>
      <c r="N666" s="23">
        <f>ROUND(L666/M666, 0)</f>
        <v/>
      </c>
      <c r="O666" s="23">
        <f>ROUND(N666*'Methodology &amp; Assumptions'!$B$8, 0)</f>
        <v/>
      </c>
      <c r="P666" s="44" t="inlineStr">
        <is>
          <t>Band n50 (1.5 GHz, 60 MHz)</t>
        </is>
      </c>
      <c r="Q666" s="38">
        <f>ROUNDUP(O666/'Methodology &amp; Assumptions'!$B$9, 0)</f>
        <v/>
      </c>
      <c r="R666" s="39" t="n">
        <v>1</v>
      </c>
      <c r="S666" s="25" t="n">
        <v>1.34</v>
      </c>
      <c r="T666" s="25" t="n">
        <v>0.08</v>
      </c>
      <c r="U666" s="42" t="inlineStr">
        <is>
          <t>Tier 1B (Micro Drop, 1-3 km)</t>
        </is>
      </c>
      <c r="V666" s="24" t="n">
        <v>74.09999999999999</v>
      </c>
      <c r="W666" s="24" t="n">
        <v>72</v>
      </c>
      <c r="X666" s="24" t="n">
        <v>58</v>
      </c>
      <c r="Y666" s="45">
        <f>ROUND((V666*'Methodology &amp; Assumptions'!$B$6)+(W666*'Methodology &amp; Assumptions'!$B$5)+(X666*'Methodology &amp; Assumptions'!$B$7), 2)</f>
        <v/>
      </c>
    </row>
    <row r="667" ht="19" customHeight="1">
      <c r="A667" s="35" t="n">
        <v>663</v>
      </c>
      <c r="B667" s="35" t="n">
        <v>2663</v>
      </c>
      <c r="C667" s="36" t="inlineStr">
        <is>
          <t>0301417015</t>
        </is>
      </c>
      <c r="D667" s="36" t="inlineStr">
        <is>
          <t>Region III (Central Luzon)</t>
        </is>
      </c>
      <c r="E667" s="36" t="inlineStr">
        <is>
          <t>Bulacan</t>
        </is>
      </c>
      <c r="F667" s="36" t="inlineStr">
        <is>
          <t>Plaridel</t>
        </is>
      </c>
      <c r="G667" s="36" t="inlineStr">
        <is>
          <t>Poblacion</t>
        </is>
      </c>
      <c r="H667" s="37" t="n">
        <v>14.885224</v>
      </c>
      <c r="I667" s="37" t="n">
        <v>120.85967</v>
      </c>
      <c r="J667" s="8" t="inlineStr">
        <is>
          <t>U</t>
        </is>
      </c>
      <c r="K667" s="36" t="inlineStr">
        <is>
          <t>Class 1-3 / Urban</t>
        </is>
      </c>
      <c r="L667" s="18" t="n">
        <v>3878</v>
      </c>
      <c r="M667" s="20" t="n">
        <v>4.1</v>
      </c>
      <c r="N667" s="18">
        <f>ROUND(L667/M667, 0)</f>
        <v/>
      </c>
      <c r="O667" s="18">
        <f>ROUND(N667*'Methodology &amp; Assumptions'!$B$8, 0)</f>
        <v/>
      </c>
      <c r="P667" s="8" t="inlineStr">
        <is>
          <t>Band n50 (1.5 GHz, 60 MHz)</t>
        </is>
      </c>
      <c r="Q667" s="38">
        <f>ROUNDUP(O667/'Methodology &amp; Assumptions'!$B$9, 0)</f>
        <v/>
      </c>
      <c r="R667" s="39" t="n">
        <v>1</v>
      </c>
      <c r="S667" s="21" t="n">
        <v>2.13</v>
      </c>
      <c r="T667" s="21" t="n">
        <v>0.08</v>
      </c>
      <c r="U667" s="36" t="inlineStr">
        <is>
          <t>Tier 1B (Micro Drop, 1-3 km)</t>
        </is>
      </c>
      <c r="V667" s="20" t="n">
        <v>59.2</v>
      </c>
      <c r="W667" s="20" t="n">
        <v>99.7</v>
      </c>
      <c r="X667" s="20" t="n">
        <v>43</v>
      </c>
      <c r="Y667" s="40">
        <f>ROUND((V667*'Methodology &amp; Assumptions'!$B$6)+(W667*'Methodology &amp; Assumptions'!$B$5)+(X667*'Methodology &amp; Assumptions'!$B$7), 2)</f>
        <v/>
      </c>
    </row>
    <row r="668" ht="19" customHeight="1">
      <c r="A668" s="41" t="n">
        <v>664</v>
      </c>
      <c r="B668" s="41" t="n">
        <v>2664</v>
      </c>
      <c r="C668" s="42" t="inlineStr">
        <is>
          <t>0405805020</t>
        </is>
      </c>
      <c r="D668" s="42" t="inlineStr">
        <is>
          <t>Region IV-A (CALABARZON)</t>
        </is>
      </c>
      <c r="E668" s="42" t="inlineStr">
        <is>
          <t>Rizal</t>
        </is>
      </c>
      <c r="F668" s="42" t="inlineStr">
        <is>
          <t>Cainta</t>
        </is>
      </c>
      <c r="G668" s="42" t="inlineStr">
        <is>
          <t>Santo Domingo</t>
        </is>
      </c>
      <c r="H668" s="43" t="n">
        <v>14.583947</v>
      </c>
      <c r="I668" s="43" t="n">
        <v>121.111455</v>
      </c>
      <c r="J668" s="44" t="inlineStr">
        <is>
          <t>U</t>
        </is>
      </c>
      <c r="K668" s="42" t="inlineStr">
        <is>
          <t>Class 1-3 / Urban</t>
        </is>
      </c>
      <c r="L668" s="23" t="n">
        <v>47245</v>
      </c>
      <c r="M668" s="24" t="n">
        <v>4.39</v>
      </c>
      <c r="N668" s="23">
        <f>ROUND(L668/M668, 0)</f>
        <v/>
      </c>
      <c r="O668" s="23">
        <f>ROUND(N668*'Methodology &amp; Assumptions'!$B$8, 0)</f>
        <v/>
      </c>
      <c r="P668" s="44" t="inlineStr">
        <is>
          <t>Band n50 (1.5 GHz, 60 MHz)</t>
        </is>
      </c>
      <c r="Q668" s="38">
        <f>ROUNDUP(O668/'Methodology &amp; Assumptions'!$B$9, 0)</f>
        <v/>
      </c>
      <c r="R668" s="39" t="n">
        <v>1</v>
      </c>
      <c r="S668" s="25" t="n">
        <v>1.3</v>
      </c>
      <c r="T668" s="25" t="n">
        <v>0.35</v>
      </c>
      <c r="U668" s="42" t="inlineStr">
        <is>
          <t>Tier 1B (Micro Drop, 1-3 km)</t>
        </is>
      </c>
      <c r="V668" s="24" t="n">
        <v>74.8</v>
      </c>
      <c r="W668" s="24" t="n">
        <v>97</v>
      </c>
      <c r="X668" s="24" t="n">
        <v>28</v>
      </c>
      <c r="Y668" s="45">
        <f>ROUND((V668*'Methodology &amp; Assumptions'!$B$6)+(W668*'Methodology &amp; Assumptions'!$B$5)+(X668*'Methodology &amp; Assumptions'!$B$7), 2)</f>
        <v/>
      </c>
    </row>
    <row r="669" ht="19" customHeight="1">
      <c r="A669" s="35" t="n">
        <v>665</v>
      </c>
      <c r="B669" s="35" t="n">
        <v>2665</v>
      </c>
      <c r="C669" s="36" t="inlineStr">
        <is>
          <t>1130700140</t>
        </is>
      </c>
      <c r="D669" s="36" t="inlineStr">
        <is>
          <t>Region XI (Davao Region)</t>
        </is>
      </c>
      <c r="E669" s="36" t="inlineStr">
        <is>
          <t>Davao del Sur</t>
        </is>
      </c>
      <c r="F669" s="36" t="inlineStr">
        <is>
          <t>City of Davao</t>
        </is>
      </c>
      <c r="G669" s="36" t="inlineStr">
        <is>
          <t>Barangay 7-A</t>
        </is>
      </c>
      <c r="H669" s="37" t="n">
        <v>7.07222</v>
      </c>
      <c r="I669" s="37" t="n">
        <v>125.60477</v>
      </c>
      <c r="J669" s="8" t="inlineStr">
        <is>
          <t>U</t>
        </is>
      </c>
      <c r="K669" s="36" t="inlineStr">
        <is>
          <t>Class 1-3 / Urban</t>
        </is>
      </c>
      <c r="L669" s="18" t="n">
        <v>3362</v>
      </c>
      <c r="M669" s="20" t="n">
        <v>4.1</v>
      </c>
      <c r="N669" s="18">
        <f>ROUND(L669/M669, 0)</f>
        <v/>
      </c>
      <c r="O669" s="18">
        <f>ROUND(N669*'Methodology &amp; Assumptions'!$B$8, 0)</f>
        <v/>
      </c>
      <c r="P669" s="8" t="inlineStr">
        <is>
          <t>Band n50 (1.5 GHz, 60 MHz)</t>
        </is>
      </c>
      <c r="Q669" s="38">
        <f>ROUNDUP(O669/'Methodology &amp; Assumptions'!$B$9, 0)</f>
        <v/>
      </c>
      <c r="R669" s="39" t="n">
        <v>1</v>
      </c>
      <c r="S669" s="21" t="n">
        <v>0.98</v>
      </c>
      <c r="T669" s="21" t="n">
        <v>0.37</v>
      </c>
      <c r="U669" s="36" t="inlineStr">
        <is>
          <t>Tier 1A (Direct Coloc, &lt;1 km)</t>
        </is>
      </c>
      <c r="V669" s="20" t="n">
        <v>82.2</v>
      </c>
      <c r="W669" s="20" t="n">
        <v>89.59999999999999</v>
      </c>
      <c r="X669" s="20" t="n">
        <v>28</v>
      </c>
      <c r="Y669" s="40">
        <f>ROUND((V669*'Methodology &amp; Assumptions'!$B$6)+(W669*'Methodology &amp; Assumptions'!$B$5)+(X669*'Methodology &amp; Assumptions'!$B$7), 2)</f>
        <v/>
      </c>
    </row>
    <row r="670" ht="19" customHeight="1">
      <c r="A670" s="41" t="n">
        <v>666</v>
      </c>
      <c r="B670" s="41" t="n">
        <v>2666</v>
      </c>
      <c r="C670" s="42" t="inlineStr">
        <is>
          <t>0402117006</t>
        </is>
      </c>
      <c r="D670" s="42" t="inlineStr">
        <is>
          <t>Region IV-A (CALABARZON)</t>
        </is>
      </c>
      <c r="E670" s="42" t="inlineStr">
        <is>
          <t>Cavite</t>
        </is>
      </c>
      <c r="F670" s="42" t="inlineStr">
        <is>
          <t>Rosario</t>
        </is>
      </c>
      <c r="G670" s="42" t="inlineStr">
        <is>
          <t>Ligtong II</t>
        </is>
      </c>
      <c r="H670" s="43" t="n">
        <v>14.42627</v>
      </c>
      <c r="I670" s="43" t="n">
        <v>120.871636</v>
      </c>
      <c r="J670" s="44" t="inlineStr">
        <is>
          <t>R</t>
        </is>
      </c>
      <c r="K670" s="42" t="inlineStr">
        <is>
          <t>Class 1-3 / Urban</t>
        </is>
      </c>
      <c r="L670" s="23" t="n">
        <v>1897</v>
      </c>
      <c r="M670" s="24" t="n">
        <v>4.49</v>
      </c>
      <c r="N670" s="23">
        <f>ROUND(L670/M670, 0)</f>
        <v/>
      </c>
      <c r="O670" s="23">
        <f>ROUND(N670*'Methodology &amp; Assumptions'!$B$8, 0)</f>
        <v/>
      </c>
      <c r="P670" s="44" t="inlineStr">
        <is>
          <t>Band n50 (1.5 GHz, 60 MHz)</t>
        </is>
      </c>
      <c r="Q670" s="38">
        <f>ROUNDUP(O670/'Methodology &amp; Assumptions'!$B$9, 0)</f>
        <v/>
      </c>
      <c r="R670" s="39" t="n">
        <v>1</v>
      </c>
      <c r="S670" s="25" t="n">
        <v>1.28</v>
      </c>
      <c r="T670" s="25" t="n">
        <v>1.25</v>
      </c>
      <c r="U670" s="42" t="inlineStr">
        <is>
          <t>Tier 1B (Micro Drop, 1-3 km)</t>
        </is>
      </c>
      <c r="V670" s="24" t="n">
        <v>75.3</v>
      </c>
      <c r="W670" s="24" t="n">
        <v>57.9</v>
      </c>
      <c r="X670" s="24" t="n">
        <v>73</v>
      </c>
      <c r="Y670" s="45">
        <f>ROUND((V670*'Methodology &amp; Assumptions'!$B$6)+(W670*'Methodology &amp; Assumptions'!$B$5)+(X670*'Methodology &amp; Assumptions'!$B$7), 2)</f>
        <v/>
      </c>
    </row>
    <row r="671" ht="19" customHeight="1">
      <c r="A671" s="35" t="n">
        <v>667</v>
      </c>
      <c r="B671" s="35" t="n">
        <v>2667</v>
      </c>
      <c r="C671" s="36" t="inlineStr">
        <is>
          <t>0304911003</t>
        </is>
      </c>
      <c r="D671" s="36" t="inlineStr">
        <is>
          <t>Region III (Central Luzon)</t>
        </is>
      </c>
      <c r="E671" s="36" t="inlineStr">
        <is>
          <t>Nueva Ecija</t>
        </is>
      </c>
      <c r="F671" s="36" t="inlineStr">
        <is>
          <t>Guimba</t>
        </is>
      </c>
      <c r="G671" s="36" t="inlineStr">
        <is>
          <t>Bacayao</t>
        </is>
      </c>
      <c r="H671" s="37" t="n">
        <v>15.662192</v>
      </c>
      <c r="I671" s="37" t="n">
        <v>120.753412</v>
      </c>
      <c r="J671" s="8" t="inlineStr">
        <is>
          <t>R</t>
        </is>
      </c>
      <c r="K671" s="36" t="inlineStr">
        <is>
          <t>Class 1-3 / Urban</t>
        </is>
      </c>
      <c r="L671" s="18" t="n">
        <v>2773</v>
      </c>
      <c r="M671" s="20" t="n">
        <v>4.32</v>
      </c>
      <c r="N671" s="18">
        <f>ROUND(L671/M671, 0)</f>
        <v/>
      </c>
      <c r="O671" s="18">
        <f>ROUND(N671*'Methodology &amp; Assumptions'!$B$8, 0)</f>
        <v/>
      </c>
      <c r="P671" s="8" t="inlineStr">
        <is>
          <t>Band n50 (1.5 GHz, 60 MHz)</t>
        </is>
      </c>
      <c r="Q671" s="38">
        <f>ROUNDUP(O671/'Methodology &amp; Assumptions'!$B$9, 0)</f>
        <v/>
      </c>
      <c r="R671" s="39" t="n">
        <v>1</v>
      </c>
      <c r="S671" s="21" t="n">
        <v>1.5</v>
      </c>
      <c r="T671" s="21" t="n">
        <v>1.83</v>
      </c>
      <c r="U671" s="36" t="inlineStr">
        <is>
          <t>Tier 1B (Micro Drop, 1-3 km)</t>
        </is>
      </c>
      <c r="V671" s="20" t="n">
        <v>70.59999999999999</v>
      </c>
      <c r="W671" s="20" t="n">
        <v>75.5</v>
      </c>
      <c r="X671" s="20" t="n">
        <v>58</v>
      </c>
      <c r="Y671" s="40">
        <f>ROUND((V671*'Methodology &amp; Assumptions'!$B$6)+(W671*'Methodology &amp; Assumptions'!$B$5)+(X671*'Methodology &amp; Assumptions'!$B$7), 2)</f>
        <v/>
      </c>
    </row>
    <row r="672" ht="19" customHeight="1">
      <c r="A672" s="41" t="n">
        <v>668</v>
      </c>
      <c r="B672" s="41" t="n">
        <v>2668</v>
      </c>
      <c r="C672" s="42" t="inlineStr">
        <is>
          <t>0401032019</t>
        </is>
      </c>
      <c r="D672" s="42" t="inlineStr">
        <is>
          <t>Region IV-A (CALABARZON)</t>
        </is>
      </c>
      <c r="E672" s="42" t="inlineStr">
        <is>
          <t>Batangas</t>
        </is>
      </c>
      <c r="F672" s="42" t="inlineStr">
        <is>
          <t>Taysan</t>
        </is>
      </c>
      <c r="G672" s="42" t="inlineStr">
        <is>
          <t>Santo Niño</t>
        </is>
      </c>
      <c r="H672" s="43" t="n">
        <v>13.7506</v>
      </c>
      <c r="I672" s="43" t="n">
        <v>121.2101</v>
      </c>
      <c r="J672" s="44" t="inlineStr">
        <is>
          <t>R</t>
        </is>
      </c>
      <c r="K672" s="42" t="inlineStr">
        <is>
          <t>Class 1-3 / Urban</t>
        </is>
      </c>
      <c r="L672" s="23" t="n">
        <v>2513</v>
      </c>
      <c r="M672" s="24" t="n">
        <v>4.62</v>
      </c>
      <c r="N672" s="23">
        <f>ROUND(L672/M672, 0)</f>
        <v/>
      </c>
      <c r="O672" s="23">
        <f>ROUND(N672*'Methodology &amp; Assumptions'!$B$8, 0)</f>
        <v/>
      </c>
      <c r="P672" s="44" t="inlineStr">
        <is>
          <t>Band n50 (1.5 GHz, 60 MHz)</t>
        </is>
      </c>
      <c r="Q672" s="38">
        <f>ROUNDUP(O672/'Methodology &amp; Assumptions'!$B$9, 0)</f>
        <v/>
      </c>
      <c r="R672" s="39" t="n">
        <v>1</v>
      </c>
      <c r="S672" s="25" t="n">
        <v>0.72</v>
      </c>
      <c r="T672" s="25" t="n">
        <v>9.880000000000001</v>
      </c>
      <c r="U672" s="42" t="inlineStr">
        <is>
          <t>Tier 1A (Direct Coloc, &lt;1 km)</t>
        </is>
      </c>
      <c r="V672" s="24" t="n">
        <v>78.59999999999999</v>
      </c>
      <c r="W672" s="24" t="n">
        <v>67.5</v>
      </c>
      <c r="X672" s="24" t="n">
        <v>58</v>
      </c>
      <c r="Y672" s="45">
        <f>ROUND((V672*'Methodology &amp; Assumptions'!$B$6)+(W672*'Methodology &amp; Assumptions'!$B$5)+(X672*'Methodology &amp; Assumptions'!$B$7), 2)</f>
        <v/>
      </c>
    </row>
    <row r="673" ht="19" customHeight="1">
      <c r="A673" s="35" t="n">
        <v>669</v>
      </c>
      <c r="B673" s="35" t="n">
        <v>2669</v>
      </c>
      <c r="C673" s="36" t="inlineStr">
        <is>
          <t>0103312009</t>
        </is>
      </c>
      <c r="D673" s="36" t="inlineStr">
        <is>
          <t>Region I (Ilocos Region)</t>
        </is>
      </c>
      <c r="E673" s="36" t="inlineStr">
        <is>
          <t>La Union</t>
        </is>
      </c>
      <c r="F673" s="36" t="inlineStr">
        <is>
          <t>Pugo</t>
        </is>
      </c>
      <c r="G673" s="36" t="inlineStr">
        <is>
          <t>Palina</t>
        </is>
      </c>
      <c r="H673" s="37" t="n">
        <v>16.331936</v>
      </c>
      <c r="I673" s="37" t="n">
        <v>120.488148</v>
      </c>
      <c r="J673" s="8" t="inlineStr">
        <is>
          <t>R</t>
        </is>
      </c>
      <c r="K673" s="36" t="inlineStr">
        <is>
          <t>3rd</t>
        </is>
      </c>
      <c r="L673" s="18" t="n">
        <v>2167</v>
      </c>
      <c r="M673" s="20" t="n">
        <v>4.08</v>
      </c>
      <c r="N673" s="18">
        <f>ROUND(L673/M673, 0)</f>
        <v/>
      </c>
      <c r="O673" s="18">
        <f>ROUND(N673*'Methodology &amp; Assumptions'!$B$8, 0)</f>
        <v/>
      </c>
      <c r="P673" s="8" t="inlineStr">
        <is>
          <t>Band n50 (1.5 GHz, 60 MHz)</t>
        </is>
      </c>
      <c r="Q673" s="38">
        <f>ROUNDUP(O673/'Methodology &amp; Assumptions'!$B$9, 0)</f>
        <v/>
      </c>
      <c r="R673" s="39" t="n">
        <v>1</v>
      </c>
      <c r="S673" s="21" t="n">
        <v>1.09</v>
      </c>
      <c r="T673" s="21" t="n">
        <v>0.04</v>
      </c>
      <c r="U673" s="36" t="inlineStr">
        <is>
          <t>Tier 1B (Micro Drop, 1-3 km)</t>
        </is>
      </c>
      <c r="V673" s="20" t="n">
        <v>79.59999999999999</v>
      </c>
      <c r="W673" s="20" t="n">
        <v>66.40000000000001</v>
      </c>
      <c r="X673" s="20" t="n">
        <v>58</v>
      </c>
      <c r="Y673" s="40">
        <f>ROUND((V673*'Methodology &amp; Assumptions'!$B$6)+(W673*'Methodology &amp; Assumptions'!$B$5)+(X673*'Methodology &amp; Assumptions'!$B$7), 2)</f>
        <v/>
      </c>
    </row>
    <row r="674" ht="19" customHeight="1">
      <c r="A674" s="41" t="n">
        <v>670</v>
      </c>
      <c r="B674" s="41" t="n">
        <v>2670</v>
      </c>
      <c r="C674" s="42" t="inlineStr">
        <is>
          <t>1102319004</t>
        </is>
      </c>
      <c r="D674" s="42" t="inlineStr">
        <is>
          <t>Region XI (Davao Region)</t>
        </is>
      </c>
      <c r="E674" s="42" t="inlineStr">
        <is>
          <t>Davao del Norte</t>
        </is>
      </c>
      <c r="F674" s="42" t="inlineStr">
        <is>
          <t>City of Tagum</t>
        </is>
      </c>
      <c r="G674" s="42" t="inlineStr">
        <is>
          <t>Busaon</t>
        </is>
      </c>
      <c r="H674" s="43" t="n">
        <v>7.357537</v>
      </c>
      <c r="I674" s="43" t="n">
        <v>125.754791</v>
      </c>
      <c r="J674" s="44" t="inlineStr">
        <is>
          <t>R</t>
        </is>
      </c>
      <c r="K674" s="42" t="inlineStr">
        <is>
          <t>Class 1-3 / Urban</t>
        </is>
      </c>
      <c r="L674" s="23" t="n">
        <v>3197</v>
      </c>
      <c r="M674" s="24" t="n">
        <v>4.25</v>
      </c>
      <c r="N674" s="23">
        <f>ROUND(L674/M674, 0)</f>
        <v/>
      </c>
      <c r="O674" s="23">
        <f>ROUND(N674*'Methodology &amp; Assumptions'!$B$8, 0)</f>
        <v/>
      </c>
      <c r="P674" s="44" t="inlineStr">
        <is>
          <t>Band n50 (1.5 GHz, 60 MHz)</t>
        </is>
      </c>
      <c r="Q674" s="38">
        <f>ROUNDUP(O674/'Methodology &amp; Assumptions'!$B$9, 0)</f>
        <v/>
      </c>
      <c r="R674" s="39" t="n">
        <v>1</v>
      </c>
      <c r="S674" s="25" t="n">
        <v>1.98</v>
      </c>
      <c r="T674" s="25" t="n">
        <v>1.89</v>
      </c>
      <c r="U674" s="42" t="inlineStr">
        <is>
          <t>Tier 1B (Micro Drop, 1-3 km)</t>
        </is>
      </c>
      <c r="V674" s="24" t="n">
        <v>61.7</v>
      </c>
      <c r="W674" s="24" t="n">
        <v>84.3</v>
      </c>
      <c r="X674" s="24" t="n">
        <v>58</v>
      </c>
      <c r="Y674" s="45">
        <f>ROUND((V674*'Methodology &amp; Assumptions'!$B$6)+(W674*'Methodology &amp; Assumptions'!$B$5)+(X674*'Methodology &amp; Assumptions'!$B$7), 2)</f>
        <v/>
      </c>
    </row>
    <row r="675" ht="19" customHeight="1">
      <c r="A675" s="35" t="n">
        <v>671</v>
      </c>
      <c r="B675" s="35" t="n">
        <v>2671</v>
      </c>
      <c r="C675" s="36" t="inlineStr">
        <is>
          <t>0301417008</t>
        </is>
      </c>
      <c r="D675" s="36" t="inlineStr">
        <is>
          <t>Region III (Central Luzon)</t>
        </is>
      </c>
      <c r="E675" s="36" t="inlineStr">
        <is>
          <t>Bulacan</t>
        </is>
      </c>
      <c r="F675" s="36" t="inlineStr">
        <is>
          <t>Plaridel</t>
        </is>
      </c>
      <c r="G675" s="36" t="inlineStr">
        <is>
          <t>Dampol</t>
        </is>
      </c>
      <c r="H675" s="37" t="n">
        <v>14.899978</v>
      </c>
      <c r="I675" s="37" t="n">
        <v>120.818367</v>
      </c>
      <c r="J675" s="8" t="inlineStr">
        <is>
          <t>R</t>
        </is>
      </c>
      <c r="K675" s="36" t="inlineStr">
        <is>
          <t>Class 1-3 / Urban</t>
        </is>
      </c>
      <c r="L675" s="18" t="n">
        <v>3476</v>
      </c>
      <c r="M675" s="20" t="n">
        <v>4.1</v>
      </c>
      <c r="N675" s="18">
        <f>ROUND(L675/M675, 0)</f>
        <v/>
      </c>
      <c r="O675" s="18">
        <f>ROUND(N675*'Methodology &amp; Assumptions'!$B$8, 0)</f>
        <v/>
      </c>
      <c r="P675" s="8" t="inlineStr">
        <is>
          <t>Band n50 (1.5 GHz, 60 MHz)</t>
        </is>
      </c>
      <c r="Q675" s="38">
        <f>ROUNDUP(O675/'Methodology &amp; Assumptions'!$B$9, 0)</f>
        <v/>
      </c>
      <c r="R675" s="39" t="n">
        <v>1</v>
      </c>
      <c r="S675" s="21" t="n">
        <v>3.48</v>
      </c>
      <c r="T675" s="21" t="n">
        <v>0.9399999999999999</v>
      </c>
      <c r="U675" s="36" t="inlineStr">
        <is>
          <t>Tier 2 (Fiber Corridor / Lateral, 3-5 km)</t>
        </is>
      </c>
      <c r="V675" s="20" t="n">
        <v>41.4</v>
      </c>
      <c r="W675" s="20" t="n">
        <v>91.7</v>
      </c>
      <c r="X675" s="20" t="n">
        <v>73</v>
      </c>
      <c r="Y675" s="40">
        <f>ROUND((V675*'Methodology &amp; Assumptions'!$B$6)+(W675*'Methodology &amp; Assumptions'!$B$5)+(X675*'Methodology &amp; Assumptions'!$B$7), 2)</f>
        <v/>
      </c>
    </row>
    <row r="676" ht="19" customHeight="1">
      <c r="A676" s="41" t="n">
        <v>672</v>
      </c>
      <c r="B676" s="41" t="n">
        <v>2672</v>
      </c>
      <c r="C676" s="42" t="inlineStr">
        <is>
          <t>0630200059</t>
        </is>
      </c>
      <c r="D676" s="42" t="inlineStr">
        <is>
          <t>Region VI (Western Visayas)</t>
        </is>
      </c>
      <c r="E676" s="42" t="inlineStr">
        <is>
          <t>Negros Occidental</t>
        </is>
      </c>
      <c r="F676" s="42" t="inlineStr">
        <is>
          <t>City of Bacolod</t>
        </is>
      </c>
      <c r="G676" s="42" t="inlineStr">
        <is>
          <t>Villamonte</t>
        </is>
      </c>
      <c r="H676" s="43" t="n">
        <v>10.668396</v>
      </c>
      <c r="I676" s="43" t="n">
        <v>122.964907</v>
      </c>
      <c r="J676" s="44" t="inlineStr">
        <is>
          <t>U</t>
        </is>
      </c>
      <c r="K676" s="42" t="inlineStr">
        <is>
          <t>Class 1-3 / Urban</t>
        </is>
      </c>
      <c r="L676" s="23" t="n">
        <v>34988</v>
      </c>
      <c r="M676" s="24" t="n">
        <v>4.33</v>
      </c>
      <c r="N676" s="23">
        <f>ROUND(L676/M676, 0)</f>
        <v/>
      </c>
      <c r="O676" s="23">
        <f>ROUND(N676*'Methodology &amp; Assumptions'!$B$8, 0)</f>
        <v/>
      </c>
      <c r="P676" s="44" t="inlineStr">
        <is>
          <t>Band n50 (1.5 GHz, 60 MHz)</t>
        </is>
      </c>
      <c r="Q676" s="38">
        <f>ROUNDUP(O676/'Methodology &amp; Assumptions'!$B$9, 0)</f>
        <v/>
      </c>
      <c r="R676" s="39" t="n">
        <v>1</v>
      </c>
      <c r="S676" s="25" t="n">
        <v>1.39</v>
      </c>
      <c r="T676" s="25" t="n">
        <v>0.46</v>
      </c>
      <c r="U676" s="42" t="inlineStr">
        <is>
          <t>Tier 1B (Micro Drop, 1-3 km)</t>
        </is>
      </c>
      <c r="V676" s="24" t="n">
        <v>73</v>
      </c>
      <c r="W676" s="24" t="n">
        <v>98.7</v>
      </c>
      <c r="X676" s="24" t="n">
        <v>28</v>
      </c>
      <c r="Y676" s="45">
        <f>ROUND((V676*'Methodology &amp; Assumptions'!$B$6)+(W676*'Methodology &amp; Assumptions'!$B$5)+(X676*'Methodology &amp; Assumptions'!$B$7), 2)</f>
        <v/>
      </c>
    </row>
    <row r="677" ht="19" customHeight="1">
      <c r="A677" s="35" t="n">
        <v>673</v>
      </c>
      <c r="B677" s="35" t="n">
        <v>2673</v>
      </c>
      <c r="C677" s="36" t="inlineStr">
        <is>
          <t>0306905001</t>
        </is>
      </c>
      <c r="D677" s="36" t="inlineStr">
        <is>
          <t>Region III (Central Luzon)</t>
        </is>
      </c>
      <c r="E677" s="36" t="inlineStr">
        <is>
          <t>Tarlac</t>
        </is>
      </c>
      <c r="F677" s="36" t="inlineStr">
        <is>
          <t>Concepcion</t>
        </is>
      </c>
      <c r="G677" s="36" t="inlineStr">
        <is>
          <t>Alfonso</t>
        </is>
      </c>
      <c r="H677" s="37" t="n">
        <v>15.33317</v>
      </c>
      <c r="I677" s="37" t="n">
        <v>120.642804</v>
      </c>
      <c r="J677" s="8" t="inlineStr">
        <is>
          <t>U</t>
        </is>
      </c>
      <c r="K677" s="36" t="inlineStr">
        <is>
          <t>Class 1-3 / Urban</t>
        </is>
      </c>
      <c r="L677" s="18" t="n">
        <v>9534</v>
      </c>
      <c r="M677" s="20" t="n">
        <v>4.3</v>
      </c>
      <c r="N677" s="18">
        <f>ROUND(L677/M677, 0)</f>
        <v/>
      </c>
      <c r="O677" s="18">
        <f>ROUND(N677*'Methodology &amp; Assumptions'!$B$8, 0)</f>
        <v/>
      </c>
      <c r="P677" s="8" t="inlineStr">
        <is>
          <t>Band n50 (1.5 GHz, 60 MHz)</t>
        </is>
      </c>
      <c r="Q677" s="38">
        <f>ROUNDUP(O677/'Methodology &amp; Assumptions'!$B$9, 0)</f>
        <v/>
      </c>
      <c r="R677" s="39" t="n">
        <v>1</v>
      </c>
      <c r="S677" s="21" t="n">
        <v>1.45</v>
      </c>
      <c r="T677" s="21" t="n">
        <v>0.37</v>
      </c>
      <c r="U677" s="36" t="inlineStr">
        <is>
          <t>Tier 1B (Micro Drop, 1-3 km)</t>
        </is>
      </c>
      <c r="V677" s="20" t="n">
        <v>71.7</v>
      </c>
      <c r="W677" s="20" t="n">
        <v>100</v>
      </c>
      <c r="X677" s="20" t="n">
        <v>28</v>
      </c>
      <c r="Y677" s="40">
        <f>ROUND((V677*'Methodology &amp; Assumptions'!$B$6)+(W677*'Methodology &amp; Assumptions'!$B$5)+(X677*'Methodology &amp; Assumptions'!$B$7), 2)</f>
        <v/>
      </c>
    </row>
    <row r="678" ht="19" customHeight="1">
      <c r="A678" s="41" t="n">
        <v>674</v>
      </c>
      <c r="B678" s="41" t="n">
        <v>2674</v>
      </c>
      <c r="C678" s="42" t="inlineStr">
        <is>
          <t>1600209019</t>
        </is>
      </c>
      <c r="D678" s="42" t="inlineStr">
        <is>
          <t>Region XIII (Caraga)</t>
        </is>
      </c>
      <c r="E678" s="42" t="inlineStr">
        <is>
          <t>Agusan del Norte</t>
        </is>
      </c>
      <c r="F678" s="42" t="inlineStr">
        <is>
          <t>Nasipit</t>
        </is>
      </c>
      <c r="G678" s="42" t="inlineStr">
        <is>
          <t>Talisay</t>
        </is>
      </c>
      <c r="H678" s="43" t="n">
        <v>8.982616</v>
      </c>
      <c r="I678" s="43" t="n">
        <v>125.339486</v>
      </c>
      <c r="J678" s="44" t="inlineStr">
        <is>
          <t>U</t>
        </is>
      </c>
      <c r="K678" s="42" t="inlineStr">
        <is>
          <t>Class 1-3 / Urban</t>
        </is>
      </c>
      <c r="L678" s="23" t="n">
        <v>3911</v>
      </c>
      <c r="M678" s="24" t="n">
        <v>4.63</v>
      </c>
      <c r="N678" s="23">
        <f>ROUND(L678/M678, 0)</f>
        <v/>
      </c>
      <c r="O678" s="23">
        <f>ROUND(N678*'Methodology &amp; Assumptions'!$B$8, 0)</f>
        <v/>
      </c>
      <c r="P678" s="44" t="inlineStr">
        <is>
          <t>Band n50 (1.5 GHz, 60 MHz)</t>
        </is>
      </c>
      <c r="Q678" s="38">
        <f>ROUNDUP(O678/'Methodology &amp; Assumptions'!$B$9, 0)</f>
        <v/>
      </c>
      <c r="R678" s="39" t="n">
        <v>1</v>
      </c>
      <c r="S678" s="25" t="n">
        <v>1.07</v>
      </c>
      <c r="T678" s="25" t="n">
        <v>1.03</v>
      </c>
      <c r="U678" s="42" t="inlineStr">
        <is>
          <t>Tier 1B (Micro Drop, 1-3 km)</t>
        </is>
      </c>
      <c r="V678" s="24" t="n">
        <v>79.90000000000001</v>
      </c>
      <c r="W678" s="24" t="n">
        <v>91.7</v>
      </c>
      <c r="X678" s="24" t="n">
        <v>28</v>
      </c>
      <c r="Y678" s="45">
        <f>ROUND((V678*'Methodology &amp; Assumptions'!$B$6)+(W678*'Methodology &amp; Assumptions'!$B$5)+(X678*'Methodology &amp; Assumptions'!$B$7), 2)</f>
        <v/>
      </c>
    </row>
    <row r="679" ht="19" customHeight="1">
      <c r="A679" s="35" t="n">
        <v>675</v>
      </c>
      <c r="B679" s="35" t="n">
        <v>2675</v>
      </c>
      <c r="C679" s="36" t="inlineStr">
        <is>
          <t>0307112002</t>
        </is>
      </c>
      <c r="D679" s="36" t="inlineStr">
        <is>
          <t>Region III (Central Luzon)</t>
        </is>
      </c>
      <c r="E679" s="36" t="inlineStr">
        <is>
          <t>Zambales</t>
        </is>
      </c>
      <c r="F679" s="36" t="inlineStr">
        <is>
          <t>San Narciso</t>
        </is>
      </c>
      <c r="G679" s="36" t="inlineStr">
        <is>
          <t>Beddeng</t>
        </is>
      </c>
      <c r="H679" s="37" t="n">
        <v>14.979932</v>
      </c>
      <c r="I679" s="37" t="n">
        <v>120.084645</v>
      </c>
      <c r="J679" s="8" t="inlineStr">
        <is>
          <t>R</t>
        </is>
      </c>
      <c r="K679" s="36" t="inlineStr">
        <is>
          <t>3rd</t>
        </is>
      </c>
      <c r="L679" s="18" t="n">
        <v>3251</v>
      </c>
      <c r="M679" s="20" t="n">
        <v>3.91</v>
      </c>
      <c r="N679" s="18">
        <f>ROUND(L679/M679, 0)</f>
        <v/>
      </c>
      <c r="O679" s="18">
        <f>ROUND(N679*'Methodology &amp; Assumptions'!$B$8, 0)</f>
        <v/>
      </c>
      <c r="P679" s="8" t="inlineStr">
        <is>
          <t>Band n50 (1.5 GHz, 60 MHz)</t>
        </is>
      </c>
      <c r="Q679" s="38">
        <f>ROUNDUP(O679/'Methodology &amp; Assumptions'!$B$9, 0)</f>
        <v/>
      </c>
      <c r="R679" s="39" t="n">
        <v>1</v>
      </c>
      <c r="S679" s="21" t="n">
        <v>3.36</v>
      </c>
      <c r="T679" s="21" t="n">
        <v>0.49</v>
      </c>
      <c r="U679" s="36" t="inlineStr">
        <is>
          <t>Tier 2 (Fiber Corridor / Lateral, 3-5 km)</t>
        </is>
      </c>
      <c r="V679" s="20" t="n">
        <v>42.7</v>
      </c>
      <c r="W679" s="20" t="n">
        <v>90.40000000000001</v>
      </c>
      <c r="X679" s="20" t="n">
        <v>73</v>
      </c>
      <c r="Y679" s="40">
        <f>ROUND((V679*'Methodology &amp; Assumptions'!$B$6)+(W679*'Methodology &amp; Assumptions'!$B$5)+(X679*'Methodology &amp; Assumptions'!$B$7), 2)</f>
        <v/>
      </c>
    </row>
    <row r="680" ht="19" customHeight="1">
      <c r="A680" s="41" t="n">
        <v>676</v>
      </c>
      <c r="B680" s="41" t="n">
        <v>2676</v>
      </c>
      <c r="C680" s="42" t="inlineStr">
        <is>
          <t>0603007024</t>
        </is>
      </c>
      <c r="D680" s="42" t="inlineStr">
        <is>
          <t>Region VI (Western Visayas)</t>
        </is>
      </c>
      <c r="E680" s="42" t="inlineStr">
        <is>
          <t>Iloilo</t>
        </is>
      </c>
      <c r="F680" s="42" t="inlineStr">
        <is>
          <t>Barotac Nuevo</t>
        </is>
      </c>
      <c r="G680" s="42" t="inlineStr">
        <is>
          <t>Tabuc-Suba</t>
        </is>
      </c>
      <c r="H680" s="43" t="n">
        <v>10.891628</v>
      </c>
      <c r="I680" s="43" t="n">
        <v>122.700547</v>
      </c>
      <c r="J680" s="44" t="inlineStr">
        <is>
          <t>R</t>
        </is>
      </c>
      <c r="K680" s="42" t="inlineStr">
        <is>
          <t>Class 1-3 / Urban</t>
        </is>
      </c>
      <c r="L680" s="23" t="n">
        <v>2113</v>
      </c>
      <c r="M680" s="24" t="n">
        <v>4.39</v>
      </c>
      <c r="N680" s="23">
        <f>ROUND(L680/M680, 0)</f>
        <v/>
      </c>
      <c r="O680" s="23">
        <f>ROUND(N680*'Methodology &amp; Assumptions'!$B$8, 0)</f>
        <v/>
      </c>
      <c r="P680" s="44" t="inlineStr">
        <is>
          <t>Band n50 (1.5 GHz, 60 MHz)</t>
        </is>
      </c>
      <c r="Q680" s="38">
        <f>ROUNDUP(O680/'Methodology &amp; Assumptions'!$B$9, 0)</f>
        <v/>
      </c>
      <c r="R680" s="39" t="n">
        <v>1</v>
      </c>
      <c r="S680" s="25" t="n">
        <v>0.92</v>
      </c>
      <c r="T680" s="25" t="n">
        <v>0.4</v>
      </c>
      <c r="U680" s="42" t="inlineStr">
        <is>
          <t>Tier 1A (Direct Coloc, &lt;1 km)</t>
        </is>
      </c>
      <c r="V680" s="24" t="n">
        <v>83.5</v>
      </c>
      <c r="W680" s="24" t="n">
        <v>62.4</v>
      </c>
      <c r="X680" s="24" t="n">
        <v>58</v>
      </c>
      <c r="Y680" s="45">
        <f>ROUND((V680*'Methodology &amp; Assumptions'!$B$6)+(W680*'Methodology &amp; Assumptions'!$B$5)+(X680*'Methodology &amp; Assumptions'!$B$7), 2)</f>
        <v/>
      </c>
    </row>
    <row r="681" ht="19" customHeight="1">
      <c r="A681" s="35" t="n">
        <v>677</v>
      </c>
      <c r="B681" s="35" t="n">
        <v>2677</v>
      </c>
      <c r="C681" s="36" t="inlineStr">
        <is>
          <t>0831600117</t>
        </is>
      </c>
      <c r="D681" s="36" t="inlineStr">
        <is>
          <t>Region VIII (Eastern Visayas)</t>
        </is>
      </c>
      <c r="E681" s="36" t="inlineStr">
        <is>
          <t>Leyte</t>
        </is>
      </c>
      <c r="F681" s="36" t="inlineStr">
        <is>
          <t>City of Tacloban</t>
        </is>
      </c>
      <c r="G681" s="36" t="inlineStr">
        <is>
          <t>Barangay 84</t>
        </is>
      </c>
      <c r="H681" s="37" t="n">
        <v>11.205463</v>
      </c>
      <c r="I681" s="37" t="n">
        <v>125.020637</v>
      </c>
      <c r="J681" s="8" t="inlineStr">
        <is>
          <t>U</t>
        </is>
      </c>
      <c r="K681" s="36" t="inlineStr">
        <is>
          <t>Class 1-3 / Urban</t>
        </is>
      </c>
      <c r="L681" s="18" t="n">
        <v>6622</v>
      </c>
      <c r="M681" s="20" t="n">
        <v>4.24</v>
      </c>
      <c r="N681" s="18">
        <f>ROUND(L681/M681, 0)</f>
        <v/>
      </c>
      <c r="O681" s="18">
        <f>ROUND(N681*'Methodology &amp; Assumptions'!$B$8, 0)</f>
        <v/>
      </c>
      <c r="P681" s="8" t="inlineStr">
        <is>
          <t>Band n50 (1.5 GHz, 60 MHz)</t>
        </is>
      </c>
      <c r="Q681" s="38">
        <f>ROUNDUP(O681/'Methodology &amp; Assumptions'!$B$9, 0)</f>
        <v/>
      </c>
      <c r="R681" s="39" t="n">
        <v>1</v>
      </c>
      <c r="S681" s="21" t="n">
        <v>1.45</v>
      </c>
      <c r="T681" s="21" t="n">
        <v>0.1</v>
      </c>
      <c r="U681" s="36" t="inlineStr">
        <is>
          <t>Tier 1B (Micro Drop, 1-3 km)</t>
        </is>
      </c>
      <c r="V681" s="20" t="n">
        <v>71.7</v>
      </c>
      <c r="W681" s="20" t="n">
        <v>100</v>
      </c>
      <c r="X681" s="20" t="n">
        <v>28</v>
      </c>
      <c r="Y681" s="40">
        <f>ROUND((V681*'Methodology &amp; Assumptions'!$B$6)+(W681*'Methodology &amp; Assumptions'!$B$5)+(X681*'Methodology &amp; Assumptions'!$B$7), 2)</f>
        <v/>
      </c>
    </row>
    <row r="682" ht="19" customHeight="1">
      <c r="A682" s="41" t="n">
        <v>678</v>
      </c>
      <c r="B682" s="41" t="n">
        <v>2678</v>
      </c>
      <c r="C682" s="42" t="inlineStr">
        <is>
          <t>0402107007</t>
        </is>
      </c>
      <c r="D682" s="42" t="inlineStr">
        <is>
          <t>Region IV-A (CALABARZON)</t>
        </is>
      </c>
      <c r="E682" s="42" t="inlineStr">
        <is>
          <t>Cavite</t>
        </is>
      </c>
      <c r="F682" s="42" t="inlineStr">
        <is>
          <t>General Emilio Aguinaldo</t>
        </is>
      </c>
      <c r="G682" s="42" t="inlineStr">
        <is>
          <t>Kaypaaba</t>
        </is>
      </c>
      <c r="H682" s="43" t="n">
        <v>14.180762</v>
      </c>
      <c r="I682" s="43" t="n">
        <v>120.790904</v>
      </c>
      <c r="J682" s="44" t="inlineStr">
        <is>
          <t>R</t>
        </is>
      </c>
      <c r="K682" s="42" t="inlineStr">
        <is>
          <t>4th</t>
        </is>
      </c>
      <c r="L682" s="23" t="n">
        <v>2102</v>
      </c>
      <c r="M682" s="24" t="n">
        <v>5.03</v>
      </c>
      <c r="N682" s="23">
        <f>ROUND(L682/M682, 0)</f>
        <v/>
      </c>
      <c r="O682" s="23">
        <f>ROUND(N682*'Methodology &amp; Assumptions'!$B$8, 0)</f>
        <v/>
      </c>
      <c r="P682" s="44" t="inlineStr">
        <is>
          <t>Band n50 (1.5 GHz, 60 MHz)</t>
        </is>
      </c>
      <c r="Q682" s="38">
        <f>ROUNDUP(O682/'Methodology &amp; Assumptions'!$B$9, 0)</f>
        <v/>
      </c>
      <c r="R682" s="39" t="n">
        <v>1</v>
      </c>
      <c r="S682" s="25" t="n">
        <v>0.68</v>
      </c>
      <c r="T682" s="25" t="n">
        <v>3.76</v>
      </c>
      <c r="U682" s="42" t="inlineStr">
        <is>
          <t>Tier 1A (Direct Coloc, &lt;1 km)</t>
        </is>
      </c>
      <c r="V682" s="24" t="n">
        <v>79.59999999999999</v>
      </c>
      <c r="W682" s="24" t="n">
        <v>57.3</v>
      </c>
      <c r="X682" s="24" t="n">
        <v>68.5</v>
      </c>
      <c r="Y682" s="45">
        <f>ROUND((V682*'Methodology &amp; Assumptions'!$B$6)+(W682*'Methodology &amp; Assumptions'!$B$5)+(X682*'Methodology &amp; Assumptions'!$B$7), 2)</f>
        <v/>
      </c>
    </row>
    <row r="683" ht="19" customHeight="1">
      <c r="A683" s="35" t="n">
        <v>679</v>
      </c>
      <c r="B683" s="35" t="n">
        <v>2679</v>
      </c>
      <c r="C683" s="36" t="inlineStr">
        <is>
          <t>0501731023</t>
        </is>
      </c>
      <c r="D683" s="36" t="inlineStr">
        <is>
          <t>Region V (Bicol Region)</t>
        </is>
      </c>
      <c r="E683" s="36" t="inlineStr">
        <is>
          <t>Camarines Sur</t>
        </is>
      </c>
      <c r="F683" s="36" t="inlineStr">
        <is>
          <t>Sagñay</t>
        </is>
      </c>
      <c r="G683" s="36" t="inlineStr">
        <is>
          <t>Turague</t>
        </is>
      </c>
      <c r="H683" s="37" t="n">
        <v>13.586575</v>
      </c>
      <c r="I683" s="37" t="n">
        <v>123.528379</v>
      </c>
      <c r="J683" s="8" t="inlineStr">
        <is>
          <t>R</t>
        </is>
      </c>
      <c r="K683" s="36" t="inlineStr">
        <is>
          <t>2nd</t>
        </is>
      </c>
      <c r="L683" s="18" t="n">
        <v>3629</v>
      </c>
      <c r="M683" s="20" t="n">
        <v>4.94</v>
      </c>
      <c r="N683" s="18">
        <f>ROUND(L683/M683, 0)</f>
        <v/>
      </c>
      <c r="O683" s="18">
        <f>ROUND(N683*'Methodology &amp; Assumptions'!$B$8, 0)</f>
        <v/>
      </c>
      <c r="P683" s="8" t="inlineStr">
        <is>
          <t>Band n50 (1.5 GHz, 60 MHz)</t>
        </is>
      </c>
      <c r="Q683" s="38">
        <f>ROUNDUP(O683/'Methodology &amp; Assumptions'!$B$9, 0)</f>
        <v/>
      </c>
      <c r="R683" s="39" t="n">
        <v>1</v>
      </c>
      <c r="S683" s="21" t="n">
        <v>1.89</v>
      </c>
      <c r="T683" s="21" t="n">
        <v>0.99</v>
      </c>
      <c r="U683" s="36" t="inlineStr">
        <is>
          <t>Tier 1B (Micro Drop, 1-3 km)</t>
        </is>
      </c>
      <c r="V683" s="20" t="n">
        <v>63.3</v>
      </c>
      <c r="W683" s="20" t="n">
        <v>82.7</v>
      </c>
      <c r="X683" s="20" t="n">
        <v>58</v>
      </c>
      <c r="Y683" s="40">
        <f>ROUND((V683*'Methodology &amp; Assumptions'!$B$6)+(W683*'Methodology &amp; Assumptions'!$B$5)+(X683*'Methodology &amp; Assumptions'!$B$7), 2)</f>
        <v/>
      </c>
    </row>
    <row r="684" ht="19" customHeight="1">
      <c r="A684" s="41" t="n">
        <v>680</v>
      </c>
      <c r="B684" s="41" t="n">
        <v>2680</v>
      </c>
      <c r="C684" s="42" t="inlineStr">
        <is>
          <t>1001308023</t>
        </is>
      </c>
      <c r="D684" s="42" t="inlineStr">
        <is>
          <t>Region X (Northern Mindanao)</t>
        </is>
      </c>
      <c r="E684" s="42" t="inlineStr">
        <is>
          <t>Bukidnon</t>
        </is>
      </c>
      <c r="F684" s="42" t="inlineStr">
        <is>
          <t>Kibawe</t>
        </is>
      </c>
      <c r="G684" s="42" t="inlineStr">
        <is>
          <t>Old Kibawe</t>
        </is>
      </c>
      <c r="H684" s="43" t="n">
        <v>7.572695</v>
      </c>
      <c r="I684" s="43" t="n">
        <v>124.97033</v>
      </c>
      <c r="J684" s="44" t="inlineStr">
        <is>
          <t>R</t>
        </is>
      </c>
      <c r="K684" s="42" t="inlineStr">
        <is>
          <t>Class 1-3 / Urban</t>
        </is>
      </c>
      <c r="L684" s="23" t="n">
        <v>3142</v>
      </c>
      <c r="M684" s="24" t="n">
        <v>4.63</v>
      </c>
      <c r="N684" s="23">
        <f>ROUND(L684/M684, 0)</f>
        <v/>
      </c>
      <c r="O684" s="23">
        <f>ROUND(N684*'Methodology &amp; Assumptions'!$B$8, 0)</f>
        <v/>
      </c>
      <c r="P684" s="44" t="inlineStr">
        <is>
          <t>Band n50 (1.5 GHz, 60 MHz)</t>
        </is>
      </c>
      <c r="Q684" s="38">
        <f>ROUNDUP(O684/'Methodology &amp; Assumptions'!$B$9, 0)</f>
        <v/>
      </c>
      <c r="R684" s="39" t="n">
        <v>1</v>
      </c>
      <c r="S684" s="25" t="n">
        <v>1.66</v>
      </c>
      <c r="T684" s="25" t="n">
        <v>1.69</v>
      </c>
      <c r="U684" s="42" t="inlineStr">
        <is>
          <t>Tier 1B (Micro Drop, 1-3 km)</t>
        </is>
      </c>
      <c r="V684" s="24" t="n">
        <v>67.5</v>
      </c>
      <c r="W684" s="24" t="n">
        <v>78.40000000000001</v>
      </c>
      <c r="X684" s="24" t="n">
        <v>58</v>
      </c>
      <c r="Y684" s="45">
        <f>ROUND((V684*'Methodology &amp; Assumptions'!$B$6)+(W684*'Methodology &amp; Assumptions'!$B$5)+(X684*'Methodology &amp; Assumptions'!$B$7), 2)</f>
        <v/>
      </c>
    </row>
    <row r="685" ht="19" customHeight="1">
      <c r="A685" s="35" t="n">
        <v>681</v>
      </c>
      <c r="B685" s="35" t="n">
        <v>2681</v>
      </c>
      <c r="C685" s="36" t="inlineStr">
        <is>
          <t>0730600015</t>
        </is>
      </c>
      <c r="D685" s="36" t="inlineStr">
        <is>
          <t>Region VII (Central Visayas)</t>
        </is>
      </c>
      <c r="E685" s="36" t="inlineStr">
        <is>
          <t>Cebu</t>
        </is>
      </c>
      <c r="F685" s="36" t="inlineStr">
        <is>
          <t>City of Cebu</t>
        </is>
      </c>
      <c r="G685" s="36" t="inlineStr">
        <is>
          <t>Bulacao</t>
        </is>
      </c>
      <c r="H685" s="37" t="n">
        <v>10.275392</v>
      </c>
      <c r="I685" s="37" t="n">
        <v>123.851394</v>
      </c>
      <c r="J685" s="8" t="inlineStr">
        <is>
          <t>U</t>
        </is>
      </c>
      <c r="K685" s="36" t="inlineStr">
        <is>
          <t>Class 1-3 / Urban</t>
        </is>
      </c>
      <c r="L685" s="18" t="n">
        <v>28675</v>
      </c>
      <c r="M685" s="20" t="n">
        <v>4.42</v>
      </c>
      <c r="N685" s="18">
        <f>ROUND(L685/M685, 0)</f>
        <v/>
      </c>
      <c r="O685" s="18">
        <f>ROUND(N685*'Methodology &amp; Assumptions'!$B$8, 0)</f>
        <v/>
      </c>
      <c r="P685" s="8" t="inlineStr">
        <is>
          <t>Band n50 (1.5 GHz, 60 MHz)</t>
        </is>
      </c>
      <c r="Q685" s="38">
        <f>ROUNDUP(O685/'Methodology &amp; Assumptions'!$B$9, 0)</f>
        <v/>
      </c>
      <c r="R685" s="39" t="n">
        <v>1</v>
      </c>
      <c r="S685" s="21" t="n">
        <v>1.45</v>
      </c>
      <c r="T685" s="21" t="n">
        <v>0.34</v>
      </c>
      <c r="U685" s="36" t="inlineStr">
        <is>
          <t>Tier 1B (Micro Drop, 1-3 km)</t>
        </is>
      </c>
      <c r="V685" s="20" t="n">
        <v>71.59999999999999</v>
      </c>
      <c r="W685" s="20" t="n">
        <v>100</v>
      </c>
      <c r="X685" s="20" t="n">
        <v>28</v>
      </c>
      <c r="Y685" s="40">
        <f>ROUND((V685*'Methodology &amp; Assumptions'!$B$6)+(W685*'Methodology &amp; Assumptions'!$B$5)+(X685*'Methodology &amp; Assumptions'!$B$7), 2)</f>
        <v/>
      </c>
    </row>
    <row r="686" ht="19" customHeight="1">
      <c r="A686" s="41" t="n">
        <v>682</v>
      </c>
      <c r="B686" s="41" t="n">
        <v>2682</v>
      </c>
      <c r="C686" s="42" t="inlineStr">
        <is>
          <t>1030500040</t>
        </is>
      </c>
      <c r="D686" s="42" t="inlineStr">
        <is>
          <t>Region X (Northern Mindanao)</t>
        </is>
      </c>
      <c r="E686" s="42" t="inlineStr">
        <is>
          <t>Misamis Oriental</t>
        </is>
      </c>
      <c r="F686" s="42" t="inlineStr">
        <is>
          <t>City of Cagayan De Oro</t>
        </is>
      </c>
      <c r="G686" s="42" t="inlineStr">
        <is>
          <t>Bonbon</t>
        </is>
      </c>
      <c r="H686" s="43" t="n">
        <v>8.508965999999999</v>
      </c>
      <c r="I686" s="43" t="n">
        <v>124.649098</v>
      </c>
      <c r="J686" s="44" t="inlineStr">
        <is>
          <t>U</t>
        </is>
      </c>
      <c r="K686" s="42" t="inlineStr">
        <is>
          <t>Class 1-3 / Urban</t>
        </is>
      </c>
      <c r="L686" s="23" t="n">
        <v>10976</v>
      </c>
      <c r="M686" s="24" t="n">
        <v>4.54</v>
      </c>
      <c r="N686" s="23">
        <f>ROUND(L686/M686, 0)</f>
        <v/>
      </c>
      <c r="O686" s="23">
        <f>ROUND(N686*'Methodology &amp; Assumptions'!$B$8, 0)</f>
        <v/>
      </c>
      <c r="P686" s="44" t="inlineStr">
        <is>
          <t>Band n50 (1.5 GHz, 60 MHz)</t>
        </is>
      </c>
      <c r="Q686" s="38">
        <f>ROUNDUP(O686/'Methodology &amp; Assumptions'!$B$9, 0)</f>
        <v/>
      </c>
      <c r="R686" s="39" t="n">
        <v>1</v>
      </c>
      <c r="S686" s="25" t="n">
        <v>1.45</v>
      </c>
      <c r="T686" s="25" t="n">
        <v>0.67</v>
      </c>
      <c r="U686" s="42" t="inlineStr">
        <is>
          <t>Tier 1B (Micro Drop, 1-3 km)</t>
        </is>
      </c>
      <c r="V686" s="24" t="n">
        <v>71.59999999999999</v>
      </c>
      <c r="W686" s="24" t="n">
        <v>100</v>
      </c>
      <c r="X686" s="24" t="n">
        <v>28</v>
      </c>
      <c r="Y686" s="45">
        <f>ROUND((V686*'Methodology &amp; Assumptions'!$B$6)+(W686*'Methodology &amp; Assumptions'!$B$5)+(X686*'Methodology &amp; Assumptions'!$B$7), 2)</f>
        <v/>
      </c>
    </row>
    <row r="687" ht="19" customHeight="1">
      <c r="A687" s="35" t="n">
        <v>683</v>
      </c>
      <c r="B687" s="35" t="n">
        <v>2683</v>
      </c>
      <c r="C687" s="36" t="inlineStr">
        <is>
          <t>0203108012</t>
        </is>
      </c>
      <c r="D687" s="36" t="inlineStr">
        <is>
          <t>Region II (Cagayan Valley)</t>
        </is>
      </c>
      <c r="E687" s="36" t="inlineStr">
        <is>
          <t>Isabela</t>
        </is>
      </c>
      <c r="F687" s="36" t="inlineStr">
        <is>
          <t>City of Cauayan</t>
        </is>
      </c>
      <c r="G687" s="36" t="inlineStr">
        <is>
          <t>Cabaruan</t>
        </is>
      </c>
      <c r="H687" s="37" t="n">
        <v>16.946932</v>
      </c>
      <c r="I687" s="37" t="n">
        <v>121.771926</v>
      </c>
      <c r="J687" s="8" t="inlineStr">
        <is>
          <t>U</t>
        </is>
      </c>
      <c r="K687" s="36" t="inlineStr">
        <is>
          <t>Class 1-3 / Urban</t>
        </is>
      </c>
      <c r="L687" s="18" t="n">
        <v>8244</v>
      </c>
      <c r="M687" s="20" t="n">
        <v>4.3</v>
      </c>
      <c r="N687" s="18">
        <f>ROUND(L687/M687, 0)</f>
        <v/>
      </c>
      <c r="O687" s="18">
        <f>ROUND(N687*'Methodology &amp; Assumptions'!$B$8, 0)</f>
        <v/>
      </c>
      <c r="P687" s="8" t="inlineStr">
        <is>
          <t>Band n50 (1.5 GHz, 60 MHz)</t>
        </is>
      </c>
      <c r="Q687" s="38">
        <f>ROUNDUP(O687/'Methodology &amp; Assumptions'!$B$9, 0)</f>
        <v/>
      </c>
      <c r="R687" s="39" t="n">
        <v>1</v>
      </c>
      <c r="S687" s="21" t="n">
        <v>1.45</v>
      </c>
      <c r="T687" s="21" t="n">
        <v>0.07000000000000001</v>
      </c>
      <c r="U687" s="36" t="inlineStr">
        <is>
          <t>Tier 1B (Micro Drop, 1-3 km)</t>
        </is>
      </c>
      <c r="V687" s="20" t="n">
        <v>71.59999999999999</v>
      </c>
      <c r="W687" s="20" t="n">
        <v>100</v>
      </c>
      <c r="X687" s="20" t="n">
        <v>28</v>
      </c>
      <c r="Y687" s="40">
        <f>ROUND((V687*'Methodology &amp; Assumptions'!$B$6)+(W687*'Methodology &amp; Assumptions'!$B$5)+(X687*'Methodology &amp; Assumptions'!$B$7), 2)</f>
        <v/>
      </c>
    </row>
    <row r="688" ht="19" customHeight="1">
      <c r="A688" s="41" t="n">
        <v>684</v>
      </c>
      <c r="B688" s="41" t="n">
        <v>2684</v>
      </c>
      <c r="C688" s="42" t="inlineStr">
        <is>
          <t>0402123021</t>
        </is>
      </c>
      <c r="D688" s="42" t="inlineStr">
        <is>
          <t>Region IV-A (CALABARZON)</t>
        </is>
      </c>
      <c r="E688" s="42" t="inlineStr">
        <is>
          <t>Cavite</t>
        </is>
      </c>
      <c r="F688" s="42" t="inlineStr">
        <is>
          <t>Gen. Mariano Alvarez</t>
        </is>
      </c>
      <c r="G688" s="42" t="inlineStr">
        <is>
          <t>Nicolasa Virata</t>
        </is>
      </c>
      <c r="H688" s="43" t="n">
        <v>14.332627</v>
      </c>
      <c r="I688" s="43" t="n">
        <v>121.034478</v>
      </c>
      <c r="J688" s="44" t="inlineStr">
        <is>
          <t>U</t>
        </is>
      </c>
      <c r="K688" s="42" t="inlineStr">
        <is>
          <t>Class 1-3 / Urban</t>
        </is>
      </c>
      <c r="L688" s="23" t="n">
        <v>6277</v>
      </c>
      <c r="M688" s="24" t="n">
        <v>4.49</v>
      </c>
      <c r="N688" s="23">
        <f>ROUND(L688/M688, 0)</f>
        <v/>
      </c>
      <c r="O688" s="23">
        <f>ROUND(N688*'Methodology &amp; Assumptions'!$B$8, 0)</f>
        <v/>
      </c>
      <c r="P688" s="44" t="inlineStr">
        <is>
          <t>Band n50 (1.5 GHz, 60 MHz)</t>
        </is>
      </c>
      <c r="Q688" s="38">
        <f>ROUNDUP(O688/'Methodology &amp; Assumptions'!$B$9, 0)</f>
        <v/>
      </c>
      <c r="R688" s="39" t="n">
        <v>1</v>
      </c>
      <c r="S688" s="25" t="n">
        <v>1.45</v>
      </c>
      <c r="T688" s="25" t="n">
        <v>1.47</v>
      </c>
      <c r="U688" s="42" t="inlineStr">
        <is>
          <t>Tier 1B (Micro Drop, 1-3 km)</t>
        </is>
      </c>
      <c r="V688" s="24" t="n">
        <v>71.59999999999999</v>
      </c>
      <c r="W688" s="24" t="n">
        <v>100</v>
      </c>
      <c r="X688" s="24" t="n">
        <v>28</v>
      </c>
      <c r="Y688" s="45">
        <f>ROUND((V688*'Methodology &amp; Assumptions'!$B$6)+(W688*'Methodology &amp; Assumptions'!$B$5)+(X688*'Methodology &amp; Assumptions'!$B$7), 2)</f>
        <v/>
      </c>
    </row>
    <row r="689" ht="19" customHeight="1">
      <c r="A689" s="35" t="n">
        <v>685</v>
      </c>
      <c r="B689" s="35" t="n">
        <v>2685</v>
      </c>
      <c r="C689" s="36" t="inlineStr">
        <is>
          <t>0401014032</t>
        </is>
      </c>
      <c r="D689" s="36" t="inlineStr">
        <is>
          <t>Region IV-A (CALABARZON)</t>
        </is>
      </c>
      <c r="E689" s="36" t="inlineStr">
        <is>
          <t>Batangas</t>
        </is>
      </c>
      <c r="F689" s="36" t="inlineStr">
        <is>
          <t>City of Lipa</t>
        </is>
      </c>
      <c r="G689" s="36" t="inlineStr">
        <is>
          <t>Munting Pulo</t>
        </is>
      </c>
      <c r="H689" s="37" t="n">
        <v>13.95453</v>
      </c>
      <c r="I689" s="37" t="n">
        <v>121.185356</v>
      </c>
      <c r="J689" s="8" t="inlineStr">
        <is>
          <t>R</t>
        </is>
      </c>
      <c r="K689" s="36" t="inlineStr">
        <is>
          <t>Class 1-3 / Urban</t>
        </is>
      </c>
      <c r="L689" s="18" t="n">
        <v>4853</v>
      </c>
      <c r="M689" s="20" t="n">
        <v>4.62</v>
      </c>
      <c r="N689" s="18">
        <f>ROUND(L689/M689, 0)</f>
        <v/>
      </c>
      <c r="O689" s="18">
        <f>ROUND(N689*'Methodology &amp; Assumptions'!$B$8, 0)</f>
        <v/>
      </c>
      <c r="P689" s="8" t="inlineStr">
        <is>
          <t>Band n50 (1.5 GHz, 60 MHz)</t>
        </is>
      </c>
      <c r="Q689" s="38">
        <f>ROUNDUP(O689/'Methodology &amp; Assumptions'!$B$9, 0)</f>
        <v/>
      </c>
      <c r="R689" s="39" t="n">
        <v>1</v>
      </c>
      <c r="S689" s="21" t="n">
        <v>2.34</v>
      </c>
      <c r="T689" s="21" t="n">
        <v>2.11</v>
      </c>
      <c r="U689" s="36" t="inlineStr">
        <is>
          <t>Tier 1B (Micro Drop, 1-3 km)</t>
        </is>
      </c>
      <c r="V689" s="20" t="n">
        <v>45.9</v>
      </c>
      <c r="W689" s="20" t="n">
        <v>100</v>
      </c>
      <c r="X689" s="20" t="n">
        <v>58</v>
      </c>
      <c r="Y689" s="40">
        <f>ROUND((V689*'Methodology &amp; Assumptions'!$B$6)+(W689*'Methodology &amp; Assumptions'!$B$5)+(X689*'Methodology &amp; Assumptions'!$B$7), 2)</f>
        <v/>
      </c>
    </row>
    <row r="690" ht="19" customHeight="1">
      <c r="A690" s="41" t="n">
        <v>686</v>
      </c>
      <c r="B690" s="41" t="n">
        <v>2686</v>
      </c>
      <c r="C690" s="42" t="inlineStr">
        <is>
          <t>0803726023</t>
        </is>
      </c>
      <c r="D690" s="42" t="inlineStr">
        <is>
          <t>Region VIII (Eastern Visayas)</t>
        </is>
      </c>
      <c r="E690" s="42" t="inlineStr">
        <is>
          <t>Leyte</t>
        </is>
      </c>
      <c r="F690" s="42" t="inlineStr">
        <is>
          <t>Kananga</t>
        </is>
      </c>
      <c r="G690" s="42" t="inlineStr">
        <is>
          <t>Tugbong</t>
        </is>
      </c>
      <c r="H690" s="43" t="n">
        <v>11.168335</v>
      </c>
      <c r="I690" s="43" t="n">
        <v>124.544931</v>
      </c>
      <c r="J690" s="44" t="inlineStr">
        <is>
          <t>R</t>
        </is>
      </c>
      <c r="K690" s="42" t="inlineStr">
        <is>
          <t>Class 1-3 / Urban</t>
        </is>
      </c>
      <c r="L690" s="23" t="n">
        <v>3692</v>
      </c>
      <c r="M690" s="24" t="n">
        <v>4.24</v>
      </c>
      <c r="N690" s="23">
        <f>ROUND(L690/M690, 0)</f>
        <v/>
      </c>
      <c r="O690" s="23">
        <f>ROUND(N690*'Methodology &amp; Assumptions'!$B$8, 0)</f>
        <v/>
      </c>
      <c r="P690" s="44" t="inlineStr">
        <is>
          <t>Band n50 (1.5 GHz, 60 MHz)</t>
        </is>
      </c>
      <c r="Q690" s="38">
        <f>ROUNDUP(O690/'Methodology &amp; Assumptions'!$B$9, 0)</f>
        <v/>
      </c>
      <c r="R690" s="39" t="n">
        <v>1</v>
      </c>
      <c r="S690" s="25" t="n">
        <v>2.58</v>
      </c>
      <c r="T690" s="25" t="n">
        <v>1.53</v>
      </c>
      <c r="U690" s="42" t="inlineStr">
        <is>
          <t>Tier 1B (Micro Drop, 1-3 km)</t>
        </is>
      </c>
      <c r="V690" s="24" t="n">
        <v>52.3</v>
      </c>
      <c r="W690" s="24" t="n">
        <v>93.59999999999999</v>
      </c>
      <c r="X690" s="24" t="n">
        <v>58</v>
      </c>
      <c r="Y690" s="45">
        <f>ROUND((V690*'Methodology &amp; Assumptions'!$B$6)+(W690*'Methodology &amp; Assumptions'!$B$5)+(X690*'Methodology &amp; Assumptions'!$B$7), 2)</f>
        <v/>
      </c>
    </row>
    <row r="691" ht="19" customHeight="1">
      <c r="A691" s="35" t="n">
        <v>687</v>
      </c>
      <c r="B691" s="35" t="n">
        <v>2687</v>
      </c>
      <c r="C691" s="36" t="inlineStr">
        <is>
          <t>0500518023</t>
        </is>
      </c>
      <c r="D691" s="36" t="inlineStr">
        <is>
          <t>Region V (Bicol Region)</t>
        </is>
      </c>
      <c r="E691" s="36" t="inlineStr">
        <is>
          <t>Albay</t>
        </is>
      </c>
      <c r="F691" s="36" t="inlineStr">
        <is>
          <t>Tiwi</t>
        </is>
      </c>
      <c r="G691" s="36" t="inlineStr">
        <is>
          <t>Nagas</t>
        </is>
      </c>
      <c r="H691" s="37" t="n">
        <v>13.105123</v>
      </c>
      <c r="I691" s="37" t="n">
        <v>123.291605</v>
      </c>
      <c r="J691" s="8" t="inlineStr">
        <is>
          <t>R</t>
        </is>
      </c>
      <c r="K691" s="36" t="inlineStr">
        <is>
          <t>Class 1-3 / Urban</t>
        </is>
      </c>
      <c r="L691" s="18" t="n">
        <v>3361</v>
      </c>
      <c r="M691" s="20" t="n">
        <v>4.67</v>
      </c>
      <c r="N691" s="18">
        <f>ROUND(L691/M691, 0)</f>
        <v/>
      </c>
      <c r="O691" s="18">
        <f>ROUND(N691*'Methodology &amp; Assumptions'!$B$8, 0)</f>
        <v/>
      </c>
      <c r="P691" s="8" t="inlineStr">
        <is>
          <t>Band n50 (1.5 GHz, 60 MHz)</t>
        </is>
      </c>
      <c r="Q691" s="38">
        <f>ROUNDUP(O691/'Methodology &amp; Assumptions'!$B$9, 0)</f>
        <v/>
      </c>
      <c r="R691" s="39" t="n">
        <v>1</v>
      </c>
      <c r="S691" s="21" t="n">
        <v>1.33</v>
      </c>
      <c r="T691" s="21" t="n">
        <v>28.29</v>
      </c>
      <c r="U691" s="36" t="inlineStr">
        <is>
          <t>Tier 1B (Micro Drop, 1-3 km)</t>
        </is>
      </c>
      <c r="V691" s="20" t="n">
        <v>64.3</v>
      </c>
      <c r="W691" s="20" t="n">
        <v>81.59999999999999</v>
      </c>
      <c r="X691" s="20" t="n">
        <v>58</v>
      </c>
      <c r="Y691" s="40">
        <f>ROUND((V691*'Methodology &amp; Assumptions'!$B$6)+(W691*'Methodology &amp; Assumptions'!$B$5)+(X691*'Methodology &amp; Assumptions'!$B$7), 2)</f>
        <v/>
      </c>
    </row>
    <row r="692" ht="19" customHeight="1">
      <c r="A692" s="41" t="n">
        <v>688</v>
      </c>
      <c r="B692" s="41" t="n">
        <v>2688</v>
      </c>
      <c r="C692" s="42" t="inlineStr">
        <is>
          <t>1102509022</t>
        </is>
      </c>
      <c r="D692" s="42" t="inlineStr">
        <is>
          <t>Region XI (Davao Region)</t>
        </is>
      </c>
      <c r="E692" s="42" t="inlineStr">
        <is>
          <t>Davao Oriental</t>
        </is>
      </c>
      <c r="F692" s="42" t="inlineStr">
        <is>
          <t>City of Mati</t>
        </is>
      </c>
      <c r="G692" s="42" t="inlineStr">
        <is>
          <t>Sainz</t>
        </is>
      </c>
      <c r="H692" s="43" t="n">
        <v>6.96772</v>
      </c>
      <c r="I692" s="43" t="n">
        <v>126.22</v>
      </c>
      <c r="J692" s="44" t="inlineStr">
        <is>
          <t>U</t>
        </is>
      </c>
      <c r="K692" s="42" t="inlineStr">
        <is>
          <t>Class 1-3 / Urban</t>
        </is>
      </c>
      <c r="L692" s="23" t="n">
        <v>10377</v>
      </c>
      <c r="M692" s="24" t="n">
        <v>4.1</v>
      </c>
      <c r="N692" s="23">
        <f>ROUND(L692/M692, 0)</f>
        <v/>
      </c>
      <c r="O692" s="23">
        <f>ROUND(N692*'Methodology &amp; Assumptions'!$B$8, 0)</f>
        <v/>
      </c>
      <c r="P692" s="44" t="inlineStr">
        <is>
          <t>Band n50 (1.5 GHz, 60 MHz)</t>
        </is>
      </c>
      <c r="Q692" s="38">
        <f>ROUNDUP(O692/'Methodology &amp; Assumptions'!$B$9, 0)</f>
        <v/>
      </c>
      <c r="R692" s="39" t="n">
        <v>1</v>
      </c>
      <c r="S692" s="25" t="n">
        <v>1.45</v>
      </c>
      <c r="T692" s="25" t="n">
        <v>1.39</v>
      </c>
      <c r="U692" s="42" t="inlineStr">
        <is>
          <t>Tier 1B (Micro Drop, 1-3 km)</t>
        </is>
      </c>
      <c r="V692" s="24" t="n">
        <v>71.59999999999999</v>
      </c>
      <c r="W692" s="24" t="n">
        <v>100</v>
      </c>
      <c r="X692" s="24" t="n">
        <v>28</v>
      </c>
      <c r="Y692" s="45">
        <f>ROUND((V692*'Methodology &amp; Assumptions'!$B$6)+(W692*'Methodology &amp; Assumptions'!$B$5)+(X692*'Methodology &amp; Assumptions'!$B$7), 2)</f>
        <v/>
      </c>
    </row>
    <row r="693" ht="19" customHeight="1">
      <c r="A693" s="35" t="n">
        <v>689</v>
      </c>
      <c r="B693" s="35" t="n">
        <v>2689</v>
      </c>
      <c r="C693" s="36" t="inlineStr">
        <is>
          <t>0405603009</t>
        </is>
      </c>
      <c r="D693" s="36" t="inlineStr">
        <is>
          <t>Region IV-A (CALABARZON)</t>
        </is>
      </c>
      <c r="E693" s="36" t="inlineStr">
        <is>
          <t>Quezon</t>
        </is>
      </c>
      <c r="F693" s="36" t="inlineStr">
        <is>
          <t>Atimonan</t>
        </is>
      </c>
      <c r="G693" s="36" t="inlineStr">
        <is>
          <t>Caridad Ibaba</t>
        </is>
      </c>
      <c r="H693" s="37" t="n">
        <v>14.005976</v>
      </c>
      <c r="I693" s="37" t="n">
        <v>121.912951</v>
      </c>
      <c r="J693" s="8" t="inlineStr">
        <is>
          <t>U</t>
        </is>
      </c>
      <c r="K693" s="36" t="inlineStr">
        <is>
          <t>Class 1-3 / Urban</t>
        </is>
      </c>
      <c r="L693" s="18" t="n">
        <v>6940</v>
      </c>
      <c r="M693" s="20" t="n">
        <v>4.46</v>
      </c>
      <c r="N693" s="18">
        <f>ROUND(L693/M693, 0)</f>
        <v/>
      </c>
      <c r="O693" s="18">
        <f>ROUND(N693*'Methodology &amp; Assumptions'!$B$8, 0)</f>
        <v/>
      </c>
      <c r="P693" s="8" t="inlineStr">
        <is>
          <t>Band n50 (1.5 GHz, 60 MHz)</t>
        </is>
      </c>
      <c r="Q693" s="38">
        <f>ROUNDUP(O693/'Methodology &amp; Assumptions'!$B$9, 0)</f>
        <v/>
      </c>
      <c r="R693" s="39" t="n">
        <v>1</v>
      </c>
      <c r="S693" s="21" t="n">
        <v>1.46</v>
      </c>
      <c r="T693" s="21" t="n">
        <v>1.07</v>
      </c>
      <c r="U693" s="36" t="inlineStr">
        <is>
          <t>Tier 1B (Micro Drop, 1-3 km)</t>
        </is>
      </c>
      <c r="V693" s="20" t="n">
        <v>71.59999999999999</v>
      </c>
      <c r="W693" s="20" t="n">
        <v>100</v>
      </c>
      <c r="X693" s="20" t="n">
        <v>28</v>
      </c>
      <c r="Y693" s="40">
        <f>ROUND((V693*'Methodology &amp; Assumptions'!$B$6)+(W693*'Methodology &amp; Assumptions'!$B$5)+(X693*'Methodology &amp; Assumptions'!$B$7), 2)</f>
        <v/>
      </c>
    </row>
    <row r="694" ht="19" customHeight="1">
      <c r="A694" s="41" t="n">
        <v>690</v>
      </c>
      <c r="B694" s="41" t="n">
        <v>2690</v>
      </c>
      <c r="C694" s="42" t="inlineStr">
        <is>
          <t>0405802008</t>
        </is>
      </c>
      <c r="D694" s="42" t="inlineStr">
        <is>
          <t>Region IV-A (CALABARZON)</t>
        </is>
      </c>
      <c r="E694" s="42" t="inlineStr">
        <is>
          <t>Rizal</t>
        </is>
      </c>
      <c r="F694" s="42" t="inlineStr">
        <is>
          <t>City of Antipolo</t>
        </is>
      </c>
      <c r="G694" s="42" t="inlineStr">
        <is>
          <t>San Jose</t>
        </is>
      </c>
      <c r="H694" s="43" t="n">
        <v>14.585307</v>
      </c>
      <c r="I694" s="43" t="n">
        <v>121.182088</v>
      </c>
      <c r="J694" s="44" t="inlineStr">
        <is>
          <t>U</t>
        </is>
      </c>
      <c r="K694" s="42" t="inlineStr">
        <is>
          <t>Class 1-3 / Urban</t>
        </is>
      </c>
      <c r="L694" s="23" t="n">
        <v>127621</v>
      </c>
      <c r="M694" s="24" t="n">
        <v>4.39</v>
      </c>
      <c r="N694" s="23">
        <f>ROUND(L694/M694, 0)</f>
        <v/>
      </c>
      <c r="O694" s="23">
        <f>ROUND(N694*'Methodology &amp; Assumptions'!$B$8, 0)</f>
        <v/>
      </c>
      <c r="P694" s="44" t="inlineStr">
        <is>
          <t>Band n50 (1.5 GHz, 60 MHz)</t>
        </is>
      </c>
      <c r="Q694" s="38">
        <f>ROUNDUP(O694/'Methodology &amp; Assumptions'!$B$9, 0)</f>
        <v/>
      </c>
      <c r="R694" s="39" t="n">
        <v>1</v>
      </c>
      <c r="S694" s="25" t="n">
        <v>1.05</v>
      </c>
      <c r="T694" s="25" t="n">
        <v>0.08</v>
      </c>
      <c r="U694" s="42" t="inlineStr">
        <is>
          <t>Tier 1B (Micro Drop, 1-3 km)</t>
        </is>
      </c>
      <c r="V694" s="24" t="n">
        <v>80.5</v>
      </c>
      <c r="W694" s="24" t="n">
        <v>91</v>
      </c>
      <c r="X694" s="24" t="n">
        <v>28</v>
      </c>
      <c r="Y694" s="45">
        <f>ROUND((V694*'Methodology &amp; Assumptions'!$B$6)+(W694*'Methodology &amp; Assumptions'!$B$5)+(X694*'Methodology &amp; Assumptions'!$B$7), 2)</f>
        <v/>
      </c>
    </row>
    <row r="695" ht="19" customHeight="1">
      <c r="A695" s="35" t="n">
        <v>691</v>
      </c>
      <c r="B695" s="35" t="n">
        <v>2691</v>
      </c>
      <c r="C695" s="36" t="inlineStr">
        <is>
          <t>0330100007</t>
        </is>
      </c>
      <c r="D695" s="36" t="inlineStr">
        <is>
          <t>Region III (Central Luzon)</t>
        </is>
      </c>
      <c r="E695" s="36" t="inlineStr">
        <is>
          <t>Pampanga</t>
        </is>
      </c>
      <c r="F695" s="36" t="inlineStr">
        <is>
          <t>City of Angeles</t>
        </is>
      </c>
      <c r="G695" s="36" t="inlineStr">
        <is>
          <t>Cutcut</t>
        </is>
      </c>
      <c r="H695" s="37" t="n">
        <v>15.137677</v>
      </c>
      <c r="I695" s="37" t="n">
        <v>120.58203</v>
      </c>
      <c r="J695" s="8" t="inlineStr">
        <is>
          <t>U</t>
        </is>
      </c>
      <c r="K695" s="36" t="inlineStr">
        <is>
          <t>Class 1-3 / Urban</t>
        </is>
      </c>
      <c r="L695" s="18" t="n">
        <v>28296</v>
      </c>
      <c r="M695" s="20" t="n">
        <v>4.63</v>
      </c>
      <c r="N695" s="18">
        <f>ROUND(L695/M695, 0)</f>
        <v/>
      </c>
      <c r="O695" s="18">
        <f>ROUND(N695*'Methodology &amp; Assumptions'!$B$8, 0)</f>
        <v/>
      </c>
      <c r="P695" s="8" t="inlineStr">
        <is>
          <t>Band n50 (1.5 GHz, 60 MHz)</t>
        </is>
      </c>
      <c r="Q695" s="38">
        <f>ROUNDUP(O695/'Methodology &amp; Assumptions'!$B$9, 0)</f>
        <v/>
      </c>
      <c r="R695" s="39" t="n">
        <v>1</v>
      </c>
      <c r="S695" s="21" t="n">
        <v>1.46</v>
      </c>
      <c r="T695" s="21" t="n">
        <v>0.46</v>
      </c>
      <c r="U695" s="36" t="inlineStr">
        <is>
          <t>Tier 1B (Micro Drop, 1-3 km)</t>
        </is>
      </c>
      <c r="V695" s="20" t="n">
        <v>71.5</v>
      </c>
      <c r="W695" s="20" t="n">
        <v>100</v>
      </c>
      <c r="X695" s="20" t="n">
        <v>28</v>
      </c>
      <c r="Y695" s="40">
        <f>ROUND((V695*'Methodology &amp; Assumptions'!$B$6)+(W695*'Methodology &amp; Assumptions'!$B$5)+(X695*'Methodology &amp; Assumptions'!$B$7), 2)</f>
        <v/>
      </c>
    </row>
    <row r="696" ht="19" customHeight="1">
      <c r="A696" s="41" t="n">
        <v>692</v>
      </c>
      <c r="B696" s="41" t="n">
        <v>2692</v>
      </c>
      <c r="C696" s="42" t="inlineStr">
        <is>
          <t>0702246004</t>
        </is>
      </c>
      <c r="D696" s="42" t="inlineStr">
        <is>
          <t>Region VII (Central Visayas)</t>
        </is>
      </c>
      <c r="E696" s="42" t="inlineStr">
        <is>
          <t>Cebu</t>
        </is>
      </c>
      <c r="F696" s="42" t="inlineStr">
        <is>
          <t>Sibonga</t>
        </is>
      </c>
      <c r="G696" s="42" t="inlineStr">
        <is>
          <t>Bahay</t>
        </is>
      </c>
      <c r="H696" s="43" t="n">
        <v>10.000832</v>
      </c>
      <c r="I696" s="43" t="n">
        <v>123.61373</v>
      </c>
      <c r="J696" s="44" t="inlineStr">
        <is>
          <t>U</t>
        </is>
      </c>
      <c r="K696" s="42" t="inlineStr">
        <is>
          <t>Class 1-3 / Urban</t>
        </is>
      </c>
      <c r="L696" s="23" t="n">
        <v>5646</v>
      </c>
      <c r="M696" s="24" t="n">
        <v>4.42</v>
      </c>
      <c r="N696" s="23">
        <f>ROUND(L696/M696, 0)</f>
        <v/>
      </c>
      <c r="O696" s="23">
        <f>ROUND(N696*'Methodology &amp; Assumptions'!$B$8, 0)</f>
        <v/>
      </c>
      <c r="P696" s="44" t="inlineStr">
        <is>
          <t>Band n50 (1.5 GHz, 60 MHz)</t>
        </is>
      </c>
      <c r="Q696" s="38">
        <f>ROUNDUP(O696/'Methodology &amp; Assumptions'!$B$9, 0)</f>
        <v/>
      </c>
      <c r="R696" s="39" t="n">
        <v>1</v>
      </c>
      <c r="S696" s="25" t="n">
        <v>1.46</v>
      </c>
      <c r="T696" s="25" t="n">
        <v>0.12</v>
      </c>
      <c r="U696" s="42" t="inlineStr">
        <is>
          <t>Tier 1B (Micro Drop, 1-3 km)</t>
        </is>
      </c>
      <c r="V696" s="24" t="n">
        <v>71.5</v>
      </c>
      <c r="W696" s="24" t="n">
        <v>100</v>
      </c>
      <c r="X696" s="24" t="n">
        <v>28</v>
      </c>
      <c r="Y696" s="45">
        <f>ROUND((V696*'Methodology &amp; Assumptions'!$B$6)+(W696*'Methodology &amp; Assumptions'!$B$5)+(X696*'Methodology &amp; Assumptions'!$B$7), 2)</f>
        <v/>
      </c>
    </row>
    <row r="697" ht="19" customHeight="1">
      <c r="A697" s="35" t="n">
        <v>693</v>
      </c>
      <c r="B697" s="35" t="n">
        <v>2693</v>
      </c>
      <c r="C697" s="36" t="inlineStr">
        <is>
          <t>0403414002</t>
        </is>
      </c>
      <c r="D697" s="36" t="inlineStr">
        <is>
          <t>Region IV-A (CALABARZON)</t>
        </is>
      </c>
      <c r="E697" s="36" t="inlineStr">
        <is>
          <t>Laguna</t>
        </is>
      </c>
      <c r="F697" s="36" t="inlineStr">
        <is>
          <t>Mabitac</t>
        </is>
      </c>
      <c r="G697" s="36" t="inlineStr">
        <is>
          <t>Lambac</t>
        </is>
      </c>
      <c r="H697" s="37" t="n">
        <v>14.425006</v>
      </c>
      <c r="I697" s="37" t="n">
        <v>121.4278</v>
      </c>
      <c r="J697" s="8" t="inlineStr">
        <is>
          <t>R</t>
        </is>
      </c>
      <c r="K697" s="36" t="inlineStr">
        <is>
          <t>4th</t>
        </is>
      </c>
      <c r="L697" s="18" t="n">
        <v>1064</v>
      </c>
      <c r="M697" s="20" t="n">
        <v>4.48</v>
      </c>
      <c r="N697" s="18">
        <f>ROUND(L697/M697, 0)</f>
        <v/>
      </c>
      <c r="O697" s="18">
        <f>ROUND(N697*'Methodology &amp; Assumptions'!$B$8, 0)</f>
        <v/>
      </c>
      <c r="P697" s="8" t="inlineStr">
        <is>
          <t>Band n50 (1.5 GHz, 60 MHz)</t>
        </is>
      </c>
      <c r="Q697" s="38">
        <f>ROUNDUP(O697/'Methodology &amp; Assumptions'!$B$9, 0)</f>
        <v/>
      </c>
      <c r="R697" s="39" t="n">
        <v>1</v>
      </c>
      <c r="S697" s="21" t="n">
        <v>0.53</v>
      </c>
      <c r="T697" s="21" t="n">
        <v>1.78</v>
      </c>
      <c r="U697" s="36" t="inlineStr">
        <is>
          <t>Tier 1A (Direct Coloc, &lt;1 km)</t>
        </is>
      </c>
      <c r="V697" s="20" t="n">
        <v>93.90000000000001</v>
      </c>
      <c r="W697" s="20" t="n">
        <v>42.9</v>
      </c>
      <c r="X697" s="20" t="n">
        <v>68.5</v>
      </c>
      <c r="Y697" s="40">
        <f>ROUND((V697*'Methodology &amp; Assumptions'!$B$6)+(W697*'Methodology &amp; Assumptions'!$B$5)+(X697*'Methodology &amp; Assumptions'!$B$7), 2)</f>
        <v/>
      </c>
    </row>
    <row r="698" ht="19" customHeight="1">
      <c r="A698" s="41" t="n">
        <v>694</v>
      </c>
      <c r="B698" s="41" t="n">
        <v>2694</v>
      </c>
      <c r="C698" s="42" t="inlineStr">
        <is>
          <t>0704604018</t>
        </is>
      </c>
      <c r="D698" s="42" t="inlineStr">
        <is>
          <t>Region VII (Central Visayas)</t>
        </is>
      </c>
      <c r="E698" s="42" t="inlineStr">
        <is>
          <t>Negros Oriental</t>
        </is>
      </c>
      <c r="F698" s="42" t="inlineStr">
        <is>
          <t>City of Bais</t>
        </is>
      </c>
      <c r="G698" s="42" t="inlineStr">
        <is>
          <t>Lo-oc</t>
        </is>
      </c>
      <c r="H698" s="43" t="n">
        <v>9.587429999999999</v>
      </c>
      <c r="I698" s="43" t="n">
        <v>123.13476</v>
      </c>
      <c r="J698" s="44" t="inlineStr">
        <is>
          <t>R</t>
        </is>
      </c>
      <c r="K698" s="42" t="inlineStr">
        <is>
          <t>Class 1-3 / Urban</t>
        </is>
      </c>
      <c r="L698" s="23" t="n">
        <v>2543</v>
      </c>
      <c r="M698" s="24" t="n">
        <v>4.33</v>
      </c>
      <c r="N698" s="23">
        <f>ROUND(L698/M698, 0)</f>
        <v/>
      </c>
      <c r="O698" s="23">
        <f>ROUND(N698*'Methodology &amp; Assumptions'!$B$8, 0)</f>
        <v/>
      </c>
      <c r="P698" s="44" t="inlineStr">
        <is>
          <t>Band n50 (1.5 GHz, 60 MHz)</t>
        </is>
      </c>
      <c r="Q698" s="38">
        <f>ROUNDUP(O698/'Methodology &amp; Assumptions'!$B$9, 0)</f>
        <v/>
      </c>
      <c r="R698" s="39" t="n">
        <v>1</v>
      </c>
      <c r="S698" s="25" t="n">
        <v>1.3</v>
      </c>
      <c r="T698" s="25" t="n">
        <v>1.28</v>
      </c>
      <c r="U698" s="42" t="inlineStr">
        <is>
          <t>Tier 1B (Micro Drop, 1-3 km)</t>
        </is>
      </c>
      <c r="V698" s="24" t="n">
        <v>74.90000000000001</v>
      </c>
      <c r="W698" s="24" t="n">
        <v>70.90000000000001</v>
      </c>
      <c r="X698" s="24" t="n">
        <v>58</v>
      </c>
      <c r="Y698" s="45">
        <f>ROUND((V698*'Methodology &amp; Assumptions'!$B$6)+(W698*'Methodology &amp; Assumptions'!$B$5)+(X698*'Methodology &amp; Assumptions'!$B$7), 2)</f>
        <v/>
      </c>
    </row>
    <row r="699" ht="19" customHeight="1">
      <c r="A699" s="35" t="n">
        <v>695</v>
      </c>
      <c r="B699" s="35" t="n">
        <v>2695</v>
      </c>
      <c r="C699" s="36" t="inlineStr">
        <is>
          <t>0603019008</t>
        </is>
      </c>
      <c r="D699" s="36" t="inlineStr">
        <is>
          <t>Region VI (Western Visayas)</t>
        </is>
      </c>
      <c r="E699" s="36" t="inlineStr">
        <is>
          <t>Iloilo</t>
        </is>
      </c>
      <c r="F699" s="36" t="inlineStr">
        <is>
          <t>Estancia</t>
        </is>
      </c>
      <c r="G699" s="36" t="inlineStr">
        <is>
          <t>Daan Banua</t>
        </is>
      </c>
      <c r="H699" s="37" t="n">
        <v>11.456235</v>
      </c>
      <c r="I699" s="37" t="n">
        <v>123.131357</v>
      </c>
      <c r="J699" s="8" t="inlineStr">
        <is>
          <t>R</t>
        </is>
      </c>
      <c r="K699" s="36" t="inlineStr">
        <is>
          <t>Class 1-3 / Urban</t>
        </is>
      </c>
      <c r="L699" s="18" t="n">
        <v>2152</v>
      </c>
      <c r="M699" s="20" t="n">
        <v>4.39</v>
      </c>
      <c r="N699" s="18">
        <f>ROUND(L699/M699, 0)</f>
        <v/>
      </c>
      <c r="O699" s="18">
        <f>ROUND(N699*'Methodology &amp; Assumptions'!$B$8, 0)</f>
        <v/>
      </c>
      <c r="P699" s="8" t="inlineStr">
        <is>
          <t>Band n50 (1.5 GHz, 60 MHz)</t>
        </is>
      </c>
      <c r="Q699" s="38">
        <f>ROUNDUP(O699/'Methodology &amp; Assumptions'!$B$9, 0)</f>
        <v/>
      </c>
      <c r="R699" s="39" t="n">
        <v>1</v>
      </c>
      <c r="S699" s="21" t="n">
        <v>0.57</v>
      </c>
      <c r="T699" s="21" t="n">
        <v>2.34</v>
      </c>
      <c r="U699" s="36" t="inlineStr">
        <is>
          <t>Tier 1A (Direct Coloc, &lt;1 km)</t>
        </is>
      </c>
      <c r="V699" s="20" t="n">
        <v>82.59999999999999</v>
      </c>
      <c r="W699" s="20" t="n">
        <v>63.2</v>
      </c>
      <c r="X699" s="20" t="n">
        <v>58</v>
      </c>
      <c r="Y699" s="40">
        <f>ROUND((V699*'Methodology &amp; Assumptions'!$B$6)+(W699*'Methodology &amp; Assumptions'!$B$5)+(X699*'Methodology &amp; Assumptions'!$B$7), 2)</f>
        <v/>
      </c>
    </row>
    <row r="700" ht="19" customHeight="1">
      <c r="A700" s="41" t="n">
        <v>696</v>
      </c>
      <c r="B700" s="41" t="n">
        <v>2696</v>
      </c>
      <c r="C700" s="42" t="inlineStr">
        <is>
          <t>0500501004</t>
        </is>
      </c>
      <c r="D700" s="42" t="inlineStr">
        <is>
          <t>Region V (Bicol Region)</t>
        </is>
      </c>
      <c r="E700" s="42" t="inlineStr">
        <is>
          <t>Albay</t>
        </is>
      </c>
      <c r="F700" s="42" t="inlineStr">
        <is>
          <t>Bacacay</t>
        </is>
      </c>
      <c r="G700" s="42" t="inlineStr">
        <is>
          <t>Basud</t>
        </is>
      </c>
      <c r="H700" s="43" t="n">
        <v>13.354025</v>
      </c>
      <c r="I700" s="43" t="n">
        <v>123.725502</v>
      </c>
      <c r="J700" s="44" t="inlineStr">
        <is>
          <t>R</t>
        </is>
      </c>
      <c r="K700" s="42" t="inlineStr">
        <is>
          <t>Class 1-3 / Urban</t>
        </is>
      </c>
      <c r="L700" s="23" t="n">
        <v>1822</v>
      </c>
      <c r="M700" s="24" t="n">
        <v>4.67</v>
      </c>
      <c r="N700" s="23">
        <f>ROUND(L700/M700, 0)</f>
        <v/>
      </c>
      <c r="O700" s="23">
        <f>ROUND(N700*'Methodology &amp; Assumptions'!$B$8, 0)</f>
        <v/>
      </c>
      <c r="P700" s="44" t="inlineStr">
        <is>
          <t>Band n50 (1.5 GHz, 60 MHz)</t>
        </is>
      </c>
      <c r="Q700" s="38">
        <f>ROUNDUP(O700/'Methodology &amp; Assumptions'!$B$9, 0)</f>
        <v/>
      </c>
      <c r="R700" s="39" t="n">
        <v>1</v>
      </c>
      <c r="S700" s="25" t="n">
        <v>0.65</v>
      </c>
      <c r="T700" s="25" t="n">
        <v>0.29</v>
      </c>
      <c r="U700" s="42" t="inlineStr">
        <is>
          <t>Tier 1A (Direct Coloc, &lt;1 km)</t>
        </is>
      </c>
      <c r="V700" s="24" t="n">
        <v>90.59999999999999</v>
      </c>
      <c r="W700" s="24" t="n">
        <v>55.2</v>
      </c>
      <c r="X700" s="24" t="n">
        <v>58</v>
      </c>
      <c r="Y700" s="45">
        <f>ROUND((V700*'Methodology &amp; Assumptions'!$B$6)+(W700*'Methodology &amp; Assumptions'!$B$5)+(X700*'Methodology &amp; Assumptions'!$B$7), 2)</f>
        <v/>
      </c>
    </row>
    <row r="701" ht="19" customHeight="1">
      <c r="A701" s="35" t="n">
        <v>697</v>
      </c>
      <c r="B701" s="35" t="n">
        <v>2697</v>
      </c>
      <c r="C701" s="36" t="inlineStr">
        <is>
          <t>0931700075</t>
        </is>
      </c>
      <c r="D701" s="36" t="inlineStr">
        <is>
          <t>Region IX (Zamboanga Peninsula)</t>
        </is>
      </c>
      <c r="E701" s="36" t="inlineStr">
        <is>
          <t>Zamboanga del Sur</t>
        </is>
      </c>
      <c r="F701" s="36" t="inlineStr">
        <is>
          <t>City of Zamboanga</t>
        </is>
      </c>
      <c r="G701" s="36" t="inlineStr">
        <is>
          <t>Santa Catalina</t>
        </is>
      </c>
      <c r="H701" s="37" t="n">
        <v>6.909014</v>
      </c>
      <c r="I701" s="37" t="n">
        <v>122.086896</v>
      </c>
      <c r="J701" s="8" t="inlineStr">
        <is>
          <t>U</t>
        </is>
      </c>
      <c r="K701" s="36" t="inlineStr">
        <is>
          <t>Class 1-3 / Urban</t>
        </is>
      </c>
      <c r="L701" s="18" t="n">
        <v>16644</v>
      </c>
      <c r="M701" s="20" t="n">
        <v>4.61</v>
      </c>
      <c r="N701" s="18">
        <f>ROUND(L701/M701, 0)</f>
        <v/>
      </c>
      <c r="O701" s="18">
        <f>ROUND(N701*'Methodology &amp; Assumptions'!$B$8, 0)</f>
        <v/>
      </c>
      <c r="P701" s="8" t="inlineStr">
        <is>
          <t>Band n50 (1.5 GHz, 60 MHz)</t>
        </is>
      </c>
      <c r="Q701" s="38">
        <f>ROUNDUP(O701/'Methodology &amp; Assumptions'!$B$9, 0)</f>
        <v/>
      </c>
      <c r="R701" s="39" t="n">
        <v>1</v>
      </c>
      <c r="S701" s="21" t="n">
        <v>1.46</v>
      </c>
      <c r="T701" s="21" t="n">
        <v>1.02</v>
      </c>
      <c r="U701" s="36" t="inlineStr">
        <is>
          <t>Tier 1B (Micro Drop, 1-3 km)</t>
        </is>
      </c>
      <c r="V701" s="20" t="n">
        <v>71.5</v>
      </c>
      <c r="W701" s="20" t="n">
        <v>100</v>
      </c>
      <c r="X701" s="20" t="n">
        <v>28</v>
      </c>
      <c r="Y701" s="40">
        <f>ROUND((V701*'Methodology &amp; Assumptions'!$B$6)+(W701*'Methodology &amp; Assumptions'!$B$5)+(X701*'Methodology &amp; Assumptions'!$B$7), 2)</f>
        <v/>
      </c>
    </row>
    <row r="702" ht="19" customHeight="1">
      <c r="A702" s="41" t="n">
        <v>698</v>
      </c>
      <c r="B702" s="41" t="n">
        <v>2698</v>
      </c>
      <c r="C702" s="42" t="inlineStr">
        <is>
          <t>0301406006</t>
        </is>
      </c>
      <c r="D702" s="42" t="inlineStr">
        <is>
          <t>Region III (Central Luzon)</t>
        </is>
      </c>
      <c r="E702" s="42" t="inlineStr">
        <is>
          <t>Bulacan</t>
        </is>
      </c>
      <c r="F702" s="42" t="inlineStr">
        <is>
          <t>Bustos</t>
        </is>
      </c>
      <c r="G702" s="42" t="inlineStr">
        <is>
          <t>Catacte</t>
        </is>
      </c>
      <c r="H702" s="43" t="n">
        <v>14.919116</v>
      </c>
      <c r="I702" s="43" t="n">
        <v>120.943442</v>
      </c>
      <c r="J702" s="44" t="inlineStr">
        <is>
          <t>U</t>
        </is>
      </c>
      <c r="K702" s="42" t="inlineStr">
        <is>
          <t>Class 1-3 / Urban</t>
        </is>
      </c>
      <c r="L702" s="23" t="n">
        <v>8401</v>
      </c>
      <c r="M702" s="24" t="n">
        <v>4.1</v>
      </c>
      <c r="N702" s="23">
        <f>ROUND(L702/M702, 0)</f>
        <v/>
      </c>
      <c r="O702" s="23">
        <f>ROUND(N702*'Methodology &amp; Assumptions'!$B$8, 0)</f>
        <v/>
      </c>
      <c r="P702" s="44" t="inlineStr">
        <is>
          <t>Band n50 (1.5 GHz, 60 MHz)</t>
        </is>
      </c>
      <c r="Q702" s="38">
        <f>ROUNDUP(O702/'Methodology &amp; Assumptions'!$B$9, 0)</f>
        <v/>
      </c>
      <c r="R702" s="39" t="n">
        <v>1</v>
      </c>
      <c r="S702" s="25" t="n">
        <v>1.46</v>
      </c>
      <c r="T702" s="25" t="n">
        <v>1.39</v>
      </c>
      <c r="U702" s="42" t="inlineStr">
        <is>
          <t>Tier 1B (Micro Drop, 1-3 km)</t>
        </is>
      </c>
      <c r="V702" s="24" t="n">
        <v>71.5</v>
      </c>
      <c r="W702" s="24" t="n">
        <v>100</v>
      </c>
      <c r="X702" s="24" t="n">
        <v>28</v>
      </c>
      <c r="Y702" s="45">
        <f>ROUND((V702*'Methodology &amp; Assumptions'!$B$6)+(W702*'Methodology &amp; Assumptions'!$B$5)+(X702*'Methodology &amp; Assumptions'!$B$7), 2)</f>
        <v/>
      </c>
    </row>
    <row r="703" ht="19" customHeight="1">
      <c r="A703" s="35" t="n">
        <v>699</v>
      </c>
      <c r="B703" s="35" t="n">
        <v>2699</v>
      </c>
      <c r="C703" s="36" t="inlineStr">
        <is>
          <t>0501701014</t>
        </is>
      </c>
      <c r="D703" s="36" t="inlineStr">
        <is>
          <t>Region V (Bicol Region)</t>
        </is>
      </c>
      <c r="E703" s="36" t="inlineStr">
        <is>
          <t>Camarines Sur</t>
        </is>
      </c>
      <c r="F703" s="36" t="inlineStr">
        <is>
          <t>Baao</t>
        </is>
      </c>
      <c r="G703" s="36" t="inlineStr">
        <is>
          <t>Buluang</t>
        </is>
      </c>
      <c r="H703" s="37" t="n">
        <v>13.467541</v>
      </c>
      <c r="I703" s="37" t="n">
        <v>123.358305</v>
      </c>
      <c r="J703" s="8" t="inlineStr">
        <is>
          <t>U</t>
        </is>
      </c>
      <c r="K703" s="36" t="inlineStr">
        <is>
          <t>Class 1-3 / Urban</t>
        </is>
      </c>
      <c r="L703" s="18" t="n">
        <v>7973</v>
      </c>
      <c r="M703" s="20" t="n">
        <v>4.9</v>
      </c>
      <c r="N703" s="18">
        <f>ROUND(L703/M703, 0)</f>
        <v/>
      </c>
      <c r="O703" s="18">
        <f>ROUND(N703*'Methodology &amp; Assumptions'!$B$8, 0)</f>
        <v/>
      </c>
      <c r="P703" s="8" t="inlineStr">
        <is>
          <t>Band n50 (1.5 GHz, 60 MHz)</t>
        </is>
      </c>
      <c r="Q703" s="38">
        <f>ROUNDUP(O703/'Methodology &amp; Assumptions'!$B$9, 0)</f>
        <v/>
      </c>
      <c r="R703" s="39" t="n">
        <v>1</v>
      </c>
      <c r="S703" s="21" t="n">
        <v>1.46</v>
      </c>
      <c r="T703" s="21" t="n">
        <v>0.17</v>
      </c>
      <c r="U703" s="36" t="inlineStr">
        <is>
          <t>Tier 1B (Micro Drop, 1-3 km)</t>
        </is>
      </c>
      <c r="V703" s="20" t="n">
        <v>71.5</v>
      </c>
      <c r="W703" s="20" t="n">
        <v>100</v>
      </c>
      <c r="X703" s="20" t="n">
        <v>28</v>
      </c>
      <c r="Y703" s="40">
        <f>ROUND((V703*'Methodology &amp; Assumptions'!$B$6)+(W703*'Methodology &amp; Assumptions'!$B$5)+(X703*'Methodology &amp; Assumptions'!$B$7), 2)</f>
        <v/>
      </c>
    </row>
    <row r="704" ht="19" customHeight="1">
      <c r="A704" s="41" t="n">
        <v>700</v>
      </c>
      <c r="B704" s="41" t="n">
        <v>2700</v>
      </c>
      <c r="C704" s="42" t="inlineStr">
        <is>
          <t>0105538017</t>
        </is>
      </c>
      <c r="D704" s="42" t="inlineStr">
        <is>
          <t>Region I (Ilocos Region)</t>
        </is>
      </c>
      <c r="E704" s="42" t="inlineStr">
        <is>
          <t>Pangasinan</t>
        </is>
      </c>
      <c r="F704" s="42" t="inlineStr">
        <is>
          <t>Santa Barbara</t>
        </is>
      </c>
      <c r="G704" s="42" t="inlineStr">
        <is>
          <t>Minien West</t>
        </is>
      </c>
      <c r="H704" s="43" t="n">
        <v>15.978877</v>
      </c>
      <c r="I704" s="43" t="n">
        <v>120.472496</v>
      </c>
      <c r="J704" s="44" t="inlineStr">
        <is>
          <t>U</t>
        </is>
      </c>
      <c r="K704" s="42" t="inlineStr">
        <is>
          <t>Class 1-3 / Urban</t>
        </is>
      </c>
      <c r="L704" s="23" t="n">
        <v>5230</v>
      </c>
      <c r="M704" s="24" t="n">
        <v>4.39</v>
      </c>
      <c r="N704" s="23">
        <f>ROUND(L704/M704, 0)</f>
        <v/>
      </c>
      <c r="O704" s="23">
        <f>ROUND(N704*'Methodology &amp; Assumptions'!$B$8, 0)</f>
        <v/>
      </c>
      <c r="P704" s="44" t="inlineStr">
        <is>
          <t>Band n50 (1.5 GHz, 60 MHz)</t>
        </is>
      </c>
      <c r="Q704" s="38">
        <f>ROUNDUP(O704/'Methodology &amp; Assumptions'!$B$9, 0)</f>
        <v/>
      </c>
      <c r="R704" s="39" t="n">
        <v>1</v>
      </c>
      <c r="S704" s="25" t="n">
        <v>1.46</v>
      </c>
      <c r="T704" s="25" t="n">
        <v>0.05</v>
      </c>
      <c r="U704" s="42" t="inlineStr">
        <is>
          <t>Tier 1B (Micro Drop, 1-3 km)</t>
        </is>
      </c>
      <c r="V704" s="24" t="n">
        <v>71.5</v>
      </c>
      <c r="W704" s="24" t="n">
        <v>100</v>
      </c>
      <c r="X704" s="24" t="n">
        <v>28</v>
      </c>
      <c r="Y704" s="45">
        <f>ROUND((V704*'Methodology &amp; Assumptions'!$B$6)+(W704*'Methodology &amp; Assumptions'!$B$5)+(X704*'Methodology &amp; Assumptions'!$B$7), 2)</f>
        <v/>
      </c>
    </row>
    <row r="705" ht="19" customHeight="1">
      <c r="A705" s="35" t="n">
        <v>701</v>
      </c>
      <c r="B705" s="35" t="n">
        <v>2701</v>
      </c>
      <c r="C705" s="36" t="inlineStr">
        <is>
          <t>0631000011</t>
        </is>
      </c>
      <c r="D705" s="36" t="inlineStr">
        <is>
          <t>Region VI (Western Visayas)</t>
        </is>
      </c>
      <c r="E705" s="36" t="inlineStr">
        <is>
          <t>Iloilo</t>
        </is>
      </c>
      <c r="F705" s="36" t="inlineStr">
        <is>
          <t>City of Iloilo</t>
        </is>
      </c>
      <c r="G705" s="36" t="inlineStr">
        <is>
          <t>Balantang</t>
        </is>
      </c>
      <c r="H705" s="37" t="n">
        <v>10.756319</v>
      </c>
      <c r="I705" s="37" t="n">
        <v>122.574238</v>
      </c>
      <c r="J705" s="8" t="inlineStr">
        <is>
          <t>U</t>
        </is>
      </c>
      <c r="K705" s="36" t="inlineStr">
        <is>
          <t>Class 1-3 / Urban</t>
        </is>
      </c>
      <c r="L705" s="18" t="n">
        <v>4762</v>
      </c>
      <c r="M705" s="20" t="n">
        <v>4.39</v>
      </c>
      <c r="N705" s="18">
        <f>ROUND(L705/M705, 0)</f>
        <v/>
      </c>
      <c r="O705" s="18">
        <f>ROUND(N705*'Methodology &amp; Assumptions'!$B$8, 0)</f>
        <v/>
      </c>
      <c r="P705" s="8" t="inlineStr">
        <is>
          <t>Band n50 (1.5 GHz, 60 MHz)</t>
        </is>
      </c>
      <c r="Q705" s="38">
        <f>ROUNDUP(O705/'Methodology &amp; Assumptions'!$B$9, 0)</f>
        <v/>
      </c>
      <c r="R705" s="39" t="n">
        <v>1</v>
      </c>
      <c r="S705" s="21" t="n">
        <v>1.46</v>
      </c>
      <c r="T705" s="21" t="n">
        <v>0.04</v>
      </c>
      <c r="U705" s="36" t="inlineStr">
        <is>
          <t>Tier 1B (Micro Drop, 1-3 km)</t>
        </is>
      </c>
      <c r="V705" s="20" t="n">
        <v>71.5</v>
      </c>
      <c r="W705" s="20" t="n">
        <v>100</v>
      </c>
      <c r="X705" s="20" t="n">
        <v>28</v>
      </c>
      <c r="Y705" s="40">
        <f>ROUND((V705*'Methodology &amp; Assumptions'!$B$6)+(W705*'Methodology &amp; Assumptions'!$B$5)+(X705*'Methodology &amp; Assumptions'!$B$7), 2)</f>
        <v/>
      </c>
    </row>
    <row r="706" ht="19" customHeight="1">
      <c r="A706" s="41" t="n">
        <v>702</v>
      </c>
      <c r="B706" s="41" t="n">
        <v>2702</v>
      </c>
      <c r="C706" s="42" t="inlineStr">
        <is>
          <t>1001312053</t>
        </is>
      </c>
      <c r="D706" s="42" t="inlineStr">
        <is>
          <t>Region X (Northern Mindanao)</t>
        </is>
      </c>
      <c r="E706" s="42" t="inlineStr">
        <is>
          <t>Bukidnon</t>
        </is>
      </c>
      <c r="F706" s="42" t="inlineStr">
        <is>
          <t>City of Malaybalay</t>
        </is>
      </c>
      <c r="G706" s="42" t="inlineStr">
        <is>
          <t>Barangay 10</t>
        </is>
      </c>
      <c r="H706" s="43" t="n">
        <v>8.150978</v>
      </c>
      <c r="I706" s="43" t="n">
        <v>125.124408</v>
      </c>
      <c r="J706" s="44" t="inlineStr">
        <is>
          <t>U</t>
        </is>
      </c>
      <c r="K706" s="42" t="inlineStr">
        <is>
          <t>Class 1-3 / Urban</t>
        </is>
      </c>
      <c r="L706" s="23" t="n">
        <v>3447</v>
      </c>
      <c r="M706" s="24" t="n">
        <v>4.63</v>
      </c>
      <c r="N706" s="23">
        <f>ROUND(L706/M706, 0)</f>
        <v/>
      </c>
      <c r="O706" s="23">
        <f>ROUND(N706*'Methodology &amp; Assumptions'!$B$8, 0)</f>
        <v/>
      </c>
      <c r="P706" s="44" t="inlineStr">
        <is>
          <t>Band n50 (1.5 GHz, 60 MHz)</t>
        </is>
      </c>
      <c r="Q706" s="38">
        <f>ROUNDUP(O706/'Methodology &amp; Assumptions'!$B$9, 0)</f>
        <v/>
      </c>
      <c r="R706" s="39" t="n">
        <v>1</v>
      </c>
      <c r="S706" s="25" t="n">
        <v>0.74</v>
      </c>
      <c r="T706" s="25" t="n">
        <v>0.61</v>
      </c>
      <c r="U706" s="42" t="inlineStr">
        <is>
          <t>Tier 1A (Direct Coloc, &lt;1 km)</t>
        </is>
      </c>
      <c r="V706" s="24" t="n">
        <v>88.09999999999999</v>
      </c>
      <c r="W706" s="24" t="n">
        <v>83.5</v>
      </c>
      <c r="X706" s="24" t="n">
        <v>28</v>
      </c>
      <c r="Y706" s="45">
        <f>ROUND((V706*'Methodology &amp; Assumptions'!$B$6)+(W706*'Methodology &amp; Assumptions'!$B$5)+(X706*'Methodology &amp; Assumptions'!$B$7), 2)</f>
        <v/>
      </c>
    </row>
    <row r="707" ht="19" customHeight="1">
      <c r="A707" s="35" t="n">
        <v>703</v>
      </c>
      <c r="B707" s="35" t="n">
        <v>2703</v>
      </c>
      <c r="C707" s="36" t="inlineStr">
        <is>
          <t>0301407016</t>
        </is>
      </c>
      <c r="D707" s="36" t="inlineStr">
        <is>
          <t>Region III (Central Luzon)</t>
        </is>
      </c>
      <c r="E707" s="36" t="inlineStr">
        <is>
          <t>Bulacan</t>
        </is>
      </c>
      <c r="F707" s="36" t="inlineStr">
        <is>
          <t>Calumpit</t>
        </is>
      </c>
      <c r="G707" s="36" t="inlineStr">
        <is>
          <t>Meysulao</t>
        </is>
      </c>
      <c r="H707" s="37" t="n">
        <v>14.90556</v>
      </c>
      <c r="I707" s="37" t="n">
        <v>120.739106</v>
      </c>
      <c r="J707" s="8" t="inlineStr">
        <is>
          <t>R</t>
        </is>
      </c>
      <c r="K707" s="36" t="inlineStr">
        <is>
          <t>Class 1-3 / Urban</t>
        </is>
      </c>
      <c r="L707" s="18" t="n">
        <v>4280</v>
      </c>
      <c r="M707" s="20" t="n">
        <v>4.1</v>
      </c>
      <c r="N707" s="18">
        <f>ROUND(L707/M707, 0)</f>
        <v/>
      </c>
      <c r="O707" s="18">
        <f>ROUND(N707*'Methodology &amp; Assumptions'!$B$8, 0)</f>
        <v/>
      </c>
      <c r="P707" s="8" t="inlineStr">
        <is>
          <t>Band n50 (1.5 GHz, 60 MHz)</t>
        </is>
      </c>
      <c r="Q707" s="38">
        <f>ROUNDUP(O707/'Methodology &amp; Assumptions'!$B$9, 0)</f>
        <v/>
      </c>
      <c r="R707" s="39" t="n">
        <v>1</v>
      </c>
      <c r="S707" s="21" t="n">
        <v>3.08</v>
      </c>
      <c r="T707" s="21" t="n">
        <v>0.27</v>
      </c>
      <c r="U707" s="36" t="inlineStr">
        <is>
          <t>Tier 2 (Fiber Corridor / Lateral, 3-5 km)</t>
        </is>
      </c>
      <c r="V707" s="20" t="n">
        <v>45.8</v>
      </c>
      <c r="W707" s="20" t="n">
        <v>100</v>
      </c>
      <c r="X707" s="20" t="n">
        <v>58</v>
      </c>
      <c r="Y707" s="40">
        <f>ROUND((V707*'Methodology &amp; Assumptions'!$B$6)+(W707*'Methodology &amp; Assumptions'!$B$5)+(X707*'Methodology &amp; Assumptions'!$B$7), 2)</f>
        <v/>
      </c>
    </row>
    <row r="708" ht="19" customHeight="1">
      <c r="A708" s="41" t="n">
        <v>704</v>
      </c>
      <c r="B708" s="41" t="n">
        <v>2704</v>
      </c>
      <c r="C708" s="42" t="inlineStr">
        <is>
          <t>0601909013</t>
        </is>
      </c>
      <c r="D708" s="42" t="inlineStr">
        <is>
          <t>Region VI (Western Visayas)</t>
        </is>
      </c>
      <c r="E708" s="42" t="inlineStr">
        <is>
          <t>Capiz</t>
        </is>
      </c>
      <c r="F708" s="42" t="inlineStr">
        <is>
          <t>Panay</t>
        </is>
      </c>
      <c r="G708" s="42" t="inlineStr">
        <is>
          <t>Bonga</t>
        </is>
      </c>
      <c r="H708" s="43" t="n">
        <v>11.553155</v>
      </c>
      <c r="I708" s="43" t="n">
        <v>122.804226</v>
      </c>
      <c r="J708" s="44" t="inlineStr">
        <is>
          <t>R</t>
        </is>
      </c>
      <c r="K708" s="42" t="inlineStr">
        <is>
          <t>Class 1-3 / Urban</t>
        </is>
      </c>
      <c r="L708" s="23" t="n">
        <v>2094</v>
      </c>
      <c r="M708" s="24" t="n">
        <v>4.2</v>
      </c>
      <c r="N708" s="23">
        <f>ROUND(L708/M708, 0)</f>
        <v/>
      </c>
      <c r="O708" s="23">
        <f>ROUND(N708*'Methodology &amp; Assumptions'!$B$8, 0)</f>
        <v/>
      </c>
      <c r="P708" s="44" t="inlineStr">
        <is>
          <t>Band n50 (1.5 GHz, 60 MHz)</t>
        </is>
      </c>
      <c r="Q708" s="38">
        <f>ROUNDUP(O708/'Methodology &amp; Assumptions'!$B$9, 0)</f>
        <v/>
      </c>
      <c r="R708" s="39" t="n">
        <v>1</v>
      </c>
      <c r="S708" s="25" t="n">
        <v>1</v>
      </c>
      <c r="T708" s="25" t="n">
        <v>0.93</v>
      </c>
      <c r="U708" s="42" t="inlineStr">
        <is>
          <t>Tier 1A (Direct Coloc, &lt;1 km)</t>
        </is>
      </c>
      <c r="V708" s="24" t="n">
        <v>81.8</v>
      </c>
      <c r="W708" s="24" t="n">
        <v>64</v>
      </c>
      <c r="X708" s="24" t="n">
        <v>58</v>
      </c>
      <c r="Y708" s="45">
        <f>ROUND((V708*'Methodology &amp; Assumptions'!$B$6)+(W708*'Methodology &amp; Assumptions'!$B$5)+(X708*'Methodology &amp; Assumptions'!$B$7), 2)</f>
        <v/>
      </c>
    </row>
    <row r="709" ht="19" customHeight="1">
      <c r="A709" s="35" t="n">
        <v>705</v>
      </c>
      <c r="B709" s="35" t="n">
        <v>2705</v>
      </c>
      <c r="C709" s="36" t="inlineStr">
        <is>
          <t>0501712020</t>
        </is>
      </c>
      <c r="D709" s="36" t="inlineStr">
        <is>
          <t>Region V (Bicol Region)</t>
        </is>
      </c>
      <c r="E709" s="36" t="inlineStr">
        <is>
          <t>Camarines Sur</t>
        </is>
      </c>
      <c r="F709" s="36" t="inlineStr">
        <is>
          <t>Del Gallego</t>
        </is>
      </c>
      <c r="G709" s="36" t="inlineStr">
        <is>
          <t>Poblacion Zone III</t>
        </is>
      </c>
      <c r="H709" s="37" t="n">
        <v>13.921132</v>
      </c>
      <c r="I709" s="37" t="n">
        <v>122.597123</v>
      </c>
      <c r="J709" s="8" t="inlineStr">
        <is>
          <t>R</t>
        </is>
      </c>
      <c r="K709" s="36" t="inlineStr">
        <is>
          <t>3rd</t>
        </is>
      </c>
      <c r="L709" s="18" t="n">
        <v>1525</v>
      </c>
      <c r="M709" s="20" t="n">
        <v>4.83</v>
      </c>
      <c r="N709" s="18">
        <f>ROUND(L709/M709, 0)</f>
        <v/>
      </c>
      <c r="O709" s="18">
        <f>ROUND(N709*'Methodology &amp; Assumptions'!$B$8, 0)</f>
        <v/>
      </c>
      <c r="P709" s="8" t="inlineStr">
        <is>
          <t>Band n50 (1.5 GHz, 60 MHz)</t>
        </is>
      </c>
      <c r="Q709" s="38">
        <f>ROUNDUP(O709/'Methodology &amp; Assumptions'!$B$9, 0)</f>
        <v/>
      </c>
      <c r="R709" s="39" t="n">
        <v>1</v>
      </c>
      <c r="S709" s="21" t="n">
        <v>0.44</v>
      </c>
      <c r="T709" s="21" t="n">
        <v>0.37</v>
      </c>
      <c r="U709" s="36" t="inlineStr">
        <is>
          <t>Tier 1A (Direct Coloc, &lt;1 km)</t>
        </is>
      </c>
      <c r="V709" s="20" t="n">
        <v>96.5</v>
      </c>
      <c r="W709" s="20" t="n">
        <v>49.3</v>
      </c>
      <c r="X709" s="20" t="n">
        <v>58</v>
      </c>
      <c r="Y709" s="40">
        <f>ROUND((V709*'Methodology &amp; Assumptions'!$B$6)+(W709*'Methodology &amp; Assumptions'!$B$5)+(X709*'Methodology &amp; Assumptions'!$B$7), 2)</f>
        <v/>
      </c>
    </row>
    <row r="710" ht="19" customHeight="1">
      <c r="A710" s="41" t="n">
        <v>706</v>
      </c>
      <c r="B710" s="41" t="n">
        <v>2706</v>
      </c>
      <c r="C710" s="42" t="inlineStr">
        <is>
          <t>0702239006</t>
        </is>
      </c>
      <c r="D710" s="42" t="inlineStr">
        <is>
          <t>Region VII (Central Visayas)</t>
        </is>
      </c>
      <c r="E710" s="42" t="inlineStr">
        <is>
          <t>Cebu</t>
        </is>
      </c>
      <c r="F710" s="42" t="inlineStr">
        <is>
          <t>Ronda</t>
        </is>
      </c>
      <c r="G710" s="42" t="inlineStr">
        <is>
          <t>Ilaya</t>
        </is>
      </c>
      <c r="H710" s="43" t="n">
        <v>10.0011</v>
      </c>
      <c r="I710" s="43" t="n">
        <v>123.41681</v>
      </c>
      <c r="J710" s="44" t="inlineStr">
        <is>
          <t>R</t>
        </is>
      </c>
      <c r="K710" s="42" t="inlineStr">
        <is>
          <t>4th</t>
        </is>
      </c>
      <c r="L710" s="23" t="n">
        <v>1618</v>
      </c>
      <c r="M710" s="24" t="n">
        <v>4.22</v>
      </c>
      <c r="N710" s="23">
        <f>ROUND(L710/M710, 0)</f>
        <v/>
      </c>
      <c r="O710" s="23">
        <f>ROUND(N710*'Methodology &amp; Assumptions'!$B$8, 0)</f>
        <v/>
      </c>
      <c r="P710" s="44" t="inlineStr">
        <is>
          <t>Band n50 (1.5 GHz, 60 MHz)</t>
        </is>
      </c>
      <c r="Q710" s="38">
        <f>ROUNDUP(O710/'Methodology &amp; Assumptions'!$B$9, 0)</f>
        <v/>
      </c>
      <c r="R710" s="39" t="n">
        <v>1</v>
      </c>
      <c r="S710" s="25" t="n">
        <v>0.98</v>
      </c>
      <c r="T710" s="25" t="n">
        <v>0.68</v>
      </c>
      <c r="U710" s="42" t="inlineStr">
        <is>
          <t>Tier 1A (Direct Coloc, &lt;1 km)</t>
        </is>
      </c>
      <c r="V710" s="24" t="n">
        <v>82.09999999999999</v>
      </c>
      <c r="W710" s="24" t="n">
        <v>54.7</v>
      </c>
      <c r="X710" s="24" t="n">
        <v>68.5</v>
      </c>
      <c r="Y710" s="45">
        <f>ROUND((V710*'Methodology &amp; Assumptions'!$B$6)+(W710*'Methodology &amp; Assumptions'!$B$5)+(X710*'Methodology &amp; Assumptions'!$B$7), 2)</f>
        <v/>
      </c>
    </row>
    <row r="711" ht="19" customHeight="1">
      <c r="A711" s="35" t="n">
        <v>707</v>
      </c>
      <c r="B711" s="35" t="n">
        <v>2707</v>
      </c>
      <c r="C711" s="36" t="inlineStr">
        <is>
          <t>0603043036</t>
        </is>
      </c>
      <c r="D711" s="36" t="inlineStr">
        <is>
          <t>Region VI (Western Visayas)</t>
        </is>
      </c>
      <c r="E711" s="36" t="inlineStr">
        <is>
          <t>Iloilo</t>
        </is>
      </c>
      <c r="F711" s="36" t="inlineStr">
        <is>
          <t>Santa Barbara</t>
        </is>
      </c>
      <c r="G711" s="36" t="inlineStr">
        <is>
          <t>Gen. Martin T. Delgado</t>
        </is>
      </c>
      <c r="H711" s="37" t="n">
        <v>10.833502</v>
      </c>
      <c r="I711" s="37" t="n">
        <v>122.531144</v>
      </c>
      <c r="J711" s="8" t="inlineStr">
        <is>
          <t>R</t>
        </is>
      </c>
      <c r="K711" s="36" t="inlineStr">
        <is>
          <t>Class 1-3 / Urban</t>
        </is>
      </c>
      <c r="L711" s="18" t="n">
        <v>1904</v>
      </c>
      <c r="M711" s="20" t="n">
        <v>4.39</v>
      </c>
      <c r="N711" s="18">
        <f>ROUND(L711/M711, 0)</f>
        <v/>
      </c>
      <c r="O711" s="18">
        <f>ROUND(N711*'Methodology &amp; Assumptions'!$B$8, 0)</f>
        <v/>
      </c>
      <c r="P711" s="8" t="inlineStr">
        <is>
          <t>Band n50 (1.5 GHz, 60 MHz)</t>
        </is>
      </c>
      <c r="Q711" s="38">
        <f>ROUNDUP(O711/'Methodology &amp; Assumptions'!$B$9, 0)</f>
        <v/>
      </c>
      <c r="R711" s="39" t="n">
        <v>1</v>
      </c>
      <c r="S711" s="21" t="n">
        <v>0.78</v>
      </c>
      <c r="T711" s="21" t="n">
        <v>0.23</v>
      </c>
      <c r="U711" s="36" t="inlineStr">
        <is>
          <t>Tier 1A (Direct Coloc, &lt;1 km)</t>
        </is>
      </c>
      <c r="V711" s="20" t="n">
        <v>87.09999999999999</v>
      </c>
      <c r="W711" s="20" t="n">
        <v>58.7</v>
      </c>
      <c r="X711" s="20" t="n">
        <v>58</v>
      </c>
      <c r="Y711" s="40">
        <f>ROUND((V711*'Methodology &amp; Assumptions'!$B$6)+(W711*'Methodology &amp; Assumptions'!$B$5)+(X711*'Methodology &amp; Assumptions'!$B$7), 2)</f>
        <v/>
      </c>
    </row>
    <row r="712" ht="19" customHeight="1">
      <c r="A712" s="41" t="n">
        <v>708</v>
      </c>
      <c r="B712" s="41" t="n">
        <v>2708</v>
      </c>
      <c r="C712" s="42" t="inlineStr">
        <is>
          <t>0501703035</t>
        </is>
      </c>
      <c r="D712" s="42" t="inlineStr">
        <is>
          <t>Region V (Bicol Region)</t>
        </is>
      </c>
      <c r="E712" s="42" t="inlineStr">
        <is>
          <t>Camarines Sur</t>
        </is>
      </c>
      <c r="F712" s="42" t="inlineStr">
        <is>
          <t>Bato</t>
        </is>
      </c>
      <c r="G712" s="42" t="inlineStr">
        <is>
          <t>Tres Reyes</t>
        </is>
      </c>
      <c r="H712" s="43" t="n">
        <v>13.354553</v>
      </c>
      <c r="I712" s="43" t="n">
        <v>123.365072</v>
      </c>
      <c r="J712" s="44" t="inlineStr">
        <is>
          <t>R</t>
        </is>
      </c>
      <c r="K712" s="42" t="inlineStr">
        <is>
          <t>Class 1-3 / Urban</t>
        </is>
      </c>
      <c r="L712" s="23" t="n">
        <v>1549</v>
      </c>
      <c r="M712" s="24" t="n">
        <v>4.9</v>
      </c>
      <c r="N712" s="23">
        <f>ROUND(L712/M712, 0)</f>
        <v/>
      </c>
      <c r="O712" s="23">
        <f>ROUND(N712*'Methodology &amp; Assumptions'!$B$8, 0)</f>
        <v/>
      </c>
      <c r="P712" s="44" t="inlineStr">
        <is>
          <t>Band n50 (1.5 GHz, 60 MHz)</t>
        </is>
      </c>
      <c r="Q712" s="38">
        <f>ROUNDUP(O712/'Methodology &amp; Assumptions'!$B$9, 0)</f>
        <v/>
      </c>
      <c r="R712" s="39" t="n">
        <v>1</v>
      </c>
      <c r="S712" s="25" t="n">
        <v>0.44</v>
      </c>
      <c r="T712" s="25" t="n">
        <v>0.08</v>
      </c>
      <c r="U712" s="42" t="inlineStr">
        <is>
          <t>Tier 1A (Direct Coloc, &lt;1 km)</t>
        </is>
      </c>
      <c r="V712" s="24" t="n">
        <v>96.40000000000001</v>
      </c>
      <c r="W712" s="24" t="n">
        <v>49.3</v>
      </c>
      <c r="X712" s="24" t="n">
        <v>58</v>
      </c>
      <c r="Y712" s="45">
        <f>ROUND((V712*'Methodology &amp; Assumptions'!$B$6)+(W712*'Methodology &amp; Assumptions'!$B$5)+(X712*'Methodology &amp; Assumptions'!$B$7), 2)</f>
        <v/>
      </c>
    </row>
    <row r="713" ht="19" customHeight="1">
      <c r="A713" s="35" t="n">
        <v>709</v>
      </c>
      <c r="B713" s="35" t="n">
        <v>2709</v>
      </c>
      <c r="C713" s="36" t="inlineStr">
        <is>
          <t>1030500064</t>
        </is>
      </c>
      <c r="D713" s="36" t="inlineStr">
        <is>
          <t>Region X (Northern Mindanao)</t>
        </is>
      </c>
      <c r="E713" s="36" t="inlineStr">
        <is>
          <t>Misamis Oriental</t>
        </is>
      </c>
      <c r="F713" s="36" t="inlineStr">
        <is>
          <t>City of Cagayan De Oro</t>
        </is>
      </c>
      <c r="G713" s="36" t="inlineStr">
        <is>
          <t>Puntod</t>
        </is>
      </c>
      <c r="H713" s="37" t="n">
        <v>8.499013</v>
      </c>
      <c r="I713" s="37" t="n">
        <v>124.657631</v>
      </c>
      <c r="J713" s="8" t="inlineStr">
        <is>
          <t>U</t>
        </is>
      </c>
      <c r="K713" s="36" t="inlineStr">
        <is>
          <t>Class 1-3 / Urban</t>
        </is>
      </c>
      <c r="L713" s="18" t="n">
        <v>18775</v>
      </c>
      <c r="M713" s="20" t="n">
        <v>4.54</v>
      </c>
      <c r="N713" s="18">
        <f>ROUND(L713/M713, 0)</f>
        <v/>
      </c>
      <c r="O713" s="18">
        <f>ROUND(N713*'Methodology &amp; Assumptions'!$B$8, 0)</f>
        <v/>
      </c>
      <c r="P713" s="8" t="inlineStr">
        <is>
          <t>Band n50 (1.5 GHz, 60 MHz)</t>
        </is>
      </c>
      <c r="Q713" s="38">
        <f>ROUNDUP(O713/'Methodology &amp; Assumptions'!$B$9, 0)</f>
        <v/>
      </c>
      <c r="R713" s="39" t="n">
        <v>1</v>
      </c>
      <c r="S713" s="21" t="n">
        <v>1.46</v>
      </c>
      <c r="T713" s="21" t="n">
        <v>1.57</v>
      </c>
      <c r="U713" s="36" t="inlineStr">
        <is>
          <t>Tier 1B (Micro Drop, 1-3 km)</t>
        </is>
      </c>
      <c r="V713" s="20" t="n">
        <v>71.5</v>
      </c>
      <c r="W713" s="20" t="n">
        <v>100</v>
      </c>
      <c r="X713" s="20" t="n">
        <v>28</v>
      </c>
      <c r="Y713" s="40">
        <f>ROUND((V713*'Methodology &amp; Assumptions'!$B$6)+(W713*'Methodology &amp; Assumptions'!$B$5)+(X713*'Methodology &amp; Assumptions'!$B$7), 2)</f>
        <v/>
      </c>
    </row>
    <row r="714" ht="19" customHeight="1">
      <c r="A714" s="41" t="n">
        <v>710</v>
      </c>
      <c r="B714" s="41" t="n">
        <v>2710</v>
      </c>
      <c r="C714" s="42" t="inlineStr">
        <is>
          <t>0305416020</t>
        </is>
      </c>
      <c r="D714" s="42" t="inlineStr">
        <is>
          <t>Region III (Central Luzon)</t>
        </is>
      </c>
      <c r="E714" s="42" t="inlineStr">
        <is>
          <t>Pampanga</t>
        </is>
      </c>
      <c r="F714" s="42" t="inlineStr">
        <is>
          <t>City of San Fernando</t>
        </is>
      </c>
      <c r="G714" s="42" t="inlineStr">
        <is>
          <t>Panipuan</t>
        </is>
      </c>
      <c r="H714" s="43" t="n">
        <v>15.106527</v>
      </c>
      <c r="I714" s="43" t="n">
        <v>120.657212</v>
      </c>
      <c r="J714" s="44" t="inlineStr">
        <is>
          <t>U</t>
        </is>
      </c>
      <c r="K714" s="42" t="inlineStr">
        <is>
          <t>Class 1-3 / Urban</t>
        </is>
      </c>
      <c r="L714" s="23" t="n">
        <v>8254</v>
      </c>
      <c r="M714" s="24" t="n">
        <v>4.63</v>
      </c>
      <c r="N714" s="23">
        <f>ROUND(L714/M714, 0)</f>
        <v/>
      </c>
      <c r="O714" s="23">
        <f>ROUND(N714*'Methodology &amp; Assumptions'!$B$8, 0)</f>
        <v/>
      </c>
      <c r="P714" s="44" t="inlineStr">
        <is>
          <t>Band n50 (1.5 GHz, 60 MHz)</t>
        </is>
      </c>
      <c r="Q714" s="38">
        <f>ROUNDUP(O714/'Methodology &amp; Assumptions'!$B$9, 0)</f>
        <v/>
      </c>
      <c r="R714" s="39" t="n">
        <v>1</v>
      </c>
      <c r="S714" s="25" t="n">
        <v>1.01</v>
      </c>
      <c r="T714" s="25" t="n">
        <v>3.4</v>
      </c>
      <c r="U714" s="42" t="inlineStr">
        <is>
          <t>Tier 1B (Micro Drop, 1-3 km)</t>
        </is>
      </c>
      <c r="V714" s="24" t="n">
        <v>71.5</v>
      </c>
      <c r="W714" s="24" t="n">
        <v>100</v>
      </c>
      <c r="X714" s="24" t="n">
        <v>28</v>
      </c>
      <c r="Y714" s="45">
        <f>ROUND((V714*'Methodology &amp; Assumptions'!$B$6)+(W714*'Methodology &amp; Assumptions'!$B$5)+(X714*'Methodology &amp; Assumptions'!$B$7), 2)</f>
        <v/>
      </c>
    </row>
    <row r="715" ht="19" customHeight="1">
      <c r="A715" s="35" t="n">
        <v>711</v>
      </c>
      <c r="B715" s="35" t="n">
        <v>2711</v>
      </c>
      <c r="C715" s="36" t="inlineStr">
        <is>
          <t>0307105009</t>
        </is>
      </c>
      <c r="D715" s="36" t="inlineStr">
        <is>
          <t>Region III (Central Luzon)</t>
        </is>
      </c>
      <c r="E715" s="36" t="inlineStr">
        <is>
          <t>Zambales</t>
        </is>
      </c>
      <c r="F715" s="36" t="inlineStr">
        <is>
          <t>Iba</t>
        </is>
      </c>
      <c r="G715" s="36" t="inlineStr">
        <is>
          <t>Zone 1 Pob.</t>
        </is>
      </c>
      <c r="H715" s="37" t="n">
        <v>15.328632</v>
      </c>
      <c r="I715" s="37" t="n">
        <v>119.975804</v>
      </c>
      <c r="J715" s="8" t="inlineStr">
        <is>
          <t>U</t>
        </is>
      </c>
      <c r="K715" s="36" t="inlineStr">
        <is>
          <t>Class 1-3 / Urban</t>
        </is>
      </c>
      <c r="L715" s="18" t="n">
        <v>2403</v>
      </c>
      <c r="M715" s="20" t="n">
        <v>4.05</v>
      </c>
      <c r="N715" s="18">
        <f>ROUND(L715/M715, 0)</f>
        <v/>
      </c>
      <c r="O715" s="18">
        <f>ROUND(N715*'Methodology &amp; Assumptions'!$B$8, 0)</f>
        <v/>
      </c>
      <c r="P715" s="8" t="inlineStr">
        <is>
          <t>Band n50 (1.5 GHz, 60 MHz)</t>
        </is>
      </c>
      <c r="Q715" s="38">
        <f>ROUNDUP(O715/'Methodology &amp; Assumptions'!$B$9, 0)</f>
        <v/>
      </c>
      <c r="R715" s="39" t="n">
        <v>1</v>
      </c>
      <c r="S715" s="21" t="n">
        <v>0.27</v>
      </c>
      <c r="T715" s="21" t="n">
        <v>0.11</v>
      </c>
      <c r="U715" s="36" t="inlineStr">
        <is>
          <t>Tier 1A (Direct Coloc, &lt;1 km)</t>
        </is>
      </c>
      <c r="V715" s="20" t="n">
        <v>100</v>
      </c>
      <c r="W715" s="20" t="n">
        <v>71.5</v>
      </c>
      <c r="X715" s="20" t="n">
        <v>28</v>
      </c>
      <c r="Y715" s="40">
        <f>ROUND((V715*'Methodology &amp; Assumptions'!$B$6)+(W715*'Methodology &amp; Assumptions'!$B$5)+(X715*'Methodology &amp; Assumptions'!$B$7), 2)</f>
        <v/>
      </c>
    </row>
    <row r="716" ht="19" customHeight="1">
      <c r="A716" s="41" t="n">
        <v>712</v>
      </c>
      <c r="B716" s="41" t="n">
        <v>2712</v>
      </c>
      <c r="C716" s="42" t="inlineStr">
        <is>
          <t>0501730030</t>
        </is>
      </c>
      <c r="D716" s="42" t="inlineStr">
        <is>
          <t>Region V (Bicol Region)</t>
        </is>
      </c>
      <c r="E716" s="42" t="inlineStr">
        <is>
          <t>Camarines Sur</t>
        </is>
      </c>
      <c r="F716" s="42" t="inlineStr">
        <is>
          <t>Ragay</t>
        </is>
      </c>
      <c r="G716" s="42" t="inlineStr">
        <is>
          <t>Poblacion Iraya</t>
        </is>
      </c>
      <c r="H716" s="43" t="n">
        <v>13.819572</v>
      </c>
      <c r="I716" s="43" t="n">
        <v>122.792047</v>
      </c>
      <c r="J716" s="44" t="inlineStr">
        <is>
          <t>R</t>
        </is>
      </c>
      <c r="K716" s="42" t="inlineStr">
        <is>
          <t>Class 1-3 / Urban</t>
        </is>
      </c>
      <c r="L716" s="23" t="n">
        <v>1468</v>
      </c>
      <c r="M716" s="24" t="n">
        <v>4.9</v>
      </c>
      <c r="N716" s="23">
        <f>ROUND(L716/M716, 0)</f>
        <v/>
      </c>
      <c r="O716" s="23">
        <f>ROUND(N716*'Methodology &amp; Assumptions'!$B$8, 0)</f>
        <v/>
      </c>
      <c r="P716" s="44" t="inlineStr">
        <is>
          <t>Band n50 (1.5 GHz, 60 MHz)</t>
        </is>
      </c>
      <c r="Q716" s="38">
        <f>ROUNDUP(O716/'Methodology &amp; Assumptions'!$B$9, 0)</f>
        <v/>
      </c>
      <c r="R716" s="39" t="n">
        <v>1</v>
      </c>
      <c r="S716" s="25" t="n">
        <v>0.39</v>
      </c>
      <c r="T716" s="25" t="n">
        <v>0.22</v>
      </c>
      <c r="U716" s="42" t="inlineStr">
        <is>
          <t>Tier 1A (Direct Coloc, &lt;1 km)</t>
        </is>
      </c>
      <c r="V716" s="24" t="n">
        <v>97.7</v>
      </c>
      <c r="W716" s="24" t="n">
        <v>48</v>
      </c>
      <c r="X716" s="24" t="n">
        <v>58</v>
      </c>
      <c r="Y716" s="45">
        <f>ROUND((V716*'Methodology &amp; Assumptions'!$B$6)+(W716*'Methodology &amp; Assumptions'!$B$5)+(X716*'Methodology &amp; Assumptions'!$B$7), 2)</f>
        <v/>
      </c>
    </row>
    <row r="717" ht="19" customHeight="1">
      <c r="A717" s="35" t="n">
        <v>713</v>
      </c>
      <c r="B717" s="35" t="n">
        <v>2713</v>
      </c>
      <c r="C717" s="36" t="inlineStr">
        <is>
          <t>1630400090</t>
        </is>
      </c>
      <c r="D717" s="36" t="inlineStr">
        <is>
          <t>Region XIII (Caraga)</t>
        </is>
      </c>
      <c r="E717" s="36" t="inlineStr">
        <is>
          <t>Agusan del Norte</t>
        </is>
      </c>
      <c r="F717" s="36" t="inlineStr">
        <is>
          <t>City of Butuan</t>
        </is>
      </c>
      <c r="G717" s="36" t="inlineStr">
        <is>
          <t>Villa Kananga</t>
        </is>
      </c>
      <c r="H717" s="37" t="n">
        <v>8.931618</v>
      </c>
      <c r="I717" s="37" t="n">
        <v>125.537965</v>
      </c>
      <c r="J717" s="8" t="inlineStr">
        <is>
          <t>U</t>
        </is>
      </c>
      <c r="K717" s="36" t="inlineStr">
        <is>
          <t>Class 1-3 / Urban</t>
        </is>
      </c>
      <c r="L717" s="18" t="n">
        <v>12407</v>
      </c>
      <c r="M717" s="20" t="n">
        <v>4.63</v>
      </c>
      <c r="N717" s="18">
        <f>ROUND(L717/M717, 0)</f>
        <v/>
      </c>
      <c r="O717" s="18">
        <f>ROUND(N717*'Methodology &amp; Assumptions'!$B$8, 0)</f>
        <v/>
      </c>
      <c r="P717" s="8" t="inlineStr">
        <is>
          <t>Band n50 (1.5 GHz, 60 MHz)</t>
        </is>
      </c>
      <c r="Q717" s="38">
        <f>ROUNDUP(O717/'Methodology &amp; Assumptions'!$B$9, 0)</f>
        <v/>
      </c>
      <c r="R717" s="39" t="n">
        <v>1</v>
      </c>
      <c r="S717" s="21" t="n">
        <v>2.17</v>
      </c>
      <c r="T717" s="21" t="n">
        <v>0.2</v>
      </c>
      <c r="U717" s="36" t="inlineStr">
        <is>
          <t>Tier 1B (Micro Drop, 1-3 km)</t>
        </is>
      </c>
      <c r="V717" s="20" t="n">
        <v>58.6</v>
      </c>
      <c r="W717" s="20" t="n">
        <v>100</v>
      </c>
      <c r="X717" s="20" t="n">
        <v>43</v>
      </c>
      <c r="Y717" s="40">
        <f>ROUND((V717*'Methodology &amp; Assumptions'!$B$6)+(W717*'Methodology &amp; Assumptions'!$B$5)+(X717*'Methodology &amp; Assumptions'!$B$7), 2)</f>
        <v/>
      </c>
    </row>
    <row r="718" ht="19" customHeight="1">
      <c r="A718" s="41" t="n">
        <v>714</v>
      </c>
      <c r="B718" s="41" t="n">
        <v>2714</v>
      </c>
      <c r="C718" s="42" t="inlineStr">
        <is>
          <t>0600407013</t>
        </is>
      </c>
      <c r="D718" s="42" t="inlineStr">
        <is>
          <t>Region VI (Western Visayas)</t>
        </is>
      </c>
      <c r="E718" s="42" t="inlineStr">
        <is>
          <t>Aklan</t>
        </is>
      </c>
      <c r="F718" s="42" t="inlineStr">
        <is>
          <t>Kalibo</t>
        </is>
      </c>
      <c r="G718" s="42" t="inlineStr">
        <is>
          <t>Poblacion</t>
        </is>
      </c>
      <c r="H718" s="43" t="n">
        <v>11.710547</v>
      </c>
      <c r="I718" s="43" t="n">
        <v>122.36554</v>
      </c>
      <c r="J718" s="44" t="inlineStr">
        <is>
          <t>U</t>
        </is>
      </c>
      <c r="K718" s="42" t="inlineStr">
        <is>
          <t>Class 1-3 / Urban</t>
        </is>
      </c>
      <c r="L718" s="23" t="n">
        <v>12000</v>
      </c>
      <c r="M718" s="24" t="n">
        <v>4.27</v>
      </c>
      <c r="N718" s="23">
        <f>ROUND(L718/M718, 0)</f>
        <v/>
      </c>
      <c r="O718" s="23">
        <f>ROUND(N718*'Methodology &amp; Assumptions'!$B$8, 0)</f>
        <v/>
      </c>
      <c r="P718" s="44" t="inlineStr">
        <is>
          <t>Band n50 (1.5 GHz, 60 MHz)</t>
        </is>
      </c>
      <c r="Q718" s="38">
        <f>ROUNDUP(O718/'Methodology &amp; Assumptions'!$B$9, 0)</f>
        <v/>
      </c>
      <c r="R718" s="39" t="n">
        <v>1</v>
      </c>
      <c r="S718" s="25" t="n">
        <v>1.46</v>
      </c>
      <c r="T718" s="25" t="n">
        <v>0.2</v>
      </c>
      <c r="U718" s="42" t="inlineStr">
        <is>
          <t>Tier 1B (Micro Drop, 1-3 km)</t>
        </is>
      </c>
      <c r="V718" s="24" t="n">
        <v>71.40000000000001</v>
      </c>
      <c r="W718" s="24" t="n">
        <v>100</v>
      </c>
      <c r="X718" s="24" t="n">
        <v>28</v>
      </c>
      <c r="Y718" s="45">
        <f>ROUND((V718*'Methodology &amp; Assumptions'!$B$6)+(W718*'Methodology &amp; Assumptions'!$B$5)+(X718*'Methodology &amp; Assumptions'!$B$7), 2)</f>
        <v/>
      </c>
    </row>
    <row r="719" ht="19" customHeight="1">
      <c r="A719" s="35" t="n">
        <v>715</v>
      </c>
      <c r="B719" s="35" t="n">
        <v>2715</v>
      </c>
      <c r="C719" s="36" t="inlineStr">
        <is>
          <t>0306916068</t>
        </is>
      </c>
      <c r="D719" s="36" t="inlineStr">
        <is>
          <t>Region III (Central Luzon)</t>
        </is>
      </c>
      <c r="E719" s="36" t="inlineStr">
        <is>
          <t>Tarlac</t>
        </is>
      </c>
      <c r="F719" s="36" t="inlineStr">
        <is>
          <t>City of Tarlac</t>
        </is>
      </c>
      <c r="G719" s="36" t="inlineStr">
        <is>
          <t>San Miguel</t>
        </is>
      </c>
      <c r="H719" s="37" t="n">
        <v>15.432481</v>
      </c>
      <c r="I719" s="37" t="n">
        <v>120.597389</v>
      </c>
      <c r="J719" s="8" t="inlineStr">
        <is>
          <t>U</t>
        </is>
      </c>
      <c r="K719" s="36" t="inlineStr">
        <is>
          <t>Class 1-3 / Urban</t>
        </is>
      </c>
      <c r="L719" s="18" t="n">
        <v>8515</v>
      </c>
      <c r="M719" s="20" t="n">
        <v>4.3</v>
      </c>
      <c r="N719" s="18">
        <f>ROUND(L719/M719, 0)</f>
        <v/>
      </c>
      <c r="O719" s="18">
        <f>ROUND(N719*'Methodology &amp; Assumptions'!$B$8, 0)</f>
        <v/>
      </c>
      <c r="P719" s="8" t="inlineStr">
        <is>
          <t>Band n50 (1.5 GHz, 60 MHz)</t>
        </is>
      </c>
      <c r="Q719" s="38">
        <f>ROUNDUP(O719/'Methodology &amp; Assumptions'!$B$9, 0)</f>
        <v/>
      </c>
      <c r="R719" s="39" t="n">
        <v>1</v>
      </c>
      <c r="S719" s="21" t="n">
        <v>1.46</v>
      </c>
      <c r="T719" s="21" t="n">
        <v>0.1</v>
      </c>
      <c r="U719" s="36" t="inlineStr">
        <is>
          <t>Tier 1B (Micro Drop, 1-3 km)</t>
        </is>
      </c>
      <c r="V719" s="20" t="n">
        <v>71.40000000000001</v>
      </c>
      <c r="W719" s="20" t="n">
        <v>100</v>
      </c>
      <c r="X719" s="20" t="n">
        <v>28</v>
      </c>
      <c r="Y719" s="40">
        <f>ROUND((V719*'Methodology &amp; Assumptions'!$B$6)+(W719*'Methodology &amp; Assumptions'!$B$5)+(X719*'Methodology &amp; Assumptions'!$B$7), 2)</f>
        <v/>
      </c>
    </row>
    <row r="720" ht="19" customHeight="1">
      <c r="A720" s="41" t="n">
        <v>716</v>
      </c>
      <c r="B720" s="41" t="n">
        <v>2716</v>
      </c>
      <c r="C720" s="42" t="inlineStr">
        <is>
          <t>0704601001</t>
        </is>
      </c>
      <c r="D720" s="42" t="inlineStr">
        <is>
          <t>Region VII (Central Visayas)</t>
        </is>
      </c>
      <c r="E720" s="42" t="inlineStr">
        <is>
          <t>Negros Oriental</t>
        </is>
      </c>
      <c r="F720" s="42" t="inlineStr">
        <is>
          <t>Amlan</t>
        </is>
      </c>
      <c r="G720" s="42" t="inlineStr">
        <is>
          <t>Bio-os</t>
        </is>
      </c>
      <c r="H720" s="43" t="n">
        <v>9.471913000000001</v>
      </c>
      <c r="I720" s="43" t="n">
        <v>123.1956</v>
      </c>
      <c r="J720" s="44" t="inlineStr">
        <is>
          <t>R</t>
        </is>
      </c>
      <c r="K720" s="42" t="inlineStr">
        <is>
          <t>3rd</t>
        </is>
      </c>
      <c r="L720" s="23" t="n">
        <v>4106</v>
      </c>
      <c r="M720" s="24" t="n">
        <v>4.28</v>
      </c>
      <c r="N720" s="23">
        <f>ROUND(L720/M720, 0)</f>
        <v/>
      </c>
      <c r="O720" s="23">
        <f>ROUND(N720*'Methodology &amp; Assumptions'!$B$8, 0)</f>
        <v/>
      </c>
      <c r="P720" s="44" t="inlineStr">
        <is>
          <t>Band n50 (1.5 GHz, 60 MHz)</t>
        </is>
      </c>
      <c r="Q720" s="38">
        <f>ROUNDUP(O720/'Methodology &amp; Assumptions'!$B$9, 0)</f>
        <v/>
      </c>
      <c r="R720" s="39" t="n">
        <v>1</v>
      </c>
      <c r="S720" s="25" t="n">
        <v>3.09</v>
      </c>
      <c r="T720" s="25" t="n">
        <v>0.1</v>
      </c>
      <c r="U720" s="42" t="inlineStr">
        <is>
          <t>Tier 2 (Fiber Corridor / Lateral, 3-5 km)</t>
        </is>
      </c>
      <c r="V720" s="24" t="n">
        <v>45.6</v>
      </c>
      <c r="W720" s="24" t="n">
        <v>100</v>
      </c>
      <c r="X720" s="24" t="n">
        <v>58</v>
      </c>
      <c r="Y720" s="45">
        <f>ROUND((V720*'Methodology &amp; Assumptions'!$B$6)+(W720*'Methodology &amp; Assumptions'!$B$5)+(X720*'Methodology &amp; Assumptions'!$B$7), 2)</f>
        <v/>
      </c>
    </row>
    <row r="721" ht="19" customHeight="1">
      <c r="A721" s="35" t="n">
        <v>717</v>
      </c>
      <c r="B721" s="35" t="n">
        <v>2717</v>
      </c>
      <c r="C721" s="36" t="inlineStr">
        <is>
          <t>1102404008</t>
        </is>
      </c>
      <c r="D721" s="36" t="inlineStr">
        <is>
          <t>Region XI (Davao Region)</t>
        </is>
      </c>
      <c r="E721" s="36" t="inlineStr">
        <is>
          <t>Davao del Sur</t>
        </is>
      </c>
      <c r="F721" s="36" t="inlineStr">
        <is>
          <t>Hagonoy</t>
        </is>
      </c>
      <c r="G721" s="36" t="inlineStr">
        <is>
          <t>Hagonoy Crossing</t>
        </is>
      </c>
      <c r="H721" s="37" t="n">
        <v>6.68197</v>
      </c>
      <c r="I721" s="37" t="n">
        <v>125.31272</v>
      </c>
      <c r="J721" s="8" t="inlineStr">
        <is>
          <t>R</t>
        </is>
      </c>
      <c r="K721" s="36" t="inlineStr">
        <is>
          <t>Class 1-3 / Urban</t>
        </is>
      </c>
      <c r="L721" s="18" t="n">
        <v>3452</v>
      </c>
      <c r="M721" s="20" t="n">
        <v>4.1</v>
      </c>
      <c r="N721" s="18">
        <f>ROUND(L721/M721, 0)</f>
        <v/>
      </c>
      <c r="O721" s="18">
        <f>ROUND(N721*'Methodology &amp; Assumptions'!$B$8, 0)</f>
        <v/>
      </c>
      <c r="P721" s="8" t="inlineStr">
        <is>
          <t>Band n50 (1.5 GHz, 60 MHz)</t>
        </is>
      </c>
      <c r="Q721" s="38">
        <f>ROUNDUP(O721/'Methodology &amp; Assumptions'!$B$9, 0)</f>
        <v/>
      </c>
      <c r="R721" s="39" t="n">
        <v>1</v>
      </c>
      <c r="S721" s="21" t="n">
        <v>1.84</v>
      </c>
      <c r="T721" s="21" t="n">
        <v>4.06</v>
      </c>
      <c r="U721" s="36" t="inlineStr">
        <is>
          <t>Tier 1B (Micro Drop, 1-3 km)</t>
        </is>
      </c>
      <c r="V721" s="20" t="n">
        <v>54.2</v>
      </c>
      <c r="W721" s="20" t="n">
        <v>91.5</v>
      </c>
      <c r="X721" s="20" t="n">
        <v>58</v>
      </c>
      <c r="Y721" s="40">
        <f>ROUND((V721*'Methodology &amp; Assumptions'!$B$6)+(W721*'Methodology &amp; Assumptions'!$B$5)+(X721*'Methodology &amp; Assumptions'!$B$7), 2)</f>
        <v/>
      </c>
    </row>
    <row r="722" ht="19" customHeight="1">
      <c r="A722" s="41" t="n">
        <v>718</v>
      </c>
      <c r="B722" s="41" t="n">
        <v>2718</v>
      </c>
      <c r="C722" s="42" t="inlineStr">
        <is>
          <t>0702219006</t>
        </is>
      </c>
      <c r="D722" s="42" t="inlineStr">
        <is>
          <t>Region VII (Central Visayas)</t>
        </is>
      </c>
      <c r="E722" s="42" t="inlineStr">
        <is>
          <t>Cebu</t>
        </is>
      </c>
      <c r="F722" s="42" t="inlineStr">
        <is>
          <t>Consolacion</t>
        </is>
      </c>
      <c r="G722" s="42" t="inlineStr">
        <is>
          <t>Jugan</t>
        </is>
      </c>
      <c r="H722" s="43" t="n">
        <v>10.37862</v>
      </c>
      <c r="I722" s="43" t="n">
        <v>123.971969</v>
      </c>
      <c r="J722" s="44" t="inlineStr">
        <is>
          <t>U</t>
        </is>
      </c>
      <c r="K722" s="42" t="inlineStr">
        <is>
          <t>Class 1-3 / Urban</t>
        </is>
      </c>
      <c r="L722" s="23" t="n">
        <v>12774</v>
      </c>
      <c r="M722" s="24" t="n">
        <v>4.42</v>
      </c>
      <c r="N722" s="23">
        <f>ROUND(L722/M722, 0)</f>
        <v/>
      </c>
      <c r="O722" s="23">
        <f>ROUND(N722*'Methodology &amp; Assumptions'!$B$8, 0)</f>
        <v/>
      </c>
      <c r="P722" s="44" t="inlineStr">
        <is>
          <t>Band n50 (1.5 GHz, 60 MHz)</t>
        </is>
      </c>
      <c r="Q722" s="38">
        <f>ROUNDUP(O722/'Methodology &amp; Assumptions'!$B$9, 0)</f>
        <v/>
      </c>
      <c r="R722" s="39" t="n">
        <v>1</v>
      </c>
      <c r="S722" s="25" t="n">
        <v>1.46</v>
      </c>
      <c r="T722" s="25" t="n">
        <v>0.5</v>
      </c>
      <c r="U722" s="42" t="inlineStr">
        <is>
          <t>Tier 1B (Micro Drop, 1-3 km)</t>
        </is>
      </c>
      <c r="V722" s="24" t="n">
        <v>71.40000000000001</v>
      </c>
      <c r="W722" s="24" t="n">
        <v>100</v>
      </c>
      <c r="X722" s="24" t="n">
        <v>28</v>
      </c>
      <c r="Y722" s="45">
        <f>ROUND((V722*'Methodology &amp; Assumptions'!$B$6)+(W722*'Methodology &amp; Assumptions'!$B$5)+(X722*'Methodology &amp; Assumptions'!$B$7), 2)</f>
        <v/>
      </c>
    </row>
    <row r="723" ht="19" customHeight="1">
      <c r="A723" s="35" t="n">
        <v>719</v>
      </c>
      <c r="B723" s="35" t="n">
        <v>2719</v>
      </c>
      <c r="C723" s="36" t="inlineStr">
        <is>
          <t>0501716035</t>
        </is>
      </c>
      <c r="D723" s="36" t="inlineStr">
        <is>
          <t>Region V (Bicol Region)</t>
        </is>
      </c>
      <c r="E723" s="36" t="inlineStr">
        <is>
          <t>Camarines Sur</t>
        </is>
      </c>
      <c r="F723" s="36" t="inlineStr">
        <is>
          <t>City of Iriga</t>
        </is>
      </c>
      <c r="G723" s="36" t="inlineStr">
        <is>
          <t>Santo Domingo</t>
        </is>
      </c>
      <c r="H723" s="37" t="n">
        <v>13.419461</v>
      </c>
      <c r="I723" s="37" t="n">
        <v>123.429445</v>
      </c>
      <c r="J723" s="8" t="inlineStr">
        <is>
          <t>U</t>
        </is>
      </c>
      <c r="K723" s="36" t="inlineStr">
        <is>
          <t>Class 1-3 / Urban</t>
        </is>
      </c>
      <c r="L723" s="18" t="n">
        <v>6584</v>
      </c>
      <c r="M723" s="20" t="n">
        <v>4.9</v>
      </c>
      <c r="N723" s="18">
        <f>ROUND(L723/M723, 0)</f>
        <v/>
      </c>
      <c r="O723" s="18">
        <f>ROUND(N723*'Methodology &amp; Assumptions'!$B$8, 0)</f>
        <v/>
      </c>
      <c r="P723" s="8" t="inlineStr">
        <is>
          <t>Band n50 (1.5 GHz, 60 MHz)</t>
        </is>
      </c>
      <c r="Q723" s="38">
        <f>ROUNDUP(O723/'Methodology &amp; Assumptions'!$B$9, 0)</f>
        <v/>
      </c>
      <c r="R723" s="39" t="n">
        <v>1</v>
      </c>
      <c r="S723" s="21" t="n">
        <v>1.46</v>
      </c>
      <c r="T723" s="21" t="n">
        <v>0.28</v>
      </c>
      <c r="U723" s="36" t="inlineStr">
        <is>
          <t>Tier 1B (Micro Drop, 1-3 km)</t>
        </is>
      </c>
      <c r="V723" s="20" t="n">
        <v>71.40000000000001</v>
      </c>
      <c r="W723" s="20" t="n">
        <v>100</v>
      </c>
      <c r="X723" s="20" t="n">
        <v>28</v>
      </c>
      <c r="Y723" s="40">
        <f>ROUND((V723*'Methodology &amp; Assumptions'!$B$6)+(W723*'Methodology &amp; Assumptions'!$B$5)+(X723*'Methodology &amp; Assumptions'!$B$7), 2)</f>
        <v/>
      </c>
    </row>
    <row r="724" ht="19" customHeight="1">
      <c r="A724" s="41" t="n">
        <v>720</v>
      </c>
      <c r="B724" s="41" t="n">
        <v>2720</v>
      </c>
      <c r="C724" s="42" t="inlineStr">
        <is>
          <t>0103315019</t>
        </is>
      </c>
      <c r="D724" s="42" t="inlineStr">
        <is>
          <t>Region I (Ilocos Region)</t>
        </is>
      </c>
      <c r="E724" s="42" t="inlineStr">
        <is>
          <t>La Union</t>
        </is>
      </c>
      <c r="F724" s="42" t="inlineStr">
        <is>
          <t>San Gabriel</t>
        </is>
      </c>
      <c r="G724" s="42" t="inlineStr">
        <is>
          <t>Poblacion</t>
        </is>
      </c>
      <c r="H724" s="43" t="n">
        <v>16.672704</v>
      </c>
      <c r="I724" s="43" t="n">
        <v>120.402358</v>
      </c>
      <c r="J724" s="44" t="inlineStr">
        <is>
          <t>R</t>
        </is>
      </c>
      <c r="K724" s="42" t="inlineStr">
        <is>
          <t>3rd</t>
        </is>
      </c>
      <c r="L724" s="23" t="n">
        <v>2825</v>
      </c>
      <c r="M724" s="24" t="n">
        <v>4.65</v>
      </c>
      <c r="N724" s="23">
        <f>ROUND(L724/M724, 0)</f>
        <v/>
      </c>
      <c r="O724" s="23">
        <f>ROUND(N724*'Methodology &amp; Assumptions'!$B$8, 0)</f>
        <v/>
      </c>
      <c r="P724" s="44" t="inlineStr">
        <is>
          <t>Band n50 (1.5 GHz, 60 MHz)</t>
        </is>
      </c>
      <c r="Q724" s="38">
        <f>ROUNDUP(O724/'Methodology &amp; Assumptions'!$B$9, 0)</f>
        <v/>
      </c>
      <c r="R724" s="39" t="n">
        <v>1</v>
      </c>
      <c r="S724" s="25" t="n">
        <v>0.9399999999999999</v>
      </c>
      <c r="T724" s="25" t="n">
        <v>6.66</v>
      </c>
      <c r="U724" s="42" t="inlineStr">
        <is>
          <t>Tier 1A (Direct Coloc, &lt;1 km)</t>
        </is>
      </c>
      <c r="V724" s="24" t="n">
        <v>73.09999999999999</v>
      </c>
      <c r="W724" s="24" t="n">
        <v>72.5</v>
      </c>
      <c r="X724" s="24" t="n">
        <v>58</v>
      </c>
      <c r="Y724" s="45">
        <f>ROUND((V724*'Methodology &amp; Assumptions'!$B$6)+(W724*'Methodology &amp; Assumptions'!$B$5)+(X724*'Methodology &amp; Assumptions'!$B$7), 2)</f>
        <v/>
      </c>
    </row>
    <row r="725" ht="19" customHeight="1">
      <c r="A725" s="35" t="n">
        <v>721</v>
      </c>
      <c r="B725" s="35" t="n">
        <v>2721</v>
      </c>
      <c r="C725" s="36" t="inlineStr">
        <is>
          <t>0402103039</t>
        </is>
      </c>
      <c r="D725" s="36" t="inlineStr">
        <is>
          <t>Region IV-A (CALABARZON)</t>
        </is>
      </c>
      <c r="E725" s="36" t="inlineStr">
        <is>
          <t>Cavite</t>
        </is>
      </c>
      <c r="F725" s="36" t="inlineStr">
        <is>
          <t>City of Bacoor</t>
        </is>
      </c>
      <c r="G725" s="36" t="inlineStr">
        <is>
          <t>Maliksi II</t>
        </is>
      </c>
      <c r="H725" s="37" t="n">
        <v>14.436707</v>
      </c>
      <c r="I725" s="37" t="n">
        <v>120.961346</v>
      </c>
      <c r="J725" s="8" t="inlineStr">
        <is>
          <t>R</t>
        </is>
      </c>
      <c r="K725" s="36" t="inlineStr">
        <is>
          <t>Class 1-3 / Urban</t>
        </is>
      </c>
      <c r="L725" s="18" t="n">
        <v>2781</v>
      </c>
      <c r="M725" s="20" t="n">
        <v>4.49</v>
      </c>
      <c r="N725" s="18">
        <f>ROUND(L725/M725, 0)</f>
        <v/>
      </c>
      <c r="O725" s="18">
        <f>ROUND(N725*'Methodology &amp; Assumptions'!$B$8, 0)</f>
        <v/>
      </c>
      <c r="P725" s="8" t="inlineStr">
        <is>
          <t>Band n50 (1.5 GHz, 60 MHz)</t>
        </is>
      </c>
      <c r="Q725" s="38">
        <f>ROUNDUP(O725/'Methodology &amp; Assumptions'!$B$9, 0)</f>
        <v/>
      </c>
      <c r="R725" s="39" t="n">
        <v>1</v>
      </c>
      <c r="S725" s="21" t="n">
        <v>1.43</v>
      </c>
      <c r="T725" s="21" t="n">
        <v>1.32</v>
      </c>
      <c r="U725" s="36" t="inlineStr">
        <is>
          <t>Tier 1B (Micro Drop, 1-3 km)</t>
        </is>
      </c>
      <c r="V725" s="20" t="n">
        <v>72</v>
      </c>
      <c r="W725" s="20" t="n">
        <v>73.59999999999999</v>
      </c>
      <c r="X725" s="20" t="n">
        <v>58</v>
      </c>
      <c r="Y725" s="40">
        <f>ROUND((V725*'Methodology &amp; Assumptions'!$B$6)+(W725*'Methodology &amp; Assumptions'!$B$5)+(X725*'Methodology &amp; Assumptions'!$B$7), 2)</f>
        <v/>
      </c>
    </row>
    <row r="726" ht="19" customHeight="1">
      <c r="A726" s="41" t="n">
        <v>722</v>
      </c>
      <c r="B726" s="41" t="n">
        <v>2722</v>
      </c>
      <c r="C726" s="42" t="inlineStr">
        <is>
          <t>0401021036</t>
        </is>
      </c>
      <c r="D726" s="42" t="inlineStr">
        <is>
          <t>Region IV-A (CALABARZON)</t>
        </is>
      </c>
      <c r="E726" s="42" t="inlineStr">
        <is>
          <t>Batangas</t>
        </is>
      </c>
      <c r="F726" s="42" t="inlineStr">
        <is>
          <t>Rosario</t>
        </is>
      </c>
      <c r="G726" s="42" t="inlineStr">
        <is>
          <t>Putingkahoy</t>
        </is>
      </c>
      <c r="H726" s="43" t="n">
        <v>13.827347</v>
      </c>
      <c r="I726" s="43" t="n">
        <v>121.330349</v>
      </c>
      <c r="J726" s="44" t="inlineStr">
        <is>
          <t>R</t>
        </is>
      </c>
      <c r="K726" s="42" t="inlineStr">
        <is>
          <t>Class 1-3 / Urban</t>
        </is>
      </c>
      <c r="L726" s="23" t="n">
        <v>2997</v>
      </c>
      <c r="M726" s="24" t="n">
        <v>4.62</v>
      </c>
      <c r="N726" s="23">
        <f>ROUND(L726/M726, 0)</f>
        <v/>
      </c>
      <c r="O726" s="23">
        <f>ROUND(N726*'Methodology &amp; Assumptions'!$B$8, 0)</f>
        <v/>
      </c>
      <c r="P726" s="44" t="inlineStr">
        <is>
          <t>Band n50 (1.5 GHz, 60 MHz)</t>
        </is>
      </c>
      <c r="Q726" s="38">
        <f>ROUNDUP(O726/'Methodology &amp; Assumptions'!$B$9, 0)</f>
        <v/>
      </c>
      <c r="R726" s="39" t="n">
        <v>1</v>
      </c>
      <c r="S726" s="25" t="n">
        <v>1.55</v>
      </c>
      <c r="T726" s="25" t="n">
        <v>0.19</v>
      </c>
      <c r="U726" s="42" t="inlineStr">
        <is>
          <t>Tier 1B (Micro Drop, 1-3 km)</t>
        </is>
      </c>
      <c r="V726" s="24" t="n">
        <v>69.59999999999999</v>
      </c>
      <c r="W726" s="24" t="n">
        <v>76</v>
      </c>
      <c r="X726" s="24" t="n">
        <v>58</v>
      </c>
      <c r="Y726" s="45">
        <f>ROUND((V726*'Methodology &amp; Assumptions'!$B$6)+(W726*'Methodology &amp; Assumptions'!$B$5)+(X726*'Methodology &amp; Assumptions'!$B$7), 2)</f>
        <v/>
      </c>
    </row>
    <row r="727" ht="19" customHeight="1">
      <c r="A727" s="35" t="n">
        <v>723</v>
      </c>
      <c r="B727" s="35" t="n">
        <v>2723</v>
      </c>
      <c r="C727" s="36" t="inlineStr">
        <is>
          <t>0501721019</t>
        </is>
      </c>
      <c r="D727" s="36" t="inlineStr">
        <is>
          <t>Region V (Bicol Region)</t>
        </is>
      </c>
      <c r="E727" s="36" t="inlineStr">
        <is>
          <t>Camarines Sur</t>
        </is>
      </c>
      <c r="F727" s="36" t="inlineStr">
        <is>
          <t>Milaor</t>
        </is>
      </c>
      <c r="G727" s="36" t="inlineStr">
        <is>
          <t>Santo Domingo</t>
        </is>
      </c>
      <c r="H727" s="37" t="n">
        <v>13.5957</v>
      </c>
      <c r="I727" s="37" t="n">
        <v>123.1776</v>
      </c>
      <c r="J727" s="8" t="inlineStr">
        <is>
          <t>R</t>
        </is>
      </c>
      <c r="K727" s="36" t="inlineStr">
        <is>
          <t>3rd</t>
        </is>
      </c>
      <c r="L727" s="18" t="n">
        <v>1331</v>
      </c>
      <c r="M727" s="20" t="n">
        <v>4.92</v>
      </c>
      <c r="N727" s="18">
        <f>ROUND(L727/M727, 0)</f>
        <v/>
      </c>
      <c r="O727" s="18">
        <f>ROUND(N727*'Methodology &amp; Assumptions'!$B$8, 0)</f>
        <v/>
      </c>
      <c r="P727" s="8" t="inlineStr">
        <is>
          <t>Band n50 (1.5 GHz, 60 MHz)</t>
        </is>
      </c>
      <c r="Q727" s="38">
        <f>ROUNDUP(O727/'Methodology &amp; Assumptions'!$B$9, 0)</f>
        <v/>
      </c>
      <c r="R727" s="39" t="n">
        <v>1</v>
      </c>
      <c r="S727" s="21" t="n">
        <v>0.13</v>
      </c>
      <c r="T727" s="21" t="n">
        <v>0.08</v>
      </c>
      <c r="U727" s="36" t="inlineStr">
        <is>
          <t>Tier 1A (Direct Coloc, &lt;1 km)</t>
        </is>
      </c>
      <c r="V727" s="20" t="n">
        <v>100</v>
      </c>
      <c r="W727" s="20" t="n">
        <v>45.6</v>
      </c>
      <c r="X727" s="20" t="n">
        <v>58</v>
      </c>
      <c r="Y727" s="40">
        <f>ROUND((V727*'Methodology &amp; Assumptions'!$B$6)+(W727*'Methodology &amp; Assumptions'!$B$5)+(X727*'Methodology &amp; Assumptions'!$B$7), 2)</f>
        <v/>
      </c>
    </row>
    <row r="728" ht="19" customHeight="1">
      <c r="A728" s="41" t="n">
        <v>724</v>
      </c>
      <c r="B728" s="41" t="n">
        <v>2724</v>
      </c>
      <c r="C728" s="42" t="inlineStr">
        <is>
          <t>0306911013</t>
        </is>
      </c>
      <c r="D728" s="42" t="inlineStr">
        <is>
          <t>Region III (Central Luzon)</t>
        </is>
      </c>
      <c r="E728" s="42" t="inlineStr">
        <is>
          <t>Tarlac</t>
        </is>
      </c>
      <c r="F728" s="42" t="inlineStr">
        <is>
          <t>Pura</t>
        </is>
      </c>
      <c r="G728" s="42" t="inlineStr">
        <is>
          <t>Poblacion 2</t>
        </is>
      </c>
      <c r="H728" s="43" t="n">
        <v>15.624295</v>
      </c>
      <c r="I728" s="43" t="n">
        <v>120.647996</v>
      </c>
      <c r="J728" s="44" t="inlineStr">
        <is>
          <t>R</t>
        </is>
      </c>
      <c r="K728" s="42" t="inlineStr">
        <is>
          <t>3rd</t>
        </is>
      </c>
      <c r="L728" s="23" t="n">
        <v>1208</v>
      </c>
      <c r="M728" s="24" t="n">
        <v>4.22</v>
      </c>
      <c r="N728" s="23">
        <f>ROUND(L728/M728, 0)</f>
        <v/>
      </c>
      <c r="O728" s="23">
        <f>ROUND(N728*'Methodology &amp; Assumptions'!$B$8, 0)</f>
        <v/>
      </c>
      <c r="P728" s="44" t="inlineStr">
        <is>
          <t>Band n50 (1.5 GHz, 60 MHz)</t>
        </is>
      </c>
      <c r="Q728" s="38">
        <f>ROUNDUP(O728/'Methodology &amp; Assumptions'!$B$9, 0)</f>
        <v/>
      </c>
      <c r="R728" s="39" t="n">
        <v>1</v>
      </c>
      <c r="S728" s="25" t="n">
        <v>0.36</v>
      </c>
      <c r="T728" s="25" t="n">
        <v>0.36</v>
      </c>
      <c r="U728" s="42" t="inlineStr">
        <is>
          <t>Tier 1A (Direct Coloc, &lt;1 km)</t>
        </is>
      </c>
      <c r="V728" s="24" t="n">
        <v>98.7</v>
      </c>
      <c r="W728" s="24" t="n">
        <v>46.9</v>
      </c>
      <c r="X728" s="24" t="n">
        <v>58</v>
      </c>
      <c r="Y728" s="45">
        <f>ROUND((V728*'Methodology &amp; Assumptions'!$B$6)+(W728*'Methodology &amp; Assumptions'!$B$5)+(X728*'Methodology &amp; Assumptions'!$B$7), 2)</f>
        <v/>
      </c>
    </row>
    <row r="729" ht="19" customHeight="1">
      <c r="A729" s="35" t="n">
        <v>725</v>
      </c>
      <c r="B729" s="35" t="n">
        <v>2725</v>
      </c>
      <c r="C729" s="36" t="inlineStr">
        <is>
          <t>0702243013</t>
        </is>
      </c>
      <c r="D729" s="36" t="inlineStr">
        <is>
          <t>Region VII (Central Visayas)</t>
        </is>
      </c>
      <c r="E729" s="36" t="inlineStr">
        <is>
          <t>Cebu</t>
        </is>
      </c>
      <c r="F729" s="36" t="inlineStr">
        <is>
          <t>San Remigio</t>
        </is>
      </c>
      <c r="G729" s="36" t="inlineStr">
        <is>
          <t>Kinawahan</t>
        </is>
      </c>
      <c r="H729" s="37" t="n">
        <v>10.949113</v>
      </c>
      <c r="I729" s="37" t="n">
        <v>123.921594</v>
      </c>
      <c r="J729" s="8" t="inlineStr">
        <is>
          <t>R</t>
        </is>
      </c>
      <c r="K729" s="36" t="inlineStr">
        <is>
          <t>Class 1-3 / Urban</t>
        </is>
      </c>
      <c r="L729" s="18" t="n">
        <v>1198</v>
      </c>
      <c r="M729" s="20" t="n">
        <v>4.42</v>
      </c>
      <c r="N729" s="18">
        <f>ROUND(L729/M729, 0)</f>
        <v/>
      </c>
      <c r="O729" s="18">
        <f>ROUND(N729*'Methodology &amp; Assumptions'!$B$8, 0)</f>
        <v/>
      </c>
      <c r="P729" s="8" t="inlineStr">
        <is>
          <t>Band n50 (1.5 GHz, 60 MHz)</t>
        </is>
      </c>
      <c r="Q729" s="38">
        <f>ROUNDUP(O729/'Methodology &amp; Assumptions'!$B$9, 0)</f>
        <v/>
      </c>
      <c r="R729" s="39" t="n">
        <v>1</v>
      </c>
      <c r="S729" s="21" t="n">
        <v>0.1</v>
      </c>
      <c r="T729" s="21" t="n">
        <v>0.32</v>
      </c>
      <c r="U729" s="36" t="inlineStr">
        <is>
          <t>Tier 1A (Direct Coloc, &lt;1 km)</t>
        </is>
      </c>
      <c r="V729" s="20" t="n">
        <v>100</v>
      </c>
      <c r="W729" s="20" t="n">
        <v>45.6</v>
      </c>
      <c r="X729" s="20" t="n">
        <v>58</v>
      </c>
      <c r="Y729" s="40">
        <f>ROUND((V729*'Methodology &amp; Assumptions'!$B$6)+(W729*'Methodology &amp; Assumptions'!$B$5)+(X729*'Methodology &amp; Assumptions'!$B$7), 2)</f>
        <v/>
      </c>
    </row>
    <row r="730" ht="19" customHeight="1">
      <c r="A730" s="41" t="n">
        <v>726</v>
      </c>
      <c r="B730" s="41" t="n">
        <v>2726</v>
      </c>
      <c r="C730" s="42" t="inlineStr">
        <is>
          <t>1600208002</t>
        </is>
      </c>
      <c r="D730" s="42" t="inlineStr">
        <is>
          <t>Region XIII (Caraga)</t>
        </is>
      </c>
      <c r="E730" s="42" t="inlineStr">
        <is>
          <t>Agusan del Norte</t>
        </is>
      </c>
      <c r="F730" s="42" t="inlineStr">
        <is>
          <t>Magallanes</t>
        </is>
      </c>
      <c r="G730" s="42" t="inlineStr">
        <is>
          <t>Caloc-an</t>
        </is>
      </c>
      <c r="H730" s="43" t="n">
        <v>9.049010000000001</v>
      </c>
      <c r="I730" s="43" t="n">
        <v>125.530305</v>
      </c>
      <c r="J730" s="44" t="inlineStr">
        <is>
          <t>U</t>
        </is>
      </c>
      <c r="K730" s="42" t="inlineStr">
        <is>
          <t>4th</t>
        </is>
      </c>
      <c r="L730" s="23" t="n">
        <v>5298</v>
      </c>
      <c r="M730" s="24" t="n">
        <v>4.69</v>
      </c>
      <c r="N730" s="23">
        <f>ROUND(L730/M730, 0)</f>
        <v/>
      </c>
      <c r="O730" s="23">
        <f>ROUND(N730*'Methodology &amp; Assumptions'!$B$8, 0)</f>
        <v/>
      </c>
      <c r="P730" s="44" t="inlineStr">
        <is>
          <t>Band n50 (1.5 GHz, 60 MHz)</t>
        </is>
      </c>
      <c r="Q730" s="38">
        <f>ROUNDUP(O730/'Methodology &amp; Assumptions'!$B$9, 0)</f>
        <v/>
      </c>
      <c r="R730" s="39" t="n">
        <v>1</v>
      </c>
      <c r="S730" s="25" t="n">
        <v>1.42</v>
      </c>
      <c r="T730" s="25" t="n">
        <v>5.87</v>
      </c>
      <c r="U730" s="42" t="inlineStr">
        <is>
          <t>Tier 1B (Micro Drop, 1-3 km)</t>
        </is>
      </c>
      <c r="V730" s="24" t="n">
        <v>62.3</v>
      </c>
      <c r="W730" s="24" t="n">
        <v>100</v>
      </c>
      <c r="X730" s="24" t="n">
        <v>38.5</v>
      </c>
      <c r="Y730" s="45">
        <f>ROUND((V730*'Methodology &amp; Assumptions'!$B$6)+(W730*'Methodology &amp; Assumptions'!$B$5)+(X730*'Methodology &amp; Assumptions'!$B$7), 2)</f>
        <v/>
      </c>
    </row>
    <row r="731" ht="19" customHeight="1">
      <c r="A731" s="35" t="n">
        <v>727</v>
      </c>
      <c r="B731" s="35" t="n">
        <v>2727</v>
      </c>
      <c r="C731" s="36" t="inlineStr">
        <is>
          <t>1102403001</t>
        </is>
      </c>
      <c r="D731" s="36" t="inlineStr">
        <is>
          <t>Region XI (Davao Region)</t>
        </is>
      </c>
      <c r="E731" s="36" t="inlineStr">
        <is>
          <t>Davao del Sur</t>
        </is>
      </c>
      <c r="F731" s="36" t="inlineStr">
        <is>
          <t>City of Digos</t>
        </is>
      </c>
      <c r="G731" s="36" t="inlineStr">
        <is>
          <t>Aplaya</t>
        </is>
      </c>
      <c r="H731" s="37" t="n">
        <v>6.736497</v>
      </c>
      <c r="I731" s="37" t="n">
        <v>125.377548</v>
      </c>
      <c r="J731" s="8" t="inlineStr">
        <is>
          <t>U</t>
        </is>
      </c>
      <c r="K731" s="36" t="inlineStr">
        <is>
          <t>Class 1-3 / Urban</t>
        </is>
      </c>
      <c r="L731" s="18" t="n">
        <v>19234</v>
      </c>
      <c r="M731" s="20" t="n">
        <v>4.1</v>
      </c>
      <c r="N731" s="18">
        <f>ROUND(L731/M731, 0)</f>
        <v/>
      </c>
      <c r="O731" s="18">
        <f>ROUND(N731*'Methodology &amp; Assumptions'!$B$8, 0)</f>
        <v/>
      </c>
      <c r="P731" s="8" t="inlineStr">
        <is>
          <t>Band n50 (1.5 GHz, 60 MHz)</t>
        </is>
      </c>
      <c r="Q731" s="38">
        <f>ROUNDUP(O731/'Methodology &amp; Assumptions'!$B$9, 0)</f>
        <v/>
      </c>
      <c r="R731" s="39" t="n">
        <v>1</v>
      </c>
      <c r="S731" s="21" t="n">
        <v>1.47</v>
      </c>
      <c r="T731" s="21" t="n">
        <v>1.31</v>
      </c>
      <c r="U731" s="36" t="inlineStr">
        <is>
          <t>Tier 1B (Micro Drop, 1-3 km)</t>
        </is>
      </c>
      <c r="V731" s="20" t="n">
        <v>71.3</v>
      </c>
      <c r="W731" s="20" t="n">
        <v>100</v>
      </c>
      <c r="X731" s="20" t="n">
        <v>28</v>
      </c>
      <c r="Y731" s="40">
        <f>ROUND((V731*'Methodology &amp; Assumptions'!$B$6)+(W731*'Methodology &amp; Assumptions'!$B$5)+(X731*'Methodology &amp; Assumptions'!$B$7), 2)</f>
        <v/>
      </c>
    </row>
    <row r="732" ht="19" customHeight="1">
      <c r="A732" s="41" t="n">
        <v>728</v>
      </c>
      <c r="B732" s="41" t="n">
        <v>2728</v>
      </c>
      <c r="C732" s="42" t="inlineStr">
        <is>
          <t>0402120003</t>
        </is>
      </c>
      <c r="D732" s="42" t="inlineStr">
        <is>
          <t>Region IV-A (CALABARZON)</t>
        </is>
      </c>
      <c r="E732" s="42" t="inlineStr">
        <is>
          <t>Cavite</t>
        </is>
      </c>
      <c r="F732" s="42" t="inlineStr">
        <is>
          <t>Tanza</t>
        </is>
      </c>
      <c r="G732" s="42" t="inlineStr">
        <is>
          <t>Biga</t>
        </is>
      </c>
      <c r="H732" s="43" t="n">
        <v>14.381549</v>
      </c>
      <c r="I732" s="43" t="n">
        <v>120.829459</v>
      </c>
      <c r="J732" s="44" t="inlineStr">
        <is>
          <t>U</t>
        </is>
      </c>
      <c r="K732" s="42" t="inlineStr">
        <is>
          <t>Class 1-3 / Urban</t>
        </is>
      </c>
      <c r="L732" s="23" t="n">
        <v>17021</v>
      </c>
      <c r="M732" s="24" t="n">
        <v>4.49</v>
      </c>
      <c r="N732" s="23">
        <f>ROUND(L732/M732, 0)</f>
        <v/>
      </c>
      <c r="O732" s="23">
        <f>ROUND(N732*'Methodology &amp; Assumptions'!$B$8, 0)</f>
        <v/>
      </c>
      <c r="P732" s="44" t="inlineStr">
        <is>
          <t>Band n50 (1.5 GHz, 60 MHz)</t>
        </is>
      </c>
      <c r="Q732" s="38">
        <f>ROUNDUP(O732/'Methodology &amp; Assumptions'!$B$9, 0)</f>
        <v/>
      </c>
      <c r="R732" s="39" t="n">
        <v>1</v>
      </c>
      <c r="S732" s="25" t="n">
        <v>1.47</v>
      </c>
      <c r="T732" s="25" t="n">
        <v>0.59</v>
      </c>
      <c r="U732" s="42" t="inlineStr">
        <is>
          <t>Tier 1B (Micro Drop, 1-3 km)</t>
        </is>
      </c>
      <c r="V732" s="24" t="n">
        <v>71.3</v>
      </c>
      <c r="W732" s="24" t="n">
        <v>100</v>
      </c>
      <c r="X732" s="24" t="n">
        <v>28</v>
      </c>
      <c r="Y732" s="45">
        <f>ROUND((V732*'Methodology &amp; Assumptions'!$B$6)+(W732*'Methodology &amp; Assumptions'!$B$5)+(X732*'Methodology &amp; Assumptions'!$B$7), 2)</f>
        <v/>
      </c>
    </row>
    <row r="733" ht="19" customHeight="1">
      <c r="A733" s="35" t="n">
        <v>729</v>
      </c>
      <c r="B733" s="35" t="n">
        <v>2729</v>
      </c>
      <c r="C733" s="36" t="inlineStr">
        <is>
          <t>0304931003</t>
        </is>
      </c>
      <c r="D733" s="36" t="inlineStr">
        <is>
          <t>Region III (Central Luzon)</t>
        </is>
      </c>
      <c r="E733" s="36" t="inlineStr">
        <is>
          <t>Nueva Ecija</t>
        </is>
      </c>
      <c r="F733" s="36" t="inlineStr">
        <is>
          <t>Talugtug</t>
        </is>
      </c>
      <c r="G733" s="36" t="inlineStr">
        <is>
          <t>Baybayabas</t>
        </is>
      </c>
      <c r="H733" s="37" t="n">
        <v>15.585783</v>
      </c>
      <c r="I733" s="37" t="n">
        <v>120.924577</v>
      </c>
      <c r="J733" s="8" t="inlineStr">
        <is>
          <t>R</t>
        </is>
      </c>
      <c r="K733" s="36" t="inlineStr">
        <is>
          <t>3rd</t>
        </is>
      </c>
      <c r="L733" s="18" t="n">
        <v>1663</v>
      </c>
      <c r="M733" s="20" t="n">
        <v>4.09</v>
      </c>
      <c r="N733" s="18">
        <f>ROUND(L733/M733, 0)</f>
        <v/>
      </c>
      <c r="O733" s="18">
        <f>ROUND(N733*'Methodology &amp; Assumptions'!$B$8, 0)</f>
        <v/>
      </c>
      <c r="P733" s="8" t="inlineStr">
        <is>
          <t>Band n50 (1.5 GHz, 60 MHz)</t>
        </is>
      </c>
      <c r="Q733" s="38">
        <f>ROUNDUP(O733/'Methodology &amp; Assumptions'!$B$9, 0)</f>
        <v/>
      </c>
      <c r="R733" s="39" t="n">
        <v>1</v>
      </c>
      <c r="S733" s="21" t="n">
        <v>0.71</v>
      </c>
      <c r="T733" s="21" t="n">
        <v>0.52</v>
      </c>
      <c r="U733" s="36" t="inlineStr">
        <is>
          <t>Tier 1A (Direct Coloc, &lt;1 km)</t>
        </is>
      </c>
      <c r="V733" s="20" t="n">
        <v>89</v>
      </c>
      <c r="W733" s="20" t="n">
        <v>56.5</v>
      </c>
      <c r="X733" s="20" t="n">
        <v>58</v>
      </c>
      <c r="Y733" s="40">
        <f>ROUND((V733*'Methodology &amp; Assumptions'!$B$6)+(W733*'Methodology &amp; Assumptions'!$B$5)+(X733*'Methodology &amp; Assumptions'!$B$7), 2)</f>
        <v/>
      </c>
    </row>
    <row r="734" ht="19" customHeight="1">
      <c r="A734" s="41" t="n">
        <v>730</v>
      </c>
      <c r="B734" s="41" t="n">
        <v>2730</v>
      </c>
      <c r="C734" s="42" t="inlineStr">
        <is>
          <t>1404405007</t>
        </is>
      </c>
      <c r="D734" s="42" t="inlineStr">
        <is>
          <t>Cordillera Administrative Region (CAR)</t>
        </is>
      </c>
      <c r="E734" s="42" t="inlineStr">
        <is>
          <t>Mountain Province</t>
        </is>
      </c>
      <c r="F734" s="42" t="inlineStr">
        <is>
          <t>Natonin</t>
        </is>
      </c>
      <c r="G734" s="42" t="inlineStr">
        <is>
          <t>Poblacion</t>
        </is>
      </c>
      <c r="H734" s="43" t="n">
        <v>17.108822</v>
      </c>
      <c r="I734" s="43" t="n">
        <v>121.279844</v>
      </c>
      <c r="J734" s="44" t="inlineStr">
        <is>
          <t>R</t>
        </is>
      </c>
      <c r="K734" s="42" t="inlineStr">
        <is>
          <t>3rd</t>
        </is>
      </c>
      <c r="L734" s="23" t="n">
        <v>1510</v>
      </c>
      <c r="M734" s="24" t="n">
        <v>4.69</v>
      </c>
      <c r="N734" s="23">
        <f>ROUND(L734/M734, 0)</f>
        <v/>
      </c>
      <c r="O734" s="23">
        <f>ROUND(N734*'Methodology &amp; Assumptions'!$B$8, 0)</f>
        <v/>
      </c>
      <c r="P734" s="44" t="inlineStr">
        <is>
          <t>Band n50 (1.5 GHz, 60 MHz)</t>
        </is>
      </c>
      <c r="Q734" s="38">
        <f>ROUNDUP(O734/'Methodology &amp; Assumptions'!$B$9, 0)</f>
        <v/>
      </c>
      <c r="R734" s="39" t="n">
        <v>1</v>
      </c>
      <c r="S734" s="25" t="n">
        <v>0.01</v>
      </c>
      <c r="T734" s="25" t="n">
        <v>21.55</v>
      </c>
      <c r="U734" s="42" t="inlineStr">
        <is>
          <t>Tier 1A (Direct Coloc, &lt;1 km)</t>
        </is>
      </c>
      <c r="V734" s="24" t="n">
        <v>99.7</v>
      </c>
      <c r="W734" s="24" t="n">
        <v>45.9</v>
      </c>
      <c r="X734" s="24" t="n">
        <v>58</v>
      </c>
      <c r="Y734" s="45">
        <f>ROUND((V734*'Methodology &amp; Assumptions'!$B$6)+(W734*'Methodology &amp; Assumptions'!$B$5)+(X734*'Methodology &amp; Assumptions'!$B$7), 2)</f>
        <v/>
      </c>
    </row>
    <row r="735" ht="19" customHeight="1">
      <c r="A735" s="35" t="n">
        <v>731</v>
      </c>
      <c r="B735" s="35" t="n">
        <v>2731</v>
      </c>
      <c r="C735" s="36" t="inlineStr">
        <is>
          <t>0701242014</t>
        </is>
      </c>
      <c r="D735" s="36" t="inlineStr">
        <is>
          <t>Region VII (Central Visayas)</t>
        </is>
      </c>
      <c r="E735" s="36" t="inlineStr">
        <is>
          <t>Bohol</t>
        </is>
      </c>
      <c r="F735" s="36" t="inlineStr">
        <is>
          <t>City of Tagbilaran</t>
        </is>
      </c>
      <c r="G735" s="36" t="inlineStr">
        <is>
          <t>Taloto</t>
        </is>
      </c>
      <c r="H735" s="37" t="n">
        <v>9.675509999999999</v>
      </c>
      <c r="I735" s="37" t="n">
        <v>123.853606</v>
      </c>
      <c r="J735" s="8" t="inlineStr">
        <is>
          <t>U</t>
        </is>
      </c>
      <c r="K735" s="36" t="inlineStr">
        <is>
          <t>Class 1-3 / Urban</t>
        </is>
      </c>
      <c r="L735" s="18" t="n">
        <v>6383</v>
      </c>
      <c r="M735" s="20" t="n">
        <v>4.54</v>
      </c>
      <c r="N735" s="18">
        <f>ROUND(L735/M735, 0)</f>
        <v/>
      </c>
      <c r="O735" s="18">
        <f>ROUND(N735*'Methodology &amp; Assumptions'!$B$8, 0)</f>
        <v/>
      </c>
      <c r="P735" s="8" t="inlineStr">
        <is>
          <t>Band n50 (1.5 GHz, 60 MHz)</t>
        </is>
      </c>
      <c r="Q735" s="38">
        <f>ROUNDUP(O735/'Methodology &amp; Assumptions'!$B$9, 0)</f>
        <v/>
      </c>
      <c r="R735" s="39" t="n">
        <v>1</v>
      </c>
      <c r="S735" s="21" t="n">
        <v>1.47</v>
      </c>
      <c r="T735" s="21" t="n">
        <v>0.74</v>
      </c>
      <c r="U735" s="36" t="inlineStr">
        <is>
          <t>Tier 1B (Micro Drop, 1-3 km)</t>
        </is>
      </c>
      <c r="V735" s="20" t="n">
        <v>71.3</v>
      </c>
      <c r="W735" s="20" t="n">
        <v>100</v>
      </c>
      <c r="X735" s="20" t="n">
        <v>28</v>
      </c>
      <c r="Y735" s="40">
        <f>ROUND((V735*'Methodology &amp; Assumptions'!$B$6)+(W735*'Methodology &amp; Assumptions'!$B$5)+(X735*'Methodology &amp; Assumptions'!$B$7), 2)</f>
        <v/>
      </c>
    </row>
    <row r="736" ht="19" customHeight="1">
      <c r="A736" s="41" t="n">
        <v>732</v>
      </c>
      <c r="B736" s="41" t="n">
        <v>2732</v>
      </c>
      <c r="C736" s="42" t="inlineStr">
        <is>
          <t>0403412014</t>
        </is>
      </c>
      <c r="D736" s="42" t="inlineStr">
        <is>
          <t>Region IV-A (CALABARZON)</t>
        </is>
      </c>
      <c r="E736" s="42" t="inlineStr">
        <is>
          <t>Laguna</t>
        </is>
      </c>
      <c r="F736" s="42" t="inlineStr">
        <is>
          <t>Luisiana</t>
        </is>
      </c>
      <c r="G736" s="42" t="inlineStr">
        <is>
          <t>San Jose</t>
        </is>
      </c>
      <c r="H736" s="43" t="n">
        <v>14.190889</v>
      </c>
      <c r="I736" s="43" t="n">
        <v>121.510992</v>
      </c>
      <c r="J736" s="44" t="inlineStr">
        <is>
          <t>R</t>
        </is>
      </c>
      <c r="K736" s="42" t="inlineStr">
        <is>
          <t>4th</t>
        </is>
      </c>
      <c r="L736" s="23" t="n">
        <v>934</v>
      </c>
      <c r="M736" s="24" t="n">
        <v>4.07</v>
      </c>
      <c r="N736" s="23">
        <f>ROUND(L736/M736, 0)</f>
        <v/>
      </c>
      <c r="O736" s="23">
        <f>ROUND(N736*'Methodology &amp; Assumptions'!$B$8, 0)</f>
        <v/>
      </c>
      <c r="P736" s="44" t="inlineStr">
        <is>
          <t>Band n50 (1.5 GHz, 60 MHz)</t>
        </is>
      </c>
      <c r="Q736" s="38">
        <f>ROUNDUP(O736/'Methodology &amp; Assumptions'!$B$9, 0)</f>
        <v/>
      </c>
      <c r="R736" s="39" t="n">
        <v>1</v>
      </c>
      <c r="S736" s="25" t="n">
        <v>0.62</v>
      </c>
      <c r="T736" s="25" t="n">
        <v>4.77</v>
      </c>
      <c r="U736" s="42" t="inlineStr">
        <is>
          <t>Tier 1A (Direct Coloc, &lt;1 km)</t>
        </is>
      </c>
      <c r="V736" s="24" t="n">
        <v>81.3</v>
      </c>
      <c r="W736" s="24" t="n">
        <v>42.4</v>
      </c>
      <c r="X736" s="24" t="n">
        <v>83.5</v>
      </c>
      <c r="Y736" s="45">
        <f>ROUND((V736*'Methodology &amp; Assumptions'!$B$6)+(W736*'Methodology &amp; Assumptions'!$B$5)+(X736*'Methodology &amp; Assumptions'!$B$7), 2)</f>
        <v/>
      </c>
    </row>
    <row r="737" ht="19" customHeight="1">
      <c r="A737" s="35" t="n">
        <v>733</v>
      </c>
      <c r="B737" s="35" t="n">
        <v>2733</v>
      </c>
      <c r="C737" s="36" t="inlineStr">
        <is>
          <t>0304902024</t>
        </is>
      </c>
      <c r="D737" s="36" t="inlineStr">
        <is>
          <t>Region III (Central Luzon)</t>
        </is>
      </c>
      <c r="E737" s="36" t="inlineStr">
        <is>
          <t>Nueva Ecija</t>
        </is>
      </c>
      <c r="F737" s="36" t="inlineStr">
        <is>
          <t>Bongabon</t>
        </is>
      </c>
      <c r="G737" s="36" t="inlineStr">
        <is>
          <t>Sinipit</t>
        </is>
      </c>
      <c r="H737" s="37" t="n">
        <v>15.635712</v>
      </c>
      <c r="I737" s="37" t="n">
        <v>121.144677</v>
      </c>
      <c r="J737" s="8" t="inlineStr">
        <is>
          <t>R</t>
        </is>
      </c>
      <c r="K737" s="36" t="inlineStr">
        <is>
          <t>Class 1-3 / Urban</t>
        </is>
      </c>
      <c r="L737" s="18" t="n">
        <v>2542</v>
      </c>
      <c r="M737" s="20" t="n">
        <v>4.32</v>
      </c>
      <c r="N737" s="18">
        <f>ROUND(L737/M737, 0)</f>
        <v/>
      </c>
      <c r="O737" s="18">
        <f>ROUND(N737*'Methodology &amp; Assumptions'!$B$8, 0)</f>
        <v/>
      </c>
      <c r="P737" s="8" t="inlineStr">
        <is>
          <t>Band n50 (1.5 GHz, 60 MHz)</t>
        </is>
      </c>
      <c r="Q737" s="38">
        <f>ROUNDUP(O737/'Methodology &amp; Assumptions'!$B$9, 0)</f>
        <v/>
      </c>
      <c r="R737" s="39" t="n">
        <v>1</v>
      </c>
      <c r="S737" s="21" t="n">
        <v>1.31</v>
      </c>
      <c r="T737" s="21" t="n">
        <v>0.22</v>
      </c>
      <c r="U737" s="36" t="inlineStr">
        <is>
          <t>Tier 1B (Micro Drop, 1-3 km)</t>
        </is>
      </c>
      <c r="V737" s="20" t="n">
        <v>74.59999999999999</v>
      </c>
      <c r="W737" s="20" t="n">
        <v>70.90000000000001</v>
      </c>
      <c r="X737" s="20" t="n">
        <v>58</v>
      </c>
      <c r="Y737" s="40">
        <f>ROUND((V737*'Methodology &amp; Assumptions'!$B$6)+(W737*'Methodology &amp; Assumptions'!$B$5)+(X737*'Methodology &amp; Assumptions'!$B$7), 2)</f>
        <v/>
      </c>
    </row>
    <row r="738" ht="19" customHeight="1">
      <c r="A738" s="41" t="n">
        <v>734</v>
      </c>
      <c r="B738" s="41" t="n">
        <v>2734</v>
      </c>
      <c r="C738" s="42" t="inlineStr">
        <is>
          <t>0506212014</t>
        </is>
      </c>
      <c r="D738" s="42" t="inlineStr">
        <is>
          <t>Region V (Bicol Region)</t>
        </is>
      </c>
      <c r="E738" s="42" t="inlineStr">
        <is>
          <t>Sorsogon</t>
        </is>
      </c>
      <c r="F738" s="42" t="inlineStr">
        <is>
          <t>Matnog</t>
        </is>
      </c>
      <c r="G738" s="42" t="inlineStr">
        <is>
          <t>Camachiles</t>
        </is>
      </c>
      <c r="H738" s="43" t="n">
        <v>12.586856</v>
      </c>
      <c r="I738" s="43" t="n">
        <v>124.086979</v>
      </c>
      <c r="J738" s="44" t="inlineStr">
        <is>
          <t>R</t>
        </is>
      </c>
      <c r="K738" s="42" t="inlineStr">
        <is>
          <t>Class 1-3 / Urban</t>
        </is>
      </c>
      <c r="L738" s="23" t="n">
        <v>1684</v>
      </c>
      <c r="M738" s="24" t="n">
        <v>4.58</v>
      </c>
      <c r="N738" s="23">
        <f>ROUND(L738/M738, 0)</f>
        <v/>
      </c>
      <c r="O738" s="23">
        <f>ROUND(N738*'Methodology &amp; Assumptions'!$B$8, 0)</f>
        <v/>
      </c>
      <c r="P738" s="44" t="inlineStr">
        <is>
          <t>Band n50 (1.5 GHz, 60 MHz)</t>
        </is>
      </c>
      <c r="Q738" s="38">
        <f>ROUNDUP(O738/'Methodology &amp; Assumptions'!$B$9, 0)</f>
        <v/>
      </c>
      <c r="R738" s="39" t="n">
        <v>1</v>
      </c>
      <c r="S738" s="25" t="n">
        <v>0.59</v>
      </c>
      <c r="T738" s="25" t="n">
        <v>0.57</v>
      </c>
      <c r="U738" s="42" t="inlineStr">
        <is>
          <t>Tier 1A (Direct Coloc, &lt;1 km)</t>
        </is>
      </c>
      <c r="V738" s="24" t="n">
        <v>92.2</v>
      </c>
      <c r="W738" s="24" t="n">
        <v>53.3</v>
      </c>
      <c r="X738" s="24" t="n">
        <v>58</v>
      </c>
      <c r="Y738" s="45">
        <f>ROUND((V738*'Methodology &amp; Assumptions'!$B$6)+(W738*'Methodology &amp; Assumptions'!$B$5)+(X738*'Methodology &amp; Assumptions'!$B$7), 2)</f>
        <v/>
      </c>
    </row>
    <row r="739" ht="19" customHeight="1">
      <c r="A739" s="35" t="n">
        <v>735</v>
      </c>
      <c r="B739" s="35" t="n">
        <v>2735</v>
      </c>
      <c r="C739" s="36" t="inlineStr">
        <is>
          <t>0405809008</t>
        </is>
      </c>
      <c r="D739" s="36" t="inlineStr">
        <is>
          <t>Region IV-A (CALABARZON)</t>
        </is>
      </c>
      <c r="E739" s="36" t="inlineStr">
        <is>
          <t>Rizal</t>
        </is>
      </c>
      <c r="F739" s="36" t="inlineStr">
        <is>
          <t>Morong</t>
        </is>
      </c>
      <c r="G739" s="36" t="inlineStr">
        <is>
          <t>San Pedro</t>
        </is>
      </c>
      <c r="H739" s="37" t="n">
        <v>14.508496</v>
      </c>
      <c r="I739" s="37" t="n">
        <v>121.236882</v>
      </c>
      <c r="J739" s="8" t="inlineStr">
        <is>
          <t>U</t>
        </is>
      </c>
      <c r="K739" s="36" t="inlineStr">
        <is>
          <t>Class 1-3 / Urban</t>
        </is>
      </c>
      <c r="L739" s="18" t="n">
        <v>6056</v>
      </c>
      <c r="M739" s="20" t="n">
        <v>4.39</v>
      </c>
      <c r="N739" s="18">
        <f>ROUND(L739/M739, 0)</f>
        <v/>
      </c>
      <c r="O739" s="18">
        <f>ROUND(N739*'Methodology &amp; Assumptions'!$B$8, 0)</f>
        <v/>
      </c>
      <c r="P739" s="8" t="inlineStr">
        <is>
          <t>Band n50 (1.5 GHz, 60 MHz)</t>
        </is>
      </c>
      <c r="Q739" s="38">
        <f>ROUNDUP(O739/'Methodology &amp; Assumptions'!$B$9, 0)</f>
        <v/>
      </c>
      <c r="R739" s="39" t="n">
        <v>1</v>
      </c>
      <c r="S739" s="21" t="n">
        <v>1.47</v>
      </c>
      <c r="T739" s="21" t="n">
        <v>0.21</v>
      </c>
      <c r="U739" s="36" t="inlineStr">
        <is>
          <t>Tier 1B (Micro Drop, 1-3 km)</t>
        </is>
      </c>
      <c r="V739" s="20" t="n">
        <v>71.3</v>
      </c>
      <c r="W739" s="20" t="n">
        <v>100</v>
      </c>
      <c r="X739" s="20" t="n">
        <v>28</v>
      </c>
      <c r="Y739" s="40">
        <f>ROUND((V739*'Methodology &amp; Assumptions'!$B$6)+(W739*'Methodology &amp; Assumptions'!$B$5)+(X739*'Methodology &amp; Assumptions'!$B$7), 2)</f>
        <v/>
      </c>
    </row>
    <row r="740" ht="19" customHeight="1">
      <c r="A740" s="41" t="n">
        <v>736</v>
      </c>
      <c r="B740" s="41" t="n">
        <v>2736</v>
      </c>
      <c r="C740" s="42" t="inlineStr">
        <is>
          <t>0403428015</t>
        </is>
      </c>
      <c r="D740" s="42" t="inlineStr">
        <is>
          <t>Region IV-A (CALABARZON)</t>
        </is>
      </c>
      <c r="E740" s="42" t="inlineStr">
        <is>
          <t>Laguna</t>
        </is>
      </c>
      <c r="F740" s="42" t="inlineStr">
        <is>
          <t>City of Santa Rosa</t>
        </is>
      </c>
      <c r="G740" s="42" t="inlineStr">
        <is>
          <t>Kanluran</t>
        </is>
      </c>
      <c r="H740" s="43" t="n">
        <v>14.313363</v>
      </c>
      <c r="I740" s="43" t="n">
        <v>121.107561</v>
      </c>
      <c r="J740" s="44" t="inlineStr">
        <is>
          <t>U</t>
        </is>
      </c>
      <c r="K740" s="42" t="inlineStr">
        <is>
          <t>Class 1-3 / Urban</t>
        </is>
      </c>
      <c r="L740" s="23" t="n">
        <v>4236</v>
      </c>
      <c r="M740" s="24" t="n">
        <v>4.2</v>
      </c>
      <c r="N740" s="23">
        <f>ROUND(L740/M740, 0)</f>
        <v/>
      </c>
      <c r="O740" s="23">
        <f>ROUND(N740*'Methodology &amp; Assumptions'!$B$8, 0)</f>
        <v/>
      </c>
      <c r="P740" s="44" t="inlineStr">
        <is>
          <t>Band n50 (1.5 GHz, 60 MHz)</t>
        </is>
      </c>
      <c r="Q740" s="38">
        <f>ROUNDUP(O740/'Methodology &amp; Assumptions'!$B$9, 0)</f>
        <v/>
      </c>
      <c r="R740" s="39" t="n">
        <v>1</v>
      </c>
      <c r="S740" s="25" t="n">
        <v>1.47</v>
      </c>
      <c r="T740" s="25" t="n">
        <v>0.82</v>
      </c>
      <c r="U740" s="42" t="inlineStr">
        <is>
          <t>Tier 1B (Micro Drop, 1-3 km)</t>
        </is>
      </c>
      <c r="V740" s="24" t="n">
        <v>71.2</v>
      </c>
      <c r="W740" s="24" t="n">
        <v>100</v>
      </c>
      <c r="X740" s="24" t="n">
        <v>28</v>
      </c>
      <c r="Y740" s="45">
        <f>ROUND((V740*'Methodology &amp; Assumptions'!$B$6)+(W740*'Methodology &amp; Assumptions'!$B$5)+(X740*'Methodology &amp; Assumptions'!$B$7), 2)</f>
        <v/>
      </c>
    </row>
    <row r="741" ht="19" customHeight="1">
      <c r="A741" s="35" t="n">
        <v>737</v>
      </c>
      <c r="B741" s="35" t="n">
        <v>2737</v>
      </c>
      <c r="C741" s="36" t="inlineStr">
        <is>
          <t>0300804050</t>
        </is>
      </c>
      <c r="D741" s="36" t="inlineStr">
        <is>
          <t>Region III (Central Luzon)</t>
        </is>
      </c>
      <c r="E741" s="36" t="inlineStr">
        <is>
          <t>Bataan</t>
        </is>
      </c>
      <c r="F741" s="36" t="inlineStr">
        <is>
          <t>Dinalupihan</t>
        </is>
      </c>
      <c r="G741" s="36" t="inlineStr">
        <is>
          <t>Jose C. Payumo, Jr.</t>
        </is>
      </c>
      <c r="H741" s="37" t="n">
        <v>14.867146</v>
      </c>
      <c r="I741" s="37" t="n">
        <v>120.433078</v>
      </c>
      <c r="J741" s="8" t="inlineStr">
        <is>
          <t>R</t>
        </is>
      </c>
      <c r="K741" s="36" t="inlineStr">
        <is>
          <t>Class 1-3 / Urban</t>
        </is>
      </c>
      <c r="L741" s="18" t="n">
        <v>3906</v>
      </c>
      <c r="M741" s="20" t="n">
        <v>4.57</v>
      </c>
      <c r="N741" s="18">
        <f>ROUND(L741/M741, 0)</f>
        <v/>
      </c>
      <c r="O741" s="18">
        <f>ROUND(N741*'Methodology &amp; Assumptions'!$B$8, 0)</f>
        <v/>
      </c>
      <c r="P741" s="8" t="inlineStr">
        <is>
          <t>Band n50 (1.5 GHz, 60 MHz)</t>
        </is>
      </c>
      <c r="Q741" s="38">
        <f>ROUNDUP(O741/'Methodology &amp; Assumptions'!$B$9, 0)</f>
        <v/>
      </c>
      <c r="R741" s="39" t="n">
        <v>1</v>
      </c>
      <c r="S741" s="21" t="n">
        <v>2.51</v>
      </c>
      <c r="T741" s="21" t="n">
        <v>1.01</v>
      </c>
      <c r="U741" s="36" t="inlineStr">
        <is>
          <t>Tier 1B (Micro Drop, 1-3 km)</t>
        </is>
      </c>
      <c r="V741" s="20" t="n">
        <v>53.3</v>
      </c>
      <c r="W741" s="20" t="n">
        <v>92.3</v>
      </c>
      <c r="X741" s="20" t="n">
        <v>58</v>
      </c>
      <c r="Y741" s="40">
        <f>ROUND((V741*'Methodology &amp; Assumptions'!$B$6)+(W741*'Methodology &amp; Assumptions'!$B$5)+(X741*'Methodology &amp; Assumptions'!$B$7), 2)</f>
        <v/>
      </c>
    </row>
    <row r="742" ht="19" customHeight="1">
      <c r="A742" s="41" t="n">
        <v>738</v>
      </c>
      <c r="B742" s="41" t="n">
        <v>2738</v>
      </c>
      <c r="C742" s="42" t="inlineStr">
        <is>
          <t>0304902022</t>
        </is>
      </c>
      <c r="D742" s="42" t="inlineStr">
        <is>
          <t>Region III (Central Luzon)</t>
        </is>
      </c>
      <c r="E742" s="42" t="inlineStr">
        <is>
          <t>Nueva Ecija</t>
        </is>
      </c>
      <c r="F742" s="42" t="inlineStr">
        <is>
          <t>Bongabon</t>
        </is>
      </c>
      <c r="G742" s="42" t="inlineStr">
        <is>
          <t>San Roque</t>
        </is>
      </c>
      <c r="H742" s="43" t="n">
        <v>15.637432</v>
      </c>
      <c r="I742" s="43" t="n">
        <v>121.149903</v>
      </c>
      <c r="J742" s="44" t="inlineStr">
        <is>
          <t>R</t>
        </is>
      </c>
      <c r="K742" s="42" t="inlineStr">
        <is>
          <t>Class 1-3 / Urban</t>
        </is>
      </c>
      <c r="L742" s="23" t="n">
        <v>2773</v>
      </c>
      <c r="M742" s="24" t="n">
        <v>4.32</v>
      </c>
      <c r="N742" s="23">
        <f>ROUND(L742/M742, 0)</f>
        <v/>
      </c>
      <c r="O742" s="23">
        <f>ROUND(N742*'Methodology &amp; Assumptions'!$B$8, 0)</f>
        <v/>
      </c>
      <c r="P742" s="44" t="inlineStr">
        <is>
          <t>Band n50 (1.5 GHz, 60 MHz)</t>
        </is>
      </c>
      <c r="Q742" s="38">
        <f>ROUNDUP(O742/'Methodology &amp; Assumptions'!$B$9, 0)</f>
        <v/>
      </c>
      <c r="R742" s="39" t="n">
        <v>1</v>
      </c>
      <c r="S742" s="25" t="n">
        <v>1.53</v>
      </c>
      <c r="T742" s="25" t="n">
        <v>0.72</v>
      </c>
      <c r="U742" s="42" t="inlineStr">
        <is>
          <t>Tier 1B (Micro Drop, 1-3 km)</t>
        </is>
      </c>
      <c r="V742" s="24" t="n">
        <v>70.09999999999999</v>
      </c>
      <c r="W742" s="24" t="n">
        <v>75.5</v>
      </c>
      <c r="X742" s="24" t="n">
        <v>58</v>
      </c>
      <c r="Y742" s="45">
        <f>ROUND((V742*'Methodology &amp; Assumptions'!$B$6)+(W742*'Methodology &amp; Assumptions'!$B$5)+(X742*'Methodology &amp; Assumptions'!$B$7), 2)</f>
        <v/>
      </c>
    </row>
    <row r="743" ht="19" customHeight="1">
      <c r="A743" s="35" t="n">
        <v>739</v>
      </c>
      <c r="B743" s="35" t="n">
        <v>2739</v>
      </c>
      <c r="C743" s="36" t="inlineStr">
        <is>
          <t>1004308047</t>
        </is>
      </c>
      <c r="D743" s="36" t="inlineStr">
        <is>
          <t>Region X (Northern Mindanao)</t>
        </is>
      </c>
      <c r="E743" s="36" t="inlineStr">
        <is>
          <t>Misamis Oriental</t>
        </is>
      </c>
      <c r="F743" s="36" t="inlineStr">
        <is>
          <t>City of Gingoog</t>
        </is>
      </c>
      <c r="G743" s="36" t="inlineStr">
        <is>
          <t>Barangay 22-A</t>
        </is>
      </c>
      <c r="H743" s="37" t="n">
        <v>8.8184</v>
      </c>
      <c r="I743" s="37" t="n">
        <v>125.10629</v>
      </c>
      <c r="J743" s="8" t="inlineStr">
        <is>
          <t>R</t>
        </is>
      </c>
      <c r="K743" s="36" t="inlineStr">
        <is>
          <t>Class 1-3 / Urban</t>
        </is>
      </c>
      <c r="L743" s="18" t="n">
        <v>1949</v>
      </c>
      <c r="M743" s="20" t="n">
        <v>4.54</v>
      </c>
      <c r="N743" s="18">
        <f>ROUND(L743/M743, 0)</f>
        <v/>
      </c>
      <c r="O743" s="18">
        <f>ROUND(N743*'Methodology &amp; Assumptions'!$B$8, 0)</f>
        <v/>
      </c>
      <c r="P743" s="8" t="inlineStr">
        <is>
          <t>Band n50 (1.5 GHz, 60 MHz)</t>
        </is>
      </c>
      <c r="Q743" s="38">
        <f>ROUNDUP(O743/'Methodology &amp; Assumptions'!$B$9, 0)</f>
        <v/>
      </c>
      <c r="R743" s="39" t="n">
        <v>1</v>
      </c>
      <c r="S743" s="21" t="n">
        <v>0.78</v>
      </c>
      <c r="T743" s="21" t="n">
        <v>0.72</v>
      </c>
      <c r="U743" s="36" t="inlineStr">
        <is>
          <t>Tier 1A (Direct Coloc, &lt;1 km)</t>
        </is>
      </c>
      <c r="V743" s="20" t="n">
        <v>87.09999999999999</v>
      </c>
      <c r="W743" s="20" t="n">
        <v>58.4</v>
      </c>
      <c r="X743" s="20" t="n">
        <v>58</v>
      </c>
      <c r="Y743" s="40">
        <f>ROUND((V743*'Methodology &amp; Assumptions'!$B$6)+(W743*'Methodology &amp; Assumptions'!$B$5)+(X743*'Methodology &amp; Assumptions'!$B$7), 2)</f>
        <v/>
      </c>
    </row>
    <row r="744" ht="19" customHeight="1">
      <c r="A744" s="41" t="n">
        <v>740</v>
      </c>
      <c r="B744" s="41" t="n">
        <v>2740</v>
      </c>
      <c r="C744" s="42" t="inlineStr">
        <is>
          <t>0806417044</t>
        </is>
      </c>
      <c r="D744" s="42" t="inlineStr">
        <is>
          <t>Region VIII (Eastern Visayas)</t>
        </is>
      </c>
      <c r="E744" s="42" t="inlineStr">
        <is>
          <t>Southern Leyte</t>
        </is>
      </c>
      <c r="F744" s="42" t="inlineStr">
        <is>
          <t>Sogod</t>
        </is>
      </c>
      <c r="G744" s="42" t="inlineStr">
        <is>
          <t>Tampoong</t>
        </is>
      </c>
      <c r="H744" s="43" t="n">
        <v>10.379182</v>
      </c>
      <c r="I744" s="43" t="n">
        <v>124.971039</v>
      </c>
      <c r="J744" s="44" t="inlineStr">
        <is>
          <t>R</t>
        </is>
      </c>
      <c r="K744" s="42" t="inlineStr">
        <is>
          <t>Class 1-3 / Urban</t>
        </is>
      </c>
      <c r="L744" s="23" t="n">
        <v>2100</v>
      </c>
      <c r="M744" s="24" t="n">
        <v>4.53</v>
      </c>
      <c r="N744" s="23">
        <f>ROUND(L744/M744, 0)</f>
        <v/>
      </c>
      <c r="O744" s="23">
        <f>ROUND(N744*'Methodology &amp; Assumptions'!$B$8, 0)</f>
        <v/>
      </c>
      <c r="P744" s="44" t="inlineStr">
        <is>
          <t>Band n50 (1.5 GHz, 60 MHz)</t>
        </is>
      </c>
      <c r="Q744" s="38">
        <f>ROUNDUP(O744/'Methodology &amp; Assumptions'!$B$9, 0)</f>
        <v/>
      </c>
      <c r="R744" s="39" t="n">
        <v>1</v>
      </c>
      <c r="S744" s="25" t="n">
        <v>1.46</v>
      </c>
      <c r="T744" s="25" t="n">
        <v>0.31</v>
      </c>
      <c r="U744" s="42" t="inlineStr">
        <is>
          <t>Tier 1B (Micro Drop, 1-3 km)</t>
        </is>
      </c>
      <c r="V744" s="24" t="n">
        <v>71.59999999999999</v>
      </c>
      <c r="W744" s="24" t="n">
        <v>61.1</v>
      </c>
      <c r="X744" s="24" t="n">
        <v>73</v>
      </c>
      <c r="Y744" s="45">
        <f>ROUND((V744*'Methodology &amp; Assumptions'!$B$6)+(W744*'Methodology &amp; Assumptions'!$B$5)+(X744*'Methodology &amp; Assumptions'!$B$7), 2)</f>
        <v/>
      </c>
    </row>
    <row r="745" ht="19" customHeight="1">
      <c r="A745" s="35" t="n">
        <v>741</v>
      </c>
      <c r="B745" s="35" t="n">
        <v>2741</v>
      </c>
      <c r="C745" s="36" t="inlineStr">
        <is>
          <t>0300806006</t>
        </is>
      </c>
      <c r="D745" s="36" t="inlineStr">
        <is>
          <t>Region III (Central Luzon)</t>
        </is>
      </c>
      <c r="E745" s="36" t="inlineStr">
        <is>
          <t>Bataan</t>
        </is>
      </c>
      <c r="F745" s="36" t="inlineStr">
        <is>
          <t>Limay</t>
        </is>
      </c>
      <c r="G745" s="36" t="inlineStr">
        <is>
          <t>Landing</t>
        </is>
      </c>
      <c r="H745" s="37" t="n">
        <v>14.559802</v>
      </c>
      <c r="I745" s="37" t="n">
        <v>120.598437</v>
      </c>
      <c r="J745" s="8" t="inlineStr">
        <is>
          <t>R</t>
        </is>
      </c>
      <c r="K745" s="36" t="inlineStr">
        <is>
          <t>Class 1-3 / Urban</t>
        </is>
      </c>
      <c r="L745" s="18" t="n">
        <v>3191</v>
      </c>
      <c r="M745" s="20" t="n">
        <v>4.57</v>
      </c>
      <c r="N745" s="18">
        <f>ROUND(L745/M745, 0)</f>
        <v/>
      </c>
      <c r="O745" s="18">
        <f>ROUND(N745*'Methodology &amp; Assumptions'!$B$8, 0)</f>
        <v/>
      </c>
      <c r="P745" s="8" t="inlineStr">
        <is>
          <t>Band n50 (1.5 GHz, 60 MHz)</t>
        </is>
      </c>
      <c r="Q745" s="38">
        <f>ROUNDUP(O745/'Methodology &amp; Assumptions'!$B$9, 0)</f>
        <v/>
      </c>
      <c r="R745" s="39" t="n">
        <v>1</v>
      </c>
      <c r="S745" s="21" t="n">
        <v>1.75</v>
      </c>
      <c r="T745" s="21" t="n">
        <v>0.34</v>
      </c>
      <c r="U745" s="36" t="inlineStr">
        <is>
          <t>Tier 1B (Micro Drop, 1-3 km)</t>
        </is>
      </c>
      <c r="V745" s="20" t="n">
        <v>65.7</v>
      </c>
      <c r="W745" s="20" t="n">
        <v>79.7</v>
      </c>
      <c r="X745" s="20" t="n">
        <v>58</v>
      </c>
      <c r="Y745" s="40">
        <f>ROUND((V745*'Methodology &amp; Assumptions'!$B$6)+(W745*'Methodology &amp; Assumptions'!$B$5)+(X745*'Methodology &amp; Assumptions'!$B$7), 2)</f>
        <v/>
      </c>
    </row>
    <row r="746" ht="19" customHeight="1">
      <c r="A746" s="41" t="n">
        <v>742</v>
      </c>
      <c r="B746" s="41" t="n">
        <v>2742</v>
      </c>
      <c r="C746" s="42" t="inlineStr">
        <is>
          <t>0103307037</t>
        </is>
      </c>
      <c r="D746" s="42" t="inlineStr">
        <is>
          <t>Region I (Ilocos Region)</t>
        </is>
      </c>
      <c r="E746" s="42" t="inlineStr">
        <is>
          <t>La Union</t>
        </is>
      </c>
      <c r="F746" s="42" t="inlineStr">
        <is>
          <t>Bauang</t>
        </is>
      </c>
      <c r="G746" s="42" t="inlineStr">
        <is>
          <t>Taberna</t>
        </is>
      </c>
      <c r="H746" s="43" t="n">
        <v>16.534847</v>
      </c>
      <c r="I746" s="43" t="n">
        <v>120.32002</v>
      </c>
      <c r="J746" s="44" t="inlineStr">
        <is>
          <t>R</t>
        </is>
      </c>
      <c r="K746" s="42" t="inlineStr">
        <is>
          <t>Class 1-3 / Urban</t>
        </is>
      </c>
      <c r="L746" s="23" t="n">
        <v>2106</v>
      </c>
      <c r="M746" s="24" t="n">
        <v>4.42</v>
      </c>
      <c r="N746" s="23">
        <f>ROUND(L746/M746, 0)</f>
        <v/>
      </c>
      <c r="O746" s="23">
        <f>ROUND(N746*'Methodology &amp; Assumptions'!$B$8, 0)</f>
        <v/>
      </c>
      <c r="P746" s="44" t="inlineStr">
        <is>
          <t>Band n50 (1.5 GHz, 60 MHz)</t>
        </is>
      </c>
      <c r="Q746" s="38">
        <f>ROUNDUP(O746/'Methodology &amp; Assumptions'!$B$9, 0)</f>
        <v/>
      </c>
      <c r="R746" s="39" t="n">
        <v>1</v>
      </c>
      <c r="S746" s="25" t="n">
        <v>0.93</v>
      </c>
      <c r="T746" s="25" t="n">
        <v>0.78</v>
      </c>
      <c r="U746" s="42" t="inlineStr">
        <is>
          <t>Tier 1A (Direct Coloc, &lt;1 km)</t>
        </is>
      </c>
      <c r="V746" s="24" t="n">
        <v>83.3</v>
      </c>
      <c r="W746" s="24" t="n">
        <v>62.1</v>
      </c>
      <c r="X746" s="24" t="n">
        <v>58</v>
      </c>
      <c r="Y746" s="45">
        <f>ROUND((V746*'Methodology &amp; Assumptions'!$B$6)+(W746*'Methodology &amp; Assumptions'!$B$5)+(X746*'Methodology &amp; Assumptions'!$B$7), 2)</f>
        <v/>
      </c>
    </row>
    <row r="747" ht="19" customHeight="1">
      <c r="A747" s="35" t="n">
        <v>743</v>
      </c>
      <c r="B747" s="35" t="n">
        <v>2743</v>
      </c>
      <c r="C747" s="36" t="inlineStr">
        <is>
          <t>1430300107</t>
        </is>
      </c>
      <c r="D747" s="36" t="inlineStr">
        <is>
          <t>Cordillera Administrative Region (CAR)</t>
        </is>
      </c>
      <c r="E747" s="36" t="inlineStr">
        <is>
          <t>Benguet</t>
        </is>
      </c>
      <c r="F747" s="36" t="inlineStr">
        <is>
          <t>City of Baguio</t>
        </is>
      </c>
      <c r="G747" s="36" t="inlineStr">
        <is>
          <t>Slaughter House Area</t>
        </is>
      </c>
      <c r="H747" s="37" t="n">
        <v>16.42013</v>
      </c>
      <c r="I747" s="37" t="n">
        <v>120.59496</v>
      </c>
      <c r="J747" s="8" t="inlineStr">
        <is>
          <t>R</t>
        </is>
      </c>
      <c r="K747" s="36" t="inlineStr">
        <is>
          <t>Class 1-3 / Urban</t>
        </is>
      </c>
      <c r="L747" s="18" t="n">
        <v>1952</v>
      </c>
      <c r="M747" s="20" t="n">
        <v>4.58</v>
      </c>
      <c r="N747" s="18">
        <f>ROUND(L747/M747, 0)</f>
        <v/>
      </c>
      <c r="O747" s="18">
        <f>ROUND(N747*'Methodology &amp; Assumptions'!$B$8, 0)</f>
        <v/>
      </c>
      <c r="P747" s="8" t="inlineStr">
        <is>
          <t>Band n50 (1.5 GHz, 60 MHz)</t>
        </is>
      </c>
      <c r="Q747" s="38">
        <f>ROUNDUP(O747/'Methodology &amp; Assumptions'!$B$9, 0)</f>
        <v/>
      </c>
      <c r="R747" s="39" t="n">
        <v>1</v>
      </c>
      <c r="S747" s="21" t="n">
        <v>0.62</v>
      </c>
      <c r="T747" s="21" t="n">
        <v>0.6899999999999999</v>
      </c>
      <c r="U747" s="36" t="inlineStr">
        <is>
          <t>Tier 1A (Direct Coloc, &lt;1 km)</t>
        </is>
      </c>
      <c r="V747" s="20" t="n">
        <v>91.40000000000001</v>
      </c>
      <c r="W747" s="20" t="n">
        <v>54.1</v>
      </c>
      <c r="X747" s="20" t="n">
        <v>58</v>
      </c>
      <c r="Y747" s="40">
        <f>ROUND((V747*'Methodology &amp; Assumptions'!$B$6)+(W747*'Methodology &amp; Assumptions'!$B$5)+(X747*'Methodology &amp; Assumptions'!$B$7), 2)</f>
        <v/>
      </c>
    </row>
    <row r="748" ht="19" customHeight="1">
      <c r="A748" s="41" t="n">
        <v>744</v>
      </c>
      <c r="B748" s="41" t="n">
        <v>2744</v>
      </c>
      <c r="C748" s="42" t="inlineStr">
        <is>
          <t>0300807016</t>
        </is>
      </c>
      <c r="D748" s="42" t="inlineStr">
        <is>
          <t>Region III (Central Luzon)</t>
        </is>
      </c>
      <c r="E748" s="42" t="inlineStr">
        <is>
          <t>Bataan</t>
        </is>
      </c>
      <c r="F748" s="42" t="inlineStr">
        <is>
          <t>Mariveles</t>
        </is>
      </c>
      <c r="G748" s="42" t="inlineStr">
        <is>
          <t>Ipag</t>
        </is>
      </c>
      <c r="H748" s="43" t="n">
        <v>14.430664</v>
      </c>
      <c r="I748" s="43" t="n">
        <v>120.481974</v>
      </c>
      <c r="J748" s="44" t="inlineStr">
        <is>
          <t>U</t>
        </is>
      </c>
      <c r="K748" s="42" t="inlineStr">
        <is>
          <t>Class 1-3 / Urban</t>
        </is>
      </c>
      <c r="L748" s="23" t="n">
        <v>11503</v>
      </c>
      <c r="M748" s="24" t="n">
        <v>4.57</v>
      </c>
      <c r="N748" s="23">
        <f>ROUND(L748/M748, 0)</f>
        <v/>
      </c>
      <c r="O748" s="23">
        <f>ROUND(N748*'Methodology &amp; Assumptions'!$B$8, 0)</f>
        <v/>
      </c>
      <c r="P748" s="44" t="inlineStr">
        <is>
          <t>Band n50 (1.5 GHz, 60 MHz)</t>
        </is>
      </c>
      <c r="Q748" s="38">
        <f>ROUNDUP(O748/'Methodology &amp; Assumptions'!$B$9, 0)</f>
        <v/>
      </c>
      <c r="R748" s="39" t="n">
        <v>1</v>
      </c>
      <c r="S748" s="25" t="n">
        <v>1.47</v>
      </c>
      <c r="T748" s="25" t="n">
        <v>0.29</v>
      </c>
      <c r="U748" s="42" t="inlineStr">
        <is>
          <t>Tier 1B (Micro Drop, 1-3 km)</t>
        </is>
      </c>
      <c r="V748" s="24" t="n">
        <v>71.2</v>
      </c>
      <c r="W748" s="24" t="n">
        <v>100</v>
      </c>
      <c r="X748" s="24" t="n">
        <v>28</v>
      </c>
      <c r="Y748" s="45">
        <f>ROUND((V748*'Methodology &amp; Assumptions'!$B$6)+(W748*'Methodology &amp; Assumptions'!$B$5)+(X748*'Methodology &amp; Assumptions'!$B$7), 2)</f>
        <v/>
      </c>
    </row>
    <row r="749" ht="19" customHeight="1">
      <c r="A749" s="35" t="n">
        <v>745</v>
      </c>
      <c r="B749" s="35" t="n">
        <v>2745</v>
      </c>
      <c r="C749" s="36" t="inlineStr">
        <is>
          <t>0300804021</t>
        </is>
      </c>
      <c r="D749" s="36" t="inlineStr">
        <is>
          <t>Region III (Central Luzon)</t>
        </is>
      </c>
      <c r="E749" s="36" t="inlineStr">
        <is>
          <t>Bataan</t>
        </is>
      </c>
      <c r="F749" s="36" t="inlineStr">
        <is>
          <t>Dinalupihan</t>
        </is>
      </c>
      <c r="G749" s="36" t="inlineStr">
        <is>
          <t>New San Jose</t>
        </is>
      </c>
      <c r="H749" s="37" t="n">
        <v>14.879416</v>
      </c>
      <c r="I749" s="37" t="n">
        <v>120.461834</v>
      </c>
      <c r="J749" s="8" t="inlineStr">
        <is>
          <t>U</t>
        </is>
      </c>
      <c r="K749" s="36" t="inlineStr">
        <is>
          <t>Class 1-3 / Urban</t>
        </is>
      </c>
      <c r="L749" s="18" t="n">
        <v>6646</v>
      </c>
      <c r="M749" s="20" t="n">
        <v>4.57</v>
      </c>
      <c r="N749" s="18">
        <f>ROUND(L749/M749, 0)</f>
        <v/>
      </c>
      <c r="O749" s="18">
        <f>ROUND(N749*'Methodology &amp; Assumptions'!$B$8, 0)</f>
        <v/>
      </c>
      <c r="P749" s="8" t="inlineStr">
        <is>
          <t>Band n50 (1.5 GHz, 60 MHz)</t>
        </is>
      </c>
      <c r="Q749" s="38">
        <f>ROUNDUP(O749/'Methodology &amp; Assumptions'!$B$9, 0)</f>
        <v/>
      </c>
      <c r="R749" s="39" t="n">
        <v>1</v>
      </c>
      <c r="S749" s="21" t="n">
        <v>1.47</v>
      </c>
      <c r="T749" s="21" t="n">
        <v>0.2</v>
      </c>
      <c r="U749" s="36" t="inlineStr">
        <is>
          <t>Tier 1B (Micro Drop, 1-3 km)</t>
        </is>
      </c>
      <c r="V749" s="20" t="n">
        <v>71.2</v>
      </c>
      <c r="W749" s="20" t="n">
        <v>100</v>
      </c>
      <c r="X749" s="20" t="n">
        <v>28</v>
      </c>
      <c r="Y749" s="40">
        <f>ROUND((V749*'Methodology &amp; Assumptions'!$B$6)+(W749*'Methodology &amp; Assumptions'!$B$5)+(X749*'Methodology &amp; Assumptions'!$B$7), 2)</f>
        <v/>
      </c>
    </row>
    <row r="750" ht="19" customHeight="1">
      <c r="A750" s="41" t="n">
        <v>746</v>
      </c>
      <c r="B750" s="41" t="n">
        <v>2746</v>
      </c>
      <c r="C750" s="42" t="inlineStr">
        <is>
          <t>0907322042</t>
        </is>
      </c>
      <c r="D750" s="42" t="inlineStr">
        <is>
          <t>Region IX (Zamboanga Peninsula)</t>
        </is>
      </c>
      <c r="E750" s="42" t="inlineStr">
        <is>
          <t>Zamboanga del Sur</t>
        </is>
      </c>
      <c r="F750" s="42" t="inlineStr">
        <is>
          <t>City of Pagadian</t>
        </is>
      </c>
      <c r="G750" s="42" t="inlineStr">
        <is>
          <t>Santa Lucia</t>
        </is>
      </c>
      <c r="H750" s="43" t="n">
        <v>7.818993</v>
      </c>
      <c r="I750" s="43" t="n">
        <v>123.433254</v>
      </c>
      <c r="J750" s="44" t="inlineStr">
        <is>
          <t>U</t>
        </is>
      </c>
      <c r="K750" s="42" t="inlineStr">
        <is>
          <t>Class 1-3 / Urban</t>
        </is>
      </c>
      <c r="L750" s="23" t="n">
        <v>5859</v>
      </c>
      <c r="M750" s="24" t="n">
        <v>4.61</v>
      </c>
      <c r="N750" s="23">
        <f>ROUND(L750/M750, 0)</f>
        <v/>
      </c>
      <c r="O750" s="23">
        <f>ROUND(N750*'Methodology &amp; Assumptions'!$B$8, 0)</f>
        <v/>
      </c>
      <c r="P750" s="44" t="inlineStr">
        <is>
          <t>Band n50 (1.5 GHz, 60 MHz)</t>
        </is>
      </c>
      <c r="Q750" s="38">
        <f>ROUNDUP(O750/'Methodology &amp; Assumptions'!$B$9, 0)</f>
        <v/>
      </c>
      <c r="R750" s="39" t="n">
        <v>1</v>
      </c>
      <c r="S750" s="25" t="n">
        <v>1.47</v>
      </c>
      <c r="T750" s="25" t="n">
        <v>0.84</v>
      </c>
      <c r="U750" s="42" t="inlineStr">
        <is>
          <t>Tier 1B (Micro Drop, 1-3 km)</t>
        </is>
      </c>
      <c r="V750" s="24" t="n">
        <v>71.2</v>
      </c>
      <c r="W750" s="24" t="n">
        <v>100</v>
      </c>
      <c r="X750" s="24" t="n">
        <v>28</v>
      </c>
      <c r="Y750" s="45">
        <f>ROUND((V750*'Methodology &amp; Assumptions'!$B$6)+(W750*'Methodology &amp; Assumptions'!$B$5)+(X750*'Methodology &amp; Assumptions'!$B$7), 2)</f>
        <v/>
      </c>
    </row>
    <row r="751" ht="19" customHeight="1">
      <c r="A751" s="35" t="n">
        <v>747</v>
      </c>
      <c r="B751" s="35" t="n">
        <v>2747</v>
      </c>
      <c r="C751" s="36" t="inlineStr">
        <is>
          <t>0500517003</t>
        </is>
      </c>
      <c r="D751" s="36" t="inlineStr">
        <is>
          <t>Region V (Bicol Region)</t>
        </is>
      </c>
      <c r="E751" s="36" t="inlineStr">
        <is>
          <t>Albay</t>
        </is>
      </c>
      <c r="F751" s="36" t="inlineStr">
        <is>
          <t>City of Tabaco</t>
        </is>
      </c>
      <c r="G751" s="36" t="inlineStr">
        <is>
          <t>Bangkilingan</t>
        </is>
      </c>
      <c r="H751" s="37" t="n">
        <v>13.357061</v>
      </c>
      <c r="I751" s="37" t="n">
        <v>123.718457</v>
      </c>
      <c r="J751" s="8" t="inlineStr">
        <is>
          <t>U</t>
        </is>
      </c>
      <c r="K751" s="36" t="inlineStr">
        <is>
          <t>Class 1-3 / Urban</t>
        </is>
      </c>
      <c r="L751" s="18" t="n">
        <v>4829</v>
      </c>
      <c r="M751" s="20" t="n">
        <v>4.67</v>
      </c>
      <c r="N751" s="18">
        <f>ROUND(L751/M751, 0)</f>
        <v/>
      </c>
      <c r="O751" s="18">
        <f>ROUND(N751*'Methodology &amp; Assumptions'!$B$8, 0)</f>
        <v/>
      </c>
      <c r="P751" s="8" t="inlineStr">
        <is>
          <t>Band n50 (1.5 GHz, 60 MHz)</t>
        </is>
      </c>
      <c r="Q751" s="38">
        <f>ROUNDUP(O751/'Methodology &amp; Assumptions'!$B$9, 0)</f>
        <v/>
      </c>
      <c r="R751" s="39" t="n">
        <v>1</v>
      </c>
      <c r="S751" s="21" t="n">
        <v>1.47</v>
      </c>
      <c r="T751" s="21" t="n">
        <v>0.28</v>
      </c>
      <c r="U751" s="36" t="inlineStr">
        <is>
          <t>Tier 1B (Micro Drop, 1-3 km)</t>
        </is>
      </c>
      <c r="V751" s="20" t="n">
        <v>71.2</v>
      </c>
      <c r="W751" s="20" t="n">
        <v>100</v>
      </c>
      <c r="X751" s="20" t="n">
        <v>28</v>
      </c>
      <c r="Y751" s="40">
        <f>ROUND((V751*'Methodology &amp; Assumptions'!$B$6)+(W751*'Methodology &amp; Assumptions'!$B$5)+(X751*'Methodology &amp; Assumptions'!$B$7), 2)</f>
        <v/>
      </c>
    </row>
    <row r="752" ht="19" customHeight="1">
      <c r="A752" s="41" t="n">
        <v>748</v>
      </c>
      <c r="B752" s="41" t="n">
        <v>2748</v>
      </c>
      <c r="C752" s="42" t="inlineStr">
        <is>
          <t>1230800007</t>
        </is>
      </c>
      <c r="D752" s="42" t="inlineStr">
        <is>
          <t>Region XII (SOCCSKSARGEN)</t>
        </is>
      </c>
      <c r="E752" s="42" t="inlineStr">
        <is>
          <t>South Cotabato</t>
        </is>
      </c>
      <c r="F752" s="42" t="inlineStr">
        <is>
          <t>City of General Santos</t>
        </is>
      </c>
      <c r="G752" s="42" t="inlineStr">
        <is>
          <t>Dadiangas East</t>
        </is>
      </c>
      <c r="H752" s="43" t="n">
        <v>6.11625</v>
      </c>
      <c r="I752" s="43" t="n">
        <v>125.176206</v>
      </c>
      <c r="J752" s="44" t="inlineStr">
        <is>
          <t>U</t>
        </is>
      </c>
      <c r="K752" s="42" t="inlineStr">
        <is>
          <t>Class 1-3 / Urban</t>
        </is>
      </c>
      <c r="L752" s="23" t="n">
        <v>3387</v>
      </c>
      <c r="M752" s="24" t="n">
        <v>4.1</v>
      </c>
      <c r="N752" s="23">
        <f>ROUND(L752/M752, 0)</f>
        <v/>
      </c>
      <c r="O752" s="23">
        <f>ROUND(N752*'Methodology &amp; Assumptions'!$B$8, 0)</f>
        <v/>
      </c>
      <c r="P752" s="44" t="inlineStr">
        <is>
          <t>Band n50 (1.5 GHz, 60 MHz)</t>
        </is>
      </c>
      <c r="Q752" s="38">
        <f>ROUNDUP(O752/'Methodology &amp; Assumptions'!$B$9, 0)</f>
        <v/>
      </c>
      <c r="R752" s="39" t="n">
        <v>1</v>
      </c>
      <c r="S752" s="25" t="n">
        <v>1.02</v>
      </c>
      <c r="T752" s="25" t="n">
        <v>0.35</v>
      </c>
      <c r="U752" s="42" t="inlineStr">
        <is>
          <t>Tier 1B (Micro Drop, 1-3 km)</t>
        </is>
      </c>
      <c r="V752" s="24" t="n">
        <v>81.09999999999999</v>
      </c>
      <c r="W752" s="24" t="n">
        <v>90.09999999999999</v>
      </c>
      <c r="X752" s="24" t="n">
        <v>28</v>
      </c>
      <c r="Y752" s="45">
        <f>ROUND((V752*'Methodology &amp; Assumptions'!$B$6)+(W752*'Methodology &amp; Assumptions'!$B$5)+(X752*'Methodology &amp; Assumptions'!$B$7), 2)</f>
        <v/>
      </c>
    </row>
    <row r="753" ht="19" customHeight="1">
      <c r="A753" s="35" t="n">
        <v>749</v>
      </c>
      <c r="B753" s="35" t="n">
        <v>2749</v>
      </c>
      <c r="C753" s="36" t="inlineStr">
        <is>
          <t>0300804040</t>
        </is>
      </c>
      <c r="D753" s="36" t="inlineStr">
        <is>
          <t>Region III (Central Luzon)</t>
        </is>
      </c>
      <c r="E753" s="36" t="inlineStr">
        <is>
          <t>Bataan</t>
        </is>
      </c>
      <c r="F753" s="36" t="inlineStr">
        <is>
          <t>Dinalupihan</t>
        </is>
      </c>
      <c r="G753" s="36" t="inlineStr">
        <is>
          <t>Santa Isabel</t>
        </is>
      </c>
      <c r="H753" s="37" t="n">
        <v>14.86194</v>
      </c>
      <c r="I753" s="37" t="n">
        <v>120.470811</v>
      </c>
      <c r="J753" s="8" t="inlineStr">
        <is>
          <t>U</t>
        </is>
      </c>
      <c r="K753" s="36" t="inlineStr">
        <is>
          <t>Class 1-3 / Urban</t>
        </is>
      </c>
      <c r="L753" s="18" t="n">
        <v>2699</v>
      </c>
      <c r="M753" s="20" t="n">
        <v>4.57</v>
      </c>
      <c r="N753" s="18">
        <f>ROUND(L753/M753, 0)</f>
        <v/>
      </c>
      <c r="O753" s="18">
        <f>ROUND(N753*'Methodology &amp; Assumptions'!$B$8, 0)</f>
        <v/>
      </c>
      <c r="P753" s="8" t="inlineStr">
        <is>
          <t>Band n50 (1.5 GHz, 60 MHz)</t>
        </is>
      </c>
      <c r="Q753" s="38">
        <f>ROUNDUP(O753/'Methodology &amp; Assumptions'!$B$9, 0)</f>
        <v/>
      </c>
      <c r="R753" s="39" t="n">
        <v>1</v>
      </c>
      <c r="S753" s="21" t="n">
        <v>0.31</v>
      </c>
      <c r="T753" s="21" t="n">
        <v>0.05</v>
      </c>
      <c r="U753" s="36" t="inlineStr">
        <is>
          <t>Tier 1A (Direct Coloc, &lt;1 km)</t>
        </is>
      </c>
      <c r="V753" s="20" t="n">
        <v>100</v>
      </c>
      <c r="W753" s="20" t="n">
        <v>71.2</v>
      </c>
      <c r="X753" s="20" t="n">
        <v>28</v>
      </c>
      <c r="Y753" s="40">
        <f>ROUND((V753*'Methodology &amp; Assumptions'!$B$6)+(W753*'Methodology &amp; Assumptions'!$B$5)+(X753*'Methodology &amp; Assumptions'!$B$7), 2)</f>
        <v/>
      </c>
    </row>
    <row r="754" ht="19" customHeight="1">
      <c r="A754" s="41" t="n">
        <v>750</v>
      </c>
      <c r="B754" s="41" t="n">
        <v>2750</v>
      </c>
      <c r="C754" s="42" t="inlineStr">
        <is>
          <t>0301406012</t>
        </is>
      </c>
      <c r="D754" s="42" t="inlineStr">
        <is>
          <t>Region III (Central Luzon)</t>
        </is>
      </c>
      <c r="E754" s="42" t="inlineStr">
        <is>
          <t>Bulacan</t>
        </is>
      </c>
      <c r="F754" s="42" t="inlineStr">
        <is>
          <t>Bustos</t>
        </is>
      </c>
      <c r="G754" s="42" t="inlineStr">
        <is>
          <t>Talampas</t>
        </is>
      </c>
      <c r="H754" s="43" t="n">
        <v>14.931136</v>
      </c>
      <c r="I754" s="43" t="n">
        <v>120.906161</v>
      </c>
      <c r="J754" s="44" t="inlineStr">
        <is>
          <t>R</t>
        </is>
      </c>
      <c r="K754" s="42" t="inlineStr">
        <is>
          <t>Class 1-3 / Urban</t>
        </is>
      </c>
      <c r="L754" s="23" t="n">
        <v>3637</v>
      </c>
      <c r="M754" s="24" t="n">
        <v>4.1</v>
      </c>
      <c r="N754" s="23">
        <f>ROUND(L754/M754, 0)</f>
        <v/>
      </c>
      <c r="O754" s="23">
        <f>ROUND(N754*'Methodology &amp; Assumptions'!$B$8, 0)</f>
        <v/>
      </c>
      <c r="P754" s="44" t="inlineStr">
        <is>
          <t>Band n50 (1.5 GHz, 60 MHz)</t>
        </is>
      </c>
      <c r="Q754" s="38">
        <f>ROUNDUP(O754/'Methodology &amp; Assumptions'!$B$9, 0)</f>
        <v/>
      </c>
      <c r="R754" s="39" t="n">
        <v>1</v>
      </c>
      <c r="S754" s="25" t="n">
        <v>2.71</v>
      </c>
      <c r="T754" s="25" t="n">
        <v>0.1</v>
      </c>
      <c r="U754" s="42" t="inlineStr">
        <is>
          <t>Tier 1B (Micro Drop, 1-3 km)</t>
        </is>
      </c>
      <c r="V754" s="24" t="n">
        <v>50.5</v>
      </c>
      <c r="W754" s="24" t="n">
        <v>94.90000000000001</v>
      </c>
      <c r="X754" s="24" t="n">
        <v>58</v>
      </c>
      <c r="Y754" s="45">
        <f>ROUND((V754*'Methodology &amp; Assumptions'!$B$6)+(W754*'Methodology &amp; Assumptions'!$B$5)+(X754*'Methodology &amp; Assumptions'!$B$7), 2)</f>
        <v/>
      </c>
    </row>
    <row r="755" ht="19" customHeight="1">
      <c r="A755" s="35" t="n">
        <v>751</v>
      </c>
      <c r="B755" s="35" t="n">
        <v>2751</v>
      </c>
      <c r="C755" s="36" t="inlineStr">
        <is>
          <t>0506209028</t>
        </is>
      </c>
      <c r="D755" s="36" t="inlineStr">
        <is>
          <t>Region V (Bicol Region)</t>
        </is>
      </c>
      <c r="E755" s="36" t="inlineStr">
        <is>
          <t>Sorsogon</t>
        </is>
      </c>
      <c r="F755" s="36" t="inlineStr">
        <is>
          <t>Irosin</t>
        </is>
      </c>
      <c r="G755" s="36" t="inlineStr">
        <is>
          <t>Tongdol</t>
        </is>
      </c>
      <c r="H755" s="37" t="n">
        <v>12.69987</v>
      </c>
      <c r="I755" s="37" t="n">
        <v>124.032965</v>
      </c>
      <c r="J755" s="8" t="inlineStr">
        <is>
          <t>R</t>
        </is>
      </c>
      <c r="K755" s="36" t="inlineStr">
        <is>
          <t>Class 1-3 / Urban</t>
        </is>
      </c>
      <c r="L755" s="18" t="n">
        <v>1354</v>
      </c>
      <c r="M755" s="20" t="n">
        <v>4.58</v>
      </c>
      <c r="N755" s="18">
        <f>ROUND(L755/M755, 0)</f>
        <v/>
      </c>
      <c r="O755" s="18">
        <f>ROUND(N755*'Methodology &amp; Assumptions'!$B$8, 0)</f>
        <v/>
      </c>
      <c r="P755" s="8" t="inlineStr">
        <is>
          <t>Band n50 (1.5 GHz, 60 MHz)</t>
        </is>
      </c>
      <c r="Q755" s="38">
        <f>ROUNDUP(O755/'Methodology &amp; Assumptions'!$B$9, 0)</f>
        <v/>
      </c>
      <c r="R755" s="39" t="n">
        <v>1</v>
      </c>
      <c r="S755" s="21" t="n">
        <v>0.39</v>
      </c>
      <c r="T755" s="21" t="n">
        <v>0.3</v>
      </c>
      <c r="U755" s="36" t="inlineStr">
        <is>
          <t>Tier 1A (Direct Coloc, &lt;1 km)</t>
        </is>
      </c>
      <c r="V755" s="20" t="n">
        <v>97.7</v>
      </c>
      <c r="W755" s="20" t="n">
        <v>47.7</v>
      </c>
      <c r="X755" s="20" t="n">
        <v>58</v>
      </c>
      <c r="Y755" s="40">
        <f>ROUND((V755*'Methodology &amp; Assumptions'!$B$6)+(W755*'Methodology &amp; Assumptions'!$B$5)+(X755*'Methodology &amp; Assumptions'!$B$7), 2)</f>
        <v/>
      </c>
    </row>
    <row r="756" ht="19" customHeight="1">
      <c r="A756" s="41" t="n">
        <v>752</v>
      </c>
      <c r="B756" s="41" t="n">
        <v>2752</v>
      </c>
      <c r="C756" s="42" t="inlineStr">
        <is>
          <t>0630200011</t>
        </is>
      </c>
      <c r="D756" s="42" t="inlineStr">
        <is>
          <t>Region VI (Western Visayas)</t>
        </is>
      </c>
      <c r="E756" s="42" t="inlineStr">
        <is>
          <t>Negros Occidental</t>
        </is>
      </c>
      <c r="F756" s="42" t="inlineStr">
        <is>
          <t>City of Bacolod</t>
        </is>
      </c>
      <c r="G756" s="42" t="inlineStr">
        <is>
          <t>Barangay 16</t>
        </is>
      </c>
      <c r="H756" s="43" t="n">
        <v>10.665758</v>
      </c>
      <c r="I756" s="43" t="n">
        <v>122.938861</v>
      </c>
      <c r="J756" s="44" t="inlineStr">
        <is>
          <t>U</t>
        </is>
      </c>
      <c r="K756" s="42" t="inlineStr">
        <is>
          <t>Class 1-3 / Urban</t>
        </is>
      </c>
      <c r="L756" s="23" t="n">
        <v>7568</v>
      </c>
      <c r="M756" s="24" t="n">
        <v>4.33</v>
      </c>
      <c r="N756" s="23">
        <f>ROUND(L756/M756, 0)</f>
        <v/>
      </c>
      <c r="O756" s="23">
        <f>ROUND(N756*'Methodology &amp; Assumptions'!$B$8, 0)</f>
        <v/>
      </c>
      <c r="P756" s="44" t="inlineStr">
        <is>
          <t>Band n50 (1.5 GHz, 60 MHz)</t>
        </is>
      </c>
      <c r="Q756" s="38">
        <f>ROUNDUP(O756/'Methodology &amp; Assumptions'!$B$9, 0)</f>
        <v/>
      </c>
      <c r="R756" s="39" t="n">
        <v>1</v>
      </c>
      <c r="S756" s="25" t="n">
        <v>1.48</v>
      </c>
      <c r="T756" s="25" t="n">
        <v>0.62</v>
      </c>
      <c r="U756" s="42" t="inlineStr">
        <is>
          <t>Tier 1B (Micro Drop, 1-3 km)</t>
        </is>
      </c>
      <c r="V756" s="24" t="n">
        <v>71.2</v>
      </c>
      <c r="W756" s="24" t="n">
        <v>100</v>
      </c>
      <c r="X756" s="24" t="n">
        <v>28</v>
      </c>
      <c r="Y756" s="45">
        <f>ROUND((V756*'Methodology &amp; Assumptions'!$B$6)+(W756*'Methodology &amp; Assumptions'!$B$5)+(X756*'Methodology &amp; Assumptions'!$B$7), 2)</f>
        <v/>
      </c>
    </row>
    <row r="757" ht="19" customHeight="1">
      <c r="A757" s="35" t="n">
        <v>753</v>
      </c>
      <c r="B757" s="35" t="n">
        <v>2753</v>
      </c>
      <c r="C757" s="36" t="inlineStr">
        <is>
          <t>0401019029</t>
        </is>
      </c>
      <c r="D757" s="36" t="inlineStr">
        <is>
          <t>Region IV-A (CALABARZON)</t>
        </is>
      </c>
      <c r="E757" s="36" t="inlineStr">
        <is>
          <t>Batangas</t>
        </is>
      </c>
      <c r="F757" s="36" t="inlineStr">
        <is>
          <t>Nasugbu</t>
        </is>
      </c>
      <c r="G757" s="36" t="inlineStr">
        <is>
          <t>Lumbangan</t>
        </is>
      </c>
      <c r="H757" s="37" t="n">
        <v>14.024631</v>
      </c>
      <c r="I757" s="37" t="n">
        <v>120.715106</v>
      </c>
      <c r="J757" s="8" t="inlineStr">
        <is>
          <t>U</t>
        </is>
      </c>
      <c r="K757" s="36" t="inlineStr">
        <is>
          <t>Class 1-3 / Urban</t>
        </is>
      </c>
      <c r="L757" s="18" t="n">
        <v>6233</v>
      </c>
      <c r="M757" s="20" t="n">
        <v>4.62</v>
      </c>
      <c r="N757" s="18">
        <f>ROUND(L757/M757, 0)</f>
        <v/>
      </c>
      <c r="O757" s="18">
        <f>ROUND(N757*'Methodology &amp; Assumptions'!$B$8, 0)</f>
        <v/>
      </c>
      <c r="P757" s="8" t="inlineStr">
        <is>
          <t>Band n50 (1.5 GHz, 60 MHz)</t>
        </is>
      </c>
      <c r="Q757" s="38">
        <f>ROUNDUP(O757/'Methodology &amp; Assumptions'!$B$9, 0)</f>
        <v/>
      </c>
      <c r="R757" s="39" t="n">
        <v>1</v>
      </c>
      <c r="S757" s="21" t="n">
        <v>1.47</v>
      </c>
      <c r="T757" s="21" t="n">
        <v>0.62</v>
      </c>
      <c r="U757" s="36" t="inlineStr">
        <is>
          <t>Tier 1B (Micro Drop, 1-3 km)</t>
        </is>
      </c>
      <c r="V757" s="20" t="n">
        <v>71.2</v>
      </c>
      <c r="W757" s="20" t="n">
        <v>100</v>
      </c>
      <c r="X757" s="20" t="n">
        <v>28</v>
      </c>
      <c r="Y757" s="40">
        <f>ROUND((V757*'Methodology &amp; Assumptions'!$B$6)+(W757*'Methodology &amp; Assumptions'!$B$5)+(X757*'Methodology &amp; Assumptions'!$B$7), 2)</f>
        <v/>
      </c>
    </row>
    <row r="758" ht="19" customHeight="1">
      <c r="A758" s="41" t="n">
        <v>754</v>
      </c>
      <c r="B758" s="41" t="n">
        <v>2754</v>
      </c>
      <c r="C758" s="42" t="inlineStr">
        <is>
          <t>0330100027</t>
        </is>
      </c>
      <c r="D758" s="42" t="inlineStr">
        <is>
          <t>Region III (Central Luzon)</t>
        </is>
      </c>
      <c r="E758" s="42" t="inlineStr">
        <is>
          <t>Pampanga</t>
        </is>
      </c>
      <c r="F758" s="42" t="inlineStr">
        <is>
          <t>City of Angeles</t>
        </is>
      </c>
      <c r="G758" s="42" t="inlineStr">
        <is>
          <t>Sto. Cristo</t>
        </is>
      </c>
      <c r="H758" s="43" t="n">
        <v>15.143173</v>
      </c>
      <c r="I758" s="43" t="n">
        <v>120.59906</v>
      </c>
      <c r="J758" s="44" t="inlineStr">
        <is>
          <t>U</t>
        </is>
      </c>
      <c r="K758" s="42" t="inlineStr">
        <is>
          <t>Class 1-3 / Urban</t>
        </is>
      </c>
      <c r="L758" s="23" t="n">
        <v>4060</v>
      </c>
      <c r="M758" s="24" t="n">
        <v>4.63</v>
      </c>
      <c r="N758" s="23">
        <f>ROUND(L758/M758, 0)</f>
        <v/>
      </c>
      <c r="O758" s="23">
        <f>ROUND(N758*'Methodology &amp; Assumptions'!$B$8, 0)</f>
        <v/>
      </c>
      <c r="P758" s="44" t="inlineStr">
        <is>
          <t>Band n50 (1.5 GHz, 60 MHz)</t>
        </is>
      </c>
      <c r="Q758" s="38">
        <f>ROUNDUP(O758/'Methodology &amp; Assumptions'!$B$9, 0)</f>
        <v/>
      </c>
      <c r="R758" s="39" t="n">
        <v>1</v>
      </c>
      <c r="S758" s="25" t="n">
        <v>1.2</v>
      </c>
      <c r="T758" s="25" t="n">
        <v>0.19</v>
      </c>
      <c r="U758" s="42" t="inlineStr">
        <is>
          <t>Tier 1B (Micro Drop, 1-3 km)</t>
        </is>
      </c>
      <c r="V758" s="24" t="n">
        <v>77</v>
      </c>
      <c r="W758" s="24" t="n">
        <v>94.09999999999999</v>
      </c>
      <c r="X758" s="24" t="n">
        <v>28</v>
      </c>
      <c r="Y758" s="45">
        <f>ROUND((V758*'Methodology &amp; Assumptions'!$B$6)+(W758*'Methodology &amp; Assumptions'!$B$5)+(X758*'Methodology &amp; Assumptions'!$B$7), 2)</f>
        <v/>
      </c>
    </row>
    <row r="759" ht="19" customHeight="1">
      <c r="A759" s="35" t="n">
        <v>755</v>
      </c>
      <c r="B759" s="35" t="n">
        <v>2755</v>
      </c>
      <c r="C759" s="36" t="inlineStr">
        <is>
          <t>0103316003</t>
        </is>
      </c>
      <c r="D759" s="36" t="inlineStr">
        <is>
          <t>Region I (Ilocos Region)</t>
        </is>
      </c>
      <c r="E759" s="36" t="inlineStr">
        <is>
          <t>La Union</t>
        </is>
      </c>
      <c r="F759" s="36" t="inlineStr">
        <is>
          <t>San Juan</t>
        </is>
      </c>
      <c r="G759" s="36" t="inlineStr">
        <is>
          <t>Bacsayan</t>
        </is>
      </c>
      <c r="H759" s="37" t="n">
        <v>16.679625</v>
      </c>
      <c r="I759" s="37" t="n">
        <v>120.394548</v>
      </c>
      <c r="J759" s="8" t="inlineStr">
        <is>
          <t>R</t>
        </is>
      </c>
      <c r="K759" s="36" t="inlineStr">
        <is>
          <t>Class 1-3 / Urban</t>
        </is>
      </c>
      <c r="L759" s="18" t="n">
        <v>926</v>
      </c>
      <c r="M759" s="20" t="n">
        <v>4.42</v>
      </c>
      <c r="N759" s="18">
        <f>ROUND(L759/M759, 0)</f>
        <v/>
      </c>
      <c r="O759" s="18">
        <f>ROUND(N759*'Methodology &amp; Assumptions'!$B$8, 0)</f>
        <v/>
      </c>
      <c r="P759" s="8" t="inlineStr">
        <is>
          <t>Band n50 (1.5 GHz, 60 MHz)</t>
        </is>
      </c>
      <c r="Q759" s="38">
        <f>ROUNDUP(O759/'Methodology &amp; Assumptions'!$B$9, 0)</f>
        <v/>
      </c>
      <c r="R759" s="39" t="n">
        <v>1</v>
      </c>
      <c r="S759" s="21" t="n">
        <v>0.26</v>
      </c>
      <c r="T759" s="21" t="n">
        <v>5.74</v>
      </c>
      <c r="U759" s="36" t="inlineStr">
        <is>
          <t>Tier 1A (Direct Coloc, &lt;1 km)</t>
        </is>
      </c>
      <c r="V759" s="20" t="n">
        <v>91.8</v>
      </c>
      <c r="W759" s="20" t="n">
        <v>40.8</v>
      </c>
      <c r="X759" s="20" t="n">
        <v>73</v>
      </c>
      <c r="Y759" s="40">
        <f>ROUND((V759*'Methodology &amp; Assumptions'!$B$6)+(W759*'Methodology &amp; Assumptions'!$B$5)+(X759*'Methodology &amp; Assumptions'!$B$7), 2)</f>
        <v/>
      </c>
    </row>
    <row r="760" ht="19" customHeight="1">
      <c r="A760" s="41" t="n">
        <v>756</v>
      </c>
      <c r="B760" s="41" t="n">
        <v>2756</v>
      </c>
      <c r="C760" s="42" t="inlineStr">
        <is>
          <t>1001320026</t>
        </is>
      </c>
      <c r="D760" s="42" t="inlineStr">
        <is>
          <t>Region X (Northern Mindanao)</t>
        </is>
      </c>
      <c r="E760" s="42" t="inlineStr">
        <is>
          <t>Bukidnon</t>
        </is>
      </c>
      <c r="F760" s="42" t="inlineStr">
        <is>
          <t>Talakag</t>
        </is>
      </c>
      <c r="G760" s="42" t="inlineStr">
        <is>
          <t>San Antonio</t>
        </is>
      </c>
      <c r="H760" s="43" t="n">
        <v>8.214290999999999</v>
      </c>
      <c r="I760" s="43" t="n">
        <v>124.606571</v>
      </c>
      <c r="J760" s="44" t="inlineStr">
        <is>
          <t>R</t>
        </is>
      </c>
      <c r="K760" s="42" t="inlineStr">
        <is>
          <t>Class 1-3 / Urban</t>
        </is>
      </c>
      <c r="L760" s="23" t="n">
        <v>4061</v>
      </c>
      <c r="M760" s="24" t="n">
        <v>4.63</v>
      </c>
      <c r="N760" s="23">
        <f>ROUND(L760/M760, 0)</f>
        <v/>
      </c>
      <c r="O760" s="23">
        <f>ROUND(N760*'Methodology &amp; Assumptions'!$B$8, 0)</f>
        <v/>
      </c>
      <c r="P760" s="44" t="inlineStr">
        <is>
          <t>Band n50 (1.5 GHz, 60 MHz)</t>
        </is>
      </c>
      <c r="Q760" s="38">
        <f>ROUNDUP(O760/'Methodology &amp; Assumptions'!$B$9, 0)</f>
        <v/>
      </c>
      <c r="R760" s="39" t="n">
        <v>1</v>
      </c>
      <c r="S760" s="25" t="n">
        <v>2.65</v>
      </c>
      <c r="T760" s="25" t="n">
        <v>1.47</v>
      </c>
      <c r="U760" s="42" t="inlineStr">
        <is>
          <t>Tier 1B (Micro Drop, 1-3 km)</t>
        </is>
      </c>
      <c r="V760" s="24" t="n">
        <v>51.3</v>
      </c>
      <c r="W760" s="24" t="n">
        <v>94.09999999999999</v>
      </c>
      <c r="X760" s="24" t="n">
        <v>58</v>
      </c>
      <c r="Y760" s="45">
        <f>ROUND((V760*'Methodology &amp; Assumptions'!$B$6)+(W760*'Methodology &amp; Assumptions'!$B$5)+(X760*'Methodology &amp; Assumptions'!$B$7), 2)</f>
        <v/>
      </c>
    </row>
    <row r="761" ht="19" customHeight="1">
      <c r="A761" s="35" t="n">
        <v>757</v>
      </c>
      <c r="B761" s="35" t="n">
        <v>2757</v>
      </c>
      <c r="C761" s="36" t="inlineStr">
        <is>
          <t>0405648002</t>
        </is>
      </c>
      <c r="D761" s="36" t="inlineStr">
        <is>
          <t>Region IV-A (CALABARZON)</t>
        </is>
      </c>
      <c r="E761" s="36" t="inlineStr">
        <is>
          <t>Quezon</t>
        </is>
      </c>
      <c r="F761" s="36" t="inlineStr">
        <is>
          <t>Tiaong</t>
        </is>
      </c>
      <c r="G761" s="36" t="inlineStr">
        <is>
          <t>Ayusan I</t>
        </is>
      </c>
      <c r="H761" s="37" t="n">
        <v>13.954069</v>
      </c>
      <c r="I761" s="37" t="n">
        <v>121.311286</v>
      </c>
      <c r="J761" s="8" t="inlineStr">
        <is>
          <t>R</t>
        </is>
      </c>
      <c r="K761" s="36" t="inlineStr">
        <is>
          <t>Class 1-3 / Urban</t>
        </is>
      </c>
      <c r="L761" s="18" t="n">
        <v>2712</v>
      </c>
      <c r="M761" s="20" t="n">
        <v>4.46</v>
      </c>
      <c r="N761" s="18">
        <f>ROUND(L761/M761, 0)</f>
        <v/>
      </c>
      <c r="O761" s="18">
        <f>ROUND(N761*'Methodology &amp; Assumptions'!$B$8, 0)</f>
        <v/>
      </c>
      <c r="P761" s="8" t="inlineStr">
        <is>
          <t>Band n50 (1.5 GHz, 60 MHz)</t>
        </is>
      </c>
      <c r="Q761" s="38">
        <f>ROUNDUP(O761/'Methodology &amp; Assumptions'!$B$9, 0)</f>
        <v/>
      </c>
      <c r="R761" s="39" t="n">
        <v>1</v>
      </c>
      <c r="S761" s="21" t="n">
        <v>1.39</v>
      </c>
      <c r="T761" s="21" t="n">
        <v>0.86</v>
      </c>
      <c r="U761" s="36" t="inlineStr">
        <is>
          <t>Tier 1B (Micro Drop, 1-3 km)</t>
        </is>
      </c>
      <c r="V761" s="20" t="n">
        <v>72.90000000000001</v>
      </c>
      <c r="W761" s="20" t="n">
        <v>72.5</v>
      </c>
      <c r="X761" s="20" t="n">
        <v>58</v>
      </c>
      <c r="Y761" s="40">
        <f>ROUND((V761*'Methodology &amp; Assumptions'!$B$6)+(W761*'Methodology &amp; Assumptions'!$B$5)+(X761*'Methodology &amp; Assumptions'!$B$7), 2)</f>
        <v/>
      </c>
    </row>
    <row r="762" ht="19" customHeight="1">
      <c r="A762" s="41" t="n">
        <v>758</v>
      </c>
      <c r="B762" s="41" t="n">
        <v>2758</v>
      </c>
      <c r="C762" s="42" t="inlineStr">
        <is>
          <t>0300803025</t>
        </is>
      </c>
      <c r="D762" s="42" t="inlineStr">
        <is>
          <t>Region III (Central Luzon)</t>
        </is>
      </c>
      <c r="E762" s="42" t="inlineStr">
        <is>
          <t>Bataan</t>
        </is>
      </c>
      <c r="F762" s="42" t="inlineStr">
        <is>
          <t>City of Balanga</t>
        </is>
      </c>
      <c r="G762" s="42" t="inlineStr">
        <is>
          <t>Cupang North</t>
        </is>
      </c>
      <c r="H762" s="43" t="n">
        <v>14.673092</v>
      </c>
      <c r="I762" s="43" t="n">
        <v>120.542862</v>
      </c>
      <c r="J762" s="44" t="inlineStr">
        <is>
          <t>R</t>
        </is>
      </c>
      <c r="K762" s="42" t="inlineStr">
        <is>
          <t>Class 1-3 / Urban</t>
        </is>
      </c>
      <c r="L762" s="23" t="n">
        <v>2543</v>
      </c>
      <c r="M762" s="24" t="n">
        <v>4.57</v>
      </c>
      <c r="N762" s="23">
        <f>ROUND(L762/M762, 0)</f>
        <v/>
      </c>
      <c r="O762" s="23">
        <f>ROUND(N762*'Methodology &amp; Assumptions'!$B$8, 0)</f>
        <v/>
      </c>
      <c r="P762" s="44" t="inlineStr">
        <is>
          <t>Band n50 (1.5 GHz, 60 MHz)</t>
        </is>
      </c>
      <c r="Q762" s="38">
        <f>ROUNDUP(O762/'Methodology &amp; Assumptions'!$B$9, 0)</f>
        <v/>
      </c>
      <c r="R762" s="39" t="n">
        <v>1</v>
      </c>
      <c r="S762" s="25" t="n">
        <v>1.21</v>
      </c>
      <c r="T762" s="25" t="n">
        <v>0.44</v>
      </c>
      <c r="U762" s="42" t="inlineStr">
        <is>
          <t>Tier 1B (Micro Drop, 1-3 km)</t>
        </is>
      </c>
      <c r="V762" s="24" t="n">
        <v>76.90000000000001</v>
      </c>
      <c r="W762" s="24" t="n">
        <v>68.5</v>
      </c>
      <c r="X762" s="24" t="n">
        <v>58</v>
      </c>
      <c r="Y762" s="45">
        <f>ROUND((V762*'Methodology &amp; Assumptions'!$B$6)+(W762*'Methodology &amp; Assumptions'!$B$5)+(X762*'Methodology &amp; Assumptions'!$B$7), 2)</f>
        <v/>
      </c>
    </row>
    <row r="763" ht="19" customHeight="1">
      <c r="A763" s="35" t="n">
        <v>759</v>
      </c>
      <c r="B763" s="35" t="n">
        <v>2759</v>
      </c>
      <c r="C763" s="36" t="inlineStr">
        <is>
          <t>1731500048</t>
        </is>
      </c>
      <c r="D763" s="36" t="inlineStr">
        <is>
          <t>MIMAROPA Region</t>
        </is>
      </c>
      <c r="E763" s="36" t="inlineStr">
        <is>
          <t>Palawan</t>
        </is>
      </c>
      <c r="F763" s="36" t="inlineStr">
        <is>
          <t>City of Puerto Princesa</t>
        </is>
      </c>
      <c r="G763" s="36" t="inlineStr">
        <is>
          <t>San Pedro</t>
        </is>
      </c>
      <c r="H763" s="37" t="n">
        <v>9.760138</v>
      </c>
      <c r="I763" s="37" t="n">
        <v>118.747191</v>
      </c>
      <c r="J763" s="8" t="inlineStr">
        <is>
          <t>U</t>
        </is>
      </c>
      <c r="K763" s="36" t="inlineStr">
        <is>
          <t>Class 1-3 / Urban</t>
        </is>
      </c>
      <c r="L763" s="18" t="n">
        <v>25909</v>
      </c>
      <c r="M763" s="20" t="n">
        <v>4.35</v>
      </c>
      <c r="N763" s="18">
        <f>ROUND(L763/M763, 0)</f>
        <v/>
      </c>
      <c r="O763" s="18">
        <f>ROUND(N763*'Methodology &amp; Assumptions'!$B$8, 0)</f>
        <v/>
      </c>
      <c r="P763" s="8" t="inlineStr">
        <is>
          <t>Band n50 (1.5 GHz, 60 MHz)</t>
        </is>
      </c>
      <c r="Q763" s="38">
        <f>ROUNDUP(O763/'Methodology &amp; Assumptions'!$B$9, 0)</f>
        <v/>
      </c>
      <c r="R763" s="39" t="n">
        <v>1</v>
      </c>
      <c r="S763" s="21" t="n">
        <v>1.31</v>
      </c>
      <c r="T763" s="21" t="n">
        <v>0.02</v>
      </c>
      <c r="U763" s="36" t="inlineStr">
        <is>
          <t>Tier 1B (Micro Drop, 1-3 km)</t>
        </is>
      </c>
      <c r="V763" s="20" t="n">
        <v>74.59999999999999</v>
      </c>
      <c r="W763" s="20" t="n">
        <v>96.5</v>
      </c>
      <c r="X763" s="20" t="n">
        <v>28</v>
      </c>
      <c r="Y763" s="40">
        <f>ROUND((V763*'Methodology &amp; Assumptions'!$B$6)+(W763*'Methodology &amp; Assumptions'!$B$5)+(X763*'Methodology &amp; Assumptions'!$B$7), 2)</f>
        <v/>
      </c>
    </row>
    <row r="764" ht="19" customHeight="1">
      <c r="A764" s="41" t="n">
        <v>760</v>
      </c>
      <c r="B764" s="41" t="n">
        <v>2760</v>
      </c>
      <c r="C764" s="42" t="inlineStr">
        <is>
          <t>1130700072</t>
        </is>
      </c>
      <c r="D764" s="42" t="inlineStr">
        <is>
          <t>Region XI (Davao Region)</t>
        </is>
      </c>
      <c r="E764" s="42" t="inlineStr">
        <is>
          <t>Davao del Sur</t>
        </is>
      </c>
      <c r="F764" s="42" t="inlineStr">
        <is>
          <t>City of Davao</t>
        </is>
      </c>
      <c r="G764" s="42" t="inlineStr">
        <is>
          <t>Marapangi</t>
        </is>
      </c>
      <c r="H764" s="43" t="n">
        <v>7.016242</v>
      </c>
      <c r="I764" s="43" t="n">
        <v>125.48725</v>
      </c>
      <c r="J764" s="44" t="inlineStr">
        <is>
          <t>U</t>
        </is>
      </c>
      <c r="K764" s="42" t="inlineStr">
        <is>
          <t>Class 1-3 / Urban</t>
        </is>
      </c>
      <c r="L764" s="23" t="n">
        <v>7961</v>
      </c>
      <c r="M764" s="24" t="n">
        <v>4.1</v>
      </c>
      <c r="N764" s="23">
        <f>ROUND(L764/M764, 0)</f>
        <v/>
      </c>
      <c r="O764" s="23">
        <f>ROUND(N764*'Methodology &amp; Assumptions'!$B$8, 0)</f>
        <v/>
      </c>
      <c r="P764" s="44" t="inlineStr">
        <is>
          <t>Band n50 (1.5 GHz, 60 MHz)</t>
        </is>
      </c>
      <c r="Q764" s="38">
        <f>ROUNDUP(O764/'Methodology &amp; Assumptions'!$B$9, 0)</f>
        <v/>
      </c>
      <c r="R764" s="39" t="n">
        <v>1</v>
      </c>
      <c r="S764" s="25" t="n">
        <v>1.48</v>
      </c>
      <c r="T764" s="25" t="n">
        <v>0.45</v>
      </c>
      <c r="U764" s="42" t="inlineStr">
        <is>
          <t>Tier 1B (Micro Drop, 1-3 km)</t>
        </is>
      </c>
      <c r="V764" s="24" t="n">
        <v>71.09999999999999</v>
      </c>
      <c r="W764" s="24" t="n">
        <v>100</v>
      </c>
      <c r="X764" s="24" t="n">
        <v>28</v>
      </c>
      <c r="Y764" s="45">
        <f>ROUND((V764*'Methodology &amp; Assumptions'!$B$6)+(W764*'Methodology &amp; Assumptions'!$B$5)+(X764*'Methodology &amp; Assumptions'!$B$7), 2)</f>
        <v/>
      </c>
    </row>
    <row r="765" ht="19" customHeight="1">
      <c r="A765" s="35" t="n">
        <v>761</v>
      </c>
      <c r="B765" s="35" t="n">
        <v>2761</v>
      </c>
      <c r="C765" s="36" t="inlineStr">
        <is>
          <t>0304930042</t>
        </is>
      </c>
      <c r="D765" s="36" t="inlineStr">
        <is>
          <t>Region III (Central Luzon)</t>
        </is>
      </c>
      <c r="E765" s="36" t="inlineStr">
        <is>
          <t>Nueva Ecija</t>
        </is>
      </c>
      <c r="F765" s="36" t="inlineStr">
        <is>
          <t>Talavera</t>
        </is>
      </c>
      <c r="G765" s="36" t="inlineStr">
        <is>
          <t>Pag-asa</t>
        </is>
      </c>
      <c r="H765" s="37" t="n">
        <v>15.588185</v>
      </c>
      <c r="I765" s="37" t="n">
        <v>120.931511</v>
      </c>
      <c r="J765" s="8" t="inlineStr">
        <is>
          <t>U</t>
        </is>
      </c>
      <c r="K765" s="36" t="inlineStr">
        <is>
          <t>Class 1-3 / Urban</t>
        </is>
      </c>
      <c r="L765" s="18" t="n">
        <v>5162</v>
      </c>
      <c r="M765" s="20" t="n">
        <v>4.32</v>
      </c>
      <c r="N765" s="18">
        <f>ROUND(L765/M765, 0)</f>
        <v/>
      </c>
      <c r="O765" s="18">
        <f>ROUND(N765*'Methodology &amp; Assumptions'!$B$8, 0)</f>
        <v/>
      </c>
      <c r="P765" s="8" t="inlineStr">
        <is>
          <t>Band n50 (1.5 GHz, 60 MHz)</t>
        </is>
      </c>
      <c r="Q765" s="38">
        <f>ROUNDUP(O765/'Methodology &amp; Assumptions'!$B$9, 0)</f>
        <v/>
      </c>
      <c r="R765" s="39" t="n">
        <v>1</v>
      </c>
      <c r="S765" s="21" t="n">
        <v>1.48</v>
      </c>
      <c r="T765" s="21" t="n">
        <v>1.28</v>
      </c>
      <c r="U765" s="36" t="inlineStr">
        <is>
          <t>Tier 1B (Micro Drop, 1-3 km)</t>
        </is>
      </c>
      <c r="V765" s="20" t="n">
        <v>71.09999999999999</v>
      </c>
      <c r="W765" s="20" t="n">
        <v>100</v>
      </c>
      <c r="X765" s="20" t="n">
        <v>28</v>
      </c>
      <c r="Y765" s="40">
        <f>ROUND((V765*'Methodology &amp; Assumptions'!$B$6)+(W765*'Methodology &amp; Assumptions'!$B$5)+(X765*'Methodology &amp; Assumptions'!$B$7), 2)</f>
        <v/>
      </c>
    </row>
    <row r="766" ht="19" customHeight="1">
      <c r="A766" s="41" t="n">
        <v>762</v>
      </c>
      <c r="B766" s="41" t="n">
        <v>2762</v>
      </c>
      <c r="C766" s="42" t="inlineStr">
        <is>
          <t>0403401008</t>
        </is>
      </c>
      <c r="D766" s="42" t="inlineStr">
        <is>
          <t>Region IV-A (CALABARZON)</t>
        </is>
      </c>
      <c r="E766" s="42" t="inlineStr">
        <is>
          <t>Laguna</t>
        </is>
      </c>
      <c r="F766" s="42" t="inlineStr">
        <is>
          <t>Alaminos</t>
        </is>
      </c>
      <c r="G766" s="42" t="inlineStr">
        <is>
          <t>San Andres</t>
        </is>
      </c>
      <c r="H766" s="43" t="n">
        <v>14.058916</v>
      </c>
      <c r="I766" s="43" t="n">
        <v>121.217874</v>
      </c>
      <c r="J766" s="44" t="inlineStr">
        <is>
          <t>R</t>
        </is>
      </c>
      <c r="K766" s="42" t="inlineStr">
        <is>
          <t>Class 1-3 / Urban</t>
        </is>
      </c>
      <c r="L766" s="23" t="n">
        <v>4473</v>
      </c>
      <c r="M766" s="24" t="n">
        <v>4.2</v>
      </c>
      <c r="N766" s="23">
        <f>ROUND(L766/M766, 0)</f>
        <v/>
      </c>
      <c r="O766" s="23">
        <f>ROUND(N766*'Methodology &amp; Assumptions'!$B$8, 0)</f>
        <v/>
      </c>
      <c r="P766" s="44" t="inlineStr">
        <is>
          <t>Band n50 (1.5 GHz, 60 MHz)</t>
        </is>
      </c>
      <c r="Q766" s="38">
        <f>ROUNDUP(O766/'Methodology &amp; Assumptions'!$B$9, 0)</f>
        <v/>
      </c>
      <c r="R766" s="39" t="n">
        <v>1</v>
      </c>
      <c r="S766" s="25" t="n">
        <v>4.47</v>
      </c>
      <c r="T766" s="25" t="n">
        <v>0.29</v>
      </c>
      <c r="U766" s="42" t="inlineStr">
        <is>
          <t>Tier 2 (Fiber Corridor / Lateral, 3-5 km)</t>
        </is>
      </c>
      <c r="V766" s="24" t="n">
        <v>32.5</v>
      </c>
      <c r="W766" s="24" t="n">
        <v>100</v>
      </c>
      <c r="X766" s="24" t="n">
        <v>73</v>
      </c>
      <c r="Y766" s="45">
        <f>ROUND((V766*'Methodology &amp; Assumptions'!$B$6)+(W766*'Methodology &amp; Assumptions'!$B$5)+(X766*'Methodology &amp; Assumptions'!$B$7), 2)</f>
        <v/>
      </c>
    </row>
    <row r="767" ht="19" customHeight="1">
      <c r="A767" s="35" t="n">
        <v>763</v>
      </c>
      <c r="B767" s="35" t="n">
        <v>2763</v>
      </c>
      <c r="C767" s="36" t="inlineStr">
        <is>
          <t>0304909005</t>
        </is>
      </c>
      <c r="D767" s="36" t="inlineStr">
        <is>
          <t>Region III (Central Luzon)</t>
        </is>
      </c>
      <c r="E767" s="36" t="inlineStr">
        <is>
          <t>Nueva Ecija</t>
        </is>
      </c>
      <c r="F767" s="36" t="inlineStr">
        <is>
          <t>General Mamerto Natividad</t>
        </is>
      </c>
      <c r="G767" s="36" t="inlineStr">
        <is>
          <t>Belen</t>
        </is>
      </c>
      <c r="H767" s="37" t="n">
        <v>15.581701</v>
      </c>
      <c r="I767" s="37" t="n">
        <v>121.049351</v>
      </c>
      <c r="J767" s="8" t="inlineStr">
        <is>
          <t>R</t>
        </is>
      </c>
      <c r="K767" s="36" t="inlineStr">
        <is>
          <t>2nd</t>
        </is>
      </c>
      <c r="L767" s="18" t="n">
        <v>2341</v>
      </c>
      <c r="M767" s="20" t="n">
        <v>4.15</v>
      </c>
      <c r="N767" s="18">
        <f>ROUND(L767/M767, 0)</f>
        <v/>
      </c>
      <c r="O767" s="18">
        <f>ROUND(N767*'Methodology &amp; Assumptions'!$B$8, 0)</f>
        <v/>
      </c>
      <c r="P767" s="8" t="inlineStr">
        <is>
          <t>Band n50 (1.5 GHz, 60 MHz)</t>
        </is>
      </c>
      <c r="Q767" s="38">
        <f>ROUNDUP(O767/'Methodology &amp; Assumptions'!$B$9, 0)</f>
        <v/>
      </c>
      <c r="R767" s="39" t="n">
        <v>1</v>
      </c>
      <c r="S767" s="21" t="n">
        <v>1.23</v>
      </c>
      <c r="T767" s="21" t="n">
        <v>1.91</v>
      </c>
      <c r="U767" s="36" t="inlineStr">
        <is>
          <t>Tier 1B (Micro Drop, 1-3 km)</t>
        </is>
      </c>
      <c r="V767" s="20" t="n">
        <v>76.3</v>
      </c>
      <c r="W767" s="20" t="n">
        <v>69.09999999999999</v>
      </c>
      <c r="X767" s="20" t="n">
        <v>58</v>
      </c>
      <c r="Y767" s="40">
        <f>ROUND((V767*'Methodology &amp; Assumptions'!$B$6)+(W767*'Methodology &amp; Assumptions'!$B$5)+(X767*'Methodology &amp; Assumptions'!$B$7), 2)</f>
        <v/>
      </c>
    </row>
    <row r="768" ht="19" customHeight="1">
      <c r="A768" s="41" t="n">
        <v>764</v>
      </c>
      <c r="B768" s="41" t="n">
        <v>2764</v>
      </c>
      <c r="C768" s="42" t="inlineStr">
        <is>
          <t>0105508007</t>
        </is>
      </c>
      <c r="D768" s="42" t="inlineStr">
        <is>
          <t>Region I (Ilocos Region)</t>
        </is>
      </c>
      <c r="E768" s="42" t="inlineStr">
        <is>
          <t>Pangasinan</t>
        </is>
      </c>
      <c r="F768" s="42" t="inlineStr">
        <is>
          <t>Bani</t>
        </is>
      </c>
      <c r="G768" s="42" t="inlineStr">
        <is>
          <t>Centro Toma</t>
        </is>
      </c>
      <c r="H768" s="43" t="n">
        <v>16.252389</v>
      </c>
      <c r="I768" s="43" t="n">
        <v>119.802454</v>
      </c>
      <c r="J768" s="44" t="inlineStr">
        <is>
          <t>R</t>
        </is>
      </c>
      <c r="K768" s="42" t="inlineStr">
        <is>
          <t>Class 1-3 / Urban</t>
        </is>
      </c>
      <c r="L768" s="23" t="n">
        <v>2231</v>
      </c>
      <c r="M768" s="24" t="n">
        <v>4.39</v>
      </c>
      <c r="N768" s="23">
        <f>ROUND(L768/M768, 0)</f>
        <v/>
      </c>
      <c r="O768" s="23">
        <f>ROUND(N768*'Methodology &amp; Assumptions'!$B$8, 0)</f>
        <v/>
      </c>
      <c r="P768" s="44" t="inlineStr">
        <is>
          <t>Band n50 (1.5 GHz, 60 MHz)</t>
        </is>
      </c>
      <c r="Q768" s="38">
        <f>ROUNDUP(O768/'Methodology &amp; Assumptions'!$B$9, 0)</f>
        <v/>
      </c>
      <c r="R768" s="39" t="n">
        <v>1</v>
      </c>
      <c r="S768" s="25" t="n">
        <v>0.64</v>
      </c>
      <c r="T768" s="25" t="n">
        <v>6.46</v>
      </c>
      <c r="U768" s="42" t="inlineStr">
        <is>
          <t>Tier 1A (Direct Coloc, &lt;1 km)</t>
        </is>
      </c>
      <c r="V768" s="24" t="n">
        <v>80.8</v>
      </c>
      <c r="W768" s="24" t="n">
        <v>64.5</v>
      </c>
      <c r="X768" s="24" t="n">
        <v>58</v>
      </c>
      <c r="Y768" s="45">
        <f>ROUND((V768*'Methodology &amp; Assumptions'!$B$6)+(W768*'Methodology &amp; Assumptions'!$B$5)+(X768*'Methodology &amp; Assumptions'!$B$7), 2)</f>
        <v/>
      </c>
    </row>
    <row r="769" ht="19" customHeight="1">
      <c r="A769" s="35" t="n">
        <v>765</v>
      </c>
      <c r="B769" s="35" t="n">
        <v>2765</v>
      </c>
      <c r="C769" s="36" t="inlineStr">
        <is>
          <t>0506210006</t>
        </is>
      </c>
      <c r="D769" s="36" t="inlineStr">
        <is>
          <t>Region V (Bicol Region)</t>
        </is>
      </c>
      <c r="E769" s="36" t="inlineStr">
        <is>
          <t>Sorsogon</t>
        </is>
      </c>
      <c r="F769" s="36" t="inlineStr">
        <is>
          <t>Juban</t>
        </is>
      </c>
      <c r="G769" s="36" t="inlineStr">
        <is>
          <t>Buraburan</t>
        </is>
      </c>
      <c r="H769" s="37" t="n">
        <v>12.783291</v>
      </c>
      <c r="I769" s="37" t="n">
        <v>123.994586</v>
      </c>
      <c r="J769" s="8" t="inlineStr">
        <is>
          <t>R</t>
        </is>
      </c>
      <c r="K769" s="36" t="inlineStr">
        <is>
          <t>2nd</t>
        </is>
      </c>
      <c r="L769" s="18" t="n">
        <v>2219</v>
      </c>
      <c r="M769" s="20" t="n">
        <v>4.84</v>
      </c>
      <c r="N769" s="18">
        <f>ROUND(L769/M769, 0)</f>
        <v/>
      </c>
      <c r="O769" s="18">
        <f>ROUND(N769*'Methodology &amp; Assumptions'!$B$8, 0)</f>
        <v/>
      </c>
      <c r="P769" s="8" t="inlineStr">
        <is>
          <t>Band n50 (1.5 GHz, 60 MHz)</t>
        </is>
      </c>
      <c r="Q769" s="38">
        <f>ROUNDUP(O769/'Methodology &amp; Assumptions'!$B$9, 0)</f>
        <v/>
      </c>
      <c r="R769" s="39" t="n">
        <v>1</v>
      </c>
      <c r="S769" s="21" t="n">
        <v>0.87</v>
      </c>
      <c r="T769" s="21" t="n">
        <v>0.12</v>
      </c>
      <c r="U769" s="36" t="inlineStr">
        <is>
          <t>Tier 1A (Direct Coloc, &lt;1 km)</t>
        </is>
      </c>
      <c r="V769" s="20" t="n">
        <v>84.8</v>
      </c>
      <c r="W769" s="20" t="n">
        <v>60.5</v>
      </c>
      <c r="X769" s="20" t="n">
        <v>58</v>
      </c>
      <c r="Y769" s="40">
        <f>ROUND((V769*'Methodology &amp; Assumptions'!$B$6)+(W769*'Methodology &amp; Assumptions'!$B$5)+(X769*'Methodology &amp; Assumptions'!$B$7), 2)</f>
        <v/>
      </c>
    </row>
    <row r="770" ht="19" customHeight="1">
      <c r="A770" s="41" t="n">
        <v>766</v>
      </c>
      <c r="B770" s="41" t="n">
        <v>2766</v>
      </c>
      <c r="C770" s="42" t="inlineStr">
        <is>
          <t>0102908015</t>
        </is>
      </c>
      <c r="D770" s="42" t="inlineStr">
        <is>
          <t>Region I (Ilocos Region)</t>
        </is>
      </c>
      <c r="E770" s="42" t="inlineStr">
        <is>
          <t>Ilocos Sur</t>
        </is>
      </c>
      <c r="F770" s="42" t="inlineStr">
        <is>
          <t>Cervantes</t>
        </is>
      </c>
      <c r="G770" s="42" t="inlineStr">
        <is>
          <t>San Juan</t>
        </is>
      </c>
      <c r="H770" s="43" t="n">
        <v>16.990875</v>
      </c>
      <c r="I770" s="43" t="n">
        <v>120.719052</v>
      </c>
      <c r="J770" s="44" t="inlineStr">
        <is>
          <t>R</t>
        </is>
      </c>
      <c r="K770" s="42" t="inlineStr">
        <is>
          <t>1st</t>
        </is>
      </c>
      <c r="L770" s="23" t="n">
        <v>2148</v>
      </c>
      <c r="M770" s="24" t="n">
        <v>4.65</v>
      </c>
      <c r="N770" s="23">
        <f>ROUND(L770/M770, 0)</f>
        <v/>
      </c>
      <c r="O770" s="23">
        <f>ROUND(N770*'Methodology &amp; Assumptions'!$B$8, 0)</f>
        <v/>
      </c>
      <c r="P770" s="44" t="inlineStr">
        <is>
          <t>Band n50 (1.5 GHz, 60 MHz)</t>
        </is>
      </c>
      <c r="Q770" s="38">
        <f>ROUNDUP(O770/'Methodology &amp; Assumptions'!$B$9, 0)</f>
        <v/>
      </c>
      <c r="R770" s="39" t="n">
        <v>1</v>
      </c>
      <c r="S770" s="25" t="n">
        <v>0.89</v>
      </c>
      <c r="T770" s="25" t="n">
        <v>1.08</v>
      </c>
      <c r="U770" s="42" t="inlineStr">
        <is>
          <t>Tier 1A (Direct Coloc, &lt;1 km)</t>
        </is>
      </c>
      <c r="V770" s="24" t="n">
        <v>84.3</v>
      </c>
      <c r="W770" s="24" t="n">
        <v>61.1</v>
      </c>
      <c r="X770" s="24" t="n">
        <v>58</v>
      </c>
      <c r="Y770" s="45">
        <f>ROUND((V770*'Methodology &amp; Assumptions'!$B$6)+(W770*'Methodology &amp; Assumptions'!$B$5)+(X770*'Methodology &amp; Assumptions'!$B$7), 2)</f>
        <v/>
      </c>
    </row>
    <row r="771" ht="19" customHeight="1">
      <c r="A771" s="35" t="n">
        <v>767</v>
      </c>
      <c r="B771" s="35" t="n">
        <v>2767</v>
      </c>
      <c r="C771" s="36" t="inlineStr">
        <is>
          <t>0105539018</t>
        </is>
      </c>
      <c r="D771" s="36" t="inlineStr">
        <is>
          <t>Region I (Ilocos Region)</t>
        </is>
      </c>
      <c r="E771" s="36" t="inlineStr">
        <is>
          <t>Pangasinan</t>
        </is>
      </c>
      <c r="F771" s="36" t="inlineStr">
        <is>
          <t>Santa Maria</t>
        </is>
      </c>
      <c r="G771" s="36" t="inlineStr">
        <is>
          <t>San Alejandro</t>
        </is>
      </c>
      <c r="H771" s="37" t="n">
        <v>15.976164</v>
      </c>
      <c r="I771" s="37" t="n">
        <v>120.699646</v>
      </c>
      <c r="J771" s="8" t="inlineStr">
        <is>
          <t>R</t>
        </is>
      </c>
      <c r="K771" s="36" t="inlineStr">
        <is>
          <t>2nd</t>
        </is>
      </c>
      <c r="L771" s="18" t="n">
        <v>2105</v>
      </c>
      <c r="M771" s="20" t="n">
        <v>4.41</v>
      </c>
      <c r="N771" s="18">
        <f>ROUND(L771/M771, 0)</f>
        <v/>
      </c>
      <c r="O771" s="18">
        <f>ROUND(N771*'Methodology &amp; Assumptions'!$B$8, 0)</f>
        <v/>
      </c>
      <c r="P771" s="8" t="inlineStr">
        <is>
          <t>Band n50 (1.5 GHz, 60 MHz)</t>
        </is>
      </c>
      <c r="Q771" s="38">
        <f>ROUNDUP(O771/'Methodology &amp; Assumptions'!$B$9, 0)</f>
        <v/>
      </c>
      <c r="R771" s="39" t="n">
        <v>1</v>
      </c>
      <c r="S771" s="21" t="n">
        <v>0.93</v>
      </c>
      <c r="T771" s="21" t="n">
        <v>0.6899999999999999</v>
      </c>
      <c r="U771" s="36" t="inlineStr">
        <is>
          <t>Tier 1A (Direct Coloc, &lt;1 km)</t>
        </is>
      </c>
      <c r="V771" s="20" t="n">
        <v>83.2</v>
      </c>
      <c r="W771" s="20" t="n">
        <v>62.1</v>
      </c>
      <c r="X771" s="20" t="n">
        <v>58</v>
      </c>
      <c r="Y771" s="40">
        <f>ROUND((V771*'Methodology &amp; Assumptions'!$B$6)+(W771*'Methodology &amp; Assumptions'!$B$5)+(X771*'Methodology &amp; Assumptions'!$B$7), 2)</f>
        <v/>
      </c>
    </row>
    <row r="772" ht="19" customHeight="1">
      <c r="A772" s="41" t="n">
        <v>768</v>
      </c>
      <c r="B772" s="41" t="n">
        <v>2768</v>
      </c>
      <c r="C772" s="42" t="inlineStr">
        <is>
          <t>0305421006</t>
        </is>
      </c>
      <c r="D772" s="42" t="inlineStr">
        <is>
          <t>Region III (Central Luzon)</t>
        </is>
      </c>
      <c r="E772" s="42" t="inlineStr">
        <is>
          <t>Pampanga</t>
        </is>
      </c>
      <c r="F772" s="42" t="inlineStr">
        <is>
          <t>Sto. Tomas</t>
        </is>
      </c>
      <c r="G772" s="42" t="inlineStr">
        <is>
          <t>San Matias</t>
        </is>
      </c>
      <c r="H772" s="43" t="n">
        <v>15.045171</v>
      </c>
      <c r="I772" s="43" t="n">
        <v>120.659894</v>
      </c>
      <c r="J772" s="44" t="inlineStr">
        <is>
          <t>U</t>
        </is>
      </c>
      <c r="K772" s="42" t="inlineStr">
        <is>
          <t>Class 1-3 / Urban</t>
        </is>
      </c>
      <c r="L772" s="23" t="n">
        <v>13769</v>
      </c>
      <c r="M772" s="24" t="n">
        <v>4.63</v>
      </c>
      <c r="N772" s="23">
        <f>ROUND(L772/M772, 0)</f>
        <v/>
      </c>
      <c r="O772" s="23">
        <f>ROUND(N772*'Methodology &amp; Assumptions'!$B$8, 0)</f>
        <v/>
      </c>
      <c r="P772" s="44" t="inlineStr">
        <is>
          <t>Band n50 (1.5 GHz, 60 MHz)</t>
        </is>
      </c>
      <c r="Q772" s="38">
        <f>ROUNDUP(O772/'Methodology &amp; Assumptions'!$B$9, 0)</f>
        <v/>
      </c>
      <c r="R772" s="39" t="n">
        <v>1</v>
      </c>
      <c r="S772" s="25" t="n">
        <v>2.19</v>
      </c>
      <c r="T772" s="25" t="n">
        <v>0.78</v>
      </c>
      <c r="U772" s="42" t="inlineStr">
        <is>
          <t>Tier 1B (Micro Drop, 1-3 km)</t>
        </is>
      </c>
      <c r="V772" s="24" t="n">
        <v>58.2</v>
      </c>
      <c r="W772" s="24" t="n">
        <v>100</v>
      </c>
      <c r="X772" s="24" t="n">
        <v>43</v>
      </c>
      <c r="Y772" s="45">
        <f>ROUND((V772*'Methodology &amp; Assumptions'!$B$6)+(W772*'Methodology &amp; Assumptions'!$B$5)+(X772*'Methodology &amp; Assumptions'!$B$7), 2)</f>
        <v/>
      </c>
    </row>
    <row r="773" ht="19" customHeight="1">
      <c r="A773" s="35" t="n">
        <v>769</v>
      </c>
      <c r="B773" s="35" t="n">
        <v>2769</v>
      </c>
      <c r="C773" s="36" t="inlineStr">
        <is>
          <t>0305421007</t>
        </is>
      </c>
      <c r="D773" s="36" t="inlineStr">
        <is>
          <t>Region III (Central Luzon)</t>
        </is>
      </c>
      <c r="E773" s="36" t="inlineStr">
        <is>
          <t>Pampanga</t>
        </is>
      </c>
      <c r="F773" s="36" t="inlineStr">
        <is>
          <t>Sto. Tomas</t>
        </is>
      </c>
      <c r="G773" s="36" t="inlineStr">
        <is>
          <t>San Vicente</t>
        </is>
      </c>
      <c r="H773" s="37" t="n">
        <v>15.045171</v>
      </c>
      <c r="I773" s="37" t="n">
        <v>120.659894</v>
      </c>
      <c r="J773" s="8" t="inlineStr">
        <is>
          <t>U</t>
        </is>
      </c>
      <c r="K773" s="36" t="inlineStr">
        <is>
          <t>Class 1-3 / Urban</t>
        </is>
      </c>
      <c r="L773" s="18" t="n">
        <v>10048</v>
      </c>
      <c r="M773" s="20" t="n">
        <v>4.63</v>
      </c>
      <c r="N773" s="18">
        <f>ROUND(L773/M773, 0)</f>
        <v/>
      </c>
      <c r="O773" s="18">
        <f>ROUND(N773*'Methodology &amp; Assumptions'!$B$8, 0)</f>
        <v/>
      </c>
      <c r="P773" s="8" t="inlineStr">
        <is>
          <t>Band n50 (1.5 GHz, 60 MHz)</t>
        </is>
      </c>
      <c r="Q773" s="38">
        <f>ROUNDUP(O773/'Methodology &amp; Assumptions'!$B$9, 0)</f>
        <v/>
      </c>
      <c r="R773" s="39" t="n">
        <v>1</v>
      </c>
      <c r="S773" s="21" t="n">
        <v>2.19</v>
      </c>
      <c r="T773" s="21" t="n">
        <v>0.78</v>
      </c>
      <c r="U773" s="36" t="inlineStr">
        <is>
          <t>Tier 1B (Micro Drop, 1-3 km)</t>
        </is>
      </c>
      <c r="V773" s="20" t="n">
        <v>58.2</v>
      </c>
      <c r="W773" s="20" t="n">
        <v>100</v>
      </c>
      <c r="X773" s="20" t="n">
        <v>43</v>
      </c>
      <c r="Y773" s="40">
        <f>ROUND((V773*'Methodology &amp; Assumptions'!$B$6)+(W773*'Methodology &amp; Assumptions'!$B$5)+(X773*'Methodology &amp; Assumptions'!$B$7), 2)</f>
        <v/>
      </c>
    </row>
    <row r="774" ht="19" customHeight="1">
      <c r="A774" s="41" t="n">
        <v>770</v>
      </c>
      <c r="B774" s="41" t="n">
        <v>2770</v>
      </c>
      <c r="C774" s="42" t="inlineStr">
        <is>
          <t>0305421002</t>
        </is>
      </c>
      <c r="D774" s="42" t="inlineStr">
        <is>
          <t>Region III (Central Luzon)</t>
        </is>
      </c>
      <c r="E774" s="42" t="inlineStr">
        <is>
          <t>Pampanga</t>
        </is>
      </c>
      <c r="F774" s="42" t="inlineStr">
        <is>
          <t>Sto. Tomas</t>
        </is>
      </c>
      <c r="G774" s="42" t="inlineStr">
        <is>
          <t>Moras De La Paz</t>
        </is>
      </c>
      <c r="H774" s="43" t="n">
        <v>15.045171</v>
      </c>
      <c r="I774" s="43" t="n">
        <v>120.659894</v>
      </c>
      <c r="J774" s="44" t="inlineStr">
        <is>
          <t>U</t>
        </is>
      </c>
      <c r="K774" s="42" t="inlineStr">
        <is>
          <t>Class 1-3 / Urban</t>
        </is>
      </c>
      <c r="L774" s="23" t="n">
        <v>5488</v>
      </c>
      <c r="M774" s="24" t="n">
        <v>4.63</v>
      </c>
      <c r="N774" s="23">
        <f>ROUND(L774/M774, 0)</f>
        <v/>
      </c>
      <c r="O774" s="23">
        <f>ROUND(N774*'Methodology &amp; Assumptions'!$B$8, 0)</f>
        <v/>
      </c>
      <c r="P774" s="44" t="inlineStr">
        <is>
          <t>Band n50 (1.5 GHz, 60 MHz)</t>
        </is>
      </c>
      <c r="Q774" s="38">
        <f>ROUNDUP(O774/'Methodology &amp; Assumptions'!$B$9, 0)</f>
        <v/>
      </c>
      <c r="R774" s="39" t="n">
        <v>1</v>
      </c>
      <c r="S774" s="25" t="n">
        <v>2.19</v>
      </c>
      <c r="T774" s="25" t="n">
        <v>0.78</v>
      </c>
      <c r="U774" s="42" t="inlineStr">
        <is>
          <t>Tier 1B (Micro Drop, 1-3 km)</t>
        </is>
      </c>
      <c r="V774" s="24" t="n">
        <v>58.2</v>
      </c>
      <c r="W774" s="24" t="n">
        <v>100</v>
      </c>
      <c r="X774" s="24" t="n">
        <v>43</v>
      </c>
      <c r="Y774" s="45">
        <f>ROUND((V774*'Methodology &amp; Assumptions'!$B$6)+(W774*'Methodology &amp; Assumptions'!$B$5)+(X774*'Methodology &amp; Assumptions'!$B$7), 2)</f>
        <v/>
      </c>
    </row>
    <row r="775" ht="19" customHeight="1">
      <c r="A775" s="35" t="n">
        <v>771</v>
      </c>
      <c r="B775" s="35" t="n">
        <v>2771</v>
      </c>
      <c r="C775" s="36" t="inlineStr">
        <is>
          <t>0403419014</t>
        </is>
      </c>
      <c r="D775" s="36" t="inlineStr">
        <is>
          <t>Region IV-A (CALABARZON)</t>
        </is>
      </c>
      <c r="E775" s="36" t="inlineStr">
        <is>
          <t>Laguna</t>
        </is>
      </c>
      <c r="F775" s="36" t="inlineStr">
        <is>
          <t>Pagsanjan</t>
        </is>
      </c>
      <c r="G775" s="36" t="inlineStr">
        <is>
          <t>Sabang</t>
        </is>
      </c>
      <c r="H775" s="37" t="n">
        <v>14.253944</v>
      </c>
      <c r="I775" s="37" t="n">
        <v>121.435207</v>
      </c>
      <c r="J775" s="8" t="inlineStr">
        <is>
          <t>R</t>
        </is>
      </c>
      <c r="K775" s="36" t="inlineStr">
        <is>
          <t>Class 1-3 / Urban</t>
        </is>
      </c>
      <c r="L775" s="18" t="n">
        <v>3731</v>
      </c>
      <c r="M775" s="20" t="n">
        <v>4.2</v>
      </c>
      <c r="N775" s="18">
        <f>ROUND(L775/M775, 0)</f>
        <v/>
      </c>
      <c r="O775" s="18">
        <f>ROUND(N775*'Methodology &amp; Assumptions'!$B$8, 0)</f>
        <v/>
      </c>
      <c r="P775" s="8" t="inlineStr">
        <is>
          <t>Band n50 (1.5 GHz, 60 MHz)</t>
        </is>
      </c>
      <c r="Q775" s="38">
        <f>ROUNDUP(O775/'Methodology &amp; Assumptions'!$B$9, 0)</f>
        <v/>
      </c>
      <c r="R775" s="39" t="n">
        <v>1</v>
      </c>
      <c r="S775" s="21" t="n">
        <v>2.72</v>
      </c>
      <c r="T775" s="21" t="n">
        <v>0.01</v>
      </c>
      <c r="U775" s="36" t="inlineStr">
        <is>
          <t>Tier 1B (Micro Drop, 1-3 km)</t>
        </is>
      </c>
      <c r="V775" s="20" t="n">
        <v>50.4</v>
      </c>
      <c r="W775" s="20" t="n">
        <v>94.90000000000001</v>
      </c>
      <c r="X775" s="20" t="n">
        <v>58</v>
      </c>
      <c r="Y775" s="40">
        <f>ROUND((V775*'Methodology &amp; Assumptions'!$B$6)+(W775*'Methodology &amp; Assumptions'!$B$5)+(X775*'Methodology &amp; Assumptions'!$B$7), 2)</f>
        <v/>
      </c>
    </row>
    <row r="776" ht="19" customHeight="1">
      <c r="A776" s="41" t="n">
        <v>772</v>
      </c>
      <c r="B776" s="41" t="n">
        <v>2772</v>
      </c>
      <c r="C776" s="42" t="inlineStr">
        <is>
          <t>0405618032</t>
        </is>
      </c>
      <c r="D776" s="42" t="inlineStr">
        <is>
          <t>Region IV-A (CALABARZON)</t>
        </is>
      </c>
      <c r="E776" s="42" t="inlineStr">
        <is>
          <t>Quezon</t>
        </is>
      </c>
      <c r="F776" s="42" t="inlineStr">
        <is>
          <t>Guinayangan</t>
        </is>
      </c>
      <c r="G776" s="42" t="inlineStr">
        <is>
          <t>Manggagawa</t>
        </is>
      </c>
      <c r="H776" s="43" t="n">
        <v>13.892823</v>
      </c>
      <c r="I776" s="43" t="n">
        <v>122.455749</v>
      </c>
      <c r="J776" s="44" t="inlineStr">
        <is>
          <t>R</t>
        </is>
      </c>
      <c r="K776" s="42" t="inlineStr">
        <is>
          <t>Class 1-3 / Urban</t>
        </is>
      </c>
      <c r="L776" s="23" t="n">
        <v>3129</v>
      </c>
      <c r="M776" s="24" t="n">
        <v>4.46</v>
      </c>
      <c r="N776" s="23">
        <f>ROUND(L776/M776, 0)</f>
        <v/>
      </c>
      <c r="O776" s="23">
        <f>ROUND(N776*'Methodology &amp; Assumptions'!$B$8, 0)</f>
        <v/>
      </c>
      <c r="P776" s="44" t="inlineStr">
        <is>
          <t>Band n50 (1.5 GHz, 60 MHz)</t>
        </is>
      </c>
      <c r="Q776" s="38">
        <f>ROUNDUP(O776/'Methodology &amp; Assumptions'!$B$9, 0)</f>
        <v/>
      </c>
      <c r="R776" s="39" t="n">
        <v>1</v>
      </c>
      <c r="S776" s="25" t="n">
        <v>1.29</v>
      </c>
      <c r="T776" s="25" t="n">
        <v>11.87</v>
      </c>
      <c r="U776" s="42" t="inlineStr">
        <is>
          <t>Tier 1B (Micro Drop, 1-3 km)</t>
        </is>
      </c>
      <c r="V776" s="24" t="n">
        <v>65.09999999999999</v>
      </c>
      <c r="W776" s="24" t="n">
        <v>80.3</v>
      </c>
      <c r="X776" s="24" t="n">
        <v>58</v>
      </c>
      <c r="Y776" s="45">
        <f>ROUND((V776*'Methodology &amp; Assumptions'!$B$6)+(W776*'Methodology &amp; Assumptions'!$B$5)+(X776*'Methodology &amp; Assumptions'!$B$7), 2)</f>
        <v/>
      </c>
    </row>
    <row r="777" ht="19" customHeight="1">
      <c r="A777" s="35" t="n">
        <v>773</v>
      </c>
      <c r="B777" s="35" t="n">
        <v>2773</v>
      </c>
      <c r="C777" s="36" t="inlineStr">
        <is>
          <t>0908305015</t>
        </is>
      </c>
      <c r="D777" s="36" t="inlineStr">
        <is>
          <t>Region IX (Zamboanga Peninsula)</t>
        </is>
      </c>
      <c r="E777" s="36" t="inlineStr">
        <is>
          <t>Zamboanga Sibugay</t>
        </is>
      </c>
      <c r="F777" s="36" t="inlineStr">
        <is>
          <t>Ipil</t>
        </is>
      </c>
      <c r="G777" s="36" t="inlineStr">
        <is>
          <t>Lower Taway</t>
        </is>
      </c>
      <c r="H777" s="37" t="n">
        <v>7.789033</v>
      </c>
      <c r="I777" s="37" t="n">
        <v>122.587215</v>
      </c>
      <c r="J777" s="8" t="inlineStr">
        <is>
          <t>R</t>
        </is>
      </c>
      <c r="K777" s="36" t="inlineStr">
        <is>
          <t>Class 1-3 / Urban</t>
        </is>
      </c>
      <c r="L777" s="18" t="n">
        <v>2608</v>
      </c>
      <c r="M777" s="20" t="n">
        <v>5.06</v>
      </c>
      <c r="N777" s="18">
        <f>ROUND(L777/M777, 0)</f>
        <v/>
      </c>
      <c r="O777" s="18">
        <f>ROUND(N777*'Methodology &amp; Assumptions'!$B$8, 0)</f>
        <v/>
      </c>
      <c r="P777" s="8" t="inlineStr">
        <is>
          <t>Band n50 (1.5 GHz, 60 MHz)</t>
        </is>
      </c>
      <c r="Q777" s="38">
        <f>ROUNDUP(O777/'Methodology &amp; Assumptions'!$B$9, 0)</f>
        <v/>
      </c>
      <c r="R777" s="39" t="n">
        <v>1</v>
      </c>
      <c r="S777" s="21" t="n">
        <v>1.06</v>
      </c>
      <c r="T777" s="21" t="n">
        <v>0.52</v>
      </c>
      <c r="U777" s="36" t="inlineStr">
        <is>
          <t>Tier 1B (Micro Drop, 1-3 km)</t>
        </is>
      </c>
      <c r="V777" s="20" t="n">
        <v>80.3</v>
      </c>
      <c r="W777" s="20" t="n">
        <v>65.09999999999999</v>
      </c>
      <c r="X777" s="20" t="n">
        <v>58</v>
      </c>
      <c r="Y777" s="40">
        <f>ROUND((V777*'Methodology &amp; Assumptions'!$B$6)+(W777*'Methodology &amp; Assumptions'!$B$5)+(X777*'Methodology &amp; Assumptions'!$B$7), 2)</f>
        <v/>
      </c>
    </row>
    <row r="778" ht="19" customHeight="1">
      <c r="A778" s="41" t="n">
        <v>774</v>
      </c>
      <c r="B778" s="41" t="n">
        <v>2774</v>
      </c>
      <c r="C778" s="42" t="inlineStr">
        <is>
          <t>0201516004</t>
        </is>
      </c>
      <c r="D778" s="42" t="inlineStr">
        <is>
          <t>Region II (Cagayan Valley)</t>
        </is>
      </c>
      <c r="E778" s="42" t="inlineStr">
        <is>
          <t>Cagayan</t>
        </is>
      </c>
      <c r="F778" s="42" t="inlineStr">
        <is>
          <t>Lal-Lo</t>
        </is>
      </c>
      <c r="G778" s="42" t="inlineStr">
        <is>
          <t>Bangag</t>
        </is>
      </c>
      <c r="H778" s="43" t="n">
        <v>18.297139</v>
      </c>
      <c r="I778" s="43" t="n">
        <v>121.560534</v>
      </c>
      <c r="J778" s="44" t="inlineStr">
        <is>
          <t>R</t>
        </is>
      </c>
      <c r="K778" s="42" t="inlineStr">
        <is>
          <t>Class 1-3 / Urban</t>
        </is>
      </c>
      <c r="L778" s="23" t="n">
        <v>1166</v>
      </c>
      <c r="M778" s="24" t="n">
        <v>4.38</v>
      </c>
      <c r="N778" s="23">
        <f>ROUND(L778/M778, 0)</f>
        <v/>
      </c>
      <c r="O778" s="23">
        <f>ROUND(N778*'Methodology &amp; Assumptions'!$B$8, 0)</f>
        <v/>
      </c>
      <c r="P778" s="44" t="inlineStr">
        <is>
          <t>Band n50 (1.5 GHz, 60 MHz)</t>
        </is>
      </c>
      <c r="Q778" s="38">
        <f>ROUNDUP(O778/'Methodology &amp; Assumptions'!$B$9, 0)</f>
        <v/>
      </c>
      <c r="R778" s="39" t="n">
        <v>1</v>
      </c>
      <c r="S778" s="25" t="n">
        <v>0.18</v>
      </c>
      <c r="T778" s="25" t="n">
        <v>0.07000000000000001</v>
      </c>
      <c r="U778" s="42" t="inlineStr">
        <is>
          <t>Tier 1A (Direct Coloc, &lt;1 km)</t>
        </is>
      </c>
      <c r="V778" s="24" t="n">
        <v>100</v>
      </c>
      <c r="W778" s="24" t="n">
        <v>45.3</v>
      </c>
      <c r="X778" s="24" t="n">
        <v>58</v>
      </c>
      <c r="Y778" s="45">
        <f>ROUND((V778*'Methodology &amp; Assumptions'!$B$6)+(W778*'Methodology &amp; Assumptions'!$B$5)+(X778*'Methodology &amp; Assumptions'!$B$7), 2)</f>
        <v/>
      </c>
    </row>
    <row r="779" ht="19" customHeight="1">
      <c r="A779" s="35" t="n">
        <v>775</v>
      </c>
      <c r="B779" s="35" t="n">
        <v>2775</v>
      </c>
      <c r="C779" s="36" t="inlineStr">
        <is>
          <t>0803726003</t>
        </is>
      </c>
      <c r="D779" s="36" t="inlineStr">
        <is>
          <t>Region VIII (Eastern Visayas)</t>
        </is>
      </c>
      <c r="E779" s="36" t="inlineStr">
        <is>
          <t>Leyte</t>
        </is>
      </c>
      <c r="F779" s="36" t="inlineStr">
        <is>
          <t>Kananga</t>
        </is>
      </c>
      <c r="G779" s="36" t="inlineStr">
        <is>
          <t>Kawayan</t>
        </is>
      </c>
      <c r="H779" s="37" t="n">
        <v>11.184085</v>
      </c>
      <c r="I779" s="37" t="n">
        <v>124.559353</v>
      </c>
      <c r="J779" s="8" t="inlineStr">
        <is>
          <t>R</t>
        </is>
      </c>
      <c r="K779" s="36" t="inlineStr">
        <is>
          <t>Class 1-3 / Urban</t>
        </is>
      </c>
      <c r="L779" s="18" t="n">
        <v>1129</v>
      </c>
      <c r="M779" s="20" t="n">
        <v>4.24</v>
      </c>
      <c r="N779" s="18">
        <f>ROUND(L779/M779, 0)</f>
        <v/>
      </c>
      <c r="O779" s="18">
        <f>ROUND(N779*'Methodology &amp; Assumptions'!$B$8, 0)</f>
        <v/>
      </c>
      <c r="P779" s="8" t="inlineStr">
        <is>
          <t>Band n50 (1.5 GHz, 60 MHz)</t>
        </is>
      </c>
      <c r="Q779" s="38">
        <f>ROUNDUP(O779/'Methodology &amp; Assumptions'!$B$9, 0)</f>
        <v/>
      </c>
      <c r="R779" s="39" t="n">
        <v>1</v>
      </c>
      <c r="S779" s="21" t="n">
        <v>0.25</v>
      </c>
      <c r="T779" s="21" t="n">
        <v>0.23</v>
      </c>
      <c r="U779" s="36" t="inlineStr">
        <is>
          <t>Tier 1A (Direct Coloc, &lt;1 km)</t>
        </is>
      </c>
      <c r="V779" s="20" t="n">
        <v>100</v>
      </c>
      <c r="W779" s="20" t="n">
        <v>45.3</v>
      </c>
      <c r="X779" s="20" t="n">
        <v>58</v>
      </c>
      <c r="Y779" s="40">
        <f>ROUND((V779*'Methodology &amp; Assumptions'!$B$6)+(W779*'Methodology &amp; Assumptions'!$B$5)+(X779*'Methodology &amp; Assumptions'!$B$7), 2)</f>
        <v/>
      </c>
    </row>
    <row r="780" ht="19" customHeight="1">
      <c r="A780" s="41" t="n">
        <v>776</v>
      </c>
      <c r="B780" s="41" t="n">
        <v>2776</v>
      </c>
      <c r="C780" s="42" t="inlineStr">
        <is>
          <t>0403410033</t>
        </is>
      </c>
      <c r="D780" s="42" t="inlineStr">
        <is>
          <t>Region IV-A (CALABARZON)</t>
        </is>
      </c>
      <c r="E780" s="42" t="inlineStr">
        <is>
          <t>Laguna</t>
        </is>
      </c>
      <c r="F780" s="42" t="inlineStr">
        <is>
          <t>Liliw</t>
        </is>
      </c>
      <c r="G780" s="42" t="inlineStr">
        <is>
          <t>Palayan</t>
        </is>
      </c>
      <c r="H780" s="43" t="n">
        <v>14.135643</v>
      </c>
      <c r="I780" s="43" t="n">
        <v>121.435836</v>
      </c>
      <c r="J780" s="44" t="inlineStr">
        <is>
          <t>R</t>
        </is>
      </c>
      <c r="K780" s="42" t="inlineStr">
        <is>
          <t>3rd</t>
        </is>
      </c>
      <c r="L780" s="23" t="n">
        <v>1052</v>
      </c>
      <c r="M780" s="24" t="n">
        <v>3.93</v>
      </c>
      <c r="N780" s="23">
        <f>ROUND(L780/M780, 0)</f>
        <v/>
      </c>
      <c r="O780" s="23">
        <f>ROUND(N780*'Methodology &amp; Assumptions'!$B$8, 0)</f>
        <v/>
      </c>
      <c r="P780" s="44" t="inlineStr">
        <is>
          <t>Band n50 (1.5 GHz, 60 MHz)</t>
        </is>
      </c>
      <c r="Q780" s="38">
        <f>ROUNDUP(O780/'Methodology &amp; Assumptions'!$B$9, 0)</f>
        <v/>
      </c>
      <c r="R780" s="39" t="n">
        <v>1</v>
      </c>
      <c r="S780" s="25" t="n">
        <v>0.08</v>
      </c>
      <c r="T780" s="25" t="n">
        <v>0.03</v>
      </c>
      <c r="U780" s="42" t="inlineStr">
        <is>
          <t>Tier 1A (Direct Coloc, &lt;1 km)</t>
        </is>
      </c>
      <c r="V780" s="24" t="n">
        <v>100</v>
      </c>
      <c r="W780" s="24" t="n">
        <v>45.3</v>
      </c>
      <c r="X780" s="24" t="n">
        <v>58</v>
      </c>
      <c r="Y780" s="45">
        <f>ROUND((V780*'Methodology &amp; Assumptions'!$B$6)+(W780*'Methodology &amp; Assumptions'!$B$5)+(X780*'Methodology &amp; Assumptions'!$B$7), 2)</f>
        <v/>
      </c>
    </row>
    <row r="781" ht="19" customHeight="1">
      <c r="A781" s="35" t="n">
        <v>777</v>
      </c>
      <c r="B781" s="35" t="n">
        <v>2777</v>
      </c>
      <c r="C781" s="36" t="inlineStr">
        <is>
          <t>0403411010</t>
        </is>
      </c>
      <c r="D781" s="36" t="inlineStr">
        <is>
          <t>Region IV-A (CALABARZON)</t>
        </is>
      </c>
      <c r="E781" s="36" t="inlineStr">
        <is>
          <t>Laguna</t>
        </is>
      </c>
      <c r="F781" s="36" t="inlineStr">
        <is>
          <t>Los Baños</t>
        </is>
      </c>
      <c r="G781" s="36" t="inlineStr">
        <is>
          <t>Mayondon</t>
        </is>
      </c>
      <c r="H781" s="37" t="n">
        <v>14.19115</v>
      </c>
      <c r="I781" s="37" t="n">
        <v>121.236346</v>
      </c>
      <c r="J781" s="8" t="inlineStr">
        <is>
          <t>U</t>
        </is>
      </c>
      <c r="K781" s="36" t="inlineStr">
        <is>
          <t>Class 1-3 / Urban</t>
        </is>
      </c>
      <c r="L781" s="18" t="n">
        <v>17817</v>
      </c>
      <c r="M781" s="20" t="n">
        <v>4.2</v>
      </c>
      <c r="N781" s="18">
        <f>ROUND(L781/M781, 0)</f>
        <v/>
      </c>
      <c r="O781" s="18">
        <f>ROUND(N781*'Methodology &amp; Assumptions'!$B$8, 0)</f>
        <v/>
      </c>
      <c r="P781" s="8" t="inlineStr">
        <is>
          <t>Band n50 (1.5 GHz, 60 MHz)</t>
        </is>
      </c>
      <c r="Q781" s="38">
        <f>ROUNDUP(O781/'Methodology &amp; Assumptions'!$B$9, 0)</f>
        <v/>
      </c>
      <c r="R781" s="39" t="n">
        <v>1</v>
      </c>
      <c r="S781" s="21" t="n">
        <v>1.48</v>
      </c>
      <c r="T781" s="21" t="n">
        <v>1.13</v>
      </c>
      <c r="U781" s="36" t="inlineStr">
        <is>
          <t>Tier 1B (Micro Drop, 1-3 km)</t>
        </is>
      </c>
      <c r="V781" s="20" t="n">
        <v>71</v>
      </c>
      <c r="W781" s="20" t="n">
        <v>100</v>
      </c>
      <c r="X781" s="20" t="n">
        <v>28</v>
      </c>
      <c r="Y781" s="40">
        <f>ROUND((V781*'Methodology &amp; Assumptions'!$B$6)+(W781*'Methodology &amp; Assumptions'!$B$5)+(X781*'Methodology &amp; Assumptions'!$B$7), 2)</f>
        <v/>
      </c>
    </row>
    <row r="782" ht="19" customHeight="1">
      <c r="A782" s="41" t="n">
        <v>778</v>
      </c>
      <c r="B782" s="41" t="n">
        <v>2778</v>
      </c>
      <c r="C782" s="42" t="inlineStr">
        <is>
          <t>0403425013</t>
        </is>
      </c>
      <c r="D782" s="42" t="inlineStr">
        <is>
          <t>Region IV-A (CALABARZON)</t>
        </is>
      </c>
      <c r="E782" s="42" t="inlineStr">
        <is>
          <t>Laguna</t>
        </is>
      </c>
      <c r="F782" s="42" t="inlineStr">
        <is>
          <t>City of San Pedro</t>
        </is>
      </c>
      <c r="G782" s="42" t="inlineStr">
        <is>
          <t>Riverside</t>
        </is>
      </c>
      <c r="H782" s="43" t="n">
        <v>14.332321</v>
      </c>
      <c r="I782" s="43" t="n">
        <v>121.028284</v>
      </c>
      <c r="J782" s="44" t="inlineStr">
        <is>
          <t>R</t>
        </is>
      </c>
      <c r="K782" s="42" t="inlineStr">
        <is>
          <t>Class 1-3 / Urban</t>
        </is>
      </c>
      <c r="L782" s="23" t="n">
        <v>3028</v>
      </c>
      <c r="M782" s="24" t="n">
        <v>4.2</v>
      </c>
      <c r="N782" s="23">
        <f>ROUND(L782/M782, 0)</f>
        <v/>
      </c>
      <c r="O782" s="23">
        <f>ROUND(N782*'Methodology &amp; Assumptions'!$B$8, 0)</f>
        <v/>
      </c>
      <c r="P782" s="44" t="inlineStr">
        <is>
          <t>Band n50 (1.5 GHz, 60 MHz)</t>
        </is>
      </c>
      <c r="Q782" s="38">
        <f>ROUNDUP(O782/'Methodology &amp; Assumptions'!$B$9, 0)</f>
        <v/>
      </c>
      <c r="R782" s="39" t="n">
        <v>1</v>
      </c>
      <c r="S782" s="25" t="n">
        <v>1.87</v>
      </c>
      <c r="T782" s="25" t="n">
        <v>1.89</v>
      </c>
      <c r="U782" s="42" t="inlineStr">
        <is>
          <t>Tier 1B (Micro Drop, 1-3 km)</t>
        </is>
      </c>
      <c r="V782" s="24" t="n">
        <v>63.7</v>
      </c>
      <c r="W782" s="24" t="n">
        <v>81.59999999999999</v>
      </c>
      <c r="X782" s="24" t="n">
        <v>58</v>
      </c>
      <c r="Y782" s="45">
        <f>ROUND((V782*'Methodology &amp; Assumptions'!$B$6)+(W782*'Methodology &amp; Assumptions'!$B$5)+(X782*'Methodology &amp; Assumptions'!$B$7), 2)</f>
        <v/>
      </c>
    </row>
    <row r="783" ht="19" customHeight="1">
      <c r="A783" s="35" t="n">
        <v>779</v>
      </c>
      <c r="B783" s="35" t="n">
        <v>2779</v>
      </c>
      <c r="C783" s="36" t="inlineStr">
        <is>
          <t>0402118051</t>
        </is>
      </c>
      <c r="D783" s="36" t="inlineStr">
        <is>
          <t>Region IV-A (CALABARZON)</t>
        </is>
      </c>
      <c r="E783" s="36" t="inlineStr">
        <is>
          <t>Cavite</t>
        </is>
      </c>
      <c r="F783" s="36" t="inlineStr">
        <is>
          <t>Silang</t>
        </is>
      </c>
      <c r="G783" s="36" t="inlineStr">
        <is>
          <t>Ipil I</t>
        </is>
      </c>
      <c r="H783" s="37" t="n">
        <v>14.273288</v>
      </c>
      <c r="I783" s="37" t="n">
        <v>120.997127</v>
      </c>
      <c r="J783" s="8" t="inlineStr">
        <is>
          <t>R</t>
        </is>
      </c>
      <c r="K783" s="36" t="inlineStr">
        <is>
          <t>Class 1-3 / Urban</t>
        </is>
      </c>
      <c r="L783" s="18" t="n">
        <v>2971</v>
      </c>
      <c r="M783" s="20" t="n">
        <v>4.49</v>
      </c>
      <c r="N783" s="18">
        <f>ROUND(L783/M783, 0)</f>
        <v/>
      </c>
      <c r="O783" s="18">
        <f>ROUND(N783*'Methodology &amp; Assumptions'!$B$8, 0)</f>
        <v/>
      </c>
      <c r="P783" s="8" t="inlineStr">
        <is>
          <t>Band n50 (1.5 GHz, 60 MHz)</t>
        </is>
      </c>
      <c r="Q783" s="38">
        <f>ROUNDUP(O783/'Methodology &amp; Assumptions'!$B$9, 0)</f>
        <v/>
      </c>
      <c r="R783" s="39" t="n">
        <v>1</v>
      </c>
      <c r="S783" s="21" t="n">
        <v>1.15</v>
      </c>
      <c r="T783" s="21" t="n">
        <v>3.19</v>
      </c>
      <c r="U783" s="36" t="inlineStr">
        <is>
          <t>Tier 1B (Micro Drop, 1-3 km)</t>
        </is>
      </c>
      <c r="V783" s="20" t="n">
        <v>68.2</v>
      </c>
      <c r="W783" s="20" t="n">
        <v>77.09999999999999</v>
      </c>
      <c r="X783" s="20" t="n">
        <v>58</v>
      </c>
      <c r="Y783" s="40">
        <f>ROUND((V783*'Methodology &amp; Assumptions'!$B$6)+(W783*'Methodology &amp; Assumptions'!$B$5)+(X783*'Methodology &amp; Assumptions'!$B$7), 2)</f>
        <v/>
      </c>
    </row>
    <row r="784" ht="19" customHeight="1">
      <c r="A784" s="41" t="n">
        <v>780</v>
      </c>
      <c r="B784" s="41" t="n">
        <v>2780</v>
      </c>
      <c r="C784" s="42" t="inlineStr">
        <is>
          <t>1430300023</t>
        </is>
      </c>
      <c r="D784" s="42" t="inlineStr">
        <is>
          <t>Cordillera Administrative Region (CAR)</t>
        </is>
      </c>
      <c r="E784" s="42" t="inlineStr">
        <is>
          <t>Benguet</t>
        </is>
      </c>
      <c r="F784" s="42" t="inlineStr">
        <is>
          <t>City of Baguio</t>
        </is>
      </c>
      <c r="G784" s="42" t="inlineStr">
        <is>
          <t>City Camp Proper</t>
        </is>
      </c>
      <c r="H784" s="43" t="n">
        <v>16.41088</v>
      </c>
      <c r="I784" s="43" t="n">
        <v>120.5893</v>
      </c>
      <c r="J784" s="44" t="inlineStr">
        <is>
          <t>R</t>
        </is>
      </c>
      <c r="K784" s="42" t="inlineStr">
        <is>
          <t>Class 1-3 / Urban</t>
        </is>
      </c>
      <c r="L784" s="23" t="n">
        <v>1678</v>
      </c>
      <c r="M784" s="24" t="n">
        <v>4.58</v>
      </c>
      <c r="N784" s="23">
        <f>ROUND(L784/M784, 0)</f>
        <v/>
      </c>
      <c r="O784" s="23">
        <f>ROUND(N784*'Methodology &amp; Assumptions'!$B$8, 0)</f>
        <v/>
      </c>
      <c r="P784" s="44" t="inlineStr">
        <is>
          <t>Band n50 (1.5 GHz, 60 MHz)</t>
        </is>
      </c>
      <c r="Q784" s="38">
        <f>ROUNDUP(O784/'Methodology &amp; Assumptions'!$B$9, 0)</f>
        <v/>
      </c>
      <c r="R784" s="39" t="n">
        <v>1</v>
      </c>
      <c r="S784" s="25" t="n">
        <v>0.45</v>
      </c>
      <c r="T784" s="25" t="n">
        <v>0.16</v>
      </c>
      <c r="U784" s="42" t="inlineStr">
        <is>
          <t>Tier 1A (Direct Coloc, &lt;1 km)</t>
        </is>
      </c>
      <c r="V784" s="24" t="n">
        <v>96</v>
      </c>
      <c r="W784" s="24" t="n">
        <v>49.3</v>
      </c>
      <c r="X784" s="24" t="n">
        <v>58</v>
      </c>
      <c r="Y784" s="45">
        <f>ROUND((V784*'Methodology &amp; Assumptions'!$B$6)+(W784*'Methodology &amp; Assumptions'!$B$5)+(X784*'Methodology &amp; Assumptions'!$B$7), 2)</f>
        <v/>
      </c>
    </row>
    <row r="785" ht="19" customHeight="1">
      <c r="A785" s="35" t="n">
        <v>781</v>
      </c>
      <c r="B785" s="35" t="n">
        <v>2781</v>
      </c>
      <c r="C785" s="36" t="inlineStr">
        <is>
          <t>0402121008</t>
        </is>
      </c>
      <c r="D785" s="36" t="inlineStr">
        <is>
          <t>Region IV-A (CALABARZON)</t>
        </is>
      </c>
      <c r="E785" s="36" t="inlineStr">
        <is>
          <t>Cavite</t>
        </is>
      </c>
      <c r="F785" s="36" t="inlineStr">
        <is>
          <t>Ternate</t>
        </is>
      </c>
      <c r="G785" s="36" t="inlineStr">
        <is>
          <t>Sapang I</t>
        </is>
      </c>
      <c r="H785" s="37" t="n">
        <v>14.281826</v>
      </c>
      <c r="I785" s="37" t="n">
        <v>120.709475</v>
      </c>
      <c r="J785" s="8" t="inlineStr">
        <is>
          <t>U</t>
        </is>
      </c>
      <c r="K785" s="36" t="inlineStr">
        <is>
          <t>3rd</t>
        </is>
      </c>
      <c r="L785" s="18" t="n">
        <v>7407</v>
      </c>
      <c r="M785" s="20" t="n">
        <v>4.08</v>
      </c>
      <c r="N785" s="18">
        <f>ROUND(L785/M785, 0)</f>
        <v/>
      </c>
      <c r="O785" s="18">
        <f>ROUND(N785*'Methodology &amp; Assumptions'!$B$8, 0)</f>
        <v/>
      </c>
      <c r="P785" s="8" t="inlineStr">
        <is>
          <t>Band n50 (1.5 GHz, 60 MHz)</t>
        </is>
      </c>
      <c r="Q785" s="38">
        <f>ROUNDUP(O785/'Methodology &amp; Assumptions'!$B$9, 0)</f>
        <v/>
      </c>
      <c r="R785" s="39" t="n">
        <v>1</v>
      </c>
      <c r="S785" s="21" t="n">
        <v>1.03</v>
      </c>
      <c r="T785" s="21" t="n">
        <v>3.02</v>
      </c>
      <c r="U785" s="36" t="inlineStr">
        <is>
          <t>Tier 1B (Micro Drop, 1-3 km)</t>
        </is>
      </c>
      <c r="V785" s="20" t="n">
        <v>71</v>
      </c>
      <c r="W785" s="20" t="n">
        <v>100</v>
      </c>
      <c r="X785" s="20" t="n">
        <v>28</v>
      </c>
      <c r="Y785" s="40">
        <f>ROUND((V785*'Methodology &amp; Assumptions'!$B$6)+(W785*'Methodology &amp; Assumptions'!$B$5)+(X785*'Methodology &amp; Assumptions'!$B$7), 2)</f>
        <v/>
      </c>
    </row>
    <row r="786" ht="19" customHeight="1">
      <c r="A786" s="41" t="n">
        <v>782</v>
      </c>
      <c r="B786" s="41" t="n">
        <v>2782</v>
      </c>
      <c r="C786" s="42" t="inlineStr">
        <is>
          <t>0405647037</t>
        </is>
      </c>
      <c r="D786" s="42" t="inlineStr">
        <is>
          <t>Region IV-A (CALABARZON)</t>
        </is>
      </c>
      <c r="E786" s="42" t="inlineStr">
        <is>
          <t>Quezon</t>
        </is>
      </c>
      <c r="F786" s="42" t="inlineStr">
        <is>
          <t>City of Tayabas</t>
        </is>
      </c>
      <c r="G786" s="42" t="inlineStr">
        <is>
          <t>Lalo</t>
        </is>
      </c>
      <c r="H786" s="43" t="n">
        <v>14.041276</v>
      </c>
      <c r="I786" s="43" t="n">
        <v>121.570859</v>
      </c>
      <c r="J786" s="44" t="inlineStr">
        <is>
          <t>R</t>
        </is>
      </c>
      <c r="K786" s="42" t="inlineStr">
        <is>
          <t>Class 1-3 / Urban</t>
        </is>
      </c>
      <c r="L786" s="23" t="n">
        <v>4647</v>
      </c>
      <c r="M786" s="24" t="n">
        <v>4.46</v>
      </c>
      <c r="N786" s="23">
        <f>ROUND(L786/M786, 0)</f>
        <v/>
      </c>
      <c r="O786" s="23">
        <f>ROUND(N786*'Methodology &amp; Assumptions'!$B$8, 0)</f>
        <v/>
      </c>
      <c r="P786" s="44" t="inlineStr">
        <is>
          <t>Band n50 (1.5 GHz, 60 MHz)</t>
        </is>
      </c>
      <c r="Q786" s="38">
        <f>ROUNDUP(O786/'Methodology &amp; Assumptions'!$B$9, 0)</f>
        <v/>
      </c>
      <c r="R786" s="39" t="n">
        <v>1</v>
      </c>
      <c r="S786" s="25" t="n">
        <v>3.12</v>
      </c>
      <c r="T786" s="25" t="n">
        <v>0.53</v>
      </c>
      <c r="U786" s="42" t="inlineStr">
        <is>
          <t>Tier 2 (Fiber Corridor / Lateral, 3-5 km)</t>
        </is>
      </c>
      <c r="V786" s="24" t="n">
        <v>45.3</v>
      </c>
      <c r="W786" s="24" t="n">
        <v>100</v>
      </c>
      <c r="X786" s="24" t="n">
        <v>58</v>
      </c>
      <c r="Y786" s="45">
        <f>ROUND((V786*'Methodology &amp; Assumptions'!$B$6)+(W786*'Methodology &amp; Assumptions'!$B$5)+(X786*'Methodology &amp; Assumptions'!$B$7), 2)</f>
        <v/>
      </c>
    </row>
    <row r="787" ht="19" customHeight="1">
      <c r="A787" s="35" t="n">
        <v>783</v>
      </c>
      <c r="B787" s="35" t="n">
        <v>2783</v>
      </c>
      <c r="C787" s="36" t="inlineStr">
        <is>
          <t>0600416010</t>
        </is>
      </c>
      <c r="D787" s="36" t="inlineStr">
        <is>
          <t>Region VI (Western Visayas)</t>
        </is>
      </c>
      <c r="E787" s="36" t="inlineStr">
        <is>
          <t>Aklan</t>
        </is>
      </c>
      <c r="F787" s="36" t="inlineStr">
        <is>
          <t>Numancia</t>
        </is>
      </c>
      <c r="G787" s="36" t="inlineStr">
        <is>
          <t>Dongon West</t>
        </is>
      </c>
      <c r="H787" s="37" t="n">
        <v>11.707721</v>
      </c>
      <c r="I787" s="37" t="n">
        <v>122.319255</v>
      </c>
      <c r="J787" s="8" t="inlineStr">
        <is>
          <t>R</t>
        </is>
      </c>
      <c r="K787" s="36" t="inlineStr">
        <is>
          <t>3rd</t>
        </is>
      </c>
      <c r="L787" s="18" t="n">
        <v>2190</v>
      </c>
      <c r="M787" s="20" t="n">
        <v>4.29</v>
      </c>
      <c r="N787" s="18">
        <f>ROUND(L787/M787, 0)</f>
        <v/>
      </c>
      <c r="O787" s="18">
        <f>ROUND(N787*'Methodology &amp; Assumptions'!$B$8, 0)</f>
        <v/>
      </c>
      <c r="P787" s="8" t="inlineStr">
        <is>
          <t>Band n50 (1.5 GHz, 60 MHz)</t>
        </is>
      </c>
      <c r="Q787" s="38">
        <f>ROUNDUP(O787/'Methodology &amp; Assumptions'!$B$9, 0)</f>
        <v/>
      </c>
      <c r="R787" s="39" t="n">
        <v>1</v>
      </c>
      <c r="S787" s="21" t="n">
        <v>1.05</v>
      </c>
      <c r="T787" s="21" t="n">
        <v>0.53</v>
      </c>
      <c r="U787" s="36" t="inlineStr">
        <is>
          <t>Tier 1B (Micro Drop, 1-3 km)</t>
        </is>
      </c>
      <c r="V787" s="20" t="n">
        <v>80.5</v>
      </c>
      <c r="W787" s="20" t="n">
        <v>64.8</v>
      </c>
      <c r="X787" s="20" t="n">
        <v>58</v>
      </c>
      <c r="Y787" s="40">
        <f>ROUND((V787*'Methodology &amp; Assumptions'!$B$6)+(W787*'Methodology &amp; Assumptions'!$B$5)+(X787*'Methodology &amp; Assumptions'!$B$7), 2)</f>
        <v/>
      </c>
    </row>
    <row r="788" ht="19" customHeight="1">
      <c r="A788" s="41" t="n">
        <v>784</v>
      </c>
      <c r="B788" s="41" t="n">
        <v>2784</v>
      </c>
      <c r="C788" s="42" t="inlineStr">
        <is>
          <t>0500506008</t>
        </is>
      </c>
      <c r="D788" s="42" t="inlineStr">
        <is>
          <t>Region V (Bicol Region)</t>
        </is>
      </c>
      <c r="E788" s="42" t="inlineStr">
        <is>
          <t>Albay</t>
        </is>
      </c>
      <c r="F788" s="42" t="inlineStr">
        <is>
          <t>City of Legazpi</t>
        </is>
      </c>
      <c r="G788" s="42" t="inlineStr">
        <is>
          <t>Bgy. 12 - Tula-tula</t>
        </is>
      </c>
      <c r="H788" s="43" t="n">
        <v>13.134308</v>
      </c>
      <c r="I788" s="43" t="n">
        <v>123.730894</v>
      </c>
      <c r="J788" s="44" t="inlineStr">
        <is>
          <t>R</t>
        </is>
      </c>
      <c r="K788" s="42" t="inlineStr">
        <is>
          <t>Class 1-3 / Urban</t>
        </is>
      </c>
      <c r="L788" s="23" t="n">
        <v>2330</v>
      </c>
      <c r="M788" s="24" t="n">
        <v>4.67</v>
      </c>
      <c r="N788" s="23">
        <f>ROUND(L788/M788, 0)</f>
        <v/>
      </c>
      <c r="O788" s="23">
        <f>ROUND(N788*'Methodology &amp; Assumptions'!$B$8, 0)</f>
        <v/>
      </c>
      <c r="P788" s="44" t="inlineStr">
        <is>
          <t>Band n50 (1.5 GHz, 60 MHz)</t>
        </is>
      </c>
      <c r="Q788" s="38">
        <f>ROUNDUP(O788/'Methodology &amp; Assumptions'!$B$9, 0)</f>
        <v/>
      </c>
      <c r="R788" s="39" t="n">
        <v>1</v>
      </c>
      <c r="S788" s="25" t="n">
        <v>1.02</v>
      </c>
      <c r="T788" s="25" t="n">
        <v>0.39</v>
      </c>
      <c r="U788" s="42" t="inlineStr">
        <is>
          <t>Tier 1B (Micro Drop, 1-3 km)</t>
        </is>
      </c>
      <c r="V788" s="24" t="n">
        <v>81.3</v>
      </c>
      <c r="W788" s="24" t="n">
        <v>64</v>
      </c>
      <c r="X788" s="24" t="n">
        <v>58</v>
      </c>
      <c r="Y788" s="45">
        <f>ROUND((V788*'Methodology &amp; Assumptions'!$B$6)+(W788*'Methodology &amp; Assumptions'!$B$5)+(X788*'Methodology &amp; Assumptions'!$B$7), 2)</f>
        <v/>
      </c>
    </row>
    <row r="789" ht="19" customHeight="1">
      <c r="A789" s="35" t="n">
        <v>785</v>
      </c>
      <c r="B789" s="35" t="n">
        <v>2785</v>
      </c>
      <c r="C789" s="36" t="inlineStr">
        <is>
          <t>0300811003</t>
        </is>
      </c>
      <c r="D789" s="36" t="inlineStr">
        <is>
          <t>Region III (Central Luzon)</t>
        </is>
      </c>
      <c r="E789" s="36" t="inlineStr">
        <is>
          <t>Bataan</t>
        </is>
      </c>
      <c r="F789" s="36" t="inlineStr">
        <is>
          <t>Pilar</t>
        </is>
      </c>
      <c r="G789" s="36" t="inlineStr">
        <is>
          <t>Bagumbayan</t>
        </is>
      </c>
      <c r="H789" s="37" t="n">
        <v>14.679517</v>
      </c>
      <c r="I789" s="37" t="n">
        <v>120.545204</v>
      </c>
      <c r="J789" s="8" t="inlineStr">
        <is>
          <t>R</t>
        </is>
      </c>
      <c r="K789" s="36" t="inlineStr">
        <is>
          <t>Class 1-3 / Urban</t>
        </is>
      </c>
      <c r="L789" s="18" t="n">
        <v>1466</v>
      </c>
      <c r="M789" s="20" t="n">
        <v>4.57</v>
      </c>
      <c r="N789" s="18">
        <f>ROUND(L789/M789, 0)</f>
        <v/>
      </c>
      <c r="O789" s="18">
        <f>ROUND(N789*'Methodology &amp; Assumptions'!$B$8, 0)</f>
        <v/>
      </c>
      <c r="P789" s="8" t="inlineStr">
        <is>
          <t>Band n50 (1.5 GHz, 60 MHz)</t>
        </is>
      </c>
      <c r="Q789" s="38">
        <f>ROUNDUP(O789/'Methodology &amp; Assumptions'!$B$9, 0)</f>
        <v/>
      </c>
      <c r="R789" s="39" t="n">
        <v>1</v>
      </c>
      <c r="S789" s="21" t="n">
        <v>0.46</v>
      </c>
      <c r="T789" s="21" t="n">
        <v>0.23</v>
      </c>
      <c r="U789" s="36" t="inlineStr">
        <is>
          <t>Tier 1A (Direct Coloc, &lt;1 km)</t>
        </is>
      </c>
      <c r="V789" s="20" t="n">
        <v>95.7</v>
      </c>
      <c r="W789" s="20" t="n">
        <v>49.6</v>
      </c>
      <c r="X789" s="20" t="n">
        <v>58</v>
      </c>
      <c r="Y789" s="40">
        <f>ROUND((V789*'Methodology &amp; Assumptions'!$B$6)+(W789*'Methodology &amp; Assumptions'!$B$5)+(X789*'Methodology &amp; Assumptions'!$B$7), 2)</f>
        <v/>
      </c>
    </row>
    <row r="790" ht="19" customHeight="1">
      <c r="A790" s="41" t="n">
        <v>786</v>
      </c>
      <c r="B790" s="41" t="n">
        <v>2786</v>
      </c>
      <c r="C790" s="42" t="inlineStr">
        <is>
          <t>0504111025</t>
        </is>
      </c>
      <c r="D790" s="42" t="inlineStr">
        <is>
          <t>Region V (Bicol Region)</t>
        </is>
      </c>
      <c r="E790" s="42" t="inlineStr">
        <is>
          <t>Masbate</t>
        </is>
      </c>
      <c r="F790" s="42" t="inlineStr">
        <is>
          <t>City of Masbate</t>
        </is>
      </c>
      <c r="G790" s="42" t="inlineStr">
        <is>
          <t>Pating</t>
        </is>
      </c>
      <c r="H790" s="43" t="n">
        <v>12.367027</v>
      </c>
      <c r="I790" s="43" t="n">
        <v>123.619675</v>
      </c>
      <c r="J790" s="44" t="inlineStr">
        <is>
          <t>U</t>
        </is>
      </c>
      <c r="K790" s="42" t="inlineStr">
        <is>
          <t>Class 1-3 / Urban</t>
        </is>
      </c>
      <c r="L790" s="23" t="n">
        <v>3892</v>
      </c>
      <c r="M790" s="24" t="n">
        <v>4.6</v>
      </c>
      <c r="N790" s="23">
        <f>ROUND(L790/M790, 0)</f>
        <v/>
      </c>
      <c r="O790" s="23">
        <f>ROUND(N790*'Methodology &amp; Assumptions'!$B$8, 0)</f>
        <v/>
      </c>
      <c r="P790" s="44" t="inlineStr">
        <is>
          <t>Band n50 (1.5 GHz, 60 MHz)</t>
        </is>
      </c>
      <c r="Q790" s="38">
        <f>ROUNDUP(O790/'Methodology &amp; Assumptions'!$B$9, 0)</f>
        <v/>
      </c>
      <c r="R790" s="39" t="n">
        <v>1</v>
      </c>
      <c r="S790" s="25" t="n">
        <v>1.1</v>
      </c>
      <c r="T790" s="25" t="n">
        <v>0.54</v>
      </c>
      <c r="U790" s="42" t="inlineStr">
        <is>
          <t>Tier 1B (Micro Drop, 1-3 km)</t>
        </is>
      </c>
      <c r="V790" s="24" t="n">
        <v>79.2</v>
      </c>
      <c r="W790" s="24" t="n">
        <v>91.7</v>
      </c>
      <c r="X790" s="24" t="n">
        <v>28</v>
      </c>
      <c r="Y790" s="45">
        <f>ROUND((V790*'Methodology &amp; Assumptions'!$B$6)+(W790*'Methodology &amp; Assumptions'!$B$5)+(X790*'Methodology &amp; Assumptions'!$B$7), 2)</f>
        <v/>
      </c>
    </row>
    <row r="791" ht="19" customHeight="1">
      <c r="A791" s="35" t="n">
        <v>787</v>
      </c>
      <c r="B791" s="35" t="n">
        <v>2787</v>
      </c>
      <c r="C791" s="36" t="inlineStr">
        <is>
          <t>0401029002</t>
        </is>
      </c>
      <c r="D791" s="36" t="inlineStr">
        <is>
          <t>Region IV-A (CALABARZON)</t>
        </is>
      </c>
      <c r="E791" s="36" t="inlineStr">
        <is>
          <t>Batangas</t>
        </is>
      </c>
      <c r="F791" s="36" t="inlineStr">
        <is>
          <t>Taal</t>
        </is>
      </c>
      <c r="G791" s="36" t="inlineStr">
        <is>
          <t>Balisong</t>
        </is>
      </c>
      <c r="H791" s="37" t="n">
        <v>13.88101</v>
      </c>
      <c r="I791" s="37" t="n">
        <v>120.935543</v>
      </c>
      <c r="J791" s="8" t="inlineStr">
        <is>
          <t>R</t>
        </is>
      </c>
      <c r="K791" s="36" t="inlineStr">
        <is>
          <t>Class 1-3 / Urban</t>
        </is>
      </c>
      <c r="L791" s="18" t="n">
        <v>3533</v>
      </c>
      <c r="M791" s="20" t="n">
        <v>4.62</v>
      </c>
      <c r="N791" s="18">
        <f>ROUND(L791/M791, 0)</f>
        <v/>
      </c>
      <c r="O791" s="18">
        <f>ROUND(N791*'Methodology &amp; Assumptions'!$B$8, 0)</f>
        <v/>
      </c>
      <c r="P791" s="8" t="inlineStr">
        <is>
          <t>Band n50 (1.5 GHz, 60 MHz)</t>
        </is>
      </c>
      <c r="Q791" s="38">
        <f>ROUNDUP(O791/'Methodology &amp; Assumptions'!$B$9, 0)</f>
        <v/>
      </c>
      <c r="R791" s="39" t="n">
        <v>1</v>
      </c>
      <c r="S791" s="21" t="n">
        <v>2.09</v>
      </c>
      <c r="T791" s="21" t="n">
        <v>0.75</v>
      </c>
      <c r="U791" s="36" t="inlineStr">
        <is>
          <t>Tier 1B (Micro Drop, 1-3 km)</t>
        </is>
      </c>
      <c r="V791" s="20" t="n">
        <v>59.9</v>
      </c>
      <c r="W791" s="20" t="n">
        <v>85.3</v>
      </c>
      <c r="X791" s="20" t="n">
        <v>58</v>
      </c>
      <c r="Y791" s="40">
        <f>ROUND((V791*'Methodology &amp; Assumptions'!$B$6)+(W791*'Methodology &amp; Assumptions'!$B$5)+(X791*'Methodology &amp; Assumptions'!$B$7), 2)</f>
        <v/>
      </c>
    </row>
    <row r="792" ht="19" customHeight="1">
      <c r="A792" s="41" t="n">
        <v>788</v>
      </c>
      <c r="B792" s="41" t="n">
        <v>2788</v>
      </c>
      <c r="C792" s="42" t="inlineStr">
        <is>
          <t>1102404002</t>
        </is>
      </c>
      <c r="D792" s="42" t="inlineStr">
        <is>
          <t>Region XI (Davao Region)</t>
        </is>
      </c>
      <c r="E792" s="42" t="inlineStr">
        <is>
          <t>Davao del Sur</t>
        </is>
      </c>
      <c r="F792" s="42" t="inlineStr">
        <is>
          <t>Hagonoy</t>
        </is>
      </c>
      <c r="G792" s="42" t="inlineStr">
        <is>
          <t>Balutakay</t>
        </is>
      </c>
      <c r="H792" s="43" t="n">
        <v>6.720971</v>
      </c>
      <c r="I792" s="43" t="n">
        <v>125.356583</v>
      </c>
      <c r="J792" s="44" t="inlineStr">
        <is>
          <t>R</t>
        </is>
      </c>
      <c r="K792" s="42" t="inlineStr">
        <is>
          <t>Class 1-3 / Urban</t>
        </is>
      </c>
      <c r="L792" s="23" t="n">
        <v>3138</v>
      </c>
      <c r="M792" s="24" t="n">
        <v>4.1</v>
      </c>
      <c r="N792" s="23">
        <f>ROUND(L792/M792, 0)</f>
        <v/>
      </c>
      <c r="O792" s="23">
        <f>ROUND(N792*'Methodology &amp; Assumptions'!$B$8, 0)</f>
        <v/>
      </c>
      <c r="P792" s="44" t="inlineStr">
        <is>
          <t>Band n50 (1.5 GHz, 60 MHz)</t>
        </is>
      </c>
      <c r="Q792" s="38">
        <f>ROUNDUP(O792/'Methodology &amp; Assumptions'!$B$9, 0)</f>
        <v/>
      </c>
      <c r="R792" s="39" t="n">
        <v>1</v>
      </c>
      <c r="S792" s="25" t="n">
        <v>2.09</v>
      </c>
      <c r="T792" s="25" t="n">
        <v>0.39</v>
      </c>
      <c r="U792" s="42" t="inlineStr">
        <is>
          <t>Tier 1B (Micro Drop, 1-3 km)</t>
        </is>
      </c>
      <c r="V792" s="24" t="n">
        <v>59.9</v>
      </c>
      <c r="W792" s="24" t="n">
        <v>85.3</v>
      </c>
      <c r="X792" s="24" t="n">
        <v>58</v>
      </c>
      <c r="Y792" s="45">
        <f>ROUND((V792*'Methodology &amp; Assumptions'!$B$6)+(W792*'Methodology &amp; Assumptions'!$B$5)+(X792*'Methodology &amp; Assumptions'!$B$7), 2)</f>
        <v/>
      </c>
    </row>
    <row r="793" ht="19" customHeight="1">
      <c r="A793" s="35" t="n">
        <v>789</v>
      </c>
      <c r="B793" s="35" t="n">
        <v>2789</v>
      </c>
      <c r="C793" s="36" t="inlineStr">
        <is>
          <t>0501717030</t>
        </is>
      </c>
      <c r="D793" s="36" t="inlineStr">
        <is>
          <t>Region V (Bicol Region)</t>
        </is>
      </c>
      <c r="E793" s="36" t="inlineStr">
        <is>
          <t>Camarines Sur</t>
        </is>
      </c>
      <c r="F793" s="36" t="inlineStr">
        <is>
          <t>Lagonoy</t>
        </is>
      </c>
      <c r="G793" s="36" t="inlineStr">
        <is>
          <t>San Rafael</t>
        </is>
      </c>
      <c r="H793" s="37" t="n">
        <v>13.728422</v>
      </c>
      <c r="I793" s="37" t="n">
        <v>123.519369</v>
      </c>
      <c r="J793" s="8" t="inlineStr">
        <is>
          <t>R</t>
        </is>
      </c>
      <c r="K793" s="36" t="inlineStr">
        <is>
          <t>Class 1-3 / Urban</t>
        </is>
      </c>
      <c r="L793" s="18" t="n">
        <v>2168</v>
      </c>
      <c r="M793" s="20" t="n">
        <v>4.9</v>
      </c>
      <c r="N793" s="18">
        <f>ROUND(L793/M793, 0)</f>
        <v/>
      </c>
      <c r="O793" s="18">
        <f>ROUND(N793*'Methodology &amp; Assumptions'!$B$8, 0)</f>
        <v/>
      </c>
      <c r="P793" s="8" t="inlineStr">
        <is>
          <t>Band n50 (1.5 GHz, 60 MHz)</t>
        </is>
      </c>
      <c r="Q793" s="38">
        <f>ROUNDUP(O793/'Methodology &amp; Assumptions'!$B$9, 0)</f>
        <v/>
      </c>
      <c r="R793" s="39" t="n">
        <v>1</v>
      </c>
      <c r="S793" s="21" t="n">
        <v>0.46</v>
      </c>
      <c r="T793" s="21" t="n">
        <v>5.09</v>
      </c>
      <c r="U793" s="36" t="inlineStr">
        <is>
          <t>Tier 1A (Direct Coloc, &lt;1 km)</t>
        </is>
      </c>
      <c r="V793" s="20" t="n">
        <v>85.8</v>
      </c>
      <c r="W793" s="20" t="n">
        <v>59.5</v>
      </c>
      <c r="X793" s="20" t="n">
        <v>58</v>
      </c>
      <c r="Y793" s="40">
        <f>ROUND((V793*'Methodology &amp; Assumptions'!$B$6)+(W793*'Methodology &amp; Assumptions'!$B$5)+(X793*'Methodology &amp; Assumptions'!$B$7), 2)</f>
        <v/>
      </c>
    </row>
    <row r="794" ht="19" customHeight="1">
      <c r="A794" s="41" t="n">
        <v>790</v>
      </c>
      <c r="B794" s="41" t="n">
        <v>2790</v>
      </c>
      <c r="C794" s="42" t="inlineStr">
        <is>
          <t>0102818003</t>
        </is>
      </c>
      <c r="D794" s="42" t="inlineStr">
        <is>
          <t>Region I (Ilocos Region)</t>
        </is>
      </c>
      <c r="E794" s="42" t="inlineStr">
        <is>
          <t>Ilocos Norte</t>
        </is>
      </c>
      <c r="F794" s="42" t="inlineStr">
        <is>
          <t>Piddig</t>
        </is>
      </c>
      <c r="G794" s="42" t="inlineStr">
        <is>
          <t>Anao</t>
        </is>
      </c>
      <c r="H794" s="43" t="n">
        <v>18.164177</v>
      </c>
      <c r="I794" s="43" t="n">
        <v>120.71847</v>
      </c>
      <c r="J794" s="44" t="inlineStr">
        <is>
          <t>R</t>
        </is>
      </c>
      <c r="K794" s="42" t="inlineStr">
        <is>
          <t>Class 1-3 / Urban</t>
        </is>
      </c>
      <c r="L794" s="23" t="n">
        <v>1234</v>
      </c>
      <c r="M794" s="24" t="n">
        <v>4.35</v>
      </c>
      <c r="N794" s="23">
        <f>ROUND(L794/M794, 0)</f>
        <v/>
      </c>
      <c r="O794" s="23">
        <f>ROUND(N794*'Methodology &amp; Assumptions'!$B$8, 0)</f>
        <v/>
      </c>
      <c r="P794" s="44" t="inlineStr">
        <is>
          <t>Band n50 (1.5 GHz, 60 MHz)</t>
        </is>
      </c>
      <c r="Q794" s="38">
        <f>ROUNDUP(O794/'Methodology &amp; Assumptions'!$B$9, 0)</f>
        <v/>
      </c>
      <c r="R794" s="39" t="n">
        <v>1</v>
      </c>
      <c r="S794" s="25" t="n">
        <v>0.36</v>
      </c>
      <c r="T794" s="25" t="n">
        <v>0.08</v>
      </c>
      <c r="U794" s="42" t="inlineStr">
        <is>
          <t>Tier 1A (Direct Coloc, &lt;1 km)</t>
        </is>
      </c>
      <c r="V794" s="24" t="n">
        <v>98.59999999999999</v>
      </c>
      <c r="W794" s="24" t="n">
        <v>46.7</v>
      </c>
      <c r="X794" s="24" t="n">
        <v>58</v>
      </c>
      <c r="Y794" s="45">
        <f>ROUND((V794*'Methodology &amp; Assumptions'!$B$6)+(W794*'Methodology &amp; Assumptions'!$B$5)+(X794*'Methodology &amp; Assumptions'!$B$7), 2)</f>
        <v/>
      </c>
    </row>
    <row r="795" ht="19" customHeight="1">
      <c r="A795" s="35" t="n">
        <v>791</v>
      </c>
      <c r="B795" s="35" t="n">
        <v>2791</v>
      </c>
      <c r="C795" s="36" t="inlineStr">
        <is>
          <t>0304917026</t>
        </is>
      </c>
      <c r="D795" s="36" t="inlineStr">
        <is>
          <t>Region III (Central Luzon)</t>
        </is>
      </c>
      <c r="E795" s="36" t="inlineStr">
        <is>
          <t>Nueva Ecija</t>
        </is>
      </c>
      <c r="F795" s="36" t="inlineStr">
        <is>
          <t>Science City of Muñoz</t>
        </is>
      </c>
      <c r="G795" s="36" t="inlineStr">
        <is>
          <t>Poblacion East</t>
        </is>
      </c>
      <c r="H795" s="37" t="n">
        <v>15.71277</v>
      </c>
      <c r="I795" s="37" t="n">
        <v>120.90556</v>
      </c>
      <c r="J795" s="8" t="inlineStr">
        <is>
          <t>U</t>
        </is>
      </c>
      <c r="K795" s="36" t="inlineStr">
        <is>
          <t>Class 1-3 / Urban</t>
        </is>
      </c>
      <c r="L795" s="18" t="n">
        <v>2006</v>
      </c>
      <c r="M795" s="20" t="n">
        <v>4.32</v>
      </c>
      <c r="N795" s="18">
        <f>ROUND(L795/M795, 0)</f>
        <v/>
      </c>
      <c r="O795" s="18">
        <f>ROUND(N795*'Methodology &amp; Assumptions'!$B$8, 0)</f>
        <v/>
      </c>
      <c r="P795" s="8" t="inlineStr">
        <is>
          <t>Band n50 (1.5 GHz, 60 MHz)</t>
        </is>
      </c>
      <c r="Q795" s="38">
        <f>ROUNDUP(O795/'Methodology &amp; Assumptions'!$B$9, 0)</f>
        <v/>
      </c>
      <c r="R795" s="39" t="n">
        <v>1</v>
      </c>
      <c r="S795" s="21" t="n">
        <v>0.42</v>
      </c>
      <c r="T795" s="21" t="n">
        <v>0.28</v>
      </c>
      <c r="U795" s="36" t="inlineStr">
        <is>
          <t>Tier 1A (Direct Coloc, &lt;1 km)</t>
        </is>
      </c>
      <c r="V795" s="20" t="n">
        <v>97</v>
      </c>
      <c r="W795" s="20" t="n">
        <v>61.1</v>
      </c>
      <c r="X795" s="20" t="n">
        <v>43</v>
      </c>
      <c r="Y795" s="40">
        <f>ROUND((V795*'Methodology &amp; Assumptions'!$B$6)+(W795*'Methodology &amp; Assumptions'!$B$5)+(X795*'Methodology &amp; Assumptions'!$B$7), 2)</f>
        <v/>
      </c>
    </row>
    <row r="796" ht="19" customHeight="1">
      <c r="A796" s="41" t="n">
        <v>792</v>
      </c>
      <c r="B796" s="41" t="n">
        <v>2792</v>
      </c>
      <c r="C796" s="42" t="inlineStr">
        <is>
          <t>0501736003</t>
        </is>
      </c>
      <c r="D796" s="42" t="inlineStr">
        <is>
          <t>Region V (Bicol Region)</t>
        </is>
      </c>
      <c r="E796" s="42" t="inlineStr">
        <is>
          <t>Camarines Sur</t>
        </is>
      </c>
      <c r="F796" s="42" t="inlineStr">
        <is>
          <t>Tigaon</t>
        </is>
      </c>
      <c r="G796" s="42" t="inlineStr">
        <is>
          <t>Caraycayon</t>
        </is>
      </c>
      <c r="H796" s="43" t="n">
        <v>13.618785</v>
      </c>
      <c r="I796" s="43" t="n">
        <v>123.490449</v>
      </c>
      <c r="J796" s="44" t="inlineStr">
        <is>
          <t>U</t>
        </is>
      </c>
      <c r="K796" s="42" t="inlineStr">
        <is>
          <t>Class 1-3 / Urban</t>
        </is>
      </c>
      <c r="L796" s="23" t="n">
        <v>4975</v>
      </c>
      <c r="M796" s="24" t="n">
        <v>4.9</v>
      </c>
      <c r="N796" s="23">
        <f>ROUND(L796/M796, 0)</f>
        <v/>
      </c>
      <c r="O796" s="23">
        <f>ROUND(N796*'Methodology &amp; Assumptions'!$B$8, 0)</f>
        <v/>
      </c>
      <c r="P796" s="44" t="inlineStr">
        <is>
          <t>Band n50 (1.5 GHz, 60 MHz)</t>
        </is>
      </c>
      <c r="Q796" s="38">
        <f>ROUNDUP(O796/'Methodology &amp; Assumptions'!$B$9, 0)</f>
        <v/>
      </c>
      <c r="R796" s="39" t="n">
        <v>1</v>
      </c>
      <c r="S796" s="25" t="n">
        <v>1.49</v>
      </c>
      <c r="T796" s="25" t="n">
        <v>0.19</v>
      </c>
      <c r="U796" s="42" t="inlineStr">
        <is>
          <t>Tier 1B (Micro Drop, 1-3 km)</t>
        </is>
      </c>
      <c r="V796" s="24" t="n">
        <v>70.90000000000001</v>
      </c>
      <c r="W796" s="24" t="n">
        <v>100</v>
      </c>
      <c r="X796" s="24" t="n">
        <v>28</v>
      </c>
      <c r="Y796" s="45">
        <f>ROUND((V796*'Methodology &amp; Assumptions'!$B$6)+(W796*'Methodology &amp; Assumptions'!$B$5)+(X796*'Methodology &amp; Assumptions'!$B$7), 2)</f>
        <v/>
      </c>
    </row>
    <row r="797" ht="19" customHeight="1">
      <c r="A797" s="35" t="n">
        <v>793</v>
      </c>
      <c r="B797" s="35" t="n">
        <v>2793</v>
      </c>
      <c r="C797" s="36" t="inlineStr">
        <is>
          <t>0201529001</t>
        </is>
      </c>
      <c r="D797" s="36" t="inlineStr">
        <is>
          <t>Region II (Cagayan Valley)</t>
        </is>
      </c>
      <c r="E797" s="36" t="inlineStr">
        <is>
          <t>Cagayan</t>
        </is>
      </c>
      <c r="F797" s="36" t="inlineStr">
        <is>
          <t>Tuguegarao City</t>
        </is>
      </c>
      <c r="G797" s="36" t="inlineStr">
        <is>
          <t>Annafunan East</t>
        </is>
      </c>
      <c r="H797" s="37" t="n">
        <v>17.384</v>
      </c>
      <c r="I797" s="37" t="n">
        <v>121.432</v>
      </c>
      <c r="J797" s="8" t="inlineStr">
        <is>
          <t>R</t>
        </is>
      </c>
      <c r="K797" s="36" t="inlineStr">
        <is>
          <t>Class 1-3 / Urban</t>
        </is>
      </c>
      <c r="L797" s="18" t="n">
        <v>4945</v>
      </c>
      <c r="M797" s="20" t="n">
        <v>4.38</v>
      </c>
      <c r="N797" s="18">
        <f>ROUND(L797/M797, 0)</f>
        <v/>
      </c>
      <c r="O797" s="18">
        <f>ROUND(N797*'Methodology &amp; Assumptions'!$B$8, 0)</f>
        <v/>
      </c>
      <c r="P797" s="8" t="inlineStr">
        <is>
          <t>Band n50 (1.5 GHz, 60 MHz)</t>
        </is>
      </c>
      <c r="Q797" s="38">
        <f>ROUNDUP(O797/'Methodology &amp; Assumptions'!$B$9, 0)</f>
        <v/>
      </c>
      <c r="R797" s="39" t="n">
        <v>1</v>
      </c>
      <c r="S797" s="21" t="n">
        <v>3.39</v>
      </c>
      <c r="T797" s="21" t="n">
        <v>2.51</v>
      </c>
      <c r="U797" s="36" t="inlineStr">
        <is>
          <t>Tier 2 (Fiber Corridor / Lateral, 3-5 km)</t>
        </is>
      </c>
      <c r="V797" s="20" t="n">
        <v>32.3</v>
      </c>
      <c r="W797" s="20" t="n">
        <v>100</v>
      </c>
      <c r="X797" s="20" t="n">
        <v>73</v>
      </c>
      <c r="Y797" s="40">
        <f>ROUND((V797*'Methodology &amp; Assumptions'!$B$6)+(W797*'Methodology &amp; Assumptions'!$B$5)+(X797*'Methodology &amp; Assumptions'!$B$7), 2)</f>
        <v/>
      </c>
    </row>
    <row r="798" ht="19" customHeight="1">
      <c r="A798" s="41" t="n">
        <v>794</v>
      </c>
      <c r="B798" s="41" t="n">
        <v>2794</v>
      </c>
      <c r="C798" s="42" t="inlineStr">
        <is>
          <t>0301412014</t>
        </is>
      </c>
      <c r="D798" s="42" t="inlineStr">
        <is>
          <t>Region III (Central Luzon)</t>
        </is>
      </c>
      <c r="E798" s="42" t="inlineStr">
        <is>
          <t>Bulacan</t>
        </is>
      </c>
      <c r="F798" s="42" t="inlineStr">
        <is>
          <t>City of Meycauayan</t>
        </is>
      </c>
      <c r="G798" s="42" t="inlineStr">
        <is>
          <t>Longos</t>
        </is>
      </c>
      <c r="H798" s="43" t="n">
        <v>14.734816</v>
      </c>
      <c r="I798" s="43" t="n">
        <v>120.949436</v>
      </c>
      <c r="J798" s="44" t="inlineStr">
        <is>
          <t>R</t>
        </is>
      </c>
      <c r="K798" s="42" t="inlineStr">
        <is>
          <t>Class 1-3 / Urban</t>
        </is>
      </c>
      <c r="L798" s="23" t="n">
        <v>2903</v>
      </c>
      <c r="M798" s="24" t="n">
        <v>4.1</v>
      </c>
      <c r="N798" s="23">
        <f>ROUND(L798/M798, 0)</f>
        <v/>
      </c>
      <c r="O798" s="23">
        <f>ROUND(N798*'Methodology &amp; Assumptions'!$B$8, 0)</f>
        <v/>
      </c>
      <c r="P798" s="44" t="inlineStr">
        <is>
          <t>Band n50 (1.5 GHz, 60 MHz)</t>
        </is>
      </c>
      <c r="Q798" s="38">
        <f>ROUNDUP(O798/'Methodology &amp; Assumptions'!$B$9, 0)</f>
        <v/>
      </c>
      <c r="R798" s="39" t="n">
        <v>1</v>
      </c>
      <c r="S798" s="25" t="n">
        <v>1.81</v>
      </c>
      <c r="T798" s="25" t="n">
        <v>1.27</v>
      </c>
      <c r="U798" s="42" t="inlineStr">
        <is>
          <t>Tier 1B (Micro Drop, 1-3 km)</t>
        </is>
      </c>
      <c r="V798" s="24" t="n">
        <v>64.7</v>
      </c>
      <c r="W798" s="24" t="n">
        <v>80.5</v>
      </c>
      <c r="X798" s="24" t="n">
        <v>58</v>
      </c>
      <c r="Y798" s="45">
        <f>ROUND((V798*'Methodology &amp; Assumptions'!$B$6)+(W798*'Methodology &amp; Assumptions'!$B$5)+(X798*'Methodology &amp; Assumptions'!$B$7), 2)</f>
        <v/>
      </c>
    </row>
    <row r="799" ht="19" customHeight="1">
      <c r="A799" s="35" t="n">
        <v>795</v>
      </c>
      <c r="B799" s="35" t="n">
        <v>2795</v>
      </c>
      <c r="C799" s="36" t="inlineStr">
        <is>
          <t>0702233015</t>
        </is>
      </c>
      <c r="D799" s="36" t="inlineStr">
        <is>
          <t>Region VII (Central Visayas)</t>
        </is>
      </c>
      <c r="E799" s="36" t="inlineStr">
        <is>
          <t>Cebu</t>
        </is>
      </c>
      <c r="F799" s="36" t="inlineStr">
        <is>
          <t>Moalboal</t>
        </is>
      </c>
      <c r="G799" s="36" t="inlineStr">
        <is>
          <t>Tunga</t>
        </is>
      </c>
      <c r="H799" s="37" t="n">
        <v>9.952368999999999</v>
      </c>
      <c r="I799" s="37" t="n">
        <v>123.400735</v>
      </c>
      <c r="J799" s="8" t="inlineStr">
        <is>
          <t>R</t>
        </is>
      </c>
      <c r="K799" s="36" t="inlineStr">
        <is>
          <t>1st</t>
        </is>
      </c>
      <c r="L799" s="18" t="n">
        <v>2862</v>
      </c>
      <c r="M799" s="20" t="n">
        <v>4.27</v>
      </c>
      <c r="N799" s="18">
        <f>ROUND(L799/M799, 0)</f>
        <v/>
      </c>
      <c r="O799" s="18">
        <f>ROUND(N799*'Methodology &amp; Assumptions'!$B$8, 0)</f>
        <v/>
      </c>
      <c r="P799" s="8" t="inlineStr">
        <is>
          <t>Band n50 (1.5 GHz, 60 MHz)</t>
        </is>
      </c>
      <c r="Q799" s="38">
        <f>ROUNDUP(O799/'Methodology &amp; Assumptions'!$B$9, 0)</f>
        <v/>
      </c>
      <c r="R799" s="39" t="n">
        <v>1</v>
      </c>
      <c r="S799" s="21" t="n">
        <v>1.66</v>
      </c>
      <c r="T799" s="21" t="n">
        <v>0.06</v>
      </c>
      <c r="U799" s="36" t="inlineStr">
        <is>
          <t>Tier 1B (Micro Drop, 1-3 km)</t>
        </is>
      </c>
      <c r="V799" s="20" t="n">
        <v>67.59999999999999</v>
      </c>
      <c r="W799" s="20" t="n">
        <v>77.59999999999999</v>
      </c>
      <c r="X799" s="20" t="n">
        <v>58</v>
      </c>
      <c r="Y799" s="40">
        <f>ROUND((V799*'Methodology &amp; Assumptions'!$B$6)+(W799*'Methodology &amp; Assumptions'!$B$5)+(X799*'Methodology &amp; Assumptions'!$B$7), 2)</f>
        <v/>
      </c>
    </row>
    <row r="800" ht="19" customHeight="1">
      <c r="A800" s="41" t="n">
        <v>796</v>
      </c>
      <c r="B800" s="41" t="n">
        <v>2796</v>
      </c>
      <c r="C800" s="42" t="inlineStr">
        <is>
          <t>0403428006</t>
        </is>
      </c>
      <c r="D800" s="42" t="inlineStr">
        <is>
          <t>Region IV-A (CALABARZON)</t>
        </is>
      </c>
      <c r="E800" s="42" t="inlineStr">
        <is>
          <t>Laguna</t>
        </is>
      </c>
      <c r="F800" s="42" t="inlineStr">
        <is>
          <t>City of Santa Rosa</t>
        </is>
      </c>
      <c r="G800" s="42" t="inlineStr">
        <is>
          <t>Don Jose</t>
        </is>
      </c>
      <c r="H800" s="43" t="n">
        <v>14.25637</v>
      </c>
      <c r="I800" s="43" t="n">
        <v>121.065921</v>
      </c>
      <c r="J800" s="44" t="inlineStr">
        <is>
          <t>U</t>
        </is>
      </c>
      <c r="K800" s="42" t="inlineStr">
        <is>
          <t>Class 1-3 / Urban</t>
        </is>
      </c>
      <c r="L800" s="23" t="n">
        <v>18039</v>
      </c>
      <c r="M800" s="24" t="n">
        <v>4.2</v>
      </c>
      <c r="N800" s="23">
        <f>ROUND(L800/M800, 0)</f>
        <v/>
      </c>
      <c r="O800" s="23">
        <f>ROUND(N800*'Methodology &amp; Assumptions'!$B$8, 0)</f>
        <v/>
      </c>
      <c r="P800" s="44" t="inlineStr">
        <is>
          <t>Band n50 (1.5 GHz, 60 MHz)</t>
        </is>
      </c>
      <c r="Q800" s="38">
        <f>ROUNDUP(O800/'Methodology &amp; Assumptions'!$B$9, 0)</f>
        <v/>
      </c>
      <c r="R800" s="39" t="n">
        <v>1</v>
      </c>
      <c r="S800" s="25" t="n">
        <v>1.49</v>
      </c>
      <c r="T800" s="25" t="n">
        <v>0.36</v>
      </c>
      <c r="U800" s="42" t="inlineStr">
        <is>
          <t>Tier 1B (Micro Drop, 1-3 km)</t>
        </is>
      </c>
      <c r="V800" s="24" t="n">
        <v>70.90000000000001</v>
      </c>
      <c r="W800" s="24" t="n">
        <v>100</v>
      </c>
      <c r="X800" s="24" t="n">
        <v>28</v>
      </c>
      <c r="Y800" s="45">
        <f>ROUND((V800*'Methodology &amp; Assumptions'!$B$6)+(W800*'Methodology &amp; Assumptions'!$B$5)+(X800*'Methodology &amp; Assumptions'!$B$7), 2)</f>
        <v/>
      </c>
    </row>
    <row r="801" ht="19" customHeight="1">
      <c r="A801" s="35" t="n">
        <v>797</v>
      </c>
      <c r="B801" s="35" t="n">
        <v>2797</v>
      </c>
      <c r="C801" s="36" t="inlineStr">
        <is>
          <t>0304926031</t>
        </is>
      </c>
      <c r="D801" s="36" t="inlineStr">
        <is>
          <t>Region III (Central Luzon)</t>
        </is>
      </c>
      <c r="E801" s="36" t="inlineStr">
        <is>
          <t>Nueva Ecija</t>
        </is>
      </c>
      <c r="F801" s="36" t="inlineStr">
        <is>
          <t>San Jose City</t>
        </is>
      </c>
      <c r="G801" s="36" t="inlineStr">
        <is>
          <t>Santo Niño 2nd</t>
        </is>
      </c>
      <c r="H801" s="37" t="n">
        <v>15.797046</v>
      </c>
      <c r="I801" s="37" t="n">
        <v>120.9741</v>
      </c>
      <c r="J801" s="8" t="inlineStr">
        <is>
          <t>U</t>
        </is>
      </c>
      <c r="K801" s="36" t="inlineStr">
        <is>
          <t>Class 1-3 / Urban</t>
        </is>
      </c>
      <c r="L801" s="18" t="n">
        <v>6093</v>
      </c>
      <c r="M801" s="20" t="n">
        <v>4.32</v>
      </c>
      <c r="N801" s="18">
        <f>ROUND(L801/M801, 0)</f>
        <v/>
      </c>
      <c r="O801" s="18">
        <f>ROUND(N801*'Methodology &amp; Assumptions'!$B$8, 0)</f>
        <v/>
      </c>
      <c r="P801" s="8" t="inlineStr">
        <is>
          <t>Band n50 (1.5 GHz, 60 MHz)</t>
        </is>
      </c>
      <c r="Q801" s="38">
        <f>ROUNDUP(O801/'Methodology &amp; Assumptions'!$B$9, 0)</f>
        <v/>
      </c>
      <c r="R801" s="39" t="n">
        <v>1</v>
      </c>
      <c r="S801" s="21" t="n">
        <v>1.49</v>
      </c>
      <c r="T801" s="21" t="n">
        <v>0.06</v>
      </c>
      <c r="U801" s="36" t="inlineStr">
        <is>
          <t>Tier 1B (Micro Drop, 1-3 km)</t>
        </is>
      </c>
      <c r="V801" s="20" t="n">
        <v>70.90000000000001</v>
      </c>
      <c r="W801" s="20" t="n">
        <v>100</v>
      </c>
      <c r="X801" s="20" t="n">
        <v>28</v>
      </c>
      <c r="Y801" s="40">
        <f>ROUND((V801*'Methodology &amp; Assumptions'!$B$6)+(W801*'Methodology &amp; Assumptions'!$B$5)+(X801*'Methodology &amp; Assumptions'!$B$7), 2)</f>
        <v/>
      </c>
    </row>
    <row r="802" ht="19" customHeight="1">
      <c r="A802" s="41" t="n">
        <v>798</v>
      </c>
      <c r="B802" s="41" t="n">
        <v>2798</v>
      </c>
      <c r="C802" s="42" t="inlineStr">
        <is>
          <t>0601914027</t>
        </is>
      </c>
      <c r="D802" s="42" t="inlineStr">
        <is>
          <t>Region VI (Western Visayas)</t>
        </is>
      </c>
      <c r="E802" s="42" t="inlineStr">
        <is>
          <t>Capiz</t>
        </is>
      </c>
      <c r="F802" s="42" t="inlineStr">
        <is>
          <t>City of Roxas</t>
        </is>
      </c>
      <c r="G802" s="42" t="inlineStr">
        <is>
          <t>Dayao</t>
        </is>
      </c>
      <c r="H802" s="43" t="n">
        <v>11.585452</v>
      </c>
      <c r="I802" s="43" t="n">
        <v>122.735104</v>
      </c>
      <c r="J802" s="44" t="inlineStr">
        <is>
          <t>U</t>
        </is>
      </c>
      <c r="K802" s="42" t="inlineStr">
        <is>
          <t>Class 1-3 / Urban</t>
        </is>
      </c>
      <c r="L802" s="23" t="n">
        <v>5211</v>
      </c>
      <c r="M802" s="24" t="n">
        <v>4.2</v>
      </c>
      <c r="N802" s="23">
        <f>ROUND(L802/M802, 0)</f>
        <v/>
      </c>
      <c r="O802" s="23">
        <f>ROUND(N802*'Methodology &amp; Assumptions'!$B$8, 0)</f>
        <v/>
      </c>
      <c r="P802" s="44" t="inlineStr">
        <is>
          <t>Band n50 (1.5 GHz, 60 MHz)</t>
        </is>
      </c>
      <c r="Q802" s="38">
        <f>ROUNDUP(O802/'Methodology &amp; Assumptions'!$B$9, 0)</f>
        <v/>
      </c>
      <c r="R802" s="39" t="n">
        <v>1</v>
      </c>
      <c r="S802" s="25" t="n">
        <v>1.49</v>
      </c>
      <c r="T802" s="25" t="n">
        <v>1.36</v>
      </c>
      <c r="U802" s="42" t="inlineStr">
        <is>
          <t>Tier 1B (Micro Drop, 1-3 km)</t>
        </is>
      </c>
      <c r="V802" s="24" t="n">
        <v>70.90000000000001</v>
      </c>
      <c r="W802" s="24" t="n">
        <v>100</v>
      </c>
      <c r="X802" s="24" t="n">
        <v>28</v>
      </c>
      <c r="Y802" s="45">
        <f>ROUND((V802*'Methodology &amp; Assumptions'!$B$6)+(W802*'Methodology &amp; Assumptions'!$B$5)+(X802*'Methodology &amp; Assumptions'!$B$7), 2)</f>
        <v/>
      </c>
    </row>
    <row r="803" ht="19" customHeight="1">
      <c r="A803" s="35" t="n">
        <v>799</v>
      </c>
      <c r="B803" s="35" t="n">
        <v>2799</v>
      </c>
      <c r="C803" s="36" t="inlineStr">
        <is>
          <t>0405619039</t>
        </is>
      </c>
      <c r="D803" s="36" t="inlineStr">
        <is>
          <t>Region IV-A (CALABARZON)</t>
        </is>
      </c>
      <c r="E803" s="36" t="inlineStr">
        <is>
          <t>Quezon</t>
        </is>
      </c>
      <c r="F803" s="36" t="inlineStr">
        <is>
          <t>Gumaca</t>
        </is>
      </c>
      <c r="G803" s="36" t="inlineStr">
        <is>
          <t>Rosario</t>
        </is>
      </c>
      <c r="H803" s="37" t="n">
        <v>13.929192</v>
      </c>
      <c r="I803" s="37" t="n">
        <v>122.095629</v>
      </c>
      <c r="J803" s="8" t="inlineStr">
        <is>
          <t>U</t>
        </is>
      </c>
      <c r="K803" s="36" t="inlineStr">
        <is>
          <t>Class 1-3 / Urban</t>
        </is>
      </c>
      <c r="L803" s="18" t="n">
        <v>6477</v>
      </c>
      <c r="M803" s="20" t="n">
        <v>4.46</v>
      </c>
      <c r="N803" s="18">
        <f>ROUND(L803/M803, 0)</f>
        <v/>
      </c>
      <c r="O803" s="18">
        <f>ROUND(N803*'Methodology &amp; Assumptions'!$B$8, 0)</f>
        <v/>
      </c>
      <c r="P803" s="8" t="inlineStr">
        <is>
          <t>Band n50 (1.5 GHz, 60 MHz)</t>
        </is>
      </c>
      <c r="Q803" s="38">
        <f>ROUNDUP(O803/'Methodology &amp; Assumptions'!$B$9, 0)</f>
        <v/>
      </c>
      <c r="R803" s="39" t="n">
        <v>1</v>
      </c>
      <c r="S803" s="21" t="n">
        <v>1.49</v>
      </c>
      <c r="T803" s="21" t="n">
        <v>0.04</v>
      </c>
      <c r="U803" s="36" t="inlineStr">
        <is>
          <t>Tier 1B (Micro Drop, 1-3 km)</t>
        </is>
      </c>
      <c r="V803" s="20" t="n">
        <v>70.90000000000001</v>
      </c>
      <c r="W803" s="20" t="n">
        <v>100</v>
      </c>
      <c r="X803" s="20" t="n">
        <v>28</v>
      </c>
      <c r="Y803" s="40">
        <f>ROUND((V803*'Methodology &amp; Assumptions'!$B$6)+(W803*'Methodology &amp; Assumptions'!$B$5)+(X803*'Methodology &amp; Assumptions'!$B$7), 2)</f>
        <v/>
      </c>
    </row>
    <row r="804" ht="19" customHeight="1">
      <c r="A804" s="41" t="n">
        <v>800</v>
      </c>
      <c r="B804" s="41" t="n">
        <v>2800</v>
      </c>
      <c r="C804" s="42" t="inlineStr">
        <is>
          <t>1705205048</t>
        </is>
      </c>
      <c r="D804" s="42" t="inlineStr">
        <is>
          <t>MIMAROPA Region</t>
        </is>
      </c>
      <c r="E804" s="42" t="inlineStr">
        <is>
          <t>Oriental Mindoro</t>
        </is>
      </c>
      <c r="F804" s="42" t="inlineStr">
        <is>
          <t>City of Calapan</t>
        </is>
      </c>
      <c r="G804" s="42" t="inlineStr">
        <is>
          <t>Salong</t>
        </is>
      </c>
      <c r="H804" s="43" t="n">
        <v>13.420621</v>
      </c>
      <c r="I804" s="43" t="n">
        <v>121.190494</v>
      </c>
      <c r="J804" s="44" t="inlineStr">
        <is>
          <t>U</t>
        </is>
      </c>
      <c r="K804" s="42" t="inlineStr">
        <is>
          <t>Class 1-3 / Urban</t>
        </is>
      </c>
      <c r="L804" s="23" t="n">
        <v>3784</v>
      </c>
      <c r="M804" s="24" t="n">
        <v>4.41</v>
      </c>
      <c r="N804" s="23">
        <f>ROUND(L804/M804, 0)</f>
        <v/>
      </c>
      <c r="O804" s="23">
        <f>ROUND(N804*'Methodology &amp; Assumptions'!$B$8, 0)</f>
        <v/>
      </c>
      <c r="P804" s="44" t="inlineStr">
        <is>
          <t>Band n50 (1.5 GHz, 60 MHz)</t>
        </is>
      </c>
      <c r="Q804" s="38">
        <f>ROUNDUP(O804/'Methodology &amp; Assumptions'!$B$9, 0)</f>
        <v/>
      </c>
      <c r="R804" s="39" t="n">
        <v>1</v>
      </c>
      <c r="S804" s="25" t="n">
        <v>0.58</v>
      </c>
      <c r="T804" s="25" t="n">
        <v>5.61</v>
      </c>
      <c r="U804" s="42" t="inlineStr">
        <is>
          <t>Tier 1A (Direct Coloc, &lt;1 km)</t>
        </is>
      </c>
      <c r="V804" s="24" t="n">
        <v>82.3</v>
      </c>
      <c r="W804" s="24" t="n">
        <v>88.5</v>
      </c>
      <c r="X804" s="24" t="n">
        <v>28</v>
      </c>
      <c r="Y804" s="45">
        <f>ROUND((V804*'Methodology &amp; Assumptions'!$B$6)+(W804*'Methodology &amp; Assumptions'!$B$5)+(X804*'Methodology &amp; Assumptions'!$B$7), 2)</f>
        <v/>
      </c>
    </row>
    <row r="805" ht="19" customHeight="1">
      <c r="A805" s="35" t="n">
        <v>801</v>
      </c>
      <c r="B805" s="35" t="n">
        <v>2801</v>
      </c>
      <c r="C805" s="36" t="inlineStr">
        <is>
          <t>0305422006</t>
        </is>
      </c>
      <c r="D805" s="36" t="inlineStr">
        <is>
          <t>Region III (Central Luzon)</t>
        </is>
      </c>
      <c r="E805" s="36" t="inlineStr">
        <is>
          <t>Pampanga</t>
        </is>
      </c>
      <c r="F805" s="36" t="inlineStr">
        <is>
          <t>Sasmuan</t>
        </is>
      </c>
      <c r="G805" s="36" t="inlineStr">
        <is>
          <t>Sta. Lucia</t>
        </is>
      </c>
      <c r="H805" s="37" t="n">
        <v>14.948603</v>
      </c>
      <c r="I805" s="37" t="n">
        <v>120.623627</v>
      </c>
      <c r="J805" s="8" t="inlineStr">
        <is>
          <t>R</t>
        </is>
      </c>
      <c r="K805" s="36" t="inlineStr">
        <is>
          <t>3rd</t>
        </is>
      </c>
      <c r="L805" s="18" t="n">
        <v>3538</v>
      </c>
      <c r="M805" s="20" t="n">
        <v>4.82</v>
      </c>
      <c r="N805" s="18">
        <f>ROUND(L805/M805, 0)</f>
        <v/>
      </c>
      <c r="O805" s="18">
        <f>ROUND(N805*'Methodology &amp; Assumptions'!$B$8, 0)</f>
        <v/>
      </c>
      <c r="P805" s="8" t="inlineStr">
        <is>
          <t>Band n50 (1.5 GHz, 60 MHz)</t>
        </is>
      </c>
      <c r="Q805" s="38">
        <f>ROUNDUP(O805/'Methodology &amp; Assumptions'!$B$9, 0)</f>
        <v/>
      </c>
      <c r="R805" s="39" t="n">
        <v>1</v>
      </c>
      <c r="S805" s="21" t="n">
        <v>2.78</v>
      </c>
      <c r="T805" s="21" t="n">
        <v>1.86</v>
      </c>
      <c r="U805" s="36" t="inlineStr">
        <is>
          <t>Tier 1B (Micro Drop, 1-3 km)</t>
        </is>
      </c>
      <c r="V805" s="20" t="n">
        <v>49.6</v>
      </c>
      <c r="W805" s="20" t="n">
        <v>82.7</v>
      </c>
      <c r="X805" s="20" t="n">
        <v>73</v>
      </c>
      <c r="Y805" s="40">
        <f>ROUND((V805*'Methodology &amp; Assumptions'!$B$6)+(W805*'Methodology &amp; Assumptions'!$B$5)+(X805*'Methodology &amp; Assumptions'!$B$7), 2)</f>
        <v/>
      </c>
    </row>
    <row r="806" ht="19" customHeight="1">
      <c r="A806" s="41" t="n">
        <v>802</v>
      </c>
      <c r="B806" s="41" t="n">
        <v>2802</v>
      </c>
      <c r="C806" s="42" t="inlineStr">
        <is>
          <t>0305405010</t>
        </is>
      </c>
      <c r="D806" s="42" t="inlineStr">
        <is>
          <t>Region III (Central Luzon)</t>
        </is>
      </c>
      <c r="E806" s="42" t="inlineStr">
        <is>
          <t>Pampanga</t>
        </is>
      </c>
      <c r="F806" s="42" t="inlineStr">
        <is>
          <t>Candaba</t>
        </is>
      </c>
      <c r="G806" s="42" t="inlineStr">
        <is>
          <t>Dulong Ilog</t>
        </is>
      </c>
      <c r="H806" s="43" t="n">
        <v>15.03764</v>
      </c>
      <c r="I806" s="43" t="n">
        <v>120.8654</v>
      </c>
      <c r="J806" s="44" t="inlineStr">
        <is>
          <t>R</t>
        </is>
      </c>
      <c r="K806" s="42" t="inlineStr">
        <is>
          <t>Class 1-3 / Urban</t>
        </is>
      </c>
      <c r="L806" s="23" t="n">
        <v>4790</v>
      </c>
      <c r="M806" s="24" t="n">
        <v>4.63</v>
      </c>
      <c r="N806" s="23">
        <f>ROUND(L806/M806, 0)</f>
        <v/>
      </c>
      <c r="O806" s="23">
        <f>ROUND(N806*'Methodology &amp; Assumptions'!$B$8, 0)</f>
        <v/>
      </c>
      <c r="P806" s="44" t="inlineStr">
        <is>
          <t>Band n50 (1.5 GHz, 60 MHz)</t>
        </is>
      </c>
      <c r="Q806" s="38">
        <f>ROUNDUP(O806/'Methodology &amp; Assumptions'!$B$9, 0)</f>
        <v/>
      </c>
      <c r="R806" s="39" t="n">
        <v>1</v>
      </c>
      <c r="S806" s="25" t="n">
        <v>2.39</v>
      </c>
      <c r="T806" s="25" t="n">
        <v>2.02</v>
      </c>
      <c r="U806" s="42" t="inlineStr">
        <is>
          <t>Tier 1B (Micro Drop, 1-3 km)</t>
        </is>
      </c>
      <c r="V806" s="24" t="n">
        <v>45.1</v>
      </c>
      <c r="W806" s="24" t="n">
        <v>100</v>
      </c>
      <c r="X806" s="24" t="n">
        <v>58</v>
      </c>
      <c r="Y806" s="45">
        <f>ROUND((V806*'Methodology &amp; Assumptions'!$B$6)+(W806*'Methodology &amp; Assumptions'!$B$5)+(X806*'Methodology &amp; Assumptions'!$B$7), 2)</f>
        <v/>
      </c>
    </row>
    <row r="807" ht="19" customHeight="1">
      <c r="A807" s="35" t="n">
        <v>803</v>
      </c>
      <c r="B807" s="35" t="n">
        <v>2803</v>
      </c>
      <c r="C807" s="36" t="inlineStr">
        <is>
          <t>0307111011</t>
        </is>
      </c>
      <c r="D807" s="36" t="inlineStr">
        <is>
          <t>Region III (Central Luzon)</t>
        </is>
      </c>
      <c r="E807" s="36" t="inlineStr">
        <is>
          <t>Zambales</t>
        </is>
      </c>
      <c r="F807" s="36" t="inlineStr">
        <is>
          <t>San Marcelino</t>
        </is>
      </c>
      <c r="G807" s="36" t="inlineStr">
        <is>
          <t>Lucero</t>
        </is>
      </c>
      <c r="H807" s="37" t="n">
        <v>14.975526</v>
      </c>
      <c r="I807" s="37" t="n">
        <v>120.158665</v>
      </c>
      <c r="J807" s="8" t="inlineStr">
        <is>
          <t>R</t>
        </is>
      </c>
      <c r="K807" s="36" t="inlineStr">
        <is>
          <t>Class 1-3 / Urban</t>
        </is>
      </c>
      <c r="L807" s="18" t="n">
        <v>1745</v>
      </c>
      <c r="M807" s="20" t="n">
        <v>4.05</v>
      </c>
      <c r="N807" s="18">
        <f>ROUND(L807/M807, 0)</f>
        <v/>
      </c>
      <c r="O807" s="18">
        <f>ROUND(N807*'Methodology &amp; Assumptions'!$B$8, 0)</f>
        <v/>
      </c>
      <c r="P807" s="8" t="inlineStr">
        <is>
          <t>Band n50 (1.5 GHz, 60 MHz)</t>
        </is>
      </c>
      <c r="Q807" s="38">
        <f>ROUNDUP(O807/'Methodology &amp; Assumptions'!$B$9, 0)</f>
        <v/>
      </c>
      <c r="R807" s="39" t="n">
        <v>1</v>
      </c>
      <c r="S807" s="21" t="n">
        <v>0.8</v>
      </c>
      <c r="T807" s="21" t="n">
        <v>0.36</v>
      </c>
      <c r="U807" s="36" t="inlineStr">
        <is>
          <t>Tier 1A (Direct Coloc, &lt;1 km)</t>
        </is>
      </c>
      <c r="V807" s="20" t="n">
        <v>86.7</v>
      </c>
      <c r="W807" s="20" t="n">
        <v>58.4</v>
      </c>
      <c r="X807" s="20" t="n">
        <v>58</v>
      </c>
      <c r="Y807" s="40">
        <f>ROUND((V807*'Methodology &amp; Assumptions'!$B$6)+(W807*'Methodology &amp; Assumptions'!$B$5)+(X807*'Methodology &amp; Assumptions'!$B$7), 2)</f>
        <v/>
      </c>
    </row>
    <row r="808" ht="19" customHeight="1">
      <c r="A808" s="41" t="n">
        <v>804</v>
      </c>
      <c r="B808" s="41" t="n">
        <v>2804</v>
      </c>
      <c r="C808" s="42" t="inlineStr">
        <is>
          <t>0304928021</t>
        </is>
      </c>
      <c r="D808" s="42" t="inlineStr">
        <is>
          <t>Region III (Central Luzon)</t>
        </is>
      </c>
      <c r="E808" s="42" t="inlineStr">
        <is>
          <t>Nueva Ecija</t>
        </is>
      </c>
      <c r="F808" s="42" t="inlineStr">
        <is>
          <t>Santa Rosa</t>
        </is>
      </c>
      <c r="G808" s="42" t="inlineStr">
        <is>
          <t>Zamora</t>
        </is>
      </c>
      <c r="H808" s="43" t="n">
        <v>15.421133</v>
      </c>
      <c r="I808" s="43" t="n">
        <v>120.936825</v>
      </c>
      <c r="J808" s="44" t="inlineStr">
        <is>
          <t>R</t>
        </is>
      </c>
      <c r="K808" s="42" t="inlineStr">
        <is>
          <t>Class 1-3 / Urban</t>
        </is>
      </c>
      <c r="L808" s="23" t="n">
        <v>1306</v>
      </c>
      <c r="M808" s="24" t="n">
        <v>4.32</v>
      </c>
      <c r="N808" s="23">
        <f>ROUND(L808/M808, 0)</f>
        <v/>
      </c>
      <c r="O808" s="23">
        <f>ROUND(N808*'Methodology &amp; Assumptions'!$B$8, 0)</f>
        <v/>
      </c>
      <c r="P808" s="44" t="inlineStr">
        <is>
          <t>Band n50 (1.5 GHz, 60 MHz)</t>
        </is>
      </c>
      <c r="Q808" s="38">
        <f>ROUNDUP(O808/'Methodology &amp; Assumptions'!$B$9, 0)</f>
        <v/>
      </c>
      <c r="R808" s="39" t="n">
        <v>1</v>
      </c>
      <c r="S808" s="25" t="n">
        <v>0.42</v>
      </c>
      <c r="T808" s="25" t="n">
        <v>0.05</v>
      </c>
      <c r="U808" s="42" t="inlineStr">
        <is>
          <t>Tier 1A (Direct Coloc, &lt;1 km)</t>
        </is>
      </c>
      <c r="V808" s="24" t="n">
        <v>96.8</v>
      </c>
      <c r="W808" s="24" t="n">
        <v>48.3</v>
      </c>
      <c r="X808" s="24" t="n">
        <v>58</v>
      </c>
      <c r="Y808" s="45">
        <f>ROUND((V808*'Methodology &amp; Assumptions'!$B$6)+(W808*'Methodology &amp; Assumptions'!$B$5)+(X808*'Methodology &amp; Assumptions'!$B$7), 2)</f>
        <v/>
      </c>
    </row>
    <row r="809" ht="19" customHeight="1">
      <c r="A809" s="35" t="n">
        <v>805</v>
      </c>
      <c r="B809" s="35" t="n">
        <v>2805</v>
      </c>
      <c r="C809" s="36" t="inlineStr">
        <is>
          <t>0301403018</t>
        </is>
      </c>
      <c r="D809" s="36" t="inlineStr">
        <is>
          <t>Region III (Central Luzon)</t>
        </is>
      </c>
      <c r="E809" s="36" t="inlineStr">
        <is>
          <t>Bulacan</t>
        </is>
      </c>
      <c r="F809" s="36" t="inlineStr">
        <is>
          <t>Baliuag</t>
        </is>
      </c>
      <c r="G809" s="36" t="inlineStr">
        <is>
          <t>San Roque</t>
        </is>
      </c>
      <c r="H809" s="37" t="n">
        <v>14.996756</v>
      </c>
      <c r="I809" s="37" t="n">
        <v>120.891773</v>
      </c>
      <c r="J809" s="8" t="inlineStr">
        <is>
          <t>R</t>
        </is>
      </c>
      <c r="K809" s="36" t="inlineStr">
        <is>
          <t>Class 1-3 / Urban</t>
        </is>
      </c>
      <c r="L809" s="18" t="n">
        <v>3967</v>
      </c>
      <c r="M809" s="20" t="n">
        <v>4.1</v>
      </c>
      <c r="N809" s="18">
        <f>ROUND(L809/M809, 0)</f>
        <v/>
      </c>
      <c r="O809" s="18">
        <f>ROUND(N809*'Methodology &amp; Assumptions'!$B$8, 0)</f>
        <v/>
      </c>
      <c r="P809" s="8" t="inlineStr">
        <is>
          <t>Band n50 (1.5 GHz, 60 MHz)</t>
        </is>
      </c>
      <c r="Q809" s="38">
        <f>ROUNDUP(O809/'Methodology &amp; Assumptions'!$B$9, 0)</f>
        <v/>
      </c>
      <c r="R809" s="39" t="n">
        <v>1</v>
      </c>
      <c r="S809" s="21" t="n">
        <v>3.14</v>
      </c>
      <c r="T809" s="21" t="n">
        <v>0.11</v>
      </c>
      <c r="U809" s="36" t="inlineStr">
        <is>
          <t>Tier 2 (Fiber Corridor / Lateral, 3-5 km)</t>
        </is>
      </c>
      <c r="V809" s="20" t="n">
        <v>45.1</v>
      </c>
      <c r="W809" s="20" t="n">
        <v>100</v>
      </c>
      <c r="X809" s="20" t="n">
        <v>58</v>
      </c>
      <c r="Y809" s="40">
        <f>ROUND((V809*'Methodology &amp; Assumptions'!$B$6)+(W809*'Methodology &amp; Assumptions'!$B$5)+(X809*'Methodology &amp; Assumptions'!$B$7), 2)</f>
        <v/>
      </c>
    </row>
    <row r="810" ht="19" customHeight="1">
      <c r="A810" s="41" t="n">
        <v>806</v>
      </c>
      <c r="B810" s="41" t="n">
        <v>2806</v>
      </c>
      <c r="C810" s="42" t="inlineStr">
        <is>
          <t>0501722024</t>
        </is>
      </c>
      <c r="D810" s="42" t="inlineStr">
        <is>
          <t>Region V (Bicol Region)</t>
        </is>
      </c>
      <c r="E810" s="42" t="inlineStr">
        <is>
          <t>Camarines Sur</t>
        </is>
      </c>
      <c r="F810" s="42" t="inlineStr">
        <is>
          <t>Minalabac</t>
        </is>
      </c>
      <c r="G810" s="42" t="inlineStr">
        <is>
          <t>Tariric</t>
        </is>
      </c>
      <c r="H810" s="43" t="n">
        <v>13.574845</v>
      </c>
      <c r="I810" s="43" t="n">
        <v>123.227294</v>
      </c>
      <c r="J810" s="44" t="inlineStr">
        <is>
          <t>R</t>
        </is>
      </c>
      <c r="K810" s="42" t="inlineStr">
        <is>
          <t>Class 1-3 / Urban</t>
        </is>
      </c>
      <c r="L810" s="23" t="n">
        <v>3082</v>
      </c>
      <c r="M810" s="24" t="n">
        <v>4.9</v>
      </c>
      <c r="N810" s="23">
        <f>ROUND(L810/M810, 0)</f>
        <v/>
      </c>
      <c r="O810" s="23">
        <f>ROUND(N810*'Methodology &amp; Assumptions'!$B$8, 0)</f>
        <v/>
      </c>
      <c r="P810" s="44" t="inlineStr">
        <is>
          <t>Band n50 (1.5 GHz, 60 MHz)</t>
        </is>
      </c>
      <c r="Q810" s="38">
        <f>ROUNDUP(O810/'Methodology &amp; Assumptions'!$B$9, 0)</f>
        <v/>
      </c>
      <c r="R810" s="39" t="n">
        <v>1</v>
      </c>
      <c r="S810" s="25" t="n">
        <v>1.04</v>
      </c>
      <c r="T810" s="25" t="n">
        <v>2.57</v>
      </c>
      <c r="U810" s="42" t="inlineStr">
        <is>
          <t>Tier 1B (Micro Drop, 1-3 km)</t>
        </is>
      </c>
      <c r="V810" s="24" t="n">
        <v>70.7</v>
      </c>
      <c r="W810" s="24" t="n">
        <v>74.40000000000001</v>
      </c>
      <c r="X810" s="24" t="n">
        <v>58</v>
      </c>
      <c r="Y810" s="45">
        <f>ROUND((V810*'Methodology &amp; Assumptions'!$B$6)+(W810*'Methodology &amp; Assumptions'!$B$5)+(X810*'Methodology &amp; Assumptions'!$B$7), 2)</f>
        <v/>
      </c>
    </row>
    <row r="811" ht="19" customHeight="1">
      <c r="A811" s="35" t="n">
        <v>807</v>
      </c>
      <c r="B811" s="35" t="n">
        <v>2807</v>
      </c>
      <c r="C811" s="36" t="inlineStr">
        <is>
          <t>1030900016</t>
        </is>
      </c>
      <c r="D811" s="36" t="inlineStr">
        <is>
          <t>Region X (Northern Mindanao)</t>
        </is>
      </c>
      <c r="E811" s="36" t="inlineStr">
        <is>
          <t>Lanao del Norte</t>
        </is>
      </c>
      <c r="F811" s="36" t="inlineStr">
        <is>
          <t>City of Iligan</t>
        </is>
      </c>
      <c r="G811" s="36" t="inlineStr">
        <is>
          <t>Palao</t>
        </is>
      </c>
      <c r="H811" s="37" t="n">
        <v>8.228954</v>
      </c>
      <c r="I811" s="37" t="n">
        <v>124.254027</v>
      </c>
      <c r="J811" s="8" t="inlineStr">
        <is>
          <t>U</t>
        </is>
      </c>
      <c r="K811" s="36" t="inlineStr">
        <is>
          <t>Class 1-3 / Urban</t>
        </is>
      </c>
      <c r="L811" s="18" t="n">
        <v>10778</v>
      </c>
      <c r="M811" s="20" t="n">
        <v>5.12</v>
      </c>
      <c r="N811" s="18">
        <f>ROUND(L811/M811, 0)</f>
        <v/>
      </c>
      <c r="O811" s="18">
        <f>ROUND(N811*'Methodology &amp; Assumptions'!$B$8, 0)</f>
        <v/>
      </c>
      <c r="P811" s="8" t="inlineStr">
        <is>
          <t>Band n50 (1.5 GHz, 60 MHz)</t>
        </is>
      </c>
      <c r="Q811" s="38">
        <f>ROUNDUP(O811/'Methodology &amp; Assumptions'!$B$9, 0)</f>
        <v/>
      </c>
      <c r="R811" s="39" t="n">
        <v>1</v>
      </c>
      <c r="S811" s="21" t="n">
        <v>1.49</v>
      </c>
      <c r="T811" s="21" t="n">
        <v>1.41</v>
      </c>
      <c r="U811" s="36" t="inlineStr">
        <is>
          <t>Tier 1B (Micro Drop, 1-3 km)</t>
        </is>
      </c>
      <c r="V811" s="20" t="n">
        <v>70.8</v>
      </c>
      <c r="W811" s="20" t="n">
        <v>100</v>
      </c>
      <c r="X811" s="20" t="n">
        <v>28</v>
      </c>
      <c r="Y811" s="40">
        <f>ROUND((V811*'Methodology &amp; Assumptions'!$B$6)+(W811*'Methodology &amp; Assumptions'!$B$5)+(X811*'Methodology &amp; Assumptions'!$B$7), 2)</f>
        <v/>
      </c>
    </row>
    <row r="812" ht="19" customHeight="1">
      <c r="A812" s="41" t="n">
        <v>808</v>
      </c>
      <c r="B812" s="41" t="n">
        <v>2808</v>
      </c>
      <c r="C812" s="42" t="inlineStr">
        <is>
          <t>0402115003</t>
        </is>
      </c>
      <c r="D812" s="42" t="inlineStr">
        <is>
          <t>Region IV-A (CALABARZON)</t>
        </is>
      </c>
      <c r="E812" s="42" t="inlineStr">
        <is>
          <t>Cavite</t>
        </is>
      </c>
      <c r="F812" s="42" t="inlineStr">
        <is>
          <t>Naic</t>
        </is>
      </c>
      <c r="G812" s="42" t="inlineStr">
        <is>
          <t>Bancaan</t>
        </is>
      </c>
      <c r="H812" s="43" t="n">
        <v>14.319033</v>
      </c>
      <c r="I812" s="43" t="n">
        <v>120.749604</v>
      </c>
      <c r="J812" s="44" t="inlineStr">
        <is>
          <t>R</t>
        </is>
      </c>
      <c r="K812" s="42" t="inlineStr">
        <is>
          <t>Class 1-3 / Urban</t>
        </is>
      </c>
      <c r="L812" s="23" t="n">
        <v>4836</v>
      </c>
      <c r="M812" s="24" t="n">
        <v>4.49</v>
      </c>
      <c r="N812" s="23">
        <f>ROUND(L812/M812, 0)</f>
        <v/>
      </c>
      <c r="O812" s="23">
        <f>ROUND(N812*'Methodology &amp; Assumptions'!$B$8, 0)</f>
        <v/>
      </c>
      <c r="P812" s="44" t="inlineStr">
        <is>
          <t>Band n50 (1.5 GHz, 60 MHz)</t>
        </is>
      </c>
      <c r="Q812" s="38">
        <f>ROUNDUP(O812/'Methodology &amp; Assumptions'!$B$9, 0)</f>
        <v/>
      </c>
      <c r="R812" s="39" t="n">
        <v>1</v>
      </c>
      <c r="S812" s="25" t="n">
        <v>2.39</v>
      </c>
      <c r="T812" s="25" t="n">
        <v>2.33</v>
      </c>
      <c r="U812" s="42" t="inlineStr">
        <is>
          <t>Tier 1B (Micro Drop, 1-3 km)</t>
        </is>
      </c>
      <c r="V812" s="24" t="n">
        <v>45</v>
      </c>
      <c r="W812" s="24" t="n">
        <v>100</v>
      </c>
      <c r="X812" s="24" t="n">
        <v>58</v>
      </c>
      <c r="Y812" s="45">
        <f>ROUND((V812*'Methodology &amp; Assumptions'!$B$6)+(W812*'Methodology &amp; Assumptions'!$B$5)+(X812*'Methodology &amp; Assumptions'!$B$7), 2)</f>
        <v/>
      </c>
    </row>
    <row r="813" ht="19" customHeight="1">
      <c r="A813" s="35" t="n">
        <v>809</v>
      </c>
      <c r="B813" s="35" t="n">
        <v>2809</v>
      </c>
      <c r="C813" s="36" t="inlineStr">
        <is>
          <t>0403413015</t>
        </is>
      </c>
      <c r="D813" s="36" t="inlineStr">
        <is>
          <t>Region IV-A (CALABARZON)</t>
        </is>
      </c>
      <c r="E813" s="36" t="inlineStr">
        <is>
          <t>Laguna</t>
        </is>
      </c>
      <c r="F813" s="36" t="inlineStr">
        <is>
          <t>Lumban</t>
        </is>
      </c>
      <c r="G813" s="36" t="inlineStr">
        <is>
          <t>Santo Niño</t>
        </is>
      </c>
      <c r="H813" s="37" t="n">
        <v>14.297387</v>
      </c>
      <c r="I813" s="37" t="n">
        <v>121.460138</v>
      </c>
      <c r="J813" s="8" t="inlineStr">
        <is>
          <t>R</t>
        </is>
      </c>
      <c r="K813" s="36" t="inlineStr">
        <is>
          <t>Class 1-3 / Urban</t>
        </is>
      </c>
      <c r="L813" s="18" t="n">
        <v>1100</v>
      </c>
      <c r="M813" s="20" t="n">
        <v>4.2</v>
      </c>
      <c r="N813" s="18">
        <f>ROUND(L813/M813, 0)</f>
        <v/>
      </c>
      <c r="O813" s="18">
        <f>ROUND(N813*'Methodology &amp; Assumptions'!$B$8, 0)</f>
        <v/>
      </c>
      <c r="P813" s="8" t="inlineStr">
        <is>
          <t>Band n50 (1.5 GHz, 60 MHz)</t>
        </is>
      </c>
      <c r="Q813" s="38">
        <f>ROUNDUP(O813/'Methodology &amp; Assumptions'!$B$9, 0)</f>
        <v/>
      </c>
      <c r="R813" s="39" t="n">
        <v>1</v>
      </c>
      <c r="S813" s="21" t="n">
        <v>0.22</v>
      </c>
      <c r="T813" s="21" t="n">
        <v>0.34</v>
      </c>
      <c r="U813" s="36" t="inlineStr">
        <is>
          <t>Tier 1A (Direct Coloc, &lt;1 km)</t>
        </is>
      </c>
      <c r="V813" s="20" t="n">
        <v>100</v>
      </c>
      <c r="W813" s="20" t="n">
        <v>45.1</v>
      </c>
      <c r="X813" s="20" t="n">
        <v>58</v>
      </c>
      <c r="Y813" s="40">
        <f>ROUND((V813*'Methodology &amp; Assumptions'!$B$6)+(W813*'Methodology &amp; Assumptions'!$B$5)+(X813*'Methodology &amp; Assumptions'!$B$7), 2)</f>
        <v/>
      </c>
    </row>
    <row r="814" ht="19" customHeight="1">
      <c r="A814" s="41" t="n">
        <v>810</v>
      </c>
      <c r="B814" s="41" t="n">
        <v>2810</v>
      </c>
      <c r="C814" s="42" t="inlineStr">
        <is>
          <t>0301408004</t>
        </is>
      </c>
      <c r="D814" s="42" t="inlineStr">
        <is>
          <t>Region III (Central Luzon)</t>
        </is>
      </c>
      <c r="E814" s="42" t="inlineStr">
        <is>
          <t>Bulacan</t>
        </is>
      </c>
      <c r="F814" s="42" t="inlineStr">
        <is>
          <t>Guiguinto</t>
        </is>
      </c>
      <c r="G814" s="42" t="inlineStr">
        <is>
          <t>Malis</t>
        </is>
      </c>
      <c r="H814" s="43" t="n">
        <v>14.840198</v>
      </c>
      <c r="I814" s="43" t="n">
        <v>120.880458</v>
      </c>
      <c r="J814" s="44" t="inlineStr">
        <is>
          <t>U</t>
        </is>
      </c>
      <c r="K814" s="42" t="inlineStr">
        <is>
          <t>Class 1-3 / Urban</t>
        </is>
      </c>
      <c r="L814" s="23" t="n">
        <v>16851</v>
      </c>
      <c r="M814" s="24" t="n">
        <v>4.1</v>
      </c>
      <c r="N814" s="23">
        <f>ROUND(L814/M814, 0)</f>
        <v/>
      </c>
      <c r="O814" s="23">
        <f>ROUND(N814*'Methodology &amp; Assumptions'!$B$8, 0)</f>
        <v/>
      </c>
      <c r="P814" s="44" t="inlineStr">
        <is>
          <t>Band n50 (1.5 GHz, 60 MHz)</t>
        </is>
      </c>
      <c r="Q814" s="38">
        <f>ROUNDUP(O814/'Methodology &amp; Assumptions'!$B$9, 0)</f>
        <v/>
      </c>
      <c r="R814" s="39" t="n">
        <v>1</v>
      </c>
      <c r="S814" s="25" t="n">
        <v>1.49</v>
      </c>
      <c r="T814" s="25" t="n">
        <v>1.13</v>
      </c>
      <c r="U814" s="42" t="inlineStr">
        <is>
          <t>Tier 1B (Micro Drop, 1-3 km)</t>
        </is>
      </c>
      <c r="V814" s="24" t="n">
        <v>70.8</v>
      </c>
      <c r="W814" s="24" t="n">
        <v>100</v>
      </c>
      <c r="X814" s="24" t="n">
        <v>28</v>
      </c>
      <c r="Y814" s="45">
        <f>ROUND((V814*'Methodology &amp; Assumptions'!$B$6)+(W814*'Methodology &amp; Assumptions'!$B$5)+(X814*'Methodology &amp; Assumptions'!$B$7), 2)</f>
        <v/>
      </c>
    </row>
    <row r="815" ht="19" customHeight="1">
      <c r="A815" s="35" t="n">
        <v>811</v>
      </c>
      <c r="B815" s="35" t="n">
        <v>2811</v>
      </c>
      <c r="C815" s="36" t="inlineStr">
        <is>
          <t>0405630011</t>
        </is>
      </c>
      <c r="D815" s="36" t="inlineStr">
        <is>
          <t>Region IV-A (CALABARZON)</t>
        </is>
      </c>
      <c r="E815" s="36" t="inlineStr">
        <is>
          <t>Quezon</t>
        </is>
      </c>
      <c r="F815" s="36" t="inlineStr">
        <is>
          <t>Pagbilao</t>
        </is>
      </c>
      <c r="G815" s="36" t="inlineStr">
        <is>
          <t>Ikirin</t>
        </is>
      </c>
      <c r="H815" s="37" t="n">
        <v>13.976194</v>
      </c>
      <c r="I815" s="37" t="n">
        <v>121.690327</v>
      </c>
      <c r="J815" s="8" t="inlineStr">
        <is>
          <t>U</t>
        </is>
      </c>
      <c r="K815" s="36" t="inlineStr">
        <is>
          <t>Class 1-3 / Urban</t>
        </is>
      </c>
      <c r="L815" s="18" t="n">
        <v>3664</v>
      </c>
      <c r="M815" s="20" t="n">
        <v>4.46</v>
      </c>
      <c r="N815" s="18">
        <f>ROUND(L815/M815, 0)</f>
        <v/>
      </c>
      <c r="O815" s="18">
        <f>ROUND(N815*'Methodology &amp; Assumptions'!$B$8, 0)</f>
        <v/>
      </c>
      <c r="P815" s="8" t="inlineStr">
        <is>
          <t>Band n50 (1.5 GHz, 60 MHz)</t>
        </is>
      </c>
      <c r="Q815" s="38">
        <f>ROUNDUP(O815/'Methodology &amp; Assumptions'!$B$9, 0)</f>
        <v/>
      </c>
      <c r="R815" s="39" t="n">
        <v>1</v>
      </c>
      <c r="S815" s="21" t="n">
        <v>1.03</v>
      </c>
      <c r="T815" s="21" t="n">
        <v>0.34</v>
      </c>
      <c r="U815" s="36" t="inlineStr">
        <is>
          <t>Tier 1B (Micro Drop, 1-3 km)</t>
        </is>
      </c>
      <c r="V815" s="20" t="n">
        <v>80.90000000000001</v>
      </c>
      <c r="W815" s="20" t="n">
        <v>89.90000000000001</v>
      </c>
      <c r="X815" s="20" t="n">
        <v>28</v>
      </c>
      <c r="Y815" s="40">
        <f>ROUND((V815*'Methodology &amp; Assumptions'!$B$6)+(W815*'Methodology &amp; Assumptions'!$B$5)+(X815*'Methodology &amp; Assumptions'!$B$7), 2)</f>
        <v/>
      </c>
    </row>
    <row r="816" ht="19" customHeight="1">
      <c r="A816" s="41" t="n">
        <v>812</v>
      </c>
      <c r="B816" s="41" t="n">
        <v>2812</v>
      </c>
      <c r="C816" s="42" t="inlineStr">
        <is>
          <t>0402106037</t>
        </is>
      </c>
      <c r="D816" s="42" t="inlineStr">
        <is>
          <t>Region IV-A (CALABARZON)</t>
        </is>
      </c>
      <c r="E816" s="42" t="inlineStr">
        <is>
          <t>Cavite</t>
        </is>
      </c>
      <c r="F816" s="42" t="inlineStr">
        <is>
          <t>City of Dasmariñas</t>
        </is>
      </c>
      <c r="G816" s="42" t="inlineStr">
        <is>
          <t>San Nicolas I</t>
        </is>
      </c>
      <c r="H816" s="43" t="n">
        <v>14.315195</v>
      </c>
      <c r="I816" s="43" t="n">
        <v>120.969536</v>
      </c>
      <c r="J816" s="44" t="inlineStr">
        <is>
          <t>R</t>
        </is>
      </c>
      <c r="K816" s="42" t="inlineStr">
        <is>
          <t>Class 1-3 / Urban</t>
        </is>
      </c>
      <c r="L816" s="23" t="n">
        <v>2071</v>
      </c>
      <c r="M816" s="24" t="n">
        <v>4.49</v>
      </c>
      <c r="N816" s="23">
        <f>ROUND(L816/M816, 0)</f>
        <v/>
      </c>
      <c r="O816" s="23">
        <f>ROUND(N816*'Methodology &amp; Assumptions'!$B$8, 0)</f>
        <v/>
      </c>
      <c r="P816" s="44" t="inlineStr">
        <is>
          <t>Band n50 (1.5 GHz, 60 MHz)</t>
        </is>
      </c>
      <c r="Q816" s="38">
        <f>ROUNDUP(O816/'Methodology &amp; Assumptions'!$B$9, 0)</f>
        <v/>
      </c>
      <c r="R816" s="39" t="n">
        <v>1</v>
      </c>
      <c r="S816" s="25" t="n">
        <v>0.51</v>
      </c>
      <c r="T816" s="25" t="n">
        <v>2.14</v>
      </c>
      <c r="U816" s="42" t="inlineStr">
        <is>
          <t>Tier 1A (Direct Coloc, &lt;1 km)</t>
        </is>
      </c>
      <c r="V816" s="24" t="n">
        <v>84.2</v>
      </c>
      <c r="W816" s="24" t="n">
        <v>60.8</v>
      </c>
      <c r="X816" s="24" t="n">
        <v>58</v>
      </c>
      <c r="Y816" s="45">
        <f>ROUND((V816*'Methodology &amp; Assumptions'!$B$6)+(W816*'Methodology &amp; Assumptions'!$B$5)+(X816*'Methodology &amp; Assumptions'!$B$7), 2)</f>
        <v/>
      </c>
    </row>
    <row r="817" ht="19" customHeight="1">
      <c r="A817" s="35" t="n">
        <v>813</v>
      </c>
      <c r="B817" s="35" t="n">
        <v>2813</v>
      </c>
      <c r="C817" s="36" t="inlineStr">
        <is>
          <t>0401005075</t>
        </is>
      </c>
      <c r="D817" s="36" t="inlineStr">
        <is>
          <t>Region IV-A (CALABARZON)</t>
        </is>
      </c>
      <c r="E817" s="36" t="inlineStr">
        <is>
          <t>Batangas</t>
        </is>
      </c>
      <c r="F817" s="36" t="inlineStr">
        <is>
          <t>Batangas City</t>
        </is>
      </c>
      <c r="G817" s="36" t="inlineStr">
        <is>
          <t>Barangay 6</t>
        </is>
      </c>
      <c r="H817" s="37" t="n">
        <v>13.760439</v>
      </c>
      <c r="I817" s="37" t="n">
        <v>121.062891</v>
      </c>
      <c r="J817" s="8" t="inlineStr">
        <is>
          <t>R</t>
        </is>
      </c>
      <c r="K817" s="36" t="inlineStr">
        <is>
          <t>Class 1-3 / Urban</t>
        </is>
      </c>
      <c r="L817" s="18" t="n">
        <v>1810</v>
      </c>
      <c r="M817" s="20" t="n">
        <v>4.62</v>
      </c>
      <c r="N817" s="18">
        <f>ROUND(L817/M817, 0)</f>
        <v/>
      </c>
      <c r="O817" s="18">
        <f>ROUND(N817*'Methodology &amp; Assumptions'!$B$8, 0)</f>
        <v/>
      </c>
      <c r="P817" s="8" t="inlineStr">
        <is>
          <t>Band n50 (1.5 GHz, 60 MHz)</t>
        </is>
      </c>
      <c r="Q817" s="38">
        <f>ROUNDUP(O817/'Methodology &amp; Assumptions'!$B$9, 0)</f>
        <v/>
      </c>
      <c r="R817" s="39" t="n">
        <v>1</v>
      </c>
      <c r="S817" s="21" t="n">
        <v>0.6899999999999999</v>
      </c>
      <c r="T817" s="21" t="n">
        <v>0.09</v>
      </c>
      <c r="U817" s="36" t="inlineStr">
        <is>
          <t>Tier 1A (Direct Coloc, &lt;1 km)</t>
        </is>
      </c>
      <c r="V817" s="20" t="n">
        <v>89.59999999999999</v>
      </c>
      <c r="W817" s="20" t="n">
        <v>55.5</v>
      </c>
      <c r="X817" s="20" t="n">
        <v>58</v>
      </c>
      <c r="Y817" s="40">
        <f>ROUND((V817*'Methodology &amp; Assumptions'!$B$6)+(W817*'Methodology &amp; Assumptions'!$B$5)+(X817*'Methodology &amp; Assumptions'!$B$7), 2)</f>
        <v/>
      </c>
    </row>
    <row r="818" ht="19" customHeight="1">
      <c r="A818" s="41" t="n">
        <v>814</v>
      </c>
      <c r="B818" s="41" t="n">
        <v>2814</v>
      </c>
      <c r="C818" s="42" t="inlineStr">
        <is>
          <t>0803722020</t>
        </is>
      </c>
      <c r="D818" s="42" t="inlineStr">
        <is>
          <t>Region VIII (Eastern Visayas)</t>
        </is>
      </c>
      <c r="E818" s="42" t="inlineStr">
        <is>
          <t>Leyte</t>
        </is>
      </c>
      <c r="F818" s="42" t="inlineStr">
        <is>
          <t>Isabel</t>
        </is>
      </c>
      <c r="G818" s="42" t="inlineStr">
        <is>
          <t>Santa Cruz</t>
        </is>
      </c>
      <c r="H818" s="43" t="n">
        <v>10.924095</v>
      </c>
      <c r="I818" s="43" t="n">
        <v>124.441331</v>
      </c>
      <c r="J818" s="44" t="inlineStr">
        <is>
          <t>R</t>
        </is>
      </c>
      <c r="K818" s="42" t="inlineStr">
        <is>
          <t>Class 1-3 / Urban</t>
        </is>
      </c>
      <c r="L818" s="23" t="n">
        <v>1134</v>
      </c>
      <c r="M818" s="24" t="n">
        <v>4.24</v>
      </c>
      <c r="N818" s="23">
        <f>ROUND(L818/M818, 0)</f>
        <v/>
      </c>
      <c r="O818" s="23">
        <f>ROUND(N818*'Methodology &amp; Assumptions'!$B$8, 0)</f>
        <v/>
      </c>
      <c r="P818" s="44" t="inlineStr">
        <is>
          <t>Band n50 (1.5 GHz, 60 MHz)</t>
        </is>
      </c>
      <c r="Q818" s="38">
        <f>ROUNDUP(O818/'Methodology &amp; Assumptions'!$B$9, 0)</f>
        <v/>
      </c>
      <c r="R818" s="39" t="n">
        <v>1</v>
      </c>
      <c r="S818" s="25" t="n">
        <v>0.33</v>
      </c>
      <c r="T818" s="25" t="n">
        <v>0.25</v>
      </c>
      <c r="U818" s="42" t="inlineStr">
        <is>
          <t>Tier 1A (Direct Coloc, &lt;1 km)</t>
        </is>
      </c>
      <c r="V818" s="24" t="n">
        <v>99.7</v>
      </c>
      <c r="W818" s="24" t="n">
        <v>45.3</v>
      </c>
      <c r="X818" s="24" t="n">
        <v>58</v>
      </c>
      <c r="Y818" s="45">
        <f>ROUND((V818*'Methodology &amp; Assumptions'!$B$6)+(W818*'Methodology &amp; Assumptions'!$B$5)+(X818*'Methodology &amp; Assumptions'!$B$7), 2)</f>
        <v/>
      </c>
    </row>
    <row r="819" ht="19" customHeight="1">
      <c r="A819" s="35" t="n">
        <v>815</v>
      </c>
      <c r="B819" s="35" t="n">
        <v>2815</v>
      </c>
      <c r="C819" s="36" t="inlineStr">
        <is>
          <t>1731500047</t>
        </is>
      </c>
      <c r="D819" s="36" t="inlineStr">
        <is>
          <t>MIMAROPA Region</t>
        </is>
      </c>
      <c r="E819" s="36" t="inlineStr">
        <is>
          <t>Palawan</t>
        </is>
      </c>
      <c r="F819" s="36" t="inlineStr">
        <is>
          <t>City of Puerto Princesa</t>
        </is>
      </c>
      <c r="G819" s="36" t="inlineStr">
        <is>
          <t>San Miguel</t>
        </is>
      </c>
      <c r="H819" s="37" t="n">
        <v>9.744551</v>
      </c>
      <c r="I819" s="37" t="n">
        <v>118.745587</v>
      </c>
      <c r="J819" s="8" t="inlineStr">
        <is>
          <t>U</t>
        </is>
      </c>
      <c r="K819" s="36" t="inlineStr">
        <is>
          <t>Class 1-3 / Urban</t>
        </is>
      </c>
      <c r="L819" s="18" t="n">
        <v>21157</v>
      </c>
      <c r="M819" s="20" t="n">
        <v>4.35</v>
      </c>
      <c r="N819" s="18">
        <f>ROUND(L819/M819, 0)</f>
        <v/>
      </c>
      <c r="O819" s="18">
        <f>ROUND(N819*'Methodology &amp; Assumptions'!$B$8, 0)</f>
        <v/>
      </c>
      <c r="P819" s="8" t="inlineStr">
        <is>
          <t>Band n50 (1.5 GHz, 60 MHz)</t>
        </is>
      </c>
      <c r="Q819" s="38">
        <f>ROUNDUP(O819/'Methodology &amp; Assumptions'!$B$9, 0)</f>
        <v/>
      </c>
      <c r="R819" s="39" t="n">
        <v>1</v>
      </c>
      <c r="S819" s="21" t="n">
        <v>1.39</v>
      </c>
      <c r="T819" s="21" t="n">
        <v>1.3</v>
      </c>
      <c r="U819" s="36" t="inlineStr">
        <is>
          <t>Tier 1B (Micro Drop, 1-3 km)</t>
        </is>
      </c>
      <c r="V819" s="20" t="n">
        <v>73</v>
      </c>
      <c r="W819" s="20" t="n">
        <v>97.7</v>
      </c>
      <c r="X819" s="20" t="n">
        <v>28</v>
      </c>
      <c r="Y819" s="40">
        <f>ROUND((V819*'Methodology &amp; Assumptions'!$B$6)+(W819*'Methodology &amp; Assumptions'!$B$5)+(X819*'Methodology &amp; Assumptions'!$B$7), 2)</f>
        <v/>
      </c>
    </row>
    <row r="820" ht="19" customHeight="1">
      <c r="A820" s="41" t="n">
        <v>816</v>
      </c>
      <c r="B820" s="41" t="n">
        <v>2816</v>
      </c>
      <c r="C820" s="42" t="inlineStr">
        <is>
          <t>1130700141</t>
        </is>
      </c>
      <c r="D820" s="42" t="inlineStr">
        <is>
          <t>Region XI (Davao Region)</t>
        </is>
      </c>
      <c r="E820" s="42" t="inlineStr">
        <is>
          <t>Davao del Sur</t>
        </is>
      </c>
      <c r="F820" s="42" t="inlineStr">
        <is>
          <t>City of Davao</t>
        </is>
      </c>
      <c r="G820" s="42" t="inlineStr">
        <is>
          <t>Barangay 8-A</t>
        </is>
      </c>
      <c r="H820" s="43" t="n">
        <v>7.073781</v>
      </c>
      <c r="I820" s="43" t="n">
        <v>125.60031</v>
      </c>
      <c r="J820" s="44" t="inlineStr">
        <is>
          <t>U</t>
        </is>
      </c>
      <c r="K820" s="42" t="inlineStr">
        <is>
          <t>Class 1-3 / Urban</t>
        </is>
      </c>
      <c r="L820" s="23" t="n">
        <v>15259</v>
      </c>
      <c r="M820" s="24" t="n">
        <v>4.1</v>
      </c>
      <c r="N820" s="23">
        <f>ROUND(L820/M820, 0)</f>
        <v/>
      </c>
      <c r="O820" s="23">
        <f>ROUND(N820*'Methodology &amp; Assumptions'!$B$8, 0)</f>
        <v/>
      </c>
      <c r="P820" s="44" t="inlineStr">
        <is>
          <t>Band n50 (1.5 GHz, 60 MHz)</t>
        </is>
      </c>
      <c r="Q820" s="38">
        <f>ROUNDUP(O820/'Methodology &amp; Assumptions'!$B$9, 0)</f>
        <v/>
      </c>
      <c r="R820" s="39" t="n">
        <v>1</v>
      </c>
      <c r="S820" s="25" t="n">
        <v>1.5</v>
      </c>
      <c r="T820" s="25" t="n">
        <v>0.65</v>
      </c>
      <c r="U820" s="42" t="inlineStr">
        <is>
          <t>Tier 1B (Micro Drop, 1-3 km)</t>
        </is>
      </c>
      <c r="V820" s="24" t="n">
        <v>70.7</v>
      </c>
      <c r="W820" s="24" t="n">
        <v>100</v>
      </c>
      <c r="X820" s="24" t="n">
        <v>28</v>
      </c>
      <c r="Y820" s="45">
        <f>ROUND((V820*'Methodology &amp; Assumptions'!$B$6)+(W820*'Methodology &amp; Assumptions'!$B$5)+(X820*'Methodology &amp; Assumptions'!$B$7), 2)</f>
        <v/>
      </c>
    </row>
    <row r="821" ht="19" customHeight="1">
      <c r="A821" s="35" t="n">
        <v>817</v>
      </c>
      <c r="B821" s="35" t="n">
        <v>2817</v>
      </c>
      <c r="C821" s="36" t="inlineStr">
        <is>
          <t>0300810008</t>
        </is>
      </c>
      <c r="D821" s="36" t="inlineStr">
        <is>
          <t>Region III (Central Luzon)</t>
        </is>
      </c>
      <c r="E821" s="36" t="inlineStr">
        <is>
          <t>Bataan</t>
        </is>
      </c>
      <c r="F821" s="36" t="inlineStr">
        <is>
          <t>Orion</t>
        </is>
      </c>
      <c r="G821" s="36" t="inlineStr">
        <is>
          <t>Bilolo</t>
        </is>
      </c>
      <c r="H821" s="37" t="n">
        <v>14.616092</v>
      </c>
      <c r="I821" s="37" t="n">
        <v>120.565221</v>
      </c>
      <c r="J821" s="8" t="inlineStr">
        <is>
          <t>U</t>
        </is>
      </c>
      <c r="K821" s="36" t="inlineStr">
        <is>
          <t>Class 1-3 / Urban</t>
        </is>
      </c>
      <c r="L821" s="18" t="n">
        <v>7829</v>
      </c>
      <c r="M821" s="20" t="n">
        <v>4.57</v>
      </c>
      <c r="N821" s="18">
        <f>ROUND(L821/M821, 0)</f>
        <v/>
      </c>
      <c r="O821" s="18">
        <f>ROUND(N821*'Methodology &amp; Assumptions'!$B$8, 0)</f>
        <v/>
      </c>
      <c r="P821" s="8" t="inlineStr">
        <is>
          <t>Band n50 (1.5 GHz, 60 MHz)</t>
        </is>
      </c>
      <c r="Q821" s="38">
        <f>ROUNDUP(O821/'Methodology &amp; Assumptions'!$B$9, 0)</f>
        <v/>
      </c>
      <c r="R821" s="39" t="n">
        <v>1</v>
      </c>
      <c r="S821" s="21" t="n">
        <v>1.5</v>
      </c>
      <c r="T821" s="21" t="n">
        <v>1.2</v>
      </c>
      <c r="U821" s="36" t="inlineStr">
        <is>
          <t>Tier 1B (Micro Drop, 1-3 km)</t>
        </is>
      </c>
      <c r="V821" s="20" t="n">
        <v>70.7</v>
      </c>
      <c r="W821" s="20" t="n">
        <v>100</v>
      </c>
      <c r="X821" s="20" t="n">
        <v>28</v>
      </c>
      <c r="Y821" s="40">
        <f>ROUND((V821*'Methodology &amp; Assumptions'!$B$6)+(W821*'Methodology &amp; Assumptions'!$B$5)+(X821*'Methodology &amp; Assumptions'!$B$7), 2)</f>
        <v/>
      </c>
    </row>
    <row r="822" ht="19" customHeight="1">
      <c r="A822" s="41" t="n">
        <v>818</v>
      </c>
      <c r="B822" s="41" t="n">
        <v>2818</v>
      </c>
      <c r="C822" s="42" t="inlineStr">
        <is>
          <t>0402123023</t>
        </is>
      </c>
      <c r="D822" s="42" t="inlineStr">
        <is>
          <t>Region IV-A (CALABARZON)</t>
        </is>
      </c>
      <c r="E822" s="42" t="inlineStr">
        <is>
          <t>Cavite</t>
        </is>
      </c>
      <c r="F822" s="42" t="inlineStr">
        <is>
          <t>Gen. Mariano Alvarez</t>
        </is>
      </c>
      <c r="G822" s="42" t="inlineStr">
        <is>
          <t>Ramon Cruz</t>
        </is>
      </c>
      <c r="H822" s="43" t="n">
        <v>14.291704</v>
      </c>
      <c r="I822" s="43" t="n">
        <v>121.000812</v>
      </c>
      <c r="J822" s="44" t="inlineStr">
        <is>
          <t>U</t>
        </is>
      </c>
      <c r="K822" s="42" t="inlineStr">
        <is>
          <t>Class 1-3 / Urban</t>
        </is>
      </c>
      <c r="L822" s="23" t="n">
        <v>7678</v>
      </c>
      <c r="M822" s="24" t="n">
        <v>4.49</v>
      </c>
      <c r="N822" s="23">
        <f>ROUND(L822/M822, 0)</f>
        <v/>
      </c>
      <c r="O822" s="23">
        <f>ROUND(N822*'Methodology &amp; Assumptions'!$B$8, 0)</f>
        <v/>
      </c>
      <c r="P822" s="44" t="inlineStr">
        <is>
          <t>Band n50 (1.5 GHz, 60 MHz)</t>
        </is>
      </c>
      <c r="Q822" s="38">
        <f>ROUNDUP(O822/'Methodology &amp; Assumptions'!$B$9, 0)</f>
        <v/>
      </c>
      <c r="R822" s="39" t="n">
        <v>1</v>
      </c>
      <c r="S822" s="25" t="n">
        <v>1.04</v>
      </c>
      <c r="T822" s="25" t="n">
        <v>4.21</v>
      </c>
      <c r="U822" s="42" t="inlineStr">
        <is>
          <t>Tier 1B (Micro Drop, 1-3 km)</t>
        </is>
      </c>
      <c r="V822" s="24" t="n">
        <v>70.8</v>
      </c>
      <c r="W822" s="24" t="n">
        <v>100</v>
      </c>
      <c r="X822" s="24" t="n">
        <v>28</v>
      </c>
      <c r="Y822" s="45">
        <f>ROUND((V822*'Methodology &amp; Assumptions'!$B$6)+(W822*'Methodology &amp; Assumptions'!$B$5)+(X822*'Methodology &amp; Assumptions'!$B$7), 2)</f>
        <v/>
      </c>
    </row>
    <row r="823" ht="19" customHeight="1">
      <c r="A823" s="35" t="n">
        <v>819</v>
      </c>
      <c r="B823" s="35" t="n">
        <v>2819</v>
      </c>
      <c r="C823" s="36" t="inlineStr">
        <is>
          <t>0506216008</t>
        </is>
      </c>
      <c r="D823" s="36" t="inlineStr">
        <is>
          <t>Region V (Bicol Region)</t>
        </is>
      </c>
      <c r="E823" s="36" t="inlineStr">
        <is>
          <t>Sorsogon</t>
        </is>
      </c>
      <c r="F823" s="36" t="inlineStr">
        <is>
          <t>City of Sorsogon</t>
        </is>
      </c>
      <c r="G823" s="36" t="inlineStr">
        <is>
          <t>Bitan-o/Dalipay</t>
        </is>
      </c>
      <c r="H823" s="37" t="n">
        <v>12.968744</v>
      </c>
      <c r="I823" s="37" t="n">
        <v>123.996933</v>
      </c>
      <c r="J823" s="8" t="inlineStr">
        <is>
          <t>U</t>
        </is>
      </c>
      <c r="K823" s="36" t="inlineStr">
        <is>
          <t>Class 1-3 / Urban</t>
        </is>
      </c>
      <c r="L823" s="18" t="n">
        <v>3308</v>
      </c>
      <c r="M823" s="20" t="n">
        <v>4.58</v>
      </c>
      <c r="N823" s="18">
        <f>ROUND(L823/M823, 0)</f>
        <v/>
      </c>
      <c r="O823" s="18">
        <f>ROUND(N823*'Methodology &amp; Assumptions'!$B$8, 0)</f>
        <v/>
      </c>
      <c r="P823" s="8" t="inlineStr">
        <is>
          <t>Band n50 (1.5 GHz, 60 MHz)</t>
        </is>
      </c>
      <c r="Q823" s="38">
        <f>ROUNDUP(O823/'Methodology &amp; Assumptions'!$B$9, 0)</f>
        <v/>
      </c>
      <c r="R823" s="39" t="n">
        <v>1</v>
      </c>
      <c r="S823" s="21" t="n">
        <v>0.71</v>
      </c>
      <c r="T823" s="21" t="n">
        <v>0.38</v>
      </c>
      <c r="U823" s="36" t="inlineStr">
        <is>
          <t>Tier 1A (Direct Coloc, &lt;1 km)</t>
        </is>
      </c>
      <c r="V823" s="20" t="n">
        <v>88.90000000000001</v>
      </c>
      <c r="W823" s="20" t="n">
        <v>81.90000000000001</v>
      </c>
      <c r="X823" s="20" t="n">
        <v>28</v>
      </c>
      <c r="Y823" s="40">
        <f>ROUND((V823*'Methodology &amp; Assumptions'!$B$6)+(W823*'Methodology &amp; Assumptions'!$B$5)+(X823*'Methodology &amp; Assumptions'!$B$7), 2)</f>
        <v/>
      </c>
    </row>
    <row r="824" ht="19" customHeight="1">
      <c r="A824" s="41" t="n">
        <v>820</v>
      </c>
      <c r="B824" s="41" t="n">
        <v>2820</v>
      </c>
      <c r="C824" s="42" t="inlineStr">
        <is>
          <t>0603039023</t>
        </is>
      </c>
      <c r="D824" s="42" t="inlineStr">
        <is>
          <t>Region VI (Western Visayas)</t>
        </is>
      </c>
      <c r="E824" s="42" t="inlineStr">
        <is>
          <t>Iloilo</t>
        </is>
      </c>
      <c r="F824" s="42" t="inlineStr">
        <is>
          <t>San Enrique</t>
        </is>
      </c>
      <c r="G824" s="42" t="inlineStr">
        <is>
          <t>Poblacion Ilawod</t>
        </is>
      </c>
      <c r="H824" s="43" t="n">
        <v>11.070024</v>
      </c>
      <c r="I824" s="43" t="n">
        <v>122.654464</v>
      </c>
      <c r="J824" s="44" t="inlineStr">
        <is>
          <t>R</t>
        </is>
      </c>
      <c r="K824" s="42" t="inlineStr">
        <is>
          <t>Class 1-3 / Urban</t>
        </is>
      </c>
      <c r="L824" s="23" t="n">
        <v>1638</v>
      </c>
      <c r="M824" s="24" t="n">
        <v>4.39</v>
      </c>
      <c r="N824" s="23">
        <f>ROUND(L824/M824, 0)</f>
        <v/>
      </c>
      <c r="O824" s="23">
        <f>ROUND(N824*'Methodology &amp; Assumptions'!$B$8, 0)</f>
        <v/>
      </c>
      <c r="P824" s="44" t="inlineStr">
        <is>
          <t>Band n50 (1.5 GHz, 60 MHz)</t>
        </is>
      </c>
      <c r="Q824" s="38">
        <f>ROUNDUP(O824/'Methodology &amp; Assumptions'!$B$9, 0)</f>
        <v/>
      </c>
      <c r="R824" s="39" t="n">
        <v>1</v>
      </c>
      <c r="S824" s="25" t="n">
        <v>0.28</v>
      </c>
      <c r="T824" s="25" t="n">
        <v>3.06</v>
      </c>
      <c r="U824" s="42" t="inlineStr">
        <is>
          <t>Tier 1A (Direct Coloc, &lt;1 km)</t>
        </is>
      </c>
      <c r="V824" s="24" t="n">
        <v>91.09999999999999</v>
      </c>
      <c r="W824" s="24" t="n">
        <v>53.9</v>
      </c>
      <c r="X824" s="24" t="n">
        <v>58</v>
      </c>
      <c r="Y824" s="45">
        <f>ROUND((V824*'Methodology &amp; Assumptions'!$B$6)+(W824*'Methodology &amp; Assumptions'!$B$5)+(X824*'Methodology &amp; Assumptions'!$B$7), 2)</f>
        <v/>
      </c>
    </row>
    <row r="825" ht="19" customHeight="1">
      <c r="A825" s="35" t="n">
        <v>821</v>
      </c>
      <c r="B825" s="35" t="n">
        <v>2821</v>
      </c>
      <c r="C825" s="36" t="inlineStr">
        <is>
          <t>0103314059</t>
        </is>
      </c>
      <c r="D825" s="36" t="inlineStr">
        <is>
          <t>Region I (Ilocos Region)</t>
        </is>
      </c>
      <c r="E825" s="36" t="inlineStr">
        <is>
          <t>La Union</t>
        </is>
      </c>
      <c r="F825" s="36" t="inlineStr">
        <is>
          <t>City of San Fernando</t>
        </is>
      </c>
      <c r="G825" s="36" t="inlineStr">
        <is>
          <t>Tanqui</t>
        </is>
      </c>
      <c r="H825" s="37" t="n">
        <v>16.61593</v>
      </c>
      <c r="I825" s="37" t="n">
        <v>120.323238</v>
      </c>
      <c r="J825" s="8" t="inlineStr">
        <is>
          <t>U</t>
        </is>
      </c>
      <c r="K825" s="36" t="inlineStr">
        <is>
          <t>Class 1-3 / Urban</t>
        </is>
      </c>
      <c r="L825" s="18" t="n">
        <v>5281</v>
      </c>
      <c r="M825" s="20" t="n">
        <v>4.42</v>
      </c>
      <c r="N825" s="18">
        <f>ROUND(L825/M825, 0)</f>
        <v/>
      </c>
      <c r="O825" s="18">
        <f>ROUND(N825*'Methodology &amp; Assumptions'!$B$8, 0)</f>
        <v/>
      </c>
      <c r="P825" s="8" t="inlineStr">
        <is>
          <t>Band n50 (1.5 GHz, 60 MHz)</t>
        </is>
      </c>
      <c r="Q825" s="38">
        <f>ROUNDUP(O825/'Methodology &amp; Assumptions'!$B$9, 0)</f>
        <v/>
      </c>
      <c r="R825" s="39" t="n">
        <v>1</v>
      </c>
      <c r="S825" s="21" t="n">
        <v>1.5</v>
      </c>
      <c r="T825" s="21" t="n">
        <v>0.68</v>
      </c>
      <c r="U825" s="36" t="inlineStr">
        <is>
          <t>Tier 1B (Micro Drop, 1-3 km)</t>
        </is>
      </c>
      <c r="V825" s="20" t="n">
        <v>70.7</v>
      </c>
      <c r="W825" s="20" t="n">
        <v>100</v>
      </c>
      <c r="X825" s="20" t="n">
        <v>28</v>
      </c>
      <c r="Y825" s="40">
        <f>ROUND((V825*'Methodology &amp; Assumptions'!$B$6)+(W825*'Methodology &amp; Assumptions'!$B$5)+(X825*'Methodology &amp; Assumptions'!$B$7), 2)</f>
        <v/>
      </c>
    </row>
    <row r="826" ht="19" customHeight="1">
      <c r="A826" s="41" t="n">
        <v>822</v>
      </c>
      <c r="B826" s="41" t="n">
        <v>2822</v>
      </c>
      <c r="C826" s="42" t="inlineStr">
        <is>
          <t>1108211002</t>
        </is>
      </c>
      <c r="D826" s="42" t="inlineStr">
        <is>
          <t>Region XI (Davao Region)</t>
        </is>
      </c>
      <c r="E826" s="42" t="inlineStr">
        <is>
          <t>Davao de Oro</t>
        </is>
      </c>
      <c r="F826" s="42" t="inlineStr">
        <is>
          <t>Pantukan</t>
        </is>
      </c>
      <c r="G826" s="42" t="inlineStr">
        <is>
          <t>Bongbong</t>
        </is>
      </c>
      <c r="H826" s="43" t="n">
        <v>7.107709</v>
      </c>
      <c r="I826" s="43" t="n">
        <v>125.90925</v>
      </c>
      <c r="J826" s="44" t="inlineStr">
        <is>
          <t>R</t>
        </is>
      </c>
      <c r="K826" s="42" t="inlineStr">
        <is>
          <t>Class 1-3 / Urban</t>
        </is>
      </c>
      <c r="L826" s="23" t="n">
        <v>4579</v>
      </c>
      <c r="M826" s="24" t="n">
        <v>4.1</v>
      </c>
      <c r="N826" s="23">
        <f>ROUND(L826/M826, 0)</f>
        <v/>
      </c>
      <c r="O826" s="23">
        <f>ROUND(N826*'Methodology &amp; Assumptions'!$B$8, 0)</f>
        <v/>
      </c>
      <c r="P826" s="44" t="inlineStr">
        <is>
          <t>Band n50 (1.5 GHz, 60 MHz)</t>
        </is>
      </c>
      <c r="Q826" s="38">
        <f>ROUNDUP(O826/'Methodology &amp; Assumptions'!$B$9, 0)</f>
        <v/>
      </c>
      <c r="R826" s="39" t="n">
        <v>1</v>
      </c>
      <c r="S826" s="25" t="n">
        <v>3.15</v>
      </c>
      <c r="T826" s="25" t="n">
        <v>0.19</v>
      </c>
      <c r="U826" s="42" t="inlineStr">
        <is>
          <t>Tier 2 (Fiber Corridor / Lateral, 3-5 km)</t>
        </is>
      </c>
      <c r="V826" s="24" t="n">
        <v>45</v>
      </c>
      <c r="W826" s="24" t="n">
        <v>100</v>
      </c>
      <c r="X826" s="24" t="n">
        <v>58</v>
      </c>
      <c r="Y826" s="45">
        <f>ROUND((V826*'Methodology &amp; Assumptions'!$B$6)+(W826*'Methodology &amp; Assumptions'!$B$5)+(X826*'Methodology &amp; Assumptions'!$B$7), 2)</f>
        <v/>
      </c>
    </row>
    <row r="827" ht="19" customHeight="1">
      <c r="A827" s="35" t="n">
        <v>823</v>
      </c>
      <c r="B827" s="35" t="n">
        <v>2823</v>
      </c>
      <c r="C827" s="36" t="inlineStr">
        <is>
          <t>0105532086</t>
        </is>
      </c>
      <c r="D827" s="36" t="inlineStr">
        <is>
          <t>Region I (Ilocos Region)</t>
        </is>
      </c>
      <c r="E827" s="36" t="inlineStr">
        <is>
          <t>Pangasinan</t>
        </is>
      </c>
      <c r="F827" s="36" t="inlineStr">
        <is>
          <t>City of San Carlos</t>
        </is>
      </c>
      <c r="G827" s="36" t="inlineStr">
        <is>
          <t>Tarece</t>
        </is>
      </c>
      <c r="H827" s="37" t="n">
        <v>15.94195</v>
      </c>
      <c r="I827" s="37" t="n">
        <v>120.3654</v>
      </c>
      <c r="J827" s="8" t="inlineStr">
        <is>
          <t>R</t>
        </is>
      </c>
      <c r="K827" s="36" t="inlineStr">
        <is>
          <t>Class 1-3 / Urban</t>
        </is>
      </c>
      <c r="L827" s="18" t="n">
        <v>4474</v>
      </c>
      <c r="M827" s="20" t="n">
        <v>4.39</v>
      </c>
      <c r="N827" s="18">
        <f>ROUND(L827/M827, 0)</f>
        <v/>
      </c>
      <c r="O827" s="18">
        <f>ROUND(N827*'Methodology &amp; Assumptions'!$B$8, 0)</f>
        <v/>
      </c>
      <c r="P827" s="8" t="inlineStr">
        <is>
          <t>Band n50 (1.5 GHz, 60 MHz)</t>
        </is>
      </c>
      <c r="Q827" s="38">
        <f>ROUNDUP(O827/'Methodology &amp; Assumptions'!$B$9, 0)</f>
        <v/>
      </c>
      <c r="R827" s="39" t="n">
        <v>1</v>
      </c>
      <c r="S827" s="21" t="n">
        <v>2.4</v>
      </c>
      <c r="T827" s="21" t="n">
        <v>2.09</v>
      </c>
      <c r="U827" s="36" t="inlineStr">
        <is>
          <t>Tier 1B (Micro Drop, 1-3 km)</t>
        </is>
      </c>
      <c r="V827" s="20" t="n">
        <v>45</v>
      </c>
      <c r="W827" s="20" t="n">
        <v>100</v>
      </c>
      <c r="X827" s="20" t="n">
        <v>58</v>
      </c>
      <c r="Y827" s="40">
        <f>ROUND((V827*'Methodology &amp; Assumptions'!$B$6)+(W827*'Methodology &amp; Assumptions'!$B$5)+(X827*'Methodology &amp; Assumptions'!$B$7), 2)</f>
        <v/>
      </c>
    </row>
    <row r="828" ht="19" customHeight="1">
      <c r="A828" s="41" t="n">
        <v>824</v>
      </c>
      <c r="B828" s="41" t="n">
        <v>2824</v>
      </c>
      <c r="C828" s="42" t="inlineStr">
        <is>
          <t>0105517007</t>
        </is>
      </c>
      <c r="D828" s="42" t="inlineStr">
        <is>
          <t>Region I (Ilocos Region)</t>
        </is>
      </c>
      <c r="E828" s="42" t="inlineStr">
        <is>
          <t>Pangasinan</t>
        </is>
      </c>
      <c r="F828" s="42" t="inlineStr">
        <is>
          <t>Calasiao</t>
        </is>
      </c>
      <c r="G828" s="42" t="inlineStr">
        <is>
          <t>Dinalaoan</t>
        </is>
      </c>
      <c r="H828" s="43" t="n">
        <v>15.99705</v>
      </c>
      <c r="I828" s="43" t="n">
        <v>120.3444</v>
      </c>
      <c r="J828" s="44" t="inlineStr">
        <is>
          <t>R</t>
        </is>
      </c>
      <c r="K828" s="42" t="inlineStr">
        <is>
          <t>Class 1-3 / Urban</t>
        </is>
      </c>
      <c r="L828" s="23" t="n">
        <v>4114</v>
      </c>
      <c r="M828" s="24" t="n">
        <v>4.39</v>
      </c>
      <c r="N828" s="23">
        <f>ROUND(L828/M828, 0)</f>
        <v/>
      </c>
      <c r="O828" s="23">
        <f>ROUND(N828*'Methodology &amp; Assumptions'!$B$8, 0)</f>
        <v/>
      </c>
      <c r="P828" s="44" t="inlineStr">
        <is>
          <t>Band n50 (1.5 GHz, 60 MHz)</t>
        </is>
      </c>
      <c r="Q828" s="38">
        <f>ROUNDUP(O828/'Methodology &amp; Assumptions'!$B$9, 0)</f>
        <v/>
      </c>
      <c r="R828" s="39" t="n">
        <v>1</v>
      </c>
      <c r="S828" s="25" t="n">
        <v>3.06</v>
      </c>
      <c r="T828" s="25" t="n">
        <v>1.71</v>
      </c>
      <c r="U828" s="42" t="inlineStr">
        <is>
          <t>Tier 2 (Fiber Corridor / Lateral, 3-5 km)</t>
        </is>
      </c>
      <c r="V828" s="24" t="n">
        <v>46</v>
      </c>
      <c r="W828" s="24" t="n">
        <v>98.90000000000001</v>
      </c>
      <c r="X828" s="24" t="n">
        <v>58</v>
      </c>
      <c r="Y828" s="45">
        <f>ROUND((V828*'Methodology &amp; Assumptions'!$B$6)+(W828*'Methodology &amp; Assumptions'!$B$5)+(X828*'Methodology &amp; Assumptions'!$B$7), 2)</f>
        <v/>
      </c>
    </row>
    <row r="829" ht="19" customHeight="1">
      <c r="A829" s="35" t="n">
        <v>825</v>
      </c>
      <c r="B829" s="35" t="n">
        <v>2825</v>
      </c>
      <c r="C829" s="36" t="inlineStr">
        <is>
          <t>0305416017</t>
        </is>
      </c>
      <c r="D829" s="36" t="inlineStr">
        <is>
          <t>Region III (Central Luzon)</t>
        </is>
      </c>
      <c r="E829" s="36" t="inlineStr">
        <is>
          <t>Pampanga</t>
        </is>
      </c>
      <c r="F829" s="36" t="inlineStr">
        <is>
          <t>City of San Fernando</t>
        </is>
      </c>
      <c r="G829" s="36" t="inlineStr">
        <is>
          <t>Malpitic</t>
        </is>
      </c>
      <c r="H829" s="37" t="n">
        <v>15.080656</v>
      </c>
      <c r="I829" s="37" t="n">
        <v>120.655386</v>
      </c>
      <c r="J829" s="8" t="inlineStr">
        <is>
          <t>U</t>
        </is>
      </c>
      <c r="K829" s="36" t="inlineStr">
        <is>
          <t>Class 1-3 / Urban</t>
        </is>
      </c>
      <c r="L829" s="18" t="n">
        <v>7509</v>
      </c>
      <c r="M829" s="20" t="n">
        <v>4.63</v>
      </c>
      <c r="N829" s="18">
        <f>ROUND(L829/M829, 0)</f>
        <v/>
      </c>
      <c r="O829" s="18">
        <f>ROUND(N829*'Methodology &amp; Assumptions'!$B$8, 0)</f>
        <v/>
      </c>
      <c r="P829" s="8" t="inlineStr">
        <is>
          <t>Band n50 (1.5 GHz, 60 MHz)</t>
        </is>
      </c>
      <c r="Q829" s="38">
        <f>ROUNDUP(O829/'Methodology &amp; Assumptions'!$B$9, 0)</f>
        <v/>
      </c>
      <c r="R829" s="39" t="n">
        <v>1</v>
      </c>
      <c r="S829" s="21" t="n">
        <v>1.5</v>
      </c>
      <c r="T829" s="21" t="n">
        <v>1.41</v>
      </c>
      <c r="U829" s="36" t="inlineStr">
        <is>
          <t>Tier 1B (Micro Drop, 1-3 km)</t>
        </is>
      </c>
      <c r="V829" s="20" t="n">
        <v>70.7</v>
      </c>
      <c r="W829" s="20" t="n">
        <v>100</v>
      </c>
      <c r="X829" s="20" t="n">
        <v>28</v>
      </c>
      <c r="Y829" s="40">
        <f>ROUND((V829*'Methodology &amp; Assumptions'!$B$6)+(W829*'Methodology &amp; Assumptions'!$B$5)+(X829*'Methodology &amp; Assumptions'!$B$7), 2)</f>
        <v/>
      </c>
    </row>
    <row r="830" ht="19" customHeight="1">
      <c r="A830" s="41" t="n">
        <v>826</v>
      </c>
      <c r="B830" s="41" t="n">
        <v>2826</v>
      </c>
      <c r="C830" s="42" t="inlineStr">
        <is>
          <t>1102406026</t>
        </is>
      </c>
      <c r="D830" s="42" t="inlineStr">
        <is>
          <t>Region XI (Davao Region)</t>
        </is>
      </c>
      <c r="E830" s="42" t="inlineStr">
        <is>
          <t>Davao del Sur</t>
        </is>
      </c>
      <c r="F830" s="42" t="inlineStr">
        <is>
          <t>Kiblawan</t>
        </is>
      </c>
      <c r="G830" s="42" t="inlineStr">
        <is>
          <t>San Jose</t>
        </is>
      </c>
      <c r="H830" s="43" t="n">
        <v>6.733199</v>
      </c>
      <c r="I830" s="43" t="n">
        <v>125.354715</v>
      </c>
      <c r="J830" s="44" t="inlineStr">
        <is>
          <t>R</t>
        </is>
      </c>
      <c r="K830" s="42" t="inlineStr">
        <is>
          <t>Class 1-3 / Urban</t>
        </is>
      </c>
      <c r="L830" s="23" t="n">
        <v>1588</v>
      </c>
      <c r="M830" s="24" t="n">
        <v>4.1</v>
      </c>
      <c r="N830" s="23">
        <f>ROUND(L830/M830, 0)</f>
        <v/>
      </c>
      <c r="O830" s="23">
        <f>ROUND(N830*'Methodology &amp; Assumptions'!$B$8, 0)</f>
        <v/>
      </c>
      <c r="P830" s="44" t="inlineStr">
        <is>
          <t>Band n50 (1.5 GHz, 60 MHz)</t>
        </is>
      </c>
      <c r="Q830" s="38">
        <f>ROUNDUP(O830/'Methodology &amp; Assumptions'!$B$9, 0)</f>
        <v/>
      </c>
      <c r="R830" s="39" t="n">
        <v>1</v>
      </c>
      <c r="S830" s="25" t="n">
        <v>1.19</v>
      </c>
      <c r="T830" s="25" t="n">
        <v>0.05</v>
      </c>
      <c r="U830" s="42" t="inlineStr">
        <is>
          <t>Tier 1B (Micro Drop, 1-3 km)</t>
        </is>
      </c>
      <c r="V830" s="24" t="n">
        <v>77.2</v>
      </c>
      <c r="W830" s="24" t="n">
        <v>54.9</v>
      </c>
      <c r="X830" s="24" t="n">
        <v>73</v>
      </c>
      <c r="Y830" s="45">
        <f>ROUND((V830*'Methodology &amp; Assumptions'!$B$6)+(W830*'Methodology &amp; Assumptions'!$B$5)+(X830*'Methodology &amp; Assumptions'!$B$7), 2)</f>
        <v/>
      </c>
    </row>
    <row r="831" ht="19" customHeight="1">
      <c r="A831" s="35" t="n">
        <v>827</v>
      </c>
      <c r="B831" s="35" t="n">
        <v>2827</v>
      </c>
      <c r="C831" s="36" t="inlineStr">
        <is>
          <t>0401001008</t>
        </is>
      </c>
      <c r="D831" s="36" t="inlineStr">
        <is>
          <t>Region IV-A (CALABARZON)</t>
        </is>
      </c>
      <c r="E831" s="36" t="inlineStr">
        <is>
          <t>Batangas</t>
        </is>
      </c>
      <c r="F831" s="36" t="inlineStr">
        <is>
          <t>Agoncillo</t>
        </is>
      </c>
      <c r="G831" s="36" t="inlineStr">
        <is>
          <t>Coral Na Munti</t>
        </is>
      </c>
      <c r="H831" s="37" t="n">
        <v>13.936778</v>
      </c>
      <c r="I831" s="37" t="n">
        <v>120.915972</v>
      </c>
      <c r="J831" s="8" t="inlineStr">
        <is>
          <t>R</t>
        </is>
      </c>
      <c r="K831" s="36" t="inlineStr">
        <is>
          <t>2nd</t>
        </is>
      </c>
      <c r="L831" s="18" t="n">
        <v>4347</v>
      </c>
      <c r="M831" s="20" t="n">
        <v>4.86</v>
      </c>
      <c r="N831" s="18">
        <f>ROUND(L831/M831, 0)</f>
        <v/>
      </c>
      <c r="O831" s="18">
        <f>ROUND(N831*'Methodology &amp; Assumptions'!$B$8, 0)</f>
        <v/>
      </c>
      <c r="P831" s="8" t="inlineStr">
        <is>
          <t>Band n50 (1.5 GHz, 60 MHz)</t>
        </is>
      </c>
      <c r="Q831" s="38">
        <f>ROUNDUP(O831/'Methodology &amp; Assumptions'!$B$9, 0)</f>
        <v/>
      </c>
      <c r="R831" s="39" t="n">
        <v>1</v>
      </c>
      <c r="S831" s="21" t="n">
        <v>2.11</v>
      </c>
      <c r="T831" s="21" t="n">
        <v>4.22</v>
      </c>
      <c r="U831" s="36" t="inlineStr">
        <is>
          <t>Tier 1B (Micro Drop, 1-3 km)</t>
        </is>
      </c>
      <c r="V831" s="20" t="n">
        <v>49.5</v>
      </c>
      <c r="W831" s="20" t="n">
        <v>95.5</v>
      </c>
      <c r="X831" s="20" t="n">
        <v>58</v>
      </c>
      <c r="Y831" s="40">
        <f>ROUND((V831*'Methodology &amp; Assumptions'!$B$6)+(W831*'Methodology &amp; Assumptions'!$B$5)+(X831*'Methodology &amp; Assumptions'!$B$7), 2)</f>
        <v/>
      </c>
    </row>
    <row r="832" ht="19" customHeight="1">
      <c r="A832" s="41" t="n">
        <v>828</v>
      </c>
      <c r="B832" s="41" t="n">
        <v>2828</v>
      </c>
      <c r="C832" s="42" t="inlineStr">
        <is>
          <t>1108204027</t>
        </is>
      </c>
      <c r="D832" s="42" t="inlineStr">
        <is>
          <t>Region XI (Davao Region)</t>
        </is>
      </c>
      <c r="E832" s="42" t="inlineStr">
        <is>
          <t>Davao de Oro</t>
        </is>
      </c>
      <c r="F832" s="42" t="inlineStr">
        <is>
          <t>Maco</t>
        </is>
      </c>
      <c r="G832" s="42" t="inlineStr">
        <is>
          <t>San Juan</t>
        </is>
      </c>
      <c r="H832" s="43" t="n">
        <v>7.359488</v>
      </c>
      <c r="I832" s="43" t="n">
        <v>125.860952</v>
      </c>
      <c r="J832" s="44" t="inlineStr">
        <is>
          <t>R</t>
        </is>
      </c>
      <c r="K832" s="42" t="inlineStr">
        <is>
          <t>Class 1-3 / Urban</t>
        </is>
      </c>
      <c r="L832" s="23" t="n">
        <v>1533</v>
      </c>
      <c r="M832" s="24" t="n">
        <v>4.1</v>
      </c>
      <c r="N832" s="23">
        <f>ROUND(L832/M832, 0)</f>
        <v/>
      </c>
      <c r="O832" s="23">
        <f>ROUND(N832*'Methodology &amp; Assumptions'!$B$8, 0)</f>
        <v/>
      </c>
      <c r="P832" s="44" t="inlineStr">
        <is>
          <t>Band n50 (1.5 GHz, 60 MHz)</t>
        </is>
      </c>
      <c r="Q832" s="38">
        <f>ROUNDUP(O832/'Methodology &amp; Assumptions'!$B$9, 0)</f>
        <v/>
      </c>
      <c r="R832" s="39" t="n">
        <v>1</v>
      </c>
      <c r="S832" s="25" t="n">
        <v>0.63</v>
      </c>
      <c r="T832" s="25" t="n">
        <v>0.62</v>
      </c>
      <c r="U832" s="42" t="inlineStr">
        <is>
          <t>Tier 1A (Direct Coloc, &lt;1 km)</t>
        </is>
      </c>
      <c r="V832" s="24" t="n">
        <v>91.09999999999999</v>
      </c>
      <c r="W832" s="24" t="n">
        <v>53.9</v>
      </c>
      <c r="X832" s="24" t="n">
        <v>58</v>
      </c>
      <c r="Y832" s="45">
        <f>ROUND((V832*'Methodology &amp; Assumptions'!$B$6)+(W832*'Methodology &amp; Assumptions'!$B$5)+(X832*'Methodology &amp; Assumptions'!$B$7), 2)</f>
        <v/>
      </c>
    </row>
    <row r="833" ht="19" customHeight="1">
      <c r="A833" s="35" t="n">
        <v>829</v>
      </c>
      <c r="B833" s="35" t="n">
        <v>2829</v>
      </c>
      <c r="C833" s="36" t="inlineStr">
        <is>
          <t>0300807010</t>
        </is>
      </c>
      <c r="D833" s="36" t="inlineStr">
        <is>
          <t>Region III (Central Luzon)</t>
        </is>
      </c>
      <c r="E833" s="36" t="inlineStr">
        <is>
          <t>Bataan</t>
        </is>
      </c>
      <c r="F833" s="36" t="inlineStr">
        <is>
          <t>Mariveles</t>
        </is>
      </c>
      <c r="G833" s="36" t="inlineStr">
        <is>
          <t>San Isidro</t>
        </is>
      </c>
      <c r="H833" s="37" t="n">
        <v>14.433552</v>
      </c>
      <c r="I833" s="37" t="n">
        <v>120.483233</v>
      </c>
      <c r="J833" s="8" t="inlineStr">
        <is>
          <t>U</t>
        </is>
      </c>
      <c r="K833" s="36" t="inlineStr">
        <is>
          <t>Class 1-3 / Urban</t>
        </is>
      </c>
      <c r="L833" s="18" t="n">
        <v>6515</v>
      </c>
      <c r="M833" s="20" t="n">
        <v>4.57</v>
      </c>
      <c r="N833" s="18">
        <f>ROUND(L833/M833, 0)</f>
        <v/>
      </c>
      <c r="O833" s="18">
        <f>ROUND(N833*'Methodology &amp; Assumptions'!$B$8, 0)</f>
        <v/>
      </c>
      <c r="P833" s="8" t="inlineStr">
        <is>
          <t>Band n50 (1.5 GHz, 60 MHz)</t>
        </is>
      </c>
      <c r="Q833" s="38">
        <f>ROUNDUP(O833/'Methodology &amp; Assumptions'!$B$9, 0)</f>
        <v/>
      </c>
      <c r="R833" s="39" t="n">
        <v>1</v>
      </c>
      <c r="S833" s="21" t="n">
        <v>1.5</v>
      </c>
      <c r="T833" s="21" t="n">
        <v>0.17</v>
      </c>
      <c r="U833" s="36" t="inlineStr">
        <is>
          <t>Tier 1B (Micro Drop, 1-3 km)</t>
        </is>
      </c>
      <c r="V833" s="20" t="n">
        <v>70.59999999999999</v>
      </c>
      <c r="W833" s="20" t="n">
        <v>100</v>
      </c>
      <c r="X833" s="20" t="n">
        <v>28</v>
      </c>
      <c r="Y833" s="40">
        <f>ROUND((V833*'Methodology &amp; Assumptions'!$B$6)+(W833*'Methodology &amp; Assumptions'!$B$5)+(X833*'Methodology &amp; Assumptions'!$B$7), 2)</f>
        <v/>
      </c>
    </row>
    <row r="834" ht="19" customHeight="1">
      <c r="A834" s="41" t="n">
        <v>830</v>
      </c>
      <c r="B834" s="41" t="n">
        <v>2830</v>
      </c>
      <c r="C834" s="42" t="inlineStr">
        <is>
          <t>0402108025</t>
        </is>
      </c>
      <c r="D834" s="42" t="inlineStr">
        <is>
          <t>Region IV-A (CALABARZON)</t>
        </is>
      </c>
      <c r="E834" s="42" t="inlineStr">
        <is>
          <t>Cavite</t>
        </is>
      </c>
      <c r="F834" s="42" t="inlineStr">
        <is>
          <t>City of General Trias</t>
        </is>
      </c>
      <c r="G834" s="42" t="inlineStr">
        <is>
          <t>San Juan I</t>
        </is>
      </c>
      <c r="H834" s="43" t="n">
        <v>14.3818</v>
      </c>
      <c r="I834" s="43" t="n">
        <v>120.877746</v>
      </c>
      <c r="J834" s="44" t="inlineStr">
        <is>
          <t>U</t>
        </is>
      </c>
      <c r="K834" s="42" t="inlineStr">
        <is>
          <t>Class 1-3 / Urban</t>
        </is>
      </c>
      <c r="L834" s="23" t="n">
        <v>5221</v>
      </c>
      <c r="M834" s="24" t="n">
        <v>4.49</v>
      </c>
      <c r="N834" s="23">
        <f>ROUND(L834/M834, 0)</f>
        <v/>
      </c>
      <c r="O834" s="23">
        <f>ROUND(N834*'Methodology &amp; Assumptions'!$B$8, 0)</f>
        <v/>
      </c>
      <c r="P834" s="44" t="inlineStr">
        <is>
          <t>Band n50 (1.5 GHz, 60 MHz)</t>
        </is>
      </c>
      <c r="Q834" s="38">
        <f>ROUNDUP(O834/'Methodology &amp; Assumptions'!$B$9, 0)</f>
        <v/>
      </c>
      <c r="R834" s="39" t="n">
        <v>1</v>
      </c>
      <c r="S834" s="25" t="n">
        <v>1.5</v>
      </c>
      <c r="T834" s="25" t="n">
        <v>1.97</v>
      </c>
      <c r="U834" s="42" t="inlineStr">
        <is>
          <t>Tier 1B (Micro Drop, 1-3 km)</t>
        </is>
      </c>
      <c r="V834" s="24" t="n">
        <v>70.59999999999999</v>
      </c>
      <c r="W834" s="24" t="n">
        <v>100</v>
      </c>
      <c r="X834" s="24" t="n">
        <v>28</v>
      </c>
      <c r="Y834" s="45">
        <f>ROUND((V834*'Methodology &amp; Assumptions'!$B$6)+(W834*'Methodology &amp; Assumptions'!$B$5)+(X834*'Methodology &amp; Assumptions'!$B$7), 2)</f>
        <v/>
      </c>
    </row>
    <row r="835" ht="19" customHeight="1">
      <c r="A835" s="35" t="n">
        <v>831</v>
      </c>
      <c r="B835" s="35" t="n">
        <v>2831</v>
      </c>
      <c r="C835" s="36" t="inlineStr">
        <is>
          <t>0301403002</t>
        </is>
      </c>
      <c r="D835" s="36" t="inlineStr">
        <is>
          <t>Region III (Central Luzon)</t>
        </is>
      </c>
      <c r="E835" s="36" t="inlineStr">
        <is>
          <t>Bulacan</t>
        </is>
      </c>
      <c r="F835" s="36" t="inlineStr">
        <is>
          <t>Baliuag</t>
        </is>
      </c>
      <c r="G835" s="36" t="inlineStr">
        <is>
          <t>Barangca</t>
        </is>
      </c>
      <c r="H835" s="37" t="n">
        <v>14.987934</v>
      </c>
      <c r="I835" s="37" t="n">
        <v>120.896289</v>
      </c>
      <c r="J835" s="8" t="inlineStr">
        <is>
          <t>R</t>
        </is>
      </c>
      <c r="K835" s="36" t="inlineStr">
        <is>
          <t>Class 1-3 / Urban</t>
        </is>
      </c>
      <c r="L835" s="18" t="n">
        <v>3385</v>
      </c>
      <c r="M835" s="20" t="n">
        <v>4.1</v>
      </c>
      <c r="N835" s="18">
        <f>ROUND(L835/M835, 0)</f>
        <v/>
      </c>
      <c r="O835" s="18">
        <f>ROUND(N835*'Methodology &amp; Assumptions'!$B$8, 0)</f>
        <v/>
      </c>
      <c r="P835" s="8" t="inlineStr">
        <is>
          <t>Band n50 (1.5 GHz, 60 MHz)</t>
        </is>
      </c>
      <c r="Q835" s="38">
        <f>ROUNDUP(O835/'Methodology &amp; Assumptions'!$B$9, 0)</f>
        <v/>
      </c>
      <c r="R835" s="39" t="n">
        <v>1</v>
      </c>
      <c r="S835" s="21" t="n">
        <v>2.41</v>
      </c>
      <c r="T835" s="21" t="n">
        <v>0.42</v>
      </c>
      <c r="U835" s="36" t="inlineStr">
        <is>
          <t>Tier 1B (Micro Drop, 1-3 km)</t>
        </is>
      </c>
      <c r="V835" s="20" t="n">
        <v>54.8</v>
      </c>
      <c r="W835" s="20" t="n">
        <v>90.09999999999999</v>
      </c>
      <c r="X835" s="20" t="n">
        <v>58</v>
      </c>
      <c r="Y835" s="40">
        <f>ROUND((V835*'Methodology &amp; Assumptions'!$B$6)+(W835*'Methodology &amp; Assumptions'!$B$5)+(X835*'Methodology &amp; Assumptions'!$B$7), 2)</f>
        <v/>
      </c>
    </row>
    <row r="836" ht="19" customHeight="1">
      <c r="A836" s="41" t="n">
        <v>832</v>
      </c>
      <c r="B836" s="41" t="n">
        <v>2832</v>
      </c>
      <c r="C836" s="42" t="inlineStr">
        <is>
          <t>0307106009</t>
        </is>
      </c>
      <c r="D836" s="42" t="inlineStr">
        <is>
          <t>Region III (Central Luzon)</t>
        </is>
      </c>
      <c r="E836" s="42" t="inlineStr">
        <is>
          <t>Zambales</t>
        </is>
      </c>
      <c r="F836" s="42" t="inlineStr">
        <is>
          <t>Masinloc</t>
        </is>
      </c>
      <c r="G836" s="42" t="inlineStr">
        <is>
          <t>Santa Rita</t>
        </is>
      </c>
      <c r="H836" s="43" t="n">
        <v>15.541599</v>
      </c>
      <c r="I836" s="43" t="n">
        <v>119.971941</v>
      </c>
      <c r="J836" s="44" t="inlineStr">
        <is>
          <t>R</t>
        </is>
      </c>
      <c r="K836" s="42" t="inlineStr">
        <is>
          <t>Class 1-3 / Urban</t>
        </is>
      </c>
      <c r="L836" s="23" t="n">
        <v>3097</v>
      </c>
      <c r="M836" s="24" t="n">
        <v>4.05</v>
      </c>
      <c r="N836" s="23">
        <f>ROUND(L836/M836, 0)</f>
        <v/>
      </c>
      <c r="O836" s="23">
        <f>ROUND(N836*'Methodology &amp; Assumptions'!$B$8, 0)</f>
        <v/>
      </c>
      <c r="P836" s="44" t="inlineStr">
        <is>
          <t>Band n50 (1.5 GHz, 60 MHz)</t>
        </is>
      </c>
      <c r="Q836" s="38">
        <f>ROUNDUP(O836/'Methodology &amp; Assumptions'!$B$9, 0)</f>
        <v/>
      </c>
      <c r="R836" s="39" t="n">
        <v>1</v>
      </c>
      <c r="S836" s="25" t="n">
        <v>2.1</v>
      </c>
      <c r="T836" s="25" t="n">
        <v>1.81</v>
      </c>
      <c r="U836" s="42" t="inlineStr">
        <is>
          <t>Tier 1B (Micro Drop, 1-3 km)</t>
        </is>
      </c>
      <c r="V836" s="24" t="n">
        <v>59.6</v>
      </c>
      <c r="W836" s="24" t="n">
        <v>85.3</v>
      </c>
      <c r="X836" s="24" t="n">
        <v>58</v>
      </c>
      <c r="Y836" s="45">
        <f>ROUND((V836*'Methodology &amp; Assumptions'!$B$6)+(W836*'Methodology &amp; Assumptions'!$B$5)+(X836*'Methodology &amp; Assumptions'!$B$7), 2)</f>
        <v/>
      </c>
    </row>
    <row r="837" ht="19" customHeight="1">
      <c r="A837" s="35" t="n">
        <v>833</v>
      </c>
      <c r="B837" s="35" t="n">
        <v>2833</v>
      </c>
      <c r="C837" s="36" t="inlineStr">
        <is>
          <t>0301404015</t>
        </is>
      </c>
      <c r="D837" s="36" t="inlineStr">
        <is>
          <t>Region III (Central Luzon)</t>
        </is>
      </c>
      <c r="E837" s="36" t="inlineStr">
        <is>
          <t>Bulacan</t>
        </is>
      </c>
      <c r="F837" s="36" t="inlineStr">
        <is>
          <t>Bocaue</t>
        </is>
      </c>
      <c r="G837" s="36" t="inlineStr">
        <is>
          <t>Sulucan</t>
        </is>
      </c>
      <c r="H837" s="37" t="n">
        <v>14.791373</v>
      </c>
      <c r="I837" s="37" t="n">
        <v>120.925481</v>
      </c>
      <c r="J837" s="8" t="inlineStr">
        <is>
          <t>R</t>
        </is>
      </c>
      <c r="K837" s="36" t="inlineStr">
        <is>
          <t>Class 1-3 / Urban</t>
        </is>
      </c>
      <c r="L837" s="18" t="n">
        <v>2793</v>
      </c>
      <c r="M837" s="20" t="n">
        <v>4.1</v>
      </c>
      <c r="N837" s="18">
        <f>ROUND(L837/M837, 0)</f>
        <v/>
      </c>
      <c r="O837" s="18">
        <f>ROUND(N837*'Methodology &amp; Assumptions'!$B$8, 0)</f>
        <v/>
      </c>
      <c r="P837" s="8" t="inlineStr">
        <is>
          <t>Band n50 (1.5 GHz, 60 MHz)</t>
        </is>
      </c>
      <c r="Q837" s="38">
        <f>ROUNDUP(O837/'Methodology &amp; Assumptions'!$B$9, 0)</f>
        <v/>
      </c>
      <c r="R837" s="39" t="n">
        <v>1</v>
      </c>
      <c r="S837" s="21" t="n">
        <v>1.71</v>
      </c>
      <c r="T837" s="21" t="n">
        <v>0.53</v>
      </c>
      <c r="U837" s="36" t="inlineStr">
        <is>
          <t>Tier 1B (Micro Drop, 1-3 km)</t>
        </is>
      </c>
      <c r="V837" s="20" t="n">
        <v>66.5</v>
      </c>
      <c r="W837" s="20" t="n">
        <v>78.40000000000001</v>
      </c>
      <c r="X837" s="20" t="n">
        <v>58</v>
      </c>
      <c r="Y837" s="40">
        <f>ROUND((V837*'Methodology &amp; Assumptions'!$B$6)+(W837*'Methodology &amp; Assumptions'!$B$5)+(X837*'Methodology &amp; Assumptions'!$B$7), 2)</f>
        <v/>
      </c>
    </row>
    <row r="838" ht="19" customHeight="1">
      <c r="A838" s="41" t="n">
        <v>834</v>
      </c>
      <c r="B838" s="41" t="n">
        <v>2834</v>
      </c>
      <c r="C838" s="42" t="inlineStr">
        <is>
          <t>0630200023</t>
        </is>
      </c>
      <c r="D838" s="42" t="inlineStr">
        <is>
          <t>Region VI (Western Visayas)</t>
        </is>
      </c>
      <c r="E838" s="42" t="inlineStr">
        <is>
          <t>Negros Occidental</t>
        </is>
      </c>
      <c r="F838" s="42" t="inlineStr">
        <is>
          <t>City of Bacolod</t>
        </is>
      </c>
      <c r="G838" s="42" t="inlineStr">
        <is>
          <t>Barangay 27</t>
        </is>
      </c>
      <c r="H838" s="43" t="n">
        <v>10.664679</v>
      </c>
      <c r="I838" s="43" t="n">
        <v>122.958418</v>
      </c>
      <c r="J838" s="44" t="inlineStr">
        <is>
          <t>R</t>
        </is>
      </c>
      <c r="K838" s="42" t="inlineStr">
        <is>
          <t>Class 1-3 / Urban</t>
        </is>
      </c>
      <c r="L838" s="23" t="n">
        <v>1731</v>
      </c>
      <c r="M838" s="24" t="n">
        <v>4.33</v>
      </c>
      <c r="N838" s="23">
        <f>ROUND(L838/M838, 0)</f>
        <v/>
      </c>
      <c r="O838" s="23">
        <f>ROUND(N838*'Methodology &amp; Assumptions'!$B$8, 0)</f>
        <v/>
      </c>
      <c r="P838" s="44" t="inlineStr">
        <is>
          <t>Band n50 (1.5 GHz, 60 MHz)</t>
        </is>
      </c>
      <c r="Q838" s="38">
        <f>ROUNDUP(O838/'Methodology &amp; Assumptions'!$B$9, 0)</f>
        <v/>
      </c>
      <c r="R838" s="39" t="n">
        <v>1</v>
      </c>
      <c r="S838" s="25" t="n">
        <v>0.71</v>
      </c>
      <c r="T838" s="25" t="n">
        <v>0.96</v>
      </c>
      <c r="U838" s="42" t="inlineStr">
        <is>
          <t>Tier 1A (Direct Coloc, &lt;1 km)</t>
        </is>
      </c>
      <c r="V838" s="24" t="n">
        <v>88.90000000000001</v>
      </c>
      <c r="W838" s="24" t="n">
        <v>56</v>
      </c>
      <c r="X838" s="24" t="n">
        <v>58</v>
      </c>
      <c r="Y838" s="45">
        <f>ROUND((V838*'Methodology &amp; Assumptions'!$B$6)+(W838*'Methodology &amp; Assumptions'!$B$5)+(X838*'Methodology &amp; Assumptions'!$B$7), 2)</f>
        <v/>
      </c>
    </row>
    <row r="839" ht="19" customHeight="1">
      <c r="A839" s="35" t="n">
        <v>835</v>
      </c>
      <c r="B839" s="35" t="n">
        <v>2835</v>
      </c>
      <c r="C839" s="36" t="inlineStr">
        <is>
          <t>0704610013</t>
        </is>
      </c>
      <c r="D839" s="36" t="inlineStr">
        <is>
          <t>Region VII (Central Visayas)</t>
        </is>
      </c>
      <c r="E839" s="36" t="inlineStr">
        <is>
          <t>Negros Oriental</t>
        </is>
      </c>
      <c r="F839" s="36" t="inlineStr">
        <is>
          <t>City of Dumaguete</t>
        </is>
      </c>
      <c r="G839" s="36" t="inlineStr">
        <is>
          <t>Daro</t>
        </is>
      </c>
      <c r="H839" s="37" t="n">
        <v>9.319061</v>
      </c>
      <c r="I839" s="37" t="n">
        <v>123.302347</v>
      </c>
      <c r="J839" s="8" t="inlineStr">
        <is>
          <t>U</t>
        </is>
      </c>
      <c r="K839" s="36" t="inlineStr">
        <is>
          <t>Class 1-3 / Urban</t>
        </is>
      </c>
      <c r="L839" s="18" t="n">
        <v>6164</v>
      </c>
      <c r="M839" s="20" t="n">
        <v>4.33</v>
      </c>
      <c r="N839" s="18">
        <f>ROUND(L839/M839, 0)</f>
        <v/>
      </c>
      <c r="O839" s="18">
        <f>ROUND(N839*'Methodology &amp; Assumptions'!$B$8, 0)</f>
        <v/>
      </c>
      <c r="P839" s="8" t="inlineStr">
        <is>
          <t>Band n50 (1.5 GHz, 60 MHz)</t>
        </is>
      </c>
      <c r="Q839" s="38">
        <f>ROUNDUP(O839/'Methodology &amp; Assumptions'!$B$9, 0)</f>
        <v/>
      </c>
      <c r="R839" s="39" t="n">
        <v>1</v>
      </c>
      <c r="S839" s="21" t="n">
        <v>1.5</v>
      </c>
      <c r="T839" s="21" t="n">
        <v>0.17</v>
      </c>
      <c r="U839" s="36" t="inlineStr">
        <is>
          <t>Tier 1B (Micro Drop, 1-3 km)</t>
        </is>
      </c>
      <c r="V839" s="20" t="n">
        <v>70.59999999999999</v>
      </c>
      <c r="W839" s="20" t="n">
        <v>100</v>
      </c>
      <c r="X839" s="20" t="n">
        <v>28</v>
      </c>
      <c r="Y839" s="40">
        <f>ROUND((V839*'Methodology &amp; Assumptions'!$B$6)+(W839*'Methodology &amp; Assumptions'!$B$5)+(X839*'Methodology &amp; Assumptions'!$B$7), 2)</f>
        <v/>
      </c>
    </row>
    <row r="840" ht="19" customHeight="1">
      <c r="A840" s="41" t="n">
        <v>836</v>
      </c>
      <c r="B840" s="41" t="n">
        <v>2836</v>
      </c>
      <c r="C840" s="42" t="inlineStr">
        <is>
          <t>0604530011</t>
        </is>
      </c>
      <c r="D840" s="42" t="inlineStr">
        <is>
          <t>Region VI (Western Visayas)</t>
        </is>
      </c>
      <c r="E840" s="42" t="inlineStr">
        <is>
          <t>Negros Occidental</t>
        </is>
      </c>
      <c r="F840" s="42" t="inlineStr">
        <is>
          <t>Valladolid</t>
        </is>
      </c>
      <c r="G840" s="42" t="inlineStr">
        <is>
          <t>Mabini</t>
        </is>
      </c>
      <c r="H840" s="43" t="n">
        <v>10.494323</v>
      </c>
      <c r="I840" s="43" t="n">
        <v>122.826443</v>
      </c>
      <c r="J840" s="44" t="inlineStr">
        <is>
          <t>R</t>
        </is>
      </c>
      <c r="K840" s="42" t="inlineStr">
        <is>
          <t>2nd</t>
        </is>
      </c>
      <c r="L840" s="23" t="n">
        <v>4076</v>
      </c>
      <c r="M840" s="24" t="n">
        <v>4.26</v>
      </c>
      <c r="N840" s="23">
        <f>ROUND(L840/M840, 0)</f>
        <v/>
      </c>
      <c r="O840" s="23">
        <f>ROUND(N840*'Methodology &amp; Assumptions'!$B$8, 0)</f>
        <v/>
      </c>
      <c r="P840" s="44" t="inlineStr">
        <is>
          <t>Band n50 (1.5 GHz, 60 MHz)</t>
        </is>
      </c>
      <c r="Q840" s="38">
        <f>ROUNDUP(O840/'Methodology &amp; Assumptions'!$B$9, 0)</f>
        <v/>
      </c>
      <c r="R840" s="39" t="n">
        <v>1</v>
      </c>
      <c r="S840" s="25" t="n">
        <v>3.16</v>
      </c>
      <c r="T840" s="25" t="n">
        <v>0.02</v>
      </c>
      <c r="U840" s="42" t="inlineStr">
        <is>
          <t>Tier 2 (Fiber Corridor / Lateral, 3-5 km)</t>
        </is>
      </c>
      <c r="V840" s="24" t="n">
        <v>44.9</v>
      </c>
      <c r="W840" s="24" t="n">
        <v>100</v>
      </c>
      <c r="X840" s="24" t="n">
        <v>58</v>
      </c>
      <c r="Y840" s="45">
        <f>ROUND((V840*'Methodology &amp; Assumptions'!$B$6)+(W840*'Methodology &amp; Assumptions'!$B$5)+(X840*'Methodology &amp; Assumptions'!$B$7), 2)</f>
        <v/>
      </c>
    </row>
    <row r="841" ht="19" customHeight="1">
      <c r="A841" s="35" t="n">
        <v>837</v>
      </c>
      <c r="B841" s="35" t="n">
        <v>2837</v>
      </c>
      <c r="C841" s="36" t="inlineStr">
        <is>
          <t>0306910010</t>
        </is>
      </c>
      <c r="D841" s="36" t="inlineStr">
        <is>
          <t>Region III (Central Luzon)</t>
        </is>
      </c>
      <c r="E841" s="36" t="inlineStr">
        <is>
          <t>Tarlac</t>
        </is>
      </c>
      <c r="F841" s="36" t="inlineStr">
        <is>
          <t>Paniqui</t>
        </is>
      </c>
      <c r="G841" s="36" t="inlineStr">
        <is>
          <t>Canan</t>
        </is>
      </c>
      <c r="H841" s="37" t="n">
        <v>15.684167</v>
      </c>
      <c r="I841" s="37" t="n">
        <v>120.595556</v>
      </c>
      <c r="J841" s="8" t="inlineStr">
        <is>
          <t>R</t>
        </is>
      </c>
      <c r="K841" s="36" t="inlineStr">
        <is>
          <t>Class 1-3 / Urban</t>
        </is>
      </c>
      <c r="L841" s="18" t="n">
        <v>3211</v>
      </c>
      <c r="M841" s="20" t="n">
        <v>4.3</v>
      </c>
      <c r="N841" s="18">
        <f>ROUND(L841/M841, 0)</f>
        <v/>
      </c>
      <c r="O841" s="18">
        <f>ROUND(N841*'Methodology &amp; Assumptions'!$B$8, 0)</f>
        <v/>
      </c>
      <c r="P841" s="8" t="inlineStr">
        <is>
          <t>Band n50 (1.5 GHz, 60 MHz)</t>
        </is>
      </c>
      <c r="Q841" s="38">
        <f>ROUNDUP(O841/'Methodology &amp; Assumptions'!$B$9, 0)</f>
        <v/>
      </c>
      <c r="R841" s="39" t="n">
        <v>1</v>
      </c>
      <c r="S841" s="21" t="n">
        <v>2.01</v>
      </c>
      <c r="T841" s="21" t="n">
        <v>1.26</v>
      </c>
      <c r="U841" s="36" t="inlineStr">
        <is>
          <t>Tier 1B (Micro Drop, 1-3 km)</t>
        </is>
      </c>
      <c r="V841" s="20" t="n">
        <v>61.2</v>
      </c>
      <c r="W841" s="20" t="n">
        <v>83.7</v>
      </c>
      <c r="X841" s="20" t="n">
        <v>58</v>
      </c>
      <c r="Y841" s="40">
        <f>ROUND((V841*'Methodology &amp; Assumptions'!$B$6)+(W841*'Methodology &amp; Assumptions'!$B$5)+(X841*'Methodology &amp; Assumptions'!$B$7), 2)</f>
        <v/>
      </c>
    </row>
    <row r="842" ht="19" customHeight="1">
      <c r="A842" s="41" t="n">
        <v>838</v>
      </c>
      <c r="B842" s="41" t="n">
        <v>2838</v>
      </c>
      <c r="C842" s="42" t="inlineStr">
        <is>
          <t>0307102019</t>
        </is>
      </c>
      <c r="D842" s="42" t="inlineStr">
        <is>
          <t>Region III (Central Luzon)</t>
        </is>
      </c>
      <c r="E842" s="42" t="inlineStr">
        <is>
          <t>Zambales</t>
        </is>
      </c>
      <c r="F842" s="42" t="inlineStr">
        <is>
          <t>Cabangan</t>
        </is>
      </c>
      <c r="G842" s="42" t="inlineStr">
        <is>
          <t>San Isidro</t>
        </is>
      </c>
      <c r="H842" s="43" t="n">
        <v>15.168085</v>
      </c>
      <c r="I842" s="43" t="n">
        <v>120.044857</v>
      </c>
      <c r="J842" s="44" t="inlineStr">
        <is>
          <t>R</t>
        </is>
      </c>
      <c r="K842" s="42" t="inlineStr">
        <is>
          <t>2nd</t>
        </is>
      </c>
      <c r="L842" s="23" t="n">
        <v>2321</v>
      </c>
      <c r="M842" s="24" t="n">
        <v>4.2</v>
      </c>
      <c r="N842" s="23">
        <f>ROUND(L842/M842, 0)</f>
        <v/>
      </c>
      <c r="O842" s="23">
        <f>ROUND(N842*'Methodology &amp; Assumptions'!$B$8, 0)</f>
        <v/>
      </c>
      <c r="P842" s="44" t="inlineStr">
        <is>
          <t>Band n50 (1.5 GHz, 60 MHz)</t>
        </is>
      </c>
      <c r="Q842" s="38">
        <f>ROUNDUP(O842/'Methodology &amp; Assumptions'!$B$9, 0)</f>
        <v/>
      </c>
      <c r="R842" s="39" t="n">
        <v>1</v>
      </c>
      <c r="S842" s="25" t="n">
        <v>1.22</v>
      </c>
      <c r="T842" s="25" t="n">
        <v>0.96</v>
      </c>
      <c r="U842" s="42" t="inlineStr">
        <is>
          <t>Tier 1B (Micro Drop, 1-3 km)</t>
        </is>
      </c>
      <c r="V842" s="24" t="n">
        <v>76.59999999999999</v>
      </c>
      <c r="W842" s="24" t="n">
        <v>68.3</v>
      </c>
      <c r="X842" s="24" t="n">
        <v>58</v>
      </c>
      <c r="Y842" s="45">
        <f>ROUND((V842*'Methodology &amp; Assumptions'!$B$6)+(W842*'Methodology &amp; Assumptions'!$B$5)+(X842*'Methodology &amp; Assumptions'!$B$7), 2)</f>
        <v/>
      </c>
    </row>
    <row r="843" ht="19" customHeight="1">
      <c r="A843" s="35" t="n">
        <v>839</v>
      </c>
      <c r="B843" s="35" t="n">
        <v>2839</v>
      </c>
      <c r="C843" s="36" t="inlineStr">
        <is>
          <t>0402121002</t>
        </is>
      </c>
      <c r="D843" s="36" t="inlineStr">
        <is>
          <t>Region IV-A (CALABARZON)</t>
        </is>
      </c>
      <c r="E843" s="36" t="inlineStr">
        <is>
          <t>Cavite</t>
        </is>
      </c>
      <c r="F843" s="36" t="inlineStr">
        <is>
          <t>Ternate</t>
        </is>
      </c>
      <c r="G843" s="36" t="inlineStr">
        <is>
          <t>Poblacion II</t>
        </is>
      </c>
      <c r="H843" s="37" t="n">
        <v>14.287029</v>
      </c>
      <c r="I843" s="37" t="n">
        <v>120.714731</v>
      </c>
      <c r="J843" s="8" t="inlineStr">
        <is>
          <t>R</t>
        </is>
      </c>
      <c r="K843" s="36" t="inlineStr">
        <is>
          <t>3rd</t>
        </is>
      </c>
      <c r="L843" s="18" t="n">
        <v>2005</v>
      </c>
      <c r="M843" s="20" t="n">
        <v>4.08</v>
      </c>
      <c r="N843" s="18">
        <f>ROUND(L843/M843, 0)</f>
        <v/>
      </c>
      <c r="O843" s="18">
        <f>ROUND(N843*'Methodology &amp; Assumptions'!$B$8, 0)</f>
        <v/>
      </c>
      <c r="P843" s="8" t="inlineStr">
        <is>
          <t>Band n50 (1.5 GHz, 60 MHz)</t>
        </is>
      </c>
      <c r="Q843" s="38">
        <f>ROUNDUP(O843/'Methodology &amp; Assumptions'!$B$9, 0)</f>
        <v/>
      </c>
      <c r="R843" s="39" t="n">
        <v>1</v>
      </c>
      <c r="S843" s="21" t="n">
        <v>0.61</v>
      </c>
      <c r="T843" s="21" t="n">
        <v>2.71</v>
      </c>
      <c r="U843" s="36" t="inlineStr">
        <is>
          <t>Tier 1A (Direct Coloc, &lt;1 km)</t>
        </is>
      </c>
      <c r="V843" s="20" t="n">
        <v>81.7</v>
      </c>
      <c r="W843" s="20" t="n">
        <v>63.2</v>
      </c>
      <c r="X843" s="20" t="n">
        <v>58</v>
      </c>
      <c r="Y843" s="40">
        <f>ROUND((V843*'Methodology &amp; Assumptions'!$B$6)+(W843*'Methodology &amp; Assumptions'!$B$5)+(X843*'Methodology &amp; Assumptions'!$B$7), 2)</f>
        <v/>
      </c>
    </row>
    <row r="844" ht="19" customHeight="1">
      <c r="A844" s="41" t="n">
        <v>840</v>
      </c>
      <c r="B844" s="41" t="n">
        <v>2840</v>
      </c>
      <c r="C844" s="42" t="inlineStr">
        <is>
          <t>0630200027</t>
        </is>
      </c>
      <c r="D844" s="42" t="inlineStr">
        <is>
          <t>Region VI (Western Visayas)</t>
        </is>
      </c>
      <c r="E844" s="42" t="inlineStr">
        <is>
          <t>Negros Occidental</t>
        </is>
      </c>
      <c r="F844" s="42" t="inlineStr">
        <is>
          <t>City of Bacolod</t>
        </is>
      </c>
      <c r="G844" s="42" t="inlineStr">
        <is>
          <t>Barangay 30</t>
        </is>
      </c>
      <c r="H844" s="43" t="n">
        <v>10.663537</v>
      </c>
      <c r="I844" s="43" t="n">
        <v>122.952299</v>
      </c>
      <c r="J844" s="44" t="inlineStr">
        <is>
          <t>U</t>
        </is>
      </c>
      <c r="K844" s="42" t="inlineStr">
        <is>
          <t>Class 1-3 / Urban</t>
        </is>
      </c>
      <c r="L844" s="23" t="n">
        <v>2606</v>
      </c>
      <c r="M844" s="24" t="n">
        <v>4.33</v>
      </c>
      <c r="N844" s="23">
        <f>ROUND(L844/M844, 0)</f>
        <v/>
      </c>
      <c r="O844" s="23">
        <f>ROUND(N844*'Methodology &amp; Assumptions'!$B$8, 0)</f>
        <v/>
      </c>
      <c r="P844" s="44" t="inlineStr">
        <is>
          <t>Band n50 (1.5 GHz, 60 MHz)</t>
        </is>
      </c>
      <c r="Q844" s="38">
        <f>ROUNDUP(O844/'Methodology &amp; Assumptions'!$B$9, 0)</f>
        <v/>
      </c>
      <c r="R844" s="39" t="n">
        <v>1</v>
      </c>
      <c r="S844" s="25" t="n">
        <v>0.37</v>
      </c>
      <c r="T844" s="25" t="n">
        <v>0.45</v>
      </c>
      <c r="U844" s="42" t="inlineStr">
        <is>
          <t>Tier 1A (Direct Coloc, &lt;1 km)</t>
        </is>
      </c>
      <c r="V844" s="24" t="n">
        <v>98.3</v>
      </c>
      <c r="W844" s="24" t="n">
        <v>72.3</v>
      </c>
      <c r="X844" s="24" t="n">
        <v>28</v>
      </c>
      <c r="Y844" s="45">
        <f>ROUND((V844*'Methodology &amp; Assumptions'!$B$6)+(W844*'Methodology &amp; Assumptions'!$B$5)+(X844*'Methodology &amp; Assumptions'!$B$7), 2)</f>
        <v/>
      </c>
    </row>
    <row r="845" ht="19" customHeight="1">
      <c r="A845" s="35" t="n">
        <v>841</v>
      </c>
      <c r="B845" s="35" t="n">
        <v>2841</v>
      </c>
      <c r="C845" s="36" t="inlineStr">
        <is>
          <t>0306917007</t>
        </is>
      </c>
      <c r="D845" s="36" t="inlineStr">
        <is>
          <t>Region III (Central Luzon)</t>
        </is>
      </c>
      <c r="E845" s="36" t="inlineStr">
        <is>
          <t>Tarlac</t>
        </is>
      </c>
      <c r="F845" s="36" t="inlineStr">
        <is>
          <t>Victoria</t>
        </is>
      </c>
      <c r="G845" s="36" t="inlineStr">
        <is>
          <t>Bulo</t>
        </is>
      </c>
      <c r="H845" s="37" t="n">
        <v>15.569334</v>
      </c>
      <c r="I845" s="37" t="n">
        <v>120.667459</v>
      </c>
      <c r="J845" s="8" t="inlineStr">
        <is>
          <t>R</t>
        </is>
      </c>
      <c r="K845" s="36" t="inlineStr">
        <is>
          <t>Class 1-3 / Urban</t>
        </is>
      </c>
      <c r="L845" s="18" t="n">
        <v>3031</v>
      </c>
      <c r="M845" s="20" t="n">
        <v>4.3</v>
      </c>
      <c r="N845" s="18">
        <f>ROUND(L845/M845, 0)</f>
        <v/>
      </c>
      <c r="O845" s="18">
        <f>ROUND(N845*'Methodology &amp; Assumptions'!$B$8, 0)</f>
        <v/>
      </c>
      <c r="P845" s="8" t="inlineStr">
        <is>
          <t>Band n50 (1.5 GHz, 60 MHz)</t>
        </is>
      </c>
      <c r="Q845" s="38">
        <f>ROUNDUP(O845/'Methodology &amp; Assumptions'!$B$9, 0)</f>
        <v/>
      </c>
      <c r="R845" s="39" t="n">
        <v>1</v>
      </c>
      <c r="S845" s="21" t="n">
        <v>1.32</v>
      </c>
      <c r="T845" s="21" t="n">
        <v>6.13</v>
      </c>
      <c r="U845" s="36" t="inlineStr">
        <is>
          <t>Tier 1B (Micro Drop, 1-3 km)</t>
        </is>
      </c>
      <c r="V845" s="20" t="n">
        <v>64.3</v>
      </c>
      <c r="W845" s="20" t="n">
        <v>80.5</v>
      </c>
      <c r="X845" s="20" t="n">
        <v>58</v>
      </c>
      <c r="Y845" s="40">
        <f>ROUND((V845*'Methodology &amp; Assumptions'!$B$6)+(W845*'Methodology &amp; Assumptions'!$B$5)+(X845*'Methodology &amp; Assumptions'!$B$7), 2)</f>
        <v/>
      </c>
    </row>
    <row r="846" ht="19" customHeight="1">
      <c r="A846" s="41" t="n">
        <v>842</v>
      </c>
      <c r="B846" s="41" t="n">
        <v>2842</v>
      </c>
      <c r="C846" s="42" t="inlineStr">
        <is>
          <t>0403407003</t>
        </is>
      </c>
      <c r="D846" s="42" t="inlineStr">
        <is>
          <t>Region IV-A (CALABARZON)</t>
        </is>
      </c>
      <c r="E846" s="42" t="inlineStr">
        <is>
          <t>Laguna</t>
        </is>
      </c>
      <c r="F846" s="42" t="inlineStr">
        <is>
          <t>Cavinti</t>
        </is>
      </c>
      <c r="G846" s="42" t="inlineStr">
        <is>
          <t>Bukal</t>
        </is>
      </c>
      <c r="H846" s="43" t="n">
        <v>14.239373</v>
      </c>
      <c r="I846" s="43" t="n">
        <v>121.544485</v>
      </c>
      <c r="J846" s="44" t="inlineStr">
        <is>
          <t>R</t>
        </is>
      </c>
      <c r="K846" s="42" t="inlineStr">
        <is>
          <t>Class 1-3 / Urban</t>
        </is>
      </c>
      <c r="L846" s="23" t="n">
        <v>1263</v>
      </c>
      <c r="M846" s="24" t="n">
        <v>4.2</v>
      </c>
      <c r="N846" s="23">
        <f>ROUND(L846/M846, 0)</f>
        <v/>
      </c>
      <c r="O846" s="23">
        <f>ROUND(N846*'Methodology &amp; Assumptions'!$B$8, 0)</f>
        <v/>
      </c>
      <c r="P846" s="44" t="inlineStr">
        <is>
          <t>Band n50 (1.5 GHz, 60 MHz)</t>
        </is>
      </c>
      <c r="Q846" s="38">
        <f>ROUNDUP(O846/'Methodology &amp; Assumptions'!$B$9, 0)</f>
        <v/>
      </c>
      <c r="R846" s="39" t="n">
        <v>1</v>
      </c>
      <c r="S846" s="25" t="n">
        <v>0.1</v>
      </c>
      <c r="T846" s="25" t="n">
        <v>10.23</v>
      </c>
      <c r="U846" s="42" t="inlineStr">
        <is>
          <t>Tier 1A (Direct Coloc, &lt;1 km)</t>
        </is>
      </c>
      <c r="V846" s="24" t="n">
        <v>96.8</v>
      </c>
      <c r="W846" s="24" t="n">
        <v>48</v>
      </c>
      <c r="X846" s="24" t="n">
        <v>58</v>
      </c>
      <c r="Y846" s="45">
        <f>ROUND((V846*'Methodology &amp; Assumptions'!$B$6)+(W846*'Methodology &amp; Assumptions'!$B$5)+(X846*'Methodology &amp; Assumptions'!$B$7), 2)</f>
        <v/>
      </c>
    </row>
    <row r="847" ht="19" customHeight="1">
      <c r="A847" s="35" t="n">
        <v>843</v>
      </c>
      <c r="B847" s="35" t="n">
        <v>2843</v>
      </c>
      <c r="C847" s="36" t="inlineStr">
        <is>
          <t>0105511013</t>
        </is>
      </c>
      <c r="D847" s="36" t="inlineStr">
        <is>
          <t>Region I (Ilocos Region)</t>
        </is>
      </c>
      <c r="E847" s="36" t="inlineStr">
        <is>
          <t>Pangasinan</t>
        </is>
      </c>
      <c r="F847" s="36" t="inlineStr">
        <is>
          <t>Bayambang</t>
        </is>
      </c>
      <c r="G847" s="36" t="inlineStr">
        <is>
          <t>Bani</t>
        </is>
      </c>
      <c r="H847" s="37" t="n">
        <v>15.823318</v>
      </c>
      <c r="I847" s="37" t="n">
        <v>120.439641</v>
      </c>
      <c r="J847" s="8" t="inlineStr">
        <is>
          <t>R</t>
        </is>
      </c>
      <c r="K847" s="36" t="inlineStr">
        <is>
          <t>Class 1-3 / Urban</t>
        </is>
      </c>
      <c r="L847" s="18" t="n">
        <v>3087</v>
      </c>
      <c r="M847" s="20" t="n">
        <v>4.39</v>
      </c>
      <c r="N847" s="18">
        <f>ROUND(L847/M847, 0)</f>
        <v/>
      </c>
      <c r="O847" s="18">
        <f>ROUND(N847*'Methodology &amp; Assumptions'!$B$8, 0)</f>
        <v/>
      </c>
      <c r="P847" s="8" t="inlineStr">
        <is>
          <t>Band n50 (1.5 GHz, 60 MHz)</t>
        </is>
      </c>
      <c r="Q847" s="38">
        <f>ROUNDUP(O847/'Methodology &amp; Assumptions'!$B$9, 0)</f>
        <v/>
      </c>
      <c r="R847" s="39" t="n">
        <v>1</v>
      </c>
      <c r="S847" s="21" t="n">
        <v>1.82</v>
      </c>
      <c r="T847" s="21" t="n">
        <v>1.8</v>
      </c>
      <c r="U847" s="36" t="inlineStr">
        <is>
          <t>Tier 1B (Micro Drop, 1-3 km)</t>
        </is>
      </c>
      <c r="V847" s="20" t="n">
        <v>64.59999999999999</v>
      </c>
      <c r="W847" s="20" t="n">
        <v>80.3</v>
      </c>
      <c r="X847" s="20" t="n">
        <v>58</v>
      </c>
      <c r="Y847" s="40">
        <f>ROUND((V847*'Methodology &amp; Assumptions'!$B$6)+(W847*'Methodology &amp; Assumptions'!$B$5)+(X847*'Methodology &amp; Assumptions'!$B$7), 2)</f>
        <v/>
      </c>
    </row>
    <row r="848" ht="19" customHeight="1">
      <c r="A848" s="41" t="n">
        <v>844</v>
      </c>
      <c r="B848" s="41" t="n">
        <v>2844</v>
      </c>
      <c r="C848" s="42" t="inlineStr">
        <is>
          <t>1030900017</t>
        </is>
      </c>
      <c r="D848" s="42" t="inlineStr">
        <is>
          <t>Region X (Northern Mindanao)</t>
        </is>
      </c>
      <c r="E848" s="42" t="inlineStr">
        <is>
          <t>Lanao del Norte</t>
        </is>
      </c>
      <c r="F848" s="42" t="inlineStr">
        <is>
          <t>City of Iligan</t>
        </is>
      </c>
      <c r="G848" s="42" t="inlineStr">
        <is>
          <t>Poblacion</t>
        </is>
      </c>
      <c r="H848" s="43" t="n">
        <v>8.2285</v>
      </c>
      <c r="I848" s="43" t="n">
        <v>124.2344</v>
      </c>
      <c r="J848" s="44" t="inlineStr">
        <is>
          <t>U</t>
        </is>
      </c>
      <c r="K848" s="42" t="inlineStr">
        <is>
          <t>Class 1-3 / Urban</t>
        </is>
      </c>
      <c r="L848" s="23" t="n">
        <v>3613</v>
      </c>
      <c r="M848" s="24" t="n">
        <v>5.12</v>
      </c>
      <c r="N848" s="23">
        <f>ROUND(L848/M848, 0)</f>
        <v/>
      </c>
      <c r="O848" s="23">
        <f>ROUND(N848*'Methodology &amp; Assumptions'!$B$8, 0)</f>
        <v/>
      </c>
      <c r="P848" s="44" t="inlineStr">
        <is>
          <t>Band n50 (1.5 GHz, 60 MHz)</t>
        </is>
      </c>
      <c r="Q848" s="38">
        <f>ROUNDUP(O848/'Methodology &amp; Assumptions'!$B$9, 0)</f>
        <v/>
      </c>
      <c r="R848" s="39" t="n">
        <v>1</v>
      </c>
      <c r="S848" s="25" t="n">
        <v>0.67</v>
      </c>
      <c r="T848" s="25" t="n">
        <v>0.66</v>
      </c>
      <c r="U848" s="42" t="inlineStr">
        <is>
          <t>Tier 1A (Direct Coloc, &lt;1 km)</t>
        </is>
      </c>
      <c r="V848" s="24" t="n">
        <v>90</v>
      </c>
      <c r="W848" s="24" t="n">
        <v>80.5</v>
      </c>
      <c r="X848" s="24" t="n">
        <v>28</v>
      </c>
      <c r="Y848" s="45">
        <f>ROUND((V848*'Methodology &amp; Assumptions'!$B$6)+(W848*'Methodology &amp; Assumptions'!$B$5)+(X848*'Methodology &amp; Assumptions'!$B$7), 2)</f>
        <v/>
      </c>
    </row>
    <row r="849" ht="19" customHeight="1">
      <c r="A849" s="35" t="n">
        <v>845</v>
      </c>
      <c r="B849" s="35" t="n">
        <v>2845</v>
      </c>
      <c r="C849" s="36" t="inlineStr">
        <is>
          <t>1404408005</t>
        </is>
      </c>
      <c r="D849" s="36" t="inlineStr">
        <is>
          <t>Cordillera Administrative Region (CAR)</t>
        </is>
      </c>
      <c r="E849" s="36" t="inlineStr">
        <is>
          <t>Mountain Province</t>
        </is>
      </c>
      <c r="F849" s="36" t="inlineStr">
        <is>
          <t>Sadanga</t>
        </is>
      </c>
      <c r="G849" s="36" t="inlineStr">
        <is>
          <t>Poblacion</t>
        </is>
      </c>
      <c r="H849" s="37" t="n">
        <v>17.00476</v>
      </c>
      <c r="I849" s="37" t="n">
        <v>120.923639</v>
      </c>
      <c r="J849" s="8" t="inlineStr">
        <is>
          <t>R</t>
        </is>
      </c>
      <c r="K849" s="36" t="inlineStr">
        <is>
          <t>5th</t>
        </is>
      </c>
      <c r="L849" s="18" t="n">
        <v>1536</v>
      </c>
      <c r="M849" s="20" t="n">
        <v>4.99</v>
      </c>
      <c r="N849" s="18">
        <f>ROUND(L849/M849, 0)</f>
        <v/>
      </c>
      <c r="O849" s="18">
        <f>ROUND(N849*'Methodology &amp; Assumptions'!$B$8, 0)</f>
        <v/>
      </c>
      <c r="P849" s="8" t="inlineStr">
        <is>
          <t>Band n50 (1.5 GHz, 60 MHz)</t>
        </is>
      </c>
      <c r="Q849" s="38">
        <f>ROUNDUP(O849/'Methodology &amp; Assumptions'!$B$9, 0)</f>
        <v/>
      </c>
      <c r="R849" s="39" t="n">
        <v>1</v>
      </c>
      <c r="S849" s="21" t="n">
        <v>0.77</v>
      </c>
      <c r="T849" s="21" t="n">
        <v>0.28</v>
      </c>
      <c r="U849" s="36" t="inlineStr">
        <is>
          <t>Tier 1A (Direct Coloc, &lt;1 km)</t>
        </is>
      </c>
      <c r="V849" s="20" t="n">
        <v>87.40000000000001</v>
      </c>
      <c r="W849" s="20" t="n">
        <v>44.5</v>
      </c>
      <c r="X849" s="20" t="n">
        <v>73</v>
      </c>
      <c r="Y849" s="40">
        <f>ROUND((V849*'Methodology &amp; Assumptions'!$B$6)+(W849*'Methodology &amp; Assumptions'!$B$5)+(X849*'Methodology &amp; Assumptions'!$B$7), 2)</f>
        <v/>
      </c>
    </row>
    <row r="850" ht="19" customHeight="1">
      <c r="A850" s="41" t="n">
        <v>846</v>
      </c>
      <c r="B850" s="41" t="n">
        <v>2846</v>
      </c>
      <c r="C850" s="42" t="inlineStr">
        <is>
          <t>1430300126</t>
        </is>
      </c>
      <c r="D850" s="42" t="inlineStr">
        <is>
          <t>Cordillera Administrative Region (CAR)</t>
        </is>
      </c>
      <c r="E850" s="42" t="inlineStr">
        <is>
          <t>Benguet</t>
        </is>
      </c>
      <c r="F850" s="42" t="inlineStr">
        <is>
          <t>City of Baguio</t>
        </is>
      </c>
      <c r="G850" s="42" t="inlineStr">
        <is>
          <t>Ambiong</t>
        </is>
      </c>
      <c r="H850" s="43" t="n">
        <v>16.42915</v>
      </c>
      <c r="I850" s="43" t="n">
        <v>120.60926</v>
      </c>
      <c r="J850" s="44" t="inlineStr">
        <is>
          <t>R</t>
        </is>
      </c>
      <c r="K850" s="42" t="inlineStr">
        <is>
          <t>Class 1-3 / Urban</t>
        </is>
      </c>
      <c r="L850" s="23" t="n">
        <v>3321</v>
      </c>
      <c r="M850" s="24" t="n">
        <v>4.58</v>
      </c>
      <c r="N850" s="23">
        <f>ROUND(L850/M850, 0)</f>
        <v/>
      </c>
      <c r="O850" s="23">
        <f>ROUND(N850*'Methodology &amp; Assumptions'!$B$8, 0)</f>
        <v/>
      </c>
      <c r="P850" s="44" t="inlineStr">
        <is>
          <t>Band n50 (1.5 GHz, 60 MHz)</t>
        </is>
      </c>
      <c r="Q850" s="38">
        <f>ROUNDUP(O850/'Methodology &amp; Assumptions'!$B$9, 0)</f>
        <v/>
      </c>
      <c r="R850" s="39" t="n">
        <v>1</v>
      </c>
      <c r="S850" s="25" t="n">
        <v>1.7</v>
      </c>
      <c r="T850" s="25" t="n">
        <v>1.4</v>
      </c>
      <c r="U850" s="42" t="inlineStr">
        <is>
          <t>Tier 1B (Micro Drop, 1-3 km)</t>
        </is>
      </c>
      <c r="V850" s="24" t="n">
        <v>66.7</v>
      </c>
      <c r="W850" s="24" t="n">
        <v>78.09999999999999</v>
      </c>
      <c r="X850" s="24" t="n">
        <v>58</v>
      </c>
      <c r="Y850" s="45">
        <f>ROUND((V850*'Methodology &amp; Assumptions'!$B$6)+(W850*'Methodology &amp; Assumptions'!$B$5)+(X850*'Methodology &amp; Assumptions'!$B$7), 2)</f>
        <v/>
      </c>
    </row>
    <row r="851" ht="19" customHeight="1">
      <c r="A851" s="35" t="n">
        <v>847</v>
      </c>
      <c r="B851" s="35" t="n">
        <v>2847</v>
      </c>
      <c r="C851" s="36" t="inlineStr">
        <is>
          <t>0301419007</t>
        </is>
      </c>
      <c r="D851" s="36" t="inlineStr">
        <is>
          <t>Region III (Central Luzon)</t>
        </is>
      </c>
      <c r="E851" s="36" t="inlineStr">
        <is>
          <t>Bulacan</t>
        </is>
      </c>
      <c r="F851" s="36" t="inlineStr">
        <is>
          <t>San Ildefonso</t>
        </is>
      </c>
      <c r="G851" s="36" t="inlineStr">
        <is>
          <t>Basuit</t>
        </is>
      </c>
      <c r="H851" s="37" t="n">
        <v>15.042012</v>
      </c>
      <c r="I851" s="37" t="n">
        <v>120.991961</v>
      </c>
      <c r="J851" s="8" t="inlineStr">
        <is>
          <t>R</t>
        </is>
      </c>
      <c r="K851" s="36" t="inlineStr">
        <is>
          <t>Class 1-3 / Urban</t>
        </is>
      </c>
      <c r="L851" s="18" t="n">
        <v>2199</v>
      </c>
      <c r="M851" s="20" t="n">
        <v>4.1</v>
      </c>
      <c r="N851" s="18">
        <f>ROUND(L851/M851, 0)</f>
        <v/>
      </c>
      <c r="O851" s="18">
        <f>ROUND(N851*'Methodology &amp; Assumptions'!$B$8, 0)</f>
        <v/>
      </c>
      <c r="P851" s="8" t="inlineStr">
        <is>
          <t>Band n50 (1.5 GHz, 60 MHz)</t>
        </is>
      </c>
      <c r="Q851" s="38">
        <f>ROUNDUP(O851/'Methodology &amp; Assumptions'!$B$9, 0)</f>
        <v/>
      </c>
      <c r="R851" s="39" t="n">
        <v>1</v>
      </c>
      <c r="S851" s="21" t="n">
        <v>0.75</v>
      </c>
      <c r="T851" s="21" t="n">
        <v>5.72</v>
      </c>
      <c r="U851" s="36" t="inlineStr">
        <is>
          <t>Tier 1A (Direct Coloc, &lt;1 km)</t>
        </is>
      </c>
      <c r="V851" s="20" t="n">
        <v>77.90000000000001</v>
      </c>
      <c r="W851" s="20" t="n">
        <v>66.90000000000001</v>
      </c>
      <c r="X851" s="20" t="n">
        <v>58</v>
      </c>
      <c r="Y851" s="40">
        <f>ROUND((V851*'Methodology &amp; Assumptions'!$B$6)+(W851*'Methodology &amp; Assumptions'!$B$5)+(X851*'Methodology &amp; Assumptions'!$B$7), 2)</f>
        <v/>
      </c>
    </row>
    <row r="852" ht="19" customHeight="1">
      <c r="A852" s="41" t="n">
        <v>848</v>
      </c>
      <c r="B852" s="41" t="n">
        <v>2848</v>
      </c>
      <c r="C852" s="42" t="inlineStr">
        <is>
          <t>0405607074</t>
        </is>
      </c>
      <c r="D852" s="42" t="inlineStr">
        <is>
          <t>Region IV-A (CALABARZON)</t>
        </is>
      </c>
      <c r="E852" s="42" t="inlineStr">
        <is>
          <t>Quezon</t>
        </is>
      </c>
      <c r="F852" s="42" t="inlineStr">
        <is>
          <t>Calauag</t>
        </is>
      </c>
      <c r="G852" s="42" t="inlineStr">
        <is>
          <t>Santa Milagrosa</t>
        </is>
      </c>
      <c r="H852" s="43" t="n">
        <v>13.965014</v>
      </c>
      <c r="I852" s="43" t="n">
        <v>122.330444</v>
      </c>
      <c r="J852" s="44" t="inlineStr">
        <is>
          <t>R</t>
        </is>
      </c>
      <c r="K852" s="42" t="inlineStr">
        <is>
          <t>Class 1-3 / Urban</t>
        </is>
      </c>
      <c r="L852" s="23" t="n">
        <v>1163</v>
      </c>
      <c r="M852" s="24" t="n">
        <v>4.46</v>
      </c>
      <c r="N852" s="23">
        <f>ROUND(L852/M852, 0)</f>
        <v/>
      </c>
      <c r="O852" s="23">
        <f>ROUND(N852*'Methodology &amp; Assumptions'!$B$8, 0)</f>
        <v/>
      </c>
      <c r="P852" s="44" t="inlineStr">
        <is>
          <t>Band n50 (1.5 GHz, 60 MHz)</t>
        </is>
      </c>
      <c r="Q852" s="38">
        <f>ROUNDUP(O852/'Methodology &amp; Assumptions'!$B$9, 0)</f>
        <v/>
      </c>
      <c r="R852" s="39" t="n">
        <v>1</v>
      </c>
      <c r="S852" s="25" t="n">
        <v>0.2</v>
      </c>
      <c r="T852" s="25" t="n">
        <v>0.43</v>
      </c>
      <c r="U852" s="42" t="inlineStr">
        <is>
          <t>Tier 1A (Direct Coloc, &lt;1 km)</t>
        </is>
      </c>
      <c r="V852" s="24" t="n">
        <v>100</v>
      </c>
      <c r="W852" s="24" t="n">
        <v>44.8</v>
      </c>
      <c r="X852" s="24" t="n">
        <v>58</v>
      </c>
      <c r="Y852" s="45">
        <f>ROUND((V852*'Methodology &amp; Assumptions'!$B$6)+(W852*'Methodology &amp; Assumptions'!$B$5)+(X852*'Methodology &amp; Assumptions'!$B$7), 2)</f>
        <v/>
      </c>
    </row>
    <row r="853" ht="19" customHeight="1">
      <c r="A853" s="35" t="n">
        <v>849</v>
      </c>
      <c r="B853" s="35" t="n">
        <v>2849</v>
      </c>
      <c r="C853" s="36" t="inlineStr">
        <is>
          <t>0401018018</t>
        </is>
      </c>
      <c r="D853" s="36" t="inlineStr">
        <is>
          <t>Region IV-A (CALABARZON)</t>
        </is>
      </c>
      <c r="E853" s="36" t="inlineStr">
        <is>
          <t>Batangas</t>
        </is>
      </c>
      <c r="F853" s="36" t="inlineStr">
        <is>
          <t>Mataasnakahoy</t>
        </is>
      </c>
      <c r="G853" s="36" t="inlineStr">
        <is>
          <t>Barangay II-A</t>
        </is>
      </c>
      <c r="H853" s="37" t="n">
        <v>13.957287</v>
      </c>
      <c r="I853" s="37" t="n">
        <v>121.115903</v>
      </c>
      <c r="J853" s="8" t="inlineStr">
        <is>
          <t>R</t>
        </is>
      </c>
      <c r="K853" s="36" t="inlineStr">
        <is>
          <t>3rd</t>
        </is>
      </c>
      <c r="L853" s="18" t="n">
        <v>1106</v>
      </c>
      <c r="M853" s="20" t="n">
        <v>4.23</v>
      </c>
      <c r="N853" s="18">
        <f>ROUND(L853/M853, 0)</f>
        <v/>
      </c>
      <c r="O853" s="18">
        <f>ROUND(N853*'Methodology &amp; Assumptions'!$B$8, 0)</f>
        <v/>
      </c>
      <c r="P853" s="8" t="inlineStr">
        <is>
          <t>Band n50 (1.5 GHz, 60 MHz)</t>
        </is>
      </c>
      <c r="Q853" s="38">
        <f>ROUNDUP(O853/'Methodology &amp; Assumptions'!$B$9, 0)</f>
        <v/>
      </c>
      <c r="R853" s="39" t="n">
        <v>1</v>
      </c>
      <c r="S853" s="21" t="n">
        <v>0.08</v>
      </c>
      <c r="T853" s="21" t="n">
        <v>2</v>
      </c>
      <c r="U853" s="36" t="inlineStr">
        <is>
          <t>Tier 1A (Direct Coloc, &lt;1 km)</t>
        </is>
      </c>
      <c r="V853" s="20" t="n">
        <v>100</v>
      </c>
      <c r="W853" s="20" t="n">
        <v>44.8</v>
      </c>
      <c r="X853" s="20" t="n">
        <v>58</v>
      </c>
      <c r="Y853" s="40">
        <f>ROUND((V853*'Methodology &amp; Assumptions'!$B$6)+(W853*'Methodology &amp; Assumptions'!$B$5)+(X853*'Methodology &amp; Assumptions'!$B$7), 2)</f>
        <v/>
      </c>
    </row>
    <row r="854" ht="19" customHeight="1">
      <c r="A854" s="41" t="n">
        <v>850</v>
      </c>
      <c r="B854" s="41" t="n">
        <v>2850</v>
      </c>
      <c r="C854" s="42" t="inlineStr">
        <is>
          <t>0301411004</t>
        </is>
      </c>
      <c r="D854" s="42" t="inlineStr">
        <is>
          <t>Region III (Central Luzon)</t>
        </is>
      </c>
      <c r="E854" s="42" t="inlineStr">
        <is>
          <t>Bulacan</t>
        </is>
      </c>
      <c r="F854" s="42" t="inlineStr">
        <is>
          <t>Marilao</t>
        </is>
      </c>
      <c r="G854" s="42" t="inlineStr">
        <is>
          <t>Lambakin</t>
        </is>
      </c>
      <c r="H854" s="43" t="n">
        <v>14.771414</v>
      </c>
      <c r="I854" s="43" t="n">
        <v>120.978769</v>
      </c>
      <c r="J854" s="44" t="inlineStr">
        <is>
          <t>U</t>
        </is>
      </c>
      <c r="K854" s="42" t="inlineStr">
        <is>
          <t>Class 1-3 / Urban</t>
        </is>
      </c>
      <c r="L854" s="23" t="n">
        <v>48184</v>
      </c>
      <c r="M854" s="24" t="n">
        <v>4.1</v>
      </c>
      <c r="N854" s="23">
        <f>ROUND(L854/M854, 0)</f>
        <v/>
      </c>
      <c r="O854" s="23">
        <f>ROUND(N854*'Methodology &amp; Assumptions'!$B$8, 0)</f>
        <v/>
      </c>
      <c r="P854" s="44" t="inlineStr">
        <is>
          <t>Band n50 (1.5 GHz, 60 MHz)</t>
        </is>
      </c>
      <c r="Q854" s="38">
        <f>ROUNDUP(O854/'Methodology &amp; Assumptions'!$B$9, 0)</f>
        <v/>
      </c>
      <c r="R854" s="39" t="n">
        <v>1</v>
      </c>
      <c r="S854" s="25" t="n">
        <v>1.33</v>
      </c>
      <c r="T854" s="25" t="n">
        <v>0.62</v>
      </c>
      <c r="U854" s="42" t="inlineStr">
        <is>
          <t>Tier 1B (Micro Drop, 1-3 km)</t>
        </is>
      </c>
      <c r="V854" s="24" t="n">
        <v>74.09999999999999</v>
      </c>
      <c r="W854" s="24" t="n">
        <v>96.40000000000001</v>
      </c>
      <c r="X854" s="24" t="n">
        <v>28</v>
      </c>
      <c r="Y854" s="45">
        <f>ROUND((V854*'Methodology &amp; Assumptions'!$B$6)+(W854*'Methodology &amp; Assumptions'!$B$5)+(X854*'Methodology &amp; Assumptions'!$B$7), 2)</f>
        <v/>
      </c>
    </row>
    <row r="855" ht="19" customHeight="1">
      <c r="A855" s="35" t="n">
        <v>851</v>
      </c>
      <c r="B855" s="35" t="n">
        <v>2851</v>
      </c>
      <c r="C855" s="36" t="inlineStr">
        <is>
          <t>0306910019</t>
        </is>
      </c>
      <c r="D855" s="36" t="inlineStr">
        <is>
          <t>Region III (Central Luzon)</t>
        </is>
      </c>
      <c r="E855" s="36" t="inlineStr">
        <is>
          <t>Tarlac</t>
        </is>
      </c>
      <c r="F855" s="36" t="inlineStr">
        <is>
          <t>Paniqui</t>
        </is>
      </c>
      <c r="G855" s="36" t="inlineStr">
        <is>
          <t>Matalapitap</t>
        </is>
      </c>
      <c r="H855" s="37" t="n">
        <v>15.677778</v>
      </c>
      <c r="I855" s="37" t="n">
        <v>120.589167</v>
      </c>
      <c r="J855" s="8" t="inlineStr">
        <is>
          <t>R</t>
        </is>
      </c>
      <c r="K855" s="36" t="inlineStr">
        <is>
          <t>Class 1-3 / Urban</t>
        </is>
      </c>
      <c r="L855" s="18" t="n">
        <v>2230</v>
      </c>
      <c r="M855" s="20" t="n">
        <v>4.3</v>
      </c>
      <c r="N855" s="18">
        <f>ROUND(L855/M855, 0)</f>
        <v/>
      </c>
      <c r="O855" s="18">
        <f>ROUND(N855*'Methodology &amp; Assumptions'!$B$8, 0)</f>
        <v/>
      </c>
      <c r="P855" s="8" t="inlineStr">
        <is>
          <t>Band n50 (1.5 GHz, 60 MHz)</t>
        </is>
      </c>
      <c r="Q855" s="38">
        <f>ROUNDUP(O855/'Methodology &amp; Assumptions'!$B$9, 0)</f>
        <v/>
      </c>
      <c r="R855" s="39" t="n">
        <v>1</v>
      </c>
      <c r="S855" s="21" t="n">
        <v>1.11</v>
      </c>
      <c r="T855" s="21" t="n">
        <v>0.45</v>
      </c>
      <c r="U855" s="36" t="inlineStr">
        <is>
          <t>Tier 1B (Micro Drop, 1-3 km)</t>
        </is>
      </c>
      <c r="V855" s="20" t="n">
        <v>79.2</v>
      </c>
      <c r="W855" s="20" t="n">
        <v>65.59999999999999</v>
      </c>
      <c r="X855" s="20" t="n">
        <v>58</v>
      </c>
      <c r="Y855" s="40">
        <f>ROUND((V855*'Methodology &amp; Assumptions'!$B$6)+(W855*'Methodology &amp; Assumptions'!$B$5)+(X855*'Methodology &amp; Assumptions'!$B$7), 2)</f>
        <v/>
      </c>
    </row>
    <row r="856" ht="19" customHeight="1">
      <c r="A856" s="41" t="n">
        <v>852</v>
      </c>
      <c r="B856" s="41" t="n">
        <v>2852</v>
      </c>
      <c r="C856" s="42" t="inlineStr">
        <is>
          <t>0500507007</t>
        </is>
      </c>
      <c r="D856" s="42" t="inlineStr">
        <is>
          <t>Region V (Bicol Region)</t>
        </is>
      </c>
      <c r="E856" s="42" t="inlineStr">
        <is>
          <t>Albay</t>
        </is>
      </c>
      <c r="F856" s="42" t="inlineStr">
        <is>
          <t>Libon</t>
        </is>
      </c>
      <c r="G856" s="42" t="inlineStr">
        <is>
          <t>Zone IV</t>
        </is>
      </c>
      <c r="H856" s="43" t="n">
        <v>13.300072</v>
      </c>
      <c r="I856" s="43" t="n">
        <v>123.435505</v>
      </c>
      <c r="J856" s="44" t="inlineStr">
        <is>
          <t>R</t>
        </is>
      </c>
      <c r="K856" s="42" t="inlineStr">
        <is>
          <t>Class 1-3 / Urban</t>
        </is>
      </c>
      <c r="L856" s="23" t="n">
        <v>1918</v>
      </c>
      <c r="M856" s="24" t="n">
        <v>4.67</v>
      </c>
      <c r="N856" s="23">
        <f>ROUND(L856/M856, 0)</f>
        <v/>
      </c>
      <c r="O856" s="23">
        <f>ROUND(N856*'Methodology &amp; Assumptions'!$B$8, 0)</f>
        <v/>
      </c>
      <c r="P856" s="44" t="inlineStr">
        <is>
          <t>Band n50 (1.5 GHz, 60 MHz)</t>
        </is>
      </c>
      <c r="Q856" s="38">
        <f>ROUNDUP(O856/'Methodology &amp; Assumptions'!$B$9, 0)</f>
        <v/>
      </c>
      <c r="R856" s="39" t="n">
        <v>1</v>
      </c>
      <c r="S856" s="25" t="n">
        <v>0.38</v>
      </c>
      <c r="T856" s="25" t="n">
        <v>2.19</v>
      </c>
      <c r="U856" s="42" t="inlineStr">
        <is>
          <t>Tier 1A (Direct Coloc, &lt;1 km)</t>
        </is>
      </c>
      <c r="V856" s="24" t="n">
        <v>88</v>
      </c>
      <c r="W856" s="24" t="n">
        <v>56.8</v>
      </c>
      <c r="X856" s="24" t="n">
        <v>58</v>
      </c>
      <c r="Y856" s="45">
        <f>ROUND((V856*'Methodology &amp; Assumptions'!$B$6)+(W856*'Methodology &amp; Assumptions'!$B$5)+(X856*'Methodology &amp; Assumptions'!$B$7), 2)</f>
        <v/>
      </c>
    </row>
    <row r="857" ht="19" customHeight="1">
      <c r="A857" s="35" t="n">
        <v>853</v>
      </c>
      <c r="B857" s="35" t="n">
        <v>2853</v>
      </c>
      <c r="C857" s="36" t="inlineStr">
        <is>
          <t>0304930039</t>
        </is>
      </c>
      <c r="D857" s="36" t="inlineStr">
        <is>
          <t>Region III (Central Luzon)</t>
        </is>
      </c>
      <c r="E857" s="36" t="inlineStr">
        <is>
          <t>Nueva Ecija</t>
        </is>
      </c>
      <c r="F857" s="36" t="inlineStr">
        <is>
          <t>Talavera</t>
        </is>
      </c>
      <c r="G857" s="36" t="inlineStr">
        <is>
          <t>Matingkis</t>
        </is>
      </c>
      <c r="H857" s="37" t="n">
        <v>15.577965</v>
      </c>
      <c r="I857" s="37" t="n">
        <v>120.917188</v>
      </c>
      <c r="J857" s="8" t="inlineStr">
        <is>
          <t>R</t>
        </is>
      </c>
      <c r="K857" s="36" t="inlineStr">
        <is>
          <t>Class 1-3 / Urban</t>
        </is>
      </c>
      <c r="L857" s="18" t="n">
        <v>1405</v>
      </c>
      <c r="M857" s="20" t="n">
        <v>4.32</v>
      </c>
      <c r="N857" s="18">
        <f>ROUND(L857/M857, 0)</f>
        <v/>
      </c>
      <c r="O857" s="18">
        <f>ROUND(N857*'Methodology &amp; Assumptions'!$B$8, 0)</f>
        <v/>
      </c>
      <c r="P857" s="8" t="inlineStr">
        <is>
          <t>Band n50 (1.5 GHz, 60 MHz)</t>
        </is>
      </c>
      <c r="Q857" s="38">
        <f>ROUNDUP(O857/'Methodology &amp; Assumptions'!$B$9, 0)</f>
        <v/>
      </c>
      <c r="R857" s="39" t="n">
        <v>1</v>
      </c>
      <c r="S857" s="21" t="n">
        <v>0.5</v>
      </c>
      <c r="T857" s="21" t="n">
        <v>0.31</v>
      </c>
      <c r="U857" s="36" t="inlineStr">
        <is>
          <t>Tier 1A (Direct Coloc, &lt;1 km)</t>
        </is>
      </c>
      <c r="V857" s="20" t="n">
        <v>94.59999999999999</v>
      </c>
      <c r="W857" s="20" t="n">
        <v>50.1</v>
      </c>
      <c r="X857" s="20" t="n">
        <v>58</v>
      </c>
      <c r="Y857" s="40">
        <f>ROUND((V857*'Methodology &amp; Assumptions'!$B$6)+(W857*'Methodology &amp; Assumptions'!$B$5)+(X857*'Methodology &amp; Assumptions'!$B$7), 2)</f>
        <v/>
      </c>
    </row>
    <row r="858" ht="19" customHeight="1">
      <c r="A858" s="41" t="n">
        <v>854</v>
      </c>
      <c r="B858" s="41" t="n">
        <v>2854</v>
      </c>
      <c r="C858" s="42" t="inlineStr">
        <is>
          <t>0431200020</t>
        </is>
      </c>
      <c r="D858" s="42" t="inlineStr">
        <is>
          <t>Region IV-A (CALABARZON)</t>
        </is>
      </c>
      <c r="E858" s="42" t="inlineStr">
        <is>
          <t>Quezon</t>
        </is>
      </c>
      <c r="F858" s="42" t="inlineStr">
        <is>
          <t>City of Lucena</t>
        </is>
      </c>
      <c r="G858" s="42" t="inlineStr">
        <is>
          <t>Ibabang Dupay</t>
        </is>
      </c>
      <c r="H858" s="43" t="n">
        <v>13.937756</v>
      </c>
      <c r="I858" s="43" t="n">
        <v>121.624678</v>
      </c>
      <c r="J858" s="44" t="inlineStr">
        <is>
          <t>U</t>
        </is>
      </c>
      <c r="K858" s="42" t="inlineStr">
        <is>
          <t>Class 1-3 / Urban</t>
        </is>
      </c>
      <c r="L858" s="23" t="n">
        <v>28119</v>
      </c>
      <c r="M858" s="24" t="n">
        <v>4.46</v>
      </c>
      <c r="N858" s="23">
        <f>ROUND(L858/M858, 0)</f>
        <v/>
      </c>
      <c r="O858" s="23">
        <f>ROUND(N858*'Methodology &amp; Assumptions'!$B$8, 0)</f>
        <v/>
      </c>
      <c r="P858" s="44" t="inlineStr">
        <is>
          <t>Band n50 (1.5 GHz, 60 MHz)</t>
        </is>
      </c>
      <c r="Q858" s="38">
        <f>ROUNDUP(O858/'Methodology &amp; Assumptions'!$B$9, 0)</f>
        <v/>
      </c>
      <c r="R858" s="39" t="n">
        <v>1</v>
      </c>
      <c r="S858" s="25" t="n">
        <v>1.51</v>
      </c>
      <c r="T858" s="25" t="n">
        <v>0.41</v>
      </c>
      <c r="U858" s="42" t="inlineStr">
        <is>
          <t>Tier 1B (Micro Drop, 1-3 km)</t>
        </is>
      </c>
      <c r="V858" s="24" t="n">
        <v>70.5</v>
      </c>
      <c r="W858" s="24" t="n">
        <v>100</v>
      </c>
      <c r="X858" s="24" t="n">
        <v>28</v>
      </c>
      <c r="Y858" s="45">
        <f>ROUND((V858*'Methodology &amp; Assumptions'!$B$6)+(W858*'Methodology &amp; Assumptions'!$B$5)+(X858*'Methodology &amp; Assumptions'!$B$7), 2)</f>
        <v/>
      </c>
    </row>
    <row r="859" ht="19" customHeight="1">
      <c r="A859" s="35" t="n">
        <v>855</v>
      </c>
      <c r="B859" s="35" t="n">
        <v>2855</v>
      </c>
      <c r="C859" s="36" t="inlineStr">
        <is>
          <t>0403411015</t>
        </is>
      </c>
      <c r="D859" s="36" t="inlineStr">
        <is>
          <t>Region IV-A (CALABARZON)</t>
        </is>
      </c>
      <c r="E859" s="36" t="inlineStr">
        <is>
          <t>Laguna</t>
        </is>
      </c>
      <c r="F859" s="36" t="inlineStr">
        <is>
          <t>Los Baños</t>
        </is>
      </c>
      <c r="G859" s="36" t="inlineStr">
        <is>
          <t>Malinta</t>
        </is>
      </c>
      <c r="H859" s="37" t="n">
        <v>14.185761</v>
      </c>
      <c r="I859" s="37" t="n">
        <v>121.230118</v>
      </c>
      <c r="J859" s="8" t="inlineStr">
        <is>
          <t>U</t>
        </is>
      </c>
      <c r="K859" s="36" t="inlineStr">
        <is>
          <t>Class 1-3 / Urban</t>
        </is>
      </c>
      <c r="L859" s="18" t="n">
        <v>6531</v>
      </c>
      <c r="M859" s="20" t="n">
        <v>4.2</v>
      </c>
      <c r="N859" s="18">
        <f>ROUND(L859/M859, 0)</f>
        <v/>
      </c>
      <c r="O859" s="18">
        <f>ROUND(N859*'Methodology &amp; Assumptions'!$B$8, 0)</f>
        <v/>
      </c>
      <c r="P859" s="8" t="inlineStr">
        <is>
          <t>Band n50 (1.5 GHz, 60 MHz)</t>
        </is>
      </c>
      <c r="Q859" s="38">
        <f>ROUNDUP(O859/'Methodology &amp; Assumptions'!$B$9, 0)</f>
        <v/>
      </c>
      <c r="R859" s="39" t="n">
        <v>1</v>
      </c>
      <c r="S859" s="21" t="n">
        <v>1.51</v>
      </c>
      <c r="T859" s="21" t="n">
        <v>0.52</v>
      </c>
      <c r="U859" s="36" t="inlineStr">
        <is>
          <t>Tier 1B (Micro Drop, 1-3 km)</t>
        </is>
      </c>
      <c r="V859" s="20" t="n">
        <v>70.5</v>
      </c>
      <c r="W859" s="20" t="n">
        <v>100</v>
      </c>
      <c r="X859" s="20" t="n">
        <v>28</v>
      </c>
      <c r="Y859" s="40">
        <f>ROUND((V859*'Methodology &amp; Assumptions'!$B$6)+(W859*'Methodology &amp; Assumptions'!$B$5)+(X859*'Methodology &amp; Assumptions'!$B$7), 2)</f>
        <v/>
      </c>
    </row>
    <row r="860" ht="19" customHeight="1">
      <c r="A860" s="41" t="n">
        <v>856</v>
      </c>
      <c r="B860" s="41" t="n">
        <v>2856</v>
      </c>
      <c r="C860" s="42" t="inlineStr">
        <is>
          <t>0330100026</t>
        </is>
      </c>
      <c r="D860" s="42" t="inlineStr">
        <is>
          <t>Region III (Central Luzon)</t>
        </is>
      </c>
      <c r="E860" s="42" t="inlineStr">
        <is>
          <t>Pampanga</t>
        </is>
      </c>
      <c r="F860" s="42" t="inlineStr">
        <is>
          <t>City of Angeles</t>
        </is>
      </c>
      <c r="G860" s="42" t="inlineStr">
        <is>
          <t>Sta. Trinidad</t>
        </is>
      </c>
      <c r="H860" s="43" t="n">
        <v>15.14196</v>
      </c>
      <c r="I860" s="43" t="n">
        <v>120.5821</v>
      </c>
      <c r="J860" s="44" t="inlineStr">
        <is>
          <t>U</t>
        </is>
      </c>
      <c r="K860" s="42" t="inlineStr">
        <is>
          <t>Class 1-3 / Urban</t>
        </is>
      </c>
      <c r="L860" s="23" t="n">
        <v>6208</v>
      </c>
      <c r="M860" s="24" t="n">
        <v>4.63</v>
      </c>
      <c r="N860" s="23">
        <f>ROUND(L860/M860, 0)</f>
        <v/>
      </c>
      <c r="O860" s="23">
        <f>ROUND(N860*'Methodology &amp; Assumptions'!$B$8, 0)</f>
        <v/>
      </c>
      <c r="P860" s="44" t="inlineStr">
        <is>
          <t>Band n50 (1.5 GHz, 60 MHz)</t>
        </is>
      </c>
      <c r="Q860" s="38">
        <f>ROUNDUP(O860/'Methodology &amp; Assumptions'!$B$9, 0)</f>
        <v/>
      </c>
      <c r="R860" s="39" t="n">
        <v>1</v>
      </c>
      <c r="S860" s="25" t="n">
        <v>1.51</v>
      </c>
      <c r="T860" s="25" t="n">
        <v>0.01</v>
      </c>
      <c r="U860" s="42" t="inlineStr">
        <is>
          <t>Tier 1B (Micro Drop, 1-3 km)</t>
        </is>
      </c>
      <c r="V860" s="24" t="n">
        <v>70.5</v>
      </c>
      <c r="W860" s="24" t="n">
        <v>100</v>
      </c>
      <c r="X860" s="24" t="n">
        <v>28</v>
      </c>
      <c r="Y860" s="45">
        <f>ROUND((V860*'Methodology &amp; Assumptions'!$B$6)+(W860*'Methodology &amp; Assumptions'!$B$5)+(X860*'Methodology &amp; Assumptions'!$B$7), 2)</f>
        <v/>
      </c>
    </row>
    <row r="861" ht="19" customHeight="1">
      <c r="A861" s="35" t="n">
        <v>857</v>
      </c>
      <c r="B861" s="35" t="n">
        <v>2857</v>
      </c>
      <c r="C861" s="36" t="inlineStr">
        <is>
          <t>0730600087</t>
        </is>
      </c>
      <c r="D861" s="36" t="inlineStr">
        <is>
          <t>Region VII (Central Visayas)</t>
        </is>
      </c>
      <c r="E861" s="36" t="inlineStr">
        <is>
          <t>Cebu</t>
        </is>
      </c>
      <c r="F861" s="36" t="inlineStr">
        <is>
          <t>City of Cebu</t>
        </is>
      </c>
      <c r="G861" s="36" t="inlineStr">
        <is>
          <t>Zapatera</t>
        </is>
      </c>
      <c r="H861" s="37" t="n">
        <v>10.305674</v>
      </c>
      <c r="I861" s="37" t="n">
        <v>123.899961</v>
      </c>
      <c r="J861" s="8" t="inlineStr">
        <is>
          <t>U</t>
        </is>
      </c>
      <c r="K861" s="36" t="inlineStr">
        <is>
          <t>Class 1-3 / Urban</t>
        </is>
      </c>
      <c r="L861" s="18" t="n">
        <v>2957</v>
      </c>
      <c r="M861" s="20" t="n">
        <v>4.42</v>
      </c>
      <c r="N861" s="18">
        <f>ROUND(L861/M861, 0)</f>
        <v/>
      </c>
      <c r="O861" s="18">
        <f>ROUND(N861*'Methodology &amp; Assumptions'!$B$8, 0)</f>
        <v/>
      </c>
      <c r="P861" s="8" t="inlineStr">
        <is>
          <t>Band n50 (1.5 GHz, 60 MHz)</t>
        </is>
      </c>
      <c r="Q861" s="38">
        <f>ROUNDUP(O861/'Methodology &amp; Assumptions'!$B$9, 0)</f>
        <v/>
      </c>
      <c r="R861" s="39" t="n">
        <v>1</v>
      </c>
      <c r="S861" s="21" t="n">
        <v>0.5600000000000001</v>
      </c>
      <c r="T861" s="21" t="n">
        <v>0.41</v>
      </c>
      <c r="U861" s="36" t="inlineStr">
        <is>
          <t>Tier 1A (Direct Coloc, &lt;1 km)</t>
        </is>
      </c>
      <c r="V861" s="20" t="n">
        <v>92.90000000000001</v>
      </c>
      <c r="W861" s="20" t="n">
        <v>77.59999999999999</v>
      </c>
      <c r="X861" s="20" t="n">
        <v>28</v>
      </c>
      <c r="Y861" s="40">
        <f>ROUND((V861*'Methodology &amp; Assumptions'!$B$6)+(W861*'Methodology &amp; Assumptions'!$B$5)+(X861*'Methodology &amp; Assumptions'!$B$7), 2)</f>
        <v/>
      </c>
    </row>
    <row r="862" ht="19" customHeight="1">
      <c r="A862" s="41" t="n">
        <v>858</v>
      </c>
      <c r="B862" s="41" t="n">
        <v>2858</v>
      </c>
      <c r="C862" s="42" t="inlineStr">
        <is>
          <t>0702243021</t>
        </is>
      </c>
      <c r="D862" s="42" t="inlineStr">
        <is>
          <t>Region VII (Central Visayas)</t>
        </is>
      </c>
      <c r="E862" s="42" t="inlineStr">
        <is>
          <t>Cebu</t>
        </is>
      </c>
      <c r="F862" s="42" t="inlineStr">
        <is>
          <t>San Remigio</t>
        </is>
      </c>
      <c r="G862" s="42" t="inlineStr">
        <is>
          <t>Punta</t>
        </is>
      </c>
      <c r="H862" s="43" t="n">
        <v>11.100228</v>
      </c>
      <c r="I862" s="43" t="n">
        <v>123.936484</v>
      </c>
      <c r="J862" s="44" t="inlineStr">
        <is>
          <t>R</t>
        </is>
      </c>
      <c r="K862" s="42" t="inlineStr">
        <is>
          <t>Class 1-3 / Urban</t>
        </is>
      </c>
      <c r="L862" s="23" t="n">
        <v>3272</v>
      </c>
      <c r="M862" s="24" t="n">
        <v>4.42</v>
      </c>
      <c r="N862" s="23">
        <f>ROUND(L862/M862, 0)</f>
        <v/>
      </c>
      <c r="O862" s="23">
        <f>ROUND(N862*'Methodology &amp; Assumptions'!$B$8, 0)</f>
        <v/>
      </c>
      <c r="P862" s="44" t="inlineStr">
        <is>
          <t>Band n50 (1.5 GHz, 60 MHz)</t>
        </is>
      </c>
      <c r="Q862" s="38">
        <f>ROUNDUP(O862/'Methodology &amp; Assumptions'!$B$9, 0)</f>
        <v/>
      </c>
      <c r="R862" s="39" t="n">
        <v>1</v>
      </c>
      <c r="S862" s="25" t="n">
        <v>1.99</v>
      </c>
      <c r="T862" s="25" t="n">
        <v>1.95</v>
      </c>
      <c r="U862" s="42" t="inlineStr">
        <is>
          <t>Tier 1B (Micro Drop, 1-3 km)</t>
        </is>
      </c>
      <c r="V862" s="24" t="n">
        <v>61.5</v>
      </c>
      <c r="W862" s="24" t="n">
        <v>83.2</v>
      </c>
      <c r="X862" s="24" t="n">
        <v>58</v>
      </c>
      <c r="Y862" s="45">
        <f>ROUND((V862*'Methodology &amp; Assumptions'!$B$6)+(W862*'Methodology &amp; Assumptions'!$B$5)+(X862*'Methodology &amp; Assumptions'!$B$7), 2)</f>
        <v/>
      </c>
    </row>
    <row r="863" ht="19" customHeight="1">
      <c r="A863" s="35" t="n">
        <v>859</v>
      </c>
      <c r="B863" s="35" t="n">
        <v>2859</v>
      </c>
      <c r="C863" s="36" t="inlineStr">
        <is>
          <t>0405625019</t>
        </is>
      </c>
      <c r="D863" s="36" t="inlineStr">
        <is>
          <t>Region IV-A (CALABARZON)</t>
        </is>
      </c>
      <c r="E863" s="36" t="inlineStr">
        <is>
          <t>Quezon</t>
        </is>
      </c>
      <c r="F863" s="36" t="inlineStr">
        <is>
          <t>Macalelon</t>
        </is>
      </c>
      <c r="G863" s="36" t="inlineStr">
        <is>
          <t>Castillo</t>
        </is>
      </c>
      <c r="H863" s="37" t="n">
        <v>13.747784</v>
      </c>
      <c r="I863" s="37" t="n">
        <v>122.131864</v>
      </c>
      <c r="J863" s="8" t="inlineStr">
        <is>
          <t>R</t>
        </is>
      </c>
      <c r="K863" s="36" t="inlineStr">
        <is>
          <t>3rd</t>
        </is>
      </c>
      <c r="L863" s="18" t="n">
        <v>1587</v>
      </c>
      <c r="M863" s="20" t="n">
        <v>4.74</v>
      </c>
      <c r="N863" s="18">
        <f>ROUND(L863/M863, 0)</f>
        <v/>
      </c>
      <c r="O863" s="18">
        <f>ROUND(N863*'Methodology &amp; Assumptions'!$B$8, 0)</f>
        <v/>
      </c>
      <c r="P863" s="8" t="inlineStr">
        <is>
          <t>Band n50 (1.5 GHz, 60 MHz)</t>
        </is>
      </c>
      <c r="Q863" s="38">
        <f>ROUNDUP(O863/'Methodology &amp; Assumptions'!$B$9, 0)</f>
        <v/>
      </c>
      <c r="R863" s="39" t="n">
        <v>1</v>
      </c>
      <c r="S863" s="21" t="n">
        <v>0.52</v>
      </c>
      <c r="T863" s="21" t="n">
        <v>0.52</v>
      </c>
      <c r="U863" s="36" t="inlineStr">
        <is>
          <t>Tier 1A (Direct Coloc, &lt;1 km)</t>
        </is>
      </c>
      <c r="V863" s="20" t="n">
        <v>94.09999999999999</v>
      </c>
      <c r="W863" s="20" t="n">
        <v>50.7</v>
      </c>
      <c r="X863" s="20" t="n">
        <v>58</v>
      </c>
      <c r="Y863" s="40">
        <f>ROUND((V863*'Methodology &amp; Assumptions'!$B$6)+(W863*'Methodology &amp; Assumptions'!$B$5)+(X863*'Methodology &amp; Assumptions'!$B$7), 2)</f>
        <v/>
      </c>
    </row>
    <row r="864" ht="19" customHeight="1">
      <c r="A864" s="41" t="n">
        <v>860</v>
      </c>
      <c r="B864" s="41" t="n">
        <v>2860</v>
      </c>
      <c r="C864" s="42" t="inlineStr">
        <is>
          <t>0405808010</t>
        </is>
      </c>
      <c r="D864" s="42" t="inlineStr">
        <is>
          <t>Region IV-A (CALABARZON)</t>
        </is>
      </c>
      <c r="E864" s="42" t="inlineStr">
        <is>
          <t>Rizal</t>
        </is>
      </c>
      <c r="F864" s="42" t="inlineStr">
        <is>
          <t>Rodriguez</t>
        </is>
      </c>
      <c r="G864" s="42" t="inlineStr">
        <is>
          <t>San Jose</t>
        </is>
      </c>
      <c r="H864" s="43" t="n">
        <v>14.73069</v>
      </c>
      <c r="I864" s="43" t="n">
        <v>121.1342</v>
      </c>
      <c r="J864" s="44" t="inlineStr">
        <is>
          <t>U</t>
        </is>
      </c>
      <c r="K864" s="42" t="inlineStr">
        <is>
          <t>Class 1-3 / Urban</t>
        </is>
      </c>
      <c r="L864" s="23" t="n">
        <v>141819</v>
      </c>
      <c r="M864" s="24" t="n">
        <v>4.39</v>
      </c>
      <c r="N864" s="23">
        <f>ROUND(L864/M864, 0)</f>
        <v/>
      </c>
      <c r="O864" s="23">
        <f>ROUND(N864*'Methodology &amp; Assumptions'!$B$8, 0)</f>
        <v/>
      </c>
      <c r="P864" s="44" t="inlineStr">
        <is>
          <t>Band n50 (1.5 GHz, 60 MHz)</t>
        </is>
      </c>
      <c r="Q864" s="38">
        <f>ROUNDUP(O864/'Methodology &amp; Assumptions'!$B$9, 0)</f>
        <v/>
      </c>
      <c r="R864" s="39" t="n">
        <v>1</v>
      </c>
      <c r="S864" s="25" t="n">
        <v>1.07</v>
      </c>
      <c r="T864" s="25" t="n">
        <v>0.2</v>
      </c>
      <c r="U864" s="42" t="inlineStr">
        <is>
          <t>Tier 1B (Micro Drop, 1-3 km)</t>
        </is>
      </c>
      <c r="V864" s="24" t="n">
        <v>80.09999999999999</v>
      </c>
      <c r="W864" s="24" t="n">
        <v>90.40000000000001</v>
      </c>
      <c r="X864" s="24" t="n">
        <v>28</v>
      </c>
      <c r="Y864" s="45">
        <f>ROUND((V864*'Methodology &amp; Assumptions'!$B$6)+(W864*'Methodology &amp; Assumptions'!$B$5)+(X864*'Methodology &amp; Assumptions'!$B$7), 2)</f>
        <v/>
      </c>
    </row>
    <row r="865" ht="19" customHeight="1">
      <c r="A865" s="35" t="n">
        <v>861</v>
      </c>
      <c r="B865" s="35" t="n">
        <v>2861</v>
      </c>
      <c r="C865" s="36" t="inlineStr">
        <is>
          <t>0401019039</t>
        </is>
      </c>
      <c r="D865" s="36" t="inlineStr">
        <is>
          <t>Region IV-A (CALABARZON)</t>
        </is>
      </c>
      <c r="E865" s="36" t="inlineStr">
        <is>
          <t>Batangas</t>
        </is>
      </c>
      <c r="F865" s="36" t="inlineStr">
        <is>
          <t>Nasugbu</t>
        </is>
      </c>
      <c r="G865" s="36" t="inlineStr">
        <is>
          <t>Pantalan</t>
        </is>
      </c>
      <c r="H865" s="37" t="n">
        <v>14.092846</v>
      </c>
      <c r="I865" s="37" t="n">
        <v>120.632933</v>
      </c>
      <c r="J865" s="8" t="inlineStr">
        <is>
          <t>R</t>
        </is>
      </c>
      <c r="K865" s="36" t="inlineStr">
        <is>
          <t>Class 1-3 / Urban</t>
        </is>
      </c>
      <c r="L865" s="18" t="n">
        <v>3848</v>
      </c>
      <c r="M865" s="20" t="n">
        <v>4.62</v>
      </c>
      <c r="N865" s="18">
        <f>ROUND(L865/M865, 0)</f>
        <v/>
      </c>
      <c r="O865" s="18">
        <f>ROUND(N865*'Methodology &amp; Assumptions'!$B$8, 0)</f>
        <v/>
      </c>
      <c r="P865" s="8" t="inlineStr">
        <is>
          <t>Band n50 (1.5 GHz, 60 MHz)</t>
        </is>
      </c>
      <c r="Q865" s="38">
        <f>ROUNDUP(O865/'Methodology &amp; Assumptions'!$B$9, 0)</f>
        <v/>
      </c>
      <c r="R865" s="39" t="n">
        <v>1</v>
      </c>
      <c r="S865" s="21" t="n">
        <v>2.46</v>
      </c>
      <c r="T865" s="21" t="n">
        <v>1.64</v>
      </c>
      <c r="U865" s="36" t="inlineStr">
        <is>
          <t>Tier 1B (Micro Drop, 1-3 km)</t>
        </is>
      </c>
      <c r="V865" s="20" t="n">
        <v>54.1</v>
      </c>
      <c r="W865" s="20" t="n">
        <v>90.7</v>
      </c>
      <c r="X865" s="20" t="n">
        <v>58</v>
      </c>
      <c r="Y865" s="40">
        <f>ROUND((V865*'Methodology &amp; Assumptions'!$B$6)+(W865*'Methodology &amp; Assumptions'!$B$5)+(X865*'Methodology &amp; Assumptions'!$B$7), 2)</f>
        <v/>
      </c>
    </row>
    <row r="866" ht="19" customHeight="1">
      <c r="A866" s="41" t="n">
        <v>862</v>
      </c>
      <c r="B866" s="41" t="n">
        <v>2862</v>
      </c>
      <c r="C866" s="42" t="inlineStr">
        <is>
          <t>0304906023</t>
        </is>
      </c>
      <c r="D866" s="42" t="inlineStr">
        <is>
          <t>Region III (Central Luzon)</t>
        </is>
      </c>
      <c r="E866" s="42" t="inlineStr">
        <is>
          <t>Nueva Ecija</t>
        </is>
      </c>
      <c r="F866" s="42" t="inlineStr">
        <is>
          <t>Cuyapo</t>
        </is>
      </c>
      <c r="G866" s="42" t="inlineStr">
        <is>
          <t>District VI</t>
        </is>
      </c>
      <c r="H866" s="43" t="n">
        <v>15.776836</v>
      </c>
      <c r="I866" s="43" t="n">
        <v>120.666631</v>
      </c>
      <c r="J866" s="44" t="inlineStr">
        <is>
          <t>R</t>
        </is>
      </c>
      <c r="K866" s="42" t="inlineStr">
        <is>
          <t>Class 1-3 / Urban</t>
        </is>
      </c>
      <c r="L866" s="23" t="n">
        <v>1776</v>
      </c>
      <c r="M866" s="24" t="n">
        <v>4.32</v>
      </c>
      <c r="N866" s="23">
        <f>ROUND(L866/M866, 0)</f>
        <v/>
      </c>
      <c r="O866" s="23">
        <f>ROUND(N866*'Methodology &amp; Assumptions'!$B$8, 0)</f>
        <v/>
      </c>
      <c r="P866" s="44" t="inlineStr">
        <is>
          <t>Band n50 (1.5 GHz, 60 MHz)</t>
        </is>
      </c>
      <c r="Q866" s="38">
        <f>ROUNDUP(O866/'Methodology &amp; Assumptions'!$B$9, 0)</f>
        <v/>
      </c>
      <c r="R866" s="39" t="n">
        <v>1</v>
      </c>
      <c r="S866" s="25" t="n">
        <v>0.39</v>
      </c>
      <c r="T866" s="25" t="n">
        <v>6.63</v>
      </c>
      <c r="U866" s="42" t="inlineStr">
        <is>
          <t>Tier 1A (Direct Coloc, &lt;1 km)</t>
        </is>
      </c>
      <c r="V866" s="24" t="n">
        <v>87.90000000000001</v>
      </c>
      <c r="W866" s="24" t="n">
        <v>56.8</v>
      </c>
      <c r="X866" s="24" t="n">
        <v>58</v>
      </c>
      <c r="Y866" s="45">
        <f>ROUND((V866*'Methodology &amp; Assumptions'!$B$6)+(W866*'Methodology &amp; Assumptions'!$B$5)+(X866*'Methodology &amp; Assumptions'!$B$7), 2)</f>
        <v/>
      </c>
    </row>
    <row r="867" ht="19" customHeight="1">
      <c r="A867" s="35" t="n">
        <v>863</v>
      </c>
      <c r="B867" s="35" t="n">
        <v>2863</v>
      </c>
      <c r="C867" s="36" t="inlineStr">
        <is>
          <t>0105522017</t>
        </is>
      </c>
      <c r="D867" s="36" t="inlineStr">
        <is>
          <t>Region I (Ilocos Region)</t>
        </is>
      </c>
      <c r="E867" s="36" t="inlineStr">
        <is>
          <t>Pangasinan</t>
        </is>
      </c>
      <c r="F867" s="36" t="inlineStr">
        <is>
          <t>Lingayen</t>
        </is>
      </c>
      <c r="G867" s="36" t="inlineStr">
        <is>
          <t>Libsong East</t>
        </is>
      </c>
      <c r="H867" s="37" t="n">
        <v>16.031439</v>
      </c>
      <c r="I867" s="37" t="n">
        <v>120.243781</v>
      </c>
      <c r="J867" s="8" t="inlineStr">
        <is>
          <t>U</t>
        </is>
      </c>
      <c r="K867" s="36" t="inlineStr">
        <is>
          <t>Class 1-3 / Urban</t>
        </is>
      </c>
      <c r="L867" s="18" t="n">
        <v>6467</v>
      </c>
      <c r="M867" s="20" t="n">
        <v>4.39</v>
      </c>
      <c r="N867" s="18">
        <f>ROUND(L867/M867, 0)</f>
        <v/>
      </c>
      <c r="O867" s="18">
        <f>ROUND(N867*'Methodology &amp; Assumptions'!$B$8, 0)</f>
        <v/>
      </c>
      <c r="P867" s="8" t="inlineStr">
        <is>
          <t>Band n50 (1.5 GHz, 60 MHz)</t>
        </is>
      </c>
      <c r="Q867" s="38">
        <f>ROUNDUP(O867/'Methodology &amp; Assumptions'!$B$9, 0)</f>
        <v/>
      </c>
      <c r="R867" s="39" t="n">
        <v>1</v>
      </c>
      <c r="S867" s="21" t="n">
        <v>1.51</v>
      </c>
      <c r="T867" s="21" t="n">
        <v>0.72</v>
      </c>
      <c r="U867" s="36" t="inlineStr">
        <is>
          <t>Tier 1B (Micro Drop, 1-3 km)</t>
        </is>
      </c>
      <c r="V867" s="20" t="n">
        <v>70.40000000000001</v>
      </c>
      <c r="W867" s="20" t="n">
        <v>100</v>
      </c>
      <c r="X867" s="20" t="n">
        <v>28</v>
      </c>
      <c r="Y867" s="40">
        <f>ROUND((V867*'Methodology &amp; Assumptions'!$B$6)+(W867*'Methodology &amp; Assumptions'!$B$5)+(X867*'Methodology &amp; Assumptions'!$B$7), 2)</f>
        <v/>
      </c>
    </row>
    <row r="868" ht="19" customHeight="1">
      <c r="A868" s="41" t="n">
        <v>864</v>
      </c>
      <c r="B868" s="41" t="n">
        <v>2864</v>
      </c>
      <c r="C868" s="42" t="inlineStr">
        <is>
          <t>0105524014</t>
        </is>
      </c>
      <c r="D868" s="42" t="inlineStr">
        <is>
          <t>Region I (Ilocos Region)</t>
        </is>
      </c>
      <c r="E868" s="42" t="inlineStr">
        <is>
          <t>Pangasinan</t>
        </is>
      </c>
      <c r="F868" s="42" t="inlineStr">
        <is>
          <t>Malasiqui</t>
        </is>
      </c>
      <c r="G868" s="42" t="inlineStr">
        <is>
          <t>Banawang</t>
        </is>
      </c>
      <c r="H868" s="43" t="n">
        <v>14.619862</v>
      </c>
      <c r="I868" s="43" t="n">
        <v>120.387077</v>
      </c>
      <c r="J868" s="44" t="inlineStr">
        <is>
          <t>R</t>
        </is>
      </c>
      <c r="K868" s="42" t="inlineStr">
        <is>
          <t>Class 1-3 / Urban</t>
        </is>
      </c>
      <c r="L868" s="23" t="n">
        <v>3218</v>
      </c>
      <c r="M868" s="24" t="n">
        <v>4.39</v>
      </c>
      <c r="N868" s="23">
        <f>ROUND(L868/M868, 0)</f>
        <v/>
      </c>
      <c r="O868" s="23">
        <f>ROUND(N868*'Methodology &amp; Assumptions'!$B$8, 0)</f>
        <v/>
      </c>
      <c r="P868" s="44" t="inlineStr">
        <is>
          <t>Band n50 (1.5 GHz, 60 MHz)</t>
        </is>
      </c>
      <c r="Q868" s="38">
        <f>ROUNDUP(O868/'Methodology &amp; Assumptions'!$B$9, 0)</f>
        <v/>
      </c>
      <c r="R868" s="39" t="n">
        <v>1</v>
      </c>
      <c r="S868" s="25" t="n">
        <v>1.96</v>
      </c>
      <c r="T868" s="25" t="n">
        <v>0.6</v>
      </c>
      <c r="U868" s="42" t="inlineStr">
        <is>
          <t>Tier 1B (Micro Drop, 1-3 km)</t>
        </is>
      </c>
      <c r="V868" s="24" t="n">
        <v>62</v>
      </c>
      <c r="W868" s="24" t="n">
        <v>82.7</v>
      </c>
      <c r="X868" s="24" t="n">
        <v>58</v>
      </c>
      <c r="Y868" s="45">
        <f>ROUND((V868*'Methodology &amp; Assumptions'!$B$6)+(W868*'Methodology &amp; Assumptions'!$B$5)+(X868*'Methodology &amp; Assumptions'!$B$7), 2)</f>
        <v/>
      </c>
    </row>
    <row r="869" ht="19" customHeight="1">
      <c r="A869" s="35" t="n">
        <v>865</v>
      </c>
      <c r="B869" s="35" t="n">
        <v>2865</v>
      </c>
      <c r="C869" s="36" t="inlineStr">
        <is>
          <t>0301406008</t>
        </is>
      </c>
      <c r="D869" s="36" t="inlineStr">
        <is>
          <t>Region III (Central Luzon)</t>
        </is>
      </c>
      <c r="E869" s="36" t="inlineStr">
        <is>
          <t>Bulacan</t>
        </is>
      </c>
      <c r="F869" s="36" t="inlineStr">
        <is>
          <t>Bustos</t>
        </is>
      </c>
      <c r="G869" s="36" t="inlineStr">
        <is>
          <t>Malamig</t>
        </is>
      </c>
      <c r="H869" s="37" t="n">
        <v>14.942013</v>
      </c>
      <c r="I869" s="37" t="n">
        <v>120.926798</v>
      </c>
      <c r="J869" s="8" t="inlineStr">
        <is>
          <t>U</t>
        </is>
      </c>
      <c r="K869" s="36" t="inlineStr">
        <is>
          <t>Class 1-3 / Urban</t>
        </is>
      </c>
      <c r="L869" s="18" t="n">
        <v>7658</v>
      </c>
      <c r="M869" s="20" t="n">
        <v>4.1</v>
      </c>
      <c r="N869" s="18">
        <f>ROUND(L869/M869, 0)</f>
        <v/>
      </c>
      <c r="O869" s="18">
        <f>ROUND(N869*'Methodology &amp; Assumptions'!$B$8, 0)</f>
        <v/>
      </c>
      <c r="P869" s="8" t="inlineStr">
        <is>
          <t>Band n50 (1.5 GHz, 60 MHz)</t>
        </is>
      </c>
      <c r="Q869" s="38">
        <f>ROUNDUP(O869/'Methodology &amp; Assumptions'!$B$9, 0)</f>
        <v/>
      </c>
      <c r="R869" s="39" t="n">
        <v>1</v>
      </c>
      <c r="S869" s="21" t="n">
        <v>1.51</v>
      </c>
      <c r="T869" s="21" t="n">
        <v>0.04</v>
      </c>
      <c r="U869" s="36" t="inlineStr">
        <is>
          <t>Tier 1B (Micro Drop, 1-3 km)</t>
        </is>
      </c>
      <c r="V869" s="20" t="n">
        <v>70.40000000000001</v>
      </c>
      <c r="W869" s="20" t="n">
        <v>100</v>
      </c>
      <c r="X869" s="20" t="n">
        <v>28</v>
      </c>
      <c r="Y869" s="40">
        <f>ROUND((V869*'Methodology &amp; Assumptions'!$B$6)+(W869*'Methodology &amp; Assumptions'!$B$5)+(X869*'Methodology &amp; Assumptions'!$B$7), 2)</f>
        <v/>
      </c>
    </row>
    <row r="870" ht="19" customHeight="1">
      <c r="A870" s="41" t="n">
        <v>866</v>
      </c>
      <c r="B870" s="41" t="n">
        <v>2866</v>
      </c>
      <c r="C870" s="42" t="inlineStr">
        <is>
          <t>0301419033</t>
        </is>
      </c>
      <c r="D870" s="42" t="inlineStr">
        <is>
          <t>Region III (Central Luzon)</t>
        </is>
      </c>
      <c r="E870" s="42" t="inlineStr">
        <is>
          <t>Bulacan</t>
        </is>
      </c>
      <c r="F870" s="42" t="inlineStr">
        <is>
          <t>San Ildefonso</t>
        </is>
      </c>
      <c r="G870" s="42" t="inlineStr">
        <is>
          <t>Sapang Putol</t>
        </is>
      </c>
      <c r="H870" s="43" t="n">
        <v>15.074394</v>
      </c>
      <c r="I870" s="43" t="n">
        <v>120.944098</v>
      </c>
      <c r="J870" s="44" t="inlineStr">
        <is>
          <t>U</t>
        </is>
      </c>
      <c r="K870" s="42" t="inlineStr">
        <is>
          <t>Class 1-3 / Urban</t>
        </is>
      </c>
      <c r="L870" s="23" t="n">
        <v>2383</v>
      </c>
      <c r="M870" s="24" t="n">
        <v>4.1</v>
      </c>
      <c r="N870" s="23">
        <f>ROUND(L870/M870, 0)</f>
        <v/>
      </c>
      <c r="O870" s="23">
        <f>ROUND(N870*'Methodology &amp; Assumptions'!$B$8, 0)</f>
        <v/>
      </c>
      <c r="P870" s="44" t="inlineStr">
        <is>
          <t>Band n50 (1.5 GHz, 60 MHz)</t>
        </is>
      </c>
      <c r="Q870" s="38">
        <f>ROUNDUP(O870/'Methodology &amp; Assumptions'!$B$9, 0)</f>
        <v/>
      </c>
      <c r="R870" s="39" t="n">
        <v>1</v>
      </c>
      <c r="S870" s="25" t="n">
        <v>0.13</v>
      </c>
      <c r="T870" s="25" t="n">
        <v>0.16</v>
      </c>
      <c r="U870" s="42" t="inlineStr">
        <is>
          <t>Tier 1A (Direct Coloc, &lt;1 km)</t>
        </is>
      </c>
      <c r="V870" s="24" t="n">
        <v>100</v>
      </c>
      <c r="W870" s="24" t="n">
        <v>70.40000000000001</v>
      </c>
      <c r="X870" s="24" t="n">
        <v>28</v>
      </c>
      <c r="Y870" s="45">
        <f>ROUND((V870*'Methodology &amp; Assumptions'!$B$6)+(W870*'Methodology &amp; Assumptions'!$B$5)+(X870*'Methodology &amp; Assumptions'!$B$7), 2)</f>
        <v/>
      </c>
    </row>
    <row r="871" ht="19" customHeight="1">
      <c r="A871" s="35" t="n">
        <v>867</v>
      </c>
      <c r="B871" s="35" t="n">
        <v>2867</v>
      </c>
      <c r="C871" s="36" t="inlineStr">
        <is>
          <t>0203101014</t>
        </is>
      </c>
      <c r="D871" s="36" t="inlineStr">
        <is>
          <t>Region II (Cagayan Valley)</t>
        </is>
      </c>
      <c r="E871" s="36" t="inlineStr">
        <is>
          <t>Isabela</t>
        </is>
      </c>
      <c r="F871" s="36" t="inlineStr">
        <is>
          <t>Alicia</t>
        </is>
      </c>
      <c r="G871" s="36" t="inlineStr">
        <is>
          <t>Linglingay</t>
        </is>
      </c>
      <c r="H871" s="37" t="n">
        <v>16.79748</v>
      </c>
      <c r="I871" s="37" t="n">
        <v>121.69857</v>
      </c>
      <c r="J871" s="8" t="inlineStr">
        <is>
          <t>R</t>
        </is>
      </c>
      <c r="K871" s="36" t="inlineStr">
        <is>
          <t>Class 1-3 / Urban</t>
        </is>
      </c>
      <c r="L871" s="18" t="n">
        <v>2757</v>
      </c>
      <c r="M871" s="20" t="n">
        <v>4.3</v>
      </c>
      <c r="N871" s="18">
        <f>ROUND(L871/M871, 0)</f>
        <v/>
      </c>
      <c r="O871" s="18">
        <f>ROUND(N871*'Methodology &amp; Assumptions'!$B$8, 0)</f>
        <v/>
      </c>
      <c r="P871" s="8" t="inlineStr">
        <is>
          <t>Band n50 (1.5 GHz, 60 MHz)</t>
        </is>
      </c>
      <c r="Q871" s="38">
        <f>ROUNDUP(O871/'Methodology &amp; Assumptions'!$B$9, 0)</f>
        <v/>
      </c>
      <c r="R871" s="39" t="n">
        <v>1</v>
      </c>
      <c r="S871" s="21" t="n">
        <v>1.56</v>
      </c>
      <c r="T871" s="21" t="n">
        <v>1.24</v>
      </c>
      <c r="U871" s="36" t="inlineStr">
        <is>
          <t>Tier 1B (Micro Drop, 1-3 km)</t>
        </is>
      </c>
      <c r="V871" s="20" t="n">
        <v>69.5</v>
      </c>
      <c r="W871" s="20" t="n">
        <v>75.2</v>
      </c>
      <c r="X871" s="20" t="n">
        <v>58</v>
      </c>
      <c r="Y871" s="40">
        <f>ROUND((V871*'Methodology &amp; Assumptions'!$B$6)+(W871*'Methodology &amp; Assumptions'!$B$5)+(X871*'Methodology &amp; Assumptions'!$B$7), 2)</f>
        <v/>
      </c>
    </row>
    <row r="872" ht="19" customHeight="1">
      <c r="A872" s="41" t="n">
        <v>868</v>
      </c>
      <c r="B872" s="41" t="n">
        <v>2868</v>
      </c>
      <c r="C872" s="42" t="inlineStr">
        <is>
          <t>1004301005</t>
        </is>
      </c>
      <c r="D872" s="42" t="inlineStr">
        <is>
          <t>Region X (Northern Mindanao)</t>
        </is>
      </c>
      <c r="E872" s="42" t="inlineStr">
        <is>
          <t>Misamis Oriental</t>
        </is>
      </c>
      <c r="F872" s="42" t="inlineStr">
        <is>
          <t>Alubijid</t>
        </is>
      </c>
      <c r="G872" s="42" t="inlineStr">
        <is>
          <t>Lanao</t>
        </is>
      </c>
      <c r="H872" s="43" t="n">
        <v>8.578305</v>
      </c>
      <c r="I872" s="43" t="n">
        <v>124.465123</v>
      </c>
      <c r="J872" s="44" t="inlineStr">
        <is>
          <t>R</t>
        </is>
      </c>
      <c r="K872" s="42" t="inlineStr">
        <is>
          <t>1st</t>
        </is>
      </c>
      <c r="L872" s="23" t="n">
        <v>2268</v>
      </c>
      <c r="M872" s="24" t="n">
        <v>3.84</v>
      </c>
      <c r="N872" s="23">
        <f>ROUND(L872/M872, 0)</f>
        <v/>
      </c>
      <c r="O872" s="23">
        <f>ROUND(N872*'Methodology &amp; Assumptions'!$B$8, 0)</f>
        <v/>
      </c>
      <c r="P872" s="44" t="inlineStr">
        <is>
          <t>Band n50 (1.5 GHz, 60 MHz)</t>
        </is>
      </c>
      <c r="Q872" s="38">
        <f>ROUNDUP(O872/'Methodology &amp; Assumptions'!$B$9, 0)</f>
        <v/>
      </c>
      <c r="R872" s="39" t="n">
        <v>1</v>
      </c>
      <c r="S872" s="25" t="n">
        <v>1.36</v>
      </c>
      <c r="T872" s="25" t="n">
        <v>0.75</v>
      </c>
      <c r="U872" s="42" t="inlineStr">
        <is>
          <t>Tier 1B (Micro Drop, 1-3 km)</t>
        </is>
      </c>
      <c r="V872" s="24" t="n">
        <v>73.5</v>
      </c>
      <c r="W872" s="24" t="n">
        <v>71.2</v>
      </c>
      <c r="X872" s="24" t="n">
        <v>58</v>
      </c>
      <c r="Y872" s="45">
        <f>ROUND((V872*'Methodology &amp; Assumptions'!$B$6)+(W872*'Methodology &amp; Assumptions'!$B$5)+(X872*'Methodology &amp; Assumptions'!$B$7), 2)</f>
        <v/>
      </c>
    </row>
    <row r="873" ht="19" customHeight="1">
      <c r="A873" s="35" t="n">
        <v>869</v>
      </c>
      <c r="B873" s="35" t="n">
        <v>2869</v>
      </c>
      <c r="C873" s="36" t="inlineStr">
        <is>
          <t>0307110004</t>
        </is>
      </c>
      <c r="D873" s="36" t="inlineStr">
        <is>
          <t>Region III (Central Luzon)</t>
        </is>
      </c>
      <c r="E873" s="36" t="inlineStr">
        <is>
          <t>Zambales</t>
        </is>
      </c>
      <c r="F873" s="36" t="inlineStr">
        <is>
          <t>San Felipe</t>
        </is>
      </c>
      <c r="G873" s="36" t="inlineStr">
        <is>
          <t>Farañal</t>
        </is>
      </c>
      <c r="H873" s="37" t="n">
        <v>15.067499</v>
      </c>
      <c r="I873" s="37" t="n">
        <v>120.068898</v>
      </c>
      <c r="J873" s="8" t="inlineStr">
        <is>
          <t>R</t>
        </is>
      </c>
      <c r="K873" s="36" t="inlineStr">
        <is>
          <t>3rd</t>
        </is>
      </c>
      <c r="L873" s="18" t="n">
        <v>1824</v>
      </c>
      <c r="M873" s="20" t="n">
        <v>4.04</v>
      </c>
      <c r="N873" s="18">
        <f>ROUND(L873/M873, 0)</f>
        <v/>
      </c>
      <c r="O873" s="18">
        <f>ROUND(N873*'Methodology &amp; Assumptions'!$B$8, 0)</f>
        <v/>
      </c>
      <c r="P873" s="8" t="inlineStr">
        <is>
          <t>Band n50 (1.5 GHz, 60 MHz)</t>
        </is>
      </c>
      <c r="Q873" s="38">
        <f>ROUNDUP(O873/'Methodology &amp; Assumptions'!$B$9, 0)</f>
        <v/>
      </c>
      <c r="R873" s="39" t="n">
        <v>1</v>
      </c>
      <c r="S873" s="21" t="n">
        <v>0.88</v>
      </c>
      <c r="T873" s="21" t="n">
        <v>0.13</v>
      </c>
      <c r="U873" s="36" t="inlineStr">
        <is>
          <t>Tier 1A (Direct Coloc, &lt;1 km)</t>
        </is>
      </c>
      <c r="V873" s="20" t="n">
        <v>84.7</v>
      </c>
      <c r="W873" s="20" t="n">
        <v>60</v>
      </c>
      <c r="X873" s="20" t="n">
        <v>58</v>
      </c>
      <c r="Y873" s="40">
        <f>ROUND((V873*'Methodology &amp; Assumptions'!$B$6)+(W873*'Methodology &amp; Assumptions'!$B$5)+(X873*'Methodology &amp; Assumptions'!$B$7), 2)</f>
        <v/>
      </c>
    </row>
    <row r="874" ht="19" customHeight="1">
      <c r="A874" s="41" t="n">
        <v>870</v>
      </c>
      <c r="B874" s="41" t="n">
        <v>2870</v>
      </c>
      <c r="C874" s="42" t="inlineStr">
        <is>
          <t>1130700138</t>
        </is>
      </c>
      <c r="D874" s="42" t="inlineStr">
        <is>
          <t>Region XI (Davao Region)</t>
        </is>
      </c>
      <c r="E874" s="42" t="inlineStr">
        <is>
          <t>Davao del Sur</t>
        </is>
      </c>
      <c r="F874" s="42" t="inlineStr">
        <is>
          <t>City of Davao</t>
        </is>
      </c>
      <c r="G874" s="42" t="inlineStr">
        <is>
          <t>Barangay 5-A</t>
        </is>
      </c>
      <c r="H874" s="43" t="n">
        <v>7.06998</v>
      </c>
      <c r="I874" s="43" t="n">
        <v>125.59901</v>
      </c>
      <c r="J874" s="44" t="inlineStr">
        <is>
          <t>U</t>
        </is>
      </c>
      <c r="K874" s="42" t="inlineStr">
        <is>
          <t>Class 1-3 / Urban</t>
        </is>
      </c>
      <c r="L874" s="23" t="n">
        <v>11160</v>
      </c>
      <c r="M874" s="24" t="n">
        <v>4.1</v>
      </c>
      <c r="N874" s="23">
        <f>ROUND(L874/M874, 0)</f>
        <v/>
      </c>
      <c r="O874" s="23">
        <f>ROUND(N874*'Methodology &amp; Assumptions'!$B$8, 0)</f>
        <v/>
      </c>
      <c r="P874" s="44" t="inlineStr">
        <is>
          <t>Band n50 (1.5 GHz, 60 MHz)</t>
        </is>
      </c>
      <c r="Q874" s="38">
        <f>ROUNDUP(O874/'Methodology &amp; Assumptions'!$B$9, 0)</f>
        <v/>
      </c>
      <c r="R874" s="39" t="n">
        <v>1</v>
      </c>
      <c r="S874" s="25" t="n">
        <v>1.51</v>
      </c>
      <c r="T874" s="25" t="n">
        <v>0.45</v>
      </c>
      <c r="U874" s="42" t="inlineStr">
        <is>
          <t>Tier 1B (Micro Drop, 1-3 km)</t>
        </is>
      </c>
      <c r="V874" s="24" t="n">
        <v>70.40000000000001</v>
      </c>
      <c r="W874" s="24" t="n">
        <v>100</v>
      </c>
      <c r="X874" s="24" t="n">
        <v>28</v>
      </c>
      <c r="Y874" s="45">
        <f>ROUND((V874*'Methodology &amp; Assumptions'!$B$6)+(W874*'Methodology &amp; Assumptions'!$B$5)+(X874*'Methodology &amp; Assumptions'!$B$7), 2)</f>
        <v/>
      </c>
    </row>
    <row r="875" ht="19" customHeight="1">
      <c r="A875" s="35" t="n">
        <v>871</v>
      </c>
      <c r="B875" s="35" t="n">
        <v>2871</v>
      </c>
      <c r="C875" s="36" t="inlineStr">
        <is>
          <t>0305416038</t>
        </is>
      </c>
      <c r="D875" s="36" t="inlineStr">
        <is>
          <t>Region III (Central Luzon)</t>
        </is>
      </c>
      <c r="E875" s="36" t="inlineStr">
        <is>
          <t>Pampanga</t>
        </is>
      </c>
      <c r="F875" s="36" t="inlineStr">
        <is>
          <t>City of San Fernando</t>
        </is>
      </c>
      <c r="G875" s="36" t="inlineStr">
        <is>
          <t>Pulung Bulu</t>
        </is>
      </c>
      <c r="H875" s="37" t="n">
        <v>15.127177</v>
      </c>
      <c r="I875" s="37" t="n">
        <v>120.611115</v>
      </c>
      <c r="J875" s="8" t="inlineStr">
        <is>
          <t>U</t>
        </is>
      </c>
      <c r="K875" s="36" t="inlineStr">
        <is>
          <t>Class 1-3 / Urban</t>
        </is>
      </c>
      <c r="L875" s="18" t="n">
        <v>6448</v>
      </c>
      <c r="M875" s="20" t="n">
        <v>4.63</v>
      </c>
      <c r="N875" s="18">
        <f>ROUND(L875/M875, 0)</f>
        <v/>
      </c>
      <c r="O875" s="18">
        <f>ROUND(N875*'Methodology &amp; Assumptions'!$B$8, 0)</f>
        <v/>
      </c>
      <c r="P875" s="8" t="inlineStr">
        <is>
          <t>Band n50 (1.5 GHz, 60 MHz)</t>
        </is>
      </c>
      <c r="Q875" s="38">
        <f>ROUNDUP(O875/'Methodology &amp; Assumptions'!$B$9, 0)</f>
        <v/>
      </c>
      <c r="R875" s="39" t="n">
        <v>1</v>
      </c>
      <c r="S875" s="21" t="n">
        <v>1.51</v>
      </c>
      <c r="T875" s="21" t="n">
        <v>1.22</v>
      </c>
      <c r="U875" s="36" t="inlineStr">
        <is>
          <t>Tier 1B (Micro Drop, 1-3 km)</t>
        </is>
      </c>
      <c r="V875" s="20" t="n">
        <v>70.40000000000001</v>
      </c>
      <c r="W875" s="20" t="n">
        <v>100</v>
      </c>
      <c r="X875" s="20" t="n">
        <v>28</v>
      </c>
      <c r="Y875" s="40">
        <f>ROUND((V875*'Methodology &amp; Assumptions'!$B$6)+(W875*'Methodology &amp; Assumptions'!$B$5)+(X875*'Methodology &amp; Assumptions'!$B$7), 2)</f>
        <v/>
      </c>
    </row>
    <row r="876" ht="19" customHeight="1">
      <c r="A876" s="41" t="n">
        <v>872</v>
      </c>
      <c r="B876" s="41" t="n">
        <v>2872</v>
      </c>
      <c r="C876" s="42" t="inlineStr">
        <is>
          <t>0631000021</t>
        </is>
      </c>
      <c r="D876" s="42" t="inlineStr">
        <is>
          <t>Region VI (Western Visayas)</t>
        </is>
      </c>
      <c r="E876" s="42" t="inlineStr">
        <is>
          <t>Iloilo</t>
        </is>
      </c>
      <c r="F876" s="42" t="inlineStr">
        <is>
          <t>City of Iloilo</t>
        </is>
      </c>
      <c r="G876" s="42" t="inlineStr">
        <is>
          <t>Bolilao</t>
        </is>
      </c>
      <c r="H876" s="43" t="n">
        <v>10.711239</v>
      </c>
      <c r="I876" s="43" t="n">
        <v>122.554347</v>
      </c>
      <c r="J876" s="44" t="inlineStr">
        <is>
          <t>U</t>
        </is>
      </c>
      <c r="K876" s="42" t="inlineStr">
        <is>
          <t>Class 1-3 / Urban</t>
        </is>
      </c>
      <c r="L876" s="23" t="n">
        <v>5332</v>
      </c>
      <c r="M876" s="24" t="n">
        <v>4.39</v>
      </c>
      <c r="N876" s="23">
        <f>ROUND(L876/M876, 0)</f>
        <v/>
      </c>
      <c r="O876" s="23">
        <f>ROUND(N876*'Methodology &amp; Assumptions'!$B$8, 0)</f>
        <v/>
      </c>
      <c r="P876" s="44" t="inlineStr">
        <is>
          <t>Band n50 (1.5 GHz, 60 MHz)</t>
        </is>
      </c>
      <c r="Q876" s="38">
        <f>ROUNDUP(O876/'Methodology &amp; Assumptions'!$B$9, 0)</f>
        <v/>
      </c>
      <c r="R876" s="39" t="n">
        <v>1</v>
      </c>
      <c r="S876" s="25" t="n">
        <v>1.51</v>
      </c>
      <c r="T876" s="25" t="n">
        <v>1.08</v>
      </c>
      <c r="U876" s="42" t="inlineStr">
        <is>
          <t>Tier 1B (Micro Drop, 1-3 km)</t>
        </is>
      </c>
      <c r="V876" s="24" t="n">
        <v>70.40000000000001</v>
      </c>
      <c r="W876" s="24" t="n">
        <v>100</v>
      </c>
      <c r="X876" s="24" t="n">
        <v>28</v>
      </c>
      <c r="Y876" s="45">
        <f>ROUND((V876*'Methodology &amp; Assumptions'!$B$6)+(W876*'Methodology &amp; Assumptions'!$B$5)+(X876*'Methodology &amp; Assumptions'!$B$7), 2)</f>
        <v/>
      </c>
    </row>
    <row r="877" ht="19" customHeight="1">
      <c r="A877" s="35" t="n">
        <v>873</v>
      </c>
      <c r="B877" s="35" t="n">
        <v>2873</v>
      </c>
      <c r="C877" s="36" t="inlineStr">
        <is>
          <t>0702234013</t>
        </is>
      </c>
      <c r="D877" s="36" t="inlineStr">
        <is>
          <t>Region VII (Central Visayas)</t>
        </is>
      </c>
      <c r="E877" s="36" t="inlineStr">
        <is>
          <t>Cebu</t>
        </is>
      </c>
      <c r="F877" s="36" t="inlineStr">
        <is>
          <t>City of Naga</t>
        </is>
      </c>
      <c r="G877" s="36" t="inlineStr">
        <is>
          <t>Lanas</t>
        </is>
      </c>
      <c r="H877" s="37" t="n">
        <v>10.272336</v>
      </c>
      <c r="I877" s="37" t="n">
        <v>123.717023</v>
      </c>
      <c r="J877" s="8" t="inlineStr">
        <is>
          <t>R</t>
        </is>
      </c>
      <c r="K877" s="36" t="inlineStr">
        <is>
          <t>Class 1-3 / Urban</t>
        </is>
      </c>
      <c r="L877" s="18" t="n">
        <v>3270</v>
      </c>
      <c r="M877" s="20" t="n">
        <v>4.42</v>
      </c>
      <c r="N877" s="18">
        <f>ROUND(L877/M877, 0)</f>
        <v/>
      </c>
      <c r="O877" s="18">
        <f>ROUND(N877*'Methodology &amp; Assumptions'!$B$8, 0)</f>
        <v/>
      </c>
      <c r="P877" s="8" t="inlineStr">
        <is>
          <t>Band n50 (1.5 GHz, 60 MHz)</t>
        </is>
      </c>
      <c r="Q877" s="38">
        <f>ROUNDUP(O877/'Methodology &amp; Assumptions'!$B$9, 0)</f>
        <v/>
      </c>
      <c r="R877" s="39" t="n">
        <v>1</v>
      </c>
      <c r="S877" s="21" t="n">
        <v>2</v>
      </c>
      <c r="T877" s="21" t="n">
        <v>0.45</v>
      </c>
      <c r="U877" s="36" t="inlineStr">
        <is>
          <t>Tier 1B (Micro Drop, 1-3 km)</t>
        </is>
      </c>
      <c r="V877" s="20" t="n">
        <v>61.4</v>
      </c>
      <c r="W877" s="20" t="n">
        <v>83.2</v>
      </c>
      <c r="X877" s="20" t="n">
        <v>58</v>
      </c>
      <c r="Y877" s="40">
        <f>ROUND((V877*'Methodology &amp; Assumptions'!$B$6)+(W877*'Methodology &amp; Assumptions'!$B$5)+(X877*'Methodology &amp; Assumptions'!$B$7), 2)</f>
        <v/>
      </c>
    </row>
    <row r="878" ht="19" customHeight="1">
      <c r="A878" s="41" t="n">
        <v>874</v>
      </c>
      <c r="B878" s="41" t="n">
        <v>2874</v>
      </c>
      <c r="C878" s="42" t="inlineStr">
        <is>
          <t>0501725017</t>
        </is>
      </c>
      <c r="D878" s="42" t="inlineStr">
        <is>
          <t>Region V (Bicol Region)</t>
        </is>
      </c>
      <c r="E878" s="42" t="inlineStr">
        <is>
          <t>Camarines Sur</t>
        </is>
      </c>
      <c r="F878" s="42" t="inlineStr">
        <is>
          <t>Ocampo</t>
        </is>
      </c>
      <c r="G878" s="42" t="inlineStr">
        <is>
          <t>Salvacion</t>
        </is>
      </c>
      <c r="H878" s="43" t="n">
        <v>13.565157</v>
      </c>
      <c r="I878" s="43" t="n">
        <v>123.372806</v>
      </c>
      <c r="J878" s="44" t="inlineStr">
        <is>
          <t>R</t>
        </is>
      </c>
      <c r="K878" s="42" t="inlineStr">
        <is>
          <t>Class 1-3 / Urban</t>
        </is>
      </c>
      <c r="L878" s="23" t="n">
        <v>2457</v>
      </c>
      <c r="M878" s="24" t="n">
        <v>4.9</v>
      </c>
      <c r="N878" s="23">
        <f>ROUND(L878/M878, 0)</f>
        <v/>
      </c>
      <c r="O878" s="23">
        <f>ROUND(N878*'Methodology &amp; Assumptions'!$B$8, 0)</f>
        <v/>
      </c>
      <c r="P878" s="44" t="inlineStr">
        <is>
          <t>Band n50 (1.5 GHz, 60 MHz)</t>
        </is>
      </c>
      <c r="Q878" s="38">
        <f>ROUNDUP(O878/'Methodology &amp; Assumptions'!$B$9, 0)</f>
        <v/>
      </c>
      <c r="R878" s="39" t="n">
        <v>1</v>
      </c>
      <c r="S878" s="25" t="n">
        <v>1.04</v>
      </c>
      <c r="T878" s="25" t="n">
        <v>0.6899999999999999</v>
      </c>
      <c r="U878" s="42" t="inlineStr">
        <is>
          <t>Tier 1B (Micro Drop, 1-3 km)</t>
        </is>
      </c>
      <c r="V878" s="24" t="n">
        <v>80.59999999999999</v>
      </c>
      <c r="W878" s="24" t="n">
        <v>64</v>
      </c>
      <c r="X878" s="24" t="n">
        <v>58</v>
      </c>
      <c r="Y878" s="45">
        <f>ROUND((V878*'Methodology &amp; Assumptions'!$B$6)+(W878*'Methodology &amp; Assumptions'!$B$5)+(X878*'Methodology &amp; Assumptions'!$B$7), 2)</f>
        <v/>
      </c>
    </row>
    <row r="879" ht="19" customHeight="1">
      <c r="A879" s="35" t="n">
        <v>875</v>
      </c>
      <c r="B879" s="35" t="n">
        <v>2875</v>
      </c>
      <c r="C879" s="36" t="inlineStr">
        <is>
          <t>0405814007</t>
        </is>
      </c>
      <c r="D879" s="36" t="inlineStr">
        <is>
          <t>Region IV-A (CALABARZON)</t>
        </is>
      </c>
      <c r="E879" s="36" t="inlineStr">
        <is>
          <t>Rizal</t>
        </is>
      </c>
      <c r="F879" s="36" t="inlineStr">
        <is>
          <t>Teresa</t>
        </is>
      </c>
      <c r="G879" s="36" t="inlineStr">
        <is>
          <t>Prinza</t>
        </is>
      </c>
      <c r="H879" s="37" t="n">
        <v>14.539235</v>
      </c>
      <c r="I879" s="37" t="n">
        <v>121.212472</v>
      </c>
      <c r="J879" s="8" t="inlineStr">
        <is>
          <t>U</t>
        </is>
      </c>
      <c r="K879" s="36" t="inlineStr">
        <is>
          <t>Class 1-3 / Urban</t>
        </is>
      </c>
      <c r="L879" s="18" t="n">
        <v>7500</v>
      </c>
      <c r="M879" s="20" t="n">
        <v>4.39</v>
      </c>
      <c r="N879" s="18">
        <f>ROUND(L879/M879, 0)</f>
        <v/>
      </c>
      <c r="O879" s="18">
        <f>ROUND(N879*'Methodology &amp; Assumptions'!$B$8, 0)</f>
        <v/>
      </c>
      <c r="P879" s="8" t="inlineStr">
        <is>
          <t>Band n50 (1.5 GHz, 60 MHz)</t>
        </is>
      </c>
      <c r="Q879" s="38">
        <f>ROUNDUP(O879/'Methodology &amp; Assumptions'!$B$9, 0)</f>
        <v/>
      </c>
      <c r="R879" s="39" t="n">
        <v>1</v>
      </c>
      <c r="S879" s="21" t="n">
        <v>1.52</v>
      </c>
      <c r="T879" s="21" t="n">
        <v>0.99</v>
      </c>
      <c r="U879" s="36" t="inlineStr">
        <is>
          <t>Tier 1B (Micro Drop, 1-3 km)</t>
        </is>
      </c>
      <c r="V879" s="20" t="n">
        <v>70.3</v>
      </c>
      <c r="W879" s="20" t="n">
        <v>100</v>
      </c>
      <c r="X879" s="20" t="n">
        <v>28</v>
      </c>
      <c r="Y879" s="40">
        <f>ROUND((V879*'Methodology &amp; Assumptions'!$B$6)+(W879*'Methodology &amp; Assumptions'!$B$5)+(X879*'Methodology &amp; Assumptions'!$B$7), 2)</f>
        <v/>
      </c>
    </row>
    <row r="880" ht="19" customHeight="1">
      <c r="A880" s="41" t="n">
        <v>876</v>
      </c>
      <c r="B880" s="41" t="n">
        <v>2876</v>
      </c>
      <c r="C880" s="42" t="inlineStr">
        <is>
          <t>0307706023</t>
        </is>
      </c>
      <c r="D880" s="42" t="inlineStr">
        <is>
          <t>Region III (Central Luzon)</t>
        </is>
      </c>
      <c r="E880" s="42" t="inlineStr">
        <is>
          <t>Aurora</t>
        </is>
      </c>
      <c r="F880" s="42" t="inlineStr">
        <is>
          <t>Dipaculao</t>
        </is>
      </c>
      <c r="G880" s="42" t="inlineStr">
        <is>
          <t>South Poblacion</t>
        </is>
      </c>
      <c r="H880" s="43" t="n">
        <v>15.843101</v>
      </c>
      <c r="I880" s="43" t="n">
        <v>121.535442</v>
      </c>
      <c r="J880" s="44" t="inlineStr">
        <is>
          <t>R</t>
        </is>
      </c>
      <c r="K880" s="42" t="inlineStr">
        <is>
          <t>Class 1-3 / Urban</t>
        </is>
      </c>
      <c r="L880" s="23" t="n">
        <v>1924</v>
      </c>
      <c r="M880" s="24" t="n">
        <v>4.24</v>
      </c>
      <c r="N880" s="23">
        <f>ROUND(L880/M880, 0)</f>
        <v/>
      </c>
      <c r="O880" s="23">
        <f>ROUND(N880*'Methodology &amp; Assumptions'!$B$8, 0)</f>
        <v/>
      </c>
      <c r="P880" s="44" t="inlineStr">
        <is>
          <t>Band n50 (1.5 GHz, 60 MHz)</t>
        </is>
      </c>
      <c r="Q880" s="38">
        <f>ROUNDUP(O880/'Methodology &amp; Assumptions'!$B$9, 0)</f>
        <v/>
      </c>
      <c r="R880" s="39" t="n">
        <v>1</v>
      </c>
      <c r="S880" s="25" t="n">
        <v>0.89</v>
      </c>
      <c r="T880" s="25" t="n">
        <v>0.05</v>
      </c>
      <c r="U880" s="42" t="inlineStr">
        <is>
          <t>Tier 1A (Direct Coloc, &lt;1 km)</t>
        </is>
      </c>
      <c r="V880" s="24" t="n">
        <v>84.3</v>
      </c>
      <c r="W880" s="24" t="n">
        <v>60.3</v>
      </c>
      <c r="X880" s="24" t="n">
        <v>58</v>
      </c>
      <c r="Y880" s="45">
        <f>ROUND((V880*'Methodology &amp; Assumptions'!$B$6)+(W880*'Methodology &amp; Assumptions'!$B$5)+(X880*'Methodology &amp; Assumptions'!$B$7), 2)</f>
        <v/>
      </c>
    </row>
    <row r="881" ht="19" customHeight="1">
      <c r="A881" s="35" t="n">
        <v>877</v>
      </c>
      <c r="B881" s="35" t="n">
        <v>2877</v>
      </c>
      <c r="C881" s="36" t="inlineStr">
        <is>
          <t>0403417038</t>
        </is>
      </c>
      <c r="D881" s="36" t="inlineStr">
        <is>
          <t>Region IV-A (CALABARZON)</t>
        </is>
      </c>
      <c r="E881" s="36" t="inlineStr">
        <is>
          <t>Laguna</t>
        </is>
      </c>
      <c r="F881" s="36" t="inlineStr">
        <is>
          <t>Nagcarlan</t>
        </is>
      </c>
      <c r="G881" s="36" t="inlineStr">
        <is>
          <t>Palina</t>
        </is>
      </c>
      <c r="H881" s="37" t="n">
        <v>14.137425</v>
      </c>
      <c r="I881" s="37" t="n">
        <v>121.421116</v>
      </c>
      <c r="J881" s="8" t="inlineStr">
        <is>
          <t>R</t>
        </is>
      </c>
      <c r="K881" s="36" t="inlineStr">
        <is>
          <t>Class 1-3 / Urban</t>
        </is>
      </c>
      <c r="L881" s="18" t="n">
        <v>1537</v>
      </c>
      <c r="M881" s="20" t="n">
        <v>4.2</v>
      </c>
      <c r="N881" s="18">
        <f>ROUND(L881/M881, 0)</f>
        <v/>
      </c>
      <c r="O881" s="18">
        <f>ROUND(N881*'Methodology &amp; Assumptions'!$B$8, 0)</f>
        <v/>
      </c>
      <c r="P881" s="8" t="inlineStr">
        <is>
          <t>Band n50 (1.5 GHz, 60 MHz)</t>
        </is>
      </c>
      <c r="Q881" s="38">
        <f>ROUNDUP(O881/'Methodology &amp; Assumptions'!$B$9, 0)</f>
        <v/>
      </c>
      <c r="R881" s="39" t="n">
        <v>1</v>
      </c>
      <c r="S881" s="21" t="n">
        <v>0.62</v>
      </c>
      <c r="T881" s="21" t="n">
        <v>0.11</v>
      </c>
      <c r="U881" s="36" t="inlineStr">
        <is>
          <t>Tier 1A (Direct Coloc, &lt;1 km)</t>
        </is>
      </c>
      <c r="V881" s="20" t="n">
        <v>91.3</v>
      </c>
      <c r="W881" s="20" t="n">
        <v>53.3</v>
      </c>
      <c r="X881" s="20" t="n">
        <v>58</v>
      </c>
      <c r="Y881" s="40">
        <f>ROUND((V881*'Methodology &amp; Assumptions'!$B$6)+(W881*'Methodology &amp; Assumptions'!$B$5)+(X881*'Methodology &amp; Assumptions'!$B$7), 2)</f>
        <v/>
      </c>
    </row>
    <row r="882" ht="19" customHeight="1">
      <c r="A882" s="41" t="n">
        <v>878</v>
      </c>
      <c r="B882" s="41" t="n">
        <v>2878</v>
      </c>
      <c r="C882" s="42" t="inlineStr">
        <is>
          <t>1130700161</t>
        </is>
      </c>
      <c r="D882" s="42" t="inlineStr">
        <is>
          <t>Region XI (Davao Region)</t>
        </is>
      </c>
      <c r="E882" s="42" t="inlineStr">
        <is>
          <t>Davao del Sur</t>
        </is>
      </c>
      <c r="F882" s="42" t="inlineStr">
        <is>
          <t>City of Davao</t>
        </is>
      </c>
      <c r="G882" s="42" t="inlineStr">
        <is>
          <t>Barangay 28-C</t>
        </is>
      </c>
      <c r="H882" s="43" t="n">
        <v>7.07265</v>
      </c>
      <c r="I882" s="43" t="n">
        <v>125.61883</v>
      </c>
      <c r="J882" s="44" t="inlineStr">
        <is>
          <t>U</t>
        </is>
      </c>
      <c r="K882" s="42" t="inlineStr">
        <is>
          <t>Class 1-3 / Urban</t>
        </is>
      </c>
      <c r="L882" s="23" t="n">
        <v>3133</v>
      </c>
      <c r="M882" s="24" t="n">
        <v>4.1</v>
      </c>
      <c r="N882" s="23">
        <f>ROUND(L882/M882, 0)</f>
        <v/>
      </c>
      <c r="O882" s="23">
        <f>ROUND(N882*'Methodology &amp; Assumptions'!$B$8, 0)</f>
        <v/>
      </c>
      <c r="P882" s="44" t="inlineStr">
        <is>
          <t>Band n50 (1.5 GHz, 60 MHz)</t>
        </is>
      </c>
      <c r="Q882" s="38">
        <f>ROUNDUP(O882/'Methodology &amp; Assumptions'!$B$9, 0)</f>
        <v/>
      </c>
      <c r="R882" s="39" t="n">
        <v>1</v>
      </c>
      <c r="S882" s="25" t="n">
        <v>0.85</v>
      </c>
      <c r="T882" s="25" t="n">
        <v>0.3</v>
      </c>
      <c r="U882" s="42" t="inlineStr">
        <is>
          <t>Tier 1A (Direct Coloc, &lt;1 km)</t>
        </is>
      </c>
      <c r="V882" s="24" t="n">
        <v>85.2</v>
      </c>
      <c r="W882" s="24" t="n">
        <v>85.09999999999999</v>
      </c>
      <c r="X882" s="24" t="n">
        <v>28</v>
      </c>
      <c r="Y882" s="45">
        <f>ROUND((V882*'Methodology &amp; Assumptions'!$B$6)+(W882*'Methodology &amp; Assumptions'!$B$5)+(X882*'Methodology &amp; Assumptions'!$B$7), 2)</f>
        <v/>
      </c>
    </row>
    <row r="883" ht="19" customHeight="1">
      <c r="A883" s="35" t="n">
        <v>879</v>
      </c>
      <c r="B883" s="35" t="n">
        <v>2879</v>
      </c>
      <c r="C883" s="36" t="inlineStr">
        <is>
          <t>0105531039</t>
        </is>
      </c>
      <c r="D883" s="36" t="inlineStr">
        <is>
          <t>Region I (Ilocos Region)</t>
        </is>
      </c>
      <c r="E883" s="36" t="inlineStr">
        <is>
          <t>Pangasinan</t>
        </is>
      </c>
      <c r="F883" s="36" t="inlineStr">
        <is>
          <t>Rosales</t>
        </is>
      </c>
      <c r="G883" s="36" t="inlineStr">
        <is>
          <t>Zone V</t>
        </is>
      </c>
      <c r="H883" s="37" t="n">
        <v>15.891049</v>
      </c>
      <c r="I883" s="37" t="n">
        <v>120.633945</v>
      </c>
      <c r="J883" s="8" t="inlineStr">
        <is>
          <t>R</t>
        </is>
      </c>
      <c r="K883" s="36" t="inlineStr">
        <is>
          <t>Class 1-3 / Urban</t>
        </is>
      </c>
      <c r="L883" s="18" t="n">
        <v>1537</v>
      </c>
      <c r="M883" s="20" t="n">
        <v>4.39</v>
      </c>
      <c r="N883" s="18">
        <f>ROUND(L883/M883, 0)</f>
        <v/>
      </c>
      <c r="O883" s="18">
        <f>ROUND(N883*'Methodology &amp; Assumptions'!$B$8, 0)</f>
        <v/>
      </c>
      <c r="P883" s="8" t="inlineStr">
        <is>
          <t>Band n50 (1.5 GHz, 60 MHz)</t>
        </is>
      </c>
      <c r="Q883" s="38">
        <f>ROUNDUP(O883/'Methodology &amp; Assumptions'!$B$9, 0)</f>
        <v/>
      </c>
      <c r="R883" s="39" t="n">
        <v>1</v>
      </c>
      <c r="S883" s="21" t="n">
        <v>0.58</v>
      </c>
      <c r="T883" s="21" t="n">
        <v>0.55</v>
      </c>
      <c r="U883" s="36" t="inlineStr">
        <is>
          <t>Tier 1A (Direct Coloc, &lt;1 km)</t>
        </is>
      </c>
      <c r="V883" s="20" t="n">
        <v>92.5</v>
      </c>
      <c r="W883" s="20" t="n">
        <v>52</v>
      </c>
      <c r="X883" s="20" t="n">
        <v>58</v>
      </c>
      <c r="Y883" s="40">
        <f>ROUND((V883*'Methodology &amp; Assumptions'!$B$6)+(W883*'Methodology &amp; Assumptions'!$B$5)+(X883*'Methodology &amp; Assumptions'!$B$7), 2)</f>
        <v/>
      </c>
    </row>
    <row r="884" ht="19" customHeight="1">
      <c r="A884" s="41" t="n">
        <v>880</v>
      </c>
      <c r="B884" s="41" t="n">
        <v>2880</v>
      </c>
      <c r="C884" s="42" t="inlineStr">
        <is>
          <t>0501731015</t>
        </is>
      </c>
      <c r="D884" s="42" t="inlineStr">
        <is>
          <t>Region V (Bicol Region)</t>
        </is>
      </c>
      <c r="E884" s="42" t="inlineStr">
        <is>
          <t>Camarines Sur</t>
        </is>
      </c>
      <c r="F884" s="42" t="inlineStr">
        <is>
          <t>Sagñay</t>
        </is>
      </c>
      <c r="G884" s="42" t="inlineStr">
        <is>
          <t>San Antonio</t>
        </is>
      </c>
      <c r="H884" s="43" t="n">
        <v>13.602108</v>
      </c>
      <c r="I884" s="43" t="n">
        <v>123.520485</v>
      </c>
      <c r="J884" s="44" t="inlineStr">
        <is>
          <t>R</t>
        </is>
      </c>
      <c r="K884" s="42" t="inlineStr">
        <is>
          <t>2nd</t>
        </is>
      </c>
      <c r="L884" s="23" t="n">
        <v>1272</v>
      </c>
      <c r="M884" s="24" t="n">
        <v>4.94</v>
      </c>
      <c r="N884" s="23">
        <f>ROUND(L884/M884, 0)</f>
        <v/>
      </c>
      <c r="O884" s="23">
        <f>ROUND(N884*'Methodology &amp; Assumptions'!$B$8, 0)</f>
        <v/>
      </c>
      <c r="P884" s="44" t="inlineStr">
        <is>
          <t>Band n50 (1.5 GHz, 60 MHz)</t>
        </is>
      </c>
      <c r="Q884" s="38">
        <f>ROUNDUP(O884/'Methodology &amp; Assumptions'!$B$9, 0)</f>
        <v/>
      </c>
      <c r="R884" s="39" t="n">
        <v>1</v>
      </c>
      <c r="S884" s="25" t="n">
        <v>0.06</v>
      </c>
      <c r="T884" s="25" t="n">
        <v>0.24</v>
      </c>
      <c r="U884" s="42" t="inlineStr">
        <is>
          <t>Tier 1A (Direct Coloc, &lt;1 km)</t>
        </is>
      </c>
      <c r="V884" s="24" t="n">
        <v>100</v>
      </c>
      <c r="W884" s="24" t="n">
        <v>44.5</v>
      </c>
      <c r="X884" s="24" t="n">
        <v>58</v>
      </c>
      <c r="Y884" s="45">
        <f>ROUND((V884*'Methodology &amp; Assumptions'!$B$6)+(W884*'Methodology &amp; Assumptions'!$B$5)+(X884*'Methodology &amp; Assumptions'!$B$7), 2)</f>
        <v/>
      </c>
    </row>
    <row r="885" ht="19" customHeight="1">
      <c r="A885" s="35" t="n">
        <v>881</v>
      </c>
      <c r="B885" s="35" t="n">
        <v>2881</v>
      </c>
      <c r="C885" s="36" t="inlineStr">
        <is>
          <t>0304925011</t>
        </is>
      </c>
      <c r="D885" s="36" t="inlineStr">
        <is>
          <t>Region III (Central Luzon)</t>
        </is>
      </c>
      <c r="E885" s="36" t="inlineStr">
        <is>
          <t>Nueva Ecija</t>
        </is>
      </c>
      <c r="F885" s="36" t="inlineStr">
        <is>
          <t>San Isidro</t>
        </is>
      </c>
      <c r="G885" s="36" t="inlineStr">
        <is>
          <t>Santo Cristo</t>
        </is>
      </c>
      <c r="H885" s="37" t="n">
        <v>15.299624</v>
      </c>
      <c r="I885" s="37" t="n">
        <v>120.890205</v>
      </c>
      <c r="J885" s="8" t="inlineStr">
        <is>
          <t>U</t>
        </is>
      </c>
      <c r="K885" s="36" t="inlineStr">
        <is>
          <t>Class 1-3 / Urban</t>
        </is>
      </c>
      <c r="L885" s="18" t="n">
        <v>6772</v>
      </c>
      <c r="M885" s="20" t="n">
        <v>4.32</v>
      </c>
      <c r="N885" s="18">
        <f>ROUND(L885/M885, 0)</f>
        <v/>
      </c>
      <c r="O885" s="18">
        <f>ROUND(N885*'Methodology &amp; Assumptions'!$B$8, 0)</f>
        <v/>
      </c>
      <c r="P885" s="8" t="inlineStr">
        <is>
          <t>Band n50 (1.5 GHz, 60 MHz)</t>
        </is>
      </c>
      <c r="Q885" s="38">
        <f>ROUNDUP(O885/'Methodology &amp; Assumptions'!$B$9, 0)</f>
        <v/>
      </c>
      <c r="R885" s="39" t="n">
        <v>1</v>
      </c>
      <c r="S885" s="21" t="n">
        <v>2.24</v>
      </c>
      <c r="T885" s="21" t="n">
        <v>0.15</v>
      </c>
      <c r="U885" s="36" t="inlineStr">
        <is>
          <t>Tier 1B (Micro Drop, 1-3 km)</t>
        </is>
      </c>
      <c r="V885" s="20" t="n">
        <v>57.4</v>
      </c>
      <c r="W885" s="20" t="n">
        <v>100</v>
      </c>
      <c r="X885" s="20" t="n">
        <v>43</v>
      </c>
      <c r="Y885" s="40">
        <f>ROUND((V885*'Methodology &amp; Assumptions'!$B$6)+(W885*'Methodology &amp; Assumptions'!$B$5)+(X885*'Methodology &amp; Assumptions'!$B$7), 2)</f>
        <v/>
      </c>
    </row>
    <row r="886" ht="19" customHeight="1">
      <c r="A886" s="41" t="n">
        <v>882</v>
      </c>
      <c r="B886" s="41" t="n">
        <v>2882</v>
      </c>
      <c r="C886" s="42" t="inlineStr">
        <is>
          <t>0102926005</t>
        </is>
      </c>
      <c r="D886" s="42" t="inlineStr">
        <is>
          <t>Region I (Ilocos Region)</t>
        </is>
      </c>
      <c r="E886" s="42" t="inlineStr">
        <is>
          <t>Ilocos Sur</t>
        </is>
      </c>
      <c r="F886" s="42" t="inlineStr">
        <is>
          <t>Santa Maria</t>
        </is>
      </c>
      <c r="G886" s="42" t="inlineStr">
        <is>
          <t>Baliw Laud</t>
        </is>
      </c>
      <c r="H886" s="43" t="n">
        <v>17.37074</v>
      </c>
      <c r="I886" s="43" t="n">
        <v>120.480614</v>
      </c>
      <c r="J886" s="44" t="inlineStr">
        <is>
          <t>R</t>
        </is>
      </c>
      <c r="K886" s="42" t="inlineStr">
        <is>
          <t>Class 1-3 / Urban</t>
        </is>
      </c>
      <c r="L886" s="23" t="n">
        <v>633</v>
      </c>
      <c r="M886" s="24" t="n">
        <v>4.56</v>
      </c>
      <c r="N886" s="23">
        <f>ROUND(L886/M886, 0)</f>
        <v/>
      </c>
      <c r="O886" s="23">
        <f>ROUND(N886*'Methodology &amp; Assumptions'!$B$8, 0)</f>
        <v/>
      </c>
      <c r="P886" s="44" t="inlineStr">
        <is>
          <t>Band n50 (1.5 GHz, 60 MHz)</t>
        </is>
      </c>
      <c r="Q886" s="38">
        <f>ROUNDUP(O886/'Methodology &amp; Assumptions'!$B$9, 0)</f>
        <v/>
      </c>
      <c r="R886" s="39" t="n">
        <v>1</v>
      </c>
      <c r="S886" s="25" t="n">
        <v>0.44</v>
      </c>
      <c r="T886" s="25" t="n">
        <v>0.1</v>
      </c>
      <c r="U886" s="42" t="inlineStr">
        <is>
          <t>Tier 1A (Direct Coloc, &lt;1 km)</t>
        </is>
      </c>
      <c r="V886" s="24" t="n">
        <v>96.5</v>
      </c>
      <c r="W886" s="24" t="n">
        <v>35.2</v>
      </c>
      <c r="X886" s="24" t="n">
        <v>73</v>
      </c>
      <c r="Y886" s="45">
        <f>ROUND((V886*'Methodology &amp; Assumptions'!$B$6)+(W886*'Methodology &amp; Assumptions'!$B$5)+(X886*'Methodology &amp; Assumptions'!$B$7), 2)</f>
        <v/>
      </c>
    </row>
    <row r="887" ht="19" customHeight="1">
      <c r="A887" s="35" t="n">
        <v>883</v>
      </c>
      <c r="B887" s="35" t="n">
        <v>2883</v>
      </c>
      <c r="C887" s="36" t="inlineStr">
        <is>
          <t>0304916023</t>
        </is>
      </c>
      <c r="D887" s="36" t="inlineStr">
        <is>
          <t>Region III (Central Luzon)</t>
        </is>
      </c>
      <c r="E887" s="36" t="inlineStr">
        <is>
          <t>Nueva Ecija</t>
        </is>
      </c>
      <c r="F887" s="36" t="inlineStr">
        <is>
          <t>Lupao</t>
        </is>
      </c>
      <c r="G887" s="36" t="inlineStr">
        <is>
          <t>Poblacion West</t>
        </is>
      </c>
      <c r="H887" s="37" t="n">
        <v>15.880403</v>
      </c>
      <c r="I887" s="37" t="n">
        <v>120.897422</v>
      </c>
      <c r="J887" s="8" t="inlineStr">
        <is>
          <t>R</t>
        </is>
      </c>
      <c r="K887" s="36" t="inlineStr">
        <is>
          <t>Class 1-3 / Urban</t>
        </is>
      </c>
      <c r="L887" s="18" t="n">
        <v>1387</v>
      </c>
      <c r="M887" s="20" t="n">
        <v>4.32</v>
      </c>
      <c r="N887" s="18">
        <f>ROUND(L887/M887, 0)</f>
        <v/>
      </c>
      <c r="O887" s="18">
        <f>ROUND(N887*'Methodology &amp; Assumptions'!$B$8, 0)</f>
        <v/>
      </c>
      <c r="P887" s="8" t="inlineStr">
        <is>
          <t>Band n50 (1.5 GHz, 60 MHz)</t>
        </is>
      </c>
      <c r="Q887" s="38">
        <f>ROUNDUP(O887/'Methodology &amp; Assumptions'!$B$9, 0)</f>
        <v/>
      </c>
      <c r="R887" s="39" t="n">
        <v>1</v>
      </c>
      <c r="S887" s="21" t="n">
        <v>0.49</v>
      </c>
      <c r="T887" s="21" t="n">
        <v>0.86</v>
      </c>
      <c r="U887" s="36" t="inlineStr">
        <is>
          <t>Tier 1A (Direct Coloc, &lt;1 km)</t>
        </is>
      </c>
      <c r="V887" s="20" t="n">
        <v>94.90000000000001</v>
      </c>
      <c r="W887" s="20" t="n">
        <v>49.6</v>
      </c>
      <c r="X887" s="20" t="n">
        <v>58</v>
      </c>
      <c r="Y887" s="40">
        <f>ROUND((V887*'Methodology &amp; Assumptions'!$B$6)+(W887*'Methodology &amp; Assumptions'!$B$5)+(X887*'Methodology &amp; Assumptions'!$B$7), 2)</f>
        <v/>
      </c>
    </row>
    <row r="888" ht="19" customHeight="1">
      <c r="A888" s="41" t="n">
        <v>884</v>
      </c>
      <c r="B888" s="41" t="n">
        <v>2884</v>
      </c>
      <c r="C888" s="42" t="inlineStr">
        <is>
          <t>0731100015</t>
        </is>
      </c>
      <c r="D888" s="42" t="inlineStr">
        <is>
          <t>Region VII (Central Visayas)</t>
        </is>
      </c>
      <c r="E888" s="42" t="inlineStr">
        <is>
          <t>Cebu</t>
        </is>
      </c>
      <c r="F888" s="42" t="inlineStr">
        <is>
          <t>City of Lapu-Lapu</t>
        </is>
      </c>
      <c r="G888" s="42" t="inlineStr">
        <is>
          <t>Mactan</t>
        </is>
      </c>
      <c r="H888" s="43" t="n">
        <v>10.30882</v>
      </c>
      <c r="I888" s="43" t="n">
        <v>124.011125</v>
      </c>
      <c r="J888" s="44" t="inlineStr">
        <is>
          <t>U</t>
        </is>
      </c>
      <c r="K888" s="42" t="inlineStr">
        <is>
          <t>Class 1-3 / Urban</t>
        </is>
      </c>
      <c r="L888" s="23" t="n">
        <v>50964</v>
      </c>
      <c r="M888" s="24" t="n">
        <v>4.42</v>
      </c>
      <c r="N888" s="23">
        <f>ROUND(L888/M888, 0)</f>
        <v/>
      </c>
      <c r="O888" s="23">
        <f>ROUND(N888*'Methodology &amp; Assumptions'!$B$8, 0)</f>
        <v/>
      </c>
      <c r="P888" s="44" t="inlineStr">
        <is>
          <t>Band n50 (1.5 GHz, 60 MHz)</t>
        </is>
      </c>
      <c r="Q888" s="38">
        <f>ROUNDUP(O888/'Methodology &amp; Assumptions'!$B$9, 0)</f>
        <v/>
      </c>
      <c r="R888" s="39" t="n">
        <v>1</v>
      </c>
      <c r="S888" s="25" t="n">
        <v>0.92</v>
      </c>
      <c r="T888" s="25" t="n">
        <v>6.67</v>
      </c>
      <c r="U888" s="42" t="inlineStr">
        <is>
          <t>Tier 1A (Direct Coloc, &lt;1 km)</t>
        </is>
      </c>
      <c r="V888" s="24" t="n">
        <v>73.7</v>
      </c>
      <c r="W888" s="24" t="n">
        <v>96.59999999999999</v>
      </c>
      <c r="X888" s="24" t="n">
        <v>28</v>
      </c>
      <c r="Y888" s="45">
        <f>ROUND((V888*'Methodology &amp; Assumptions'!$B$6)+(W888*'Methodology &amp; Assumptions'!$B$5)+(X888*'Methodology &amp; Assumptions'!$B$7), 2)</f>
        <v/>
      </c>
    </row>
    <row r="889" ht="19" customHeight="1">
      <c r="A889" s="35" t="n">
        <v>885</v>
      </c>
      <c r="B889" s="35" t="n">
        <v>2885</v>
      </c>
      <c r="C889" s="36" t="inlineStr">
        <is>
          <t>0105513009</t>
        </is>
      </c>
      <c r="D889" s="36" t="inlineStr">
        <is>
          <t>Region I (Ilocos Region)</t>
        </is>
      </c>
      <c r="E889" s="36" t="inlineStr">
        <is>
          <t>Pangasinan</t>
        </is>
      </c>
      <c r="F889" s="36" t="inlineStr">
        <is>
          <t>Binmaley</t>
        </is>
      </c>
      <c r="G889" s="36" t="inlineStr">
        <is>
          <t>Calit</t>
        </is>
      </c>
      <c r="H889" s="37" t="n">
        <v>16.007053</v>
      </c>
      <c r="I889" s="37" t="n">
        <v>120.318641</v>
      </c>
      <c r="J889" s="8" t="inlineStr">
        <is>
          <t>R</t>
        </is>
      </c>
      <c r="K889" s="36" t="inlineStr">
        <is>
          <t>Class 1-3 / Urban</t>
        </is>
      </c>
      <c r="L889" s="18" t="n">
        <v>2517</v>
      </c>
      <c r="M889" s="20" t="n">
        <v>4.39</v>
      </c>
      <c r="N889" s="18">
        <f>ROUND(L889/M889, 0)</f>
        <v/>
      </c>
      <c r="O889" s="18">
        <f>ROUND(N889*'Methodology &amp; Assumptions'!$B$8, 0)</f>
        <v/>
      </c>
      <c r="P889" s="8" t="inlineStr">
        <is>
          <t>Band n50 (1.5 GHz, 60 MHz)</t>
        </is>
      </c>
      <c r="Q889" s="38">
        <f>ROUNDUP(O889/'Methodology &amp; Assumptions'!$B$9, 0)</f>
        <v/>
      </c>
      <c r="R889" s="39" t="n">
        <v>1</v>
      </c>
      <c r="S889" s="21" t="n">
        <v>1.98</v>
      </c>
      <c r="T889" s="21" t="n">
        <v>1.14</v>
      </c>
      <c r="U889" s="36" t="inlineStr">
        <is>
          <t>Tier 1B (Micro Drop, 1-3 km)</t>
        </is>
      </c>
      <c r="V889" s="20" t="n">
        <v>61.8</v>
      </c>
      <c r="W889" s="20" t="n">
        <v>69.90000000000001</v>
      </c>
      <c r="X889" s="20" t="n">
        <v>73</v>
      </c>
      <c r="Y889" s="40">
        <f>ROUND((V889*'Methodology &amp; Assumptions'!$B$6)+(W889*'Methodology &amp; Assumptions'!$B$5)+(X889*'Methodology &amp; Assumptions'!$B$7), 2)</f>
        <v/>
      </c>
    </row>
    <row r="890" ht="19" customHeight="1">
      <c r="A890" s="41" t="n">
        <v>886</v>
      </c>
      <c r="B890" s="41" t="n">
        <v>2886</v>
      </c>
      <c r="C890" s="42" t="inlineStr">
        <is>
          <t>0603032015</t>
        </is>
      </c>
      <c r="D890" s="42" t="inlineStr">
        <is>
          <t>Region VI (Western Visayas)</t>
        </is>
      </c>
      <c r="E890" s="42" t="inlineStr">
        <is>
          <t>Iloilo</t>
        </is>
      </c>
      <c r="F890" s="42" t="inlineStr">
        <is>
          <t>New Lucena</t>
        </is>
      </c>
      <c r="G890" s="42" t="inlineStr">
        <is>
          <t>Dawis</t>
        </is>
      </c>
      <c r="H890" s="43" t="n">
        <v>10.883635</v>
      </c>
      <c r="I890" s="43" t="n">
        <v>122.603359</v>
      </c>
      <c r="J890" s="44" t="inlineStr">
        <is>
          <t>R</t>
        </is>
      </c>
      <c r="K890" s="42" t="inlineStr">
        <is>
          <t>4th</t>
        </is>
      </c>
      <c r="L890" s="23" t="n">
        <v>1432</v>
      </c>
      <c r="M890" s="24" t="n">
        <v>4.64</v>
      </c>
      <c r="N890" s="23">
        <f>ROUND(L890/M890, 0)</f>
        <v/>
      </c>
      <c r="O890" s="23">
        <f>ROUND(N890*'Methodology &amp; Assumptions'!$B$8, 0)</f>
        <v/>
      </c>
      <c r="P890" s="44" t="inlineStr">
        <is>
          <t>Band n50 (1.5 GHz, 60 MHz)</t>
        </is>
      </c>
      <c r="Q890" s="38">
        <f>ROUNDUP(O890/'Methodology &amp; Assumptions'!$B$9, 0)</f>
        <v/>
      </c>
      <c r="R890" s="39" t="n">
        <v>1</v>
      </c>
      <c r="S890" s="25" t="n">
        <v>0.8</v>
      </c>
      <c r="T890" s="25" t="n">
        <v>0.93</v>
      </c>
      <c r="U890" s="42" t="inlineStr">
        <is>
          <t>Tier 1A (Direct Coloc, &lt;1 km)</t>
        </is>
      </c>
      <c r="V890" s="24" t="n">
        <v>86.7</v>
      </c>
      <c r="W890" s="24" t="n">
        <v>48.8</v>
      </c>
      <c r="X890" s="24" t="n">
        <v>68.5</v>
      </c>
      <c r="Y890" s="45">
        <f>ROUND((V890*'Methodology &amp; Assumptions'!$B$6)+(W890*'Methodology &amp; Assumptions'!$B$5)+(X890*'Methodology &amp; Assumptions'!$B$7), 2)</f>
        <v/>
      </c>
    </row>
    <row r="891" ht="19" customHeight="1">
      <c r="A891" s="35" t="n">
        <v>887</v>
      </c>
      <c r="B891" s="35" t="n">
        <v>2887</v>
      </c>
      <c r="C891" s="36" t="inlineStr">
        <is>
          <t>1102408011</t>
        </is>
      </c>
      <c r="D891" s="36" t="inlineStr">
        <is>
          <t>Region XI (Davao Region)</t>
        </is>
      </c>
      <c r="E891" s="36" t="inlineStr">
        <is>
          <t>Davao del Sur</t>
        </is>
      </c>
      <c r="F891" s="36" t="inlineStr">
        <is>
          <t>Malalag</t>
        </is>
      </c>
      <c r="G891" s="36" t="inlineStr">
        <is>
          <t>Mabini</t>
        </is>
      </c>
      <c r="H891" s="37" t="n">
        <v>6.592051</v>
      </c>
      <c r="I891" s="37" t="n">
        <v>125.400394</v>
      </c>
      <c r="J891" s="8" t="inlineStr">
        <is>
          <t>R</t>
        </is>
      </c>
      <c r="K891" s="36" t="inlineStr">
        <is>
          <t>Class 1-3 / Urban</t>
        </is>
      </c>
      <c r="L891" s="18" t="n">
        <v>2051</v>
      </c>
      <c r="M891" s="20" t="n">
        <v>4.1</v>
      </c>
      <c r="N891" s="18">
        <f>ROUND(L891/M891, 0)</f>
        <v/>
      </c>
      <c r="O891" s="18">
        <f>ROUND(N891*'Methodology &amp; Assumptions'!$B$8, 0)</f>
        <v/>
      </c>
      <c r="P891" s="8" t="inlineStr">
        <is>
          <t>Band n50 (1.5 GHz, 60 MHz)</t>
        </is>
      </c>
      <c r="Q891" s="38">
        <f>ROUNDUP(O891/'Methodology &amp; Assumptions'!$B$9, 0)</f>
        <v/>
      </c>
      <c r="R891" s="39" t="n">
        <v>1</v>
      </c>
      <c r="S891" s="21" t="n">
        <v>0.65</v>
      </c>
      <c r="T891" s="21" t="n">
        <v>4.83</v>
      </c>
      <c r="U891" s="36" t="inlineStr">
        <is>
          <t>Tier 1A (Direct Coloc, &lt;1 km)</t>
        </is>
      </c>
      <c r="V891" s="20" t="n">
        <v>80.5</v>
      </c>
      <c r="W891" s="20" t="n">
        <v>64</v>
      </c>
      <c r="X891" s="20" t="n">
        <v>58</v>
      </c>
      <c r="Y891" s="40">
        <f>ROUND((V891*'Methodology &amp; Assumptions'!$B$6)+(W891*'Methodology &amp; Assumptions'!$B$5)+(X891*'Methodology &amp; Assumptions'!$B$7), 2)</f>
        <v/>
      </c>
    </row>
    <row r="892" ht="19" customHeight="1">
      <c r="A892" s="41" t="n">
        <v>888</v>
      </c>
      <c r="B892" s="41" t="n">
        <v>2888</v>
      </c>
      <c r="C892" s="42" t="inlineStr">
        <is>
          <t>0306905033</t>
        </is>
      </c>
      <c r="D892" s="42" t="inlineStr">
        <is>
          <t>Region III (Central Luzon)</t>
        </is>
      </c>
      <c r="E892" s="42" t="inlineStr">
        <is>
          <t>Tarlac</t>
        </is>
      </c>
      <c r="F892" s="42" t="inlineStr">
        <is>
          <t>Concepcion</t>
        </is>
      </c>
      <c r="G892" s="42" t="inlineStr">
        <is>
          <t>San Juan</t>
        </is>
      </c>
      <c r="H892" s="43" t="n">
        <v>15.353497</v>
      </c>
      <c r="I892" s="43" t="n">
        <v>120.605732</v>
      </c>
      <c r="J892" s="44" t="inlineStr">
        <is>
          <t>U</t>
        </is>
      </c>
      <c r="K892" s="42" t="inlineStr">
        <is>
          <t>Class 1-3 / Urban</t>
        </is>
      </c>
      <c r="L892" s="23" t="n">
        <v>5296</v>
      </c>
      <c r="M892" s="24" t="n">
        <v>4.3</v>
      </c>
      <c r="N892" s="23">
        <f>ROUND(L892/M892, 0)</f>
        <v/>
      </c>
      <c r="O892" s="23">
        <f>ROUND(N892*'Methodology &amp; Assumptions'!$B$8, 0)</f>
        <v/>
      </c>
      <c r="P892" s="44" t="inlineStr">
        <is>
          <t>Band n50 (1.5 GHz, 60 MHz)</t>
        </is>
      </c>
      <c r="Q892" s="38">
        <f>ROUNDUP(O892/'Methodology &amp; Assumptions'!$B$9, 0)</f>
        <v/>
      </c>
      <c r="R892" s="39" t="n">
        <v>1</v>
      </c>
      <c r="S892" s="25" t="n">
        <v>1.52</v>
      </c>
      <c r="T892" s="25" t="n">
        <v>1.05</v>
      </c>
      <c r="U892" s="42" t="inlineStr">
        <is>
          <t>Tier 1B (Micro Drop, 1-3 km)</t>
        </is>
      </c>
      <c r="V892" s="24" t="n">
        <v>70.2</v>
      </c>
      <c r="W892" s="24" t="n">
        <v>100</v>
      </c>
      <c r="X892" s="24" t="n">
        <v>28</v>
      </c>
      <c r="Y892" s="45">
        <f>ROUND((V892*'Methodology &amp; Assumptions'!$B$6)+(W892*'Methodology &amp; Assumptions'!$B$5)+(X892*'Methodology &amp; Assumptions'!$B$7), 2)</f>
        <v/>
      </c>
    </row>
    <row r="893" ht="19" customHeight="1">
      <c r="A893" s="35" t="n">
        <v>889</v>
      </c>
      <c r="B893" s="35" t="n">
        <v>2889</v>
      </c>
      <c r="C893" s="36" t="inlineStr">
        <is>
          <t>0301419012</t>
        </is>
      </c>
      <c r="D893" s="36" t="inlineStr">
        <is>
          <t>Region III (Central Luzon)</t>
        </is>
      </c>
      <c r="E893" s="36" t="inlineStr">
        <is>
          <t>Bulacan</t>
        </is>
      </c>
      <c r="F893" s="36" t="inlineStr">
        <is>
          <t>San Ildefonso</t>
        </is>
      </c>
      <c r="G893" s="36" t="inlineStr">
        <is>
          <t>Calasag</t>
        </is>
      </c>
      <c r="H893" s="37" t="n">
        <v>15.067428</v>
      </c>
      <c r="I893" s="37" t="n">
        <v>120.932512</v>
      </c>
      <c r="J893" s="8" t="inlineStr">
        <is>
          <t>U</t>
        </is>
      </c>
      <c r="K893" s="36" t="inlineStr">
        <is>
          <t>Class 1-3 / Urban</t>
        </is>
      </c>
      <c r="L893" s="18" t="n">
        <v>3705</v>
      </c>
      <c r="M893" s="20" t="n">
        <v>4.1</v>
      </c>
      <c r="N893" s="18">
        <f>ROUND(L893/M893, 0)</f>
        <v/>
      </c>
      <c r="O893" s="18">
        <f>ROUND(N893*'Methodology &amp; Assumptions'!$B$8, 0)</f>
        <v/>
      </c>
      <c r="P893" s="8" t="inlineStr">
        <is>
          <t>Band n50 (1.5 GHz, 60 MHz)</t>
        </is>
      </c>
      <c r="Q893" s="38">
        <f>ROUNDUP(O893/'Methodology &amp; Assumptions'!$B$9, 0)</f>
        <v/>
      </c>
      <c r="R893" s="39" t="n">
        <v>1</v>
      </c>
      <c r="S893" s="21" t="n">
        <v>1.34</v>
      </c>
      <c r="T893" s="21" t="n">
        <v>1.05</v>
      </c>
      <c r="U893" s="36" t="inlineStr">
        <is>
          <t>Tier 1B (Micro Drop, 1-3 km)</t>
        </is>
      </c>
      <c r="V893" s="20" t="n">
        <v>73.90000000000001</v>
      </c>
      <c r="W893" s="20" t="n">
        <v>96.3</v>
      </c>
      <c r="X893" s="20" t="n">
        <v>28</v>
      </c>
      <c r="Y893" s="40">
        <f>ROUND((V893*'Methodology &amp; Assumptions'!$B$6)+(W893*'Methodology &amp; Assumptions'!$B$5)+(X893*'Methodology &amp; Assumptions'!$B$7), 2)</f>
        <v/>
      </c>
    </row>
    <row r="894" ht="19" customHeight="1">
      <c r="A894" s="41" t="n">
        <v>890</v>
      </c>
      <c r="B894" s="41" t="n">
        <v>2890</v>
      </c>
      <c r="C894" s="42" t="inlineStr">
        <is>
          <t>0603007006</t>
        </is>
      </c>
      <c r="D894" s="42" t="inlineStr">
        <is>
          <t>Region VI (Western Visayas)</t>
        </is>
      </c>
      <c r="E894" s="42" t="inlineStr">
        <is>
          <t>Iloilo</t>
        </is>
      </c>
      <c r="F894" s="42" t="inlineStr">
        <is>
          <t>Barotac Nuevo</t>
        </is>
      </c>
      <c r="G894" s="42" t="inlineStr">
        <is>
          <t>Bungca</t>
        </is>
      </c>
      <c r="H894" s="43" t="n">
        <v>10.907191</v>
      </c>
      <c r="I894" s="43" t="n">
        <v>122.711633</v>
      </c>
      <c r="J894" s="44" t="inlineStr">
        <is>
          <t>R</t>
        </is>
      </c>
      <c r="K894" s="42" t="inlineStr">
        <is>
          <t>Class 1-3 / Urban</t>
        </is>
      </c>
      <c r="L894" s="23" t="n">
        <v>2374</v>
      </c>
      <c r="M894" s="24" t="n">
        <v>4.39</v>
      </c>
      <c r="N894" s="23">
        <f>ROUND(L894/M894, 0)</f>
        <v/>
      </c>
      <c r="O894" s="23">
        <f>ROUND(N894*'Methodology &amp; Assumptions'!$B$8, 0)</f>
        <v/>
      </c>
      <c r="P894" s="44" t="inlineStr">
        <is>
          <t>Band n50 (1.5 GHz, 60 MHz)</t>
        </is>
      </c>
      <c r="Q894" s="38">
        <f>ROUNDUP(O894/'Methodology &amp; Assumptions'!$B$9, 0)</f>
        <v/>
      </c>
      <c r="R894" s="39" t="n">
        <v>1</v>
      </c>
      <c r="S894" s="25" t="n">
        <v>1.19</v>
      </c>
      <c r="T894" s="25" t="n">
        <v>0.06</v>
      </c>
      <c r="U894" s="42" t="inlineStr">
        <is>
          <t>Tier 1B (Micro Drop, 1-3 km)</t>
        </is>
      </c>
      <c r="V894" s="24" t="n">
        <v>77.3</v>
      </c>
      <c r="W894" s="24" t="n">
        <v>67.2</v>
      </c>
      <c r="X894" s="24" t="n">
        <v>58</v>
      </c>
      <c r="Y894" s="45">
        <f>ROUND((V894*'Methodology &amp; Assumptions'!$B$6)+(W894*'Methodology &amp; Assumptions'!$B$5)+(X894*'Methodology &amp; Assumptions'!$B$7), 2)</f>
        <v/>
      </c>
    </row>
    <row r="895" ht="19" customHeight="1">
      <c r="A895" s="35" t="n">
        <v>891</v>
      </c>
      <c r="B895" s="35" t="n">
        <v>2891</v>
      </c>
      <c r="C895" s="36" t="inlineStr">
        <is>
          <t>0402105024</t>
        </is>
      </c>
      <c r="D895" s="36" t="inlineStr">
        <is>
          <t>Region IV-A (CALABARZON)</t>
        </is>
      </c>
      <c r="E895" s="36" t="inlineStr">
        <is>
          <t>Cavite</t>
        </is>
      </c>
      <c r="F895" s="36" t="inlineStr">
        <is>
          <t>City of Cavite</t>
        </is>
      </c>
      <c r="G895" s="36" t="inlineStr">
        <is>
          <t>Barangay 30</t>
        </is>
      </c>
      <c r="H895" s="37" t="n">
        <v>14.478943</v>
      </c>
      <c r="I895" s="37" t="n">
        <v>120.88972</v>
      </c>
      <c r="J895" s="8" t="inlineStr">
        <is>
          <t>R</t>
        </is>
      </c>
      <c r="K895" s="36" t="inlineStr">
        <is>
          <t>Class 1-3 / Urban</t>
        </is>
      </c>
      <c r="L895" s="18" t="n">
        <v>2037</v>
      </c>
      <c r="M895" s="20" t="n">
        <v>4.49</v>
      </c>
      <c r="N895" s="18">
        <f>ROUND(L895/M895, 0)</f>
        <v/>
      </c>
      <c r="O895" s="18">
        <f>ROUND(N895*'Methodology &amp; Assumptions'!$B$8, 0)</f>
        <v/>
      </c>
      <c r="P895" s="8" t="inlineStr">
        <is>
          <t>Band n50 (1.5 GHz, 60 MHz)</t>
        </is>
      </c>
      <c r="Q895" s="38">
        <f>ROUNDUP(O895/'Methodology &amp; Assumptions'!$B$9, 0)</f>
        <v/>
      </c>
      <c r="R895" s="39" t="n">
        <v>1</v>
      </c>
      <c r="S895" s="21" t="n">
        <v>0.52</v>
      </c>
      <c r="T895" s="21" t="n">
        <v>4.49</v>
      </c>
      <c r="U895" s="36" t="inlineStr">
        <is>
          <t>Tier 1A (Direct Coloc, &lt;1 km)</t>
        </is>
      </c>
      <c r="V895" s="20" t="n">
        <v>84.2</v>
      </c>
      <c r="W895" s="20" t="n">
        <v>60.3</v>
      </c>
      <c r="X895" s="20" t="n">
        <v>58</v>
      </c>
      <c r="Y895" s="40">
        <f>ROUND((V895*'Methodology &amp; Assumptions'!$B$6)+(W895*'Methodology &amp; Assumptions'!$B$5)+(X895*'Methodology &amp; Assumptions'!$B$7), 2)</f>
        <v/>
      </c>
    </row>
    <row r="896" ht="19" customHeight="1">
      <c r="A896" s="41" t="n">
        <v>892</v>
      </c>
      <c r="B896" s="41" t="n">
        <v>2892</v>
      </c>
      <c r="C896" s="42" t="inlineStr">
        <is>
          <t>0401009022</t>
        </is>
      </c>
      <c r="D896" s="42" t="inlineStr">
        <is>
          <t>Region IV-A (CALABARZON)</t>
        </is>
      </c>
      <c r="E896" s="42" t="inlineStr">
        <is>
          <t>Batangas</t>
        </is>
      </c>
      <c r="F896" s="42" t="inlineStr">
        <is>
          <t>Cuenca</t>
        </is>
      </c>
      <c r="G896" s="42" t="inlineStr">
        <is>
          <t>Barangay 8</t>
        </is>
      </c>
      <c r="H896" s="43" t="n">
        <v>13.903434</v>
      </c>
      <c r="I896" s="43" t="n">
        <v>121.04641</v>
      </c>
      <c r="J896" s="44" t="inlineStr">
        <is>
          <t>R</t>
        </is>
      </c>
      <c r="K896" s="42" t="inlineStr">
        <is>
          <t>2nd</t>
        </is>
      </c>
      <c r="L896" s="23" t="n">
        <v>1688</v>
      </c>
      <c r="M896" s="24" t="n">
        <v>4.54</v>
      </c>
      <c r="N896" s="23">
        <f>ROUND(L896/M896, 0)</f>
        <v/>
      </c>
      <c r="O896" s="23">
        <f>ROUND(N896*'Methodology &amp; Assumptions'!$B$8, 0)</f>
        <v/>
      </c>
      <c r="P896" s="44" t="inlineStr">
        <is>
          <t>Band n50 (1.5 GHz, 60 MHz)</t>
        </is>
      </c>
      <c r="Q896" s="38">
        <f>ROUNDUP(O896/'Methodology &amp; Assumptions'!$B$9, 0)</f>
        <v/>
      </c>
      <c r="R896" s="39" t="n">
        <v>1</v>
      </c>
      <c r="S896" s="25" t="n">
        <v>0.65</v>
      </c>
      <c r="T896" s="25" t="n">
        <v>0.77</v>
      </c>
      <c r="U896" s="42" t="inlineStr">
        <is>
          <t>Tier 1A (Direct Coloc, &lt;1 km)</t>
        </is>
      </c>
      <c r="V896" s="24" t="n">
        <v>90.59999999999999</v>
      </c>
      <c r="W896" s="24" t="n">
        <v>53.9</v>
      </c>
      <c r="X896" s="24" t="n">
        <v>58</v>
      </c>
      <c r="Y896" s="45">
        <f>ROUND((V896*'Methodology &amp; Assumptions'!$B$6)+(W896*'Methodology &amp; Assumptions'!$B$5)+(X896*'Methodology &amp; Assumptions'!$B$7), 2)</f>
        <v/>
      </c>
    </row>
    <row r="897" ht="19" customHeight="1">
      <c r="A897" s="35" t="n">
        <v>893</v>
      </c>
      <c r="B897" s="35" t="n">
        <v>2893</v>
      </c>
      <c r="C897" s="36" t="inlineStr">
        <is>
          <t>0501731006</t>
        </is>
      </c>
      <c r="D897" s="36" t="inlineStr">
        <is>
          <t>Region V (Bicol Region)</t>
        </is>
      </c>
      <c r="E897" s="36" t="inlineStr">
        <is>
          <t>Camarines Sur</t>
        </is>
      </c>
      <c r="F897" s="36" t="inlineStr">
        <is>
          <t>Sagñay</t>
        </is>
      </c>
      <c r="G897" s="36" t="inlineStr">
        <is>
          <t>Del Carmen</t>
        </is>
      </c>
      <c r="H897" s="37" t="n">
        <v>13.597876</v>
      </c>
      <c r="I897" s="37" t="n">
        <v>123.521665</v>
      </c>
      <c r="J897" s="8" t="inlineStr">
        <is>
          <t>R</t>
        </is>
      </c>
      <c r="K897" s="36" t="inlineStr">
        <is>
          <t>2nd</t>
        </is>
      </c>
      <c r="L897" s="18" t="n">
        <v>1535</v>
      </c>
      <c r="M897" s="20" t="n">
        <v>4.94</v>
      </c>
      <c r="N897" s="18">
        <f>ROUND(L897/M897, 0)</f>
        <v/>
      </c>
      <c r="O897" s="18">
        <f>ROUND(N897*'Methodology &amp; Assumptions'!$B$8, 0)</f>
        <v/>
      </c>
      <c r="P897" s="8" t="inlineStr">
        <is>
          <t>Band n50 (1.5 GHz, 60 MHz)</t>
        </is>
      </c>
      <c r="Q897" s="38">
        <f>ROUNDUP(O897/'Methodology &amp; Assumptions'!$B$9, 0)</f>
        <v/>
      </c>
      <c r="R897" s="39" t="n">
        <v>1</v>
      </c>
      <c r="S897" s="21" t="n">
        <v>0.46</v>
      </c>
      <c r="T897" s="21" t="n">
        <v>0.14</v>
      </c>
      <c r="U897" s="36" t="inlineStr">
        <is>
          <t>Tier 1A (Direct Coloc, &lt;1 km)</t>
        </is>
      </c>
      <c r="V897" s="20" t="n">
        <v>95.7</v>
      </c>
      <c r="W897" s="20" t="n">
        <v>48.8</v>
      </c>
      <c r="X897" s="20" t="n">
        <v>58</v>
      </c>
      <c r="Y897" s="40">
        <f>ROUND((V897*'Methodology &amp; Assumptions'!$B$6)+(W897*'Methodology &amp; Assumptions'!$B$5)+(X897*'Methodology &amp; Assumptions'!$B$7), 2)</f>
        <v/>
      </c>
    </row>
    <row r="898" ht="19" customHeight="1">
      <c r="A898" s="41" t="n">
        <v>894</v>
      </c>
      <c r="B898" s="41" t="n">
        <v>2894</v>
      </c>
      <c r="C898" s="42" t="inlineStr">
        <is>
          <t>0300807020</t>
        </is>
      </c>
      <c r="D898" s="42" t="inlineStr">
        <is>
          <t>Region III (Central Luzon)</t>
        </is>
      </c>
      <c r="E898" s="42" t="inlineStr">
        <is>
          <t>Bataan</t>
        </is>
      </c>
      <c r="F898" s="42" t="inlineStr">
        <is>
          <t>Mariveles</t>
        </is>
      </c>
      <c r="G898" s="42" t="inlineStr">
        <is>
          <t>Townsite</t>
        </is>
      </c>
      <c r="H898" s="43" t="n">
        <v>14.559595</v>
      </c>
      <c r="I898" s="43" t="n">
        <v>120.593375</v>
      </c>
      <c r="J898" s="44" t="inlineStr">
        <is>
          <t>U</t>
        </is>
      </c>
      <c r="K898" s="42" t="inlineStr">
        <is>
          <t>Class 1-3 / Urban</t>
        </is>
      </c>
      <c r="L898" s="23" t="n">
        <v>7203</v>
      </c>
      <c r="M898" s="24" t="n">
        <v>4.57</v>
      </c>
      <c r="N898" s="23">
        <f>ROUND(L898/M898, 0)</f>
        <v/>
      </c>
      <c r="O898" s="23">
        <f>ROUND(N898*'Methodology &amp; Assumptions'!$B$8, 0)</f>
        <v/>
      </c>
      <c r="P898" s="44" t="inlineStr">
        <is>
          <t>Band n50 (1.5 GHz, 60 MHz)</t>
        </is>
      </c>
      <c r="Q898" s="38">
        <f>ROUNDUP(O898/'Methodology &amp; Assumptions'!$B$9, 0)</f>
        <v/>
      </c>
      <c r="R898" s="39" t="n">
        <v>1</v>
      </c>
      <c r="S898" s="25" t="n">
        <v>1.52</v>
      </c>
      <c r="T898" s="25" t="n">
        <v>0.21</v>
      </c>
      <c r="U898" s="42" t="inlineStr">
        <is>
          <t>Tier 1B (Micro Drop, 1-3 km)</t>
        </is>
      </c>
      <c r="V898" s="24" t="n">
        <v>70.2</v>
      </c>
      <c r="W898" s="24" t="n">
        <v>100</v>
      </c>
      <c r="X898" s="24" t="n">
        <v>28</v>
      </c>
      <c r="Y898" s="45">
        <f>ROUND((V898*'Methodology &amp; Assumptions'!$B$6)+(W898*'Methodology &amp; Assumptions'!$B$5)+(X898*'Methodology &amp; Assumptions'!$B$7), 2)</f>
        <v/>
      </c>
    </row>
    <row r="899" ht="19" customHeight="1">
      <c r="A899" s="35" t="n">
        <v>895</v>
      </c>
      <c r="B899" s="35" t="n">
        <v>2895</v>
      </c>
      <c r="C899" s="36" t="inlineStr">
        <is>
          <t>0300806009</t>
        </is>
      </c>
      <c r="D899" s="36" t="inlineStr">
        <is>
          <t>Region III (Central Luzon)</t>
        </is>
      </c>
      <c r="E899" s="36" t="inlineStr">
        <is>
          <t>Bataan</t>
        </is>
      </c>
      <c r="F899" s="36" t="inlineStr">
        <is>
          <t>Limay</t>
        </is>
      </c>
      <c r="G899" s="36" t="inlineStr">
        <is>
          <t>Townsite</t>
        </is>
      </c>
      <c r="H899" s="37" t="n">
        <v>14.559595</v>
      </c>
      <c r="I899" s="37" t="n">
        <v>120.593375</v>
      </c>
      <c r="J899" s="8" t="inlineStr">
        <is>
          <t>U</t>
        </is>
      </c>
      <c r="K899" s="36" t="inlineStr">
        <is>
          <t>Class 1-3 / Urban</t>
        </is>
      </c>
      <c r="L899" s="18" t="n">
        <v>5623</v>
      </c>
      <c r="M899" s="20" t="n">
        <v>4.57</v>
      </c>
      <c r="N899" s="18">
        <f>ROUND(L899/M899, 0)</f>
        <v/>
      </c>
      <c r="O899" s="18">
        <f>ROUND(N899*'Methodology &amp; Assumptions'!$B$8, 0)</f>
        <v/>
      </c>
      <c r="P899" s="8" t="inlineStr">
        <is>
          <t>Band n50 (1.5 GHz, 60 MHz)</t>
        </is>
      </c>
      <c r="Q899" s="38">
        <f>ROUNDUP(O899/'Methodology &amp; Assumptions'!$B$9, 0)</f>
        <v/>
      </c>
      <c r="R899" s="39" t="n">
        <v>1</v>
      </c>
      <c r="S899" s="21" t="n">
        <v>1.52</v>
      </c>
      <c r="T899" s="21" t="n">
        <v>0.21</v>
      </c>
      <c r="U899" s="36" t="inlineStr">
        <is>
          <t>Tier 1B (Micro Drop, 1-3 km)</t>
        </is>
      </c>
      <c r="V899" s="20" t="n">
        <v>70.2</v>
      </c>
      <c r="W899" s="20" t="n">
        <v>100</v>
      </c>
      <c r="X899" s="20" t="n">
        <v>28</v>
      </c>
      <c r="Y899" s="40">
        <f>ROUND((V899*'Methodology &amp; Assumptions'!$B$6)+(W899*'Methodology &amp; Assumptions'!$B$5)+(X899*'Methodology &amp; Assumptions'!$B$7), 2)</f>
        <v/>
      </c>
    </row>
    <row r="900" ht="19" customHeight="1">
      <c r="A900" s="41" t="n">
        <v>896</v>
      </c>
      <c r="B900" s="41" t="n">
        <v>2896</v>
      </c>
      <c r="C900" s="42" t="inlineStr">
        <is>
          <t>0203106008</t>
        </is>
      </c>
      <c r="D900" s="42" t="inlineStr">
        <is>
          <t>Region II (Cagayan Valley)</t>
        </is>
      </c>
      <c r="E900" s="42" t="inlineStr">
        <is>
          <t>Isabela</t>
        </is>
      </c>
      <c r="F900" s="42" t="inlineStr">
        <is>
          <t>Cabagan</t>
        </is>
      </c>
      <c r="G900" s="42" t="inlineStr">
        <is>
          <t>Catabayungan</t>
        </is>
      </c>
      <c r="H900" s="43" t="n">
        <v>17.432159</v>
      </c>
      <c r="I900" s="43" t="n">
        <v>121.759194</v>
      </c>
      <c r="J900" s="44" t="inlineStr">
        <is>
          <t>U</t>
        </is>
      </c>
      <c r="K900" s="42" t="inlineStr">
        <is>
          <t>Class 1-3 / Urban</t>
        </is>
      </c>
      <c r="L900" s="23" t="n">
        <v>5373</v>
      </c>
      <c r="M900" s="24" t="n">
        <v>4.3</v>
      </c>
      <c r="N900" s="23">
        <f>ROUND(L900/M900, 0)</f>
        <v/>
      </c>
      <c r="O900" s="23">
        <f>ROUND(N900*'Methodology &amp; Assumptions'!$B$8, 0)</f>
        <v/>
      </c>
      <c r="P900" s="44" t="inlineStr">
        <is>
          <t>Band n50 (1.5 GHz, 60 MHz)</t>
        </is>
      </c>
      <c r="Q900" s="38">
        <f>ROUNDUP(O900/'Methodology &amp; Assumptions'!$B$9, 0)</f>
        <v/>
      </c>
      <c r="R900" s="39" t="n">
        <v>1</v>
      </c>
      <c r="S900" s="25" t="n">
        <v>1.52</v>
      </c>
      <c r="T900" s="25" t="n">
        <v>1.5</v>
      </c>
      <c r="U900" s="42" t="inlineStr">
        <is>
          <t>Tier 1B (Micro Drop, 1-3 km)</t>
        </is>
      </c>
      <c r="V900" s="24" t="n">
        <v>70.2</v>
      </c>
      <c r="W900" s="24" t="n">
        <v>100</v>
      </c>
      <c r="X900" s="24" t="n">
        <v>28</v>
      </c>
      <c r="Y900" s="45">
        <f>ROUND((V900*'Methodology &amp; Assumptions'!$B$6)+(W900*'Methodology &amp; Assumptions'!$B$5)+(X900*'Methodology &amp; Assumptions'!$B$7), 2)</f>
        <v/>
      </c>
    </row>
    <row r="901" ht="19" customHeight="1">
      <c r="A901" s="35" t="n">
        <v>897</v>
      </c>
      <c r="B901" s="35" t="n">
        <v>2897</v>
      </c>
      <c r="C901" s="36" t="inlineStr">
        <is>
          <t>0702219012</t>
        </is>
      </c>
      <c r="D901" s="36" t="inlineStr">
        <is>
          <t>Region VII (Central Visayas)</t>
        </is>
      </c>
      <c r="E901" s="36" t="inlineStr">
        <is>
          <t>Cebu</t>
        </is>
      </c>
      <c r="F901" s="36" t="inlineStr">
        <is>
          <t>Consolacion</t>
        </is>
      </c>
      <c r="G901" s="36" t="inlineStr">
        <is>
          <t>Pitogo</t>
        </is>
      </c>
      <c r="H901" s="37" t="n">
        <v>10.382561</v>
      </c>
      <c r="I901" s="37" t="n">
        <v>123.971257</v>
      </c>
      <c r="J901" s="8" t="inlineStr">
        <is>
          <t>U</t>
        </is>
      </c>
      <c r="K901" s="36" t="inlineStr">
        <is>
          <t>Class 1-3 / Urban</t>
        </is>
      </c>
      <c r="L901" s="18" t="n">
        <v>4295</v>
      </c>
      <c r="M901" s="20" t="n">
        <v>4.42</v>
      </c>
      <c r="N901" s="18">
        <f>ROUND(L901/M901, 0)</f>
        <v/>
      </c>
      <c r="O901" s="18">
        <f>ROUND(N901*'Methodology &amp; Assumptions'!$B$8, 0)</f>
        <v/>
      </c>
      <c r="P901" s="8" t="inlineStr">
        <is>
          <t>Band n50 (1.5 GHz, 60 MHz)</t>
        </is>
      </c>
      <c r="Q901" s="38">
        <f>ROUNDUP(O901/'Methodology &amp; Assumptions'!$B$9, 0)</f>
        <v/>
      </c>
      <c r="R901" s="39" t="n">
        <v>1</v>
      </c>
      <c r="S901" s="21" t="n">
        <v>1.52</v>
      </c>
      <c r="T901" s="21" t="n">
        <v>0.17</v>
      </c>
      <c r="U901" s="36" t="inlineStr">
        <is>
          <t>Tier 1B (Micro Drop, 1-3 km)</t>
        </is>
      </c>
      <c r="V901" s="20" t="n">
        <v>70.2</v>
      </c>
      <c r="W901" s="20" t="n">
        <v>100</v>
      </c>
      <c r="X901" s="20" t="n">
        <v>28</v>
      </c>
      <c r="Y901" s="40">
        <f>ROUND((V901*'Methodology &amp; Assumptions'!$B$6)+(W901*'Methodology &amp; Assumptions'!$B$5)+(X901*'Methodology &amp; Assumptions'!$B$7), 2)</f>
        <v/>
      </c>
    </row>
    <row r="902" ht="19" customHeight="1">
      <c r="A902" s="41" t="n">
        <v>898</v>
      </c>
      <c r="B902" s="41" t="n">
        <v>2898</v>
      </c>
      <c r="C902" s="42" t="inlineStr">
        <is>
          <t>0105538026</t>
        </is>
      </c>
      <c r="D902" s="42" t="inlineStr">
        <is>
          <t>Region I (Ilocos Region)</t>
        </is>
      </c>
      <c r="E902" s="42" t="inlineStr">
        <is>
          <t>Pangasinan</t>
        </is>
      </c>
      <c r="F902" s="42" t="inlineStr">
        <is>
          <t>Santa Barbara</t>
        </is>
      </c>
      <c r="G902" s="42" t="inlineStr">
        <is>
          <t>Tebag West</t>
        </is>
      </c>
      <c r="H902" s="43" t="n">
        <v>15.982063</v>
      </c>
      <c r="I902" s="43" t="n">
        <v>120.460064</v>
      </c>
      <c r="J902" s="44" t="inlineStr">
        <is>
          <t>U</t>
        </is>
      </c>
      <c r="K902" s="42" t="inlineStr">
        <is>
          <t>Class 1-3 / Urban</t>
        </is>
      </c>
      <c r="L902" s="23" t="n">
        <v>2538</v>
      </c>
      <c r="M902" s="24" t="n">
        <v>4.39</v>
      </c>
      <c r="N902" s="23">
        <f>ROUND(L902/M902, 0)</f>
        <v/>
      </c>
      <c r="O902" s="23">
        <f>ROUND(N902*'Methodology &amp; Assumptions'!$B$8, 0)</f>
        <v/>
      </c>
      <c r="P902" s="44" t="inlineStr">
        <is>
          <t>Band n50 (1.5 GHz, 60 MHz)</t>
        </is>
      </c>
      <c r="Q902" s="38">
        <f>ROUNDUP(O902/'Methodology &amp; Assumptions'!$B$9, 0)</f>
        <v/>
      </c>
      <c r="R902" s="39" t="n">
        <v>1</v>
      </c>
      <c r="S902" s="25" t="n">
        <v>0.17</v>
      </c>
      <c r="T902" s="25" t="n">
        <v>0.16</v>
      </c>
      <c r="U902" s="42" t="inlineStr">
        <is>
          <t>Tier 1A (Direct Coloc, &lt;1 km)</t>
        </is>
      </c>
      <c r="V902" s="24" t="n">
        <v>100</v>
      </c>
      <c r="W902" s="24" t="n">
        <v>70.09999999999999</v>
      </c>
      <c r="X902" s="24" t="n">
        <v>28</v>
      </c>
      <c r="Y902" s="45">
        <f>ROUND((V902*'Methodology &amp; Assumptions'!$B$6)+(W902*'Methodology &amp; Assumptions'!$B$5)+(X902*'Methodology &amp; Assumptions'!$B$7), 2)</f>
        <v/>
      </c>
    </row>
    <row r="903" ht="19" customHeight="1">
      <c r="A903" s="35" t="n">
        <v>899</v>
      </c>
      <c r="B903" s="35" t="n">
        <v>2899</v>
      </c>
      <c r="C903" s="36" t="inlineStr">
        <is>
          <t>0600613006</t>
        </is>
      </c>
      <c r="D903" s="36" t="inlineStr">
        <is>
          <t>Region VI (Western Visayas)</t>
        </is>
      </c>
      <c r="E903" s="36" t="inlineStr">
        <is>
          <t>Antique</t>
        </is>
      </c>
      <c r="F903" s="36" t="inlineStr">
        <is>
          <t>San Jose</t>
        </is>
      </c>
      <c r="G903" s="36" t="inlineStr">
        <is>
          <t>Barangay 4</t>
        </is>
      </c>
      <c r="H903" s="37" t="n">
        <v>10.7411</v>
      </c>
      <c r="I903" s="37" t="n">
        <v>121.9384</v>
      </c>
      <c r="J903" s="8" t="inlineStr">
        <is>
          <t>R</t>
        </is>
      </c>
      <c r="K903" s="36" t="inlineStr">
        <is>
          <t>Class 1-3 / Urban</t>
        </is>
      </c>
      <c r="L903" s="18" t="n">
        <v>2884</v>
      </c>
      <c r="M903" s="20" t="n">
        <v>4.43</v>
      </c>
      <c r="N903" s="18">
        <f>ROUND(L903/M903, 0)</f>
        <v/>
      </c>
      <c r="O903" s="18">
        <f>ROUND(N903*'Methodology &amp; Assumptions'!$B$8, 0)</f>
        <v/>
      </c>
      <c r="P903" s="8" t="inlineStr">
        <is>
          <t>Band n50 (1.5 GHz, 60 MHz)</t>
        </is>
      </c>
      <c r="Q903" s="38">
        <f>ROUNDUP(O903/'Methodology &amp; Assumptions'!$B$9, 0)</f>
        <v/>
      </c>
      <c r="R903" s="39" t="n">
        <v>1</v>
      </c>
      <c r="S903" s="21" t="n">
        <v>2.36</v>
      </c>
      <c r="T903" s="21" t="n">
        <v>0.47</v>
      </c>
      <c r="U903" s="36" t="inlineStr">
        <is>
          <t>Tier 1B (Micro Drop, 1-3 km)</t>
        </is>
      </c>
      <c r="V903" s="20" t="n">
        <v>55.6</v>
      </c>
      <c r="W903" s="20" t="n">
        <v>76</v>
      </c>
      <c r="X903" s="20" t="n">
        <v>73</v>
      </c>
      <c r="Y903" s="40">
        <f>ROUND((V903*'Methodology &amp; Assumptions'!$B$6)+(W903*'Methodology &amp; Assumptions'!$B$5)+(X903*'Methodology &amp; Assumptions'!$B$7), 2)</f>
        <v/>
      </c>
    </row>
    <row r="904" ht="19" customHeight="1">
      <c r="A904" s="41" t="n">
        <v>900</v>
      </c>
      <c r="B904" s="41" t="n">
        <v>2900</v>
      </c>
      <c r="C904" s="42" t="inlineStr">
        <is>
          <t>0501706029</t>
        </is>
      </c>
      <c r="D904" s="42" t="inlineStr">
        <is>
          <t>Region V (Bicol Region)</t>
        </is>
      </c>
      <c r="E904" s="42" t="inlineStr">
        <is>
          <t>Camarines Sur</t>
        </is>
      </c>
      <c r="F904" s="42" t="inlineStr">
        <is>
          <t>Bula</t>
        </is>
      </c>
      <c r="G904" s="42" t="inlineStr">
        <is>
          <t>San Roque</t>
        </is>
      </c>
      <c r="H904" s="43" t="n">
        <v>13.467026</v>
      </c>
      <c r="I904" s="43" t="n">
        <v>123.27476</v>
      </c>
      <c r="J904" s="44" t="inlineStr">
        <is>
          <t>R</t>
        </is>
      </c>
      <c r="K904" s="42" t="inlineStr">
        <is>
          <t>Class 1-3 / Urban</t>
        </is>
      </c>
      <c r="L904" s="23" t="n">
        <v>2446</v>
      </c>
      <c r="M904" s="24" t="n">
        <v>4.9</v>
      </c>
      <c r="N904" s="23">
        <f>ROUND(L904/M904, 0)</f>
        <v/>
      </c>
      <c r="O904" s="23">
        <f>ROUND(N904*'Methodology &amp; Assumptions'!$B$8, 0)</f>
        <v/>
      </c>
      <c r="P904" s="44" t="inlineStr">
        <is>
          <t>Band n50 (1.5 GHz, 60 MHz)</t>
        </is>
      </c>
      <c r="Q904" s="38">
        <f>ROUNDUP(O904/'Methodology &amp; Assumptions'!$B$9, 0)</f>
        <v/>
      </c>
      <c r="R904" s="39" t="n">
        <v>1</v>
      </c>
      <c r="S904" s="25" t="n">
        <v>0.65</v>
      </c>
      <c r="T904" s="25" t="n">
        <v>5.69</v>
      </c>
      <c r="U904" s="42" t="inlineStr">
        <is>
          <t>Tier 1A (Direct Coloc, &lt;1 km)</t>
        </is>
      </c>
      <c r="V904" s="24" t="n">
        <v>80.40000000000001</v>
      </c>
      <c r="W904" s="24" t="n">
        <v>64</v>
      </c>
      <c r="X904" s="24" t="n">
        <v>58</v>
      </c>
      <c r="Y904" s="45">
        <f>ROUND((V904*'Methodology &amp; Assumptions'!$B$6)+(W904*'Methodology &amp; Assumptions'!$B$5)+(X904*'Methodology &amp; Assumptions'!$B$7), 2)</f>
        <v/>
      </c>
    </row>
    <row r="905" ht="19" customHeight="1">
      <c r="A905" s="35" t="n">
        <v>901</v>
      </c>
      <c r="B905" s="35" t="n">
        <v>2901</v>
      </c>
      <c r="C905" s="36" t="inlineStr">
        <is>
          <t>0501717002</t>
        </is>
      </c>
      <c r="D905" s="36" t="inlineStr">
        <is>
          <t>Region V (Bicol Region)</t>
        </is>
      </c>
      <c r="E905" s="36" t="inlineStr">
        <is>
          <t>Camarines Sur</t>
        </is>
      </c>
      <c r="F905" s="36" t="inlineStr">
        <is>
          <t>Lagonoy</t>
        </is>
      </c>
      <c r="G905" s="36" t="inlineStr">
        <is>
          <t>Agpo-Camagong-Tabog</t>
        </is>
      </c>
      <c r="H905" s="37" t="n">
        <v>13.726661</v>
      </c>
      <c r="I905" s="37" t="n">
        <v>123.523101</v>
      </c>
      <c r="J905" s="8" t="inlineStr">
        <is>
          <t>R</t>
        </is>
      </c>
      <c r="K905" s="36" t="inlineStr">
        <is>
          <t>Class 1-3 / Urban</t>
        </is>
      </c>
      <c r="L905" s="18" t="n">
        <v>2332</v>
      </c>
      <c r="M905" s="20" t="n">
        <v>4.9</v>
      </c>
      <c r="N905" s="18">
        <f>ROUND(L905/M905, 0)</f>
        <v/>
      </c>
      <c r="O905" s="18">
        <f>ROUND(N905*'Methodology &amp; Assumptions'!$B$8, 0)</f>
        <v/>
      </c>
      <c r="P905" s="8" t="inlineStr">
        <is>
          <t>Band n50 (1.5 GHz, 60 MHz)</t>
        </is>
      </c>
      <c r="Q905" s="38">
        <f>ROUNDUP(O905/'Methodology &amp; Assumptions'!$B$9, 0)</f>
        <v/>
      </c>
      <c r="R905" s="39" t="n">
        <v>1</v>
      </c>
      <c r="S905" s="21" t="n">
        <v>0.59</v>
      </c>
      <c r="T905" s="21" t="n">
        <v>5.2</v>
      </c>
      <c r="U905" s="36" t="inlineStr">
        <is>
          <t>Tier 1A (Direct Coloc, &lt;1 km)</t>
        </is>
      </c>
      <c r="V905" s="20" t="n">
        <v>82.3</v>
      </c>
      <c r="W905" s="20" t="n">
        <v>62.1</v>
      </c>
      <c r="X905" s="20" t="n">
        <v>58</v>
      </c>
      <c r="Y905" s="40">
        <f>ROUND((V905*'Methodology &amp; Assumptions'!$B$6)+(W905*'Methodology &amp; Assumptions'!$B$5)+(X905*'Methodology &amp; Assumptions'!$B$7), 2)</f>
        <v/>
      </c>
    </row>
    <row r="906" ht="19" customHeight="1">
      <c r="A906" s="41" t="n">
        <v>902</v>
      </c>
      <c r="B906" s="41" t="n">
        <v>2902</v>
      </c>
      <c r="C906" s="42" t="inlineStr">
        <is>
          <t>0506211018</t>
        </is>
      </c>
      <c r="D906" s="42" t="inlineStr">
        <is>
          <t>Region V (Bicol Region)</t>
        </is>
      </c>
      <c r="E906" s="42" t="inlineStr">
        <is>
          <t>Sorsogon</t>
        </is>
      </c>
      <c r="F906" s="42" t="inlineStr">
        <is>
          <t>Magallanes</t>
        </is>
      </c>
      <c r="G906" s="42" t="inlineStr">
        <is>
          <t>Cawit Proper</t>
        </is>
      </c>
      <c r="H906" s="43" t="n">
        <v>12.824737</v>
      </c>
      <c r="I906" s="43" t="n">
        <v>123.838924</v>
      </c>
      <c r="J906" s="44" t="inlineStr">
        <is>
          <t>R</t>
        </is>
      </c>
      <c r="K906" s="42" t="inlineStr">
        <is>
          <t>Class 1-3 / Urban</t>
        </is>
      </c>
      <c r="L906" s="23" t="n">
        <v>1211</v>
      </c>
      <c r="M906" s="24" t="n">
        <v>4.58</v>
      </c>
      <c r="N906" s="23">
        <f>ROUND(L906/M906, 0)</f>
        <v/>
      </c>
      <c r="O906" s="23">
        <f>ROUND(N906*'Methodology &amp; Assumptions'!$B$8, 0)</f>
        <v/>
      </c>
      <c r="P906" s="44" t="inlineStr">
        <is>
          <t>Band n50 (1.5 GHz, 60 MHz)</t>
        </is>
      </c>
      <c r="Q906" s="38">
        <f>ROUNDUP(O906/'Methodology &amp; Assumptions'!$B$9, 0)</f>
        <v/>
      </c>
      <c r="R906" s="39" t="n">
        <v>1</v>
      </c>
      <c r="S906" s="25" t="n">
        <v>0.34</v>
      </c>
      <c r="T906" s="25" t="n">
        <v>0.28</v>
      </c>
      <c r="U906" s="42" t="inlineStr">
        <is>
          <t>Tier 1A (Direct Coloc, &lt;1 km)</t>
        </is>
      </c>
      <c r="V906" s="24" t="n">
        <v>99.3</v>
      </c>
      <c r="W906" s="24" t="n">
        <v>45.1</v>
      </c>
      <c r="X906" s="24" t="n">
        <v>58</v>
      </c>
      <c r="Y906" s="45">
        <f>ROUND((V906*'Methodology &amp; Assumptions'!$B$6)+(W906*'Methodology &amp; Assumptions'!$B$5)+(X906*'Methodology &amp; Assumptions'!$B$7), 2)</f>
        <v/>
      </c>
    </row>
    <row r="907" ht="19" customHeight="1">
      <c r="A907" s="35" t="n">
        <v>903</v>
      </c>
      <c r="B907" s="35" t="n">
        <v>2903</v>
      </c>
      <c r="C907" s="36" t="inlineStr">
        <is>
          <t>0301408009</t>
        </is>
      </c>
      <c r="D907" s="36" t="inlineStr">
        <is>
          <t>Region III (Central Luzon)</t>
        </is>
      </c>
      <c r="E907" s="36" t="inlineStr">
        <is>
          <t>Bulacan</t>
        </is>
      </c>
      <c r="F907" s="36" t="inlineStr">
        <is>
          <t>Guiguinto</t>
        </is>
      </c>
      <c r="G907" s="36" t="inlineStr">
        <is>
          <t>Santa Cruz</t>
        </is>
      </c>
      <c r="H907" s="37" t="n">
        <v>14.84247</v>
      </c>
      <c r="I907" s="37" t="n">
        <v>120.87051</v>
      </c>
      <c r="J907" s="8" t="inlineStr">
        <is>
          <t>U</t>
        </is>
      </c>
      <c r="K907" s="36" t="inlineStr">
        <is>
          <t>Class 1-3 / Urban</t>
        </is>
      </c>
      <c r="L907" s="18" t="n">
        <v>11739</v>
      </c>
      <c r="M907" s="20" t="n">
        <v>4.1</v>
      </c>
      <c r="N907" s="18">
        <f>ROUND(L907/M907, 0)</f>
        <v/>
      </c>
      <c r="O907" s="18">
        <f>ROUND(N907*'Methodology &amp; Assumptions'!$B$8, 0)</f>
        <v/>
      </c>
      <c r="P907" s="8" t="inlineStr">
        <is>
          <t>Band n50 (1.5 GHz, 60 MHz)</t>
        </is>
      </c>
      <c r="Q907" s="38">
        <f>ROUNDUP(O907/'Methodology &amp; Assumptions'!$B$9, 0)</f>
        <v/>
      </c>
      <c r="R907" s="39" t="n">
        <v>1</v>
      </c>
      <c r="S907" s="21" t="n">
        <v>1.53</v>
      </c>
      <c r="T907" s="21" t="n">
        <v>0.97</v>
      </c>
      <c r="U907" s="36" t="inlineStr">
        <is>
          <t>Tier 1B (Micro Drop, 1-3 km)</t>
        </is>
      </c>
      <c r="V907" s="20" t="n">
        <v>70.09999999999999</v>
      </c>
      <c r="W907" s="20" t="n">
        <v>100</v>
      </c>
      <c r="X907" s="20" t="n">
        <v>28</v>
      </c>
      <c r="Y907" s="40">
        <f>ROUND((V907*'Methodology &amp; Assumptions'!$B$6)+(W907*'Methodology &amp; Assumptions'!$B$5)+(X907*'Methodology &amp; Assumptions'!$B$7), 2)</f>
        <v/>
      </c>
    </row>
    <row r="908" ht="19" customHeight="1">
      <c r="A908" s="41" t="n">
        <v>904</v>
      </c>
      <c r="B908" s="41" t="n">
        <v>2904</v>
      </c>
      <c r="C908" s="42" t="inlineStr">
        <is>
          <t>0401029006</t>
        </is>
      </c>
      <c r="D908" s="42" t="inlineStr">
        <is>
          <t>Region IV-A (CALABARZON)</t>
        </is>
      </c>
      <c r="E908" s="42" t="inlineStr">
        <is>
          <t>Batangas</t>
        </is>
      </c>
      <c r="F908" s="42" t="inlineStr">
        <is>
          <t>Taal</t>
        </is>
      </c>
      <c r="G908" s="42" t="inlineStr">
        <is>
          <t>Butong</t>
        </is>
      </c>
      <c r="H908" s="43" t="n">
        <v>13.866232</v>
      </c>
      <c r="I908" s="43" t="n">
        <v>120.916109</v>
      </c>
      <c r="J908" s="44" t="inlineStr">
        <is>
          <t>U</t>
        </is>
      </c>
      <c r="K908" s="42" t="inlineStr">
        <is>
          <t>Class 1-3 / Urban</t>
        </is>
      </c>
      <c r="L908" s="23" t="n">
        <v>5335</v>
      </c>
      <c r="M908" s="24" t="n">
        <v>4.62</v>
      </c>
      <c r="N908" s="23">
        <f>ROUND(L908/M908, 0)</f>
        <v/>
      </c>
      <c r="O908" s="23">
        <f>ROUND(N908*'Methodology &amp; Assumptions'!$B$8, 0)</f>
        <v/>
      </c>
      <c r="P908" s="44" t="inlineStr">
        <is>
          <t>Band n50 (1.5 GHz, 60 MHz)</t>
        </is>
      </c>
      <c r="Q908" s="38">
        <f>ROUNDUP(O908/'Methodology &amp; Assumptions'!$B$9, 0)</f>
        <v/>
      </c>
      <c r="R908" s="39" t="n">
        <v>1</v>
      </c>
      <c r="S908" s="25" t="n">
        <v>1.07</v>
      </c>
      <c r="T908" s="25" t="n">
        <v>3.31</v>
      </c>
      <c r="U908" s="42" t="inlineStr">
        <is>
          <t>Tier 1B (Micro Drop, 1-3 km)</t>
        </is>
      </c>
      <c r="V908" s="24" t="n">
        <v>70.09999999999999</v>
      </c>
      <c r="W908" s="24" t="n">
        <v>100</v>
      </c>
      <c r="X908" s="24" t="n">
        <v>28</v>
      </c>
      <c r="Y908" s="45">
        <f>ROUND((V908*'Methodology &amp; Assumptions'!$B$6)+(W908*'Methodology &amp; Assumptions'!$B$5)+(X908*'Methodology &amp; Assumptions'!$B$7), 2)</f>
        <v/>
      </c>
    </row>
    <row r="909" ht="19" customHeight="1">
      <c r="A909" s="35" t="n">
        <v>905</v>
      </c>
      <c r="B909" s="35" t="n">
        <v>2905</v>
      </c>
      <c r="C909" s="36" t="inlineStr">
        <is>
          <t>0405637019</t>
        </is>
      </c>
      <c r="D909" s="36" t="inlineStr">
        <is>
          <t>Region IV-A (CALABARZON)</t>
        </is>
      </c>
      <c r="E909" s="36" t="inlineStr">
        <is>
          <t>Quezon</t>
        </is>
      </c>
      <c r="F909" s="36" t="inlineStr">
        <is>
          <t>Quezon</t>
        </is>
      </c>
      <c r="G909" s="36" t="inlineStr">
        <is>
          <t>Silangan</t>
        </is>
      </c>
      <c r="H909" s="37" t="n">
        <v>14.629</v>
      </c>
      <c r="I909" s="37" t="n">
        <v>121.0561</v>
      </c>
      <c r="J909" s="8" t="inlineStr">
        <is>
          <t>R</t>
        </is>
      </c>
      <c r="K909" s="36" t="inlineStr">
        <is>
          <t>4th</t>
        </is>
      </c>
      <c r="L909" s="18" t="n">
        <v>899</v>
      </c>
      <c r="M909" s="20" t="n">
        <v>4.13</v>
      </c>
      <c r="N909" s="18">
        <f>ROUND(L909/M909, 0)</f>
        <v/>
      </c>
      <c r="O909" s="18">
        <f>ROUND(N909*'Methodology &amp; Assumptions'!$B$8, 0)</f>
        <v/>
      </c>
      <c r="P909" s="8" t="inlineStr">
        <is>
          <t>Band n50 (1.5 GHz, 60 MHz)</t>
        </is>
      </c>
      <c r="Q909" s="38">
        <f>ROUNDUP(O909/'Methodology &amp; Assumptions'!$B$9, 0)</f>
        <v/>
      </c>
      <c r="R909" s="39" t="n">
        <v>1</v>
      </c>
      <c r="S909" s="21" t="n">
        <v>1.02</v>
      </c>
      <c r="T909" s="21" t="n">
        <v>0.45</v>
      </c>
      <c r="U909" s="36" t="inlineStr">
        <is>
          <t>Tier 1B (Micro Drop, 1-3 km)</t>
        </is>
      </c>
      <c r="V909" s="20" t="n">
        <v>81.2</v>
      </c>
      <c r="W909" s="20" t="n">
        <v>41.3</v>
      </c>
      <c r="X909" s="20" t="n">
        <v>83.5</v>
      </c>
      <c r="Y909" s="40">
        <f>ROUND((V909*'Methodology &amp; Assumptions'!$B$6)+(W909*'Methodology &amp; Assumptions'!$B$5)+(X909*'Methodology &amp; Assumptions'!$B$7), 2)</f>
        <v/>
      </c>
    </row>
    <row r="910" ht="19" customHeight="1">
      <c r="A910" s="41" t="n">
        <v>906</v>
      </c>
      <c r="B910" s="41" t="n">
        <v>2906</v>
      </c>
      <c r="C910" s="42" t="inlineStr">
        <is>
          <t>0401004008</t>
        </is>
      </c>
      <c r="D910" s="42" t="inlineStr">
        <is>
          <t>Region IV-A (CALABARZON)</t>
        </is>
      </c>
      <c r="E910" s="42" t="inlineStr">
        <is>
          <t>Batangas</t>
        </is>
      </c>
      <c r="F910" s="42" t="inlineStr">
        <is>
          <t>Balete</t>
        </is>
      </c>
      <c r="G910" s="42" t="inlineStr">
        <is>
          <t>Palsara</t>
        </is>
      </c>
      <c r="H910" s="43" t="n">
        <v>14.014316</v>
      </c>
      <c r="I910" s="43" t="n">
        <v>121.096272</v>
      </c>
      <c r="J910" s="44" t="inlineStr">
        <is>
          <t>R</t>
        </is>
      </c>
      <c r="K910" s="42" t="inlineStr">
        <is>
          <t>4th</t>
        </is>
      </c>
      <c r="L910" s="23" t="n">
        <v>1431</v>
      </c>
      <c r="M910" s="24" t="n">
        <v>4.78</v>
      </c>
      <c r="N910" s="23">
        <f>ROUND(L910/M910, 0)</f>
        <v/>
      </c>
      <c r="O910" s="23">
        <f>ROUND(N910*'Methodology &amp; Assumptions'!$B$8, 0)</f>
        <v/>
      </c>
      <c r="P910" s="44" t="inlineStr">
        <is>
          <t>Band n50 (1.5 GHz, 60 MHz)</t>
        </is>
      </c>
      <c r="Q910" s="38">
        <f>ROUNDUP(O910/'Methodology &amp; Assumptions'!$B$9, 0)</f>
        <v/>
      </c>
      <c r="R910" s="39" t="n">
        <v>1</v>
      </c>
      <c r="S910" s="25" t="n">
        <v>0.41</v>
      </c>
      <c r="T910" s="25" t="n">
        <v>7.13</v>
      </c>
      <c r="U910" s="42" t="inlineStr">
        <is>
          <t>Tier 1A (Direct Coloc, &lt;1 km)</t>
        </is>
      </c>
      <c r="V910" s="24" t="n">
        <v>87.3</v>
      </c>
      <c r="W910" s="24" t="n">
        <v>48</v>
      </c>
      <c r="X910" s="24" t="n">
        <v>68.5</v>
      </c>
      <c r="Y910" s="45">
        <f>ROUND((V910*'Methodology &amp; Assumptions'!$B$6)+(W910*'Methodology &amp; Assumptions'!$B$5)+(X910*'Methodology &amp; Assumptions'!$B$7), 2)</f>
        <v/>
      </c>
    </row>
    <row r="911" ht="19" customHeight="1">
      <c r="A911" s="35" t="n">
        <v>907</v>
      </c>
      <c r="B911" s="35" t="n">
        <v>2907</v>
      </c>
      <c r="C911" s="36" t="inlineStr">
        <is>
          <t>0305411014</t>
        </is>
      </c>
      <c r="D911" s="36" t="inlineStr">
        <is>
          <t>Region III (Central Luzon)</t>
        </is>
      </c>
      <c r="E911" s="36" t="inlineStr">
        <is>
          <t>Pampanga</t>
        </is>
      </c>
      <c r="F911" s="36" t="inlineStr">
        <is>
          <t>Magalang</t>
        </is>
      </c>
      <c r="G911" s="36" t="inlineStr">
        <is>
          <t>San Nicolas 2nd</t>
        </is>
      </c>
      <c r="H911" s="37" t="n">
        <v>15.215653</v>
      </c>
      <c r="I911" s="37" t="n">
        <v>120.667378</v>
      </c>
      <c r="J911" s="8" t="inlineStr">
        <is>
          <t>R</t>
        </is>
      </c>
      <c r="K911" s="36" t="inlineStr">
        <is>
          <t>Class 1-3 / Urban</t>
        </is>
      </c>
      <c r="L911" s="18" t="n">
        <v>4288</v>
      </c>
      <c r="M911" s="20" t="n">
        <v>4.63</v>
      </c>
      <c r="N911" s="18">
        <f>ROUND(L911/M911, 0)</f>
        <v/>
      </c>
      <c r="O911" s="18">
        <f>ROUND(N911*'Methodology &amp; Assumptions'!$B$8, 0)</f>
        <v/>
      </c>
      <c r="P911" s="8" t="inlineStr">
        <is>
          <t>Band n50 (1.5 GHz, 60 MHz)</t>
        </is>
      </c>
      <c r="Q911" s="38">
        <f>ROUNDUP(O911/'Methodology &amp; Assumptions'!$B$9, 0)</f>
        <v/>
      </c>
      <c r="R911" s="39" t="n">
        <v>1</v>
      </c>
      <c r="S911" s="21" t="n">
        <v>3.05</v>
      </c>
      <c r="T911" s="21" t="n">
        <v>0.61</v>
      </c>
      <c r="U911" s="36" t="inlineStr">
        <is>
          <t>Tier 2 (Fiber Corridor / Lateral, 3-5 km)</t>
        </is>
      </c>
      <c r="V911" s="20" t="n">
        <v>46.2</v>
      </c>
      <c r="W911" s="20" t="n">
        <v>98.09999999999999</v>
      </c>
      <c r="X911" s="20" t="n">
        <v>58</v>
      </c>
      <c r="Y911" s="40">
        <f>ROUND((V911*'Methodology &amp; Assumptions'!$B$6)+(W911*'Methodology &amp; Assumptions'!$B$5)+(X911*'Methodology &amp; Assumptions'!$B$7), 2)</f>
        <v/>
      </c>
    </row>
    <row r="912" ht="19" customHeight="1">
      <c r="A912" s="41" t="n">
        <v>908</v>
      </c>
      <c r="B912" s="41" t="n">
        <v>2908</v>
      </c>
      <c r="C912" s="42" t="inlineStr">
        <is>
          <t>1403213039</t>
        </is>
      </c>
      <c r="D912" s="42" t="inlineStr">
        <is>
          <t>Cordillera Administrative Region (CAR)</t>
        </is>
      </c>
      <c r="E912" s="42" t="inlineStr">
        <is>
          <t>Kalinga</t>
        </is>
      </c>
      <c r="F912" s="42" t="inlineStr">
        <is>
          <t>City of Tabuk</t>
        </is>
      </c>
      <c r="G912" s="42" t="inlineStr">
        <is>
          <t>Malin-awa</t>
        </is>
      </c>
      <c r="H912" s="43" t="n">
        <v>17.408144</v>
      </c>
      <c r="I912" s="43" t="n">
        <v>121.444788</v>
      </c>
      <c r="J912" s="44" t="inlineStr">
        <is>
          <t>R</t>
        </is>
      </c>
      <c r="K912" s="42" t="inlineStr">
        <is>
          <t>Class 1-3 / Urban</t>
        </is>
      </c>
      <c r="L912" s="23" t="n">
        <v>2120</v>
      </c>
      <c r="M912" s="24" t="n">
        <v>5.34</v>
      </c>
      <c r="N912" s="23">
        <f>ROUND(L912/M912, 0)</f>
        <v/>
      </c>
      <c r="O912" s="23">
        <f>ROUND(N912*'Methodology &amp; Assumptions'!$B$8, 0)</f>
        <v/>
      </c>
      <c r="P912" s="44" t="inlineStr">
        <is>
          <t>Band n50 (1.5 GHz, 60 MHz)</t>
        </is>
      </c>
      <c r="Q912" s="38">
        <f>ROUNDUP(O912/'Methodology &amp; Assumptions'!$B$9, 0)</f>
        <v/>
      </c>
      <c r="R912" s="39" t="n">
        <v>1</v>
      </c>
      <c r="S912" s="25" t="n">
        <v>0.57</v>
      </c>
      <c r="T912" s="25" t="n">
        <v>0.49</v>
      </c>
      <c r="U912" s="42" t="inlineStr">
        <is>
          <t>Tier 1A (Direct Coloc, &lt;1 km)</t>
        </is>
      </c>
      <c r="V912" s="24" t="n">
        <v>92.59999999999999</v>
      </c>
      <c r="W912" s="24" t="n">
        <v>51.7</v>
      </c>
      <c r="X912" s="24" t="n">
        <v>58</v>
      </c>
      <c r="Y912" s="45">
        <f>ROUND((V912*'Methodology &amp; Assumptions'!$B$6)+(W912*'Methodology &amp; Assumptions'!$B$5)+(X912*'Methodology &amp; Assumptions'!$B$7), 2)</f>
        <v/>
      </c>
    </row>
    <row r="913" ht="19" customHeight="1">
      <c r="A913" s="35" t="n">
        <v>909</v>
      </c>
      <c r="B913" s="35" t="n">
        <v>2909</v>
      </c>
      <c r="C913" s="36" t="inlineStr">
        <is>
          <t>0103309006</t>
        </is>
      </c>
      <c r="D913" s="36" t="inlineStr">
        <is>
          <t>Region I (Ilocos Region)</t>
        </is>
      </c>
      <c r="E913" s="36" t="inlineStr">
        <is>
          <t>La Union</t>
        </is>
      </c>
      <c r="F913" s="36" t="inlineStr">
        <is>
          <t>Caba</t>
        </is>
      </c>
      <c r="G913" s="36" t="inlineStr">
        <is>
          <t>Poblacion Norte</t>
        </is>
      </c>
      <c r="H913" s="37" t="n">
        <v>16.432848</v>
      </c>
      <c r="I913" s="37" t="n">
        <v>120.343864</v>
      </c>
      <c r="J913" s="8" t="inlineStr">
        <is>
          <t>R</t>
        </is>
      </c>
      <c r="K913" s="36" t="inlineStr">
        <is>
          <t>1st</t>
        </is>
      </c>
      <c r="L913" s="18" t="n">
        <v>1346</v>
      </c>
      <c r="M913" s="20" t="n">
        <v>4.2</v>
      </c>
      <c r="N913" s="18">
        <f>ROUND(L913/M913, 0)</f>
        <v/>
      </c>
      <c r="O913" s="18">
        <f>ROUND(N913*'Methodology &amp; Assumptions'!$B$8, 0)</f>
        <v/>
      </c>
      <c r="P913" s="8" t="inlineStr">
        <is>
          <t>Band n50 (1.5 GHz, 60 MHz)</t>
        </is>
      </c>
      <c r="Q913" s="38">
        <f>ROUNDUP(O913/'Methodology &amp; Assumptions'!$B$9, 0)</f>
        <v/>
      </c>
      <c r="R913" s="39" t="n">
        <v>1</v>
      </c>
      <c r="S913" s="21" t="n">
        <v>0.5</v>
      </c>
      <c r="T913" s="21" t="n">
        <v>0.41</v>
      </c>
      <c r="U913" s="36" t="inlineStr">
        <is>
          <t>Tier 1A (Direct Coloc, &lt;1 km)</t>
        </is>
      </c>
      <c r="V913" s="20" t="n">
        <v>94.7</v>
      </c>
      <c r="W913" s="20" t="n">
        <v>49.6</v>
      </c>
      <c r="X913" s="20" t="n">
        <v>58</v>
      </c>
      <c r="Y913" s="40">
        <f>ROUND((V913*'Methodology &amp; Assumptions'!$B$6)+(W913*'Methodology &amp; Assumptions'!$B$5)+(X913*'Methodology &amp; Assumptions'!$B$7), 2)</f>
        <v/>
      </c>
    </row>
    <row r="914" ht="19" customHeight="1">
      <c r="A914" s="41" t="n">
        <v>910</v>
      </c>
      <c r="B914" s="41" t="n">
        <v>2910</v>
      </c>
      <c r="C914" s="42" t="inlineStr">
        <is>
          <t>1630400066</t>
        </is>
      </c>
      <c r="D914" s="42" t="inlineStr">
        <is>
          <t>Region XIII (Caraga)</t>
        </is>
      </c>
      <c r="E914" s="42" t="inlineStr">
        <is>
          <t>Agusan del Norte</t>
        </is>
      </c>
      <c r="F914" s="42" t="inlineStr">
        <is>
          <t>City of Butuan</t>
        </is>
      </c>
      <c r="G914" s="42" t="inlineStr">
        <is>
          <t>Maon Pob.</t>
        </is>
      </c>
      <c r="H914" s="43" t="n">
        <v>8.931680999999999</v>
      </c>
      <c r="I914" s="43" t="n">
        <v>125.544542</v>
      </c>
      <c r="J914" s="44" t="inlineStr">
        <is>
          <t>U</t>
        </is>
      </c>
      <c r="K914" s="42" t="inlineStr">
        <is>
          <t>Class 1-3 / Urban</t>
        </is>
      </c>
      <c r="L914" s="23" t="n">
        <v>5261</v>
      </c>
      <c r="M914" s="24" t="n">
        <v>4.63</v>
      </c>
      <c r="N914" s="23">
        <f>ROUND(L914/M914, 0)</f>
        <v/>
      </c>
      <c r="O914" s="23">
        <f>ROUND(N914*'Methodology &amp; Assumptions'!$B$8, 0)</f>
        <v/>
      </c>
      <c r="P914" s="44" t="inlineStr">
        <is>
          <t>Band n50 (1.5 GHz, 60 MHz)</t>
        </is>
      </c>
      <c r="Q914" s="38">
        <f>ROUNDUP(O914/'Methodology &amp; Assumptions'!$B$9, 0)</f>
        <v/>
      </c>
      <c r="R914" s="39" t="n">
        <v>1</v>
      </c>
      <c r="S914" s="25" t="n">
        <v>2.25</v>
      </c>
      <c r="T914" s="25" t="n">
        <v>0.57</v>
      </c>
      <c r="U914" s="42" t="inlineStr">
        <is>
          <t>Tier 1B (Micro Drop, 1-3 km)</t>
        </is>
      </c>
      <c r="V914" s="24" t="n">
        <v>57.2</v>
      </c>
      <c r="W914" s="24" t="n">
        <v>100</v>
      </c>
      <c r="X914" s="24" t="n">
        <v>43</v>
      </c>
      <c r="Y914" s="45">
        <f>ROUND((V914*'Methodology &amp; Assumptions'!$B$6)+(W914*'Methodology &amp; Assumptions'!$B$5)+(X914*'Methodology &amp; Assumptions'!$B$7), 2)</f>
        <v/>
      </c>
    </row>
    <row r="915" ht="19" customHeight="1">
      <c r="A915" s="35" t="n">
        <v>911</v>
      </c>
      <c r="B915" s="35" t="n">
        <v>2911</v>
      </c>
      <c r="C915" s="36" t="inlineStr">
        <is>
          <t>0403411006</t>
        </is>
      </c>
      <c r="D915" s="36" t="inlineStr">
        <is>
          <t>Region IV-A (CALABARZON)</t>
        </is>
      </c>
      <c r="E915" s="36" t="inlineStr">
        <is>
          <t>Laguna</t>
        </is>
      </c>
      <c r="F915" s="36" t="inlineStr">
        <is>
          <t>Los Baños</t>
        </is>
      </c>
      <c r="G915" s="36" t="inlineStr">
        <is>
          <t>Bayog</t>
        </is>
      </c>
      <c r="H915" s="37" t="n">
        <v>14.192424</v>
      </c>
      <c r="I915" s="37" t="n">
        <v>121.246161</v>
      </c>
      <c r="J915" s="8" t="inlineStr">
        <is>
          <t>U</t>
        </is>
      </c>
      <c r="K915" s="36" t="inlineStr">
        <is>
          <t>Class 1-3 / Urban</t>
        </is>
      </c>
      <c r="L915" s="18" t="n">
        <v>11613</v>
      </c>
      <c r="M915" s="20" t="n">
        <v>4.2</v>
      </c>
      <c r="N915" s="18">
        <f>ROUND(L915/M915, 0)</f>
        <v/>
      </c>
      <c r="O915" s="18">
        <f>ROUND(N915*'Methodology &amp; Assumptions'!$B$8, 0)</f>
        <v/>
      </c>
      <c r="P915" s="8" t="inlineStr">
        <is>
          <t>Band n50 (1.5 GHz, 60 MHz)</t>
        </is>
      </c>
      <c r="Q915" s="38">
        <f>ROUNDUP(O915/'Methodology &amp; Assumptions'!$B$9, 0)</f>
        <v/>
      </c>
      <c r="R915" s="39" t="n">
        <v>1</v>
      </c>
      <c r="S915" s="21" t="n">
        <v>1.53</v>
      </c>
      <c r="T915" s="21" t="n">
        <v>1.53</v>
      </c>
      <c r="U915" s="36" t="inlineStr">
        <is>
          <t>Tier 1B (Micro Drop, 1-3 km)</t>
        </is>
      </c>
      <c r="V915" s="20" t="n">
        <v>70.09999999999999</v>
      </c>
      <c r="W915" s="20" t="n">
        <v>100</v>
      </c>
      <c r="X915" s="20" t="n">
        <v>28</v>
      </c>
      <c r="Y915" s="40">
        <f>ROUND((V915*'Methodology &amp; Assumptions'!$B$6)+(W915*'Methodology &amp; Assumptions'!$B$5)+(X915*'Methodology &amp; Assumptions'!$B$7), 2)</f>
        <v/>
      </c>
    </row>
    <row r="916" ht="19" customHeight="1">
      <c r="A916" s="41" t="n">
        <v>912</v>
      </c>
      <c r="B916" s="41" t="n">
        <v>2912</v>
      </c>
      <c r="C916" s="42" t="inlineStr">
        <is>
          <t>0604502024</t>
        </is>
      </c>
      <c r="D916" s="42" t="inlineStr">
        <is>
          <t>Region VI (Western Visayas)</t>
        </is>
      </c>
      <c r="E916" s="42" t="inlineStr">
        <is>
          <t>Negros Occidental</t>
        </is>
      </c>
      <c r="F916" s="42" t="inlineStr">
        <is>
          <t>City of Bago</t>
        </is>
      </c>
      <c r="G916" s="42" t="inlineStr">
        <is>
          <t>Sampinit</t>
        </is>
      </c>
      <c r="H916" s="43" t="n">
        <v>10.5431</v>
      </c>
      <c r="I916" s="43" t="n">
        <v>122.851327</v>
      </c>
      <c r="J916" s="44" t="inlineStr">
        <is>
          <t>U</t>
        </is>
      </c>
      <c r="K916" s="42" t="inlineStr">
        <is>
          <t>Class 1-3 / Urban</t>
        </is>
      </c>
      <c r="L916" s="23" t="n">
        <v>9696</v>
      </c>
      <c r="M916" s="24" t="n">
        <v>4.33</v>
      </c>
      <c r="N916" s="23">
        <f>ROUND(L916/M916, 0)</f>
        <v/>
      </c>
      <c r="O916" s="23">
        <f>ROUND(N916*'Methodology &amp; Assumptions'!$B$8, 0)</f>
        <v/>
      </c>
      <c r="P916" s="44" t="inlineStr">
        <is>
          <t>Band n50 (1.5 GHz, 60 MHz)</t>
        </is>
      </c>
      <c r="Q916" s="38">
        <f>ROUNDUP(O916/'Methodology &amp; Assumptions'!$B$9, 0)</f>
        <v/>
      </c>
      <c r="R916" s="39" t="n">
        <v>1</v>
      </c>
      <c r="S916" s="25" t="n">
        <v>1.53</v>
      </c>
      <c r="T916" s="25" t="n">
        <v>0.34</v>
      </c>
      <c r="U916" s="42" t="inlineStr">
        <is>
          <t>Tier 1B (Micro Drop, 1-3 km)</t>
        </is>
      </c>
      <c r="V916" s="24" t="n">
        <v>70.09999999999999</v>
      </c>
      <c r="W916" s="24" t="n">
        <v>100</v>
      </c>
      <c r="X916" s="24" t="n">
        <v>28</v>
      </c>
      <c r="Y916" s="45">
        <f>ROUND((V916*'Methodology &amp; Assumptions'!$B$6)+(W916*'Methodology &amp; Assumptions'!$B$5)+(X916*'Methodology &amp; Assumptions'!$B$7), 2)</f>
        <v/>
      </c>
    </row>
    <row r="917" ht="19" customHeight="1">
      <c r="A917" s="35" t="n">
        <v>913</v>
      </c>
      <c r="B917" s="35" t="n">
        <v>2913</v>
      </c>
      <c r="C917" s="36" t="inlineStr">
        <is>
          <t>0631000009</t>
        </is>
      </c>
      <c r="D917" s="36" t="inlineStr">
        <is>
          <t>Region VI (Western Visayas)</t>
        </is>
      </c>
      <c r="E917" s="36" t="inlineStr">
        <is>
          <t>Iloilo</t>
        </is>
      </c>
      <c r="F917" s="36" t="inlineStr">
        <is>
          <t>City of Iloilo</t>
        </is>
      </c>
      <c r="G917" s="36" t="inlineStr">
        <is>
          <t>Bakhaw</t>
        </is>
      </c>
      <c r="H917" s="37" t="n">
        <v>10.718587</v>
      </c>
      <c r="I917" s="37" t="n">
        <v>122.554839</v>
      </c>
      <c r="J917" s="8" t="inlineStr">
        <is>
          <t>U</t>
        </is>
      </c>
      <c r="K917" s="36" t="inlineStr">
        <is>
          <t>Class 1-3 / Urban</t>
        </is>
      </c>
      <c r="L917" s="18" t="n">
        <v>6548</v>
      </c>
      <c r="M917" s="20" t="n">
        <v>4.39</v>
      </c>
      <c r="N917" s="18">
        <f>ROUND(L917/M917, 0)</f>
        <v/>
      </c>
      <c r="O917" s="18">
        <f>ROUND(N917*'Methodology &amp; Assumptions'!$B$8, 0)</f>
        <v/>
      </c>
      <c r="P917" s="8" t="inlineStr">
        <is>
          <t>Band n50 (1.5 GHz, 60 MHz)</t>
        </is>
      </c>
      <c r="Q917" s="38">
        <f>ROUNDUP(O917/'Methodology &amp; Assumptions'!$B$9, 0)</f>
        <v/>
      </c>
      <c r="R917" s="39" t="n">
        <v>1</v>
      </c>
      <c r="S917" s="21" t="n">
        <v>1.53</v>
      </c>
      <c r="T917" s="21" t="n">
        <v>0.55</v>
      </c>
      <c r="U917" s="36" t="inlineStr">
        <is>
          <t>Tier 1B (Micro Drop, 1-3 km)</t>
        </is>
      </c>
      <c r="V917" s="20" t="n">
        <v>70.09999999999999</v>
      </c>
      <c r="W917" s="20" t="n">
        <v>100</v>
      </c>
      <c r="X917" s="20" t="n">
        <v>28</v>
      </c>
      <c r="Y917" s="40">
        <f>ROUND((V917*'Methodology &amp; Assumptions'!$B$6)+(W917*'Methodology &amp; Assumptions'!$B$5)+(X917*'Methodology &amp; Assumptions'!$B$7), 2)</f>
        <v/>
      </c>
    </row>
    <row r="918" ht="19" customHeight="1">
      <c r="A918" s="41" t="n">
        <v>914</v>
      </c>
      <c r="B918" s="41" t="n">
        <v>2914</v>
      </c>
      <c r="C918" s="42" t="inlineStr">
        <is>
          <t>0105512009</t>
        </is>
      </c>
      <c r="D918" s="42" t="inlineStr">
        <is>
          <t>Region I (Ilocos Region)</t>
        </is>
      </c>
      <c r="E918" s="42" t="inlineStr">
        <is>
          <t>Pangasinan</t>
        </is>
      </c>
      <c r="F918" s="42" t="inlineStr">
        <is>
          <t>Binalonan</t>
        </is>
      </c>
      <c r="G918" s="42" t="inlineStr">
        <is>
          <t>Linmansangan</t>
        </is>
      </c>
      <c r="H918" s="43" t="n">
        <v>16.048402</v>
      </c>
      <c r="I918" s="43" t="n">
        <v>120.572252</v>
      </c>
      <c r="J918" s="44" t="inlineStr">
        <is>
          <t>U</t>
        </is>
      </c>
      <c r="K918" s="42" t="inlineStr">
        <is>
          <t>Class 1-3 / Urban</t>
        </is>
      </c>
      <c r="L918" s="23" t="n">
        <v>4091</v>
      </c>
      <c r="M918" s="24" t="n">
        <v>4.39</v>
      </c>
      <c r="N918" s="23">
        <f>ROUND(L918/M918, 0)</f>
        <v/>
      </c>
      <c r="O918" s="23">
        <f>ROUND(N918*'Methodology &amp; Assumptions'!$B$8, 0)</f>
        <v/>
      </c>
      <c r="P918" s="44" t="inlineStr">
        <is>
          <t>Band n50 (1.5 GHz, 60 MHz)</t>
        </is>
      </c>
      <c r="Q918" s="38">
        <f>ROUNDUP(O918/'Methodology &amp; Assumptions'!$B$9, 0)</f>
        <v/>
      </c>
      <c r="R918" s="39" t="n">
        <v>1</v>
      </c>
      <c r="S918" s="25" t="n">
        <v>1.46</v>
      </c>
      <c r="T918" s="25" t="n">
        <v>1.51</v>
      </c>
      <c r="U918" s="42" t="inlineStr">
        <is>
          <t>Tier 1B (Micro Drop, 1-3 km)</t>
        </is>
      </c>
      <c r="V918" s="24" t="n">
        <v>71.40000000000001</v>
      </c>
      <c r="W918" s="24" t="n">
        <v>98.7</v>
      </c>
      <c r="X918" s="24" t="n">
        <v>28</v>
      </c>
      <c r="Y918" s="45">
        <f>ROUND((V918*'Methodology &amp; Assumptions'!$B$6)+(W918*'Methodology &amp; Assumptions'!$B$5)+(X918*'Methodology &amp; Assumptions'!$B$7), 2)</f>
        <v/>
      </c>
    </row>
    <row r="919" ht="19" customHeight="1">
      <c r="A919" s="35" t="n">
        <v>915</v>
      </c>
      <c r="B919" s="35" t="n">
        <v>2915</v>
      </c>
      <c r="C919" s="36" t="inlineStr">
        <is>
          <t>0401017016</t>
        </is>
      </c>
      <c r="D919" s="36" t="inlineStr">
        <is>
          <t>Region IV-A (CALABARZON)</t>
        </is>
      </c>
      <c r="E919" s="36" t="inlineStr">
        <is>
          <t>Batangas</t>
        </is>
      </c>
      <c r="F919" s="36" t="inlineStr">
        <is>
          <t>Malvar</t>
        </is>
      </c>
      <c r="G919" s="36" t="inlineStr">
        <is>
          <t>San Juan</t>
        </is>
      </c>
      <c r="H919" s="37" t="n">
        <v>14.01885</v>
      </c>
      <c r="I919" s="37" t="n">
        <v>121.147052</v>
      </c>
      <c r="J919" s="8" t="inlineStr">
        <is>
          <t>R</t>
        </is>
      </c>
      <c r="K919" s="36" t="inlineStr">
        <is>
          <t>Class 1-3 / Urban</t>
        </is>
      </c>
      <c r="L919" s="18" t="n">
        <v>3065</v>
      </c>
      <c r="M919" s="20" t="n">
        <v>4.62</v>
      </c>
      <c r="N919" s="18">
        <f>ROUND(L919/M919, 0)</f>
        <v/>
      </c>
      <c r="O919" s="18">
        <f>ROUND(N919*'Methodology &amp; Assumptions'!$B$8, 0)</f>
        <v/>
      </c>
      <c r="P919" s="8" t="inlineStr">
        <is>
          <t>Band n50 (1.5 GHz, 60 MHz)</t>
        </is>
      </c>
      <c r="Q919" s="38">
        <f>ROUNDUP(O919/'Methodology &amp; Assumptions'!$B$9, 0)</f>
        <v/>
      </c>
      <c r="R919" s="39" t="n">
        <v>1</v>
      </c>
      <c r="S919" s="21" t="n">
        <v>1.67</v>
      </c>
      <c r="T919" s="21" t="n">
        <v>1.65</v>
      </c>
      <c r="U919" s="36" t="inlineStr">
        <is>
          <t>Tier 1B (Micro Drop, 1-3 km)</t>
        </is>
      </c>
      <c r="V919" s="20" t="n">
        <v>67.3</v>
      </c>
      <c r="W919" s="20" t="n">
        <v>77.09999999999999</v>
      </c>
      <c r="X919" s="20" t="n">
        <v>58</v>
      </c>
      <c r="Y919" s="40">
        <f>ROUND((V919*'Methodology &amp; Assumptions'!$B$6)+(W919*'Methodology &amp; Assumptions'!$B$5)+(X919*'Methodology &amp; Assumptions'!$B$7), 2)</f>
        <v/>
      </c>
    </row>
    <row r="920" ht="19" customHeight="1">
      <c r="A920" s="41" t="n">
        <v>916</v>
      </c>
      <c r="B920" s="41" t="n">
        <v>2916</v>
      </c>
      <c r="C920" s="42" t="inlineStr">
        <is>
          <t>0702232019</t>
        </is>
      </c>
      <c r="D920" s="42" t="inlineStr">
        <is>
          <t>Region VII (Central Visayas)</t>
        </is>
      </c>
      <c r="E920" s="42" t="inlineStr">
        <is>
          <t>Cebu</t>
        </is>
      </c>
      <c r="F920" s="42" t="inlineStr">
        <is>
          <t>Minglanilla</t>
        </is>
      </c>
      <c r="G920" s="42" t="inlineStr">
        <is>
          <t>Tungkil</t>
        </is>
      </c>
      <c r="H920" s="43" t="n">
        <v>10.244737</v>
      </c>
      <c r="I920" s="43" t="n">
        <v>123.813642</v>
      </c>
      <c r="J920" s="44" t="inlineStr">
        <is>
          <t>U</t>
        </is>
      </c>
      <c r="K920" s="42" t="inlineStr">
        <is>
          <t>Class 1-3 / Urban</t>
        </is>
      </c>
      <c r="L920" s="23" t="n">
        <v>13597</v>
      </c>
      <c r="M920" s="24" t="n">
        <v>4.42</v>
      </c>
      <c r="N920" s="23">
        <f>ROUND(L920/M920, 0)</f>
        <v/>
      </c>
      <c r="O920" s="23">
        <f>ROUND(N920*'Methodology &amp; Assumptions'!$B$8, 0)</f>
        <v/>
      </c>
      <c r="P920" s="44" t="inlineStr">
        <is>
          <t>Band n50 (1.5 GHz, 60 MHz)</t>
        </is>
      </c>
      <c r="Q920" s="38">
        <f>ROUNDUP(O920/'Methodology &amp; Assumptions'!$B$9, 0)</f>
        <v/>
      </c>
      <c r="R920" s="39" t="n">
        <v>1</v>
      </c>
      <c r="S920" s="25" t="n">
        <v>1.53</v>
      </c>
      <c r="T920" s="25" t="n">
        <v>0.93</v>
      </c>
      <c r="U920" s="42" t="inlineStr">
        <is>
          <t>Tier 1B (Micro Drop, 1-3 km)</t>
        </is>
      </c>
      <c r="V920" s="24" t="n">
        <v>70</v>
      </c>
      <c r="W920" s="24" t="n">
        <v>100</v>
      </c>
      <c r="X920" s="24" t="n">
        <v>28</v>
      </c>
      <c r="Y920" s="45">
        <f>ROUND((V920*'Methodology &amp; Assumptions'!$B$6)+(W920*'Methodology &amp; Assumptions'!$B$5)+(X920*'Methodology &amp; Assumptions'!$B$7), 2)</f>
        <v/>
      </c>
    </row>
    <row r="921" ht="19" customHeight="1">
      <c r="A921" s="35" t="n">
        <v>917</v>
      </c>
      <c r="B921" s="35" t="n">
        <v>2917</v>
      </c>
      <c r="C921" s="36" t="inlineStr">
        <is>
          <t>0304903091</t>
        </is>
      </c>
      <c r="D921" s="36" t="inlineStr">
        <is>
          <t>Region III (Central Luzon)</t>
        </is>
      </c>
      <c r="E921" s="36" t="inlineStr">
        <is>
          <t>Nueva Ecija</t>
        </is>
      </c>
      <c r="F921" s="36" t="inlineStr">
        <is>
          <t>City of Cabanatuan</t>
        </is>
      </c>
      <c r="G921" s="36" t="inlineStr">
        <is>
          <t>Aduas Sur</t>
        </is>
      </c>
      <c r="H921" s="37" t="n">
        <v>15.494235</v>
      </c>
      <c r="I921" s="37" t="n">
        <v>120.967085</v>
      </c>
      <c r="J921" s="8" t="inlineStr">
        <is>
          <t>U</t>
        </is>
      </c>
      <c r="K921" s="36" t="inlineStr">
        <is>
          <t>Class 1-3 / Urban</t>
        </is>
      </c>
      <c r="L921" s="18" t="n">
        <v>7640</v>
      </c>
      <c r="M921" s="20" t="n">
        <v>4.32</v>
      </c>
      <c r="N921" s="18">
        <f>ROUND(L921/M921, 0)</f>
        <v/>
      </c>
      <c r="O921" s="18">
        <f>ROUND(N921*'Methodology &amp; Assumptions'!$B$8, 0)</f>
        <v/>
      </c>
      <c r="P921" s="8" t="inlineStr">
        <is>
          <t>Band n50 (1.5 GHz, 60 MHz)</t>
        </is>
      </c>
      <c r="Q921" s="38">
        <f>ROUNDUP(O921/'Methodology &amp; Assumptions'!$B$9, 0)</f>
        <v/>
      </c>
      <c r="R921" s="39" t="n">
        <v>1</v>
      </c>
      <c r="S921" s="21" t="n">
        <v>1.53</v>
      </c>
      <c r="T921" s="21" t="n">
        <v>0.9399999999999999</v>
      </c>
      <c r="U921" s="36" t="inlineStr">
        <is>
          <t>Tier 1B (Micro Drop, 1-3 km)</t>
        </is>
      </c>
      <c r="V921" s="20" t="n">
        <v>70</v>
      </c>
      <c r="W921" s="20" t="n">
        <v>100</v>
      </c>
      <c r="X921" s="20" t="n">
        <v>28</v>
      </c>
      <c r="Y921" s="40">
        <f>ROUND((V921*'Methodology &amp; Assumptions'!$B$6)+(W921*'Methodology &amp; Assumptions'!$B$5)+(X921*'Methodology &amp; Assumptions'!$B$7), 2)</f>
        <v/>
      </c>
    </row>
    <row r="922" ht="19" customHeight="1">
      <c r="A922" s="41" t="n">
        <v>918</v>
      </c>
      <c r="B922" s="41" t="n">
        <v>2918</v>
      </c>
      <c r="C922" s="42" t="inlineStr">
        <is>
          <t>0307113011</t>
        </is>
      </c>
      <c r="D922" s="42" t="inlineStr">
        <is>
          <t>Region III (Central Luzon)</t>
        </is>
      </c>
      <c r="E922" s="42" t="inlineStr">
        <is>
          <t>Zambales</t>
        </is>
      </c>
      <c r="F922" s="42" t="inlineStr">
        <is>
          <t>Santa Cruz</t>
        </is>
      </c>
      <c r="G922" s="42" t="inlineStr">
        <is>
          <t>Lipay</t>
        </is>
      </c>
      <c r="H922" s="43" t="n">
        <v>15.75402</v>
      </c>
      <c r="I922" s="43" t="n">
        <v>119.910095</v>
      </c>
      <c r="J922" s="44" t="inlineStr">
        <is>
          <t>U</t>
        </is>
      </c>
      <c r="K922" s="42" t="inlineStr">
        <is>
          <t>Class 1-3 / Urban</t>
        </is>
      </c>
      <c r="L922" s="23" t="n">
        <v>6446</v>
      </c>
      <c r="M922" s="24" t="n">
        <v>4.05</v>
      </c>
      <c r="N922" s="23">
        <f>ROUND(L922/M922, 0)</f>
        <v/>
      </c>
      <c r="O922" s="23">
        <f>ROUND(N922*'Methodology &amp; Assumptions'!$B$8, 0)</f>
        <v/>
      </c>
      <c r="P922" s="44" t="inlineStr">
        <is>
          <t>Band n50 (1.5 GHz, 60 MHz)</t>
        </is>
      </c>
      <c r="Q922" s="38">
        <f>ROUNDUP(O922/'Methodology &amp; Assumptions'!$B$9, 0)</f>
        <v/>
      </c>
      <c r="R922" s="39" t="n">
        <v>1</v>
      </c>
      <c r="S922" s="25" t="n">
        <v>1.53</v>
      </c>
      <c r="T922" s="25" t="n">
        <v>0.3</v>
      </c>
      <c r="U922" s="42" t="inlineStr">
        <is>
          <t>Tier 1B (Micro Drop, 1-3 km)</t>
        </is>
      </c>
      <c r="V922" s="24" t="n">
        <v>70</v>
      </c>
      <c r="W922" s="24" t="n">
        <v>100</v>
      </c>
      <c r="X922" s="24" t="n">
        <v>28</v>
      </c>
      <c r="Y922" s="45">
        <f>ROUND((V922*'Methodology &amp; Assumptions'!$B$6)+(W922*'Methodology &amp; Assumptions'!$B$5)+(X922*'Methodology &amp; Assumptions'!$B$7), 2)</f>
        <v/>
      </c>
    </row>
    <row r="923" ht="19" customHeight="1">
      <c r="A923" s="35" t="n">
        <v>919</v>
      </c>
      <c r="B923" s="35" t="n">
        <v>2919</v>
      </c>
      <c r="C923" s="36" t="inlineStr">
        <is>
          <t>1630400073</t>
        </is>
      </c>
      <c r="D923" s="36" t="inlineStr">
        <is>
          <t>Region XIII (Caraga)</t>
        </is>
      </c>
      <c r="E923" s="36" t="inlineStr">
        <is>
          <t>Agusan del Norte</t>
        </is>
      </c>
      <c r="F923" s="36" t="inlineStr">
        <is>
          <t>City of Butuan</t>
        </is>
      </c>
      <c r="G923" s="36" t="inlineStr">
        <is>
          <t>Pinamanculan</t>
        </is>
      </c>
      <c r="H923" s="37" t="n">
        <v>8.963041</v>
      </c>
      <c r="I923" s="37" t="n">
        <v>125.484541</v>
      </c>
      <c r="J923" s="8" t="inlineStr">
        <is>
          <t>R</t>
        </is>
      </c>
      <c r="K923" s="36" t="inlineStr">
        <is>
          <t>Class 1-3 / Urban</t>
        </is>
      </c>
      <c r="L923" s="18" t="n">
        <v>3428</v>
      </c>
      <c r="M923" s="20" t="n">
        <v>4.63</v>
      </c>
      <c r="N923" s="18">
        <f>ROUND(L923/M923, 0)</f>
        <v/>
      </c>
      <c r="O923" s="18">
        <f>ROUND(N923*'Methodology &amp; Assumptions'!$B$8, 0)</f>
        <v/>
      </c>
      <c r="P923" s="8" t="inlineStr">
        <is>
          <t>Band n50 (1.5 GHz, 60 MHz)</t>
        </is>
      </c>
      <c r="Q923" s="38">
        <f>ROUNDUP(O923/'Methodology &amp; Assumptions'!$B$9, 0)</f>
        <v/>
      </c>
      <c r="R923" s="39" t="n">
        <v>1</v>
      </c>
      <c r="S923" s="21" t="n">
        <v>2.88</v>
      </c>
      <c r="T923" s="21" t="n">
        <v>1.87</v>
      </c>
      <c r="U923" s="36" t="inlineStr">
        <is>
          <t>Tier 1B (Micro Drop, 1-3 km)</t>
        </is>
      </c>
      <c r="V923" s="20" t="n">
        <v>48.2</v>
      </c>
      <c r="W923" s="20" t="n">
        <v>83.2</v>
      </c>
      <c r="X923" s="20" t="n">
        <v>73</v>
      </c>
      <c r="Y923" s="40">
        <f>ROUND((V923*'Methodology &amp; Assumptions'!$B$6)+(W923*'Methodology &amp; Assumptions'!$B$5)+(X923*'Methodology &amp; Assumptions'!$B$7), 2)</f>
        <v/>
      </c>
    </row>
    <row r="924" ht="19" customHeight="1">
      <c r="A924" s="41" t="n">
        <v>920</v>
      </c>
      <c r="B924" s="41" t="n">
        <v>2920</v>
      </c>
      <c r="C924" s="42" t="inlineStr">
        <is>
          <t>0402103032</t>
        </is>
      </c>
      <c r="D924" s="42" t="inlineStr">
        <is>
          <t>Region IV-A (CALABARZON)</t>
        </is>
      </c>
      <c r="E924" s="42" t="inlineStr">
        <is>
          <t>Cavite</t>
        </is>
      </c>
      <c r="F924" s="42" t="inlineStr">
        <is>
          <t>City of Bacoor</t>
        </is>
      </c>
      <c r="G924" s="42" t="inlineStr">
        <is>
          <t>Aniban V</t>
        </is>
      </c>
      <c r="H924" s="43" t="n">
        <v>14.436707</v>
      </c>
      <c r="I924" s="43" t="n">
        <v>120.961346</v>
      </c>
      <c r="J924" s="44" t="inlineStr">
        <is>
          <t>R</t>
        </is>
      </c>
      <c r="K924" s="42" t="inlineStr">
        <is>
          <t>Class 1-3 / Urban</t>
        </is>
      </c>
      <c r="L924" s="23" t="n">
        <v>2714</v>
      </c>
      <c r="M924" s="24" t="n">
        <v>4.49</v>
      </c>
      <c r="N924" s="23">
        <f>ROUND(L924/M924, 0)</f>
        <v/>
      </c>
      <c r="O924" s="23">
        <f>ROUND(N924*'Methodology &amp; Assumptions'!$B$8, 0)</f>
        <v/>
      </c>
      <c r="P924" s="44" t="inlineStr">
        <is>
          <t>Band n50 (1.5 GHz, 60 MHz)</t>
        </is>
      </c>
      <c r="Q924" s="38">
        <f>ROUNDUP(O924/'Methodology &amp; Assumptions'!$B$9, 0)</f>
        <v/>
      </c>
      <c r="R924" s="39" t="n">
        <v>1</v>
      </c>
      <c r="S924" s="25" t="n">
        <v>1.43</v>
      </c>
      <c r="T924" s="25" t="n">
        <v>1.32</v>
      </c>
      <c r="U924" s="42" t="inlineStr">
        <is>
          <t>Tier 1B (Micro Drop, 1-3 km)</t>
        </is>
      </c>
      <c r="V924" s="24" t="n">
        <v>72</v>
      </c>
      <c r="W924" s="24" t="n">
        <v>72.3</v>
      </c>
      <c r="X924" s="24" t="n">
        <v>58</v>
      </c>
      <c r="Y924" s="45">
        <f>ROUND((V924*'Methodology &amp; Assumptions'!$B$6)+(W924*'Methodology &amp; Assumptions'!$B$5)+(X924*'Methodology &amp; Assumptions'!$B$7), 2)</f>
        <v/>
      </c>
    </row>
    <row r="925" ht="19" customHeight="1">
      <c r="A925" s="35" t="n">
        <v>921</v>
      </c>
      <c r="B925" s="35" t="n">
        <v>2921</v>
      </c>
      <c r="C925" s="36" t="inlineStr">
        <is>
          <t>0500504021</t>
        </is>
      </c>
      <c r="D925" s="36" t="inlineStr">
        <is>
          <t>Region V (Bicol Region)</t>
        </is>
      </c>
      <c r="E925" s="36" t="inlineStr">
        <is>
          <t>Albay</t>
        </is>
      </c>
      <c r="F925" s="36" t="inlineStr">
        <is>
          <t>Guinobatan</t>
        </is>
      </c>
      <c r="G925" s="36" t="inlineStr">
        <is>
          <t>Maguiron</t>
        </is>
      </c>
      <c r="H925" s="37" t="n">
        <v>13.179741</v>
      </c>
      <c r="I925" s="37" t="n">
        <v>123.60404</v>
      </c>
      <c r="J925" s="8" t="inlineStr">
        <is>
          <t>R</t>
        </is>
      </c>
      <c r="K925" s="36" t="inlineStr">
        <is>
          <t>Class 1-3 / Urban</t>
        </is>
      </c>
      <c r="L925" s="18" t="n">
        <v>2223</v>
      </c>
      <c r="M925" s="20" t="n">
        <v>4.67</v>
      </c>
      <c r="N925" s="18">
        <f>ROUND(L925/M925, 0)</f>
        <v/>
      </c>
      <c r="O925" s="18">
        <f>ROUND(N925*'Methodology &amp; Assumptions'!$B$8, 0)</f>
        <v/>
      </c>
      <c r="P925" s="8" t="inlineStr">
        <is>
          <t>Band n50 (1.5 GHz, 60 MHz)</t>
        </is>
      </c>
      <c r="Q925" s="38">
        <f>ROUNDUP(O925/'Methodology &amp; Assumptions'!$B$9, 0)</f>
        <v/>
      </c>
      <c r="R925" s="39" t="n">
        <v>1</v>
      </c>
      <c r="S925" s="21" t="n">
        <v>0.98</v>
      </c>
      <c r="T925" s="21" t="n">
        <v>1</v>
      </c>
      <c r="U925" s="36" t="inlineStr">
        <is>
          <t>Tier 1A (Direct Coloc, &lt;1 km)</t>
        </is>
      </c>
      <c r="V925" s="20" t="n">
        <v>82.2</v>
      </c>
      <c r="W925" s="20" t="n">
        <v>62.1</v>
      </c>
      <c r="X925" s="20" t="n">
        <v>58</v>
      </c>
      <c r="Y925" s="40">
        <f>ROUND((V925*'Methodology &amp; Assumptions'!$B$6)+(W925*'Methodology &amp; Assumptions'!$B$5)+(X925*'Methodology &amp; Assumptions'!$B$7), 2)</f>
        <v/>
      </c>
    </row>
    <row r="926" ht="19" customHeight="1">
      <c r="A926" s="41" t="n">
        <v>922</v>
      </c>
      <c r="B926" s="41" t="n">
        <v>2922</v>
      </c>
      <c r="C926" s="42" t="inlineStr">
        <is>
          <t>0306911010</t>
        </is>
      </c>
      <c r="D926" s="42" t="inlineStr">
        <is>
          <t>Region III (Central Luzon)</t>
        </is>
      </c>
      <c r="E926" s="42" t="inlineStr">
        <is>
          <t>Tarlac</t>
        </is>
      </c>
      <c r="F926" s="42" t="inlineStr">
        <is>
          <t>Pura</t>
        </is>
      </c>
      <c r="G926" s="42" t="inlineStr">
        <is>
          <t>Nilasin 1st</t>
        </is>
      </c>
      <c r="H926" s="43" t="n">
        <v>15.624893</v>
      </c>
      <c r="I926" s="43" t="n">
        <v>120.654576</v>
      </c>
      <c r="J926" s="44" t="inlineStr">
        <is>
          <t>R</t>
        </is>
      </c>
      <c r="K926" s="42" t="inlineStr">
        <is>
          <t>3rd</t>
        </is>
      </c>
      <c r="L926" s="23" t="n">
        <v>1225</v>
      </c>
      <c r="M926" s="24" t="n">
        <v>4.22</v>
      </c>
      <c r="N926" s="23">
        <f>ROUND(L926/M926, 0)</f>
        <v/>
      </c>
      <c r="O926" s="23">
        <f>ROUND(N926*'Methodology &amp; Assumptions'!$B$8, 0)</f>
        <v/>
      </c>
      <c r="P926" s="44" t="inlineStr">
        <is>
          <t>Band n50 (1.5 GHz, 60 MHz)</t>
        </is>
      </c>
      <c r="Q926" s="38">
        <f>ROUNDUP(O926/'Methodology &amp; Assumptions'!$B$9, 0)</f>
        <v/>
      </c>
      <c r="R926" s="39" t="n">
        <v>1</v>
      </c>
      <c r="S926" s="25" t="n">
        <v>0.41</v>
      </c>
      <c r="T926" s="25" t="n">
        <v>0.4</v>
      </c>
      <c r="U926" s="42" t="inlineStr">
        <is>
          <t>Tier 1A (Direct Coloc, &lt;1 km)</t>
        </is>
      </c>
      <c r="V926" s="24" t="n">
        <v>97.09999999999999</v>
      </c>
      <c r="W926" s="24" t="n">
        <v>47.2</v>
      </c>
      <c r="X926" s="24" t="n">
        <v>58</v>
      </c>
      <c r="Y926" s="45">
        <f>ROUND((V926*'Methodology &amp; Assumptions'!$B$6)+(W926*'Methodology &amp; Assumptions'!$B$5)+(X926*'Methodology &amp; Assumptions'!$B$7), 2)</f>
        <v/>
      </c>
    </row>
    <row r="927" ht="19" customHeight="1">
      <c r="A927" s="35" t="n">
        <v>923</v>
      </c>
      <c r="B927" s="35" t="n">
        <v>2923</v>
      </c>
      <c r="C927" s="36" t="inlineStr">
        <is>
          <t>0401005035</t>
        </is>
      </c>
      <c r="D927" s="36" t="inlineStr">
        <is>
          <t>Region IV-A (CALABARZON)</t>
        </is>
      </c>
      <c r="E927" s="36" t="inlineStr">
        <is>
          <t>Batangas</t>
        </is>
      </c>
      <c r="F927" s="36" t="inlineStr">
        <is>
          <t>Batangas City</t>
        </is>
      </c>
      <c r="G927" s="36" t="inlineStr">
        <is>
          <t>Kumintang Ilaya</t>
        </is>
      </c>
      <c r="H927" s="37" t="n">
        <v>13.774027</v>
      </c>
      <c r="I927" s="37" t="n">
        <v>121.064369</v>
      </c>
      <c r="J927" s="8" t="inlineStr">
        <is>
          <t>U</t>
        </is>
      </c>
      <c r="K927" s="36" t="inlineStr">
        <is>
          <t>Class 1-3 / Urban</t>
        </is>
      </c>
      <c r="L927" s="18" t="n">
        <v>10900</v>
      </c>
      <c r="M927" s="20" t="n">
        <v>4.62</v>
      </c>
      <c r="N927" s="18">
        <f>ROUND(L927/M927, 0)</f>
        <v/>
      </c>
      <c r="O927" s="18">
        <f>ROUND(N927*'Methodology &amp; Assumptions'!$B$8, 0)</f>
        <v/>
      </c>
      <c r="P927" s="8" t="inlineStr">
        <is>
          <t>Band n50 (1.5 GHz, 60 MHz)</t>
        </is>
      </c>
      <c r="Q927" s="38">
        <f>ROUNDUP(O927/'Methodology &amp; Assumptions'!$B$9, 0)</f>
        <v/>
      </c>
      <c r="R927" s="39" t="n">
        <v>1</v>
      </c>
      <c r="S927" s="21" t="n">
        <v>1.53</v>
      </c>
      <c r="T927" s="21" t="n">
        <v>0.22</v>
      </c>
      <c r="U927" s="36" t="inlineStr">
        <is>
          <t>Tier 1B (Micro Drop, 1-3 km)</t>
        </is>
      </c>
      <c r="V927" s="20" t="n">
        <v>70</v>
      </c>
      <c r="W927" s="20" t="n">
        <v>100</v>
      </c>
      <c r="X927" s="20" t="n">
        <v>28</v>
      </c>
      <c r="Y927" s="40">
        <f>ROUND((V927*'Methodology &amp; Assumptions'!$B$6)+(W927*'Methodology &amp; Assumptions'!$B$5)+(X927*'Methodology &amp; Assumptions'!$B$7), 2)</f>
        <v/>
      </c>
    </row>
    <row r="928" ht="19" customHeight="1">
      <c r="A928" s="41" t="n">
        <v>924</v>
      </c>
      <c r="B928" s="41" t="n">
        <v>2924</v>
      </c>
      <c r="C928" s="42" t="inlineStr">
        <is>
          <t>0330100012</t>
        </is>
      </c>
      <c r="D928" s="42" t="inlineStr">
        <is>
          <t>Region III (Central Luzon)</t>
        </is>
      </c>
      <c r="E928" s="42" t="inlineStr">
        <is>
          <t>Pampanga</t>
        </is>
      </c>
      <c r="F928" s="42" t="inlineStr">
        <is>
          <t>City of Angeles</t>
        </is>
      </c>
      <c r="G928" s="42" t="inlineStr">
        <is>
          <t>Lourdes Sur East</t>
        </is>
      </c>
      <c r="H928" s="43" t="n">
        <v>15.143186</v>
      </c>
      <c r="I928" s="43" t="n">
        <v>120.59333</v>
      </c>
      <c r="J928" s="44" t="inlineStr">
        <is>
          <t>U</t>
        </is>
      </c>
      <c r="K928" s="42" t="inlineStr">
        <is>
          <t>Class 1-3 / Urban</t>
        </is>
      </c>
      <c r="L928" s="23" t="n">
        <v>3639</v>
      </c>
      <c r="M928" s="24" t="n">
        <v>4.63</v>
      </c>
      <c r="N928" s="23">
        <f>ROUND(L928/M928, 0)</f>
        <v/>
      </c>
      <c r="O928" s="23">
        <f>ROUND(N928*'Methodology &amp; Assumptions'!$B$8, 0)</f>
        <v/>
      </c>
      <c r="P928" s="44" t="inlineStr">
        <is>
          <t>Band n50 (1.5 GHz, 60 MHz)</t>
        </is>
      </c>
      <c r="Q928" s="38">
        <f>ROUNDUP(O928/'Methodology &amp; Assumptions'!$B$9, 0)</f>
        <v/>
      </c>
      <c r="R928" s="39" t="n">
        <v>1</v>
      </c>
      <c r="S928" s="25" t="n">
        <v>0.9399999999999999</v>
      </c>
      <c r="T928" s="25" t="n">
        <v>0.31</v>
      </c>
      <c r="U928" s="42" t="inlineStr">
        <is>
          <t>Tier 1A (Direct Coloc, &lt;1 km)</t>
        </is>
      </c>
      <c r="V928" s="24" t="n">
        <v>83.09999999999999</v>
      </c>
      <c r="W928" s="24" t="n">
        <v>86.90000000000001</v>
      </c>
      <c r="X928" s="24" t="n">
        <v>28</v>
      </c>
      <c r="Y928" s="45">
        <f>ROUND((V928*'Methodology &amp; Assumptions'!$B$6)+(W928*'Methodology &amp; Assumptions'!$B$5)+(X928*'Methodology &amp; Assumptions'!$B$7), 2)</f>
        <v/>
      </c>
    </row>
    <row r="929" ht="19" customHeight="1">
      <c r="A929" s="35" t="n">
        <v>925</v>
      </c>
      <c r="B929" s="35" t="n">
        <v>2925</v>
      </c>
      <c r="C929" s="36" t="inlineStr">
        <is>
          <t>0304916018</t>
        </is>
      </c>
      <c r="D929" s="36" t="inlineStr">
        <is>
          <t>Region III (Central Luzon)</t>
        </is>
      </c>
      <c r="E929" s="36" t="inlineStr">
        <is>
          <t>Nueva Ecija</t>
        </is>
      </c>
      <c r="F929" s="36" t="inlineStr">
        <is>
          <t>Lupao</t>
        </is>
      </c>
      <c r="G929" s="36" t="inlineStr">
        <is>
          <t>Parista</t>
        </is>
      </c>
      <c r="H929" s="37" t="n">
        <v>15.863286</v>
      </c>
      <c r="I929" s="37" t="n">
        <v>120.917989</v>
      </c>
      <c r="J929" s="8" t="inlineStr">
        <is>
          <t>R</t>
        </is>
      </c>
      <c r="K929" s="36" t="inlineStr">
        <is>
          <t>Class 1-3 / Urban</t>
        </is>
      </c>
      <c r="L929" s="18" t="n">
        <v>4451</v>
      </c>
      <c r="M929" s="20" t="n">
        <v>4.32</v>
      </c>
      <c r="N929" s="18">
        <f>ROUND(L929/M929, 0)</f>
        <v/>
      </c>
      <c r="O929" s="18">
        <f>ROUND(N929*'Methodology &amp; Assumptions'!$B$8, 0)</f>
        <v/>
      </c>
      <c r="P929" s="8" t="inlineStr">
        <is>
          <t>Band n50 (1.5 GHz, 60 MHz)</t>
        </is>
      </c>
      <c r="Q929" s="38">
        <f>ROUNDUP(O929/'Methodology &amp; Assumptions'!$B$9, 0)</f>
        <v/>
      </c>
      <c r="R929" s="39" t="n">
        <v>1</v>
      </c>
      <c r="S929" s="21" t="n">
        <v>3.21</v>
      </c>
      <c r="T929" s="21" t="n">
        <v>0.57</v>
      </c>
      <c r="U929" s="36" t="inlineStr">
        <is>
          <t>Tier 2 (Fiber Corridor / Lateral, 3-5 km)</t>
        </is>
      </c>
      <c r="V929" s="20" t="n">
        <v>44.3</v>
      </c>
      <c r="W929" s="20" t="n">
        <v>100</v>
      </c>
      <c r="X929" s="20" t="n">
        <v>58</v>
      </c>
      <c r="Y929" s="40">
        <f>ROUND((V929*'Methodology &amp; Assumptions'!$B$6)+(W929*'Methodology &amp; Assumptions'!$B$5)+(X929*'Methodology &amp; Assumptions'!$B$7), 2)</f>
        <v/>
      </c>
    </row>
    <row r="930" ht="19" customHeight="1">
      <c r="A930" s="41" t="n">
        <v>926</v>
      </c>
      <c r="B930" s="41" t="n">
        <v>2926</v>
      </c>
      <c r="C930" s="42" t="inlineStr">
        <is>
          <t>0401019042</t>
        </is>
      </c>
      <c r="D930" s="42" t="inlineStr">
        <is>
          <t>Region IV-A (CALABARZON)</t>
        </is>
      </c>
      <c r="E930" s="42" t="inlineStr">
        <is>
          <t>Batangas</t>
        </is>
      </c>
      <c r="F930" s="42" t="inlineStr">
        <is>
          <t>Nasugbu</t>
        </is>
      </c>
      <c r="G930" s="42" t="inlineStr">
        <is>
          <t>Putat</t>
        </is>
      </c>
      <c r="H930" s="43" t="n">
        <v>14.084174</v>
      </c>
      <c r="I930" s="43" t="n">
        <v>120.648751</v>
      </c>
      <c r="J930" s="44" t="inlineStr">
        <is>
          <t>R</t>
        </is>
      </c>
      <c r="K930" s="42" t="inlineStr">
        <is>
          <t>Class 1-3 / Urban</t>
        </is>
      </c>
      <c r="L930" s="23" t="n">
        <v>3582</v>
      </c>
      <c r="M930" s="24" t="n">
        <v>4.62</v>
      </c>
      <c r="N930" s="23">
        <f>ROUND(L930/M930, 0)</f>
        <v/>
      </c>
      <c r="O930" s="23">
        <f>ROUND(N930*'Methodology &amp; Assumptions'!$B$8, 0)</f>
        <v/>
      </c>
      <c r="P930" s="44" t="inlineStr">
        <is>
          <t>Band n50 (1.5 GHz, 60 MHz)</t>
        </is>
      </c>
      <c r="Q930" s="38">
        <f>ROUNDUP(O930/'Methodology &amp; Assumptions'!$B$9, 0)</f>
        <v/>
      </c>
      <c r="R930" s="39" t="n">
        <v>1</v>
      </c>
      <c r="S930" s="25" t="n">
        <v>2.18</v>
      </c>
      <c r="T930" s="25" t="n">
        <v>1.16</v>
      </c>
      <c r="U930" s="42" t="inlineStr">
        <is>
          <t>Tier 1B (Micro Drop, 1-3 km)</t>
        </is>
      </c>
      <c r="V930" s="24" t="n">
        <v>58.4</v>
      </c>
      <c r="W930" s="24" t="n">
        <v>85.90000000000001</v>
      </c>
      <c r="X930" s="24" t="n">
        <v>58</v>
      </c>
      <c r="Y930" s="45">
        <f>ROUND((V930*'Methodology &amp; Assumptions'!$B$6)+(W930*'Methodology &amp; Assumptions'!$B$5)+(X930*'Methodology &amp; Assumptions'!$B$7), 2)</f>
        <v/>
      </c>
    </row>
    <row r="931" ht="19" customHeight="1">
      <c r="A931" s="35" t="n">
        <v>927</v>
      </c>
      <c r="B931" s="35" t="n">
        <v>2927</v>
      </c>
      <c r="C931" s="36" t="inlineStr">
        <is>
          <t>0405641002</t>
        </is>
      </c>
      <c r="D931" s="36" t="inlineStr">
        <is>
          <t>Region IV-A (CALABARZON)</t>
        </is>
      </c>
      <c r="E931" s="36" t="inlineStr">
        <is>
          <t>Quezon</t>
        </is>
      </c>
      <c r="F931" s="36" t="inlineStr">
        <is>
          <t>San Antonio</t>
        </is>
      </c>
      <c r="G931" s="36" t="inlineStr">
        <is>
          <t>Bagong Niing</t>
        </is>
      </c>
      <c r="H931" s="37" t="n">
        <v>13.899426</v>
      </c>
      <c r="I931" s="37" t="n">
        <v>121.287944</v>
      </c>
      <c r="J931" s="8" t="inlineStr">
        <is>
          <t>R</t>
        </is>
      </c>
      <c r="K931" s="36" t="inlineStr">
        <is>
          <t>3rd</t>
        </is>
      </c>
      <c r="L931" s="18" t="n">
        <v>1861</v>
      </c>
      <c r="M931" s="20" t="n">
        <v>4.53</v>
      </c>
      <c r="N931" s="18">
        <f>ROUND(L931/M931, 0)</f>
        <v/>
      </c>
      <c r="O931" s="18">
        <f>ROUND(N931*'Methodology &amp; Assumptions'!$B$8, 0)</f>
        <v/>
      </c>
      <c r="P931" s="8" t="inlineStr">
        <is>
          <t>Band n50 (1.5 GHz, 60 MHz)</t>
        </is>
      </c>
      <c r="Q931" s="38">
        <f>ROUNDUP(O931/'Methodology &amp; Assumptions'!$B$9, 0)</f>
        <v/>
      </c>
      <c r="R931" s="39" t="n">
        <v>1</v>
      </c>
      <c r="S931" s="21" t="n">
        <v>0.77</v>
      </c>
      <c r="T931" s="21" t="n">
        <v>0.66</v>
      </c>
      <c r="U931" s="36" t="inlineStr">
        <is>
          <t>Tier 1A (Direct Coloc, &lt;1 km)</t>
        </is>
      </c>
      <c r="V931" s="20" t="n">
        <v>87.5</v>
      </c>
      <c r="W931" s="20" t="n">
        <v>56.8</v>
      </c>
      <c r="X931" s="20" t="n">
        <v>58</v>
      </c>
      <c r="Y931" s="40">
        <f>ROUND((V931*'Methodology &amp; Assumptions'!$B$6)+(W931*'Methodology &amp; Assumptions'!$B$5)+(X931*'Methodology &amp; Assumptions'!$B$7), 2)</f>
        <v/>
      </c>
    </row>
    <row r="932" ht="19" customHeight="1">
      <c r="A932" s="41" t="n">
        <v>928</v>
      </c>
      <c r="B932" s="41" t="n">
        <v>2928</v>
      </c>
      <c r="C932" s="42" t="inlineStr">
        <is>
          <t>0307706014</t>
        </is>
      </c>
      <c r="D932" s="42" t="inlineStr">
        <is>
          <t>Region III (Central Luzon)</t>
        </is>
      </c>
      <c r="E932" s="42" t="inlineStr">
        <is>
          <t>Aurora</t>
        </is>
      </c>
      <c r="F932" s="42" t="inlineStr">
        <is>
          <t>Dipaculao</t>
        </is>
      </c>
      <c r="G932" s="42" t="inlineStr">
        <is>
          <t>Lipit</t>
        </is>
      </c>
      <c r="H932" s="43" t="n">
        <v>15.83495</v>
      </c>
      <c r="I932" s="43" t="n">
        <v>121.534422</v>
      </c>
      <c r="J932" s="44" t="inlineStr">
        <is>
          <t>R</t>
        </is>
      </c>
      <c r="K932" s="42" t="inlineStr">
        <is>
          <t>Class 1-3 / Urban</t>
        </is>
      </c>
      <c r="L932" s="23" t="n">
        <v>1073</v>
      </c>
      <c r="M932" s="24" t="n">
        <v>4.24</v>
      </c>
      <c r="N932" s="23">
        <f>ROUND(L932/M932, 0)</f>
        <v/>
      </c>
      <c r="O932" s="23">
        <f>ROUND(N932*'Methodology &amp; Assumptions'!$B$8, 0)</f>
        <v/>
      </c>
      <c r="P932" s="44" t="inlineStr">
        <is>
          <t>Band n50 (1.5 GHz, 60 MHz)</t>
        </is>
      </c>
      <c r="Q932" s="38">
        <f>ROUNDUP(O932/'Methodology &amp; Assumptions'!$B$9, 0)</f>
        <v/>
      </c>
      <c r="R932" s="39" t="n">
        <v>1</v>
      </c>
      <c r="S932" s="25" t="n">
        <v>0.04</v>
      </c>
      <c r="T932" s="25" t="n">
        <v>0.07000000000000001</v>
      </c>
      <c r="U932" s="42" t="inlineStr">
        <is>
          <t>Tier 1A (Direct Coloc, &lt;1 km)</t>
        </is>
      </c>
      <c r="V932" s="24" t="n">
        <v>100</v>
      </c>
      <c r="W932" s="24" t="n">
        <v>44.3</v>
      </c>
      <c r="X932" s="24" t="n">
        <v>58</v>
      </c>
      <c r="Y932" s="45">
        <f>ROUND((V932*'Methodology &amp; Assumptions'!$B$6)+(W932*'Methodology &amp; Assumptions'!$B$5)+(X932*'Methodology &amp; Assumptions'!$B$7), 2)</f>
        <v/>
      </c>
    </row>
    <row r="933" ht="19" customHeight="1">
      <c r="A933" s="35" t="n">
        <v>929</v>
      </c>
      <c r="B933" s="35" t="n">
        <v>2929</v>
      </c>
      <c r="C933" s="36" t="inlineStr">
        <is>
          <t>0803738107</t>
        </is>
      </c>
      <c r="D933" s="36" t="inlineStr">
        <is>
          <t>Region VIII (Eastern Visayas)</t>
        </is>
      </c>
      <c r="E933" s="36" t="inlineStr">
        <is>
          <t>Leyte</t>
        </is>
      </c>
      <c r="F933" s="36" t="inlineStr">
        <is>
          <t>Ormoc City</t>
        </is>
      </c>
      <c r="G933" s="36" t="inlineStr">
        <is>
          <t>Danhug</t>
        </is>
      </c>
      <c r="H933" s="37" t="n">
        <v>10.96033</v>
      </c>
      <c r="I933" s="37" t="n">
        <v>124.646936</v>
      </c>
      <c r="J933" s="8" t="inlineStr">
        <is>
          <t>R</t>
        </is>
      </c>
      <c r="K933" s="36" t="inlineStr">
        <is>
          <t>Class 1-3 / Urban</t>
        </is>
      </c>
      <c r="L933" s="18" t="n">
        <v>1070</v>
      </c>
      <c r="M933" s="20" t="n">
        <v>4.24</v>
      </c>
      <c r="N933" s="18">
        <f>ROUND(L933/M933, 0)</f>
        <v/>
      </c>
      <c r="O933" s="18">
        <f>ROUND(N933*'Methodology &amp; Assumptions'!$B$8, 0)</f>
        <v/>
      </c>
      <c r="P933" s="8" t="inlineStr">
        <is>
          <t>Band n50 (1.5 GHz, 60 MHz)</t>
        </is>
      </c>
      <c r="Q933" s="38">
        <f>ROUNDUP(O933/'Methodology &amp; Assumptions'!$B$9, 0)</f>
        <v/>
      </c>
      <c r="R933" s="39" t="n">
        <v>1</v>
      </c>
      <c r="S933" s="21" t="n">
        <v>0.25</v>
      </c>
      <c r="T933" s="21" t="n">
        <v>0.26</v>
      </c>
      <c r="U933" s="36" t="inlineStr">
        <is>
          <t>Tier 1A (Direct Coloc, &lt;1 km)</t>
        </is>
      </c>
      <c r="V933" s="20" t="n">
        <v>100</v>
      </c>
      <c r="W933" s="20" t="n">
        <v>44.3</v>
      </c>
      <c r="X933" s="20" t="n">
        <v>58</v>
      </c>
      <c r="Y933" s="40">
        <f>ROUND((V933*'Methodology &amp; Assumptions'!$B$6)+(W933*'Methodology &amp; Assumptions'!$B$5)+(X933*'Methodology &amp; Assumptions'!$B$7), 2)</f>
        <v/>
      </c>
    </row>
    <row r="934" ht="19" customHeight="1">
      <c r="A934" s="41" t="n">
        <v>930</v>
      </c>
      <c r="B934" s="41" t="n">
        <v>2930</v>
      </c>
      <c r="C934" s="42" t="inlineStr">
        <is>
          <t>0907322002</t>
        </is>
      </c>
      <c r="D934" s="42" t="inlineStr">
        <is>
          <t>Region IX (Zamboanga Peninsula)</t>
        </is>
      </c>
      <c r="E934" s="42" t="inlineStr">
        <is>
          <t>Zamboanga del Sur</t>
        </is>
      </c>
      <c r="F934" s="42" t="inlineStr">
        <is>
          <t>City of Pagadian</t>
        </is>
      </c>
      <c r="G934" s="42" t="inlineStr">
        <is>
          <t>Balangasan</t>
        </is>
      </c>
      <c r="H934" s="43" t="n">
        <v>7.822465</v>
      </c>
      <c r="I934" s="43" t="n">
        <v>123.428215</v>
      </c>
      <c r="J934" s="44" t="inlineStr">
        <is>
          <t>U</t>
        </is>
      </c>
      <c r="K934" s="42" t="inlineStr">
        <is>
          <t>Class 1-3 / Urban</t>
        </is>
      </c>
      <c r="L934" s="23" t="n">
        <v>15006</v>
      </c>
      <c r="M934" s="24" t="n">
        <v>4.61</v>
      </c>
      <c r="N934" s="23">
        <f>ROUND(L934/M934, 0)</f>
        <v/>
      </c>
      <c r="O934" s="23">
        <f>ROUND(N934*'Methodology &amp; Assumptions'!$B$8, 0)</f>
        <v/>
      </c>
      <c r="P934" s="44" t="inlineStr">
        <is>
          <t>Band n50 (1.5 GHz, 60 MHz)</t>
        </is>
      </c>
      <c r="Q934" s="38">
        <f>ROUNDUP(O934/'Methodology &amp; Assumptions'!$B$9, 0)</f>
        <v/>
      </c>
      <c r="R934" s="39" t="n">
        <v>1</v>
      </c>
      <c r="S934" s="25" t="n">
        <v>1.53</v>
      </c>
      <c r="T934" s="25" t="n">
        <v>0.9399999999999999</v>
      </c>
      <c r="U934" s="42" t="inlineStr">
        <is>
          <t>Tier 1B (Micro Drop, 1-3 km)</t>
        </is>
      </c>
      <c r="V934" s="24" t="n">
        <v>70</v>
      </c>
      <c r="W934" s="24" t="n">
        <v>100</v>
      </c>
      <c r="X934" s="24" t="n">
        <v>28</v>
      </c>
      <c r="Y934" s="45">
        <f>ROUND((V934*'Methodology &amp; Assumptions'!$B$6)+(W934*'Methodology &amp; Assumptions'!$B$5)+(X934*'Methodology &amp; Assumptions'!$B$7), 2)</f>
        <v/>
      </c>
    </row>
    <row r="935" ht="19" customHeight="1">
      <c r="A935" s="35" t="n">
        <v>931</v>
      </c>
      <c r="B935" s="35" t="n">
        <v>2931</v>
      </c>
      <c r="C935" s="36" t="inlineStr">
        <is>
          <t>1606724096</t>
        </is>
      </c>
      <c r="D935" s="36" t="inlineStr">
        <is>
          <t>Region XIII (Caraga)</t>
        </is>
      </c>
      <c r="E935" s="36" t="inlineStr">
        <is>
          <t>Surigao del Norte</t>
        </is>
      </c>
      <c r="F935" s="36" t="inlineStr">
        <is>
          <t>City of Surigao</t>
        </is>
      </c>
      <c r="G935" s="36" t="inlineStr">
        <is>
          <t>Canlanipa</t>
        </is>
      </c>
      <c r="H935" s="37" t="n">
        <v>9.774400999999999</v>
      </c>
      <c r="I935" s="37" t="n">
        <v>125.496784</v>
      </c>
      <c r="J935" s="8" t="inlineStr">
        <is>
          <t>U</t>
        </is>
      </c>
      <c r="K935" s="36" t="inlineStr">
        <is>
          <t>Class 1-3 / Urban</t>
        </is>
      </c>
      <c r="L935" s="18" t="n">
        <v>11636</v>
      </c>
      <c r="M935" s="20" t="n">
        <v>4.5</v>
      </c>
      <c r="N935" s="18">
        <f>ROUND(L935/M935, 0)</f>
        <v/>
      </c>
      <c r="O935" s="18">
        <f>ROUND(N935*'Methodology &amp; Assumptions'!$B$8, 0)</f>
        <v/>
      </c>
      <c r="P935" s="8" t="inlineStr">
        <is>
          <t>Band n50 (1.5 GHz, 60 MHz)</t>
        </is>
      </c>
      <c r="Q935" s="38">
        <f>ROUNDUP(O935/'Methodology &amp; Assumptions'!$B$9, 0)</f>
        <v/>
      </c>
      <c r="R935" s="39" t="n">
        <v>1</v>
      </c>
      <c r="S935" s="21" t="n">
        <v>1.53</v>
      </c>
      <c r="T935" s="21" t="n">
        <v>0.63</v>
      </c>
      <c r="U935" s="36" t="inlineStr">
        <is>
          <t>Tier 1B (Micro Drop, 1-3 km)</t>
        </is>
      </c>
      <c r="V935" s="20" t="n">
        <v>70</v>
      </c>
      <c r="W935" s="20" t="n">
        <v>100</v>
      </c>
      <c r="X935" s="20" t="n">
        <v>28</v>
      </c>
      <c r="Y935" s="40">
        <f>ROUND((V935*'Methodology &amp; Assumptions'!$B$6)+(W935*'Methodology &amp; Assumptions'!$B$5)+(X935*'Methodology &amp; Assumptions'!$B$7), 2)</f>
        <v/>
      </c>
    </row>
    <row r="936" ht="19" customHeight="1">
      <c r="A936" s="41" t="n">
        <v>932</v>
      </c>
      <c r="B936" s="41" t="n">
        <v>2932</v>
      </c>
      <c r="C936" s="42" t="inlineStr">
        <is>
          <t>0500518028</t>
        </is>
      </c>
      <c r="D936" s="42" t="inlineStr">
        <is>
          <t>Region V (Bicol Region)</t>
        </is>
      </c>
      <c r="E936" s="42" t="inlineStr">
        <is>
          <t>Albay</t>
        </is>
      </c>
      <c r="F936" s="42" t="inlineStr">
        <is>
          <t>Tiwi</t>
        </is>
      </c>
      <c r="G936" s="42" t="inlineStr">
        <is>
          <t>Tigbi</t>
        </is>
      </c>
      <c r="H936" s="43" t="n">
        <v>13.456388</v>
      </c>
      <c r="I936" s="43" t="n">
        <v>123.680306</v>
      </c>
      <c r="J936" s="44" t="inlineStr">
        <is>
          <t>U</t>
        </is>
      </c>
      <c r="K936" s="42" t="inlineStr">
        <is>
          <t>Class 1-3 / Urban</t>
        </is>
      </c>
      <c r="L936" s="23" t="n">
        <v>2934</v>
      </c>
      <c r="M936" s="24" t="n">
        <v>4.67</v>
      </c>
      <c r="N936" s="23">
        <f>ROUND(L936/M936, 0)</f>
        <v/>
      </c>
      <c r="O936" s="23">
        <f>ROUND(N936*'Methodology &amp; Assumptions'!$B$8, 0)</f>
        <v/>
      </c>
      <c r="P936" s="44" t="inlineStr">
        <is>
          <t>Band n50 (1.5 GHz, 60 MHz)</t>
        </is>
      </c>
      <c r="Q936" s="38">
        <f>ROUNDUP(O936/'Methodology &amp; Assumptions'!$B$9, 0)</f>
        <v/>
      </c>
      <c r="R936" s="39" t="n">
        <v>1</v>
      </c>
      <c r="S936" s="25" t="n">
        <v>0.46</v>
      </c>
      <c r="T936" s="25" t="n">
        <v>0.12</v>
      </c>
      <c r="U936" s="42" t="inlineStr">
        <is>
          <t>Tier 1A (Direct Coloc, &lt;1 km)</t>
        </is>
      </c>
      <c r="V936" s="24" t="n">
        <v>95.8</v>
      </c>
      <c r="W936" s="24" t="n">
        <v>74.09999999999999</v>
      </c>
      <c r="X936" s="24" t="n">
        <v>28</v>
      </c>
      <c r="Y936" s="45">
        <f>ROUND((V936*'Methodology &amp; Assumptions'!$B$6)+(W936*'Methodology &amp; Assumptions'!$B$5)+(X936*'Methodology &amp; Assumptions'!$B$7), 2)</f>
        <v/>
      </c>
    </row>
    <row r="937" ht="19" customHeight="1">
      <c r="A937" s="35" t="n">
        <v>933</v>
      </c>
      <c r="B937" s="35" t="n">
        <v>2933</v>
      </c>
      <c r="C937" s="36" t="inlineStr">
        <is>
          <t>0990101036</t>
        </is>
      </c>
      <c r="D937" s="36" t="inlineStr">
        <is>
          <t>Region IX (Zamboanga Peninsula)</t>
        </is>
      </c>
      <c r="E937" s="36" t="inlineStr">
        <is>
          <t>City of Isabela (Not a Province)</t>
        </is>
      </c>
      <c r="F937" s="36" t="inlineStr">
        <is>
          <t>City of Isabela</t>
        </is>
      </c>
      <c r="G937" s="36" t="inlineStr">
        <is>
          <t>Menzi</t>
        </is>
      </c>
      <c r="H937" s="37" t="n">
        <v>16.975934</v>
      </c>
      <c r="I937" s="37" t="n">
        <v>121.775462</v>
      </c>
      <c r="J937" s="8" t="inlineStr">
        <is>
          <t>R</t>
        </is>
      </c>
      <c r="K937" s="36" t="inlineStr">
        <is>
          <t>Class 1-3 / Urban</t>
        </is>
      </c>
      <c r="L937" s="18" t="n">
        <v>4571</v>
      </c>
      <c r="M937" s="20" t="n">
        <v>4.3</v>
      </c>
      <c r="N937" s="18">
        <f>ROUND(L937/M937, 0)</f>
        <v/>
      </c>
      <c r="O937" s="18">
        <f>ROUND(N937*'Methodology &amp; Assumptions'!$B$8, 0)</f>
        <v/>
      </c>
      <c r="P937" s="8" t="inlineStr">
        <is>
          <t>Band n50 (1.5 GHz, 60 MHz)</t>
        </is>
      </c>
      <c r="Q937" s="38">
        <f>ROUNDUP(O937/'Methodology &amp; Assumptions'!$B$9, 0)</f>
        <v/>
      </c>
      <c r="R937" s="39" t="n">
        <v>1</v>
      </c>
      <c r="S937" s="21" t="n">
        <v>4.63</v>
      </c>
      <c r="T937" s="21" t="n">
        <v>0.31</v>
      </c>
      <c r="U937" s="36" t="inlineStr">
        <is>
          <t>Tier 2 (Fiber Corridor / Lateral, 3-5 km)</t>
        </is>
      </c>
      <c r="V937" s="20" t="n">
        <v>31.4</v>
      </c>
      <c r="W937" s="20" t="n">
        <v>100</v>
      </c>
      <c r="X937" s="20" t="n">
        <v>73</v>
      </c>
      <c r="Y937" s="40">
        <f>ROUND((V937*'Methodology &amp; Assumptions'!$B$6)+(W937*'Methodology &amp; Assumptions'!$B$5)+(X937*'Methodology &amp; Assumptions'!$B$7), 2)</f>
        <v/>
      </c>
    </row>
    <row r="938" ht="19" customHeight="1">
      <c r="A938" s="41" t="n">
        <v>934</v>
      </c>
      <c r="B938" s="41" t="n">
        <v>2934</v>
      </c>
      <c r="C938" s="42" t="inlineStr">
        <is>
          <t>0990101012</t>
        </is>
      </c>
      <c r="D938" s="42" t="inlineStr">
        <is>
          <t>Region IX (Zamboanga Peninsula)</t>
        </is>
      </c>
      <c r="E938" s="42" t="inlineStr">
        <is>
          <t>City of Isabela (Not a Province)</t>
        </is>
      </c>
      <c r="F938" s="42" t="inlineStr">
        <is>
          <t>City of Isabela</t>
        </is>
      </c>
      <c r="G938" s="42" t="inlineStr">
        <is>
          <t>Carbon</t>
        </is>
      </c>
      <c r="H938" s="43" t="n">
        <v>16.975934</v>
      </c>
      <c r="I938" s="43" t="n">
        <v>121.775462</v>
      </c>
      <c r="J938" s="44" t="inlineStr">
        <is>
          <t>R</t>
        </is>
      </c>
      <c r="K938" s="42" t="inlineStr">
        <is>
          <t>Class 1-3 / Urban</t>
        </is>
      </c>
      <c r="L938" s="23" t="n">
        <v>4362</v>
      </c>
      <c r="M938" s="24" t="n">
        <v>4.3</v>
      </c>
      <c r="N938" s="23">
        <f>ROUND(L938/M938, 0)</f>
        <v/>
      </c>
      <c r="O938" s="23">
        <f>ROUND(N938*'Methodology &amp; Assumptions'!$B$8, 0)</f>
        <v/>
      </c>
      <c r="P938" s="44" t="inlineStr">
        <is>
          <t>Band n50 (1.5 GHz, 60 MHz)</t>
        </is>
      </c>
      <c r="Q938" s="38">
        <f>ROUNDUP(O938/'Methodology &amp; Assumptions'!$B$9, 0)</f>
        <v/>
      </c>
      <c r="R938" s="39" t="n">
        <v>1</v>
      </c>
      <c r="S938" s="25" t="n">
        <v>4.63</v>
      </c>
      <c r="T938" s="25" t="n">
        <v>0.31</v>
      </c>
      <c r="U938" s="42" t="inlineStr">
        <is>
          <t>Tier 2 (Fiber Corridor / Lateral, 3-5 km)</t>
        </is>
      </c>
      <c r="V938" s="24" t="n">
        <v>31.4</v>
      </c>
      <c r="W938" s="24" t="n">
        <v>100</v>
      </c>
      <c r="X938" s="24" t="n">
        <v>73</v>
      </c>
      <c r="Y938" s="45">
        <f>ROUND((V938*'Methodology &amp; Assumptions'!$B$6)+(W938*'Methodology &amp; Assumptions'!$B$5)+(X938*'Methodology &amp; Assumptions'!$B$7), 2)</f>
        <v/>
      </c>
    </row>
    <row r="939" ht="19" customHeight="1">
      <c r="A939" s="35" t="n">
        <v>935</v>
      </c>
      <c r="B939" s="35" t="n">
        <v>2935</v>
      </c>
      <c r="C939" s="36" t="inlineStr">
        <is>
          <t>0990101034</t>
        </is>
      </c>
      <c r="D939" s="36" t="inlineStr">
        <is>
          <t>Region IX (Zamboanga Peninsula)</t>
        </is>
      </c>
      <c r="E939" s="36" t="inlineStr">
        <is>
          <t>City of Isabela (Not a Province)</t>
        </is>
      </c>
      <c r="F939" s="36" t="inlineStr">
        <is>
          <t>City of Isabela</t>
        </is>
      </c>
      <c r="G939" s="36" t="inlineStr">
        <is>
          <t>Marketsite</t>
        </is>
      </c>
      <c r="H939" s="37" t="n">
        <v>16.975934</v>
      </c>
      <c r="I939" s="37" t="n">
        <v>121.775462</v>
      </c>
      <c r="J939" s="8" t="inlineStr">
        <is>
          <t>R</t>
        </is>
      </c>
      <c r="K939" s="36" t="inlineStr">
        <is>
          <t>Class 1-3 / Urban</t>
        </is>
      </c>
      <c r="L939" s="18" t="n">
        <v>4184</v>
      </c>
      <c r="M939" s="20" t="n">
        <v>4.3</v>
      </c>
      <c r="N939" s="18">
        <f>ROUND(L939/M939, 0)</f>
        <v/>
      </c>
      <c r="O939" s="18">
        <f>ROUND(N939*'Methodology &amp; Assumptions'!$B$8, 0)</f>
        <v/>
      </c>
      <c r="P939" s="8" t="inlineStr">
        <is>
          <t>Band n50 (1.5 GHz, 60 MHz)</t>
        </is>
      </c>
      <c r="Q939" s="38">
        <f>ROUNDUP(O939/'Methodology &amp; Assumptions'!$B$9, 0)</f>
        <v/>
      </c>
      <c r="R939" s="39" t="n">
        <v>1</v>
      </c>
      <c r="S939" s="21" t="n">
        <v>4.63</v>
      </c>
      <c r="T939" s="21" t="n">
        <v>0.31</v>
      </c>
      <c r="U939" s="36" t="inlineStr">
        <is>
          <t>Tier 2 (Fiber Corridor / Lateral, 3-5 km)</t>
        </is>
      </c>
      <c r="V939" s="20" t="n">
        <v>31.4</v>
      </c>
      <c r="W939" s="20" t="n">
        <v>100</v>
      </c>
      <c r="X939" s="20" t="n">
        <v>73</v>
      </c>
      <c r="Y939" s="40">
        <f>ROUND((V939*'Methodology &amp; Assumptions'!$B$6)+(W939*'Methodology &amp; Assumptions'!$B$5)+(X939*'Methodology &amp; Assumptions'!$B$7), 2)</f>
        <v/>
      </c>
    </row>
    <row r="940" ht="19" customHeight="1">
      <c r="A940" s="41" t="n">
        <v>936</v>
      </c>
      <c r="B940" s="41" t="n">
        <v>2936</v>
      </c>
      <c r="C940" s="42" t="inlineStr">
        <is>
          <t>0301420019</t>
        </is>
      </c>
      <c r="D940" s="42" t="inlineStr">
        <is>
          <t>Region III (Central Luzon)</t>
        </is>
      </c>
      <c r="E940" s="42" t="inlineStr">
        <is>
          <t>Bulacan</t>
        </is>
      </c>
      <c r="F940" s="42" t="inlineStr">
        <is>
          <t>City of San Jose Del Monte</t>
        </is>
      </c>
      <c r="G940" s="42" t="inlineStr">
        <is>
          <t>Assumption</t>
        </is>
      </c>
      <c r="H940" s="43" t="n">
        <v>14.862711</v>
      </c>
      <c r="I940" s="43" t="n">
        <v>121.063819</v>
      </c>
      <c r="J940" s="44" t="inlineStr">
        <is>
          <t>R</t>
        </is>
      </c>
      <c r="K940" s="42" t="inlineStr">
        <is>
          <t>Class 1-3 / Urban</t>
        </is>
      </c>
      <c r="L940" s="23" t="n">
        <v>4362</v>
      </c>
      <c r="M940" s="24" t="n">
        <v>4.1</v>
      </c>
      <c r="N940" s="23">
        <f>ROUND(L940/M940, 0)</f>
        <v/>
      </c>
      <c r="O940" s="23">
        <f>ROUND(N940*'Methodology &amp; Assumptions'!$B$8, 0)</f>
        <v/>
      </c>
      <c r="P940" s="44" t="inlineStr">
        <is>
          <t>Band n50 (1.5 GHz, 60 MHz)</t>
        </is>
      </c>
      <c r="Q940" s="38">
        <f>ROUNDUP(O940/'Methodology &amp; Assumptions'!$B$9, 0)</f>
        <v/>
      </c>
      <c r="R940" s="39" t="n">
        <v>1</v>
      </c>
      <c r="S940" s="25" t="n">
        <v>2.45</v>
      </c>
      <c r="T940" s="25" t="n">
        <v>4.26</v>
      </c>
      <c r="U940" s="42" t="inlineStr">
        <is>
          <t>Tier 1B (Micro Drop, 1-3 km)</t>
        </is>
      </c>
      <c r="V940" s="24" t="n">
        <v>44.2</v>
      </c>
      <c r="W940" s="24" t="n">
        <v>100</v>
      </c>
      <c r="X940" s="24" t="n">
        <v>58</v>
      </c>
      <c r="Y940" s="45">
        <f>ROUND((V940*'Methodology &amp; Assumptions'!$B$6)+(W940*'Methodology &amp; Assumptions'!$B$5)+(X940*'Methodology &amp; Assumptions'!$B$7), 2)</f>
        <v/>
      </c>
    </row>
    <row r="941" ht="19" customHeight="1">
      <c r="A941" s="35" t="n">
        <v>937</v>
      </c>
      <c r="B941" s="35" t="n">
        <v>2937</v>
      </c>
      <c r="C941" s="36" t="inlineStr">
        <is>
          <t>0203136019</t>
        </is>
      </c>
      <c r="D941" s="36" t="inlineStr">
        <is>
          <t>Region II (Cagayan Valley)</t>
        </is>
      </c>
      <c r="E941" s="36" t="inlineStr">
        <is>
          <t>Isabela</t>
        </is>
      </c>
      <c r="F941" s="36" t="inlineStr">
        <is>
          <t>Santo Tomas</t>
        </is>
      </c>
      <c r="G941" s="36" t="inlineStr">
        <is>
          <t>Centro</t>
        </is>
      </c>
      <c r="H941" s="37" t="n">
        <v>17.399053</v>
      </c>
      <c r="I941" s="37" t="n">
        <v>121.766647</v>
      </c>
      <c r="J941" s="8" t="inlineStr">
        <is>
          <t>R</t>
        </is>
      </c>
      <c r="K941" s="36" t="inlineStr">
        <is>
          <t>3rd</t>
        </is>
      </c>
      <c r="L941" s="18" t="n">
        <v>2788</v>
      </c>
      <c r="M941" s="20" t="n">
        <v>4.61</v>
      </c>
      <c r="N941" s="18">
        <f>ROUND(L941/M941, 0)</f>
        <v/>
      </c>
      <c r="O941" s="18">
        <f>ROUND(N941*'Methodology &amp; Assumptions'!$B$8, 0)</f>
        <v/>
      </c>
      <c r="P941" s="8" t="inlineStr">
        <is>
          <t>Band n50 (1.5 GHz, 60 MHz)</t>
        </is>
      </c>
      <c r="Q941" s="38">
        <f>ROUNDUP(O941/'Methodology &amp; Assumptions'!$B$9, 0)</f>
        <v/>
      </c>
      <c r="R941" s="39" t="n">
        <v>1</v>
      </c>
      <c r="S941" s="21" t="n">
        <v>1.45</v>
      </c>
      <c r="T941" s="21" t="n">
        <v>0.05</v>
      </c>
      <c r="U941" s="36" t="inlineStr">
        <is>
          <t>Tier 1B (Micro Drop, 1-3 km)</t>
        </is>
      </c>
      <c r="V941" s="20" t="n">
        <v>71.7</v>
      </c>
      <c r="W941" s="20" t="n">
        <v>72.5</v>
      </c>
      <c r="X941" s="20" t="n">
        <v>58</v>
      </c>
      <c r="Y941" s="40">
        <f>ROUND((V941*'Methodology &amp; Assumptions'!$B$6)+(W941*'Methodology &amp; Assumptions'!$B$5)+(X941*'Methodology &amp; Assumptions'!$B$7), 2)</f>
        <v/>
      </c>
    </row>
    <row r="942" ht="19" customHeight="1">
      <c r="A942" s="41" t="n">
        <v>938</v>
      </c>
      <c r="B942" s="41" t="n">
        <v>2938</v>
      </c>
      <c r="C942" s="42" t="inlineStr">
        <is>
          <t>0306904025</t>
        </is>
      </c>
      <c r="D942" s="42" t="inlineStr">
        <is>
          <t>Region III (Central Luzon)</t>
        </is>
      </c>
      <c r="E942" s="42" t="inlineStr">
        <is>
          <t>Tarlac</t>
        </is>
      </c>
      <c r="F942" s="42" t="inlineStr">
        <is>
          <t>Capas</t>
        </is>
      </c>
      <c r="G942" s="42" t="inlineStr">
        <is>
          <t>Cristo Rey</t>
        </is>
      </c>
      <c r="H942" s="43" t="n">
        <v>15.359001</v>
      </c>
      <c r="I942" s="43" t="n">
        <v>120.531663</v>
      </c>
      <c r="J942" s="44" t="inlineStr">
        <is>
          <t>U</t>
        </is>
      </c>
      <c r="K942" s="42" t="inlineStr">
        <is>
          <t>Class 1-3 / Urban</t>
        </is>
      </c>
      <c r="L942" s="23" t="n">
        <v>35334</v>
      </c>
      <c r="M942" s="24" t="n">
        <v>4.3</v>
      </c>
      <c r="N942" s="23">
        <f>ROUND(L942/M942, 0)</f>
        <v/>
      </c>
      <c r="O942" s="23">
        <f>ROUND(N942*'Methodology &amp; Assumptions'!$B$8, 0)</f>
        <v/>
      </c>
      <c r="P942" s="44" t="inlineStr">
        <is>
          <t>Band n50 (1.5 GHz, 60 MHz)</t>
        </is>
      </c>
      <c r="Q942" s="38">
        <f>ROUNDUP(O942/'Methodology &amp; Assumptions'!$B$9, 0)</f>
        <v/>
      </c>
      <c r="R942" s="39" t="n">
        <v>1</v>
      </c>
      <c r="S942" s="25" t="n">
        <v>1.01</v>
      </c>
      <c r="T942" s="25" t="n">
        <v>6.41</v>
      </c>
      <c r="U942" s="42" t="inlineStr">
        <is>
          <t>Tier 1B (Micro Drop, 1-3 km)</t>
        </is>
      </c>
      <c r="V942" s="24" t="n">
        <v>71.3</v>
      </c>
      <c r="W942" s="24" t="n">
        <v>98.59999999999999</v>
      </c>
      <c r="X942" s="24" t="n">
        <v>28</v>
      </c>
      <c r="Y942" s="45">
        <f>ROUND((V942*'Methodology &amp; Assumptions'!$B$6)+(W942*'Methodology &amp; Assumptions'!$B$5)+(X942*'Methodology &amp; Assumptions'!$B$7), 2)</f>
        <v/>
      </c>
    </row>
    <row r="943" ht="19" customHeight="1">
      <c r="A943" s="35" t="n">
        <v>939</v>
      </c>
      <c r="B943" s="35" t="n">
        <v>2939</v>
      </c>
      <c r="C943" s="36" t="inlineStr">
        <is>
          <t>0500504014</t>
        </is>
      </c>
      <c r="D943" s="36" t="inlineStr">
        <is>
          <t>Region V (Bicol Region)</t>
        </is>
      </c>
      <c r="E943" s="36" t="inlineStr">
        <is>
          <t>Albay</t>
        </is>
      </c>
      <c r="F943" s="36" t="inlineStr">
        <is>
          <t>Guinobatan</t>
        </is>
      </c>
      <c r="G943" s="36" t="inlineStr">
        <is>
          <t>Inamnan Pequeño</t>
        </is>
      </c>
      <c r="H943" s="37" t="n">
        <v>13.185262</v>
      </c>
      <c r="I943" s="37" t="n">
        <v>123.599802</v>
      </c>
      <c r="J943" s="8" t="inlineStr">
        <is>
          <t>R</t>
        </is>
      </c>
      <c r="K943" s="36" t="inlineStr">
        <is>
          <t>Class 1-3 / Urban</t>
        </is>
      </c>
      <c r="L943" s="18" t="n">
        <v>1598</v>
      </c>
      <c r="M943" s="20" t="n">
        <v>4.67</v>
      </c>
      <c r="N943" s="18">
        <f>ROUND(L943/M943, 0)</f>
        <v/>
      </c>
      <c r="O943" s="18">
        <f>ROUND(N943*'Methodology &amp; Assumptions'!$B$8, 0)</f>
        <v/>
      </c>
      <c r="P943" s="8" t="inlineStr">
        <is>
          <t>Band n50 (1.5 GHz, 60 MHz)</t>
        </is>
      </c>
      <c r="Q943" s="38">
        <f>ROUNDUP(O943/'Methodology &amp; Assumptions'!$B$9, 0)</f>
        <v/>
      </c>
      <c r="R943" s="39" t="n">
        <v>1</v>
      </c>
      <c r="S943" s="21" t="n">
        <v>0.57</v>
      </c>
      <c r="T943" s="21" t="n">
        <v>0.64</v>
      </c>
      <c r="U943" s="36" t="inlineStr">
        <is>
          <t>Tier 1A (Direct Coloc, &lt;1 km)</t>
        </is>
      </c>
      <c r="V943" s="20" t="n">
        <v>92.7</v>
      </c>
      <c r="W943" s="20" t="n">
        <v>51.5</v>
      </c>
      <c r="X943" s="20" t="n">
        <v>58</v>
      </c>
      <c r="Y943" s="40">
        <f>ROUND((V943*'Methodology &amp; Assumptions'!$B$6)+(W943*'Methodology &amp; Assumptions'!$B$5)+(X943*'Methodology &amp; Assumptions'!$B$7), 2)</f>
        <v/>
      </c>
    </row>
    <row r="944" ht="19" customHeight="1">
      <c r="A944" s="41" t="n">
        <v>940</v>
      </c>
      <c r="B944" s="41" t="n">
        <v>2940</v>
      </c>
      <c r="C944" s="42" t="inlineStr">
        <is>
          <t>0631000137</t>
        </is>
      </c>
      <c r="D944" s="42" t="inlineStr">
        <is>
          <t>Region VI (Western Visayas)</t>
        </is>
      </c>
      <c r="E944" s="42" t="inlineStr">
        <is>
          <t>Iloilo</t>
        </is>
      </c>
      <c r="F944" s="42" t="inlineStr">
        <is>
          <t>City of Iloilo</t>
        </is>
      </c>
      <c r="G944" s="42" t="inlineStr">
        <is>
          <t>Rizal Estanzuela</t>
        </is>
      </c>
      <c r="H944" s="43" t="n">
        <v>10.691496</v>
      </c>
      <c r="I944" s="43" t="n">
        <v>122.56093</v>
      </c>
      <c r="J944" s="44" t="inlineStr">
        <is>
          <t>R</t>
        </is>
      </c>
      <c r="K944" s="42" t="inlineStr">
        <is>
          <t>Class 1-3 / Urban</t>
        </is>
      </c>
      <c r="L944" s="23" t="n">
        <v>3215</v>
      </c>
      <c r="M944" s="24" t="n">
        <v>4.39</v>
      </c>
      <c r="N944" s="23">
        <f>ROUND(L944/M944, 0)</f>
        <v/>
      </c>
      <c r="O944" s="23">
        <f>ROUND(N944*'Methodology &amp; Assumptions'!$B$8, 0)</f>
        <v/>
      </c>
      <c r="P944" s="44" t="inlineStr">
        <is>
          <t>Band n50 (1.5 GHz, 60 MHz)</t>
        </is>
      </c>
      <c r="Q944" s="38">
        <f>ROUNDUP(O944/'Methodology &amp; Assumptions'!$B$9, 0)</f>
        <v/>
      </c>
      <c r="R944" s="39" t="n">
        <v>1</v>
      </c>
      <c r="S944" s="25" t="n">
        <v>1.99</v>
      </c>
      <c r="T944" s="25" t="n">
        <v>1.42</v>
      </c>
      <c r="U944" s="42" t="inlineStr">
        <is>
          <t>Tier 1B (Micro Drop, 1-3 km)</t>
        </is>
      </c>
      <c r="V944" s="24" t="n">
        <v>61.5</v>
      </c>
      <c r="W944" s="24" t="n">
        <v>82.7</v>
      </c>
      <c r="X944" s="24" t="n">
        <v>58</v>
      </c>
      <c r="Y944" s="45">
        <f>ROUND((V944*'Methodology &amp; Assumptions'!$B$6)+(W944*'Methodology &amp; Assumptions'!$B$5)+(X944*'Methodology &amp; Assumptions'!$B$7), 2)</f>
        <v/>
      </c>
    </row>
    <row r="945" ht="19" customHeight="1">
      <c r="A945" s="35" t="n">
        <v>941</v>
      </c>
      <c r="B945" s="35" t="n">
        <v>2941</v>
      </c>
      <c r="C945" s="36" t="inlineStr">
        <is>
          <t>1430300061</t>
        </is>
      </c>
      <c r="D945" s="36" t="inlineStr">
        <is>
          <t>Cordillera Administrative Region (CAR)</t>
        </is>
      </c>
      <c r="E945" s="36" t="inlineStr">
        <is>
          <t>Benguet</t>
        </is>
      </c>
      <c r="F945" s="36" t="inlineStr">
        <is>
          <t>City of Baguio</t>
        </is>
      </c>
      <c r="G945" s="36" t="inlineStr">
        <is>
          <t>Quirino Hill, Lower</t>
        </is>
      </c>
      <c r="H945" s="37" t="n">
        <v>16.43186</v>
      </c>
      <c r="I945" s="37" t="n">
        <v>120.59372</v>
      </c>
      <c r="J945" s="8" t="inlineStr">
        <is>
          <t>R</t>
        </is>
      </c>
      <c r="K945" s="36" t="inlineStr">
        <is>
          <t>Class 1-3 / Urban</t>
        </is>
      </c>
      <c r="L945" s="18" t="n">
        <v>1998</v>
      </c>
      <c r="M945" s="20" t="n">
        <v>4.58</v>
      </c>
      <c r="N945" s="18">
        <f>ROUND(L945/M945, 0)</f>
        <v/>
      </c>
      <c r="O945" s="18">
        <f>ROUND(N945*'Methodology &amp; Assumptions'!$B$8, 0)</f>
        <v/>
      </c>
      <c r="P945" s="8" t="inlineStr">
        <is>
          <t>Band n50 (1.5 GHz, 60 MHz)</t>
        </is>
      </c>
      <c r="Q945" s="38">
        <f>ROUNDUP(O945/'Methodology &amp; Assumptions'!$B$9, 0)</f>
        <v/>
      </c>
      <c r="R945" s="39" t="n">
        <v>1</v>
      </c>
      <c r="S945" s="21" t="n">
        <v>0.7</v>
      </c>
      <c r="T945" s="21" t="n">
        <v>1.7</v>
      </c>
      <c r="U945" s="36" t="inlineStr">
        <is>
          <t>Tier 1A (Direct Coloc, &lt;1 km)</t>
        </is>
      </c>
      <c r="V945" s="20" t="n">
        <v>89.2</v>
      </c>
      <c r="W945" s="20" t="n">
        <v>54.9</v>
      </c>
      <c r="X945" s="20" t="n">
        <v>58</v>
      </c>
      <c r="Y945" s="40">
        <f>ROUND((V945*'Methodology &amp; Assumptions'!$B$6)+(W945*'Methodology &amp; Assumptions'!$B$5)+(X945*'Methodology &amp; Assumptions'!$B$7), 2)</f>
        <v/>
      </c>
    </row>
    <row r="946" ht="19" customHeight="1">
      <c r="A946" s="41" t="n">
        <v>942</v>
      </c>
      <c r="B946" s="41" t="n">
        <v>2942</v>
      </c>
      <c r="C946" s="42" t="inlineStr">
        <is>
          <t>0307702017</t>
        </is>
      </c>
      <c r="D946" s="42" t="inlineStr">
        <is>
          <t>Region III (Central Luzon)</t>
        </is>
      </c>
      <c r="E946" s="42" t="inlineStr">
        <is>
          <t>Aurora</t>
        </is>
      </c>
      <c r="F946" s="42" t="inlineStr">
        <is>
          <t>Casiguran</t>
        </is>
      </c>
      <c r="G946" s="42" t="inlineStr">
        <is>
          <t>Tabas</t>
        </is>
      </c>
      <c r="H946" s="43" t="n">
        <v>16.279277</v>
      </c>
      <c r="I946" s="43" t="n">
        <v>122.12113</v>
      </c>
      <c r="J946" s="44" t="inlineStr">
        <is>
          <t>R</t>
        </is>
      </c>
      <c r="K946" s="42" t="inlineStr">
        <is>
          <t>Class 1-3 / Urban</t>
        </is>
      </c>
      <c r="L946" s="23" t="n">
        <v>1199</v>
      </c>
      <c r="M946" s="24" t="n">
        <v>4.24</v>
      </c>
      <c r="N946" s="23">
        <f>ROUND(L946/M946, 0)</f>
        <v/>
      </c>
      <c r="O946" s="23">
        <f>ROUND(N946*'Methodology &amp; Assumptions'!$B$8, 0)</f>
        <v/>
      </c>
      <c r="P946" s="44" t="inlineStr">
        <is>
          <t>Band n50 (1.5 GHz, 60 MHz)</t>
        </is>
      </c>
      <c r="Q946" s="38">
        <f>ROUNDUP(O946/'Methodology &amp; Assumptions'!$B$9, 0)</f>
        <v/>
      </c>
      <c r="R946" s="39" t="n">
        <v>1</v>
      </c>
      <c r="S946" s="25" t="n">
        <v>0.4</v>
      </c>
      <c r="T946" s="25" t="n">
        <v>0.29</v>
      </c>
      <c r="U946" s="42" t="inlineStr">
        <is>
          <t>Tier 1A (Direct Coloc, &lt;1 km)</t>
        </is>
      </c>
      <c r="V946" s="24" t="n">
        <v>97.5</v>
      </c>
      <c r="W946" s="24" t="n">
        <v>46.7</v>
      </c>
      <c r="X946" s="24" t="n">
        <v>58</v>
      </c>
      <c r="Y946" s="45">
        <f>ROUND((V946*'Methodology &amp; Assumptions'!$B$6)+(W946*'Methodology &amp; Assumptions'!$B$5)+(X946*'Methodology &amp; Assumptions'!$B$7), 2)</f>
        <v/>
      </c>
    </row>
    <row r="947" ht="19" customHeight="1">
      <c r="A947" s="35" t="n">
        <v>943</v>
      </c>
      <c r="B947" s="35" t="n">
        <v>2943</v>
      </c>
      <c r="C947" s="36" t="inlineStr">
        <is>
          <t>0506216035</t>
        </is>
      </c>
      <c r="D947" s="36" t="inlineStr">
        <is>
          <t>Region V (Bicol Region)</t>
        </is>
      </c>
      <c r="E947" s="36" t="inlineStr">
        <is>
          <t>Sorsogon</t>
        </is>
      </c>
      <c r="F947" s="36" t="inlineStr">
        <is>
          <t>City of Sorsogon</t>
        </is>
      </c>
      <c r="G947" s="36" t="inlineStr">
        <is>
          <t>Talisay</t>
        </is>
      </c>
      <c r="H947" s="37" t="n">
        <v>12.969114</v>
      </c>
      <c r="I947" s="37" t="n">
        <v>124.002967</v>
      </c>
      <c r="J947" s="8" t="inlineStr">
        <is>
          <t>U</t>
        </is>
      </c>
      <c r="K947" s="36" t="inlineStr">
        <is>
          <t>Class 1-3 / Urban</t>
        </is>
      </c>
      <c r="L947" s="18" t="n">
        <v>2634</v>
      </c>
      <c r="M947" s="20" t="n">
        <v>4.58</v>
      </c>
      <c r="N947" s="18">
        <f>ROUND(L947/M947, 0)</f>
        <v/>
      </c>
      <c r="O947" s="18">
        <f>ROUND(N947*'Methodology &amp; Assumptions'!$B$8, 0)</f>
        <v/>
      </c>
      <c r="P947" s="8" t="inlineStr">
        <is>
          <t>Band n50 (1.5 GHz, 60 MHz)</t>
        </is>
      </c>
      <c r="Q947" s="38">
        <f>ROUNDUP(O947/'Methodology &amp; Assumptions'!$B$9, 0)</f>
        <v/>
      </c>
      <c r="R947" s="39" t="n">
        <v>1</v>
      </c>
      <c r="S947" s="21" t="n">
        <v>0.1</v>
      </c>
      <c r="T947" s="21" t="n">
        <v>0.09</v>
      </c>
      <c r="U947" s="36" t="inlineStr">
        <is>
          <t>Tier 1A (Direct Coloc, &lt;1 km)</t>
        </is>
      </c>
      <c r="V947" s="20" t="n">
        <v>100</v>
      </c>
      <c r="W947" s="20" t="n">
        <v>69.90000000000001</v>
      </c>
      <c r="X947" s="20" t="n">
        <v>28</v>
      </c>
      <c r="Y947" s="40">
        <f>ROUND((V947*'Methodology &amp; Assumptions'!$B$6)+(W947*'Methodology &amp; Assumptions'!$B$5)+(X947*'Methodology &amp; Assumptions'!$B$7), 2)</f>
        <v/>
      </c>
    </row>
    <row r="948" ht="19" customHeight="1">
      <c r="A948" s="41" t="n">
        <v>944</v>
      </c>
      <c r="B948" s="41" t="n">
        <v>2944</v>
      </c>
      <c r="C948" s="42" t="inlineStr">
        <is>
          <t>0102812074</t>
        </is>
      </c>
      <c r="D948" s="42" t="inlineStr">
        <is>
          <t>Region I (Ilocos Region)</t>
        </is>
      </c>
      <c r="E948" s="42" t="inlineStr">
        <is>
          <t>Ilocos Norte</t>
        </is>
      </c>
      <c r="F948" s="42" t="inlineStr">
        <is>
          <t>City of Laoag</t>
        </is>
      </c>
      <c r="G948" s="42" t="inlineStr">
        <is>
          <t>Bgy. No. 2, Santa Joaquina</t>
        </is>
      </c>
      <c r="H948" s="43" t="n">
        <v>18.207057</v>
      </c>
      <c r="I948" s="43" t="n">
        <v>120.587625</v>
      </c>
      <c r="J948" s="44" t="inlineStr">
        <is>
          <t>U</t>
        </is>
      </c>
      <c r="K948" s="42" t="inlineStr">
        <is>
          <t>Class 1-3 / Urban</t>
        </is>
      </c>
      <c r="L948" s="23" t="n">
        <v>2501</v>
      </c>
      <c r="M948" s="24" t="n">
        <v>4.35</v>
      </c>
      <c r="N948" s="23">
        <f>ROUND(L948/M948, 0)</f>
        <v/>
      </c>
      <c r="O948" s="23">
        <f>ROUND(N948*'Methodology &amp; Assumptions'!$B$8, 0)</f>
        <v/>
      </c>
      <c r="P948" s="44" t="inlineStr">
        <is>
          <t>Band n50 (1.5 GHz, 60 MHz)</t>
        </is>
      </c>
      <c r="Q948" s="38">
        <f>ROUNDUP(O948/'Methodology &amp; Assumptions'!$B$9, 0)</f>
        <v/>
      </c>
      <c r="R948" s="39" t="n">
        <v>1</v>
      </c>
      <c r="S948" s="25" t="n">
        <v>0.24</v>
      </c>
      <c r="T948" s="25" t="n">
        <v>0.22</v>
      </c>
      <c r="U948" s="42" t="inlineStr">
        <is>
          <t>Tier 1A (Direct Coloc, &lt;1 km)</t>
        </is>
      </c>
      <c r="V948" s="24" t="n">
        <v>100</v>
      </c>
      <c r="W948" s="24" t="n">
        <v>69.90000000000001</v>
      </c>
      <c r="X948" s="24" t="n">
        <v>28</v>
      </c>
      <c r="Y948" s="45">
        <f>ROUND((V948*'Methodology &amp; Assumptions'!$B$6)+(W948*'Methodology &amp; Assumptions'!$B$5)+(X948*'Methodology &amp; Assumptions'!$B$7), 2)</f>
        <v/>
      </c>
    </row>
    <row r="949" ht="19" customHeight="1">
      <c r="A949" s="35" t="n">
        <v>945</v>
      </c>
      <c r="B949" s="35" t="n">
        <v>2945</v>
      </c>
      <c r="C949" s="36" t="inlineStr">
        <is>
          <t>0306902014</t>
        </is>
      </c>
      <c r="D949" s="36" t="inlineStr">
        <is>
          <t>Region III (Central Luzon)</t>
        </is>
      </c>
      <c r="E949" s="36" t="inlineStr">
        <is>
          <t>Tarlac</t>
        </is>
      </c>
      <c r="F949" s="36" t="inlineStr">
        <is>
          <t>Bamban</t>
        </is>
      </c>
      <c r="G949" s="36" t="inlineStr">
        <is>
          <t>San Vicente</t>
        </is>
      </c>
      <c r="H949" s="37" t="n">
        <v>15.476191</v>
      </c>
      <c r="I949" s="37" t="n">
        <v>120.586771</v>
      </c>
      <c r="J949" s="8" t="inlineStr">
        <is>
          <t>R</t>
        </is>
      </c>
      <c r="K949" s="36" t="inlineStr">
        <is>
          <t>Class 1-3 / Urban</t>
        </is>
      </c>
      <c r="L949" s="18" t="n">
        <v>3772</v>
      </c>
      <c r="M949" s="20" t="n">
        <v>4.3</v>
      </c>
      <c r="N949" s="18">
        <f>ROUND(L949/M949, 0)</f>
        <v/>
      </c>
      <c r="O949" s="18">
        <f>ROUND(N949*'Methodology &amp; Assumptions'!$B$8, 0)</f>
        <v/>
      </c>
      <c r="P949" s="8" t="inlineStr">
        <is>
          <t>Band n50 (1.5 GHz, 60 MHz)</t>
        </is>
      </c>
      <c r="Q949" s="38">
        <f>ROUNDUP(O949/'Methodology &amp; Assumptions'!$B$9, 0)</f>
        <v/>
      </c>
      <c r="R949" s="39" t="n">
        <v>1</v>
      </c>
      <c r="S949" s="21" t="n">
        <v>2.75</v>
      </c>
      <c r="T949" s="21" t="n">
        <v>0.13</v>
      </c>
      <c r="U949" s="36" t="inlineStr">
        <is>
          <t>Tier 1B (Micro Drop, 1-3 km)</t>
        </is>
      </c>
      <c r="V949" s="20" t="n">
        <v>50</v>
      </c>
      <c r="W949" s="20" t="n">
        <v>94.09999999999999</v>
      </c>
      <c r="X949" s="20" t="n">
        <v>58</v>
      </c>
      <c r="Y949" s="40">
        <f>ROUND((V949*'Methodology &amp; Assumptions'!$B$6)+(W949*'Methodology &amp; Assumptions'!$B$5)+(X949*'Methodology &amp; Assumptions'!$B$7), 2)</f>
        <v/>
      </c>
    </row>
    <row r="950" ht="19" customHeight="1">
      <c r="A950" s="41" t="n">
        <v>946</v>
      </c>
      <c r="B950" s="41" t="n">
        <v>2946</v>
      </c>
      <c r="C950" s="42" t="inlineStr">
        <is>
          <t>0701242006</t>
        </is>
      </c>
      <c r="D950" s="42" t="inlineStr">
        <is>
          <t>Region VII (Central Visayas)</t>
        </is>
      </c>
      <c r="E950" s="42" t="inlineStr">
        <is>
          <t>Bohol</t>
        </is>
      </c>
      <c r="F950" s="42" t="inlineStr">
        <is>
          <t>City of Tagbilaran</t>
        </is>
      </c>
      <c r="G950" s="42" t="inlineStr">
        <is>
          <t>Dampas</t>
        </is>
      </c>
      <c r="H950" s="43" t="n">
        <v>9.645682000000001</v>
      </c>
      <c r="I950" s="43" t="n">
        <v>123.871245</v>
      </c>
      <c r="J950" s="44" t="inlineStr">
        <is>
          <t>U</t>
        </is>
      </c>
      <c r="K950" s="42" t="inlineStr">
        <is>
          <t>Class 1-3 / Urban</t>
        </is>
      </c>
      <c r="L950" s="23" t="n">
        <v>9072</v>
      </c>
      <c r="M950" s="24" t="n">
        <v>4.54</v>
      </c>
      <c r="N950" s="23">
        <f>ROUND(L950/M950, 0)</f>
        <v/>
      </c>
      <c r="O950" s="23">
        <f>ROUND(N950*'Methodology &amp; Assumptions'!$B$8, 0)</f>
        <v/>
      </c>
      <c r="P950" s="44" t="inlineStr">
        <is>
          <t>Band n50 (1.5 GHz, 60 MHz)</t>
        </is>
      </c>
      <c r="Q950" s="38">
        <f>ROUNDUP(O950/'Methodology &amp; Assumptions'!$B$9, 0)</f>
        <v/>
      </c>
      <c r="R950" s="39" t="n">
        <v>1</v>
      </c>
      <c r="S950" s="25" t="n">
        <v>1.54</v>
      </c>
      <c r="T950" s="25" t="n">
        <v>0.76</v>
      </c>
      <c r="U950" s="42" t="inlineStr">
        <is>
          <t>Tier 1B (Micro Drop, 1-3 km)</t>
        </is>
      </c>
      <c r="V950" s="24" t="n">
        <v>69.8</v>
      </c>
      <c r="W950" s="24" t="n">
        <v>100</v>
      </c>
      <c r="X950" s="24" t="n">
        <v>28</v>
      </c>
      <c r="Y950" s="45">
        <f>ROUND((V950*'Methodology &amp; Assumptions'!$B$6)+(W950*'Methodology &amp; Assumptions'!$B$5)+(X950*'Methodology &amp; Assumptions'!$B$7), 2)</f>
        <v/>
      </c>
    </row>
    <row r="951" ht="19" customHeight="1">
      <c r="A951" s="35" t="n">
        <v>947</v>
      </c>
      <c r="B951" s="35" t="n">
        <v>2947</v>
      </c>
      <c r="C951" s="36" t="inlineStr">
        <is>
          <t>0403414005</t>
        </is>
      </c>
      <c r="D951" s="36" t="inlineStr">
        <is>
          <t>Region IV-A (CALABARZON)</t>
        </is>
      </c>
      <c r="E951" s="36" t="inlineStr">
        <is>
          <t>Laguna</t>
        </is>
      </c>
      <c r="F951" s="36" t="inlineStr">
        <is>
          <t>Mabitac</t>
        </is>
      </c>
      <c r="G951" s="36" t="inlineStr">
        <is>
          <t>Nanguma</t>
        </is>
      </c>
      <c r="H951" s="37" t="n">
        <v>14.444614</v>
      </c>
      <c r="I951" s="37" t="n">
        <v>121.422578</v>
      </c>
      <c r="J951" s="8" t="inlineStr">
        <is>
          <t>R</t>
        </is>
      </c>
      <c r="K951" s="36" t="inlineStr">
        <is>
          <t>4th</t>
        </is>
      </c>
      <c r="L951" s="18" t="n">
        <v>2508</v>
      </c>
      <c r="M951" s="20" t="n">
        <v>4.48</v>
      </c>
      <c r="N951" s="18">
        <f>ROUND(L951/M951, 0)</f>
        <v/>
      </c>
      <c r="O951" s="18">
        <f>ROUND(N951*'Methodology &amp; Assumptions'!$B$8, 0)</f>
        <v/>
      </c>
      <c r="P951" s="8" t="inlineStr">
        <is>
          <t>Band n50 (1.5 GHz, 60 MHz)</t>
        </is>
      </c>
      <c r="Q951" s="38">
        <f>ROUNDUP(O951/'Methodology &amp; Assumptions'!$B$9, 0)</f>
        <v/>
      </c>
      <c r="R951" s="39" t="n">
        <v>1</v>
      </c>
      <c r="S951" s="21" t="n">
        <v>1.72</v>
      </c>
      <c r="T951" s="21" t="n">
        <v>0.09</v>
      </c>
      <c r="U951" s="36" t="inlineStr">
        <is>
          <t>Tier 1B (Micro Drop, 1-3 km)</t>
        </is>
      </c>
      <c r="V951" s="20" t="n">
        <v>66.3</v>
      </c>
      <c r="W951" s="20" t="n">
        <v>68.8</v>
      </c>
      <c r="X951" s="20" t="n">
        <v>68.5</v>
      </c>
      <c r="Y951" s="40">
        <f>ROUND((V951*'Methodology &amp; Assumptions'!$B$6)+(W951*'Methodology &amp; Assumptions'!$B$5)+(X951*'Methodology &amp; Assumptions'!$B$7), 2)</f>
        <v/>
      </c>
    </row>
    <row r="952" ht="19" customHeight="1">
      <c r="A952" s="41" t="n">
        <v>948</v>
      </c>
      <c r="B952" s="41" t="n">
        <v>2948</v>
      </c>
      <c r="C952" s="42" t="inlineStr">
        <is>
          <t>0402123027</t>
        </is>
      </c>
      <c r="D952" s="42" t="inlineStr">
        <is>
          <t>Region IV-A (CALABARZON)</t>
        </is>
      </c>
      <c r="E952" s="42" t="inlineStr">
        <is>
          <t>Cavite</t>
        </is>
      </c>
      <c r="F952" s="42" t="inlineStr">
        <is>
          <t>Gen. Mariano Alvarez</t>
        </is>
      </c>
      <c r="G952" s="42" t="inlineStr">
        <is>
          <t>Tiniente Tiago</t>
        </is>
      </c>
      <c r="H952" s="43" t="n">
        <v>14.329339</v>
      </c>
      <c r="I952" s="43" t="n">
        <v>121.033872</v>
      </c>
      <c r="J952" s="44" t="inlineStr">
        <is>
          <t>R</t>
        </is>
      </c>
      <c r="K952" s="42" t="inlineStr">
        <is>
          <t>Class 1-3 / Urban</t>
        </is>
      </c>
      <c r="L952" s="23" t="n">
        <v>3112</v>
      </c>
      <c r="M952" s="24" t="n">
        <v>4.49</v>
      </c>
      <c r="N952" s="23">
        <f>ROUND(L952/M952, 0)</f>
        <v/>
      </c>
      <c r="O952" s="23">
        <f>ROUND(N952*'Methodology &amp; Assumptions'!$B$8, 0)</f>
        <v/>
      </c>
      <c r="P952" s="44" t="inlineStr">
        <is>
          <t>Band n50 (1.5 GHz, 60 MHz)</t>
        </is>
      </c>
      <c r="Q952" s="38">
        <f>ROUNDUP(O952/'Methodology &amp; Assumptions'!$B$9, 0)</f>
        <v/>
      </c>
      <c r="R952" s="39" t="n">
        <v>1</v>
      </c>
      <c r="S952" s="25" t="n">
        <v>1.81</v>
      </c>
      <c r="T952" s="25" t="n">
        <v>1.83</v>
      </c>
      <c r="U952" s="42" t="inlineStr">
        <is>
          <t>Tier 1B (Micro Drop, 1-3 km)</t>
        </is>
      </c>
      <c r="V952" s="24" t="n">
        <v>64.59999999999999</v>
      </c>
      <c r="W952" s="24" t="n">
        <v>79.5</v>
      </c>
      <c r="X952" s="24" t="n">
        <v>58</v>
      </c>
      <c r="Y952" s="45">
        <f>ROUND((V952*'Methodology &amp; Assumptions'!$B$6)+(W952*'Methodology &amp; Assumptions'!$B$5)+(X952*'Methodology &amp; Assumptions'!$B$7), 2)</f>
        <v/>
      </c>
    </row>
    <row r="953" ht="19" customHeight="1">
      <c r="A953" s="35" t="n">
        <v>949</v>
      </c>
      <c r="B953" s="35" t="n">
        <v>2949</v>
      </c>
      <c r="C953" s="36" t="inlineStr">
        <is>
          <t>0401003029</t>
        </is>
      </c>
      <c r="D953" s="36" t="inlineStr">
        <is>
          <t>Region IV-A (CALABARZON)</t>
        </is>
      </c>
      <c r="E953" s="36" t="inlineStr">
        <is>
          <t>Batangas</t>
        </is>
      </c>
      <c r="F953" s="36" t="inlineStr">
        <is>
          <t>Balayan</t>
        </is>
      </c>
      <c r="G953" s="36" t="inlineStr">
        <is>
          <t>Gumamela</t>
        </is>
      </c>
      <c r="H953" s="37" t="n">
        <v>13.9458</v>
      </c>
      <c r="I953" s="37" t="n">
        <v>120.7434</v>
      </c>
      <c r="J953" s="8" t="inlineStr">
        <is>
          <t>R</t>
        </is>
      </c>
      <c r="K953" s="36" t="inlineStr">
        <is>
          <t>Class 1-3 / Urban</t>
        </is>
      </c>
      <c r="L953" s="18" t="n">
        <v>3051</v>
      </c>
      <c r="M953" s="20" t="n">
        <v>4.62</v>
      </c>
      <c r="N953" s="18">
        <f>ROUND(L953/M953, 0)</f>
        <v/>
      </c>
      <c r="O953" s="18">
        <f>ROUND(N953*'Methodology &amp; Assumptions'!$B$8, 0)</f>
        <v/>
      </c>
      <c r="P953" s="8" t="inlineStr">
        <is>
          <t>Band n50 (1.5 GHz, 60 MHz)</t>
        </is>
      </c>
      <c r="Q953" s="38">
        <f>ROUNDUP(O953/'Methodology &amp; Assumptions'!$B$9, 0)</f>
        <v/>
      </c>
      <c r="R953" s="39" t="n">
        <v>1</v>
      </c>
      <c r="S953" s="21" t="n">
        <v>1.67</v>
      </c>
      <c r="T953" s="21" t="n">
        <v>0.06</v>
      </c>
      <c r="U953" s="36" t="inlineStr">
        <is>
          <t>Tier 1B (Micro Drop, 1-3 km)</t>
        </is>
      </c>
      <c r="V953" s="20" t="n">
        <v>67.3</v>
      </c>
      <c r="W953" s="20" t="n">
        <v>76.8</v>
      </c>
      <c r="X953" s="20" t="n">
        <v>58</v>
      </c>
      <c r="Y953" s="40">
        <f>ROUND((V953*'Methodology &amp; Assumptions'!$B$6)+(W953*'Methodology &amp; Assumptions'!$B$5)+(X953*'Methodology &amp; Assumptions'!$B$7), 2)</f>
        <v/>
      </c>
    </row>
    <row r="954" ht="19" customHeight="1">
      <c r="A954" s="41" t="n">
        <v>950</v>
      </c>
      <c r="B954" s="41" t="n">
        <v>2950</v>
      </c>
      <c r="C954" s="42" t="inlineStr">
        <is>
          <t>0301415014</t>
        </is>
      </c>
      <c r="D954" s="42" t="inlineStr">
        <is>
          <t>Region III (Central Luzon)</t>
        </is>
      </c>
      <c r="E954" s="42" t="inlineStr">
        <is>
          <t>Bulacan</t>
        </is>
      </c>
      <c r="F954" s="42" t="inlineStr">
        <is>
          <t>Pandi</t>
        </is>
      </c>
      <c r="G954" s="42" t="inlineStr">
        <is>
          <t>Masuso</t>
        </is>
      </c>
      <c r="H954" s="43" t="n">
        <v>14.881858</v>
      </c>
      <c r="I954" s="43" t="n">
        <v>120.940455</v>
      </c>
      <c r="J954" s="44" t="inlineStr">
        <is>
          <t>U</t>
        </is>
      </c>
      <c r="K954" s="42" t="inlineStr">
        <is>
          <t>Class 1-3 / Urban</t>
        </is>
      </c>
      <c r="L954" s="23" t="n">
        <v>8312</v>
      </c>
      <c r="M954" s="24" t="n">
        <v>4.1</v>
      </c>
      <c r="N954" s="23">
        <f>ROUND(L954/M954, 0)</f>
        <v/>
      </c>
      <c r="O954" s="23">
        <f>ROUND(N954*'Methodology &amp; Assumptions'!$B$8, 0)</f>
        <v/>
      </c>
      <c r="P954" s="44" t="inlineStr">
        <is>
          <t>Band n50 (1.5 GHz, 60 MHz)</t>
        </is>
      </c>
      <c r="Q954" s="38">
        <f>ROUNDUP(O954/'Methodology &amp; Assumptions'!$B$9, 0)</f>
        <v/>
      </c>
      <c r="R954" s="39" t="n">
        <v>1</v>
      </c>
      <c r="S954" s="25" t="n">
        <v>1.54</v>
      </c>
      <c r="T954" s="25" t="n">
        <v>1.89</v>
      </c>
      <c r="U954" s="42" t="inlineStr">
        <is>
          <t>Tier 1B (Micro Drop, 1-3 km)</t>
        </is>
      </c>
      <c r="V954" s="24" t="n">
        <v>69.8</v>
      </c>
      <c r="W954" s="24" t="n">
        <v>100</v>
      </c>
      <c r="X954" s="24" t="n">
        <v>28</v>
      </c>
      <c r="Y954" s="45">
        <f>ROUND((V954*'Methodology &amp; Assumptions'!$B$6)+(W954*'Methodology &amp; Assumptions'!$B$5)+(X954*'Methodology &amp; Assumptions'!$B$7), 2)</f>
        <v/>
      </c>
    </row>
    <row r="955" ht="19" customHeight="1">
      <c r="A955" s="35" t="n">
        <v>951</v>
      </c>
      <c r="B955" s="35" t="n">
        <v>2951</v>
      </c>
      <c r="C955" s="36" t="inlineStr">
        <is>
          <t>0307106001</t>
        </is>
      </c>
      <c r="D955" s="36" t="inlineStr">
        <is>
          <t>Region III (Central Luzon)</t>
        </is>
      </c>
      <c r="E955" s="36" t="inlineStr">
        <is>
          <t>Zambales</t>
        </is>
      </c>
      <c r="F955" s="36" t="inlineStr">
        <is>
          <t>Masinloc</t>
        </is>
      </c>
      <c r="G955" s="36" t="inlineStr">
        <is>
          <t>Baloganon</t>
        </is>
      </c>
      <c r="H955" s="37" t="n">
        <v>15.548728</v>
      </c>
      <c r="I955" s="37" t="n">
        <v>119.946906</v>
      </c>
      <c r="J955" s="8" t="inlineStr">
        <is>
          <t>U</t>
        </is>
      </c>
      <c r="K955" s="36" t="inlineStr">
        <is>
          <t>Class 1-3 / Urban</t>
        </is>
      </c>
      <c r="L955" s="18" t="n">
        <v>7786</v>
      </c>
      <c r="M955" s="20" t="n">
        <v>4.05</v>
      </c>
      <c r="N955" s="18">
        <f>ROUND(L955/M955, 0)</f>
        <v/>
      </c>
      <c r="O955" s="18">
        <f>ROUND(N955*'Methodology &amp; Assumptions'!$B$8, 0)</f>
        <v/>
      </c>
      <c r="P955" s="8" t="inlineStr">
        <is>
          <t>Band n50 (1.5 GHz, 60 MHz)</t>
        </is>
      </c>
      <c r="Q955" s="38">
        <f>ROUNDUP(O955/'Methodology &amp; Assumptions'!$B$9, 0)</f>
        <v/>
      </c>
      <c r="R955" s="39" t="n">
        <v>1</v>
      </c>
      <c r="S955" s="21" t="n">
        <v>1.54</v>
      </c>
      <c r="T955" s="21" t="n">
        <v>0.12</v>
      </c>
      <c r="U955" s="36" t="inlineStr">
        <is>
          <t>Tier 1B (Micro Drop, 1-3 km)</t>
        </is>
      </c>
      <c r="V955" s="20" t="n">
        <v>69.8</v>
      </c>
      <c r="W955" s="20" t="n">
        <v>100</v>
      </c>
      <c r="X955" s="20" t="n">
        <v>28</v>
      </c>
      <c r="Y955" s="40">
        <f>ROUND((V955*'Methodology &amp; Assumptions'!$B$6)+(W955*'Methodology &amp; Assumptions'!$B$5)+(X955*'Methodology &amp; Assumptions'!$B$7), 2)</f>
        <v/>
      </c>
    </row>
    <row r="956" ht="19" customHeight="1">
      <c r="A956" s="41" t="n">
        <v>952</v>
      </c>
      <c r="B956" s="41" t="n">
        <v>2952</v>
      </c>
      <c r="C956" s="42" t="inlineStr">
        <is>
          <t>0806417030</t>
        </is>
      </c>
      <c r="D956" s="42" t="inlineStr">
        <is>
          <t>Region VIII (Eastern Visayas)</t>
        </is>
      </c>
      <c r="E956" s="42" t="inlineStr">
        <is>
          <t>Southern Leyte</t>
        </is>
      </c>
      <c r="F956" s="42" t="inlineStr">
        <is>
          <t>Sogod</t>
        </is>
      </c>
      <c r="G956" s="42" t="inlineStr">
        <is>
          <t>Zone IV</t>
        </is>
      </c>
      <c r="H956" s="43" t="n">
        <v>10.384801</v>
      </c>
      <c r="I956" s="43" t="n">
        <v>124.981453</v>
      </c>
      <c r="J956" s="44" t="inlineStr">
        <is>
          <t>R</t>
        </is>
      </c>
      <c r="K956" s="42" t="inlineStr">
        <is>
          <t>Class 1-3 / Urban</t>
        </is>
      </c>
      <c r="L956" s="23" t="n">
        <v>406</v>
      </c>
      <c r="M956" s="24" t="n">
        <v>4.53</v>
      </c>
      <c r="N956" s="23">
        <f>ROUND(L956/M956, 0)</f>
        <v/>
      </c>
      <c r="O956" s="23">
        <f>ROUND(N956*'Methodology &amp; Assumptions'!$B$8, 0)</f>
        <v/>
      </c>
      <c r="P956" s="44" t="inlineStr">
        <is>
          <t>Band n50 (1.5 GHz, 60 MHz)</t>
        </is>
      </c>
      <c r="Q956" s="38">
        <f>ROUNDUP(O956/'Methodology &amp; Assumptions'!$B$9, 0)</f>
        <v/>
      </c>
      <c r="R956" s="39" t="n">
        <v>1</v>
      </c>
      <c r="S956" s="25" t="n">
        <v>0.17</v>
      </c>
      <c r="T956" s="25" t="n">
        <v>0.33</v>
      </c>
      <c r="U956" s="42" t="inlineStr">
        <is>
          <t>Tier 1A (Direct Coloc, &lt;1 km)</t>
        </is>
      </c>
      <c r="V956" s="24" t="n">
        <v>100</v>
      </c>
      <c r="W956" s="24" t="n">
        <v>31.2</v>
      </c>
      <c r="X956" s="24" t="n">
        <v>73</v>
      </c>
      <c r="Y956" s="45">
        <f>ROUND((V956*'Methodology &amp; Assumptions'!$B$6)+(W956*'Methodology &amp; Assumptions'!$B$5)+(X956*'Methodology &amp; Assumptions'!$B$7), 2)</f>
        <v/>
      </c>
    </row>
    <row r="957" ht="19" customHeight="1">
      <c r="A957" s="35" t="n">
        <v>953</v>
      </c>
      <c r="B957" s="35" t="n">
        <v>2953</v>
      </c>
      <c r="C957" s="36" t="inlineStr">
        <is>
          <t>0401027014</t>
        </is>
      </c>
      <c r="D957" s="36" t="inlineStr">
        <is>
          <t>Region IV-A (CALABARZON)</t>
        </is>
      </c>
      <c r="E957" s="36" t="inlineStr">
        <is>
          <t>Batangas</t>
        </is>
      </c>
      <c r="F957" s="36" t="inlineStr">
        <is>
          <t>Santa Teresita</t>
        </is>
      </c>
      <c r="G957" s="36" t="inlineStr">
        <is>
          <t>Sinipian</t>
        </is>
      </c>
      <c r="H957" s="37" t="n">
        <v>13.876683</v>
      </c>
      <c r="I957" s="37" t="n">
        <v>120.969491</v>
      </c>
      <c r="J957" s="8" t="inlineStr">
        <is>
          <t>R</t>
        </is>
      </c>
      <c r="K957" s="36" t="inlineStr">
        <is>
          <t>4th</t>
        </is>
      </c>
      <c r="L957" s="18" t="n">
        <v>788</v>
      </c>
      <c r="M957" s="20" t="n">
        <v>4.9</v>
      </c>
      <c r="N957" s="18">
        <f>ROUND(L957/M957, 0)</f>
        <v/>
      </c>
      <c r="O957" s="18">
        <f>ROUND(N957*'Methodology &amp; Assumptions'!$B$8, 0)</f>
        <v/>
      </c>
      <c r="P957" s="8" t="inlineStr">
        <is>
          <t>Band n50 (1.5 GHz, 60 MHz)</t>
        </is>
      </c>
      <c r="Q957" s="38">
        <f>ROUNDUP(O957/'Methodology &amp; Assumptions'!$B$9, 0)</f>
        <v/>
      </c>
      <c r="R957" s="39" t="n">
        <v>1</v>
      </c>
      <c r="S957" s="21" t="n">
        <v>0.37</v>
      </c>
      <c r="T957" s="21" t="n">
        <v>0.13</v>
      </c>
      <c r="U957" s="36" t="inlineStr">
        <is>
          <t>Tier 1A (Direct Coloc, &lt;1 km)</t>
        </is>
      </c>
      <c r="V957" s="20" t="n">
        <v>98.3</v>
      </c>
      <c r="W957" s="20" t="n">
        <v>36.8</v>
      </c>
      <c r="X957" s="20" t="n">
        <v>68.5</v>
      </c>
      <c r="Y957" s="40">
        <f>ROUND((V957*'Methodology &amp; Assumptions'!$B$6)+(W957*'Methodology &amp; Assumptions'!$B$5)+(X957*'Methodology &amp; Assumptions'!$B$7), 2)</f>
        <v/>
      </c>
    </row>
    <row r="958" ht="19" customHeight="1">
      <c r="A958" s="41" t="n">
        <v>954</v>
      </c>
      <c r="B958" s="41" t="n">
        <v>2954</v>
      </c>
      <c r="C958" s="42" t="inlineStr">
        <is>
          <t>0405804019</t>
        </is>
      </c>
      <c r="D958" s="42" t="inlineStr">
        <is>
          <t>Region IV-A (CALABARZON)</t>
        </is>
      </c>
      <c r="E958" s="42" t="inlineStr">
        <is>
          <t>Rizal</t>
        </is>
      </c>
      <c r="F958" s="42" t="inlineStr">
        <is>
          <t>Binangonan</t>
        </is>
      </c>
      <c r="G958" s="42" t="inlineStr">
        <is>
          <t>Kinagatan</t>
        </is>
      </c>
      <c r="H958" s="43" t="n">
        <v>14.47688</v>
      </c>
      <c r="I958" s="43" t="n">
        <v>121.195679</v>
      </c>
      <c r="J958" s="44" t="inlineStr">
        <is>
          <t>R</t>
        </is>
      </c>
      <c r="K958" s="42" t="inlineStr">
        <is>
          <t>Class 1-3 / Urban</t>
        </is>
      </c>
      <c r="L958" s="23" t="n">
        <v>1470</v>
      </c>
      <c r="M958" s="24" t="n">
        <v>4.39</v>
      </c>
      <c r="N958" s="23">
        <f>ROUND(L958/M958, 0)</f>
        <v/>
      </c>
      <c r="O958" s="23">
        <f>ROUND(N958*'Methodology &amp; Assumptions'!$B$8, 0)</f>
        <v/>
      </c>
      <c r="P958" s="44" t="inlineStr">
        <is>
          <t>Band n50 (1.5 GHz, 60 MHz)</t>
        </is>
      </c>
      <c r="Q958" s="38">
        <f>ROUNDUP(O958/'Methodology &amp; Assumptions'!$B$9, 0)</f>
        <v/>
      </c>
      <c r="R958" s="39" t="n">
        <v>1</v>
      </c>
      <c r="S958" s="25" t="n">
        <v>0.55</v>
      </c>
      <c r="T958" s="25" t="n">
        <v>0.52</v>
      </c>
      <c r="U958" s="42" t="inlineStr">
        <is>
          <t>Tier 1A (Direct Coloc, &lt;1 km)</t>
        </is>
      </c>
      <c r="V958" s="24" t="n">
        <v>93.40000000000001</v>
      </c>
      <c r="W958" s="24" t="n">
        <v>50.7</v>
      </c>
      <c r="X958" s="24" t="n">
        <v>58</v>
      </c>
      <c r="Y958" s="45">
        <f>ROUND((V958*'Methodology &amp; Assumptions'!$B$6)+(W958*'Methodology &amp; Assumptions'!$B$5)+(X958*'Methodology &amp; Assumptions'!$B$7), 2)</f>
        <v/>
      </c>
    </row>
    <row r="959" ht="19" customHeight="1">
      <c r="A959" s="35" t="n">
        <v>955</v>
      </c>
      <c r="B959" s="35" t="n">
        <v>2955</v>
      </c>
      <c r="C959" s="36" t="inlineStr">
        <is>
          <t>1004302020</t>
        </is>
      </c>
      <c r="D959" s="36" t="inlineStr">
        <is>
          <t>Region X (Northern Mindanao)</t>
        </is>
      </c>
      <c r="E959" s="36" t="inlineStr">
        <is>
          <t>Misamis Oriental</t>
        </is>
      </c>
      <c r="F959" s="36" t="inlineStr">
        <is>
          <t>Balingasag</t>
        </is>
      </c>
      <c r="G959" s="36" t="inlineStr">
        <is>
          <t>Barangay 1</t>
        </is>
      </c>
      <c r="H959" s="37" t="n">
        <v>8.747268999999999</v>
      </c>
      <c r="I959" s="37" t="n">
        <v>124.77846</v>
      </c>
      <c r="J959" s="8" t="inlineStr">
        <is>
          <t>R</t>
        </is>
      </c>
      <c r="K959" s="36" t="inlineStr">
        <is>
          <t>Class 1-3 / Urban</t>
        </is>
      </c>
      <c r="L959" s="18" t="n">
        <v>1330</v>
      </c>
      <c r="M959" s="20" t="n">
        <v>4.54</v>
      </c>
      <c r="N959" s="18">
        <f>ROUND(L959/M959, 0)</f>
        <v/>
      </c>
      <c r="O959" s="18">
        <f>ROUND(N959*'Methodology &amp; Assumptions'!$B$8, 0)</f>
        <v/>
      </c>
      <c r="P959" s="8" t="inlineStr">
        <is>
          <t>Band n50 (1.5 GHz, 60 MHz)</t>
        </is>
      </c>
      <c r="Q959" s="38">
        <f>ROUNDUP(O959/'Methodology &amp; Assumptions'!$B$9, 0)</f>
        <v/>
      </c>
      <c r="R959" s="39" t="n">
        <v>1</v>
      </c>
      <c r="S959" s="21" t="n">
        <v>0.43</v>
      </c>
      <c r="T959" s="21" t="n">
        <v>0.33</v>
      </c>
      <c r="U959" s="36" t="inlineStr">
        <is>
          <t>Tier 1A (Direct Coloc, &lt;1 km)</t>
        </is>
      </c>
      <c r="V959" s="20" t="n">
        <v>96.59999999999999</v>
      </c>
      <c r="W959" s="20" t="n">
        <v>47.5</v>
      </c>
      <c r="X959" s="20" t="n">
        <v>58</v>
      </c>
      <c r="Y959" s="40">
        <f>ROUND((V959*'Methodology &amp; Assumptions'!$B$6)+(W959*'Methodology &amp; Assumptions'!$B$5)+(X959*'Methodology &amp; Assumptions'!$B$7), 2)</f>
        <v/>
      </c>
    </row>
    <row r="960" ht="19" customHeight="1">
      <c r="A960" s="41" t="n">
        <v>956</v>
      </c>
      <c r="B960" s="41" t="n">
        <v>2956</v>
      </c>
      <c r="C960" s="42" t="inlineStr">
        <is>
          <t>1004325008</t>
        </is>
      </c>
      <c r="D960" s="42" t="inlineStr">
        <is>
          <t>Region X (Northern Mindanao)</t>
        </is>
      </c>
      <c r="E960" s="42" t="inlineStr">
        <is>
          <t>Misamis Oriental</t>
        </is>
      </c>
      <c r="F960" s="42" t="inlineStr">
        <is>
          <t>Talisayan</t>
        </is>
      </c>
      <c r="G960" s="42" t="inlineStr">
        <is>
          <t>Mintabon</t>
        </is>
      </c>
      <c r="H960" s="43" t="n">
        <v>8.9954</v>
      </c>
      <c r="I960" s="43" t="n">
        <v>124.8754</v>
      </c>
      <c r="J960" s="44" t="inlineStr">
        <is>
          <t>R</t>
        </is>
      </c>
      <c r="K960" s="42" t="inlineStr">
        <is>
          <t>3rd</t>
        </is>
      </c>
      <c r="L960" s="23" t="n">
        <v>1981</v>
      </c>
      <c r="M960" s="24" t="n">
        <v>4.54</v>
      </c>
      <c r="N960" s="23">
        <f>ROUND(L960/M960, 0)</f>
        <v/>
      </c>
      <c r="O960" s="23">
        <f>ROUND(N960*'Methodology &amp; Assumptions'!$B$8, 0)</f>
        <v/>
      </c>
      <c r="P960" s="44" t="inlineStr">
        <is>
          <t>Band n50 (1.5 GHz, 60 MHz)</t>
        </is>
      </c>
      <c r="Q960" s="38">
        <f>ROUNDUP(O960/'Methodology &amp; Assumptions'!$B$9, 0)</f>
        <v/>
      </c>
      <c r="R960" s="39" t="n">
        <v>1</v>
      </c>
      <c r="S960" s="25" t="n">
        <v>0.86</v>
      </c>
      <c r="T960" s="25" t="n">
        <v>0.64</v>
      </c>
      <c r="U960" s="42" t="inlineStr">
        <is>
          <t>Tier 1A (Direct Coloc, &lt;1 km)</t>
        </is>
      </c>
      <c r="V960" s="24" t="n">
        <v>85.09999999999999</v>
      </c>
      <c r="W960" s="24" t="n">
        <v>58.9</v>
      </c>
      <c r="X960" s="24" t="n">
        <v>58</v>
      </c>
      <c r="Y960" s="45">
        <f>ROUND((V960*'Methodology &amp; Assumptions'!$B$6)+(W960*'Methodology &amp; Assumptions'!$B$5)+(X960*'Methodology &amp; Assumptions'!$B$7), 2)</f>
        <v/>
      </c>
    </row>
    <row r="961" ht="19" customHeight="1">
      <c r="A961" s="35" t="n">
        <v>957</v>
      </c>
      <c r="B961" s="35" t="n">
        <v>2957</v>
      </c>
      <c r="C961" s="36" t="inlineStr">
        <is>
          <t>1404402012</t>
        </is>
      </c>
      <c r="D961" s="36" t="inlineStr">
        <is>
          <t>Cordillera Administrative Region (CAR)</t>
        </is>
      </c>
      <c r="E961" s="36" t="inlineStr">
        <is>
          <t>Mountain Province</t>
        </is>
      </c>
      <c r="F961" s="36" t="inlineStr">
        <is>
          <t>Bauko</t>
        </is>
      </c>
      <c r="G961" s="36" t="inlineStr">
        <is>
          <t>Mabaay</t>
        </is>
      </c>
      <c r="H961" s="37" t="n">
        <v>16.916389</v>
      </c>
      <c r="I961" s="37" t="n">
        <v>120.887222</v>
      </c>
      <c r="J961" s="8" t="inlineStr">
        <is>
          <t>R</t>
        </is>
      </c>
      <c r="K961" s="36" t="inlineStr">
        <is>
          <t>2nd</t>
        </is>
      </c>
      <c r="L961" s="18" t="n">
        <v>1362</v>
      </c>
      <c r="M961" s="20" t="n">
        <v>4.55</v>
      </c>
      <c r="N961" s="18">
        <f>ROUND(L961/M961, 0)</f>
        <v/>
      </c>
      <c r="O961" s="18">
        <f>ROUND(N961*'Methodology &amp; Assumptions'!$B$8, 0)</f>
        <v/>
      </c>
      <c r="P961" s="8" t="inlineStr">
        <is>
          <t>Band n50 (1.5 GHz, 60 MHz)</t>
        </is>
      </c>
      <c r="Q961" s="38">
        <f>ROUNDUP(O961/'Methodology &amp; Assumptions'!$B$9, 0)</f>
        <v/>
      </c>
      <c r="R961" s="39" t="n">
        <v>1</v>
      </c>
      <c r="S961" s="21" t="n">
        <v>0.11</v>
      </c>
      <c r="T961" s="21" t="n">
        <v>0.27</v>
      </c>
      <c r="U961" s="36" t="inlineStr">
        <is>
          <t>Tier 1A (Direct Coloc, &lt;1 km)</t>
        </is>
      </c>
      <c r="V961" s="20" t="n">
        <v>100</v>
      </c>
      <c r="W961" s="20" t="n">
        <v>44</v>
      </c>
      <c r="X961" s="20" t="n">
        <v>58</v>
      </c>
      <c r="Y961" s="40">
        <f>ROUND((V961*'Methodology &amp; Assumptions'!$B$6)+(W961*'Methodology &amp; Assumptions'!$B$5)+(X961*'Methodology &amp; Assumptions'!$B$7), 2)</f>
        <v/>
      </c>
    </row>
    <row r="962" ht="19" customHeight="1">
      <c r="A962" s="41" t="n">
        <v>958</v>
      </c>
      <c r="B962" s="41" t="n">
        <v>2958</v>
      </c>
      <c r="C962" s="42" t="inlineStr">
        <is>
          <t>0105532022</t>
        </is>
      </c>
      <c r="D962" s="42" t="inlineStr">
        <is>
          <t>Region I (Ilocos Region)</t>
        </is>
      </c>
      <c r="E962" s="42" t="inlineStr">
        <is>
          <t>Pangasinan</t>
        </is>
      </c>
      <c r="F962" s="42" t="inlineStr">
        <is>
          <t>City of San Carlos</t>
        </is>
      </c>
      <c r="G962" s="42" t="inlineStr">
        <is>
          <t>Burgos Padlan</t>
        </is>
      </c>
      <c r="H962" s="43" t="n">
        <v>15.9267</v>
      </c>
      <c r="I962" s="43" t="n">
        <v>120.3451</v>
      </c>
      <c r="J962" s="44" t="inlineStr">
        <is>
          <t>R</t>
        </is>
      </c>
      <c r="K962" s="42" t="inlineStr">
        <is>
          <t>Class 1-3 / Urban</t>
        </is>
      </c>
      <c r="L962" s="23" t="n">
        <v>1194</v>
      </c>
      <c r="M962" s="24" t="n">
        <v>4.39</v>
      </c>
      <c r="N962" s="23">
        <f>ROUND(L962/M962, 0)</f>
        <v/>
      </c>
      <c r="O962" s="23">
        <f>ROUND(N962*'Methodology &amp; Assumptions'!$B$8, 0)</f>
        <v/>
      </c>
      <c r="P962" s="44" t="inlineStr">
        <is>
          <t>Band n50 (1.5 GHz, 60 MHz)</t>
        </is>
      </c>
      <c r="Q962" s="38">
        <f>ROUNDUP(O962/'Methodology &amp; Assumptions'!$B$9, 0)</f>
        <v/>
      </c>
      <c r="R962" s="39" t="n">
        <v>1</v>
      </c>
      <c r="S962" s="25" t="n">
        <v>0.38</v>
      </c>
      <c r="T962" s="25" t="n">
        <v>0.35</v>
      </c>
      <c r="U962" s="42" t="inlineStr">
        <is>
          <t>Tier 1A (Direct Coloc, &lt;1 km)</t>
        </is>
      </c>
      <c r="V962" s="24" t="n">
        <v>98.09999999999999</v>
      </c>
      <c r="W962" s="24" t="n">
        <v>45.9</v>
      </c>
      <c r="X962" s="24" t="n">
        <v>58</v>
      </c>
      <c r="Y962" s="45">
        <f>ROUND((V962*'Methodology &amp; Assumptions'!$B$6)+(W962*'Methodology &amp; Assumptions'!$B$5)+(X962*'Methodology &amp; Assumptions'!$B$7), 2)</f>
        <v/>
      </c>
    </row>
    <row r="963" ht="19" customHeight="1">
      <c r="A963" s="35" t="n">
        <v>959</v>
      </c>
      <c r="B963" s="35" t="n">
        <v>2959</v>
      </c>
      <c r="C963" s="36" t="inlineStr">
        <is>
          <t>0307109009</t>
        </is>
      </c>
      <c r="D963" s="36" t="inlineStr">
        <is>
          <t>Region III (Central Luzon)</t>
        </is>
      </c>
      <c r="E963" s="36" t="inlineStr">
        <is>
          <t>Zambales</t>
        </is>
      </c>
      <c r="F963" s="36" t="inlineStr">
        <is>
          <t>San Antonio</t>
        </is>
      </c>
      <c r="G963" s="36" t="inlineStr">
        <is>
          <t>San Gregorio</t>
        </is>
      </c>
      <c r="H963" s="37" t="n">
        <v>14.951388</v>
      </c>
      <c r="I963" s="37" t="n">
        <v>120.088364</v>
      </c>
      <c r="J963" s="8" t="inlineStr">
        <is>
          <t>R</t>
        </is>
      </c>
      <c r="K963" s="36" t="inlineStr">
        <is>
          <t>Class 1-3 / Urban</t>
        </is>
      </c>
      <c r="L963" s="18" t="n">
        <v>1013</v>
      </c>
      <c r="M963" s="20" t="n">
        <v>4.05</v>
      </c>
      <c r="N963" s="18">
        <f>ROUND(L963/M963, 0)</f>
        <v/>
      </c>
      <c r="O963" s="18">
        <f>ROUND(N963*'Methodology &amp; Assumptions'!$B$8, 0)</f>
        <v/>
      </c>
      <c r="P963" s="8" t="inlineStr">
        <is>
          <t>Band n50 (1.5 GHz, 60 MHz)</t>
        </is>
      </c>
      <c r="Q963" s="38">
        <f>ROUNDUP(O963/'Methodology &amp; Assumptions'!$B$9, 0)</f>
        <v/>
      </c>
      <c r="R963" s="39" t="n">
        <v>1</v>
      </c>
      <c r="S963" s="21" t="n">
        <v>0.25</v>
      </c>
      <c r="T963" s="21" t="n">
        <v>0.09</v>
      </c>
      <c r="U963" s="36" t="inlineStr">
        <is>
          <t>Tier 1A (Direct Coloc, &lt;1 km)</t>
        </is>
      </c>
      <c r="V963" s="20" t="n">
        <v>100</v>
      </c>
      <c r="W963" s="20" t="n">
        <v>44</v>
      </c>
      <c r="X963" s="20" t="n">
        <v>58</v>
      </c>
      <c r="Y963" s="40">
        <f>ROUND((V963*'Methodology &amp; Assumptions'!$B$6)+(W963*'Methodology &amp; Assumptions'!$B$5)+(X963*'Methodology &amp; Assumptions'!$B$7), 2)</f>
        <v/>
      </c>
    </row>
    <row r="964" ht="19" customHeight="1">
      <c r="A964" s="41" t="n">
        <v>960</v>
      </c>
      <c r="B964" s="41" t="n">
        <v>2960</v>
      </c>
      <c r="C964" s="42" t="inlineStr">
        <is>
          <t>0990101010</t>
        </is>
      </c>
      <c r="D964" s="42" t="inlineStr">
        <is>
          <t>Region IX (Zamboanga Peninsula)</t>
        </is>
      </c>
      <c r="E964" s="42" t="inlineStr">
        <is>
          <t>City of Isabela (Not a Province)</t>
        </is>
      </c>
      <c r="F964" s="42" t="inlineStr">
        <is>
          <t>City of Isabela</t>
        </is>
      </c>
      <c r="G964" s="42" t="inlineStr">
        <is>
          <t>Cabunbata</t>
        </is>
      </c>
      <c r="H964" s="43" t="n">
        <v>16.975934</v>
      </c>
      <c r="I964" s="43" t="n">
        <v>121.775462</v>
      </c>
      <c r="J964" s="44" t="inlineStr">
        <is>
          <t>R</t>
        </is>
      </c>
      <c r="K964" s="42" t="inlineStr">
        <is>
          <t>Class 1-3 / Urban</t>
        </is>
      </c>
      <c r="L964" s="23" t="n">
        <v>4071</v>
      </c>
      <c r="M964" s="24" t="n">
        <v>4.3</v>
      </c>
      <c r="N964" s="23">
        <f>ROUND(L964/M964, 0)</f>
        <v/>
      </c>
      <c r="O964" s="23">
        <f>ROUND(N964*'Methodology &amp; Assumptions'!$B$8, 0)</f>
        <v/>
      </c>
      <c r="P964" s="44" t="inlineStr">
        <is>
          <t>Band n50 (1.5 GHz, 60 MHz)</t>
        </is>
      </c>
      <c r="Q964" s="38">
        <f>ROUNDUP(O964/'Methodology &amp; Assumptions'!$B$9, 0)</f>
        <v/>
      </c>
      <c r="R964" s="39" t="n">
        <v>1</v>
      </c>
      <c r="S964" s="25" t="n">
        <v>4.63</v>
      </c>
      <c r="T964" s="25" t="n">
        <v>0.31</v>
      </c>
      <c r="U964" s="42" t="inlineStr">
        <is>
          <t>Tier 2 (Fiber Corridor / Lateral, 3-5 km)</t>
        </is>
      </c>
      <c r="V964" s="24" t="n">
        <v>31.4</v>
      </c>
      <c r="W964" s="24" t="n">
        <v>99.7</v>
      </c>
      <c r="X964" s="24" t="n">
        <v>73</v>
      </c>
      <c r="Y964" s="45">
        <f>ROUND((V964*'Methodology &amp; Assumptions'!$B$6)+(W964*'Methodology &amp; Assumptions'!$B$5)+(X964*'Methodology &amp; Assumptions'!$B$7), 2)</f>
        <v/>
      </c>
    </row>
    <row r="965" ht="19" customHeight="1">
      <c r="A965" s="35" t="n">
        <v>961</v>
      </c>
      <c r="B965" s="35" t="n">
        <v>2961</v>
      </c>
      <c r="C965" s="36" t="inlineStr">
        <is>
          <t>0103306031</t>
        </is>
      </c>
      <c r="D965" s="36" t="inlineStr">
        <is>
          <t>Region I (Ilocos Region)</t>
        </is>
      </c>
      <c r="E965" s="36" t="inlineStr">
        <is>
          <t>La Union</t>
        </is>
      </c>
      <c r="F965" s="36" t="inlineStr">
        <is>
          <t>Bangar</t>
        </is>
      </c>
      <c r="G965" s="36" t="inlineStr">
        <is>
          <t>Reyna Regente</t>
        </is>
      </c>
      <c r="H965" s="37" t="n">
        <v>16.892568</v>
      </c>
      <c r="I965" s="37" t="n">
        <v>120.427905</v>
      </c>
      <c r="J965" s="8" t="inlineStr">
        <is>
          <t>R</t>
        </is>
      </c>
      <c r="K965" s="36" t="inlineStr">
        <is>
          <t>Class 1-3 / Urban</t>
        </is>
      </c>
      <c r="L965" s="18" t="n">
        <v>1118</v>
      </c>
      <c r="M965" s="20" t="n">
        <v>4.42</v>
      </c>
      <c r="N965" s="18">
        <f>ROUND(L965/M965, 0)</f>
        <v/>
      </c>
      <c r="O965" s="18">
        <f>ROUND(N965*'Methodology &amp; Assumptions'!$B$8, 0)</f>
        <v/>
      </c>
      <c r="P965" s="8" t="inlineStr">
        <is>
          <t>Band n50 (1.5 GHz, 60 MHz)</t>
        </is>
      </c>
      <c r="Q965" s="38">
        <f>ROUNDUP(O965/'Methodology &amp; Assumptions'!$B$9, 0)</f>
        <v/>
      </c>
      <c r="R965" s="39" t="n">
        <v>1</v>
      </c>
      <c r="S965" s="21" t="n">
        <v>0.33</v>
      </c>
      <c r="T965" s="21" t="n">
        <v>0.43</v>
      </c>
      <c r="U965" s="36" t="inlineStr">
        <is>
          <t>Tier 1A (Direct Coloc, &lt;1 km)</t>
        </is>
      </c>
      <c r="V965" s="20" t="n">
        <v>99.7</v>
      </c>
      <c r="W965" s="20" t="n">
        <v>44.3</v>
      </c>
      <c r="X965" s="20" t="n">
        <v>58</v>
      </c>
      <c r="Y965" s="40">
        <f>ROUND((V965*'Methodology &amp; Assumptions'!$B$6)+(W965*'Methodology &amp; Assumptions'!$B$5)+(X965*'Methodology &amp; Assumptions'!$B$7), 2)</f>
        <v/>
      </c>
    </row>
    <row r="966" ht="19" customHeight="1">
      <c r="A966" s="41" t="n">
        <v>962</v>
      </c>
      <c r="B966" s="41" t="n">
        <v>2962</v>
      </c>
      <c r="C966" s="42" t="inlineStr">
        <is>
          <t>0403413007</t>
        </is>
      </c>
      <c r="D966" s="42" t="inlineStr">
        <is>
          <t>Region IV-A (CALABARZON)</t>
        </is>
      </c>
      <c r="E966" s="42" t="inlineStr">
        <is>
          <t>Laguna</t>
        </is>
      </c>
      <c r="F966" s="42" t="inlineStr">
        <is>
          <t>Lumban</t>
        </is>
      </c>
      <c r="G966" s="42" t="inlineStr">
        <is>
          <t>Maracta</t>
        </is>
      </c>
      <c r="H966" s="43" t="n">
        <v>14.298013</v>
      </c>
      <c r="I966" s="43" t="n">
        <v>121.459252</v>
      </c>
      <c r="J966" s="44" t="inlineStr">
        <is>
          <t>R</t>
        </is>
      </c>
      <c r="K966" s="42" t="inlineStr">
        <is>
          <t>Class 1-3 / Urban</t>
        </is>
      </c>
      <c r="L966" s="23" t="n">
        <v>1068</v>
      </c>
      <c r="M966" s="24" t="n">
        <v>4.2</v>
      </c>
      <c r="N966" s="23">
        <f>ROUND(L966/M966, 0)</f>
        <v/>
      </c>
      <c r="O966" s="23">
        <f>ROUND(N966*'Methodology &amp; Assumptions'!$B$8, 0)</f>
        <v/>
      </c>
      <c r="P966" s="44" t="inlineStr">
        <is>
          <t>Band n50 (1.5 GHz, 60 MHz)</t>
        </is>
      </c>
      <c r="Q966" s="38">
        <f>ROUNDUP(O966/'Methodology &amp; Assumptions'!$B$9, 0)</f>
        <v/>
      </c>
      <c r="R966" s="39" t="n">
        <v>1</v>
      </c>
      <c r="S966" s="25" t="n">
        <v>0.33</v>
      </c>
      <c r="T966" s="25" t="n">
        <v>0.44</v>
      </c>
      <c r="U966" s="42" t="inlineStr">
        <is>
          <t>Tier 1A (Direct Coloc, &lt;1 km)</t>
        </is>
      </c>
      <c r="V966" s="24" t="n">
        <v>99.7</v>
      </c>
      <c r="W966" s="24" t="n">
        <v>44.3</v>
      </c>
      <c r="X966" s="24" t="n">
        <v>58</v>
      </c>
      <c r="Y966" s="45">
        <f>ROUND((V966*'Methodology &amp; Assumptions'!$B$6)+(W966*'Methodology &amp; Assumptions'!$B$5)+(X966*'Methodology &amp; Assumptions'!$B$7), 2)</f>
        <v/>
      </c>
    </row>
    <row r="967" ht="19" customHeight="1">
      <c r="A967" s="35" t="n">
        <v>963</v>
      </c>
      <c r="B967" s="35" t="n">
        <v>2963</v>
      </c>
      <c r="C967" s="36" t="inlineStr">
        <is>
          <t>0403403022</t>
        </is>
      </c>
      <c r="D967" s="36" t="inlineStr">
        <is>
          <t>Region IV-A (CALABARZON)</t>
        </is>
      </c>
      <c r="E967" s="36" t="inlineStr">
        <is>
          <t>Laguna</t>
        </is>
      </c>
      <c r="F967" s="36" t="inlineStr">
        <is>
          <t>City of Biñan</t>
        </is>
      </c>
      <c r="G967" s="36" t="inlineStr">
        <is>
          <t>Soro-soro</t>
        </is>
      </c>
      <c r="H967" s="37" t="n">
        <v>14.325568</v>
      </c>
      <c r="I967" s="37" t="n">
        <v>121.061379</v>
      </c>
      <c r="J967" s="8" t="inlineStr">
        <is>
          <t>U</t>
        </is>
      </c>
      <c r="K967" s="36" t="inlineStr">
        <is>
          <t>Class 1-3 / Urban</t>
        </is>
      </c>
      <c r="L967" s="18" t="n">
        <v>7189</v>
      </c>
      <c r="M967" s="20" t="n">
        <v>4.2</v>
      </c>
      <c r="N967" s="18">
        <f>ROUND(L967/M967, 0)</f>
        <v/>
      </c>
      <c r="O967" s="18">
        <f>ROUND(N967*'Methodology &amp; Assumptions'!$B$8, 0)</f>
        <v/>
      </c>
      <c r="P967" s="8" t="inlineStr">
        <is>
          <t>Band n50 (1.5 GHz, 60 MHz)</t>
        </is>
      </c>
      <c r="Q967" s="38">
        <f>ROUNDUP(O967/'Methodology &amp; Assumptions'!$B$9, 0)</f>
        <v/>
      </c>
      <c r="R967" s="39" t="n">
        <v>1</v>
      </c>
      <c r="S967" s="21" t="n">
        <v>1.55</v>
      </c>
      <c r="T967" s="21" t="n">
        <v>1.05</v>
      </c>
      <c r="U967" s="36" t="inlineStr">
        <is>
          <t>Tier 1B (Micro Drop, 1-3 km)</t>
        </is>
      </c>
      <c r="V967" s="20" t="n">
        <v>69.7</v>
      </c>
      <c r="W967" s="20" t="n">
        <v>100</v>
      </c>
      <c r="X967" s="20" t="n">
        <v>28</v>
      </c>
      <c r="Y967" s="40">
        <f>ROUND((V967*'Methodology &amp; Assumptions'!$B$6)+(W967*'Methodology &amp; Assumptions'!$B$5)+(X967*'Methodology &amp; Assumptions'!$B$7), 2)</f>
        <v/>
      </c>
    </row>
    <row r="968" ht="19" customHeight="1">
      <c r="A968" s="41" t="n">
        <v>964</v>
      </c>
      <c r="B968" s="41" t="n">
        <v>2964</v>
      </c>
      <c r="C968" s="42" t="inlineStr">
        <is>
          <t>0105513017</t>
        </is>
      </c>
      <c r="D968" s="42" t="inlineStr">
        <is>
          <t>Region I (Ilocos Region)</t>
        </is>
      </c>
      <c r="E968" s="42" t="inlineStr">
        <is>
          <t>Pangasinan</t>
        </is>
      </c>
      <c r="F968" s="42" t="inlineStr">
        <is>
          <t>Binmaley</t>
        </is>
      </c>
      <c r="G968" s="42" t="inlineStr">
        <is>
          <t>Lomboy</t>
        </is>
      </c>
      <c r="H968" s="43" t="n">
        <v>16.014186</v>
      </c>
      <c r="I968" s="43" t="n">
        <v>120.262399</v>
      </c>
      <c r="J968" s="44" t="inlineStr">
        <is>
          <t>R</t>
        </is>
      </c>
      <c r="K968" s="42" t="inlineStr">
        <is>
          <t>Class 1-3 / Urban</t>
        </is>
      </c>
      <c r="L968" s="23" t="n">
        <v>3506</v>
      </c>
      <c r="M968" s="24" t="n">
        <v>4.39</v>
      </c>
      <c r="N968" s="23">
        <f>ROUND(L968/M968, 0)</f>
        <v/>
      </c>
      <c r="O968" s="23">
        <f>ROUND(N968*'Methodology &amp; Assumptions'!$B$8, 0)</f>
        <v/>
      </c>
      <c r="P968" s="44" t="inlineStr">
        <is>
          <t>Band n50 (1.5 GHz, 60 MHz)</t>
        </is>
      </c>
      <c r="Q968" s="38">
        <f>ROUNDUP(O968/'Methodology &amp; Assumptions'!$B$9, 0)</f>
        <v/>
      </c>
      <c r="R968" s="39" t="n">
        <v>1</v>
      </c>
      <c r="S968" s="25" t="n">
        <v>3.32</v>
      </c>
      <c r="T968" s="25" t="n">
        <v>1.43</v>
      </c>
      <c r="U968" s="42" t="inlineStr">
        <is>
          <t>Tier 2 (Fiber Corridor / Lateral, 3-5 km)</t>
        </is>
      </c>
      <c r="V968" s="24" t="n">
        <v>43</v>
      </c>
      <c r="W968" s="24" t="n">
        <v>88</v>
      </c>
      <c r="X968" s="24" t="n">
        <v>73</v>
      </c>
      <c r="Y968" s="45">
        <f>ROUND((V968*'Methodology &amp; Assumptions'!$B$6)+(W968*'Methodology &amp; Assumptions'!$B$5)+(X968*'Methodology &amp; Assumptions'!$B$7), 2)</f>
        <v/>
      </c>
    </row>
    <row r="969" ht="19" customHeight="1">
      <c r="A969" s="35" t="n">
        <v>965</v>
      </c>
      <c r="B969" s="35" t="n">
        <v>2965</v>
      </c>
      <c r="C969" s="36" t="inlineStr">
        <is>
          <t>0301409011</t>
        </is>
      </c>
      <c r="D969" s="36" t="inlineStr">
        <is>
          <t>Region III (Central Luzon)</t>
        </is>
      </c>
      <c r="E969" s="36" t="inlineStr">
        <is>
          <t>Bulacan</t>
        </is>
      </c>
      <c r="F969" s="36" t="inlineStr">
        <is>
          <t>Hagonoy</t>
        </is>
      </c>
      <c r="G969" s="36" t="inlineStr">
        <is>
          <t>San Jose</t>
        </is>
      </c>
      <c r="H969" s="37" t="n">
        <v>14.830422</v>
      </c>
      <c r="I969" s="37" t="n">
        <v>120.73039</v>
      </c>
      <c r="J969" s="8" t="inlineStr">
        <is>
          <t>R</t>
        </is>
      </c>
      <c r="K969" s="36" t="inlineStr">
        <is>
          <t>Class 1-3 / Urban</t>
        </is>
      </c>
      <c r="L969" s="18" t="n">
        <v>4275</v>
      </c>
      <c r="M969" s="20" t="n">
        <v>4.1</v>
      </c>
      <c r="N969" s="18">
        <f>ROUND(L969/M969, 0)</f>
        <v/>
      </c>
      <c r="O969" s="18">
        <f>ROUND(N969*'Methodology &amp; Assumptions'!$B$8, 0)</f>
        <v/>
      </c>
      <c r="P969" s="8" t="inlineStr">
        <is>
          <t>Band n50 (1.5 GHz, 60 MHz)</t>
        </is>
      </c>
      <c r="Q969" s="38">
        <f>ROUNDUP(O969/'Methodology &amp; Assumptions'!$B$9, 0)</f>
        <v/>
      </c>
      <c r="R969" s="39" t="n">
        <v>1</v>
      </c>
      <c r="S969" s="21" t="n">
        <v>2.47</v>
      </c>
      <c r="T969" s="21" t="n">
        <v>3.73</v>
      </c>
      <c r="U969" s="36" t="inlineStr">
        <is>
          <t>Tier 1B (Micro Drop, 1-3 km)</t>
        </is>
      </c>
      <c r="V969" s="20" t="n">
        <v>43.9</v>
      </c>
      <c r="W969" s="20" t="n">
        <v>100</v>
      </c>
      <c r="X969" s="20" t="n">
        <v>58</v>
      </c>
      <c r="Y969" s="40">
        <f>ROUND((V969*'Methodology &amp; Assumptions'!$B$6)+(W969*'Methodology &amp; Assumptions'!$B$5)+(X969*'Methodology &amp; Assumptions'!$B$7), 2)</f>
        <v/>
      </c>
    </row>
    <row r="970" ht="19" customHeight="1">
      <c r="A970" s="41" t="n">
        <v>966</v>
      </c>
      <c r="B970" s="41" t="n">
        <v>2966</v>
      </c>
      <c r="C970" s="42" t="inlineStr">
        <is>
          <t>0401009010</t>
        </is>
      </c>
      <c r="D970" s="42" t="inlineStr">
        <is>
          <t>Region IV-A (CALABARZON)</t>
        </is>
      </c>
      <c r="E970" s="42" t="inlineStr">
        <is>
          <t>Batangas</t>
        </is>
      </c>
      <c r="F970" s="42" t="inlineStr">
        <is>
          <t>Cuenca</t>
        </is>
      </c>
      <c r="G970" s="42" t="inlineStr">
        <is>
          <t>Ibabao</t>
        </is>
      </c>
      <c r="H970" s="43" t="n">
        <v>13.908586</v>
      </c>
      <c r="I970" s="43" t="n">
        <v>121.070671</v>
      </c>
      <c r="J970" s="44" t="inlineStr">
        <is>
          <t>R</t>
        </is>
      </c>
      <c r="K970" s="42" t="inlineStr">
        <is>
          <t>2nd</t>
        </is>
      </c>
      <c r="L970" s="23" t="n">
        <v>3822</v>
      </c>
      <c r="M970" s="24" t="n">
        <v>4.54</v>
      </c>
      <c r="N970" s="23">
        <f>ROUND(L970/M970, 0)</f>
        <v/>
      </c>
      <c r="O970" s="23">
        <f>ROUND(N970*'Methodology &amp; Assumptions'!$B$8, 0)</f>
        <v/>
      </c>
      <c r="P970" s="44" t="inlineStr">
        <is>
          <t>Band n50 (1.5 GHz, 60 MHz)</t>
        </is>
      </c>
      <c r="Q970" s="38">
        <f>ROUNDUP(O970/'Methodology &amp; Assumptions'!$B$9, 0)</f>
        <v/>
      </c>
      <c r="R970" s="39" t="n">
        <v>1</v>
      </c>
      <c r="S970" s="25" t="n">
        <v>2.57</v>
      </c>
      <c r="T970" s="25" t="n">
        <v>0.18</v>
      </c>
      <c r="U970" s="42" t="inlineStr">
        <is>
          <t>Tier 1B (Micro Drop, 1-3 km)</t>
        </is>
      </c>
      <c r="V970" s="24" t="n">
        <v>52.5</v>
      </c>
      <c r="W970" s="24" t="n">
        <v>91.5</v>
      </c>
      <c r="X970" s="24" t="n">
        <v>58</v>
      </c>
      <c r="Y970" s="45">
        <f>ROUND((V970*'Methodology &amp; Assumptions'!$B$6)+(W970*'Methodology &amp; Assumptions'!$B$5)+(X970*'Methodology &amp; Assumptions'!$B$7), 2)</f>
        <v/>
      </c>
    </row>
    <row r="971" ht="19" customHeight="1">
      <c r="A971" s="35" t="n">
        <v>967</v>
      </c>
      <c r="B971" s="35" t="n">
        <v>2967</v>
      </c>
      <c r="C971" s="36" t="inlineStr">
        <is>
          <t>0603045025</t>
        </is>
      </c>
      <c r="D971" s="36" t="inlineStr">
        <is>
          <t>Region VI (Western Visayas)</t>
        </is>
      </c>
      <c r="E971" s="36" t="inlineStr">
        <is>
          <t>Iloilo</t>
        </is>
      </c>
      <c r="F971" s="36" t="inlineStr">
        <is>
          <t>Tigbauan</t>
        </is>
      </c>
      <c r="G971" s="36" t="inlineStr">
        <is>
          <t>Buyu-an</t>
        </is>
      </c>
      <c r="H971" s="37" t="n">
        <v>10.670823</v>
      </c>
      <c r="I971" s="37" t="n">
        <v>122.357905</v>
      </c>
      <c r="J971" s="8" t="inlineStr">
        <is>
          <t>R</t>
        </is>
      </c>
      <c r="K971" s="36" t="inlineStr">
        <is>
          <t>Class 1-3 / Urban</t>
        </is>
      </c>
      <c r="L971" s="18" t="n">
        <v>3811</v>
      </c>
      <c r="M971" s="20" t="n">
        <v>4.39</v>
      </c>
      <c r="N971" s="18">
        <f>ROUND(L971/M971, 0)</f>
        <v/>
      </c>
      <c r="O971" s="18">
        <f>ROUND(N971*'Methodology &amp; Assumptions'!$B$8, 0)</f>
        <v/>
      </c>
      <c r="P971" s="8" t="inlineStr">
        <is>
          <t>Band n50 (1.5 GHz, 60 MHz)</t>
        </is>
      </c>
      <c r="Q971" s="38">
        <f>ROUNDUP(O971/'Methodology &amp; Assumptions'!$B$9, 0)</f>
        <v/>
      </c>
      <c r="R971" s="39" t="n">
        <v>1</v>
      </c>
      <c r="S971" s="21" t="n">
        <v>2.71</v>
      </c>
      <c r="T971" s="21" t="n">
        <v>0.1</v>
      </c>
      <c r="U971" s="36" t="inlineStr">
        <is>
          <t>Tier 1B (Micro Drop, 1-3 km)</t>
        </is>
      </c>
      <c r="V971" s="20" t="n">
        <v>50.6</v>
      </c>
      <c r="W971" s="20" t="n">
        <v>93.3</v>
      </c>
      <c r="X971" s="20" t="n">
        <v>58</v>
      </c>
      <c r="Y971" s="40">
        <f>ROUND((V971*'Methodology &amp; Assumptions'!$B$6)+(W971*'Methodology &amp; Assumptions'!$B$5)+(X971*'Methodology &amp; Assumptions'!$B$7), 2)</f>
        <v/>
      </c>
    </row>
    <row r="972" ht="19" customHeight="1">
      <c r="A972" s="41" t="n">
        <v>968</v>
      </c>
      <c r="B972" s="41" t="n">
        <v>2968</v>
      </c>
      <c r="C972" s="42" t="inlineStr">
        <is>
          <t>0402120016</t>
        </is>
      </c>
      <c r="D972" s="42" t="inlineStr">
        <is>
          <t>Region IV-A (CALABARZON)</t>
        </is>
      </c>
      <c r="E972" s="42" t="inlineStr">
        <is>
          <t>Cavite</t>
        </is>
      </c>
      <c r="F972" s="42" t="inlineStr">
        <is>
          <t>Tanza</t>
        </is>
      </c>
      <c r="G972" s="42" t="inlineStr">
        <is>
          <t>Barangay I</t>
        </is>
      </c>
      <c r="H972" s="43" t="n">
        <v>14.400255</v>
      </c>
      <c r="I972" s="43" t="n">
        <v>120.85779</v>
      </c>
      <c r="J972" s="44" t="inlineStr">
        <is>
          <t>R</t>
        </is>
      </c>
      <c r="K972" s="42" t="inlineStr">
        <is>
          <t>Class 1-3 / Urban</t>
        </is>
      </c>
      <c r="L972" s="23" t="n">
        <v>1437</v>
      </c>
      <c r="M972" s="24" t="n">
        <v>4.49</v>
      </c>
      <c r="N972" s="23">
        <f>ROUND(L972/M972, 0)</f>
        <v/>
      </c>
      <c r="O972" s="23">
        <f>ROUND(N972*'Methodology &amp; Assumptions'!$B$8, 0)</f>
        <v/>
      </c>
      <c r="P972" s="44" t="inlineStr">
        <is>
          <t>Band n50 (1.5 GHz, 60 MHz)</t>
        </is>
      </c>
      <c r="Q972" s="38">
        <f>ROUNDUP(O972/'Methodology &amp; Assumptions'!$B$9, 0)</f>
        <v/>
      </c>
      <c r="R972" s="39" t="n">
        <v>1</v>
      </c>
      <c r="S972" s="25" t="n">
        <v>0.51</v>
      </c>
      <c r="T972" s="25" t="n">
        <v>0.6</v>
      </c>
      <c r="U972" s="42" t="inlineStr">
        <is>
          <t>Tier 1A (Direct Coloc, &lt;1 km)</t>
        </is>
      </c>
      <c r="V972" s="24" t="n">
        <v>94.3</v>
      </c>
      <c r="W972" s="24" t="n">
        <v>49.6</v>
      </c>
      <c r="X972" s="24" t="n">
        <v>58</v>
      </c>
      <c r="Y972" s="45">
        <f>ROUND((V972*'Methodology &amp; Assumptions'!$B$6)+(W972*'Methodology &amp; Assumptions'!$B$5)+(X972*'Methodology &amp; Assumptions'!$B$7), 2)</f>
        <v/>
      </c>
    </row>
    <row r="973" ht="19" customHeight="1">
      <c r="A973" s="35" t="n">
        <v>969</v>
      </c>
      <c r="B973" s="35" t="n">
        <v>2969</v>
      </c>
      <c r="C973" s="36" t="inlineStr">
        <is>
          <t>0301411015</t>
        </is>
      </c>
      <c r="D973" s="36" t="inlineStr">
        <is>
          <t>Region III (Central Luzon)</t>
        </is>
      </c>
      <c r="E973" s="36" t="inlineStr">
        <is>
          <t>Bulacan</t>
        </is>
      </c>
      <c r="F973" s="36" t="inlineStr">
        <is>
          <t>Marilao</t>
        </is>
      </c>
      <c r="G973" s="36" t="inlineStr">
        <is>
          <t>Saog</t>
        </is>
      </c>
      <c r="H973" s="37" t="n">
        <v>14.763467</v>
      </c>
      <c r="I973" s="37" t="n">
        <v>120.954647</v>
      </c>
      <c r="J973" s="8" t="inlineStr">
        <is>
          <t>U</t>
        </is>
      </c>
      <c r="K973" s="36" t="inlineStr">
        <is>
          <t>Class 1-3 / Urban</t>
        </is>
      </c>
      <c r="L973" s="18" t="n">
        <v>15612</v>
      </c>
      <c r="M973" s="20" t="n">
        <v>4.1</v>
      </c>
      <c r="N973" s="18">
        <f>ROUND(L973/M973, 0)</f>
        <v/>
      </c>
      <c r="O973" s="18">
        <f>ROUND(N973*'Methodology &amp; Assumptions'!$B$8, 0)</f>
        <v/>
      </c>
      <c r="P973" s="8" t="inlineStr">
        <is>
          <t>Band n50 (1.5 GHz, 60 MHz)</t>
        </is>
      </c>
      <c r="Q973" s="38">
        <f>ROUNDUP(O973/'Methodology &amp; Assumptions'!$B$9, 0)</f>
        <v/>
      </c>
      <c r="R973" s="39" t="n">
        <v>1</v>
      </c>
      <c r="S973" s="21" t="n">
        <v>1.55</v>
      </c>
      <c r="T973" s="21" t="n">
        <v>0.45</v>
      </c>
      <c r="U973" s="36" t="inlineStr">
        <is>
          <t>Tier 1B (Micro Drop, 1-3 km)</t>
        </is>
      </c>
      <c r="V973" s="20" t="n">
        <v>69.59999999999999</v>
      </c>
      <c r="W973" s="20" t="n">
        <v>100</v>
      </c>
      <c r="X973" s="20" t="n">
        <v>28</v>
      </c>
      <c r="Y973" s="40">
        <f>ROUND((V973*'Methodology &amp; Assumptions'!$B$6)+(W973*'Methodology &amp; Assumptions'!$B$5)+(X973*'Methodology &amp; Assumptions'!$B$7), 2)</f>
        <v/>
      </c>
    </row>
    <row r="974" ht="19" customHeight="1">
      <c r="A974" s="41" t="n">
        <v>970</v>
      </c>
      <c r="B974" s="41" t="n">
        <v>2970</v>
      </c>
      <c r="C974" s="42" t="inlineStr">
        <is>
          <t>0301403022</t>
        </is>
      </c>
      <c r="D974" s="42" t="inlineStr">
        <is>
          <t>Region III (Central Luzon)</t>
        </is>
      </c>
      <c r="E974" s="42" t="inlineStr">
        <is>
          <t>Bulacan</t>
        </is>
      </c>
      <c r="F974" s="42" t="inlineStr">
        <is>
          <t>Baliuag</t>
        </is>
      </c>
      <c r="G974" s="42" t="inlineStr">
        <is>
          <t>Subic</t>
        </is>
      </c>
      <c r="H974" s="43" t="n">
        <v>14.960972</v>
      </c>
      <c r="I974" s="43" t="n">
        <v>120.90431</v>
      </c>
      <c r="J974" s="44" t="inlineStr">
        <is>
          <t>U</t>
        </is>
      </c>
      <c r="K974" s="42" t="inlineStr">
        <is>
          <t>Class 1-3 / Urban</t>
        </is>
      </c>
      <c r="L974" s="23" t="n">
        <v>6437</v>
      </c>
      <c r="M974" s="24" t="n">
        <v>4.1</v>
      </c>
      <c r="N974" s="23">
        <f>ROUND(L974/M974, 0)</f>
        <v/>
      </c>
      <c r="O974" s="23">
        <f>ROUND(N974*'Methodology &amp; Assumptions'!$B$8, 0)</f>
        <v/>
      </c>
      <c r="P974" s="44" t="inlineStr">
        <is>
          <t>Band n50 (1.5 GHz, 60 MHz)</t>
        </is>
      </c>
      <c r="Q974" s="38">
        <f>ROUNDUP(O974/'Methodology &amp; Assumptions'!$B$9, 0)</f>
        <v/>
      </c>
      <c r="R974" s="39" t="n">
        <v>1</v>
      </c>
      <c r="S974" s="25" t="n">
        <v>1.55</v>
      </c>
      <c r="T974" s="25" t="n">
        <v>0.39</v>
      </c>
      <c r="U974" s="42" t="inlineStr">
        <is>
          <t>Tier 1B (Micro Drop, 1-3 km)</t>
        </is>
      </c>
      <c r="V974" s="24" t="n">
        <v>69.59999999999999</v>
      </c>
      <c r="W974" s="24" t="n">
        <v>100</v>
      </c>
      <c r="X974" s="24" t="n">
        <v>28</v>
      </c>
      <c r="Y974" s="45">
        <f>ROUND((V974*'Methodology &amp; Assumptions'!$B$6)+(W974*'Methodology &amp; Assumptions'!$B$5)+(X974*'Methodology &amp; Assumptions'!$B$7), 2)</f>
        <v/>
      </c>
    </row>
    <row r="975" ht="19" customHeight="1">
      <c r="A975" s="35" t="n">
        <v>971</v>
      </c>
      <c r="B975" s="35" t="n">
        <v>2971</v>
      </c>
      <c r="C975" s="36" t="inlineStr">
        <is>
          <t>1401110006</t>
        </is>
      </c>
      <c r="D975" s="36" t="inlineStr">
        <is>
          <t>Cordillera Administrative Region (CAR)</t>
        </is>
      </c>
      <c r="E975" s="36" t="inlineStr">
        <is>
          <t>Benguet</t>
        </is>
      </c>
      <c r="F975" s="36" t="inlineStr">
        <is>
          <t>La Trinidad</t>
        </is>
      </c>
      <c r="G975" s="36" t="inlineStr">
        <is>
          <t>Beckel</t>
        </is>
      </c>
      <c r="H975" s="37" t="n">
        <v>16.44482</v>
      </c>
      <c r="I975" s="37" t="n">
        <v>120.62573</v>
      </c>
      <c r="J975" s="8" t="inlineStr">
        <is>
          <t>U</t>
        </is>
      </c>
      <c r="K975" s="36" t="inlineStr">
        <is>
          <t>Class 1-3 / Urban</t>
        </is>
      </c>
      <c r="L975" s="18" t="n">
        <v>4560</v>
      </c>
      <c r="M975" s="20" t="n">
        <v>4.58</v>
      </c>
      <c r="N975" s="18">
        <f>ROUND(L975/M975, 0)</f>
        <v/>
      </c>
      <c r="O975" s="18">
        <f>ROUND(N975*'Methodology &amp; Assumptions'!$B$8, 0)</f>
        <v/>
      </c>
      <c r="P975" s="8" t="inlineStr">
        <is>
          <t>Band n50 (1.5 GHz, 60 MHz)</t>
        </is>
      </c>
      <c r="Q975" s="38">
        <f>ROUNDUP(O975/'Methodology &amp; Assumptions'!$B$9, 0)</f>
        <v/>
      </c>
      <c r="R975" s="39" t="n">
        <v>1</v>
      </c>
      <c r="S975" s="21" t="n">
        <v>1.54</v>
      </c>
      <c r="T975" s="21" t="n">
        <v>1.15</v>
      </c>
      <c r="U975" s="36" t="inlineStr">
        <is>
          <t>Tier 1B (Micro Drop, 1-3 km)</t>
        </is>
      </c>
      <c r="V975" s="20" t="n">
        <v>69.90000000000001</v>
      </c>
      <c r="W975" s="20" t="n">
        <v>99.7</v>
      </c>
      <c r="X975" s="20" t="n">
        <v>28</v>
      </c>
      <c r="Y975" s="40">
        <f>ROUND((V975*'Methodology &amp; Assumptions'!$B$6)+(W975*'Methodology &amp; Assumptions'!$B$5)+(X975*'Methodology &amp; Assumptions'!$B$7), 2)</f>
        <v/>
      </c>
    </row>
    <row r="976" ht="19" customHeight="1">
      <c r="A976" s="41" t="n">
        <v>972</v>
      </c>
      <c r="B976" s="41" t="n">
        <v>2972</v>
      </c>
      <c r="C976" s="42" t="inlineStr">
        <is>
          <t>0102921002</t>
        </is>
      </c>
      <c r="D976" s="42" t="inlineStr">
        <is>
          <t>Region I (Ilocos Region)</t>
        </is>
      </c>
      <c r="E976" s="42" t="inlineStr">
        <is>
          <t>Ilocos Sur</t>
        </is>
      </c>
      <c r="F976" s="42" t="inlineStr">
        <is>
          <t>San Vicente</t>
        </is>
      </c>
      <c r="G976" s="42" t="inlineStr">
        <is>
          <t>Bayubay Norte</t>
        </is>
      </c>
      <c r="H976" s="43" t="n">
        <v>17.591758</v>
      </c>
      <c r="I976" s="43" t="n">
        <v>120.381045</v>
      </c>
      <c r="J976" s="44" t="inlineStr">
        <is>
          <t>R</t>
        </is>
      </c>
      <c r="K976" s="42" t="inlineStr">
        <is>
          <t>3rd</t>
        </is>
      </c>
      <c r="L976" s="23" t="n">
        <v>1368</v>
      </c>
      <c r="M976" s="24" t="n">
        <v>4.29</v>
      </c>
      <c r="N976" s="23">
        <f>ROUND(L976/M976, 0)</f>
        <v/>
      </c>
      <c r="O976" s="23">
        <f>ROUND(N976*'Methodology &amp; Assumptions'!$B$8, 0)</f>
        <v/>
      </c>
      <c r="P976" s="44" t="inlineStr">
        <is>
          <t>Band n50 (1.5 GHz, 60 MHz)</t>
        </is>
      </c>
      <c r="Q976" s="38">
        <f>ROUNDUP(O976/'Methodology &amp; Assumptions'!$B$9, 0)</f>
        <v/>
      </c>
      <c r="R976" s="39" t="n">
        <v>1</v>
      </c>
      <c r="S976" s="25" t="n">
        <v>1.01</v>
      </c>
      <c r="T976" s="25" t="n">
        <v>0.96</v>
      </c>
      <c r="U976" s="42" t="inlineStr">
        <is>
          <t>Tier 1B (Micro Drop, 1-3 km)</t>
        </is>
      </c>
      <c r="V976" s="24" t="n">
        <v>81.40000000000001</v>
      </c>
      <c r="W976" s="24" t="n">
        <v>49.6</v>
      </c>
      <c r="X976" s="24" t="n">
        <v>73</v>
      </c>
      <c r="Y976" s="45">
        <f>ROUND((V976*'Methodology &amp; Assumptions'!$B$6)+(W976*'Methodology &amp; Assumptions'!$B$5)+(X976*'Methodology &amp; Assumptions'!$B$7), 2)</f>
        <v/>
      </c>
    </row>
    <row r="977" ht="19" customHeight="1">
      <c r="A977" s="35" t="n">
        <v>973</v>
      </c>
      <c r="B977" s="35" t="n">
        <v>2973</v>
      </c>
      <c r="C977" s="36" t="inlineStr">
        <is>
          <t>1001320021</t>
        </is>
      </c>
      <c r="D977" s="36" t="inlineStr">
        <is>
          <t>Region X (Northern Mindanao)</t>
        </is>
      </c>
      <c r="E977" s="36" t="inlineStr">
        <is>
          <t>Bukidnon</t>
        </is>
      </c>
      <c r="F977" s="36" t="inlineStr">
        <is>
          <t>Talakag</t>
        </is>
      </c>
      <c r="G977" s="36" t="inlineStr">
        <is>
          <t>Barangay 3</t>
        </is>
      </c>
      <c r="H977" s="37" t="n">
        <v>8.233573</v>
      </c>
      <c r="I977" s="37" t="n">
        <v>124.598591</v>
      </c>
      <c r="J977" s="8" t="inlineStr">
        <is>
          <t>R</t>
        </is>
      </c>
      <c r="K977" s="36" t="inlineStr">
        <is>
          <t>Class 1-3 / Urban</t>
        </is>
      </c>
      <c r="L977" s="18" t="n">
        <v>1467</v>
      </c>
      <c r="M977" s="20" t="n">
        <v>4.63</v>
      </c>
      <c r="N977" s="18">
        <f>ROUND(L977/M977, 0)</f>
        <v/>
      </c>
      <c r="O977" s="18">
        <f>ROUND(N977*'Methodology &amp; Assumptions'!$B$8, 0)</f>
        <v/>
      </c>
      <c r="P977" s="8" t="inlineStr">
        <is>
          <t>Band n50 (1.5 GHz, 60 MHz)</t>
        </is>
      </c>
      <c r="Q977" s="38">
        <f>ROUNDUP(O977/'Methodology &amp; Assumptions'!$B$9, 0)</f>
        <v/>
      </c>
      <c r="R977" s="39" t="n">
        <v>1</v>
      </c>
      <c r="S977" s="21" t="n">
        <v>0.5</v>
      </c>
      <c r="T977" s="21" t="n">
        <v>0.47</v>
      </c>
      <c r="U977" s="36" t="inlineStr">
        <is>
          <t>Tier 1A (Direct Coloc, &lt;1 km)</t>
        </is>
      </c>
      <c r="V977" s="20" t="n">
        <v>94.59999999999999</v>
      </c>
      <c r="W977" s="20" t="n">
        <v>49.3</v>
      </c>
      <c r="X977" s="20" t="n">
        <v>58</v>
      </c>
      <c r="Y977" s="40">
        <f>ROUND((V977*'Methodology &amp; Assumptions'!$B$6)+(W977*'Methodology &amp; Assumptions'!$B$5)+(X977*'Methodology &amp; Assumptions'!$B$7), 2)</f>
        <v/>
      </c>
    </row>
    <row r="978" ht="19" customHeight="1">
      <c r="A978" s="41" t="n">
        <v>974</v>
      </c>
      <c r="B978" s="41" t="n">
        <v>2974</v>
      </c>
      <c r="C978" s="42" t="inlineStr">
        <is>
          <t>0403402010</t>
        </is>
      </c>
      <c r="D978" s="42" t="inlineStr">
        <is>
          <t>Region IV-A (CALABARZON)</t>
        </is>
      </c>
      <c r="E978" s="42" t="inlineStr">
        <is>
          <t>Laguna</t>
        </is>
      </c>
      <c r="F978" s="42" t="inlineStr">
        <is>
          <t>Bay</t>
        </is>
      </c>
      <c r="G978" s="42" t="inlineStr">
        <is>
          <t>San Antonio</t>
        </is>
      </c>
      <c r="H978" s="43" t="n">
        <v>14.194886</v>
      </c>
      <c r="I978" s="43" t="n">
        <v>121.2814</v>
      </c>
      <c r="J978" s="44" t="inlineStr">
        <is>
          <t>U</t>
        </is>
      </c>
      <c r="K978" s="42" t="inlineStr">
        <is>
          <t>Class 1-3 / Urban</t>
        </is>
      </c>
      <c r="L978" s="23" t="n">
        <v>5730</v>
      </c>
      <c r="M978" s="24" t="n">
        <v>4.2</v>
      </c>
      <c r="N978" s="23">
        <f>ROUND(L978/M978, 0)</f>
        <v/>
      </c>
      <c r="O978" s="23">
        <f>ROUND(N978*'Methodology &amp; Assumptions'!$B$8, 0)</f>
        <v/>
      </c>
      <c r="P978" s="44" t="inlineStr">
        <is>
          <t>Band n50 (1.5 GHz, 60 MHz)</t>
        </is>
      </c>
      <c r="Q978" s="38">
        <f>ROUNDUP(O978/'Methodology &amp; Assumptions'!$B$9, 0)</f>
        <v/>
      </c>
      <c r="R978" s="39" t="n">
        <v>1</v>
      </c>
      <c r="S978" s="25" t="n">
        <v>1.55</v>
      </c>
      <c r="T978" s="25" t="n">
        <v>1.69</v>
      </c>
      <c r="U978" s="42" t="inlineStr">
        <is>
          <t>Tier 1B (Micro Drop, 1-3 km)</t>
        </is>
      </c>
      <c r="V978" s="24" t="n">
        <v>69.59999999999999</v>
      </c>
      <c r="W978" s="24" t="n">
        <v>100</v>
      </c>
      <c r="X978" s="24" t="n">
        <v>28</v>
      </c>
      <c r="Y978" s="45">
        <f>ROUND((V978*'Methodology &amp; Assumptions'!$B$6)+(W978*'Methodology &amp; Assumptions'!$B$5)+(X978*'Methodology &amp; Assumptions'!$B$7), 2)</f>
        <v/>
      </c>
    </row>
    <row r="979" ht="19" customHeight="1">
      <c r="A979" s="35" t="n">
        <v>975</v>
      </c>
      <c r="B979" s="35" t="n">
        <v>2975</v>
      </c>
      <c r="C979" s="36" t="inlineStr">
        <is>
          <t>0402106077</t>
        </is>
      </c>
      <c r="D979" s="36" t="inlineStr">
        <is>
          <t>Region IV-A (CALABARZON)</t>
        </is>
      </c>
      <c r="E979" s="36" t="inlineStr">
        <is>
          <t>Cavite</t>
        </is>
      </c>
      <c r="F979" s="36" t="inlineStr">
        <is>
          <t>City of Dasmariñas</t>
        </is>
      </c>
      <c r="G979" s="36" t="inlineStr">
        <is>
          <t>Santa Cruz II</t>
        </is>
      </c>
      <c r="H979" s="37" t="n">
        <v>14.314948</v>
      </c>
      <c r="I979" s="37" t="n">
        <v>120.956798</v>
      </c>
      <c r="J979" s="8" t="inlineStr">
        <is>
          <t>R</t>
        </is>
      </c>
      <c r="K979" s="36" t="inlineStr">
        <is>
          <t>Class 1-3 / Urban</t>
        </is>
      </c>
      <c r="L979" s="18" t="n">
        <v>2138</v>
      </c>
      <c r="M979" s="20" t="n">
        <v>4.49</v>
      </c>
      <c r="N979" s="18">
        <f>ROUND(L979/M979, 0)</f>
        <v/>
      </c>
      <c r="O979" s="18">
        <f>ROUND(N979*'Methodology &amp; Assumptions'!$B$8, 0)</f>
        <v/>
      </c>
      <c r="P979" s="8" t="inlineStr">
        <is>
          <t>Band n50 (1.5 GHz, 60 MHz)</t>
        </is>
      </c>
      <c r="Q979" s="38">
        <f>ROUNDUP(O979/'Methodology &amp; Assumptions'!$B$9, 0)</f>
        <v/>
      </c>
      <c r="R979" s="39" t="n">
        <v>1</v>
      </c>
      <c r="S979" s="21" t="n">
        <v>1</v>
      </c>
      <c r="T979" s="21" t="n">
        <v>1.51</v>
      </c>
      <c r="U979" s="36" t="inlineStr">
        <is>
          <t>Tier 1A (Direct Coloc, &lt;1 km)</t>
        </is>
      </c>
      <c r="V979" s="20" t="n">
        <v>81.7</v>
      </c>
      <c r="W979" s="20" t="n">
        <v>62.1</v>
      </c>
      <c r="X979" s="20" t="n">
        <v>58</v>
      </c>
      <c r="Y979" s="40">
        <f>ROUND((V979*'Methodology &amp; Assumptions'!$B$6)+(W979*'Methodology &amp; Assumptions'!$B$5)+(X979*'Methodology &amp; Assumptions'!$B$7), 2)</f>
        <v/>
      </c>
    </row>
    <row r="980" ht="19" customHeight="1">
      <c r="A980" s="41" t="n">
        <v>976</v>
      </c>
      <c r="B980" s="41" t="n">
        <v>2976</v>
      </c>
      <c r="C980" s="42" t="inlineStr">
        <is>
          <t>1130700049</t>
        </is>
      </c>
      <c r="D980" s="42" t="inlineStr">
        <is>
          <t>Region XI (Davao Region)</t>
        </is>
      </c>
      <c r="E980" s="42" t="inlineStr">
        <is>
          <t>Davao del Sur</t>
        </is>
      </c>
      <c r="F980" s="42" t="inlineStr">
        <is>
          <t>City of Davao</t>
        </is>
      </c>
      <c r="G980" s="42" t="inlineStr">
        <is>
          <t>Ilang</t>
        </is>
      </c>
      <c r="H980" s="43" t="n">
        <v>7.180764</v>
      </c>
      <c r="I980" s="43" t="n">
        <v>125.651954</v>
      </c>
      <c r="J980" s="44" t="inlineStr">
        <is>
          <t>U</t>
        </is>
      </c>
      <c r="K980" s="42" t="inlineStr">
        <is>
          <t>Class 1-3 / Urban</t>
        </is>
      </c>
      <c r="L980" s="23" t="n">
        <v>26150</v>
      </c>
      <c r="M980" s="24" t="n">
        <v>4.1</v>
      </c>
      <c r="N980" s="23">
        <f>ROUND(L980/M980, 0)</f>
        <v/>
      </c>
      <c r="O980" s="23">
        <f>ROUND(N980*'Methodology &amp; Assumptions'!$B$8, 0)</f>
        <v/>
      </c>
      <c r="P980" s="44" t="inlineStr">
        <is>
          <t>Band n50 (1.5 GHz, 60 MHz)</t>
        </is>
      </c>
      <c r="Q980" s="38">
        <f>ROUNDUP(O980/'Methodology &amp; Assumptions'!$B$9, 0)</f>
        <v/>
      </c>
      <c r="R980" s="39" t="n">
        <v>1</v>
      </c>
      <c r="S980" s="25" t="n">
        <v>1.56</v>
      </c>
      <c r="T980" s="25" t="n">
        <v>0.26</v>
      </c>
      <c r="U980" s="42" t="inlineStr">
        <is>
          <t>Tier 1B (Micro Drop, 1-3 km)</t>
        </is>
      </c>
      <c r="V980" s="24" t="n">
        <v>69.5</v>
      </c>
      <c r="W980" s="24" t="n">
        <v>100</v>
      </c>
      <c r="X980" s="24" t="n">
        <v>28</v>
      </c>
      <c r="Y980" s="45">
        <f>ROUND((V980*'Methodology &amp; Assumptions'!$B$6)+(W980*'Methodology &amp; Assumptions'!$B$5)+(X980*'Methodology &amp; Assumptions'!$B$7), 2)</f>
        <v/>
      </c>
    </row>
    <row r="981" ht="19" customHeight="1">
      <c r="A981" s="35" t="n">
        <v>977</v>
      </c>
      <c r="B981" s="35" t="n">
        <v>2977</v>
      </c>
      <c r="C981" s="36" t="inlineStr">
        <is>
          <t>0403422002</t>
        </is>
      </c>
      <c r="D981" s="36" t="inlineStr">
        <is>
          <t>Region IV-A (CALABARZON)</t>
        </is>
      </c>
      <c r="E981" s="36" t="inlineStr">
        <is>
          <t>Laguna</t>
        </is>
      </c>
      <c r="F981" s="36" t="inlineStr">
        <is>
          <t>Pila</t>
        </is>
      </c>
      <c r="G981" s="36" t="inlineStr">
        <is>
          <t>Bagong Pook</t>
        </is>
      </c>
      <c r="H981" s="37" t="n">
        <v>14.250145</v>
      </c>
      <c r="I981" s="37" t="n">
        <v>121.370956</v>
      </c>
      <c r="J981" s="8" t="inlineStr">
        <is>
          <t>U</t>
        </is>
      </c>
      <c r="K981" s="36" t="inlineStr">
        <is>
          <t>Class 1-3 / Urban</t>
        </is>
      </c>
      <c r="L981" s="18" t="n">
        <v>5208</v>
      </c>
      <c r="M981" s="20" t="n">
        <v>4.2</v>
      </c>
      <c r="N981" s="18">
        <f>ROUND(L981/M981, 0)</f>
        <v/>
      </c>
      <c r="O981" s="18">
        <f>ROUND(N981*'Methodology &amp; Assumptions'!$B$8, 0)</f>
        <v/>
      </c>
      <c r="P981" s="8" t="inlineStr">
        <is>
          <t>Band n50 (1.5 GHz, 60 MHz)</t>
        </is>
      </c>
      <c r="Q981" s="38">
        <f>ROUNDUP(O981/'Methodology &amp; Assumptions'!$B$9, 0)</f>
        <v/>
      </c>
      <c r="R981" s="39" t="n">
        <v>1</v>
      </c>
      <c r="S981" s="21" t="n">
        <v>1.56</v>
      </c>
      <c r="T981" s="21" t="n">
        <v>0.44</v>
      </c>
      <c r="U981" s="36" t="inlineStr">
        <is>
          <t>Tier 1B (Micro Drop, 1-3 km)</t>
        </is>
      </c>
      <c r="V981" s="20" t="n">
        <v>69.5</v>
      </c>
      <c r="W981" s="20" t="n">
        <v>100</v>
      </c>
      <c r="X981" s="20" t="n">
        <v>28</v>
      </c>
      <c r="Y981" s="40">
        <f>ROUND((V981*'Methodology &amp; Assumptions'!$B$6)+(W981*'Methodology &amp; Assumptions'!$B$5)+(X981*'Methodology &amp; Assumptions'!$B$7), 2)</f>
        <v/>
      </c>
    </row>
    <row r="982" ht="19" customHeight="1">
      <c r="A982" s="41" t="n">
        <v>978</v>
      </c>
      <c r="B982" s="41" t="n">
        <v>2978</v>
      </c>
      <c r="C982" s="42" t="inlineStr">
        <is>
          <t>0501701001</t>
        </is>
      </c>
      <c r="D982" s="42" t="inlineStr">
        <is>
          <t>Region V (Bicol Region)</t>
        </is>
      </c>
      <c r="E982" s="42" t="inlineStr">
        <is>
          <t>Camarines Sur</t>
        </is>
      </c>
      <c r="F982" s="42" t="inlineStr">
        <is>
          <t>Baao</t>
        </is>
      </c>
      <c r="G982" s="42" t="inlineStr">
        <is>
          <t>Agdangan Pob.</t>
        </is>
      </c>
      <c r="H982" s="43" t="n">
        <v>13.495152</v>
      </c>
      <c r="I982" s="43" t="n">
        <v>123.322532</v>
      </c>
      <c r="J982" s="44" t="inlineStr">
        <is>
          <t>R</t>
        </is>
      </c>
      <c r="K982" s="42" t="inlineStr">
        <is>
          <t>Class 1-3 / Urban</t>
        </is>
      </c>
      <c r="L982" s="23" t="n">
        <v>4600</v>
      </c>
      <c r="M982" s="24" t="n">
        <v>4.9</v>
      </c>
      <c r="N982" s="23">
        <f>ROUND(L982/M982, 0)</f>
        <v/>
      </c>
      <c r="O982" s="23">
        <f>ROUND(N982*'Methodology &amp; Assumptions'!$B$8, 0)</f>
        <v/>
      </c>
      <c r="P982" s="44" t="inlineStr">
        <is>
          <t>Band n50 (1.5 GHz, 60 MHz)</t>
        </is>
      </c>
      <c r="Q982" s="38">
        <f>ROUNDUP(O982/'Methodology &amp; Assumptions'!$B$9, 0)</f>
        <v/>
      </c>
      <c r="R982" s="39" t="n">
        <v>1</v>
      </c>
      <c r="S982" s="25" t="n">
        <v>3.18</v>
      </c>
      <c r="T982" s="25" t="n">
        <v>0.18</v>
      </c>
      <c r="U982" s="42" t="inlineStr">
        <is>
          <t>Tier 2 (Fiber Corridor / Lateral, 3-5 km)</t>
        </is>
      </c>
      <c r="V982" s="24" t="n">
        <v>44.6</v>
      </c>
      <c r="W982" s="24" t="n">
        <v>99.2</v>
      </c>
      <c r="X982" s="24" t="n">
        <v>58</v>
      </c>
      <c r="Y982" s="45">
        <f>ROUND((V982*'Methodology &amp; Assumptions'!$B$6)+(W982*'Methodology &amp; Assumptions'!$B$5)+(X982*'Methodology &amp; Assumptions'!$B$7), 2)</f>
        <v/>
      </c>
    </row>
    <row r="983" ht="19" customHeight="1">
      <c r="A983" s="35" t="n">
        <v>979</v>
      </c>
      <c r="B983" s="35" t="n">
        <v>2979</v>
      </c>
      <c r="C983" s="36" t="inlineStr">
        <is>
          <t>0501705018</t>
        </is>
      </c>
      <c r="D983" s="36" t="inlineStr">
        <is>
          <t>Region V (Bicol Region)</t>
        </is>
      </c>
      <c r="E983" s="36" t="inlineStr">
        <is>
          <t>Camarines Sur</t>
        </is>
      </c>
      <c r="F983" s="36" t="inlineStr">
        <is>
          <t>Buhi</t>
        </is>
      </c>
      <c r="G983" s="36" t="inlineStr">
        <is>
          <t>Monte Calvario</t>
        </is>
      </c>
      <c r="H983" s="37" t="n">
        <v>13.408457</v>
      </c>
      <c r="I983" s="37" t="n">
        <v>123.527516</v>
      </c>
      <c r="J983" s="8" t="inlineStr">
        <is>
          <t>R</t>
        </is>
      </c>
      <c r="K983" s="36" t="inlineStr">
        <is>
          <t>Class 1-3 / Urban</t>
        </is>
      </c>
      <c r="L983" s="18" t="n">
        <v>3237</v>
      </c>
      <c r="M983" s="20" t="n">
        <v>4.9</v>
      </c>
      <c r="N983" s="18">
        <f>ROUND(L983/M983, 0)</f>
        <v/>
      </c>
      <c r="O983" s="18">
        <f>ROUND(N983*'Methodology &amp; Assumptions'!$B$8, 0)</f>
        <v/>
      </c>
      <c r="P983" s="8" t="inlineStr">
        <is>
          <t>Band n50 (1.5 GHz, 60 MHz)</t>
        </is>
      </c>
      <c r="Q983" s="38">
        <f>ROUNDUP(O983/'Methodology &amp; Assumptions'!$B$9, 0)</f>
        <v/>
      </c>
      <c r="R983" s="39" t="n">
        <v>1</v>
      </c>
      <c r="S983" s="21" t="n">
        <v>1.69</v>
      </c>
      <c r="T983" s="21" t="n">
        <v>1.64</v>
      </c>
      <c r="U983" s="36" t="inlineStr">
        <is>
          <t>Tier 1B (Micro Drop, 1-3 km)</t>
        </is>
      </c>
      <c r="V983" s="20" t="n">
        <v>67</v>
      </c>
      <c r="W983" s="20" t="n">
        <v>76.8</v>
      </c>
      <c r="X983" s="20" t="n">
        <v>58</v>
      </c>
      <c r="Y983" s="40">
        <f>ROUND((V983*'Methodology &amp; Assumptions'!$B$6)+(W983*'Methodology &amp; Assumptions'!$B$5)+(X983*'Methodology &amp; Assumptions'!$B$7), 2)</f>
        <v/>
      </c>
    </row>
    <row r="984" ht="19" customHeight="1">
      <c r="A984" s="41" t="n">
        <v>980</v>
      </c>
      <c r="B984" s="41" t="n">
        <v>2980</v>
      </c>
      <c r="C984" s="42" t="inlineStr">
        <is>
          <t>0203112061</t>
        </is>
      </c>
      <c r="D984" s="42" t="inlineStr">
        <is>
          <t>Region II (Cagayan Valley)</t>
        </is>
      </c>
      <c r="E984" s="42" t="inlineStr">
        <is>
          <t>Isabela</t>
        </is>
      </c>
      <c r="F984" s="42" t="inlineStr">
        <is>
          <t>Echague</t>
        </is>
      </c>
      <c r="G984" s="42" t="inlineStr">
        <is>
          <t>Tuguegarao</t>
        </is>
      </c>
      <c r="H984" s="43" t="n">
        <v>16.708452</v>
      </c>
      <c r="I984" s="43" t="n">
        <v>121.689814</v>
      </c>
      <c r="J984" s="44" t="inlineStr">
        <is>
          <t>R</t>
        </is>
      </c>
      <c r="K984" s="42" t="inlineStr">
        <is>
          <t>Class 1-3 / Urban</t>
        </is>
      </c>
      <c r="L984" s="23" t="n">
        <v>2470</v>
      </c>
      <c r="M984" s="24" t="n">
        <v>4.3</v>
      </c>
      <c r="N984" s="23">
        <f>ROUND(L984/M984, 0)</f>
        <v/>
      </c>
      <c r="O984" s="23">
        <f>ROUND(N984*'Methodology &amp; Assumptions'!$B$8, 0)</f>
        <v/>
      </c>
      <c r="P984" s="44" t="inlineStr">
        <is>
          <t>Band n50 (1.5 GHz, 60 MHz)</t>
        </is>
      </c>
      <c r="Q984" s="38">
        <f>ROUNDUP(O984/'Methodology &amp; Assumptions'!$B$9, 0)</f>
        <v/>
      </c>
      <c r="R984" s="39" t="n">
        <v>1</v>
      </c>
      <c r="S984" s="25" t="n">
        <v>1.34</v>
      </c>
      <c r="T984" s="25" t="n">
        <v>1.43</v>
      </c>
      <c r="U984" s="42" t="inlineStr">
        <is>
          <t>Tier 1B (Micro Drop, 1-3 km)</t>
        </is>
      </c>
      <c r="V984" s="24" t="n">
        <v>73.90000000000001</v>
      </c>
      <c r="W984" s="24" t="n">
        <v>69.90000000000001</v>
      </c>
      <c r="X984" s="24" t="n">
        <v>58</v>
      </c>
      <c r="Y984" s="45">
        <f>ROUND((V984*'Methodology &amp; Assumptions'!$B$6)+(W984*'Methodology &amp; Assumptions'!$B$5)+(X984*'Methodology &amp; Assumptions'!$B$7), 2)</f>
        <v/>
      </c>
    </row>
    <row r="985" ht="19" customHeight="1">
      <c r="A985" s="35" t="n">
        <v>981</v>
      </c>
      <c r="B985" s="35" t="n">
        <v>2981</v>
      </c>
      <c r="C985" s="36" t="inlineStr">
        <is>
          <t>0402106065</t>
        </is>
      </c>
      <c r="D985" s="36" t="inlineStr">
        <is>
          <t>Region IV-A (CALABARZON)</t>
        </is>
      </c>
      <c r="E985" s="36" t="inlineStr">
        <is>
          <t>Cavite</t>
        </is>
      </c>
      <c r="F985" s="36" t="inlineStr">
        <is>
          <t>City of Dasmariñas</t>
        </is>
      </c>
      <c r="G985" s="36" t="inlineStr">
        <is>
          <t>San Agustin II</t>
        </is>
      </c>
      <c r="H985" s="37" t="n">
        <v>14.31769</v>
      </c>
      <c r="I985" s="37" t="n">
        <v>120.952303</v>
      </c>
      <c r="J985" s="8" t="inlineStr">
        <is>
          <t>U</t>
        </is>
      </c>
      <c r="K985" s="36" t="inlineStr">
        <is>
          <t>Class 1-3 / Urban</t>
        </is>
      </c>
      <c r="L985" s="18" t="n">
        <v>11692</v>
      </c>
      <c r="M985" s="20" t="n">
        <v>4.49</v>
      </c>
      <c r="N985" s="18">
        <f>ROUND(L985/M985, 0)</f>
        <v/>
      </c>
      <c r="O985" s="18">
        <f>ROUND(N985*'Methodology &amp; Assumptions'!$B$8, 0)</f>
        <v/>
      </c>
      <c r="P985" s="8" t="inlineStr">
        <is>
          <t>Band n50 (1.5 GHz, 60 MHz)</t>
        </is>
      </c>
      <c r="Q985" s="38">
        <f>ROUNDUP(O985/'Methodology &amp; Assumptions'!$B$9, 0)</f>
        <v/>
      </c>
      <c r="R985" s="39" t="n">
        <v>1</v>
      </c>
      <c r="S985" s="21" t="n">
        <v>1.56</v>
      </c>
      <c r="T985" s="21" t="n">
        <v>1.78</v>
      </c>
      <c r="U985" s="36" t="inlineStr">
        <is>
          <t>Tier 1B (Micro Drop, 1-3 km)</t>
        </is>
      </c>
      <c r="V985" s="20" t="n">
        <v>69.5</v>
      </c>
      <c r="W985" s="20" t="n">
        <v>100</v>
      </c>
      <c r="X985" s="20" t="n">
        <v>28</v>
      </c>
      <c r="Y985" s="40">
        <f>ROUND((V985*'Methodology &amp; Assumptions'!$B$6)+(W985*'Methodology &amp; Assumptions'!$B$5)+(X985*'Methodology &amp; Assumptions'!$B$7), 2)</f>
        <v/>
      </c>
    </row>
    <row r="986" ht="19" customHeight="1">
      <c r="A986" s="41" t="n">
        <v>982</v>
      </c>
      <c r="B986" s="41" t="n">
        <v>2982</v>
      </c>
      <c r="C986" s="42" t="inlineStr">
        <is>
          <t>0301421052</t>
        </is>
      </c>
      <c r="D986" s="42" t="inlineStr">
        <is>
          <t>Region III (Central Luzon)</t>
        </is>
      </c>
      <c r="E986" s="42" t="inlineStr">
        <is>
          <t>Bulacan</t>
        </is>
      </c>
      <c r="F986" s="42" t="inlineStr">
        <is>
          <t>San Miguel</t>
        </is>
      </c>
      <c r="G986" s="42" t="inlineStr">
        <is>
          <t>Sibul</t>
        </is>
      </c>
      <c r="H986" s="43" t="n">
        <v>15.166585</v>
      </c>
      <c r="I986" s="43" t="n">
        <v>121.06038</v>
      </c>
      <c r="J986" s="44" t="inlineStr">
        <is>
          <t>U</t>
        </is>
      </c>
      <c r="K986" s="42" t="inlineStr">
        <is>
          <t>Class 1-3 / Urban</t>
        </is>
      </c>
      <c r="L986" s="23" t="n">
        <v>11092</v>
      </c>
      <c r="M986" s="24" t="n">
        <v>4.1</v>
      </c>
      <c r="N986" s="23">
        <f>ROUND(L986/M986, 0)</f>
        <v/>
      </c>
      <c r="O986" s="23">
        <f>ROUND(N986*'Methodology &amp; Assumptions'!$B$8, 0)</f>
        <v/>
      </c>
      <c r="P986" s="44" t="inlineStr">
        <is>
          <t>Band n50 (1.5 GHz, 60 MHz)</t>
        </is>
      </c>
      <c r="Q986" s="38">
        <f>ROUNDUP(O986/'Methodology &amp; Assumptions'!$B$9, 0)</f>
        <v/>
      </c>
      <c r="R986" s="39" t="n">
        <v>1</v>
      </c>
      <c r="S986" s="25" t="n">
        <v>1.56</v>
      </c>
      <c r="T986" s="25" t="n">
        <v>0.03</v>
      </c>
      <c r="U986" s="42" t="inlineStr">
        <is>
          <t>Tier 1B (Micro Drop, 1-3 km)</t>
        </is>
      </c>
      <c r="V986" s="24" t="n">
        <v>69.5</v>
      </c>
      <c r="W986" s="24" t="n">
        <v>100</v>
      </c>
      <c r="X986" s="24" t="n">
        <v>28</v>
      </c>
      <c r="Y986" s="45">
        <f>ROUND((V986*'Methodology &amp; Assumptions'!$B$6)+(W986*'Methodology &amp; Assumptions'!$B$5)+(X986*'Methodology &amp; Assumptions'!$B$7), 2)</f>
        <v/>
      </c>
    </row>
    <row r="987" ht="19" customHeight="1">
      <c r="A987" s="35" t="n">
        <v>983</v>
      </c>
      <c r="B987" s="35" t="n">
        <v>2983</v>
      </c>
      <c r="C987" s="36" t="inlineStr">
        <is>
          <t>0631000177</t>
        </is>
      </c>
      <c r="D987" s="36" t="inlineStr">
        <is>
          <t>Region VI (Western Visayas)</t>
        </is>
      </c>
      <c r="E987" s="36" t="inlineStr">
        <is>
          <t>Iloilo</t>
        </is>
      </c>
      <c r="F987" s="36" t="inlineStr">
        <is>
          <t>City of Iloilo</t>
        </is>
      </c>
      <c r="G987" s="36" t="inlineStr">
        <is>
          <t>Tacas</t>
        </is>
      </c>
      <c r="H987" s="37" t="n">
        <v>10.749706</v>
      </c>
      <c r="I987" s="37" t="n">
        <v>122.553201</v>
      </c>
      <c r="J987" s="8" t="inlineStr">
        <is>
          <t>U</t>
        </is>
      </c>
      <c r="K987" s="36" t="inlineStr">
        <is>
          <t>Class 1-3 / Urban</t>
        </is>
      </c>
      <c r="L987" s="18" t="n">
        <v>6289</v>
      </c>
      <c r="M987" s="20" t="n">
        <v>4.39</v>
      </c>
      <c r="N987" s="18">
        <f>ROUND(L987/M987, 0)</f>
        <v/>
      </c>
      <c r="O987" s="18">
        <f>ROUND(N987*'Methodology &amp; Assumptions'!$B$8, 0)</f>
        <v/>
      </c>
      <c r="P987" s="8" t="inlineStr">
        <is>
          <t>Band n50 (1.5 GHz, 60 MHz)</t>
        </is>
      </c>
      <c r="Q987" s="38">
        <f>ROUNDUP(O987/'Methodology &amp; Assumptions'!$B$9, 0)</f>
        <v/>
      </c>
      <c r="R987" s="39" t="n">
        <v>1</v>
      </c>
      <c r="S987" s="21" t="n">
        <v>1.56</v>
      </c>
      <c r="T987" s="21" t="n">
        <v>1.51</v>
      </c>
      <c r="U987" s="36" t="inlineStr">
        <is>
          <t>Tier 1B (Micro Drop, 1-3 km)</t>
        </is>
      </c>
      <c r="V987" s="20" t="n">
        <v>69.5</v>
      </c>
      <c r="W987" s="20" t="n">
        <v>100</v>
      </c>
      <c r="X987" s="20" t="n">
        <v>28</v>
      </c>
      <c r="Y987" s="40">
        <f>ROUND((V987*'Methodology &amp; Assumptions'!$B$6)+(W987*'Methodology &amp; Assumptions'!$B$5)+(X987*'Methodology &amp; Assumptions'!$B$7), 2)</f>
        <v/>
      </c>
    </row>
    <row r="988" ht="19" customHeight="1">
      <c r="A988" s="41" t="n">
        <v>984</v>
      </c>
      <c r="B988" s="41" t="n">
        <v>2984</v>
      </c>
      <c r="C988" s="42" t="inlineStr">
        <is>
          <t>0301406007</t>
        </is>
      </c>
      <c r="D988" s="42" t="inlineStr">
        <is>
          <t>Region III (Central Luzon)</t>
        </is>
      </c>
      <c r="E988" s="42" t="inlineStr">
        <is>
          <t>Bulacan</t>
        </is>
      </c>
      <c r="F988" s="42" t="inlineStr">
        <is>
          <t>Bustos</t>
        </is>
      </c>
      <c r="G988" s="42" t="inlineStr">
        <is>
          <t>Liciada</t>
        </is>
      </c>
      <c r="H988" s="43" t="n">
        <v>14.907447</v>
      </c>
      <c r="I988" s="43" t="n">
        <v>120.927642</v>
      </c>
      <c r="J988" s="44" t="inlineStr">
        <is>
          <t>U</t>
        </is>
      </c>
      <c r="K988" s="42" t="inlineStr">
        <is>
          <t>Class 1-3 / Urban</t>
        </is>
      </c>
      <c r="L988" s="23" t="n">
        <v>6138</v>
      </c>
      <c r="M988" s="24" t="n">
        <v>4.1</v>
      </c>
      <c r="N988" s="23">
        <f>ROUND(L988/M988, 0)</f>
        <v/>
      </c>
      <c r="O988" s="23">
        <f>ROUND(N988*'Methodology &amp; Assumptions'!$B$8, 0)</f>
        <v/>
      </c>
      <c r="P988" s="44" t="inlineStr">
        <is>
          <t>Band n50 (1.5 GHz, 60 MHz)</t>
        </is>
      </c>
      <c r="Q988" s="38">
        <f>ROUNDUP(O988/'Methodology &amp; Assumptions'!$B$9, 0)</f>
        <v/>
      </c>
      <c r="R988" s="39" t="n">
        <v>1</v>
      </c>
      <c r="S988" s="25" t="n">
        <v>1.56</v>
      </c>
      <c r="T988" s="25" t="n">
        <v>0.12</v>
      </c>
      <c r="U988" s="42" t="inlineStr">
        <is>
          <t>Tier 1B (Micro Drop, 1-3 km)</t>
        </is>
      </c>
      <c r="V988" s="24" t="n">
        <v>69.5</v>
      </c>
      <c r="W988" s="24" t="n">
        <v>100</v>
      </c>
      <c r="X988" s="24" t="n">
        <v>28</v>
      </c>
      <c r="Y988" s="45">
        <f>ROUND((V988*'Methodology &amp; Assumptions'!$B$6)+(W988*'Methodology &amp; Assumptions'!$B$5)+(X988*'Methodology &amp; Assumptions'!$B$7), 2)</f>
        <v/>
      </c>
    </row>
    <row r="989" ht="19" customHeight="1">
      <c r="A989" s="35" t="n">
        <v>985</v>
      </c>
      <c r="B989" s="35" t="n">
        <v>2985</v>
      </c>
      <c r="C989" s="36" t="inlineStr">
        <is>
          <t>0403412002</t>
        </is>
      </c>
      <c r="D989" s="36" t="inlineStr">
        <is>
          <t>Region IV-A (CALABARZON)</t>
        </is>
      </c>
      <c r="E989" s="36" t="inlineStr">
        <is>
          <t>Laguna</t>
        </is>
      </c>
      <c r="F989" s="36" t="inlineStr">
        <is>
          <t>Luisiana</t>
        </is>
      </c>
      <c r="G989" s="36" t="inlineStr">
        <is>
          <t>Barangay Zone I</t>
        </is>
      </c>
      <c r="H989" s="37" t="n">
        <v>14.184564</v>
      </c>
      <c r="I989" s="37" t="n">
        <v>121.508647</v>
      </c>
      <c r="J989" s="8" t="inlineStr">
        <is>
          <t>R</t>
        </is>
      </c>
      <c r="K989" s="36" t="inlineStr">
        <is>
          <t>4th</t>
        </is>
      </c>
      <c r="L989" s="18" t="n">
        <v>561</v>
      </c>
      <c r="M989" s="20" t="n">
        <v>4.07</v>
      </c>
      <c r="N989" s="18">
        <f>ROUND(L989/M989, 0)</f>
        <v/>
      </c>
      <c r="O989" s="18">
        <f>ROUND(N989*'Methodology &amp; Assumptions'!$B$8, 0)</f>
        <v/>
      </c>
      <c r="P989" s="8" t="inlineStr">
        <is>
          <t>Band n50 (1.5 GHz, 60 MHz)</t>
        </is>
      </c>
      <c r="Q989" s="38">
        <f>ROUNDUP(O989/'Methodology &amp; Assumptions'!$B$9, 0)</f>
        <v/>
      </c>
      <c r="R989" s="39" t="n">
        <v>1</v>
      </c>
      <c r="S989" s="21" t="n">
        <v>0.42</v>
      </c>
      <c r="T989" s="21" t="n">
        <v>4.03</v>
      </c>
      <c r="U989" s="36" t="inlineStr">
        <is>
          <t>Tier 1A (Direct Coloc, &lt;1 km)</t>
        </is>
      </c>
      <c r="V989" s="20" t="n">
        <v>87</v>
      </c>
      <c r="W989" s="20" t="n">
        <v>34.9</v>
      </c>
      <c r="X989" s="20" t="n">
        <v>83.5</v>
      </c>
      <c r="Y989" s="40">
        <f>ROUND((V989*'Methodology &amp; Assumptions'!$B$6)+(W989*'Methodology &amp; Assumptions'!$B$5)+(X989*'Methodology &amp; Assumptions'!$B$7), 2)</f>
        <v/>
      </c>
    </row>
    <row r="990" ht="19" customHeight="1">
      <c r="A990" s="41" t="n">
        <v>986</v>
      </c>
      <c r="B990" s="41" t="n">
        <v>2986</v>
      </c>
      <c r="C990" s="42" t="inlineStr">
        <is>
          <t>1004320005</t>
        </is>
      </c>
      <c r="D990" s="42" t="inlineStr">
        <is>
          <t>Region X (Northern Mindanao)</t>
        </is>
      </c>
      <c r="E990" s="42" t="inlineStr">
        <is>
          <t>Misamis Oriental</t>
        </is>
      </c>
      <c r="F990" s="42" t="inlineStr">
        <is>
          <t>Naawan</t>
        </is>
      </c>
      <c r="G990" s="42" t="inlineStr">
        <is>
          <t>Maputi</t>
        </is>
      </c>
      <c r="H990" s="43" t="n">
        <v>8.447290000000001</v>
      </c>
      <c r="I990" s="43" t="n">
        <v>124.29238</v>
      </c>
      <c r="J990" s="44" t="inlineStr">
        <is>
          <t>R</t>
        </is>
      </c>
      <c r="K990" s="42" t="inlineStr">
        <is>
          <t>3rd</t>
        </is>
      </c>
      <c r="L990" s="23" t="n">
        <v>3001</v>
      </c>
      <c r="M990" s="24" t="n">
        <v>4.42</v>
      </c>
      <c r="N990" s="23">
        <f>ROUND(L990/M990, 0)</f>
        <v/>
      </c>
      <c r="O990" s="23">
        <f>ROUND(N990*'Methodology &amp; Assumptions'!$B$8, 0)</f>
        <v/>
      </c>
      <c r="P990" s="44" t="inlineStr">
        <is>
          <t>Band n50 (1.5 GHz, 60 MHz)</t>
        </is>
      </c>
      <c r="Q990" s="38">
        <f>ROUNDUP(O990/'Methodology &amp; Assumptions'!$B$9, 0)</f>
        <v/>
      </c>
      <c r="R990" s="39" t="n">
        <v>1</v>
      </c>
      <c r="S990" s="25" t="n">
        <v>1.77</v>
      </c>
      <c r="T990" s="25" t="n">
        <v>0.15</v>
      </c>
      <c r="U990" s="42" t="inlineStr">
        <is>
          <t>Tier 1B (Micro Drop, 1-3 km)</t>
        </is>
      </c>
      <c r="V990" s="24" t="n">
        <v>65.40000000000001</v>
      </c>
      <c r="W990" s="24" t="n">
        <v>78.40000000000001</v>
      </c>
      <c r="X990" s="24" t="n">
        <v>58</v>
      </c>
      <c r="Y990" s="45">
        <f>ROUND((V990*'Methodology &amp; Assumptions'!$B$6)+(W990*'Methodology &amp; Assumptions'!$B$5)+(X990*'Methodology &amp; Assumptions'!$B$7), 2)</f>
        <v/>
      </c>
    </row>
    <row r="991" ht="19" customHeight="1">
      <c r="A991" s="35" t="n">
        <v>987</v>
      </c>
      <c r="B991" s="35" t="n">
        <v>2987</v>
      </c>
      <c r="C991" s="36" t="inlineStr">
        <is>
          <t>0201502025</t>
        </is>
      </c>
      <c r="D991" s="36" t="inlineStr">
        <is>
          <t>Region II (Cagayan Valley)</t>
        </is>
      </c>
      <c r="E991" s="36" t="inlineStr">
        <is>
          <t>Cagayan</t>
        </is>
      </c>
      <c r="F991" s="36" t="inlineStr">
        <is>
          <t>Alcala</t>
        </is>
      </c>
      <c r="G991" s="36" t="inlineStr">
        <is>
          <t>Tupang</t>
        </is>
      </c>
      <c r="H991" s="37" t="n">
        <v>17.906352</v>
      </c>
      <c r="I991" s="37" t="n">
        <v>121.641876</v>
      </c>
      <c r="J991" s="8" t="inlineStr">
        <is>
          <t>R</t>
        </is>
      </c>
      <c r="K991" s="36" t="inlineStr">
        <is>
          <t>Class 1-3 / Urban</t>
        </is>
      </c>
      <c r="L991" s="18" t="n">
        <v>2532</v>
      </c>
      <c r="M991" s="20" t="n">
        <v>4.38</v>
      </c>
      <c r="N991" s="18">
        <f>ROUND(L991/M991, 0)</f>
        <v/>
      </c>
      <c r="O991" s="18">
        <f>ROUND(N991*'Methodology &amp; Assumptions'!$B$8, 0)</f>
        <v/>
      </c>
      <c r="P991" s="8" t="inlineStr">
        <is>
          <t>Band n50 (1.5 GHz, 60 MHz)</t>
        </is>
      </c>
      <c r="Q991" s="38">
        <f>ROUNDUP(O991/'Methodology &amp; Assumptions'!$B$9, 0)</f>
        <v/>
      </c>
      <c r="R991" s="39" t="n">
        <v>1</v>
      </c>
      <c r="S991" s="21" t="n">
        <v>1.36</v>
      </c>
      <c r="T991" s="21" t="n">
        <v>0.04</v>
      </c>
      <c r="U991" s="36" t="inlineStr">
        <is>
          <t>Tier 1B (Micro Drop, 1-3 km)</t>
        </is>
      </c>
      <c r="V991" s="20" t="n">
        <v>73.59999999999999</v>
      </c>
      <c r="W991" s="20" t="n">
        <v>70.09999999999999</v>
      </c>
      <c r="X991" s="20" t="n">
        <v>58</v>
      </c>
      <c r="Y991" s="40">
        <f>ROUND((V991*'Methodology &amp; Assumptions'!$B$6)+(W991*'Methodology &amp; Assumptions'!$B$5)+(X991*'Methodology &amp; Assumptions'!$B$7), 2)</f>
        <v/>
      </c>
    </row>
    <row r="992" ht="19" customHeight="1">
      <c r="A992" s="41" t="n">
        <v>988</v>
      </c>
      <c r="B992" s="41" t="n">
        <v>2988</v>
      </c>
      <c r="C992" s="42" t="inlineStr">
        <is>
          <t>0105511078</t>
        </is>
      </c>
      <c r="D992" s="42" t="inlineStr">
        <is>
          <t>Region I (Ilocos Region)</t>
        </is>
      </c>
      <c r="E992" s="42" t="inlineStr">
        <is>
          <t>Pangasinan</t>
        </is>
      </c>
      <c r="F992" s="42" t="inlineStr">
        <is>
          <t>Bayambang</t>
        </is>
      </c>
      <c r="G992" s="42" t="inlineStr">
        <is>
          <t>Zone VI</t>
        </is>
      </c>
      <c r="H992" s="43" t="n">
        <v>15.81472</v>
      </c>
      <c r="I992" s="43" t="n">
        <v>120.451963</v>
      </c>
      <c r="J992" s="44" t="inlineStr">
        <is>
          <t>R</t>
        </is>
      </c>
      <c r="K992" s="42" t="inlineStr">
        <is>
          <t>Class 1-3 / Urban</t>
        </is>
      </c>
      <c r="L992" s="23" t="n">
        <v>1172</v>
      </c>
      <c r="M992" s="24" t="n">
        <v>4.39</v>
      </c>
      <c r="N992" s="23">
        <f>ROUND(L992/M992, 0)</f>
        <v/>
      </c>
      <c r="O992" s="23">
        <f>ROUND(N992*'Methodology &amp; Assumptions'!$B$8, 0)</f>
        <v/>
      </c>
      <c r="P992" s="44" t="inlineStr">
        <is>
          <t>Band n50 (1.5 GHz, 60 MHz)</t>
        </is>
      </c>
      <c r="Q992" s="38">
        <f>ROUNDUP(O992/'Methodology &amp; Assumptions'!$B$9, 0)</f>
        <v/>
      </c>
      <c r="R992" s="39" t="n">
        <v>1</v>
      </c>
      <c r="S992" s="25" t="n">
        <v>0.37</v>
      </c>
      <c r="T992" s="25" t="n">
        <v>0.37</v>
      </c>
      <c r="U992" s="42" t="inlineStr">
        <is>
          <t>Tier 1A (Direct Coloc, &lt;1 km)</t>
        </is>
      </c>
      <c r="V992" s="24" t="n">
        <v>98.40000000000001</v>
      </c>
      <c r="W992" s="24" t="n">
        <v>45.3</v>
      </c>
      <c r="X992" s="24" t="n">
        <v>58</v>
      </c>
      <c r="Y992" s="45">
        <f>ROUND((V992*'Methodology &amp; Assumptions'!$B$6)+(W992*'Methodology &amp; Assumptions'!$B$5)+(X992*'Methodology &amp; Assumptions'!$B$7), 2)</f>
        <v/>
      </c>
    </row>
    <row r="993" ht="19" customHeight="1">
      <c r="A993" s="35" t="n">
        <v>989</v>
      </c>
      <c r="B993" s="35" t="n">
        <v>2989</v>
      </c>
      <c r="C993" s="36" t="inlineStr">
        <is>
          <t>0305421009</t>
        </is>
      </c>
      <c r="D993" s="36" t="inlineStr">
        <is>
          <t>Region III (Central Luzon)</t>
        </is>
      </c>
      <c r="E993" s="36" t="inlineStr">
        <is>
          <t>Pampanga</t>
        </is>
      </c>
      <c r="F993" s="36" t="inlineStr">
        <is>
          <t>Sto. Tomas</t>
        </is>
      </c>
      <c r="G993" s="36" t="inlineStr">
        <is>
          <t>Sapa</t>
        </is>
      </c>
      <c r="H993" s="37" t="n">
        <v>15.045171</v>
      </c>
      <c r="I993" s="37" t="n">
        <v>120.659894</v>
      </c>
      <c r="J993" s="8" t="inlineStr">
        <is>
          <t>U</t>
        </is>
      </c>
      <c r="K993" s="36" t="inlineStr">
        <is>
          <t>Class 1-3 / Urban</t>
        </is>
      </c>
      <c r="L993" s="18" t="n">
        <v>4310</v>
      </c>
      <c r="M993" s="20" t="n">
        <v>4.63</v>
      </c>
      <c r="N993" s="18">
        <f>ROUND(L993/M993, 0)</f>
        <v/>
      </c>
      <c r="O993" s="18">
        <f>ROUND(N993*'Methodology &amp; Assumptions'!$B$8, 0)</f>
        <v/>
      </c>
      <c r="P993" s="8" t="inlineStr">
        <is>
          <t>Band n50 (1.5 GHz, 60 MHz)</t>
        </is>
      </c>
      <c r="Q993" s="38">
        <f>ROUNDUP(O993/'Methodology &amp; Assumptions'!$B$9, 0)</f>
        <v/>
      </c>
      <c r="R993" s="39" t="n">
        <v>1</v>
      </c>
      <c r="S993" s="21" t="n">
        <v>2.19</v>
      </c>
      <c r="T993" s="21" t="n">
        <v>0.78</v>
      </c>
      <c r="U993" s="36" t="inlineStr">
        <is>
          <t>Tier 1B (Micro Drop, 1-3 km)</t>
        </is>
      </c>
      <c r="V993" s="20" t="n">
        <v>58.2</v>
      </c>
      <c r="W993" s="20" t="n">
        <v>98.40000000000001</v>
      </c>
      <c r="X993" s="20" t="n">
        <v>43</v>
      </c>
      <c r="Y993" s="40">
        <f>ROUND((V993*'Methodology &amp; Assumptions'!$B$6)+(W993*'Methodology &amp; Assumptions'!$B$5)+(X993*'Methodology &amp; Assumptions'!$B$7), 2)</f>
        <v/>
      </c>
    </row>
    <row r="994" ht="19" customHeight="1">
      <c r="A994" s="41" t="n">
        <v>990</v>
      </c>
      <c r="B994" s="41" t="n">
        <v>2990</v>
      </c>
      <c r="C994" s="42" t="inlineStr">
        <is>
          <t>0730600018</t>
        </is>
      </c>
      <c r="D994" s="42" t="inlineStr">
        <is>
          <t>Region VII (Central Visayas)</t>
        </is>
      </c>
      <c r="E994" s="42" t="inlineStr">
        <is>
          <t>Cebu</t>
        </is>
      </c>
      <c r="F994" s="42" t="inlineStr">
        <is>
          <t>City of Cebu</t>
        </is>
      </c>
      <c r="G994" s="42" t="inlineStr">
        <is>
          <t>Calamba</t>
        </is>
      </c>
      <c r="H994" s="43" t="n">
        <v>10.303274</v>
      </c>
      <c r="I994" s="43" t="n">
        <v>123.885112</v>
      </c>
      <c r="J994" s="44" t="inlineStr">
        <is>
          <t>U</t>
        </is>
      </c>
      <c r="K994" s="42" t="inlineStr">
        <is>
          <t>Class 1-3 / Urban</t>
        </is>
      </c>
      <c r="L994" s="23" t="n">
        <v>9834</v>
      </c>
      <c r="M994" s="24" t="n">
        <v>4.42</v>
      </c>
      <c r="N994" s="23">
        <f>ROUND(L994/M994, 0)</f>
        <v/>
      </c>
      <c r="O994" s="23">
        <f>ROUND(N994*'Methodology &amp; Assumptions'!$B$8, 0)</f>
        <v/>
      </c>
      <c r="P994" s="44" t="inlineStr">
        <is>
          <t>Band n50 (1.5 GHz, 60 MHz)</t>
        </is>
      </c>
      <c r="Q994" s="38">
        <f>ROUNDUP(O994/'Methodology &amp; Assumptions'!$B$9, 0)</f>
        <v/>
      </c>
      <c r="R994" s="39" t="n">
        <v>1</v>
      </c>
      <c r="S994" s="25" t="n">
        <v>1.56</v>
      </c>
      <c r="T994" s="25" t="n">
        <v>0.28</v>
      </c>
      <c r="U994" s="42" t="inlineStr">
        <is>
          <t>Tier 1B (Micro Drop, 1-3 km)</t>
        </is>
      </c>
      <c r="V994" s="24" t="n">
        <v>69.5</v>
      </c>
      <c r="W994" s="24" t="n">
        <v>100</v>
      </c>
      <c r="X994" s="24" t="n">
        <v>28</v>
      </c>
      <c r="Y994" s="45">
        <f>ROUND((V994*'Methodology &amp; Assumptions'!$B$6)+(W994*'Methodology &amp; Assumptions'!$B$5)+(X994*'Methodology &amp; Assumptions'!$B$7), 2)</f>
        <v/>
      </c>
    </row>
    <row r="995" ht="19" customHeight="1">
      <c r="A995" s="35" t="n">
        <v>991</v>
      </c>
      <c r="B995" s="35" t="n">
        <v>2991</v>
      </c>
      <c r="C995" s="36" t="inlineStr">
        <is>
          <t>1001312065</t>
        </is>
      </c>
      <c r="D995" s="36" t="inlineStr">
        <is>
          <t>Region X (Northern Mindanao)</t>
        </is>
      </c>
      <c r="E995" s="36" t="inlineStr">
        <is>
          <t>Bukidnon</t>
        </is>
      </c>
      <c r="F995" s="36" t="inlineStr">
        <is>
          <t>City of Malaybalay</t>
        </is>
      </c>
      <c r="G995" s="36" t="inlineStr">
        <is>
          <t>Sumpong</t>
        </is>
      </c>
      <c r="H995" s="37" t="n">
        <v>8.158033</v>
      </c>
      <c r="I995" s="37" t="n">
        <v>125.119517</v>
      </c>
      <c r="J995" s="8" t="inlineStr">
        <is>
          <t>U</t>
        </is>
      </c>
      <c r="K995" s="36" t="inlineStr">
        <is>
          <t>Class 1-3 / Urban</t>
        </is>
      </c>
      <c r="L995" s="18" t="n">
        <v>9243</v>
      </c>
      <c r="M995" s="20" t="n">
        <v>4.63</v>
      </c>
      <c r="N995" s="18">
        <f>ROUND(L995/M995, 0)</f>
        <v/>
      </c>
      <c r="O995" s="18">
        <f>ROUND(N995*'Methodology &amp; Assumptions'!$B$8, 0)</f>
        <v/>
      </c>
      <c r="P995" s="8" t="inlineStr">
        <is>
          <t>Band n50 (1.5 GHz, 60 MHz)</t>
        </is>
      </c>
      <c r="Q995" s="38">
        <f>ROUNDUP(O995/'Methodology &amp; Assumptions'!$B$9, 0)</f>
        <v/>
      </c>
      <c r="R995" s="39" t="n">
        <v>1</v>
      </c>
      <c r="S995" s="21" t="n">
        <v>1.56</v>
      </c>
      <c r="T995" s="21" t="n">
        <v>0.39</v>
      </c>
      <c r="U995" s="36" t="inlineStr">
        <is>
          <t>Tier 1B (Micro Drop, 1-3 km)</t>
        </is>
      </c>
      <c r="V995" s="20" t="n">
        <v>69.5</v>
      </c>
      <c r="W995" s="20" t="n">
        <v>100</v>
      </c>
      <c r="X995" s="20" t="n">
        <v>28</v>
      </c>
      <c r="Y995" s="40">
        <f>ROUND((V995*'Methodology &amp; Assumptions'!$B$6)+(W995*'Methodology &amp; Assumptions'!$B$5)+(X995*'Methodology &amp; Assumptions'!$B$7), 2)</f>
        <v/>
      </c>
    </row>
    <row r="996" ht="19" customHeight="1">
      <c r="A996" s="41" t="n">
        <v>992</v>
      </c>
      <c r="B996" s="41" t="n">
        <v>2992</v>
      </c>
      <c r="C996" s="42" t="inlineStr">
        <is>
          <t>1731500037</t>
        </is>
      </c>
      <c r="D996" s="42" t="inlineStr">
        <is>
          <t>MIMAROPA Region</t>
        </is>
      </c>
      <c r="E996" s="42" t="inlineStr">
        <is>
          <t>Palawan</t>
        </is>
      </c>
      <c r="F996" s="42" t="inlineStr">
        <is>
          <t>City of Puerto Princesa</t>
        </is>
      </c>
      <c r="G996" s="42" t="inlineStr">
        <is>
          <t>Maunlad</t>
        </is>
      </c>
      <c r="H996" s="43" t="n">
        <v>9.734151000000001</v>
      </c>
      <c r="I996" s="43" t="n">
        <v>118.741097</v>
      </c>
      <c r="J996" s="44" t="inlineStr">
        <is>
          <t>U</t>
        </is>
      </c>
      <c r="K996" s="42" t="inlineStr">
        <is>
          <t>Class 1-3 / Urban</t>
        </is>
      </c>
      <c r="L996" s="23" t="n">
        <v>4369</v>
      </c>
      <c r="M996" s="24" t="n">
        <v>4.35</v>
      </c>
      <c r="N996" s="23">
        <f>ROUND(L996/M996, 0)</f>
        <v/>
      </c>
      <c r="O996" s="23">
        <f>ROUND(N996*'Methodology &amp; Assumptions'!$B$8, 0)</f>
        <v/>
      </c>
      <c r="P996" s="44" t="inlineStr">
        <is>
          <t>Band n50 (1.5 GHz, 60 MHz)</t>
        </is>
      </c>
      <c r="Q996" s="38">
        <f>ROUNDUP(O996/'Methodology &amp; Assumptions'!$B$9, 0)</f>
        <v/>
      </c>
      <c r="R996" s="39" t="n">
        <v>1</v>
      </c>
      <c r="S996" s="25" t="n">
        <v>1.09</v>
      </c>
      <c r="T996" s="25" t="n">
        <v>2.54</v>
      </c>
      <c r="U996" s="42" t="inlineStr">
        <is>
          <t>Tier 1B (Micro Drop, 1-3 km)</t>
        </is>
      </c>
      <c r="V996" s="24" t="n">
        <v>69.5</v>
      </c>
      <c r="W996" s="24" t="n">
        <v>100</v>
      </c>
      <c r="X996" s="24" t="n">
        <v>28</v>
      </c>
      <c r="Y996" s="45">
        <f>ROUND((V996*'Methodology &amp; Assumptions'!$B$6)+(W996*'Methodology &amp; Assumptions'!$B$5)+(X996*'Methodology &amp; Assumptions'!$B$7), 2)</f>
        <v/>
      </c>
    </row>
    <row r="997" ht="19" customHeight="1">
      <c r="A997" s="35" t="n">
        <v>993</v>
      </c>
      <c r="B997" s="35" t="n">
        <v>2993</v>
      </c>
      <c r="C997" s="36" t="inlineStr">
        <is>
          <t>0403412023</t>
        </is>
      </c>
      <c r="D997" s="36" t="inlineStr">
        <is>
          <t>Region IV-A (CALABARZON)</t>
        </is>
      </c>
      <c r="E997" s="36" t="inlineStr">
        <is>
          <t>Laguna</t>
        </is>
      </c>
      <c r="F997" s="36" t="inlineStr">
        <is>
          <t>Luisiana</t>
        </is>
      </c>
      <c r="G997" s="36" t="inlineStr">
        <is>
          <t>Santo Tomas</t>
        </is>
      </c>
      <c r="H997" s="37" t="n">
        <v>14.188261</v>
      </c>
      <c r="I997" s="37" t="n">
        <v>121.518958</v>
      </c>
      <c r="J997" s="8" t="inlineStr">
        <is>
          <t>R</t>
        </is>
      </c>
      <c r="K997" s="36" t="inlineStr">
        <is>
          <t>4th</t>
        </is>
      </c>
      <c r="L997" s="18" t="n">
        <v>1755</v>
      </c>
      <c r="M997" s="20" t="n">
        <v>4.07</v>
      </c>
      <c r="N997" s="18">
        <f>ROUND(L997/M997, 0)</f>
        <v/>
      </c>
      <c r="O997" s="18">
        <f>ROUND(N997*'Methodology &amp; Assumptions'!$B$8, 0)</f>
        <v/>
      </c>
      <c r="P997" s="8" t="inlineStr">
        <is>
          <t>Band n50 (1.5 GHz, 60 MHz)</t>
        </is>
      </c>
      <c r="Q997" s="38">
        <f>ROUNDUP(O997/'Methodology &amp; Assumptions'!$B$9, 0)</f>
        <v/>
      </c>
      <c r="R997" s="39" t="n">
        <v>1</v>
      </c>
      <c r="S997" s="21" t="n">
        <v>1.36</v>
      </c>
      <c r="T997" s="21" t="n">
        <v>4.98</v>
      </c>
      <c r="U997" s="36" t="inlineStr">
        <is>
          <t>Tier 1B (Micro Drop, 1-3 km)</t>
        </is>
      </c>
      <c r="V997" s="20" t="n">
        <v>63.5</v>
      </c>
      <c r="W997" s="20" t="n">
        <v>58.4</v>
      </c>
      <c r="X997" s="20" t="n">
        <v>83.5</v>
      </c>
      <c r="Y997" s="40">
        <f>ROUND((V997*'Methodology &amp; Assumptions'!$B$6)+(W997*'Methodology &amp; Assumptions'!$B$5)+(X997*'Methodology &amp; Assumptions'!$B$7), 2)</f>
        <v/>
      </c>
    </row>
    <row r="998" ht="19" customHeight="1">
      <c r="A998" s="41" t="n">
        <v>994</v>
      </c>
      <c r="B998" s="41" t="n">
        <v>2994</v>
      </c>
      <c r="C998" s="42" t="inlineStr">
        <is>
          <t>0306910034</t>
        </is>
      </c>
      <c r="D998" s="42" t="inlineStr">
        <is>
          <t>Region III (Central Luzon)</t>
        </is>
      </c>
      <c r="E998" s="42" t="inlineStr">
        <is>
          <t>Tarlac</t>
        </is>
      </c>
      <c r="F998" s="42" t="inlineStr">
        <is>
          <t>Paniqui</t>
        </is>
      </c>
      <c r="G998" s="42" t="inlineStr">
        <is>
          <t>Tablang</t>
        </is>
      </c>
      <c r="H998" s="43" t="n">
        <v>15.670556</v>
      </c>
      <c r="I998" s="43" t="n">
        <v>120.569167</v>
      </c>
      <c r="J998" s="44" t="inlineStr">
        <is>
          <t>R</t>
        </is>
      </c>
      <c r="K998" s="42" t="inlineStr">
        <is>
          <t>Class 1-3 / Urban</t>
        </is>
      </c>
      <c r="L998" s="23" t="n">
        <v>3082</v>
      </c>
      <c r="M998" s="24" t="n">
        <v>4.3</v>
      </c>
      <c r="N998" s="23">
        <f>ROUND(L998/M998, 0)</f>
        <v/>
      </c>
      <c r="O998" s="23">
        <f>ROUND(N998*'Methodology &amp; Assumptions'!$B$8, 0)</f>
        <v/>
      </c>
      <c r="P998" s="44" t="inlineStr">
        <is>
          <t>Band n50 (1.5 GHz, 60 MHz)</t>
        </is>
      </c>
      <c r="Q998" s="38">
        <f>ROUNDUP(O998/'Methodology &amp; Assumptions'!$B$9, 0)</f>
        <v/>
      </c>
      <c r="R998" s="39" t="n">
        <v>1</v>
      </c>
      <c r="S998" s="25" t="n">
        <v>1.94</v>
      </c>
      <c r="T998" s="25" t="n">
        <v>0.46</v>
      </c>
      <c r="U998" s="42" t="inlineStr">
        <is>
          <t>Tier 1B (Micro Drop, 1-3 km)</t>
        </is>
      </c>
      <c r="V998" s="24" t="n">
        <v>62.4</v>
      </c>
      <c r="W998" s="24" t="n">
        <v>81.3</v>
      </c>
      <c r="X998" s="24" t="n">
        <v>58</v>
      </c>
      <c r="Y998" s="45">
        <f>ROUND((V998*'Methodology &amp; Assumptions'!$B$6)+(W998*'Methodology &amp; Assumptions'!$B$5)+(X998*'Methodology &amp; Assumptions'!$B$7), 2)</f>
        <v/>
      </c>
    </row>
    <row r="999" ht="19" customHeight="1">
      <c r="A999" s="35" t="n">
        <v>995</v>
      </c>
      <c r="B999" s="35" t="n">
        <v>2995</v>
      </c>
      <c r="C999" s="36" t="inlineStr">
        <is>
          <t>0401034015</t>
        </is>
      </c>
      <c r="D999" s="36" t="inlineStr">
        <is>
          <t>Region IV-A (CALABARZON)</t>
        </is>
      </c>
      <c r="E999" s="36" t="inlineStr">
        <is>
          <t>Batangas</t>
        </is>
      </c>
      <c r="F999" s="36" t="inlineStr">
        <is>
          <t>Tuy</t>
        </is>
      </c>
      <c r="G999" s="36" t="inlineStr">
        <is>
          <t>Rizal</t>
        </is>
      </c>
      <c r="H999" s="37" t="n">
        <v>14.021106</v>
      </c>
      <c r="I999" s="37" t="n">
        <v>120.72817</v>
      </c>
      <c r="J999" s="8" t="inlineStr">
        <is>
          <t>R</t>
        </is>
      </c>
      <c r="K999" s="36" t="inlineStr">
        <is>
          <t>Class 1-3 / Urban</t>
        </is>
      </c>
      <c r="L999" s="18" t="n">
        <v>1135</v>
      </c>
      <c r="M999" s="20" t="n">
        <v>4.62</v>
      </c>
      <c r="N999" s="18">
        <f>ROUND(L999/M999, 0)</f>
        <v/>
      </c>
      <c r="O999" s="18">
        <f>ROUND(N999*'Methodology &amp; Assumptions'!$B$8, 0)</f>
        <v/>
      </c>
      <c r="P999" s="8" t="inlineStr">
        <is>
          <t>Band n50 (1.5 GHz, 60 MHz)</t>
        </is>
      </c>
      <c r="Q999" s="38">
        <f>ROUNDUP(O999/'Methodology &amp; Assumptions'!$B$9, 0)</f>
        <v/>
      </c>
      <c r="R999" s="39" t="n">
        <v>1</v>
      </c>
      <c r="S999" s="21" t="n">
        <v>0.06</v>
      </c>
      <c r="T999" s="21" t="n">
        <v>0.07000000000000001</v>
      </c>
      <c r="U999" s="36" t="inlineStr">
        <is>
          <t>Tier 1A (Direct Coloc, &lt;1 km)</t>
        </is>
      </c>
      <c r="V999" s="20" t="n">
        <v>100</v>
      </c>
      <c r="W999" s="20" t="n">
        <v>43.7</v>
      </c>
      <c r="X999" s="20" t="n">
        <v>58</v>
      </c>
      <c r="Y999" s="40">
        <f>ROUND((V999*'Methodology &amp; Assumptions'!$B$6)+(W999*'Methodology &amp; Assumptions'!$B$5)+(X999*'Methodology &amp; Assumptions'!$B$7), 2)</f>
        <v/>
      </c>
    </row>
    <row r="1000" ht="19" customHeight="1">
      <c r="A1000" s="41" t="n">
        <v>996</v>
      </c>
      <c r="B1000" s="41" t="n">
        <v>2996</v>
      </c>
      <c r="C1000" s="42" t="inlineStr">
        <is>
          <t>0403422012</t>
        </is>
      </c>
      <c r="D1000" s="42" t="inlineStr">
        <is>
          <t>Region IV-A (CALABARZON)</t>
        </is>
      </c>
      <c r="E1000" s="42" t="inlineStr">
        <is>
          <t>Laguna</t>
        </is>
      </c>
      <c r="F1000" s="42" t="inlineStr">
        <is>
          <t>Pila</t>
        </is>
      </c>
      <c r="G1000" s="42" t="inlineStr">
        <is>
          <t>Pinagbayanan</t>
        </is>
      </c>
      <c r="H1000" s="43" t="n">
        <v>14.249833</v>
      </c>
      <c r="I1000" s="43" t="n">
        <v>121.359838</v>
      </c>
      <c r="J1000" s="44" t="inlineStr">
        <is>
          <t>U</t>
        </is>
      </c>
      <c r="K1000" s="42" t="inlineStr">
        <is>
          <t>Class 1-3 / Urban</t>
        </is>
      </c>
      <c r="L1000" s="23" t="n">
        <v>6094</v>
      </c>
      <c r="M1000" s="24" t="n">
        <v>4.2</v>
      </c>
      <c r="N1000" s="23">
        <f>ROUND(L1000/M1000, 0)</f>
        <v/>
      </c>
      <c r="O1000" s="23">
        <f>ROUND(N1000*'Methodology &amp; Assumptions'!$B$8, 0)</f>
        <v/>
      </c>
      <c r="P1000" s="44" t="inlineStr">
        <is>
          <t>Band n50 (1.5 GHz, 60 MHz)</t>
        </is>
      </c>
      <c r="Q1000" s="38">
        <f>ROUNDUP(O1000/'Methodology &amp; Assumptions'!$B$9, 0)</f>
        <v/>
      </c>
      <c r="R1000" s="39" t="n">
        <v>1</v>
      </c>
      <c r="S1000" s="25" t="n">
        <v>1.56</v>
      </c>
      <c r="T1000" s="25" t="n">
        <v>1.17</v>
      </c>
      <c r="U1000" s="42" t="inlineStr">
        <is>
          <t>Tier 1B (Micro Drop, 1-3 km)</t>
        </is>
      </c>
      <c r="V1000" s="24" t="n">
        <v>69.5</v>
      </c>
      <c r="W1000" s="24" t="n">
        <v>100</v>
      </c>
      <c r="X1000" s="24" t="n">
        <v>28</v>
      </c>
      <c r="Y1000" s="45">
        <f>ROUND((V1000*'Methodology &amp; Assumptions'!$B$6)+(W1000*'Methodology &amp; Assumptions'!$B$5)+(X1000*'Methodology &amp; Assumptions'!$B$7), 2)</f>
        <v/>
      </c>
    </row>
    <row r="1001" ht="19" customHeight="1">
      <c r="A1001" s="35" t="n">
        <v>997</v>
      </c>
      <c r="B1001" s="35" t="n">
        <v>2997</v>
      </c>
      <c r="C1001" s="36" t="inlineStr">
        <is>
          <t>0405615005</t>
        </is>
      </c>
      <c r="D1001" s="36" t="inlineStr">
        <is>
          <t>Region IV-A (CALABARZON)</t>
        </is>
      </c>
      <c r="E1001" s="36" t="inlineStr">
        <is>
          <t>Quezon</t>
        </is>
      </c>
      <c r="F1001" s="36" t="inlineStr">
        <is>
          <t>Dolores</t>
        </is>
      </c>
      <c r="G1001" s="36" t="inlineStr">
        <is>
          <t>Bungoy</t>
        </is>
      </c>
      <c r="H1001" s="37" t="n">
        <v>13.995339</v>
      </c>
      <c r="I1001" s="37" t="n">
        <v>121.367207</v>
      </c>
      <c r="J1001" s="8" t="inlineStr">
        <is>
          <t>R</t>
        </is>
      </c>
      <c r="K1001" s="36" t="inlineStr">
        <is>
          <t>3rd</t>
        </is>
      </c>
      <c r="L1001" s="18" t="n">
        <v>4109</v>
      </c>
      <c r="M1001" s="20" t="n">
        <v>4.43</v>
      </c>
      <c r="N1001" s="18">
        <f>ROUND(L1001/M1001, 0)</f>
        <v/>
      </c>
      <c r="O1001" s="18">
        <f>ROUND(N1001*'Methodology &amp; Assumptions'!$B$8, 0)</f>
        <v/>
      </c>
      <c r="P1001" s="8" t="inlineStr">
        <is>
          <t>Band n50 (1.5 GHz, 60 MHz)</t>
        </is>
      </c>
      <c r="Q1001" s="38">
        <f>ROUNDUP(O1001/'Methodology &amp; Assumptions'!$B$9, 0)</f>
        <v/>
      </c>
      <c r="R1001" s="39" t="n">
        <v>1</v>
      </c>
      <c r="S1001" s="21" t="n">
        <v>2.36</v>
      </c>
      <c r="T1001" s="21" t="n">
        <v>3.55</v>
      </c>
      <c r="U1001" s="36" t="inlineStr">
        <is>
          <t>Tier 1B (Micro Drop, 1-3 km)</t>
        </is>
      </c>
      <c r="V1001" s="20" t="n">
        <v>45.6</v>
      </c>
      <c r="W1001" s="20" t="n">
        <v>98.09999999999999</v>
      </c>
      <c r="X1001" s="20" t="n">
        <v>58</v>
      </c>
      <c r="Y1001" s="40">
        <f>ROUND((V1001*'Methodology &amp; Assumptions'!$B$6)+(W1001*'Methodology &amp; Assumptions'!$B$5)+(X1001*'Methodology &amp; Assumptions'!$B$7), 2)</f>
        <v/>
      </c>
    </row>
    <row r="1002" ht="19" customHeight="1">
      <c r="A1002" s="41" t="n">
        <v>998</v>
      </c>
      <c r="B1002" s="41" t="n">
        <v>2998</v>
      </c>
      <c r="C1002" s="42" t="inlineStr">
        <is>
          <t>0702231003</t>
        </is>
      </c>
      <c r="D1002" s="42" t="inlineStr">
        <is>
          <t>Region VII (Central Visayas)</t>
        </is>
      </c>
      <c r="E1002" s="42" t="inlineStr">
        <is>
          <t>Cebu</t>
        </is>
      </c>
      <c r="F1002" s="42" t="inlineStr">
        <is>
          <t>Medellin</t>
        </is>
      </c>
      <c r="G1002" s="42" t="inlineStr">
        <is>
          <t>Daanlungsod</t>
        </is>
      </c>
      <c r="H1002" s="43" t="n">
        <v>11.147766</v>
      </c>
      <c r="I1002" s="43" t="n">
        <v>123.950817</v>
      </c>
      <c r="J1002" s="44" t="inlineStr">
        <is>
          <t>R</t>
        </is>
      </c>
      <c r="K1002" s="42" t="inlineStr">
        <is>
          <t>Class 1-3 / Urban</t>
        </is>
      </c>
      <c r="L1002" s="23" t="n">
        <v>2947</v>
      </c>
      <c r="M1002" s="24" t="n">
        <v>4.42</v>
      </c>
      <c r="N1002" s="23">
        <f>ROUND(L1002/M1002, 0)</f>
        <v/>
      </c>
      <c r="O1002" s="23">
        <f>ROUND(N1002*'Methodology &amp; Assumptions'!$B$8, 0)</f>
        <v/>
      </c>
      <c r="P1002" s="44" t="inlineStr">
        <is>
          <t>Band n50 (1.5 GHz, 60 MHz)</t>
        </is>
      </c>
      <c r="Q1002" s="38">
        <f>ROUNDUP(O1002/'Methodology &amp; Assumptions'!$B$9, 0)</f>
        <v/>
      </c>
      <c r="R1002" s="39" t="n">
        <v>1</v>
      </c>
      <c r="S1002" s="25" t="n">
        <v>1.72</v>
      </c>
      <c r="T1002" s="25" t="n">
        <v>0.97</v>
      </c>
      <c r="U1002" s="42" t="inlineStr">
        <is>
          <t>Tier 1B (Micro Drop, 1-3 km)</t>
        </is>
      </c>
      <c r="V1002" s="24" t="n">
        <v>66.40000000000001</v>
      </c>
      <c r="W1002" s="24" t="n">
        <v>77.3</v>
      </c>
      <c r="X1002" s="24" t="n">
        <v>58</v>
      </c>
      <c r="Y1002" s="45">
        <f>ROUND((V1002*'Methodology &amp; Assumptions'!$B$6)+(W1002*'Methodology &amp; Assumptions'!$B$5)+(X1002*'Methodology &amp; Assumptions'!$B$7), 2)</f>
        <v/>
      </c>
    </row>
    <row r="1003" ht="19" customHeight="1">
      <c r="A1003" s="35" t="n">
        <v>999</v>
      </c>
      <c r="B1003" s="35" t="n">
        <v>2999</v>
      </c>
      <c r="C1003" s="36" t="inlineStr">
        <is>
          <t>0102905024</t>
        </is>
      </c>
      <c r="D1003" s="36" t="inlineStr">
        <is>
          <t>Region I (Ilocos Region)</t>
        </is>
      </c>
      <c r="E1003" s="36" t="inlineStr">
        <is>
          <t>Ilocos Sur</t>
        </is>
      </c>
      <c r="F1003" s="36" t="inlineStr">
        <is>
          <t>Cabugao</t>
        </is>
      </c>
      <c r="G1003" s="36" t="inlineStr">
        <is>
          <t>Quezon</t>
        </is>
      </c>
      <c r="H1003" s="37" t="n">
        <v>17.795267</v>
      </c>
      <c r="I1003" s="37" t="n">
        <v>120.458886</v>
      </c>
      <c r="J1003" s="8" t="inlineStr">
        <is>
          <t>R</t>
        </is>
      </c>
      <c r="K1003" s="36" t="inlineStr">
        <is>
          <t>Class 1-3 / Urban</t>
        </is>
      </c>
      <c r="L1003" s="18" t="n">
        <v>2031</v>
      </c>
      <c r="M1003" s="20" t="n">
        <v>4.56</v>
      </c>
      <c r="N1003" s="18">
        <f>ROUND(L1003/M1003, 0)</f>
        <v/>
      </c>
      <c r="O1003" s="18">
        <f>ROUND(N1003*'Methodology &amp; Assumptions'!$B$8, 0)</f>
        <v/>
      </c>
      <c r="P1003" s="8" t="inlineStr">
        <is>
          <t>Band n50 (1.5 GHz, 60 MHz)</t>
        </is>
      </c>
      <c r="Q1003" s="38">
        <f>ROUNDUP(O1003/'Methodology &amp; Assumptions'!$B$9, 0)</f>
        <v/>
      </c>
      <c r="R1003" s="39" t="n">
        <v>1</v>
      </c>
      <c r="S1003" s="21" t="n">
        <v>0.9</v>
      </c>
      <c r="T1003" s="21" t="n">
        <v>0.39</v>
      </c>
      <c r="U1003" s="36" t="inlineStr">
        <is>
          <t>Tier 1A (Direct Coloc, &lt;1 km)</t>
        </is>
      </c>
      <c r="V1003" s="20" t="n">
        <v>84</v>
      </c>
      <c r="W1003" s="20" t="n">
        <v>59.7</v>
      </c>
      <c r="X1003" s="20" t="n">
        <v>58</v>
      </c>
      <c r="Y1003" s="40">
        <f>ROUND((V1003*'Methodology &amp; Assumptions'!$B$6)+(W1003*'Methodology &amp; Assumptions'!$B$5)+(X1003*'Methodology &amp; Assumptions'!$B$7), 2)</f>
        <v/>
      </c>
    </row>
    <row r="1004" ht="19" customHeight="1">
      <c r="A1004" s="41" t="n">
        <v>1000</v>
      </c>
      <c r="B1004" s="41" t="n">
        <v>3000</v>
      </c>
      <c r="C1004" s="42" t="inlineStr">
        <is>
          <t>0304923031</t>
        </is>
      </c>
      <c r="D1004" s="42" t="inlineStr">
        <is>
          <t>Region III (Central Luzon)</t>
        </is>
      </c>
      <c r="E1004" s="42" t="inlineStr">
        <is>
          <t>Nueva Ecija</t>
        </is>
      </c>
      <c r="F1004" s="42" t="inlineStr">
        <is>
          <t>Rizal</t>
        </is>
      </c>
      <c r="G1004" s="42" t="inlineStr">
        <is>
          <t>San Esteban</t>
        </is>
      </c>
      <c r="H1004" s="43" t="n">
        <v>15.585783</v>
      </c>
      <c r="I1004" s="43" t="n">
        <v>120.924577</v>
      </c>
      <c r="J1004" s="44" t="inlineStr">
        <is>
          <t>R</t>
        </is>
      </c>
      <c r="K1004" s="42" t="inlineStr">
        <is>
          <t>Class 1-3 / Urban</t>
        </is>
      </c>
      <c r="L1004" s="23" t="n">
        <v>1655</v>
      </c>
      <c r="M1004" s="24" t="n">
        <v>4.32</v>
      </c>
      <c r="N1004" s="23">
        <f>ROUND(L1004/M1004, 0)</f>
        <v/>
      </c>
      <c r="O1004" s="23">
        <f>ROUND(N1004*'Methodology &amp; Assumptions'!$B$8, 0)</f>
        <v/>
      </c>
      <c r="P1004" s="44" t="inlineStr">
        <is>
          <t>Band n50 (1.5 GHz, 60 MHz)</t>
        </is>
      </c>
      <c r="Q1004" s="38">
        <f>ROUNDUP(O1004/'Methodology &amp; Assumptions'!$B$9, 0)</f>
        <v/>
      </c>
      <c r="R1004" s="39" t="n">
        <v>1</v>
      </c>
      <c r="S1004" s="25" t="n">
        <v>0.71</v>
      </c>
      <c r="T1004" s="25" t="n">
        <v>0.52</v>
      </c>
      <c r="U1004" s="42" t="inlineStr">
        <is>
          <t>Tier 1A (Direct Coloc, &lt;1 km)</t>
        </is>
      </c>
      <c r="V1004" s="24" t="n">
        <v>89</v>
      </c>
      <c r="W1004" s="24" t="n">
        <v>54.7</v>
      </c>
      <c r="X1004" s="24" t="n">
        <v>58</v>
      </c>
      <c r="Y1004" s="45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4 &amp; 5 — Sites 3,001 to 5,000</t>
        </is>
      </c>
    </row>
    <row r="2">
      <c r="A2" s="2" t="inlineStr">
        <is>
          <t>Dynamic commercial deployment rollout schedule (2,000 sites), linked to live parameters in 'Methodology &amp; Assumptions'.</t>
        </is>
      </c>
    </row>
    <row r="4" ht="28" customHeight="1">
      <c r="A4" s="48" t="inlineStr">
        <is>
          <t>Batch Rank</t>
        </is>
      </c>
      <c r="B4" s="48" t="inlineStr">
        <is>
          <t>Overall Rank</t>
        </is>
      </c>
      <c r="C4" s="48" t="inlineStr">
        <is>
          <t>PSGC Code</t>
        </is>
      </c>
      <c r="D4" s="48" t="inlineStr">
        <is>
          <t>Region</t>
        </is>
      </c>
      <c r="E4" s="48" t="inlineStr">
        <is>
          <t>Province</t>
        </is>
      </c>
      <c r="F4" s="48" t="inlineStr">
        <is>
          <t>Municipality</t>
        </is>
      </c>
      <c r="G4" s="48" t="inlineStr">
        <is>
          <t>Barangay</t>
        </is>
      </c>
      <c r="H4" s="48" t="inlineStr">
        <is>
          <t>Latitude</t>
        </is>
      </c>
      <c r="I4" s="48" t="inlineStr">
        <is>
          <t>Longitude</t>
        </is>
      </c>
      <c r="J4" s="48" t="inlineStr">
        <is>
          <t>Urban / Rural</t>
        </is>
      </c>
      <c r="K4" s="48" t="inlineStr">
        <is>
          <t>Municipal Income Class</t>
        </is>
      </c>
      <c r="L4" s="48" t="inlineStr">
        <is>
          <t>2020 Pop</t>
        </is>
      </c>
      <c r="M4" s="48" t="inlineStr">
        <is>
          <t>Avg HH Size</t>
        </is>
      </c>
      <c r="N4" s="48" t="inlineStr">
        <is>
          <t>Households</t>
        </is>
      </c>
      <c r="O4" s="48" t="inlineStr">
        <is>
          <t>Subs @ 30%</t>
        </is>
      </c>
      <c r="P4" s="48" t="inlineStr">
        <is>
          <t>Carrier Spectrum</t>
        </is>
      </c>
      <c r="Q4" s="48" t="inlineStr">
        <is>
          <t>Peak 30% Demand Capacity (BTS)</t>
        </is>
      </c>
      <c r="R4" s="48" t="inlineStr">
        <is>
          <t>Initial Day 1 Build (BTS)</t>
        </is>
      </c>
      <c r="S4" s="48" t="inlineStr">
        <is>
          <t>Dist. to Nearest Node (km)</t>
        </is>
      </c>
      <c r="T4" s="48" t="inlineStr">
        <is>
          <t>Dist. to Fiber Line (km)</t>
        </is>
      </c>
      <c r="U4" s="48" t="inlineStr">
        <is>
          <t>Deploy Tier</t>
        </is>
      </c>
      <c r="V4" s="48" t="inlineStr">
        <is>
          <t>Deploy Score (35%)</t>
        </is>
      </c>
      <c r="W4" s="48" t="inlineStr">
        <is>
          <t>Viability Score (35%)</t>
        </is>
      </c>
      <c r="X4" s="48" t="inlineStr">
        <is>
          <t>Necessity Score (30%)</t>
        </is>
      </c>
      <c r="Y4" s="48" t="inlineStr">
        <is>
          <t>Composite Score</t>
        </is>
      </c>
    </row>
    <row r="5" ht="19" customHeight="1">
      <c r="A5" s="35" t="n">
        <v>1</v>
      </c>
      <c r="B5" s="35" t="n">
        <v>3001</v>
      </c>
      <c r="C5" s="36" t="inlineStr">
        <is>
          <t>0500510003</t>
        </is>
      </c>
      <c r="D5" s="36" t="inlineStr">
        <is>
          <t>Region V (Bicol Region)</t>
        </is>
      </c>
      <c r="E5" s="36" t="inlineStr">
        <is>
          <t>Albay</t>
        </is>
      </c>
      <c r="F5" s="36" t="inlineStr">
        <is>
          <t>Malinao</t>
        </is>
      </c>
      <c r="G5" s="36" t="inlineStr">
        <is>
          <t>Balading</t>
        </is>
      </c>
      <c r="H5" s="37" t="n">
        <v>13.389386</v>
      </c>
      <c r="I5" s="37" t="n">
        <v>123.71065</v>
      </c>
      <c r="J5" s="8" t="inlineStr">
        <is>
          <t>U</t>
        </is>
      </c>
      <c r="K5" s="36" t="inlineStr">
        <is>
          <t>Class 1-3 / Urban</t>
        </is>
      </c>
      <c r="L5" s="18" t="n">
        <v>3117</v>
      </c>
      <c r="M5" s="20" t="n">
        <v>4.67</v>
      </c>
      <c r="N5" s="18">
        <f>ROUND(L5/M5, 0)</f>
        <v/>
      </c>
      <c r="O5" s="18">
        <f>ROUND(N5*'Methodology &amp; Assumptions'!$B$8, 0)</f>
        <v/>
      </c>
      <c r="P5" s="8" t="inlineStr">
        <is>
          <t>Band n50 (1.5 GHz, 60 MHz)</t>
        </is>
      </c>
      <c r="Q5" s="38">
        <f>ROUNDUP(O5/'Methodology &amp; Assumptions'!$B$9, 0)</f>
        <v/>
      </c>
      <c r="R5" s="39" t="n">
        <v>1</v>
      </c>
      <c r="S5" s="21" t="n">
        <v>0.59</v>
      </c>
      <c r="T5" s="21" t="n">
        <v>0.32</v>
      </c>
      <c r="U5" s="36" t="inlineStr">
        <is>
          <t>Tier 1A (Direct Coloc, &lt;1 km)</t>
        </is>
      </c>
      <c r="V5" s="20" t="n">
        <v>92.09999999999999</v>
      </c>
      <c r="W5" s="20" t="n">
        <v>77.3</v>
      </c>
      <c r="X5" s="20" t="n">
        <v>28</v>
      </c>
      <c r="Y5" s="40">
        <f>ROUND((V5*'Methodology &amp; Assumptions'!$B$6)+(W5*'Methodology &amp; Assumptions'!$B$5)+(X5*'Methodology &amp; Assumptions'!$B$7), 2)</f>
        <v/>
      </c>
    </row>
    <row r="6" ht="19" customHeight="1">
      <c r="A6" s="41" t="n">
        <v>2</v>
      </c>
      <c r="B6" s="41" t="n">
        <v>3002</v>
      </c>
      <c r="C6" s="42" t="inlineStr">
        <is>
          <t>0205005027</t>
        </is>
      </c>
      <c r="D6" s="42" t="inlineStr">
        <is>
          <t>Region II (Cagayan Valley)</t>
        </is>
      </c>
      <c r="E6" s="42" t="inlineStr">
        <is>
          <t>Nueva Vizcaya</t>
        </is>
      </c>
      <c r="F6" s="42" t="inlineStr">
        <is>
          <t>Bayombong</t>
        </is>
      </c>
      <c r="G6" s="42" t="inlineStr">
        <is>
          <t>Santa Rosa</t>
        </is>
      </c>
      <c r="H6" s="43" t="n">
        <v>16.489062</v>
      </c>
      <c r="I6" s="43" t="n">
        <v>121.16166</v>
      </c>
      <c r="J6" s="44" t="inlineStr">
        <is>
          <t>R</t>
        </is>
      </c>
      <c r="K6" s="42" t="inlineStr">
        <is>
          <t>Class 1-3 / Urban</t>
        </is>
      </c>
      <c r="L6" s="23" t="n">
        <v>2642</v>
      </c>
      <c r="M6" s="24" t="n">
        <v>4.19</v>
      </c>
      <c r="N6" s="23">
        <f>ROUND(L6/M6, 0)</f>
        <v/>
      </c>
      <c r="O6" s="23">
        <f>ROUND(N6*'Methodology &amp; Assumptions'!$B$8, 0)</f>
        <v/>
      </c>
      <c r="P6" s="44" t="inlineStr">
        <is>
          <t>Band n50 (1.5 GHz, 60 MHz)</t>
        </is>
      </c>
      <c r="Q6" s="38">
        <f>ROUNDUP(O6/'Methodology &amp; Assumptions'!$B$9, 0)</f>
        <v/>
      </c>
      <c r="R6" s="39" t="n">
        <v>1</v>
      </c>
      <c r="S6" s="25" t="n">
        <v>1.57</v>
      </c>
      <c r="T6" s="25" t="n">
        <v>0.34</v>
      </c>
      <c r="U6" s="42" t="inlineStr">
        <is>
          <t>Tier 1B (Micro Drop, 1-3 km)</t>
        </is>
      </c>
      <c r="V6" s="24" t="n">
        <v>69.3</v>
      </c>
      <c r="W6" s="24" t="n">
        <v>74.40000000000001</v>
      </c>
      <c r="X6" s="24" t="n">
        <v>58</v>
      </c>
      <c r="Y6" s="45">
        <f>ROUND((V6*'Methodology &amp; Assumptions'!$B$6)+(W6*'Methodology &amp; Assumptions'!$B$5)+(X6*'Methodology &amp; Assumptions'!$B$7), 2)</f>
        <v/>
      </c>
    </row>
    <row r="7" ht="19" customHeight="1">
      <c r="A7" s="35" t="n">
        <v>3</v>
      </c>
      <c r="B7" s="35" t="n">
        <v>3003</v>
      </c>
      <c r="C7" s="36" t="inlineStr">
        <is>
          <t>0402106014</t>
        </is>
      </c>
      <c r="D7" s="36" t="inlineStr">
        <is>
          <t>Region IV-A (CALABARZON)</t>
        </is>
      </c>
      <c r="E7" s="36" t="inlineStr">
        <is>
          <t>Cavite</t>
        </is>
      </c>
      <c r="F7" s="36" t="inlineStr">
        <is>
          <t>City of Dasmariñas</t>
        </is>
      </c>
      <c r="G7" s="36" t="inlineStr">
        <is>
          <t>San Agustin I</t>
        </is>
      </c>
      <c r="H7" s="37" t="n">
        <v>14.303142</v>
      </c>
      <c r="I7" s="37" t="n">
        <v>120.944606</v>
      </c>
      <c r="J7" s="8" t="inlineStr">
        <is>
          <t>U</t>
        </is>
      </c>
      <c r="K7" s="36" t="inlineStr">
        <is>
          <t>Class 1-3 / Urban</t>
        </is>
      </c>
      <c r="L7" s="18" t="n">
        <v>11971</v>
      </c>
      <c r="M7" s="20" t="n">
        <v>4.49</v>
      </c>
      <c r="N7" s="18">
        <f>ROUND(L7/M7, 0)</f>
        <v/>
      </c>
      <c r="O7" s="18">
        <f>ROUND(N7*'Methodology &amp; Assumptions'!$B$8, 0)</f>
        <v/>
      </c>
      <c r="P7" s="8" t="inlineStr">
        <is>
          <t>Band n50 (1.5 GHz, 60 MHz)</t>
        </is>
      </c>
      <c r="Q7" s="38">
        <f>ROUNDUP(O7/'Methodology &amp; Assumptions'!$B$9, 0)</f>
        <v/>
      </c>
      <c r="R7" s="39" t="n">
        <v>1</v>
      </c>
      <c r="S7" s="21" t="n">
        <v>1.56</v>
      </c>
      <c r="T7" s="21" t="n">
        <v>0.6899999999999999</v>
      </c>
      <c r="U7" s="36" t="inlineStr">
        <is>
          <t>Tier 1B (Micro Drop, 1-3 km)</t>
        </is>
      </c>
      <c r="V7" s="20" t="n">
        <v>69.40000000000001</v>
      </c>
      <c r="W7" s="20" t="n">
        <v>100</v>
      </c>
      <c r="X7" s="20" t="n">
        <v>28</v>
      </c>
      <c r="Y7" s="40">
        <f>ROUND((V7*'Methodology &amp; Assumptions'!$B$6)+(W7*'Methodology &amp; Assumptions'!$B$5)+(X7*'Methodology &amp; Assumptions'!$B$7), 2)</f>
        <v/>
      </c>
    </row>
    <row r="8" ht="19" customHeight="1">
      <c r="A8" s="41" t="n">
        <v>4</v>
      </c>
      <c r="B8" s="41" t="n">
        <v>3004</v>
      </c>
      <c r="C8" s="42" t="inlineStr">
        <is>
          <t>0702214014</t>
        </is>
      </c>
      <c r="D8" s="42" t="inlineStr">
        <is>
          <t>Region VII (Central Visayas)</t>
        </is>
      </c>
      <c r="E8" s="42" t="inlineStr">
        <is>
          <t>Cebu</t>
        </is>
      </c>
      <c r="F8" s="42" t="inlineStr">
        <is>
          <t>City of Carcar</t>
        </is>
      </c>
      <c r="G8" s="42" t="inlineStr">
        <is>
          <t>Poblacion III</t>
        </is>
      </c>
      <c r="H8" s="43" t="n">
        <v>10.109809</v>
      </c>
      <c r="I8" s="43" t="n">
        <v>123.649807</v>
      </c>
      <c r="J8" s="44" t="inlineStr">
        <is>
          <t>U</t>
        </is>
      </c>
      <c r="K8" s="42" t="inlineStr">
        <is>
          <t>Class 1-3 / Urban</t>
        </is>
      </c>
      <c r="L8" s="23" t="n">
        <v>7329</v>
      </c>
      <c r="M8" s="24" t="n">
        <v>4.42</v>
      </c>
      <c r="N8" s="23">
        <f>ROUND(L8/M8, 0)</f>
        <v/>
      </c>
      <c r="O8" s="23">
        <f>ROUND(N8*'Methodology &amp; Assumptions'!$B$8, 0)</f>
        <v/>
      </c>
      <c r="P8" s="44" t="inlineStr">
        <is>
          <t>Band n50 (1.5 GHz, 60 MHz)</t>
        </is>
      </c>
      <c r="Q8" s="38">
        <f>ROUNDUP(O8/'Methodology &amp; Assumptions'!$B$9, 0)</f>
        <v/>
      </c>
      <c r="R8" s="39" t="n">
        <v>1</v>
      </c>
      <c r="S8" s="25" t="n">
        <v>1.56</v>
      </c>
      <c r="T8" s="25" t="n">
        <v>0.26</v>
      </c>
      <c r="U8" s="42" t="inlineStr">
        <is>
          <t>Tier 1B (Micro Drop, 1-3 km)</t>
        </is>
      </c>
      <c r="V8" s="24" t="n">
        <v>69.40000000000001</v>
      </c>
      <c r="W8" s="24" t="n">
        <v>100</v>
      </c>
      <c r="X8" s="24" t="n">
        <v>28</v>
      </c>
      <c r="Y8" s="45">
        <f>ROUND((V8*'Methodology &amp; Assumptions'!$B$6)+(W8*'Methodology &amp; Assumptions'!$B$5)+(X8*'Methodology &amp; Assumptions'!$B$7), 2)</f>
        <v/>
      </c>
    </row>
    <row r="9" ht="19" customHeight="1">
      <c r="A9" s="35" t="n">
        <v>5</v>
      </c>
      <c r="B9" s="35" t="n">
        <v>3005</v>
      </c>
      <c r="C9" s="36" t="inlineStr">
        <is>
          <t>1004302031</t>
        </is>
      </c>
      <c r="D9" s="36" t="inlineStr">
        <is>
          <t>Region X (Northern Mindanao)</t>
        </is>
      </c>
      <c r="E9" s="36" t="inlineStr">
        <is>
          <t>Misamis Oriental</t>
        </is>
      </c>
      <c r="F9" s="36" t="inlineStr">
        <is>
          <t>Balingasag</t>
        </is>
      </c>
      <c r="G9" s="36" t="inlineStr">
        <is>
          <t>Talusan</t>
        </is>
      </c>
      <c r="H9" s="37" t="n">
        <v>8.734909999999999</v>
      </c>
      <c r="I9" s="37" t="n">
        <v>124.792542</v>
      </c>
      <c r="J9" s="8" t="inlineStr">
        <is>
          <t>R</t>
        </is>
      </c>
      <c r="K9" s="36" t="inlineStr">
        <is>
          <t>Class 1-3 / Urban</t>
        </is>
      </c>
      <c r="L9" s="18" t="n">
        <v>3421</v>
      </c>
      <c r="M9" s="20" t="n">
        <v>4.54</v>
      </c>
      <c r="N9" s="18">
        <f>ROUND(L9/M9, 0)</f>
        <v/>
      </c>
      <c r="O9" s="18">
        <f>ROUND(N9*'Methodology &amp; Assumptions'!$B$8, 0)</f>
        <v/>
      </c>
      <c r="P9" s="8" t="inlineStr">
        <is>
          <t>Band n50 (1.5 GHz, 60 MHz)</t>
        </is>
      </c>
      <c r="Q9" s="38">
        <f>ROUNDUP(O9/'Methodology &amp; Assumptions'!$B$9, 0)</f>
        <v/>
      </c>
      <c r="R9" s="39" t="n">
        <v>1</v>
      </c>
      <c r="S9" s="21" t="n">
        <v>2.12</v>
      </c>
      <c r="T9" s="21" t="n">
        <v>0.63</v>
      </c>
      <c r="U9" s="36" t="inlineStr">
        <is>
          <t>Tier 1B (Micro Drop, 1-3 km)</t>
        </is>
      </c>
      <c r="V9" s="20" t="n">
        <v>59.4</v>
      </c>
      <c r="W9" s="20" t="n">
        <v>84.3</v>
      </c>
      <c r="X9" s="20" t="n">
        <v>58</v>
      </c>
      <c r="Y9" s="40">
        <f>ROUND((V9*'Methodology &amp; Assumptions'!$B$6)+(W9*'Methodology &amp; Assumptions'!$B$5)+(X9*'Methodology &amp; Assumptions'!$B$7), 2)</f>
        <v/>
      </c>
    </row>
    <row r="10" ht="19" customHeight="1">
      <c r="A10" s="41" t="n">
        <v>6</v>
      </c>
      <c r="B10" s="41" t="n">
        <v>3006</v>
      </c>
      <c r="C10" s="42" t="inlineStr">
        <is>
          <t>0403403006</t>
        </is>
      </c>
      <c r="D10" s="42" t="inlineStr">
        <is>
          <t>Region IV-A (CALABARZON)</t>
        </is>
      </c>
      <c r="E10" s="42" t="inlineStr">
        <is>
          <t>Laguna</t>
        </is>
      </c>
      <c r="F10" s="42" t="inlineStr">
        <is>
          <t>City of Biñan</t>
        </is>
      </c>
      <c r="G10" s="42" t="inlineStr">
        <is>
          <t>De La Paz</t>
        </is>
      </c>
      <c r="H10" s="43" t="n">
        <v>14.348918</v>
      </c>
      <c r="I10" s="43" t="n">
        <v>121.08489</v>
      </c>
      <c r="J10" s="44" t="inlineStr">
        <is>
          <t>U</t>
        </is>
      </c>
      <c r="K10" s="42" t="inlineStr">
        <is>
          <t>Class 1-3 / Urban</t>
        </is>
      </c>
      <c r="L10" s="23" t="n">
        <v>32841</v>
      </c>
      <c r="M10" s="24" t="n">
        <v>4.2</v>
      </c>
      <c r="N10" s="23">
        <f>ROUND(L10/M10, 0)</f>
        <v/>
      </c>
      <c r="O10" s="23">
        <f>ROUND(N10*'Methodology &amp; Assumptions'!$B$8, 0)</f>
        <v/>
      </c>
      <c r="P10" s="44" t="inlineStr">
        <is>
          <t>Band n50 (1.5 GHz, 60 MHz)</t>
        </is>
      </c>
      <c r="Q10" s="38">
        <f>ROUNDUP(O10/'Methodology &amp; Assumptions'!$B$9, 0)</f>
        <v/>
      </c>
      <c r="R10" s="39" t="n">
        <v>1</v>
      </c>
      <c r="S10" s="25" t="n">
        <v>1.51</v>
      </c>
      <c r="T10" s="25" t="n">
        <v>1.1</v>
      </c>
      <c r="U10" s="42" t="inlineStr">
        <is>
          <t>Tier 1B (Micro Drop, 1-3 km)</t>
        </is>
      </c>
      <c r="V10" s="24" t="n">
        <v>70.5</v>
      </c>
      <c r="W10" s="24" t="n">
        <v>98.90000000000001</v>
      </c>
      <c r="X10" s="24" t="n">
        <v>28</v>
      </c>
      <c r="Y10" s="45">
        <f>ROUND((V10*'Methodology &amp; Assumptions'!$B$6)+(W10*'Methodology &amp; Assumptions'!$B$5)+(X10*'Methodology &amp; Assumptions'!$B$7), 2)</f>
        <v/>
      </c>
    </row>
    <row r="11" ht="19" customHeight="1">
      <c r="A11" s="35" t="n">
        <v>7</v>
      </c>
      <c r="B11" s="35" t="n">
        <v>3007</v>
      </c>
      <c r="C11" s="36" t="inlineStr">
        <is>
          <t>1003522019</t>
        </is>
      </c>
      <c r="D11" s="36" t="inlineStr">
        <is>
          <t>Region X (Northern Mindanao)</t>
        </is>
      </c>
      <c r="E11" s="36" t="inlineStr">
        <is>
          <t>Lanao del Norte</t>
        </is>
      </c>
      <c r="F11" s="36" t="inlineStr">
        <is>
          <t>Tubod</t>
        </is>
      </c>
      <c r="G11" s="36" t="inlineStr">
        <is>
          <t>Poblacion</t>
        </is>
      </c>
      <c r="H11" s="37" t="n">
        <v>8.055027000000001</v>
      </c>
      <c r="I11" s="37" t="n">
        <v>123.791878</v>
      </c>
      <c r="J11" s="8" t="inlineStr">
        <is>
          <t>U</t>
        </is>
      </c>
      <c r="K11" s="36" t="inlineStr">
        <is>
          <t>Class 1-3 / Urban</t>
        </is>
      </c>
      <c r="L11" s="18" t="n">
        <v>11060</v>
      </c>
      <c r="M11" s="20" t="n">
        <v>5.12</v>
      </c>
      <c r="N11" s="18">
        <f>ROUND(L11/M11, 0)</f>
        <v/>
      </c>
      <c r="O11" s="18">
        <f>ROUND(N11*'Methodology &amp; Assumptions'!$B$8, 0)</f>
        <v/>
      </c>
      <c r="P11" s="8" t="inlineStr">
        <is>
          <t>Band n50 (1.5 GHz, 60 MHz)</t>
        </is>
      </c>
      <c r="Q11" s="38">
        <f>ROUNDUP(O11/'Methodology &amp; Assumptions'!$B$9, 0)</f>
        <v/>
      </c>
      <c r="R11" s="39" t="n">
        <v>1</v>
      </c>
      <c r="S11" s="21" t="n">
        <v>1.56</v>
      </c>
      <c r="T11" s="21" t="n">
        <v>1.01</v>
      </c>
      <c r="U11" s="36" t="inlineStr">
        <is>
          <t>Tier 1B (Micro Drop, 1-3 km)</t>
        </is>
      </c>
      <c r="V11" s="20" t="n">
        <v>69.40000000000001</v>
      </c>
      <c r="W11" s="20" t="n">
        <v>100</v>
      </c>
      <c r="X11" s="20" t="n">
        <v>28</v>
      </c>
      <c r="Y11" s="40">
        <f>ROUND((V11*'Methodology &amp; Assumptions'!$B$6)+(W11*'Methodology &amp; Assumptions'!$B$5)+(X11*'Methodology &amp; Assumptions'!$B$7), 2)</f>
        <v/>
      </c>
    </row>
    <row r="12" ht="19" customHeight="1">
      <c r="A12" s="41" t="n">
        <v>8</v>
      </c>
      <c r="B12" s="41" t="n">
        <v>3008</v>
      </c>
      <c r="C12" s="42" t="inlineStr">
        <is>
          <t>0203112036</t>
        </is>
      </c>
      <c r="D12" s="42" t="inlineStr">
        <is>
          <t>Region II (Cagayan Valley)</t>
        </is>
      </c>
      <c r="E12" s="42" t="inlineStr">
        <is>
          <t>Isabela</t>
        </is>
      </c>
      <c r="F12" s="42" t="inlineStr">
        <is>
          <t>Echague</t>
        </is>
      </c>
      <c r="G12" s="42" t="inlineStr">
        <is>
          <t>Pangal Norte</t>
        </is>
      </c>
      <c r="H12" s="43" t="n">
        <v>16.610525</v>
      </c>
      <c r="I12" s="43" t="n">
        <v>121.6764</v>
      </c>
      <c r="J12" s="44" t="inlineStr">
        <is>
          <t>R</t>
        </is>
      </c>
      <c r="K12" s="42" t="inlineStr">
        <is>
          <t>Class 1-3 / Urban</t>
        </is>
      </c>
      <c r="L12" s="23" t="n">
        <v>1561</v>
      </c>
      <c r="M12" s="24" t="n">
        <v>4.3</v>
      </c>
      <c r="N12" s="23">
        <f>ROUND(L12/M12, 0)</f>
        <v/>
      </c>
      <c r="O12" s="23">
        <f>ROUND(N12*'Methodology &amp; Assumptions'!$B$8, 0)</f>
        <v/>
      </c>
      <c r="P12" s="44" t="inlineStr">
        <is>
          <t>Band n50 (1.5 GHz, 60 MHz)</t>
        </is>
      </c>
      <c r="Q12" s="38">
        <f>ROUNDUP(O12/'Methodology &amp; Assumptions'!$B$9, 0)</f>
        <v/>
      </c>
      <c r="R12" s="39" t="n">
        <v>1</v>
      </c>
      <c r="S12" s="25" t="n">
        <v>0.3</v>
      </c>
      <c r="T12" s="25" t="n">
        <v>10.01</v>
      </c>
      <c r="U12" s="42" t="inlineStr">
        <is>
          <t>Tier 1A (Direct Coloc, &lt;1 km)</t>
        </is>
      </c>
      <c r="V12" s="24" t="n">
        <v>90.59999999999999</v>
      </c>
      <c r="W12" s="24" t="n">
        <v>53.1</v>
      </c>
      <c r="X12" s="24" t="n">
        <v>58</v>
      </c>
      <c r="Y12" s="45">
        <f>ROUND((V12*'Methodology &amp; Assumptions'!$B$6)+(W12*'Methodology &amp; Assumptions'!$B$5)+(X12*'Methodology &amp; Assumptions'!$B$7), 2)</f>
        <v/>
      </c>
    </row>
    <row r="13" ht="19" customHeight="1">
      <c r="A13" s="35" t="n">
        <v>9</v>
      </c>
      <c r="B13" s="35" t="n">
        <v>3009</v>
      </c>
      <c r="C13" s="36" t="inlineStr">
        <is>
          <t>1206511004</t>
        </is>
      </c>
      <c r="D13" s="36" t="inlineStr">
        <is>
          <t>Region XII (SOCCSKSARGEN)</t>
        </is>
      </c>
      <c r="E13" s="36" t="inlineStr">
        <is>
          <t>Sultan Kudarat</t>
        </is>
      </c>
      <c r="F13" s="36" t="inlineStr">
        <is>
          <t>City of Tacurong</t>
        </is>
      </c>
      <c r="G13" s="36" t="inlineStr">
        <is>
          <t>Carmen</t>
        </is>
      </c>
      <c r="H13" s="37" t="n">
        <v>6.671111</v>
      </c>
      <c r="I13" s="37" t="n">
        <v>124.682778</v>
      </c>
      <c r="J13" s="8" t="inlineStr">
        <is>
          <t>U</t>
        </is>
      </c>
      <c r="K13" s="36" t="inlineStr">
        <is>
          <t>Class 1-3 / Urban</t>
        </is>
      </c>
      <c r="L13" s="18" t="n">
        <v>4092</v>
      </c>
      <c r="M13" s="20" t="n">
        <v>4.1</v>
      </c>
      <c r="N13" s="18">
        <f>ROUND(L13/M13, 0)</f>
        <v/>
      </c>
      <c r="O13" s="18">
        <f>ROUND(N13*'Methodology &amp; Assumptions'!$B$8, 0)</f>
        <v/>
      </c>
      <c r="P13" s="8" t="inlineStr">
        <is>
          <t>Band n50 (1.5 GHz, 60 MHz)</t>
        </is>
      </c>
      <c r="Q13" s="38">
        <f>ROUNDUP(O13/'Methodology &amp; Assumptions'!$B$9, 0)</f>
        <v/>
      </c>
      <c r="R13" s="39" t="n">
        <v>1</v>
      </c>
      <c r="S13" s="21" t="n">
        <v>2.3</v>
      </c>
      <c r="T13" s="21" t="n">
        <v>0.32</v>
      </c>
      <c r="U13" s="36" t="inlineStr">
        <is>
          <t>Tier 1B (Micro Drop, 1-3 km)</t>
        </is>
      </c>
      <c r="V13" s="20" t="n">
        <v>56.5</v>
      </c>
      <c r="W13" s="20" t="n">
        <v>100</v>
      </c>
      <c r="X13" s="20" t="n">
        <v>43</v>
      </c>
      <c r="Y13" s="40">
        <f>ROUND((V13*'Methodology &amp; Assumptions'!$B$6)+(W13*'Methodology &amp; Assumptions'!$B$5)+(X13*'Methodology &amp; Assumptions'!$B$7), 2)</f>
        <v/>
      </c>
    </row>
    <row r="14" ht="19" customHeight="1">
      <c r="A14" s="41" t="n">
        <v>10</v>
      </c>
      <c r="B14" s="41" t="n">
        <v>3010</v>
      </c>
      <c r="C14" s="42" t="inlineStr">
        <is>
          <t>0301420011</t>
        </is>
      </c>
      <c r="D14" s="42" t="inlineStr">
        <is>
          <t>Region III (Central Luzon)</t>
        </is>
      </c>
      <c r="E14" s="42" t="inlineStr">
        <is>
          <t>Bulacan</t>
        </is>
      </c>
      <c r="F14" s="42" t="inlineStr">
        <is>
          <t>City of San Jose Del Monte</t>
        </is>
      </c>
      <c r="G14" s="42" t="inlineStr">
        <is>
          <t>Tungkong Mangga</t>
        </is>
      </c>
      <c r="H14" s="43" t="n">
        <v>14.783939</v>
      </c>
      <c r="I14" s="43" t="n">
        <v>121.072119</v>
      </c>
      <c r="J14" s="44" t="inlineStr">
        <is>
          <t>U</t>
        </is>
      </c>
      <c r="K14" s="42" t="inlineStr">
        <is>
          <t>Class 1-3 / Urban</t>
        </is>
      </c>
      <c r="L14" s="23" t="n">
        <v>16324</v>
      </c>
      <c r="M14" s="24" t="n">
        <v>4.1</v>
      </c>
      <c r="N14" s="23">
        <f>ROUND(L14/M14, 0)</f>
        <v/>
      </c>
      <c r="O14" s="23">
        <f>ROUND(N14*'Methodology &amp; Assumptions'!$B$8, 0)</f>
        <v/>
      </c>
      <c r="P14" s="44" t="inlineStr">
        <is>
          <t>Band n50 (1.5 GHz, 60 MHz)</t>
        </is>
      </c>
      <c r="Q14" s="38">
        <f>ROUNDUP(O14/'Methodology &amp; Assumptions'!$B$9, 0)</f>
        <v/>
      </c>
      <c r="R14" s="39" t="n">
        <v>1</v>
      </c>
      <c r="S14" s="25" t="n">
        <v>1.57</v>
      </c>
      <c r="T14" s="25" t="n">
        <v>0.28</v>
      </c>
      <c r="U14" s="42" t="inlineStr">
        <is>
          <t>Tier 1B (Micro Drop, 1-3 km)</t>
        </is>
      </c>
      <c r="V14" s="24" t="n">
        <v>69.3</v>
      </c>
      <c r="W14" s="24" t="n">
        <v>100</v>
      </c>
      <c r="X14" s="24" t="n">
        <v>28</v>
      </c>
      <c r="Y14" s="45">
        <f>ROUND((V14*'Methodology &amp; Assumptions'!$B$6)+(W14*'Methodology &amp; Assumptions'!$B$5)+(X14*'Methodology &amp; Assumptions'!$B$7), 2)</f>
        <v/>
      </c>
    </row>
    <row r="15" ht="19" customHeight="1">
      <c r="A15" s="35" t="n">
        <v>11</v>
      </c>
      <c r="B15" s="35" t="n">
        <v>3011</v>
      </c>
      <c r="C15" s="36" t="inlineStr">
        <is>
          <t>0501724032</t>
        </is>
      </c>
      <c r="D15" s="36" t="inlineStr">
        <is>
          <t>Region V (Bicol Region)</t>
        </is>
      </c>
      <c r="E15" s="36" t="inlineStr">
        <is>
          <t>Camarines Sur</t>
        </is>
      </c>
      <c r="F15" s="36" t="inlineStr">
        <is>
          <t>City of Naga</t>
        </is>
      </c>
      <c r="G15" s="36" t="inlineStr">
        <is>
          <t>Triangulo</t>
        </is>
      </c>
      <c r="H15" s="37" t="n">
        <v>13.618484</v>
      </c>
      <c r="I15" s="37" t="n">
        <v>123.186439</v>
      </c>
      <c r="J15" s="8" t="inlineStr">
        <is>
          <t>U</t>
        </is>
      </c>
      <c r="K15" s="36" t="inlineStr">
        <is>
          <t>Class 1-3 / Urban</t>
        </is>
      </c>
      <c r="L15" s="18" t="n">
        <v>8702</v>
      </c>
      <c r="M15" s="20" t="n">
        <v>4.9</v>
      </c>
      <c r="N15" s="18">
        <f>ROUND(L15/M15, 0)</f>
        <v/>
      </c>
      <c r="O15" s="18">
        <f>ROUND(N15*'Methodology &amp; Assumptions'!$B$8, 0)</f>
        <v/>
      </c>
      <c r="P15" s="8" t="inlineStr">
        <is>
          <t>Band n50 (1.5 GHz, 60 MHz)</t>
        </is>
      </c>
      <c r="Q15" s="38">
        <f>ROUNDUP(O15/'Methodology &amp; Assumptions'!$B$9, 0)</f>
        <v/>
      </c>
      <c r="R15" s="39" t="n">
        <v>1</v>
      </c>
      <c r="S15" s="21" t="n">
        <v>1.57</v>
      </c>
      <c r="T15" s="21" t="n">
        <v>0.42</v>
      </c>
      <c r="U15" s="36" t="inlineStr">
        <is>
          <t>Tier 1B (Micro Drop, 1-3 km)</t>
        </is>
      </c>
      <c r="V15" s="20" t="n">
        <v>69.3</v>
      </c>
      <c r="W15" s="20" t="n">
        <v>100</v>
      </c>
      <c r="X15" s="20" t="n">
        <v>28</v>
      </c>
      <c r="Y15" s="40">
        <f>ROUND((V15*'Methodology &amp; Assumptions'!$B$6)+(W15*'Methodology &amp; Assumptions'!$B$5)+(X15*'Methodology &amp; Assumptions'!$B$7), 2)</f>
        <v/>
      </c>
    </row>
    <row r="16" ht="19" customHeight="1">
      <c r="A16" s="41" t="n">
        <v>12</v>
      </c>
      <c r="B16" s="41" t="n">
        <v>3012</v>
      </c>
      <c r="C16" s="42" t="inlineStr">
        <is>
          <t>0201522003</t>
        </is>
      </c>
      <c r="D16" s="42" t="inlineStr">
        <is>
          <t>Region II (Cagayan Valley)</t>
        </is>
      </c>
      <c r="E16" s="42" t="inlineStr">
        <is>
          <t>Cagayan</t>
        </is>
      </c>
      <c r="F16" s="42" t="inlineStr">
        <is>
          <t>Sanchez-Mira</t>
        </is>
      </c>
      <c r="G16" s="42" t="inlineStr">
        <is>
          <t>Centro I</t>
        </is>
      </c>
      <c r="H16" s="43" t="n">
        <v>18.5597</v>
      </c>
      <c r="I16" s="43" t="n">
        <v>121.2347</v>
      </c>
      <c r="J16" s="44" t="inlineStr">
        <is>
          <t>U</t>
        </is>
      </c>
      <c r="K16" s="42" t="inlineStr">
        <is>
          <t>Class 1-3 / Urban</t>
        </is>
      </c>
      <c r="L16" s="23" t="n">
        <v>2484</v>
      </c>
      <c r="M16" s="24" t="n">
        <v>4.38</v>
      </c>
      <c r="N16" s="23">
        <f>ROUND(L16/M16, 0)</f>
        <v/>
      </c>
      <c r="O16" s="23">
        <f>ROUND(N16*'Methodology &amp; Assumptions'!$B$8, 0)</f>
        <v/>
      </c>
      <c r="P16" s="44" t="inlineStr">
        <is>
          <t>Band n50 (1.5 GHz, 60 MHz)</t>
        </is>
      </c>
      <c r="Q16" s="38">
        <f>ROUNDUP(O16/'Methodology &amp; Assumptions'!$B$9, 0)</f>
        <v/>
      </c>
      <c r="R16" s="39" t="n">
        <v>1</v>
      </c>
      <c r="S16" s="25" t="n">
        <v>0.22</v>
      </c>
      <c r="T16" s="25" t="n">
        <v>0.01</v>
      </c>
      <c r="U16" s="42" t="inlineStr">
        <is>
          <t>Tier 1A (Direct Coloc, &lt;1 km)</t>
        </is>
      </c>
      <c r="V16" s="24" t="n">
        <v>100</v>
      </c>
      <c r="W16" s="24" t="n">
        <v>69.3</v>
      </c>
      <c r="X16" s="24" t="n">
        <v>28</v>
      </c>
      <c r="Y16" s="45">
        <f>ROUND((V16*'Methodology &amp; Assumptions'!$B$6)+(W16*'Methodology &amp; Assumptions'!$B$5)+(X16*'Methodology &amp; Assumptions'!$B$7), 2)</f>
        <v/>
      </c>
    </row>
    <row r="17" ht="19" customHeight="1">
      <c r="A17" s="35" t="n">
        <v>13</v>
      </c>
      <c r="B17" s="35" t="n">
        <v>3013</v>
      </c>
      <c r="C17" s="36" t="inlineStr">
        <is>
          <t>1606701011</t>
        </is>
      </c>
      <c r="D17" s="36" t="inlineStr">
        <is>
          <t>Region XIII (Caraga)</t>
        </is>
      </c>
      <c r="E17" s="36" t="inlineStr">
        <is>
          <t>Surigao del Norte</t>
        </is>
      </c>
      <c r="F17" s="36" t="inlineStr">
        <is>
          <t>Alegria</t>
        </is>
      </c>
      <c r="G17" s="36" t="inlineStr">
        <is>
          <t>Anahaw</t>
        </is>
      </c>
      <c r="H17" s="37" t="n">
        <v>9.470556</v>
      </c>
      <c r="I17" s="37" t="n">
        <v>125.5747</v>
      </c>
      <c r="J17" s="8" t="inlineStr">
        <is>
          <t>R</t>
        </is>
      </c>
      <c r="K17" s="36" t="inlineStr">
        <is>
          <t>4th</t>
        </is>
      </c>
      <c r="L17" s="18" t="n">
        <v>1540</v>
      </c>
      <c r="M17" s="20" t="n">
        <v>4.69</v>
      </c>
      <c r="N17" s="18">
        <f>ROUND(L17/M17, 0)</f>
        <v/>
      </c>
      <c r="O17" s="18">
        <f>ROUND(N17*'Methodology &amp; Assumptions'!$B$8, 0)</f>
        <v/>
      </c>
      <c r="P17" s="8" t="inlineStr">
        <is>
          <t>Band n50 (1.5 GHz, 60 MHz)</t>
        </is>
      </c>
      <c r="Q17" s="38">
        <f>ROUNDUP(O17/'Methodology &amp; Assumptions'!$B$9, 0)</f>
        <v/>
      </c>
      <c r="R17" s="39" t="n">
        <v>1</v>
      </c>
      <c r="S17" s="21" t="n">
        <v>1.45</v>
      </c>
      <c r="T17" s="21" t="n">
        <v>0.3</v>
      </c>
      <c r="U17" s="36" t="inlineStr">
        <is>
          <t>Tier 1B (Micro Drop, 1-3 km)</t>
        </is>
      </c>
      <c r="V17" s="20" t="n">
        <v>71.59999999999999</v>
      </c>
      <c r="W17" s="20" t="n">
        <v>50.1</v>
      </c>
      <c r="X17" s="20" t="n">
        <v>83.5</v>
      </c>
      <c r="Y17" s="40">
        <f>ROUND((V17*'Methodology &amp; Assumptions'!$B$6)+(W17*'Methodology &amp; Assumptions'!$B$5)+(X17*'Methodology &amp; Assumptions'!$B$7), 2)</f>
        <v/>
      </c>
    </row>
    <row r="18" ht="19" customHeight="1">
      <c r="A18" s="41" t="n">
        <v>14</v>
      </c>
      <c r="B18" s="41" t="n">
        <v>3014</v>
      </c>
      <c r="C18" s="42" t="inlineStr">
        <is>
          <t>0401026029</t>
        </is>
      </c>
      <c r="D18" s="42" t="inlineStr">
        <is>
          <t>Region IV-A (CALABARZON)</t>
        </is>
      </c>
      <c r="E18" s="42" t="inlineStr">
        <is>
          <t>Batangas</t>
        </is>
      </c>
      <c r="F18" s="42" t="inlineStr">
        <is>
          <t>San Pascual</t>
        </is>
      </c>
      <c r="G18" s="42" t="inlineStr">
        <is>
          <t>Santo Niño</t>
        </is>
      </c>
      <c r="H18" s="43" t="n">
        <v>13.796281</v>
      </c>
      <c r="I18" s="43" t="n">
        <v>121.021786</v>
      </c>
      <c r="J18" s="44" t="inlineStr">
        <is>
          <t>R</t>
        </is>
      </c>
      <c r="K18" s="42" t="inlineStr">
        <is>
          <t>Class 1-3 / Urban</t>
        </is>
      </c>
      <c r="L18" s="23" t="n">
        <v>3370</v>
      </c>
      <c r="M18" s="24" t="n">
        <v>4.62</v>
      </c>
      <c r="N18" s="23">
        <f>ROUND(L18/M18, 0)</f>
        <v/>
      </c>
      <c r="O18" s="23">
        <f>ROUND(N18*'Methodology &amp; Assumptions'!$B$8, 0)</f>
        <v/>
      </c>
      <c r="P18" s="44" t="inlineStr">
        <is>
          <t>Band n50 (1.5 GHz, 60 MHz)</t>
        </is>
      </c>
      <c r="Q18" s="38">
        <f>ROUNDUP(O18/'Methodology &amp; Assumptions'!$B$9, 0)</f>
        <v/>
      </c>
      <c r="R18" s="39" t="n">
        <v>1</v>
      </c>
      <c r="S18" s="25" t="n">
        <v>2.01</v>
      </c>
      <c r="T18" s="25" t="n">
        <v>0.89</v>
      </c>
      <c r="U18" s="42" t="inlineStr">
        <is>
          <t>Tier 1B (Micro Drop, 1-3 km)</t>
        </is>
      </c>
      <c r="V18" s="24" t="n">
        <v>61.2</v>
      </c>
      <c r="W18" s="24" t="n">
        <v>82.40000000000001</v>
      </c>
      <c r="X18" s="24" t="n">
        <v>58</v>
      </c>
      <c r="Y18" s="45">
        <f>ROUND((V18*'Methodology &amp; Assumptions'!$B$6)+(W18*'Methodology &amp; Assumptions'!$B$5)+(X18*'Methodology &amp; Assumptions'!$B$7), 2)</f>
        <v/>
      </c>
    </row>
    <row r="19" ht="19" customHeight="1">
      <c r="A19" s="35" t="n">
        <v>15</v>
      </c>
      <c r="B19" s="35" t="n">
        <v>3015</v>
      </c>
      <c r="C19" s="36" t="inlineStr">
        <is>
          <t>0402115020</t>
        </is>
      </c>
      <c r="D19" s="36" t="inlineStr">
        <is>
          <t>Region IV-A (CALABARZON)</t>
        </is>
      </c>
      <c r="E19" s="36" t="inlineStr">
        <is>
          <t>Cavite</t>
        </is>
      </c>
      <c r="F19" s="36" t="inlineStr">
        <is>
          <t>Naic</t>
        </is>
      </c>
      <c r="G19" s="36" t="inlineStr">
        <is>
          <t>Malainen Bago</t>
        </is>
      </c>
      <c r="H19" s="37" t="n">
        <v>14.307947</v>
      </c>
      <c r="I19" s="37" t="n">
        <v>120.768262</v>
      </c>
      <c r="J19" s="8" t="inlineStr">
        <is>
          <t>U</t>
        </is>
      </c>
      <c r="K19" s="36" t="inlineStr">
        <is>
          <t>Class 1-3 / Urban</t>
        </is>
      </c>
      <c r="L19" s="18" t="n">
        <v>9410</v>
      </c>
      <c r="M19" s="20" t="n">
        <v>4.49</v>
      </c>
      <c r="N19" s="18">
        <f>ROUND(L19/M19, 0)</f>
        <v/>
      </c>
      <c r="O19" s="18">
        <f>ROUND(N19*'Methodology &amp; Assumptions'!$B$8, 0)</f>
        <v/>
      </c>
      <c r="P19" s="8" t="inlineStr">
        <is>
          <t>Band n50 (1.5 GHz, 60 MHz)</t>
        </is>
      </c>
      <c r="Q19" s="38">
        <f>ROUNDUP(O19/'Methodology &amp; Assumptions'!$B$9, 0)</f>
        <v/>
      </c>
      <c r="R19" s="39" t="n">
        <v>1</v>
      </c>
      <c r="S19" s="21" t="n">
        <v>1.57</v>
      </c>
      <c r="T19" s="21" t="n">
        <v>0.17</v>
      </c>
      <c r="U19" s="36" t="inlineStr">
        <is>
          <t>Tier 1B (Micro Drop, 1-3 km)</t>
        </is>
      </c>
      <c r="V19" s="20" t="n">
        <v>69.3</v>
      </c>
      <c r="W19" s="20" t="n">
        <v>100</v>
      </c>
      <c r="X19" s="20" t="n">
        <v>28</v>
      </c>
      <c r="Y19" s="40">
        <f>ROUND((V19*'Methodology &amp; Assumptions'!$B$6)+(W19*'Methodology &amp; Assumptions'!$B$5)+(X19*'Methodology &amp; Assumptions'!$B$7), 2)</f>
        <v/>
      </c>
    </row>
    <row r="20" ht="19" customHeight="1">
      <c r="A20" s="41" t="n">
        <v>16</v>
      </c>
      <c r="B20" s="41" t="n">
        <v>3016</v>
      </c>
      <c r="C20" s="42" t="inlineStr">
        <is>
          <t>0405635009</t>
        </is>
      </c>
      <c r="D20" s="42" t="inlineStr">
        <is>
          <t>Region IV-A (CALABARZON)</t>
        </is>
      </c>
      <c r="E20" s="42" t="inlineStr">
        <is>
          <t>Quezon</t>
        </is>
      </c>
      <c r="F20" s="42" t="inlineStr">
        <is>
          <t>Plaridel</t>
        </is>
      </c>
      <c r="G20" s="42" t="inlineStr">
        <is>
          <t>Paang Bundok</t>
        </is>
      </c>
      <c r="H20" s="43" t="n">
        <v>13.954779</v>
      </c>
      <c r="I20" s="43" t="n">
        <v>122.015584</v>
      </c>
      <c r="J20" s="44" t="inlineStr">
        <is>
          <t>R</t>
        </is>
      </c>
      <c r="K20" s="42" t="inlineStr">
        <is>
          <t>5th</t>
        </is>
      </c>
      <c r="L20" s="23" t="n">
        <v>1028</v>
      </c>
      <c r="M20" s="24" t="n">
        <v>4.59</v>
      </c>
      <c r="N20" s="23">
        <f>ROUND(L20/M20, 0)</f>
        <v/>
      </c>
      <c r="O20" s="23">
        <f>ROUND(N20*'Methodology &amp; Assumptions'!$B$8, 0)</f>
        <v/>
      </c>
      <c r="P20" s="44" t="inlineStr">
        <is>
          <t>Band n50 (1.5 GHz, 60 MHz)</t>
        </is>
      </c>
      <c r="Q20" s="38">
        <f>ROUNDUP(O20/'Methodology &amp; Assumptions'!$B$9, 0)</f>
        <v/>
      </c>
      <c r="R20" s="39" t="n">
        <v>1</v>
      </c>
      <c r="S20" s="25" t="n">
        <v>0.71</v>
      </c>
      <c r="T20" s="25" t="n">
        <v>0.34</v>
      </c>
      <c r="U20" s="42" t="inlineStr">
        <is>
          <t>Tier 1A (Direct Coloc, &lt;1 km)</t>
        </is>
      </c>
      <c r="V20" s="24" t="n">
        <v>88.8</v>
      </c>
      <c r="W20" s="24" t="n">
        <v>41.9</v>
      </c>
      <c r="X20" s="24" t="n">
        <v>73</v>
      </c>
      <c r="Y20" s="45">
        <f>ROUND((V20*'Methodology &amp; Assumptions'!$B$6)+(W20*'Methodology &amp; Assumptions'!$B$5)+(X20*'Methodology &amp; Assumptions'!$B$7), 2)</f>
        <v/>
      </c>
    </row>
    <row r="21" ht="19" customHeight="1">
      <c r="A21" s="35" t="n">
        <v>17</v>
      </c>
      <c r="B21" s="35" t="n">
        <v>3017</v>
      </c>
      <c r="C21" s="36" t="inlineStr">
        <is>
          <t>0402119006</t>
        </is>
      </c>
      <c r="D21" s="36" t="inlineStr">
        <is>
          <t>Region IV-A (CALABARZON)</t>
        </is>
      </c>
      <c r="E21" s="36" t="inlineStr">
        <is>
          <t>Cavite</t>
        </is>
      </c>
      <c r="F21" s="36" t="inlineStr">
        <is>
          <t>City of Tagaytay</t>
        </is>
      </c>
      <c r="G21" s="36" t="inlineStr">
        <is>
          <t>Iruhin West</t>
        </is>
      </c>
      <c r="H21" s="37" t="n">
        <v>14.135235</v>
      </c>
      <c r="I21" s="37" t="n">
        <v>120.997777</v>
      </c>
      <c r="J21" s="8" t="inlineStr">
        <is>
          <t>R</t>
        </is>
      </c>
      <c r="K21" s="36" t="inlineStr">
        <is>
          <t>Class 1-3 / Urban</t>
        </is>
      </c>
      <c r="L21" s="18" t="n">
        <v>3409</v>
      </c>
      <c r="M21" s="20" t="n">
        <v>4.49</v>
      </c>
      <c r="N21" s="18">
        <f>ROUND(L21/M21, 0)</f>
        <v/>
      </c>
      <c r="O21" s="18">
        <f>ROUND(N21*'Methodology &amp; Assumptions'!$B$8, 0)</f>
        <v/>
      </c>
      <c r="P21" s="8" t="inlineStr">
        <is>
          <t>Band n50 (1.5 GHz, 60 MHz)</t>
        </is>
      </c>
      <c r="Q21" s="38">
        <f>ROUNDUP(O21/'Methodology &amp; Assumptions'!$B$9, 0)</f>
        <v/>
      </c>
      <c r="R21" s="39" t="n">
        <v>1</v>
      </c>
      <c r="S21" s="21" t="n">
        <v>2.15</v>
      </c>
      <c r="T21" s="21" t="n">
        <v>1.1</v>
      </c>
      <c r="U21" s="36" t="inlineStr">
        <is>
          <t>Tier 1B (Micro Drop, 1-3 km)</t>
        </is>
      </c>
      <c r="V21" s="20" t="n">
        <v>58.8</v>
      </c>
      <c r="W21" s="20" t="n">
        <v>84.8</v>
      </c>
      <c r="X21" s="20" t="n">
        <v>58</v>
      </c>
      <c r="Y21" s="40">
        <f>ROUND((V21*'Methodology &amp; Assumptions'!$B$6)+(W21*'Methodology &amp; Assumptions'!$B$5)+(X21*'Methodology &amp; Assumptions'!$B$7), 2)</f>
        <v/>
      </c>
    </row>
    <row r="22" ht="19" customHeight="1">
      <c r="A22" s="41" t="n">
        <v>18</v>
      </c>
      <c r="B22" s="41" t="n">
        <v>3018</v>
      </c>
      <c r="C22" s="42" t="inlineStr">
        <is>
          <t>0305412006</t>
        </is>
      </c>
      <c r="D22" s="42" t="inlineStr">
        <is>
          <t>Region III (Central Luzon)</t>
        </is>
      </c>
      <c r="E22" s="42" t="inlineStr">
        <is>
          <t>Pampanga</t>
        </is>
      </c>
      <c r="F22" s="42" t="inlineStr">
        <is>
          <t>Masantol</t>
        </is>
      </c>
      <c r="G22" s="42" t="inlineStr">
        <is>
          <t>Bebe Anac</t>
        </is>
      </c>
      <c r="H22" s="43" t="n">
        <v>14.87735</v>
      </c>
      <c r="I22" s="43" t="n">
        <v>120.707834</v>
      </c>
      <c r="J22" s="44" t="inlineStr">
        <is>
          <t>U</t>
        </is>
      </c>
      <c r="K22" s="42" t="inlineStr">
        <is>
          <t>Class 1-3 / Urban</t>
        </is>
      </c>
      <c r="L22" s="23" t="n">
        <v>6786</v>
      </c>
      <c r="M22" s="24" t="n">
        <v>4.63</v>
      </c>
      <c r="N22" s="23">
        <f>ROUND(L22/M22, 0)</f>
        <v/>
      </c>
      <c r="O22" s="23">
        <f>ROUND(N22*'Methodology &amp; Assumptions'!$B$8, 0)</f>
        <v/>
      </c>
      <c r="P22" s="44" t="inlineStr">
        <is>
          <t>Band n50 (1.5 GHz, 60 MHz)</t>
        </is>
      </c>
      <c r="Q22" s="38">
        <f>ROUNDUP(O22/'Methodology &amp; Assumptions'!$B$9, 0)</f>
        <v/>
      </c>
      <c r="R22" s="39" t="n">
        <v>1</v>
      </c>
      <c r="S22" s="25" t="n">
        <v>1.57</v>
      </c>
      <c r="T22" s="25" t="n">
        <v>1.78</v>
      </c>
      <c r="U22" s="42" t="inlineStr">
        <is>
          <t>Tier 1B (Micro Drop, 1-3 km)</t>
        </is>
      </c>
      <c r="V22" s="24" t="n">
        <v>69.3</v>
      </c>
      <c r="W22" s="24" t="n">
        <v>100</v>
      </c>
      <c r="X22" s="24" t="n">
        <v>28</v>
      </c>
      <c r="Y22" s="45">
        <f>ROUND((V22*'Methodology &amp; Assumptions'!$B$6)+(W22*'Methodology &amp; Assumptions'!$B$5)+(X22*'Methodology &amp; Assumptions'!$B$7), 2)</f>
        <v/>
      </c>
    </row>
    <row r="23" ht="19" customHeight="1">
      <c r="A23" s="35" t="n">
        <v>19</v>
      </c>
      <c r="B23" s="35" t="n">
        <v>3019</v>
      </c>
      <c r="C23" s="36" t="inlineStr">
        <is>
          <t>0501608027</t>
        </is>
      </c>
      <c r="D23" s="36" t="inlineStr">
        <is>
          <t>Region V (Bicol Region)</t>
        </is>
      </c>
      <c r="E23" s="36" t="inlineStr">
        <is>
          <t>Camarines Norte</t>
        </is>
      </c>
      <c r="F23" s="36" t="inlineStr">
        <is>
          <t>Paracale</t>
        </is>
      </c>
      <c r="G23" s="36" t="inlineStr">
        <is>
          <t>Tugos</t>
        </is>
      </c>
      <c r="H23" s="37" t="n">
        <v>14.2712</v>
      </c>
      <c r="I23" s="37" t="n">
        <v>122.7809</v>
      </c>
      <c r="J23" s="8" t="inlineStr">
        <is>
          <t>U</t>
        </is>
      </c>
      <c r="K23" s="36" t="inlineStr">
        <is>
          <t>Class 1-3 / Urban</t>
        </is>
      </c>
      <c r="L23" s="18" t="n">
        <v>6294</v>
      </c>
      <c r="M23" s="20" t="n">
        <v>4.4</v>
      </c>
      <c r="N23" s="18">
        <f>ROUND(L23/M23, 0)</f>
        <v/>
      </c>
      <c r="O23" s="18">
        <f>ROUND(N23*'Methodology &amp; Assumptions'!$B$8, 0)</f>
        <v/>
      </c>
      <c r="P23" s="8" t="inlineStr">
        <is>
          <t>Band n50 (1.5 GHz, 60 MHz)</t>
        </is>
      </c>
      <c r="Q23" s="38">
        <f>ROUNDUP(O23/'Methodology &amp; Assumptions'!$B$9, 0)</f>
        <v/>
      </c>
      <c r="R23" s="39" t="n">
        <v>1</v>
      </c>
      <c r="S23" s="21" t="n">
        <v>1.1</v>
      </c>
      <c r="T23" s="21" t="n">
        <v>8.380000000000001</v>
      </c>
      <c r="U23" s="36" t="inlineStr">
        <is>
          <t>Tier 1B (Micro Drop, 1-3 km)</t>
        </is>
      </c>
      <c r="V23" s="20" t="n">
        <v>69.3</v>
      </c>
      <c r="W23" s="20" t="n">
        <v>100</v>
      </c>
      <c r="X23" s="20" t="n">
        <v>28</v>
      </c>
      <c r="Y23" s="40">
        <f>ROUND((V23*'Methodology &amp; Assumptions'!$B$6)+(W23*'Methodology &amp; Assumptions'!$B$5)+(X23*'Methodology &amp; Assumptions'!$B$7), 2)</f>
        <v/>
      </c>
    </row>
    <row r="24" ht="19" customHeight="1">
      <c r="A24" s="41" t="n">
        <v>20</v>
      </c>
      <c r="B24" s="41" t="n">
        <v>3020</v>
      </c>
      <c r="C24" s="42" t="inlineStr">
        <is>
          <t>0105547006</t>
        </is>
      </c>
      <c r="D24" s="42" t="inlineStr">
        <is>
          <t>Region I (Ilocos Region)</t>
        </is>
      </c>
      <c r="E24" s="42" t="inlineStr">
        <is>
          <t>Pangasinan</t>
        </is>
      </c>
      <c r="F24" s="42" t="inlineStr">
        <is>
          <t>Villasis</t>
        </is>
      </c>
      <c r="G24" s="42" t="inlineStr">
        <is>
          <t>Caramutan</t>
        </is>
      </c>
      <c r="H24" s="43" t="n">
        <v>15.912705</v>
      </c>
      <c r="I24" s="43" t="n">
        <v>120.608483</v>
      </c>
      <c r="J24" s="44" t="inlineStr">
        <is>
          <t>R</t>
        </is>
      </c>
      <c r="K24" s="42" t="inlineStr">
        <is>
          <t>Class 1-3 / Urban</t>
        </is>
      </c>
      <c r="L24" s="23" t="n">
        <v>3882</v>
      </c>
      <c r="M24" s="24" t="n">
        <v>4.39</v>
      </c>
      <c r="N24" s="23">
        <f>ROUND(L24/M24, 0)</f>
        <v/>
      </c>
      <c r="O24" s="23">
        <f>ROUND(N24*'Methodology &amp; Assumptions'!$B$8, 0)</f>
        <v/>
      </c>
      <c r="P24" s="44" t="inlineStr">
        <is>
          <t>Band n50 (1.5 GHz, 60 MHz)</t>
        </is>
      </c>
      <c r="Q24" s="38">
        <f>ROUNDUP(O24/'Methodology &amp; Assumptions'!$B$9, 0)</f>
        <v/>
      </c>
      <c r="R24" s="39" t="n">
        <v>1</v>
      </c>
      <c r="S24" s="25" t="n">
        <v>3.06</v>
      </c>
      <c r="T24" s="25" t="n">
        <v>2.11</v>
      </c>
      <c r="U24" s="42" t="inlineStr">
        <is>
          <t>Tier 2 (Fiber Corridor / Lateral, 3-5 km)</t>
        </is>
      </c>
      <c r="V24" s="24" t="n">
        <v>36</v>
      </c>
      <c r="W24" s="24" t="n">
        <v>94.7</v>
      </c>
      <c r="X24" s="24" t="n">
        <v>73</v>
      </c>
      <c r="Y24" s="45">
        <f>ROUND((V24*'Methodology &amp; Assumptions'!$B$6)+(W24*'Methodology &amp; Assumptions'!$B$5)+(X24*'Methodology &amp; Assumptions'!$B$7), 2)</f>
        <v/>
      </c>
    </row>
    <row r="25" ht="19" customHeight="1">
      <c r="A25" s="35" t="n">
        <v>21</v>
      </c>
      <c r="B25" s="35" t="n">
        <v>3021</v>
      </c>
      <c r="C25" s="36" t="inlineStr">
        <is>
          <t>0201528005</t>
        </is>
      </c>
      <c r="D25" s="36" t="inlineStr">
        <is>
          <t>Region II (Cagayan Valley)</t>
        </is>
      </c>
      <c r="E25" s="36" t="inlineStr">
        <is>
          <t>Cagayan</t>
        </is>
      </c>
      <c r="F25" s="36" t="inlineStr">
        <is>
          <t>Tuao</t>
        </is>
      </c>
      <c r="G25" s="36" t="inlineStr">
        <is>
          <t>Bagumbayan</t>
        </is>
      </c>
      <c r="H25" s="37" t="n">
        <v>17.7085</v>
      </c>
      <c r="I25" s="37" t="n">
        <v>121.4446</v>
      </c>
      <c r="J25" s="8" t="inlineStr">
        <is>
          <t>R</t>
        </is>
      </c>
      <c r="K25" s="36" t="inlineStr">
        <is>
          <t>Class 1-3 / Urban</t>
        </is>
      </c>
      <c r="L25" s="18" t="n">
        <v>4473</v>
      </c>
      <c r="M25" s="20" t="n">
        <v>4.38</v>
      </c>
      <c r="N25" s="18">
        <f>ROUND(L25/M25, 0)</f>
        <v/>
      </c>
      <c r="O25" s="18">
        <f>ROUND(N25*'Methodology &amp; Assumptions'!$B$8, 0)</f>
        <v/>
      </c>
      <c r="P25" s="8" t="inlineStr">
        <is>
          <t>Band n50 (1.5 GHz, 60 MHz)</t>
        </is>
      </c>
      <c r="Q25" s="38">
        <f>ROUNDUP(O25/'Methodology &amp; Assumptions'!$B$9, 0)</f>
        <v/>
      </c>
      <c r="R25" s="39" t="n">
        <v>1</v>
      </c>
      <c r="S25" s="21" t="n">
        <v>3.28</v>
      </c>
      <c r="T25" s="21" t="n">
        <v>1.44</v>
      </c>
      <c r="U25" s="36" t="inlineStr">
        <is>
          <t>Tier 2 (Fiber Corridor / Lateral, 3-5 km)</t>
        </is>
      </c>
      <c r="V25" s="20" t="n">
        <v>43.6</v>
      </c>
      <c r="W25" s="20" t="n">
        <v>100</v>
      </c>
      <c r="X25" s="20" t="n">
        <v>58</v>
      </c>
      <c r="Y25" s="40">
        <f>ROUND((V25*'Methodology &amp; Assumptions'!$B$6)+(W25*'Methodology &amp; Assumptions'!$B$5)+(X25*'Methodology &amp; Assumptions'!$B$7), 2)</f>
        <v/>
      </c>
    </row>
    <row r="26" ht="19" customHeight="1">
      <c r="A26" s="41" t="n">
        <v>22</v>
      </c>
      <c r="B26" s="41" t="n">
        <v>3022</v>
      </c>
      <c r="C26" s="42" t="inlineStr">
        <is>
          <t>0803739015</t>
        </is>
      </c>
      <c r="D26" s="42" t="inlineStr">
        <is>
          <t>Region VIII (Eastern Visayas)</t>
        </is>
      </c>
      <c r="E26" s="42" t="inlineStr">
        <is>
          <t>Leyte</t>
        </is>
      </c>
      <c r="F26" s="42" t="inlineStr">
        <is>
          <t>Palo</t>
        </is>
      </c>
      <c r="G26" s="42" t="inlineStr">
        <is>
          <t>Gacao</t>
        </is>
      </c>
      <c r="H26" s="43" t="n">
        <v>11.153706</v>
      </c>
      <c r="I26" s="43" t="n">
        <v>124.977422</v>
      </c>
      <c r="J26" s="44" t="inlineStr">
        <is>
          <t>R</t>
        </is>
      </c>
      <c r="K26" s="42" t="inlineStr">
        <is>
          <t>Class 1-3 / Urban</t>
        </is>
      </c>
      <c r="L26" s="23" t="n">
        <v>3528</v>
      </c>
      <c r="M26" s="24" t="n">
        <v>4.24</v>
      </c>
      <c r="N26" s="23">
        <f>ROUND(L26/M26, 0)</f>
        <v/>
      </c>
      <c r="O26" s="23">
        <f>ROUND(N26*'Methodology &amp; Assumptions'!$B$8, 0)</f>
        <v/>
      </c>
      <c r="P26" s="44" t="inlineStr">
        <is>
          <t>Band n50 (1.5 GHz, 60 MHz)</t>
        </is>
      </c>
      <c r="Q26" s="38">
        <f>ROUNDUP(O26/'Methodology &amp; Assumptions'!$B$9, 0)</f>
        <v/>
      </c>
      <c r="R26" s="39" t="n">
        <v>1</v>
      </c>
      <c r="S26" s="25" t="n">
        <v>2.54</v>
      </c>
      <c r="T26" s="25" t="n">
        <v>1.29</v>
      </c>
      <c r="U26" s="42" t="inlineStr">
        <is>
          <t>Tier 1B (Micro Drop, 1-3 km)</t>
        </is>
      </c>
      <c r="V26" s="24" t="n">
        <v>52.9</v>
      </c>
      <c r="W26" s="24" t="n">
        <v>90.7</v>
      </c>
      <c r="X26" s="24" t="n">
        <v>58</v>
      </c>
      <c r="Y26" s="45">
        <f>ROUND((V26*'Methodology &amp; Assumptions'!$B$6)+(W26*'Methodology &amp; Assumptions'!$B$5)+(X26*'Methodology &amp; Assumptions'!$B$7), 2)</f>
        <v/>
      </c>
    </row>
    <row r="27" ht="19" customHeight="1">
      <c r="A27" s="35" t="n">
        <v>23</v>
      </c>
      <c r="B27" s="35" t="n">
        <v>3023</v>
      </c>
      <c r="C27" s="36" t="inlineStr">
        <is>
          <t>0405629014</t>
        </is>
      </c>
      <c r="D27" s="36" t="inlineStr">
        <is>
          <t>Region IV-A (CALABARZON)</t>
        </is>
      </c>
      <c r="E27" s="36" t="inlineStr">
        <is>
          <t>Quezon</t>
        </is>
      </c>
      <c r="F27" s="36" t="inlineStr">
        <is>
          <t>Padre Burgos</t>
        </is>
      </c>
      <c r="G27" s="36" t="inlineStr">
        <is>
          <t>Punta</t>
        </is>
      </c>
      <c r="H27" s="37" t="n">
        <v>13.918915</v>
      </c>
      <c r="I27" s="37" t="n">
        <v>121.814849</v>
      </c>
      <c r="J27" s="8" t="inlineStr">
        <is>
          <t>R</t>
        </is>
      </c>
      <c r="K27" s="36" t="inlineStr">
        <is>
          <t>4th</t>
        </is>
      </c>
      <c r="L27" s="18" t="n">
        <v>680</v>
      </c>
      <c r="M27" s="20" t="n">
        <v>4.33</v>
      </c>
      <c r="N27" s="18">
        <f>ROUND(L27/M27, 0)</f>
        <v/>
      </c>
      <c r="O27" s="18">
        <f>ROUND(N27*'Methodology &amp; Assumptions'!$B$8, 0)</f>
        <v/>
      </c>
      <c r="P27" s="8" t="inlineStr">
        <is>
          <t>Band n50 (1.5 GHz, 60 MHz)</t>
        </is>
      </c>
      <c r="Q27" s="38">
        <f>ROUNDUP(O27/'Methodology &amp; Assumptions'!$B$9, 0)</f>
        <v/>
      </c>
      <c r="R27" s="39" t="n">
        <v>1</v>
      </c>
      <c r="S27" s="21" t="n">
        <v>0.38</v>
      </c>
      <c r="T27" s="21" t="n">
        <v>0.17</v>
      </c>
      <c r="U27" s="36" t="inlineStr">
        <is>
          <t>Tier 1A (Direct Coloc, &lt;1 km)</t>
        </is>
      </c>
      <c r="V27" s="20" t="n">
        <v>98</v>
      </c>
      <c r="W27" s="20" t="n">
        <v>36.5</v>
      </c>
      <c r="X27" s="20" t="n">
        <v>68.5</v>
      </c>
      <c r="Y27" s="40">
        <f>ROUND((V27*'Methodology &amp; Assumptions'!$B$6)+(W27*'Methodology &amp; Assumptions'!$B$5)+(X27*'Methodology &amp; Assumptions'!$B$7), 2)</f>
        <v/>
      </c>
    </row>
    <row r="28" ht="19" customHeight="1">
      <c r="A28" s="41" t="n">
        <v>24</v>
      </c>
      <c r="B28" s="41" t="n">
        <v>3024</v>
      </c>
      <c r="C28" s="42" t="inlineStr">
        <is>
          <t>0405620010</t>
        </is>
      </c>
      <c r="D28" s="42" t="inlineStr">
        <is>
          <t>Region IV-A (CALABARZON)</t>
        </is>
      </c>
      <c r="E28" s="42" t="inlineStr">
        <is>
          <t>Quezon</t>
        </is>
      </c>
      <c r="F28" s="42" t="inlineStr">
        <is>
          <t>Infanta</t>
        </is>
      </c>
      <c r="G28" s="42" t="inlineStr">
        <is>
          <t>Banugao</t>
        </is>
      </c>
      <c r="H28" s="43" t="n">
        <v>14.74663</v>
      </c>
      <c r="I28" s="43" t="n">
        <v>121.62008</v>
      </c>
      <c r="J28" s="44" t="inlineStr">
        <is>
          <t>R</t>
        </is>
      </c>
      <c r="K28" s="42" t="inlineStr">
        <is>
          <t>Class 1-3 / Urban</t>
        </is>
      </c>
      <c r="L28" s="23" t="n">
        <v>2809</v>
      </c>
      <c r="M28" s="24" t="n">
        <v>4.46</v>
      </c>
      <c r="N28" s="23">
        <f>ROUND(L28/M28, 0)</f>
        <v/>
      </c>
      <c r="O28" s="23">
        <f>ROUND(N28*'Methodology &amp; Assumptions'!$B$8, 0)</f>
        <v/>
      </c>
      <c r="P28" s="44" t="inlineStr">
        <is>
          <t>Band n50 (1.5 GHz, 60 MHz)</t>
        </is>
      </c>
      <c r="Q28" s="38">
        <f>ROUNDUP(O28/'Methodology &amp; Assumptions'!$B$9, 0)</f>
        <v/>
      </c>
      <c r="R28" s="39" t="n">
        <v>1</v>
      </c>
      <c r="S28" s="25" t="n">
        <v>1.11</v>
      </c>
      <c r="T28" s="25" t="n">
        <v>39.15</v>
      </c>
      <c r="U28" s="42" t="inlineStr">
        <is>
          <t>Tier 1B (Micro Drop, 1-3 km)</t>
        </is>
      </c>
      <c r="V28" s="24" t="n">
        <v>69.09999999999999</v>
      </c>
      <c r="W28" s="24" t="n">
        <v>74.40000000000001</v>
      </c>
      <c r="X28" s="24" t="n">
        <v>58</v>
      </c>
      <c r="Y28" s="45">
        <f>ROUND((V28*'Methodology &amp; Assumptions'!$B$6)+(W28*'Methodology &amp; Assumptions'!$B$5)+(X28*'Methodology &amp; Assumptions'!$B$7), 2)</f>
        <v/>
      </c>
    </row>
    <row r="29" ht="19" customHeight="1">
      <c r="A29" s="35" t="n">
        <v>25</v>
      </c>
      <c r="B29" s="35" t="n">
        <v>3025</v>
      </c>
      <c r="C29" s="36" t="inlineStr">
        <is>
          <t>0401001016</t>
        </is>
      </c>
      <c r="D29" s="36" t="inlineStr">
        <is>
          <t>Region IV-A (CALABARZON)</t>
        </is>
      </c>
      <c r="E29" s="36" t="inlineStr">
        <is>
          <t>Batangas</t>
        </is>
      </c>
      <c r="F29" s="36" t="inlineStr">
        <is>
          <t>Agoncillo</t>
        </is>
      </c>
      <c r="G29" s="36" t="inlineStr">
        <is>
          <t>Pook</t>
        </is>
      </c>
      <c r="H29" s="37" t="n">
        <v>13.930111</v>
      </c>
      <c r="I29" s="37" t="n">
        <v>120.93025</v>
      </c>
      <c r="J29" s="8" t="inlineStr">
        <is>
          <t>R</t>
        </is>
      </c>
      <c r="K29" s="36" t="inlineStr">
        <is>
          <t>2nd</t>
        </is>
      </c>
      <c r="L29" s="18" t="n">
        <v>2798</v>
      </c>
      <c r="M29" s="20" t="n">
        <v>4.86</v>
      </c>
      <c r="N29" s="18">
        <f>ROUND(L29/M29, 0)</f>
        <v/>
      </c>
      <c r="O29" s="18">
        <f>ROUND(N29*'Methodology &amp; Assumptions'!$B$8, 0)</f>
        <v/>
      </c>
      <c r="P29" s="8" t="inlineStr">
        <is>
          <t>Band n50 (1.5 GHz, 60 MHz)</t>
        </is>
      </c>
      <c r="Q29" s="38">
        <f>ROUNDUP(O29/'Methodology &amp; Assumptions'!$B$9, 0)</f>
        <v/>
      </c>
      <c r="R29" s="39" t="n">
        <v>1</v>
      </c>
      <c r="S29" s="21" t="n">
        <v>0.93</v>
      </c>
      <c r="T29" s="21" t="n">
        <v>3.72</v>
      </c>
      <c r="U29" s="36" t="inlineStr">
        <is>
          <t>Tier 1A (Direct Coloc, &lt;1 km)</t>
        </is>
      </c>
      <c r="V29" s="20" t="n">
        <v>73.40000000000001</v>
      </c>
      <c r="W29" s="20" t="n">
        <v>70.09999999999999</v>
      </c>
      <c r="X29" s="20" t="n">
        <v>58</v>
      </c>
      <c r="Y29" s="40">
        <f>ROUND((V29*'Methodology &amp; Assumptions'!$B$6)+(W29*'Methodology &amp; Assumptions'!$B$5)+(X29*'Methodology &amp; Assumptions'!$B$7), 2)</f>
        <v/>
      </c>
    </row>
    <row r="30" ht="19" customHeight="1">
      <c r="A30" s="41" t="n">
        <v>26</v>
      </c>
      <c r="B30" s="41" t="n">
        <v>3026</v>
      </c>
      <c r="C30" s="42" t="inlineStr">
        <is>
          <t>0203137033</t>
        </is>
      </c>
      <c r="D30" s="42" t="inlineStr">
        <is>
          <t>Region II (Cagayan Valley)</t>
        </is>
      </c>
      <c r="E30" s="42" t="inlineStr">
        <is>
          <t>Isabela</t>
        </is>
      </c>
      <c r="F30" s="42" t="inlineStr">
        <is>
          <t>Tumauini</t>
        </is>
      </c>
      <c r="G30" s="42" t="inlineStr">
        <is>
          <t>Namnama</t>
        </is>
      </c>
      <c r="H30" s="43" t="n">
        <v>17.290914</v>
      </c>
      <c r="I30" s="43" t="n">
        <v>121.869627</v>
      </c>
      <c r="J30" s="44" t="inlineStr">
        <is>
          <t>R</t>
        </is>
      </c>
      <c r="K30" s="42" t="inlineStr">
        <is>
          <t>Class 1-3 / Urban</t>
        </is>
      </c>
      <c r="L30" s="23" t="n">
        <v>1614</v>
      </c>
      <c r="M30" s="24" t="n">
        <v>4.3</v>
      </c>
      <c r="N30" s="23">
        <f>ROUND(L30/M30, 0)</f>
        <v/>
      </c>
      <c r="O30" s="23">
        <f>ROUND(N30*'Methodology &amp; Assumptions'!$B$8, 0)</f>
        <v/>
      </c>
      <c r="P30" s="44" t="inlineStr">
        <is>
          <t>Band n50 (1.5 GHz, 60 MHz)</t>
        </is>
      </c>
      <c r="Q30" s="38">
        <f>ROUNDUP(O30/'Methodology &amp; Assumptions'!$B$9, 0)</f>
        <v/>
      </c>
      <c r="R30" s="39" t="n">
        <v>1</v>
      </c>
      <c r="S30" s="25" t="n">
        <v>0.33</v>
      </c>
      <c r="T30" s="25" t="n">
        <v>4.76</v>
      </c>
      <c r="U30" s="42" t="inlineStr">
        <is>
          <t>Tier 1A (Direct Coloc, &lt;1 km)</t>
        </is>
      </c>
      <c r="V30" s="24" t="n">
        <v>89.7</v>
      </c>
      <c r="W30" s="24" t="n">
        <v>53.9</v>
      </c>
      <c r="X30" s="24" t="n">
        <v>58</v>
      </c>
      <c r="Y30" s="45">
        <f>ROUND((V30*'Methodology &amp; Assumptions'!$B$6)+(W30*'Methodology &amp; Assumptions'!$B$5)+(X30*'Methodology &amp; Assumptions'!$B$7), 2)</f>
        <v/>
      </c>
    </row>
    <row r="31" ht="19" customHeight="1">
      <c r="A31" s="35" t="n">
        <v>27</v>
      </c>
      <c r="B31" s="35" t="n">
        <v>3027</v>
      </c>
      <c r="C31" s="36" t="inlineStr">
        <is>
          <t>0201529017</t>
        </is>
      </c>
      <c r="D31" s="36" t="inlineStr">
        <is>
          <t>Region II (Cagayan Valley)</t>
        </is>
      </c>
      <c r="E31" s="36" t="inlineStr">
        <is>
          <t>Cagayan</t>
        </is>
      </c>
      <c r="F31" s="36" t="inlineStr">
        <is>
          <t>Tuguegarao City</t>
        </is>
      </c>
      <c r="G31" s="36" t="inlineStr">
        <is>
          <t>Capatan</t>
        </is>
      </c>
      <c r="H31" s="37" t="n">
        <v>17.6163</v>
      </c>
      <c r="I31" s="37" t="n">
        <v>121.7464</v>
      </c>
      <c r="J31" s="8" t="inlineStr">
        <is>
          <t>R</t>
        </is>
      </c>
      <c r="K31" s="36" t="inlineStr">
        <is>
          <t>Class 1-3 / Urban</t>
        </is>
      </c>
      <c r="L31" s="18" t="n">
        <v>3794</v>
      </c>
      <c r="M31" s="20" t="n">
        <v>4.38</v>
      </c>
      <c r="N31" s="18">
        <f>ROUND(L31/M31, 0)</f>
        <v/>
      </c>
      <c r="O31" s="18">
        <f>ROUND(N31*'Methodology &amp; Assumptions'!$B$8, 0)</f>
        <v/>
      </c>
      <c r="P31" s="8" t="inlineStr">
        <is>
          <t>Band n50 (1.5 GHz, 60 MHz)</t>
        </is>
      </c>
      <c r="Q31" s="38">
        <f>ROUNDUP(O31/'Methodology &amp; Assumptions'!$B$9, 0)</f>
        <v/>
      </c>
      <c r="R31" s="39" t="n">
        <v>1</v>
      </c>
      <c r="S31" s="21" t="n">
        <v>3.9</v>
      </c>
      <c r="T31" s="21" t="n">
        <v>0.6899999999999999</v>
      </c>
      <c r="U31" s="36" t="inlineStr">
        <is>
          <t>Tier 2 (Fiber Corridor / Lateral, 3-5 km)</t>
        </is>
      </c>
      <c r="V31" s="20" t="n">
        <v>37.3</v>
      </c>
      <c r="W31" s="20" t="n">
        <v>93.3</v>
      </c>
      <c r="X31" s="20" t="n">
        <v>73</v>
      </c>
      <c r="Y31" s="40">
        <f>ROUND((V31*'Methodology &amp; Assumptions'!$B$6)+(W31*'Methodology &amp; Assumptions'!$B$5)+(X31*'Methodology &amp; Assumptions'!$B$7), 2)</f>
        <v/>
      </c>
    </row>
    <row r="32" ht="19" customHeight="1">
      <c r="A32" s="41" t="n">
        <v>28</v>
      </c>
      <c r="B32" s="41" t="n">
        <v>3028</v>
      </c>
      <c r="C32" s="42" t="inlineStr">
        <is>
          <t>0203126030</t>
        </is>
      </c>
      <c r="D32" s="42" t="inlineStr">
        <is>
          <t>Region II (Cagayan Valley)</t>
        </is>
      </c>
      <c r="E32" s="42" t="inlineStr">
        <is>
          <t>Isabela</t>
        </is>
      </c>
      <c r="F32" s="42" t="inlineStr">
        <is>
          <t>Roxas</t>
        </is>
      </c>
      <c r="G32" s="42" t="inlineStr">
        <is>
          <t>Muñoz West</t>
        </is>
      </c>
      <c r="H32" s="43" t="n">
        <v>17.157747</v>
      </c>
      <c r="I32" s="43" t="n">
        <v>121.612297</v>
      </c>
      <c r="J32" s="44" t="inlineStr">
        <is>
          <t>R</t>
        </is>
      </c>
      <c r="K32" s="42" t="inlineStr">
        <is>
          <t>Class 1-3 / Urban</t>
        </is>
      </c>
      <c r="L32" s="23" t="n">
        <v>3694</v>
      </c>
      <c r="M32" s="24" t="n">
        <v>4.3</v>
      </c>
      <c r="N32" s="23">
        <f>ROUND(L32/M32, 0)</f>
        <v/>
      </c>
      <c r="O32" s="23">
        <f>ROUND(N32*'Methodology &amp; Assumptions'!$B$8, 0)</f>
        <v/>
      </c>
      <c r="P32" s="44" t="inlineStr">
        <is>
          <t>Band n50 (1.5 GHz, 60 MHz)</t>
        </is>
      </c>
      <c r="Q32" s="38">
        <f>ROUNDUP(O32/'Methodology &amp; Assumptions'!$B$9, 0)</f>
        <v/>
      </c>
      <c r="R32" s="39" t="n">
        <v>1</v>
      </c>
      <c r="S32" s="25" t="n">
        <v>2.7</v>
      </c>
      <c r="T32" s="25" t="n">
        <v>0.33</v>
      </c>
      <c r="U32" s="42" t="inlineStr">
        <is>
          <t>Tier 1B (Micro Drop, 1-3 km)</t>
        </is>
      </c>
      <c r="V32" s="24" t="n">
        <v>50.7</v>
      </c>
      <c r="W32" s="24" t="n">
        <v>92.8</v>
      </c>
      <c r="X32" s="24" t="n">
        <v>58</v>
      </c>
      <c r="Y32" s="45">
        <f>ROUND((V32*'Methodology &amp; Assumptions'!$B$6)+(W32*'Methodology &amp; Assumptions'!$B$5)+(X32*'Methodology &amp; Assumptions'!$B$7), 2)</f>
        <v/>
      </c>
    </row>
    <row r="33" ht="19" customHeight="1">
      <c r="A33" s="35" t="n">
        <v>29</v>
      </c>
      <c r="B33" s="35" t="n">
        <v>3029</v>
      </c>
      <c r="C33" s="36" t="inlineStr">
        <is>
          <t>0402115026</t>
        </is>
      </c>
      <c r="D33" s="36" t="inlineStr">
        <is>
          <t>Region IV-A (CALABARZON)</t>
        </is>
      </c>
      <c r="E33" s="36" t="inlineStr">
        <is>
          <t>Cavite</t>
        </is>
      </c>
      <c r="F33" s="36" t="inlineStr">
        <is>
          <t>Naic</t>
        </is>
      </c>
      <c r="G33" s="36" t="inlineStr">
        <is>
          <t>Sabang</t>
        </is>
      </c>
      <c r="H33" s="37" t="n">
        <v>14.313689</v>
      </c>
      <c r="I33" s="37" t="n">
        <v>120.794516</v>
      </c>
      <c r="J33" s="8" t="inlineStr">
        <is>
          <t>U</t>
        </is>
      </c>
      <c r="K33" s="36" t="inlineStr">
        <is>
          <t>Class 1-3 / Urban</t>
        </is>
      </c>
      <c r="L33" s="18" t="n">
        <v>21938</v>
      </c>
      <c r="M33" s="20" t="n">
        <v>4.49</v>
      </c>
      <c r="N33" s="18">
        <f>ROUND(L33/M33, 0)</f>
        <v/>
      </c>
      <c r="O33" s="18">
        <f>ROUND(N33*'Methodology &amp; Assumptions'!$B$8, 0)</f>
        <v/>
      </c>
      <c r="P33" s="8" t="inlineStr">
        <is>
          <t>Band n50 (1.5 GHz, 60 MHz)</t>
        </is>
      </c>
      <c r="Q33" s="38">
        <f>ROUNDUP(O33/'Methodology &amp; Assumptions'!$B$9, 0)</f>
        <v/>
      </c>
      <c r="R33" s="39" t="n">
        <v>1</v>
      </c>
      <c r="S33" s="21" t="n">
        <v>1.57</v>
      </c>
      <c r="T33" s="21" t="n">
        <v>0.33</v>
      </c>
      <c r="U33" s="36" t="inlineStr">
        <is>
          <t>Tier 1B (Micro Drop, 1-3 km)</t>
        </is>
      </c>
      <c r="V33" s="20" t="n">
        <v>69.2</v>
      </c>
      <c r="W33" s="20" t="n">
        <v>100</v>
      </c>
      <c r="X33" s="20" t="n">
        <v>28</v>
      </c>
      <c r="Y33" s="40">
        <f>ROUND((V33*'Methodology &amp; Assumptions'!$B$6)+(W33*'Methodology &amp; Assumptions'!$B$5)+(X33*'Methodology &amp; Assumptions'!$B$7), 2)</f>
        <v/>
      </c>
    </row>
    <row r="34" ht="19" customHeight="1">
      <c r="A34" s="41" t="n">
        <v>30</v>
      </c>
      <c r="B34" s="41" t="n">
        <v>3030</v>
      </c>
      <c r="C34" s="42" t="inlineStr">
        <is>
          <t>0305417004</t>
        </is>
      </c>
      <c r="D34" s="42" t="inlineStr">
        <is>
          <t>Region III (Central Luzon)</t>
        </is>
      </c>
      <c r="E34" s="42" t="inlineStr">
        <is>
          <t>Pampanga</t>
        </is>
      </c>
      <c r="F34" s="42" t="inlineStr">
        <is>
          <t>San Luis</t>
        </is>
      </c>
      <c r="G34" s="42" t="inlineStr">
        <is>
          <t>San Jose</t>
        </is>
      </c>
      <c r="H34" s="43" t="n">
        <v>15.003166</v>
      </c>
      <c r="I34" s="43" t="n">
        <v>120.867852</v>
      </c>
      <c r="J34" s="44" t="inlineStr">
        <is>
          <t>U</t>
        </is>
      </c>
      <c r="K34" s="42" t="inlineStr">
        <is>
          <t>Class 1-3 / Urban</t>
        </is>
      </c>
      <c r="L34" s="23" t="n">
        <v>7384</v>
      </c>
      <c r="M34" s="24" t="n">
        <v>4.63</v>
      </c>
      <c r="N34" s="23">
        <f>ROUND(L34/M34, 0)</f>
        <v/>
      </c>
      <c r="O34" s="23">
        <f>ROUND(N34*'Methodology &amp; Assumptions'!$B$8, 0)</f>
        <v/>
      </c>
      <c r="P34" s="44" t="inlineStr">
        <is>
          <t>Band n50 (1.5 GHz, 60 MHz)</t>
        </is>
      </c>
      <c r="Q34" s="38">
        <f>ROUNDUP(O34/'Methodology &amp; Assumptions'!$B$9, 0)</f>
        <v/>
      </c>
      <c r="R34" s="39" t="n">
        <v>1</v>
      </c>
      <c r="S34" s="25" t="n">
        <v>1.57</v>
      </c>
      <c r="T34" s="25" t="n">
        <v>1.56</v>
      </c>
      <c r="U34" s="42" t="inlineStr">
        <is>
          <t>Tier 1B (Micro Drop, 1-3 km)</t>
        </is>
      </c>
      <c r="V34" s="24" t="n">
        <v>69.2</v>
      </c>
      <c r="W34" s="24" t="n">
        <v>100</v>
      </c>
      <c r="X34" s="24" t="n">
        <v>28</v>
      </c>
      <c r="Y34" s="45">
        <f>ROUND((V34*'Methodology &amp; Assumptions'!$B$6)+(W34*'Methodology &amp; Assumptions'!$B$5)+(X34*'Methodology &amp; Assumptions'!$B$7), 2)</f>
        <v/>
      </c>
    </row>
    <row r="35" ht="19" customHeight="1">
      <c r="A35" s="35" t="n">
        <v>31</v>
      </c>
      <c r="B35" s="35" t="n">
        <v>3031</v>
      </c>
      <c r="C35" s="36" t="inlineStr">
        <is>
          <t>0401023008</t>
        </is>
      </c>
      <c r="D35" s="36" t="inlineStr">
        <is>
          <t>Region IV-A (CALABARZON)</t>
        </is>
      </c>
      <c r="E35" s="36" t="inlineStr">
        <is>
          <t>Batangas</t>
        </is>
      </c>
      <c r="F35" s="36" t="inlineStr">
        <is>
          <t>San Juan</t>
        </is>
      </c>
      <c r="G35" s="36" t="inlineStr">
        <is>
          <t>Calitcalit</t>
        </is>
      </c>
      <c r="H35" s="37" t="n">
        <v>13.826951</v>
      </c>
      <c r="I35" s="37" t="n">
        <v>121.411071</v>
      </c>
      <c r="J35" s="8" t="inlineStr">
        <is>
          <t>U</t>
        </is>
      </c>
      <c r="K35" s="36" t="inlineStr">
        <is>
          <t>Class 1-3 / Urban</t>
        </is>
      </c>
      <c r="L35" s="18" t="n">
        <v>4762</v>
      </c>
      <c r="M35" s="20" t="n">
        <v>4.62</v>
      </c>
      <c r="N35" s="18">
        <f>ROUND(L35/M35, 0)</f>
        <v/>
      </c>
      <c r="O35" s="18">
        <f>ROUND(N35*'Methodology &amp; Assumptions'!$B$8, 0)</f>
        <v/>
      </c>
      <c r="P35" s="8" t="inlineStr">
        <is>
          <t>Band n50 (1.5 GHz, 60 MHz)</t>
        </is>
      </c>
      <c r="Q35" s="38">
        <f>ROUNDUP(O35/'Methodology &amp; Assumptions'!$B$9, 0)</f>
        <v/>
      </c>
      <c r="R35" s="39" t="n">
        <v>1</v>
      </c>
      <c r="S35" s="21" t="n">
        <v>1.57</v>
      </c>
      <c r="T35" s="21" t="n">
        <v>0.16</v>
      </c>
      <c r="U35" s="36" t="inlineStr">
        <is>
          <t>Tier 1B (Micro Drop, 1-3 km)</t>
        </is>
      </c>
      <c r="V35" s="20" t="n">
        <v>69.2</v>
      </c>
      <c r="W35" s="20" t="n">
        <v>100</v>
      </c>
      <c r="X35" s="20" t="n">
        <v>28</v>
      </c>
      <c r="Y35" s="40">
        <f>ROUND((V35*'Methodology &amp; Assumptions'!$B$6)+(W35*'Methodology &amp; Assumptions'!$B$5)+(X35*'Methodology &amp; Assumptions'!$B$7), 2)</f>
        <v/>
      </c>
    </row>
    <row r="36" ht="19" customHeight="1">
      <c r="A36" s="41" t="n">
        <v>32</v>
      </c>
      <c r="B36" s="41" t="n">
        <v>3032</v>
      </c>
      <c r="C36" s="42" t="inlineStr">
        <is>
          <t>0300811022</t>
        </is>
      </c>
      <c r="D36" s="42" t="inlineStr">
        <is>
          <t>Region III (Central Luzon)</t>
        </is>
      </c>
      <c r="E36" s="42" t="inlineStr">
        <is>
          <t>Bataan</t>
        </is>
      </c>
      <c r="F36" s="42" t="inlineStr">
        <is>
          <t>Pilar</t>
        </is>
      </c>
      <c r="G36" s="42" t="inlineStr">
        <is>
          <t>Rizal</t>
        </is>
      </c>
      <c r="H36" s="43" t="n">
        <v>14.866531</v>
      </c>
      <c r="I36" s="43" t="n">
        <v>120.468507</v>
      </c>
      <c r="J36" s="44" t="inlineStr">
        <is>
          <t>R</t>
        </is>
      </c>
      <c r="K36" s="42" t="inlineStr">
        <is>
          <t>Class 1-3 / Urban</t>
        </is>
      </c>
      <c r="L36" s="23" t="n">
        <v>1114</v>
      </c>
      <c r="M36" s="24" t="n">
        <v>4.57</v>
      </c>
      <c r="N36" s="23">
        <f>ROUND(L36/M36, 0)</f>
        <v/>
      </c>
      <c r="O36" s="23">
        <f>ROUND(N36*'Methodology &amp; Assumptions'!$B$8, 0)</f>
        <v/>
      </c>
      <c r="P36" s="44" t="inlineStr">
        <is>
          <t>Band n50 (1.5 GHz, 60 MHz)</t>
        </is>
      </c>
      <c r="Q36" s="38">
        <f>ROUNDUP(O36/'Methodology &amp; Assumptions'!$B$9, 0)</f>
        <v/>
      </c>
      <c r="R36" s="39" t="n">
        <v>1</v>
      </c>
      <c r="S36" s="25" t="n">
        <v>0.27</v>
      </c>
      <c r="T36" s="25" t="n">
        <v>0.19</v>
      </c>
      <c r="U36" s="42" t="inlineStr">
        <is>
          <t>Tier 1A (Direct Coloc, &lt;1 km)</t>
        </is>
      </c>
      <c r="V36" s="24" t="n">
        <v>100</v>
      </c>
      <c r="W36" s="24" t="n">
        <v>43.5</v>
      </c>
      <c r="X36" s="24" t="n">
        <v>58</v>
      </c>
      <c r="Y36" s="45">
        <f>ROUND((V36*'Methodology &amp; Assumptions'!$B$6)+(W36*'Methodology &amp; Assumptions'!$B$5)+(X36*'Methodology &amp; Assumptions'!$B$7), 2)</f>
        <v/>
      </c>
    </row>
    <row r="37" ht="19" customHeight="1">
      <c r="A37" s="35" t="n">
        <v>33</v>
      </c>
      <c r="B37" s="35" t="n">
        <v>3033</v>
      </c>
      <c r="C37" s="36" t="inlineStr">
        <is>
          <t>0702224031</t>
        </is>
      </c>
      <c r="D37" s="36" t="inlineStr">
        <is>
          <t>Region VII (Central Visayas)</t>
        </is>
      </c>
      <c r="E37" s="36" t="inlineStr">
        <is>
          <t>Cebu</t>
        </is>
      </c>
      <c r="F37" s="36" t="inlineStr">
        <is>
          <t>Dumanjug</t>
        </is>
      </c>
      <c r="G37" s="36" t="inlineStr">
        <is>
          <t>Ilaya</t>
        </is>
      </c>
      <c r="H37" s="37" t="n">
        <v>10.0557</v>
      </c>
      <c r="I37" s="37" t="n">
        <v>123.43857</v>
      </c>
      <c r="J37" s="8" t="inlineStr">
        <is>
          <t>R</t>
        </is>
      </c>
      <c r="K37" s="36" t="inlineStr">
        <is>
          <t>Class 1-3 / Urban</t>
        </is>
      </c>
      <c r="L37" s="18" t="n">
        <v>1070</v>
      </c>
      <c r="M37" s="20" t="n">
        <v>4.42</v>
      </c>
      <c r="N37" s="18">
        <f>ROUND(L37/M37, 0)</f>
        <v/>
      </c>
      <c r="O37" s="18">
        <f>ROUND(N37*'Methodology &amp; Assumptions'!$B$8, 0)</f>
        <v/>
      </c>
      <c r="P37" s="8" t="inlineStr">
        <is>
          <t>Band n50 (1.5 GHz, 60 MHz)</t>
        </is>
      </c>
      <c r="Q37" s="38">
        <f>ROUNDUP(O37/'Methodology &amp; Assumptions'!$B$9, 0)</f>
        <v/>
      </c>
      <c r="R37" s="39" t="n">
        <v>1</v>
      </c>
      <c r="S37" s="21" t="n">
        <v>0.28</v>
      </c>
      <c r="T37" s="21" t="n">
        <v>0.13</v>
      </c>
      <c r="U37" s="36" t="inlineStr">
        <is>
          <t>Tier 1A (Direct Coloc, &lt;1 km)</t>
        </is>
      </c>
      <c r="V37" s="20" t="n">
        <v>100</v>
      </c>
      <c r="W37" s="20" t="n">
        <v>43.5</v>
      </c>
      <c r="X37" s="20" t="n">
        <v>58</v>
      </c>
      <c r="Y37" s="40">
        <f>ROUND((V37*'Methodology &amp; Assumptions'!$B$6)+(W37*'Methodology &amp; Assumptions'!$B$5)+(X37*'Methodology &amp; Assumptions'!$B$7), 2)</f>
        <v/>
      </c>
    </row>
    <row r="38" ht="19" customHeight="1">
      <c r="A38" s="41" t="n">
        <v>34</v>
      </c>
      <c r="B38" s="41" t="n">
        <v>3034</v>
      </c>
      <c r="C38" s="42" t="inlineStr">
        <is>
          <t>0103309007</t>
        </is>
      </c>
      <c r="D38" s="42" t="inlineStr">
        <is>
          <t>Region I (Ilocos Region)</t>
        </is>
      </c>
      <c r="E38" s="42" t="inlineStr">
        <is>
          <t>La Union</t>
        </is>
      </c>
      <c r="F38" s="42" t="inlineStr">
        <is>
          <t>Caba</t>
        </is>
      </c>
      <c r="G38" s="42" t="inlineStr">
        <is>
          <t>Poblacion Sur</t>
        </is>
      </c>
      <c r="H38" s="43" t="n">
        <v>16.429859</v>
      </c>
      <c r="I38" s="43" t="n">
        <v>120.344923</v>
      </c>
      <c r="J38" s="44" t="inlineStr">
        <is>
          <t>R</t>
        </is>
      </c>
      <c r="K38" s="42" t="inlineStr">
        <is>
          <t>1st</t>
        </is>
      </c>
      <c r="L38" s="23" t="n">
        <v>1025</v>
      </c>
      <c r="M38" s="24" t="n">
        <v>4.2</v>
      </c>
      <c r="N38" s="23">
        <f>ROUND(L38/M38, 0)</f>
        <v/>
      </c>
      <c r="O38" s="23">
        <f>ROUND(N38*'Methodology &amp; Assumptions'!$B$8, 0)</f>
        <v/>
      </c>
      <c r="P38" s="44" t="inlineStr">
        <is>
          <t>Band n50 (1.5 GHz, 60 MHz)</t>
        </is>
      </c>
      <c r="Q38" s="38">
        <f>ROUNDUP(O38/'Methodology &amp; Assumptions'!$B$9, 0)</f>
        <v/>
      </c>
      <c r="R38" s="39" t="n">
        <v>1</v>
      </c>
      <c r="S38" s="25" t="n">
        <v>0.21</v>
      </c>
      <c r="T38" s="25" t="n">
        <v>0.15</v>
      </c>
      <c r="U38" s="42" t="inlineStr">
        <is>
          <t>Tier 1A (Direct Coloc, &lt;1 km)</t>
        </is>
      </c>
      <c r="V38" s="24" t="n">
        <v>100</v>
      </c>
      <c r="W38" s="24" t="n">
        <v>43.5</v>
      </c>
      <c r="X38" s="24" t="n">
        <v>58</v>
      </c>
      <c r="Y38" s="45">
        <f>ROUND((V38*'Methodology &amp; Assumptions'!$B$6)+(W38*'Methodology &amp; Assumptions'!$B$5)+(X38*'Methodology &amp; Assumptions'!$B$7), 2)</f>
        <v/>
      </c>
    </row>
    <row r="39" ht="19" customHeight="1">
      <c r="A39" s="35" t="n">
        <v>35</v>
      </c>
      <c r="B39" s="35" t="n">
        <v>3035</v>
      </c>
      <c r="C39" s="36" t="inlineStr">
        <is>
          <t>0402116011</t>
        </is>
      </c>
      <c r="D39" s="36" t="inlineStr">
        <is>
          <t>Region IV-A (CALABARZON)</t>
        </is>
      </c>
      <c r="E39" s="36" t="inlineStr">
        <is>
          <t>Cavite</t>
        </is>
      </c>
      <c r="F39" s="36" t="inlineStr">
        <is>
          <t>Noveleta</t>
        </is>
      </c>
      <c r="G39" s="36" t="inlineStr">
        <is>
          <t>San Antonio II</t>
        </is>
      </c>
      <c r="H39" s="37" t="n">
        <v>14.420939</v>
      </c>
      <c r="I39" s="37" t="n">
        <v>120.884568</v>
      </c>
      <c r="J39" s="8" t="inlineStr">
        <is>
          <t>R</t>
        </is>
      </c>
      <c r="K39" s="36" t="inlineStr">
        <is>
          <t>Class 1-3 / Urban</t>
        </is>
      </c>
      <c r="L39" s="18" t="n">
        <v>2073</v>
      </c>
      <c r="M39" s="20" t="n">
        <v>4.49</v>
      </c>
      <c r="N39" s="18">
        <f>ROUND(L39/M39, 0)</f>
        <v/>
      </c>
      <c r="O39" s="18">
        <f>ROUND(N39*'Methodology &amp; Assumptions'!$B$8, 0)</f>
        <v/>
      </c>
      <c r="P39" s="8" t="inlineStr">
        <is>
          <t>Band n50 (1.5 GHz, 60 MHz)</t>
        </is>
      </c>
      <c r="Q39" s="38">
        <f>ROUNDUP(O39/'Methodology &amp; Assumptions'!$B$9, 0)</f>
        <v/>
      </c>
      <c r="R39" s="39" t="n">
        <v>1</v>
      </c>
      <c r="S39" s="21" t="n">
        <v>0.97</v>
      </c>
      <c r="T39" s="21" t="n">
        <v>0.22</v>
      </c>
      <c r="U39" s="36" t="inlineStr">
        <is>
          <t>Tier 1A (Direct Coloc, &lt;1 km)</t>
        </is>
      </c>
      <c r="V39" s="20" t="n">
        <v>82.40000000000001</v>
      </c>
      <c r="W39" s="20" t="n">
        <v>61.1</v>
      </c>
      <c r="X39" s="20" t="n">
        <v>58</v>
      </c>
      <c r="Y39" s="40">
        <f>ROUND((V39*'Methodology &amp; Assumptions'!$B$6)+(W39*'Methodology &amp; Assumptions'!$B$5)+(X39*'Methodology &amp; Assumptions'!$B$7), 2)</f>
        <v/>
      </c>
    </row>
    <row r="40" ht="19" customHeight="1">
      <c r="A40" s="41" t="n">
        <v>36</v>
      </c>
      <c r="B40" s="41" t="n">
        <v>3036</v>
      </c>
      <c r="C40" s="42" t="inlineStr">
        <is>
          <t>0301415015</t>
        </is>
      </c>
      <c r="D40" s="42" t="inlineStr">
        <is>
          <t>Region III (Central Luzon)</t>
        </is>
      </c>
      <c r="E40" s="42" t="inlineStr">
        <is>
          <t>Bulacan</t>
        </is>
      </c>
      <c r="F40" s="42" t="inlineStr">
        <is>
          <t>Pandi</t>
        </is>
      </c>
      <c r="G40" s="42" t="inlineStr">
        <is>
          <t>Pinagkuartelan</t>
        </is>
      </c>
      <c r="H40" s="43" t="n">
        <v>14.898129</v>
      </c>
      <c r="I40" s="43" t="n">
        <v>120.980538</v>
      </c>
      <c r="J40" s="44" t="inlineStr">
        <is>
          <t>U</t>
        </is>
      </c>
      <c r="K40" s="42" t="inlineStr">
        <is>
          <t>Class 1-3 / Urban</t>
        </is>
      </c>
      <c r="L40" s="23" t="n">
        <v>6899</v>
      </c>
      <c r="M40" s="24" t="n">
        <v>4.1</v>
      </c>
      <c r="N40" s="23">
        <f>ROUND(L40/M40, 0)</f>
        <v/>
      </c>
      <c r="O40" s="23">
        <f>ROUND(N40*'Methodology &amp; Assumptions'!$B$8, 0)</f>
        <v/>
      </c>
      <c r="P40" s="44" t="inlineStr">
        <is>
          <t>Band n50 (1.5 GHz, 60 MHz)</t>
        </is>
      </c>
      <c r="Q40" s="38">
        <f>ROUNDUP(O40/'Methodology &amp; Assumptions'!$B$9, 0)</f>
        <v/>
      </c>
      <c r="R40" s="39" t="n">
        <v>1</v>
      </c>
      <c r="S40" s="25" t="n">
        <v>1.58</v>
      </c>
      <c r="T40" s="25" t="n">
        <v>1.45</v>
      </c>
      <c r="U40" s="42" t="inlineStr">
        <is>
          <t>Tier 1B (Micro Drop, 1-3 km)</t>
        </is>
      </c>
      <c r="V40" s="24" t="n">
        <v>69.09999999999999</v>
      </c>
      <c r="W40" s="24" t="n">
        <v>100</v>
      </c>
      <c r="X40" s="24" t="n">
        <v>28</v>
      </c>
      <c r="Y40" s="45">
        <f>ROUND((V40*'Methodology &amp; Assumptions'!$B$6)+(W40*'Methodology &amp; Assumptions'!$B$5)+(X40*'Methodology &amp; Assumptions'!$B$7), 2)</f>
        <v/>
      </c>
    </row>
    <row r="41" ht="19" customHeight="1">
      <c r="A41" s="35" t="n">
        <v>37</v>
      </c>
      <c r="B41" s="35" t="n">
        <v>3037</v>
      </c>
      <c r="C41" s="36" t="inlineStr">
        <is>
          <t>0403421001</t>
        </is>
      </c>
      <c r="D41" s="36" t="inlineStr">
        <is>
          <t>Region IV-A (CALABARZON)</t>
        </is>
      </c>
      <c r="E41" s="36" t="inlineStr">
        <is>
          <t>Laguna</t>
        </is>
      </c>
      <c r="F41" s="36" t="inlineStr">
        <is>
          <t>Pangil</t>
        </is>
      </c>
      <c r="G41" s="36" t="inlineStr">
        <is>
          <t>Balian</t>
        </is>
      </c>
      <c r="H41" s="37" t="n">
        <v>14.39616</v>
      </c>
      <c r="I41" s="37" t="n">
        <v>121.47345</v>
      </c>
      <c r="J41" s="8" t="inlineStr">
        <is>
          <t>U</t>
        </is>
      </c>
      <c r="K41" s="36" t="inlineStr">
        <is>
          <t>3rd</t>
        </is>
      </c>
      <c r="L41" s="18" t="n">
        <v>6435</v>
      </c>
      <c r="M41" s="20" t="n">
        <v>4.42</v>
      </c>
      <c r="N41" s="18">
        <f>ROUND(L41/M41, 0)</f>
        <v/>
      </c>
      <c r="O41" s="18">
        <f>ROUND(N41*'Methodology &amp; Assumptions'!$B$8, 0)</f>
        <v/>
      </c>
      <c r="P41" s="8" t="inlineStr">
        <is>
          <t>Band n50 (1.5 GHz, 60 MHz)</t>
        </is>
      </c>
      <c r="Q41" s="38">
        <f>ROUNDUP(O41/'Methodology &amp; Assumptions'!$B$9, 0)</f>
        <v/>
      </c>
      <c r="R41" s="39" t="n">
        <v>1</v>
      </c>
      <c r="S41" s="21" t="n">
        <v>1.58</v>
      </c>
      <c r="T41" s="21" t="n">
        <v>0.31</v>
      </c>
      <c r="U41" s="36" t="inlineStr">
        <is>
          <t>Tier 1B (Micro Drop, 1-3 km)</t>
        </is>
      </c>
      <c r="V41" s="20" t="n">
        <v>69.09999999999999</v>
      </c>
      <c r="W41" s="20" t="n">
        <v>100</v>
      </c>
      <c r="X41" s="20" t="n">
        <v>28</v>
      </c>
      <c r="Y41" s="40">
        <f>ROUND((V41*'Methodology &amp; Assumptions'!$B$6)+(W41*'Methodology &amp; Assumptions'!$B$5)+(X41*'Methodology &amp; Assumptions'!$B$7), 2)</f>
        <v/>
      </c>
    </row>
    <row r="42" ht="19" customHeight="1">
      <c r="A42" s="41" t="n">
        <v>38</v>
      </c>
      <c r="B42" s="41" t="n">
        <v>3038</v>
      </c>
      <c r="C42" s="42" t="inlineStr">
        <is>
          <t>0305413024</t>
        </is>
      </c>
      <c r="D42" s="42" t="inlineStr">
        <is>
          <t>Region III (Central Luzon)</t>
        </is>
      </c>
      <c r="E42" s="42" t="inlineStr">
        <is>
          <t>Pampanga</t>
        </is>
      </c>
      <c r="F42" s="42" t="inlineStr">
        <is>
          <t>Mexico</t>
        </is>
      </c>
      <c r="G42" s="42" t="inlineStr">
        <is>
          <t>Parian</t>
        </is>
      </c>
      <c r="H42" s="43" t="n">
        <v>15.066082</v>
      </c>
      <c r="I42" s="43" t="n">
        <v>120.718601</v>
      </c>
      <c r="J42" s="44" t="inlineStr">
        <is>
          <t>U</t>
        </is>
      </c>
      <c r="K42" s="42" t="inlineStr">
        <is>
          <t>Class 1-3 / Urban</t>
        </is>
      </c>
      <c r="L42" s="23" t="n">
        <v>5756</v>
      </c>
      <c r="M42" s="24" t="n">
        <v>4.63</v>
      </c>
      <c r="N42" s="23">
        <f>ROUND(L42/M42, 0)</f>
        <v/>
      </c>
      <c r="O42" s="23">
        <f>ROUND(N42*'Methodology &amp; Assumptions'!$B$8, 0)</f>
        <v/>
      </c>
      <c r="P42" s="44" t="inlineStr">
        <is>
          <t>Band n50 (1.5 GHz, 60 MHz)</t>
        </is>
      </c>
      <c r="Q42" s="38">
        <f>ROUNDUP(O42/'Methodology &amp; Assumptions'!$B$9, 0)</f>
        <v/>
      </c>
      <c r="R42" s="39" t="n">
        <v>1</v>
      </c>
      <c r="S42" s="25" t="n">
        <v>1.57</v>
      </c>
      <c r="T42" s="25" t="n">
        <v>0.38</v>
      </c>
      <c r="U42" s="42" t="inlineStr">
        <is>
          <t>Tier 1B (Micro Drop, 1-3 km)</t>
        </is>
      </c>
      <c r="V42" s="24" t="n">
        <v>69.2</v>
      </c>
      <c r="W42" s="24" t="n">
        <v>100</v>
      </c>
      <c r="X42" s="24" t="n">
        <v>28</v>
      </c>
      <c r="Y42" s="45">
        <f>ROUND((V42*'Methodology &amp; Assumptions'!$B$6)+(W42*'Methodology &amp; Assumptions'!$B$5)+(X42*'Methodology &amp; Assumptions'!$B$7), 2)</f>
        <v/>
      </c>
    </row>
    <row r="43" ht="19" customHeight="1">
      <c r="A43" s="35" t="n">
        <v>39</v>
      </c>
      <c r="B43" s="35" t="n">
        <v>3039</v>
      </c>
      <c r="C43" s="36" t="inlineStr">
        <is>
          <t>1705307012</t>
        </is>
      </c>
      <c r="D43" s="36" t="inlineStr">
        <is>
          <t>MIMAROPA Region</t>
        </is>
      </c>
      <c r="E43" s="36" t="inlineStr">
        <is>
          <t>Palawan</t>
        </is>
      </c>
      <c r="F43" s="36" t="inlineStr">
        <is>
          <t>Busuanga</t>
        </is>
      </c>
      <c r="G43" s="36" t="inlineStr">
        <is>
          <t>Salvacion</t>
        </is>
      </c>
      <c r="H43" s="37" t="n">
        <v>12.13232</v>
      </c>
      <c r="I43" s="37" t="n">
        <v>119.933</v>
      </c>
      <c r="J43" s="8" t="inlineStr">
        <is>
          <t>U</t>
        </is>
      </c>
      <c r="K43" s="36" t="inlineStr">
        <is>
          <t>Class 1-3 / Urban</t>
        </is>
      </c>
      <c r="L43" s="18" t="n">
        <v>3422</v>
      </c>
      <c r="M43" s="20" t="n">
        <v>4.35</v>
      </c>
      <c r="N43" s="18">
        <f>ROUND(L43/M43, 0)</f>
        <v/>
      </c>
      <c r="O43" s="18">
        <f>ROUND(N43*'Methodology &amp; Assumptions'!$B$8, 0)</f>
        <v/>
      </c>
      <c r="P43" s="8" t="inlineStr">
        <is>
          <t>Band n50 (1.5 GHz, 60 MHz)</t>
        </is>
      </c>
      <c r="Q43" s="38">
        <f>ROUNDUP(O43/'Methodology &amp; Assumptions'!$B$9, 0)</f>
        <v/>
      </c>
      <c r="R43" s="39" t="n">
        <v>1</v>
      </c>
      <c r="S43" s="21" t="n">
        <v>0.45</v>
      </c>
      <c r="T43" s="21" t="n">
        <v>124.9</v>
      </c>
      <c r="U43" s="36" t="inlineStr">
        <is>
          <t>Tier 1A (Direct Coloc, &lt;1 km)</t>
        </is>
      </c>
      <c r="V43" s="20" t="n">
        <v>86.2</v>
      </c>
      <c r="W43" s="20" t="n">
        <v>82.90000000000001</v>
      </c>
      <c r="X43" s="20" t="n">
        <v>28</v>
      </c>
      <c r="Y43" s="40">
        <f>ROUND((V43*'Methodology &amp; Assumptions'!$B$6)+(W43*'Methodology &amp; Assumptions'!$B$5)+(X43*'Methodology &amp; Assumptions'!$B$7), 2)</f>
        <v/>
      </c>
    </row>
    <row r="44" ht="19" customHeight="1">
      <c r="A44" s="41" t="n">
        <v>40</v>
      </c>
      <c r="B44" s="41" t="n">
        <v>3040</v>
      </c>
      <c r="C44" s="42" t="inlineStr">
        <is>
          <t>0501716007</t>
        </is>
      </c>
      <c r="D44" s="42" t="inlineStr">
        <is>
          <t>Region V (Bicol Region)</t>
        </is>
      </c>
      <c r="E44" s="42" t="inlineStr">
        <is>
          <t>Camarines Sur</t>
        </is>
      </c>
      <c r="F44" s="42" t="inlineStr">
        <is>
          <t>City of Iriga</t>
        </is>
      </c>
      <c r="G44" s="42" t="inlineStr">
        <is>
          <t>La Purisima</t>
        </is>
      </c>
      <c r="H44" s="43" t="n">
        <v>13.406263</v>
      </c>
      <c r="I44" s="43" t="n">
        <v>123.419767</v>
      </c>
      <c r="J44" s="44" t="inlineStr">
        <is>
          <t>R</t>
        </is>
      </c>
      <c r="K44" s="42" t="inlineStr">
        <is>
          <t>Class 1-3 / Urban</t>
        </is>
      </c>
      <c r="L44" s="23" t="n">
        <v>3174</v>
      </c>
      <c r="M44" s="24" t="n">
        <v>4.9</v>
      </c>
      <c r="N44" s="23">
        <f>ROUND(L44/M44, 0)</f>
        <v/>
      </c>
      <c r="O44" s="23">
        <f>ROUND(N44*'Methodology &amp; Assumptions'!$B$8, 0)</f>
        <v/>
      </c>
      <c r="P44" s="44" t="inlineStr">
        <is>
          <t>Band n50 (1.5 GHz, 60 MHz)</t>
        </is>
      </c>
      <c r="Q44" s="38">
        <f>ROUNDUP(O44/'Methodology &amp; Assumptions'!$B$9, 0)</f>
        <v/>
      </c>
      <c r="R44" s="39" t="n">
        <v>1</v>
      </c>
      <c r="S44" s="25" t="n">
        <v>1.65</v>
      </c>
      <c r="T44" s="25" t="n">
        <v>1.56</v>
      </c>
      <c r="U44" s="42" t="inlineStr">
        <is>
          <t>Tier 1B (Micro Drop, 1-3 km)</t>
        </is>
      </c>
      <c r="V44" s="24" t="n">
        <v>67.7</v>
      </c>
      <c r="W44" s="24" t="n">
        <v>75.7</v>
      </c>
      <c r="X44" s="24" t="n">
        <v>58</v>
      </c>
      <c r="Y44" s="45">
        <f>ROUND((V44*'Methodology &amp; Assumptions'!$B$6)+(W44*'Methodology &amp; Assumptions'!$B$5)+(X44*'Methodology &amp; Assumptions'!$B$7), 2)</f>
        <v/>
      </c>
    </row>
    <row r="45" ht="19" customHeight="1">
      <c r="A45" s="35" t="n">
        <v>41</v>
      </c>
      <c r="B45" s="35" t="n">
        <v>3041</v>
      </c>
      <c r="C45" s="36" t="inlineStr">
        <is>
          <t>0702224034</t>
        </is>
      </c>
      <c r="D45" s="36" t="inlineStr">
        <is>
          <t>Region VII (Central Visayas)</t>
        </is>
      </c>
      <c r="E45" s="36" t="inlineStr">
        <is>
          <t>Cebu</t>
        </is>
      </c>
      <c r="F45" s="36" t="inlineStr">
        <is>
          <t>Dumanjug</t>
        </is>
      </c>
      <c r="G45" s="36" t="inlineStr">
        <is>
          <t>Tangil</t>
        </is>
      </c>
      <c r="H45" s="37" t="n">
        <v>10.069388</v>
      </c>
      <c r="I45" s="37" t="n">
        <v>123.447511</v>
      </c>
      <c r="J45" s="8" t="inlineStr">
        <is>
          <t>R</t>
        </is>
      </c>
      <c r="K45" s="36" t="inlineStr">
        <is>
          <t>Class 1-3 / Urban</t>
        </is>
      </c>
      <c r="L45" s="18" t="n">
        <v>3125</v>
      </c>
      <c r="M45" s="20" t="n">
        <v>4.42</v>
      </c>
      <c r="N45" s="18">
        <f>ROUND(L45/M45, 0)</f>
        <v/>
      </c>
      <c r="O45" s="18">
        <f>ROUND(N45*'Methodology &amp; Assumptions'!$B$8, 0)</f>
        <v/>
      </c>
      <c r="P45" s="8" t="inlineStr">
        <is>
          <t>Band n50 (1.5 GHz, 60 MHz)</t>
        </is>
      </c>
      <c r="Q45" s="38">
        <f>ROUNDUP(O45/'Methodology &amp; Assumptions'!$B$9, 0)</f>
        <v/>
      </c>
      <c r="R45" s="39" t="n">
        <v>1</v>
      </c>
      <c r="S45" s="21" t="n">
        <v>1.91</v>
      </c>
      <c r="T45" s="21" t="n">
        <v>0.05</v>
      </c>
      <c r="U45" s="36" t="inlineStr">
        <is>
          <t>Tier 1B (Micro Drop, 1-3 km)</t>
        </is>
      </c>
      <c r="V45" s="20" t="n">
        <v>62.9</v>
      </c>
      <c r="W45" s="20" t="n">
        <v>80.5</v>
      </c>
      <c r="X45" s="20" t="n">
        <v>58</v>
      </c>
      <c r="Y45" s="40">
        <f>ROUND((V45*'Methodology &amp; Assumptions'!$B$6)+(W45*'Methodology &amp; Assumptions'!$B$5)+(X45*'Methodology &amp; Assumptions'!$B$7), 2)</f>
        <v/>
      </c>
    </row>
    <row r="46" ht="19" customHeight="1">
      <c r="A46" s="41" t="n">
        <v>42</v>
      </c>
      <c r="B46" s="41" t="n">
        <v>3042</v>
      </c>
      <c r="C46" s="42" t="inlineStr">
        <is>
          <t>0304902021</t>
        </is>
      </c>
      <c r="D46" s="42" t="inlineStr">
        <is>
          <t>Region III (Central Luzon)</t>
        </is>
      </c>
      <c r="E46" s="42" t="inlineStr">
        <is>
          <t>Nueva Ecija</t>
        </is>
      </c>
      <c r="F46" s="42" t="inlineStr">
        <is>
          <t>Bongabon</t>
        </is>
      </c>
      <c r="G46" s="42" t="inlineStr">
        <is>
          <t>Sampalucan</t>
        </is>
      </c>
      <c r="H46" s="43" t="n">
        <v>15.61884</v>
      </c>
      <c r="I46" s="43" t="n">
        <v>121.148755</v>
      </c>
      <c r="J46" s="44" t="inlineStr">
        <is>
          <t>R</t>
        </is>
      </c>
      <c r="K46" s="42" t="inlineStr">
        <is>
          <t>Class 1-3 / Urban</t>
        </is>
      </c>
      <c r="L46" s="23" t="n">
        <v>1525</v>
      </c>
      <c r="M46" s="24" t="n">
        <v>4.32</v>
      </c>
      <c r="N46" s="23">
        <f>ROUND(L46/M46, 0)</f>
        <v/>
      </c>
      <c r="O46" s="23">
        <f>ROUND(N46*'Methodology &amp; Assumptions'!$B$8, 0)</f>
        <v/>
      </c>
      <c r="P46" s="44" t="inlineStr">
        <is>
          <t>Band n50 (1.5 GHz, 60 MHz)</t>
        </is>
      </c>
      <c r="Q46" s="38">
        <f>ROUNDUP(O46/'Methodology &amp; Assumptions'!$B$9, 0)</f>
        <v/>
      </c>
      <c r="R46" s="39" t="n">
        <v>1</v>
      </c>
      <c r="S46" s="25" t="n">
        <v>0.63</v>
      </c>
      <c r="T46" s="25" t="n">
        <v>0.21</v>
      </c>
      <c r="U46" s="42" t="inlineStr">
        <is>
          <t>Tier 1A (Direct Coloc, &lt;1 km)</t>
        </is>
      </c>
      <c r="V46" s="24" t="n">
        <v>91.09999999999999</v>
      </c>
      <c r="W46" s="24" t="n">
        <v>52.3</v>
      </c>
      <c r="X46" s="24" t="n">
        <v>58</v>
      </c>
      <c r="Y46" s="45">
        <f>ROUND((V46*'Methodology &amp; Assumptions'!$B$6)+(W46*'Methodology &amp; Assumptions'!$B$5)+(X46*'Methodology &amp; Assumptions'!$B$7), 2)</f>
        <v/>
      </c>
    </row>
    <row r="47" ht="19" customHeight="1">
      <c r="A47" s="35" t="n">
        <v>43</v>
      </c>
      <c r="B47" s="35" t="n">
        <v>3043</v>
      </c>
      <c r="C47" s="36" t="inlineStr">
        <is>
          <t>0300810027</t>
        </is>
      </c>
      <c r="D47" s="36" t="inlineStr">
        <is>
          <t>Region III (Central Luzon)</t>
        </is>
      </c>
      <c r="E47" s="36" t="inlineStr">
        <is>
          <t>Bataan</t>
        </is>
      </c>
      <c r="F47" s="36" t="inlineStr">
        <is>
          <t>Orion</t>
        </is>
      </c>
      <c r="G47" s="36" t="inlineStr">
        <is>
          <t>Villa Angeles</t>
        </is>
      </c>
      <c r="H47" s="37" t="n">
        <v>14.618481</v>
      </c>
      <c r="I47" s="37" t="n">
        <v>120.581223</v>
      </c>
      <c r="J47" s="8" t="inlineStr">
        <is>
          <t>R</t>
        </is>
      </c>
      <c r="K47" s="36" t="inlineStr">
        <is>
          <t>Class 1-3 / Urban</t>
        </is>
      </c>
      <c r="L47" s="18" t="n">
        <v>1271</v>
      </c>
      <c r="M47" s="20" t="n">
        <v>4.57</v>
      </c>
      <c r="N47" s="18">
        <f>ROUND(L47/M47, 0)</f>
        <v/>
      </c>
      <c r="O47" s="18">
        <f>ROUND(N47*'Methodology &amp; Assumptions'!$B$8, 0)</f>
        <v/>
      </c>
      <c r="P47" s="8" t="inlineStr">
        <is>
          <t>Band n50 (1.5 GHz, 60 MHz)</t>
        </is>
      </c>
      <c r="Q47" s="38">
        <f>ROUNDUP(O47/'Methodology &amp; Assumptions'!$B$9, 0)</f>
        <v/>
      </c>
      <c r="R47" s="39" t="n">
        <v>1</v>
      </c>
      <c r="S47" s="21" t="n">
        <v>0.41</v>
      </c>
      <c r="T47" s="21" t="n">
        <v>0.32</v>
      </c>
      <c r="U47" s="36" t="inlineStr">
        <is>
          <t>Tier 1A (Direct Coloc, &lt;1 km)</t>
        </is>
      </c>
      <c r="V47" s="20" t="n">
        <v>97.3</v>
      </c>
      <c r="W47" s="20" t="n">
        <v>46.1</v>
      </c>
      <c r="X47" s="20" t="n">
        <v>58</v>
      </c>
      <c r="Y47" s="40">
        <f>ROUND((V47*'Methodology &amp; Assumptions'!$B$6)+(W47*'Methodology &amp; Assumptions'!$B$5)+(X47*'Methodology &amp; Assumptions'!$B$7), 2)</f>
        <v/>
      </c>
    </row>
    <row r="48" ht="19" customHeight="1">
      <c r="A48" s="41" t="n">
        <v>44</v>
      </c>
      <c r="B48" s="41" t="n">
        <v>3044</v>
      </c>
      <c r="C48" s="42" t="inlineStr">
        <is>
          <t>0501725023</t>
        </is>
      </c>
      <c r="D48" s="42" t="inlineStr">
        <is>
          <t>Region V (Bicol Region)</t>
        </is>
      </c>
      <c r="E48" s="42" t="inlineStr">
        <is>
          <t>Camarines Sur</t>
        </is>
      </c>
      <c r="F48" s="42" t="inlineStr">
        <is>
          <t>Ocampo</t>
        </is>
      </c>
      <c r="G48" s="42" t="inlineStr">
        <is>
          <t>San Vicente</t>
        </is>
      </c>
      <c r="H48" s="43" t="n">
        <v>13.548732</v>
      </c>
      <c r="I48" s="43" t="n">
        <v>123.378528</v>
      </c>
      <c r="J48" s="44" t="inlineStr">
        <is>
          <t>R</t>
        </is>
      </c>
      <c r="K48" s="42" t="inlineStr">
        <is>
          <t>Class 1-3 / Urban</t>
        </is>
      </c>
      <c r="L48" s="23" t="n">
        <v>2135</v>
      </c>
      <c r="M48" s="24" t="n">
        <v>4.9</v>
      </c>
      <c r="N48" s="23">
        <f>ROUND(L48/M48, 0)</f>
        <v/>
      </c>
      <c r="O48" s="23">
        <f>ROUND(N48*'Methodology &amp; Assumptions'!$B$8, 0)</f>
        <v/>
      </c>
      <c r="P48" s="44" t="inlineStr">
        <is>
          <t>Band n50 (1.5 GHz, 60 MHz)</t>
        </is>
      </c>
      <c r="Q48" s="38">
        <f>ROUNDUP(O48/'Methodology &amp; Assumptions'!$B$9, 0)</f>
        <v/>
      </c>
      <c r="R48" s="39" t="n">
        <v>1</v>
      </c>
      <c r="S48" s="25" t="n">
        <v>0.89</v>
      </c>
      <c r="T48" s="25" t="n">
        <v>1.06</v>
      </c>
      <c r="U48" s="42" t="inlineStr">
        <is>
          <t>Tier 1A (Direct Coloc, &lt;1 km)</t>
        </is>
      </c>
      <c r="V48" s="24" t="n">
        <v>84.40000000000001</v>
      </c>
      <c r="W48" s="24" t="n">
        <v>58.9</v>
      </c>
      <c r="X48" s="24" t="n">
        <v>58</v>
      </c>
      <c r="Y48" s="45">
        <f>ROUND((V48*'Methodology &amp; Assumptions'!$B$6)+(W48*'Methodology &amp; Assumptions'!$B$5)+(X48*'Methodology &amp; Assumptions'!$B$7), 2)</f>
        <v/>
      </c>
    </row>
    <row r="49" ht="19" customHeight="1">
      <c r="A49" s="35" t="n">
        <v>45</v>
      </c>
      <c r="B49" s="35" t="n">
        <v>3045</v>
      </c>
      <c r="C49" s="36" t="inlineStr">
        <is>
          <t>0401012015</t>
        </is>
      </c>
      <c r="D49" s="36" t="inlineStr">
        <is>
          <t>Region IV-A (CALABARZON)</t>
        </is>
      </c>
      <c r="E49" s="36" t="inlineStr">
        <is>
          <t>Batangas</t>
        </is>
      </c>
      <c r="F49" s="36" t="inlineStr">
        <is>
          <t>Lemery</t>
        </is>
      </c>
      <c r="G49" s="36" t="inlineStr">
        <is>
          <t>Maguihan</t>
        </is>
      </c>
      <c r="H49" s="37" t="n">
        <v>13.883237</v>
      </c>
      <c r="I49" s="37" t="n">
        <v>120.912685</v>
      </c>
      <c r="J49" s="8" t="inlineStr">
        <is>
          <t>R</t>
        </is>
      </c>
      <c r="K49" s="36" t="inlineStr">
        <is>
          <t>Class 1-3 / Urban</t>
        </is>
      </c>
      <c r="L49" s="18" t="n">
        <v>2115</v>
      </c>
      <c r="M49" s="20" t="n">
        <v>4.62</v>
      </c>
      <c r="N49" s="18">
        <f>ROUND(L49/M49, 0)</f>
        <v/>
      </c>
      <c r="O49" s="18">
        <f>ROUND(N49*'Methodology &amp; Assumptions'!$B$8, 0)</f>
        <v/>
      </c>
      <c r="P49" s="8" t="inlineStr">
        <is>
          <t>Band n50 (1.5 GHz, 60 MHz)</t>
        </is>
      </c>
      <c r="Q49" s="38">
        <f>ROUNDUP(O49/'Methodology &amp; Assumptions'!$B$9, 0)</f>
        <v/>
      </c>
      <c r="R49" s="39" t="n">
        <v>1</v>
      </c>
      <c r="S49" s="21" t="n">
        <v>0.95</v>
      </c>
      <c r="T49" s="21" t="n">
        <v>1.48</v>
      </c>
      <c r="U49" s="36" t="inlineStr">
        <is>
          <t>Tier 1A (Direct Coloc, &lt;1 km)</t>
        </is>
      </c>
      <c r="V49" s="20" t="n">
        <v>82.8</v>
      </c>
      <c r="W49" s="20" t="n">
        <v>60.5</v>
      </c>
      <c r="X49" s="20" t="n">
        <v>58</v>
      </c>
      <c r="Y49" s="40">
        <f>ROUND((V49*'Methodology &amp; Assumptions'!$B$6)+(W49*'Methodology &amp; Assumptions'!$B$5)+(X49*'Methodology &amp; Assumptions'!$B$7), 2)</f>
        <v/>
      </c>
    </row>
    <row r="50" ht="19" customHeight="1">
      <c r="A50" s="41" t="n">
        <v>46</v>
      </c>
      <c r="B50" s="41" t="n">
        <v>3046</v>
      </c>
      <c r="C50" s="42" t="inlineStr">
        <is>
          <t>0300801010</t>
        </is>
      </c>
      <c r="D50" s="42" t="inlineStr">
        <is>
          <t>Region III (Central Luzon)</t>
        </is>
      </c>
      <c r="E50" s="42" t="inlineStr">
        <is>
          <t>Bataan</t>
        </is>
      </c>
      <c r="F50" s="42" t="inlineStr">
        <is>
          <t>Abucay</t>
        </is>
      </c>
      <c r="G50" s="42" t="inlineStr">
        <is>
          <t>Salian</t>
        </is>
      </c>
      <c r="H50" s="43" t="n">
        <v>14.716774</v>
      </c>
      <c r="I50" s="43" t="n">
        <v>120.530805</v>
      </c>
      <c r="J50" s="44" t="inlineStr">
        <is>
          <t>R</t>
        </is>
      </c>
      <c r="K50" s="42" t="inlineStr">
        <is>
          <t>Class 1-3 / Urban</t>
        </is>
      </c>
      <c r="L50" s="23" t="n">
        <v>3832</v>
      </c>
      <c r="M50" s="24" t="n">
        <v>4.57</v>
      </c>
      <c r="N50" s="23">
        <f>ROUND(L50/M50, 0)</f>
        <v/>
      </c>
      <c r="O50" s="23">
        <f>ROUND(N50*'Methodology &amp; Assumptions'!$B$8, 0)</f>
        <v/>
      </c>
      <c r="P50" s="44" t="inlineStr">
        <is>
          <t>Band n50 (1.5 GHz, 60 MHz)</t>
        </is>
      </c>
      <c r="Q50" s="38">
        <f>ROUNDUP(O50/'Methodology &amp; Assumptions'!$B$9, 0)</f>
        <v/>
      </c>
      <c r="R50" s="39" t="n">
        <v>1</v>
      </c>
      <c r="S50" s="25" t="n">
        <v>3.68</v>
      </c>
      <c r="T50" s="25" t="n">
        <v>0.62</v>
      </c>
      <c r="U50" s="42" t="inlineStr">
        <is>
          <t>Tier 2 (Fiber Corridor / Lateral, 3-5 km)</t>
        </is>
      </c>
      <c r="V50" s="24" t="n">
        <v>39.3</v>
      </c>
      <c r="W50" s="24" t="n">
        <v>91.2</v>
      </c>
      <c r="X50" s="24" t="n">
        <v>73</v>
      </c>
      <c r="Y50" s="45">
        <f>ROUND((V50*'Methodology &amp; Assumptions'!$B$6)+(W50*'Methodology &amp; Assumptions'!$B$5)+(X50*'Methodology &amp; Assumptions'!$B$7), 2)</f>
        <v/>
      </c>
    </row>
    <row r="51" ht="19" customHeight="1">
      <c r="A51" s="35" t="n">
        <v>47</v>
      </c>
      <c r="B51" s="35" t="n">
        <v>3047</v>
      </c>
      <c r="C51" s="36" t="inlineStr">
        <is>
          <t>0730600034</t>
        </is>
      </c>
      <c r="D51" s="36" t="inlineStr">
        <is>
          <t>Region VII (Central Visayas)</t>
        </is>
      </c>
      <c r="E51" s="36" t="inlineStr">
        <is>
          <t>Cebu</t>
        </is>
      </c>
      <c r="F51" s="36" t="inlineStr">
        <is>
          <t>City of Cebu</t>
        </is>
      </c>
      <c r="G51" s="36" t="inlineStr">
        <is>
          <t>Kalunasan</t>
        </is>
      </c>
      <c r="H51" s="37" t="n">
        <v>10.329085</v>
      </c>
      <c r="I51" s="37" t="n">
        <v>123.886903</v>
      </c>
      <c r="J51" s="8" t="inlineStr">
        <is>
          <t>U</t>
        </is>
      </c>
      <c r="K51" s="36" t="inlineStr">
        <is>
          <t>Class 1-3 / Urban</t>
        </is>
      </c>
      <c r="L51" s="18" t="n">
        <v>28230</v>
      </c>
      <c r="M51" s="20" t="n">
        <v>4.42</v>
      </c>
      <c r="N51" s="18">
        <f>ROUND(L51/M51, 0)</f>
        <v/>
      </c>
      <c r="O51" s="18">
        <f>ROUND(N51*'Methodology &amp; Assumptions'!$B$8, 0)</f>
        <v/>
      </c>
      <c r="P51" s="8" t="inlineStr">
        <is>
          <t>Band n50 (1.5 GHz, 60 MHz)</t>
        </is>
      </c>
      <c r="Q51" s="38">
        <f>ROUNDUP(O51/'Methodology &amp; Assumptions'!$B$9, 0)</f>
        <v/>
      </c>
      <c r="R51" s="39" t="n">
        <v>1</v>
      </c>
      <c r="S51" s="21" t="n">
        <v>1.11</v>
      </c>
      <c r="T51" s="21" t="n">
        <v>2.65</v>
      </c>
      <c r="U51" s="36" t="inlineStr">
        <is>
          <t>Tier 1B (Micro Drop, 1-3 km)</t>
        </is>
      </c>
      <c r="V51" s="20" t="n">
        <v>69.09999999999999</v>
      </c>
      <c r="W51" s="20" t="n">
        <v>100</v>
      </c>
      <c r="X51" s="20" t="n">
        <v>28</v>
      </c>
      <c r="Y51" s="40">
        <f>ROUND((V51*'Methodology &amp; Assumptions'!$B$6)+(W51*'Methodology &amp; Assumptions'!$B$5)+(X51*'Methodology &amp; Assumptions'!$B$7), 2)</f>
        <v/>
      </c>
    </row>
    <row r="52" ht="19" customHeight="1">
      <c r="A52" s="41" t="n">
        <v>48</v>
      </c>
      <c r="B52" s="41" t="n">
        <v>3048</v>
      </c>
      <c r="C52" s="42" t="inlineStr">
        <is>
          <t>0307105017</t>
        </is>
      </c>
      <c r="D52" s="42" t="inlineStr">
        <is>
          <t>Region III (Central Luzon)</t>
        </is>
      </c>
      <c r="E52" s="42" t="inlineStr">
        <is>
          <t>Zambales</t>
        </is>
      </c>
      <c r="F52" s="42" t="inlineStr">
        <is>
          <t>Iba</t>
        </is>
      </c>
      <c r="G52" s="42" t="inlineStr">
        <is>
          <t>Santa Barbara</t>
        </is>
      </c>
      <c r="H52" s="43" t="n">
        <v>15.335538</v>
      </c>
      <c r="I52" s="43" t="n">
        <v>119.999462</v>
      </c>
      <c r="J52" s="44" t="inlineStr">
        <is>
          <t>R</t>
        </is>
      </c>
      <c r="K52" s="42" t="inlineStr">
        <is>
          <t>Class 1-3 / Urban</t>
        </is>
      </c>
      <c r="L52" s="23" t="n">
        <v>4526</v>
      </c>
      <c r="M52" s="24" t="n">
        <v>4.05</v>
      </c>
      <c r="N52" s="23">
        <f>ROUND(L52/M52, 0)</f>
        <v/>
      </c>
      <c r="O52" s="23">
        <f>ROUND(N52*'Methodology &amp; Assumptions'!$B$8, 0)</f>
        <v/>
      </c>
      <c r="P52" s="44" t="inlineStr">
        <is>
          <t>Band n50 (1.5 GHz, 60 MHz)</t>
        </is>
      </c>
      <c r="Q52" s="38">
        <f>ROUNDUP(O52/'Methodology &amp; Assumptions'!$B$9, 0)</f>
        <v/>
      </c>
      <c r="R52" s="39" t="n">
        <v>1</v>
      </c>
      <c r="S52" s="25" t="n">
        <v>2.51</v>
      </c>
      <c r="T52" s="25" t="n">
        <v>2.14</v>
      </c>
      <c r="U52" s="42" t="inlineStr">
        <is>
          <t>Tier 1B (Micro Drop, 1-3 km)</t>
        </is>
      </c>
      <c r="V52" s="24" t="n">
        <v>43.3</v>
      </c>
      <c r="W52" s="24" t="n">
        <v>100</v>
      </c>
      <c r="X52" s="24" t="n">
        <v>58</v>
      </c>
      <c r="Y52" s="45">
        <f>ROUND((V52*'Methodology &amp; Assumptions'!$B$6)+(W52*'Methodology &amp; Assumptions'!$B$5)+(X52*'Methodology &amp; Assumptions'!$B$7), 2)</f>
        <v/>
      </c>
    </row>
    <row r="53" ht="19" customHeight="1">
      <c r="A53" s="35" t="n">
        <v>49</v>
      </c>
      <c r="B53" s="35" t="n">
        <v>3049</v>
      </c>
      <c r="C53" s="36" t="inlineStr">
        <is>
          <t>0201523002</t>
        </is>
      </c>
      <c r="D53" s="36" t="inlineStr">
        <is>
          <t>Region II (Cagayan Valley)</t>
        </is>
      </c>
      <c r="E53" s="36" t="inlineStr">
        <is>
          <t>Cagayan</t>
        </is>
      </c>
      <c r="F53" s="36" t="inlineStr">
        <is>
          <t>Santa Ana</t>
        </is>
      </c>
      <c r="G53" s="36" t="inlineStr">
        <is>
          <t>Casambalangan</t>
        </is>
      </c>
      <c r="H53" s="37" t="n">
        <v>18.3756</v>
      </c>
      <c r="I53" s="37" t="n">
        <v>122.1264</v>
      </c>
      <c r="J53" s="8" t="inlineStr">
        <is>
          <t>R</t>
        </is>
      </c>
      <c r="K53" s="36" t="inlineStr">
        <is>
          <t>Class 1-3 / Urban</t>
        </is>
      </c>
      <c r="L53" s="18" t="n">
        <v>4524</v>
      </c>
      <c r="M53" s="20" t="n">
        <v>4.38</v>
      </c>
      <c r="N53" s="18">
        <f>ROUND(L53/M53, 0)</f>
        <v/>
      </c>
      <c r="O53" s="18">
        <f>ROUND(N53*'Methodology &amp; Assumptions'!$B$8, 0)</f>
        <v/>
      </c>
      <c r="P53" s="8" t="inlineStr">
        <is>
          <t>Band n50 (1.5 GHz, 60 MHz)</t>
        </is>
      </c>
      <c r="Q53" s="38">
        <f>ROUNDUP(O53/'Methodology &amp; Assumptions'!$B$9, 0)</f>
        <v/>
      </c>
      <c r="R53" s="39" t="n">
        <v>1</v>
      </c>
      <c r="S53" s="21" t="n">
        <v>3.3</v>
      </c>
      <c r="T53" s="21" t="n">
        <v>0.21</v>
      </c>
      <c r="U53" s="36" t="inlineStr">
        <is>
          <t>Tier 2 (Fiber Corridor / Lateral, 3-5 km)</t>
        </is>
      </c>
      <c r="V53" s="20" t="n">
        <v>43.3</v>
      </c>
      <c r="W53" s="20" t="n">
        <v>100</v>
      </c>
      <c r="X53" s="20" t="n">
        <v>58</v>
      </c>
      <c r="Y53" s="40">
        <f>ROUND((V53*'Methodology &amp; Assumptions'!$B$6)+(W53*'Methodology &amp; Assumptions'!$B$5)+(X53*'Methodology &amp; Assumptions'!$B$7), 2)</f>
        <v/>
      </c>
    </row>
    <row r="54" ht="19" customHeight="1">
      <c r="A54" s="41" t="n">
        <v>50</v>
      </c>
      <c r="B54" s="41" t="n">
        <v>3050</v>
      </c>
      <c r="C54" s="42" t="inlineStr">
        <is>
          <t>0600411015</t>
        </is>
      </c>
      <c r="D54" s="42" t="inlineStr">
        <is>
          <t>Region VI (Western Visayas)</t>
        </is>
      </c>
      <c r="E54" s="42" t="inlineStr">
        <is>
          <t>Aklan</t>
        </is>
      </c>
      <c r="F54" s="42" t="inlineStr">
        <is>
          <t>Makato</t>
        </is>
      </c>
      <c r="G54" s="42" t="inlineStr">
        <is>
          <t>Poblacion</t>
        </is>
      </c>
      <c r="H54" s="43" t="n">
        <v>11.695021</v>
      </c>
      <c r="I54" s="43" t="n">
        <v>122.287917</v>
      </c>
      <c r="J54" s="44" t="inlineStr">
        <is>
          <t>R</t>
        </is>
      </c>
      <c r="K54" s="42" t="inlineStr">
        <is>
          <t>3rd</t>
        </is>
      </c>
      <c r="L54" s="23" t="n">
        <v>3342</v>
      </c>
      <c r="M54" s="24" t="n">
        <v>4.14</v>
      </c>
      <c r="N54" s="23">
        <f>ROUND(L54/M54, 0)</f>
        <v/>
      </c>
      <c r="O54" s="23">
        <f>ROUND(N54*'Methodology &amp; Assumptions'!$B$8, 0)</f>
        <v/>
      </c>
      <c r="P54" s="44" t="inlineStr">
        <is>
          <t>Band n50 (1.5 GHz, 60 MHz)</t>
        </is>
      </c>
      <c r="Q54" s="38">
        <f>ROUNDUP(O54/'Methodology &amp; Assumptions'!$B$9, 0)</f>
        <v/>
      </c>
      <c r="R54" s="39" t="n">
        <v>1</v>
      </c>
      <c r="S54" s="25" t="n">
        <v>2.41</v>
      </c>
      <c r="T54" s="25" t="n">
        <v>1.9</v>
      </c>
      <c r="U54" s="42" t="inlineStr">
        <is>
          <t>Tier 1B (Micro Drop, 1-3 km)</t>
        </is>
      </c>
      <c r="V54" s="24" t="n">
        <v>54.8</v>
      </c>
      <c r="W54" s="24" t="n">
        <v>88.5</v>
      </c>
      <c r="X54" s="24" t="n">
        <v>58</v>
      </c>
      <c r="Y54" s="45">
        <f>ROUND((V54*'Methodology &amp; Assumptions'!$B$6)+(W54*'Methodology &amp; Assumptions'!$B$5)+(X54*'Methodology &amp; Assumptions'!$B$7), 2)</f>
        <v/>
      </c>
    </row>
    <row r="55" ht="19" customHeight="1">
      <c r="A55" s="35" t="n">
        <v>51</v>
      </c>
      <c r="B55" s="35" t="n">
        <v>3051</v>
      </c>
      <c r="C55" s="36" t="inlineStr">
        <is>
          <t>0304908009</t>
        </is>
      </c>
      <c r="D55" s="36" t="inlineStr">
        <is>
          <t>Region III (Central Luzon)</t>
        </is>
      </c>
      <c r="E55" s="36" t="inlineStr">
        <is>
          <t>Nueva Ecija</t>
        </is>
      </c>
      <c r="F55" s="36" t="inlineStr">
        <is>
          <t>City of Gapan</t>
        </is>
      </c>
      <c r="G55" s="36" t="inlineStr">
        <is>
          <t>Parcutela</t>
        </is>
      </c>
      <c r="H55" s="37" t="n">
        <v>15.225953</v>
      </c>
      <c r="I55" s="37" t="n">
        <v>120.946734</v>
      </c>
      <c r="J55" s="8" t="inlineStr">
        <is>
          <t>R</t>
        </is>
      </c>
      <c r="K55" s="36" t="inlineStr">
        <is>
          <t>Class 1-3 / Urban</t>
        </is>
      </c>
      <c r="L55" s="18" t="n">
        <v>1820</v>
      </c>
      <c r="M55" s="20" t="n">
        <v>4.32</v>
      </c>
      <c r="N55" s="18">
        <f>ROUND(L55/M55, 0)</f>
        <v/>
      </c>
      <c r="O55" s="18">
        <f>ROUND(N55*'Methodology &amp; Assumptions'!$B$8, 0)</f>
        <v/>
      </c>
      <c r="P55" s="8" t="inlineStr">
        <is>
          <t>Band n50 (1.5 GHz, 60 MHz)</t>
        </is>
      </c>
      <c r="Q55" s="38">
        <f>ROUNDUP(O55/'Methodology &amp; Assumptions'!$B$9, 0)</f>
        <v/>
      </c>
      <c r="R55" s="39" t="n">
        <v>1</v>
      </c>
      <c r="S55" s="21" t="n">
        <v>0.83</v>
      </c>
      <c r="T55" s="21" t="n">
        <v>0.84</v>
      </c>
      <c r="U55" s="36" t="inlineStr">
        <is>
          <t>Tier 1A (Direct Coloc, &lt;1 km)</t>
        </is>
      </c>
      <c r="V55" s="20" t="n">
        <v>85.7</v>
      </c>
      <c r="W55" s="20" t="n">
        <v>57.6</v>
      </c>
      <c r="X55" s="20" t="n">
        <v>58</v>
      </c>
      <c r="Y55" s="40">
        <f>ROUND((V55*'Methodology &amp; Assumptions'!$B$6)+(W55*'Methodology &amp; Assumptions'!$B$5)+(X55*'Methodology &amp; Assumptions'!$B$7), 2)</f>
        <v/>
      </c>
    </row>
    <row r="56" ht="19" customHeight="1">
      <c r="A56" s="41" t="n">
        <v>52</v>
      </c>
      <c r="B56" s="41" t="n">
        <v>3052</v>
      </c>
      <c r="C56" s="42" t="inlineStr">
        <is>
          <t>1430300116</t>
        </is>
      </c>
      <c r="D56" s="42" t="inlineStr">
        <is>
          <t>Cordillera Administrative Region (CAR)</t>
        </is>
      </c>
      <c r="E56" s="42" t="inlineStr">
        <is>
          <t>Benguet</t>
        </is>
      </c>
      <c r="F56" s="42" t="inlineStr">
        <is>
          <t>City of Baguio</t>
        </is>
      </c>
      <c r="G56" s="42" t="inlineStr">
        <is>
          <t>Quirino Hill, West</t>
        </is>
      </c>
      <c r="H56" s="43" t="n">
        <v>16.43046</v>
      </c>
      <c r="I56" s="43" t="n">
        <v>120.59154</v>
      </c>
      <c r="J56" s="44" t="inlineStr">
        <is>
          <t>R</t>
        </is>
      </c>
      <c r="K56" s="42" t="inlineStr">
        <is>
          <t>Class 1-3 / Urban</t>
        </is>
      </c>
      <c r="L56" s="23" t="n">
        <v>1792</v>
      </c>
      <c r="M56" s="24" t="n">
        <v>4.58</v>
      </c>
      <c r="N56" s="23">
        <f>ROUND(L56/M56, 0)</f>
        <v/>
      </c>
      <c r="O56" s="23">
        <f>ROUND(N56*'Methodology &amp; Assumptions'!$B$8, 0)</f>
        <v/>
      </c>
      <c r="P56" s="44" t="inlineStr">
        <is>
          <t>Band n50 (1.5 GHz, 60 MHz)</t>
        </is>
      </c>
      <c r="Q56" s="38">
        <f>ROUNDUP(O56/'Methodology &amp; Assumptions'!$B$9, 0)</f>
        <v/>
      </c>
      <c r="R56" s="39" t="n">
        <v>1</v>
      </c>
      <c r="S56" s="25" t="n">
        <v>0.59</v>
      </c>
      <c r="T56" s="25" t="n">
        <v>1.73</v>
      </c>
      <c r="U56" s="42" t="inlineStr">
        <is>
          <t>Tier 1A (Direct Coloc, &lt;1 km)</t>
        </is>
      </c>
      <c r="V56" s="24" t="n">
        <v>92.09999999999999</v>
      </c>
      <c r="W56" s="24" t="n">
        <v>51.2</v>
      </c>
      <c r="X56" s="24" t="n">
        <v>58</v>
      </c>
      <c r="Y56" s="45">
        <f>ROUND((V56*'Methodology &amp; Assumptions'!$B$6)+(W56*'Methodology &amp; Assumptions'!$B$5)+(X56*'Methodology &amp; Assumptions'!$B$7), 2)</f>
        <v/>
      </c>
    </row>
    <row r="57" ht="19" customHeight="1">
      <c r="A57" s="35" t="n">
        <v>53</v>
      </c>
      <c r="B57" s="35" t="n">
        <v>3053</v>
      </c>
      <c r="C57" s="36" t="inlineStr">
        <is>
          <t>0301405013</t>
        </is>
      </c>
      <c r="D57" s="36" t="inlineStr">
        <is>
          <t>Region III (Central Luzon)</t>
        </is>
      </c>
      <c r="E57" s="36" t="inlineStr">
        <is>
          <t>Bulacan</t>
        </is>
      </c>
      <c r="F57" s="36" t="inlineStr">
        <is>
          <t>Bulacan</t>
        </is>
      </c>
      <c r="G57" s="36" t="inlineStr">
        <is>
          <t>Santa Ana</t>
        </is>
      </c>
      <c r="H57" s="37" t="n">
        <v>14.787084</v>
      </c>
      <c r="I57" s="37" t="n">
        <v>120.882494</v>
      </c>
      <c r="J57" s="8" t="inlineStr">
        <is>
          <t>U</t>
        </is>
      </c>
      <c r="K57" s="36" t="inlineStr">
        <is>
          <t>Class 1-3 / Urban</t>
        </is>
      </c>
      <c r="L57" s="18" t="n">
        <v>7998</v>
      </c>
      <c r="M57" s="20" t="n">
        <v>4.1</v>
      </c>
      <c r="N57" s="18">
        <f>ROUND(L57/M57, 0)</f>
        <v/>
      </c>
      <c r="O57" s="18">
        <f>ROUND(N57*'Methodology &amp; Assumptions'!$B$8, 0)</f>
        <v/>
      </c>
      <c r="P57" s="8" t="inlineStr">
        <is>
          <t>Band n50 (1.5 GHz, 60 MHz)</t>
        </is>
      </c>
      <c r="Q57" s="38">
        <f>ROUNDUP(O57/'Methodology &amp; Assumptions'!$B$9, 0)</f>
        <v/>
      </c>
      <c r="R57" s="39" t="n">
        <v>1</v>
      </c>
      <c r="S57" s="21" t="n">
        <v>1.11</v>
      </c>
      <c r="T57" s="21" t="n">
        <v>4.28</v>
      </c>
      <c r="U57" s="36" t="inlineStr">
        <is>
          <t>Tier 1B (Micro Drop, 1-3 km)</t>
        </is>
      </c>
      <c r="V57" s="20" t="n">
        <v>69</v>
      </c>
      <c r="W57" s="20" t="n">
        <v>100</v>
      </c>
      <c r="X57" s="20" t="n">
        <v>28</v>
      </c>
      <c r="Y57" s="40">
        <f>ROUND((V57*'Methodology &amp; Assumptions'!$B$6)+(W57*'Methodology &amp; Assumptions'!$B$5)+(X57*'Methodology &amp; Assumptions'!$B$7), 2)</f>
        <v/>
      </c>
    </row>
    <row r="58" ht="19" customHeight="1">
      <c r="A58" s="41" t="n">
        <v>54</v>
      </c>
      <c r="B58" s="41" t="n">
        <v>3054</v>
      </c>
      <c r="C58" s="42" t="inlineStr">
        <is>
          <t>0405619047</t>
        </is>
      </c>
      <c r="D58" s="42" t="inlineStr">
        <is>
          <t>Region IV-A (CALABARZON)</t>
        </is>
      </c>
      <c r="E58" s="42" t="inlineStr">
        <is>
          <t>Quezon</t>
        </is>
      </c>
      <c r="F58" s="42" t="inlineStr">
        <is>
          <t>Gumaca</t>
        </is>
      </c>
      <c r="G58" s="42" t="inlineStr">
        <is>
          <t>Tabing Dagat</t>
        </is>
      </c>
      <c r="H58" s="43" t="n">
        <v>13.922482</v>
      </c>
      <c r="I58" s="43" t="n">
        <v>122.1028</v>
      </c>
      <c r="J58" s="44" t="inlineStr">
        <is>
          <t>U</t>
        </is>
      </c>
      <c r="K58" s="42" t="inlineStr">
        <is>
          <t>Class 1-3 / Urban</t>
        </is>
      </c>
      <c r="L58" s="23" t="n">
        <v>2867</v>
      </c>
      <c r="M58" s="24" t="n">
        <v>4.46</v>
      </c>
      <c r="N58" s="23">
        <f>ROUND(L58/M58, 0)</f>
        <v/>
      </c>
      <c r="O58" s="23">
        <f>ROUND(N58*'Methodology &amp; Assumptions'!$B$8, 0)</f>
        <v/>
      </c>
      <c r="P58" s="44" t="inlineStr">
        <is>
          <t>Band n50 (1.5 GHz, 60 MHz)</t>
        </is>
      </c>
      <c r="Q58" s="38">
        <f>ROUNDUP(O58/'Methodology &amp; Assumptions'!$B$9, 0)</f>
        <v/>
      </c>
      <c r="R58" s="39" t="n">
        <v>1</v>
      </c>
      <c r="S58" s="25" t="n">
        <v>0.54</v>
      </c>
      <c r="T58" s="25" t="n">
        <v>0.19</v>
      </c>
      <c r="U58" s="42" t="inlineStr">
        <is>
          <t>Tier 1A (Direct Coloc, &lt;1 km)</t>
        </is>
      </c>
      <c r="V58" s="24" t="n">
        <v>93.59999999999999</v>
      </c>
      <c r="W58" s="24" t="n">
        <v>75.5</v>
      </c>
      <c r="X58" s="24" t="n">
        <v>28</v>
      </c>
      <c r="Y58" s="45">
        <f>ROUND((V58*'Methodology &amp; Assumptions'!$B$6)+(W58*'Methodology &amp; Assumptions'!$B$5)+(X58*'Methodology &amp; Assumptions'!$B$7), 2)</f>
        <v/>
      </c>
    </row>
    <row r="59" ht="19" customHeight="1">
      <c r="A59" s="35" t="n">
        <v>55</v>
      </c>
      <c r="B59" s="35" t="n">
        <v>3055</v>
      </c>
      <c r="C59" s="36" t="inlineStr">
        <is>
          <t>0730600023</t>
        </is>
      </c>
      <c r="D59" s="36" t="inlineStr">
        <is>
          <t>Region VII (Central Visayas)</t>
        </is>
      </c>
      <c r="E59" s="36" t="inlineStr">
        <is>
          <t>Cebu</t>
        </is>
      </c>
      <c r="F59" s="36" t="inlineStr">
        <is>
          <t>City of Cebu</t>
        </is>
      </c>
      <c r="G59" s="36" t="inlineStr">
        <is>
          <t>Cogon Ramos</t>
        </is>
      </c>
      <c r="H59" s="37" t="n">
        <v>10.304634</v>
      </c>
      <c r="I59" s="37" t="n">
        <v>123.898513</v>
      </c>
      <c r="J59" s="8" t="inlineStr">
        <is>
          <t>U</t>
        </is>
      </c>
      <c r="K59" s="36" t="inlineStr">
        <is>
          <t>Class 1-3 / Urban</t>
        </is>
      </c>
      <c r="L59" s="18" t="n">
        <v>2693</v>
      </c>
      <c r="M59" s="20" t="n">
        <v>4.42</v>
      </c>
      <c r="N59" s="18">
        <f>ROUND(L59/M59, 0)</f>
        <v/>
      </c>
      <c r="O59" s="18">
        <f>ROUND(N59*'Methodology &amp; Assumptions'!$B$8, 0)</f>
        <v/>
      </c>
      <c r="P59" s="8" t="inlineStr">
        <is>
          <t>Band n50 (1.5 GHz, 60 MHz)</t>
        </is>
      </c>
      <c r="Q59" s="38">
        <f>ROUNDUP(O59/'Methodology &amp; Assumptions'!$B$9, 0)</f>
        <v/>
      </c>
      <c r="R59" s="39" t="n">
        <v>1</v>
      </c>
      <c r="S59" s="21" t="n">
        <v>0.44</v>
      </c>
      <c r="T59" s="21" t="n">
        <v>0.52</v>
      </c>
      <c r="U59" s="36" t="inlineStr">
        <is>
          <t>Tier 1A (Direct Coloc, &lt;1 km)</t>
        </is>
      </c>
      <c r="V59" s="20" t="n">
        <v>96.2</v>
      </c>
      <c r="W59" s="20" t="n">
        <v>72.8</v>
      </c>
      <c r="X59" s="20" t="n">
        <v>28</v>
      </c>
      <c r="Y59" s="40">
        <f>ROUND((V59*'Methodology &amp; Assumptions'!$B$6)+(W59*'Methodology &amp; Assumptions'!$B$5)+(X59*'Methodology &amp; Assumptions'!$B$7), 2)</f>
        <v/>
      </c>
    </row>
    <row r="60" ht="19" customHeight="1">
      <c r="A60" s="41" t="n">
        <v>56</v>
      </c>
      <c r="B60" s="41" t="n">
        <v>3056</v>
      </c>
      <c r="C60" s="42" t="inlineStr">
        <is>
          <t>1705203034</t>
        </is>
      </c>
      <c r="D60" s="42" t="inlineStr">
        <is>
          <t>MIMAROPA Region</t>
        </is>
      </c>
      <c r="E60" s="42" t="inlineStr">
        <is>
          <t>Oriental Mindoro</t>
        </is>
      </c>
      <c r="F60" s="42" t="inlineStr">
        <is>
          <t>Bongabong</t>
        </is>
      </c>
      <c r="G60" s="42" t="inlineStr">
        <is>
          <t>Bagumbayan I</t>
        </is>
      </c>
      <c r="H60" s="43" t="n">
        <v>12.749178</v>
      </c>
      <c r="I60" s="43" t="n">
        <v>121.479228</v>
      </c>
      <c r="J60" s="44" t="inlineStr">
        <is>
          <t>R</t>
        </is>
      </c>
      <c r="K60" s="42" t="inlineStr">
        <is>
          <t>Class 1-3 / Urban</t>
        </is>
      </c>
      <c r="L60" s="23" t="n">
        <v>2368</v>
      </c>
      <c r="M60" s="24" t="n">
        <v>4.41</v>
      </c>
      <c r="N60" s="23">
        <f>ROUND(L60/M60, 0)</f>
        <v/>
      </c>
      <c r="O60" s="23">
        <f>ROUND(N60*'Methodology &amp; Assumptions'!$B$8, 0)</f>
        <v/>
      </c>
      <c r="P60" s="44" t="inlineStr">
        <is>
          <t>Band n50 (1.5 GHz, 60 MHz)</t>
        </is>
      </c>
      <c r="Q60" s="38">
        <f>ROUNDUP(O60/'Methodology &amp; Assumptions'!$B$9, 0)</f>
        <v/>
      </c>
      <c r="R60" s="39" t="n">
        <v>1</v>
      </c>
      <c r="S60" s="25" t="n">
        <v>1.06</v>
      </c>
      <c r="T60" s="25" t="n">
        <v>0.33</v>
      </c>
      <c r="U60" s="42" t="inlineStr">
        <is>
          <t>Tier 1B (Micro Drop, 1-3 km)</t>
        </is>
      </c>
      <c r="V60" s="24" t="n">
        <v>80.3</v>
      </c>
      <c r="W60" s="24" t="n">
        <v>62.9</v>
      </c>
      <c r="X60" s="24" t="n">
        <v>58</v>
      </c>
      <c r="Y60" s="45">
        <f>ROUND((V60*'Methodology &amp; Assumptions'!$B$6)+(W60*'Methodology &amp; Assumptions'!$B$5)+(X60*'Methodology &amp; Assumptions'!$B$7), 2)</f>
        <v/>
      </c>
    </row>
    <row r="61" ht="19" customHeight="1">
      <c r="A61" s="35" t="n">
        <v>57</v>
      </c>
      <c r="B61" s="35" t="n">
        <v>3057</v>
      </c>
      <c r="C61" s="36" t="inlineStr">
        <is>
          <t>0330100030</t>
        </is>
      </c>
      <c r="D61" s="36" t="inlineStr">
        <is>
          <t>Region III (Central Luzon)</t>
        </is>
      </c>
      <c r="E61" s="36" t="inlineStr">
        <is>
          <t>Pampanga</t>
        </is>
      </c>
      <c r="F61" s="36" t="inlineStr">
        <is>
          <t>City of Angeles</t>
        </is>
      </c>
      <c r="G61" s="36" t="inlineStr">
        <is>
          <t>Sapalibutad</t>
        </is>
      </c>
      <c r="H61" s="37" t="n">
        <v>15.158183</v>
      </c>
      <c r="I61" s="37" t="n">
        <v>120.632033</v>
      </c>
      <c r="J61" s="8" t="inlineStr">
        <is>
          <t>U</t>
        </is>
      </c>
      <c r="K61" s="36" t="inlineStr">
        <is>
          <t>Class 1-3 / Urban</t>
        </is>
      </c>
      <c r="L61" s="18" t="n">
        <v>14280</v>
      </c>
      <c r="M61" s="20" t="n">
        <v>4.63</v>
      </c>
      <c r="N61" s="18">
        <f>ROUND(L61/M61, 0)</f>
        <v/>
      </c>
      <c r="O61" s="18">
        <f>ROUND(N61*'Methodology &amp; Assumptions'!$B$8, 0)</f>
        <v/>
      </c>
      <c r="P61" s="8" t="inlineStr">
        <is>
          <t>Band n50 (1.5 GHz, 60 MHz)</t>
        </is>
      </c>
      <c r="Q61" s="38">
        <f>ROUNDUP(O61/'Methodology &amp; Assumptions'!$B$9, 0)</f>
        <v/>
      </c>
      <c r="R61" s="39" t="n">
        <v>1</v>
      </c>
      <c r="S61" s="21" t="n">
        <v>1.58</v>
      </c>
      <c r="T61" s="21" t="n">
        <v>1.73</v>
      </c>
      <c r="U61" s="36" t="inlineStr">
        <is>
          <t>Tier 1B (Micro Drop, 1-3 km)</t>
        </is>
      </c>
      <c r="V61" s="20" t="n">
        <v>69</v>
      </c>
      <c r="W61" s="20" t="n">
        <v>100</v>
      </c>
      <c r="X61" s="20" t="n">
        <v>28</v>
      </c>
      <c r="Y61" s="40">
        <f>ROUND((V61*'Methodology &amp; Assumptions'!$B$6)+(W61*'Methodology &amp; Assumptions'!$B$5)+(X61*'Methodology &amp; Assumptions'!$B$7), 2)</f>
        <v/>
      </c>
    </row>
    <row r="62" ht="19" customHeight="1">
      <c r="A62" s="41" t="n">
        <v>58</v>
      </c>
      <c r="B62" s="41" t="n">
        <v>3058</v>
      </c>
      <c r="C62" s="42" t="inlineStr">
        <is>
          <t>0702221009</t>
        </is>
      </c>
      <c r="D62" s="42" t="inlineStr">
        <is>
          <t>Region VII (Central Visayas)</t>
        </is>
      </c>
      <c r="E62" s="42" t="inlineStr">
        <is>
          <t>Cebu</t>
        </is>
      </c>
      <c r="F62" s="42" t="inlineStr">
        <is>
          <t>Daanbantayan</t>
        </is>
      </c>
      <c r="G62" s="42" t="inlineStr">
        <is>
          <t>Lanao</t>
        </is>
      </c>
      <c r="H62" s="43" t="n">
        <v>11.245615</v>
      </c>
      <c r="I62" s="43" t="n">
        <v>124.028389</v>
      </c>
      <c r="J62" s="44" t="inlineStr">
        <is>
          <t>R</t>
        </is>
      </c>
      <c r="K62" s="42" t="inlineStr">
        <is>
          <t>Class 1-3 / Urban</t>
        </is>
      </c>
      <c r="L62" s="23" t="n">
        <v>4259</v>
      </c>
      <c r="M62" s="24" t="n">
        <v>4.42</v>
      </c>
      <c r="N62" s="23">
        <f>ROUND(L62/M62, 0)</f>
        <v/>
      </c>
      <c r="O62" s="23">
        <f>ROUND(N62*'Methodology &amp; Assumptions'!$B$8, 0)</f>
        <v/>
      </c>
      <c r="P62" s="44" t="inlineStr">
        <is>
          <t>Band n50 (1.5 GHz, 60 MHz)</t>
        </is>
      </c>
      <c r="Q62" s="38">
        <f>ROUNDUP(O62/'Methodology &amp; Assumptions'!$B$9, 0)</f>
        <v/>
      </c>
      <c r="R62" s="39" t="n">
        <v>1</v>
      </c>
      <c r="S62" s="25" t="n">
        <v>2.51</v>
      </c>
      <c r="T62" s="25" t="n">
        <v>2.03</v>
      </c>
      <c r="U62" s="42" t="inlineStr">
        <is>
          <t>Tier 1B (Micro Drop, 1-3 km)</t>
        </is>
      </c>
      <c r="V62" s="24" t="n">
        <v>43.3</v>
      </c>
      <c r="W62" s="24" t="n">
        <v>100</v>
      </c>
      <c r="X62" s="24" t="n">
        <v>58</v>
      </c>
      <c r="Y62" s="45">
        <f>ROUND((V62*'Methodology &amp; Assumptions'!$B$6)+(W62*'Methodology &amp; Assumptions'!$B$5)+(X62*'Methodology &amp; Assumptions'!$B$7), 2)</f>
        <v/>
      </c>
    </row>
    <row r="63" ht="19" customHeight="1">
      <c r="A63" s="35" t="n">
        <v>59</v>
      </c>
      <c r="B63" s="35" t="n">
        <v>3059</v>
      </c>
      <c r="C63" s="36" t="inlineStr">
        <is>
          <t>0500512012</t>
        </is>
      </c>
      <c r="D63" s="36" t="inlineStr">
        <is>
          <t>Region V (Bicol Region)</t>
        </is>
      </c>
      <c r="E63" s="36" t="inlineStr">
        <is>
          <t>Albay</t>
        </is>
      </c>
      <c r="F63" s="36" t="inlineStr">
        <is>
          <t>Oas</t>
        </is>
      </c>
      <c r="G63" s="36" t="inlineStr">
        <is>
          <t>Busac</t>
        </is>
      </c>
      <c r="H63" s="37" t="n">
        <v>13.254742</v>
      </c>
      <c r="I63" s="37" t="n">
        <v>123.50131</v>
      </c>
      <c r="J63" s="8" t="inlineStr">
        <is>
          <t>R</t>
        </is>
      </c>
      <c r="K63" s="36" t="inlineStr">
        <is>
          <t>Class 1-3 / Urban</t>
        </is>
      </c>
      <c r="L63" s="18" t="n">
        <v>2099</v>
      </c>
      <c r="M63" s="20" t="n">
        <v>4.67</v>
      </c>
      <c r="N63" s="18">
        <f>ROUND(L63/M63, 0)</f>
        <v/>
      </c>
      <c r="O63" s="18">
        <f>ROUND(N63*'Methodology &amp; Assumptions'!$B$8, 0)</f>
        <v/>
      </c>
      <c r="P63" s="8" t="inlineStr">
        <is>
          <t>Band n50 (1.5 GHz, 60 MHz)</t>
        </is>
      </c>
      <c r="Q63" s="38">
        <f>ROUNDUP(O63/'Methodology &amp; Assumptions'!$B$9, 0)</f>
        <v/>
      </c>
      <c r="R63" s="39" t="n">
        <v>1</v>
      </c>
      <c r="S63" s="21" t="n">
        <v>0.93</v>
      </c>
      <c r="T63" s="21" t="n">
        <v>0.5</v>
      </c>
      <c r="U63" s="36" t="inlineStr">
        <is>
          <t>Tier 1A (Direct Coloc, &lt;1 km)</t>
        </is>
      </c>
      <c r="V63" s="20" t="n">
        <v>83.3</v>
      </c>
      <c r="W63" s="20" t="n">
        <v>60</v>
      </c>
      <c r="X63" s="20" t="n">
        <v>58</v>
      </c>
      <c r="Y63" s="40">
        <f>ROUND((V63*'Methodology &amp; Assumptions'!$B$6)+(W63*'Methodology &amp; Assumptions'!$B$5)+(X63*'Methodology &amp; Assumptions'!$B$7), 2)</f>
        <v/>
      </c>
    </row>
    <row r="64" ht="19" customHeight="1">
      <c r="A64" s="41" t="n">
        <v>60</v>
      </c>
      <c r="B64" s="41" t="n">
        <v>3060</v>
      </c>
      <c r="C64" s="42" t="inlineStr">
        <is>
          <t>0306910024</t>
        </is>
      </c>
      <c r="D64" s="42" t="inlineStr">
        <is>
          <t>Region III (Central Luzon)</t>
        </is>
      </c>
      <c r="E64" s="42" t="inlineStr">
        <is>
          <t>Tarlac</t>
        </is>
      </c>
      <c r="F64" s="42" t="inlineStr">
        <is>
          <t>Paniqui</t>
        </is>
      </c>
      <c r="G64" s="42" t="inlineStr">
        <is>
          <t>Poblacion Norte</t>
        </is>
      </c>
      <c r="H64" s="43" t="n">
        <v>15.674856</v>
      </c>
      <c r="I64" s="43" t="n">
        <v>120.574083</v>
      </c>
      <c r="J64" s="44" t="inlineStr">
        <is>
          <t>U</t>
        </is>
      </c>
      <c r="K64" s="42" t="inlineStr">
        <is>
          <t>Class 1-3 / Urban</t>
        </is>
      </c>
      <c r="L64" s="23" t="n">
        <v>8825</v>
      </c>
      <c r="M64" s="24" t="n">
        <v>4.3</v>
      </c>
      <c r="N64" s="23">
        <f>ROUND(L64/M64, 0)</f>
        <v/>
      </c>
      <c r="O64" s="23">
        <f>ROUND(N64*'Methodology &amp; Assumptions'!$B$8, 0)</f>
        <v/>
      </c>
      <c r="P64" s="44" t="inlineStr">
        <is>
          <t>Band n50 (1.5 GHz, 60 MHz)</t>
        </is>
      </c>
      <c r="Q64" s="38">
        <f>ROUNDUP(O64/'Methodology &amp; Assumptions'!$B$9, 0)</f>
        <v/>
      </c>
      <c r="R64" s="39" t="n">
        <v>1</v>
      </c>
      <c r="S64" s="25" t="n">
        <v>1.58</v>
      </c>
      <c r="T64" s="25" t="n">
        <v>0.83</v>
      </c>
      <c r="U64" s="42" t="inlineStr">
        <is>
          <t>Tier 1B (Micro Drop, 1-3 km)</t>
        </is>
      </c>
      <c r="V64" s="24" t="n">
        <v>69</v>
      </c>
      <c r="W64" s="24" t="n">
        <v>100</v>
      </c>
      <c r="X64" s="24" t="n">
        <v>28</v>
      </c>
      <c r="Y64" s="45">
        <f>ROUND((V64*'Methodology &amp; Assumptions'!$B$6)+(W64*'Methodology &amp; Assumptions'!$B$5)+(X64*'Methodology &amp; Assumptions'!$B$7), 2)</f>
        <v/>
      </c>
    </row>
    <row r="65" ht="19" customHeight="1">
      <c r="A65" s="35" t="n">
        <v>61</v>
      </c>
      <c r="B65" s="35" t="n">
        <v>3061</v>
      </c>
      <c r="C65" s="36" t="inlineStr">
        <is>
          <t>0704606018</t>
        </is>
      </c>
      <c r="D65" s="36" t="inlineStr">
        <is>
          <t>Region VII (Central Visayas)</t>
        </is>
      </c>
      <c r="E65" s="36" t="inlineStr">
        <is>
          <t>Negros Oriental</t>
        </is>
      </c>
      <c r="F65" s="36" t="inlineStr">
        <is>
          <t>City of Bayawan</t>
        </is>
      </c>
      <c r="G65" s="36" t="inlineStr">
        <is>
          <t>Poblacion</t>
        </is>
      </c>
      <c r="H65" s="37" t="n">
        <v>9.36787</v>
      </c>
      <c r="I65" s="37" t="n">
        <v>122.81277</v>
      </c>
      <c r="J65" s="8" t="inlineStr">
        <is>
          <t>U</t>
        </is>
      </c>
      <c r="K65" s="36" t="inlineStr">
        <is>
          <t>Class 1-3 / Urban</t>
        </is>
      </c>
      <c r="L65" s="18" t="n">
        <v>2921</v>
      </c>
      <c r="M65" s="20" t="n">
        <v>4.33</v>
      </c>
      <c r="N65" s="18">
        <f>ROUND(L65/M65, 0)</f>
        <v/>
      </c>
      <c r="O65" s="18">
        <f>ROUND(N65*'Methodology &amp; Assumptions'!$B$8, 0)</f>
        <v/>
      </c>
      <c r="P65" s="8" t="inlineStr">
        <is>
          <t>Band n50 (1.5 GHz, 60 MHz)</t>
        </is>
      </c>
      <c r="Q65" s="38">
        <f>ROUNDUP(O65/'Methodology &amp; Assumptions'!$B$9, 0)</f>
        <v/>
      </c>
      <c r="R65" s="39" t="n">
        <v>1</v>
      </c>
      <c r="S65" s="21" t="n">
        <v>0.63</v>
      </c>
      <c r="T65" s="21" t="n">
        <v>0.6</v>
      </c>
      <c r="U65" s="36" t="inlineStr">
        <is>
          <t>Tier 1A (Direct Coloc, &lt;1 km)</t>
        </is>
      </c>
      <c r="V65" s="20" t="n">
        <v>91.09999999999999</v>
      </c>
      <c r="W65" s="20" t="n">
        <v>77.90000000000001</v>
      </c>
      <c r="X65" s="20" t="n">
        <v>28</v>
      </c>
      <c r="Y65" s="40">
        <f>ROUND((V65*'Methodology &amp; Assumptions'!$B$6)+(W65*'Methodology &amp; Assumptions'!$B$5)+(X65*'Methodology &amp; Assumptions'!$B$7), 2)</f>
        <v/>
      </c>
    </row>
    <row r="66" ht="19" customHeight="1">
      <c r="A66" s="41" t="n">
        <v>62</v>
      </c>
      <c r="B66" s="41" t="n">
        <v>3062</v>
      </c>
      <c r="C66" s="42" t="inlineStr">
        <is>
          <t>1102408014</t>
        </is>
      </c>
      <c r="D66" s="42" t="inlineStr">
        <is>
          <t>Region XI (Davao Region)</t>
        </is>
      </c>
      <c r="E66" s="42" t="inlineStr">
        <is>
          <t>Davao del Sur</t>
        </is>
      </c>
      <c r="F66" s="42" t="inlineStr">
        <is>
          <t>Malalag</t>
        </is>
      </c>
      <c r="G66" s="42" t="inlineStr">
        <is>
          <t>New Baclayon</t>
        </is>
      </c>
      <c r="H66" s="43" t="n">
        <v>6.582469</v>
      </c>
      <c r="I66" s="43" t="n">
        <v>125.368732</v>
      </c>
      <c r="J66" s="44" t="inlineStr">
        <is>
          <t>R</t>
        </is>
      </c>
      <c r="K66" s="42" t="inlineStr">
        <is>
          <t>Class 1-3 / Urban</t>
        </is>
      </c>
      <c r="L66" s="23" t="n">
        <v>4118</v>
      </c>
      <c r="M66" s="24" t="n">
        <v>4.1</v>
      </c>
      <c r="N66" s="23">
        <f>ROUND(L66/M66, 0)</f>
        <v/>
      </c>
      <c r="O66" s="23">
        <f>ROUND(N66*'Methodology &amp; Assumptions'!$B$8, 0)</f>
        <v/>
      </c>
      <c r="P66" s="44" t="inlineStr">
        <is>
          <t>Band n50 (1.5 GHz, 60 MHz)</t>
        </is>
      </c>
      <c r="Q66" s="38">
        <f>ROUNDUP(O66/'Methodology &amp; Assumptions'!$B$9, 0)</f>
        <v/>
      </c>
      <c r="R66" s="39" t="n">
        <v>1</v>
      </c>
      <c r="S66" s="25" t="n">
        <v>3.3</v>
      </c>
      <c r="T66" s="25" t="n">
        <v>1.44</v>
      </c>
      <c r="U66" s="42" t="inlineStr">
        <is>
          <t>Tier 2 (Fiber Corridor / Lateral, 3-5 km)</t>
        </is>
      </c>
      <c r="V66" s="24" t="n">
        <v>43.2</v>
      </c>
      <c r="W66" s="24" t="n">
        <v>100</v>
      </c>
      <c r="X66" s="24" t="n">
        <v>58</v>
      </c>
      <c r="Y66" s="45">
        <f>ROUND((V66*'Methodology &amp; Assumptions'!$B$6)+(W66*'Methodology &amp; Assumptions'!$B$5)+(X66*'Methodology &amp; Assumptions'!$B$7), 2)</f>
        <v/>
      </c>
    </row>
    <row r="67" ht="19" customHeight="1">
      <c r="A67" s="35" t="n">
        <v>63</v>
      </c>
      <c r="B67" s="35" t="n">
        <v>3063</v>
      </c>
      <c r="C67" s="36" t="inlineStr">
        <is>
          <t>0103301010</t>
        </is>
      </c>
      <c r="D67" s="36" t="inlineStr">
        <is>
          <t>Region I (Ilocos Region)</t>
        </is>
      </c>
      <c r="E67" s="36" t="inlineStr">
        <is>
          <t>La Union</t>
        </is>
      </c>
      <c r="F67" s="36" t="inlineStr">
        <is>
          <t>Agoo</t>
        </is>
      </c>
      <c r="G67" s="36" t="inlineStr">
        <is>
          <t>San Agustin East</t>
        </is>
      </c>
      <c r="H67" s="37" t="n">
        <v>16.332177</v>
      </c>
      <c r="I67" s="37" t="n">
        <v>120.376952</v>
      </c>
      <c r="J67" s="8" t="inlineStr">
        <is>
          <t>R</t>
        </is>
      </c>
      <c r="K67" s="36" t="inlineStr">
        <is>
          <t>Class 1-3 / Urban</t>
        </is>
      </c>
      <c r="L67" s="18" t="n">
        <v>2479</v>
      </c>
      <c r="M67" s="20" t="n">
        <v>4.42</v>
      </c>
      <c r="N67" s="18">
        <f>ROUND(L67/M67, 0)</f>
        <v/>
      </c>
      <c r="O67" s="18">
        <f>ROUND(N67*'Methodology &amp; Assumptions'!$B$8, 0)</f>
        <v/>
      </c>
      <c r="P67" s="8" t="inlineStr">
        <is>
          <t>Band n50 (1.5 GHz, 60 MHz)</t>
        </is>
      </c>
      <c r="Q67" s="38">
        <f>ROUNDUP(O67/'Methodology &amp; Assumptions'!$B$9, 0)</f>
        <v/>
      </c>
      <c r="R67" s="39" t="n">
        <v>1</v>
      </c>
      <c r="S67" s="21" t="n">
        <v>1.32</v>
      </c>
      <c r="T67" s="21" t="n">
        <v>0.34</v>
      </c>
      <c r="U67" s="36" t="inlineStr">
        <is>
          <t>Tier 1B (Micro Drop, 1-3 km)</t>
        </is>
      </c>
      <c r="V67" s="20" t="n">
        <v>74.40000000000001</v>
      </c>
      <c r="W67" s="20" t="n">
        <v>68.8</v>
      </c>
      <c r="X67" s="20" t="n">
        <v>58</v>
      </c>
      <c r="Y67" s="40">
        <f>ROUND((V67*'Methodology &amp; Assumptions'!$B$6)+(W67*'Methodology &amp; Assumptions'!$B$5)+(X67*'Methodology &amp; Assumptions'!$B$7), 2)</f>
        <v/>
      </c>
    </row>
    <row r="68" ht="19" customHeight="1">
      <c r="A68" s="41" t="n">
        <v>64</v>
      </c>
      <c r="B68" s="41" t="n">
        <v>3064</v>
      </c>
      <c r="C68" s="42" t="inlineStr">
        <is>
          <t>0301420024</t>
        </is>
      </c>
      <c r="D68" s="42" t="inlineStr">
        <is>
          <t>Region III (Central Luzon)</t>
        </is>
      </c>
      <c r="E68" s="42" t="inlineStr">
        <is>
          <t>Bulacan</t>
        </is>
      </c>
      <c r="F68" s="42" t="inlineStr">
        <is>
          <t>City of San Jose Del Monte</t>
        </is>
      </c>
      <c r="G68" s="42" t="inlineStr">
        <is>
          <t>Fatima III</t>
        </is>
      </c>
      <c r="H68" s="43" t="n">
        <v>14.845303</v>
      </c>
      <c r="I68" s="43" t="n">
        <v>121.045912</v>
      </c>
      <c r="J68" s="44" t="inlineStr">
        <is>
          <t>R</t>
        </is>
      </c>
      <c r="K68" s="42" t="inlineStr">
        <is>
          <t>Class 1-3 / Urban</t>
        </is>
      </c>
      <c r="L68" s="23" t="n">
        <v>1950</v>
      </c>
      <c r="M68" s="24" t="n">
        <v>4.1</v>
      </c>
      <c r="N68" s="23">
        <f>ROUND(L68/M68, 0)</f>
        <v/>
      </c>
      <c r="O68" s="23">
        <f>ROUND(N68*'Methodology &amp; Assumptions'!$B$8, 0)</f>
        <v/>
      </c>
      <c r="P68" s="44" t="inlineStr">
        <is>
          <t>Band n50 (1.5 GHz, 60 MHz)</t>
        </is>
      </c>
      <c r="Q68" s="38">
        <f>ROUNDUP(O68/'Methodology &amp; Assumptions'!$B$9, 0)</f>
        <v/>
      </c>
      <c r="R68" s="39" t="n">
        <v>1</v>
      </c>
      <c r="S68" s="25" t="n">
        <v>1.02</v>
      </c>
      <c r="T68" s="25" t="n">
        <v>1.69</v>
      </c>
      <c r="U68" s="42" t="inlineStr">
        <is>
          <t>Tier 1B (Micro Drop, 1-3 km)</t>
        </is>
      </c>
      <c r="V68" s="24" t="n">
        <v>81.09999999999999</v>
      </c>
      <c r="W68" s="24" t="n">
        <v>62.1</v>
      </c>
      <c r="X68" s="24" t="n">
        <v>58</v>
      </c>
      <c r="Y68" s="45">
        <f>ROUND((V68*'Methodology &amp; Assumptions'!$B$6)+(W68*'Methodology &amp; Assumptions'!$B$5)+(X68*'Methodology &amp; Assumptions'!$B$7), 2)</f>
        <v/>
      </c>
    </row>
    <row r="69" ht="19" customHeight="1">
      <c r="A69" s="35" t="n">
        <v>65</v>
      </c>
      <c r="B69" s="35" t="n">
        <v>3065</v>
      </c>
      <c r="C69" s="36" t="inlineStr">
        <is>
          <t>0405804021</t>
        </is>
      </c>
      <c r="D69" s="36" t="inlineStr">
        <is>
          <t>Region IV-A (CALABARZON)</t>
        </is>
      </c>
      <c r="E69" s="36" t="inlineStr">
        <is>
          <t>Rizal</t>
        </is>
      </c>
      <c r="F69" s="36" t="inlineStr">
        <is>
          <t>Binangonan</t>
        </is>
      </c>
      <c r="G69" s="36" t="inlineStr">
        <is>
          <t>Limbon-limbon</t>
        </is>
      </c>
      <c r="H69" s="37" t="n">
        <v>14.440911</v>
      </c>
      <c r="I69" s="37" t="n">
        <v>121.206338</v>
      </c>
      <c r="J69" s="8" t="inlineStr">
        <is>
          <t>R</t>
        </is>
      </c>
      <c r="K69" s="36" t="inlineStr">
        <is>
          <t>Class 1-3 / Urban</t>
        </is>
      </c>
      <c r="L69" s="18" t="n">
        <v>1702</v>
      </c>
      <c r="M69" s="20" t="n">
        <v>4.39</v>
      </c>
      <c r="N69" s="18">
        <f>ROUND(L69/M69, 0)</f>
        <v/>
      </c>
      <c r="O69" s="18">
        <f>ROUND(N69*'Methodology &amp; Assumptions'!$B$8, 0)</f>
        <v/>
      </c>
      <c r="P69" s="8" t="inlineStr">
        <is>
          <t>Band n50 (1.5 GHz, 60 MHz)</t>
        </is>
      </c>
      <c r="Q69" s="38">
        <f>ROUNDUP(O69/'Methodology &amp; Assumptions'!$B$9, 0)</f>
        <v/>
      </c>
      <c r="R69" s="39" t="n">
        <v>1</v>
      </c>
      <c r="S69" s="21" t="n">
        <v>0.37</v>
      </c>
      <c r="T69" s="21" t="n">
        <v>3.36</v>
      </c>
      <c r="U69" s="36" t="inlineStr">
        <is>
          <t>Tier 1A (Direct Coloc, &lt;1 km)</t>
        </is>
      </c>
      <c r="V69" s="20" t="n">
        <v>88.3</v>
      </c>
      <c r="W69" s="20" t="n">
        <v>54.9</v>
      </c>
      <c r="X69" s="20" t="n">
        <v>58</v>
      </c>
      <c r="Y69" s="40">
        <f>ROUND((V69*'Methodology &amp; Assumptions'!$B$6)+(W69*'Methodology &amp; Assumptions'!$B$5)+(X69*'Methodology &amp; Assumptions'!$B$7), 2)</f>
        <v/>
      </c>
    </row>
    <row r="70" ht="19" customHeight="1">
      <c r="A70" s="41" t="n">
        <v>66</v>
      </c>
      <c r="B70" s="41" t="n">
        <v>3066</v>
      </c>
      <c r="C70" s="42" t="inlineStr">
        <is>
          <t>0402113024</t>
        </is>
      </c>
      <c r="D70" s="42" t="inlineStr">
        <is>
          <t>Region IV-A (CALABARZON)</t>
        </is>
      </c>
      <c r="E70" s="42" t="inlineStr">
        <is>
          <t>Cavite</t>
        </is>
      </c>
      <c r="F70" s="42" t="inlineStr">
        <is>
          <t>Maragondon</t>
        </is>
      </c>
      <c r="G70" s="42" t="inlineStr">
        <is>
          <t>Garita I B</t>
        </is>
      </c>
      <c r="H70" s="43" t="n">
        <v>14.27704</v>
      </c>
      <c r="I70" s="43" t="n">
        <v>120.742898</v>
      </c>
      <c r="J70" s="44" t="inlineStr">
        <is>
          <t>R</t>
        </is>
      </c>
      <c r="K70" s="42" t="inlineStr">
        <is>
          <t>Class 1-3 / Urban</t>
        </is>
      </c>
      <c r="L70" s="23" t="n">
        <v>1572</v>
      </c>
      <c r="M70" s="24" t="n">
        <v>4.49</v>
      </c>
      <c r="N70" s="23">
        <f>ROUND(L70/M70, 0)</f>
        <v/>
      </c>
      <c r="O70" s="23">
        <f>ROUND(N70*'Methodology &amp; Assumptions'!$B$8, 0)</f>
        <v/>
      </c>
      <c r="P70" s="44" t="inlineStr">
        <is>
          <t>Band n50 (1.5 GHz, 60 MHz)</t>
        </is>
      </c>
      <c r="Q70" s="38">
        <f>ROUNDUP(O70/'Methodology &amp; Assumptions'!$B$9, 0)</f>
        <v/>
      </c>
      <c r="R70" s="39" t="n">
        <v>1</v>
      </c>
      <c r="S70" s="25" t="n">
        <v>0.62</v>
      </c>
      <c r="T70" s="25" t="n">
        <v>0.39</v>
      </c>
      <c r="U70" s="42" t="inlineStr">
        <is>
          <t>Tier 1A (Direct Coloc, &lt;1 km)</t>
        </is>
      </c>
      <c r="V70" s="24" t="n">
        <v>91.2</v>
      </c>
      <c r="W70" s="24" t="n">
        <v>52</v>
      </c>
      <c r="X70" s="24" t="n">
        <v>58</v>
      </c>
      <c r="Y70" s="45">
        <f>ROUND((V70*'Methodology &amp; Assumptions'!$B$6)+(W70*'Methodology &amp; Assumptions'!$B$5)+(X70*'Methodology &amp; Assumptions'!$B$7), 2)</f>
        <v/>
      </c>
    </row>
    <row r="71" ht="19" customHeight="1">
      <c r="A71" s="35" t="n">
        <v>67</v>
      </c>
      <c r="B71" s="35" t="n">
        <v>3067</v>
      </c>
      <c r="C71" s="36" t="inlineStr">
        <is>
          <t>0600413022</t>
        </is>
      </c>
      <c r="D71" s="36" t="inlineStr">
        <is>
          <t>Region VI (Western Visayas)</t>
        </is>
      </c>
      <c r="E71" s="36" t="inlineStr">
        <is>
          <t>Aklan</t>
        </is>
      </c>
      <c r="F71" s="36" t="inlineStr">
        <is>
          <t>Malinao</t>
        </is>
      </c>
      <c r="G71" s="36" t="inlineStr">
        <is>
          <t>Tambuan</t>
        </is>
      </c>
      <c r="H71" s="37" t="n">
        <v>11.623547</v>
      </c>
      <c r="I71" s="37" t="n">
        <v>122.296007</v>
      </c>
      <c r="J71" s="8" t="inlineStr">
        <is>
          <t>R</t>
        </is>
      </c>
      <c r="K71" s="36" t="inlineStr">
        <is>
          <t>3rd</t>
        </is>
      </c>
      <c r="L71" s="18" t="n">
        <v>1239</v>
      </c>
      <c r="M71" s="20" t="n">
        <v>4.28</v>
      </c>
      <c r="N71" s="18">
        <f>ROUND(L71/M71, 0)</f>
        <v/>
      </c>
      <c r="O71" s="18">
        <f>ROUND(N71*'Methodology &amp; Assumptions'!$B$8, 0)</f>
        <v/>
      </c>
      <c r="P71" s="8" t="inlineStr">
        <is>
          <t>Band n50 (1.5 GHz, 60 MHz)</t>
        </is>
      </c>
      <c r="Q71" s="38">
        <f>ROUNDUP(O71/'Methodology &amp; Assumptions'!$B$9, 0)</f>
        <v/>
      </c>
      <c r="R71" s="39" t="n">
        <v>1</v>
      </c>
      <c r="S71" s="21" t="n">
        <v>0.12</v>
      </c>
      <c r="T71" s="21" t="n">
        <v>4.56</v>
      </c>
      <c r="U71" s="36" t="inlineStr">
        <is>
          <t>Tier 1A (Direct Coloc, &lt;1 km)</t>
        </is>
      </c>
      <c r="V71" s="20" t="n">
        <v>96</v>
      </c>
      <c r="W71" s="20" t="n">
        <v>47.2</v>
      </c>
      <c r="X71" s="20" t="n">
        <v>58</v>
      </c>
      <c r="Y71" s="40">
        <f>ROUND((V71*'Methodology &amp; Assumptions'!$B$6)+(W71*'Methodology &amp; Assumptions'!$B$5)+(X71*'Methodology &amp; Assumptions'!$B$7), 2)</f>
        <v/>
      </c>
    </row>
    <row r="72" ht="19" customHeight="1">
      <c r="A72" s="41" t="n">
        <v>68</v>
      </c>
      <c r="B72" s="41" t="n">
        <v>3068</v>
      </c>
      <c r="C72" s="42" t="inlineStr">
        <is>
          <t>0300811019</t>
        </is>
      </c>
      <c r="D72" s="42" t="inlineStr">
        <is>
          <t>Region III (Central Luzon)</t>
        </is>
      </c>
      <c r="E72" s="42" t="inlineStr">
        <is>
          <t>Bataan</t>
        </is>
      </c>
      <c r="F72" s="42" t="inlineStr">
        <is>
          <t>Pilar</t>
        </is>
      </c>
      <c r="G72" s="42" t="inlineStr">
        <is>
          <t>Panilao</t>
        </is>
      </c>
      <c r="H72" s="43" t="n">
        <v>14.670109</v>
      </c>
      <c r="I72" s="43" t="n">
        <v>120.54982</v>
      </c>
      <c r="J72" s="44" t="inlineStr">
        <is>
          <t>U</t>
        </is>
      </c>
      <c r="K72" s="42" t="inlineStr">
        <is>
          <t>Class 1-3 / Urban</t>
        </is>
      </c>
      <c r="L72" s="23" t="n">
        <v>5857</v>
      </c>
      <c r="M72" s="24" t="n">
        <v>4.57</v>
      </c>
      <c r="N72" s="23">
        <f>ROUND(L72/M72, 0)</f>
        <v/>
      </c>
      <c r="O72" s="23">
        <f>ROUND(N72*'Methodology &amp; Assumptions'!$B$8, 0)</f>
        <v/>
      </c>
      <c r="P72" s="44" t="inlineStr">
        <is>
          <t>Band n50 (1.5 GHz, 60 MHz)</t>
        </is>
      </c>
      <c r="Q72" s="38">
        <f>ROUNDUP(O72/'Methodology &amp; Assumptions'!$B$9, 0)</f>
        <v/>
      </c>
      <c r="R72" s="39" t="n">
        <v>1</v>
      </c>
      <c r="S72" s="25" t="n">
        <v>1.59</v>
      </c>
      <c r="T72" s="25" t="n">
        <v>0.09</v>
      </c>
      <c r="U72" s="42" t="inlineStr">
        <is>
          <t>Tier 1B (Micro Drop, 1-3 km)</t>
        </is>
      </c>
      <c r="V72" s="24" t="n">
        <v>68.90000000000001</v>
      </c>
      <c r="W72" s="24" t="n">
        <v>100</v>
      </c>
      <c r="X72" s="24" t="n">
        <v>28</v>
      </c>
      <c r="Y72" s="45">
        <f>ROUND((V72*'Methodology &amp; Assumptions'!$B$6)+(W72*'Methodology &amp; Assumptions'!$B$5)+(X72*'Methodology &amp; Assumptions'!$B$7), 2)</f>
        <v/>
      </c>
    </row>
    <row r="73" ht="19" customHeight="1">
      <c r="A73" s="35" t="n">
        <v>69</v>
      </c>
      <c r="B73" s="35" t="n">
        <v>3069</v>
      </c>
      <c r="C73" s="36" t="inlineStr">
        <is>
          <t>0701201005</t>
        </is>
      </c>
      <c r="D73" s="36" t="inlineStr">
        <is>
          <t>Region VII (Central Visayas)</t>
        </is>
      </c>
      <c r="E73" s="36" t="inlineStr">
        <is>
          <t>Bohol</t>
        </is>
      </c>
      <c r="F73" s="36" t="inlineStr">
        <is>
          <t>Alburquerque</t>
        </is>
      </c>
      <c r="G73" s="36" t="inlineStr">
        <is>
          <t>East Poblacion</t>
        </is>
      </c>
      <c r="H73" s="37" t="n">
        <v>9.609519000000001</v>
      </c>
      <c r="I73" s="37" t="n">
        <v>123.958062</v>
      </c>
      <c r="J73" s="8" t="inlineStr">
        <is>
          <t>R</t>
        </is>
      </c>
      <c r="K73" s="36" t="inlineStr">
        <is>
          <t>4th</t>
        </is>
      </c>
      <c r="L73" s="18" t="n">
        <v>2241</v>
      </c>
      <c r="M73" s="20" t="n">
        <v>4.34</v>
      </c>
      <c r="N73" s="18">
        <f>ROUND(L73/M73, 0)</f>
        <v/>
      </c>
      <c r="O73" s="18">
        <f>ROUND(N73*'Methodology &amp; Assumptions'!$B$8, 0)</f>
        <v/>
      </c>
      <c r="P73" s="8" t="inlineStr">
        <is>
          <t>Band n50 (1.5 GHz, 60 MHz)</t>
        </is>
      </c>
      <c r="Q73" s="38">
        <f>ROUNDUP(O73/'Methodology &amp; Assumptions'!$B$9, 0)</f>
        <v/>
      </c>
      <c r="R73" s="39" t="n">
        <v>1</v>
      </c>
      <c r="S73" s="21" t="n">
        <v>2.33</v>
      </c>
      <c r="T73" s="21" t="n">
        <v>0.26</v>
      </c>
      <c r="U73" s="36" t="inlineStr">
        <is>
          <t>Tier 1B (Micro Drop, 1-3 km)</t>
        </is>
      </c>
      <c r="V73" s="20" t="n">
        <v>56</v>
      </c>
      <c r="W73" s="20" t="n">
        <v>65.3</v>
      </c>
      <c r="X73" s="20" t="n">
        <v>83.5</v>
      </c>
      <c r="Y73" s="40">
        <f>ROUND((V73*'Methodology &amp; Assumptions'!$B$6)+(W73*'Methodology &amp; Assumptions'!$B$5)+(X73*'Methodology &amp; Assumptions'!$B$7), 2)</f>
        <v/>
      </c>
    </row>
    <row r="74" ht="19" customHeight="1">
      <c r="A74" s="41" t="n">
        <v>70</v>
      </c>
      <c r="B74" s="41" t="n">
        <v>3070</v>
      </c>
      <c r="C74" s="42" t="inlineStr">
        <is>
          <t>0500507008</t>
        </is>
      </c>
      <c r="D74" s="42" t="inlineStr">
        <is>
          <t>Region V (Bicol Region)</t>
        </is>
      </c>
      <c r="E74" s="42" t="inlineStr">
        <is>
          <t>Albay</t>
        </is>
      </c>
      <c r="F74" s="42" t="inlineStr">
        <is>
          <t>Libon</t>
        </is>
      </c>
      <c r="G74" s="42" t="inlineStr">
        <is>
          <t>Zone V</t>
        </is>
      </c>
      <c r="H74" s="43" t="n">
        <v>13.301015</v>
      </c>
      <c r="I74" s="43" t="n">
        <v>123.438425</v>
      </c>
      <c r="J74" s="44" t="inlineStr">
        <is>
          <t>R</t>
        </is>
      </c>
      <c r="K74" s="42" t="inlineStr">
        <is>
          <t>Class 1-3 / Urban</t>
        </is>
      </c>
      <c r="L74" s="23" t="n">
        <v>1117</v>
      </c>
      <c r="M74" s="24" t="n">
        <v>4.67</v>
      </c>
      <c r="N74" s="23">
        <f>ROUND(L74/M74, 0)</f>
        <v/>
      </c>
      <c r="O74" s="23">
        <f>ROUND(N74*'Methodology &amp; Assumptions'!$B$8, 0)</f>
        <v/>
      </c>
      <c r="P74" s="44" t="inlineStr">
        <is>
          <t>Band n50 (1.5 GHz, 60 MHz)</t>
        </is>
      </c>
      <c r="Q74" s="38">
        <f>ROUNDUP(O74/'Methodology &amp; Assumptions'!$B$9, 0)</f>
        <v/>
      </c>
      <c r="R74" s="39" t="n">
        <v>1</v>
      </c>
      <c r="S74" s="25" t="n">
        <v>0.19</v>
      </c>
      <c r="T74" s="25" t="n">
        <v>1.97</v>
      </c>
      <c r="U74" s="42" t="inlineStr">
        <is>
          <t>Tier 1A (Direct Coloc, &lt;1 km)</t>
        </is>
      </c>
      <c r="V74" s="24" t="n">
        <v>100</v>
      </c>
      <c r="W74" s="24" t="n">
        <v>43.2</v>
      </c>
      <c r="X74" s="24" t="n">
        <v>58</v>
      </c>
      <c r="Y74" s="45">
        <f>ROUND((V74*'Methodology &amp; Assumptions'!$B$6)+(W74*'Methodology &amp; Assumptions'!$B$5)+(X74*'Methodology &amp; Assumptions'!$B$7), 2)</f>
        <v/>
      </c>
    </row>
    <row r="75" ht="19" customHeight="1">
      <c r="A75" s="35" t="n">
        <v>71</v>
      </c>
      <c r="B75" s="35" t="n">
        <v>3071</v>
      </c>
      <c r="C75" s="36" t="inlineStr">
        <is>
          <t>0330100035</t>
        </is>
      </c>
      <c r="D75" s="36" t="inlineStr">
        <is>
          <t>Region III (Central Luzon)</t>
        </is>
      </c>
      <c r="E75" s="36" t="inlineStr">
        <is>
          <t>Pampanga</t>
        </is>
      </c>
      <c r="F75" s="36" t="inlineStr">
        <is>
          <t>City of Angeles</t>
        </is>
      </c>
      <c r="G75" s="36" t="inlineStr">
        <is>
          <t>Amsic</t>
        </is>
      </c>
      <c r="H75" s="37" t="n">
        <v>15.15562</v>
      </c>
      <c r="I75" s="37" t="n">
        <v>120.57098</v>
      </c>
      <c r="J75" s="8" t="inlineStr">
        <is>
          <t>U</t>
        </is>
      </c>
      <c r="K75" s="36" t="inlineStr">
        <is>
          <t>Class 1-3 / Urban</t>
        </is>
      </c>
      <c r="L75" s="18" t="n">
        <v>16953</v>
      </c>
      <c r="M75" s="20" t="n">
        <v>4.63</v>
      </c>
      <c r="N75" s="18">
        <f>ROUND(L75/M75, 0)</f>
        <v/>
      </c>
      <c r="O75" s="18">
        <f>ROUND(N75*'Methodology &amp; Assumptions'!$B$8, 0)</f>
        <v/>
      </c>
      <c r="P75" s="8" t="inlineStr">
        <is>
          <t>Band n50 (1.5 GHz, 60 MHz)</t>
        </is>
      </c>
      <c r="Q75" s="38">
        <f>ROUNDUP(O75/'Methodology &amp; Assumptions'!$B$9, 0)</f>
        <v/>
      </c>
      <c r="R75" s="39" t="n">
        <v>1</v>
      </c>
      <c r="S75" s="21" t="n">
        <v>1.59</v>
      </c>
      <c r="T75" s="21" t="n">
        <v>0.92</v>
      </c>
      <c r="U75" s="36" t="inlineStr">
        <is>
          <t>Tier 1B (Micro Drop, 1-3 km)</t>
        </is>
      </c>
      <c r="V75" s="20" t="n">
        <v>68.90000000000001</v>
      </c>
      <c r="W75" s="20" t="n">
        <v>100</v>
      </c>
      <c r="X75" s="20" t="n">
        <v>28</v>
      </c>
      <c r="Y75" s="40">
        <f>ROUND((V75*'Methodology &amp; Assumptions'!$B$6)+(W75*'Methodology &amp; Assumptions'!$B$5)+(X75*'Methodology &amp; Assumptions'!$B$7), 2)</f>
        <v/>
      </c>
    </row>
    <row r="76" ht="19" customHeight="1">
      <c r="A76" s="41" t="n">
        <v>72</v>
      </c>
      <c r="B76" s="41" t="n">
        <v>3072</v>
      </c>
      <c r="C76" s="42" t="inlineStr">
        <is>
          <t>0105525004</t>
        </is>
      </c>
      <c r="D76" s="42" t="inlineStr">
        <is>
          <t>Region I (Ilocos Region)</t>
        </is>
      </c>
      <c r="E76" s="42" t="inlineStr">
        <is>
          <t>Pangasinan</t>
        </is>
      </c>
      <c r="F76" s="42" t="inlineStr">
        <is>
          <t>Manaoag</t>
        </is>
      </c>
      <c r="G76" s="42" t="inlineStr">
        <is>
          <t>Baritao</t>
        </is>
      </c>
      <c r="H76" s="43" t="n">
        <v>16.038726</v>
      </c>
      <c r="I76" s="43" t="n">
        <v>120.47577</v>
      </c>
      <c r="J76" s="44" t="inlineStr">
        <is>
          <t>U</t>
        </is>
      </c>
      <c r="K76" s="42" t="inlineStr">
        <is>
          <t>Class 1-3 / Urban</t>
        </is>
      </c>
      <c r="L76" s="23" t="n">
        <v>5576</v>
      </c>
      <c r="M76" s="24" t="n">
        <v>4.39</v>
      </c>
      <c r="N76" s="23">
        <f>ROUND(L76/M76, 0)</f>
        <v/>
      </c>
      <c r="O76" s="23">
        <f>ROUND(N76*'Methodology &amp; Assumptions'!$B$8, 0)</f>
        <v/>
      </c>
      <c r="P76" s="44" t="inlineStr">
        <is>
          <t>Band n50 (1.5 GHz, 60 MHz)</t>
        </is>
      </c>
      <c r="Q76" s="38">
        <f>ROUNDUP(O76/'Methodology &amp; Assumptions'!$B$9, 0)</f>
        <v/>
      </c>
      <c r="R76" s="39" t="n">
        <v>1</v>
      </c>
      <c r="S76" s="25" t="n">
        <v>1.12</v>
      </c>
      <c r="T76" s="25" t="n">
        <v>6.33</v>
      </c>
      <c r="U76" s="42" t="inlineStr">
        <is>
          <t>Tier 1B (Micro Drop, 1-3 km)</t>
        </is>
      </c>
      <c r="V76" s="24" t="n">
        <v>68.90000000000001</v>
      </c>
      <c r="W76" s="24" t="n">
        <v>100</v>
      </c>
      <c r="X76" s="24" t="n">
        <v>28</v>
      </c>
      <c r="Y76" s="45">
        <f>ROUND((V76*'Methodology &amp; Assumptions'!$B$6)+(W76*'Methodology &amp; Assumptions'!$B$5)+(X76*'Methodology &amp; Assumptions'!$B$7), 2)</f>
        <v/>
      </c>
    </row>
    <row r="77" ht="19" customHeight="1">
      <c r="A77" s="35" t="n">
        <v>73</v>
      </c>
      <c r="B77" s="35" t="n">
        <v>3073</v>
      </c>
      <c r="C77" s="36" t="inlineStr">
        <is>
          <t>0501724030</t>
        </is>
      </c>
      <c r="D77" s="36" t="inlineStr">
        <is>
          <t>Region V (Bicol Region)</t>
        </is>
      </c>
      <c r="E77" s="36" t="inlineStr">
        <is>
          <t>Camarines Sur</t>
        </is>
      </c>
      <c r="F77" s="36" t="inlineStr">
        <is>
          <t>City of Naga</t>
        </is>
      </c>
      <c r="G77" s="36" t="inlineStr">
        <is>
          <t>Tabuco</t>
        </is>
      </c>
      <c r="H77" s="37" t="n">
        <v>13.617789</v>
      </c>
      <c r="I77" s="37" t="n">
        <v>123.183528</v>
      </c>
      <c r="J77" s="8" t="inlineStr">
        <is>
          <t>U</t>
        </is>
      </c>
      <c r="K77" s="36" t="inlineStr">
        <is>
          <t>Class 1-3 / Urban</t>
        </is>
      </c>
      <c r="L77" s="18" t="n">
        <v>4240</v>
      </c>
      <c r="M77" s="20" t="n">
        <v>4.9</v>
      </c>
      <c r="N77" s="18">
        <f>ROUND(L77/M77, 0)</f>
        <v/>
      </c>
      <c r="O77" s="18">
        <f>ROUND(N77*'Methodology &amp; Assumptions'!$B$8, 0)</f>
        <v/>
      </c>
      <c r="P77" s="8" t="inlineStr">
        <is>
          <t>Band n50 (1.5 GHz, 60 MHz)</t>
        </is>
      </c>
      <c r="Q77" s="38">
        <f>ROUNDUP(O77/'Methodology &amp; Assumptions'!$B$9, 0)</f>
        <v/>
      </c>
      <c r="R77" s="39" t="n">
        <v>1</v>
      </c>
      <c r="S77" s="21" t="n">
        <v>1.27</v>
      </c>
      <c r="T77" s="21" t="n">
        <v>0.31</v>
      </c>
      <c r="U77" s="36" t="inlineStr">
        <is>
          <t>Tier 1B (Micro Drop, 1-3 km)</t>
        </is>
      </c>
      <c r="V77" s="20" t="n">
        <v>75.59999999999999</v>
      </c>
      <c r="W77" s="20" t="n">
        <v>93.3</v>
      </c>
      <c r="X77" s="20" t="n">
        <v>28</v>
      </c>
      <c r="Y77" s="40">
        <f>ROUND((V77*'Methodology &amp; Assumptions'!$B$6)+(W77*'Methodology &amp; Assumptions'!$B$5)+(X77*'Methodology &amp; Assumptions'!$B$7), 2)</f>
        <v/>
      </c>
    </row>
    <row r="78" ht="19" customHeight="1">
      <c r="A78" s="41" t="n">
        <v>74</v>
      </c>
      <c r="B78" s="41" t="n">
        <v>3074</v>
      </c>
      <c r="C78" s="42" t="inlineStr">
        <is>
          <t>0201520019</t>
        </is>
      </c>
      <c r="D78" s="42" t="inlineStr">
        <is>
          <t>Region II (Cagayan Valley)</t>
        </is>
      </c>
      <c r="E78" s="42" t="inlineStr">
        <is>
          <t>Cagayan</t>
        </is>
      </c>
      <c r="F78" s="42" t="inlineStr">
        <is>
          <t>Piat</t>
        </is>
      </c>
      <c r="G78" s="42" t="inlineStr">
        <is>
          <t>Poblacion II</t>
        </is>
      </c>
      <c r="H78" s="43" t="n">
        <v>17.793144</v>
      </c>
      <c r="I78" s="43" t="n">
        <v>121.475611</v>
      </c>
      <c r="J78" s="44" t="inlineStr">
        <is>
          <t>R</t>
        </is>
      </c>
      <c r="K78" s="42" t="inlineStr">
        <is>
          <t>3rd</t>
        </is>
      </c>
      <c r="L78" s="23" t="n">
        <v>1492</v>
      </c>
      <c r="M78" s="24" t="n">
        <v>4.27</v>
      </c>
      <c r="N78" s="23">
        <f>ROUND(L78/M78, 0)</f>
        <v/>
      </c>
      <c r="O78" s="23">
        <f>ROUND(N78*'Methodology &amp; Assumptions'!$B$8, 0)</f>
        <v/>
      </c>
      <c r="P78" s="44" t="inlineStr">
        <is>
          <t>Band n50 (1.5 GHz, 60 MHz)</t>
        </is>
      </c>
      <c r="Q78" s="38">
        <f>ROUNDUP(O78/'Methodology &amp; Assumptions'!$B$9, 0)</f>
        <v/>
      </c>
      <c r="R78" s="39" t="n">
        <v>1</v>
      </c>
      <c r="S78" s="25" t="n">
        <v>0.28</v>
      </c>
      <c r="T78" s="25" t="n">
        <v>8.76</v>
      </c>
      <c r="U78" s="42" t="inlineStr">
        <is>
          <t>Tier 1A (Direct Coloc, &lt;1 km)</t>
        </is>
      </c>
      <c r="V78" s="24" t="n">
        <v>91.2</v>
      </c>
      <c r="W78" s="24" t="n">
        <v>52</v>
      </c>
      <c r="X78" s="24" t="n">
        <v>58</v>
      </c>
      <c r="Y78" s="45">
        <f>ROUND((V78*'Methodology &amp; Assumptions'!$B$6)+(W78*'Methodology &amp; Assumptions'!$B$5)+(X78*'Methodology &amp; Assumptions'!$B$7), 2)</f>
        <v/>
      </c>
    </row>
    <row r="79" ht="19" customHeight="1">
      <c r="A79" s="35" t="n">
        <v>75</v>
      </c>
      <c r="B79" s="35" t="n">
        <v>3075</v>
      </c>
      <c r="C79" s="36" t="inlineStr">
        <is>
          <t>0306911007</t>
        </is>
      </c>
      <c r="D79" s="36" t="inlineStr">
        <is>
          <t>Region III (Central Luzon)</t>
        </is>
      </c>
      <c r="E79" s="36" t="inlineStr">
        <is>
          <t>Tarlac</t>
        </is>
      </c>
      <c r="F79" s="36" t="inlineStr">
        <is>
          <t>Pura</t>
        </is>
      </c>
      <c r="G79" s="36" t="inlineStr">
        <is>
          <t>Matindeg</t>
        </is>
      </c>
      <c r="H79" s="37" t="n">
        <v>15.618674</v>
      </c>
      <c r="I79" s="37" t="n">
        <v>120.650739</v>
      </c>
      <c r="J79" s="8" t="inlineStr">
        <is>
          <t>R</t>
        </is>
      </c>
      <c r="K79" s="36" t="inlineStr">
        <is>
          <t>3rd</t>
        </is>
      </c>
      <c r="L79" s="18" t="n">
        <v>1296</v>
      </c>
      <c r="M79" s="20" t="n">
        <v>4.22</v>
      </c>
      <c r="N79" s="18">
        <f>ROUND(L79/M79, 0)</f>
        <v/>
      </c>
      <c r="O79" s="18">
        <f>ROUND(N79*'Methodology &amp; Assumptions'!$B$8, 0)</f>
        <v/>
      </c>
      <c r="P79" s="8" t="inlineStr">
        <is>
          <t>Band n50 (1.5 GHz, 60 MHz)</t>
        </is>
      </c>
      <c r="Q79" s="38">
        <f>ROUNDUP(O79/'Methodology &amp; Assumptions'!$B$9, 0)</f>
        <v/>
      </c>
      <c r="R79" s="39" t="n">
        <v>1</v>
      </c>
      <c r="S79" s="21" t="n">
        <v>0.5</v>
      </c>
      <c r="T79" s="21" t="n">
        <v>0.52</v>
      </c>
      <c r="U79" s="36" t="inlineStr">
        <is>
          <t>Tier 1A (Direct Coloc, &lt;1 km)</t>
        </is>
      </c>
      <c r="V79" s="20" t="n">
        <v>94.59999999999999</v>
      </c>
      <c r="W79" s="20" t="n">
        <v>48.5</v>
      </c>
      <c r="X79" s="20" t="n">
        <v>58</v>
      </c>
      <c r="Y79" s="40">
        <f>ROUND((V79*'Methodology &amp; Assumptions'!$B$6)+(W79*'Methodology &amp; Assumptions'!$B$5)+(X79*'Methodology &amp; Assumptions'!$B$7), 2)</f>
        <v/>
      </c>
    </row>
    <row r="80" ht="19" customHeight="1">
      <c r="A80" s="41" t="n">
        <v>76</v>
      </c>
      <c r="B80" s="41" t="n">
        <v>3076</v>
      </c>
      <c r="C80" s="42" t="inlineStr">
        <is>
          <t>1130700186</t>
        </is>
      </c>
      <c r="D80" s="42" t="inlineStr">
        <is>
          <t>Region XI (Davao Region)</t>
        </is>
      </c>
      <c r="E80" s="42" t="inlineStr">
        <is>
          <t>Davao del Sur</t>
        </is>
      </c>
      <c r="F80" s="42" t="inlineStr">
        <is>
          <t>City of Davao</t>
        </is>
      </c>
      <c r="G80" s="42" t="inlineStr">
        <is>
          <t>Lapu-lapu</t>
        </is>
      </c>
      <c r="H80" s="43" t="n">
        <v>7.097698</v>
      </c>
      <c r="I80" s="43" t="n">
        <v>125.641931</v>
      </c>
      <c r="J80" s="44" t="inlineStr">
        <is>
          <t>U</t>
        </is>
      </c>
      <c r="K80" s="42" t="inlineStr">
        <is>
          <t>Class 1-3 / Urban</t>
        </is>
      </c>
      <c r="L80" s="23" t="n">
        <v>13205</v>
      </c>
      <c r="M80" s="24" t="n">
        <v>4.1</v>
      </c>
      <c r="N80" s="23">
        <f>ROUND(L80/M80, 0)</f>
        <v/>
      </c>
      <c r="O80" s="23">
        <f>ROUND(N80*'Methodology &amp; Assumptions'!$B$8, 0)</f>
        <v/>
      </c>
      <c r="P80" s="44" t="inlineStr">
        <is>
          <t>Band n50 (1.5 GHz, 60 MHz)</t>
        </is>
      </c>
      <c r="Q80" s="38">
        <f>ROUNDUP(O80/'Methodology &amp; Assumptions'!$B$9, 0)</f>
        <v/>
      </c>
      <c r="R80" s="39" t="n">
        <v>1</v>
      </c>
      <c r="S80" s="25" t="n">
        <v>1.59</v>
      </c>
      <c r="T80" s="25" t="n">
        <v>0.29</v>
      </c>
      <c r="U80" s="42" t="inlineStr">
        <is>
          <t>Tier 1B (Micro Drop, 1-3 km)</t>
        </is>
      </c>
      <c r="V80" s="24" t="n">
        <v>68.90000000000001</v>
      </c>
      <c r="W80" s="24" t="n">
        <v>100</v>
      </c>
      <c r="X80" s="24" t="n">
        <v>28</v>
      </c>
      <c r="Y80" s="45">
        <f>ROUND((V80*'Methodology &amp; Assumptions'!$B$6)+(W80*'Methodology &amp; Assumptions'!$B$5)+(X80*'Methodology &amp; Assumptions'!$B$7), 2)</f>
        <v/>
      </c>
    </row>
    <row r="81" ht="19" customHeight="1">
      <c r="A81" s="35" t="n">
        <v>77</v>
      </c>
      <c r="B81" s="35" t="n">
        <v>3077</v>
      </c>
      <c r="C81" s="36" t="inlineStr">
        <is>
          <t>0403424054</t>
        </is>
      </c>
      <c r="D81" s="36" t="inlineStr">
        <is>
          <t>Region IV-A (CALABARZON)</t>
        </is>
      </c>
      <c r="E81" s="36" t="inlineStr">
        <is>
          <t>Laguna</t>
        </is>
      </c>
      <c r="F81" s="36" t="inlineStr">
        <is>
          <t>City of San Pablo</t>
        </is>
      </c>
      <c r="G81" s="36" t="inlineStr">
        <is>
          <t>San Juan</t>
        </is>
      </c>
      <c r="H81" s="37" t="n">
        <v>14.09123</v>
      </c>
      <c r="I81" s="37" t="n">
        <v>121.29695</v>
      </c>
      <c r="J81" s="8" t="inlineStr">
        <is>
          <t>R</t>
        </is>
      </c>
      <c r="K81" s="36" t="inlineStr">
        <is>
          <t>Class 1-3 / Urban</t>
        </is>
      </c>
      <c r="L81" s="18" t="n">
        <v>3356</v>
      </c>
      <c r="M81" s="20" t="n">
        <v>4.2</v>
      </c>
      <c r="N81" s="18">
        <f>ROUND(L81/M81, 0)</f>
        <v/>
      </c>
      <c r="O81" s="18">
        <f>ROUND(N81*'Methodology &amp; Assumptions'!$B$8, 0)</f>
        <v/>
      </c>
      <c r="P81" s="8" t="inlineStr">
        <is>
          <t>Band n50 (1.5 GHz, 60 MHz)</t>
        </is>
      </c>
      <c r="Q81" s="38">
        <f>ROUNDUP(O81/'Methodology &amp; Assumptions'!$B$9, 0)</f>
        <v/>
      </c>
      <c r="R81" s="39" t="n">
        <v>1</v>
      </c>
      <c r="S81" s="21" t="n">
        <v>2.39</v>
      </c>
      <c r="T81" s="21" t="n">
        <v>0.79</v>
      </c>
      <c r="U81" s="36" t="inlineStr">
        <is>
          <t>Tier 1B (Micro Drop, 1-3 km)</t>
        </is>
      </c>
      <c r="V81" s="20" t="n">
        <v>55.1</v>
      </c>
      <c r="W81" s="20" t="n">
        <v>88</v>
      </c>
      <c r="X81" s="20" t="n">
        <v>58</v>
      </c>
      <c r="Y81" s="40">
        <f>ROUND((V81*'Methodology &amp; Assumptions'!$B$6)+(W81*'Methodology &amp; Assumptions'!$B$5)+(X81*'Methodology &amp; Assumptions'!$B$7), 2)</f>
        <v/>
      </c>
    </row>
    <row r="82" ht="19" customHeight="1">
      <c r="A82" s="41" t="n">
        <v>78</v>
      </c>
      <c r="B82" s="41" t="n">
        <v>3078</v>
      </c>
      <c r="C82" s="42" t="inlineStr">
        <is>
          <t>0102908014</t>
        </is>
      </c>
      <c r="D82" s="42" t="inlineStr">
        <is>
          <t>Region I (Ilocos Region)</t>
        </is>
      </c>
      <c r="E82" s="42" t="inlineStr">
        <is>
          <t>Ilocos Sur</t>
        </is>
      </c>
      <c r="F82" s="42" t="inlineStr">
        <is>
          <t>Cervantes</t>
        </is>
      </c>
      <c r="G82" s="42" t="inlineStr">
        <is>
          <t>Rosario</t>
        </is>
      </c>
      <c r="H82" s="43" t="n">
        <v>16.986236</v>
      </c>
      <c r="I82" s="43" t="n">
        <v>120.736881</v>
      </c>
      <c r="J82" s="44" t="inlineStr">
        <is>
          <t>R</t>
        </is>
      </c>
      <c r="K82" s="42" t="inlineStr">
        <is>
          <t>1st</t>
        </is>
      </c>
      <c r="L82" s="23" t="n">
        <v>2344</v>
      </c>
      <c r="M82" s="24" t="n">
        <v>4.65</v>
      </c>
      <c r="N82" s="23">
        <f>ROUND(L82/M82, 0)</f>
        <v/>
      </c>
      <c r="O82" s="23">
        <f>ROUND(N82*'Methodology &amp; Assumptions'!$B$8, 0)</f>
        <v/>
      </c>
      <c r="P82" s="44" t="inlineStr">
        <is>
          <t>Band n50 (1.5 GHz, 60 MHz)</t>
        </is>
      </c>
      <c r="Q82" s="38">
        <f>ROUNDUP(O82/'Methodology &amp; Assumptions'!$B$9, 0)</f>
        <v/>
      </c>
      <c r="R82" s="39" t="n">
        <v>1</v>
      </c>
      <c r="S82" s="25" t="n">
        <v>1.12</v>
      </c>
      <c r="T82" s="25" t="n">
        <v>0.03</v>
      </c>
      <c r="U82" s="42" t="inlineStr">
        <is>
          <t>Tier 1B (Micro Drop, 1-3 km)</t>
        </is>
      </c>
      <c r="V82" s="24" t="n">
        <v>78.90000000000001</v>
      </c>
      <c r="W82" s="24" t="n">
        <v>64.3</v>
      </c>
      <c r="X82" s="24" t="n">
        <v>58</v>
      </c>
      <c r="Y82" s="45">
        <f>ROUND((V82*'Methodology &amp; Assumptions'!$B$6)+(W82*'Methodology &amp; Assumptions'!$B$5)+(X82*'Methodology &amp; Assumptions'!$B$7), 2)</f>
        <v/>
      </c>
    </row>
    <row r="83" ht="19" customHeight="1">
      <c r="A83" s="35" t="n">
        <v>79</v>
      </c>
      <c r="B83" s="35" t="n">
        <v>3079</v>
      </c>
      <c r="C83" s="36" t="inlineStr">
        <is>
          <t>0203127008</t>
        </is>
      </c>
      <c r="D83" s="36" t="inlineStr">
        <is>
          <t>Region II (Cagayan Valley)</t>
        </is>
      </c>
      <c r="E83" s="36" t="inlineStr">
        <is>
          <t>Isabela</t>
        </is>
      </c>
      <c r="F83" s="36" t="inlineStr">
        <is>
          <t>San Agustin</t>
        </is>
      </c>
      <c r="G83" s="36" t="inlineStr">
        <is>
          <t>Masaya Centro</t>
        </is>
      </c>
      <c r="H83" s="37" t="n">
        <v>16.508278</v>
      </c>
      <c r="I83" s="37" t="n">
        <v>121.74635</v>
      </c>
      <c r="J83" s="8" t="inlineStr">
        <is>
          <t>R</t>
        </is>
      </c>
      <c r="K83" s="36" t="inlineStr">
        <is>
          <t>Class 1-3 / Urban</t>
        </is>
      </c>
      <c r="L83" s="18" t="n">
        <v>1521</v>
      </c>
      <c r="M83" s="20" t="n">
        <v>4.3</v>
      </c>
      <c r="N83" s="18">
        <f>ROUND(L83/M83, 0)</f>
        <v/>
      </c>
      <c r="O83" s="18">
        <f>ROUND(N83*'Methodology &amp; Assumptions'!$B$8, 0)</f>
        <v/>
      </c>
      <c r="P83" s="8" t="inlineStr">
        <is>
          <t>Band n50 (1.5 GHz, 60 MHz)</t>
        </is>
      </c>
      <c r="Q83" s="38">
        <f>ROUNDUP(O83/'Methodology &amp; Assumptions'!$B$9, 0)</f>
        <v/>
      </c>
      <c r="R83" s="39" t="n">
        <v>1</v>
      </c>
      <c r="S83" s="21" t="n">
        <v>0.29</v>
      </c>
      <c r="T83" s="21" t="n">
        <v>13.16</v>
      </c>
      <c r="U83" s="36" t="inlineStr">
        <is>
          <t>Tier 1A (Direct Coloc, &lt;1 km)</t>
        </is>
      </c>
      <c r="V83" s="20" t="n">
        <v>90.90000000000001</v>
      </c>
      <c r="W83" s="20" t="n">
        <v>52.3</v>
      </c>
      <c r="X83" s="20" t="n">
        <v>58</v>
      </c>
      <c r="Y83" s="40">
        <f>ROUND((V83*'Methodology &amp; Assumptions'!$B$6)+(W83*'Methodology &amp; Assumptions'!$B$5)+(X83*'Methodology &amp; Assumptions'!$B$7), 2)</f>
        <v/>
      </c>
    </row>
    <row r="84" ht="19" customHeight="1">
      <c r="A84" s="41" t="n">
        <v>80</v>
      </c>
      <c r="B84" s="41" t="n">
        <v>3080</v>
      </c>
      <c r="C84" s="42" t="inlineStr">
        <is>
          <t>0907322005</t>
        </is>
      </c>
      <c r="D84" s="42" t="inlineStr">
        <is>
          <t>Region IX (Zamboanga Peninsula)</t>
        </is>
      </c>
      <c r="E84" s="42" t="inlineStr">
        <is>
          <t>Zamboanga del Sur</t>
        </is>
      </c>
      <c r="F84" s="42" t="inlineStr">
        <is>
          <t>City of Pagadian</t>
        </is>
      </c>
      <c r="G84" s="42" t="inlineStr">
        <is>
          <t>Banale</t>
        </is>
      </c>
      <c r="H84" s="43" t="n">
        <v>7.833629</v>
      </c>
      <c r="I84" s="43" t="n">
        <v>123.425139</v>
      </c>
      <c r="J84" s="44" t="inlineStr">
        <is>
          <t>U</t>
        </is>
      </c>
      <c r="K84" s="42" t="inlineStr">
        <is>
          <t>Class 1-3 / Urban</t>
        </is>
      </c>
      <c r="L84" s="23" t="n">
        <v>8724</v>
      </c>
      <c r="M84" s="24" t="n">
        <v>4.61</v>
      </c>
      <c r="N84" s="23">
        <f>ROUND(L84/M84, 0)</f>
        <v/>
      </c>
      <c r="O84" s="23">
        <f>ROUND(N84*'Methodology &amp; Assumptions'!$B$8, 0)</f>
        <v/>
      </c>
      <c r="P84" s="44" t="inlineStr">
        <is>
          <t>Band n50 (1.5 GHz, 60 MHz)</t>
        </is>
      </c>
      <c r="Q84" s="38">
        <f>ROUNDUP(O84/'Methodology &amp; Assumptions'!$B$9, 0)</f>
        <v/>
      </c>
      <c r="R84" s="39" t="n">
        <v>1</v>
      </c>
      <c r="S84" s="25" t="n">
        <v>1.59</v>
      </c>
      <c r="T84" s="25" t="n">
        <v>0.51</v>
      </c>
      <c r="U84" s="42" t="inlineStr">
        <is>
          <t>Tier 1B (Micro Drop, 1-3 km)</t>
        </is>
      </c>
      <c r="V84" s="24" t="n">
        <v>68.8</v>
      </c>
      <c r="W84" s="24" t="n">
        <v>100</v>
      </c>
      <c r="X84" s="24" t="n">
        <v>28</v>
      </c>
      <c r="Y84" s="45">
        <f>ROUND((V84*'Methodology &amp; Assumptions'!$B$6)+(W84*'Methodology &amp; Assumptions'!$B$5)+(X84*'Methodology &amp; Assumptions'!$B$7), 2)</f>
        <v/>
      </c>
    </row>
    <row r="85" ht="19" customHeight="1">
      <c r="A85" s="35" t="n">
        <v>81</v>
      </c>
      <c r="B85" s="35" t="n">
        <v>3081</v>
      </c>
      <c r="C85" s="36" t="inlineStr">
        <is>
          <t>0501603021</t>
        </is>
      </c>
      <c r="D85" s="36" t="inlineStr">
        <is>
          <t>Region V (Bicol Region)</t>
        </is>
      </c>
      <c r="E85" s="36" t="inlineStr">
        <is>
          <t>Camarines Norte</t>
        </is>
      </c>
      <c r="F85" s="36" t="inlineStr">
        <is>
          <t>Daet</t>
        </is>
      </c>
      <c r="G85" s="36" t="inlineStr">
        <is>
          <t>Mancruz</t>
        </is>
      </c>
      <c r="H85" s="37" t="n">
        <v>14.0918</v>
      </c>
      <c r="I85" s="37" t="n">
        <v>122.9548</v>
      </c>
      <c r="J85" s="8" t="inlineStr">
        <is>
          <t>R</t>
        </is>
      </c>
      <c r="K85" s="36" t="inlineStr">
        <is>
          <t>Class 1-3 / Urban</t>
        </is>
      </c>
      <c r="L85" s="18" t="n">
        <v>3634</v>
      </c>
      <c r="M85" s="20" t="n">
        <v>4.4</v>
      </c>
      <c r="N85" s="18">
        <f>ROUND(L85/M85, 0)</f>
        <v/>
      </c>
      <c r="O85" s="18">
        <f>ROUND(N85*'Methodology &amp; Assumptions'!$B$8, 0)</f>
        <v/>
      </c>
      <c r="P85" s="8" t="inlineStr">
        <is>
          <t>Band n50 (1.5 GHz, 60 MHz)</t>
        </is>
      </c>
      <c r="Q85" s="38">
        <f>ROUNDUP(O85/'Methodology &amp; Assumptions'!$B$9, 0)</f>
        <v/>
      </c>
      <c r="R85" s="39" t="n">
        <v>1</v>
      </c>
      <c r="S85" s="21" t="n">
        <v>2.53</v>
      </c>
      <c r="T85" s="21" t="n">
        <v>1.01</v>
      </c>
      <c r="U85" s="36" t="inlineStr">
        <is>
          <t>Tier 1B (Micro Drop, 1-3 km)</t>
        </is>
      </c>
      <c r="V85" s="20" t="n">
        <v>53</v>
      </c>
      <c r="W85" s="20" t="n">
        <v>90.09999999999999</v>
      </c>
      <c r="X85" s="20" t="n">
        <v>58</v>
      </c>
      <c r="Y85" s="40">
        <f>ROUND((V85*'Methodology &amp; Assumptions'!$B$6)+(W85*'Methodology &amp; Assumptions'!$B$5)+(X85*'Methodology &amp; Assumptions'!$B$7), 2)</f>
        <v/>
      </c>
    </row>
    <row r="86" ht="19" customHeight="1">
      <c r="A86" s="41" t="n">
        <v>82</v>
      </c>
      <c r="B86" s="41" t="n">
        <v>3082</v>
      </c>
      <c r="C86" s="42" t="inlineStr">
        <is>
          <t>0301419025</t>
        </is>
      </c>
      <c r="D86" s="42" t="inlineStr">
        <is>
          <t>Region III (Central Luzon)</t>
        </is>
      </c>
      <c r="E86" s="42" t="inlineStr">
        <is>
          <t>Bulacan</t>
        </is>
      </c>
      <c r="F86" s="42" t="inlineStr">
        <is>
          <t>San Ildefonso</t>
        </is>
      </c>
      <c r="G86" s="42" t="inlineStr">
        <is>
          <t>Pinaod</t>
        </is>
      </c>
      <c r="H86" s="43" t="n">
        <v>15.072164</v>
      </c>
      <c r="I86" s="43" t="n">
        <v>120.957693</v>
      </c>
      <c r="J86" s="44" t="inlineStr">
        <is>
          <t>U</t>
        </is>
      </c>
      <c r="K86" s="42" t="inlineStr">
        <is>
          <t>Class 1-3 / Urban</t>
        </is>
      </c>
      <c r="L86" s="23" t="n">
        <v>7738</v>
      </c>
      <c r="M86" s="24" t="n">
        <v>4.1</v>
      </c>
      <c r="N86" s="23">
        <f>ROUND(L86/M86, 0)</f>
        <v/>
      </c>
      <c r="O86" s="23">
        <f>ROUND(N86*'Methodology &amp; Assumptions'!$B$8, 0)</f>
        <v/>
      </c>
      <c r="P86" s="44" t="inlineStr">
        <is>
          <t>Band n50 (1.5 GHz, 60 MHz)</t>
        </is>
      </c>
      <c r="Q86" s="38">
        <f>ROUNDUP(O86/'Methodology &amp; Assumptions'!$B$9, 0)</f>
        <v/>
      </c>
      <c r="R86" s="39" t="n">
        <v>1</v>
      </c>
      <c r="S86" s="25" t="n">
        <v>1.59</v>
      </c>
      <c r="T86" s="25" t="n">
        <v>1.45</v>
      </c>
      <c r="U86" s="42" t="inlineStr">
        <is>
          <t>Tier 1B (Micro Drop, 1-3 km)</t>
        </is>
      </c>
      <c r="V86" s="24" t="n">
        <v>68.8</v>
      </c>
      <c r="W86" s="24" t="n">
        <v>100</v>
      </c>
      <c r="X86" s="24" t="n">
        <v>28</v>
      </c>
      <c r="Y86" s="45">
        <f>ROUND((V86*'Methodology &amp; Assumptions'!$B$6)+(W86*'Methodology &amp; Assumptions'!$B$5)+(X86*'Methodology &amp; Assumptions'!$B$7), 2)</f>
        <v/>
      </c>
    </row>
    <row r="87" ht="19" customHeight="1">
      <c r="A87" s="35" t="n">
        <v>83</v>
      </c>
      <c r="B87" s="35" t="n">
        <v>3083</v>
      </c>
      <c r="C87" s="36" t="inlineStr">
        <is>
          <t>0105512024</t>
        </is>
      </c>
      <c r="D87" s="36" t="inlineStr">
        <is>
          <t>Region I (Ilocos Region)</t>
        </is>
      </c>
      <c r="E87" s="36" t="inlineStr">
        <is>
          <t>Pangasinan</t>
        </is>
      </c>
      <c r="F87" s="36" t="inlineStr">
        <is>
          <t>Binalonan</t>
        </is>
      </c>
      <c r="G87" s="36" t="inlineStr">
        <is>
          <t>Sumabnit</t>
        </is>
      </c>
      <c r="H87" s="37" t="n">
        <v>16.03026</v>
      </c>
      <c r="I87" s="37" t="n">
        <v>120.5823</v>
      </c>
      <c r="J87" s="8" t="inlineStr">
        <is>
          <t>U</t>
        </is>
      </c>
      <c r="K87" s="36" t="inlineStr">
        <is>
          <t>Class 1-3 / Urban</t>
        </is>
      </c>
      <c r="L87" s="18" t="n">
        <v>4948</v>
      </c>
      <c r="M87" s="20" t="n">
        <v>4.39</v>
      </c>
      <c r="N87" s="18">
        <f>ROUND(L87/M87, 0)</f>
        <v/>
      </c>
      <c r="O87" s="18">
        <f>ROUND(N87*'Methodology &amp; Assumptions'!$B$8, 0)</f>
        <v/>
      </c>
      <c r="P87" s="8" t="inlineStr">
        <is>
          <t>Band n50 (1.5 GHz, 60 MHz)</t>
        </is>
      </c>
      <c r="Q87" s="38">
        <f>ROUNDUP(O87/'Methodology &amp; Assumptions'!$B$9, 0)</f>
        <v/>
      </c>
      <c r="R87" s="39" t="n">
        <v>1</v>
      </c>
      <c r="S87" s="21" t="n">
        <v>1.59</v>
      </c>
      <c r="T87" s="21" t="n">
        <v>0.41</v>
      </c>
      <c r="U87" s="36" t="inlineStr">
        <is>
          <t>Tier 1B (Micro Drop, 1-3 km)</t>
        </is>
      </c>
      <c r="V87" s="20" t="n">
        <v>68.8</v>
      </c>
      <c r="W87" s="20" t="n">
        <v>100</v>
      </c>
      <c r="X87" s="20" t="n">
        <v>28</v>
      </c>
      <c r="Y87" s="40">
        <f>ROUND((V87*'Methodology &amp; Assumptions'!$B$6)+(W87*'Methodology &amp; Assumptions'!$B$5)+(X87*'Methodology &amp; Assumptions'!$B$7), 2)</f>
        <v/>
      </c>
    </row>
    <row r="88" ht="19" customHeight="1">
      <c r="A88" s="41" t="n">
        <v>84</v>
      </c>
      <c r="B88" s="41" t="n">
        <v>3084</v>
      </c>
      <c r="C88" s="42" t="inlineStr">
        <is>
          <t>0402118038</t>
        </is>
      </c>
      <c r="D88" s="42" t="inlineStr">
        <is>
          <t>Region IV-A (CALABARZON)</t>
        </is>
      </c>
      <c r="E88" s="42" t="inlineStr">
        <is>
          <t>Cavite</t>
        </is>
      </c>
      <c r="F88" s="42" t="inlineStr">
        <is>
          <t>Silang</t>
        </is>
      </c>
      <c r="G88" s="42" t="inlineStr">
        <is>
          <t>Pulong Bunga</t>
        </is>
      </c>
      <c r="H88" s="43" t="n">
        <v>14.177334</v>
      </c>
      <c r="I88" s="43" t="n">
        <v>120.983947</v>
      </c>
      <c r="J88" s="44" t="inlineStr">
        <is>
          <t>R</t>
        </is>
      </c>
      <c r="K88" s="42" t="inlineStr">
        <is>
          <t>Class 1-3 / Urban</t>
        </is>
      </c>
      <c r="L88" s="23" t="n">
        <v>3619</v>
      </c>
      <c r="M88" s="24" t="n">
        <v>4.49</v>
      </c>
      <c r="N88" s="23">
        <f>ROUND(L88/M88, 0)</f>
        <v/>
      </c>
      <c r="O88" s="23">
        <f>ROUND(N88*'Methodology &amp; Assumptions'!$B$8, 0)</f>
        <v/>
      </c>
      <c r="P88" s="44" t="inlineStr">
        <is>
          <t>Band n50 (1.5 GHz, 60 MHz)</t>
        </is>
      </c>
      <c r="Q88" s="38">
        <f>ROUNDUP(O88/'Methodology &amp; Assumptions'!$B$9, 0)</f>
        <v/>
      </c>
      <c r="R88" s="39" t="n">
        <v>1</v>
      </c>
      <c r="S88" s="25" t="n">
        <v>2.43</v>
      </c>
      <c r="T88" s="25" t="n">
        <v>1.94</v>
      </c>
      <c r="U88" s="42" t="inlineStr">
        <is>
          <t>Tier 1B (Micro Drop, 1-3 km)</t>
        </is>
      </c>
      <c r="V88" s="24" t="n">
        <v>54.6</v>
      </c>
      <c r="W88" s="24" t="n">
        <v>88.5</v>
      </c>
      <c r="X88" s="24" t="n">
        <v>58</v>
      </c>
      <c r="Y88" s="45">
        <f>ROUND((V88*'Methodology &amp; Assumptions'!$B$6)+(W88*'Methodology &amp; Assumptions'!$B$5)+(X88*'Methodology &amp; Assumptions'!$B$7), 2)</f>
        <v/>
      </c>
    </row>
    <row r="89" ht="19" customHeight="1">
      <c r="A89" s="35" t="n">
        <v>85</v>
      </c>
      <c r="B89" s="35" t="n">
        <v>3085</v>
      </c>
      <c r="C89" s="36" t="inlineStr">
        <is>
          <t>0501701009</t>
        </is>
      </c>
      <c r="D89" s="36" t="inlineStr">
        <is>
          <t>Region V (Bicol Region)</t>
        </is>
      </c>
      <c r="E89" s="36" t="inlineStr">
        <is>
          <t>Camarines Sur</t>
        </is>
      </c>
      <c r="F89" s="36" t="inlineStr">
        <is>
          <t>Baao</t>
        </is>
      </c>
      <c r="G89" s="36" t="inlineStr">
        <is>
          <t>La Medalla</t>
        </is>
      </c>
      <c r="H89" s="37" t="n">
        <v>13.464842</v>
      </c>
      <c r="I89" s="37" t="n">
        <v>123.368154</v>
      </c>
      <c r="J89" s="8" t="inlineStr">
        <is>
          <t>R</t>
        </is>
      </c>
      <c r="K89" s="36" t="inlineStr">
        <is>
          <t>Class 1-3 / Urban</t>
        </is>
      </c>
      <c r="L89" s="18" t="n">
        <v>2335</v>
      </c>
      <c r="M89" s="20" t="n">
        <v>4.9</v>
      </c>
      <c r="N89" s="18">
        <f>ROUND(L89/M89, 0)</f>
        <v/>
      </c>
      <c r="O89" s="18">
        <f>ROUND(N89*'Methodology &amp; Assumptions'!$B$8, 0)</f>
        <v/>
      </c>
      <c r="P89" s="8" t="inlineStr">
        <is>
          <t>Band n50 (1.5 GHz, 60 MHz)</t>
        </is>
      </c>
      <c r="Q89" s="38">
        <f>ROUNDUP(O89/'Methodology &amp; Assumptions'!$B$9, 0)</f>
        <v/>
      </c>
      <c r="R89" s="39" t="n">
        <v>1</v>
      </c>
      <c r="S89" s="21" t="n">
        <v>1.03</v>
      </c>
      <c r="T89" s="21" t="n">
        <v>0.54</v>
      </c>
      <c r="U89" s="36" t="inlineStr">
        <is>
          <t>Tier 1B (Micro Drop, 1-3 km)</t>
        </is>
      </c>
      <c r="V89" s="20" t="n">
        <v>81</v>
      </c>
      <c r="W89" s="20" t="n">
        <v>62.1</v>
      </c>
      <c r="X89" s="20" t="n">
        <v>58</v>
      </c>
      <c r="Y89" s="40">
        <f>ROUND((V89*'Methodology &amp; Assumptions'!$B$6)+(W89*'Methodology &amp; Assumptions'!$B$5)+(X89*'Methodology &amp; Assumptions'!$B$7), 2)</f>
        <v/>
      </c>
    </row>
    <row r="90" ht="19" customHeight="1">
      <c r="A90" s="41" t="n">
        <v>86</v>
      </c>
      <c r="B90" s="41" t="n">
        <v>3086</v>
      </c>
      <c r="C90" s="42" t="inlineStr">
        <is>
          <t>0301417019</t>
        </is>
      </c>
      <c r="D90" s="42" t="inlineStr">
        <is>
          <t>Region III (Central Luzon)</t>
        </is>
      </c>
      <c r="E90" s="42" t="inlineStr">
        <is>
          <t>Bulacan</t>
        </is>
      </c>
      <c r="F90" s="42" t="inlineStr">
        <is>
          <t>Plaridel</t>
        </is>
      </c>
      <c r="G90" s="42" t="inlineStr">
        <is>
          <t>Santo Niño</t>
        </is>
      </c>
      <c r="H90" s="43" t="n">
        <v>14.883889</v>
      </c>
      <c r="I90" s="43" t="n">
        <v>120.840137</v>
      </c>
      <c r="J90" s="44" t="inlineStr">
        <is>
          <t>U</t>
        </is>
      </c>
      <c r="K90" s="42" t="inlineStr">
        <is>
          <t>Class 1-3 / Urban</t>
        </is>
      </c>
      <c r="L90" s="23" t="n">
        <v>10721</v>
      </c>
      <c r="M90" s="24" t="n">
        <v>4.1</v>
      </c>
      <c r="N90" s="23">
        <f>ROUND(L90/M90, 0)</f>
        <v/>
      </c>
      <c r="O90" s="23">
        <f>ROUND(N90*'Methodology &amp; Assumptions'!$B$8, 0)</f>
        <v/>
      </c>
      <c r="P90" s="44" t="inlineStr">
        <is>
          <t>Band n50 (1.5 GHz, 60 MHz)</t>
        </is>
      </c>
      <c r="Q90" s="38">
        <f>ROUNDUP(O90/'Methodology &amp; Assumptions'!$B$9, 0)</f>
        <v/>
      </c>
      <c r="R90" s="39" t="n">
        <v>1</v>
      </c>
      <c r="S90" s="25" t="n">
        <v>2.33</v>
      </c>
      <c r="T90" s="25" t="n">
        <v>0.01</v>
      </c>
      <c r="U90" s="42" t="inlineStr">
        <is>
          <t>Tier 1B (Micro Drop, 1-3 km)</t>
        </is>
      </c>
      <c r="V90" s="24" t="n">
        <v>55.9</v>
      </c>
      <c r="W90" s="24" t="n">
        <v>100</v>
      </c>
      <c r="X90" s="24" t="n">
        <v>43</v>
      </c>
      <c r="Y90" s="45">
        <f>ROUND((V90*'Methodology &amp; Assumptions'!$B$6)+(W90*'Methodology &amp; Assumptions'!$B$5)+(X90*'Methodology &amp; Assumptions'!$B$7), 2)</f>
        <v/>
      </c>
    </row>
    <row r="91" ht="19" customHeight="1">
      <c r="A91" s="35" t="n">
        <v>87</v>
      </c>
      <c r="B91" s="35" t="n">
        <v>3087</v>
      </c>
      <c r="C91" s="36" t="inlineStr">
        <is>
          <t>0403425011</t>
        </is>
      </c>
      <c r="D91" s="36" t="inlineStr">
        <is>
          <t>Region IV-A (CALABARZON)</t>
        </is>
      </c>
      <c r="E91" s="36" t="inlineStr">
        <is>
          <t>Laguna</t>
        </is>
      </c>
      <c r="F91" s="36" t="inlineStr">
        <is>
          <t>City of San Pedro</t>
        </is>
      </c>
      <c r="G91" s="36" t="inlineStr">
        <is>
          <t>Poblacion</t>
        </is>
      </c>
      <c r="H91" s="37" t="n">
        <v>14.363389</v>
      </c>
      <c r="I91" s="37" t="n">
        <v>121.060028</v>
      </c>
      <c r="J91" s="8" t="inlineStr">
        <is>
          <t>U</t>
        </is>
      </c>
      <c r="K91" s="36" t="inlineStr">
        <is>
          <t>Class 1-3 / Urban</t>
        </is>
      </c>
      <c r="L91" s="18" t="n">
        <v>5771</v>
      </c>
      <c r="M91" s="20" t="n">
        <v>4.2</v>
      </c>
      <c r="N91" s="18">
        <f>ROUND(L91/M91, 0)</f>
        <v/>
      </c>
      <c r="O91" s="18">
        <f>ROUND(N91*'Methodology &amp; Assumptions'!$B$8, 0)</f>
        <v/>
      </c>
      <c r="P91" s="8" t="inlineStr">
        <is>
          <t>Band n50 (1.5 GHz, 60 MHz)</t>
        </is>
      </c>
      <c r="Q91" s="38">
        <f>ROUNDUP(O91/'Methodology &amp; Assumptions'!$B$9, 0)</f>
        <v/>
      </c>
      <c r="R91" s="39" t="n">
        <v>1</v>
      </c>
      <c r="S91" s="21" t="n">
        <v>1.59</v>
      </c>
      <c r="T91" s="21" t="n">
        <v>0.34</v>
      </c>
      <c r="U91" s="36" t="inlineStr">
        <is>
          <t>Tier 1B (Micro Drop, 1-3 km)</t>
        </is>
      </c>
      <c r="V91" s="20" t="n">
        <v>68.8</v>
      </c>
      <c r="W91" s="20" t="n">
        <v>100</v>
      </c>
      <c r="X91" s="20" t="n">
        <v>28</v>
      </c>
      <c r="Y91" s="40">
        <f>ROUND((V91*'Methodology &amp; Assumptions'!$B$6)+(W91*'Methodology &amp; Assumptions'!$B$5)+(X91*'Methodology &amp; Assumptions'!$B$7), 2)</f>
        <v/>
      </c>
    </row>
    <row r="92" ht="19" customHeight="1">
      <c r="A92" s="41" t="n">
        <v>88</v>
      </c>
      <c r="B92" s="41" t="n">
        <v>3088</v>
      </c>
      <c r="C92" s="42" t="inlineStr">
        <is>
          <t>0702243017</t>
        </is>
      </c>
      <c r="D92" s="42" t="inlineStr">
        <is>
          <t>Region VII (Central Visayas)</t>
        </is>
      </c>
      <c r="E92" s="42" t="inlineStr">
        <is>
          <t>Cebu</t>
        </is>
      </c>
      <c r="F92" s="42" t="inlineStr">
        <is>
          <t>San Remigio</t>
        </is>
      </c>
      <c r="G92" s="42" t="inlineStr">
        <is>
          <t>Looc</t>
        </is>
      </c>
      <c r="H92" s="43" t="n">
        <v>11.067586</v>
      </c>
      <c r="I92" s="43" t="n">
        <v>123.939199</v>
      </c>
      <c r="J92" s="44" t="inlineStr">
        <is>
          <t>R</t>
        </is>
      </c>
      <c r="K92" s="42" t="inlineStr">
        <is>
          <t>Class 1-3 / Urban</t>
        </is>
      </c>
      <c r="L92" s="23" t="n">
        <v>2369</v>
      </c>
      <c r="M92" s="24" t="n">
        <v>4.42</v>
      </c>
      <c r="N92" s="23">
        <f>ROUND(L92/M92, 0)</f>
        <v/>
      </c>
      <c r="O92" s="23">
        <f>ROUND(N92*'Methodology &amp; Assumptions'!$B$8, 0)</f>
        <v/>
      </c>
      <c r="P92" s="44" t="inlineStr">
        <is>
          <t>Band n50 (1.5 GHz, 60 MHz)</t>
        </is>
      </c>
      <c r="Q92" s="38">
        <f>ROUNDUP(O92/'Methodology &amp; Assumptions'!$B$9, 0)</f>
        <v/>
      </c>
      <c r="R92" s="39" t="n">
        <v>1</v>
      </c>
      <c r="S92" s="25" t="n">
        <v>1.24</v>
      </c>
      <c r="T92" s="25" t="n">
        <v>0.33</v>
      </c>
      <c r="U92" s="42" t="inlineStr">
        <is>
          <t>Tier 1B (Micro Drop, 1-3 km)</t>
        </is>
      </c>
      <c r="V92" s="24" t="n">
        <v>76.09999999999999</v>
      </c>
      <c r="W92" s="24" t="n">
        <v>66.90000000000001</v>
      </c>
      <c r="X92" s="24" t="n">
        <v>58</v>
      </c>
      <c r="Y92" s="45">
        <f>ROUND((V92*'Methodology &amp; Assumptions'!$B$6)+(W92*'Methodology &amp; Assumptions'!$B$5)+(X92*'Methodology &amp; Assumptions'!$B$7), 2)</f>
        <v/>
      </c>
    </row>
    <row r="93" ht="19" customHeight="1">
      <c r="A93" s="35" t="n">
        <v>89</v>
      </c>
      <c r="B93" s="35" t="n">
        <v>3089</v>
      </c>
      <c r="C93" s="36" t="inlineStr">
        <is>
          <t>0401026025</t>
        </is>
      </c>
      <c r="D93" s="36" t="inlineStr">
        <is>
          <t>Region IV-A (CALABARZON)</t>
        </is>
      </c>
      <c r="E93" s="36" t="inlineStr">
        <is>
          <t>Batangas</t>
        </is>
      </c>
      <c r="F93" s="36" t="inlineStr">
        <is>
          <t>San Pascual</t>
        </is>
      </c>
      <c r="G93" s="36" t="inlineStr">
        <is>
          <t>San Antonio</t>
        </is>
      </c>
      <c r="H93" s="37" t="n">
        <v>13.787288</v>
      </c>
      <c r="I93" s="37" t="n">
        <v>121.019184</v>
      </c>
      <c r="J93" s="8" t="inlineStr">
        <is>
          <t>U</t>
        </is>
      </c>
      <c r="K93" s="36" t="inlineStr">
        <is>
          <t>Class 1-3 / Urban</t>
        </is>
      </c>
      <c r="L93" s="18" t="n">
        <v>10042</v>
      </c>
      <c r="M93" s="20" t="n">
        <v>4.62</v>
      </c>
      <c r="N93" s="18">
        <f>ROUND(L93/M93, 0)</f>
        <v/>
      </c>
      <c r="O93" s="18">
        <f>ROUND(N93*'Methodology &amp; Assumptions'!$B$8, 0)</f>
        <v/>
      </c>
      <c r="P93" s="8" t="inlineStr">
        <is>
          <t>Band n50 (1.5 GHz, 60 MHz)</t>
        </is>
      </c>
      <c r="Q93" s="38">
        <f>ROUNDUP(O93/'Methodology &amp; Assumptions'!$B$9, 0)</f>
        <v/>
      </c>
      <c r="R93" s="39" t="n">
        <v>1</v>
      </c>
      <c r="S93" s="21" t="n">
        <v>1.59</v>
      </c>
      <c r="T93" s="21" t="n">
        <v>0.16</v>
      </c>
      <c r="U93" s="36" t="inlineStr">
        <is>
          <t>Tier 1B (Micro Drop, 1-3 km)</t>
        </is>
      </c>
      <c r="V93" s="20" t="n">
        <v>68.8</v>
      </c>
      <c r="W93" s="20" t="n">
        <v>100</v>
      </c>
      <c r="X93" s="20" t="n">
        <v>28</v>
      </c>
      <c r="Y93" s="40">
        <f>ROUND((V93*'Methodology &amp; Assumptions'!$B$6)+(W93*'Methodology &amp; Assumptions'!$B$5)+(X93*'Methodology &amp; Assumptions'!$B$7), 2)</f>
        <v/>
      </c>
    </row>
    <row r="94" ht="19" customHeight="1">
      <c r="A94" s="41" t="n">
        <v>90</v>
      </c>
      <c r="B94" s="41" t="n">
        <v>3090</v>
      </c>
      <c r="C94" s="42" t="inlineStr">
        <is>
          <t>0305408029</t>
        </is>
      </c>
      <c r="D94" s="42" t="inlineStr">
        <is>
          <t>Region III (Central Luzon)</t>
        </is>
      </c>
      <c r="E94" s="42" t="inlineStr">
        <is>
          <t>Pampanga</t>
        </is>
      </c>
      <c r="F94" s="42" t="inlineStr">
        <is>
          <t>Lubao</t>
        </is>
      </c>
      <c r="G94" s="42" t="inlineStr">
        <is>
          <t>San Roque Arbol</t>
        </is>
      </c>
      <c r="H94" s="43" t="n">
        <v>14.898918</v>
      </c>
      <c r="I94" s="43" t="n">
        <v>120.539198</v>
      </c>
      <c r="J94" s="44" t="inlineStr">
        <is>
          <t>R</t>
        </is>
      </c>
      <c r="K94" s="42" t="inlineStr">
        <is>
          <t>Class 1-3 / Urban</t>
        </is>
      </c>
      <c r="L94" s="23" t="n">
        <v>3405</v>
      </c>
      <c r="M94" s="24" t="n">
        <v>4.63</v>
      </c>
      <c r="N94" s="23">
        <f>ROUND(L94/M94, 0)</f>
        <v/>
      </c>
      <c r="O94" s="23">
        <f>ROUND(N94*'Methodology &amp; Assumptions'!$B$8, 0)</f>
        <v/>
      </c>
      <c r="P94" s="44" t="inlineStr">
        <is>
          <t>Band n50 (1.5 GHz, 60 MHz)</t>
        </is>
      </c>
      <c r="Q94" s="38">
        <f>ROUNDUP(O94/'Methodology &amp; Assumptions'!$B$9, 0)</f>
        <v/>
      </c>
      <c r="R94" s="39" t="n">
        <v>1</v>
      </c>
      <c r="S94" s="25" t="n">
        <v>2.06</v>
      </c>
      <c r="T94" s="25" t="n">
        <v>0.33</v>
      </c>
      <c r="U94" s="42" t="inlineStr">
        <is>
          <t>Tier 1B (Micro Drop, 1-3 km)</t>
        </is>
      </c>
      <c r="V94" s="24" t="n">
        <v>60.3</v>
      </c>
      <c r="W94" s="24" t="n">
        <v>82.7</v>
      </c>
      <c r="X94" s="24" t="n">
        <v>58</v>
      </c>
      <c r="Y94" s="45">
        <f>ROUND((V94*'Methodology &amp; Assumptions'!$B$6)+(W94*'Methodology &amp; Assumptions'!$B$5)+(X94*'Methodology &amp; Assumptions'!$B$7), 2)</f>
        <v/>
      </c>
    </row>
    <row r="95" ht="19" customHeight="1">
      <c r="A95" s="35" t="n">
        <v>91</v>
      </c>
      <c r="B95" s="35" t="n">
        <v>3091</v>
      </c>
      <c r="C95" s="36" t="inlineStr">
        <is>
          <t>0300803014</t>
        </is>
      </c>
      <c r="D95" s="36" t="inlineStr">
        <is>
          <t>Region III (Central Luzon)</t>
        </is>
      </c>
      <c r="E95" s="36" t="inlineStr">
        <is>
          <t>Bataan</t>
        </is>
      </c>
      <c r="F95" s="36" t="inlineStr">
        <is>
          <t>City of Balanga</t>
        </is>
      </c>
      <c r="G95" s="36" t="inlineStr">
        <is>
          <t>Pto. Rivas Ibaba</t>
        </is>
      </c>
      <c r="H95" s="37" t="n">
        <v>14.691322</v>
      </c>
      <c r="I95" s="37" t="n">
        <v>120.557307</v>
      </c>
      <c r="J95" s="8" t="inlineStr">
        <is>
          <t>U</t>
        </is>
      </c>
      <c r="K95" s="36" t="inlineStr">
        <is>
          <t>Class 1-3 / Urban</t>
        </is>
      </c>
      <c r="L95" s="18" t="n">
        <v>4287</v>
      </c>
      <c r="M95" s="20" t="n">
        <v>4.57</v>
      </c>
      <c r="N95" s="18">
        <f>ROUND(L95/M95, 0)</f>
        <v/>
      </c>
      <c r="O95" s="18">
        <f>ROUND(N95*'Methodology &amp; Assumptions'!$B$8, 0)</f>
        <v/>
      </c>
      <c r="P95" s="8" t="inlineStr">
        <is>
          <t>Band n50 (1.5 GHz, 60 MHz)</t>
        </is>
      </c>
      <c r="Q95" s="38">
        <f>ROUNDUP(O95/'Methodology &amp; Assumptions'!$B$9, 0)</f>
        <v/>
      </c>
      <c r="R95" s="39" t="n">
        <v>1</v>
      </c>
      <c r="S95" s="21" t="n">
        <v>1.54</v>
      </c>
      <c r="T95" s="21" t="n">
        <v>1.3</v>
      </c>
      <c r="U95" s="36" t="inlineStr">
        <is>
          <t>Tier 1B (Micro Drop, 1-3 km)</t>
        </is>
      </c>
      <c r="V95" s="20" t="n">
        <v>69.8</v>
      </c>
      <c r="W95" s="20" t="n">
        <v>98.90000000000001</v>
      </c>
      <c r="X95" s="20" t="n">
        <v>28</v>
      </c>
      <c r="Y95" s="40">
        <f>ROUND((V95*'Methodology &amp; Assumptions'!$B$6)+(W95*'Methodology &amp; Assumptions'!$B$5)+(X95*'Methodology &amp; Assumptions'!$B$7), 2)</f>
        <v/>
      </c>
    </row>
    <row r="96" ht="19" customHeight="1">
      <c r="A96" s="41" t="n">
        <v>92</v>
      </c>
      <c r="B96" s="41" t="n">
        <v>3092</v>
      </c>
      <c r="C96" s="42" t="inlineStr">
        <is>
          <t>0304921001</t>
        </is>
      </c>
      <c r="D96" s="42" t="inlineStr">
        <is>
          <t>Region III (Central Luzon)</t>
        </is>
      </c>
      <c r="E96" s="42" t="inlineStr">
        <is>
          <t>Nueva Ecija</t>
        </is>
      </c>
      <c r="F96" s="42" t="inlineStr">
        <is>
          <t>Peñaranda</t>
        </is>
      </c>
      <c r="G96" s="42" t="inlineStr">
        <is>
          <t>Callos</t>
        </is>
      </c>
      <c r="H96" s="43" t="n">
        <v>15.336088</v>
      </c>
      <c r="I96" s="43" t="n">
        <v>121.033761</v>
      </c>
      <c r="J96" s="44" t="inlineStr">
        <is>
          <t>R</t>
        </is>
      </c>
      <c r="K96" s="42" t="inlineStr">
        <is>
          <t>2nd</t>
        </is>
      </c>
      <c r="L96" s="23" t="n">
        <v>3509</v>
      </c>
      <c r="M96" s="24" t="n">
        <v>4.33</v>
      </c>
      <c r="N96" s="23">
        <f>ROUND(L96/M96, 0)</f>
        <v/>
      </c>
      <c r="O96" s="23">
        <f>ROUND(N96*'Methodology &amp; Assumptions'!$B$8, 0)</f>
        <v/>
      </c>
      <c r="P96" s="44" t="inlineStr">
        <is>
          <t>Band n50 (1.5 GHz, 60 MHz)</t>
        </is>
      </c>
      <c r="Q96" s="38">
        <f>ROUNDUP(O96/'Methodology &amp; Assumptions'!$B$9, 0)</f>
        <v/>
      </c>
      <c r="R96" s="39" t="n">
        <v>1</v>
      </c>
      <c r="S96" s="25" t="n">
        <v>2.65</v>
      </c>
      <c r="T96" s="25" t="n">
        <v>8.6</v>
      </c>
      <c r="U96" s="42" t="inlineStr">
        <is>
          <t>Tier 1B (Micro Drop, 1-3 km)</t>
        </is>
      </c>
      <c r="V96" s="24" t="n">
        <v>41.3</v>
      </c>
      <c r="W96" s="24" t="n">
        <v>88.8</v>
      </c>
      <c r="X96" s="24" t="n">
        <v>73</v>
      </c>
      <c r="Y96" s="45">
        <f>ROUND((V96*'Methodology &amp; Assumptions'!$B$6)+(W96*'Methodology &amp; Assumptions'!$B$5)+(X96*'Methodology &amp; Assumptions'!$B$7), 2)</f>
        <v/>
      </c>
    </row>
    <row r="97" ht="19" customHeight="1">
      <c r="A97" s="35" t="n">
        <v>93</v>
      </c>
      <c r="B97" s="35" t="n">
        <v>3093</v>
      </c>
      <c r="C97" s="36" t="inlineStr">
        <is>
          <t>0201521012</t>
        </is>
      </c>
      <c r="D97" s="36" t="inlineStr">
        <is>
          <t>Region II (Cagayan Valley)</t>
        </is>
      </c>
      <c r="E97" s="36" t="inlineStr">
        <is>
          <t>Cagayan</t>
        </is>
      </c>
      <c r="F97" s="36" t="inlineStr">
        <is>
          <t>Rizal</t>
        </is>
      </c>
      <c r="G97" s="36" t="inlineStr">
        <is>
          <t>Illuru Norte</t>
        </is>
      </c>
      <c r="H97" s="37" t="n">
        <v>17.8435</v>
      </c>
      <c r="I97" s="37" t="n">
        <v>121.3895</v>
      </c>
      <c r="J97" s="8" t="inlineStr">
        <is>
          <t>R</t>
        </is>
      </c>
      <c r="K97" s="36" t="inlineStr">
        <is>
          <t>4th</t>
        </is>
      </c>
      <c r="L97" s="18" t="n">
        <v>687</v>
      </c>
      <c r="M97" s="20" t="n">
        <v>4.45</v>
      </c>
      <c r="N97" s="18">
        <f>ROUND(L97/M97, 0)</f>
        <v/>
      </c>
      <c r="O97" s="18">
        <f>ROUND(N97*'Methodology &amp; Assumptions'!$B$8, 0)</f>
        <v/>
      </c>
      <c r="P97" s="8" t="inlineStr">
        <is>
          <t>Band n50 (1.5 GHz, 60 MHz)</t>
        </is>
      </c>
      <c r="Q97" s="38">
        <f>ROUNDUP(O97/'Methodology &amp; Assumptions'!$B$9, 0)</f>
        <v/>
      </c>
      <c r="R97" s="39" t="n">
        <v>1</v>
      </c>
      <c r="S97" s="21" t="n">
        <v>0.07000000000000001</v>
      </c>
      <c r="T97" s="21" t="n">
        <v>7.94</v>
      </c>
      <c r="U97" s="36" t="inlineStr">
        <is>
          <t>Tier 1A (Direct Coloc, &lt;1 km)</t>
        </is>
      </c>
      <c r="V97" s="20" t="n">
        <v>97.7</v>
      </c>
      <c r="W97" s="20" t="n">
        <v>36.3</v>
      </c>
      <c r="X97" s="20" t="n">
        <v>68.5</v>
      </c>
      <c r="Y97" s="40">
        <f>ROUND((V97*'Methodology &amp; Assumptions'!$B$6)+(W97*'Methodology &amp; Assumptions'!$B$5)+(X97*'Methodology &amp; Assumptions'!$B$7), 2)</f>
        <v/>
      </c>
    </row>
    <row r="98" ht="19" customHeight="1">
      <c r="A98" s="41" t="n">
        <v>94</v>
      </c>
      <c r="B98" s="41" t="n">
        <v>3094</v>
      </c>
      <c r="C98" s="42" t="inlineStr">
        <is>
          <t>0704608004</t>
        </is>
      </c>
      <c r="D98" s="42" t="inlineStr">
        <is>
          <t>Region VII (Central Visayas)</t>
        </is>
      </c>
      <c r="E98" s="42" t="inlineStr">
        <is>
          <t>Negros Oriental</t>
        </is>
      </c>
      <c r="F98" s="42" t="inlineStr">
        <is>
          <t>City of Canlaon</t>
        </is>
      </c>
      <c r="G98" s="42" t="inlineStr">
        <is>
          <t>Linothangan</t>
        </is>
      </c>
      <c r="H98" s="43" t="n">
        <v>10.37805</v>
      </c>
      <c r="I98" s="43" t="n">
        <v>123.2</v>
      </c>
      <c r="J98" s="44" t="inlineStr">
        <is>
          <t>R</t>
        </is>
      </c>
      <c r="K98" s="42" t="inlineStr">
        <is>
          <t>Class 1-3 / Urban</t>
        </is>
      </c>
      <c r="L98" s="23" t="n">
        <v>4080</v>
      </c>
      <c r="M98" s="24" t="n">
        <v>4.33</v>
      </c>
      <c r="N98" s="23">
        <f>ROUND(L98/M98, 0)</f>
        <v/>
      </c>
      <c r="O98" s="23">
        <f>ROUND(N98*'Methodology &amp; Assumptions'!$B$8, 0)</f>
        <v/>
      </c>
      <c r="P98" s="44" t="inlineStr">
        <is>
          <t>Band n50 (1.5 GHz, 60 MHz)</t>
        </is>
      </c>
      <c r="Q98" s="38">
        <f>ROUNDUP(O98/'Methodology &amp; Assumptions'!$B$9, 0)</f>
        <v/>
      </c>
      <c r="R98" s="39" t="n">
        <v>1</v>
      </c>
      <c r="S98" s="25" t="n">
        <v>3.28</v>
      </c>
      <c r="T98" s="25" t="n">
        <v>0.05</v>
      </c>
      <c r="U98" s="42" t="inlineStr">
        <is>
          <t>Tier 2 (Fiber Corridor / Lateral, 3-5 km)</t>
        </is>
      </c>
      <c r="V98" s="24" t="n">
        <v>43.5</v>
      </c>
      <c r="W98" s="24" t="n">
        <v>99.5</v>
      </c>
      <c r="X98" s="24" t="n">
        <v>58</v>
      </c>
      <c r="Y98" s="45">
        <f>ROUND((V98*'Methodology &amp; Assumptions'!$B$6)+(W98*'Methodology &amp; Assumptions'!$B$5)+(X98*'Methodology &amp; Assumptions'!$B$7), 2)</f>
        <v/>
      </c>
    </row>
    <row r="99" ht="19" customHeight="1">
      <c r="A99" s="35" t="n">
        <v>95</v>
      </c>
      <c r="B99" s="35" t="n">
        <v>3095</v>
      </c>
      <c r="C99" s="36" t="inlineStr">
        <is>
          <t>1600203017</t>
        </is>
      </c>
      <c r="D99" s="36" t="inlineStr">
        <is>
          <t>Region XIII (Caraga)</t>
        </is>
      </c>
      <c r="E99" s="36" t="inlineStr">
        <is>
          <t>Agusan del Norte</t>
        </is>
      </c>
      <c r="F99" s="36" t="inlineStr">
        <is>
          <t>City of Cabadbaran</t>
        </is>
      </c>
      <c r="G99" s="36" t="inlineStr">
        <is>
          <t>Kauswagan</t>
        </is>
      </c>
      <c r="H99" s="37" t="n">
        <v>9.129573000000001</v>
      </c>
      <c r="I99" s="37" t="n">
        <v>125.531399</v>
      </c>
      <c r="J99" s="8" t="inlineStr">
        <is>
          <t>R</t>
        </is>
      </c>
      <c r="K99" s="36" t="inlineStr">
        <is>
          <t>Class 1-3 / Urban</t>
        </is>
      </c>
      <c r="L99" s="18" t="n">
        <v>3480</v>
      </c>
      <c r="M99" s="20" t="n">
        <v>4.63</v>
      </c>
      <c r="N99" s="18">
        <f>ROUND(L99/M99, 0)</f>
        <v/>
      </c>
      <c r="O99" s="18">
        <f>ROUND(N99*'Methodology &amp; Assumptions'!$B$8, 0)</f>
        <v/>
      </c>
      <c r="P99" s="8" t="inlineStr">
        <is>
          <t>Band n50 (1.5 GHz, 60 MHz)</t>
        </is>
      </c>
      <c r="Q99" s="38">
        <f>ROUNDUP(O99/'Methodology &amp; Assumptions'!$B$9, 0)</f>
        <v/>
      </c>
      <c r="R99" s="39" t="n">
        <v>1</v>
      </c>
      <c r="S99" s="21" t="n">
        <v>2.16</v>
      </c>
      <c r="T99" s="21" t="n">
        <v>1.12</v>
      </c>
      <c r="U99" s="36" t="inlineStr">
        <is>
          <t>Tier 1B (Micro Drop, 1-3 km)</t>
        </is>
      </c>
      <c r="V99" s="20" t="n">
        <v>58.7</v>
      </c>
      <c r="W99" s="20" t="n">
        <v>84.3</v>
      </c>
      <c r="X99" s="20" t="n">
        <v>58</v>
      </c>
      <c r="Y99" s="40">
        <f>ROUND((V99*'Methodology &amp; Assumptions'!$B$6)+(W99*'Methodology &amp; Assumptions'!$B$5)+(X99*'Methodology &amp; Assumptions'!$B$7), 2)</f>
        <v/>
      </c>
    </row>
    <row r="100" ht="19" customHeight="1">
      <c r="A100" s="41" t="n">
        <v>96</v>
      </c>
      <c r="B100" s="41" t="n">
        <v>3096</v>
      </c>
      <c r="C100" s="42" t="inlineStr">
        <is>
          <t>0803740016</t>
        </is>
      </c>
      <c r="D100" s="42" t="inlineStr">
        <is>
          <t>Region VIII (Eastern Visayas)</t>
        </is>
      </c>
      <c r="E100" s="42" t="inlineStr">
        <is>
          <t>Leyte</t>
        </is>
      </c>
      <c r="F100" s="42" t="inlineStr">
        <is>
          <t>Palompon</t>
        </is>
      </c>
      <c r="G100" s="42" t="inlineStr">
        <is>
          <t>Guiwan 1</t>
        </is>
      </c>
      <c r="H100" s="43" t="n">
        <v>11.055529</v>
      </c>
      <c r="I100" s="43" t="n">
        <v>124.3871</v>
      </c>
      <c r="J100" s="44" t="inlineStr">
        <is>
          <t>R</t>
        </is>
      </c>
      <c r="K100" s="42" t="inlineStr">
        <is>
          <t>Class 1-3 / Urban</t>
        </is>
      </c>
      <c r="L100" s="23" t="n">
        <v>1217</v>
      </c>
      <c r="M100" s="24" t="n">
        <v>4.24</v>
      </c>
      <c r="N100" s="23">
        <f>ROUND(L100/M100, 0)</f>
        <v/>
      </c>
      <c r="O100" s="23">
        <f>ROUND(N100*'Methodology &amp; Assumptions'!$B$8, 0)</f>
        <v/>
      </c>
      <c r="P100" s="44" t="inlineStr">
        <is>
          <t>Band n50 (1.5 GHz, 60 MHz)</t>
        </is>
      </c>
      <c r="Q100" s="38">
        <f>ROUNDUP(O100/'Methodology &amp; Assumptions'!$B$9, 0)</f>
        <v/>
      </c>
      <c r="R100" s="39" t="n">
        <v>1</v>
      </c>
      <c r="S100" s="25" t="n">
        <v>0.45</v>
      </c>
      <c r="T100" s="25" t="n">
        <v>0.71</v>
      </c>
      <c r="U100" s="42" t="inlineStr">
        <is>
          <t>Tier 1A (Direct Coloc, &lt;1 km)</t>
        </is>
      </c>
      <c r="V100" s="24" t="n">
        <v>96.09999999999999</v>
      </c>
      <c r="W100" s="24" t="n">
        <v>46.9</v>
      </c>
      <c r="X100" s="24" t="n">
        <v>58</v>
      </c>
      <c r="Y100" s="45">
        <f>ROUND((V100*'Methodology &amp; Assumptions'!$B$6)+(W100*'Methodology &amp; Assumptions'!$B$5)+(X100*'Methodology &amp; Assumptions'!$B$7), 2)</f>
        <v/>
      </c>
    </row>
    <row r="101" ht="19" customHeight="1">
      <c r="A101" s="35" t="n">
        <v>97</v>
      </c>
      <c r="B101" s="35" t="n">
        <v>3097</v>
      </c>
      <c r="C101" s="36" t="inlineStr">
        <is>
          <t>0205005023</t>
        </is>
      </c>
      <c r="D101" s="36" t="inlineStr">
        <is>
          <t>Region II (Cagayan Valley)</t>
        </is>
      </c>
      <c r="E101" s="36" t="inlineStr">
        <is>
          <t>Nueva Vizcaya</t>
        </is>
      </c>
      <c r="F101" s="36" t="inlineStr">
        <is>
          <t>Bayombong</t>
        </is>
      </c>
      <c r="G101" s="36" t="inlineStr">
        <is>
          <t>La Torre South</t>
        </is>
      </c>
      <c r="H101" s="37" t="n">
        <v>16.497552</v>
      </c>
      <c r="I101" s="37" t="n">
        <v>121.137621</v>
      </c>
      <c r="J101" s="8" t="inlineStr">
        <is>
          <t>R</t>
        </is>
      </c>
      <c r="K101" s="36" t="inlineStr">
        <is>
          <t>Class 1-3 / Urban</t>
        </is>
      </c>
      <c r="L101" s="18" t="n">
        <v>2508</v>
      </c>
      <c r="M101" s="20" t="n">
        <v>4.19</v>
      </c>
      <c r="N101" s="18">
        <f>ROUND(L101/M101, 0)</f>
        <v/>
      </c>
      <c r="O101" s="18">
        <f>ROUND(N101*'Methodology &amp; Assumptions'!$B$8, 0)</f>
        <v/>
      </c>
      <c r="P101" s="8" t="inlineStr">
        <is>
          <t>Band n50 (1.5 GHz, 60 MHz)</t>
        </is>
      </c>
      <c r="Q101" s="38">
        <f>ROUNDUP(O101/'Methodology &amp; Assumptions'!$B$9, 0)</f>
        <v/>
      </c>
      <c r="R101" s="39" t="n">
        <v>1</v>
      </c>
      <c r="S101" s="21" t="n">
        <v>1.48</v>
      </c>
      <c r="T101" s="21" t="n">
        <v>1.42</v>
      </c>
      <c r="U101" s="36" t="inlineStr">
        <is>
          <t>Tier 1B (Micro Drop, 1-3 km)</t>
        </is>
      </c>
      <c r="V101" s="20" t="n">
        <v>71</v>
      </c>
      <c r="W101" s="20" t="n">
        <v>72</v>
      </c>
      <c r="X101" s="20" t="n">
        <v>58</v>
      </c>
      <c r="Y101" s="40">
        <f>ROUND((V101*'Methodology &amp; Assumptions'!$B$6)+(W101*'Methodology &amp; Assumptions'!$B$5)+(X101*'Methodology &amp; Assumptions'!$B$7), 2)</f>
        <v/>
      </c>
    </row>
    <row r="102" ht="19" customHeight="1">
      <c r="A102" s="41" t="n">
        <v>98</v>
      </c>
      <c r="B102" s="41" t="n">
        <v>3098</v>
      </c>
      <c r="C102" s="42" t="inlineStr">
        <is>
          <t>0831600107</t>
        </is>
      </c>
      <c r="D102" s="42" t="inlineStr">
        <is>
          <t>Region VIII (Eastern Visayas)</t>
        </is>
      </c>
      <c r="E102" s="42" t="inlineStr">
        <is>
          <t>Leyte</t>
        </is>
      </c>
      <c r="F102" s="42" t="inlineStr">
        <is>
          <t>City of Tacloban</t>
        </is>
      </c>
      <c r="G102" s="42" t="inlineStr">
        <is>
          <t>Barangay 76</t>
        </is>
      </c>
      <c r="H102" s="43" t="n">
        <v>11.213451</v>
      </c>
      <c r="I102" s="43" t="n">
        <v>125.006279</v>
      </c>
      <c r="J102" s="44" t="inlineStr">
        <is>
          <t>R</t>
        </is>
      </c>
      <c r="K102" s="42" t="inlineStr">
        <is>
          <t>Class 1-3 / Urban</t>
        </is>
      </c>
      <c r="L102" s="23" t="n">
        <v>1069</v>
      </c>
      <c r="M102" s="24" t="n">
        <v>4.24</v>
      </c>
      <c r="N102" s="23">
        <f>ROUND(L102/M102, 0)</f>
        <v/>
      </c>
      <c r="O102" s="23">
        <f>ROUND(N102*'Methodology &amp; Assumptions'!$B$8, 0)</f>
        <v/>
      </c>
      <c r="P102" s="44" t="inlineStr">
        <is>
          <t>Band n50 (1.5 GHz, 60 MHz)</t>
        </is>
      </c>
      <c r="Q102" s="38">
        <f>ROUNDUP(O102/'Methodology &amp; Assumptions'!$B$9, 0)</f>
        <v/>
      </c>
      <c r="R102" s="39" t="n">
        <v>1</v>
      </c>
      <c r="S102" s="25" t="n">
        <v>0.36</v>
      </c>
      <c r="T102" s="25" t="n">
        <v>0.35</v>
      </c>
      <c r="U102" s="42" t="inlineStr">
        <is>
          <t>Tier 1A (Direct Coloc, &lt;1 km)</t>
        </is>
      </c>
      <c r="V102" s="24" t="n">
        <v>98.7</v>
      </c>
      <c r="W102" s="24" t="n">
        <v>44.3</v>
      </c>
      <c r="X102" s="24" t="n">
        <v>58</v>
      </c>
      <c r="Y102" s="45">
        <f>ROUND((V102*'Methodology &amp; Assumptions'!$B$6)+(W102*'Methodology &amp; Assumptions'!$B$5)+(X102*'Methodology &amp; Assumptions'!$B$7), 2)</f>
        <v/>
      </c>
    </row>
    <row r="103" ht="19" customHeight="1">
      <c r="A103" s="35" t="n">
        <v>99</v>
      </c>
      <c r="B103" s="35" t="n">
        <v>3099</v>
      </c>
      <c r="C103" s="36" t="inlineStr">
        <is>
          <t>1401110012</t>
        </is>
      </c>
      <c r="D103" s="36" t="inlineStr">
        <is>
          <t>Cordillera Administrative Region (CAR)</t>
        </is>
      </c>
      <c r="E103" s="36" t="inlineStr">
        <is>
          <t>Benguet</t>
        </is>
      </c>
      <c r="F103" s="36" t="inlineStr">
        <is>
          <t>La Trinidad</t>
        </is>
      </c>
      <c r="G103" s="36" t="inlineStr">
        <is>
          <t>Poblacion</t>
        </is>
      </c>
      <c r="H103" s="37" t="n">
        <v>16.45394</v>
      </c>
      <c r="I103" s="37" t="n">
        <v>120.57526</v>
      </c>
      <c r="J103" s="8" t="inlineStr">
        <is>
          <t>U</t>
        </is>
      </c>
      <c r="K103" s="36" t="inlineStr">
        <is>
          <t>Class 1-3 / Urban</t>
        </is>
      </c>
      <c r="L103" s="18" t="n">
        <v>12685</v>
      </c>
      <c r="M103" s="20" t="n">
        <v>4.58</v>
      </c>
      <c r="N103" s="18">
        <f>ROUND(L103/M103, 0)</f>
        <v/>
      </c>
      <c r="O103" s="18">
        <f>ROUND(N103*'Methodology &amp; Assumptions'!$B$8, 0)</f>
        <v/>
      </c>
      <c r="P103" s="8" t="inlineStr">
        <is>
          <t>Band n50 (1.5 GHz, 60 MHz)</t>
        </is>
      </c>
      <c r="Q103" s="38">
        <f>ROUNDUP(O103/'Methodology &amp; Assumptions'!$B$9, 0)</f>
        <v/>
      </c>
      <c r="R103" s="39" t="n">
        <v>1</v>
      </c>
      <c r="S103" s="21" t="n">
        <v>1.6</v>
      </c>
      <c r="T103" s="21" t="n">
        <v>0.06</v>
      </c>
      <c r="U103" s="36" t="inlineStr">
        <is>
          <t>Tier 1B (Micro Drop, 1-3 km)</t>
        </is>
      </c>
      <c r="V103" s="20" t="n">
        <v>68.7</v>
      </c>
      <c r="W103" s="20" t="n">
        <v>100</v>
      </c>
      <c r="X103" s="20" t="n">
        <v>28</v>
      </c>
      <c r="Y103" s="40">
        <f>ROUND((V103*'Methodology &amp; Assumptions'!$B$6)+(W103*'Methodology &amp; Assumptions'!$B$5)+(X103*'Methodology &amp; Assumptions'!$B$7), 2)</f>
        <v/>
      </c>
    </row>
    <row r="104" ht="19" customHeight="1">
      <c r="A104" s="41" t="n">
        <v>100</v>
      </c>
      <c r="B104" s="41" t="n">
        <v>3100</v>
      </c>
      <c r="C104" s="42" t="inlineStr">
        <is>
          <t>0304912015</t>
        </is>
      </c>
      <c r="D104" s="42" t="inlineStr">
        <is>
          <t>Region III (Central Luzon)</t>
        </is>
      </c>
      <c r="E104" s="42" t="inlineStr">
        <is>
          <t>Nueva Ecija</t>
        </is>
      </c>
      <c r="F104" s="42" t="inlineStr">
        <is>
          <t>Jaen</t>
        </is>
      </c>
      <c r="G104" s="42" t="inlineStr">
        <is>
          <t>Niyugan</t>
        </is>
      </c>
      <c r="H104" s="43" t="n">
        <v>15.324335</v>
      </c>
      <c r="I104" s="43" t="n">
        <v>120.892752</v>
      </c>
      <c r="J104" s="44" t="inlineStr">
        <is>
          <t>U</t>
        </is>
      </c>
      <c r="K104" s="42" t="inlineStr">
        <is>
          <t>Class 1-3 / Urban</t>
        </is>
      </c>
      <c r="L104" s="23" t="n">
        <v>7377</v>
      </c>
      <c r="M104" s="24" t="n">
        <v>4.32</v>
      </c>
      <c r="N104" s="23">
        <f>ROUND(L104/M104, 0)</f>
        <v/>
      </c>
      <c r="O104" s="23">
        <f>ROUND(N104*'Methodology &amp; Assumptions'!$B$8, 0)</f>
        <v/>
      </c>
      <c r="P104" s="44" t="inlineStr">
        <is>
          <t>Band n50 (1.5 GHz, 60 MHz)</t>
        </is>
      </c>
      <c r="Q104" s="38">
        <f>ROUNDUP(O104/'Methodology &amp; Assumptions'!$B$9, 0)</f>
        <v/>
      </c>
      <c r="R104" s="39" t="n">
        <v>1</v>
      </c>
      <c r="S104" s="25" t="n">
        <v>1.6</v>
      </c>
      <c r="T104" s="25" t="n">
        <v>1.97</v>
      </c>
      <c r="U104" s="42" t="inlineStr">
        <is>
          <t>Tier 1B (Micro Drop, 1-3 km)</t>
        </is>
      </c>
      <c r="V104" s="24" t="n">
        <v>68.7</v>
      </c>
      <c r="W104" s="24" t="n">
        <v>100</v>
      </c>
      <c r="X104" s="24" t="n">
        <v>28</v>
      </c>
      <c r="Y104" s="45">
        <f>ROUND((V104*'Methodology &amp; Assumptions'!$B$6)+(W104*'Methodology &amp; Assumptions'!$B$5)+(X104*'Methodology &amp; Assumptions'!$B$7), 2)</f>
        <v/>
      </c>
    </row>
    <row r="105" ht="19" customHeight="1">
      <c r="A105" s="35" t="n">
        <v>101</v>
      </c>
      <c r="B105" s="35" t="n">
        <v>3101</v>
      </c>
      <c r="C105" s="36" t="inlineStr">
        <is>
          <t>0603034023</t>
        </is>
      </c>
      <c r="D105" s="36" t="inlineStr">
        <is>
          <t>Region VI (Western Visayas)</t>
        </is>
      </c>
      <c r="E105" s="36" t="inlineStr">
        <is>
          <t>Iloilo</t>
        </is>
      </c>
      <c r="F105" s="36" t="inlineStr">
        <is>
          <t>Oton</t>
        </is>
      </c>
      <c r="G105" s="36" t="inlineStr">
        <is>
          <t>Poblacion West</t>
        </is>
      </c>
      <c r="H105" s="37" t="n">
        <v>10.693617</v>
      </c>
      <c r="I105" s="37" t="n">
        <v>122.473368</v>
      </c>
      <c r="J105" s="8" t="inlineStr">
        <is>
          <t>U</t>
        </is>
      </c>
      <c r="K105" s="36" t="inlineStr">
        <is>
          <t>Class 1-3 / Urban</t>
        </is>
      </c>
      <c r="L105" s="18" t="n">
        <v>3122</v>
      </c>
      <c r="M105" s="20" t="n">
        <v>4.39</v>
      </c>
      <c r="N105" s="18">
        <f>ROUND(L105/M105, 0)</f>
        <v/>
      </c>
      <c r="O105" s="18">
        <f>ROUND(N105*'Methodology &amp; Assumptions'!$B$8, 0)</f>
        <v/>
      </c>
      <c r="P105" s="8" t="inlineStr">
        <is>
          <t>Band n50 (1.5 GHz, 60 MHz)</t>
        </is>
      </c>
      <c r="Q105" s="38">
        <f>ROUNDUP(O105/'Methodology &amp; Assumptions'!$B$9, 0)</f>
        <v/>
      </c>
      <c r="R105" s="39" t="n">
        <v>1</v>
      </c>
      <c r="S105" s="21" t="n">
        <v>0.75</v>
      </c>
      <c r="T105" s="21" t="n">
        <v>0.16</v>
      </c>
      <c r="U105" s="36" t="inlineStr">
        <is>
          <t>Tier 1A (Direct Coloc, &lt;1 km)</t>
        </is>
      </c>
      <c r="V105" s="20" t="n">
        <v>87.90000000000001</v>
      </c>
      <c r="W105" s="20" t="n">
        <v>80.8</v>
      </c>
      <c r="X105" s="20" t="n">
        <v>28</v>
      </c>
      <c r="Y105" s="40">
        <f>ROUND((V105*'Methodology &amp; Assumptions'!$B$6)+(W105*'Methodology &amp; Assumptions'!$B$5)+(X105*'Methodology &amp; Assumptions'!$B$7), 2)</f>
        <v/>
      </c>
    </row>
    <row r="106" ht="19" customHeight="1">
      <c r="A106" s="41" t="n">
        <v>102</v>
      </c>
      <c r="B106" s="41" t="n">
        <v>3102</v>
      </c>
      <c r="C106" s="42" t="inlineStr">
        <is>
          <t>1206511021</t>
        </is>
      </c>
      <c r="D106" s="42" t="inlineStr">
        <is>
          <t>Region XII (SOCCSKSARGEN)</t>
        </is>
      </c>
      <c r="E106" s="42" t="inlineStr">
        <is>
          <t>Sultan Kudarat</t>
        </is>
      </c>
      <c r="F106" s="42" t="inlineStr">
        <is>
          <t>City of Tacurong</t>
        </is>
      </c>
      <c r="G106" s="42" t="inlineStr">
        <is>
          <t>Tina</t>
        </is>
      </c>
      <c r="H106" s="43" t="n">
        <v>6.705615</v>
      </c>
      <c r="I106" s="43" t="n">
        <v>124.695068</v>
      </c>
      <c r="J106" s="44" t="inlineStr">
        <is>
          <t>R</t>
        </is>
      </c>
      <c r="K106" s="42" t="inlineStr">
        <is>
          <t>Class 1-3 / Urban</t>
        </is>
      </c>
      <c r="L106" s="23" t="n">
        <v>3021</v>
      </c>
      <c r="M106" s="24" t="n">
        <v>4.1</v>
      </c>
      <c r="N106" s="23">
        <f>ROUND(L106/M106, 0)</f>
        <v/>
      </c>
      <c r="O106" s="23">
        <f>ROUND(N106*'Methodology &amp; Assumptions'!$B$8, 0)</f>
        <v/>
      </c>
      <c r="P106" s="44" t="inlineStr">
        <is>
          <t>Band n50 (1.5 GHz, 60 MHz)</t>
        </is>
      </c>
      <c r="Q106" s="38">
        <f>ROUNDUP(O106/'Methodology &amp; Assumptions'!$B$9, 0)</f>
        <v/>
      </c>
      <c r="R106" s="39" t="n">
        <v>1</v>
      </c>
      <c r="S106" s="25" t="n">
        <v>2.97</v>
      </c>
      <c r="T106" s="25" t="n">
        <v>1.51</v>
      </c>
      <c r="U106" s="42" t="inlineStr">
        <is>
          <t>Tier 1B (Micro Drop, 1-3 km)</t>
        </is>
      </c>
      <c r="V106" s="24" t="n">
        <v>47.1</v>
      </c>
      <c r="W106" s="24" t="n">
        <v>82.90000000000001</v>
      </c>
      <c r="X106" s="24" t="n">
        <v>73</v>
      </c>
      <c r="Y106" s="45">
        <f>ROUND((V106*'Methodology &amp; Assumptions'!$B$6)+(W106*'Methodology &amp; Assumptions'!$B$5)+(X106*'Methodology &amp; Assumptions'!$B$7), 2)</f>
        <v/>
      </c>
    </row>
    <row r="107" ht="19" customHeight="1">
      <c r="A107" s="35" t="n">
        <v>103</v>
      </c>
      <c r="B107" s="35" t="n">
        <v>3103</v>
      </c>
      <c r="C107" s="36" t="inlineStr">
        <is>
          <t>0402107011</t>
        </is>
      </c>
      <c r="D107" s="36" t="inlineStr">
        <is>
          <t>Region IV-A (CALABARZON)</t>
        </is>
      </c>
      <c r="E107" s="36" t="inlineStr">
        <is>
          <t>Cavite</t>
        </is>
      </c>
      <c r="F107" s="36" t="inlineStr">
        <is>
          <t>General Emilio Aguinaldo</t>
        </is>
      </c>
      <c r="G107" s="36" t="inlineStr">
        <is>
          <t>Tabora</t>
        </is>
      </c>
      <c r="H107" s="37" t="n">
        <v>14.189107</v>
      </c>
      <c r="I107" s="37" t="n">
        <v>120.791172</v>
      </c>
      <c r="J107" s="8" t="inlineStr">
        <is>
          <t>R</t>
        </is>
      </c>
      <c r="K107" s="36" t="inlineStr">
        <is>
          <t>4th</t>
        </is>
      </c>
      <c r="L107" s="18" t="n">
        <v>2026</v>
      </c>
      <c r="M107" s="20" t="n">
        <v>5.03</v>
      </c>
      <c r="N107" s="18">
        <f>ROUND(L107/M107, 0)</f>
        <v/>
      </c>
      <c r="O107" s="18">
        <f>ROUND(N107*'Methodology &amp; Assumptions'!$B$8, 0)</f>
        <v/>
      </c>
      <c r="P107" s="8" t="inlineStr">
        <is>
          <t>Band n50 (1.5 GHz, 60 MHz)</t>
        </is>
      </c>
      <c r="Q107" s="38">
        <f>ROUNDUP(O107/'Methodology &amp; Assumptions'!$B$9, 0)</f>
        <v/>
      </c>
      <c r="R107" s="39" t="n">
        <v>1</v>
      </c>
      <c r="S107" s="21" t="n">
        <v>0.76</v>
      </c>
      <c r="T107" s="21" t="n">
        <v>3.73</v>
      </c>
      <c r="U107" s="36" t="inlineStr">
        <is>
          <t>Tier 1A (Direct Coloc, &lt;1 km)</t>
        </is>
      </c>
      <c r="V107" s="20" t="n">
        <v>77.7</v>
      </c>
      <c r="W107" s="20" t="n">
        <v>56.3</v>
      </c>
      <c r="X107" s="20" t="n">
        <v>68.5</v>
      </c>
      <c r="Y107" s="40">
        <f>ROUND((V107*'Methodology &amp; Assumptions'!$B$6)+(W107*'Methodology &amp; Assumptions'!$B$5)+(X107*'Methodology &amp; Assumptions'!$B$7), 2)</f>
        <v/>
      </c>
    </row>
    <row r="108" ht="19" customHeight="1">
      <c r="A108" s="41" t="n">
        <v>104</v>
      </c>
      <c r="B108" s="41" t="n">
        <v>3104</v>
      </c>
      <c r="C108" s="42" t="inlineStr">
        <is>
          <t>0405647030</t>
        </is>
      </c>
      <c r="D108" s="42" t="inlineStr">
        <is>
          <t>Region IV-A (CALABARZON)</t>
        </is>
      </c>
      <c r="E108" s="42" t="inlineStr">
        <is>
          <t>Quezon</t>
        </is>
      </c>
      <c r="F108" s="42" t="inlineStr">
        <is>
          <t>City of Tayabas</t>
        </is>
      </c>
      <c r="G108" s="42" t="inlineStr">
        <is>
          <t>Ipilan</t>
        </is>
      </c>
      <c r="H108" s="43" t="n">
        <v>14.033561</v>
      </c>
      <c r="I108" s="43" t="n">
        <v>121.564308</v>
      </c>
      <c r="J108" s="44" t="inlineStr">
        <is>
          <t>R</t>
        </is>
      </c>
      <c r="K108" s="42" t="inlineStr">
        <is>
          <t>Class 1-3 / Urban</t>
        </is>
      </c>
      <c r="L108" s="23" t="n">
        <v>4527</v>
      </c>
      <c r="M108" s="24" t="n">
        <v>4.46</v>
      </c>
      <c r="N108" s="23">
        <f>ROUND(L108/M108, 0)</f>
        <v/>
      </c>
      <c r="O108" s="23">
        <f>ROUND(N108*'Methodology &amp; Assumptions'!$B$8, 0)</f>
        <v/>
      </c>
      <c r="P108" s="44" t="inlineStr">
        <is>
          <t>Band n50 (1.5 GHz, 60 MHz)</t>
        </is>
      </c>
      <c r="Q108" s="38">
        <f>ROUNDUP(O108/'Methodology &amp; Assumptions'!$B$9, 0)</f>
        <v/>
      </c>
      <c r="R108" s="39" t="n">
        <v>1</v>
      </c>
      <c r="S108" s="25" t="n">
        <v>3.33</v>
      </c>
      <c r="T108" s="25" t="n">
        <v>1.62</v>
      </c>
      <c r="U108" s="42" t="inlineStr">
        <is>
          <t>Tier 2 (Fiber Corridor / Lateral, 3-5 km)</t>
        </is>
      </c>
      <c r="V108" s="24" t="n">
        <v>42.9</v>
      </c>
      <c r="W108" s="24" t="n">
        <v>100</v>
      </c>
      <c r="X108" s="24" t="n">
        <v>58</v>
      </c>
      <c r="Y108" s="45">
        <f>ROUND((V108*'Methodology &amp; Assumptions'!$B$6)+(W108*'Methodology &amp; Assumptions'!$B$5)+(X108*'Methodology &amp; Assumptions'!$B$7), 2)</f>
        <v/>
      </c>
    </row>
    <row r="109" ht="19" customHeight="1">
      <c r="A109" s="35" t="n">
        <v>105</v>
      </c>
      <c r="B109" s="35" t="n">
        <v>3105</v>
      </c>
      <c r="C109" s="36" t="inlineStr">
        <is>
          <t>0201518009</t>
        </is>
      </c>
      <c r="D109" s="36" t="inlineStr">
        <is>
          <t>Region II (Cagayan Valley)</t>
        </is>
      </c>
      <c r="E109" s="36" t="inlineStr">
        <is>
          <t>Cagayan</t>
        </is>
      </c>
      <c r="F109" s="36" t="inlineStr">
        <is>
          <t>Pamplona</t>
        </is>
      </c>
      <c r="G109" s="36" t="inlineStr">
        <is>
          <t>Centro</t>
        </is>
      </c>
      <c r="H109" s="37" t="n">
        <v>18.4653</v>
      </c>
      <c r="I109" s="37" t="n">
        <v>121.3413</v>
      </c>
      <c r="J109" s="8" t="inlineStr">
        <is>
          <t>R</t>
        </is>
      </c>
      <c r="K109" s="36" t="inlineStr">
        <is>
          <t>3rd</t>
        </is>
      </c>
      <c r="L109" s="18" t="n">
        <v>1061</v>
      </c>
      <c r="M109" s="20" t="n">
        <v>4.49</v>
      </c>
      <c r="N109" s="18">
        <f>ROUND(L109/M109, 0)</f>
        <v/>
      </c>
      <c r="O109" s="18">
        <f>ROUND(N109*'Methodology &amp; Assumptions'!$B$8, 0)</f>
        <v/>
      </c>
      <c r="P109" s="8" t="inlineStr">
        <is>
          <t>Band n50 (1.5 GHz, 60 MHz)</t>
        </is>
      </c>
      <c r="Q109" s="38">
        <f>ROUNDUP(O109/'Methodology &amp; Assumptions'!$B$9, 0)</f>
        <v/>
      </c>
      <c r="R109" s="39" t="n">
        <v>1</v>
      </c>
      <c r="S109" s="21" t="n">
        <v>0.12</v>
      </c>
      <c r="T109" s="21" t="n">
        <v>0.01</v>
      </c>
      <c r="U109" s="36" t="inlineStr">
        <is>
          <t>Tier 1A (Direct Coloc, &lt;1 km)</t>
        </is>
      </c>
      <c r="V109" s="20" t="n">
        <v>100</v>
      </c>
      <c r="W109" s="20" t="n">
        <v>42.9</v>
      </c>
      <c r="X109" s="20" t="n">
        <v>58</v>
      </c>
      <c r="Y109" s="40">
        <f>ROUND((V109*'Methodology &amp; Assumptions'!$B$6)+(W109*'Methodology &amp; Assumptions'!$B$5)+(X109*'Methodology &amp; Assumptions'!$B$7), 2)</f>
        <v/>
      </c>
    </row>
    <row r="110" ht="19" customHeight="1">
      <c r="A110" s="41" t="n">
        <v>106</v>
      </c>
      <c r="B110" s="41" t="n">
        <v>3106</v>
      </c>
      <c r="C110" s="42" t="inlineStr">
        <is>
          <t>0103306026</t>
        </is>
      </c>
      <c r="D110" s="42" t="inlineStr">
        <is>
          <t>Region I (Ilocos Region)</t>
        </is>
      </c>
      <c r="E110" s="42" t="inlineStr">
        <is>
          <t>La Union</t>
        </is>
      </c>
      <c r="F110" s="42" t="inlineStr">
        <is>
          <t>Bangar</t>
        </is>
      </c>
      <c r="G110" s="42" t="inlineStr">
        <is>
          <t>Central East No. 2</t>
        </is>
      </c>
      <c r="H110" s="43" t="n">
        <v>16.894629</v>
      </c>
      <c r="I110" s="43" t="n">
        <v>120.42528</v>
      </c>
      <c r="J110" s="44" t="inlineStr">
        <is>
          <t>R</t>
        </is>
      </c>
      <c r="K110" s="42" t="inlineStr">
        <is>
          <t>Class 1-3 / Urban</t>
        </is>
      </c>
      <c r="L110" s="23" t="n">
        <v>1046</v>
      </c>
      <c r="M110" s="24" t="n">
        <v>4.42</v>
      </c>
      <c r="N110" s="23">
        <f>ROUND(L110/M110, 0)</f>
        <v/>
      </c>
      <c r="O110" s="23">
        <f>ROUND(N110*'Methodology &amp; Assumptions'!$B$8, 0)</f>
        <v/>
      </c>
      <c r="P110" s="44" t="inlineStr">
        <is>
          <t>Band n50 (1.5 GHz, 60 MHz)</t>
        </is>
      </c>
      <c r="Q110" s="38">
        <f>ROUNDUP(O110/'Methodology &amp; Assumptions'!$B$9, 0)</f>
        <v/>
      </c>
      <c r="R110" s="39" t="n">
        <v>1</v>
      </c>
      <c r="S110" s="25" t="n">
        <v>0.16</v>
      </c>
      <c r="T110" s="25" t="n">
        <v>0.16</v>
      </c>
      <c r="U110" s="42" t="inlineStr">
        <is>
          <t>Tier 1A (Direct Coloc, &lt;1 km)</t>
        </is>
      </c>
      <c r="V110" s="24" t="n">
        <v>100</v>
      </c>
      <c r="W110" s="24" t="n">
        <v>42.9</v>
      </c>
      <c r="X110" s="24" t="n">
        <v>58</v>
      </c>
      <c r="Y110" s="45">
        <f>ROUND((V110*'Methodology &amp; Assumptions'!$B$6)+(W110*'Methodology &amp; Assumptions'!$B$5)+(X110*'Methodology &amp; Assumptions'!$B$7), 2)</f>
        <v/>
      </c>
    </row>
    <row r="111" ht="19" customHeight="1">
      <c r="A111" s="35" t="n">
        <v>107</v>
      </c>
      <c r="B111" s="35" t="n">
        <v>3107</v>
      </c>
      <c r="C111" s="36" t="inlineStr">
        <is>
          <t>0601902006</t>
        </is>
      </c>
      <c r="D111" s="36" t="inlineStr">
        <is>
          <t>Region VI (Western Visayas)</t>
        </is>
      </c>
      <c r="E111" s="36" t="inlineStr">
        <is>
          <t>Capiz</t>
        </is>
      </c>
      <c r="F111" s="36" t="inlineStr">
        <is>
          <t>Dao</t>
        </is>
      </c>
      <c r="G111" s="36" t="inlineStr">
        <is>
          <t>Centro</t>
        </is>
      </c>
      <c r="H111" s="37" t="n">
        <v>11.395949</v>
      </c>
      <c r="I111" s="37" t="n">
        <v>122.686717</v>
      </c>
      <c r="J111" s="8" t="inlineStr">
        <is>
          <t>R</t>
        </is>
      </c>
      <c r="K111" s="36" t="inlineStr">
        <is>
          <t>3rd</t>
        </is>
      </c>
      <c r="L111" s="18" t="n">
        <v>989</v>
      </c>
      <c r="M111" s="20" t="n">
        <v>4.19</v>
      </c>
      <c r="N111" s="18">
        <f>ROUND(L111/M111, 0)</f>
        <v/>
      </c>
      <c r="O111" s="18">
        <f>ROUND(N111*'Methodology &amp; Assumptions'!$B$8, 0)</f>
        <v/>
      </c>
      <c r="P111" s="8" t="inlineStr">
        <is>
          <t>Band n50 (1.5 GHz, 60 MHz)</t>
        </is>
      </c>
      <c r="Q111" s="38">
        <f>ROUNDUP(O111/'Methodology &amp; Assumptions'!$B$9, 0)</f>
        <v/>
      </c>
      <c r="R111" s="39" t="n">
        <v>1</v>
      </c>
      <c r="S111" s="21" t="n">
        <v>0.17</v>
      </c>
      <c r="T111" s="21" t="n">
        <v>1.13</v>
      </c>
      <c r="U111" s="36" t="inlineStr">
        <is>
          <t>Tier 1A (Direct Coloc, &lt;1 km)</t>
        </is>
      </c>
      <c r="V111" s="20" t="n">
        <v>100</v>
      </c>
      <c r="W111" s="20" t="n">
        <v>42.9</v>
      </c>
      <c r="X111" s="20" t="n">
        <v>58</v>
      </c>
      <c r="Y111" s="40">
        <f>ROUND((V111*'Methodology &amp; Assumptions'!$B$6)+(W111*'Methodology &amp; Assumptions'!$B$5)+(X111*'Methodology &amp; Assumptions'!$B$7), 2)</f>
        <v/>
      </c>
    </row>
    <row r="112" ht="19" customHeight="1">
      <c r="A112" s="41" t="n">
        <v>108</v>
      </c>
      <c r="B112" s="41" t="n">
        <v>3108</v>
      </c>
      <c r="C112" s="42" t="inlineStr">
        <is>
          <t>0301412012</t>
        </is>
      </c>
      <c r="D112" s="42" t="inlineStr">
        <is>
          <t>Region III (Central Luzon)</t>
        </is>
      </c>
      <c r="E112" s="42" t="inlineStr">
        <is>
          <t>Bulacan</t>
        </is>
      </c>
      <c r="F112" s="42" t="inlineStr">
        <is>
          <t>City of Meycauayan</t>
        </is>
      </c>
      <c r="G112" s="42" t="inlineStr">
        <is>
          <t>Libtong</t>
        </is>
      </c>
      <c r="H112" s="43" t="n">
        <v>14.746128</v>
      </c>
      <c r="I112" s="43" t="n">
        <v>120.980968</v>
      </c>
      <c r="J112" s="44" t="inlineStr">
        <is>
          <t>U</t>
        </is>
      </c>
      <c r="K112" s="42" t="inlineStr">
        <is>
          <t>Class 1-3 / Urban</t>
        </is>
      </c>
      <c r="L112" s="23" t="n">
        <v>12742</v>
      </c>
      <c r="M112" s="24" t="n">
        <v>4.1</v>
      </c>
      <c r="N112" s="23">
        <f>ROUND(L112/M112, 0)</f>
        <v/>
      </c>
      <c r="O112" s="23">
        <f>ROUND(N112*'Methodology &amp; Assumptions'!$B$8, 0)</f>
        <v/>
      </c>
      <c r="P112" s="44" t="inlineStr">
        <is>
          <t>Band n50 (1.5 GHz, 60 MHz)</t>
        </is>
      </c>
      <c r="Q112" s="38">
        <f>ROUNDUP(O112/'Methodology &amp; Assumptions'!$B$9, 0)</f>
        <v/>
      </c>
      <c r="R112" s="39" t="n">
        <v>1</v>
      </c>
      <c r="S112" s="25" t="n">
        <v>1.6</v>
      </c>
      <c r="T112" s="25" t="n">
        <v>1.12</v>
      </c>
      <c r="U112" s="42" t="inlineStr">
        <is>
          <t>Tier 1B (Micro Drop, 1-3 km)</t>
        </is>
      </c>
      <c r="V112" s="24" t="n">
        <v>68.59999999999999</v>
      </c>
      <c r="W112" s="24" t="n">
        <v>100</v>
      </c>
      <c r="X112" s="24" t="n">
        <v>28</v>
      </c>
      <c r="Y112" s="45">
        <f>ROUND((V112*'Methodology &amp; Assumptions'!$B$6)+(W112*'Methodology &amp; Assumptions'!$B$5)+(X112*'Methodology &amp; Assumptions'!$B$7), 2)</f>
        <v/>
      </c>
    </row>
    <row r="113" ht="19" customHeight="1">
      <c r="A113" s="35" t="n">
        <v>109</v>
      </c>
      <c r="B113" s="35" t="n">
        <v>3109</v>
      </c>
      <c r="C113" s="36" t="inlineStr">
        <is>
          <t>0600402004</t>
        </is>
      </c>
      <c r="D113" s="36" t="inlineStr">
        <is>
          <t>Region VI (Western Visayas)</t>
        </is>
      </c>
      <c r="E113" s="36" t="inlineStr">
        <is>
          <t>Aklan</t>
        </is>
      </c>
      <c r="F113" s="36" t="inlineStr">
        <is>
          <t>Balete</t>
        </is>
      </c>
      <c r="G113" s="36" t="inlineStr">
        <is>
          <t>Calizo</t>
        </is>
      </c>
      <c r="H113" s="37" t="n">
        <v>11.582705</v>
      </c>
      <c r="I113" s="37" t="n">
        <v>122.384425</v>
      </c>
      <c r="J113" s="8" t="inlineStr">
        <is>
          <t>R</t>
        </is>
      </c>
      <c r="K113" s="36" t="inlineStr">
        <is>
          <t>3rd</t>
        </is>
      </c>
      <c r="L113" s="18" t="n">
        <v>4367</v>
      </c>
      <c r="M113" s="20" t="n">
        <v>4.13</v>
      </c>
      <c r="N113" s="18">
        <f>ROUND(L113/M113, 0)</f>
        <v/>
      </c>
      <c r="O113" s="18">
        <f>ROUND(N113*'Methodology &amp; Assumptions'!$B$8, 0)</f>
        <v/>
      </c>
      <c r="P113" s="8" t="inlineStr">
        <is>
          <t>Band n50 (1.5 GHz, 60 MHz)</t>
        </is>
      </c>
      <c r="Q113" s="38">
        <f>ROUNDUP(O113/'Methodology &amp; Assumptions'!$B$9, 0)</f>
        <v/>
      </c>
      <c r="R113" s="39" t="n">
        <v>1</v>
      </c>
      <c r="S113" s="21" t="n">
        <v>2.54</v>
      </c>
      <c r="T113" s="21" t="n">
        <v>2.03</v>
      </c>
      <c r="U113" s="36" t="inlineStr">
        <is>
          <t>Tier 1B (Micro Drop, 1-3 km)</t>
        </is>
      </c>
      <c r="V113" s="20" t="n">
        <v>42.9</v>
      </c>
      <c r="W113" s="20" t="n">
        <v>100</v>
      </c>
      <c r="X113" s="20" t="n">
        <v>58</v>
      </c>
      <c r="Y113" s="40">
        <f>ROUND((V113*'Methodology &amp; Assumptions'!$B$6)+(W113*'Methodology &amp; Assumptions'!$B$5)+(X113*'Methodology &amp; Assumptions'!$B$7), 2)</f>
        <v/>
      </c>
    </row>
    <row r="114" ht="19" customHeight="1">
      <c r="A114" s="41" t="n">
        <v>110</v>
      </c>
      <c r="B114" s="41" t="n">
        <v>3110</v>
      </c>
      <c r="C114" s="42" t="inlineStr">
        <is>
          <t>0300804025</t>
        </is>
      </c>
      <c r="D114" s="42" t="inlineStr">
        <is>
          <t>Region III (Central Luzon)</t>
        </is>
      </c>
      <c r="E114" s="42" t="inlineStr">
        <is>
          <t>Bataan</t>
        </is>
      </c>
      <c r="F114" s="42" t="inlineStr">
        <is>
          <t>Dinalupihan</t>
        </is>
      </c>
      <c r="G114" s="42" t="inlineStr">
        <is>
          <t>Pagalanggang</t>
        </is>
      </c>
      <c r="H114" s="43" t="n">
        <v>14.893289</v>
      </c>
      <c r="I114" s="43" t="n">
        <v>120.467847</v>
      </c>
      <c r="J114" s="44" t="inlineStr">
        <is>
          <t>R</t>
        </is>
      </c>
      <c r="K114" s="42" t="inlineStr">
        <is>
          <t>Class 1-3 / Urban</t>
        </is>
      </c>
      <c r="L114" s="23" t="n">
        <v>4214</v>
      </c>
      <c r="M114" s="24" t="n">
        <v>4.57</v>
      </c>
      <c r="N114" s="23">
        <f>ROUND(L114/M114, 0)</f>
        <v/>
      </c>
      <c r="O114" s="23">
        <f>ROUND(N114*'Methodology &amp; Assumptions'!$B$8, 0)</f>
        <v/>
      </c>
      <c r="P114" s="44" t="inlineStr">
        <is>
          <t>Band n50 (1.5 GHz, 60 MHz)</t>
        </is>
      </c>
      <c r="Q114" s="38">
        <f>ROUNDUP(O114/'Methodology &amp; Assumptions'!$B$9, 0)</f>
        <v/>
      </c>
      <c r="R114" s="39" t="n">
        <v>1</v>
      </c>
      <c r="S114" s="25" t="n">
        <v>3.15</v>
      </c>
      <c r="T114" s="25" t="n">
        <v>0.25</v>
      </c>
      <c r="U114" s="42" t="inlineStr">
        <is>
          <t>Tier 2 (Fiber Corridor / Lateral, 3-5 km)</t>
        </is>
      </c>
      <c r="V114" s="24" t="n">
        <v>45</v>
      </c>
      <c r="W114" s="24" t="n">
        <v>97.90000000000001</v>
      </c>
      <c r="X114" s="24" t="n">
        <v>58</v>
      </c>
      <c r="Y114" s="45">
        <f>ROUND((V114*'Methodology &amp; Assumptions'!$B$6)+(W114*'Methodology &amp; Assumptions'!$B$5)+(X114*'Methodology &amp; Assumptions'!$B$7), 2)</f>
        <v/>
      </c>
    </row>
    <row r="115" ht="19" customHeight="1">
      <c r="A115" s="35" t="n">
        <v>111</v>
      </c>
      <c r="B115" s="35" t="n">
        <v>3111</v>
      </c>
      <c r="C115" s="36" t="inlineStr">
        <is>
          <t>0501734014</t>
        </is>
      </c>
      <c r="D115" s="36" t="inlineStr">
        <is>
          <t>Region V (Bicol Region)</t>
        </is>
      </c>
      <c r="E115" s="36" t="inlineStr">
        <is>
          <t>Camarines Sur</t>
        </is>
      </c>
      <c r="F115" s="36" t="inlineStr">
        <is>
          <t>Sipocot</t>
        </is>
      </c>
      <c r="G115" s="36" t="inlineStr">
        <is>
          <t>Calagbangan</t>
        </is>
      </c>
      <c r="H115" s="37" t="n">
        <v>13.837241</v>
      </c>
      <c r="I115" s="37" t="n">
        <v>122.964424</v>
      </c>
      <c r="J115" s="8" t="inlineStr">
        <is>
          <t>R</t>
        </is>
      </c>
      <c r="K115" s="36" t="inlineStr">
        <is>
          <t>Class 1-3 / Urban</t>
        </is>
      </c>
      <c r="L115" s="18" t="n">
        <v>3869</v>
      </c>
      <c r="M115" s="20" t="n">
        <v>4.9</v>
      </c>
      <c r="N115" s="18">
        <f>ROUND(L115/M115, 0)</f>
        <v/>
      </c>
      <c r="O115" s="18">
        <f>ROUND(N115*'Methodology &amp; Assumptions'!$B$8, 0)</f>
        <v/>
      </c>
      <c r="P115" s="8" t="inlineStr">
        <is>
          <t>Band n50 (1.5 GHz, 60 MHz)</t>
        </is>
      </c>
      <c r="Q115" s="38">
        <f>ROUNDUP(O115/'Methodology &amp; Assumptions'!$B$9, 0)</f>
        <v/>
      </c>
      <c r="R115" s="39" t="n">
        <v>1</v>
      </c>
      <c r="S115" s="21" t="n">
        <v>2.35</v>
      </c>
      <c r="T115" s="21" t="n">
        <v>0.66</v>
      </c>
      <c r="U115" s="36" t="inlineStr">
        <is>
          <t>Tier 1B (Micro Drop, 1-3 km)</t>
        </is>
      </c>
      <c r="V115" s="20" t="n">
        <v>55.7</v>
      </c>
      <c r="W115" s="20" t="n">
        <v>87.2</v>
      </c>
      <c r="X115" s="20" t="n">
        <v>58</v>
      </c>
      <c r="Y115" s="40">
        <f>ROUND((V115*'Methodology &amp; Assumptions'!$B$6)+(W115*'Methodology &amp; Assumptions'!$B$5)+(X115*'Methodology &amp; Assumptions'!$B$7), 2)</f>
        <v/>
      </c>
    </row>
    <row r="116" ht="19" customHeight="1">
      <c r="A116" s="41" t="n">
        <v>112</v>
      </c>
      <c r="B116" s="41" t="n">
        <v>3112</v>
      </c>
      <c r="C116" s="42" t="inlineStr">
        <is>
          <t>0304931010</t>
        </is>
      </c>
      <c r="D116" s="42" t="inlineStr">
        <is>
          <t>Region III (Central Luzon)</t>
        </is>
      </c>
      <c r="E116" s="42" t="inlineStr">
        <is>
          <t>Nueva Ecija</t>
        </is>
      </c>
      <c r="F116" s="42" t="inlineStr">
        <is>
          <t>Talugtug</t>
        </is>
      </c>
      <c r="G116" s="42" t="inlineStr">
        <is>
          <t>Magsaysay</t>
        </is>
      </c>
      <c r="H116" s="43" t="n">
        <v>15.585783</v>
      </c>
      <c r="I116" s="43" t="n">
        <v>120.924577</v>
      </c>
      <c r="J116" s="44" t="inlineStr">
        <is>
          <t>R</t>
        </is>
      </c>
      <c r="K116" s="42" t="inlineStr">
        <is>
          <t>3rd</t>
        </is>
      </c>
      <c r="L116" s="23" t="n">
        <v>1520</v>
      </c>
      <c r="M116" s="24" t="n">
        <v>4.09</v>
      </c>
      <c r="N116" s="23">
        <f>ROUND(L116/M116, 0)</f>
        <v/>
      </c>
      <c r="O116" s="23">
        <f>ROUND(N116*'Methodology &amp; Assumptions'!$B$8, 0)</f>
        <v/>
      </c>
      <c r="P116" s="44" t="inlineStr">
        <is>
          <t>Band n50 (1.5 GHz, 60 MHz)</t>
        </is>
      </c>
      <c r="Q116" s="38">
        <f>ROUNDUP(O116/'Methodology &amp; Assumptions'!$B$9, 0)</f>
        <v/>
      </c>
      <c r="R116" s="39" t="n">
        <v>1</v>
      </c>
      <c r="S116" s="25" t="n">
        <v>0.71</v>
      </c>
      <c r="T116" s="25" t="n">
        <v>0.52</v>
      </c>
      <c r="U116" s="42" t="inlineStr">
        <is>
          <t>Tier 1A (Direct Coloc, &lt;1 km)</t>
        </is>
      </c>
      <c r="V116" s="24" t="n">
        <v>89</v>
      </c>
      <c r="W116" s="24" t="n">
        <v>53.9</v>
      </c>
      <c r="X116" s="24" t="n">
        <v>58</v>
      </c>
      <c r="Y116" s="45">
        <f>ROUND((V116*'Methodology &amp; Assumptions'!$B$6)+(W116*'Methodology &amp; Assumptions'!$B$5)+(X116*'Methodology &amp; Assumptions'!$B$7), 2)</f>
        <v/>
      </c>
    </row>
    <row r="117" ht="19" customHeight="1">
      <c r="A117" s="35" t="n">
        <v>113</v>
      </c>
      <c r="B117" s="35" t="n">
        <v>3113</v>
      </c>
      <c r="C117" s="36" t="inlineStr">
        <is>
          <t>0301415007</t>
        </is>
      </c>
      <c r="D117" s="36" t="inlineStr">
        <is>
          <t>Region III (Central Luzon)</t>
        </is>
      </c>
      <c r="E117" s="36" t="inlineStr">
        <is>
          <t>Bulacan</t>
        </is>
      </c>
      <c r="F117" s="36" t="inlineStr">
        <is>
          <t>Pandi</t>
        </is>
      </c>
      <c r="G117" s="36" t="inlineStr">
        <is>
          <t>Cacarong Matanda</t>
        </is>
      </c>
      <c r="H117" s="37" t="n">
        <v>14.904199</v>
      </c>
      <c r="I117" s="37" t="n">
        <v>120.968014</v>
      </c>
      <c r="J117" s="8" t="inlineStr">
        <is>
          <t>U</t>
        </is>
      </c>
      <c r="K117" s="36" t="inlineStr">
        <is>
          <t>Class 1-3 / Urban</t>
        </is>
      </c>
      <c r="L117" s="18" t="n">
        <v>12494</v>
      </c>
      <c r="M117" s="20" t="n">
        <v>4.1</v>
      </c>
      <c r="N117" s="18">
        <f>ROUND(L117/M117, 0)</f>
        <v/>
      </c>
      <c r="O117" s="18">
        <f>ROUND(N117*'Methodology &amp; Assumptions'!$B$8, 0)</f>
        <v/>
      </c>
      <c r="P117" s="8" t="inlineStr">
        <is>
          <t>Band n50 (1.5 GHz, 60 MHz)</t>
        </is>
      </c>
      <c r="Q117" s="38">
        <f>ROUNDUP(O117/'Methodology &amp; Assumptions'!$B$9, 0)</f>
        <v/>
      </c>
      <c r="R117" s="39" t="n">
        <v>1</v>
      </c>
      <c r="S117" s="21" t="n">
        <v>1.6</v>
      </c>
      <c r="T117" s="21" t="n">
        <v>1.22</v>
      </c>
      <c r="U117" s="36" t="inlineStr">
        <is>
          <t>Tier 1B (Micro Drop, 1-3 km)</t>
        </is>
      </c>
      <c r="V117" s="20" t="n">
        <v>68.59999999999999</v>
      </c>
      <c r="W117" s="20" t="n">
        <v>100</v>
      </c>
      <c r="X117" s="20" t="n">
        <v>28</v>
      </c>
      <c r="Y117" s="40">
        <f>ROUND((V117*'Methodology &amp; Assumptions'!$B$6)+(W117*'Methodology &amp; Assumptions'!$B$5)+(X117*'Methodology &amp; Assumptions'!$B$7), 2)</f>
        <v/>
      </c>
    </row>
    <row r="118" ht="19" customHeight="1">
      <c r="A118" s="41" t="n">
        <v>114</v>
      </c>
      <c r="B118" s="41" t="n">
        <v>3114</v>
      </c>
      <c r="C118" s="42" t="inlineStr">
        <is>
          <t>0600407003</t>
        </is>
      </c>
      <c r="D118" s="42" t="inlineStr">
        <is>
          <t>Region VI (Western Visayas)</t>
        </is>
      </c>
      <c r="E118" s="42" t="inlineStr">
        <is>
          <t>Aklan</t>
        </is>
      </c>
      <c r="F118" s="42" t="inlineStr">
        <is>
          <t>Kalibo</t>
        </is>
      </c>
      <c r="G118" s="42" t="inlineStr">
        <is>
          <t>Bachaw Sur</t>
        </is>
      </c>
      <c r="H118" s="43" t="n">
        <v>11.718669</v>
      </c>
      <c r="I118" s="43" t="n">
        <v>122.37805</v>
      </c>
      <c r="J118" s="44" t="inlineStr">
        <is>
          <t>R</t>
        </is>
      </c>
      <c r="K118" s="42" t="inlineStr">
        <is>
          <t>Class 1-3 / Urban</t>
        </is>
      </c>
      <c r="L118" s="23" t="n">
        <v>3594</v>
      </c>
      <c r="M118" s="24" t="n">
        <v>4.27</v>
      </c>
      <c r="N118" s="23">
        <f>ROUND(L118/M118, 0)</f>
        <v/>
      </c>
      <c r="O118" s="23">
        <f>ROUND(N118*'Methodology &amp; Assumptions'!$B$8, 0)</f>
        <v/>
      </c>
      <c r="P118" s="44" t="inlineStr">
        <is>
          <t>Band n50 (1.5 GHz, 60 MHz)</t>
        </is>
      </c>
      <c r="Q118" s="38">
        <f>ROUNDUP(O118/'Methodology &amp; Assumptions'!$B$9, 0)</f>
        <v/>
      </c>
      <c r="R118" s="39" t="n">
        <v>1</v>
      </c>
      <c r="S118" s="25" t="n">
        <v>2.64</v>
      </c>
      <c r="T118" s="25" t="n">
        <v>1.55</v>
      </c>
      <c r="U118" s="42" t="inlineStr">
        <is>
          <t>Tier 1B (Micro Drop, 1-3 km)</t>
        </is>
      </c>
      <c r="V118" s="24" t="n">
        <v>51.4</v>
      </c>
      <c r="W118" s="24" t="n">
        <v>91.5</v>
      </c>
      <c r="X118" s="24" t="n">
        <v>58</v>
      </c>
      <c r="Y118" s="45">
        <f>ROUND((V118*'Methodology &amp; Assumptions'!$B$6)+(W118*'Methodology &amp; Assumptions'!$B$5)+(X118*'Methodology &amp; Assumptions'!$B$7), 2)</f>
        <v/>
      </c>
    </row>
    <row r="119" ht="19" customHeight="1">
      <c r="A119" s="35" t="n">
        <v>115</v>
      </c>
      <c r="B119" s="35" t="n">
        <v>3115</v>
      </c>
      <c r="C119" s="36" t="inlineStr">
        <is>
          <t>0907322014</t>
        </is>
      </c>
      <c r="D119" s="36" t="inlineStr">
        <is>
          <t>Region IX (Zamboanga Peninsula)</t>
        </is>
      </c>
      <c r="E119" s="36" t="inlineStr">
        <is>
          <t>Zamboanga del Sur</t>
        </is>
      </c>
      <c r="F119" s="36" t="inlineStr">
        <is>
          <t>City of Pagadian</t>
        </is>
      </c>
      <c r="G119" s="36" t="inlineStr">
        <is>
          <t>Dao</t>
        </is>
      </c>
      <c r="H119" s="37" t="n">
        <v>7.839866</v>
      </c>
      <c r="I119" s="37" t="n">
        <v>123.427963</v>
      </c>
      <c r="J119" s="8" t="inlineStr">
        <is>
          <t>U</t>
        </is>
      </c>
      <c r="K119" s="36" t="inlineStr">
        <is>
          <t>Class 1-3 / Urban</t>
        </is>
      </c>
      <c r="L119" s="18" t="n">
        <v>6479</v>
      </c>
      <c r="M119" s="20" t="n">
        <v>4.61</v>
      </c>
      <c r="N119" s="18">
        <f>ROUND(L119/M119, 0)</f>
        <v/>
      </c>
      <c r="O119" s="18">
        <f>ROUND(N119*'Methodology &amp; Assumptions'!$B$8, 0)</f>
        <v/>
      </c>
      <c r="P119" s="8" t="inlineStr">
        <is>
          <t>Band n50 (1.5 GHz, 60 MHz)</t>
        </is>
      </c>
      <c r="Q119" s="38">
        <f>ROUNDUP(O119/'Methodology &amp; Assumptions'!$B$9, 0)</f>
        <v/>
      </c>
      <c r="R119" s="39" t="n">
        <v>1</v>
      </c>
      <c r="S119" s="21" t="n">
        <v>1.6</v>
      </c>
      <c r="T119" s="21" t="n">
        <v>0.31</v>
      </c>
      <c r="U119" s="36" t="inlineStr">
        <is>
          <t>Tier 1B (Micro Drop, 1-3 km)</t>
        </is>
      </c>
      <c r="V119" s="20" t="n">
        <v>68.59999999999999</v>
      </c>
      <c r="W119" s="20" t="n">
        <v>100</v>
      </c>
      <c r="X119" s="20" t="n">
        <v>28</v>
      </c>
      <c r="Y119" s="40">
        <f>ROUND((V119*'Methodology &amp; Assumptions'!$B$6)+(W119*'Methodology &amp; Assumptions'!$B$5)+(X119*'Methodology &amp; Assumptions'!$B$7), 2)</f>
        <v/>
      </c>
    </row>
    <row r="120" ht="19" customHeight="1">
      <c r="A120" s="41" t="n">
        <v>116</v>
      </c>
      <c r="B120" s="41" t="n">
        <v>3116</v>
      </c>
      <c r="C120" s="42" t="inlineStr">
        <is>
          <t>1600201024</t>
        </is>
      </c>
      <c r="D120" s="42" t="inlineStr">
        <is>
          <t>Region XIII (Caraga)</t>
        </is>
      </c>
      <c r="E120" s="42" t="inlineStr">
        <is>
          <t>Agusan del Norte</t>
        </is>
      </c>
      <c r="F120" s="42" t="inlineStr">
        <is>
          <t>Buenavista</t>
        </is>
      </c>
      <c r="G120" s="42" t="inlineStr">
        <is>
          <t>Sacol</t>
        </is>
      </c>
      <c r="H120" s="43" t="n">
        <v>8.979666</v>
      </c>
      <c r="I120" s="43" t="n">
        <v>125.40106</v>
      </c>
      <c r="J120" s="44" t="inlineStr">
        <is>
          <t>R</t>
        </is>
      </c>
      <c r="K120" s="42" t="inlineStr">
        <is>
          <t>Class 1-3 / Urban</t>
        </is>
      </c>
      <c r="L120" s="23" t="n">
        <v>3369</v>
      </c>
      <c r="M120" s="24" t="n">
        <v>4.63</v>
      </c>
      <c r="N120" s="23">
        <f>ROUND(L120/M120, 0)</f>
        <v/>
      </c>
      <c r="O120" s="23">
        <f>ROUND(N120*'Methodology &amp; Assumptions'!$B$8, 0)</f>
        <v/>
      </c>
      <c r="P120" s="44" t="inlineStr">
        <is>
          <t>Band n50 (1.5 GHz, 60 MHz)</t>
        </is>
      </c>
      <c r="Q120" s="38">
        <f>ROUNDUP(O120/'Methodology &amp; Assumptions'!$B$9, 0)</f>
        <v/>
      </c>
      <c r="R120" s="39" t="n">
        <v>1</v>
      </c>
      <c r="S120" s="25" t="n">
        <v>2.04</v>
      </c>
      <c r="T120" s="25" t="n">
        <v>0.97</v>
      </c>
      <c r="U120" s="42" t="inlineStr">
        <is>
          <t>Tier 1B (Micro Drop, 1-3 km)</t>
        </is>
      </c>
      <c r="V120" s="24" t="n">
        <v>60.7</v>
      </c>
      <c r="W120" s="24" t="n">
        <v>82.09999999999999</v>
      </c>
      <c r="X120" s="24" t="n">
        <v>58</v>
      </c>
      <c r="Y120" s="45">
        <f>ROUND((V120*'Methodology &amp; Assumptions'!$B$6)+(W120*'Methodology &amp; Assumptions'!$B$5)+(X120*'Methodology &amp; Assumptions'!$B$7), 2)</f>
        <v/>
      </c>
    </row>
    <row r="121" ht="19" customHeight="1">
      <c r="A121" s="35" t="n">
        <v>117</v>
      </c>
      <c r="B121" s="35" t="n">
        <v>3117</v>
      </c>
      <c r="C121" s="36" t="inlineStr">
        <is>
          <t>0501608017</t>
        </is>
      </c>
      <c r="D121" s="36" t="inlineStr">
        <is>
          <t>Region V (Bicol Region)</t>
        </is>
      </c>
      <c r="E121" s="36" t="inlineStr">
        <is>
          <t>Camarines Norte</t>
        </is>
      </c>
      <c r="F121" s="36" t="inlineStr">
        <is>
          <t>Paracale</t>
        </is>
      </c>
      <c r="G121" s="36" t="inlineStr">
        <is>
          <t>Mangkasay</t>
        </is>
      </c>
      <c r="H121" s="37" t="n">
        <v>14.253769</v>
      </c>
      <c r="I121" s="37" t="n">
        <v>122.819576</v>
      </c>
      <c r="J121" s="8" t="inlineStr">
        <is>
          <t>R</t>
        </is>
      </c>
      <c r="K121" s="36" t="inlineStr">
        <is>
          <t>Class 1-3 / Urban</t>
        </is>
      </c>
      <c r="L121" s="18" t="n">
        <v>1522</v>
      </c>
      <c r="M121" s="20" t="n">
        <v>4.4</v>
      </c>
      <c r="N121" s="18">
        <f>ROUND(L121/M121, 0)</f>
        <v/>
      </c>
      <c r="O121" s="18">
        <f>ROUND(N121*'Methodology &amp; Assumptions'!$B$8, 0)</f>
        <v/>
      </c>
      <c r="P121" s="8" t="inlineStr">
        <is>
          <t>Band n50 (1.5 GHz, 60 MHz)</t>
        </is>
      </c>
      <c r="Q121" s="38">
        <f>ROUNDUP(O121/'Methodology &amp; Assumptions'!$B$9, 0)</f>
        <v/>
      </c>
      <c r="R121" s="39" t="n">
        <v>1</v>
      </c>
      <c r="S121" s="21" t="n">
        <v>0.28</v>
      </c>
      <c r="T121" s="21" t="n">
        <v>7.69</v>
      </c>
      <c r="U121" s="36" t="inlineStr">
        <is>
          <t>Tier 1A (Direct Coloc, &lt;1 km)</t>
        </is>
      </c>
      <c r="V121" s="20" t="n">
        <v>91.09999999999999</v>
      </c>
      <c r="W121" s="20" t="n">
        <v>51.7</v>
      </c>
      <c r="X121" s="20" t="n">
        <v>58</v>
      </c>
      <c r="Y121" s="40">
        <f>ROUND((V121*'Methodology &amp; Assumptions'!$B$6)+(W121*'Methodology &amp; Assumptions'!$B$5)+(X121*'Methodology &amp; Assumptions'!$B$7), 2)</f>
        <v/>
      </c>
    </row>
    <row r="122" ht="19" customHeight="1">
      <c r="A122" s="41" t="n">
        <v>118</v>
      </c>
      <c r="B122" s="41" t="n">
        <v>3118</v>
      </c>
      <c r="C122" s="42" t="inlineStr">
        <is>
          <t>0702251037</t>
        </is>
      </c>
      <c r="D122" s="42" t="inlineStr">
        <is>
          <t>Region VII (Central Visayas)</t>
        </is>
      </c>
      <c r="E122" s="42" t="inlineStr">
        <is>
          <t>Cebu</t>
        </is>
      </c>
      <c r="F122" s="42" t="inlineStr">
        <is>
          <t>City of Toledo</t>
        </is>
      </c>
      <c r="G122" s="42" t="inlineStr">
        <is>
          <t>Talavera</t>
        </is>
      </c>
      <c r="H122" s="43" t="n">
        <v>10.411546</v>
      </c>
      <c r="I122" s="43" t="n">
        <v>123.664642</v>
      </c>
      <c r="J122" s="44" t="inlineStr">
        <is>
          <t>U</t>
        </is>
      </c>
      <c r="K122" s="42" t="inlineStr">
        <is>
          <t>Class 1-3 / Urban</t>
        </is>
      </c>
      <c r="L122" s="23" t="n">
        <v>7731</v>
      </c>
      <c r="M122" s="24" t="n">
        <v>4.42</v>
      </c>
      <c r="N122" s="23">
        <f>ROUND(L122/M122, 0)</f>
        <v/>
      </c>
      <c r="O122" s="23">
        <f>ROUND(N122*'Methodology &amp; Assumptions'!$B$8, 0)</f>
        <v/>
      </c>
      <c r="P122" s="44" t="inlineStr">
        <is>
          <t>Band n50 (1.5 GHz, 60 MHz)</t>
        </is>
      </c>
      <c r="Q122" s="38">
        <f>ROUNDUP(O122/'Methodology &amp; Assumptions'!$B$9, 0)</f>
        <v/>
      </c>
      <c r="R122" s="39" t="n">
        <v>1</v>
      </c>
      <c r="S122" s="25" t="n">
        <v>1.61</v>
      </c>
      <c r="T122" s="25" t="n">
        <v>0.01</v>
      </c>
      <c r="U122" s="42" t="inlineStr">
        <is>
          <t>Tier 1B (Micro Drop, 1-3 km)</t>
        </is>
      </c>
      <c r="V122" s="24" t="n">
        <v>68.59999999999999</v>
      </c>
      <c r="W122" s="24" t="n">
        <v>100</v>
      </c>
      <c r="X122" s="24" t="n">
        <v>28</v>
      </c>
      <c r="Y122" s="45">
        <f>ROUND((V122*'Methodology &amp; Assumptions'!$B$6)+(W122*'Methodology &amp; Assumptions'!$B$5)+(X122*'Methodology &amp; Assumptions'!$B$7), 2)</f>
        <v/>
      </c>
    </row>
    <row r="123" ht="19" customHeight="1">
      <c r="A123" s="35" t="n">
        <v>119</v>
      </c>
      <c r="B123" s="35" t="n">
        <v>3119</v>
      </c>
      <c r="C123" s="36" t="inlineStr">
        <is>
          <t>0305403030</t>
        </is>
      </c>
      <c r="D123" s="36" t="inlineStr">
        <is>
          <t>Region III (Central Luzon)</t>
        </is>
      </c>
      <c r="E123" s="36" t="inlineStr">
        <is>
          <t>Pampanga</t>
        </is>
      </c>
      <c r="F123" s="36" t="inlineStr">
        <is>
          <t>Arayat</t>
        </is>
      </c>
      <c r="G123" s="36" t="inlineStr">
        <is>
          <t>Cupang</t>
        </is>
      </c>
      <c r="H123" s="37" t="n">
        <v>15.13655</v>
      </c>
      <c r="I123" s="37" t="n">
        <v>120.7848</v>
      </c>
      <c r="J123" s="8" t="inlineStr">
        <is>
          <t>U</t>
        </is>
      </c>
      <c r="K123" s="36" t="inlineStr">
        <is>
          <t>Class 1-3 / Urban</t>
        </is>
      </c>
      <c r="L123" s="18" t="n">
        <v>4344</v>
      </c>
      <c r="M123" s="20" t="n">
        <v>4.63</v>
      </c>
      <c r="N123" s="18">
        <f>ROUND(L123/M123, 0)</f>
        <v/>
      </c>
      <c r="O123" s="18">
        <f>ROUND(N123*'Methodology &amp; Assumptions'!$B$8, 0)</f>
        <v/>
      </c>
      <c r="P123" s="8" t="inlineStr">
        <is>
          <t>Band n50 (1.5 GHz, 60 MHz)</t>
        </is>
      </c>
      <c r="Q123" s="38">
        <f>ROUNDUP(O123/'Methodology &amp; Assumptions'!$B$9, 0)</f>
        <v/>
      </c>
      <c r="R123" s="39" t="n">
        <v>1</v>
      </c>
      <c r="S123" s="21" t="n">
        <v>1.55</v>
      </c>
      <c r="T123" s="21" t="n">
        <v>1.16</v>
      </c>
      <c r="U123" s="36" t="inlineStr">
        <is>
          <t>Tier 1B (Micro Drop, 1-3 km)</t>
        </is>
      </c>
      <c r="V123" s="20" t="n">
        <v>69.7</v>
      </c>
      <c r="W123" s="20" t="n">
        <v>98.90000000000001</v>
      </c>
      <c r="X123" s="20" t="n">
        <v>28</v>
      </c>
      <c r="Y123" s="40">
        <f>ROUND((V123*'Methodology &amp; Assumptions'!$B$6)+(W123*'Methodology &amp; Assumptions'!$B$5)+(X123*'Methodology &amp; Assumptions'!$B$7), 2)</f>
        <v/>
      </c>
    </row>
    <row r="124" ht="19" customHeight="1">
      <c r="A124" s="41" t="n">
        <v>120</v>
      </c>
      <c r="B124" s="41" t="n">
        <v>3120</v>
      </c>
      <c r="C124" s="42" t="inlineStr">
        <is>
          <t>1206312017</t>
        </is>
      </c>
      <c r="D124" s="42" t="inlineStr">
        <is>
          <t>Region XII (SOCCSKSARGEN)</t>
        </is>
      </c>
      <c r="E124" s="42" t="inlineStr">
        <is>
          <t>South Cotabato</t>
        </is>
      </c>
      <c r="F124" s="42" t="inlineStr">
        <is>
          <t>Polomolok</t>
        </is>
      </c>
      <c r="G124" s="42" t="inlineStr">
        <is>
          <t>Rubber</t>
        </is>
      </c>
      <c r="H124" s="43" t="n">
        <v>6.206184</v>
      </c>
      <c r="I124" s="43" t="n">
        <v>125.0478</v>
      </c>
      <c r="J124" s="44" t="inlineStr">
        <is>
          <t>R</t>
        </is>
      </c>
      <c r="K124" s="42" t="inlineStr">
        <is>
          <t>Class 1-3 / Urban</t>
        </is>
      </c>
      <c r="L124" s="23" t="n">
        <v>3648</v>
      </c>
      <c r="M124" s="24" t="n">
        <v>4.1</v>
      </c>
      <c r="N124" s="23">
        <f>ROUND(L124/M124, 0)</f>
        <v/>
      </c>
      <c r="O124" s="23">
        <f>ROUND(N124*'Methodology &amp; Assumptions'!$B$8, 0)</f>
        <v/>
      </c>
      <c r="P124" s="44" t="inlineStr">
        <is>
          <t>Band n50 (1.5 GHz, 60 MHz)</t>
        </is>
      </c>
      <c r="Q124" s="38">
        <f>ROUNDUP(O124/'Methodology &amp; Assumptions'!$B$9, 0)</f>
        <v/>
      </c>
      <c r="R124" s="39" t="n">
        <v>1</v>
      </c>
      <c r="S124" s="25" t="n">
        <v>2.22</v>
      </c>
      <c r="T124" s="25" t="n">
        <v>2.31</v>
      </c>
      <c r="U124" s="42" t="inlineStr">
        <is>
          <t>Tier 1B (Micro Drop, 1-3 km)</t>
        </is>
      </c>
      <c r="V124" s="24" t="n">
        <v>47.6</v>
      </c>
      <c r="W124" s="24" t="n">
        <v>95.2</v>
      </c>
      <c r="X124" s="24" t="n">
        <v>58</v>
      </c>
      <c r="Y124" s="45">
        <f>ROUND((V124*'Methodology &amp; Assumptions'!$B$6)+(W124*'Methodology &amp; Assumptions'!$B$5)+(X124*'Methodology &amp; Assumptions'!$B$7), 2)</f>
        <v/>
      </c>
    </row>
    <row r="125" ht="19" customHeight="1">
      <c r="A125" s="35" t="n">
        <v>121</v>
      </c>
      <c r="B125" s="35" t="n">
        <v>3121</v>
      </c>
      <c r="C125" s="36" t="inlineStr">
        <is>
          <t>0501703009</t>
        </is>
      </c>
      <c r="D125" s="36" t="inlineStr">
        <is>
          <t>Region V (Bicol Region)</t>
        </is>
      </c>
      <c r="E125" s="36" t="inlineStr">
        <is>
          <t>Camarines Sur</t>
        </is>
      </c>
      <c r="F125" s="36" t="inlineStr">
        <is>
          <t>Bato</t>
        </is>
      </c>
      <c r="G125" s="36" t="inlineStr">
        <is>
          <t>Divina Pastora</t>
        </is>
      </c>
      <c r="H125" s="37" t="n">
        <v>13.352803</v>
      </c>
      <c r="I125" s="37" t="n">
        <v>123.366018</v>
      </c>
      <c r="J125" s="8" t="inlineStr">
        <is>
          <t>R</t>
        </is>
      </c>
      <c r="K125" s="36" t="inlineStr">
        <is>
          <t>Class 1-3 / Urban</t>
        </is>
      </c>
      <c r="L125" s="18" t="n">
        <v>1690</v>
      </c>
      <c r="M125" s="20" t="n">
        <v>4.9</v>
      </c>
      <c r="N125" s="18">
        <f>ROUND(L125/M125, 0)</f>
        <v/>
      </c>
      <c r="O125" s="18">
        <f>ROUND(N125*'Methodology &amp; Assumptions'!$B$8, 0)</f>
        <v/>
      </c>
      <c r="P125" s="8" t="inlineStr">
        <is>
          <t>Band n50 (1.5 GHz, 60 MHz)</t>
        </is>
      </c>
      <c r="Q125" s="38">
        <f>ROUNDUP(O125/'Methodology &amp; Assumptions'!$B$9, 0)</f>
        <v/>
      </c>
      <c r="R125" s="39" t="n">
        <v>1</v>
      </c>
      <c r="S125" s="21" t="n">
        <v>0.63</v>
      </c>
      <c r="T125" s="21" t="n">
        <v>0.15</v>
      </c>
      <c r="U125" s="36" t="inlineStr">
        <is>
          <t>Tier 1A (Direct Coloc, &lt;1 km)</t>
        </is>
      </c>
      <c r="V125" s="20" t="n">
        <v>91.09999999999999</v>
      </c>
      <c r="W125" s="20" t="n">
        <v>51.7</v>
      </c>
      <c r="X125" s="20" t="n">
        <v>58</v>
      </c>
      <c r="Y125" s="40">
        <f>ROUND((V125*'Methodology &amp; Assumptions'!$B$6)+(W125*'Methodology &amp; Assumptions'!$B$5)+(X125*'Methodology &amp; Assumptions'!$B$7), 2)</f>
        <v/>
      </c>
    </row>
    <row r="126" ht="19" customHeight="1">
      <c r="A126" s="41" t="n">
        <v>122</v>
      </c>
      <c r="B126" s="41" t="n">
        <v>3122</v>
      </c>
      <c r="C126" s="42" t="inlineStr">
        <is>
          <t>0702219007</t>
        </is>
      </c>
      <c r="D126" s="42" t="inlineStr">
        <is>
          <t>Region VII (Central Visayas)</t>
        </is>
      </c>
      <c r="E126" s="42" t="inlineStr">
        <is>
          <t>Cebu</t>
        </is>
      </c>
      <c r="F126" s="42" t="inlineStr">
        <is>
          <t>Consolacion</t>
        </is>
      </c>
      <c r="G126" s="42" t="inlineStr">
        <is>
          <t>Lamac</t>
        </is>
      </c>
      <c r="H126" s="43" t="n">
        <v>10.38753</v>
      </c>
      <c r="I126" s="43" t="n">
        <v>123.968242</v>
      </c>
      <c r="J126" s="44" t="inlineStr">
        <is>
          <t>U</t>
        </is>
      </c>
      <c r="K126" s="42" t="inlineStr">
        <is>
          <t>Class 1-3 / Urban</t>
        </is>
      </c>
      <c r="L126" s="23" t="n">
        <v>11221</v>
      </c>
      <c r="M126" s="24" t="n">
        <v>4.42</v>
      </c>
      <c r="N126" s="23">
        <f>ROUND(L126/M126, 0)</f>
        <v/>
      </c>
      <c r="O126" s="23">
        <f>ROUND(N126*'Methodology &amp; Assumptions'!$B$8, 0)</f>
        <v/>
      </c>
      <c r="P126" s="44" t="inlineStr">
        <is>
          <t>Band n50 (1.5 GHz, 60 MHz)</t>
        </is>
      </c>
      <c r="Q126" s="38">
        <f>ROUNDUP(O126/'Methodology &amp; Assumptions'!$B$9, 0)</f>
        <v/>
      </c>
      <c r="R126" s="39" t="n">
        <v>1</v>
      </c>
      <c r="S126" s="25" t="n">
        <v>1.61</v>
      </c>
      <c r="T126" s="25" t="n">
        <v>0.66</v>
      </c>
      <c r="U126" s="42" t="inlineStr">
        <is>
          <t>Tier 1B (Micro Drop, 1-3 km)</t>
        </is>
      </c>
      <c r="V126" s="24" t="n">
        <v>68.5</v>
      </c>
      <c r="W126" s="24" t="n">
        <v>100</v>
      </c>
      <c r="X126" s="24" t="n">
        <v>28</v>
      </c>
      <c r="Y126" s="45">
        <f>ROUND((V126*'Methodology &amp; Assumptions'!$B$6)+(W126*'Methodology &amp; Assumptions'!$B$5)+(X126*'Methodology &amp; Assumptions'!$B$7), 2)</f>
        <v/>
      </c>
    </row>
    <row r="127" ht="19" customHeight="1">
      <c r="A127" s="35" t="n">
        <v>123</v>
      </c>
      <c r="B127" s="35" t="n">
        <v>3123</v>
      </c>
      <c r="C127" s="36" t="inlineStr">
        <is>
          <t>0506211014</t>
        </is>
      </c>
      <c r="D127" s="36" t="inlineStr">
        <is>
          <t>Region V (Bicol Region)</t>
        </is>
      </c>
      <c r="E127" s="36" t="inlineStr">
        <is>
          <t>Sorsogon</t>
        </is>
      </c>
      <c r="F127" s="36" t="inlineStr">
        <is>
          <t>Magallanes</t>
        </is>
      </c>
      <c r="G127" s="36" t="inlineStr">
        <is>
          <t>Caditaan</t>
        </is>
      </c>
      <c r="H127" s="37" t="n">
        <v>12.804058</v>
      </c>
      <c r="I127" s="37" t="n">
        <v>123.849844</v>
      </c>
      <c r="J127" s="8" t="inlineStr">
        <is>
          <t>R</t>
        </is>
      </c>
      <c r="K127" s="36" t="inlineStr">
        <is>
          <t>Class 1-3 / Urban</t>
        </is>
      </c>
      <c r="L127" s="18" t="n">
        <v>3533</v>
      </c>
      <c r="M127" s="20" t="n">
        <v>4.58</v>
      </c>
      <c r="N127" s="18">
        <f>ROUND(L127/M127, 0)</f>
        <v/>
      </c>
      <c r="O127" s="18">
        <f>ROUND(N127*'Methodology &amp; Assumptions'!$B$8, 0)</f>
        <v/>
      </c>
      <c r="P127" s="8" t="inlineStr">
        <is>
          <t>Band n50 (1.5 GHz, 60 MHz)</t>
        </is>
      </c>
      <c r="Q127" s="38">
        <f>ROUNDUP(O127/'Methodology &amp; Assumptions'!$B$9, 0)</f>
        <v/>
      </c>
      <c r="R127" s="39" t="n">
        <v>1</v>
      </c>
      <c r="S127" s="21" t="n">
        <v>2.25</v>
      </c>
      <c r="T127" s="21" t="n">
        <v>0.28</v>
      </c>
      <c r="U127" s="36" t="inlineStr">
        <is>
          <t>Tier 1B (Micro Drop, 1-3 km)</t>
        </is>
      </c>
      <c r="V127" s="20" t="n">
        <v>57.2</v>
      </c>
      <c r="W127" s="20" t="n">
        <v>85.59999999999999</v>
      </c>
      <c r="X127" s="20" t="n">
        <v>58</v>
      </c>
      <c r="Y127" s="40">
        <f>ROUND((V127*'Methodology &amp; Assumptions'!$B$6)+(W127*'Methodology &amp; Assumptions'!$B$5)+(X127*'Methodology &amp; Assumptions'!$B$7), 2)</f>
        <v/>
      </c>
    </row>
    <row r="128" ht="19" customHeight="1">
      <c r="A128" s="41" t="n">
        <v>124</v>
      </c>
      <c r="B128" s="41" t="n">
        <v>3124</v>
      </c>
      <c r="C128" s="42" t="inlineStr">
        <is>
          <t>0702224024</t>
        </is>
      </c>
      <c r="D128" s="42" t="inlineStr">
        <is>
          <t>Region VII (Central Visayas)</t>
        </is>
      </c>
      <c r="E128" s="42" t="inlineStr">
        <is>
          <t>Cebu</t>
        </is>
      </c>
      <c r="F128" s="42" t="inlineStr">
        <is>
          <t>Dumanjug</t>
        </is>
      </c>
      <c r="G128" s="42" t="inlineStr">
        <is>
          <t>Liong</t>
        </is>
      </c>
      <c r="H128" s="43" t="n">
        <v>10.044322</v>
      </c>
      <c r="I128" s="43" t="n">
        <v>123.429312</v>
      </c>
      <c r="J128" s="44" t="inlineStr">
        <is>
          <t>R</t>
        </is>
      </c>
      <c r="K128" s="42" t="inlineStr">
        <is>
          <t>Class 1-3 / Urban</t>
        </is>
      </c>
      <c r="L128" s="23" t="n">
        <v>2694</v>
      </c>
      <c r="M128" s="24" t="n">
        <v>4.42</v>
      </c>
      <c r="N128" s="23">
        <f>ROUND(L128/M128, 0)</f>
        <v/>
      </c>
      <c r="O128" s="23">
        <f>ROUND(N128*'Methodology &amp; Assumptions'!$B$8, 0)</f>
        <v/>
      </c>
      <c r="P128" s="44" t="inlineStr">
        <is>
          <t>Band n50 (1.5 GHz, 60 MHz)</t>
        </is>
      </c>
      <c r="Q128" s="38">
        <f>ROUNDUP(O128/'Methodology &amp; Assumptions'!$B$9, 0)</f>
        <v/>
      </c>
      <c r="R128" s="39" t="n">
        <v>1</v>
      </c>
      <c r="S128" s="25" t="n">
        <v>1.53</v>
      </c>
      <c r="T128" s="25" t="n">
        <v>0.26</v>
      </c>
      <c r="U128" s="42" t="inlineStr">
        <is>
          <t>Tier 1B (Micro Drop, 1-3 km)</t>
        </is>
      </c>
      <c r="V128" s="24" t="n">
        <v>70</v>
      </c>
      <c r="W128" s="24" t="n">
        <v>72.8</v>
      </c>
      <c r="X128" s="24" t="n">
        <v>58</v>
      </c>
      <c r="Y128" s="45">
        <f>ROUND((V128*'Methodology &amp; Assumptions'!$B$6)+(W128*'Methodology &amp; Assumptions'!$B$5)+(X128*'Methodology &amp; Assumptions'!$B$7), 2)</f>
        <v/>
      </c>
    </row>
    <row r="129" ht="19" customHeight="1">
      <c r="A129" s="35" t="n">
        <v>125</v>
      </c>
      <c r="B129" s="35" t="n">
        <v>3125</v>
      </c>
      <c r="C129" s="36" t="inlineStr">
        <is>
          <t>0304928025</t>
        </is>
      </c>
      <c r="D129" s="36" t="inlineStr">
        <is>
          <t>Region III (Central Luzon)</t>
        </is>
      </c>
      <c r="E129" s="36" t="inlineStr">
        <is>
          <t>Nueva Ecija</t>
        </is>
      </c>
      <c r="F129" s="36" t="inlineStr">
        <is>
          <t>Santa Rosa</t>
        </is>
      </c>
      <c r="G129" s="36" t="inlineStr">
        <is>
          <t>Del Pilar</t>
        </is>
      </c>
      <c r="H129" s="37" t="n">
        <v>15.420156</v>
      </c>
      <c r="I129" s="37" t="n">
        <v>120.937578</v>
      </c>
      <c r="J129" s="8" t="inlineStr">
        <is>
          <t>R</t>
        </is>
      </c>
      <c r="K129" s="36" t="inlineStr">
        <is>
          <t>Class 1-3 / Urban</t>
        </is>
      </c>
      <c r="L129" s="18" t="n">
        <v>1359</v>
      </c>
      <c r="M129" s="20" t="n">
        <v>4.32</v>
      </c>
      <c r="N129" s="18">
        <f>ROUND(L129/M129, 0)</f>
        <v/>
      </c>
      <c r="O129" s="18">
        <f>ROUND(N129*'Methodology &amp; Assumptions'!$B$8, 0)</f>
        <v/>
      </c>
      <c r="P129" s="8" t="inlineStr">
        <is>
          <t>Band n50 (1.5 GHz, 60 MHz)</t>
        </is>
      </c>
      <c r="Q129" s="38">
        <f>ROUNDUP(O129/'Methodology &amp; Assumptions'!$B$9, 0)</f>
        <v/>
      </c>
      <c r="R129" s="39" t="n">
        <v>1</v>
      </c>
      <c r="S129" s="21" t="n">
        <v>0.53</v>
      </c>
      <c r="T129" s="21" t="n">
        <v>0.12</v>
      </c>
      <c r="U129" s="36" t="inlineStr">
        <is>
          <t>Tier 1A (Direct Coloc, &lt;1 km)</t>
        </is>
      </c>
      <c r="V129" s="20" t="n">
        <v>93.7</v>
      </c>
      <c r="W129" s="20" t="n">
        <v>49.1</v>
      </c>
      <c r="X129" s="20" t="n">
        <v>58</v>
      </c>
      <c r="Y129" s="40">
        <f>ROUND((V129*'Methodology &amp; Assumptions'!$B$6)+(W129*'Methodology &amp; Assumptions'!$B$5)+(X129*'Methodology &amp; Assumptions'!$B$7), 2)</f>
        <v/>
      </c>
    </row>
    <row r="130" ht="19" customHeight="1">
      <c r="A130" s="41" t="n">
        <v>126</v>
      </c>
      <c r="B130" s="41" t="n">
        <v>3126</v>
      </c>
      <c r="C130" s="42" t="inlineStr">
        <is>
          <t>0403425018</t>
        </is>
      </c>
      <c r="D130" s="42" t="inlineStr">
        <is>
          <t>Region IV-A (CALABARZON)</t>
        </is>
      </c>
      <c r="E130" s="42" t="inlineStr">
        <is>
          <t>Laguna</t>
        </is>
      </c>
      <c r="F130" s="42" t="inlineStr">
        <is>
          <t>City of San Pedro</t>
        </is>
      </c>
      <c r="G130" s="42" t="inlineStr">
        <is>
          <t>United Bayanihan</t>
        </is>
      </c>
      <c r="H130" s="43" t="n">
        <v>14.334017</v>
      </c>
      <c r="I130" s="43" t="n">
        <v>121.029908</v>
      </c>
      <c r="J130" s="44" t="inlineStr">
        <is>
          <t>U</t>
        </is>
      </c>
      <c r="K130" s="42" t="inlineStr">
        <is>
          <t>Class 1-3 / Urban</t>
        </is>
      </c>
      <c r="L130" s="23" t="n">
        <v>5385</v>
      </c>
      <c r="M130" s="24" t="n">
        <v>4.2</v>
      </c>
      <c r="N130" s="23">
        <f>ROUND(L130/M130, 0)</f>
        <v/>
      </c>
      <c r="O130" s="23">
        <f>ROUND(N130*'Methodology &amp; Assumptions'!$B$8, 0)</f>
        <v/>
      </c>
      <c r="P130" s="44" t="inlineStr">
        <is>
          <t>Band n50 (1.5 GHz, 60 MHz)</t>
        </is>
      </c>
      <c r="Q130" s="38">
        <f>ROUNDUP(O130/'Methodology &amp; Assumptions'!$B$9, 0)</f>
        <v/>
      </c>
      <c r="R130" s="39" t="n">
        <v>1</v>
      </c>
      <c r="S130" s="25" t="n">
        <v>1.61</v>
      </c>
      <c r="T130" s="25" t="n">
        <v>1.63</v>
      </c>
      <c r="U130" s="42" t="inlineStr">
        <is>
          <t>Tier 1B (Micro Drop, 1-3 km)</t>
        </is>
      </c>
      <c r="V130" s="24" t="n">
        <v>68.5</v>
      </c>
      <c r="W130" s="24" t="n">
        <v>100</v>
      </c>
      <c r="X130" s="24" t="n">
        <v>28</v>
      </c>
      <c r="Y130" s="45">
        <f>ROUND((V130*'Methodology &amp; Assumptions'!$B$6)+(W130*'Methodology &amp; Assumptions'!$B$5)+(X130*'Methodology &amp; Assumptions'!$B$7), 2)</f>
        <v/>
      </c>
    </row>
    <row r="131" ht="19" customHeight="1">
      <c r="A131" s="35" t="n">
        <v>127</v>
      </c>
      <c r="B131" s="35" t="n">
        <v>3127</v>
      </c>
      <c r="C131" s="36" t="inlineStr">
        <is>
          <t>0105518020</t>
        </is>
      </c>
      <c r="D131" s="36" t="inlineStr">
        <is>
          <t>Region I (Ilocos Region)</t>
        </is>
      </c>
      <c r="E131" s="36" t="inlineStr">
        <is>
          <t>Pangasinan</t>
        </is>
      </c>
      <c r="F131" s="36" t="inlineStr">
        <is>
          <t>City of Dagupan</t>
        </is>
      </c>
      <c r="G131" s="36" t="inlineStr">
        <is>
          <t>Mangin</t>
        </is>
      </c>
      <c r="H131" s="37" t="n">
        <v>16.036142</v>
      </c>
      <c r="I131" s="37" t="n">
        <v>120.367794</v>
      </c>
      <c r="J131" s="8" t="inlineStr">
        <is>
          <t>R</t>
        </is>
      </c>
      <c r="K131" s="36" t="inlineStr">
        <is>
          <t>Class 1-3 / Urban</t>
        </is>
      </c>
      <c r="L131" s="18" t="n">
        <v>4079</v>
      </c>
      <c r="M131" s="20" t="n">
        <v>4.39</v>
      </c>
      <c r="N131" s="18">
        <f>ROUND(L131/M131, 0)</f>
        <v/>
      </c>
      <c r="O131" s="18">
        <f>ROUND(N131*'Methodology &amp; Assumptions'!$B$8, 0)</f>
        <v/>
      </c>
      <c r="P131" s="8" t="inlineStr">
        <is>
          <t>Band n50 (1.5 GHz, 60 MHz)</t>
        </is>
      </c>
      <c r="Q131" s="38">
        <f>ROUNDUP(O131/'Methodology &amp; Assumptions'!$B$9, 0)</f>
        <v/>
      </c>
      <c r="R131" s="39" t="n">
        <v>1</v>
      </c>
      <c r="S131" s="21" t="n">
        <v>3.2</v>
      </c>
      <c r="T131" s="21" t="n">
        <v>1.22</v>
      </c>
      <c r="U131" s="36" t="inlineStr">
        <is>
          <t>Tier 2 (Fiber Corridor / Lateral, 3-5 km)</t>
        </is>
      </c>
      <c r="V131" s="20" t="n">
        <v>44.4</v>
      </c>
      <c r="W131" s="20" t="n">
        <v>98.40000000000001</v>
      </c>
      <c r="X131" s="20" t="n">
        <v>58</v>
      </c>
      <c r="Y131" s="40">
        <f>ROUND((V131*'Methodology &amp; Assumptions'!$B$6)+(W131*'Methodology &amp; Assumptions'!$B$5)+(X131*'Methodology &amp; Assumptions'!$B$7), 2)</f>
        <v/>
      </c>
    </row>
    <row r="132" ht="19" customHeight="1">
      <c r="A132" s="41" t="n">
        <v>128</v>
      </c>
      <c r="B132" s="41" t="n">
        <v>3128</v>
      </c>
      <c r="C132" s="42" t="inlineStr">
        <is>
          <t>0307104015</t>
        </is>
      </c>
      <c r="D132" s="42" t="inlineStr">
        <is>
          <t>Region III (Central Luzon)</t>
        </is>
      </c>
      <c r="E132" s="42" t="inlineStr">
        <is>
          <t>Zambales</t>
        </is>
      </c>
      <c r="F132" s="42" t="inlineStr">
        <is>
          <t>Castillejos</t>
        </is>
      </c>
      <c r="G132" s="42" t="inlineStr">
        <is>
          <t>Santa Maria</t>
        </is>
      </c>
      <c r="H132" s="43" t="n">
        <v>14.937439</v>
      </c>
      <c r="I132" s="43" t="n">
        <v>120.194009</v>
      </c>
      <c r="J132" s="44" t="inlineStr">
        <is>
          <t>R</t>
        </is>
      </c>
      <c r="K132" s="42" t="inlineStr">
        <is>
          <t>Class 1-3 / Urban</t>
        </is>
      </c>
      <c r="L132" s="23" t="n">
        <v>2011</v>
      </c>
      <c r="M132" s="24" t="n">
        <v>4.05</v>
      </c>
      <c r="N132" s="23">
        <f>ROUND(L132/M132, 0)</f>
        <v/>
      </c>
      <c r="O132" s="23">
        <f>ROUND(N132*'Methodology &amp; Assumptions'!$B$8, 0)</f>
        <v/>
      </c>
      <c r="P132" s="44" t="inlineStr">
        <is>
          <t>Band n50 (1.5 GHz, 60 MHz)</t>
        </is>
      </c>
      <c r="Q132" s="38">
        <f>ROUNDUP(O132/'Methodology &amp; Assumptions'!$B$9, 0)</f>
        <v/>
      </c>
      <c r="R132" s="39" t="n">
        <v>1</v>
      </c>
      <c r="S132" s="25" t="n">
        <v>1.11</v>
      </c>
      <c r="T132" s="25" t="n">
        <v>0.34</v>
      </c>
      <c r="U132" s="42" t="inlineStr">
        <is>
          <t>Tier 1B (Micro Drop, 1-3 km)</t>
        </is>
      </c>
      <c r="V132" s="24" t="n">
        <v>79.09999999999999</v>
      </c>
      <c r="W132" s="24" t="n">
        <v>63.7</v>
      </c>
      <c r="X132" s="24" t="n">
        <v>58</v>
      </c>
      <c r="Y132" s="45">
        <f>ROUND((V132*'Methodology &amp; Assumptions'!$B$6)+(W132*'Methodology &amp; Assumptions'!$B$5)+(X132*'Methodology &amp; Assumptions'!$B$7), 2)</f>
        <v/>
      </c>
    </row>
    <row r="133" ht="19" customHeight="1">
      <c r="A133" s="35" t="n">
        <v>129</v>
      </c>
      <c r="B133" s="35" t="n">
        <v>3129</v>
      </c>
      <c r="C133" s="36" t="inlineStr">
        <is>
          <t>0702216018</t>
        </is>
      </c>
      <c r="D133" s="36" t="inlineStr">
        <is>
          <t>Region VII (Central Visayas)</t>
        </is>
      </c>
      <c r="E133" s="36" t="inlineStr">
        <is>
          <t>Cebu</t>
        </is>
      </c>
      <c r="F133" s="36" t="inlineStr">
        <is>
          <t>Catmon</t>
        </is>
      </c>
      <c r="G133" s="36" t="inlineStr">
        <is>
          <t>San Jose Pob.</t>
        </is>
      </c>
      <c r="H133" s="37" t="n">
        <v>10.72906</v>
      </c>
      <c r="I133" s="37" t="n">
        <v>124.013395</v>
      </c>
      <c r="J133" s="8" t="inlineStr">
        <is>
          <t>R</t>
        </is>
      </c>
      <c r="K133" s="36" t="inlineStr">
        <is>
          <t>2nd</t>
        </is>
      </c>
      <c r="L133" s="18" t="n">
        <v>3761</v>
      </c>
      <c r="M133" s="20" t="n">
        <v>4.39</v>
      </c>
      <c r="N133" s="18">
        <f>ROUND(L133/M133, 0)</f>
        <v/>
      </c>
      <c r="O133" s="18">
        <f>ROUND(N133*'Methodology &amp; Assumptions'!$B$8, 0)</f>
        <v/>
      </c>
      <c r="P133" s="8" t="inlineStr">
        <is>
          <t>Band n50 (1.5 GHz, 60 MHz)</t>
        </is>
      </c>
      <c r="Q133" s="38">
        <f>ROUNDUP(O133/'Methodology &amp; Assumptions'!$B$9, 0)</f>
        <v/>
      </c>
      <c r="R133" s="39" t="n">
        <v>1</v>
      </c>
      <c r="S133" s="21" t="n">
        <v>2.73</v>
      </c>
      <c r="T133" s="21" t="n">
        <v>0.12</v>
      </c>
      <c r="U133" s="36" t="inlineStr">
        <is>
          <t>Tier 1B (Micro Drop, 1-3 km)</t>
        </is>
      </c>
      <c r="V133" s="20" t="n">
        <v>50.2</v>
      </c>
      <c r="W133" s="20" t="n">
        <v>92.5</v>
      </c>
      <c r="X133" s="20" t="n">
        <v>58</v>
      </c>
      <c r="Y133" s="40">
        <f>ROUND((V133*'Methodology &amp; Assumptions'!$B$6)+(W133*'Methodology &amp; Assumptions'!$B$5)+(X133*'Methodology &amp; Assumptions'!$B$7), 2)</f>
        <v/>
      </c>
    </row>
    <row r="134" ht="19" customHeight="1">
      <c r="A134" s="41" t="n">
        <v>130</v>
      </c>
      <c r="B134" s="41" t="n">
        <v>3130</v>
      </c>
      <c r="C134" s="42" t="inlineStr">
        <is>
          <t>0501734020</t>
        </is>
      </c>
      <c r="D134" s="42" t="inlineStr">
        <is>
          <t>Region V (Bicol Region)</t>
        </is>
      </c>
      <c r="E134" s="42" t="inlineStr">
        <is>
          <t>Camarines Sur</t>
        </is>
      </c>
      <c r="F134" s="42" t="inlineStr">
        <is>
          <t>Sipocot</t>
        </is>
      </c>
      <c r="G134" s="42" t="inlineStr">
        <is>
          <t>Impig</t>
        </is>
      </c>
      <c r="H134" s="43" t="n">
        <v>13.77826</v>
      </c>
      <c r="I134" s="43" t="n">
        <v>122.978686</v>
      </c>
      <c r="J134" s="44" t="inlineStr">
        <is>
          <t>R</t>
        </is>
      </c>
      <c r="K134" s="42" t="inlineStr">
        <is>
          <t>Class 1-3 / Urban</t>
        </is>
      </c>
      <c r="L134" s="23" t="n">
        <v>3339</v>
      </c>
      <c r="M134" s="24" t="n">
        <v>4.9</v>
      </c>
      <c r="N134" s="23">
        <f>ROUND(L134/M134, 0)</f>
        <v/>
      </c>
      <c r="O134" s="23">
        <f>ROUND(N134*'Methodology &amp; Assumptions'!$B$8, 0)</f>
        <v/>
      </c>
      <c r="P134" s="44" t="inlineStr">
        <is>
          <t>Band n50 (1.5 GHz, 60 MHz)</t>
        </is>
      </c>
      <c r="Q134" s="38">
        <f>ROUNDUP(O134/'Methodology &amp; Assumptions'!$B$9, 0)</f>
        <v/>
      </c>
      <c r="R134" s="39" t="n">
        <v>1</v>
      </c>
      <c r="S134" s="25" t="n">
        <v>1.83</v>
      </c>
      <c r="T134" s="25" t="n">
        <v>0.63</v>
      </c>
      <c r="U134" s="42" t="inlineStr">
        <is>
          <t>Tier 1B (Micro Drop, 1-3 km)</t>
        </is>
      </c>
      <c r="V134" s="24" t="n">
        <v>64.3</v>
      </c>
      <c r="W134" s="24" t="n">
        <v>78.40000000000001</v>
      </c>
      <c r="X134" s="24" t="n">
        <v>58</v>
      </c>
      <c r="Y134" s="45">
        <f>ROUND((V134*'Methodology &amp; Assumptions'!$B$6)+(W134*'Methodology &amp; Assumptions'!$B$5)+(X134*'Methodology &amp; Assumptions'!$B$7), 2)</f>
        <v/>
      </c>
    </row>
    <row r="135" ht="19" customHeight="1">
      <c r="A135" s="35" t="n">
        <v>131</v>
      </c>
      <c r="B135" s="35" t="n">
        <v>3131</v>
      </c>
      <c r="C135" s="36" t="inlineStr">
        <is>
          <t>1600211012</t>
        </is>
      </c>
      <c r="D135" s="36" t="inlineStr">
        <is>
          <t>Region XIII (Caraga)</t>
        </is>
      </c>
      <c r="E135" s="36" t="inlineStr">
        <is>
          <t>Agusan del Norte</t>
        </is>
      </c>
      <c r="F135" s="36" t="inlineStr">
        <is>
          <t>Tubay</t>
        </is>
      </c>
      <c r="G135" s="36" t="inlineStr">
        <is>
          <t>Victory</t>
        </is>
      </c>
      <c r="H135" s="37" t="n">
        <v>9.148717</v>
      </c>
      <c r="I135" s="37" t="n">
        <v>125.559653</v>
      </c>
      <c r="J135" s="8" t="inlineStr">
        <is>
          <t>R</t>
        </is>
      </c>
      <c r="K135" s="36" t="inlineStr">
        <is>
          <t>1st</t>
        </is>
      </c>
      <c r="L135" s="18" t="n">
        <v>1443</v>
      </c>
      <c r="M135" s="20" t="n">
        <v>4.73</v>
      </c>
      <c r="N135" s="18">
        <f>ROUND(L135/M135, 0)</f>
        <v/>
      </c>
      <c r="O135" s="18">
        <f>ROUND(N135*'Methodology &amp; Assumptions'!$B$8, 0)</f>
        <v/>
      </c>
      <c r="P135" s="8" t="inlineStr">
        <is>
          <t>Band n50 (1.5 GHz, 60 MHz)</t>
        </is>
      </c>
      <c r="Q135" s="38">
        <f>ROUNDUP(O135/'Methodology &amp; Assumptions'!$B$9, 0)</f>
        <v/>
      </c>
      <c r="R135" s="39" t="n">
        <v>1</v>
      </c>
      <c r="S135" s="21" t="n">
        <v>0.52</v>
      </c>
      <c r="T135" s="21" t="n">
        <v>1.33</v>
      </c>
      <c r="U135" s="36" t="inlineStr">
        <is>
          <t>Tier 1A (Direct Coloc, &lt;1 km)</t>
        </is>
      </c>
      <c r="V135" s="20" t="n">
        <v>94.2</v>
      </c>
      <c r="W135" s="20" t="n">
        <v>48.5</v>
      </c>
      <c r="X135" s="20" t="n">
        <v>58</v>
      </c>
      <c r="Y135" s="40">
        <f>ROUND((V135*'Methodology &amp; Assumptions'!$B$6)+(W135*'Methodology &amp; Assumptions'!$B$5)+(X135*'Methodology &amp; Assumptions'!$B$7), 2)</f>
        <v/>
      </c>
    </row>
    <row r="136" ht="19" customHeight="1">
      <c r="A136" s="41" t="n">
        <v>132</v>
      </c>
      <c r="B136" s="41" t="n">
        <v>3132</v>
      </c>
      <c r="C136" s="42" t="inlineStr">
        <is>
          <t>0603039024</t>
        </is>
      </c>
      <c r="D136" s="42" t="inlineStr">
        <is>
          <t>Region VI (Western Visayas)</t>
        </is>
      </c>
      <c r="E136" s="42" t="inlineStr">
        <is>
          <t>Iloilo</t>
        </is>
      </c>
      <c r="F136" s="42" t="inlineStr">
        <is>
          <t>San Enrique</t>
        </is>
      </c>
      <c r="G136" s="42" t="inlineStr">
        <is>
          <t>Poblacion Ilaya</t>
        </is>
      </c>
      <c r="H136" s="43" t="n">
        <v>11.072246</v>
      </c>
      <c r="I136" s="43" t="n">
        <v>122.656871</v>
      </c>
      <c r="J136" s="44" t="inlineStr">
        <is>
          <t>R</t>
        </is>
      </c>
      <c r="K136" s="42" t="inlineStr">
        <is>
          <t>Class 1-3 / Urban</t>
        </is>
      </c>
      <c r="L136" s="23" t="n">
        <v>1201</v>
      </c>
      <c r="M136" s="24" t="n">
        <v>4.39</v>
      </c>
      <c r="N136" s="23">
        <f>ROUND(L136/M136, 0)</f>
        <v/>
      </c>
      <c r="O136" s="23">
        <f>ROUND(N136*'Methodology &amp; Assumptions'!$B$8, 0)</f>
        <v/>
      </c>
      <c r="P136" s="44" t="inlineStr">
        <is>
          <t>Band n50 (1.5 GHz, 60 MHz)</t>
        </is>
      </c>
      <c r="Q136" s="38">
        <f>ROUNDUP(O136/'Methodology &amp; Assumptions'!$B$9, 0)</f>
        <v/>
      </c>
      <c r="R136" s="39" t="n">
        <v>1</v>
      </c>
      <c r="S136" s="25" t="n">
        <v>0.1</v>
      </c>
      <c r="T136" s="25" t="n">
        <v>3.31</v>
      </c>
      <c r="U136" s="42" t="inlineStr">
        <is>
          <t>Tier 1A (Direct Coloc, &lt;1 km)</t>
        </is>
      </c>
      <c r="V136" s="24" t="n">
        <v>96.90000000000001</v>
      </c>
      <c r="W136" s="24" t="n">
        <v>45.9</v>
      </c>
      <c r="X136" s="24" t="n">
        <v>58</v>
      </c>
      <c r="Y136" s="45">
        <f>ROUND((V136*'Methodology &amp; Assumptions'!$B$6)+(W136*'Methodology &amp; Assumptions'!$B$5)+(X136*'Methodology &amp; Assumptions'!$B$7), 2)</f>
        <v/>
      </c>
    </row>
    <row r="137" ht="19" customHeight="1">
      <c r="A137" s="35" t="n">
        <v>133</v>
      </c>
      <c r="B137" s="35" t="n">
        <v>3133</v>
      </c>
      <c r="C137" s="36" t="inlineStr">
        <is>
          <t>0402113026</t>
        </is>
      </c>
      <c r="D137" s="36" t="inlineStr">
        <is>
          <t>Region IV-A (CALABARZON)</t>
        </is>
      </c>
      <c r="E137" s="36" t="inlineStr">
        <is>
          <t>Cavite</t>
        </is>
      </c>
      <c r="F137" s="36" t="inlineStr">
        <is>
          <t>Maragondon</t>
        </is>
      </c>
      <c r="G137" s="36" t="inlineStr">
        <is>
          <t>Poblacion I B</t>
        </is>
      </c>
      <c r="H137" s="37" t="n">
        <v>14.273587</v>
      </c>
      <c r="I137" s="37" t="n">
        <v>120.734234</v>
      </c>
      <c r="J137" s="8" t="inlineStr">
        <is>
          <t>R</t>
        </is>
      </c>
      <c r="K137" s="36" t="inlineStr">
        <is>
          <t>Class 1-3 / Urban</t>
        </is>
      </c>
      <c r="L137" s="18" t="n">
        <v>1191</v>
      </c>
      <c r="M137" s="20" t="n">
        <v>4.49</v>
      </c>
      <c r="N137" s="18">
        <f>ROUND(L137/M137, 0)</f>
        <v/>
      </c>
      <c r="O137" s="18">
        <f>ROUND(N137*'Methodology &amp; Assumptions'!$B$8, 0)</f>
        <v/>
      </c>
      <c r="P137" s="8" t="inlineStr">
        <is>
          <t>Band n50 (1.5 GHz, 60 MHz)</t>
        </is>
      </c>
      <c r="Q137" s="38">
        <f>ROUNDUP(O137/'Methodology &amp; Assumptions'!$B$9, 0)</f>
        <v/>
      </c>
      <c r="R137" s="39" t="n">
        <v>1</v>
      </c>
      <c r="S137" s="21" t="n">
        <v>0.4</v>
      </c>
      <c r="T137" s="21" t="n">
        <v>0.29</v>
      </c>
      <c r="U137" s="36" t="inlineStr">
        <is>
          <t>Tier 1A (Direct Coloc, &lt;1 km)</t>
        </is>
      </c>
      <c r="V137" s="20" t="n">
        <v>97.40000000000001</v>
      </c>
      <c r="W137" s="20" t="n">
        <v>45.3</v>
      </c>
      <c r="X137" s="20" t="n">
        <v>58</v>
      </c>
      <c r="Y137" s="40">
        <f>ROUND((V137*'Methodology &amp; Assumptions'!$B$6)+(W137*'Methodology &amp; Assumptions'!$B$5)+(X137*'Methodology &amp; Assumptions'!$B$7), 2)</f>
        <v/>
      </c>
    </row>
    <row r="138" ht="19" customHeight="1">
      <c r="A138" s="41" t="n">
        <v>134</v>
      </c>
      <c r="B138" s="41" t="n">
        <v>3134</v>
      </c>
      <c r="C138" s="42" t="inlineStr">
        <is>
          <t>1030500050</t>
        </is>
      </c>
      <c r="D138" s="42" t="inlineStr">
        <is>
          <t>Region X (Northern Mindanao)</t>
        </is>
      </c>
      <c r="E138" s="42" t="inlineStr">
        <is>
          <t>Misamis Oriental</t>
        </is>
      </c>
      <c r="F138" s="42" t="inlineStr">
        <is>
          <t>City of Cagayan De Oro</t>
        </is>
      </c>
      <c r="G138" s="42" t="inlineStr">
        <is>
          <t>Indahag</t>
        </is>
      </c>
      <c r="H138" s="43" t="n">
        <v>8.421502</v>
      </c>
      <c r="I138" s="43" t="n">
        <v>124.667178</v>
      </c>
      <c r="J138" s="44" t="inlineStr">
        <is>
          <t>U</t>
        </is>
      </c>
      <c r="K138" s="42" t="inlineStr">
        <is>
          <t>Class 1-3 / Urban</t>
        </is>
      </c>
      <c r="L138" s="23" t="n">
        <v>17831</v>
      </c>
      <c r="M138" s="24" t="n">
        <v>4.54</v>
      </c>
      <c r="N138" s="23">
        <f>ROUND(L138/M138, 0)</f>
        <v/>
      </c>
      <c r="O138" s="23">
        <f>ROUND(N138*'Methodology &amp; Assumptions'!$B$8, 0)</f>
        <v/>
      </c>
      <c r="P138" s="44" t="inlineStr">
        <is>
          <t>Band n50 (1.5 GHz, 60 MHz)</t>
        </is>
      </c>
      <c r="Q138" s="38">
        <f>ROUNDUP(O138/'Methodology &amp; Assumptions'!$B$9, 0)</f>
        <v/>
      </c>
      <c r="R138" s="39" t="n">
        <v>1</v>
      </c>
      <c r="S138" s="25" t="n">
        <v>1.14</v>
      </c>
      <c r="T138" s="25" t="n">
        <v>5.49</v>
      </c>
      <c r="U138" s="42" t="inlineStr">
        <is>
          <t>Tier 1B (Micro Drop, 1-3 km)</t>
        </is>
      </c>
      <c r="V138" s="24" t="n">
        <v>68.5</v>
      </c>
      <c r="W138" s="24" t="n">
        <v>100</v>
      </c>
      <c r="X138" s="24" t="n">
        <v>28</v>
      </c>
      <c r="Y138" s="45">
        <f>ROUND((V138*'Methodology &amp; Assumptions'!$B$6)+(W138*'Methodology &amp; Assumptions'!$B$5)+(X138*'Methodology &amp; Assumptions'!$B$7), 2)</f>
        <v/>
      </c>
    </row>
    <row r="139" ht="19" customHeight="1">
      <c r="A139" s="35" t="n">
        <v>135</v>
      </c>
      <c r="B139" s="35" t="n">
        <v>3135</v>
      </c>
      <c r="C139" s="36" t="inlineStr">
        <is>
          <t>0401005095</t>
        </is>
      </c>
      <c r="D139" s="36" t="inlineStr">
        <is>
          <t>Region IV-A (CALABARZON)</t>
        </is>
      </c>
      <c r="E139" s="36" t="inlineStr">
        <is>
          <t>Batangas</t>
        </is>
      </c>
      <c r="F139" s="36" t="inlineStr">
        <is>
          <t>Batangas City</t>
        </is>
      </c>
      <c r="G139" s="36" t="inlineStr">
        <is>
          <t>Santa Clara</t>
        </is>
      </c>
      <c r="H139" s="37" t="n">
        <v>13.753764</v>
      </c>
      <c r="I139" s="37" t="n">
        <v>121.044837</v>
      </c>
      <c r="J139" s="8" t="inlineStr">
        <is>
          <t>U</t>
        </is>
      </c>
      <c r="K139" s="36" t="inlineStr">
        <is>
          <t>Class 1-3 / Urban</t>
        </is>
      </c>
      <c r="L139" s="18" t="n">
        <v>12843</v>
      </c>
      <c r="M139" s="20" t="n">
        <v>4.62</v>
      </c>
      <c r="N139" s="18">
        <f>ROUND(L139/M139, 0)</f>
        <v/>
      </c>
      <c r="O139" s="18">
        <f>ROUND(N139*'Methodology &amp; Assumptions'!$B$8, 0)</f>
        <v/>
      </c>
      <c r="P139" s="8" t="inlineStr">
        <is>
          <t>Band n50 (1.5 GHz, 60 MHz)</t>
        </is>
      </c>
      <c r="Q139" s="38">
        <f>ROUNDUP(O139/'Methodology &amp; Assumptions'!$B$9, 0)</f>
        <v/>
      </c>
      <c r="R139" s="39" t="n">
        <v>1</v>
      </c>
      <c r="S139" s="21" t="n">
        <v>1.61</v>
      </c>
      <c r="T139" s="21" t="n">
        <v>1.48</v>
      </c>
      <c r="U139" s="36" t="inlineStr">
        <is>
          <t>Tier 1B (Micro Drop, 1-3 km)</t>
        </is>
      </c>
      <c r="V139" s="20" t="n">
        <v>68.5</v>
      </c>
      <c r="W139" s="20" t="n">
        <v>100</v>
      </c>
      <c r="X139" s="20" t="n">
        <v>28</v>
      </c>
      <c r="Y139" s="40">
        <f>ROUND((V139*'Methodology &amp; Assumptions'!$B$6)+(W139*'Methodology &amp; Assumptions'!$B$5)+(X139*'Methodology &amp; Assumptions'!$B$7), 2)</f>
        <v/>
      </c>
    </row>
    <row r="140" ht="19" customHeight="1">
      <c r="A140" s="41" t="n">
        <v>136</v>
      </c>
      <c r="B140" s="41" t="n">
        <v>3136</v>
      </c>
      <c r="C140" s="42" t="inlineStr">
        <is>
          <t>0201512002</t>
        </is>
      </c>
      <c r="D140" s="42" t="inlineStr">
        <is>
          <t>Region II (Cagayan Valley)</t>
        </is>
      </c>
      <c r="E140" s="42" t="inlineStr">
        <is>
          <t>Cagayan</t>
        </is>
      </c>
      <c r="F140" s="42" t="inlineStr">
        <is>
          <t>Enrile</t>
        </is>
      </c>
      <c r="G140" s="42" t="inlineStr">
        <is>
          <t>Barangay I</t>
        </is>
      </c>
      <c r="H140" s="43" t="n">
        <v>17.5617</v>
      </c>
      <c r="I140" s="43" t="n">
        <v>121.6994</v>
      </c>
      <c r="J140" s="44" t="inlineStr">
        <is>
          <t>R</t>
        </is>
      </c>
      <c r="K140" s="42" t="inlineStr">
        <is>
          <t>Class 1-3 / Urban</t>
        </is>
      </c>
      <c r="L140" s="23" t="n">
        <v>1094</v>
      </c>
      <c r="M140" s="24" t="n">
        <v>4.38</v>
      </c>
      <c r="N140" s="23">
        <f>ROUND(L140/M140, 0)</f>
        <v/>
      </c>
      <c r="O140" s="23">
        <f>ROUND(N140*'Methodology &amp; Assumptions'!$B$8, 0)</f>
        <v/>
      </c>
      <c r="P140" s="44" t="inlineStr">
        <is>
          <t>Band n50 (1.5 GHz, 60 MHz)</t>
        </is>
      </c>
      <c r="Q140" s="38">
        <f>ROUNDUP(O140/'Methodology &amp; Assumptions'!$B$9, 0)</f>
        <v/>
      </c>
      <c r="R140" s="39" t="n">
        <v>1</v>
      </c>
      <c r="S140" s="25" t="n">
        <v>0.36</v>
      </c>
      <c r="T140" s="25" t="n">
        <v>1.57</v>
      </c>
      <c r="U140" s="42" t="inlineStr">
        <is>
          <t>Tier 1A (Direct Coloc, &lt;1 km)</t>
        </is>
      </c>
      <c r="V140" s="24" t="n">
        <v>98.7</v>
      </c>
      <c r="W140" s="24" t="n">
        <v>44</v>
      </c>
      <c r="X140" s="24" t="n">
        <v>58</v>
      </c>
      <c r="Y140" s="45">
        <f>ROUND((V140*'Methodology &amp; Assumptions'!$B$6)+(W140*'Methodology &amp; Assumptions'!$B$5)+(X140*'Methodology &amp; Assumptions'!$B$7), 2)</f>
        <v/>
      </c>
    </row>
    <row r="141" ht="19" customHeight="1">
      <c r="A141" s="35" t="n">
        <v>137</v>
      </c>
      <c r="B141" s="35" t="n">
        <v>3137</v>
      </c>
      <c r="C141" s="36" t="inlineStr">
        <is>
          <t>0305403028</t>
        </is>
      </c>
      <c r="D141" s="36" t="inlineStr">
        <is>
          <t>Region III (Central Luzon)</t>
        </is>
      </c>
      <c r="E141" s="36" t="inlineStr">
        <is>
          <t>Pampanga</t>
        </is>
      </c>
      <c r="F141" s="36" t="inlineStr">
        <is>
          <t>Arayat</t>
        </is>
      </c>
      <c r="G141" s="36" t="inlineStr">
        <is>
          <t>San Nicolas</t>
        </is>
      </c>
      <c r="H141" s="37" t="n">
        <v>15.12833</v>
      </c>
      <c r="I141" s="37" t="n">
        <v>120.7757</v>
      </c>
      <c r="J141" s="8" t="inlineStr">
        <is>
          <t>U</t>
        </is>
      </c>
      <c r="K141" s="36" t="inlineStr">
        <is>
          <t>Class 1-3 / Urban</t>
        </is>
      </c>
      <c r="L141" s="18" t="n">
        <v>8832</v>
      </c>
      <c r="M141" s="20" t="n">
        <v>4.63</v>
      </c>
      <c r="N141" s="18">
        <f>ROUND(L141/M141, 0)</f>
        <v/>
      </c>
      <c r="O141" s="18">
        <f>ROUND(N141*'Methodology &amp; Assumptions'!$B$8, 0)</f>
        <v/>
      </c>
      <c r="P141" s="8" t="inlineStr">
        <is>
          <t>Band n50 (1.5 GHz, 60 MHz)</t>
        </is>
      </c>
      <c r="Q141" s="38">
        <f>ROUNDUP(O141/'Methodology &amp; Assumptions'!$B$9, 0)</f>
        <v/>
      </c>
      <c r="R141" s="39" t="n">
        <v>1</v>
      </c>
      <c r="S141" s="21" t="n">
        <v>1.61</v>
      </c>
      <c r="T141" s="21" t="n">
        <v>0.08</v>
      </c>
      <c r="U141" s="36" t="inlineStr">
        <is>
          <t>Tier 1B (Micro Drop, 1-3 km)</t>
        </is>
      </c>
      <c r="V141" s="20" t="n">
        <v>68.40000000000001</v>
      </c>
      <c r="W141" s="20" t="n">
        <v>100</v>
      </c>
      <c r="X141" s="20" t="n">
        <v>28</v>
      </c>
      <c r="Y141" s="40">
        <f>ROUND((V141*'Methodology &amp; Assumptions'!$B$6)+(W141*'Methodology &amp; Assumptions'!$B$5)+(X141*'Methodology &amp; Assumptions'!$B$7), 2)</f>
        <v/>
      </c>
    </row>
    <row r="142" ht="19" customHeight="1">
      <c r="A142" s="41" t="n">
        <v>138</v>
      </c>
      <c r="B142" s="41" t="n">
        <v>3138</v>
      </c>
      <c r="C142" s="42" t="inlineStr">
        <is>
          <t>0731300012</t>
        </is>
      </c>
      <c r="D142" s="42" t="inlineStr">
        <is>
          <t>Region VII (Central Visayas)</t>
        </is>
      </c>
      <c r="E142" s="42" t="inlineStr">
        <is>
          <t>Cebu</t>
        </is>
      </c>
      <c r="F142" s="42" t="inlineStr">
        <is>
          <t>City of Mandaue</t>
        </is>
      </c>
      <c r="G142" s="42" t="inlineStr">
        <is>
          <t>Guizo</t>
        </is>
      </c>
      <c r="H142" s="43" t="n">
        <v>10.32857</v>
      </c>
      <c r="I142" s="43" t="n">
        <v>123.936822</v>
      </c>
      <c r="J142" s="44" t="inlineStr">
        <is>
          <t>U</t>
        </is>
      </c>
      <c r="K142" s="42" t="inlineStr">
        <is>
          <t>Class 1-3 / Urban</t>
        </is>
      </c>
      <c r="L142" s="23" t="n">
        <v>7258</v>
      </c>
      <c r="M142" s="24" t="n">
        <v>4.42</v>
      </c>
      <c r="N142" s="23">
        <f>ROUND(L142/M142, 0)</f>
        <v/>
      </c>
      <c r="O142" s="23">
        <f>ROUND(N142*'Methodology &amp; Assumptions'!$B$8, 0)</f>
        <v/>
      </c>
      <c r="P142" s="44" t="inlineStr">
        <is>
          <t>Band n50 (1.5 GHz, 60 MHz)</t>
        </is>
      </c>
      <c r="Q142" s="38">
        <f>ROUNDUP(O142/'Methodology &amp; Assumptions'!$B$9, 0)</f>
        <v/>
      </c>
      <c r="R142" s="39" t="n">
        <v>1</v>
      </c>
      <c r="S142" s="25" t="n">
        <v>1.61</v>
      </c>
      <c r="T142" s="25" t="n">
        <v>0.44</v>
      </c>
      <c r="U142" s="42" t="inlineStr">
        <is>
          <t>Tier 1B (Micro Drop, 1-3 km)</t>
        </is>
      </c>
      <c r="V142" s="24" t="n">
        <v>68.40000000000001</v>
      </c>
      <c r="W142" s="24" t="n">
        <v>100</v>
      </c>
      <c r="X142" s="24" t="n">
        <v>28</v>
      </c>
      <c r="Y142" s="45">
        <f>ROUND((V142*'Methodology &amp; Assumptions'!$B$6)+(W142*'Methodology &amp; Assumptions'!$B$5)+(X142*'Methodology &amp; Assumptions'!$B$7), 2)</f>
        <v/>
      </c>
    </row>
    <row r="143" ht="19" customHeight="1">
      <c r="A143" s="35" t="n">
        <v>139</v>
      </c>
      <c r="B143" s="35" t="n">
        <v>3139</v>
      </c>
      <c r="C143" s="36" t="inlineStr">
        <is>
          <t>0402103026</t>
        </is>
      </c>
      <c r="D143" s="36" t="inlineStr">
        <is>
          <t>Region IV-A (CALABARZON)</t>
        </is>
      </c>
      <c r="E143" s="36" t="inlineStr">
        <is>
          <t>Cavite</t>
        </is>
      </c>
      <c r="F143" s="36" t="inlineStr">
        <is>
          <t>City of Bacoor</t>
        </is>
      </c>
      <c r="G143" s="36" t="inlineStr">
        <is>
          <t>Queens Row Central</t>
        </is>
      </c>
      <c r="H143" s="37" t="n">
        <v>14.398251</v>
      </c>
      <c r="I143" s="37" t="n">
        <v>120.988041</v>
      </c>
      <c r="J143" s="8" t="inlineStr">
        <is>
          <t>U</t>
        </is>
      </c>
      <c r="K143" s="36" t="inlineStr">
        <is>
          <t>Class 1-3 / Urban</t>
        </is>
      </c>
      <c r="L143" s="18" t="n">
        <v>6098</v>
      </c>
      <c r="M143" s="20" t="n">
        <v>4.49</v>
      </c>
      <c r="N143" s="18">
        <f>ROUND(L143/M143, 0)</f>
        <v/>
      </c>
      <c r="O143" s="18">
        <f>ROUND(N143*'Methodology &amp; Assumptions'!$B$8, 0)</f>
        <v/>
      </c>
      <c r="P143" s="8" t="inlineStr">
        <is>
          <t>Band n50 (1.5 GHz, 60 MHz)</t>
        </is>
      </c>
      <c r="Q143" s="38">
        <f>ROUNDUP(O143/'Methodology &amp; Assumptions'!$B$9, 0)</f>
        <v/>
      </c>
      <c r="R143" s="39" t="n">
        <v>1</v>
      </c>
      <c r="S143" s="21" t="n">
        <v>1.14</v>
      </c>
      <c r="T143" s="21" t="n">
        <v>4.23</v>
      </c>
      <c r="U143" s="36" t="inlineStr">
        <is>
          <t>Tier 1B (Micro Drop, 1-3 km)</t>
        </is>
      </c>
      <c r="V143" s="20" t="n">
        <v>68.40000000000001</v>
      </c>
      <c r="W143" s="20" t="n">
        <v>100</v>
      </c>
      <c r="X143" s="20" t="n">
        <v>28</v>
      </c>
      <c r="Y143" s="40">
        <f>ROUND((V143*'Methodology &amp; Assumptions'!$B$6)+(W143*'Methodology &amp; Assumptions'!$B$5)+(X143*'Methodology &amp; Assumptions'!$B$7), 2)</f>
        <v/>
      </c>
    </row>
    <row r="144" ht="19" customHeight="1">
      <c r="A144" s="41" t="n">
        <v>140</v>
      </c>
      <c r="B144" s="41" t="n">
        <v>3140</v>
      </c>
      <c r="C144" s="42" t="inlineStr">
        <is>
          <t>0105518031</t>
        </is>
      </c>
      <c r="D144" s="42" t="inlineStr">
        <is>
          <t>Region I (Ilocos Region)</t>
        </is>
      </c>
      <c r="E144" s="42" t="inlineStr">
        <is>
          <t>Pangasinan</t>
        </is>
      </c>
      <c r="F144" s="42" t="inlineStr">
        <is>
          <t>City of Dagupan</t>
        </is>
      </c>
      <c r="G144" s="42" t="inlineStr">
        <is>
          <t>Tapuac</t>
        </is>
      </c>
      <c r="H144" s="43" t="n">
        <v>16.035417</v>
      </c>
      <c r="I144" s="43" t="n">
        <v>120.329449</v>
      </c>
      <c r="J144" s="44" t="inlineStr">
        <is>
          <t>U</t>
        </is>
      </c>
      <c r="K144" s="42" t="inlineStr">
        <is>
          <t>Class 1-3 / Urban</t>
        </is>
      </c>
      <c r="L144" s="23" t="n">
        <v>5004</v>
      </c>
      <c r="M144" s="24" t="n">
        <v>4.39</v>
      </c>
      <c r="N144" s="23">
        <f>ROUND(L144/M144, 0)</f>
        <v/>
      </c>
      <c r="O144" s="23">
        <f>ROUND(N144*'Methodology &amp; Assumptions'!$B$8, 0)</f>
        <v/>
      </c>
      <c r="P144" s="44" t="inlineStr">
        <is>
          <t>Band n50 (1.5 GHz, 60 MHz)</t>
        </is>
      </c>
      <c r="Q144" s="38">
        <f>ROUNDUP(O144/'Methodology &amp; Assumptions'!$B$9, 0)</f>
        <v/>
      </c>
      <c r="R144" s="39" t="n">
        <v>1</v>
      </c>
      <c r="S144" s="25" t="n">
        <v>1.61</v>
      </c>
      <c r="T144" s="25" t="n">
        <v>0.24</v>
      </c>
      <c r="U144" s="42" t="inlineStr">
        <is>
          <t>Tier 1B (Micro Drop, 1-3 km)</t>
        </is>
      </c>
      <c r="V144" s="24" t="n">
        <v>68.40000000000001</v>
      </c>
      <c r="W144" s="24" t="n">
        <v>100</v>
      </c>
      <c r="X144" s="24" t="n">
        <v>28</v>
      </c>
      <c r="Y144" s="45">
        <f>ROUND((V144*'Methodology &amp; Assumptions'!$B$6)+(W144*'Methodology &amp; Assumptions'!$B$5)+(X144*'Methodology &amp; Assumptions'!$B$7), 2)</f>
        <v/>
      </c>
    </row>
    <row r="145" ht="19" customHeight="1">
      <c r="A145" s="35" t="n">
        <v>141</v>
      </c>
      <c r="B145" s="35" t="n">
        <v>3141</v>
      </c>
      <c r="C145" s="36" t="inlineStr">
        <is>
          <t>0702218006</t>
        </is>
      </c>
      <c r="D145" s="36" t="inlineStr">
        <is>
          <t>Region VII (Central Visayas)</t>
        </is>
      </c>
      <c r="E145" s="36" t="inlineStr">
        <is>
          <t>Cebu</t>
        </is>
      </c>
      <c r="F145" s="36" t="inlineStr">
        <is>
          <t>Compostela</t>
        </is>
      </c>
      <c r="G145" s="36" t="inlineStr">
        <is>
          <t>Canamucan</t>
        </is>
      </c>
      <c r="H145" s="37" t="n">
        <v>10.466595</v>
      </c>
      <c r="I145" s="37" t="n">
        <v>124.008131</v>
      </c>
      <c r="J145" s="8" t="inlineStr">
        <is>
          <t>U</t>
        </is>
      </c>
      <c r="K145" s="36" t="inlineStr">
        <is>
          <t>Class 1-3 / Urban</t>
        </is>
      </c>
      <c r="L145" s="18" t="n">
        <v>4976</v>
      </c>
      <c r="M145" s="20" t="n">
        <v>4.42</v>
      </c>
      <c r="N145" s="18">
        <f>ROUND(L145/M145, 0)</f>
        <v/>
      </c>
      <c r="O145" s="18">
        <f>ROUND(N145*'Methodology &amp; Assumptions'!$B$8, 0)</f>
        <v/>
      </c>
      <c r="P145" s="8" t="inlineStr">
        <is>
          <t>Band n50 (1.5 GHz, 60 MHz)</t>
        </is>
      </c>
      <c r="Q145" s="38">
        <f>ROUNDUP(O145/'Methodology &amp; Assumptions'!$B$9, 0)</f>
        <v/>
      </c>
      <c r="R145" s="39" t="n">
        <v>1</v>
      </c>
      <c r="S145" s="21" t="n">
        <v>1.61</v>
      </c>
      <c r="T145" s="21" t="n">
        <v>0.91</v>
      </c>
      <c r="U145" s="36" t="inlineStr">
        <is>
          <t>Tier 1B (Micro Drop, 1-3 km)</t>
        </is>
      </c>
      <c r="V145" s="20" t="n">
        <v>68.40000000000001</v>
      </c>
      <c r="W145" s="20" t="n">
        <v>100</v>
      </c>
      <c r="X145" s="20" t="n">
        <v>28</v>
      </c>
      <c r="Y145" s="40">
        <f>ROUND((V145*'Methodology &amp; Assumptions'!$B$6)+(W145*'Methodology &amp; Assumptions'!$B$5)+(X145*'Methodology &amp; Assumptions'!$B$7), 2)</f>
        <v/>
      </c>
    </row>
    <row r="146" ht="19" customHeight="1">
      <c r="A146" s="41" t="n">
        <v>142</v>
      </c>
      <c r="B146" s="41" t="n">
        <v>3142</v>
      </c>
      <c r="C146" s="42" t="inlineStr">
        <is>
          <t>0401003003</t>
        </is>
      </c>
      <c r="D146" s="42" t="inlineStr">
        <is>
          <t>Region IV-A (CALABARZON)</t>
        </is>
      </c>
      <c r="E146" s="42" t="inlineStr">
        <is>
          <t>Batangas</t>
        </is>
      </c>
      <c r="F146" s="42" t="inlineStr">
        <is>
          <t>Balayan</t>
        </is>
      </c>
      <c r="G146" s="42" t="inlineStr">
        <is>
          <t>Barangay 1</t>
        </is>
      </c>
      <c r="H146" s="43" t="n">
        <v>13.934885</v>
      </c>
      <c r="I146" s="43" t="n">
        <v>120.726733</v>
      </c>
      <c r="J146" s="44" t="inlineStr">
        <is>
          <t>R</t>
        </is>
      </c>
      <c r="K146" s="42" t="inlineStr">
        <is>
          <t>Class 1-3 / Urban</t>
        </is>
      </c>
      <c r="L146" s="23" t="n">
        <v>2100</v>
      </c>
      <c r="M146" s="24" t="n">
        <v>4.62</v>
      </c>
      <c r="N146" s="23">
        <f>ROUND(L146/M146, 0)</f>
        <v/>
      </c>
      <c r="O146" s="23">
        <f>ROUND(N146*'Methodology &amp; Assumptions'!$B$8, 0)</f>
        <v/>
      </c>
      <c r="P146" s="44" t="inlineStr">
        <is>
          <t>Band n50 (1.5 GHz, 60 MHz)</t>
        </is>
      </c>
      <c r="Q146" s="38">
        <f>ROUNDUP(O146/'Methodology &amp; Assumptions'!$B$9, 0)</f>
        <v/>
      </c>
      <c r="R146" s="39" t="n">
        <v>1</v>
      </c>
      <c r="S146" s="25" t="n">
        <v>0.97</v>
      </c>
      <c r="T146" s="25" t="n">
        <v>0.27</v>
      </c>
      <c r="U146" s="42" t="inlineStr">
        <is>
          <t>Tier 1A (Direct Coloc, &lt;1 km)</t>
        </is>
      </c>
      <c r="V146" s="24" t="n">
        <v>82.40000000000001</v>
      </c>
      <c r="W146" s="24" t="n">
        <v>60.3</v>
      </c>
      <c r="X146" s="24" t="n">
        <v>58</v>
      </c>
      <c r="Y146" s="45">
        <f>ROUND((V146*'Methodology &amp; Assumptions'!$B$6)+(W146*'Methodology &amp; Assumptions'!$B$5)+(X146*'Methodology &amp; Assumptions'!$B$7), 2)</f>
        <v/>
      </c>
    </row>
    <row r="147" ht="19" customHeight="1">
      <c r="A147" s="35" t="n">
        <v>143</v>
      </c>
      <c r="B147" s="35" t="n">
        <v>3143</v>
      </c>
      <c r="C147" s="36" t="inlineStr">
        <is>
          <t>0702250011</t>
        </is>
      </c>
      <c r="D147" s="36" t="inlineStr">
        <is>
          <t>Region VII (Central Visayas)</t>
        </is>
      </c>
      <c r="E147" s="36" t="inlineStr">
        <is>
          <t>Cebu</t>
        </is>
      </c>
      <c r="F147" s="36" t="inlineStr">
        <is>
          <t>City of Talisay</t>
        </is>
      </c>
      <c r="G147" s="36" t="inlineStr">
        <is>
          <t>Mohon</t>
        </is>
      </c>
      <c r="H147" s="37" t="n">
        <v>10.249218</v>
      </c>
      <c r="I147" s="37" t="n">
        <v>123.827296</v>
      </c>
      <c r="J147" s="8" t="inlineStr">
        <is>
          <t>U</t>
        </is>
      </c>
      <c r="K147" s="36" t="inlineStr">
        <is>
          <t>Class 1-3 / Urban</t>
        </is>
      </c>
      <c r="L147" s="18" t="n">
        <v>11290</v>
      </c>
      <c r="M147" s="20" t="n">
        <v>4.42</v>
      </c>
      <c r="N147" s="18">
        <f>ROUND(L147/M147, 0)</f>
        <v/>
      </c>
      <c r="O147" s="18">
        <f>ROUND(N147*'Methodology &amp; Assumptions'!$B$8, 0)</f>
        <v/>
      </c>
      <c r="P147" s="8" t="inlineStr">
        <is>
          <t>Band n50 (1.5 GHz, 60 MHz)</t>
        </is>
      </c>
      <c r="Q147" s="38">
        <f>ROUNDUP(O147/'Methodology &amp; Assumptions'!$B$9, 0)</f>
        <v/>
      </c>
      <c r="R147" s="39" t="n">
        <v>1</v>
      </c>
      <c r="S147" s="21" t="n">
        <v>1.61</v>
      </c>
      <c r="T147" s="21" t="n">
        <v>0.23</v>
      </c>
      <c r="U147" s="36" t="inlineStr">
        <is>
          <t>Tier 1B (Micro Drop, 1-3 km)</t>
        </is>
      </c>
      <c r="V147" s="20" t="n">
        <v>68.40000000000001</v>
      </c>
      <c r="W147" s="20" t="n">
        <v>100</v>
      </c>
      <c r="X147" s="20" t="n">
        <v>28</v>
      </c>
      <c r="Y147" s="40">
        <f>ROUND((V147*'Methodology &amp; Assumptions'!$B$6)+(W147*'Methodology &amp; Assumptions'!$B$5)+(X147*'Methodology &amp; Assumptions'!$B$7), 2)</f>
        <v/>
      </c>
    </row>
    <row r="148" ht="19" customHeight="1">
      <c r="A148" s="41" t="n">
        <v>144</v>
      </c>
      <c r="B148" s="41" t="n">
        <v>3144</v>
      </c>
      <c r="C148" s="42" t="inlineStr">
        <is>
          <t>1208007014</t>
        </is>
      </c>
      <c r="D148" s="42" t="inlineStr">
        <is>
          <t>Region XII (SOCCSKSARGEN)</t>
        </is>
      </c>
      <c r="E148" s="42" t="inlineStr">
        <is>
          <t>Sarangani</t>
        </is>
      </c>
      <c r="F148" s="42" t="inlineStr">
        <is>
          <t>Malungon</t>
        </is>
      </c>
      <c r="G148" s="42" t="inlineStr">
        <is>
          <t>Kinabalan</t>
        </is>
      </c>
      <c r="H148" s="43" t="n">
        <v>6.462319</v>
      </c>
      <c r="I148" s="43" t="n">
        <v>125.331957</v>
      </c>
      <c r="J148" s="44" t="inlineStr">
        <is>
          <t>R</t>
        </is>
      </c>
      <c r="K148" s="42" t="inlineStr">
        <is>
          <t>Class 1-3 / Urban</t>
        </is>
      </c>
      <c r="L148" s="23" t="n">
        <v>2096</v>
      </c>
      <c r="M148" s="24" t="n">
        <v>4.1</v>
      </c>
      <c r="N148" s="23">
        <f>ROUND(L148/M148, 0)</f>
        <v/>
      </c>
      <c r="O148" s="23">
        <f>ROUND(N148*'Methodology &amp; Assumptions'!$B$8, 0)</f>
        <v/>
      </c>
      <c r="P148" s="44" t="inlineStr">
        <is>
          <t>Band n50 (1.5 GHz, 60 MHz)</t>
        </is>
      </c>
      <c r="Q148" s="38">
        <f>ROUNDUP(O148/'Methodology &amp; Assumptions'!$B$9, 0)</f>
        <v/>
      </c>
      <c r="R148" s="39" t="n">
        <v>1</v>
      </c>
      <c r="S148" s="25" t="n">
        <v>1.79</v>
      </c>
      <c r="T148" s="25" t="n">
        <v>1.78</v>
      </c>
      <c r="U148" s="42" t="inlineStr">
        <is>
          <t>Tier 1B (Micro Drop, 1-3 km)</t>
        </is>
      </c>
      <c r="V148" s="24" t="n">
        <v>65</v>
      </c>
      <c r="W148" s="24" t="n">
        <v>64.8</v>
      </c>
      <c r="X148" s="24" t="n">
        <v>73</v>
      </c>
      <c r="Y148" s="45">
        <f>ROUND((V148*'Methodology &amp; Assumptions'!$B$6)+(W148*'Methodology &amp; Assumptions'!$B$5)+(X148*'Methodology &amp; Assumptions'!$B$7), 2)</f>
        <v/>
      </c>
    </row>
    <row r="149" ht="19" customHeight="1">
      <c r="A149" s="35" t="n">
        <v>145</v>
      </c>
      <c r="B149" s="35" t="n">
        <v>3145</v>
      </c>
      <c r="C149" s="36" t="inlineStr">
        <is>
          <t>0604528011</t>
        </is>
      </c>
      <c r="D149" s="36" t="inlineStr">
        <is>
          <t>Region VI (Western Visayas)</t>
        </is>
      </c>
      <c r="E149" s="36" t="inlineStr">
        <is>
          <t>Negros Occidental</t>
        </is>
      </c>
      <c r="F149" s="36" t="inlineStr">
        <is>
          <t>City of Talisay</t>
        </is>
      </c>
      <c r="G149" s="36" t="inlineStr">
        <is>
          <t>Efigenio Lizares</t>
        </is>
      </c>
      <c r="H149" s="37" t="n">
        <v>10.742149</v>
      </c>
      <c r="I149" s="37" t="n">
        <v>122.998388</v>
      </c>
      <c r="J149" s="8" t="inlineStr">
        <is>
          <t>R</t>
        </is>
      </c>
      <c r="K149" s="36" t="inlineStr">
        <is>
          <t>Class 1-3 / Urban</t>
        </is>
      </c>
      <c r="L149" s="18" t="n">
        <v>4482</v>
      </c>
      <c r="M149" s="20" t="n">
        <v>4.33</v>
      </c>
      <c r="N149" s="18">
        <f>ROUND(L149/M149, 0)</f>
        <v/>
      </c>
      <c r="O149" s="18">
        <f>ROUND(N149*'Methodology &amp; Assumptions'!$B$8, 0)</f>
        <v/>
      </c>
      <c r="P149" s="8" t="inlineStr">
        <is>
          <t>Band n50 (1.5 GHz, 60 MHz)</t>
        </is>
      </c>
      <c r="Q149" s="38">
        <f>ROUNDUP(O149/'Methodology &amp; Assumptions'!$B$9, 0)</f>
        <v/>
      </c>
      <c r="R149" s="39" t="n">
        <v>1</v>
      </c>
      <c r="S149" s="21" t="n">
        <v>3.36</v>
      </c>
      <c r="T149" s="21" t="n">
        <v>0.12</v>
      </c>
      <c r="U149" s="36" t="inlineStr">
        <is>
          <t>Tier 2 (Fiber Corridor / Lateral, 3-5 km)</t>
        </is>
      </c>
      <c r="V149" s="20" t="n">
        <v>42.6</v>
      </c>
      <c r="W149" s="20" t="n">
        <v>100</v>
      </c>
      <c r="X149" s="20" t="n">
        <v>58</v>
      </c>
      <c r="Y149" s="40">
        <f>ROUND((V149*'Methodology &amp; Assumptions'!$B$6)+(W149*'Methodology &amp; Assumptions'!$B$5)+(X149*'Methodology &amp; Assumptions'!$B$7), 2)</f>
        <v/>
      </c>
    </row>
    <row r="150" ht="19" customHeight="1">
      <c r="A150" s="41" t="n">
        <v>146</v>
      </c>
      <c r="B150" s="41" t="n">
        <v>3146</v>
      </c>
      <c r="C150" s="42" t="inlineStr">
        <is>
          <t>0501701018</t>
        </is>
      </c>
      <c r="D150" s="42" t="inlineStr">
        <is>
          <t>Region V (Bicol Region)</t>
        </is>
      </c>
      <c r="E150" s="42" t="inlineStr">
        <is>
          <t>Camarines Sur</t>
        </is>
      </c>
      <c r="F150" s="42" t="inlineStr">
        <is>
          <t>Baao</t>
        </is>
      </c>
      <c r="G150" s="42" t="inlineStr">
        <is>
          <t>San Juan</t>
        </is>
      </c>
      <c r="H150" s="43" t="n">
        <v>13.451889</v>
      </c>
      <c r="I150" s="43" t="n">
        <v>123.385716</v>
      </c>
      <c r="J150" s="44" t="inlineStr">
        <is>
          <t>R</t>
        </is>
      </c>
      <c r="K150" s="42" t="inlineStr">
        <is>
          <t>Class 1-3 / Urban</t>
        </is>
      </c>
      <c r="L150" s="23" t="n">
        <v>3803</v>
      </c>
      <c r="M150" s="24" t="n">
        <v>4.9</v>
      </c>
      <c r="N150" s="23">
        <f>ROUND(L150/M150, 0)</f>
        <v/>
      </c>
      <c r="O150" s="23">
        <f>ROUND(N150*'Methodology &amp; Assumptions'!$B$8, 0)</f>
        <v/>
      </c>
      <c r="P150" s="44" t="inlineStr">
        <is>
          <t>Band n50 (1.5 GHz, 60 MHz)</t>
        </is>
      </c>
      <c r="Q150" s="38">
        <f>ROUNDUP(O150/'Methodology &amp; Assumptions'!$B$9, 0)</f>
        <v/>
      </c>
      <c r="R150" s="39" t="n">
        <v>1</v>
      </c>
      <c r="S150" s="25" t="n">
        <v>2.3</v>
      </c>
      <c r="T150" s="25" t="n">
        <v>0.29</v>
      </c>
      <c r="U150" s="42" t="inlineStr">
        <is>
          <t>Tier 1B (Micro Drop, 1-3 km)</t>
        </is>
      </c>
      <c r="V150" s="24" t="n">
        <v>56.5</v>
      </c>
      <c r="W150" s="24" t="n">
        <v>86.09999999999999</v>
      </c>
      <c r="X150" s="24" t="n">
        <v>58</v>
      </c>
      <c r="Y150" s="45">
        <f>ROUND((V150*'Methodology &amp; Assumptions'!$B$6)+(W150*'Methodology &amp; Assumptions'!$B$5)+(X150*'Methodology &amp; Assumptions'!$B$7), 2)</f>
        <v/>
      </c>
    </row>
    <row r="151" ht="19" customHeight="1">
      <c r="A151" s="35" t="n">
        <v>147</v>
      </c>
      <c r="B151" s="35" t="n">
        <v>3147</v>
      </c>
      <c r="C151" s="36" t="inlineStr">
        <is>
          <t>0301423010</t>
        </is>
      </c>
      <c r="D151" s="36" t="inlineStr">
        <is>
          <t>Region III (Central Luzon)</t>
        </is>
      </c>
      <c r="E151" s="36" t="inlineStr">
        <is>
          <t>Bulacan</t>
        </is>
      </c>
      <c r="F151" s="36" t="inlineStr">
        <is>
          <t>Santa Maria</t>
        </is>
      </c>
      <c r="G151" s="36" t="inlineStr">
        <is>
          <t>Lalakhan</t>
        </is>
      </c>
      <c r="H151" s="37" t="n">
        <v>14.81625</v>
      </c>
      <c r="I151" s="37" t="n">
        <v>120.946671</v>
      </c>
      <c r="J151" s="8" t="inlineStr">
        <is>
          <t>R</t>
        </is>
      </c>
      <c r="K151" s="36" t="inlineStr">
        <is>
          <t>Class 1-3 / Urban</t>
        </is>
      </c>
      <c r="L151" s="18" t="n">
        <v>2319</v>
      </c>
      <c r="M151" s="20" t="n">
        <v>4.1</v>
      </c>
      <c r="N151" s="18">
        <f>ROUND(L151/M151, 0)</f>
        <v/>
      </c>
      <c r="O151" s="18">
        <f>ROUND(N151*'Methodology &amp; Assumptions'!$B$8, 0)</f>
        <v/>
      </c>
      <c r="P151" s="8" t="inlineStr">
        <is>
          <t>Band n50 (1.5 GHz, 60 MHz)</t>
        </is>
      </c>
      <c r="Q151" s="38">
        <f>ROUNDUP(O151/'Methodology &amp; Assumptions'!$B$9, 0)</f>
        <v/>
      </c>
      <c r="R151" s="39" t="n">
        <v>1</v>
      </c>
      <c r="S151" s="21" t="n">
        <v>1.37</v>
      </c>
      <c r="T151" s="21" t="n">
        <v>0.24</v>
      </c>
      <c r="U151" s="36" t="inlineStr">
        <is>
          <t>Tier 1B (Micro Drop, 1-3 km)</t>
        </is>
      </c>
      <c r="V151" s="20" t="n">
        <v>73.3</v>
      </c>
      <c r="W151" s="20" t="n">
        <v>69.3</v>
      </c>
      <c r="X151" s="20" t="n">
        <v>58</v>
      </c>
      <c r="Y151" s="40">
        <f>ROUND((V151*'Methodology &amp; Assumptions'!$B$6)+(W151*'Methodology &amp; Assumptions'!$B$5)+(X151*'Methodology &amp; Assumptions'!$B$7), 2)</f>
        <v/>
      </c>
    </row>
    <row r="152" ht="19" customHeight="1">
      <c r="A152" s="41" t="n">
        <v>148</v>
      </c>
      <c r="B152" s="41" t="n">
        <v>3148</v>
      </c>
      <c r="C152" s="42" t="inlineStr">
        <is>
          <t>0102820007</t>
        </is>
      </c>
      <c r="D152" s="42" t="inlineStr">
        <is>
          <t>Region I (Ilocos Region)</t>
        </is>
      </c>
      <c r="E152" s="42" t="inlineStr">
        <is>
          <t>Ilocos Norte</t>
        </is>
      </c>
      <c r="F152" s="42" t="inlineStr">
        <is>
          <t>San Nicolas</t>
        </is>
      </c>
      <c r="G152" s="42" t="inlineStr">
        <is>
          <t>San Eugenio</t>
        </is>
      </c>
      <c r="H152" s="43" t="n">
        <v>18.167967</v>
      </c>
      <c r="I152" s="43" t="n">
        <v>120.592121</v>
      </c>
      <c r="J152" s="44" t="inlineStr">
        <is>
          <t>R</t>
        </is>
      </c>
      <c r="K152" s="42" t="inlineStr">
        <is>
          <t>Class 1-3 / Urban</t>
        </is>
      </c>
      <c r="L152" s="23" t="n">
        <v>1021</v>
      </c>
      <c r="M152" s="24" t="n">
        <v>4.35</v>
      </c>
      <c r="N152" s="23">
        <f>ROUND(L152/M152, 0)</f>
        <v/>
      </c>
      <c r="O152" s="23">
        <f>ROUND(N152*'Methodology &amp; Assumptions'!$B$8, 0)</f>
        <v/>
      </c>
      <c r="P152" s="44" t="inlineStr">
        <is>
          <t>Band n50 (1.5 GHz, 60 MHz)</t>
        </is>
      </c>
      <c r="Q152" s="38">
        <f>ROUNDUP(O152/'Methodology &amp; Assumptions'!$B$9, 0)</f>
        <v/>
      </c>
      <c r="R152" s="39" t="n">
        <v>1</v>
      </c>
      <c r="S152" s="25" t="n">
        <v>0.3</v>
      </c>
      <c r="T152" s="25" t="n">
        <v>0.23</v>
      </c>
      <c r="U152" s="42" t="inlineStr">
        <is>
          <t>Tier 1A (Direct Coloc, &lt;1 km)</t>
        </is>
      </c>
      <c r="V152" s="24" t="n">
        <v>100</v>
      </c>
      <c r="W152" s="24" t="n">
        <v>42.7</v>
      </c>
      <c r="X152" s="24" t="n">
        <v>58</v>
      </c>
      <c r="Y152" s="45">
        <f>ROUND((V152*'Methodology &amp; Assumptions'!$B$6)+(W152*'Methodology &amp; Assumptions'!$B$5)+(X152*'Methodology &amp; Assumptions'!$B$7), 2)</f>
        <v/>
      </c>
    </row>
    <row r="153" ht="19" customHeight="1">
      <c r="A153" s="35" t="n">
        <v>149</v>
      </c>
      <c r="B153" s="35" t="n">
        <v>3149</v>
      </c>
      <c r="C153" s="36" t="inlineStr">
        <is>
          <t>0702234001</t>
        </is>
      </c>
      <c r="D153" s="36" t="inlineStr">
        <is>
          <t>Region VII (Central Visayas)</t>
        </is>
      </c>
      <c r="E153" s="36" t="inlineStr">
        <is>
          <t>Cebu</t>
        </is>
      </c>
      <c r="F153" s="36" t="inlineStr">
        <is>
          <t>City of Naga</t>
        </is>
      </c>
      <c r="G153" s="36" t="inlineStr">
        <is>
          <t>Alfaco</t>
        </is>
      </c>
      <c r="H153" s="37" t="n">
        <v>10.242076</v>
      </c>
      <c r="I153" s="37" t="n">
        <v>123.694532</v>
      </c>
      <c r="J153" s="8" t="inlineStr">
        <is>
          <t>R</t>
        </is>
      </c>
      <c r="K153" s="36" t="inlineStr">
        <is>
          <t>Class 1-3 / Urban</t>
        </is>
      </c>
      <c r="L153" s="18" t="n">
        <v>3986</v>
      </c>
      <c r="M153" s="20" t="n">
        <v>4.42</v>
      </c>
      <c r="N153" s="18">
        <f>ROUND(L153/M153, 0)</f>
        <v/>
      </c>
      <c r="O153" s="18">
        <f>ROUND(N153*'Methodology &amp; Assumptions'!$B$8, 0)</f>
        <v/>
      </c>
      <c r="P153" s="8" t="inlineStr">
        <is>
          <t>Band n50 (1.5 GHz, 60 MHz)</t>
        </is>
      </c>
      <c r="Q153" s="38">
        <f>ROUNDUP(O153/'Methodology &amp; Assumptions'!$B$9, 0)</f>
        <v/>
      </c>
      <c r="R153" s="39" t="n">
        <v>1</v>
      </c>
      <c r="S153" s="21" t="n">
        <v>2.31</v>
      </c>
      <c r="T153" s="21" t="n">
        <v>2.23</v>
      </c>
      <c r="U153" s="36" t="inlineStr">
        <is>
          <t>Tier 1B (Micro Drop, 1-3 km)</t>
        </is>
      </c>
      <c r="V153" s="20" t="n">
        <v>46.4</v>
      </c>
      <c r="W153" s="20" t="n">
        <v>96.3</v>
      </c>
      <c r="X153" s="20" t="n">
        <v>58</v>
      </c>
      <c r="Y153" s="40">
        <f>ROUND((V153*'Methodology &amp; Assumptions'!$B$6)+(W153*'Methodology &amp; Assumptions'!$B$5)+(X153*'Methodology &amp; Assumptions'!$B$7), 2)</f>
        <v/>
      </c>
    </row>
    <row r="154" ht="19" customHeight="1">
      <c r="A154" s="41" t="n">
        <v>150</v>
      </c>
      <c r="B154" s="41" t="n">
        <v>3150</v>
      </c>
      <c r="C154" s="42" t="inlineStr">
        <is>
          <t>0402108026</t>
        </is>
      </c>
      <c r="D154" s="42" t="inlineStr">
        <is>
          <t>Region IV-A (CALABARZON)</t>
        </is>
      </c>
      <c r="E154" s="42" t="inlineStr">
        <is>
          <t>Cavite</t>
        </is>
      </c>
      <c r="F154" s="42" t="inlineStr">
        <is>
          <t>City of General Trias</t>
        </is>
      </c>
      <c r="G154" s="42" t="inlineStr">
        <is>
          <t>Santa Clara</t>
        </is>
      </c>
      <c r="H154" s="43" t="n">
        <v>14.380881</v>
      </c>
      <c r="I154" s="43" t="n">
        <v>120.881597</v>
      </c>
      <c r="J154" s="44" t="inlineStr">
        <is>
          <t>R</t>
        </is>
      </c>
      <c r="K154" s="42" t="inlineStr">
        <is>
          <t>Class 1-3 / Urban</t>
        </is>
      </c>
      <c r="L154" s="23" t="n">
        <v>3365</v>
      </c>
      <c r="M154" s="24" t="n">
        <v>4.49</v>
      </c>
      <c r="N154" s="23">
        <f>ROUND(L154/M154, 0)</f>
        <v/>
      </c>
      <c r="O154" s="23">
        <f>ROUND(N154*'Methodology &amp; Assumptions'!$B$8, 0)</f>
        <v/>
      </c>
      <c r="P154" s="44" t="inlineStr">
        <is>
          <t>Band n50 (1.5 GHz, 60 MHz)</t>
        </is>
      </c>
      <c r="Q154" s="38">
        <f>ROUNDUP(O154/'Methodology &amp; Assumptions'!$B$9, 0)</f>
        <v/>
      </c>
      <c r="R154" s="39" t="n">
        <v>1</v>
      </c>
      <c r="S154" s="25" t="n">
        <v>1.6</v>
      </c>
      <c r="T154" s="25" t="n">
        <v>2.32</v>
      </c>
      <c r="U154" s="42" t="inlineStr">
        <is>
          <t>Tier 1B (Micro Drop, 1-3 km)</t>
        </is>
      </c>
      <c r="V154" s="24" t="n">
        <v>58.6</v>
      </c>
      <c r="W154" s="24" t="n">
        <v>84</v>
      </c>
      <c r="X154" s="24" t="n">
        <v>58</v>
      </c>
      <c r="Y154" s="45">
        <f>ROUND((V154*'Methodology &amp; Assumptions'!$B$6)+(W154*'Methodology &amp; Assumptions'!$B$5)+(X154*'Methodology &amp; Assumptions'!$B$7), 2)</f>
        <v/>
      </c>
    </row>
    <row r="155" ht="19" customHeight="1">
      <c r="A155" s="35" t="n">
        <v>151</v>
      </c>
      <c r="B155" s="35" t="n">
        <v>3151</v>
      </c>
      <c r="C155" s="36" t="inlineStr">
        <is>
          <t>0301420026</t>
        </is>
      </c>
      <c r="D155" s="36" t="inlineStr">
        <is>
          <t>Region III (Central Luzon)</t>
        </is>
      </c>
      <c r="E155" s="36" t="inlineStr">
        <is>
          <t>Bulacan</t>
        </is>
      </c>
      <c r="F155" s="36" t="inlineStr">
        <is>
          <t>City of San Jose Del Monte</t>
        </is>
      </c>
      <c r="G155" s="36" t="inlineStr">
        <is>
          <t>Fatima V</t>
        </is>
      </c>
      <c r="H155" s="37" t="n">
        <v>14.841884</v>
      </c>
      <c r="I155" s="37" t="n">
        <v>121.048591</v>
      </c>
      <c r="J155" s="8" t="inlineStr">
        <is>
          <t>R</t>
        </is>
      </c>
      <c r="K155" s="36" t="inlineStr">
        <is>
          <t>Class 1-3 / Urban</t>
        </is>
      </c>
      <c r="L155" s="18" t="n">
        <v>2195</v>
      </c>
      <c r="M155" s="20" t="n">
        <v>4.1</v>
      </c>
      <c r="N155" s="18">
        <f>ROUND(L155/M155, 0)</f>
        <v/>
      </c>
      <c r="O155" s="18">
        <f>ROUND(N155*'Methodology &amp; Assumptions'!$B$8, 0)</f>
        <v/>
      </c>
      <c r="P155" s="8" t="inlineStr">
        <is>
          <t>Band n50 (1.5 GHz, 60 MHz)</t>
        </is>
      </c>
      <c r="Q155" s="38">
        <f>ROUNDUP(O155/'Methodology &amp; Assumptions'!$B$9, 0)</f>
        <v/>
      </c>
      <c r="R155" s="39" t="n">
        <v>1</v>
      </c>
      <c r="S155" s="21" t="n">
        <v>1.25</v>
      </c>
      <c r="T155" s="21" t="n">
        <v>1.43</v>
      </c>
      <c r="U155" s="36" t="inlineStr">
        <is>
          <t>Tier 1B (Micro Drop, 1-3 km)</t>
        </is>
      </c>
      <c r="V155" s="20" t="n">
        <v>76</v>
      </c>
      <c r="W155" s="20" t="n">
        <v>66.7</v>
      </c>
      <c r="X155" s="20" t="n">
        <v>58</v>
      </c>
      <c r="Y155" s="40">
        <f>ROUND((V155*'Methodology &amp; Assumptions'!$B$6)+(W155*'Methodology &amp; Assumptions'!$B$5)+(X155*'Methodology &amp; Assumptions'!$B$7), 2)</f>
        <v/>
      </c>
    </row>
    <row r="156" ht="19" customHeight="1">
      <c r="A156" s="41" t="n">
        <v>152</v>
      </c>
      <c r="B156" s="41" t="n">
        <v>3152</v>
      </c>
      <c r="C156" s="42" t="inlineStr">
        <is>
          <t>0304904015</t>
        </is>
      </c>
      <c r="D156" s="42" t="inlineStr">
        <is>
          <t>Region III (Central Luzon)</t>
        </is>
      </c>
      <c r="E156" s="42" t="inlineStr">
        <is>
          <t>Nueva Ecija</t>
        </is>
      </c>
      <c r="F156" s="42" t="inlineStr">
        <is>
          <t>Cabiao</t>
        </is>
      </c>
      <c r="G156" s="42" t="inlineStr">
        <is>
          <t>San Gregorio</t>
        </is>
      </c>
      <c r="H156" s="43" t="n">
        <v>15.255315</v>
      </c>
      <c r="I156" s="43" t="n">
        <v>120.859696</v>
      </c>
      <c r="J156" s="44" t="inlineStr">
        <is>
          <t>R</t>
        </is>
      </c>
      <c r="K156" s="42" t="inlineStr">
        <is>
          <t>Class 1-3 / Urban</t>
        </is>
      </c>
      <c r="L156" s="23" t="n">
        <v>2151</v>
      </c>
      <c r="M156" s="24" t="n">
        <v>4.32</v>
      </c>
      <c r="N156" s="23">
        <f>ROUND(L156/M156, 0)</f>
        <v/>
      </c>
      <c r="O156" s="23">
        <f>ROUND(N156*'Methodology &amp; Assumptions'!$B$8, 0)</f>
        <v/>
      </c>
      <c r="P156" s="44" t="inlineStr">
        <is>
          <t>Band n50 (1.5 GHz, 60 MHz)</t>
        </is>
      </c>
      <c r="Q156" s="38">
        <f>ROUNDUP(O156/'Methodology &amp; Assumptions'!$B$9, 0)</f>
        <v/>
      </c>
      <c r="R156" s="39" t="n">
        <v>1</v>
      </c>
      <c r="S156" s="25" t="n">
        <v>1.12</v>
      </c>
      <c r="T156" s="25" t="n">
        <v>0.25</v>
      </c>
      <c r="U156" s="42" t="inlineStr">
        <is>
          <t>Tier 1B (Micro Drop, 1-3 km)</t>
        </is>
      </c>
      <c r="V156" s="24" t="n">
        <v>78.90000000000001</v>
      </c>
      <c r="W156" s="24" t="n">
        <v>63.7</v>
      </c>
      <c r="X156" s="24" t="n">
        <v>58</v>
      </c>
      <c r="Y156" s="45">
        <f>ROUND((V156*'Methodology &amp; Assumptions'!$B$6)+(W156*'Methodology &amp; Assumptions'!$B$5)+(X156*'Methodology &amp; Assumptions'!$B$7), 2)</f>
        <v/>
      </c>
    </row>
    <row r="157" ht="19" customHeight="1">
      <c r="A157" s="35" t="n">
        <v>153</v>
      </c>
      <c r="B157" s="35" t="n">
        <v>3153</v>
      </c>
      <c r="C157" s="36" t="inlineStr">
        <is>
          <t>0305417006</t>
        </is>
      </c>
      <c r="D157" s="36" t="inlineStr">
        <is>
          <t>Region III (Central Luzon)</t>
        </is>
      </c>
      <c r="E157" s="36" t="inlineStr">
        <is>
          <t>Pampanga</t>
        </is>
      </c>
      <c r="F157" s="36" t="inlineStr">
        <is>
          <t>San Luis</t>
        </is>
      </c>
      <c r="G157" s="36" t="inlineStr">
        <is>
          <t>San Nicolas</t>
        </is>
      </c>
      <c r="H157" s="37" t="n">
        <v>15.04225</v>
      </c>
      <c r="I157" s="37" t="n">
        <v>120.795</v>
      </c>
      <c r="J157" s="8" t="inlineStr">
        <is>
          <t>R</t>
        </is>
      </c>
      <c r="K157" s="36" t="inlineStr">
        <is>
          <t>Class 1-3 / Urban</t>
        </is>
      </c>
      <c r="L157" s="18" t="n">
        <v>1829</v>
      </c>
      <c r="M157" s="20" t="n">
        <v>4.63</v>
      </c>
      <c r="N157" s="18">
        <f>ROUND(L157/M157, 0)</f>
        <v/>
      </c>
      <c r="O157" s="18">
        <f>ROUND(N157*'Methodology &amp; Assumptions'!$B$8, 0)</f>
        <v/>
      </c>
      <c r="P157" s="8" t="inlineStr">
        <is>
          <t>Band n50 (1.5 GHz, 60 MHz)</t>
        </is>
      </c>
      <c r="Q157" s="38">
        <f>ROUNDUP(O157/'Methodology &amp; Assumptions'!$B$9, 0)</f>
        <v/>
      </c>
      <c r="R157" s="39" t="n">
        <v>1</v>
      </c>
      <c r="S157" s="21" t="n">
        <v>0.78</v>
      </c>
      <c r="T157" s="21" t="n">
        <v>0.57</v>
      </c>
      <c r="U157" s="36" t="inlineStr">
        <is>
          <t>Tier 1A (Direct Coloc, &lt;1 km)</t>
        </is>
      </c>
      <c r="V157" s="20" t="n">
        <v>87.2</v>
      </c>
      <c r="W157" s="20" t="n">
        <v>55.5</v>
      </c>
      <c r="X157" s="20" t="n">
        <v>58</v>
      </c>
      <c r="Y157" s="40">
        <f>ROUND((V157*'Methodology &amp; Assumptions'!$B$6)+(W157*'Methodology &amp; Assumptions'!$B$5)+(X157*'Methodology &amp; Assumptions'!$B$7), 2)</f>
        <v/>
      </c>
    </row>
    <row r="158" ht="19" customHeight="1">
      <c r="A158" s="41" t="n">
        <v>154</v>
      </c>
      <c r="B158" s="41" t="n">
        <v>3154</v>
      </c>
      <c r="C158" s="42" t="inlineStr">
        <is>
          <t>0306904003</t>
        </is>
      </c>
      <c r="D158" s="42" t="inlineStr">
        <is>
          <t>Region III (Central Luzon)</t>
        </is>
      </c>
      <c r="E158" s="42" t="inlineStr">
        <is>
          <t>Tarlac</t>
        </is>
      </c>
      <c r="F158" s="42" t="inlineStr">
        <is>
          <t>Capas</t>
        </is>
      </c>
      <c r="G158" s="42" t="inlineStr">
        <is>
          <t>Cubcub</t>
        </is>
      </c>
      <c r="H158" s="43" t="n">
        <v>15.332848</v>
      </c>
      <c r="I158" s="43" t="n">
        <v>120.591424</v>
      </c>
      <c r="J158" s="44" t="inlineStr">
        <is>
          <t>U</t>
        </is>
      </c>
      <c r="K158" s="42" t="inlineStr">
        <is>
          <t>Class 1-3 / Urban</t>
        </is>
      </c>
      <c r="L158" s="23" t="n">
        <v>4039</v>
      </c>
      <c r="M158" s="24" t="n">
        <v>4.3</v>
      </c>
      <c r="N158" s="23">
        <f>ROUND(L158/M158, 0)</f>
        <v/>
      </c>
      <c r="O158" s="23">
        <f>ROUND(N158*'Methodology &amp; Assumptions'!$B$8, 0)</f>
        <v/>
      </c>
      <c r="P158" s="44" t="inlineStr">
        <is>
          <t>Band n50 (1.5 GHz, 60 MHz)</t>
        </is>
      </c>
      <c r="Q158" s="38">
        <f>ROUNDUP(O158/'Methodology &amp; Assumptions'!$B$9, 0)</f>
        <v/>
      </c>
      <c r="R158" s="39" t="n">
        <v>1</v>
      </c>
      <c r="S158" s="25" t="n">
        <v>1.58</v>
      </c>
      <c r="T158" s="25" t="n">
        <v>0.08</v>
      </c>
      <c r="U158" s="42" t="inlineStr">
        <is>
          <t>Tier 1B (Micro Drop, 1-3 km)</t>
        </is>
      </c>
      <c r="V158" s="24" t="n">
        <v>69.09999999999999</v>
      </c>
      <c r="W158" s="24" t="n">
        <v>99.2</v>
      </c>
      <c r="X158" s="24" t="n">
        <v>28</v>
      </c>
      <c r="Y158" s="45">
        <f>ROUND((V158*'Methodology &amp; Assumptions'!$B$6)+(W158*'Methodology &amp; Assumptions'!$B$5)+(X158*'Methodology &amp; Assumptions'!$B$7), 2)</f>
        <v/>
      </c>
    </row>
    <row r="159" ht="19" customHeight="1">
      <c r="A159" s="35" t="n">
        <v>155</v>
      </c>
      <c r="B159" s="35" t="n">
        <v>3155</v>
      </c>
      <c r="C159" s="36" t="inlineStr">
        <is>
          <t>0604515024</t>
        </is>
      </c>
      <c r="D159" s="36" t="inlineStr">
        <is>
          <t>Region VI (Western Visayas)</t>
        </is>
      </c>
      <c r="E159" s="36" t="inlineStr">
        <is>
          <t>Negros Occidental</t>
        </is>
      </c>
      <c r="F159" s="36" t="inlineStr">
        <is>
          <t>City of Kabankalan</t>
        </is>
      </c>
      <c r="G159" s="36" t="inlineStr">
        <is>
          <t>Barangay 3</t>
        </is>
      </c>
      <c r="H159" s="37" t="n">
        <v>9.994225999999999</v>
      </c>
      <c r="I159" s="37" t="n">
        <v>122.815122</v>
      </c>
      <c r="J159" s="8" t="inlineStr">
        <is>
          <t>U</t>
        </is>
      </c>
      <c r="K159" s="36" t="inlineStr">
        <is>
          <t>Class 1-3 / Urban</t>
        </is>
      </c>
      <c r="L159" s="18" t="n">
        <v>1710</v>
      </c>
      <c r="M159" s="20" t="n">
        <v>4.33</v>
      </c>
      <c r="N159" s="18">
        <f>ROUND(L159/M159, 0)</f>
        <v/>
      </c>
      <c r="O159" s="18">
        <f>ROUND(N159*'Methodology &amp; Assumptions'!$B$8, 0)</f>
        <v/>
      </c>
      <c r="P159" s="8" t="inlineStr">
        <is>
          <t>Band n50 (1.5 GHz, 60 MHz)</t>
        </is>
      </c>
      <c r="Q159" s="38">
        <f>ROUNDUP(O159/'Methodology &amp; Assumptions'!$B$9, 0)</f>
        <v/>
      </c>
      <c r="R159" s="39" t="n">
        <v>1</v>
      </c>
      <c r="S159" s="21" t="n">
        <v>0.3</v>
      </c>
      <c r="T159" s="21" t="n">
        <v>0.24</v>
      </c>
      <c r="U159" s="36" t="inlineStr">
        <is>
          <t>Tier 1A (Direct Coloc, &lt;1 km)</t>
        </is>
      </c>
      <c r="V159" s="20" t="n">
        <v>100</v>
      </c>
      <c r="W159" s="20" t="n">
        <v>55.5</v>
      </c>
      <c r="X159" s="20" t="n">
        <v>43</v>
      </c>
      <c r="Y159" s="40">
        <f>ROUND((V159*'Methodology &amp; Assumptions'!$B$6)+(W159*'Methodology &amp; Assumptions'!$B$5)+(X159*'Methodology &amp; Assumptions'!$B$7), 2)</f>
        <v/>
      </c>
    </row>
    <row r="160" ht="19" customHeight="1">
      <c r="A160" s="41" t="n">
        <v>156</v>
      </c>
      <c r="B160" s="41" t="n">
        <v>3156</v>
      </c>
      <c r="C160" s="42" t="inlineStr">
        <is>
          <t>0403405016</t>
        </is>
      </c>
      <c r="D160" s="42" t="inlineStr">
        <is>
          <t>Region IV-A (CALABARZON)</t>
        </is>
      </c>
      <c r="E160" s="42" t="inlineStr">
        <is>
          <t>Laguna</t>
        </is>
      </c>
      <c r="F160" s="42" t="inlineStr">
        <is>
          <t>City of Calamba</t>
        </is>
      </c>
      <c r="G160" s="42" t="inlineStr">
        <is>
          <t>Kay-Anlog</t>
        </is>
      </c>
      <c r="H160" s="43" t="n">
        <v>14.163994</v>
      </c>
      <c r="I160" s="43" t="n">
        <v>121.11963</v>
      </c>
      <c r="J160" s="44" t="inlineStr">
        <is>
          <t>U</t>
        </is>
      </c>
      <c r="K160" s="42" t="inlineStr">
        <is>
          <t>Class 1-3 / Urban</t>
        </is>
      </c>
      <c r="L160" s="23" t="n">
        <v>20487</v>
      </c>
      <c r="M160" s="24" t="n">
        <v>4.2</v>
      </c>
      <c r="N160" s="23">
        <f>ROUND(L160/M160, 0)</f>
        <v/>
      </c>
      <c r="O160" s="23">
        <f>ROUND(N160*'Methodology &amp; Assumptions'!$B$8, 0)</f>
        <v/>
      </c>
      <c r="P160" s="44" t="inlineStr">
        <is>
          <t>Band n50 (1.5 GHz, 60 MHz)</t>
        </is>
      </c>
      <c r="Q160" s="38">
        <f>ROUNDUP(O160/'Methodology &amp; Assumptions'!$B$9, 0)</f>
        <v/>
      </c>
      <c r="R160" s="39" t="n">
        <v>1</v>
      </c>
      <c r="S160" s="25" t="n">
        <v>1.62</v>
      </c>
      <c r="T160" s="25" t="n">
        <v>1.48</v>
      </c>
      <c r="U160" s="42" t="inlineStr">
        <is>
          <t>Tier 1B (Micro Drop, 1-3 km)</t>
        </is>
      </c>
      <c r="V160" s="24" t="n">
        <v>68.3</v>
      </c>
      <c r="W160" s="24" t="n">
        <v>100</v>
      </c>
      <c r="X160" s="24" t="n">
        <v>28</v>
      </c>
      <c r="Y160" s="45">
        <f>ROUND((V160*'Methodology &amp; Assumptions'!$B$6)+(W160*'Methodology &amp; Assumptions'!$B$5)+(X160*'Methodology &amp; Assumptions'!$B$7), 2)</f>
        <v/>
      </c>
    </row>
    <row r="161" ht="19" customHeight="1">
      <c r="A161" s="35" t="n">
        <v>157</v>
      </c>
      <c r="B161" s="35" t="n">
        <v>3157</v>
      </c>
      <c r="C161" s="36" t="inlineStr">
        <is>
          <t>1004326004</t>
        </is>
      </c>
      <c r="D161" s="36" t="inlineStr">
        <is>
          <t>Region X (Northern Mindanao)</t>
        </is>
      </c>
      <c r="E161" s="36" t="inlineStr">
        <is>
          <t>Misamis Oriental</t>
        </is>
      </c>
      <c r="F161" s="36" t="inlineStr">
        <is>
          <t>Villanueva</t>
        </is>
      </c>
      <c r="G161" s="36" t="inlineStr">
        <is>
          <t>Katipunan</t>
        </is>
      </c>
      <c r="H161" s="37" t="n">
        <v>8.580634999999999</v>
      </c>
      <c r="I161" s="37" t="n">
        <v>124.774899</v>
      </c>
      <c r="J161" s="8" t="inlineStr">
        <is>
          <t>U</t>
        </is>
      </c>
      <c r="K161" s="36" t="inlineStr">
        <is>
          <t>Class 1-3 / Urban</t>
        </is>
      </c>
      <c r="L161" s="18" t="n">
        <v>5291</v>
      </c>
      <c r="M161" s="20" t="n">
        <v>4.54</v>
      </c>
      <c r="N161" s="18">
        <f>ROUND(L161/M161, 0)</f>
        <v/>
      </c>
      <c r="O161" s="18">
        <f>ROUND(N161*'Methodology &amp; Assumptions'!$B$8, 0)</f>
        <v/>
      </c>
      <c r="P161" s="8" t="inlineStr">
        <is>
          <t>Band n50 (1.5 GHz, 60 MHz)</t>
        </is>
      </c>
      <c r="Q161" s="38">
        <f>ROUNDUP(O161/'Methodology &amp; Assumptions'!$B$9, 0)</f>
        <v/>
      </c>
      <c r="R161" s="39" t="n">
        <v>1</v>
      </c>
      <c r="S161" s="21" t="n">
        <v>1.62</v>
      </c>
      <c r="T161" s="21" t="n">
        <v>0.47</v>
      </c>
      <c r="U161" s="36" t="inlineStr">
        <is>
          <t>Tier 1B (Micro Drop, 1-3 km)</t>
        </is>
      </c>
      <c r="V161" s="20" t="n">
        <v>68.3</v>
      </c>
      <c r="W161" s="20" t="n">
        <v>100</v>
      </c>
      <c r="X161" s="20" t="n">
        <v>28</v>
      </c>
      <c r="Y161" s="40">
        <f>ROUND((V161*'Methodology &amp; Assumptions'!$B$6)+(W161*'Methodology &amp; Assumptions'!$B$5)+(X161*'Methodology &amp; Assumptions'!$B$7), 2)</f>
        <v/>
      </c>
    </row>
    <row r="162" ht="19" customHeight="1">
      <c r="A162" s="41" t="n">
        <v>158</v>
      </c>
      <c r="B162" s="41" t="n">
        <v>3158</v>
      </c>
      <c r="C162" s="42" t="inlineStr">
        <is>
          <t>0403425010</t>
        </is>
      </c>
      <c r="D162" s="42" t="inlineStr">
        <is>
          <t>Region IV-A (CALABARZON)</t>
        </is>
      </c>
      <c r="E162" s="42" t="inlineStr">
        <is>
          <t>Laguna</t>
        </is>
      </c>
      <c r="F162" s="42" t="inlineStr">
        <is>
          <t>City of San Pedro</t>
        </is>
      </c>
      <c r="G162" s="42" t="inlineStr">
        <is>
          <t>Nueva</t>
        </is>
      </c>
      <c r="H162" s="43" t="n">
        <v>14.361527</v>
      </c>
      <c r="I162" s="43" t="n">
        <v>121.055676</v>
      </c>
      <c r="J162" s="44" t="inlineStr">
        <is>
          <t>U</t>
        </is>
      </c>
      <c r="K162" s="42" t="inlineStr">
        <is>
          <t>Class 1-3 / Urban</t>
        </is>
      </c>
      <c r="L162" s="23" t="n">
        <v>4286</v>
      </c>
      <c r="M162" s="24" t="n">
        <v>4.2</v>
      </c>
      <c r="N162" s="23">
        <f>ROUND(L162/M162, 0)</f>
        <v/>
      </c>
      <c r="O162" s="23">
        <f>ROUND(N162*'Methodology &amp; Assumptions'!$B$8, 0)</f>
        <v/>
      </c>
      <c r="P162" s="44" t="inlineStr">
        <is>
          <t>Band n50 (1.5 GHz, 60 MHz)</t>
        </is>
      </c>
      <c r="Q162" s="38">
        <f>ROUNDUP(O162/'Methodology &amp; Assumptions'!$B$9, 0)</f>
        <v/>
      </c>
      <c r="R162" s="39" t="n">
        <v>1</v>
      </c>
      <c r="S162" s="25" t="n">
        <v>1.62</v>
      </c>
      <c r="T162" s="25" t="n">
        <v>0.12</v>
      </c>
      <c r="U162" s="42" t="inlineStr">
        <is>
          <t>Tier 1B (Micro Drop, 1-3 km)</t>
        </is>
      </c>
      <c r="V162" s="24" t="n">
        <v>68.3</v>
      </c>
      <c r="W162" s="24" t="n">
        <v>100</v>
      </c>
      <c r="X162" s="24" t="n">
        <v>28</v>
      </c>
      <c r="Y162" s="45">
        <f>ROUND((V162*'Methodology &amp; Assumptions'!$B$6)+(W162*'Methodology &amp; Assumptions'!$B$5)+(X162*'Methodology &amp; Assumptions'!$B$7), 2)</f>
        <v/>
      </c>
    </row>
    <row r="163" ht="19" customHeight="1">
      <c r="A163" s="35" t="n">
        <v>159</v>
      </c>
      <c r="B163" s="35" t="n">
        <v>3159</v>
      </c>
      <c r="C163" s="36" t="inlineStr">
        <is>
          <t>1705209021</t>
        </is>
      </c>
      <c r="D163" s="36" t="inlineStr">
        <is>
          <t>MIMAROPA Region</t>
        </is>
      </c>
      <c r="E163" s="36" t="inlineStr">
        <is>
          <t>Oriental Mindoro</t>
        </is>
      </c>
      <c r="F163" s="36" t="inlineStr">
        <is>
          <t>Pinamalayan</t>
        </is>
      </c>
      <c r="G163" s="36" t="inlineStr">
        <is>
          <t>Panggulayan</t>
        </is>
      </c>
      <c r="H163" s="37" t="n">
        <v>13.0452</v>
      </c>
      <c r="I163" s="37" t="n">
        <v>121.4641</v>
      </c>
      <c r="J163" s="8" t="inlineStr">
        <is>
          <t>R</t>
        </is>
      </c>
      <c r="K163" s="36" t="inlineStr">
        <is>
          <t>Class 1-3 / Urban</t>
        </is>
      </c>
      <c r="L163" s="18" t="n">
        <v>2789</v>
      </c>
      <c r="M163" s="20" t="n">
        <v>4.41</v>
      </c>
      <c r="N163" s="18">
        <f>ROUND(L163/M163, 0)</f>
        <v/>
      </c>
      <c r="O163" s="18">
        <f>ROUND(N163*'Methodology &amp; Assumptions'!$B$8, 0)</f>
        <v/>
      </c>
      <c r="P163" s="8" t="inlineStr">
        <is>
          <t>Band n50 (1.5 GHz, 60 MHz)</t>
        </is>
      </c>
      <c r="Q163" s="38">
        <f>ROUNDUP(O163/'Methodology &amp; Assumptions'!$B$9, 0)</f>
        <v/>
      </c>
      <c r="R163" s="39" t="n">
        <v>1</v>
      </c>
      <c r="S163" s="21" t="n">
        <v>1.44</v>
      </c>
      <c r="T163" s="21" t="n">
        <v>0.1</v>
      </c>
      <c r="U163" s="36" t="inlineStr">
        <is>
          <t>Tier 1B (Micro Drop, 1-3 km)</t>
        </is>
      </c>
      <c r="V163" s="20" t="n">
        <v>71.90000000000001</v>
      </c>
      <c r="W163" s="20" t="n">
        <v>70.7</v>
      </c>
      <c r="X163" s="20" t="n">
        <v>58</v>
      </c>
      <c r="Y163" s="40">
        <f>ROUND((V163*'Methodology &amp; Assumptions'!$B$6)+(W163*'Methodology &amp; Assumptions'!$B$5)+(X163*'Methodology &amp; Assumptions'!$B$7), 2)</f>
        <v/>
      </c>
    </row>
    <row r="164" ht="19" customHeight="1">
      <c r="A164" s="41" t="n">
        <v>160</v>
      </c>
      <c r="B164" s="41" t="n">
        <v>3160</v>
      </c>
      <c r="C164" s="42" t="inlineStr">
        <is>
          <t>0103311015</t>
        </is>
      </c>
      <c r="D164" s="42" t="inlineStr">
        <is>
          <t>Region I (Ilocos Region)</t>
        </is>
      </c>
      <c r="E164" s="42" t="inlineStr">
        <is>
          <t>La Union</t>
        </is>
      </c>
      <c r="F164" s="42" t="inlineStr">
        <is>
          <t>Naguilian</t>
        </is>
      </c>
      <c r="G164" s="42" t="inlineStr">
        <is>
          <t>Cabaritan Sur</t>
        </is>
      </c>
      <c r="H164" s="43" t="n">
        <v>16.534152</v>
      </c>
      <c r="I164" s="43" t="n">
        <v>120.391826</v>
      </c>
      <c r="J164" s="44" t="inlineStr">
        <is>
          <t>R</t>
        </is>
      </c>
      <c r="K164" s="42" t="inlineStr">
        <is>
          <t>Class 1-3 / Urban</t>
        </is>
      </c>
      <c r="L164" s="23" t="n">
        <v>2040</v>
      </c>
      <c r="M164" s="24" t="n">
        <v>4.42</v>
      </c>
      <c r="N164" s="23">
        <f>ROUND(L164/M164, 0)</f>
        <v/>
      </c>
      <c r="O164" s="23">
        <f>ROUND(N164*'Methodology &amp; Assumptions'!$B$8, 0)</f>
        <v/>
      </c>
      <c r="P164" s="44" t="inlineStr">
        <is>
          <t>Band n50 (1.5 GHz, 60 MHz)</t>
        </is>
      </c>
      <c r="Q164" s="38">
        <f>ROUNDUP(O164/'Methodology &amp; Assumptions'!$B$9, 0)</f>
        <v/>
      </c>
      <c r="R164" s="39" t="n">
        <v>1</v>
      </c>
      <c r="S164" s="25" t="n">
        <v>1.01</v>
      </c>
      <c r="T164" s="25" t="n">
        <v>0.39</v>
      </c>
      <c r="U164" s="42" t="inlineStr">
        <is>
          <t>Tier 1B (Micro Drop, 1-3 km)</t>
        </is>
      </c>
      <c r="V164" s="24" t="n">
        <v>81.5</v>
      </c>
      <c r="W164" s="24" t="n">
        <v>61.1</v>
      </c>
      <c r="X164" s="24" t="n">
        <v>58</v>
      </c>
      <c r="Y164" s="45">
        <f>ROUND((V164*'Methodology &amp; Assumptions'!$B$6)+(W164*'Methodology &amp; Assumptions'!$B$5)+(X164*'Methodology &amp; Assumptions'!$B$7), 2)</f>
        <v/>
      </c>
    </row>
    <row r="165" ht="19" customHeight="1">
      <c r="A165" s="35" t="n">
        <v>161</v>
      </c>
      <c r="B165" s="35" t="n">
        <v>3161</v>
      </c>
      <c r="C165" s="36" t="inlineStr">
        <is>
          <t>0103305018</t>
        </is>
      </c>
      <c r="D165" s="36" t="inlineStr">
        <is>
          <t>Region I (Ilocos Region)</t>
        </is>
      </c>
      <c r="E165" s="36" t="inlineStr">
        <is>
          <t>La Union</t>
        </is>
      </c>
      <c r="F165" s="36" t="inlineStr">
        <is>
          <t>Balaoan</t>
        </is>
      </c>
      <c r="G165" s="36" t="inlineStr">
        <is>
          <t>Nagsabaran Norte</t>
        </is>
      </c>
      <c r="H165" s="37" t="n">
        <v>16.816253</v>
      </c>
      <c r="I165" s="37" t="n">
        <v>120.398809</v>
      </c>
      <c r="J165" s="8" t="inlineStr">
        <is>
          <t>R</t>
        </is>
      </c>
      <c r="K165" s="36" t="inlineStr">
        <is>
          <t>Class 1-3 / Urban</t>
        </is>
      </c>
      <c r="L165" s="18" t="n">
        <v>1536</v>
      </c>
      <c r="M165" s="20" t="n">
        <v>4.42</v>
      </c>
      <c r="N165" s="18">
        <f>ROUND(L165/M165, 0)</f>
        <v/>
      </c>
      <c r="O165" s="18">
        <f>ROUND(N165*'Methodology &amp; Assumptions'!$B$8, 0)</f>
        <v/>
      </c>
      <c r="P165" s="8" t="inlineStr">
        <is>
          <t>Band n50 (1.5 GHz, 60 MHz)</t>
        </is>
      </c>
      <c r="Q165" s="38">
        <f>ROUNDUP(O165/'Methodology &amp; Assumptions'!$B$9, 0)</f>
        <v/>
      </c>
      <c r="R165" s="39" t="n">
        <v>1</v>
      </c>
      <c r="S165" s="21" t="n">
        <v>0.64</v>
      </c>
      <c r="T165" s="21" t="n">
        <v>0.32</v>
      </c>
      <c r="U165" s="36" t="inlineStr">
        <is>
          <t>Tier 1A (Direct Coloc, &lt;1 km)</t>
        </is>
      </c>
      <c r="V165" s="20" t="n">
        <v>90.8</v>
      </c>
      <c r="W165" s="20" t="n">
        <v>51.7</v>
      </c>
      <c r="X165" s="20" t="n">
        <v>58</v>
      </c>
      <c r="Y165" s="40">
        <f>ROUND((V165*'Methodology &amp; Assumptions'!$B$6)+(W165*'Methodology &amp; Assumptions'!$B$5)+(X165*'Methodology &amp; Assumptions'!$B$7), 2)</f>
        <v/>
      </c>
    </row>
    <row r="166" ht="19" customHeight="1">
      <c r="A166" s="41" t="n">
        <v>162</v>
      </c>
      <c r="B166" s="41" t="n">
        <v>3162</v>
      </c>
      <c r="C166" s="42" t="inlineStr">
        <is>
          <t>1004308073</t>
        </is>
      </c>
      <c r="D166" s="42" t="inlineStr">
        <is>
          <t>Region X (Northern Mindanao)</t>
        </is>
      </c>
      <c r="E166" s="42" t="inlineStr">
        <is>
          <t>Misamis Oriental</t>
        </is>
      </c>
      <c r="F166" s="42" t="inlineStr">
        <is>
          <t>City of Gingoog</t>
        </is>
      </c>
      <c r="G166" s="42" t="inlineStr">
        <is>
          <t>Barangay 18</t>
        </is>
      </c>
      <c r="H166" s="43" t="n">
        <v>8.829917</v>
      </c>
      <c r="I166" s="43" t="n">
        <v>125.104156</v>
      </c>
      <c r="J166" s="44" t="inlineStr">
        <is>
          <t>R</t>
        </is>
      </c>
      <c r="K166" s="42" t="inlineStr">
        <is>
          <t>Class 1-3 / Urban</t>
        </is>
      </c>
      <c r="L166" s="23" t="n">
        <v>1387</v>
      </c>
      <c r="M166" s="24" t="n">
        <v>4.54</v>
      </c>
      <c r="N166" s="23">
        <f>ROUND(L166/M166, 0)</f>
        <v/>
      </c>
      <c r="O166" s="23">
        <f>ROUND(N166*'Methodology &amp; Assumptions'!$B$8, 0)</f>
        <v/>
      </c>
      <c r="P166" s="44" t="inlineStr">
        <is>
          <t>Band n50 (1.5 GHz, 60 MHz)</t>
        </is>
      </c>
      <c r="Q166" s="38">
        <f>ROUNDUP(O166/'Methodology &amp; Assumptions'!$B$9, 0)</f>
        <v/>
      </c>
      <c r="R166" s="39" t="n">
        <v>1</v>
      </c>
      <c r="S166" s="25" t="n">
        <v>0.52</v>
      </c>
      <c r="T166" s="25" t="n">
        <v>0.51</v>
      </c>
      <c r="U166" s="42" t="inlineStr">
        <is>
          <t>Tier 1A (Direct Coloc, &lt;1 km)</t>
        </is>
      </c>
      <c r="V166" s="24" t="n">
        <v>94</v>
      </c>
      <c r="W166" s="24" t="n">
        <v>48.5</v>
      </c>
      <c r="X166" s="24" t="n">
        <v>58</v>
      </c>
      <c r="Y166" s="45">
        <f>ROUND((V166*'Methodology &amp; Assumptions'!$B$6)+(W166*'Methodology &amp; Assumptions'!$B$5)+(X166*'Methodology &amp; Assumptions'!$B$7), 2)</f>
        <v/>
      </c>
    </row>
    <row r="167" ht="19" customHeight="1">
      <c r="A167" s="35" t="n">
        <v>163</v>
      </c>
      <c r="B167" s="35" t="n">
        <v>3163</v>
      </c>
      <c r="C167" s="36" t="inlineStr">
        <is>
          <t>1430300050</t>
        </is>
      </c>
      <c r="D167" s="36" t="inlineStr">
        <is>
          <t>Cordillera Administrative Region (CAR)</t>
        </is>
      </c>
      <c r="E167" s="36" t="inlineStr">
        <is>
          <t>Benguet</t>
        </is>
      </c>
      <c r="F167" s="36" t="inlineStr">
        <is>
          <t>City of Baguio</t>
        </is>
      </c>
      <c r="G167" s="36" t="inlineStr">
        <is>
          <t>Irisan</t>
        </is>
      </c>
      <c r="H167" s="37" t="n">
        <v>16.42053</v>
      </c>
      <c r="I167" s="37" t="n">
        <v>120.55769</v>
      </c>
      <c r="J167" s="8" t="inlineStr">
        <is>
          <t>U</t>
        </is>
      </c>
      <c r="K167" s="36" t="inlineStr">
        <is>
          <t>Class 1-3 / Urban</t>
        </is>
      </c>
      <c r="L167" s="18" t="n">
        <v>36562</v>
      </c>
      <c r="M167" s="20" t="n">
        <v>4.58</v>
      </c>
      <c r="N167" s="18">
        <f>ROUND(L167/M167, 0)</f>
        <v/>
      </c>
      <c r="O167" s="18">
        <f>ROUND(N167*'Methodology &amp; Assumptions'!$B$8, 0)</f>
        <v/>
      </c>
      <c r="P167" s="8" t="inlineStr">
        <is>
          <t>Band n50 (1.5 GHz, 60 MHz)</t>
        </is>
      </c>
      <c r="Q167" s="38">
        <f>ROUNDUP(O167/'Methodology &amp; Assumptions'!$B$9, 0)</f>
        <v/>
      </c>
      <c r="R167" s="39" t="n">
        <v>1</v>
      </c>
      <c r="S167" s="21" t="n">
        <v>1.36</v>
      </c>
      <c r="T167" s="21" t="n">
        <v>0.33</v>
      </c>
      <c r="U167" s="36" t="inlineStr">
        <is>
          <t>Tier 1B (Micro Drop, 1-3 km)</t>
        </is>
      </c>
      <c r="V167" s="20" t="n">
        <v>73.5</v>
      </c>
      <c r="W167" s="20" t="n">
        <v>94.8</v>
      </c>
      <c r="X167" s="20" t="n">
        <v>28</v>
      </c>
      <c r="Y167" s="40">
        <f>ROUND((V167*'Methodology &amp; Assumptions'!$B$6)+(W167*'Methodology &amp; Assumptions'!$B$5)+(X167*'Methodology &amp; Assumptions'!$B$7), 2)</f>
        <v/>
      </c>
    </row>
    <row r="168" ht="19" customHeight="1">
      <c r="A168" s="41" t="n">
        <v>164</v>
      </c>
      <c r="B168" s="41" t="n">
        <v>3164</v>
      </c>
      <c r="C168" s="42" t="inlineStr">
        <is>
          <t>0306904008</t>
        </is>
      </c>
      <c r="D168" s="42" t="inlineStr">
        <is>
          <t>Region III (Central Luzon)</t>
        </is>
      </c>
      <c r="E168" s="42" t="inlineStr">
        <is>
          <t>Tarlac</t>
        </is>
      </c>
      <c r="F168" s="42" t="inlineStr">
        <is>
          <t>Capas</t>
        </is>
      </c>
      <c r="G168" s="42" t="inlineStr">
        <is>
          <t>Estrada</t>
        </is>
      </c>
      <c r="H168" s="43" t="n">
        <v>15.399235</v>
      </c>
      <c r="I168" s="43" t="n">
        <v>120.599198</v>
      </c>
      <c r="J168" s="44" t="inlineStr">
        <is>
          <t>U</t>
        </is>
      </c>
      <c r="K168" s="42" t="inlineStr">
        <is>
          <t>Class 1-3 / Urban</t>
        </is>
      </c>
      <c r="L168" s="23" t="n">
        <v>4059</v>
      </c>
      <c r="M168" s="24" t="n">
        <v>4.3</v>
      </c>
      <c r="N168" s="23">
        <f>ROUND(L168/M168, 0)</f>
        <v/>
      </c>
      <c r="O168" s="23">
        <f>ROUND(N168*'Methodology &amp; Assumptions'!$B$8, 0)</f>
        <v/>
      </c>
      <c r="P168" s="44" t="inlineStr">
        <is>
          <t>Band n50 (1.5 GHz, 60 MHz)</t>
        </is>
      </c>
      <c r="Q168" s="38">
        <f>ROUNDUP(O168/'Methodology &amp; Assumptions'!$B$9, 0)</f>
        <v/>
      </c>
      <c r="R168" s="39" t="n">
        <v>1</v>
      </c>
      <c r="S168" s="25" t="n">
        <v>1.59</v>
      </c>
      <c r="T168" s="25" t="n">
        <v>0.1</v>
      </c>
      <c r="U168" s="42" t="inlineStr">
        <is>
          <t>Tier 1B (Micro Drop, 1-3 km)</t>
        </is>
      </c>
      <c r="V168" s="24" t="n">
        <v>68.8</v>
      </c>
      <c r="W168" s="24" t="n">
        <v>99.5</v>
      </c>
      <c r="X168" s="24" t="n">
        <v>28</v>
      </c>
      <c r="Y168" s="45">
        <f>ROUND((V168*'Methodology &amp; Assumptions'!$B$6)+(W168*'Methodology &amp; Assumptions'!$B$5)+(X168*'Methodology &amp; Assumptions'!$B$7), 2)</f>
        <v/>
      </c>
    </row>
    <row r="169" ht="19" customHeight="1">
      <c r="A169" s="35" t="n">
        <v>165</v>
      </c>
      <c r="B169" s="35" t="n">
        <v>3165</v>
      </c>
      <c r="C169" s="36" t="inlineStr">
        <is>
          <t>0603037047</t>
        </is>
      </c>
      <c r="D169" s="36" t="inlineStr">
        <is>
          <t>Region VI (Western Visayas)</t>
        </is>
      </c>
      <c r="E169" s="36" t="inlineStr">
        <is>
          <t>Iloilo</t>
        </is>
      </c>
      <c r="F169" s="36" t="inlineStr">
        <is>
          <t>Pototan</t>
        </is>
      </c>
      <c r="G169" s="36" t="inlineStr">
        <is>
          <t>Rumbang</t>
        </is>
      </c>
      <c r="H169" s="37" t="n">
        <v>10.932054</v>
      </c>
      <c r="I169" s="37" t="n">
        <v>122.632856</v>
      </c>
      <c r="J169" s="8" t="inlineStr">
        <is>
          <t>R</t>
        </is>
      </c>
      <c r="K169" s="36" t="inlineStr">
        <is>
          <t>Class 1-3 / Urban</t>
        </is>
      </c>
      <c r="L169" s="18" t="n">
        <v>2949</v>
      </c>
      <c r="M169" s="20" t="n">
        <v>4.39</v>
      </c>
      <c r="N169" s="18">
        <f>ROUND(L169/M169, 0)</f>
        <v/>
      </c>
      <c r="O169" s="18">
        <f>ROUND(N169*'Methodology &amp; Assumptions'!$B$8, 0)</f>
        <v/>
      </c>
      <c r="P169" s="8" t="inlineStr">
        <is>
          <t>Band n50 (1.5 GHz, 60 MHz)</t>
        </is>
      </c>
      <c r="Q169" s="38">
        <f>ROUNDUP(O169/'Methodology &amp; Assumptions'!$B$9, 0)</f>
        <v/>
      </c>
      <c r="R169" s="39" t="n">
        <v>1</v>
      </c>
      <c r="S169" s="21" t="n">
        <v>1.81</v>
      </c>
      <c r="T169" s="21" t="n">
        <v>0.03</v>
      </c>
      <c r="U169" s="36" t="inlineStr">
        <is>
          <t>Tier 1B (Micro Drop, 1-3 km)</t>
        </is>
      </c>
      <c r="V169" s="20" t="n">
        <v>64.7</v>
      </c>
      <c r="W169" s="20" t="n">
        <v>77.90000000000001</v>
      </c>
      <c r="X169" s="20" t="n">
        <v>58</v>
      </c>
      <c r="Y169" s="40">
        <f>ROUND((V169*'Methodology &amp; Assumptions'!$B$6)+(W169*'Methodology &amp; Assumptions'!$B$5)+(X169*'Methodology &amp; Assumptions'!$B$7), 2)</f>
        <v/>
      </c>
    </row>
    <row r="170" ht="19" customHeight="1">
      <c r="A170" s="41" t="n">
        <v>166</v>
      </c>
      <c r="B170" s="41" t="n">
        <v>3166</v>
      </c>
      <c r="C170" s="42" t="inlineStr">
        <is>
          <t>0205004020</t>
        </is>
      </c>
      <c r="D170" s="42" t="inlineStr">
        <is>
          <t>Region II (Cagayan Valley)</t>
        </is>
      </c>
      <c r="E170" s="42" t="inlineStr">
        <is>
          <t>Nueva Vizcaya</t>
        </is>
      </c>
      <c r="F170" s="42" t="inlineStr">
        <is>
          <t>Bambang</t>
        </is>
      </c>
      <c r="G170" s="42" t="inlineStr">
        <is>
          <t>San Antonio North</t>
        </is>
      </c>
      <c r="H170" s="43" t="n">
        <v>16.362081</v>
      </c>
      <c r="I170" s="43" t="n">
        <v>121.106077</v>
      </c>
      <c r="J170" s="44" t="inlineStr">
        <is>
          <t>R</t>
        </is>
      </c>
      <c r="K170" s="42" t="inlineStr">
        <is>
          <t>Class 1-3 / Urban</t>
        </is>
      </c>
      <c r="L170" s="23" t="n">
        <v>2294</v>
      </c>
      <c r="M170" s="24" t="n">
        <v>4.19</v>
      </c>
      <c r="N170" s="23">
        <f>ROUND(L170/M170, 0)</f>
        <v/>
      </c>
      <c r="O170" s="23">
        <f>ROUND(N170*'Methodology &amp; Assumptions'!$B$8, 0)</f>
        <v/>
      </c>
      <c r="P170" s="44" t="inlineStr">
        <is>
          <t>Band n50 (1.5 GHz, 60 MHz)</t>
        </is>
      </c>
      <c r="Q170" s="38">
        <f>ROUNDUP(O170/'Methodology &amp; Assumptions'!$B$9, 0)</f>
        <v/>
      </c>
      <c r="R170" s="39" t="n">
        <v>1</v>
      </c>
      <c r="S170" s="25" t="n">
        <v>1.3</v>
      </c>
      <c r="T170" s="25" t="n">
        <v>0.88</v>
      </c>
      <c r="U170" s="42" t="inlineStr">
        <is>
          <t>Tier 1B (Micro Drop, 1-3 km)</t>
        </is>
      </c>
      <c r="V170" s="24" t="n">
        <v>74.8</v>
      </c>
      <c r="W170" s="24" t="n">
        <v>67.7</v>
      </c>
      <c r="X170" s="24" t="n">
        <v>58</v>
      </c>
      <c r="Y170" s="45">
        <f>ROUND((V170*'Methodology &amp; Assumptions'!$B$6)+(W170*'Methodology &amp; Assumptions'!$B$5)+(X170*'Methodology &amp; Assumptions'!$B$7), 2)</f>
        <v/>
      </c>
    </row>
    <row r="171" ht="19" customHeight="1">
      <c r="A171" s="35" t="n">
        <v>167</v>
      </c>
      <c r="B171" s="35" t="n">
        <v>3167</v>
      </c>
      <c r="C171" s="36" t="inlineStr">
        <is>
          <t>0401024016</t>
        </is>
      </c>
      <c r="D171" s="36" t="inlineStr">
        <is>
          <t>Region IV-A (CALABARZON)</t>
        </is>
      </c>
      <c r="E171" s="36" t="inlineStr">
        <is>
          <t>Batangas</t>
        </is>
      </c>
      <c r="F171" s="36" t="inlineStr">
        <is>
          <t>San Luis</t>
        </is>
      </c>
      <c r="G171" s="36" t="inlineStr">
        <is>
          <t>Muzon</t>
        </is>
      </c>
      <c r="H171" s="37" t="n">
        <v>13.849918</v>
      </c>
      <c r="I171" s="37" t="n">
        <v>120.990142</v>
      </c>
      <c r="J171" s="8" t="inlineStr">
        <is>
          <t>R</t>
        </is>
      </c>
      <c r="K171" s="36" t="inlineStr">
        <is>
          <t>3rd</t>
        </is>
      </c>
      <c r="L171" s="18" t="n">
        <v>2214</v>
      </c>
      <c r="M171" s="20" t="n">
        <v>4.5</v>
      </c>
      <c r="N171" s="18">
        <f>ROUND(L171/M171, 0)</f>
        <v/>
      </c>
      <c r="O171" s="18">
        <f>ROUND(N171*'Methodology &amp; Assumptions'!$B$8, 0)</f>
        <v/>
      </c>
      <c r="P171" s="8" t="inlineStr">
        <is>
          <t>Band n50 (1.5 GHz, 60 MHz)</t>
        </is>
      </c>
      <c r="Q171" s="38">
        <f>ROUNDUP(O171/'Methodology &amp; Assumptions'!$B$9, 0)</f>
        <v/>
      </c>
      <c r="R171" s="39" t="n">
        <v>1</v>
      </c>
      <c r="S171" s="21" t="n">
        <v>1.11</v>
      </c>
      <c r="T171" s="21" t="n">
        <v>0.15</v>
      </c>
      <c r="U171" s="36" t="inlineStr">
        <is>
          <t>Tier 1B (Micro Drop, 1-3 km)</t>
        </is>
      </c>
      <c r="V171" s="20" t="n">
        <v>79.09999999999999</v>
      </c>
      <c r="W171" s="20" t="n">
        <v>63.5</v>
      </c>
      <c r="X171" s="20" t="n">
        <v>58</v>
      </c>
      <c r="Y171" s="40">
        <f>ROUND((V171*'Methodology &amp; Assumptions'!$B$6)+(W171*'Methodology &amp; Assumptions'!$B$5)+(X171*'Methodology &amp; Assumptions'!$B$7), 2)</f>
        <v/>
      </c>
    </row>
    <row r="172" ht="19" customHeight="1">
      <c r="A172" s="41" t="n">
        <v>168</v>
      </c>
      <c r="B172" s="41" t="n">
        <v>3168</v>
      </c>
      <c r="C172" s="42" t="inlineStr">
        <is>
          <t>1030900030</t>
        </is>
      </c>
      <c r="D172" s="42" t="inlineStr">
        <is>
          <t>Region X (Northern Mindanao)</t>
        </is>
      </c>
      <c r="E172" s="42" t="inlineStr">
        <is>
          <t>Lanao del Norte</t>
        </is>
      </c>
      <c r="F172" s="42" t="inlineStr">
        <is>
          <t>City of Iligan</t>
        </is>
      </c>
      <c r="G172" s="42" t="inlineStr">
        <is>
          <t>Tubod</t>
        </is>
      </c>
      <c r="H172" s="43" t="n">
        <v>8.213903</v>
      </c>
      <c r="I172" s="43" t="n">
        <v>124.242456</v>
      </c>
      <c r="J172" s="44" t="inlineStr">
        <is>
          <t>U</t>
        </is>
      </c>
      <c r="K172" s="42" t="inlineStr">
        <is>
          <t>Class 1-3 / Urban</t>
        </is>
      </c>
      <c r="L172" s="23" t="n">
        <v>33243</v>
      </c>
      <c r="M172" s="24" t="n">
        <v>5.12</v>
      </c>
      <c r="N172" s="23">
        <f>ROUND(L172/M172, 0)</f>
        <v/>
      </c>
      <c r="O172" s="23">
        <f>ROUND(N172*'Methodology &amp; Assumptions'!$B$8, 0)</f>
        <v/>
      </c>
      <c r="P172" s="44" t="inlineStr">
        <is>
          <t>Band n50 (1.5 GHz, 60 MHz)</t>
        </is>
      </c>
      <c r="Q172" s="38">
        <f>ROUNDUP(O172/'Methodology &amp; Assumptions'!$B$9, 0)</f>
        <v/>
      </c>
      <c r="R172" s="39" t="n">
        <v>1</v>
      </c>
      <c r="S172" s="25" t="n">
        <v>1.62</v>
      </c>
      <c r="T172" s="25" t="n">
        <v>0.54</v>
      </c>
      <c r="U172" s="42" t="inlineStr">
        <is>
          <t>Tier 1B (Micro Drop, 1-3 km)</t>
        </is>
      </c>
      <c r="V172" s="24" t="n">
        <v>68.2</v>
      </c>
      <c r="W172" s="24" t="n">
        <v>100</v>
      </c>
      <c r="X172" s="24" t="n">
        <v>28</v>
      </c>
      <c r="Y172" s="45">
        <f>ROUND((V172*'Methodology &amp; Assumptions'!$B$6)+(W172*'Methodology &amp; Assumptions'!$B$5)+(X172*'Methodology &amp; Assumptions'!$B$7), 2)</f>
        <v/>
      </c>
    </row>
    <row r="173" ht="19" customHeight="1">
      <c r="A173" s="35" t="n">
        <v>169</v>
      </c>
      <c r="B173" s="35" t="n">
        <v>3169</v>
      </c>
      <c r="C173" s="36" t="inlineStr">
        <is>
          <t>1102509020</t>
        </is>
      </c>
      <c r="D173" s="36" t="inlineStr">
        <is>
          <t>Region XI (Davao Region)</t>
        </is>
      </c>
      <c r="E173" s="36" t="inlineStr">
        <is>
          <t>Davao Oriental</t>
        </is>
      </c>
      <c r="F173" s="36" t="inlineStr">
        <is>
          <t>City of Mati</t>
        </is>
      </c>
      <c r="G173" s="36" t="inlineStr">
        <is>
          <t>Matiao</t>
        </is>
      </c>
      <c r="H173" s="37" t="n">
        <v>6.966899</v>
      </c>
      <c r="I173" s="37" t="n">
        <v>126.222399</v>
      </c>
      <c r="J173" s="8" t="inlineStr">
        <is>
          <t>U</t>
        </is>
      </c>
      <c r="K173" s="36" t="inlineStr">
        <is>
          <t>Class 1-3 / Urban</t>
        </is>
      </c>
      <c r="L173" s="18" t="n">
        <v>16234</v>
      </c>
      <c r="M173" s="20" t="n">
        <v>4.1</v>
      </c>
      <c r="N173" s="18">
        <f>ROUND(L173/M173, 0)</f>
        <v/>
      </c>
      <c r="O173" s="18">
        <f>ROUND(N173*'Methodology &amp; Assumptions'!$B$8, 0)</f>
        <v/>
      </c>
      <c r="P173" s="8" t="inlineStr">
        <is>
          <t>Band n50 (1.5 GHz, 60 MHz)</t>
        </is>
      </c>
      <c r="Q173" s="38">
        <f>ROUNDUP(O173/'Methodology &amp; Assumptions'!$B$9, 0)</f>
        <v/>
      </c>
      <c r="R173" s="39" t="n">
        <v>1</v>
      </c>
      <c r="S173" s="21" t="n">
        <v>1.62</v>
      </c>
      <c r="T173" s="21" t="n">
        <v>1.45</v>
      </c>
      <c r="U173" s="36" t="inlineStr">
        <is>
          <t>Tier 1B (Micro Drop, 1-3 km)</t>
        </is>
      </c>
      <c r="V173" s="20" t="n">
        <v>68.2</v>
      </c>
      <c r="W173" s="20" t="n">
        <v>100</v>
      </c>
      <c r="X173" s="20" t="n">
        <v>28</v>
      </c>
      <c r="Y173" s="40">
        <f>ROUND((V173*'Methodology &amp; Assumptions'!$B$6)+(W173*'Methodology &amp; Assumptions'!$B$5)+(X173*'Methodology &amp; Assumptions'!$B$7), 2)</f>
        <v/>
      </c>
    </row>
    <row r="174" ht="19" customHeight="1">
      <c r="A174" s="41" t="n">
        <v>170</v>
      </c>
      <c r="B174" s="41" t="n">
        <v>3170</v>
      </c>
      <c r="C174" s="42" t="inlineStr">
        <is>
          <t>0402109030</t>
        </is>
      </c>
      <c r="D174" s="42" t="inlineStr">
        <is>
          <t>Region IV-A (CALABARZON)</t>
        </is>
      </c>
      <c r="E174" s="42" t="inlineStr">
        <is>
          <t>Cavite</t>
        </is>
      </c>
      <c r="F174" s="42" t="inlineStr">
        <is>
          <t>City of Imus</t>
        </is>
      </c>
      <c r="G174" s="42" t="inlineStr">
        <is>
          <t>Anabu I-C</t>
        </is>
      </c>
      <c r="H174" s="43" t="n">
        <v>14.396777</v>
      </c>
      <c r="I174" s="43" t="n">
        <v>120.942123</v>
      </c>
      <c r="J174" s="44" t="inlineStr">
        <is>
          <t>U</t>
        </is>
      </c>
      <c r="K174" s="42" t="inlineStr">
        <is>
          <t>Class 1-3 / Urban</t>
        </is>
      </c>
      <c r="L174" s="23" t="n">
        <v>7362</v>
      </c>
      <c r="M174" s="24" t="n">
        <v>4.49</v>
      </c>
      <c r="N174" s="23">
        <f>ROUND(L174/M174, 0)</f>
        <v/>
      </c>
      <c r="O174" s="23">
        <f>ROUND(N174*'Methodology &amp; Assumptions'!$B$8, 0)</f>
        <v/>
      </c>
      <c r="P174" s="44" t="inlineStr">
        <is>
          <t>Band n50 (1.5 GHz, 60 MHz)</t>
        </is>
      </c>
      <c r="Q174" s="38">
        <f>ROUNDUP(O174/'Methodology &amp; Assumptions'!$B$9, 0)</f>
        <v/>
      </c>
      <c r="R174" s="39" t="n">
        <v>1</v>
      </c>
      <c r="S174" s="25" t="n">
        <v>1.15</v>
      </c>
      <c r="T174" s="25" t="n">
        <v>5.52</v>
      </c>
      <c r="U174" s="42" t="inlineStr">
        <is>
          <t>Tier 1B (Micro Drop, 1-3 km)</t>
        </is>
      </c>
      <c r="V174" s="24" t="n">
        <v>68.2</v>
      </c>
      <c r="W174" s="24" t="n">
        <v>100</v>
      </c>
      <c r="X174" s="24" t="n">
        <v>28</v>
      </c>
      <c r="Y174" s="45">
        <f>ROUND((V174*'Methodology &amp; Assumptions'!$B$6)+(W174*'Methodology &amp; Assumptions'!$B$5)+(X174*'Methodology &amp; Assumptions'!$B$7), 2)</f>
        <v/>
      </c>
    </row>
    <row r="175" ht="19" customHeight="1">
      <c r="A175" s="35" t="n">
        <v>171</v>
      </c>
      <c r="B175" s="35" t="n">
        <v>3171</v>
      </c>
      <c r="C175" s="36" t="inlineStr">
        <is>
          <t>0500517007</t>
        </is>
      </c>
      <c r="D175" s="36" t="inlineStr">
        <is>
          <t>Region V (Bicol Region)</t>
        </is>
      </c>
      <c r="E175" s="36" t="inlineStr">
        <is>
          <t>Albay</t>
        </is>
      </c>
      <c r="F175" s="36" t="inlineStr">
        <is>
          <t>City of Tabaco</t>
        </is>
      </c>
      <c r="G175" s="36" t="inlineStr">
        <is>
          <t>Basud</t>
        </is>
      </c>
      <c r="H175" s="37" t="n">
        <v>13.35408</v>
      </c>
      <c r="I175" s="37" t="n">
        <v>123.728098</v>
      </c>
      <c r="J175" s="8" t="inlineStr">
        <is>
          <t>U</t>
        </is>
      </c>
      <c r="K175" s="36" t="inlineStr">
        <is>
          <t>Class 1-3 / Urban</t>
        </is>
      </c>
      <c r="L175" s="18" t="n">
        <v>2688</v>
      </c>
      <c r="M175" s="20" t="n">
        <v>4.67</v>
      </c>
      <c r="N175" s="18">
        <f>ROUND(L175/M175, 0)</f>
        <v/>
      </c>
      <c r="O175" s="18">
        <f>ROUND(N175*'Methodology &amp; Assumptions'!$B$8, 0)</f>
        <v/>
      </c>
      <c r="P175" s="8" t="inlineStr">
        <is>
          <t>Band n50 (1.5 GHz, 60 MHz)</t>
        </is>
      </c>
      <c r="Q175" s="38">
        <f>ROUNDUP(O175/'Methodology &amp; Assumptions'!$B$9, 0)</f>
        <v/>
      </c>
      <c r="R175" s="39" t="n">
        <v>1</v>
      </c>
      <c r="S175" s="21" t="n">
        <v>0.38</v>
      </c>
      <c r="T175" s="21" t="n">
        <v>0.33</v>
      </c>
      <c r="U175" s="36" t="inlineStr">
        <is>
          <t>Tier 1A (Direct Coloc, &lt;1 km)</t>
        </is>
      </c>
      <c r="V175" s="20" t="n">
        <v>98.09999999999999</v>
      </c>
      <c r="W175" s="20" t="n">
        <v>70.09999999999999</v>
      </c>
      <c r="X175" s="20" t="n">
        <v>28</v>
      </c>
      <c r="Y175" s="40">
        <f>ROUND((V175*'Methodology &amp; Assumptions'!$B$6)+(W175*'Methodology &amp; Assumptions'!$B$5)+(X175*'Methodology &amp; Assumptions'!$B$7), 2)</f>
        <v/>
      </c>
    </row>
    <row r="176" ht="19" customHeight="1">
      <c r="A176" s="41" t="n">
        <v>172</v>
      </c>
      <c r="B176" s="41" t="n">
        <v>3172</v>
      </c>
      <c r="C176" s="42" t="inlineStr">
        <is>
          <t>0201524002</t>
        </is>
      </c>
      <c r="D176" s="42" t="inlineStr">
        <is>
          <t>Region II (Cagayan Valley)</t>
        </is>
      </c>
      <c r="E176" s="42" t="inlineStr">
        <is>
          <t>Cagayan</t>
        </is>
      </c>
      <c r="F176" s="42" t="inlineStr">
        <is>
          <t>Santa Praxedes</t>
        </is>
      </c>
      <c r="G176" s="42" t="inlineStr">
        <is>
          <t>Capacuan</t>
        </is>
      </c>
      <c r="H176" s="43" t="n">
        <v>18.553893</v>
      </c>
      <c r="I176" s="43" t="n">
        <v>120.996731</v>
      </c>
      <c r="J176" s="44" t="inlineStr">
        <is>
          <t>R</t>
        </is>
      </c>
      <c r="K176" s="42" t="inlineStr">
        <is>
          <t>5th</t>
        </is>
      </c>
      <c r="L176" s="23" t="n">
        <v>550</v>
      </c>
      <c r="M176" s="24" t="n">
        <v>4.23</v>
      </c>
      <c r="N176" s="23">
        <f>ROUND(L176/M176, 0)</f>
        <v/>
      </c>
      <c r="O176" s="23">
        <f>ROUND(N176*'Methodology &amp; Assumptions'!$B$8, 0)</f>
        <v/>
      </c>
      <c r="P176" s="44" t="inlineStr">
        <is>
          <t>Band n50 (1.5 GHz, 60 MHz)</t>
        </is>
      </c>
      <c r="Q176" s="38">
        <f>ROUNDUP(O176/'Methodology &amp; Assumptions'!$B$9, 0)</f>
        <v/>
      </c>
      <c r="R176" s="39" t="n">
        <v>1</v>
      </c>
      <c r="S176" s="25" t="n">
        <v>0.97</v>
      </c>
      <c r="T176" s="25" t="n">
        <v>0.02</v>
      </c>
      <c r="U176" s="42" t="inlineStr">
        <is>
          <t>Tier 1A (Direct Coloc, &lt;1 km)</t>
        </is>
      </c>
      <c r="V176" s="24" t="n">
        <v>82.40000000000001</v>
      </c>
      <c r="W176" s="24" t="n">
        <v>34.4</v>
      </c>
      <c r="X176" s="24" t="n">
        <v>88</v>
      </c>
      <c r="Y176" s="45">
        <f>ROUND((V176*'Methodology &amp; Assumptions'!$B$6)+(W176*'Methodology &amp; Assumptions'!$B$5)+(X176*'Methodology &amp; Assumptions'!$B$7), 2)</f>
        <v/>
      </c>
    </row>
    <row r="177" ht="19" customHeight="1">
      <c r="A177" s="35" t="n">
        <v>173</v>
      </c>
      <c r="B177" s="35" t="n">
        <v>3173</v>
      </c>
      <c r="C177" s="36" t="inlineStr">
        <is>
          <t>0501715028</t>
        </is>
      </c>
      <c r="D177" s="36" t="inlineStr">
        <is>
          <t>Region V (Bicol Region)</t>
        </is>
      </c>
      <c r="E177" s="36" t="inlineStr">
        <is>
          <t>Camarines Sur</t>
        </is>
      </c>
      <c r="F177" s="36" t="inlineStr">
        <is>
          <t>Goa</t>
        </is>
      </c>
      <c r="G177" s="36" t="inlineStr">
        <is>
          <t>San Juan Bautista</t>
        </is>
      </c>
      <c r="H177" s="37" t="n">
        <v>13.69602</v>
      </c>
      <c r="I177" s="37" t="n">
        <v>123.484476</v>
      </c>
      <c r="J177" s="8" t="inlineStr">
        <is>
          <t>R</t>
        </is>
      </c>
      <c r="K177" s="36" t="inlineStr">
        <is>
          <t>Class 1-3 / Urban</t>
        </is>
      </c>
      <c r="L177" s="18" t="n">
        <v>1300</v>
      </c>
      <c r="M177" s="20" t="n">
        <v>4.9</v>
      </c>
      <c r="N177" s="18">
        <f>ROUND(L177/M177, 0)</f>
        <v/>
      </c>
      <c r="O177" s="18">
        <f>ROUND(N177*'Methodology &amp; Assumptions'!$B$8, 0)</f>
        <v/>
      </c>
      <c r="P177" s="8" t="inlineStr">
        <is>
          <t>Band n50 (1.5 GHz, 60 MHz)</t>
        </is>
      </c>
      <c r="Q177" s="38">
        <f>ROUNDUP(O177/'Methodology &amp; Assumptions'!$B$9, 0)</f>
        <v/>
      </c>
      <c r="R177" s="39" t="n">
        <v>1</v>
      </c>
      <c r="S177" s="21" t="n">
        <v>0.41</v>
      </c>
      <c r="T177" s="21" t="n">
        <v>0.24</v>
      </c>
      <c r="U177" s="36" t="inlineStr">
        <is>
          <t>Tier 1A (Direct Coloc, &lt;1 km)</t>
        </is>
      </c>
      <c r="V177" s="20" t="n">
        <v>97.2</v>
      </c>
      <c r="W177" s="20" t="n">
        <v>45.3</v>
      </c>
      <c r="X177" s="20" t="n">
        <v>58</v>
      </c>
      <c r="Y177" s="40">
        <f>ROUND((V177*'Methodology &amp; Assumptions'!$B$6)+(W177*'Methodology &amp; Assumptions'!$B$5)+(X177*'Methodology &amp; Assumptions'!$B$7), 2)</f>
        <v/>
      </c>
    </row>
    <row r="178" ht="19" customHeight="1">
      <c r="A178" s="41" t="n">
        <v>174</v>
      </c>
      <c r="B178" s="41" t="n">
        <v>3174</v>
      </c>
      <c r="C178" s="42" t="inlineStr">
        <is>
          <t>0403413010</t>
        </is>
      </c>
      <c r="D178" s="42" t="inlineStr">
        <is>
          <t>Region IV-A (CALABARZON)</t>
        </is>
      </c>
      <c r="E178" s="42" t="inlineStr">
        <is>
          <t>Laguna</t>
        </is>
      </c>
      <c r="F178" s="42" t="inlineStr">
        <is>
          <t>Lumban</t>
        </is>
      </c>
      <c r="G178" s="42" t="inlineStr">
        <is>
          <t>Primera Parang</t>
        </is>
      </c>
      <c r="H178" s="43" t="n">
        <v>14.298287</v>
      </c>
      <c r="I178" s="43" t="n">
        <v>121.459158</v>
      </c>
      <c r="J178" s="44" t="inlineStr">
        <is>
          <t>R</t>
        </is>
      </c>
      <c r="K178" s="42" t="inlineStr">
        <is>
          <t>Class 1-3 / Urban</t>
        </is>
      </c>
      <c r="L178" s="23" t="n">
        <v>1040</v>
      </c>
      <c r="M178" s="24" t="n">
        <v>4.2</v>
      </c>
      <c r="N178" s="23">
        <f>ROUND(L178/M178, 0)</f>
        <v/>
      </c>
      <c r="O178" s="23">
        <f>ROUND(N178*'Methodology &amp; Assumptions'!$B$8, 0)</f>
        <v/>
      </c>
      <c r="P178" s="44" t="inlineStr">
        <is>
          <t>Band n50 (1.5 GHz, 60 MHz)</t>
        </is>
      </c>
      <c r="Q178" s="38">
        <f>ROUNDUP(O178/'Methodology &amp; Assumptions'!$B$9, 0)</f>
        <v/>
      </c>
      <c r="R178" s="39" t="n">
        <v>1</v>
      </c>
      <c r="S178" s="25" t="n">
        <v>0.36</v>
      </c>
      <c r="T178" s="25" t="n">
        <v>0.46</v>
      </c>
      <c r="U178" s="42" t="inlineStr">
        <is>
          <t>Tier 1A (Direct Coloc, &lt;1 km)</t>
        </is>
      </c>
      <c r="V178" s="24" t="n">
        <v>98.8</v>
      </c>
      <c r="W178" s="24" t="n">
        <v>43.7</v>
      </c>
      <c r="X178" s="24" t="n">
        <v>58</v>
      </c>
      <c r="Y178" s="45">
        <f>ROUND((V178*'Methodology &amp; Assumptions'!$B$6)+(W178*'Methodology &amp; Assumptions'!$B$5)+(X178*'Methodology &amp; Assumptions'!$B$7), 2)</f>
        <v/>
      </c>
    </row>
    <row r="179" ht="19" customHeight="1">
      <c r="A179" s="35" t="n">
        <v>175</v>
      </c>
      <c r="B179" s="35" t="n">
        <v>3175</v>
      </c>
      <c r="C179" s="36" t="inlineStr">
        <is>
          <t>0730600003</t>
        </is>
      </c>
      <c r="D179" s="36" t="inlineStr">
        <is>
          <t>Region VII (Central Visayas)</t>
        </is>
      </c>
      <c r="E179" s="36" t="inlineStr">
        <is>
          <t>Cebu</t>
        </is>
      </c>
      <c r="F179" s="36" t="inlineStr">
        <is>
          <t>City of Cebu</t>
        </is>
      </c>
      <c r="G179" s="36" t="inlineStr">
        <is>
          <t>Apas</t>
        </is>
      </c>
      <c r="H179" s="37" t="n">
        <v>10.337265</v>
      </c>
      <c r="I179" s="37" t="n">
        <v>123.904877</v>
      </c>
      <c r="J179" s="8" t="inlineStr">
        <is>
          <t>U</t>
        </is>
      </c>
      <c r="K179" s="36" t="inlineStr">
        <is>
          <t>Class 1-3 / Urban</t>
        </is>
      </c>
      <c r="L179" s="18" t="n">
        <v>24194</v>
      </c>
      <c r="M179" s="20" t="n">
        <v>4.42</v>
      </c>
      <c r="N179" s="18">
        <f>ROUND(L179/M179, 0)</f>
        <v/>
      </c>
      <c r="O179" s="18">
        <f>ROUND(N179*'Methodology &amp; Assumptions'!$B$8, 0)</f>
        <v/>
      </c>
      <c r="P179" s="8" t="inlineStr">
        <is>
          <t>Band n50 (1.5 GHz, 60 MHz)</t>
        </is>
      </c>
      <c r="Q179" s="38">
        <f>ROUNDUP(O179/'Methodology &amp; Assumptions'!$B$9, 0)</f>
        <v/>
      </c>
      <c r="R179" s="39" t="n">
        <v>1</v>
      </c>
      <c r="S179" s="21" t="n">
        <v>1.15</v>
      </c>
      <c r="T179" s="21" t="n">
        <v>2.2</v>
      </c>
      <c r="U179" s="36" t="inlineStr">
        <is>
          <t>Tier 1B (Micro Drop, 1-3 km)</t>
        </is>
      </c>
      <c r="V179" s="20" t="n">
        <v>68.2</v>
      </c>
      <c r="W179" s="20" t="n">
        <v>100</v>
      </c>
      <c r="X179" s="20" t="n">
        <v>28</v>
      </c>
      <c r="Y179" s="40">
        <f>ROUND((V179*'Methodology &amp; Assumptions'!$B$6)+(W179*'Methodology &amp; Assumptions'!$B$5)+(X179*'Methodology &amp; Assumptions'!$B$7), 2)</f>
        <v/>
      </c>
    </row>
    <row r="180" ht="19" customHeight="1">
      <c r="A180" s="41" t="n">
        <v>176</v>
      </c>
      <c r="B180" s="41" t="n">
        <v>3176</v>
      </c>
      <c r="C180" s="42" t="inlineStr">
        <is>
          <t>0500506056</t>
        </is>
      </c>
      <c r="D180" s="42" t="inlineStr">
        <is>
          <t>Region V (Bicol Region)</t>
        </is>
      </c>
      <c r="E180" s="42" t="inlineStr">
        <is>
          <t>Albay</t>
        </is>
      </c>
      <c r="F180" s="42" t="inlineStr">
        <is>
          <t>City of Legazpi</t>
        </is>
      </c>
      <c r="G180" s="42" t="inlineStr">
        <is>
          <t>Bgy. 62 - Homapon</t>
        </is>
      </c>
      <c r="H180" s="43" t="n">
        <v>13.091572</v>
      </c>
      <c r="I180" s="43" t="n">
        <v>123.739741</v>
      </c>
      <c r="J180" s="44" t="inlineStr">
        <is>
          <t>U</t>
        </is>
      </c>
      <c r="K180" s="42" t="inlineStr">
        <is>
          <t>Class 1-3 / Urban</t>
        </is>
      </c>
      <c r="L180" s="23" t="n">
        <v>5318</v>
      </c>
      <c r="M180" s="24" t="n">
        <v>4.67</v>
      </c>
      <c r="N180" s="23">
        <f>ROUND(L180/M180, 0)</f>
        <v/>
      </c>
      <c r="O180" s="23">
        <f>ROUND(N180*'Methodology &amp; Assumptions'!$B$8, 0)</f>
        <v/>
      </c>
      <c r="P180" s="44" t="inlineStr">
        <is>
          <t>Band n50 (1.5 GHz, 60 MHz)</t>
        </is>
      </c>
      <c r="Q180" s="38">
        <f>ROUNDUP(O180/'Methodology &amp; Assumptions'!$B$9, 0)</f>
        <v/>
      </c>
      <c r="R180" s="39" t="n">
        <v>1</v>
      </c>
      <c r="S180" s="25" t="n">
        <v>1.62</v>
      </c>
      <c r="T180" s="25" t="n">
        <v>0.25</v>
      </c>
      <c r="U180" s="42" t="inlineStr">
        <is>
          <t>Tier 1B (Micro Drop, 1-3 km)</t>
        </is>
      </c>
      <c r="V180" s="24" t="n">
        <v>68.2</v>
      </c>
      <c r="W180" s="24" t="n">
        <v>100</v>
      </c>
      <c r="X180" s="24" t="n">
        <v>28</v>
      </c>
      <c r="Y180" s="45">
        <f>ROUND((V180*'Methodology &amp; Assumptions'!$B$6)+(W180*'Methodology &amp; Assumptions'!$B$5)+(X180*'Methodology &amp; Assumptions'!$B$7), 2)</f>
        <v/>
      </c>
    </row>
    <row r="181" ht="19" customHeight="1">
      <c r="A181" s="35" t="n">
        <v>177</v>
      </c>
      <c r="B181" s="35" t="n">
        <v>3177</v>
      </c>
      <c r="C181" s="36" t="inlineStr">
        <is>
          <t>0105532075</t>
        </is>
      </c>
      <c r="D181" s="36" t="inlineStr">
        <is>
          <t>Region I (Ilocos Region)</t>
        </is>
      </c>
      <c r="E181" s="36" t="inlineStr">
        <is>
          <t>Pangasinan</t>
        </is>
      </c>
      <c r="F181" s="36" t="inlineStr">
        <is>
          <t>City of San Carlos</t>
        </is>
      </c>
      <c r="G181" s="36" t="inlineStr">
        <is>
          <t>Rizal</t>
        </is>
      </c>
      <c r="H181" s="37" t="n">
        <v>15.932009</v>
      </c>
      <c r="I181" s="37" t="n">
        <v>120.346904</v>
      </c>
      <c r="J181" s="8" t="inlineStr">
        <is>
          <t>U</t>
        </is>
      </c>
      <c r="K181" s="36" t="inlineStr">
        <is>
          <t>Class 1-3 / Urban</t>
        </is>
      </c>
      <c r="L181" s="18" t="n">
        <v>2713</v>
      </c>
      <c r="M181" s="20" t="n">
        <v>4.39</v>
      </c>
      <c r="N181" s="18">
        <f>ROUND(L181/M181, 0)</f>
        <v/>
      </c>
      <c r="O181" s="18">
        <f>ROUND(N181*'Methodology &amp; Assumptions'!$B$8, 0)</f>
        <v/>
      </c>
      <c r="P181" s="8" t="inlineStr">
        <is>
          <t>Band n50 (1.5 GHz, 60 MHz)</t>
        </is>
      </c>
      <c r="Q181" s="38">
        <f>ROUNDUP(O181/'Methodology &amp; Assumptions'!$B$9, 0)</f>
        <v/>
      </c>
      <c r="R181" s="39" t="n">
        <v>1</v>
      </c>
      <c r="S181" s="21" t="n">
        <v>0.49</v>
      </c>
      <c r="T181" s="21" t="n">
        <v>0.2</v>
      </c>
      <c r="U181" s="36" t="inlineStr">
        <is>
          <t>Tier 1A (Direct Coloc, &lt;1 km)</t>
        </is>
      </c>
      <c r="V181" s="20" t="n">
        <v>94.90000000000001</v>
      </c>
      <c r="W181" s="20" t="n">
        <v>73.3</v>
      </c>
      <c r="X181" s="20" t="n">
        <v>28</v>
      </c>
      <c r="Y181" s="40">
        <f>ROUND((V181*'Methodology &amp; Assumptions'!$B$6)+(W181*'Methodology &amp; Assumptions'!$B$5)+(X181*'Methodology &amp; Assumptions'!$B$7), 2)</f>
        <v/>
      </c>
    </row>
    <row r="182" ht="19" customHeight="1">
      <c r="A182" s="41" t="n">
        <v>178</v>
      </c>
      <c r="B182" s="41" t="n">
        <v>3178</v>
      </c>
      <c r="C182" s="42" t="inlineStr">
        <is>
          <t>0301423004</t>
        </is>
      </c>
      <c r="D182" s="42" t="inlineStr">
        <is>
          <t>Region III (Central Luzon)</t>
        </is>
      </c>
      <c r="E182" s="42" t="inlineStr">
        <is>
          <t>Bulacan</t>
        </is>
      </c>
      <c r="F182" s="42" t="inlineStr">
        <is>
          <t>Santa Maria</t>
        </is>
      </c>
      <c r="G182" s="42" t="inlineStr">
        <is>
          <t>Bulac</t>
        </is>
      </c>
      <c r="H182" s="43" t="n">
        <v>14.835509</v>
      </c>
      <c r="I182" s="43" t="n">
        <v>121.016459</v>
      </c>
      <c r="J182" s="44" t="inlineStr">
        <is>
          <t>U</t>
        </is>
      </c>
      <c r="K182" s="42" t="inlineStr">
        <is>
          <t>Class 1-3 / Urban</t>
        </is>
      </c>
      <c r="L182" s="23" t="n">
        <v>10015</v>
      </c>
      <c r="M182" s="24" t="n">
        <v>4.1</v>
      </c>
      <c r="N182" s="23">
        <f>ROUND(L182/M182, 0)</f>
        <v/>
      </c>
      <c r="O182" s="23">
        <f>ROUND(N182*'Methodology &amp; Assumptions'!$B$8, 0)</f>
        <v/>
      </c>
      <c r="P182" s="44" t="inlineStr">
        <is>
          <t>Band n50 (1.5 GHz, 60 MHz)</t>
        </is>
      </c>
      <c r="Q182" s="38">
        <f>ROUNDUP(O182/'Methodology &amp; Assumptions'!$B$9, 0)</f>
        <v/>
      </c>
      <c r="R182" s="39" t="n">
        <v>1</v>
      </c>
      <c r="S182" s="25" t="n">
        <v>1.15</v>
      </c>
      <c r="T182" s="25" t="n">
        <v>2.85</v>
      </c>
      <c r="U182" s="42" t="inlineStr">
        <is>
          <t>Tier 1B (Micro Drop, 1-3 km)</t>
        </is>
      </c>
      <c r="V182" s="24" t="n">
        <v>68.2</v>
      </c>
      <c r="W182" s="24" t="n">
        <v>100</v>
      </c>
      <c r="X182" s="24" t="n">
        <v>28</v>
      </c>
      <c r="Y182" s="45">
        <f>ROUND((V182*'Methodology &amp; Assumptions'!$B$6)+(W182*'Methodology &amp; Assumptions'!$B$5)+(X182*'Methodology &amp; Assumptions'!$B$7), 2)</f>
        <v/>
      </c>
    </row>
    <row r="183" ht="19" customHeight="1">
      <c r="A183" s="35" t="n">
        <v>179</v>
      </c>
      <c r="B183" s="35" t="n">
        <v>3179</v>
      </c>
      <c r="C183" s="36" t="inlineStr">
        <is>
          <t>0105515008</t>
        </is>
      </c>
      <c r="D183" s="36" t="inlineStr">
        <is>
          <t>Region I (Ilocos Region)</t>
        </is>
      </c>
      <c r="E183" s="36" t="inlineStr">
        <is>
          <t>Pangasinan</t>
        </is>
      </c>
      <c r="F183" s="36" t="inlineStr">
        <is>
          <t>Bugallon</t>
        </is>
      </c>
      <c r="G183" s="36" t="inlineStr">
        <is>
          <t>Cayanga</t>
        </is>
      </c>
      <c r="H183" s="37" t="n">
        <v>15.92369</v>
      </c>
      <c r="I183" s="37" t="n">
        <v>120.214</v>
      </c>
      <c r="J183" s="8" t="inlineStr">
        <is>
          <t>R</t>
        </is>
      </c>
      <c r="K183" s="36" t="inlineStr">
        <is>
          <t>Class 1-3 / Urban</t>
        </is>
      </c>
      <c r="L183" s="18" t="n">
        <v>3088</v>
      </c>
      <c r="M183" s="20" t="n">
        <v>4.39</v>
      </c>
      <c r="N183" s="18">
        <f>ROUND(L183/M183, 0)</f>
        <v/>
      </c>
      <c r="O183" s="18">
        <f>ROUND(N183*'Methodology &amp; Assumptions'!$B$8, 0)</f>
        <v/>
      </c>
      <c r="P183" s="8" t="inlineStr">
        <is>
          <t>Band n50 (1.5 GHz, 60 MHz)</t>
        </is>
      </c>
      <c r="Q183" s="38">
        <f>ROUNDUP(O183/'Methodology &amp; Assumptions'!$B$9, 0)</f>
        <v/>
      </c>
      <c r="R183" s="39" t="n">
        <v>1</v>
      </c>
      <c r="S183" s="21" t="n">
        <v>1.43</v>
      </c>
      <c r="T183" s="21" t="n">
        <v>9.130000000000001</v>
      </c>
      <c r="U183" s="36" t="inlineStr">
        <is>
          <t>Tier 1B (Micro Drop, 1-3 km)</t>
        </is>
      </c>
      <c r="V183" s="20" t="n">
        <v>62.1</v>
      </c>
      <c r="W183" s="20" t="n">
        <v>80.3</v>
      </c>
      <c r="X183" s="20" t="n">
        <v>58</v>
      </c>
      <c r="Y183" s="40">
        <f>ROUND((V183*'Methodology &amp; Assumptions'!$B$6)+(W183*'Methodology &amp; Assumptions'!$B$5)+(X183*'Methodology &amp; Assumptions'!$B$7), 2)</f>
        <v/>
      </c>
    </row>
    <row r="184" ht="19" customHeight="1">
      <c r="A184" s="41" t="n">
        <v>180</v>
      </c>
      <c r="B184" s="41" t="n">
        <v>3180</v>
      </c>
      <c r="C184" s="42" t="inlineStr">
        <is>
          <t>0403406007</t>
        </is>
      </c>
      <c r="D184" s="42" t="inlineStr">
        <is>
          <t>Region IV-A (CALABARZON)</t>
        </is>
      </c>
      <c r="E184" s="42" t="inlineStr">
        <is>
          <t>Laguna</t>
        </is>
      </c>
      <c r="F184" s="42" t="inlineStr">
        <is>
          <t>Calauan</t>
        </is>
      </c>
      <c r="G184" s="42" t="inlineStr">
        <is>
          <t>Lamot 2</t>
        </is>
      </c>
      <c r="H184" s="43" t="n">
        <v>14.154763</v>
      </c>
      <c r="I184" s="43" t="n">
        <v>121.325957</v>
      </c>
      <c r="J184" s="44" t="inlineStr">
        <is>
          <t>U</t>
        </is>
      </c>
      <c r="K184" s="42" t="inlineStr">
        <is>
          <t>Class 1-3 / Urban</t>
        </is>
      </c>
      <c r="L184" s="23" t="n">
        <v>7504</v>
      </c>
      <c r="M184" s="24" t="n">
        <v>4.2</v>
      </c>
      <c r="N184" s="23">
        <f>ROUND(L184/M184, 0)</f>
        <v/>
      </c>
      <c r="O184" s="23">
        <f>ROUND(N184*'Methodology &amp; Assumptions'!$B$8, 0)</f>
        <v/>
      </c>
      <c r="P184" s="44" t="inlineStr">
        <is>
          <t>Band n50 (1.5 GHz, 60 MHz)</t>
        </is>
      </c>
      <c r="Q184" s="38">
        <f>ROUNDUP(O184/'Methodology &amp; Assumptions'!$B$9, 0)</f>
        <v/>
      </c>
      <c r="R184" s="39" t="n">
        <v>1</v>
      </c>
      <c r="S184" s="25" t="n">
        <v>1.63</v>
      </c>
      <c r="T184" s="25" t="n">
        <v>0.26</v>
      </c>
      <c r="U184" s="42" t="inlineStr">
        <is>
          <t>Tier 1B (Micro Drop, 1-3 km)</t>
        </is>
      </c>
      <c r="V184" s="24" t="n">
        <v>68.2</v>
      </c>
      <c r="W184" s="24" t="n">
        <v>100</v>
      </c>
      <c r="X184" s="24" t="n">
        <v>28</v>
      </c>
      <c r="Y184" s="45">
        <f>ROUND((V184*'Methodology &amp; Assumptions'!$B$6)+(W184*'Methodology &amp; Assumptions'!$B$5)+(X184*'Methodology &amp; Assumptions'!$B$7), 2)</f>
        <v/>
      </c>
    </row>
    <row r="185" ht="19" customHeight="1">
      <c r="A185" s="35" t="n">
        <v>181</v>
      </c>
      <c r="B185" s="35" t="n">
        <v>3181</v>
      </c>
      <c r="C185" s="36" t="inlineStr">
        <is>
          <t>0401023017</t>
        </is>
      </c>
      <c r="D185" s="36" t="inlineStr">
        <is>
          <t>Region IV-A (CALABARZON)</t>
        </is>
      </c>
      <c r="E185" s="36" t="inlineStr">
        <is>
          <t>Batangas</t>
        </is>
      </c>
      <c r="F185" s="36" t="inlineStr">
        <is>
          <t>San Juan</t>
        </is>
      </c>
      <c r="G185" s="36" t="inlineStr">
        <is>
          <t>Laiya-Ibabao</t>
        </is>
      </c>
      <c r="H185" s="37" t="n">
        <v>13.680475</v>
      </c>
      <c r="I185" s="37" t="n">
        <v>121.41626</v>
      </c>
      <c r="J185" s="8" t="inlineStr">
        <is>
          <t>R</t>
        </is>
      </c>
      <c r="K185" s="36" t="inlineStr">
        <is>
          <t>Class 1-3 / Urban</t>
        </is>
      </c>
      <c r="L185" s="18" t="n">
        <v>4352</v>
      </c>
      <c r="M185" s="20" t="n">
        <v>4.62</v>
      </c>
      <c r="N185" s="18">
        <f>ROUND(L185/M185, 0)</f>
        <v/>
      </c>
      <c r="O185" s="18">
        <f>ROUND(N185*'Methodology &amp; Assumptions'!$B$8, 0)</f>
        <v/>
      </c>
      <c r="P185" s="8" t="inlineStr">
        <is>
          <t>Band n50 (1.5 GHz, 60 MHz)</t>
        </is>
      </c>
      <c r="Q185" s="38">
        <f>ROUNDUP(O185/'Methodology &amp; Assumptions'!$B$9, 0)</f>
        <v/>
      </c>
      <c r="R185" s="39" t="n">
        <v>1</v>
      </c>
      <c r="S185" s="21" t="n">
        <v>2.54</v>
      </c>
      <c r="T185" s="21" t="n">
        <v>12.21</v>
      </c>
      <c r="U185" s="36" t="inlineStr">
        <is>
          <t>Tier 1B (Micro Drop, 1-3 km)</t>
        </is>
      </c>
      <c r="V185" s="20" t="n">
        <v>42.9</v>
      </c>
      <c r="W185" s="20" t="n">
        <v>99.5</v>
      </c>
      <c r="X185" s="20" t="n">
        <v>58</v>
      </c>
      <c r="Y185" s="40">
        <f>ROUND((V185*'Methodology &amp; Assumptions'!$B$6)+(W185*'Methodology &amp; Assumptions'!$B$5)+(X185*'Methodology &amp; Assumptions'!$B$7), 2)</f>
        <v/>
      </c>
    </row>
    <row r="186" ht="19" customHeight="1">
      <c r="A186" s="41" t="n">
        <v>182</v>
      </c>
      <c r="B186" s="41" t="n">
        <v>3182</v>
      </c>
      <c r="C186" s="42" t="inlineStr">
        <is>
          <t>0405625021</t>
        </is>
      </c>
      <c r="D186" s="42" t="inlineStr">
        <is>
          <t>Region IV-A (CALABARZON)</t>
        </is>
      </c>
      <c r="E186" s="42" t="inlineStr">
        <is>
          <t>Quezon</t>
        </is>
      </c>
      <c r="F186" s="42" t="inlineStr">
        <is>
          <t>Macalelon</t>
        </is>
      </c>
      <c r="G186" s="42" t="inlineStr">
        <is>
          <t>Masipag</t>
        </is>
      </c>
      <c r="H186" s="43" t="n">
        <v>13.745276</v>
      </c>
      <c r="I186" s="43" t="n">
        <v>122.137928</v>
      </c>
      <c r="J186" s="44" t="inlineStr">
        <is>
          <t>R</t>
        </is>
      </c>
      <c r="K186" s="42" t="inlineStr">
        <is>
          <t>3rd</t>
        </is>
      </c>
      <c r="L186" s="23" t="n">
        <v>1090</v>
      </c>
      <c r="M186" s="24" t="n">
        <v>4.74</v>
      </c>
      <c r="N186" s="23">
        <f>ROUND(L186/M186, 0)</f>
        <v/>
      </c>
      <c r="O186" s="23">
        <f>ROUND(N186*'Methodology &amp; Assumptions'!$B$8, 0)</f>
        <v/>
      </c>
      <c r="P186" s="44" t="inlineStr">
        <is>
          <t>Band n50 (1.5 GHz, 60 MHz)</t>
        </is>
      </c>
      <c r="Q186" s="38">
        <f>ROUNDUP(O186/'Methodology &amp; Assumptions'!$B$9, 0)</f>
        <v/>
      </c>
      <c r="R186" s="39" t="n">
        <v>1</v>
      </c>
      <c r="S186" s="25" t="n">
        <v>0.19</v>
      </c>
      <c r="T186" s="25" t="n">
        <v>0.06</v>
      </c>
      <c r="U186" s="42" t="inlineStr">
        <is>
          <t>Tier 1A (Direct Coloc, &lt;1 km)</t>
        </is>
      </c>
      <c r="V186" s="24" t="n">
        <v>100</v>
      </c>
      <c r="W186" s="24" t="n">
        <v>42.4</v>
      </c>
      <c r="X186" s="24" t="n">
        <v>58</v>
      </c>
      <c r="Y186" s="45">
        <f>ROUND((V186*'Methodology &amp; Assumptions'!$B$6)+(W186*'Methodology &amp; Assumptions'!$B$5)+(X186*'Methodology &amp; Assumptions'!$B$7), 2)</f>
        <v/>
      </c>
    </row>
    <row r="187" ht="19" customHeight="1">
      <c r="A187" s="35" t="n">
        <v>183</v>
      </c>
      <c r="B187" s="35" t="n">
        <v>3183</v>
      </c>
      <c r="C187" s="36" t="inlineStr">
        <is>
          <t>0601902018</t>
        </is>
      </c>
      <c r="D187" s="36" t="inlineStr">
        <is>
          <t>Region VI (Western Visayas)</t>
        </is>
      </c>
      <c r="E187" s="36" t="inlineStr">
        <is>
          <t>Capiz</t>
        </is>
      </c>
      <c r="F187" s="36" t="inlineStr">
        <is>
          <t>Dao</t>
        </is>
      </c>
      <c r="G187" s="36" t="inlineStr">
        <is>
          <t>Poblacion Ilawod</t>
        </is>
      </c>
      <c r="H187" s="37" t="n">
        <v>11.395949</v>
      </c>
      <c r="I187" s="37" t="n">
        <v>122.686717</v>
      </c>
      <c r="J187" s="8" t="inlineStr">
        <is>
          <t>R</t>
        </is>
      </c>
      <c r="K187" s="36" t="inlineStr">
        <is>
          <t>3rd</t>
        </is>
      </c>
      <c r="L187" s="18" t="n">
        <v>959</v>
      </c>
      <c r="M187" s="20" t="n">
        <v>4.19</v>
      </c>
      <c r="N187" s="18">
        <f>ROUND(L187/M187, 0)</f>
        <v/>
      </c>
      <c r="O187" s="18">
        <f>ROUND(N187*'Methodology &amp; Assumptions'!$B$8, 0)</f>
        <v/>
      </c>
      <c r="P187" s="8" t="inlineStr">
        <is>
          <t>Band n50 (1.5 GHz, 60 MHz)</t>
        </is>
      </c>
      <c r="Q187" s="38">
        <f>ROUNDUP(O187/'Methodology &amp; Assumptions'!$B$9, 0)</f>
        <v/>
      </c>
      <c r="R187" s="39" t="n">
        <v>1</v>
      </c>
      <c r="S187" s="21" t="n">
        <v>0.17</v>
      </c>
      <c r="T187" s="21" t="n">
        <v>1.13</v>
      </c>
      <c r="U187" s="36" t="inlineStr">
        <is>
          <t>Tier 1A (Direct Coloc, &lt;1 km)</t>
        </is>
      </c>
      <c r="V187" s="20" t="n">
        <v>100</v>
      </c>
      <c r="W187" s="20" t="n">
        <v>42.4</v>
      </c>
      <c r="X187" s="20" t="n">
        <v>58</v>
      </c>
      <c r="Y187" s="40">
        <f>ROUND((V187*'Methodology &amp; Assumptions'!$B$6)+(W187*'Methodology &amp; Assumptions'!$B$5)+(X187*'Methodology &amp; Assumptions'!$B$7), 2)</f>
        <v/>
      </c>
    </row>
    <row r="188" ht="19" customHeight="1">
      <c r="A188" s="41" t="n">
        <v>184</v>
      </c>
      <c r="B188" s="41" t="n">
        <v>3184</v>
      </c>
      <c r="C188" s="42" t="inlineStr">
        <is>
          <t>0702232012</t>
        </is>
      </c>
      <c r="D188" s="42" t="inlineStr">
        <is>
          <t>Region VII (Central Visayas)</t>
        </is>
      </c>
      <c r="E188" s="42" t="inlineStr">
        <is>
          <t>Cebu</t>
        </is>
      </c>
      <c r="F188" s="42" t="inlineStr">
        <is>
          <t>Minglanilla</t>
        </is>
      </c>
      <c r="G188" s="42" t="inlineStr">
        <is>
          <t>Poblacion Ward III</t>
        </is>
      </c>
      <c r="H188" s="43" t="n">
        <v>10.246065</v>
      </c>
      <c r="I188" s="43" t="n">
        <v>123.796262</v>
      </c>
      <c r="J188" s="44" t="inlineStr">
        <is>
          <t>U</t>
        </is>
      </c>
      <c r="K188" s="42" t="inlineStr">
        <is>
          <t>Class 1-3 / Urban</t>
        </is>
      </c>
      <c r="L188" s="23" t="n">
        <v>2681</v>
      </c>
      <c r="M188" s="24" t="n">
        <v>4.42</v>
      </c>
      <c r="N188" s="23">
        <f>ROUND(L188/M188, 0)</f>
        <v/>
      </c>
      <c r="O188" s="23">
        <f>ROUND(N188*'Methodology &amp; Assumptions'!$B$8, 0)</f>
        <v/>
      </c>
      <c r="P188" s="44" t="inlineStr">
        <is>
          <t>Band n50 (1.5 GHz, 60 MHz)</t>
        </is>
      </c>
      <c r="Q188" s="38">
        <f>ROUNDUP(O188/'Methodology &amp; Assumptions'!$B$9, 0)</f>
        <v/>
      </c>
      <c r="R188" s="39" t="n">
        <v>1</v>
      </c>
      <c r="S188" s="25" t="n">
        <v>0.47</v>
      </c>
      <c r="T188" s="25" t="n">
        <v>0.07000000000000001</v>
      </c>
      <c r="U188" s="42" t="inlineStr">
        <is>
          <t>Tier 1A (Direct Coloc, &lt;1 km)</t>
        </is>
      </c>
      <c r="V188" s="24" t="n">
        <v>95.59999999999999</v>
      </c>
      <c r="W188" s="24" t="n">
        <v>72.5</v>
      </c>
      <c r="X188" s="24" t="n">
        <v>28</v>
      </c>
      <c r="Y188" s="45">
        <f>ROUND((V188*'Methodology &amp; Assumptions'!$B$6)+(W188*'Methodology &amp; Assumptions'!$B$5)+(X188*'Methodology &amp; Assumptions'!$B$7), 2)</f>
        <v/>
      </c>
    </row>
    <row r="189" ht="19" customHeight="1">
      <c r="A189" s="35" t="n">
        <v>185</v>
      </c>
      <c r="B189" s="35" t="n">
        <v>3185</v>
      </c>
      <c r="C189" s="36" t="inlineStr">
        <is>
          <t>0803733011</t>
        </is>
      </c>
      <c r="D189" s="36" t="inlineStr">
        <is>
          <t>Region VIII (Eastern Visayas)</t>
        </is>
      </c>
      <c r="E189" s="36" t="inlineStr">
        <is>
          <t>Leyte</t>
        </is>
      </c>
      <c r="F189" s="36" t="inlineStr">
        <is>
          <t>Matag-Ob</t>
        </is>
      </c>
      <c r="G189" s="36" t="inlineStr">
        <is>
          <t>Riverside</t>
        </is>
      </c>
      <c r="H189" s="37" t="n">
        <v>11.143543</v>
      </c>
      <c r="I189" s="37" t="n">
        <v>124.471167</v>
      </c>
      <c r="J189" s="8" t="inlineStr">
        <is>
          <t>R</t>
        </is>
      </c>
      <c r="K189" s="36" t="inlineStr">
        <is>
          <t>4th</t>
        </is>
      </c>
      <c r="L189" s="18" t="n">
        <v>654</v>
      </c>
      <c r="M189" s="20" t="n">
        <v>4.02</v>
      </c>
      <c r="N189" s="18">
        <f>ROUND(L189/M189, 0)</f>
        <v/>
      </c>
      <c r="O189" s="18">
        <f>ROUND(N189*'Methodology &amp; Assumptions'!$B$8, 0)</f>
        <v/>
      </c>
      <c r="P189" s="8" t="inlineStr">
        <is>
          <t>Band n50 (1.5 GHz, 60 MHz)</t>
        </is>
      </c>
      <c r="Q189" s="38">
        <f>ROUNDUP(O189/'Methodology &amp; Assumptions'!$B$9, 0)</f>
        <v/>
      </c>
      <c r="R189" s="39" t="n">
        <v>1</v>
      </c>
      <c r="S189" s="21" t="n">
        <v>0.11</v>
      </c>
      <c r="T189" s="21" t="n">
        <v>9.859999999999999</v>
      </c>
      <c r="U189" s="36" t="inlineStr">
        <is>
          <t>Tier 1A (Direct Coloc, &lt;1 km)</t>
        </is>
      </c>
      <c r="V189" s="20" t="n">
        <v>96.3</v>
      </c>
      <c r="W189" s="20" t="n">
        <v>37.1</v>
      </c>
      <c r="X189" s="20" t="n">
        <v>68.5</v>
      </c>
      <c r="Y189" s="40">
        <f>ROUND((V189*'Methodology &amp; Assumptions'!$B$6)+(W189*'Methodology &amp; Assumptions'!$B$5)+(X189*'Methodology &amp; Assumptions'!$B$7), 2)</f>
        <v/>
      </c>
    </row>
    <row r="190" ht="19" customHeight="1">
      <c r="A190" s="41" t="n">
        <v>186</v>
      </c>
      <c r="B190" s="41" t="n">
        <v>3186</v>
      </c>
      <c r="C190" s="42" t="inlineStr">
        <is>
          <t>0201517031</t>
        </is>
      </c>
      <c r="D190" s="42" t="inlineStr">
        <is>
          <t>Region II (Cagayan Valley)</t>
        </is>
      </c>
      <c r="E190" s="42" t="inlineStr">
        <is>
          <t>Cagayan</t>
        </is>
      </c>
      <c r="F190" s="42" t="inlineStr">
        <is>
          <t>Lasam</t>
        </is>
      </c>
      <c r="G190" s="42" t="inlineStr">
        <is>
          <t>Centro II</t>
        </is>
      </c>
      <c r="H190" s="43" t="n">
        <v>18.0639</v>
      </c>
      <c r="I190" s="43" t="n">
        <v>121.6041</v>
      </c>
      <c r="J190" s="44" t="inlineStr">
        <is>
          <t>R</t>
        </is>
      </c>
      <c r="K190" s="42" t="inlineStr">
        <is>
          <t>Class 1-3 / Urban</t>
        </is>
      </c>
      <c r="L190" s="23" t="n">
        <v>2126</v>
      </c>
      <c r="M190" s="24" t="n">
        <v>4.38</v>
      </c>
      <c r="N190" s="23">
        <f>ROUND(L190/M190, 0)</f>
        <v/>
      </c>
      <c r="O190" s="23">
        <f>ROUND(N190*'Methodology &amp; Assumptions'!$B$8, 0)</f>
        <v/>
      </c>
      <c r="P190" s="44" t="inlineStr">
        <is>
          <t>Band n50 (1.5 GHz, 60 MHz)</t>
        </is>
      </c>
      <c r="Q190" s="38">
        <f>ROUNDUP(O190/'Methodology &amp; Assumptions'!$B$9, 0)</f>
        <v/>
      </c>
      <c r="R190" s="39" t="n">
        <v>1</v>
      </c>
      <c r="S190" s="25" t="n">
        <v>0.6899999999999999</v>
      </c>
      <c r="T190" s="25" t="n">
        <v>3.9</v>
      </c>
      <c r="U190" s="42" t="inlineStr">
        <is>
          <t>Tier 1A (Direct Coloc, &lt;1 km)</t>
        </is>
      </c>
      <c r="V190" s="24" t="n">
        <v>79.40000000000001</v>
      </c>
      <c r="W190" s="24" t="n">
        <v>62.9</v>
      </c>
      <c r="X190" s="24" t="n">
        <v>58</v>
      </c>
      <c r="Y190" s="45">
        <f>ROUND((V190*'Methodology &amp; Assumptions'!$B$6)+(W190*'Methodology &amp; Assumptions'!$B$5)+(X190*'Methodology &amp; Assumptions'!$B$7), 2)</f>
        <v/>
      </c>
    </row>
    <row r="191" ht="19" customHeight="1">
      <c r="A191" s="35" t="n">
        <v>187</v>
      </c>
      <c r="B191" s="35" t="n">
        <v>3187</v>
      </c>
      <c r="C191" s="36" t="inlineStr">
        <is>
          <t>0203127009</t>
        </is>
      </c>
      <c r="D191" s="36" t="inlineStr">
        <is>
          <t>Region II (Cagayan Valley)</t>
        </is>
      </c>
      <c r="E191" s="36" t="inlineStr">
        <is>
          <t>Isabela</t>
        </is>
      </c>
      <c r="F191" s="36" t="inlineStr">
        <is>
          <t>San Agustin</t>
        </is>
      </c>
      <c r="G191" s="36" t="inlineStr">
        <is>
          <t>Masaya Norte</t>
        </is>
      </c>
      <c r="H191" s="37" t="n">
        <v>16.510398</v>
      </c>
      <c r="I191" s="37" t="n">
        <v>121.746933</v>
      </c>
      <c r="J191" s="8" t="inlineStr">
        <is>
          <t>R</t>
        </is>
      </c>
      <c r="K191" s="36" t="inlineStr">
        <is>
          <t>Class 1-3 / Urban</t>
        </is>
      </c>
      <c r="L191" s="18" t="n">
        <v>1069</v>
      </c>
      <c r="M191" s="20" t="n">
        <v>4.3</v>
      </c>
      <c r="N191" s="18">
        <f>ROUND(L191/M191, 0)</f>
        <v/>
      </c>
      <c r="O191" s="18">
        <f>ROUND(N191*'Methodology &amp; Assumptions'!$B$8, 0)</f>
        <v/>
      </c>
      <c r="P191" s="8" t="inlineStr">
        <is>
          <t>Band n50 (1.5 GHz, 60 MHz)</t>
        </is>
      </c>
      <c r="Q191" s="38">
        <f>ROUNDUP(O191/'Methodology &amp; Assumptions'!$B$9, 0)</f>
        <v/>
      </c>
      <c r="R191" s="39" t="n">
        <v>1</v>
      </c>
      <c r="S191" s="21" t="n">
        <v>0.05</v>
      </c>
      <c r="T191" s="21" t="n">
        <v>13.29</v>
      </c>
      <c r="U191" s="36" t="inlineStr">
        <is>
          <t>Tier 1A (Direct Coloc, &lt;1 km)</t>
        </is>
      </c>
      <c r="V191" s="20" t="n">
        <v>98.40000000000001</v>
      </c>
      <c r="W191" s="20" t="n">
        <v>44</v>
      </c>
      <c r="X191" s="20" t="n">
        <v>58</v>
      </c>
      <c r="Y191" s="40">
        <f>ROUND((V191*'Methodology &amp; Assumptions'!$B$6)+(W191*'Methodology &amp; Assumptions'!$B$5)+(X191*'Methodology &amp; Assumptions'!$B$7), 2)</f>
        <v/>
      </c>
    </row>
    <row r="192" ht="19" customHeight="1">
      <c r="A192" s="41" t="n">
        <v>188</v>
      </c>
      <c r="B192" s="41" t="n">
        <v>3188</v>
      </c>
      <c r="C192" s="42" t="inlineStr">
        <is>
          <t>0931700004</t>
        </is>
      </c>
      <c r="D192" s="42" t="inlineStr">
        <is>
          <t>Region IX (Zamboanga Peninsula)</t>
        </is>
      </c>
      <c r="E192" s="42" t="inlineStr">
        <is>
          <t>Zamboanga del Sur</t>
        </is>
      </c>
      <c r="F192" s="42" t="inlineStr">
        <is>
          <t>City of Zamboanga</t>
        </is>
      </c>
      <c r="G192" s="42" t="inlineStr">
        <is>
          <t>Baliwasan</t>
        </is>
      </c>
      <c r="H192" s="43" t="n">
        <v>6.915715</v>
      </c>
      <c r="I192" s="43" t="n">
        <v>122.060017</v>
      </c>
      <c r="J192" s="44" t="inlineStr">
        <is>
          <t>U</t>
        </is>
      </c>
      <c r="K192" s="42" t="inlineStr">
        <is>
          <t>Class 1-3 / Urban</t>
        </is>
      </c>
      <c r="L192" s="23" t="n">
        <v>17932</v>
      </c>
      <c r="M192" s="24" t="n">
        <v>4.61</v>
      </c>
      <c r="N192" s="23">
        <f>ROUND(L192/M192, 0)</f>
        <v/>
      </c>
      <c r="O192" s="23">
        <f>ROUND(N192*'Methodology &amp; Assumptions'!$B$8, 0)</f>
        <v/>
      </c>
      <c r="P192" s="44" t="inlineStr">
        <is>
          <t>Band n50 (1.5 GHz, 60 MHz)</t>
        </is>
      </c>
      <c r="Q192" s="38">
        <f>ROUNDUP(O192/'Methodology &amp; Assumptions'!$B$9, 0)</f>
        <v/>
      </c>
      <c r="R192" s="39" t="n">
        <v>1</v>
      </c>
      <c r="S192" s="25" t="n">
        <v>1.63</v>
      </c>
      <c r="T192" s="25" t="n">
        <v>1.63</v>
      </c>
      <c r="U192" s="42" t="inlineStr">
        <is>
          <t>Tier 1B (Micro Drop, 1-3 km)</t>
        </is>
      </c>
      <c r="V192" s="24" t="n">
        <v>68.09999999999999</v>
      </c>
      <c r="W192" s="24" t="n">
        <v>100</v>
      </c>
      <c r="X192" s="24" t="n">
        <v>28</v>
      </c>
      <c r="Y192" s="45">
        <f>ROUND((V192*'Methodology &amp; Assumptions'!$B$6)+(W192*'Methodology &amp; Assumptions'!$B$5)+(X192*'Methodology &amp; Assumptions'!$B$7), 2)</f>
        <v/>
      </c>
    </row>
    <row r="193" ht="19" customHeight="1">
      <c r="A193" s="35" t="n">
        <v>189</v>
      </c>
      <c r="B193" s="35" t="n">
        <v>3189</v>
      </c>
      <c r="C193" s="36" t="inlineStr">
        <is>
          <t>0401004010</t>
        </is>
      </c>
      <c r="D193" s="36" t="inlineStr">
        <is>
          <t>Region IV-A (CALABARZON)</t>
        </is>
      </c>
      <c r="E193" s="36" t="inlineStr">
        <is>
          <t>Batangas</t>
        </is>
      </c>
      <c r="F193" s="36" t="inlineStr">
        <is>
          <t>Balete</t>
        </is>
      </c>
      <c r="G193" s="36" t="inlineStr">
        <is>
          <t>Sala</t>
        </is>
      </c>
      <c r="H193" s="37" t="n">
        <v>14.0237</v>
      </c>
      <c r="I193" s="37" t="n">
        <v>121.0946</v>
      </c>
      <c r="J193" s="8" t="inlineStr">
        <is>
          <t>R</t>
        </is>
      </c>
      <c r="K193" s="36" t="inlineStr">
        <is>
          <t>4th</t>
        </is>
      </c>
      <c r="L193" s="18" t="n">
        <v>1735</v>
      </c>
      <c r="M193" s="20" t="n">
        <v>4.78</v>
      </c>
      <c r="N193" s="18">
        <f>ROUND(L193/M193, 0)</f>
        <v/>
      </c>
      <c r="O193" s="18">
        <f>ROUND(N193*'Methodology &amp; Assumptions'!$B$8, 0)</f>
        <v/>
      </c>
      <c r="P193" s="8" t="inlineStr">
        <is>
          <t>Band n50 (1.5 GHz, 60 MHz)</t>
        </is>
      </c>
      <c r="Q193" s="38">
        <f>ROUNDUP(O193/'Methodology &amp; Assumptions'!$B$9, 0)</f>
        <v/>
      </c>
      <c r="R193" s="39" t="n">
        <v>1</v>
      </c>
      <c r="S193" s="21" t="n">
        <v>0.66</v>
      </c>
      <c r="T193" s="21" t="n">
        <v>7.24</v>
      </c>
      <c r="U193" s="36" t="inlineStr">
        <is>
          <t>Tier 1A (Direct Coloc, &lt;1 km)</t>
        </is>
      </c>
      <c r="V193" s="20" t="n">
        <v>80.3</v>
      </c>
      <c r="W193" s="20" t="n">
        <v>53.1</v>
      </c>
      <c r="X193" s="20" t="n">
        <v>68.5</v>
      </c>
      <c r="Y193" s="40">
        <f>ROUND((V193*'Methodology &amp; Assumptions'!$B$6)+(W193*'Methodology &amp; Assumptions'!$B$5)+(X193*'Methodology &amp; Assumptions'!$B$7), 2)</f>
        <v/>
      </c>
    </row>
    <row r="194" ht="19" customHeight="1">
      <c r="A194" s="41" t="n">
        <v>190</v>
      </c>
      <c r="B194" s="41" t="n">
        <v>3190</v>
      </c>
      <c r="C194" s="42" t="inlineStr">
        <is>
          <t>0105526010</t>
        </is>
      </c>
      <c r="D194" s="42" t="inlineStr">
        <is>
          <t>Region I (Ilocos Region)</t>
        </is>
      </c>
      <c r="E194" s="42" t="inlineStr">
        <is>
          <t>Pangasinan</t>
        </is>
      </c>
      <c r="F194" s="42" t="inlineStr">
        <is>
          <t>Mangaldan</t>
        </is>
      </c>
      <c r="G194" s="42" t="inlineStr">
        <is>
          <t>Embarcadero</t>
        </is>
      </c>
      <c r="H194" s="43" t="n">
        <v>16.07216</v>
      </c>
      <c r="I194" s="43" t="n">
        <v>120.4165</v>
      </c>
      <c r="J194" s="44" t="inlineStr">
        <is>
          <t>R</t>
        </is>
      </c>
      <c r="K194" s="42" t="inlineStr">
        <is>
          <t>Class 1-3 / Urban</t>
        </is>
      </c>
      <c r="L194" s="23" t="n">
        <v>2718</v>
      </c>
      <c r="M194" s="24" t="n">
        <v>4.39</v>
      </c>
      <c r="N194" s="23">
        <f>ROUND(L194/M194, 0)</f>
        <v/>
      </c>
      <c r="O194" s="23">
        <f>ROUND(N194*'Methodology &amp; Assumptions'!$B$8, 0)</f>
        <v/>
      </c>
      <c r="P194" s="44" t="inlineStr">
        <is>
          <t>Band n50 (1.5 GHz, 60 MHz)</t>
        </is>
      </c>
      <c r="Q194" s="38">
        <f>ROUNDUP(O194/'Methodology &amp; Assumptions'!$B$9, 0)</f>
        <v/>
      </c>
      <c r="R194" s="39" t="n">
        <v>1</v>
      </c>
      <c r="S194" s="25" t="n">
        <v>1.6</v>
      </c>
      <c r="T194" s="25" t="n">
        <v>1.39</v>
      </c>
      <c r="U194" s="42" t="inlineStr">
        <is>
          <t>Tier 1B (Micro Drop, 1-3 km)</t>
        </is>
      </c>
      <c r="V194" s="24" t="n">
        <v>68.8</v>
      </c>
      <c r="W194" s="24" t="n">
        <v>73.59999999999999</v>
      </c>
      <c r="X194" s="24" t="n">
        <v>58</v>
      </c>
      <c r="Y194" s="45">
        <f>ROUND((V194*'Methodology &amp; Assumptions'!$B$6)+(W194*'Methodology &amp; Assumptions'!$B$5)+(X194*'Methodology &amp; Assumptions'!$B$7), 2)</f>
        <v/>
      </c>
    </row>
    <row r="195" ht="19" customHeight="1">
      <c r="A195" s="35" t="n">
        <v>191</v>
      </c>
      <c r="B195" s="35" t="n">
        <v>3191</v>
      </c>
      <c r="C195" s="36" t="inlineStr">
        <is>
          <t>1705206012</t>
        </is>
      </c>
      <c r="D195" s="36" t="inlineStr">
        <is>
          <t>MIMAROPA Region</t>
        </is>
      </c>
      <c r="E195" s="36" t="inlineStr">
        <is>
          <t>Oriental Mindoro</t>
        </is>
      </c>
      <c r="F195" s="36" t="inlineStr">
        <is>
          <t>Gloria</t>
        </is>
      </c>
      <c r="G195" s="36" t="inlineStr">
        <is>
          <t>Kawit</t>
        </is>
      </c>
      <c r="H195" s="37" t="n">
        <v>12.956865</v>
      </c>
      <c r="I195" s="37" t="n">
        <v>121.487651</v>
      </c>
      <c r="J195" s="8" t="inlineStr">
        <is>
          <t>R</t>
        </is>
      </c>
      <c r="K195" s="36" t="inlineStr">
        <is>
          <t>Class 1-3 / Urban</t>
        </is>
      </c>
      <c r="L195" s="18" t="n">
        <v>2404</v>
      </c>
      <c r="M195" s="20" t="n">
        <v>4.41</v>
      </c>
      <c r="N195" s="18">
        <f>ROUND(L195/M195, 0)</f>
        <v/>
      </c>
      <c r="O195" s="18">
        <f>ROUND(N195*'Methodology &amp; Assumptions'!$B$8, 0)</f>
        <v/>
      </c>
      <c r="P195" s="8" t="inlineStr">
        <is>
          <t>Band n50 (1.5 GHz, 60 MHz)</t>
        </is>
      </c>
      <c r="Q195" s="38">
        <f>ROUNDUP(O195/'Methodology &amp; Assumptions'!$B$9, 0)</f>
        <v/>
      </c>
      <c r="R195" s="39" t="n">
        <v>1</v>
      </c>
      <c r="S195" s="21" t="n">
        <v>1.13</v>
      </c>
      <c r="T195" s="21" t="n">
        <v>1.13</v>
      </c>
      <c r="U195" s="36" t="inlineStr">
        <is>
          <t>Tier 1B (Micro Drop, 1-3 km)</t>
        </is>
      </c>
      <c r="V195" s="20" t="n">
        <v>78.59999999999999</v>
      </c>
      <c r="W195" s="20" t="n">
        <v>63.7</v>
      </c>
      <c r="X195" s="20" t="n">
        <v>58</v>
      </c>
      <c r="Y195" s="40">
        <f>ROUND((V195*'Methodology &amp; Assumptions'!$B$6)+(W195*'Methodology &amp; Assumptions'!$B$5)+(X195*'Methodology &amp; Assumptions'!$B$7), 2)</f>
        <v/>
      </c>
    </row>
    <row r="196" ht="19" customHeight="1">
      <c r="A196" s="41" t="n">
        <v>192</v>
      </c>
      <c r="B196" s="41" t="n">
        <v>3192</v>
      </c>
      <c r="C196" s="42" t="inlineStr">
        <is>
          <t>0403419012</t>
        </is>
      </c>
      <c r="D196" s="42" t="inlineStr">
        <is>
          <t>Region IV-A (CALABARZON)</t>
        </is>
      </c>
      <c r="E196" s="42" t="inlineStr">
        <is>
          <t>Laguna</t>
        </is>
      </c>
      <c r="F196" s="42" t="inlineStr">
        <is>
          <t>Pagsanjan</t>
        </is>
      </c>
      <c r="G196" s="42" t="inlineStr">
        <is>
          <t>Barangay I</t>
        </is>
      </c>
      <c r="H196" s="43" t="n">
        <v>14.277533</v>
      </c>
      <c r="I196" s="43" t="n">
        <v>121.454902</v>
      </c>
      <c r="J196" s="44" t="inlineStr">
        <is>
          <t>R</t>
        </is>
      </c>
      <c r="K196" s="42" t="inlineStr">
        <is>
          <t>Class 1-3 / Urban</t>
        </is>
      </c>
      <c r="L196" s="23" t="n">
        <v>1485</v>
      </c>
      <c r="M196" s="24" t="n">
        <v>4.2</v>
      </c>
      <c r="N196" s="23">
        <f>ROUND(L196/M196, 0)</f>
        <v/>
      </c>
      <c r="O196" s="23">
        <f>ROUND(N196*'Methodology &amp; Assumptions'!$B$8, 0)</f>
        <v/>
      </c>
      <c r="P196" s="44" t="inlineStr">
        <is>
          <t>Band n50 (1.5 GHz, 60 MHz)</t>
        </is>
      </c>
      <c r="Q196" s="38">
        <f>ROUNDUP(O196/'Methodology &amp; Assumptions'!$B$9, 0)</f>
        <v/>
      </c>
      <c r="R196" s="39" t="n">
        <v>1</v>
      </c>
      <c r="S196" s="25" t="n">
        <v>0.67</v>
      </c>
      <c r="T196" s="25" t="n">
        <v>0.22</v>
      </c>
      <c r="U196" s="42" t="inlineStr">
        <is>
          <t>Tier 1A (Direct Coloc, &lt;1 km)</t>
        </is>
      </c>
      <c r="V196" s="24" t="n">
        <v>90.09999999999999</v>
      </c>
      <c r="W196" s="24" t="n">
        <v>52.3</v>
      </c>
      <c r="X196" s="24" t="n">
        <v>58</v>
      </c>
      <c r="Y196" s="45">
        <f>ROUND((V196*'Methodology &amp; Assumptions'!$B$6)+(W196*'Methodology &amp; Assumptions'!$B$5)+(X196*'Methodology &amp; Assumptions'!$B$7), 2)</f>
        <v/>
      </c>
    </row>
    <row r="197" ht="19" customHeight="1">
      <c r="A197" s="35" t="n">
        <v>193</v>
      </c>
      <c r="B197" s="35" t="n">
        <v>3193</v>
      </c>
      <c r="C197" s="36" t="inlineStr">
        <is>
          <t>0803738101</t>
        </is>
      </c>
      <c r="D197" s="36" t="inlineStr">
        <is>
          <t>Region VIII (Eastern Visayas)</t>
        </is>
      </c>
      <c r="E197" s="36" t="inlineStr">
        <is>
          <t>Leyte</t>
        </is>
      </c>
      <c r="F197" s="36" t="inlineStr">
        <is>
          <t>Ormoc City</t>
        </is>
      </c>
      <c r="G197" s="36" t="inlineStr">
        <is>
          <t>Tambulilid</t>
        </is>
      </c>
      <c r="H197" s="37" t="n">
        <v>11.023404</v>
      </c>
      <c r="I197" s="37" t="n">
        <v>124.584384</v>
      </c>
      <c r="J197" s="8" t="inlineStr">
        <is>
          <t>U</t>
        </is>
      </c>
      <c r="K197" s="36" t="inlineStr">
        <is>
          <t>Class 1-3 / Urban</t>
        </is>
      </c>
      <c r="L197" s="18" t="n">
        <v>11405</v>
      </c>
      <c r="M197" s="20" t="n">
        <v>4.24</v>
      </c>
      <c r="N197" s="18">
        <f>ROUND(L197/M197, 0)</f>
        <v/>
      </c>
      <c r="O197" s="18">
        <f>ROUND(N197*'Methodology &amp; Assumptions'!$B$8, 0)</f>
        <v/>
      </c>
      <c r="P197" s="8" t="inlineStr">
        <is>
          <t>Band n50 (1.5 GHz, 60 MHz)</t>
        </is>
      </c>
      <c r="Q197" s="38">
        <f>ROUNDUP(O197/'Methodology &amp; Assumptions'!$B$9, 0)</f>
        <v/>
      </c>
      <c r="R197" s="39" t="n">
        <v>1</v>
      </c>
      <c r="S197" s="21" t="n">
        <v>1.63</v>
      </c>
      <c r="T197" s="21" t="n">
        <v>0.62</v>
      </c>
      <c r="U197" s="36" t="inlineStr">
        <is>
          <t>Tier 1B (Micro Drop, 1-3 km)</t>
        </is>
      </c>
      <c r="V197" s="20" t="n">
        <v>68.09999999999999</v>
      </c>
      <c r="W197" s="20" t="n">
        <v>100</v>
      </c>
      <c r="X197" s="20" t="n">
        <v>28</v>
      </c>
      <c r="Y197" s="40">
        <f>ROUND((V197*'Methodology &amp; Assumptions'!$B$6)+(W197*'Methodology &amp; Assumptions'!$B$5)+(X197*'Methodology &amp; Assumptions'!$B$7), 2)</f>
        <v/>
      </c>
    </row>
    <row r="198" ht="19" customHeight="1">
      <c r="A198" s="41" t="n">
        <v>194</v>
      </c>
      <c r="B198" s="41" t="n">
        <v>3194</v>
      </c>
      <c r="C198" s="42" t="inlineStr">
        <is>
          <t>0402103028</t>
        </is>
      </c>
      <c r="D198" s="42" t="inlineStr">
        <is>
          <t>Region IV-A (CALABARZON)</t>
        </is>
      </c>
      <c r="E198" s="42" t="inlineStr">
        <is>
          <t>Cavite</t>
        </is>
      </c>
      <c r="F198" s="42" t="inlineStr">
        <is>
          <t>City of Bacoor</t>
        </is>
      </c>
      <c r="G198" s="42" t="inlineStr">
        <is>
          <t>Queens Row West</t>
        </is>
      </c>
      <c r="H198" s="43" t="n">
        <v>14.398818</v>
      </c>
      <c r="I198" s="43" t="n">
        <v>120.988004</v>
      </c>
      <c r="J198" s="44" t="inlineStr">
        <is>
          <t>U</t>
        </is>
      </c>
      <c r="K198" s="42" t="inlineStr">
        <is>
          <t>Class 1-3 / Urban</t>
        </is>
      </c>
      <c r="L198" s="23" t="n">
        <v>10610</v>
      </c>
      <c r="M198" s="24" t="n">
        <v>4.49</v>
      </c>
      <c r="N198" s="23">
        <f>ROUND(L198/M198, 0)</f>
        <v/>
      </c>
      <c r="O198" s="23">
        <f>ROUND(N198*'Methodology &amp; Assumptions'!$B$8, 0)</f>
        <v/>
      </c>
      <c r="P198" s="44" t="inlineStr">
        <is>
          <t>Band n50 (1.5 GHz, 60 MHz)</t>
        </is>
      </c>
      <c r="Q198" s="38">
        <f>ROUNDUP(O198/'Methodology &amp; Assumptions'!$B$9, 0)</f>
        <v/>
      </c>
      <c r="R198" s="39" t="n">
        <v>1</v>
      </c>
      <c r="S198" s="25" t="n">
        <v>1.16</v>
      </c>
      <c r="T198" s="25" t="n">
        <v>4.18</v>
      </c>
      <c r="U198" s="42" t="inlineStr">
        <is>
          <t>Tier 1B (Micro Drop, 1-3 km)</t>
        </is>
      </c>
      <c r="V198" s="24" t="n">
        <v>68</v>
      </c>
      <c r="W198" s="24" t="n">
        <v>100</v>
      </c>
      <c r="X198" s="24" t="n">
        <v>28</v>
      </c>
      <c r="Y198" s="45">
        <f>ROUND((V198*'Methodology &amp; Assumptions'!$B$6)+(W198*'Methodology &amp; Assumptions'!$B$5)+(X198*'Methodology &amp; Assumptions'!$B$7), 2)</f>
        <v/>
      </c>
    </row>
    <row r="199" ht="19" customHeight="1">
      <c r="A199" s="35" t="n">
        <v>195</v>
      </c>
      <c r="B199" s="35" t="n">
        <v>3195</v>
      </c>
      <c r="C199" s="36" t="inlineStr">
        <is>
          <t>0301406013</t>
        </is>
      </c>
      <c r="D199" s="36" t="inlineStr">
        <is>
          <t>Region III (Central Luzon)</t>
        </is>
      </c>
      <c r="E199" s="36" t="inlineStr">
        <is>
          <t>Bulacan</t>
        </is>
      </c>
      <c r="F199" s="36" t="inlineStr">
        <is>
          <t>Bustos</t>
        </is>
      </c>
      <c r="G199" s="36" t="inlineStr">
        <is>
          <t>Tanawan</t>
        </is>
      </c>
      <c r="H199" s="37" t="n">
        <v>14.952296</v>
      </c>
      <c r="I199" s="37" t="n">
        <v>120.924089</v>
      </c>
      <c r="J199" s="8" t="inlineStr">
        <is>
          <t>U</t>
        </is>
      </c>
      <c r="K199" s="36" t="inlineStr">
        <is>
          <t>Class 1-3 / Urban</t>
        </is>
      </c>
      <c r="L199" s="18" t="n">
        <v>2731</v>
      </c>
      <c r="M199" s="20" t="n">
        <v>4.1</v>
      </c>
      <c r="N199" s="18">
        <f>ROUND(L199/M199, 0)</f>
        <v/>
      </c>
      <c r="O199" s="18">
        <f>ROUND(N199*'Methodology &amp; Assumptions'!$B$8, 0)</f>
        <v/>
      </c>
      <c r="P199" s="8" t="inlineStr">
        <is>
          <t>Band n50 (1.5 GHz, 60 MHz)</t>
        </is>
      </c>
      <c r="Q199" s="38">
        <f>ROUNDUP(O199/'Methodology &amp; Assumptions'!$B$9, 0)</f>
        <v/>
      </c>
      <c r="R199" s="39" t="n">
        <v>1</v>
      </c>
      <c r="S199" s="21" t="n">
        <v>0.64</v>
      </c>
      <c r="T199" s="21" t="n">
        <v>0.15</v>
      </c>
      <c r="U199" s="36" t="inlineStr">
        <is>
          <t>Tier 1A (Direct Coloc, &lt;1 km)</t>
        </is>
      </c>
      <c r="V199" s="20" t="n">
        <v>90.7</v>
      </c>
      <c r="W199" s="20" t="n">
        <v>77.3</v>
      </c>
      <c r="X199" s="20" t="n">
        <v>28</v>
      </c>
      <c r="Y199" s="40">
        <f>ROUND((V199*'Methodology &amp; Assumptions'!$B$6)+(W199*'Methodology &amp; Assumptions'!$B$5)+(X199*'Methodology &amp; Assumptions'!$B$7), 2)</f>
        <v/>
      </c>
    </row>
    <row r="200" ht="19" customHeight="1">
      <c r="A200" s="41" t="n">
        <v>196</v>
      </c>
      <c r="B200" s="41" t="n">
        <v>3196</v>
      </c>
      <c r="C200" s="42" t="inlineStr">
        <is>
          <t>0201504045</t>
        </is>
      </c>
      <c r="D200" s="42" t="inlineStr">
        <is>
          <t>Region II (Cagayan Valley)</t>
        </is>
      </c>
      <c r="E200" s="42" t="inlineStr">
        <is>
          <t>Cagayan</t>
        </is>
      </c>
      <c r="F200" s="42" t="inlineStr">
        <is>
          <t>Amulung</t>
        </is>
      </c>
      <c r="G200" s="42" t="inlineStr">
        <is>
          <t>Palayag</t>
        </is>
      </c>
      <c r="H200" s="43" t="n">
        <v>17.8097</v>
      </c>
      <c r="I200" s="43" t="n">
        <v>121.6753</v>
      </c>
      <c r="J200" s="44" t="inlineStr">
        <is>
          <t>R</t>
        </is>
      </c>
      <c r="K200" s="42" t="inlineStr">
        <is>
          <t>Class 1-3 / Urban</t>
        </is>
      </c>
      <c r="L200" s="23" t="n">
        <v>1396</v>
      </c>
      <c r="M200" s="24" t="n">
        <v>4.38</v>
      </c>
      <c r="N200" s="23">
        <f>ROUND(L200/M200, 0)</f>
        <v/>
      </c>
      <c r="O200" s="23">
        <f>ROUND(N200*'Methodology &amp; Assumptions'!$B$8, 0)</f>
        <v/>
      </c>
      <c r="P200" s="44" t="inlineStr">
        <is>
          <t>Band n50 (1.5 GHz, 60 MHz)</t>
        </is>
      </c>
      <c r="Q200" s="38">
        <f>ROUNDUP(O200/'Methodology &amp; Assumptions'!$B$9, 0)</f>
        <v/>
      </c>
      <c r="R200" s="39" t="n">
        <v>1</v>
      </c>
      <c r="S200" s="25" t="n">
        <v>0.23</v>
      </c>
      <c r="T200" s="25" t="n">
        <v>5.26</v>
      </c>
      <c r="U200" s="42" t="inlineStr">
        <is>
          <t>Tier 1A (Direct Coloc, &lt;1 km)</t>
        </is>
      </c>
      <c r="V200" s="24" t="n">
        <v>92.7</v>
      </c>
      <c r="W200" s="24" t="n">
        <v>49.6</v>
      </c>
      <c r="X200" s="24" t="n">
        <v>58</v>
      </c>
      <c r="Y200" s="45">
        <f>ROUND((V200*'Methodology &amp; Assumptions'!$B$6)+(W200*'Methodology &amp; Assumptions'!$B$5)+(X200*'Methodology &amp; Assumptions'!$B$7), 2)</f>
        <v/>
      </c>
    </row>
    <row r="201" ht="19" customHeight="1">
      <c r="A201" s="35" t="n">
        <v>197</v>
      </c>
      <c r="B201" s="35" t="n">
        <v>3197</v>
      </c>
      <c r="C201" s="36" t="inlineStr">
        <is>
          <t>0704610006</t>
        </is>
      </c>
      <c r="D201" s="36" t="inlineStr">
        <is>
          <t>Region VII (Central Visayas)</t>
        </is>
      </c>
      <c r="E201" s="36" t="inlineStr">
        <is>
          <t>Negros Oriental</t>
        </is>
      </c>
      <c r="F201" s="36" t="inlineStr">
        <is>
          <t>City of Dumaguete</t>
        </is>
      </c>
      <c r="G201" s="36" t="inlineStr">
        <is>
          <t>Batinguel</t>
        </is>
      </c>
      <c r="H201" s="37" t="n">
        <v>9.309896999999999</v>
      </c>
      <c r="I201" s="37" t="n">
        <v>123.289919</v>
      </c>
      <c r="J201" s="8" t="inlineStr">
        <is>
          <t>U</t>
        </is>
      </c>
      <c r="K201" s="36" t="inlineStr">
        <is>
          <t>Class 1-3 / Urban</t>
        </is>
      </c>
      <c r="L201" s="18" t="n">
        <v>9965</v>
      </c>
      <c r="M201" s="20" t="n">
        <v>4.33</v>
      </c>
      <c r="N201" s="18">
        <f>ROUND(L201/M201, 0)</f>
        <v/>
      </c>
      <c r="O201" s="18">
        <f>ROUND(N201*'Methodology &amp; Assumptions'!$B$8, 0)</f>
        <v/>
      </c>
      <c r="P201" s="8" t="inlineStr">
        <is>
          <t>Band n50 (1.5 GHz, 60 MHz)</t>
        </is>
      </c>
      <c r="Q201" s="38">
        <f>ROUNDUP(O201/'Methodology &amp; Assumptions'!$B$9, 0)</f>
        <v/>
      </c>
      <c r="R201" s="39" t="n">
        <v>1</v>
      </c>
      <c r="S201" s="21" t="n">
        <v>1.63</v>
      </c>
      <c r="T201" s="21" t="n">
        <v>1.51</v>
      </c>
      <c r="U201" s="36" t="inlineStr">
        <is>
          <t>Tier 1B (Micro Drop, 1-3 km)</t>
        </is>
      </c>
      <c r="V201" s="20" t="n">
        <v>68</v>
      </c>
      <c r="W201" s="20" t="n">
        <v>100</v>
      </c>
      <c r="X201" s="20" t="n">
        <v>28</v>
      </c>
      <c r="Y201" s="40">
        <f>ROUND((V201*'Methodology &amp; Assumptions'!$B$6)+(W201*'Methodology &amp; Assumptions'!$B$5)+(X201*'Methodology &amp; Assumptions'!$B$7), 2)</f>
        <v/>
      </c>
    </row>
    <row r="202" ht="19" customHeight="1">
      <c r="A202" s="41" t="n">
        <v>198</v>
      </c>
      <c r="B202" s="41" t="n">
        <v>3198</v>
      </c>
      <c r="C202" s="42" t="inlineStr">
        <is>
          <t>1401110003</t>
        </is>
      </c>
      <c r="D202" s="42" t="inlineStr">
        <is>
          <t>Cordillera Administrative Region (CAR)</t>
        </is>
      </c>
      <c r="E202" s="42" t="inlineStr">
        <is>
          <t>Benguet</t>
        </is>
      </c>
      <c r="F202" s="42" t="inlineStr">
        <is>
          <t>La Trinidad</t>
        </is>
      </c>
      <c r="G202" s="42" t="inlineStr">
        <is>
          <t>Ambiong</t>
        </is>
      </c>
      <c r="H202" s="43" t="n">
        <v>16.4339</v>
      </c>
      <c r="I202" s="43" t="n">
        <v>120.60634</v>
      </c>
      <c r="J202" s="44" t="inlineStr">
        <is>
          <t>U</t>
        </is>
      </c>
      <c r="K202" s="42" t="inlineStr">
        <is>
          <t>Class 1-3 / Urban</t>
        </is>
      </c>
      <c r="L202" s="23" t="n">
        <v>8341</v>
      </c>
      <c r="M202" s="24" t="n">
        <v>4.58</v>
      </c>
      <c r="N202" s="23">
        <f>ROUND(L202/M202, 0)</f>
        <v/>
      </c>
      <c r="O202" s="23">
        <f>ROUND(N202*'Methodology &amp; Assumptions'!$B$8, 0)</f>
        <v/>
      </c>
      <c r="P202" s="44" t="inlineStr">
        <is>
          <t>Band n50 (1.5 GHz, 60 MHz)</t>
        </is>
      </c>
      <c r="Q202" s="38">
        <f>ROUNDUP(O202/'Methodology &amp; Assumptions'!$B$9, 0)</f>
        <v/>
      </c>
      <c r="R202" s="39" t="n">
        <v>1</v>
      </c>
      <c r="S202" s="25" t="n">
        <v>1.63</v>
      </c>
      <c r="T202" s="25" t="n">
        <v>1.85</v>
      </c>
      <c r="U202" s="42" t="inlineStr">
        <is>
          <t>Tier 1B (Micro Drop, 1-3 km)</t>
        </is>
      </c>
      <c r="V202" s="24" t="n">
        <v>68</v>
      </c>
      <c r="W202" s="24" t="n">
        <v>100</v>
      </c>
      <c r="X202" s="24" t="n">
        <v>28</v>
      </c>
      <c r="Y202" s="45">
        <f>ROUND((V202*'Methodology &amp; Assumptions'!$B$6)+(W202*'Methodology &amp; Assumptions'!$B$5)+(X202*'Methodology &amp; Assumptions'!$B$7), 2)</f>
        <v/>
      </c>
    </row>
    <row r="203" ht="19" customHeight="1">
      <c r="A203" s="35" t="n">
        <v>199</v>
      </c>
      <c r="B203" s="35" t="n">
        <v>3199</v>
      </c>
      <c r="C203" s="36" t="inlineStr">
        <is>
          <t>0501708022</t>
        </is>
      </c>
      <c r="D203" s="36" t="inlineStr">
        <is>
          <t>Region V (Bicol Region)</t>
        </is>
      </c>
      <c r="E203" s="36" t="inlineStr">
        <is>
          <t>Camarines Sur</t>
        </is>
      </c>
      <c r="F203" s="36" t="inlineStr">
        <is>
          <t>Calabanga</t>
        </is>
      </c>
      <c r="G203" s="36" t="inlineStr">
        <is>
          <t>Manguiring</t>
        </is>
      </c>
      <c r="H203" s="37" t="n">
        <v>13.743267</v>
      </c>
      <c r="I203" s="37" t="n">
        <v>123.276456</v>
      </c>
      <c r="J203" s="8" t="inlineStr">
        <is>
          <t>U</t>
        </is>
      </c>
      <c r="K203" s="36" t="inlineStr">
        <is>
          <t>Class 1-3 / Urban</t>
        </is>
      </c>
      <c r="L203" s="18" t="n">
        <v>4110</v>
      </c>
      <c r="M203" s="20" t="n">
        <v>4.9</v>
      </c>
      <c r="N203" s="18">
        <f>ROUND(L203/M203, 0)</f>
        <v/>
      </c>
      <c r="O203" s="18">
        <f>ROUND(N203*'Methodology &amp; Assumptions'!$B$8, 0)</f>
        <v/>
      </c>
      <c r="P203" s="8" t="inlineStr">
        <is>
          <t>Band n50 (1.5 GHz, 60 MHz)</t>
        </is>
      </c>
      <c r="Q203" s="38">
        <f>ROUNDUP(O203/'Methodology &amp; Assumptions'!$B$9, 0)</f>
        <v/>
      </c>
      <c r="R203" s="39" t="n">
        <v>1</v>
      </c>
      <c r="S203" s="21" t="n">
        <v>1.21</v>
      </c>
      <c r="T203" s="21" t="n">
        <v>0.21</v>
      </c>
      <c r="U203" s="36" t="inlineStr">
        <is>
          <t>Tier 1B (Micro Drop, 1-3 km)</t>
        </is>
      </c>
      <c r="V203" s="20" t="n">
        <v>76.8</v>
      </c>
      <c r="W203" s="20" t="n">
        <v>91.2</v>
      </c>
      <c r="X203" s="20" t="n">
        <v>28</v>
      </c>
      <c r="Y203" s="40">
        <f>ROUND((V203*'Methodology &amp; Assumptions'!$B$6)+(W203*'Methodology &amp; Assumptions'!$B$5)+(X203*'Methodology &amp; Assumptions'!$B$7), 2)</f>
        <v/>
      </c>
    </row>
    <row r="204" ht="19" customHeight="1">
      <c r="A204" s="41" t="n">
        <v>200</v>
      </c>
      <c r="B204" s="41" t="n">
        <v>3200</v>
      </c>
      <c r="C204" s="42" t="inlineStr">
        <is>
          <t>0405607067</t>
        </is>
      </c>
      <c r="D204" s="42" t="inlineStr">
        <is>
          <t>Region IV-A (CALABARZON)</t>
        </is>
      </c>
      <c r="E204" s="42" t="inlineStr">
        <is>
          <t>Quezon</t>
        </is>
      </c>
      <c r="F204" s="42" t="inlineStr">
        <is>
          <t>Calauag</t>
        </is>
      </c>
      <c r="G204" s="42" t="inlineStr">
        <is>
          <t>Sabang II</t>
        </is>
      </c>
      <c r="H204" s="43" t="n">
        <v>13.958747</v>
      </c>
      <c r="I204" s="43" t="n">
        <v>122.263162</v>
      </c>
      <c r="J204" s="44" t="inlineStr">
        <is>
          <t>R</t>
        </is>
      </c>
      <c r="K204" s="42" t="inlineStr">
        <is>
          <t>Class 1-3 / Urban</t>
        </is>
      </c>
      <c r="L204" s="23" t="n">
        <v>4459</v>
      </c>
      <c r="M204" s="24" t="n">
        <v>4.46</v>
      </c>
      <c r="N204" s="23">
        <f>ROUND(L204/M204, 0)</f>
        <v/>
      </c>
      <c r="O204" s="23">
        <f>ROUND(N204*'Methodology &amp; Assumptions'!$B$8, 0)</f>
        <v/>
      </c>
      <c r="P204" s="44" t="inlineStr">
        <is>
          <t>Band n50 (1.5 GHz, 60 MHz)</t>
        </is>
      </c>
      <c r="Q204" s="38">
        <f>ROUNDUP(O204/'Methodology &amp; Assumptions'!$B$9, 0)</f>
        <v/>
      </c>
      <c r="R204" s="39" t="n">
        <v>1</v>
      </c>
      <c r="S204" s="25" t="n">
        <v>2.58</v>
      </c>
      <c r="T204" s="25" t="n">
        <v>2.37</v>
      </c>
      <c r="U204" s="42" t="inlineStr">
        <is>
          <t>Tier 1B (Micro Drop, 1-3 km)</t>
        </is>
      </c>
      <c r="V204" s="24" t="n">
        <v>42.2</v>
      </c>
      <c r="W204" s="24" t="n">
        <v>100</v>
      </c>
      <c r="X204" s="24" t="n">
        <v>58</v>
      </c>
      <c r="Y204" s="45">
        <f>ROUND((V204*'Methodology &amp; Assumptions'!$B$6)+(W204*'Methodology &amp; Assumptions'!$B$5)+(X204*'Methodology &amp; Assumptions'!$B$7), 2)</f>
        <v/>
      </c>
    </row>
    <row r="205" ht="19" customHeight="1">
      <c r="A205" s="35" t="n">
        <v>201</v>
      </c>
      <c r="B205" s="35" t="n">
        <v>3201</v>
      </c>
      <c r="C205" s="36" t="inlineStr">
        <is>
          <t>0105519005</t>
        </is>
      </c>
      <c r="D205" s="36" t="inlineStr">
        <is>
          <t>Region I (Ilocos Region)</t>
        </is>
      </c>
      <c r="E205" s="36" t="inlineStr">
        <is>
          <t>Pangasinan</t>
        </is>
      </c>
      <c r="F205" s="36" t="inlineStr">
        <is>
          <t>Dasol</t>
        </is>
      </c>
      <c r="G205" s="36" t="inlineStr">
        <is>
          <t>Gais-Guipe</t>
        </is>
      </c>
      <c r="H205" s="37" t="n">
        <v>15.978133</v>
      </c>
      <c r="I205" s="37" t="n">
        <v>119.867621</v>
      </c>
      <c r="J205" s="8" t="inlineStr">
        <is>
          <t>R</t>
        </is>
      </c>
      <c r="K205" s="36" t="inlineStr">
        <is>
          <t>Class 1-3 / Urban</t>
        </is>
      </c>
      <c r="L205" s="18" t="n">
        <v>2625</v>
      </c>
      <c r="M205" s="20" t="n">
        <v>4.39</v>
      </c>
      <c r="N205" s="18">
        <f>ROUND(L205/M205, 0)</f>
        <v/>
      </c>
      <c r="O205" s="18">
        <f>ROUND(N205*'Methodology &amp; Assumptions'!$B$8, 0)</f>
        <v/>
      </c>
      <c r="P205" s="8" t="inlineStr">
        <is>
          <t>Band n50 (1.5 GHz, 60 MHz)</t>
        </is>
      </c>
      <c r="Q205" s="38">
        <f>ROUNDUP(O205/'Methodology &amp; Assumptions'!$B$9, 0)</f>
        <v/>
      </c>
      <c r="R205" s="39" t="n">
        <v>1</v>
      </c>
      <c r="S205" s="21" t="n">
        <v>1.51</v>
      </c>
      <c r="T205" s="21" t="n">
        <v>0.74</v>
      </c>
      <c r="U205" s="36" t="inlineStr">
        <is>
          <t>Tier 1B (Micro Drop, 1-3 km)</t>
        </is>
      </c>
      <c r="V205" s="20" t="n">
        <v>70.5</v>
      </c>
      <c r="W205" s="20" t="n">
        <v>71.7</v>
      </c>
      <c r="X205" s="20" t="n">
        <v>58</v>
      </c>
      <c r="Y205" s="40">
        <f>ROUND((V205*'Methodology &amp; Assumptions'!$B$6)+(W205*'Methodology &amp; Assumptions'!$B$5)+(X205*'Methodology &amp; Assumptions'!$B$7), 2)</f>
        <v/>
      </c>
    </row>
    <row r="206" ht="19" customHeight="1">
      <c r="A206" s="41" t="n">
        <v>202</v>
      </c>
      <c r="B206" s="41" t="n">
        <v>3202</v>
      </c>
      <c r="C206" s="42" t="inlineStr">
        <is>
          <t>0301410002</t>
        </is>
      </c>
      <c r="D206" s="42" t="inlineStr">
        <is>
          <t>Region III (Central Luzon)</t>
        </is>
      </c>
      <c r="E206" s="42" t="inlineStr">
        <is>
          <t>Bulacan</t>
        </is>
      </c>
      <c r="F206" s="42" t="inlineStr">
        <is>
          <t>City of Malolos</t>
        </is>
      </c>
      <c r="G206" s="42" t="inlineStr">
        <is>
          <t>Atlag</t>
        </is>
      </c>
      <c r="H206" s="43" t="n">
        <v>14.828341</v>
      </c>
      <c r="I206" s="43" t="n">
        <v>120.822318</v>
      </c>
      <c r="J206" s="44" t="inlineStr">
        <is>
          <t>U</t>
        </is>
      </c>
      <c r="K206" s="42" t="inlineStr">
        <is>
          <t>Class 1-3 / Urban</t>
        </is>
      </c>
      <c r="L206" s="23" t="n">
        <v>4675</v>
      </c>
      <c r="M206" s="24" t="n">
        <v>4.1</v>
      </c>
      <c r="N206" s="23">
        <f>ROUND(L206/M206, 0)</f>
        <v/>
      </c>
      <c r="O206" s="23">
        <f>ROUND(N206*'Methodology &amp; Assumptions'!$B$8, 0)</f>
        <v/>
      </c>
      <c r="P206" s="44" t="inlineStr">
        <is>
          <t>Band n50 (1.5 GHz, 60 MHz)</t>
        </is>
      </c>
      <c r="Q206" s="38">
        <f>ROUNDUP(O206/'Methodology &amp; Assumptions'!$B$9, 0)</f>
        <v/>
      </c>
      <c r="R206" s="39" t="n">
        <v>1</v>
      </c>
      <c r="S206" s="25" t="n">
        <v>1.16</v>
      </c>
      <c r="T206" s="25" t="n">
        <v>2.25</v>
      </c>
      <c r="U206" s="42" t="inlineStr">
        <is>
          <t>Tier 1B (Micro Drop, 1-3 km)</t>
        </is>
      </c>
      <c r="V206" s="24" t="n">
        <v>68</v>
      </c>
      <c r="W206" s="24" t="n">
        <v>100</v>
      </c>
      <c r="X206" s="24" t="n">
        <v>28</v>
      </c>
      <c r="Y206" s="45">
        <f>ROUND((V206*'Methodology &amp; Assumptions'!$B$6)+(W206*'Methodology &amp; Assumptions'!$B$5)+(X206*'Methodology &amp; Assumptions'!$B$7), 2)</f>
        <v/>
      </c>
    </row>
    <row r="207" ht="19" customHeight="1">
      <c r="A207" s="35" t="n">
        <v>203</v>
      </c>
      <c r="B207" s="35" t="n">
        <v>3203</v>
      </c>
      <c r="C207" s="36" t="inlineStr">
        <is>
          <t>0201529002</t>
        </is>
      </c>
      <c r="D207" s="36" t="inlineStr">
        <is>
          <t>Region II (Cagayan Valley)</t>
        </is>
      </c>
      <c r="E207" s="36" t="inlineStr">
        <is>
          <t>Cagayan</t>
        </is>
      </c>
      <c r="F207" s="36" t="inlineStr">
        <is>
          <t>Tuguegarao City</t>
        </is>
      </c>
      <c r="G207" s="36" t="inlineStr">
        <is>
          <t>Atulayan Norte</t>
        </is>
      </c>
      <c r="H207" s="37" t="n">
        <v>17.3819</v>
      </c>
      <c r="I207" s="37" t="n">
        <v>121.4301</v>
      </c>
      <c r="J207" s="8" t="inlineStr">
        <is>
          <t>R</t>
        </is>
      </c>
      <c r="K207" s="36" t="inlineStr">
        <is>
          <t>Class 1-3 / Urban</t>
        </is>
      </c>
      <c r="L207" s="18" t="n">
        <v>4216</v>
      </c>
      <c r="M207" s="20" t="n">
        <v>4.38</v>
      </c>
      <c r="N207" s="18">
        <f>ROUND(L207/M207, 0)</f>
        <v/>
      </c>
      <c r="O207" s="18">
        <f>ROUND(N207*'Methodology &amp; Assumptions'!$B$8, 0)</f>
        <v/>
      </c>
      <c r="P207" s="8" t="inlineStr">
        <is>
          <t>Band n50 (1.5 GHz, 60 MHz)</t>
        </is>
      </c>
      <c r="Q207" s="38">
        <f>ROUNDUP(O207/'Methodology &amp; Assumptions'!$B$9, 0)</f>
        <v/>
      </c>
      <c r="R207" s="39" t="n">
        <v>1</v>
      </c>
      <c r="S207" s="21" t="n">
        <v>3.68</v>
      </c>
      <c r="T207" s="21" t="n">
        <v>2.62</v>
      </c>
      <c r="U207" s="36" t="inlineStr">
        <is>
          <t>Tier 2 (Fiber Corridor / Lateral, 3-5 km)</t>
        </is>
      </c>
      <c r="V207" s="20" t="n">
        <v>29.4</v>
      </c>
      <c r="W207" s="20" t="n">
        <v>100</v>
      </c>
      <c r="X207" s="20" t="n">
        <v>73</v>
      </c>
      <c r="Y207" s="40">
        <f>ROUND((V207*'Methodology &amp; Assumptions'!$B$6)+(W207*'Methodology &amp; Assumptions'!$B$5)+(X207*'Methodology &amp; Assumptions'!$B$7), 2)</f>
        <v/>
      </c>
    </row>
    <row r="208" ht="19" customHeight="1">
      <c r="A208" s="41" t="n">
        <v>204</v>
      </c>
      <c r="B208" s="41" t="n">
        <v>3204</v>
      </c>
      <c r="C208" s="42" t="inlineStr">
        <is>
          <t>0300801003</t>
        </is>
      </c>
      <c r="D208" s="42" t="inlineStr">
        <is>
          <t>Region III (Central Luzon)</t>
        </is>
      </c>
      <c r="E208" s="42" t="inlineStr">
        <is>
          <t>Bataan</t>
        </is>
      </c>
      <c r="F208" s="42" t="inlineStr">
        <is>
          <t>Abucay</t>
        </is>
      </c>
      <c r="G208" s="42" t="inlineStr">
        <is>
          <t>Capitangan</t>
        </is>
      </c>
      <c r="H208" s="43" t="n">
        <v>14.706226</v>
      </c>
      <c r="I208" s="43" t="n">
        <v>120.538138</v>
      </c>
      <c r="J208" s="44" t="inlineStr">
        <is>
          <t>U</t>
        </is>
      </c>
      <c r="K208" s="42" t="inlineStr">
        <is>
          <t>Class 1-3 / Urban</t>
        </is>
      </c>
      <c r="L208" s="23" t="n">
        <v>7280</v>
      </c>
      <c r="M208" s="24" t="n">
        <v>4.57</v>
      </c>
      <c r="N208" s="23">
        <f>ROUND(L208/M208, 0)</f>
        <v/>
      </c>
      <c r="O208" s="23">
        <f>ROUND(N208*'Methodology &amp; Assumptions'!$B$8, 0)</f>
        <v/>
      </c>
      <c r="P208" s="44" t="inlineStr">
        <is>
          <t>Band n50 (1.5 GHz, 60 MHz)</t>
        </is>
      </c>
      <c r="Q208" s="38">
        <f>ROUNDUP(O208/'Methodology &amp; Assumptions'!$B$9, 0)</f>
        <v/>
      </c>
      <c r="R208" s="39" t="n">
        <v>1</v>
      </c>
      <c r="S208" s="25" t="n">
        <v>2.39</v>
      </c>
      <c r="T208" s="25" t="n">
        <v>0.02</v>
      </c>
      <c r="U208" s="42" t="inlineStr">
        <is>
          <t>Tier 1B (Micro Drop, 1-3 km)</t>
        </is>
      </c>
      <c r="V208" s="24" t="n">
        <v>55.1</v>
      </c>
      <c r="W208" s="24" t="n">
        <v>100</v>
      </c>
      <c r="X208" s="24" t="n">
        <v>43</v>
      </c>
      <c r="Y208" s="45">
        <f>ROUND((V208*'Methodology &amp; Assumptions'!$B$6)+(W208*'Methodology &amp; Assumptions'!$B$5)+(X208*'Methodology &amp; Assumptions'!$B$7), 2)</f>
        <v/>
      </c>
    </row>
    <row r="209" ht="19" customHeight="1">
      <c r="A209" s="35" t="n">
        <v>205</v>
      </c>
      <c r="B209" s="35" t="n">
        <v>3205</v>
      </c>
      <c r="C209" s="36" t="inlineStr">
        <is>
          <t>0403404007</t>
        </is>
      </c>
      <c r="D209" s="36" t="inlineStr">
        <is>
          <t>Region IV-A (CALABARZON)</t>
        </is>
      </c>
      <c r="E209" s="36" t="inlineStr">
        <is>
          <t>Laguna</t>
        </is>
      </c>
      <c r="F209" s="36" t="inlineStr">
        <is>
          <t>City of Cabuyao</t>
        </is>
      </c>
      <c r="G209" s="36" t="inlineStr">
        <is>
          <t>Gulod</t>
        </is>
      </c>
      <c r="H209" s="37" t="n">
        <v>14.25631</v>
      </c>
      <c r="I209" s="37" t="n">
        <v>121.162448</v>
      </c>
      <c r="J209" s="8" t="inlineStr">
        <is>
          <t>U</t>
        </is>
      </c>
      <c r="K209" s="36" t="inlineStr">
        <is>
          <t>Class 1-3 / Urban</t>
        </is>
      </c>
      <c r="L209" s="18" t="n">
        <v>17215</v>
      </c>
      <c r="M209" s="20" t="n">
        <v>4.2</v>
      </c>
      <c r="N209" s="18">
        <f>ROUND(L209/M209, 0)</f>
        <v/>
      </c>
      <c r="O209" s="18">
        <f>ROUND(N209*'Methodology &amp; Assumptions'!$B$8, 0)</f>
        <v/>
      </c>
      <c r="P209" s="8" t="inlineStr">
        <is>
          <t>Band n50 (1.5 GHz, 60 MHz)</t>
        </is>
      </c>
      <c r="Q209" s="38">
        <f>ROUNDUP(O209/'Methodology &amp; Assumptions'!$B$9, 0)</f>
        <v/>
      </c>
      <c r="R209" s="39" t="n">
        <v>1</v>
      </c>
      <c r="S209" s="21" t="n">
        <v>1.16</v>
      </c>
      <c r="T209" s="21" t="n">
        <v>3.59</v>
      </c>
      <c r="U209" s="36" t="inlineStr">
        <is>
          <t>Tier 1B (Micro Drop, 1-3 km)</t>
        </is>
      </c>
      <c r="V209" s="20" t="n">
        <v>67.90000000000001</v>
      </c>
      <c r="W209" s="20" t="n">
        <v>100</v>
      </c>
      <c r="X209" s="20" t="n">
        <v>28</v>
      </c>
      <c r="Y209" s="40">
        <f>ROUND((V209*'Methodology &amp; Assumptions'!$B$6)+(W209*'Methodology &amp; Assumptions'!$B$5)+(X209*'Methodology &amp; Assumptions'!$B$7), 2)</f>
        <v/>
      </c>
    </row>
    <row r="210" ht="19" customHeight="1">
      <c r="A210" s="41" t="n">
        <v>206</v>
      </c>
      <c r="B210" s="41" t="n">
        <v>3206</v>
      </c>
      <c r="C210" s="42" t="inlineStr">
        <is>
          <t>0631000032</t>
        </is>
      </c>
      <c r="D210" s="42" t="inlineStr">
        <is>
          <t>Region VI (Western Visayas)</t>
        </is>
      </c>
      <c r="E210" s="42" t="inlineStr">
        <is>
          <t>Iloilo</t>
        </is>
      </c>
      <c r="F210" s="42" t="inlineStr">
        <is>
          <t>City of Iloilo</t>
        </is>
      </c>
      <c r="G210" s="42" t="inlineStr">
        <is>
          <t>Calumpang</t>
        </is>
      </c>
      <c r="H210" s="43" t="n">
        <v>10.681558</v>
      </c>
      <c r="I210" s="43" t="n">
        <v>122.53761</v>
      </c>
      <c r="J210" s="44" t="inlineStr">
        <is>
          <t>U</t>
        </is>
      </c>
      <c r="K210" s="42" t="inlineStr">
        <is>
          <t>Class 1-3 / Urban</t>
        </is>
      </c>
      <c r="L210" s="23" t="n">
        <v>15994</v>
      </c>
      <c r="M210" s="24" t="n">
        <v>4.39</v>
      </c>
      <c r="N210" s="23">
        <f>ROUND(L210/M210, 0)</f>
        <v/>
      </c>
      <c r="O210" s="23">
        <f>ROUND(N210*'Methodology &amp; Assumptions'!$B$8, 0)</f>
        <v/>
      </c>
      <c r="P210" s="44" t="inlineStr">
        <is>
          <t>Band n50 (1.5 GHz, 60 MHz)</t>
        </is>
      </c>
      <c r="Q210" s="38">
        <f>ROUNDUP(O210/'Methodology &amp; Assumptions'!$B$9, 0)</f>
        <v/>
      </c>
      <c r="R210" s="39" t="n">
        <v>1</v>
      </c>
      <c r="S210" s="25" t="n">
        <v>1.16</v>
      </c>
      <c r="T210" s="25" t="n">
        <v>4.06</v>
      </c>
      <c r="U210" s="42" t="inlineStr">
        <is>
          <t>Tier 1B (Micro Drop, 1-3 km)</t>
        </is>
      </c>
      <c r="V210" s="24" t="n">
        <v>67.90000000000001</v>
      </c>
      <c r="W210" s="24" t="n">
        <v>100</v>
      </c>
      <c r="X210" s="24" t="n">
        <v>28</v>
      </c>
      <c r="Y210" s="45">
        <f>ROUND((V210*'Methodology &amp; Assumptions'!$B$6)+(W210*'Methodology &amp; Assumptions'!$B$5)+(X210*'Methodology &amp; Assumptions'!$B$7), 2)</f>
        <v/>
      </c>
    </row>
    <row r="211" ht="19" customHeight="1">
      <c r="A211" s="35" t="n">
        <v>207</v>
      </c>
      <c r="B211" s="35" t="n">
        <v>3207</v>
      </c>
      <c r="C211" s="36" t="inlineStr">
        <is>
          <t>0401014057</t>
        </is>
      </c>
      <c r="D211" s="36" t="inlineStr">
        <is>
          <t>Region IV-A (CALABARZON)</t>
        </is>
      </c>
      <c r="E211" s="36" t="inlineStr">
        <is>
          <t>Batangas</t>
        </is>
      </c>
      <c r="F211" s="36" t="inlineStr">
        <is>
          <t>City of Lipa</t>
        </is>
      </c>
      <c r="G211" s="36" t="inlineStr">
        <is>
          <t>San Carlos</t>
        </is>
      </c>
      <c r="H211" s="37" t="n">
        <v>13.947377</v>
      </c>
      <c r="I211" s="37" t="n">
        <v>121.151645</v>
      </c>
      <c r="J211" s="8" t="inlineStr">
        <is>
          <t>U</t>
        </is>
      </c>
      <c r="K211" s="36" t="inlineStr">
        <is>
          <t>Class 1-3 / Urban</t>
        </is>
      </c>
      <c r="L211" s="18" t="n">
        <v>7759</v>
      </c>
      <c r="M211" s="20" t="n">
        <v>4.62</v>
      </c>
      <c r="N211" s="18">
        <f>ROUND(L211/M211, 0)</f>
        <v/>
      </c>
      <c r="O211" s="18">
        <f>ROUND(N211*'Methodology &amp; Assumptions'!$B$8, 0)</f>
        <v/>
      </c>
      <c r="P211" s="8" t="inlineStr">
        <is>
          <t>Band n50 (1.5 GHz, 60 MHz)</t>
        </is>
      </c>
      <c r="Q211" s="38">
        <f>ROUNDUP(O211/'Methodology &amp; Assumptions'!$B$9, 0)</f>
        <v/>
      </c>
      <c r="R211" s="39" t="n">
        <v>1</v>
      </c>
      <c r="S211" s="21" t="n">
        <v>1.64</v>
      </c>
      <c r="T211" s="21" t="n">
        <v>0.42</v>
      </c>
      <c r="U211" s="36" t="inlineStr">
        <is>
          <t>Tier 1B (Micro Drop, 1-3 km)</t>
        </is>
      </c>
      <c r="V211" s="20" t="n">
        <v>67.90000000000001</v>
      </c>
      <c r="W211" s="20" t="n">
        <v>100</v>
      </c>
      <c r="X211" s="20" t="n">
        <v>28</v>
      </c>
      <c r="Y211" s="40">
        <f>ROUND((V211*'Methodology &amp; Assumptions'!$B$6)+(W211*'Methodology &amp; Assumptions'!$B$5)+(X211*'Methodology &amp; Assumptions'!$B$7), 2)</f>
        <v/>
      </c>
    </row>
    <row r="212" ht="19" customHeight="1">
      <c r="A212" s="41" t="n">
        <v>208</v>
      </c>
      <c r="B212" s="41" t="n">
        <v>3208</v>
      </c>
      <c r="C212" s="42" t="inlineStr">
        <is>
          <t>0304911023</t>
        </is>
      </c>
      <c r="D212" s="42" t="inlineStr">
        <is>
          <t>Region III (Central Luzon)</t>
        </is>
      </c>
      <c r="E212" s="42" t="inlineStr">
        <is>
          <t>Nueva Ecija</t>
        </is>
      </c>
      <c r="F212" s="42" t="inlineStr">
        <is>
          <t>Guimba</t>
        </is>
      </c>
      <c r="G212" s="42" t="inlineStr">
        <is>
          <t>Cawayan Bugtong</t>
        </is>
      </c>
      <c r="H212" s="43" t="n">
        <v>15.650494</v>
      </c>
      <c r="I212" s="43" t="n">
        <v>120.779933</v>
      </c>
      <c r="J212" s="44" t="inlineStr">
        <is>
          <t>U</t>
        </is>
      </c>
      <c r="K212" s="42" t="inlineStr">
        <is>
          <t>Class 1-3 / Urban</t>
        </is>
      </c>
      <c r="L212" s="23" t="n">
        <v>4593</v>
      </c>
      <c r="M212" s="24" t="n">
        <v>4.32</v>
      </c>
      <c r="N212" s="23">
        <f>ROUND(L212/M212, 0)</f>
        <v/>
      </c>
      <c r="O212" s="23">
        <f>ROUND(N212*'Methodology &amp; Assumptions'!$B$8, 0)</f>
        <v/>
      </c>
      <c r="P212" s="44" t="inlineStr">
        <is>
          <t>Band n50 (1.5 GHz, 60 MHz)</t>
        </is>
      </c>
      <c r="Q212" s="38">
        <f>ROUNDUP(O212/'Methodology &amp; Assumptions'!$B$9, 0)</f>
        <v/>
      </c>
      <c r="R212" s="39" t="n">
        <v>1</v>
      </c>
      <c r="S212" s="25" t="n">
        <v>1.64</v>
      </c>
      <c r="T212" s="25" t="n">
        <v>0.48</v>
      </c>
      <c r="U212" s="42" t="inlineStr">
        <is>
          <t>Tier 1B (Micro Drop, 1-3 km)</t>
        </is>
      </c>
      <c r="V212" s="24" t="n">
        <v>67.90000000000001</v>
      </c>
      <c r="W212" s="24" t="n">
        <v>100</v>
      </c>
      <c r="X212" s="24" t="n">
        <v>28</v>
      </c>
      <c r="Y212" s="45">
        <f>ROUND((V212*'Methodology &amp; Assumptions'!$B$6)+(W212*'Methodology &amp; Assumptions'!$B$5)+(X212*'Methodology &amp; Assumptions'!$B$7), 2)</f>
        <v/>
      </c>
    </row>
    <row r="213" ht="19" customHeight="1">
      <c r="A213" s="35" t="n">
        <v>209</v>
      </c>
      <c r="B213" s="35" t="n">
        <v>3209</v>
      </c>
      <c r="C213" s="36" t="inlineStr">
        <is>
          <t>1705205009</t>
        </is>
      </c>
      <c r="D213" s="36" t="inlineStr">
        <is>
          <t>MIMAROPA Region</t>
        </is>
      </c>
      <c r="E213" s="36" t="inlineStr">
        <is>
          <t>Oriental Mindoro</t>
        </is>
      </c>
      <c r="F213" s="36" t="inlineStr">
        <is>
          <t>City of Calapan</t>
        </is>
      </c>
      <c r="G213" s="36" t="inlineStr">
        <is>
          <t>Bucayao</t>
        </is>
      </c>
      <c r="H213" s="37" t="n">
        <v>13.306581</v>
      </c>
      <c r="I213" s="37" t="n">
        <v>121.191717</v>
      </c>
      <c r="J213" s="8" t="inlineStr">
        <is>
          <t>R</t>
        </is>
      </c>
      <c r="K213" s="36" t="inlineStr">
        <is>
          <t>Class 1-3 / Urban</t>
        </is>
      </c>
      <c r="L213" s="18" t="n">
        <v>2640</v>
      </c>
      <c r="M213" s="20" t="n">
        <v>4.41</v>
      </c>
      <c r="N213" s="18">
        <f>ROUND(L213/M213, 0)</f>
        <v/>
      </c>
      <c r="O213" s="18">
        <f>ROUND(N213*'Methodology &amp; Assumptions'!$B$8, 0)</f>
        <v/>
      </c>
      <c r="P213" s="8" t="inlineStr">
        <is>
          <t>Band n50 (1.5 GHz, 60 MHz)</t>
        </is>
      </c>
      <c r="Q213" s="38">
        <f>ROUNDUP(O213/'Methodology &amp; Assumptions'!$B$9, 0)</f>
        <v/>
      </c>
      <c r="R213" s="39" t="n">
        <v>1</v>
      </c>
      <c r="S213" s="21" t="n">
        <v>1.33</v>
      </c>
      <c r="T213" s="21" t="n">
        <v>0.19</v>
      </c>
      <c r="U213" s="36" t="inlineStr">
        <is>
          <t>Tier 1B (Micro Drop, 1-3 km)</t>
        </is>
      </c>
      <c r="V213" s="20" t="n">
        <v>74.2</v>
      </c>
      <c r="W213" s="20" t="n">
        <v>68</v>
      </c>
      <c r="X213" s="20" t="n">
        <v>58</v>
      </c>
      <c r="Y213" s="40">
        <f>ROUND((V213*'Methodology &amp; Assumptions'!$B$6)+(W213*'Methodology &amp; Assumptions'!$B$5)+(X213*'Methodology &amp; Assumptions'!$B$7), 2)</f>
        <v/>
      </c>
    </row>
    <row r="214" ht="19" customHeight="1">
      <c r="A214" s="41" t="n">
        <v>210</v>
      </c>
      <c r="B214" s="41" t="n">
        <v>3210</v>
      </c>
      <c r="C214" s="42" t="inlineStr">
        <is>
          <t>0103305020</t>
        </is>
      </c>
      <c r="D214" s="42" t="inlineStr">
        <is>
          <t>Region I (Ilocos Region)</t>
        </is>
      </c>
      <c r="E214" s="42" t="inlineStr">
        <is>
          <t>La Union</t>
        </is>
      </c>
      <c r="F214" s="42" t="inlineStr">
        <is>
          <t>Balaoan</t>
        </is>
      </c>
      <c r="G214" s="42" t="inlineStr">
        <is>
          <t>Nalasin</t>
        </is>
      </c>
      <c r="H214" s="43" t="n">
        <v>16.818277</v>
      </c>
      <c r="I214" s="43" t="n">
        <v>120.406816</v>
      </c>
      <c r="J214" s="44" t="inlineStr">
        <is>
          <t>R</t>
        </is>
      </c>
      <c r="K214" s="42" t="inlineStr">
        <is>
          <t>Class 1-3 / Urban</t>
        </is>
      </c>
      <c r="L214" s="23" t="n">
        <v>1479</v>
      </c>
      <c r="M214" s="24" t="n">
        <v>4.42</v>
      </c>
      <c r="N214" s="23">
        <f>ROUND(L214/M214, 0)</f>
        <v/>
      </c>
      <c r="O214" s="23">
        <f>ROUND(N214*'Methodology &amp; Assumptions'!$B$8, 0)</f>
        <v/>
      </c>
      <c r="P214" s="44" t="inlineStr">
        <is>
          <t>Band n50 (1.5 GHz, 60 MHz)</t>
        </is>
      </c>
      <c r="Q214" s="38">
        <f>ROUNDUP(O214/'Methodology &amp; Assumptions'!$B$9, 0)</f>
        <v/>
      </c>
      <c r="R214" s="39" t="n">
        <v>1</v>
      </c>
      <c r="S214" s="25" t="n">
        <v>0.61</v>
      </c>
      <c r="T214" s="25" t="n">
        <v>0.53</v>
      </c>
      <c r="U214" s="42" t="inlineStr">
        <is>
          <t>Tier 1A (Direct Coloc, &lt;1 km)</t>
        </is>
      </c>
      <c r="V214" s="24" t="n">
        <v>91.5</v>
      </c>
      <c r="W214" s="24" t="n">
        <v>50.7</v>
      </c>
      <c r="X214" s="24" t="n">
        <v>58</v>
      </c>
      <c r="Y214" s="45">
        <f>ROUND((V214*'Methodology &amp; Assumptions'!$B$6)+(W214*'Methodology &amp; Assumptions'!$B$5)+(X214*'Methodology &amp; Assumptions'!$B$7), 2)</f>
        <v/>
      </c>
    </row>
    <row r="215" ht="19" customHeight="1">
      <c r="A215" s="35" t="n">
        <v>211</v>
      </c>
      <c r="B215" s="35" t="n">
        <v>3211</v>
      </c>
      <c r="C215" s="36" t="inlineStr">
        <is>
          <t>0402118049</t>
        </is>
      </c>
      <c r="D215" s="36" t="inlineStr">
        <is>
          <t>Region IV-A (CALABARZON)</t>
        </is>
      </c>
      <c r="E215" s="36" t="inlineStr">
        <is>
          <t>Cavite</t>
        </is>
      </c>
      <c r="F215" s="36" t="inlineStr">
        <is>
          <t>Silang</t>
        </is>
      </c>
      <c r="G215" s="36" t="inlineStr">
        <is>
          <t>Acacia</t>
        </is>
      </c>
      <c r="H215" s="37" t="n">
        <v>14.27716</v>
      </c>
      <c r="I215" s="37" t="n">
        <v>120.992737</v>
      </c>
      <c r="J215" s="8" t="inlineStr">
        <is>
          <t>U</t>
        </is>
      </c>
      <c r="K215" s="36" t="inlineStr">
        <is>
          <t>Class 1-3 / Urban</t>
        </is>
      </c>
      <c r="L215" s="18" t="n">
        <v>9671</v>
      </c>
      <c r="M215" s="20" t="n">
        <v>4.49</v>
      </c>
      <c r="N215" s="18">
        <f>ROUND(L215/M215, 0)</f>
        <v/>
      </c>
      <c r="O215" s="18">
        <f>ROUND(N215*'Methodology &amp; Assumptions'!$B$8, 0)</f>
        <v/>
      </c>
      <c r="P215" s="8" t="inlineStr">
        <is>
          <t>Band n50 (1.5 GHz, 60 MHz)</t>
        </is>
      </c>
      <c r="Q215" s="38">
        <f>ROUNDUP(O215/'Methodology &amp; Assumptions'!$B$9, 0)</f>
        <v/>
      </c>
      <c r="R215" s="39" t="n">
        <v>1</v>
      </c>
      <c r="S215" s="21" t="n">
        <v>1.16</v>
      </c>
      <c r="T215" s="21" t="n">
        <v>2.84</v>
      </c>
      <c r="U215" s="36" t="inlineStr">
        <is>
          <t>Tier 1B (Micro Drop, 1-3 km)</t>
        </is>
      </c>
      <c r="V215" s="20" t="n">
        <v>67.90000000000001</v>
      </c>
      <c r="W215" s="20" t="n">
        <v>100</v>
      </c>
      <c r="X215" s="20" t="n">
        <v>28</v>
      </c>
      <c r="Y215" s="40">
        <f>ROUND((V215*'Methodology &amp; Assumptions'!$B$6)+(W215*'Methodology &amp; Assumptions'!$B$5)+(X215*'Methodology &amp; Assumptions'!$B$7), 2)</f>
        <v/>
      </c>
    </row>
    <row r="216" ht="19" customHeight="1">
      <c r="A216" s="41" t="n">
        <v>212</v>
      </c>
      <c r="B216" s="41" t="n">
        <v>3212</v>
      </c>
      <c r="C216" s="42" t="inlineStr">
        <is>
          <t>0730600069</t>
        </is>
      </c>
      <c r="D216" s="42" t="inlineStr">
        <is>
          <t>Region VII (Central Visayas)</t>
        </is>
      </c>
      <c r="E216" s="42" t="inlineStr">
        <is>
          <t>Cebu</t>
        </is>
      </c>
      <c r="F216" s="42" t="inlineStr">
        <is>
          <t>City of Cebu</t>
        </is>
      </c>
      <c r="G216" s="42" t="inlineStr">
        <is>
          <t>San Roque</t>
        </is>
      </c>
      <c r="H216" s="43" t="n">
        <v>10.295185</v>
      </c>
      <c r="I216" s="43" t="n">
        <v>123.907812</v>
      </c>
      <c r="J216" s="44" t="inlineStr">
        <is>
          <t>U</t>
        </is>
      </c>
      <c r="K216" s="42" t="inlineStr">
        <is>
          <t>Class 1-3 / Urban</t>
        </is>
      </c>
      <c r="L216" s="23" t="n">
        <v>3617</v>
      </c>
      <c r="M216" s="24" t="n">
        <v>4.42</v>
      </c>
      <c r="N216" s="23">
        <f>ROUND(L216/M216, 0)</f>
        <v/>
      </c>
      <c r="O216" s="23">
        <f>ROUND(N216*'Methodology &amp; Assumptions'!$B$8, 0)</f>
        <v/>
      </c>
      <c r="P216" s="44" t="inlineStr">
        <is>
          <t>Band n50 (1.5 GHz, 60 MHz)</t>
        </is>
      </c>
      <c r="Q216" s="38">
        <f>ROUNDUP(O216/'Methodology &amp; Assumptions'!$B$9, 0)</f>
        <v/>
      </c>
      <c r="R216" s="39" t="n">
        <v>1</v>
      </c>
      <c r="S216" s="25" t="n">
        <v>1.13</v>
      </c>
      <c r="T216" s="25" t="n">
        <v>1.07</v>
      </c>
      <c r="U216" s="42" t="inlineStr">
        <is>
          <t>Tier 1B (Micro Drop, 1-3 km)</t>
        </is>
      </c>
      <c r="V216" s="24" t="n">
        <v>78.59999999999999</v>
      </c>
      <c r="W216" s="24" t="n">
        <v>89.3</v>
      </c>
      <c r="X216" s="24" t="n">
        <v>28</v>
      </c>
      <c r="Y216" s="45">
        <f>ROUND((V216*'Methodology &amp; Assumptions'!$B$6)+(W216*'Methodology &amp; Assumptions'!$B$5)+(X216*'Methodology &amp; Assumptions'!$B$7), 2)</f>
        <v/>
      </c>
    </row>
    <row r="217" ht="19" customHeight="1">
      <c r="A217" s="35" t="n">
        <v>213</v>
      </c>
      <c r="B217" s="35" t="n">
        <v>3213</v>
      </c>
      <c r="C217" s="36" t="inlineStr">
        <is>
          <t>0500517042</t>
        </is>
      </c>
      <c r="D217" s="36" t="inlineStr">
        <is>
          <t>Region V (Bicol Region)</t>
        </is>
      </c>
      <c r="E217" s="36" t="inlineStr">
        <is>
          <t>Albay</t>
        </is>
      </c>
      <c r="F217" s="36" t="inlineStr">
        <is>
          <t>City of Tabaco</t>
        </is>
      </c>
      <c r="G217" s="36" t="inlineStr">
        <is>
          <t>San Vicente</t>
        </is>
      </c>
      <c r="H217" s="37" t="n">
        <v>13.35704</v>
      </c>
      <c r="I217" s="37" t="n">
        <v>123.700207</v>
      </c>
      <c r="J217" s="8" t="inlineStr">
        <is>
          <t>R</t>
        </is>
      </c>
      <c r="K217" s="36" t="inlineStr">
        <is>
          <t>Class 1-3 / Urban</t>
        </is>
      </c>
      <c r="L217" s="18" t="n">
        <v>4670</v>
      </c>
      <c r="M217" s="20" t="n">
        <v>4.67</v>
      </c>
      <c r="N217" s="18">
        <f>ROUND(L217/M217, 0)</f>
        <v/>
      </c>
      <c r="O217" s="18">
        <f>ROUND(N217*'Methodology &amp; Assumptions'!$B$8, 0)</f>
        <v/>
      </c>
      <c r="P217" s="8" t="inlineStr">
        <is>
          <t>Band n50 (1.5 GHz, 60 MHz)</t>
        </is>
      </c>
      <c r="Q217" s="38">
        <f>ROUNDUP(O217/'Methodology &amp; Assumptions'!$B$9, 0)</f>
        <v/>
      </c>
      <c r="R217" s="39" t="n">
        <v>1</v>
      </c>
      <c r="S217" s="21" t="n">
        <v>3.4</v>
      </c>
      <c r="T217" s="21" t="n">
        <v>0.43</v>
      </c>
      <c r="U217" s="36" t="inlineStr">
        <is>
          <t>Tier 2 (Fiber Corridor / Lateral, 3-5 km)</t>
        </is>
      </c>
      <c r="V217" s="20" t="n">
        <v>42.2</v>
      </c>
      <c r="W217" s="20" t="n">
        <v>100</v>
      </c>
      <c r="X217" s="20" t="n">
        <v>58</v>
      </c>
      <c r="Y217" s="40">
        <f>ROUND((V217*'Methodology &amp; Assumptions'!$B$6)+(W217*'Methodology &amp; Assumptions'!$B$5)+(X217*'Methodology &amp; Assumptions'!$B$7), 2)</f>
        <v/>
      </c>
    </row>
    <row r="218" ht="19" customHeight="1">
      <c r="A218" s="41" t="n">
        <v>214</v>
      </c>
      <c r="B218" s="41" t="n">
        <v>3214</v>
      </c>
      <c r="C218" s="42" t="inlineStr">
        <is>
          <t>0401008028</t>
        </is>
      </c>
      <c r="D218" s="42" t="inlineStr">
        <is>
          <t>Region IV-A (CALABARZON)</t>
        </is>
      </c>
      <c r="E218" s="42" t="inlineStr">
        <is>
          <t>Batangas</t>
        </is>
      </c>
      <c r="F218" s="42" t="inlineStr">
        <is>
          <t>Calatagan</t>
        </is>
      </c>
      <c r="G218" s="42" t="inlineStr">
        <is>
          <t>Tanagan</t>
        </is>
      </c>
      <c r="H218" s="43" t="n">
        <v>13.8106</v>
      </c>
      <c r="I218" s="43" t="n">
        <v>120.6475</v>
      </c>
      <c r="J218" s="44" t="inlineStr">
        <is>
          <t>R</t>
        </is>
      </c>
      <c r="K218" s="42" t="inlineStr">
        <is>
          <t>Class 1-3 / Urban</t>
        </is>
      </c>
      <c r="L218" s="23" t="n">
        <v>4598</v>
      </c>
      <c r="M218" s="24" t="n">
        <v>4.62</v>
      </c>
      <c r="N218" s="23">
        <f>ROUND(L218/M218, 0)</f>
        <v/>
      </c>
      <c r="O218" s="23">
        <f>ROUND(N218*'Methodology &amp; Assumptions'!$B$8, 0)</f>
        <v/>
      </c>
      <c r="P218" s="44" t="inlineStr">
        <is>
          <t>Band n50 (1.5 GHz, 60 MHz)</t>
        </is>
      </c>
      <c r="Q218" s="38">
        <f>ROUNDUP(O218/'Methodology &amp; Assumptions'!$B$9, 0)</f>
        <v/>
      </c>
      <c r="R218" s="39" t="n">
        <v>1</v>
      </c>
      <c r="S218" s="25" t="n">
        <v>2.59</v>
      </c>
      <c r="T218" s="25" t="n">
        <v>2.7</v>
      </c>
      <c r="U218" s="42" t="inlineStr">
        <is>
          <t>Tier 1B (Micro Drop, 1-3 km)</t>
        </is>
      </c>
      <c r="V218" s="24" t="n">
        <v>42.2</v>
      </c>
      <c r="W218" s="24" t="n">
        <v>100</v>
      </c>
      <c r="X218" s="24" t="n">
        <v>58</v>
      </c>
      <c r="Y218" s="45">
        <f>ROUND((V218*'Methodology &amp; Assumptions'!$B$6)+(W218*'Methodology &amp; Assumptions'!$B$5)+(X218*'Methodology &amp; Assumptions'!$B$7), 2)</f>
        <v/>
      </c>
    </row>
    <row r="219" ht="19" customHeight="1">
      <c r="A219" s="35" t="n">
        <v>215</v>
      </c>
      <c r="B219" s="35" t="n">
        <v>3215</v>
      </c>
      <c r="C219" s="36" t="inlineStr">
        <is>
          <t>0401023004</t>
        </is>
      </c>
      <c r="D219" s="36" t="inlineStr">
        <is>
          <t>Region IV-A (CALABARZON)</t>
        </is>
      </c>
      <c r="E219" s="36" t="inlineStr">
        <is>
          <t>Batangas</t>
        </is>
      </c>
      <c r="F219" s="36" t="inlineStr">
        <is>
          <t>San Juan</t>
        </is>
      </c>
      <c r="G219" s="36" t="inlineStr">
        <is>
          <t>Bataan</t>
        </is>
      </c>
      <c r="H219" s="37" t="n">
        <v>13.69848</v>
      </c>
      <c r="I219" s="37" t="n">
        <v>121.437047</v>
      </c>
      <c r="J219" s="8" t="inlineStr">
        <is>
          <t>R</t>
        </is>
      </c>
      <c r="K219" s="36" t="inlineStr">
        <is>
          <t>Class 1-3 / Urban</t>
        </is>
      </c>
      <c r="L219" s="18" t="n">
        <v>1905</v>
      </c>
      <c r="M219" s="20" t="n">
        <v>4.62</v>
      </c>
      <c r="N219" s="18">
        <f>ROUND(L219/M219, 0)</f>
        <v/>
      </c>
      <c r="O219" s="18">
        <f>ROUND(N219*'Methodology &amp; Assumptions'!$B$8, 0)</f>
        <v/>
      </c>
      <c r="P219" s="8" t="inlineStr">
        <is>
          <t>Band n50 (1.5 GHz, 60 MHz)</t>
        </is>
      </c>
      <c r="Q219" s="38">
        <f>ROUNDUP(O219/'Methodology &amp; Assumptions'!$B$9, 0)</f>
        <v/>
      </c>
      <c r="R219" s="39" t="n">
        <v>1</v>
      </c>
      <c r="S219" s="21" t="n">
        <v>0.48</v>
      </c>
      <c r="T219" s="21" t="n">
        <v>10.02</v>
      </c>
      <c r="U219" s="36" t="inlineStr">
        <is>
          <t>Tier 1A (Direct Coloc, &lt;1 km)</t>
        </is>
      </c>
      <c r="V219" s="20" t="n">
        <v>85.09999999999999</v>
      </c>
      <c r="W219" s="20" t="n">
        <v>57.1</v>
      </c>
      <c r="X219" s="20" t="n">
        <v>58</v>
      </c>
      <c r="Y219" s="40">
        <f>ROUND((V219*'Methodology &amp; Assumptions'!$B$6)+(W219*'Methodology &amp; Assumptions'!$B$5)+(X219*'Methodology &amp; Assumptions'!$B$7), 2)</f>
        <v/>
      </c>
    </row>
    <row r="220" ht="19" customHeight="1">
      <c r="A220" s="41" t="n">
        <v>216</v>
      </c>
      <c r="B220" s="41" t="n">
        <v>3216</v>
      </c>
      <c r="C220" s="42" t="inlineStr">
        <is>
          <t>0702232001</t>
        </is>
      </c>
      <c r="D220" s="42" t="inlineStr">
        <is>
          <t>Region VII (Central Visayas)</t>
        </is>
      </c>
      <c r="E220" s="42" t="inlineStr">
        <is>
          <t>Cebu</t>
        </is>
      </c>
      <c r="F220" s="42" t="inlineStr">
        <is>
          <t>Minglanilla</t>
        </is>
      </c>
      <c r="G220" s="42" t="inlineStr">
        <is>
          <t>Cadulawan</t>
        </is>
      </c>
      <c r="H220" s="43" t="n">
        <v>10.256356</v>
      </c>
      <c r="I220" s="43" t="n">
        <v>123.787689</v>
      </c>
      <c r="J220" s="44" t="inlineStr">
        <is>
          <t>U</t>
        </is>
      </c>
      <c r="K220" s="42" t="inlineStr">
        <is>
          <t>Class 1-3 / Urban</t>
        </is>
      </c>
      <c r="L220" s="23" t="n">
        <v>6272</v>
      </c>
      <c r="M220" s="24" t="n">
        <v>4.42</v>
      </c>
      <c r="N220" s="23">
        <f>ROUND(L220/M220, 0)</f>
        <v/>
      </c>
      <c r="O220" s="23">
        <f>ROUND(N220*'Methodology &amp; Assumptions'!$B$8, 0)</f>
        <v/>
      </c>
      <c r="P220" s="44" t="inlineStr">
        <is>
          <t>Band n50 (1.5 GHz, 60 MHz)</t>
        </is>
      </c>
      <c r="Q220" s="38">
        <f>ROUNDUP(O220/'Methodology &amp; Assumptions'!$B$9, 0)</f>
        <v/>
      </c>
      <c r="R220" s="39" t="n">
        <v>1</v>
      </c>
      <c r="S220" s="25" t="n">
        <v>1.64</v>
      </c>
      <c r="T220" s="25" t="n">
        <v>1.42</v>
      </c>
      <c r="U220" s="42" t="inlineStr">
        <is>
          <t>Tier 1B (Micro Drop, 1-3 km)</t>
        </is>
      </c>
      <c r="V220" s="24" t="n">
        <v>67.90000000000001</v>
      </c>
      <c r="W220" s="24" t="n">
        <v>100</v>
      </c>
      <c r="X220" s="24" t="n">
        <v>28</v>
      </c>
      <c r="Y220" s="45">
        <f>ROUND((V220*'Methodology &amp; Assumptions'!$B$6)+(W220*'Methodology &amp; Assumptions'!$B$5)+(X220*'Methodology &amp; Assumptions'!$B$7), 2)</f>
        <v/>
      </c>
    </row>
    <row r="221" ht="19" customHeight="1">
      <c r="A221" s="35" t="n">
        <v>217</v>
      </c>
      <c r="B221" s="35" t="n">
        <v>3217</v>
      </c>
      <c r="C221" s="36" t="inlineStr">
        <is>
          <t>0301419019</t>
        </is>
      </c>
      <c r="D221" s="36" t="inlineStr">
        <is>
          <t>Region III (Central Luzon)</t>
        </is>
      </c>
      <c r="E221" s="36" t="inlineStr">
        <is>
          <t>Bulacan</t>
        </is>
      </c>
      <c r="F221" s="36" t="inlineStr">
        <is>
          <t>San Ildefonso</t>
        </is>
      </c>
      <c r="G221" s="36" t="inlineStr">
        <is>
          <t>Makapilapil</t>
        </is>
      </c>
      <c r="H221" s="37" t="n">
        <v>15.089982</v>
      </c>
      <c r="I221" s="37" t="n">
        <v>120.939322</v>
      </c>
      <c r="J221" s="8" t="inlineStr">
        <is>
          <t>R</t>
        </is>
      </c>
      <c r="K221" s="36" t="inlineStr">
        <is>
          <t>Class 1-3 / Urban</t>
        </is>
      </c>
      <c r="L221" s="18" t="n">
        <v>2744</v>
      </c>
      <c r="M221" s="20" t="n">
        <v>4.1</v>
      </c>
      <c r="N221" s="18">
        <f>ROUND(L221/M221, 0)</f>
        <v/>
      </c>
      <c r="O221" s="18">
        <f>ROUND(N221*'Methodology &amp; Assumptions'!$B$8, 0)</f>
        <v/>
      </c>
      <c r="P221" s="8" t="inlineStr">
        <is>
          <t>Band n50 (1.5 GHz, 60 MHz)</t>
        </is>
      </c>
      <c r="Q221" s="38">
        <f>ROUNDUP(O221/'Methodology &amp; Assumptions'!$B$9, 0)</f>
        <v/>
      </c>
      <c r="R221" s="39" t="n">
        <v>1</v>
      </c>
      <c r="S221" s="21" t="n">
        <v>1.82</v>
      </c>
      <c r="T221" s="21" t="n">
        <v>0.04</v>
      </c>
      <c r="U221" s="36" t="inlineStr">
        <is>
          <t>Tier 1B (Micro Drop, 1-3 km)</t>
        </is>
      </c>
      <c r="V221" s="20" t="n">
        <v>64.5</v>
      </c>
      <c r="W221" s="20" t="n">
        <v>77.59999999999999</v>
      </c>
      <c r="X221" s="20" t="n">
        <v>58</v>
      </c>
      <c r="Y221" s="40">
        <f>ROUND((V221*'Methodology &amp; Assumptions'!$B$6)+(W221*'Methodology &amp; Assumptions'!$B$5)+(X221*'Methodology &amp; Assumptions'!$B$7), 2)</f>
        <v/>
      </c>
    </row>
    <row r="222" ht="19" customHeight="1">
      <c r="A222" s="41" t="n">
        <v>218</v>
      </c>
      <c r="B222" s="41" t="n">
        <v>3218</v>
      </c>
      <c r="C222" s="42" t="inlineStr">
        <is>
          <t>0402103070</t>
        </is>
      </c>
      <c r="D222" s="42" t="inlineStr">
        <is>
          <t>Region IV-A (CALABARZON)</t>
        </is>
      </c>
      <c r="E222" s="42" t="inlineStr">
        <is>
          <t>Cavite</t>
        </is>
      </c>
      <c r="F222" s="42" t="inlineStr">
        <is>
          <t>City of Bacoor</t>
        </is>
      </c>
      <c r="G222" s="42" t="inlineStr">
        <is>
          <t>Talaba VI</t>
        </is>
      </c>
      <c r="H222" s="43" t="n">
        <v>14.436707</v>
      </c>
      <c r="I222" s="43" t="n">
        <v>120.961346</v>
      </c>
      <c r="J222" s="44" t="inlineStr">
        <is>
          <t>R</t>
        </is>
      </c>
      <c r="K222" s="42" t="inlineStr">
        <is>
          <t>Class 1-3 / Urban</t>
        </is>
      </c>
      <c r="L222" s="23" t="n">
        <v>2592</v>
      </c>
      <c r="M222" s="24" t="n">
        <v>4.49</v>
      </c>
      <c r="N222" s="23">
        <f>ROUND(L222/M222, 0)</f>
        <v/>
      </c>
      <c r="O222" s="23">
        <f>ROUND(N222*'Methodology &amp; Assumptions'!$B$8, 0)</f>
        <v/>
      </c>
      <c r="P222" s="44" t="inlineStr">
        <is>
          <t>Band n50 (1.5 GHz, 60 MHz)</t>
        </is>
      </c>
      <c r="Q222" s="38">
        <f>ROUNDUP(O222/'Methodology &amp; Assumptions'!$B$9, 0)</f>
        <v/>
      </c>
      <c r="R222" s="39" t="n">
        <v>1</v>
      </c>
      <c r="S222" s="25" t="n">
        <v>1.43</v>
      </c>
      <c r="T222" s="25" t="n">
        <v>1.32</v>
      </c>
      <c r="U222" s="42" t="inlineStr">
        <is>
          <t>Tier 1B (Micro Drop, 1-3 km)</t>
        </is>
      </c>
      <c r="V222" s="24" t="n">
        <v>72</v>
      </c>
      <c r="W222" s="24" t="n">
        <v>70.09999999999999</v>
      </c>
      <c r="X222" s="24" t="n">
        <v>58</v>
      </c>
      <c r="Y222" s="45">
        <f>ROUND((V222*'Methodology &amp; Assumptions'!$B$6)+(W222*'Methodology &amp; Assumptions'!$B$5)+(X222*'Methodology &amp; Assumptions'!$B$7), 2)</f>
        <v/>
      </c>
    </row>
    <row r="223" ht="19" customHeight="1">
      <c r="A223" s="35" t="n">
        <v>219</v>
      </c>
      <c r="B223" s="35" t="n">
        <v>3219</v>
      </c>
      <c r="C223" s="36" t="inlineStr">
        <is>
          <t>0500516017</t>
        </is>
      </c>
      <c r="D223" s="36" t="inlineStr">
        <is>
          <t>Region V (Bicol Region)</t>
        </is>
      </c>
      <c r="E223" s="36" t="inlineStr">
        <is>
          <t>Albay</t>
        </is>
      </c>
      <c r="F223" s="36" t="inlineStr">
        <is>
          <t>Santo Domingo</t>
        </is>
      </c>
      <c r="G223" s="36" t="inlineStr">
        <is>
          <t>Nagsiya Pob.</t>
        </is>
      </c>
      <c r="H223" s="37" t="n">
        <v>13.238274</v>
      </c>
      <c r="I223" s="37" t="n">
        <v>123.776543</v>
      </c>
      <c r="J223" s="8" t="inlineStr">
        <is>
          <t>R</t>
        </is>
      </c>
      <c r="K223" s="36" t="inlineStr">
        <is>
          <t>2nd</t>
        </is>
      </c>
      <c r="L223" s="18" t="n">
        <v>1053</v>
      </c>
      <c r="M223" s="20" t="n">
        <v>4.65</v>
      </c>
      <c r="N223" s="18">
        <f>ROUND(L223/M223, 0)</f>
        <v/>
      </c>
      <c r="O223" s="18">
        <f>ROUND(N223*'Methodology &amp; Assumptions'!$B$8, 0)</f>
        <v/>
      </c>
      <c r="P223" s="8" t="inlineStr">
        <is>
          <t>Band n50 (1.5 GHz, 60 MHz)</t>
        </is>
      </c>
      <c r="Q223" s="38">
        <f>ROUNDUP(O223/'Methodology &amp; Assumptions'!$B$9, 0)</f>
        <v/>
      </c>
      <c r="R223" s="39" t="n">
        <v>1</v>
      </c>
      <c r="S223" s="21" t="n">
        <v>0.15</v>
      </c>
      <c r="T223" s="21" t="n">
        <v>0.08</v>
      </c>
      <c r="U223" s="36" t="inlineStr">
        <is>
          <t>Tier 1A (Direct Coloc, &lt;1 km)</t>
        </is>
      </c>
      <c r="V223" s="20" t="n">
        <v>100</v>
      </c>
      <c r="W223" s="20" t="n">
        <v>42.1</v>
      </c>
      <c r="X223" s="20" t="n">
        <v>58</v>
      </c>
      <c r="Y223" s="40">
        <f>ROUND((V223*'Methodology &amp; Assumptions'!$B$6)+(W223*'Methodology &amp; Assumptions'!$B$5)+(X223*'Methodology &amp; Assumptions'!$B$7), 2)</f>
        <v/>
      </c>
    </row>
    <row r="224" ht="19" customHeight="1">
      <c r="A224" s="41" t="n">
        <v>220</v>
      </c>
      <c r="B224" s="41" t="n">
        <v>3220</v>
      </c>
      <c r="C224" s="42" t="inlineStr">
        <is>
          <t>0604515029</t>
        </is>
      </c>
      <c r="D224" s="42" t="inlineStr">
        <is>
          <t>Region VI (Western Visayas)</t>
        </is>
      </c>
      <c r="E224" s="42" t="inlineStr">
        <is>
          <t>Negros Occidental</t>
        </is>
      </c>
      <c r="F224" s="42" t="inlineStr">
        <is>
          <t>City of Kabankalan</t>
        </is>
      </c>
      <c r="G224" s="42" t="inlineStr">
        <is>
          <t>Talubangi</t>
        </is>
      </c>
      <c r="H224" s="43" t="n">
        <v>10.008194</v>
      </c>
      <c r="I224" s="43" t="n">
        <v>122.803342</v>
      </c>
      <c r="J224" s="44" t="inlineStr">
        <is>
          <t>U</t>
        </is>
      </c>
      <c r="K224" s="42" t="inlineStr">
        <is>
          <t>Class 1-3 / Urban</t>
        </is>
      </c>
      <c r="L224" s="23" t="n">
        <v>3928</v>
      </c>
      <c r="M224" s="24" t="n">
        <v>4.33</v>
      </c>
      <c r="N224" s="23">
        <f>ROUND(L224/M224, 0)</f>
        <v/>
      </c>
      <c r="O224" s="23">
        <f>ROUND(N224*'Methodology &amp; Assumptions'!$B$8, 0)</f>
        <v/>
      </c>
      <c r="P224" s="44" t="inlineStr">
        <is>
          <t>Band n50 (1.5 GHz, 60 MHz)</t>
        </is>
      </c>
      <c r="Q224" s="38">
        <f>ROUNDUP(O224/'Methodology &amp; Assumptions'!$B$9, 0)</f>
        <v/>
      </c>
      <c r="R224" s="39" t="n">
        <v>1</v>
      </c>
      <c r="S224" s="25" t="n">
        <v>2.17</v>
      </c>
      <c r="T224" s="25" t="n">
        <v>1.63</v>
      </c>
      <c r="U224" s="42" t="inlineStr">
        <is>
          <t>Tier 1B (Micro Drop, 1-3 km)</t>
        </is>
      </c>
      <c r="V224" s="24" t="n">
        <v>58.5</v>
      </c>
      <c r="W224" s="24" t="n">
        <v>96.5</v>
      </c>
      <c r="X224" s="24" t="n">
        <v>43</v>
      </c>
      <c r="Y224" s="45">
        <f>ROUND((V224*'Methodology &amp; Assumptions'!$B$6)+(W224*'Methodology &amp; Assumptions'!$B$5)+(X224*'Methodology &amp; Assumptions'!$B$7), 2)</f>
        <v/>
      </c>
    </row>
    <row r="225" ht="19" customHeight="1">
      <c r="A225" s="35" t="n">
        <v>221</v>
      </c>
      <c r="B225" s="35" t="n">
        <v>3221</v>
      </c>
      <c r="C225" s="36" t="inlineStr">
        <is>
          <t>0803714002</t>
        </is>
      </c>
      <c r="D225" s="36" t="inlineStr">
        <is>
          <t>Region VIII (Eastern Visayas)</t>
        </is>
      </c>
      <c r="E225" s="36" t="inlineStr">
        <is>
          <t>Leyte</t>
        </is>
      </c>
      <c r="F225" s="36" t="inlineStr">
        <is>
          <t>Capoocan</t>
        </is>
      </c>
      <c r="G225" s="36" t="inlineStr">
        <is>
          <t>Balud</t>
        </is>
      </c>
      <c r="H225" s="37" t="n">
        <v>11.294117</v>
      </c>
      <c r="I225" s="37" t="n">
        <v>124.651024</v>
      </c>
      <c r="J225" s="8" t="inlineStr">
        <is>
          <t>R</t>
        </is>
      </c>
      <c r="K225" s="36" t="inlineStr">
        <is>
          <t>2nd</t>
        </is>
      </c>
      <c r="L225" s="18" t="n">
        <v>2892</v>
      </c>
      <c r="M225" s="20" t="n">
        <v>4.58</v>
      </c>
      <c r="N225" s="18">
        <f>ROUND(L225/M225, 0)</f>
        <v/>
      </c>
      <c r="O225" s="18">
        <f>ROUND(N225*'Methodology &amp; Assumptions'!$B$8, 0)</f>
        <v/>
      </c>
      <c r="P225" s="8" t="inlineStr">
        <is>
          <t>Band n50 (1.5 GHz, 60 MHz)</t>
        </is>
      </c>
      <c r="Q225" s="38">
        <f>ROUNDUP(O225/'Methodology &amp; Assumptions'!$B$9, 0)</f>
        <v/>
      </c>
      <c r="R225" s="39" t="n">
        <v>1</v>
      </c>
      <c r="S225" s="21" t="n">
        <v>1.65</v>
      </c>
      <c r="T225" s="21" t="n">
        <v>0.19</v>
      </c>
      <c r="U225" s="36" t="inlineStr">
        <is>
          <t>Tier 1B (Micro Drop, 1-3 km)</t>
        </is>
      </c>
      <c r="V225" s="20" t="n">
        <v>67.7</v>
      </c>
      <c r="W225" s="20" t="n">
        <v>74.40000000000001</v>
      </c>
      <c r="X225" s="20" t="n">
        <v>58</v>
      </c>
      <c r="Y225" s="40">
        <f>ROUND((V225*'Methodology &amp; Assumptions'!$B$6)+(W225*'Methodology &amp; Assumptions'!$B$5)+(X225*'Methodology &amp; Assumptions'!$B$7), 2)</f>
        <v/>
      </c>
    </row>
    <row r="226" ht="19" customHeight="1">
      <c r="A226" s="41" t="n">
        <v>222</v>
      </c>
      <c r="B226" s="41" t="n">
        <v>3222</v>
      </c>
      <c r="C226" s="42" t="inlineStr">
        <is>
          <t>0500512034</t>
        </is>
      </c>
      <c r="D226" s="42" t="inlineStr">
        <is>
          <t>Region V (Bicol Region)</t>
        </is>
      </c>
      <c r="E226" s="42" t="inlineStr">
        <is>
          <t>Albay</t>
        </is>
      </c>
      <c r="F226" s="42" t="inlineStr">
        <is>
          <t>Oas</t>
        </is>
      </c>
      <c r="G226" s="42" t="inlineStr">
        <is>
          <t>Mayao</t>
        </is>
      </c>
      <c r="H226" s="43" t="n">
        <v>13.260883</v>
      </c>
      <c r="I226" s="43" t="n">
        <v>123.490609</v>
      </c>
      <c r="J226" s="44" t="inlineStr">
        <is>
          <t>R</t>
        </is>
      </c>
      <c r="K226" s="42" t="inlineStr">
        <is>
          <t>Class 1-3 / Urban</t>
        </is>
      </c>
      <c r="L226" s="23" t="n">
        <v>1653</v>
      </c>
      <c r="M226" s="24" t="n">
        <v>4.67</v>
      </c>
      <c r="N226" s="23">
        <f>ROUND(L226/M226, 0)</f>
        <v/>
      </c>
      <c r="O226" s="23">
        <f>ROUND(N226*'Methodology &amp; Assumptions'!$B$8, 0)</f>
        <v/>
      </c>
      <c r="P226" s="44" t="inlineStr">
        <is>
          <t>Band n50 (1.5 GHz, 60 MHz)</t>
        </is>
      </c>
      <c r="Q226" s="38">
        <f>ROUNDUP(O226/'Methodology &amp; Assumptions'!$B$9, 0)</f>
        <v/>
      </c>
      <c r="R226" s="39" t="n">
        <v>1</v>
      </c>
      <c r="S226" s="25" t="n">
        <v>0.67</v>
      </c>
      <c r="T226" s="25" t="n">
        <v>0.75</v>
      </c>
      <c r="U226" s="42" t="inlineStr">
        <is>
          <t>Tier 1A (Direct Coloc, &lt;1 km)</t>
        </is>
      </c>
      <c r="V226" s="24" t="n">
        <v>89.90000000000001</v>
      </c>
      <c r="W226" s="24" t="n">
        <v>52.3</v>
      </c>
      <c r="X226" s="24" t="n">
        <v>58</v>
      </c>
      <c r="Y226" s="45">
        <f>ROUND((V226*'Methodology &amp; Assumptions'!$B$6)+(W226*'Methodology &amp; Assumptions'!$B$5)+(X226*'Methodology &amp; Assumptions'!$B$7), 2)</f>
        <v/>
      </c>
    </row>
    <row r="227" ht="19" customHeight="1">
      <c r="A227" s="35" t="n">
        <v>223</v>
      </c>
      <c r="B227" s="35" t="n">
        <v>3223</v>
      </c>
      <c r="C227" s="36" t="inlineStr">
        <is>
          <t>0506216038</t>
        </is>
      </c>
      <c r="D227" s="36" t="inlineStr">
        <is>
          <t>Region V (Bicol Region)</t>
        </is>
      </c>
      <c r="E227" s="36" t="inlineStr">
        <is>
          <t>Sorsogon</t>
        </is>
      </c>
      <c r="F227" s="36" t="inlineStr">
        <is>
          <t>City of Sorsogon</t>
        </is>
      </c>
      <c r="G227" s="36" t="inlineStr">
        <is>
          <t>Balete</t>
        </is>
      </c>
      <c r="H227" s="37" t="n">
        <v>13.025358</v>
      </c>
      <c r="I227" s="37" t="n">
        <v>124.027989</v>
      </c>
      <c r="J227" s="8" t="inlineStr">
        <is>
          <t>R</t>
        </is>
      </c>
      <c r="K227" s="36" t="inlineStr">
        <is>
          <t>Class 1-3 / Urban</t>
        </is>
      </c>
      <c r="L227" s="18" t="n">
        <v>2880</v>
      </c>
      <c r="M227" s="20" t="n">
        <v>4.58</v>
      </c>
      <c r="N227" s="18">
        <f>ROUND(L227/M227, 0)</f>
        <v/>
      </c>
      <c r="O227" s="18">
        <f>ROUND(N227*'Methodology &amp; Assumptions'!$B$8, 0)</f>
        <v/>
      </c>
      <c r="P227" s="8" t="inlineStr">
        <is>
          <t>Band n50 (1.5 GHz, 60 MHz)</t>
        </is>
      </c>
      <c r="Q227" s="38">
        <f>ROUNDUP(O227/'Methodology &amp; Assumptions'!$B$9, 0)</f>
        <v/>
      </c>
      <c r="R227" s="39" t="n">
        <v>1</v>
      </c>
      <c r="S227" s="21" t="n">
        <v>1.17</v>
      </c>
      <c r="T227" s="21" t="n">
        <v>5.47</v>
      </c>
      <c r="U227" s="36" t="inlineStr">
        <is>
          <t>Tier 1B (Micro Drop, 1-3 km)</t>
        </is>
      </c>
      <c r="V227" s="20" t="n">
        <v>67.7</v>
      </c>
      <c r="W227" s="20" t="n">
        <v>74.40000000000001</v>
      </c>
      <c r="X227" s="20" t="n">
        <v>58</v>
      </c>
      <c r="Y227" s="40">
        <f>ROUND((V227*'Methodology &amp; Assumptions'!$B$6)+(W227*'Methodology &amp; Assumptions'!$B$5)+(X227*'Methodology &amp; Assumptions'!$B$7), 2)</f>
        <v/>
      </c>
    </row>
    <row r="228" ht="19" customHeight="1">
      <c r="A228" s="41" t="n">
        <v>224</v>
      </c>
      <c r="B228" s="41" t="n">
        <v>3224</v>
      </c>
      <c r="C228" s="42" t="inlineStr">
        <is>
          <t>0301414009</t>
        </is>
      </c>
      <c r="D228" s="42" t="inlineStr">
        <is>
          <t>Region III (Central Luzon)</t>
        </is>
      </c>
      <c r="E228" s="42" t="inlineStr">
        <is>
          <t>Bulacan</t>
        </is>
      </c>
      <c r="F228" s="42" t="inlineStr">
        <is>
          <t>Obando</t>
        </is>
      </c>
      <c r="G228" s="42" t="inlineStr">
        <is>
          <t>Panghulo</t>
        </is>
      </c>
      <c r="H228" s="43" t="n">
        <v>14.69832</v>
      </c>
      <c r="I228" s="43" t="n">
        <v>120.946737</v>
      </c>
      <c r="J228" s="44" t="inlineStr">
        <is>
          <t>U</t>
        </is>
      </c>
      <c r="K228" s="42" t="inlineStr">
        <is>
          <t>Class 1-3 / Urban</t>
        </is>
      </c>
      <c r="L228" s="23" t="n">
        <v>13122</v>
      </c>
      <c r="M228" s="24" t="n">
        <v>4.1</v>
      </c>
      <c r="N228" s="23">
        <f>ROUND(L228/M228, 0)</f>
        <v/>
      </c>
      <c r="O228" s="23">
        <f>ROUND(N228*'Methodology &amp; Assumptions'!$B$8, 0)</f>
        <v/>
      </c>
      <c r="P228" s="44" t="inlineStr">
        <is>
          <t>Band n50 (1.5 GHz, 60 MHz)</t>
        </is>
      </c>
      <c r="Q228" s="38">
        <f>ROUNDUP(O228/'Methodology &amp; Assumptions'!$B$9, 0)</f>
        <v/>
      </c>
      <c r="R228" s="39" t="n">
        <v>1</v>
      </c>
      <c r="S228" s="25" t="n">
        <v>1.64</v>
      </c>
      <c r="T228" s="25" t="n">
        <v>0.53</v>
      </c>
      <c r="U228" s="42" t="inlineStr">
        <is>
          <t>Tier 1B (Micro Drop, 1-3 km)</t>
        </is>
      </c>
      <c r="V228" s="24" t="n">
        <v>67.8</v>
      </c>
      <c r="W228" s="24" t="n">
        <v>100</v>
      </c>
      <c r="X228" s="24" t="n">
        <v>28</v>
      </c>
      <c r="Y228" s="45">
        <f>ROUND((V228*'Methodology &amp; Assumptions'!$B$6)+(W228*'Methodology &amp; Assumptions'!$B$5)+(X228*'Methodology &amp; Assumptions'!$B$7), 2)</f>
        <v/>
      </c>
    </row>
    <row r="229" ht="19" customHeight="1">
      <c r="A229" s="35" t="n">
        <v>225</v>
      </c>
      <c r="B229" s="35" t="n">
        <v>3225</v>
      </c>
      <c r="C229" s="36" t="inlineStr">
        <is>
          <t>0403407015</t>
        </is>
      </c>
      <c r="D229" s="36" t="inlineStr">
        <is>
          <t>Region IV-A (CALABARZON)</t>
        </is>
      </c>
      <c r="E229" s="36" t="inlineStr">
        <is>
          <t>Laguna</t>
        </is>
      </c>
      <c r="F229" s="36" t="inlineStr">
        <is>
          <t>Cavinti</t>
        </is>
      </c>
      <c r="G229" s="36" t="inlineStr">
        <is>
          <t>Poblacion</t>
        </is>
      </c>
      <c r="H229" s="37" t="n">
        <v>14.243152</v>
      </c>
      <c r="I229" s="37" t="n">
        <v>121.509033</v>
      </c>
      <c r="J229" s="8" t="inlineStr">
        <is>
          <t>U</t>
        </is>
      </c>
      <c r="K229" s="36" t="inlineStr">
        <is>
          <t>Class 1-3 / Urban</t>
        </is>
      </c>
      <c r="L229" s="18" t="n">
        <v>6696</v>
      </c>
      <c r="M229" s="20" t="n">
        <v>4.2</v>
      </c>
      <c r="N229" s="18">
        <f>ROUND(L229/M229, 0)</f>
        <v/>
      </c>
      <c r="O229" s="18">
        <f>ROUND(N229*'Methodology &amp; Assumptions'!$B$8, 0)</f>
        <v/>
      </c>
      <c r="P229" s="8" t="inlineStr">
        <is>
          <t>Band n50 (1.5 GHz, 60 MHz)</t>
        </is>
      </c>
      <c r="Q229" s="38">
        <f>ROUNDUP(O229/'Methodology &amp; Assumptions'!$B$9, 0)</f>
        <v/>
      </c>
      <c r="R229" s="39" t="n">
        <v>1</v>
      </c>
      <c r="S229" s="21" t="n">
        <v>1.17</v>
      </c>
      <c r="T229" s="21" t="n">
        <v>6.59</v>
      </c>
      <c r="U229" s="36" t="inlineStr">
        <is>
          <t>Tier 1B (Micro Drop, 1-3 km)</t>
        </is>
      </c>
      <c r="V229" s="20" t="n">
        <v>67.8</v>
      </c>
      <c r="W229" s="20" t="n">
        <v>100</v>
      </c>
      <c r="X229" s="20" t="n">
        <v>28</v>
      </c>
      <c r="Y229" s="40">
        <f>ROUND((V229*'Methodology &amp; Assumptions'!$B$6)+(W229*'Methodology &amp; Assumptions'!$B$5)+(X229*'Methodology &amp; Assumptions'!$B$7), 2)</f>
        <v/>
      </c>
    </row>
    <row r="230" ht="19" customHeight="1">
      <c r="A230" s="41" t="n">
        <v>226</v>
      </c>
      <c r="B230" s="41" t="n">
        <v>3226</v>
      </c>
      <c r="C230" s="42" t="inlineStr">
        <is>
          <t>0702251033</t>
        </is>
      </c>
      <c r="D230" s="42" t="inlineStr">
        <is>
          <t>Region VII (Central Visayas)</t>
        </is>
      </c>
      <c r="E230" s="42" t="inlineStr">
        <is>
          <t>Cebu</t>
        </is>
      </c>
      <c r="F230" s="42" t="inlineStr">
        <is>
          <t>City of Toledo</t>
        </is>
      </c>
      <c r="G230" s="42" t="inlineStr">
        <is>
          <t>Sangi</t>
        </is>
      </c>
      <c r="H230" s="43" t="n">
        <v>10.386492</v>
      </c>
      <c r="I230" s="43" t="n">
        <v>123.649444</v>
      </c>
      <c r="J230" s="44" t="inlineStr">
        <is>
          <t>U</t>
        </is>
      </c>
      <c r="K230" s="42" t="inlineStr">
        <is>
          <t>Class 1-3 / Urban</t>
        </is>
      </c>
      <c r="L230" s="23" t="n">
        <v>5376</v>
      </c>
      <c r="M230" s="24" t="n">
        <v>4.42</v>
      </c>
      <c r="N230" s="23">
        <f>ROUND(L230/M230, 0)</f>
        <v/>
      </c>
      <c r="O230" s="23">
        <f>ROUND(N230*'Methodology &amp; Assumptions'!$B$8, 0)</f>
        <v/>
      </c>
      <c r="P230" s="44" t="inlineStr">
        <is>
          <t>Band n50 (1.5 GHz, 60 MHz)</t>
        </is>
      </c>
      <c r="Q230" s="38">
        <f>ROUNDUP(O230/'Methodology &amp; Assumptions'!$B$9, 0)</f>
        <v/>
      </c>
      <c r="R230" s="39" t="n">
        <v>1</v>
      </c>
      <c r="S230" s="25" t="n">
        <v>1.64</v>
      </c>
      <c r="T230" s="25" t="n">
        <v>0.05</v>
      </c>
      <c r="U230" s="42" t="inlineStr">
        <is>
          <t>Tier 1B (Micro Drop, 1-3 km)</t>
        </is>
      </c>
      <c r="V230" s="24" t="n">
        <v>67.8</v>
      </c>
      <c r="W230" s="24" t="n">
        <v>100</v>
      </c>
      <c r="X230" s="24" t="n">
        <v>28</v>
      </c>
      <c r="Y230" s="45">
        <f>ROUND((V230*'Methodology &amp; Assumptions'!$B$6)+(W230*'Methodology &amp; Assumptions'!$B$5)+(X230*'Methodology &amp; Assumptions'!$B$7), 2)</f>
        <v/>
      </c>
    </row>
    <row r="231" ht="19" customHeight="1">
      <c r="A231" s="35" t="n">
        <v>227</v>
      </c>
      <c r="B231" s="35" t="n">
        <v>3227</v>
      </c>
      <c r="C231" s="36" t="inlineStr">
        <is>
          <t>0203106023</t>
        </is>
      </c>
      <c r="D231" s="36" t="inlineStr">
        <is>
          <t>Region II (Cagayan Valley)</t>
        </is>
      </c>
      <c r="E231" s="36" t="inlineStr">
        <is>
          <t>Isabela</t>
        </is>
      </c>
      <c r="F231" s="36" t="inlineStr">
        <is>
          <t>Cabagan</t>
        </is>
      </c>
      <c r="G231" s="36" t="inlineStr">
        <is>
          <t>Ugad</t>
        </is>
      </c>
      <c r="H231" s="37" t="n">
        <v>17.433865</v>
      </c>
      <c r="I231" s="37" t="n">
        <v>121.775487</v>
      </c>
      <c r="J231" s="8" t="inlineStr">
        <is>
          <t>U</t>
        </is>
      </c>
      <c r="K231" s="36" t="inlineStr">
        <is>
          <t>Class 1-3 / Urban</t>
        </is>
      </c>
      <c r="L231" s="18" t="n">
        <v>2666</v>
      </c>
      <c r="M231" s="20" t="n">
        <v>4.3</v>
      </c>
      <c r="N231" s="18">
        <f>ROUND(L231/M231, 0)</f>
        <v/>
      </c>
      <c r="O231" s="18">
        <f>ROUND(N231*'Methodology &amp; Assumptions'!$B$8, 0)</f>
        <v/>
      </c>
      <c r="P231" s="8" t="inlineStr">
        <is>
          <t>Band n50 (1.5 GHz, 60 MHz)</t>
        </is>
      </c>
      <c r="Q231" s="38">
        <f>ROUNDUP(O231/'Methodology &amp; Assumptions'!$B$9, 0)</f>
        <v/>
      </c>
      <c r="R231" s="39" t="n">
        <v>1</v>
      </c>
      <c r="S231" s="21" t="n">
        <v>0.52</v>
      </c>
      <c r="T231" s="21" t="n">
        <v>0.04</v>
      </c>
      <c r="U231" s="36" t="inlineStr">
        <is>
          <t>Tier 1A (Direct Coloc, &lt;1 km)</t>
        </is>
      </c>
      <c r="V231" s="20" t="n">
        <v>94.2</v>
      </c>
      <c r="W231" s="20" t="n">
        <v>73.59999999999999</v>
      </c>
      <c r="X231" s="20" t="n">
        <v>28</v>
      </c>
      <c r="Y231" s="40">
        <f>ROUND((V231*'Methodology &amp; Assumptions'!$B$6)+(W231*'Methodology &amp; Assumptions'!$B$5)+(X231*'Methodology &amp; Assumptions'!$B$7), 2)</f>
        <v/>
      </c>
    </row>
    <row r="232" ht="19" customHeight="1">
      <c r="A232" s="41" t="n">
        <v>228</v>
      </c>
      <c r="B232" s="41" t="n">
        <v>3228</v>
      </c>
      <c r="C232" s="42" t="inlineStr">
        <is>
          <t>0701219007</t>
        </is>
      </c>
      <c r="D232" s="42" t="inlineStr">
        <is>
          <t>Region VII (Central Visayas)</t>
        </is>
      </c>
      <c r="E232" s="42" t="inlineStr">
        <is>
          <t>Bohol</t>
        </is>
      </c>
      <c r="F232" s="42" t="inlineStr">
        <is>
          <t>Dauis</t>
        </is>
      </c>
      <c r="G232" s="42" t="inlineStr">
        <is>
          <t>Poblacion</t>
        </is>
      </c>
      <c r="H232" s="43" t="n">
        <v>9.624753</v>
      </c>
      <c r="I232" s="43" t="n">
        <v>123.86487</v>
      </c>
      <c r="J232" s="44" t="inlineStr">
        <is>
          <t>R</t>
        </is>
      </c>
      <c r="K232" s="42" t="inlineStr">
        <is>
          <t>1st</t>
        </is>
      </c>
      <c r="L232" s="23" t="n">
        <v>2976</v>
      </c>
      <c r="M232" s="24" t="n">
        <v>4.6</v>
      </c>
      <c r="N232" s="23">
        <f>ROUND(L232/M232, 0)</f>
        <v/>
      </c>
      <c r="O232" s="23">
        <f>ROUND(N232*'Methodology &amp; Assumptions'!$B$8, 0)</f>
        <v/>
      </c>
      <c r="P232" s="44" t="inlineStr">
        <is>
          <t>Band n50 (1.5 GHz, 60 MHz)</t>
        </is>
      </c>
      <c r="Q232" s="38">
        <f>ROUNDUP(O232/'Methodology &amp; Assumptions'!$B$9, 0)</f>
        <v/>
      </c>
      <c r="R232" s="39" t="n">
        <v>1</v>
      </c>
      <c r="S232" s="25" t="n">
        <v>2.5</v>
      </c>
      <c r="T232" s="25" t="n">
        <v>0.95</v>
      </c>
      <c r="U232" s="42" t="inlineStr">
        <is>
          <t>Tier 1B (Micro Drop, 1-3 km)</t>
        </is>
      </c>
      <c r="V232" s="24" t="n">
        <v>53.5</v>
      </c>
      <c r="W232" s="24" t="n">
        <v>75.7</v>
      </c>
      <c r="X232" s="24" t="n">
        <v>73</v>
      </c>
      <c r="Y232" s="45">
        <f>ROUND((V232*'Methodology &amp; Assumptions'!$B$6)+(W232*'Methodology &amp; Assumptions'!$B$5)+(X232*'Methodology &amp; Assumptions'!$B$7), 2)</f>
        <v/>
      </c>
    </row>
    <row r="233" ht="19" customHeight="1">
      <c r="A233" s="35" t="n">
        <v>229</v>
      </c>
      <c r="B233" s="35" t="n">
        <v>3229</v>
      </c>
      <c r="C233" s="36" t="inlineStr">
        <is>
          <t>0305402014</t>
        </is>
      </c>
      <c r="D233" s="36" t="inlineStr">
        <is>
          <t>Region III (Central Luzon)</t>
        </is>
      </c>
      <c r="E233" s="36" t="inlineStr">
        <is>
          <t>Pampanga</t>
        </is>
      </c>
      <c r="F233" s="36" t="inlineStr">
        <is>
          <t>Apalit</t>
        </is>
      </c>
      <c r="G233" s="36" t="inlineStr">
        <is>
          <t>Sulipan</t>
        </is>
      </c>
      <c r="H233" s="37" t="n">
        <v>14.933555</v>
      </c>
      <c r="I233" s="37" t="n">
        <v>120.76045</v>
      </c>
      <c r="J233" s="8" t="inlineStr">
        <is>
          <t>U</t>
        </is>
      </c>
      <c r="K233" s="36" t="inlineStr">
        <is>
          <t>Class 1-3 / Urban</t>
        </is>
      </c>
      <c r="L233" s="18" t="n">
        <v>11693</v>
      </c>
      <c r="M233" s="20" t="n">
        <v>4.63</v>
      </c>
      <c r="N233" s="18">
        <f>ROUND(L233/M233, 0)</f>
        <v/>
      </c>
      <c r="O233" s="18">
        <f>ROUND(N233*'Methodology &amp; Assumptions'!$B$8, 0)</f>
        <v/>
      </c>
      <c r="P233" s="8" t="inlineStr">
        <is>
          <t>Band n50 (1.5 GHz, 60 MHz)</t>
        </is>
      </c>
      <c r="Q233" s="38">
        <f>ROUNDUP(O233/'Methodology &amp; Assumptions'!$B$9, 0)</f>
        <v/>
      </c>
      <c r="R233" s="39" t="n">
        <v>1</v>
      </c>
      <c r="S233" s="21" t="n">
        <v>1.65</v>
      </c>
      <c r="T233" s="21" t="n">
        <v>0.04</v>
      </c>
      <c r="U233" s="36" t="inlineStr">
        <is>
          <t>Tier 1B (Micro Drop, 1-3 km)</t>
        </is>
      </c>
      <c r="V233" s="20" t="n">
        <v>67.8</v>
      </c>
      <c r="W233" s="20" t="n">
        <v>100</v>
      </c>
      <c r="X233" s="20" t="n">
        <v>28</v>
      </c>
      <c r="Y233" s="40">
        <f>ROUND((V233*'Methodology &amp; Assumptions'!$B$6)+(W233*'Methodology &amp; Assumptions'!$B$5)+(X233*'Methodology &amp; Assumptions'!$B$7), 2)</f>
        <v/>
      </c>
    </row>
    <row r="234" ht="19" customHeight="1">
      <c r="A234" s="41" t="n">
        <v>230</v>
      </c>
      <c r="B234" s="41" t="n">
        <v>3230</v>
      </c>
      <c r="C234" s="42" t="inlineStr">
        <is>
          <t>0105522029</t>
        </is>
      </c>
      <c r="D234" s="42" t="inlineStr">
        <is>
          <t>Region I (Ilocos Region)</t>
        </is>
      </c>
      <c r="E234" s="42" t="inlineStr">
        <is>
          <t>Pangasinan</t>
        </is>
      </c>
      <c r="F234" s="42" t="inlineStr">
        <is>
          <t>Lingayen</t>
        </is>
      </c>
      <c r="G234" s="42" t="inlineStr">
        <is>
          <t>Quibaol</t>
        </is>
      </c>
      <c r="H234" s="43" t="n">
        <v>16.003528</v>
      </c>
      <c r="I234" s="43" t="n">
        <v>120.231518</v>
      </c>
      <c r="J234" s="44" t="inlineStr">
        <is>
          <t>R</t>
        </is>
      </c>
      <c r="K234" s="42" t="inlineStr">
        <is>
          <t>Class 1-3 / Urban</t>
        </is>
      </c>
      <c r="L234" s="23" t="n">
        <v>3259</v>
      </c>
      <c r="M234" s="24" t="n">
        <v>4.39</v>
      </c>
      <c r="N234" s="23">
        <f>ROUND(L234/M234, 0)</f>
        <v/>
      </c>
      <c r="O234" s="23">
        <f>ROUND(N234*'Methodology &amp; Assumptions'!$B$8, 0)</f>
        <v/>
      </c>
      <c r="P234" s="44" t="inlineStr">
        <is>
          <t>Band n50 (1.5 GHz, 60 MHz)</t>
        </is>
      </c>
      <c r="Q234" s="38">
        <f>ROUNDUP(O234/'Methodology &amp; Assumptions'!$B$9, 0)</f>
        <v/>
      </c>
      <c r="R234" s="39" t="n">
        <v>1</v>
      </c>
      <c r="S234" s="25" t="n">
        <v>2.17</v>
      </c>
      <c r="T234" s="25" t="n">
        <v>0.82</v>
      </c>
      <c r="U234" s="42" t="inlineStr">
        <is>
          <t>Tier 1B (Micro Drop, 1-3 km)</t>
        </is>
      </c>
      <c r="V234" s="24" t="n">
        <v>58.5</v>
      </c>
      <c r="W234" s="24" t="n">
        <v>83.5</v>
      </c>
      <c r="X234" s="24" t="n">
        <v>58</v>
      </c>
      <c r="Y234" s="45">
        <f>ROUND((V234*'Methodology &amp; Assumptions'!$B$6)+(W234*'Methodology &amp; Assumptions'!$B$5)+(X234*'Methodology &amp; Assumptions'!$B$7), 2)</f>
        <v/>
      </c>
    </row>
    <row r="235" ht="19" customHeight="1">
      <c r="A235" s="35" t="n">
        <v>231</v>
      </c>
      <c r="B235" s="35" t="n">
        <v>3231</v>
      </c>
      <c r="C235" s="36" t="inlineStr">
        <is>
          <t>0403407006</t>
        </is>
      </c>
      <c r="D235" s="36" t="inlineStr">
        <is>
          <t>Region IV-A (CALABARZON)</t>
        </is>
      </c>
      <c r="E235" s="36" t="inlineStr">
        <is>
          <t>Laguna</t>
        </is>
      </c>
      <c r="F235" s="36" t="inlineStr">
        <is>
          <t>Cavinti</t>
        </is>
      </c>
      <c r="G235" s="36" t="inlineStr">
        <is>
          <t>Duhat</t>
        </is>
      </c>
      <c r="H235" s="37" t="n">
        <v>14.252462</v>
      </c>
      <c r="I235" s="37" t="n">
        <v>121.496634</v>
      </c>
      <c r="J235" s="8" t="inlineStr">
        <is>
          <t>R</t>
        </is>
      </c>
      <c r="K235" s="36" t="inlineStr">
        <is>
          <t>Class 1-3 / Urban</t>
        </is>
      </c>
      <c r="L235" s="18" t="n">
        <v>1830</v>
      </c>
      <c r="M235" s="20" t="n">
        <v>4.2</v>
      </c>
      <c r="N235" s="18">
        <f>ROUND(L235/M235, 0)</f>
        <v/>
      </c>
      <c r="O235" s="18">
        <f>ROUND(N235*'Methodology &amp; Assumptions'!$B$8, 0)</f>
        <v/>
      </c>
      <c r="P235" s="8" t="inlineStr">
        <is>
          <t>Band n50 (1.5 GHz, 60 MHz)</t>
        </is>
      </c>
      <c r="Q235" s="38">
        <f>ROUNDUP(O235/'Methodology &amp; Assumptions'!$B$9, 0)</f>
        <v/>
      </c>
      <c r="R235" s="39" t="n">
        <v>1</v>
      </c>
      <c r="S235" s="21" t="n">
        <v>0.5600000000000001</v>
      </c>
      <c r="T235" s="21" t="n">
        <v>4.93</v>
      </c>
      <c r="U235" s="36" t="inlineStr">
        <is>
          <t>Tier 1A (Direct Coloc, &lt;1 km)</t>
        </is>
      </c>
      <c r="V235" s="20" t="n">
        <v>83.09999999999999</v>
      </c>
      <c r="W235" s="20" t="n">
        <v>58.9</v>
      </c>
      <c r="X235" s="20" t="n">
        <v>58</v>
      </c>
      <c r="Y235" s="40">
        <f>ROUND((V235*'Methodology &amp; Assumptions'!$B$6)+(W235*'Methodology &amp; Assumptions'!$B$5)+(X235*'Methodology &amp; Assumptions'!$B$7), 2)</f>
        <v/>
      </c>
    </row>
    <row r="236" ht="19" customHeight="1">
      <c r="A236" s="41" t="n">
        <v>232</v>
      </c>
      <c r="B236" s="41" t="n">
        <v>3232</v>
      </c>
      <c r="C236" s="42" t="inlineStr">
        <is>
          <t>0500510019</t>
        </is>
      </c>
      <c r="D236" s="42" t="inlineStr">
        <is>
          <t>Region V (Bicol Region)</t>
        </is>
      </c>
      <c r="E236" s="42" t="inlineStr">
        <is>
          <t>Albay</t>
        </is>
      </c>
      <c r="F236" s="42" t="inlineStr">
        <is>
          <t>Malinao</t>
        </is>
      </c>
      <c r="G236" s="42" t="inlineStr">
        <is>
          <t>Pawa</t>
        </is>
      </c>
      <c r="H236" s="43" t="n">
        <v>13.390424</v>
      </c>
      <c r="I236" s="43" t="n">
        <v>123.703385</v>
      </c>
      <c r="J236" s="44" t="inlineStr">
        <is>
          <t>R</t>
        </is>
      </c>
      <c r="K236" s="42" t="inlineStr">
        <is>
          <t>Class 1-3 / Urban</t>
        </is>
      </c>
      <c r="L236" s="23" t="n">
        <v>1263</v>
      </c>
      <c r="M236" s="24" t="n">
        <v>4.67</v>
      </c>
      <c r="N236" s="23">
        <f>ROUND(L236/M236, 0)</f>
        <v/>
      </c>
      <c r="O236" s="23">
        <f>ROUND(N236*'Methodology &amp; Assumptions'!$B$8, 0)</f>
        <v/>
      </c>
      <c r="P236" s="44" t="inlineStr">
        <is>
          <t>Band n50 (1.5 GHz, 60 MHz)</t>
        </is>
      </c>
      <c r="Q236" s="38">
        <f>ROUNDUP(O236/'Methodology &amp; Assumptions'!$B$9, 0)</f>
        <v/>
      </c>
      <c r="R236" s="39" t="n">
        <v>1</v>
      </c>
      <c r="S236" s="25" t="n">
        <v>0.44</v>
      </c>
      <c r="T236" s="25" t="n">
        <v>0.44</v>
      </c>
      <c r="U236" s="42" t="inlineStr">
        <is>
          <t>Tier 1A (Direct Coloc, &lt;1 km)</t>
        </is>
      </c>
      <c r="V236" s="24" t="n">
        <v>96.40000000000001</v>
      </c>
      <c r="W236" s="24" t="n">
        <v>45.6</v>
      </c>
      <c r="X236" s="24" t="n">
        <v>58</v>
      </c>
      <c r="Y236" s="45">
        <f>ROUND((V236*'Methodology &amp; Assumptions'!$B$6)+(W236*'Methodology &amp; Assumptions'!$B$5)+(X236*'Methodology &amp; Assumptions'!$B$7), 2)</f>
        <v/>
      </c>
    </row>
    <row r="237" ht="19" customHeight="1">
      <c r="A237" s="35" t="n">
        <v>233</v>
      </c>
      <c r="B237" s="35" t="n">
        <v>3233</v>
      </c>
      <c r="C237" s="36" t="inlineStr">
        <is>
          <t>1004324005</t>
        </is>
      </c>
      <c r="D237" s="36" t="inlineStr">
        <is>
          <t>Region X (Northern Mindanao)</t>
        </is>
      </c>
      <c r="E237" s="36" t="inlineStr">
        <is>
          <t>Misamis Oriental</t>
        </is>
      </c>
      <c r="F237" s="36" t="inlineStr">
        <is>
          <t>Tagoloan</t>
        </is>
      </c>
      <c r="G237" s="36" t="inlineStr">
        <is>
          <t>Natumolan</t>
        </is>
      </c>
      <c r="H237" s="37" t="n">
        <v>8.535693999999999</v>
      </c>
      <c r="I237" s="37" t="n">
        <v>124.767552</v>
      </c>
      <c r="J237" s="8" t="inlineStr">
        <is>
          <t>U</t>
        </is>
      </c>
      <c r="K237" s="36" t="inlineStr">
        <is>
          <t>Class 1-3 / Urban</t>
        </is>
      </c>
      <c r="L237" s="18" t="n">
        <v>10878</v>
      </c>
      <c r="M237" s="20" t="n">
        <v>4.54</v>
      </c>
      <c r="N237" s="18">
        <f>ROUND(L237/M237, 0)</f>
        <v/>
      </c>
      <c r="O237" s="18">
        <f>ROUND(N237*'Methodology &amp; Assumptions'!$B$8, 0)</f>
        <v/>
      </c>
      <c r="P237" s="8" t="inlineStr">
        <is>
          <t>Band n50 (1.5 GHz, 60 MHz)</t>
        </is>
      </c>
      <c r="Q237" s="38">
        <f>ROUNDUP(O237/'Methodology &amp; Assumptions'!$B$9, 0)</f>
        <v/>
      </c>
      <c r="R237" s="39" t="n">
        <v>1</v>
      </c>
      <c r="S237" s="21" t="n">
        <v>1.65</v>
      </c>
      <c r="T237" s="21" t="n">
        <v>1.38</v>
      </c>
      <c r="U237" s="36" t="inlineStr">
        <is>
          <t>Tier 1B (Micro Drop, 1-3 km)</t>
        </is>
      </c>
      <c r="V237" s="20" t="n">
        <v>67.7</v>
      </c>
      <c r="W237" s="20" t="n">
        <v>100</v>
      </c>
      <c r="X237" s="20" t="n">
        <v>28</v>
      </c>
      <c r="Y237" s="40">
        <f>ROUND((V237*'Methodology &amp; Assumptions'!$B$6)+(W237*'Methodology &amp; Assumptions'!$B$5)+(X237*'Methodology &amp; Assumptions'!$B$7), 2)</f>
        <v/>
      </c>
    </row>
    <row r="238" ht="19" customHeight="1">
      <c r="A238" s="41" t="n">
        <v>234</v>
      </c>
      <c r="B238" s="41" t="n">
        <v>3234</v>
      </c>
      <c r="C238" s="42" t="inlineStr">
        <is>
          <t>0301422032</t>
        </is>
      </c>
      <c r="D238" s="42" t="inlineStr">
        <is>
          <t>Region III (Central Luzon)</t>
        </is>
      </c>
      <c r="E238" s="42" t="inlineStr">
        <is>
          <t>Bulacan</t>
        </is>
      </c>
      <c r="F238" s="42" t="inlineStr">
        <is>
          <t>San Rafael</t>
        </is>
      </c>
      <c r="G238" s="42" t="inlineStr">
        <is>
          <t>Tambubong</t>
        </is>
      </c>
      <c r="H238" s="43" t="n">
        <v>14.969101</v>
      </c>
      <c r="I238" s="43" t="n">
        <v>120.92709</v>
      </c>
      <c r="J238" s="44" t="inlineStr">
        <is>
          <t>U</t>
        </is>
      </c>
      <c r="K238" s="42" t="inlineStr">
        <is>
          <t>Class 1-3 / Urban</t>
        </is>
      </c>
      <c r="L238" s="23" t="n">
        <v>7719</v>
      </c>
      <c r="M238" s="24" t="n">
        <v>4.1</v>
      </c>
      <c r="N238" s="23">
        <f>ROUND(L238/M238, 0)</f>
        <v/>
      </c>
      <c r="O238" s="23">
        <f>ROUND(N238*'Methodology &amp; Assumptions'!$B$8, 0)</f>
        <v/>
      </c>
      <c r="P238" s="44" t="inlineStr">
        <is>
          <t>Band n50 (1.5 GHz, 60 MHz)</t>
        </is>
      </c>
      <c r="Q238" s="38">
        <f>ROUNDUP(O238/'Methodology &amp; Assumptions'!$B$9, 0)</f>
        <v/>
      </c>
      <c r="R238" s="39" t="n">
        <v>1</v>
      </c>
      <c r="S238" s="25" t="n">
        <v>1.65</v>
      </c>
      <c r="T238" s="25" t="n">
        <v>1.17</v>
      </c>
      <c r="U238" s="42" t="inlineStr">
        <is>
          <t>Tier 1B (Micro Drop, 1-3 km)</t>
        </is>
      </c>
      <c r="V238" s="24" t="n">
        <v>67.7</v>
      </c>
      <c r="W238" s="24" t="n">
        <v>100</v>
      </c>
      <c r="X238" s="24" t="n">
        <v>28</v>
      </c>
      <c r="Y238" s="45">
        <f>ROUND((V238*'Methodology &amp; Assumptions'!$B$6)+(W238*'Methodology &amp; Assumptions'!$B$5)+(X238*'Methodology &amp; Assumptions'!$B$7), 2)</f>
        <v/>
      </c>
    </row>
    <row r="239" ht="19" customHeight="1">
      <c r="A239" s="35" t="n">
        <v>235</v>
      </c>
      <c r="B239" s="35" t="n">
        <v>3235</v>
      </c>
      <c r="C239" s="36" t="inlineStr">
        <is>
          <t>0305417018</t>
        </is>
      </c>
      <c r="D239" s="36" t="inlineStr">
        <is>
          <t>Region III (Central Luzon)</t>
        </is>
      </c>
      <c r="E239" s="36" t="inlineStr">
        <is>
          <t>Pampanga</t>
        </is>
      </c>
      <c r="F239" s="36" t="inlineStr">
        <is>
          <t>San Luis</t>
        </is>
      </c>
      <c r="G239" s="36" t="inlineStr">
        <is>
          <t>Santo Tomas</t>
        </is>
      </c>
      <c r="H239" s="37" t="n">
        <v>15.039844</v>
      </c>
      <c r="I239" s="37" t="n">
        <v>120.787113</v>
      </c>
      <c r="J239" s="8" t="inlineStr">
        <is>
          <t>U</t>
        </is>
      </c>
      <c r="K239" s="36" t="inlineStr">
        <is>
          <t>Class 1-3 / Urban</t>
        </is>
      </c>
      <c r="L239" s="18" t="n">
        <v>2524</v>
      </c>
      <c r="M239" s="20" t="n">
        <v>4.63</v>
      </c>
      <c r="N239" s="18">
        <f>ROUND(L239/M239, 0)</f>
        <v/>
      </c>
      <c r="O239" s="18">
        <f>ROUND(N239*'Methodology &amp; Assumptions'!$B$8, 0)</f>
        <v/>
      </c>
      <c r="P239" s="8" t="inlineStr">
        <is>
          <t>Band n50 (1.5 GHz, 60 MHz)</t>
        </is>
      </c>
      <c r="Q239" s="38">
        <f>ROUNDUP(O239/'Methodology &amp; Assumptions'!$B$9, 0)</f>
        <v/>
      </c>
      <c r="R239" s="39" t="n">
        <v>1</v>
      </c>
      <c r="S239" s="21" t="n">
        <v>0.13</v>
      </c>
      <c r="T239" s="21" t="n">
        <v>0.1</v>
      </c>
      <c r="U239" s="36" t="inlineStr">
        <is>
          <t>Tier 1A (Direct Coloc, &lt;1 km)</t>
        </is>
      </c>
      <c r="V239" s="20" t="n">
        <v>100</v>
      </c>
      <c r="W239" s="20" t="n">
        <v>67.7</v>
      </c>
      <c r="X239" s="20" t="n">
        <v>28</v>
      </c>
      <c r="Y239" s="40">
        <f>ROUND((V239*'Methodology &amp; Assumptions'!$B$6)+(W239*'Methodology &amp; Assumptions'!$B$5)+(X239*'Methodology &amp; Assumptions'!$B$7), 2)</f>
        <v/>
      </c>
    </row>
    <row r="240" ht="19" customHeight="1">
      <c r="A240" s="41" t="n">
        <v>236</v>
      </c>
      <c r="B240" s="41" t="n">
        <v>3236</v>
      </c>
      <c r="C240" s="42" t="inlineStr">
        <is>
          <t>0405646001</t>
        </is>
      </c>
      <c r="D240" s="42" t="inlineStr">
        <is>
          <t>Region IV-A (CALABARZON)</t>
        </is>
      </c>
      <c r="E240" s="42" t="inlineStr">
        <is>
          <t>Quezon</t>
        </is>
      </c>
      <c r="F240" s="42" t="inlineStr">
        <is>
          <t>Tagkawayan</t>
        </is>
      </c>
      <c r="G240" s="42" t="inlineStr">
        <is>
          <t>Aldavoc</t>
        </is>
      </c>
      <c r="H240" s="43" t="n">
        <v>13.964522</v>
      </c>
      <c r="I240" s="43" t="n">
        <v>122.537157</v>
      </c>
      <c r="J240" s="44" t="inlineStr">
        <is>
          <t>R</t>
        </is>
      </c>
      <c r="K240" s="42" t="inlineStr">
        <is>
          <t>Class 1-3 / Urban</t>
        </is>
      </c>
      <c r="L240" s="23" t="n">
        <v>1444</v>
      </c>
      <c r="M240" s="24" t="n">
        <v>4.46</v>
      </c>
      <c r="N240" s="23">
        <f>ROUND(L240/M240, 0)</f>
        <v/>
      </c>
      <c r="O240" s="23">
        <f>ROUND(N240*'Methodology &amp; Assumptions'!$B$8, 0)</f>
        <v/>
      </c>
      <c r="P240" s="44" t="inlineStr">
        <is>
          <t>Band n50 (1.5 GHz, 60 MHz)</t>
        </is>
      </c>
      <c r="Q240" s="38">
        <f>ROUNDUP(O240/'Methodology &amp; Assumptions'!$B$9, 0)</f>
        <v/>
      </c>
      <c r="R240" s="39" t="n">
        <v>1</v>
      </c>
      <c r="S240" s="25" t="n">
        <v>0.59</v>
      </c>
      <c r="T240" s="25" t="n">
        <v>0.47</v>
      </c>
      <c r="U240" s="42" t="inlineStr">
        <is>
          <t>Tier 1A (Direct Coloc, &lt;1 km)</t>
        </is>
      </c>
      <c r="V240" s="24" t="n">
        <v>92.09999999999999</v>
      </c>
      <c r="W240" s="24" t="n">
        <v>49.9</v>
      </c>
      <c r="X240" s="24" t="n">
        <v>58</v>
      </c>
      <c r="Y240" s="45">
        <f>ROUND((V240*'Methodology &amp; Assumptions'!$B$6)+(W240*'Methodology &amp; Assumptions'!$B$5)+(X240*'Methodology &amp; Assumptions'!$B$7), 2)</f>
        <v/>
      </c>
    </row>
    <row r="241" ht="19" customHeight="1">
      <c r="A241" s="35" t="n">
        <v>237</v>
      </c>
      <c r="B241" s="35" t="n">
        <v>3237</v>
      </c>
      <c r="C241" s="36" t="inlineStr">
        <is>
          <t>0604509009</t>
        </is>
      </c>
      <c r="D241" s="36" t="inlineStr">
        <is>
          <t>Region VI (Western Visayas)</t>
        </is>
      </c>
      <c r="E241" s="36" t="inlineStr">
        <is>
          <t>Negros Occidental</t>
        </is>
      </c>
      <c r="F241" s="36" t="inlineStr">
        <is>
          <t>City of Escalante</t>
        </is>
      </c>
      <c r="G241" s="36" t="inlineStr">
        <is>
          <t>Jonobjonob</t>
        </is>
      </c>
      <c r="H241" s="37" t="n">
        <v>10.83342</v>
      </c>
      <c r="I241" s="37" t="n">
        <v>123.487174</v>
      </c>
      <c r="J241" s="8" t="inlineStr">
        <is>
          <t>U</t>
        </is>
      </c>
      <c r="K241" s="36" t="inlineStr">
        <is>
          <t>Class 1-3 / Urban</t>
        </is>
      </c>
      <c r="L241" s="18" t="n">
        <v>8279</v>
      </c>
      <c r="M241" s="20" t="n">
        <v>4.33</v>
      </c>
      <c r="N241" s="18">
        <f>ROUND(L241/M241, 0)</f>
        <v/>
      </c>
      <c r="O241" s="18">
        <f>ROUND(N241*'Methodology &amp; Assumptions'!$B$8, 0)</f>
        <v/>
      </c>
      <c r="P241" s="8" t="inlineStr">
        <is>
          <t>Band n50 (1.5 GHz, 60 MHz)</t>
        </is>
      </c>
      <c r="Q241" s="38">
        <f>ROUNDUP(O241/'Methodology &amp; Assumptions'!$B$9, 0)</f>
        <v/>
      </c>
      <c r="R241" s="39" t="n">
        <v>1</v>
      </c>
      <c r="S241" s="21" t="n">
        <v>1.65</v>
      </c>
      <c r="T241" s="21" t="n">
        <v>0.57</v>
      </c>
      <c r="U241" s="36" t="inlineStr">
        <is>
          <t>Tier 1B (Micro Drop, 1-3 km)</t>
        </is>
      </c>
      <c r="V241" s="20" t="n">
        <v>67.7</v>
      </c>
      <c r="W241" s="20" t="n">
        <v>100</v>
      </c>
      <c r="X241" s="20" t="n">
        <v>28</v>
      </c>
      <c r="Y241" s="40">
        <f>ROUND((V241*'Methodology &amp; Assumptions'!$B$6)+(W241*'Methodology &amp; Assumptions'!$B$5)+(X241*'Methodology &amp; Assumptions'!$B$7), 2)</f>
        <v/>
      </c>
    </row>
    <row r="242" ht="19" customHeight="1">
      <c r="A242" s="41" t="n">
        <v>238</v>
      </c>
      <c r="B242" s="41" t="n">
        <v>3238</v>
      </c>
      <c r="C242" s="42" t="inlineStr">
        <is>
          <t>0401020024</t>
        </is>
      </c>
      <c r="D242" s="42" t="inlineStr">
        <is>
          <t>Region IV-A (CALABARZON)</t>
        </is>
      </c>
      <c r="E242" s="42" t="inlineStr">
        <is>
          <t>Batangas</t>
        </is>
      </c>
      <c r="F242" s="42" t="inlineStr">
        <is>
          <t>Padre Garcia</t>
        </is>
      </c>
      <c r="G242" s="42" t="inlineStr">
        <is>
          <t>Quilo-quilo North</t>
        </is>
      </c>
      <c r="H242" s="43" t="n">
        <v>13.871812</v>
      </c>
      <c r="I242" s="43" t="n">
        <v>121.225434</v>
      </c>
      <c r="J242" s="44" t="inlineStr">
        <is>
          <t>R</t>
        </is>
      </c>
      <c r="K242" s="42" t="inlineStr">
        <is>
          <t>Class 1-3 / Urban</t>
        </is>
      </c>
      <c r="L242" s="23" t="n">
        <v>2928</v>
      </c>
      <c r="M242" s="24" t="n">
        <v>4.62</v>
      </c>
      <c r="N242" s="23">
        <f>ROUND(L242/M242, 0)</f>
        <v/>
      </c>
      <c r="O242" s="23">
        <f>ROUND(N242*'Methodology &amp; Assumptions'!$B$8, 0)</f>
        <v/>
      </c>
      <c r="P242" s="44" t="inlineStr">
        <is>
          <t>Band n50 (1.5 GHz, 60 MHz)</t>
        </is>
      </c>
      <c r="Q242" s="38">
        <f>ROUNDUP(O242/'Methodology &amp; Assumptions'!$B$9, 0)</f>
        <v/>
      </c>
      <c r="R242" s="39" t="n">
        <v>1</v>
      </c>
      <c r="S242" s="25" t="n">
        <v>1.67</v>
      </c>
      <c r="T242" s="25" t="n">
        <v>1.34</v>
      </c>
      <c r="U242" s="42" t="inlineStr">
        <is>
          <t>Tier 1B (Micro Drop, 1-3 km)</t>
        </is>
      </c>
      <c r="V242" s="24" t="n">
        <v>67.3</v>
      </c>
      <c r="W242" s="24" t="n">
        <v>74.7</v>
      </c>
      <c r="X242" s="24" t="n">
        <v>58</v>
      </c>
      <c r="Y242" s="45">
        <f>ROUND((V242*'Methodology &amp; Assumptions'!$B$6)+(W242*'Methodology &amp; Assumptions'!$B$5)+(X242*'Methodology &amp; Assumptions'!$B$7), 2)</f>
        <v/>
      </c>
    </row>
    <row r="243" ht="19" customHeight="1">
      <c r="A243" s="35" t="n">
        <v>239</v>
      </c>
      <c r="B243" s="35" t="n">
        <v>3239</v>
      </c>
      <c r="C243" s="36" t="inlineStr">
        <is>
          <t>0604521018</t>
        </is>
      </c>
      <c r="D243" s="36" t="inlineStr">
        <is>
          <t>Region VI (Western Visayas)</t>
        </is>
      </c>
      <c r="E243" s="36" t="inlineStr">
        <is>
          <t>Negros Occidental</t>
        </is>
      </c>
      <c r="F243" s="36" t="inlineStr">
        <is>
          <t>Pontevedra</t>
        </is>
      </c>
      <c r="G243" s="36" t="inlineStr">
        <is>
          <t>Recreo</t>
        </is>
      </c>
      <c r="H243" s="37" t="n">
        <v>10.356976</v>
      </c>
      <c r="I243" s="37" t="n">
        <v>122.869674</v>
      </c>
      <c r="J243" s="8" t="inlineStr">
        <is>
          <t>R</t>
        </is>
      </c>
      <c r="K243" s="36" t="inlineStr">
        <is>
          <t>Class 1-3 / Urban</t>
        </is>
      </c>
      <c r="L243" s="18" t="n">
        <v>2840</v>
      </c>
      <c r="M243" s="20" t="n">
        <v>4.33</v>
      </c>
      <c r="N243" s="18">
        <f>ROUND(L243/M243, 0)</f>
        <v/>
      </c>
      <c r="O243" s="18">
        <f>ROUND(N243*'Methodology &amp; Assumptions'!$B$8, 0)</f>
        <v/>
      </c>
      <c r="P243" s="8" t="inlineStr">
        <is>
          <t>Band n50 (1.5 GHz, 60 MHz)</t>
        </is>
      </c>
      <c r="Q243" s="38">
        <f>ROUNDUP(O243/'Methodology &amp; Assumptions'!$B$9, 0)</f>
        <v/>
      </c>
      <c r="R243" s="39" t="n">
        <v>1</v>
      </c>
      <c r="S243" s="21" t="n">
        <v>1.77</v>
      </c>
      <c r="T243" s="21" t="n">
        <v>0.14</v>
      </c>
      <c r="U243" s="36" t="inlineStr">
        <is>
          <t>Tier 1B (Micro Drop, 1-3 km)</t>
        </is>
      </c>
      <c r="V243" s="20" t="n">
        <v>65.40000000000001</v>
      </c>
      <c r="W243" s="20" t="n">
        <v>76.5</v>
      </c>
      <c r="X243" s="20" t="n">
        <v>58</v>
      </c>
      <c r="Y243" s="40">
        <f>ROUND((V243*'Methodology &amp; Assumptions'!$B$6)+(W243*'Methodology &amp; Assumptions'!$B$5)+(X243*'Methodology &amp; Assumptions'!$B$7), 2)</f>
        <v/>
      </c>
    </row>
    <row r="244" ht="19" customHeight="1">
      <c r="A244" s="41" t="n">
        <v>240</v>
      </c>
      <c r="B244" s="41" t="n">
        <v>3240</v>
      </c>
      <c r="C244" s="42" t="inlineStr">
        <is>
          <t>0701219002</t>
        </is>
      </c>
      <c r="D244" s="42" t="inlineStr">
        <is>
          <t>Region VII (Central Visayas)</t>
        </is>
      </c>
      <c r="E244" s="42" t="inlineStr">
        <is>
          <t>Bohol</t>
        </is>
      </c>
      <c r="F244" s="42" t="inlineStr">
        <is>
          <t>Dauis</t>
        </is>
      </c>
      <c r="G244" s="42" t="inlineStr">
        <is>
          <t>Bingag</t>
        </is>
      </c>
      <c r="H244" s="43" t="n">
        <v>9.621131</v>
      </c>
      <c r="I244" s="43" t="n">
        <v>123.805286</v>
      </c>
      <c r="J244" s="44" t="inlineStr">
        <is>
          <t>U</t>
        </is>
      </c>
      <c r="K244" s="42" t="inlineStr">
        <is>
          <t>1st</t>
        </is>
      </c>
      <c r="L244" s="23" t="n">
        <v>5107</v>
      </c>
      <c r="M244" s="24" t="n">
        <v>4.6</v>
      </c>
      <c r="N244" s="23">
        <f>ROUND(L244/M244, 0)</f>
        <v/>
      </c>
      <c r="O244" s="23">
        <f>ROUND(N244*'Methodology &amp; Assumptions'!$B$8, 0)</f>
        <v/>
      </c>
      <c r="P244" s="44" t="inlineStr">
        <is>
          <t>Band n50 (1.5 GHz, 60 MHz)</t>
        </is>
      </c>
      <c r="Q244" s="38">
        <f>ROUNDUP(O244/'Methodology &amp; Assumptions'!$B$9, 0)</f>
        <v/>
      </c>
      <c r="R244" s="39" t="n">
        <v>1</v>
      </c>
      <c r="S244" s="25" t="n">
        <v>1.8</v>
      </c>
      <c r="T244" s="25" t="n">
        <v>5.89</v>
      </c>
      <c r="U244" s="42" t="inlineStr">
        <is>
          <t>Tier 1B (Micro Drop, 1-3 km)</t>
        </is>
      </c>
      <c r="V244" s="24" t="n">
        <v>54.8</v>
      </c>
      <c r="W244" s="24" t="n">
        <v>100</v>
      </c>
      <c r="X244" s="24" t="n">
        <v>43</v>
      </c>
      <c r="Y244" s="45">
        <f>ROUND((V244*'Methodology &amp; Assumptions'!$B$6)+(W244*'Methodology &amp; Assumptions'!$B$5)+(X244*'Methodology &amp; Assumptions'!$B$7), 2)</f>
        <v/>
      </c>
    </row>
    <row r="245" ht="19" customHeight="1">
      <c r="A245" s="35" t="n">
        <v>241</v>
      </c>
      <c r="B245" s="35" t="n">
        <v>3241</v>
      </c>
      <c r="C245" s="36" t="inlineStr">
        <is>
          <t>0731300024</t>
        </is>
      </c>
      <c r="D245" s="36" t="inlineStr">
        <is>
          <t>Region VII (Central Visayas)</t>
        </is>
      </c>
      <c r="E245" s="36" t="inlineStr">
        <is>
          <t>Cebu</t>
        </is>
      </c>
      <c r="F245" s="36" t="inlineStr">
        <is>
          <t>City of Mandaue</t>
        </is>
      </c>
      <c r="G245" s="36" t="inlineStr">
        <is>
          <t>Tawason</t>
        </is>
      </c>
      <c r="H245" s="37" t="n">
        <v>10.381351</v>
      </c>
      <c r="I245" s="37" t="n">
        <v>123.928959</v>
      </c>
      <c r="J245" s="8" t="inlineStr">
        <is>
          <t>U</t>
        </is>
      </c>
      <c r="K245" s="36" t="inlineStr">
        <is>
          <t>Class 1-3 / Urban</t>
        </is>
      </c>
      <c r="L245" s="18" t="n">
        <v>6984</v>
      </c>
      <c r="M245" s="20" t="n">
        <v>4.42</v>
      </c>
      <c r="N245" s="18">
        <f>ROUND(L245/M245, 0)</f>
        <v/>
      </c>
      <c r="O245" s="18">
        <f>ROUND(N245*'Methodology &amp; Assumptions'!$B$8, 0)</f>
        <v/>
      </c>
      <c r="P245" s="8" t="inlineStr">
        <is>
          <t>Band n50 (1.5 GHz, 60 MHz)</t>
        </is>
      </c>
      <c r="Q245" s="38">
        <f>ROUNDUP(O245/'Methodology &amp; Assumptions'!$B$9, 0)</f>
        <v/>
      </c>
      <c r="R245" s="39" t="n">
        <v>1</v>
      </c>
      <c r="S245" s="21" t="n">
        <v>1.65</v>
      </c>
      <c r="T245" s="21" t="n">
        <v>0.6</v>
      </c>
      <c r="U245" s="36" t="inlineStr">
        <is>
          <t>Tier 1B (Micro Drop, 1-3 km)</t>
        </is>
      </c>
      <c r="V245" s="20" t="n">
        <v>67.7</v>
      </c>
      <c r="W245" s="20" t="n">
        <v>100</v>
      </c>
      <c r="X245" s="20" t="n">
        <v>28</v>
      </c>
      <c r="Y245" s="40">
        <f>ROUND((V245*'Methodology &amp; Assumptions'!$B$6)+(W245*'Methodology &amp; Assumptions'!$B$5)+(X245*'Methodology &amp; Assumptions'!$B$7), 2)</f>
        <v/>
      </c>
    </row>
    <row r="246" ht="19" customHeight="1">
      <c r="A246" s="41" t="n">
        <v>242</v>
      </c>
      <c r="B246" s="41" t="n">
        <v>3242</v>
      </c>
      <c r="C246" s="42" t="inlineStr">
        <is>
          <t>0307109002</t>
        </is>
      </c>
      <c r="D246" s="42" t="inlineStr">
        <is>
          <t>Region III (Central Luzon)</t>
        </is>
      </c>
      <c r="E246" s="42" t="inlineStr">
        <is>
          <t>Zambales</t>
        </is>
      </c>
      <c r="F246" s="42" t="inlineStr">
        <is>
          <t>San Antonio</t>
        </is>
      </c>
      <c r="G246" s="42" t="inlineStr">
        <is>
          <t>Antipolo</t>
        </is>
      </c>
      <c r="H246" s="43" t="n">
        <v>14.959789</v>
      </c>
      <c r="I246" s="43" t="n">
        <v>120.087972</v>
      </c>
      <c r="J246" s="44" t="inlineStr">
        <is>
          <t>R</t>
        </is>
      </c>
      <c r="K246" s="42" t="inlineStr">
        <is>
          <t>Class 1-3 / Urban</t>
        </is>
      </c>
      <c r="L246" s="23" t="n">
        <v>1940</v>
      </c>
      <c r="M246" s="24" t="n">
        <v>4.05</v>
      </c>
      <c r="N246" s="23">
        <f>ROUND(L246/M246, 0)</f>
        <v/>
      </c>
      <c r="O246" s="23">
        <f>ROUND(N246*'Methodology &amp; Assumptions'!$B$8, 0)</f>
        <v/>
      </c>
      <c r="P246" s="44" t="inlineStr">
        <is>
          <t>Band n50 (1.5 GHz, 60 MHz)</t>
        </is>
      </c>
      <c r="Q246" s="38">
        <f>ROUNDUP(O246/'Methodology &amp; Assumptions'!$B$9, 0)</f>
        <v/>
      </c>
      <c r="R246" s="39" t="n">
        <v>1</v>
      </c>
      <c r="S246" s="25" t="n">
        <v>1.09</v>
      </c>
      <c r="T246" s="25" t="n">
        <v>0.6</v>
      </c>
      <c r="U246" s="42" t="inlineStr">
        <is>
          <t>Tier 1B (Micro Drop, 1-3 km)</t>
        </is>
      </c>
      <c r="V246" s="24" t="n">
        <v>79.5</v>
      </c>
      <c r="W246" s="24" t="n">
        <v>62.4</v>
      </c>
      <c r="X246" s="24" t="n">
        <v>58</v>
      </c>
      <c r="Y246" s="45">
        <f>ROUND((V246*'Methodology &amp; Assumptions'!$B$6)+(W246*'Methodology &amp; Assumptions'!$B$5)+(X246*'Methodology &amp; Assumptions'!$B$7), 2)</f>
        <v/>
      </c>
    </row>
    <row r="247" ht="19" customHeight="1">
      <c r="A247" s="35" t="n">
        <v>243</v>
      </c>
      <c r="B247" s="35" t="n">
        <v>3243</v>
      </c>
      <c r="C247" s="36" t="inlineStr">
        <is>
          <t>0501720015</t>
        </is>
      </c>
      <c r="D247" s="36" t="inlineStr">
        <is>
          <t>Region V (Bicol Region)</t>
        </is>
      </c>
      <c r="E247" s="36" t="inlineStr">
        <is>
          <t>Camarines Sur</t>
        </is>
      </c>
      <c r="F247" s="36" t="inlineStr">
        <is>
          <t>Magarao</t>
        </is>
      </c>
      <c r="G247" s="36" t="inlineStr">
        <is>
          <t>Santo Tomas</t>
        </is>
      </c>
      <c r="H247" s="37" t="n">
        <v>13.660533</v>
      </c>
      <c r="I247" s="37" t="n">
        <v>123.181282</v>
      </c>
      <c r="J247" s="8" t="inlineStr">
        <is>
          <t>U</t>
        </is>
      </c>
      <c r="K247" s="36" t="inlineStr">
        <is>
          <t>4th</t>
        </is>
      </c>
      <c r="L247" s="18" t="n">
        <v>1650</v>
      </c>
      <c r="M247" s="20" t="n">
        <v>4.81</v>
      </c>
      <c r="N247" s="18">
        <f>ROUND(L247/M247, 0)</f>
        <v/>
      </c>
      <c r="O247" s="18">
        <f>ROUND(N247*'Methodology &amp; Assumptions'!$B$8, 0)</f>
        <v/>
      </c>
      <c r="P247" s="8" t="inlineStr">
        <is>
          <t>Band n50 (1.5 GHz, 60 MHz)</t>
        </is>
      </c>
      <c r="Q247" s="38">
        <f>ROUNDUP(O247/'Methodology &amp; Assumptions'!$B$9, 0)</f>
        <v/>
      </c>
      <c r="R247" s="39" t="n">
        <v>1</v>
      </c>
      <c r="S247" s="21" t="n">
        <v>0.51</v>
      </c>
      <c r="T247" s="21" t="n">
        <v>0.04</v>
      </c>
      <c r="U247" s="36" t="inlineStr">
        <is>
          <t>Tier 1A (Direct Coloc, &lt;1 km)</t>
        </is>
      </c>
      <c r="V247" s="20" t="n">
        <v>94.3</v>
      </c>
      <c r="W247" s="20" t="n">
        <v>51.5</v>
      </c>
      <c r="X247" s="20" t="n">
        <v>53.5</v>
      </c>
      <c r="Y247" s="40">
        <f>ROUND((V247*'Methodology &amp; Assumptions'!$B$6)+(W247*'Methodology &amp; Assumptions'!$B$5)+(X247*'Methodology &amp; Assumptions'!$B$7), 2)</f>
        <v/>
      </c>
    </row>
    <row r="248" ht="19" customHeight="1">
      <c r="A248" s="41" t="n">
        <v>244</v>
      </c>
      <c r="B248" s="41" t="n">
        <v>3244</v>
      </c>
      <c r="C248" s="42" t="inlineStr">
        <is>
          <t>0304917028</t>
        </is>
      </c>
      <c r="D248" s="42" t="inlineStr">
        <is>
          <t>Region III (Central Luzon)</t>
        </is>
      </c>
      <c r="E248" s="42" t="inlineStr">
        <is>
          <t>Nueva Ecija</t>
        </is>
      </c>
      <c r="F248" s="42" t="inlineStr">
        <is>
          <t>Science City of Muñoz</t>
        </is>
      </c>
      <c r="G248" s="42" t="inlineStr">
        <is>
          <t>Poblacion South</t>
        </is>
      </c>
      <c r="H248" s="43" t="n">
        <v>15.71824</v>
      </c>
      <c r="I248" s="43" t="n">
        <v>120.90556</v>
      </c>
      <c r="J248" s="44" t="inlineStr">
        <is>
          <t>U</t>
        </is>
      </c>
      <c r="K248" s="42" t="inlineStr">
        <is>
          <t>Class 1-3 / Urban</t>
        </is>
      </c>
      <c r="L248" s="23" t="n">
        <v>1790</v>
      </c>
      <c r="M248" s="24" t="n">
        <v>4.32</v>
      </c>
      <c r="N248" s="23">
        <f>ROUND(L248/M248, 0)</f>
        <v/>
      </c>
      <c r="O248" s="23">
        <f>ROUND(N248*'Methodology &amp; Assumptions'!$B$8, 0)</f>
        <v/>
      </c>
      <c r="P248" s="44" t="inlineStr">
        <is>
          <t>Band n50 (1.5 GHz, 60 MHz)</t>
        </is>
      </c>
      <c r="Q248" s="38">
        <f>ROUNDUP(O248/'Methodology &amp; Assumptions'!$B$9, 0)</f>
        <v/>
      </c>
      <c r="R248" s="39" t="n">
        <v>1</v>
      </c>
      <c r="S248" s="25" t="n">
        <v>0.39</v>
      </c>
      <c r="T248" s="25" t="n">
        <v>0.29</v>
      </c>
      <c r="U248" s="42" t="inlineStr">
        <is>
          <t>Tier 1A (Direct Coloc, &lt;1 km)</t>
        </is>
      </c>
      <c r="V248" s="24" t="n">
        <v>97.7</v>
      </c>
      <c r="W248" s="24" t="n">
        <v>57.1</v>
      </c>
      <c r="X248" s="24" t="n">
        <v>43</v>
      </c>
      <c r="Y248" s="45">
        <f>ROUND((V248*'Methodology &amp; Assumptions'!$B$6)+(W248*'Methodology &amp; Assumptions'!$B$5)+(X248*'Methodology &amp; Assumptions'!$B$7), 2)</f>
        <v/>
      </c>
    </row>
    <row r="249" ht="19" customHeight="1">
      <c r="A249" s="35" t="n">
        <v>245</v>
      </c>
      <c r="B249" s="35" t="n">
        <v>3245</v>
      </c>
      <c r="C249" s="36" t="inlineStr">
        <is>
          <t>0405813005</t>
        </is>
      </c>
      <c r="D249" s="36" t="inlineStr">
        <is>
          <t>Region IV-A (CALABARZON)</t>
        </is>
      </c>
      <c r="E249" s="36" t="inlineStr">
        <is>
          <t>Rizal</t>
        </is>
      </c>
      <c r="F249" s="36" t="inlineStr">
        <is>
          <t>Taytay</t>
        </is>
      </c>
      <c r="G249" s="36" t="inlineStr">
        <is>
          <t>Santa Ana</t>
        </is>
      </c>
      <c r="H249" s="37" t="n">
        <v>14.56553</v>
      </c>
      <c r="I249" s="37" t="n">
        <v>121.1267</v>
      </c>
      <c r="J249" s="8" t="inlineStr">
        <is>
          <t>U</t>
        </is>
      </c>
      <c r="K249" s="36" t="inlineStr">
        <is>
          <t>Class 1-3 / Urban</t>
        </is>
      </c>
      <c r="L249" s="18" t="n">
        <v>107415</v>
      </c>
      <c r="M249" s="20" t="n">
        <v>4.39</v>
      </c>
      <c r="N249" s="18">
        <f>ROUND(L249/M249, 0)</f>
        <v/>
      </c>
      <c r="O249" s="18">
        <f>ROUND(N249*'Methodology &amp; Assumptions'!$B$8, 0)</f>
        <v/>
      </c>
      <c r="P249" s="8" t="inlineStr">
        <is>
          <t>Band n50 (1.5 GHz, 60 MHz)</t>
        </is>
      </c>
      <c r="Q249" s="38">
        <f>ROUNDUP(O249/'Methodology &amp; Assumptions'!$B$9, 0)</f>
        <v/>
      </c>
      <c r="R249" s="39" t="n">
        <v>1</v>
      </c>
      <c r="S249" s="21" t="n">
        <v>1.26</v>
      </c>
      <c r="T249" s="21" t="n">
        <v>0.71</v>
      </c>
      <c r="U249" s="36" t="inlineStr">
        <is>
          <t>Tier 1B (Micro Drop, 1-3 km)</t>
        </is>
      </c>
      <c r="V249" s="20" t="n">
        <v>75.59999999999999</v>
      </c>
      <c r="W249" s="20" t="n">
        <v>92</v>
      </c>
      <c r="X249" s="20" t="n">
        <v>28</v>
      </c>
      <c r="Y249" s="40">
        <f>ROUND((V249*'Methodology &amp; Assumptions'!$B$6)+(W249*'Methodology &amp; Assumptions'!$B$5)+(X249*'Methodology &amp; Assumptions'!$B$7), 2)</f>
        <v/>
      </c>
    </row>
    <row r="250" ht="19" customHeight="1">
      <c r="A250" s="41" t="n">
        <v>246</v>
      </c>
      <c r="B250" s="41" t="n">
        <v>3246</v>
      </c>
      <c r="C250" s="42" t="inlineStr">
        <is>
          <t>0500504041</t>
        </is>
      </c>
      <c r="D250" s="42" t="inlineStr">
        <is>
          <t>Region V (Bicol Region)</t>
        </is>
      </c>
      <c r="E250" s="42" t="inlineStr">
        <is>
          <t>Albay</t>
        </is>
      </c>
      <c r="F250" s="42" t="inlineStr">
        <is>
          <t>Guinobatan</t>
        </is>
      </c>
      <c r="G250" s="42" t="inlineStr">
        <is>
          <t>Quitago</t>
        </is>
      </c>
      <c r="H250" s="43" t="n">
        <v>13.175234</v>
      </c>
      <c r="I250" s="43" t="n">
        <v>123.604868</v>
      </c>
      <c r="J250" s="44" t="inlineStr">
        <is>
          <t>R</t>
        </is>
      </c>
      <c r="K250" s="42" t="inlineStr">
        <is>
          <t>Class 1-3 / Urban</t>
        </is>
      </c>
      <c r="L250" s="23" t="n">
        <v>2740</v>
      </c>
      <c r="M250" s="24" t="n">
        <v>4.67</v>
      </c>
      <c r="N250" s="23">
        <f>ROUND(L250/M250, 0)</f>
        <v/>
      </c>
      <c r="O250" s="23">
        <f>ROUND(N250*'Methodology &amp; Assumptions'!$B$8, 0)</f>
        <v/>
      </c>
      <c r="P250" s="44" t="inlineStr">
        <is>
          <t>Band n50 (1.5 GHz, 60 MHz)</t>
        </is>
      </c>
      <c r="Q250" s="38">
        <f>ROUNDUP(O250/'Methodology &amp; Assumptions'!$B$9, 0)</f>
        <v/>
      </c>
      <c r="R250" s="39" t="n">
        <v>1</v>
      </c>
      <c r="S250" s="25" t="n">
        <v>1.48</v>
      </c>
      <c r="T250" s="25" t="n">
        <v>1.48</v>
      </c>
      <c r="U250" s="42" t="inlineStr">
        <is>
          <t>Tier 1B (Micro Drop, 1-3 km)</t>
        </is>
      </c>
      <c r="V250" s="24" t="n">
        <v>71</v>
      </c>
      <c r="W250" s="24" t="n">
        <v>70.90000000000001</v>
      </c>
      <c r="X250" s="24" t="n">
        <v>58</v>
      </c>
      <c r="Y250" s="45">
        <f>ROUND((V250*'Methodology &amp; Assumptions'!$B$6)+(W250*'Methodology &amp; Assumptions'!$B$5)+(X250*'Methodology &amp; Assumptions'!$B$7), 2)</f>
        <v/>
      </c>
    </row>
    <row r="251" ht="19" customHeight="1">
      <c r="A251" s="35" t="n">
        <v>247</v>
      </c>
      <c r="B251" s="35" t="n">
        <v>3247</v>
      </c>
      <c r="C251" s="36" t="inlineStr">
        <is>
          <t>0203113012</t>
        </is>
      </c>
      <c r="D251" s="36" t="inlineStr">
        <is>
          <t>Region II (Cagayan Valley)</t>
        </is>
      </c>
      <c r="E251" s="36" t="inlineStr">
        <is>
          <t>Isabela</t>
        </is>
      </c>
      <c r="F251" s="36" t="inlineStr">
        <is>
          <t>Gamu</t>
        </is>
      </c>
      <c r="G251" s="36" t="inlineStr">
        <is>
          <t>Mabini</t>
        </is>
      </c>
      <c r="H251" s="37" t="n">
        <v>17.098011</v>
      </c>
      <c r="I251" s="37" t="n">
        <v>121.736644</v>
      </c>
      <c r="J251" s="8" t="inlineStr">
        <is>
          <t>R</t>
        </is>
      </c>
      <c r="K251" s="36" t="inlineStr">
        <is>
          <t>2nd</t>
        </is>
      </c>
      <c r="L251" s="18" t="n">
        <v>4530</v>
      </c>
      <c r="M251" s="20" t="n">
        <v>4.4</v>
      </c>
      <c r="N251" s="18">
        <f>ROUND(L251/M251, 0)</f>
        <v/>
      </c>
      <c r="O251" s="18">
        <f>ROUND(N251*'Methodology &amp; Assumptions'!$B$8, 0)</f>
        <v/>
      </c>
      <c r="P251" s="8" t="inlineStr">
        <is>
          <t>Band n50 (1.5 GHz, 60 MHz)</t>
        </is>
      </c>
      <c r="Q251" s="38">
        <f>ROUNDUP(O251/'Methodology &amp; Assumptions'!$B$9, 0)</f>
        <v/>
      </c>
      <c r="R251" s="39" t="n">
        <v>1</v>
      </c>
      <c r="S251" s="21" t="n">
        <v>3.43</v>
      </c>
      <c r="T251" s="21" t="n">
        <v>1.95</v>
      </c>
      <c r="U251" s="36" t="inlineStr">
        <is>
          <t>Tier 2 (Fiber Corridor / Lateral, 3-5 km)</t>
        </is>
      </c>
      <c r="V251" s="20" t="n">
        <v>41.9</v>
      </c>
      <c r="W251" s="20" t="n">
        <v>100</v>
      </c>
      <c r="X251" s="20" t="n">
        <v>58</v>
      </c>
      <c r="Y251" s="40">
        <f>ROUND((V251*'Methodology &amp; Assumptions'!$B$6)+(W251*'Methodology &amp; Assumptions'!$B$5)+(X251*'Methodology &amp; Assumptions'!$B$7), 2)</f>
        <v/>
      </c>
    </row>
    <row r="252" ht="19" customHeight="1">
      <c r="A252" s="41" t="n">
        <v>248</v>
      </c>
      <c r="B252" s="41" t="n">
        <v>3248</v>
      </c>
      <c r="C252" s="42" t="inlineStr">
        <is>
          <t>0402115016</t>
        </is>
      </c>
      <c r="D252" s="42" t="inlineStr">
        <is>
          <t>Region IV-A (CALABARZON)</t>
        </is>
      </c>
      <c r="E252" s="42" t="inlineStr">
        <is>
          <t>Cavite</t>
        </is>
      </c>
      <c r="F252" s="42" t="inlineStr">
        <is>
          <t>Naic</t>
        </is>
      </c>
      <c r="G252" s="42" t="inlineStr">
        <is>
          <t>Latoria</t>
        </is>
      </c>
      <c r="H252" s="43" t="n">
        <v>14.321459</v>
      </c>
      <c r="I252" s="43" t="n">
        <v>120.761299</v>
      </c>
      <c r="J252" s="44" t="inlineStr">
        <is>
          <t>R</t>
        </is>
      </c>
      <c r="K252" s="42" t="inlineStr">
        <is>
          <t>Class 1-3 / Urban</t>
        </is>
      </c>
      <c r="L252" s="23" t="n">
        <v>2186</v>
      </c>
      <c r="M252" s="24" t="n">
        <v>4.49</v>
      </c>
      <c r="N252" s="23">
        <f>ROUND(L252/M252, 0)</f>
        <v/>
      </c>
      <c r="O252" s="23">
        <f>ROUND(N252*'Methodology &amp; Assumptions'!$B$8, 0)</f>
        <v/>
      </c>
      <c r="P252" s="44" t="inlineStr">
        <is>
          <t>Band n50 (1.5 GHz, 60 MHz)</t>
        </is>
      </c>
      <c r="Q252" s="38">
        <f>ROUNDUP(O252/'Methodology &amp; Assumptions'!$B$9, 0)</f>
        <v/>
      </c>
      <c r="R252" s="39" t="n">
        <v>1</v>
      </c>
      <c r="S252" s="25" t="n">
        <v>1.11</v>
      </c>
      <c r="T252" s="25" t="n">
        <v>1.11</v>
      </c>
      <c r="U252" s="42" t="inlineStr">
        <is>
          <t>Tier 1B (Micro Drop, 1-3 km)</t>
        </is>
      </c>
      <c r="V252" s="24" t="n">
        <v>79</v>
      </c>
      <c r="W252" s="24" t="n">
        <v>62.9</v>
      </c>
      <c r="X252" s="24" t="n">
        <v>58</v>
      </c>
      <c r="Y252" s="45">
        <f>ROUND((V252*'Methodology &amp; Assumptions'!$B$6)+(W252*'Methodology &amp; Assumptions'!$B$5)+(X252*'Methodology &amp; Assumptions'!$B$7), 2)</f>
        <v/>
      </c>
    </row>
    <row r="253" ht="19" customHeight="1">
      <c r="A253" s="35" t="n">
        <v>249</v>
      </c>
      <c r="B253" s="35" t="n">
        <v>3249</v>
      </c>
      <c r="C253" s="36" t="inlineStr">
        <is>
          <t>0601914004</t>
        </is>
      </c>
      <c r="D253" s="36" t="inlineStr">
        <is>
          <t>Region VI (Western Visayas)</t>
        </is>
      </c>
      <c r="E253" s="36" t="inlineStr">
        <is>
          <t>Capiz</t>
        </is>
      </c>
      <c r="F253" s="36" t="inlineStr">
        <is>
          <t>City of Roxas</t>
        </is>
      </c>
      <c r="G253" s="36" t="inlineStr">
        <is>
          <t>Banica</t>
        </is>
      </c>
      <c r="H253" s="37" t="n">
        <v>11.582038</v>
      </c>
      <c r="I253" s="37" t="n">
        <v>122.761788</v>
      </c>
      <c r="J253" s="8" t="inlineStr">
        <is>
          <t>U</t>
        </is>
      </c>
      <c r="K253" s="36" t="inlineStr">
        <is>
          <t>Class 1-3 / Urban</t>
        </is>
      </c>
      <c r="L253" s="18" t="n">
        <v>8950</v>
      </c>
      <c r="M253" s="20" t="n">
        <v>4.2</v>
      </c>
      <c r="N253" s="18">
        <f>ROUND(L253/M253, 0)</f>
        <v/>
      </c>
      <c r="O253" s="18">
        <f>ROUND(N253*'Methodology &amp; Assumptions'!$B$8, 0)</f>
        <v/>
      </c>
      <c r="P253" s="8" t="inlineStr">
        <is>
          <t>Band n50 (1.5 GHz, 60 MHz)</t>
        </is>
      </c>
      <c r="Q253" s="38">
        <f>ROUNDUP(O253/'Methodology &amp; Assumptions'!$B$9, 0)</f>
        <v/>
      </c>
      <c r="R253" s="39" t="n">
        <v>1</v>
      </c>
      <c r="S253" s="21" t="n">
        <v>1.66</v>
      </c>
      <c r="T253" s="21" t="n">
        <v>0.23</v>
      </c>
      <c r="U253" s="36" t="inlineStr">
        <is>
          <t>Tier 1B (Micro Drop, 1-3 km)</t>
        </is>
      </c>
      <c r="V253" s="20" t="n">
        <v>67.59999999999999</v>
      </c>
      <c r="W253" s="20" t="n">
        <v>100</v>
      </c>
      <c r="X253" s="20" t="n">
        <v>28</v>
      </c>
      <c r="Y253" s="40">
        <f>ROUND((V253*'Methodology &amp; Assumptions'!$B$6)+(W253*'Methodology &amp; Assumptions'!$B$5)+(X253*'Methodology &amp; Assumptions'!$B$7), 2)</f>
        <v/>
      </c>
    </row>
    <row r="254" ht="19" customHeight="1">
      <c r="A254" s="41" t="n">
        <v>250</v>
      </c>
      <c r="B254" s="41" t="n">
        <v>3250</v>
      </c>
      <c r="C254" s="42" t="inlineStr">
        <is>
          <t>0401005044</t>
        </is>
      </c>
      <c r="D254" s="42" t="inlineStr">
        <is>
          <t>Region IV-A (CALABARZON)</t>
        </is>
      </c>
      <c r="E254" s="42" t="inlineStr">
        <is>
          <t>Batangas</t>
        </is>
      </c>
      <c r="F254" s="42" t="inlineStr">
        <is>
          <t>Batangas City</t>
        </is>
      </c>
      <c r="G254" s="42" t="inlineStr">
        <is>
          <t>Malitam</t>
        </is>
      </c>
      <c r="H254" s="43" t="n">
        <v>13.747531</v>
      </c>
      <c r="I254" s="43" t="n">
        <v>121.055333</v>
      </c>
      <c r="J254" s="44" t="inlineStr">
        <is>
          <t>U</t>
        </is>
      </c>
      <c r="K254" s="42" t="inlineStr">
        <is>
          <t>Class 1-3 / Urban</t>
        </is>
      </c>
      <c r="L254" s="23" t="n">
        <v>8563</v>
      </c>
      <c r="M254" s="24" t="n">
        <v>4.62</v>
      </c>
      <c r="N254" s="23">
        <f>ROUND(L254/M254, 0)</f>
        <v/>
      </c>
      <c r="O254" s="23">
        <f>ROUND(N254*'Methodology &amp; Assumptions'!$B$8, 0)</f>
        <v/>
      </c>
      <c r="P254" s="44" t="inlineStr">
        <is>
          <t>Band n50 (1.5 GHz, 60 MHz)</t>
        </is>
      </c>
      <c r="Q254" s="38">
        <f>ROUNDUP(O254/'Methodology &amp; Assumptions'!$B$9, 0)</f>
        <v/>
      </c>
      <c r="R254" s="39" t="n">
        <v>1</v>
      </c>
      <c r="S254" s="25" t="n">
        <v>1.66</v>
      </c>
      <c r="T254" s="25" t="n">
        <v>1.02</v>
      </c>
      <c r="U254" s="42" t="inlineStr">
        <is>
          <t>Tier 1B (Micro Drop, 1-3 km)</t>
        </is>
      </c>
      <c r="V254" s="24" t="n">
        <v>67.59999999999999</v>
      </c>
      <c r="W254" s="24" t="n">
        <v>100</v>
      </c>
      <c r="X254" s="24" t="n">
        <v>28</v>
      </c>
      <c r="Y254" s="45">
        <f>ROUND((V254*'Methodology &amp; Assumptions'!$B$6)+(W254*'Methodology &amp; Assumptions'!$B$5)+(X254*'Methodology &amp; Assumptions'!$B$7), 2)</f>
        <v/>
      </c>
    </row>
    <row r="255" ht="19" customHeight="1">
      <c r="A255" s="35" t="n">
        <v>251</v>
      </c>
      <c r="B255" s="35" t="n">
        <v>3251</v>
      </c>
      <c r="C255" s="36" t="inlineStr">
        <is>
          <t>0402118053</t>
        </is>
      </c>
      <c r="D255" s="36" t="inlineStr">
        <is>
          <t>Region IV-A (CALABARZON)</t>
        </is>
      </c>
      <c r="E255" s="36" t="inlineStr">
        <is>
          <t>Cavite</t>
        </is>
      </c>
      <c r="F255" s="36" t="inlineStr">
        <is>
          <t>Silang</t>
        </is>
      </c>
      <c r="G255" s="36" t="inlineStr">
        <is>
          <t>Yakal</t>
        </is>
      </c>
      <c r="H255" s="37" t="n">
        <v>14.271998</v>
      </c>
      <c r="I255" s="37" t="n">
        <v>121.000371</v>
      </c>
      <c r="J255" s="8" t="inlineStr">
        <is>
          <t>U</t>
        </is>
      </c>
      <c r="K255" s="36" t="inlineStr">
        <is>
          <t>Class 1-3 / Urban</t>
        </is>
      </c>
      <c r="L255" s="18" t="n">
        <v>7047</v>
      </c>
      <c r="M255" s="20" t="n">
        <v>4.49</v>
      </c>
      <c r="N255" s="18">
        <f>ROUND(L255/M255, 0)</f>
        <v/>
      </c>
      <c r="O255" s="18">
        <f>ROUND(N255*'Methodology &amp; Assumptions'!$B$8, 0)</f>
        <v/>
      </c>
      <c r="P255" s="8" t="inlineStr">
        <is>
          <t>Band n50 (1.5 GHz, 60 MHz)</t>
        </is>
      </c>
      <c r="Q255" s="38">
        <f>ROUNDUP(O255/'Methodology &amp; Assumptions'!$B$9, 0)</f>
        <v/>
      </c>
      <c r="R255" s="39" t="n">
        <v>1</v>
      </c>
      <c r="S255" s="21" t="n">
        <v>1.18</v>
      </c>
      <c r="T255" s="21" t="n">
        <v>3.38</v>
      </c>
      <c r="U255" s="36" t="inlineStr">
        <is>
          <t>Tier 1B (Micro Drop, 1-3 km)</t>
        </is>
      </c>
      <c r="V255" s="20" t="n">
        <v>67.59999999999999</v>
      </c>
      <c r="W255" s="20" t="n">
        <v>100</v>
      </c>
      <c r="X255" s="20" t="n">
        <v>28</v>
      </c>
      <c r="Y255" s="40">
        <f>ROUND((V255*'Methodology &amp; Assumptions'!$B$6)+(W255*'Methodology &amp; Assumptions'!$B$5)+(X255*'Methodology &amp; Assumptions'!$B$7), 2)</f>
        <v/>
      </c>
    </row>
    <row r="256" ht="19" customHeight="1">
      <c r="A256" s="41" t="n">
        <v>252</v>
      </c>
      <c r="B256" s="41" t="n">
        <v>3252</v>
      </c>
      <c r="C256" s="42" t="inlineStr">
        <is>
          <t>0301401019</t>
        </is>
      </c>
      <c r="D256" s="42" t="inlineStr">
        <is>
          <t>Region III (Central Luzon)</t>
        </is>
      </c>
      <c r="E256" s="42" t="inlineStr">
        <is>
          <t>Bulacan</t>
        </is>
      </c>
      <c r="F256" s="42" t="inlineStr">
        <is>
          <t>Angat</t>
        </is>
      </c>
      <c r="G256" s="42" t="inlineStr">
        <is>
          <t>Taboc</t>
        </is>
      </c>
      <c r="H256" s="43" t="n">
        <v>14.934031</v>
      </c>
      <c r="I256" s="43" t="n">
        <v>120.984764</v>
      </c>
      <c r="J256" s="44" t="inlineStr">
        <is>
          <t>R</t>
        </is>
      </c>
      <c r="K256" s="42" t="inlineStr">
        <is>
          <t>Class 1-3 / Urban</t>
        </is>
      </c>
      <c r="L256" s="23" t="n">
        <v>3954</v>
      </c>
      <c r="M256" s="24" t="n">
        <v>4.1</v>
      </c>
      <c r="N256" s="23">
        <f>ROUND(L256/M256, 0)</f>
        <v/>
      </c>
      <c r="O256" s="23">
        <f>ROUND(N256*'Methodology &amp; Assumptions'!$B$8, 0)</f>
        <v/>
      </c>
      <c r="P256" s="44" t="inlineStr">
        <is>
          <t>Band n50 (1.5 GHz, 60 MHz)</t>
        </is>
      </c>
      <c r="Q256" s="38">
        <f>ROUNDUP(O256/'Methodology &amp; Assumptions'!$B$9, 0)</f>
        <v/>
      </c>
      <c r="R256" s="39" t="n">
        <v>1</v>
      </c>
      <c r="S256" s="25" t="n">
        <v>3.71</v>
      </c>
      <c r="T256" s="25" t="n">
        <v>4.88</v>
      </c>
      <c r="U256" s="42" t="inlineStr">
        <is>
          <t>Tier 2 (Fiber Corridor / Lateral, 3-5 km)</t>
        </is>
      </c>
      <c r="V256" s="24" t="n">
        <v>29</v>
      </c>
      <c r="W256" s="24" t="n">
        <v>100</v>
      </c>
      <c r="X256" s="24" t="n">
        <v>73</v>
      </c>
      <c r="Y256" s="45">
        <f>ROUND((V256*'Methodology &amp; Assumptions'!$B$6)+(W256*'Methodology &amp; Assumptions'!$B$5)+(X256*'Methodology &amp; Assumptions'!$B$7), 2)</f>
        <v/>
      </c>
    </row>
    <row r="257" ht="19" customHeight="1">
      <c r="A257" s="35" t="n">
        <v>253</v>
      </c>
      <c r="B257" s="35" t="n">
        <v>3253</v>
      </c>
      <c r="C257" s="36" t="inlineStr">
        <is>
          <t>0102903021</t>
        </is>
      </c>
      <c r="D257" s="36" t="inlineStr">
        <is>
          <t>Region I (Ilocos Region)</t>
        </is>
      </c>
      <c r="E257" s="36" t="inlineStr">
        <is>
          <t>Ilocos Sur</t>
        </is>
      </c>
      <c r="F257" s="36" t="inlineStr">
        <is>
          <t>Bantay</t>
        </is>
      </c>
      <c r="G257" s="36" t="inlineStr">
        <is>
          <t>Sagpat</t>
        </is>
      </c>
      <c r="H257" s="37" t="n">
        <v>17.599044</v>
      </c>
      <c r="I257" s="37" t="n">
        <v>120.388224</v>
      </c>
      <c r="J257" s="8" t="inlineStr">
        <is>
          <t>R</t>
        </is>
      </c>
      <c r="K257" s="36" t="inlineStr">
        <is>
          <t>Class 1-3 / Urban</t>
        </is>
      </c>
      <c r="L257" s="18" t="n">
        <v>826</v>
      </c>
      <c r="M257" s="20" t="n">
        <v>4.56</v>
      </c>
      <c r="N257" s="18">
        <f>ROUND(L257/M257, 0)</f>
        <v/>
      </c>
      <c r="O257" s="18">
        <f>ROUND(N257*'Methodology &amp; Assumptions'!$B$8, 0)</f>
        <v/>
      </c>
      <c r="P257" s="8" t="inlineStr">
        <is>
          <t>Band n50 (1.5 GHz, 60 MHz)</t>
        </is>
      </c>
      <c r="Q257" s="38">
        <f>ROUNDUP(O257/'Methodology &amp; Assumptions'!$B$9, 0)</f>
        <v/>
      </c>
      <c r="R257" s="39" t="n">
        <v>1</v>
      </c>
      <c r="S257" s="21" t="n">
        <v>0.65</v>
      </c>
      <c r="T257" s="21" t="n">
        <v>0.83</v>
      </c>
      <c r="U257" s="36" t="inlineStr">
        <is>
          <t>Tier 1A (Direct Coloc, &lt;1 km)</t>
        </is>
      </c>
      <c r="V257" s="20" t="n">
        <v>90.59999999999999</v>
      </c>
      <c r="W257" s="20" t="n">
        <v>38.4</v>
      </c>
      <c r="X257" s="20" t="n">
        <v>73</v>
      </c>
      <c r="Y257" s="40">
        <f>ROUND((V257*'Methodology &amp; Assumptions'!$B$6)+(W257*'Methodology &amp; Assumptions'!$B$5)+(X257*'Methodology &amp; Assumptions'!$B$7), 2)</f>
        <v/>
      </c>
    </row>
    <row r="258" ht="19" customHeight="1">
      <c r="A258" s="41" t="n">
        <v>254</v>
      </c>
      <c r="B258" s="41" t="n">
        <v>3254</v>
      </c>
      <c r="C258" s="42" t="inlineStr">
        <is>
          <t>0506214023</t>
        </is>
      </c>
      <c r="D258" s="42" t="inlineStr">
        <is>
          <t>Region V (Bicol Region)</t>
        </is>
      </c>
      <c r="E258" s="42" t="inlineStr">
        <is>
          <t>Sorsogon</t>
        </is>
      </c>
      <c r="F258" s="42" t="inlineStr">
        <is>
          <t>Prieto Diaz</t>
        </is>
      </c>
      <c r="G258" s="42" t="inlineStr">
        <is>
          <t>Tupaz</t>
        </is>
      </c>
      <c r="H258" s="43" t="n">
        <v>13.043772</v>
      </c>
      <c r="I258" s="43" t="n">
        <v>124.191889</v>
      </c>
      <c r="J258" s="44" t="inlineStr">
        <is>
          <t>R</t>
        </is>
      </c>
      <c r="K258" s="42" t="inlineStr">
        <is>
          <t>4th</t>
        </is>
      </c>
      <c r="L258" s="23" t="n">
        <v>933</v>
      </c>
      <c r="M258" s="24" t="n">
        <v>4.69</v>
      </c>
      <c r="N258" s="23">
        <f>ROUND(L258/M258, 0)</f>
        <v/>
      </c>
      <c r="O258" s="23">
        <f>ROUND(N258*'Methodology &amp; Assumptions'!$B$8, 0)</f>
        <v/>
      </c>
      <c r="P258" s="44" t="inlineStr">
        <is>
          <t>Band n50 (1.5 GHz, 60 MHz)</t>
        </is>
      </c>
      <c r="Q258" s="38">
        <f>ROUNDUP(O258/'Methodology &amp; Assumptions'!$B$9, 0)</f>
        <v/>
      </c>
      <c r="R258" s="39" t="n">
        <v>1</v>
      </c>
      <c r="S258" s="25" t="n">
        <v>0.22</v>
      </c>
      <c r="T258" s="25" t="n">
        <v>14.85</v>
      </c>
      <c r="U258" s="42" t="inlineStr">
        <is>
          <t>Tier 1A (Direct Coloc, &lt;1 km)</t>
        </is>
      </c>
      <c r="V258" s="24" t="n">
        <v>92.90000000000001</v>
      </c>
      <c r="W258" s="24" t="n">
        <v>40</v>
      </c>
      <c r="X258" s="24" t="n">
        <v>68.5</v>
      </c>
      <c r="Y258" s="45">
        <f>ROUND((V258*'Methodology &amp; Assumptions'!$B$6)+(W258*'Methodology &amp; Assumptions'!$B$5)+(X258*'Methodology &amp; Assumptions'!$B$7), 2)</f>
        <v/>
      </c>
    </row>
    <row r="259" ht="19" customHeight="1">
      <c r="A259" s="35" t="n">
        <v>255</v>
      </c>
      <c r="B259" s="35" t="n">
        <v>3255</v>
      </c>
      <c r="C259" s="36" t="inlineStr">
        <is>
          <t>0105543010</t>
        </is>
      </c>
      <c r="D259" s="36" t="inlineStr">
        <is>
          <t>Region I (Ilocos Region)</t>
        </is>
      </c>
      <c r="E259" s="36" t="inlineStr">
        <is>
          <t>Pangasinan</t>
        </is>
      </c>
      <c r="F259" s="36" t="inlineStr">
        <is>
          <t>Tayug</t>
        </is>
      </c>
      <c r="G259" s="36" t="inlineStr">
        <is>
          <t>Libertad</t>
        </is>
      </c>
      <c r="H259" s="37" t="n">
        <v>16.01854</v>
      </c>
      <c r="I259" s="37" t="n">
        <v>120.7583</v>
      </c>
      <c r="J259" s="8" t="inlineStr">
        <is>
          <t>R</t>
        </is>
      </c>
      <c r="K259" s="36" t="inlineStr">
        <is>
          <t>Class 1-3 / Urban</t>
        </is>
      </c>
      <c r="L259" s="18" t="n">
        <v>2614</v>
      </c>
      <c r="M259" s="20" t="n">
        <v>4.39</v>
      </c>
      <c r="N259" s="18">
        <f>ROUND(L259/M259, 0)</f>
        <v/>
      </c>
      <c r="O259" s="18">
        <f>ROUND(N259*'Methodology &amp; Assumptions'!$B$8, 0)</f>
        <v/>
      </c>
      <c r="P259" s="8" t="inlineStr">
        <is>
          <t>Band n50 (1.5 GHz, 60 MHz)</t>
        </is>
      </c>
      <c r="Q259" s="38">
        <f>ROUNDUP(O259/'Methodology &amp; Assumptions'!$B$9, 0)</f>
        <v/>
      </c>
      <c r="R259" s="39" t="n">
        <v>1</v>
      </c>
      <c r="S259" s="21" t="n">
        <v>1.51</v>
      </c>
      <c r="T259" s="21" t="n">
        <v>1.34</v>
      </c>
      <c r="U259" s="36" t="inlineStr">
        <is>
          <t>Tier 1B (Micro Drop, 1-3 km)</t>
        </is>
      </c>
      <c r="V259" s="20" t="n">
        <v>70.40000000000001</v>
      </c>
      <c r="W259" s="20" t="n">
        <v>71.5</v>
      </c>
      <c r="X259" s="20" t="n">
        <v>58</v>
      </c>
      <c r="Y259" s="40">
        <f>ROUND((V259*'Methodology &amp; Assumptions'!$B$6)+(W259*'Methodology &amp; Assumptions'!$B$5)+(X259*'Methodology &amp; Assumptions'!$B$7), 2)</f>
        <v/>
      </c>
    </row>
    <row r="260" ht="19" customHeight="1">
      <c r="A260" s="41" t="n">
        <v>256</v>
      </c>
      <c r="B260" s="41" t="n">
        <v>3256</v>
      </c>
      <c r="C260" s="42" t="inlineStr">
        <is>
          <t>0603045010</t>
        </is>
      </c>
      <c r="D260" s="42" t="inlineStr">
        <is>
          <t>Region VI (Western Visayas)</t>
        </is>
      </c>
      <c r="E260" s="42" t="inlineStr">
        <is>
          <t>Iloilo</t>
        </is>
      </c>
      <c r="F260" s="42" t="inlineStr">
        <is>
          <t>Tigbauan</t>
        </is>
      </c>
      <c r="G260" s="42" t="inlineStr">
        <is>
          <t>Barangay 3</t>
        </is>
      </c>
      <c r="H260" s="43" t="n">
        <v>10.677995</v>
      </c>
      <c r="I260" s="43" t="n">
        <v>122.377998</v>
      </c>
      <c r="J260" s="44" t="inlineStr">
        <is>
          <t>R</t>
        </is>
      </c>
      <c r="K260" s="42" t="inlineStr">
        <is>
          <t>Class 1-3 / Urban</t>
        </is>
      </c>
      <c r="L260" s="23" t="n">
        <v>1070</v>
      </c>
      <c r="M260" s="24" t="n">
        <v>4.39</v>
      </c>
      <c r="N260" s="23">
        <f>ROUND(L260/M260, 0)</f>
        <v/>
      </c>
      <c r="O260" s="23">
        <f>ROUND(N260*'Methodology &amp; Assumptions'!$B$8, 0)</f>
        <v/>
      </c>
      <c r="P260" s="44" t="inlineStr">
        <is>
          <t>Band n50 (1.5 GHz, 60 MHz)</t>
        </is>
      </c>
      <c r="Q260" s="38">
        <f>ROUNDUP(O260/'Methodology &amp; Assumptions'!$B$9, 0)</f>
        <v/>
      </c>
      <c r="R260" s="39" t="n">
        <v>1</v>
      </c>
      <c r="S260" s="25" t="n">
        <v>0.37</v>
      </c>
      <c r="T260" s="25" t="n">
        <v>0.36</v>
      </c>
      <c r="U260" s="42" t="inlineStr">
        <is>
          <t>Tier 1A (Direct Coloc, &lt;1 km)</t>
        </is>
      </c>
      <c r="V260" s="24" t="n">
        <v>98.40000000000001</v>
      </c>
      <c r="W260" s="24" t="n">
        <v>43.5</v>
      </c>
      <c r="X260" s="24" t="n">
        <v>58</v>
      </c>
      <c r="Y260" s="45">
        <f>ROUND((V260*'Methodology &amp; Assumptions'!$B$6)+(W260*'Methodology &amp; Assumptions'!$B$5)+(X260*'Methodology &amp; Assumptions'!$B$7), 2)</f>
        <v/>
      </c>
    </row>
    <row r="261" ht="19" customHeight="1">
      <c r="A261" s="35" t="n">
        <v>257</v>
      </c>
      <c r="B261" s="35" t="n">
        <v>3257</v>
      </c>
      <c r="C261" s="36" t="inlineStr">
        <is>
          <t>0102811012</t>
        </is>
      </c>
      <c r="D261" s="36" t="inlineStr">
        <is>
          <t>Region I (Ilocos Region)</t>
        </is>
      </c>
      <c r="E261" s="36" t="inlineStr">
        <is>
          <t>Ilocos Norte</t>
        </is>
      </c>
      <c r="F261" s="36" t="inlineStr">
        <is>
          <t>Banna</t>
        </is>
      </c>
      <c r="G261" s="36" t="inlineStr">
        <is>
          <t>Hilario</t>
        </is>
      </c>
      <c r="H261" s="37" t="n">
        <v>17.981029</v>
      </c>
      <c r="I261" s="37" t="n">
        <v>120.65818</v>
      </c>
      <c r="J261" s="8" t="inlineStr">
        <is>
          <t>R</t>
        </is>
      </c>
      <c r="K261" s="36" t="inlineStr">
        <is>
          <t>1st</t>
        </is>
      </c>
      <c r="L261" s="18" t="n">
        <v>951</v>
      </c>
      <c r="M261" s="20" t="n">
        <v>4.28</v>
      </c>
      <c r="N261" s="18">
        <f>ROUND(L261/M261, 0)</f>
        <v/>
      </c>
      <c r="O261" s="18">
        <f>ROUND(N261*'Methodology &amp; Assumptions'!$B$8, 0)</f>
        <v/>
      </c>
      <c r="P261" s="8" t="inlineStr">
        <is>
          <t>Band n50 (1.5 GHz, 60 MHz)</t>
        </is>
      </c>
      <c r="Q261" s="38">
        <f>ROUNDUP(O261/'Methodology &amp; Assumptions'!$B$9, 0)</f>
        <v/>
      </c>
      <c r="R261" s="39" t="n">
        <v>1</v>
      </c>
      <c r="S261" s="21" t="n">
        <v>0.14</v>
      </c>
      <c r="T261" s="21" t="n">
        <v>0.13</v>
      </c>
      <c r="U261" s="36" t="inlineStr">
        <is>
          <t>Tier 1A (Direct Coloc, &lt;1 km)</t>
        </is>
      </c>
      <c r="V261" s="20" t="n">
        <v>100</v>
      </c>
      <c r="W261" s="20" t="n">
        <v>41.9</v>
      </c>
      <c r="X261" s="20" t="n">
        <v>58</v>
      </c>
      <c r="Y261" s="40">
        <f>ROUND((V261*'Methodology &amp; Assumptions'!$B$6)+(W261*'Methodology &amp; Assumptions'!$B$5)+(X261*'Methodology &amp; Assumptions'!$B$7), 2)</f>
        <v/>
      </c>
    </row>
    <row r="262" ht="19" customHeight="1">
      <c r="A262" s="41" t="n">
        <v>258</v>
      </c>
      <c r="B262" s="41" t="n">
        <v>3258</v>
      </c>
      <c r="C262" s="42" t="inlineStr">
        <is>
          <t>0730600037</t>
        </is>
      </c>
      <c r="D262" s="42" t="inlineStr">
        <is>
          <t>Region VII (Central Visayas)</t>
        </is>
      </c>
      <c r="E262" s="42" t="inlineStr">
        <is>
          <t>Cebu</t>
        </is>
      </c>
      <c r="F262" s="42" t="inlineStr">
        <is>
          <t>City of Cebu</t>
        </is>
      </c>
      <c r="G262" s="42" t="inlineStr">
        <is>
          <t>Kasambagan</t>
        </is>
      </c>
      <c r="H262" s="43" t="n">
        <v>10.324483</v>
      </c>
      <c r="I262" s="43" t="n">
        <v>123.910807</v>
      </c>
      <c r="J262" s="44" t="inlineStr">
        <is>
          <t>U</t>
        </is>
      </c>
      <c r="K262" s="42" t="inlineStr">
        <is>
          <t>Class 1-3 / Urban</t>
        </is>
      </c>
      <c r="L262" s="23" t="n">
        <v>7967</v>
      </c>
      <c r="M262" s="24" t="n">
        <v>4.42</v>
      </c>
      <c r="N262" s="23">
        <f>ROUND(L262/M262, 0)</f>
        <v/>
      </c>
      <c r="O262" s="23">
        <f>ROUND(N262*'Methodology &amp; Assumptions'!$B$8, 0)</f>
        <v/>
      </c>
      <c r="P262" s="44" t="inlineStr">
        <is>
          <t>Band n50 (1.5 GHz, 60 MHz)</t>
        </is>
      </c>
      <c r="Q262" s="38">
        <f>ROUNDUP(O262/'Methodology &amp; Assumptions'!$B$9, 0)</f>
        <v/>
      </c>
      <c r="R262" s="39" t="n">
        <v>1</v>
      </c>
      <c r="S262" s="25" t="n">
        <v>1.66</v>
      </c>
      <c r="T262" s="25" t="n">
        <v>1.11</v>
      </c>
      <c r="U262" s="42" t="inlineStr">
        <is>
          <t>Tier 1B (Micro Drop, 1-3 km)</t>
        </is>
      </c>
      <c r="V262" s="24" t="n">
        <v>67.59999999999999</v>
      </c>
      <c r="W262" s="24" t="n">
        <v>100</v>
      </c>
      <c r="X262" s="24" t="n">
        <v>28</v>
      </c>
      <c r="Y262" s="45">
        <f>ROUND((V262*'Methodology &amp; Assumptions'!$B$6)+(W262*'Methodology &amp; Assumptions'!$B$5)+(X262*'Methodology &amp; Assumptions'!$B$7), 2)</f>
        <v/>
      </c>
    </row>
    <row r="263" ht="19" customHeight="1">
      <c r="A263" s="35" t="n">
        <v>259</v>
      </c>
      <c r="B263" s="35" t="n">
        <v>3259</v>
      </c>
      <c r="C263" s="36" t="inlineStr">
        <is>
          <t>0506202018</t>
        </is>
      </c>
      <c r="D263" s="36" t="inlineStr">
        <is>
          <t>Region V (Bicol Region)</t>
        </is>
      </c>
      <c r="E263" s="36" t="inlineStr">
        <is>
          <t>Sorsogon</t>
        </is>
      </c>
      <c r="F263" s="36" t="inlineStr">
        <is>
          <t>Barcelona</t>
        </is>
      </c>
      <c r="G263" s="36" t="inlineStr">
        <is>
          <t>Poblacion Central</t>
        </is>
      </c>
      <c r="H263" s="37" t="n">
        <v>12.86491</v>
      </c>
      <c r="I263" s="37" t="n">
        <v>124.146043</v>
      </c>
      <c r="J263" s="8" t="inlineStr">
        <is>
          <t>R</t>
        </is>
      </c>
      <c r="K263" s="36" t="inlineStr">
        <is>
          <t>4th</t>
        </is>
      </c>
      <c r="L263" s="18" t="n">
        <v>1041</v>
      </c>
      <c r="M263" s="20" t="n">
        <v>4.38</v>
      </c>
      <c r="N263" s="18">
        <f>ROUND(L263/M263, 0)</f>
        <v/>
      </c>
      <c r="O263" s="18">
        <f>ROUND(N263*'Methodology &amp; Assumptions'!$B$8, 0)</f>
        <v/>
      </c>
      <c r="P263" s="8" t="inlineStr">
        <is>
          <t>Band n50 (1.5 GHz, 60 MHz)</t>
        </is>
      </c>
      <c r="Q263" s="38">
        <f>ROUNDUP(O263/'Methodology &amp; Assumptions'!$B$9, 0)</f>
        <v/>
      </c>
      <c r="R263" s="39" t="n">
        <v>1</v>
      </c>
      <c r="S263" s="21" t="n">
        <v>0.67</v>
      </c>
      <c r="T263" s="21" t="n">
        <v>0.55</v>
      </c>
      <c r="U263" s="36" t="inlineStr">
        <is>
          <t>Tier 1A (Direct Coloc, &lt;1 km)</t>
        </is>
      </c>
      <c r="V263" s="20" t="n">
        <v>89.90000000000001</v>
      </c>
      <c r="W263" s="20" t="n">
        <v>42.9</v>
      </c>
      <c r="X263" s="20" t="n">
        <v>68.5</v>
      </c>
      <c r="Y263" s="40">
        <f>ROUND((V263*'Methodology &amp; Assumptions'!$B$6)+(W263*'Methodology &amp; Assumptions'!$B$5)+(X263*'Methodology &amp; Assumptions'!$B$7), 2)</f>
        <v/>
      </c>
    </row>
    <row r="264" ht="19" customHeight="1">
      <c r="A264" s="41" t="n">
        <v>260</v>
      </c>
      <c r="B264" s="41" t="n">
        <v>3260</v>
      </c>
      <c r="C264" s="42" t="inlineStr">
        <is>
          <t>0203126021</t>
        </is>
      </c>
      <c r="D264" s="42" t="inlineStr">
        <is>
          <t>Region II (Cagayan Valley)</t>
        </is>
      </c>
      <c r="E264" s="42" t="inlineStr">
        <is>
          <t>Isabela</t>
        </is>
      </c>
      <c r="F264" s="42" t="inlineStr">
        <is>
          <t>Roxas</t>
        </is>
      </c>
      <c r="G264" s="42" t="inlineStr">
        <is>
          <t>San Rafael</t>
        </is>
      </c>
      <c r="H264" s="43" t="n">
        <v>17.073786</v>
      </c>
      <c r="I264" s="43" t="n">
        <v>121.619753</v>
      </c>
      <c r="J264" s="44" t="inlineStr">
        <is>
          <t>R</t>
        </is>
      </c>
      <c r="K264" s="42" t="inlineStr">
        <is>
          <t>Class 1-3 / Urban</t>
        </is>
      </c>
      <c r="L264" s="23" t="n">
        <v>3714</v>
      </c>
      <c r="M264" s="24" t="n">
        <v>4.3</v>
      </c>
      <c r="N264" s="23">
        <f>ROUND(L264/M264, 0)</f>
        <v/>
      </c>
      <c r="O264" s="23">
        <f>ROUND(N264*'Methodology &amp; Assumptions'!$B$8, 0)</f>
        <v/>
      </c>
      <c r="P264" s="44" t="inlineStr">
        <is>
          <t>Band n50 (1.5 GHz, 60 MHz)</t>
        </is>
      </c>
      <c r="Q264" s="38">
        <f>ROUNDUP(O264/'Methodology &amp; Assumptions'!$B$9, 0)</f>
        <v/>
      </c>
      <c r="R264" s="39" t="n">
        <v>1</v>
      </c>
      <c r="S264" s="25" t="n">
        <v>2.84</v>
      </c>
      <c r="T264" s="25" t="n">
        <v>0.06</v>
      </c>
      <c r="U264" s="42" t="inlineStr">
        <is>
          <t>Tier 1B (Micro Drop, 1-3 km)</t>
        </is>
      </c>
      <c r="V264" s="24" t="n">
        <v>48.8</v>
      </c>
      <c r="W264" s="24" t="n">
        <v>93.09999999999999</v>
      </c>
      <c r="X264" s="24" t="n">
        <v>58</v>
      </c>
      <c r="Y264" s="45">
        <f>ROUND((V264*'Methodology &amp; Assumptions'!$B$6)+(W264*'Methodology &amp; Assumptions'!$B$5)+(X264*'Methodology &amp; Assumptions'!$B$7), 2)</f>
        <v/>
      </c>
    </row>
    <row r="265" ht="19" customHeight="1">
      <c r="A265" s="35" t="n">
        <v>261</v>
      </c>
      <c r="B265" s="35" t="n">
        <v>3261</v>
      </c>
      <c r="C265" s="36" t="inlineStr">
        <is>
          <t>0405648022</t>
        </is>
      </c>
      <c r="D265" s="36" t="inlineStr">
        <is>
          <t>Region IV-A (CALABARZON)</t>
        </is>
      </c>
      <c r="E265" s="36" t="inlineStr">
        <is>
          <t>Quezon</t>
        </is>
      </c>
      <c r="F265" s="36" t="inlineStr">
        <is>
          <t>Tiaong</t>
        </is>
      </c>
      <c r="G265" s="36" t="inlineStr">
        <is>
          <t>San Agustin</t>
        </is>
      </c>
      <c r="H265" s="37" t="n">
        <v>13.947913</v>
      </c>
      <c r="I265" s="37" t="n">
        <v>121.318193</v>
      </c>
      <c r="J265" s="8" t="inlineStr">
        <is>
          <t>R</t>
        </is>
      </c>
      <c r="K265" s="36" t="inlineStr">
        <is>
          <t>Class 1-3 / Urban</t>
        </is>
      </c>
      <c r="L265" s="18" t="n">
        <v>2847</v>
      </c>
      <c r="M265" s="20" t="n">
        <v>4.46</v>
      </c>
      <c r="N265" s="18">
        <f>ROUND(L265/M265, 0)</f>
        <v/>
      </c>
      <c r="O265" s="18">
        <f>ROUND(N265*'Methodology &amp; Assumptions'!$B$8, 0)</f>
        <v/>
      </c>
      <c r="P265" s="8" t="inlineStr">
        <is>
          <t>Band n50 (1.5 GHz, 60 MHz)</t>
        </is>
      </c>
      <c r="Q265" s="38">
        <f>ROUNDUP(O265/'Methodology &amp; Assumptions'!$B$9, 0)</f>
        <v/>
      </c>
      <c r="R265" s="39" t="n">
        <v>1</v>
      </c>
      <c r="S265" s="21" t="n">
        <v>1.69</v>
      </c>
      <c r="T265" s="21" t="n">
        <v>0.51</v>
      </c>
      <c r="U265" s="36" t="inlineStr">
        <is>
          <t>Tier 1B (Micro Drop, 1-3 km)</t>
        </is>
      </c>
      <c r="V265" s="20" t="n">
        <v>66.90000000000001</v>
      </c>
      <c r="W265" s="20" t="n">
        <v>74.90000000000001</v>
      </c>
      <c r="X265" s="20" t="n">
        <v>58</v>
      </c>
      <c r="Y265" s="40">
        <f>ROUND((V265*'Methodology &amp; Assumptions'!$B$6)+(W265*'Methodology &amp; Assumptions'!$B$5)+(X265*'Methodology &amp; Assumptions'!$B$7), 2)</f>
        <v/>
      </c>
    </row>
    <row r="266" ht="19" customHeight="1">
      <c r="A266" s="41" t="n">
        <v>262</v>
      </c>
      <c r="B266" s="41" t="n">
        <v>3262</v>
      </c>
      <c r="C266" s="42" t="inlineStr">
        <is>
          <t>0103317002</t>
        </is>
      </c>
      <c r="D266" s="42" t="inlineStr">
        <is>
          <t>Region I (Ilocos Region)</t>
        </is>
      </c>
      <c r="E266" s="42" t="inlineStr">
        <is>
          <t>La Union</t>
        </is>
      </c>
      <c r="F266" s="42" t="inlineStr">
        <is>
          <t>Santo Tomas</t>
        </is>
      </c>
      <c r="G266" s="42" t="inlineStr">
        <is>
          <t>Bail</t>
        </is>
      </c>
      <c r="H266" s="43" t="n">
        <v>16.297654</v>
      </c>
      <c r="I266" s="43" t="n">
        <v>120.396703</v>
      </c>
      <c r="J266" s="44" t="inlineStr">
        <is>
          <t>R</t>
        </is>
      </c>
      <c r="K266" s="42" t="inlineStr">
        <is>
          <t>1st</t>
        </is>
      </c>
      <c r="L266" s="23" t="n">
        <v>2462</v>
      </c>
      <c r="M266" s="24" t="n">
        <v>4.34</v>
      </c>
      <c r="N266" s="23">
        <f>ROUND(L266/M266, 0)</f>
        <v/>
      </c>
      <c r="O266" s="23">
        <f>ROUND(N266*'Methodology &amp; Assumptions'!$B$8, 0)</f>
        <v/>
      </c>
      <c r="P266" s="44" t="inlineStr">
        <is>
          <t>Band n50 (1.5 GHz, 60 MHz)</t>
        </is>
      </c>
      <c r="Q266" s="38">
        <f>ROUNDUP(O266/'Methodology &amp; Assumptions'!$B$9, 0)</f>
        <v/>
      </c>
      <c r="R266" s="39" t="n">
        <v>1</v>
      </c>
      <c r="S266" s="25" t="n">
        <v>1.41</v>
      </c>
      <c r="T266" s="25" t="n">
        <v>1.41</v>
      </c>
      <c r="U266" s="42" t="inlineStr">
        <is>
          <t>Tier 1B (Micro Drop, 1-3 km)</t>
        </is>
      </c>
      <c r="V266" s="24" t="n">
        <v>72.5</v>
      </c>
      <c r="W266" s="24" t="n">
        <v>69.3</v>
      </c>
      <c r="X266" s="24" t="n">
        <v>58</v>
      </c>
      <c r="Y266" s="45">
        <f>ROUND((V266*'Methodology &amp; Assumptions'!$B$6)+(W266*'Methodology &amp; Assumptions'!$B$5)+(X266*'Methodology &amp; Assumptions'!$B$7), 2)</f>
        <v/>
      </c>
    </row>
    <row r="267" ht="19" customHeight="1">
      <c r="A267" s="35" t="n">
        <v>263</v>
      </c>
      <c r="B267" s="35" t="n">
        <v>3263</v>
      </c>
      <c r="C267" s="36" t="inlineStr">
        <is>
          <t>0600613010</t>
        </is>
      </c>
      <c r="D267" s="36" t="inlineStr">
        <is>
          <t>Region VI (Western Visayas)</t>
        </is>
      </c>
      <c r="E267" s="36" t="inlineStr">
        <is>
          <t>Antique</t>
        </is>
      </c>
      <c r="F267" s="36" t="inlineStr">
        <is>
          <t>San Jose</t>
        </is>
      </c>
      <c r="G267" s="36" t="inlineStr">
        <is>
          <t>Barangay 8</t>
        </is>
      </c>
      <c r="H267" s="37" t="n">
        <v>10.742764</v>
      </c>
      <c r="I267" s="37" t="n">
        <v>121.947664</v>
      </c>
      <c r="J267" s="8" t="inlineStr">
        <is>
          <t>U</t>
        </is>
      </c>
      <c r="K267" s="36" t="inlineStr">
        <is>
          <t>Class 1-3 / Urban</t>
        </is>
      </c>
      <c r="L267" s="18" t="n">
        <v>5136</v>
      </c>
      <c r="M267" s="20" t="n">
        <v>4.43</v>
      </c>
      <c r="N267" s="18">
        <f>ROUND(L267/M267, 0)</f>
        <v/>
      </c>
      <c r="O267" s="18">
        <f>ROUND(N267*'Methodology &amp; Assumptions'!$B$8, 0)</f>
        <v/>
      </c>
      <c r="P267" s="8" t="inlineStr">
        <is>
          <t>Band n50 (1.5 GHz, 60 MHz)</t>
        </is>
      </c>
      <c r="Q267" s="38">
        <f>ROUNDUP(O267/'Methodology &amp; Assumptions'!$B$9, 0)</f>
        <v/>
      </c>
      <c r="R267" s="39" t="n">
        <v>1</v>
      </c>
      <c r="S267" s="21" t="n">
        <v>2.42</v>
      </c>
      <c r="T267" s="21" t="n">
        <v>0.07000000000000001</v>
      </c>
      <c r="U267" s="36" t="inlineStr">
        <is>
          <t>Tier 1B (Micro Drop, 1-3 km)</t>
        </is>
      </c>
      <c r="V267" s="20" t="n">
        <v>54.7</v>
      </c>
      <c r="W267" s="20" t="n">
        <v>100</v>
      </c>
      <c r="X267" s="20" t="n">
        <v>43</v>
      </c>
      <c r="Y267" s="40">
        <f>ROUND((V267*'Methodology &amp; Assumptions'!$B$6)+(W267*'Methodology &amp; Assumptions'!$B$5)+(X267*'Methodology &amp; Assumptions'!$B$7), 2)</f>
        <v/>
      </c>
    </row>
    <row r="268" ht="19" customHeight="1">
      <c r="A268" s="41" t="n">
        <v>264</v>
      </c>
      <c r="B268" s="41" t="n">
        <v>3264</v>
      </c>
      <c r="C268" s="42" t="inlineStr">
        <is>
          <t>0403403012</t>
        </is>
      </c>
      <c r="D268" s="42" t="inlineStr">
        <is>
          <t>Region IV-A (CALABARZON)</t>
        </is>
      </c>
      <c r="E268" s="42" t="inlineStr">
        <is>
          <t>Laguna</t>
        </is>
      </c>
      <c r="F268" s="42" t="inlineStr">
        <is>
          <t>City of Biñan</t>
        </is>
      </c>
      <c r="G268" s="42" t="inlineStr">
        <is>
          <t>Malaban</t>
        </is>
      </c>
      <c r="H268" s="43" t="n">
        <v>14.347139</v>
      </c>
      <c r="I268" s="43" t="n">
        <v>121.087419</v>
      </c>
      <c r="J268" s="44" t="inlineStr">
        <is>
          <t>U</t>
        </is>
      </c>
      <c r="K268" s="42" t="inlineStr">
        <is>
          <t>Class 1-3 / Urban</t>
        </is>
      </c>
      <c r="L268" s="23" t="n">
        <v>35989</v>
      </c>
      <c r="M268" s="24" t="n">
        <v>4.2</v>
      </c>
      <c r="N268" s="23">
        <f>ROUND(L268/M268, 0)</f>
        <v/>
      </c>
      <c r="O268" s="23">
        <f>ROUND(N268*'Methodology &amp; Assumptions'!$B$8, 0)</f>
        <v/>
      </c>
      <c r="P268" s="44" t="inlineStr">
        <is>
          <t>Band n50 (1.5 GHz, 60 MHz)</t>
        </is>
      </c>
      <c r="Q268" s="38">
        <f>ROUNDUP(O268/'Methodology &amp; Assumptions'!$B$9, 0)</f>
        <v/>
      </c>
      <c r="R268" s="39" t="n">
        <v>1</v>
      </c>
      <c r="S268" s="25" t="n">
        <v>1.57</v>
      </c>
      <c r="T268" s="25" t="n">
        <v>0.92</v>
      </c>
      <c r="U268" s="42" t="inlineStr">
        <is>
          <t>Tier 1B (Micro Drop, 1-3 km)</t>
        </is>
      </c>
      <c r="V268" s="24" t="n">
        <v>69.2</v>
      </c>
      <c r="W268" s="24" t="n">
        <v>98.3</v>
      </c>
      <c r="X268" s="24" t="n">
        <v>28</v>
      </c>
      <c r="Y268" s="45">
        <f>ROUND((V268*'Methodology &amp; Assumptions'!$B$6)+(W268*'Methodology &amp; Assumptions'!$B$5)+(X268*'Methodology &amp; Assumptions'!$B$7), 2)</f>
        <v/>
      </c>
    </row>
    <row r="269" ht="19" customHeight="1">
      <c r="A269" s="35" t="n">
        <v>265</v>
      </c>
      <c r="B269" s="35" t="n">
        <v>3265</v>
      </c>
      <c r="C269" s="36" t="inlineStr">
        <is>
          <t>0300807015</t>
        </is>
      </c>
      <c r="D269" s="36" t="inlineStr">
        <is>
          <t>Region III (Central Luzon)</t>
        </is>
      </c>
      <c r="E269" s="36" t="inlineStr">
        <is>
          <t>Bataan</t>
        </is>
      </c>
      <c r="F269" s="36" t="inlineStr">
        <is>
          <t>Mariveles</t>
        </is>
      </c>
      <c r="G269" s="36" t="inlineStr">
        <is>
          <t>Camaya</t>
        </is>
      </c>
      <c r="H269" s="37" t="n">
        <v>14.437998</v>
      </c>
      <c r="I269" s="37" t="n">
        <v>120.484884</v>
      </c>
      <c r="J269" s="8" t="inlineStr">
        <is>
          <t>U</t>
        </is>
      </c>
      <c r="K269" s="36" t="inlineStr">
        <is>
          <t>Class 1-3 / Urban</t>
        </is>
      </c>
      <c r="L269" s="18" t="n">
        <v>18803</v>
      </c>
      <c r="M269" s="20" t="n">
        <v>4.57</v>
      </c>
      <c r="N269" s="18">
        <f>ROUND(L269/M269, 0)</f>
        <v/>
      </c>
      <c r="O269" s="18">
        <f>ROUND(N269*'Methodology &amp; Assumptions'!$B$8, 0)</f>
        <v/>
      </c>
      <c r="P269" s="8" t="inlineStr">
        <is>
          <t>Band n50 (1.5 GHz, 60 MHz)</t>
        </is>
      </c>
      <c r="Q269" s="38">
        <f>ROUNDUP(O269/'Methodology &amp; Assumptions'!$B$9, 0)</f>
        <v/>
      </c>
      <c r="R269" s="39" t="n">
        <v>1</v>
      </c>
      <c r="S269" s="21" t="n">
        <v>1.66</v>
      </c>
      <c r="T269" s="21" t="n">
        <v>0.46</v>
      </c>
      <c r="U269" s="36" t="inlineStr">
        <is>
          <t>Tier 1B (Micro Drop, 1-3 km)</t>
        </is>
      </c>
      <c r="V269" s="20" t="n">
        <v>67.59999999999999</v>
      </c>
      <c r="W269" s="20" t="n">
        <v>100</v>
      </c>
      <c r="X269" s="20" t="n">
        <v>28</v>
      </c>
      <c r="Y269" s="40">
        <f>ROUND((V269*'Methodology &amp; Assumptions'!$B$6)+(W269*'Methodology &amp; Assumptions'!$B$5)+(X269*'Methodology &amp; Assumptions'!$B$7), 2)</f>
        <v/>
      </c>
    </row>
    <row r="270" ht="19" customHeight="1">
      <c r="A270" s="41" t="n">
        <v>266</v>
      </c>
      <c r="B270" s="41" t="n">
        <v>3266</v>
      </c>
      <c r="C270" s="42" t="inlineStr">
        <is>
          <t>0405629004</t>
        </is>
      </c>
      <c r="D270" s="42" t="inlineStr">
        <is>
          <t>Region IV-A (CALABARZON)</t>
        </is>
      </c>
      <c r="E270" s="42" t="inlineStr">
        <is>
          <t>Quezon</t>
        </is>
      </c>
      <c r="F270" s="42" t="inlineStr">
        <is>
          <t>Padre Burgos</t>
        </is>
      </c>
      <c r="G270" s="42" t="inlineStr">
        <is>
          <t>Duhat</t>
        </is>
      </c>
      <c r="H270" s="43" t="n">
        <v>13.919869</v>
      </c>
      <c r="I270" s="43" t="n">
        <v>121.818094</v>
      </c>
      <c r="J270" s="44" t="inlineStr">
        <is>
          <t>R</t>
        </is>
      </c>
      <c r="K270" s="42" t="inlineStr">
        <is>
          <t>4th</t>
        </is>
      </c>
      <c r="L270" s="23" t="n">
        <v>795</v>
      </c>
      <c r="M270" s="24" t="n">
        <v>4.33</v>
      </c>
      <c r="N270" s="23">
        <f>ROUND(L270/M270, 0)</f>
        <v/>
      </c>
      <c r="O270" s="23">
        <f>ROUND(N270*'Methodology &amp; Assumptions'!$B$8, 0)</f>
        <v/>
      </c>
      <c r="P270" s="44" t="inlineStr">
        <is>
          <t>Band n50 (1.5 GHz, 60 MHz)</t>
        </is>
      </c>
      <c r="Q270" s="38">
        <f>ROUNDUP(O270/'Methodology &amp; Assumptions'!$B$9, 0)</f>
        <v/>
      </c>
      <c r="R270" s="39" t="n">
        <v>1</v>
      </c>
      <c r="S270" s="25" t="n">
        <v>0.52</v>
      </c>
      <c r="T270" s="25" t="n">
        <v>0.14</v>
      </c>
      <c r="U270" s="42" t="inlineStr">
        <is>
          <t>Tier 1A (Direct Coloc, &lt;1 km)</t>
        </is>
      </c>
      <c r="V270" s="24" t="n">
        <v>94.09999999999999</v>
      </c>
      <c r="W270" s="24" t="n">
        <v>38.7</v>
      </c>
      <c r="X270" s="24" t="n">
        <v>68.5</v>
      </c>
      <c r="Y270" s="45">
        <f>ROUND((V270*'Methodology &amp; Assumptions'!$B$6)+(W270*'Methodology &amp; Assumptions'!$B$5)+(X270*'Methodology &amp; Assumptions'!$B$7), 2)</f>
        <v/>
      </c>
    </row>
    <row r="271" ht="19" customHeight="1">
      <c r="A271" s="35" t="n">
        <v>267</v>
      </c>
      <c r="B271" s="35" t="n">
        <v>3267</v>
      </c>
      <c r="C271" s="36" t="inlineStr">
        <is>
          <t>0403408001</t>
        </is>
      </c>
      <c r="D271" s="36" t="inlineStr">
        <is>
          <t>Region IV-A (CALABARZON)</t>
        </is>
      </c>
      <c r="E271" s="36" t="inlineStr">
        <is>
          <t>Laguna</t>
        </is>
      </c>
      <c r="F271" s="36" t="inlineStr">
        <is>
          <t>Famy</t>
        </is>
      </c>
      <c r="G271" s="36" t="inlineStr">
        <is>
          <t>Asana</t>
        </is>
      </c>
      <c r="H271" s="37" t="n">
        <v>14.438886</v>
      </c>
      <c r="I271" s="37" t="n">
        <v>121.449581</v>
      </c>
      <c r="J271" s="8" t="inlineStr">
        <is>
          <t>R</t>
        </is>
      </c>
      <c r="K271" s="36" t="inlineStr">
        <is>
          <t>4th</t>
        </is>
      </c>
      <c r="L271" s="18" t="n">
        <v>531</v>
      </c>
      <c r="M271" s="20" t="n">
        <v>4.03</v>
      </c>
      <c r="N271" s="18">
        <f>ROUND(L271/M271, 0)</f>
        <v/>
      </c>
      <c r="O271" s="18">
        <f>ROUND(N271*'Methodology &amp; Assumptions'!$B$8, 0)</f>
        <v/>
      </c>
      <c r="P271" s="8" t="inlineStr">
        <is>
          <t>Band n50 (1.5 GHz, 60 MHz)</t>
        </is>
      </c>
      <c r="Q271" s="38">
        <f>ROUNDUP(O271/'Methodology &amp; Assumptions'!$B$9, 0)</f>
        <v/>
      </c>
      <c r="R271" s="39" t="n">
        <v>1</v>
      </c>
      <c r="S271" s="21" t="n">
        <v>0.38</v>
      </c>
      <c r="T271" s="21" t="n">
        <v>0.34</v>
      </c>
      <c r="U271" s="36" t="inlineStr">
        <is>
          <t>Tier 1A (Direct Coloc, &lt;1 km)</t>
        </is>
      </c>
      <c r="V271" s="20" t="n">
        <v>98.09999999999999</v>
      </c>
      <c r="W271" s="20" t="n">
        <v>34.7</v>
      </c>
      <c r="X271" s="20" t="n">
        <v>68.5</v>
      </c>
      <c r="Y271" s="40">
        <f>ROUND((V271*'Methodology &amp; Assumptions'!$B$6)+(W271*'Methodology &amp; Assumptions'!$B$5)+(X271*'Methodology &amp; Assumptions'!$B$7), 2)</f>
        <v/>
      </c>
    </row>
    <row r="272" ht="19" customHeight="1">
      <c r="A272" s="41" t="n">
        <v>268</v>
      </c>
      <c r="B272" s="41" t="n">
        <v>3268</v>
      </c>
      <c r="C272" s="42" t="inlineStr">
        <is>
          <t>0803726010</t>
        </is>
      </c>
      <c r="D272" s="42" t="inlineStr">
        <is>
          <t>Region VIII (Eastern Visayas)</t>
        </is>
      </c>
      <c r="E272" s="42" t="inlineStr">
        <is>
          <t>Leyte</t>
        </is>
      </c>
      <c r="F272" s="42" t="inlineStr">
        <is>
          <t>Kananga</t>
        </is>
      </c>
      <c r="G272" s="42" t="inlineStr">
        <is>
          <t>Masarayao</t>
        </is>
      </c>
      <c r="H272" s="43" t="n">
        <v>11.116167</v>
      </c>
      <c r="I272" s="43" t="n">
        <v>124.594339</v>
      </c>
      <c r="J272" s="44" t="inlineStr">
        <is>
          <t>R</t>
        </is>
      </c>
      <c r="K272" s="42" t="inlineStr">
        <is>
          <t>Class 1-3 / Urban</t>
        </is>
      </c>
      <c r="L272" s="23" t="n">
        <v>3257</v>
      </c>
      <c r="M272" s="24" t="n">
        <v>4.24</v>
      </c>
      <c r="N272" s="23">
        <f>ROUND(L272/M272, 0)</f>
        <v/>
      </c>
      <c r="O272" s="23">
        <f>ROUND(N272*'Methodology &amp; Assumptions'!$B$8, 0)</f>
        <v/>
      </c>
      <c r="P272" s="44" t="inlineStr">
        <is>
          <t>Band n50 (1.5 GHz, 60 MHz)</t>
        </is>
      </c>
      <c r="Q272" s="38">
        <f>ROUNDUP(O272/'Methodology &amp; Assumptions'!$B$9, 0)</f>
        <v/>
      </c>
      <c r="R272" s="39" t="n">
        <v>1</v>
      </c>
      <c r="S272" s="25" t="n">
        <v>2.3</v>
      </c>
      <c r="T272" s="25" t="n">
        <v>1.1</v>
      </c>
      <c r="U272" s="42" t="inlineStr">
        <is>
          <t>Tier 1B (Micro Drop, 1-3 km)</t>
        </is>
      </c>
      <c r="V272" s="24" t="n">
        <v>56.5</v>
      </c>
      <c r="W272" s="24" t="n">
        <v>85.3</v>
      </c>
      <c r="X272" s="24" t="n">
        <v>58</v>
      </c>
      <c r="Y272" s="45">
        <f>ROUND((V272*'Methodology &amp; Assumptions'!$B$6)+(W272*'Methodology &amp; Assumptions'!$B$5)+(X272*'Methodology &amp; Assumptions'!$B$7), 2)</f>
        <v/>
      </c>
    </row>
    <row r="273" ht="19" customHeight="1">
      <c r="A273" s="35" t="n">
        <v>269</v>
      </c>
      <c r="B273" s="35" t="n">
        <v>3269</v>
      </c>
      <c r="C273" s="36" t="inlineStr">
        <is>
          <t>0702224032</t>
        </is>
      </c>
      <c r="D273" s="36" t="inlineStr">
        <is>
          <t>Region VII (Central Visayas)</t>
        </is>
      </c>
      <c r="E273" s="36" t="inlineStr">
        <is>
          <t>Cebu</t>
        </is>
      </c>
      <c r="F273" s="36" t="inlineStr">
        <is>
          <t>Dumanjug</t>
        </is>
      </c>
      <c r="G273" s="36" t="inlineStr">
        <is>
          <t>Poblacion Looc</t>
        </is>
      </c>
      <c r="H273" s="37" t="n">
        <v>10.059405</v>
      </c>
      <c r="I273" s="37" t="n">
        <v>123.432386</v>
      </c>
      <c r="J273" s="8" t="inlineStr">
        <is>
          <t>R</t>
        </is>
      </c>
      <c r="K273" s="36" t="inlineStr">
        <is>
          <t>Class 1-3 / Urban</t>
        </is>
      </c>
      <c r="L273" s="18" t="n">
        <v>1326</v>
      </c>
      <c r="M273" s="20" t="n">
        <v>4.42</v>
      </c>
      <c r="N273" s="18">
        <f>ROUND(L273/M273, 0)</f>
        <v/>
      </c>
      <c r="O273" s="18">
        <f>ROUND(N273*'Methodology &amp; Assumptions'!$B$8, 0)</f>
        <v/>
      </c>
      <c r="P273" s="8" t="inlineStr">
        <is>
          <t>Band n50 (1.5 GHz, 60 MHz)</t>
        </is>
      </c>
      <c r="Q273" s="38">
        <f>ROUNDUP(O273/'Methodology &amp; Assumptions'!$B$9, 0)</f>
        <v/>
      </c>
      <c r="R273" s="39" t="n">
        <v>1</v>
      </c>
      <c r="S273" s="21" t="n">
        <v>0.53</v>
      </c>
      <c r="T273" s="21" t="n">
        <v>0.54</v>
      </c>
      <c r="U273" s="36" t="inlineStr">
        <is>
          <t>Tier 1A (Direct Coloc, &lt;1 km)</t>
        </is>
      </c>
      <c r="V273" s="20" t="n">
        <v>93.8</v>
      </c>
      <c r="W273" s="20" t="n">
        <v>48</v>
      </c>
      <c r="X273" s="20" t="n">
        <v>58</v>
      </c>
      <c r="Y273" s="40">
        <f>ROUND((V273*'Methodology &amp; Assumptions'!$B$6)+(W273*'Methodology &amp; Assumptions'!$B$5)+(X273*'Methodology &amp; Assumptions'!$B$7), 2)</f>
        <v/>
      </c>
    </row>
    <row r="274" ht="19" customHeight="1">
      <c r="A274" s="41" t="n">
        <v>270</v>
      </c>
      <c r="B274" s="41" t="n">
        <v>3270</v>
      </c>
      <c r="C274" s="42" t="inlineStr">
        <is>
          <t>1130700006</t>
        </is>
      </c>
      <c r="D274" s="42" t="inlineStr">
        <is>
          <t>Region XI (Davao Region)</t>
        </is>
      </c>
      <c r="E274" s="42" t="inlineStr">
        <is>
          <t>Davao del Sur</t>
        </is>
      </c>
      <c r="F274" s="42" t="inlineStr">
        <is>
          <t>City of Davao</t>
        </is>
      </c>
      <c r="G274" s="42" t="inlineStr">
        <is>
          <t>Bago Oshiro</t>
        </is>
      </c>
      <c r="H274" s="43" t="n">
        <v>7.07768</v>
      </c>
      <c r="I274" s="43" t="n">
        <v>125.49579</v>
      </c>
      <c r="J274" s="44" t="inlineStr">
        <is>
          <t>U</t>
        </is>
      </c>
      <c r="K274" s="42" t="inlineStr">
        <is>
          <t>Class 1-3 / Urban</t>
        </is>
      </c>
      <c r="L274" s="23" t="n">
        <v>17717</v>
      </c>
      <c r="M274" s="24" t="n">
        <v>4.1</v>
      </c>
      <c r="N274" s="23">
        <f>ROUND(L274/M274, 0)</f>
        <v/>
      </c>
      <c r="O274" s="23">
        <f>ROUND(N274*'Methodology &amp; Assumptions'!$B$8, 0)</f>
        <v/>
      </c>
      <c r="P274" s="44" t="inlineStr">
        <is>
          <t>Band n50 (1.5 GHz, 60 MHz)</t>
        </is>
      </c>
      <c r="Q274" s="38">
        <f>ROUNDUP(O274/'Methodology &amp; Assumptions'!$B$9, 0)</f>
        <v/>
      </c>
      <c r="R274" s="39" t="n">
        <v>1</v>
      </c>
      <c r="S274" s="25" t="n">
        <v>1.66</v>
      </c>
      <c r="T274" s="25" t="n">
        <v>1.64</v>
      </c>
      <c r="U274" s="42" t="inlineStr">
        <is>
          <t>Tier 1B (Micro Drop, 1-3 km)</t>
        </is>
      </c>
      <c r="V274" s="24" t="n">
        <v>67.5</v>
      </c>
      <c r="W274" s="24" t="n">
        <v>100</v>
      </c>
      <c r="X274" s="24" t="n">
        <v>28</v>
      </c>
      <c r="Y274" s="45">
        <f>ROUND((V274*'Methodology &amp; Assumptions'!$B$6)+(W274*'Methodology &amp; Assumptions'!$B$5)+(X274*'Methodology &amp; Assumptions'!$B$7), 2)</f>
        <v/>
      </c>
    </row>
    <row r="275" ht="19" customHeight="1">
      <c r="A275" s="35" t="n">
        <v>271</v>
      </c>
      <c r="B275" s="35" t="n">
        <v>3271</v>
      </c>
      <c r="C275" s="36" t="inlineStr">
        <is>
          <t>0401005051</t>
        </is>
      </c>
      <c r="D275" s="36" t="inlineStr">
        <is>
          <t>Region IV-A (CALABARZON)</t>
        </is>
      </c>
      <c r="E275" s="36" t="inlineStr">
        <is>
          <t>Batangas</t>
        </is>
      </c>
      <c r="F275" s="36" t="inlineStr">
        <is>
          <t>Batangas City</t>
        </is>
      </c>
      <c r="G275" s="36" t="inlineStr">
        <is>
          <t>Pallocan Kanluran</t>
        </is>
      </c>
      <c r="H275" s="37" t="n">
        <v>13.755749</v>
      </c>
      <c r="I275" s="37" t="n">
        <v>121.070632</v>
      </c>
      <c r="J275" s="8" t="inlineStr">
        <is>
          <t>U</t>
        </is>
      </c>
      <c r="K275" s="36" t="inlineStr">
        <is>
          <t>Class 1-3 / Urban</t>
        </is>
      </c>
      <c r="L275" s="18" t="n">
        <v>6854</v>
      </c>
      <c r="M275" s="20" t="n">
        <v>4.62</v>
      </c>
      <c r="N275" s="18">
        <f>ROUND(L275/M275, 0)</f>
        <v/>
      </c>
      <c r="O275" s="18">
        <f>ROUND(N275*'Methodology &amp; Assumptions'!$B$8, 0)</f>
        <v/>
      </c>
      <c r="P275" s="8" t="inlineStr">
        <is>
          <t>Band n50 (1.5 GHz, 60 MHz)</t>
        </is>
      </c>
      <c r="Q275" s="38">
        <f>ROUNDUP(O275/'Methodology &amp; Assumptions'!$B$9, 0)</f>
        <v/>
      </c>
      <c r="R275" s="39" t="n">
        <v>1</v>
      </c>
      <c r="S275" s="21" t="n">
        <v>1.66</v>
      </c>
      <c r="T275" s="21" t="n">
        <v>0.8100000000000001</v>
      </c>
      <c r="U275" s="36" t="inlineStr">
        <is>
          <t>Tier 1B (Micro Drop, 1-3 km)</t>
        </is>
      </c>
      <c r="V275" s="20" t="n">
        <v>67.5</v>
      </c>
      <c r="W275" s="20" t="n">
        <v>100</v>
      </c>
      <c r="X275" s="20" t="n">
        <v>28</v>
      </c>
      <c r="Y275" s="40">
        <f>ROUND((V275*'Methodology &amp; Assumptions'!$B$6)+(W275*'Methodology &amp; Assumptions'!$B$5)+(X275*'Methodology &amp; Assumptions'!$B$7), 2)</f>
        <v/>
      </c>
    </row>
    <row r="276" ht="19" customHeight="1">
      <c r="A276" s="41" t="n">
        <v>272</v>
      </c>
      <c r="B276" s="41" t="n">
        <v>3272</v>
      </c>
      <c r="C276" s="42" t="inlineStr">
        <is>
          <t>0401014066</t>
        </is>
      </c>
      <c r="D276" s="42" t="inlineStr">
        <is>
          <t>Region IV-A (CALABARZON)</t>
        </is>
      </c>
      <c r="E276" s="42" t="inlineStr">
        <is>
          <t>Batangas</t>
        </is>
      </c>
      <c r="F276" s="42" t="inlineStr">
        <is>
          <t>City of Lipa</t>
        </is>
      </c>
      <c r="G276" s="42" t="inlineStr">
        <is>
          <t>Sico</t>
        </is>
      </c>
      <c r="H276" s="43" t="n">
        <v>13.945319</v>
      </c>
      <c r="I276" s="43" t="n">
        <v>121.132375</v>
      </c>
      <c r="J276" s="44" t="inlineStr">
        <is>
          <t>U</t>
        </is>
      </c>
      <c r="K276" s="42" t="inlineStr">
        <is>
          <t>Class 1-3 / Urban</t>
        </is>
      </c>
      <c r="L276" s="23" t="n">
        <v>5206</v>
      </c>
      <c r="M276" s="24" t="n">
        <v>4.62</v>
      </c>
      <c r="N276" s="23">
        <f>ROUND(L276/M276, 0)</f>
        <v/>
      </c>
      <c r="O276" s="23">
        <f>ROUND(N276*'Methodology &amp; Assumptions'!$B$8, 0)</f>
        <v/>
      </c>
      <c r="P276" s="44" t="inlineStr">
        <is>
          <t>Band n50 (1.5 GHz, 60 MHz)</t>
        </is>
      </c>
      <c r="Q276" s="38">
        <f>ROUNDUP(O276/'Methodology &amp; Assumptions'!$B$9, 0)</f>
        <v/>
      </c>
      <c r="R276" s="39" t="n">
        <v>1</v>
      </c>
      <c r="S276" s="25" t="n">
        <v>1.66</v>
      </c>
      <c r="T276" s="25" t="n">
        <v>0.14</v>
      </c>
      <c r="U276" s="42" t="inlineStr">
        <is>
          <t>Tier 1B (Micro Drop, 1-3 km)</t>
        </is>
      </c>
      <c r="V276" s="24" t="n">
        <v>67.5</v>
      </c>
      <c r="W276" s="24" t="n">
        <v>100</v>
      </c>
      <c r="X276" s="24" t="n">
        <v>28</v>
      </c>
      <c r="Y276" s="45">
        <f>ROUND((V276*'Methodology &amp; Assumptions'!$B$6)+(W276*'Methodology &amp; Assumptions'!$B$5)+(X276*'Methodology &amp; Assumptions'!$B$7), 2)</f>
        <v/>
      </c>
    </row>
    <row r="277" ht="19" customHeight="1">
      <c r="A277" s="35" t="n">
        <v>273</v>
      </c>
      <c r="B277" s="35" t="n">
        <v>3273</v>
      </c>
      <c r="C277" s="36" t="inlineStr">
        <is>
          <t>0105526005</t>
        </is>
      </c>
      <c r="D277" s="36" t="inlineStr">
        <is>
          <t>Region I (Ilocos Region)</t>
        </is>
      </c>
      <c r="E277" s="36" t="inlineStr">
        <is>
          <t>Pangasinan</t>
        </is>
      </c>
      <c r="F277" s="36" t="inlineStr">
        <is>
          <t>Mangaldan</t>
        </is>
      </c>
      <c r="G277" s="36" t="inlineStr">
        <is>
          <t>Bantayan</t>
        </is>
      </c>
      <c r="H277" s="37" t="n">
        <v>16.090903</v>
      </c>
      <c r="I277" s="37" t="n">
        <v>120.39035</v>
      </c>
      <c r="J277" s="8" t="inlineStr">
        <is>
          <t>R</t>
        </is>
      </c>
      <c r="K277" s="36" t="inlineStr">
        <is>
          <t>Class 1-3 / Urban</t>
        </is>
      </c>
      <c r="L277" s="18" t="n">
        <v>3809</v>
      </c>
      <c r="M277" s="20" t="n">
        <v>4.39</v>
      </c>
      <c r="N277" s="18">
        <f>ROUND(L277/M277, 0)</f>
        <v/>
      </c>
      <c r="O277" s="18">
        <f>ROUND(N277*'Methodology &amp; Assumptions'!$B$8, 0)</f>
        <v/>
      </c>
      <c r="P277" s="8" t="inlineStr">
        <is>
          <t>Band n50 (1.5 GHz, 60 MHz)</t>
        </is>
      </c>
      <c r="Q277" s="38">
        <f>ROUNDUP(O277/'Methodology &amp; Assumptions'!$B$9, 0)</f>
        <v/>
      </c>
      <c r="R277" s="39" t="n">
        <v>1</v>
      </c>
      <c r="S277" s="21" t="n">
        <v>2.87</v>
      </c>
      <c r="T277" s="21" t="n">
        <v>0.16</v>
      </c>
      <c r="U277" s="36" t="inlineStr">
        <is>
          <t>Tier 1B (Micro Drop, 1-3 km)</t>
        </is>
      </c>
      <c r="V277" s="20" t="n">
        <v>48.4</v>
      </c>
      <c r="W277" s="20" t="n">
        <v>93.3</v>
      </c>
      <c r="X277" s="20" t="n">
        <v>58</v>
      </c>
      <c r="Y277" s="40">
        <f>ROUND((V277*'Methodology &amp; Assumptions'!$B$6)+(W277*'Methodology &amp; Assumptions'!$B$5)+(X277*'Methodology &amp; Assumptions'!$B$7), 2)</f>
        <v/>
      </c>
    </row>
    <row r="278" ht="19" customHeight="1">
      <c r="A278" s="41" t="n">
        <v>274</v>
      </c>
      <c r="B278" s="41" t="n">
        <v>3274</v>
      </c>
      <c r="C278" s="42" t="inlineStr">
        <is>
          <t>0405645015</t>
        </is>
      </c>
      <c r="D278" s="42" t="inlineStr">
        <is>
          <t>Region IV-A (CALABARZON)</t>
        </is>
      </c>
      <c r="E278" s="42" t="inlineStr">
        <is>
          <t>Quezon</t>
        </is>
      </c>
      <c r="F278" s="42" t="inlineStr">
        <is>
          <t>Sariaya</t>
        </is>
      </c>
      <c r="G278" s="42" t="inlineStr">
        <is>
          <t>Gibanga</t>
        </is>
      </c>
      <c r="H278" s="43" t="n">
        <v>13.968084</v>
      </c>
      <c r="I278" s="43" t="n">
        <v>121.541422</v>
      </c>
      <c r="J278" s="44" t="inlineStr">
        <is>
          <t>R</t>
        </is>
      </c>
      <c r="K278" s="42" t="inlineStr">
        <is>
          <t>Class 1-3 / Urban</t>
        </is>
      </c>
      <c r="L278" s="23" t="n">
        <v>3752</v>
      </c>
      <c r="M278" s="24" t="n">
        <v>4.46</v>
      </c>
      <c r="N278" s="23">
        <f>ROUND(L278/M278, 0)</f>
        <v/>
      </c>
      <c r="O278" s="23">
        <f>ROUND(N278*'Methodology &amp; Assumptions'!$B$8, 0)</f>
        <v/>
      </c>
      <c r="P278" s="44" t="inlineStr">
        <is>
          <t>Band n50 (1.5 GHz, 60 MHz)</t>
        </is>
      </c>
      <c r="Q278" s="38">
        <f>ROUNDUP(O278/'Methodology &amp; Assumptions'!$B$9, 0)</f>
        <v/>
      </c>
      <c r="R278" s="39" t="n">
        <v>1</v>
      </c>
      <c r="S278" s="25" t="n">
        <v>2.71</v>
      </c>
      <c r="T278" s="25" t="n">
        <v>0.21</v>
      </c>
      <c r="U278" s="42" t="inlineStr">
        <is>
          <t>Tier 1B (Micro Drop, 1-3 km)</t>
        </is>
      </c>
      <c r="V278" s="24" t="n">
        <v>50.6</v>
      </c>
      <c r="W278" s="24" t="n">
        <v>91.2</v>
      </c>
      <c r="X278" s="24" t="n">
        <v>58</v>
      </c>
      <c r="Y278" s="45">
        <f>ROUND((V278*'Methodology &amp; Assumptions'!$B$6)+(W278*'Methodology &amp; Assumptions'!$B$5)+(X278*'Methodology &amp; Assumptions'!$B$7), 2)</f>
        <v/>
      </c>
    </row>
    <row r="279" ht="19" customHeight="1">
      <c r="A279" s="35" t="n">
        <v>275</v>
      </c>
      <c r="B279" s="35" t="n">
        <v>3275</v>
      </c>
      <c r="C279" s="36" t="inlineStr">
        <is>
          <t>0301409012</t>
        </is>
      </c>
      <c r="D279" s="36" t="inlineStr">
        <is>
          <t>Region III (Central Luzon)</t>
        </is>
      </c>
      <c r="E279" s="36" t="inlineStr">
        <is>
          <t>Bulacan</t>
        </is>
      </c>
      <c r="F279" s="36" t="inlineStr">
        <is>
          <t>Hagonoy</t>
        </is>
      </c>
      <c r="G279" s="36" t="inlineStr">
        <is>
          <t>San Juan</t>
        </is>
      </c>
      <c r="H279" s="37" t="n">
        <v>14.865534</v>
      </c>
      <c r="I279" s="37" t="n">
        <v>120.741624</v>
      </c>
      <c r="J279" s="8" t="inlineStr">
        <is>
          <t>R</t>
        </is>
      </c>
      <c r="K279" s="36" t="inlineStr">
        <is>
          <t>Class 1-3 / Urban</t>
        </is>
      </c>
      <c r="L279" s="18" t="n">
        <v>3700</v>
      </c>
      <c r="M279" s="20" t="n">
        <v>4.1</v>
      </c>
      <c r="N279" s="18">
        <f>ROUND(L279/M279, 0)</f>
        <v/>
      </c>
      <c r="O279" s="18">
        <f>ROUND(N279*'Methodology &amp; Assumptions'!$B$8, 0)</f>
        <v/>
      </c>
      <c r="P279" s="8" t="inlineStr">
        <is>
          <t>Band n50 (1.5 GHz, 60 MHz)</t>
        </is>
      </c>
      <c r="Q279" s="38">
        <f>ROUNDUP(O279/'Methodology &amp; Assumptions'!$B$9, 0)</f>
        <v/>
      </c>
      <c r="R279" s="39" t="n">
        <v>1</v>
      </c>
      <c r="S279" s="21" t="n">
        <v>3.11</v>
      </c>
      <c r="T279" s="21" t="n">
        <v>0.07000000000000001</v>
      </c>
      <c r="U279" s="36" t="inlineStr">
        <is>
          <t>Tier 2 (Fiber Corridor / Lateral, 3-5 km)</t>
        </is>
      </c>
      <c r="V279" s="20" t="n">
        <v>45.5</v>
      </c>
      <c r="W279" s="20" t="n">
        <v>96.3</v>
      </c>
      <c r="X279" s="20" t="n">
        <v>58</v>
      </c>
      <c r="Y279" s="40">
        <f>ROUND((V279*'Methodology &amp; Assumptions'!$B$6)+(W279*'Methodology &amp; Assumptions'!$B$5)+(X279*'Methodology &amp; Assumptions'!$B$7), 2)</f>
        <v/>
      </c>
    </row>
    <row r="280" ht="19" customHeight="1">
      <c r="A280" s="41" t="n">
        <v>276</v>
      </c>
      <c r="B280" s="41" t="n">
        <v>3276</v>
      </c>
      <c r="C280" s="42" t="inlineStr">
        <is>
          <t>0401001021</t>
        </is>
      </c>
      <c r="D280" s="42" t="inlineStr">
        <is>
          <t>Region IV-A (CALABARZON)</t>
        </is>
      </c>
      <c r="E280" s="42" t="inlineStr">
        <is>
          <t>Batangas</t>
        </is>
      </c>
      <c r="F280" s="42" t="inlineStr">
        <is>
          <t>Agoncillo</t>
        </is>
      </c>
      <c r="G280" s="42" t="inlineStr">
        <is>
          <t>Subic Ibaba</t>
        </is>
      </c>
      <c r="H280" s="43" t="n">
        <v>13.948796</v>
      </c>
      <c r="I280" s="43" t="n">
        <v>120.944329</v>
      </c>
      <c r="J280" s="44" t="inlineStr">
        <is>
          <t>R</t>
        </is>
      </c>
      <c r="K280" s="42" t="inlineStr">
        <is>
          <t>2nd</t>
        </is>
      </c>
      <c r="L280" s="23" t="n">
        <v>3647</v>
      </c>
      <c r="M280" s="24" t="n">
        <v>4.86</v>
      </c>
      <c r="N280" s="23">
        <f>ROUND(L280/M280, 0)</f>
        <v/>
      </c>
      <c r="O280" s="23">
        <f>ROUND(N280*'Methodology &amp; Assumptions'!$B$8, 0)</f>
        <v/>
      </c>
      <c r="P280" s="44" t="inlineStr">
        <is>
          <t>Band n50 (1.5 GHz, 60 MHz)</t>
        </is>
      </c>
      <c r="Q280" s="38">
        <f>ROUNDUP(O280/'Methodology &amp; Assumptions'!$B$9, 0)</f>
        <v/>
      </c>
      <c r="R280" s="39" t="n">
        <v>1</v>
      </c>
      <c r="S280" s="25" t="n">
        <v>1.65</v>
      </c>
      <c r="T280" s="25" t="n">
        <v>6.16</v>
      </c>
      <c r="U280" s="42" t="inlineStr">
        <is>
          <t>Tier 1B (Micro Drop, 1-3 km)</t>
        </is>
      </c>
      <c r="V280" s="24" t="n">
        <v>57.8</v>
      </c>
      <c r="W280" s="24" t="n">
        <v>84</v>
      </c>
      <c r="X280" s="24" t="n">
        <v>58</v>
      </c>
      <c r="Y280" s="45">
        <f>ROUND((V280*'Methodology &amp; Assumptions'!$B$6)+(W280*'Methodology &amp; Assumptions'!$B$5)+(X280*'Methodology &amp; Assumptions'!$B$7), 2)</f>
        <v/>
      </c>
    </row>
    <row r="281" ht="19" customHeight="1">
      <c r="A281" s="35" t="n">
        <v>277</v>
      </c>
      <c r="B281" s="35" t="n">
        <v>3277</v>
      </c>
      <c r="C281" s="36" t="inlineStr">
        <is>
          <t>0105526023</t>
        </is>
      </c>
      <c r="D281" s="36" t="inlineStr">
        <is>
          <t>Region I (Ilocos Region)</t>
        </is>
      </c>
      <c r="E281" s="36" t="inlineStr">
        <is>
          <t>Pangasinan</t>
        </is>
      </c>
      <c r="F281" s="36" t="inlineStr">
        <is>
          <t>Mangaldan</t>
        </is>
      </c>
      <c r="G281" s="36" t="inlineStr">
        <is>
          <t>Osiem</t>
        </is>
      </c>
      <c r="H281" s="37" t="n">
        <v>16.060801</v>
      </c>
      <c r="I281" s="37" t="n">
        <v>120.422368</v>
      </c>
      <c r="J281" s="8" t="inlineStr">
        <is>
          <t>R</t>
        </is>
      </c>
      <c r="K281" s="36" t="inlineStr">
        <is>
          <t>Class 1-3 / Urban</t>
        </is>
      </c>
      <c r="L281" s="18" t="n">
        <v>3348</v>
      </c>
      <c r="M281" s="20" t="n">
        <v>4.39</v>
      </c>
      <c r="N281" s="18">
        <f>ROUND(L281/M281, 0)</f>
        <v/>
      </c>
      <c r="O281" s="18">
        <f>ROUND(N281*'Methodology &amp; Assumptions'!$B$8, 0)</f>
        <v/>
      </c>
      <c r="P281" s="8" t="inlineStr">
        <is>
          <t>Band n50 (1.5 GHz, 60 MHz)</t>
        </is>
      </c>
      <c r="Q281" s="38">
        <f>ROUNDUP(O281/'Methodology &amp; Assumptions'!$B$9, 0)</f>
        <v/>
      </c>
      <c r="R281" s="39" t="n">
        <v>1</v>
      </c>
      <c r="S281" s="21" t="n">
        <v>2.28</v>
      </c>
      <c r="T281" s="21" t="n">
        <v>1.95</v>
      </c>
      <c r="U281" s="36" t="inlineStr">
        <is>
          <t>Tier 1B (Micro Drop, 1-3 km)</t>
        </is>
      </c>
      <c r="V281" s="20" t="n">
        <v>56.7</v>
      </c>
      <c r="W281" s="20" t="n">
        <v>85.09999999999999</v>
      </c>
      <c r="X281" s="20" t="n">
        <v>58</v>
      </c>
      <c r="Y281" s="40">
        <f>ROUND((V281*'Methodology &amp; Assumptions'!$B$6)+(W281*'Methodology &amp; Assumptions'!$B$5)+(X281*'Methodology &amp; Assumptions'!$B$7), 2)</f>
        <v/>
      </c>
    </row>
    <row r="282" ht="19" customHeight="1">
      <c r="A282" s="41" t="n">
        <v>278</v>
      </c>
      <c r="B282" s="41" t="n">
        <v>3278</v>
      </c>
      <c r="C282" s="42" t="inlineStr">
        <is>
          <t>0304906018</t>
        </is>
      </c>
      <c r="D282" s="42" t="inlineStr">
        <is>
          <t>Region III (Central Luzon)</t>
        </is>
      </c>
      <c r="E282" s="42" t="inlineStr">
        <is>
          <t>Nueva Ecija</t>
        </is>
      </c>
      <c r="F282" s="42" t="inlineStr">
        <is>
          <t>Cuyapo</t>
        </is>
      </c>
      <c r="G282" s="42" t="inlineStr">
        <is>
          <t>District I</t>
        </is>
      </c>
      <c r="H282" s="43" t="n">
        <v>15.779425</v>
      </c>
      <c r="I282" s="43" t="n">
        <v>120.664576</v>
      </c>
      <c r="J282" s="44" t="inlineStr">
        <is>
          <t>R</t>
        </is>
      </c>
      <c r="K282" s="42" t="inlineStr">
        <is>
          <t>Class 1-3 / Urban</t>
        </is>
      </c>
      <c r="L282" s="23" t="n">
        <v>1015</v>
      </c>
      <c r="M282" s="24" t="n">
        <v>4.32</v>
      </c>
      <c r="N282" s="23">
        <f>ROUND(L282/M282, 0)</f>
        <v/>
      </c>
      <c r="O282" s="23">
        <f>ROUND(N282*'Methodology &amp; Assumptions'!$B$8, 0)</f>
        <v/>
      </c>
      <c r="P282" s="44" t="inlineStr">
        <is>
          <t>Band n50 (1.5 GHz, 60 MHz)</t>
        </is>
      </c>
      <c r="Q282" s="38">
        <f>ROUNDUP(O282/'Methodology &amp; Assumptions'!$B$9, 0)</f>
        <v/>
      </c>
      <c r="R282" s="39" t="n">
        <v>1</v>
      </c>
      <c r="S282" s="25" t="n">
        <v>0.03</v>
      </c>
      <c r="T282" s="25" t="n">
        <v>6.36</v>
      </c>
      <c r="U282" s="42" t="inlineStr">
        <is>
          <t>Tier 1A (Direct Coloc, &lt;1 km)</t>
        </is>
      </c>
      <c r="V282" s="24" t="n">
        <v>99.09999999999999</v>
      </c>
      <c r="W282" s="24" t="n">
        <v>42.7</v>
      </c>
      <c r="X282" s="24" t="n">
        <v>58</v>
      </c>
      <c r="Y282" s="45">
        <f>ROUND((V282*'Methodology &amp; Assumptions'!$B$6)+(W282*'Methodology &amp; Assumptions'!$B$5)+(X282*'Methodology &amp; Assumptions'!$B$7), 2)</f>
        <v/>
      </c>
    </row>
    <row r="283" ht="19" customHeight="1">
      <c r="A283" s="35" t="n">
        <v>279</v>
      </c>
      <c r="B283" s="35" t="n">
        <v>3279</v>
      </c>
      <c r="C283" s="36" t="inlineStr">
        <is>
          <t>0401019048</t>
        </is>
      </c>
      <c r="D283" s="36" t="inlineStr">
        <is>
          <t>Region IV-A (CALABARZON)</t>
        </is>
      </c>
      <c r="E283" s="36" t="inlineStr">
        <is>
          <t>Batangas</t>
        </is>
      </c>
      <c r="F283" s="36" t="inlineStr">
        <is>
          <t>Nasugbu</t>
        </is>
      </c>
      <c r="G283" s="36" t="inlineStr">
        <is>
          <t>Wawa</t>
        </is>
      </c>
      <c r="H283" s="37" t="n">
        <v>14.0824</v>
      </c>
      <c r="I283" s="37" t="n">
        <v>120.6244</v>
      </c>
      <c r="J283" s="8" t="inlineStr">
        <is>
          <t>U</t>
        </is>
      </c>
      <c r="K283" s="36" t="inlineStr">
        <is>
          <t>Class 1-3 / Urban</t>
        </is>
      </c>
      <c r="L283" s="18" t="n">
        <v>15428</v>
      </c>
      <c r="M283" s="20" t="n">
        <v>4.62</v>
      </c>
      <c r="N283" s="18">
        <f>ROUND(L283/M283, 0)</f>
        <v/>
      </c>
      <c r="O283" s="18">
        <f>ROUND(N283*'Methodology &amp; Assumptions'!$B$8, 0)</f>
        <v/>
      </c>
      <c r="P283" s="8" t="inlineStr">
        <is>
          <t>Band n50 (1.5 GHz, 60 MHz)</t>
        </is>
      </c>
      <c r="Q283" s="38">
        <f>ROUNDUP(O283/'Methodology &amp; Assumptions'!$B$9, 0)</f>
        <v/>
      </c>
      <c r="R283" s="39" t="n">
        <v>1</v>
      </c>
      <c r="S283" s="21" t="n">
        <v>1.66</v>
      </c>
      <c r="T283" s="21" t="n">
        <v>0.34</v>
      </c>
      <c r="U283" s="36" t="inlineStr">
        <is>
          <t>Tier 1B (Micro Drop, 1-3 km)</t>
        </is>
      </c>
      <c r="V283" s="20" t="n">
        <v>67.5</v>
      </c>
      <c r="W283" s="20" t="n">
        <v>100</v>
      </c>
      <c r="X283" s="20" t="n">
        <v>28</v>
      </c>
      <c r="Y283" s="40">
        <f>ROUND((V283*'Methodology &amp; Assumptions'!$B$6)+(W283*'Methodology &amp; Assumptions'!$B$5)+(X283*'Methodology &amp; Assumptions'!$B$7), 2)</f>
        <v/>
      </c>
    </row>
    <row r="284" ht="19" customHeight="1">
      <c r="A284" s="41" t="n">
        <v>280</v>
      </c>
      <c r="B284" s="41" t="n">
        <v>3280</v>
      </c>
      <c r="C284" s="42" t="inlineStr">
        <is>
          <t>0405811002</t>
        </is>
      </c>
      <c r="D284" s="42" t="inlineStr">
        <is>
          <t>Region IV-A (CALABARZON)</t>
        </is>
      </c>
      <c r="E284" s="42" t="inlineStr">
        <is>
          <t>Rizal</t>
        </is>
      </c>
      <c r="F284" s="42" t="inlineStr">
        <is>
          <t>San Mateo</t>
        </is>
      </c>
      <c r="G284" s="42" t="inlineStr">
        <is>
          <t>Dulong Bayan 1</t>
        </is>
      </c>
      <c r="H284" s="43" t="n">
        <v>14.700429</v>
      </c>
      <c r="I284" s="43" t="n">
        <v>121.122599</v>
      </c>
      <c r="J284" s="44" t="inlineStr">
        <is>
          <t>U</t>
        </is>
      </c>
      <c r="K284" s="42" t="inlineStr">
        <is>
          <t>Class 1-3 / Urban</t>
        </is>
      </c>
      <c r="L284" s="23" t="n">
        <v>5229</v>
      </c>
      <c r="M284" s="24" t="n">
        <v>4.39</v>
      </c>
      <c r="N284" s="23">
        <f>ROUND(L284/M284, 0)</f>
        <v/>
      </c>
      <c r="O284" s="23">
        <f>ROUND(N284*'Methodology &amp; Assumptions'!$B$8, 0)</f>
        <v/>
      </c>
      <c r="P284" s="44" t="inlineStr">
        <is>
          <t>Band n50 (1.5 GHz, 60 MHz)</t>
        </is>
      </c>
      <c r="Q284" s="38">
        <f>ROUNDUP(O284/'Methodology &amp; Assumptions'!$B$9, 0)</f>
        <v/>
      </c>
      <c r="R284" s="39" t="n">
        <v>1</v>
      </c>
      <c r="S284" s="25" t="n">
        <v>1.66</v>
      </c>
      <c r="T284" s="25" t="n">
        <v>0.26</v>
      </c>
      <c r="U284" s="42" t="inlineStr">
        <is>
          <t>Tier 1B (Micro Drop, 1-3 km)</t>
        </is>
      </c>
      <c r="V284" s="24" t="n">
        <v>67.5</v>
      </c>
      <c r="W284" s="24" t="n">
        <v>100</v>
      </c>
      <c r="X284" s="24" t="n">
        <v>28</v>
      </c>
      <c r="Y284" s="45">
        <f>ROUND((V284*'Methodology &amp; Assumptions'!$B$6)+(W284*'Methodology &amp; Assumptions'!$B$5)+(X284*'Methodology &amp; Assumptions'!$B$7), 2)</f>
        <v/>
      </c>
    </row>
    <row r="285" ht="19" customHeight="1">
      <c r="A285" s="35" t="n">
        <v>281</v>
      </c>
      <c r="B285" s="35" t="n">
        <v>3281</v>
      </c>
      <c r="C285" s="36" t="inlineStr">
        <is>
          <t>0105524070</t>
        </is>
      </c>
      <c r="D285" s="36" t="inlineStr">
        <is>
          <t>Region I (Ilocos Region)</t>
        </is>
      </c>
      <c r="E285" s="36" t="inlineStr">
        <is>
          <t>Pangasinan</t>
        </is>
      </c>
      <c r="F285" s="36" t="inlineStr">
        <is>
          <t>Malasiqui</t>
        </is>
      </c>
      <c r="G285" s="36" t="inlineStr">
        <is>
          <t>Taloy</t>
        </is>
      </c>
      <c r="H285" s="37" t="n">
        <v>15.922442</v>
      </c>
      <c r="I285" s="37" t="n">
        <v>120.398651</v>
      </c>
      <c r="J285" s="8" t="inlineStr">
        <is>
          <t>R</t>
        </is>
      </c>
      <c r="K285" s="36" t="inlineStr">
        <is>
          <t>Class 1-3 / Urban</t>
        </is>
      </c>
      <c r="L285" s="18" t="n">
        <v>2589</v>
      </c>
      <c r="M285" s="20" t="n">
        <v>4.39</v>
      </c>
      <c r="N285" s="18">
        <f>ROUND(L285/M285, 0)</f>
        <v/>
      </c>
      <c r="O285" s="18">
        <f>ROUND(N285*'Methodology &amp; Assumptions'!$B$8, 0)</f>
        <v/>
      </c>
      <c r="P285" s="8" t="inlineStr">
        <is>
          <t>Band n50 (1.5 GHz, 60 MHz)</t>
        </is>
      </c>
      <c r="Q285" s="38">
        <f>ROUNDUP(O285/'Methodology &amp; Assumptions'!$B$9, 0)</f>
        <v/>
      </c>
      <c r="R285" s="39" t="n">
        <v>1</v>
      </c>
      <c r="S285" s="21" t="n">
        <v>1.51</v>
      </c>
      <c r="T285" s="21" t="n">
        <v>0.11</v>
      </c>
      <c r="U285" s="36" t="inlineStr">
        <is>
          <t>Tier 1B (Micro Drop, 1-3 km)</t>
        </is>
      </c>
      <c r="V285" s="20" t="n">
        <v>70.5</v>
      </c>
      <c r="W285" s="20" t="n">
        <v>71.2</v>
      </c>
      <c r="X285" s="20" t="n">
        <v>58</v>
      </c>
      <c r="Y285" s="40">
        <f>ROUND((V285*'Methodology &amp; Assumptions'!$B$6)+(W285*'Methodology &amp; Assumptions'!$B$5)+(X285*'Methodology &amp; Assumptions'!$B$7), 2)</f>
        <v/>
      </c>
    </row>
    <row r="286" ht="19" customHeight="1">
      <c r="A286" s="41" t="n">
        <v>282</v>
      </c>
      <c r="B286" s="41" t="n">
        <v>3282</v>
      </c>
      <c r="C286" s="42" t="inlineStr">
        <is>
          <t>0401005071</t>
        </is>
      </c>
      <c r="D286" s="42" t="inlineStr">
        <is>
          <t>Region IV-A (CALABARZON)</t>
        </is>
      </c>
      <c r="E286" s="42" t="inlineStr">
        <is>
          <t>Batangas</t>
        </is>
      </c>
      <c r="F286" s="42" t="inlineStr">
        <is>
          <t>Batangas City</t>
        </is>
      </c>
      <c r="G286" s="42" t="inlineStr">
        <is>
          <t>Barangay 24</t>
        </is>
      </c>
      <c r="H286" s="43" t="n">
        <v>13.757982</v>
      </c>
      <c r="I286" s="43" t="n">
        <v>121.054428</v>
      </c>
      <c r="J286" s="44" t="inlineStr">
        <is>
          <t>R</t>
        </is>
      </c>
      <c r="K286" s="42" t="inlineStr">
        <is>
          <t>Class 1-3 / Urban</t>
        </is>
      </c>
      <c r="L286" s="23" t="n">
        <v>1411</v>
      </c>
      <c r="M286" s="24" t="n">
        <v>4.62</v>
      </c>
      <c r="N286" s="23">
        <f>ROUND(L286/M286, 0)</f>
        <v/>
      </c>
      <c r="O286" s="23">
        <f>ROUND(N286*'Methodology &amp; Assumptions'!$B$8, 0)</f>
        <v/>
      </c>
      <c r="P286" s="44" t="inlineStr">
        <is>
          <t>Band n50 (1.5 GHz, 60 MHz)</t>
        </is>
      </c>
      <c r="Q286" s="38">
        <f>ROUNDUP(O286/'Methodology &amp; Assumptions'!$B$9, 0)</f>
        <v/>
      </c>
      <c r="R286" s="39" t="n">
        <v>1</v>
      </c>
      <c r="S286" s="25" t="n">
        <v>0.55</v>
      </c>
      <c r="T286" s="25" t="n">
        <v>0.45</v>
      </c>
      <c r="U286" s="42" t="inlineStr">
        <is>
          <t>Tier 1A (Direct Coloc, &lt;1 km)</t>
        </is>
      </c>
      <c r="V286" s="24" t="n">
        <v>93.2</v>
      </c>
      <c r="W286" s="24" t="n">
        <v>48.5</v>
      </c>
      <c r="X286" s="24" t="n">
        <v>58</v>
      </c>
      <c r="Y286" s="45">
        <f>ROUND((V286*'Methodology &amp; Assumptions'!$B$6)+(W286*'Methodology &amp; Assumptions'!$B$5)+(X286*'Methodology &amp; Assumptions'!$B$7), 2)</f>
        <v/>
      </c>
    </row>
    <row r="287" ht="19" customHeight="1">
      <c r="A287" s="35" t="n">
        <v>283</v>
      </c>
      <c r="B287" s="35" t="n">
        <v>3283</v>
      </c>
      <c r="C287" s="36" t="inlineStr">
        <is>
          <t>0301403014</t>
        </is>
      </c>
      <c r="D287" s="36" t="inlineStr">
        <is>
          <t>Region III (Central Luzon)</t>
        </is>
      </c>
      <c r="E287" s="36" t="inlineStr">
        <is>
          <t>Bulacan</t>
        </is>
      </c>
      <c r="F287" s="36" t="inlineStr">
        <is>
          <t>Baliuag</t>
        </is>
      </c>
      <c r="G287" s="36" t="inlineStr">
        <is>
          <t>Poblacion</t>
        </is>
      </c>
      <c r="H287" s="37" t="n">
        <v>14.952963</v>
      </c>
      <c r="I287" s="37" t="n">
        <v>120.902644</v>
      </c>
      <c r="J287" s="8" t="inlineStr">
        <is>
          <t>U</t>
        </is>
      </c>
      <c r="K287" s="36" t="inlineStr">
        <is>
          <t>Class 1-3 / Urban</t>
        </is>
      </c>
      <c r="L287" s="18" t="n">
        <v>10573</v>
      </c>
      <c r="M287" s="20" t="n">
        <v>4.1</v>
      </c>
      <c r="N287" s="18">
        <f>ROUND(L287/M287, 0)</f>
        <v/>
      </c>
      <c r="O287" s="18">
        <f>ROUND(N287*'Methodology &amp; Assumptions'!$B$8, 0)</f>
        <v/>
      </c>
      <c r="P287" s="8" t="inlineStr">
        <is>
          <t>Band n50 (1.5 GHz, 60 MHz)</t>
        </is>
      </c>
      <c r="Q287" s="38">
        <f>ROUNDUP(O287/'Methodology &amp; Assumptions'!$B$9, 0)</f>
        <v/>
      </c>
      <c r="R287" s="39" t="n">
        <v>1</v>
      </c>
      <c r="S287" s="21" t="n">
        <v>1.66</v>
      </c>
      <c r="T287" s="21" t="n">
        <v>0.1</v>
      </c>
      <c r="U287" s="36" t="inlineStr">
        <is>
          <t>Tier 1B (Micro Drop, 1-3 km)</t>
        </is>
      </c>
      <c r="V287" s="20" t="n">
        <v>67.5</v>
      </c>
      <c r="W287" s="20" t="n">
        <v>100</v>
      </c>
      <c r="X287" s="20" t="n">
        <v>28</v>
      </c>
      <c r="Y287" s="40">
        <f>ROUND((V287*'Methodology &amp; Assumptions'!$B$6)+(W287*'Methodology &amp; Assumptions'!$B$5)+(X287*'Methodology &amp; Assumptions'!$B$7), 2)</f>
        <v/>
      </c>
    </row>
    <row r="288" ht="19" customHeight="1">
      <c r="A288" s="41" t="n">
        <v>284</v>
      </c>
      <c r="B288" s="41" t="n">
        <v>3284</v>
      </c>
      <c r="C288" s="42" t="inlineStr">
        <is>
          <t>0305416030</t>
        </is>
      </c>
      <c r="D288" s="42" t="inlineStr">
        <is>
          <t>Region III (Central Luzon)</t>
        </is>
      </c>
      <c r="E288" s="42" t="inlineStr">
        <is>
          <t>Pampanga</t>
        </is>
      </c>
      <c r="F288" s="42" t="inlineStr">
        <is>
          <t>City of San Fernando</t>
        </is>
      </c>
      <c r="G288" s="42" t="inlineStr">
        <is>
          <t>San Nicolas</t>
        </is>
      </c>
      <c r="H288" s="43" t="n">
        <v>15.127921</v>
      </c>
      <c r="I288" s="43" t="n">
        <v>120.775933</v>
      </c>
      <c r="J288" s="44" t="inlineStr">
        <is>
          <t>U</t>
        </is>
      </c>
      <c r="K288" s="42" t="inlineStr">
        <is>
          <t>Class 1-3 / Urban</t>
        </is>
      </c>
      <c r="L288" s="23" t="n">
        <v>9899</v>
      </c>
      <c r="M288" s="24" t="n">
        <v>4.63</v>
      </c>
      <c r="N288" s="23">
        <f>ROUND(L288/M288, 0)</f>
        <v/>
      </c>
      <c r="O288" s="23">
        <f>ROUND(N288*'Methodology &amp; Assumptions'!$B$8, 0)</f>
        <v/>
      </c>
      <c r="P288" s="44" t="inlineStr">
        <is>
          <t>Band n50 (1.5 GHz, 60 MHz)</t>
        </is>
      </c>
      <c r="Q288" s="38">
        <f>ROUNDUP(O288/'Methodology &amp; Assumptions'!$B$9, 0)</f>
        <v/>
      </c>
      <c r="R288" s="39" t="n">
        <v>1</v>
      </c>
      <c r="S288" s="25" t="n">
        <v>1.66</v>
      </c>
      <c r="T288" s="25" t="n">
        <v>0.05</v>
      </c>
      <c r="U288" s="42" t="inlineStr">
        <is>
          <t>Tier 1B (Micro Drop, 1-3 km)</t>
        </is>
      </c>
      <c r="V288" s="24" t="n">
        <v>67.5</v>
      </c>
      <c r="W288" s="24" t="n">
        <v>100</v>
      </c>
      <c r="X288" s="24" t="n">
        <v>28</v>
      </c>
      <c r="Y288" s="45">
        <f>ROUND((V288*'Methodology &amp; Assumptions'!$B$6)+(W288*'Methodology &amp; Assumptions'!$B$5)+(X288*'Methodology &amp; Assumptions'!$B$7), 2)</f>
        <v/>
      </c>
    </row>
    <row r="289" ht="19" customHeight="1">
      <c r="A289" s="35" t="n">
        <v>285</v>
      </c>
      <c r="B289" s="35" t="n">
        <v>3285</v>
      </c>
      <c r="C289" s="36" t="inlineStr">
        <is>
          <t>0631000022</t>
        </is>
      </c>
      <c r="D289" s="36" t="inlineStr">
        <is>
          <t>Region VI (Western Visayas)</t>
        </is>
      </c>
      <c r="E289" s="36" t="inlineStr">
        <is>
          <t>Iloilo</t>
        </is>
      </c>
      <c r="F289" s="36" t="inlineStr">
        <is>
          <t>City of Iloilo</t>
        </is>
      </c>
      <c r="G289" s="36" t="inlineStr">
        <is>
          <t>Bonifacio Tanza</t>
        </is>
      </c>
      <c r="H289" s="37" t="n">
        <v>10.691816</v>
      </c>
      <c r="I289" s="37" t="n">
        <v>122.559003</v>
      </c>
      <c r="J289" s="8" t="inlineStr">
        <is>
          <t>R</t>
        </is>
      </c>
      <c r="K289" s="36" t="inlineStr">
        <is>
          <t>Class 1-3 / Urban</t>
        </is>
      </c>
      <c r="L289" s="18" t="n">
        <v>2881</v>
      </c>
      <c r="M289" s="20" t="n">
        <v>4.39</v>
      </c>
      <c r="N289" s="18">
        <f>ROUND(L289/M289, 0)</f>
        <v/>
      </c>
      <c r="O289" s="18">
        <f>ROUND(N289*'Methodology &amp; Assumptions'!$B$8, 0)</f>
        <v/>
      </c>
      <c r="P289" s="8" t="inlineStr">
        <is>
          <t>Band n50 (1.5 GHz, 60 MHz)</t>
        </is>
      </c>
      <c r="Q289" s="38">
        <f>ROUNDUP(O289/'Methodology &amp; Assumptions'!$B$9, 0)</f>
        <v/>
      </c>
      <c r="R289" s="39" t="n">
        <v>1</v>
      </c>
      <c r="S289" s="21" t="n">
        <v>1.78</v>
      </c>
      <c r="T289" s="21" t="n">
        <v>1.53</v>
      </c>
      <c r="U289" s="36" t="inlineStr">
        <is>
          <t>Tier 1B (Micro Drop, 1-3 km)</t>
        </is>
      </c>
      <c r="V289" s="20" t="n">
        <v>65.2</v>
      </c>
      <c r="W289" s="20" t="n">
        <v>76.5</v>
      </c>
      <c r="X289" s="20" t="n">
        <v>58</v>
      </c>
      <c r="Y289" s="40">
        <f>ROUND((V289*'Methodology &amp; Assumptions'!$B$6)+(W289*'Methodology &amp; Assumptions'!$B$5)+(X289*'Methodology &amp; Assumptions'!$B$7), 2)</f>
        <v/>
      </c>
    </row>
    <row r="290" ht="19" customHeight="1">
      <c r="A290" s="41" t="n">
        <v>286</v>
      </c>
      <c r="B290" s="41" t="n">
        <v>3286</v>
      </c>
      <c r="C290" s="42" t="inlineStr">
        <is>
          <t>0604526006</t>
        </is>
      </c>
      <c r="D290" s="42" t="inlineStr">
        <is>
          <t>Region VI (Western Visayas)</t>
        </is>
      </c>
      <c r="E290" s="42" t="inlineStr">
        <is>
          <t>Negros Occidental</t>
        </is>
      </c>
      <c r="F290" s="42" t="inlineStr">
        <is>
          <t>City of Silay</t>
        </is>
      </c>
      <c r="G290" s="42" t="inlineStr">
        <is>
          <t>Barangay V</t>
        </is>
      </c>
      <c r="H290" s="43" t="n">
        <v>10.787962</v>
      </c>
      <c r="I290" s="43" t="n">
        <v>122.976282</v>
      </c>
      <c r="J290" s="44" t="inlineStr">
        <is>
          <t>U</t>
        </is>
      </c>
      <c r="K290" s="42" t="inlineStr">
        <is>
          <t>Class 1-3 / Urban</t>
        </is>
      </c>
      <c r="L290" s="23" t="n">
        <v>8226</v>
      </c>
      <c r="M290" s="24" t="n">
        <v>4.33</v>
      </c>
      <c r="N290" s="23">
        <f>ROUND(L290/M290, 0)</f>
        <v/>
      </c>
      <c r="O290" s="23">
        <f>ROUND(N290*'Methodology &amp; Assumptions'!$B$8, 0)</f>
        <v/>
      </c>
      <c r="P290" s="44" t="inlineStr">
        <is>
          <t>Band n50 (1.5 GHz, 60 MHz)</t>
        </is>
      </c>
      <c r="Q290" s="38">
        <f>ROUNDUP(O290/'Methodology &amp; Assumptions'!$B$9, 0)</f>
        <v/>
      </c>
      <c r="R290" s="39" t="n">
        <v>1</v>
      </c>
      <c r="S290" s="25" t="n">
        <v>1.66</v>
      </c>
      <c r="T290" s="25" t="n">
        <v>0.63</v>
      </c>
      <c r="U290" s="42" t="inlineStr">
        <is>
          <t>Tier 1B (Micro Drop, 1-3 km)</t>
        </is>
      </c>
      <c r="V290" s="24" t="n">
        <v>67.40000000000001</v>
      </c>
      <c r="W290" s="24" t="n">
        <v>100</v>
      </c>
      <c r="X290" s="24" t="n">
        <v>28</v>
      </c>
      <c r="Y290" s="45">
        <f>ROUND((V290*'Methodology &amp; Assumptions'!$B$6)+(W290*'Methodology &amp; Assumptions'!$B$5)+(X290*'Methodology &amp; Assumptions'!$B$7), 2)</f>
        <v/>
      </c>
    </row>
    <row r="291" ht="19" customHeight="1">
      <c r="A291" s="35" t="n">
        <v>287</v>
      </c>
      <c r="B291" s="35" t="n">
        <v>3287</v>
      </c>
      <c r="C291" s="36" t="inlineStr">
        <is>
          <t>0504111004</t>
        </is>
      </c>
      <c r="D291" s="36" t="inlineStr">
        <is>
          <t>Region V (Bicol Region)</t>
        </is>
      </c>
      <c r="E291" s="36" t="inlineStr">
        <is>
          <t>Masbate</t>
        </is>
      </c>
      <c r="F291" s="36" t="inlineStr">
        <is>
          <t>City of Masbate</t>
        </is>
      </c>
      <c r="G291" s="36" t="inlineStr">
        <is>
          <t>Bagumbayan</t>
        </is>
      </c>
      <c r="H291" s="37" t="n">
        <v>12.372428</v>
      </c>
      <c r="I291" s="37" t="n">
        <v>123.616998</v>
      </c>
      <c r="J291" s="8" t="inlineStr">
        <is>
          <t>U</t>
        </is>
      </c>
      <c r="K291" s="36" t="inlineStr">
        <is>
          <t>Class 1-3 / Urban</t>
        </is>
      </c>
      <c r="L291" s="18" t="n">
        <v>5663</v>
      </c>
      <c r="M291" s="20" t="n">
        <v>4.6</v>
      </c>
      <c r="N291" s="18">
        <f>ROUND(L291/M291, 0)</f>
        <v/>
      </c>
      <c r="O291" s="18">
        <f>ROUND(N291*'Methodology &amp; Assumptions'!$B$8, 0)</f>
        <v/>
      </c>
      <c r="P291" s="8" t="inlineStr">
        <is>
          <t>Band n50 (1.5 GHz, 60 MHz)</t>
        </is>
      </c>
      <c r="Q291" s="38">
        <f>ROUNDUP(O291/'Methodology &amp; Assumptions'!$B$9, 0)</f>
        <v/>
      </c>
      <c r="R291" s="39" t="n">
        <v>1</v>
      </c>
      <c r="S291" s="21" t="n">
        <v>1.66</v>
      </c>
      <c r="T291" s="21" t="n">
        <v>0.8100000000000001</v>
      </c>
      <c r="U291" s="36" t="inlineStr">
        <is>
          <t>Tier 1B (Micro Drop, 1-3 km)</t>
        </is>
      </c>
      <c r="V291" s="20" t="n">
        <v>67.40000000000001</v>
      </c>
      <c r="W291" s="20" t="n">
        <v>100</v>
      </c>
      <c r="X291" s="20" t="n">
        <v>28</v>
      </c>
      <c r="Y291" s="40">
        <f>ROUND((V291*'Methodology &amp; Assumptions'!$B$6)+(W291*'Methodology &amp; Assumptions'!$B$5)+(X291*'Methodology &amp; Assumptions'!$B$7), 2)</f>
        <v/>
      </c>
    </row>
    <row r="292" ht="19" customHeight="1">
      <c r="A292" s="41" t="n">
        <v>288</v>
      </c>
      <c r="B292" s="41" t="n">
        <v>3288</v>
      </c>
      <c r="C292" s="42" t="inlineStr">
        <is>
          <t>0105541006</t>
        </is>
      </c>
      <c r="D292" s="42" t="inlineStr">
        <is>
          <t>Region I (Ilocos Region)</t>
        </is>
      </c>
      <c r="E292" s="42" t="inlineStr">
        <is>
          <t>Pangasinan</t>
        </is>
      </c>
      <c r="F292" s="42" t="inlineStr">
        <is>
          <t>Sison</t>
        </is>
      </c>
      <c r="G292" s="42" t="inlineStr">
        <is>
          <t>Asan Sur</t>
        </is>
      </c>
      <c r="H292" s="43" t="n">
        <v>16.154446</v>
      </c>
      <c r="I292" s="43" t="n">
        <v>120.519753</v>
      </c>
      <c r="J292" s="44" t="inlineStr">
        <is>
          <t>R</t>
        </is>
      </c>
      <c r="K292" s="42" t="inlineStr">
        <is>
          <t>Class 1-3 / Urban</t>
        </is>
      </c>
      <c r="L292" s="23" t="n">
        <v>4122</v>
      </c>
      <c r="M292" s="24" t="n">
        <v>4.39</v>
      </c>
      <c r="N292" s="23">
        <f>ROUND(L292/M292, 0)</f>
        <v/>
      </c>
      <c r="O292" s="23">
        <f>ROUND(N292*'Methodology &amp; Assumptions'!$B$8, 0)</f>
        <v/>
      </c>
      <c r="P292" s="44" t="inlineStr">
        <is>
          <t>Band n50 (1.5 GHz, 60 MHz)</t>
        </is>
      </c>
      <c r="Q292" s="38">
        <f>ROUNDUP(O292/'Methodology &amp; Assumptions'!$B$9, 0)</f>
        <v/>
      </c>
      <c r="R292" s="39" t="n">
        <v>1</v>
      </c>
      <c r="S292" s="25" t="n">
        <v>4.89</v>
      </c>
      <c r="T292" s="25" t="n">
        <v>0.29</v>
      </c>
      <c r="U292" s="42" t="inlineStr">
        <is>
          <t>Tier 2 (Fiber Corridor / Lateral, 3-5 km)</t>
        </is>
      </c>
      <c r="V292" s="24" t="n">
        <v>29.6</v>
      </c>
      <c r="W292" s="24" t="n">
        <v>99.2</v>
      </c>
      <c r="X292" s="24" t="n">
        <v>73</v>
      </c>
      <c r="Y292" s="45">
        <f>ROUND((V292*'Methodology &amp; Assumptions'!$B$6)+(W292*'Methodology &amp; Assumptions'!$B$5)+(X292*'Methodology &amp; Assumptions'!$B$7), 2)</f>
        <v/>
      </c>
    </row>
    <row r="293" ht="19" customHeight="1">
      <c r="A293" s="35" t="n">
        <v>289</v>
      </c>
      <c r="B293" s="35" t="n">
        <v>3289</v>
      </c>
      <c r="C293" s="36" t="inlineStr">
        <is>
          <t>0105533025</t>
        </is>
      </c>
      <c r="D293" s="36" t="inlineStr">
        <is>
          <t>Region I (Ilocos Region)</t>
        </is>
      </c>
      <c r="E293" s="36" t="inlineStr">
        <is>
          <t>Pangasinan</t>
        </is>
      </c>
      <c r="F293" s="36" t="inlineStr">
        <is>
          <t>San Fabian</t>
        </is>
      </c>
      <c r="G293" s="36" t="inlineStr">
        <is>
          <t>Tocok</t>
        </is>
      </c>
      <c r="H293" s="37" t="n">
        <v>16.13631</v>
      </c>
      <c r="I293" s="37" t="n">
        <v>120.4151</v>
      </c>
      <c r="J293" s="8" t="inlineStr">
        <is>
          <t>R</t>
        </is>
      </c>
      <c r="K293" s="36" t="inlineStr">
        <is>
          <t>Class 1-3 / Urban</t>
        </is>
      </c>
      <c r="L293" s="18" t="n">
        <v>3777</v>
      </c>
      <c r="M293" s="20" t="n">
        <v>4.39</v>
      </c>
      <c r="N293" s="18">
        <f>ROUND(L293/M293, 0)</f>
        <v/>
      </c>
      <c r="O293" s="18">
        <f>ROUND(N293*'Methodology &amp; Assumptions'!$B$8, 0)</f>
        <v/>
      </c>
      <c r="P293" s="8" t="inlineStr">
        <is>
          <t>Band n50 (1.5 GHz, 60 MHz)</t>
        </is>
      </c>
      <c r="Q293" s="38">
        <f>ROUNDUP(O293/'Methodology &amp; Assumptions'!$B$9, 0)</f>
        <v/>
      </c>
      <c r="R293" s="39" t="n">
        <v>1</v>
      </c>
      <c r="S293" s="21" t="n">
        <v>2.83</v>
      </c>
      <c r="T293" s="21" t="n">
        <v>0.04</v>
      </c>
      <c r="U293" s="36" t="inlineStr">
        <is>
          <t>Tier 1B (Micro Drop, 1-3 km)</t>
        </is>
      </c>
      <c r="V293" s="20" t="n">
        <v>48.9</v>
      </c>
      <c r="W293" s="20" t="n">
        <v>92.8</v>
      </c>
      <c r="X293" s="20" t="n">
        <v>58</v>
      </c>
      <c r="Y293" s="40">
        <f>ROUND((V293*'Methodology &amp; Assumptions'!$B$6)+(W293*'Methodology &amp; Assumptions'!$B$5)+(X293*'Methodology &amp; Assumptions'!$B$7), 2)</f>
        <v/>
      </c>
    </row>
    <row r="294" ht="19" customHeight="1">
      <c r="A294" s="41" t="n">
        <v>290</v>
      </c>
      <c r="B294" s="41" t="n">
        <v>3290</v>
      </c>
      <c r="C294" s="42" t="inlineStr">
        <is>
          <t>0401023039</t>
        </is>
      </c>
      <c r="D294" s="42" t="inlineStr">
        <is>
          <t>Region IV-A (CALABARZON)</t>
        </is>
      </c>
      <c r="E294" s="42" t="inlineStr">
        <is>
          <t>Batangas</t>
        </is>
      </c>
      <c r="F294" s="42" t="inlineStr">
        <is>
          <t>San Juan</t>
        </is>
      </c>
      <c r="G294" s="42" t="inlineStr">
        <is>
          <t>Talahiban I</t>
        </is>
      </c>
      <c r="H294" s="43" t="n">
        <v>13.808794</v>
      </c>
      <c r="I294" s="43" t="n">
        <v>121.393173</v>
      </c>
      <c r="J294" s="44" t="inlineStr">
        <is>
          <t>R</t>
        </is>
      </c>
      <c r="K294" s="42" t="inlineStr">
        <is>
          <t>Class 1-3 / Urban</t>
        </is>
      </c>
      <c r="L294" s="23" t="n">
        <v>2608</v>
      </c>
      <c r="M294" s="24" t="n">
        <v>4.62</v>
      </c>
      <c r="N294" s="23">
        <f>ROUND(L294/M294, 0)</f>
        <v/>
      </c>
      <c r="O294" s="23">
        <f>ROUND(N294*'Methodology &amp; Assumptions'!$B$8, 0)</f>
        <v/>
      </c>
      <c r="P294" s="44" t="inlineStr">
        <is>
          <t>Band n50 (1.5 GHz, 60 MHz)</t>
        </is>
      </c>
      <c r="Q294" s="38">
        <f>ROUNDUP(O294/'Methodology &amp; Assumptions'!$B$9, 0)</f>
        <v/>
      </c>
      <c r="R294" s="39" t="n">
        <v>1</v>
      </c>
      <c r="S294" s="25" t="n">
        <v>1.42</v>
      </c>
      <c r="T294" s="25" t="n">
        <v>0.8100000000000001</v>
      </c>
      <c r="U294" s="42" t="inlineStr">
        <is>
          <t>Tier 1B (Micro Drop, 1-3 km)</t>
        </is>
      </c>
      <c r="V294" s="24" t="n">
        <v>72.3</v>
      </c>
      <c r="W294" s="24" t="n">
        <v>69.3</v>
      </c>
      <c r="X294" s="24" t="n">
        <v>58</v>
      </c>
      <c r="Y294" s="45">
        <f>ROUND((V294*'Methodology &amp; Assumptions'!$B$6)+(W294*'Methodology &amp; Assumptions'!$B$5)+(X294*'Methodology &amp; Assumptions'!$B$7), 2)</f>
        <v/>
      </c>
    </row>
    <row r="295" ht="19" customHeight="1">
      <c r="A295" s="35" t="n">
        <v>291</v>
      </c>
      <c r="B295" s="35" t="n">
        <v>3291</v>
      </c>
      <c r="C295" s="36" t="inlineStr">
        <is>
          <t>1731500051</t>
        </is>
      </c>
      <c r="D295" s="36" t="inlineStr">
        <is>
          <t>MIMAROPA Region</t>
        </is>
      </c>
      <c r="E295" s="36" t="inlineStr">
        <is>
          <t>Palawan</t>
        </is>
      </c>
      <c r="F295" s="36" t="inlineStr">
        <is>
          <t>City of Puerto Princesa</t>
        </is>
      </c>
      <c r="G295" s="36" t="inlineStr">
        <is>
          <t>Santa Lourdes</t>
        </is>
      </c>
      <c r="H295" s="37" t="n">
        <v>9.832083000000001</v>
      </c>
      <c r="I295" s="37" t="n">
        <v>118.722442</v>
      </c>
      <c r="J295" s="8" t="inlineStr">
        <is>
          <t>U</t>
        </is>
      </c>
      <c r="K295" s="36" t="inlineStr">
        <is>
          <t>Class 1-3 / Urban</t>
        </is>
      </c>
      <c r="L295" s="18" t="n">
        <v>8186</v>
      </c>
      <c r="M295" s="20" t="n">
        <v>4.35</v>
      </c>
      <c r="N295" s="18">
        <f>ROUND(L295/M295, 0)</f>
        <v/>
      </c>
      <c r="O295" s="18">
        <f>ROUND(N295*'Methodology &amp; Assumptions'!$B$8, 0)</f>
        <v/>
      </c>
      <c r="P295" s="8" t="inlineStr">
        <is>
          <t>Band n50 (1.5 GHz, 60 MHz)</t>
        </is>
      </c>
      <c r="Q295" s="38">
        <f>ROUNDUP(O295/'Methodology &amp; Assumptions'!$B$9, 0)</f>
        <v/>
      </c>
      <c r="R295" s="39" t="n">
        <v>1</v>
      </c>
      <c r="S295" s="21" t="n">
        <v>1.67</v>
      </c>
      <c r="T295" s="21" t="n">
        <v>1.74</v>
      </c>
      <c r="U295" s="36" t="inlineStr">
        <is>
          <t>Tier 1B (Micro Drop, 1-3 km)</t>
        </is>
      </c>
      <c r="V295" s="20" t="n">
        <v>67.40000000000001</v>
      </c>
      <c r="W295" s="20" t="n">
        <v>100</v>
      </c>
      <c r="X295" s="20" t="n">
        <v>28</v>
      </c>
      <c r="Y295" s="40">
        <f>ROUND((V295*'Methodology &amp; Assumptions'!$B$6)+(W295*'Methodology &amp; Assumptions'!$B$5)+(X295*'Methodology &amp; Assumptions'!$B$7), 2)</f>
        <v/>
      </c>
    </row>
    <row r="296" ht="19" customHeight="1">
      <c r="A296" s="41" t="n">
        <v>292</v>
      </c>
      <c r="B296" s="41" t="n">
        <v>3292</v>
      </c>
      <c r="C296" s="42" t="inlineStr">
        <is>
          <t>0504117025</t>
        </is>
      </c>
      <c r="D296" s="42" t="inlineStr">
        <is>
          <t>Region V (Bicol Region)</t>
        </is>
      </c>
      <c r="E296" s="42" t="inlineStr">
        <is>
          <t>Masbate</t>
        </is>
      </c>
      <c r="F296" s="42" t="inlineStr">
        <is>
          <t>Placer</t>
        </is>
      </c>
      <c r="G296" s="42" t="inlineStr">
        <is>
          <t>Pasiagon</t>
        </is>
      </c>
      <c r="H296" s="43" t="n">
        <v>11.874923</v>
      </c>
      <c r="I296" s="43" t="n">
        <v>123.892257</v>
      </c>
      <c r="J296" s="44" t="inlineStr">
        <is>
          <t>R</t>
        </is>
      </c>
      <c r="K296" s="42" t="inlineStr">
        <is>
          <t>Class 1-3 / Urban</t>
        </is>
      </c>
      <c r="L296" s="23" t="n">
        <v>3795</v>
      </c>
      <c r="M296" s="24" t="n">
        <v>4.6</v>
      </c>
      <c r="N296" s="23">
        <f>ROUND(L296/M296, 0)</f>
        <v/>
      </c>
      <c r="O296" s="23">
        <f>ROUND(N296*'Methodology &amp; Assumptions'!$B$8, 0)</f>
        <v/>
      </c>
      <c r="P296" s="44" t="inlineStr">
        <is>
          <t>Band n50 (1.5 GHz, 60 MHz)</t>
        </is>
      </c>
      <c r="Q296" s="38">
        <f>ROUNDUP(O296/'Methodology &amp; Assumptions'!$B$9, 0)</f>
        <v/>
      </c>
      <c r="R296" s="39" t="n">
        <v>1</v>
      </c>
      <c r="S296" s="25" t="n">
        <v>1.99</v>
      </c>
      <c r="T296" s="25" t="n">
        <v>39.9</v>
      </c>
      <c r="U296" s="42" t="inlineStr">
        <is>
          <t>Tier 1B (Micro Drop, 1-3 km)</t>
        </is>
      </c>
      <c r="V296" s="24" t="n">
        <v>51.5</v>
      </c>
      <c r="W296" s="24" t="n">
        <v>90.09999999999999</v>
      </c>
      <c r="X296" s="24" t="n">
        <v>58</v>
      </c>
      <c r="Y296" s="45">
        <f>ROUND((V296*'Methodology &amp; Assumptions'!$B$6)+(W296*'Methodology &amp; Assumptions'!$B$5)+(X296*'Methodology &amp; Assumptions'!$B$7), 2)</f>
        <v/>
      </c>
    </row>
    <row r="297" ht="19" customHeight="1">
      <c r="A297" s="35" t="n">
        <v>293</v>
      </c>
      <c r="B297" s="35" t="n">
        <v>3293</v>
      </c>
      <c r="C297" s="36" t="inlineStr">
        <is>
          <t>0603045046</t>
        </is>
      </c>
      <c r="D297" s="36" t="inlineStr">
        <is>
          <t>Region VI (Western Visayas)</t>
        </is>
      </c>
      <c r="E297" s="36" t="inlineStr">
        <is>
          <t>Iloilo</t>
        </is>
      </c>
      <c r="F297" s="36" t="inlineStr">
        <is>
          <t>Tigbauan</t>
        </is>
      </c>
      <c r="G297" s="36" t="inlineStr">
        <is>
          <t>Parara Sur</t>
        </is>
      </c>
      <c r="H297" s="37" t="n">
        <v>10.672648</v>
      </c>
      <c r="I297" s="37" t="n">
        <v>122.367243</v>
      </c>
      <c r="J297" s="8" t="inlineStr">
        <is>
          <t>R</t>
        </is>
      </c>
      <c r="K297" s="36" t="inlineStr">
        <is>
          <t>Class 1-3 / Urban</t>
        </is>
      </c>
      <c r="L297" s="18" t="n">
        <v>2776</v>
      </c>
      <c r="M297" s="20" t="n">
        <v>4.39</v>
      </c>
      <c r="N297" s="18">
        <f>ROUND(L297/M297, 0)</f>
        <v/>
      </c>
      <c r="O297" s="18">
        <f>ROUND(N297*'Methodology &amp; Assumptions'!$B$8, 0)</f>
        <v/>
      </c>
      <c r="P297" s="8" t="inlineStr">
        <is>
          <t>Band n50 (1.5 GHz, 60 MHz)</t>
        </is>
      </c>
      <c r="Q297" s="38">
        <f>ROUNDUP(O297/'Methodology &amp; Assumptions'!$B$9, 0)</f>
        <v/>
      </c>
      <c r="R297" s="39" t="n">
        <v>1</v>
      </c>
      <c r="S297" s="21" t="n">
        <v>1.69</v>
      </c>
      <c r="T297" s="21" t="n">
        <v>0.12</v>
      </c>
      <c r="U297" s="36" t="inlineStr">
        <is>
          <t>Tier 1B (Micro Drop, 1-3 km)</t>
        </is>
      </c>
      <c r="V297" s="20" t="n">
        <v>67</v>
      </c>
      <c r="W297" s="20" t="n">
        <v>74.7</v>
      </c>
      <c r="X297" s="20" t="n">
        <v>58</v>
      </c>
      <c r="Y297" s="40">
        <f>ROUND((V297*'Methodology &amp; Assumptions'!$B$6)+(W297*'Methodology &amp; Assumptions'!$B$5)+(X297*'Methodology &amp; Assumptions'!$B$7), 2)</f>
        <v/>
      </c>
    </row>
    <row r="298" ht="19" customHeight="1">
      <c r="A298" s="41" t="n">
        <v>294</v>
      </c>
      <c r="B298" s="41" t="n">
        <v>3294</v>
      </c>
      <c r="C298" s="42" t="inlineStr">
        <is>
          <t>0401009011</t>
        </is>
      </c>
      <c r="D298" s="42" t="inlineStr">
        <is>
          <t>Region IV-A (CALABARZON)</t>
        </is>
      </c>
      <c r="E298" s="42" t="inlineStr">
        <is>
          <t>Batangas</t>
        </is>
      </c>
      <c r="F298" s="42" t="inlineStr">
        <is>
          <t>Cuenca</t>
        </is>
      </c>
      <c r="G298" s="42" t="inlineStr">
        <is>
          <t>Labac</t>
        </is>
      </c>
      <c r="H298" s="43" t="n">
        <v>13.896364</v>
      </c>
      <c r="I298" s="43" t="n">
        <v>121.059709</v>
      </c>
      <c r="J298" s="44" t="inlineStr">
        <is>
          <t>R</t>
        </is>
      </c>
      <c r="K298" s="42" t="inlineStr">
        <is>
          <t>2nd</t>
        </is>
      </c>
      <c r="L298" s="23" t="n">
        <v>2220</v>
      </c>
      <c r="M298" s="24" t="n">
        <v>4.54</v>
      </c>
      <c r="N298" s="23">
        <f>ROUND(L298/M298, 0)</f>
        <v/>
      </c>
      <c r="O298" s="23">
        <f>ROUND(N298*'Methodology &amp; Assumptions'!$B$8, 0)</f>
        <v/>
      </c>
      <c r="P298" s="44" t="inlineStr">
        <is>
          <t>Band n50 (1.5 GHz, 60 MHz)</t>
        </is>
      </c>
      <c r="Q298" s="38">
        <f>ROUNDUP(O298/'Methodology &amp; Assumptions'!$B$9, 0)</f>
        <v/>
      </c>
      <c r="R298" s="39" t="n">
        <v>1</v>
      </c>
      <c r="S298" s="25" t="n">
        <v>1.14</v>
      </c>
      <c r="T298" s="25" t="n">
        <v>0.54</v>
      </c>
      <c r="U298" s="42" t="inlineStr">
        <is>
          <t>Tier 1B (Micro Drop, 1-3 km)</t>
        </is>
      </c>
      <c r="V298" s="24" t="n">
        <v>78.5</v>
      </c>
      <c r="W298" s="24" t="n">
        <v>63.2</v>
      </c>
      <c r="X298" s="24" t="n">
        <v>58</v>
      </c>
      <c r="Y298" s="45">
        <f>ROUND((V298*'Methodology &amp; Assumptions'!$B$6)+(W298*'Methodology &amp; Assumptions'!$B$5)+(X298*'Methodology &amp; Assumptions'!$B$7), 2)</f>
        <v/>
      </c>
    </row>
    <row r="299" ht="19" customHeight="1">
      <c r="A299" s="35" t="n">
        <v>295</v>
      </c>
      <c r="B299" s="35" t="n">
        <v>3295</v>
      </c>
      <c r="C299" s="36" t="inlineStr">
        <is>
          <t>0304932021</t>
        </is>
      </c>
      <c r="D299" s="36" t="inlineStr">
        <is>
          <t>Region III (Central Luzon)</t>
        </is>
      </c>
      <c r="E299" s="36" t="inlineStr">
        <is>
          <t>Nueva Ecija</t>
        </is>
      </c>
      <c r="F299" s="36" t="inlineStr">
        <is>
          <t>Zaragoza</t>
        </is>
      </c>
      <c r="G299" s="36" t="inlineStr">
        <is>
          <t>San Rafael</t>
        </is>
      </c>
      <c r="H299" s="37" t="n">
        <v>15.456944</v>
      </c>
      <c r="I299" s="37" t="n">
        <v>120.790556</v>
      </c>
      <c r="J299" s="8" t="inlineStr">
        <is>
          <t>R</t>
        </is>
      </c>
      <c r="K299" s="36" t="inlineStr">
        <is>
          <t>Class 1-3 / Urban</t>
        </is>
      </c>
      <c r="L299" s="18" t="n">
        <v>1366</v>
      </c>
      <c r="M299" s="20" t="n">
        <v>4.32</v>
      </c>
      <c r="N299" s="18">
        <f>ROUND(L299/M299, 0)</f>
        <v/>
      </c>
      <c r="O299" s="18">
        <f>ROUND(N299*'Methodology &amp; Assumptions'!$B$8, 0)</f>
        <v/>
      </c>
      <c r="P299" s="8" t="inlineStr">
        <is>
          <t>Band n50 (1.5 GHz, 60 MHz)</t>
        </is>
      </c>
      <c r="Q299" s="38">
        <f>ROUNDUP(O299/'Methodology &amp; Assumptions'!$B$9, 0)</f>
        <v/>
      </c>
      <c r="R299" s="39" t="n">
        <v>1</v>
      </c>
      <c r="S299" s="21" t="n">
        <v>0.58</v>
      </c>
      <c r="T299" s="21" t="n">
        <v>0.86</v>
      </c>
      <c r="U299" s="36" t="inlineStr">
        <is>
          <t>Tier 1A (Direct Coloc, &lt;1 km)</t>
        </is>
      </c>
      <c r="V299" s="20" t="n">
        <v>92.3</v>
      </c>
      <c r="W299" s="20" t="n">
        <v>49.3</v>
      </c>
      <c r="X299" s="20" t="n">
        <v>58</v>
      </c>
      <c r="Y299" s="40">
        <f>ROUND((V299*'Methodology &amp; Assumptions'!$B$6)+(W299*'Methodology &amp; Assumptions'!$B$5)+(X299*'Methodology &amp; Assumptions'!$B$7), 2)</f>
        <v/>
      </c>
    </row>
    <row r="300" ht="19" customHeight="1">
      <c r="A300" s="41" t="n">
        <v>296</v>
      </c>
      <c r="B300" s="41" t="n">
        <v>3296</v>
      </c>
      <c r="C300" s="42" t="inlineStr">
        <is>
          <t>0306907019</t>
        </is>
      </c>
      <c r="D300" s="42" t="inlineStr">
        <is>
          <t>Region III (Central Luzon)</t>
        </is>
      </c>
      <c r="E300" s="42" t="inlineStr">
        <is>
          <t>Tarlac</t>
        </is>
      </c>
      <c r="F300" s="42" t="inlineStr">
        <is>
          <t>La Paz</t>
        </is>
      </c>
      <c r="G300" s="42" t="inlineStr">
        <is>
          <t>San Isidro</t>
        </is>
      </c>
      <c r="H300" s="43" t="n">
        <v>15.441885</v>
      </c>
      <c r="I300" s="43" t="n">
        <v>120.727567</v>
      </c>
      <c r="J300" s="44" t="inlineStr">
        <is>
          <t>U</t>
        </is>
      </c>
      <c r="K300" s="42" t="inlineStr">
        <is>
          <t>Class 1-3 / Urban</t>
        </is>
      </c>
      <c r="L300" s="23" t="n">
        <v>3615</v>
      </c>
      <c r="M300" s="24" t="n">
        <v>4.3</v>
      </c>
      <c r="N300" s="23">
        <f>ROUND(L300/M300, 0)</f>
        <v/>
      </c>
      <c r="O300" s="23">
        <f>ROUND(N300*'Methodology &amp; Assumptions'!$B$8, 0)</f>
        <v/>
      </c>
      <c r="P300" s="44" t="inlineStr">
        <is>
          <t>Band n50 (1.5 GHz, 60 MHz)</t>
        </is>
      </c>
      <c r="Q300" s="38">
        <f>ROUNDUP(O300/'Methodology &amp; Assumptions'!$B$9, 0)</f>
        <v/>
      </c>
      <c r="R300" s="39" t="n">
        <v>1</v>
      </c>
      <c r="S300" s="25" t="n">
        <v>1.24</v>
      </c>
      <c r="T300" s="25" t="n">
        <v>0.16</v>
      </c>
      <c r="U300" s="42" t="inlineStr">
        <is>
          <t>Tier 1B (Micro Drop, 1-3 km)</t>
        </is>
      </c>
      <c r="V300" s="24" t="n">
        <v>76.2</v>
      </c>
      <c r="W300" s="24" t="n">
        <v>91.2</v>
      </c>
      <c r="X300" s="24" t="n">
        <v>28</v>
      </c>
      <c r="Y300" s="45">
        <f>ROUND((V300*'Methodology &amp; Assumptions'!$B$6)+(W300*'Methodology &amp; Assumptions'!$B$5)+(X300*'Methodology &amp; Assumptions'!$B$7), 2)</f>
        <v/>
      </c>
    </row>
    <row r="301" ht="19" customHeight="1">
      <c r="A301" s="35" t="n">
        <v>297</v>
      </c>
      <c r="B301" s="35" t="n">
        <v>3297</v>
      </c>
      <c r="C301" s="36" t="inlineStr">
        <is>
          <t>0105540009</t>
        </is>
      </c>
      <c r="D301" s="36" t="inlineStr">
        <is>
          <t>Region I (Ilocos Region)</t>
        </is>
      </c>
      <c r="E301" s="36" t="inlineStr">
        <is>
          <t>Pangasinan</t>
        </is>
      </c>
      <c r="F301" s="36" t="inlineStr">
        <is>
          <t>Santo Tomas</t>
        </is>
      </c>
      <c r="G301" s="36" t="inlineStr">
        <is>
          <t>Santo Domingo</t>
        </is>
      </c>
      <c r="H301" s="37" t="n">
        <v>15.711944</v>
      </c>
      <c r="I301" s="37" t="n">
        <v>120.584722</v>
      </c>
      <c r="J301" s="8" t="inlineStr">
        <is>
          <t>R</t>
        </is>
      </c>
      <c r="K301" s="36" t="inlineStr">
        <is>
          <t>4th</t>
        </is>
      </c>
      <c r="L301" s="18" t="n">
        <v>1584</v>
      </c>
      <c r="M301" s="20" t="n">
        <v>4.45</v>
      </c>
      <c r="N301" s="18">
        <f>ROUND(L301/M301, 0)</f>
        <v/>
      </c>
      <c r="O301" s="18">
        <f>ROUND(N301*'Methodology &amp; Assumptions'!$B$8, 0)</f>
        <v/>
      </c>
      <c r="P301" s="8" t="inlineStr">
        <is>
          <t>Band n50 (1.5 GHz, 60 MHz)</t>
        </is>
      </c>
      <c r="Q301" s="38">
        <f>ROUNDUP(O301/'Methodology &amp; Assumptions'!$B$9, 0)</f>
        <v/>
      </c>
      <c r="R301" s="39" t="n">
        <v>1</v>
      </c>
      <c r="S301" s="21" t="n">
        <v>1.67</v>
      </c>
      <c r="T301" s="21" t="n">
        <v>0.67</v>
      </c>
      <c r="U301" s="36" t="inlineStr">
        <is>
          <t>Tier 1B (Micro Drop, 1-3 km)</t>
        </is>
      </c>
      <c r="V301" s="20" t="n">
        <v>67.2</v>
      </c>
      <c r="W301" s="20" t="n">
        <v>52.5</v>
      </c>
      <c r="X301" s="20" t="n">
        <v>83.5</v>
      </c>
      <c r="Y301" s="40">
        <f>ROUND((V301*'Methodology &amp; Assumptions'!$B$6)+(W301*'Methodology &amp; Assumptions'!$B$5)+(X301*'Methodology &amp; Assumptions'!$B$7), 2)</f>
        <v/>
      </c>
    </row>
    <row r="302" ht="19" customHeight="1">
      <c r="A302" s="41" t="n">
        <v>298</v>
      </c>
      <c r="B302" s="41" t="n">
        <v>3298</v>
      </c>
      <c r="C302" s="42" t="inlineStr">
        <is>
          <t>0401001022</t>
        </is>
      </c>
      <c r="D302" s="42" t="inlineStr">
        <is>
          <t>Region IV-A (CALABARZON)</t>
        </is>
      </c>
      <c r="E302" s="42" t="inlineStr">
        <is>
          <t>Batangas</t>
        </is>
      </c>
      <c r="F302" s="42" t="inlineStr">
        <is>
          <t>Agoncillo</t>
        </is>
      </c>
      <c r="G302" s="42" t="inlineStr">
        <is>
          <t>Subic Ilaya</t>
        </is>
      </c>
      <c r="H302" s="43" t="n">
        <v>13.950718</v>
      </c>
      <c r="I302" s="43" t="n">
        <v>120.941037</v>
      </c>
      <c r="J302" s="44" t="inlineStr">
        <is>
          <t>R</t>
        </is>
      </c>
      <c r="K302" s="42" t="inlineStr">
        <is>
          <t>2nd</t>
        </is>
      </c>
      <c r="L302" s="23" t="n">
        <v>3658</v>
      </c>
      <c r="M302" s="24" t="n">
        <v>4.86</v>
      </c>
      <c r="N302" s="23">
        <f>ROUND(L302/M302, 0)</f>
        <v/>
      </c>
      <c r="O302" s="23">
        <f>ROUND(N302*'Methodology &amp; Assumptions'!$B$8, 0)</f>
        <v/>
      </c>
      <c r="P302" s="44" t="inlineStr">
        <is>
          <t>Band n50 (1.5 GHz, 60 MHz)</t>
        </is>
      </c>
      <c r="Q302" s="38">
        <f>ROUNDUP(O302/'Methodology &amp; Assumptions'!$B$9, 0)</f>
        <v/>
      </c>
      <c r="R302" s="39" t="n">
        <v>1</v>
      </c>
      <c r="S302" s="25" t="n">
        <v>1.67</v>
      </c>
      <c r="T302" s="25" t="n">
        <v>6.25</v>
      </c>
      <c r="U302" s="42" t="inlineStr">
        <is>
          <t>Tier 1B (Micro Drop, 1-3 km)</t>
        </is>
      </c>
      <c r="V302" s="24" t="n">
        <v>57.3</v>
      </c>
      <c r="W302" s="24" t="n">
        <v>84.3</v>
      </c>
      <c r="X302" s="24" t="n">
        <v>58</v>
      </c>
      <c r="Y302" s="45">
        <f>ROUND((V302*'Methodology &amp; Assumptions'!$B$6)+(W302*'Methodology &amp; Assumptions'!$B$5)+(X302*'Methodology &amp; Assumptions'!$B$7), 2)</f>
        <v/>
      </c>
    </row>
    <row r="303" ht="19" customHeight="1">
      <c r="A303" s="35" t="n">
        <v>299</v>
      </c>
      <c r="B303" s="35" t="n">
        <v>3299</v>
      </c>
      <c r="C303" s="36" t="inlineStr">
        <is>
          <t>0301412005</t>
        </is>
      </c>
      <c r="D303" s="36" t="inlineStr">
        <is>
          <t>Region III (Central Luzon)</t>
        </is>
      </c>
      <c r="E303" s="36" t="inlineStr">
        <is>
          <t>Bulacan</t>
        </is>
      </c>
      <c r="F303" s="36" t="inlineStr">
        <is>
          <t>City of Meycauayan</t>
        </is>
      </c>
      <c r="G303" s="36" t="inlineStr">
        <is>
          <t>Bayugo</t>
        </is>
      </c>
      <c r="H303" s="37" t="n">
        <v>14.732762</v>
      </c>
      <c r="I303" s="37" t="n">
        <v>120.954051</v>
      </c>
      <c r="J303" s="8" t="inlineStr">
        <is>
          <t>U</t>
        </is>
      </c>
      <c r="K303" s="36" t="inlineStr">
        <is>
          <t>Class 1-3 / Urban</t>
        </is>
      </c>
      <c r="L303" s="18" t="n">
        <v>19195</v>
      </c>
      <c r="M303" s="20" t="n">
        <v>4.1</v>
      </c>
      <c r="N303" s="18">
        <f>ROUND(L303/M303, 0)</f>
        <v/>
      </c>
      <c r="O303" s="18">
        <f>ROUND(N303*'Methodology &amp; Assumptions'!$B$8, 0)</f>
        <v/>
      </c>
      <c r="P303" s="8" t="inlineStr">
        <is>
          <t>Band n50 (1.5 GHz, 60 MHz)</t>
        </is>
      </c>
      <c r="Q303" s="38">
        <f>ROUNDUP(O303/'Methodology &amp; Assumptions'!$B$9, 0)</f>
        <v/>
      </c>
      <c r="R303" s="39" t="n">
        <v>1</v>
      </c>
      <c r="S303" s="21" t="n">
        <v>1.67</v>
      </c>
      <c r="T303" s="21" t="n">
        <v>0.8</v>
      </c>
      <c r="U303" s="36" t="inlineStr">
        <is>
          <t>Tier 1B (Micro Drop, 1-3 km)</t>
        </is>
      </c>
      <c r="V303" s="20" t="n">
        <v>67.3</v>
      </c>
      <c r="W303" s="20" t="n">
        <v>100</v>
      </c>
      <c r="X303" s="20" t="n">
        <v>28</v>
      </c>
      <c r="Y303" s="40">
        <f>ROUND((V303*'Methodology &amp; Assumptions'!$B$6)+(W303*'Methodology &amp; Assumptions'!$B$5)+(X303*'Methodology &amp; Assumptions'!$B$7), 2)</f>
        <v/>
      </c>
    </row>
    <row r="304" ht="19" customHeight="1">
      <c r="A304" s="41" t="n">
        <v>300</v>
      </c>
      <c r="B304" s="41" t="n">
        <v>3300</v>
      </c>
      <c r="C304" s="42" t="inlineStr">
        <is>
          <t>0301410038</t>
        </is>
      </c>
      <c r="D304" s="42" t="inlineStr">
        <is>
          <t>Region III (Central Luzon)</t>
        </is>
      </c>
      <c r="E304" s="42" t="inlineStr">
        <is>
          <t>Bulacan</t>
        </is>
      </c>
      <c r="F304" s="42" t="inlineStr">
        <is>
          <t>City of Malolos</t>
        </is>
      </c>
      <c r="G304" s="42" t="inlineStr">
        <is>
          <t>Panasahan</t>
        </is>
      </c>
      <c r="H304" s="43" t="n">
        <v>14.822372</v>
      </c>
      <c r="I304" s="43" t="n">
        <v>120.827878</v>
      </c>
      <c r="J304" s="44" t="inlineStr">
        <is>
          <t>U</t>
        </is>
      </c>
      <c r="K304" s="42" t="inlineStr">
        <is>
          <t>Class 1-3 / Urban</t>
        </is>
      </c>
      <c r="L304" s="23" t="n">
        <v>9484</v>
      </c>
      <c r="M304" s="24" t="n">
        <v>4.1</v>
      </c>
      <c r="N304" s="23">
        <f>ROUND(L304/M304, 0)</f>
        <v/>
      </c>
      <c r="O304" s="23">
        <f>ROUND(N304*'Methodology &amp; Assumptions'!$B$8, 0)</f>
        <v/>
      </c>
      <c r="P304" s="44" t="inlineStr">
        <is>
          <t>Band n50 (1.5 GHz, 60 MHz)</t>
        </is>
      </c>
      <c r="Q304" s="38">
        <f>ROUNDUP(O304/'Methodology &amp; Assumptions'!$B$9, 0)</f>
        <v/>
      </c>
      <c r="R304" s="39" t="n">
        <v>1</v>
      </c>
      <c r="S304" s="25" t="n">
        <v>1.19</v>
      </c>
      <c r="T304" s="25" t="n">
        <v>2.7</v>
      </c>
      <c r="U304" s="42" t="inlineStr">
        <is>
          <t>Tier 1B (Micro Drop, 1-3 km)</t>
        </is>
      </c>
      <c r="V304" s="24" t="n">
        <v>67.3</v>
      </c>
      <c r="W304" s="24" t="n">
        <v>100</v>
      </c>
      <c r="X304" s="24" t="n">
        <v>28</v>
      </c>
      <c r="Y304" s="45">
        <f>ROUND((V304*'Methodology &amp; Assumptions'!$B$6)+(W304*'Methodology &amp; Assumptions'!$B$5)+(X304*'Methodology &amp; Assumptions'!$B$7), 2)</f>
        <v/>
      </c>
    </row>
    <row r="305" ht="19" customHeight="1">
      <c r="A305" s="35" t="n">
        <v>301</v>
      </c>
      <c r="B305" s="35" t="n">
        <v>3301</v>
      </c>
      <c r="C305" s="36" t="inlineStr">
        <is>
          <t>0301404003</t>
        </is>
      </c>
      <c r="D305" s="36" t="inlineStr">
        <is>
          <t>Region III (Central Luzon)</t>
        </is>
      </c>
      <c r="E305" s="36" t="inlineStr">
        <is>
          <t>Bulacan</t>
        </is>
      </c>
      <c r="F305" s="36" t="inlineStr">
        <is>
          <t>Bocaue</t>
        </is>
      </c>
      <c r="G305" s="36" t="inlineStr">
        <is>
          <t>Bambang</t>
        </is>
      </c>
      <c r="H305" s="37" t="n">
        <v>14.791964</v>
      </c>
      <c r="I305" s="37" t="n">
        <v>120.926997</v>
      </c>
      <c r="J305" s="8" t="inlineStr">
        <is>
          <t>U</t>
        </is>
      </c>
      <c r="K305" s="36" t="inlineStr">
        <is>
          <t>Class 1-3 / Urban</t>
        </is>
      </c>
      <c r="L305" s="18" t="n">
        <v>8841</v>
      </c>
      <c r="M305" s="20" t="n">
        <v>4.1</v>
      </c>
      <c r="N305" s="18">
        <f>ROUND(L305/M305, 0)</f>
        <v/>
      </c>
      <c r="O305" s="18">
        <f>ROUND(N305*'Methodology &amp; Assumptions'!$B$8, 0)</f>
        <v/>
      </c>
      <c r="P305" s="8" t="inlineStr">
        <is>
          <t>Band n50 (1.5 GHz, 60 MHz)</t>
        </is>
      </c>
      <c r="Q305" s="38">
        <f>ROUNDUP(O305/'Methodology &amp; Assumptions'!$B$9, 0)</f>
        <v/>
      </c>
      <c r="R305" s="39" t="n">
        <v>1</v>
      </c>
      <c r="S305" s="21" t="n">
        <v>1.67</v>
      </c>
      <c r="T305" s="21" t="n">
        <v>0.42</v>
      </c>
      <c r="U305" s="36" t="inlineStr">
        <is>
          <t>Tier 1B (Micro Drop, 1-3 km)</t>
        </is>
      </c>
      <c r="V305" s="20" t="n">
        <v>67.3</v>
      </c>
      <c r="W305" s="20" t="n">
        <v>100</v>
      </c>
      <c r="X305" s="20" t="n">
        <v>28</v>
      </c>
      <c r="Y305" s="40">
        <f>ROUND((V305*'Methodology &amp; Assumptions'!$B$6)+(W305*'Methodology &amp; Assumptions'!$B$5)+(X305*'Methodology &amp; Assumptions'!$B$7), 2)</f>
        <v/>
      </c>
    </row>
    <row r="306" ht="19" customHeight="1">
      <c r="A306" s="41" t="n">
        <v>302</v>
      </c>
      <c r="B306" s="41" t="n">
        <v>3302</v>
      </c>
      <c r="C306" s="42" t="inlineStr">
        <is>
          <t>0402109082</t>
        </is>
      </c>
      <c r="D306" s="42" t="inlineStr">
        <is>
          <t>Region IV-A (CALABARZON)</t>
        </is>
      </c>
      <c r="E306" s="42" t="inlineStr">
        <is>
          <t>Cavite</t>
        </is>
      </c>
      <c r="F306" s="42" t="inlineStr">
        <is>
          <t>City of Imus</t>
        </is>
      </c>
      <c r="G306" s="42" t="inlineStr">
        <is>
          <t>Palico II</t>
        </is>
      </c>
      <c r="H306" s="43" t="n">
        <v>14.429092</v>
      </c>
      <c r="I306" s="43" t="n">
        <v>120.941593</v>
      </c>
      <c r="J306" s="44" t="inlineStr">
        <is>
          <t>R</t>
        </is>
      </c>
      <c r="K306" s="42" t="inlineStr">
        <is>
          <t>Class 1-3 / Urban</t>
        </is>
      </c>
      <c r="L306" s="23" t="n">
        <v>1801</v>
      </c>
      <c r="M306" s="24" t="n">
        <v>4.49</v>
      </c>
      <c r="N306" s="23">
        <f>ROUND(L306/M306, 0)</f>
        <v/>
      </c>
      <c r="O306" s="23">
        <f>ROUND(N306*'Methodology &amp; Assumptions'!$B$8, 0)</f>
        <v/>
      </c>
      <c r="P306" s="44" t="inlineStr">
        <is>
          <t>Band n50 (1.5 GHz, 60 MHz)</t>
        </is>
      </c>
      <c r="Q306" s="38">
        <f>ROUNDUP(O306/'Methodology &amp; Assumptions'!$B$9, 0)</f>
        <v/>
      </c>
      <c r="R306" s="39" t="n">
        <v>1</v>
      </c>
      <c r="S306" s="25" t="n">
        <v>0.47</v>
      </c>
      <c r="T306" s="25" t="n">
        <v>2.05</v>
      </c>
      <c r="U306" s="42" t="inlineStr">
        <is>
          <t>Tier 1A (Direct Coloc, &lt;1 km)</t>
        </is>
      </c>
      <c r="V306" s="24" t="n">
        <v>85.59999999999999</v>
      </c>
      <c r="W306" s="24" t="n">
        <v>56</v>
      </c>
      <c r="X306" s="24" t="n">
        <v>58</v>
      </c>
      <c r="Y306" s="45">
        <f>ROUND((V306*'Methodology &amp; Assumptions'!$B$6)+(W306*'Methodology &amp; Assumptions'!$B$5)+(X306*'Methodology &amp; Assumptions'!$B$7), 2)</f>
        <v/>
      </c>
    </row>
    <row r="307" ht="19" customHeight="1">
      <c r="A307" s="35" t="n">
        <v>303</v>
      </c>
      <c r="B307" s="35" t="n">
        <v>3303</v>
      </c>
      <c r="C307" s="36" t="inlineStr">
        <is>
          <t>1402705009</t>
        </is>
      </c>
      <c r="D307" s="36" t="inlineStr">
        <is>
          <t>Cordillera Administrative Region (CAR)</t>
        </is>
      </c>
      <c r="E307" s="36" t="inlineStr">
        <is>
          <t>Ifugao</t>
        </is>
      </c>
      <c r="F307" s="36" t="inlineStr">
        <is>
          <t>Lamut</t>
        </is>
      </c>
      <c r="G307" s="36" t="inlineStr">
        <is>
          <t>Nayon</t>
        </is>
      </c>
      <c r="H307" s="37" t="n">
        <v>16.719487</v>
      </c>
      <c r="I307" s="37" t="n">
        <v>121.172704</v>
      </c>
      <c r="J307" s="8" t="inlineStr">
        <is>
          <t>R</t>
        </is>
      </c>
      <c r="K307" s="36" t="inlineStr">
        <is>
          <t>2nd</t>
        </is>
      </c>
      <c r="L307" s="18" t="n">
        <v>1219</v>
      </c>
      <c r="M307" s="20" t="n">
        <v>4.51</v>
      </c>
      <c r="N307" s="18">
        <f>ROUND(L307/M307, 0)</f>
        <v/>
      </c>
      <c r="O307" s="18">
        <f>ROUND(N307*'Methodology &amp; Assumptions'!$B$8, 0)</f>
        <v/>
      </c>
      <c r="P307" s="8" t="inlineStr">
        <is>
          <t>Band n50 (1.5 GHz, 60 MHz)</t>
        </is>
      </c>
      <c r="Q307" s="38">
        <f>ROUNDUP(O307/'Methodology &amp; Assumptions'!$B$9, 0)</f>
        <v/>
      </c>
      <c r="R307" s="39" t="n">
        <v>1</v>
      </c>
      <c r="S307" s="21" t="n">
        <v>0.08</v>
      </c>
      <c r="T307" s="21" t="n">
        <v>0.07000000000000001</v>
      </c>
      <c r="U307" s="36" t="inlineStr">
        <is>
          <t>Tier 1A (Direct Coloc, &lt;1 km)</t>
        </is>
      </c>
      <c r="V307" s="20" t="n">
        <v>100</v>
      </c>
      <c r="W307" s="20" t="n">
        <v>41.6</v>
      </c>
      <c r="X307" s="20" t="n">
        <v>58</v>
      </c>
      <c r="Y307" s="40">
        <f>ROUND((V307*'Methodology &amp; Assumptions'!$B$6)+(W307*'Methodology &amp; Assumptions'!$B$5)+(X307*'Methodology &amp; Assumptions'!$B$7), 2)</f>
        <v/>
      </c>
    </row>
    <row r="308" ht="19" customHeight="1">
      <c r="A308" s="41" t="n">
        <v>304</v>
      </c>
      <c r="B308" s="41" t="n">
        <v>3304</v>
      </c>
      <c r="C308" s="42" t="inlineStr">
        <is>
          <t>0205005015</t>
        </is>
      </c>
      <c r="D308" s="42" t="inlineStr">
        <is>
          <t>Region II (Cagayan Valley)</t>
        </is>
      </c>
      <c r="E308" s="42" t="inlineStr">
        <is>
          <t>Nueva Vizcaya</t>
        </is>
      </c>
      <c r="F308" s="42" t="inlineStr">
        <is>
          <t>Bayombong</t>
        </is>
      </c>
      <c r="G308" s="42" t="inlineStr">
        <is>
          <t>Don Tomas Maddela Pob.</t>
        </is>
      </c>
      <c r="H308" s="43" t="n">
        <v>16.483814</v>
      </c>
      <c r="I308" s="43" t="n">
        <v>121.147412</v>
      </c>
      <c r="J308" s="44" t="inlineStr">
        <is>
          <t>R</t>
        </is>
      </c>
      <c r="K308" s="42" t="inlineStr">
        <is>
          <t>Class 1-3 / Urban</t>
        </is>
      </c>
      <c r="L308" s="23" t="n">
        <v>1096</v>
      </c>
      <c r="M308" s="24" t="n">
        <v>4.19</v>
      </c>
      <c r="N308" s="23">
        <f>ROUND(L308/M308, 0)</f>
        <v/>
      </c>
      <c r="O308" s="23">
        <f>ROUND(N308*'Methodology &amp; Assumptions'!$B$8, 0)</f>
        <v/>
      </c>
      <c r="P308" s="44" t="inlineStr">
        <is>
          <t>Band n50 (1.5 GHz, 60 MHz)</t>
        </is>
      </c>
      <c r="Q308" s="38">
        <f>ROUNDUP(O308/'Methodology &amp; Assumptions'!$B$9, 0)</f>
        <v/>
      </c>
      <c r="R308" s="39" t="n">
        <v>1</v>
      </c>
      <c r="S308" s="25" t="n">
        <v>0.43</v>
      </c>
      <c r="T308" s="25" t="n">
        <v>0.4</v>
      </c>
      <c r="U308" s="42" t="inlineStr">
        <is>
          <t>Tier 1A (Direct Coloc, &lt;1 km)</t>
        </is>
      </c>
      <c r="V308" s="24" t="n">
        <v>96.5</v>
      </c>
      <c r="W308" s="24" t="n">
        <v>45.1</v>
      </c>
      <c r="X308" s="24" t="n">
        <v>58</v>
      </c>
      <c r="Y308" s="45">
        <f>ROUND((V308*'Methodology &amp; Assumptions'!$B$6)+(W308*'Methodology &amp; Assumptions'!$B$5)+(X308*'Methodology &amp; Assumptions'!$B$7), 2)</f>
        <v/>
      </c>
    </row>
    <row r="309" ht="19" customHeight="1">
      <c r="A309" s="35" t="n">
        <v>305</v>
      </c>
      <c r="B309" s="35" t="n">
        <v>3305</v>
      </c>
      <c r="C309" s="36" t="inlineStr">
        <is>
          <t>1108204011</t>
        </is>
      </c>
      <c r="D309" s="36" t="inlineStr">
        <is>
          <t>Region XI (Davao Region)</t>
        </is>
      </c>
      <c r="E309" s="36" t="inlineStr">
        <is>
          <t>Davao de Oro</t>
        </is>
      </c>
      <c r="F309" s="36" t="inlineStr">
        <is>
          <t>Maco</t>
        </is>
      </c>
      <c r="G309" s="36" t="inlineStr">
        <is>
          <t>Hijo</t>
        </is>
      </c>
      <c r="H309" s="37" t="n">
        <v>7.38543</v>
      </c>
      <c r="I309" s="37" t="n">
        <v>125.84435</v>
      </c>
      <c r="J309" s="8" t="inlineStr">
        <is>
          <t>R</t>
        </is>
      </c>
      <c r="K309" s="36" t="inlineStr">
        <is>
          <t>Class 1-3 / Urban</t>
        </is>
      </c>
      <c r="L309" s="18" t="n">
        <v>4219</v>
      </c>
      <c r="M309" s="20" t="n">
        <v>4.1</v>
      </c>
      <c r="N309" s="18">
        <f>ROUND(L309/M309, 0)</f>
        <v/>
      </c>
      <c r="O309" s="18">
        <f>ROUND(N309*'Methodology &amp; Assumptions'!$B$8, 0)</f>
        <v/>
      </c>
      <c r="P309" s="8" t="inlineStr">
        <is>
          <t>Band n50 (1.5 GHz, 60 MHz)</t>
        </is>
      </c>
      <c r="Q309" s="38">
        <f>ROUNDUP(O309/'Methodology &amp; Assumptions'!$B$9, 0)</f>
        <v/>
      </c>
      <c r="R309" s="39" t="n">
        <v>1</v>
      </c>
      <c r="S309" s="21" t="n">
        <v>3.46</v>
      </c>
      <c r="T309" s="21" t="n">
        <v>0.71</v>
      </c>
      <c r="U309" s="36" t="inlineStr">
        <is>
          <t>Tier 2 (Fiber Corridor / Lateral, 3-5 km)</t>
        </is>
      </c>
      <c r="V309" s="20" t="n">
        <v>41.6</v>
      </c>
      <c r="W309" s="20" t="n">
        <v>100</v>
      </c>
      <c r="X309" s="20" t="n">
        <v>58</v>
      </c>
      <c r="Y309" s="40">
        <f>ROUND((V309*'Methodology &amp; Assumptions'!$B$6)+(W309*'Methodology &amp; Assumptions'!$B$5)+(X309*'Methodology &amp; Assumptions'!$B$7), 2)</f>
        <v/>
      </c>
    </row>
    <row r="310" ht="19" customHeight="1">
      <c r="A310" s="41" t="n">
        <v>306</v>
      </c>
      <c r="B310" s="41" t="n">
        <v>3306</v>
      </c>
      <c r="C310" s="42" t="inlineStr">
        <is>
          <t>0403424006</t>
        </is>
      </c>
      <c r="D310" s="42" t="inlineStr">
        <is>
          <t>Region IV-A (CALABARZON)</t>
        </is>
      </c>
      <c r="E310" s="42" t="inlineStr">
        <is>
          <t>Laguna</t>
        </is>
      </c>
      <c r="F310" s="42" t="inlineStr">
        <is>
          <t>City of San Pablo</t>
        </is>
      </c>
      <c r="G310" s="42" t="inlineStr">
        <is>
          <t>Barangay II-B</t>
        </is>
      </c>
      <c r="H310" s="43" t="n">
        <v>14.063262</v>
      </c>
      <c r="I310" s="43" t="n">
        <v>121.321543</v>
      </c>
      <c r="J310" s="44" t="inlineStr">
        <is>
          <t>R</t>
        </is>
      </c>
      <c r="K310" s="42" t="inlineStr">
        <is>
          <t>Class 1-3 / Urban</t>
        </is>
      </c>
      <c r="L310" s="23" t="n">
        <v>1853</v>
      </c>
      <c r="M310" s="24" t="n">
        <v>4.2</v>
      </c>
      <c r="N310" s="23">
        <f>ROUND(L310/M310, 0)</f>
        <v/>
      </c>
      <c r="O310" s="23">
        <f>ROUND(N310*'Methodology &amp; Assumptions'!$B$8, 0)</f>
        <v/>
      </c>
      <c r="P310" s="44" t="inlineStr">
        <is>
          <t>Band n50 (1.5 GHz, 60 MHz)</t>
        </is>
      </c>
      <c r="Q310" s="38">
        <f>ROUNDUP(O310/'Methodology &amp; Assumptions'!$B$9, 0)</f>
        <v/>
      </c>
      <c r="R310" s="39" t="n">
        <v>1</v>
      </c>
      <c r="S310" s="25" t="n">
        <v>0.97</v>
      </c>
      <c r="T310" s="25" t="n">
        <v>0.22</v>
      </c>
      <c r="U310" s="42" t="inlineStr">
        <is>
          <t>Tier 1A (Direct Coloc, &lt;1 km)</t>
        </is>
      </c>
      <c r="V310" s="24" t="n">
        <v>82.40000000000001</v>
      </c>
      <c r="W310" s="24" t="n">
        <v>59.2</v>
      </c>
      <c r="X310" s="24" t="n">
        <v>58</v>
      </c>
      <c r="Y310" s="45">
        <f>ROUND((V310*'Methodology &amp; Assumptions'!$B$6)+(W310*'Methodology &amp; Assumptions'!$B$5)+(X310*'Methodology &amp; Assumptions'!$B$7), 2)</f>
        <v/>
      </c>
    </row>
    <row r="311" ht="19" customHeight="1">
      <c r="A311" s="35" t="n">
        <v>307</v>
      </c>
      <c r="B311" s="35" t="n">
        <v>3307</v>
      </c>
      <c r="C311" s="36" t="inlineStr">
        <is>
          <t>0304931016</t>
        </is>
      </c>
      <c r="D311" s="36" t="inlineStr">
        <is>
          <t>Region III (Central Luzon)</t>
        </is>
      </c>
      <c r="E311" s="36" t="inlineStr">
        <is>
          <t>Nueva Ecija</t>
        </is>
      </c>
      <c r="F311" s="36" t="inlineStr">
        <is>
          <t>Talugtug</t>
        </is>
      </c>
      <c r="G311" s="36" t="inlineStr">
        <is>
          <t>Patola</t>
        </is>
      </c>
      <c r="H311" s="37" t="n">
        <v>15.585783</v>
      </c>
      <c r="I311" s="37" t="n">
        <v>120.924577</v>
      </c>
      <c r="J311" s="8" t="inlineStr">
        <is>
          <t>R</t>
        </is>
      </c>
      <c r="K311" s="36" t="inlineStr">
        <is>
          <t>3rd</t>
        </is>
      </c>
      <c r="L311" s="18" t="n">
        <v>1455</v>
      </c>
      <c r="M311" s="20" t="n">
        <v>4.09</v>
      </c>
      <c r="N311" s="18">
        <f>ROUND(L311/M311, 0)</f>
        <v/>
      </c>
      <c r="O311" s="18">
        <f>ROUND(N311*'Methodology &amp; Assumptions'!$B$8, 0)</f>
        <v/>
      </c>
      <c r="P311" s="8" t="inlineStr">
        <is>
          <t>Band n50 (1.5 GHz, 60 MHz)</t>
        </is>
      </c>
      <c r="Q311" s="38">
        <f>ROUNDUP(O311/'Methodology &amp; Assumptions'!$B$9, 0)</f>
        <v/>
      </c>
      <c r="R311" s="39" t="n">
        <v>1</v>
      </c>
      <c r="S311" s="21" t="n">
        <v>0.71</v>
      </c>
      <c r="T311" s="21" t="n">
        <v>0.52</v>
      </c>
      <c r="U311" s="36" t="inlineStr">
        <is>
          <t>Tier 1A (Direct Coloc, &lt;1 km)</t>
        </is>
      </c>
      <c r="V311" s="20" t="n">
        <v>89</v>
      </c>
      <c r="W311" s="20" t="n">
        <v>52.5</v>
      </c>
      <c r="X311" s="20" t="n">
        <v>58</v>
      </c>
      <c r="Y311" s="40">
        <f>ROUND((V311*'Methodology &amp; Assumptions'!$B$6)+(W311*'Methodology &amp; Assumptions'!$B$5)+(X311*'Methodology &amp; Assumptions'!$B$7), 2)</f>
        <v/>
      </c>
    </row>
    <row r="312" ht="19" customHeight="1">
      <c r="A312" s="41" t="n">
        <v>308</v>
      </c>
      <c r="B312" s="41" t="n">
        <v>3308</v>
      </c>
      <c r="C312" s="42" t="inlineStr">
        <is>
          <t>0405607017</t>
        </is>
      </c>
      <c r="D312" s="42" t="inlineStr">
        <is>
          <t>Region IV-A (CALABARZON)</t>
        </is>
      </c>
      <c r="E312" s="42" t="inlineStr">
        <is>
          <t>Quezon</t>
        </is>
      </c>
      <c r="F312" s="42" t="inlineStr">
        <is>
          <t>Calauag</t>
        </is>
      </c>
      <c r="G312" s="42" t="inlineStr">
        <is>
          <t>Barangay V</t>
        </is>
      </c>
      <c r="H312" s="43" t="n">
        <v>13.95804</v>
      </c>
      <c r="I312" s="43" t="n">
        <v>122.290467</v>
      </c>
      <c r="J312" s="44" t="inlineStr">
        <is>
          <t>R</t>
        </is>
      </c>
      <c r="K312" s="42" t="inlineStr">
        <is>
          <t>Class 1-3 / Urban</t>
        </is>
      </c>
      <c r="L312" s="23" t="n">
        <v>1076</v>
      </c>
      <c r="M312" s="24" t="n">
        <v>4.46</v>
      </c>
      <c r="N312" s="23">
        <f>ROUND(L312/M312, 0)</f>
        <v/>
      </c>
      <c r="O312" s="23">
        <f>ROUND(N312*'Methodology &amp; Assumptions'!$B$8, 0)</f>
        <v/>
      </c>
      <c r="P312" s="44" t="inlineStr">
        <is>
          <t>Band n50 (1.5 GHz, 60 MHz)</t>
        </is>
      </c>
      <c r="Q312" s="38">
        <f>ROUNDUP(O312/'Methodology &amp; Assumptions'!$B$9, 0)</f>
        <v/>
      </c>
      <c r="R312" s="39" t="n">
        <v>1</v>
      </c>
      <c r="S312" s="25" t="n">
        <v>0.37</v>
      </c>
      <c r="T312" s="25" t="n">
        <v>0.34</v>
      </c>
      <c r="U312" s="42" t="inlineStr">
        <is>
          <t>Tier 1A (Direct Coloc, &lt;1 km)</t>
        </is>
      </c>
      <c r="V312" s="24" t="n">
        <v>98.40000000000001</v>
      </c>
      <c r="W312" s="24" t="n">
        <v>43.2</v>
      </c>
      <c r="X312" s="24" t="n">
        <v>58</v>
      </c>
      <c r="Y312" s="45">
        <f>ROUND((V312*'Methodology &amp; Assumptions'!$B$6)+(W312*'Methodology &amp; Assumptions'!$B$5)+(X312*'Methodology &amp; Assumptions'!$B$7), 2)</f>
        <v/>
      </c>
    </row>
    <row r="313" ht="19" customHeight="1">
      <c r="A313" s="35" t="n">
        <v>309</v>
      </c>
      <c r="B313" s="35" t="n">
        <v>3309</v>
      </c>
      <c r="C313" s="36" t="inlineStr">
        <is>
          <t>1430300082</t>
        </is>
      </c>
      <c r="D313" s="36" t="inlineStr">
        <is>
          <t>Cordillera Administrative Region (CAR)</t>
        </is>
      </c>
      <c r="E313" s="36" t="inlineStr">
        <is>
          <t>Benguet</t>
        </is>
      </c>
      <c r="F313" s="36" t="inlineStr">
        <is>
          <t>City of Baguio</t>
        </is>
      </c>
      <c r="G313" s="36" t="inlineStr">
        <is>
          <t>Pacdal</t>
        </is>
      </c>
      <c r="H313" s="37" t="n">
        <v>16.41693</v>
      </c>
      <c r="I313" s="37" t="n">
        <v>120.61556</v>
      </c>
      <c r="J313" s="8" t="inlineStr">
        <is>
          <t>U</t>
        </is>
      </c>
      <c r="K313" s="36" t="inlineStr">
        <is>
          <t>Class 1-3 / Urban</t>
        </is>
      </c>
      <c r="L313" s="18" t="n">
        <v>7012</v>
      </c>
      <c r="M313" s="20" t="n">
        <v>4.58</v>
      </c>
      <c r="N313" s="18">
        <f>ROUND(L313/M313, 0)</f>
        <v/>
      </c>
      <c r="O313" s="18">
        <f>ROUND(N313*'Methodology &amp; Assumptions'!$B$8, 0)</f>
        <v/>
      </c>
      <c r="P313" s="8" t="inlineStr">
        <is>
          <t>Band n50 (1.5 GHz, 60 MHz)</t>
        </is>
      </c>
      <c r="Q313" s="38">
        <f>ROUNDUP(O313/'Methodology &amp; Assumptions'!$B$9, 0)</f>
        <v/>
      </c>
      <c r="R313" s="39" t="n">
        <v>1</v>
      </c>
      <c r="S313" s="21" t="n">
        <v>1.67</v>
      </c>
      <c r="T313" s="21" t="n">
        <v>0.1</v>
      </c>
      <c r="U313" s="36" t="inlineStr">
        <is>
          <t>Tier 1B (Micro Drop, 1-3 km)</t>
        </is>
      </c>
      <c r="V313" s="20" t="n">
        <v>67.3</v>
      </c>
      <c r="W313" s="20" t="n">
        <v>100</v>
      </c>
      <c r="X313" s="20" t="n">
        <v>28</v>
      </c>
      <c r="Y313" s="40">
        <f>ROUND((V313*'Methodology &amp; Assumptions'!$B$6)+(W313*'Methodology &amp; Assumptions'!$B$5)+(X313*'Methodology &amp; Assumptions'!$B$7), 2)</f>
        <v/>
      </c>
    </row>
    <row r="314" ht="19" customHeight="1">
      <c r="A314" s="41" t="n">
        <v>310</v>
      </c>
      <c r="B314" s="41" t="n">
        <v>3310</v>
      </c>
      <c r="C314" s="42" t="inlineStr">
        <is>
          <t>0731300018</t>
        </is>
      </c>
      <c r="D314" s="42" t="inlineStr">
        <is>
          <t>Region VII (Central Visayas)</t>
        </is>
      </c>
      <c r="E314" s="42" t="inlineStr">
        <is>
          <t>Cebu</t>
        </is>
      </c>
      <c r="F314" s="42" t="inlineStr">
        <is>
          <t>City of Mandaue</t>
        </is>
      </c>
      <c r="G314" s="42" t="inlineStr">
        <is>
          <t>Mantuyong</t>
        </is>
      </c>
      <c r="H314" s="43" t="n">
        <v>10.329338</v>
      </c>
      <c r="I314" s="43" t="n">
        <v>123.940696</v>
      </c>
      <c r="J314" s="44" t="inlineStr">
        <is>
          <t>U</t>
        </is>
      </c>
      <c r="K314" s="42" t="inlineStr">
        <is>
          <t>Class 1-3 / Urban</t>
        </is>
      </c>
      <c r="L314" s="23" t="n">
        <v>5487</v>
      </c>
      <c r="M314" s="24" t="n">
        <v>4.42</v>
      </c>
      <c r="N314" s="23">
        <f>ROUND(L314/M314, 0)</f>
        <v/>
      </c>
      <c r="O314" s="23">
        <f>ROUND(N314*'Methodology &amp; Assumptions'!$B$8, 0)</f>
        <v/>
      </c>
      <c r="P314" s="44" t="inlineStr">
        <is>
          <t>Band n50 (1.5 GHz, 60 MHz)</t>
        </is>
      </c>
      <c r="Q314" s="38">
        <f>ROUNDUP(O314/'Methodology &amp; Assumptions'!$B$9, 0)</f>
        <v/>
      </c>
      <c r="R314" s="39" t="n">
        <v>1</v>
      </c>
      <c r="S314" s="25" t="n">
        <v>1.67</v>
      </c>
      <c r="T314" s="25" t="n">
        <v>0.61</v>
      </c>
      <c r="U314" s="42" t="inlineStr">
        <is>
          <t>Tier 1B (Micro Drop, 1-3 km)</t>
        </is>
      </c>
      <c r="V314" s="24" t="n">
        <v>67.3</v>
      </c>
      <c r="W314" s="24" t="n">
        <v>100</v>
      </c>
      <c r="X314" s="24" t="n">
        <v>28</v>
      </c>
      <c r="Y314" s="45">
        <f>ROUND((V314*'Methodology &amp; Assumptions'!$B$6)+(W314*'Methodology &amp; Assumptions'!$B$5)+(X314*'Methodology &amp; Assumptions'!$B$7), 2)</f>
        <v/>
      </c>
    </row>
    <row r="315" ht="19" customHeight="1">
      <c r="A315" s="35" t="n">
        <v>311</v>
      </c>
      <c r="B315" s="35" t="n">
        <v>3311</v>
      </c>
      <c r="C315" s="36" t="inlineStr">
        <is>
          <t>0205005017</t>
        </is>
      </c>
      <c r="D315" s="36" t="inlineStr">
        <is>
          <t>Region II (Cagayan Valley)</t>
        </is>
      </c>
      <c r="E315" s="36" t="inlineStr">
        <is>
          <t>Nueva Vizcaya</t>
        </is>
      </c>
      <c r="F315" s="36" t="inlineStr">
        <is>
          <t>Bayombong</t>
        </is>
      </c>
      <c r="G315" s="36" t="inlineStr">
        <is>
          <t>District IV</t>
        </is>
      </c>
      <c r="H315" s="37" t="n">
        <v>16.484392</v>
      </c>
      <c r="I315" s="37" t="n">
        <v>121.159475</v>
      </c>
      <c r="J315" s="8" t="inlineStr">
        <is>
          <t>U</t>
        </is>
      </c>
      <c r="K315" s="36" t="inlineStr">
        <is>
          <t>Class 1-3 / Urban</t>
        </is>
      </c>
      <c r="L315" s="18" t="n">
        <v>3670</v>
      </c>
      <c r="M315" s="20" t="n">
        <v>4.19</v>
      </c>
      <c r="N315" s="18">
        <f>ROUND(L315/M315, 0)</f>
        <v/>
      </c>
      <c r="O315" s="18">
        <f>ROUND(N315*'Methodology &amp; Assumptions'!$B$8, 0)</f>
        <v/>
      </c>
      <c r="P315" s="8" t="inlineStr">
        <is>
          <t>Band n50 (1.5 GHz, 60 MHz)</t>
        </is>
      </c>
      <c r="Q315" s="38">
        <f>ROUNDUP(O315/'Methodology &amp; Assumptions'!$B$9, 0)</f>
        <v/>
      </c>
      <c r="R315" s="39" t="n">
        <v>1</v>
      </c>
      <c r="S315" s="21" t="n">
        <v>1.38</v>
      </c>
      <c r="T315" s="21" t="n">
        <v>0.77</v>
      </c>
      <c r="U315" s="36" t="inlineStr">
        <is>
          <t>Tier 1B (Micro Drop, 1-3 km)</t>
        </is>
      </c>
      <c r="V315" s="20" t="n">
        <v>73.2</v>
      </c>
      <c r="W315" s="20" t="n">
        <v>94.09999999999999</v>
      </c>
      <c r="X315" s="20" t="n">
        <v>28</v>
      </c>
      <c r="Y315" s="40">
        <f>ROUND((V315*'Methodology &amp; Assumptions'!$B$6)+(W315*'Methodology &amp; Assumptions'!$B$5)+(X315*'Methodology &amp; Assumptions'!$B$7), 2)</f>
        <v/>
      </c>
    </row>
    <row r="316" ht="19" customHeight="1">
      <c r="A316" s="41" t="n">
        <v>312</v>
      </c>
      <c r="B316" s="41" t="n">
        <v>3312</v>
      </c>
      <c r="C316" s="42" t="inlineStr">
        <is>
          <t>0601905006</t>
        </is>
      </c>
      <c r="D316" s="42" t="inlineStr">
        <is>
          <t>Region VI (Western Visayas)</t>
        </is>
      </c>
      <c r="E316" s="42" t="inlineStr">
        <is>
          <t>Capiz</t>
        </is>
      </c>
      <c r="F316" s="42" t="inlineStr">
        <is>
          <t>Ivisan</t>
        </is>
      </c>
      <c r="G316" s="42" t="inlineStr">
        <is>
          <t>Cudian</t>
        </is>
      </c>
      <c r="H316" s="43" t="n">
        <v>11.532569</v>
      </c>
      <c r="I316" s="43" t="n">
        <v>122.702068</v>
      </c>
      <c r="J316" s="44" t="inlineStr">
        <is>
          <t>R</t>
        </is>
      </c>
      <c r="K316" s="42" t="inlineStr">
        <is>
          <t>3rd</t>
        </is>
      </c>
      <c r="L316" s="23" t="n">
        <v>1890</v>
      </c>
      <c r="M316" s="24" t="n">
        <v>4.31</v>
      </c>
      <c r="N316" s="23">
        <f>ROUND(L316/M316, 0)</f>
        <v/>
      </c>
      <c r="O316" s="23">
        <f>ROUND(N316*'Methodology &amp; Assumptions'!$B$8, 0)</f>
        <v/>
      </c>
      <c r="P316" s="44" t="inlineStr">
        <is>
          <t>Band n50 (1.5 GHz, 60 MHz)</t>
        </is>
      </c>
      <c r="Q316" s="38">
        <f>ROUNDUP(O316/'Methodology &amp; Assumptions'!$B$9, 0)</f>
        <v/>
      </c>
      <c r="R316" s="39" t="n">
        <v>1</v>
      </c>
      <c r="S316" s="25" t="n">
        <v>1.56</v>
      </c>
      <c r="T316" s="25" t="n">
        <v>0.16</v>
      </c>
      <c r="U316" s="42" t="inlineStr">
        <is>
          <t>Tier 1B (Micro Drop, 1-3 km)</t>
        </is>
      </c>
      <c r="V316" s="24" t="n">
        <v>69.5</v>
      </c>
      <c r="W316" s="24" t="n">
        <v>59.2</v>
      </c>
      <c r="X316" s="24" t="n">
        <v>73</v>
      </c>
      <c r="Y316" s="45">
        <f>ROUND((V316*'Methodology &amp; Assumptions'!$B$6)+(W316*'Methodology &amp; Assumptions'!$B$5)+(X316*'Methodology &amp; Assumptions'!$B$7), 2)</f>
        <v/>
      </c>
    </row>
    <row r="317" ht="19" customHeight="1">
      <c r="A317" s="35" t="n">
        <v>313</v>
      </c>
      <c r="B317" s="35" t="n">
        <v>3313</v>
      </c>
      <c r="C317" s="36" t="inlineStr">
        <is>
          <t>0603026013</t>
        </is>
      </c>
      <c r="D317" s="36" t="inlineStr">
        <is>
          <t>Region VI (Western Visayas)</t>
        </is>
      </c>
      <c r="E317" s="36" t="inlineStr">
        <is>
          <t>Iloilo</t>
        </is>
      </c>
      <c r="F317" s="36" t="inlineStr">
        <is>
          <t>Leganes</t>
        </is>
      </c>
      <c r="G317" s="36" t="inlineStr">
        <is>
          <t>Guinobatan</t>
        </is>
      </c>
      <c r="H317" s="37" t="n">
        <v>10.784568</v>
      </c>
      <c r="I317" s="37" t="n">
        <v>122.599467</v>
      </c>
      <c r="J317" s="8" t="inlineStr">
        <is>
          <t>R</t>
        </is>
      </c>
      <c r="K317" s="36" t="inlineStr">
        <is>
          <t>2nd</t>
        </is>
      </c>
      <c r="L317" s="18" t="n">
        <v>2399</v>
      </c>
      <c r="M317" s="20" t="n">
        <v>4.6</v>
      </c>
      <c r="N317" s="18">
        <f>ROUND(L317/M317, 0)</f>
        <v/>
      </c>
      <c r="O317" s="18">
        <f>ROUND(N317*'Methodology &amp; Assumptions'!$B$8, 0)</f>
        <v/>
      </c>
      <c r="P317" s="8" t="inlineStr">
        <is>
          <t>Band n50 (1.5 GHz, 60 MHz)</t>
        </is>
      </c>
      <c r="Q317" s="38">
        <f>ROUNDUP(O317/'Methodology &amp; Assumptions'!$B$9, 0)</f>
        <v/>
      </c>
      <c r="R317" s="39" t="n">
        <v>1</v>
      </c>
      <c r="S317" s="21" t="n">
        <v>1.26</v>
      </c>
      <c r="T317" s="21" t="n">
        <v>0.61</v>
      </c>
      <c r="U317" s="36" t="inlineStr">
        <is>
          <t>Tier 1B (Micro Drop, 1-3 km)</t>
        </is>
      </c>
      <c r="V317" s="20" t="n">
        <v>75.7</v>
      </c>
      <c r="W317" s="20" t="n">
        <v>65.90000000000001</v>
      </c>
      <c r="X317" s="20" t="n">
        <v>58</v>
      </c>
      <c r="Y317" s="40">
        <f>ROUND((V317*'Methodology &amp; Assumptions'!$B$6)+(W317*'Methodology &amp; Assumptions'!$B$5)+(X317*'Methodology &amp; Assumptions'!$B$7), 2)</f>
        <v/>
      </c>
    </row>
    <row r="318" ht="19" customHeight="1">
      <c r="A318" s="41" t="n">
        <v>314</v>
      </c>
      <c r="B318" s="41" t="n">
        <v>3314</v>
      </c>
      <c r="C318" s="42" t="inlineStr">
        <is>
          <t>0301420031</t>
        </is>
      </c>
      <c r="D318" s="42" t="inlineStr">
        <is>
          <t>Region III (Central Luzon)</t>
        </is>
      </c>
      <c r="E318" s="42" t="inlineStr">
        <is>
          <t>Bulacan</t>
        </is>
      </c>
      <c r="F318" s="42" t="inlineStr">
        <is>
          <t>City of San Jose Del Monte</t>
        </is>
      </c>
      <c r="G318" s="42" t="inlineStr">
        <is>
          <t>Graceville</t>
        </is>
      </c>
      <c r="H318" s="43" t="n">
        <v>14.787369</v>
      </c>
      <c r="I318" s="43" t="n">
        <v>121.061008</v>
      </c>
      <c r="J318" s="44" t="inlineStr">
        <is>
          <t>U</t>
        </is>
      </c>
      <c r="K318" s="42" t="inlineStr">
        <is>
          <t>Class 1-3 / Urban</t>
        </is>
      </c>
      <c r="L318" s="23" t="n">
        <v>42207</v>
      </c>
      <c r="M318" s="24" t="n">
        <v>4.1</v>
      </c>
      <c r="N318" s="23">
        <f>ROUND(L318/M318, 0)</f>
        <v/>
      </c>
      <c r="O318" s="23">
        <f>ROUND(N318*'Methodology &amp; Assumptions'!$B$8, 0)</f>
        <v/>
      </c>
      <c r="P318" s="44" t="inlineStr">
        <is>
          <t>Band n50 (1.5 GHz, 60 MHz)</t>
        </is>
      </c>
      <c r="Q318" s="38">
        <f>ROUNDUP(O318/'Methodology &amp; Assumptions'!$B$9, 0)</f>
        <v/>
      </c>
      <c r="R318" s="39" t="n">
        <v>1</v>
      </c>
      <c r="S318" s="25" t="n">
        <v>1.53</v>
      </c>
      <c r="T318" s="25" t="n">
        <v>0.52</v>
      </c>
      <c r="U318" s="42" t="inlineStr">
        <is>
          <t>Tier 1B (Micro Drop, 1-3 km)</t>
        </is>
      </c>
      <c r="V318" s="24" t="n">
        <v>70</v>
      </c>
      <c r="W318" s="24" t="n">
        <v>97.2</v>
      </c>
      <c r="X318" s="24" t="n">
        <v>28</v>
      </c>
      <c r="Y318" s="45">
        <f>ROUND((V318*'Methodology &amp; Assumptions'!$B$6)+(W318*'Methodology &amp; Assumptions'!$B$5)+(X318*'Methodology &amp; Assumptions'!$B$7), 2)</f>
        <v/>
      </c>
    </row>
    <row r="319" ht="19" customHeight="1">
      <c r="A319" s="35" t="n">
        <v>315</v>
      </c>
      <c r="B319" s="35" t="n">
        <v>3315</v>
      </c>
      <c r="C319" s="36" t="inlineStr">
        <is>
          <t>1430300004</t>
        </is>
      </c>
      <c r="D319" s="36" t="inlineStr">
        <is>
          <t>Cordillera Administrative Region (CAR)</t>
        </is>
      </c>
      <c r="E319" s="36" t="inlineStr">
        <is>
          <t>Benguet</t>
        </is>
      </c>
      <c r="F319" s="36" t="inlineStr">
        <is>
          <t>City of Baguio</t>
        </is>
      </c>
      <c r="G319" s="36" t="inlineStr">
        <is>
          <t>Bakakeng Central</t>
        </is>
      </c>
      <c r="H319" s="37" t="n">
        <v>16.39649</v>
      </c>
      <c r="I319" s="37" t="n">
        <v>120.58243</v>
      </c>
      <c r="J319" s="8" t="inlineStr">
        <is>
          <t>U</t>
        </is>
      </c>
      <c r="K319" s="36" t="inlineStr">
        <is>
          <t>Class 1-3 / Urban</t>
        </is>
      </c>
      <c r="L319" s="18" t="n">
        <v>13092</v>
      </c>
      <c r="M319" s="20" t="n">
        <v>4.58</v>
      </c>
      <c r="N319" s="18">
        <f>ROUND(L319/M319, 0)</f>
        <v/>
      </c>
      <c r="O319" s="18">
        <f>ROUND(N319*'Methodology &amp; Assumptions'!$B$8, 0)</f>
        <v/>
      </c>
      <c r="P319" s="8" t="inlineStr">
        <is>
          <t>Band n50 (1.5 GHz, 60 MHz)</t>
        </is>
      </c>
      <c r="Q319" s="38">
        <f>ROUNDUP(O319/'Methodology &amp; Assumptions'!$B$9, 0)</f>
        <v/>
      </c>
      <c r="R319" s="39" t="n">
        <v>1</v>
      </c>
      <c r="S319" s="21" t="n">
        <v>1.67</v>
      </c>
      <c r="T319" s="21" t="n">
        <v>0.28</v>
      </c>
      <c r="U319" s="36" t="inlineStr">
        <is>
          <t>Tier 1B (Micro Drop, 1-3 km)</t>
        </is>
      </c>
      <c r="V319" s="20" t="n">
        <v>67.3</v>
      </c>
      <c r="W319" s="20" t="n">
        <v>100</v>
      </c>
      <c r="X319" s="20" t="n">
        <v>28</v>
      </c>
      <c r="Y319" s="40">
        <f>ROUND((V319*'Methodology &amp; Assumptions'!$B$6)+(W319*'Methodology &amp; Assumptions'!$B$5)+(X319*'Methodology &amp; Assumptions'!$B$7), 2)</f>
        <v/>
      </c>
    </row>
    <row r="320" ht="19" customHeight="1">
      <c r="A320" s="41" t="n">
        <v>316</v>
      </c>
      <c r="B320" s="41" t="n">
        <v>3316</v>
      </c>
      <c r="C320" s="42" t="inlineStr">
        <is>
          <t>0403428011</t>
        </is>
      </c>
      <c r="D320" s="42" t="inlineStr">
        <is>
          <t>Region IV-A (CALABARZON)</t>
        </is>
      </c>
      <c r="E320" s="42" t="inlineStr">
        <is>
          <t>Laguna</t>
        </is>
      </c>
      <c r="F320" s="42" t="inlineStr">
        <is>
          <t>City of Santa Rosa</t>
        </is>
      </c>
      <c r="G320" s="42" t="inlineStr">
        <is>
          <t>Malusak</t>
        </is>
      </c>
      <c r="H320" s="43" t="n">
        <v>14.312884</v>
      </c>
      <c r="I320" s="43" t="n">
        <v>121.11462</v>
      </c>
      <c r="J320" s="44" t="inlineStr">
        <is>
          <t>U</t>
        </is>
      </c>
      <c r="K320" s="42" t="inlineStr">
        <is>
          <t>Class 1-3 / Urban</t>
        </is>
      </c>
      <c r="L320" s="23" t="n">
        <v>2906</v>
      </c>
      <c r="M320" s="24" t="n">
        <v>4.2</v>
      </c>
      <c r="N320" s="23">
        <f>ROUND(L320/M320, 0)</f>
        <v/>
      </c>
      <c r="O320" s="23">
        <f>ROUND(N320*'Methodology &amp; Assumptions'!$B$8, 0)</f>
        <v/>
      </c>
      <c r="P320" s="44" t="inlineStr">
        <is>
          <t>Band n50 (1.5 GHz, 60 MHz)</t>
        </is>
      </c>
      <c r="Q320" s="38">
        <f>ROUNDUP(O320/'Methodology &amp; Assumptions'!$B$9, 0)</f>
        <v/>
      </c>
      <c r="R320" s="39" t="n">
        <v>1</v>
      </c>
      <c r="S320" s="25" t="n">
        <v>0.75</v>
      </c>
      <c r="T320" s="25" t="n">
        <v>1.5</v>
      </c>
      <c r="U320" s="42" t="inlineStr">
        <is>
          <t>Tier 1A (Direct Coloc, &lt;1 km)</t>
        </is>
      </c>
      <c r="V320" s="24" t="n">
        <v>87.8</v>
      </c>
      <c r="W320" s="24" t="n">
        <v>79.5</v>
      </c>
      <c r="X320" s="24" t="n">
        <v>28</v>
      </c>
      <c r="Y320" s="45">
        <f>ROUND((V320*'Methodology &amp; Assumptions'!$B$6)+(W320*'Methodology &amp; Assumptions'!$B$5)+(X320*'Methodology &amp; Assumptions'!$B$7), 2)</f>
        <v/>
      </c>
    </row>
    <row r="321" ht="19" customHeight="1">
      <c r="A321" s="35" t="n">
        <v>317</v>
      </c>
      <c r="B321" s="35" t="n">
        <v>3317</v>
      </c>
      <c r="C321" s="36" t="inlineStr">
        <is>
          <t>0501709003</t>
        </is>
      </c>
      <c r="D321" s="36" t="inlineStr">
        <is>
          <t>Region V (Bicol Region)</t>
        </is>
      </c>
      <c r="E321" s="36" t="inlineStr">
        <is>
          <t>Camarines Sur</t>
        </is>
      </c>
      <c r="F321" s="36" t="inlineStr">
        <is>
          <t>Camaligan</t>
        </is>
      </c>
      <c r="G321" s="36" t="inlineStr">
        <is>
          <t>San Francisco</t>
        </is>
      </c>
      <c r="H321" s="37" t="n">
        <v>13.618615</v>
      </c>
      <c r="I321" s="37" t="n">
        <v>123.167519</v>
      </c>
      <c r="J321" s="8" t="inlineStr">
        <is>
          <t>R</t>
        </is>
      </c>
      <c r="K321" s="36" t="inlineStr">
        <is>
          <t>4th</t>
        </is>
      </c>
      <c r="L321" s="18" t="n">
        <v>874</v>
      </c>
      <c r="M321" s="20" t="n">
        <v>4.97</v>
      </c>
      <c r="N321" s="18">
        <f>ROUND(L321/M321, 0)</f>
        <v/>
      </c>
      <c r="O321" s="18">
        <f>ROUND(N321*'Methodology &amp; Assumptions'!$B$8, 0)</f>
        <v/>
      </c>
      <c r="P321" s="8" t="inlineStr">
        <is>
          <t>Band n50 (1.5 GHz, 60 MHz)</t>
        </is>
      </c>
      <c r="Q321" s="38">
        <f>ROUNDUP(O321/'Methodology &amp; Assumptions'!$B$9, 0)</f>
        <v/>
      </c>
      <c r="R321" s="39" t="n">
        <v>1</v>
      </c>
      <c r="S321" s="21" t="n">
        <v>0.51</v>
      </c>
      <c r="T321" s="21" t="n">
        <v>1.88</v>
      </c>
      <c r="U321" s="36" t="inlineStr">
        <is>
          <t>Tier 1A (Direct Coloc, &lt;1 km)</t>
        </is>
      </c>
      <c r="V321" s="20" t="n">
        <v>94.40000000000001</v>
      </c>
      <c r="W321" s="20" t="n">
        <v>38.1</v>
      </c>
      <c r="X321" s="20" t="n">
        <v>68.5</v>
      </c>
      <c r="Y321" s="40">
        <f>ROUND((V321*'Methodology &amp; Assumptions'!$B$6)+(W321*'Methodology &amp; Assumptions'!$B$5)+(X321*'Methodology &amp; Assumptions'!$B$7), 2)</f>
        <v/>
      </c>
    </row>
    <row r="322" ht="19" customHeight="1">
      <c r="A322" s="41" t="n">
        <v>318</v>
      </c>
      <c r="B322" s="41" t="n">
        <v>3318</v>
      </c>
      <c r="C322" s="42" t="inlineStr">
        <is>
          <t>1102507009</t>
        </is>
      </c>
      <c r="D322" s="42" t="inlineStr">
        <is>
          <t>Region XI (Davao Region)</t>
        </is>
      </c>
      <c r="E322" s="42" t="inlineStr">
        <is>
          <t>Davao Oriental</t>
        </is>
      </c>
      <c r="F322" s="42" t="inlineStr">
        <is>
          <t>Lupon</t>
        </is>
      </c>
      <c r="G322" s="42" t="inlineStr">
        <is>
          <t>Corporacion</t>
        </is>
      </c>
      <c r="H322" s="43" t="n">
        <v>6.91228</v>
      </c>
      <c r="I322" s="43" t="n">
        <v>126.02889</v>
      </c>
      <c r="J322" s="44" t="inlineStr">
        <is>
          <t>R</t>
        </is>
      </c>
      <c r="K322" s="42" t="inlineStr">
        <is>
          <t>Class 1-3 / Urban</t>
        </is>
      </c>
      <c r="L322" s="23" t="n">
        <v>3342</v>
      </c>
      <c r="M322" s="24" t="n">
        <v>4.1</v>
      </c>
      <c r="N322" s="23">
        <f>ROUND(L322/M322, 0)</f>
        <v/>
      </c>
      <c r="O322" s="23">
        <f>ROUND(N322*'Methodology &amp; Assumptions'!$B$8, 0)</f>
        <v/>
      </c>
      <c r="P322" s="44" t="inlineStr">
        <is>
          <t>Band n50 (1.5 GHz, 60 MHz)</t>
        </is>
      </c>
      <c r="Q322" s="38">
        <f>ROUNDUP(O322/'Methodology &amp; Assumptions'!$B$9, 0)</f>
        <v/>
      </c>
      <c r="R322" s="39" t="n">
        <v>1</v>
      </c>
      <c r="S322" s="25" t="n">
        <v>2.57</v>
      </c>
      <c r="T322" s="25" t="n">
        <v>0.17</v>
      </c>
      <c r="U322" s="42" t="inlineStr">
        <is>
          <t>Tier 1B (Micro Drop, 1-3 km)</t>
        </is>
      </c>
      <c r="V322" s="24" t="n">
        <v>52.4</v>
      </c>
      <c r="W322" s="24" t="n">
        <v>89.09999999999999</v>
      </c>
      <c r="X322" s="24" t="n">
        <v>58</v>
      </c>
      <c r="Y322" s="45">
        <f>ROUND((V322*'Methodology &amp; Assumptions'!$B$6)+(W322*'Methodology &amp; Assumptions'!$B$5)+(X322*'Methodology &amp; Assumptions'!$B$7), 2)</f>
        <v/>
      </c>
    </row>
    <row r="323" ht="19" customHeight="1">
      <c r="A323" s="35" t="n">
        <v>319</v>
      </c>
      <c r="B323" s="35" t="n">
        <v>3319</v>
      </c>
      <c r="C323" s="36" t="inlineStr">
        <is>
          <t>0403427019</t>
        </is>
      </c>
      <c r="D323" s="36" t="inlineStr">
        <is>
          <t>Region IV-A (CALABARZON)</t>
        </is>
      </c>
      <c r="E323" s="36" t="inlineStr">
        <is>
          <t>Laguna</t>
        </is>
      </c>
      <c r="F323" s="36" t="inlineStr">
        <is>
          <t>Santa Maria</t>
        </is>
      </c>
      <c r="G323" s="36" t="inlineStr">
        <is>
          <t>Barangay I</t>
        </is>
      </c>
      <c r="H323" s="37" t="n">
        <v>14.470632</v>
      </c>
      <c r="I323" s="37" t="n">
        <v>121.421852</v>
      </c>
      <c r="J323" s="8" t="inlineStr">
        <is>
          <t>R</t>
        </is>
      </c>
      <c r="K323" s="36" t="inlineStr">
        <is>
          <t>2nd</t>
        </is>
      </c>
      <c r="L323" s="18" t="n">
        <v>1219</v>
      </c>
      <c r="M323" s="20" t="n">
        <v>4.2</v>
      </c>
      <c r="N323" s="18">
        <f>ROUND(L323/M323, 0)</f>
        <v/>
      </c>
      <c r="O323" s="18">
        <f>ROUND(N323*'Methodology &amp; Assumptions'!$B$8, 0)</f>
        <v/>
      </c>
      <c r="P323" s="8" t="inlineStr">
        <is>
          <t>Band n50 (1.5 GHz, 60 MHz)</t>
        </is>
      </c>
      <c r="Q323" s="38">
        <f>ROUNDUP(O323/'Methodology &amp; Assumptions'!$B$9, 0)</f>
        <v/>
      </c>
      <c r="R323" s="39" t="n">
        <v>1</v>
      </c>
      <c r="S323" s="21" t="n">
        <v>0.18</v>
      </c>
      <c r="T323" s="21" t="n">
        <v>2.88</v>
      </c>
      <c r="U323" s="36" t="inlineStr">
        <is>
          <t>Tier 1A (Direct Coloc, &lt;1 km)</t>
        </is>
      </c>
      <c r="V323" s="20" t="n">
        <v>94.3</v>
      </c>
      <c r="W323" s="20" t="n">
        <v>47.2</v>
      </c>
      <c r="X323" s="20" t="n">
        <v>58</v>
      </c>
      <c r="Y323" s="40">
        <f>ROUND((V323*'Methodology &amp; Assumptions'!$B$6)+(W323*'Methodology &amp; Assumptions'!$B$5)+(X323*'Methodology &amp; Assumptions'!$B$7), 2)</f>
        <v/>
      </c>
    </row>
    <row r="324" ht="19" customHeight="1">
      <c r="A324" s="41" t="n">
        <v>320</v>
      </c>
      <c r="B324" s="41" t="n">
        <v>3320</v>
      </c>
      <c r="C324" s="42" t="inlineStr">
        <is>
          <t>0330100015</t>
        </is>
      </c>
      <c r="D324" s="42" t="inlineStr">
        <is>
          <t>Region III (Central Luzon)</t>
        </is>
      </c>
      <c r="E324" s="42" t="inlineStr">
        <is>
          <t>Pampanga</t>
        </is>
      </c>
      <c r="F324" s="42" t="inlineStr">
        <is>
          <t>City of Angeles</t>
        </is>
      </c>
      <c r="G324" s="42" t="inlineStr">
        <is>
          <t>Mining</t>
        </is>
      </c>
      <c r="H324" s="43" t="n">
        <v>15.143052</v>
      </c>
      <c r="I324" s="43" t="n">
        <v>120.60491</v>
      </c>
      <c r="J324" s="44" t="inlineStr">
        <is>
          <t>U</t>
        </is>
      </c>
      <c r="K324" s="42" t="inlineStr">
        <is>
          <t>Class 1-3 / Urban</t>
        </is>
      </c>
      <c r="L324" s="23" t="n">
        <v>5265</v>
      </c>
      <c r="M324" s="24" t="n">
        <v>4.63</v>
      </c>
      <c r="N324" s="23">
        <f>ROUND(L324/M324, 0)</f>
        <v/>
      </c>
      <c r="O324" s="23">
        <f>ROUND(N324*'Methodology &amp; Assumptions'!$B$8, 0)</f>
        <v/>
      </c>
      <c r="P324" s="44" t="inlineStr">
        <is>
          <t>Band n50 (1.5 GHz, 60 MHz)</t>
        </is>
      </c>
      <c r="Q324" s="38">
        <f>ROUNDUP(O324/'Methodology &amp; Assumptions'!$B$9, 0)</f>
        <v/>
      </c>
      <c r="R324" s="39" t="n">
        <v>1</v>
      </c>
      <c r="S324" s="25" t="n">
        <v>1.67</v>
      </c>
      <c r="T324" s="25" t="n">
        <v>0.6899999999999999</v>
      </c>
      <c r="U324" s="42" t="inlineStr">
        <is>
          <t>Tier 1B (Micro Drop, 1-3 km)</t>
        </is>
      </c>
      <c r="V324" s="24" t="n">
        <v>67.2</v>
      </c>
      <c r="W324" s="24" t="n">
        <v>100</v>
      </c>
      <c r="X324" s="24" t="n">
        <v>28</v>
      </c>
      <c r="Y324" s="45">
        <f>ROUND((V324*'Methodology &amp; Assumptions'!$B$6)+(W324*'Methodology &amp; Assumptions'!$B$5)+(X324*'Methodology &amp; Assumptions'!$B$7), 2)</f>
        <v/>
      </c>
    </row>
    <row r="325" ht="19" customHeight="1">
      <c r="A325" s="35" t="n">
        <v>321</v>
      </c>
      <c r="B325" s="35" t="n">
        <v>3321</v>
      </c>
      <c r="C325" s="36" t="inlineStr">
        <is>
          <t>0600407011</t>
        </is>
      </c>
      <c r="D325" s="36" t="inlineStr">
        <is>
          <t>Region VI (Western Visayas)</t>
        </is>
      </c>
      <c r="E325" s="36" t="inlineStr">
        <is>
          <t>Aklan</t>
        </is>
      </c>
      <c r="F325" s="36" t="inlineStr">
        <is>
          <t>Kalibo</t>
        </is>
      </c>
      <c r="G325" s="36" t="inlineStr">
        <is>
          <t>Mobo</t>
        </is>
      </c>
      <c r="H325" s="37" t="n">
        <v>11.689224</v>
      </c>
      <c r="I325" s="37" t="n">
        <v>122.367428</v>
      </c>
      <c r="J325" s="8" t="inlineStr">
        <is>
          <t>R</t>
        </is>
      </c>
      <c r="K325" s="36" t="inlineStr">
        <is>
          <t>Class 1-3 / Urban</t>
        </is>
      </c>
      <c r="L325" s="18" t="n">
        <v>1807</v>
      </c>
      <c r="M325" s="20" t="n">
        <v>4.27</v>
      </c>
      <c r="N325" s="18">
        <f>ROUND(L325/M325, 0)</f>
        <v/>
      </c>
      <c r="O325" s="18">
        <f>ROUND(N325*'Methodology &amp; Assumptions'!$B$8, 0)</f>
        <v/>
      </c>
      <c r="P325" s="8" t="inlineStr">
        <is>
          <t>Band n50 (1.5 GHz, 60 MHz)</t>
        </is>
      </c>
      <c r="Q325" s="38">
        <f>ROUNDUP(O325/'Methodology &amp; Assumptions'!$B$9, 0)</f>
        <v/>
      </c>
      <c r="R325" s="39" t="n">
        <v>1</v>
      </c>
      <c r="S325" s="21" t="n">
        <v>0.92</v>
      </c>
      <c r="T325" s="21" t="n">
        <v>0.11</v>
      </c>
      <c r="U325" s="36" t="inlineStr">
        <is>
          <t>Tier 1A (Direct Coloc, &lt;1 km)</t>
        </is>
      </c>
      <c r="V325" s="20" t="n">
        <v>83.59999999999999</v>
      </c>
      <c r="W325" s="20" t="n">
        <v>57.9</v>
      </c>
      <c r="X325" s="20" t="n">
        <v>58</v>
      </c>
      <c r="Y325" s="40">
        <f>ROUND((V325*'Methodology &amp; Assumptions'!$B$6)+(W325*'Methodology &amp; Assumptions'!$B$5)+(X325*'Methodology &amp; Assumptions'!$B$7), 2)</f>
        <v/>
      </c>
    </row>
    <row r="326" ht="19" customHeight="1">
      <c r="A326" s="41" t="n">
        <v>322</v>
      </c>
      <c r="B326" s="41" t="n">
        <v>3322</v>
      </c>
      <c r="C326" s="42" t="inlineStr">
        <is>
          <t>0305403020</t>
        </is>
      </c>
      <c r="D326" s="42" t="inlineStr">
        <is>
          <t>Region III (Central Luzon)</t>
        </is>
      </c>
      <c r="E326" s="42" t="inlineStr">
        <is>
          <t>Pampanga</t>
        </is>
      </c>
      <c r="F326" s="42" t="inlineStr">
        <is>
          <t>Arayat</t>
        </is>
      </c>
      <c r="G326" s="42" t="inlineStr">
        <is>
          <t>San Agustin Norte</t>
        </is>
      </c>
      <c r="H326" s="43" t="n">
        <v>15.162603</v>
      </c>
      <c r="I326" s="43" t="n">
        <v>120.77941</v>
      </c>
      <c r="J326" s="44" t="inlineStr">
        <is>
          <t>R</t>
        </is>
      </c>
      <c r="K326" s="42" t="inlineStr">
        <is>
          <t>Class 1-3 / Urban</t>
        </is>
      </c>
      <c r="L326" s="23" t="n">
        <v>3627</v>
      </c>
      <c r="M326" s="24" t="n">
        <v>4.63</v>
      </c>
      <c r="N326" s="23">
        <f>ROUND(L326/M326, 0)</f>
        <v/>
      </c>
      <c r="O326" s="23">
        <f>ROUND(N326*'Methodology &amp; Assumptions'!$B$8, 0)</f>
        <v/>
      </c>
      <c r="P326" s="44" t="inlineStr">
        <is>
          <t>Band n50 (1.5 GHz, 60 MHz)</t>
        </is>
      </c>
      <c r="Q326" s="38">
        <f>ROUNDUP(O326/'Methodology &amp; Assumptions'!$B$9, 0)</f>
        <v/>
      </c>
      <c r="R326" s="39" t="n">
        <v>1</v>
      </c>
      <c r="S326" s="25" t="n">
        <v>2.41</v>
      </c>
      <c r="T326" s="25" t="n">
        <v>0.12</v>
      </c>
      <c r="U326" s="42" t="inlineStr">
        <is>
          <t>Tier 1B (Micro Drop, 1-3 km)</t>
        </is>
      </c>
      <c r="V326" s="24" t="n">
        <v>54.8</v>
      </c>
      <c r="W326" s="24" t="n">
        <v>86.7</v>
      </c>
      <c r="X326" s="24" t="n">
        <v>58</v>
      </c>
      <c r="Y326" s="45">
        <f>ROUND((V326*'Methodology &amp; Assumptions'!$B$6)+(W326*'Methodology &amp; Assumptions'!$B$5)+(X326*'Methodology &amp; Assumptions'!$B$7), 2)</f>
        <v/>
      </c>
    </row>
    <row r="327" ht="19" customHeight="1">
      <c r="A327" s="35" t="n">
        <v>323</v>
      </c>
      <c r="B327" s="35" t="n">
        <v>3323</v>
      </c>
      <c r="C327" s="36" t="inlineStr">
        <is>
          <t>0604520001</t>
        </is>
      </c>
      <c r="D327" s="36" t="inlineStr">
        <is>
          <t>Region VI (Western Visayas)</t>
        </is>
      </c>
      <c r="E327" s="36" t="inlineStr">
        <is>
          <t>Negros Occidental</t>
        </is>
      </c>
      <c r="F327" s="36" t="inlineStr">
        <is>
          <t>Murcia</t>
        </is>
      </c>
      <c r="G327" s="36" t="inlineStr">
        <is>
          <t>Abo-abo</t>
        </is>
      </c>
      <c r="H327" s="37" t="n">
        <v>10.594082</v>
      </c>
      <c r="I327" s="37" t="n">
        <v>123.06012</v>
      </c>
      <c r="J327" s="8" t="inlineStr">
        <is>
          <t>R</t>
        </is>
      </c>
      <c r="K327" s="36" t="inlineStr">
        <is>
          <t>Class 1-3 / Urban</t>
        </is>
      </c>
      <c r="L327" s="18" t="n">
        <v>3394</v>
      </c>
      <c r="M327" s="20" t="n">
        <v>4.33</v>
      </c>
      <c r="N327" s="18">
        <f>ROUND(L327/M327, 0)</f>
        <v/>
      </c>
      <c r="O327" s="18">
        <f>ROUND(N327*'Methodology &amp; Assumptions'!$B$8, 0)</f>
        <v/>
      </c>
      <c r="P327" s="8" t="inlineStr">
        <is>
          <t>Band n50 (1.5 GHz, 60 MHz)</t>
        </is>
      </c>
      <c r="Q327" s="38">
        <f>ROUNDUP(O327/'Methodology &amp; Assumptions'!$B$9, 0)</f>
        <v/>
      </c>
      <c r="R327" s="39" t="n">
        <v>1</v>
      </c>
      <c r="S327" s="21" t="n">
        <v>2.41</v>
      </c>
      <c r="T327" s="21" t="n">
        <v>0.43</v>
      </c>
      <c r="U327" s="36" t="inlineStr">
        <is>
          <t>Tier 1B (Micro Drop, 1-3 km)</t>
        </is>
      </c>
      <c r="V327" s="20" t="n">
        <v>54.8</v>
      </c>
      <c r="W327" s="20" t="n">
        <v>86.7</v>
      </c>
      <c r="X327" s="20" t="n">
        <v>58</v>
      </c>
      <c r="Y327" s="40">
        <f>ROUND((V327*'Methodology &amp; Assumptions'!$B$6)+(W327*'Methodology &amp; Assumptions'!$B$5)+(X327*'Methodology &amp; Assumptions'!$B$7), 2)</f>
        <v/>
      </c>
    </row>
    <row r="328" ht="19" customHeight="1">
      <c r="A328" s="41" t="n">
        <v>324</v>
      </c>
      <c r="B328" s="41" t="n">
        <v>3324</v>
      </c>
      <c r="C328" s="42" t="inlineStr">
        <is>
          <t>0403430002</t>
        </is>
      </c>
      <c r="D328" s="42" t="inlineStr">
        <is>
          <t>Region IV-A (CALABARZON)</t>
        </is>
      </c>
      <c r="E328" s="42" t="inlineStr">
        <is>
          <t>Laguna</t>
        </is>
      </c>
      <c r="F328" s="42" t="inlineStr">
        <is>
          <t>Victoria</t>
        </is>
      </c>
      <c r="G328" s="42" t="inlineStr">
        <is>
          <t>Daniw</t>
        </is>
      </c>
      <c r="H328" s="43" t="n">
        <v>14.201991</v>
      </c>
      <c r="I328" s="43" t="n">
        <v>121.353652</v>
      </c>
      <c r="J328" s="44" t="inlineStr">
        <is>
          <t>R</t>
        </is>
      </c>
      <c r="K328" s="42" t="inlineStr">
        <is>
          <t>2nd</t>
        </is>
      </c>
      <c r="L328" s="23" t="n">
        <v>1615</v>
      </c>
      <c r="M328" s="24" t="n">
        <v>3.63</v>
      </c>
      <c r="N328" s="23">
        <f>ROUND(L328/M328, 0)</f>
        <v/>
      </c>
      <c r="O328" s="23">
        <f>ROUND(N328*'Methodology &amp; Assumptions'!$B$8, 0)</f>
        <v/>
      </c>
      <c r="P328" s="44" t="inlineStr">
        <is>
          <t>Band n50 (1.5 GHz, 60 MHz)</t>
        </is>
      </c>
      <c r="Q328" s="38">
        <f>ROUNDUP(O328/'Methodology &amp; Assumptions'!$B$9, 0)</f>
        <v/>
      </c>
      <c r="R328" s="39" t="n">
        <v>1</v>
      </c>
      <c r="S328" s="25" t="n">
        <v>1</v>
      </c>
      <c r="T328" s="25" t="n">
        <v>0.64</v>
      </c>
      <c r="U328" s="42" t="inlineStr">
        <is>
          <t>Tier 1A (Direct Coloc, &lt;1 km)</t>
        </is>
      </c>
      <c r="V328" s="24" t="n">
        <v>81.7</v>
      </c>
      <c r="W328" s="24" t="n">
        <v>59.7</v>
      </c>
      <c r="X328" s="24" t="n">
        <v>58</v>
      </c>
      <c r="Y328" s="45">
        <f>ROUND((V328*'Methodology &amp; Assumptions'!$B$6)+(W328*'Methodology &amp; Assumptions'!$B$5)+(X328*'Methodology &amp; Assumptions'!$B$7), 2)</f>
        <v/>
      </c>
    </row>
    <row r="329" ht="19" customHeight="1">
      <c r="A329" s="35" t="n">
        <v>325</v>
      </c>
      <c r="B329" s="35" t="n">
        <v>3325</v>
      </c>
      <c r="C329" s="36" t="inlineStr">
        <is>
          <t>0301421045</t>
        </is>
      </c>
      <c r="D329" s="36" t="inlineStr">
        <is>
          <t>Region III (Central Luzon)</t>
        </is>
      </c>
      <c r="E329" s="36" t="inlineStr">
        <is>
          <t>Bulacan</t>
        </is>
      </c>
      <c r="F329" s="36" t="inlineStr">
        <is>
          <t>San Miguel</t>
        </is>
      </c>
      <c r="G329" s="36" t="inlineStr">
        <is>
          <t>San Juan</t>
        </is>
      </c>
      <c r="H329" s="37" t="n">
        <v>15.141037</v>
      </c>
      <c r="I329" s="37" t="n">
        <v>120.982942</v>
      </c>
      <c r="J329" s="8" t="inlineStr">
        <is>
          <t>U</t>
        </is>
      </c>
      <c r="K329" s="36" t="inlineStr">
        <is>
          <t>Class 1-3 / Urban</t>
        </is>
      </c>
      <c r="L329" s="18" t="n">
        <v>8950</v>
      </c>
      <c r="M329" s="20" t="n">
        <v>4.1</v>
      </c>
      <c r="N329" s="18">
        <f>ROUND(L329/M329, 0)</f>
        <v/>
      </c>
      <c r="O329" s="18">
        <f>ROUND(N329*'Methodology &amp; Assumptions'!$B$8, 0)</f>
        <v/>
      </c>
      <c r="P329" s="8" t="inlineStr">
        <is>
          <t>Band n50 (1.5 GHz, 60 MHz)</t>
        </is>
      </c>
      <c r="Q329" s="38">
        <f>ROUNDUP(O329/'Methodology &amp; Assumptions'!$B$9, 0)</f>
        <v/>
      </c>
      <c r="R329" s="39" t="n">
        <v>1</v>
      </c>
      <c r="S329" s="21" t="n">
        <v>1.68</v>
      </c>
      <c r="T329" s="21" t="n">
        <v>0.67</v>
      </c>
      <c r="U329" s="36" t="inlineStr">
        <is>
          <t>Tier 1B (Micro Drop, 1-3 km)</t>
        </is>
      </c>
      <c r="V329" s="20" t="n">
        <v>67.2</v>
      </c>
      <c r="W329" s="20" t="n">
        <v>100</v>
      </c>
      <c r="X329" s="20" t="n">
        <v>28</v>
      </c>
      <c r="Y329" s="40">
        <f>ROUND((V329*'Methodology &amp; Assumptions'!$B$6)+(W329*'Methodology &amp; Assumptions'!$B$5)+(X329*'Methodology &amp; Assumptions'!$B$7), 2)</f>
        <v/>
      </c>
    </row>
    <row r="330" ht="19" customHeight="1">
      <c r="A330" s="41" t="n">
        <v>326</v>
      </c>
      <c r="B330" s="41" t="n">
        <v>3326</v>
      </c>
      <c r="C330" s="42" t="inlineStr">
        <is>
          <t>0307112006</t>
        </is>
      </c>
      <c r="D330" s="42" t="inlineStr">
        <is>
          <t>Region III (Central Luzon)</t>
        </is>
      </c>
      <c r="E330" s="42" t="inlineStr">
        <is>
          <t>Zambales</t>
        </is>
      </c>
      <c r="F330" s="42" t="inlineStr">
        <is>
          <t>San Narciso</t>
        </is>
      </c>
      <c r="G330" s="42" t="inlineStr">
        <is>
          <t>La Paz</t>
        </is>
      </c>
      <c r="H330" s="43" t="n">
        <v>15.01453</v>
      </c>
      <c r="I330" s="43" t="n">
        <v>120.065742</v>
      </c>
      <c r="J330" s="44" t="inlineStr">
        <is>
          <t>R</t>
        </is>
      </c>
      <c r="K330" s="42" t="inlineStr">
        <is>
          <t>3rd</t>
        </is>
      </c>
      <c r="L330" s="23" t="n">
        <v>4322</v>
      </c>
      <c r="M330" s="24" t="n">
        <v>3.91</v>
      </c>
      <c r="N330" s="23">
        <f>ROUND(L330/M330, 0)</f>
        <v/>
      </c>
      <c r="O330" s="23">
        <f>ROUND(N330*'Methodology &amp; Assumptions'!$B$8, 0)</f>
        <v/>
      </c>
      <c r="P330" s="44" t="inlineStr">
        <is>
          <t>Band n50 (1.5 GHz, 60 MHz)</t>
        </is>
      </c>
      <c r="Q330" s="38">
        <f>ROUNDUP(O330/'Methodology &amp; Assumptions'!$B$9, 0)</f>
        <v/>
      </c>
      <c r="R330" s="39" t="n">
        <v>1</v>
      </c>
      <c r="S330" s="25" t="n">
        <v>5.05</v>
      </c>
      <c r="T330" s="25" t="n">
        <v>1.47</v>
      </c>
      <c r="U330" s="42" t="inlineStr">
        <is>
          <t>Tier 2 (Fiber Corridor / Lateral, 3-5 km)</t>
        </is>
      </c>
      <c r="V330" s="24" t="n">
        <v>28.6</v>
      </c>
      <c r="W330" s="24" t="n">
        <v>100</v>
      </c>
      <c r="X330" s="24" t="n">
        <v>73</v>
      </c>
      <c r="Y330" s="45">
        <f>ROUND((V330*'Methodology &amp; Assumptions'!$B$6)+(W330*'Methodology &amp; Assumptions'!$B$5)+(X330*'Methodology &amp; Assumptions'!$B$7), 2)</f>
        <v/>
      </c>
    </row>
    <row r="331" ht="19" customHeight="1">
      <c r="A331" s="35" t="n">
        <v>327</v>
      </c>
      <c r="B331" s="35" t="n">
        <v>3327</v>
      </c>
      <c r="C331" s="36" t="inlineStr">
        <is>
          <t>0702248018</t>
        </is>
      </c>
      <c r="D331" s="36" t="inlineStr">
        <is>
          <t>Region VII (Central Visayas)</t>
        </is>
      </c>
      <c r="E331" s="36" t="inlineStr">
        <is>
          <t>Cebu</t>
        </is>
      </c>
      <c r="F331" s="36" t="inlineStr">
        <is>
          <t>Tabogon</t>
        </is>
      </c>
      <c r="G331" s="36" t="inlineStr">
        <is>
          <t>Poblacion</t>
        </is>
      </c>
      <c r="H331" s="37" t="n">
        <v>10.941961</v>
      </c>
      <c r="I331" s="37" t="n">
        <v>124.028398</v>
      </c>
      <c r="J331" s="8" t="inlineStr">
        <is>
          <t>R</t>
        </is>
      </c>
      <c r="K331" s="36" t="inlineStr">
        <is>
          <t>Class 1-3 / Urban</t>
        </is>
      </c>
      <c r="L331" s="18" t="n">
        <v>1595</v>
      </c>
      <c r="M331" s="20" t="n">
        <v>4.42</v>
      </c>
      <c r="N331" s="18">
        <f>ROUND(L331/M331, 0)</f>
        <v/>
      </c>
      <c r="O331" s="18">
        <f>ROUND(N331*'Methodology &amp; Assumptions'!$B$8, 0)</f>
        <v/>
      </c>
      <c r="P331" s="8" t="inlineStr">
        <is>
          <t>Band n50 (1.5 GHz, 60 MHz)</t>
        </is>
      </c>
      <c r="Q331" s="38">
        <f>ROUNDUP(O331/'Methodology &amp; Assumptions'!$B$9, 0)</f>
        <v/>
      </c>
      <c r="R331" s="39" t="n">
        <v>1</v>
      </c>
      <c r="S331" s="21" t="n">
        <v>0.36</v>
      </c>
      <c r="T331" s="21" t="n">
        <v>6.76</v>
      </c>
      <c r="U331" s="36" t="inlineStr">
        <is>
          <t>Tier 1A (Direct Coloc, &lt;1 km)</t>
        </is>
      </c>
      <c r="V331" s="20" t="n">
        <v>88.59999999999999</v>
      </c>
      <c r="W331" s="20" t="n">
        <v>52.8</v>
      </c>
      <c r="X331" s="20" t="n">
        <v>58</v>
      </c>
      <c r="Y331" s="40">
        <f>ROUND((V331*'Methodology &amp; Assumptions'!$B$6)+(W331*'Methodology &amp; Assumptions'!$B$5)+(X331*'Methodology &amp; Assumptions'!$B$7), 2)</f>
        <v/>
      </c>
    </row>
    <row r="332" ht="19" customHeight="1">
      <c r="A332" s="41" t="n">
        <v>328</v>
      </c>
      <c r="B332" s="41" t="n">
        <v>3328</v>
      </c>
      <c r="C332" s="42" t="inlineStr">
        <is>
          <t>0405622015</t>
        </is>
      </c>
      <c r="D332" s="42" t="inlineStr">
        <is>
          <t>Region IV-A (CALABARZON)</t>
        </is>
      </c>
      <c r="E332" s="42" t="inlineStr">
        <is>
          <t>Quezon</t>
        </is>
      </c>
      <c r="F332" s="42" t="inlineStr">
        <is>
          <t>Lopez</t>
        </is>
      </c>
      <c r="G332" s="42" t="inlineStr">
        <is>
          <t>Bocboc</t>
        </is>
      </c>
      <c r="H332" s="43" t="n">
        <v>13.87233</v>
      </c>
      <c r="I332" s="43" t="n">
        <v>122.261093</v>
      </c>
      <c r="J332" s="44" t="inlineStr">
        <is>
          <t>R</t>
        </is>
      </c>
      <c r="K332" s="42" t="inlineStr">
        <is>
          <t>Class 1-3 / Urban</t>
        </is>
      </c>
      <c r="L332" s="23" t="n">
        <v>2780</v>
      </c>
      <c r="M332" s="24" t="n">
        <v>4.46</v>
      </c>
      <c r="N332" s="23">
        <f>ROUND(L332/M332, 0)</f>
        <v/>
      </c>
      <c r="O332" s="23">
        <f>ROUND(N332*'Methodology &amp; Assumptions'!$B$8, 0)</f>
        <v/>
      </c>
      <c r="P332" s="44" t="inlineStr">
        <is>
          <t>Band n50 (1.5 GHz, 60 MHz)</t>
        </is>
      </c>
      <c r="Q332" s="38">
        <f>ROUNDUP(O332/'Methodology &amp; Assumptions'!$B$9, 0)</f>
        <v/>
      </c>
      <c r="R332" s="39" t="n">
        <v>1</v>
      </c>
      <c r="S332" s="25" t="n">
        <v>1.66</v>
      </c>
      <c r="T332" s="25" t="n">
        <v>1.28</v>
      </c>
      <c r="U332" s="42" t="inlineStr">
        <is>
          <t>Tier 1B (Micro Drop, 1-3 km)</t>
        </is>
      </c>
      <c r="V332" s="24" t="n">
        <v>67.5</v>
      </c>
      <c r="W332" s="24" t="n">
        <v>73.90000000000001</v>
      </c>
      <c r="X332" s="24" t="n">
        <v>58</v>
      </c>
      <c r="Y332" s="45">
        <f>ROUND((V332*'Methodology &amp; Assumptions'!$B$6)+(W332*'Methodology &amp; Assumptions'!$B$5)+(X332*'Methodology &amp; Assumptions'!$B$7), 2)</f>
        <v/>
      </c>
    </row>
    <row r="333" ht="19" customHeight="1">
      <c r="A333" s="35" t="n">
        <v>329</v>
      </c>
      <c r="B333" s="35" t="n">
        <v>3329</v>
      </c>
      <c r="C333" s="36" t="inlineStr">
        <is>
          <t>0702210011</t>
        </is>
      </c>
      <c r="D333" s="36" t="inlineStr">
        <is>
          <t>Region VII (Central Visayas)</t>
        </is>
      </c>
      <c r="E333" s="36" t="inlineStr">
        <is>
          <t>Cebu</t>
        </is>
      </c>
      <c r="F333" s="36" t="inlineStr">
        <is>
          <t>Barili</t>
        </is>
      </c>
      <c r="G333" s="36" t="inlineStr">
        <is>
          <t>Guibuangan</t>
        </is>
      </c>
      <c r="H333" s="37" t="n">
        <v>10.115576</v>
      </c>
      <c r="I333" s="37" t="n">
        <v>123.495124</v>
      </c>
      <c r="J333" s="8" t="inlineStr">
        <is>
          <t>R</t>
        </is>
      </c>
      <c r="K333" s="36" t="inlineStr">
        <is>
          <t>Class 1-3 / Urban</t>
        </is>
      </c>
      <c r="L333" s="18" t="n">
        <v>2594</v>
      </c>
      <c r="M333" s="20" t="n">
        <v>4.42</v>
      </c>
      <c r="N333" s="18">
        <f>ROUND(L333/M333, 0)</f>
        <v/>
      </c>
      <c r="O333" s="18">
        <f>ROUND(N333*'Methodology &amp; Assumptions'!$B$8, 0)</f>
        <v/>
      </c>
      <c r="P333" s="8" t="inlineStr">
        <is>
          <t>Band n50 (1.5 GHz, 60 MHz)</t>
        </is>
      </c>
      <c r="Q333" s="38">
        <f>ROUNDUP(O333/'Methodology &amp; Assumptions'!$B$9, 0)</f>
        <v/>
      </c>
      <c r="R333" s="39" t="n">
        <v>1</v>
      </c>
      <c r="S333" s="21" t="n">
        <v>1.51</v>
      </c>
      <c r="T333" s="21" t="n">
        <v>0.24</v>
      </c>
      <c r="U333" s="36" t="inlineStr">
        <is>
          <t>Tier 1B (Micro Drop, 1-3 km)</t>
        </is>
      </c>
      <c r="V333" s="20" t="n">
        <v>70.5</v>
      </c>
      <c r="W333" s="20" t="n">
        <v>70.90000000000001</v>
      </c>
      <c r="X333" s="20" t="n">
        <v>58</v>
      </c>
      <c r="Y333" s="40">
        <f>ROUND((V333*'Methodology &amp; Assumptions'!$B$6)+(W333*'Methodology &amp; Assumptions'!$B$5)+(X333*'Methodology &amp; Assumptions'!$B$7), 2)</f>
        <v/>
      </c>
    </row>
    <row r="334" ht="19" customHeight="1">
      <c r="A334" s="41" t="n">
        <v>330</v>
      </c>
      <c r="B334" s="41" t="n">
        <v>3330</v>
      </c>
      <c r="C334" s="42" t="inlineStr">
        <is>
          <t>0702205040</t>
        </is>
      </c>
      <c r="D334" s="42" t="inlineStr">
        <is>
          <t>Region VII (Central Visayas)</t>
        </is>
      </c>
      <c r="E334" s="42" t="inlineStr">
        <is>
          <t>Cebu</t>
        </is>
      </c>
      <c r="F334" s="42" t="inlineStr">
        <is>
          <t>Argao</t>
        </is>
      </c>
      <c r="G334" s="42" t="inlineStr">
        <is>
          <t>Talaytay</t>
        </is>
      </c>
      <c r="H334" s="43" t="n">
        <v>9.891895999999999</v>
      </c>
      <c r="I334" s="43" t="n">
        <v>123.597521</v>
      </c>
      <c r="J334" s="44" t="inlineStr">
        <is>
          <t>R</t>
        </is>
      </c>
      <c r="K334" s="42" t="inlineStr">
        <is>
          <t>Class 1-3 / Urban</t>
        </is>
      </c>
      <c r="L334" s="23" t="n">
        <v>1891</v>
      </c>
      <c r="M334" s="24" t="n">
        <v>4.42</v>
      </c>
      <c r="N334" s="23">
        <f>ROUND(L334/M334, 0)</f>
        <v/>
      </c>
      <c r="O334" s="23">
        <f>ROUND(N334*'Methodology &amp; Assumptions'!$B$8, 0)</f>
        <v/>
      </c>
      <c r="P334" s="44" t="inlineStr">
        <is>
          <t>Band n50 (1.5 GHz, 60 MHz)</t>
        </is>
      </c>
      <c r="Q334" s="38">
        <f>ROUNDUP(O334/'Methodology &amp; Assumptions'!$B$9, 0)</f>
        <v/>
      </c>
      <c r="R334" s="39" t="n">
        <v>1</v>
      </c>
      <c r="S334" s="25" t="n">
        <v>0.93</v>
      </c>
      <c r="T334" s="25" t="n">
        <v>0.8100000000000001</v>
      </c>
      <c r="U334" s="42" t="inlineStr">
        <is>
          <t>Tier 1A (Direct Coloc, &lt;1 km)</t>
        </is>
      </c>
      <c r="V334" s="24" t="n">
        <v>83.3</v>
      </c>
      <c r="W334" s="24" t="n">
        <v>58.1</v>
      </c>
      <c r="X334" s="24" t="n">
        <v>58</v>
      </c>
      <c r="Y334" s="45">
        <f>ROUND((V334*'Methodology &amp; Assumptions'!$B$6)+(W334*'Methodology &amp; Assumptions'!$B$5)+(X334*'Methodology &amp; Assumptions'!$B$7), 2)</f>
        <v/>
      </c>
    </row>
    <row r="335" ht="19" customHeight="1">
      <c r="A335" s="35" t="n">
        <v>331</v>
      </c>
      <c r="B335" s="35" t="n">
        <v>3331</v>
      </c>
      <c r="C335" s="36" t="inlineStr">
        <is>
          <t>0506208029</t>
        </is>
      </c>
      <c r="D335" s="36" t="inlineStr">
        <is>
          <t>Region V (Bicol Region)</t>
        </is>
      </c>
      <c r="E335" s="36" t="inlineStr">
        <is>
          <t>Sorsogon</t>
        </is>
      </c>
      <c r="F335" s="36" t="inlineStr">
        <is>
          <t>Gubat</t>
        </is>
      </c>
      <c r="G335" s="36" t="inlineStr">
        <is>
          <t>Paradijon</t>
        </is>
      </c>
      <c r="H335" s="37" t="n">
        <v>12.917234</v>
      </c>
      <c r="I335" s="37" t="n">
        <v>124.12107</v>
      </c>
      <c r="J335" s="8" t="inlineStr">
        <is>
          <t>R</t>
        </is>
      </c>
      <c r="K335" s="36" t="inlineStr">
        <is>
          <t>Class 1-3 / Urban</t>
        </is>
      </c>
      <c r="L335" s="18" t="n">
        <v>1354</v>
      </c>
      <c r="M335" s="20" t="n">
        <v>4.58</v>
      </c>
      <c r="N335" s="18">
        <f>ROUND(L335/M335, 0)</f>
        <v/>
      </c>
      <c r="O335" s="18">
        <f>ROUND(N335*'Methodology &amp; Assumptions'!$B$8, 0)</f>
        <v/>
      </c>
      <c r="P335" s="8" t="inlineStr">
        <is>
          <t>Band n50 (1.5 GHz, 60 MHz)</t>
        </is>
      </c>
      <c r="Q335" s="38">
        <f>ROUNDUP(O335/'Methodology &amp; Assumptions'!$B$9, 0)</f>
        <v/>
      </c>
      <c r="R335" s="39" t="n">
        <v>1</v>
      </c>
      <c r="S335" s="21" t="n">
        <v>0.53</v>
      </c>
      <c r="T335" s="21" t="n">
        <v>0.22</v>
      </c>
      <c r="U335" s="36" t="inlineStr">
        <is>
          <t>Tier 1A (Direct Coloc, &lt;1 km)</t>
        </is>
      </c>
      <c r="V335" s="20" t="n">
        <v>93.7</v>
      </c>
      <c r="W335" s="20" t="n">
        <v>47.7</v>
      </c>
      <c r="X335" s="20" t="n">
        <v>58</v>
      </c>
      <c r="Y335" s="40">
        <f>ROUND((V335*'Methodology &amp; Assumptions'!$B$6)+(W335*'Methodology &amp; Assumptions'!$B$5)+(X335*'Methodology &amp; Assumptions'!$B$7), 2)</f>
        <v/>
      </c>
    </row>
    <row r="336" ht="19" customHeight="1">
      <c r="A336" s="41" t="n">
        <v>332</v>
      </c>
      <c r="B336" s="41" t="n">
        <v>3332</v>
      </c>
      <c r="C336" s="42" t="inlineStr">
        <is>
          <t>0731100021</t>
        </is>
      </c>
      <c r="D336" s="42" t="inlineStr">
        <is>
          <t>Region VII (Central Visayas)</t>
        </is>
      </c>
      <c r="E336" s="42" t="inlineStr">
        <is>
          <t>Cebu</t>
        </is>
      </c>
      <c r="F336" s="42" t="inlineStr">
        <is>
          <t>City of Lapu-Lapu</t>
        </is>
      </c>
      <c r="G336" s="42" t="inlineStr">
        <is>
          <t>Poblacion</t>
        </is>
      </c>
      <c r="H336" s="43" t="n">
        <v>10.313241</v>
      </c>
      <c r="I336" s="43" t="n">
        <v>123.949042</v>
      </c>
      <c r="J336" s="44" t="inlineStr">
        <is>
          <t>U</t>
        </is>
      </c>
      <c r="K336" s="42" t="inlineStr">
        <is>
          <t>Class 1-3 / Urban</t>
        </is>
      </c>
      <c r="L336" s="23" t="n">
        <v>6238</v>
      </c>
      <c r="M336" s="24" t="n">
        <v>4.42</v>
      </c>
      <c r="N336" s="23">
        <f>ROUND(L336/M336, 0)</f>
        <v/>
      </c>
      <c r="O336" s="23">
        <f>ROUND(N336*'Methodology &amp; Assumptions'!$B$8, 0)</f>
        <v/>
      </c>
      <c r="P336" s="44" t="inlineStr">
        <is>
          <t>Band n50 (1.5 GHz, 60 MHz)</t>
        </is>
      </c>
      <c r="Q336" s="38">
        <f>ROUNDUP(O336/'Methodology &amp; Assumptions'!$B$9, 0)</f>
        <v/>
      </c>
      <c r="R336" s="39" t="n">
        <v>1</v>
      </c>
      <c r="S336" s="25" t="n">
        <v>1.2</v>
      </c>
      <c r="T336" s="25" t="n">
        <v>2.59</v>
      </c>
      <c r="U336" s="42" t="inlineStr">
        <is>
          <t>Tier 1B (Micro Drop, 1-3 km)</t>
        </is>
      </c>
      <c r="V336" s="24" t="n">
        <v>67.09999999999999</v>
      </c>
      <c r="W336" s="24" t="n">
        <v>100</v>
      </c>
      <c r="X336" s="24" t="n">
        <v>28</v>
      </c>
      <c r="Y336" s="45">
        <f>ROUND((V336*'Methodology &amp; Assumptions'!$B$6)+(W336*'Methodology &amp; Assumptions'!$B$5)+(X336*'Methodology &amp; Assumptions'!$B$7), 2)</f>
        <v/>
      </c>
    </row>
    <row r="337" ht="19" customHeight="1">
      <c r="A337" s="35" t="n">
        <v>333</v>
      </c>
      <c r="B337" s="35" t="n">
        <v>3333</v>
      </c>
      <c r="C337" s="36" t="inlineStr">
        <is>
          <t>0307708018</t>
        </is>
      </c>
      <c r="D337" s="36" t="inlineStr">
        <is>
          <t>Region III (Central Luzon)</t>
        </is>
      </c>
      <c r="E337" s="36" t="inlineStr">
        <is>
          <t>Aurora</t>
        </is>
      </c>
      <c r="F337" s="36" t="inlineStr">
        <is>
          <t>San Luis</t>
        </is>
      </c>
      <c r="G337" s="36" t="inlineStr">
        <is>
          <t>Zarah</t>
        </is>
      </c>
      <c r="H337" s="37" t="n">
        <v>15.729207</v>
      </c>
      <c r="I337" s="37" t="n">
        <v>121.523754</v>
      </c>
      <c r="J337" s="8" t="inlineStr">
        <is>
          <t>R</t>
        </is>
      </c>
      <c r="K337" s="36" t="inlineStr">
        <is>
          <t>Class 1-3 / Urban</t>
        </is>
      </c>
      <c r="L337" s="18" t="n">
        <v>2888</v>
      </c>
      <c r="M337" s="20" t="n">
        <v>4.24</v>
      </c>
      <c r="N337" s="18">
        <f>ROUND(L337/M337, 0)</f>
        <v/>
      </c>
      <c r="O337" s="18">
        <f>ROUND(N337*'Methodology &amp; Assumptions'!$B$8, 0)</f>
        <v/>
      </c>
      <c r="P337" s="8" t="inlineStr">
        <is>
          <t>Band n50 (1.5 GHz, 60 MHz)</t>
        </is>
      </c>
      <c r="Q337" s="38">
        <f>ROUNDUP(O337/'Methodology &amp; Assumptions'!$B$9, 0)</f>
        <v/>
      </c>
      <c r="R337" s="39" t="n">
        <v>1</v>
      </c>
      <c r="S337" s="21" t="n">
        <v>1.39</v>
      </c>
      <c r="T337" s="21" t="n">
        <v>2.55</v>
      </c>
      <c r="U337" s="36" t="inlineStr">
        <is>
          <t>Tier 1B (Micro Drop, 1-3 km)</t>
        </is>
      </c>
      <c r="V337" s="20" t="n">
        <v>63</v>
      </c>
      <c r="W337" s="20" t="n">
        <v>78.40000000000001</v>
      </c>
      <c r="X337" s="20" t="n">
        <v>58</v>
      </c>
      <c r="Y337" s="40">
        <f>ROUND((V337*'Methodology &amp; Assumptions'!$B$6)+(W337*'Methodology &amp; Assumptions'!$B$5)+(X337*'Methodology &amp; Assumptions'!$B$7), 2)</f>
        <v/>
      </c>
    </row>
    <row r="338" ht="19" customHeight="1">
      <c r="A338" s="41" t="n">
        <v>334</v>
      </c>
      <c r="B338" s="41" t="n">
        <v>3334</v>
      </c>
      <c r="C338" s="42" t="inlineStr">
        <is>
          <t>0401012041</t>
        </is>
      </c>
      <c r="D338" s="42" t="inlineStr">
        <is>
          <t>Region IV-A (CALABARZON)</t>
        </is>
      </c>
      <c r="E338" s="42" t="inlineStr">
        <is>
          <t>Batangas</t>
        </is>
      </c>
      <c r="F338" s="42" t="inlineStr">
        <is>
          <t>Lemery</t>
        </is>
      </c>
      <c r="G338" s="42" t="inlineStr">
        <is>
          <t>Sangalang</t>
        </is>
      </c>
      <c r="H338" s="43" t="n">
        <v>13.883572</v>
      </c>
      <c r="I338" s="43" t="n">
        <v>120.911772</v>
      </c>
      <c r="J338" s="44" t="inlineStr">
        <is>
          <t>R</t>
        </is>
      </c>
      <c r="K338" s="42" t="inlineStr">
        <is>
          <t>Class 1-3 / Urban</t>
        </is>
      </c>
      <c r="L338" s="23" t="n">
        <v>2112</v>
      </c>
      <c r="M338" s="24" t="n">
        <v>4.62</v>
      </c>
      <c r="N338" s="23">
        <f>ROUND(L338/M338, 0)</f>
        <v/>
      </c>
      <c r="O338" s="23">
        <f>ROUND(N338*'Methodology &amp; Assumptions'!$B$8, 0)</f>
        <v/>
      </c>
      <c r="P338" s="44" t="inlineStr">
        <is>
          <t>Band n50 (1.5 GHz, 60 MHz)</t>
        </is>
      </c>
      <c r="Q338" s="38">
        <f>ROUNDUP(O338/'Methodology &amp; Assumptions'!$B$9, 0)</f>
        <v/>
      </c>
      <c r="R338" s="39" t="n">
        <v>1</v>
      </c>
      <c r="S338" s="25" t="n">
        <v>1.03</v>
      </c>
      <c r="T338" s="25" t="n">
        <v>1.44</v>
      </c>
      <c r="U338" s="42" t="inlineStr">
        <is>
          <t>Tier 1B (Micro Drop, 1-3 km)</t>
        </is>
      </c>
      <c r="V338" s="24" t="n">
        <v>80.8</v>
      </c>
      <c r="W338" s="24" t="n">
        <v>60.5</v>
      </c>
      <c r="X338" s="24" t="n">
        <v>58</v>
      </c>
      <c r="Y338" s="45">
        <f>ROUND((V338*'Methodology &amp; Assumptions'!$B$6)+(W338*'Methodology &amp; Assumptions'!$B$5)+(X338*'Methodology &amp; Assumptions'!$B$7), 2)</f>
        <v/>
      </c>
    </row>
    <row r="339" ht="19" customHeight="1">
      <c r="A339" s="35" t="n">
        <v>335</v>
      </c>
      <c r="B339" s="35" t="n">
        <v>3335</v>
      </c>
      <c r="C339" s="36" t="inlineStr">
        <is>
          <t>0105504006</t>
        </is>
      </c>
      <c r="D339" s="36" t="inlineStr">
        <is>
          <t>Region I (Ilocos Region)</t>
        </is>
      </c>
      <c r="E339" s="36" t="inlineStr">
        <is>
          <t>Pangasinan</t>
        </is>
      </c>
      <c r="F339" s="36" t="inlineStr">
        <is>
          <t>Alcala</t>
        </is>
      </c>
      <c r="G339" s="36" t="inlineStr">
        <is>
          <t>Caranglaan</t>
        </is>
      </c>
      <c r="H339" s="37" t="n">
        <v>15.854602</v>
      </c>
      <c r="I339" s="37" t="n">
        <v>120.539423</v>
      </c>
      <c r="J339" s="8" t="inlineStr">
        <is>
          <t>R</t>
        </is>
      </c>
      <c r="K339" s="36" t="inlineStr">
        <is>
          <t>Class 1-3 / Urban</t>
        </is>
      </c>
      <c r="L339" s="18" t="n">
        <v>1340</v>
      </c>
      <c r="M339" s="20" t="n">
        <v>4.39</v>
      </c>
      <c r="N339" s="18">
        <f>ROUND(L339/M339, 0)</f>
        <v/>
      </c>
      <c r="O339" s="18">
        <f>ROUND(N339*'Methodology &amp; Assumptions'!$B$8, 0)</f>
        <v/>
      </c>
      <c r="P339" s="8" t="inlineStr">
        <is>
          <t>Band n50 (1.5 GHz, 60 MHz)</t>
        </is>
      </c>
      <c r="Q339" s="38">
        <f>ROUNDUP(O339/'Methodology &amp; Assumptions'!$B$9, 0)</f>
        <v/>
      </c>
      <c r="R339" s="39" t="n">
        <v>1</v>
      </c>
      <c r="S339" s="21" t="n">
        <v>0.22</v>
      </c>
      <c r="T339" s="21" t="n">
        <v>6.86</v>
      </c>
      <c r="U339" s="36" t="inlineStr">
        <is>
          <t>Tier 1A (Direct Coloc, &lt;1 km)</t>
        </is>
      </c>
      <c r="V339" s="20" t="n">
        <v>92.8</v>
      </c>
      <c r="W339" s="20" t="n">
        <v>48.5</v>
      </c>
      <c r="X339" s="20" t="n">
        <v>58</v>
      </c>
      <c r="Y339" s="40">
        <f>ROUND((V339*'Methodology &amp; Assumptions'!$B$6)+(W339*'Methodology &amp; Assumptions'!$B$5)+(X339*'Methodology &amp; Assumptions'!$B$7), 2)</f>
        <v/>
      </c>
    </row>
    <row r="340" ht="19" customHeight="1">
      <c r="A340" s="41" t="n">
        <v>336</v>
      </c>
      <c r="B340" s="41" t="n">
        <v>3336</v>
      </c>
      <c r="C340" s="42" t="inlineStr">
        <is>
          <t>0403410002</t>
        </is>
      </c>
      <c r="D340" s="42" t="inlineStr">
        <is>
          <t>Region IV-A (CALABARZON)</t>
        </is>
      </c>
      <c r="E340" s="42" t="inlineStr">
        <is>
          <t>Laguna</t>
        </is>
      </c>
      <c r="F340" s="42" t="inlineStr">
        <is>
          <t>Liliw</t>
        </is>
      </c>
      <c r="G340" s="42" t="inlineStr">
        <is>
          <t>Bagong Anyo</t>
        </is>
      </c>
      <c r="H340" s="43" t="n">
        <v>14.13292</v>
      </c>
      <c r="I340" s="43" t="n">
        <v>121.439464</v>
      </c>
      <c r="J340" s="44" t="inlineStr">
        <is>
          <t>R</t>
        </is>
      </c>
      <c r="K340" s="42" t="inlineStr">
        <is>
          <t>3rd</t>
        </is>
      </c>
      <c r="L340" s="23" t="n">
        <v>1128</v>
      </c>
      <c r="M340" s="24" t="n">
        <v>3.93</v>
      </c>
      <c r="N340" s="23">
        <f>ROUND(L340/M340, 0)</f>
        <v/>
      </c>
      <c r="O340" s="23">
        <f>ROUND(N340*'Methodology &amp; Assumptions'!$B$8, 0)</f>
        <v/>
      </c>
      <c r="P340" s="44" t="inlineStr">
        <is>
          <t>Band n50 (1.5 GHz, 60 MHz)</t>
        </is>
      </c>
      <c r="Q340" s="38">
        <f>ROUNDUP(O340/'Methodology &amp; Assumptions'!$B$9, 0)</f>
        <v/>
      </c>
      <c r="R340" s="39" t="n">
        <v>1</v>
      </c>
      <c r="S340" s="25" t="n">
        <v>0.51</v>
      </c>
      <c r="T340" s="25" t="n">
        <v>0.13</v>
      </c>
      <c r="U340" s="42" t="inlineStr">
        <is>
          <t>Tier 1A (Direct Coloc, &lt;1 km)</t>
        </is>
      </c>
      <c r="V340" s="24" t="n">
        <v>94.40000000000001</v>
      </c>
      <c r="W340" s="24" t="n">
        <v>46.9</v>
      </c>
      <c r="X340" s="24" t="n">
        <v>58</v>
      </c>
      <c r="Y340" s="45">
        <f>ROUND((V340*'Methodology &amp; Assumptions'!$B$6)+(W340*'Methodology &amp; Assumptions'!$B$5)+(X340*'Methodology &amp; Assumptions'!$B$7), 2)</f>
        <v/>
      </c>
    </row>
    <row r="341" ht="19" customHeight="1">
      <c r="A341" s="35" t="n">
        <v>337</v>
      </c>
      <c r="B341" s="35" t="n">
        <v>3337</v>
      </c>
      <c r="C341" s="36" t="inlineStr">
        <is>
          <t>0501723031</t>
        </is>
      </c>
      <c r="D341" s="36" t="inlineStr">
        <is>
          <t>Region V (Bicol Region)</t>
        </is>
      </c>
      <c r="E341" s="36" t="inlineStr">
        <is>
          <t>Camarines Sur</t>
        </is>
      </c>
      <c r="F341" s="36" t="inlineStr">
        <is>
          <t>Nabua</t>
        </is>
      </c>
      <c r="G341" s="36" t="inlineStr">
        <is>
          <t>San Nicolas</t>
        </is>
      </c>
      <c r="H341" s="37" t="n">
        <v>13.405299</v>
      </c>
      <c r="I341" s="37" t="n">
        <v>123.372323</v>
      </c>
      <c r="J341" s="8" t="inlineStr">
        <is>
          <t>R</t>
        </is>
      </c>
      <c r="K341" s="36" t="inlineStr">
        <is>
          <t>Class 1-3 / Urban</t>
        </is>
      </c>
      <c r="L341" s="18" t="n">
        <v>1108</v>
      </c>
      <c r="M341" s="20" t="n">
        <v>4.9</v>
      </c>
      <c r="N341" s="18">
        <f>ROUND(L341/M341, 0)</f>
        <v/>
      </c>
      <c r="O341" s="18">
        <f>ROUND(N341*'Methodology &amp; Assumptions'!$B$8, 0)</f>
        <v/>
      </c>
      <c r="P341" s="8" t="inlineStr">
        <is>
          <t>Band n50 (1.5 GHz, 60 MHz)</t>
        </is>
      </c>
      <c r="Q341" s="38">
        <f>ROUNDUP(O341/'Methodology &amp; Assumptions'!$B$9, 0)</f>
        <v/>
      </c>
      <c r="R341" s="39" t="n">
        <v>1</v>
      </c>
      <c r="S341" s="21" t="n">
        <v>0.34</v>
      </c>
      <c r="T341" s="21" t="n">
        <v>0.26</v>
      </c>
      <c r="U341" s="36" t="inlineStr">
        <is>
          <t>Tier 1A (Direct Coloc, &lt;1 km)</t>
        </is>
      </c>
      <c r="V341" s="20" t="n">
        <v>99.2</v>
      </c>
      <c r="W341" s="20" t="n">
        <v>42.1</v>
      </c>
      <c r="X341" s="20" t="n">
        <v>58</v>
      </c>
      <c r="Y341" s="40">
        <f>ROUND((V341*'Methodology &amp; Assumptions'!$B$6)+(W341*'Methodology &amp; Assumptions'!$B$5)+(X341*'Methodology &amp; Assumptions'!$B$7), 2)</f>
        <v/>
      </c>
    </row>
    <row r="342" ht="19" customHeight="1">
      <c r="A342" s="41" t="n">
        <v>338</v>
      </c>
      <c r="B342" s="41" t="n">
        <v>3338</v>
      </c>
      <c r="C342" s="42" t="inlineStr">
        <is>
          <t>1102315026</t>
        </is>
      </c>
      <c r="D342" s="42" t="inlineStr">
        <is>
          <t>Region XI (Davao Region)</t>
        </is>
      </c>
      <c r="E342" s="42" t="inlineStr">
        <is>
          <t>Davao del Norte</t>
        </is>
      </c>
      <c r="F342" s="42" t="inlineStr">
        <is>
          <t>City of Panabo</t>
        </is>
      </c>
      <c r="G342" s="42" t="inlineStr">
        <is>
          <t>New Visayas</t>
        </is>
      </c>
      <c r="H342" s="43" t="n">
        <v>7.308746</v>
      </c>
      <c r="I342" s="43" t="n">
        <v>125.667376</v>
      </c>
      <c r="J342" s="44" t="inlineStr">
        <is>
          <t>U</t>
        </is>
      </c>
      <c r="K342" s="42" t="inlineStr">
        <is>
          <t>Class 1-3 / Urban</t>
        </is>
      </c>
      <c r="L342" s="23" t="n">
        <v>18987</v>
      </c>
      <c r="M342" s="24" t="n">
        <v>4.25</v>
      </c>
      <c r="N342" s="23">
        <f>ROUND(L342/M342, 0)</f>
        <v/>
      </c>
      <c r="O342" s="23">
        <f>ROUND(N342*'Methodology &amp; Assumptions'!$B$8, 0)</f>
        <v/>
      </c>
      <c r="P342" s="44" t="inlineStr">
        <is>
          <t>Band n50 (1.5 GHz, 60 MHz)</t>
        </is>
      </c>
      <c r="Q342" s="38">
        <f>ROUNDUP(O342/'Methodology &amp; Assumptions'!$B$9, 0)</f>
        <v/>
      </c>
      <c r="R342" s="39" t="n">
        <v>1</v>
      </c>
      <c r="S342" s="25" t="n">
        <v>1.68</v>
      </c>
      <c r="T342" s="25" t="n">
        <v>1.72</v>
      </c>
      <c r="U342" s="42" t="inlineStr">
        <is>
          <t>Tier 1B (Micro Drop, 1-3 km)</t>
        </is>
      </c>
      <c r="V342" s="24" t="n">
        <v>67.09999999999999</v>
      </c>
      <c r="W342" s="24" t="n">
        <v>100</v>
      </c>
      <c r="X342" s="24" t="n">
        <v>28</v>
      </c>
      <c r="Y342" s="45">
        <f>ROUND((V342*'Methodology &amp; Assumptions'!$B$6)+(W342*'Methodology &amp; Assumptions'!$B$5)+(X342*'Methodology &amp; Assumptions'!$B$7), 2)</f>
        <v/>
      </c>
    </row>
    <row r="343" ht="19" customHeight="1">
      <c r="A343" s="35" t="n">
        <v>339</v>
      </c>
      <c r="B343" s="35" t="n">
        <v>3339</v>
      </c>
      <c r="C343" s="36" t="inlineStr">
        <is>
          <t>1004318007</t>
        </is>
      </c>
      <c r="D343" s="36" t="inlineStr">
        <is>
          <t>Region X (Northern Mindanao)</t>
        </is>
      </c>
      <c r="E343" s="36" t="inlineStr">
        <is>
          <t>Misamis Oriental</t>
        </is>
      </c>
      <c r="F343" s="36" t="inlineStr">
        <is>
          <t>Manticao</t>
        </is>
      </c>
      <c r="G343" s="36" t="inlineStr">
        <is>
          <t>Pagawan</t>
        </is>
      </c>
      <c r="H343" s="37" t="n">
        <v>8.384993</v>
      </c>
      <c r="I343" s="37" t="n">
        <v>124.3003</v>
      </c>
      <c r="J343" s="8" t="inlineStr">
        <is>
          <t>R</t>
        </is>
      </c>
      <c r="K343" s="36" t="inlineStr">
        <is>
          <t>2nd</t>
        </is>
      </c>
      <c r="L343" s="18" t="n">
        <v>2451</v>
      </c>
      <c r="M343" s="20" t="n">
        <v>4.4</v>
      </c>
      <c r="N343" s="18">
        <f>ROUND(L343/M343, 0)</f>
        <v/>
      </c>
      <c r="O343" s="18">
        <f>ROUND(N343*'Methodology &amp; Assumptions'!$B$8, 0)</f>
        <v/>
      </c>
      <c r="P343" s="8" t="inlineStr">
        <is>
          <t>Band n50 (1.5 GHz, 60 MHz)</t>
        </is>
      </c>
      <c r="Q343" s="38">
        <f>ROUNDUP(O343/'Methodology &amp; Assumptions'!$B$9, 0)</f>
        <v/>
      </c>
      <c r="R343" s="39" t="n">
        <v>1</v>
      </c>
      <c r="S343" s="21" t="n">
        <v>2.08</v>
      </c>
      <c r="T343" s="21" t="n">
        <v>1.76</v>
      </c>
      <c r="U343" s="36" t="inlineStr">
        <is>
          <t>Tier 1B (Micro Drop, 1-3 km)</t>
        </is>
      </c>
      <c r="V343" s="20" t="n">
        <v>59.9</v>
      </c>
      <c r="W343" s="20" t="n">
        <v>68.5</v>
      </c>
      <c r="X343" s="20" t="n">
        <v>73</v>
      </c>
      <c r="Y343" s="40">
        <f>ROUND((V343*'Methodology &amp; Assumptions'!$B$6)+(W343*'Methodology &amp; Assumptions'!$B$5)+(X343*'Methodology &amp; Assumptions'!$B$7), 2)</f>
        <v/>
      </c>
    </row>
    <row r="344" ht="19" customHeight="1">
      <c r="A344" s="41" t="n">
        <v>340</v>
      </c>
      <c r="B344" s="41" t="n">
        <v>3340</v>
      </c>
      <c r="C344" s="42" t="inlineStr">
        <is>
          <t>0402115025</t>
        </is>
      </c>
      <c r="D344" s="42" t="inlineStr">
        <is>
          <t>Region IV-A (CALABARZON)</t>
        </is>
      </c>
      <c r="E344" s="42" t="inlineStr">
        <is>
          <t>Cavite</t>
        </is>
      </c>
      <c r="F344" s="42" t="inlineStr">
        <is>
          <t>Naic</t>
        </is>
      </c>
      <c r="G344" s="42" t="inlineStr">
        <is>
          <t>Palangue 1</t>
        </is>
      </c>
      <c r="H344" s="43" t="n">
        <v>14.266545</v>
      </c>
      <c r="I344" s="43" t="n">
        <v>120.82118</v>
      </c>
      <c r="J344" s="44" t="inlineStr">
        <is>
          <t>R</t>
        </is>
      </c>
      <c r="K344" s="42" t="inlineStr">
        <is>
          <t>Class 1-3 / Urban</t>
        </is>
      </c>
      <c r="L344" s="23" t="n">
        <v>4409</v>
      </c>
      <c r="M344" s="24" t="n">
        <v>4.49</v>
      </c>
      <c r="N344" s="23">
        <f>ROUND(L344/M344, 0)</f>
        <v/>
      </c>
      <c r="O344" s="23">
        <f>ROUND(N344*'Methodology &amp; Assumptions'!$B$8, 0)</f>
        <v/>
      </c>
      <c r="P344" s="44" t="inlineStr">
        <is>
          <t>Band n50 (1.5 GHz, 60 MHz)</t>
        </is>
      </c>
      <c r="Q344" s="38">
        <f>ROUNDUP(O344/'Methodology &amp; Assumptions'!$B$9, 0)</f>
        <v/>
      </c>
      <c r="R344" s="39" t="n">
        <v>1</v>
      </c>
      <c r="S344" s="25" t="n">
        <v>2.65</v>
      </c>
      <c r="T344" s="25" t="n">
        <v>2.88</v>
      </c>
      <c r="U344" s="42" t="inlineStr">
        <is>
          <t>Tier 1B (Micro Drop, 1-3 km)</t>
        </is>
      </c>
      <c r="V344" s="24" t="n">
        <v>41.3</v>
      </c>
      <c r="W344" s="24" t="n">
        <v>100</v>
      </c>
      <c r="X344" s="24" t="n">
        <v>58</v>
      </c>
      <c r="Y344" s="45">
        <f>ROUND((V344*'Methodology &amp; Assumptions'!$B$6)+(W344*'Methodology &amp; Assumptions'!$B$5)+(X344*'Methodology &amp; Assumptions'!$B$7), 2)</f>
        <v/>
      </c>
    </row>
    <row r="345" ht="19" customHeight="1">
      <c r="A345" s="35" t="n">
        <v>341</v>
      </c>
      <c r="B345" s="35" t="n">
        <v>3341</v>
      </c>
      <c r="C345" s="36" t="inlineStr">
        <is>
          <t>0203118028</t>
        </is>
      </c>
      <c r="D345" s="36" t="inlineStr">
        <is>
          <t>Region II (Cagayan Valley)</t>
        </is>
      </c>
      <c r="E345" s="36" t="inlineStr">
        <is>
          <t>Isabela</t>
        </is>
      </c>
      <c r="F345" s="36" t="inlineStr">
        <is>
          <t>Delfin Albano</t>
        </is>
      </c>
      <c r="G345" s="36" t="inlineStr">
        <is>
          <t>Villa Pereda</t>
        </is>
      </c>
      <c r="H345" s="37" t="n">
        <v>17.271947</v>
      </c>
      <c r="I345" s="37" t="n">
        <v>121.816281</v>
      </c>
      <c r="J345" s="8" t="inlineStr">
        <is>
          <t>R</t>
        </is>
      </c>
      <c r="K345" s="36" t="inlineStr">
        <is>
          <t>1st</t>
        </is>
      </c>
      <c r="L345" s="18" t="n">
        <v>865</v>
      </c>
      <c r="M345" s="20" t="n">
        <v>4.01</v>
      </c>
      <c r="N345" s="18">
        <f>ROUND(L345/M345, 0)</f>
        <v/>
      </c>
      <c r="O345" s="18">
        <f>ROUND(N345*'Methodology &amp; Assumptions'!$B$8, 0)</f>
        <v/>
      </c>
      <c r="P345" s="8" t="inlineStr">
        <is>
          <t>Band n50 (1.5 GHz, 60 MHz)</t>
        </is>
      </c>
      <c r="Q345" s="38">
        <f>ROUNDUP(O345/'Methodology &amp; Assumptions'!$B$9, 0)</f>
        <v/>
      </c>
      <c r="R345" s="39" t="n">
        <v>1</v>
      </c>
      <c r="S345" s="21" t="n">
        <v>0.15</v>
      </c>
      <c r="T345" s="21" t="n">
        <v>0.12</v>
      </c>
      <c r="U345" s="36" t="inlineStr">
        <is>
          <t>Tier 1A (Direct Coloc, &lt;1 km)</t>
        </is>
      </c>
      <c r="V345" s="20" t="n">
        <v>100</v>
      </c>
      <c r="W345" s="20" t="n">
        <v>41.3</v>
      </c>
      <c r="X345" s="20" t="n">
        <v>58</v>
      </c>
      <c r="Y345" s="40">
        <f>ROUND((V345*'Methodology &amp; Assumptions'!$B$6)+(W345*'Methodology &amp; Assumptions'!$B$5)+(X345*'Methodology &amp; Assumptions'!$B$7), 2)</f>
        <v/>
      </c>
    </row>
    <row r="346" ht="19" customHeight="1">
      <c r="A346" s="41" t="n">
        <v>342</v>
      </c>
      <c r="B346" s="41" t="n">
        <v>3342</v>
      </c>
      <c r="C346" s="42" t="inlineStr">
        <is>
          <t>1102319026</t>
        </is>
      </c>
      <c r="D346" s="42" t="inlineStr">
        <is>
          <t>Region XI (Davao Region)</t>
        </is>
      </c>
      <c r="E346" s="42" t="inlineStr">
        <is>
          <t>Davao del Norte</t>
        </is>
      </c>
      <c r="F346" s="42" t="inlineStr">
        <is>
          <t>City of Tagum</t>
        </is>
      </c>
      <c r="G346" s="42" t="inlineStr">
        <is>
          <t>Magugpo West</t>
        </is>
      </c>
      <c r="H346" s="43" t="n">
        <v>7.45709</v>
      </c>
      <c r="I346" s="43" t="n">
        <v>125.8052</v>
      </c>
      <c r="J346" s="44" t="inlineStr">
        <is>
          <t>U</t>
        </is>
      </c>
      <c r="K346" s="42" t="inlineStr">
        <is>
          <t>Class 1-3 / Urban</t>
        </is>
      </c>
      <c r="L346" s="23" t="n">
        <v>12924</v>
      </c>
      <c r="M346" s="24" t="n">
        <v>4.25</v>
      </c>
      <c r="N346" s="23">
        <f>ROUND(L346/M346, 0)</f>
        <v/>
      </c>
      <c r="O346" s="23">
        <f>ROUND(N346*'Methodology &amp; Assumptions'!$B$8, 0)</f>
        <v/>
      </c>
      <c r="P346" s="44" t="inlineStr">
        <is>
          <t>Band n50 (1.5 GHz, 60 MHz)</t>
        </is>
      </c>
      <c r="Q346" s="38">
        <f>ROUNDUP(O346/'Methodology &amp; Assumptions'!$B$9, 0)</f>
        <v/>
      </c>
      <c r="R346" s="39" t="n">
        <v>1</v>
      </c>
      <c r="S346" s="25" t="n">
        <v>1.68</v>
      </c>
      <c r="T346" s="25" t="n">
        <v>0.68</v>
      </c>
      <c r="U346" s="42" t="inlineStr">
        <is>
          <t>Tier 1B (Micro Drop, 1-3 km)</t>
        </is>
      </c>
      <c r="V346" s="24" t="n">
        <v>67.09999999999999</v>
      </c>
      <c r="W346" s="24" t="n">
        <v>100</v>
      </c>
      <c r="X346" s="24" t="n">
        <v>28</v>
      </c>
      <c r="Y346" s="45">
        <f>ROUND((V346*'Methodology &amp; Assumptions'!$B$6)+(W346*'Methodology &amp; Assumptions'!$B$5)+(X346*'Methodology &amp; Assumptions'!$B$7), 2)</f>
        <v/>
      </c>
    </row>
    <row r="347" ht="19" customHeight="1">
      <c r="A347" s="35" t="n">
        <v>343</v>
      </c>
      <c r="B347" s="35" t="n">
        <v>3343</v>
      </c>
      <c r="C347" s="36" t="inlineStr">
        <is>
          <t>0301412023</t>
        </is>
      </c>
      <c r="D347" s="36" t="inlineStr">
        <is>
          <t>Region III (Central Luzon)</t>
        </is>
      </c>
      <c r="E347" s="36" t="inlineStr">
        <is>
          <t>Bulacan</t>
        </is>
      </c>
      <c r="F347" s="36" t="inlineStr">
        <is>
          <t>City of Meycauayan</t>
        </is>
      </c>
      <c r="G347" s="36" t="inlineStr">
        <is>
          <t>Tugatog</t>
        </is>
      </c>
      <c r="H347" s="37" t="n">
        <v>14.723583</v>
      </c>
      <c r="I347" s="37" t="n">
        <v>120.964884</v>
      </c>
      <c r="J347" s="8" t="inlineStr">
        <is>
          <t>U</t>
        </is>
      </c>
      <c r="K347" s="36" t="inlineStr">
        <is>
          <t>Class 1-3 / Urban</t>
        </is>
      </c>
      <c r="L347" s="18" t="n">
        <v>4852</v>
      </c>
      <c r="M347" s="20" t="n">
        <v>4.1</v>
      </c>
      <c r="N347" s="18">
        <f>ROUND(L347/M347, 0)</f>
        <v/>
      </c>
      <c r="O347" s="18">
        <f>ROUND(N347*'Methodology &amp; Assumptions'!$B$8, 0)</f>
        <v/>
      </c>
      <c r="P347" s="8" t="inlineStr">
        <is>
          <t>Band n50 (1.5 GHz, 60 MHz)</t>
        </is>
      </c>
      <c r="Q347" s="38">
        <f>ROUNDUP(O347/'Methodology &amp; Assumptions'!$B$9, 0)</f>
        <v/>
      </c>
      <c r="R347" s="39" t="n">
        <v>1</v>
      </c>
      <c r="S347" s="21" t="n">
        <v>1.68</v>
      </c>
      <c r="T347" s="21" t="n">
        <v>0.57</v>
      </c>
      <c r="U347" s="36" t="inlineStr">
        <is>
          <t>Tier 1B (Micro Drop, 1-3 km)</t>
        </is>
      </c>
      <c r="V347" s="20" t="n">
        <v>67</v>
      </c>
      <c r="W347" s="20" t="n">
        <v>100</v>
      </c>
      <c r="X347" s="20" t="n">
        <v>28</v>
      </c>
      <c r="Y347" s="40">
        <f>ROUND((V347*'Methodology &amp; Assumptions'!$B$6)+(W347*'Methodology &amp; Assumptions'!$B$5)+(X347*'Methodology &amp; Assumptions'!$B$7), 2)</f>
        <v/>
      </c>
    </row>
    <row r="348" ht="19" customHeight="1">
      <c r="A348" s="41" t="n">
        <v>344</v>
      </c>
      <c r="B348" s="41" t="n">
        <v>3344</v>
      </c>
      <c r="C348" s="42" t="inlineStr">
        <is>
          <t>0603045005</t>
        </is>
      </c>
      <c r="D348" s="42" t="inlineStr">
        <is>
          <t>Region VI (Western Visayas)</t>
        </is>
      </c>
      <c r="E348" s="42" t="inlineStr">
        <is>
          <t>Iloilo</t>
        </is>
      </c>
      <c r="F348" s="42" t="inlineStr">
        <is>
          <t>Tigbauan</t>
        </is>
      </c>
      <c r="G348" s="42" t="inlineStr">
        <is>
          <t>Bagumbayan</t>
        </is>
      </c>
      <c r="H348" s="43" t="n">
        <v>10.689113</v>
      </c>
      <c r="I348" s="43" t="n">
        <v>122.384276</v>
      </c>
      <c r="J348" s="44" t="inlineStr">
        <is>
          <t>R</t>
        </is>
      </c>
      <c r="K348" s="42" t="inlineStr">
        <is>
          <t>Class 1-3 / Urban</t>
        </is>
      </c>
      <c r="L348" s="23" t="n">
        <v>2154</v>
      </c>
      <c r="M348" s="24" t="n">
        <v>4.39</v>
      </c>
      <c r="N348" s="23">
        <f>ROUND(L348/M348, 0)</f>
        <v/>
      </c>
      <c r="O348" s="23">
        <f>ROUND(N348*'Methodology &amp; Assumptions'!$B$8, 0)</f>
        <v/>
      </c>
      <c r="P348" s="44" t="inlineStr">
        <is>
          <t>Band n50 (1.5 GHz, 60 MHz)</t>
        </is>
      </c>
      <c r="Q348" s="38">
        <f>ROUNDUP(O348/'Methodology &amp; Assumptions'!$B$9, 0)</f>
        <v/>
      </c>
      <c r="R348" s="39" t="n">
        <v>1</v>
      </c>
      <c r="S348" s="25" t="n">
        <v>1.15</v>
      </c>
      <c r="T348" s="25" t="n">
        <v>0.15</v>
      </c>
      <c r="U348" s="42" t="inlineStr">
        <is>
          <t>Tier 1B (Micro Drop, 1-3 km)</t>
        </is>
      </c>
      <c r="V348" s="24" t="n">
        <v>78.09999999999999</v>
      </c>
      <c r="W348" s="24" t="n">
        <v>63.2</v>
      </c>
      <c r="X348" s="24" t="n">
        <v>58</v>
      </c>
      <c r="Y348" s="45">
        <f>ROUND((V348*'Methodology &amp; Assumptions'!$B$6)+(W348*'Methodology &amp; Assumptions'!$B$5)+(X348*'Methodology &amp; Assumptions'!$B$7), 2)</f>
        <v/>
      </c>
    </row>
    <row r="349" ht="19" customHeight="1">
      <c r="A349" s="35" t="n">
        <v>345</v>
      </c>
      <c r="B349" s="35" t="n">
        <v>3345</v>
      </c>
      <c r="C349" s="36" t="inlineStr">
        <is>
          <t>0305412026</t>
        </is>
      </c>
      <c r="D349" s="36" t="inlineStr">
        <is>
          <t>Region III (Central Luzon)</t>
        </is>
      </c>
      <c r="E349" s="36" t="inlineStr">
        <is>
          <t>Pampanga</t>
        </is>
      </c>
      <c r="F349" s="36" t="inlineStr">
        <is>
          <t>Masantol</t>
        </is>
      </c>
      <c r="G349" s="36" t="inlineStr">
        <is>
          <t>Sta. Lucia Anac</t>
        </is>
      </c>
      <c r="H349" s="37" t="n">
        <v>14.887881</v>
      </c>
      <c r="I349" s="37" t="n">
        <v>120.704858</v>
      </c>
      <c r="J349" s="8" t="inlineStr">
        <is>
          <t>R</t>
        </is>
      </c>
      <c r="K349" s="36" t="inlineStr">
        <is>
          <t>Class 1-3 / Urban</t>
        </is>
      </c>
      <c r="L349" s="18" t="n">
        <v>1212</v>
      </c>
      <c r="M349" s="20" t="n">
        <v>4.63</v>
      </c>
      <c r="N349" s="18">
        <f>ROUND(L349/M349, 0)</f>
        <v/>
      </c>
      <c r="O349" s="18">
        <f>ROUND(N349*'Methodology &amp; Assumptions'!$B$8, 0)</f>
        <v/>
      </c>
      <c r="P349" s="8" t="inlineStr">
        <is>
          <t>Band n50 (1.5 GHz, 60 MHz)</t>
        </is>
      </c>
      <c r="Q349" s="38">
        <f>ROUNDUP(O349/'Methodology &amp; Assumptions'!$B$9, 0)</f>
        <v/>
      </c>
      <c r="R349" s="39" t="n">
        <v>1</v>
      </c>
      <c r="S349" s="21" t="n">
        <v>0.44</v>
      </c>
      <c r="T349" s="21" t="n">
        <v>1.74</v>
      </c>
      <c r="U349" s="36" t="inlineStr">
        <is>
          <t>Tier 1A (Direct Coloc, &lt;1 km)</t>
        </is>
      </c>
      <c r="V349" s="20" t="n">
        <v>96.3</v>
      </c>
      <c r="W349" s="20" t="n">
        <v>45.1</v>
      </c>
      <c r="X349" s="20" t="n">
        <v>58</v>
      </c>
      <c r="Y349" s="40">
        <f>ROUND((V349*'Methodology &amp; Assumptions'!$B$6)+(W349*'Methodology &amp; Assumptions'!$B$5)+(X349*'Methodology &amp; Assumptions'!$B$7), 2)</f>
        <v/>
      </c>
    </row>
    <row r="350" ht="19" customHeight="1">
      <c r="A350" s="41" t="n">
        <v>346</v>
      </c>
      <c r="B350" s="41" t="n">
        <v>3346</v>
      </c>
      <c r="C350" s="42" t="inlineStr">
        <is>
          <t>0405814005</t>
        </is>
      </c>
      <c r="D350" s="42" t="inlineStr">
        <is>
          <t>Region IV-A (CALABARZON)</t>
        </is>
      </c>
      <c r="E350" s="42" t="inlineStr">
        <is>
          <t>Rizal</t>
        </is>
      </c>
      <c r="F350" s="42" t="inlineStr">
        <is>
          <t>Teresa</t>
        </is>
      </c>
      <c r="G350" s="42" t="inlineStr">
        <is>
          <t>May-Iba</t>
        </is>
      </c>
      <c r="H350" s="43" t="n">
        <v>14.56454</v>
      </c>
      <c r="I350" s="43" t="n">
        <v>121.20607</v>
      </c>
      <c r="J350" s="44" t="inlineStr">
        <is>
          <t>U</t>
        </is>
      </c>
      <c r="K350" s="42" t="inlineStr">
        <is>
          <t>Class 1-3 / Urban</t>
        </is>
      </c>
      <c r="L350" s="23" t="n">
        <v>6170</v>
      </c>
      <c r="M350" s="24" t="n">
        <v>4.39</v>
      </c>
      <c r="N350" s="23">
        <f>ROUND(L350/M350, 0)</f>
        <v/>
      </c>
      <c r="O350" s="23">
        <f>ROUND(N350*'Methodology &amp; Assumptions'!$B$8, 0)</f>
        <v/>
      </c>
      <c r="P350" s="44" t="inlineStr">
        <is>
          <t>Band n50 (1.5 GHz, 60 MHz)</t>
        </is>
      </c>
      <c r="Q350" s="38">
        <f>ROUNDUP(O350/'Methodology &amp; Assumptions'!$B$9, 0)</f>
        <v/>
      </c>
      <c r="R350" s="39" t="n">
        <v>1</v>
      </c>
      <c r="S350" s="25" t="n">
        <v>1.68</v>
      </c>
      <c r="T350" s="25" t="n">
        <v>0.25</v>
      </c>
      <c r="U350" s="42" t="inlineStr">
        <is>
          <t>Tier 1B (Micro Drop, 1-3 km)</t>
        </is>
      </c>
      <c r="V350" s="24" t="n">
        <v>67</v>
      </c>
      <c r="W350" s="24" t="n">
        <v>100</v>
      </c>
      <c r="X350" s="24" t="n">
        <v>28</v>
      </c>
      <c r="Y350" s="45">
        <f>ROUND((V350*'Methodology &amp; Assumptions'!$B$6)+(W350*'Methodology &amp; Assumptions'!$B$5)+(X350*'Methodology &amp; Assumptions'!$B$7), 2)</f>
        <v/>
      </c>
    </row>
    <row r="351" ht="19" customHeight="1">
      <c r="A351" s="35" t="n">
        <v>347</v>
      </c>
      <c r="B351" s="35" t="n">
        <v>3347</v>
      </c>
      <c r="C351" s="36" t="inlineStr">
        <is>
          <t>0402123018</t>
        </is>
      </c>
      <c r="D351" s="36" t="inlineStr">
        <is>
          <t>Region IV-A (CALABARZON)</t>
        </is>
      </c>
      <c r="E351" s="36" t="inlineStr">
        <is>
          <t>Cavite</t>
        </is>
      </c>
      <c r="F351" s="36" t="inlineStr">
        <is>
          <t>Gen. Mariano Alvarez</t>
        </is>
      </c>
      <c r="G351" s="36" t="inlineStr">
        <is>
          <t>Koronel Jose P. Elises</t>
        </is>
      </c>
      <c r="H351" s="37" t="n">
        <v>14.310773</v>
      </c>
      <c r="I351" s="37" t="n">
        <v>121.017218</v>
      </c>
      <c r="J351" s="8" t="inlineStr">
        <is>
          <t>R</t>
        </is>
      </c>
      <c r="K351" s="36" t="inlineStr">
        <is>
          <t>Class 1-3 / Urban</t>
        </is>
      </c>
      <c r="L351" s="18" t="n">
        <v>4509</v>
      </c>
      <c r="M351" s="20" t="n">
        <v>4.49</v>
      </c>
      <c r="N351" s="18">
        <f>ROUND(L351/M351, 0)</f>
        <v/>
      </c>
      <c r="O351" s="18">
        <f>ROUND(N351*'Methodology &amp; Assumptions'!$B$8, 0)</f>
        <v/>
      </c>
      <c r="P351" s="8" t="inlineStr">
        <is>
          <t>Band n50 (1.5 GHz, 60 MHz)</t>
        </is>
      </c>
      <c r="Q351" s="38">
        <f>ROUNDUP(O351/'Methodology &amp; Assumptions'!$B$9, 0)</f>
        <v/>
      </c>
      <c r="R351" s="39" t="n">
        <v>1</v>
      </c>
      <c r="S351" s="21" t="n">
        <v>2.65</v>
      </c>
      <c r="T351" s="21" t="n">
        <v>3.53</v>
      </c>
      <c r="U351" s="36" t="inlineStr">
        <is>
          <t>Tier 1B (Micro Drop, 1-3 km)</t>
        </is>
      </c>
      <c r="V351" s="20" t="n">
        <v>41.3</v>
      </c>
      <c r="W351" s="20" t="n">
        <v>100</v>
      </c>
      <c r="X351" s="20" t="n">
        <v>58</v>
      </c>
      <c r="Y351" s="40">
        <f>ROUND((V351*'Methodology &amp; Assumptions'!$B$6)+(W351*'Methodology &amp; Assumptions'!$B$5)+(X351*'Methodology &amp; Assumptions'!$B$7), 2)</f>
        <v/>
      </c>
    </row>
    <row r="352" ht="19" customHeight="1">
      <c r="A352" s="41" t="n">
        <v>348</v>
      </c>
      <c r="B352" s="41" t="n">
        <v>3348</v>
      </c>
      <c r="C352" s="42" t="inlineStr">
        <is>
          <t>0603045004</t>
        </is>
      </c>
      <c r="D352" s="42" t="inlineStr">
        <is>
          <t>Region VI (Western Visayas)</t>
        </is>
      </c>
      <c r="E352" s="42" t="inlineStr">
        <is>
          <t>Iloilo</t>
        </is>
      </c>
      <c r="F352" s="42" t="inlineStr">
        <is>
          <t>Tigbauan</t>
        </is>
      </c>
      <c r="G352" s="42" t="inlineStr">
        <is>
          <t>Baguingin</t>
        </is>
      </c>
      <c r="H352" s="43" t="n">
        <v>10.676844</v>
      </c>
      <c r="I352" s="43" t="n">
        <v>122.404017</v>
      </c>
      <c r="J352" s="44" t="inlineStr">
        <is>
          <t>R</t>
        </is>
      </c>
      <c r="K352" s="42" t="inlineStr">
        <is>
          <t>Class 1-3 / Urban</t>
        </is>
      </c>
      <c r="L352" s="23" t="n">
        <v>3516</v>
      </c>
      <c r="M352" s="24" t="n">
        <v>4.39</v>
      </c>
      <c r="N352" s="23">
        <f>ROUND(L352/M352, 0)</f>
        <v/>
      </c>
      <c r="O352" s="23">
        <f>ROUND(N352*'Methodology &amp; Assumptions'!$B$8, 0)</f>
        <v/>
      </c>
      <c r="P352" s="44" t="inlineStr">
        <is>
          <t>Band n50 (1.5 GHz, 60 MHz)</t>
        </is>
      </c>
      <c r="Q352" s="38">
        <f>ROUNDUP(O352/'Methodology &amp; Assumptions'!$B$9, 0)</f>
        <v/>
      </c>
      <c r="R352" s="39" t="n">
        <v>1</v>
      </c>
      <c r="S352" s="25" t="n">
        <v>2.51</v>
      </c>
      <c r="T352" s="25" t="n">
        <v>0.1</v>
      </c>
      <c r="U352" s="42" t="inlineStr">
        <is>
          <t>Tier 1B (Micro Drop, 1-3 km)</t>
        </is>
      </c>
      <c r="V352" s="24" t="n">
        <v>53.3</v>
      </c>
      <c r="W352" s="24" t="n">
        <v>88</v>
      </c>
      <c r="X352" s="24" t="n">
        <v>58</v>
      </c>
      <c r="Y352" s="45">
        <f>ROUND((V352*'Methodology &amp; Assumptions'!$B$6)+(W352*'Methodology &amp; Assumptions'!$B$5)+(X352*'Methodology &amp; Assumptions'!$B$7), 2)</f>
        <v/>
      </c>
    </row>
    <row r="353" ht="19" customHeight="1">
      <c r="A353" s="35" t="n">
        <v>349</v>
      </c>
      <c r="B353" s="35" t="n">
        <v>3349</v>
      </c>
      <c r="C353" s="36" t="inlineStr">
        <is>
          <t>0501606008</t>
        </is>
      </c>
      <c r="D353" s="36" t="inlineStr">
        <is>
          <t>Region V (Bicol Region)</t>
        </is>
      </c>
      <c r="E353" s="36" t="inlineStr">
        <is>
          <t>Camarines Norte</t>
        </is>
      </c>
      <c r="F353" s="36" t="inlineStr">
        <is>
          <t>Labo</t>
        </is>
      </c>
      <c r="G353" s="36" t="inlineStr">
        <is>
          <t>Bautista</t>
        </is>
      </c>
      <c r="H353" s="37" t="n">
        <v>14.143084</v>
      </c>
      <c r="I353" s="37" t="n">
        <v>122.849813</v>
      </c>
      <c r="J353" s="8" t="inlineStr">
        <is>
          <t>R</t>
        </is>
      </c>
      <c r="K353" s="36" t="inlineStr">
        <is>
          <t>Class 1-3 / Urban</t>
        </is>
      </c>
      <c r="L353" s="18" t="n">
        <v>3058</v>
      </c>
      <c r="M353" s="20" t="n">
        <v>4.4</v>
      </c>
      <c r="N353" s="18">
        <f>ROUND(L353/M353, 0)</f>
        <v/>
      </c>
      <c r="O353" s="18">
        <f>ROUND(N353*'Methodology &amp; Assumptions'!$B$8, 0)</f>
        <v/>
      </c>
      <c r="P353" s="8" t="inlineStr">
        <is>
          <t>Band n50 (1.5 GHz, 60 MHz)</t>
        </is>
      </c>
      <c r="Q353" s="38">
        <f>ROUNDUP(O353/'Methodology &amp; Assumptions'!$B$9, 0)</f>
        <v/>
      </c>
      <c r="R353" s="39" t="n">
        <v>1</v>
      </c>
      <c r="S353" s="21" t="n">
        <v>1.97</v>
      </c>
      <c r="T353" s="21" t="n">
        <v>0.6899999999999999</v>
      </c>
      <c r="U353" s="36" t="inlineStr">
        <is>
          <t>Tier 1B (Micro Drop, 1-3 km)</t>
        </is>
      </c>
      <c r="V353" s="20" t="n">
        <v>61.8</v>
      </c>
      <c r="W353" s="20" t="n">
        <v>79.5</v>
      </c>
      <c r="X353" s="20" t="n">
        <v>58</v>
      </c>
      <c r="Y353" s="40">
        <f>ROUND((V353*'Methodology &amp; Assumptions'!$B$6)+(W353*'Methodology &amp; Assumptions'!$B$5)+(X353*'Methodology &amp; Assumptions'!$B$7), 2)</f>
        <v/>
      </c>
    </row>
    <row r="354" ht="19" customHeight="1">
      <c r="A354" s="41" t="n">
        <v>350</v>
      </c>
      <c r="B354" s="41" t="n">
        <v>3350</v>
      </c>
      <c r="C354" s="42" t="inlineStr">
        <is>
          <t>1630400075</t>
        </is>
      </c>
      <c r="D354" s="42" t="inlineStr">
        <is>
          <t>Region XIII (Caraga)</t>
        </is>
      </c>
      <c r="E354" s="42" t="inlineStr">
        <is>
          <t>Agusan del Norte</t>
        </is>
      </c>
      <c r="F354" s="42" t="inlineStr">
        <is>
          <t>City of Butuan</t>
        </is>
      </c>
      <c r="G354" s="42" t="inlineStr">
        <is>
          <t>San Ignacio Pob.</t>
        </is>
      </c>
      <c r="H354" s="43" t="n">
        <v>8.953185</v>
      </c>
      <c r="I354" s="43" t="n">
        <v>125.539355</v>
      </c>
      <c r="J354" s="44" t="inlineStr">
        <is>
          <t>U</t>
        </is>
      </c>
      <c r="K354" s="42" t="inlineStr">
        <is>
          <t>Class 1-3 / Urban</t>
        </is>
      </c>
      <c r="L354" s="23" t="n">
        <v>1751</v>
      </c>
      <c r="M354" s="24" t="n">
        <v>4.63</v>
      </c>
      <c r="N354" s="23">
        <f>ROUND(L354/M354, 0)</f>
        <v/>
      </c>
      <c r="O354" s="23">
        <f>ROUND(N354*'Methodology &amp; Assumptions'!$B$8, 0)</f>
        <v/>
      </c>
      <c r="P354" s="44" t="inlineStr">
        <is>
          <t>Band n50 (1.5 GHz, 60 MHz)</t>
        </is>
      </c>
      <c r="Q354" s="38">
        <f>ROUNDUP(O354/'Methodology &amp; Assumptions'!$B$9, 0)</f>
        <v/>
      </c>
      <c r="R354" s="39" t="n">
        <v>1</v>
      </c>
      <c r="S354" s="25" t="n">
        <v>0.24</v>
      </c>
      <c r="T354" s="25" t="n">
        <v>0.24</v>
      </c>
      <c r="U354" s="42" t="inlineStr">
        <is>
          <t>Tier 1A (Direct Coloc, &lt;1 km)</t>
        </is>
      </c>
      <c r="V354" s="24" t="n">
        <v>100</v>
      </c>
      <c r="W354" s="24" t="n">
        <v>54.1</v>
      </c>
      <c r="X354" s="24" t="n">
        <v>43</v>
      </c>
      <c r="Y354" s="45">
        <f>ROUND((V354*'Methodology &amp; Assumptions'!$B$6)+(W354*'Methodology &amp; Assumptions'!$B$5)+(X354*'Methodology &amp; Assumptions'!$B$7), 2)</f>
        <v/>
      </c>
    </row>
    <row r="355" ht="19" customHeight="1">
      <c r="A355" s="35" t="n">
        <v>351</v>
      </c>
      <c r="B355" s="35" t="n">
        <v>3351</v>
      </c>
      <c r="C355" s="36" t="inlineStr">
        <is>
          <t>0105510006</t>
        </is>
      </c>
      <c r="D355" s="36" t="inlineStr">
        <is>
          <t>Region I (Ilocos Region)</t>
        </is>
      </c>
      <c r="E355" s="36" t="inlineStr">
        <is>
          <t>Pangasinan</t>
        </is>
      </c>
      <c r="F355" s="36" t="inlineStr">
        <is>
          <t>Bautista</t>
        </is>
      </c>
      <c r="G355" s="36" t="inlineStr">
        <is>
          <t>Diaz</t>
        </is>
      </c>
      <c r="H355" s="37" t="n">
        <v>15.80379</v>
      </c>
      <c r="I355" s="37" t="n">
        <v>120.4878</v>
      </c>
      <c r="J355" s="8" t="inlineStr">
        <is>
          <t>R</t>
        </is>
      </c>
      <c r="K355" s="36" t="inlineStr">
        <is>
          <t>3rd</t>
        </is>
      </c>
      <c r="L355" s="18" t="n">
        <v>4907</v>
      </c>
      <c r="M355" s="20" t="n">
        <v>4.69</v>
      </c>
      <c r="N355" s="18">
        <f>ROUND(L355/M355, 0)</f>
        <v/>
      </c>
      <c r="O355" s="18">
        <f>ROUND(N355*'Methodology &amp; Assumptions'!$B$8, 0)</f>
        <v/>
      </c>
      <c r="P355" s="8" t="inlineStr">
        <is>
          <t>Band n50 (1.5 GHz, 60 MHz)</t>
        </is>
      </c>
      <c r="Q355" s="38">
        <f>ROUNDUP(O355/'Methodology &amp; Assumptions'!$B$9, 0)</f>
        <v/>
      </c>
      <c r="R355" s="39" t="n">
        <v>1</v>
      </c>
      <c r="S355" s="21" t="n">
        <v>3.78</v>
      </c>
      <c r="T355" s="21" t="n">
        <v>3.15</v>
      </c>
      <c r="U355" s="36" t="inlineStr">
        <is>
          <t>Tier 2 (Fiber Corridor / Lateral, 3-5 km)</t>
        </is>
      </c>
      <c r="V355" s="20" t="n">
        <v>28.4</v>
      </c>
      <c r="W355" s="20" t="n">
        <v>100</v>
      </c>
      <c r="X355" s="20" t="n">
        <v>73</v>
      </c>
      <c r="Y355" s="40">
        <f>ROUND((V355*'Methodology &amp; Assumptions'!$B$6)+(W355*'Methodology &amp; Assumptions'!$B$5)+(X355*'Methodology &amp; Assumptions'!$B$7), 2)</f>
        <v/>
      </c>
    </row>
    <row r="356" ht="19" customHeight="1">
      <c r="A356" s="41" t="n">
        <v>352</v>
      </c>
      <c r="B356" s="41" t="n">
        <v>3352</v>
      </c>
      <c r="C356" s="42" t="inlineStr">
        <is>
          <t>1404407015</t>
        </is>
      </c>
      <c r="D356" s="42" t="inlineStr">
        <is>
          <t>Cordillera Administrative Region (CAR)</t>
        </is>
      </c>
      <c r="E356" s="42" t="inlineStr">
        <is>
          <t>Mountain Province</t>
        </is>
      </c>
      <c r="F356" s="42" t="inlineStr">
        <is>
          <t>Sabangan</t>
        </is>
      </c>
      <c r="G356" s="42" t="inlineStr">
        <is>
          <t>Tambingan</t>
        </is>
      </c>
      <c r="H356" s="43" t="n">
        <v>17.011207</v>
      </c>
      <c r="I356" s="43" t="n">
        <v>120.925452</v>
      </c>
      <c r="J356" s="44" t="inlineStr">
        <is>
          <t>R</t>
        </is>
      </c>
      <c r="K356" s="42" t="inlineStr">
        <is>
          <t>4th</t>
        </is>
      </c>
      <c r="L356" s="23" t="n">
        <v>644</v>
      </c>
      <c r="M356" s="24" t="n">
        <v>4.19</v>
      </c>
      <c r="N356" s="23">
        <f>ROUND(L356/M356, 0)</f>
        <v/>
      </c>
      <c r="O356" s="23">
        <f>ROUND(N356*'Methodology &amp; Assumptions'!$B$8, 0)</f>
        <v/>
      </c>
      <c r="P356" s="44" t="inlineStr">
        <is>
          <t>Band n50 (1.5 GHz, 60 MHz)</t>
        </is>
      </c>
      <c r="Q356" s="38">
        <f>ROUNDUP(O356/'Methodology &amp; Assumptions'!$B$9, 0)</f>
        <v/>
      </c>
      <c r="R356" s="39" t="n">
        <v>1</v>
      </c>
      <c r="S356" s="25" t="n">
        <v>0.03</v>
      </c>
      <c r="T356" s="25" t="n">
        <v>0.03</v>
      </c>
      <c r="U356" s="42" t="inlineStr">
        <is>
          <t>Tier 1A (Direct Coloc, &lt;1 km)</t>
        </is>
      </c>
      <c r="V356" s="24" t="n">
        <v>100</v>
      </c>
      <c r="W356" s="24" t="n">
        <v>32.3</v>
      </c>
      <c r="X356" s="24" t="n">
        <v>68.5</v>
      </c>
      <c r="Y356" s="45">
        <f>ROUND((V356*'Methodology &amp; Assumptions'!$B$6)+(W356*'Methodology &amp; Assumptions'!$B$5)+(X356*'Methodology &amp; Assumptions'!$B$7), 2)</f>
        <v/>
      </c>
    </row>
    <row r="357" ht="19" customHeight="1">
      <c r="A357" s="35" t="n">
        <v>353</v>
      </c>
      <c r="B357" s="35" t="n">
        <v>3353</v>
      </c>
      <c r="C357" s="36" t="inlineStr">
        <is>
          <t>0403426008</t>
        </is>
      </c>
      <c r="D357" s="36" t="inlineStr">
        <is>
          <t>Region IV-A (CALABARZON)</t>
        </is>
      </c>
      <c r="E357" s="36" t="inlineStr">
        <is>
          <t>Laguna</t>
        </is>
      </c>
      <c r="F357" s="36" t="inlineStr">
        <is>
          <t>Santa Cruz</t>
        </is>
      </c>
      <c r="G357" s="36" t="inlineStr">
        <is>
          <t>Labuin</t>
        </is>
      </c>
      <c r="H357" s="37" t="n">
        <v>14.25009</v>
      </c>
      <c r="I357" s="37" t="n">
        <v>121.400722</v>
      </c>
      <c r="J357" s="8" t="inlineStr">
        <is>
          <t>R</t>
        </is>
      </c>
      <c r="K357" s="36" t="inlineStr">
        <is>
          <t>Class 1-3 / Urban</t>
        </is>
      </c>
      <c r="L357" s="18" t="n">
        <v>4588</v>
      </c>
      <c r="M357" s="20" t="n">
        <v>4.2</v>
      </c>
      <c r="N357" s="18">
        <f>ROUND(L357/M357, 0)</f>
        <v/>
      </c>
      <c r="O357" s="18">
        <f>ROUND(N357*'Methodology &amp; Assumptions'!$B$8, 0)</f>
        <v/>
      </c>
      <c r="P357" s="8" t="inlineStr">
        <is>
          <t>Band n50 (1.5 GHz, 60 MHz)</t>
        </is>
      </c>
      <c r="Q357" s="38">
        <f>ROUNDUP(O357/'Methodology &amp; Assumptions'!$B$9, 0)</f>
        <v/>
      </c>
      <c r="R357" s="39" t="n">
        <v>1</v>
      </c>
      <c r="S357" s="21" t="n">
        <v>3.49</v>
      </c>
      <c r="T357" s="21" t="n">
        <v>1</v>
      </c>
      <c r="U357" s="36" t="inlineStr">
        <is>
          <t>Tier 2 (Fiber Corridor / Lateral, 3-5 km)</t>
        </is>
      </c>
      <c r="V357" s="20" t="n">
        <v>41.2</v>
      </c>
      <c r="W357" s="20" t="n">
        <v>100</v>
      </c>
      <c r="X357" s="20" t="n">
        <v>58</v>
      </c>
      <c r="Y357" s="40">
        <f>ROUND((V357*'Methodology &amp; Assumptions'!$B$6)+(W357*'Methodology &amp; Assumptions'!$B$5)+(X357*'Methodology &amp; Assumptions'!$B$7), 2)</f>
        <v/>
      </c>
    </row>
    <row r="358" ht="19" customHeight="1">
      <c r="A358" s="41" t="n">
        <v>354</v>
      </c>
      <c r="B358" s="41" t="n">
        <v>3354</v>
      </c>
      <c r="C358" s="42" t="inlineStr">
        <is>
          <t>0401024026</t>
        </is>
      </c>
      <c r="D358" s="42" t="inlineStr">
        <is>
          <t>Region IV-A (CALABARZON)</t>
        </is>
      </c>
      <c r="E358" s="42" t="inlineStr">
        <is>
          <t>Batangas</t>
        </is>
      </c>
      <c r="F358" s="42" t="inlineStr">
        <is>
          <t>San Luis</t>
        </is>
      </c>
      <c r="G358" s="42" t="inlineStr">
        <is>
          <t>Tejero</t>
        </is>
      </c>
      <c r="H358" s="43" t="n">
        <v>13.85469</v>
      </c>
      <c r="I358" s="43" t="n">
        <v>120.916139</v>
      </c>
      <c r="J358" s="44" t="inlineStr">
        <is>
          <t>R</t>
        </is>
      </c>
      <c r="K358" s="42" t="inlineStr">
        <is>
          <t>3rd</t>
        </is>
      </c>
      <c r="L358" s="23" t="n">
        <v>1511</v>
      </c>
      <c r="M358" s="24" t="n">
        <v>4.5</v>
      </c>
      <c r="N358" s="23">
        <f>ROUND(L358/M358, 0)</f>
        <v/>
      </c>
      <c r="O358" s="23">
        <f>ROUND(N358*'Methodology &amp; Assumptions'!$B$8, 0)</f>
        <v/>
      </c>
      <c r="P358" s="44" t="inlineStr">
        <is>
          <t>Band n50 (1.5 GHz, 60 MHz)</t>
        </is>
      </c>
      <c r="Q358" s="38">
        <f>ROUNDUP(O358/'Methodology &amp; Assumptions'!$B$9, 0)</f>
        <v/>
      </c>
      <c r="R358" s="39" t="n">
        <v>1</v>
      </c>
      <c r="S358" s="25" t="n">
        <v>0.3</v>
      </c>
      <c r="T358" s="25" t="n">
        <v>4.33</v>
      </c>
      <c r="U358" s="42" t="inlineStr">
        <is>
          <t>Tier 1A (Direct Coloc, &lt;1 km)</t>
        </is>
      </c>
      <c r="V358" s="24" t="n">
        <v>90.3</v>
      </c>
      <c r="W358" s="24" t="n">
        <v>50.9</v>
      </c>
      <c r="X358" s="24" t="n">
        <v>58</v>
      </c>
      <c r="Y358" s="45">
        <f>ROUND((V358*'Methodology &amp; Assumptions'!$B$6)+(W358*'Methodology &amp; Assumptions'!$B$5)+(X358*'Methodology &amp; Assumptions'!$B$7), 2)</f>
        <v/>
      </c>
    </row>
    <row r="359" ht="19" customHeight="1">
      <c r="A359" s="35" t="n">
        <v>355</v>
      </c>
      <c r="B359" s="35" t="n">
        <v>3355</v>
      </c>
      <c r="C359" s="36" t="inlineStr">
        <is>
          <t>0330100018</t>
        </is>
      </c>
      <c r="D359" s="36" t="inlineStr">
        <is>
          <t>Region III (Central Luzon)</t>
        </is>
      </c>
      <c r="E359" s="36" t="inlineStr">
        <is>
          <t>Pampanga</t>
        </is>
      </c>
      <c r="F359" s="36" t="inlineStr">
        <is>
          <t>City of Angeles</t>
        </is>
      </c>
      <c r="G359" s="36" t="inlineStr">
        <is>
          <t>Pandan</t>
        </is>
      </c>
      <c r="H359" s="37" t="n">
        <v>15.145874</v>
      </c>
      <c r="I359" s="37" t="n">
        <v>120.60661</v>
      </c>
      <c r="J359" s="8" t="inlineStr">
        <is>
          <t>U</t>
        </is>
      </c>
      <c r="K359" s="36" t="inlineStr">
        <is>
          <t>Class 1-3 / Urban</t>
        </is>
      </c>
      <c r="L359" s="18" t="n">
        <v>23928</v>
      </c>
      <c r="M359" s="20" t="n">
        <v>4.63</v>
      </c>
      <c r="N359" s="18">
        <f>ROUND(L359/M359, 0)</f>
        <v/>
      </c>
      <c r="O359" s="18">
        <f>ROUND(N359*'Methodology &amp; Assumptions'!$B$8, 0)</f>
        <v/>
      </c>
      <c r="P359" s="8" t="inlineStr">
        <is>
          <t>Band n50 (1.5 GHz, 60 MHz)</t>
        </is>
      </c>
      <c r="Q359" s="38">
        <f>ROUNDUP(O359/'Methodology &amp; Assumptions'!$B$9, 0)</f>
        <v/>
      </c>
      <c r="R359" s="39" t="n">
        <v>1</v>
      </c>
      <c r="S359" s="21" t="n">
        <v>1.69</v>
      </c>
      <c r="T359" s="21" t="n">
        <v>0.63</v>
      </c>
      <c r="U359" s="36" t="inlineStr">
        <is>
          <t>Tier 1B (Micro Drop, 1-3 km)</t>
        </is>
      </c>
      <c r="V359" s="20" t="n">
        <v>67</v>
      </c>
      <c r="W359" s="20" t="n">
        <v>100</v>
      </c>
      <c r="X359" s="20" t="n">
        <v>28</v>
      </c>
      <c r="Y359" s="40">
        <f>ROUND((V359*'Methodology &amp; Assumptions'!$B$6)+(W359*'Methodology &amp; Assumptions'!$B$5)+(X359*'Methodology &amp; Assumptions'!$B$7), 2)</f>
        <v/>
      </c>
    </row>
    <row r="360" ht="19" customHeight="1">
      <c r="A360" s="41" t="n">
        <v>356</v>
      </c>
      <c r="B360" s="41" t="n">
        <v>3356</v>
      </c>
      <c r="C360" s="42" t="inlineStr">
        <is>
          <t>0601914035</t>
        </is>
      </c>
      <c r="D360" s="42" t="inlineStr">
        <is>
          <t>Region VI (Western Visayas)</t>
        </is>
      </c>
      <c r="E360" s="42" t="inlineStr">
        <is>
          <t>Capiz</t>
        </is>
      </c>
      <c r="F360" s="42" t="inlineStr">
        <is>
          <t>City of Roxas</t>
        </is>
      </c>
      <c r="G360" s="42" t="inlineStr">
        <is>
          <t>Libas</t>
        </is>
      </c>
      <c r="H360" s="43" t="n">
        <v>11.594041</v>
      </c>
      <c r="I360" s="43" t="n">
        <v>122.719004</v>
      </c>
      <c r="J360" s="44" t="inlineStr">
        <is>
          <t>U</t>
        </is>
      </c>
      <c r="K360" s="42" t="inlineStr">
        <is>
          <t>Class 1-3 / Urban</t>
        </is>
      </c>
      <c r="L360" s="23" t="n">
        <v>7802</v>
      </c>
      <c r="M360" s="24" t="n">
        <v>4.2</v>
      </c>
      <c r="N360" s="23">
        <f>ROUND(L360/M360, 0)</f>
        <v/>
      </c>
      <c r="O360" s="23">
        <f>ROUND(N360*'Methodology &amp; Assumptions'!$B$8, 0)</f>
        <v/>
      </c>
      <c r="P360" s="44" t="inlineStr">
        <is>
          <t>Band n50 (1.5 GHz, 60 MHz)</t>
        </is>
      </c>
      <c r="Q360" s="38">
        <f>ROUNDUP(O360/'Methodology &amp; Assumptions'!$B$9, 0)</f>
        <v/>
      </c>
      <c r="R360" s="39" t="n">
        <v>1</v>
      </c>
      <c r="S360" s="25" t="n">
        <v>1.69</v>
      </c>
      <c r="T360" s="25" t="n">
        <v>1.53</v>
      </c>
      <c r="U360" s="42" t="inlineStr">
        <is>
          <t>Tier 1B (Micro Drop, 1-3 km)</t>
        </is>
      </c>
      <c r="V360" s="24" t="n">
        <v>67</v>
      </c>
      <c r="W360" s="24" t="n">
        <v>100</v>
      </c>
      <c r="X360" s="24" t="n">
        <v>28</v>
      </c>
      <c r="Y360" s="45">
        <f>ROUND((V360*'Methodology &amp; Assumptions'!$B$6)+(W360*'Methodology &amp; Assumptions'!$B$5)+(X360*'Methodology &amp; Assumptions'!$B$7), 2)</f>
        <v/>
      </c>
    </row>
    <row r="361" ht="19" customHeight="1">
      <c r="A361" s="35" t="n">
        <v>357</v>
      </c>
      <c r="B361" s="35" t="n">
        <v>3357</v>
      </c>
      <c r="C361" s="36" t="inlineStr">
        <is>
          <t>1408107013</t>
        </is>
      </c>
      <c r="D361" s="36" t="inlineStr">
        <is>
          <t>Cordillera Administrative Region (CAR)</t>
        </is>
      </c>
      <c r="E361" s="36" t="inlineStr">
        <is>
          <t>Apayao</t>
        </is>
      </c>
      <c r="F361" s="36" t="inlineStr">
        <is>
          <t>Santa Marcela</t>
        </is>
      </c>
      <c r="G361" s="36" t="inlineStr">
        <is>
          <t>San Carlos</t>
        </is>
      </c>
      <c r="H361" s="37" t="n">
        <v>18.291448</v>
      </c>
      <c r="I361" s="37" t="n">
        <v>121.436128</v>
      </c>
      <c r="J361" s="8" t="inlineStr">
        <is>
          <t>R</t>
        </is>
      </c>
      <c r="K361" s="36" t="inlineStr">
        <is>
          <t>4th</t>
        </is>
      </c>
      <c r="L361" s="18" t="n">
        <v>1498</v>
      </c>
      <c r="M361" s="20" t="n">
        <v>4.33</v>
      </c>
      <c r="N361" s="18">
        <f>ROUND(L361/M361, 0)</f>
        <v/>
      </c>
      <c r="O361" s="18">
        <f>ROUND(N361*'Methodology &amp; Assumptions'!$B$8, 0)</f>
        <v/>
      </c>
      <c r="P361" s="8" t="inlineStr">
        <is>
          <t>Band n50 (1.5 GHz, 60 MHz)</t>
        </is>
      </c>
      <c r="Q361" s="38">
        <f>ROUNDUP(O361/'Methodology &amp; Assumptions'!$B$9, 0)</f>
        <v/>
      </c>
      <c r="R361" s="39" t="n">
        <v>1</v>
      </c>
      <c r="S361" s="21" t="n">
        <v>0.51</v>
      </c>
      <c r="T361" s="21" t="n">
        <v>4.82</v>
      </c>
      <c r="U361" s="36" t="inlineStr">
        <is>
          <t>Tier 1A (Direct Coloc, &lt;1 km)</t>
        </is>
      </c>
      <c r="V361" s="20" t="n">
        <v>84.5</v>
      </c>
      <c r="W361" s="20" t="n">
        <v>47.7</v>
      </c>
      <c r="X361" s="20" t="n">
        <v>68.5</v>
      </c>
      <c r="Y361" s="40">
        <f>ROUND((V361*'Methodology &amp; Assumptions'!$B$6)+(W361*'Methodology &amp; Assumptions'!$B$5)+(X361*'Methodology &amp; Assumptions'!$B$7), 2)</f>
        <v/>
      </c>
    </row>
    <row r="362" ht="19" customHeight="1">
      <c r="A362" s="41" t="n">
        <v>358</v>
      </c>
      <c r="B362" s="41" t="n">
        <v>3358</v>
      </c>
      <c r="C362" s="42" t="inlineStr">
        <is>
          <t>0403427007</t>
        </is>
      </c>
      <c r="D362" s="42" t="inlineStr">
        <is>
          <t>Region IV-A (CALABARZON)</t>
        </is>
      </c>
      <c r="E362" s="42" t="inlineStr">
        <is>
          <t>Laguna</t>
        </is>
      </c>
      <c r="F362" s="42" t="inlineStr">
        <is>
          <t>Santa Maria</t>
        </is>
      </c>
      <c r="G362" s="42" t="inlineStr">
        <is>
          <t>Cambuja</t>
        </is>
      </c>
      <c r="H362" s="43" t="n">
        <v>14.46997</v>
      </c>
      <c r="I362" s="43" t="n">
        <v>121.412744</v>
      </c>
      <c r="J362" s="44" t="inlineStr">
        <is>
          <t>R</t>
        </is>
      </c>
      <c r="K362" s="42" t="inlineStr">
        <is>
          <t>2nd</t>
        </is>
      </c>
      <c r="L362" s="23" t="n">
        <v>2139</v>
      </c>
      <c r="M362" s="24" t="n">
        <v>4.2</v>
      </c>
      <c r="N362" s="23">
        <f>ROUND(L362/M362, 0)</f>
        <v/>
      </c>
      <c r="O362" s="23">
        <f>ROUND(N362*'Methodology &amp; Assumptions'!$B$8, 0)</f>
        <v/>
      </c>
      <c r="P362" s="44" t="inlineStr">
        <is>
          <t>Band n50 (1.5 GHz, 60 MHz)</t>
        </is>
      </c>
      <c r="Q362" s="38">
        <f>ROUNDUP(O362/'Methodology &amp; Assumptions'!$B$9, 0)</f>
        <v/>
      </c>
      <c r="R362" s="39" t="n">
        <v>1</v>
      </c>
      <c r="S362" s="25" t="n">
        <v>0.8100000000000001</v>
      </c>
      <c r="T362" s="25" t="n">
        <v>2.73</v>
      </c>
      <c r="U362" s="42" t="inlineStr">
        <is>
          <t>Tier 1A (Direct Coloc, &lt;1 km)</t>
        </is>
      </c>
      <c r="V362" s="24" t="n">
        <v>76.40000000000001</v>
      </c>
      <c r="W362" s="24" t="n">
        <v>64.8</v>
      </c>
      <c r="X362" s="24" t="n">
        <v>58</v>
      </c>
      <c r="Y362" s="45">
        <f>ROUND((V362*'Methodology &amp; Assumptions'!$B$6)+(W362*'Methodology &amp; Assumptions'!$B$5)+(X362*'Methodology &amp; Assumptions'!$B$7), 2)</f>
        <v/>
      </c>
    </row>
    <row r="363" ht="19" customHeight="1">
      <c r="A363" s="35" t="n">
        <v>359</v>
      </c>
      <c r="B363" s="35" t="n">
        <v>3359</v>
      </c>
      <c r="C363" s="36" t="inlineStr">
        <is>
          <t>0201516013</t>
        </is>
      </c>
      <c r="D363" s="36" t="inlineStr">
        <is>
          <t>Region II (Cagayan Valley)</t>
        </is>
      </c>
      <c r="E363" s="36" t="inlineStr">
        <is>
          <t>Cagayan</t>
        </is>
      </c>
      <c r="F363" s="36" t="inlineStr">
        <is>
          <t>Lal-Lo</t>
        </is>
      </c>
      <c r="G363" s="36" t="inlineStr">
        <is>
          <t>Centro</t>
        </is>
      </c>
      <c r="H363" s="37" t="n">
        <v>18.2008</v>
      </c>
      <c r="I363" s="37" t="n">
        <v>121.6607</v>
      </c>
      <c r="J363" s="8" t="inlineStr">
        <is>
          <t>R</t>
        </is>
      </c>
      <c r="K363" s="36" t="inlineStr">
        <is>
          <t>Class 1-3 / Urban</t>
        </is>
      </c>
      <c r="L363" s="18" t="n">
        <v>1423</v>
      </c>
      <c r="M363" s="20" t="n">
        <v>4.38</v>
      </c>
      <c r="N363" s="18">
        <f>ROUND(L363/M363, 0)</f>
        <v/>
      </c>
      <c r="O363" s="18">
        <f>ROUND(N363*'Methodology &amp; Assumptions'!$B$8, 0)</f>
        <v/>
      </c>
      <c r="P363" s="8" t="inlineStr">
        <is>
          <t>Band n50 (1.5 GHz, 60 MHz)</t>
        </is>
      </c>
      <c r="Q363" s="38">
        <f>ROUNDUP(O363/'Methodology &amp; Assumptions'!$B$9, 0)</f>
        <v/>
      </c>
      <c r="R363" s="39" t="n">
        <v>1</v>
      </c>
      <c r="S363" s="21" t="n">
        <v>0.63</v>
      </c>
      <c r="T363" s="21" t="n">
        <v>0.11</v>
      </c>
      <c r="U363" s="36" t="inlineStr">
        <is>
          <t>Tier 1A (Direct Coloc, &lt;1 km)</t>
        </is>
      </c>
      <c r="V363" s="20" t="n">
        <v>91.09999999999999</v>
      </c>
      <c r="W363" s="20" t="n">
        <v>50.1</v>
      </c>
      <c r="X363" s="20" t="n">
        <v>58</v>
      </c>
      <c r="Y363" s="40">
        <f>ROUND((V363*'Methodology &amp; Assumptions'!$B$6)+(W363*'Methodology &amp; Assumptions'!$B$5)+(X363*'Methodology &amp; Assumptions'!$B$7), 2)</f>
        <v/>
      </c>
    </row>
    <row r="364" ht="19" customHeight="1">
      <c r="A364" s="41" t="n">
        <v>360</v>
      </c>
      <c r="B364" s="41" t="n">
        <v>3360</v>
      </c>
      <c r="C364" s="42" t="inlineStr">
        <is>
          <t>0405809003</t>
        </is>
      </c>
      <c r="D364" s="42" t="inlineStr">
        <is>
          <t>Region IV-A (CALABARZON)</t>
        </is>
      </c>
      <c r="E364" s="42" t="inlineStr">
        <is>
          <t>Rizal</t>
        </is>
      </c>
      <c r="F364" s="42" t="inlineStr">
        <is>
          <t>Morong</t>
        </is>
      </c>
      <c r="G364" s="42" t="inlineStr">
        <is>
          <t>Lagundi</t>
        </is>
      </c>
      <c r="H364" s="43" t="n">
        <v>14.536117</v>
      </c>
      <c r="I364" s="43" t="n">
        <v>121.254982</v>
      </c>
      <c r="J364" s="44" t="inlineStr">
        <is>
          <t>U</t>
        </is>
      </c>
      <c r="K364" s="42" t="inlineStr">
        <is>
          <t>Class 1-3 / Urban</t>
        </is>
      </c>
      <c r="L364" s="23" t="n">
        <v>10076</v>
      </c>
      <c r="M364" s="24" t="n">
        <v>4.39</v>
      </c>
      <c r="N364" s="23">
        <f>ROUND(L364/M364, 0)</f>
        <v/>
      </c>
      <c r="O364" s="23">
        <f>ROUND(N364*'Methodology &amp; Assumptions'!$B$8, 0)</f>
        <v/>
      </c>
      <c r="P364" s="44" t="inlineStr">
        <is>
          <t>Band n50 (1.5 GHz, 60 MHz)</t>
        </is>
      </c>
      <c r="Q364" s="38">
        <f>ROUNDUP(O364/'Methodology &amp; Assumptions'!$B$9, 0)</f>
        <v/>
      </c>
      <c r="R364" s="39" t="n">
        <v>1</v>
      </c>
      <c r="S364" s="25" t="n">
        <v>1.69</v>
      </c>
      <c r="T364" s="25" t="n">
        <v>1.15</v>
      </c>
      <c r="U364" s="42" t="inlineStr">
        <is>
          <t>Tier 1B (Micro Drop, 1-3 km)</t>
        </is>
      </c>
      <c r="V364" s="24" t="n">
        <v>66.90000000000001</v>
      </c>
      <c r="W364" s="24" t="n">
        <v>100</v>
      </c>
      <c r="X364" s="24" t="n">
        <v>28</v>
      </c>
      <c r="Y364" s="45">
        <f>ROUND((V364*'Methodology &amp; Assumptions'!$B$6)+(W364*'Methodology &amp; Assumptions'!$B$5)+(X364*'Methodology &amp; Assumptions'!$B$7), 2)</f>
        <v/>
      </c>
    </row>
    <row r="365" ht="19" customHeight="1">
      <c r="A365" s="35" t="n">
        <v>361</v>
      </c>
      <c r="B365" s="35" t="n">
        <v>3361</v>
      </c>
      <c r="C365" s="36" t="inlineStr">
        <is>
          <t>0701219006</t>
        </is>
      </c>
      <c r="D365" s="36" t="inlineStr">
        <is>
          <t>Region VII (Central Visayas)</t>
        </is>
      </c>
      <c r="E365" s="36" t="inlineStr">
        <is>
          <t>Bohol</t>
        </is>
      </c>
      <c r="F365" s="36" t="inlineStr">
        <is>
          <t>Dauis</t>
        </is>
      </c>
      <c r="G365" s="36" t="inlineStr">
        <is>
          <t>Mayacabac</t>
        </is>
      </c>
      <c r="H365" s="37" t="n">
        <v>9.612883</v>
      </c>
      <c r="I365" s="37" t="n">
        <v>123.866519</v>
      </c>
      <c r="J365" s="8" t="inlineStr">
        <is>
          <t>R</t>
        </is>
      </c>
      <c r="K365" s="36" t="inlineStr">
        <is>
          <t>1st</t>
        </is>
      </c>
      <c r="L365" s="18" t="n">
        <v>4861</v>
      </c>
      <c r="M365" s="20" t="n">
        <v>4.6</v>
      </c>
      <c r="N365" s="18">
        <f>ROUND(L365/M365, 0)</f>
        <v/>
      </c>
      <c r="O365" s="18">
        <f>ROUND(N365*'Methodology &amp; Assumptions'!$B$8, 0)</f>
        <v/>
      </c>
      <c r="P365" s="8" t="inlineStr">
        <is>
          <t>Band n50 (1.5 GHz, 60 MHz)</t>
        </is>
      </c>
      <c r="Q365" s="38">
        <f>ROUNDUP(O365/'Methodology &amp; Assumptions'!$B$9, 0)</f>
        <v/>
      </c>
      <c r="R365" s="39" t="n">
        <v>1</v>
      </c>
      <c r="S365" s="21" t="n">
        <v>3.78</v>
      </c>
      <c r="T365" s="21" t="n">
        <v>2.01</v>
      </c>
      <c r="U365" s="36" t="inlineStr">
        <is>
          <t>Tier 2 (Fiber Corridor / Lateral, 3-5 km)</t>
        </is>
      </c>
      <c r="V365" s="20" t="n">
        <v>28.3</v>
      </c>
      <c r="W365" s="20" t="n">
        <v>100</v>
      </c>
      <c r="X365" s="20" t="n">
        <v>73</v>
      </c>
      <c r="Y365" s="40">
        <f>ROUND((V365*'Methodology &amp; Assumptions'!$B$6)+(W365*'Methodology &amp; Assumptions'!$B$5)+(X365*'Methodology &amp; Assumptions'!$B$7), 2)</f>
        <v/>
      </c>
    </row>
    <row r="366" ht="19" customHeight="1">
      <c r="A366" s="41" t="n">
        <v>362</v>
      </c>
      <c r="B366" s="41" t="n">
        <v>3362</v>
      </c>
      <c r="C366" s="42" t="inlineStr">
        <is>
          <t>0702234029</t>
        </is>
      </c>
      <c r="D366" s="42" t="inlineStr">
        <is>
          <t>Region VII (Central Visayas)</t>
        </is>
      </c>
      <c r="E366" s="42" t="inlineStr">
        <is>
          <t>Cebu</t>
        </is>
      </c>
      <c r="F366" s="42" t="inlineStr">
        <is>
          <t>City of Naga</t>
        </is>
      </c>
      <c r="G366" s="42" t="inlineStr">
        <is>
          <t>West Poblacion</t>
        </is>
      </c>
      <c r="H366" s="43" t="n">
        <v>10.207271</v>
      </c>
      <c r="I366" s="43" t="n">
        <v>123.75534</v>
      </c>
      <c r="J366" s="44" t="inlineStr">
        <is>
          <t>R</t>
        </is>
      </c>
      <c r="K366" s="42" t="inlineStr">
        <is>
          <t>Class 1-3 / Urban</t>
        </is>
      </c>
      <c r="L366" s="23" t="n">
        <v>4077</v>
      </c>
      <c r="M366" s="24" t="n">
        <v>4.42</v>
      </c>
      <c r="N366" s="23">
        <f>ROUND(L366/M366, 0)</f>
        <v/>
      </c>
      <c r="O366" s="23">
        <f>ROUND(N366*'Methodology &amp; Assumptions'!$B$8, 0)</f>
        <v/>
      </c>
      <c r="P366" s="44" t="inlineStr">
        <is>
          <t>Band n50 (1.5 GHz, 60 MHz)</t>
        </is>
      </c>
      <c r="Q366" s="38">
        <f>ROUNDUP(O366/'Methodology &amp; Assumptions'!$B$9, 0)</f>
        <v/>
      </c>
      <c r="R366" s="39" t="n">
        <v>1</v>
      </c>
      <c r="S366" s="25" t="n">
        <v>3.3</v>
      </c>
      <c r="T366" s="25" t="n">
        <v>0.29</v>
      </c>
      <c r="U366" s="42" t="inlineStr">
        <is>
          <t>Tier 2 (Fiber Corridor / Lateral, 3-5 km)</t>
        </is>
      </c>
      <c r="V366" s="24" t="n">
        <v>43.3</v>
      </c>
      <c r="W366" s="24" t="n">
        <v>97.90000000000001</v>
      </c>
      <c r="X366" s="24" t="n">
        <v>58</v>
      </c>
      <c r="Y366" s="45">
        <f>ROUND((V366*'Methodology &amp; Assumptions'!$B$6)+(W366*'Methodology &amp; Assumptions'!$B$5)+(X366*'Methodology &amp; Assumptions'!$B$7), 2)</f>
        <v/>
      </c>
    </row>
    <row r="367" ht="19" customHeight="1">
      <c r="A367" s="35" t="n">
        <v>363</v>
      </c>
      <c r="B367" s="35" t="n">
        <v>3363</v>
      </c>
      <c r="C367" s="36" t="inlineStr">
        <is>
          <t>0105544047</t>
        </is>
      </c>
      <c r="D367" s="36" t="inlineStr">
        <is>
          <t>Region I (Ilocos Region)</t>
        </is>
      </c>
      <c r="E367" s="36" t="inlineStr">
        <is>
          <t>Pangasinan</t>
        </is>
      </c>
      <c r="F367" s="36" t="inlineStr">
        <is>
          <t>Umingan</t>
        </is>
      </c>
      <c r="G367" s="36" t="inlineStr">
        <is>
          <t>Poblacion West</t>
        </is>
      </c>
      <c r="H367" s="37" t="n">
        <v>15.92854</v>
      </c>
      <c r="I367" s="37" t="n">
        <v>120.8396</v>
      </c>
      <c r="J367" s="8" t="inlineStr">
        <is>
          <t>U</t>
        </is>
      </c>
      <c r="K367" s="36" t="inlineStr">
        <is>
          <t>Class 1-3 / Urban</t>
        </is>
      </c>
      <c r="L367" s="18" t="n">
        <v>2400</v>
      </c>
      <c r="M367" s="20" t="n">
        <v>4.39</v>
      </c>
      <c r="N367" s="18">
        <f>ROUND(L367/M367, 0)</f>
        <v/>
      </c>
      <c r="O367" s="18">
        <f>ROUND(N367*'Methodology &amp; Assumptions'!$B$8, 0)</f>
        <v/>
      </c>
      <c r="P367" s="8" t="inlineStr">
        <is>
          <t>Band n50 (1.5 GHz, 60 MHz)</t>
        </is>
      </c>
      <c r="Q367" s="38">
        <f>ROUNDUP(O367/'Methodology &amp; Assumptions'!$B$9, 0)</f>
        <v/>
      </c>
      <c r="R367" s="39" t="n">
        <v>1</v>
      </c>
      <c r="S367" s="21" t="n">
        <v>0.34</v>
      </c>
      <c r="T367" s="21" t="n">
        <v>0.34</v>
      </c>
      <c r="U367" s="36" t="inlineStr">
        <is>
          <t>Tier 1A (Direct Coloc, &lt;1 km)</t>
        </is>
      </c>
      <c r="V367" s="20" t="n">
        <v>99.09999999999999</v>
      </c>
      <c r="W367" s="20" t="n">
        <v>67.7</v>
      </c>
      <c r="X367" s="20" t="n">
        <v>28</v>
      </c>
      <c r="Y367" s="40">
        <f>ROUND((V367*'Methodology &amp; Assumptions'!$B$6)+(W367*'Methodology &amp; Assumptions'!$B$5)+(X367*'Methodology &amp; Assumptions'!$B$7), 2)</f>
        <v/>
      </c>
    </row>
    <row r="368" ht="19" customHeight="1">
      <c r="A368" s="41" t="n">
        <v>364</v>
      </c>
      <c r="B368" s="41" t="n">
        <v>3364</v>
      </c>
      <c r="C368" s="42" t="inlineStr">
        <is>
          <t>0403423006</t>
        </is>
      </c>
      <c r="D368" s="42" t="inlineStr">
        <is>
          <t>Region IV-A (CALABARZON)</t>
        </is>
      </c>
      <c r="E368" s="42" t="inlineStr">
        <is>
          <t>Laguna</t>
        </is>
      </c>
      <c r="F368" s="42" t="inlineStr">
        <is>
          <t>Rizal</t>
        </is>
      </c>
      <c r="G368" s="42" t="inlineStr">
        <is>
          <t>East Poblacion</t>
        </is>
      </c>
      <c r="H368" s="43" t="n">
        <v>14.109242</v>
      </c>
      <c r="I368" s="43" t="n">
        <v>121.396777</v>
      </c>
      <c r="J368" s="44" t="inlineStr">
        <is>
          <t>R</t>
        </is>
      </c>
      <c r="K368" s="42" t="inlineStr">
        <is>
          <t>4th</t>
        </is>
      </c>
      <c r="L368" s="23" t="n">
        <v>657</v>
      </c>
      <c r="M368" s="24" t="n">
        <v>4.24</v>
      </c>
      <c r="N368" s="23">
        <f>ROUND(L368/M368, 0)</f>
        <v/>
      </c>
      <c r="O368" s="23">
        <f>ROUND(N368*'Methodology &amp; Assumptions'!$B$8, 0)</f>
        <v/>
      </c>
      <c r="P368" s="44" t="inlineStr">
        <is>
          <t>Band n50 (1.5 GHz, 60 MHz)</t>
        </is>
      </c>
      <c r="Q368" s="38">
        <f>ROUNDUP(O368/'Methodology &amp; Assumptions'!$B$9, 0)</f>
        <v/>
      </c>
      <c r="R368" s="39" t="n">
        <v>1</v>
      </c>
      <c r="S368" s="25" t="n">
        <v>0.46</v>
      </c>
      <c r="T368" s="25" t="n">
        <v>0.05</v>
      </c>
      <c r="U368" s="42" t="inlineStr">
        <is>
          <t>Tier 1A (Direct Coloc, &lt;1 km)</t>
        </is>
      </c>
      <c r="V368" s="24" t="n">
        <v>95.90000000000001</v>
      </c>
      <c r="W368" s="24" t="n">
        <v>36.3</v>
      </c>
      <c r="X368" s="24" t="n">
        <v>68.5</v>
      </c>
      <c r="Y368" s="45">
        <f>ROUND((V368*'Methodology &amp; Assumptions'!$B$6)+(W368*'Methodology &amp; Assumptions'!$B$5)+(X368*'Methodology &amp; Assumptions'!$B$7), 2)</f>
        <v/>
      </c>
    </row>
    <row r="369" ht="19" customHeight="1">
      <c r="A369" s="35" t="n">
        <v>365</v>
      </c>
      <c r="B369" s="35" t="n">
        <v>3365</v>
      </c>
      <c r="C369" s="36" t="inlineStr">
        <is>
          <t>0401019045</t>
        </is>
      </c>
      <c r="D369" s="36" t="inlineStr">
        <is>
          <t>Region IV-A (CALABARZON)</t>
        </is>
      </c>
      <c r="E369" s="36" t="inlineStr">
        <is>
          <t>Batangas</t>
        </is>
      </c>
      <c r="F369" s="36" t="inlineStr">
        <is>
          <t>Nasugbu</t>
        </is>
      </c>
      <c r="G369" s="36" t="inlineStr">
        <is>
          <t>Talangan</t>
        </is>
      </c>
      <c r="H369" s="37" t="n">
        <v>14.084692</v>
      </c>
      <c r="I369" s="37" t="n">
        <v>120.635809</v>
      </c>
      <c r="J369" s="8" t="inlineStr">
        <is>
          <t>R</t>
        </is>
      </c>
      <c r="K369" s="36" t="inlineStr">
        <is>
          <t>Class 1-3 / Urban</t>
        </is>
      </c>
      <c r="L369" s="18" t="n">
        <v>2762</v>
      </c>
      <c r="M369" s="20" t="n">
        <v>4.62</v>
      </c>
      <c r="N369" s="18">
        <f>ROUND(L369/M369, 0)</f>
        <v/>
      </c>
      <c r="O369" s="18">
        <f>ROUND(N369*'Methodology &amp; Assumptions'!$B$8, 0)</f>
        <v/>
      </c>
      <c r="P369" s="8" t="inlineStr">
        <is>
          <t>Band n50 (1.5 GHz, 60 MHz)</t>
        </is>
      </c>
      <c r="Q369" s="38">
        <f>ROUNDUP(O369/'Methodology &amp; Assumptions'!$B$9, 0)</f>
        <v/>
      </c>
      <c r="R369" s="39" t="n">
        <v>1</v>
      </c>
      <c r="S369" s="21" t="n">
        <v>1.56</v>
      </c>
      <c r="T369" s="21" t="n">
        <v>0.92</v>
      </c>
      <c r="U369" s="36" t="inlineStr">
        <is>
          <t>Tier 1B (Micro Drop, 1-3 km)</t>
        </is>
      </c>
      <c r="V369" s="20" t="n">
        <v>69.40000000000001</v>
      </c>
      <c r="W369" s="20" t="n">
        <v>71.7</v>
      </c>
      <c r="X369" s="20" t="n">
        <v>58</v>
      </c>
      <c r="Y369" s="40">
        <f>ROUND((V369*'Methodology &amp; Assumptions'!$B$6)+(W369*'Methodology &amp; Assumptions'!$B$5)+(X369*'Methodology &amp; Assumptions'!$B$7), 2)</f>
        <v/>
      </c>
    </row>
    <row r="370" ht="19" customHeight="1">
      <c r="A370" s="41" t="n">
        <v>366</v>
      </c>
      <c r="B370" s="41" t="n">
        <v>3366</v>
      </c>
      <c r="C370" s="42" t="inlineStr">
        <is>
          <t>0405610030</t>
        </is>
      </c>
      <c r="D370" s="42" t="inlineStr">
        <is>
          <t>Region IV-A (CALABARZON)</t>
        </is>
      </c>
      <c r="E370" s="42" t="inlineStr">
        <is>
          <t>Quezon</t>
        </is>
      </c>
      <c r="F370" s="42" t="inlineStr">
        <is>
          <t>Catanauan</t>
        </is>
      </c>
      <c r="G370" s="42" t="inlineStr">
        <is>
          <t>Pacabit</t>
        </is>
      </c>
      <c r="H370" s="43" t="n">
        <v>13.595193</v>
      </c>
      <c r="I370" s="43" t="n">
        <v>122.338495</v>
      </c>
      <c r="J370" s="44" t="inlineStr">
        <is>
          <t>R</t>
        </is>
      </c>
      <c r="K370" s="42" t="inlineStr">
        <is>
          <t>Class 1-3 / Urban</t>
        </is>
      </c>
      <c r="L370" s="23" t="n">
        <v>2218</v>
      </c>
      <c r="M370" s="24" t="n">
        <v>4.46</v>
      </c>
      <c r="N370" s="23">
        <f>ROUND(L370/M370, 0)</f>
        <v/>
      </c>
      <c r="O370" s="23">
        <f>ROUND(N370*'Methodology &amp; Assumptions'!$B$8, 0)</f>
        <v/>
      </c>
      <c r="P370" s="44" t="inlineStr">
        <is>
          <t>Band n50 (1.5 GHz, 60 MHz)</t>
        </is>
      </c>
      <c r="Q370" s="38">
        <f>ROUNDUP(O370/'Methodology &amp; Assumptions'!$B$9, 0)</f>
        <v/>
      </c>
      <c r="R370" s="39" t="n">
        <v>1</v>
      </c>
      <c r="S370" s="25" t="n">
        <v>1.18</v>
      </c>
      <c r="T370" s="25" t="n">
        <v>1.05</v>
      </c>
      <c r="U370" s="42" t="inlineStr">
        <is>
          <t>Tier 1B (Micro Drop, 1-3 km)</t>
        </is>
      </c>
      <c r="V370" s="24" t="n">
        <v>77.40000000000001</v>
      </c>
      <c r="W370" s="24" t="n">
        <v>63.7</v>
      </c>
      <c r="X370" s="24" t="n">
        <v>58</v>
      </c>
      <c r="Y370" s="45">
        <f>ROUND((V370*'Methodology &amp; Assumptions'!$B$6)+(W370*'Methodology &amp; Assumptions'!$B$5)+(X370*'Methodology &amp; Assumptions'!$B$7), 2)</f>
        <v/>
      </c>
    </row>
    <row r="371" ht="19" customHeight="1">
      <c r="A371" s="35" t="n">
        <v>367</v>
      </c>
      <c r="B371" s="35" t="n">
        <v>3367</v>
      </c>
      <c r="C371" s="36" t="inlineStr">
        <is>
          <t>1030500056</t>
        </is>
      </c>
      <c r="D371" s="36" t="inlineStr">
        <is>
          <t>Region X (Northern Mindanao)</t>
        </is>
      </c>
      <c r="E371" s="36" t="inlineStr">
        <is>
          <t>Misamis Oriental</t>
        </is>
      </c>
      <c r="F371" s="36" t="inlineStr">
        <is>
          <t>City of Cagayan De Oro</t>
        </is>
      </c>
      <c r="G371" s="36" t="inlineStr">
        <is>
          <t>Macasandig</t>
        </is>
      </c>
      <c r="H371" s="37" t="n">
        <v>8.465496</v>
      </c>
      <c r="I371" s="37" t="n">
        <v>124.644562</v>
      </c>
      <c r="J371" s="8" t="inlineStr">
        <is>
          <t>U</t>
        </is>
      </c>
      <c r="K371" s="36" t="inlineStr">
        <is>
          <t>Class 1-3 / Urban</t>
        </is>
      </c>
      <c r="L371" s="18" t="n">
        <v>23235</v>
      </c>
      <c r="M371" s="20" t="n">
        <v>4.54</v>
      </c>
      <c r="N371" s="18">
        <f>ROUND(L371/M371, 0)</f>
        <v/>
      </c>
      <c r="O371" s="18">
        <f>ROUND(N371*'Methodology &amp; Assumptions'!$B$8, 0)</f>
        <v/>
      </c>
      <c r="P371" s="8" t="inlineStr">
        <is>
          <t>Band n50 (1.5 GHz, 60 MHz)</t>
        </is>
      </c>
      <c r="Q371" s="38">
        <f>ROUNDUP(O371/'Methodology &amp; Assumptions'!$B$9, 0)</f>
        <v/>
      </c>
      <c r="R371" s="39" t="n">
        <v>1</v>
      </c>
      <c r="S371" s="21" t="n">
        <v>1.21</v>
      </c>
      <c r="T371" s="21" t="n">
        <v>2.38</v>
      </c>
      <c r="U371" s="36" t="inlineStr">
        <is>
          <t>Tier 1B (Micro Drop, 1-3 km)</t>
        </is>
      </c>
      <c r="V371" s="20" t="n">
        <v>66.90000000000001</v>
      </c>
      <c r="W371" s="20" t="n">
        <v>100</v>
      </c>
      <c r="X371" s="20" t="n">
        <v>28</v>
      </c>
      <c r="Y371" s="40">
        <f>ROUND((V371*'Methodology &amp; Assumptions'!$B$6)+(W371*'Methodology &amp; Assumptions'!$B$5)+(X371*'Methodology &amp; Assumptions'!$B$7), 2)</f>
        <v/>
      </c>
    </row>
    <row r="372" ht="19" customHeight="1">
      <c r="A372" s="41" t="n">
        <v>368</v>
      </c>
      <c r="B372" s="41" t="n">
        <v>3368</v>
      </c>
      <c r="C372" s="42" t="inlineStr">
        <is>
          <t>0630200032</t>
        </is>
      </c>
      <c r="D372" s="42" t="inlineStr">
        <is>
          <t>Region VI (Western Visayas)</t>
        </is>
      </c>
      <c r="E372" s="42" t="inlineStr">
        <is>
          <t>Negros Occidental</t>
        </is>
      </c>
      <c r="F372" s="42" t="inlineStr">
        <is>
          <t>City of Bacolod</t>
        </is>
      </c>
      <c r="G372" s="42" t="inlineStr">
        <is>
          <t>Barangay 35</t>
        </is>
      </c>
      <c r="H372" s="43" t="n">
        <v>10.66588</v>
      </c>
      <c r="I372" s="43" t="n">
        <v>122.936844</v>
      </c>
      <c r="J372" s="44" t="inlineStr">
        <is>
          <t>U</t>
        </is>
      </c>
      <c r="K372" s="42" t="inlineStr">
        <is>
          <t>Class 1-3 / Urban</t>
        </is>
      </c>
      <c r="L372" s="23" t="n">
        <v>8441</v>
      </c>
      <c r="M372" s="24" t="n">
        <v>4.33</v>
      </c>
      <c r="N372" s="23">
        <f>ROUND(L372/M372, 0)</f>
        <v/>
      </c>
      <c r="O372" s="23">
        <f>ROUND(N372*'Methodology &amp; Assumptions'!$B$8, 0)</f>
        <v/>
      </c>
      <c r="P372" s="44" t="inlineStr">
        <is>
          <t>Band n50 (1.5 GHz, 60 MHz)</t>
        </is>
      </c>
      <c r="Q372" s="38">
        <f>ROUNDUP(O372/'Methodology &amp; Assumptions'!$B$9, 0)</f>
        <v/>
      </c>
      <c r="R372" s="39" t="n">
        <v>1</v>
      </c>
      <c r="S372" s="25" t="n">
        <v>1.69</v>
      </c>
      <c r="T372" s="25" t="n">
        <v>0.78</v>
      </c>
      <c r="U372" s="42" t="inlineStr">
        <is>
          <t>Tier 1B (Micro Drop, 1-3 km)</t>
        </is>
      </c>
      <c r="V372" s="24" t="n">
        <v>66.90000000000001</v>
      </c>
      <c r="W372" s="24" t="n">
        <v>100</v>
      </c>
      <c r="X372" s="24" t="n">
        <v>28</v>
      </c>
      <c r="Y372" s="45">
        <f>ROUND((V372*'Methodology &amp; Assumptions'!$B$6)+(W372*'Methodology &amp; Assumptions'!$B$5)+(X372*'Methodology &amp; Assumptions'!$B$7), 2)</f>
        <v/>
      </c>
    </row>
    <row r="373" ht="19" customHeight="1">
      <c r="A373" s="35" t="n">
        <v>369</v>
      </c>
      <c r="B373" s="35" t="n">
        <v>3369</v>
      </c>
      <c r="C373" s="36" t="inlineStr">
        <is>
          <t>0305416014</t>
        </is>
      </c>
      <c r="D373" s="36" t="inlineStr">
        <is>
          <t>Region III (Central Luzon)</t>
        </is>
      </c>
      <c r="E373" s="36" t="inlineStr">
        <is>
          <t>Pampanga</t>
        </is>
      </c>
      <c r="F373" s="36" t="inlineStr">
        <is>
          <t>City of San Fernando</t>
        </is>
      </c>
      <c r="G373" s="36" t="inlineStr">
        <is>
          <t>Magliman</t>
        </is>
      </c>
      <c r="H373" s="37" t="n">
        <v>15.029245</v>
      </c>
      <c r="I373" s="37" t="n">
        <v>120.667788</v>
      </c>
      <c r="J373" s="8" t="inlineStr">
        <is>
          <t>U</t>
        </is>
      </c>
      <c r="K373" s="36" t="inlineStr">
        <is>
          <t>Class 1-3 / Urban</t>
        </is>
      </c>
      <c r="L373" s="18" t="n">
        <v>6666</v>
      </c>
      <c r="M373" s="20" t="n">
        <v>4.63</v>
      </c>
      <c r="N373" s="18">
        <f>ROUND(L373/M373, 0)</f>
        <v/>
      </c>
      <c r="O373" s="18">
        <f>ROUND(N373*'Methodology &amp; Assumptions'!$B$8, 0)</f>
        <v/>
      </c>
      <c r="P373" s="8" t="inlineStr">
        <is>
          <t>Band n50 (1.5 GHz, 60 MHz)</t>
        </is>
      </c>
      <c r="Q373" s="38">
        <f>ROUNDUP(O373/'Methodology &amp; Assumptions'!$B$9, 0)</f>
        <v/>
      </c>
      <c r="R373" s="39" t="n">
        <v>1</v>
      </c>
      <c r="S373" s="21" t="n">
        <v>1.69</v>
      </c>
      <c r="T373" s="21" t="n">
        <v>0.66</v>
      </c>
      <c r="U373" s="36" t="inlineStr">
        <is>
          <t>Tier 1B (Micro Drop, 1-3 km)</t>
        </is>
      </c>
      <c r="V373" s="20" t="n">
        <v>66.8</v>
      </c>
      <c r="W373" s="20" t="n">
        <v>100</v>
      </c>
      <c r="X373" s="20" t="n">
        <v>28</v>
      </c>
      <c r="Y373" s="40">
        <f>ROUND((V373*'Methodology &amp; Assumptions'!$B$6)+(W373*'Methodology &amp; Assumptions'!$B$5)+(X373*'Methodology &amp; Assumptions'!$B$7), 2)</f>
        <v/>
      </c>
    </row>
    <row r="374" ht="19" customHeight="1">
      <c r="A374" s="41" t="n">
        <v>370</v>
      </c>
      <c r="B374" s="41" t="n">
        <v>3370</v>
      </c>
      <c r="C374" s="42" t="inlineStr">
        <is>
          <t>1102412004</t>
        </is>
      </c>
      <c r="D374" s="42" t="inlineStr">
        <is>
          <t>Region XI (Davao Region)</t>
        </is>
      </c>
      <c r="E374" s="42" t="inlineStr">
        <is>
          <t>Davao del Sur</t>
        </is>
      </c>
      <c r="F374" s="42" t="inlineStr">
        <is>
          <t>Santa Cruz</t>
        </is>
      </c>
      <c r="G374" s="42" t="inlineStr">
        <is>
          <t>Darong</t>
        </is>
      </c>
      <c r="H374" s="43" t="n">
        <v>6.938933</v>
      </c>
      <c r="I374" s="43" t="n">
        <v>125.472223</v>
      </c>
      <c r="J374" s="44" t="inlineStr">
        <is>
          <t>U</t>
        </is>
      </c>
      <c r="K374" s="42" t="inlineStr">
        <is>
          <t>Class 1-3 / Urban</t>
        </is>
      </c>
      <c r="L374" s="23" t="n">
        <v>5328</v>
      </c>
      <c r="M374" s="24" t="n">
        <v>4.1</v>
      </c>
      <c r="N374" s="23">
        <f>ROUND(L374/M374, 0)</f>
        <v/>
      </c>
      <c r="O374" s="23">
        <f>ROUND(N374*'Methodology &amp; Assumptions'!$B$8, 0)</f>
        <v/>
      </c>
      <c r="P374" s="44" t="inlineStr">
        <is>
          <t>Band n50 (1.5 GHz, 60 MHz)</t>
        </is>
      </c>
      <c r="Q374" s="38">
        <f>ROUNDUP(O374/'Methodology &amp; Assumptions'!$B$9, 0)</f>
        <v/>
      </c>
      <c r="R374" s="39" t="n">
        <v>1</v>
      </c>
      <c r="S374" s="25" t="n">
        <v>1.69</v>
      </c>
      <c r="T374" s="25" t="n">
        <v>0.06</v>
      </c>
      <c r="U374" s="42" t="inlineStr">
        <is>
          <t>Tier 1B (Micro Drop, 1-3 km)</t>
        </is>
      </c>
      <c r="V374" s="24" t="n">
        <v>66.90000000000001</v>
      </c>
      <c r="W374" s="24" t="n">
        <v>100</v>
      </c>
      <c r="X374" s="24" t="n">
        <v>28</v>
      </c>
      <c r="Y374" s="45">
        <f>ROUND((V374*'Methodology &amp; Assumptions'!$B$6)+(W374*'Methodology &amp; Assumptions'!$B$5)+(X374*'Methodology &amp; Assumptions'!$B$7), 2)</f>
        <v/>
      </c>
    </row>
    <row r="375" ht="19" customHeight="1">
      <c r="A375" s="35" t="n">
        <v>371</v>
      </c>
      <c r="B375" s="35" t="n">
        <v>3371</v>
      </c>
      <c r="C375" s="36" t="inlineStr">
        <is>
          <t>1600308007</t>
        </is>
      </c>
      <c r="D375" s="36" t="inlineStr">
        <is>
          <t>Region XIII (Caraga)</t>
        </is>
      </c>
      <c r="E375" s="36" t="inlineStr">
        <is>
          <t>Agusan del Sur</t>
        </is>
      </c>
      <c r="F375" s="36" t="inlineStr">
        <is>
          <t>San Francisco</t>
        </is>
      </c>
      <c r="G375" s="36" t="inlineStr">
        <is>
          <t>Hubang</t>
        </is>
      </c>
      <c r="H375" s="37" t="n">
        <v>8.519456</v>
      </c>
      <c r="I375" s="37" t="n">
        <v>125.9672</v>
      </c>
      <c r="J375" s="8" t="inlineStr">
        <is>
          <t>U</t>
        </is>
      </c>
      <c r="K375" s="36" t="inlineStr">
        <is>
          <t>Class 1-3 / Urban</t>
        </is>
      </c>
      <c r="L375" s="18" t="n">
        <v>3720</v>
      </c>
      <c r="M375" s="20" t="n">
        <v>4.1</v>
      </c>
      <c r="N375" s="18">
        <f>ROUND(L375/M375, 0)</f>
        <v/>
      </c>
      <c r="O375" s="18">
        <f>ROUND(N375*'Methodology &amp; Assumptions'!$B$8, 0)</f>
        <v/>
      </c>
      <c r="P375" s="8" t="inlineStr">
        <is>
          <t>Band n50 (1.5 GHz, 60 MHz)</t>
        </is>
      </c>
      <c r="Q375" s="38">
        <f>ROUNDUP(O375/'Methodology &amp; Assumptions'!$B$9, 0)</f>
        <v/>
      </c>
      <c r="R375" s="39" t="n">
        <v>1</v>
      </c>
      <c r="S375" s="21" t="n">
        <v>1.52</v>
      </c>
      <c r="T375" s="21" t="n">
        <v>0.27</v>
      </c>
      <c r="U375" s="36" t="inlineStr">
        <is>
          <t>Tier 1B (Micro Drop, 1-3 km)</t>
        </is>
      </c>
      <c r="V375" s="20" t="n">
        <v>70.3</v>
      </c>
      <c r="W375" s="20" t="n">
        <v>96.5</v>
      </c>
      <c r="X375" s="20" t="n">
        <v>28</v>
      </c>
      <c r="Y375" s="40">
        <f>ROUND((V375*'Methodology &amp; Assumptions'!$B$6)+(W375*'Methodology &amp; Assumptions'!$B$5)+(X375*'Methodology &amp; Assumptions'!$B$7), 2)</f>
        <v/>
      </c>
    </row>
    <row r="376" ht="19" customHeight="1">
      <c r="A376" s="41" t="n">
        <v>372</v>
      </c>
      <c r="B376" s="41" t="n">
        <v>3372</v>
      </c>
      <c r="C376" s="42" t="inlineStr">
        <is>
          <t>0501710020</t>
        </is>
      </c>
      <c r="D376" s="42" t="inlineStr">
        <is>
          <t>Region V (Bicol Region)</t>
        </is>
      </c>
      <c r="E376" s="42" t="inlineStr">
        <is>
          <t>Camarines Sur</t>
        </is>
      </c>
      <c r="F376" s="42" t="inlineStr">
        <is>
          <t>Canaman</t>
        </is>
      </c>
      <c r="G376" s="42" t="inlineStr">
        <is>
          <t>San Vicente</t>
        </is>
      </c>
      <c r="H376" s="43" t="n">
        <v>13.635043</v>
      </c>
      <c r="I376" s="43" t="n">
        <v>123.178849</v>
      </c>
      <c r="J376" s="44" t="inlineStr">
        <is>
          <t>R</t>
        </is>
      </c>
      <c r="K376" s="42" t="inlineStr">
        <is>
          <t>3rd</t>
        </is>
      </c>
      <c r="L376" s="23" t="n">
        <v>3166</v>
      </c>
      <c r="M376" s="24" t="n">
        <v>4.79</v>
      </c>
      <c r="N376" s="23">
        <f>ROUND(L376/M376, 0)</f>
        <v/>
      </c>
      <c r="O376" s="23">
        <f>ROUND(N376*'Methodology &amp; Assumptions'!$B$8, 0)</f>
        <v/>
      </c>
      <c r="P376" s="44" t="inlineStr">
        <is>
          <t>Band n50 (1.5 GHz, 60 MHz)</t>
        </is>
      </c>
      <c r="Q376" s="38">
        <f>ROUNDUP(O376/'Methodology &amp; Assumptions'!$B$9, 0)</f>
        <v/>
      </c>
      <c r="R376" s="39" t="n">
        <v>1</v>
      </c>
      <c r="S376" s="25" t="n">
        <v>1.83</v>
      </c>
      <c r="T376" s="25" t="n">
        <v>0.77</v>
      </c>
      <c r="U376" s="42" t="inlineStr">
        <is>
          <t>Tier 1B (Micro Drop, 1-3 km)</t>
        </is>
      </c>
      <c r="V376" s="24" t="n">
        <v>64.3</v>
      </c>
      <c r="W376" s="24" t="n">
        <v>76.8</v>
      </c>
      <c r="X376" s="24" t="n">
        <v>58</v>
      </c>
      <c r="Y376" s="45">
        <f>ROUND((V376*'Methodology &amp; Assumptions'!$B$6)+(W376*'Methodology &amp; Assumptions'!$B$5)+(X376*'Methodology &amp; Assumptions'!$B$7), 2)</f>
        <v/>
      </c>
    </row>
    <row r="377" ht="19" customHeight="1">
      <c r="A377" s="35" t="n">
        <v>373</v>
      </c>
      <c r="B377" s="35" t="n">
        <v>3373</v>
      </c>
      <c r="C377" s="36" t="inlineStr">
        <is>
          <t>0403415021</t>
        </is>
      </c>
      <c r="D377" s="36" t="inlineStr">
        <is>
          <t>Region IV-A (CALABARZON)</t>
        </is>
      </c>
      <c r="E377" s="36" t="inlineStr">
        <is>
          <t>Laguna</t>
        </is>
      </c>
      <c r="F377" s="36" t="inlineStr">
        <is>
          <t>Magdalena</t>
        </is>
      </c>
      <c r="G377" s="36" t="inlineStr">
        <is>
          <t>Salasad</t>
        </is>
      </c>
      <c r="H377" s="37" t="n">
        <v>14.217062</v>
      </c>
      <c r="I377" s="37" t="n">
        <v>121.430402</v>
      </c>
      <c r="J377" s="8" t="inlineStr">
        <is>
          <t>R</t>
        </is>
      </c>
      <c r="K377" s="36" t="inlineStr">
        <is>
          <t>3rd</t>
        </is>
      </c>
      <c r="L377" s="18" t="n">
        <v>3047</v>
      </c>
      <c r="M377" s="20" t="n">
        <v>4.3</v>
      </c>
      <c r="N377" s="18">
        <f>ROUND(L377/M377, 0)</f>
        <v/>
      </c>
      <c r="O377" s="18">
        <f>ROUND(N377*'Methodology &amp; Assumptions'!$B$8, 0)</f>
        <v/>
      </c>
      <c r="P377" s="8" t="inlineStr">
        <is>
          <t>Band n50 (1.5 GHz, 60 MHz)</t>
        </is>
      </c>
      <c r="Q377" s="38">
        <f>ROUNDUP(O377/'Methodology &amp; Assumptions'!$B$9, 0)</f>
        <v/>
      </c>
      <c r="R377" s="39" t="n">
        <v>1</v>
      </c>
      <c r="S377" s="21" t="n">
        <v>2.06</v>
      </c>
      <c r="T377" s="21" t="n">
        <v>0.36</v>
      </c>
      <c r="U377" s="36" t="inlineStr">
        <is>
          <t>Tier 1B (Micro Drop, 1-3 km)</t>
        </is>
      </c>
      <c r="V377" s="20" t="n">
        <v>60.3</v>
      </c>
      <c r="W377" s="20" t="n">
        <v>80.8</v>
      </c>
      <c r="X377" s="20" t="n">
        <v>58</v>
      </c>
      <c r="Y377" s="40">
        <f>ROUND((V377*'Methodology &amp; Assumptions'!$B$6)+(W377*'Methodology &amp; Assumptions'!$B$5)+(X377*'Methodology &amp; Assumptions'!$B$7), 2)</f>
        <v/>
      </c>
    </row>
    <row r="378" ht="19" customHeight="1">
      <c r="A378" s="41" t="n">
        <v>374</v>
      </c>
      <c r="B378" s="41" t="n">
        <v>3374</v>
      </c>
      <c r="C378" s="42" t="inlineStr">
        <is>
          <t>0203131019</t>
        </is>
      </c>
      <c r="D378" s="42" t="inlineStr">
        <is>
          <t>Region II (Cagayan Valley)</t>
        </is>
      </c>
      <c r="E378" s="42" t="inlineStr">
        <is>
          <t>Isabela</t>
        </is>
      </c>
      <c r="F378" s="42" t="inlineStr">
        <is>
          <t>San Mariano</t>
        </is>
      </c>
      <c r="G378" s="42" t="inlineStr">
        <is>
          <t>Libertad</t>
        </is>
      </c>
      <c r="H378" s="43" t="n">
        <v>16.983516</v>
      </c>
      <c r="I378" s="43" t="n">
        <v>122.012798</v>
      </c>
      <c r="J378" s="44" t="inlineStr">
        <is>
          <t>R</t>
        </is>
      </c>
      <c r="K378" s="42" t="inlineStr">
        <is>
          <t>Class 1-3 / Urban</t>
        </is>
      </c>
      <c r="L378" s="23" t="n">
        <v>1270</v>
      </c>
      <c r="M378" s="24" t="n">
        <v>4.3</v>
      </c>
      <c r="N378" s="23">
        <f>ROUND(L378/M378, 0)</f>
        <v/>
      </c>
      <c r="O378" s="23">
        <f>ROUND(N378*'Methodology &amp; Assumptions'!$B$8, 0)</f>
        <v/>
      </c>
      <c r="P378" s="44" t="inlineStr">
        <is>
          <t>Band n50 (1.5 GHz, 60 MHz)</t>
        </is>
      </c>
      <c r="Q378" s="38">
        <f>ROUNDUP(O378/'Methodology &amp; Assumptions'!$B$9, 0)</f>
        <v/>
      </c>
      <c r="R378" s="39" t="n">
        <v>1</v>
      </c>
      <c r="S378" s="25" t="n">
        <v>0.2</v>
      </c>
      <c r="T378" s="25" t="n">
        <v>16.79</v>
      </c>
      <c r="U378" s="42" t="inlineStr">
        <is>
          <t>Tier 1A (Direct Coloc, &lt;1 km)</t>
        </is>
      </c>
      <c r="V378" s="24" t="n">
        <v>93.59999999999999</v>
      </c>
      <c r="W378" s="24" t="n">
        <v>47.5</v>
      </c>
      <c r="X378" s="24" t="n">
        <v>58</v>
      </c>
      <c r="Y378" s="45">
        <f>ROUND((V378*'Methodology &amp; Assumptions'!$B$6)+(W378*'Methodology &amp; Assumptions'!$B$5)+(X378*'Methodology &amp; Assumptions'!$B$7), 2)</f>
        <v/>
      </c>
    </row>
    <row r="379" ht="19" customHeight="1">
      <c r="A379" s="35" t="n">
        <v>375</v>
      </c>
      <c r="B379" s="35" t="n">
        <v>3375</v>
      </c>
      <c r="C379" s="36" t="inlineStr">
        <is>
          <t>0301406002</t>
        </is>
      </c>
      <c r="D379" s="36" t="inlineStr">
        <is>
          <t>Region III (Central Luzon)</t>
        </is>
      </c>
      <c r="E379" s="36" t="inlineStr">
        <is>
          <t>Bulacan</t>
        </is>
      </c>
      <c r="F379" s="36" t="inlineStr">
        <is>
          <t>Bustos</t>
        </is>
      </c>
      <c r="G379" s="36" t="inlineStr">
        <is>
          <t>Bonga Menor</t>
        </is>
      </c>
      <c r="H379" s="37" t="n">
        <v>14.950516</v>
      </c>
      <c r="I379" s="37" t="n">
        <v>120.933731</v>
      </c>
      <c r="J379" s="8" t="inlineStr">
        <is>
          <t>U</t>
        </is>
      </c>
      <c r="K379" s="36" t="inlineStr">
        <is>
          <t>Class 1-3 / Urban</t>
        </is>
      </c>
      <c r="L379" s="18" t="n">
        <v>5301</v>
      </c>
      <c r="M379" s="20" t="n">
        <v>4.1</v>
      </c>
      <c r="N379" s="18">
        <f>ROUND(L379/M379, 0)</f>
        <v/>
      </c>
      <c r="O379" s="18">
        <f>ROUND(N379*'Methodology &amp; Assumptions'!$B$8, 0)</f>
        <v/>
      </c>
      <c r="P379" s="8" t="inlineStr">
        <is>
          <t>Band n50 (1.5 GHz, 60 MHz)</t>
        </is>
      </c>
      <c r="Q379" s="38">
        <f>ROUNDUP(O379/'Methodology &amp; Assumptions'!$B$9, 0)</f>
        <v/>
      </c>
      <c r="R379" s="39" t="n">
        <v>1</v>
      </c>
      <c r="S379" s="21" t="n">
        <v>1.7</v>
      </c>
      <c r="T379" s="21" t="n">
        <v>0.91</v>
      </c>
      <c r="U379" s="36" t="inlineStr">
        <is>
          <t>Tier 1B (Micro Drop, 1-3 km)</t>
        </is>
      </c>
      <c r="V379" s="20" t="n">
        <v>66.8</v>
      </c>
      <c r="W379" s="20" t="n">
        <v>100</v>
      </c>
      <c r="X379" s="20" t="n">
        <v>28</v>
      </c>
      <c r="Y379" s="40">
        <f>ROUND((V379*'Methodology &amp; Assumptions'!$B$6)+(W379*'Methodology &amp; Assumptions'!$B$5)+(X379*'Methodology &amp; Assumptions'!$B$7), 2)</f>
        <v/>
      </c>
    </row>
    <row r="380" ht="19" customHeight="1">
      <c r="A380" s="41" t="n">
        <v>376</v>
      </c>
      <c r="B380" s="41" t="n">
        <v>3376</v>
      </c>
      <c r="C380" s="42" t="inlineStr">
        <is>
          <t>0304921003</t>
        </is>
      </c>
      <c r="D380" s="42" t="inlineStr">
        <is>
          <t>Region III (Central Luzon)</t>
        </is>
      </c>
      <c r="E380" s="42" t="inlineStr">
        <is>
          <t>Nueva Ecija</t>
        </is>
      </c>
      <c r="F380" s="42" t="inlineStr">
        <is>
          <t>Peñaranda</t>
        </is>
      </c>
      <c r="G380" s="42" t="inlineStr">
        <is>
          <t>Las Piñas</t>
        </is>
      </c>
      <c r="H380" s="43" t="n">
        <v>15.373193</v>
      </c>
      <c r="I380" s="43" t="n">
        <v>121.003822</v>
      </c>
      <c r="J380" s="44" t="inlineStr">
        <is>
          <t>R</t>
        </is>
      </c>
      <c r="K380" s="42" t="inlineStr">
        <is>
          <t>2nd</t>
        </is>
      </c>
      <c r="L380" s="23" t="n">
        <v>3362</v>
      </c>
      <c r="M380" s="24" t="n">
        <v>4.33</v>
      </c>
      <c r="N380" s="23">
        <f>ROUND(L380/M380, 0)</f>
        <v/>
      </c>
      <c r="O380" s="23">
        <f>ROUND(N380*'Methodology &amp; Assumptions'!$B$8, 0)</f>
        <v/>
      </c>
      <c r="P380" s="44" t="inlineStr">
        <is>
          <t>Band n50 (1.5 GHz, 60 MHz)</t>
        </is>
      </c>
      <c r="Q380" s="38">
        <f>ROUNDUP(O380/'Methodology &amp; Assumptions'!$B$9, 0)</f>
        <v/>
      </c>
      <c r="R380" s="39" t="n">
        <v>1</v>
      </c>
      <c r="S380" s="25" t="n">
        <v>2.6</v>
      </c>
      <c r="T380" s="25" t="n">
        <v>6.13</v>
      </c>
      <c r="U380" s="42" t="inlineStr">
        <is>
          <t>Tier 1B (Micro Drop, 1-3 km)</t>
        </is>
      </c>
      <c r="V380" s="24" t="n">
        <v>42.1</v>
      </c>
      <c r="W380" s="24" t="n">
        <v>86.09999999999999</v>
      </c>
      <c r="X380" s="24" t="n">
        <v>73</v>
      </c>
      <c r="Y380" s="45">
        <f>ROUND((V380*'Methodology &amp; Assumptions'!$B$6)+(W380*'Methodology &amp; Assumptions'!$B$5)+(X380*'Methodology &amp; Assumptions'!$B$7), 2)</f>
        <v/>
      </c>
    </row>
    <row r="381" ht="19" customHeight="1">
      <c r="A381" s="35" t="n">
        <v>377</v>
      </c>
      <c r="B381" s="35" t="n">
        <v>3377</v>
      </c>
      <c r="C381" s="36" t="inlineStr">
        <is>
          <t>0604515008</t>
        </is>
      </c>
      <c r="D381" s="36" t="inlineStr">
        <is>
          <t>Region VI (Western Visayas)</t>
        </is>
      </c>
      <c r="E381" s="36" t="inlineStr">
        <is>
          <t>Negros Occidental</t>
        </is>
      </c>
      <c r="F381" s="36" t="inlineStr">
        <is>
          <t>City of Kabankalan</t>
        </is>
      </c>
      <c r="G381" s="36" t="inlineStr">
        <is>
          <t>Hilamonan</t>
        </is>
      </c>
      <c r="H381" s="37" t="n">
        <v>10.001789</v>
      </c>
      <c r="I381" s="37" t="n">
        <v>122.834087</v>
      </c>
      <c r="J381" s="8" t="inlineStr">
        <is>
          <t>U</t>
        </is>
      </c>
      <c r="K381" s="36" t="inlineStr">
        <is>
          <t>Class 1-3 / Urban</t>
        </is>
      </c>
      <c r="L381" s="18" t="n">
        <v>16745</v>
      </c>
      <c r="M381" s="20" t="n">
        <v>4.33</v>
      </c>
      <c r="N381" s="18">
        <f>ROUND(L381/M381, 0)</f>
        <v/>
      </c>
      <c r="O381" s="18">
        <f>ROUND(N381*'Methodology &amp; Assumptions'!$B$8, 0)</f>
        <v/>
      </c>
      <c r="P381" s="8" t="inlineStr">
        <is>
          <t>Band n50 (1.5 GHz, 60 MHz)</t>
        </is>
      </c>
      <c r="Q381" s="38">
        <f>ROUNDUP(O381/'Methodology &amp; Assumptions'!$B$9, 0)</f>
        <v/>
      </c>
      <c r="R381" s="39" t="n">
        <v>1</v>
      </c>
      <c r="S381" s="21" t="n">
        <v>2.47</v>
      </c>
      <c r="T381" s="21" t="n">
        <v>1.79</v>
      </c>
      <c r="U381" s="36" t="inlineStr">
        <is>
          <t>Tier 1B (Micro Drop, 1-3 km)</t>
        </is>
      </c>
      <c r="V381" s="20" t="n">
        <v>53.9</v>
      </c>
      <c r="W381" s="20" t="n">
        <v>100</v>
      </c>
      <c r="X381" s="20" t="n">
        <v>43</v>
      </c>
      <c r="Y381" s="40">
        <f>ROUND((V381*'Methodology &amp; Assumptions'!$B$6)+(W381*'Methodology &amp; Assumptions'!$B$5)+(X381*'Methodology &amp; Assumptions'!$B$7), 2)</f>
        <v/>
      </c>
    </row>
    <row r="382" ht="19" customHeight="1">
      <c r="A382" s="41" t="n">
        <v>378</v>
      </c>
      <c r="B382" s="41" t="n">
        <v>3378</v>
      </c>
      <c r="C382" s="42" t="inlineStr">
        <is>
          <t>0730600062</t>
        </is>
      </c>
      <c r="D382" s="42" t="inlineStr">
        <is>
          <t>Region VII (Central Visayas)</t>
        </is>
      </c>
      <c r="E382" s="42" t="inlineStr">
        <is>
          <t>Cebu</t>
        </is>
      </c>
      <c r="F382" s="42" t="inlineStr">
        <is>
          <t>City of Cebu</t>
        </is>
      </c>
      <c r="G382" s="42" t="inlineStr">
        <is>
          <t>Punta Princesa</t>
        </is>
      </c>
      <c r="H382" s="43" t="n">
        <v>10.295271</v>
      </c>
      <c r="I382" s="43" t="n">
        <v>123.871845</v>
      </c>
      <c r="J382" s="44" t="inlineStr">
        <is>
          <t>U</t>
        </is>
      </c>
      <c r="K382" s="42" t="inlineStr">
        <is>
          <t>Class 1-3 / Urban</t>
        </is>
      </c>
      <c r="L382" s="23" t="n">
        <v>22658</v>
      </c>
      <c r="M382" s="24" t="n">
        <v>4.42</v>
      </c>
      <c r="N382" s="23">
        <f>ROUND(L382/M382, 0)</f>
        <v/>
      </c>
      <c r="O382" s="23">
        <f>ROUND(N382*'Methodology &amp; Assumptions'!$B$8, 0)</f>
        <v/>
      </c>
      <c r="P382" s="44" t="inlineStr">
        <is>
          <t>Band n50 (1.5 GHz, 60 MHz)</t>
        </is>
      </c>
      <c r="Q382" s="38">
        <f>ROUNDUP(O382/'Methodology &amp; Assumptions'!$B$9, 0)</f>
        <v/>
      </c>
      <c r="R382" s="39" t="n">
        <v>1</v>
      </c>
      <c r="S382" s="25" t="n">
        <v>1.7</v>
      </c>
      <c r="T382" s="25" t="n">
        <v>0.6</v>
      </c>
      <c r="U382" s="42" t="inlineStr">
        <is>
          <t>Tier 1B (Micro Drop, 1-3 km)</t>
        </is>
      </c>
      <c r="V382" s="24" t="n">
        <v>66.8</v>
      </c>
      <c r="W382" s="24" t="n">
        <v>100</v>
      </c>
      <c r="X382" s="24" t="n">
        <v>28</v>
      </c>
      <c r="Y382" s="45">
        <f>ROUND((V382*'Methodology &amp; Assumptions'!$B$6)+(W382*'Methodology &amp; Assumptions'!$B$5)+(X382*'Methodology &amp; Assumptions'!$B$7), 2)</f>
        <v/>
      </c>
    </row>
    <row r="383" ht="19" customHeight="1">
      <c r="A383" s="35" t="n">
        <v>379</v>
      </c>
      <c r="B383" s="35" t="n">
        <v>3379</v>
      </c>
      <c r="C383" s="36" t="inlineStr">
        <is>
          <t>0401005027</t>
        </is>
      </c>
      <c r="D383" s="36" t="inlineStr">
        <is>
          <t>Region IV-A (CALABARZON)</t>
        </is>
      </c>
      <c r="E383" s="36" t="inlineStr">
        <is>
          <t>Batangas</t>
        </is>
      </c>
      <c r="F383" s="36" t="inlineStr">
        <is>
          <t>Batangas City</t>
        </is>
      </c>
      <c r="G383" s="36" t="inlineStr">
        <is>
          <t>Dumantay</t>
        </is>
      </c>
      <c r="H383" s="37" t="n">
        <v>13.7655</v>
      </c>
      <c r="I383" s="37" t="n">
        <v>121.1057</v>
      </c>
      <c r="J383" s="8" t="inlineStr">
        <is>
          <t>U</t>
        </is>
      </c>
      <c r="K383" s="36" t="inlineStr">
        <is>
          <t>Class 1-3 / Urban</t>
        </is>
      </c>
      <c r="L383" s="18" t="n">
        <v>5753</v>
      </c>
      <c r="M383" s="20" t="n">
        <v>4.62</v>
      </c>
      <c r="N383" s="18">
        <f>ROUND(L383/M383, 0)</f>
        <v/>
      </c>
      <c r="O383" s="18">
        <f>ROUND(N383*'Methodology &amp; Assumptions'!$B$8, 0)</f>
        <v/>
      </c>
      <c r="P383" s="8" t="inlineStr">
        <is>
          <t>Band n50 (1.5 GHz, 60 MHz)</t>
        </is>
      </c>
      <c r="Q383" s="38">
        <f>ROUNDUP(O383/'Methodology &amp; Assumptions'!$B$9, 0)</f>
        <v/>
      </c>
      <c r="R383" s="39" t="n">
        <v>1</v>
      </c>
      <c r="S383" s="21" t="n">
        <v>1.21</v>
      </c>
      <c r="T383" s="21" t="n">
        <v>3.05</v>
      </c>
      <c r="U383" s="36" t="inlineStr">
        <is>
          <t>Tier 1B (Micro Drop, 1-3 km)</t>
        </is>
      </c>
      <c r="V383" s="20" t="n">
        <v>66.8</v>
      </c>
      <c r="W383" s="20" t="n">
        <v>100</v>
      </c>
      <c r="X383" s="20" t="n">
        <v>28</v>
      </c>
      <c r="Y383" s="40">
        <f>ROUND((V383*'Methodology &amp; Assumptions'!$B$6)+(W383*'Methodology &amp; Assumptions'!$B$5)+(X383*'Methodology &amp; Assumptions'!$B$7), 2)</f>
        <v/>
      </c>
    </row>
    <row r="384" ht="19" customHeight="1">
      <c r="A384" s="41" t="n">
        <v>380</v>
      </c>
      <c r="B384" s="41" t="n">
        <v>3380</v>
      </c>
      <c r="C384" s="42" t="inlineStr">
        <is>
          <t>0304917018</t>
        </is>
      </c>
      <c r="D384" s="42" t="inlineStr">
        <is>
          <t>Region III (Central Luzon)</t>
        </is>
      </c>
      <c r="E384" s="42" t="inlineStr">
        <is>
          <t>Nueva Ecija</t>
        </is>
      </c>
      <c r="F384" s="42" t="inlineStr">
        <is>
          <t>Science City of Muñoz</t>
        </is>
      </c>
      <c r="G384" s="42" t="inlineStr">
        <is>
          <t>Maligaya</t>
        </is>
      </c>
      <c r="H384" s="43" t="n">
        <v>15.75338</v>
      </c>
      <c r="I384" s="43" t="n">
        <v>120.93038</v>
      </c>
      <c r="J384" s="44" t="inlineStr">
        <is>
          <t>R</t>
        </is>
      </c>
      <c r="K384" s="42" t="inlineStr">
        <is>
          <t>Class 1-3 / Urban</t>
        </is>
      </c>
      <c r="L384" s="23" t="n">
        <v>4656</v>
      </c>
      <c r="M384" s="24" t="n">
        <v>4.32</v>
      </c>
      <c r="N384" s="23">
        <f>ROUND(L384/M384, 0)</f>
        <v/>
      </c>
      <c r="O384" s="23">
        <f>ROUND(N384*'Methodology &amp; Assumptions'!$B$8, 0)</f>
        <v/>
      </c>
      <c r="P384" s="44" t="inlineStr">
        <is>
          <t>Band n50 (1.5 GHz, 60 MHz)</t>
        </is>
      </c>
      <c r="Q384" s="38">
        <f>ROUNDUP(O384/'Methodology &amp; Assumptions'!$B$9, 0)</f>
        <v/>
      </c>
      <c r="R384" s="39" t="n">
        <v>1</v>
      </c>
      <c r="S384" s="25" t="n">
        <v>5.11</v>
      </c>
      <c r="T384" s="25" t="n">
        <v>1.81</v>
      </c>
      <c r="U384" s="42" t="inlineStr">
        <is>
          <t>Tier 2 (Fiber Corridor / Lateral, 3-5 km)</t>
        </is>
      </c>
      <c r="V384" s="24" t="n">
        <v>28.2</v>
      </c>
      <c r="W384" s="24" t="n">
        <v>100</v>
      </c>
      <c r="X384" s="24" t="n">
        <v>73</v>
      </c>
      <c r="Y384" s="45">
        <f>ROUND((V384*'Methodology &amp; Assumptions'!$B$6)+(W384*'Methodology &amp; Assumptions'!$B$5)+(X384*'Methodology &amp; Assumptions'!$B$7), 2)</f>
        <v/>
      </c>
    </row>
    <row r="385" ht="19" customHeight="1">
      <c r="A385" s="35" t="n">
        <v>381</v>
      </c>
      <c r="B385" s="35" t="n">
        <v>3381</v>
      </c>
      <c r="C385" s="36" t="inlineStr">
        <is>
          <t>0403408012</t>
        </is>
      </c>
      <c r="D385" s="36" t="inlineStr">
        <is>
          <t>Region IV-A (CALABARZON)</t>
        </is>
      </c>
      <c r="E385" s="36" t="inlineStr">
        <is>
          <t>Laguna</t>
        </is>
      </c>
      <c r="F385" s="36" t="inlineStr">
        <is>
          <t>Famy</t>
        </is>
      </c>
      <c r="G385" s="36" t="inlineStr">
        <is>
          <t>Damayan</t>
        </is>
      </c>
      <c r="H385" s="37" t="n">
        <v>14.440935</v>
      </c>
      <c r="I385" s="37" t="n">
        <v>121.450098</v>
      </c>
      <c r="J385" s="8" t="inlineStr">
        <is>
          <t>R</t>
        </is>
      </c>
      <c r="K385" s="36" t="inlineStr">
        <is>
          <t>4th</t>
        </is>
      </c>
      <c r="L385" s="18" t="n">
        <v>813</v>
      </c>
      <c r="M385" s="20" t="n">
        <v>4.03</v>
      </c>
      <c r="N385" s="18">
        <f>ROUND(L385/M385, 0)</f>
        <v/>
      </c>
      <c r="O385" s="18">
        <f>ROUND(N385*'Methodology &amp; Assumptions'!$B$8, 0)</f>
        <v/>
      </c>
      <c r="P385" s="8" t="inlineStr">
        <is>
          <t>Band n50 (1.5 GHz, 60 MHz)</t>
        </is>
      </c>
      <c r="Q385" s="38">
        <f>ROUNDUP(O385/'Methodology &amp; Assumptions'!$B$9, 0)</f>
        <v/>
      </c>
      <c r="R385" s="39" t="n">
        <v>1</v>
      </c>
      <c r="S385" s="21" t="n">
        <v>0.6</v>
      </c>
      <c r="T385" s="21" t="n">
        <v>0.58</v>
      </c>
      <c r="U385" s="36" t="inlineStr">
        <is>
          <t>Tier 1A (Direct Coloc, &lt;1 km)</t>
        </is>
      </c>
      <c r="V385" s="20" t="n">
        <v>91.8</v>
      </c>
      <c r="W385" s="20" t="n">
        <v>40.3</v>
      </c>
      <c r="X385" s="20" t="n">
        <v>68.5</v>
      </c>
      <c r="Y385" s="40">
        <f>ROUND((V385*'Methodology &amp; Assumptions'!$B$6)+(W385*'Methodology &amp; Assumptions'!$B$5)+(X385*'Methodology &amp; Assumptions'!$B$7), 2)</f>
        <v/>
      </c>
    </row>
    <row r="386" ht="19" customHeight="1">
      <c r="A386" s="41" t="n">
        <v>382</v>
      </c>
      <c r="B386" s="41" t="n">
        <v>3382</v>
      </c>
      <c r="C386" s="42" t="inlineStr">
        <is>
          <t>0401009007</t>
        </is>
      </c>
      <c r="D386" s="42" t="inlineStr">
        <is>
          <t>Region IV-A (CALABARZON)</t>
        </is>
      </c>
      <c r="E386" s="42" t="inlineStr">
        <is>
          <t>Batangas</t>
        </is>
      </c>
      <c r="F386" s="42" t="inlineStr">
        <is>
          <t>Cuenca</t>
        </is>
      </c>
      <c r="G386" s="42" t="inlineStr">
        <is>
          <t>Dita</t>
        </is>
      </c>
      <c r="H386" s="43" t="n">
        <v>13.920189</v>
      </c>
      <c r="I386" s="43" t="n">
        <v>121.072726</v>
      </c>
      <c r="J386" s="44" t="inlineStr">
        <is>
          <t>R</t>
        </is>
      </c>
      <c r="K386" s="42" t="inlineStr">
        <is>
          <t>2nd</t>
        </is>
      </c>
      <c r="L386" s="23" t="n">
        <v>4655</v>
      </c>
      <c r="M386" s="24" t="n">
        <v>4.54</v>
      </c>
      <c r="N386" s="23">
        <f>ROUND(L386/M386, 0)</f>
        <v/>
      </c>
      <c r="O386" s="23">
        <f>ROUND(N386*'Methodology &amp; Assumptions'!$B$8, 0)</f>
        <v/>
      </c>
      <c r="P386" s="44" t="inlineStr">
        <is>
          <t>Band n50 (1.5 GHz, 60 MHz)</t>
        </is>
      </c>
      <c r="Q386" s="38">
        <f>ROUNDUP(O386/'Methodology &amp; Assumptions'!$B$9, 0)</f>
        <v/>
      </c>
      <c r="R386" s="39" t="n">
        <v>1</v>
      </c>
      <c r="S386" s="25" t="n">
        <v>3.51</v>
      </c>
      <c r="T386" s="25" t="n">
        <v>0.32</v>
      </c>
      <c r="U386" s="42" t="inlineStr">
        <is>
          <t>Tier 2 (Fiber Corridor / Lateral, 3-5 km)</t>
        </is>
      </c>
      <c r="V386" s="24" t="n">
        <v>41.1</v>
      </c>
      <c r="W386" s="24" t="n">
        <v>100</v>
      </c>
      <c r="X386" s="24" t="n">
        <v>58</v>
      </c>
      <c r="Y386" s="45">
        <f>ROUND((V386*'Methodology &amp; Assumptions'!$B$6)+(W386*'Methodology &amp; Assumptions'!$B$5)+(X386*'Methodology &amp; Assumptions'!$B$7), 2)</f>
        <v/>
      </c>
    </row>
    <row r="387" ht="19" customHeight="1">
      <c r="A387" s="35" t="n">
        <v>383</v>
      </c>
      <c r="B387" s="35" t="n">
        <v>3383</v>
      </c>
      <c r="C387" s="36" t="inlineStr">
        <is>
          <t>0405603006</t>
        </is>
      </c>
      <c r="D387" s="36" t="inlineStr">
        <is>
          <t>Region IV-A (CALABARZON)</t>
        </is>
      </c>
      <c r="E387" s="36" t="inlineStr">
        <is>
          <t>Quezon</t>
        </is>
      </c>
      <c r="F387" s="36" t="inlineStr">
        <is>
          <t>Atimonan</t>
        </is>
      </c>
      <c r="G387" s="36" t="inlineStr">
        <is>
          <t>Barangay Zone 3</t>
        </is>
      </c>
      <c r="H387" s="37" t="n">
        <v>14.000628</v>
      </c>
      <c r="I387" s="37" t="n">
        <v>121.918517</v>
      </c>
      <c r="J387" s="8" t="inlineStr">
        <is>
          <t>R</t>
        </is>
      </c>
      <c r="K387" s="36" t="inlineStr">
        <is>
          <t>Class 1-3 / Urban</t>
        </is>
      </c>
      <c r="L387" s="18" t="n">
        <v>1612</v>
      </c>
      <c r="M387" s="20" t="n">
        <v>4.46</v>
      </c>
      <c r="N387" s="18">
        <f>ROUND(L387/M387, 0)</f>
        <v/>
      </c>
      <c r="O387" s="18">
        <f>ROUND(N387*'Methodology &amp; Assumptions'!$B$8, 0)</f>
        <v/>
      </c>
      <c r="P387" s="8" t="inlineStr">
        <is>
          <t>Band n50 (1.5 GHz, 60 MHz)</t>
        </is>
      </c>
      <c r="Q387" s="38">
        <f>ROUNDUP(O387/'Methodology &amp; Assumptions'!$B$9, 0)</f>
        <v/>
      </c>
      <c r="R387" s="39" t="n">
        <v>1</v>
      </c>
      <c r="S387" s="21" t="n">
        <v>0.74</v>
      </c>
      <c r="T387" s="21" t="n">
        <v>0.44</v>
      </c>
      <c r="U387" s="36" t="inlineStr">
        <is>
          <t>Tier 1A (Direct Coloc, &lt;1 km)</t>
        </is>
      </c>
      <c r="V387" s="20" t="n">
        <v>88.3</v>
      </c>
      <c r="W387" s="20" t="n">
        <v>52.8</v>
      </c>
      <c r="X387" s="20" t="n">
        <v>58</v>
      </c>
      <c r="Y387" s="40">
        <f>ROUND((V387*'Methodology &amp; Assumptions'!$B$6)+(W387*'Methodology &amp; Assumptions'!$B$5)+(X387*'Methodology &amp; Assumptions'!$B$7), 2)</f>
        <v/>
      </c>
    </row>
    <row r="388" ht="19" customHeight="1">
      <c r="A388" s="41" t="n">
        <v>384</v>
      </c>
      <c r="B388" s="41" t="n">
        <v>3384</v>
      </c>
      <c r="C388" s="42" t="inlineStr">
        <is>
          <t>0307108005</t>
        </is>
      </c>
      <c r="D388" s="42" t="inlineStr">
        <is>
          <t>Region III (Central Luzon)</t>
        </is>
      </c>
      <c r="E388" s="42" t="inlineStr">
        <is>
          <t>Zambales</t>
        </is>
      </c>
      <c r="F388" s="42" t="inlineStr">
        <is>
          <t>Palauig</t>
        </is>
      </c>
      <c r="G388" s="42" t="inlineStr">
        <is>
          <t>Garreta</t>
        </is>
      </c>
      <c r="H388" s="43" t="n">
        <v>15.436636</v>
      </c>
      <c r="I388" s="43" t="n">
        <v>119.900907</v>
      </c>
      <c r="J388" s="44" t="inlineStr">
        <is>
          <t>R</t>
        </is>
      </c>
      <c r="K388" s="42" t="inlineStr">
        <is>
          <t>Class 1-3 / Urban</t>
        </is>
      </c>
      <c r="L388" s="23" t="n">
        <v>1461</v>
      </c>
      <c r="M388" s="24" t="n">
        <v>4.05</v>
      </c>
      <c r="N388" s="23">
        <f>ROUND(L388/M388, 0)</f>
        <v/>
      </c>
      <c r="O388" s="23">
        <f>ROUND(N388*'Methodology &amp; Assumptions'!$B$8, 0)</f>
        <v/>
      </c>
      <c r="P388" s="44" t="inlineStr">
        <is>
          <t>Band n50 (1.5 GHz, 60 MHz)</t>
        </is>
      </c>
      <c r="Q388" s="38">
        <f>ROUNDUP(O388/'Methodology &amp; Assumptions'!$B$9, 0)</f>
        <v/>
      </c>
      <c r="R388" s="39" t="n">
        <v>1</v>
      </c>
      <c r="S388" s="25" t="n">
        <v>0.74</v>
      </c>
      <c r="T388" s="25" t="n">
        <v>0.8</v>
      </c>
      <c r="U388" s="42" t="inlineStr">
        <is>
          <t>Tier 1A (Direct Coloc, &lt;1 km)</t>
        </is>
      </c>
      <c r="V388" s="24" t="n">
        <v>88.3</v>
      </c>
      <c r="W388" s="24" t="n">
        <v>52.8</v>
      </c>
      <c r="X388" s="24" t="n">
        <v>58</v>
      </c>
      <c r="Y388" s="45">
        <f>ROUND((V388*'Methodology &amp; Assumptions'!$B$6)+(W388*'Methodology &amp; Assumptions'!$B$5)+(X388*'Methodology &amp; Assumptions'!$B$7), 2)</f>
        <v/>
      </c>
    </row>
    <row r="389" ht="19" customHeight="1">
      <c r="A389" s="35" t="n">
        <v>385</v>
      </c>
      <c r="B389" s="35" t="n">
        <v>3385</v>
      </c>
      <c r="C389" s="36" t="inlineStr">
        <is>
          <t>0300810028</t>
        </is>
      </c>
      <c r="D389" s="36" t="inlineStr">
        <is>
          <t>Region III (Central Luzon)</t>
        </is>
      </c>
      <c r="E389" s="36" t="inlineStr">
        <is>
          <t>Bataan</t>
        </is>
      </c>
      <c r="F389" s="36" t="inlineStr">
        <is>
          <t>Orion</t>
        </is>
      </c>
      <c r="G389" s="36" t="inlineStr">
        <is>
          <t>Wakas</t>
        </is>
      </c>
      <c r="H389" s="37" t="n">
        <v>14.617476</v>
      </c>
      <c r="I389" s="37" t="n">
        <v>120.578921</v>
      </c>
      <c r="J389" s="8" t="inlineStr">
        <is>
          <t>R</t>
        </is>
      </c>
      <c r="K389" s="36" t="inlineStr">
        <is>
          <t>Class 1-3 / Urban</t>
        </is>
      </c>
      <c r="L389" s="18" t="n">
        <v>977</v>
      </c>
      <c r="M389" s="20" t="n">
        <v>4.57</v>
      </c>
      <c r="N389" s="18">
        <f>ROUND(L389/M389, 0)</f>
        <v/>
      </c>
      <c r="O389" s="18">
        <f>ROUND(N389*'Methodology &amp; Assumptions'!$B$8, 0)</f>
        <v/>
      </c>
      <c r="P389" s="8" t="inlineStr">
        <is>
          <t>Band n50 (1.5 GHz, 60 MHz)</t>
        </is>
      </c>
      <c r="Q389" s="38">
        <f>ROUNDUP(O389/'Methodology &amp; Assumptions'!$B$9, 0)</f>
        <v/>
      </c>
      <c r="R389" s="39" t="n">
        <v>1</v>
      </c>
      <c r="S389" s="21" t="n">
        <v>0.23</v>
      </c>
      <c r="T389" s="21" t="n">
        <v>0.1</v>
      </c>
      <c r="U389" s="36" t="inlineStr">
        <is>
          <t>Tier 1A (Direct Coloc, &lt;1 km)</t>
        </is>
      </c>
      <c r="V389" s="20" t="n">
        <v>100</v>
      </c>
      <c r="W389" s="20" t="n">
        <v>41.1</v>
      </c>
      <c r="X389" s="20" t="n">
        <v>58</v>
      </c>
      <c r="Y389" s="40">
        <f>ROUND((V389*'Methodology &amp; Assumptions'!$B$6)+(W389*'Methodology &amp; Assumptions'!$B$5)+(X389*'Methodology &amp; Assumptions'!$B$7), 2)</f>
        <v/>
      </c>
    </row>
    <row r="390" ht="19" customHeight="1">
      <c r="A390" s="41" t="n">
        <v>386</v>
      </c>
      <c r="B390" s="41" t="n">
        <v>3386</v>
      </c>
      <c r="C390" s="42" t="inlineStr">
        <is>
          <t>0604528004</t>
        </is>
      </c>
      <c r="D390" s="42" t="inlineStr">
        <is>
          <t>Region VI (Western Visayas)</t>
        </is>
      </c>
      <c r="E390" s="42" t="inlineStr">
        <is>
          <t>Negros Occidental</t>
        </is>
      </c>
      <c r="F390" s="42" t="inlineStr">
        <is>
          <t>City of Talisay</t>
        </is>
      </c>
      <c r="G390" s="42" t="inlineStr">
        <is>
          <t>Zone 4</t>
        </is>
      </c>
      <c r="H390" s="43" t="n">
        <v>10.739812</v>
      </c>
      <c r="I390" s="43" t="n">
        <v>122.965702</v>
      </c>
      <c r="J390" s="44" t="inlineStr">
        <is>
          <t>R</t>
        </is>
      </c>
      <c r="K390" s="42" t="inlineStr">
        <is>
          <t>Class 1-3 / Urban</t>
        </is>
      </c>
      <c r="L390" s="23" t="n">
        <v>927</v>
      </c>
      <c r="M390" s="24" t="n">
        <v>4.33</v>
      </c>
      <c r="N390" s="23">
        <f>ROUND(L390/M390, 0)</f>
        <v/>
      </c>
      <c r="O390" s="23">
        <f>ROUND(N390*'Methodology &amp; Assumptions'!$B$8, 0)</f>
        <v/>
      </c>
      <c r="P390" s="44" t="inlineStr">
        <is>
          <t>Band n50 (1.5 GHz, 60 MHz)</t>
        </is>
      </c>
      <c r="Q390" s="38">
        <f>ROUNDUP(O390/'Methodology &amp; Assumptions'!$B$9, 0)</f>
        <v/>
      </c>
      <c r="R390" s="39" t="n">
        <v>1</v>
      </c>
      <c r="S390" s="25" t="n">
        <v>0.24</v>
      </c>
      <c r="T390" s="25" t="n">
        <v>0.21</v>
      </c>
      <c r="U390" s="42" t="inlineStr">
        <is>
          <t>Tier 1A (Direct Coloc, &lt;1 km)</t>
        </is>
      </c>
      <c r="V390" s="24" t="n">
        <v>100</v>
      </c>
      <c r="W390" s="24" t="n">
        <v>41.1</v>
      </c>
      <c r="X390" s="24" t="n">
        <v>58</v>
      </c>
      <c r="Y390" s="45">
        <f>ROUND((V390*'Methodology &amp; Assumptions'!$B$6)+(W390*'Methodology &amp; Assumptions'!$B$5)+(X390*'Methodology &amp; Assumptions'!$B$7), 2)</f>
        <v/>
      </c>
    </row>
    <row r="391" ht="19" customHeight="1">
      <c r="A391" s="35" t="n">
        <v>387</v>
      </c>
      <c r="B391" s="35" t="n">
        <v>3387</v>
      </c>
      <c r="C391" s="36" t="inlineStr">
        <is>
          <t>0402111010</t>
        </is>
      </c>
      <c r="D391" s="36" t="inlineStr">
        <is>
          <t>Region IV-A (CALABARZON)</t>
        </is>
      </c>
      <c r="E391" s="36" t="inlineStr">
        <is>
          <t>Cavite</t>
        </is>
      </c>
      <c r="F391" s="36" t="inlineStr">
        <is>
          <t>Kawit</t>
        </is>
      </c>
      <c r="G391" s="36" t="inlineStr">
        <is>
          <t>Tabon I</t>
        </is>
      </c>
      <c r="H391" s="37" t="n">
        <v>14.438317</v>
      </c>
      <c r="I391" s="37" t="n">
        <v>120.904076</v>
      </c>
      <c r="J391" s="8" t="inlineStr">
        <is>
          <t>U</t>
        </is>
      </c>
      <c r="K391" s="36" t="inlineStr">
        <is>
          <t>Class 1-3 / Urban</t>
        </is>
      </c>
      <c r="L391" s="18" t="n">
        <v>5260</v>
      </c>
      <c r="M391" s="20" t="n">
        <v>4.49</v>
      </c>
      <c r="N391" s="18">
        <f>ROUND(L391/M391, 0)</f>
        <v/>
      </c>
      <c r="O391" s="18">
        <f>ROUND(N391*'Methodology &amp; Assumptions'!$B$8, 0)</f>
        <v/>
      </c>
      <c r="P391" s="8" t="inlineStr">
        <is>
          <t>Band n50 (1.5 GHz, 60 MHz)</t>
        </is>
      </c>
      <c r="Q391" s="38">
        <f>ROUNDUP(O391/'Methodology &amp; Assumptions'!$B$9, 0)</f>
        <v/>
      </c>
      <c r="R391" s="39" t="n">
        <v>1</v>
      </c>
      <c r="S391" s="21" t="n">
        <v>2.47</v>
      </c>
      <c r="T391" s="21" t="n">
        <v>0.43</v>
      </c>
      <c r="U391" s="36" t="inlineStr">
        <is>
          <t>Tier 1B (Micro Drop, 1-3 km)</t>
        </is>
      </c>
      <c r="V391" s="20" t="n">
        <v>53.9</v>
      </c>
      <c r="W391" s="20" t="n">
        <v>100</v>
      </c>
      <c r="X391" s="20" t="n">
        <v>43</v>
      </c>
      <c r="Y391" s="40">
        <f>ROUND((V391*'Methodology &amp; Assumptions'!$B$6)+(W391*'Methodology &amp; Assumptions'!$B$5)+(X391*'Methodology &amp; Assumptions'!$B$7), 2)</f>
        <v/>
      </c>
    </row>
    <row r="392" ht="19" customHeight="1">
      <c r="A392" s="41" t="n">
        <v>388</v>
      </c>
      <c r="B392" s="41" t="n">
        <v>3388</v>
      </c>
      <c r="C392" s="42" t="inlineStr">
        <is>
          <t>0105546029</t>
        </is>
      </c>
      <c r="D392" s="42" t="inlineStr">
        <is>
          <t>Region I (Ilocos Region)</t>
        </is>
      </c>
      <c r="E392" s="42" t="inlineStr">
        <is>
          <t>Pangasinan</t>
        </is>
      </c>
      <c r="F392" s="42" t="inlineStr">
        <is>
          <t>City of Urdaneta</t>
        </is>
      </c>
      <c r="G392" s="42" t="inlineStr">
        <is>
          <t>Palina East</t>
        </is>
      </c>
      <c r="H392" s="43" t="n">
        <v>15.951411</v>
      </c>
      <c r="I392" s="43" t="n">
        <v>120.561142</v>
      </c>
      <c r="J392" s="44" t="inlineStr">
        <is>
          <t>U</t>
        </is>
      </c>
      <c r="K392" s="42" t="inlineStr">
        <is>
          <t>Class 1-3 / Urban</t>
        </is>
      </c>
      <c r="L392" s="23" t="n">
        <v>5144</v>
      </c>
      <c r="M392" s="24" t="n">
        <v>4.39</v>
      </c>
      <c r="N392" s="23">
        <f>ROUND(L392/M392, 0)</f>
        <v/>
      </c>
      <c r="O392" s="23">
        <f>ROUND(N392*'Methodology &amp; Assumptions'!$B$8, 0)</f>
        <v/>
      </c>
      <c r="P392" s="44" t="inlineStr">
        <is>
          <t>Band n50 (1.5 GHz, 60 MHz)</t>
        </is>
      </c>
      <c r="Q392" s="38">
        <f>ROUNDUP(O392/'Methodology &amp; Assumptions'!$B$9, 0)</f>
        <v/>
      </c>
      <c r="R392" s="39" t="n">
        <v>1</v>
      </c>
      <c r="S392" s="25" t="n">
        <v>1.7</v>
      </c>
      <c r="T392" s="25" t="n">
        <v>1.03</v>
      </c>
      <c r="U392" s="42" t="inlineStr">
        <is>
          <t>Tier 1B (Micro Drop, 1-3 km)</t>
        </is>
      </c>
      <c r="V392" s="24" t="n">
        <v>66.8</v>
      </c>
      <c r="W392" s="24" t="n">
        <v>100</v>
      </c>
      <c r="X392" s="24" t="n">
        <v>28</v>
      </c>
      <c r="Y392" s="45">
        <f>ROUND((V392*'Methodology &amp; Assumptions'!$B$6)+(W392*'Methodology &amp; Assumptions'!$B$5)+(X392*'Methodology &amp; Assumptions'!$B$7), 2)</f>
        <v/>
      </c>
    </row>
    <row r="393" ht="19" customHeight="1">
      <c r="A393" s="35" t="n">
        <v>389</v>
      </c>
      <c r="B393" s="35" t="n">
        <v>3389</v>
      </c>
      <c r="C393" s="36" t="inlineStr">
        <is>
          <t>0301422001</t>
        </is>
      </c>
      <c r="D393" s="36" t="inlineStr">
        <is>
          <t>Region III (Central Luzon)</t>
        </is>
      </c>
      <c r="E393" s="36" t="inlineStr">
        <is>
          <t>Bulacan</t>
        </is>
      </c>
      <c r="F393" s="36" t="inlineStr">
        <is>
          <t>San Rafael</t>
        </is>
      </c>
      <c r="G393" s="36" t="inlineStr">
        <is>
          <t>BMA-Balagtas</t>
        </is>
      </c>
      <c r="H393" s="37" t="n">
        <v>14.958707</v>
      </c>
      <c r="I393" s="37" t="n">
        <v>120.961654</v>
      </c>
      <c r="J393" s="8" t="inlineStr">
        <is>
          <t>U</t>
        </is>
      </c>
      <c r="K393" s="36" t="inlineStr">
        <is>
          <t>Class 1-3 / Urban</t>
        </is>
      </c>
      <c r="L393" s="18" t="n">
        <v>2263</v>
      </c>
      <c r="M393" s="20" t="n">
        <v>4.1</v>
      </c>
      <c r="N393" s="18">
        <f>ROUND(L393/M393, 0)</f>
        <v/>
      </c>
      <c r="O393" s="18">
        <f>ROUND(N393*'Methodology &amp; Assumptions'!$B$8, 0)</f>
        <v/>
      </c>
      <c r="P393" s="8" t="inlineStr">
        <is>
          <t>Band n50 (1.5 GHz, 60 MHz)</t>
        </is>
      </c>
      <c r="Q393" s="38">
        <f>ROUNDUP(O393/'Methodology &amp; Assumptions'!$B$9, 0)</f>
        <v/>
      </c>
      <c r="R393" s="39" t="n">
        <v>1</v>
      </c>
      <c r="S393" s="21" t="n">
        <v>0.05</v>
      </c>
      <c r="T393" s="21" t="n">
        <v>3.97</v>
      </c>
      <c r="U393" s="36" t="inlineStr">
        <is>
          <t>Tier 1A (Direct Coloc, &lt;1 km)</t>
        </is>
      </c>
      <c r="V393" s="20" t="n">
        <v>98.5</v>
      </c>
      <c r="W393" s="20" t="n">
        <v>68.3</v>
      </c>
      <c r="X393" s="20" t="n">
        <v>28</v>
      </c>
      <c r="Y393" s="40">
        <f>ROUND((V393*'Methodology &amp; Assumptions'!$B$6)+(W393*'Methodology &amp; Assumptions'!$B$5)+(X393*'Methodology &amp; Assumptions'!$B$7), 2)</f>
        <v/>
      </c>
    </row>
    <row r="394" ht="19" customHeight="1">
      <c r="A394" s="41" t="n">
        <v>390</v>
      </c>
      <c r="B394" s="41" t="n">
        <v>3390</v>
      </c>
      <c r="C394" s="42" t="inlineStr">
        <is>
          <t>0501720010</t>
        </is>
      </c>
      <c r="D394" s="42" t="inlineStr">
        <is>
          <t>Region V (Bicol Region)</t>
        </is>
      </c>
      <c r="E394" s="42" t="inlineStr">
        <is>
          <t>Camarines Sur</t>
        </is>
      </c>
      <c r="F394" s="42" t="inlineStr">
        <is>
          <t>Magarao</t>
        </is>
      </c>
      <c r="G394" s="42" t="inlineStr">
        <is>
          <t>San Juan</t>
        </is>
      </c>
      <c r="H394" s="43" t="n">
        <v>13.662341</v>
      </c>
      <c r="I394" s="43" t="n">
        <v>123.191041</v>
      </c>
      <c r="J394" s="44" t="inlineStr">
        <is>
          <t>R</t>
        </is>
      </c>
      <c r="K394" s="42" t="inlineStr">
        <is>
          <t>4th</t>
        </is>
      </c>
      <c r="L394" s="23" t="n">
        <v>1183</v>
      </c>
      <c r="M394" s="24" t="n">
        <v>4.81</v>
      </c>
      <c r="N394" s="23">
        <f>ROUND(L394/M394, 0)</f>
        <v/>
      </c>
      <c r="O394" s="23">
        <f>ROUND(N394*'Methodology &amp; Assumptions'!$B$8, 0)</f>
        <v/>
      </c>
      <c r="P394" s="44" t="inlineStr">
        <is>
          <t>Band n50 (1.5 GHz, 60 MHz)</t>
        </is>
      </c>
      <c r="Q394" s="38">
        <f>ROUNDUP(O394/'Methodology &amp; Assumptions'!$B$9, 0)</f>
        <v/>
      </c>
      <c r="R394" s="39" t="n">
        <v>1</v>
      </c>
      <c r="S394" s="25" t="n">
        <v>1.27</v>
      </c>
      <c r="T394" s="25" t="n">
        <v>0.12</v>
      </c>
      <c r="U394" s="42" t="inlineStr">
        <is>
          <t>Tier 1B (Micro Drop, 1-3 km)</t>
        </is>
      </c>
      <c r="V394" s="24" t="n">
        <v>75.40000000000001</v>
      </c>
      <c r="W394" s="24" t="n">
        <v>43.7</v>
      </c>
      <c r="X394" s="24" t="n">
        <v>83.5</v>
      </c>
      <c r="Y394" s="45">
        <f>ROUND((V394*'Methodology &amp; Assumptions'!$B$6)+(W394*'Methodology &amp; Assumptions'!$B$5)+(X394*'Methodology &amp; Assumptions'!$B$7), 2)</f>
        <v/>
      </c>
    </row>
    <row r="395" ht="19" customHeight="1">
      <c r="A395" s="35" t="n">
        <v>391</v>
      </c>
      <c r="B395" s="35" t="n">
        <v>3391</v>
      </c>
      <c r="C395" s="36" t="inlineStr">
        <is>
          <t>0403415023</t>
        </is>
      </c>
      <c r="D395" s="36" t="inlineStr">
        <is>
          <t>Region IV-A (CALABARZON)</t>
        </is>
      </c>
      <c r="E395" s="36" t="inlineStr">
        <is>
          <t>Laguna</t>
        </is>
      </c>
      <c r="F395" s="36" t="inlineStr">
        <is>
          <t>Magdalena</t>
        </is>
      </c>
      <c r="G395" s="36" t="inlineStr">
        <is>
          <t>Tipunan</t>
        </is>
      </c>
      <c r="H395" s="37" t="n">
        <v>14.193403</v>
      </c>
      <c r="I395" s="37" t="n">
        <v>121.429294</v>
      </c>
      <c r="J395" s="8" t="inlineStr">
        <is>
          <t>R</t>
        </is>
      </c>
      <c r="K395" s="36" t="inlineStr">
        <is>
          <t>3rd</t>
        </is>
      </c>
      <c r="L395" s="18" t="n">
        <v>1323</v>
      </c>
      <c r="M395" s="20" t="n">
        <v>4.3</v>
      </c>
      <c r="N395" s="18">
        <f>ROUND(L395/M395, 0)</f>
        <v/>
      </c>
      <c r="O395" s="18">
        <f>ROUND(N395*'Methodology &amp; Assumptions'!$B$8, 0)</f>
        <v/>
      </c>
      <c r="P395" s="8" t="inlineStr">
        <is>
          <t>Band n50 (1.5 GHz, 60 MHz)</t>
        </is>
      </c>
      <c r="Q395" s="38">
        <f>ROUNDUP(O395/'Methodology &amp; Assumptions'!$B$9, 0)</f>
        <v/>
      </c>
      <c r="R395" s="39" t="n">
        <v>1</v>
      </c>
      <c r="S395" s="21" t="n">
        <v>0.58</v>
      </c>
      <c r="T395" s="21" t="n">
        <v>0.06</v>
      </c>
      <c r="U395" s="36" t="inlineStr">
        <is>
          <t>Tier 1A (Direct Coloc, &lt;1 km)</t>
        </is>
      </c>
      <c r="V395" s="20" t="n">
        <v>92.5</v>
      </c>
      <c r="W395" s="20" t="n">
        <v>48.5</v>
      </c>
      <c r="X395" s="20" t="n">
        <v>58</v>
      </c>
      <c r="Y395" s="40">
        <f>ROUND((V395*'Methodology &amp; Assumptions'!$B$6)+(W395*'Methodology &amp; Assumptions'!$B$5)+(X395*'Methodology &amp; Assumptions'!$B$7), 2)</f>
        <v/>
      </c>
    </row>
    <row r="396" ht="19" customHeight="1">
      <c r="A396" s="41" t="n">
        <v>392</v>
      </c>
      <c r="B396" s="41" t="n">
        <v>3392</v>
      </c>
      <c r="C396" s="42" t="inlineStr">
        <is>
          <t>0306906034</t>
        </is>
      </c>
      <c r="D396" s="42" t="inlineStr">
        <is>
          <t>Region III (Central Luzon)</t>
        </is>
      </c>
      <c r="E396" s="42" t="inlineStr">
        <is>
          <t>Tarlac</t>
        </is>
      </c>
      <c r="F396" s="42" t="inlineStr">
        <is>
          <t>Gerona</t>
        </is>
      </c>
      <c r="G396" s="42" t="inlineStr">
        <is>
          <t>Salapungan</t>
        </is>
      </c>
      <c r="H396" s="43" t="n">
        <v>15.593333</v>
      </c>
      <c r="I396" s="43" t="n">
        <v>120.611667</v>
      </c>
      <c r="J396" s="44" t="inlineStr">
        <is>
          <t>U</t>
        </is>
      </c>
      <c r="K396" s="42" t="inlineStr">
        <is>
          <t>Class 1-3 / Urban</t>
        </is>
      </c>
      <c r="L396" s="23" t="n">
        <v>3050</v>
      </c>
      <c r="M396" s="24" t="n">
        <v>4.3</v>
      </c>
      <c r="N396" s="23">
        <f>ROUND(L396/M396, 0)</f>
        <v/>
      </c>
      <c r="O396" s="23">
        <f>ROUND(N396*'Methodology &amp; Assumptions'!$B$8, 0)</f>
        <v/>
      </c>
      <c r="P396" s="44" t="inlineStr">
        <is>
          <t>Band n50 (1.5 GHz, 60 MHz)</t>
        </is>
      </c>
      <c r="Q396" s="38">
        <f>ROUNDUP(O396/'Methodology &amp; Assumptions'!$B$9, 0)</f>
        <v/>
      </c>
      <c r="R396" s="39" t="n">
        <v>1</v>
      </c>
      <c r="S396" s="25" t="n">
        <v>0.83</v>
      </c>
      <c r="T396" s="25" t="n">
        <v>0.21</v>
      </c>
      <c r="U396" s="42" t="inlineStr">
        <is>
          <t>Tier 1A (Direct Coloc, &lt;1 km)</t>
        </is>
      </c>
      <c r="V396" s="24" t="n">
        <v>85.90000000000001</v>
      </c>
      <c r="W396" s="24" t="n">
        <v>80.8</v>
      </c>
      <c r="X396" s="24" t="n">
        <v>28</v>
      </c>
      <c r="Y396" s="45">
        <f>ROUND((V396*'Methodology &amp; Assumptions'!$B$6)+(W396*'Methodology &amp; Assumptions'!$B$5)+(X396*'Methodology &amp; Assumptions'!$B$7), 2)</f>
        <v/>
      </c>
    </row>
    <row r="397" ht="19" customHeight="1">
      <c r="A397" s="35" t="n">
        <v>393</v>
      </c>
      <c r="B397" s="35" t="n">
        <v>3393</v>
      </c>
      <c r="C397" s="36" t="inlineStr">
        <is>
          <t>0304912008</t>
        </is>
      </c>
      <c r="D397" s="36" t="inlineStr">
        <is>
          <t>Region III (Central Luzon)</t>
        </is>
      </c>
      <c r="E397" s="36" t="inlineStr">
        <is>
          <t>Nueva Ecija</t>
        </is>
      </c>
      <c r="F397" s="36" t="inlineStr">
        <is>
          <t>Jaen</t>
        </is>
      </c>
      <c r="G397" s="36" t="inlineStr">
        <is>
          <t>Magsalisi</t>
        </is>
      </c>
      <c r="H397" s="37" t="n">
        <v>15.400011</v>
      </c>
      <c r="I397" s="37" t="n">
        <v>120.92437</v>
      </c>
      <c r="J397" s="8" t="inlineStr">
        <is>
          <t>R</t>
        </is>
      </c>
      <c r="K397" s="36" t="inlineStr">
        <is>
          <t>Class 1-3 / Urban</t>
        </is>
      </c>
      <c r="L397" s="18" t="n">
        <v>3691</v>
      </c>
      <c r="M397" s="20" t="n">
        <v>4.32</v>
      </c>
      <c r="N397" s="18">
        <f>ROUND(L397/M397, 0)</f>
        <v/>
      </c>
      <c r="O397" s="18">
        <f>ROUND(N397*'Methodology &amp; Assumptions'!$B$8, 0)</f>
        <v/>
      </c>
      <c r="P397" s="8" t="inlineStr">
        <is>
          <t>Band n50 (1.5 GHz, 60 MHz)</t>
        </is>
      </c>
      <c r="Q397" s="38">
        <f>ROUNDUP(O397/'Methodology &amp; Assumptions'!$B$9, 0)</f>
        <v/>
      </c>
      <c r="R397" s="39" t="n">
        <v>1</v>
      </c>
      <c r="S397" s="21" t="n">
        <v>2.85</v>
      </c>
      <c r="T397" s="21" t="n">
        <v>1.89</v>
      </c>
      <c r="U397" s="36" t="inlineStr">
        <is>
          <t>Tier 1B (Micro Drop, 1-3 km)</t>
        </is>
      </c>
      <c r="V397" s="20" t="n">
        <v>48.7</v>
      </c>
      <c r="W397" s="20" t="n">
        <v>92.3</v>
      </c>
      <c r="X397" s="20" t="n">
        <v>58</v>
      </c>
      <c r="Y397" s="40">
        <f>ROUND((V397*'Methodology &amp; Assumptions'!$B$6)+(W397*'Methodology &amp; Assumptions'!$B$5)+(X397*'Methodology &amp; Assumptions'!$B$7), 2)</f>
        <v/>
      </c>
    </row>
    <row r="398" ht="19" customHeight="1">
      <c r="A398" s="41" t="n">
        <v>394</v>
      </c>
      <c r="B398" s="41" t="n">
        <v>3394</v>
      </c>
      <c r="C398" s="42" t="inlineStr">
        <is>
          <t>0504111005</t>
        </is>
      </c>
      <c r="D398" s="42" t="inlineStr">
        <is>
          <t>Region V (Bicol Region)</t>
        </is>
      </c>
      <c r="E398" s="42" t="inlineStr">
        <is>
          <t>Masbate</t>
        </is>
      </c>
      <c r="F398" s="42" t="inlineStr">
        <is>
          <t>City of Masbate</t>
        </is>
      </c>
      <c r="G398" s="42" t="inlineStr">
        <is>
          <t>Bantigue</t>
        </is>
      </c>
      <c r="H398" s="43" t="n">
        <v>12.37832</v>
      </c>
      <c r="I398" s="43" t="n">
        <v>123.609479</v>
      </c>
      <c r="J398" s="44" t="inlineStr">
        <is>
          <t>R</t>
        </is>
      </c>
      <c r="K398" s="42" t="inlineStr">
        <is>
          <t>Class 1-3 / Urban</t>
        </is>
      </c>
      <c r="L398" s="23" t="n">
        <v>3621</v>
      </c>
      <c r="M398" s="24" t="n">
        <v>4.6</v>
      </c>
      <c r="N398" s="23">
        <f>ROUND(L398/M398, 0)</f>
        <v/>
      </c>
      <c r="O398" s="23">
        <f>ROUND(N398*'Methodology &amp; Assumptions'!$B$8, 0)</f>
        <v/>
      </c>
      <c r="P398" s="44" t="inlineStr">
        <is>
          <t>Band n50 (1.5 GHz, 60 MHz)</t>
        </is>
      </c>
      <c r="Q398" s="38">
        <f>ROUNDUP(O398/'Methodology &amp; Assumptions'!$B$9, 0)</f>
        <v/>
      </c>
      <c r="R398" s="39" t="n">
        <v>1</v>
      </c>
      <c r="S398" s="25" t="n">
        <v>2.46</v>
      </c>
      <c r="T398" s="25" t="n">
        <v>1.74</v>
      </c>
      <c r="U398" s="42" t="inlineStr">
        <is>
          <t>Tier 1B (Micro Drop, 1-3 km)</t>
        </is>
      </c>
      <c r="V398" s="24" t="n">
        <v>54.1</v>
      </c>
      <c r="W398" s="24" t="n">
        <v>86.90000000000001</v>
      </c>
      <c r="X398" s="24" t="n">
        <v>58</v>
      </c>
      <c r="Y398" s="45">
        <f>ROUND((V398*'Methodology &amp; Assumptions'!$B$6)+(W398*'Methodology &amp; Assumptions'!$B$5)+(X398*'Methodology &amp; Assumptions'!$B$7), 2)</f>
        <v/>
      </c>
    </row>
    <row r="399" ht="19" customHeight="1">
      <c r="A399" s="35" t="n">
        <v>395</v>
      </c>
      <c r="B399" s="35" t="n">
        <v>3395</v>
      </c>
      <c r="C399" s="36" t="inlineStr">
        <is>
          <t>0300811016</t>
        </is>
      </c>
      <c r="D399" s="36" t="inlineStr">
        <is>
          <t>Region III (Central Luzon)</t>
        </is>
      </c>
      <c r="E399" s="36" t="inlineStr">
        <is>
          <t>Bataan</t>
        </is>
      </c>
      <c r="F399" s="36" t="inlineStr">
        <is>
          <t>Pilar</t>
        </is>
      </c>
      <c r="G399" s="36" t="inlineStr">
        <is>
          <t>Nagwaling</t>
        </is>
      </c>
      <c r="H399" s="37" t="n">
        <v>14.63405</v>
      </c>
      <c r="I399" s="37" t="n">
        <v>120.523647</v>
      </c>
      <c r="J399" s="8" t="inlineStr">
        <is>
          <t>R</t>
        </is>
      </c>
      <c r="K399" s="36" t="inlineStr">
        <is>
          <t>Class 1-3 / Urban</t>
        </is>
      </c>
      <c r="L399" s="18" t="n">
        <v>3571</v>
      </c>
      <c r="M399" s="20" t="n">
        <v>4.57</v>
      </c>
      <c r="N399" s="18">
        <f>ROUND(L399/M399, 0)</f>
        <v/>
      </c>
      <c r="O399" s="18">
        <f>ROUND(N399*'Methodology &amp; Assumptions'!$B$8, 0)</f>
        <v/>
      </c>
      <c r="P399" s="8" t="inlineStr">
        <is>
          <t>Band n50 (1.5 GHz, 60 MHz)</t>
        </is>
      </c>
      <c r="Q399" s="38">
        <f>ROUNDUP(O399/'Methodology &amp; Assumptions'!$B$9, 0)</f>
        <v/>
      </c>
      <c r="R399" s="39" t="n">
        <v>1</v>
      </c>
      <c r="S399" s="21" t="n">
        <v>2.42</v>
      </c>
      <c r="T399" s="21" t="n">
        <v>0.13</v>
      </c>
      <c r="U399" s="36" t="inlineStr">
        <is>
          <t>Tier 1B (Micro Drop, 1-3 km)</t>
        </is>
      </c>
      <c r="V399" s="20" t="n">
        <v>54.6</v>
      </c>
      <c r="W399" s="20" t="n">
        <v>86.40000000000001</v>
      </c>
      <c r="X399" s="20" t="n">
        <v>58</v>
      </c>
      <c r="Y399" s="40">
        <f>ROUND((V399*'Methodology &amp; Assumptions'!$B$6)+(W399*'Methodology &amp; Assumptions'!$B$5)+(X399*'Methodology &amp; Assumptions'!$B$7), 2)</f>
        <v/>
      </c>
    </row>
    <row r="400" ht="19" customHeight="1">
      <c r="A400" s="41" t="n">
        <v>396</v>
      </c>
      <c r="B400" s="41" t="n">
        <v>3396</v>
      </c>
      <c r="C400" s="42" t="inlineStr">
        <is>
          <t>0403403011</t>
        </is>
      </c>
      <c r="D400" s="42" t="inlineStr">
        <is>
          <t>Region IV-A (CALABARZON)</t>
        </is>
      </c>
      <c r="E400" s="42" t="inlineStr">
        <is>
          <t>Laguna</t>
        </is>
      </c>
      <c r="F400" s="42" t="inlineStr">
        <is>
          <t>City of Biñan</t>
        </is>
      </c>
      <c r="G400" s="42" t="inlineStr">
        <is>
          <t>Loma</t>
        </is>
      </c>
      <c r="H400" s="43" t="n">
        <v>14.286862</v>
      </c>
      <c r="I400" s="43" t="n">
        <v>121.066556</v>
      </c>
      <c r="J400" s="44" t="inlineStr">
        <is>
          <t>U</t>
        </is>
      </c>
      <c r="K400" s="42" t="inlineStr">
        <is>
          <t>Class 1-3 / Urban</t>
        </is>
      </c>
      <c r="L400" s="23" t="n">
        <v>13068</v>
      </c>
      <c r="M400" s="24" t="n">
        <v>4.2</v>
      </c>
      <c r="N400" s="23">
        <f>ROUND(L400/M400, 0)</f>
        <v/>
      </c>
      <c r="O400" s="23">
        <f>ROUND(N400*'Methodology &amp; Assumptions'!$B$8, 0)</f>
        <v/>
      </c>
      <c r="P400" s="44" t="inlineStr">
        <is>
          <t>Band n50 (1.5 GHz, 60 MHz)</t>
        </is>
      </c>
      <c r="Q400" s="38">
        <f>ROUNDUP(O400/'Methodology &amp; Assumptions'!$B$9, 0)</f>
        <v/>
      </c>
      <c r="R400" s="39" t="n">
        <v>1</v>
      </c>
      <c r="S400" s="25" t="n">
        <v>1.21</v>
      </c>
      <c r="T400" s="25" t="n">
        <v>2.1</v>
      </c>
      <c r="U400" s="42" t="inlineStr">
        <is>
          <t>Tier 1B (Micro Drop, 1-3 km)</t>
        </is>
      </c>
      <c r="V400" s="24" t="n">
        <v>66.7</v>
      </c>
      <c r="W400" s="24" t="n">
        <v>100</v>
      </c>
      <c r="X400" s="24" t="n">
        <v>28</v>
      </c>
      <c r="Y400" s="45">
        <f>ROUND((V400*'Methodology &amp; Assumptions'!$B$6)+(W400*'Methodology &amp; Assumptions'!$B$5)+(X400*'Methodology &amp; Assumptions'!$B$7), 2)</f>
        <v/>
      </c>
    </row>
    <row r="401" ht="19" customHeight="1">
      <c r="A401" s="35" t="n">
        <v>397</v>
      </c>
      <c r="B401" s="35" t="n">
        <v>3397</v>
      </c>
      <c r="C401" s="36" t="inlineStr">
        <is>
          <t>0201529038</t>
        </is>
      </c>
      <c r="D401" s="36" t="inlineStr">
        <is>
          <t>Region II (Cagayan Valley)</t>
        </is>
      </c>
      <c r="E401" s="36" t="inlineStr">
        <is>
          <t>Cagayan</t>
        </is>
      </c>
      <c r="F401" s="36" t="inlineStr">
        <is>
          <t>Tuguegarao City</t>
        </is>
      </c>
      <c r="G401" s="36" t="inlineStr">
        <is>
          <t>Annafunan West</t>
        </is>
      </c>
      <c r="H401" s="37" t="n">
        <v>17.6448</v>
      </c>
      <c r="I401" s="37" t="n">
        <v>121.7192</v>
      </c>
      <c r="J401" s="8" t="inlineStr">
        <is>
          <t>R</t>
        </is>
      </c>
      <c r="K401" s="36" t="inlineStr">
        <is>
          <t>Class 1-3 / Urban</t>
        </is>
      </c>
      <c r="L401" s="18" t="n">
        <v>3717</v>
      </c>
      <c r="M401" s="20" t="n">
        <v>4.38</v>
      </c>
      <c r="N401" s="18">
        <f>ROUND(L401/M401, 0)</f>
        <v/>
      </c>
      <c r="O401" s="18">
        <f>ROUND(N401*'Methodology &amp; Assumptions'!$B$8, 0)</f>
        <v/>
      </c>
      <c r="P401" s="8" t="inlineStr">
        <is>
          <t>Band n50 (1.5 GHz, 60 MHz)</t>
        </is>
      </c>
      <c r="Q401" s="38">
        <f>ROUNDUP(O401/'Methodology &amp; Assumptions'!$B$9, 0)</f>
        <v/>
      </c>
      <c r="R401" s="39" t="n">
        <v>1</v>
      </c>
      <c r="S401" s="21" t="n">
        <v>3.06</v>
      </c>
      <c r="T401" s="21" t="n">
        <v>2.02</v>
      </c>
      <c r="U401" s="36" t="inlineStr">
        <is>
          <t>Tier 2 (Fiber Corridor / Lateral, 3-5 km)</t>
        </is>
      </c>
      <c r="V401" s="20" t="n">
        <v>36.1</v>
      </c>
      <c r="W401" s="20" t="n">
        <v>92</v>
      </c>
      <c r="X401" s="20" t="n">
        <v>73</v>
      </c>
      <c r="Y401" s="40">
        <f>ROUND((V401*'Methodology &amp; Assumptions'!$B$6)+(W401*'Methodology &amp; Assumptions'!$B$5)+(X401*'Methodology &amp; Assumptions'!$B$7), 2)</f>
        <v/>
      </c>
    </row>
    <row r="402" ht="19" customHeight="1">
      <c r="A402" s="41" t="n">
        <v>398</v>
      </c>
      <c r="B402" s="41" t="n">
        <v>3398</v>
      </c>
      <c r="C402" s="42" t="inlineStr">
        <is>
          <t>0501708045</t>
        </is>
      </c>
      <c r="D402" s="42" t="inlineStr">
        <is>
          <t>Region V (Bicol Region)</t>
        </is>
      </c>
      <c r="E402" s="42" t="inlineStr">
        <is>
          <t>Camarines Sur</t>
        </is>
      </c>
      <c r="F402" s="42" t="inlineStr">
        <is>
          <t>Calabanga</t>
        </is>
      </c>
      <c r="G402" s="42" t="inlineStr">
        <is>
          <t>Santo Domingo</t>
        </is>
      </c>
      <c r="H402" s="43" t="n">
        <v>13.705107</v>
      </c>
      <c r="I402" s="43" t="n">
        <v>123.188326</v>
      </c>
      <c r="J402" s="44" t="inlineStr">
        <is>
          <t>R</t>
        </is>
      </c>
      <c r="K402" s="42" t="inlineStr">
        <is>
          <t>Class 1-3 / Urban</t>
        </is>
      </c>
      <c r="L402" s="23" t="n">
        <v>3675</v>
      </c>
      <c r="M402" s="24" t="n">
        <v>4.9</v>
      </c>
      <c r="N402" s="23">
        <f>ROUND(L402/M402, 0)</f>
        <v/>
      </c>
      <c r="O402" s="23">
        <f>ROUND(N402*'Methodology &amp; Assumptions'!$B$8, 0)</f>
        <v/>
      </c>
      <c r="P402" s="44" t="inlineStr">
        <is>
          <t>Band n50 (1.5 GHz, 60 MHz)</t>
        </is>
      </c>
      <c r="Q402" s="38">
        <f>ROUNDUP(O402/'Methodology &amp; Assumptions'!$B$9, 0)</f>
        <v/>
      </c>
      <c r="R402" s="39" t="n">
        <v>1</v>
      </c>
      <c r="S402" s="25" t="n">
        <v>2.27</v>
      </c>
      <c r="T402" s="25" t="n">
        <v>1.54</v>
      </c>
      <c r="U402" s="42" t="inlineStr">
        <is>
          <t>Tier 1B (Micro Drop, 1-3 km)</t>
        </is>
      </c>
      <c r="V402" s="24" t="n">
        <v>57</v>
      </c>
      <c r="W402" s="24" t="n">
        <v>84</v>
      </c>
      <c r="X402" s="24" t="n">
        <v>58</v>
      </c>
      <c r="Y402" s="45">
        <f>ROUND((V402*'Methodology &amp; Assumptions'!$B$6)+(W402*'Methodology &amp; Assumptions'!$B$5)+(X402*'Methodology &amp; Assumptions'!$B$7), 2)</f>
        <v/>
      </c>
    </row>
    <row r="403" ht="19" customHeight="1">
      <c r="A403" s="35" t="n">
        <v>399</v>
      </c>
      <c r="B403" s="35" t="n">
        <v>3399</v>
      </c>
      <c r="C403" s="36" t="inlineStr">
        <is>
          <t>0401015002</t>
        </is>
      </c>
      <c r="D403" s="36" t="inlineStr">
        <is>
          <t>Region IV-A (CALABARZON)</t>
        </is>
      </c>
      <c r="E403" s="36" t="inlineStr">
        <is>
          <t>Batangas</t>
        </is>
      </c>
      <c r="F403" s="36" t="inlineStr">
        <is>
          <t>Lobo</t>
        </is>
      </c>
      <c r="G403" s="36" t="inlineStr">
        <is>
          <t>Balatbat</t>
        </is>
      </c>
      <c r="H403" s="37" t="n">
        <v>13.654967</v>
      </c>
      <c r="I403" s="37" t="n">
        <v>121.205978</v>
      </c>
      <c r="J403" s="8" t="inlineStr">
        <is>
          <t>R</t>
        </is>
      </c>
      <c r="K403" s="36" t="inlineStr">
        <is>
          <t>Class 1-3 / Urban</t>
        </is>
      </c>
      <c r="L403" s="18" t="n">
        <v>2443</v>
      </c>
      <c r="M403" s="20" t="n">
        <v>4.62</v>
      </c>
      <c r="N403" s="18">
        <f>ROUND(L403/M403, 0)</f>
        <v/>
      </c>
      <c r="O403" s="18">
        <f>ROUND(N403*'Methodology &amp; Assumptions'!$B$8, 0)</f>
        <v/>
      </c>
      <c r="P403" s="8" t="inlineStr">
        <is>
          <t>Band n50 (1.5 GHz, 60 MHz)</t>
        </is>
      </c>
      <c r="Q403" s="38">
        <f>ROUNDUP(O403/'Methodology &amp; Assumptions'!$B$9, 0)</f>
        <v/>
      </c>
      <c r="R403" s="39" t="n">
        <v>1</v>
      </c>
      <c r="S403" s="21" t="n">
        <v>0.88</v>
      </c>
      <c r="T403" s="21" t="n">
        <v>19.04</v>
      </c>
      <c r="U403" s="36" t="inlineStr">
        <is>
          <t>Tier 1A (Direct Coloc, &lt;1 km)</t>
        </is>
      </c>
      <c r="V403" s="20" t="n">
        <v>74.59999999999999</v>
      </c>
      <c r="W403" s="20" t="n">
        <v>66.40000000000001</v>
      </c>
      <c r="X403" s="20" t="n">
        <v>58</v>
      </c>
      <c r="Y403" s="40">
        <f>ROUND((V403*'Methodology &amp; Assumptions'!$B$6)+(W403*'Methodology &amp; Assumptions'!$B$5)+(X403*'Methodology &amp; Assumptions'!$B$7), 2)</f>
        <v/>
      </c>
    </row>
    <row r="404" ht="19" customHeight="1">
      <c r="A404" s="41" t="n">
        <v>400</v>
      </c>
      <c r="B404" s="41" t="n">
        <v>3400</v>
      </c>
      <c r="C404" s="42" t="inlineStr">
        <is>
          <t>0501734019</t>
        </is>
      </c>
      <c r="D404" s="42" t="inlineStr">
        <is>
          <t>Region V (Bicol Region)</t>
        </is>
      </c>
      <c r="E404" s="42" t="inlineStr">
        <is>
          <t>Camarines Sur</t>
        </is>
      </c>
      <c r="F404" s="42" t="inlineStr">
        <is>
          <t>Sipocot</t>
        </is>
      </c>
      <c r="G404" s="42" t="inlineStr">
        <is>
          <t>Gaongan</t>
        </is>
      </c>
      <c r="H404" s="43" t="n">
        <v>13.760536</v>
      </c>
      <c r="I404" s="43" t="n">
        <v>122.967125</v>
      </c>
      <c r="J404" s="44" t="inlineStr">
        <is>
          <t>R</t>
        </is>
      </c>
      <c r="K404" s="42" t="inlineStr">
        <is>
          <t>Class 1-3 / Urban</t>
        </is>
      </c>
      <c r="L404" s="23" t="n">
        <v>2089</v>
      </c>
      <c r="M404" s="24" t="n">
        <v>4.9</v>
      </c>
      <c r="N404" s="23">
        <f>ROUND(L404/M404, 0)</f>
        <v/>
      </c>
      <c r="O404" s="23">
        <f>ROUND(N404*'Methodology &amp; Assumptions'!$B$8, 0)</f>
        <v/>
      </c>
      <c r="P404" s="44" t="inlineStr">
        <is>
          <t>Band n50 (1.5 GHz, 60 MHz)</t>
        </is>
      </c>
      <c r="Q404" s="38">
        <f>ROUNDUP(O404/'Methodology &amp; Assumptions'!$B$9, 0)</f>
        <v/>
      </c>
      <c r="R404" s="39" t="n">
        <v>1</v>
      </c>
      <c r="S404" s="25" t="n">
        <v>0.95</v>
      </c>
      <c r="T404" s="25" t="n">
        <v>0.22</v>
      </c>
      <c r="U404" s="42" t="inlineStr">
        <is>
          <t>Tier 1A (Direct Coloc, &lt;1 km)</t>
        </is>
      </c>
      <c r="V404" s="24" t="n">
        <v>82.8</v>
      </c>
      <c r="W404" s="24" t="n">
        <v>58.1</v>
      </c>
      <c r="X404" s="24" t="n">
        <v>58</v>
      </c>
      <c r="Y404" s="45">
        <f>ROUND((V404*'Methodology &amp; Assumptions'!$B$6)+(W404*'Methodology &amp; Assumptions'!$B$5)+(X404*'Methodology &amp; Assumptions'!$B$7), 2)</f>
        <v/>
      </c>
    </row>
    <row r="405" ht="19" customHeight="1">
      <c r="A405" s="35" t="n">
        <v>401</v>
      </c>
      <c r="B405" s="35" t="n">
        <v>3401</v>
      </c>
      <c r="C405" s="36" t="inlineStr">
        <is>
          <t>0301407014</t>
        </is>
      </c>
      <c r="D405" s="36" t="inlineStr">
        <is>
          <t>Region III (Central Luzon)</t>
        </is>
      </c>
      <c r="E405" s="36" t="inlineStr">
        <is>
          <t>Bulacan</t>
        </is>
      </c>
      <c r="F405" s="36" t="inlineStr">
        <is>
          <t>Calumpit</t>
        </is>
      </c>
      <c r="G405" s="36" t="inlineStr">
        <is>
          <t>Iba O'Este</t>
        </is>
      </c>
      <c r="H405" s="37" t="n">
        <v>14.891647</v>
      </c>
      <c r="I405" s="37" t="n">
        <v>120.763374</v>
      </c>
      <c r="J405" s="8" t="inlineStr">
        <is>
          <t>U</t>
        </is>
      </c>
      <c r="K405" s="36" t="inlineStr">
        <is>
          <t>Class 1-3 / Urban</t>
        </is>
      </c>
      <c r="L405" s="18" t="n">
        <v>14085</v>
      </c>
      <c r="M405" s="20" t="n">
        <v>4.1</v>
      </c>
      <c r="N405" s="18">
        <f>ROUND(L405/M405, 0)</f>
        <v/>
      </c>
      <c r="O405" s="18">
        <f>ROUND(N405*'Methodology &amp; Assumptions'!$B$8, 0)</f>
        <v/>
      </c>
      <c r="P405" s="8" t="inlineStr">
        <is>
          <t>Band n50 (1.5 GHz, 60 MHz)</t>
        </is>
      </c>
      <c r="Q405" s="38">
        <f>ROUNDUP(O405/'Methodology &amp; Assumptions'!$B$9, 0)</f>
        <v/>
      </c>
      <c r="R405" s="39" t="n">
        <v>1</v>
      </c>
      <c r="S405" s="21" t="n">
        <v>1.7</v>
      </c>
      <c r="T405" s="21" t="n">
        <v>1.4</v>
      </c>
      <c r="U405" s="36" t="inlineStr">
        <is>
          <t>Tier 1B (Micro Drop, 1-3 km)</t>
        </is>
      </c>
      <c r="V405" s="20" t="n">
        <v>66.7</v>
      </c>
      <c r="W405" s="20" t="n">
        <v>100</v>
      </c>
      <c r="X405" s="20" t="n">
        <v>28</v>
      </c>
      <c r="Y405" s="40">
        <f>ROUND((V405*'Methodology &amp; Assumptions'!$B$6)+(W405*'Methodology &amp; Assumptions'!$B$5)+(X405*'Methodology &amp; Assumptions'!$B$7), 2)</f>
        <v/>
      </c>
    </row>
    <row r="406" ht="19" customHeight="1">
      <c r="A406" s="41" t="n">
        <v>402</v>
      </c>
      <c r="B406" s="41" t="n">
        <v>3402</v>
      </c>
      <c r="C406" s="42" t="inlineStr">
        <is>
          <t>0600407016</t>
        </is>
      </c>
      <c r="D406" s="42" t="inlineStr">
        <is>
          <t>Region VI (Western Visayas)</t>
        </is>
      </c>
      <c r="E406" s="42" t="inlineStr">
        <is>
          <t>Aklan</t>
        </is>
      </c>
      <c r="F406" s="42" t="inlineStr">
        <is>
          <t>Kalibo</t>
        </is>
      </c>
      <c r="G406" s="42" t="inlineStr">
        <is>
          <t>Tinigaw</t>
        </is>
      </c>
      <c r="H406" s="43" t="n">
        <v>11.690017</v>
      </c>
      <c r="I406" s="43" t="n">
        <v>122.361706</v>
      </c>
      <c r="J406" s="44" t="inlineStr">
        <is>
          <t>U</t>
        </is>
      </c>
      <c r="K406" s="42" t="inlineStr">
        <is>
          <t>Class 1-3 / Urban</t>
        </is>
      </c>
      <c r="L406" s="23" t="n">
        <v>3269</v>
      </c>
      <c r="M406" s="24" t="n">
        <v>4.27</v>
      </c>
      <c r="N406" s="23">
        <f>ROUND(L406/M406, 0)</f>
        <v/>
      </c>
      <c r="O406" s="23">
        <f>ROUND(N406*'Methodology &amp; Assumptions'!$B$8, 0)</f>
        <v/>
      </c>
      <c r="P406" s="44" t="inlineStr">
        <is>
          <t>Band n50 (1.5 GHz, 60 MHz)</t>
        </is>
      </c>
      <c r="Q406" s="38">
        <f>ROUNDUP(O406/'Methodology &amp; Assumptions'!$B$9, 0)</f>
        <v/>
      </c>
      <c r="R406" s="39" t="n">
        <v>1</v>
      </c>
      <c r="S406" s="25" t="n">
        <v>1.01</v>
      </c>
      <c r="T406" s="25" t="n">
        <v>0.54</v>
      </c>
      <c r="U406" s="42" t="inlineStr">
        <is>
          <t>Tier 1B (Micro Drop, 1-3 km)</t>
        </is>
      </c>
      <c r="V406" s="24" t="n">
        <v>81.40000000000001</v>
      </c>
      <c r="W406" s="24" t="n">
        <v>85.3</v>
      </c>
      <c r="X406" s="24" t="n">
        <v>28</v>
      </c>
      <c r="Y406" s="45">
        <f>ROUND((V406*'Methodology &amp; Assumptions'!$B$6)+(W406*'Methodology &amp; Assumptions'!$B$5)+(X406*'Methodology &amp; Assumptions'!$B$7), 2)</f>
        <v/>
      </c>
    </row>
    <row r="407" ht="19" customHeight="1">
      <c r="A407" s="35" t="n">
        <v>403</v>
      </c>
      <c r="B407" s="35" t="n">
        <v>3403</v>
      </c>
      <c r="C407" s="36" t="inlineStr">
        <is>
          <t>0301405012</t>
        </is>
      </c>
      <c r="D407" s="36" t="inlineStr">
        <is>
          <t>Region III (Central Luzon)</t>
        </is>
      </c>
      <c r="E407" s="36" t="inlineStr">
        <is>
          <t>Bulacan</t>
        </is>
      </c>
      <c r="F407" s="36" t="inlineStr">
        <is>
          <t>Bulacan</t>
        </is>
      </c>
      <c r="G407" s="36" t="inlineStr">
        <is>
          <t>San Nicolas</t>
        </is>
      </c>
      <c r="H407" s="37" t="n">
        <v>14.797933</v>
      </c>
      <c r="I407" s="37" t="n">
        <v>120.866864</v>
      </c>
      <c r="J407" s="8" t="inlineStr">
        <is>
          <t>U</t>
        </is>
      </c>
      <c r="K407" s="36" t="inlineStr">
        <is>
          <t>Class 1-3 / Urban</t>
        </is>
      </c>
      <c r="L407" s="18" t="n">
        <v>6279</v>
      </c>
      <c r="M407" s="20" t="n">
        <v>4.1</v>
      </c>
      <c r="N407" s="18">
        <f>ROUND(L407/M407, 0)</f>
        <v/>
      </c>
      <c r="O407" s="18">
        <f>ROUND(N407*'Methodology &amp; Assumptions'!$B$8, 0)</f>
        <v/>
      </c>
      <c r="P407" s="8" t="inlineStr">
        <is>
          <t>Band n50 (1.5 GHz, 60 MHz)</t>
        </is>
      </c>
      <c r="Q407" s="38">
        <f>ROUNDUP(O407/'Methodology &amp; Assumptions'!$B$9, 0)</f>
        <v/>
      </c>
      <c r="R407" s="39" t="n">
        <v>1</v>
      </c>
      <c r="S407" s="21" t="n">
        <v>1.22</v>
      </c>
      <c r="T407" s="21" t="n">
        <v>3.48</v>
      </c>
      <c r="U407" s="36" t="inlineStr">
        <is>
          <t>Tier 1B (Micro Drop, 1-3 km)</t>
        </is>
      </c>
      <c r="V407" s="20" t="n">
        <v>66.7</v>
      </c>
      <c r="W407" s="20" t="n">
        <v>100</v>
      </c>
      <c r="X407" s="20" t="n">
        <v>28</v>
      </c>
      <c r="Y407" s="40">
        <f>ROUND((V407*'Methodology &amp; Assumptions'!$B$6)+(W407*'Methodology &amp; Assumptions'!$B$5)+(X407*'Methodology &amp; Assumptions'!$B$7), 2)</f>
        <v/>
      </c>
    </row>
    <row r="408" ht="19" customHeight="1">
      <c r="A408" s="41" t="n">
        <v>404</v>
      </c>
      <c r="B408" s="41" t="n">
        <v>3404</v>
      </c>
      <c r="C408" s="42" t="inlineStr">
        <is>
          <t>0631000105</t>
        </is>
      </c>
      <c r="D408" s="42" t="inlineStr">
        <is>
          <t>Region VI (Western Visayas)</t>
        </is>
      </c>
      <c r="E408" s="42" t="inlineStr">
        <is>
          <t>Iloilo</t>
        </is>
      </c>
      <c r="F408" s="42" t="inlineStr">
        <is>
          <t>City of Iloilo</t>
        </is>
      </c>
      <c r="G408" s="42" t="inlineStr">
        <is>
          <t>Mansaya-Lapuz</t>
        </is>
      </c>
      <c r="H408" s="43" t="n">
        <v>10.698736</v>
      </c>
      <c r="I408" s="43" t="n">
        <v>122.582929</v>
      </c>
      <c r="J408" s="44" t="inlineStr">
        <is>
          <t>R</t>
        </is>
      </c>
      <c r="K408" s="42" t="inlineStr">
        <is>
          <t>Class 1-3 / Urban</t>
        </is>
      </c>
      <c r="L408" s="23" t="n">
        <v>3350</v>
      </c>
      <c r="M408" s="24" t="n">
        <v>4.39</v>
      </c>
      <c r="N408" s="23">
        <f>ROUND(L408/M408, 0)</f>
        <v/>
      </c>
      <c r="O408" s="23">
        <f>ROUND(N408*'Methodology &amp; Assumptions'!$B$8, 0)</f>
        <v/>
      </c>
      <c r="P408" s="44" t="inlineStr">
        <is>
          <t>Band n50 (1.5 GHz, 60 MHz)</t>
        </is>
      </c>
      <c r="Q408" s="38">
        <f>ROUNDUP(O408/'Methodology &amp; Assumptions'!$B$9, 0)</f>
        <v/>
      </c>
      <c r="R408" s="39" t="n">
        <v>1</v>
      </c>
      <c r="S408" s="25" t="n">
        <v>2.34</v>
      </c>
      <c r="T408" s="25" t="n">
        <v>1.33</v>
      </c>
      <c r="U408" s="42" t="inlineStr">
        <is>
          <t>Tier 1B (Micro Drop, 1-3 km)</t>
        </is>
      </c>
      <c r="V408" s="24" t="n">
        <v>55.8</v>
      </c>
      <c r="W408" s="24" t="n">
        <v>85.09999999999999</v>
      </c>
      <c r="X408" s="24" t="n">
        <v>58</v>
      </c>
      <c r="Y408" s="45">
        <f>ROUND((V408*'Methodology &amp; Assumptions'!$B$6)+(W408*'Methodology &amp; Assumptions'!$B$5)+(X408*'Methodology &amp; Assumptions'!$B$7), 2)</f>
        <v/>
      </c>
    </row>
    <row r="409" ht="19" customHeight="1">
      <c r="A409" s="35" t="n">
        <v>405</v>
      </c>
      <c r="B409" s="35" t="n">
        <v>3405</v>
      </c>
      <c r="C409" s="36" t="inlineStr">
        <is>
          <t>0304920009</t>
        </is>
      </c>
      <c r="D409" s="36" t="inlineStr">
        <is>
          <t>Region III (Central Luzon)</t>
        </is>
      </c>
      <c r="E409" s="36" t="inlineStr">
        <is>
          <t>Nueva Ecija</t>
        </is>
      </c>
      <c r="F409" s="36" t="inlineStr">
        <is>
          <t>Pantabangan</t>
        </is>
      </c>
      <c r="G409" s="36" t="inlineStr">
        <is>
          <t>Malbang</t>
        </is>
      </c>
      <c r="H409" s="37" t="n">
        <v>15.804471</v>
      </c>
      <c r="I409" s="37" t="n">
        <v>121.155462</v>
      </c>
      <c r="J409" s="8" t="inlineStr">
        <is>
          <t>R</t>
        </is>
      </c>
      <c r="K409" s="36" t="inlineStr">
        <is>
          <t>Class 1-3 / Urban</t>
        </is>
      </c>
      <c r="L409" s="18" t="n">
        <v>2808</v>
      </c>
      <c r="M409" s="20" t="n">
        <v>4.32</v>
      </c>
      <c r="N409" s="18">
        <f>ROUND(L409/M409, 0)</f>
        <v/>
      </c>
      <c r="O409" s="18">
        <f>ROUND(N409*'Methodology &amp; Assumptions'!$B$8, 0)</f>
        <v/>
      </c>
      <c r="P409" s="8" t="inlineStr">
        <is>
          <t>Band n50 (1.5 GHz, 60 MHz)</t>
        </is>
      </c>
      <c r="Q409" s="38">
        <f>ROUNDUP(O409/'Methodology &amp; Assumptions'!$B$9, 0)</f>
        <v/>
      </c>
      <c r="R409" s="39" t="n">
        <v>1</v>
      </c>
      <c r="S409" s="21" t="n">
        <v>1.3</v>
      </c>
      <c r="T409" s="21" t="n">
        <v>10.75</v>
      </c>
      <c r="U409" s="36" t="inlineStr">
        <is>
          <t>Tier 1B (Micro Drop, 1-3 km)</t>
        </is>
      </c>
      <c r="V409" s="20" t="n">
        <v>64.90000000000001</v>
      </c>
      <c r="W409" s="20" t="n">
        <v>76</v>
      </c>
      <c r="X409" s="20" t="n">
        <v>58</v>
      </c>
      <c r="Y409" s="40">
        <f>ROUND((V409*'Methodology &amp; Assumptions'!$B$6)+(W409*'Methodology &amp; Assumptions'!$B$5)+(X409*'Methodology &amp; Assumptions'!$B$7), 2)</f>
        <v/>
      </c>
    </row>
    <row r="410" ht="19" customHeight="1">
      <c r="A410" s="41" t="n">
        <v>406</v>
      </c>
      <c r="B410" s="41" t="n">
        <v>3406</v>
      </c>
      <c r="C410" s="42" t="inlineStr">
        <is>
          <t>0105532014</t>
        </is>
      </c>
      <c r="D410" s="42" t="inlineStr">
        <is>
          <t>Region I (Ilocos Region)</t>
        </is>
      </c>
      <c r="E410" s="42" t="inlineStr">
        <is>
          <t>Pangasinan</t>
        </is>
      </c>
      <c r="F410" s="42" t="inlineStr">
        <is>
          <t>City of San Carlos</t>
        </is>
      </c>
      <c r="G410" s="42" t="inlineStr">
        <is>
          <t>Bega</t>
        </is>
      </c>
      <c r="H410" s="43" t="n">
        <v>15.93062</v>
      </c>
      <c r="I410" s="43" t="n">
        <v>120.36136</v>
      </c>
      <c r="J410" s="44" t="inlineStr">
        <is>
          <t>R</t>
        </is>
      </c>
      <c r="K410" s="42" t="inlineStr">
        <is>
          <t>Class 1-3 / Urban</t>
        </is>
      </c>
      <c r="L410" s="23" t="n">
        <v>2446</v>
      </c>
      <c r="M410" s="24" t="n">
        <v>4.39</v>
      </c>
      <c r="N410" s="23">
        <f>ROUND(L410/M410, 0)</f>
        <v/>
      </c>
      <c r="O410" s="23">
        <f>ROUND(N410*'Methodology &amp; Assumptions'!$B$8, 0)</f>
        <v/>
      </c>
      <c r="P410" s="44" t="inlineStr">
        <is>
          <t>Band n50 (1.5 GHz, 60 MHz)</t>
        </is>
      </c>
      <c r="Q410" s="38">
        <f>ROUNDUP(O410/'Methodology &amp; Assumptions'!$B$9, 0)</f>
        <v/>
      </c>
      <c r="R410" s="39" t="n">
        <v>1</v>
      </c>
      <c r="S410" s="25" t="n">
        <v>1.42</v>
      </c>
      <c r="T410" s="25" t="n">
        <v>1.23</v>
      </c>
      <c r="U410" s="42" t="inlineStr">
        <is>
          <t>Tier 1B (Micro Drop, 1-3 km)</t>
        </is>
      </c>
      <c r="V410" s="24" t="n">
        <v>72.40000000000001</v>
      </c>
      <c r="W410" s="24" t="n">
        <v>68.5</v>
      </c>
      <c r="X410" s="24" t="n">
        <v>58</v>
      </c>
      <c r="Y410" s="45">
        <f>ROUND((V410*'Methodology &amp; Assumptions'!$B$6)+(W410*'Methodology &amp; Assumptions'!$B$5)+(X410*'Methodology &amp; Assumptions'!$B$7), 2)</f>
        <v/>
      </c>
    </row>
    <row r="411" ht="19" customHeight="1">
      <c r="A411" s="35" t="n">
        <v>407</v>
      </c>
      <c r="B411" s="35" t="n">
        <v>3407</v>
      </c>
      <c r="C411" s="36" t="inlineStr">
        <is>
          <t>0405620031</t>
        </is>
      </c>
      <c r="D411" s="36" t="inlineStr">
        <is>
          <t>Region IV-A (CALABARZON)</t>
        </is>
      </c>
      <c r="E411" s="36" t="inlineStr">
        <is>
          <t>Quezon</t>
        </is>
      </c>
      <c r="F411" s="36" t="inlineStr">
        <is>
          <t>Infanta</t>
        </is>
      </c>
      <c r="G411" s="36" t="inlineStr">
        <is>
          <t>Pilaway</t>
        </is>
      </c>
      <c r="H411" s="37" t="n">
        <v>14.742599</v>
      </c>
      <c r="I411" s="37" t="n">
        <v>121.636872</v>
      </c>
      <c r="J411" s="8" t="inlineStr">
        <is>
          <t>R</t>
        </is>
      </c>
      <c r="K411" s="36" t="inlineStr">
        <is>
          <t>Class 1-3 / Urban</t>
        </is>
      </c>
      <c r="L411" s="18" t="n">
        <v>2381</v>
      </c>
      <c r="M411" s="20" t="n">
        <v>4.46</v>
      </c>
      <c r="N411" s="18">
        <f>ROUND(L411/M411, 0)</f>
        <v/>
      </c>
      <c r="O411" s="18">
        <f>ROUND(N411*'Methodology &amp; Assumptions'!$B$8, 0)</f>
        <v/>
      </c>
      <c r="P411" s="8" t="inlineStr">
        <is>
          <t>Band n50 (1.5 GHz, 60 MHz)</t>
        </is>
      </c>
      <c r="Q411" s="38">
        <f>ROUNDUP(O411/'Methodology &amp; Assumptions'!$B$9, 0)</f>
        <v/>
      </c>
      <c r="R411" s="39" t="n">
        <v>1</v>
      </c>
      <c r="S411" s="21" t="n">
        <v>0.89</v>
      </c>
      <c r="T411" s="21" t="n">
        <v>39.58</v>
      </c>
      <c r="U411" s="36" t="inlineStr">
        <is>
          <t>Tier 1A (Direct Coloc, &lt;1 km)</t>
        </is>
      </c>
      <c r="V411" s="20" t="n">
        <v>74.2</v>
      </c>
      <c r="W411" s="20" t="n">
        <v>66.7</v>
      </c>
      <c r="X411" s="20" t="n">
        <v>58</v>
      </c>
      <c r="Y411" s="40">
        <f>ROUND((V411*'Methodology &amp; Assumptions'!$B$6)+(W411*'Methodology &amp; Assumptions'!$B$5)+(X411*'Methodology &amp; Assumptions'!$B$7), 2)</f>
        <v/>
      </c>
    </row>
    <row r="412" ht="19" customHeight="1">
      <c r="A412" s="41" t="n">
        <v>408</v>
      </c>
      <c r="B412" s="41" t="n">
        <v>3408</v>
      </c>
      <c r="C412" s="42" t="inlineStr">
        <is>
          <t>0702219021</t>
        </is>
      </c>
      <c r="D412" s="42" t="inlineStr">
        <is>
          <t>Region VII (Central Visayas)</t>
        </is>
      </c>
      <c r="E412" s="42" t="inlineStr">
        <is>
          <t>Cebu</t>
        </is>
      </c>
      <c r="F412" s="42" t="inlineStr">
        <is>
          <t>Consolacion</t>
        </is>
      </c>
      <c r="G412" s="42" t="inlineStr">
        <is>
          <t>Tugbongan</t>
        </is>
      </c>
      <c r="H412" s="43" t="n">
        <v>10.363046</v>
      </c>
      <c r="I412" s="43" t="n">
        <v>123.966233</v>
      </c>
      <c r="J412" s="44" t="inlineStr">
        <is>
          <t>U</t>
        </is>
      </c>
      <c r="K412" s="42" t="inlineStr">
        <is>
          <t>Class 1-3 / Urban</t>
        </is>
      </c>
      <c r="L412" s="23" t="n">
        <v>8670</v>
      </c>
      <c r="M412" s="24" t="n">
        <v>4.42</v>
      </c>
      <c r="N412" s="23">
        <f>ROUND(L412/M412, 0)</f>
        <v/>
      </c>
      <c r="O412" s="23">
        <f>ROUND(N412*'Methodology &amp; Assumptions'!$B$8, 0)</f>
        <v/>
      </c>
      <c r="P412" s="44" t="inlineStr">
        <is>
          <t>Band n50 (1.5 GHz, 60 MHz)</t>
        </is>
      </c>
      <c r="Q412" s="38">
        <f>ROUNDUP(O412/'Methodology &amp; Assumptions'!$B$9, 0)</f>
        <v/>
      </c>
      <c r="R412" s="39" t="n">
        <v>1</v>
      </c>
      <c r="S412" s="25" t="n">
        <v>1.71</v>
      </c>
      <c r="T412" s="25" t="n">
        <v>0.78</v>
      </c>
      <c r="U412" s="42" t="inlineStr">
        <is>
          <t>Tier 1B (Micro Drop, 1-3 km)</t>
        </is>
      </c>
      <c r="V412" s="24" t="n">
        <v>66.59999999999999</v>
      </c>
      <c r="W412" s="24" t="n">
        <v>100</v>
      </c>
      <c r="X412" s="24" t="n">
        <v>28</v>
      </c>
      <c r="Y412" s="45">
        <f>ROUND((V412*'Methodology &amp; Assumptions'!$B$6)+(W412*'Methodology &amp; Assumptions'!$B$5)+(X412*'Methodology &amp; Assumptions'!$B$7), 2)</f>
        <v/>
      </c>
    </row>
    <row r="413" ht="19" customHeight="1">
      <c r="A413" s="35" t="n">
        <v>409</v>
      </c>
      <c r="B413" s="35" t="n">
        <v>3409</v>
      </c>
      <c r="C413" s="36" t="inlineStr">
        <is>
          <t>0103302012</t>
        </is>
      </c>
      <c r="D413" s="36" t="inlineStr">
        <is>
          <t>Region I (Ilocos Region)</t>
        </is>
      </c>
      <c r="E413" s="36" t="inlineStr">
        <is>
          <t>La Union</t>
        </is>
      </c>
      <c r="F413" s="36" t="inlineStr">
        <is>
          <t>Aringay</t>
        </is>
      </c>
      <c r="G413" s="36" t="inlineStr">
        <is>
          <t>San Antonio</t>
        </is>
      </c>
      <c r="H413" s="37" t="n">
        <v>16.324899</v>
      </c>
      <c r="I413" s="37" t="n">
        <v>120.377123</v>
      </c>
      <c r="J413" s="8" t="inlineStr">
        <is>
          <t>R</t>
        </is>
      </c>
      <c r="K413" s="36" t="inlineStr">
        <is>
          <t>Class 1-3 / Urban</t>
        </is>
      </c>
      <c r="L413" s="18" t="n">
        <v>1151</v>
      </c>
      <c r="M413" s="20" t="n">
        <v>4.42</v>
      </c>
      <c r="N413" s="18">
        <f>ROUND(L413/M413, 0)</f>
        <v/>
      </c>
      <c r="O413" s="18">
        <f>ROUND(N413*'Methodology &amp; Assumptions'!$B$8, 0)</f>
        <v/>
      </c>
      <c r="P413" s="8" t="inlineStr">
        <is>
          <t>Band n50 (1.5 GHz, 60 MHz)</t>
        </is>
      </c>
      <c r="Q413" s="38">
        <f>ROUNDUP(O413/'Methodology &amp; Assumptions'!$B$9, 0)</f>
        <v/>
      </c>
      <c r="R413" s="39" t="n">
        <v>1</v>
      </c>
      <c r="S413" s="21" t="n">
        <v>0.93</v>
      </c>
      <c r="T413" s="21" t="n">
        <v>0.57</v>
      </c>
      <c r="U413" s="36" t="inlineStr">
        <is>
          <t>Tier 1A (Direct Coloc, &lt;1 km)</t>
        </is>
      </c>
      <c r="V413" s="20" t="n">
        <v>83.2</v>
      </c>
      <c r="W413" s="20" t="n">
        <v>44.8</v>
      </c>
      <c r="X413" s="20" t="n">
        <v>73</v>
      </c>
      <c r="Y413" s="40">
        <f>ROUND((V413*'Methodology &amp; Assumptions'!$B$6)+(W413*'Methodology &amp; Assumptions'!$B$5)+(X413*'Methodology &amp; Assumptions'!$B$7), 2)</f>
        <v/>
      </c>
    </row>
    <row r="414" ht="19" customHeight="1">
      <c r="A414" s="41" t="n">
        <v>410</v>
      </c>
      <c r="B414" s="41" t="n">
        <v>3410</v>
      </c>
      <c r="C414" s="42" t="inlineStr">
        <is>
          <t>0603045045</t>
        </is>
      </c>
      <c r="D414" s="42" t="inlineStr">
        <is>
          <t>Region VI (Western Visayas)</t>
        </is>
      </c>
      <c r="E414" s="42" t="inlineStr">
        <is>
          <t>Iloilo</t>
        </is>
      </c>
      <c r="F414" s="42" t="inlineStr">
        <is>
          <t>Tigbauan</t>
        </is>
      </c>
      <c r="G414" s="42" t="inlineStr">
        <is>
          <t>Parara Norte</t>
        </is>
      </c>
      <c r="H414" s="43" t="n">
        <v>10.673971</v>
      </c>
      <c r="I414" s="43" t="n">
        <v>122.369202</v>
      </c>
      <c r="J414" s="44" t="inlineStr">
        <is>
          <t>R</t>
        </is>
      </c>
      <c r="K414" s="42" t="inlineStr">
        <is>
          <t>Class 1-3 / Urban</t>
        </is>
      </c>
      <c r="L414" s="23" t="n">
        <v>2461</v>
      </c>
      <c r="M414" s="24" t="n">
        <v>4.39</v>
      </c>
      <c r="N414" s="23">
        <f>ROUND(L414/M414, 0)</f>
        <v/>
      </c>
      <c r="O414" s="23">
        <f>ROUND(N414*'Methodology &amp; Assumptions'!$B$8, 0)</f>
        <v/>
      </c>
      <c r="P414" s="44" t="inlineStr">
        <is>
          <t>Band n50 (1.5 GHz, 60 MHz)</t>
        </is>
      </c>
      <c r="Q414" s="38">
        <f>ROUNDUP(O414/'Methodology &amp; Assumptions'!$B$9, 0)</f>
        <v/>
      </c>
      <c r="R414" s="39" t="n">
        <v>1</v>
      </c>
      <c r="S414" s="25" t="n">
        <v>1.43</v>
      </c>
      <c r="T414" s="25" t="n">
        <v>0.18</v>
      </c>
      <c r="U414" s="42" t="inlineStr">
        <is>
          <t>Tier 1B (Micro Drop, 1-3 km)</t>
        </is>
      </c>
      <c r="V414" s="24" t="n">
        <v>72.09999999999999</v>
      </c>
      <c r="W414" s="24" t="n">
        <v>68.8</v>
      </c>
      <c r="X414" s="24" t="n">
        <v>58</v>
      </c>
      <c r="Y414" s="45">
        <f>ROUND((V414*'Methodology &amp; Assumptions'!$B$6)+(W414*'Methodology &amp; Assumptions'!$B$5)+(X414*'Methodology &amp; Assumptions'!$B$7), 2)</f>
        <v/>
      </c>
    </row>
    <row r="415" ht="19" customHeight="1">
      <c r="A415" s="35" t="n">
        <v>411</v>
      </c>
      <c r="B415" s="35" t="n">
        <v>3411</v>
      </c>
      <c r="C415" s="36" t="inlineStr">
        <is>
          <t>0307102010</t>
        </is>
      </c>
      <c r="D415" s="36" t="inlineStr">
        <is>
          <t>Region III (Central Luzon)</t>
        </is>
      </c>
      <c r="E415" s="36" t="inlineStr">
        <is>
          <t>Zambales</t>
        </is>
      </c>
      <c r="F415" s="36" t="inlineStr">
        <is>
          <t>Cabangan</t>
        </is>
      </c>
      <c r="G415" s="36" t="inlineStr">
        <is>
          <t>Dolores</t>
        </is>
      </c>
      <c r="H415" s="37" t="n">
        <v>15.158555</v>
      </c>
      <c r="I415" s="37" t="n">
        <v>120.058375</v>
      </c>
      <c r="J415" s="8" t="inlineStr">
        <is>
          <t>R</t>
        </is>
      </c>
      <c r="K415" s="36" t="inlineStr">
        <is>
          <t>2nd</t>
        </is>
      </c>
      <c r="L415" s="18" t="n">
        <v>1310</v>
      </c>
      <c r="M415" s="20" t="n">
        <v>4.2</v>
      </c>
      <c r="N415" s="18">
        <f>ROUND(L415/M415, 0)</f>
        <v/>
      </c>
      <c r="O415" s="18">
        <f>ROUND(N415*'Methodology &amp; Assumptions'!$B$8, 0)</f>
        <v/>
      </c>
      <c r="P415" s="8" t="inlineStr">
        <is>
          <t>Band n50 (1.5 GHz, 60 MHz)</t>
        </is>
      </c>
      <c r="Q415" s="38">
        <f>ROUNDUP(O415/'Methodology &amp; Assumptions'!$B$9, 0)</f>
        <v/>
      </c>
      <c r="R415" s="39" t="n">
        <v>1</v>
      </c>
      <c r="S415" s="21" t="n">
        <v>0.6</v>
      </c>
      <c r="T415" s="21" t="n">
        <v>0.35</v>
      </c>
      <c r="U415" s="36" t="inlineStr">
        <is>
          <t>Tier 1A (Direct Coloc, &lt;1 km)</t>
        </is>
      </c>
      <c r="V415" s="20" t="n">
        <v>91.8</v>
      </c>
      <c r="W415" s="20" t="n">
        <v>49.1</v>
      </c>
      <c r="X415" s="20" t="n">
        <v>58</v>
      </c>
      <c r="Y415" s="40">
        <f>ROUND((V415*'Methodology &amp; Assumptions'!$B$6)+(W415*'Methodology &amp; Assumptions'!$B$5)+(X415*'Methodology &amp; Assumptions'!$B$7), 2)</f>
        <v/>
      </c>
    </row>
    <row r="416" ht="19" customHeight="1">
      <c r="A416" s="41" t="n">
        <v>412</v>
      </c>
      <c r="B416" s="41" t="n">
        <v>3412</v>
      </c>
      <c r="C416" s="42" t="inlineStr">
        <is>
          <t>0702251006</t>
        </is>
      </c>
      <c r="D416" s="42" t="inlineStr">
        <is>
          <t>Region VII (Central Visayas)</t>
        </is>
      </c>
      <c r="E416" s="42" t="inlineStr">
        <is>
          <t>Cebu</t>
        </is>
      </c>
      <c r="F416" s="42" t="inlineStr">
        <is>
          <t>City of Toledo</t>
        </is>
      </c>
      <c r="G416" s="42" t="inlineStr">
        <is>
          <t>Bunga</t>
        </is>
      </c>
      <c r="H416" s="43" t="n">
        <v>10.302158</v>
      </c>
      <c r="I416" s="43" t="n">
        <v>123.685211</v>
      </c>
      <c r="J416" s="44" t="inlineStr">
        <is>
          <t>U</t>
        </is>
      </c>
      <c r="K416" s="42" t="inlineStr">
        <is>
          <t>Class 1-3 / Urban</t>
        </is>
      </c>
      <c r="L416" s="23" t="n">
        <v>5361</v>
      </c>
      <c r="M416" s="24" t="n">
        <v>4.42</v>
      </c>
      <c r="N416" s="23">
        <f>ROUND(L416/M416, 0)</f>
        <v/>
      </c>
      <c r="O416" s="23">
        <f>ROUND(N416*'Methodology &amp; Assumptions'!$B$8, 0)</f>
        <v/>
      </c>
      <c r="P416" s="44" t="inlineStr">
        <is>
          <t>Band n50 (1.5 GHz, 60 MHz)</t>
        </is>
      </c>
      <c r="Q416" s="38">
        <f>ROUNDUP(O416/'Methodology &amp; Assumptions'!$B$9, 0)</f>
        <v/>
      </c>
      <c r="R416" s="39" t="n">
        <v>1</v>
      </c>
      <c r="S416" s="25" t="n">
        <v>1.71</v>
      </c>
      <c r="T416" s="25" t="n">
        <v>1.27</v>
      </c>
      <c r="U416" s="42" t="inlineStr">
        <is>
          <t>Tier 1B (Micro Drop, 1-3 km)</t>
        </is>
      </c>
      <c r="V416" s="24" t="n">
        <v>66.59999999999999</v>
      </c>
      <c r="W416" s="24" t="n">
        <v>100</v>
      </c>
      <c r="X416" s="24" t="n">
        <v>28</v>
      </c>
      <c r="Y416" s="45">
        <f>ROUND((V416*'Methodology &amp; Assumptions'!$B$6)+(W416*'Methodology &amp; Assumptions'!$B$5)+(X416*'Methodology &amp; Assumptions'!$B$7), 2)</f>
        <v/>
      </c>
    </row>
    <row r="417" ht="19" customHeight="1">
      <c r="A417" s="35" t="n">
        <v>413</v>
      </c>
      <c r="B417" s="35" t="n">
        <v>3413</v>
      </c>
      <c r="C417" s="36" t="inlineStr">
        <is>
          <t>1600204011</t>
        </is>
      </c>
      <c r="D417" s="36" t="inlineStr">
        <is>
          <t>Region XIII (Caraga)</t>
        </is>
      </c>
      <c r="E417" s="36" t="inlineStr">
        <is>
          <t>Agusan del Norte</t>
        </is>
      </c>
      <c r="F417" s="36" t="inlineStr">
        <is>
          <t>Carmen</t>
        </is>
      </c>
      <c r="G417" s="36" t="inlineStr">
        <is>
          <t>San Agustin</t>
        </is>
      </c>
      <c r="H417" s="37" t="n">
        <v>9.056642</v>
      </c>
      <c r="I417" s="37" t="n">
        <v>125.225053</v>
      </c>
      <c r="J417" s="8" t="inlineStr">
        <is>
          <t>R</t>
        </is>
      </c>
      <c r="K417" s="36" t="inlineStr">
        <is>
          <t>3rd</t>
        </is>
      </c>
      <c r="L417" s="18" t="n">
        <v>1269</v>
      </c>
      <c r="M417" s="20" t="n">
        <v>4.42</v>
      </c>
      <c r="N417" s="18">
        <f>ROUND(L417/M417, 0)</f>
        <v/>
      </c>
      <c r="O417" s="18">
        <f>ROUND(N417*'Methodology &amp; Assumptions'!$B$8, 0)</f>
        <v/>
      </c>
      <c r="P417" s="8" t="inlineStr">
        <is>
          <t>Band n50 (1.5 GHz, 60 MHz)</t>
        </is>
      </c>
      <c r="Q417" s="38">
        <f>ROUNDUP(O417/'Methodology &amp; Assumptions'!$B$9, 0)</f>
        <v/>
      </c>
      <c r="R417" s="39" t="n">
        <v>1</v>
      </c>
      <c r="S417" s="21" t="n">
        <v>0.19</v>
      </c>
      <c r="T417" s="21" t="n">
        <v>5.3</v>
      </c>
      <c r="U417" s="36" t="inlineStr">
        <is>
          <t>Tier 1A (Direct Coloc, &lt;1 km)</t>
        </is>
      </c>
      <c r="V417" s="20" t="n">
        <v>93.90000000000001</v>
      </c>
      <c r="W417" s="20" t="n">
        <v>46.9</v>
      </c>
      <c r="X417" s="20" t="n">
        <v>58</v>
      </c>
      <c r="Y417" s="40">
        <f>ROUND((V417*'Methodology &amp; Assumptions'!$B$6)+(W417*'Methodology &amp; Assumptions'!$B$5)+(X417*'Methodology &amp; Assumptions'!$B$7), 2)</f>
        <v/>
      </c>
    </row>
    <row r="418" ht="19" customHeight="1">
      <c r="A418" s="41" t="n">
        <v>414</v>
      </c>
      <c r="B418" s="41" t="n">
        <v>3414</v>
      </c>
      <c r="C418" s="42" t="inlineStr">
        <is>
          <t>1001312012</t>
        </is>
      </c>
      <c r="D418" s="42" t="inlineStr">
        <is>
          <t>Region X (Northern Mindanao)</t>
        </is>
      </c>
      <c r="E418" s="42" t="inlineStr">
        <is>
          <t>Bukidnon</t>
        </is>
      </c>
      <c r="F418" s="42" t="inlineStr">
        <is>
          <t>City of Malaybalay</t>
        </is>
      </c>
      <c r="G418" s="42" t="inlineStr">
        <is>
          <t>Casisang</t>
        </is>
      </c>
      <c r="H418" s="43" t="n">
        <v>8.135076</v>
      </c>
      <c r="I418" s="43" t="n">
        <v>125.127154</v>
      </c>
      <c r="J418" s="44" t="inlineStr">
        <is>
          <t>U</t>
        </is>
      </c>
      <c r="K418" s="42" t="inlineStr">
        <is>
          <t>Class 1-3 / Urban</t>
        </is>
      </c>
      <c r="L418" s="23" t="n">
        <v>29406</v>
      </c>
      <c r="M418" s="24" t="n">
        <v>4.63</v>
      </c>
      <c r="N418" s="23">
        <f>ROUND(L418/M418, 0)</f>
        <v/>
      </c>
      <c r="O418" s="23">
        <f>ROUND(N418*'Methodology &amp; Assumptions'!$B$8, 0)</f>
        <v/>
      </c>
      <c r="P418" s="44" t="inlineStr">
        <is>
          <t>Band n50 (1.5 GHz, 60 MHz)</t>
        </is>
      </c>
      <c r="Q418" s="38">
        <f>ROUNDUP(O418/'Methodology &amp; Assumptions'!$B$9, 0)</f>
        <v/>
      </c>
      <c r="R418" s="39" t="n">
        <v>1</v>
      </c>
      <c r="S418" s="25" t="n">
        <v>1.71</v>
      </c>
      <c r="T418" s="25" t="n">
        <v>0.12</v>
      </c>
      <c r="U418" s="42" t="inlineStr">
        <is>
          <t>Tier 1B (Micro Drop, 1-3 km)</t>
        </is>
      </c>
      <c r="V418" s="24" t="n">
        <v>66.59999999999999</v>
      </c>
      <c r="W418" s="24" t="n">
        <v>100</v>
      </c>
      <c r="X418" s="24" t="n">
        <v>28</v>
      </c>
      <c r="Y418" s="45">
        <f>ROUND((V418*'Methodology &amp; Assumptions'!$B$6)+(W418*'Methodology &amp; Assumptions'!$B$5)+(X418*'Methodology &amp; Assumptions'!$B$7), 2)</f>
        <v/>
      </c>
    </row>
    <row r="419" ht="19" customHeight="1">
      <c r="A419" s="35" t="n">
        <v>415</v>
      </c>
      <c r="B419" s="35" t="n">
        <v>3415</v>
      </c>
      <c r="C419" s="36" t="inlineStr">
        <is>
          <t>0300810021</t>
        </is>
      </c>
      <c r="D419" s="36" t="inlineStr">
        <is>
          <t>Region III (Central Luzon)</t>
        </is>
      </c>
      <c r="E419" s="36" t="inlineStr">
        <is>
          <t>Bataan</t>
        </is>
      </c>
      <c r="F419" s="36" t="inlineStr">
        <is>
          <t>Orion</t>
        </is>
      </c>
      <c r="G419" s="36" t="inlineStr">
        <is>
          <t>Sabatan</t>
        </is>
      </c>
      <c r="H419" s="37" t="n">
        <v>14.615123</v>
      </c>
      <c r="I419" s="37" t="n">
        <v>120.567813</v>
      </c>
      <c r="J419" s="8" t="inlineStr">
        <is>
          <t>U</t>
        </is>
      </c>
      <c r="K419" s="36" t="inlineStr">
        <is>
          <t>Class 1-3 / Urban</t>
        </is>
      </c>
      <c r="L419" s="18" t="n">
        <v>3763</v>
      </c>
      <c r="M419" s="20" t="n">
        <v>4.57</v>
      </c>
      <c r="N419" s="18">
        <f>ROUND(L419/M419, 0)</f>
        <v/>
      </c>
      <c r="O419" s="18">
        <f>ROUND(N419*'Methodology &amp; Assumptions'!$B$8, 0)</f>
        <v/>
      </c>
      <c r="P419" s="8" t="inlineStr">
        <is>
          <t>Band n50 (1.5 GHz, 60 MHz)</t>
        </is>
      </c>
      <c r="Q419" s="38">
        <f>ROUNDUP(O419/'Methodology &amp; Assumptions'!$B$9, 0)</f>
        <v/>
      </c>
      <c r="R419" s="39" t="n">
        <v>1</v>
      </c>
      <c r="S419" s="21" t="n">
        <v>1.22</v>
      </c>
      <c r="T419" s="21" t="n">
        <v>1.18</v>
      </c>
      <c r="U419" s="36" t="inlineStr">
        <is>
          <t>Tier 1B (Micro Drop, 1-3 km)</t>
        </is>
      </c>
      <c r="V419" s="20" t="n">
        <v>76.7</v>
      </c>
      <c r="W419" s="20" t="n">
        <v>89.90000000000001</v>
      </c>
      <c r="X419" s="20" t="n">
        <v>28</v>
      </c>
      <c r="Y419" s="40">
        <f>ROUND((V419*'Methodology &amp; Assumptions'!$B$6)+(W419*'Methodology &amp; Assumptions'!$B$5)+(X419*'Methodology &amp; Assumptions'!$B$7), 2)</f>
        <v/>
      </c>
    </row>
    <row r="420" ht="19" customHeight="1">
      <c r="A420" s="41" t="n">
        <v>416</v>
      </c>
      <c r="B420" s="41" t="n">
        <v>3416</v>
      </c>
      <c r="C420" s="42" t="inlineStr">
        <is>
          <t>0103311029</t>
        </is>
      </c>
      <c r="D420" s="42" t="inlineStr">
        <is>
          <t>Region I (Ilocos Region)</t>
        </is>
      </c>
      <c r="E420" s="42" t="inlineStr">
        <is>
          <t>La Union</t>
        </is>
      </c>
      <c r="F420" s="42" t="inlineStr">
        <is>
          <t>Naguilian</t>
        </is>
      </c>
      <c r="G420" s="42" t="inlineStr">
        <is>
          <t>Natividad</t>
        </is>
      </c>
      <c r="H420" s="43" t="n">
        <v>16.529408</v>
      </c>
      <c r="I420" s="43" t="n">
        <v>120.391557</v>
      </c>
      <c r="J420" s="44" t="inlineStr">
        <is>
          <t>U</t>
        </is>
      </c>
      <c r="K420" s="42" t="inlineStr">
        <is>
          <t>Class 1-3 / Urban</t>
        </is>
      </c>
      <c r="L420" s="23" t="n">
        <v>3135</v>
      </c>
      <c r="M420" s="24" t="n">
        <v>4.42</v>
      </c>
      <c r="N420" s="23">
        <f>ROUND(L420/M420, 0)</f>
        <v/>
      </c>
      <c r="O420" s="23">
        <f>ROUND(N420*'Methodology &amp; Assumptions'!$B$8, 0)</f>
        <v/>
      </c>
      <c r="P420" s="44" t="inlineStr">
        <is>
          <t>Band n50 (1.5 GHz, 60 MHz)</t>
        </is>
      </c>
      <c r="Q420" s="38">
        <f>ROUNDUP(O420/'Methodology &amp; Assumptions'!$B$9, 0)</f>
        <v/>
      </c>
      <c r="R420" s="39" t="n">
        <v>1</v>
      </c>
      <c r="S420" s="25" t="n">
        <v>0.83</v>
      </c>
      <c r="T420" s="25" t="n">
        <v>0.28</v>
      </c>
      <c r="U420" s="42" t="inlineStr">
        <is>
          <t>Tier 1A (Direct Coloc, &lt;1 km)</t>
        </is>
      </c>
      <c r="V420" s="24" t="n">
        <v>85.8</v>
      </c>
      <c r="W420" s="24" t="n">
        <v>80.8</v>
      </c>
      <c r="X420" s="24" t="n">
        <v>28</v>
      </c>
      <c r="Y420" s="45">
        <f>ROUND((V420*'Methodology &amp; Assumptions'!$B$6)+(W420*'Methodology &amp; Assumptions'!$B$5)+(X420*'Methodology &amp; Assumptions'!$B$7), 2)</f>
        <v/>
      </c>
    </row>
    <row r="421" ht="19" customHeight="1">
      <c r="A421" s="35" t="n">
        <v>417</v>
      </c>
      <c r="B421" s="35" t="n">
        <v>3417</v>
      </c>
      <c r="C421" s="36" t="inlineStr">
        <is>
          <t>0603045011</t>
        </is>
      </c>
      <c r="D421" s="36" t="inlineStr">
        <is>
          <t>Region VI (Western Visayas)</t>
        </is>
      </c>
      <c r="E421" s="36" t="inlineStr">
        <is>
          <t>Iloilo</t>
        </is>
      </c>
      <c r="F421" s="36" t="inlineStr">
        <is>
          <t>Tigbauan</t>
        </is>
      </c>
      <c r="G421" s="36" t="inlineStr">
        <is>
          <t>Barangay 4</t>
        </is>
      </c>
      <c r="H421" s="37" t="n">
        <v>10.678324</v>
      </c>
      <c r="I421" s="37" t="n">
        <v>122.384575</v>
      </c>
      <c r="J421" s="8" t="inlineStr">
        <is>
          <t>R</t>
        </is>
      </c>
      <c r="K421" s="36" t="inlineStr">
        <is>
          <t>Class 1-3 / Urban</t>
        </is>
      </c>
      <c r="L421" s="18" t="n">
        <v>1040</v>
      </c>
      <c r="M421" s="20" t="n">
        <v>4.39</v>
      </c>
      <c r="N421" s="18">
        <f>ROUND(L421/M421, 0)</f>
        <v/>
      </c>
      <c r="O421" s="18">
        <f>ROUND(N421*'Methodology &amp; Assumptions'!$B$8, 0)</f>
        <v/>
      </c>
      <c r="P421" s="8" t="inlineStr">
        <is>
          <t>Band n50 (1.5 GHz, 60 MHz)</t>
        </is>
      </c>
      <c r="Q421" s="38">
        <f>ROUNDUP(O421/'Methodology &amp; Assumptions'!$B$9, 0)</f>
        <v/>
      </c>
      <c r="R421" s="39" t="n">
        <v>1</v>
      </c>
      <c r="S421" s="21" t="n">
        <v>0.39</v>
      </c>
      <c r="T421" s="21" t="n">
        <v>0.38</v>
      </c>
      <c r="U421" s="36" t="inlineStr">
        <is>
          <t>Tier 1A (Direct Coloc, &lt;1 km)</t>
        </is>
      </c>
      <c r="V421" s="20" t="n">
        <v>97.90000000000001</v>
      </c>
      <c r="W421" s="20" t="n">
        <v>42.9</v>
      </c>
      <c r="X421" s="20" t="n">
        <v>58</v>
      </c>
      <c r="Y421" s="40">
        <f>ROUND((V421*'Methodology &amp; Assumptions'!$B$6)+(W421*'Methodology &amp; Assumptions'!$B$5)+(X421*'Methodology &amp; Assumptions'!$B$7), 2)</f>
        <v/>
      </c>
    </row>
    <row r="422" ht="19" customHeight="1">
      <c r="A422" s="41" t="n">
        <v>418</v>
      </c>
      <c r="B422" s="41" t="n">
        <v>3418</v>
      </c>
      <c r="C422" s="42" t="inlineStr">
        <is>
          <t>0301405009</t>
        </is>
      </c>
      <c r="D422" s="42" t="inlineStr">
        <is>
          <t>Region III (Central Luzon)</t>
        </is>
      </c>
      <c r="E422" s="42" t="inlineStr">
        <is>
          <t>Bulacan</t>
        </is>
      </c>
      <c r="F422" s="42" t="inlineStr">
        <is>
          <t>Bulacan</t>
        </is>
      </c>
      <c r="G422" s="42" t="inlineStr">
        <is>
          <t>San Francisco</t>
        </is>
      </c>
      <c r="H422" s="43" t="n">
        <v>14.797875</v>
      </c>
      <c r="I422" s="43" t="n">
        <v>120.866802</v>
      </c>
      <c r="J422" s="44" t="inlineStr">
        <is>
          <t>U</t>
        </is>
      </c>
      <c r="K422" s="42" t="inlineStr">
        <is>
          <t>Class 1-3 / Urban</t>
        </is>
      </c>
      <c r="L422" s="23" t="n">
        <v>7486</v>
      </c>
      <c r="M422" s="24" t="n">
        <v>4.1</v>
      </c>
      <c r="N422" s="23">
        <f>ROUND(L422/M422, 0)</f>
        <v/>
      </c>
      <c r="O422" s="23">
        <f>ROUND(N422*'Methodology &amp; Assumptions'!$B$8, 0)</f>
        <v/>
      </c>
      <c r="P422" s="44" t="inlineStr">
        <is>
          <t>Band n50 (1.5 GHz, 60 MHz)</t>
        </is>
      </c>
      <c r="Q422" s="38">
        <f>ROUNDUP(O422/'Methodology &amp; Assumptions'!$B$9, 0)</f>
        <v/>
      </c>
      <c r="R422" s="39" t="n">
        <v>1</v>
      </c>
      <c r="S422" s="25" t="n">
        <v>1.22</v>
      </c>
      <c r="T422" s="25" t="n">
        <v>3.49</v>
      </c>
      <c r="U422" s="42" t="inlineStr">
        <is>
          <t>Tier 1B (Micro Drop, 1-3 km)</t>
        </is>
      </c>
      <c r="V422" s="24" t="n">
        <v>66.5</v>
      </c>
      <c r="W422" s="24" t="n">
        <v>100</v>
      </c>
      <c r="X422" s="24" t="n">
        <v>28</v>
      </c>
      <c r="Y422" s="45">
        <f>ROUND((V422*'Methodology &amp; Assumptions'!$B$6)+(W422*'Methodology &amp; Assumptions'!$B$5)+(X422*'Methodology &amp; Assumptions'!$B$7), 2)</f>
        <v/>
      </c>
    </row>
    <row r="423" ht="19" customHeight="1">
      <c r="A423" s="35" t="n">
        <v>419</v>
      </c>
      <c r="B423" s="35" t="n">
        <v>3419</v>
      </c>
      <c r="C423" s="36" t="inlineStr">
        <is>
          <t>0803723013</t>
        </is>
      </c>
      <c r="D423" s="36" t="inlineStr">
        <is>
          <t>Region VIII (Eastern Visayas)</t>
        </is>
      </c>
      <c r="E423" s="36" t="inlineStr">
        <is>
          <t>Leyte</t>
        </is>
      </c>
      <c r="F423" s="36" t="inlineStr">
        <is>
          <t>Jaro</t>
        </is>
      </c>
      <c r="G423" s="36" t="inlineStr">
        <is>
          <t>Hiagsam</t>
        </is>
      </c>
      <c r="H423" s="37" t="n">
        <v>11.233467</v>
      </c>
      <c r="I423" s="37" t="n">
        <v>124.761704</v>
      </c>
      <c r="J423" s="8" t="inlineStr">
        <is>
          <t>R</t>
        </is>
      </c>
      <c r="K423" s="36" t="inlineStr">
        <is>
          <t>Class 1-3 / Urban</t>
        </is>
      </c>
      <c r="L423" s="18" t="n">
        <v>2106</v>
      </c>
      <c r="M423" s="20" t="n">
        <v>4.24</v>
      </c>
      <c r="N423" s="18">
        <f>ROUND(L423/M423, 0)</f>
        <v/>
      </c>
      <c r="O423" s="18">
        <f>ROUND(N423*'Methodology &amp; Assumptions'!$B$8, 0)</f>
        <v/>
      </c>
      <c r="P423" s="8" t="inlineStr">
        <is>
          <t>Band n50 (1.5 GHz, 60 MHz)</t>
        </is>
      </c>
      <c r="Q423" s="38">
        <f>ROUNDUP(O423/'Methodology &amp; Assumptions'!$B$9, 0)</f>
        <v/>
      </c>
      <c r="R423" s="39" t="n">
        <v>1</v>
      </c>
      <c r="S423" s="21" t="n">
        <v>1.84</v>
      </c>
      <c r="T423" s="21" t="n">
        <v>0.04</v>
      </c>
      <c r="U423" s="36" t="inlineStr">
        <is>
          <t>Tier 1B (Micro Drop, 1-3 km)</t>
        </is>
      </c>
      <c r="V423" s="20" t="n">
        <v>64.2</v>
      </c>
      <c r="W423" s="20" t="n">
        <v>63.7</v>
      </c>
      <c r="X423" s="20" t="n">
        <v>73</v>
      </c>
      <c r="Y423" s="40">
        <f>ROUND((V423*'Methodology &amp; Assumptions'!$B$6)+(W423*'Methodology &amp; Assumptions'!$B$5)+(X423*'Methodology &amp; Assumptions'!$B$7), 2)</f>
        <v/>
      </c>
    </row>
    <row r="424" ht="19" customHeight="1">
      <c r="A424" s="41" t="n">
        <v>420</v>
      </c>
      <c r="B424" s="41" t="n">
        <v>3420</v>
      </c>
      <c r="C424" s="42" t="inlineStr">
        <is>
          <t>0601914037</t>
        </is>
      </c>
      <c r="D424" s="42" t="inlineStr">
        <is>
          <t>Region VI (Western Visayas)</t>
        </is>
      </c>
      <c r="E424" s="42" t="inlineStr">
        <is>
          <t>Capiz</t>
        </is>
      </c>
      <c r="F424" s="42" t="inlineStr">
        <is>
          <t>City of Roxas</t>
        </is>
      </c>
      <c r="G424" s="42" t="inlineStr">
        <is>
          <t>Lonoy</t>
        </is>
      </c>
      <c r="H424" s="43" t="n">
        <v>11.510191</v>
      </c>
      <c r="I424" s="43" t="n">
        <v>122.739823</v>
      </c>
      <c r="J424" s="44" t="inlineStr">
        <is>
          <t>R</t>
        </is>
      </c>
      <c r="K424" s="42" t="inlineStr">
        <is>
          <t>Class 1-3 / Urban</t>
        </is>
      </c>
      <c r="L424" s="23" t="n">
        <v>3080</v>
      </c>
      <c r="M424" s="24" t="n">
        <v>4.2</v>
      </c>
      <c r="N424" s="23">
        <f>ROUND(L424/M424, 0)</f>
        <v/>
      </c>
      <c r="O424" s="23">
        <f>ROUND(N424*'Methodology &amp; Assumptions'!$B$8, 0)</f>
        <v/>
      </c>
      <c r="P424" s="44" t="inlineStr">
        <is>
          <t>Band n50 (1.5 GHz, 60 MHz)</t>
        </is>
      </c>
      <c r="Q424" s="38">
        <f>ROUNDUP(O424/'Methodology &amp; Assumptions'!$B$9, 0)</f>
        <v/>
      </c>
      <c r="R424" s="39" t="n">
        <v>1</v>
      </c>
      <c r="S424" s="25" t="n">
        <v>2.19</v>
      </c>
      <c r="T424" s="25" t="n">
        <v>0.09</v>
      </c>
      <c r="U424" s="42" t="inlineStr">
        <is>
          <t>Tier 1B (Micro Drop, 1-3 km)</t>
        </is>
      </c>
      <c r="V424" s="24" t="n">
        <v>58.1</v>
      </c>
      <c r="W424" s="24" t="n">
        <v>82.7</v>
      </c>
      <c r="X424" s="24" t="n">
        <v>58</v>
      </c>
      <c r="Y424" s="45">
        <f>ROUND((V424*'Methodology &amp; Assumptions'!$B$6)+(W424*'Methodology &amp; Assumptions'!$B$5)+(X424*'Methodology &amp; Assumptions'!$B$7), 2)</f>
        <v/>
      </c>
    </row>
    <row r="425" ht="19" customHeight="1">
      <c r="A425" s="35" t="n">
        <v>421</v>
      </c>
      <c r="B425" s="35" t="n">
        <v>3421</v>
      </c>
      <c r="C425" s="36" t="inlineStr">
        <is>
          <t>0501728017</t>
        </is>
      </c>
      <c r="D425" s="36" t="inlineStr">
        <is>
          <t>Region V (Bicol Region)</t>
        </is>
      </c>
      <c r="E425" s="36" t="inlineStr">
        <is>
          <t>Camarines Sur</t>
        </is>
      </c>
      <c r="F425" s="36" t="inlineStr">
        <is>
          <t>Pili</t>
        </is>
      </c>
      <c r="G425" s="36" t="inlineStr">
        <is>
          <t>San Agustin</t>
        </is>
      </c>
      <c r="H425" s="37" t="n">
        <v>13.567818</v>
      </c>
      <c r="I425" s="37" t="n">
        <v>123.268917</v>
      </c>
      <c r="J425" s="8" t="inlineStr">
        <is>
          <t>U</t>
        </is>
      </c>
      <c r="K425" s="36" t="inlineStr">
        <is>
          <t>Class 1-3 / Urban</t>
        </is>
      </c>
      <c r="L425" s="18" t="n">
        <v>5722</v>
      </c>
      <c r="M425" s="20" t="n">
        <v>4.9</v>
      </c>
      <c r="N425" s="18">
        <f>ROUND(L425/M425, 0)</f>
        <v/>
      </c>
      <c r="O425" s="18">
        <f>ROUND(N425*'Methodology &amp; Assumptions'!$B$8, 0)</f>
        <v/>
      </c>
      <c r="P425" s="8" t="inlineStr">
        <is>
          <t>Band n50 (1.5 GHz, 60 MHz)</t>
        </is>
      </c>
      <c r="Q425" s="38">
        <f>ROUNDUP(O425/'Methodology &amp; Assumptions'!$B$9, 0)</f>
        <v/>
      </c>
      <c r="R425" s="39" t="n">
        <v>1</v>
      </c>
      <c r="S425" s="21" t="n">
        <v>1.71</v>
      </c>
      <c r="T425" s="21" t="n">
        <v>0.4</v>
      </c>
      <c r="U425" s="36" t="inlineStr">
        <is>
          <t>Tier 1B (Micro Drop, 1-3 km)</t>
        </is>
      </c>
      <c r="V425" s="20" t="n">
        <v>66.5</v>
      </c>
      <c r="W425" s="20" t="n">
        <v>100</v>
      </c>
      <c r="X425" s="20" t="n">
        <v>28</v>
      </c>
      <c r="Y425" s="40">
        <f>ROUND((V425*'Methodology &amp; Assumptions'!$B$6)+(W425*'Methodology &amp; Assumptions'!$B$5)+(X425*'Methodology &amp; Assumptions'!$B$7), 2)</f>
        <v/>
      </c>
    </row>
    <row r="426" ht="19" customHeight="1">
      <c r="A426" s="41" t="n">
        <v>422</v>
      </c>
      <c r="B426" s="41" t="n">
        <v>3422</v>
      </c>
      <c r="C426" s="42" t="inlineStr">
        <is>
          <t>0604515007</t>
        </is>
      </c>
      <c r="D426" s="42" t="inlineStr">
        <is>
          <t>Region VI (Western Visayas)</t>
        </is>
      </c>
      <c r="E426" s="42" t="inlineStr">
        <is>
          <t>Negros Occidental</t>
        </is>
      </c>
      <c r="F426" s="42" t="inlineStr">
        <is>
          <t>City of Kabankalan</t>
        </is>
      </c>
      <c r="G426" s="42" t="inlineStr">
        <is>
          <t>Daan Banua</t>
        </is>
      </c>
      <c r="H426" s="43" t="n">
        <v>10.037793</v>
      </c>
      <c r="I426" s="43" t="n">
        <v>122.819331</v>
      </c>
      <c r="J426" s="44" t="inlineStr">
        <is>
          <t>R</t>
        </is>
      </c>
      <c r="K426" s="42" t="inlineStr">
        <is>
          <t>Class 1-3 / Urban</t>
        </is>
      </c>
      <c r="L426" s="23" t="n">
        <v>4942</v>
      </c>
      <c r="M426" s="24" t="n">
        <v>4.33</v>
      </c>
      <c r="N426" s="23">
        <f>ROUND(L426/M426, 0)</f>
        <v/>
      </c>
      <c r="O426" s="23">
        <f>ROUND(N426*'Methodology &amp; Assumptions'!$B$8, 0)</f>
        <v/>
      </c>
      <c r="P426" s="44" t="inlineStr">
        <is>
          <t>Band n50 (1.5 GHz, 60 MHz)</t>
        </is>
      </c>
      <c r="Q426" s="38">
        <f>ROUNDUP(O426/'Methodology &amp; Assumptions'!$B$9, 0)</f>
        <v/>
      </c>
      <c r="R426" s="39" t="n">
        <v>1</v>
      </c>
      <c r="S426" s="25" t="n">
        <v>5.16</v>
      </c>
      <c r="T426" s="25" t="n">
        <v>1.74</v>
      </c>
      <c r="U426" s="42" t="inlineStr">
        <is>
          <t>Tier 2 (Fiber Corridor / Lateral, 3-5 km)</t>
        </is>
      </c>
      <c r="V426" s="24" t="n">
        <v>27.9</v>
      </c>
      <c r="W426" s="24" t="n">
        <v>100</v>
      </c>
      <c r="X426" s="24" t="n">
        <v>73</v>
      </c>
      <c r="Y426" s="45">
        <f>ROUND((V426*'Methodology &amp; Assumptions'!$B$6)+(W426*'Methodology &amp; Assumptions'!$B$5)+(X426*'Methodology &amp; Assumptions'!$B$7), 2)</f>
        <v/>
      </c>
    </row>
    <row r="427" ht="19" customHeight="1">
      <c r="A427" s="35" t="n">
        <v>423</v>
      </c>
      <c r="B427" s="35" t="n">
        <v>3423</v>
      </c>
      <c r="C427" s="36" t="inlineStr">
        <is>
          <t>0402109011</t>
        </is>
      </c>
      <c r="D427" s="36" t="inlineStr">
        <is>
          <t>Region IV-A (CALABARZON)</t>
        </is>
      </c>
      <c r="E427" s="36" t="inlineStr">
        <is>
          <t>Cavite</t>
        </is>
      </c>
      <c r="F427" s="36" t="inlineStr">
        <is>
          <t>City of Imus</t>
        </is>
      </c>
      <c r="G427" s="36" t="inlineStr">
        <is>
          <t>Bucandala I</t>
        </is>
      </c>
      <c r="H427" s="37" t="n">
        <v>14.409302</v>
      </c>
      <c r="I427" s="37" t="n">
        <v>120.929543</v>
      </c>
      <c r="J427" s="8" t="inlineStr">
        <is>
          <t>U</t>
        </is>
      </c>
      <c r="K427" s="36" t="inlineStr">
        <is>
          <t>Class 1-3 / Urban</t>
        </is>
      </c>
      <c r="L427" s="18" t="n">
        <v>9935</v>
      </c>
      <c r="M427" s="20" t="n">
        <v>4.49</v>
      </c>
      <c r="N427" s="18">
        <f>ROUND(L427/M427, 0)</f>
        <v/>
      </c>
      <c r="O427" s="18">
        <f>ROUND(N427*'Methodology &amp; Assumptions'!$B$8, 0)</f>
        <v/>
      </c>
      <c r="P427" s="8" t="inlineStr">
        <is>
          <t>Band n50 (1.5 GHz, 60 MHz)</t>
        </is>
      </c>
      <c r="Q427" s="38">
        <f>ROUNDUP(O427/'Methodology &amp; Assumptions'!$B$9, 0)</f>
        <v/>
      </c>
      <c r="R427" s="39" t="n">
        <v>1</v>
      </c>
      <c r="S427" s="21" t="n">
        <v>1.22</v>
      </c>
      <c r="T427" s="21" t="n">
        <v>3.94</v>
      </c>
      <c r="U427" s="36" t="inlineStr">
        <is>
          <t>Tier 1B (Micro Drop, 1-3 km)</t>
        </is>
      </c>
      <c r="V427" s="20" t="n">
        <v>66.5</v>
      </c>
      <c r="W427" s="20" t="n">
        <v>100</v>
      </c>
      <c r="X427" s="20" t="n">
        <v>28</v>
      </c>
      <c r="Y427" s="40">
        <f>ROUND((V427*'Methodology &amp; Assumptions'!$B$6)+(W427*'Methodology &amp; Assumptions'!$B$5)+(X427*'Methodology &amp; Assumptions'!$B$7), 2)</f>
        <v/>
      </c>
    </row>
    <row r="428" ht="19" customHeight="1">
      <c r="A428" s="41" t="n">
        <v>424</v>
      </c>
      <c r="B428" s="41" t="n">
        <v>3424</v>
      </c>
      <c r="C428" s="42" t="inlineStr">
        <is>
          <t>0201529019</t>
        </is>
      </c>
      <c r="D428" s="42" t="inlineStr">
        <is>
          <t>Region II (Cagayan Valley)</t>
        </is>
      </c>
      <c r="E428" s="42" t="inlineStr">
        <is>
          <t>Cagayan</t>
        </is>
      </c>
      <c r="F428" s="42" t="inlineStr">
        <is>
          <t>Tuguegarao City</t>
        </is>
      </c>
      <c r="G428" s="42" t="inlineStr">
        <is>
          <t>Caritan Norte</t>
        </is>
      </c>
      <c r="H428" s="43" t="n">
        <v>17.628577</v>
      </c>
      <c r="I428" s="43" t="n">
        <v>121.720971</v>
      </c>
      <c r="J428" s="44" t="inlineStr">
        <is>
          <t>R</t>
        </is>
      </c>
      <c r="K428" s="42" t="inlineStr">
        <is>
          <t>Class 1-3 / Urban</t>
        </is>
      </c>
      <c r="L428" s="23" t="n">
        <v>3582</v>
      </c>
      <c r="M428" s="24" t="n">
        <v>4.38</v>
      </c>
      <c r="N428" s="23">
        <f>ROUND(L428/M428, 0)</f>
        <v/>
      </c>
      <c r="O428" s="23">
        <f>ROUND(N428*'Methodology &amp; Assumptions'!$B$8, 0)</f>
        <v/>
      </c>
      <c r="P428" s="44" t="inlineStr">
        <is>
          <t>Band n50 (1.5 GHz, 60 MHz)</t>
        </is>
      </c>
      <c r="Q428" s="38">
        <f>ROUNDUP(O428/'Methodology &amp; Assumptions'!$B$9, 0)</f>
        <v/>
      </c>
      <c r="R428" s="39" t="n">
        <v>1</v>
      </c>
      <c r="S428" s="25" t="n">
        <v>3.76</v>
      </c>
      <c r="T428" s="25" t="n">
        <v>0.24</v>
      </c>
      <c r="U428" s="42" t="inlineStr">
        <is>
          <t>Tier 2 (Fiber Corridor / Lateral, 3-5 km)</t>
        </is>
      </c>
      <c r="V428" s="24" t="n">
        <v>38.6</v>
      </c>
      <c r="W428" s="24" t="n">
        <v>89.3</v>
      </c>
      <c r="X428" s="24" t="n">
        <v>73</v>
      </c>
      <c r="Y428" s="45">
        <f>ROUND((V428*'Methodology &amp; Assumptions'!$B$6)+(W428*'Methodology &amp; Assumptions'!$B$5)+(X428*'Methodology &amp; Assumptions'!$B$7), 2)</f>
        <v/>
      </c>
    </row>
    <row r="429" ht="19" customHeight="1">
      <c r="A429" s="35" t="n">
        <v>425</v>
      </c>
      <c r="B429" s="35" t="n">
        <v>3425</v>
      </c>
      <c r="C429" s="36" t="inlineStr">
        <is>
          <t>1705302002</t>
        </is>
      </c>
      <c r="D429" s="36" t="inlineStr">
        <is>
          <t>MIMAROPA Region</t>
        </is>
      </c>
      <c r="E429" s="36" t="inlineStr">
        <is>
          <t>Palawan</t>
        </is>
      </c>
      <c r="F429" s="36" t="inlineStr">
        <is>
          <t>Agutaya</t>
        </is>
      </c>
      <c r="G429" s="36" t="inlineStr">
        <is>
          <t>Algeciras</t>
        </is>
      </c>
      <c r="H429" s="37" t="n">
        <v>11.417534</v>
      </c>
      <c r="I429" s="37" t="n">
        <v>120.812685</v>
      </c>
      <c r="J429" s="8" t="inlineStr">
        <is>
          <t>R</t>
        </is>
      </c>
      <c r="K429" s="36" t="inlineStr">
        <is>
          <t>5th</t>
        </is>
      </c>
      <c r="L429" s="18" t="n">
        <v>4955</v>
      </c>
      <c r="M429" s="20" t="n">
        <v>4.1</v>
      </c>
      <c r="N429" s="18">
        <f>ROUND(L429/M429, 0)</f>
        <v/>
      </c>
      <c r="O429" s="18">
        <f>ROUND(N429*'Methodology &amp; Assumptions'!$B$8, 0)</f>
        <v/>
      </c>
      <c r="P429" s="8" t="inlineStr">
        <is>
          <t>Band n50 (1.5 GHz, 60 MHz)</t>
        </is>
      </c>
      <c r="Q429" s="38">
        <f>ROUNDUP(O429/'Methodology &amp; Assumptions'!$B$9, 0)</f>
        <v/>
      </c>
      <c r="R429" s="39" t="n">
        <v>1</v>
      </c>
      <c r="S429" s="21" t="n">
        <v>89.61</v>
      </c>
      <c r="T429" s="21" t="n">
        <v>104.88</v>
      </c>
      <c r="U429" s="36" t="inlineStr">
        <is>
          <t>Tier 4 (In-Province Spur, &gt;10 km)</t>
        </is>
      </c>
      <c r="V429" s="20" t="n">
        <v>15</v>
      </c>
      <c r="W429" s="20" t="n">
        <v>100</v>
      </c>
      <c r="X429" s="20" t="n">
        <v>88</v>
      </c>
      <c r="Y429" s="40">
        <f>ROUND((V429*'Methodology &amp; Assumptions'!$B$6)+(W429*'Methodology &amp; Assumptions'!$B$5)+(X429*'Methodology &amp; Assumptions'!$B$7), 2)</f>
        <v/>
      </c>
    </row>
    <row r="430" ht="19" customHeight="1">
      <c r="A430" s="41" t="n">
        <v>426</v>
      </c>
      <c r="B430" s="41" t="n">
        <v>3426</v>
      </c>
      <c r="C430" s="42" t="inlineStr">
        <is>
          <t>0600603008</t>
        </is>
      </c>
      <c r="D430" s="42" t="inlineStr">
        <is>
          <t>Region VI (Western Visayas)</t>
        </is>
      </c>
      <c r="E430" s="42" t="inlineStr">
        <is>
          <t>Antique</t>
        </is>
      </c>
      <c r="F430" s="42" t="inlineStr">
        <is>
          <t>Belison</t>
        </is>
      </c>
      <c r="G430" s="42" t="inlineStr">
        <is>
          <t>Poblacion</t>
        </is>
      </c>
      <c r="H430" s="43" t="n">
        <v>10.853788</v>
      </c>
      <c r="I430" s="43" t="n">
        <v>121.963755</v>
      </c>
      <c r="J430" s="44" t="inlineStr">
        <is>
          <t>R</t>
        </is>
      </c>
      <c r="K430" s="42" t="inlineStr">
        <is>
          <t>5th</t>
        </is>
      </c>
      <c r="L430" s="23" t="n">
        <v>4504</v>
      </c>
      <c r="M430" s="24" t="n">
        <v>4.39</v>
      </c>
      <c r="N430" s="23">
        <f>ROUND(L430/M430, 0)</f>
        <v/>
      </c>
      <c r="O430" s="23">
        <f>ROUND(N430*'Methodology &amp; Assumptions'!$B$8, 0)</f>
        <v/>
      </c>
      <c r="P430" s="44" t="inlineStr">
        <is>
          <t>Band n50 (1.5 GHz, 60 MHz)</t>
        </is>
      </c>
      <c r="Q430" s="38">
        <f>ROUNDUP(O430/'Methodology &amp; Assumptions'!$B$9, 0)</f>
        <v/>
      </c>
      <c r="R430" s="39" t="n">
        <v>1</v>
      </c>
      <c r="S430" s="25" t="n">
        <v>10.55</v>
      </c>
      <c r="T430" s="25" t="n">
        <v>5.98</v>
      </c>
      <c r="U430" s="42" t="inlineStr">
        <is>
          <t>Tier 4 (In-Province Spur, &gt;10 km)</t>
        </is>
      </c>
      <c r="V430" s="24" t="n">
        <v>15</v>
      </c>
      <c r="W430" s="24" t="n">
        <v>100</v>
      </c>
      <c r="X430" s="24" t="n">
        <v>88</v>
      </c>
      <c r="Y430" s="45">
        <f>ROUND((V430*'Methodology &amp; Assumptions'!$B$6)+(W430*'Methodology &amp; Assumptions'!$B$5)+(X430*'Methodology &amp; Assumptions'!$B$7), 2)</f>
        <v/>
      </c>
    </row>
    <row r="431" ht="19" customHeight="1">
      <c r="A431" s="35" t="n">
        <v>427</v>
      </c>
      <c r="B431" s="35" t="n">
        <v>3427</v>
      </c>
      <c r="C431" s="36" t="inlineStr">
        <is>
          <t>0403424062</t>
        </is>
      </c>
      <c r="D431" s="36" t="inlineStr">
        <is>
          <t>Region IV-A (CALABARZON)</t>
        </is>
      </c>
      <c r="E431" s="36" t="inlineStr">
        <is>
          <t>Laguna</t>
        </is>
      </c>
      <c r="F431" s="36" t="inlineStr">
        <is>
          <t>City of San Pablo</t>
        </is>
      </c>
      <c r="G431" s="36" t="inlineStr">
        <is>
          <t>San Pedro</t>
        </is>
      </c>
      <c r="H431" s="37" t="n">
        <v>14.094803</v>
      </c>
      <c r="I431" s="37" t="n">
        <v>121.331725</v>
      </c>
      <c r="J431" s="8" t="inlineStr">
        <is>
          <t>R</t>
        </is>
      </c>
      <c r="K431" s="36" t="inlineStr">
        <is>
          <t>Class 1-3 / Urban</t>
        </is>
      </c>
      <c r="L431" s="18" t="n">
        <v>3120</v>
      </c>
      <c r="M431" s="20" t="n">
        <v>4.2</v>
      </c>
      <c r="N431" s="18">
        <f>ROUND(L431/M431, 0)</f>
        <v/>
      </c>
      <c r="O431" s="18">
        <f>ROUND(N431*'Methodology &amp; Assumptions'!$B$8, 0)</f>
        <v/>
      </c>
      <c r="P431" s="8" t="inlineStr">
        <is>
          <t>Band n50 (1.5 GHz, 60 MHz)</t>
        </is>
      </c>
      <c r="Q431" s="38">
        <f>ROUNDUP(O431/'Methodology &amp; Assumptions'!$B$9, 0)</f>
        <v/>
      </c>
      <c r="R431" s="39" t="n">
        <v>1</v>
      </c>
      <c r="S431" s="21" t="n">
        <v>2.25</v>
      </c>
      <c r="T431" s="21" t="n">
        <v>1.55</v>
      </c>
      <c r="U431" s="36" t="inlineStr">
        <is>
          <t>Tier 1B (Micro Drop, 1-3 km)</t>
        </is>
      </c>
      <c r="V431" s="20" t="n">
        <v>57.2</v>
      </c>
      <c r="W431" s="20" t="n">
        <v>83.5</v>
      </c>
      <c r="X431" s="20" t="n">
        <v>58</v>
      </c>
      <c r="Y431" s="40">
        <f>ROUND((V431*'Methodology &amp; Assumptions'!$B$6)+(W431*'Methodology &amp; Assumptions'!$B$5)+(X431*'Methodology &amp; Assumptions'!$B$7), 2)</f>
        <v/>
      </c>
    </row>
    <row r="432" ht="19" customHeight="1">
      <c r="A432" s="41" t="n">
        <v>428</v>
      </c>
      <c r="B432" s="41" t="n">
        <v>3428</v>
      </c>
      <c r="C432" s="42" t="inlineStr">
        <is>
          <t>0730600001</t>
        </is>
      </c>
      <c r="D432" s="42" t="inlineStr">
        <is>
          <t>Region VII (Central Visayas)</t>
        </is>
      </c>
      <c r="E432" s="42" t="inlineStr">
        <is>
          <t>Cebu</t>
        </is>
      </c>
      <c r="F432" s="42" t="inlineStr">
        <is>
          <t>City of Cebu</t>
        </is>
      </c>
      <c r="G432" s="42" t="inlineStr">
        <is>
          <t>Adlaon</t>
        </is>
      </c>
      <c r="H432" s="43" t="n">
        <v>10.436686</v>
      </c>
      <c r="I432" s="43" t="n">
        <v>123.867806</v>
      </c>
      <c r="J432" s="44" t="inlineStr">
        <is>
          <t>R</t>
        </is>
      </c>
      <c r="K432" s="42" t="inlineStr">
        <is>
          <t>Class 1-3 / Urban</t>
        </is>
      </c>
      <c r="L432" s="23" t="n">
        <v>4413</v>
      </c>
      <c r="M432" s="24" t="n">
        <v>4.42</v>
      </c>
      <c r="N432" s="23">
        <f>ROUND(L432/M432, 0)</f>
        <v/>
      </c>
      <c r="O432" s="23">
        <f>ROUND(N432*'Methodology &amp; Assumptions'!$B$8, 0)</f>
        <v/>
      </c>
      <c r="P432" s="44" t="inlineStr">
        <is>
          <t>Band n50 (1.5 GHz, 60 MHz)</t>
        </is>
      </c>
      <c r="Q432" s="38">
        <f>ROUNDUP(O432/'Methodology &amp; Assumptions'!$B$9, 0)</f>
        <v/>
      </c>
      <c r="R432" s="39" t="n">
        <v>1</v>
      </c>
      <c r="S432" s="25" t="n">
        <v>2.7</v>
      </c>
      <c r="T432" s="25" t="n">
        <v>7.44</v>
      </c>
      <c r="U432" s="42" t="inlineStr">
        <is>
          <t>Tier 1B (Micro Drop, 1-3 km)</t>
        </is>
      </c>
      <c r="V432" s="24" t="n">
        <v>40.7</v>
      </c>
      <c r="W432" s="24" t="n">
        <v>100</v>
      </c>
      <c r="X432" s="24" t="n">
        <v>58</v>
      </c>
      <c r="Y432" s="45">
        <f>ROUND((V432*'Methodology &amp; Assumptions'!$B$6)+(W432*'Methodology &amp; Assumptions'!$B$5)+(X432*'Methodology &amp; Assumptions'!$B$7), 2)</f>
        <v/>
      </c>
    </row>
    <row r="433" ht="19" customHeight="1">
      <c r="A433" s="35" t="n">
        <v>429</v>
      </c>
      <c r="B433" s="35" t="n">
        <v>3429</v>
      </c>
      <c r="C433" s="36" t="inlineStr">
        <is>
          <t>0305413026</t>
        </is>
      </c>
      <c r="D433" s="36" t="inlineStr">
        <is>
          <t>Region III (Central Luzon)</t>
        </is>
      </c>
      <c r="E433" s="36" t="inlineStr">
        <is>
          <t>Pampanga</t>
        </is>
      </c>
      <c r="F433" s="36" t="inlineStr">
        <is>
          <t>Mexico</t>
        </is>
      </c>
      <c r="G433" s="36" t="inlineStr">
        <is>
          <t>San Antonio</t>
        </is>
      </c>
      <c r="H433" s="37" t="n">
        <v>15.060088</v>
      </c>
      <c r="I433" s="37" t="n">
        <v>120.720035</v>
      </c>
      <c r="J433" s="8" t="inlineStr">
        <is>
          <t>U</t>
        </is>
      </c>
      <c r="K433" s="36" t="inlineStr">
        <is>
          <t>Class 1-3 / Urban</t>
        </is>
      </c>
      <c r="L433" s="18" t="n">
        <v>5759</v>
      </c>
      <c r="M433" s="20" t="n">
        <v>4.63</v>
      </c>
      <c r="N433" s="18">
        <f>ROUND(L433/M433, 0)</f>
        <v/>
      </c>
      <c r="O433" s="18">
        <f>ROUND(N433*'Methodology &amp; Assumptions'!$B$8, 0)</f>
        <v/>
      </c>
      <c r="P433" s="8" t="inlineStr">
        <is>
          <t>Band n50 (1.5 GHz, 60 MHz)</t>
        </is>
      </c>
      <c r="Q433" s="38">
        <f>ROUNDUP(O433/'Methodology &amp; Assumptions'!$B$9, 0)</f>
        <v/>
      </c>
      <c r="R433" s="39" t="n">
        <v>1</v>
      </c>
      <c r="S433" s="21" t="n">
        <v>1.72</v>
      </c>
      <c r="T433" s="21" t="n">
        <v>0.2</v>
      </c>
      <c r="U433" s="36" t="inlineStr">
        <is>
          <t>Tier 1B (Micro Drop, 1-3 km)</t>
        </is>
      </c>
      <c r="V433" s="20" t="n">
        <v>66.40000000000001</v>
      </c>
      <c r="W433" s="20" t="n">
        <v>100</v>
      </c>
      <c r="X433" s="20" t="n">
        <v>28</v>
      </c>
      <c r="Y433" s="40">
        <f>ROUND((V433*'Methodology &amp; Assumptions'!$B$6)+(W433*'Methodology &amp; Assumptions'!$B$5)+(X433*'Methodology &amp; Assumptions'!$B$7), 2)</f>
        <v/>
      </c>
    </row>
    <row r="434" ht="19" customHeight="1">
      <c r="A434" s="41" t="n">
        <v>430</v>
      </c>
      <c r="B434" s="41" t="n">
        <v>3430</v>
      </c>
      <c r="C434" s="42" t="inlineStr">
        <is>
          <t>0405635002</t>
        </is>
      </c>
      <c r="D434" s="42" t="inlineStr">
        <is>
          <t>Region IV-A (CALABARZON)</t>
        </is>
      </c>
      <c r="E434" s="42" t="inlineStr">
        <is>
          <t>Quezon</t>
        </is>
      </c>
      <c r="F434" s="42" t="inlineStr">
        <is>
          <t>Plaridel</t>
        </is>
      </c>
      <c r="G434" s="42" t="inlineStr">
        <is>
          <t>Concepcion</t>
        </is>
      </c>
      <c r="H434" s="43" t="n">
        <v>13.958554</v>
      </c>
      <c r="I434" s="43" t="n">
        <v>122.010321</v>
      </c>
      <c r="J434" s="44" t="inlineStr">
        <is>
          <t>R</t>
        </is>
      </c>
      <c r="K434" s="42" t="inlineStr">
        <is>
          <t>5th</t>
        </is>
      </c>
      <c r="L434" s="23" t="n">
        <v>1673</v>
      </c>
      <c r="M434" s="24" t="n">
        <v>4.59</v>
      </c>
      <c r="N434" s="23">
        <f>ROUND(L434/M434, 0)</f>
        <v/>
      </c>
      <c r="O434" s="23">
        <f>ROUND(N434*'Methodology &amp; Assumptions'!$B$8, 0)</f>
        <v/>
      </c>
      <c r="P434" s="44" t="inlineStr">
        <is>
          <t>Band n50 (1.5 GHz, 60 MHz)</t>
        </is>
      </c>
      <c r="Q434" s="38">
        <f>ROUNDUP(O434/'Methodology &amp; Assumptions'!$B$9, 0)</f>
        <v/>
      </c>
      <c r="R434" s="39" t="n">
        <v>1</v>
      </c>
      <c r="S434" s="25" t="n">
        <v>1.3</v>
      </c>
      <c r="T434" s="25" t="n">
        <v>0.14</v>
      </c>
      <c r="U434" s="42" t="inlineStr">
        <is>
          <t>Tier 1B (Micro Drop, 1-3 km)</t>
        </is>
      </c>
      <c r="V434" s="24" t="n">
        <v>74.7</v>
      </c>
      <c r="W434" s="24" t="n">
        <v>53.1</v>
      </c>
      <c r="X434" s="24" t="n">
        <v>73</v>
      </c>
      <c r="Y434" s="45">
        <f>ROUND((V434*'Methodology &amp; Assumptions'!$B$6)+(W434*'Methodology &amp; Assumptions'!$B$5)+(X434*'Methodology &amp; Assumptions'!$B$7), 2)</f>
        <v/>
      </c>
    </row>
    <row r="435" ht="19" customHeight="1">
      <c r="A435" s="35" t="n">
        <v>431</v>
      </c>
      <c r="B435" s="35" t="n">
        <v>3431</v>
      </c>
      <c r="C435" s="36" t="inlineStr">
        <is>
          <t>0803750005</t>
        </is>
      </c>
      <c r="D435" s="36" t="inlineStr">
        <is>
          <t>Region VIII (Eastern Visayas)</t>
        </is>
      </c>
      <c r="E435" s="36" t="inlineStr">
        <is>
          <t>Leyte</t>
        </is>
      </c>
      <c r="F435" s="36" t="inlineStr">
        <is>
          <t>Tunga</t>
        </is>
      </c>
      <c r="G435" s="36" t="inlineStr">
        <is>
          <t>San Pedro</t>
        </is>
      </c>
      <c r="H435" s="37" t="n">
        <v>11.250419</v>
      </c>
      <c r="I435" s="37" t="n">
        <v>124.75509</v>
      </c>
      <c r="J435" s="8" t="inlineStr">
        <is>
          <t>R</t>
        </is>
      </c>
      <c r="K435" s="36" t="inlineStr">
        <is>
          <t>5th</t>
        </is>
      </c>
      <c r="L435" s="18" t="n">
        <v>1179</v>
      </c>
      <c r="M435" s="20" t="n">
        <v>4.75</v>
      </c>
      <c r="N435" s="18">
        <f>ROUND(L435/M435, 0)</f>
        <v/>
      </c>
      <c r="O435" s="18">
        <f>ROUND(N435*'Methodology &amp; Assumptions'!$B$8, 0)</f>
        <v/>
      </c>
      <c r="P435" s="8" t="inlineStr">
        <is>
          <t>Band n50 (1.5 GHz, 60 MHz)</t>
        </is>
      </c>
      <c r="Q435" s="38">
        <f>ROUNDUP(O435/'Methodology &amp; Assumptions'!$B$9, 0)</f>
        <v/>
      </c>
      <c r="R435" s="39" t="n">
        <v>1</v>
      </c>
      <c r="S435" s="21" t="n">
        <v>0.9</v>
      </c>
      <c r="T435" s="21" t="n">
        <v>0.62</v>
      </c>
      <c r="U435" s="36" t="inlineStr">
        <is>
          <t>Tier 1A (Direct Coloc, &lt;1 km)</t>
        </is>
      </c>
      <c r="V435" s="20" t="n">
        <v>84.09999999999999</v>
      </c>
      <c r="W435" s="20" t="n">
        <v>43.7</v>
      </c>
      <c r="X435" s="20" t="n">
        <v>73</v>
      </c>
      <c r="Y435" s="40">
        <f>ROUND((V435*'Methodology &amp; Assumptions'!$B$6)+(W435*'Methodology &amp; Assumptions'!$B$5)+(X435*'Methodology &amp; Assumptions'!$B$7), 2)</f>
        <v/>
      </c>
    </row>
    <row r="436" ht="19" customHeight="1">
      <c r="A436" s="41" t="n">
        <v>432</v>
      </c>
      <c r="B436" s="41" t="n">
        <v>3432</v>
      </c>
      <c r="C436" s="42" t="inlineStr">
        <is>
          <t>0704619016</t>
        </is>
      </c>
      <c r="D436" s="42" t="inlineStr">
        <is>
          <t>Region VII (Central Visayas)</t>
        </is>
      </c>
      <c r="E436" s="42" t="inlineStr">
        <is>
          <t>Negros Oriental</t>
        </is>
      </c>
      <c r="F436" s="42" t="inlineStr">
        <is>
          <t>Siaton</t>
        </is>
      </c>
      <c r="G436" s="42" t="inlineStr">
        <is>
          <t>Mantuyop</t>
        </is>
      </c>
      <c r="H436" s="43" t="n">
        <v>9.054235</v>
      </c>
      <c r="I436" s="43" t="n">
        <v>123.0226</v>
      </c>
      <c r="J436" s="44" t="inlineStr">
        <is>
          <t>R</t>
        </is>
      </c>
      <c r="K436" s="42" t="inlineStr">
        <is>
          <t>Class 1-3 / Urban</t>
        </is>
      </c>
      <c r="L436" s="23" t="n">
        <v>2220</v>
      </c>
      <c r="M436" s="24" t="n">
        <v>4.33</v>
      </c>
      <c r="N436" s="23">
        <f>ROUND(L436/M436, 0)</f>
        <v/>
      </c>
      <c r="O436" s="23">
        <f>ROUND(N436*'Methodology &amp; Assumptions'!$B$8, 0)</f>
        <v/>
      </c>
      <c r="P436" s="44" t="inlineStr">
        <is>
          <t>Band n50 (1.5 GHz, 60 MHz)</t>
        </is>
      </c>
      <c r="Q436" s="38">
        <f>ROUNDUP(O436/'Methodology &amp; Assumptions'!$B$9, 0)</f>
        <v/>
      </c>
      <c r="R436" s="39" t="n">
        <v>1</v>
      </c>
      <c r="S436" s="25" t="n">
        <v>1.27</v>
      </c>
      <c r="T436" s="25" t="n">
        <v>0.02</v>
      </c>
      <c r="U436" s="42" t="inlineStr">
        <is>
          <t>Tier 1B (Micro Drop, 1-3 km)</t>
        </is>
      </c>
      <c r="V436" s="24" t="n">
        <v>75.59999999999999</v>
      </c>
      <c r="W436" s="24" t="n">
        <v>65.09999999999999</v>
      </c>
      <c r="X436" s="24" t="n">
        <v>58</v>
      </c>
      <c r="Y436" s="45">
        <f>ROUND((V436*'Methodology &amp; Assumptions'!$B$6)+(W436*'Methodology &amp; Assumptions'!$B$5)+(X436*'Methodology &amp; Assumptions'!$B$7), 2)</f>
        <v/>
      </c>
    </row>
    <row r="437" ht="19" customHeight="1">
      <c r="A437" s="35" t="n">
        <v>433</v>
      </c>
      <c r="B437" s="35" t="n">
        <v>3433</v>
      </c>
      <c r="C437" s="36" t="inlineStr">
        <is>
          <t>1102403005</t>
        </is>
      </c>
      <c r="D437" s="36" t="inlineStr">
        <is>
          <t>Region XI (Davao Region)</t>
        </is>
      </c>
      <c r="E437" s="36" t="inlineStr">
        <is>
          <t>Davao del Sur</t>
        </is>
      </c>
      <c r="F437" s="36" t="inlineStr">
        <is>
          <t>City of Digos</t>
        </is>
      </c>
      <c r="G437" s="36" t="inlineStr">
        <is>
          <t>Cogon</t>
        </is>
      </c>
      <c r="H437" s="37" t="n">
        <v>6.759856</v>
      </c>
      <c r="I437" s="37" t="n">
        <v>125.370863</v>
      </c>
      <c r="J437" s="8" t="inlineStr">
        <is>
          <t>U</t>
        </is>
      </c>
      <c r="K437" s="36" t="inlineStr">
        <is>
          <t>Class 1-3 / Urban</t>
        </is>
      </c>
      <c r="L437" s="18" t="n">
        <v>9650</v>
      </c>
      <c r="M437" s="20" t="n">
        <v>4.1</v>
      </c>
      <c r="N437" s="18">
        <f>ROUND(L437/M437, 0)</f>
        <v/>
      </c>
      <c r="O437" s="18">
        <f>ROUND(N437*'Methodology &amp; Assumptions'!$B$8, 0)</f>
        <v/>
      </c>
      <c r="P437" s="8" t="inlineStr">
        <is>
          <t>Band n50 (1.5 GHz, 60 MHz)</t>
        </is>
      </c>
      <c r="Q437" s="38">
        <f>ROUNDUP(O437/'Methodology &amp; Assumptions'!$B$9, 0)</f>
        <v/>
      </c>
      <c r="R437" s="39" t="n">
        <v>1</v>
      </c>
      <c r="S437" s="21" t="n">
        <v>1.72</v>
      </c>
      <c r="T437" s="21" t="n">
        <v>0.39</v>
      </c>
      <c r="U437" s="36" t="inlineStr">
        <is>
          <t>Tier 1B (Micro Drop, 1-3 km)</t>
        </is>
      </c>
      <c r="V437" s="20" t="n">
        <v>66.40000000000001</v>
      </c>
      <c r="W437" s="20" t="n">
        <v>100</v>
      </c>
      <c r="X437" s="20" t="n">
        <v>28</v>
      </c>
      <c r="Y437" s="40">
        <f>ROUND((V437*'Methodology &amp; Assumptions'!$B$6)+(W437*'Methodology &amp; Assumptions'!$B$5)+(X437*'Methodology &amp; Assumptions'!$B$7), 2)</f>
        <v/>
      </c>
    </row>
    <row r="438" ht="19" customHeight="1">
      <c r="A438" s="41" t="n">
        <v>434</v>
      </c>
      <c r="B438" s="41" t="n">
        <v>3434</v>
      </c>
      <c r="C438" s="42" t="inlineStr">
        <is>
          <t>0105543012</t>
        </is>
      </c>
      <c r="D438" s="42" t="inlineStr">
        <is>
          <t>Region I (Ilocos Region)</t>
        </is>
      </c>
      <c r="E438" s="42" t="inlineStr">
        <is>
          <t>Pangasinan</t>
        </is>
      </c>
      <c r="F438" s="42" t="inlineStr">
        <is>
          <t>Tayug</t>
        </is>
      </c>
      <c r="G438" s="42" t="inlineStr">
        <is>
          <t>Magallanes</t>
        </is>
      </c>
      <c r="H438" s="43" t="n">
        <v>16.016976</v>
      </c>
      <c r="I438" s="43" t="n">
        <v>120.740227</v>
      </c>
      <c r="J438" s="44" t="inlineStr">
        <is>
          <t>U</t>
        </is>
      </c>
      <c r="K438" s="42" t="inlineStr">
        <is>
          <t>Class 1-3 / Urban</t>
        </is>
      </c>
      <c r="L438" s="23" t="n">
        <v>3497</v>
      </c>
      <c r="M438" s="24" t="n">
        <v>4.39</v>
      </c>
      <c r="N438" s="23">
        <f>ROUND(L438/M438, 0)</f>
        <v/>
      </c>
      <c r="O438" s="23">
        <f>ROUND(N438*'Methodology &amp; Assumptions'!$B$8, 0)</f>
        <v/>
      </c>
      <c r="P438" s="44" t="inlineStr">
        <is>
          <t>Band n50 (1.5 GHz, 60 MHz)</t>
        </is>
      </c>
      <c r="Q438" s="38">
        <f>ROUNDUP(O438/'Methodology &amp; Assumptions'!$B$9, 0)</f>
        <v/>
      </c>
      <c r="R438" s="39" t="n">
        <v>1</v>
      </c>
      <c r="S438" s="25" t="n">
        <v>1.13</v>
      </c>
      <c r="T438" s="25" t="n">
        <v>0.97</v>
      </c>
      <c r="U438" s="42" t="inlineStr">
        <is>
          <t>Tier 1B (Micro Drop, 1-3 km)</t>
        </is>
      </c>
      <c r="V438" s="24" t="n">
        <v>78.59999999999999</v>
      </c>
      <c r="W438" s="24" t="n">
        <v>87.7</v>
      </c>
      <c r="X438" s="24" t="n">
        <v>28</v>
      </c>
      <c r="Y438" s="45">
        <f>ROUND((V438*'Methodology &amp; Assumptions'!$B$6)+(W438*'Methodology &amp; Assumptions'!$B$5)+(X438*'Methodology &amp; Assumptions'!$B$7), 2)</f>
        <v/>
      </c>
    </row>
    <row r="439" ht="19" customHeight="1">
      <c r="A439" s="35" t="n">
        <v>435</v>
      </c>
      <c r="B439" s="35" t="n">
        <v>3435</v>
      </c>
      <c r="C439" s="36" t="inlineStr">
        <is>
          <t>0305409013</t>
        </is>
      </c>
      <c r="D439" s="36" t="inlineStr">
        <is>
          <t>Region III (Central Luzon)</t>
        </is>
      </c>
      <c r="E439" s="36" t="inlineStr">
        <is>
          <t>Pampanga</t>
        </is>
      </c>
      <c r="F439" s="36" t="inlineStr">
        <is>
          <t>Mabalacat City</t>
        </is>
      </c>
      <c r="G439" s="36" t="inlineStr">
        <is>
          <t>Macapagal Village</t>
        </is>
      </c>
      <c r="H439" s="37" t="n">
        <v>15.211114</v>
      </c>
      <c r="I439" s="37" t="n">
        <v>120.53762</v>
      </c>
      <c r="J439" s="8" t="inlineStr">
        <is>
          <t>R</t>
        </is>
      </c>
      <c r="K439" s="36" t="inlineStr">
        <is>
          <t>Class 1-3 / Urban</t>
        </is>
      </c>
      <c r="L439" s="18" t="n">
        <v>4202</v>
      </c>
      <c r="M439" s="20" t="n">
        <v>4.63</v>
      </c>
      <c r="N439" s="18">
        <f>ROUND(L439/M439, 0)</f>
        <v/>
      </c>
      <c r="O439" s="18">
        <f>ROUND(N439*'Methodology &amp; Assumptions'!$B$8, 0)</f>
        <v/>
      </c>
      <c r="P439" s="8" t="inlineStr">
        <is>
          <t>Band n50 (1.5 GHz, 60 MHz)</t>
        </is>
      </c>
      <c r="Q439" s="38">
        <f>ROUNDUP(O439/'Methodology &amp; Assumptions'!$B$9, 0)</f>
        <v/>
      </c>
      <c r="R439" s="39" t="n">
        <v>1</v>
      </c>
      <c r="S439" s="21" t="n">
        <v>3.23</v>
      </c>
      <c r="T439" s="21" t="n">
        <v>0.24</v>
      </c>
      <c r="U439" s="36" t="inlineStr">
        <is>
          <t>Tier 2 (Fiber Corridor / Lateral, 3-5 km)</t>
        </is>
      </c>
      <c r="V439" s="20" t="n">
        <v>44.1</v>
      </c>
      <c r="W439" s="20" t="n">
        <v>96.5</v>
      </c>
      <c r="X439" s="20" t="n">
        <v>58</v>
      </c>
      <c r="Y439" s="40">
        <f>ROUND((V439*'Methodology &amp; Assumptions'!$B$6)+(W439*'Methodology &amp; Assumptions'!$B$5)+(X439*'Methodology &amp; Assumptions'!$B$7), 2)</f>
        <v/>
      </c>
    </row>
    <row r="440" ht="19" customHeight="1">
      <c r="A440" s="41" t="n">
        <v>436</v>
      </c>
      <c r="B440" s="41" t="n">
        <v>3436</v>
      </c>
      <c r="C440" s="42" t="inlineStr">
        <is>
          <t>0201510016</t>
        </is>
      </c>
      <c r="D440" s="42" t="inlineStr">
        <is>
          <t>Region II (Cagayan Valley)</t>
        </is>
      </c>
      <c r="E440" s="42" t="inlineStr">
        <is>
          <t>Cagayan</t>
        </is>
      </c>
      <c r="F440" s="42" t="inlineStr">
        <is>
          <t>Camalaniugan</t>
        </is>
      </c>
      <c r="G440" s="42" t="inlineStr">
        <is>
          <t>Dugo</t>
        </is>
      </c>
      <c r="H440" s="43" t="n">
        <v>18.2531</v>
      </c>
      <c r="I440" s="43" t="n">
        <v>121.6866</v>
      </c>
      <c r="J440" s="44" t="inlineStr">
        <is>
          <t>R</t>
        </is>
      </c>
      <c r="K440" s="42" t="inlineStr">
        <is>
          <t>3rd</t>
        </is>
      </c>
      <c r="L440" s="23" t="n">
        <v>1796</v>
      </c>
      <c r="M440" s="24" t="n">
        <v>4.54</v>
      </c>
      <c r="N440" s="23">
        <f>ROUND(L440/M440, 0)</f>
        <v/>
      </c>
      <c r="O440" s="23">
        <f>ROUND(N440*'Methodology &amp; Assumptions'!$B$8, 0)</f>
        <v/>
      </c>
      <c r="P440" s="44" t="inlineStr">
        <is>
          <t>Band n50 (1.5 GHz, 60 MHz)</t>
        </is>
      </c>
      <c r="Q440" s="38">
        <f>ROUNDUP(O440/'Methodology &amp; Assumptions'!$B$9, 0)</f>
        <v/>
      </c>
      <c r="R440" s="39" t="n">
        <v>1</v>
      </c>
      <c r="S440" s="25" t="n">
        <v>0.87</v>
      </c>
      <c r="T440" s="25" t="n">
        <v>0.17</v>
      </c>
      <c r="U440" s="42" t="inlineStr">
        <is>
          <t>Tier 1A (Direct Coloc, &lt;1 km)</t>
        </is>
      </c>
      <c r="V440" s="24" t="n">
        <v>84.90000000000001</v>
      </c>
      <c r="W440" s="24" t="n">
        <v>55.7</v>
      </c>
      <c r="X440" s="24" t="n">
        <v>58</v>
      </c>
      <c r="Y440" s="45">
        <f>ROUND((V440*'Methodology &amp; Assumptions'!$B$6)+(W440*'Methodology &amp; Assumptions'!$B$5)+(X440*'Methodology &amp; Assumptions'!$B$7), 2)</f>
        <v/>
      </c>
    </row>
    <row r="441" ht="19" customHeight="1">
      <c r="A441" s="35" t="n">
        <v>437</v>
      </c>
      <c r="B441" s="35" t="n">
        <v>3437</v>
      </c>
      <c r="C441" s="36" t="inlineStr">
        <is>
          <t>0300810017</t>
        </is>
      </c>
      <c r="D441" s="36" t="inlineStr">
        <is>
          <t>Region III (Central Luzon)</t>
        </is>
      </c>
      <c r="E441" s="36" t="inlineStr">
        <is>
          <t>Bataan</t>
        </is>
      </c>
      <c r="F441" s="36" t="inlineStr">
        <is>
          <t>Orion</t>
        </is>
      </c>
      <c r="G441" s="36" t="inlineStr">
        <is>
          <t>Lati</t>
        </is>
      </c>
      <c r="H441" s="37" t="n">
        <v>14.620057</v>
      </c>
      <c r="I441" s="37" t="n">
        <v>120.580072</v>
      </c>
      <c r="J441" s="8" t="inlineStr">
        <is>
          <t>R</t>
        </is>
      </c>
      <c r="K441" s="36" t="inlineStr">
        <is>
          <t>Class 1-3 / Urban</t>
        </is>
      </c>
      <c r="L441" s="18" t="n">
        <v>1289</v>
      </c>
      <c r="M441" s="20" t="n">
        <v>4.57</v>
      </c>
      <c r="N441" s="18">
        <f>ROUND(L441/M441, 0)</f>
        <v/>
      </c>
      <c r="O441" s="18">
        <f>ROUND(N441*'Methodology &amp; Assumptions'!$B$8, 0)</f>
        <v/>
      </c>
      <c r="P441" s="8" t="inlineStr">
        <is>
          <t>Band n50 (1.5 GHz, 60 MHz)</t>
        </is>
      </c>
      <c r="Q441" s="38">
        <f>ROUNDUP(O441/'Methodology &amp; Assumptions'!$B$9, 0)</f>
        <v/>
      </c>
      <c r="R441" s="39" t="n">
        <v>1</v>
      </c>
      <c r="S441" s="21" t="n">
        <v>0.52</v>
      </c>
      <c r="T441" s="21" t="n">
        <v>0.28</v>
      </c>
      <c r="U441" s="36" t="inlineStr">
        <is>
          <t>Tier 1A (Direct Coloc, &lt;1 km)</t>
        </is>
      </c>
      <c r="V441" s="20" t="n">
        <v>94</v>
      </c>
      <c r="W441" s="20" t="n">
        <v>46.7</v>
      </c>
      <c r="X441" s="20" t="n">
        <v>58</v>
      </c>
      <c r="Y441" s="40">
        <f>ROUND((V441*'Methodology &amp; Assumptions'!$B$6)+(W441*'Methodology &amp; Assumptions'!$B$5)+(X441*'Methodology &amp; Assumptions'!$B$7), 2)</f>
        <v/>
      </c>
    </row>
    <row r="442" ht="19" customHeight="1">
      <c r="A442" s="41" t="n">
        <v>438</v>
      </c>
      <c r="B442" s="41" t="n">
        <v>3438</v>
      </c>
      <c r="C442" s="42" t="inlineStr">
        <is>
          <t>0405630023</t>
        </is>
      </c>
      <c r="D442" s="42" t="inlineStr">
        <is>
          <t>Region IV-A (CALABARZON)</t>
        </is>
      </c>
      <c r="E442" s="42" t="inlineStr">
        <is>
          <t>Quezon</t>
        </is>
      </c>
      <c r="F442" s="42" t="inlineStr">
        <is>
          <t>Pagbilao</t>
        </is>
      </c>
      <c r="G442" s="42" t="inlineStr">
        <is>
          <t>Barangay 5 Santa Catalina</t>
        </is>
      </c>
      <c r="H442" s="43" t="n">
        <v>13.972345</v>
      </c>
      <c r="I442" s="43" t="n">
        <v>121.686595</v>
      </c>
      <c r="J442" s="44" t="inlineStr">
        <is>
          <t>R</t>
        </is>
      </c>
      <c r="K442" s="42" t="inlineStr">
        <is>
          <t>Class 1-3 / Urban</t>
        </is>
      </c>
      <c r="L442" s="23" t="n">
        <v>1240</v>
      </c>
      <c r="M442" s="24" t="n">
        <v>4.46</v>
      </c>
      <c r="N442" s="23">
        <f>ROUND(L442/M442, 0)</f>
        <v/>
      </c>
      <c r="O442" s="23">
        <f>ROUND(N442*'Methodology &amp; Assumptions'!$B$8, 0)</f>
        <v/>
      </c>
      <c r="P442" s="44" t="inlineStr">
        <is>
          <t>Band n50 (1.5 GHz, 60 MHz)</t>
        </is>
      </c>
      <c r="Q442" s="38">
        <f>ROUNDUP(O442/'Methodology &amp; Assumptions'!$B$9, 0)</f>
        <v/>
      </c>
      <c r="R442" s="39" t="n">
        <v>1</v>
      </c>
      <c r="S442" s="25" t="n">
        <v>0.51</v>
      </c>
      <c r="T442" s="25" t="n">
        <v>0.29</v>
      </c>
      <c r="U442" s="42" t="inlineStr">
        <is>
          <t>Tier 1A (Direct Coloc, &lt;1 km)</t>
        </is>
      </c>
      <c r="V442" s="24" t="n">
        <v>94.5</v>
      </c>
      <c r="W442" s="24" t="n">
        <v>46.1</v>
      </c>
      <c r="X442" s="24" t="n">
        <v>58</v>
      </c>
      <c r="Y442" s="45">
        <f>ROUND((V442*'Methodology &amp; Assumptions'!$B$6)+(W442*'Methodology &amp; Assumptions'!$B$5)+(X442*'Methodology &amp; Assumptions'!$B$7), 2)</f>
        <v/>
      </c>
    </row>
    <row r="443" ht="19" customHeight="1">
      <c r="A443" s="35" t="n">
        <v>439</v>
      </c>
      <c r="B443" s="35" t="n">
        <v>3439</v>
      </c>
      <c r="C443" s="36" t="inlineStr">
        <is>
          <t>1130700073</t>
        </is>
      </c>
      <c r="D443" s="36" t="inlineStr">
        <is>
          <t>Region XI (Davao Region)</t>
        </is>
      </c>
      <c r="E443" s="36" t="inlineStr">
        <is>
          <t>Davao del Sur</t>
        </is>
      </c>
      <c r="F443" s="36" t="inlineStr">
        <is>
          <t>City of Davao</t>
        </is>
      </c>
      <c r="G443" s="36" t="inlineStr">
        <is>
          <t>Marilog</t>
        </is>
      </c>
      <c r="H443" s="37" t="n">
        <v>7.29592</v>
      </c>
      <c r="I443" s="37" t="n">
        <v>125.302042</v>
      </c>
      <c r="J443" s="8" t="inlineStr">
        <is>
          <t>U</t>
        </is>
      </c>
      <c r="K443" s="36" t="inlineStr">
        <is>
          <t>Class 1-3 / Urban</t>
        </is>
      </c>
      <c r="L443" s="18" t="n">
        <v>19433</v>
      </c>
      <c r="M443" s="20" t="n">
        <v>4.1</v>
      </c>
      <c r="N443" s="18">
        <f>ROUND(L443/M443, 0)</f>
        <v/>
      </c>
      <c r="O443" s="18">
        <f>ROUND(N443*'Methodology &amp; Assumptions'!$B$8, 0)</f>
        <v/>
      </c>
      <c r="P443" s="8" t="inlineStr">
        <is>
          <t>Band n50 (1.5 GHz, 60 MHz)</t>
        </is>
      </c>
      <c r="Q443" s="38">
        <f>ROUNDUP(O443/'Methodology &amp; Assumptions'!$B$9, 0)</f>
        <v/>
      </c>
      <c r="R443" s="39" t="n">
        <v>1</v>
      </c>
      <c r="S443" s="21" t="n">
        <v>1.72</v>
      </c>
      <c r="T443" s="21" t="n">
        <v>0.25</v>
      </c>
      <c r="U443" s="36" t="inlineStr">
        <is>
          <t>Tier 1B (Micro Drop, 1-3 km)</t>
        </is>
      </c>
      <c r="V443" s="20" t="n">
        <v>66.3</v>
      </c>
      <c r="W443" s="20" t="n">
        <v>100</v>
      </c>
      <c r="X443" s="20" t="n">
        <v>28</v>
      </c>
      <c r="Y443" s="40">
        <f>ROUND((V443*'Methodology &amp; Assumptions'!$B$6)+(W443*'Methodology &amp; Assumptions'!$B$5)+(X443*'Methodology &amp; Assumptions'!$B$7), 2)</f>
        <v/>
      </c>
    </row>
    <row r="444" ht="19" customHeight="1">
      <c r="A444" s="41" t="n">
        <v>440</v>
      </c>
      <c r="B444" s="41" t="n">
        <v>3440</v>
      </c>
      <c r="C444" s="42" t="inlineStr">
        <is>
          <t>0301420048</t>
        </is>
      </c>
      <c r="D444" s="42" t="inlineStr">
        <is>
          <t>Region III (Central Luzon)</t>
        </is>
      </c>
      <c r="E444" s="42" t="inlineStr">
        <is>
          <t>Bulacan</t>
        </is>
      </c>
      <c r="F444" s="42" t="inlineStr">
        <is>
          <t>City of San Jose Del Monte</t>
        </is>
      </c>
      <c r="G444" s="42" t="inlineStr">
        <is>
          <t>San Martin IV</t>
        </is>
      </c>
      <c r="H444" s="43" t="n">
        <v>14.860976</v>
      </c>
      <c r="I444" s="43" t="n">
        <v>121.05286</v>
      </c>
      <c r="J444" s="44" t="inlineStr">
        <is>
          <t>R</t>
        </is>
      </c>
      <c r="K444" s="42" t="inlineStr">
        <is>
          <t>Class 1-3 / Urban</t>
        </is>
      </c>
      <c r="L444" s="23" t="n">
        <v>4085</v>
      </c>
      <c r="M444" s="24" t="n">
        <v>4.1</v>
      </c>
      <c r="N444" s="23">
        <f>ROUND(L444/M444, 0)</f>
        <v/>
      </c>
      <c r="O444" s="23">
        <f>ROUND(N444*'Methodology &amp; Assumptions'!$B$8, 0)</f>
        <v/>
      </c>
      <c r="P444" s="44" t="inlineStr">
        <is>
          <t>Band n50 (1.5 GHz, 60 MHz)</t>
        </is>
      </c>
      <c r="Q444" s="38">
        <f>ROUNDUP(O444/'Methodology &amp; Assumptions'!$B$9, 0)</f>
        <v/>
      </c>
      <c r="R444" s="39" t="n">
        <v>1</v>
      </c>
      <c r="S444" s="25" t="n">
        <v>2.7</v>
      </c>
      <c r="T444" s="25" t="n">
        <v>3.58</v>
      </c>
      <c r="U444" s="42" t="inlineStr">
        <is>
          <t>Tier 1B (Micro Drop, 1-3 km)</t>
        </is>
      </c>
      <c r="V444" s="24" t="n">
        <v>40.6</v>
      </c>
      <c r="W444" s="24" t="n">
        <v>100</v>
      </c>
      <c r="X444" s="24" t="n">
        <v>58</v>
      </c>
      <c r="Y444" s="45">
        <f>ROUND((V444*'Methodology &amp; Assumptions'!$B$6)+(W444*'Methodology &amp; Assumptions'!$B$5)+(X444*'Methodology &amp; Assumptions'!$B$7), 2)</f>
        <v/>
      </c>
    </row>
    <row r="445" ht="19" customHeight="1">
      <c r="A445" s="35" t="n">
        <v>441</v>
      </c>
      <c r="B445" s="35" t="n">
        <v>3441</v>
      </c>
      <c r="C445" s="36" t="inlineStr">
        <is>
          <t>0201513021</t>
        </is>
      </c>
      <c r="D445" s="36" t="inlineStr">
        <is>
          <t>Region II (Cagayan Valley)</t>
        </is>
      </c>
      <c r="E445" s="36" t="inlineStr">
        <is>
          <t>Cagayan</t>
        </is>
      </c>
      <c r="F445" s="36" t="inlineStr">
        <is>
          <t>Gattaran</t>
        </is>
      </c>
      <c r="G445" s="36" t="inlineStr">
        <is>
          <t>Centro Sur</t>
        </is>
      </c>
      <c r="H445" s="37" t="n">
        <v>18.056371</v>
      </c>
      <c r="I445" s="37" t="n">
        <v>121.64257</v>
      </c>
      <c r="J445" s="8" t="inlineStr">
        <is>
          <t>R</t>
        </is>
      </c>
      <c r="K445" s="36" t="inlineStr">
        <is>
          <t>Class 1-3 / Urban</t>
        </is>
      </c>
      <c r="L445" s="18" t="n">
        <v>2131</v>
      </c>
      <c r="M445" s="20" t="n">
        <v>4.38</v>
      </c>
      <c r="N445" s="18">
        <f>ROUND(L445/M445, 0)</f>
        <v/>
      </c>
      <c r="O445" s="18">
        <f>ROUND(N445*'Methodology &amp; Assumptions'!$B$8, 0)</f>
        <v/>
      </c>
      <c r="P445" s="8" t="inlineStr">
        <is>
          <t>Band n50 (1.5 GHz, 60 MHz)</t>
        </is>
      </c>
      <c r="Q445" s="38">
        <f>ROUNDUP(O445/'Methodology &amp; Assumptions'!$B$9, 0)</f>
        <v/>
      </c>
      <c r="R445" s="39" t="n">
        <v>1</v>
      </c>
      <c r="S445" s="21" t="n">
        <v>1.17</v>
      </c>
      <c r="T445" s="21" t="n">
        <v>0.25</v>
      </c>
      <c r="U445" s="36" t="inlineStr">
        <is>
          <t>Tier 1B (Micro Drop, 1-3 km)</t>
        </is>
      </c>
      <c r="V445" s="20" t="n">
        <v>77.7</v>
      </c>
      <c r="W445" s="20" t="n">
        <v>62.9</v>
      </c>
      <c r="X445" s="20" t="n">
        <v>58</v>
      </c>
      <c r="Y445" s="40">
        <f>ROUND((V445*'Methodology &amp; Assumptions'!$B$6)+(W445*'Methodology &amp; Assumptions'!$B$5)+(X445*'Methodology &amp; Assumptions'!$B$7), 2)</f>
        <v/>
      </c>
    </row>
    <row r="446" ht="19" customHeight="1">
      <c r="A446" s="41" t="n">
        <v>442</v>
      </c>
      <c r="B446" s="41" t="n">
        <v>3442</v>
      </c>
      <c r="C446" s="42" t="inlineStr">
        <is>
          <t>0203136024</t>
        </is>
      </c>
      <c r="D446" s="42" t="inlineStr">
        <is>
          <t>Region II (Cagayan Valley)</t>
        </is>
      </c>
      <c r="E446" s="42" t="inlineStr">
        <is>
          <t>Isabela</t>
        </is>
      </c>
      <c r="F446" s="42" t="inlineStr">
        <is>
          <t>Santo Tomas</t>
        </is>
      </c>
      <c r="G446" s="42" t="inlineStr">
        <is>
          <t>San Roque</t>
        </is>
      </c>
      <c r="H446" s="43" t="n">
        <v>17.387576</v>
      </c>
      <c r="I446" s="43" t="n">
        <v>121.775496</v>
      </c>
      <c r="J446" s="44" t="inlineStr">
        <is>
          <t>R</t>
        </is>
      </c>
      <c r="K446" s="42" t="inlineStr">
        <is>
          <t>3rd</t>
        </is>
      </c>
      <c r="L446" s="23" t="n">
        <v>1198</v>
      </c>
      <c r="M446" s="24" t="n">
        <v>4.61</v>
      </c>
      <c r="N446" s="23">
        <f>ROUND(L446/M446, 0)</f>
        <v/>
      </c>
      <c r="O446" s="23">
        <f>ROUND(N446*'Methodology &amp; Assumptions'!$B$8, 0)</f>
        <v/>
      </c>
      <c r="P446" s="44" t="inlineStr">
        <is>
          <t>Band n50 (1.5 GHz, 60 MHz)</t>
        </is>
      </c>
      <c r="Q446" s="38">
        <f>ROUNDUP(O446/'Methodology &amp; Assumptions'!$B$9, 0)</f>
        <v/>
      </c>
      <c r="R446" s="39" t="n">
        <v>1</v>
      </c>
      <c r="S446" s="25" t="n">
        <v>0.46</v>
      </c>
      <c r="T446" s="25" t="n">
        <v>0.01</v>
      </c>
      <c r="U446" s="42" t="inlineStr">
        <is>
          <t>Tier 1A (Direct Coloc, &lt;1 km)</t>
        </is>
      </c>
      <c r="V446" s="24" t="n">
        <v>95.8</v>
      </c>
      <c r="W446" s="24" t="n">
        <v>44.8</v>
      </c>
      <c r="X446" s="24" t="n">
        <v>58</v>
      </c>
      <c r="Y446" s="45">
        <f>ROUND((V446*'Methodology &amp; Assumptions'!$B$6)+(W446*'Methodology &amp; Assumptions'!$B$5)+(X446*'Methodology &amp; Assumptions'!$B$7), 2)</f>
        <v/>
      </c>
    </row>
    <row r="447" ht="19" customHeight="1">
      <c r="A447" s="35" t="n">
        <v>443</v>
      </c>
      <c r="B447" s="35" t="n">
        <v>3443</v>
      </c>
      <c r="C447" s="36" t="inlineStr">
        <is>
          <t>0304927008</t>
        </is>
      </c>
      <c r="D447" s="36" t="inlineStr">
        <is>
          <t>Region III (Central Luzon)</t>
        </is>
      </c>
      <c r="E447" s="36" t="inlineStr">
        <is>
          <t>Nueva Ecija</t>
        </is>
      </c>
      <c r="F447" s="36" t="inlineStr">
        <is>
          <t>San Leonardo</t>
        </is>
      </c>
      <c r="G447" s="36" t="inlineStr">
        <is>
          <t>Mambangnan</t>
        </is>
      </c>
      <c r="H447" s="37" t="n">
        <v>15.351978</v>
      </c>
      <c r="I447" s="37" t="n">
        <v>120.956599</v>
      </c>
      <c r="J447" s="8" t="inlineStr">
        <is>
          <t>U</t>
        </is>
      </c>
      <c r="K447" s="36" t="inlineStr">
        <is>
          <t>Class 1-3 / Urban</t>
        </is>
      </c>
      <c r="L447" s="18" t="n">
        <v>8597</v>
      </c>
      <c r="M447" s="20" t="n">
        <v>4.32</v>
      </c>
      <c r="N447" s="18">
        <f>ROUND(L447/M447, 0)</f>
        <v/>
      </c>
      <c r="O447" s="18">
        <f>ROUND(N447*'Methodology &amp; Assumptions'!$B$8, 0)</f>
        <v/>
      </c>
      <c r="P447" s="8" t="inlineStr">
        <is>
          <t>Band n50 (1.5 GHz, 60 MHz)</t>
        </is>
      </c>
      <c r="Q447" s="38">
        <f>ROUNDUP(O447/'Methodology &amp; Assumptions'!$B$9, 0)</f>
        <v/>
      </c>
      <c r="R447" s="39" t="n">
        <v>1</v>
      </c>
      <c r="S447" s="21" t="n">
        <v>2.5</v>
      </c>
      <c r="T447" s="21" t="n">
        <v>1.89</v>
      </c>
      <c r="U447" s="36" t="inlineStr">
        <is>
          <t>Tier 1B (Micro Drop, 1-3 km)</t>
        </is>
      </c>
      <c r="V447" s="20" t="n">
        <v>53.5</v>
      </c>
      <c r="W447" s="20" t="n">
        <v>100</v>
      </c>
      <c r="X447" s="20" t="n">
        <v>43</v>
      </c>
      <c r="Y447" s="40">
        <f>ROUND((V447*'Methodology &amp; Assumptions'!$B$6)+(W447*'Methodology &amp; Assumptions'!$B$5)+(X447*'Methodology &amp; Assumptions'!$B$7), 2)</f>
        <v/>
      </c>
    </row>
    <row r="448" ht="19" customHeight="1">
      <c r="A448" s="41" t="n">
        <v>444</v>
      </c>
      <c r="B448" s="41" t="n">
        <v>3444</v>
      </c>
      <c r="C448" s="42" t="inlineStr">
        <is>
          <t>0402106038</t>
        </is>
      </c>
      <c r="D448" s="42" t="inlineStr">
        <is>
          <t>Region IV-A (CALABARZON)</t>
        </is>
      </c>
      <c r="E448" s="42" t="inlineStr">
        <is>
          <t>Cavite</t>
        </is>
      </c>
      <c r="F448" s="42" t="inlineStr">
        <is>
          <t>City of Dasmariñas</t>
        </is>
      </c>
      <c r="G448" s="42" t="inlineStr">
        <is>
          <t>San Roque</t>
        </is>
      </c>
      <c r="H448" s="43" t="n">
        <v>14.323554</v>
      </c>
      <c r="I448" s="43" t="n">
        <v>120.968143</v>
      </c>
      <c r="J448" s="44" t="inlineStr">
        <is>
          <t>R</t>
        </is>
      </c>
      <c r="K448" s="42" t="inlineStr">
        <is>
          <t>Class 1-3 / Urban</t>
        </is>
      </c>
      <c r="L448" s="23" t="n">
        <v>2855</v>
      </c>
      <c r="M448" s="24" t="n">
        <v>4.49</v>
      </c>
      <c r="N448" s="23">
        <f>ROUND(L448/M448, 0)</f>
        <v/>
      </c>
      <c r="O448" s="23">
        <f>ROUND(N448*'Methodology &amp; Assumptions'!$B$8, 0)</f>
        <v/>
      </c>
      <c r="P448" s="44" t="inlineStr">
        <is>
          <t>Band n50 (1.5 GHz, 60 MHz)</t>
        </is>
      </c>
      <c r="Q448" s="38">
        <f>ROUNDUP(O448/'Methodology &amp; Assumptions'!$B$9, 0)</f>
        <v/>
      </c>
      <c r="R448" s="39" t="n">
        <v>1</v>
      </c>
      <c r="S448" s="25" t="n">
        <v>1.26</v>
      </c>
      <c r="T448" s="25" t="n">
        <v>2.87</v>
      </c>
      <c r="U448" s="42" t="inlineStr">
        <is>
          <t>Tier 1B (Micro Drop, 1-3 km)</t>
        </is>
      </c>
      <c r="V448" s="24" t="n">
        <v>65.59999999999999</v>
      </c>
      <c r="W448" s="24" t="n">
        <v>74.90000000000001</v>
      </c>
      <c r="X448" s="24" t="n">
        <v>58</v>
      </c>
      <c r="Y448" s="45">
        <f>ROUND((V448*'Methodology &amp; Assumptions'!$B$6)+(W448*'Methodology &amp; Assumptions'!$B$5)+(X448*'Methodology &amp; Assumptions'!$B$7), 2)</f>
        <v/>
      </c>
    </row>
    <row r="449" ht="19" customHeight="1">
      <c r="A449" s="35" t="n">
        <v>445</v>
      </c>
      <c r="B449" s="35" t="n">
        <v>3445</v>
      </c>
      <c r="C449" s="36" t="inlineStr">
        <is>
          <t>0304903079</t>
        </is>
      </c>
      <c r="D449" s="36" t="inlineStr">
        <is>
          <t>Region III (Central Luzon)</t>
        </is>
      </c>
      <c r="E449" s="36" t="inlineStr">
        <is>
          <t>Nueva Ecija</t>
        </is>
      </c>
      <c r="F449" s="36" t="inlineStr">
        <is>
          <t>City of Cabanatuan</t>
        </is>
      </c>
      <c r="G449" s="36" t="inlineStr">
        <is>
          <t>Sumacab Norte</t>
        </is>
      </c>
      <c r="H449" s="37" t="n">
        <v>15.460233</v>
      </c>
      <c r="I449" s="37" t="n">
        <v>120.934559</v>
      </c>
      <c r="J449" s="8" t="inlineStr">
        <is>
          <t>R</t>
        </is>
      </c>
      <c r="K449" s="36" t="inlineStr">
        <is>
          <t>Class 1-3 / Urban</t>
        </is>
      </c>
      <c r="L449" s="18" t="n">
        <v>4869</v>
      </c>
      <c r="M449" s="20" t="n">
        <v>4.32</v>
      </c>
      <c r="N449" s="18">
        <f>ROUND(L449/M449, 0)</f>
        <v/>
      </c>
      <c r="O449" s="18">
        <f>ROUND(N449*'Methodology &amp; Assumptions'!$B$8, 0)</f>
        <v/>
      </c>
      <c r="P449" s="8" t="inlineStr">
        <is>
          <t>Band n50 (1.5 GHz, 60 MHz)</t>
        </is>
      </c>
      <c r="Q449" s="38">
        <f>ROUNDUP(O449/'Methodology &amp; Assumptions'!$B$9, 0)</f>
        <v/>
      </c>
      <c r="R449" s="39" t="n">
        <v>1</v>
      </c>
      <c r="S449" s="21" t="n">
        <v>3.56</v>
      </c>
      <c r="T449" s="21" t="n">
        <v>1.58</v>
      </c>
      <c r="U449" s="36" t="inlineStr">
        <is>
          <t>Tier 2 (Fiber Corridor / Lateral, 3-5 km)</t>
        </is>
      </c>
      <c r="V449" s="20" t="n">
        <v>40.5</v>
      </c>
      <c r="W449" s="20" t="n">
        <v>100</v>
      </c>
      <c r="X449" s="20" t="n">
        <v>58</v>
      </c>
      <c r="Y449" s="40">
        <f>ROUND((V449*'Methodology &amp; Assumptions'!$B$6)+(W449*'Methodology &amp; Assumptions'!$B$5)+(X449*'Methodology &amp; Assumptions'!$B$7), 2)</f>
        <v/>
      </c>
    </row>
    <row r="450" ht="19" customHeight="1">
      <c r="A450" s="41" t="n">
        <v>446</v>
      </c>
      <c r="B450" s="41" t="n">
        <v>3446</v>
      </c>
      <c r="C450" s="42" t="inlineStr">
        <is>
          <t>0403411013</t>
        </is>
      </c>
      <c r="D450" s="42" t="inlineStr">
        <is>
          <t>Region IV-A (CALABARZON)</t>
        </is>
      </c>
      <c r="E450" s="42" t="inlineStr">
        <is>
          <t>Laguna</t>
        </is>
      </c>
      <c r="F450" s="42" t="inlineStr">
        <is>
          <t>Los Baños</t>
        </is>
      </c>
      <c r="G450" s="42" t="inlineStr">
        <is>
          <t>Tadlak</t>
        </is>
      </c>
      <c r="H450" s="43" t="n">
        <v>14.181607</v>
      </c>
      <c r="I450" s="43" t="n">
        <v>121.209436</v>
      </c>
      <c r="J450" s="44" t="inlineStr">
        <is>
          <t>R</t>
        </is>
      </c>
      <c r="K450" s="42" t="inlineStr">
        <is>
          <t>Class 1-3 / Urban</t>
        </is>
      </c>
      <c r="L450" s="23" t="n">
        <v>4043</v>
      </c>
      <c r="M450" s="24" t="n">
        <v>4.2</v>
      </c>
      <c r="N450" s="23">
        <f>ROUND(L450/M450, 0)</f>
        <v/>
      </c>
      <c r="O450" s="23">
        <f>ROUND(N450*'Methodology &amp; Assumptions'!$B$8, 0)</f>
        <v/>
      </c>
      <c r="P450" s="44" t="inlineStr">
        <is>
          <t>Band n50 (1.5 GHz, 60 MHz)</t>
        </is>
      </c>
      <c r="Q450" s="38">
        <f>ROUNDUP(O450/'Methodology &amp; Assumptions'!$B$9, 0)</f>
        <v/>
      </c>
      <c r="R450" s="39" t="n">
        <v>1</v>
      </c>
      <c r="S450" s="25" t="n">
        <v>3.56</v>
      </c>
      <c r="T450" s="25" t="n">
        <v>0.93</v>
      </c>
      <c r="U450" s="42" t="inlineStr">
        <is>
          <t>Tier 2 (Fiber Corridor / Lateral, 3-5 km)</t>
        </is>
      </c>
      <c r="V450" s="24" t="n">
        <v>40.5</v>
      </c>
      <c r="W450" s="24" t="n">
        <v>100</v>
      </c>
      <c r="X450" s="24" t="n">
        <v>58</v>
      </c>
      <c r="Y450" s="45">
        <f>ROUND((V450*'Methodology &amp; Assumptions'!$B$6)+(W450*'Methodology &amp; Assumptions'!$B$5)+(X450*'Methodology &amp; Assumptions'!$B$7), 2)</f>
        <v/>
      </c>
    </row>
    <row r="451" ht="19" customHeight="1">
      <c r="A451" s="35" t="n">
        <v>447</v>
      </c>
      <c r="B451" s="35" t="n">
        <v>3447</v>
      </c>
      <c r="C451" s="36" t="inlineStr">
        <is>
          <t>0304903096</t>
        </is>
      </c>
      <c r="D451" s="36" t="inlineStr">
        <is>
          <t>Region III (Central Luzon)</t>
        </is>
      </c>
      <c r="E451" s="36" t="inlineStr">
        <is>
          <t>Nueva Ecija</t>
        </is>
      </c>
      <c r="F451" s="36" t="inlineStr">
        <is>
          <t>City of Cabanatuan</t>
        </is>
      </c>
      <c r="G451" s="36" t="inlineStr">
        <is>
          <t>Caridad</t>
        </is>
      </c>
      <c r="H451" s="37" t="n">
        <v>15.482254</v>
      </c>
      <c r="I451" s="37" t="n">
        <v>120.970593</v>
      </c>
      <c r="J451" s="8" t="inlineStr">
        <is>
          <t>R</t>
        </is>
      </c>
      <c r="K451" s="36" t="inlineStr">
        <is>
          <t>Class 1-3 / Urban</t>
        </is>
      </c>
      <c r="L451" s="18" t="n">
        <v>1905</v>
      </c>
      <c r="M451" s="20" t="n">
        <v>4.32</v>
      </c>
      <c r="N451" s="18">
        <f>ROUND(L451/M451, 0)</f>
        <v/>
      </c>
      <c r="O451" s="18">
        <f>ROUND(N451*'Methodology &amp; Assumptions'!$B$8, 0)</f>
        <v/>
      </c>
      <c r="P451" s="8" t="inlineStr">
        <is>
          <t>Band n50 (1.5 GHz, 60 MHz)</t>
        </is>
      </c>
      <c r="Q451" s="38">
        <f>ROUNDUP(O451/'Methodology &amp; Assumptions'!$B$9, 0)</f>
        <v/>
      </c>
      <c r="R451" s="39" t="n">
        <v>1</v>
      </c>
      <c r="S451" s="21" t="n">
        <v>1.01</v>
      </c>
      <c r="T451" s="21" t="n">
        <v>0.44</v>
      </c>
      <c r="U451" s="36" t="inlineStr">
        <is>
          <t>Tier 1B (Micro Drop, 1-3 km)</t>
        </is>
      </c>
      <c r="V451" s="20" t="n">
        <v>81.3</v>
      </c>
      <c r="W451" s="20" t="n">
        <v>59.2</v>
      </c>
      <c r="X451" s="20" t="n">
        <v>58</v>
      </c>
      <c r="Y451" s="40">
        <f>ROUND((V451*'Methodology &amp; Assumptions'!$B$6)+(W451*'Methodology &amp; Assumptions'!$B$5)+(X451*'Methodology &amp; Assumptions'!$B$7), 2)</f>
        <v/>
      </c>
    </row>
    <row r="452" ht="19" customHeight="1">
      <c r="A452" s="41" t="n">
        <v>448</v>
      </c>
      <c r="B452" s="41" t="n">
        <v>3448</v>
      </c>
      <c r="C452" s="42" t="inlineStr">
        <is>
          <t>0405607014</t>
        </is>
      </c>
      <c r="D452" s="42" t="inlineStr">
        <is>
          <t>Region IV-A (CALABARZON)</t>
        </is>
      </c>
      <c r="E452" s="42" t="inlineStr">
        <is>
          <t>Quezon</t>
        </is>
      </c>
      <c r="F452" s="42" t="inlineStr">
        <is>
          <t>Calauag</t>
        </is>
      </c>
      <c r="G452" s="42" t="inlineStr">
        <is>
          <t>Barangay II</t>
        </is>
      </c>
      <c r="H452" s="43" t="n">
        <v>13.957271</v>
      </c>
      <c r="I452" s="43" t="n">
        <v>122.286301</v>
      </c>
      <c r="J452" s="44" t="inlineStr">
        <is>
          <t>R</t>
        </is>
      </c>
      <c r="K452" s="42" t="inlineStr">
        <is>
          <t>Class 1-3 / Urban</t>
        </is>
      </c>
      <c r="L452" s="23" t="n">
        <v>926</v>
      </c>
      <c r="M452" s="24" t="n">
        <v>4.46</v>
      </c>
      <c r="N452" s="23">
        <f>ROUND(L452/M452, 0)</f>
        <v/>
      </c>
      <c r="O452" s="23">
        <f>ROUND(N452*'Methodology &amp; Assumptions'!$B$8, 0)</f>
        <v/>
      </c>
      <c r="P452" s="44" t="inlineStr">
        <is>
          <t>Band n50 (1.5 GHz, 60 MHz)</t>
        </is>
      </c>
      <c r="Q452" s="38">
        <f>ROUNDUP(O452/'Methodology &amp; Assumptions'!$B$9, 0)</f>
        <v/>
      </c>
      <c r="R452" s="39" t="n">
        <v>1</v>
      </c>
      <c r="S452" s="25" t="n">
        <v>0.09</v>
      </c>
      <c r="T452" s="25" t="n">
        <v>0.07000000000000001</v>
      </c>
      <c r="U452" s="42" t="inlineStr">
        <is>
          <t>Tier 1A (Direct Coloc, &lt;1 km)</t>
        </is>
      </c>
      <c r="V452" s="24" t="n">
        <v>100</v>
      </c>
      <c r="W452" s="24" t="n">
        <v>40.5</v>
      </c>
      <c r="X452" s="24" t="n">
        <v>58</v>
      </c>
      <c r="Y452" s="45">
        <f>ROUND((V452*'Methodology &amp; Assumptions'!$B$6)+(W452*'Methodology &amp; Assumptions'!$B$5)+(X452*'Methodology &amp; Assumptions'!$B$7), 2)</f>
        <v/>
      </c>
    </row>
    <row r="453" ht="19" customHeight="1">
      <c r="A453" s="35" t="n">
        <v>449</v>
      </c>
      <c r="B453" s="35" t="n">
        <v>3449</v>
      </c>
      <c r="C453" s="36" t="inlineStr">
        <is>
          <t>0990101019</t>
        </is>
      </c>
      <c r="D453" s="36" t="inlineStr">
        <is>
          <t>Region IX (Zamboanga Peninsula)</t>
        </is>
      </c>
      <c r="E453" s="36" t="inlineStr">
        <is>
          <t>City of Isabela (Not a Province)</t>
        </is>
      </c>
      <c r="F453" s="36" t="inlineStr">
        <is>
          <t>City of Isabela</t>
        </is>
      </c>
      <c r="G453" s="36" t="inlineStr">
        <is>
          <t>Kaumpurnah Zone II</t>
        </is>
      </c>
      <c r="H453" s="37" t="n">
        <v>16.975934</v>
      </c>
      <c r="I453" s="37" t="n">
        <v>121.775462</v>
      </c>
      <c r="J453" s="8" t="inlineStr">
        <is>
          <t>R</t>
        </is>
      </c>
      <c r="K453" s="36" t="inlineStr">
        <is>
          <t>Class 1-3 / Urban</t>
        </is>
      </c>
      <c r="L453" s="18" t="n">
        <v>3888</v>
      </c>
      <c r="M453" s="20" t="n">
        <v>4.3</v>
      </c>
      <c r="N453" s="18">
        <f>ROUND(L453/M453, 0)</f>
        <v/>
      </c>
      <c r="O453" s="18">
        <f>ROUND(N453*'Methodology &amp; Assumptions'!$B$8, 0)</f>
        <v/>
      </c>
      <c r="P453" s="8" t="inlineStr">
        <is>
          <t>Band n50 (1.5 GHz, 60 MHz)</t>
        </is>
      </c>
      <c r="Q453" s="38">
        <f>ROUNDUP(O453/'Methodology &amp; Assumptions'!$B$9, 0)</f>
        <v/>
      </c>
      <c r="R453" s="39" t="n">
        <v>1</v>
      </c>
      <c r="S453" s="21" t="n">
        <v>4.63</v>
      </c>
      <c r="T453" s="21" t="n">
        <v>0.31</v>
      </c>
      <c r="U453" s="36" t="inlineStr">
        <is>
          <t>Tier 2 (Fiber Corridor / Lateral, 3-5 km)</t>
        </is>
      </c>
      <c r="V453" s="20" t="n">
        <v>31.4</v>
      </c>
      <c r="W453" s="20" t="n">
        <v>96.3</v>
      </c>
      <c r="X453" s="20" t="n">
        <v>73</v>
      </c>
      <c r="Y453" s="40">
        <f>ROUND((V453*'Methodology &amp; Assumptions'!$B$6)+(W453*'Methodology &amp; Assumptions'!$B$5)+(X453*'Methodology &amp; Assumptions'!$B$7), 2)</f>
        <v/>
      </c>
    </row>
    <row r="454" ht="19" customHeight="1">
      <c r="A454" s="41" t="n">
        <v>450</v>
      </c>
      <c r="B454" s="41" t="n">
        <v>3450</v>
      </c>
      <c r="C454" s="42" t="inlineStr">
        <is>
          <t>0601902017</t>
        </is>
      </c>
      <c r="D454" s="42" t="inlineStr">
        <is>
          <t>Region VI (Western Visayas)</t>
        </is>
      </c>
      <c r="E454" s="42" t="inlineStr">
        <is>
          <t>Capiz</t>
        </is>
      </c>
      <c r="F454" s="42" t="inlineStr">
        <is>
          <t>Dao</t>
        </is>
      </c>
      <c r="G454" s="42" t="inlineStr">
        <is>
          <t>Nasunogan</t>
        </is>
      </c>
      <c r="H454" s="43" t="n">
        <v>11.380829</v>
      </c>
      <c r="I454" s="43" t="n">
        <v>122.675132</v>
      </c>
      <c r="J454" s="44" t="inlineStr">
        <is>
          <t>R</t>
        </is>
      </c>
      <c r="K454" s="42" t="inlineStr">
        <is>
          <t>3rd</t>
        </is>
      </c>
      <c r="L454" s="23" t="n">
        <v>2836</v>
      </c>
      <c r="M454" s="24" t="n">
        <v>4.19</v>
      </c>
      <c r="N454" s="23">
        <f>ROUND(L454/M454, 0)</f>
        <v/>
      </c>
      <c r="O454" s="23">
        <f>ROUND(N454*'Methodology &amp; Assumptions'!$B$8, 0)</f>
        <v/>
      </c>
      <c r="P454" s="44" t="inlineStr">
        <is>
          <t>Band n50 (1.5 GHz, 60 MHz)</t>
        </is>
      </c>
      <c r="Q454" s="38">
        <f>ROUNDUP(O454/'Methodology &amp; Assumptions'!$B$9, 0)</f>
        <v/>
      </c>
      <c r="R454" s="39" t="n">
        <v>1</v>
      </c>
      <c r="S454" s="25" t="n">
        <v>1.94</v>
      </c>
      <c r="T454" s="25" t="n">
        <v>0.31</v>
      </c>
      <c r="U454" s="42" t="inlineStr">
        <is>
          <t>Tier 1B (Micro Drop, 1-3 km)</t>
        </is>
      </c>
      <c r="V454" s="24" t="n">
        <v>62.4</v>
      </c>
      <c r="W454" s="24" t="n">
        <v>78.09999999999999</v>
      </c>
      <c r="X454" s="24" t="n">
        <v>58</v>
      </c>
      <c r="Y454" s="45">
        <f>ROUND((V454*'Methodology &amp; Assumptions'!$B$6)+(W454*'Methodology &amp; Assumptions'!$B$5)+(X454*'Methodology &amp; Assumptions'!$B$7), 2)</f>
        <v/>
      </c>
    </row>
    <row r="455" ht="19" customHeight="1">
      <c r="A455" s="35" t="n">
        <v>451</v>
      </c>
      <c r="B455" s="35" t="n">
        <v>3451</v>
      </c>
      <c r="C455" s="36" t="inlineStr">
        <is>
          <t>0304928031</t>
        </is>
      </c>
      <c r="D455" s="36" t="inlineStr">
        <is>
          <t>Region III (Central Luzon)</t>
        </is>
      </c>
      <c r="E455" s="36" t="inlineStr">
        <is>
          <t>Nueva Ecija</t>
        </is>
      </c>
      <c r="F455" s="36" t="inlineStr">
        <is>
          <t>Santa Rosa</t>
        </is>
      </c>
      <c r="G455" s="36" t="inlineStr">
        <is>
          <t>Mabini</t>
        </is>
      </c>
      <c r="H455" s="37" t="n">
        <v>15.433481</v>
      </c>
      <c r="I455" s="37" t="n">
        <v>120.936706</v>
      </c>
      <c r="J455" s="8" t="inlineStr">
        <is>
          <t>R</t>
        </is>
      </c>
      <c r="K455" s="36" t="inlineStr">
        <is>
          <t>Class 1-3 / Urban</t>
        </is>
      </c>
      <c r="L455" s="18" t="n">
        <v>1819</v>
      </c>
      <c r="M455" s="20" t="n">
        <v>4.32</v>
      </c>
      <c r="N455" s="18">
        <f>ROUND(L455/M455, 0)</f>
        <v/>
      </c>
      <c r="O455" s="18">
        <f>ROUND(N455*'Methodology &amp; Assumptions'!$B$8, 0)</f>
        <v/>
      </c>
      <c r="P455" s="8" t="inlineStr">
        <is>
          <t>Band n50 (1.5 GHz, 60 MHz)</t>
        </is>
      </c>
      <c r="Q455" s="38">
        <f>ROUNDUP(O455/'Methodology &amp; Assumptions'!$B$9, 0)</f>
        <v/>
      </c>
      <c r="R455" s="39" t="n">
        <v>1</v>
      </c>
      <c r="S455" s="21" t="n">
        <v>0.95</v>
      </c>
      <c r="T455" s="21" t="n">
        <v>0.35</v>
      </c>
      <c r="U455" s="36" t="inlineStr">
        <is>
          <t>Tier 1A (Direct Coloc, &lt;1 km)</t>
        </is>
      </c>
      <c r="V455" s="20" t="n">
        <v>82.90000000000001</v>
      </c>
      <c r="W455" s="20" t="n">
        <v>57.6</v>
      </c>
      <c r="X455" s="20" t="n">
        <v>58</v>
      </c>
      <c r="Y455" s="40">
        <f>ROUND((V455*'Methodology &amp; Assumptions'!$B$6)+(W455*'Methodology &amp; Assumptions'!$B$5)+(X455*'Methodology &amp; Assumptions'!$B$7), 2)</f>
        <v/>
      </c>
    </row>
    <row r="456" ht="19" customHeight="1">
      <c r="A456" s="41" t="n">
        <v>452</v>
      </c>
      <c r="B456" s="41" t="n">
        <v>3452</v>
      </c>
      <c r="C456" s="42" t="inlineStr">
        <is>
          <t>0401012047</t>
        </is>
      </c>
      <c r="D456" s="42" t="inlineStr">
        <is>
          <t>Region IV-A (CALABARZON)</t>
        </is>
      </c>
      <c r="E456" s="42" t="inlineStr">
        <is>
          <t>Batangas</t>
        </is>
      </c>
      <c r="F456" s="42" t="inlineStr">
        <is>
          <t>Lemery</t>
        </is>
      </c>
      <c r="G456" s="42" t="inlineStr">
        <is>
          <t>Wawa Ilaya</t>
        </is>
      </c>
      <c r="H456" s="43" t="n">
        <v>13.874572</v>
      </c>
      <c r="I456" s="43" t="n">
        <v>120.914837</v>
      </c>
      <c r="J456" s="44" t="inlineStr">
        <is>
          <t>R</t>
        </is>
      </c>
      <c r="K456" s="42" t="inlineStr">
        <is>
          <t>Class 1-3 / Urban</t>
        </is>
      </c>
      <c r="L456" s="23" t="n">
        <v>1456</v>
      </c>
      <c r="M456" s="24" t="n">
        <v>4.62</v>
      </c>
      <c r="N456" s="23">
        <f>ROUND(L456/M456, 0)</f>
        <v/>
      </c>
      <c r="O456" s="23">
        <f>ROUND(N456*'Methodology &amp; Assumptions'!$B$8, 0)</f>
        <v/>
      </c>
      <c r="P456" s="44" t="inlineStr">
        <is>
          <t>Band n50 (1.5 GHz, 60 MHz)</t>
        </is>
      </c>
      <c r="Q456" s="38">
        <f>ROUNDUP(O456/'Methodology &amp; Assumptions'!$B$9, 0)</f>
        <v/>
      </c>
      <c r="R456" s="39" t="n">
        <v>1</v>
      </c>
      <c r="S456" s="25" t="n">
        <v>0.27</v>
      </c>
      <c r="T456" s="25" t="n">
        <v>2.44</v>
      </c>
      <c r="U456" s="42" t="inlineStr">
        <is>
          <t>Tier 1A (Direct Coloc, &lt;1 km)</t>
        </is>
      </c>
      <c r="V456" s="24" t="n">
        <v>91.40000000000001</v>
      </c>
      <c r="W456" s="24" t="n">
        <v>49.1</v>
      </c>
      <c r="X456" s="24" t="n">
        <v>58</v>
      </c>
      <c r="Y456" s="45">
        <f>ROUND((V456*'Methodology &amp; Assumptions'!$B$6)+(W456*'Methodology &amp; Assumptions'!$B$5)+(X456*'Methodology &amp; Assumptions'!$B$7), 2)</f>
        <v/>
      </c>
    </row>
    <row r="457" ht="19" customHeight="1">
      <c r="A457" s="35" t="n">
        <v>453</v>
      </c>
      <c r="B457" s="35" t="n">
        <v>3453</v>
      </c>
      <c r="C457" s="36" t="inlineStr">
        <is>
          <t>0500516011</t>
        </is>
      </c>
      <c r="D457" s="36" t="inlineStr">
        <is>
          <t>Region V (Bicol Region)</t>
        </is>
      </c>
      <c r="E457" s="36" t="inlineStr">
        <is>
          <t>Albay</t>
        </is>
      </c>
      <c r="F457" s="36" t="inlineStr">
        <is>
          <t>Santo Domingo</t>
        </is>
      </c>
      <c r="G457" s="36" t="inlineStr">
        <is>
          <t>San Vicente Pob.</t>
        </is>
      </c>
      <c r="H457" s="37" t="n">
        <v>13.233591</v>
      </c>
      <c r="I457" s="37" t="n">
        <v>123.780728</v>
      </c>
      <c r="J457" s="8" t="inlineStr">
        <is>
          <t>R</t>
        </is>
      </c>
      <c r="K457" s="36" t="inlineStr">
        <is>
          <t>2nd</t>
        </is>
      </c>
      <c r="L457" s="18" t="n">
        <v>1352</v>
      </c>
      <c r="M457" s="20" t="n">
        <v>4.65</v>
      </c>
      <c r="N457" s="18">
        <f>ROUND(L457/M457, 0)</f>
        <v/>
      </c>
      <c r="O457" s="18">
        <f>ROUND(N457*'Methodology &amp; Assumptions'!$B$8, 0)</f>
        <v/>
      </c>
      <c r="P457" s="8" t="inlineStr">
        <is>
          <t>Band n50 (1.5 GHz, 60 MHz)</t>
        </is>
      </c>
      <c r="Q457" s="38">
        <f>ROUNDUP(O457/'Methodology &amp; Assumptions'!$B$9, 0)</f>
        <v/>
      </c>
      <c r="R457" s="39" t="n">
        <v>1</v>
      </c>
      <c r="S457" s="21" t="n">
        <v>0.55</v>
      </c>
      <c r="T457" s="21" t="n">
        <v>0.61</v>
      </c>
      <c r="U457" s="36" t="inlineStr">
        <is>
          <t>Tier 1A (Direct Coloc, &lt;1 km)</t>
        </is>
      </c>
      <c r="V457" s="20" t="n">
        <v>93.3</v>
      </c>
      <c r="W457" s="20" t="n">
        <v>47.2</v>
      </c>
      <c r="X457" s="20" t="n">
        <v>58</v>
      </c>
      <c r="Y457" s="40">
        <f>ROUND((V457*'Methodology &amp; Assumptions'!$B$6)+(W457*'Methodology &amp; Assumptions'!$B$5)+(X457*'Methodology &amp; Assumptions'!$B$7), 2)</f>
        <v/>
      </c>
    </row>
    <row r="458" ht="19" customHeight="1">
      <c r="A458" s="41" t="n">
        <v>454</v>
      </c>
      <c r="B458" s="41" t="n">
        <v>3454</v>
      </c>
      <c r="C458" s="42" t="inlineStr">
        <is>
          <t>0730600031</t>
        </is>
      </c>
      <c r="D458" s="42" t="inlineStr">
        <is>
          <t>Region VII (Central Visayas)</t>
        </is>
      </c>
      <c r="E458" s="42" t="inlineStr">
        <is>
          <t>Cebu</t>
        </is>
      </c>
      <c r="F458" s="42" t="inlineStr">
        <is>
          <t>City of Cebu</t>
        </is>
      </c>
      <c r="G458" s="42" t="inlineStr">
        <is>
          <t>Hippodromo</t>
        </is>
      </c>
      <c r="H458" s="43" t="n">
        <v>10.314255</v>
      </c>
      <c r="I458" s="43" t="n">
        <v>123.906814</v>
      </c>
      <c r="J458" s="44" t="inlineStr">
        <is>
          <t>U</t>
        </is>
      </c>
      <c r="K458" s="42" t="inlineStr">
        <is>
          <t>Class 1-3 / Urban</t>
        </is>
      </c>
      <c r="L458" s="23" t="n">
        <v>9574</v>
      </c>
      <c r="M458" s="24" t="n">
        <v>4.42</v>
      </c>
      <c r="N458" s="23">
        <f>ROUND(L458/M458, 0)</f>
        <v/>
      </c>
      <c r="O458" s="23">
        <f>ROUND(N458*'Methodology &amp; Assumptions'!$B$8, 0)</f>
        <v/>
      </c>
      <c r="P458" s="44" t="inlineStr">
        <is>
          <t>Band n50 (1.5 GHz, 60 MHz)</t>
        </is>
      </c>
      <c r="Q458" s="38">
        <f>ROUNDUP(O458/'Methodology &amp; Assumptions'!$B$9, 0)</f>
        <v/>
      </c>
      <c r="R458" s="39" t="n">
        <v>1</v>
      </c>
      <c r="S458" s="25" t="n">
        <v>1.73</v>
      </c>
      <c r="T458" s="25" t="n">
        <v>0.45</v>
      </c>
      <c r="U458" s="42" t="inlineStr">
        <is>
          <t>Tier 1B (Micro Drop, 1-3 km)</t>
        </is>
      </c>
      <c r="V458" s="24" t="n">
        <v>66.2</v>
      </c>
      <c r="W458" s="24" t="n">
        <v>100</v>
      </c>
      <c r="X458" s="24" t="n">
        <v>28</v>
      </c>
      <c r="Y458" s="45">
        <f>ROUND((V458*'Methodology &amp; Assumptions'!$B$6)+(W458*'Methodology &amp; Assumptions'!$B$5)+(X458*'Methodology &amp; Assumptions'!$B$7), 2)</f>
        <v/>
      </c>
    </row>
    <row r="459" ht="19" customHeight="1">
      <c r="A459" s="35" t="n">
        <v>455</v>
      </c>
      <c r="B459" s="35" t="n">
        <v>3455</v>
      </c>
      <c r="C459" s="36" t="inlineStr">
        <is>
          <t>0431200007</t>
        </is>
      </c>
      <c r="D459" s="36" t="inlineStr">
        <is>
          <t>Region IV-A (CALABARZON)</t>
        </is>
      </c>
      <c r="E459" s="36" t="inlineStr">
        <is>
          <t>Quezon</t>
        </is>
      </c>
      <c r="F459" s="36" t="inlineStr">
        <is>
          <t>City of Lucena</t>
        </is>
      </c>
      <c r="G459" s="36" t="inlineStr">
        <is>
          <t>Barangay 4</t>
        </is>
      </c>
      <c r="H459" s="37" t="n">
        <v>13.936021</v>
      </c>
      <c r="I459" s="37" t="n">
        <v>121.617007</v>
      </c>
      <c r="J459" s="8" t="inlineStr">
        <is>
          <t>U</t>
        </is>
      </c>
      <c r="K459" s="36" t="inlineStr">
        <is>
          <t>Class 1-3 / Urban</t>
        </is>
      </c>
      <c r="L459" s="18" t="n">
        <v>2910</v>
      </c>
      <c r="M459" s="20" t="n">
        <v>4.46</v>
      </c>
      <c r="N459" s="18">
        <f>ROUND(L459/M459, 0)</f>
        <v/>
      </c>
      <c r="O459" s="18">
        <f>ROUND(N459*'Methodology &amp; Assumptions'!$B$8, 0)</f>
        <v/>
      </c>
      <c r="P459" s="8" t="inlineStr">
        <is>
          <t>Band n50 (1.5 GHz, 60 MHz)</t>
        </is>
      </c>
      <c r="Q459" s="38">
        <f>ROUNDUP(O459/'Methodology &amp; Assumptions'!$B$9, 0)</f>
        <v/>
      </c>
      <c r="R459" s="39" t="n">
        <v>1</v>
      </c>
      <c r="S459" s="21" t="n">
        <v>0.67</v>
      </c>
      <c r="T459" s="21" t="n">
        <v>0.11</v>
      </c>
      <c r="U459" s="36" t="inlineStr">
        <is>
          <t>Tier 1A (Direct Coloc, &lt;1 km)</t>
        </is>
      </c>
      <c r="V459" s="20" t="n">
        <v>89.90000000000001</v>
      </c>
      <c r="W459" s="20" t="n">
        <v>76.3</v>
      </c>
      <c r="X459" s="20" t="n">
        <v>28</v>
      </c>
      <c r="Y459" s="40">
        <f>ROUND((V459*'Methodology &amp; Assumptions'!$B$6)+(W459*'Methodology &amp; Assumptions'!$B$5)+(X459*'Methodology &amp; Assumptions'!$B$7), 2)</f>
        <v/>
      </c>
    </row>
    <row r="460" ht="19" customHeight="1">
      <c r="A460" s="41" t="n">
        <v>456</v>
      </c>
      <c r="B460" s="41" t="n">
        <v>3456</v>
      </c>
      <c r="C460" s="42" t="inlineStr">
        <is>
          <t>0603037023</t>
        </is>
      </c>
      <c r="D460" s="42" t="inlineStr">
        <is>
          <t>Region VI (Western Visayas)</t>
        </is>
      </c>
      <c r="E460" s="42" t="inlineStr">
        <is>
          <t>Iloilo</t>
        </is>
      </c>
      <c r="F460" s="42" t="inlineStr">
        <is>
          <t>Pototan</t>
        </is>
      </c>
      <c r="G460" s="42" t="inlineStr">
        <is>
          <t>Igang</t>
        </is>
      </c>
      <c r="H460" s="43" t="n">
        <v>10.919425</v>
      </c>
      <c r="I460" s="43" t="n">
        <v>122.630365</v>
      </c>
      <c r="J460" s="44" t="inlineStr">
        <is>
          <t>R</t>
        </is>
      </c>
      <c r="K460" s="42" t="inlineStr">
        <is>
          <t>Class 1-3 / Urban</t>
        </is>
      </c>
      <c r="L460" s="23" t="n">
        <v>3946</v>
      </c>
      <c r="M460" s="24" t="n">
        <v>4.39</v>
      </c>
      <c r="N460" s="23">
        <f>ROUND(L460/M460, 0)</f>
        <v/>
      </c>
      <c r="O460" s="23">
        <f>ROUND(N460*'Methodology &amp; Assumptions'!$B$8, 0)</f>
        <v/>
      </c>
      <c r="P460" s="44" t="inlineStr">
        <is>
          <t>Band n50 (1.5 GHz, 60 MHz)</t>
        </is>
      </c>
      <c r="Q460" s="38">
        <f>ROUNDUP(O460/'Methodology &amp; Assumptions'!$B$9, 0)</f>
        <v/>
      </c>
      <c r="R460" s="39" t="n">
        <v>1</v>
      </c>
      <c r="S460" s="25" t="n">
        <v>3.2</v>
      </c>
      <c r="T460" s="25" t="n">
        <v>0.18</v>
      </c>
      <c r="U460" s="42" t="inlineStr">
        <is>
          <t>Tier 2 (Fiber Corridor / Lateral, 3-5 km)</t>
        </is>
      </c>
      <c r="V460" s="24" t="n">
        <v>44.5</v>
      </c>
      <c r="W460" s="24" t="n">
        <v>96</v>
      </c>
      <c r="X460" s="24" t="n">
        <v>58</v>
      </c>
      <c r="Y460" s="45">
        <f>ROUND((V460*'Methodology &amp; Assumptions'!$B$6)+(W460*'Methodology &amp; Assumptions'!$B$5)+(X460*'Methodology &amp; Assumptions'!$B$7), 2)</f>
        <v/>
      </c>
    </row>
    <row r="461" ht="19" customHeight="1">
      <c r="A461" s="35" t="n">
        <v>457</v>
      </c>
      <c r="B461" s="35" t="n">
        <v>3457</v>
      </c>
      <c r="C461" s="36" t="inlineStr">
        <is>
          <t>0301421031</t>
        </is>
      </c>
      <c r="D461" s="36" t="inlineStr">
        <is>
          <t>Region III (Central Luzon)</t>
        </is>
      </c>
      <c r="E461" s="36" t="inlineStr">
        <is>
          <t>Bulacan</t>
        </is>
      </c>
      <c r="F461" s="36" t="inlineStr">
        <is>
          <t>San Miguel</t>
        </is>
      </c>
      <c r="G461" s="36" t="inlineStr">
        <is>
          <t>Masalipit</t>
        </is>
      </c>
      <c r="H461" s="37" t="n">
        <v>15.148433</v>
      </c>
      <c r="I461" s="37" t="n">
        <v>121.03336</v>
      </c>
      <c r="J461" s="8" t="inlineStr">
        <is>
          <t>R</t>
        </is>
      </c>
      <c r="K461" s="36" t="inlineStr">
        <is>
          <t>Class 1-3 / Urban</t>
        </is>
      </c>
      <c r="L461" s="18" t="n">
        <v>3370</v>
      </c>
      <c r="M461" s="20" t="n">
        <v>4.1</v>
      </c>
      <c r="N461" s="18">
        <f>ROUND(L461/M461, 0)</f>
        <v/>
      </c>
      <c r="O461" s="18">
        <f>ROUND(N461*'Methodology &amp; Assumptions'!$B$8, 0)</f>
        <v/>
      </c>
      <c r="P461" s="8" t="inlineStr">
        <is>
          <t>Band n50 (1.5 GHz, 60 MHz)</t>
        </is>
      </c>
      <c r="Q461" s="38">
        <f>ROUNDUP(O461/'Methodology &amp; Assumptions'!$B$9, 0)</f>
        <v/>
      </c>
      <c r="R461" s="39" t="n">
        <v>1</v>
      </c>
      <c r="S461" s="21" t="n">
        <v>2.7</v>
      </c>
      <c r="T461" s="21" t="n">
        <v>1.88</v>
      </c>
      <c r="U461" s="36" t="inlineStr">
        <is>
          <t>Tier 1B (Micro Drop, 1-3 km)</t>
        </is>
      </c>
      <c r="V461" s="20" t="n">
        <v>50.6</v>
      </c>
      <c r="W461" s="20" t="n">
        <v>89.90000000000001</v>
      </c>
      <c r="X461" s="20" t="n">
        <v>58</v>
      </c>
      <c r="Y461" s="40">
        <f>ROUND((V461*'Methodology &amp; Assumptions'!$B$6)+(W461*'Methodology &amp; Assumptions'!$B$5)+(X461*'Methodology &amp; Assumptions'!$B$7), 2)</f>
        <v/>
      </c>
    </row>
    <row r="462" ht="19" customHeight="1">
      <c r="A462" s="41" t="n">
        <v>458</v>
      </c>
      <c r="B462" s="41" t="n">
        <v>3458</v>
      </c>
      <c r="C462" s="42" t="inlineStr">
        <is>
          <t>0604515018</t>
        </is>
      </c>
      <c r="D462" s="42" t="inlineStr">
        <is>
          <t>Region VI (Western Visayas)</t>
        </is>
      </c>
      <c r="E462" s="42" t="inlineStr">
        <is>
          <t>Negros Occidental</t>
        </is>
      </c>
      <c r="F462" s="42" t="inlineStr">
        <is>
          <t>City of Kabankalan</t>
        </is>
      </c>
      <c r="G462" s="42" t="inlineStr">
        <is>
          <t>Barangay 7</t>
        </is>
      </c>
      <c r="H462" s="43" t="n">
        <v>9.986981999999999</v>
      </c>
      <c r="I462" s="43" t="n">
        <v>122.812792</v>
      </c>
      <c r="J462" s="44" t="inlineStr">
        <is>
          <t>R</t>
        </is>
      </c>
      <c r="K462" s="42" t="inlineStr">
        <is>
          <t>Class 1-3 / Urban</t>
        </is>
      </c>
      <c r="L462" s="23" t="n">
        <v>551</v>
      </c>
      <c r="M462" s="24" t="n">
        <v>4.33</v>
      </c>
      <c r="N462" s="23">
        <f>ROUND(L462/M462, 0)</f>
        <v/>
      </c>
      <c r="O462" s="23">
        <f>ROUND(N462*'Methodology &amp; Assumptions'!$B$8, 0)</f>
        <v/>
      </c>
      <c r="P462" s="44" t="inlineStr">
        <is>
          <t>Band n50 (1.5 GHz, 60 MHz)</t>
        </is>
      </c>
      <c r="Q462" s="38">
        <f>ROUNDUP(O462/'Methodology &amp; Assumptions'!$B$9, 0)</f>
        <v/>
      </c>
      <c r="R462" s="39" t="n">
        <v>1</v>
      </c>
      <c r="S462" s="25" t="n">
        <v>0.54</v>
      </c>
      <c r="T462" s="25" t="n">
        <v>0.52</v>
      </c>
      <c r="U462" s="42" t="inlineStr">
        <is>
          <t>Tier 1A (Direct Coloc, &lt;1 km)</t>
        </is>
      </c>
      <c r="V462" s="24" t="n">
        <v>93.40000000000001</v>
      </c>
      <c r="W462" s="24" t="n">
        <v>34.1</v>
      </c>
      <c r="X462" s="24" t="n">
        <v>73</v>
      </c>
      <c r="Y462" s="45">
        <f>ROUND((V462*'Methodology &amp; Assumptions'!$B$6)+(W462*'Methodology &amp; Assumptions'!$B$5)+(X462*'Methodology &amp; Assumptions'!$B$7), 2)</f>
        <v/>
      </c>
    </row>
    <row r="463" ht="19" customHeight="1">
      <c r="A463" s="35" t="n">
        <v>459</v>
      </c>
      <c r="B463" s="35" t="n">
        <v>3459</v>
      </c>
      <c r="C463" s="36" t="inlineStr">
        <is>
          <t>0304906008</t>
        </is>
      </c>
      <c r="D463" s="36" t="inlineStr">
        <is>
          <t>Region III (Central Luzon)</t>
        </is>
      </c>
      <c r="E463" s="36" t="inlineStr">
        <is>
          <t>Nueva Ecija</t>
        </is>
      </c>
      <c r="F463" s="36" t="inlineStr">
        <is>
          <t>Cuyapo</t>
        </is>
      </c>
      <c r="G463" s="36" t="inlineStr">
        <is>
          <t>Bulala</t>
        </is>
      </c>
      <c r="H463" s="37" t="n">
        <v>15.777095</v>
      </c>
      <c r="I463" s="37" t="n">
        <v>120.664097</v>
      </c>
      <c r="J463" s="8" t="inlineStr">
        <is>
          <t>R</t>
        </is>
      </c>
      <c r="K463" s="36" t="inlineStr">
        <is>
          <t>Class 1-3 / Urban</t>
        </is>
      </c>
      <c r="L463" s="18" t="n">
        <v>1361</v>
      </c>
      <c r="M463" s="20" t="n">
        <v>4.32</v>
      </c>
      <c r="N463" s="18">
        <f>ROUND(L463/M463, 0)</f>
        <v/>
      </c>
      <c r="O463" s="18">
        <f>ROUND(N463*'Methodology &amp; Assumptions'!$B$8, 0)</f>
        <v/>
      </c>
      <c r="P463" s="8" t="inlineStr">
        <is>
          <t>Band n50 (1.5 GHz, 60 MHz)</t>
        </is>
      </c>
      <c r="Q463" s="38">
        <f>ROUNDUP(O463/'Methodology &amp; Assumptions'!$B$9, 0)</f>
        <v/>
      </c>
      <c r="R463" s="39" t="n">
        <v>1</v>
      </c>
      <c r="S463" s="21" t="n">
        <v>0.27</v>
      </c>
      <c r="T463" s="21" t="n">
        <v>6.37</v>
      </c>
      <c r="U463" s="36" t="inlineStr">
        <is>
          <t>Tier 1A (Direct Coloc, &lt;1 km)</t>
        </is>
      </c>
      <c r="V463" s="20" t="n">
        <v>91.40000000000001</v>
      </c>
      <c r="W463" s="20" t="n">
        <v>49.1</v>
      </c>
      <c r="X463" s="20" t="n">
        <v>58</v>
      </c>
      <c r="Y463" s="40">
        <f>ROUND((V463*'Methodology &amp; Assumptions'!$B$6)+(W463*'Methodology &amp; Assumptions'!$B$5)+(X463*'Methodology &amp; Assumptions'!$B$7), 2)</f>
        <v/>
      </c>
    </row>
    <row r="464" ht="19" customHeight="1">
      <c r="A464" s="41" t="n">
        <v>460</v>
      </c>
      <c r="B464" s="41" t="n">
        <v>3460</v>
      </c>
      <c r="C464" s="42" t="inlineStr">
        <is>
          <t>0603026001</t>
        </is>
      </c>
      <c r="D464" s="42" t="inlineStr">
        <is>
          <t>Region VI (Western Visayas)</t>
        </is>
      </c>
      <c r="E464" s="42" t="inlineStr">
        <is>
          <t>Iloilo</t>
        </is>
      </c>
      <c r="F464" s="42" t="inlineStr">
        <is>
          <t>Leganes</t>
        </is>
      </c>
      <c r="G464" s="42" t="inlineStr">
        <is>
          <t>M.V. Hechanova</t>
        </is>
      </c>
      <c r="H464" s="43" t="n">
        <v>10.77121</v>
      </c>
      <c r="I464" s="43" t="n">
        <v>122.604101</v>
      </c>
      <c r="J464" s="44" t="inlineStr">
        <is>
          <t>R</t>
        </is>
      </c>
      <c r="K464" s="42" t="inlineStr">
        <is>
          <t>2nd</t>
        </is>
      </c>
      <c r="L464" s="23" t="n">
        <v>955</v>
      </c>
      <c r="M464" s="24" t="n">
        <v>4.6</v>
      </c>
      <c r="N464" s="23">
        <f>ROUND(L464/M464, 0)</f>
        <v/>
      </c>
      <c r="O464" s="23">
        <f>ROUND(N464*'Methodology &amp; Assumptions'!$B$8, 0)</f>
        <v/>
      </c>
      <c r="P464" s="44" t="inlineStr">
        <is>
          <t>Band n50 (1.5 GHz, 60 MHz)</t>
        </is>
      </c>
      <c r="Q464" s="38">
        <f>ROUNDUP(O464/'Methodology &amp; Assumptions'!$B$9, 0)</f>
        <v/>
      </c>
      <c r="R464" s="39" t="n">
        <v>1</v>
      </c>
      <c r="S464" s="25" t="n">
        <v>0.32</v>
      </c>
      <c r="T464" s="25" t="n">
        <v>0.12</v>
      </c>
      <c r="U464" s="42" t="inlineStr">
        <is>
          <t>Tier 1A (Direct Coloc, &lt;1 km)</t>
        </is>
      </c>
      <c r="V464" s="24" t="n">
        <v>99.90000000000001</v>
      </c>
      <c r="W464" s="24" t="n">
        <v>40.5</v>
      </c>
      <c r="X464" s="24" t="n">
        <v>58</v>
      </c>
      <c r="Y464" s="45">
        <f>ROUND((V464*'Methodology &amp; Assumptions'!$B$6)+(W464*'Methodology &amp; Assumptions'!$B$5)+(X464*'Methodology &amp; Assumptions'!$B$7), 2)</f>
        <v/>
      </c>
    </row>
    <row r="465" ht="19" customHeight="1">
      <c r="A465" s="35" t="n">
        <v>461</v>
      </c>
      <c r="B465" s="35" t="n">
        <v>3461</v>
      </c>
      <c r="C465" s="36" t="inlineStr">
        <is>
          <t>0305416024</t>
        </is>
      </c>
      <c r="D465" s="36" t="inlineStr">
        <is>
          <t>Region III (Central Luzon)</t>
        </is>
      </c>
      <c r="E465" s="36" t="inlineStr">
        <is>
          <t>Pampanga</t>
        </is>
      </c>
      <c r="F465" s="36" t="inlineStr">
        <is>
          <t>City of San Fernando</t>
        </is>
      </c>
      <c r="G465" s="36" t="inlineStr">
        <is>
          <t>San Agustin</t>
        </is>
      </c>
      <c r="H465" s="37" t="n">
        <v>15.052214</v>
      </c>
      <c r="I465" s="37" t="n">
        <v>120.670025</v>
      </c>
      <c r="J465" s="8" t="inlineStr">
        <is>
          <t>U</t>
        </is>
      </c>
      <c r="K465" s="36" t="inlineStr">
        <is>
          <t>Class 1-3 / Urban</t>
        </is>
      </c>
      <c r="L465" s="18" t="n">
        <v>22539</v>
      </c>
      <c r="M465" s="20" t="n">
        <v>4.63</v>
      </c>
      <c r="N465" s="18">
        <f>ROUND(L465/M465, 0)</f>
        <v/>
      </c>
      <c r="O465" s="18">
        <f>ROUND(N465*'Methodology &amp; Assumptions'!$B$8, 0)</f>
        <v/>
      </c>
      <c r="P465" s="8" t="inlineStr">
        <is>
          <t>Band n50 (1.5 GHz, 60 MHz)</t>
        </is>
      </c>
      <c r="Q465" s="38">
        <f>ROUNDUP(O465/'Methodology &amp; Assumptions'!$B$9, 0)</f>
        <v/>
      </c>
      <c r="R465" s="39" t="n">
        <v>1</v>
      </c>
      <c r="S465" s="21" t="n">
        <v>1.73</v>
      </c>
      <c r="T465" s="21" t="n">
        <v>0.52</v>
      </c>
      <c r="U465" s="36" t="inlineStr">
        <is>
          <t>Tier 1B (Micro Drop, 1-3 km)</t>
        </is>
      </c>
      <c r="V465" s="20" t="n">
        <v>66.2</v>
      </c>
      <c r="W465" s="20" t="n">
        <v>100</v>
      </c>
      <c r="X465" s="20" t="n">
        <v>28</v>
      </c>
      <c r="Y465" s="40">
        <f>ROUND((V465*'Methodology &amp; Assumptions'!$B$6)+(W465*'Methodology &amp; Assumptions'!$B$5)+(X465*'Methodology &amp; Assumptions'!$B$7), 2)</f>
        <v/>
      </c>
    </row>
    <row r="466" ht="19" customHeight="1">
      <c r="A466" s="41" t="n">
        <v>462</v>
      </c>
      <c r="B466" s="41" t="n">
        <v>3462</v>
      </c>
      <c r="C466" s="42" t="inlineStr">
        <is>
          <t>0201511019</t>
        </is>
      </c>
      <c r="D466" s="42" t="inlineStr">
        <is>
          <t>Region II (Cagayan Valley)</t>
        </is>
      </c>
      <c r="E466" s="42" t="inlineStr">
        <is>
          <t>Cagayan</t>
        </is>
      </c>
      <c r="F466" s="42" t="inlineStr">
        <is>
          <t>Claveria</t>
        </is>
      </c>
      <c r="G466" s="42" t="inlineStr">
        <is>
          <t>Centro VI</t>
        </is>
      </c>
      <c r="H466" s="43" t="n">
        <v>18.608765</v>
      </c>
      <c r="I466" s="43" t="n">
        <v>121.077579</v>
      </c>
      <c r="J466" s="44" t="inlineStr">
        <is>
          <t>R</t>
        </is>
      </c>
      <c r="K466" s="42" t="inlineStr">
        <is>
          <t>Class 1-3 / Urban</t>
        </is>
      </c>
      <c r="L466" s="23" t="n">
        <v>1987</v>
      </c>
      <c r="M466" s="24" t="n">
        <v>4.38</v>
      </c>
      <c r="N466" s="23">
        <f>ROUND(L466/M466, 0)</f>
        <v/>
      </c>
      <c r="O466" s="23">
        <f>ROUND(N466*'Methodology &amp; Assumptions'!$B$8, 0)</f>
        <v/>
      </c>
      <c r="P466" s="44" t="inlineStr">
        <is>
          <t>Band n50 (1.5 GHz, 60 MHz)</t>
        </is>
      </c>
      <c r="Q466" s="38">
        <f>ROUNDUP(O466/'Methodology &amp; Assumptions'!$B$9, 0)</f>
        <v/>
      </c>
      <c r="R466" s="39" t="n">
        <v>1</v>
      </c>
      <c r="S466" s="25" t="n">
        <v>1.06</v>
      </c>
      <c r="T466" s="25" t="n">
        <v>0.6899999999999999</v>
      </c>
      <c r="U466" s="42" t="inlineStr">
        <is>
          <t>Tier 1B (Micro Drop, 1-3 km)</t>
        </is>
      </c>
      <c r="V466" s="24" t="n">
        <v>80.09999999999999</v>
      </c>
      <c r="W466" s="24" t="n">
        <v>60.3</v>
      </c>
      <c r="X466" s="24" t="n">
        <v>58</v>
      </c>
      <c r="Y466" s="45">
        <f>ROUND((V466*'Methodology &amp; Assumptions'!$B$6)+(W466*'Methodology &amp; Assumptions'!$B$5)+(X466*'Methodology &amp; Assumptions'!$B$7), 2)</f>
        <v/>
      </c>
    </row>
    <row r="467" ht="19" customHeight="1">
      <c r="A467" s="35" t="n">
        <v>463</v>
      </c>
      <c r="B467" s="35" t="n">
        <v>3463</v>
      </c>
      <c r="C467" s="36" t="inlineStr">
        <is>
          <t>0402121005</t>
        </is>
      </c>
      <c r="D467" s="36" t="inlineStr">
        <is>
          <t>Region IV-A (CALABARZON)</t>
        </is>
      </c>
      <c r="E467" s="36" t="inlineStr">
        <is>
          <t>Cavite</t>
        </is>
      </c>
      <c r="F467" s="36" t="inlineStr">
        <is>
          <t>Ternate</t>
        </is>
      </c>
      <c r="G467" s="36" t="inlineStr">
        <is>
          <t>Poblacion III</t>
        </is>
      </c>
      <c r="H467" s="37" t="n">
        <v>14.288125</v>
      </c>
      <c r="I467" s="37" t="n">
        <v>120.716402</v>
      </c>
      <c r="J467" s="8" t="inlineStr">
        <is>
          <t>R</t>
        </is>
      </c>
      <c r="K467" s="36" t="inlineStr">
        <is>
          <t>3rd</t>
        </is>
      </c>
      <c r="L467" s="18" t="n">
        <v>1757</v>
      </c>
      <c r="M467" s="20" t="n">
        <v>4.08</v>
      </c>
      <c r="N467" s="18">
        <f>ROUND(L467/M467, 0)</f>
        <v/>
      </c>
      <c r="O467" s="18">
        <f>ROUND(N467*'Methodology &amp; Assumptions'!$B$8, 0)</f>
        <v/>
      </c>
      <c r="P467" s="8" t="inlineStr">
        <is>
          <t>Band n50 (1.5 GHz, 60 MHz)</t>
        </is>
      </c>
      <c r="Q467" s="38">
        <f>ROUNDUP(O467/'Methodology &amp; Assumptions'!$B$9, 0)</f>
        <v/>
      </c>
      <c r="R467" s="39" t="n">
        <v>1</v>
      </c>
      <c r="S467" s="21" t="n">
        <v>0.6</v>
      </c>
      <c r="T467" s="21" t="n">
        <v>2.62</v>
      </c>
      <c r="U467" s="36" t="inlineStr">
        <is>
          <t>Tier 1A (Direct Coloc, &lt;1 km)</t>
        </is>
      </c>
      <c r="V467" s="20" t="n">
        <v>82</v>
      </c>
      <c r="W467" s="20" t="n">
        <v>58.4</v>
      </c>
      <c r="X467" s="20" t="n">
        <v>58</v>
      </c>
      <c r="Y467" s="40">
        <f>ROUND((V467*'Methodology &amp; Assumptions'!$B$6)+(W467*'Methodology &amp; Assumptions'!$B$5)+(X467*'Methodology &amp; Assumptions'!$B$7), 2)</f>
        <v/>
      </c>
    </row>
    <row r="468" ht="19" customHeight="1">
      <c r="A468" s="41" t="n">
        <v>464</v>
      </c>
      <c r="B468" s="41" t="n">
        <v>3464</v>
      </c>
      <c r="C468" s="42" t="inlineStr">
        <is>
          <t>1108204028</t>
        </is>
      </c>
      <c r="D468" s="42" t="inlineStr">
        <is>
          <t>Region XI (Davao Region)</t>
        </is>
      </c>
      <c r="E468" s="42" t="inlineStr">
        <is>
          <t>Davao de Oro</t>
        </is>
      </c>
      <c r="F468" s="42" t="inlineStr">
        <is>
          <t>Maco</t>
        </is>
      </c>
      <c r="G468" s="42" t="inlineStr">
        <is>
          <t>San Roque</t>
        </is>
      </c>
      <c r="H468" s="43" t="n">
        <v>7.350488</v>
      </c>
      <c r="I468" s="43" t="n">
        <v>125.857263</v>
      </c>
      <c r="J468" s="44" t="inlineStr">
        <is>
          <t>R</t>
        </is>
      </c>
      <c r="K468" s="42" t="inlineStr">
        <is>
          <t>Class 1-3 / Urban</t>
        </is>
      </c>
      <c r="L468" s="23" t="n">
        <v>1385</v>
      </c>
      <c r="M468" s="24" t="n">
        <v>4.1</v>
      </c>
      <c r="N468" s="23">
        <f>ROUND(L468/M468, 0)</f>
        <v/>
      </c>
      <c r="O468" s="23">
        <f>ROUND(N468*'Methodology &amp; Assumptions'!$B$8, 0)</f>
        <v/>
      </c>
      <c r="P468" s="44" t="inlineStr">
        <is>
          <t>Band n50 (1.5 GHz, 60 MHz)</t>
        </is>
      </c>
      <c r="Q468" s="38">
        <f>ROUNDUP(O468/'Methodology &amp; Assumptions'!$B$9, 0)</f>
        <v/>
      </c>
      <c r="R468" s="39" t="n">
        <v>1</v>
      </c>
      <c r="S468" s="25" t="n">
        <v>0.6899999999999999</v>
      </c>
      <c r="T468" s="25" t="n">
        <v>0.12</v>
      </c>
      <c r="U468" s="42" t="inlineStr">
        <is>
          <t>Tier 1A (Direct Coloc, &lt;1 km)</t>
        </is>
      </c>
      <c r="V468" s="24" t="n">
        <v>89.5</v>
      </c>
      <c r="W468" s="24" t="n">
        <v>50.9</v>
      </c>
      <c r="X468" s="24" t="n">
        <v>58</v>
      </c>
      <c r="Y468" s="45">
        <f>ROUND((V468*'Methodology &amp; Assumptions'!$B$6)+(W468*'Methodology &amp; Assumptions'!$B$5)+(X468*'Methodology &amp; Assumptions'!$B$7), 2)</f>
        <v/>
      </c>
    </row>
    <row r="469" ht="19" customHeight="1">
      <c r="A469" s="35" t="n">
        <v>465</v>
      </c>
      <c r="B469" s="35" t="n">
        <v>3465</v>
      </c>
      <c r="C469" s="36" t="inlineStr">
        <is>
          <t>0401017012</t>
        </is>
      </c>
      <c r="D469" s="36" t="inlineStr">
        <is>
          <t>Region IV-A (CALABARZON)</t>
        </is>
      </c>
      <c r="E469" s="36" t="inlineStr">
        <is>
          <t>Batangas</t>
        </is>
      </c>
      <c r="F469" s="36" t="inlineStr">
        <is>
          <t>Malvar</t>
        </is>
      </c>
      <c r="G469" s="36" t="inlineStr">
        <is>
          <t>San Andres</t>
        </is>
      </c>
      <c r="H469" s="37" t="n">
        <v>14.005675</v>
      </c>
      <c r="I469" s="37" t="n">
        <v>121.150992</v>
      </c>
      <c r="J469" s="8" t="inlineStr">
        <is>
          <t>R</t>
        </is>
      </c>
      <c r="K469" s="36" t="inlineStr">
        <is>
          <t>Class 1-3 / Urban</t>
        </is>
      </c>
      <c r="L469" s="18" t="n">
        <v>3234</v>
      </c>
      <c r="M469" s="20" t="n">
        <v>4.62</v>
      </c>
      <c r="N469" s="18">
        <f>ROUND(L469/M469, 0)</f>
        <v/>
      </c>
      <c r="O469" s="18">
        <f>ROUND(N469*'Methodology &amp; Assumptions'!$B$8, 0)</f>
        <v/>
      </c>
      <c r="P469" s="8" t="inlineStr">
        <is>
          <t>Band n50 (1.5 GHz, 60 MHz)</t>
        </is>
      </c>
      <c r="Q469" s="38">
        <f>ROUNDUP(O469/'Methodology &amp; Assumptions'!$B$9, 0)</f>
        <v/>
      </c>
      <c r="R469" s="39" t="n">
        <v>1</v>
      </c>
      <c r="S469" s="21" t="n">
        <v>2.06</v>
      </c>
      <c r="T469" s="21" t="n">
        <v>1.6</v>
      </c>
      <c r="U469" s="36" t="inlineStr">
        <is>
          <t>Tier 1B (Micro Drop, 1-3 km)</t>
        </is>
      </c>
      <c r="V469" s="20" t="n">
        <v>60.4</v>
      </c>
      <c r="W469" s="20" t="n">
        <v>80</v>
      </c>
      <c r="X469" s="20" t="n">
        <v>58</v>
      </c>
      <c r="Y469" s="40">
        <f>ROUND((V469*'Methodology &amp; Assumptions'!$B$6)+(W469*'Methodology &amp; Assumptions'!$B$5)+(X469*'Methodology &amp; Assumptions'!$B$7), 2)</f>
        <v/>
      </c>
    </row>
    <row r="470" ht="19" customHeight="1">
      <c r="A470" s="41" t="n">
        <v>466</v>
      </c>
      <c r="B470" s="41" t="n">
        <v>3466</v>
      </c>
      <c r="C470" s="42" t="inlineStr">
        <is>
          <t>0401012001</t>
        </is>
      </c>
      <c r="D470" s="42" t="inlineStr">
        <is>
          <t>Region IV-A (CALABARZON)</t>
        </is>
      </c>
      <c r="E470" s="42" t="inlineStr">
        <is>
          <t>Batangas</t>
        </is>
      </c>
      <c r="F470" s="42" t="inlineStr">
        <is>
          <t>Lemery</t>
        </is>
      </c>
      <c r="G470" s="42" t="inlineStr">
        <is>
          <t>Anak-Dagat</t>
        </is>
      </c>
      <c r="H470" s="43" t="n">
        <v>13.880219</v>
      </c>
      <c r="I470" s="43" t="n">
        <v>120.91125</v>
      </c>
      <c r="J470" s="44" t="inlineStr">
        <is>
          <t>R</t>
        </is>
      </c>
      <c r="K470" s="42" t="inlineStr">
        <is>
          <t>Class 1-3 / Urban</t>
        </is>
      </c>
      <c r="L470" s="23" t="n">
        <v>1705</v>
      </c>
      <c r="M470" s="24" t="n">
        <v>4.62</v>
      </c>
      <c r="N470" s="23">
        <f>ROUND(L470/M470, 0)</f>
        <v/>
      </c>
      <c r="O470" s="23">
        <f>ROUND(N470*'Methodology &amp; Assumptions'!$B$8, 0)</f>
        <v/>
      </c>
      <c r="P470" s="44" t="inlineStr">
        <is>
          <t>Band n50 (1.5 GHz, 60 MHz)</t>
        </is>
      </c>
      <c r="Q470" s="38">
        <f>ROUNDUP(O470/'Methodology &amp; Assumptions'!$B$9, 0)</f>
        <v/>
      </c>
      <c r="R470" s="39" t="n">
        <v>1</v>
      </c>
      <c r="S470" s="25" t="n">
        <v>0.79</v>
      </c>
      <c r="T470" s="25" t="n">
        <v>1.8</v>
      </c>
      <c r="U470" s="42" t="inlineStr">
        <is>
          <t>Tier 1A (Direct Coloc, &lt;1 km)</t>
        </is>
      </c>
      <c r="V470" s="24" t="n">
        <v>86.8</v>
      </c>
      <c r="W470" s="24" t="n">
        <v>53.6</v>
      </c>
      <c r="X470" s="24" t="n">
        <v>58</v>
      </c>
      <c r="Y470" s="45">
        <f>ROUND((V470*'Methodology &amp; Assumptions'!$B$6)+(W470*'Methodology &amp; Assumptions'!$B$5)+(X470*'Methodology &amp; Assumptions'!$B$7), 2)</f>
        <v/>
      </c>
    </row>
    <row r="471" ht="19" customHeight="1">
      <c r="A471" s="35" t="n">
        <v>467</v>
      </c>
      <c r="B471" s="35" t="n">
        <v>3467</v>
      </c>
      <c r="C471" s="36" t="inlineStr">
        <is>
          <t>0500509014</t>
        </is>
      </c>
      <c r="D471" s="36" t="inlineStr">
        <is>
          <t>Region V (Bicol Region)</t>
        </is>
      </c>
      <c r="E471" s="36" t="inlineStr">
        <is>
          <t>Albay</t>
        </is>
      </c>
      <c r="F471" s="36" t="inlineStr">
        <is>
          <t>Malilipot</t>
        </is>
      </c>
      <c r="G471" s="36" t="inlineStr">
        <is>
          <t>San Isidro Iraya</t>
        </is>
      </c>
      <c r="H471" s="37" t="n">
        <v>13.330567</v>
      </c>
      <c r="I471" s="37" t="n">
        <v>123.726783</v>
      </c>
      <c r="J471" s="8" t="inlineStr">
        <is>
          <t>U</t>
        </is>
      </c>
      <c r="K471" s="36" t="inlineStr">
        <is>
          <t>1st</t>
        </is>
      </c>
      <c r="L471" s="18" t="n">
        <v>5416</v>
      </c>
      <c r="M471" s="20" t="n">
        <v>4.66</v>
      </c>
      <c r="N471" s="18">
        <f>ROUND(L471/M471, 0)</f>
        <v/>
      </c>
      <c r="O471" s="18">
        <f>ROUND(N471*'Methodology &amp; Assumptions'!$B$8, 0)</f>
        <v/>
      </c>
      <c r="P471" s="8" t="inlineStr">
        <is>
          <t>Band n50 (1.5 GHz, 60 MHz)</t>
        </is>
      </c>
      <c r="Q471" s="38">
        <f>ROUNDUP(O471/'Methodology &amp; Assumptions'!$B$9, 0)</f>
        <v/>
      </c>
      <c r="R471" s="39" t="n">
        <v>1</v>
      </c>
      <c r="S471" s="21" t="n">
        <v>2.52</v>
      </c>
      <c r="T471" s="21" t="n">
        <v>1.06</v>
      </c>
      <c r="U471" s="36" t="inlineStr">
        <is>
          <t>Tier 1B (Micro Drop, 1-3 km)</t>
        </is>
      </c>
      <c r="V471" s="20" t="n">
        <v>53.2</v>
      </c>
      <c r="W471" s="20" t="n">
        <v>100</v>
      </c>
      <c r="X471" s="20" t="n">
        <v>43</v>
      </c>
      <c r="Y471" s="40">
        <f>ROUND((V471*'Methodology &amp; Assumptions'!$B$6)+(W471*'Methodology &amp; Assumptions'!$B$5)+(X471*'Methodology &amp; Assumptions'!$B$7), 2)</f>
        <v/>
      </c>
    </row>
    <row r="472" ht="19" customHeight="1">
      <c r="A472" s="41" t="n">
        <v>468</v>
      </c>
      <c r="B472" s="41" t="n">
        <v>3468</v>
      </c>
      <c r="C472" s="42" t="inlineStr">
        <is>
          <t>1004302032</t>
        </is>
      </c>
      <c r="D472" s="42" t="inlineStr">
        <is>
          <t>Region X (Northern Mindanao)</t>
        </is>
      </c>
      <c r="E472" s="42" t="inlineStr">
        <is>
          <t>Misamis Oriental</t>
        </is>
      </c>
      <c r="F472" s="42" t="inlineStr">
        <is>
          <t>Balingasag</t>
        </is>
      </c>
      <c r="G472" s="42" t="inlineStr">
        <is>
          <t>Waterfall</t>
        </is>
      </c>
      <c r="H472" s="43" t="n">
        <v>8.734631</v>
      </c>
      <c r="I472" s="43" t="n">
        <v>124.780007</v>
      </c>
      <c r="J472" s="44" t="inlineStr">
        <is>
          <t>U</t>
        </is>
      </c>
      <c r="K472" s="42" t="inlineStr">
        <is>
          <t>Class 1-3 / Urban</t>
        </is>
      </c>
      <c r="L472" s="23" t="n">
        <v>6007</v>
      </c>
      <c r="M472" s="24" t="n">
        <v>4.54</v>
      </c>
      <c r="N472" s="23">
        <f>ROUND(L472/M472, 0)</f>
        <v/>
      </c>
      <c r="O472" s="23">
        <f>ROUND(N472*'Methodology &amp; Assumptions'!$B$8, 0)</f>
        <v/>
      </c>
      <c r="P472" s="44" t="inlineStr">
        <is>
          <t>Band n50 (1.5 GHz, 60 MHz)</t>
        </is>
      </c>
      <c r="Q472" s="38">
        <f>ROUNDUP(O472/'Methodology &amp; Assumptions'!$B$9, 0)</f>
        <v/>
      </c>
      <c r="R472" s="39" t="n">
        <v>1</v>
      </c>
      <c r="S472" s="25" t="n">
        <v>1.73</v>
      </c>
      <c r="T472" s="25" t="n">
        <v>0.48</v>
      </c>
      <c r="U472" s="42" t="inlineStr">
        <is>
          <t>Tier 1B (Micro Drop, 1-3 km)</t>
        </is>
      </c>
      <c r="V472" s="24" t="n">
        <v>66.09999999999999</v>
      </c>
      <c r="W472" s="24" t="n">
        <v>100</v>
      </c>
      <c r="X472" s="24" t="n">
        <v>28</v>
      </c>
      <c r="Y472" s="45">
        <f>ROUND((V472*'Methodology &amp; Assumptions'!$B$6)+(W472*'Methodology &amp; Assumptions'!$B$5)+(X472*'Methodology &amp; Assumptions'!$B$7), 2)</f>
        <v/>
      </c>
    </row>
    <row r="473" ht="19" customHeight="1">
      <c r="A473" s="35" t="n">
        <v>469</v>
      </c>
      <c r="B473" s="35" t="n">
        <v>3469</v>
      </c>
      <c r="C473" s="36" t="inlineStr">
        <is>
          <t>0403406010</t>
        </is>
      </c>
      <c r="D473" s="36" t="inlineStr">
        <is>
          <t>Region IV-A (CALABARZON)</t>
        </is>
      </c>
      <c r="E473" s="36" t="inlineStr">
        <is>
          <t>Laguna</t>
        </is>
      </c>
      <c r="F473" s="36" t="inlineStr">
        <is>
          <t>Calauan</t>
        </is>
      </c>
      <c r="G473" s="36" t="inlineStr">
        <is>
          <t>Masiit</t>
        </is>
      </c>
      <c r="H473" s="37" t="n">
        <v>14.160042</v>
      </c>
      <c r="I473" s="37" t="n">
        <v>121.306868</v>
      </c>
      <c r="J473" s="8" t="inlineStr">
        <is>
          <t>U</t>
        </is>
      </c>
      <c r="K473" s="36" t="inlineStr">
        <is>
          <t>Class 1-3 / Urban</t>
        </is>
      </c>
      <c r="L473" s="18" t="n">
        <v>4977</v>
      </c>
      <c r="M473" s="20" t="n">
        <v>4.2</v>
      </c>
      <c r="N473" s="18">
        <f>ROUND(L473/M473, 0)</f>
        <v/>
      </c>
      <c r="O473" s="18">
        <f>ROUND(N473*'Methodology &amp; Assumptions'!$B$8, 0)</f>
        <v/>
      </c>
      <c r="P473" s="8" t="inlineStr">
        <is>
          <t>Band n50 (1.5 GHz, 60 MHz)</t>
        </is>
      </c>
      <c r="Q473" s="38">
        <f>ROUNDUP(O473/'Methodology &amp; Assumptions'!$B$9, 0)</f>
        <v/>
      </c>
      <c r="R473" s="39" t="n">
        <v>1</v>
      </c>
      <c r="S473" s="21" t="n">
        <v>1.74</v>
      </c>
      <c r="T473" s="21" t="n">
        <v>0.07000000000000001</v>
      </c>
      <c r="U473" s="36" t="inlineStr">
        <is>
          <t>Tier 1B (Micro Drop, 1-3 km)</t>
        </is>
      </c>
      <c r="V473" s="20" t="n">
        <v>66.09999999999999</v>
      </c>
      <c r="W473" s="20" t="n">
        <v>100</v>
      </c>
      <c r="X473" s="20" t="n">
        <v>28</v>
      </c>
      <c r="Y473" s="40">
        <f>ROUND((V473*'Methodology &amp; Assumptions'!$B$6)+(W473*'Methodology &amp; Assumptions'!$B$5)+(X473*'Methodology &amp; Assumptions'!$B$7), 2)</f>
        <v/>
      </c>
    </row>
    <row r="474" ht="19" customHeight="1">
      <c r="A474" s="41" t="n">
        <v>470</v>
      </c>
      <c r="B474" s="41" t="n">
        <v>3470</v>
      </c>
      <c r="C474" s="42" t="inlineStr">
        <is>
          <t>1600206005</t>
        </is>
      </c>
      <c r="D474" s="42" t="inlineStr">
        <is>
          <t>Region XIII (Caraga)</t>
        </is>
      </c>
      <c r="E474" s="42" t="inlineStr">
        <is>
          <t>Agusan del Norte</t>
        </is>
      </c>
      <c r="F474" s="42" t="inlineStr">
        <is>
          <t>Kitcharao</t>
        </is>
      </c>
      <c r="G474" s="42" t="inlineStr">
        <is>
          <t>Mahayahay</t>
        </is>
      </c>
      <c r="H474" s="43" t="n">
        <v>9.4442</v>
      </c>
      <c r="I474" s="43" t="n">
        <v>125.586747</v>
      </c>
      <c r="J474" s="44" t="inlineStr">
        <is>
          <t>R</t>
        </is>
      </c>
      <c r="K474" s="42" t="inlineStr">
        <is>
          <t>3rd</t>
        </is>
      </c>
      <c r="L474" s="23" t="n">
        <v>3035</v>
      </c>
      <c r="M474" s="24" t="n">
        <v>4.27</v>
      </c>
      <c r="N474" s="23">
        <f>ROUND(L474/M474, 0)</f>
        <v/>
      </c>
      <c r="O474" s="23">
        <f>ROUND(N474*'Methodology &amp; Assumptions'!$B$8, 0)</f>
        <v/>
      </c>
      <c r="P474" s="44" t="inlineStr">
        <is>
          <t>Band n50 (1.5 GHz, 60 MHz)</t>
        </is>
      </c>
      <c r="Q474" s="38">
        <f>ROUNDUP(O474/'Methodology &amp; Assumptions'!$B$9, 0)</f>
        <v/>
      </c>
      <c r="R474" s="39" t="n">
        <v>1</v>
      </c>
      <c r="S474" s="25" t="n">
        <v>2.11</v>
      </c>
      <c r="T474" s="25" t="n">
        <v>1.6</v>
      </c>
      <c r="U474" s="42" t="inlineStr">
        <is>
          <t>Tier 1B (Micro Drop, 1-3 km)</t>
        </is>
      </c>
      <c r="V474" s="24" t="n">
        <v>59.5</v>
      </c>
      <c r="W474" s="24" t="n">
        <v>80.8</v>
      </c>
      <c r="X474" s="24" t="n">
        <v>58</v>
      </c>
      <c r="Y474" s="45">
        <f>ROUND((V474*'Methodology &amp; Assumptions'!$B$6)+(W474*'Methodology &amp; Assumptions'!$B$5)+(X474*'Methodology &amp; Assumptions'!$B$7), 2)</f>
        <v/>
      </c>
    </row>
    <row r="475" ht="19" customHeight="1">
      <c r="A475" s="35" t="n">
        <v>471</v>
      </c>
      <c r="B475" s="35" t="n">
        <v>3471</v>
      </c>
      <c r="C475" s="36" t="inlineStr">
        <is>
          <t>0501701007</t>
        </is>
      </c>
      <c r="D475" s="36" t="inlineStr">
        <is>
          <t>Region V (Bicol Region)</t>
        </is>
      </c>
      <c r="E475" s="36" t="inlineStr">
        <is>
          <t>Camarines Sur</t>
        </is>
      </c>
      <c r="F475" s="36" t="inlineStr">
        <is>
          <t>Baao</t>
        </is>
      </c>
      <c r="G475" s="36" t="inlineStr">
        <is>
          <t>Del Rosario</t>
        </is>
      </c>
      <c r="H475" s="37" t="n">
        <v>13.453562</v>
      </c>
      <c r="I475" s="37" t="n">
        <v>123.369231</v>
      </c>
      <c r="J475" s="8" t="inlineStr">
        <is>
          <t>R</t>
        </is>
      </c>
      <c r="K475" s="36" t="inlineStr">
        <is>
          <t>Class 1-3 / Urban</t>
        </is>
      </c>
      <c r="L475" s="18" t="n">
        <v>1409</v>
      </c>
      <c r="M475" s="20" t="n">
        <v>4.9</v>
      </c>
      <c r="N475" s="18">
        <f>ROUND(L475/M475, 0)</f>
        <v/>
      </c>
      <c r="O475" s="18">
        <f>ROUND(N475*'Methodology &amp; Assumptions'!$B$8, 0)</f>
        <v/>
      </c>
      <c r="P475" s="8" t="inlineStr">
        <is>
          <t>Band n50 (1.5 GHz, 60 MHz)</t>
        </is>
      </c>
      <c r="Q475" s="38">
        <f>ROUNDUP(O475/'Methodology &amp; Assumptions'!$B$9, 0)</f>
        <v/>
      </c>
      <c r="R475" s="39" t="n">
        <v>1</v>
      </c>
      <c r="S475" s="21" t="n">
        <v>0.54</v>
      </c>
      <c r="T475" s="21" t="n">
        <v>0.37</v>
      </c>
      <c r="U475" s="36" t="inlineStr">
        <is>
          <t>Tier 1A (Direct Coloc, &lt;1 km)</t>
        </is>
      </c>
      <c r="V475" s="20" t="n">
        <v>93.40000000000001</v>
      </c>
      <c r="W475" s="20" t="n">
        <v>46.9</v>
      </c>
      <c r="X475" s="20" t="n">
        <v>58</v>
      </c>
      <c r="Y475" s="40">
        <f>ROUND((V475*'Methodology &amp; Assumptions'!$B$6)+(W475*'Methodology &amp; Assumptions'!$B$5)+(X475*'Methodology &amp; Assumptions'!$B$7), 2)</f>
        <v/>
      </c>
    </row>
    <row r="476" ht="19" customHeight="1">
      <c r="A476" s="41" t="n">
        <v>472</v>
      </c>
      <c r="B476" s="41" t="n">
        <v>3472</v>
      </c>
      <c r="C476" s="42" t="inlineStr">
        <is>
          <t>0330100017</t>
        </is>
      </c>
      <c r="D476" s="42" t="inlineStr">
        <is>
          <t>Region III (Central Luzon)</t>
        </is>
      </c>
      <c r="E476" s="42" t="inlineStr">
        <is>
          <t>Pampanga</t>
        </is>
      </c>
      <c r="F476" s="42" t="inlineStr">
        <is>
          <t>City of Angeles</t>
        </is>
      </c>
      <c r="G476" s="42" t="inlineStr">
        <is>
          <t>Pampang</t>
        </is>
      </c>
      <c r="H476" s="43" t="n">
        <v>15.148205</v>
      </c>
      <c r="I476" s="43" t="n">
        <v>120.57435</v>
      </c>
      <c r="J476" s="44" t="inlineStr">
        <is>
          <t>U</t>
        </is>
      </c>
      <c r="K476" s="42" t="inlineStr">
        <is>
          <t>Class 1-3 / Urban</t>
        </is>
      </c>
      <c r="L476" s="23" t="n">
        <v>24653</v>
      </c>
      <c r="M476" s="24" t="n">
        <v>4.63</v>
      </c>
      <c r="N476" s="23">
        <f>ROUND(L476/M476, 0)</f>
        <v/>
      </c>
      <c r="O476" s="23">
        <f>ROUND(N476*'Methodology &amp; Assumptions'!$B$8, 0)</f>
        <v/>
      </c>
      <c r="P476" s="44" t="inlineStr">
        <is>
          <t>Band n50 (1.5 GHz, 60 MHz)</t>
        </is>
      </c>
      <c r="Q476" s="38">
        <f>ROUNDUP(O476/'Methodology &amp; Assumptions'!$B$9, 0)</f>
        <v/>
      </c>
      <c r="R476" s="39" t="n">
        <v>1</v>
      </c>
      <c r="S476" s="25" t="n">
        <v>1.74</v>
      </c>
      <c r="T476" s="25" t="n">
        <v>0.15</v>
      </c>
      <c r="U476" s="42" t="inlineStr">
        <is>
          <t>Tier 1B (Micro Drop, 1-3 km)</t>
        </is>
      </c>
      <c r="V476" s="24" t="n">
        <v>66.09999999999999</v>
      </c>
      <c r="W476" s="24" t="n">
        <v>100</v>
      </c>
      <c r="X476" s="24" t="n">
        <v>28</v>
      </c>
      <c r="Y476" s="45">
        <f>ROUND((V476*'Methodology &amp; Assumptions'!$B$6)+(W476*'Methodology &amp; Assumptions'!$B$5)+(X476*'Methodology &amp; Assumptions'!$B$7), 2)</f>
        <v/>
      </c>
    </row>
    <row r="477" ht="19" customHeight="1">
      <c r="A477" s="35" t="n">
        <v>473</v>
      </c>
      <c r="B477" s="35" t="n">
        <v>3473</v>
      </c>
      <c r="C477" s="36" t="inlineStr">
        <is>
          <t>0702218009</t>
        </is>
      </c>
      <c r="D477" s="36" t="inlineStr">
        <is>
          <t>Region VII (Central Visayas)</t>
        </is>
      </c>
      <c r="E477" s="36" t="inlineStr">
        <is>
          <t>Cebu</t>
        </is>
      </c>
      <c r="F477" s="36" t="inlineStr">
        <is>
          <t>Compostela</t>
        </is>
      </c>
      <c r="G477" s="36" t="inlineStr">
        <is>
          <t>Estaca</t>
        </is>
      </c>
      <c r="H477" s="37" t="n">
        <v>10.437047</v>
      </c>
      <c r="I477" s="37" t="n">
        <v>124.008457</v>
      </c>
      <c r="J477" s="8" t="inlineStr">
        <is>
          <t>U</t>
        </is>
      </c>
      <c r="K477" s="36" t="inlineStr">
        <is>
          <t>Class 1-3 / Urban</t>
        </is>
      </c>
      <c r="L477" s="18" t="n">
        <v>7231</v>
      </c>
      <c r="M477" s="20" t="n">
        <v>4.42</v>
      </c>
      <c r="N477" s="18">
        <f>ROUND(L477/M477, 0)</f>
        <v/>
      </c>
      <c r="O477" s="18">
        <f>ROUND(N477*'Methodology &amp; Assumptions'!$B$8, 0)</f>
        <v/>
      </c>
      <c r="P477" s="8" t="inlineStr">
        <is>
          <t>Band n50 (1.5 GHz, 60 MHz)</t>
        </is>
      </c>
      <c r="Q477" s="38">
        <f>ROUNDUP(O477/'Methodology &amp; Assumptions'!$B$9, 0)</f>
        <v/>
      </c>
      <c r="R477" s="39" t="n">
        <v>1</v>
      </c>
      <c r="S477" s="21" t="n">
        <v>1.74</v>
      </c>
      <c r="T477" s="21" t="n">
        <v>0.04</v>
      </c>
      <c r="U477" s="36" t="inlineStr">
        <is>
          <t>Tier 1B (Micro Drop, 1-3 km)</t>
        </is>
      </c>
      <c r="V477" s="20" t="n">
        <v>66.09999999999999</v>
      </c>
      <c r="W477" s="20" t="n">
        <v>100</v>
      </c>
      <c r="X477" s="20" t="n">
        <v>28</v>
      </c>
      <c r="Y477" s="40">
        <f>ROUND((V477*'Methodology &amp; Assumptions'!$B$6)+(W477*'Methodology &amp; Assumptions'!$B$5)+(X477*'Methodology &amp; Assumptions'!$B$7), 2)</f>
        <v/>
      </c>
    </row>
    <row r="478" ht="19" customHeight="1">
      <c r="A478" s="41" t="n">
        <v>474</v>
      </c>
      <c r="B478" s="41" t="n">
        <v>3474</v>
      </c>
      <c r="C478" s="42" t="inlineStr">
        <is>
          <t>0301406014</t>
        </is>
      </c>
      <c r="D478" s="42" t="inlineStr">
        <is>
          <t>Region III (Central Luzon)</t>
        </is>
      </c>
      <c r="E478" s="42" t="inlineStr">
        <is>
          <t>Bulacan</t>
        </is>
      </c>
      <c r="F478" s="42" t="inlineStr">
        <is>
          <t>Bustos</t>
        </is>
      </c>
      <c r="G478" s="42" t="inlineStr">
        <is>
          <t>Tibagan</t>
        </is>
      </c>
      <c r="H478" s="43" t="n">
        <v>14.955712</v>
      </c>
      <c r="I478" s="43" t="n">
        <v>120.950064</v>
      </c>
      <c r="J478" s="44" t="inlineStr">
        <is>
          <t>U</t>
        </is>
      </c>
      <c r="K478" s="42" t="inlineStr">
        <is>
          <t>Class 1-3 / Urban</t>
        </is>
      </c>
      <c r="L478" s="23" t="n">
        <v>6496</v>
      </c>
      <c r="M478" s="24" t="n">
        <v>4.1</v>
      </c>
      <c r="N478" s="23">
        <f>ROUND(L478/M478, 0)</f>
        <v/>
      </c>
      <c r="O478" s="23">
        <f>ROUND(N478*'Methodology &amp; Assumptions'!$B$8, 0)</f>
        <v/>
      </c>
      <c r="P478" s="44" t="inlineStr">
        <is>
          <t>Band n50 (1.5 GHz, 60 MHz)</t>
        </is>
      </c>
      <c r="Q478" s="38">
        <f>ROUNDUP(O478/'Methodology &amp; Assumptions'!$B$9, 0)</f>
        <v/>
      </c>
      <c r="R478" s="39" t="n">
        <v>1</v>
      </c>
      <c r="S478" s="25" t="n">
        <v>1.24</v>
      </c>
      <c r="T478" s="25" t="n">
        <v>2.69</v>
      </c>
      <c r="U478" s="42" t="inlineStr">
        <is>
          <t>Tier 1B (Micro Drop, 1-3 km)</t>
        </is>
      </c>
      <c r="V478" s="24" t="n">
        <v>66.09999999999999</v>
      </c>
      <c r="W478" s="24" t="n">
        <v>100</v>
      </c>
      <c r="X478" s="24" t="n">
        <v>28</v>
      </c>
      <c r="Y478" s="45">
        <f>ROUND((V478*'Methodology &amp; Assumptions'!$B$6)+(W478*'Methodology &amp; Assumptions'!$B$5)+(X478*'Methodology &amp; Assumptions'!$B$7), 2)</f>
        <v/>
      </c>
    </row>
    <row r="479" ht="19" customHeight="1">
      <c r="A479" s="35" t="n">
        <v>475</v>
      </c>
      <c r="B479" s="35" t="n">
        <v>3475</v>
      </c>
      <c r="C479" s="36" t="inlineStr">
        <is>
          <t>0405804020</t>
        </is>
      </c>
      <c r="D479" s="36" t="inlineStr">
        <is>
          <t>Region IV-A (CALABARZON)</t>
        </is>
      </c>
      <c r="E479" s="36" t="inlineStr">
        <is>
          <t>Rizal</t>
        </is>
      </c>
      <c r="F479" s="36" t="inlineStr">
        <is>
          <t>Binangonan</t>
        </is>
      </c>
      <c r="G479" s="36" t="inlineStr">
        <is>
          <t>Libis</t>
        </is>
      </c>
      <c r="H479" s="37" t="n">
        <v>14.463145</v>
      </c>
      <c r="I479" s="37" t="n">
        <v>121.190533</v>
      </c>
      <c r="J479" s="8" t="inlineStr">
        <is>
          <t>U</t>
        </is>
      </c>
      <c r="K479" s="36" t="inlineStr">
        <is>
          <t>Class 1-3 / Urban</t>
        </is>
      </c>
      <c r="L479" s="18" t="n">
        <v>5905</v>
      </c>
      <c r="M479" s="20" t="n">
        <v>4.39</v>
      </c>
      <c r="N479" s="18">
        <f>ROUND(L479/M479, 0)</f>
        <v/>
      </c>
      <c r="O479" s="18">
        <f>ROUND(N479*'Methodology &amp; Assumptions'!$B$8, 0)</f>
        <v/>
      </c>
      <c r="P479" s="8" t="inlineStr">
        <is>
          <t>Band n50 (1.5 GHz, 60 MHz)</t>
        </is>
      </c>
      <c r="Q479" s="38">
        <f>ROUNDUP(O479/'Methodology &amp; Assumptions'!$B$9, 0)</f>
        <v/>
      </c>
      <c r="R479" s="39" t="n">
        <v>1</v>
      </c>
      <c r="S479" s="21" t="n">
        <v>1.74</v>
      </c>
      <c r="T479" s="21" t="n">
        <v>0.46</v>
      </c>
      <c r="U479" s="36" t="inlineStr">
        <is>
          <t>Tier 1B (Micro Drop, 1-3 km)</t>
        </is>
      </c>
      <c r="V479" s="20" t="n">
        <v>66</v>
      </c>
      <c r="W479" s="20" t="n">
        <v>100</v>
      </c>
      <c r="X479" s="20" t="n">
        <v>28</v>
      </c>
      <c r="Y479" s="40">
        <f>ROUND((V479*'Methodology &amp; Assumptions'!$B$6)+(W479*'Methodology &amp; Assumptions'!$B$5)+(X479*'Methodology &amp; Assumptions'!$B$7), 2)</f>
        <v/>
      </c>
    </row>
    <row r="480" ht="19" customHeight="1">
      <c r="A480" s="41" t="n">
        <v>476</v>
      </c>
      <c r="B480" s="41" t="n">
        <v>3476</v>
      </c>
      <c r="C480" s="42" t="inlineStr">
        <is>
          <t>1130700185</t>
        </is>
      </c>
      <c r="D480" s="42" t="inlineStr">
        <is>
          <t>Region XI (Davao Region)</t>
        </is>
      </c>
      <c r="E480" s="42" t="inlineStr">
        <is>
          <t>Davao del Sur</t>
        </is>
      </c>
      <c r="F480" s="42" t="inlineStr">
        <is>
          <t>City of Davao</t>
        </is>
      </c>
      <c r="G480" s="42" t="inlineStr">
        <is>
          <t>Kap. Tomas Monteverde, Sr.</t>
        </is>
      </c>
      <c r="H480" s="43" t="n">
        <v>7.07895</v>
      </c>
      <c r="I480" s="43" t="n">
        <v>125.62392</v>
      </c>
      <c r="J480" s="44" t="inlineStr">
        <is>
          <t>U</t>
        </is>
      </c>
      <c r="K480" s="42" t="inlineStr">
        <is>
          <t>Class 1-3 / Urban</t>
        </is>
      </c>
      <c r="L480" s="23" t="n">
        <v>5258</v>
      </c>
      <c r="M480" s="24" t="n">
        <v>4.1</v>
      </c>
      <c r="N480" s="23">
        <f>ROUND(L480/M480, 0)</f>
        <v/>
      </c>
      <c r="O480" s="23">
        <f>ROUND(N480*'Methodology &amp; Assumptions'!$B$8, 0)</f>
        <v/>
      </c>
      <c r="P480" s="44" t="inlineStr">
        <is>
          <t>Band n50 (1.5 GHz, 60 MHz)</t>
        </is>
      </c>
      <c r="Q480" s="38">
        <f>ROUNDUP(O480/'Methodology &amp; Assumptions'!$B$9, 0)</f>
        <v/>
      </c>
      <c r="R480" s="39" t="n">
        <v>1</v>
      </c>
      <c r="S480" s="25" t="n">
        <v>1.74</v>
      </c>
      <c r="T480" s="25" t="n">
        <v>0.28</v>
      </c>
      <c r="U480" s="42" t="inlineStr">
        <is>
          <t>Tier 1B (Micro Drop, 1-3 km)</t>
        </is>
      </c>
      <c r="V480" s="24" t="n">
        <v>66.09999999999999</v>
      </c>
      <c r="W480" s="24" t="n">
        <v>100</v>
      </c>
      <c r="X480" s="24" t="n">
        <v>28</v>
      </c>
      <c r="Y480" s="45">
        <f>ROUND((V480*'Methodology &amp; Assumptions'!$B$6)+(W480*'Methodology &amp; Assumptions'!$B$5)+(X480*'Methodology &amp; Assumptions'!$B$7), 2)</f>
        <v/>
      </c>
    </row>
    <row r="481" ht="19" customHeight="1">
      <c r="A481" s="35" t="n">
        <v>477</v>
      </c>
      <c r="B481" s="35" t="n">
        <v>3477</v>
      </c>
      <c r="C481" s="36" t="inlineStr">
        <is>
          <t>0908305032</t>
        </is>
      </c>
      <c r="D481" s="36" t="inlineStr">
        <is>
          <t>Region IX (Zamboanga Peninsula)</t>
        </is>
      </c>
      <c r="E481" s="36" t="inlineStr">
        <is>
          <t>Zamboanga Sibugay</t>
        </is>
      </c>
      <c r="F481" s="36" t="inlineStr">
        <is>
          <t>Ipil</t>
        </is>
      </c>
      <c r="G481" s="36" t="inlineStr">
        <is>
          <t>Tiayon</t>
        </is>
      </c>
      <c r="H481" s="37" t="n">
        <v>7.766519</v>
      </c>
      <c r="I481" s="37" t="n">
        <v>122.554058</v>
      </c>
      <c r="J481" s="8" t="inlineStr">
        <is>
          <t>R</t>
        </is>
      </c>
      <c r="K481" s="36" t="inlineStr">
        <is>
          <t>Class 1-3 / Urban</t>
        </is>
      </c>
      <c r="L481" s="18" t="n">
        <v>4958</v>
      </c>
      <c r="M481" s="20" t="n">
        <v>5.06</v>
      </c>
      <c r="N481" s="18">
        <f>ROUND(L481/M481, 0)</f>
        <v/>
      </c>
      <c r="O481" s="18">
        <f>ROUND(N481*'Methodology &amp; Assumptions'!$B$8, 0)</f>
        <v/>
      </c>
      <c r="P481" s="8" t="inlineStr">
        <is>
          <t>Band n50 (1.5 GHz, 60 MHz)</t>
        </is>
      </c>
      <c r="Q481" s="38">
        <f>ROUNDUP(O481/'Methodology &amp; Assumptions'!$B$9, 0)</f>
        <v/>
      </c>
      <c r="R481" s="39" t="n">
        <v>1</v>
      </c>
      <c r="S481" s="21" t="n">
        <v>3.58</v>
      </c>
      <c r="T481" s="21" t="n">
        <v>1.22</v>
      </c>
      <c r="U481" s="36" t="inlineStr">
        <is>
          <t>Tier 2 (Fiber Corridor / Lateral, 3-5 km)</t>
        </is>
      </c>
      <c r="V481" s="20" t="n">
        <v>40.3</v>
      </c>
      <c r="W481" s="20" t="n">
        <v>100</v>
      </c>
      <c r="X481" s="20" t="n">
        <v>58</v>
      </c>
      <c r="Y481" s="40">
        <f>ROUND((V481*'Methodology &amp; Assumptions'!$B$6)+(W481*'Methodology &amp; Assumptions'!$B$5)+(X481*'Methodology &amp; Assumptions'!$B$7), 2)</f>
        <v/>
      </c>
    </row>
    <row r="482" ht="19" customHeight="1">
      <c r="A482" s="41" t="n">
        <v>478</v>
      </c>
      <c r="B482" s="41" t="n">
        <v>3478</v>
      </c>
      <c r="C482" s="42" t="inlineStr">
        <is>
          <t>0306905041</t>
        </is>
      </c>
      <c r="D482" s="42" t="inlineStr">
        <is>
          <t>Region III (Central Luzon)</t>
        </is>
      </c>
      <c r="E482" s="42" t="inlineStr">
        <is>
          <t>Tarlac</t>
        </is>
      </c>
      <c r="F482" s="42" t="inlineStr">
        <is>
          <t>Concepcion</t>
        </is>
      </c>
      <c r="G482" s="42" t="inlineStr">
        <is>
          <t>Santa Maria</t>
        </is>
      </c>
      <c r="H482" s="43" t="n">
        <v>15.336504</v>
      </c>
      <c r="I482" s="43" t="n">
        <v>120.658168</v>
      </c>
      <c r="J482" s="44" t="inlineStr">
        <is>
          <t>R</t>
        </is>
      </c>
      <c r="K482" s="42" t="inlineStr">
        <is>
          <t>Class 1-3 / Urban</t>
        </is>
      </c>
      <c r="L482" s="23" t="n">
        <v>2259</v>
      </c>
      <c r="M482" s="24" t="n">
        <v>4.3</v>
      </c>
      <c r="N482" s="23">
        <f>ROUND(L482/M482, 0)</f>
        <v/>
      </c>
      <c r="O482" s="23">
        <f>ROUND(N482*'Methodology &amp; Assumptions'!$B$8, 0)</f>
        <v/>
      </c>
      <c r="P482" s="44" t="inlineStr">
        <is>
          <t>Band n50 (1.5 GHz, 60 MHz)</t>
        </is>
      </c>
      <c r="Q482" s="38">
        <f>ROUNDUP(O482/'Methodology &amp; Assumptions'!$B$9, 0)</f>
        <v/>
      </c>
      <c r="R482" s="39" t="n">
        <v>1</v>
      </c>
      <c r="S482" s="25" t="n">
        <v>1.33</v>
      </c>
      <c r="T482" s="25" t="n">
        <v>1.31</v>
      </c>
      <c r="U482" s="42" t="inlineStr">
        <is>
          <t>Tier 1B (Micro Drop, 1-3 km)</t>
        </is>
      </c>
      <c r="V482" s="24" t="n">
        <v>74.2</v>
      </c>
      <c r="W482" s="24" t="n">
        <v>66.09999999999999</v>
      </c>
      <c r="X482" s="24" t="n">
        <v>58</v>
      </c>
      <c r="Y482" s="45">
        <f>ROUND((V482*'Methodology &amp; Assumptions'!$B$6)+(W482*'Methodology &amp; Assumptions'!$B$5)+(X482*'Methodology &amp; Assumptions'!$B$7), 2)</f>
        <v/>
      </c>
    </row>
    <row r="483" ht="19" customHeight="1">
      <c r="A483" s="35" t="n">
        <v>479</v>
      </c>
      <c r="B483" s="35" t="n">
        <v>3479</v>
      </c>
      <c r="C483" s="36" t="inlineStr">
        <is>
          <t>0403427012</t>
        </is>
      </c>
      <c r="D483" s="36" t="inlineStr">
        <is>
          <t>Region IV-A (CALABARZON)</t>
        </is>
      </c>
      <c r="E483" s="36" t="inlineStr">
        <is>
          <t>Laguna</t>
        </is>
      </c>
      <c r="F483" s="36" t="inlineStr">
        <is>
          <t>Santa Maria</t>
        </is>
      </c>
      <c r="G483" s="36" t="inlineStr">
        <is>
          <t>Kayhakat</t>
        </is>
      </c>
      <c r="H483" s="37" t="n">
        <v>14.470116</v>
      </c>
      <c r="I483" s="37" t="n">
        <v>121.41729</v>
      </c>
      <c r="J483" s="8" t="inlineStr">
        <is>
          <t>R</t>
        </is>
      </c>
      <c r="K483" s="36" t="inlineStr">
        <is>
          <t>2nd</t>
        </is>
      </c>
      <c r="L483" s="18" t="n">
        <v>1387</v>
      </c>
      <c r="M483" s="20" t="n">
        <v>4.2</v>
      </c>
      <c r="N483" s="18">
        <f>ROUND(L483/M483, 0)</f>
        <v/>
      </c>
      <c r="O483" s="18">
        <f>ROUND(N483*'Methodology &amp; Assumptions'!$B$8, 0)</f>
        <v/>
      </c>
      <c r="P483" s="8" t="inlineStr">
        <is>
          <t>Band n50 (1.5 GHz, 60 MHz)</t>
        </is>
      </c>
      <c r="Q483" s="38">
        <f>ROUNDUP(O483/'Methodology &amp; Assumptions'!$B$9, 0)</f>
        <v/>
      </c>
      <c r="R483" s="39" t="n">
        <v>1</v>
      </c>
      <c r="S483" s="21" t="n">
        <v>0.32</v>
      </c>
      <c r="T483" s="21" t="n">
        <v>2.78</v>
      </c>
      <c r="U483" s="36" t="inlineStr">
        <is>
          <t>Tier 1A (Direct Coloc, &lt;1 km)</t>
        </is>
      </c>
      <c r="V483" s="20" t="n">
        <v>89.90000000000001</v>
      </c>
      <c r="W483" s="20" t="n">
        <v>50.4</v>
      </c>
      <c r="X483" s="20" t="n">
        <v>58</v>
      </c>
      <c r="Y483" s="40">
        <f>ROUND((V483*'Methodology &amp; Assumptions'!$B$6)+(W483*'Methodology &amp; Assumptions'!$B$5)+(X483*'Methodology &amp; Assumptions'!$B$7), 2)</f>
        <v/>
      </c>
    </row>
    <row r="484" ht="19" customHeight="1">
      <c r="A484" s="41" t="n">
        <v>480</v>
      </c>
      <c r="B484" s="41" t="n">
        <v>3480</v>
      </c>
      <c r="C484" s="42" t="inlineStr">
        <is>
          <t>0401014040</t>
        </is>
      </c>
      <c r="D484" s="42" t="inlineStr">
        <is>
          <t>Region IV-A (CALABARZON)</t>
        </is>
      </c>
      <c r="E484" s="42" t="inlineStr">
        <is>
          <t>Batangas</t>
        </is>
      </c>
      <c r="F484" s="42" t="inlineStr">
        <is>
          <t>City of Lipa</t>
        </is>
      </c>
      <c r="G484" s="42" t="inlineStr">
        <is>
          <t>Poblacion Barangay 1</t>
        </is>
      </c>
      <c r="H484" s="43" t="n">
        <v>13.9404</v>
      </c>
      <c r="I484" s="43" t="n">
        <v>121.1579</v>
      </c>
      <c r="J484" s="44" t="inlineStr">
        <is>
          <t>U</t>
        </is>
      </c>
      <c r="K484" s="42" t="inlineStr">
        <is>
          <t>Class 1-3 / Urban</t>
        </is>
      </c>
      <c r="L484" s="23" t="n">
        <v>3512</v>
      </c>
      <c r="M484" s="24" t="n">
        <v>4.62</v>
      </c>
      <c r="N484" s="23">
        <f>ROUND(L484/M484, 0)</f>
        <v/>
      </c>
      <c r="O484" s="23">
        <f>ROUND(N484*'Methodology &amp; Assumptions'!$B$8, 0)</f>
        <v/>
      </c>
      <c r="P484" s="44" t="inlineStr">
        <is>
          <t>Band n50 (1.5 GHz, 60 MHz)</t>
        </is>
      </c>
      <c r="Q484" s="38">
        <f>ROUNDUP(O484/'Methodology &amp; Assumptions'!$B$9, 0)</f>
        <v/>
      </c>
      <c r="R484" s="39" t="n">
        <v>1</v>
      </c>
      <c r="S484" s="25" t="n">
        <v>1.02</v>
      </c>
      <c r="T484" s="25" t="n">
        <v>0.09</v>
      </c>
      <c r="U484" s="42" t="inlineStr">
        <is>
          <t>Tier 1B (Micro Drop, 1-3 km)</t>
        </is>
      </c>
      <c r="V484" s="24" t="n">
        <v>81.2</v>
      </c>
      <c r="W484" s="24" t="n">
        <v>84.8</v>
      </c>
      <c r="X484" s="24" t="n">
        <v>28</v>
      </c>
      <c r="Y484" s="45">
        <f>ROUND((V484*'Methodology &amp; Assumptions'!$B$6)+(W484*'Methodology &amp; Assumptions'!$B$5)+(X484*'Methodology &amp; Assumptions'!$B$7), 2)</f>
        <v/>
      </c>
    </row>
    <row r="485" ht="19" customHeight="1">
      <c r="A485" s="35" t="n">
        <v>481</v>
      </c>
      <c r="B485" s="35" t="n">
        <v>3481</v>
      </c>
      <c r="C485" s="36" t="inlineStr">
        <is>
          <t>0402106057</t>
        </is>
      </c>
      <c r="D485" s="36" t="inlineStr">
        <is>
          <t>Region IV-A (CALABARZON)</t>
        </is>
      </c>
      <c r="E485" s="36" t="inlineStr">
        <is>
          <t>Cavite</t>
        </is>
      </c>
      <c r="F485" s="36" t="inlineStr">
        <is>
          <t>City of Dasmariñas</t>
        </is>
      </c>
      <c r="G485" s="36" t="inlineStr">
        <is>
          <t>Saint Peter II</t>
        </is>
      </c>
      <c r="H485" s="37" t="n">
        <v>14.343712</v>
      </c>
      <c r="I485" s="37" t="n">
        <v>120.94528</v>
      </c>
      <c r="J485" s="8" t="inlineStr">
        <is>
          <t>R</t>
        </is>
      </c>
      <c r="K485" s="36" t="inlineStr">
        <is>
          <t>Class 1-3 / Urban</t>
        </is>
      </c>
      <c r="L485" s="18" t="n">
        <v>2471</v>
      </c>
      <c r="M485" s="20" t="n">
        <v>4.49</v>
      </c>
      <c r="N485" s="18">
        <f>ROUND(L485/M485, 0)</f>
        <v/>
      </c>
      <c r="O485" s="18">
        <f>ROUND(N485*'Methodology &amp; Assumptions'!$B$8, 0)</f>
        <v/>
      </c>
      <c r="P485" s="8" t="inlineStr">
        <is>
          <t>Band n50 (1.5 GHz, 60 MHz)</t>
        </is>
      </c>
      <c r="Q485" s="38">
        <f>ROUNDUP(O485/'Methodology &amp; Assumptions'!$B$9, 0)</f>
        <v/>
      </c>
      <c r="R485" s="39" t="n">
        <v>1</v>
      </c>
      <c r="S485" s="21" t="n">
        <v>0.97</v>
      </c>
      <c r="T485" s="21" t="n">
        <v>4.75</v>
      </c>
      <c r="U485" s="36" t="inlineStr">
        <is>
          <t>Tier 1A (Direct Coloc, &lt;1 km)</t>
        </is>
      </c>
      <c r="V485" s="20" t="n">
        <v>72.3</v>
      </c>
      <c r="W485" s="20" t="n">
        <v>68</v>
      </c>
      <c r="X485" s="20" t="n">
        <v>58</v>
      </c>
      <c r="Y485" s="40">
        <f>ROUND((V485*'Methodology &amp; Assumptions'!$B$6)+(W485*'Methodology &amp; Assumptions'!$B$5)+(X485*'Methodology &amp; Assumptions'!$B$7), 2)</f>
        <v/>
      </c>
    </row>
    <row r="486" ht="19" customHeight="1">
      <c r="A486" s="41" t="n">
        <v>482</v>
      </c>
      <c r="B486" s="41" t="n">
        <v>3482</v>
      </c>
      <c r="C486" s="42" t="inlineStr">
        <is>
          <t>0405618035</t>
        </is>
      </c>
      <c r="D486" s="42" t="inlineStr">
        <is>
          <t>Region IV-A (CALABARZON)</t>
        </is>
      </c>
      <c r="E486" s="42" t="inlineStr">
        <is>
          <t>Quezon</t>
        </is>
      </c>
      <c r="F486" s="42" t="inlineStr">
        <is>
          <t>Guinayangan</t>
        </is>
      </c>
      <c r="G486" s="42" t="inlineStr">
        <is>
          <t>Poblacion</t>
        </is>
      </c>
      <c r="H486" s="43" t="n">
        <v>13.899063</v>
      </c>
      <c r="I486" s="43" t="n">
        <v>122.45248</v>
      </c>
      <c r="J486" s="44" t="inlineStr">
        <is>
          <t>R</t>
        </is>
      </c>
      <c r="K486" s="42" t="inlineStr">
        <is>
          <t>Class 1-3 / Urban</t>
        </is>
      </c>
      <c r="L486" s="23" t="n">
        <v>1787</v>
      </c>
      <c r="M486" s="24" t="n">
        <v>4.46</v>
      </c>
      <c r="N486" s="23">
        <f>ROUND(L486/M486, 0)</f>
        <v/>
      </c>
      <c r="O486" s="23">
        <f>ROUND(N486*'Methodology &amp; Assumptions'!$B$8, 0)</f>
        <v/>
      </c>
      <c r="P486" s="44" t="inlineStr">
        <is>
          <t>Band n50 (1.5 GHz, 60 MHz)</t>
        </is>
      </c>
      <c r="Q486" s="38">
        <f>ROUNDUP(O486/'Methodology &amp; Assumptions'!$B$9, 0)</f>
        <v/>
      </c>
      <c r="R486" s="39" t="n">
        <v>1</v>
      </c>
      <c r="S486" s="25" t="n">
        <v>0.51</v>
      </c>
      <c r="T486" s="25" t="n">
        <v>11.61</v>
      </c>
      <c r="U486" s="42" t="inlineStr">
        <is>
          <t>Tier 1A (Direct Coloc, &lt;1 km)</t>
        </is>
      </c>
      <c r="V486" s="24" t="n">
        <v>84.3</v>
      </c>
      <c r="W486" s="24" t="n">
        <v>56</v>
      </c>
      <c r="X486" s="24" t="n">
        <v>58</v>
      </c>
      <c r="Y486" s="45">
        <f>ROUND((V486*'Methodology &amp; Assumptions'!$B$6)+(W486*'Methodology &amp; Assumptions'!$B$5)+(X486*'Methodology &amp; Assumptions'!$B$7), 2)</f>
        <v/>
      </c>
    </row>
    <row r="487" ht="19" customHeight="1">
      <c r="A487" s="35" t="n">
        <v>483</v>
      </c>
      <c r="B487" s="35" t="n">
        <v>3483</v>
      </c>
      <c r="C487" s="36" t="inlineStr">
        <is>
          <t>0405610012</t>
        </is>
      </c>
      <c r="D487" s="36" t="inlineStr">
        <is>
          <t>Region IV-A (CALABARZON)</t>
        </is>
      </c>
      <c r="E487" s="36" t="inlineStr">
        <is>
          <t>Quezon</t>
        </is>
      </c>
      <c r="F487" s="36" t="inlineStr">
        <is>
          <t>Catanauan</t>
        </is>
      </c>
      <c r="G487" s="36" t="inlineStr">
        <is>
          <t>Bolo</t>
        </is>
      </c>
      <c r="H487" s="37" t="n">
        <v>13.625617</v>
      </c>
      <c r="I487" s="37" t="n">
        <v>122.258255</v>
      </c>
      <c r="J487" s="8" t="inlineStr">
        <is>
          <t>R</t>
        </is>
      </c>
      <c r="K487" s="36" t="inlineStr">
        <is>
          <t>Class 1-3 / Urban</t>
        </is>
      </c>
      <c r="L487" s="18" t="n">
        <v>1531</v>
      </c>
      <c r="M487" s="20" t="n">
        <v>4.46</v>
      </c>
      <c r="N487" s="18">
        <f>ROUND(L487/M487, 0)</f>
        <v/>
      </c>
      <c r="O487" s="18">
        <f>ROUND(N487*'Methodology &amp; Assumptions'!$B$8, 0)</f>
        <v/>
      </c>
      <c r="P487" s="8" t="inlineStr">
        <is>
          <t>Band n50 (1.5 GHz, 60 MHz)</t>
        </is>
      </c>
      <c r="Q487" s="38">
        <f>ROUNDUP(O487/'Methodology &amp; Assumptions'!$B$9, 0)</f>
        <v/>
      </c>
      <c r="R487" s="39" t="n">
        <v>1</v>
      </c>
      <c r="S487" s="21" t="n">
        <v>0.71</v>
      </c>
      <c r="T487" s="21" t="n">
        <v>0.28</v>
      </c>
      <c r="U487" s="36" t="inlineStr">
        <is>
          <t>Tier 1A (Direct Coloc, &lt;1 km)</t>
        </is>
      </c>
      <c r="V487" s="20" t="n">
        <v>88.8</v>
      </c>
      <c r="W487" s="20" t="n">
        <v>51.5</v>
      </c>
      <c r="X487" s="20" t="n">
        <v>58</v>
      </c>
      <c r="Y487" s="40">
        <f>ROUND((V487*'Methodology &amp; Assumptions'!$B$6)+(W487*'Methodology &amp; Assumptions'!$B$5)+(X487*'Methodology &amp; Assumptions'!$B$7), 2)</f>
        <v/>
      </c>
    </row>
    <row r="488" ht="19" customHeight="1">
      <c r="A488" s="41" t="n">
        <v>484</v>
      </c>
      <c r="B488" s="41" t="n">
        <v>3484</v>
      </c>
      <c r="C488" s="42" t="inlineStr">
        <is>
          <t>0731300016</t>
        </is>
      </c>
      <c r="D488" s="42" t="inlineStr">
        <is>
          <t>Region VII (Central Visayas)</t>
        </is>
      </c>
      <c r="E488" s="42" t="inlineStr">
        <is>
          <t>Cebu</t>
        </is>
      </c>
      <c r="F488" s="42" t="inlineStr">
        <is>
          <t>City of Mandaue</t>
        </is>
      </c>
      <c r="G488" s="42" t="inlineStr">
        <is>
          <t>Looc</t>
        </is>
      </c>
      <c r="H488" s="43" t="n">
        <v>10.322647</v>
      </c>
      <c r="I488" s="43" t="n">
        <v>123.954277</v>
      </c>
      <c r="J488" s="44" t="inlineStr">
        <is>
          <t>U</t>
        </is>
      </c>
      <c r="K488" s="42" t="inlineStr">
        <is>
          <t>Class 1-3 / Urban</t>
        </is>
      </c>
      <c r="L488" s="23" t="n">
        <v>17395</v>
      </c>
      <c r="M488" s="24" t="n">
        <v>4.42</v>
      </c>
      <c r="N488" s="23">
        <f>ROUND(L488/M488, 0)</f>
        <v/>
      </c>
      <c r="O488" s="23">
        <f>ROUND(N488*'Methodology &amp; Assumptions'!$B$8, 0)</f>
        <v/>
      </c>
      <c r="P488" s="44" t="inlineStr">
        <is>
          <t>Band n50 (1.5 GHz, 60 MHz)</t>
        </is>
      </c>
      <c r="Q488" s="38">
        <f>ROUNDUP(O488/'Methodology &amp; Assumptions'!$B$9, 0)</f>
        <v/>
      </c>
      <c r="R488" s="39" t="n">
        <v>1</v>
      </c>
      <c r="S488" s="25" t="n">
        <v>1.25</v>
      </c>
      <c r="T488" s="25" t="n">
        <v>2.07</v>
      </c>
      <c r="U488" s="42" t="inlineStr">
        <is>
          <t>Tier 1B (Micro Drop, 1-3 km)</t>
        </is>
      </c>
      <c r="V488" s="24" t="n">
        <v>66</v>
      </c>
      <c r="W488" s="24" t="n">
        <v>100</v>
      </c>
      <c r="X488" s="24" t="n">
        <v>28</v>
      </c>
      <c r="Y488" s="45">
        <f>ROUND((V488*'Methodology &amp; Assumptions'!$B$6)+(W488*'Methodology &amp; Assumptions'!$B$5)+(X488*'Methodology &amp; Assumptions'!$B$7), 2)</f>
        <v/>
      </c>
    </row>
    <row r="489" ht="19" customHeight="1">
      <c r="A489" s="35" t="n">
        <v>485</v>
      </c>
      <c r="B489" s="35" t="n">
        <v>3485</v>
      </c>
      <c r="C489" s="36" t="inlineStr">
        <is>
          <t>0403425001</t>
        </is>
      </c>
      <c r="D489" s="36" t="inlineStr">
        <is>
          <t>Region IV-A (CALABARZON)</t>
        </is>
      </c>
      <c r="E489" s="36" t="inlineStr">
        <is>
          <t>Laguna</t>
        </is>
      </c>
      <c r="F489" s="36" t="inlineStr">
        <is>
          <t>City of San Pedro</t>
        </is>
      </c>
      <c r="G489" s="36" t="inlineStr">
        <is>
          <t>Bagong Silang</t>
        </is>
      </c>
      <c r="H489" s="37" t="n">
        <v>14.335637</v>
      </c>
      <c r="I489" s="37" t="n">
        <v>121.0269</v>
      </c>
      <c r="J489" s="8" t="inlineStr">
        <is>
          <t>U</t>
        </is>
      </c>
      <c r="K489" s="36" t="inlineStr">
        <is>
          <t>Class 1-3 / Urban</t>
        </is>
      </c>
      <c r="L489" s="18" t="n">
        <v>5736</v>
      </c>
      <c r="M489" s="20" t="n">
        <v>4.2</v>
      </c>
      <c r="N489" s="18">
        <f>ROUND(L489/M489, 0)</f>
        <v/>
      </c>
      <c r="O489" s="18">
        <f>ROUND(N489*'Methodology &amp; Assumptions'!$B$8, 0)</f>
        <v/>
      </c>
      <c r="P489" s="8" t="inlineStr">
        <is>
          <t>Band n50 (1.5 GHz, 60 MHz)</t>
        </is>
      </c>
      <c r="Q489" s="38">
        <f>ROUNDUP(O489/'Methodology &amp; Assumptions'!$B$9, 0)</f>
        <v/>
      </c>
      <c r="R489" s="39" t="n">
        <v>1</v>
      </c>
      <c r="S489" s="21" t="n">
        <v>1.74</v>
      </c>
      <c r="T489" s="21" t="n">
        <v>1.76</v>
      </c>
      <c r="U489" s="36" t="inlineStr">
        <is>
          <t>Tier 1B (Micro Drop, 1-3 km)</t>
        </is>
      </c>
      <c r="V489" s="20" t="n">
        <v>66</v>
      </c>
      <c r="W489" s="20" t="n">
        <v>100</v>
      </c>
      <c r="X489" s="20" t="n">
        <v>28</v>
      </c>
      <c r="Y489" s="40">
        <f>ROUND((V489*'Methodology &amp; Assumptions'!$B$6)+(W489*'Methodology &amp; Assumptions'!$B$5)+(X489*'Methodology &amp; Assumptions'!$B$7), 2)</f>
        <v/>
      </c>
    </row>
    <row r="490" ht="19" customHeight="1">
      <c r="A490" s="41" t="n">
        <v>486</v>
      </c>
      <c r="B490" s="41" t="n">
        <v>3486</v>
      </c>
      <c r="C490" s="42" t="inlineStr">
        <is>
          <t>0304923022</t>
        </is>
      </c>
      <c r="D490" s="42" t="inlineStr">
        <is>
          <t>Region III (Central Luzon)</t>
        </is>
      </c>
      <c r="E490" s="42" t="inlineStr">
        <is>
          <t>Nueva Ecija</t>
        </is>
      </c>
      <c r="F490" s="42" t="inlineStr">
        <is>
          <t>Rizal</t>
        </is>
      </c>
      <c r="G490" s="42" t="inlineStr">
        <is>
          <t>Pag-asa</t>
        </is>
      </c>
      <c r="H490" s="43" t="n">
        <v>15.585783</v>
      </c>
      <c r="I490" s="43" t="n">
        <v>120.924577</v>
      </c>
      <c r="J490" s="44" t="inlineStr">
        <is>
          <t>R</t>
        </is>
      </c>
      <c r="K490" s="42" t="inlineStr">
        <is>
          <t>Class 1-3 / Urban</t>
        </is>
      </c>
      <c r="L490" s="23" t="n">
        <v>1466</v>
      </c>
      <c r="M490" s="24" t="n">
        <v>4.32</v>
      </c>
      <c r="N490" s="23">
        <f>ROUND(L490/M490, 0)</f>
        <v/>
      </c>
      <c r="O490" s="23">
        <f>ROUND(N490*'Methodology &amp; Assumptions'!$B$8, 0)</f>
        <v/>
      </c>
      <c r="P490" s="44" t="inlineStr">
        <is>
          <t>Band n50 (1.5 GHz, 60 MHz)</t>
        </is>
      </c>
      <c r="Q490" s="38">
        <f>ROUNDUP(O490/'Methodology &amp; Assumptions'!$B$9, 0)</f>
        <v/>
      </c>
      <c r="R490" s="39" t="n">
        <v>1</v>
      </c>
      <c r="S490" s="25" t="n">
        <v>0.71</v>
      </c>
      <c r="T490" s="25" t="n">
        <v>0.52</v>
      </c>
      <c r="U490" s="42" t="inlineStr">
        <is>
          <t>Tier 1A (Direct Coloc, &lt;1 km)</t>
        </is>
      </c>
      <c r="V490" s="24" t="n">
        <v>89</v>
      </c>
      <c r="W490" s="24" t="n">
        <v>51.2</v>
      </c>
      <c r="X490" s="24" t="n">
        <v>58</v>
      </c>
      <c r="Y490" s="45">
        <f>ROUND((V490*'Methodology &amp; Assumptions'!$B$6)+(W490*'Methodology &amp; Assumptions'!$B$5)+(X490*'Methodology &amp; Assumptions'!$B$7), 2)</f>
        <v/>
      </c>
    </row>
    <row r="491" ht="19" customHeight="1">
      <c r="A491" s="35" t="n">
        <v>487</v>
      </c>
      <c r="B491" s="35" t="n">
        <v>3487</v>
      </c>
      <c r="C491" s="36" t="inlineStr">
        <is>
          <t>0301409017</t>
        </is>
      </c>
      <c r="D491" s="36" t="inlineStr">
        <is>
          <t>Region III (Central Luzon)</t>
        </is>
      </c>
      <c r="E491" s="36" t="inlineStr">
        <is>
          <t>Bulacan</t>
        </is>
      </c>
      <c r="F491" s="36" t="inlineStr">
        <is>
          <t>Hagonoy</t>
        </is>
      </c>
      <c r="G491" s="36" t="inlineStr">
        <is>
          <t>San Pedro</t>
        </is>
      </c>
      <c r="H491" s="37" t="n">
        <v>14.839409</v>
      </c>
      <c r="I491" s="37" t="n">
        <v>120.763056</v>
      </c>
      <c r="J491" s="8" t="inlineStr">
        <is>
          <t>U</t>
        </is>
      </c>
      <c r="K491" s="36" t="inlineStr">
        <is>
          <t>Class 1-3 / Urban</t>
        </is>
      </c>
      <c r="L491" s="18" t="n">
        <v>5698</v>
      </c>
      <c r="M491" s="20" t="n">
        <v>4.1</v>
      </c>
      <c r="N491" s="18">
        <f>ROUND(L491/M491, 0)</f>
        <v/>
      </c>
      <c r="O491" s="18">
        <f>ROUND(N491*'Methodology &amp; Assumptions'!$B$8, 0)</f>
        <v/>
      </c>
      <c r="P491" s="8" t="inlineStr">
        <is>
          <t>Band n50 (1.5 GHz, 60 MHz)</t>
        </is>
      </c>
      <c r="Q491" s="38">
        <f>ROUNDUP(O491/'Methodology &amp; Assumptions'!$B$9, 0)</f>
        <v/>
      </c>
      <c r="R491" s="39" t="n">
        <v>1</v>
      </c>
      <c r="S491" s="21" t="n">
        <v>1.25</v>
      </c>
      <c r="T491" s="21" t="n">
        <v>3.17</v>
      </c>
      <c r="U491" s="36" t="inlineStr">
        <is>
          <t>Tier 1B (Micro Drop, 1-3 km)</t>
        </is>
      </c>
      <c r="V491" s="20" t="n">
        <v>66</v>
      </c>
      <c r="W491" s="20" t="n">
        <v>100</v>
      </c>
      <c r="X491" s="20" t="n">
        <v>28</v>
      </c>
      <c r="Y491" s="40">
        <f>ROUND((V491*'Methodology &amp; Assumptions'!$B$6)+(W491*'Methodology &amp; Assumptions'!$B$5)+(X491*'Methodology &amp; Assumptions'!$B$7), 2)</f>
        <v/>
      </c>
    </row>
    <row r="492" ht="19" customHeight="1">
      <c r="A492" s="41" t="n">
        <v>488</v>
      </c>
      <c r="B492" s="41" t="n">
        <v>3488</v>
      </c>
      <c r="C492" s="42" t="inlineStr">
        <is>
          <t>0304925012</t>
        </is>
      </c>
      <c r="D492" s="42" t="inlineStr">
        <is>
          <t>Region III (Central Luzon)</t>
        </is>
      </c>
      <c r="E492" s="42" t="inlineStr">
        <is>
          <t>Nueva Ecija</t>
        </is>
      </c>
      <c r="F492" s="42" t="inlineStr">
        <is>
          <t>San Isidro</t>
        </is>
      </c>
      <c r="G492" s="42" t="inlineStr">
        <is>
          <t>Tabon</t>
        </is>
      </c>
      <c r="H492" s="43" t="n">
        <v>15.270081</v>
      </c>
      <c r="I492" s="43" t="n">
        <v>120.913208</v>
      </c>
      <c r="J492" s="44" t="inlineStr">
        <is>
          <t>R</t>
        </is>
      </c>
      <c r="K492" s="42" t="inlineStr">
        <is>
          <t>Class 1-3 / Urban</t>
        </is>
      </c>
      <c r="L492" s="23" t="n">
        <v>4388</v>
      </c>
      <c r="M492" s="24" t="n">
        <v>4.32</v>
      </c>
      <c r="N492" s="23">
        <f>ROUND(L492/M492, 0)</f>
        <v/>
      </c>
      <c r="O492" s="23">
        <f>ROUND(N492*'Methodology &amp; Assumptions'!$B$8, 0)</f>
        <v/>
      </c>
      <c r="P492" s="44" t="inlineStr">
        <is>
          <t>Band n50 (1.5 GHz, 60 MHz)</t>
        </is>
      </c>
      <c r="Q492" s="38">
        <f>ROUNDUP(O492/'Methodology &amp; Assumptions'!$B$9, 0)</f>
        <v/>
      </c>
      <c r="R492" s="39" t="n">
        <v>1</v>
      </c>
      <c r="S492" s="25" t="n">
        <v>3.89</v>
      </c>
      <c r="T492" s="25" t="n">
        <v>3.76</v>
      </c>
      <c r="U492" s="42" t="inlineStr">
        <is>
          <t>Tier 2 (Fiber Corridor / Lateral, 3-5 km)</t>
        </is>
      </c>
      <c r="V492" s="24" t="n">
        <v>27.4</v>
      </c>
      <c r="W492" s="24" t="n">
        <v>100</v>
      </c>
      <c r="X492" s="24" t="n">
        <v>73</v>
      </c>
      <c r="Y492" s="45">
        <f>ROUND((V492*'Methodology &amp; Assumptions'!$B$6)+(W492*'Methodology &amp; Assumptions'!$B$5)+(X492*'Methodology &amp; Assumptions'!$B$7), 2)</f>
        <v/>
      </c>
    </row>
    <row r="493" ht="19" customHeight="1">
      <c r="A493" s="35" t="n">
        <v>489</v>
      </c>
      <c r="B493" s="35" t="n">
        <v>3489</v>
      </c>
      <c r="C493" s="36" t="inlineStr">
        <is>
          <t>0301407011</t>
        </is>
      </c>
      <c r="D493" s="36" t="inlineStr">
        <is>
          <t>Region III (Central Luzon)</t>
        </is>
      </c>
      <c r="E493" s="36" t="inlineStr">
        <is>
          <t>Bulacan</t>
        </is>
      </c>
      <c r="F493" s="36" t="inlineStr">
        <is>
          <t>Calumpit</t>
        </is>
      </c>
      <c r="G493" s="36" t="inlineStr">
        <is>
          <t>Gatbuca</t>
        </is>
      </c>
      <c r="H493" s="37" t="n">
        <v>14.921986</v>
      </c>
      <c r="I493" s="37" t="n">
        <v>120.768859</v>
      </c>
      <c r="J493" s="8" t="inlineStr">
        <is>
          <t>U</t>
        </is>
      </c>
      <c r="K493" s="36" t="inlineStr">
        <is>
          <t>Class 1-3 / Urban</t>
        </is>
      </c>
      <c r="L493" s="18" t="n">
        <v>6384</v>
      </c>
      <c r="M493" s="20" t="n">
        <v>4.1</v>
      </c>
      <c r="N493" s="18">
        <f>ROUND(L493/M493, 0)</f>
        <v/>
      </c>
      <c r="O493" s="18">
        <f>ROUND(N493*'Methodology &amp; Assumptions'!$B$8, 0)</f>
        <v/>
      </c>
      <c r="P493" s="8" t="inlineStr">
        <is>
          <t>Band n50 (1.5 GHz, 60 MHz)</t>
        </is>
      </c>
      <c r="Q493" s="38">
        <f>ROUNDUP(O493/'Methodology &amp; Assumptions'!$B$9, 0)</f>
        <v/>
      </c>
      <c r="R493" s="39" t="n">
        <v>1</v>
      </c>
      <c r="S493" s="21" t="n">
        <v>1.74</v>
      </c>
      <c r="T493" s="21" t="n">
        <v>0.36</v>
      </c>
      <c r="U493" s="36" t="inlineStr">
        <is>
          <t>Tier 1B (Micro Drop, 1-3 km)</t>
        </is>
      </c>
      <c r="V493" s="20" t="n">
        <v>65.90000000000001</v>
      </c>
      <c r="W493" s="20" t="n">
        <v>100</v>
      </c>
      <c r="X493" s="20" t="n">
        <v>28</v>
      </c>
      <c r="Y493" s="40">
        <f>ROUND((V493*'Methodology &amp; Assumptions'!$B$6)+(W493*'Methodology &amp; Assumptions'!$B$5)+(X493*'Methodology &amp; Assumptions'!$B$7), 2)</f>
        <v/>
      </c>
    </row>
    <row r="494" ht="19" customHeight="1">
      <c r="A494" s="41" t="n">
        <v>490</v>
      </c>
      <c r="B494" s="41" t="n">
        <v>3490</v>
      </c>
      <c r="C494" s="42" t="inlineStr">
        <is>
          <t>0403408009</t>
        </is>
      </c>
      <c r="D494" s="42" t="inlineStr">
        <is>
          <t>Region IV-A (CALABARZON)</t>
        </is>
      </c>
      <c r="E494" s="42" t="inlineStr">
        <is>
          <t>Laguna</t>
        </is>
      </c>
      <c r="F494" s="42" t="inlineStr">
        <is>
          <t>Famy</t>
        </is>
      </c>
      <c r="G494" s="42" t="inlineStr">
        <is>
          <t>Calumpang</t>
        </is>
      </c>
      <c r="H494" s="43" t="n">
        <v>14.436307</v>
      </c>
      <c r="I494" s="43" t="n">
        <v>121.448588</v>
      </c>
      <c r="J494" s="44" t="inlineStr">
        <is>
          <t>R</t>
        </is>
      </c>
      <c r="K494" s="42" t="inlineStr">
        <is>
          <t>4th</t>
        </is>
      </c>
      <c r="L494" s="23" t="n">
        <v>362</v>
      </c>
      <c r="M494" s="24" t="n">
        <v>4.03</v>
      </c>
      <c r="N494" s="23">
        <f>ROUND(L494/M494, 0)</f>
        <v/>
      </c>
      <c r="O494" s="23">
        <f>ROUND(N494*'Methodology &amp; Assumptions'!$B$8, 0)</f>
        <v/>
      </c>
      <c r="P494" s="44" t="inlineStr">
        <is>
          <t>Band n50 (1.5 GHz, 60 MHz)</t>
        </is>
      </c>
      <c r="Q494" s="38">
        <f>ROUNDUP(O494/'Methodology &amp; Assumptions'!$B$9, 0)</f>
        <v/>
      </c>
      <c r="R494" s="39" t="n">
        <v>1</v>
      </c>
      <c r="S494" s="25" t="n">
        <v>0.18</v>
      </c>
      <c r="T494" s="25" t="n">
        <v>0.08</v>
      </c>
      <c r="U494" s="42" t="inlineStr">
        <is>
          <t>Tier 1A (Direct Coloc, &lt;1 km)</t>
        </is>
      </c>
      <c r="V494" s="24" t="n">
        <v>100</v>
      </c>
      <c r="W494" s="24" t="n">
        <v>31.2</v>
      </c>
      <c r="X494" s="24" t="n">
        <v>68.5</v>
      </c>
      <c r="Y494" s="45">
        <f>ROUND((V494*'Methodology &amp; Assumptions'!$B$6)+(W494*'Methodology &amp; Assumptions'!$B$5)+(X494*'Methodology &amp; Assumptions'!$B$7), 2)</f>
        <v/>
      </c>
    </row>
    <row r="495" ht="19" customHeight="1">
      <c r="A495" s="35" t="n">
        <v>491</v>
      </c>
      <c r="B495" s="35" t="n">
        <v>3491</v>
      </c>
      <c r="C495" s="36" t="inlineStr">
        <is>
          <t>0205007002</t>
        </is>
      </c>
      <c r="D495" s="36" t="inlineStr">
        <is>
          <t>Region II (Cagayan Valley)</t>
        </is>
      </c>
      <c r="E495" s="36" t="inlineStr">
        <is>
          <t>Nueva Vizcaya</t>
        </is>
      </c>
      <c r="F495" s="36" t="inlineStr">
        <is>
          <t>Dupax del Norte</t>
        </is>
      </c>
      <c r="G495" s="36" t="inlineStr">
        <is>
          <t>Belance</t>
        </is>
      </c>
      <c r="H495" s="37" t="n">
        <v>16.196156</v>
      </c>
      <c r="I495" s="37" t="n">
        <v>121.23874</v>
      </c>
      <c r="J495" s="8" t="inlineStr">
        <is>
          <t>R</t>
        </is>
      </c>
      <c r="K495" s="36" t="inlineStr">
        <is>
          <t>Class 1-3 / Urban</t>
        </is>
      </c>
      <c r="L495" s="18" t="n">
        <v>3526</v>
      </c>
      <c r="M495" s="20" t="n">
        <v>4.19</v>
      </c>
      <c r="N495" s="18">
        <f>ROUND(L495/M495, 0)</f>
        <v/>
      </c>
      <c r="O495" s="18">
        <f>ROUND(N495*'Methodology &amp; Assumptions'!$B$8, 0)</f>
        <v/>
      </c>
      <c r="P495" s="8" t="inlineStr">
        <is>
          <t>Band n50 (1.5 GHz, 60 MHz)</t>
        </is>
      </c>
      <c r="Q495" s="38">
        <f>ROUNDUP(O495/'Methodology &amp; Assumptions'!$B$9, 0)</f>
        <v/>
      </c>
      <c r="R495" s="39" t="n">
        <v>1</v>
      </c>
      <c r="S495" s="21" t="n">
        <v>2.16</v>
      </c>
      <c r="T495" s="21" t="n">
        <v>22.79</v>
      </c>
      <c r="U495" s="36" t="inlineStr">
        <is>
          <t>Tier 1B (Micro Drop, 1-3 km)</t>
        </is>
      </c>
      <c r="V495" s="20" t="n">
        <v>48.7</v>
      </c>
      <c r="W495" s="20" t="n">
        <v>91.5</v>
      </c>
      <c r="X495" s="20" t="n">
        <v>58</v>
      </c>
      <c r="Y495" s="40">
        <f>ROUND((V495*'Methodology &amp; Assumptions'!$B$6)+(W495*'Methodology &amp; Assumptions'!$B$5)+(X495*'Methodology &amp; Assumptions'!$B$7), 2)</f>
        <v/>
      </c>
    </row>
    <row r="496" ht="19" customHeight="1">
      <c r="A496" s="41" t="n">
        <v>492</v>
      </c>
      <c r="B496" s="41" t="n">
        <v>3492</v>
      </c>
      <c r="C496" s="42" t="inlineStr">
        <is>
          <t>0103313030</t>
        </is>
      </c>
      <c r="D496" s="42" t="inlineStr">
        <is>
          <t>Region I (Ilocos Region)</t>
        </is>
      </c>
      <c r="E496" s="42" t="inlineStr">
        <is>
          <t>La Union</t>
        </is>
      </c>
      <c r="F496" s="42" t="inlineStr">
        <is>
          <t>Rosario</t>
        </is>
      </c>
      <c r="G496" s="42" t="inlineStr">
        <is>
          <t>Tabtabungao</t>
        </is>
      </c>
      <c r="H496" s="43" t="n">
        <v>16.213352</v>
      </c>
      <c r="I496" s="43" t="n">
        <v>120.468609</v>
      </c>
      <c r="J496" s="44" t="inlineStr">
        <is>
          <t>R</t>
        </is>
      </c>
      <c r="K496" s="42" t="inlineStr">
        <is>
          <t>Class 1-3 / Urban</t>
        </is>
      </c>
      <c r="L496" s="23" t="n">
        <v>3253</v>
      </c>
      <c r="M496" s="24" t="n">
        <v>4.42</v>
      </c>
      <c r="N496" s="23">
        <f>ROUND(L496/M496, 0)</f>
        <v/>
      </c>
      <c r="O496" s="23">
        <f>ROUND(N496*'Methodology &amp; Assumptions'!$B$8, 0)</f>
        <v/>
      </c>
      <c r="P496" s="44" t="inlineStr">
        <is>
          <t>Band n50 (1.5 GHz, 60 MHz)</t>
        </is>
      </c>
      <c r="Q496" s="38">
        <f>ROUNDUP(O496/'Methodology &amp; Assumptions'!$B$9, 0)</f>
        <v/>
      </c>
      <c r="R496" s="39" t="n">
        <v>1</v>
      </c>
      <c r="S496" s="25" t="n">
        <v>2.25</v>
      </c>
      <c r="T496" s="25" t="n">
        <v>1.08</v>
      </c>
      <c r="U496" s="42" t="inlineStr">
        <is>
          <t>Tier 1B (Micro Drop, 1-3 km)</t>
        </is>
      </c>
      <c r="V496" s="24" t="n">
        <v>57.3</v>
      </c>
      <c r="W496" s="24" t="n">
        <v>82.90000000000001</v>
      </c>
      <c r="X496" s="24" t="n">
        <v>58</v>
      </c>
      <c r="Y496" s="45">
        <f>ROUND((V496*'Methodology &amp; Assumptions'!$B$6)+(W496*'Methodology &amp; Assumptions'!$B$5)+(X496*'Methodology &amp; Assumptions'!$B$7), 2)</f>
        <v/>
      </c>
    </row>
    <row r="497" ht="19" customHeight="1">
      <c r="A497" s="35" t="n">
        <v>493</v>
      </c>
      <c r="B497" s="35" t="n">
        <v>3493</v>
      </c>
      <c r="C497" s="36" t="inlineStr">
        <is>
          <t>0603036007</t>
        </is>
      </c>
      <c r="D497" s="36" t="inlineStr">
        <is>
          <t>Region VI (Western Visayas)</t>
        </is>
      </c>
      <c r="E497" s="36" t="inlineStr">
        <is>
          <t>Iloilo</t>
        </is>
      </c>
      <c r="F497" s="36" t="inlineStr">
        <is>
          <t>Pavia</t>
        </is>
      </c>
      <c r="G497" s="36" t="inlineStr">
        <is>
          <t>Purok III</t>
        </is>
      </c>
      <c r="H497" s="37" t="n">
        <v>10.773556</v>
      </c>
      <c r="I497" s="37" t="n">
        <v>122.543841</v>
      </c>
      <c r="J497" s="8" t="inlineStr">
        <is>
          <t>R</t>
        </is>
      </c>
      <c r="K497" s="36" t="inlineStr">
        <is>
          <t>Class 1-3 / Urban</t>
        </is>
      </c>
      <c r="L497" s="18" t="n">
        <v>1139</v>
      </c>
      <c r="M497" s="20" t="n">
        <v>4.39</v>
      </c>
      <c r="N497" s="18">
        <f>ROUND(L497/M497, 0)</f>
        <v/>
      </c>
      <c r="O497" s="18">
        <f>ROUND(N497*'Methodology &amp; Assumptions'!$B$8, 0)</f>
        <v/>
      </c>
      <c r="P497" s="8" t="inlineStr">
        <is>
          <t>Band n50 (1.5 GHz, 60 MHz)</t>
        </is>
      </c>
      <c r="Q497" s="38">
        <f>ROUNDUP(O497/'Methodology &amp; Assumptions'!$B$9, 0)</f>
        <v/>
      </c>
      <c r="R497" s="39" t="n">
        <v>1</v>
      </c>
      <c r="S497" s="21" t="n">
        <v>0.14</v>
      </c>
      <c r="T497" s="21" t="n">
        <v>3.82</v>
      </c>
      <c r="U497" s="36" t="inlineStr">
        <is>
          <t>Tier 1A (Direct Coloc, &lt;1 km)</t>
        </is>
      </c>
      <c r="V497" s="20" t="n">
        <v>95.40000000000001</v>
      </c>
      <c r="W497" s="20" t="n">
        <v>44.8</v>
      </c>
      <c r="X497" s="20" t="n">
        <v>58</v>
      </c>
      <c r="Y497" s="40">
        <f>ROUND((V497*'Methodology &amp; Assumptions'!$B$6)+(W497*'Methodology &amp; Assumptions'!$B$5)+(X497*'Methodology &amp; Assumptions'!$B$7), 2)</f>
        <v/>
      </c>
    </row>
    <row r="498" ht="19" customHeight="1">
      <c r="A498" s="41" t="n">
        <v>494</v>
      </c>
      <c r="B498" s="41" t="n">
        <v>3494</v>
      </c>
      <c r="C498" s="42" t="inlineStr">
        <is>
          <t>0401006002</t>
        </is>
      </c>
      <c r="D498" s="42" t="inlineStr">
        <is>
          <t>Region IV-A (CALABARZON)</t>
        </is>
      </c>
      <c r="E498" s="42" t="inlineStr">
        <is>
          <t>Batangas</t>
        </is>
      </c>
      <c r="F498" s="42" t="inlineStr">
        <is>
          <t>Bauan</t>
        </is>
      </c>
      <c r="G498" s="42" t="inlineStr">
        <is>
          <t>Aplaya</t>
        </is>
      </c>
      <c r="H498" s="43" t="n">
        <v>13.779948</v>
      </c>
      <c r="I498" s="43" t="n">
        <v>121.008562</v>
      </c>
      <c r="J498" s="44" t="inlineStr">
        <is>
          <t>U</t>
        </is>
      </c>
      <c r="K498" s="42" t="inlineStr">
        <is>
          <t>Class 1-3 / Urban</t>
        </is>
      </c>
      <c r="L498" s="23" t="n">
        <v>7837</v>
      </c>
      <c r="M498" s="24" t="n">
        <v>4.62</v>
      </c>
      <c r="N498" s="23">
        <f>ROUND(L498/M498, 0)</f>
        <v/>
      </c>
      <c r="O498" s="23">
        <f>ROUND(N498*'Methodology &amp; Assumptions'!$B$8, 0)</f>
        <v/>
      </c>
      <c r="P498" s="44" t="inlineStr">
        <is>
          <t>Band n50 (1.5 GHz, 60 MHz)</t>
        </is>
      </c>
      <c r="Q498" s="38">
        <f>ROUNDUP(O498/'Methodology &amp; Assumptions'!$B$9, 0)</f>
        <v/>
      </c>
      <c r="R498" s="39" t="n">
        <v>1</v>
      </c>
      <c r="S498" s="25" t="n">
        <v>1.74</v>
      </c>
      <c r="T498" s="25" t="n">
        <v>1.21</v>
      </c>
      <c r="U498" s="42" t="inlineStr">
        <is>
          <t>Tier 1B (Micro Drop, 1-3 km)</t>
        </is>
      </c>
      <c r="V498" s="24" t="n">
        <v>65.90000000000001</v>
      </c>
      <c r="W498" s="24" t="n">
        <v>100</v>
      </c>
      <c r="X498" s="24" t="n">
        <v>28</v>
      </c>
      <c r="Y498" s="45">
        <f>ROUND((V498*'Methodology &amp; Assumptions'!$B$6)+(W498*'Methodology &amp; Assumptions'!$B$5)+(X498*'Methodology &amp; Assumptions'!$B$7), 2)</f>
        <v/>
      </c>
    </row>
    <row r="499" ht="19" customHeight="1">
      <c r="A499" s="35" t="n">
        <v>495</v>
      </c>
      <c r="B499" s="35" t="n">
        <v>3495</v>
      </c>
      <c r="C499" s="36" t="inlineStr">
        <is>
          <t>0631000158</t>
        </is>
      </c>
      <c r="D499" s="36" t="inlineStr">
        <is>
          <t>Region VI (Western Visayas)</t>
        </is>
      </c>
      <c r="E499" s="36" t="inlineStr">
        <is>
          <t>Iloilo</t>
        </is>
      </c>
      <c r="F499" s="36" t="inlineStr">
        <is>
          <t>City of Iloilo</t>
        </is>
      </c>
      <c r="G499" s="36" t="inlineStr">
        <is>
          <t>San Pedro</t>
        </is>
      </c>
      <c r="H499" s="37" t="n">
        <v>10.720587</v>
      </c>
      <c r="I499" s="37" t="n">
        <v>122.565693</v>
      </c>
      <c r="J499" s="8" t="inlineStr">
        <is>
          <t>U</t>
        </is>
      </c>
      <c r="K499" s="36" t="inlineStr">
        <is>
          <t>Class 1-3 / Urban</t>
        </is>
      </c>
      <c r="L499" s="18" t="n">
        <v>3029</v>
      </c>
      <c r="M499" s="20" t="n">
        <v>4.39</v>
      </c>
      <c r="N499" s="18">
        <f>ROUND(L499/M499, 0)</f>
        <v/>
      </c>
      <c r="O499" s="18">
        <f>ROUND(N499*'Methodology &amp; Assumptions'!$B$8, 0)</f>
        <v/>
      </c>
      <c r="P499" s="8" t="inlineStr">
        <is>
          <t>Band n50 (1.5 GHz, 60 MHz)</t>
        </is>
      </c>
      <c r="Q499" s="38">
        <f>ROUNDUP(O499/'Methodology &amp; Assumptions'!$B$9, 0)</f>
        <v/>
      </c>
      <c r="R499" s="39" t="n">
        <v>1</v>
      </c>
      <c r="S499" s="21" t="n">
        <v>0.8</v>
      </c>
      <c r="T499" s="21" t="n">
        <v>0.42</v>
      </c>
      <c r="U499" s="36" t="inlineStr">
        <is>
          <t>Tier 1A (Direct Coloc, &lt;1 km)</t>
        </is>
      </c>
      <c r="V499" s="20" t="n">
        <v>86.7</v>
      </c>
      <c r="W499" s="20" t="n">
        <v>79.2</v>
      </c>
      <c r="X499" s="20" t="n">
        <v>28</v>
      </c>
      <c r="Y499" s="40">
        <f>ROUND((V499*'Methodology &amp; Assumptions'!$B$6)+(W499*'Methodology &amp; Assumptions'!$B$5)+(X499*'Methodology &amp; Assumptions'!$B$7), 2)</f>
        <v/>
      </c>
    </row>
    <row r="500" ht="19" customHeight="1">
      <c r="A500" s="41" t="n">
        <v>496</v>
      </c>
      <c r="B500" s="41" t="n">
        <v>3496</v>
      </c>
      <c r="C500" s="42" t="inlineStr">
        <is>
          <t>0803715006</t>
        </is>
      </c>
      <c r="D500" s="42" t="inlineStr">
        <is>
          <t>Region VIII (Eastern Visayas)</t>
        </is>
      </c>
      <c r="E500" s="42" t="inlineStr">
        <is>
          <t>Leyte</t>
        </is>
      </c>
      <c r="F500" s="42" t="inlineStr">
        <is>
          <t>Carigara</t>
        </is>
      </c>
      <c r="G500" s="42" t="inlineStr">
        <is>
          <t>Baybay</t>
        </is>
      </c>
      <c r="H500" s="43" t="n">
        <v>11.30251</v>
      </c>
      <c r="I500" s="43" t="n">
        <v>124.687625</v>
      </c>
      <c r="J500" s="44" t="inlineStr">
        <is>
          <t>U</t>
        </is>
      </c>
      <c r="K500" s="42" t="inlineStr">
        <is>
          <t>Class 1-3 / Urban</t>
        </is>
      </c>
      <c r="L500" s="23" t="n">
        <v>2291</v>
      </c>
      <c r="M500" s="24" t="n">
        <v>4.24</v>
      </c>
      <c r="N500" s="23">
        <f>ROUND(L500/M500, 0)</f>
        <v/>
      </c>
      <c r="O500" s="23">
        <f>ROUND(N500*'Methodology &amp; Assumptions'!$B$8, 0)</f>
        <v/>
      </c>
      <c r="P500" s="44" t="inlineStr">
        <is>
          <t>Band n50 (1.5 GHz, 60 MHz)</t>
        </is>
      </c>
      <c r="Q500" s="38">
        <f>ROUNDUP(O500/'Methodology &amp; Assumptions'!$B$9, 0)</f>
        <v/>
      </c>
      <c r="R500" s="39" t="n">
        <v>1</v>
      </c>
      <c r="S500" s="25" t="n">
        <v>0.36</v>
      </c>
      <c r="T500" s="25" t="n">
        <v>0.35</v>
      </c>
      <c r="U500" s="42" t="inlineStr">
        <is>
          <t>Tier 1A (Direct Coloc, &lt;1 km)</t>
        </is>
      </c>
      <c r="V500" s="24" t="n">
        <v>98.7</v>
      </c>
      <c r="W500" s="24" t="n">
        <v>67.2</v>
      </c>
      <c r="X500" s="24" t="n">
        <v>28</v>
      </c>
      <c r="Y500" s="45">
        <f>ROUND((V500*'Methodology &amp; Assumptions'!$B$6)+(W500*'Methodology &amp; Assumptions'!$B$5)+(X500*'Methodology &amp; Assumptions'!$B$7), 2)</f>
        <v/>
      </c>
    </row>
    <row r="501" ht="19" customHeight="1">
      <c r="A501" s="35" t="n">
        <v>497</v>
      </c>
      <c r="B501" s="35" t="n">
        <v>3497</v>
      </c>
      <c r="C501" s="36" t="inlineStr">
        <is>
          <t>0405619037</t>
        </is>
      </c>
      <c r="D501" s="36" t="inlineStr">
        <is>
          <t>Region IV-A (CALABARZON)</t>
        </is>
      </c>
      <c r="E501" s="36" t="inlineStr">
        <is>
          <t>Quezon</t>
        </is>
      </c>
      <c r="F501" s="36" t="inlineStr">
        <is>
          <t>Gumaca</t>
        </is>
      </c>
      <c r="G501" s="36" t="inlineStr">
        <is>
          <t>Progreso</t>
        </is>
      </c>
      <c r="H501" s="37" t="n">
        <v>13.90461</v>
      </c>
      <c r="I501" s="37" t="n">
        <v>122.093388</v>
      </c>
      <c r="J501" s="8" t="inlineStr">
        <is>
          <t>R</t>
        </is>
      </c>
      <c r="K501" s="36" t="inlineStr">
        <is>
          <t>Class 1-3 / Urban</t>
        </is>
      </c>
      <c r="L501" s="18" t="n">
        <v>3535</v>
      </c>
      <c r="M501" s="20" t="n">
        <v>4.46</v>
      </c>
      <c r="N501" s="18">
        <f>ROUND(L501/M501, 0)</f>
        <v/>
      </c>
      <c r="O501" s="18">
        <f>ROUND(N501*'Methodology &amp; Assumptions'!$B$8, 0)</f>
        <v/>
      </c>
      <c r="P501" s="8" t="inlineStr">
        <is>
          <t>Band n50 (1.5 GHz, 60 MHz)</t>
        </is>
      </c>
      <c r="Q501" s="38">
        <f>ROUNDUP(O501/'Methodology &amp; Assumptions'!$B$9, 0)</f>
        <v/>
      </c>
      <c r="R501" s="39" t="n">
        <v>1</v>
      </c>
      <c r="S501" s="21" t="n">
        <v>2.55</v>
      </c>
      <c r="T501" s="21" t="n">
        <v>0.03</v>
      </c>
      <c r="U501" s="36" t="inlineStr">
        <is>
          <t>Tier 1B (Micro Drop, 1-3 km)</t>
        </is>
      </c>
      <c r="V501" s="20" t="n">
        <v>52.7</v>
      </c>
      <c r="W501" s="20" t="n">
        <v>87.5</v>
      </c>
      <c r="X501" s="20" t="n">
        <v>58</v>
      </c>
      <c r="Y501" s="40">
        <f>ROUND((V501*'Methodology &amp; Assumptions'!$B$6)+(W501*'Methodology &amp; Assumptions'!$B$5)+(X501*'Methodology &amp; Assumptions'!$B$7), 2)</f>
        <v/>
      </c>
    </row>
    <row r="502" ht="19" customHeight="1">
      <c r="A502" s="41" t="n">
        <v>498</v>
      </c>
      <c r="B502" s="41" t="n">
        <v>3498</v>
      </c>
      <c r="C502" s="42" t="inlineStr">
        <is>
          <t>0702232014</t>
        </is>
      </c>
      <c r="D502" s="42" t="inlineStr">
        <is>
          <t>Region VII (Central Visayas)</t>
        </is>
      </c>
      <c r="E502" s="42" t="inlineStr">
        <is>
          <t>Cebu</t>
        </is>
      </c>
      <c r="F502" s="42" t="inlineStr">
        <is>
          <t>Minglanilla</t>
        </is>
      </c>
      <c r="G502" s="42" t="inlineStr">
        <is>
          <t>Tubod</t>
        </is>
      </c>
      <c r="H502" s="43" t="n">
        <v>10.263671</v>
      </c>
      <c r="I502" s="43" t="n">
        <v>123.798918</v>
      </c>
      <c r="J502" s="44" t="inlineStr">
        <is>
          <t>U</t>
        </is>
      </c>
      <c r="K502" s="42" t="inlineStr">
        <is>
          <t>Class 1-3 / Urban</t>
        </is>
      </c>
      <c r="L502" s="23" t="n">
        <v>5136</v>
      </c>
      <c r="M502" s="24" t="n">
        <v>4.42</v>
      </c>
      <c r="N502" s="23">
        <f>ROUND(L502/M502, 0)</f>
        <v/>
      </c>
      <c r="O502" s="23">
        <f>ROUND(N502*'Methodology &amp; Assumptions'!$B$8, 0)</f>
        <v/>
      </c>
      <c r="P502" s="44" t="inlineStr">
        <is>
          <t>Band n50 (1.5 GHz, 60 MHz)</t>
        </is>
      </c>
      <c r="Q502" s="38">
        <f>ROUNDUP(O502/'Methodology &amp; Assumptions'!$B$9, 0)</f>
        <v/>
      </c>
      <c r="R502" s="39" t="n">
        <v>1</v>
      </c>
      <c r="S502" s="25" t="n">
        <v>1.75</v>
      </c>
      <c r="T502" s="25" t="n">
        <v>1.53</v>
      </c>
      <c r="U502" s="42" t="inlineStr">
        <is>
          <t>Tier 1B (Micro Drop, 1-3 km)</t>
        </is>
      </c>
      <c r="V502" s="24" t="n">
        <v>65.90000000000001</v>
      </c>
      <c r="W502" s="24" t="n">
        <v>100</v>
      </c>
      <c r="X502" s="24" t="n">
        <v>28</v>
      </c>
      <c r="Y502" s="45">
        <f>ROUND((V502*'Methodology &amp; Assumptions'!$B$6)+(W502*'Methodology &amp; Assumptions'!$B$5)+(X502*'Methodology &amp; Assumptions'!$B$7), 2)</f>
        <v/>
      </c>
    </row>
    <row r="503" ht="19" customHeight="1">
      <c r="A503" s="35" t="n">
        <v>499</v>
      </c>
      <c r="B503" s="35" t="n">
        <v>3499</v>
      </c>
      <c r="C503" s="36" t="inlineStr">
        <is>
          <t>0704610018</t>
        </is>
      </c>
      <c r="D503" s="36" t="inlineStr">
        <is>
          <t>Region VII (Central Visayas)</t>
        </is>
      </c>
      <c r="E503" s="36" t="inlineStr">
        <is>
          <t>Negros Oriental</t>
        </is>
      </c>
      <c r="F503" s="36" t="inlineStr">
        <is>
          <t>City of Dumaguete</t>
        </is>
      </c>
      <c r="G503" s="36" t="inlineStr">
        <is>
          <t>Piapi</t>
        </is>
      </c>
      <c r="H503" s="37" t="n">
        <v>9.321325999999999</v>
      </c>
      <c r="I503" s="37" t="n">
        <v>123.305531</v>
      </c>
      <c r="J503" s="8" t="inlineStr">
        <is>
          <t>U</t>
        </is>
      </c>
      <c r="K503" s="36" t="inlineStr">
        <is>
          <t>Class 1-3 / Urban</t>
        </is>
      </c>
      <c r="L503" s="18" t="n">
        <v>4842</v>
      </c>
      <c r="M503" s="20" t="n">
        <v>4.33</v>
      </c>
      <c r="N503" s="18">
        <f>ROUND(L503/M503, 0)</f>
        <v/>
      </c>
      <c r="O503" s="18">
        <f>ROUND(N503*'Methodology &amp; Assumptions'!$B$8, 0)</f>
        <v/>
      </c>
      <c r="P503" s="8" t="inlineStr">
        <is>
          <t>Band n50 (1.5 GHz, 60 MHz)</t>
        </is>
      </c>
      <c r="Q503" s="38">
        <f>ROUNDUP(O503/'Methodology &amp; Assumptions'!$B$9, 0)</f>
        <v/>
      </c>
      <c r="R503" s="39" t="n">
        <v>1</v>
      </c>
      <c r="S503" s="21" t="n">
        <v>1.75</v>
      </c>
      <c r="T503" s="21" t="n">
        <v>0.59</v>
      </c>
      <c r="U503" s="36" t="inlineStr">
        <is>
          <t>Tier 1B (Micro Drop, 1-3 km)</t>
        </is>
      </c>
      <c r="V503" s="20" t="n">
        <v>65.90000000000001</v>
      </c>
      <c r="W503" s="20" t="n">
        <v>100</v>
      </c>
      <c r="X503" s="20" t="n">
        <v>28</v>
      </c>
      <c r="Y503" s="40">
        <f>ROUND((V503*'Methodology &amp; Assumptions'!$B$6)+(W503*'Methodology &amp; Assumptions'!$B$5)+(X503*'Methodology &amp; Assumptions'!$B$7), 2)</f>
        <v/>
      </c>
    </row>
    <row r="504" ht="19" customHeight="1">
      <c r="A504" s="41" t="n">
        <v>500</v>
      </c>
      <c r="B504" s="41" t="n">
        <v>3500</v>
      </c>
      <c r="C504" s="42" t="inlineStr">
        <is>
          <t>0105512002</t>
        </is>
      </c>
      <c r="D504" s="42" t="inlineStr">
        <is>
          <t>Region I (Ilocos Region)</t>
        </is>
      </c>
      <c r="E504" s="42" t="inlineStr">
        <is>
          <t>Pangasinan</t>
        </is>
      </c>
      <c r="F504" s="42" t="inlineStr">
        <is>
          <t>Binalonan</t>
        </is>
      </c>
      <c r="G504" s="42" t="inlineStr">
        <is>
          <t>Bued</t>
        </is>
      </c>
      <c r="H504" s="43" t="n">
        <v>16.040429</v>
      </c>
      <c r="I504" s="43" t="n">
        <v>120.589993</v>
      </c>
      <c r="J504" s="44" t="inlineStr">
        <is>
          <t>U</t>
        </is>
      </c>
      <c r="K504" s="42" t="inlineStr">
        <is>
          <t>Class 1-3 / Urban</t>
        </is>
      </c>
      <c r="L504" s="23" t="n">
        <v>2835</v>
      </c>
      <c r="M504" s="24" t="n">
        <v>4.39</v>
      </c>
      <c r="N504" s="23">
        <f>ROUND(L504/M504, 0)</f>
        <v/>
      </c>
      <c r="O504" s="23">
        <f>ROUND(N504*'Methodology &amp; Assumptions'!$B$8, 0)</f>
        <v/>
      </c>
      <c r="P504" s="44" t="inlineStr">
        <is>
          <t>Band n50 (1.5 GHz, 60 MHz)</t>
        </is>
      </c>
      <c r="Q504" s="38">
        <f>ROUNDUP(O504/'Methodology &amp; Assumptions'!$B$9, 0)</f>
        <v/>
      </c>
      <c r="R504" s="39" t="n">
        <v>1</v>
      </c>
      <c r="S504" s="25" t="n">
        <v>0.66</v>
      </c>
      <c r="T504" s="25" t="n">
        <v>0.54</v>
      </c>
      <c r="U504" s="42" t="inlineStr">
        <is>
          <t>Tier 1A (Direct Coloc, &lt;1 km)</t>
        </is>
      </c>
      <c r="V504" s="24" t="n">
        <v>90.2</v>
      </c>
      <c r="W504" s="24" t="n">
        <v>75.7</v>
      </c>
      <c r="X504" s="24" t="n">
        <v>28</v>
      </c>
      <c r="Y504" s="45">
        <f>ROUND((V504*'Methodology &amp; Assumptions'!$B$6)+(W504*'Methodology &amp; Assumptions'!$B$5)+(X504*'Methodology &amp; Assumptions'!$B$7), 2)</f>
        <v/>
      </c>
    </row>
    <row r="505" ht="19" customHeight="1">
      <c r="A505" s="35" t="n">
        <v>501</v>
      </c>
      <c r="B505" s="35" t="n">
        <v>3501</v>
      </c>
      <c r="C505" s="36" t="inlineStr">
        <is>
          <t>0500508010</t>
        </is>
      </c>
      <c r="D505" s="36" t="inlineStr">
        <is>
          <t>Region V (Bicol Region)</t>
        </is>
      </c>
      <c r="E505" s="36" t="inlineStr">
        <is>
          <t>Albay</t>
        </is>
      </c>
      <c r="F505" s="36" t="inlineStr">
        <is>
          <t>City of Ligao</t>
        </is>
      </c>
      <c r="G505" s="36" t="inlineStr">
        <is>
          <t>Batang</t>
        </is>
      </c>
      <c r="H505" s="37" t="n">
        <v>13.249097</v>
      </c>
      <c r="I505" s="37" t="n">
        <v>123.562173</v>
      </c>
      <c r="J505" s="8" t="inlineStr">
        <is>
          <t>R</t>
        </is>
      </c>
      <c r="K505" s="36" t="inlineStr">
        <is>
          <t>Class 1-3 / Urban</t>
        </is>
      </c>
      <c r="L505" s="18" t="n">
        <v>3693</v>
      </c>
      <c r="M505" s="20" t="n">
        <v>4.67</v>
      </c>
      <c r="N505" s="18">
        <f>ROUND(L505/M505, 0)</f>
        <v/>
      </c>
      <c r="O505" s="18">
        <f>ROUND(N505*'Methodology &amp; Assumptions'!$B$8, 0)</f>
        <v/>
      </c>
      <c r="P505" s="8" t="inlineStr">
        <is>
          <t>Band n50 (1.5 GHz, 60 MHz)</t>
        </is>
      </c>
      <c r="Q505" s="38">
        <f>ROUNDUP(O505/'Methodology &amp; Assumptions'!$B$9, 0)</f>
        <v/>
      </c>
      <c r="R505" s="39" t="n">
        <v>1</v>
      </c>
      <c r="S505" s="21" t="n">
        <v>2.54</v>
      </c>
      <c r="T505" s="21" t="n">
        <v>0.19</v>
      </c>
      <c r="U505" s="36" t="inlineStr">
        <is>
          <t>Tier 1B (Micro Drop, 1-3 km)</t>
        </is>
      </c>
      <c r="V505" s="20" t="n">
        <v>52.9</v>
      </c>
      <c r="W505" s="20" t="n">
        <v>87.2</v>
      </c>
      <c r="X505" s="20" t="n">
        <v>58</v>
      </c>
      <c r="Y505" s="40">
        <f>ROUND((V505*'Methodology &amp; Assumptions'!$B$6)+(W505*'Methodology &amp; Assumptions'!$B$5)+(X505*'Methodology &amp; Assumptions'!$B$7), 2)</f>
        <v/>
      </c>
    </row>
    <row r="506" ht="19" customHeight="1">
      <c r="A506" s="41" t="n">
        <v>502</v>
      </c>
      <c r="B506" s="41" t="n">
        <v>3502</v>
      </c>
      <c r="C506" s="42" t="inlineStr">
        <is>
          <t>0403415011</t>
        </is>
      </c>
      <c r="D506" s="42" t="inlineStr">
        <is>
          <t>Region IV-A (CALABARZON)</t>
        </is>
      </c>
      <c r="E506" s="42" t="inlineStr">
        <is>
          <t>Laguna</t>
        </is>
      </c>
      <c r="F506" s="42" t="inlineStr">
        <is>
          <t>Magdalena</t>
        </is>
      </c>
      <c r="G506" s="42" t="inlineStr">
        <is>
          <t>Cigaras</t>
        </is>
      </c>
      <c r="H506" s="43" t="n">
        <v>14.223782</v>
      </c>
      <c r="I506" s="43" t="n">
        <v>121.43004</v>
      </c>
      <c r="J506" s="44" t="inlineStr">
        <is>
          <t>R</t>
        </is>
      </c>
      <c r="K506" s="42" t="inlineStr">
        <is>
          <t>3rd</t>
        </is>
      </c>
      <c r="L506" s="23" t="n">
        <v>3593</v>
      </c>
      <c r="M506" s="24" t="n">
        <v>4.3</v>
      </c>
      <c r="N506" s="23">
        <f>ROUND(L506/M506, 0)</f>
        <v/>
      </c>
      <c r="O506" s="23">
        <f>ROUND(N506*'Methodology &amp; Assumptions'!$B$8, 0)</f>
        <v/>
      </c>
      <c r="P506" s="44" t="inlineStr">
        <is>
          <t>Band n50 (1.5 GHz, 60 MHz)</t>
        </is>
      </c>
      <c r="Q506" s="38">
        <f>ROUNDUP(O506/'Methodology &amp; Assumptions'!$B$9, 0)</f>
        <v/>
      </c>
      <c r="R506" s="39" t="n">
        <v>1</v>
      </c>
      <c r="S506" s="25" t="n">
        <v>2.81</v>
      </c>
      <c r="T506" s="25" t="n">
        <v>0.17</v>
      </c>
      <c r="U506" s="42" t="inlineStr">
        <is>
          <t>Tier 1B (Micro Drop, 1-3 km)</t>
        </is>
      </c>
      <c r="V506" s="24" t="n">
        <v>49.2</v>
      </c>
      <c r="W506" s="24" t="n">
        <v>90.90000000000001</v>
      </c>
      <c r="X506" s="24" t="n">
        <v>58</v>
      </c>
      <c r="Y506" s="45">
        <f>ROUND((V506*'Methodology &amp; Assumptions'!$B$6)+(W506*'Methodology &amp; Assumptions'!$B$5)+(X506*'Methodology &amp; Assumptions'!$B$7), 2)</f>
        <v/>
      </c>
    </row>
    <row r="507" ht="19" customHeight="1">
      <c r="A507" s="35" t="n">
        <v>503</v>
      </c>
      <c r="B507" s="35" t="n">
        <v>3503</v>
      </c>
      <c r="C507" s="36" t="inlineStr">
        <is>
          <t>0203115039</t>
        </is>
      </c>
      <c r="D507" s="36" t="inlineStr">
        <is>
          <t>Region II (Cagayan Valley)</t>
        </is>
      </c>
      <c r="E507" s="36" t="inlineStr">
        <is>
          <t>Isabela</t>
        </is>
      </c>
      <c r="F507" s="36" t="inlineStr">
        <is>
          <t>Jones</t>
        </is>
      </c>
      <c r="G507" s="36" t="inlineStr">
        <is>
          <t>San Vicente</t>
        </is>
      </c>
      <c r="H507" s="37" t="n">
        <v>16.564985</v>
      </c>
      <c r="I507" s="37" t="n">
        <v>121.70863</v>
      </c>
      <c r="J507" s="8" t="inlineStr">
        <is>
          <t>R</t>
        </is>
      </c>
      <c r="K507" s="36" t="inlineStr">
        <is>
          <t>Class 1-3 / Urban</t>
        </is>
      </c>
      <c r="L507" s="18" t="n">
        <v>2510</v>
      </c>
      <c r="M507" s="20" t="n">
        <v>4.3</v>
      </c>
      <c r="N507" s="18">
        <f>ROUND(L507/M507, 0)</f>
        <v/>
      </c>
      <c r="O507" s="18">
        <f>ROUND(N507*'Methodology &amp; Assumptions'!$B$8, 0)</f>
        <v/>
      </c>
      <c r="P507" s="8" t="inlineStr">
        <is>
          <t>Band n50 (1.5 GHz, 60 MHz)</t>
        </is>
      </c>
      <c r="Q507" s="38">
        <f>ROUNDUP(O507/'Methodology &amp; Assumptions'!$B$9, 0)</f>
        <v/>
      </c>
      <c r="R507" s="39" t="n">
        <v>1</v>
      </c>
      <c r="S507" s="21" t="n">
        <v>1.09</v>
      </c>
      <c r="T507" s="21" t="n">
        <v>13.06</v>
      </c>
      <c r="U507" s="36" t="inlineStr">
        <is>
          <t>Tier 1B (Micro Drop, 1-3 km)</t>
        </is>
      </c>
      <c r="V507" s="20" t="n">
        <v>69.5</v>
      </c>
      <c r="W507" s="20" t="n">
        <v>70.7</v>
      </c>
      <c r="X507" s="20" t="n">
        <v>58</v>
      </c>
      <c r="Y507" s="40">
        <f>ROUND((V507*'Methodology &amp; Assumptions'!$B$6)+(W507*'Methodology &amp; Assumptions'!$B$5)+(X507*'Methodology &amp; Assumptions'!$B$7), 2)</f>
        <v/>
      </c>
    </row>
    <row r="508" ht="19" customHeight="1">
      <c r="A508" s="41" t="n">
        <v>504</v>
      </c>
      <c r="B508" s="41" t="n">
        <v>3504</v>
      </c>
      <c r="C508" s="42" t="inlineStr">
        <is>
          <t>0500503037</t>
        </is>
      </c>
      <c r="D508" s="42" t="inlineStr">
        <is>
          <t>Region V (Bicol Region)</t>
        </is>
      </c>
      <c r="E508" s="42" t="inlineStr">
        <is>
          <t>Albay</t>
        </is>
      </c>
      <c r="F508" s="42" t="inlineStr">
        <is>
          <t>Daraga</t>
        </is>
      </c>
      <c r="G508" s="42" t="inlineStr">
        <is>
          <t>Mayon</t>
        </is>
      </c>
      <c r="H508" s="43" t="n">
        <v>13.059083</v>
      </c>
      <c r="I508" s="43" t="n">
        <v>123.706402</v>
      </c>
      <c r="J508" s="44" t="inlineStr">
        <is>
          <t>R</t>
        </is>
      </c>
      <c r="K508" s="42" t="inlineStr">
        <is>
          <t>Class 1-3 / Urban</t>
        </is>
      </c>
      <c r="L508" s="23" t="n">
        <v>2047</v>
      </c>
      <c r="M508" s="24" t="n">
        <v>4.67</v>
      </c>
      <c r="N508" s="23">
        <f>ROUND(L508/M508, 0)</f>
        <v/>
      </c>
      <c r="O508" s="23">
        <f>ROUND(N508*'Methodology &amp; Assumptions'!$B$8, 0)</f>
        <v/>
      </c>
      <c r="P508" s="44" t="inlineStr">
        <is>
          <t>Band n50 (1.5 GHz, 60 MHz)</t>
        </is>
      </c>
      <c r="Q508" s="38">
        <f>ROUNDUP(O508/'Methodology &amp; Assumptions'!$B$9, 0)</f>
        <v/>
      </c>
      <c r="R508" s="39" t="n">
        <v>1</v>
      </c>
      <c r="S508" s="25" t="n">
        <v>1.02</v>
      </c>
      <c r="T508" s="25" t="n">
        <v>0.26</v>
      </c>
      <c r="U508" s="42" t="inlineStr">
        <is>
          <t>Tier 1B (Micro Drop, 1-3 km)</t>
        </is>
      </c>
      <c r="V508" s="24" t="n">
        <v>81.2</v>
      </c>
      <c r="W508" s="24" t="n">
        <v>58.9</v>
      </c>
      <c r="X508" s="24" t="n">
        <v>58</v>
      </c>
      <c r="Y508" s="45">
        <f>ROUND((V508*'Methodology &amp; Assumptions'!$B$6)+(W508*'Methodology &amp; Assumptions'!$B$5)+(X508*'Methodology &amp; Assumptions'!$B$7), 2)</f>
        <v/>
      </c>
    </row>
    <row r="509" ht="19" customHeight="1">
      <c r="A509" s="35" t="n">
        <v>505</v>
      </c>
      <c r="B509" s="35" t="n">
        <v>3505</v>
      </c>
      <c r="C509" s="36" t="inlineStr">
        <is>
          <t>0831600129</t>
        </is>
      </c>
      <c r="D509" s="36" t="inlineStr">
        <is>
          <t>Region VIII (Eastern Visayas)</t>
        </is>
      </c>
      <c r="E509" s="36" t="inlineStr">
        <is>
          <t>Leyte</t>
        </is>
      </c>
      <c r="F509" s="36" t="inlineStr">
        <is>
          <t>City of Tacloban</t>
        </is>
      </c>
      <c r="G509" s="36" t="inlineStr">
        <is>
          <t>Barangay 95</t>
        </is>
      </c>
      <c r="H509" s="37" t="n">
        <v>11.209819</v>
      </c>
      <c r="I509" s="37" t="n">
        <v>124.993621</v>
      </c>
      <c r="J509" s="8" t="inlineStr">
        <is>
          <t>U</t>
        </is>
      </c>
      <c r="K509" s="36" t="inlineStr">
        <is>
          <t>Class 1-3 / Urban</t>
        </is>
      </c>
      <c r="L509" s="18" t="n">
        <v>5241</v>
      </c>
      <c r="M509" s="20" t="n">
        <v>4.24</v>
      </c>
      <c r="N509" s="18">
        <f>ROUND(L509/M509, 0)</f>
        <v/>
      </c>
      <c r="O509" s="18">
        <f>ROUND(N509*'Methodology &amp; Assumptions'!$B$8, 0)</f>
        <v/>
      </c>
      <c r="P509" s="8" t="inlineStr">
        <is>
          <t>Band n50 (1.5 GHz, 60 MHz)</t>
        </is>
      </c>
      <c r="Q509" s="38">
        <f>ROUNDUP(O509/'Methodology &amp; Assumptions'!$B$9, 0)</f>
        <v/>
      </c>
      <c r="R509" s="39" t="n">
        <v>1</v>
      </c>
      <c r="S509" s="21" t="n">
        <v>1.75</v>
      </c>
      <c r="T509" s="21" t="n">
        <v>1.66</v>
      </c>
      <c r="U509" s="36" t="inlineStr">
        <is>
          <t>Tier 1B (Micro Drop, 1-3 km)</t>
        </is>
      </c>
      <c r="V509" s="20" t="n">
        <v>65.8</v>
      </c>
      <c r="W509" s="20" t="n">
        <v>100</v>
      </c>
      <c r="X509" s="20" t="n">
        <v>28</v>
      </c>
      <c r="Y509" s="40">
        <f>ROUND((V509*'Methodology &amp; Assumptions'!$B$6)+(W509*'Methodology &amp; Assumptions'!$B$5)+(X509*'Methodology &amp; Assumptions'!$B$7), 2)</f>
        <v/>
      </c>
    </row>
    <row r="510" ht="19" customHeight="1">
      <c r="A510" s="41" t="n">
        <v>506</v>
      </c>
      <c r="B510" s="41" t="n">
        <v>3506</v>
      </c>
      <c r="C510" s="42" t="inlineStr">
        <is>
          <t>0402111015</t>
        </is>
      </c>
      <c r="D510" s="42" t="inlineStr">
        <is>
          <t>Region IV-A (CALABARZON)</t>
        </is>
      </c>
      <c r="E510" s="42" t="inlineStr">
        <is>
          <t>Cavite</t>
        </is>
      </c>
      <c r="F510" s="42" t="inlineStr">
        <is>
          <t>Kawit</t>
        </is>
      </c>
      <c r="G510" s="42" t="inlineStr">
        <is>
          <t>Binakayan-Aplaya</t>
        </is>
      </c>
      <c r="H510" s="43" t="n">
        <v>14.450888</v>
      </c>
      <c r="I510" s="43" t="n">
        <v>120.918428</v>
      </c>
      <c r="J510" s="44" t="inlineStr">
        <is>
          <t>R</t>
        </is>
      </c>
      <c r="K510" s="42" t="inlineStr">
        <is>
          <t>Class 1-3 / Urban</t>
        </is>
      </c>
      <c r="L510" s="23" t="n">
        <v>3345</v>
      </c>
      <c r="M510" s="24" t="n">
        <v>4.49</v>
      </c>
      <c r="N510" s="23">
        <f>ROUND(L510/M510, 0)</f>
        <v/>
      </c>
      <c r="O510" s="23">
        <f>ROUND(N510*'Methodology &amp; Assumptions'!$B$8, 0)</f>
        <v/>
      </c>
      <c r="P510" s="44" t="inlineStr">
        <is>
          <t>Band n50 (1.5 GHz, 60 MHz)</t>
        </is>
      </c>
      <c r="Q510" s="38">
        <f>ROUNDUP(O510/'Methodology &amp; Assumptions'!$B$9, 0)</f>
        <v/>
      </c>
      <c r="R510" s="39" t="n">
        <v>1</v>
      </c>
      <c r="S510" s="25" t="n">
        <v>3.28</v>
      </c>
      <c r="T510" s="25" t="n">
        <v>0.35</v>
      </c>
      <c r="U510" s="42" t="inlineStr">
        <is>
          <t>Tier 2 (Fiber Corridor / Lateral, 3-5 km)</t>
        </is>
      </c>
      <c r="V510" s="24" t="n">
        <v>43.5</v>
      </c>
      <c r="W510" s="24" t="n">
        <v>83.7</v>
      </c>
      <c r="X510" s="24" t="n">
        <v>73</v>
      </c>
      <c r="Y510" s="45">
        <f>ROUND((V510*'Methodology &amp; Assumptions'!$B$6)+(W510*'Methodology &amp; Assumptions'!$B$5)+(X510*'Methodology &amp; Assumptions'!$B$7), 2)</f>
        <v/>
      </c>
    </row>
    <row r="511" ht="19" customHeight="1">
      <c r="A511" s="35" t="n">
        <v>507</v>
      </c>
      <c r="B511" s="35" t="n">
        <v>3507</v>
      </c>
      <c r="C511" s="36" t="inlineStr">
        <is>
          <t>0604524008</t>
        </is>
      </c>
      <c r="D511" s="36" t="inlineStr">
        <is>
          <t>Region VI (Western Visayas)</t>
        </is>
      </c>
      <c r="E511" s="36" t="inlineStr">
        <is>
          <t>Negros Occidental</t>
        </is>
      </c>
      <c r="F511" s="36" t="inlineStr">
        <is>
          <t>City of San Carlos</t>
        </is>
      </c>
      <c r="G511" s="36" t="inlineStr">
        <is>
          <t>Nataban</t>
        </is>
      </c>
      <c r="H511" s="37" t="n">
        <v>10.496586</v>
      </c>
      <c r="I511" s="37" t="n">
        <v>123.305033</v>
      </c>
      <c r="J511" s="8" t="inlineStr">
        <is>
          <t>R</t>
        </is>
      </c>
      <c r="K511" s="36" t="inlineStr">
        <is>
          <t>Class 1-3 / Urban</t>
        </is>
      </c>
      <c r="L511" s="18" t="n">
        <v>3816</v>
      </c>
      <c r="M511" s="20" t="n">
        <v>4.33</v>
      </c>
      <c r="N511" s="18">
        <f>ROUND(L511/M511, 0)</f>
        <v/>
      </c>
      <c r="O511" s="18">
        <f>ROUND(N511*'Methodology &amp; Assumptions'!$B$8, 0)</f>
        <v/>
      </c>
      <c r="P511" s="8" t="inlineStr">
        <is>
          <t>Band n50 (1.5 GHz, 60 MHz)</t>
        </is>
      </c>
      <c r="Q511" s="38">
        <f>ROUNDUP(O511/'Methodology &amp; Assumptions'!$B$9, 0)</f>
        <v/>
      </c>
      <c r="R511" s="39" t="n">
        <v>1</v>
      </c>
      <c r="S511" s="21" t="n">
        <v>2.35</v>
      </c>
      <c r="T511" s="21" t="n">
        <v>2.21</v>
      </c>
      <c r="U511" s="36" t="inlineStr">
        <is>
          <t>Tier 1B (Micro Drop, 1-3 km)</t>
        </is>
      </c>
      <c r="V511" s="20" t="n">
        <v>45.7</v>
      </c>
      <c r="W511" s="20" t="n">
        <v>94.40000000000001</v>
      </c>
      <c r="X511" s="20" t="n">
        <v>58</v>
      </c>
      <c r="Y511" s="40">
        <f>ROUND((V511*'Methodology &amp; Assumptions'!$B$6)+(W511*'Methodology &amp; Assumptions'!$B$5)+(X511*'Methodology &amp; Assumptions'!$B$7), 2)</f>
        <v/>
      </c>
    </row>
    <row r="512" ht="19" customHeight="1">
      <c r="A512" s="41" t="n">
        <v>508</v>
      </c>
      <c r="B512" s="41" t="n">
        <v>3508</v>
      </c>
      <c r="C512" s="42" t="inlineStr">
        <is>
          <t>0307103003</t>
        </is>
      </c>
      <c r="D512" s="42" t="inlineStr">
        <is>
          <t>Region III (Central Luzon)</t>
        </is>
      </c>
      <c r="E512" s="42" t="inlineStr">
        <is>
          <t>Zambales</t>
        </is>
      </c>
      <c r="F512" s="42" t="inlineStr">
        <is>
          <t>Candelaria</t>
        </is>
      </c>
      <c r="G512" s="42" t="inlineStr">
        <is>
          <t>Catol</t>
        </is>
      </c>
      <c r="H512" s="43" t="n">
        <v>15.620001</v>
      </c>
      <c r="I512" s="43" t="n">
        <v>119.93704</v>
      </c>
      <c r="J512" s="44" t="inlineStr">
        <is>
          <t>R</t>
        </is>
      </c>
      <c r="K512" s="42" t="inlineStr">
        <is>
          <t>Class 1-3 / Urban</t>
        </is>
      </c>
      <c r="L512" s="23" t="n">
        <v>1286</v>
      </c>
      <c r="M512" s="24" t="n">
        <v>4.05</v>
      </c>
      <c r="N512" s="23">
        <f>ROUND(L512/M512, 0)</f>
        <v/>
      </c>
      <c r="O512" s="23">
        <f>ROUND(N512*'Methodology &amp; Assumptions'!$B$8, 0)</f>
        <v/>
      </c>
      <c r="P512" s="44" t="inlineStr">
        <is>
          <t>Band n50 (1.5 GHz, 60 MHz)</t>
        </is>
      </c>
      <c r="Q512" s="38">
        <f>ROUNDUP(O512/'Methodology &amp; Assumptions'!$B$9, 0)</f>
        <v/>
      </c>
      <c r="R512" s="39" t="n">
        <v>1</v>
      </c>
      <c r="S512" s="25" t="n">
        <v>0.64</v>
      </c>
      <c r="T512" s="25" t="n">
        <v>0.47</v>
      </c>
      <c r="U512" s="42" t="inlineStr">
        <is>
          <t>Tier 1A (Direct Coloc, &lt;1 km)</t>
        </is>
      </c>
      <c r="V512" s="24" t="n">
        <v>90.8</v>
      </c>
      <c r="W512" s="24" t="n">
        <v>49.3</v>
      </c>
      <c r="X512" s="24" t="n">
        <v>58</v>
      </c>
      <c r="Y512" s="45">
        <f>ROUND((V512*'Methodology &amp; Assumptions'!$B$6)+(W512*'Methodology &amp; Assumptions'!$B$5)+(X512*'Methodology &amp; Assumptions'!$B$7), 2)</f>
        <v/>
      </c>
    </row>
    <row r="513" ht="19" customHeight="1">
      <c r="A513" s="35" t="n">
        <v>509</v>
      </c>
      <c r="B513" s="35" t="n">
        <v>3509</v>
      </c>
      <c r="C513" s="36" t="inlineStr">
        <is>
          <t>0402117008</t>
        </is>
      </c>
      <c r="D513" s="36" t="inlineStr">
        <is>
          <t>Region IV-A (CALABARZON)</t>
        </is>
      </c>
      <c r="E513" s="36" t="inlineStr">
        <is>
          <t>Cavite</t>
        </is>
      </c>
      <c r="F513" s="36" t="inlineStr">
        <is>
          <t>Rosario</t>
        </is>
      </c>
      <c r="G513" s="36" t="inlineStr">
        <is>
          <t>Poblacion</t>
        </is>
      </c>
      <c r="H513" s="37" t="n">
        <v>14.425517</v>
      </c>
      <c r="I513" s="37" t="n">
        <v>120.879176</v>
      </c>
      <c r="J513" s="8" t="inlineStr">
        <is>
          <t>U</t>
        </is>
      </c>
      <c r="K513" s="36" t="inlineStr">
        <is>
          <t>Class 1-3 / Urban</t>
        </is>
      </c>
      <c r="L513" s="18" t="n">
        <v>2099</v>
      </c>
      <c r="M513" s="20" t="n">
        <v>4.49</v>
      </c>
      <c r="N513" s="18">
        <f>ROUND(L513/M513, 0)</f>
        <v/>
      </c>
      <c r="O513" s="18">
        <f>ROUND(N513*'Methodology &amp; Assumptions'!$B$8, 0)</f>
        <v/>
      </c>
      <c r="P513" s="8" t="inlineStr">
        <is>
          <t>Band n50 (1.5 GHz, 60 MHz)</t>
        </is>
      </c>
      <c r="Q513" s="38">
        <f>ROUNDUP(O513/'Methodology &amp; Assumptions'!$B$9, 0)</f>
        <v/>
      </c>
      <c r="R513" s="39" t="n">
        <v>1</v>
      </c>
      <c r="S513" s="21" t="n">
        <v>0.61</v>
      </c>
      <c r="T513" s="21" t="n">
        <v>0.59</v>
      </c>
      <c r="U513" s="36" t="inlineStr">
        <is>
          <t>Tier 1A (Direct Coloc, &lt;1 km)</t>
        </is>
      </c>
      <c r="V513" s="20" t="n">
        <v>91.59999999999999</v>
      </c>
      <c r="W513" s="20" t="n">
        <v>61.3</v>
      </c>
      <c r="X513" s="20" t="n">
        <v>43</v>
      </c>
      <c r="Y513" s="40">
        <f>ROUND((V513*'Methodology &amp; Assumptions'!$B$6)+(W513*'Methodology &amp; Assumptions'!$B$5)+(X513*'Methodology &amp; Assumptions'!$B$7), 2)</f>
        <v/>
      </c>
    </row>
    <row r="514" ht="19" customHeight="1">
      <c r="A514" s="41" t="n">
        <v>510</v>
      </c>
      <c r="B514" s="41" t="n">
        <v>3510</v>
      </c>
      <c r="C514" s="42" t="inlineStr">
        <is>
          <t>0401005020</t>
        </is>
      </c>
      <c r="D514" s="42" t="inlineStr">
        <is>
          <t>Region IV-A (CALABARZON)</t>
        </is>
      </c>
      <c r="E514" s="42" t="inlineStr">
        <is>
          <t>Batangas</t>
        </is>
      </c>
      <c r="F514" s="42" t="inlineStr">
        <is>
          <t>Batangas City</t>
        </is>
      </c>
      <c r="G514" s="42" t="inlineStr">
        <is>
          <t>Cuta</t>
        </is>
      </c>
      <c r="H514" s="43" t="n">
        <v>13.7478</v>
      </c>
      <c r="I514" s="43" t="n">
        <v>121.0507</v>
      </c>
      <c r="J514" s="44" t="inlineStr">
        <is>
          <t>U</t>
        </is>
      </c>
      <c r="K514" s="42" t="inlineStr">
        <is>
          <t>Class 1-3 / Urban</t>
        </is>
      </c>
      <c r="L514" s="23" t="n">
        <v>14071</v>
      </c>
      <c r="M514" s="24" t="n">
        <v>4.62</v>
      </c>
      <c r="N514" s="23">
        <f>ROUND(L514/M514, 0)</f>
        <v/>
      </c>
      <c r="O514" s="23">
        <f>ROUND(N514*'Methodology &amp; Assumptions'!$B$8, 0)</f>
        <v/>
      </c>
      <c r="P514" s="44" t="inlineStr">
        <is>
          <t>Band n50 (1.5 GHz, 60 MHz)</t>
        </is>
      </c>
      <c r="Q514" s="38">
        <f>ROUNDUP(O514/'Methodology &amp; Assumptions'!$B$9, 0)</f>
        <v/>
      </c>
      <c r="R514" s="39" t="n">
        <v>1</v>
      </c>
      <c r="S514" s="25" t="n">
        <v>1.75</v>
      </c>
      <c r="T514" s="25" t="n">
        <v>1.25</v>
      </c>
      <c r="U514" s="42" t="inlineStr">
        <is>
          <t>Tier 1B (Micro Drop, 1-3 km)</t>
        </is>
      </c>
      <c r="V514" s="24" t="n">
        <v>65.8</v>
      </c>
      <c r="W514" s="24" t="n">
        <v>100</v>
      </c>
      <c r="X514" s="24" t="n">
        <v>28</v>
      </c>
      <c r="Y514" s="45">
        <f>ROUND((V514*'Methodology &amp; Assumptions'!$B$6)+(W514*'Methodology &amp; Assumptions'!$B$5)+(X514*'Methodology &amp; Assumptions'!$B$7), 2)</f>
        <v/>
      </c>
    </row>
    <row r="515" ht="19" customHeight="1">
      <c r="A515" s="35" t="n">
        <v>511</v>
      </c>
      <c r="B515" s="35" t="n">
        <v>3511</v>
      </c>
      <c r="C515" s="36" t="inlineStr">
        <is>
          <t>0301420054</t>
        </is>
      </c>
      <c r="D515" s="36" t="inlineStr">
        <is>
          <t>Region III (Central Luzon)</t>
        </is>
      </c>
      <c r="E515" s="36" t="inlineStr">
        <is>
          <t>Bulacan</t>
        </is>
      </c>
      <c r="F515" s="36" t="inlineStr">
        <is>
          <t>City of San Jose Del Monte</t>
        </is>
      </c>
      <c r="G515" s="36" t="inlineStr">
        <is>
          <t>Santa Cruz II</t>
        </is>
      </c>
      <c r="H515" s="37" t="n">
        <v>14.854456</v>
      </c>
      <c r="I515" s="37" t="n">
        <v>121.051751</v>
      </c>
      <c r="J515" s="8" t="inlineStr">
        <is>
          <t>R</t>
        </is>
      </c>
      <c r="K515" s="36" t="inlineStr">
        <is>
          <t>Class 1-3 / Urban</t>
        </is>
      </c>
      <c r="L515" s="18" t="n">
        <v>3405</v>
      </c>
      <c r="M515" s="20" t="n">
        <v>4.1</v>
      </c>
      <c r="N515" s="18">
        <f>ROUND(L515/M515, 0)</f>
        <v/>
      </c>
      <c r="O515" s="18">
        <f>ROUND(N515*'Methodology &amp; Assumptions'!$B$8, 0)</f>
        <v/>
      </c>
      <c r="P515" s="8" t="inlineStr">
        <is>
          <t>Band n50 (1.5 GHz, 60 MHz)</t>
        </is>
      </c>
      <c r="Q515" s="38">
        <f>ROUNDUP(O515/'Methodology &amp; Assumptions'!$B$9, 0)</f>
        <v/>
      </c>
      <c r="R515" s="39" t="n">
        <v>1</v>
      </c>
      <c r="S515" s="21" t="n">
        <v>2.1</v>
      </c>
      <c r="T515" s="21" t="n">
        <v>2.85</v>
      </c>
      <c r="U515" s="36" t="inlineStr">
        <is>
          <t>Tier 1B (Micro Drop, 1-3 km)</t>
        </is>
      </c>
      <c r="V515" s="20" t="n">
        <v>49.7</v>
      </c>
      <c r="W515" s="20" t="n">
        <v>90.40000000000001</v>
      </c>
      <c r="X515" s="20" t="n">
        <v>58</v>
      </c>
      <c r="Y515" s="40">
        <f>ROUND((V515*'Methodology &amp; Assumptions'!$B$6)+(W515*'Methodology &amp; Assumptions'!$B$5)+(X515*'Methodology &amp; Assumptions'!$B$7), 2)</f>
        <v/>
      </c>
    </row>
    <row r="516" ht="19" customHeight="1">
      <c r="A516" s="41" t="n">
        <v>512</v>
      </c>
      <c r="B516" s="41" t="n">
        <v>3512</v>
      </c>
      <c r="C516" s="42" t="inlineStr">
        <is>
          <t>0501612005</t>
        </is>
      </c>
      <c r="D516" s="42" t="inlineStr">
        <is>
          <t>Region V (Bicol Region)</t>
        </is>
      </c>
      <c r="E516" s="42" t="inlineStr">
        <is>
          <t>Camarines Norte</t>
        </is>
      </c>
      <c r="F516" s="42" t="inlineStr">
        <is>
          <t>Vinzons</t>
        </is>
      </c>
      <c r="G516" s="42" t="inlineStr">
        <is>
          <t>Calangcawan Norte</t>
        </is>
      </c>
      <c r="H516" s="43" t="n">
        <v>14.178654</v>
      </c>
      <c r="I516" s="43" t="n">
        <v>122.918167</v>
      </c>
      <c r="J516" s="44" t="inlineStr">
        <is>
          <t>U</t>
        </is>
      </c>
      <c r="K516" s="42" t="inlineStr">
        <is>
          <t>Class 1-3 / Urban</t>
        </is>
      </c>
      <c r="L516" s="23" t="n">
        <v>5138</v>
      </c>
      <c r="M516" s="24" t="n">
        <v>4.4</v>
      </c>
      <c r="N516" s="23">
        <f>ROUND(L516/M516, 0)</f>
        <v/>
      </c>
      <c r="O516" s="23">
        <f>ROUND(N516*'Methodology &amp; Assumptions'!$B$8, 0)</f>
        <v/>
      </c>
      <c r="P516" s="44" t="inlineStr">
        <is>
          <t>Band n50 (1.5 GHz, 60 MHz)</t>
        </is>
      </c>
      <c r="Q516" s="38">
        <f>ROUNDUP(O516/'Methodology &amp; Assumptions'!$B$9, 0)</f>
        <v/>
      </c>
      <c r="R516" s="39" t="n">
        <v>1</v>
      </c>
      <c r="S516" s="25" t="n">
        <v>1.26</v>
      </c>
      <c r="T516" s="25" t="n">
        <v>3.64</v>
      </c>
      <c r="U516" s="42" t="inlineStr">
        <is>
          <t>Tier 1B (Micro Drop, 1-3 km)</t>
        </is>
      </c>
      <c r="V516" s="24" t="n">
        <v>65.8</v>
      </c>
      <c r="W516" s="24" t="n">
        <v>100</v>
      </c>
      <c r="X516" s="24" t="n">
        <v>28</v>
      </c>
      <c r="Y516" s="45">
        <f>ROUND((V516*'Methodology &amp; Assumptions'!$B$6)+(W516*'Methodology &amp; Assumptions'!$B$5)+(X516*'Methodology &amp; Assumptions'!$B$7), 2)</f>
        <v/>
      </c>
    </row>
    <row r="517" ht="19" customHeight="1">
      <c r="A517" s="35" t="n">
        <v>513</v>
      </c>
      <c r="B517" s="35" t="n">
        <v>3513</v>
      </c>
      <c r="C517" s="36" t="inlineStr">
        <is>
          <t>0403429022</t>
        </is>
      </c>
      <c r="D517" s="36" t="inlineStr">
        <is>
          <t>Region IV-A (CALABARZON)</t>
        </is>
      </c>
      <c r="E517" s="36" t="inlineStr">
        <is>
          <t>Laguna</t>
        </is>
      </c>
      <c r="F517" s="36" t="inlineStr">
        <is>
          <t>Siniloan</t>
        </is>
      </c>
      <c r="G517" s="36" t="inlineStr">
        <is>
          <t>Wawa</t>
        </is>
      </c>
      <c r="H517" s="37" t="n">
        <v>14.413864</v>
      </c>
      <c r="I517" s="37" t="n">
        <v>121.444193</v>
      </c>
      <c r="J517" s="8" t="inlineStr">
        <is>
          <t>R</t>
        </is>
      </c>
      <c r="K517" s="36" t="inlineStr">
        <is>
          <t>Class 1-3 / Urban</t>
        </is>
      </c>
      <c r="L517" s="18" t="n">
        <v>3030</v>
      </c>
      <c r="M517" s="20" t="n">
        <v>4.2</v>
      </c>
      <c r="N517" s="18">
        <f>ROUND(L517/M517, 0)</f>
        <v/>
      </c>
      <c r="O517" s="18">
        <f>ROUND(N517*'Methodology &amp; Assumptions'!$B$8, 0)</f>
        <v/>
      </c>
      <c r="P517" s="8" t="inlineStr">
        <is>
          <t>Band n50 (1.5 GHz, 60 MHz)</t>
        </is>
      </c>
      <c r="Q517" s="38">
        <f>ROUNDUP(O517/'Methodology &amp; Assumptions'!$B$9, 0)</f>
        <v/>
      </c>
      <c r="R517" s="39" t="n">
        <v>1</v>
      </c>
      <c r="S517" s="21" t="n">
        <v>2.18</v>
      </c>
      <c r="T517" s="21" t="n">
        <v>1.98</v>
      </c>
      <c r="U517" s="36" t="inlineStr">
        <is>
          <t>Tier 1B (Micro Drop, 1-3 km)</t>
        </is>
      </c>
      <c r="V517" s="20" t="n">
        <v>58.4</v>
      </c>
      <c r="W517" s="20" t="n">
        <v>81.59999999999999</v>
      </c>
      <c r="X517" s="20" t="n">
        <v>58</v>
      </c>
      <c r="Y517" s="40">
        <f>ROUND((V517*'Methodology &amp; Assumptions'!$B$6)+(W517*'Methodology &amp; Assumptions'!$B$5)+(X517*'Methodology &amp; Assumptions'!$B$7), 2)</f>
        <v/>
      </c>
    </row>
    <row r="518" ht="19" customHeight="1">
      <c r="A518" s="41" t="n">
        <v>514</v>
      </c>
      <c r="B518" s="41" t="n">
        <v>3514</v>
      </c>
      <c r="C518" s="42" t="inlineStr">
        <is>
          <t>1705213004</t>
        </is>
      </c>
      <c r="D518" s="42" t="inlineStr">
        <is>
          <t>MIMAROPA Region</t>
        </is>
      </c>
      <c r="E518" s="42" t="inlineStr">
        <is>
          <t>Oriental Mindoro</t>
        </is>
      </c>
      <c r="F518" s="42" t="inlineStr">
        <is>
          <t>San Teodoro</t>
        </is>
      </c>
      <c r="G518" s="42" t="inlineStr">
        <is>
          <t>Ilag</t>
        </is>
      </c>
      <c r="H518" s="43" t="n">
        <v>13.441099</v>
      </c>
      <c r="I518" s="43" t="n">
        <v>121.016932</v>
      </c>
      <c r="J518" s="44" t="inlineStr">
        <is>
          <t>R</t>
        </is>
      </c>
      <c r="K518" s="42" t="inlineStr">
        <is>
          <t>2nd</t>
        </is>
      </c>
      <c r="L518" s="23" t="n">
        <v>1686</v>
      </c>
      <c r="M518" s="24" t="n">
        <v>4.41</v>
      </c>
      <c r="N518" s="23">
        <f>ROUND(L518/M518, 0)</f>
        <v/>
      </c>
      <c r="O518" s="23">
        <f>ROUND(N518*'Methodology &amp; Assumptions'!$B$8, 0)</f>
        <v/>
      </c>
      <c r="P518" s="44" t="inlineStr">
        <is>
          <t>Band n50 (1.5 GHz, 60 MHz)</t>
        </is>
      </c>
      <c r="Q518" s="38">
        <f>ROUNDUP(O518/'Methodology &amp; Assumptions'!$B$9, 0)</f>
        <v/>
      </c>
      <c r="R518" s="39" t="n">
        <v>1</v>
      </c>
      <c r="S518" s="25" t="n">
        <v>0.6899999999999999</v>
      </c>
      <c r="T518" s="25" t="n">
        <v>0.23</v>
      </c>
      <c r="U518" s="42" t="inlineStr">
        <is>
          <t>Tier 1A (Direct Coloc, &lt;1 km)</t>
        </is>
      </c>
      <c r="V518" s="24" t="n">
        <v>89.40000000000001</v>
      </c>
      <c r="W518" s="24" t="n">
        <v>50.7</v>
      </c>
      <c r="X518" s="24" t="n">
        <v>58</v>
      </c>
      <c r="Y518" s="45">
        <f>ROUND((V518*'Methodology &amp; Assumptions'!$B$6)+(W518*'Methodology &amp; Assumptions'!$B$5)+(X518*'Methodology &amp; Assumptions'!$B$7), 2)</f>
        <v/>
      </c>
    </row>
    <row r="519" ht="19" customHeight="1">
      <c r="A519" s="35" t="n">
        <v>515</v>
      </c>
      <c r="B519" s="35" t="n">
        <v>3515</v>
      </c>
      <c r="C519" s="36" t="inlineStr">
        <is>
          <t>0102811016</t>
        </is>
      </c>
      <c r="D519" s="36" t="inlineStr">
        <is>
          <t>Region I (Ilocos Region)</t>
        </is>
      </c>
      <c r="E519" s="36" t="inlineStr">
        <is>
          <t>Ilocos Norte</t>
        </is>
      </c>
      <c r="F519" s="36" t="inlineStr">
        <is>
          <t>Banna</t>
        </is>
      </c>
      <c r="G519" s="36" t="inlineStr">
        <is>
          <t>Marcos</t>
        </is>
      </c>
      <c r="H519" s="37" t="n">
        <v>17.979851</v>
      </c>
      <c r="I519" s="37" t="n">
        <v>120.65303</v>
      </c>
      <c r="J519" s="8" t="inlineStr">
        <is>
          <t>R</t>
        </is>
      </c>
      <c r="K519" s="36" t="inlineStr">
        <is>
          <t>1st</t>
        </is>
      </c>
      <c r="L519" s="18" t="n">
        <v>1048</v>
      </c>
      <c r="M519" s="20" t="n">
        <v>4.28</v>
      </c>
      <c r="N519" s="18">
        <f>ROUND(L519/M519, 0)</f>
        <v/>
      </c>
      <c r="O519" s="18">
        <f>ROUND(N519*'Methodology &amp; Assumptions'!$B$8, 0)</f>
        <v/>
      </c>
      <c r="P519" s="8" t="inlineStr">
        <is>
          <t>Band n50 (1.5 GHz, 60 MHz)</t>
        </is>
      </c>
      <c r="Q519" s="38">
        <f>ROUNDUP(O519/'Methodology &amp; Assumptions'!$B$9, 0)</f>
        <v/>
      </c>
      <c r="R519" s="39" t="n">
        <v>1</v>
      </c>
      <c r="S519" s="21" t="n">
        <v>0.44</v>
      </c>
      <c r="T519" s="21" t="n">
        <v>0.52</v>
      </c>
      <c r="U519" s="36" t="inlineStr">
        <is>
          <t>Tier 1A (Direct Coloc, &lt;1 km)</t>
        </is>
      </c>
      <c r="V519" s="20" t="n">
        <v>96.3</v>
      </c>
      <c r="W519" s="20" t="n">
        <v>43.7</v>
      </c>
      <c r="X519" s="20" t="n">
        <v>58</v>
      </c>
      <c r="Y519" s="40">
        <f>ROUND((V519*'Methodology &amp; Assumptions'!$B$6)+(W519*'Methodology &amp; Assumptions'!$B$5)+(X519*'Methodology &amp; Assumptions'!$B$7), 2)</f>
        <v/>
      </c>
    </row>
    <row r="520" ht="19" customHeight="1">
      <c r="A520" s="41" t="n">
        <v>516</v>
      </c>
      <c r="B520" s="41" t="n">
        <v>3516</v>
      </c>
      <c r="C520" s="42" t="inlineStr">
        <is>
          <t>0301412007</t>
        </is>
      </c>
      <c r="D520" s="42" t="inlineStr">
        <is>
          <t>Region III (Central Luzon)</t>
        </is>
      </c>
      <c r="E520" s="42" t="inlineStr">
        <is>
          <t>Bulacan</t>
        </is>
      </c>
      <c r="F520" s="42" t="inlineStr">
        <is>
          <t>City of Meycauayan</t>
        </is>
      </c>
      <c r="G520" s="42" t="inlineStr">
        <is>
          <t>Camalig</t>
        </is>
      </c>
      <c r="H520" s="43" t="n">
        <v>14.769589</v>
      </c>
      <c r="I520" s="43" t="n">
        <v>120.993344</v>
      </c>
      <c r="J520" s="44" t="inlineStr">
        <is>
          <t>U</t>
        </is>
      </c>
      <c r="K520" s="42" t="inlineStr">
        <is>
          <t>Class 1-3 / Urban</t>
        </is>
      </c>
      <c r="L520" s="23" t="n">
        <v>8388</v>
      </c>
      <c r="M520" s="24" t="n">
        <v>4.1</v>
      </c>
      <c r="N520" s="23">
        <f>ROUND(L520/M520, 0)</f>
        <v/>
      </c>
      <c r="O520" s="23">
        <f>ROUND(N520*'Methodology &amp; Assumptions'!$B$8, 0)</f>
        <v/>
      </c>
      <c r="P520" s="44" t="inlineStr">
        <is>
          <t>Band n50 (1.5 GHz, 60 MHz)</t>
        </is>
      </c>
      <c r="Q520" s="38">
        <f>ROUNDUP(O520/'Methodology &amp; Assumptions'!$B$9, 0)</f>
        <v/>
      </c>
      <c r="R520" s="39" t="n">
        <v>1</v>
      </c>
      <c r="S520" s="25" t="n">
        <v>1.26</v>
      </c>
      <c r="T520" s="25" t="n">
        <v>2.08</v>
      </c>
      <c r="U520" s="42" t="inlineStr">
        <is>
          <t>Tier 1B (Micro Drop, 1-3 km)</t>
        </is>
      </c>
      <c r="V520" s="24" t="n">
        <v>65.7</v>
      </c>
      <c r="W520" s="24" t="n">
        <v>100</v>
      </c>
      <c r="X520" s="24" t="n">
        <v>28</v>
      </c>
      <c r="Y520" s="45">
        <f>ROUND((V520*'Methodology &amp; Assumptions'!$B$6)+(W520*'Methodology &amp; Assumptions'!$B$5)+(X520*'Methodology &amp; Assumptions'!$B$7), 2)</f>
        <v/>
      </c>
    </row>
    <row r="521" ht="19" customHeight="1">
      <c r="A521" s="35" t="n">
        <v>517</v>
      </c>
      <c r="B521" s="35" t="n">
        <v>3517</v>
      </c>
      <c r="C521" s="36" t="inlineStr">
        <is>
          <t>0403423004</t>
        </is>
      </c>
      <c r="D521" s="36" t="inlineStr">
        <is>
          <t>Region IV-A (CALABARZON)</t>
        </is>
      </c>
      <c r="E521" s="36" t="inlineStr">
        <is>
          <t>Laguna</t>
        </is>
      </c>
      <c r="F521" s="36" t="inlineStr">
        <is>
          <t>Rizal</t>
        </is>
      </c>
      <c r="G521" s="36" t="inlineStr">
        <is>
          <t>Paule 1</t>
        </is>
      </c>
      <c r="H521" s="37" t="n">
        <v>14.107777</v>
      </c>
      <c r="I521" s="37" t="n">
        <v>121.401038</v>
      </c>
      <c r="J521" s="8" t="inlineStr">
        <is>
          <t>R</t>
        </is>
      </c>
      <c r="K521" s="36" t="inlineStr">
        <is>
          <t>4th</t>
        </is>
      </c>
      <c r="L521" s="18" t="n">
        <v>1277</v>
      </c>
      <c r="M521" s="20" t="n">
        <v>4.24</v>
      </c>
      <c r="N521" s="18">
        <f>ROUND(L521/M521, 0)</f>
        <v/>
      </c>
      <c r="O521" s="18">
        <f>ROUND(N521*'Methodology &amp; Assumptions'!$B$8, 0)</f>
        <v/>
      </c>
      <c r="P521" s="8" t="inlineStr">
        <is>
          <t>Band n50 (1.5 GHz, 60 MHz)</t>
        </is>
      </c>
      <c r="Q521" s="38">
        <f>ROUNDUP(O521/'Methodology &amp; Assumptions'!$B$9, 0)</f>
        <v/>
      </c>
      <c r="R521" s="39" t="n">
        <v>1</v>
      </c>
      <c r="S521" s="21" t="n">
        <v>0.9399999999999999</v>
      </c>
      <c r="T521" s="21" t="n">
        <v>0.14</v>
      </c>
      <c r="U521" s="36" t="inlineStr">
        <is>
          <t>Tier 1A (Direct Coloc, &lt;1 km)</t>
        </is>
      </c>
      <c r="V521" s="20" t="n">
        <v>83</v>
      </c>
      <c r="W521" s="20" t="n">
        <v>48</v>
      </c>
      <c r="X521" s="20" t="n">
        <v>68.5</v>
      </c>
      <c r="Y521" s="40">
        <f>ROUND((V521*'Methodology &amp; Assumptions'!$B$6)+(W521*'Methodology &amp; Assumptions'!$B$5)+(X521*'Methodology &amp; Assumptions'!$B$7), 2)</f>
        <v/>
      </c>
    </row>
    <row r="522" ht="19" customHeight="1">
      <c r="A522" s="41" t="n">
        <v>518</v>
      </c>
      <c r="B522" s="41" t="n">
        <v>3518</v>
      </c>
      <c r="C522" s="42" t="inlineStr">
        <is>
          <t>0403408008</t>
        </is>
      </c>
      <c r="D522" s="42" t="inlineStr">
        <is>
          <t>Region IV-A (CALABARZON)</t>
        </is>
      </c>
      <c r="E522" s="42" t="inlineStr">
        <is>
          <t>Laguna</t>
        </is>
      </c>
      <c r="F522" s="42" t="inlineStr">
        <is>
          <t>Famy</t>
        </is>
      </c>
      <c r="G522" s="42" t="inlineStr">
        <is>
          <t>Caballero</t>
        </is>
      </c>
      <c r="H522" s="43" t="n">
        <v>14.440245</v>
      </c>
      <c r="I522" s="43" t="n">
        <v>121.449174</v>
      </c>
      <c r="J522" s="44" t="inlineStr">
        <is>
          <t>R</t>
        </is>
      </c>
      <c r="K522" s="42" t="inlineStr">
        <is>
          <t>4th</t>
        </is>
      </c>
      <c r="L522" s="23" t="n">
        <v>678</v>
      </c>
      <c r="M522" s="24" t="n">
        <v>4.03</v>
      </c>
      <c r="N522" s="23">
        <f>ROUND(L522/M522, 0)</f>
        <v/>
      </c>
      <c r="O522" s="23">
        <f>ROUND(N522*'Methodology &amp; Assumptions'!$B$8, 0)</f>
        <v/>
      </c>
      <c r="P522" s="44" t="inlineStr">
        <is>
          <t>Band n50 (1.5 GHz, 60 MHz)</t>
        </is>
      </c>
      <c r="Q522" s="38">
        <f>ROUNDUP(O522/'Methodology &amp; Assumptions'!$B$9, 0)</f>
        <v/>
      </c>
      <c r="R522" s="39" t="n">
        <v>1</v>
      </c>
      <c r="S522" s="25" t="n">
        <v>0.53</v>
      </c>
      <c r="T522" s="25" t="n">
        <v>0.49</v>
      </c>
      <c r="U522" s="42" t="inlineStr">
        <is>
          <t>Tier 1A (Direct Coloc, &lt;1 km)</t>
        </is>
      </c>
      <c r="V522" s="24" t="n">
        <v>93.7</v>
      </c>
      <c r="W522" s="24" t="n">
        <v>37.3</v>
      </c>
      <c r="X522" s="24" t="n">
        <v>68.5</v>
      </c>
      <c r="Y522" s="45">
        <f>ROUND((V522*'Methodology &amp; Assumptions'!$B$6)+(W522*'Methodology &amp; Assumptions'!$B$5)+(X522*'Methodology &amp; Assumptions'!$B$7), 2)</f>
        <v/>
      </c>
    </row>
    <row r="523" ht="19" customHeight="1">
      <c r="A523" s="35" t="n">
        <v>519</v>
      </c>
      <c r="B523" s="35" t="n">
        <v>3519</v>
      </c>
      <c r="C523" s="36" t="inlineStr">
        <is>
          <t>0105511036</t>
        </is>
      </c>
      <c r="D523" s="36" t="inlineStr">
        <is>
          <t>Region I (Ilocos Region)</t>
        </is>
      </c>
      <c r="E523" s="36" t="inlineStr">
        <is>
          <t>Pangasinan</t>
        </is>
      </c>
      <c r="F523" s="36" t="inlineStr">
        <is>
          <t>Bayambang</t>
        </is>
      </c>
      <c r="G523" s="36" t="inlineStr">
        <is>
          <t>M. H. del Pilar</t>
        </is>
      </c>
      <c r="H523" s="37" t="n">
        <v>15.8075</v>
      </c>
      <c r="I523" s="37" t="n">
        <v>120.45254</v>
      </c>
      <c r="J523" s="8" t="inlineStr">
        <is>
          <t>R</t>
        </is>
      </c>
      <c r="K523" s="36" t="inlineStr">
        <is>
          <t>Class 1-3 / Urban</t>
        </is>
      </c>
      <c r="L523" s="18" t="n">
        <v>1900</v>
      </c>
      <c r="M523" s="20" t="n">
        <v>4.39</v>
      </c>
      <c r="N523" s="18">
        <f>ROUND(L523/M523, 0)</f>
        <v/>
      </c>
      <c r="O523" s="18">
        <f>ROUND(N523*'Methodology &amp; Assumptions'!$B$8, 0)</f>
        <v/>
      </c>
      <c r="P523" s="8" t="inlineStr">
        <is>
          <t>Band n50 (1.5 GHz, 60 MHz)</t>
        </is>
      </c>
      <c r="Q523" s="38">
        <f>ROUNDUP(O523/'Methodology &amp; Assumptions'!$B$9, 0)</f>
        <v/>
      </c>
      <c r="R523" s="39" t="n">
        <v>1</v>
      </c>
      <c r="S523" s="21" t="n">
        <v>1.01</v>
      </c>
      <c r="T523" s="21" t="n">
        <v>0.57</v>
      </c>
      <c r="U523" s="36" t="inlineStr">
        <is>
          <t>Tier 1B (Micro Drop, 1-3 km)</t>
        </is>
      </c>
      <c r="V523" s="20" t="n">
        <v>81.3</v>
      </c>
      <c r="W523" s="20" t="n">
        <v>58.7</v>
      </c>
      <c r="X523" s="20" t="n">
        <v>58</v>
      </c>
      <c r="Y523" s="40">
        <f>ROUND((V523*'Methodology &amp; Assumptions'!$B$6)+(W523*'Methodology &amp; Assumptions'!$B$5)+(X523*'Methodology &amp; Assumptions'!$B$7), 2)</f>
        <v/>
      </c>
    </row>
    <row r="524" ht="19" customHeight="1">
      <c r="A524" s="41" t="n">
        <v>520</v>
      </c>
      <c r="B524" s="41" t="n">
        <v>3520</v>
      </c>
      <c r="C524" s="42" t="inlineStr">
        <is>
          <t>0405630024</t>
        </is>
      </c>
      <c r="D524" s="42" t="inlineStr">
        <is>
          <t>Region IV-A (CALABARZON)</t>
        </is>
      </c>
      <c r="E524" s="42" t="inlineStr">
        <is>
          <t>Quezon</t>
        </is>
      </c>
      <c r="F524" s="42" t="inlineStr">
        <is>
          <t>Pagbilao</t>
        </is>
      </c>
      <c r="G524" s="42" t="inlineStr">
        <is>
          <t>Barangay 6 Tambak</t>
        </is>
      </c>
      <c r="H524" s="43" t="n">
        <v>13.973026</v>
      </c>
      <c r="I524" s="43" t="n">
        <v>121.688437</v>
      </c>
      <c r="J524" s="44" t="inlineStr">
        <is>
          <t>R</t>
        </is>
      </c>
      <c r="K524" s="42" t="inlineStr">
        <is>
          <t>Class 1-3 / Urban</t>
        </is>
      </c>
      <c r="L524" s="23" t="n">
        <v>1513</v>
      </c>
      <c r="M524" s="24" t="n">
        <v>4.46</v>
      </c>
      <c r="N524" s="23">
        <f>ROUND(L524/M524, 0)</f>
        <v/>
      </c>
      <c r="O524" s="23">
        <f>ROUND(N524*'Methodology &amp; Assumptions'!$B$8, 0)</f>
        <v/>
      </c>
      <c r="P524" s="44" t="inlineStr">
        <is>
          <t>Band n50 (1.5 GHz, 60 MHz)</t>
        </is>
      </c>
      <c r="Q524" s="38">
        <f>ROUNDUP(O524/'Methodology &amp; Assumptions'!$B$9, 0)</f>
        <v/>
      </c>
      <c r="R524" s="39" t="n">
        <v>1</v>
      </c>
      <c r="S524" s="25" t="n">
        <v>0.71</v>
      </c>
      <c r="T524" s="25" t="n">
        <v>0.12</v>
      </c>
      <c r="U524" s="42" t="inlineStr">
        <is>
          <t>Tier 1A (Direct Coloc, &lt;1 km)</t>
        </is>
      </c>
      <c r="V524" s="24" t="n">
        <v>88.8</v>
      </c>
      <c r="W524" s="24" t="n">
        <v>51.2</v>
      </c>
      <c r="X524" s="24" t="n">
        <v>58</v>
      </c>
      <c r="Y524" s="45">
        <f>ROUND((V524*'Methodology &amp; Assumptions'!$B$6)+(W524*'Methodology &amp; Assumptions'!$B$5)+(X524*'Methodology &amp; Assumptions'!$B$7), 2)</f>
        <v/>
      </c>
    </row>
    <row r="525" ht="19" customHeight="1">
      <c r="A525" s="35" t="n">
        <v>521</v>
      </c>
      <c r="B525" s="35" t="n">
        <v>3521</v>
      </c>
      <c r="C525" s="36" t="inlineStr">
        <is>
          <t>0405607013</t>
        </is>
      </c>
      <c r="D525" s="36" t="inlineStr">
        <is>
          <t>Region IV-A (CALABARZON)</t>
        </is>
      </c>
      <c r="E525" s="36" t="inlineStr">
        <is>
          <t>Quezon</t>
        </is>
      </c>
      <c r="F525" s="36" t="inlineStr">
        <is>
          <t>Calauag</t>
        </is>
      </c>
      <c r="G525" s="36" t="inlineStr">
        <is>
          <t>Barangay I</t>
        </is>
      </c>
      <c r="H525" s="37" t="n">
        <v>13.958323</v>
      </c>
      <c r="I525" s="37" t="n">
        <v>122.28504</v>
      </c>
      <c r="J525" s="8" t="inlineStr">
        <is>
          <t>R</t>
        </is>
      </c>
      <c r="K525" s="36" t="inlineStr">
        <is>
          <t>Class 1-3 / Urban</t>
        </is>
      </c>
      <c r="L525" s="18" t="n">
        <v>891</v>
      </c>
      <c r="M525" s="20" t="n">
        <v>4.46</v>
      </c>
      <c r="N525" s="18">
        <f>ROUND(L525/M525, 0)</f>
        <v/>
      </c>
      <c r="O525" s="18">
        <f>ROUND(N525*'Methodology &amp; Assumptions'!$B$8, 0)</f>
        <v/>
      </c>
      <c r="P525" s="8" t="inlineStr">
        <is>
          <t>Band n50 (1.5 GHz, 60 MHz)</t>
        </is>
      </c>
      <c r="Q525" s="38">
        <f>ROUNDUP(O525/'Methodology &amp; Assumptions'!$B$9, 0)</f>
        <v/>
      </c>
      <c r="R525" s="39" t="n">
        <v>1</v>
      </c>
      <c r="S525" s="21" t="n">
        <v>0.24</v>
      </c>
      <c r="T525" s="21" t="n">
        <v>0.22</v>
      </c>
      <c r="U525" s="36" t="inlineStr">
        <is>
          <t>Tier 1A (Direct Coloc, &lt;1 km)</t>
        </is>
      </c>
      <c r="V525" s="20" t="n">
        <v>100</v>
      </c>
      <c r="W525" s="20" t="n">
        <v>40</v>
      </c>
      <c r="X525" s="20" t="n">
        <v>58</v>
      </c>
      <c r="Y525" s="40">
        <f>ROUND((V525*'Methodology &amp; Assumptions'!$B$6)+(W525*'Methodology &amp; Assumptions'!$B$5)+(X525*'Methodology &amp; Assumptions'!$B$7), 2)</f>
        <v/>
      </c>
    </row>
    <row r="526" ht="19" customHeight="1">
      <c r="A526" s="41" t="n">
        <v>522</v>
      </c>
      <c r="B526" s="41" t="n">
        <v>3522</v>
      </c>
      <c r="C526" s="42" t="inlineStr">
        <is>
          <t>0304928020</t>
        </is>
      </c>
      <c r="D526" s="42" t="inlineStr">
        <is>
          <t>Region III (Central Luzon)</t>
        </is>
      </c>
      <c r="E526" s="42" t="inlineStr">
        <is>
          <t>Nueva Ecija</t>
        </is>
      </c>
      <c r="F526" s="42" t="inlineStr">
        <is>
          <t>Santa Rosa</t>
        </is>
      </c>
      <c r="G526" s="42" t="inlineStr">
        <is>
          <t>Valenzuela</t>
        </is>
      </c>
      <c r="H526" s="43" t="n">
        <v>15.430261</v>
      </c>
      <c r="I526" s="43" t="n">
        <v>120.937322</v>
      </c>
      <c r="J526" s="44" t="inlineStr">
        <is>
          <t>U</t>
        </is>
      </c>
      <c r="K526" s="42" t="inlineStr">
        <is>
          <t>Class 1-3 / Urban</t>
        </is>
      </c>
      <c r="L526" s="23" t="n">
        <v>2682</v>
      </c>
      <c r="M526" s="24" t="n">
        <v>4.32</v>
      </c>
      <c r="N526" s="23">
        <f>ROUND(L526/M526, 0)</f>
        <v/>
      </c>
      <c r="O526" s="23">
        <f>ROUND(N526*'Methodology &amp; Assumptions'!$B$8, 0)</f>
        <v/>
      </c>
      <c r="P526" s="44" t="inlineStr">
        <is>
          <t>Band n50 (1.5 GHz, 60 MHz)</t>
        </is>
      </c>
      <c r="Q526" s="38">
        <f>ROUNDUP(O526/'Methodology &amp; Assumptions'!$B$9, 0)</f>
        <v/>
      </c>
      <c r="R526" s="39" t="n">
        <v>1</v>
      </c>
      <c r="S526" s="25" t="n">
        <v>0.59</v>
      </c>
      <c r="T526" s="25" t="n">
        <v>0.2</v>
      </c>
      <c r="U526" s="42" t="inlineStr">
        <is>
          <t>Tier 1A (Direct Coloc, &lt;1 km)</t>
        </is>
      </c>
      <c r="V526" s="24" t="n">
        <v>92.09999999999999</v>
      </c>
      <c r="W526" s="24" t="n">
        <v>73.59999999999999</v>
      </c>
      <c r="X526" s="24" t="n">
        <v>28</v>
      </c>
      <c r="Y526" s="45">
        <f>ROUND((V526*'Methodology &amp; Assumptions'!$B$6)+(W526*'Methodology &amp; Assumptions'!$B$5)+(X526*'Methodology &amp; Assumptions'!$B$7), 2)</f>
        <v/>
      </c>
    </row>
    <row r="527" ht="19" customHeight="1">
      <c r="A527" s="35" t="n">
        <v>523</v>
      </c>
      <c r="B527" s="35" t="n">
        <v>3523</v>
      </c>
      <c r="C527" s="36" t="inlineStr">
        <is>
          <t>1004312003</t>
        </is>
      </c>
      <c r="D527" s="36" t="inlineStr">
        <is>
          <t>Region X (Northern Mindanao)</t>
        </is>
      </c>
      <c r="E527" s="36" t="inlineStr">
        <is>
          <t>Misamis Oriental</t>
        </is>
      </c>
      <c r="F527" s="36" t="inlineStr">
        <is>
          <t>Kinoguitan</t>
        </is>
      </c>
      <c r="G527" s="36" t="inlineStr">
        <is>
          <t>Buko</t>
        </is>
      </c>
      <c r="H527" s="37" t="n">
        <v>8.99466</v>
      </c>
      <c r="I527" s="37" t="n">
        <v>124.805319</v>
      </c>
      <c r="J527" s="8" t="inlineStr">
        <is>
          <t>R</t>
        </is>
      </c>
      <c r="K527" s="36" t="inlineStr">
        <is>
          <t>4th</t>
        </is>
      </c>
      <c r="L527" s="18" t="n">
        <v>2497</v>
      </c>
      <c r="M527" s="20" t="n">
        <v>4.7</v>
      </c>
      <c r="N527" s="18">
        <f>ROUND(L527/M527, 0)</f>
        <v/>
      </c>
      <c r="O527" s="18">
        <f>ROUND(N527*'Methodology &amp; Assumptions'!$B$8, 0)</f>
        <v/>
      </c>
      <c r="P527" s="8" t="inlineStr">
        <is>
          <t>Band n50 (1.5 GHz, 60 MHz)</t>
        </is>
      </c>
      <c r="Q527" s="38">
        <f>ROUNDUP(O527/'Methodology &amp; Assumptions'!$B$9, 0)</f>
        <v/>
      </c>
      <c r="R527" s="39" t="n">
        <v>1</v>
      </c>
      <c r="S527" s="21" t="n">
        <v>1.82</v>
      </c>
      <c r="T527" s="21" t="n">
        <v>0.04</v>
      </c>
      <c r="U527" s="36" t="inlineStr">
        <is>
          <t>Tier 1B (Micro Drop, 1-3 km)</t>
        </is>
      </c>
      <c r="V527" s="20" t="n">
        <v>64.59999999999999</v>
      </c>
      <c r="W527" s="20" t="n">
        <v>66.40000000000001</v>
      </c>
      <c r="X527" s="20" t="n">
        <v>68.5</v>
      </c>
      <c r="Y527" s="40">
        <f>ROUND((V527*'Methodology &amp; Assumptions'!$B$6)+(W527*'Methodology &amp; Assumptions'!$B$5)+(X527*'Methodology &amp; Assumptions'!$B$7), 2)</f>
        <v/>
      </c>
    </row>
    <row r="528" ht="19" customHeight="1">
      <c r="A528" s="41" t="n">
        <v>524</v>
      </c>
      <c r="B528" s="41" t="n">
        <v>3524</v>
      </c>
      <c r="C528" s="42" t="inlineStr">
        <is>
          <t>0306916056</t>
        </is>
      </c>
      <c r="D528" s="42" t="inlineStr">
        <is>
          <t>Region III (Central Luzon)</t>
        </is>
      </c>
      <c r="E528" s="42" t="inlineStr">
        <is>
          <t>Tarlac</t>
        </is>
      </c>
      <c r="F528" s="42" t="inlineStr">
        <is>
          <t>City of Tarlac</t>
        </is>
      </c>
      <c r="G528" s="42" t="inlineStr">
        <is>
          <t>Paraiso</t>
        </is>
      </c>
      <c r="H528" s="43" t="n">
        <v>15.442948</v>
      </c>
      <c r="I528" s="43" t="n">
        <v>120.599854</v>
      </c>
      <c r="J528" s="44" t="inlineStr">
        <is>
          <t>R</t>
        </is>
      </c>
      <c r="K528" s="42" t="inlineStr">
        <is>
          <t>Class 1-3 / Urban</t>
        </is>
      </c>
      <c r="L528" s="23" t="n">
        <v>3435</v>
      </c>
      <c r="M528" s="24" t="n">
        <v>4.3</v>
      </c>
      <c r="N528" s="23">
        <f>ROUND(L528/M528, 0)</f>
        <v/>
      </c>
      <c r="O528" s="23">
        <f>ROUND(N528*'Methodology &amp; Assumptions'!$B$8, 0)</f>
        <v/>
      </c>
      <c r="P528" s="44" t="inlineStr">
        <is>
          <t>Band n50 (1.5 GHz, 60 MHz)</t>
        </is>
      </c>
      <c r="Q528" s="38">
        <f>ROUNDUP(O528/'Methodology &amp; Assumptions'!$B$9, 0)</f>
        <v/>
      </c>
      <c r="R528" s="39" t="n">
        <v>1</v>
      </c>
      <c r="S528" s="25" t="n">
        <v>2.61</v>
      </c>
      <c r="T528" s="25" t="n">
        <v>0.23</v>
      </c>
      <c r="U528" s="42" t="inlineStr">
        <is>
          <t>Tier 1B (Micro Drop, 1-3 km)</t>
        </is>
      </c>
      <c r="V528" s="24" t="n">
        <v>52</v>
      </c>
      <c r="W528" s="24" t="n">
        <v>88</v>
      </c>
      <c r="X528" s="24" t="n">
        <v>58</v>
      </c>
      <c r="Y528" s="45">
        <f>ROUND((V528*'Methodology &amp; Assumptions'!$B$6)+(W528*'Methodology &amp; Assumptions'!$B$5)+(X528*'Methodology &amp; Assumptions'!$B$7), 2)</f>
        <v/>
      </c>
    </row>
    <row r="529" ht="19" customHeight="1">
      <c r="A529" s="35" t="n">
        <v>525</v>
      </c>
      <c r="B529" s="35" t="n">
        <v>3525</v>
      </c>
      <c r="C529" s="36" t="inlineStr">
        <is>
          <t>0304927015</t>
        </is>
      </c>
      <c r="D529" s="36" t="inlineStr">
        <is>
          <t>Region III (Central Luzon)</t>
        </is>
      </c>
      <c r="E529" s="36" t="inlineStr">
        <is>
          <t>Nueva Ecija</t>
        </is>
      </c>
      <c r="F529" s="36" t="inlineStr">
        <is>
          <t>San Leonardo</t>
        </is>
      </c>
      <c r="G529" s="36" t="inlineStr">
        <is>
          <t>Tagumpay</t>
        </is>
      </c>
      <c r="H529" s="37" t="n">
        <v>15.368606</v>
      </c>
      <c r="I529" s="37" t="n">
        <v>120.947444</v>
      </c>
      <c r="J529" s="8" t="inlineStr">
        <is>
          <t>R</t>
        </is>
      </c>
      <c r="K529" s="36" t="inlineStr">
        <is>
          <t>Class 1-3 / Urban</t>
        </is>
      </c>
      <c r="L529" s="18" t="n">
        <v>1188</v>
      </c>
      <c r="M529" s="20" t="n">
        <v>4.32</v>
      </c>
      <c r="N529" s="18">
        <f>ROUND(L529/M529, 0)</f>
        <v/>
      </c>
      <c r="O529" s="18">
        <f>ROUND(N529*'Methodology &amp; Assumptions'!$B$8, 0)</f>
        <v/>
      </c>
      <c r="P529" s="8" t="inlineStr">
        <is>
          <t>Band n50 (1.5 GHz, 60 MHz)</t>
        </is>
      </c>
      <c r="Q529" s="38">
        <f>ROUNDUP(O529/'Methodology &amp; Assumptions'!$B$9, 0)</f>
        <v/>
      </c>
      <c r="R529" s="39" t="n">
        <v>1</v>
      </c>
      <c r="S529" s="21" t="n">
        <v>1.02</v>
      </c>
      <c r="T529" s="21" t="n">
        <v>0.79</v>
      </c>
      <c r="U529" s="36" t="inlineStr">
        <is>
          <t>Tier 1B (Micro Drop, 1-3 km)</t>
        </is>
      </c>
      <c r="V529" s="20" t="n">
        <v>81.2</v>
      </c>
      <c r="W529" s="20" t="n">
        <v>45.9</v>
      </c>
      <c r="X529" s="20" t="n">
        <v>73</v>
      </c>
      <c r="Y529" s="40">
        <f>ROUND((V529*'Methodology &amp; Assumptions'!$B$6)+(W529*'Methodology &amp; Assumptions'!$B$5)+(X529*'Methodology &amp; Assumptions'!$B$7), 2)</f>
        <v/>
      </c>
    </row>
    <row r="530" ht="19" customHeight="1">
      <c r="A530" s="41" t="n">
        <v>526</v>
      </c>
      <c r="B530" s="41" t="n">
        <v>3526</v>
      </c>
      <c r="C530" s="42" t="inlineStr">
        <is>
          <t>0702247004</t>
        </is>
      </c>
      <c r="D530" s="42" t="inlineStr">
        <is>
          <t>Region VII (Central Visayas)</t>
        </is>
      </c>
      <c r="E530" s="42" t="inlineStr">
        <is>
          <t>Cebu</t>
        </is>
      </c>
      <c r="F530" s="42" t="inlineStr">
        <is>
          <t>Sogod</t>
        </is>
      </c>
      <c r="G530" s="42" t="inlineStr">
        <is>
          <t>Bawo</t>
        </is>
      </c>
      <c r="H530" s="43" t="n">
        <v>10.73496</v>
      </c>
      <c r="I530" s="43" t="n">
        <v>124.00997</v>
      </c>
      <c r="J530" s="44" t="inlineStr">
        <is>
          <t>R</t>
        </is>
      </c>
      <c r="K530" s="42" t="inlineStr">
        <is>
          <t>2nd</t>
        </is>
      </c>
      <c r="L530" s="23" t="n">
        <v>2820</v>
      </c>
      <c r="M530" s="24" t="n">
        <v>4.15</v>
      </c>
      <c r="N530" s="23">
        <f>ROUND(L530/M530, 0)</f>
        <v/>
      </c>
      <c r="O530" s="23">
        <f>ROUND(N530*'Methodology &amp; Assumptions'!$B$8, 0)</f>
        <v/>
      </c>
      <c r="P530" s="44" t="inlineStr">
        <is>
          <t>Band n50 (1.5 GHz, 60 MHz)</t>
        </is>
      </c>
      <c r="Q530" s="38">
        <f>ROUNDUP(O530/'Methodology &amp; Assumptions'!$B$9, 0)</f>
        <v/>
      </c>
      <c r="R530" s="39" t="n">
        <v>1</v>
      </c>
      <c r="S530" s="25" t="n">
        <v>1.99</v>
      </c>
      <c r="T530" s="25" t="n">
        <v>0.29</v>
      </c>
      <c r="U530" s="42" t="inlineStr">
        <is>
          <t>Tier 1B (Micro Drop, 1-3 km)</t>
        </is>
      </c>
      <c r="V530" s="24" t="n">
        <v>61.5</v>
      </c>
      <c r="W530" s="24" t="n">
        <v>78.40000000000001</v>
      </c>
      <c r="X530" s="24" t="n">
        <v>58</v>
      </c>
      <c r="Y530" s="45">
        <f>ROUND((V530*'Methodology &amp; Assumptions'!$B$6)+(W530*'Methodology &amp; Assumptions'!$B$5)+(X530*'Methodology &amp; Assumptions'!$B$7), 2)</f>
        <v/>
      </c>
    </row>
    <row r="531" ht="19" customHeight="1">
      <c r="A531" s="35" t="n">
        <v>527</v>
      </c>
      <c r="B531" s="35" t="n">
        <v>3527</v>
      </c>
      <c r="C531" s="36" t="inlineStr">
        <is>
          <t>0203103032</t>
        </is>
      </c>
      <c r="D531" s="36" t="inlineStr">
        <is>
          <t>Region II (Cagayan Valley)</t>
        </is>
      </c>
      <c r="E531" s="36" t="inlineStr">
        <is>
          <t>Isabela</t>
        </is>
      </c>
      <c r="F531" s="36" t="inlineStr">
        <is>
          <t>Aurora</t>
        </is>
      </c>
      <c r="G531" s="36" t="inlineStr">
        <is>
          <t>San Juan</t>
        </is>
      </c>
      <c r="H531" s="37" t="n">
        <v>16.987599</v>
      </c>
      <c r="I531" s="37" t="n">
        <v>121.637685</v>
      </c>
      <c r="J531" s="8" t="inlineStr">
        <is>
          <t>R</t>
        </is>
      </c>
      <c r="K531" s="36" t="inlineStr">
        <is>
          <t>Class 1-3 / Urban</t>
        </is>
      </c>
      <c r="L531" s="18" t="n">
        <v>1651</v>
      </c>
      <c r="M531" s="20" t="n">
        <v>4.3</v>
      </c>
      <c r="N531" s="18">
        <f>ROUND(L531/M531, 0)</f>
        <v/>
      </c>
      <c r="O531" s="18">
        <f>ROUND(N531*'Methodology &amp; Assumptions'!$B$8, 0)</f>
        <v/>
      </c>
      <c r="P531" s="8" t="inlineStr">
        <is>
          <t>Band n50 (1.5 GHz, 60 MHz)</t>
        </is>
      </c>
      <c r="Q531" s="38">
        <f>ROUNDUP(O531/'Methodology &amp; Assumptions'!$B$9, 0)</f>
        <v/>
      </c>
      <c r="R531" s="39" t="n">
        <v>1</v>
      </c>
      <c r="S531" s="21" t="n">
        <v>0.85</v>
      </c>
      <c r="T531" s="21" t="n">
        <v>0.18</v>
      </c>
      <c r="U531" s="36" t="inlineStr">
        <is>
          <t>Tier 1A (Direct Coloc, &lt;1 km)</t>
        </is>
      </c>
      <c r="V531" s="20" t="n">
        <v>85.3</v>
      </c>
      <c r="W531" s="20" t="n">
        <v>54.7</v>
      </c>
      <c r="X531" s="20" t="n">
        <v>58</v>
      </c>
      <c r="Y531" s="40">
        <f>ROUND((V531*'Methodology &amp; Assumptions'!$B$6)+(W531*'Methodology &amp; Assumptions'!$B$5)+(X531*'Methodology &amp; Assumptions'!$B$7), 2)</f>
        <v/>
      </c>
    </row>
    <row r="532" ht="19" customHeight="1">
      <c r="A532" s="41" t="n">
        <v>528</v>
      </c>
      <c r="B532" s="41" t="n">
        <v>3528</v>
      </c>
      <c r="C532" s="42" t="inlineStr">
        <is>
          <t>0403410029</t>
        </is>
      </c>
      <c r="D532" s="42" t="inlineStr">
        <is>
          <t>Region IV-A (CALABARZON)</t>
        </is>
      </c>
      <c r="E532" s="42" t="inlineStr">
        <is>
          <t>Laguna</t>
        </is>
      </c>
      <c r="F532" s="42" t="inlineStr">
        <is>
          <t>Liliw</t>
        </is>
      </c>
      <c r="G532" s="42" t="inlineStr">
        <is>
          <t>Mojon</t>
        </is>
      </c>
      <c r="H532" s="43" t="n">
        <v>14.191012</v>
      </c>
      <c r="I532" s="43" t="n">
        <v>121.406424</v>
      </c>
      <c r="J532" s="44" t="inlineStr">
        <is>
          <t>R</t>
        </is>
      </c>
      <c r="K532" s="42" t="inlineStr">
        <is>
          <t>3rd</t>
        </is>
      </c>
      <c r="L532" s="23" t="n">
        <v>4447</v>
      </c>
      <c r="M532" s="24" t="n">
        <v>3.93</v>
      </c>
      <c r="N532" s="23">
        <f>ROUND(L532/M532, 0)</f>
        <v/>
      </c>
      <c r="O532" s="23">
        <f>ROUND(N532*'Methodology &amp; Assumptions'!$B$8, 0)</f>
        <v/>
      </c>
      <c r="P532" s="44" t="inlineStr">
        <is>
          <t>Band n50 (1.5 GHz, 60 MHz)</t>
        </is>
      </c>
      <c r="Q532" s="38">
        <f>ROUNDUP(O532/'Methodology &amp; Assumptions'!$B$9, 0)</f>
        <v/>
      </c>
      <c r="R532" s="39" t="n">
        <v>1</v>
      </c>
      <c r="S532" s="25" t="n">
        <v>2.76</v>
      </c>
      <c r="T532" s="25" t="n">
        <v>2.36</v>
      </c>
      <c r="U532" s="42" t="inlineStr">
        <is>
          <t>Tier 1B (Micro Drop, 1-3 km)</t>
        </is>
      </c>
      <c r="V532" s="24" t="n">
        <v>39.9</v>
      </c>
      <c r="W532" s="24" t="n">
        <v>100</v>
      </c>
      <c r="X532" s="24" t="n">
        <v>58</v>
      </c>
      <c r="Y532" s="45">
        <f>ROUND((V532*'Methodology &amp; Assumptions'!$B$6)+(W532*'Methodology &amp; Assumptions'!$B$5)+(X532*'Methodology &amp; Assumptions'!$B$7), 2)</f>
        <v/>
      </c>
    </row>
    <row r="533" ht="19" customHeight="1">
      <c r="A533" s="35" t="n">
        <v>529</v>
      </c>
      <c r="B533" s="35" t="n">
        <v>3529</v>
      </c>
      <c r="C533" s="36" t="inlineStr">
        <is>
          <t>0307109011</t>
        </is>
      </c>
      <c r="D533" s="36" t="inlineStr">
        <is>
          <t>Region III (Central Luzon)</t>
        </is>
      </c>
      <c r="E533" s="36" t="inlineStr">
        <is>
          <t>Zambales</t>
        </is>
      </c>
      <c r="F533" s="36" t="inlineStr">
        <is>
          <t>San Antonio</t>
        </is>
      </c>
      <c r="G533" s="36" t="inlineStr">
        <is>
          <t>San Miguel</t>
        </is>
      </c>
      <c r="H533" s="37" t="n">
        <v>14.950371</v>
      </c>
      <c r="I533" s="37" t="n">
        <v>120.064708</v>
      </c>
      <c r="J533" s="8" t="inlineStr">
        <is>
          <t>R</t>
        </is>
      </c>
      <c r="K533" s="36" t="inlineStr">
        <is>
          <t>Class 1-3 / Urban</t>
        </is>
      </c>
      <c r="L533" s="18" t="n">
        <v>4079</v>
      </c>
      <c r="M533" s="20" t="n">
        <v>4.05</v>
      </c>
      <c r="N533" s="18">
        <f>ROUND(L533/M533, 0)</f>
        <v/>
      </c>
      <c r="O533" s="18">
        <f>ROUND(N533*'Methodology &amp; Assumptions'!$B$8, 0)</f>
        <v/>
      </c>
      <c r="P533" s="8" t="inlineStr">
        <is>
          <t>Band n50 (1.5 GHz, 60 MHz)</t>
        </is>
      </c>
      <c r="Q533" s="38">
        <f>ROUNDUP(O533/'Methodology &amp; Assumptions'!$B$9, 0)</f>
        <v/>
      </c>
      <c r="R533" s="39" t="n">
        <v>1</v>
      </c>
      <c r="S533" s="21" t="n">
        <v>2.76</v>
      </c>
      <c r="T533" s="21" t="n">
        <v>2.64</v>
      </c>
      <c r="U533" s="36" t="inlineStr">
        <is>
          <t>Tier 1B (Micro Drop, 1-3 km)</t>
        </is>
      </c>
      <c r="V533" s="20" t="n">
        <v>39.9</v>
      </c>
      <c r="W533" s="20" t="n">
        <v>100</v>
      </c>
      <c r="X533" s="20" t="n">
        <v>58</v>
      </c>
      <c r="Y533" s="40">
        <f>ROUND((V533*'Methodology &amp; Assumptions'!$B$6)+(W533*'Methodology &amp; Assumptions'!$B$5)+(X533*'Methodology &amp; Assumptions'!$B$7), 2)</f>
        <v/>
      </c>
    </row>
    <row r="534" ht="19" customHeight="1">
      <c r="A534" s="41" t="n">
        <v>530</v>
      </c>
      <c r="B534" s="41" t="n">
        <v>3530</v>
      </c>
      <c r="C534" s="42" t="inlineStr">
        <is>
          <t>0203106011</t>
        </is>
      </c>
      <c r="D534" s="42" t="inlineStr">
        <is>
          <t>Region II (Cagayan Valley)</t>
        </is>
      </c>
      <c r="E534" s="42" t="inlineStr">
        <is>
          <t>Isabela</t>
        </is>
      </c>
      <c r="F534" s="42" t="inlineStr">
        <is>
          <t>Cabagan</t>
        </is>
      </c>
      <c r="G534" s="42" t="inlineStr">
        <is>
          <t>Luquilu</t>
        </is>
      </c>
      <c r="H534" s="43" t="n">
        <v>17.42638</v>
      </c>
      <c r="I534" s="43" t="n">
        <v>121.759583</v>
      </c>
      <c r="J534" s="44" t="inlineStr">
        <is>
          <t>R</t>
        </is>
      </c>
      <c r="K534" s="42" t="inlineStr">
        <is>
          <t>Class 1-3 / Urban</t>
        </is>
      </c>
      <c r="L534" s="23" t="n">
        <v>2428</v>
      </c>
      <c r="M534" s="24" t="n">
        <v>4.3</v>
      </c>
      <c r="N534" s="23">
        <f>ROUND(L534/M534, 0)</f>
        <v/>
      </c>
      <c r="O534" s="23">
        <f>ROUND(N534*'Methodology &amp; Assumptions'!$B$8, 0)</f>
        <v/>
      </c>
      <c r="P534" s="44" t="inlineStr">
        <is>
          <t>Band n50 (1.5 GHz, 60 MHz)</t>
        </is>
      </c>
      <c r="Q534" s="38">
        <f>ROUNDUP(O534/'Methodology &amp; Assumptions'!$B$9, 0)</f>
        <v/>
      </c>
      <c r="R534" s="39" t="n">
        <v>1</v>
      </c>
      <c r="S534" s="25" t="n">
        <v>1.5</v>
      </c>
      <c r="T534" s="25" t="n">
        <v>1.42</v>
      </c>
      <c r="U534" s="42" t="inlineStr">
        <is>
          <t>Tier 1B (Micro Drop, 1-3 km)</t>
        </is>
      </c>
      <c r="V534" s="24" t="n">
        <v>70.59999999999999</v>
      </c>
      <c r="W534" s="24" t="n">
        <v>69.3</v>
      </c>
      <c r="X534" s="24" t="n">
        <v>58</v>
      </c>
      <c r="Y534" s="45">
        <f>ROUND((V534*'Methodology &amp; Assumptions'!$B$6)+(W534*'Methodology &amp; Assumptions'!$B$5)+(X534*'Methodology &amp; Assumptions'!$B$7), 2)</f>
        <v/>
      </c>
    </row>
    <row r="535" ht="19" customHeight="1">
      <c r="A535" s="35" t="n">
        <v>531</v>
      </c>
      <c r="B535" s="35" t="n">
        <v>3531</v>
      </c>
      <c r="C535" s="36" t="inlineStr">
        <is>
          <t>0105522002</t>
        </is>
      </c>
      <c r="D535" s="36" t="inlineStr">
        <is>
          <t>Region I (Ilocos Region)</t>
        </is>
      </c>
      <c r="E535" s="36" t="inlineStr">
        <is>
          <t>Pangasinan</t>
        </is>
      </c>
      <c r="F535" s="36" t="inlineStr">
        <is>
          <t>Lingayen</t>
        </is>
      </c>
      <c r="G535" s="36" t="inlineStr">
        <is>
          <t>Baay</t>
        </is>
      </c>
      <c r="H535" s="37" t="n">
        <v>16.009709</v>
      </c>
      <c r="I535" s="37" t="n">
        <v>120.223753</v>
      </c>
      <c r="J535" s="8" t="inlineStr">
        <is>
          <t>U</t>
        </is>
      </c>
      <c r="K535" s="36" t="inlineStr">
        <is>
          <t>Class 1-3 / Urban</t>
        </is>
      </c>
      <c r="L535" s="18" t="n">
        <v>5818</v>
      </c>
      <c r="M535" s="20" t="n">
        <v>4.39</v>
      </c>
      <c r="N535" s="18">
        <f>ROUND(L535/M535, 0)</f>
        <v/>
      </c>
      <c r="O535" s="18">
        <f>ROUND(N535*'Methodology &amp; Assumptions'!$B$8, 0)</f>
        <v/>
      </c>
      <c r="P535" s="8" t="inlineStr">
        <is>
          <t>Band n50 (1.5 GHz, 60 MHz)</t>
        </is>
      </c>
      <c r="Q535" s="38">
        <f>ROUNDUP(O535/'Methodology &amp; Assumptions'!$B$9, 0)</f>
        <v/>
      </c>
      <c r="R535" s="39" t="n">
        <v>1</v>
      </c>
      <c r="S535" s="21" t="n">
        <v>1.76</v>
      </c>
      <c r="T535" s="21" t="n">
        <v>0.04</v>
      </c>
      <c r="U535" s="36" t="inlineStr">
        <is>
          <t>Tier 1B (Micro Drop, 1-3 km)</t>
        </is>
      </c>
      <c r="V535" s="20" t="n">
        <v>65.59999999999999</v>
      </c>
      <c r="W535" s="20" t="n">
        <v>100</v>
      </c>
      <c r="X535" s="20" t="n">
        <v>28</v>
      </c>
      <c r="Y535" s="40">
        <f>ROUND((V535*'Methodology &amp; Assumptions'!$B$6)+(W535*'Methodology &amp; Assumptions'!$B$5)+(X535*'Methodology &amp; Assumptions'!$B$7), 2)</f>
        <v/>
      </c>
    </row>
    <row r="536" ht="19" customHeight="1">
      <c r="A536" s="41" t="n">
        <v>532</v>
      </c>
      <c r="B536" s="41" t="n">
        <v>3532</v>
      </c>
      <c r="C536" s="42" t="inlineStr">
        <is>
          <t>0306907020</t>
        </is>
      </c>
      <c r="D536" s="42" t="inlineStr">
        <is>
          <t>Region III (Central Luzon)</t>
        </is>
      </c>
      <c r="E536" s="42" t="inlineStr">
        <is>
          <t>Tarlac</t>
        </is>
      </c>
      <c r="F536" s="42" t="inlineStr">
        <is>
          <t>La Paz</t>
        </is>
      </c>
      <c r="G536" s="42" t="inlineStr">
        <is>
          <t>San Roque</t>
        </is>
      </c>
      <c r="H536" s="43" t="n">
        <v>15.441468</v>
      </c>
      <c r="I536" s="43" t="n">
        <v>120.73266</v>
      </c>
      <c r="J536" s="44" t="inlineStr">
        <is>
          <t>U</t>
        </is>
      </c>
      <c r="K536" s="42" t="inlineStr">
        <is>
          <t>Class 1-3 / Urban</t>
        </is>
      </c>
      <c r="L536" s="23" t="n">
        <v>8115</v>
      </c>
      <c r="M536" s="24" t="n">
        <v>4.3</v>
      </c>
      <c r="N536" s="23">
        <f>ROUND(L536/M536, 0)</f>
        <v/>
      </c>
      <c r="O536" s="23">
        <f>ROUND(N536*'Methodology &amp; Assumptions'!$B$8, 0)</f>
        <v/>
      </c>
      <c r="P536" s="44" t="inlineStr">
        <is>
          <t>Band n50 (1.5 GHz, 60 MHz)</t>
        </is>
      </c>
      <c r="Q536" s="38">
        <f>ROUNDUP(O536/'Methodology &amp; Assumptions'!$B$9, 0)</f>
        <v/>
      </c>
      <c r="R536" s="39" t="n">
        <v>1</v>
      </c>
      <c r="S536" s="25" t="n">
        <v>1.76</v>
      </c>
      <c r="T536" s="25" t="n">
        <v>0.12</v>
      </c>
      <c r="U536" s="42" t="inlineStr">
        <is>
          <t>Tier 1B (Micro Drop, 1-3 km)</t>
        </is>
      </c>
      <c r="V536" s="24" t="n">
        <v>65.59999999999999</v>
      </c>
      <c r="W536" s="24" t="n">
        <v>100</v>
      </c>
      <c r="X536" s="24" t="n">
        <v>28</v>
      </c>
      <c r="Y536" s="45">
        <f>ROUND((V536*'Methodology &amp; Assumptions'!$B$6)+(W536*'Methodology &amp; Assumptions'!$B$5)+(X536*'Methodology &amp; Assumptions'!$B$7), 2)</f>
        <v/>
      </c>
    </row>
    <row r="537" ht="19" customHeight="1">
      <c r="A537" s="35" t="n">
        <v>533</v>
      </c>
      <c r="B537" s="35" t="n">
        <v>3533</v>
      </c>
      <c r="C537" s="36" t="inlineStr">
        <is>
          <t>0401015026</t>
        </is>
      </c>
      <c r="D537" s="36" t="inlineStr">
        <is>
          <t>Region IV-A (CALABARZON)</t>
        </is>
      </c>
      <c r="E537" s="36" t="inlineStr">
        <is>
          <t>Batangas</t>
        </is>
      </c>
      <c r="F537" s="36" t="inlineStr">
        <is>
          <t>Lobo</t>
        </is>
      </c>
      <c r="G537" s="36" t="inlineStr">
        <is>
          <t>Poblacion</t>
        </is>
      </c>
      <c r="H537" s="37" t="n">
        <v>13.647343</v>
      </c>
      <c r="I537" s="37" t="n">
        <v>121.210563</v>
      </c>
      <c r="J537" s="8" t="inlineStr">
        <is>
          <t>U</t>
        </is>
      </c>
      <c r="K537" s="36" t="inlineStr">
        <is>
          <t>Class 1-3 / Urban</t>
        </is>
      </c>
      <c r="L537" s="18" t="n">
        <v>2654</v>
      </c>
      <c r="M537" s="20" t="n">
        <v>4.62</v>
      </c>
      <c r="N537" s="18">
        <f>ROUND(L537/M537, 0)</f>
        <v/>
      </c>
      <c r="O537" s="18">
        <f>ROUND(N537*'Methodology &amp; Assumptions'!$B$8, 0)</f>
        <v/>
      </c>
      <c r="P537" s="8" t="inlineStr">
        <is>
          <t>Band n50 (1.5 GHz, 60 MHz)</t>
        </is>
      </c>
      <c r="Q537" s="38">
        <f>ROUNDUP(O537/'Methodology &amp; Assumptions'!$B$9, 0)</f>
        <v/>
      </c>
      <c r="R537" s="39" t="n">
        <v>1</v>
      </c>
      <c r="S537" s="21" t="n">
        <v>0.13</v>
      </c>
      <c r="T537" s="21" t="n">
        <v>20.01</v>
      </c>
      <c r="U537" s="36" t="inlineStr">
        <is>
          <t>Tier 1A (Direct Coloc, &lt;1 km)</t>
        </is>
      </c>
      <c r="V537" s="20" t="n">
        <v>95.7</v>
      </c>
      <c r="W537" s="20" t="n">
        <v>69.90000000000001</v>
      </c>
      <c r="X537" s="20" t="n">
        <v>28</v>
      </c>
      <c r="Y537" s="40">
        <f>ROUND((V537*'Methodology &amp; Assumptions'!$B$6)+(W537*'Methodology &amp; Assumptions'!$B$5)+(X537*'Methodology &amp; Assumptions'!$B$7), 2)</f>
        <v/>
      </c>
    </row>
    <row r="538" ht="19" customHeight="1">
      <c r="A538" s="41" t="n">
        <v>534</v>
      </c>
      <c r="B538" s="41" t="n">
        <v>3534</v>
      </c>
      <c r="C538" s="42" t="inlineStr">
        <is>
          <t>0431200008</t>
        </is>
      </c>
      <c r="D538" s="42" t="inlineStr">
        <is>
          <t>Region IV-A (CALABARZON)</t>
        </is>
      </c>
      <c r="E538" s="42" t="inlineStr">
        <is>
          <t>Quezon</t>
        </is>
      </c>
      <c r="F538" s="42" t="inlineStr">
        <is>
          <t>City of Lucena</t>
        </is>
      </c>
      <c r="G538" s="42" t="inlineStr">
        <is>
          <t>Barangay 5</t>
        </is>
      </c>
      <c r="H538" s="43" t="n">
        <v>13.935409</v>
      </c>
      <c r="I538" s="43" t="n">
        <v>121.609271</v>
      </c>
      <c r="J538" s="44" t="inlineStr">
        <is>
          <t>U</t>
        </is>
      </c>
      <c r="K538" s="42" t="inlineStr">
        <is>
          <t>Class 1-3 / Urban</t>
        </is>
      </c>
      <c r="L538" s="23" t="n">
        <v>2375</v>
      </c>
      <c r="M538" s="24" t="n">
        <v>4.46</v>
      </c>
      <c r="N538" s="23">
        <f>ROUND(L538/M538, 0)</f>
        <v/>
      </c>
      <c r="O538" s="23">
        <f>ROUND(N538*'Methodology &amp; Assumptions'!$B$8, 0)</f>
        <v/>
      </c>
      <c r="P538" s="44" t="inlineStr">
        <is>
          <t>Band n50 (1.5 GHz, 60 MHz)</t>
        </is>
      </c>
      <c r="Q538" s="38">
        <f>ROUNDUP(O538/'Methodology &amp; Assumptions'!$B$9, 0)</f>
        <v/>
      </c>
      <c r="R538" s="39" t="n">
        <v>1</v>
      </c>
      <c r="S538" s="25" t="n">
        <v>0.35</v>
      </c>
      <c r="T538" s="25" t="n">
        <v>0.24</v>
      </c>
      <c r="U538" s="42" t="inlineStr">
        <is>
          <t>Tier 1A (Direct Coloc, &lt;1 km)</t>
        </is>
      </c>
      <c r="V538" s="24" t="n">
        <v>98.90000000000001</v>
      </c>
      <c r="W538" s="24" t="n">
        <v>66.7</v>
      </c>
      <c r="X538" s="24" t="n">
        <v>28</v>
      </c>
      <c r="Y538" s="45">
        <f>ROUND((V538*'Methodology &amp; Assumptions'!$B$6)+(W538*'Methodology &amp; Assumptions'!$B$5)+(X538*'Methodology &amp; Assumptions'!$B$7), 2)</f>
        <v/>
      </c>
    </row>
    <row r="539" ht="19" customHeight="1">
      <c r="A539" s="35" t="n">
        <v>535</v>
      </c>
      <c r="B539" s="35" t="n">
        <v>3535</v>
      </c>
      <c r="C539" s="36" t="inlineStr">
        <is>
          <t>0501701012</t>
        </is>
      </c>
      <c r="D539" s="36" t="inlineStr">
        <is>
          <t>Region V (Bicol Region)</t>
        </is>
      </c>
      <c r="E539" s="36" t="inlineStr">
        <is>
          <t>Camarines Sur</t>
        </is>
      </c>
      <c r="F539" s="36" t="inlineStr">
        <is>
          <t>Baao</t>
        </is>
      </c>
      <c r="G539" s="36" t="inlineStr">
        <is>
          <t>Sagrada</t>
        </is>
      </c>
      <c r="H539" s="37" t="n">
        <v>13.437993</v>
      </c>
      <c r="I539" s="37" t="n">
        <v>123.391771</v>
      </c>
      <c r="J539" s="8" t="inlineStr">
        <is>
          <t>R</t>
        </is>
      </c>
      <c r="K539" s="36" t="inlineStr">
        <is>
          <t>Class 1-3 / Urban</t>
        </is>
      </c>
      <c r="L539" s="18" t="n">
        <v>4410</v>
      </c>
      <c r="M539" s="20" t="n">
        <v>4.9</v>
      </c>
      <c r="N539" s="18">
        <f>ROUND(L539/M539, 0)</f>
        <v/>
      </c>
      <c r="O539" s="18">
        <f>ROUND(N539*'Methodology &amp; Assumptions'!$B$8, 0)</f>
        <v/>
      </c>
      <c r="P539" s="8" t="inlineStr">
        <is>
          <t>Band n50 (1.5 GHz, 60 MHz)</t>
        </is>
      </c>
      <c r="Q539" s="38">
        <f>ROUNDUP(O539/'Methodology &amp; Assumptions'!$B$9, 0)</f>
        <v/>
      </c>
      <c r="R539" s="39" t="n">
        <v>1</v>
      </c>
      <c r="S539" s="21" t="n">
        <v>3.25</v>
      </c>
      <c r="T539" s="21" t="n">
        <v>0.91</v>
      </c>
      <c r="U539" s="36" t="inlineStr">
        <is>
          <t>Tier 2 (Fiber Corridor / Lateral, 3-5 km)</t>
        </is>
      </c>
      <c r="V539" s="20" t="n">
        <v>43.8</v>
      </c>
      <c r="W539" s="20" t="n">
        <v>96</v>
      </c>
      <c r="X539" s="20" t="n">
        <v>58</v>
      </c>
      <c r="Y539" s="40">
        <f>ROUND((V539*'Methodology &amp; Assumptions'!$B$6)+(W539*'Methodology &amp; Assumptions'!$B$5)+(X539*'Methodology &amp; Assumptions'!$B$7), 2)</f>
        <v/>
      </c>
    </row>
    <row r="540" ht="19" customHeight="1">
      <c r="A540" s="41" t="n">
        <v>536</v>
      </c>
      <c r="B540" s="41" t="n">
        <v>3536</v>
      </c>
      <c r="C540" s="42" t="inlineStr">
        <is>
          <t>0501734031</t>
        </is>
      </c>
      <c r="D540" s="42" t="inlineStr">
        <is>
          <t>Region V (Bicol Region)</t>
        </is>
      </c>
      <c r="E540" s="42" t="inlineStr">
        <is>
          <t>Camarines Sur</t>
        </is>
      </c>
      <c r="F540" s="42" t="inlineStr">
        <is>
          <t>Sipocot</t>
        </is>
      </c>
      <c r="G540" s="42" t="inlineStr">
        <is>
          <t>North Centro</t>
        </is>
      </c>
      <c r="H540" s="43" t="n">
        <v>13.77037</v>
      </c>
      <c r="I540" s="43" t="n">
        <v>122.976254</v>
      </c>
      <c r="J540" s="44" t="inlineStr">
        <is>
          <t>U</t>
        </is>
      </c>
      <c r="K540" s="42" t="inlineStr">
        <is>
          <t>Class 1-3 / Urban</t>
        </is>
      </c>
      <c r="L540" s="23" t="n">
        <v>3560</v>
      </c>
      <c r="M540" s="24" t="n">
        <v>4.9</v>
      </c>
      <c r="N540" s="23">
        <f>ROUND(L540/M540, 0)</f>
        <v/>
      </c>
      <c r="O540" s="23">
        <f>ROUND(N540*'Methodology &amp; Assumptions'!$B$8, 0)</f>
        <v/>
      </c>
      <c r="P540" s="44" t="inlineStr">
        <is>
          <t>Band n50 (1.5 GHz, 60 MHz)</t>
        </is>
      </c>
      <c r="Q540" s="38">
        <f>ROUNDUP(O540/'Methodology &amp; Assumptions'!$B$9, 0)</f>
        <v/>
      </c>
      <c r="R540" s="39" t="n">
        <v>1</v>
      </c>
      <c r="S540" s="25" t="n">
        <v>0.93</v>
      </c>
      <c r="T540" s="25" t="n">
        <v>1.39</v>
      </c>
      <c r="U540" s="42" t="inlineStr">
        <is>
          <t>Tier 1A (Direct Coloc, &lt;1 km)</t>
        </is>
      </c>
      <c r="V540" s="24" t="n">
        <v>83.40000000000001</v>
      </c>
      <c r="W540" s="24" t="n">
        <v>82.09999999999999</v>
      </c>
      <c r="X540" s="24" t="n">
        <v>28</v>
      </c>
      <c r="Y540" s="45">
        <f>ROUND((V540*'Methodology &amp; Assumptions'!$B$6)+(W540*'Methodology &amp; Assumptions'!$B$5)+(X540*'Methodology &amp; Assumptions'!$B$7), 2)</f>
        <v/>
      </c>
    </row>
    <row r="541" ht="19" customHeight="1">
      <c r="A541" s="35" t="n">
        <v>537</v>
      </c>
      <c r="B541" s="35" t="n">
        <v>3537</v>
      </c>
      <c r="C541" s="36" t="inlineStr">
        <is>
          <t>1004321008</t>
        </is>
      </c>
      <c r="D541" s="36" t="inlineStr">
        <is>
          <t>Region X (Northern Mindanao)</t>
        </is>
      </c>
      <c r="E541" s="36" t="inlineStr">
        <is>
          <t>Misamis Oriental</t>
        </is>
      </c>
      <c r="F541" s="36" t="inlineStr">
        <is>
          <t>Opol</t>
        </is>
      </c>
      <c r="G541" s="36" t="inlineStr">
        <is>
          <t>Luyongbonbon</t>
        </is>
      </c>
      <c r="H541" s="37" t="n">
        <v>8.526348</v>
      </c>
      <c r="I541" s="37" t="n">
        <v>124.570376</v>
      </c>
      <c r="J541" s="8" t="inlineStr">
        <is>
          <t>U</t>
        </is>
      </c>
      <c r="K541" s="36" t="inlineStr">
        <is>
          <t>Class 1-3 / Urban</t>
        </is>
      </c>
      <c r="L541" s="18" t="n">
        <v>3171</v>
      </c>
      <c r="M541" s="20" t="n">
        <v>4.54</v>
      </c>
      <c r="N541" s="18">
        <f>ROUND(L541/M541, 0)</f>
        <v/>
      </c>
      <c r="O541" s="18">
        <f>ROUND(N541*'Methodology &amp; Assumptions'!$B$8, 0)</f>
        <v/>
      </c>
      <c r="P541" s="8" t="inlineStr">
        <is>
          <t>Band n50 (1.5 GHz, 60 MHz)</t>
        </is>
      </c>
      <c r="Q541" s="38">
        <f>ROUNDUP(O541/'Methodology &amp; Assumptions'!$B$9, 0)</f>
        <v/>
      </c>
      <c r="R541" s="39" t="n">
        <v>1</v>
      </c>
      <c r="S541" s="21" t="n">
        <v>0.83</v>
      </c>
      <c r="T541" s="21" t="n">
        <v>0.3</v>
      </c>
      <c r="U541" s="36" t="inlineStr">
        <is>
          <t>Tier 1A (Direct Coloc, &lt;1 km)</t>
        </is>
      </c>
      <c r="V541" s="20" t="n">
        <v>85.8</v>
      </c>
      <c r="W541" s="20" t="n">
        <v>79.7</v>
      </c>
      <c r="X541" s="20" t="n">
        <v>28</v>
      </c>
      <c r="Y541" s="40">
        <f>ROUND((V541*'Methodology &amp; Assumptions'!$B$6)+(W541*'Methodology &amp; Assumptions'!$B$5)+(X541*'Methodology &amp; Assumptions'!$B$7), 2)</f>
        <v/>
      </c>
    </row>
    <row r="542" ht="19" customHeight="1">
      <c r="A542" s="41" t="n">
        <v>538</v>
      </c>
      <c r="B542" s="41" t="n">
        <v>3538</v>
      </c>
      <c r="C542" s="42" t="inlineStr">
        <is>
          <t>0102926004</t>
        </is>
      </c>
      <c r="D542" s="42" t="inlineStr">
        <is>
          <t>Region I (Ilocos Region)</t>
        </is>
      </c>
      <c r="E542" s="42" t="inlineStr">
        <is>
          <t>Ilocos Sur</t>
        </is>
      </c>
      <c r="F542" s="42" t="inlineStr">
        <is>
          <t>Santa Maria</t>
        </is>
      </c>
      <c r="G542" s="42" t="inlineStr">
        <is>
          <t>Baliw Daya</t>
        </is>
      </c>
      <c r="H542" s="43" t="n">
        <v>17.370341</v>
      </c>
      <c r="I542" s="43" t="n">
        <v>120.483268</v>
      </c>
      <c r="J542" s="44" t="inlineStr">
        <is>
          <t>R</t>
        </is>
      </c>
      <c r="K542" s="42" t="inlineStr">
        <is>
          <t>Class 1-3 / Urban</t>
        </is>
      </c>
      <c r="L542" s="23" t="n">
        <v>500</v>
      </c>
      <c r="M542" s="24" t="n">
        <v>4.56</v>
      </c>
      <c r="N542" s="23">
        <f>ROUND(L542/M542, 0)</f>
        <v/>
      </c>
      <c r="O542" s="23">
        <f>ROUND(N542*'Methodology &amp; Assumptions'!$B$8, 0)</f>
        <v/>
      </c>
      <c r="P542" s="44" t="inlineStr">
        <is>
          <t>Band n50 (1.5 GHz, 60 MHz)</t>
        </is>
      </c>
      <c r="Q542" s="38">
        <f>ROUNDUP(O542/'Methodology &amp; Assumptions'!$B$9, 0)</f>
        <v/>
      </c>
      <c r="R542" s="39" t="n">
        <v>1</v>
      </c>
      <c r="S542" s="25" t="n">
        <v>0.52</v>
      </c>
      <c r="T542" s="25" t="n">
        <v>0.25</v>
      </c>
      <c r="U542" s="42" t="inlineStr">
        <is>
          <t>Tier 1A (Direct Coloc, &lt;1 km)</t>
        </is>
      </c>
      <c r="V542" s="24" t="n">
        <v>94.2</v>
      </c>
      <c r="W542" s="24" t="n">
        <v>32.8</v>
      </c>
      <c r="X542" s="24" t="n">
        <v>73</v>
      </c>
      <c r="Y542" s="45">
        <f>ROUND((V542*'Methodology &amp; Assumptions'!$B$6)+(W542*'Methodology &amp; Assumptions'!$B$5)+(X542*'Methodology &amp; Assumptions'!$B$7), 2)</f>
        <v/>
      </c>
    </row>
    <row r="543" ht="19" customHeight="1">
      <c r="A543" s="35" t="n">
        <v>539</v>
      </c>
      <c r="B543" s="35" t="n">
        <v>3539</v>
      </c>
      <c r="C543" s="36" t="inlineStr">
        <is>
          <t>0403414008</t>
        </is>
      </c>
      <c r="D543" s="36" t="inlineStr">
        <is>
          <t>Region IV-A (CALABARZON)</t>
        </is>
      </c>
      <c r="E543" s="36" t="inlineStr">
        <is>
          <t>Laguna</t>
        </is>
      </c>
      <c r="F543" s="36" t="inlineStr">
        <is>
          <t>Mabitac</t>
        </is>
      </c>
      <c r="G543" s="36" t="inlineStr">
        <is>
          <t>Bayanihan</t>
        </is>
      </c>
      <c r="H543" s="37" t="n">
        <v>14.426092</v>
      </c>
      <c r="I543" s="37" t="n">
        <v>121.427728</v>
      </c>
      <c r="J543" s="8" t="inlineStr">
        <is>
          <t>R</t>
        </is>
      </c>
      <c r="K543" s="36" t="inlineStr">
        <is>
          <t>4th</t>
        </is>
      </c>
      <c r="L543" s="18" t="n">
        <v>538</v>
      </c>
      <c r="M543" s="20" t="n">
        <v>4.48</v>
      </c>
      <c r="N543" s="18">
        <f>ROUND(L543/M543, 0)</f>
        <v/>
      </c>
      <c r="O543" s="18">
        <f>ROUND(N543*'Methodology &amp; Assumptions'!$B$8, 0)</f>
        <v/>
      </c>
      <c r="P543" s="8" t="inlineStr">
        <is>
          <t>Band n50 (1.5 GHz, 60 MHz)</t>
        </is>
      </c>
      <c r="Q543" s="38">
        <f>ROUNDUP(O543/'Methodology &amp; Assumptions'!$B$9, 0)</f>
        <v/>
      </c>
      <c r="R543" s="39" t="n">
        <v>1</v>
      </c>
      <c r="S543" s="21" t="n">
        <v>0.41</v>
      </c>
      <c r="T543" s="21" t="n">
        <v>1.68</v>
      </c>
      <c r="U543" s="36" t="inlineStr">
        <is>
          <t>Tier 1A (Direct Coloc, &lt;1 km)</t>
        </is>
      </c>
      <c r="V543" s="20" t="n">
        <v>97.2</v>
      </c>
      <c r="W543" s="20" t="n">
        <v>33.6</v>
      </c>
      <c r="X543" s="20" t="n">
        <v>68.5</v>
      </c>
      <c r="Y543" s="40">
        <f>ROUND((V543*'Methodology &amp; Assumptions'!$B$6)+(W543*'Methodology &amp; Assumptions'!$B$5)+(X543*'Methodology &amp; Assumptions'!$B$7), 2)</f>
        <v/>
      </c>
    </row>
    <row r="544" ht="19" customHeight="1">
      <c r="A544" s="41" t="n">
        <v>540</v>
      </c>
      <c r="B544" s="41" t="n">
        <v>3540</v>
      </c>
      <c r="C544" s="42" t="inlineStr">
        <is>
          <t>0403427002</t>
        </is>
      </c>
      <c r="D544" s="42" t="inlineStr">
        <is>
          <t>Region IV-A (CALABARZON)</t>
        </is>
      </c>
      <c r="E544" s="42" t="inlineStr">
        <is>
          <t>Laguna</t>
        </is>
      </c>
      <c r="F544" s="42" t="inlineStr">
        <is>
          <t>Santa Maria</t>
        </is>
      </c>
      <c r="G544" s="42" t="inlineStr">
        <is>
          <t>Bagong Pook</t>
        </is>
      </c>
      <c r="H544" s="43" t="n">
        <v>14.471996</v>
      </c>
      <c r="I544" s="43" t="n">
        <v>121.429311</v>
      </c>
      <c r="J544" s="44" t="inlineStr">
        <is>
          <t>R</t>
        </is>
      </c>
      <c r="K544" s="42" t="inlineStr">
        <is>
          <t>2nd</t>
        </is>
      </c>
      <c r="L544" s="23" t="n">
        <v>2310</v>
      </c>
      <c r="M544" s="24" t="n">
        <v>4.2</v>
      </c>
      <c r="N544" s="23">
        <f>ROUND(L544/M544, 0)</f>
        <v/>
      </c>
      <c r="O544" s="23">
        <f>ROUND(N544*'Methodology &amp; Assumptions'!$B$8, 0)</f>
        <v/>
      </c>
      <c r="P544" s="44" t="inlineStr">
        <is>
          <t>Band n50 (1.5 GHz, 60 MHz)</t>
        </is>
      </c>
      <c r="Q544" s="38">
        <f>ROUNDUP(O544/'Methodology &amp; Assumptions'!$B$9, 0)</f>
        <v/>
      </c>
      <c r="R544" s="39" t="n">
        <v>1</v>
      </c>
      <c r="S544" s="25" t="n">
        <v>0.99</v>
      </c>
      <c r="T544" s="25" t="n">
        <v>3.1</v>
      </c>
      <c r="U544" s="42" t="inlineStr">
        <is>
          <t>Tier 1A (Direct Coloc, &lt;1 km)</t>
        </is>
      </c>
      <c r="V544" s="24" t="n">
        <v>71.8</v>
      </c>
      <c r="W544" s="24" t="n">
        <v>68</v>
      </c>
      <c r="X544" s="24" t="n">
        <v>58</v>
      </c>
      <c r="Y544" s="45">
        <f>ROUND((V544*'Methodology &amp; Assumptions'!$B$6)+(W544*'Methodology &amp; Assumptions'!$B$5)+(X544*'Methodology &amp; Assumptions'!$B$7), 2)</f>
        <v/>
      </c>
    </row>
    <row r="545" ht="19" customHeight="1">
      <c r="A545" s="35" t="n">
        <v>541</v>
      </c>
      <c r="B545" s="35" t="n">
        <v>3541</v>
      </c>
      <c r="C545" s="36" t="inlineStr">
        <is>
          <t>0405619060</t>
        </is>
      </c>
      <c r="D545" s="36" t="inlineStr">
        <is>
          <t>Region IV-A (CALABARZON)</t>
        </is>
      </c>
      <c r="E545" s="36" t="inlineStr">
        <is>
          <t>Quezon</t>
        </is>
      </c>
      <c r="F545" s="36" t="inlineStr">
        <is>
          <t>Gumaca</t>
        </is>
      </c>
      <c r="G545" s="36" t="inlineStr">
        <is>
          <t>Lagyo</t>
        </is>
      </c>
      <c r="H545" s="37" t="n">
        <v>13.923465</v>
      </c>
      <c r="I545" s="37" t="n">
        <v>122.118279</v>
      </c>
      <c r="J545" s="8" t="inlineStr">
        <is>
          <t>R</t>
        </is>
      </c>
      <c r="K545" s="36" t="inlineStr">
        <is>
          <t>Class 1-3 / Urban</t>
        </is>
      </c>
      <c r="L545" s="18" t="n">
        <v>2079</v>
      </c>
      <c r="M545" s="20" t="n">
        <v>4.46</v>
      </c>
      <c r="N545" s="18">
        <f>ROUND(L545/M545, 0)</f>
        <v/>
      </c>
      <c r="O545" s="18">
        <f>ROUND(N545*'Methodology &amp; Assumptions'!$B$8, 0)</f>
        <v/>
      </c>
      <c r="P545" s="8" t="inlineStr">
        <is>
          <t>Band n50 (1.5 GHz, 60 MHz)</t>
        </is>
      </c>
      <c r="Q545" s="38">
        <f>ROUNDUP(O545/'Methodology &amp; Assumptions'!$B$9, 0)</f>
        <v/>
      </c>
      <c r="R545" s="39" t="n">
        <v>1</v>
      </c>
      <c r="S545" s="21" t="n">
        <v>1.14</v>
      </c>
      <c r="T545" s="21" t="n">
        <v>0.11</v>
      </c>
      <c r="U545" s="36" t="inlineStr">
        <is>
          <t>Tier 1B (Micro Drop, 1-3 km)</t>
        </is>
      </c>
      <c r="V545" s="20" t="n">
        <v>78.5</v>
      </c>
      <c r="W545" s="20" t="n">
        <v>61.3</v>
      </c>
      <c r="X545" s="20" t="n">
        <v>58</v>
      </c>
      <c r="Y545" s="40">
        <f>ROUND((V545*'Methodology &amp; Assumptions'!$B$6)+(W545*'Methodology &amp; Assumptions'!$B$5)+(X545*'Methodology &amp; Assumptions'!$B$7), 2)</f>
        <v/>
      </c>
    </row>
    <row r="546" ht="19" customHeight="1">
      <c r="A546" s="41" t="n">
        <v>542</v>
      </c>
      <c r="B546" s="41" t="n">
        <v>3542</v>
      </c>
      <c r="C546" s="42" t="inlineStr">
        <is>
          <t>1430300056</t>
        </is>
      </c>
      <c r="D546" s="42" t="inlineStr">
        <is>
          <t>Cordillera Administrative Region (CAR)</t>
        </is>
      </c>
      <c r="E546" s="42" t="inlineStr">
        <is>
          <t>Benguet</t>
        </is>
      </c>
      <c r="F546" s="42" t="inlineStr">
        <is>
          <t>City of Baguio</t>
        </is>
      </c>
      <c r="G546" s="42" t="inlineStr">
        <is>
          <t>Lourdes Subdivision Extension</t>
        </is>
      </c>
      <c r="H546" s="43" t="n">
        <v>16.41243</v>
      </c>
      <c r="I546" s="43" t="n">
        <v>120.58402</v>
      </c>
      <c r="J546" s="44" t="inlineStr">
        <is>
          <t>R</t>
        </is>
      </c>
      <c r="K546" s="42" t="inlineStr">
        <is>
          <t>Class 1-3 / Urban</t>
        </is>
      </c>
      <c r="L546" s="23" t="n">
        <v>1451</v>
      </c>
      <c r="M546" s="24" t="n">
        <v>4.58</v>
      </c>
      <c r="N546" s="23">
        <f>ROUND(L546/M546, 0)</f>
        <v/>
      </c>
      <c r="O546" s="23">
        <f>ROUND(N546*'Methodology &amp; Assumptions'!$B$8, 0)</f>
        <v/>
      </c>
      <c r="P546" s="44" t="inlineStr">
        <is>
          <t>Band n50 (1.5 GHz, 60 MHz)</t>
        </is>
      </c>
      <c r="Q546" s="38">
        <f>ROUNDUP(O546/'Methodology &amp; Assumptions'!$B$9, 0)</f>
        <v/>
      </c>
      <c r="R546" s="39" t="n">
        <v>1</v>
      </c>
      <c r="S546" s="25" t="n">
        <v>0.51</v>
      </c>
      <c r="T546" s="25" t="n">
        <v>0.46</v>
      </c>
      <c r="U546" s="42" t="inlineStr">
        <is>
          <t>Tier 1A (Direct Coloc, &lt;1 km)</t>
        </is>
      </c>
      <c r="V546" s="24" t="n">
        <v>94.5</v>
      </c>
      <c r="W546" s="24" t="n">
        <v>45.3</v>
      </c>
      <c r="X546" s="24" t="n">
        <v>58</v>
      </c>
      <c r="Y546" s="45">
        <f>ROUND((V546*'Methodology &amp; Assumptions'!$B$6)+(W546*'Methodology &amp; Assumptions'!$B$5)+(X546*'Methodology &amp; Assumptions'!$B$7), 2)</f>
        <v/>
      </c>
    </row>
    <row r="547" ht="19" customHeight="1">
      <c r="A547" s="35" t="n">
        <v>543</v>
      </c>
      <c r="B547" s="35" t="n">
        <v>3543</v>
      </c>
      <c r="C547" s="36" t="inlineStr">
        <is>
          <t>0601909038</t>
        </is>
      </c>
      <c r="D547" s="36" t="inlineStr">
        <is>
          <t>Region VI (Western Visayas)</t>
        </is>
      </c>
      <c r="E547" s="36" t="inlineStr">
        <is>
          <t>Capiz</t>
        </is>
      </c>
      <c r="F547" s="36" t="inlineStr">
        <is>
          <t>Panay</t>
        </is>
      </c>
      <c r="G547" s="36" t="inlineStr">
        <is>
          <t>Poblacion Tabuc</t>
        </is>
      </c>
      <c r="H547" s="37" t="n">
        <v>11.553315</v>
      </c>
      <c r="I547" s="37" t="n">
        <v>122.792502</v>
      </c>
      <c r="J547" s="8" t="inlineStr">
        <is>
          <t>R</t>
        </is>
      </c>
      <c r="K547" s="36" t="inlineStr">
        <is>
          <t>Class 1-3 / Urban</t>
        </is>
      </c>
      <c r="L547" s="18" t="n">
        <v>996</v>
      </c>
      <c r="M547" s="20" t="n">
        <v>4.2</v>
      </c>
      <c r="N547" s="18">
        <f>ROUND(L547/M547, 0)</f>
        <v/>
      </c>
      <c r="O547" s="18">
        <f>ROUND(N547*'Methodology &amp; Assumptions'!$B$8, 0)</f>
        <v/>
      </c>
      <c r="P547" s="8" t="inlineStr">
        <is>
          <t>Band n50 (1.5 GHz, 60 MHz)</t>
        </is>
      </c>
      <c r="Q547" s="38">
        <f>ROUNDUP(O547/'Methodology &amp; Assumptions'!$B$9, 0)</f>
        <v/>
      </c>
      <c r="R547" s="39" t="n">
        <v>1</v>
      </c>
      <c r="S547" s="21" t="n">
        <v>0.42</v>
      </c>
      <c r="T547" s="21" t="n">
        <v>0.15</v>
      </c>
      <c r="U547" s="36" t="inlineStr">
        <is>
          <t>Tier 1A (Direct Coloc, &lt;1 km)</t>
        </is>
      </c>
      <c r="V547" s="20" t="n">
        <v>96.90000000000001</v>
      </c>
      <c r="W547" s="20" t="n">
        <v>42.9</v>
      </c>
      <c r="X547" s="20" t="n">
        <v>58</v>
      </c>
      <c r="Y547" s="40">
        <f>ROUND((V547*'Methodology &amp; Assumptions'!$B$6)+(W547*'Methodology &amp; Assumptions'!$B$5)+(X547*'Methodology &amp; Assumptions'!$B$7), 2)</f>
        <v/>
      </c>
    </row>
    <row r="548" ht="19" customHeight="1">
      <c r="A548" s="41" t="n">
        <v>544</v>
      </c>
      <c r="B548" s="41" t="n">
        <v>3544</v>
      </c>
      <c r="C548" s="42" t="inlineStr">
        <is>
          <t>0501724006</t>
        </is>
      </c>
      <c r="D548" s="42" t="inlineStr">
        <is>
          <t>Region V (Bicol Region)</t>
        </is>
      </c>
      <c r="E548" s="42" t="inlineStr">
        <is>
          <t>Camarines Sur</t>
        </is>
      </c>
      <c r="F548" s="42" t="inlineStr">
        <is>
          <t>City of Naga</t>
        </is>
      </c>
      <c r="G548" s="42" t="inlineStr">
        <is>
          <t>Calauag</t>
        </is>
      </c>
      <c r="H548" s="43" t="n">
        <v>13.643246</v>
      </c>
      <c r="I548" s="43" t="n">
        <v>123.191078</v>
      </c>
      <c r="J548" s="44" t="inlineStr">
        <is>
          <t>U</t>
        </is>
      </c>
      <c r="K548" s="42" t="inlineStr">
        <is>
          <t>Class 1-3 / Urban</t>
        </is>
      </c>
      <c r="L548" s="23" t="n">
        <v>11295</v>
      </c>
      <c r="M548" s="24" t="n">
        <v>4.9</v>
      </c>
      <c r="N548" s="23">
        <f>ROUND(L548/M548, 0)</f>
        <v/>
      </c>
      <c r="O548" s="23">
        <f>ROUND(N548*'Methodology &amp; Assumptions'!$B$8, 0)</f>
        <v/>
      </c>
      <c r="P548" s="44" t="inlineStr">
        <is>
          <t>Band n50 (1.5 GHz, 60 MHz)</t>
        </is>
      </c>
      <c r="Q548" s="38">
        <f>ROUNDUP(O548/'Methodology &amp; Assumptions'!$B$9, 0)</f>
        <v/>
      </c>
      <c r="R548" s="39" t="n">
        <v>1</v>
      </c>
      <c r="S548" s="25" t="n">
        <v>1.76</v>
      </c>
      <c r="T548" s="25" t="n">
        <v>0.73</v>
      </c>
      <c r="U548" s="42" t="inlineStr">
        <is>
          <t>Tier 1B (Micro Drop, 1-3 km)</t>
        </is>
      </c>
      <c r="V548" s="24" t="n">
        <v>65.5</v>
      </c>
      <c r="W548" s="24" t="n">
        <v>100</v>
      </c>
      <c r="X548" s="24" t="n">
        <v>28</v>
      </c>
      <c r="Y548" s="45">
        <f>ROUND((V548*'Methodology &amp; Assumptions'!$B$6)+(W548*'Methodology &amp; Assumptions'!$B$5)+(X548*'Methodology &amp; Assumptions'!$B$7), 2)</f>
        <v/>
      </c>
    </row>
    <row r="549" ht="19" customHeight="1">
      <c r="A549" s="35" t="n">
        <v>545</v>
      </c>
      <c r="B549" s="35" t="n">
        <v>3545</v>
      </c>
      <c r="C549" s="36" t="inlineStr">
        <is>
          <t>0305417010</t>
        </is>
      </c>
      <c r="D549" s="36" t="inlineStr">
        <is>
          <t>Region III (Central Luzon)</t>
        </is>
      </c>
      <c r="E549" s="36" t="inlineStr">
        <is>
          <t>Pampanga</t>
        </is>
      </c>
      <c r="F549" s="36" t="inlineStr">
        <is>
          <t>San Luis</t>
        </is>
      </c>
      <c r="G549" s="36" t="inlineStr">
        <is>
          <t>Santa Catalina</t>
        </is>
      </c>
      <c r="H549" s="37" t="n">
        <v>15.058034</v>
      </c>
      <c r="I549" s="37" t="n">
        <v>120.79814</v>
      </c>
      <c r="J549" s="8" t="inlineStr">
        <is>
          <t>R</t>
        </is>
      </c>
      <c r="K549" s="36" t="inlineStr">
        <is>
          <t>Class 1-3 / Urban</t>
        </is>
      </c>
      <c r="L549" s="18" t="n">
        <v>3451</v>
      </c>
      <c r="M549" s="20" t="n">
        <v>4.63</v>
      </c>
      <c r="N549" s="18">
        <f>ROUND(L549/M549, 0)</f>
        <v/>
      </c>
      <c r="O549" s="18">
        <f>ROUND(N549*'Methodology &amp; Assumptions'!$B$8, 0)</f>
        <v/>
      </c>
      <c r="P549" s="8" t="inlineStr">
        <is>
          <t>Band n50 (1.5 GHz, 60 MHz)</t>
        </is>
      </c>
      <c r="Q549" s="38">
        <f>ROUNDUP(O549/'Methodology &amp; Assumptions'!$B$9, 0)</f>
        <v/>
      </c>
      <c r="R549" s="39" t="n">
        <v>1</v>
      </c>
      <c r="S549" s="21" t="n">
        <v>2.33</v>
      </c>
      <c r="T549" s="21" t="n">
        <v>1.82</v>
      </c>
      <c r="U549" s="36" t="inlineStr">
        <is>
          <t>Tier 1B (Micro Drop, 1-3 km)</t>
        </is>
      </c>
      <c r="V549" s="20" t="n">
        <v>56.1</v>
      </c>
      <c r="W549" s="20" t="n">
        <v>83.7</v>
      </c>
      <c r="X549" s="20" t="n">
        <v>58</v>
      </c>
      <c r="Y549" s="40">
        <f>ROUND((V549*'Methodology &amp; Assumptions'!$B$6)+(W549*'Methodology &amp; Assumptions'!$B$5)+(X549*'Methodology &amp; Assumptions'!$B$7), 2)</f>
        <v/>
      </c>
    </row>
    <row r="550" ht="19" customHeight="1">
      <c r="A550" s="41" t="n">
        <v>546</v>
      </c>
      <c r="B550" s="41" t="n">
        <v>3546</v>
      </c>
      <c r="C550" s="42" t="inlineStr">
        <is>
          <t>0401018004</t>
        </is>
      </c>
      <c r="D550" s="42" t="inlineStr">
        <is>
          <t>Region IV-A (CALABARZON)</t>
        </is>
      </c>
      <c r="E550" s="42" t="inlineStr">
        <is>
          <t>Batangas</t>
        </is>
      </c>
      <c r="F550" s="42" t="inlineStr">
        <is>
          <t>Mataasnakahoy</t>
        </is>
      </c>
      <c r="G550" s="42" t="inlineStr">
        <is>
          <t>District IV</t>
        </is>
      </c>
      <c r="H550" s="43" t="n">
        <v>13.960739</v>
      </c>
      <c r="I550" s="43" t="n">
        <v>121.118768</v>
      </c>
      <c r="J550" s="44" t="inlineStr">
        <is>
          <t>R</t>
        </is>
      </c>
      <c r="K550" s="42" t="inlineStr">
        <is>
          <t>3rd</t>
        </is>
      </c>
      <c r="L550" s="23" t="n">
        <v>1739</v>
      </c>
      <c r="M550" s="24" t="n">
        <v>4.23</v>
      </c>
      <c r="N550" s="23">
        <f>ROUND(L550/M550, 0)</f>
        <v/>
      </c>
      <c r="O550" s="23">
        <f>ROUND(N550*'Methodology &amp; Assumptions'!$B$8, 0)</f>
        <v/>
      </c>
      <c r="P550" s="44" t="inlineStr">
        <is>
          <t>Band n50 (1.5 GHz, 60 MHz)</t>
        </is>
      </c>
      <c r="Q550" s="38">
        <f>ROUNDUP(O550/'Methodology &amp; Assumptions'!$B$9, 0)</f>
        <v/>
      </c>
      <c r="R550" s="39" t="n">
        <v>1</v>
      </c>
      <c r="S550" s="25" t="n">
        <v>0.5600000000000001</v>
      </c>
      <c r="T550" s="25" t="n">
        <v>2.11</v>
      </c>
      <c r="U550" s="42" t="inlineStr">
        <is>
          <t>Tier 1A (Direct Coloc, &lt;1 km)</t>
        </is>
      </c>
      <c r="V550" s="24" t="n">
        <v>83</v>
      </c>
      <c r="W550" s="24" t="n">
        <v>56.8</v>
      </c>
      <c r="X550" s="24" t="n">
        <v>58</v>
      </c>
      <c r="Y550" s="45">
        <f>ROUND((V550*'Methodology &amp; Assumptions'!$B$6)+(W550*'Methodology &amp; Assumptions'!$B$5)+(X550*'Methodology &amp; Assumptions'!$B$7), 2)</f>
        <v/>
      </c>
    </row>
    <row r="551" ht="19" customHeight="1">
      <c r="A551" s="35" t="n">
        <v>547</v>
      </c>
      <c r="B551" s="35" t="n">
        <v>3547</v>
      </c>
      <c r="C551" s="36" t="inlineStr">
        <is>
          <t>0501715002</t>
        </is>
      </c>
      <c r="D551" s="36" t="inlineStr">
        <is>
          <t>Region V (Bicol Region)</t>
        </is>
      </c>
      <c r="E551" s="36" t="inlineStr">
        <is>
          <t>Camarines Sur</t>
        </is>
      </c>
      <c r="F551" s="36" t="inlineStr">
        <is>
          <t>Goa</t>
        </is>
      </c>
      <c r="G551" s="36" t="inlineStr">
        <is>
          <t>Bagumbayan Grande</t>
        </is>
      </c>
      <c r="H551" s="37" t="n">
        <v>13.695571</v>
      </c>
      <c r="I551" s="37" t="n">
        <v>123.493446</v>
      </c>
      <c r="J551" s="8" t="inlineStr">
        <is>
          <t>R</t>
        </is>
      </c>
      <c r="K551" s="36" t="inlineStr">
        <is>
          <t>Class 1-3 / Urban</t>
        </is>
      </c>
      <c r="L551" s="18" t="n">
        <v>1398</v>
      </c>
      <c r="M551" s="20" t="n">
        <v>4.9</v>
      </c>
      <c r="N551" s="18">
        <f>ROUND(L551/M551, 0)</f>
        <v/>
      </c>
      <c r="O551" s="18">
        <f>ROUND(N551*'Methodology &amp; Assumptions'!$B$8, 0)</f>
        <v/>
      </c>
      <c r="P551" s="8" t="inlineStr">
        <is>
          <t>Band n50 (1.5 GHz, 60 MHz)</t>
        </is>
      </c>
      <c r="Q551" s="38">
        <f>ROUNDUP(O551/'Methodology &amp; Assumptions'!$B$9, 0)</f>
        <v/>
      </c>
      <c r="R551" s="39" t="n">
        <v>1</v>
      </c>
      <c r="S551" s="21" t="n">
        <v>0.5600000000000001</v>
      </c>
      <c r="T551" s="21" t="n">
        <v>0.49</v>
      </c>
      <c r="U551" s="36" t="inlineStr">
        <is>
          <t>Tier 1A (Direct Coloc, &lt;1 km)</t>
        </is>
      </c>
      <c r="V551" s="20" t="n">
        <v>92.90000000000001</v>
      </c>
      <c r="W551" s="20" t="n">
        <v>46.9</v>
      </c>
      <c r="X551" s="20" t="n">
        <v>58</v>
      </c>
      <c r="Y551" s="40">
        <f>ROUND((V551*'Methodology &amp; Assumptions'!$B$6)+(W551*'Methodology &amp; Assumptions'!$B$5)+(X551*'Methodology &amp; Assumptions'!$B$7), 2)</f>
        <v/>
      </c>
    </row>
    <row r="552" ht="19" customHeight="1">
      <c r="A552" s="41" t="n">
        <v>548</v>
      </c>
      <c r="B552" s="41" t="n">
        <v>3548</v>
      </c>
      <c r="C552" s="42" t="inlineStr">
        <is>
          <t>0631000041</t>
        </is>
      </c>
      <c r="D552" s="42" t="inlineStr">
        <is>
          <t>Region VI (Western Visayas)</t>
        </is>
      </c>
      <c r="E552" s="42" t="inlineStr">
        <is>
          <t>Iloilo</t>
        </is>
      </c>
      <c r="F552" s="42" t="inlineStr">
        <is>
          <t>City of Iloilo</t>
        </is>
      </c>
      <c r="G552" s="42" t="inlineStr">
        <is>
          <t>Cubay</t>
        </is>
      </c>
      <c r="H552" s="43" t="n">
        <v>10.729313</v>
      </c>
      <c r="I552" s="43" t="n">
        <v>122.564568</v>
      </c>
      <c r="J552" s="44" t="inlineStr">
        <is>
          <t>U</t>
        </is>
      </c>
      <c r="K552" s="42" t="inlineStr">
        <is>
          <t>Class 1-3 / Urban</t>
        </is>
      </c>
      <c r="L552" s="23" t="n">
        <v>6742</v>
      </c>
      <c r="M552" s="24" t="n">
        <v>4.39</v>
      </c>
      <c r="N552" s="23">
        <f>ROUND(L552/M552, 0)</f>
        <v/>
      </c>
      <c r="O552" s="23">
        <f>ROUND(N552*'Methodology &amp; Assumptions'!$B$8, 0)</f>
        <v/>
      </c>
      <c r="P552" s="44" t="inlineStr">
        <is>
          <t>Band n50 (1.5 GHz, 60 MHz)</t>
        </is>
      </c>
      <c r="Q552" s="38">
        <f>ROUNDUP(O552/'Methodology &amp; Assumptions'!$B$9, 0)</f>
        <v/>
      </c>
      <c r="R552" s="39" t="n">
        <v>1</v>
      </c>
      <c r="S552" s="25" t="n">
        <v>1.77</v>
      </c>
      <c r="T552" s="25" t="n">
        <v>0.59</v>
      </c>
      <c r="U552" s="42" t="inlineStr">
        <is>
          <t>Tier 1B (Micro Drop, 1-3 km)</t>
        </is>
      </c>
      <c r="V552" s="24" t="n">
        <v>65.5</v>
      </c>
      <c r="W552" s="24" t="n">
        <v>100</v>
      </c>
      <c r="X552" s="24" t="n">
        <v>28</v>
      </c>
      <c r="Y552" s="45">
        <f>ROUND((V552*'Methodology &amp; Assumptions'!$B$6)+(W552*'Methodology &amp; Assumptions'!$B$5)+(X552*'Methodology &amp; Assumptions'!$B$7), 2)</f>
        <v/>
      </c>
    </row>
    <row r="553" ht="19" customHeight="1">
      <c r="A553" s="35" t="n">
        <v>549</v>
      </c>
      <c r="B553" s="35" t="n">
        <v>3549</v>
      </c>
      <c r="C553" s="36" t="inlineStr">
        <is>
          <t>0301407010</t>
        </is>
      </c>
      <c r="D553" s="36" t="inlineStr">
        <is>
          <t>Region III (Central Luzon)</t>
        </is>
      </c>
      <c r="E553" s="36" t="inlineStr">
        <is>
          <t>Bulacan</t>
        </is>
      </c>
      <c r="F553" s="36" t="inlineStr">
        <is>
          <t>Calumpit</t>
        </is>
      </c>
      <c r="G553" s="36" t="inlineStr">
        <is>
          <t>Frances</t>
        </is>
      </c>
      <c r="H553" s="37" t="n">
        <v>14.915415</v>
      </c>
      <c r="I553" s="37" t="n">
        <v>120.754313</v>
      </c>
      <c r="J553" s="8" t="inlineStr">
        <is>
          <t>U</t>
        </is>
      </c>
      <c r="K553" s="36" t="inlineStr">
        <is>
          <t>Class 1-3 / Urban</t>
        </is>
      </c>
      <c r="L553" s="18" t="n">
        <v>6129</v>
      </c>
      <c r="M553" s="20" t="n">
        <v>4.1</v>
      </c>
      <c r="N553" s="18">
        <f>ROUND(L553/M553, 0)</f>
        <v/>
      </c>
      <c r="O553" s="18">
        <f>ROUND(N553*'Methodology &amp; Assumptions'!$B$8, 0)</f>
        <v/>
      </c>
      <c r="P553" s="8" t="inlineStr">
        <is>
          <t>Band n50 (1.5 GHz, 60 MHz)</t>
        </is>
      </c>
      <c r="Q553" s="38">
        <f>ROUNDUP(O553/'Methodology &amp; Assumptions'!$B$9, 0)</f>
        <v/>
      </c>
      <c r="R553" s="39" t="n">
        <v>1</v>
      </c>
      <c r="S553" s="21" t="n">
        <v>1.77</v>
      </c>
      <c r="T553" s="21" t="n">
        <v>0.35</v>
      </c>
      <c r="U553" s="36" t="inlineStr">
        <is>
          <t>Tier 1B (Micro Drop, 1-3 km)</t>
        </is>
      </c>
      <c r="V553" s="20" t="n">
        <v>65.5</v>
      </c>
      <c r="W553" s="20" t="n">
        <v>100</v>
      </c>
      <c r="X553" s="20" t="n">
        <v>28</v>
      </c>
      <c r="Y553" s="40">
        <f>ROUND((V553*'Methodology &amp; Assumptions'!$B$6)+(W553*'Methodology &amp; Assumptions'!$B$5)+(X553*'Methodology &amp; Assumptions'!$B$7), 2)</f>
        <v/>
      </c>
    </row>
    <row r="554" ht="19" customHeight="1">
      <c r="A554" s="41" t="n">
        <v>550</v>
      </c>
      <c r="B554" s="41" t="n">
        <v>3550</v>
      </c>
      <c r="C554" s="42" t="inlineStr">
        <is>
          <t>1600308016</t>
        </is>
      </c>
      <c r="D554" s="42" t="inlineStr">
        <is>
          <t>Region XIII (Caraga)</t>
        </is>
      </c>
      <c r="E554" s="42" t="inlineStr">
        <is>
          <t>Agusan del Sur</t>
        </is>
      </c>
      <c r="F554" s="42" t="inlineStr">
        <is>
          <t>San Francisco</t>
        </is>
      </c>
      <c r="G554" s="42" t="inlineStr">
        <is>
          <t>Barangay 2</t>
        </is>
      </c>
      <c r="H554" s="43" t="n">
        <v>8.508623</v>
      </c>
      <c r="I554" s="43" t="n">
        <v>125.980789</v>
      </c>
      <c r="J554" s="44" t="inlineStr">
        <is>
          <t>U</t>
        </is>
      </c>
      <c r="K554" s="42" t="inlineStr">
        <is>
          <t>Class 1-3 / Urban</t>
        </is>
      </c>
      <c r="L554" s="23" t="n">
        <v>2492</v>
      </c>
      <c r="M554" s="24" t="n">
        <v>4.1</v>
      </c>
      <c r="N554" s="23">
        <f>ROUND(L554/M554, 0)</f>
        <v/>
      </c>
      <c r="O554" s="23">
        <f>ROUND(N554*'Methodology &amp; Assumptions'!$B$8, 0)</f>
        <v/>
      </c>
      <c r="P554" s="44" t="inlineStr">
        <is>
          <t>Band n50 (1.5 GHz, 60 MHz)</t>
        </is>
      </c>
      <c r="Q554" s="38">
        <f>ROUNDUP(O554/'Methodology &amp; Assumptions'!$B$9, 0)</f>
        <v/>
      </c>
      <c r="R554" s="39" t="n">
        <v>1</v>
      </c>
      <c r="S554" s="25" t="n">
        <v>0.5600000000000001</v>
      </c>
      <c r="T554" s="25" t="n">
        <v>0.5600000000000001</v>
      </c>
      <c r="U554" s="42" t="inlineStr">
        <is>
          <t>Tier 1A (Direct Coloc, &lt;1 km)</t>
        </is>
      </c>
      <c r="V554" s="24" t="n">
        <v>93</v>
      </c>
      <c r="W554" s="24" t="n">
        <v>72.5</v>
      </c>
      <c r="X554" s="24" t="n">
        <v>28</v>
      </c>
      <c r="Y554" s="45">
        <f>ROUND((V554*'Methodology &amp; Assumptions'!$B$6)+(W554*'Methodology &amp; Assumptions'!$B$5)+(X554*'Methodology &amp; Assumptions'!$B$7), 2)</f>
        <v/>
      </c>
    </row>
    <row r="555" ht="19" customHeight="1">
      <c r="A555" s="35" t="n">
        <v>551</v>
      </c>
      <c r="B555" s="35" t="n">
        <v>3551</v>
      </c>
      <c r="C555" s="36" t="inlineStr">
        <is>
          <t>0401031015</t>
        </is>
      </c>
      <c r="D555" s="36" t="inlineStr">
        <is>
          <t>Region IV-A (CALABARZON)</t>
        </is>
      </c>
      <c r="E555" s="36" t="inlineStr">
        <is>
          <t>Batangas</t>
        </is>
      </c>
      <c r="F555" s="36" t="inlineStr">
        <is>
          <t>City of Tanauan</t>
        </is>
      </c>
      <c r="G555" s="36" t="inlineStr">
        <is>
          <t>Cale</t>
        </is>
      </c>
      <c r="H555" s="37" t="n">
        <v>14.121097</v>
      </c>
      <c r="I555" s="37" t="n">
        <v>121.099429</v>
      </c>
      <c r="J555" s="8" t="inlineStr">
        <is>
          <t>R</t>
        </is>
      </c>
      <c r="K555" s="36" t="inlineStr">
        <is>
          <t>Class 1-3 / Urban</t>
        </is>
      </c>
      <c r="L555" s="18" t="n">
        <v>3951</v>
      </c>
      <c r="M555" s="20" t="n">
        <v>4.62</v>
      </c>
      <c r="N555" s="18">
        <f>ROUND(L555/M555, 0)</f>
        <v/>
      </c>
      <c r="O555" s="18">
        <f>ROUND(N555*'Methodology &amp; Assumptions'!$B$8, 0)</f>
        <v/>
      </c>
      <c r="P555" s="8" t="inlineStr">
        <is>
          <t>Band n50 (1.5 GHz, 60 MHz)</t>
        </is>
      </c>
      <c r="Q555" s="38">
        <f>ROUNDUP(O555/'Methodology &amp; Assumptions'!$B$9, 0)</f>
        <v/>
      </c>
      <c r="R555" s="39" t="n">
        <v>1</v>
      </c>
      <c r="S555" s="21" t="n">
        <v>2.23</v>
      </c>
      <c r="T555" s="21" t="n">
        <v>4.07</v>
      </c>
      <c r="U555" s="36" t="inlineStr">
        <is>
          <t>Tier 1B (Micro Drop, 1-3 km)</t>
        </is>
      </c>
      <c r="V555" s="20" t="n">
        <v>47.5</v>
      </c>
      <c r="W555" s="20" t="n">
        <v>92.3</v>
      </c>
      <c r="X555" s="20" t="n">
        <v>58</v>
      </c>
      <c r="Y555" s="40">
        <f>ROUND((V555*'Methodology &amp; Assumptions'!$B$6)+(W555*'Methodology &amp; Assumptions'!$B$5)+(X555*'Methodology &amp; Assumptions'!$B$7), 2)</f>
        <v/>
      </c>
    </row>
    <row r="556" ht="19" customHeight="1">
      <c r="A556" s="41" t="n">
        <v>552</v>
      </c>
      <c r="B556" s="41" t="n">
        <v>3552</v>
      </c>
      <c r="C556" s="42" t="inlineStr">
        <is>
          <t>0401014024</t>
        </is>
      </c>
      <c r="D556" s="42" t="inlineStr">
        <is>
          <t>Region IV-A (CALABARZON)</t>
        </is>
      </c>
      <c r="E556" s="42" t="inlineStr">
        <is>
          <t>Batangas</t>
        </is>
      </c>
      <c r="F556" s="42" t="inlineStr">
        <is>
          <t>City of Lipa</t>
        </is>
      </c>
      <c r="G556" s="42" t="inlineStr">
        <is>
          <t>Latag</t>
        </is>
      </c>
      <c r="H556" s="43" t="n">
        <v>13.934784</v>
      </c>
      <c r="I556" s="43" t="n">
        <v>121.179629</v>
      </c>
      <c r="J556" s="44" t="inlineStr">
        <is>
          <t>U</t>
        </is>
      </c>
      <c r="K556" s="42" t="inlineStr">
        <is>
          <t>Class 1-3 / Urban</t>
        </is>
      </c>
      <c r="L556" s="23" t="n">
        <v>9364</v>
      </c>
      <c r="M556" s="24" t="n">
        <v>4.62</v>
      </c>
      <c r="N556" s="23">
        <f>ROUND(L556/M556, 0)</f>
        <v/>
      </c>
      <c r="O556" s="23">
        <f>ROUND(N556*'Methodology &amp; Assumptions'!$B$8, 0)</f>
        <v/>
      </c>
      <c r="P556" s="44" t="inlineStr">
        <is>
          <t>Band n50 (1.5 GHz, 60 MHz)</t>
        </is>
      </c>
      <c r="Q556" s="38">
        <f>ROUNDUP(O556/'Methodology &amp; Assumptions'!$B$9, 0)</f>
        <v/>
      </c>
      <c r="R556" s="39" t="n">
        <v>1</v>
      </c>
      <c r="S556" s="25" t="n">
        <v>1.77</v>
      </c>
      <c r="T556" s="25" t="n">
        <v>1.37</v>
      </c>
      <c r="U556" s="42" t="inlineStr">
        <is>
          <t>Tier 1B (Micro Drop, 1-3 km)</t>
        </is>
      </c>
      <c r="V556" s="24" t="n">
        <v>65.5</v>
      </c>
      <c r="W556" s="24" t="n">
        <v>100</v>
      </c>
      <c r="X556" s="24" t="n">
        <v>28</v>
      </c>
      <c r="Y556" s="45">
        <f>ROUND((V556*'Methodology &amp; Assumptions'!$B$6)+(W556*'Methodology &amp; Assumptions'!$B$5)+(X556*'Methodology &amp; Assumptions'!$B$7), 2)</f>
        <v/>
      </c>
    </row>
    <row r="557" ht="19" customHeight="1">
      <c r="A557" s="35" t="n">
        <v>553</v>
      </c>
      <c r="B557" s="35" t="n">
        <v>3553</v>
      </c>
      <c r="C557" s="36" t="inlineStr">
        <is>
          <t>0402103021</t>
        </is>
      </c>
      <c r="D557" s="36" t="inlineStr">
        <is>
          <t>Region IV-A (CALABARZON)</t>
        </is>
      </c>
      <c r="E557" s="36" t="inlineStr">
        <is>
          <t>Cavite</t>
        </is>
      </c>
      <c r="F557" s="36" t="inlineStr">
        <is>
          <t>City of Bacoor</t>
        </is>
      </c>
      <c r="G557" s="36" t="inlineStr">
        <is>
          <t>San Nicolas I</t>
        </is>
      </c>
      <c r="H557" s="37" t="n">
        <v>14.438502</v>
      </c>
      <c r="I557" s="37" t="n">
        <v>120.973843</v>
      </c>
      <c r="J557" s="8" t="inlineStr">
        <is>
          <t>U</t>
        </is>
      </c>
      <c r="K557" s="36" t="inlineStr">
        <is>
          <t>Class 1-3 / Urban</t>
        </is>
      </c>
      <c r="L557" s="18" t="n">
        <v>8003</v>
      </c>
      <c r="M557" s="20" t="n">
        <v>4.49</v>
      </c>
      <c r="N557" s="18">
        <f>ROUND(L557/M557, 0)</f>
        <v/>
      </c>
      <c r="O557" s="18">
        <f>ROUND(N557*'Methodology &amp; Assumptions'!$B$8, 0)</f>
        <v/>
      </c>
      <c r="P557" s="8" t="inlineStr">
        <is>
          <t>Band n50 (1.5 GHz, 60 MHz)</t>
        </is>
      </c>
      <c r="Q557" s="38">
        <f>ROUNDUP(O557/'Methodology &amp; Assumptions'!$B$9, 0)</f>
        <v/>
      </c>
      <c r="R557" s="39" t="n">
        <v>1</v>
      </c>
      <c r="S557" s="21" t="n">
        <v>1.77</v>
      </c>
      <c r="T557" s="21" t="n">
        <v>1.48</v>
      </c>
      <c r="U557" s="36" t="inlineStr">
        <is>
          <t>Tier 1B (Micro Drop, 1-3 km)</t>
        </is>
      </c>
      <c r="V557" s="20" t="n">
        <v>65.5</v>
      </c>
      <c r="W557" s="20" t="n">
        <v>100</v>
      </c>
      <c r="X557" s="20" t="n">
        <v>28</v>
      </c>
      <c r="Y557" s="40">
        <f>ROUND((V557*'Methodology &amp; Assumptions'!$B$6)+(W557*'Methodology &amp; Assumptions'!$B$5)+(X557*'Methodology &amp; Assumptions'!$B$7), 2)</f>
        <v/>
      </c>
    </row>
    <row r="558" ht="19" customHeight="1">
      <c r="A558" s="41" t="n">
        <v>554</v>
      </c>
      <c r="B558" s="41" t="n">
        <v>3554</v>
      </c>
      <c r="C558" s="42" t="inlineStr">
        <is>
          <t>0304903047</t>
        </is>
      </c>
      <c r="D558" s="42" t="inlineStr">
        <is>
          <t>Region III (Central Luzon)</t>
        </is>
      </c>
      <c r="E558" s="42" t="inlineStr">
        <is>
          <t>Nueva Ecija</t>
        </is>
      </c>
      <c r="F558" s="42" t="inlineStr">
        <is>
          <t>City of Cabanatuan</t>
        </is>
      </c>
      <c r="G558" s="42" t="inlineStr">
        <is>
          <t>Mabini Homesite</t>
        </is>
      </c>
      <c r="H558" s="43" t="n">
        <v>15.475419</v>
      </c>
      <c r="I558" s="43" t="n">
        <v>120.976309</v>
      </c>
      <c r="J558" s="44" t="inlineStr">
        <is>
          <t>U</t>
        </is>
      </c>
      <c r="K558" s="42" t="inlineStr">
        <is>
          <t>Class 1-3 / Urban</t>
        </is>
      </c>
      <c r="L558" s="23" t="n">
        <v>5501</v>
      </c>
      <c r="M558" s="24" t="n">
        <v>4.32</v>
      </c>
      <c r="N558" s="23">
        <f>ROUND(L558/M558, 0)</f>
        <v/>
      </c>
      <c r="O558" s="23">
        <f>ROUND(N558*'Methodology &amp; Assumptions'!$B$8, 0)</f>
        <v/>
      </c>
      <c r="P558" s="44" t="inlineStr">
        <is>
          <t>Band n50 (1.5 GHz, 60 MHz)</t>
        </is>
      </c>
      <c r="Q558" s="38">
        <f>ROUNDUP(O558/'Methodology &amp; Assumptions'!$B$9, 0)</f>
        <v/>
      </c>
      <c r="R558" s="39" t="n">
        <v>1</v>
      </c>
      <c r="S558" s="25" t="n">
        <v>1.77</v>
      </c>
      <c r="T558" s="25" t="n">
        <v>1.39</v>
      </c>
      <c r="U558" s="42" t="inlineStr">
        <is>
          <t>Tier 1B (Micro Drop, 1-3 km)</t>
        </is>
      </c>
      <c r="V558" s="24" t="n">
        <v>65.5</v>
      </c>
      <c r="W558" s="24" t="n">
        <v>100</v>
      </c>
      <c r="X558" s="24" t="n">
        <v>28</v>
      </c>
      <c r="Y558" s="45">
        <f>ROUND((V558*'Methodology &amp; Assumptions'!$B$6)+(W558*'Methodology &amp; Assumptions'!$B$5)+(X558*'Methodology &amp; Assumptions'!$B$7), 2)</f>
        <v/>
      </c>
    </row>
    <row r="559" ht="19" customHeight="1">
      <c r="A559" s="35" t="n">
        <v>555</v>
      </c>
      <c r="B559" s="35" t="n">
        <v>3555</v>
      </c>
      <c r="C559" s="36" t="inlineStr">
        <is>
          <t>0730600074</t>
        </is>
      </c>
      <c r="D559" s="36" t="inlineStr">
        <is>
          <t>Region VII (Central Visayas)</t>
        </is>
      </c>
      <c r="E559" s="36" t="inlineStr">
        <is>
          <t>Cebu</t>
        </is>
      </c>
      <c r="F559" s="36" t="inlineStr">
        <is>
          <t>City of Cebu</t>
        </is>
      </c>
      <c r="G559" s="36" t="inlineStr">
        <is>
          <t>Sirao</t>
        </is>
      </c>
      <c r="H559" s="37" t="n">
        <v>10.411956</v>
      </c>
      <c r="I559" s="37" t="n">
        <v>123.877834</v>
      </c>
      <c r="J559" s="8" t="inlineStr">
        <is>
          <t>R</t>
        </is>
      </c>
      <c r="K559" s="36" t="inlineStr">
        <is>
          <t>Class 1-3 / Urban</t>
        </is>
      </c>
      <c r="L559" s="18" t="n">
        <v>3647</v>
      </c>
      <c r="M559" s="20" t="n">
        <v>4.42</v>
      </c>
      <c r="N559" s="18">
        <f>ROUND(L559/M559, 0)</f>
        <v/>
      </c>
      <c r="O559" s="18">
        <f>ROUND(N559*'Methodology &amp; Assumptions'!$B$8, 0)</f>
        <v/>
      </c>
      <c r="P559" s="8" t="inlineStr">
        <is>
          <t>Band n50 (1.5 GHz, 60 MHz)</t>
        </is>
      </c>
      <c r="Q559" s="38">
        <f>ROUNDUP(O559/'Methodology &amp; Assumptions'!$B$9, 0)</f>
        <v/>
      </c>
      <c r="R559" s="39" t="n">
        <v>1</v>
      </c>
      <c r="S559" s="21" t="n">
        <v>2.1</v>
      </c>
      <c r="T559" s="21" t="n">
        <v>5.19</v>
      </c>
      <c r="U559" s="36" t="inlineStr">
        <is>
          <t>Tier 1B (Micro Drop, 1-3 km)</t>
        </is>
      </c>
      <c r="V559" s="20" t="n">
        <v>49.6</v>
      </c>
      <c r="W559" s="20" t="n">
        <v>90.09999999999999</v>
      </c>
      <c r="X559" s="20" t="n">
        <v>58</v>
      </c>
      <c r="Y559" s="40">
        <f>ROUND((V559*'Methodology &amp; Assumptions'!$B$6)+(W559*'Methodology &amp; Assumptions'!$B$5)+(X559*'Methodology &amp; Assumptions'!$B$7), 2)</f>
        <v/>
      </c>
    </row>
    <row r="560" ht="19" customHeight="1">
      <c r="A560" s="41" t="n">
        <v>556</v>
      </c>
      <c r="B560" s="41" t="n">
        <v>3556</v>
      </c>
      <c r="C560" s="42" t="inlineStr">
        <is>
          <t>0205005001</t>
        </is>
      </c>
      <c r="D560" s="42" t="inlineStr">
        <is>
          <t>Region II (Cagayan Valley)</t>
        </is>
      </c>
      <c r="E560" s="42" t="inlineStr">
        <is>
          <t>Nueva Vizcaya</t>
        </is>
      </c>
      <c r="F560" s="42" t="inlineStr">
        <is>
          <t>Bayombong</t>
        </is>
      </c>
      <c r="G560" s="42" t="inlineStr">
        <is>
          <t>Bonfal East</t>
        </is>
      </c>
      <c r="H560" s="43" t="n">
        <v>16.492494</v>
      </c>
      <c r="I560" s="43" t="n">
        <v>121.178198</v>
      </c>
      <c r="J560" s="44" t="inlineStr">
        <is>
          <t>R</t>
        </is>
      </c>
      <c r="K560" s="42" t="inlineStr">
        <is>
          <t>Class 1-3 / Urban</t>
        </is>
      </c>
      <c r="L560" s="23" t="n">
        <v>3159</v>
      </c>
      <c r="M560" s="24" t="n">
        <v>4.19</v>
      </c>
      <c r="N560" s="23">
        <f>ROUND(L560/M560, 0)</f>
        <v/>
      </c>
      <c r="O560" s="23">
        <f>ROUND(N560*'Methodology &amp; Assumptions'!$B$8, 0)</f>
        <v/>
      </c>
      <c r="P560" s="44" t="inlineStr">
        <is>
          <t>Band n50 (1.5 GHz, 60 MHz)</t>
        </is>
      </c>
      <c r="Q560" s="38">
        <f>ROUNDUP(O560/'Methodology &amp; Assumptions'!$B$9, 0)</f>
        <v/>
      </c>
      <c r="R560" s="39" t="n">
        <v>1</v>
      </c>
      <c r="S560" s="25" t="n">
        <v>2.36</v>
      </c>
      <c r="T560" s="25" t="n">
        <v>1.17</v>
      </c>
      <c r="U560" s="42" t="inlineStr">
        <is>
          <t>Tier 1B (Micro Drop, 1-3 km)</t>
        </is>
      </c>
      <c r="V560" s="24" t="n">
        <v>55.5</v>
      </c>
      <c r="W560" s="24" t="n">
        <v>84.3</v>
      </c>
      <c r="X560" s="24" t="n">
        <v>58</v>
      </c>
      <c r="Y560" s="45">
        <f>ROUND((V560*'Methodology &amp; Assumptions'!$B$6)+(W560*'Methodology &amp; Assumptions'!$B$5)+(X560*'Methodology &amp; Assumptions'!$B$7), 2)</f>
        <v/>
      </c>
    </row>
    <row r="561" ht="19" customHeight="1">
      <c r="A561" s="35" t="n">
        <v>557</v>
      </c>
      <c r="B561" s="35" t="n">
        <v>3557</v>
      </c>
      <c r="C561" s="36" t="inlineStr">
        <is>
          <t>0405630017</t>
        </is>
      </c>
      <c r="D561" s="36" t="inlineStr">
        <is>
          <t>Region IV-A (CALABARZON)</t>
        </is>
      </c>
      <c r="E561" s="36" t="inlineStr">
        <is>
          <t>Quezon</t>
        </is>
      </c>
      <c r="F561" s="36" t="inlineStr">
        <is>
          <t>Pagbilao</t>
        </is>
      </c>
      <c r="G561" s="36" t="inlineStr">
        <is>
          <t>Mayhay</t>
        </is>
      </c>
      <c r="H561" s="37" t="n">
        <v>13.973349</v>
      </c>
      <c r="I561" s="37" t="n">
        <v>121.6835</v>
      </c>
      <c r="J561" s="8" t="inlineStr">
        <is>
          <t>R</t>
        </is>
      </c>
      <c r="K561" s="36" t="inlineStr">
        <is>
          <t>Class 1-3 / Urban</t>
        </is>
      </c>
      <c r="L561" s="18" t="n">
        <v>876</v>
      </c>
      <c r="M561" s="20" t="n">
        <v>4.46</v>
      </c>
      <c r="N561" s="18">
        <f>ROUND(L561/M561, 0)</f>
        <v/>
      </c>
      <c r="O561" s="18">
        <f>ROUND(N561*'Methodology &amp; Assumptions'!$B$8, 0)</f>
        <v/>
      </c>
      <c r="P561" s="8" t="inlineStr">
        <is>
          <t>Band n50 (1.5 GHz, 60 MHz)</t>
        </is>
      </c>
      <c r="Q561" s="38">
        <f>ROUNDUP(O561/'Methodology &amp; Assumptions'!$B$9, 0)</f>
        <v/>
      </c>
      <c r="R561" s="39" t="n">
        <v>1</v>
      </c>
      <c r="S561" s="21" t="n">
        <v>0.25</v>
      </c>
      <c r="T561" s="21" t="n">
        <v>0.3</v>
      </c>
      <c r="U561" s="36" t="inlineStr">
        <is>
          <t>Tier 1A (Direct Coloc, &lt;1 km)</t>
        </is>
      </c>
      <c r="V561" s="20" t="n">
        <v>100</v>
      </c>
      <c r="W561" s="20" t="n">
        <v>39.7</v>
      </c>
      <c r="X561" s="20" t="n">
        <v>58</v>
      </c>
      <c r="Y561" s="40">
        <f>ROUND((V561*'Methodology &amp; Assumptions'!$B$6)+(W561*'Methodology &amp; Assumptions'!$B$5)+(X561*'Methodology &amp; Assumptions'!$B$7), 2)</f>
        <v/>
      </c>
    </row>
    <row r="562" ht="19" customHeight="1">
      <c r="A562" s="41" t="n">
        <v>558</v>
      </c>
      <c r="B562" s="41" t="n">
        <v>3558</v>
      </c>
      <c r="C562" s="42" t="inlineStr">
        <is>
          <t>0604524010</t>
        </is>
      </c>
      <c r="D562" s="42" t="inlineStr">
        <is>
          <t>Region VI (Western Visayas)</t>
        </is>
      </c>
      <c r="E562" s="42" t="inlineStr">
        <is>
          <t>Negros Occidental</t>
        </is>
      </c>
      <c r="F562" s="42" t="inlineStr">
        <is>
          <t>City of San Carlos</t>
        </is>
      </c>
      <c r="G562" s="42" t="inlineStr">
        <is>
          <t>Barangay I</t>
        </is>
      </c>
      <c r="H562" s="43" t="n">
        <v>10.49362</v>
      </c>
      <c r="I562" s="43" t="n">
        <v>123.427451</v>
      </c>
      <c r="J562" s="44" t="inlineStr">
        <is>
          <t>U</t>
        </is>
      </c>
      <c r="K562" s="42" t="inlineStr">
        <is>
          <t>Class 1-3 / Urban</t>
        </is>
      </c>
      <c r="L562" s="23" t="n">
        <v>10616</v>
      </c>
      <c r="M562" s="24" t="n">
        <v>4.33</v>
      </c>
      <c r="N562" s="23">
        <f>ROUND(L562/M562, 0)</f>
        <v/>
      </c>
      <c r="O562" s="23">
        <f>ROUND(N562*'Methodology &amp; Assumptions'!$B$8, 0)</f>
        <v/>
      </c>
      <c r="P562" s="44" t="inlineStr">
        <is>
          <t>Band n50 (1.5 GHz, 60 MHz)</t>
        </is>
      </c>
      <c r="Q562" s="38">
        <f>ROUNDUP(O562/'Methodology &amp; Assumptions'!$B$9, 0)</f>
        <v/>
      </c>
      <c r="R562" s="39" t="n">
        <v>1</v>
      </c>
      <c r="S562" s="25" t="n">
        <v>1.77</v>
      </c>
      <c r="T562" s="25" t="n">
        <v>0.59</v>
      </c>
      <c r="U562" s="42" t="inlineStr">
        <is>
          <t>Tier 1B (Micro Drop, 1-3 km)</t>
        </is>
      </c>
      <c r="V562" s="24" t="n">
        <v>65.5</v>
      </c>
      <c r="W562" s="24" t="n">
        <v>100</v>
      </c>
      <c r="X562" s="24" t="n">
        <v>28</v>
      </c>
      <c r="Y562" s="45">
        <f>ROUND((V562*'Methodology &amp; Assumptions'!$B$6)+(W562*'Methodology &amp; Assumptions'!$B$5)+(X562*'Methodology &amp; Assumptions'!$B$7), 2)</f>
        <v/>
      </c>
    </row>
    <row r="563" ht="19" customHeight="1">
      <c r="A563" s="35" t="n">
        <v>559</v>
      </c>
      <c r="B563" s="35" t="n">
        <v>3559</v>
      </c>
      <c r="C563" s="36" t="inlineStr">
        <is>
          <t>0301408012</t>
        </is>
      </c>
      <c r="D563" s="36" t="inlineStr">
        <is>
          <t>Region III (Central Luzon)</t>
        </is>
      </c>
      <c r="E563" s="36" t="inlineStr">
        <is>
          <t>Bulacan</t>
        </is>
      </c>
      <c r="F563" s="36" t="inlineStr">
        <is>
          <t>Guiguinto</t>
        </is>
      </c>
      <c r="G563" s="36" t="inlineStr">
        <is>
          <t>Tabe</t>
        </is>
      </c>
      <c r="H563" s="37" t="n">
        <v>14.837431</v>
      </c>
      <c r="I563" s="37" t="n">
        <v>120.886775</v>
      </c>
      <c r="J563" s="8" t="inlineStr">
        <is>
          <t>U</t>
        </is>
      </c>
      <c r="K563" s="36" t="inlineStr">
        <is>
          <t>Class 1-3 / Urban</t>
        </is>
      </c>
      <c r="L563" s="18" t="n">
        <v>9212</v>
      </c>
      <c r="M563" s="20" t="n">
        <v>4.1</v>
      </c>
      <c r="N563" s="18">
        <f>ROUND(L563/M563, 0)</f>
        <v/>
      </c>
      <c r="O563" s="18">
        <f>ROUND(N563*'Methodology &amp; Assumptions'!$B$8, 0)</f>
        <v/>
      </c>
      <c r="P563" s="8" t="inlineStr">
        <is>
          <t>Band n50 (1.5 GHz, 60 MHz)</t>
        </is>
      </c>
      <c r="Q563" s="38">
        <f>ROUNDUP(O563/'Methodology &amp; Assumptions'!$B$9, 0)</f>
        <v/>
      </c>
      <c r="R563" s="39" t="n">
        <v>1</v>
      </c>
      <c r="S563" s="21" t="n">
        <v>1.77</v>
      </c>
      <c r="T563" s="21" t="n">
        <v>0.9</v>
      </c>
      <c r="U563" s="36" t="inlineStr">
        <is>
          <t>Tier 1B (Micro Drop, 1-3 km)</t>
        </is>
      </c>
      <c r="V563" s="20" t="n">
        <v>65.5</v>
      </c>
      <c r="W563" s="20" t="n">
        <v>100</v>
      </c>
      <c r="X563" s="20" t="n">
        <v>28</v>
      </c>
      <c r="Y563" s="40">
        <f>ROUND((V563*'Methodology &amp; Assumptions'!$B$6)+(W563*'Methodology &amp; Assumptions'!$B$5)+(X563*'Methodology &amp; Assumptions'!$B$7), 2)</f>
        <v/>
      </c>
    </row>
    <row r="564" ht="19" customHeight="1">
      <c r="A564" s="41" t="n">
        <v>560</v>
      </c>
      <c r="B564" s="41" t="n">
        <v>3560</v>
      </c>
      <c r="C564" s="42" t="inlineStr">
        <is>
          <t>0701205008</t>
        </is>
      </c>
      <c r="D564" s="42" t="inlineStr">
        <is>
          <t>Region VII (Central Visayas)</t>
        </is>
      </c>
      <c r="E564" s="42" t="inlineStr">
        <is>
          <t>Bohol</t>
        </is>
      </c>
      <c r="F564" s="42" t="inlineStr">
        <is>
          <t>Baclayon</t>
        </is>
      </c>
      <c r="G564" s="42" t="inlineStr">
        <is>
          <t>Montana</t>
        </is>
      </c>
      <c r="H564" s="43" t="n">
        <v>9.622306</v>
      </c>
      <c r="I564" s="43" t="n">
        <v>123.925001</v>
      </c>
      <c r="J564" s="44" t="inlineStr">
        <is>
          <t>R</t>
        </is>
      </c>
      <c r="K564" s="42" t="inlineStr">
        <is>
          <t>4th</t>
        </is>
      </c>
      <c r="L564" s="23" t="n">
        <v>1871</v>
      </c>
      <c r="M564" s="24" t="n">
        <v>4.66</v>
      </c>
      <c r="N564" s="23">
        <f>ROUND(L564/M564, 0)</f>
        <v/>
      </c>
      <c r="O564" s="23">
        <f>ROUND(N564*'Methodology &amp; Assumptions'!$B$8, 0)</f>
        <v/>
      </c>
      <c r="P564" s="44" t="inlineStr">
        <is>
          <t>Band n50 (1.5 GHz, 60 MHz)</t>
        </is>
      </c>
      <c r="Q564" s="38">
        <f>ROUNDUP(O564/'Methodology &amp; Assumptions'!$B$9, 0)</f>
        <v/>
      </c>
      <c r="R564" s="39" t="n">
        <v>1</v>
      </c>
      <c r="S564" s="25" t="n">
        <v>1.32</v>
      </c>
      <c r="T564" s="25" t="n">
        <v>0.01</v>
      </c>
      <c r="U564" s="42" t="inlineStr">
        <is>
          <t>Tier 1B (Micro Drop, 1-3 km)</t>
        </is>
      </c>
      <c r="V564" s="24" t="n">
        <v>74.5</v>
      </c>
      <c r="W564" s="24" t="n">
        <v>56.3</v>
      </c>
      <c r="X564" s="24" t="n">
        <v>68.5</v>
      </c>
      <c r="Y564" s="45">
        <f>ROUND((V564*'Methodology &amp; Assumptions'!$B$6)+(W564*'Methodology &amp; Assumptions'!$B$5)+(X564*'Methodology &amp; Assumptions'!$B$7), 2)</f>
        <v/>
      </c>
    </row>
    <row r="565" ht="19" customHeight="1">
      <c r="A565" s="35" t="n">
        <v>561</v>
      </c>
      <c r="B565" s="35" t="n">
        <v>3561</v>
      </c>
      <c r="C565" s="36" t="inlineStr">
        <is>
          <t>0105545013</t>
        </is>
      </c>
      <c r="D565" s="36" t="inlineStr">
        <is>
          <t>Region I (Ilocos Region)</t>
        </is>
      </c>
      <c r="E565" s="36" t="inlineStr">
        <is>
          <t>Pangasinan</t>
        </is>
      </c>
      <c r="F565" s="36" t="inlineStr">
        <is>
          <t>Urbiztondo</t>
        </is>
      </c>
      <c r="G565" s="36" t="inlineStr">
        <is>
          <t>Malayo</t>
        </is>
      </c>
      <c r="H565" s="37" t="n">
        <v>15.827415</v>
      </c>
      <c r="I565" s="37" t="n">
        <v>120.342672</v>
      </c>
      <c r="J565" s="8" t="inlineStr">
        <is>
          <t>R</t>
        </is>
      </c>
      <c r="K565" s="36" t="inlineStr">
        <is>
          <t>Class 1-3 / Urban</t>
        </is>
      </c>
      <c r="L565" s="18" t="n">
        <v>2029</v>
      </c>
      <c r="M565" s="20" t="n">
        <v>4.39</v>
      </c>
      <c r="N565" s="18">
        <f>ROUND(L565/M565, 0)</f>
        <v/>
      </c>
      <c r="O565" s="18">
        <f>ROUND(N565*'Methodology &amp; Assumptions'!$B$8, 0)</f>
        <v/>
      </c>
      <c r="P565" s="8" t="inlineStr">
        <is>
          <t>Band n50 (1.5 GHz, 60 MHz)</t>
        </is>
      </c>
      <c r="Q565" s="38">
        <f>ROUNDUP(O565/'Methodology &amp; Assumptions'!$B$9, 0)</f>
        <v/>
      </c>
      <c r="R565" s="39" t="n">
        <v>1</v>
      </c>
      <c r="S565" s="21" t="n">
        <v>0.72</v>
      </c>
      <c r="T565" s="21" t="n">
        <v>10.29</v>
      </c>
      <c r="U565" s="36" t="inlineStr">
        <is>
          <t>Tier 1A (Direct Coloc, &lt;1 km)</t>
        </is>
      </c>
      <c r="V565" s="20" t="n">
        <v>78.59999999999999</v>
      </c>
      <c r="W565" s="20" t="n">
        <v>61.1</v>
      </c>
      <c r="X565" s="20" t="n">
        <v>58</v>
      </c>
      <c r="Y565" s="40">
        <f>ROUND((V565*'Methodology &amp; Assumptions'!$B$6)+(W565*'Methodology &amp; Assumptions'!$B$5)+(X565*'Methodology &amp; Assumptions'!$B$7), 2)</f>
        <v/>
      </c>
    </row>
    <row r="566" ht="19" customHeight="1">
      <c r="A566" s="41" t="n">
        <v>562</v>
      </c>
      <c r="B566" s="41" t="n">
        <v>3562</v>
      </c>
      <c r="C566" s="42" t="inlineStr">
        <is>
          <t>0405810001</t>
        </is>
      </c>
      <c r="D566" s="42" t="inlineStr">
        <is>
          <t>Region IV-A (CALABARZON)</t>
        </is>
      </c>
      <c r="E566" s="42" t="inlineStr">
        <is>
          <t>Rizal</t>
        </is>
      </c>
      <c r="F566" s="42" t="inlineStr">
        <is>
          <t>Pililla</t>
        </is>
      </c>
      <c r="G566" s="42" t="inlineStr">
        <is>
          <t>Bagumbayan</t>
        </is>
      </c>
      <c r="H566" s="43" t="n">
        <v>14.47545</v>
      </c>
      <c r="I566" s="43" t="n">
        <v>121.31336</v>
      </c>
      <c r="J566" s="44" t="inlineStr">
        <is>
          <t>U</t>
        </is>
      </c>
      <c r="K566" s="42" t="inlineStr">
        <is>
          <t>Class 1-3 / Urban</t>
        </is>
      </c>
      <c r="L566" s="23" t="n">
        <v>13468</v>
      </c>
      <c r="M566" s="24" t="n">
        <v>4.39</v>
      </c>
      <c r="N566" s="23">
        <f>ROUND(L566/M566, 0)</f>
        <v/>
      </c>
      <c r="O566" s="23">
        <f>ROUND(N566*'Methodology &amp; Assumptions'!$B$8, 0)</f>
        <v/>
      </c>
      <c r="P566" s="44" t="inlineStr">
        <is>
          <t>Band n50 (1.5 GHz, 60 MHz)</t>
        </is>
      </c>
      <c r="Q566" s="38">
        <f>ROUNDUP(O566/'Methodology &amp; Assumptions'!$B$9, 0)</f>
        <v/>
      </c>
      <c r="R566" s="39" t="n">
        <v>1</v>
      </c>
      <c r="S566" s="25" t="n">
        <v>1.77</v>
      </c>
      <c r="T566" s="25" t="n">
        <v>0.16</v>
      </c>
      <c r="U566" s="42" t="inlineStr">
        <is>
          <t>Tier 1B (Micro Drop, 1-3 km)</t>
        </is>
      </c>
      <c r="V566" s="24" t="n">
        <v>65.40000000000001</v>
      </c>
      <c r="W566" s="24" t="n">
        <v>100</v>
      </c>
      <c r="X566" s="24" t="n">
        <v>28</v>
      </c>
      <c r="Y566" s="45">
        <f>ROUND((V566*'Methodology &amp; Assumptions'!$B$6)+(W566*'Methodology &amp; Assumptions'!$B$5)+(X566*'Methodology &amp; Assumptions'!$B$7), 2)</f>
        <v/>
      </c>
    </row>
    <row r="567" ht="19" customHeight="1">
      <c r="A567" s="35" t="n">
        <v>563</v>
      </c>
      <c r="B567" s="35" t="n">
        <v>3563</v>
      </c>
      <c r="C567" s="36" t="inlineStr">
        <is>
          <t>0301418003</t>
        </is>
      </c>
      <c r="D567" s="36" t="inlineStr">
        <is>
          <t>Region III (Central Luzon)</t>
        </is>
      </c>
      <c r="E567" s="36" t="inlineStr">
        <is>
          <t>Bulacan</t>
        </is>
      </c>
      <c r="F567" s="36" t="inlineStr">
        <is>
          <t>Pulilan</t>
        </is>
      </c>
      <c r="G567" s="36" t="inlineStr">
        <is>
          <t>Cutcot</t>
        </is>
      </c>
      <c r="H567" s="37" t="n">
        <v>14.901707</v>
      </c>
      <c r="I567" s="37" t="n">
        <v>120.867103</v>
      </c>
      <c r="J567" s="8" t="inlineStr">
        <is>
          <t>U</t>
        </is>
      </c>
      <c r="K567" s="36" t="inlineStr">
        <is>
          <t>Class 1-3 / Urban</t>
        </is>
      </c>
      <c r="L567" s="18" t="n">
        <v>8320</v>
      </c>
      <c r="M567" s="20" t="n">
        <v>4.1</v>
      </c>
      <c r="N567" s="18">
        <f>ROUND(L567/M567, 0)</f>
        <v/>
      </c>
      <c r="O567" s="18">
        <f>ROUND(N567*'Methodology &amp; Assumptions'!$B$8, 0)</f>
        <v/>
      </c>
      <c r="P567" s="8" t="inlineStr">
        <is>
          <t>Band n50 (1.5 GHz, 60 MHz)</t>
        </is>
      </c>
      <c r="Q567" s="38">
        <f>ROUNDUP(O567/'Methodology &amp; Assumptions'!$B$9, 0)</f>
        <v/>
      </c>
      <c r="R567" s="39" t="n">
        <v>1</v>
      </c>
      <c r="S567" s="21" t="n">
        <v>1.77</v>
      </c>
      <c r="T567" s="21" t="n">
        <v>0.04</v>
      </c>
      <c r="U567" s="36" t="inlineStr">
        <is>
          <t>Tier 1B (Micro Drop, 1-3 km)</t>
        </is>
      </c>
      <c r="V567" s="20" t="n">
        <v>65.40000000000001</v>
      </c>
      <c r="W567" s="20" t="n">
        <v>100</v>
      </c>
      <c r="X567" s="20" t="n">
        <v>28</v>
      </c>
      <c r="Y567" s="40">
        <f>ROUND((V567*'Methodology &amp; Assumptions'!$B$6)+(W567*'Methodology &amp; Assumptions'!$B$5)+(X567*'Methodology &amp; Assumptions'!$B$7), 2)</f>
        <v/>
      </c>
    </row>
    <row r="568" ht="19" customHeight="1">
      <c r="A568" s="41" t="n">
        <v>564</v>
      </c>
      <c r="B568" s="41" t="n">
        <v>3564</v>
      </c>
      <c r="C568" s="42" t="inlineStr">
        <is>
          <t>0105543014</t>
        </is>
      </c>
      <c r="D568" s="42" t="inlineStr">
        <is>
          <t>Region I (Ilocos Region)</t>
        </is>
      </c>
      <c r="E568" s="42" t="inlineStr">
        <is>
          <t>Pangasinan</t>
        </is>
      </c>
      <c r="F568" s="42" t="inlineStr">
        <is>
          <t>Tayug</t>
        </is>
      </c>
      <c r="G568" s="42" t="inlineStr">
        <is>
          <t>Barangay A</t>
        </is>
      </c>
      <c r="H568" s="43" t="n">
        <v>16.02674</v>
      </c>
      <c r="I568" s="43" t="n">
        <v>120.74951</v>
      </c>
      <c r="J568" s="44" t="inlineStr">
        <is>
          <t>U</t>
        </is>
      </c>
      <c r="K568" s="42" t="inlineStr">
        <is>
          <t>Class 1-3 / Urban</t>
        </is>
      </c>
      <c r="L568" s="23" t="n">
        <v>2392</v>
      </c>
      <c r="M568" s="24" t="n">
        <v>4.39</v>
      </c>
      <c r="N568" s="23">
        <f>ROUND(L568/M568, 0)</f>
        <v/>
      </c>
      <c r="O568" s="23">
        <f>ROUND(N568*'Methodology &amp; Assumptions'!$B$8, 0)</f>
        <v/>
      </c>
      <c r="P568" s="44" t="inlineStr">
        <is>
          <t>Band n50 (1.5 GHz, 60 MHz)</t>
        </is>
      </c>
      <c r="Q568" s="38">
        <f>ROUNDUP(O568/'Methodology &amp; Assumptions'!$B$9, 0)</f>
        <v/>
      </c>
      <c r="R568" s="39" t="n">
        <v>1</v>
      </c>
      <c r="S568" s="25" t="n">
        <v>0.39</v>
      </c>
      <c r="T568" s="25" t="n">
        <v>0.5</v>
      </c>
      <c r="U568" s="42" t="inlineStr">
        <is>
          <t>Tier 1A (Direct Coloc, &lt;1 km)</t>
        </is>
      </c>
      <c r="V568" s="24" t="n">
        <v>97.7</v>
      </c>
      <c r="W568" s="24" t="n">
        <v>67.7</v>
      </c>
      <c r="X568" s="24" t="n">
        <v>28</v>
      </c>
      <c r="Y568" s="45">
        <f>ROUND((V568*'Methodology &amp; Assumptions'!$B$6)+(W568*'Methodology &amp; Assumptions'!$B$5)+(X568*'Methodology &amp; Assumptions'!$B$7), 2)</f>
        <v/>
      </c>
    </row>
    <row r="569" ht="19" customHeight="1">
      <c r="A569" s="35" t="n">
        <v>565</v>
      </c>
      <c r="B569" s="35" t="n">
        <v>3565</v>
      </c>
      <c r="C569" s="36" t="inlineStr">
        <is>
          <t>0307701012</t>
        </is>
      </c>
      <c r="D569" s="36" t="inlineStr">
        <is>
          <t>Region III (Central Luzon)</t>
        </is>
      </c>
      <c r="E569" s="36" t="inlineStr">
        <is>
          <t>Aurora</t>
        </is>
      </c>
      <c r="F569" s="36" t="inlineStr">
        <is>
          <t>Baler</t>
        </is>
      </c>
      <c r="G569" s="36" t="inlineStr">
        <is>
          <t>Suclayin</t>
        </is>
      </c>
      <c r="H569" s="37" t="n">
        <v>15.756932</v>
      </c>
      <c r="I569" s="37" t="n">
        <v>121.547309</v>
      </c>
      <c r="J569" s="8" t="inlineStr">
        <is>
          <t>U</t>
        </is>
      </c>
      <c r="K569" s="36" t="inlineStr">
        <is>
          <t>Class 1-3 / Urban</t>
        </is>
      </c>
      <c r="L569" s="18" t="n">
        <v>6573</v>
      </c>
      <c r="M569" s="20" t="n">
        <v>4.24</v>
      </c>
      <c r="N569" s="18">
        <f>ROUND(L569/M569, 0)</f>
        <v/>
      </c>
      <c r="O569" s="18">
        <f>ROUND(N569*'Methodology &amp; Assumptions'!$B$8, 0)</f>
        <v/>
      </c>
      <c r="P569" s="8" t="inlineStr">
        <is>
          <t>Band n50 (1.5 GHz, 60 MHz)</t>
        </is>
      </c>
      <c r="Q569" s="38">
        <f>ROUNDUP(O569/'Methodology &amp; Assumptions'!$B$9, 0)</f>
        <v/>
      </c>
      <c r="R569" s="39" t="n">
        <v>1</v>
      </c>
      <c r="S569" s="21" t="n">
        <v>1.77</v>
      </c>
      <c r="T569" s="21" t="n">
        <v>0.18</v>
      </c>
      <c r="U569" s="36" t="inlineStr">
        <is>
          <t>Tier 1B (Micro Drop, 1-3 km)</t>
        </is>
      </c>
      <c r="V569" s="20" t="n">
        <v>65.40000000000001</v>
      </c>
      <c r="W569" s="20" t="n">
        <v>100</v>
      </c>
      <c r="X569" s="20" t="n">
        <v>28</v>
      </c>
      <c r="Y569" s="40">
        <f>ROUND((V569*'Methodology &amp; Assumptions'!$B$6)+(W569*'Methodology &amp; Assumptions'!$B$5)+(X569*'Methodology &amp; Assumptions'!$B$7), 2)</f>
        <v/>
      </c>
    </row>
    <row r="570" ht="19" customHeight="1">
      <c r="A570" s="41" t="n">
        <v>566</v>
      </c>
      <c r="B570" s="41" t="n">
        <v>3566</v>
      </c>
      <c r="C570" s="42" t="inlineStr">
        <is>
          <t>0603031021</t>
        </is>
      </c>
      <c r="D570" s="42" t="inlineStr">
        <is>
          <t>Region VI (Western Visayas)</t>
        </is>
      </c>
      <c r="E570" s="42" t="inlineStr">
        <is>
          <t>Iloilo</t>
        </is>
      </c>
      <c r="F570" s="42" t="inlineStr">
        <is>
          <t>Mina</t>
        </is>
      </c>
      <c r="G570" s="42" t="inlineStr">
        <is>
          <t>Tolarucan</t>
        </is>
      </c>
      <c r="H570" s="43" t="n">
        <v>10.933348</v>
      </c>
      <c r="I570" s="43" t="n">
        <v>122.547122</v>
      </c>
      <c r="J570" s="44" t="inlineStr">
        <is>
          <t>R</t>
        </is>
      </c>
      <c r="K570" s="42" t="inlineStr">
        <is>
          <t>4th</t>
        </is>
      </c>
      <c r="L570" s="23" t="n">
        <v>1948</v>
      </c>
      <c r="M570" s="24" t="n">
        <v>4.72</v>
      </c>
      <c r="N570" s="23">
        <f>ROUND(L570/M570, 0)</f>
        <v/>
      </c>
      <c r="O570" s="23">
        <f>ROUND(N570*'Methodology &amp; Assumptions'!$B$8, 0)</f>
        <v/>
      </c>
      <c r="P570" s="44" t="inlineStr">
        <is>
          <t>Band n50 (1.5 GHz, 60 MHz)</t>
        </is>
      </c>
      <c r="Q570" s="38">
        <f>ROUNDUP(O570/'Methodology &amp; Assumptions'!$B$9, 0)</f>
        <v/>
      </c>
      <c r="R570" s="39" t="n">
        <v>1</v>
      </c>
      <c r="S570" s="25" t="n">
        <v>1.36</v>
      </c>
      <c r="T570" s="25" t="n">
        <v>0.18</v>
      </c>
      <c r="U570" s="42" t="inlineStr">
        <is>
          <t>Tier 1B (Micro Drop, 1-3 km)</t>
        </is>
      </c>
      <c r="V570" s="24" t="n">
        <v>73.59999999999999</v>
      </c>
      <c r="W570" s="24" t="n">
        <v>57.1</v>
      </c>
      <c r="X570" s="24" t="n">
        <v>68.5</v>
      </c>
      <c r="Y570" s="45">
        <f>ROUND((V570*'Methodology &amp; Assumptions'!$B$6)+(W570*'Methodology &amp; Assumptions'!$B$5)+(X570*'Methodology &amp; Assumptions'!$B$7), 2)</f>
        <v/>
      </c>
    </row>
    <row r="571" ht="19" customHeight="1">
      <c r="A571" s="35" t="n">
        <v>567</v>
      </c>
      <c r="B571" s="35" t="n">
        <v>3567</v>
      </c>
      <c r="C571" s="36" t="inlineStr">
        <is>
          <t>1705205021</t>
        </is>
      </c>
      <c r="D571" s="36" t="inlineStr">
        <is>
          <t>MIMAROPA Region</t>
        </is>
      </c>
      <c r="E571" s="36" t="inlineStr">
        <is>
          <t>Oriental Mindoro</t>
        </is>
      </c>
      <c r="F571" s="36" t="inlineStr">
        <is>
          <t>City of Calapan</t>
        </is>
      </c>
      <c r="G571" s="36" t="inlineStr">
        <is>
          <t>Guinobatan</t>
        </is>
      </c>
      <c r="H571" s="37" t="n">
        <v>13.38665</v>
      </c>
      <c r="I571" s="37" t="n">
        <v>121.18357</v>
      </c>
      <c r="J571" s="8" t="inlineStr">
        <is>
          <t>R</t>
        </is>
      </c>
      <c r="K571" s="36" t="inlineStr">
        <is>
          <t>Class 1-3 / Urban</t>
        </is>
      </c>
      <c r="L571" s="18" t="n">
        <v>4423</v>
      </c>
      <c r="M571" s="20" t="n">
        <v>4.41</v>
      </c>
      <c r="N571" s="18">
        <f>ROUND(L571/M571, 0)</f>
        <v/>
      </c>
      <c r="O571" s="18">
        <f>ROUND(N571*'Methodology &amp; Assumptions'!$B$8, 0)</f>
        <v/>
      </c>
      <c r="P571" s="8" t="inlineStr">
        <is>
          <t>Band n50 (1.5 GHz, 60 MHz)</t>
        </is>
      </c>
      <c r="Q571" s="38">
        <f>ROUNDUP(O571/'Methodology &amp; Assumptions'!$B$9, 0)</f>
        <v/>
      </c>
      <c r="R571" s="39" t="n">
        <v>1</v>
      </c>
      <c r="S571" s="21" t="n">
        <v>2.77</v>
      </c>
      <c r="T571" s="21" t="n">
        <v>2.32</v>
      </c>
      <c r="U571" s="36" t="inlineStr">
        <is>
          <t>Tier 1B (Micro Drop, 1-3 km)</t>
        </is>
      </c>
      <c r="V571" s="20" t="n">
        <v>39.7</v>
      </c>
      <c r="W571" s="20" t="n">
        <v>100</v>
      </c>
      <c r="X571" s="20" t="n">
        <v>58</v>
      </c>
      <c r="Y571" s="40">
        <f>ROUND((V571*'Methodology &amp; Assumptions'!$B$6)+(W571*'Methodology &amp; Assumptions'!$B$5)+(X571*'Methodology &amp; Assumptions'!$B$7), 2)</f>
        <v/>
      </c>
    </row>
    <row r="572" ht="19" customHeight="1">
      <c r="A572" s="41" t="n">
        <v>568</v>
      </c>
      <c r="B572" s="41" t="n">
        <v>3568</v>
      </c>
      <c r="C572" s="42" t="inlineStr">
        <is>
          <t>0500517008</t>
        </is>
      </c>
      <c r="D572" s="42" t="inlineStr">
        <is>
          <t>Region V (Bicol Region)</t>
        </is>
      </c>
      <c r="E572" s="42" t="inlineStr">
        <is>
          <t>Albay</t>
        </is>
      </c>
      <c r="F572" s="42" t="inlineStr">
        <is>
          <t>City of Tabaco</t>
        </is>
      </c>
      <c r="G572" s="42" t="inlineStr">
        <is>
          <t>Bogñabong</t>
        </is>
      </c>
      <c r="H572" s="43" t="n">
        <v>13.341783</v>
      </c>
      <c r="I572" s="43" t="n">
        <v>123.716271</v>
      </c>
      <c r="J572" s="44" t="inlineStr">
        <is>
          <t>R</t>
        </is>
      </c>
      <c r="K572" s="42" t="inlineStr">
        <is>
          <t>Class 1-3 / Urban</t>
        </is>
      </c>
      <c r="L572" s="23" t="n">
        <v>3208</v>
      </c>
      <c r="M572" s="24" t="n">
        <v>4.67</v>
      </c>
      <c r="N572" s="23">
        <f>ROUND(L572/M572, 0)</f>
        <v/>
      </c>
      <c r="O572" s="23">
        <f>ROUND(N572*'Methodology &amp; Assumptions'!$B$8, 0)</f>
        <v/>
      </c>
      <c r="P572" s="44" t="inlineStr">
        <is>
          <t>Band n50 (1.5 GHz, 60 MHz)</t>
        </is>
      </c>
      <c r="Q572" s="38">
        <f>ROUNDUP(O572/'Methodology &amp; Assumptions'!$B$9, 0)</f>
        <v/>
      </c>
      <c r="R572" s="39" t="n">
        <v>1</v>
      </c>
      <c r="S572" s="25" t="n">
        <v>2.04</v>
      </c>
      <c r="T572" s="25" t="n">
        <v>1.56</v>
      </c>
      <c r="U572" s="42" t="inlineStr">
        <is>
          <t>Tier 1B (Micro Drop, 1-3 km)</t>
        </is>
      </c>
      <c r="V572" s="24" t="n">
        <v>60.7</v>
      </c>
      <c r="W572" s="24" t="n">
        <v>78.90000000000001</v>
      </c>
      <c r="X572" s="24" t="n">
        <v>58</v>
      </c>
      <c r="Y572" s="45">
        <f>ROUND((V572*'Methodology &amp; Assumptions'!$B$6)+(W572*'Methodology &amp; Assumptions'!$B$5)+(X572*'Methodology &amp; Assumptions'!$B$7), 2)</f>
        <v/>
      </c>
    </row>
    <row r="573" ht="19" customHeight="1">
      <c r="A573" s="35" t="n">
        <v>569</v>
      </c>
      <c r="B573" s="35" t="n">
        <v>3569</v>
      </c>
      <c r="C573" s="36" t="inlineStr">
        <is>
          <t>0301421058</t>
        </is>
      </c>
      <c r="D573" s="36" t="inlineStr">
        <is>
          <t>Region III (Central Luzon)</t>
        </is>
      </c>
      <c r="E573" s="36" t="inlineStr">
        <is>
          <t>Bulacan</t>
        </is>
      </c>
      <c r="F573" s="36" t="inlineStr">
        <is>
          <t>San Miguel</t>
        </is>
      </c>
      <c r="G573" s="36" t="inlineStr">
        <is>
          <t>Maligaya</t>
        </is>
      </c>
      <c r="H573" s="37" t="n">
        <v>15.249819</v>
      </c>
      <c r="I573" s="37" t="n">
        <v>120.859757</v>
      </c>
      <c r="J573" s="8" t="inlineStr">
        <is>
          <t>R</t>
        </is>
      </c>
      <c r="K573" s="36" t="inlineStr">
        <is>
          <t>Class 1-3 / Urban</t>
        </is>
      </c>
      <c r="L573" s="18" t="n">
        <v>2415</v>
      </c>
      <c r="M573" s="20" t="n">
        <v>4.1</v>
      </c>
      <c r="N573" s="18">
        <f>ROUND(L573/M573, 0)</f>
        <v/>
      </c>
      <c r="O573" s="18">
        <f>ROUND(N573*'Methodology &amp; Assumptions'!$B$8, 0)</f>
        <v/>
      </c>
      <c r="P573" s="8" t="inlineStr">
        <is>
          <t>Band n50 (1.5 GHz, 60 MHz)</t>
        </is>
      </c>
      <c r="Q573" s="38">
        <f>ROUNDUP(O573/'Methodology &amp; Assumptions'!$B$9, 0)</f>
        <v/>
      </c>
      <c r="R573" s="39" t="n">
        <v>1</v>
      </c>
      <c r="S573" s="21" t="n">
        <v>1.61</v>
      </c>
      <c r="T573" s="21" t="n">
        <v>0.15</v>
      </c>
      <c r="U573" s="36" t="inlineStr">
        <is>
          <t>Tier 1B (Micro Drop, 1-3 km)</t>
        </is>
      </c>
      <c r="V573" s="20" t="n">
        <v>68.5</v>
      </c>
      <c r="W573" s="20" t="n">
        <v>71.2</v>
      </c>
      <c r="X573" s="20" t="n">
        <v>58</v>
      </c>
      <c r="Y573" s="40">
        <f>ROUND((V573*'Methodology &amp; Assumptions'!$B$6)+(W573*'Methodology &amp; Assumptions'!$B$5)+(X573*'Methodology &amp; Assumptions'!$B$7), 2)</f>
        <v/>
      </c>
    </row>
    <row r="574" ht="19" customHeight="1">
      <c r="A574" s="41" t="n">
        <v>570</v>
      </c>
      <c r="B574" s="41" t="n">
        <v>3570</v>
      </c>
      <c r="C574" s="42" t="inlineStr">
        <is>
          <t>0301417003</t>
        </is>
      </c>
      <c r="D574" s="42" t="inlineStr">
        <is>
          <t>Region III (Central Luzon)</t>
        </is>
      </c>
      <c r="E574" s="42" t="inlineStr">
        <is>
          <t>Bulacan</t>
        </is>
      </c>
      <c r="F574" s="42" t="inlineStr">
        <is>
          <t>Plaridel</t>
        </is>
      </c>
      <c r="G574" s="42" t="inlineStr">
        <is>
          <t>Banga I</t>
        </is>
      </c>
      <c r="H574" s="43" t="n">
        <v>14.883918</v>
      </c>
      <c r="I574" s="43" t="n">
        <v>120.865116</v>
      </c>
      <c r="J574" s="44" t="inlineStr">
        <is>
          <t>U</t>
        </is>
      </c>
      <c r="K574" s="42" t="inlineStr">
        <is>
          <t>Class 1-3 / Urban</t>
        </is>
      </c>
      <c r="L574" s="23" t="n">
        <v>5892</v>
      </c>
      <c r="M574" s="24" t="n">
        <v>4.1</v>
      </c>
      <c r="N574" s="23">
        <f>ROUND(L574/M574, 0)</f>
        <v/>
      </c>
      <c r="O574" s="23">
        <f>ROUND(N574*'Methodology &amp; Assumptions'!$B$8, 0)</f>
        <v/>
      </c>
      <c r="P574" s="44" t="inlineStr">
        <is>
          <t>Band n50 (1.5 GHz, 60 MHz)</t>
        </is>
      </c>
      <c r="Q574" s="38">
        <f>ROUNDUP(O574/'Methodology &amp; Assumptions'!$B$9, 0)</f>
        <v/>
      </c>
      <c r="R574" s="39" t="n">
        <v>1</v>
      </c>
      <c r="S574" s="25" t="n">
        <v>2.57</v>
      </c>
      <c r="T574" s="25" t="n">
        <v>0.38</v>
      </c>
      <c r="U574" s="42" t="inlineStr">
        <is>
          <t>Tier 1B (Micro Drop, 1-3 km)</t>
        </is>
      </c>
      <c r="V574" s="24" t="n">
        <v>52.5</v>
      </c>
      <c r="W574" s="24" t="n">
        <v>100</v>
      </c>
      <c r="X574" s="24" t="n">
        <v>43</v>
      </c>
      <c r="Y574" s="45">
        <f>ROUND((V574*'Methodology &amp; Assumptions'!$B$6)+(W574*'Methodology &amp; Assumptions'!$B$5)+(X574*'Methodology &amp; Assumptions'!$B$7), 2)</f>
        <v/>
      </c>
    </row>
    <row r="575" ht="19" customHeight="1">
      <c r="A575" s="35" t="n">
        <v>571</v>
      </c>
      <c r="B575" s="35" t="n">
        <v>3571</v>
      </c>
      <c r="C575" s="36" t="inlineStr">
        <is>
          <t>0403424001</t>
        </is>
      </c>
      <c r="D575" s="36" t="inlineStr">
        <is>
          <t>Region IV-A (CALABARZON)</t>
        </is>
      </c>
      <c r="E575" s="36" t="inlineStr">
        <is>
          <t>Laguna</t>
        </is>
      </c>
      <c r="F575" s="36" t="inlineStr">
        <is>
          <t>City of San Pablo</t>
        </is>
      </c>
      <c r="G575" s="36" t="inlineStr">
        <is>
          <t>Bagong Bayan II-A</t>
        </is>
      </c>
      <c r="H575" s="37" t="n">
        <v>14.065249</v>
      </c>
      <c r="I575" s="37" t="n">
        <v>121.31421</v>
      </c>
      <c r="J575" s="8" t="inlineStr">
        <is>
          <t>U</t>
        </is>
      </c>
      <c r="K575" s="36" t="inlineStr">
        <is>
          <t>Class 1-3 / Urban</t>
        </is>
      </c>
      <c r="L575" s="18" t="n">
        <v>6471</v>
      </c>
      <c r="M575" s="20" t="n">
        <v>4.2</v>
      </c>
      <c r="N575" s="18">
        <f>ROUND(L575/M575, 0)</f>
        <v/>
      </c>
      <c r="O575" s="18">
        <f>ROUND(N575*'Methodology &amp; Assumptions'!$B$8, 0)</f>
        <v/>
      </c>
      <c r="P575" s="8" t="inlineStr">
        <is>
          <t>Band n50 (1.5 GHz, 60 MHz)</t>
        </is>
      </c>
      <c r="Q575" s="38">
        <f>ROUNDUP(O575/'Methodology &amp; Assumptions'!$B$9, 0)</f>
        <v/>
      </c>
      <c r="R575" s="39" t="n">
        <v>1</v>
      </c>
      <c r="S575" s="21" t="n">
        <v>1.77</v>
      </c>
      <c r="T575" s="21" t="n">
        <v>0.53</v>
      </c>
      <c r="U575" s="36" t="inlineStr">
        <is>
          <t>Tier 1B (Micro Drop, 1-3 km)</t>
        </is>
      </c>
      <c r="V575" s="20" t="n">
        <v>65.40000000000001</v>
      </c>
      <c r="W575" s="20" t="n">
        <v>100</v>
      </c>
      <c r="X575" s="20" t="n">
        <v>28</v>
      </c>
      <c r="Y575" s="40">
        <f>ROUND((V575*'Methodology &amp; Assumptions'!$B$6)+(W575*'Methodology &amp; Assumptions'!$B$5)+(X575*'Methodology &amp; Assumptions'!$B$7), 2)</f>
        <v/>
      </c>
    </row>
    <row r="576" ht="19" customHeight="1">
      <c r="A576" s="41" t="n">
        <v>572</v>
      </c>
      <c r="B576" s="41" t="n">
        <v>3572</v>
      </c>
      <c r="C576" s="42" t="inlineStr">
        <is>
          <t>0500518013</t>
        </is>
      </c>
      <c r="D576" s="42" t="inlineStr">
        <is>
          <t>Region V (Bicol Region)</t>
        </is>
      </c>
      <c r="E576" s="42" t="inlineStr">
        <is>
          <t>Albay</t>
        </is>
      </c>
      <c r="F576" s="42" t="inlineStr">
        <is>
          <t>Tiwi</t>
        </is>
      </c>
      <c r="G576" s="42" t="inlineStr">
        <is>
          <t>Libjo</t>
        </is>
      </c>
      <c r="H576" s="43" t="n">
        <v>13.461844</v>
      </c>
      <c r="I576" s="43" t="n">
        <v>123.673709</v>
      </c>
      <c r="J576" s="44" t="inlineStr">
        <is>
          <t>U</t>
        </is>
      </c>
      <c r="K576" s="42" t="inlineStr">
        <is>
          <t>Class 1-3 / Urban</t>
        </is>
      </c>
      <c r="L576" s="23" t="n">
        <v>3003</v>
      </c>
      <c r="M576" s="24" t="n">
        <v>4.67</v>
      </c>
      <c r="N576" s="23">
        <f>ROUND(L576/M576, 0)</f>
        <v/>
      </c>
      <c r="O576" s="23">
        <f>ROUND(N576*'Methodology &amp; Assumptions'!$B$8, 0)</f>
        <v/>
      </c>
      <c r="P576" s="44" t="inlineStr">
        <is>
          <t>Band n50 (1.5 GHz, 60 MHz)</t>
        </is>
      </c>
      <c r="Q576" s="38">
        <f>ROUNDUP(O576/'Methodology &amp; Assumptions'!$B$9, 0)</f>
        <v/>
      </c>
      <c r="R576" s="39" t="n">
        <v>1</v>
      </c>
      <c r="S576" s="25" t="n">
        <v>0.67</v>
      </c>
      <c r="T576" s="25" t="n">
        <v>0.14</v>
      </c>
      <c r="U576" s="42" t="inlineStr">
        <is>
          <t>Tier 1A (Direct Coloc, &lt;1 km)</t>
        </is>
      </c>
      <c r="V576" s="24" t="n">
        <v>89.90000000000001</v>
      </c>
      <c r="W576" s="24" t="n">
        <v>75.5</v>
      </c>
      <c r="X576" s="24" t="n">
        <v>28</v>
      </c>
      <c r="Y576" s="45">
        <f>ROUND((V576*'Methodology &amp; Assumptions'!$B$6)+(W576*'Methodology &amp; Assumptions'!$B$5)+(X576*'Methodology &amp; Assumptions'!$B$7), 2)</f>
        <v/>
      </c>
    </row>
    <row r="577" ht="19" customHeight="1">
      <c r="A577" s="35" t="n">
        <v>573</v>
      </c>
      <c r="B577" s="35" t="n">
        <v>3573</v>
      </c>
      <c r="C577" s="36" t="inlineStr">
        <is>
          <t>1630400049</t>
        </is>
      </c>
      <c r="D577" s="36" t="inlineStr">
        <is>
          <t>Region XIII (Caraga)</t>
        </is>
      </c>
      <c r="E577" s="36" t="inlineStr">
        <is>
          <t>Agusan del Norte</t>
        </is>
      </c>
      <c r="F577" s="36" t="inlineStr">
        <is>
          <t>City of Butuan</t>
        </is>
      </c>
      <c r="G577" s="36" t="inlineStr">
        <is>
          <t>Kinamlutan</t>
        </is>
      </c>
      <c r="H577" s="37" t="n">
        <v>8.916954</v>
      </c>
      <c r="I577" s="37" t="n">
        <v>125.522224</v>
      </c>
      <c r="J577" s="8" t="inlineStr">
        <is>
          <t>R</t>
        </is>
      </c>
      <c r="K577" s="36" t="inlineStr">
        <is>
          <t>Class 1-3 / Urban</t>
        </is>
      </c>
      <c r="L577" s="18" t="n">
        <v>3690</v>
      </c>
      <c r="M577" s="20" t="n">
        <v>4.63</v>
      </c>
      <c r="N577" s="18">
        <f>ROUND(L577/M577, 0)</f>
        <v/>
      </c>
      <c r="O577" s="18">
        <f>ROUND(N577*'Methodology &amp; Assumptions'!$B$8, 0)</f>
        <v/>
      </c>
      <c r="P577" s="8" t="inlineStr">
        <is>
          <t>Band n50 (1.5 GHz, 60 MHz)</t>
        </is>
      </c>
      <c r="Q577" s="38">
        <f>ROUNDUP(O577/'Methodology &amp; Assumptions'!$B$9, 0)</f>
        <v/>
      </c>
      <c r="R577" s="39" t="n">
        <v>1</v>
      </c>
      <c r="S577" s="21" t="n">
        <v>3.71</v>
      </c>
      <c r="T577" s="21" t="n">
        <v>0.66</v>
      </c>
      <c r="U577" s="36" t="inlineStr">
        <is>
          <t>Tier 2 (Fiber Corridor / Lateral, 3-5 km)</t>
        </is>
      </c>
      <c r="V577" s="20" t="n">
        <v>39.1</v>
      </c>
      <c r="W577" s="20" t="n">
        <v>87.7</v>
      </c>
      <c r="X577" s="20" t="n">
        <v>73</v>
      </c>
      <c r="Y577" s="40">
        <f>ROUND((V577*'Methodology &amp; Assumptions'!$B$6)+(W577*'Methodology &amp; Assumptions'!$B$5)+(X577*'Methodology &amp; Assumptions'!$B$7), 2)</f>
        <v/>
      </c>
    </row>
    <row r="578" ht="19" customHeight="1">
      <c r="A578" s="41" t="n">
        <v>574</v>
      </c>
      <c r="B578" s="41" t="n">
        <v>3574</v>
      </c>
      <c r="C578" s="42" t="inlineStr">
        <is>
          <t>0501732012</t>
        </is>
      </c>
      <c r="D578" s="42" t="inlineStr">
        <is>
          <t>Region V (Bicol Region)</t>
        </is>
      </c>
      <c r="E578" s="42" t="inlineStr">
        <is>
          <t>Camarines Sur</t>
        </is>
      </c>
      <c r="F578" s="42" t="inlineStr">
        <is>
          <t>San Fernando</t>
        </is>
      </c>
      <c r="G578" s="42" t="inlineStr">
        <is>
          <t>Grijalvo</t>
        </is>
      </c>
      <c r="H578" s="43" t="n">
        <v>13.550616</v>
      </c>
      <c r="I578" s="43" t="n">
        <v>123.13429</v>
      </c>
      <c r="J578" s="44" t="inlineStr">
        <is>
          <t>R</t>
        </is>
      </c>
      <c r="K578" s="42" t="inlineStr">
        <is>
          <t>2nd</t>
        </is>
      </c>
      <c r="L578" s="23" t="n">
        <v>2462</v>
      </c>
      <c r="M578" s="24" t="n">
        <v>4.84</v>
      </c>
      <c r="N578" s="23">
        <f>ROUND(L578/M578, 0)</f>
        <v/>
      </c>
      <c r="O578" s="23">
        <f>ROUND(N578*'Methodology &amp; Assumptions'!$B$8, 0)</f>
        <v/>
      </c>
      <c r="P578" s="44" t="inlineStr">
        <is>
          <t>Band n50 (1.5 GHz, 60 MHz)</t>
        </is>
      </c>
      <c r="Q578" s="38">
        <f>ROUNDUP(O578/'Methodology &amp; Assumptions'!$B$9, 0)</f>
        <v/>
      </c>
      <c r="R578" s="39" t="n">
        <v>1</v>
      </c>
      <c r="S578" s="25" t="n">
        <v>1.3</v>
      </c>
      <c r="T578" s="25" t="n">
        <v>1.04</v>
      </c>
      <c r="U578" s="42" t="inlineStr">
        <is>
          <t>Tier 1B (Micro Drop, 1-3 km)</t>
        </is>
      </c>
      <c r="V578" s="24" t="n">
        <v>74.8</v>
      </c>
      <c r="W578" s="24" t="n">
        <v>64.8</v>
      </c>
      <c r="X578" s="24" t="n">
        <v>58</v>
      </c>
      <c r="Y578" s="45">
        <f>ROUND((V578*'Methodology &amp; Assumptions'!$B$6)+(W578*'Methodology &amp; Assumptions'!$B$5)+(X578*'Methodology &amp; Assumptions'!$B$7), 2)</f>
        <v/>
      </c>
    </row>
    <row r="579" ht="19" customHeight="1">
      <c r="A579" s="35" t="n">
        <v>575</v>
      </c>
      <c r="B579" s="35" t="n">
        <v>3575</v>
      </c>
      <c r="C579" s="36" t="inlineStr">
        <is>
          <t>0105543020</t>
        </is>
      </c>
      <c r="D579" s="36" t="inlineStr">
        <is>
          <t>Region I (Ilocos Region)</t>
        </is>
      </c>
      <c r="E579" s="36" t="inlineStr">
        <is>
          <t>Pangasinan</t>
        </is>
      </c>
      <c r="F579" s="36" t="inlineStr">
        <is>
          <t>Tayug</t>
        </is>
      </c>
      <c r="G579" s="36" t="inlineStr">
        <is>
          <t>Santo Domingo</t>
        </is>
      </c>
      <c r="H579" s="37" t="n">
        <v>15.95704</v>
      </c>
      <c r="I579" s="37" t="n">
        <v>120.56693</v>
      </c>
      <c r="J579" s="8" t="inlineStr">
        <is>
          <t>R</t>
        </is>
      </c>
      <c r="K579" s="36" t="inlineStr">
        <is>
          <t>Class 1-3 / Urban</t>
        </is>
      </c>
      <c r="L579" s="18" t="n">
        <v>1664</v>
      </c>
      <c r="M579" s="20" t="n">
        <v>4.39</v>
      </c>
      <c r="N579" s="18">
        <f>ROUND(L579/M579, 0)</f>
        <v/>
      </c>
      <c r="O579" s="18">
        <f>ROUND(N579*'Methodology &amp; Assumptions'!$B$8, 0)</f>
        <v/>
      </c>
      <c r="P579" s="8" t="inlineStr">
        <is>
          <t>Band n50 (1.5 GHz, 60 MHz)</t>
        </is>
      </c>
      <c r="Q579" s="38">
        <f>ROUNDUP(O579/'Methodology &amp; Assumptions'!$B$9, 0)</f>
        <v/>
      </c>
      <c r="R579" s="39" t="n">
        <v>1</v>
      </c>
      <c r="S579" s="21" t="n">
        <v>0.85</v>
      </c>
      <c r="T579" s="21" t="n">
        <v>0.84</v>
      </c>
      <c r="U579" s="36" t="inlineStr">
        <is>
          <t>Tier 1A (Direct Coloc, &lt;1 km)</t>
        </is>
      </c>
      <c r="V579" s="20" t="n">
        <v>85.2</v>
      </c>
      <c r="W579" s="20" t="n">
        <v>54.4</v>
      </c>
      <c r="X579" s="20" t="n">
        <v>58</v>
      </c>
      <c r="Y579" s="40">
        <f>ROUND((V579*'Methodology &amp; Assumptions'!$B$6)+(W579*'Methodology &amp; Assumptions'!$B$5)+(X579*'Methodology &amp; Assumptions'!$B$7), 2)</f>
        <v/>
      </c>
    </row>
    <row r="580" ht="19" customHeight="1">
      <c r="A580" s="41" t="n">
        <v>576</v>
      </c>
      <c r="B580" s="41" t="n">
        <v>3576</v>
      </c>
      <c r="C580" s="42" t="inlineStr">
        <is>
          <t>0405603007</t>
        </is>
      </c>
      <c r="D580" s="42" t="inlineStr">
        <is>
          <t>Region IV-A (CALABARZON)</t>
        </is>
      </c>
      <c r="E580" s="42" t="inlineStr">
        <is>
          <t>Quezon</t>
        </is>
      </c>
      <c r="F580" s="42" t="inlineStr">
        <is>
          <t>Atimonan</t>
        </is>
      </c>
      <c r="G580" s="42" t="inlineStr">
        <is>
          <t>Barangay Zone 4</t>
        </is>
      </c>
      <c r="H580" s="43" t="n">
        <v>14.00397</v>
      </c>
      <c r="I580" s="43" t="n">
        <v>121.921126</v>
      </c>
      <c r="J580" s="44" t="inlineStr">
        <is>
          <t>U</t>
        </is>
      </c>
      <c r="K580" s="42" t="inlineStr">
        <is>
          <t>Class 1-3 / Urban</t>
        </is>
      </c>
      <c r="L580" s="23" t="n">
        <v>2719</v>
      </c>
      <c r="M580" s="24" t="n">
        <v>4.46</v>
      </c>
      <c r="N580" s="23">
        <f>ROUND(L580/M580, 0)</f>
        <v/>
      </c>
      <c r="O580" s="23">
        <f>ROUND(N580*'Methodology &amp; Assumptions'!$B$8, 0)</f>
        <v/>
      </c>
      <c r="P580" s="44" t="inlineStr">
        <is>
          <t>Band n50 (1.5 GHz, 60 MHz)</t>
        </is>
      </c>
      <c r="Q580" s="38">
        <f>ROUNDUP(O580/'Methodology &amp; Assumptions'!$B$9, 0)</f>
        <v/>
      </c>
      <c r="R580" s="39" t="n">
        <v>1</v>
      </c>
      <c r="S580" s="25" t="n">
        <v>0.58</v>
      </c>
      <c r="T580" s="25" t="n">
        <v>0.53</v>
      </c>
      <c r="U580" s="42" t="inlineStr">
        <is>
          <t>Tier 1A (Direct Coloc, &lt;1 km)</t>
        </is>
      </c>
      <c r="V580" s="24" t="n">
        <v>92.5</v>
      </c>
      <c r="W580" s="24" t="n">
        <v>72.8</v>
      </c>
      <c r="X580" s="24" t="n">
        <v>28</v>
      </c>
      <c r="Y580" s="45">
        <f>ROUND((V580*'Methodology &amp; Assumptions'!$B$6)+(W580*'Methodology &amp; Assumptions'!$B$5)+(X580*'Methodology &amp; Assumptions'!$B$7), 2)</f>
        <v/>
      </c>
    </row>
    <row r="581" ht="19" customHeight="1">
      <c r="A581" s="35" t="n">
        <v>577</v>
      </c>
      <c r="B581" s="35" t="n">
        <v>3577</v>
      </c>
      <c r="C581" s="36" t="inlineStr">
        <is>
          <t>0300812011</t>
        </is>
      </c>
      <c r="D581" s="36" t="inlineStr">
        <is>
          <t>Region III (Central Luzon)</t>
        </is>
      </c>
      <c r="E581" s="36" t="inlineStr">
        <is>
          <t>Bataan</t>
        </is>
      </c>
      <c r="F581" s="36" t="inlineStr">
        <is>
          <t>Samal</t>
        </is>
      </c>
      <c r="G581" s="36" t="inlineStr">
        <is>
          <t>Sapa</t>
        </is>
      </c>
      <c r="H581" s="37" t="n">
        <v>14.754357</v>
      </c>
      <c r="I581" s="37" t="n">
        <v>120.543207</v>
      </c>
      <c r="J581" s="8" t="inlineStr">
        <is>
          <t>R</t>
        </is>
      </c>
      <c r="K581" s="36" t="inlineStr">
        <is>
          <t>2nd</t>
        </is>
      </c>
      <c r="L581" s="18" t="n">
        <v>4638</v>
      </c>
      <c r="M581" s="20" t="n">
        <v>4.57</v>
      </c>
      <c r="N581" s="18">
        <f>ROUND(L581/M581, 0)</f>
        <v/>
      </c>
      <c r="O581" s="18">
        <f>ROUND(N581*'Methodology &amp; Assumptions'!$B$8, 0)</f>
        <v/>
      </c>
      <c r="P581" s="8" t="inlineStr">
        <is>
          <t>Band n50 (1.5 GHz, 60 MHz)</t>
        </is>
      </c>
      <c r="Q581" s="38">
        <f>ROUNDUP(O581/'Methodology &amp; Assumptions'!$B$9, 0)</f>
        <v/>
      </c>
      <c r="R581" s="39" t="n">
        <v>1</v>
      </c>
      <c r="S581" s="21" t="n">
        <v>5.36</v>
      </c>
      <c r="T581" s="21" t="n">
        <v>0.05</v>
      </c>
      <c r="U581" s="36" t="inlineStr">
        <is>
          <t>Tier 2 (Fiber Corridor / Lateral, 3-5 km)</t>
        </is>
      </c>
      <c r="V581" s="20" t="n">
        <v>26.7</v>
      </c>
      <c r="W581" s="20" t="n">
        <v>100</v>
      </c>
      <c r="X581" s="20" t="n">
        <v>73</v>
      </c>
      <c r="Y581" s="40">
        <f>ROUND((V581*'Methodology &amp; Assumptions'!$B$6)+(W581*'Methodology &amp; Assumptions'!$B$5)+(X581*'Methodology &amp; Assumptions'!$B$7), 2)</f>
        <v/>
      </c>
    </row>
    <row r="582" ht="19" customHeight="1">
      <c r="A582" s="41" t="n">
        <v>578</v>
      </c>
      <c r="B582" s="41" t="n">
        <v>3578</v>
      </c>
      <c r="C582" s="42" t="inlineStr">
        <is>
          <t>0806417026</t>
        </is>
      </c>
      <c r="D582" s="42" t="inlineStr">
        <is>
          <t>Region VIII (Eastern Visayas)</t>
        </is>
      </c>
      <c r="E582" s="42" t="inlineStr">
        <is>
          <t>Southern Leyte</t>
        </is>
      </c>
      <c r="F582" s="42" t="inlineStr">
        <is>
          <t>Sogod</t>
        </is>
      </c>
      <c r="G582" s="42" t="inlineStr">
        <is>
          <t>Pandan</t>
        </is>
      </c>
      <c r="H582" s="43" t="n">
        <v>10.398528</v>
      </c>
      <c r="I582" s="43" t="n">
        <v>124.981058</v>
      </c>
      <c r="J582" s="44" t="inlineStr">
        <is>
          <t>R</t>
        </is>
      </c>
      <c r="K582" s="42" t="inlineStr">
        <is>
          <t>Class 1-3 / Urban</t>
        </is>
      </c>
      <c r="L582" s="23" t="n">
        <v>1684</v>
      </c>
      <c r="M582" s="24" t="n">
        <v>4.53</v>
      </c>
      <c r="N582" s="23">
        <f>ROUND(L582/M582, 0)</f>
        <v/>
      </c>
      <c r="O582" s="23">
        <f>ROUND(N582*'Methodology &amp; Assumptions'!$B$8, 0)</f>
        <v/>
      </c>
      <c r="P582" s="44" t="inlineStr">
        <is>
          <t>Band n50 (1.5 GHz, 60 MHz)</t>
        </is>
      </c>
      <c r="Q582" s="38">
        <f>ROUNDUP(O582/'Methodology &amp; Assumptions'!$B$9, 0)</f>
        <v/>
      </c>
      <c r="R582" s="39" t="n">
        <v>1</v>
      </c>
      <c r="S582" s="25" t="n">
        <v>1.39</v>
      </c>
      <c r="T582" s="25" t="n">
        <v>0.5</v>
      </c>
      <c r="U582" s="42" t="inlineStr">
        <is>
          <t>Tier 1B (Micro Drop, 1-3 km)</t>
        </is>
      </c>
      <c r="V582" s="24" t="n">
        <v>72.90000000000001</v>
      </c>
      <c r="W582" s="24" t="n">
        <v>53.9</v>
      </c>
      <c r="X582" s="24" t="n">
        <v>73</v>
      </c>
      <c r="Y582" s="45">
        <f>ROUND((V582*'Methodology &amp; Assumptions'!$B$6)+(W582*'Methodology &amp; Assumptions'!$B$5)+(X582*'Methodology &amp; Assumptions'!$B$7), 2)</f>
        <v/>
      </c>
    </row>
    <row r="583" ht="19" customHeight="1">
      <c r="A583" s="35" t="n">
        <v>579</v>
      </c>
      <c r="B583" s="35" t="n">
        <v>3579</v>
      </c>
      <c r="C583" s="36" t="inlineStr">
        <is>
          <t>1705208043</t>
        </is>
      </c>
      <c r="D583" s="36" t="inlineStr">
        <is>
          <t>MIMAROPA Region</t>
        </is>
      </c>
      <c r="E583" s="36" t="inlineStr">
        <is>
          <t>Oriental Mindoro</t>
        </is>
      </c>
      <c r="F583" s="36" t="inlineStr">
        <is>
          <t>Naujan</t>
        </is>
      </c>
      <c r="G583" s="36" t="inlineStr">
        <is>
          <t>Pinagsabangan I</t>
        </is>
      </c>
      <c r="H583" s="37" t="n">
        <v>13.25232</v>
      </c>
      <c r="I583" s="37" t="n">
        <v>121.26846</v>
      </c>
      <c r="J583" s="8" t="inlineStr">
        <is>
          <t>R</t>
        </is>
      </c>
      <c r="K583" s="36" t="inlineStr">
        <is>
          <t>Class 1-3 / Urban</t>
        </is>
      </c>
      <c r="L583" s="18" t="n">
        <v>2592</v>
      </c>
      <c r="M583" s="20" t="n">
        <v>4.41</v>
      </c>
      <c r="N583" s="18">
        <f>ROUND(L583/M583, 0)</f>
        <v/>
      </c>
      <c r="O583" s="18">
        <f>ROUND(N583*'Methodology &amp; Assumptions'!$B$8, 0)</f>
        <v/>
      </c>
      <c r="P583" s="8" t="inlineStr">
        <is>
          <t>Band n50 (1.5 GHz, 60 MHz)</t>
        </is>
      </c>
      <c r="Q583" s="38">
        <f>ROUNDUP(O583/'Methodology &amp; Assumptions'!$B$9, 0)</f>
        <v/>
      </c>
      <c r="R583" s="39" t="n">
        <v>1</v>
      </c>
      <c r="S583" s="21" t="n">
        <v>1.4</v>
      </c>
      <c r="T583" s="21" t="n">
        <v>0.12</v>
      </c>
      <c r="U583" s="36" t="inlineStr">
        <is>
          <t>Tier 1B (Micro Drop, 1-3 km)</t>
        </is>
      </c>
      <c r="V583" s="20" t="n">
        <v>72.7</v>
      </c>
      <c r="W583" s="20" t="n">
        <v>66.90000000000001</v>
      </c>
      <c r="X583" s="20" t="n">
        <v>58</v>
      </c>
      <c r="Y583" s="40">
        <f>ROUND((V583*'Methodology &amp; Assumptions'!$B$6)+(W583*'Methodology &amp; Assumptions'!$B$5)+(X583*'Methodology &amp; Assumptions'!$B$7), 2)</f>
        <v/>
      </c>
    </row>
    <row r="584" ht="19" customHeight="1">
      <c r="A584" s="41" t="n">
        <v>580</v>
      </c>
      <c r="B584" s="41" t="n">
        <v>3580</v>
      </c>
      <c r="C584" s="42" t="inlineStr">
        <is>
          <t>0402102019</t>
        </is>
      </c>
      <c r="D584" s="42" t="inlineStr">
        <is>
          <t>Region IV-A (CALABARZON)</t>
        </is>
      </c>
      <c r="E584" s="42" t="inlineStr">
        <is>
          <t>Cavite</t>
        </is>
      </c>
      <c r="F584" s="42" t="inlineStr">
        <is>
          <t>Amadeo</t>
        </is>
      </c>
      <c r="G584" s="42" t="inlineStr">
        <is>
          <t>Barangay VI</t>
        </is>
      </c>
      <c r="H584" s="43" t="n">
        <v>14.169787</v>
      </c>
      <c r="I584" s="43" t="n">
        <v>120.924234</v>
      </c>
      <c r="J584" s="44" t="inlineStr">
        <is>
          <t>R</t>
        </is>
      </c>
      <c r="K584" s="42" t="inlineStr">
        <is>
          <t>2nd</t>
        </is>
      </c>
      <c r="L584" s="23" t="n">
        <v>908</v>
      </c>
      <c r="M584" s="24" t="n">
        <v>4.23</v>
      </c>
      <c r="N584" s="23">
        <f>ROUND(L584/M584, 0)</f>
        <v/>
      </c>
      <c r="O584" s="23">
        <f>ROUND(N584*'Methodology &amp; Assumptions'!$B$8, 0)</f>
        <v/>
      </c>
      <c r="P584" s="44" t="inlineStr">
        <is>
          <t>Band n50 (1.5 GHz, 60 MHz)</t>
        </is>
      </c>
      <c r="Q584" s="38">
        <f>ROUNDUP(O584/'Methodology &amp; Assumptions'!$B$9, 0)</f>
        <v/>
      </c>
      <c r="R584" s="39" t="n">
        <v>1</v>
      </c>
      <c r="S584" s="25" t="n">
        <v>0.04</v>
      </c>
      <c r="T584" s="25" t="n">
        <v>3.75</v>
      </c>
      <c r="U584" s="42" t="inlineStr">
        <is>
          <t>Tier 1A (Direct Coloc, &lt;1 km)</t>
        </is>
      </c>
      <c r="V584" s="24" t="n">
        <v>98.5</v>
      </c>
      <c r="W584" s="24" t="n">
        <v>41.1</v>
      </c>
      <c r="X584" s="24" t="n">
        <v>58</v>
      </c>
      <c r="Y584" s="45">
        <f>ROUND((V584*'Methodology &amp; Assumptions'!$B$6)+(W584*'Methodology &amp; Assumptions'!$B$5)+(X584*'Methodology &amp; Assumptions'!$B$7), 2)</f>
        <v/>
      </c>
    </row>
    <row r="585" ht="19" customHeight="1">
      <c r="A585" s="35" t="n">
        <v>581</v>
      </c>
      <c r="B585" s="35" t="n">
        <v>3581</v>
      </c>
      <c r="C585" s="36" t="inlineStr">
        <is>
          <t>0300804002</t>
        </is>
      </c>
      <c r="D585" s="36" t="inlineStr">
        <is>
          <t>Region III (Central Luzon)</t>
        </is>
      </c>
      <c r="E585" s="36" t="inlineStr">
        <is>
          <t>Bataan</t>
        </is>
      </c>
      <c r="F585" s="36" t="inlineStr">
        <is>
          <t>Dinalupihan</t>
        </is>
      </c>
      <c r="G585" s="36" t="inlineStr">
        <is>
          <t>Bangal</t>
        </is>
      </c>
      <c r="H585" s="37" t="n">
        <v>14.845304</v>
      </c>
      <c r="I585" s="37" t="n">
        <v>120.339624</v>
      </c>
      <c r="J585" s="8" t="inlineStr">
        <is>
          <t>U</t>
        </is>
      </c>
      <c r="K585" s="36" t="inlineStr">
        <is>
          <t>Class 1-3 / Urban</t>
        </is>
      </c>
      <c r="L585" s="18" t="n">
        <v>5053</v>
      </c>
      <c r="M585" s="20" t="n">
        <v>4.57</v>
      </c>
      <c r="N585" s="18">
        <f>ROUND(L585/M585, 0)</f>
        <v/>
      </c>
      <c r="O585" s="18">
        <f>ROUND(N585*'Methodology &amp; Assumptions'!$B$8, 0)</f>
        <v/>
      </c>
      <c r="P585" s="8" t="inlineStr">
        <is>
          <t>Band n50 (1.5 GHz, 60 MHz)</t>
        </is>
      </c>
      <c r="Q585" s="38">
        <f>ROUNDUP(O585/'Methodology &amp; Assumptions'!$B$9, 0)</f>
        <v/>
      </c>
      <c r="R585" s="39" t="n">
        <v>1</v>
      </c>
      <c r="S585" s="21" t="n">
        <v>1.78</v>
      </c>
      <c r="T585" s="21" t="n">
        <v>0.18</v>
      </c>
      <c r="U585" s="36" t="inlineStr">
        <is>
          <t>Tier 1B (Micro Drop, 1-3 km)</t>
        </is>
      </c>
      <c r="V585" s="20" t="n">
        <v>65.3</v>
      </c>
      <c r="W585" s="20" t="n">
        <v>100</v>
      </c>
      <c r="X585" s="20" t="n">
        <v>28</v>
      </c>
      <c r="Y585" s="40">
        <f>ROUND((V585*'Methodology &amp; Assumptions'!$B$6)+(W585*'Methodology &amp; Assumptions'!$B$5)+(X585*'Methodology &amp; Assumptions'!$B$7), 2)</f>
        <v/>
      </c>
    </row>
    <row r="586" ht="19" customHeight="1">
      <c r="A586" s="41" t="n">
        <v>582</v>
      </c>
      <c r="B586" s="41" t="n">
        <v>3582</v>
      </c>
      <c r="C586" s="42" t="inlineStr">
        <is>
          <t>0401002019</t>
        </is>
      </c>
      <c r="D586" s="42" t="inlineStr">
        <is>
          <t>Region IV-A (CALABARZON)</t>
        </is>
      </c>
      <c r="E586" s="42" t="inlineStr">
        <is>
          <t>Batangas</t>
        </is>
      </c>
      <c r="F586" s="42" t="inlineStr">
        <is>
          <t>Alitagtag</t>
        </is>
      </c>
      <c r="G586" s="42" t="inlineStr">
        <is>
          <t>Santa Cruz</t>
        </is>
      </c>
      <c r="H586" s="43" t="n">
        <v>13.863851</v>
      </c>
      <c r="I586" s="43" t="n">
        <v>120.994372</v>
      </c>
      <c r="J586" s="44" t="inlineStr">
        <is>
          <t>R</t>
        </is>
      </c>
      <c r="K586" s="42" t="inlineStr">
        <is>
          <t>4th</t>
        </is>
      </c>
      <c r="L586" s="23" t="n">
        <v>1351</v>
      </c>
      <c r="M586" s="24" t="n">
        <v>4.55</v>
      </c>
      <c r="N586" s="23">
        <f>ROUND(L586/M586, 0)</f>
        <v/>
      </c>
      <c r="O586" s="23">
        <f>ROUND(N586*'Methodology &amp; Assumptions'!$B$8, 0)</f>
        <v/>
      </c>
      <c r="P586" s="44" t="inlineStr">
        <is>
          <t>Band n50 (1.5 GHz, 60 MHz)</t>
        </is>
      </c>
      <c r="Q586" s="38">
        <f>ROUNDUP(O586/'Methodology &amp; Assumptions'!$B$9, 0)</f>
        <v/>
      </c>
      <c r="R586" s="39" t="n">
        <v>1</v>
      </c>
      <c r="S586" s="25" t="n">
        <v>0.95</v>
      </c>
      <c r="T586" s="25" t="n">
        <v>0.18</v>
      </c>
      <c r="U586" s="42" t="inlineStr">
        <is>
          <t>Tier 1A (Direct Coloc, &lt;1 km)</t>
        </is>
      </c>
      <c r="V586" s="24" t="n">
        <v>82.8</v>
      </c>
      <c r="W586" s="24" t="n">
        <v>47.7</v>
      </c>
      <c r="X586" s="24" t="n">
        <v>68.5</v>
      </c>
      <c r="Y586" s="45">
        <f>ROUND((V586*'Methodology &amp; Assumptions'!$B$6)+(W586*'Methodology &amp; Assumptions'!$B$5)+(X586*'Methodology &amp; Assumptions'!$B$7), 2)</f>
        <v/>
      </c>
    </row>
    <row r="587" ht="19" customHeight="1">
      <c r="A587" s="35" t="n">
        <v>583</v>
      </c>
      <c r="B587" s="35" t="n">
        <v>3583</v>
      </c>
      <c r="C587" s="36" t="inlineStr">
        <is>
          <t>0603005016</t>
        </is>
      </c>
      <c r="D587" s="36" t="inlineStr">
        <is>
          <t>Region VI (Western Visayas)</t>
        </is>
      </c>
      <c r="E587" s="36" t="inlineStr">
        <is>
          <t>Iloilo</t>
        </is>
      </c>
      <c r="F587" s="36" t="inlineStr">
        <is>
          <t>Balasan</t>
        </is>
      </c>
      <c r="G587" s="36" t="inlineStr">
        <is>
          <t>Pani-an</t>
        </is>
      </c>
      <c r="H587" s="37" t="n">
        <v>11.466278</v>
      </c>
      <c r="I587" s="37" t="n">
        <v>123.118664</v>
      </c>
      <c r="J587" s="8" t="inlineStr">
        <is>
          <t>R</t>
        </is>
      </c>
      <c r="K587" s="36" t="inlineStr">
        <is>
          <t>2nd</t>
        </is>
      </c>
      <c r="L587" s="18" t="n">
        <v>2015</v>
      </c>
      <c r="M587" s="20" t="n">
        <v>4.09</v>
      </c>
      <c r="N587" s="18">
        <f>ROUND(L587/M587, 0)</f>
        <v/>
      </c>
      <c r="O587" s="18">
        <f>ROUND(N587*'Methodology &amp; Assumptions'!$B$8, 0)</f>
        <v/>
      </c>
      <c r="P587" s="8" t="inlineStr">
        <is>
          <t>Band n50 (1.5 GHz, 60 MHz)</t>
        </is>
      </c>
      <c r="Q587" s="38">
        <f>ROUNDUP(O587/'Methodology &amp; Assumptions'!$B$9, 0)</f>
        <v/>
      </c>
      <c r="R587" s="39" t="n">
        <v>1</v>
      </c>
      <c r="S587" s="21" t="n">
        <v>1.24</v>
      </c>
      <c r="T587" s="21" t="n">
        <v>0.86</v>
      </c>
      <c r="U587" s="36" t="inlineStr">
        <is>
          <t>Tier 1B (Micro Drop, 1-3 km)</t>
        </is>
      </c>
      <c r="V587" s="20" t="n">
        <v>76.09999999999999</v>
      </c>
      <c r="W587" s="20" t="n">
        <v>63.5</v>
      </c>
      <c r="X587" s="20" t="n">
        <v>58</v>
      </c>
      <c r="Y587" s="40">
        <f>ROUND((V587*'Methodology &amp; Assumptions'!$B$6)+(W587*'Methodology &amp; Assumptions'!$B$5)+(X587*'Methodology &amp; Assumptions'!$B$7), 2)</f>
        <v/>
      </c>
    </row>
    <row r="588" ht="19" customHeight="1">
      <c r="A588" s="41" t="n">
        <v>584</v>
      </c>
      <c r="B588" s="41" t="n">
        <v>3584</v>
      </c>
      <c r="C588" s="42" t="inlineStr">
        <is>
          <t>0501701023</t>
        </is>
      </c>
      <c r="D588" s="42" t="inlineStr">
        <is>
          <t>Region V (Bicol Region)</t>
        </is>
      </c>
      <c r="E588" s="42" t="inlineStr">
        <is>
          <t>Camarines Sur</t>
        </is>
      </c>
      <c r="F588" s="42" t="inlineStr">
        <is>
          <t>Baao</t>
        </is>
      </c>
      <c r="G588" s="42" t="inlineStr">
        <is>
          <t>San Roque</t>
        </is>
      </c>
      <c r="H588" s="43" t="n">
        <v>13.4531</v>
      </c>
      <c r="I588" s="43" t="n">
        <v>123.3653</v>
      </c>
      <c r="J588" s="44" t="inlineStr">
        <is>
          <t>R</t>
        </is>
      </c>
      <c r="K588" s="42" t="inlineStr">
        <is>
          <t>Class 1-3 / Urban</t>
        </is>
      </c>
      <c r="L588" s="23" t="n">
        <v>1002</v>
      </c>
      <c r="M588" s="24" t="n">
        <v>4.9</v>
      </c>
      <c r="N588" s="23">
        <f>ROUND(L588/M588, 0)</f>
        <v/>
      </c>
      <c r="O588" s="23">
        <f>ROUND(N588*'Methodology &amp; Assumptions'!$B$8, 0)</f>
        <v/>
      </c>
      <c r="P588" s="44" t="inlineStr">
        <is>
          <t>Band n50 (1.5 GHz, 60 MHz)</t>
        </is>
      </c>
      <c r="Q588" s="38">
        <f>ROUNDUP(O588/'Methodology &amp; Assumptions'!$B$9, 0)</f>
        <v/>
      </c>
      <c r="R588" s="39" t="n">
        <v>1</v>
      </c>
      <c r="S588" s="25" t="n">
        <v>0.34</v>
      </c>
      <c r="T588" s="25" t="n">
        <v>0.21</v>
      </c>
      <c r="U588" s="42" t="inlineStr">
        <is>
          <t>Tier 1A (Direct Coloc, &lt;1 km)</t>
        </is>
      </c>
      <c r="V588" s="24" t="n">
        <v>99.3</v>
      </c>
      <c r="W588" s="24" t="n">
        <v>40.3</v>
      </c>
      <c r="X588" s="24" t="n">
        <v>58</v>
      </c>
      <c r="Y588" s="45">
        <f>ROUND((V588*'Methodology &amp; Assumptions'!$B$6)+(W588*'Methodology &amp; Assumptions'!$B$5)+(X588*'Methodology &amp; Assumptions'!$B$7), 2)</f>
        <v/>
      </c>
    </row>
    <row r="589" ht="19" customHeight="1">
      <c r="A589" s="35" t="n">
        <v>585</v>
      </c>
      <c r="B589" s="35" t="n">
        <v>3585</v>
      </c>
      <c r="C589" s="36" t="inlineStr">
        <is>
          <t>0405648004</t>
        </is>
      </c>
      <c r="D589" s="36" t="inlineStr">
        <is>
          <t>Region IV-A (CALABARZON)</t>
        </is>
      </c>
      <c r="E589" s="36" t="inlineStr">
        <is>
          <t>Quezon</t>
        </is>
      </c>
      <c r="F589" s="36" t="inlineStr">
        <is>
          <t>Tiaong</t>
        </is>
      </c>
      <c r="G589" s="36" t="inlineStr">
        <is>
          <t>Barangay II</t>
        </is>
      </c>
      <c r="H589" s="37" t="n">
        <v>13.965001</v>
      </c>
      <c r="I589" s="37" t="n">
        <v>121.32322</v>
      </c>
      <c r="J589" s="8" t="inlineStr">
        <is>
          <t>R</t>
        </is>
      </c>
      <c r="K589" s="36" t="inlineStr">
        <is>
          <t>Class 1-3 / Urban</t>
        </is>
      </c>
      <c r="L589" s="18" t="n">
        <v>979</v>
      </c>
      <c r="M589" s="20" t="n">
        <v>4.46</v>
      </c>
      <c r="N589" s="18">
        <f>ROUND(L589/M589, 0)</f>
        <v/>
      </c>
      <c r="O589" s="18">
        <f>ROUND(N589*'Methodology &amp; Assumptions'!$B$8, 0)</f>
        <v/>
      </c>
      <c r="P589" s="8" t="inlineStr">
        <is>
          <t>Band n50 (1.5 GHz, 60 MHz)</t>
        </is>
      </c>
      <c r="Q589" s="38">
        <f>ROUNDUP(O589/'Methodology &amp; Assumptions'!$B$9, 0)</f>
        <v/>
      </c>
      <c r="R589" s="39" t="n">
        <v>1</v>
      </c>
      <c r="S589" s="21" t="n">
        <v>0.38</v>
      </c>
      <c r="T589" s="21" t="n">
        <v>0.18</v>
      </c>
      <c r="U589" s="36" t="inlineStr">
        <is>
          <t>Tier 1A (Direct Coloc, &lt;1 km)</t>
        </is>
      </c>
      <c r="V589" s="20" t="n">
        <v>98</v>
      </c>
      <c r="W589" s="20" t="n">
        <v>41.6</v>
      </c>
      <c r="X589" s="20" t="n">
        <v>58</v>
      </c>
      <c r="Y589" s="40">
        <f>ROUND((V589*'Methodology &amp; Assumptions'!$B$6)+(W589*'Methodology &amp; Assumptions'!$B$5)+(X589*'Methodology &amp; Assumptions'!$B$7), 2)</f>
        <v/>
      </c>
    </row>
    <row r="590" ht="19" customHeight="1">
      <c r="A590" s="41" t="n">
        <v>586</v>
      </c>
      <c r="B590" s="41" t="n">
        <v>3586</v>
      </c>
      <c r="C590" s="42" t="inlineStr">
        <is>
          <t>0301410045</t>
        </is>
      </c>
      <c r="D590" s="42" t="inlineStr">
        <is>
          <t>Region III (Central Luzon)</t>
        </is>
      </c>
      <c r="E590" s="42" t="inlineStr">
        <is>
          <t>Bulacan</t>
        </is>
      </c>
      <c r="F590" s="42" t="inlineStr">
        <is>
          <t>City of Malolos</t>
        </is>
      </c>
      <c r="G590" s="42" t="inlineStr">
        <is>
          <t>San Vicente</t>
        </is>
      </c>
      <c r="H590" s="43" t="n">
        <v>14.843157</v>
      </c>
      <c r="I590" s="43" t="n">
        <v>120.816009</v>
      </c>
      <c r="J590" s="44" t="inlineStr">
        <is>
          <t>U</t>
        </is>
      </c>
      <c r="K590" s="42" t="inlineStr">
        <is>
          <t>Class 1-3 / Urban</t>
        </is>
      </c>
      <c r="L590" s="23" t="n">
        <v>2402</v>
      </c>
      <c r="M590" s="24" t="n">
        <v>4.1</v>
      </c>
      <c r="N590" s="23">
        <f>ROUND(L590/M590, 0)</f>
        <v/>
      </c>
      <c r="O590" s="23">
        <f>ROUND(N590*'Methodology &amp; Assumptions'!$B$8, 0)</f>
        <v/>
      </c>
      <c r="P590" s="44" t="inlineStr">
        <is>
          <t>Band n50 (1.5 GHz, 60 MHz)</t>
        </is>
      </c>
      <c r="Q590" s="38">
        <f>ROUNDUP(O590/'Methodology &amp; Assumptions'!$B$9, 0)</f>
        <v/>
      </c>
      <c r="R590" s="39" t="n">
        <v>1</v>
      </c>
      <c r="S590" s="25" t="n">
        <v>0.51</v>
      </c>
      <c r="T590" s="25" t="n">
        <v>0.92</v>
      </c>
      <c r="U590" s="42" t="inlineStr">
        <is>
          <t>Tier 1A (Direct Coloc, &lt;1 km)</t>
        </is>
      </c>
      <c r="V590" s="24" t="n">
        <v>94.3</v>
      </c>
      <c r="W590" s="24" t="n">
        <v>70.90000000000001</v>
      </c>
      <c r="X590" s="24" t="n">
        <v>28</v>
      </c>
      <c r="Y590" s="45">
        <f>ROUND((V590*'Methodology &amp; Assumptions'!$B$6)+(W590*'Methodology &amp; Assumptions'!$B$5)+(X590*'Methodology &amp; Assumptions'!$B$7), 2)</f>
        <v/>
      </c>
    </row>
    <row r="591" ht="19" customHeight="1">
      <c r="A591" s="35" t="n">
        <v>587</v>
      </c>
      <c r="B591" s="35" t="n">
        <v>3587</v>
      </c>
      <c r="C591" s="36" t="inlineStr">
        <is>
          <t>0704603010</t>
        </is>
      </c>
      <c r="D591" s="36" t="inlineStr">
        <is>
          <t>Region VII (Central Visayas)</t>
        </is>
      </c>
      <c r="E591" s="36" t="inlineStr">
        <is>
          <t>Negros Oriental</t>
        </is>
      </c>
      <c r="F591" s="36" t="inlineStr">
        <is>
          <t>Bacong</t>
        </is>
      </c>
      <c r="G591" s="36" t="inlineStr">
        <is>
          <t>Lutao</t>
        </is>
      </c>
      <c r="H591" s="37" t="n">
        <v>9.244429</v>
      </c>
      <c r="I591" s="37" t="n">
        <v>123.286278</v>
      </c>
      <c r="J591" s="8" t="inlineStr">
        <is>
          <t>R</t>
        </is>
      </c>
      <c r="K591" s="36" t="inlineStr">
        <is>
          <t>2nd</t>
        </is>
      </c>
      <c r="L591" s="18" t="n">
        <v>1298</v>
      </c>
      <c r="M591" s="20" t="n">
        <v>4.41</v>
      </c>
      <c r="N591" s="18">
        <f>ROUND(L591/M591, 0)</f>
        <v/>
      </c>
      <c r="O591" s="18">
        <f>ROUND(N591*'Methodology &amp; Assumptions'!$B$8, 0)</f>
        <v/>
      </c>
      <c r="P591" s="8" t="inlineStr">
        <is>
          <t>Band n50 (1.5 GHz, 60 MHz)</t>
        </is>
      </c>
      <c r="Q591" s="38">
        <f>ROUNDUP(O591/'Methodology &amp; Assumptions'!$B$9, 0)</f>
        <v/>
      </c>
      <c r="R591" s="39" t="n">
        <v>1</v>
      </c>
      <c r="S591" s="21" t="n">
        <v>0.59</v>
      </c>
      <c r="T591" s="21" t="n">
        <v>0.61</v>
      </c>
      <c r="U591" s="36" t="inlineStr">
        <is>
          <t>Tier 1A (Direct Coloc, &lt;1 km)</t>
        </is>
      </c>
      <c r="V591" s="20" t="n">
        <v>92.09999999999999</v>
      </c>
      <c r="W591" s="20" t="n">
        <v>47.5</v>
      </c>
      <c r="X591" s="20" t="n">
        <v>58</v>
      </c>
      <c r="Y591" s="40">
        <f>ROUND((V591*'Methodology &amp; Assumptions'!$B$6)+(W591*'Methodology &amp; Assumptions'!$B$5)+(X591*'Methodology &amp; Assumptions'!$B$7), 2)</f>
        <v/>
      </c>
    </row>
    <row r="592" ht="19" customHeight="1">
      <c r="A592" s="41" t="n">
        <v>588</v>
      </c>
      <c r="B592" s="41" t="n">
        <v>3588</v>
      </c>
      <c r="C592" s="42" t="inlineStr">
        <is>
          <t>0301420029</t>
        </is>
      </c>
      <c r="D592" s="42" t="inlineStr">
        <is>
          <t>Region III (Central Luzon)</t>
        </is>
      </c>
      <c r="E592" s="42" t="inlineStr">
        <is>
          <t>Bulacan</t>
        </is>
      </c>
      <c r="F592" s="42" t="inlineStr">
        <is>
          <t>City of San Jose Del Monte</t>
        </is>
      </c>
      <c r="G592" s="42" t="inlineStr">
        <is>
          <t>Francisco Homes-Narra</t>
        </is>
      </c>
      <c r="H592" s="43" t="n">
        <v>14.808572</v>
      </c>
      <c r="I592" s="43" t="n">
        <v>121.056922</v>
      </c>
      <c r="J592" s="44" t="inlineStr">
        <is>
          <t>U</t>
        </is>
      </c>
      <c r="K592" s="42" t="inlineStr">
        <is>
          <t>Class 1-3 / Urban</t>
        </is>
      </c>
      <c r="L592" s="23" t="n">
        <v>8293</v>
      </c>
      <c r="M592" s="24" t="n">
        <v>4.1</v>
      </c>
      <c r="N592" s="23">
        <f>ROUND(L592/M592, 0)</f>
        <v/>
      </c>
      <c r="O592" s="23">
        <f>ROUND(N592*'Methodology &amp; Assumptions'!$B$8, 0)</f>
        <v/>
      </c>
      <c r="P592" s="44" t="inlineStr">
        <is>
          <t>Band n50 (1.5 GHz, 60 MHz)</t>
        </is>
      </c>
      <c r="Q592" s="38">
        <f>ROUNDUP(O592/'Methodology &amp; Assumptions'!$B$9, 0)</f>
        <v/>
      </c>
      <c r="R592" s="39" t="n">
        <v>1</v>
      </c>
      <c r="S592" s="25" t="n">
        <v>1.78</v>
      </c>
      <c r="T592" s="25" t="n">
        <v>1.02</v>
      </c>
      <c r="U592" s="42" t="inlineStr">
        <is>
          <t>Tier 1B (Micro Drop, 1-3 km)</t>
        </is>
      </c>
      <c r="V592" s="24" t="n">
        <v>65.2</v>
      </c>
      <c r="W592" s="24" t="n">
        <v>100</v>
      </c>
      <c r="X592" s="24" t="n">
        <v>28</v>
      </c>
      <c r="Y592" s="45">
        <f>ROUND((V592*'Methodology &amp; Assumptions'!$B$6)+(W592*'Methodology &amp; Assumptions'!$B$5)+(X592*'Methodology &amp; Assumptions'!$B$7), 2)</f>
        <v/>
      </c>
    </row>
    <row r="593" ht="19" customHeight="1">
      <c r="A593" s="35" t="n">
        <v>589</v>
      </c>
      <c r="B593" s="35" t="n">
        <v>3589</v>
      </c>
      <c r="C593" s="36" t="inlineStr">
        <is>
          <t>0201505030</t>
        </is>
      </c>
      <c r="D593" s="36" t="inlineStr">
        <is>
          <t>Region II (Cagayan Valley)</t>
        </is>
      </c>
      <c r="E593" s="36" t="inlineStr">
        <is>
          <t>Cagayan</t>
        </is>
      </c>
      <c r="F593" s="36" t="inlineStr">
        <is>
          <t>Aparri</t>
        </is>
      </c>
      <c r="G593" s="36" t="inlineStr">
        <is>
          <t>Maura</t>
        </is>
      </c>
      <c r="H593" s="37" t="n">
        <v>18.3544</v>
      </c>
      <c r="I593" s="37" t="n">
        <v>121.6481</v>
      </c>
      <c r="J593" s="8" t="inlineStr">
        <is>
          <t>U</t>
        </is>
      </c>
      <c r="K593" s="36" t="inlineStr">
        <is>
          <t>Class 1-3 / Urban</t>
        </is>
      </c>
      <c r="L593" s="18" t="n">
        <v>8094</v>
      </c>
      <c r="M593" s="20" t="n">
        <v>4.38</v>
      </c>
      <c r="N593" s="18">
        <f>ROUND(L593/M593, 0)</f>
        <v/>
      </c>
      <c r="O593" s="18">
        <f>ROUND(N593*'Methodology &amp; Assumptions'!$B$8, 0)</f>
        <v/>
      </c>
      <c r="P593" s="8" t="inlineStr">
        <is>
          <t>Band n50 (1.5 GHz, 60 MHz)</t>
        </is>
      </c>
      <c r="Q593" s="38">
        <f>ROUNDUP(O593/'Methodology &amp; Assumptions'!$B$9, 0)</f>
        <v/>
      </c>
      <c r="R593" s="39" t="n">
        <v>1</v>
      </c>
      <c r="S593" s="21" t="n">
        <v>1.28</v>
      </c>
      <c r="T593" s="21" t="n">
        <v>11.17</v>
      </c>
      <c r="U593" s="36" t="inlineStr">
        <is>
          <t>Tier 1B (Micro Drop, 1-3 km)</t>
        </is>
      </c>
      <c r="V593" s="20" t="n">
        <v>65.3</v>
      </c>
      <c r="W593" s="20" t="n">
        <v>100</v>
      </c>
      <c r="X593" s="20" t="n">
        <v>28</v>
      </c>
      <c r="Y593" s="40">
        <f>ROUND((V593*'Methodology &amp; Assumptions'!$B$6)+(W593*'Methodology &amp; Assumptions'!$B$5)+(X593*'Methodology &amp; Assumptions'!$B$7), 2)</f>
        <v/>
      </c>
    </row>
    <row r="594" ht="19" customHeight="1">
      <c r="A594" s="41" t="n">
        <v>590</v>
      </c>
      <c r="B594" s="41" t="n">
        <v>3590</v>
      </c>
      <c r="C594" s="42" t="inlineStr">
        <is>
          <t>0401031016</t>
        </is>
      </c>
      <c r="D594" s="42" t="inlineStr">
        <is>
          <t>Region IV-A (CALABARZON)</t>
        </is>
      </c>
      <c r="E594" s="42" t="inlineStr">
        <is>
          <t>Batangas</t>
        </is>
      </c>
      <c r="F594" s="42" t="inlineStr">
        <is>
          <t>City of Tanauan</t>
        </is>
      </c>
      <c r="G594" s="42" t="inlineStr">
        <is>
          <t>Darasa</t>
        </is>
      </c>
      <c r="H594" s="43" t="n">
        <v>14.067405</v>
      </c>
      <c r="I594" s="43" t="n">
        <v>121.15311</v>
      </c>
      <c r="J594" s="44" t="inlineStr">
        <is>
          <t>U</t>
        </is>
      </c>
      <c r="K594" s="42" t="inlineStr">
        <is>
          <t>Class 1-3 / Urban</t>
        </is>
      </c>
      <c r="L594" s="23" t="n">
        <v>23987</v>
      </c>
      <c r="M594" s="24" t="n">
        <v>4.62</v>
      </c>
      <c r="N594" s="23">
        <f>ROUND(L594/M594, 0)</f>
        <v/>
      </c>
      <c r="O594" s="23">
        <f>ROUND(N594*'Methodology &amp; Assumptions'!$B$8, 0)</f>
        <v/>
      </c>
      <c r="P594" s="44" t="inlineStr">
        <is>
          <t>Band n50 (1.5 GHz, 60 MHz)</t>
        </is>
      </c>
      <c r="Q594" s="38">
        <f>ROUNDUP(O594/'Methodology &amp; Assumptions'!$B$9, 0)</f>
        <v/>
      </c>
      <c r="R594" s="39" t="n">
        <v>1</v>
      </c>
      <c r="S594" s="25" t="n">
        <v>1.78</v>
      </c>
      <c r="T594" s="25" t="n">
        <v>0.1</v>
      </c>
      <c r="U594" s="42" t="inlineStr">
        <is>
          <t>Tier 1B (Micro Drop, 1-3 km)</t>
        </is>
      </c>
      <c r="V594" s="24" t="n">
        <v>65.2</v>
      </c>
      <c r="W594" s="24" t="n">
        <v>100</v>
      </c>
      <c r="X594" s="24" t="n">
        <v>28</v>
      </c>
      <c r="Y594" s="45">
        <f>ROUND((V594*'Methodology &amp; Assumptions'!$B$6)+(W594*'Methodology &amp; Assumptions'!$B$5)+(X594*'Methodology &amp; Assumptions'!$B$7), 2)</f>
        <v/>
      </c>
    </row>
    <row r="595" ht="19" customHeight="1">
      <c r="A595" s="35" t="n">
        <v>591</v>
      </c>
      <c r="B595" s="35" t="n">
        <v>3591</v>
      </c>
      <c r="C595" s="36" t="inlineStr">
        <is>
          <t>0300803006</t>
        </is>
      </c>
      <c r="D595" s="36" t="inlineStr">
        <is>
          <t>Region III (Central Luzon)</t>
        </is>
      </c>
      <c r="E595" s="36" t="inlineStr">
        <is>
          <t>Bataan</t>
        </is>
      </c>
      <c r="F595" s="36" t="inlineStr">
        <is>
          <t>City of Balanga</t>
        </is>
      </c>
      <c r="G595" s="36" t="inlineStr">
        <is>
          <t>Central</t>
        </is>
      </c>
      <c r="H595" s="37" t="n">
        <v>14.664682</v>
      </c>
      <c r="I595" s="37" t="n">
        <v>120.538229</v>
      </c>
      <c r="J595" s="8" t="inlineStr">
        <is>
          <t>U</t>
        </is>
      </c>
      <c r="K595" s="36" t="inlineStr">
        <is>
          <t>Class 1-3 / Urban</t>
        </is>
      </c>
      <c r="L595" s="18" t="n">
        <v>7083</v>
      </c>
      <c r="M595" s="20" t="n">
        <v>4.57</v>
      </c>
      <c r="N595" s="18">
        <f>ROUND(L595/M595, 0)</f>
        <v/>
      </c>
      <c r="O595" s="18">
        <f>ROUND(N595*'Methodology &amp; Assumptions'!$B$8, 0)</f>
        <v/>
      </c>
      <c r="P595" s="8" t="inlineStr">
        <is>
          <t>Band n50 (1.5 GHz, 60 MHz)</t>
        </is>
      </c>
      <c r="Q595" s="38">
        <f>ROUNDUP(O595/'Methodology &amp; Assumptions'!$B$9, 0)</f>
        <v/>
      </c>
      <c r="R595" s="39" t="n">
        <v>1</v>
      </c>
      <c r="S595" s="21" t="n">
        <v>1.78</v>
      </c>
      <c r="T595" s="21" t="n">
        <v>1.41</v>
      </c>
      <c r="U595" s="36" t="inlineStr">
        <is>
          <t>Tier 1B (Micro Drop, 1-3 km)</t>
        </is>
      </c>
      <c r="V595" s="20" t="n">
        <v>65.2</v>
      </c>
      <c r="W595" s="20" t="n">
        <v>100</v>
      </c>
      <c r="X595" s="20" t="n">
        <v>28</v>
      </c>
      <c r="Y595" s="40">
        <f>ROUND((V595*'Methodology &amp; Assumptions'!$B$6)+(W595*'Methodology &amp; Assumptions'!$B$5)+(X595*'Methodology &amp; Assumptions'!$B$7), 2)</f>
        <v/>
      </c>
    </row>
    <row r="596" ht="19" customHeight="1">
      <c r="A596" s="41" t="n">
        <v>592</v>
      </c>
      <c r="B596" s="41" t="n">
        <v>3592</v>
      </c>
      <c r="C596" s="42" t="inlineStr">
        <is>
          <t>0501715033</t>
        </is>
      </c>
      <c r="D596" s="42" t="inlineStr">
        <is>
          <t>Region V (Bicol Region)</t>
        </is>
      </c>
      <c r="E596" s="42" t="inlineStr">
        <is>
          <t>Camarines Sur</t>
        </is>
      </c>
      <c r="F596" s="42" t="inlineStr">
        <is>
          <t>Goa</t>
        </is>
      </c>
      <c r="G596" s="42" t="inlineStr">
        <is>
          <t>Tagongtong</t>
        </is>
      </c>
      <c r="H596" s="43" t="n">
        <v>13.695577</v>
      </c>
      <c r="I596" s="43" t="n">
        <v>123.474478</v>
      </c>
      <c r="J596" s="44" t="inlineStr">
        <is>
          <t>R</t>
        </is>
      </c>
      <c r="K596" s="42" t="inlineStr">
        <is>
          <t>Class 1-3 / Urban</t>
        </is>
      </c>
      <c r="L596" s="23" t="n">
        <v>2722</v>
      </c>
      <c r="M596" s="24" t="n">
        <v>4.9</v>
      </c>
      <c r="N596" s="23">
        <f>ROUND(L596/M596, 0)</f>
        <v/>
      </c>
      <c r="O596" s="23">
        <f>ROUND(N596*'Methodology &amp; Assumptions'!$B$8, 0)</f>
        <v/>
      </c>
      <c r="P596" s="44" t="inlineStr">
        <is>
          <t>Band n50 (1.5 GHz, 60 MHz)</t>
        </is>
      </c>
      <c r="Q596" s="38">
        <f>ROUNDUP(O596/'Methodology &amp; Assumptions'!$B$9, 0)</f>
        <v/>
      </c>
      <c r="R596" s="39" t="n">
        <v>1</v>
      </c>
      <c r="S596" s="25" t="n">
        <v>1.49</v>
      </c>
      <c r="T596" s="25" t="n">
        <v>0.1</v>
      </c>
      <c r="U596" s="42" t="inlineStr">
        <is>
          <t>Tier 1B (Micro Drop, 1-3 km)</t>
        </is>
      </c>
      <c r="V596" s="24" t="n">
        <v>70.90000000000001</v>
      </c>
      <c r="W596" s="24" t="n">
        <v>68.5</v>
      </c>
      <c r="X596" s="24" t="n">
        <v>58</v>
      </c>
      <c r="Y596" s="45">
        <f>ROUND((V596*'Methodology &amp; Assumptions'!$B$6)+(W596*'Methodology &amp; Assumptions'!$B$5)+(X596*'Methodology &amp; Assumptions'!$B$7), 2)</f>
        <v/>
      </c>
    </row>
    <row r="597" ht="19" customHeight="1">
      <c r="A597" s="35" t="n">
        <v>593</v>
      </c>
      <c r="B597" s="35" t="n">
        <v>3593</v>
      </c>
      <c r="C597" s="36" t="inlineStr">
        <is>
          <t>1430300138</t>
        </is>
      </c>
      <c r="D597" s="36" t="inlineStr">
        <is>
          <t>Cordillera Administrative Region (CAR)</t>
        </is>
      </c>
      <c r="E597" s="36" t="inlineStr">
        <is>
          <t>Benguet</t>
        </is>
      </c>
      <c r="F597" s="36" t="inlineStr">
        <is>
          <t>City of Baguio</t>
        </is>
      </c>
      <c r="G597" s="36" t="inlineStr">
        <is>
          <t>Ferdinand</t>
        </is>
      </c>
      <c r="H597" s="37" t="n">
        <v>16.40164</v>
      </c>
      <c r="I597" s="37" t="n">
        <v>120.59022</v>
      </c>
      <c r="J597" s="8" t="inlineStr">
        <is>
          <t>R</t>
        </is>
      </c>
      <c r="K597" s="36" t="inlineStr">
        <is>
          <t>Class 1-3 / Urban</t>
        </is>
      </c>
      <c r="L597" s="18" t="n">
        <v>1775</v>
      </c>
      <c r="M597" s="20" t="n">
        <v>4.58</v>
      </c>
      <c r="N597" s="18">
        <f>ROUND(L597/M597, 0)</f>
        <v/>
      </c>
      <c r="O597" s="18">
        <f>ROUND(N597*'Methodology &amp; Assumptions'!$B$8, 0)</f>
        <v/>
      </c>
      <c r="P597" s="8" t="inlineStr">
        <is>
          <t>Band n50 (1.5 GHz, 60 MHz)</t>
        </is>
      </c>
      <c r="Q597" s="38">
        <f>ROUNDUP(O597/'Methodology &amp; Assumptions'!$B$9, 0)</f>
        <v/>
      </c>
      <c r="R597" s="39" t="n">
        <v>1</v>
      </c>
      <c r="S597" s="21" t="n">
        <v>0.72</v>
      </c>
      <c r="T597" s="21" t="n">
        <v>0.02</v>
      </c>
      <c r="U597" s="36" t="inlineStr">
        <is>
          <t>Tier 1A (Direct Coloc, &lt;1 km)</t>
        </is>
      </c>
      <c r="V597" s="20" t="n">
        <v>88.5</v>
      </c>
      <c r="W597" s="20" t="n">
        <v>50.9</v>
      </c>
      <c r="X597" s="20" t="n">
        <v>58</v>
      </c>
      <c r="Y597" s="40">
        <f>ROUND((V597*'Methodology &amp; Assumptions'!$B$6)+(W597*'Methodology &amp; Assumptions'!$B$5)+(X597*'Methodology &amp; Assumptions'!$B$7), 2)</f>
        <v/>
      </c>
    </row>
    <row r="598" ht="19" customHeight="1">
      <c r="A598" s="41" t="n">
        <v>594</v>
      </c>
      <c r="B598" s="41" t="n">
        <v>3594</v>
      </c>
      <c r="C598" s="42" t="inlineStr">
        <is>
          <t>0405804036</t>
        </is>
      </c>
      <c r="D598" s="42" t="inlineStr">
        <is>
          <t>Region IV-A (CALABARZON)</t>
        </is>
      </c>
      <c r="E598" s="42" t="inlineStr">
        <is>
          <t>Rizal</t>
        </is>
      </c>
      <c r="F598" s="42" t="inlineStr">
        <is>
          <t>Binangonan</t>
        </is>
      </c>
      <c r="G598" s="42" t="inlineStr">
        <is>
          <t>Tayuman</t>
        </is>
      </c>
      <c r="H598" s="43" t="n">
        <v>14.513556</v>
      </c>
      <c r="I598" s="43" t="n">
        <v>121.162873</v>
      </c>
      <c r="J598" s="44" t="inlineStr">
        <is>
          <t>U</t>
        </is>
      </c>
      <c r="K598" s="42" t="inlineStr">
        <is>
          <t>Class 1-3 / Urban</t>
        </is>
      </c>
      <c r="L598" s="23" t="n">
        <v>12300</v>
      </c>
      <c r="M598" s="24" t="n">
        <v>4.39</v>
      </c>
      <c r="N598" s="23">
        <f>ROUND(L598/M598, 0)</f>
        <v/>
      </c>
      <c r="O598" s="23">
        <f>ROUND(N598*'Methodology &amp; Assumptions'!$B$8, 0)</f>
        <v/>
      </c>
      <c r="P598" s="44" t="inlineStr">
        <is>
          <t>Band n50 (1.5 GHz, 60 MHz)</t>
        </is>
      </c>
      <c r="Q598" s="38">
        <f>ROUNDUP(O598/'Methodology &amp; Assumptions'!$B$9, 0)</f>
        <v/>
      </c>
      <c r="R598" s="39" t="n">
        <v>1</v>
      </c>
      <c r="S598" s="25" t="n">
        <v>1.78</v>
      </c>
      <c r="T598" s="25" t="n">
        <v>0.08</v>
      </c>
      <c r="U598" s="42" t="inlineStr">
        <is>
          <t>Tier 1B (Micro Drop, 1-3 km)</t>
        </is>
      </c>
      <c r="V598" s="24" t="n">
        <v>65.2</v>
      </c>
      <c r="W598" s="24" t="n">
        <v>100</v>
      </c>
      <c r="X598" s="24" t="n">
        <v>28</v>
      </c>
      <c r="Y598" s="45">
        <f>ROUND((V598*'Methodology &amp; Assumptions'!$B$6)+(W598*'Methodology &amp; Assumptions'!$B$5)+(X598*'Methodology &amp; Assumptions'!$B$7), 2)</f>
        <v/>
      </c>
    </row>
    <row r="599" ht="19" customHeight="1">
      <c r="A599" s="35" t="n">
        <v>595</v>
      </c>
      <c r="B599" s="35" t="n">
        <v>3595</v>
      </c>
      <c r="C599" s="36" t="inlineStr">
        <is>
          <t>0405648001</t>
        </is>
      </c>
      <c r="D599" s="36" t="inlineStr">
        <is>
          <t>Region IV-A (CALABARZON)</t>
        </is>
      </c>
      <c r="E599" s="36" t="inlineStr">
        <is>
          <t>Quezon</t>
        </is>
      </c>
      <c r="F599" s="36" t="inlineStr">
        <is>
          <t>Tiaong</t>
        </is>
      </c>
      <c r="G599" s="36" t="inlineStr">
        <is>
          <t>Anastacia</t>
        </is>
      </c>
      <c r="H599" s="37" t="n">
        <v>13.96568</v>
      </c>
      <c r="I599" s="37" t="n">
        <v>121.354197</v>
      </c>
      <c r="J599" s="8" t="inlineStr">
        <is>
          <t>R</t>
        </is>
      </c>
      <c r="K599" s="36" t="inlineStr">
        <is>
          <t>Class 1-3 / Urban</t>
        </is>
      </c>
      <c r="L599" s="18" t="n">
        <v>4316</v>
      </c>
      <c r="M599" s="20" t="n">
        <v>4.46</v>
      </c>
      <c r="N599" s="18">
        <f>ROUND(L599/M599, 0)</f>
        <v/>
      </c>
      <c r="O599" s="18">
        <f>ROUND(N599*'Methodology &amp; Assumptions'!$B$8, 0)</f>
        <v/>
      </c>
      <c r="P599" s="8" t="inlineStr">
        <is>
          <t>Band n50 (1.5 GHz, 60 MHz)</t>
        </is>
      </c>
      <c r="Q599" s="38">
        <f>ROUNDUP(O599/'Methodology &amp; Assumptions'!$B$9, 0)</f>
        <v/>
      </c>
      <c r="R599" s="39" t="n">
        <v>1</v>
      </c>
      <c r="S599" s="21" t="n">
        <v>3.67</v>
      </c>
      <c r="T599" s="21" t="n">
        <v>1.78</v>
      </c>
      <c r="U599" s="36" t="inlineStr">
        <is>
          <t>Tier 2 (Fiber Corridor / Lateral, 3-5 km)</t>
        </is>
      </c>
      <c r="V599" s="20" t="n">
        <v>39.5</v>
      </c>
      <c r="W599" s="20" t="n">
        <v>100</v>
      </c>
      <c r="X599" s="20" t="n">
        <v>58</v>
      </c>
      <c r="Y599" s="40">
        <f>ROUND((V599*'Methodology &amp; Assumptions'!$B$6)+(W599*'Methodology &amp; Assumptions'!$B$5)+(X599*'Methodology &amp; Assumptions'!$B$7), 2)</f>
        <v/>
      </c>
    </row>
    <row r="600" ht="19" customHeight="1">
      <c r="A600" s="41" t="n">
        <v>596</v>
      </c>
      <c r="B600" s="41" t="n">
        <v>3596</v>
      </c>
      <c r="C600" s="42" t="inlineStr">
        <is>
          <t>0102906008</t>
        </is>
      </c>
      <c r="D600" s="42" t="inlineStr">
        <is>
          <t>Region I (Ilocos Region)</t>
        </is>
      </c>
      <c r="E600" s="42" t="inlineStr">
        <is>
          <t>Ilocos Sur</t>
        </is>
      </c>
      <c r="F600" s="42" t="inlineStr">
        <is>
          <t>City of Candon</t>
        </is>
      </c>
      <c r="G600" s="42" t="inlineStr">
        <is>
          <t>Bagani Ubbog</t>
        </is>
      </c>
      <c r="H600" s="43" t="n">
        <v>17.190959</v>
      </c>
      <c r="I600" s="43" t="n">
        <v>120.454486</v>
      </c>
      <c r="J600" s="44" t="inlineStr">
        <is>
          <t>R</t>
        </is>
      </c>
      <c r="K600" s="42" t="inlineStr">
        <is>
          <t>Class 1-3 / Urban</t>
        </is>
      </c>
      <c r="L600" s="23" t="n">
        <v>1708</v>
      </c>
      <c r="M600" s="24" t="n">
        <v>4.56</v>
      </c>
      <c r="N600" s="23">
        <f>ROUND(L600/M600, 0)</f>
        <v/>
      </c>
      <c r="O600" s="23">
        <f>ROUND(N600*'Methodology &amp; Assumptions'!$B$8, 0)</f>
        <v/>
      </c>
      <c r="P600" s="44" t="inlineStr">
        <is>
          <t>Band n50 (1.5 GHz, 60 MHz)</t>
        </is>
      </c>
      <c r="Q600" s="38">
        <f>ROUNDUP(O600/'Methodology &amp; Assumptions'!$B$9, 0)</f>
        <v/>
      </c>
      <c r="R600" s="39" t="n">
        <v>1</v>
      </c>
      <c r="S600" s="25" t="n">
        <v>0.84</v>
      </c>
      <c r="T600" s="25" t="n">
        <v>0.7</v>
      </c>
      <c r="U600" s="42" t="inlineStr">
        <is>
          <t>Tier 1A (Direct Coloc, &lt;1 km)</t>
        </is>
      </c>
      <c r="V600" s="24" t="n">
        <v>85.59999999999999</v>
      </c>
      <c r="W600" s="24" t="n">
        <v>53.9</v>
      </c>
      <c r="X600" s="24" t="n">
        <v>58</v>
      </c>
      <c r="Y600" s="45">
        <f>ROUND((V600*'Methodology &amp; Assumptions'!$B$6)+(W600*'Methodology &amp; Assumptions'!$B$5)+(X600*'Methodology &amp; Assumptions'!$B$7), 2)</f>
        <v/>
      </c>
    </row>
    <row r="601" ht="19" customHeight="1">
      <c r="A601" s="35" t="n">
        <v>597</v>
      </c>
      <c r="B601" s="35" t="n">
        <v>3597</v>
      </c>
      <c r="C601" s="36" t="inlineStr">
        <is>
          <t>0304923012</t>
        </is>
      </c>
      <c r="D601" s="36" t="inlineStr">
        <is>
          <t>Region III (Central Luzon)</t>
        </is>
      </c>
      <c r="E601" s="36" t="inlineStr">
        <is>
          <t>Nueva Ecija</t>
        </is>
      </c>
      <c r="F601" s="36" t="inlineStr">
        <is>
          <t>Rizal</t>
        </is>
      </c>
      <c r="G601" s="36" t="inlineStr">
        <is>
          <t>Del Pilar</t>
        </is>
      </c>
      <c r="H601" s="37" t="n">
        <v>15.585783</v>
      </c>
      <c r="I601" s="37" t="n">
        <v>120.924577</v>
      </c>
      <c r="J601" s="8" t="inlineStr">
        <is>
          <t>R</t>
        </is>
      </c>
      <c r="K601" s="36" t="inlineStr">
        <is>
          <t>Class 1-3 / Urban</t>
        </is>
      </c>
      <c r="L601" s="18" t="n">
        <v>1425</v>
      </c>
      <c r="M601" s="20" t="n">
        <v>4.32</v>
      </c>
      <c r="N601" s="18">
        <f>ROUND(L601/M601, 0)</f>
        <v/>
      </c>
      <c r="O601" s="18">
        <f>ROUND(N601*'Methodology &amp; Assumptions'!$B$8, 0)</f>
        <v/>
      </c>
      <c r="P601" s="8" t="inlineStr">
        <is>
          <t>Band n50 (1.5 GHz, 60 MHz)</t>
        </is>
      </c>
      <c r="Q601" s="38">
        <f>ROUNDUP(O601/'Methodology &amp; Assumptions'!$B$9, 0)</f>
        <v/>
      </c>
      <c r="R601" s="39" t="n">
        <v>1</v>
      </c>
      <c r="S601" s="21" t="n">
        <v>0.71</v>
      </c>
      <c r="T601" s="21" t="n">
        <v>0.52</v>
      </c>
      <c r="U601" s="36" t="inlineStr">
        <is>
          <t>Tier 1A (Direct Coloc, &lt;1 km)</t>
        </is>
      </c>
      <c r="V601" s="20" t="n">
        <v>89</v>
      </c>
      <c r="W601" s="20" t="n">
        <v>50.4</v>
      </c>
      <c r="X601" s="20" t="n">
        <v>58</v>
      </c>
      <c r="Y601" s="40">
        <f>ROUND((V601*'Methodology &amp; Assumptions'!$B$6)+(W601*'Methodology &amp; Assumptions'!$B$5)+(X601*'Methodology &amp; Assumptions'!$B$7), 2)</f>
        <v/>
      </c>
    </row>
    <row r="602" ht="19" customHeight="1">
      <c r="A602" s="41" t="n">
        <v>598</v>
      </c>
      <c r="B602" s="41" t="n">
        <v>3598</v>
      </c>
      <c r="C602" s="42" t="inlineStr">
        <is>
          <t>0803722022</t>
        </is>
      </c>
      <c r="D602" s="42" t="inlineStr">
        <is>
          <t>Region VIII (Eastern Visayas)</t>
        </is>
      </c>
      <c r="E602" s="42" t="inlineStr">
        <is>
          <t>Leyte</t>
        </is>
      </c>
      <c r="F602" s="42" t="inlineStr">
        <is>
          <t>Isabel</t>
        </is>
      </c>
      <c r="G602" s="42" t="inlineStr">
        <is>
          <t>Santo Rosario</t>
        </is>
      </c>
      <c r="H602" s="43" t="n">
        <v>10.925005</v>
      </c>
      <c r="I602" s="43" t="n">
        <v>124.442527</v>
      </c>
      <c r="J602" s="44" t="inlineStr">
        <is>
          <t>R</t>
        </is>
      </c>
      <c r="K602" s="42" t="inlineStr">
        <is>
          <t>Class 1-3 / Urban</t>
        </is>
      </c>
      <c r="L602" s="23" t="n">
        <v>853</v>
      </c>
      <c r="M602" s="24" t="n">
        <v>4.24</v>
      </c>
      <c r="N602" s="23">
        <f>ROUND(L602/M602, 0)</f>
        <v/>
      </c>
      <c r="O602" s="23">
        <f>ROUND(N602*'Methodology &amp; Assumptions'!$B$8, 0)</f>
        <v/>
      </c>
      <c r="P602" s="44" t="inlineStr">
        <is>
          <t>Band n50 (1.5 GHz, 60 MHz)</t>
        </is>
      </c>
      <c r="Q602" s="38">
        <f>ROUNDUP(O602/'Methodology &amp; Assumptions'!$B$9, 0)</f>
        <v/>
      </c>
      <c r="R602" s="39" t="n">
        <v>1</v>
      </c>
      <c r="S602" s="25" t="n">
        <v>0.33</v>
      </c>
      <c r="T602" s="25" t="n">
        <v>0.12</v>
      </c>
      <c r="U602" s="42" t="inlineStr">
        <is>
          <t>Tier 1A (Direct Coloc, &lt;1 km)</t>
        </is>
      </c>
      <c r="V602" s="24" t="n">
        <v>99.5</v>
      </c>
      <c r="W602" s="24" t="n">
        <v>40</v>
      </c>
      <c r="X602" s="24" t="n">
        <v>58</v>
      </c>
      <c r="Y602" s="45">
        <f>ROUND((V602*'Methodology &amp; Assumptions'!$B$6)+(W602*'Methodology &amp; Assumptions'!$B$5)+(X602*'Methodology &amp; Assumptions'!$B$7), 2)</f>
        <v/>
      </c>
    </row>
    <row r="603" ht="19" customHeight="1">
      <c r="A603" s="35" t="n">
        <v>599</v>
      </c>
      <c r="B603" s="35" t="n">
        <v>3599</v>
      </c>
      <c r="C603" s="36" t="inlineStr">
        <is>
          <t>0403416029</t>
        </is>
      </c>
      <c r="D603" s="36" t="inlineStr">
        <is>
          <t>Region IV-A (CALABARZON)</t>
        </is>
      </c>
      <c r="E603" s="36" t="inlineStr">
        <is>
          <t>Laguna</t>
        </is>
      </c>
      <c r="F603" s="36" t="inlineStr">
        <is>
          <t>Majayjay</t>
        </is>
      </c>
      <c r="G603" s="36" t="inlineStr">
        <is>
          <t>Pangil</t>
        </is>
      </c>
      <c r="H603" s="37" t="n">
        <v>14.141241</v>
      </c>
      <c r="I603" s="37" t="n">
        <v>121.469714</v>
      </c>
      <c r="J603" s="8" t="inlineStr">
        <is>
          <t>R</t>
        </is>
      </c>
      <c r="K603" s="36" t="inlineStr">
        <is>
          <t>3rd</t>
        </is>
      </c>
      <c r="L603" s="18" t="n">
        <v>817</v>
      </c>
      <c r="M603" s="20" t="n">
        <v>4.18</v>
      </c>
      <c r="N603" s="18">
        <f>ROUND(L603/M603, 0)</f>
        <v/>
      </c>
      <c r="O603" s="18">
        <f>ROUND(N603*'Methodology &amp; Assumptions'!$B$8, 0)</f>
        <v/>
      </c>
      <c r="P603" s="8" t="inlineStr">
        <is>
          <t>Band n50 (1.5 GHz, 60 MHz)</t>
        </is>
      </c>
      <c r="Q603" s="38">
        <f>ROUNDUP(O603/'Methodology &amp; Assumptions'!$B$9, 0)</f>
        <v/>
      </c>
      <c r="R603" s="39" t="n">
        <v>1</v>
      </c>
      <c r="S603" s="21" t="n">
        <v>0.21</v>
      </c>
      <c r="T603" s="21" t="n">
        <v>0.02</v>
      </c>
      <c r="U603" s="36" t="inlineStr">
        <is>
          <t>Tier 1A (Direct Coloc, &lt;1 km)</t>
        </is>
      </c>
      <c r="V603" s="20" t="n">
        <v>100</v>
      </c>
      <c r="W603" s="20" t="n">
        <v>39.5</v>
      </c>
      <c r="X603" s="20" t="n">
        <v>58</v>
      </c>
      <c r="Y603" s="40">
        <f>ROUND((V603*'Methodology &amp; Assumptions'!$B$6)+(W603*'Methodology &amp; Assumptions'!$B$5)+(X603*'Methodology &amp; Assumptions'!$B$7), 2)</f>
        <v/>
      </c>
    </row>
    <row r="604" ht="19" customHeight="1">
      <c r="A604" s="41" t="n">
        <v>600</v>
      </c>
      <c r="B604" s="41" t="n">
        <v>3600</v>
      </c>
      <c r="C604" s="42" t="inlineStr">
        <is>
          <t>0501603018</t>
        </is>
      </c>
      <c r="D604" s="42" t="inlineStr">
        <is>
          <t>Region V (Bicol Region)</t>
        </is>
      </c>
      <c r="E604" s="42" t="inlineStr">
        <is>
          <t>Camarines Norte</t>
        </is>
      </c>
      <c r="F604" s="42" t="inlineStr">
        <is>
          <t>Daet</t>
        </is>
      </c>
      <c r="G604" s="42" t="inlineStr">
        <is>
          <t>Magang</t>
        </is>
      </c>
      <c r="H604" s="43" t="n">
        <v>14.098533</v>
      </c>
      <c r="I604" s="43" t="n">
        <v>122.952722</v>
      </c>
      <c r="J604" s="44" t="inlineStr">
        <is>
          <t>U</t>
        </is>
      </c>
      <c r="K604" s="42" t="inlineStr">
        <is>
          <t>Class 1-3 / Urban</t>
        </is>
      </c>
      <c r="L604" s="23" t="n">
        <v>7676</v>
      </c>
      <c r="M604" s="24" t="n">
        <v>4.4</v>
      </c>
      <c r="N604" s="23">
        <f>ROUND(L604/M604, 0)</f>
        <v/>
      </c>
      <c r="O604" s="23">
        <f>ROUND(N604*'Methodology &amp; Assumptions'!$B$8, 0)</f>
        <v/>
      </c>
      <c r="P604" s="44" t="inlineStr">
        <is>
          <t>Band n50 (1.5 GHz, 60 MHz)</t>
        </is>
      </c>
      <c r="Q604" s="38">
        <f>ROUNDUP(O604/'Methodology &amp; Assumptions'!$B$9, 0)</f>
        <v/>
      </c>
      <c r="R604" s="39" t="n">
        <v>1</v>
      </c>
      <c r="S604" s="25" t="n">
        <v>1.78</v>
      </c>
      <c r="T604" s="25" t="n">
        <v>0.32</v>
      </c>
      <c r="U604" s="42" t="inlineStr">
        <is>
          <t>Tier 1B (Micro Drop, 1-3 km)</t>
        </is>
      </c>
      <c r="V604" s="24" t="n">
        <v>65.2</v>
      </c>
      <c r="W604" s="24" t="n">
        <v>100</v>
      </c>
      <c r="X604" s="24" t="n">
        <v>28</v>
      </c>
      <c r="Y604" s="45">
        <f>ROUND((V604*'Methodology &amp; Assumptions'!$B$6)+(W604*'Methodology &amp; Assumptions'!$B$5)+(X604*'Methodology &amp; Assumptions'!$B$7), 2)</f>
        <v/>
      </c>
    </row>
    <row r="605" ht="19" customHeight="1">
      <c r="A605" s="35" t="n">
        <v>601</v>
      </c>
      <c r="B605" s="35" t="n">
        <v>3601</v>
      </c>
      <c r="C605" s="36" t="inlineStr">
        <is>
          <t>0603007014</t>
        </is>
      </c>
      <c r="D605" s="36" t="inlineStr">
        <is>
          <t>Region VI (Western Visayas)</t>
        </is>
      </c>
      <c r="E605" s="36" t="inlineStr">
        <is>
          <t>Iloilo</t>
        </is>
      </c>
      <c r="F605" s="36" t="inlineStr">
        <is>
          <t>Barotac Nuevo</t>
        </is>
      </c>
      <c r="G605" s="36" t="inlineStr">
        <is>
          <t>Lagubang</t>
        </is>
      </c>
      <c r="H605" s="37" t="n">
        <v>10.881694</v>
      </c>
      <c r="I605" s="37" t="n">
        <v>122.706233</v>
      </c>
      <c r="J605" s="8" t="inlineStr">
        <is>
          <t>R</t>
        </is>
      </c>
      <c r="K605" s="36" t="inlineStr">
        <is>
          <t>Class 1-3 / Urban</t>
        </is>
      </c>
      <c r="L605" s="18" t="n">
        <v>2821</v>
      </c>
      <c r="M605" s="20" t="n">
        <v>4.39</v>
      </c>
      <c r="N605" s="18">
        <f>ROUND(L605/M605, 0)</f>
        <v/>
      </c>
      <c r="O605" s="18">
        <f>ROUND(N605*'Methodology &amp; Assumptions'!$B$8, 0)</f>
        <v/>
      </c>
      <c r="P605" s="8" t="inlineStr">
        <is>
          <t>Band n50 (1.5 GHz, 60 MHz)</t>
        </is>
      </c>
      <c r="Q605" s="38">
        <f>ROUNDUP(O605/'Methodology &amp; Assumptions'!$B$9, 0)</f>
        <v/>
      </c>
      <c r="R605" s="39" t="n">
        <v>1</v>
      </c>
      <c r="S605" s="21" t="n">
        <v>1.85</v>
      </c>
      <c r="T605" s="21" t="n">
        <v>0.05</v>
      </c>
      <c r="U605" s="36" t="inlineStr">
        <is>
          <t>Tier 1B (Micro Drop, 1-3 km)</t>
        </is>
      </c>
      <c r="V605" s="20" t="n">
        <v>64</v>
      </c>
      <c r="W605" s="20" t="n">
        <v>75.5</v>
      </c>
      <c r="X605" s="20" t="n">
        <v>58</v>
      </c>
      <c r="Y605" s="40">
        <f>ROUND((V605*'Methodology &amp; Assumptions'!$B$6)+(W605*'Methodology &amp; Assumptions'!$B$5)+(X605*'Methodology &amp; Assumptions'!$B$7), 2)</f>
        <v/>
      </c>
    </row>
    <row r="606" ht="19" customHeight="1">
      <c r="A606" s="41" t="n">
        <v>602</v>
      </c>
      <c r="B606" s="41" t="n">
        <v>3602</v>
      </c>
      <c r="C606" s="42" t="inlineStr">
        <is>
          <t>0402112014</t>
        </is>
      </c>
      <c r="D606" s="42" t="inlineStr">
        <is>
          <t>Region IV-A (CALABARZON)</t>
        </is>
      </c>
      <c r="E606" s="42" t="inlineStr">
        <is>
          <t>Cavite</t>
        </is>
      </c>
      <c r="F606" s="42" t="inlineStr">
        <is>
          <t>Magallanes</t>
        </is>
      </c>
      <c r="G606" s="42" t="inlineStr">
        <is>
          <t>Kabulusan</t>
        </is>
      </c>
      <c r="H606" s="43" t="n">
        <v>14.17755</v>
      </c>
      <c r="I606" s="43" t="n">
        <v>120.741366</v>
      </c>
      <c r="J606" s="44" t="inlineStr">
        <is>
          <t>R</t>
        </is>
      </c>
      <c r="K606" s="42" t="inlineStr">
        <is>
          <t>3rd</t>
        </is>
      </c>
      <c r="L606" s="23" t="n">
        <v>1854</v>
      </c>
      <c r="M606" s="24" t="n">
        <v>4.75</v>
      </c>
      <c r="N606" s="23">
        <f>ROUND(L606/M606, 0)</f>
        <v/>
      </c>
      <c r="O606" s="23">
        <f>ROUND(N606*'Methodology &amp; Assumptions'!$B$8, 0)</f>
        <v/>
      </c>
      <c r="P606" s="44" t="inlineStr">
        <is>
          <t>Band n50 (1.5 GHz, 60 MHz)</t>
        </is>
      </c>
      <c r="Q606" s="38">
        <f>ROUNDUP(O606/'Methodology &amp; Assumptions'!$B$9, 0)</f>
        <v/>
      </c>
      <c r="R606" s="39" t="n">
        <v>1</v>
      </c>
      <c r="S606" s="25" t="n">
        <v>0.89</v>
      </c>
      <c r="T606" s="25" t="n">
        <v>0.29</v>
      </c>
      <c r="U606" s="42" t="inlineStr">
        <is>
          <t>Tier 1A (Direct Coloc, &lt;1 km)</t>
        </is>
      </c>
      <c r="V606" s="24" t="n">
        <v>84.2</v>
      </c>
      <c r="W606" s="24" t="n">
        <v>55.2</v>
      </c>
      <c r="X606" s="24" t="n">
        <v>58</v>
      </c>
      <c r="Y606" s="45">
        <f>ROUND((V606*'Methodology &amp; Assumptions'!$B$6)+(W606*'Methodology &amp; Assumptions'!$B$5)+(X606*'Methodology &amp; Assumptions'!$B$7), 2)</f>
        <v/>
      </c>
    </row>
    <row r="607" ht="19" customHeight="1">
      <c r="A607" s="35" t="n">
        <v>603</v>
      </c>
      <c r="B607" s="35" t="n">
        <v>3603</v>
      </c>
      <c r="C607" s="36" t="inlineStr">
        <is>
          <t>0304906021</t>
        </is>
      </c>
      <c r="D607" s="36" t="inlineStr">
        <is>
          <t>Region III (Central Luzon)</t>
        </is>
      </c>
      <c r="E607" s="36" t="inlineStr">
        <is>
          <t>Nueva Ecija</t>
        </is>
      </c>
      <c r="F607" s="36" t="inlineStr">
        <is>
          <t>Cuyapo</t>
        </is>
      </c>
      <c r="G607" s="36" t="inlineStr">
        <is>
          <t>District IV</t>
        </is>
      </c>
      <c r="H607" s="37" t="n">
        <v>15.781894</v>
      </c>
      <c r="I607" s="37" t="n">
        <v>120.665916</v>
      </c>
      <c r="J607" s="8" t="inlineStr">
        <is>
          <t>R</t>
        </is>
      </c>
      <c r="K607" s="36" t="inlineStr">
        <is>
          <t>Class 1-3 / Urban</t>
        </is>
      </c>
      <c r="L607" s="18" t="n">
        <v>1372</v>
      </c>
      <c r="M607" s="20" t="n">
        <v>4.32</v>
      </c>
      <c r="N607" s="18">
        <f>ROUND(L607/M607, 0)</f>
        <v/>
      </c>
      <c r="O607" s="18">
        <f>ROUND(N607*'Methodology &amp; Assumptions'!$B$8, 0)</f>
        <v/>
      </c>
      <c r="P607" s="8" t="inlineStr">
        <is>
          <t>Band n50 (1.5 GHz, 60 MHz)</t>
        </is>
      </c>
      <c r="Q607" s="38">
        <f>ROUNDUP(O607/'Methodology &amp; Assumptions'!$B$9, 0)</f>
        <v/>
      </c>
      <c r="R607" s="39" t="n">
        <v>1</v>
      </c>
      <c r="S607" s="21" t="n">
        <v>0.31</v>
      </c>
      <c r="T607" s="21" t="n">
        <v>6.44</v>
      </c>
      <c r="U607" s="36" t="inlineStr">
        <is>
          <t>Tier 1A (Direct Coloc, &lt;1 km)</t>
        </is>
      </c>
      <c r="V607" s="20" t="n">
        <v>90.09999999999999</v>
      </c>
      <c r="W607" s="20" t="n">
        <v>49.3</v>
      </c>
      <c r="X607" s="20" t="n">
        <v>58</v>
      </c>
      <c r="Y607" s="40">
        <f>ROUND((V607*'Methodology &amp; Assumptions'!$B$6)+(W607*'Methodology &amp; Assumptions'!$B$5)+(X607*'Methodology &amp; Assumptions'!$B$7), 2)</f>
        <v/>
      </c>
    </row>
    <row r="608" ht="19" customHeight="1">
      <c r="A608" s="41" t="n">
        <v>604</v>
      </c>
      <c r="B608" s="41" t="n">
        <v>3604</v>
      </c>
      <c r="C608" s="42" t="inlineStr">
        <is>
          <t>0102820008</t>
        </is>
      </c>
      <c r="D608" s="42" t="inlineStr">
        <is>
          <t>Region I (Ilocos Region)</t>
        </is>
      </c>
      <c r="E608" s="42" t="inlineStr">
        <is>
          <t>Ilocos Norte</t>
        </is>
      </c>
      <c r="F608" s="42" t="inlineStr">
        <is>
          <t>San Nicolas</t>
        </is>
      </c>
      <c r="G608" s="42" t="inlineStr">
        <is>
          <t>San Fernando</t>
        </is>
      </c>
      <c r="H608" s="43" t="n">
        <v>18.16586</v>
      </c>
      <c r="I608" s="43" t="n">
        <v>120.593739</v>
      </c>
      <c r="J608" s="44" t="inlineStr">
        <is>
          <t>R</t>
        </is>
      </c>
      <c r="K608" s="42" t="inlineStr">
        <is>
          <t>Class 1-3 / Urban</t>
        </is>
      </c>
      <c r="L608" s="23" t="n">
        <v>1131</v>
      </c>
      <c r="M608" s="24" t="n">
        <v>4.35</v>
      </c>
      <c r="N608" s="23">
        <f>ROUND(L608/M608, 0)</f>
        <v/>
      </c>
      <c r="O608" s="23">
        <f>ROUND(N608*'Methodology &amp; Assumptions'!$B$8, 0)</f>
        <v/>
      </c>
      <c r="P608" s="44" t="inlineStr">
        <is>
          <t>Band n50 (1.5 GHz, 60 MHz)</t>
        </is>
      </c>
      <c r="Q608" s="38">
        <f>ROUNDUP(O608/'Methodology &amp; Assumptions'!$B$9, 0)</f>
        <v/>
      </c>
      <c r="R608" s="39" t="n">
        <v>1</v>
      </c>
      <c r="S608" s="25" t="n">
        <v>0.5</v>
      </c>
      <c r="T608" s="25" t="n">
        <v>0.39</v>
      </c>
      <c r="U608" s="42" t="inlineStr">
        <is>
          <t>Tier 1A (Direct Coloc, &lt;1 km)</t>
        </is>
      </c>
      <c r="V608" s="24" t="n">
        <v>94.59999999999999</v>
      </c>
      <c r="W608" s="24" t="n">
        <v>44.8</v>
      </c>
      <c r="X608" s="24" t="n">
        <v>58</v>
      </c>
      <c r="Y608" s="45">
        <f>ROUND((V608*'Methodology &amp; Assumptions'!$B$6)+(W608*'Methodology &amp; Assumptions'!$B$5)+(X608*'Methodology &amp; Assumptions'!$B$7), 2)</f>
        <v/>
      </c>
    </row>
    <row r="609" ht="19" customHeight="1">
      <c r="A609" s="35" t="n">
        <v>605</v>
      </c>
      <c r="B609" s="35" t="n">
        <v>3605</v>
      </c>
      <c r="C609" s="36" t="inlineStr">
        <is>
          <t>1003510008</t>
        </is>
      </c>
      <c r="D609" s="36" t="inlineStr">
        <is>
          <t>Region X (Northern Mindanao)</t>
        </is>
      </c>
      <c r="E609" s="36" t="inlineStr">
        <is>
          <t>Lanao del Norte</t>
        </is>
      </c>
      <c r="F609" s="36" t="inlineStr">
        <is>
          <t>Linamon</t>
        </is>
      </c>
      <c r="G609" s="36" t="inlineStr">
        <is>
          <t>Samburon</t>
        </is>
      </c>
      <c r="H609" s="37" t="n">
        <v>8.185174999999999</v>
      </c>
      <c r="I609" s="37" t="n">
        <v>124.137286</v>
      </c>
      <c r="J609" s="8" t="inlineStr">
        <is>
          <t>R</t>
        </is>
      </c>
      <c r="K609" s="36" t="inlineStr">
        <is>
          <t>4th</t>
        </is>
      </c>
      <c r="L609" s="18" t="n">
        <v>3888</v>
      </c>
      <c r="M609" s="20" t="n">
        <v>4.54</v>
      </c>
      <c r="N609" s="18">
        <f>ROUND(L609/M609, 0)</f>
        <v/>
      </c>
      <c r="O609" s="18">
        <f>ROUND(N609*'Methodology &amp; Assumptions'!$B$8, 0)</f>
        <v/>
      </c>
      <c r="P609" s="8" t="inlineStr">
        <is>
          <t>Band n50 (1.5 GHz, 60 MHz)</t>
        </is>
      </c>
      <c r="Q609" s="38">
        <f>ROUNDUP(O609/'Methodology &amp; Assumptions'!$B$9, 0)</f>
        <v/>
      </c>
      <c r="R609" s="39" t="n">
        <v>1</v>
      </c>
      <c r="S609" s="21" t="n">
        <v>12.33</v>
      </c>
      <c r="T609" s="21" t="n">
        <v>0.23</v>
      </c>
      <c r="U609" s="36" t="inlineStr">
        <is>
          <t>Tier 2 (Fiber Corridor / Lateral, 3-5 km)</t>
        </is>
      </c>
      <c r="V609" s="20" t="n">
        <v>25</v>
      </c>
      <c r="W609" s="20" t="n">
        <v>92.5</v>
      </c>
      <c r="X609" s="20" t="n">
        <v>83.5</v>
      </c>
      <c r="Y609" s="40">
        <f>ROUND((V609*'Methodology &amp; Assumptions'!$B$6)+(W609*'Methodology &amp; Assumptions'!$B$5)+(X609*'Methodology &amp; Assumptions'!$B$7), 2)</f>
        <v/>
      </c>
    </row>
    <row r="610" ht="19" customHeight="1">
      <c r="A610" s="41" t="n">
        <v>606</v>
      </c>
      <c r="B610" s="41" t="n">
        <v>3606</v>
      </c>
      <c r="C610" s="42" t="inlineStr">
        <is>
          <t>0601905005</t>
        </is>
      </c>
      <c r="D610" s="42" t="inlineStr">
        <is>
          <t>Region VI (Western Visayas)</t>
        </is>
      </c>
      <c r="E610" s="42" t="inlineStr">
        <is>
          <t>Capiz</t>
        </is>
      </c>
      <c r="F610" s="42" t="inlineStr">
        <is>
          <t>Ivisan</t>
        </is>
      </c>
      <c r="G610" s="42" t="inlineStr">
        <is>
          <t>Cabugao</t>
        </is>
      </c>
      <c r="H610" s="43" t="n">
        <v>11.512907</v>
      </c>
      <c r="I610" s="43" t="n">
        <v>122.746682</v>
      </c>
      <c r="J610" s="44" t="inlineStr">
        <is>
          <t>R</t>
        </is>
      </c>
      <c r="K610" s="42" t="inlineStr">
        <is>
          <t>3rd</t>
        </is>
      </c>
      <c r="L610" s="23" t="n">
        <v>1599</v>
      </c>
      <c r="M610" s="24" t="n">
        <v>4.31</v>
      </c>
      <c r="N610" s="23">
        <f>ROUND(L610/M610, 0)</f>
        <v/>
      </c>
      <c r="O610" s="23">
        <f>ROUND(N610*'Methodology &amp; Assumptions'!$B$8, 0)</f>
        <v/>
      </c>
      <c r="P610" s="44" t="inlineStr">
        <is>
          <t>Band n50 (1.5 GHz, 60 MHz)</t>
        </is>
      </c>
      <c r="Q610" s="38">
        <f>ROUNDUP(O610/'Methodology &amp; Assumptions'!$B$9, 0)</f>
        <v/>
      </c>
      <c r="R610" s="39" t="n">
        <v>1</v>
      </c>
      <c r="S610" s="25" t="n">
        <v>1.39</v>
      </c>
      <c r="T610" s="25" t="n">
        <v>0.19</v>
      </c>
      <c r="U610" s="42" t="inlineStr">
        <is>
          <t>Tier 1B (Micro Drop, 1-3 km)</t>
        </is>
      </c>
      <c r="V610" s="24" t="n">
        <v>72.90000000000001</v>
      </c>
      <c r="W610" s="24" t="n">
        <v>53.6</v>
      </c>
      <c r="X610" s="24" t="n">
        <v>73</v>
      </c>
      <c r="Y610" s="45">
        <f>ROUND((V610*'Methodology &amp; Assumptions'!$B$6)+(W610*'Methodology &amp; Assumptions'!$B$5)+(X610*'Methodology &amp; Assumptions'!$B$7), 2)</f>
        <v/>
      </c>
    </row>
    <row r="611" ht="19" customHeight="1">
      <c r="A611" s="35" t="n">
        <v>607</v>
      </c>
      <c r="B611" s="35" t="n">
        <v>3607</v>
      </c>
      <c r="C611" s="36" t="inlineStr">
        <is>
          <t>1004313002</t>
        </is>
      </c>
      <c r="D611" s="36" t="inlineStr">
        <is>
          <t>Region X (Northern Mindanao)</t>
        </is>
      </c>
      <c r="E611" s="36" t="inlineStr">
        <is>
          <t>Misamis Oriental</t>
        </is>
      </c>
      <c r="F611" s="36" t="inlineStr">
        <is>
          <t>Lagonglong</t>
        </is>
      </c>
      <c r="G611" s="36" t="inlineStr">
        <is>
          <t>Dampil</t>
        </is>
      </c>
      <c r="H611" s="37" t="n">
        <v>8.825763999999999</v>
      </c>
      <c r="I611" s="37" t="n">
        <v>124.790093</v>
      </c>
      <c r="J611" s="8" t="inlineStr">
        <is>
          <t>R</t>
        </is>
      </c>
      <c r="K611" s="36" t="inlineStr">
        <is>
          <t>4th</t>
        </is>
      </c>
      <c r="L611" s="18" t="n">
        <v>2946</v>
      </c>
      <c r="M611" s="20" t="n">
        <v>4.72</v>
      </c>
      <c r="N611" s="18">
        <f>ROUND(L611/M611, 0)</f>
        <v/>
      </c>
      <c r="O611" s="18">
        <f>ROUND(N611*'Methodology &amp; Assumptions'!$B$8, 0)</f>
        <v/>
      </c>
      <c r="P611" s="8" t="inlineStr">
        <is>
          <t>Band n50 (1.5 GHz, 60 MHz)</t>
        </is>
      </c>
      <c r="Q611" s="38">
        <f>ROUNDUP(O611/'Methodology &amp; Assumptions'!$B$9, 0)</f>
        <v/>
      </c>
      <c r="R611" s="39" t="n">
        <v>1</v>
      </c>
      <c r="S611" s="21" t="n">
        <v>2.29</v>
      </c>
      <c r="T611" s="21" t="n">
        <v>0.04</v>
      </c>
      <c r="U611" s="36" t="inlineStr">
        <is>
          <t>Tier 1B (Micro Drop, 1-3 km)</t>
        </is>
      </c>
      <c r="V611" s="20" t="n">
        <v>56.5</v>
      </c>
      <c r="W611" s="20" t="n">
        <v>73.90000000000001</v>
      </c>
      <c r="X611" s="20" t="n">
        <v>68.5</v>
      </c>
      <c r="Y611" s="40">
        <f>ROUND((V611*'Methodology &amp; Assumptions'!$B$6)+(W611*'Methodology &amp; Assumptions'!$B$5)+(X611*'Methodology &amp; Assumptions'!$B$7), 2)</f>
        <v/>
      </c>
    </row>
    <row r="612" ht="19" customHeight="1">
      <c r="A612" s="41" t="n">
        <v>608</v>
      </c>
      <c r="B612" s="41" t="n">
        <v>3608</v>
      </c>
      <c r="C612" s="42" t="inlineStr">
        <is>
          <t>0403408003</t>
        </is>
      </c>
      <c r="D612" s="42" t="inlineStr">
        <is>
          <t>Region IV-A (CALABARZON)</t>
        </is>
      </c>
      <c r="E612" s="42" t="inlineStr">
        <is>
          <t>Laguna</t>
        </is>
      </c>
      <c r="F612" s="42" t="inlineStr">
        <is>
          <t>Famy</t>
        </is>
      </c>
      <c r="G612" s="42" t="inlineStr">
        <is>
          <t>Bagong Pag-Asa</t>
        </is>
      </c>
      <c r="H612" s="43" t="n">
        <v>14.436689</v>
      </c>
      <c r="I612" s="43" t="n">
        <v>121.449197</v>
      </c>
      <c r="J612" s="44" t="inlineStr">
        <is>
          <t>R</t>
        </is>
      </c>
      <c r="K612" s="42" t="inlineStr">
        <is>
          <t>4th</t>
        </is>
      </c>
      <c r="L612" s="23" t="n">
        <v>325</v>
      </c>
      <c r="M612" s="24" t="n">
        <v>4.03</v>
      </c>
      <c r="N612" s="23">
        <f>ROUND(L612/M612, 0)</f>
        <v/>
      </c>
      <c r="O612" s="23">
        <f>ROUND(N612*'Methodology &amp; Assumptions'!$B$8, 0)</f>
        <v/>
      </c>
      <c r="P612" s="44" t="inlineStr">
        <is>
          <t>Band n50 (1.5 GHz, 60 MHz)</t>
        </is>
      </c>
      <c r="Q612" s="38">
        <f>ROUNDUP(O612/'Methodology &amp; Assumptions'!$B$9, 0)</f>
        <v/>
      </c>
      <c r="R612" s="39" t="n">
        <v>1</v>
      </c>
      <c r="S612" s="25" t="n">
        <v>0.16</v>
      </c>
      <c r="T612" s="25" t="n">
        <v>0.1</v>
      </c>
      <c r="U612" s="42" t="inlineStr">
        <is>
          <t>Tier 1A (Direct Coloc, &lt;1 km)</t>
        </is>
      </c>
      <c r="V612" s="24" t="n">
        <v>100</v>
      </c>
      <c r="W612" s="24" t="n">
        <v>30.4</v>
      </c>
      <c r="X612" s="24" t="n">
        <v>68.5</v>
      </c>
      <c r="Y612" s="45">
        <f>ROUND((V612*'Methodology &amp; Assumptions'!$B$6)+(W612*'Methodology &amp; Assumptions'!$B$5)+(X612*'Methodology &amp; Assumptions'!$B$7), 2)</f>
        <v/>
      </c>
    </row>
    <row r="613" ht="19" customHeight="1">
      <c r="A613" s="35" t="n">
        <v>609</v>
      </c>
      <c r="B613" s="35" t="n">
        <v>3609</v>
      </c>
      <c r="C613" s="36" t="inlineStr">
        <is>
          <t>0305413036</t>
        </is>
      </c>
      <c r="D613" s="36" t="inlineStr">
        <is>
          <t>Region III (Central Luzon)</t>
        </is>
      </c>
      <c r="E613" s="36" t="inlineStr">
        <is>
          <t>Pampanga</t>
        </is>
      </c>
      <c r="F613" s="36" t="inlineStr">
        <is>
          <t>Mexico</t>
        </is>
      </c>
      <c r="G613" s="36" t="inlineStr">
        <is>
          <t>San Patricio</t>
        </is>
      </c>
      <c r="H613" s="37" t="n">
        <v>15.094134</v>
      </c>
      <c r="I613" s="37" t="n">
        <v>120.729032</v>
      </c>
      <c r="J613" s="8" t="inlineStr">
        <is>
          <t>R</t>
        </is>
      </c>
      <c r="K613" s="36" t="inlineStr">
        <is>
          <t>Class 1-3 / Urban</t>
        </is>
      </c>
      <c r="L613" s="18" t="n">
        <v>4854</v>
      </c>
      <c r="M613" s="20" t="n">
        <v>4.63</v>
      </c>
      <c r="N613" s="18">
        <f>ROUND(L613/M613, 0)</f>
        <v/>
      </c>
      <c r="O613" s="18">
        <f>ROUND(N613*'Methodology &amp; Assumptions'!$B$8, 0)</f>
        <v/>
      </c>
      <c r="P613" s="8" t="inlineStr">
        <is>
          <t>Band n50 (1.5 GHz, 60 MHz)</t>
        </is>
      </c>
      <c r="Q613" s="38">
        <f>ROUNDUP(O613/'Methodology &amp; Assumptions'!$B$9, 0)</f>
        <v/>
      </c>
      <c r="R613" s="39" t="n">
        <v>1</v>
      </c>
      <c r="S613" s="21" t="n">
        <v>2.79</v>
      </c>
      <c r="T613" s="21" t="n">
        <v>2.83</v>
      </c>
      <c r="U613" s="36" t="inlineStr">
        <is>
          <t>Tier 1B (Micro Drop, 1-3 km)</t>
        </is>
      </c>
      <c r="V613" s="20" t="n">
        <v>39.4</v>
      </c>
      <c r="W613" s="20" t="n">
        <v>100</v>
      </c>
      <c r="X613" s="20" t="n">
        <v>58</v>
      </c>
      <c r="Y613" s="40">
        <f>ROUND((V613*'Methodology &amp; Assumptions'!$B$6)+(W613*'Methodology &amp; Assumptions'!$B$5)+(X613*'Methodology &amp; Assumptions'!$B$7), 2)</f>
        <v/>
      </c>
    </row>
    <row r="614" ht="19" customHeight="1">
      <c r="A614" s="41" t="n">
        <v>610</v>
      </c>
      <c r="B614" s="41" t="n">
        <v>3610</v>
      </c>
      <c r="C614" s="42" t="inlineStr">
        <is>
          <t>0306904005</t>
        </is>
      </c>
      <c r="D614" s="42" t="inlineStr">
        <is>
          <t>Region III (Central Luzon)</t>
        </is>
      </c>
      <c r="E614" s="42" t="inlineStr">
        <is>
          <t>Tarlac</t>
        </is>
      </c>
      <c r="F614" s="42" t="inlineStr">
        <is>
          <t>Capas</t>
        </is>
      </c>
      <c r="G614" s="42" t="inlineStr">
        <is>
          <t>Cutcut 2nd</t>
        </is>
      </c>
      <c r="H614" s="43" t="n">
        <v>15.331306</v>
      </c>
      <c r="I614" s="43" t="n">
        <v>120.589284</v>
      </c>
      <c r="J614" s="44" t="inlineStr">
        <is>
          <t>U</t>
        </is>
      </c>
      <c r="K614" s="42" t="inlineStr">
        <is>
          <t>Class 1-3 / Urban</t>
        </is>
      </c>
      <c r="L614" s="23" t="n">
        <v>8214</v>
      </c>
      <c r="M614" s="24" t="n">
        <v>4.3</v>
      </c>
      <c r="N614" s="23">
        <f>ROUND(L614/M614, 0)</f>
        <v/>
      </c>
      <c r="O614" s="23">
        <f>ROUND(N614*'Methodology &amp; Assumptions'!$B$8, 0)</f>
        <v/>
      </c>
      <c r="P614" s="44" t="inlineStr">
        <is>
          <t>Band n50 (1.5 GHz, 60 MHz)</t>
        </is>
      </c>
      <c r="Q614" s="38">
        <f>ROUNDUP(O614/'Methodology &amp; Assumptions'!$B$9, 0)</f>
        <v/>
      </c>
      <c r="R614" s="39" t="n">
        <v>1</v>
      </c>
      <c r="S614" s="25" t="n">
        <v>1.79</v>
      </c>
      <c r="T614" s="25" t="n">
        <v>0.15</v>
      </c>
      <c r="U614" s="42" t="inlineStr">
        <is>
          <t>Tier 1B (Micro Drop, 1-3 km)</t>
        </is>
      </c>
      <c r="V614" s="24" t="n">
        <v>65.09999999999999</v>
      </c>
      <c r="W614" s="24" t="n">
        <v>100</v>
      </c>
      <c r="X614" s="24" t="n">
        <v>28</v>
      </c>
      <c r="Y614" s="45">
        <f>ROUND((V614*'Methodology &amp; Assumptions'!$B$6)+(W614*'Methodology &amp; Assumptions'!$B$5)+(X614*'Methodology &amp; Assumptions'!$B$7), 2)</f>
        <v/>
      </c>
    </row>
    <row r="615" ht="19" customHeight="1">
      <c r="A615" s="35" t="n">
        <v>611</v>
      </c>
      <c r="B615" s="35" t="n">
        <v>3611</v>
      </c>
      <c r="C615" s="36" t="inlineStr">
        <is>
          <t>0402106048</t>
        </is>
      </c>
      <c r="D615" s="36" t="inlineStr">
        <is>
          <t>Region IV-A (CALABARZON)</t>
        </is>
      </c>
      <c r="E615" s="36" t="inlineStr">
        <is>
          <t>Cavite</t>
        </is>
      </c>
      <c r="F615" s="36" t="inlineStr">
        <is>
          <t>City of Dasmariñas</t>
        </is>
      </c>
      <c r="G615" s="36" t="inlineStr">
        <is>
          <t>Burol II</t>
        </is>
      </c>
      <c r="H615" s="37" t="n">
        <v>14.323933</v>
      </c>
      <c r="I615" s="37" t="n">
        <v>120.964285</v>
      </c>
      <c r="J615" s="8" t="inlineStr">
        <is>
          <t>U</t>
        </is>
      </c>
      <c r="K615" s="36" t="inlineStr">
        <is>
          <t>Class 1-3 / Urban</t>
        </is>
      </c>
      <c r="L615" s="18" t="n">
        <v>6025</v>
      </c>
      <c r="M615" s="20" t="n">
        <v>4.49</v>
      </c>
      <c r="N615" s="18">
        <f>ROUND(L615/M615, 0)</f>
        <v/>
      </c>
      <c r="O615" s="18">
        <f>ROUND(N615*'Methodology &amp; Assumptions'!$B$8, 0)</f>
        <v/>
      </c>
      <c r="P615" s="8" t="inlineStr">
        <is>
          <t>Band n50 (1.5 GHz, 60 MHz)</t>
        </is>
      </c>
      <c r="Q615" s="38">
        <f>ROUNDUP(O615/'Methodology &amp; Assumptions'!$B$9, 0)</f>
        <v/>
      </c>
      <c r="R615" s="39" t="n">
        <v>1</v>
      </c>
      <c r="S615" s="21" t="n">
        <v>1.29</v>
      </c>
      <c r="T615" s="21" t="n">
        <v>2.73</v>
      </c>
      <c r="U615" s="36" t="inlineStr">
        <is>
          <t>Tier 1B (Micro Drop, 1-3 km)</t>
        </is>
      </c>
      <c r="V615" s="20" t="n">
        <v>65.09999999999999</v>
      </c>
      <c r="W615" s="20" t="n">
        <v>100</v>
      </c>
      <c r="X615" s="20" t="n">
        <v>28</v>
      </c>
      <c r="Y615" s="40">
        <f>ROUND((V615*'Methodology &amp; Assumptions'!$B$6)+(W615*'Methodology &amp; Assumptions'!$B$5)+(X615*'Methodology &amp; Assumptions'!$B$7), 2)</f>
        <v/>
      </c>
    </row>
    <row r="616" ht="19" customHeight="1">
      <c r="A616" s="41" t="n">
        <v>612</v>
      </c>
      <c r="B616" s="41" t="n">
        <v>3612</v>
      </c>
      <c r="C616" s="42" t="inlineStr">
        <is>
          <t>0702211001</t>
        </is>
      </c>
      <c r="D616" s="42" t="inlineStr">
        <is>
          <t>Region VII (Central Visayas)</t>
        </is>
      </c>
      <c r="E616" s="42" t="inlineStr">
        <is>
          <t>Cebu</t>
        </is>
      </c>
      <c r="F616" s="42" t="inlineStr">
        <is>
          <t>City of Bogo</t>
        </is>
      </c>
      <c r="G616" s="42" t="inlineStr">
        <is>
          <t>Cogon</t>
        </is>
      </c>
      <c r="H616" s="43" t="n">
        <v>11.045634</v>
      </c>
      <c r="I616" s="43" t="n">
        <v>124.001768</v>
      </c>
      <c r="J616" s="44" t="inlineStr">
        <is>
          <t>U</t>
        </is>
      </c>
      <c r="K616" s="42" t="inlineStr">
        <is>
          <t>Class 1-3 / Urban</t>
        </is>
      </c>
      <c r="L616" s="23" t="n">
        <v>2794</v>
      </c>
      <c r="M616" s="24" t="n">
        <v>4.42</v>
      </c>
      <c r="N616" s="23">
        <f>ROUND(L616/M616, 0)</f>
        <v/>
      </c>
      <c r="O616" s="23">
        <f>ROUND(N616*'Methodology &amp; Assumptions'!$B$8, 0)</f>
        <v/>
      </c>
      <c r="P616" s="44" t="inlineStr">
        <is>
          <t>Band n50 (1.5 GHz, 60 MHz)</t>
        </is>
      </c>
      <c r="Q616" s="38">
        <f>ROUNDUP(O616/'Methodology &amp; Assumptions'!$B$9, 0)</f>
        <v/>
      </c>
      <c r="R616" s="39" t="n">
        <v>1</v>
      </c>
      <c r="S616" s="25" t="n">
        <v>0.65</v>
      </c>
      <c r="T616" s="25" t="n">
        <v>0.12</v>
      </c>
      <c r="U616" s="42" t="inlineStr">
        <is>
          <t>Tier 1A (Direct Coloc, &lt;1 km)</t>
        </is>
      </c>
      <c r="V616" s="24" t="n">
        <v>90.40000000000001</v>
      </c>
      <c r="W616" s="24" t="n">
        <v>74.7</v>
      </c>
      <c r="X616" s="24" t="n">
        <v>28</v>
      </c>
      <c r="Y616" s="45">
        <f>ROUND((V616*'Methodology &amp; Assumptions'!$B$6)+(W616*'Methodology &amp; Assumptions'!$B$5)+(X616*'Methodology &amp; Assumptions'!$B$7), 2)</f>
        <v/>
      </c>
    </row>
    <row r="617" ht="19" customHeight="1">
      <c r="A617" s="35" t="n">
        <v>613</v>
      </c>
      <c r="B617" s="35" t="n">
        <v>3613</v>
      </c>
      <c r="C617" s="36" t="inlineStr">
        <is>
          <t>1705205058</t>
        </is>
      </c>
      <c r="D617" s="36" t="inlineStr">
        <is>
          <t>MIMAROPA Region</t>
        </is>
      </c>
      <c r="E617" s="36" t="inlineStr">
        <is>
          <t>Oriental Mindoro</t>
        </is>
      </c>
      <c r="F617" s="36" t="inlineStr">
        <is>
          <t>City of Calapan</t>
        </is>
      </c>
      <c r="G617" s="36" t="inlineStr">
        <is>
          <t>Sapul</t>
        </is>
      </c>
      <c r="H617" s="37" t="n">
        <v>13.36699</v>
      </c>
      <c r="I617" s="37" t="n">
        <v>121.18775</v>
      </c>
      <c r="J617" s="8" t="inlineStr">
        <is>
          <t>R</t>
        </is>
      </c>
      <c r="K617" s="36" t="inlineStr">
        <is>
          <t>Class 1-3 / Urban</t>
        </is>
      </c>
      <c r="L617" s="18" t="n">
        <v>4452</v>
      </c>
      <c r="M617" s="20" t="n">
        <v>4.41</v>
      </c>
      <c r="N617" s="18">
        <f>ROUND(L617/M617, 0)</f>
        <v/>
      </c>
      <c r="O617" s="18">
        <f>ROUND(N617*'Methodology &amp; Assumptions'!$B$8, 0)</f>
        <v/>
      </c>
      <c r="P617" s="8" t="inlineStr">
        <is>
          <t>Band n50 (1.5 GHz, 60 MHz)</t>
        </is>
      </c>
      <c r="Q617" s="38">
        <f>ROUNDUP(O617/'Methodology &amp; Assumptions'!$B$9, 0)</f>
        <v/>
      </c>
      <c r="R617" s="39" t="n">
        <v>1</v>
      </c>
      <c r="S617" s="21" t="n">
        <v>2.8</v>
      </c>
      <c r="T617" s="21" t="n">
        <v>2.06</v>
      </c>
      <c r="U617" s="36" t="inlineStr">
        <is>
          <t>Tier 1B (Micro Drop, 1-3 km)</t>
        </is>
      </c>
      <c r="V617" s="20" t="n">
        <v>39.4</v>
      </c>
      <c r="W617" s="20" t="n">
        <v>100</v>
      </c>
      <c r="X617" s="20" t="n">
        <v>58</v>
      </c>
      <c r="Y617" s="40">
        <f>ROUND((V617*'Methodology &amp; Assumptions'!$B$6)+(W617*'Methodology &amp; Assumptions'!$B$5)+(X617*'Methodology &amp; Assumptions'!$B$7), 2)</f>
        <v/>
      </c>
    </row>
    <row r="618" ht="19" customHeight="1">
      <c r="A618" s="41" t="n">
        <v>614</v>
      </c>
      <c r="B618" s="41" t="n">
        <v>3614</v>
      </c>
      <c r="C618" s="42" t="inlineStr">
        <is>
          <t>0501610004</t>
        </is>
      </c>
      <c r="D618" s="42" t="inlineStr">
        <is>
          <t>Region V (Bicol Region)</t>
        </is>
      </c>
      <c r="E618" s="42" t="inlineStr">
        <is>
          <t>Camarines Norte</t>
        </is>
      </c>
      <c r="F618" s="42" t="inlineStr">
        <is>
          <t>Santa Elena</t>
        </is>
      </c>
      <c r="G618" s="42" t="inlineStr">
        <is>
          <t>Rizal</t>
        </is>
      </c>
      <c r="H618" s="43" t="n">
        <v>14.1964</v>
      </c>
      <c r="I618" s="43" t="n">
        <v>122.405</v>
      </c>
      <c r="J618" s="44" t="inlineStr">
        <is>
          <t>R</t>
        </is>
      </c>
      <c r="K618" s="42" t="inlineStr">
        <is>
          <t>Class 1-3 / Urban</t>
        </is>
      </c>
      <c r="L618" s="23" t="n">
        <v>3189</v>
      </c>
      <c r="M618" s="24" t="n">
        <v>4.4</v>
      </c>
      <c r="N618" s="23">
        <f>ROUND(L618/M618, 0)</f>
        <v/>
      </c>
      <c r="O618" s="23">
        <f>ROUND(N618*'Methodology &amp; Assumptions'!$B$8, 0)</f>
        <v/>
      </c>
      <c r="P618" s="44" t="inlineStr">
        <is>
          <t>Band n50 (1.5 GHz, 60 MHz)</t>
        </is>
      </c>
      <c r="Q618" s="38">
        <f>ROUNDUP(O618/'Methodology &amp; Assumptions'!$B$9, 0)</f>
        <v/>
      </c>
      <c r="R618" s="39" t="n">
        <v>1</v>
      </c>
      <c r="S618" s="25" t="n">
        <v>2.25</v>
      </c>
      <c r="T618" s="25" t="n">
        <v>0.1</v>
      </c>
      <c r="U618" s="42" t="inlineStr">
        <is>
          <t>Tier 1B (Micro Drop, 1-3 km)</t>
        </is>
      </c>
      <c r="V618" s="24" t="n">
        <v>57.2</v>
      </c>
      <c r="W618" s="24" t="n">
        <v>82.09999999999999</v>
      </c>
      <c r="X618" s="24" t="n">
        <v>58</v>
      </c>
      <c r="Y618" s="45">
        <f>ROUND((V618*'Methodology &amp; Assumptions'!$B$6)+(W618*'Methodology &amp; Assumptions'!$B$5)+(X618*'Methodology &amp; Assumptions'!$B$7), 2)</f>
        <v/>
      </c>
    </row>
    <row r="619" ht="19" customHeight="1">
      <c r="A619" s="35" t="n">
        <v>615</v>
      </c>
      <c r="B619" s="35" t="n">
        <v>3615</v>
      </c>
      <c r="C619" s="36" t="inlineStr">
        <is>
          <t>0504117027</t>
        </is>
      </c>
      <c r="D619" s="36" t="inlineStr">
        <is>
          <t>Region V (Bicol Region)</t>
        </is>
      </c>
      <c r="E619" s="36" t="inlineStr">
        <is>
          <t>Masbate</t>
        </is>
      </c>
      <c r="F619" s="36" t="inlineStr">
        <is>
          <t>Placer</t>
        </is>
      </c>
      <c r="G619" s="36" t="inlineStr">
        <is>
          <t>Poblacion</t>
        </is>
      </c>
      <c r="H619" s="37" t="n">
        <v>11.870395</v>
      </c>
      <c r="I619" s="37" t="n">
        <v>123.91767</v>
      </c>
      <c r="J619" s="8" t="inlineStr">
        <is>
          <t>R</t>
        </is>
      </c>
      <c r="K619" s="36" t="inlineStr">
        <is>
          <t>Class 1-3 / Urban</t>
        </is>
      </c>
      <c r="L619" s="18" t="n">
        <v>2300</v>
      </c>
      <c r="M619" s="20" t="n">
        <v>4.6</v>
      </c>
      <c r="N619" s="18">
        <f>ROUND(L619/M619, 0)</f>
        <v/>
      </c>
      <c r="O619" s="18">
        <f>ROUND(N619*'Methodology &amp; Assumptions'!$B$8, 0)</f>
        <v/>
      </c>
      <c r="P619" s="8" t="inlineStr">
        <is>
          <t>Band n50 (1.5 GHz, 60 MHz)</t>
        </is>
      </c>
      <c r="Q619" s="38">
        <f>ROUNDUP(O619/'Methodology &amp; Assumptions'!$B$9, 0)</f>
        <v/>
      </c>
      <c r="R619" s="39" t="n">
        <v>1</v>
      </c>
      <c r="S619" s="21" t="n">
        <v>0.85</v>
      </c>
      <c r="T619" s="21" t="n">
        <v>41.35</v>
      </c>
      <c r="U619" s="36" t="inlineStr">
        <is>
          <t>Tier 1A (Direct Coloc, &lt;1 km)</t>
        </is>
      </c>
      <c r="V619" s="20" t="n">
        <v>75.40000000000001</v>
      </c>
      <c r="W619" s="20" t="n">
        <v>64</v>
      </c>
      <c r="X619" s="20" t="n">
        <v>58</v>
      </c>
      <c r="Y619" s="40">
        <f>ROUND((V619*'Methodology &amp; Assumptions'!$B$6)+(W619*'Methodology &amp; Assumptions'!$B$5)+(X619*'Methodology &amp; Assumptions'!$B$7), 2)</f>
        <v/>
      </c>
    </row>
    <row r="620" ht="19" customHeight="1">
      <c r="A620" s="41" t="n">
        <v>616</v>
      </c>
      <c r="B620" s="41" t="n">
        <v>3616</v>
      </c>
      <c r="C620" s="42" t="inlineStr">
        <is>
          <t>0500512037</t>
        </is>
      </c>
      <c r="D620" s="42" t="inlineStr">
        <is>
          <t>Region V (Bicol Region)</t>
        </is>
      </c>
      <c r="E620" s="42" t="inlineStr">
        <is>
          <t>Albay</t>
        </is>
      </c>
      <c r="F620" s="42" t="inlineStr">
        <is>
          <t>Oas</t>
        </is>
      </c>
      <c r="G620" s="42" t="inlineStr">
        <is>
          <t>Obaliw-Rinas</t>
        </is>
      </c>
      <c r="H620" s="43" t="n">
        <v>13.255798</v>
      </c>
      <c r="I620" s="43" t="n">
        <v>123.497343</v>
      </c>
      <c r="J620" s="44" t="inlineStr">
        <is>
          <t>R</t>
        </is>
      </c>
      <c r="K620" s="42" t="inlineStr">
        <is>
          <t>Class 1-3 / Urban</t>
        </is>
      </c>
      <c r="L620" s="23" t="n">
        <v>1488</v>
      </c>
      <c r="M620" s="24" t="n">
        <v>4.67</v>
      </c>
      <c r="N620" s="23">
        <f>ROUND(L620/M620, 0)</f>
        <v/>
      </c>
      <c r="O620" s="23">
        <f>ROUND(N620*'Methodology &amp; Assumptions'!$B$8, 0)</f>
        <v/>
      </c>
      <c r="P620" s="44" t="inlineStr">
        <is>
          <t>Band n50 (1.5 GHz, 60 MHz)</t>
        </is>
      </c>
      <c r="Q620" s="38">
        <f>ROUNDUP(O620/'Methodology &amp; Assumptions'!$B$9, 0)</f>
        <v/>
      </c>
      <c r="R620" s="39" t="n">
        <v>1</v>
      </c>
      <c r="S620" s="25" t="n">
        <v>0.68</v>
      </c>
      <c r="T620" s="25" t="n">
        <v>0.55</v>
      </c>
      <c r="U620" s="42" t="inlineStr">
        <is>
          <t>Tier 1A (Direct Coloc, &lt;1 km)</t>
        </is>
      </c>
      <c r="V620" s="24" t="n">
        <v>89.8</v>
      </c>
      <c r="W620" s="24" t="n">
        <v>49.6</v>
      </c>
      <c r="X620" s="24" t="n">
        <v>58</v>
      </c>
      <c r="Y620" s="45">
        <f>ROUND((V620*'Methodology &amp; Assumptions'!$B$6)+(W620*'Methodology &amp; Assumptions'!$B$5)+(X620*'Methodology &amp; Assumptions'!$B$7), 2)</f>
        <v/>
      </c>
    </row>
    <row r="621" ht="19" customHeight="1">
      <c r="A621" s="35" t="n">
        <v>617</v>
      </c>
      <c r="B621" s="35" t="n">
        <v>3617</v>
      </c>
      <c r="C621" s="36" t="inlineStr">
        <is>
          <t>1403213017</t>
        </is>
      </c>
      <c r="D621" s="36" t="inlineStr">
        <is>
          <t>Cordillera Administrative Region (CAR)</t>
        </is>
      </c>
      <c r="E621" s="36" t="inlineStr">
        <is>
          <t>Kalinga</t>
        </is>
      </c>
      <c r="F621" s="36" t="inlineStr">
        <is>
          <t>City of Tabuk</t>
        </is>
      </c>
      <c r="G621" s="36" t="inlineStr">
        <is>
          <t>Lanna</t>
        </is>
      </c>
      <c r="H621" s="37" t="n">
        <v>17.412656</v>
      </c>
      <c r="I621" s="37" t="n">
        <v>121.43884</v>
      </c>
      <c r="J621" s="8" t="inlineStr">
        <is>
          <t>R</t>
        </is>
      </c>
      <c r="K621" s="36" t="inlineStr">
        <is>
          <t>Class 1-3 / Urban</t>
        </is>
      </c>
      <c r="L621" s="18" t="n">
        <v>1424</v>
      </c>
      <c r="M621" s="20" t="n">
        <v>5.34</v>
      </c>
      <c r="N621" s="18">
        <f>ROUND(L621/M621, 0)</f>
        <v/>
      </c>
      <c r="O621" s="18">
        <f>ROUND(N621*'Methodology &amp; Assumptions'!$B$8, 0)</f>
        <v/>
      </c>
      <c r="P621" s="8" t="inlineStr">
        <is>
          <t>Band n50 (1.5 GHz, 60 MHz)</t>
        </is>
      </c>
      <c r="Q621" s="38">
        <f>ROUNDUP(O621/'Methodology &amp; Assumptions'!$B$9, 0)</f>
        <v/>
      </c>
      <c r="R621" s="39" t="n">
        <v>1</v>
      </c>
      <c r="S621" s="21" t="n">
        <v>0.38</v>
      </c>
      <c r="T621" s="21" t="n">
        <v>0.31</v>
      </c>
      <c r="U621" s="36" t="inlineStr">
        <is>
          <t>Tier 1A (Direct Coloc, &lt;1 km)</t>
        </is>
      </c>
      <c r="V621" s="20" t="n">
        <v>98</v>
      </c>
      <c r="W621" s="20" t="n">
        <v>41.3</v>
      </c>
      <c r="X621" s="20" t="n">
        <v>58</v>
      </c>
      <c r="Y621" s="40">
        <f>ROUND((V621*'Methodology &amp; Assumptions'!$B$6)+(W621*'Methodology &amp; Assumptions'!$B$5)+(X621*'Methodology &amp; Assumptions'!$B$7), 2)</f>
        <v/>
      </c>
    </row>
    <row r="622" ht="19" customHeight="1">
      <c r="A622" s="41" t="n">
        <v>618</v>
      </c>
      <c r="B622" s="41" t="n">
        <v>3618</v>
      </c>
      <c r="C622" s="42" t="inlineStr">
        <is>
          <t>0301412003</t>
        </is>
      </c>
      <c r="D622" s="42" t="inlineStr">
        <is>
          <t>Region III (Central Luzon)</t>
        </is>
      </c>
      <c r="E622" s="42" t="inlineStr">
        <is>
          <t>Bulacan</t>
        </is>
      </c>
      <c r="F622" s="42" t="inlineStr">
        <is>
          <t>City of Meycauayan</t>
        </is>
      </c>
      <c r="G622" s="42" t="inlineStr">
        <is>
          <t>Bancal</t>
        </is>
      </c>
      <c r="H622" s="43" t="n">
        <v>14.724706</v>
      </c>
      <c r="I622" s="43" t="n">
        <v>120.958152</v>
      </c>
      <c r="J622" s="44" t="inlineStr">
        <is>
          <t>U</t>
        </is>
      </c>
      <c r="K622" s="42" t="inlineStr">
        <is>
          <t>Class 1-3 / Urban</t>
        </is>
      </c>
      <c r="L622" s="23" t="n">
        <v>12687</v>
      </c>
      <c r="M622" s="24" t="n">
        <v>4.1</v>
      </c>
      <c r="N622" s="23">
        <f>ROUND(L622/M622, 0)</f>
        <v/>
      </c>
      <c r="O622" s="23">
        <f>ROUND(N622*'Methodology &amp; Assumptions'!$B$8, 0)</f>
        <v/>
      </c>
      <c r="P622" s="44" t="inlineStr">
        <is>
          <t>Band n50 (1.5 GHz, 60 MHz)</t>
        </is>
      </c>
      <c r="Q622" s="38">
        <f>ROUNDUP(O622/'Methodology &amp; Assumptions'!$B$9, 0)</f>
        <v/>
      </c>
      <c r="R622" s="39" t="n">
        <v>1</v>
      </c>
      <c r="S622" s="25" t="n">
        <v>1.79</v>
      </c>
      <c r="T622" s="25" t="n">
        <v>0.28</v>
      </c>
      <c r="U622" s="42" t="inlineStr">
        <is>
          <t>Tier 1B (Micro Drop, 1-3 km)</t>
        </is>
      </c>
      <c r="V622" s="24" t="n">
        <v>65.09999999999999</v>
      </c>
      <c r="W622" s="24" t="n">
        <v>100</v>
      </c>
      <c r="X622" s="24" t="n">
        <v>28</v>
      </c>
      <c r="Y622" s="45">
        <f>ROUND((V622*'Methodology &amp; Assumptions'!$B$6)+(W622*'Methodology &amp; Assumptions'!$B$5)+(X622*'Methodology &amp; Assumptions'!$B$7), 2)</f>
        <v/>
      </c>
    </row>
    <row r="623" ht="19" customHeight="1">
      <c r="A623" s="35" t="n">
        <v>619</v>
      </c>
      <c r="B623" s="35" t="n">
        <v>3619</v>
      </c>
      <c r="C623" s="36" t="inlineStr">
        <is>
          <t>0500508053</t>
        </is>
      </c>
      <c r="D623" s="36" t="inlineStr">
        <is>
          <t>Region V (Bicol Region)</t>
        </is>
      </c>
      <c r="E623" s="36" t="inlineStr">
        <is>
          <t>Albay</t>
        </is>
      </c>
      <c r="F623" s="36" t="inlineStr">
        <is>
          <t>City of Ligao</t>
        </is>
      </c>
      <c r="G623" s="36" t="inlineStr">
        <is>
          <t>Tuburan</t>
        </is>
      </c>
      <c r="H623" s="37" t="n">
        <v>13.238435</v>
      </c>
      <c r="I623" s="37" t="n">
        <v>123.551798</v>
      </c>
      <c r="J623" s="8" t="inlineStr">
        <is>
          <t>U</t>
        </is>
      </c>
      <c r="K623" s="36" t="inlineStr">
        <is>
          <t>Class 1-3 / Urban</t>
        </is>
      </c>
      <c r="L623" s="18" t="n">
        <v>6415</v>
      </c>
      <c r="M623" s="20" t="n">
        <v>4.67</v>
      </c>
      <c r="N623" s="18">
        <f>ROUND(L623/M623, 0)</f>
        <v/>
      </c>
      <c r="O623" s="18">
        <f>ROUND(N623*'Methodology &amp; Assumptions'!$B$8, 0)</f>
        <v/>
      </c>
      <c r="P623" s="8" t="inlineStr">
        <is>
          <t>Band n50 (1.5 GHz, 60 MHz)</t>
        </is>
      </c>
      <c r="Q623" s="38">
        <f>ROUNDUP(O623/'Methodology &amp; Assumptions'!$B$9, 0)</f>
        <v/>
      </c>
      <c r="R623" s="39" t="n">
        <v>1</v>
      </c>
      <c r="S623" s="21" t="n">
        <v>1.79</v>
      </c>
      <c r="T623" s="21" t="n">
        <v>0.04</v>
      </c>
      <c r="U623" s="36" t="inlineStr">
        <is>
          <t>Tier 1B (Micro Drop, 1-3 km)</t>
        </is>
      </c>
      <c r="V623" s="20" t="n">
        <v>65.09999999999999</v>
      </c>
      <c r="W623" s="20" t="n">
        <v>100</v>
      </c>
      <c r="X623" s="20" t="n">
        <v>28</v>
      </c>
      <c r="Y623" s="40">
        <f>ROUND((V623*'Methodology &amp; Assumptions'!$B$6)+(W623*'Methodology &amp; Assumptions'!$B$5)+(X623*'Methodology &amp; Assumptions'!$B$7), 2)</f>
        <v/>
      </c>
    </row>
    <row r="624" ht="19" customHeight="1">
      <c r="A624" s="41" t="n">
        <v>620</v>
      </c>
      <c r="B624" s="41" t="n">
        <v>3620</v>
      </c>
      <c r="C624" s="42" t="inlineStr">
        <is>
          <t>0401027006</t>
        </is>
      </c>
      <c r="D624" s="42" t="inlineStr">
        <is>
          <t>Region IV-A (CALABARZON)</t>
        </is>
      </c>
      <c r="E624" s="42" t="inlineStr">
        <is>
          <t>Batangas</t>
        </is>
      </c>
      <c r="F624" s="42" t="inlineStr">
        <is>
          <t>Santa Teresita</t>
        </is>
      </c>
      <c r="G624" s="42" t="inlineStr">
        <is>
          <t>Cuta East</t>
        </is>
      </c>
      <c r="H624" s="43" t="n">
        <v>13.86594</v>
      </c>
      <c r="I624" s="43" t="n">
        <v>120.989642</v>
      </c>
      <c r="J624" s="44" t="inlineStr">
        <is>
          <t>R</t>
        </is>
      </c>
      <c r="K624" s="42" t="inlineStr">
        <is>
          <t>4th</t>
        </is>
      </c>
      <c r="L624" s="23" t="n">
        <v>1197</v>
      </c>
      <c r="M624" s="24" t="n">
        <v>4.9</v>
      </c>
      <c r="N624" s="23">
        <f>ROUND(L624/M624, 0)</f>
        <v/>
      </c>
      <c r="O624" s="23">
        <f>ROUND(N624*'Methodology &amp; Assumptions'!$B$8, 0)</f>
        <v/>
      </c>
      <c r="P624" s="44" t="inlineStr">
        <is>
          <t>Band n50 (1.5 GHz, 60 MHz)</t>
        </is>
      </c>
      <c r="Q624" s="38">
        <f>ROUNDUP(O624/'Methodology &amp; Assumptions'!$B$9, 0)</f>
        <v/>
      </c>
      <c r="R624" s="39" t="n">
        <v>1</v>
      </c>
      <c r="S624" s="25" t="n">
        <v>0.79</v>
      </c>
      <c r="T624" s="25" t="n">
        <v>0.38</v>
      </c>
      <c r="U624" s="42" t="inlineStr">
        <is>
          <t>Tier 1A (Direct Coloc, &lt;1 km)</t>
        </is>
      </c>
      <c r="V624" s="24" t="n">
        <v>86.90000000000001</v>
      </c>
      <c r="W624" s="24" t="n">
        <v>43.5</v>
      </c>
      <c r="X624" s="24" t="n">
        <v>68.5</v>
      </c>
      <c r="Y624" s="45">
        <f>ROUND((V624*'Methodology &amp; Assumptions'!$B$6)+(W624*'Methodology &amp; Assumptions'!$B$5)+(X624*'Methodology &amp; Assumptions'!$B$7), 2)</f>
        <v/>
      </c>
    </row>
    <row r="625" ht="19" customHeight="1">
      <c r="A625" s="35" t="n">
        <v>621</v>
      </c>
      <c r="B625" s="35" t="n">
        <v>3621</v>
      </c>
      <c r="C625" s="36" t="inlineStr">
        <is>
          <t>0603026020</t>
        </is>
      </c>
      <c r="D625" s="36" t="inlineStr">
        <is>
          <t>Region VI (Western Visayas)</t>
        </is>
      </c>
      <c r="E625" s="36" t="inlineStr">
        <is>
          <t>Iloilo</t>
        </is>
      </c>
      <c r="F625" s="36" t="inlineStr">
        <is>
          <t>Leganes</t>
        </is>
      </c>
      <c r="G625" s="36" t="inlineStr">
        <is>
          <t>San Vicente</t>
        </is>
      </c>
      <c r="H625" s="37" t="n">
        <v>10.792187</v>
      </c>
      <c r="I625" s="37" t="n">
        <v>122.58289</v>
      </c>
      <c r="J625" s="8" t="inlineStr">
        <is>
          <t>R</t>
        </is>
      </c>
      <c r="K625" s="36" t="inlineStr">
        <is>
          <t>2nd</t>
        </is>
      </c>
      <c r="L625" s="18" t="n">
        <v>1754</v>
      </c>
      <c r="M625" s="20" t="n">
        <v>4.6</v>
      </c>
      <c r="N625" s="18">
        <f>ROUND(L625/M625, 0)</f>
        <v/>
      </c>
      <c r="O625" s="18">
        <f>ROUND(N625*'Methodology &amp; Assumptions'!$B$8, 0)</f>
        <v/>
      </c>
      <c r="P625" s="8" t="inlineStr">
        <is>
          <t>Band n50 (1.5 GHz, 60 MHz)</t>
        </is>
      </c>
      <c r="Q625" s="38">
        <f>ROUNDUP(O625/'Methodology &amp; Assumptions'!$B$9, 0)</f>
        <v/>
      </c>
      <c r="R625" s="39" t="n">
        <v>1</v>
      </c>
      <c r="S625" s="21" t="n">
        <v>0.87</v>
      </c>
      <c r="T625" s="21" t="n">
        <v>0.9</v>
      </c>
      <c r="U625" s="36" t="inlineStr">
        <is>
          <t>Tier 1A (Direct Coloc, &lt;1 km)</t>
        </is>
      </c>
      <c r="V625" s="20" t="n">
        <v>84.90000000000001</v>
      </c>
      <c r="W625" s="20" t="n">
        <v>54.4</v>
      </c>
      <c r="X625" s="20" t="n">
        <v>58</v>
      </c>
      <c r="Y625" s="40">
        <f>ROUND((V625*'Methodology &amp; Assumptions'!$B$6)+(W625*'Methodology &amp; Assumptions'!$B$5)+(X625*'Methodology &amp; Assumptions'!$B$7), 2)</f>
        <v/>
      </c>
    </row>
    <row r="626" ht="19" customHeight="1">
      <c r="A626" s="41" t="n">
        <v>622</v>
      </c>
      <c r="B626" s="41" t="n">
        <v>3622</v>
      </c>
      <c r="C626" s="42" t="inlineStr">
        <is>
          <t>0403425015</t>
        </is>
      </c>
      <c r="D626" s="42" t="inlineStr">
        <is>
          <t>Region IV-A (CALABARZON)</t>
        </is>
      </c>
      <c r="E626" s="42" t="inlineStr">
        <is>
          <t>Laguna</t>
        </is>
      </c>
      <c r="F626" s="42" t="inlineStr">
        <is>
          <t>City of San Pedro</t>
        </is>
      </c>
      <c r="G626" s="42" t="inlineStr">
        <is>
          <t>San Roque</t>
        </is>
      </c>
      <c r="H626" s="43" t="n">
        <v>14.365573</v>
      </c>
      <c r="I626" s="43" t="n">
        <v>121.061621</v>
      </c>
      <c r="J626" s="44" t="inlineStr">
        <is>
          <t>U</t>
        </is>
      </c>
      <c r="K626" s="42" t="inlineStr">
        <is>
          <t>Class 1-3 / Urban</t>
        </is>
      </c>
      <c r="L626" s="23" t="n">
        <v>7161</v>
      </c>
      <c r="M626" s="24" t="n">
        <v>4.2</v>
      </c>
      <c r="N626" s="23">
        <f>ROUND(L626/M626, 0)</f>
        <v/>
      </c>
      <c r="O626" s="23">
        <f>ROUND(N626*'Methodology &amp; Assumptions'!$B$8, 0)</f>
        <v/>
      </c>
      <c r="P626" s="44" t="inlineStr">
        <is>
          <t>Band n50 (1.5 GHz, 60 MHz)</t>
        </is>
      </c>
      <c r="Q626" s="38">
        <f>ROUNDUP(O626/'Methodology &amp; Assumptions'!$B$9, 0)</f>
        <v/>
      </c>
      <c r="R626" s="39" t="n">
        <v>1</v>
      </c>
      <c r="S626" s="25" t="n">
        <v>1.79</v>
      </c>
      <c r="T626" s="25" t="n">
        <v>0.63</v>
      </c>
      <c r="U626" s="42" t="inlineStr">
        <is>
          <t>Tier 1B (Micro Drop, 1-3 km)</t>
        </is>
      </c>
      <c r="V626" s="24" t="n">
        <v>65.09999999999999</v>
      </c>
      <c r="W626" s="24" t="n">
        <v>100</v>
      </c>
      <c r="X626" s="24" t="n">
        <v>28</v>
      </c>
      <c r="Y626" s="45">
        <f>ROUND((V626*'Methodology &amp; Assumptions'!$B$6)+(W626*'Methodology &amp; Assumptions'!$B$5)+(X626*'Methodology &amp; Assumptions'!$B$7), 2)</f>
        <v/>
      </c>
    </row>
    <row r="627" ht="19" customHeight="1">
      <c r="A627" s="35" t="n">
        <v>623</v>
      </c>
      <c r="B627" s="35" t="n">
        <v>3623</v>
      </c>
      <c r="C627" s="36" t="inlineStr">
        <is>
          <t>0702239003</t>
        </is>
      </c>
      <c r="D627" s="36" t="inlineStr">
        <is>
          <t>Region VII (Central Visayas)</t>
        </is>
      </c>
      <c r="E627" s="36" t="inlineStr">
        <is>
          <t>Cebu</t>
        </is>
      </c>
      <c r="F627" s="36" t="inlineStr">
        <is>
          <t>Ronda</t>
        </is>
      </c>
      <c r="G627" s="36" t="inlineStr">
        <is>
          <t>Canduling</t>
        </is>
      </c>
      <c r="H627" s="37" t="n">
        <v>10.00789</v>
      </c>
      <c r="I627" s="37" t="n">
        <v>123.413189</v>
      </c>
      <c r="J627" s="8" t="inlineStr">
        <is>
          <t>R</t>
        </is>
      </c>
      <c r="K627" s="36" t="inlineStr">
        <is>
          <t>4th</t>
        </is>
      </c>
      <c r="L627" s="18" t="n">
        <v>1364</v>
      </c>
      <c r="M627" s="20" t="n">
        <v>4.22</v>
      </c>
      <c r="N627" s="18">
        <f>ROUND(L627/M627, 0)</f>
        <v/>
      </c>
      <c r="O627" s="18">
        <f>ROUND(N627*'Methodology &amp; Assumptions'!$B$8, 0)</f>
        <v/>
      </c>
      <c r="P627" s="8" t="inlineStr">
        <is>
          <t>Band n50 (1.5 GHz, 60 MHz)</t>
        </is>
      </c>
      <c r="Q627" s="38">
        <f>ROUNDUP(O627/'Methodology &amp; Assumptions'!$B$9, 0)</f>
        <v/>
      </c>
      <c r="R627" s="39" t="n">
        <v>1</v>
      </c>
      <c r="S627" s="21" t="n">
        <v>1.05</v>
      </c>
      <c r="T627" s="21" t="n">
        <v>0.14</v>
      </c>
      <c r="U627" s="36" t="inlineStr">
        <is>
          <t>Tier 1B (Micro Drop, 1-3 km)</t>
        </is>
      </c>
      <c r="V627" s="20" t="n">
        <v>80.40000000000001</v>
      </c>
      <c r="W627" s="20" t="n">
        <v>49.9</v>
      </c>
      <c r="X627" s="20" t="n">
        <v>68.5</v>
      </c>
      <c r="Y627" s="40">
        <f>ROUND((V627*'Methodology &amp; Assumptions'!$B$6)+(W627*'Methodology &amp; Assumptions'!$B$5)+(X627*'Methodology &amp; Assumptions'!$B$7), 2)</f>
        <v/>
      </c>
    </row>
    <row r="628" ht="19" customHeight="1">
      <c r="A628" s="41" t="n">
        <v>624</v>
      </c>
      <c r="B628" s="41" t="n">
        <v>3624</v>
      </c>
      <c r="C628" s="42" t="inlineStr">
        <is>
          <t>0403406004</t>
        </is>
      </c>
      <c r="D628" s="42" t="inlineStr">
        <is>
          <t>Region IV-A (CALABARZON)</t>
        </is>
      </c>
      <c r="E628" s="42" t="inlineStr">
        <is>
          <t>Laguna</t>
        </is>
      </c>
      <c r="F628" s="42" t="inlineStr">
        <is>
          <t>Calauan</t>
        </is>
      </c>
      <c r="G628" s="42" t="inlineStr">
        <is>
          <t>Hanggan</t>
        </is>
      </c>
      <c r="H628" s="43" t="n">
        <v>14.178042</v>
      </c>
      <c r="I628" s="43" t="n">
        <v>121.301782</v>
      </c>
      <c r="J628" s="44" t="inlineStr">
        <is>
          <t>R</t>
        </is>
      </c>
      <c r="K628" s="42" t="inlineStr">
        <is>
          <t>Class 1-3 / Urban</t>
        </is>
      </c>
      <c r="L628" s="23" t="n">
        <v>3114</v>
      </c>
      <c r="M628" s="24" t="n">
        <v>4.2</v>
      </c>
      <c r="N628" s="23">
        <f>ROUND(L628/M628, 0)</f>
        <v/>
      </c>
      <c r="O628" s="23">
        <f>ROUND(N628*'Methodology &amp; Assumptions'!$B$8, 0)</f>
        <v/>
      </c>
      <c r="P628" s="44" t="inlineStr">
        <is>
          <t>Band n50 (1.5 GHz, 60 MHz)</t>
        </is>
      </c>
      <c r="Q628" s="38">
        <f>ROUNDUP(O628/'Methodology &amp; Assumptions'!$B$9, 0)</f>
        <v/>
      </c>
      <c r="R628" s="39" t="n">
        <v>1</v>
      </c>
      <c r="S628" s="25" t="n">
        <v>2.32</v>
      </c>
      <c r="T628" s="25" t="n">
        <v>0.2</v>
      </c>
      <c r="U628" s="42" t="inlineStr">
        <is>
          <t>Tier 1B (Micro Drop, 1-3 km)</t>
        </is>
      </c>
      <c r="V628" s="24" t="n">
        <v>56.1</v>
      </c>
      <c r="W628" s="24" t="n">
        <v>83.2</v>
      </c>
      <c r="X628" s="24" t="n">
        <v>58</v>
      </c>
      <c r="Y628" s="45">
        <f>ROUND((V628*'Methodology &amp; Assumptions'!$B$6)+(W628*'Methodology &amp; Assumptions'!$B$5)+(X628*'Methodology &amp; Assumptions'!$B$7), 2)</f>
        <v/>
      </c>
    </row>
    <row r="629" ht="19" customHeight="1">
      <c r="A629" s="35" t="n">
        <v>625</v>
      </c>
      <c r="B629" s="35" t="n">
        <v>3625</v>
      </c>
      <c r="C629" s="36" t="inlineStr">
        <is>
          <t>0304903039</t>
        </is>
      </c>
      <c r="D629" s="36" t="inlineStr">
        <is>
          <t>Region III (Central Luzon)</t>
        </is>
      </c>
      <c r="E629" s="36" t="inlineStr">
        <is>
          <t>Nueva Ecija</t>
        </is>
      </c>
      <c r="F629" s="36" t="inlineStr">
        <is>
          <t>City of Cabanatuan</t>
        </is>
      </c>
      <c r="G629" s="36" t="inlineStr">
        <is>
          <t>Isla</t>
        </is>
      </c>
      <c r="H629" s="37" t="n">
        <v>15.49408</v>
      </c>
      <c r="I629" s="37" t="n">
        <v>120.957156</v>
      </c>
      <c r="J629" s="8" t="inlineStr">
        <is>
          <t>R</t>
        </is>
      </c>
      <c r="K629" s="36" t="inlineStr">
        <is>
          <t>Class 1-3 / Urban</t>
        </is>
      </c>
      <c r="L629" s="18" t="n">
        <v>2340</v>
      </c>
      <c r="M629" s="20" t="n">
        <v>4.32</v>
      </c>
      <c r="N629" s="18">
        <f>ROUND(L629/M629, 0)</f>
        <v/>
      </c>
      <c r="O629" s="18">
        <f>ROUND(N629*'Methodology &amp; Assumptions'!$B$8, 0)</f>
        <v/>
      </c>
      <c r="P629" s="8" t="inlineStr">
        <is>
          <t>Band n50 (1.5 GHz, 60 MHz)</t>
        </is>
      </c>
      <c r="Q629" s="38">
        <f>ROUNDUP(O629/'Methodology &amp; Assumptions'!$B$9, 0)</f>
        <v/>
      </c>
      <c r="R629" s="39" t="n">
        <v>1</v>
      </c>
      <c r="S629" s="21" t="n">
        <v>1.44</v>
      </c>
      <c r="T629" s="21" t="n">
        <v>1.43</v>
      </c>
      <c r="U629" s="36" t="inlineStr">
        <is>
          <t>Tier 1B (Micro Drop, 1-3 km)</t>
        </is>
      </c>
      <c r="V629" s="20" t="n">
        <v>71.8</v>
      </c>
      <c r="W629" s="20" t="n">
        <v>67.5</v>
      </c>
      <c r="X629" s="20" t="n">
        <v>58</v>
      </c>
      <c r="Y629" s="40">
        <f>ROUND((V629*'Methodology &amp; Assumptions'!$B$6)+(W629*'Methodology &amp; Assumptions'!$B$5)+(X629*'Methodology &amp; Assumptions'!$B$7), 2)</f>
        <v/>
      </c>
    </row>
    <row r="630" ht="19" customHeight="1">
      <c r="A630" s="41" t="n">
        <v>626</v>
      </c>
      <c r="B630" s="41" t="n">
        <v>3626</v>
      </c>
      <c r="C630" s="42" t="inlineStr">
        <is>
          <t>0506204009</t>
        </is>
      </c>
      <c r="D630" s="42" t="inlineStr">
        <is>
          <t>Region V (Bicol Region)</t>
        </is>
      </c>
      <c r="E630" s="42" t="inlineStr">
        <is>
          <t>Sorsogon</t>
        </is>
      </c>
      <c r="F630" s="42" t="inlineStr">
        <is>
          <t>Bulusan</t>
        </is>
      </c>
      <c r="G630" s="42" t="inlineStr">
        <is>
          <t>Madlawon</t>
        </is>
      </c>
      <c r="H630" s="43" t="n">
        <v>12.757072</v>
      </c>
      <c r="I630" s="43" t="n">
        <v>124.129382</v>
      </c>
      <c r="J630" s="44" t="inlineStr">
        <is>
          <t>R</t>
        </is>
      </c>
      <c r="K630" s="42" t="inlineStr">
        <is>
          <t>3rd</t>
        </is>
      </c>
      <c r="L630" s="23" t="n">
        <v>1250</v>
      </c>
      <c r="M630" s="24" t="n">
        <v>4.31</v>
      </c>
      <c r="N630" s="23">
        <f>ROUND(L630/M630, 0)</f>
        <v/>
      </c>
      <c r="O630" s="23">
        <f>ROUND(N630*'Methodology &amp; Assumptions'!$B$8, 0)</f>
        <v/>
      </c>
      <c r="P630" s="44" t="inlineStr">
        <is>
          <t>Band n50 (1.5 GHz, 60 MHz)</t>
        </is>
      </c>
      <c r="Q630" s="38">
        <f>ROUNDUP(O630/'Methodology &amp; Assumptions'!$B$9, 0)</f>
        <v/>
      </c>
      <c r="R630" s="39" t="n">
        <v>1</v>
      </c>
      <c r="S630" s="25" t="n">
        <v>0.59</v>
      </c>
      <c r="T630" s="25" t="n">
        <v>0.55</v>
      </c>
      <c r="U630" s="42" t="inlineStr">
        <is>
          <t>Tier 1A (Direct Coloc, &lt;1 km)</t>
        </is>
      </c>
      <c r="V630" s="24" t="n">
        <v>92.09999999999999</v>
      </c>
      <c r="W630" s="24" t="n">
        <v>47.2</v>
      </c>
      <c r="X630" s="24" t="n">
        <v>58</v>
      </c>
      <c r="Y630" s="45">
        <f>ROUND((V630*'Methodology &amp; Assumptions'!$B$6)+(W630*'Methodology &amp; Assumptions'!$B$5)+(X630*'Methodology &amp; Assumptions'!$B$7), 2)</f>
        <v/>
      </c>
    </row>
    <row r="631" ht="19" customHeight="1">
      <c r="A631" s="35" t="n">
        <v>627</v>
      </c>
      <c r="B631" s="35" t="n">
        <v>3627</v>
      </c>
      <c r="C631" s="36" t="inlineStr">
        <is>
          <t>0306917026</t>
        </is>
      </c>
      <c r="D631" s="36" t="inlineStr">
        <is>
          <t>Region III (Central Luzon)</t>
        </is>
      </c>
      <c r="E631" s="36" t="inlineStr">
        <is>
          <t>Tarlac</t>
        </is>
      </c>
      <c r="F631" s="36" t="inlineStr">
        <is>
          <t>Victoria</t>
        </is>
      </c>
      <c r="G631" s="36" t="inlineStr">
        <is>
          <t>Santa Barbara</t>
        </is>
      </c>
      <c r="H631" s="37" t="n">
        <v>15.57748</v>
      </c>
      <c r="I631" s="37" t="n">
        <v>120.69013</v>
      </c>
      <c r="J631" s="8" t="inlineStr">
        <is>
          <t>U</t>
        </is>
      </c>
      <c r="K631" s="36" t="inlineStr">
        <is>
          <t>Class 1-3 / Urban</t>
        </is>
      </c>
      <c r="L631" s="18" t="n">
        <v>5837</v>
      </c>
      <c r="M631" s="20" t="n">
        <v>4.3</v>
      </c>
      <c r="N631" s="18">
        <f>ROUND(L631/M631, 0)</f>
        <v/>
      </c>
      <c r="O631" s="18">
        <f>ROUND(N631*'Methodology &amp; Assumptions'!$B$8, 0)</f>
        <v/>
      </c>
      <c r="P631" s="8" t="inlineStr">
        <is>
          <t>Band n50 (1.5 GHz, 60 MHz)</t>
        </is>
      </c>
      <c r="Q631" s="38">
        <f>ROUNDUP(O631/'Methodology &amp; Assumptions'!$B$9, 0)</f>
        <v/>
      </c>
      <c r="R631" s="39" t="n">
        <v>1</v>
      </c>
      <c r="S631" s="21" t="n">
        <v>1.29</v>
      </c>
      <c r="T631" s="21" t="n">
        <v>6.59</v>
      </c>
      <c r="U631" s="36" t="inlineStr">
        <is>
          <t>Tier 1B (Micro Drop, 1-3 km)</t>
        </is>
      </c>
      <c r="V631" s="20" t="n">
        <v>65</v>
      </c>
      <c r="W631" s="20" t="n">
        <v>100</v>
      </c>
      <c r="X631" s="20" t="n">
        <v>28</v>
      </c>
      <c r="Y631" s="40">
        <f>ROUND((V631*'Methodology &amp; Assumptions'!$B$6)+(W631*'Methodology &amp; Assumptions'!$B$5)+(X631*'Methodology &amp; Assumptions'!$B$7), 2)</f>
        <v/>
      </c>
    </row>
    <row r="632" ht="19" customHeight="1">
      <c r="A632" s="41" t="n">
        <v>628</v>
      </c>
      <c r="B632" s="41" t="n">
        <v>3628</v>
      </c>
      <c r="C632" s="42" t="inlineStr">
        <is>
          <t>0402114005</t>
        </is>
      </c>
      <c r="D632" s="42" t="inlineStr">
        <is>
          <t>Region IV-A (CALABARZON)</t>
        </is>
      </c>
      <c r="E632" s="42" t="inlineStr">
        <is>
          <t>Cavite</t>
        </is>
      </c>
      <c r="F632" s="42" t="inlineStr">
        <is>
          <t>Mendez</t>
        </is>
      </c>
      <c r="G632" s="42" t="inlineStr">
        <is>
          <t>Panungyan I</t>
        </is>
      </c>
      <c r="H632" s="43" t="n">
        <v>14.134209</v>
      </c>
      <c r="I632" s="43" t="n">
        <v>120.895732</v>
      </c>
      <c r="J632" s="44" t="inlineStr">
        <is>
          <t>R</t>
        </is>
      </c>
      <c r="K632" s="42" t="inlineStr">
        <is>
          <t>2nd</t>
        </is>
      </c>
      <c r="L632" s="23" t="n">
        <v>1998</v>
      </c>
      <c r="M632" s="24" t="n">
        <v>4.37</v>
      </c>
      <c r="N632" s="23">
        <f>ROUND(L632/M632, 0)</f>
        <v/>
      </c>
      <c r="O632" s="23">
        <f>ROUND(N632*'Methodology &amp; Assumptions'!$B$8, 0)</f>
        <v/>
      </c>
      <c r="P632" s="44" t="inlineStr">
        <is>
          <t>Band n50 (1.5 GHz, 60 MHz)</t>
        </is>
      </c>
      <c r="Q632" s="38">
        <f>ROUNDUP(O632/'Methodology &amp; Assumptions'!$B$9, 0)</f>
        <v/>
      </c>
      <c r="R632" s="39" t="n">
        <v>1</v>
      </c>
      <c r="S632" s="25" t="n">
        <v>0.72</v>
      </c>
      <c r="T632" s="25" t="n">
        <v>4.77</v>
      </c>
      <c r="U632" s="42" t="inlineStr">
        <is>
          <t>Tier 1A (Direct Coloc, &lt;1 km)</t>
        </is>
      </c>
      <c r="V632" s="24" t="n">
        <v>78.8</v>
      </c>
      <c r="W632" s="24" t="n">
        <v>60.5</v>
      </c>
      <c r="X632" s="24" t="n">
        <v>58</v>
      </c>
      <c r="Y632" s="45">
        <f>ROUND((V632*'Methodology &amp; Assumptions'!$B$6)+(W632*'Methodology &amp; Assumptions'!$B$5)+(X632*'Methodology &amp; Assumptions'!$B$7), 2)</f>
        <v/>
      </c>
    </row>
    <row r="633" ht="19" customHeight="1">
      <c r="A633" s="35" t="n">
        <v>629</v>
      </c>
      <c r="B633" s="35" t="n">
        <v>3629</v>
      </c>
      <c r="C633" s="36" t="inlineStr">
        <is>
          <t>0405623006</t>
        </is>
      </c>
      <c r="D633" s="36" t="inlineStr">
        <is>
          <t>Region IV-A (CALABARZON)</t>
        </is>
      </c>
      <c r="E633" s="36" t="inlineStr">
        <is>
          <t>Quezon</t>
        </is>
      </c>
      <c r="F633" s="36" t="inlineStr">
        <is>
          <t>Lucban</t>
        </is>
      </c>
      <c r="G633" s="36" t="inlineStr">
        <is>
          <t>Barangay 3</t>
        </is>
      </c>
      <c r="H633" s="37" t="n">
        <v>14.116607</v>
      </c>
      <c r="I633" s="37" t="n">
        <v>121.550338</v>
      </c>
      <c r="J633" s="8" t="inlineStr">
        <is>
          <t>R</t>
        </is>
      </c>
      <c r="K633" s="36" t="inlineStr">
        <is>
          <t>Class 1-3 / Urban</t>
        </is>
      </c>
      <c r="L633" s="18" t="n">
        <v>1733</v>
      </c>
      <c r="M633" s="20" t="n">
        <v>4.46</v>
      </c>
      <c r="N633" s="18">
        <f>ROUND(L633/M633, 0)</f>
        <v/>
      </c>
      <c r="O633" s="18">
        <f>ROUND(N633*'Methodology &amp; Assumptions'!$B$8, 0)</f>
        <v/>
      </c>
      <c r="P633" s="8" t="inlineStr">
        <is>
          <t>Band n50 (1.5 GHz, 60 MHz)</t>
        </is>
      </c>
      <c r="Q633" s="38">
        <f>ROUNDUP(O633/'Methodology &amp; Assumptions'!$B$9, 0)</f>
        <v/>
      </c>
      <c r="R633" s="39" t="n">
        <v>1</v>
      </c>
      <c r="S633" s="21" t="n">
        <v>0.9</v>
      </c>
      <c r="T633" s="21" t="n">
        <v>0.11</v>
      </c>
      <c r="U633" s="36" t="inlineStr">
        <is>
          <t>Tier 1A (Direct Coloc, &lt;1 km)</t>
        </is>
      </c>
      <c r="V633" s="20" t="n">
        <v>84.09999999999999</v>
      </c>
      <c r="W633" s="20" t="n">
        <v>55.2</v>
      </c>
      <c r="X633" s="20" t="n">
        <v>58</v>
      </c>
      <c r="Y633" s="40">
        <f>ROUND((V633*'Methodology &amp; Assumptions'!$B$6)+(W633*'Methodology &amp; Assumptions'!$B$5)+(X633*'Methodology &amp; Assumptions'!$B$7), 2)</f>
        <v/>
      </c>
    </row>
    <row r="634" ht="19" customHeight="1">
      <c r="A634" s="41" t="n">
        <v>630</v>
      </c>
      <c r="B634" s="41" t="n">
        <v>3630</v>
      </c>
      <c r="C634" s="42" t="inlineStr">
        <is>
          <t>0604528040</t>
        </is>
      </c>
      <c r="D634" s="42" t="inlineStr">
        <is>
          <t>Region VI (Western Visayas)</t>
        </is>
      </c>
      <c r="E634" s="42" t="inlineStr">
        <is>
          <t>Negros Occidental</t>
        </is>
      </c>
      <c r="F634" s="42" t="inlineStr">
        <is>
          <t>City of Talisay</t>
        </is>
      </c>
      <c r="G634" s="42" t="inlineStr">
        <is>
          <t>Zone 1</t>
        </is>
      </c>
      <c r="H634" s="43" t="n">
        <v>10.745471</v>
      </c>
      <c r="I634" s="43" t="n">
        <v>122.97137</v>
      </c>
      <c r="J634" s="44" t="inlineStr">
        <is>
          <t>R</t>
        </is>
      </c>
      <c r="K634" s="42" t="inlineStr">
        <is>
          <t>Class 1-3 / Urban</t>
        </is>
      </c>
      <c r="L634" s="23" t="n">
        <v>1378</v>
      </c>
      <c r="M634" s="24" t="n">
        <v>4.33</v>
      </c>
      <c r="N634" s="23">
        <f>ROUND(L634/M634, 0)</f>
        <v/>
      </c>
      <c r="O634" s="23">
        <f>ROUND(N634*'Methodology &amp; Assumptions'!$B$8, 0)</f>
        <v/>
      </c>
      <c r="P634" s="44" t="inlineStr">
        <is>
          <t>Band n50 (1.5 GHz, 60 MHz)</t>
        </is>
      </c>
      <c r="Q634" s="38">
        <f>ROUNDUP(O634/'Methodology &amp; Assumptions'!$B$9, 0)</f>
        <v/>
      </c>
      <c r="R634" s="39" t="n">
        <v>1</v>
      </c>
      <c r="S634" s="25" t="n">
        <v>0.67</v>
      </c>
      <c r="T634" s="25" t="n">
        <v>0.13</v>
      </c>
      <c r="U634" s="42" t="inlineStr">
        <is>
          <t>Tier 1A (Direct Coloc, &lt;1 km)</t>
        </is>
      </c>
      <c r="V634" s="24" t="n">
        <v>89.90000000000001</v>
      </c>
      <c r="W634" s="24" t="n">
        <v>49.3</v>
      </c>
      <c r="X634" s="24" t="n">
        <v>58</v>
      </c>
      <c r="Y634" s="45">
        <f>ROUND((V634*'Methodology &amp; Assumptions'!$B$6)+(W634*'Methodology &amp; Assumptions'!$B$5)+(X634*'Methodology &amp; Assumptions'!$B$7), 2)</f>
        <v/>
      </c>
    </row>
    <row r="635" ht="19" customHeight="1">
      <c r="A635" s="35" t="n">
        <v>631</v>
      </c>
      <c r="B635" s="35" t="n">
        <v>3631</v>
      </c>
      <c r="C635" s="36" t="inlineStr">
        <is>
          <t>0105532044</t>
        </is>
      </c>
      <c r="D635" s="36" t="inlineStr">
        <is>
          <t>Region I (Ilocos Region)</t>
        </is>
      </c>
      <c r="E635" s="36" t="inlineStr">
        <is>
          <t>Pangasinan</t>
        </is>
      </c>
      <c r="F635" s="36" t="inlineStr">
        <is>
          <t>City of San Carlos</t>
        </is>
      </c>
      <c r="G635" s="36" t="inlineStr">
        <is>
          <t>Lucban</t>
        </is>
      </c>
      <c r="H635" s="37" t="n">
        <v>15.92865</v>
      </c>
      <c r="I635" s="37" t="n">
        <v>120.344761</v>
      </c>
      <c r="J635" s="8" t="inlineStr">
        <is>
          <t>R</t>
        </is>
      </c>
      <c r="K635" s="36" t="inlineStr">
        <is>
          <t>Class 1-3 / Urban</t>
        </is>
      </c>
      <c r="L635" s="18" t="n">
        <v>985</v>
      </c>
      <c r="M635" s="20" t="n">
        <v>4.39</v>
      </c>
      <c r="N635" s="18">
        <f>ROUND(L635/M635, 0)</f>
        <v/>
      </c>
      <c r="O635" s="18">
        <f>ROUND(N635*'Methodology &amp; Assumptions'!$B$8, 0)</f>
        <v/>
      </c>
      <c r="P635" s="8" t="inlineStr">
        <is>
          <t>Band n50 (1.5 GHz, 60 MHz)</t>
        </is>
      </c>
      <c r="Q635" s="38">
        <f>ROUNDUP(O635/'Methodology &amp; Assumptions'!$B$9, 0)</f>
        <v/>
      </c>
      <c r="R635" s="39" t="n">
        <v>1</v>
      </c>
      <c r="S635" s="21" t="n">
        <v>0.4</v>
      </c>
      <c r="T635" s="21" t="n">
        <v>0.35</v>
      </c>
      <c r="U635" s="36" t="inlineStr">
        <is>
          <t>Tier 1A (Direct Coloc, &lt;1 km)</t>
        </is>
      </c>
      <c r="V635" s="20" t="n">
        <v>97.40000000000001</v>
      </c>
      <c r="W635" s="20" t="n">
        <v>41.9</v>
      </c>
      <c r="X635" s="20" t="n">
        <v>58</v>
      </c>
      <c r="Y635" s="40">
        <f>ROUND((V635*'Methodology &amp; Assumptions'!$B$6)+(W635*'Methodology &amp; Assumptions'!$B$5)+(X635*'Methodology &amp; Assumptions'!$B$7), 2)</f>
        <v/>
      </c>
    </row>
    <row r="636" ht="19" customHeight="1">
      <c r="A636" s="41" t="n">
        <v>632</v>
      </c>
      <c r="B636" s="41" t="n">
        <v>3632</v>
      </c>
      <c r="C636" s="42" t="inlineStr">
        <is>
          <t>0631000063</t>
        </is>
      </c>
      <c r="D636" s="42" t="inlineStr">
        <is>
          <t>Region VI (Western Visayas)</t>
        </is>
      </c>
      <c r="E636" s="42" t="inlineStr">
        <is>
          <t>Iloilo</t>
        </is>
      </c>
      <c r="F636" s="42" t="inlineStr">
        <is>
          <t>City of Iloilo</t>
        </is>
      </c>
      <c r="G636" s="42" t="inlineStr">
        <is>
          <t>Gustilo</t>
        </is>
      </c>
      <c r="H636" s="43" t="n">
        <v>10.714956</v>
      </c>
      <c r="I636" s="43" t="n">
        <v>122.571679</v>
      </c>
      <c r="J636" s="44" t="inlineStr">
        <is>
          <t>U</t>
        </is>
      </c>
      <c r="K636" s="42" t="inlineStr">
        <is>
          <t>Class 1-3 / Urban</t>
        </is>
      </c>
      <c r="L636" s="23" t="n">
        <v>2436</v>
      </c>
      <c r="M636" s="24" t="n">
        <v>4.39</v>
      </c>
      <c r="N636" s="23">
        <f>ROUND(L636/M636, 0)</f>
        <v/>
      </c>
      <c r="O636" s="23">
        <f>ROUND(N636*'Methodology &amp; Assumptions'!$B$8, 0)</f>
        <v/>
      </c>
      <c r="P636" s="44" t="inlineStr">
        <is>
          <t>Band n50 (1.5 GHz, 60 MHz)</t>
        </is>
      </c>
      <c r="Q636" s="38">
        <f>ROUNDUP(O636/'Methodology &amp; Assumptions'!$B$9, 0)</f>
        <v/>
      </c>
      <c r="R636" s="39" t="n">
        <v>1</v>
      </c>
      <c r="S636" s="25" t="n">
        <v>0.43</v>
      </c>
      <c r="T636" s="25" t="n">
        <v>0.8</v>
      </c>
      <c r="U636" s="42" t="inlineStr">
        <is>
          <t>Tier 1A (Direct Coloc, &lt;1 km)</t>
        </is>
      </c>
      <c r="V636" s="24" t="n">
        <v>96.7</v>
      </c>
      <c r="W636" s="24" t="n">
        <v>68.3</v>
      </c>
      <c r="X636" s="24" t="n">
        <v>28</v>
      </c>
      <c r="Y636" s="45">
        <f>ROUND((V636*'Methodology &amp; Assumptions'!$B$6)+(W636*'Methodology &amp; Assumptions'!$B$5)+(X636*'Methodology &amp; Assumptions'!$B$7), 2)</f>
        <v/>
      </c>
    </row>
    <row r="637" ht="19" customHeight="1">
      <c r="A637" s="35" t="n">
        <v>633</v>
      </c>
      <c r="B637" s="35" t="n">
        <v>3633</v>
      </c>
      <c r="C637" s="36" t="inlineStr">
        <is>
          <t>0105512017</t>
        </is>
      </c>
      <c r="D637" s="36" t="inlineStr">
        <is>
          <t>Region I (Ilocos Region)</t>
        </is>
      </c>
      <c r="E637" s="36" t="inlineStr">
        <is>
          <t>Pangasinan</t>
        </is>
      </c>
      <c r="F637" s="36" t="inlineStr">
        <is>
          <t>Binalonan</t>
        </is>
      </c>
      <c r="G637" s="36" t="inlineStr">
        <is>
          <t>San Felipe Sur</t>
        </is>
      </c>
      <c r="H637" s="37" t="n">
        <v>16.044379</v>
      </c>
      <c r="I637" s="37" t="n">
        <v>120.599144</v>
      </c>
      <c r="J637" s="8" t="inlineStr">
        <is>
          <t>R</t>
        </is>
      </c>
      <c r="K637" s="36" t="inlineStr">
        <is>
          <t>Class 1-3 / Urban</t>
        </is>
      </c>
      <c r="L637" s="18" t="n">
        <v>2438</v>
      </c>
      <c r="M637" s="20" t="n">
        <v>4.39</v>
      </c>
      <c r="N637" s="18">
        <f>ROUND(L637/M637, 0)</f>
        <v/>
      </c>
      <c r="O637" s="18">
        <f>ROUND(N637*'Methodology &amp; Assumptions'!$B$8, 0)</f>
        <v/>
      </c>
      <c r="P637" s="8" t="inlineStr">
        <is>
          <t>Band n50 (1.5 GHz, 60 MHz)</t>
        </is>
      </c>
      <c r="Q637" s="38">
        <f>ROUNDUP(O637/'Methodology &amp; Assumptions'!$B$9, 0)</f>
        <v/>
      </c>
      <c r="R637" s="39" t="n">
        <v>1</v>
      </c>
      <c r="S637" s="21" t="n">
        <v>1.48</v>
      </c>
      <c r="T637" s="21" t="n">
        <v>0.72</v>
      </c>
      <c r="U637" s="36" t="inlineStr">
        <is>
          <t>Tier 1B (Micro Drop, 1-3 km)</t>
        </is>
      </c>
      <c r="V637" s="20" t="n">
        <v>71</v>
      </c>
      <c r="W637" s="20" t="n">
        <v>68.3</v>
      </c>
      <c r="X637" s="20" t="n">
        <v>58</v>
      </c>
      <c r="Y637" s="40">
        <f>ROUND((V637*'Methodology &amp; Assumptions'!$B$6)+(W637*'Methodology &amp; Assumptions'!$B$5)+(X637*'Methodology &amp; Assumptions'!$B$7), 2)</f>
        <v/>
      </c>
    </row>
    <row r="638" ht="19" customHeight="1">
      <c r="A638" s="41" t="n">
        <v>634</v>
      </c>
      <c r="B638" s="41" t="n">
        <v>3634</v>
      </c>
      <c r="C638" s="42" t="inlineStr">
        <is>
          <t>0402109006</t>
        </is>
      </c>
      <c r="D638" s="42" t="inlineStr">
        <is>
          <t>Region IV-A (CALABARZON)</t>
        </is>
      </c>
      <c r="E638" s="42" t="inlineStr">
        <is>
          <t>Cavite</t>
        </is>
      </c>
      <c r="F638" s="42" t="inlineStr">
        <is>
          <t>City of Imus</t>
        </is>
      </c>
      <c r="G638" s="42" t="inlineStr">
        <is>
          <t>Poblacion I-A</t>
        </is>
      </c>
      <c r="H638" s="43" t="n">
        <v>14.428222</v>
      </c>
      <c r="I638" s="43" t="n">
        <v>120.940111</v>
      </c>
      <c r="J638" s="44" t="inlineStr">
        <is>
          <t>R</t>
        </is>
      </c>
      <c r="K638" s="42" t="inlineStr">
        <is>
          <t>Class 1-3 / Urban</t>
        </is>
      </c>
      <c r="L638" s="23" t="n">
        <v>1949</v>
      </c>
      <c r="M638" s="24" t="n">
        <v>4.49</v>
      </c>
      <c r="N638" s="23">
        <f>ROUND(L638/M638, 0)</f>
        <v/>
      </c>
      <c r="O638" s="23">
        <f>ROUND(N638*'Methodology &amp; Assumptions'!$B$8, 0)</f>
        <v/>
      </c>
      <c r="P638" s="44" t="inlineStr">
        <is>
          <t>Band n50 (1.5 GHz, 60 MHz)</t>
        </is>
      </c>
      <c r="Q638" s="38">
        <f>ROUNDUP(O638/'Methodology &amp; Assumptions'!$B$9, 0)</f>
        <v/>
      </c>
      <c r="R638" s="39" t="n">
        <v>1</v>
      </c>
      <c r="S638" s="25" t="n">
        <v>0.65</v>
      </c>
      <c r="T638" s="25" t="n">
        <v>2.16</v>
      </c>
      <c r="U638" s="42" t="inlineStr">
        <is>
          <t>Tier 1A (Direct Coloc, &lt;1 km)</t>
        </is>
      </c>
      <c r="V638" s="24" t="n">
        <v>80.59999999999999</v>
      </c>
      <c r="W638" s="24" t="n">
        <v>58.7</v>
      </c>
      <c r="X638" s="24" t="n">
        <v>58</v>
      </c>
      <c r="Y638" s="45">
        <f>ROUND((V638*'Methodology &amp; Assumptions'!$B$6)+(W638*'Methodology &amp; Assumptions'!$B$5)+(X638*'Methodology &amp; Assumptions'!$B$7), 2)</f>
        <v/>
      </c>
    </row>
    <row r="639" ht="19" customHeight="1">
      <c r="A639" s="35" t="n">
        <v>635</v>
      </c>
      <c r="B639" s="35" t="n">
        <v>3635</v>
      </c>
      <c r="C639" s="36" t="inlineStr">
        <is>
          <t>0301420058</t>
        </is>
      </c>
      <c r="D639" s="36" t="inlineStr">
        <is>
          <t>Region III (Central Luzon)</t>
        </is>
      </c>
      <c r="E639" s="36" t="inlineStr">
        <is>
          <t>Bulacan</t>
        </is>
      </c>
      <c r="F639" s="36" t="inlineStr">
        <is>
          <t>City of San Jose Del Monte</t>
        </is>
      </c>
      <c r="G639" s="36" t="inlineStr">
        <is>
          <t>Santo Niño II</t>
        </is>
      </c>
      <c r="H639" s="37" t="n">
        <v>14.859906</v>
      </c>
      <c r="I639" s="37" t="n">
        <v>121.060025</v>
      </c>
      <c r="J639" s="8" t="inlineStr">
        <is>
          <t>R</t>
        </is>
      </c>
      <c r="K639" s="36" t="inlineStr">
        <is>
          <t>Class 1-3 / Urban</t>
        </is>
      </c>
      <c r="L639" s="18" t="n">
        <v>3746</v>
      </c>
      <c r="M639" s="20" t="n">
        <v>4.1</v>
      </c>
      <c r="N639" s="18">
        <f>ROUND(L639/M639, 0)</f>
        <v/>
      </c>
      <c r="O639" s="18">
        <f>ROUND(N639*'Methodology &amp; Assumptions'!$B$8, 0)</f>
        <v/>
      </c>
      <c r="P639" s="8" t="inlineStr">
        <is>
          <t>Band n50 (1.5 GHz, 60 MHz)</t>
        </is>
      </c>
      <c r="Q639" s="38">
        <f>ROUNDUP(O639/'Methodology &amp; Assumptions'!$B$9, 0)</f>
        <v/>
      </c>
      <c r="R639" s="39" t="n">
        <v>1</v>
      </c>
      <c r="S639" s="21" t="n">
        <v>2.59</v>
      </c>
      <c r="T639" s="21" t="n">
        <v>3.78</v>
      </c>
      <c r="U639" s="36" t="inlineStr">
        <is>
          <t>Tier 1B (Micro Drop, 1-3 km)</t>
        </is>
      </c>
      <c r="V639" s="20" t="n">
        <v>42.2</v>
      </c>
      <c r="W639" s="20" t="n">
        <v>97.09999999999999</v>
      </c>
      <c r="X639" s="20" t="n">
        <v>58</v>
      </c>
      <c r="Y639" s="40">
        <f>ROUND((V639*'Methodology &amp; Assumptions'!$B$6)+(W639*'Methodology &amp; Assumptions'!$B$5)+(X639*'Methodology &amp; Assumptions'!$B$7), 2)</f>
        <v/>
      </c>
    </row>
    <row r="640" ht="19" customHeight="1">
      <c r="A640" s="41" t="n">
        <v>636</v>
      </c>
      <c r="B640" s="41" t="n">
        <v>3636</v>
      </c>
      <c r="C640" s="42" t="inlineStr">
        <is>
          <t>0506209016</t>
        </is>
      </c>
      <c r="D640" s="42" t="inlineStr">
        <is>
          <t>Region V (Bicol Region)</t>
        </is>
      </c>
      <c r="E640" s="42" t="inlineStr">
        <is>
          <t>Sorsogon</t>
        </is>
      </c>
      <c r="F640" s="42" t="inlineStr">
        <is>
          <t>Irosin</t>
        </is>
      </c>
      <c r="G640" s="42" t="inlineStr">
        <is>
          <t>Macawayan</t>
        </is>
      </c>
      <c r="H640" s="43" t="n">
        <v>12.705381</v>
      </c>
      <c r="I640" s="43" t="n">
        <v>124.016398</v>
      </c>
      <c r="J640" s="44" t="inlineStr">
        <is>
          <t>R</t>
        </is>
      </c>
      <c r="K640" s="42" t="inlineStr">
        <is>
          <t>Class 1-3 / Urban</t>
        </is>
      </c>
      <c r="L640" s="23" t="n">
        <v>3187</v>
      </c>
      <c r="M640" s="24" t="n">
        <v>4.58</v>
      </c>
      <c r="N640" s="23">
        <f>ROUND(L640/M640, 0)</f>
        <v/>
      </c>
      <c r="O640" s="23">
        <f>ROUND(N640*'Methodology &amp; Assumptions'!$B$8, 0)</f>
        <v/>
      </c>
      <c r="P640" s="44" t="inlineStr">
        <is>
          <t>Band n50 (1.5 GHz, 60 MHz)</t>
        </is>
      </c>
      <c r="Q640" s="38">
        <f>ROUNDUP(O640/'Methodology &amp; Assumptions'!$B$9, 0)</f>
        <v/>
      </c>
      <c r="R640" s="39" t="n">
        <v>1</v>
      </c>
      <c r="S640" s="25" t="n">
        <v>2.11</v>
      </c>
      <c r="T640" s="25" t="n">
        <v>0.97</v>
      </c>
      <c r="U640" s="42" t="inlineStr">
        <is>
          <t>Tier 1B (Micro Drop, 1-3 km)</t>
        </is>
      </c>
      <c r="V640" s="24" t="n">
        <v>59.5</v>
      </c>
      <c r="W640" s="24" t="n">
        <v>79.7</v>
      </c>
      <c r="X640" s="24" t="n">
        <v>58</v>
      </c>
      <c r="Y640" s="45">
        <f>ROUND((V640*'Methodology &amp; Assumptions'!$B$6)+(W640*'Methodology &amp; Assumptions'!$B$5)+(X640*'Methodology &amp; Assumptions'!$B$7), 2)</f>
        <v/>
      </c>
    </row>
    <row r="641" ht="19" customHeight="1">
      <c r="A641" s="35" t="n">
        <v>637</v>
      </c>
      <c r="B641" s="35" t="n">
        <v>3637</v>
      </c>
      <c r="C641" s="36" t="inlineStr">
        <is>
          <t>0105523007</t>
        </is>
      </c>
      <c r="D641" s="36" t="inlineStr">
        <is>
          <t>Region I (Ilocos Region)</t>
        </is>
      </c>
      <c r="E641" s="36" t="inlineStr">
        <is>
          <t>Pangasinan</t>
        </is>
      </c>
      <c r="F641" s="36" t="inlineStr">
        <is>
          <t>Mabini</t>
        </is>
      </c>
      <c r="G641" s="36" t="inlineStr">
        <is>
          <t>Cabinuangan</t>
        </is>
      </c>
      <c r="H641" s="37" t="n">
        <v>16.087637</v>
      </c>
      <c r="I641" s="37" t="n">
        <v>119.919854</v>
      </c>
      <c r="J641" s="8" t="inlineStr">
        <is>
          <t>R</t>
        </is>
      </c>
      <c r="K641" s="36" t="inlineStr">
        <is>
          <t>Class 1-3 / Urban</t>
        </is>
      </c>
      <c r="L641" s="18" t="n">
        <v>1556</v>
      </c>
      <c r="M641" s="20" t="n">
        <v>4.39</v>
      </c>
      <c r="N641" s="18">
        <f>ROUND(L641/M641, 0)</f>
        <v/>
      </c>
      <c r="O641" s="18">
        <f>ROUND(N641*'Methodology &amp; Assumptions'!$B$8, 0)</f>
        <v/>
      </c>
      <c r="P641" s="8" t="inlineStr">
        <is>
          <t>Band n50 (1.5 GHz, 60 MHz)</t>
        </is>
      </c>
      <c r="Q641" s="38">
        <f>ROUNDUP(O641/'Methodology &amp; Assumptions'!$B$9, 0)</f>
        <v/>
      </c>
      <c r="R641" s="39" t="n">
        <v>1</v>
      </c>
      <c r="S641" s="21" t="n">
        <v>0.79</v>
      </c>
      <c r="T641" s="21" t="n">
        <v>0.48</v>
      </c>
      <c r="U641" s="36" t="inlineStr">
        <is>
          <t>Tier 1A (Direct Coloc, &lt;1 km)</t>
        </is>
      </c>
      <c r="V641" s="20" t="n">
        <v>87</v>
      </c>
      <c r="W641" s="20" t="n">
        <v>52.3</v>
      </c>
      <c r="X641" s="20" t="n">
        <v>58</v>
      </c>
      <c r="Y641" s="40">
        <f>ROUND((V641*'Methodology &amp; Assumptions'!$B$6)+(W641*'Methodology &amp; Assumptions'!$B$5)+(X641*'Methodology &amp; Assumptions'!$B$7), 2)</f>
        <v/>
      </c>
    </row>
    <row r="642" ht="19" customHeight="1">
      <c r="A642" s="41" t="n">
        <v>638</v>
      </c>
      <c r="B642" s="41" t="n">
        <v>3638</v>
      </c>
      <c r="C642" s="42" t="inlineStr">
        <is>
          <t>0304903084</t>
        </is>
      </c>
      <c r="D642" s="42" t="inlineStr">
        <is>
          <t>Region III (Central Luzon)</t>
        </is>
      </c>
      <c r="E642" s="42" t="inlineStr">
        <is>
          <t>Nueva Ecija</t>
        </is>
      </c>
      <c r="F642" s="42" t="inlineStr">
        <is>
          <t>City of Cabanatuan</t>
        </is>
      </c>
      <c r="G642" s="42" t="inlineStr">
        <is>
          <t>Vijandre District</t>
        </is>
      </c>
      <c r="H642" s="43" t="n">
        <v>15.485381</v>
      </c>
      <c r="I642" s="43" t="n">
        <v>120.958667</v>
      </c>
      <c r="J642" s="44" t="inlineStr">
        <is>
          <t>R</t>
        </is>
      </c>
      <c r="K642" s="42" t="inlineStr">
        <is>
          <t>Class 1-3 / Urban</t>
        </is>
      </c>
      <c r="L642" s="23" t="n">
        <v>1096</v>
      </c>
      <c r="M642" s="24" t="n">
        <v>4.32</v>
      </c>
      <c r="N642" s="23">
        <f>ROUND(L642/M642, 0)</f>
        <v/>
      </c>
      <c r="O642" s="23">
        <f>ROUND(N642*'Methodology &amp; Assumptions'!$B$8, 0)</f>
        <v/>
      </c>
      <c r="P642" s="44" t="inlineStr">
        <is>
          <t>Band n50 (1.5 GHz, 60 MHz)</t>
        </is>
      </c>
      <c r="Q642" s="38">
        <f>ROUNDUP(O642/'Methodology &amp; Assumptions'!$B$9, 0)</f>
        <v/>
      </c>
      <c r="R642" s="39" t="n">
        <v>1</v>
      </c>
      <c r="S642" s="25" t="n">
        <v>0.49</v>
      </c>
      <c r="T642" s="25" t="n">
        <v>0.49</v>
      </c>
      <c r="U642" s="42" t="inlineStr">
        <is>
          <t>Tier 1A (Direct Coloc, &lt;1 km)</t>
        </is>
      </c>
      <c r="V642" s="24" t="n">
        <v>95</v>
      </c>
      <c r="W642" s="24" t="n">
        <v>44.3</v>
      </c>
      <c r="X642" s="24" t="n">
        <v>58</v>
      </c>
      <c r="Y642" s="45">
        <f>ROUND((V642*'Methodology &amp; Assumptions'!$B$6)+(W642*'Methodology &amp; Assumptions'!$B$5)+(X642*'Methodology &amp; Assumptions'!$B$7), 2)</f>
        <v/>
      </c>
    </row>
    <row r="643" ht="19" customHeight="1">
      <c r="A643" s="35" t="n">
        <v>639</v>
      </c>
      <c r="B643" s="35" t="n">
        <v>3639</v>
      </c>
      <c r="C643" s="36" t="inlineStr">
        <is>
          <t>0304908006</t>
        </is>
      </c>
      <c r="D643" s="36" t="inlineStr">
        <is>
          <t>Region III (Central Luzon)</t>
        </is>
      </c>
      <c r="E643" s="36" t="inlineStr">
        <is>
          <t>Nueva Ecija</t>
        </is>
      </c>
      <c r="F643" s="36" t="inlineStr">
        <is>
          <t>City of Gapan</t>
        </is>
      </c>
      <c r="G643" s="36" t="inlineStr">
        <is>
          <t>Mangino</t>
        </is>
      </c>
      <c r="H643" s="37" t="n">
        <v>15.310709</v>
      </c>
      <c r="I643" s="37" t="n">
        <v>120.962214</v>
      </c>
      <c r="J643" s="8" t="inlineStr">
        <is>
          <t>U</t>
        </is>
      </c>
      <c r="K643" s="36" t="inlineStr">
        <is>
          <t>Class 1-3 / Urban</t>
        </is>
      </c>
      <c r="L643" s="18" t="n">
        <v>12922</v>
      </c>
      <c r="M643" s="20" t="n">
        <v>4.32</v>
      </c>
      <c r="N643" s="18">
        <f>ROUND(L643/M643, 0)</f>
        <v/>
      </c>
      <c r="O643" s="18">
        <f>ROUND(N643*'Methodology &amp; Assumptions'!$B$8, 0)</f>
        <v/>
      </c>
      <c r="P643" s="8" t="inlineStr">
        <is>
          <t>Band n50 (1.5 GHz, 60 MHz)</t>
        </is>
      </c>
      <c r="Q643" s="38">
        <f>ROUNDUP(O643/'Methodology &amp; Assumptions'!$B$9, 0)</f>
        <v/>
      </c>
      <c r="R643" s="39" t="n">
        <v>1</v>
      </c>
      <c r="S643" s="21" t="n">
        <v>1.8</v>
      </c>
      <c r="T643" s="21" t="n">
        <v>0.76</v>
      </c>
      <c r="U643" s="36" t="inlineStr">
        <is>
          <t>Tier 1B (Micro Drop, 1-3 km)</t>
        </is>
      </c>
      <c r="V643" s="20" t="n">
        <v>64.90000000000001</v>
      </c>
      <c r="W643" s="20" t="n">
        <v>100</v>
      </c>
      <c r="X643" s="20" t="n">
        <v>28</v>
      </c>
      <c r="Y643" s="40">
        <f>ROUND((V643*'Methodology &amp; Assumptions'!$B$6)+(W643*'Methodology &amp; Assumptions'!$B$5)+(X643*'Methodology &amp; Assumptions'!$B$7), 2)</f>
        <v/>
      </c>
    </row>
    <row r="644" ht="19" customHeight="1">
      <c r="A644" s="41" t="n">
        <v>640</v>
      </c>
      <c r="B644" s="41" t="n">
        <v>3640</v>
      </c>
      <c r="C644" s="42" t="inlineStr">
        <is>
          <t>0305416026</t>
        </is>
      </c>
      <c r="D644" s="42" t="inlineStr">
        <is>
          <t>Region III (Central Luzon)</t>
        </is>
      </c>
      <c r="E644" s="42" t="inlineStr">
        <is>
          <t>Pampanga</t>
        </is>
      </c>
      <c r="F644" s="42" t="inlineStr">
        <is>
          <t>City of San Fernando</t>
        </is>
      </c>
      <c r="G644" s="42" t="inlineStr">
        <is>
          <t>San Isidro</t>
        </is>
      </c>
      <c r="H644" s="43" t="n">
        <v>15.060851</v>
      </c>
      <c r="I644" s="43" t="n">
        <v>120.647523</v>
      </c>
      <c r="J644" s="44" t="inlineStr">
        <is>
          <t>U</t>
        </is>
      </c>
      <c r="K644" s="42" t="inlineStr">
        <is>
          <t>Class 1-3 / Urban</t>
        </is>
      </c>
      <c r="L644" s="23" t="n">
        <v>9616</v>
      </c>
      <c r="M644" s="24" t="n">
        <v>4.63</v>
      </c>
      <c r="N644" s="23">
        <f>ROUND(L644/M644, 0)</f>
        <v/>
      </c>
      <c r="O644" s="23">
        <f>ROUND(N644*'Methodology &amp; Assumptions'!$B$8, 0)</f>
        <v/>
      </c>
      <c r="P644" s="44" t="inlineStr">
        <is>
          <t>Band n50 (1.5 GHz, 60 MHz)</t>
        </is>
      </c>
      <c r="Q644" s="38">
        <f>ROUNDUP(O644/'Methodology &amp; Assumptions'!$B$9, 0)</f>
        <v/>
      </c>
      <c r="R644" s="39" t="n">
        <v>1</v>
      </c>
      <c r="S644" s="25" t="n">
        <v>1.8</v>
      </c>
      <c r="T644" s="25" t="n">
        <v>0.3</v>
      </c>
      <c r="U644" s="42" t="inlineStr">
        <is>
          <t>Tier 1B (Micro Drop, 1-3 km)</t>
        </is>
      </c>
      <c r="V644" s="24" t="n">
        <v>64.90000000000001</v>
      </c>
      <c r="W644" s="24" t="n">
        <v>100</v>
      </c>
      <c r="X644" s="24" t="n">
        <v>28</v>
      </c>
      <c r="Y644" s="45">
        <f>ROUND((V644*'Methodology &amp; Assumptions'!$B$6)+(W644*'Methodology &amp; Assumptions'!$B$5)+(X644*'Methodology &amp; Assumptions'!$B$7), 2)</f>
        <v/>
      </c>
    </row>
    <row r="645" ht="19" customHeight="1">
      <c r="A645" s="35" t="n">
        <v>641</v>
      </c>
      <c r="B645" s="35" t="n">
        <v>3641</v>
      </c>
      <c r="C645" s="36" t="inlineStr">
        <is>
          <t>0304903072</t>
        </is>
      </c>
      <c r="D645" s="36" t="inlineStr">
        <is>
          <t>Region III (Central Luzon)</t>
        </is>
      </c>
      <c r="E645" s="36" t="inlineStr">
        <is>
          <t>Nueva Ecija</t>
        </is>
      </c>
      <c r="F645" s="36" t="inlineStr">
        <is>
          <t>City of Cabanatuan</t>
        </is>
      </c>
      <c r="G645" s="36" t="inlineStr">
        <is>
          <t>San Josef Sur</t>
        </is>
      </c>
      <c r="H645" s="37" t="n">
        <v>15.474309</v>
      </c>
      <c r="I645" s="37" t="n">
        <v>120.946256</v>
      </c>
      <c r="J645" s="8" t="inlineStr">
        <is>
          <t>U</t>
        </is>
      </c>
      <c r="K645" s="36" t="inlineStr">
        <is>
          <t>Class 1-3 / Urban</t>
        </is>
      </c>
      <c r="L645" s="18" t="n">
        <v>7785</v>
      </c>
      <c r="M645" s="20" t="n">
        <v>4.32</v>
      </c>
      <c r="N645" s="18">
        <f>ROUND(L645/M645, 0)</f>
        <v/>
      </c>
      <c r="O645" s="18">
        <f>ROUND(N645*'Methodology &amp; Assumptions'!$B$8, 0)</f>
        <v/>
      </c>
      <c r="P645" s="8" t="inlineStr">
        <is>
          <t>Band n50 (1.5 GHz, 60 MHz)</t>
        </is>
      </c>
      <c r="Q645" s="38">
        <f>ROUNDUP(O645/'Methodology &amp; Assumptions'!$B$9, 0)</f>
        <v/>
      </c>
      <c r="R645" s="39" t="n">
        <v>1</v>
      </c>
      <c r="S645" s="21" t="n">
        <v>1.8</v>
      </c>
      <c r="T645" s="21" t="n">
        <v>1.11</v>
      </c>
      <c r="U645" s="36" t="inlineStr">
        <is>
          <t>Tier 1B (Micro Drop, 1-3 km)</t>
        </is>
      </c>
      <c r="V645" s="20" t="n">
        <v>65</v>
      </c>
      <c r="W645" s="20" t="n">
        <v>100</v>
      </c>
      <c r="X645" s="20" t="n">
        <v>28</v>
      </c>
      <c r="Y645" s="40">
        <f>ROUND((V645*'Methodology &amp; Assumptions'!$B$6)+(W645*'Methodology &amp; Assumptions'!$B$5)+(X645*'Methodology &amp; Assumptions'!$B$7), 2)</f>
        <v/>
      </c>
    </row>
    <row r="646" ht="19" customHeight="1">
      <c r="A646" s="41" t="n">
        <v>642</v>
      </c>
      <c r="B646" s="41" t="n">
        <v>3642</v>
      </c>
      <c r="C646" s="42" t="inlineStr">
        <is>
          <t>0405601010</t>
        </is>
      </c>
      <c r="D646" s="42" t="inlineStr">
        <is>
          <t>Region IV-A (CALABARZON)</t>
        </is>
      </c>
      <c r="E646" s="42" t="inlineStr">
        <is>
          <t>Quezon</t>
        </is>
      </c>
      <c r="F646" s="42" t="inlineStr">
        <is>
          <t>Agdangan</t>
        </is>
      </c>
      <c r="G646" s="42" t="inlineStr">
        <is>
          <t>Silangang Maligaya</t>
        </is>
      </c>
      <c r="H646" s="43" t="n">
        <v>13.880493</v>
      </c>
      <c r="I646" s="43" t="n">
        <v>121.921108</v>
      </c>
      <c r="J646" s="44" t="inlineStr">
        <is>
          <t>R</t>
        </is>
      </c>
      <c r="K646" s="42" t="inlineStr">
        <is>
          <t>5th</t>
        </is>
      </c>
      <c r="L646" s="23" t="n">
        <v>854</v>
      </c>
      <c r="M646" s="24" t="n">
        <v>4.05</v>
      </c>
      <c r="N646" s="23">
        <f>ROUND(L646/M646, 0)</f>
        <v/>
      </c>
      <c r="O646" s="23">
        <f>ROUND(N646*'Methodology &amp; Assumptions'!$B$8, 0)</f>
        <v/>
      </c>
      <c r="P646" s="44" t="inlineStr">
        <is>
          <t>Band n50 (1.5 GHz, 60 MHz)</t>
        </is>
      </c>
      <c r="Q646" s="38">
        <f>ROUNDUP(O646/'Methodology &amp; Assumptions'!$B$9, 0)</f>
        <v/>
      </c>
      <c r="R646" s="39" t="n">
        <v>1</v>
      </c>
      <c r="S646" s="25" t="n">
        <v>0.84</v>
      </c>
      <c r="T646" s="25" t="n">
        <v>1.03</v>
      </c>
      <c r="U646" s="42" t="inlineStr">
        <is>
          <t>Tier 1A (Direct Coloc, &lt;1 km)</t>
        </is>
      </c>
      <c r="V646" s="24" t="n">
        <v>85.5</v>
      </c>
      <c r="W646" s="24" t="n">
        <v>40.8</v>
      </c>
      <c r="X646" s="24" t="n">
        <v>73</v>
      </c>
      <c r="Y646" s="45">
        <f>ROUND((V646*'Methodology &amp; Assumptions'!$B$6)+(W646*'Methodology &amp; Assumptions'!$B$5)+(X646*'Methodology &amp; Assumptions'!$B$7), 2)</f>
        <v/>
      </c>
    </row>
    <row r="647" ht="19" customHeight="1">
      <c r="A647" s="35" t="n">
        <v>643</v>
      </c>
      <c r="B647" s="35" t="n">
        <v>3643</v>
      </c>
      <c r="C647" s="36" t="inlineStr">
        <is>
          <t>0603047010</t>
        </is>
      </c>
      <c r="D647" s="36" t="inlineStr">
        <is>
          <t>Region VI (Western Visayas)</t>
        </is>
      </c>
      <c r="E647" s="36" t="inlineStr">
        <is>
          <t>Iloilo</t>
        </is>
      </c>
      <c r="F647" s="36" t="inlineStr">
        <is>
          <t>Zarraga</t>
        </is>
      </c>
      <c r="G647" s="36" t="inlineStr">
        <is>
          <t>Inagdangan Sur</t>
        </is>
      </c>
      <c r="H647" s="37" t="n">
        <v>10.836576</v>
      </c>
      <c r="I647" s="37" t="n">
        <v>122.610137</v>
      </c>
      <c r="J647" s="8" t="inlineStr">
        <is>
          <t>R</t>
        </is>
      </c>
      <c r="K647" s="36" t="inlineStr">
        <is>
          <t>3rd</t>
        </is>
      </c>
      <c r="L647" s="18" t="n">
        <v>829</v>
      </c>
      <c r="M647" s="20" t="n">
        <v>4.35</v>
      </c>
      <c r="N647" s="18">
        <f>ROUND(L647/M647, 0)</f>
        <v/>
      </c>
      <c r="O647" s="18">
        <f>ROUND(N647*'Methodology &amp; Assumptions'!$B$8, 0)</f>
        <v/>
      </c>
      <c r="P647" s="8" t="inlineStr">
        <is>
          <t>Band n50 (1.5 GHz, 60 MHz)</t>
        </is>
      </c>
      <c r="Q647" s="38">
        <f>ROUNDUP(O647/'Methodology &amp; Assumptions'!$B$9, 0)</f>
        <v/>
      </c>
      <c r="R647" s="39" t="n">
        <v>1</v>
      </c>
      <c r="S647" s="21" t="n">
        <v>0.78</v>
      </c>
      <c r="T647" s="21" t="n">
        <v>0.33</v>
      </c>
      <c r="U647" s="36" t="inlineStr">
        <is>
          <t>Tier 1A (Direct Coloc, &lt;1 km)</t>
        </is>
      </c>
      <c r="V647" s="20" t="n">
        <v>87.09999999999999</v>
      </c>
      <c r="W647" s="20" t="n">
        <v>39.2</v>
      </c>
      <c r="X647" s="20" t="n">
        <v>73</v>
      </c>
      <c r="Y647" s="40">
        <f>ROUND((V647*'Methodology &amp; Assumptions'!$B$6)+(W647*'Methodology &amp; Assumptions'!$B$5)+(X647*'Methodology &amp; Assumptions'!$B$7), 2)</f>
        <v/>
      </c>
    </row>
    <row r="648" ht="19" customHeight="1">
      <c r="A648" s="41" t="n">
        <v>644</v>
      </c>
      <c r="B648" s="41" t="n">
        <v>3644</v>
      </c>
      <c r="C648" s="42" t="inlineStr">
        <is>
          <t>1001304029</t>
        </is>
      </c>
      <c r="D648" s="42" t="inlineStr">
        <is>
          <t>Region X (Northern Mindanao)</t>
        </is>
      </c>
      <c r="E648" s="42" t="inlineStr">
        <is>
          <t>Bukidnon</t>
        </is>
      </c>
      <c r="F648" s="42" t="inlineStr">
        <is>
          <t>Don Carlos</t>
        </is>
      </c>
      <c r="G648" s="42" t="inlineStr">
        <is>
          <t>Sinangguyan</t>
        </is>
      </c>
      <c r="H648" s="43" t="n">
        <v>7.710467</v>
      </c>
      <c r="I648" s="43" t="n">
        <v>124.999809</v>
      </c>
      <c r="J648" s="44" t="inlineStr">
        <is>
          <t>R</t>
        </is>
      </c>
      <c r="K648" s="42" t="inlineStr">
        <is>
          <t>Class 1-3 / Urban</t>
        </is>
      </c>
      <c r="L648" s="23" t="n">
        <v>4427</v>
      </c>
      <c r="M648" s="24" t="n">
        <v>4.63</v>
      </c>
      <c r="N648" s="23">
        <f>ROUND(L648/M648, 0)</f>
        <v/>
      </c>
      <c r="O648" s="23">
        <f>ROUND(N648*'Methodology &amp; Assumptions'!$B$8, 0)</f>
        <v/>
      </c>
      <c r="P648" s="44" t="inlineStr">
        <is>
          <t>Band n50 (1.5 GHz, 60 MHz)</t>
        </is>
      </c>
      <c r="Q648" s="38">
        <f>ROUNDUP(O648/'Methodology &amp; Assumptions'!$B$9, 0)</f>
        <v/>
      </c>
      <c r="R648" s="39" t="n">
        <v>1</v>
      </c>
      <c r="S648" s="25" t="n">
        <v>3.69</v>
      </c>
      <c r="T648" s="25" t="n">
        <v>0.6899999999999999</v>
      </c>
      <c r="U648" s="42" t="inlineStr">
        <is>
          <t>Tier 2 (Fiber Corridor / Lateral, 3-5 km)</t>
        </is>
      </c>
      <c r="V648" s="24" t="n">
        <v>39.2</v>
      </c>
      <c r="W648" s="24" t="n">
        <v>100</v>
      </c>
      <c r="X648" s="24" t="n">
        <v>58</v>
      </c>
      <c r="Y648" s="45">
        <f>ROUND((V648*'Methodology &amp; Assumptions'!$B$6)+(W648*'Methodology &amp; Assumptions'!$B$5)+(X648*'Methodology &amp; Assumptions'!$B$7), 2)</f>
        <v/>
      </c>
    </row>
    <row r="649" ht="19" customHeight="1">
      <c r="A649" s="35" t="n">
        <v>645</v>
      </c>
      <c r="B649" s="35" t="n">
        <v>3645</v>
      </c>
      <c r="C649" s="36" t="inlineStr">
        <is>
          <t>0501606037</t>
        </is>
      </c>
      <c r="D649" s="36" t="inlineStr">
        <is>
          <t>Region V (Bicol Region)</t>
        </is>
      </c>
      <c r="E649" s="36" t="inlineStr">
        <is>
          <t>Camarines Norte</t>
        </is>
      </c>
      <c r="F649" s="36" t="inlineStr">
        <is>
          <t>Labo</t>
        </is>
      </c>
      <c r="G649" s="36" t="inlineStr">
        <is>
          <t>Malatap</t>
        </is>
      </c>
      <c r="H649" s="37" t="n">
        <v>14.163853</v>
      </c>
      <c r="I649" s="37" t="n">
        <v>122.61713</v>
      </c>
      <c r="J649" s="8" t="inlineStr">
        <is>
          <t>R</t>
        </is>
      </c>
      <c r="K649" s="36" t="inlineStr">
        <is>
          <t>Class 1-3 / Urban</t>
        </is>
      </c>
      <c r="L649" s="18" t="n">
        <v>2704</v>
      </c>
      <c r="M649" s="20" t="n">
        <v>4.4</v>
      </c>
      <c r="N649" s="18">
        <f>ROUND(L649/M649, 0)</f>
        <v/>
      </c>
      <c r="O649" s="18">
        <f>ROUND(N649*'Methodology &amp; Assumptions'!$B$8, 0)</f>
        <v/>
      </c>
      <c r="P649" s="8" t="inlineStr">
        <is>
          <t>Band n50 (1.5 GHz, 60 MHz)</t>
        </is>
      </c>
      <c r="Q649" s="38">
        <f>ROUNDUP(O649/'Methodology &amp; Assumptions'!$B$9, 0)</f>
        <v/>
      </c>
      <c r="R649" s="39" t="n">
        <v>1</v>
      </c>
      <c r="S649" s="21" t="n">
        <v>1.73</v>
      </c>
      <c r="T649" s="21" t="n">
        <v>0.13</v>
      </c>
      <c r="U649" s="36" t="inlineStr">
        <is>
          <t>Tier 1B (Micro Drop, 1-3 km)</t>
        </is>
      </c>
      <c r="V649" s="20" t="n">
        <v>66.09999999999999</v>
      </c>
      <c r="W649" s="20" t="n">
        <v>73.09999999999999</v>
      </c>
      <c r="X649" s="20" t="n">
        <v>58</v>
      </c>
      <c r="Y649" s="40">
        <f>ROUND((V649*'Methodology &amp; Assumptions'!$B$6)+(W649*'Methodology &amp; Assumptions'!$B$5)+(X649*'Methodology &amp; Assumptions'!$B$7), 2)</f>
        <v/>
      </c>
    </row>
    <row r="650" ht="19" customHeight="1">
      <c r="A650" s="41" t="n">
        <v>646</v>
      </c>
      <c r="B650" s="41" t="n">
        <v>3646</v>
      </c>
      <c r="C650" s="42" t="inlineStr">
        <is>
          <t>0304924009</t>
        </is>
      </c>
      <c r="D650" s="42" t="inlineStr">
        <is>
          <t>Region III (Central Luzon)</t>
        </is>
      </c>
      <c r="E650" s="42" t="inlineStr">
        <is>
          <t>Nueva Ecija</t>
        </is>
      </c>
      <c r="F650" s="42" t="inlineStr">
        <is>
          <t>San Antonio</t>
        </is>
      </c>
      <c r="G650" s="42" t="inlineStr">
        <is>
          <t>Poblacion</t>
        </is>
      </c>
      <c r="H650" s="43" t="n">
        <v>15.301924</v>
      </c>
      <c r="I650" s="43" t="n">
        <v>120.856359</v>
      </c>
      <c r="J650" s="44" t="inlineStr">
        <is>
          <t>R</t>
        </is>
      </c>
      <c r="K650" s="42" t="inlineStr">
        <is>
          <t>Class 1-3 / Urban</t>
        </is>
      </c>
      <c r="L650" s="23" t="n">
        <v>1971</v>
      </c>
      <c r="M650" s="24" t="n">
        <v>4.32</v>
      </c>
      <c r="N650" s="23">
        <f>ROUND(L650/M650, 0)</f>
        <v/>
      </c>
      <c r="O650" s="23">
        <f>ROUND(N650*'Methodology &amp; Assumptions'!$B$8, 0)</f>
        <v/>
      </c>
      <c r="P650" s="44" t="inlineStr">
        <is>
          <t>Band n50 (1.5 GHz, 60 MHz)</t>
        </is>
      </c>
      <c r="Q650" s="38">
        <f>ROUNDUP(O650/'Methodology &amp; Assumptions'!$B$9, 0)</f>
        <v/>
      </c>
      <c r="R650" s="39" t="n">
        <v>1</v>
      </c>
      <c r="S650" s="25" t="n">
        <v>0.72</v>
      </c>
      <c r="T650" s="25" t="n">
        <v>3.11</v>
      </c>
      <c r="U650" s="42" t="inlineStr">
        <is>
          <t>Tier 1A (Direct Coloc, &lt;1 km)</t>
        </is>
      </c>
      <c r="V650" s="24" t="n">
        <v>78.7</v>
      </c>
      <c r="W650" s="24" t="n">
        <v>60.5</v>
      </c>
      <c r="X650" s="24" t="n">
        <v>58</v>
      </c>
      <c r="Y650" s="45">
        <f>ROUND((V650*'Methodology &amp; Assumptions'!$B$6)+(W650*'Methodology &amp; Assumptions'!$B$5)+(X650*'Methodology &amp; Assumptions'!$B$7), 2)</f>
        <v/>
      </c>
    </row>
    <row r="651" ht="19" customHeight="1">
      <c r="A651" s="35" t="n">
        <v>647</v>
      </c>
      <c r="B651" s="35" t="n">
        <v>3647</v>
      </c>
      <c r="C651" s="36" t="inlineStr">
        <is>
          <t>0402105039</t>
        </is>
      </c>
      <c r="D651" s="36" t="inlineStr">
        <is>
          <t>Region IV-A (CALABARZON)</t>
        </is>
      </c>
      <c r="E651" s="36" t="inlineStr">
        <is>
          <t>Cavite</t>
        </is>
      </c>
      <c r="F651" s="36" t="inlineStr">
        <is>
          <t>City of Cavite</t>
        </is>
      </c>
      <c r="G651" s="36" t="inlineStr">
        <is>
          <t>Barangay 44</t>
        </is>
      </c>
      <c r="H651" s="37" t="n">
        <v>14.45849</v>
      </c>
      <c r="I651" s="37" t="n">
        <v>120.999636</v>
      </c>
      <c r="J651" s="8" t="inlineStr">
        <is>
          <t>R</t>
        </is>
      </c>
      <c r="K651" s="36" t="inlineStr">
        <is>
          <t>Class 1-3 / Urban</t>
        </is>
      </c>
      <c r="L651" s="18" t="n">
        <v>1328</v>
      </c>
      <c r="M651" s="20" t="n">
        <v>4.49</v>
      </c>
      <c r="N651" s="18">
        <f>ROUND(L651/M651, 0)</f>
        <v/>
      </c>
      <c r="O651" s="18">
        <f>ROUND(N651*'Methodology &amp; Assumptions'!$B$8, 0)</f>
        <v/>
      </c>
      <c r="P651" s="8" t="inlineStr">
        <is>
          <t>Band n50 (1.5 GHz, 60 MHz)</t>
        </is>
      </c>
      <c r="Q651" s="38">
        <f>ROUNDUP(O651/'Methodology &amp; Assumptions'!$B$9, 0)</f>
        <v/>
      </c>
      <c r="R651" s="39" t="n">
        <v>1</v>
      </c>
      <c r="S651" s="21" t="n">
        <v>0.61</v>
      </c>
      <c r="T651" s="21" t="n">
        <v>0.5600000000000001</v>
      </c>
      <c r="U651" s="36" t="inlineStr">
        <is>
          <t>Tier 1A (Direct Coloc, &lt;1 km)</t>
        </is>
      </c>
      <c r="V651" s="20" t="n">
        <v>91.5</v>
      </c>
      <c r="W651" s="20" t="n">
        <v>47.7</v>
      </c>
      <c r="X651" s="20" t="n">
        <v>58</v>
      </c>
      <c r="Y651" s="40">
        <f>ROUND((V651*'Methodology &amp; Assumptions'!$B$6)+(W651*'Methodology &amp; Assumptions'!$B$5)+(X651*'Methodology &amp; Assumptions'!$B$7), 2)</f>
        <v/>
      </c>
    </row>
    <row r="652" ht="19" customHeight="1">
      <c r="A652" s="41" t="n">
        <v>648</v>
      </c>
      <c r="B652" s="41" t="n">
        <v>3648</v>
      </c>
      <c r="C652" s="42" t="inlineStr">
        <is>
          <t>0307702001</t>
        </is>
      </c>
      <c r="D652" s="42" t="inlineStr">
        <is>
          <t>Region III (Central Luzon)</t>
        </is>
      </c>
      <c r="E652" s="42" t="inlineStr">
        <is>
          <t>Aurora</t>
        </is>
      </c>
      <c r="F652" s="42" t="inlineStr">
        <is>
          <t>Casiguran</t>
        </is>
      </c>
      <c r="G652" s="42" t="inlineStr">
        <is>
          <t>Barangay 1</t>
        </is>
      </c>
      <c r="H652" s="43" t="n">
        <v>16.277734</v>
      </c>
      <c r="I652" s="43" t="n">
        <v>122.125635</v>
      </c>
      <c r="J652" s="44" t="inlineStr">
        <is>
          <t>R</t>
        </is>
      </c>
      <c r="K652" s="42" t="inlineStr">
        <is>
          <t>Class 1-3 / Urban</t>
        </is>
      </c>
      <c r="L652" s="23" t="n">
        <v>808</v>
      </c>
      <c r="M652" s="24" t="n">
        <v>4.24</v>
      </c>
      <c r="N652" s="23">
        <f>ROUND(L652/M652, 0)</f>
        <v/>
      </c>
      <c r="O652" s="23">
        <f>ROUND(N652*'Methodology &amp; Assumptions'!$B$8, 0)</f>
        <v/>
      </c>
      <c r="P652" s="44" t="inlineStr">
        <is>
          <t>Band n50 (1.5 GHz, 60 MHz)</t>
        </is>
      </c>
      <c r="Q652" s="38">
        <f>ROUNDUP(O652/'Methodology &amp; Assumptions'!$B$9, 0)</f>
        <v/>
      </c>
      <c r="R652" s="39" t="n">
        <v>1</v>
      </c>
      <c r="S652" s="25" t="n">
        <v>0.15</v>
      </c>
      <c r="T652" s="25" t="n">
        <v>0.34</v>
      </c>
      <c r="U652" s="42" t="inlineStr">
        <is>
          <t>Tier 1A (Direct Coloc, &lt;1 km)</t>
        </is>
      </c>
      <c r="V652" s="24" t="n">
        <v>100</v>
      </c>
      <c r="W652" s="24" t="n">
        <v>39.2</v>
      </c>
      <c r="X652" s="24" t="n">
        <v>58</v>
      </c>
      <c r="Y652" s="45">
        <f>ROUND((V652*'Methodology &amp; Assumptions'!$B$6)+(W652*'Methodology &amp; Assumptions'!$B$5)+(X652*'Methodology &amp; Assumptions'!$B$7), 2)</f>
        <v/>
      </c>
    </row>
    <row r="653" ht="19" customHeight="1">
      <c r="A653" s="35" t="n">
        <v>649</v>
      </c>
      <c r="B653" s="35" t="n">
        <v>3649</v>
      </c>
      <c r="C653" s="36" t="inlineStr">
        <is>
          <t>1130700190</t>
        </is>
      </c>
      <c r="D653" s="36" t="inlineStr">
        <is>
          <t>Region XI (Davao Region)</t>
        </is>
      </c>
      <c r="E653" s="36" t="inlineStr">
        <is>
          <t>Davao del Sur</t>
        </is>
      </c>
      <c r="F653" s="36" t="inlineStr">
        <is>
          <t>City of Davao</t>
        </is>
      </c>
      <c r="G653" s="36" t="inlineStr">
        <is>
          <t>Rafael Castillo</t>
        </is>
      </c>
      <c r="H653" s="37" t="n">
        <v>7.100573</v>
      </c>
      <c r="I653" s="37" t="n">
        <v>125.635651</v>
      </c>
      <c r="J653" s="8" t="inlineStr">
        <is>
          <t>U</t>
        </is>
      </c>
      <c r="K653" s="36" t="inlineStr">
        <is>
          <t>Class 1-3 / Urban</t>
        </is>
      </c>
      <c r="L653" s="18" t="n">
        <v>5943</v>
      </c>
      <c r="M653" s="20" t="n">
        <v>4.1</v>
      </c>
      <c r="N653" s="18">
        <f>ROUND(L653/M653, 0)</f>
        <v/>
      </c>
      <c r="O653" s="18">
        <f>ROUND(N653*'Methodology &amp; Assumptions'!$B$8, 0)</f>
        <v/>
      </c>
      <c r="P653" s="8" t="inlineStr">
        <is>
          <t>Band n50 (1.5 GHz, 60 MHz)</t>
        </is>
      </c>
      <c r="Q653" s="38">
        <f>ROUNDUP(O653/'Methodology &amp; Assumptions'!$B$9, 0)</f>
        <v/>
      </c>
      <c r="R653" s="39" t="n">
        <v>1</v>
      </c>
      <c r="S653" s="21" t="n">
        <v>1.8</v>
      </c>
      <c r="T653" s="21" t="n">
        <v>0.32</v>
      </c>
      <c r="U653" s="36" t="inlineStr">
        <is>
          <t>Tier 1B (Micro Drop, 1-3 km)</t>
        </is>
      </c>
      <c r="V653" s="20" t="n">
        <v>64.90000000000001</v>
      </c>
      <c r="W653" s="20" t="n">
        <v>100</v>
      </c>
      <c r="X653" s="20" t="n">
        <v>28</v>
      </c>
      <c r="Y653" s="40">
        <f>ROUND((V653*'Methodology &amp; Assumptions'!$B$6)+(W653*'Methodology &amp; Assumptions'!$B$5)+(X653*'Methodology &amp; Assumptions'!$B$7), 2)</f>
        <v/>
      </c>
    </row>
    <row r="654" ht="19" customHeight="1">
      <c r="A654" s="41" t="n">
        <v>650</v>
      </c>
      <c r="B654" s="41" t="n">
        <v>3650</v>
      </c>
      <c r="C654" s="42" t="inlineStr">
        <is>
          <t>0504111016</t>
        </is>
      </c>
      <c r="D654" s="42" t="inlineStr">
        <is>
          <t>Region V (Bicol Region)</t>
        </is>
      </c>
      <c r="E654" s="42" t="inlineStr">
        <is>
          <t>Masbate</t>
        </is>
      </c>
      <c r="F654" s="42" t="inlineStr">
        <is>
          <t>City of Masbate</t>
        </is>
      </c>
      <c r="G654" s="42" t="inlineStr">
        <is>
          <t>F. Magallanes</t>
        </is>
      </c>
      <c r="H654" s="43" t="n">
        <v>12.364405</v>
      </c>
      <c r="I654" s="43" t="n">
        <v>123.622475</v>
      </c>
      <c r="J654" s="44" t="inlineStr">
        <is>
          <t>U</t>
        </is>
      </c>
      <c r="K654" s="42" t="inlineStr">
        <is>
          <t>Class 1-3 / Urban</t>
        </is>
      </c>
      <c r="L654" s="23" t="n">
        <v>3369</v>
      </c>
      <c r="M654" s="24" t="n">
        <v>4.6</v>
      </c>
      <c r="N654" s="23">
        <f>ROUND(L654/M654, 0)</f>
        <v/>
      </c>
      <c r="O654" s="23">
        <f>ROUND(N654*'Methodology &amp; Assumptions'!$B$8, 0)</f>
        <v/>
      </c>
      <c r="P654" s="44" t="inlineStr">
        <is>
          <t>Band n50 (1.5 GHz, 60 MHz)</t>
        </is>
      </c>
      <c r="Q654" s="38">
        <f>ROUNDUP(O654/'Methodology &amp; Assumptions'!$B$9, 0)</f>
        <v/>
      </c>
      <c r="R654" s="39" t="n">
        <v>1</v>
      </c>
      <c r="S654" s="25" t="n">
        <v>0.98</v>
      </c>
      <c r="T654" s="25" t="n">
        <v>0.28</v>
      </c>
      <c r="U654" s="42" t="inlineStr">
        <is>
          <t>Tier 1A (Direct Coloc, &lt;1 km)</t>
        </is>
      </c>
      <c r="V654" s="24" t="n">
        <v>82.3</v>
      </c>
      <c r="W654" s="24" t="n">
        <v>82.7</v>
      </c>
      <c r="X654" s="24" t="n">
        <v>28</v>
      </c>
      <c r="Y654" s="45">
        <f>ROUND((V654*'Methodology &amp; Assumptions'!$B$6)+(W654*'Methodology &amp; Assumptions'!$B$5)+(X654*'Methodology &amp; Assumptions'!$B$7), 2)</f>
        <v/>
      </c>
    </row>
    <row r="655" ht="19" customHeight="1">
      <c r="A655" s="35" t="n">
        <v>651</v>
      </c>
      <c r="B655" s="35" t="n">
        <v>3651</v>
      </c>
      <c r="C655" s="36" t="inlineStr">
        <is>
          <t>0506203045</t>
        </is>
      </c>
      <c r="D655" s="36" t="inlineStr">
        <is>
          <t>Region V (Bicol Region)</t>
        </is>
      </c>
      <c r="E655" s="36" t="inlineStr">
        <is>
          <t>Sorsogon</t>
        </is>
      </c>
      <c r="F655" s="36" t="inlineStr">
        <is>
          <t>Bulan</t>
        </is>
      </c>
      <c r="G655" s="36" t="inlineStr">
        <is>
          <t>J.P. Laurel</t>
        </is>
      </c>
      <c r="H655" s="37" t="n">
        <v>12.689677</v>
      </c>
      <c r="I655" s="37" t="n">
        <v>123.860759</v>
      </c>
      <c r="J655" s="8" t="inlineStr">
        <is>
          <t>R</t>
        </is>
      </c>
      <c r="K655" s="36" t="inlineStr">
        <is>
          <t>Class 1-3 / Urban</t>
        </is>
      </c>
      <c r="L655" s="18" t="n">
        <v>4162</v>
      </c>
      <c r="M655" s="20" t="n">
        <v>4.58</v>
      </c>
      <c r="N655" s="18">
        <f>ROUND(L655/M655, 0)</f>
        <v/>
      </c>
      <c r="O655" s="18">
        <f>ROUND(N655*'Methodology &amp; Assumptions'!$B$8, 0)</f>
        <v/>
      </c>
      <c r="P655" s="8" t="inlineStr">
        <is>
          <t>Band n50 (1.5 GHz, 60 MHz)</t>
        </is>
      </c>
      <c r="Q655" s="38">
        <f>ROUNDUP(O655/'Methodology &amp; Assumptions'!$B$9, 0)</f>
        <v/>
      </c>
      <c r="R655" s="39" t="n">
        <v>1</v>
      </c>
      <c r="S655" s="21" t="n">
        <v>2.58</v>
      </c>
      <c r="T655" s="21" t="n">
        <v>2.16</v>
      </c>
      <c r="U655" s="36" t="inlineStr">
        <is>
          <t>Tier 1B (Micro Drop, 1-3 km)</t>
        </is>
      </c>
      <c r="V655" s="20" t="n">
        <v>42.4</v>
      </c>
      <c r="W655" s="20" t="n">
        <v>96.8</v>
      </c>
      <c r="X655" s="20" t="n">
        <v>58</v>
      </c>
      <c r="Y655" s="40">
        <f>ROUND((V655*'Methodology &amp; Assumptions'!$B$6)+(W655*'Methodology &amp; Assumptions'!$B$5)+(X655*'Methodology &amp; Assumptions'!$B$7), 2)</f>
        <v/>
      </c>
    </row>
    <row r="656" ht="19" customHeight="1">
      <c r="A656" s="41" t="n">
        <v>652</v>
      </c>
      <c r="B656" s="41" t="n">
        <v>3652</v>
      </c>
      <c r="C656" s="42" t="inlineStr">
        <is>
          <t>0102817014</t>
        </is>
      </c>
      <c r="D656" s="42" t="inlineStr">
        <is>
          <t>Region I (Ilocos Region)</t>
        </is>
      </c>
      <c r="E656" s="42" t="inlineStr">
        <is>
          <t>Ilocos Norte</t>
        </is>
      </c>
      <c r="F656" s="42" t="inlineStr">
        <is>
          <t>Pasuquin</t>
        </is>
      </c>
      <c r="G656" s="42" t="inlineStr">
        <is>
          <t>Naglicuan</t>
        </is>
      </c>
      <c r="H656" s="43" t="n">
        <v>18.315524</v>
      </c>
      <c r="I656" s="43" t="n">
        <v>120.603179</v>
      </c>
      <c r="J656" s="44" t="inlineStr">
        <is>
          <t>R</t>
        </is>
      </c>
      <c r="K656" s="42" t="inlineStr">
        <is>
          <t>Class 1-3 / Urban</t>
        </is>
      </c>
      <c r="L656" s="23" t="n">
        <v>1750</v>
      </c>
      <c r="M656" s="24" t="n">
        <v>4.35</v>
      </c>
      <c r="N656" s="23">
        <f>ROUND(L656/M656, 0)</f>
        <v/>
      </c>
      <c r="O656" s="23">
        <f>ROUND(N656*'Methodology &amp; Assumptions'!$B$8, 0)</f>
        <v/>
      </c>
      <c r="P656" s="44" t="inlineStr">
        <is>
          <t>Band n50 (1.5 GHz, 60 MHz)</t>
        </is>
      </c>
      <c r="Q656" s="38">
        <f>ROUNDUP(O656/'Methodology &amp; Assumptions'!$B$9, 0)</f>
        <v/>
      </c>
      <c r="R656" s="39" t="n">
        <v>1</v>
      </c>
      <c r="S656" s="25" t="n">
        <v>0.95</v>
      </c>
      <c r="T656" s="25" t="n">
        <v>0.62</v>
      </c>
      <c r="U656" s="42" t="inlineStr">
        <is>
          <t>Tier 1A (Direct Coloc, &lt;1 km)</t>
        </is>
      </c>
      <c r="V656" s="24" t="n">
        <v>82.90000000000001</v>
      </c>
      <c r="W656" s="24" t="n">
        <v>56.3</v>
      </c>
      <c r="X656" s="24" t="n">
        <v>58</v>
      </c>
      <c r="Y656" s="45">
        <f>ROUND((V656*'Methodology &amp; Assumptions'!$B$6)+(W656*'Methodology &amp; Assumptions'!$B$5)+(X656*'Methodology &amp; Assumptions'!$B$7), 2)</f>
        <v/>
      </c>
    </row>
    <row r="657" ht="19" customHeight="1">
      <c r="A657" s="35" t="n">
        <v>653</v>
      </c>
      <c r="B657" s="35" t="n">
        <v>3653</v>
      </c>
      <c r="C657" s="36" t="inlineStr">
        <is>
          <t>0201512019</t>
        </is>
      </c>
      <c r="D657" s="36" t="inlineStr">
        <is>
          <t>Region II (Cagayan Valley)</t>
        </is>
      </c>
      <c r="E657" s="36" t="inlineStr">
        <is>
          <t>Cagayan</t>
        </is>
      </c>
      <c r="F657" s="36" t="inlineStr">
        <is>
          <t>Enrile</t>
        </is>
      </c>
      <c r="G657" s="36" t="inlineStr">
        <is>
          <t>Barangay IV</t>
        </is>
      </c>
      <c r="H657" s="37" t="n">
        <v>17.558</v>
      </c>
      <c r="I657" s="37" t="n">
        <v>121.6989</v>
      </c>
      <c r="J657" s="8" t="inlineStr">
        <is>
          <t>R</t>
        </is>
      </c>
      <c r="K657" s="36" t="inlineStr">
        <is>
          <t>Class 1-3 / Urban</t>
        </is>
      </c>
      <c r="L657" s="18" t="n">
        <v>1195</v>
      </c>
      <c r="M657" s="20" t="n">
        <v>4.38</v>
      </c>
      <c r="N657" s="18">
        <f>ROUND(L657/M657, 0)</f>
        <v/>
      </c>
      <c r="O657" s="18">
        <f>ROUND(N657*'Methodology &amp; Assumptions'!$B$8, 0)</f>
        <v/>
      </c>
      <c r="P657" s="8" t="inlineStr">
        <is>
          <t>Band n50 (1.5 GHz, 60 MHz)</t>
        </is>
      </c>
      <c r="Q657" s="38">
        <f>ROUNDUP(O657/'Methodology &amp; Assumptions'!$B$9, 0)</f>
        <v/>
      </c>
      <c r="R657" s="39" t="n">
        <v>1</v>
      </c>
      <c r="S657" s="21" t="n">
        <v>0.55</v>
      </c>
      <c r="T657" s="21" t="n">
        <v>1.6</v>
      </c>
      <c r="U657" s="36" t="inlineStr">
        <is>
          <t>Tier 1A (Direct Coloc, &lt;1 km)</t>
        </is>
      </c>
      <c r="V657" s="20" t="n">
        <v>93.3</v>
      </c>
      <c r="W657" s="20" t="n">
        <v>45.9</v>
      </c>
      <c r="X657" s="20" t="n">
        <v>58</v>
      </c>
      <c r="Y657" s="40">
        <f>ROUND((V657*'Methodology &amp; Assumptions'!$B$6)+(W657*'Methodology &amp; Assumptions'!$B$5)+(X657*'Methodology &amp; Assumptions'!$B$7), 2)</f>
        <v/>
      </c>
    </row>
    <row r="658" ht="19" customHeight="1">
      <c r="A658" s="41" t="n">
        <v>654</v>
      </c>
      <c r="B658" s="41" t="n">
        <v>3654</v>
      </c>
      <c r="C658" s="42" t="inlineStr">
        <is>
          <t>1606807013</t>
        </is>
      </c>
      <c r="D658" s="42" t="inlineStr">
        <is>
          <t>Region XIII (Caraga)</t>
        </is>
      </c>
      <c r="E658" s="42" t="inlineStr">
        <is>
          <t>Surigao del Sur</t>
        </is>
      </c>
      <c r="F658" s="42" t="inlineStr">
        <is>
          <t>Carrascal</t>
        </is>
      </c>
      <c r="G658" s="42" t="inlineStr">
        <is>
          <t>Saca</t>
        </is>
      </c>
      <c r="H658" s="43" t="n">
        <v>9.365519000000001</v>
      </c>
      <c r="I658" s="43" t="n">
        <v>125.945064</v>
      </c>
      <c r="J658" s="44" t="inlineStr">
        <is>
          <t>R</t>
        </is>
      </c>
      <c r="K658" s="42" t="inlineStr">
        <is>
          <t>1st</t>
        </is>
      </c>
      <c r="L658" s="23" t="n">
        <v>1108</v>
      </c>
      <c r="M658" s="24" t="n">
        <v>4.46</v>
      </c>
      <c r="N658" s="23">
        <f>ROUND(L658/M658, 0)</f>
        <v/>
      </c>
      <c r="O658" s="23">
        <f>ROUND(N658*'Methodology &amp; Assumptions'!$B$8, 0)</f>
        <v/>
      </c>
      <c r="P658" s="44" t="inlineStr">
        <is>
          <t>Band n50 (1.5 GHz, 60 MHz)</t>
        </is>
      </c>
      <c r="Q658" s="38">
        <f>ROUNDUP(O658/'Methodology &amp; Assumptions'!$B$9, 0)</f>
        <v/>
      </c>
      <c r="R658" s="39" t="n">
        <v>1</v>
      </c>
      <c r="S658" s="25" t="n">
        <v>0.47</v>
      </c>
      <c r="T658" s="25" t="n">
        <v>0.11</v>
      </c>
      <c r="U658" s="42" t="inlineStr">
        <is>
          <t>Tier 1A (Direct Coloc, &lt;1 km)</t>
        </is>
      </c>
      <c r="V658" s="24" t="n">
        <v>95.40000000000001</v>
      </c>
      <c r="W658" s="24" t="n">
        <v>43.7</v>
      </c>
      <c r="X658" s="24" t="n">
        <v>58</v>
      </c>
      <c r="Y658" s="45">
        <f>ROUND((V658*'Methodology &amp; Assumptions'!$B$6)+(W658*'Methodology &amp; Assumptions'!$B$5)+(X658*'Methodology &amp; Assumptions'!$B$7), 2)</f>
        <v/>
      </c>
    </row>
    <row r="659" ht="19" customHeight="1">
      <c r="A659" s="35" t="n">
        <v>655</v>
      </c>
      <c r="B659" s="35" t="n">
        <v>3655</v>
      </c>
      <c r="C659" s="36" t="inlineStr">
        <is>
          <t>0305406025</t>
        </is>
      </c>
      <c r="D659" s="36" t="inlineStr">
        <is>
          <t>Region III (Central Luzon)</t>
        </is>
      </c>
      <c r="E659" s="36" t="inlineStr">
        <is>
          <t>Pampanga</t>
        </is>
      </c>
      <c r="F659" s="36" t="inlineStr">
        <is>
          <t>Floridablanca</t>
        </is>
      </c>
      <c r="G659" s="36" t="inlineStr">
        <is>
          <t>San Isidro</t>
        </is>
      </c>
      <c r="H659" s="37" t="n">
        <v>14.985184</v>
      </c>
      <c r="I659" s="37" t="n">
        <v>120.528906</v>
      </c>
      <c r="J659" s="8" t="inlineStr">
        <is>
          <t>R</t>
        </is>
      </c>
      <c r="K659" s="36" t="inlineStr">
        <is>
          <t>Class 1-3 / Urban</t>
        </is>
      </c>
      <c r="L659" s="18" t="n">
        <v>2504</v>
      </c>
      <c r="M659" s="20" t="n">
        <v>4.63</v>
      </c>
      <c r="N659" s="18">
        <f>ROUND(L659/M659, 0)</f>
        <v/>
      </c>
      <c r="O659" s="18">
        <f>ROUND(N659*'Methodology &amp; Assumptions'!$B$8, 0)</f>
        <v/>
      </c>
      <c r="P659" s="8" t="inlineStr">
        <is>
          <t>Band n50 (1.5 GHz, 60 MHz)</t>
        </is>
      </c>
      <c r="Q659" s="38">
        <f>ROUNDUP(O659/'Methodology &amp; Assumptions'!$B$9, 0)</f>
        <v/>
      </c>
      <c r="R659" s="39" t="n">
        <v>1</v>
      </c>
      <c r="S659" s="21" t="n">
        <v>1.44</v>
      </c>
      <c r="T659" s="21" t="n">
        <v>1.9</v>
      </c>
      <c r="U659" s="36" t="inlineStr">
        <is>
          <t>Tier 1B (Micro Drop, 1-3 km)</t>
        </is>
      </c>
      <c r="V659" s="20" t="n">
        <v>72</v>
      </c>
      <c r="W659" s="20" t="n">
        <v>67.2</v>
      </c>
      <c r="X659" s="20" t="n">
        <v>58</v>
      </c>
      <c r="Y659" s="40">
        <f>ROUND((V659*'Methodology &amp; Assumptions'!$B$6)+(W659*'Methodology &amp; Assumptions'!$B$5)+(X659*'Methodology &amp; Assumptions'!$B$7), 2)</f>
        <v/>
      </c>
    </row>
    <row r="660" ht="19" customHeight="1">
      <c r="A660" s="41" t="n">
        <v>656</v>
      </c>
      <c r="B660" s="41" t="n">
        <v>3656</v>
      </c>
      <c r="C660" s="42" t="inlineStr">
        <is>
          <t>0401006031</t>
        </is>
      </c>
      <c r="D660" s="42" t="inlineStr">
        <is>
          <t>Region IV-A (CALABARZON)</t>
        </is>
      </c>
      <c r="E660" s="42" t="inlineStr">
        <is>
          <t>Batangas</t>
        </is>
      </c>
      <c r="F660" s="42" t="inlineStr">
        <is>
          <t>Bauan</t>
        </is>
      </c>
      <c r="G660" s="42" t="inlineStr">
        <is>
          <t>San Andres Proper</t>
        </is>
      </c>
      <c r="H660" s="43" t="n">
        <v>13.7826</v>
      </c>
      <c r="I660" s="43" t="n">
        <v>120.9977</v>
      </c>
      <c r="J660" s="44" t="inlineStr">
        <is>
          <t>R</t>
        </is>
      </c>
      <c r="K660" s="42" t="inlineStr">
        <is>
          <t>Class 1-3 / Urban</t>
        </is>
      </c>
      <c r="L660" s="23" t="n">
        <v>2502</v>
      </c>
      <c r="M660" s="24" t="n">
        <v>4.62</v>
      </c>
      <c r="N660" s="23">
        <f>ROUND(L660/M660, 0)</f>
        <v/>
      </c>
      <c r="O660" s="23">
        <f>ROUND(N660*'Methodology &amp; Assumptions'!$B$8, 0)</f>
        <v/>
      </c>
      <c r="P660" s="44" t="inlineStr">
        <is>
          <t>Band n50 (1.5 GHz, 60 MHz)</t>
        </is>
      </c>
      <c r="Q660" s="38">
        <f>ROUNDUP(O660/'Methodology &amp; Assumptions'!$B$9, 0)</f>
        <v/>
      </c>
      <c r="R660" s="39" t="n">
        <v>1</v>
      </c>
      <c r="S660" s="25" t="n">
        <v>1.45</v>
      </c>
      <c r="T660" s="25" t="n">
        <v>1.44</v>
      </c>
      <c r="U660" s="42" t="inlineStr">
        <is>
          <t>Tier 1B (Micro Drop, 1-3 km)</t>
        </is>
      </c>
      <c r="V660" s="24" t="n">
        <v>71.7</v>
      </c>
      <c r="W660" s="24" t="n">
        <v>67.5</v>
      </c>
      <c r="X660" s="24" t="n">
        <v>58</v>
      </c>
      <c r="Y660" s="45">
        <f>ROUND((V660*'Methodology &amp; Assumptions'!$B$6)+(W660*'Methodology &amp; Assumptions'!$B$5)+(X660*'Methodology &amp; Assumptions'!$B$7), 2)</f>
        <v/>
      </c>
    </row>
    <row r="661" ht="19" customHeight="1">
      <c r="A661" s="35" t="n">
        <v>657</v>
      </c>
      <c r="B661" s="35" t="n">
        <v>3657</v>
      </c>
      <c r="C661" s="36" t="inlineStr">
        <is>
          <t>0301420022</t>
        </is>
      </c>
      <c r="D661" s="36" t="inlineStr">
        <is>
          <t>Region III (Central Luzon)</t>
        </is>
      </c>
      <c r="E661" s="36" t="inlineStr">
        <is>
          <t>Bulacan</t>
        </is>
      </c>
      <c r="F661" s="36" t="inlineStr">
        <is>
          <t>City of San Jose Del Monte</t>
        </is>
      </c>
      <c r="G661" s="36" t="inlineStr">
        <is>
          <t>Ciudad Real</t>
        </is>
      </c>
      <c r="H661" s="37" t="n">
        <v>14.770697</v>
      </c>
      <c r="I661" s="37" t="n">
        <v>121.091058</v>
      </c>
      <c r="J661" s="8" t="inlineStr">
        <is>
          <t>R</t>
        </is>
      </c>
      <c r="K661" s="36" t="inlineStr">
        <is>
          <t>Class 1-3 / Urban</t>
        </is>
      </c>
      <c r="L661" s="18" t="n">
        <v>1826</v>
      </c>
      <c r="M661" s="20" t="n">
        <v>4.1</v>
      </c>
      <c r="N661" s="18">
        <f>ROUND(L661/M661, 0)</f>
        <v/>
      </c>
      <c r="O661" s="18">
        <f>ROUND(N661*'Methodology &amp; Assumptions'!$B$8, 0)</f>
        <v/>
      </c>
      <c r="P661" s="8" t="inlineStr">
        <is>
          <t>Band n50 (1.5 GHz, 60 MHz)</t>
        </is>
      </c>
      <c r="Q661" s="38">
        <f>ROUNDUP(O661/'Methodology &amp; Assumptions'!$B$9, 0)</f>
        <v/>
      </c>
      <c r="R661" s="39" t="n">
        <v>1</v>
      </c>
      <c r="S661" s="21" t="n">
        <v>1.09</v>
      </c>
      <c r="T661" s="21" t="n">
        <v>0.85</v>
      </c>
      <c r="U661" s="36" t="inlineStr">
        <is>
          <t>Tier 1B (Micro Drop, 1-3 km)</t>
        </is>
      </c>
      <c r="V661" s="20" t="n">
        <v>79.40000000000001</v>
      </c>
      <c r="W661" s="20" t="n">
        <v>59.7</v>
      </c>
      <c r="X661" s="20" t="n">
        <v>58</v>
      </c>
      <c r="Y661" s="40">
        <f>ROUND((V661*'Methodology &amp; Assumptions'!$B$6)+(W661*'Methodology &amp; Assumptions'!$B$5)+(X661*'Methodology &amp; Assumptions'!$B$7), 2)</f>
        <v/>
      </c>
    </row>
    <row r="662" ht="19" customHeight="1">
      <c r="A662" s="41" t="n">
        <v>658</v>
      </c>
      <c r="B662" s="41" t="n">
        <v>3658</v>
      </c>
      <c r="C662" s="42" t="inlineStr">
        <is>
          <t>0731300001</t>
        </is>
      </c>
      <c r="D662" s="42" t="inlineStr">
        <is>
          <t>Region VII (Central Visayas)</t>
        </is>
      </c>
      <c r="E662" s="42" t="inlineStr">
        <is>
          <t>Cebu</t>
        </is>
      </c>
      <c r="F662" s="42" t="inlineStr">
        <is>
          <t>City of Mandaue</t>
        </is>
      </c>
      <c r="G662" s="42" t="inlineStr">
        <is>
          <t>Alang-alang</t>
        </is>
      </c>
      <c r="H662" s="43" t="n">
        <v>10.33191</v>
      </c>
      <c r="I662" s="43" t="n">
        <v>123.946039</v>
      </c>
      <c r="J662" s="44" t="inlineStr">
        <is>
          <t>U</t>
        </is>
      </c>
      <c r="K662" s="42" t="inlineStr">
        <is>
          <t>Class 1-3 / Urban</t>
        </is>
      </c>
      <c r="L662" s="23" t="n">
        <v>11495</v>
      </c>
      <c r="M662" s="24" t="n">
        <v>4.42</v>
      </c>
      <c r="N662" s="23">
        <f>ROUND(L662/M662, 0)</f>
        <v/>
      </c>
      <c r="O662" s="23">
        <f>ROUND(N662*'Methodology &amp; Assumptions'!$B$8, 0)</f>
        <v/>
      </c>
      <c r="P662" s="44" t="inlineStr">
        <is>
          <t>Band n50 (1.5 GHz, 60 MHz)</t>
        </is>
      </c>
      <c r="Q662" s="38">
        <f>ROUNDUP(O662/'Methodology &amp; Assumptions'!$B$9, 0)</f>
        <v/>
      </c>
      <c r="R662" s="39" t="n">
        <v>1</v>
      </c>
      <c r="S662" s="25" t="n">
        <v>1.8</v>
      </c>
      <c r="T662" s="25" t="n">
        <v>0.72</v>
      </c>
      <c r="U662" s="42" t="inlineStr">
        <is>
          <t>Tier 1B (Micro Drop, 1-3 km)</t>
        </is>
      </c>
      <c r="V662" s="24" t="n">
        <v>64.90000000000001</v>
      </c>
      <c r="W662" s="24" t="n">
        <v>100</v>
      </c>
      <c r="X662" s="24" t="n">
        <v>28</v>
      </c>
      <c r="Y662" s="45">
        <f>ROUND((V662*'Methodology &amp; Assumptions'!$B$6)+(W662*'Methodology &amp; Assumptions'!$B$5)+(X662*'Methodology &amp; Assumptions'!$B$7), 2)</f>
        <v/>
      </c>
    </row>
    <row r="663" ht="19" customHeight="1">
      <c r="A663" s="35" t="n">
        <v>659</v>
      </c>
      <c r="B663" s="35" t="n">
        <v>3659</v>
      </c>
      <c r="C663" s="36" t="inlineStr">
        <is>
          <t>0500508036</t>
        </is>
      </c>
      <c r="D663" s="36" t="inlineStr">
        <is>
          <t>Region V (Bicol Region)</t>
        </is>
      </c>
      <c r="E663" s="36" t="inlineStr">
        <is>
          <t>Albay</t>
        </is>
      </c>
      <c r="F663" s="36" t="inlineStr">
        <is>
          <t>City of Ligao</t>
        </is>
      </c>
      <c r="G663" s="36" t="inlineStr">
        <is>
          <t>Pandan</t>
        </is>
      </c>
      <c r="H663" s="37" t="n">
        <v>13.223261</v>
      </c>
      <c r="I663" s="37" t="n">
        <v>123.534026</v>
      </c>
      <c r="J663" s="8" t="inlineStr">
        <is>
          <t>U</t>
        </is>
      </c>
      <c r="K663" s="36" t="inlineStr">
        <is>
          <t>Class 1-3 / Urban</t>
        </is>
      </c>
      <c r="L663" s="18" t="n">
        <v>5090</v>
      </c>
      <c r="M663" s="20" t="n">
        <v>4.67</v>
      </c>
      <c r="N663" s="18">
        <f>ROUND(L663/M663, 0)</f>
        <v/>
      </c>
      <c r="O663" s="18">
        <f>ROUND(N663*'Methodology &amp; Assumptions'!$B$8, 0)</f>
        <v/>
      </c>
      <c r="P663" s="8" t="inlineStr">
        <is>
          <t>Band n50 (1.5 GHz, 60 MHz)</t>
        </is>
      </c>
      <c r="Q663" s="38">
        <f>ROUNDUP(O663/'Methodology &amp; Assumptions'!$B$9, 0)</f>
        <v/>
      </c>
      <c r="R663" s="39" t="n">
        <v>1</v>
      </c>
      <c r="S663" s="21" t="n">
        <v>1.8</v>
      </c>
      <c r="T663" s="21" t="n">
        <v>1.91</v>
      </c>
      <c r="U663" s="36" t="inlineStr">
        <is>
          <t>Tier 1B (Micro Drop, 1-3 km)</t>
        </is>
      </c>
      <c r="V663" s="20" t="n">
        <v>64.8</v>
      </c>
      <c r="W663" s="20" t="n">
        <v>100</v>
      </c>
      <c r="X663" s="20" t="n">
        <v>28</v>
      </c>
      <c r="Y663" s="40">
        <f>ROUND((V663*'Methodology &amp; Assumptions'!$B$6)+(W663*'Methodology &amp; Assumptions'!$B$5)+(X663*'Methodology &amp; Assumptions'!$B$7), 2)</f>
        <v/>
      </c>
    </row>
    <row r="664" ht="19" customHeight="1">
      <c r="A664" s="41" t="n">
        <v>660</v>
      </c>
      <c r="B664" s="41" t="n">
        <v>3660</v>
      </c>
      <c r="C664" s="42" t="inlineStr">
        <is>
          <t>0102926020</t>
        </is>
      </c>
      <c r="D664" s="42" t="inlineStr">
        <is>
          <t>Region I (Ilocos Region)</t>
        </is>
      </c>
      <c r="E664" s="42" t="inlineStr">
        <is>
          <t>Ilocos Sur</t>
        </is>
      </c>
      <c r="F664" s="42" t="inlineStr">
        <is>
          <t>Santa Maria</t>
        </is>
      </c>
      <c r="G664" s="42" t="inlineStr">
        <is>
          <t>Maynganay Norte</t>
        </is>
      </c>
      <c r="H664" s="43" t="n">
        <v>17.381728</v>
      </c>
      <c r="I664" s="43" t="n">
        <v>120.481405</v>
      </c>
      <c r="J664" s="44" t="inlineStr">
        <is>
          <t>R</t>
        </is>
      </c>
      <c r="K664" s="42" t="inlineStr">
        <is>
          <t>Class 1-3 / Urban</t>
        </is>
      </c>
      <c r="L664" s="23" t="n">
        <v>877</v>
      </c>
      <c r="M664" s="24" t="n">
        <v>4.56</v>
      </c>
      <c r="N664" s="23">
        <f>ROUND(L664/M664, 0)</f>
        <v/>
      </c>
      <c r="O664" s="23">
        <f>ROUND(N664*'Methodology &amp; Assumptions'!$B$8, 0)</f>
        <v/>
      </c>
      <c r="P664" s="44" t="inlineStr">
        <is>
          <t>Band n50 (1.5 GHz, 60 MHz)</t>
        </is>
      </c>
      <c r="Q664" s="38">
        <f>ROUNDUP(O664/'Methodology &amp; Assumptions'!$B$9, 0)</f>
        <v/>
      </c>
      <c r="R664" s="39" t="n">
        <v>1</v>
      </c>
      <c r="S664" s="25" t="n">
        <v>0.79</v>
      </c>
      <c r="T664" s="25" t="n">
        <v>0.15</v>
      </c>
      <c r="U664" s="42" t="inlineStr">
        <is>
          <t>Tier 1A (Direct Coloc, &lt;1 km)</t>
        </is>
      </c>
      <c r="V664" s="24" t="n">
        <v>86.8</v>
      </c>
      <c r="W664" s="24" t="n">
        <v>39.5</v>
      </c>
      <c r="X664" s="24" t="n">
        <v>73</v>
      </c>
      <c r="Y664" s="45">
        <f>ROUND((V664*'Methodology &amp; Assumptions'!$B$6)+(W664*'Methodology &amp; Assumptions'!$B$5)+(X664*'Methodology &amp; Assumptions'!$B$7), 2)</f>
        <v/>
      </c>
    </row>
    <row r="665" ht="19" customHeight="1">
      <c r="A665" s="35" t="n">
        <v>661</v>
      </c>
      <c r="B665" s="35" t="n">
        <v>3661</v>
      </c>
      <c r="C665" s="36" t="inlineStr">
        <is>
          <t>0306905037</t>
        </is>
      </c>
      <c r="D665" s="36" t="inlineStr">
        <is>
          <t>Region III (Central Luzon)</t>
        </is>
      </c>
      <c r="E665" s="36" t="inlineStr">
        <is>
          <t>Tarlac</t>
        </is>
      </c>
      <c r="F665" s="36" t="inlineStr">
        <is>
          <t>Concepcion</t>
        </is>
      </c>
      <c r="G665" s="36" t="inlineStr">
        <is>
          <t>Santo Niño</t>
        </is>
      </c>
      <c r="H665" s="37" t="n">
        <v>15.348151</v>
      </c>
      <c r="I665" s="37" t="n">
        <v>120.628579</v>
      </c>
      <c r="J665" s="8" t="inlineStr">
        <is>
          <t>R</t>
        </is>
      </c>
      <c r="K665" s="36" t="inlineStr">
        <is>
          <t>Class 1-3 / Urban</t>
        </is>
      </c>
      <c r="L665" s="18" t="n">
        <v>4434</v>
      </c>
      <c r="M665" s="20" t="n">
        <v>4.3</v>
      </c>
      <c r="N665" s="18">
        <f>ROUND(L665/M665, 0)</f>
        <v/>
      </c>
      <c r="O665" s="18">
        <f>ROUND(N665*'Methodology &amp; Assumptions'!$B$8, 0)</f>
        <v/>
      </c>
      <c r="P665" s="8" t="inlineStr">
        <is>
          <t>Band n50 (1.5 GHz, 60 MHz)</t>
        </is>
      </c>
      <c r="Q665" s="38">
        <f>ROUNDUP(O665/'Methodology &amp; Assumptions'!$B$9, 0)</f>
        <v/>
      </c>
      <c r="R665" s="39" t="n">
        <v>1</v>
      </c>
      <c r="S665" s="21" t="n">
        <v>3.7</v>
      </c>
      <c r="T665" s="21" t="n">
        <v>1.73</v>
      </c>
      <c r="U665" s="36" t="inlineStr">
        <is>
          <t>Tier 2 (Fiber Corridor / Lateral, 3-5 km)</t>
        </is>
      </c>
      <c r="V665" s="20" t="n">
        <v>39.1</v>
      </c>
      <c r="W665" s="20" t="n">
        <v>100</v>
      </c>
      <c r="X665" s="20" t="n">
        <v>58</v>
      </c>
      <c r="Y665" s="40">
        <f>ROUND((V665*'Methodology &amp; Assumptions'!$B$6)+(W665*'Methodology &amp; Assumptions'!$B$5)+(X665*'Methodology &amp; Assumptions'!$B$7), 2)</f>
        <v/>
      </c>
    </row>
    <row r="666" ht="19" customHeight="1">
      <c r="A666" s="41" t="n">
        <v>662</v>
      </c>
      <c r="B666" s="41" t="n">
        <v>3662</v>
      </c>
      <c r="C666" s="42" t="inlineStr">
        <is>
          <t>0402120007</t>
        </is>
      </c>
      <c r="D666" s="42" t="inlineStr">
        <is>
          <t>Region IV-A (CALABARZON)</t>
        </is>
      </c>
      <c r="E666" s="42" t="inlineStr">
        <is>
          <t>Cavite</t>
        </is>
      </c>
      <c r="F666" s="42" t="inlineStr">
        <is>
          <t>Tanza</t>
        </is>
      </c>
      <c r="G666" s="42" t="inlineStr">
        <is>
          <t>Calibuyo</t>
        </is>
      </c>
      <c r="H666" s="43" t="n">
        <v>14.361473</v>
      </c>
      <c r="I666" s="43" t="n">
        <v>120.808647</v>
      </c>
      <c r="J666" s="44" t="inlineStr">
        <is>
          <t>U</t>
        </is>
      </c>
      <c r="K666" s="42" t="inlineStr">
        <is>
          <t>Class 1-3 / Urban</t>
        </is>
      </c>
      <c r="L666" s="23" t="n">
        <v>6583</v>
      </c>
      <c r="M666" s="24" t="n">
        <v>4.49</v>
      </c>
      <c r="N666" s="23">
        <f>ROUND(L666/M666, 0)</f>
        <v/>
      </c>
      <c r="O666" s="23">
        <f>ROUND(N666*'Methodology &amp; Assumptions'!$B$8, 0)</f>
        <v/>
      </c>
      <c r="P666" s="44" t="inlineStr">
        <is>
          <t>Band n50 (1.5 GHz, 60 MHz)</t>
        </is>
      </c>
      <c r="Q666" s="38">
        <f>ROUNDUP(O666/'Methodology &amp; Assumptions'!$B$9, 0)</f>
        <v/>
      </c>
      <c r="R666" s="39" t="n">
        <v>1</v>
      </c>
      <c r="S666" s="25" t="n">
        <v>1.8</v>
      </c>
      <c r="T666" s="25" t="n">
        <v>0.29</v>
      </c>
      <c r="U666" s="42" t="inlineStr">
        <is>
          <t>Tier 1B (Micro Drop, 1-3 km)</t>
        </is>
      </c>
      <c r="V666" s="24" t="n">
        <v>64.8</v>
      </c>
      <c r="W666" s="24" t="n">
        <v>100</v>
      </c>
      <c r="X666" s="24" t="n">
        <v>28</v>
      </c>
      <c r="Y666" s="45">
        <f>ROUND((V666*'Methodology &amp; Assumptions'!$B$6)+(W666*'Methodology &amp; Assumptions'!$B$5)+(X666*'Methodology &amp; Assumptions'!$B$7), 2)</f>
        <v/>
      </c>
    </row>
    <row r="667" ht="19" customHeight="1">
      <c r="A667" s="35" t="n">
        <v>663</v>
      </c>
      <c r="B667" s="35" t="n">
        <v>3663</v>
      </c>
      <c r="C667" s="36" t="inlineStr">
        <is>
          <t>1705203024</t>
        </is>
      </c>
      <c r="D667" s="36" t="inlineStr">
        <is>
          <t>MIMAROPA Region</t>
        </is>
      </c>
      <c r="E667" s="36" t="inlineStr">
        <is>
          <t>Oriental Mindoro</t>
        </is>
      </c>
      <c r="F667" s="36" t="inlineStr">
        <is>
          <t>Bongabong</t>
        </is>
      </c>
      <c r="G667" s="36" t="inlineStr">
        <is>
          <t>Sagana</t>
        </is>
      </c>
      <c r="H667" s="37" t="n">
        <v>12.726329</v>
      </c>
      <c r="I667" s="37" t="n">
        <v>121.48634</v>
      </c>
      <c r="J667" s="8" t="inlineStr">
        <is>
          <t>R</t>
        </is>
      </c>
      <c r="K667" s="36" t="inlineStr">
        <is>
          <t>Class 1-3 / Urban</t>
        </is>
      </c>
      <c r="L667" s="18" t="n">
        <v>3142</v>
      </c>
      <c r="M667" s="20" t="n">
        <v>4.41</v>
      </c>
      <c r="N667" s="18">
        <f>ROUND(L667/M667, 0)</f>
        <v/>
      </c>
      <c r="O667" s="18">
        <f>ROUND(N667*'Methodology &amp; Assumptions'!$B$8, 0)</f>
        <v/>
      </c>
      <c r="P667" s="8" t="inlineStr">
        <is>
          <t>Band n50 (1.5 GHz, 60 MHz)</t>
        </is>
      </c>
      <c r="Q667" s="38">
        <f>ROUNDUP(O667/'Methodology &amp; Assumptions'!$B$9, 0)</f>
        <v/>
      </c>
      <c r="R667" s="39" t="n">
        <v>1</v>
      </c>
      <c r="S667" s="21" t="n">
        <v>1.96</v>
      </c>
      <c r="T667" s="21" t="n">
        <v>0.03</v>
      </c>
      <c r="U667" s="36" t="inlineStr">
        <is>
          <t>Tier 1B (Micro Drop, 1-3 km)</t>
        </is>
      </c>
      <c r="V667" s="20" t="n">
        <v>62</v>
      </c>
      <c r="W667" s="20" t="n">
        <v>77.09999999999999</v>
      </c>
      <c r="X667" s="20" t="n">
        <v>58</v>
      </c>
      <c r="Y667" s="40">
        <f>ROUND((V667*'Methodology &amp; Assumptions'!$B$6)+(W667*'Methodology &amp; Assumptions'!$B$5)+(X667*'Methodology &amp; Assumptions'!$B$7), 2)</f>
        <v/>
      </c>
    </row>
    <row r="668" ht="19" customHeight="1">
      <c r="A668" s="41" t="n">
        <v>664</v>
      </c>
      <c r="B668" s="41" t="n">
        <v>3664</v>
      </c>
      <c r="C668" s="42" t="inlineStr">
        <is>
          <t>0105526027</t>
        </is>
      </c>
      <c r="D668" s="42" t="inlineStr">
        <is>
          <t>Region I (Ilocos Region)</t>
        </is>
      </c>
      <c r="E668" s="42" t="inlineStr">
        <is>
          <t>Pangasinan</t>
        </is>
      </c>
      <c r="F668" s="42" t="inlineStr">
        <is>
          <t>Mangaldan</t>
        </is>
      </c>
      <c r="G668" s="42" t="inlineStr">
        <is>
          <t>Salaan</t>
        </is>
      </c>
      <c r="H668" s="43" t="n">
        <v>16.085436</v>
      </c>
      <c r="I668" s="43" t="n">
        <v>120.404604</v>
      </c>
      <c r="J668" s="44" t="inlineStr">
        <is>
          <t>R</t>
        </is>
      </c>
      <c r="K668" s="42" t="inlineStr">
        <is>
          <t>Class 1-3 / Urban</t>
        </is>
      </c>
      <c r="L668" s="23" t="n">
        <v>2934</v>
      </c>
      <c r="M668" s="24" t="n">
        <v>4.39</v>
      </c>
      <c r="N668" s="23">
        <f>ROUND(L668/M668, 0)</f>
        <v/>
      </c>
      <c r="O668" s="23">
        <f>ROUND(N668*'Methodology &amp; Assumptions'!$B$8, 0)</f>
        <v/>
      </c>
      <c r="P668" s="44" t="inlineStr">
        <is>
          <t>Band n50 (1.5 GHz, 60 MHz)</t>
        </is>
      </c>
      <c r="Q668" s="38">
        <f>ROUNDUP(O668/'Methodology &amp; Assumptions'!$B$9, 0)</f>
        <v/>
      </c>
      <c r="R668" s="39" t="n">
        <v>1</v>
      </c>
      <c r="S668" s="25" t="n">
        <v>1.98</v>
      </c>
      <c r="T668" s="25" t="n">
        <v>0.96</v>
      </c>
      <c r="U668" s="42" t="inlineStr">
        <is>
          <t>Tier 1B (Micro Drop, 1-3 km)</t>
        </is>
      </c>
      <c r="V668" s="24" t="n">
        <v>61.7</v>
      </c>
      <c r="W668" s="24" t="n">
        <v>77.3</v>
      </c>
      <c r="X668" s="24" t="n">
        <v>58</v>
      </c>
      <c r="Y668" s="45">
        <f>ROUND((V668*'Methodology &amp; Assumptions'!$B$6)+(W668*'Methodology &amp; Assumptions'!$B$5)+(X668*'Methodology &amp; Assumptions'!$B$7), 2)</f>
        <v/>
      </c>
    </row>
    <row r="669" ht="19" customHeight="1">
      <c r="A669" s="35" t="n">
        <v>665</v>
      </c>
      <c r="B669" s="35" t="n">
        <v>3665</v>
      </c>
      <c r="C669" s="36" t="inlineStr">
        <is>
          <t>0500503053</t>
        </is>
      </c>
      <c r="D669" s="36" t="inlineStr">
        <is>
          <t>Region V (Bicol Region)</t>
        </is>
      </c>
      <c r="E669" s="36" t="inlineStr">
        <is>
          <t>Albay</t>
        </is>
      </c>
      <c r="F669" s="36" t="inlineStr">
        <is>
          <t>Daraga</t>
        </is>
      </c>
      <c r="G669" s="36" t="inlineStr">
        <is>
          <t>Tagas</t>
        </is>
      </c>
      <c r="H669" s="37" t="n">
        <v>13.156712</v>
      </c>
      <c r="I669" s="37" t="n">
        <v>123.725184</v>
      </c>
      <c r="J669" s="8" t="inlineStr">
        <is>
          <t>U</t>
        </is>
      </c>
      <c r="K669" s="36" t="inlineStr">
        <is>
          <t>Class 1-3 / Urban</t>
        </is>
      </c>
      <c r="L669" s="18" t="n">
        <v>7636</v>
      </c>
      <c r="M669" s="20" t="n">
        <v>4.67</v>
      </c>
      <c r="N669" s="18">
        <f>ROUND(L669/M669, 0)</f>
        <v/>
      </c>
      <c r="O669" s="18">
        <f>ROUND(N669*'Methodology &amp; Assumptions'!$B$8, 0)</f>
        <v/>
      </c>
      <c r="P669" s="8" t="inlineStr">
        <is>
          <t>Band n50 (1.5 GHz, 60 MHz)</t>
        </is>
      </c>
      <c r="Q669" s="38">
        <f>ROUNDUP(O669/'Methodology &amp; Assumptions'!$B$9, 0)</f>
        <v/>
      </c>
      <c r="R669" s="39" t="n">
        <v>1</v>
      </c>
      <c r="S669" s="21" t="n">
        <v>1.81</v>
      </c>
      <c r="T669" s="21" t="n">
        <v>0.07000000000000001</v>
      </c>
      <c r="U669" s="36" t="inlineStr">
        <is>
          <t>Tier 1B (Micro Drop, 1-3 km)</t>
        </is>
      </c>
      <c r="V669" s="20" t="n">
        <v>64.8</v>
      </c>
      <c r="W669" s="20" t="n">
        <v>100</v>
      </c>
      <c r="X669" s="20" t="n">
        <v>28</v>
      </c>
      <c r="Y669" s="40">
        <f>ROUND((V669*'Methodology &amp; Assumptions'!$B$6)+(W669*'Methodology &amp; Assumptions'!$B$5)+(X669*'Methodology &amp; Assumptions'!$B$7), 2)</f>
        <v/>
      </c>
    </row>
    <row r="670" ht="19" customHeight="1">
      <c r="A670" s="41" t="n">
        <v>666</v>
      </c>
      <c r="B670" s="41" t="n">
        <v>3666</v>
      </c>
      <c r="C670" s="42" t="inlineStr">
        <is>
          <t>0305413023</t>
        </is>
      </c>
      <c r="D670" s="42" t="inlineStr">
        <is>
          <t>Region III (Central Luzon)</t>
        </is>
      </c>
      <c r="E670" s="42" t="inlineStr">
        <is>
          <t>Pampanga</t>
        </is>
      </c>
      <c r="F670" s="42" t="inlineStr">
        <is>
          <t>Mexico</t>
        </is>
      </c>
      <c r="G670" s="42" t="inlineStr">
        <is>
          <t>Panipuan</t>
        </is>
      </c>
      <c r="H670" s="43" t="n">
        <v>15.106527</v>
      </c>
      <c r="I670" s="43" t="n">
        <v>120.657212</v>
      </c>
      <c r="J670" s="44" t="inlineStr">
        <is>
          <t>U</t>
        </is>
      </c>
      <c r="K670" s="42" t="inlineStr">
        <is>
          <t>Class 1-3 / Urban</t>
        </is>
      </c>
      <c r="L670" s="23" t="n">
        <v>4016</v>
      </c>
      <c r="M670" s="24" t="n">
        <v>4.63</v>
      </c>
      <c r="N670" s="23">
        <f>ROUND(L670/M670, 0)</f>
        <v/>
      </c>
      <c r="O670" s="23">
        <f>ROUND(N670*'Methodology &amp; Assumptions'!$B$8, 0)</f>
        <v/>
      </c>
      <c r="P670" s="44" t="inlineStr">
        <is>
          <t>Band n50 (1.5 GHz, 60 MHz)</t>
        </is>
      </c>
      <c r="Q670" s="38">
        <f>ROUNDUP(O670/'Methodology &amp; Assumptions'!$B$9, 0)</f>
        <v/>
      </c>
      <c r="R670" s="39" t="n">
        <v>1</v>
      </c>
      <c r="S670" s="25" t="n">
        <v>1.01</v>
      </c>
      <c r="T670" s="25" t="n">
        <v>3.4</v>
      </c>
      <c r="U670" s="42" t="inlineStr">
        <is>
          <t>Tier 1B (Micro Drop, 1-3 km)</t>
        </is>
      </c>
      <c r="V670" s="24" t="n">
        <v>71.5</v>
      </c>
      <c r="W670" s="24" t="n">
        <v>93.3</v>
      </c>
      <c r="X670" s="24" t="n">
        <v>28</v>
      </c>
      <c r="Y670" s="45">
        <f>ROUND((V670*'Methodology &amp; Assumptions'!$B$6)+(W670*'Methodology &amp; Assumptions'!$B$5)+(X670*'Methodology &amp; Assumptions'!$B$7), 2)</f>
        <v/>
      </c>
    </row>
    <row r="671" ht="19" customHeight="1">
      <c r="A671" s="35" t="n">
        <v>667</v>
      </c>
      <c r="B671" s="35" t="n">
        <v>3667</v>
      </c>
      <c r="C671" s="36" t="inlineStr">
        <is>
          <t>0304928036</t>
        </is>
      </c>
      <c r="D671" s="36" t="inlineStr">
        <is>
          <t>Region III (Central Luzon)</t>
        </is>
      </c>
      <c r="E671" s="36" t="inlineStr">
        <is>
          <t>Nueva Ecija</t>
        </is>
      </c>
      <c r="F671" s="36" t="inlineStr">
        <is>
          <t>Santa Rosa</t>
        </is>
      </c>
      <c r="G671" s="36" t="inlineStr">
        <is>
          <t>Tagpos</t>
        </is>
      </c>
      <c r="H671" s="37" t="n">
        <v>15.446569</v>
      </c>
      <c r="I671" s="37" t="n">
        <v>120.995658</v>
      </c>
      <c r="J671" s="8" t="inlineStr">
        <is>
          <t>R</t>
        </is>
      </c>
      <c r="K671" s="36" t="inlineStr">
        <is>
          <t>Class 1-3 / Urban</t>
        </is>
      </c>
      <c r="L671" s="18" t="n">
        <v>3471</v>
      </c>
      <c r="M671" s="20" t="n">
        <v>4.32</v>
      </c>
      <c r="N671" s="18">
        <f>ROUND(L671/M671, 0)</f>
        <v/>
      </c>
      <c r="O671" s="18">
        <f>ROUND(N671*'Methodology &amp; Assumptions'!$B$8, 0)</f>
        <v/>
      </c>
      <c r="P671" s="8" t="inlineStr">
        <is>
          <t>Band n50 (1.5 GHz, 60 MHz)</t>
        </is>
      </c>
      <c r="Q671" s="38">
        <f>ROUNDUP(O671/'Methodology &amp; Assumptions'!$B$9, 0)</f>
        <v/>
      </c>
      <c r="R671" s="39" t="n">
        <v>1</v>
      </c>
      <c r="S671" s="21" t="n">
        <v>2.03</v>
      </c>
      <c r="T671" s="21" t="n">
        <v>2.04</v>
      </c>
      <c r="U671" s="36" t="inlineStr">
        <is>
          <t>Tier 1B (Micro Drop, 1-3 km)</t>
        </is>
      </c>
      <c r="V671" s="20" t="n">
        <v>50.8</v>
      </c>
      <c r="W671" s="20" t="n">
        <v>88.3</v>
      </c>
      <c r="X671" s="20" t="n">
        <v>58</v>
      </c>
      <c r="Y671" s="40">
        <f>ROUND((V671*'Methodology &amp; Assumptions'!$B$6)+(W671*'Methodology &amp; Assumptions'!$B$5)+(X671*'Methodology &amp; Assumptions'!$B$7), 2)</f>
        <v/>
      </c>
    </row>
    <row r="672" ht="19" customHeight="1">
      <c r="A672" s="41" t="n">
        <v>668</v>
      </c>
      <c r="B672" s="41" t="n">
        <v>3668</v>
      </c>
      <c r="C672" s="42" t="inlineStr">
        <is>
          <t>0105538008</t>
        </is>
      </c>
      <c r="D672" s="42" t="inlineStr">
        <is>
          <t>Region I (Ilocos Region)</t>
        </is>
      </c>
      <c r="E672" s="42" t="inlineStr">
        <is>
          <t>Pangasinan</t>
        </is>
      </c>
      <c r="F672" s="42" t="inlineStr">
        <is>
          <t>Santa Barbara</t>
        </is>
      </c>
      <c r="G672" s="42" t="inlineStr">
        <is>
          <t>Dalongue</t>
        </is>
      </c>
      <c r="H672" s="43" t="n">
        <v>16.005598</v>
      </c>
      <c r="I672" s="43" t="n">
        <v>120.393181</v>
      </c>
      <c r="J672" s="44" t="inlineStr">
        <is>
          <t>R</t>
        </is>
      </c>
      <c r="K672" s="42" t="inlineStr">
        <is>
          <t>Class 1-3 / Urban</t>
        </is>
      </c>
      <c r="L672" s="23" t="n">
        <v>2030</v>
      </c>
      <c r="M672" s="24" t="n">
        <v>4.39</v>
      </c>
      <c r="N672" s="23">
        <f>ROUND(L672/M672, 0)</f>
        <v/>
      </c>
      <c r="O672" s="23">
        <f>ROUND(N672*'Methodology &amp; Assumptions'!$B$8, 0)</f>
        <v/>
      </c>
      <c r="P672" s="44" t="inlineStr">
        <is>
          <t>Band n50 (1.5 GHz, 60 MHz)</t>
        </is>
      </c>
      <c r="Q672" s="38">
        <f>ROUNDUP(O672/'Methodology &amp; Assumptions'!$B$9, 0)</f>
        <v/>
      </c>
      <c r="R672" s="39" t="n">
        <v>1</v>
      </c>
      <c r="S672" s="25" t="n">
        <v>1.16</v>
      </c>
      <c r="T672" s="25" t="n">
        <v>0.6899999999999999</v>
      </c>
      <c r="U672" s="42" t="inlineStr">
        <is>
          <t>Tier 1B (Micro Drop, 1-3 km)</t>
        </is>
      </c>
      <c r="V672" s="24" t="n">
        <v>78</v>
      </c>
      <c r="W672" s="24" t="n">
        <v>61.1</v>
      </c>
      <c r="X672" s="24" t="n">
        <v>58</v>
      </c>
      <c r="Y672" s="45">
        <f>ROUND((V672*'Methodology &amp; Assumptions'!$B$6)+(W672*'Methodology &amp; Assumptions'!$B$5)+(X672*'Methodology &amp; Assumptions'!$B$7), 2)</f>
        <v/>
      </c>
    </row>
    <row r="673" ht="19" customHeight="1">
      <c r="A673" s="35" t="n">
        <v>669</v>
      </c>
      <c r="B673" s="35" t="n">
        <v>3669</v>
      </c>
      <c r="C673" s="36" t="inlineStr">
        <is>
          <t>0604528018</t>
        </is>
      </c>
      <c r="D673" s="36" t="inlineStr">
        <is>
          <t>Region VI (Western Visayas)</t>
        </is>
      </c>
      <c r="E673" s="36" t="inlineStr">
        <is>
          <t>Negros Occidental</t>
        </is>
      </c>
      <c r="F673" s="36" t="inlineStr">
        <is>
          <t>City of Talisay</t>
        </is>
      </c>
      <c r="G673" s="36" t="inlineStr">
        <is>
          <t>Zone 10</t>
        </is>
      </c>
      <c r="H673" s="37" t="n">
        <v>10.7311</v>
      </c>
      <c r="I673" s="37" t="n">
        <v>122.981072</v>
      </c>
      <c r="J673" s="8" t="inlineStr">
        <is>
          <t>U</t>
        </is>
      </c>
      <c r="K673" s="36" t="inlineStr">
        <is>
          <t>Class 1-3 / Urban</t>
        </is>
      </c>
      <c r="L673" s="18" t="n">
        <v>8697</v>
      </c>
      <c r="M673" s="20" t="n">
        <v>4.33</v>
      </c>
      <c r="N673" s="18">
        <f>ROUND(L673/M673, 0)</f>
        <v/>
      </c>
      <c r="O673" s="18">
        <f>ROUND(N673*'Methodology &amp; Assumptions'!$B$8, 0)</f>
        <v/>
      </c>
      <c r="P673" s="8" t="inlineStr">
        <is>
          <t>Band n50 (1.5 GHz, 60 MHz)</t>
        </is>
      </c>
      <c r="Q673" s="38">
        <f>ROUNDUP(O673/'Methodology &amp; Assumptions'!$B$9, 0)</f>
        <v/>
      </c>
      <c r="R673" s="39" t="n">
        <v>1</v>
      </c>
      <c r="S673" s="21" t="n">
        <v>1.81</v>
      </c>
      <c r="T673" s="21" t="n">
        <v>1.69</v>
      </c>
      <c r="U673" s="36" t="inlineStr">
        <is>
          <t>Tier 1B (Micro Drop, 1-3 km)</t>
        </is>
      </c>
      <c r="V673" s="20" t="n">
        <v>64.8</v>
      </c>
      <c r="W673" s="20" t="n">
        <v>100</v>
      </c>
      <c r="X673" s="20" t="n">
        <v>28</v>
      </c>
      <c r="Y673" s="40">
        <f>ROUND((V673*'Methodology &amp; Assumptions'!$B$6)+(W673*'Methodology &amp; Assumptions'!$B$5)+(X673*'Methodology &amp; Assumptions'!$B$7), 2)</f>
        <v/>
      </c>
    </row>
    <row r="674" ht="19" customHeight="1">
      <c r="A674" s="41" t="n">
        <v>670</v>
      </c>
      <c r="B674" s="41" t="n">
        <v>3670</v>
      </c>
      <c r="C674" s="42" t="inlineStr">
        <is>
          <t>1130700002</t>
        </is>
      </c>
      <c r="D674" s="42" t="inlineStr">
        <is>
          <t>Region XI (Davao Region)</t>
        </is>
      </c>
      <c r="E674" s="42" t="inlineStr">
        <is>
          <t>Davao del Sur</t>
        </is>
      </c>
      <c r="F674" s="42" t="inlineStr">
        <is>
          <t>City of Davao</t>
        </is>
      </c>
      <c r="G674" s="42" t="inlineStr">
        <is>
          <t>Agdao</t>
        </is>
      </c>
      <c r="H674" s="43" t="n">
        <v>7.081255</v>
      </c>
      <c r="I674" s="43" t="n">
        <v>125.622198</v>
      </c>
      <c r="J674" s="44" t="inlineStr">
        <is>
          <t>U</t>
        </is>
      </c>
      <c r="K674" s="42" t="inlineStr">
        <is>
          <t>Class 1-3 / Urban</t>
        </is>
      </c>
      <c r="L674" s="23" t="n">
        <v>6957</v>
      </c>
      <c r="M674" s="24" t="n">
        <v>4.1</v>
      </c>
      <c r="N674" s="23">
        <f>ROUND(L674/M674, 0)</f>
        <v/>
      </c>
      <c r="O674" s="23">
        <f>ROUND(N674*'Methodology &amp; Assumptions'!$B$8, 0)</f>
        <v/>
      </c>
      <c r="P674" s="44" t="inlineStr">
        <is>
          <t>Band n50 (1.5 GHz, 60 MHz)</t>
        </is>
      </c>
      <c r="Q674" s="38">
        <f>ROUNDUP(O674/'Methodology &amp; Assumptions'!$B$9, 0)</f>
        <v/>
      </c>
      <c r="R674" s="39" t="n">
        <v>1</v>
      </c>
      <c r="S674" s="25" t="n">
        <v>1.81</v>
      </c>
      <c r="T674" s="25" t="n">
        <v>0.27</v>
      </c>
      <c r="U674" s="42" t="inlineStr">
        <is>
          <t>Tier 1B (Micro Drop, 1-3 km)</t>
        </is>
      </c>
      <c r="V674" s="24" t="n">
        <v>64.8</v>
      </c>
      <c r="W674" s="24" t="n">
        <v>100</v>
      </c>
      <c r="X674" s="24" t="n">
        <v>28</v>
      </c>
      <c r="Y674" s="45">
        <f>ROUND((V674*'Methodology &amp; Assumptions'!$B$6)+(W674*'Methodology &amp; Assumptions'!$B$5)+(X674*'Methodology &amp; Assumptions'!$B$7), 2)</f>
        <v/>
      </c>
    </row>
    <row r="675" ht="19" customHeight="1">
      <c r="A675" s="35" t="n">
        <v>671</v>
      </c>
      <c r="B675" s="35" t="n">
        <v>3671</v>
      </c>
      <c r="C675" s="36" t="inlineStr">
        <is>
          <t>0500501016</t>
        </is>
      </c>
      <c r="D675" s="36" t="inlineStr">
        <is>
          <t>Region V (Bicol Region)</t>
        </is>
      </c>
      <c r="E675" s="36" t="inlineStr">
        <is>
          <t>Albay</t>
        </is>
      </c>
      <c r="F675" s="36" t="inlineStr">
        <is>
          <t>Bacacay</t>
        </is>
      </c>
      <c r="G675" s="36" t="inlineStr">
        <is>
          <t>Gubat Iraya</t>
        </is>
      </c>
      <c r="H675" s="37" t="n">
        <v>13.296693</v>
      </c>
      <c r="I675" s="37" t="n">
        <v>123.775124</v>
      </c>
      <c r="J675" s="8" t="inlineStr">
        <is>
          <t>R</t>
        </is>
      </c>
      <c r="K675" s="36" t="inlineStr">
        <is>
          <t>Class 1-3 / Urban</t>
        </is>
      </c>
      <c r="L675" s="18" t="n">
        <v>1386</v>
      </c>
      <c r="M675" s="20" t="n">
        <v>4.67</v>
      </c>
      <c r="N675" s="18">
        <f>ROUND(L675/M675, 0)</f>
        <v/>
      </c>
      <c r="O675" s="18">
        <f>ROUND(N675*'Methodology &amp; Assumptions'!$B$8, 0)</f>
        <v/>
      </c>
      <c r="P675" s="8" t="inlineStr">
        <is>
          <t>Band n50 (1.5 GHz, 60 MHz)</t>
        </is>
      </c>
      <c r="Q675" s="38">
        <f>ROUNDUP(O675/'Methodology &amp; Assumptions'!$B$9, 0)</f>
        <v/>
      </c>
      <c r="R675" s="39" t="n">
        <v>1</v>
      </c>
      <c r="S675" s="21" t="n">
        <v>0.62</v>
      </c>
      <c r="T675" s="21" t="n">
        <v>1.75</v>
      </c>
      <c r="U675" s="36" t="inlineStr">
        <is>
          <t>Tier 1A (Direct Coloc, &lt;1 km)</t>
        </is>
      </c>
      <c r="V675" s="20" t="n">
        <v>91.3</v>
      </c>
      <c r="W675" s="20" t="n">
        <v>47.7</v>
      </c>
      <c r="X675" s="20" t="n">
        <v>58</v>
      </c>
      <c r="Y675" s="40">
        <f>ROUND((V675*'Methodology &amp; Assumptions'!$B$6)+(W675*'Methodology &amp; Assumptions'!$B$5)+(X675*'Methodology &amp; Assumptions'!$B$7), 2)</f>
        <v/>
      </c>
    </row>
    <row r="676" ht="19" customHeight="1">
      <c r="A676" s="41" t="n">
        <v>672</v>
      </c>
      <c r="B676" s="41" t="n">
        <v>3672</v>
      </c>
      <c r="C676" s="42" t="inlineStr">
        <is>
          <t>0506202020</t>
        </is>
      </c>
      <c r="D676" s="42" t="inlineStr">
        <is>
          <t>Region V (Bicol Region)</t>
        </is>
      </c>
      <c r="E676" s="42" t="inlineStr">
        <is>
          <t>Sorsogon</t>
        </is>
      </c>
      <c r="F676" s="42" t="inlineStr">
        <is>
          <t>Barcelona</t>
        </is>
      </c>
      <c r="G676" s="42" t="inlineStr">
        <is>
          <t>Poblacion Sur</t>
        </is>
      </c>
      <c r="H676" s="43" t="n">
        <v>12.86291</v>
      </c>
      <c r="I676" s="43" t="n">
        <v>124.147431</v>
      </c>
      <c r="J676" s="44" t="inlineStr">
        <is>
          <t>R</t>
        </is>
      </c>
      <c r="K676" s="42" t="inlineStr">
        <is>
          <t>4th</t>
        </is>
      </c>
      <c r="L676" s="23" t="n">
        <v>1247</v>
      </c>
      <c r="M676" s="24" t="n">
        <v>4.38</v>
      </c>
      <c r="N676" s="23">
        <f>ROUND(L676/M676, 0)</f>
        <v/>
      </c>
      <c r="O676" s="23">
        <f>ROUND(N676*'Methodology &amp; Assumptions'!$B$8, 0)</f>
        <v/>
      </c>
      <c r="P676" s="44" t="inlineStr">
        <is>
          <t>Band n50 (1.5 GHz, 60 MHz)</t>
        </is>
      </c>
      <c r="Q676" s="38">
        <f>ROUNDUP(O676/'Methodology &amp; Assumptions'!$B$9, 0)</f>
        <v/>
      </c>
      <c r="R676" s="39" t="n">
        <v>1</v>
      </c>
      <c r="S676" s="25" t="n">
        <v>0.9399999999999999</v>
      </c>
      <c r="T676" s="25" t="n">
        <v>0.33</v>
      </c>
      <c r="U676" s="42" t="inlineStr">
        <is>
          <t>Tier 1A (Direct Coloc, &lt;1 km)</t>
        </is>
      </c>
      <c r="V676" s="24" t="n">
        <v>83.09999999999999</v>
      </c>
      <c r="W676" s="24" t="n">
        <v>46.9</v>
      </c>
      <c r="X676" s="24" t="n">
        <v>68.5</v>
      </c>
      <c r="Y676" s="45">
        <f>ROUND((V676*'Methodology &amp; Assumptions'!$B$6)+(W676*'Methodology &amp; Assumptions'!$B$5)+(X676*'Methodology &amp; Assumptions'!$B$7), 2)</f>
        <v/>
      </c>
    </row>
    <row r="677" ht="19" customHeight="1">
      <c r="A677" s="35" t="n">
        <v>673</v>
      </c>
      <c r="B677" s="35" t="n">
        <v>3673</v>
      </c>
      <c r="C677" s="36" t="inlineStr">
        <is>
          <t>0401034011</t>
        </is>
      </c>
      <c r="D677" s="36" t="inlineStr">
        <is>
          <t>Region IV-A (CALABARZON)</t>
        </is>
      </c>
      <c r="E677" s="36" t="inlineStr">
        <is>
          <t>Batangas</t>
        </is>
      </c>
      <c r="F677" s="36" t="inlineStr">
        <is>
          <t>Tuy</t>
        </is>
      </c>
      <c r="G677" s="36" t="inlineStr">
        <is>
          <t>Mataywanac</t>
        </is>
      </c>
      <c r="H677" s="37" t="n">
        <v>14.03378</v>
      </c>
      <c r="I677" s="37" t="n">
        <v>120.732121</v>
      </c>
      <c r="J677" s="8" t="inlineStr">
        <is>
          <t>R</t>
        </is>
      </c>
      <c r="K677" s="36" t="inlineStr">
        <is>
          <t>Class 1-3 / Urban</t>
        </is>
      </c>
      <c r="L677" s="18" t="n">
        <v>2468</v>
      </c>
      <c r="M677" s="20" t="n">
        <v>4.62</v>
      </c>
      <c r="N677" s="18">
        <f>ROUND(L677/M677, 0)</f>
        <v/>
      </c>
      <c r="O677" s="18">
        <f>ROUND(N677*'Methodology &amp; Assumptions'!$B$8, 0)</f>
        <v/>
      </c>
      <c r="P677" s="8" t="inlineStr">
        <is>
          <t>Band n50 (1.5 GHz, 60 MHz)</t>
        </is>
      </c>
      <c r="Q677" s="38">
        <f>ROUNDUP(O677/'Methodology &amp; Assumptions'!$B$9, 0)</f>
        <v/>
      </c>
      <c r="R677" s="39" t="n">
        <v>1</v>
      </c>
      <c r="S677" s="21" t="n">
        <v>1.42</v>
      </c>
      <c r="T677" s="21" t="n">
        <v>1.32</v>
      </c>
      <c r="U677" s="36" t="inlineStr">
        <is>
          <t>Tier 1B (Micro Drop, 1-3 km)</t>
        </is>
      </c>
      <c r="V677" s="20" t="n">
        <v>72.3</v>
      </c>
      <c r="W677" s="20" t="n">
        <v>66.7</v>
      </c>
      <c r="X677" s="20" t="n">
        <v>58</v>
      </c>
      <c r="Y677" s="40">
        <f>ROUND((V677*'Methodology &amp; Assumptions'!$B$6)+(W677*'Methodology &amp; Assumptions'!$B$5)+(X677*'Methodology &amp; Assumptions'!$B$7), 2)</f>
        <v/>
      </c>
    </row>
    <row r="678" ht="19" customHeight="1">
      <c r="A678" s="41" t="n">
        <v>674</v>
      </c>
      <c r="B678" s="41" t="n">
        <v>3674</v>
      </c>
      <c r="C678" s="42" t="inlineStr">
        <is>
          <t>0304928026</t>
        </is>
      </c>
      <c r="D678" s="42" t="inlineStr">
        <is>
          <t>Region III (Central Luzon)</t>
        </is>
      </c>
      <c r="E678" s="42" t="inlineStr">
        <is>
          <t>Nueva Ecija</t>
        </is>
      </c>
      <c r="F678" s="42" t="inlineStr">
        <is>
          <t>Santa Rosa</t>
        </is>
      </c>
      <c r="G678" s="42" t="inlineStr">
        <is>
          <t>Gomez</t>
        </is>
      </c>
      <c r="H678" s="43" t="n">
        <v>15.415556</v>
      </c>
      <c r="I678" s="43" t="n">
        <v>120.93761</v>
      </c>
      <c r="J678" s="44" t="inlineStr">
        <is>
          <t>R</t>
        </is>
      </c>
      <c r="K678" s="42" t="inlineStr">
        <is>
          <t>Class 1-3 / Urban</t>
        </is>
      </c>
      <c r="L678" s="23" t="n">
        <v>1856</v>
      </c>
      <c r="M678" s="24" t="n">
        <v>4.32</v>
      </c>
      <c r="N678" s="23">
        <f>ROUND(L678/M678, 0)</f>
        <v/>
      </c>
      <c r="O678" s="23">
        <f>ROUND(N678*'Methodology &amp; Assumptions'!$B$8, 0)</f>
        <v/>
      </c>
      <c r="P678" s="44" t="inlineStr">
        <is>
          <t>Band n50 (1.5 GHz, 60 MHz)</t>
        </is>
      </c>
      <c r="Q678" s="38">
        <f>ROUNDUP(O678/'Methodology &amp; Assumptions'!$B$9, 0)</f>
        <v/>
      </c>
      <c r="R678" s="39" t="n">
        <v>1</v>
      </c>
      <c r="S678" s="25" t="n">
        <v>1.04</v>
      </c>
      <c r="T678" s="25" t="n">
        <v>0.17</v>
      </c>
      <c r="U678" s="42" t="inlineStr">
        <is>
          <t>Tier 1B (Micro Drop, 1-3 km)</t>
        </is>
      </c>
      <c r="V678" s="24" t="n">
        <v>80.59999999999999</v>
      </c>
      <c r="W678" s="24" t="n">
        <v>58.4</v>
      </c>
      <c r="X678" s="24" t="n">
        <v>58</v>
      </c>
      <c r="Y678" s="45">
        <f>ROUND((V678*'Methodology &amp; Assumptions'!$B$6)+(W678*'Methodology &amp; Assumptions'!$B$5)+(X678*'Methodology &amp; Assumptions'!$B$7), 2)</f>
        <v/>
      </c>
    </row>
    <row r="679" ht="19" customHeight="1">
      <c r="A679" s="35" t="n">
        <v>675</v>
      </c>
      <c r="B679" s="35" t="n">
        <v>3675</v>
      </c>
      <c r="C679" s="36" t="inlineStr">
        <is>
          <t>0401013005</t>
        </is>
      </c>
      <c r="D679" s="36" t="inlineStr">
        <is>
          <t>Region IV-A (CALABARZON)</t>
        </is>
      </c>
      <c r="E679" s="36" t="inlineStr">
        <is>
          <t>Batangas</t>
        </is>
      </c>
      <c r="F679" s="36" t="inlineStr">
        <is>
          <t>Lian</t>
        </is>
      </c>
      <c r="G679" s="36" t="inlineStr">
        <is>
          <t>Bungahan</t>
        </is>
      </c>
      <c r="H679" s="37" t="n">
        <v>14.054779</v>
      </c>
      <c r="I679" s="37" t="n">
        <v>120.637247</v>
      </c>
      <c r="J679" s="8" t="inlineStr">
        <is>
          <t>U</t>
        </is>
      </c>
      <c r="K679" s="36" t="inlineStr">
        <is>
          <t>Class 1-3 / Urban</t>
        </is>
      </c>
      <c r="L679" s="18" t="n">
        <v>5115</v>
      </c>
      <c r="M679" s="20" t="n">
        <v>4.62</v>
      </c>
      <c r="N679" s="18">
        <f>ROUND(L679/M679, 0)</f>
        <v/>
      </c>
      <c r="O679" s="18">
        <f>ROUND(N679*'Methodology &amp; Assumptions'!$B$8, 0)</f>
        <v/>
      </c>
      <c r="P679" s="8" t="inlineStr">
        <is>
          <t>Band n50 (1.5 GHz, 60 MHz)</t>
        </is>
      </c>
      <c r="Q679" s="38">
        <f>ROUNDUP(O679/'Methodology &amp; Assumptions'!$B$9, 0)</f>
        <v/>
      </c>
      <c r="R679" s="39" t="n">
        <v>1</v>
      </c>
      <c r="S679" s="21" t="n">
        <v>1.81</v>
      </c>
      <c r="T679" s="21" t="n">
        <v>0.34</v>
      </c>
      <c r="U679" s="36" t="inlineStr">
        <is>
          <t>Tier 1B (Micro Drop, 1-3 km)</t>
        </is>
      </c>
      <c r="V679" s="20" t="n">
        <v>64.7</v>
      </c>
      <c r="W679" s="20" t="n">
        <v>100</v>
      </c>
      <c r="X679" s="20" t="n">
        <v>28</v>
      </c>
      <c r="Y679" s="40">
        <f>ROUND((V679*'Methodology &amp; Assumptions'!$B$6)+(W679*'Methodology &amp; Assumptions'!$B$5)+(X679*'Methodology &amp; Assumptions'!$B$7), 2)</f>
        <v/>
      </c>
    </row>
    <row r="680" ht="19" customHeight="1">
      <c r="A680" s="41" t="n">
        <v>676</v>
      </c>
      <c r="B680" s="41" t="n">
        <v>3676</v>
      </c>
      <c r="C680" s="42" t="inlineStr">
        <is>
          <t>0205013005</t>
        </is>
      </c>
      <c r="D680" s="42" t="inlineStr">
        <is>
          <t>Region II (Cagayan Valley)</t>
        </is>
      </c>
      <c r="E680" s="42" t="inlineStr">
        <is>
          <t>Nueva Vizcaya</t>
        </is>
      </c>
      <c r="F680" s="42" t="inlineStr">
        <is>
          <t>Solano</t>
        </is>
      </c>
      <c r="G680" s="42" t="inlineStr">
        <is>
          <t>Curifang</t>
        </is>
      </c>
      <c r="H680" s="43" t="n">
        <v>16.516184</v>
      </c>
      <c r="I680" s="43" t="n">
        <v>121.219254</v>
      </c>
      <c r="J680" s="44" t="inlineStr">
        <is>
          <t>R</t>
        </is>
      </c>
      <c r="K680" s="42" t="inlineStr">
        <is>
          <t>Class 1-3 / Urban</t>
        </is>
      </c>
      <c r="L680" s="23" t="n">
        <v>4832</v>
      </c>
      <c r="M680" s="24" t="n">
        <v>4.19</v>
      </c>
      <c r="N680" s="23">
        <f>ROUND(L680/M680, 0)</f>
        <v/>
      </c>
      <c r="O680" s="23">
        <f>ROUND(N680*'Methodology &amp; Assumptions'!$B$8, 0)</f>
        <v/>
      </c>
      <c r="P680" s="44" t="inlineStr">
        <is>
          <t>Band n50 (1.5 GHz, 60 MHz)</t>
        </is>
      </c>
      <c r="Q680" s="38">
        <f>ROUNDUP(O680/'Methodology &amp; Assumptions'!$B$9, 0)</f>
        <v/>
      </c>
      <c r="R680" s="39" t="n">
        <v>1</v>
      </c>
      <c r="S680" s="25" t="n">
        <v>3.72</v>
      </c>
      <c r="T680" s="25" t="n">
        <v>1.66</v>
      </c>
      <c r="U680" s="42" t="inlineStr">
        <is>
          <t>Tier 2 (Fiber Corridor / Lateral, 3-5 km)</t>
        </is>
      </c>
      <c r="V680" s="24" t="n">
        <v>39</v>
      </c>
      <c r="W680" s="24" t="n">
        <v>100</v>
      </c>
      <c r="X680" s="24" t="n">
        <v>58</v>
      </c>
      <c r="Y680" s="45">
        <f>ROUND((V680*'Methodology &amp; Assumptions'!$B$6)+(W680*'Methodology &amp; Assumptions'!$B$5)+(X680*'Methodology &amp; Assumptions'!$B$7), 2)</f>
        <v/>
      </c>
    </row>
    <row r="681" ht="19" customHeight="1">
      <c r="A681" s="35" t="n">
        <v>677</v>
      </c>
      <c r="B681" s="35" t="n">
        <v>3677</v>
      </c>
      <c r="C681" s="36" t="inlineStr">
        <is>
          <t>0803738058</t>
        </is>
      </c>
      <c r="D681" s="36" t="inlineStr">
        <is>
          <t>Region VIII (Eastern Visayas)</t>
        </is>
      </c>
      <c r="E681" s="36" t="inlineStr">
        <is>
          <t>Leyte</t>
        </is>
      </c>
      <c r="F681" s="36" t="inlineStr">
        <is>
          <t>Ormoc City</t>
        </is>
      </c>
      <c r="G681" s="36" t="inlineStr">
        <is>
          <t>Libertad</t>
        </is>
      </c>
      <c r="H681" s="37" t="n">
        <v>11.036059</v>
      </c>
      <c r="I681" s="37" t="n">
        <v>124.567506</v>
      </c>
      <c r="J681" s="8" t="inlineStr">
        <is>
          <t>R</t>
        </is>
      </c>
      <c r="K681" s="36" t="inlineStr">
        <is>
          <t>Class 1-3 / Urban</t>
        </is>
      </c>
      <c r="L681" s="18" t="n">
        <v>4565</v>
      </c>
      <c r="M681" s="20" t="n">
        <v>4.24</v>
      </c>
      <c r="N681" s="18">
        <f>ROUND(L681/M681, 0)</f>
        <v/>
      </c>
      <c r="O681" s="18">
        <f>ROUND(N681*'Methodology &amp; Assumptions'!$B$8, 0)</f>
        <v/>
      </c>
      <c r="P681" s="8" t="inlineStr">
        <is>
          <t>Band n50 (1.5 GHz, 60 MHz)</t>
        </is>
      </c>
      <c r="Q681" s="38">
        <f>ROUNDUP(O681/'Methodology &amp; Assumptions'!$B$9, 0)</f>
        <v/>
      </c>
      <c r="R681" s="39" t="n">
        <v>1</v>
      </c>
      <c r="S681" s="21" t="n">
        <v>3.72</v>
      </c>
      <c r="T681" s="21" t="n">
        <v>0.19</v>
      </c>
      <c r="U681" s="36" t="inlineStr">
        <is>
          <t>Tier 2 (Fiber Corridor / Lateral, 3-5 km)</t>
        </is>
      </c>
      <c r="V681" s="20" t="n">
        <v>39</v>
      </c>
      <c r="W681" s="20" t="n">
        <v>100</v>
      </c>
      <c r="X681" s="20" t="n">
        <v>58</v>
      </c>
      <c r="Y681" s="40">
        <f>ROUND((V681*'Methodology &amp; Assumptions'!$B$6)+(W681*'Methodology &amp; Assumptions'!$B$5)+(X681*'Methodology &amp; Assumptions'!$B$7), 2)</f>
        <v/>
      </c>
    </row>
    <row r="682" ht="19" customHeight="1">
      <c r="A682" s="41" t="n">
        <v>678</v>
      </c>
      <c r="B682" s="41" t="n">
        <v>3678</v>
      </c>
      <c r="C682" s="42" t="inlineStr">
        <is>
          <t>0103301017</t>
        </is>
      </c>
      <c r="D682" s="42" t="inlineStr">
        <is>
          <t>Region I (Ilocos Region)</t>
        </is>
      </c>
      <c r="E682" s="42" t="inlineStr">
        <is>
          <t>La Union</t>
        </is>
      </c>
      <c r="F682" s="42" t="inlineStr">
        <is>
          <t>Agoo</t>
        </is>
      </c>
      <c r="G682" s="42" t="inlineStr">
        <is>
          <t>San Joaquin Norte</t>
        </is>
      </c>
      <c r="H682" s="43" t="n">
        <v>16.317157</v>
      </c>
      <c r="I682" s="43" t="n">
        <v>120.366106</v>
      </c>
      <c r="J682" s="44" t="inlineStr">
        <is>
          <t>R</t>
        </is>
      </c>
      <c r="K682" s="42" t="inlineStr">
        <is>
          <t>Class 1-3 / Urban</t>
        </is>
      </c>
      <c r="L682" s="23" t="n">
        <v>1497</v>
      </c>
      <c r="M682" s="24" t="n">
        <v>4.42</v>
      </c>
      <c r="N682" s="23">
        <f>ROUND(L682/M682, 0)</f>
        <v/>
      </c>
      <c r="O682" s="23">
        <f>ROUND(N682*'Methodology &amp; Assumptions'!$B$8, 0)</f>
        <v/>
      </c>
      <c r="P682" s="44" t="inlineStr">
        <is>
          <t>Band n50 (1.5 GHz, 60 MHz)</t>
        </is>
      </c>
      <c r="Q682" s="38">
        <f>ROUNDUP(O682/'Methodology &amp; Assumptions'!$B$9, 0)</f>
        <v/>
      </c>
      <c r="R682" s="39" t="n">
        <v>1</v>
      </c>
      <c r="S682" s="25" t="n">
        <v>0.75</v>
      </c>
      <c r="T682" s="25" t="n">
        <v>0.23</v>
      </c>
      <c r="U682" s="42" t="inlineStr">
        <is>
          <t>Tier 1A (Direct Coloc, &lt;1 km)</t>
        </is>
      </c>
      <c r="V682" s="24" t="n">
        <v>87.8</v>
      </c>
      <c r="W682" s="24" t="n">
        <v>51.2</v>
      </c>
      <c r="X682" s="24" t="n">
        <v>58</v>
      </c>
      <c r="Y682" s="45">
        <f>ROUND((V682*'Methodology &amp; Assumptions'!$B$6)+(W682*'Methodology &amp; Assumptions'!$B$5)+(X682*'Methodology &amp; Assumptions'!$B$7), 2)</f>
        <v/>
      </c>
    </row>
    <row r="683" ht="19" customHeight="1">
      <c r="A683" s="35" t="n">
        <v>679</v>
      </c>
      <c r="B683" s="35" t="n">
        <v>3679</v>
      </c>
      <c r="C683" s="36" t="inlineStr">
        <is>
          <t>0702201007</t>
        </is>
      </c>
      <c r="D683" s="36" t="inlineStr">
        <is>
          <t>Region VII (Central Visayas)</t>
        </is>
      </c>
      <c r="E683" s="36" t="inlineStr">
        <is>
          <t>Cebu</t>
        </is>
      </c>
      <c r="F683" s="36" t="inlineStr">
        <is>
          <t>Alcantara</t>
        </is>
      </c>
      <c r="G683" s="36" t="inlineStr">
        <is>
          <t>Poblacion</t>
        </is>
      </c>
      <c r="H683" s="37" t="n">
        <v>9.970898999999999</v>
      </c>
      <c r="I683" s="37" t="n">
        <v>123.404471</v>
      </c>
      <c r="J683" s="8" t="inlineStr">
        <is>
          <t>R</t>
        </is>
      </c>
      <c r="K683" s="36" t="inlineStr">
        <is>
          <t>4th</t>
        </is>
      </c>
      <c r="L683" s="18" t="n">
        <v>2712</v>
      </c>
      <c r="M683" s="20" t="n">
        <v>4.4</v>
      </c>
      <c r="N683" s="18">
        <f>ROUND(L683/M683, 0)</f>
        <v/>
      </c>
      <c r="O683" s="18">
        <f>ROUND(N683*'Methodology &amp; Assumptions'!$B$8, 0)</f>
        <v/>
      </c>
      <c r="P683" s="8" t="inlineStr">
        <is>
          <t>Band n50 (1.5 GHz, 60 MHz)</t>
        </is>
      </c>
      <c r="Q683" s="38">
        <f>ROUNDUP(O683/'Methodology &amp; Assumptions'!$B$9, 0)</f>
        <v/>
      </c>
      <c r="R683" s="39" t="n">
        <v>1</v>
      </c>
      <c r="S683" s="21" t="n">
        <v>3.26</v>
      </c>
      <c r="T683" s="21" t="n">
        <v>0.21</v>
      </c>
      <c r="U683" s="36" t="inlineStr">
        <is>
          <t>Tier 2 (Fiber Corridor / Lateral, 3-5 km)</t>
        </is>
      </c>
      <c r="V683" s="20" t="n">
        <v>43.8</v>
      </c>
      <c r="W683" s="20" t="n">
        <v>73.3</v>
      </c>
      <c r="X683" s="20" t="n">
        <v>83.5</v>
      </c>
      <c r="Y683" s="40">
        <f>ROUND((V683*'Methodology &amp; Assumptions'!$B$6)+(W683*'Methodology &amp; Assumptions'!$B$5)+(X683*'Methodology &amp; Assumptions'!$B$7), 2)</f>
        <v/>
      </c>
    </row>
    <row r="684" ht="19" customHeight="1">
      <c r="A684" s="41" t="n">
        <v>680</v>
      </c>
      <c r="B684" s="41" t="n">
        <v>3680</v>
      </c>
      <c r="C684" s="42" t="inlineStr">
        <is>
          <t>0307102018</t>
        </is>
      </c>
      <c r="D684" s="42" t="inlineStr">
        <is>
          <t>Region III (Central Luzon)</t>
        </is>
      </c>
      <c r="E684" s="42" t="inlineStr">
        <is>
          <t>Zambales</t>
        </is>
      </c>
      <c r="F684" s="42" t="inlineStr">
        <is>
          <t>Cabangan</t>
        </is>
      </c>
      <c r="G684" s="42" t="inlineStr">
        <is>
          <t>San Antonio</t>
        </is>
      </c>
      <c r="H684" s="43" t="n">
        <v>15.162057</v>
      </c>
      <c r="I684" s="43" t="n">
        <v>120.052784</v>
      </c>
      <c r="J684" s="44" t="inlineStr">
        <is>
          <t>R</t>
        </is>
      </c>
      <c r="K684" s="42" t="inlineStr">
        <is>
          <t>2nd</t>
        </is>
      </c>
      <c r="L684" s="23" t="n">
        <v>788</v>
      </c>
      <c r="M684" s="24" t="n">
        <v>4.2</v>
      </c>
      <c r="N684" s="23">
        <f>ROUND(L684/M684, 0)</f>
        <v/>
      </c>
      <c r="O684" s="23">
        <f>ROUND(N684*'Methodology &amp; Assumptions'!$B$8, 0)</f>
        <v/>
      </c>
      <c r="P684" s="44" t="inlineStr">
        <is>
          <t>Band n50 (1.5 GHz, 60 MHz)</t>
        </is>
      </c>
      <c r="Q684" s="38">
        <f>ROUNDUP(O684/'Methodology &amp; Assumptions'!$B$9, 0)</f>
        <v/>
      </c>
      <c r="R684" s="39" t="n">
        <v>1</v>
      </c>
      <c r="S684" s="25" t="n">
        <v>0.22</v>
      </c>
      <c r="T684" s="25" t="n">
        <v>0.5600000000000001</v>
      </c>
      <c r="U684" s="42" t="inlineStr">
        <is>
          <t>Tier 1A (Direct Coloc, &lt;1 km)</t>
        </is>
      </c>
      <c r="V684" s="24" t="n">
        <v>100</v>
      </c>
      <c r="W684" s="24" t="n">
        <v>38.9</v>
      </c>
      <c r="X684" s="24" t="n">
        <v>58</v>
      </c>
      <c r="Y684" s="45">
        <f>ROUND((V684*'Methodology &amp; Assumptions'!$B$6)+(W684*'Methodology &amp; Assumptions'!$B$5)+(X684*'Methodology &amp; Assumptions'!$B$7), 2)</f>
        <v/>
      </c>
    </row>
    <row r="685" ht="19" customHeight="1">
      <c r="A685" s="35" t="n">
        <v>681</v>
      </c>
      <c r="B685" s="35" t="n">
        <v>3681</v>
      </c>
      <c r="C685" s="36" t="inlineStr">
        <is>
          <t>0307105002</t>
        </is>
      </c>
      <c r="D685" s="36" t="inlineStr">
        <is>
          <t>Region III (Central Luzon)</t>
        </is>
      </c>
      <c r="E685" s="36" t="inlineStr">
        <is>
          <t>Zambales</t>
        </is>
      </c>
      <c r="F685" s="36" t="inlineStr">
        <is>
          <t>Iba</t>
        </is>
      </c>
      <c r="G685" s="36" t="inlineStr">
        <is>
          <t>Zone 2 Pob.</t>
        </is>
      </c>
      <c r="H685" s="37" t="n">
        <v>15.32965</v>
      </c>
      <c r="I685" s="37" t="n">
        <v>119.978827</v>
      </c>
      <c r="J685" s="8" t="inlineStr">
        <is>
          <t>R</t>
        </is>
      </c>
      <c r="K685" s="36" t="inlineStr">
        <is>
          <t>Class 1-3 / Urban</t>
        </is>
      </c>
      <c r="L685" s="18" t="n">
        <v>755</v>
      </c>
      <c r="M685" s="20" t="n">
        <v>4.05</v>
      </c>
      <c r="N685" s="18">
        <f>ROUND(L685/M685, 0)</f>
        <v/>
      </c>
      <c r="O685" s="18">
        <f>ROUND(N685*'Methodology &amp; Assumptions'!$B$8, 0)</f>
        <v/>
      </c>
      <c r="P685" s="8" t="inlineStr">
        <is>
          <t>Band n50 (1.5 GHz, 60 MHz)</t>
        </is>
      </c>
      <c r="Q685" s="38">
        <f>ROUNDUP(O685/'Methodology &amp; Assumptions'!$B$9, 0)</f>
        <v/>
      </c>
      <c r="R685" s="39" t="n">
        <v>1</v>
      </c>
      <c r="S685" s="21" t="n">
        <v>0.31</v>
      </c>
      <c r="T685" s="21" t="n">
        <v>0.35</v>
      </c>
      <c r="U685" s="36" t="inlineStr">
        <is>
          <t>Tier 1A (Direct Coloc, &lt;1 km)</t>
        </is>
      </c>
      <c r="V685" s="20" t="n">
        <v>100</v>
      </c>
      <c r="W685" s="20" t="n">
        <v>38.9</v>
      </c>
      <c r="X685" s="20" t="n">
        <v>58</v>
      </c>
      <c r="Y685" s="40">
        <f>ROUND((V685*'Methodology &amp; Assumptions'!$B$6)+(W685*'Methodology &amp; Assumptions'!$B$5)+(X685*'Methodology &amp; Assumptions'!$B$7), 2)</f>
        <v/>
      </c>
    </row>
    <row r="686" ht="19" customHeight="1">
      <c r="A686" s="41" t="n">
        <v>682</v>
      </c>
      <c r="B686" s="41" t="n">
        <v>3682</v>
      </c>
      <c r="C686" s="42" t="inlineStr">
        <is>
          <t>0500509015</t>
        </is>
      </c>
      <c r="D686" s="42" t="inlineStr">
        <is>
          <t>Region V (Bicol Region)</t>
        </is>
      </c>
      <c r="E686" s="42" t="inlineStr">
        <is>
          <t>Albay</t>
        </is>
      </c>
      <c r="F686" s="42" t="inlineStr">
        <is>
          <t>Malilipot</t>
        </is>
      </c>
      <c r="G686" s="42" t="inlineStr">
        <is>
          <t>San Jose</t>
        </is>
      </c>
      <c r="H686" s="43" t="n">
        <v>13.296628</v>
      </c>
      <c r="I686" s="43" t="n">
        <v>123.756432</v>
      </c>
      <c r="J686" s="44" t="inlineStr">
        <is>
          <t>U</t>
        </is>
      </c>
      <c r="K686" s="42" t="inlineStr">
        <is>
          <t>1st</t>
        </is>
      </c>
      <c r="L686" s="23" t="n">
        <v>5290</v>
      </c>
      <c r="M686" s="24" t="n">
        <v>4.66</v>
      </c>
      <c r="N686" s="23">
        <f>ROUND(L686/M686, 0)</f>
        <v/>
      </c>
      <c r="O686" s="23">
        <f>ROUND(N686*'Methodology &amp; Assumptions'!$B$8, 0)</f>
        <v/>
      </c>
      <c r="P686" s="44" t="inlineStr">
        <is>
          <t>Band n50 (1.5 GHz, 60 MHz)</t>
        </is>
      </c>
      <c r="Q686" s="38">
        <f>ROUNDUP(O686/'Methodology &amp; Assumptions'!$B$9, 0)</f>
        <v/>
      </c>
      <c r="R686" s="39" t="n">
        <v>1</v>
      </c>
      <c r="S686" s="25" t="n">
        <v>2.62</v>
      </c>
      <c r="T686" s="25" t="n">
        <v>0.05</v>
      </c>
      <c r="U686" s="42" t="inlineStr">
        <is>
          <t>Tier 1B (Micro Drop, 1-3 km)</t>
        </is>
      </c>
      <c r="V686" s="24" t="n">
        <v>51.8</v>
      </c>
      <c r="W686" s="24" t="n">
        <v>100</v>
      </c>
      <c r="X686" s="24" t="n">
        <v>43</v>
      </c>
      <c r="Y686" s="45">
        <f>ROUND((V686*'Methodology &amp; Assumptions'!$B$6)+(W686*'Methodology &amp; Assumptions'!$B$5)+(X686*'Methodology &amp; Assumptions'!$B$7), 2)</f>
        <v/>
      </c>
    </row>
    <row r="687" ht="19" customHeight="1">
      <c r="A687" s="35" t="n">
        <v>683</v>
      </c>
      <c r="B687" s="35" t="n">
        <v>3683</v>
      </c>
      <c r="C687" s="36" t="inlineStr">
        <is>
          <t>0301410012</t>
        </is>
      </c>
      <c r="D687" s="36" t="inlineStr">
        <is>
          <t>Region III (Central Luzon)</t>
        </is>
      </c>
      <c r="E687" s="36" t="inlineStr">
        <is>
          <t>Bulacan</t>
        </is>
      </c>
      <c r="F687" s="36" t="inlineStr">
        <is>
          <t>City of Malolos</t>
        </is>
      </c>
      <c r="G687" s="36" t="inlineStr">
        <is>
          <t>Bulihan</t>
        </is>
      </c>
      <c r="H687" s="37" t="n">
        <v>14.857865</v>
      </c>
      <c r="I687" s="37" t="n">
        <v>120.800758</v>
      </c>
      <c r="J687" s="8" t="inlineStr">
        <is>
          <t>U</t>
        </is>
      </c>
      <c r="K687" s="36" t="inlineStr">
        <is>
          <t>Class 1-3 / Urban</t>
        </is>
      </c>
      <c r="L687" s="18" t="n">
        <v>15865</v>
      </c>
      <c r="M687" s="20" t="n">
        <v>4.1</v>
      </c>
      <c r="N687" s="18">
        <f>ROUND(L687/M687, 0)</f>
        <v/>
      </c>
      <c r="O687" s="18">
        <f>ROUND(N687*'Methodology &amp; Assumptions'!$B$8, 0)</f>
        <v/>
      </c>
      <c r="P687" s="8" t="inlineStr">
        <is>
          <t>Band n50 (1.5 GHz, 60 MHz)</t>
        </is>
      </c>
      <c r="Q687" s="38">
        <f>ROUNDUP(O687/'Methodology &amp; Assumptions'!$B$9, 0)</f>
        <v/>
      </c>
      <c r="R687" s="39" t="n">
        <v>1</v>
      </c>
      <c r="S687" s="21" t="n">
        <v>1.81</v>
      </c>
      <c r="T687" s="21" t="n">
        <v>0.88</v>
      </c>
      <c r="U687" s="36" t="inlineStr">
        <is>
          <t>Tier 1B (Micro Drop, 1-3 km)</t>
        </is>
      </c>
      <c r="V687" s="20" t="n">
        <v>64.59999999999999</v>
      </c>
      <c r="W687" s="20" t="n">
        <v>100</v>
      </c>
      <c r="X687" s="20" t="n">
        <v>28</v>
      </c>
      <c r="Y687" s="40">
        <f>ROUND((V687*'Methodology &amp; Assumptions'!$B$6)+(W687*'Methodology &amp; Assumptions'!$B$5)+(X687*'Methodology &amp; Assumptions'!$B$7), 2)</f>
        <v/>
      </c>
    </row>
    <row r="688" ht="19" customHeight="1">
      <c r="A688" s="41" t="n">
        <v>684</v>
      </c>
      <c r="B688" s="41" t="n">
        <v>3684</v>
      </c>
      <c r="C688" s="42" t="inlineStr">
        <is>
          <t>0405645035</t>
        </is>
      </c>
      <c r="D688" s="42" t="inlineStr">
        <is>
          <t>Region IV-A (CALABARZON)</t>
        </is>
      </c>
      <c r="E688" s="42" t="inlineStr">
        <is>
          <t>Quezon</t>
        </is>
      </c>
      <c r="F688" s="42" t="inlineStr">
        <is>
          <t>Sariaya</t>
        </is>
      </c>
      <c r="G688" s="42" t="inlineStr">
        <is>
          <t>Barangay 4</t>
        </is>
      </c>
      <c r="H688" s="43" t="n">
        <v>13.963051</v>
      </c>
      <c r="I688" s="43" t="n">
        <v>121.528289</v>
      </c>
      <c r="J688" s="44" t="inlineStr">
        <is>
          <t>U</t>
        </is>
      </c>
      <c r="K688" s="42" t="inlineStr">
        <is>
          <t>Class 1-3 / Urban</t>
        </is>
      </c>
      <c r="L688" s="23" t="n">
        <v>3545</v>
      </c>
      <c r="M688" s="24" t="n">
        <v>4.46</v>
      </c>
      <c r="N688" s="23">
        <f>ROUND(L688/M688, 0)</f>
        <v/>
      </c>
      <c r="O688" s="23">
        <f>ROUND(N688*'Methodology &amp; Assumptions'!$B$8, 0)</f>
        <v/>
      </c>
      <c r="P688" s="44" t="inlineStr">
        <is>
          <t>Band n50 (1.5 GHz, 60 MHz)</t>
        </is>
      </c>
      <c r="Q688" s="38">
        <f>ROUNDUP(O688/'Methodology &amp; Assumptions'!$B$9, 0)</f>
        <v/>
      </c>
      <c r="R688" s="39" t="n">
        <v>1</v>
      </c>
      <c r="S688" s="25" t="n">
        <v>1.19</v>
      </c>
      <c r="T688" s="25" t="n">
        <v>0.13</v>
      </c>
      <c r="U688" s="42" t="inlineStr">
        <is>
          <t>Tier 1B (Micro Drop, 1-3 km)</t>
        </is>
      </c>
      <c r="V688" s="24" t="n">
        <v>77.2</v>
      </c>
      <c r="W688" s="24" t="n">
        <v>87.5</v>
      </c>
      <c r="X688" s="24" t="n">
        <v>28</v>
      </c>
      <c r="Y688" s="45">
        <f>ROUND((V688*'Methodology &amp; Assumptions'!$B$6)+(W688*'Methodology &amp; Assumptions'!$B$5)+(X688*'Methodology &amp; Assumptions'!$B$7), 2)</f>
        <v/>
      </c>
    </row>
    <row r="689" ht="19" customHeight="1">
      <c r="A689" s="35" t="n">
        <v>685</v>
      </c>
      <c r="B689" s="35" t="n">
        <v>3685</v>
      </c>
      <c r="C689" s="36" t="inlineStr">
        <is>
          <t>0702210024</t>
        </is>
      </c>
      <c r="D689" s="36" t="inlineStr">
        <is>
          <t>Region VII (Central Visayas)</t>
        </is>
      </c>
      <c r="E689" s="36" t="inlineStr">
        <is>
          <t>Cebu</t>
        </is>
      </c>
      <c r="F689" s="36" t="inlineStr">
        <is>
          <t>Barili</t>
        </is>
      </c>
      <c r="G689" s="36" t="inlineStr">
        <is>
          <t>Maghanoy</t>
        </is>
      </c>
      <c r="H689" s="37" t="n">
        <v>10.109553</v>
      </c>
      <c r="I689" s="37" t="n">
        <v>123.50469</v>
      </c>
      <c r="J689" s="8" t="inlineStr">
        <is>
          <t>R</t>
        </is>
      </c>
      <c r="K689" s="36" t="inlineStr">
        <is>
          <t>Class 1-3 / Urban</t>
        </is>
      </c>
      <c r="L689" s="18" t="n">
        <v>1424</v>
      </c>
      <c r="M689" s="20" t="n">
        <v>4.42</v>
      </c>
      <c r="N689" s="18">
        <f>ROUND(L689/M689, 0)</f>
        <v/>
      </c>
      <c r="O689" s="18">
        <f>ROUND(N689*'Methodology &amp; Assumptions'!$B$8, 0)</f>
        <v/>
      </c>
      <c r="P689" s="8" t="inlineStr">
        <is>
          <t>Band n50 (1.5 GHz, 60 MHz)</t>
        </is>
      </c>
      <c r="Q689" s="38">
        <f>ROUNDUP(O689/'Methodology &amp; Assumptions'!$B$9, 0)</f>
        <v/>
      </c>
      <c r="R689" s="39" t="n">
        <v>1</v>
      </c>
      <c r="S689" s="21" t="n">
        <v>0.7</v>
      </c>
      <c r="T689" s="21" t="n">
        <v>0.67</v>
      </c>
      <c r="U689" s="36" t="inlineStr">
        <is>
          <t>Tier 1A (Direct Coloc, &lt;1 km)</t>
        </is>
      </c>
      <c r="V689" s="20" t="n">
        <v>89.09999999999999</v>
      </c>
      <c r="W689" s="20" t="n">
        <v>49.9</v>
      </c>
      <c r="X689" s="20" t="n">
        <v>58</v>
      </c>
      <c r="Y689" s="40">
        <f>ROUND((V689*'Methodology &amp; Assumptions'!$B$6)+(W689*'Methodology &amp; Assumptions'!$B$5)+(X689*'Methodology &amp; Assumptions'!$B$7), 2)</f>
        <v/>
      </c>
    </row>
    <row r="690" ht="19" customHeight="1">
      <c r="A690" s="41" t="n">
        <v>686</v>
      </c>
      <c r="B690" s="41" t="n">
        <v>3686</v>
      </c>
      <c r="C690" s="42" t="inlineStr">
        <is>
          <t>1130700023</t>
        </is>
      </c>
      <c r="D690" s="42" t="inlineStr">
        <is>
          <t>Region XI (Davao Region)</t>
        </is>
      </c>
      <c r="E690" s="42" t="inlineStr">
        <is>
          <t>Davao del Sur</t>
        </is>
      </c>
      <c r="F690" s="42" t="inlineStr">
        <is>
          <t>City of Davao</t>
        </is>
      </c>
      <c r="G690" s="42" t="inlineStr">
        <is>
          <t>Cabantian</t>
        </is>
      </c>
      <c r="H690" s="43" t="n">
        <v>7.129656</v>
      </c>
      <c r="I690" s="43" t="n">
        <v>125.620554</v>
      </c>
      <c r="J690" s="44" t="inlineStr">
        <is>
          <t>U</t>
        </is>
      </c>
      <c r="K690" s="42" t="inlineStr">
        <is>
          <t>Class 1-3 / Urban</t>
        </is>
      </c>
      <c r="L690" s="23" t="n">
        <v>50100</v>
      </c>
      <c r="M690" s="24" t="n">
        <v>4.1</v>
      </c>
      <c r="N690" s="23">
        <f>ROUND(L690/M690, 0)</f>
        <v/>
      </c>
      <c r="O690" s="23">
        <f>ROUND(N690*'Methodology &amp; Assumptions'!$B$8, 0)</f>
        <v/>
      </c>
      <c r="P690" s="44" t="inlineStr">
        <is>
          <t>Band n50 (1.5 GHz, 60 MHz)</t>
        </is>
      </c>
      <c r="Q690" s="38">
        <f>ROUNDUP(O690/'Methodology &amp; Assumptions'!$B$9, 0)</f>
        <v/>
      </c>
      <c r="R690" s="39" t="n">
        <v>1</v>
      </c>
      <c r="S690" s="25" t="n">
        <v>1.61</v>
      </c>
      <c r="T690" s="25" t="n">
        <v>0.21</v>
      </c>
      <c r="U690" s="42" t="inlineStr">
        <is>
          <t>Tier 1B (Micro Drop, 1-3 km)</t>
        </is>
      </c>
      <c r="V690" s="24" t="n">
        <v>68.40000000000001</v>
      </c>
      <c r="W690" s="24" t="n">
        <v>96.2</v>
      </c>
      <c r="X690" s="24" t="n">
        <v>28</v>
      </c>
      <c r="Y690" s="45">
        <f>ROUND((V690*'Methodology &amp; Assumptions'!$B$6)+(W690*'Methodology &amp; Assumptions'!$B$5)+(X690*'Methodology &amp; Assumptions'!$B$7), 2)</f>
        <v/>
      </c>
    </row>
    <row r="691" ht="19" customHeight="1">
      <c r="A691" s="35" t="n">
        <v>687</v>
      </c>
      <c r="B691" s="35" t="n">
        <v>3687</v>
      </c>
      <c r="C691" s="36" t="inlineStr">
        <is>
          <t>0704619021</t>
        </is>
      </c>
      <c r="D691" s="36" t="inlineStr">
        <is>
          <t>Region VII (Central Visayas)</t>
        </is>
      </c>
      <c r="E691" s="36" t="inlineStr">
        <is>
          <t>Negros Oriental</t>
        </is>
      </c>
      <c r="F691" s="36" t="inlineStr">
        <is>
          <t>Siaton</t>
        </is>
      </c>
      <c r="G691" s="36" t="inlineStr">
        <is>
          <t>Poblacion IV</t>
        </is>
      </c>
      <c r="H691" s="37" t="n">
        <v>9.07005</v>
      </c>
      <c r="I691" s="37" t="n">
        <v>123.038099</v>
      </c>
      <c r="J691" s="8" t="inlineStr">
        <is>
          <t>R</t>
        </is>
      </c>
      <c r="K691" s="36" t="inlineStr">
        <is>
          <t>Class 1-3 / Urban</t>
        </is>
      </c>
      <c r="L691" s="18" t="n">
        <v>2051</v>
      </c>
      <c r="M691" s="20" t="n">
        <v>4.33</v>
      </c>
      <c r="N691" s="18">
        <f>ROUND(L691/M691, 0)</f>
        <v/>
      </c>
      <c r="O691" s="18">
        <f>ROUND(N691*'Methodology &amp; Assumptions'!$B$8, 0)</f>
        <v/>
      </c>
      <c r="P691" s="8" t="inlineStr">
        <is>
          <t>Band n50 (1.5 GHz, 60 MHz)</t>
        </is>
      </c>
      <c r="Q691" s="38">
        <f>ROUNDUP(O691/'Methodology &amp; Assumptions'!$B$9, 0)</f>
        <v/>
      </c>
      <c r="R691" s="39" t="n">
        <v>1</v>
      </c>
      <c r="S691" s="21" t="n">
        <v>1.2</v>
      </c>
      <c r="T691" s="21" t="n">
        <v>1.19</v>
      </c>
      <c r="U691" s="36" t="inlineStr">
        <is>
          <t>Tier 1B (Micro Drop, 1-3 km)</t>
        </is>
      </c>
      <c r="V691" s="20" t="n">
        <v>77</v>
      </c>
      <c r="W691" s="20" t="n">
        <v>61.9</v>
      </c>
      <c r="X691" s="20" t="n">
        <v>58</v>
      </c>
      <c r="Y691" s="40">
        <f>ROUND((V691*'Methodology &amp; Assumptions'!$B$6)+(W691*'Methodology &amp; Assumptions'!$B$5)+(X691*'Methodology &amp; Assumptions'!$B$7), 2)</f>
        <v/>
      </c>
    </row>
    <row r="692" ht="19" customHeight="1">
      <c r="A692" s="41" t="n">
        <v>688</v>
      </c>
      <c r="B692" s="41" t="n">
        <v>3688</v>
      </c>
      <c r="C692" s="42" t="inlineStr">
        <is>
          <t>0704603002</t>
        </is>
      </c>
      <c r="D692" s="42" t="inlineStr">
        <is>
          <t>Region VII (Central Visayas)</t>
        </is>
      </c>
      <c r="E692" s="42" t="inlineStr">
        <is>
          <t>Negros Oriental</t>
        </is>
      </c>
      <c r="F692" s="42" t="inlineStr">
        <is>
          <t>Bacong</t>
        </is>
      </c>
      <c r="G692" s="42" t="inlineStr">
        <is>
          <t>Banilad</t>
        </is>
      </c>
      <c r="H692" s="43" t="n">
        <v>9.268807000000001</v>
      </c>
      <c r="I692" s="43" t="n">
        <v>123.2923</v>
      </c>
      <c r="J692" s="44" t="inlineStr">
        <is>
          <t>U</t>
        </is>
      </c>
      <c r="K692" s="42" t="inlineStr">
        <is>
          <t>2nd</t>
        </is>
      </c>
      <c r="L692" s="23" t="n">
        <v>5512</v>
      </c>
      <c r="M692" s="24" t="n">
        <v>4.41</v>
      </c>
      <c r="N692" s="23">
        <f>ROUND(L692/M692, 0)</f>
        <v/>
      </c>
      <c r="O692" s="23">
        <f>ROUND(N692*'Methodology &amp; Assumptions'!$B$8, 0)</f>
        <v/>
      </c>
      <c r="P692" s="44" t="inlineStr">
        <is>
          <t>Band n50 (1.5 GHz, 60 MHz)</t>
        </is>
      </c>
      <c r="Q692" s="38">
        <f>ROUNDUP(O692/'Methodology &amp; Assumptions'!$B$9, 0)</f>
        <v/>
      </c>
      <c r="R692" s="39" t="n">
        <v>1</v>
      </c>
      <c r="S692" s="25" t="n">
        <v>1.82</v>
      </c>
      <c r="T692" s="25" t="n">
        <v>0.08</v>
      </c>
      <c r="U692" s="42" t="inlineStr">
        <is>
          <t>Tier 1B (Micro Drop, 1-3 km)</t>
        </is>
      </c>
      <c r="V692" s="24" t="n">
        <v>64.59999999999999</v>
      </c>
      <c r="W692" s="24" t="n">
        <v>100</v>
      </c>
      <c r="X692" s="24" t="n">
        <v>28</v>
      </c>
      <c r="Y692" s="45">
        <f>ROUND((V692*'Methodology &amp; Assumptions'!$B$6)+(W692*'Methodology &amp; Assumptions'!$B$5)+(X692*'Methodology &amp; Assumptions'!$B$7), 2)</f>
        <v/>
      </c>
    </row>
    <row r="693" ht="19" customHeight="1">
      <c r="A693" s="35" t="n">
        <v>689</v>
      </c>
      <c r="B693" s="35" t="n">
        <v>3689</v>
      </c>
      <c r="C693" s="36" t="inlineStr">
        <is>
          <t>0301407013</t>
        </is>
      </c>
      <c r="D693" s="36" t="inlineStr">
        <is>
          <t>Region III (Central Luzon)</t>
        </is>
      </c>
      <c r="E693" s="36" t="inlineStr">
        <is>
          <t>Bulacan</t>
        </is>
      </c>
      <c r="F693" s="36" t="inlineStr">
        <is>
          <t>Calumpit</t>
        </is>
      </c>
      <c r="G693" s="36" t="inlineStr">
        <is>
          <t>Iba Este</t>
        </is>
      </c>
      <c r="H693" s="37" t="n">
        <v>14.890026</v>
      </c>
      <c r="I693" s="37" t="n">
        <v>120.767311</v>
      </c>
      <c r="J693" s="8" t="inlineStr">
        <is>
          <t>U</t>
        </is>
      </c>
      <c r="K693" s="36" t="inlineStr">
        <is>
          <t>Class 1-3 / Urban</t>
        </is>
      </c>
      <c r="L693" s="18" t="n">
        <v>4161</v>
      </c>
      <c r="M693" s="20" t="n">
        <v>4.1</v>
      </c>
      <c r="N693" s="18">
        <f>ROUND(L693/M693, 0)</f>
        <v/>
      </c>
      <c r="O693" s="18">
        <f>ROUND(N693*'Methodology &amp; Assumptions'!$B$8, 0)</f>
        <v/>
      </c>
      <c r="P693" s="8" t="inlineStr">
        <is>
          <t>Band n50 (1.5 GHz, 60 MHz)</t>
        </is>
      </c>
      <c r="Q693" s="38">
        <f>ROUNDUP(O693/'Methodology &amp; Assumptions'!$B$9, 0)</f>
        <v/>
      </c>
      <c r="R693" s="39" t="n">
        <v>1</v>
      </c>
      <c r="S693" s="21" t="n">
        <v>1.82</v>
      </c>
      <c r="T693" s="21" t="n">
        <v>1.22</v>
      </c>
      <c r="U693" s="36" t="inlineStr">
        <is>
          <t>Tier 1B (Micro Drop, 1-3 km)</t>
        </is>
      </c>
      <c r="V693" s="20" t="n">
        <v>64.59999999999999</v>
      </c>
      <c r="W693" s="20" t="n">
        <v>100</v>
      </c>
      <c r="X693" s="20" t="n">
        <v>28</v>
      </c>
      <c r="Y693" s="40">
        <f>ROUND((V693*'Methodology &amp; Assumptions'!$B$6)+(W693*'Methodology &amp; Assumptions'!$B$5)+(X693*'Methodology &amp; Assumptions'!$B$7), 2)</f>
        <v/>
      </c>
    </row>
    <row r="694" ht="19" customHeight="1">
      <c r="A694" s="41" t="n">
        <v>690</v>
      </c>
      <c r="B694" s="41" t="n">
        <v>3690</v>
      </c>
      <c r="C694" s="42" t="inlineStr">
        <is>
          <t>0603047007</t>
        </is>
      </c>
      <c r="D694" s="42" t="inlineStr">
        <is>
          <t>Region VI (Western Visayas)</t>
        </is>
      </c>
      <c r="E694" s="42" t="inlineStr">
        <is>
          <t>Iloilo</t>
        </is>
      </c>
      <c r="F694" s="42" t="inlineStr">
        <is>
          <t>Zarraga</t>
        </is>
      </c>
      <c r="G694" s="42" t="inlineStr">
        <is>
          <t>Gines</t>
        </is>
      </c>
      <c r="H694" s="43" t="n">
        <v>10.829885</v>
      </c>
      <c r="I694" s="43" t="n">
        <v>122.619802</v>
      </c>
      <c r="J694" s="44" t="inlineStr">
        <is>
          <t>R</t>
        </is>
      </c>
      <c r="K694" s="42" t="inlineStr">
        <is>
          <t>3rd</t>
        </is>
      </c>
      <c r="L694" s="23" t="n">
        <v>1324</v>
      </c>
      <c r="M694" s="24" t="n">
        <v>4.35</v>
      </c>
      <c r="N694" s="23">
        <f>ROUND(L694/M694, 0)</f>
        <v/>
      </c>
      <c r="O694" s="23">
        <f>ROUND(N694*'Methodology &amp; Assumptions'!$B$8, 0)</f>
        <v/>
      </c>
      <c r="P694" s="44" t="inlineStr">
        <is>
          <t>Band n50 (1.5 GHz, 60 MHz)</t>
        </is>
      </c>
      <c r="Q694" s="38">
        <f>ROUNDUP(O694/'Methodology &amp; Assumptions'!$B$9, 0)</f>
        <v/>
      </c>
      <c r="R694" s="39" t="n">
        <v>1</v>
      </c>
      <c r="S694" s="25" t="n">
        <v>1.17</v>
      </c>
      <c r="T694" s="25" t="n">
        <v>0.29</v>
      </c>
      <c r="U694" s="42" t="inlineStr">
        <is>
          <t>Tier 1B (Micro Drop, 1-3 km)</t>
        </is>
      </c>
      <c r="V694" s="24" t="n">
        <v>77.7</v>
      </c>
      <c r="W694" s="24" t="n">
        <v>48.3</v>
      </c>
      <c r="X694" s="24" t="n">
        <v>73</v>
      </c>
      <c r="Y694" s="45">
        <f>ROUND((V694*'Methodology &amp; Assumptions'!$B$6)+(W694*'Methodology &amp; Assumptions'!$B$5)+(X694*'Methodology &amp; Assumptions'!$B$7), 2)</f>
        <v/>
      </c>
    </row>
    <row r="695" ht="19" customHeight="1">
      <c r="A695" s="35" t="n">
        <v>691</v>
      </c>
      <c r="B695" s="35" t="n">
        <v>3691</v>
      </c>
      <c r="C695" s="36" t="inlineStr">
        <is>
          <t>0305406031</t>
        </is>
      </c>
      <c r="D695" s="36" t="inlineStr">
        <is>
          <t>Region III (Central Luzon)</t>
        </is>
      </c>
      <c r="E695" s="36" t="inlineStr">
        <is>
          <t>Pampanga</t>
        </is>
      </c>
      <c r="F695" s="36" t="inlineStr">
        <is>
          <t>Floridablanca</t>
        </is>
      </c>
      <c r="G695" s="36" t="inlineStr">
        <is>
          <t>Sta. Monica</t>
        </is>
      </c>
      <c r="H695" s="37" t="n">
        <v>14.95655</v>
      </c>
      <c r="I695" s="37" t="n">
        <v>120.50478</v>
      </c>
      <c r="J695" s="8" t="inlineStr">
        <is>
          <t>R</t>
        </is>
      </c>
      <c r="K695" s="36" t="inlineStr">
        <is>
          <t>Class 1-3 / Urban</t>
        </is>
      </c>
      <c r="L695" s="18" t="n">
        <v>3920</v>
      </c>
      <c r="M695" s="20" t="n">
        <v>4.63</v>
      </c>
      <c r="N695" s="18">
        <f>ROUND(L695/M695, 0)</f>
        <v/>
      </c>
      <c r="O695" s="18">
        <f>ROUND(N695*'Methodology &amp; Assumptions'!$B$8, 0)</f>
        <v/>
      </c>
      <c r="P695" s="8" t="inlineStr">
        <is>
          <t>Band n50 (1.5 GHz, 60 MHz)</t>
        </is>
      </c>
      <c r="Q695" s="38">
        <f>ROUNDUP(O695/'Methodology &amp; Assumptions'!$B$9, 0)</f>
        <v/>
      </c>
      <c r="R695" s="39" t="n">
        <v>1</v>
      </c>
      <c r="S695" s="21" t="n">
        <v>2.97</v>
      </c>
      <c r="T695" s="21" t="n">
        <v>1.14</v>
      </c>
      <c r="U695" s="36" t="inlineStr">
        <is>
          <t>Tier 1B (Micro Drop, 1-3 km)</t>
        </is>
      </c>
      <c r="V695" s="20" t="n">
        <v>47.1</v>
      </c>
      <c r="W695" s="20" t="n">
        <v>91.7</v>
      </c>
      <c r="X695" s="20" t="n">
        <v>58</v>
      </c>
      <c r="Y695" s="40">
        <f>ROUND((V695*'Methodology &amp; Assumptions'!$B$6)+(W695*'Methodology &amp; Assumptions'!$B$5)+(X695*'Methodology &amp; Assumptions'!$B$7), 2)</f>
        <v/>
      </c>
    </row>
    <row r="696" ht="19" customHeight="1">
      <c r="A696" s="41" t="n">
        <v>692</v>
      </c>
      <c r="B696" s="41" t="n">
        <v>3692</v>
      </c>
      <c r="C696" s="42" t="inlineStr">
        <is>
          <t>0203108062</t>
        </is>
      </c>
      <c r="D696" s="42" t="inlineStr">
        <is>
          <t>Region II (Cagayan Valley)</t>
        </is>
      </c>
      <c r="E696" s="42" t="inlineStr">
        <is>
          <t>Isabela</t>
        </is>
      </c>
      <c r="F696" s="42" t="inlineStr">
        <is>
          <t>City of Cauayan</t>
        </is>
      </c>
      <c r="G696" s="42" t="inlineStr">
        <is>
          <t>San Luis</t>
        </is>
      </c>
      <c r="H696" s="43" t="n">
        <v>16.966146</v>
      </c>
      <c r="I696" s="43" t="n">
        <v>121.828891</v>
      </c>
      <c r="J696" s="44" t="inlineStr">
        <is>
          <t>R</t>
        </is>
      </c>
      <c r="K696" s="42" t="inlineStr">
        <is>
          <t>Class 1-3 / Urban</t>
        </is>
      </c>
      <c r="L696" s="23" t="n">
        <v>2428</v>
      </c>
      <c r="M696" s="24" t="n">
        <v>4.3</v>
      </c>
      <c r="N696" s="23">
        <f>ROUND(L696/M696, 0)</f>
        <v/>
      </c>
      <c r="O696" s="23">
        <f>ROUND(N696*'Methodology &amp; Assumptions'!$B$8, 0)</f>
        <v/>
      </c>
      <c r="P696" s="44" t="inlineStr">
        <is>
          <t>Band n50 (1.5 GHz, 60 MHz)</t>
        </is>
      </c>
      <c r="Q696" s="38">
        <f>ROUNDUP(O696/'Methodology &amp; Assumptions'!$B$9, 0)</f>
        <v/>
      </c>
      <c r="R696" s="39" t="n">
        <v>1</v>
      </c>
      <c r="S696" s="25" t="n">
        <v>1.09</v>
      </c>
      <c r="T696" s="25" t="n">
        <v>3.62</v>
      </c>
      <c r="U696" s="42" t="inlineStr">
        <is>
          <t>Tier 1B (Micro Drop, 1-3 km)</t>
        </is>
      </c>
      <c r="V696" s="24" t="n">
        <v>69.5</v>
      </c>
      <c r="W696" s="24" t="n">
        <v>69.3</v>
      </c>
      <c r="X696" s="24" t="n">
        <v>58</v>
      </c>
      <c r="Y696" s="45">
        <f>ROUND((V696*'Methodology &amp; Assumptions'!$B$6)+(W696*'Methodology &amp; Assumptions'!$B$5)+(X696*'Methodology &amp; Assumptions'!$B$7), 2)</f>
        <v/>
      </c>
    </row>
    <row r="697" ht="19" customHeight="1">
      <c r="A697" s="35" t="n">
        <v>693</v>
      </c>
      <c r="B697" s="35" t="n">
        <v>3693</v>
      </c>
      <c r="C697" s="36" t="inlineStr">
        <is>
          <t>0731300007</t>
        </is>
      </c>
      <c r="D697" s="36" t="inlineStr">
        <is>
          <t>Region VII (Central Visayas)</t>
        </is>
      </c>
      <c r="E697" s="36" t="inlineStr">
        <is>
          <t>Cebu</t>
        </is>
      </c>
      <c r="F697" s="36" t="inlineStr">
        <is>
          <t>City of Mandaue</t>
        </is>
      </c>
      <c r="G697" s="36" t="inlineStr">
        <is>
          <t>Canduman</t>
        </is>
      </c>
      <c r="H697" s="37" t="n">
        <v>10.366929</v>
      </c>
      <c r="I697" s="37" t="n">
        <v>123.935615</v>
      </c>
      <c r="J697" s="8" t="inlineStr">
        <is>
          <t>U</t>
        </is>
      </c>
      <c r="K697" s="36" t="inlineStr">
        <is>
          <t>Class 1-3 / Urban</t>
        </is>
      </c>
      <c r="L697" s="18" t="n">
        <v>23455</v>
      </c>
      <c r="M697" s="20" t="n">
        <v>4.42</v>
      </c>
      <c r="N697" s="18">
        <f>ROUND(L697/M697, 0)</f>
        <v/>
      </c>
      <c r="O697" s="18">
        <f>ROUND(N697*'Methodology &amp; Assumptions'!$B$8, 0)</f>
        <v/>
      </c>
      <c r="P697" s="8" t="inlineStr">
        <is>
          <t>Band n50 (1.5 GHz, 60 MHz)</t>
        </is>
      </c>
      <c r="Q697" s="38">
        <f>ROUNDUP(O697/'Methodology &amp; Assumptions'!$B$9, 0)</f>
        <v/>
      </c>
      <c r="R697" s="39" t="n">
        <v>1</v>
      </c>
      <c r="S697" s="21" t="n">
        <v>1.82</v>
      </c>
      <c r="T697" s="21" t="n">
        <v>1.27</v>
      </c>
      <c r="U697" s="36" t="inlineStr">
        <is>
          <t>Tier 1B (Micro Drop, 1-3 km)</t>
        </is>
      </c>
      <c r="V697" s="20" t="n">
        <v>64.59999999999999</v>
      </c>
      <c r="W697" s="20" t="n">
        <v>100</v>
      </c>
      <c r="X697" s="20" t="n">
        <v>28</v>
      </c>
      <c r="Y697" s="40">
        <f>ROUND((V697*'Methodology &amp; Assumptions'!$B$6)+(W697*'Methodology &amp; Assumptions'!$B$5)+(X697*'Methodology &amp; Assumptions'!$B$7), 2)</f>
        <v/>
      </c>
    </row>
    <row r="698" ht="19" customHeight="1">
      <c r="A698" s="41" t="n">
        <v>694</v>
      </c>
      <c r="B698" s="41" t="n">
        <v>3694</v>
      </c>
      <c r="C698" s="42" t="inlineStr">
        <is>
          <t>0600402002</t>
        </is>
      </c>
      <c r="D698" s="42" t="inlineStr">
        <is>
          <t>Region VI (Western Visayas)</t>
        </is>
      </c>
      <c r="E698" s="42" t="inlineStr">
        <is>
          <t>Aklan</t>
        </is>
      </c>
      <c r="F698" s="42" t="inlineStr">
        <is>
          <t>Balete</t>
        </is>
      </c>
      <c r="G698" s="42" t="inlineStr">
        <is>
          <t>Arcangel</t>
        </is>
      </c>
      <c r="H698" s="43" t="n">
        <v>11.539951</v>
      </c>
      <c r="I698" s="43" t="n">
        <v>122.362029</v>
      </c>
      <c r="J698" s="44" t="inlineStr">
        <is>
          <t>R</t>
        </is>
      </c>
      <c r="K698" s="42" t="inlineStr">
        <is>
          <t>3rd</t>
        </is>
      </c>
      <c r="L698" s="23" t="n">
        <v>3616</v>
      </c>
      <c r="M698" s="24" t="n">
        <v>4.13</v>
      </c>
      <c r="N698" s="23">
        <f>ROUND(L698/M698, 0)</f>
        <v/>
      </c>
      <c r="O698" s="23">
        <f>ROUND(N698*'Methodology &amp; Assumptions'!$B$8, 0)</f>
        <v/>
      </c>
      <c r="P698" s="44" t="inlineStr">
        <is>
          <t>Band n50 (1.5 GHz, 60 MHz)</t>
        </is>
      </c>
      <c r="Q698" s="38">
        <f>ROUNDUP(O698/'Methodology &amp; Assumptions'!$B$9, 0)</f>
        <v/>
      </c>
      <c r="R698" s="39" t="n">
        <v>1</v>
      </c>
      <c r="S698" s="25" t="n">
        <v>2.42</v>
      </c>
      <c r="T698" s="25" t="n">
        <v>2.37</v>
      </c>
      <c r="U698" s="42" t="inlineStr">
        <is>
          <t>Tier 1B (Micro Drop, 1-3 km)</t>
        </is>
      </c>
      <c r="V698" s="24" t="n">
        <v>44.7</v>
      </c>
      <c r="W698" s="24" t="n">
        <v>94.09999999999999</v>
      </c>
      <c r="X698" s="24" t="n">
        <v>58</v>
      </c>
      <c r="Y698" s="45">
        <f>ROUND((V698*'Methodology &amp; Assumptions'!$B$6)+(W698*'Methodology &amp; Assumptions'!$B$5)+(X698*'Methodology &amp; Assumptions'!$B$7), 2)</f>
        <v/>
      </c>
    </row>
    <row r="699" ht="19" customHeight="1">
      <c r="A699" s="35" t="n">
        <v>695</v>
      </c>
      <c r="B699" s="35" t="n">
        <v>3695</v>
      </c>
      <c r="C699" s="36" t="inlineStr">
        <is>
          <t>0501723012</t>
        </is>
      </c>
      <c r="D699" s="36" t="inlineStr">
        <is>
          <t>Region V (Bicol Region)</t>
        </is>
      </c>
      <c r="E699" s="36" t="inlineStr">
        <is>
          <t>Camarines Sur</t>
        </is>
      </c>
      <c r="F699" s="36" t="inlineStr">
        <is>
          <t>Nabua</t>
        </is>
      </c>
      <c r="G699" s="36" t="inlineStr">
        <is>
          <t>Lourdes Young</t>
        </is>
      </c>
      <c r="H699" s="37" t="n">
        <v>13.386086</v>
      </c>
      <c r="I699" s="37" t="n">
        <v>123.387255</v>
      </c>
      <c r="J699" s="8" t="inlineStr">
        <is>
          <t>R</t>
        </is>
      </c>
      <c r="K699" s="36" t="inlineStr">
        <is>
          <t>Class 1-3 / Urban</t>
        </is>
      </c>
      <c r="L699" s="18" t="n">
        <v>3610</v>
      </c>
      <c r="M699" s="20" t="n">
        <v>4.9</v>
      </c>
      <c r="N699" s="18">
        <f>ROUND(L699/M699, 0)</f>
        <v/>
      </c>
      <c r="O699" s="18">
        <f>ROUND(N699*'Methodology &amp; Assumptions'!$B$8, 0)</f>
        <v/>
      </c>
      <c r="P699" s="8" t="inlineStr">
        <is>
          <t>Band n50 (1.5 GHz, 60 MHz)</t>
        </is>
      </c>
      <c r="Q699" s="38">
        <f>ROUNDUP(O699/'Methodology &amp; Assumptions'!$B$9, 0)</f>
        <v/>
      </c>
      <c r="R699" s="39" t="n">
        <v>1</v>
      </c>
      <c r="S699" s="21" t="n">
        <v>2.34</v>
      </c>
      <c r="T699" s="21" t="n">
        <v>1.64</v>
      </c>
      <c r="U699" s="36" t="inlineStr">
        <is>
          <t>Tier 1B (Micro Drop, 1-3 km)</t>
        </is>
      </c>
      <c r="V699" s="20" t="n">
        <v>55.9</v>
      </c>
      <c r="W699" s="20" t="n">
        <v>82.90000000000001</v>
      </c>
      <c r="X699" s="20" t="n">
        <v>58</v>
      </c>
      <c r="Y699" s="40">
        <f>ROUND((V699*'Methodology &amp; Assumptions'!$B$6)+(W699*'Methodology &amp; Assumptions'!$B$5)+(X699*'Methodology &amp; Assumptions'!$B$7), 2)</f>
        <v/>
      </c>
    </row>
    <row r="700" ht="19" customHeight="1">
      <c r="A700" s="41" t="n">
        <v>696</v>
      </c>
      <c r="B700" s="41" t="n">
        <v>3696</v>
      </c>
      <c r="C700" s="42" t="inlineStr">
        <is>
          <t>0431200028</t>
        </is>
      </c>
      <c r="D700" s="42" t="inlineStr">
        <is>
          <t>Region IV-A (CALABARZON)</t>
        </is>
      </c>
      <c r="E700" s="42" t="inlineStr">
        <is>
          <t>Quezon</t>
        </is>
      </c>
      <c r="F700" s="42" t="inlineStr">
        <is>
          <t>City of Lucena</t>
        </is>
      </c>
      <c r="G700" s="42" t="inlineStr">
        <is>
          <t>Mayao Kanluran</t>
        </is>
      </c>
      <c r="H700" s="43" t="n">
        <v>13.94845</v>
      </c>
      <c r="I700" s="43" t="n">
        <v>121.631769</v>
      </c>
      <c r="J700" s="44" t="inlineStr">
        <is>
          <t>U</t>
        </is>
      </c>
      <c r="K700" s="42" t="inlineStr">
        <is>
          <t>Class 1-3 / Urban</t>
        </is>
      </c>
      <c r="L700" s="23" t="n">
        <v>12962</v>
      </c>
      <c r="M700" s="24" t="n">
        <v>4.46</v>
      </c>
      <c r="N700" s="23">
        <f>ROUND(L700/M700, 0)</f>
        <v/>
      </c>
      <c r="O700" s="23">
        <f>ROUND(N700*'Methodology &amp; Assumptions'!$B$8, 0)</f>
        <v/>
      </c>
      <c r="P700" s="44" t="inlineStr">
        <is>
          <t>Band n50 (1.5 GHz, 60 MHz)</t>
        </is>
      </c>
      <c r="Q700" s="38">
        <f>ROUNDUP(O700/'Methodology &amp; Assumptions'!$B$9, 0)</f>
        <v/>
      </c>
      <c r="R700" s="39" t="n">
        <v>1</v>
      </c>
      <c r="S700" s="25" t="n">
        <v>1.82</v>
      </c>
      <c r="T700" s="25" t="n">
        <v>0.34</v>
      </c>
      <c r="U700" s="42" t="inlineStr">
        <is>
          <t>Tier 1B (Micro Drop, 1-3 km)</t>
        </is>
      </c>
      <c r="V700" s="24" t="n">
        <v>64.5</v>
      </c>
      <c r="W700" s="24" t="n">
        <v>100</v>
      </c>
      <c r="X700" s="24" t="n">
        <v>28</v>
      </c>
      <c r="Y700" s="45">
        <f>ROUND((V700*'Methodology &amp; Assumptions'!$B$6)+(W700*'Methodology &amp; Assumptions'!$B$5)+(X700*'Methodology &amp; Assumptions'!$B$7), 2)</f>
        <v/>
      </c>
    </row>
    <row r="701" ht="19" customHeight="1">
      <c r="A701" s="35" t="n">
        <v>697</v>
      </c>
      <c r="B701" s="35" t="n">
        <v>3697</v>
      </c>
      <c r="C701" s="36" t="inlineStr">
        <is>
          <t>0504111017</t>
        </is>
      </c>
      <c r="D701" s="36" t="inlineStr">
        <is>
          <t>Region V (Bicol Region)</t>
        </is>
      </c>
      <c r="E701" s="36" t="inlineStr">
        <is>
          <t>Masbate</t>
        </is>
      </c>
      <c r="F701" s="36" t="inlineStr">
        <is>
          <t>City of Masbate</t>
        </is>
      </c>
      <c r="G701" s="36" t="inlineStr">
        <is>
          <t>Ibingay</t>
        </is>
      </c>
      <c r="H701" s="37" t="n">
        <v>12.371703</v>
      </c>
      <c r="I701" s="37" t="n">
        <v>123.625213</v>
      </c>
      <c r="J701" s="8" t="inlineStr">
        <is>
          <t>U</t>
        </is>
      </c>
      <c r="K701" s="36" t="inlineStr">
        <is>
          <t>Class 1-3 / Urban</t>
        </is>
      </c>
      <c r="L701" s="18" t="n">
        <v>8121</v>
      </c>
      <c r="M701" s="20" t="n">
        <v>4.6</v>
      </c>
      <c r="N701" s="18">
        <f>ROUND(L701/M701, 0)</f>
        <v/>
      </c>
      <c r="O701" s="18">
        <f>ROUND(N701*'Methodology &amp; Assumptions'!$B$8, 0)</f>
        <v/>
      </c>
      <c r="P701" s="8" t="inlineStr">
        <is>
          <t>Band n50 (1.5 GHz, 60 MHz)</t>
        </is>
      </c>
      <c r="Q701" s="38">
        <f>ROUNDUP(O701/'Methodology &amp; Assumptions'!$B$9, 0)</f>
        <v/>
      </c>
      <c r="R701" s="39" t="n">
        <v>1</v>
      </c>
      <c r="S701" s="21" t="n">
        <v>1.82</v>
      </c>
      <c r="T701" s="21" t="n">
        <v>0.17</v>
      </c>
      <c r="U701" s="36" t="inlineStr">
        <is>
          <t>Tier 1B (Micro Drop, 1-3 km)</t>
        </is>
      </c>
      <c r="V701" s="20" t="n">
        <v>64.59999999999999</v>
      </c>
      <c r="W701" s="20" t="n">
        <v>100</v>
      </c>
      <c r="X701" s="20" t="n">
        <v>28</v>
      </c>
      <c r="Y701" s="40">
        <f>ROUND((V701*'Methodology &amp; Assumptions'!$B$6)+(W701*'Methodology &amp; Assumptions'!$B$5)+(X701*'Methodology &amp; Assumptions'!$B$7), 2)</f>
        <v/>
      </c>
    </row>
    <row r="702" ht="19" customHeight="1">
      <c r="A702" s="41" t="n">
        <v>698</v>
      </c>
      <c r="B702" s="41" t="n">
        <v>3698</v>
      </c>
      <c r="C702" s="42" t="inlineStr">
        <is>
          <t>0300803026</t>
        </is>
      </c>
      <c r="D702" s="42" t="inlineStr">
        <is>
          <t>Region III (Central Luzon)</t>
        </is>
      </c>
      <c r="E702" s="42" t="inlineStr">
        <is>
          <t>Bataan</t>
        </is>
      </c>
      <c r="F702" s="42" t="inlineStr">
        <is>
          <t>City of Balanga</t>
        </is>
      </c>
      <c r="G702" s="42" t="inlineStr">
        <is>
          <t>Doña Francisca</t>
        </is>
      </c>
      <c r="H702" s="43" t="n">
        <v>14.683555</v>
      </c>
      <c r="I702" s="43" t="n">
        <v>120.543221</v>
      </c>
      <c r="J702" s="44" t="inlineStr">
        <is>
          <t>U</t>
        </is>
      </c>
      <c r="K702" s="42" t="inlineStr">
        <is>
          <t>Class 1-3 / Urban</t>
        </is>
      </c>
      <c r="L702" s="23" t="n">
        <v>2322</v>
      </c>
      <c r="M702" s="24" t="n">
        <v>4.57</v>
      </c>
      <c r="N702" s="23">
        <f>ROUND(L702/M702, 0)</f>
        <v/>
      </c>
      <c r="O702" s="23">
        <f>ROUND(N702*'Methodology &amp; Assumptions'!$B$8, 0)</f>
        <v/>
      </c>
      <c r="P702" s="44" t="inlineStr">
        <is>
          <t>Band n50 (1.5 GHz, 60 MHz)</t>
        </is>
      </c>
      <c r="Q702" s="38">
        <f>ROUNDUP(O702/'Methodology &amp; Assumptions'!$B$9, 0)</f>
        <v/>
      </c>
      <c r="R702" s="39" t="n">
        <v>1</v>
      </c>
      <c r="S702" s="25" t="n">
        <v>0.23</v>
      </c>
      <c r="T702" s="25" t="n">
        <v>0.14</v>
      </c>
      <c r="U702" s="42" t="inlineStr">
        <is>
          <t>Tier 1A (Direct Coloc, &lt;1 km)</t>
        </is>
      </c>
      <c r="V702" s="24" t="n">
        <v>100</v>
      </c>
      <c r="W702" s="24" t="n">
        <v>64.5</v>
      </c>
      <c r="X702" s="24" t="n">
        <v>28</v>
      </c>
      <c r="Y702" s="45">
        <f>ROUND((V702*'Methodology &amp; Assumptions'!$B$6)+(W702*'Methodology &amp; Assumptions'!$B$5)+(X702*'Methodology &amp; Assumptions'!$B$7), 2)</f>
        <v/>
      </c>
    </row>
    <row r="703" ht="19" customHeight="1">
      <c r="A703" s="35" t="n">
        <v>699</v>
      </c>
      <c r="B703" s="35" t="n">
        <v>3699</v>
      </c>
      <c r="C703" s="36" t="inlineStr">
        <is>
          <t>0501705026</t>
        </is>
      </c>
      <c r="D703" s="36" t="inlineStr">
        <is>
          <t>Region V (Bicol Region)</t>
        </is>
      </c>
      <c r="E703" s="36" t="inlineStr">
        <is>
          <t>Camarines Sur</t>
        </is>
      </c>
      <c r="F703" s="36" t="inlineStr">
        <is>
          <t>Buhi</t>
        </is>
      </c>
      <c r="G703" s="36" t="inlineStr">
        <is>
          <t>San Jose Baybayon</t>
        </is>
      </c>
      <c r="H703" s="37" t="n">
        <v>13.419854</v>
      </c>
      <c r="I703" s="37" t="n">
        <v>123.517043</v>
      </c>
      <c r="J703" s="8" t="inlineStr">
        <is>
          <t>R</t>
        </is>
      </c>
      <c r="K703" s="36" t="inlineStr">
        <is>
          <t>Class 1-3 / Urban</t>
        </is>
      </c>
      <c r="L703" s="18" t="n">
        <v>1279</v>
      </c>
      <c r="M703" s="20" t="n">
        <v>4.9</v>
      </c>
      <c r="N703" s="18">
        <f>ROUND(L703/M703, 0)</f>
        <v/>
      </c>
      <c r="O703" s="18">
        <f>ROUND(N703*'Methodology &amp; Assumptions'!$B$8, 0)</f>
        <v/>
      </c>
      <c r="P703" s="8" t="inlineStr">
        <is>
          <t>Band n50 (1.5 GHz, 60 MHz)</t>
        </is>
      </c>
      <c r="Q703" s="38">
        <f>ROUNDUP(O703/'Methodology &amp; Assumptions'!$B$9, 0)</f>
        <v/>
      </c>
      <c r="R703" s="39" t="n">
        <v>1</v>
      </c>
      <c r="S703" s="21" t="n">
        <v>0.52</v>
      </c>
      <c r="T703" s="21" t="n">
        <v>0.78</v>
      </c>
      <c r="U703" s="36" t="inlineStr">
        <is>
          <t>Tier 1A (Direct Coloc, &lt;1 km)</t>
        </is>
      </c>
      <c r="V703" s="20" t="n">
        <v>94</v>
      </c>
      <c r="W703" s="20" t="n">
        <v>44.8</v>
      </c>
      <c r="X703" s="20" t="n">
        <v>58</v>
      </c>
      <c r="Y703" s="40">
        <f>ROUND((V703*'Methodology &amp; Assumptions'!$B$6)+(W703*'Methodology &amp; Assumptions'!$B$5)+(X703*'Methodology &amp; Assumptions'!$B$7), 2)</f>
        <v/>
      </c>
    </row>
    <row r="704" ht="19" customHeight="1">
      <c r="A704" s="41" t="n">
        <v>700</v>
      </c>
      <c r="B704" s="41" t="n">
        <v>3700</v>
      </c>
      <c r="C704" s="42" t="inlineStr">
        <is>
          <t>0403404003</t>
        </is>
      </c>
      <c r="D704" s="42" t="inlineStr">
        <is>
          <t>Region IV-A (CALABARZON)</t>
        </is>
      </c>
      <c r="E704" s="42" t="inlineStr">
        <is>
          <t>Laguna</t>
        </is>
      </c>
      <c r="F704" s="42" t="inlineStr">
        <is>
          <t>City of Cabuyao</t>
        </is>
      </c>
      <c r="G704" s="42" t="inlineStr">
        <is>
          <t>Banlic</t>
        </is>
      </c>
      <c r="H704" s="43" t="n">
        <v>14.231382</v>
      </c>
      <c r="I704" s="43" t="n">
        <v>121.136675</v>
      </c>
      <c r="J704" s="44" t="inlineStr">
        <is>
          <t>U</t>
        </is>
      </c>
      <c r="K704" s="42" t="inlineStr">
        <is>
          <t>Class 1-3 / Urban</t>
        </is>
      </c>
      <c r="L704" s="23" t="n">
        <v>20646</v>
      </c>
      <c r="M704" s="24" t="n">
        <v>4.2</v>
      </c>
      <c r="N704" s="23">
        <f>ROUND(L704/M704, 0)</f>
        <v/>
      </c>
      <c r="O704" s="23">
        <f>ROUND(N704*'Methodology &amp; Assumptions'!$B$8, 0)</f>
        <v/>
      </c>
      <c r="P704" s="44" t="inlineStr">
        <is>
          <t>Band n50 (1.5 GHz, 60 MHz)</t>
        </is>
      </c>
      <c r="Q704" s="38">
        <f>ROUNDUP(O704/'Methodology &amp; Assumptions'!$B$9, 0)</f>
        <v/>
      </c>
      <c r="R704" s="39" t="n">
        <v>1</v>
      </c>
      <c r="S704" s="25" t="n">
        <v>1.82</v>
      </c>
      <c r="T704" s="25" t="n">
        <v>0.18</v>
      </c>
      <c r="U704" s="42" t="inlineStr">
        <is>
          <t>Tier 1B (Micro Drop, 1-3 km)</t>
        </is>
      </c>
      <c r="V704" s="24" t="n">
        <v>64.5</v>
      </c>
      <c r="W704" s="24" t="n">
        <v>100</v>
      </c>
      <c r="X704" s="24" t="n">
        <v>28</v>
      </c>
      <c r="Y704" s="45">
        <f>ROUND((V704*'Methodology &amp; Assumptions'!$B$6)+(W704*'Methodology &amp; Assumptions'!$B$5)+(X704*'Methodology &amp; Assumptions'!$B$7), 2)</f>
        <v/>
      </c>
    </row>
    <row r="705" ht="19" customHeight="1">
      <c r="A705" s="35" t="n">
        <v>701</v>
      </c>
      <c r="B705" s="35" t="n">
        <v>3701</v>
      </c>
      <c r="C705" s="36" t="inlineStr">
        <is>
          <t>0504111015</t>
        </is>
      </c>
      <c r="D705" s="36" t="inlineStr">
        <is>
          <t>Region V (Bicol Region)</t>
        </is>
      </c>
      <c r="E705" s="36" t="inlineStr">
        <is>
          <t>Masbate</t>
        </is>
      </c>
      <c r="F705" s="36" t="inlineStr">
        <is>
          <t>City of Masbate</t>
        </is>
      </c>
      <c r="G705" s="36" t="inlineStr">
        <is>
          <t>Espinosa</t>
        </is>
      </c>
      <c r="H705" s="37" t="n">
        <v>12.373119</v>
      </c>
      <c r="I705" s="37" t="n">
        <v>123.621877</v>
      </c>
      <c r="J705" s="8" t="inlineStr">
        <is>
          <t>U</t>
        </is>
      </c>
      <c r="K705" s="36" t="inlineStr">
        <is>
          <t>Class 1-3 / Urban</t>
        </is>
      </c>
      <c r="L705" s="18" t="n">
        <v>7123</v>
      </c>
      <c r="M705" s="20" t="n">
        <v>4.6</v>
      </c>
      <c r="N705" s="18">
        <f>ROUND(L705/M705, 0)</f>
        <v/>
      </c>
      <c r="O705" s="18">
        <f>ROUND(N705*'Methodology &amp; Assumptions'!$B$8, 0)</f>
        <v/>
      </c>
      <c r="P705" s="8" t="inlineStr">
        <is>
          <t>Band n50 (1.5 GHz, 60 MHz)</t>
        </is>
      </c>
      <c r="Q705" s="38">
        <f>ROUNDUP(O705/'Methodology &amp; Assumptions'!$B$9, 0)</f>
        <v/>
      </c>
      <c r="R705" s="39" t="n">
        <v>1</v>
      </c>
      <c r="S705" s="21" t="n">
        <v>1.82</v>
      </c>
      <c r="T705" s="21" t="n">
        <v>0.38</v>
      </c>
      <c r="U705" s="36" t="inlineStr">
        <is>
          <t>Tier 1B (Micro Drop, 1-3 km)</t>
        </is>
      </c>
      <c r="V705" s="20" t="n">
        <v>64.5</v>
      </c>
      <c r="W705" s="20" t="n">
        <v>100</v>
      </c>
      <c r="X705" s="20" t="n">
        <v>28</v>
      </c>
      <c r="Y705" s="40">
        <f>ROUND((V705*'Methodology &amp; Assumptions'!$B$6)+(W705*'Methodology &amp; Assumptions'!$B$5)+(X705*'Methodology &amp; Assumptions'!$B$7), 2)</f>
        <v/>
      </c>
    </row>
    <row r="706" ht="19" customHeight="1">
      <c r="A706" s="41" t="n">
        <v>702</v>
      </c>
      <c r="B706" s="41" t="n">
        <v>3702</v>
      </c>
      <c r="C706" s="42" t="inlineStr">
        <is>
          <t>1208007020</t>
        </is>
      </c>
      <c r="D706" s="42" t="inlineStr">
        <is>
          <t>Region XII (SOCCSKSARGEN)</t>
        </is>
      </c>
      <c r="E706" s="42" t="inlineStr">
        <is>
          <t>Sarangani</t>
        </is>
      </c>
      <c r="F706" s="42" t="inlineStr">
        <is>
          <t>Malungon</t>
        </is>
      </c>
      <c r="G706" s="42" t="inlineStr">
        <is>
          <t>Malungon Gamay</t>
        </is>
      </c>
      <c r="H706" s="43" t="n">
        <v>6.334527</v>
      </c>
      <c r="I706" s="43" t="n">
        <v>125.258839</v>
      </c>
      <c r="J706" s="44" t="inlineStr">
        <is>
          <t>R</t>
        </is>
      </c>
      <c r="K706" s="42" t="inlineStr">
        <is>
          <t>Class 1-3 / Urban</t>
        </is>
      </c>
      <c r="L706" s="23" t="n">
        <v>2895</v>
      </c>
      <c r="M706" s="24" t="n">
        <v>4.1</v>
      </c>
      <c r="N706" s="23">
        <f>ROUND(L706/M706, 0)</f>
        <v/>
      </c>
      <c r="O706" s="23">
        <f>ROUND(N706*'Methodology &amp; Assumptions'!$B$8, 0)</f>
        <v/>
      </c>
      <c r="P706" s="44" t="inlineStr">
        <is>
          <t>Band n50 (1.5 GHz, 60 MHz)</t>
        </is>
      </c>
      <c r="Q706" s="38">
        <f>ROUNDUP(O706/'Methodology &amp; Assumptions'!$B$9, 0)</f>
        <v/>
      </c>
      <c r="R706" s="39" t="n">
        <v>1</v>
      </c>
      <c r="S706" s="25" t="n">
        <v>3.12</v>
      </c>
      <c r="T706" s="25" t="n">
        <v>0.23</v>
      </c>
      <c r="U706" s="42" t="inlineStr">
        <is>
          <t>Tier 2 (Fiber Corridor / Lateral, 3-5 km)</t>
        </is>
      </c>
      <c r="V706" s="24" t="n">
        <v>45.4</v>
      </c>
      <c r="W706" s="24" t="n">
        <v>80.5</v>
      </c>
      <c r="X706" s="24" t="n">
        <v>73</v>
      </c>
      <c r="Y706" s="45">
        <f>ROUND((V706*'Methodology &amp; Assumptions'!$B$6)+(W706*'Methodology &amp; Assumptions'!$B$5)+(X706*'Methodology &amp; Assumptions'!$B$7), 2)</f>
        <v/>
      </c>
    </row>
    <row r="707" ht="19" customHeight="1">
      <c r="A707" s="35" t="n">
        <v>703</v>
      </c>
      <c r="B707" s="35" t="n">
        <v>3703</v>
      </c>
      <c r="C707" s="36" t="inlineStr">
        <is>
          <t>0203114054</t>
        </is>
      </c>
      <c r="D707" s="36" t="inlineStr">
        <is>
          <t>Region II (Cagayan Valley)</t>
        </is>
      </c>
      <c r="E707" s="36" t="inlineStr">
        <is>
          <t>Isabela</t>
        </is>
      </c>
      <c r="F707" s="36" t="inlineStr">
        <is>
          <t>City of Ilagan</t>
        </is>
      </c>
      <c r="G707" s="36" t="inlineStr">
        <is>
          <t>Manaring</t>
        </is>
      </c>
      <c r="H707" s="37" t="n">
        <v>17.172164</v>
      </c>
      <c r="I707" s="37" t="n">
        <v>121.901594</v>
      </c>
      <c r="J707" s="8" t="inlineStr">
        <is>
          <t>R</t>
        </is>
      </c>
      <c r="K707" s="36" t="inlineStr">
        <is>
          <t>Class 1-3 / Urban</t>
        </is>
      </c>
      <c r="L707" s="18" t="n">
        <v>2634</v>
      </c>
      <c r="M707" s="20" t="n">
        <v>4.3</v>
      </c>
      <c r="N707" s="18">
        <f>ROUND(L707/M707, 0)</f>
        <v/>
      </c>
      <c r="O707" s="18">
        <f>ROUND(N707*'Methodology &amp; Assumptions'!$B$8, 0)</f>
        <v/>
      </c>
      <c r="P707" s="8" t="inlineStr">
        <is>
          <t>Band n50 (1.5 GHz, 60 MHz)</t>
        </is>
      </c>
      <c r="Q707" s="38">
        <f>ROUNDUP(O707/'Methodology &amp; Assumptions'!$B$9, 0)</f>
        <v/>
      </c>
      <c r="R707" s="39" t="n">
        <v>1</v>
      </c>
      <c r="S707" s="21" t="n">
        <v>1.76</v>
      </c>
      <c r="T707" s="21" t="n">
        <v>0.09</v>
      </c>
      <c r="U707" s="36" t="inlineStr">
        <is>
          <t>Tier 1B (Micro Drop, 1-3 km)</t>
        </is>
      </c>
      <c r="V707" s="20" t="n">
        <v>65.7</v>
      </c>
      <c r="W707" s="20" t="n">
        <v>73.09999999999999</v>
      </c>
      <c r="X707" s="20" t="n">
        <v>58</v>
      </c>
      <c r="Y707" s="40">
        <f>ROUND((V707*'Methodology &amp; Assumptions'!$B$6)+(W707*'Methodology &amp; Assumptions'!$B$5)+(X707*'Methodology &amp; Assumptions'!$B$7), 2)</f>
        <v/>
      </c>
    </row>
    <row r="708" ht="19" customHeight="1">
      <c r="A708" s="41" t="n">
        <v>704</v>
      </c>
      <c r="B708" s="41" t="n">
        <v>3704</v>
      </c>
      <c r="C708" s="42" t="inlineStr">
        <is>
          <t>0402104014</t>
        </is>
      </c>
      <c r="D708" s="42" t="inlineStr">
        <is>
          <t>Region IV-A (CALABARZON)</t>
        </is>
      </c>
      <c r="E708" s="42" t="inlineStr">
        <is>
          <t>Cavite</t>
        </is>
      </c>
      <c r="F708" s="42" t="inlineStr">
        <is>
          <t>Carmona</t>
        </is>
      </c>
      <c r="G708" s="42" t="inlineStr">
        <is>
          <t>Barangay 3</t>
        </is>
      </c>
      <c r="H708" s="43" t="n">
        <v>14.310889</v>
      </c>
      <c r="I708" s="43" t="n">
        <v>121.053235</v>
      </c>
      <c r="J708" s="44" t="inlineStr">
        <is>
          <t>R</t>
        </is>
      </c>
      <c r="K708" s="42" t="inlineStr">
        <is>
          <t>Class 1-3 / Urban</t>
        </is>
      </c>
      <c r="L708" s="23" t="n">
        <v>870</v>
      </c>
      <c r="M708" s="24" t="n">
        <v>4.49</v>
      </c>
      <c r="N708" s="23">
        <f>ROUND(L708/M708, 0)</f>
        <v/>
      </c>
      <c r="O708" s="23">
        <f>ROUND(N708*'Methodology &amp; Assumptions'!$B$8, 0)</f>
        <v/>
      </c>
      <c r="P708" s="44" t="inlineStr">
        <is>
          <t>Band n50 (1.5 GHz, 60 MHz)</t>
        </is>
      </c>
      <c r="Q708" s="38">
        <f>ROUNDUP(O708/'Methodology &amp; Assumptions'!$B$9, 0)</f>
        <v/>
      </c>
      <c r="R708" s="39" t="n">
        <v>1</v>
      </c>
      <c r="S708" s="25" t="n">
        <v>0.34</v>
      </c>
      <c r="T708" s="25" t="n">
        <v>0.35</v>
      </c>
      <c r="U708" s="42" t="inlineStr">
        <is>
          <t>Tier 1A (Direct Coloc, &lt;1 km)</t>
        </is>
      </c>
      <c r="V708" s="24" t="n">
        <v>99.3</v>
      </c>
      <c r="W708" s="24" t="n">
        <v>39.5</v>
      </c>
      <c r="X708" s="24" t="n">
        <v>58</v>
      </c>
      <c r="Y708" s="45">
        <f>ROUND((V708*'Methodology &amp; Assumptions'!$B$6)+(W708*'Methodology &amp; Assumptions'!$B$5)+(X708*'Methodology &amp; Assumptions'!$B$7), 2)</f>
        <v/>
      </c>
    </row>
    <row r="709" ht="19" customHeight="1">
      <c r="A709" s="35" t="n">
        <v>705</v>
      </c>
      <c r="B709" s="35" t="n">
        <v>3705</v>
      </c>
      <c r="C709" s="36" t="inlineStr">
        <is>
          <t>0405802018</t>
        </is>
      </c>
      <c r="D709" s="36" t="inlineStr">
        <is>
          <t>Region IV-A (CALABARZON)</t>
        </is>
      </c>
      <c r="E709" s="36" t="inlineStr">
        <is>
          <t>Rizal</t>
        </is>
      </c>
      <c r="F709" s="36" t="inlineStr">
        <is>
          <t>City of Antipolo</t>
        </is>
      </c>
      <c r="G709" s="36" t="inlineStr">
        <is>
          <t>Muntingdilaw</t>
        </is>
      </c>
      <c r="H709" s="37" t="n">
        <v>14.598203</v>
      </c>
      <c r="I709" s="37" t="n">
        <v>121.130909</v>
      </c>
      <c r="J709" s="8" t="inlineStr">
        <is>
          <t>U</t>
        </is>
      </c>
      <c r="K709" s="36" t="inlineStr">
        <is>
          <t>Class 1-3 / Urban</t>
        </is>
      </c>
      <c r="L709" s="18" t="n">
        <v>13515</v>
      </c>
      <c r="M709" s="20" t="n">
        <v>4.39</v>
      </c>
      <c r="N709" s="18">
        <f>ROUND(L709/M709, 0)</f>
        <v/>
      </c>
      <c r="O709" s="18">
        <f>ROUND(N709*'Methodology &amp; Assumptions'!$B$8, 0)</f>
        <v/>
      </c>
      <c r="P709" s="8" t="inlineStr">
        <is>
          <t>Band n50 (1.5 GHz, 60 MHz)</t>
        </is>
      </c>
      <c r="Q709" s="38">
        <f>ROUNDUP(O709/'Methodology &amp; Assumptions'!$B$9, 0)</f>
        <v/>
      </c>
      <c r="R709" s="39" t="n">
        <v>1</v>
      </c>
      <c r="S709" s="21" t="n">
        <v>1.82</v>
      </c>
      <c r="T709" s="21" t="n">
        <v>1.77</v>
      </c>
      <c r="U709" s="36" t="inlineStr">
        <is>
          <t>Tier 1B (Micro Drop, 1-3 km)</t>
        </is>
      </c>
      <c r="V709" s="20" t="n">
        <v>64.5</v>
      </c>
      <c r="W709" s="20" t="n">
        <v>100</v>
      </c>
      <c r="X709" s="20" t="n">
        <v>28</v>
      </c>
      <c r="Y709" s="40">
        <f>ROUND((V709*'Methodology &amp; Assumptions'!$B$6)+(W709*'Methodology &amp; Assumptions'!$B$5)+(X709*'Methodology &amp; Assumptions'!$B$7), 2)</f>
        <v/>
      </c>
    </row>
    <row r="710" ht="19" customHeight="1">
      <c r="A710" s="41" t="n">
        <v>706</v>
      </c>
      <c r="B710" s="41" t="n">
        <v>3706</v>
      </c>
      <c r="C710" s="42" t="inlineStr">
        <is>
          <t>0301403024</t>
        </is>
      </c>
      <c r="D710" s="42" t="inlineStr">
        <is>
          <t>Region III (Central Luzon)</t>
        </is>
      </c>
      <c r="E710" s="42" t="inlineStr">
        <is>
          <t>Bulacan</t>
        </is>
      </c>
      <c r="F710" s="42" t="inlineStr">
        <is>
          <t>Baliuag</t>
        </is>
      </c>
      <c r="G710" s="42" t="inlineStr">
        <is>
          <t>Tangos</t>
        </is>
      </c>
      <c r="H710" s="43" t="n">
        <v>14.971399</v>
      </c>
      <c r="I710" s="43" t="n">
        <v>120.895296</v>
      </c>
      <c r="J710" s="44" t="inlineStr">
        <is>
          <t>U</t>
        </is>
      </c>
      <c r="K710" s="42" t="inlineStr">
        <is>
          <t>Class 1-3 / Urban</t>
        </is>
      </c>
      <c r="L710" s="23" t="n">
        <v>7767</v>
      </c>
      <c r="M710" s="24" t="n">
        <v>4.1</v>
      </c>
      <c r="N710" s="23">
        <f>ROUND(L710/M710, 0)</f>
        <v/>
      </c>
      <c r="O710" s="23">
        <f>ROUND(N710*'Methodology &amp; Assumptions'!$B$8, 0)</f>
        <v/>
      </c>
      <c r="P710" s="44" t="inlineStr">
        <is>
          <t>Band n50 (1.5 GHz, 60 MHz)</t>
        </is>
      </c>
      <c r="Q710" s="38">
        <f>ROUNDUP(O710/'Methodology &amp; Assumptions'!$B$9, 0)</f>
        <v/>
      </c>
      <c r="R710" s="39" t="n">
        <v>1</v>
      </c>
      <c r="S710" s="25" t="n">
        <v>1.82</v>
      </c>
      <c r="T710" s="25" t="n">
        <v>0.04</v>
      </c>
      <c r="U710" s="42" t="inlineStr">
        <is>
          <t>Tier 1B (Micro Drop, 1-3 km)</t>
        </is>
      </c>
      <c r="V710" s="24" t="n">
        <v>64.5</v>
      </c>
      <c r="W710" s="24" t="n">
        <v>100</v>
      </c>
      <c r="X710" s="24" t="n">
        <v>28</v>
      </c>
      <c r="Y710" s="45">
        <f>ROUND((V710*'Methodology &amp; Assumptions'!$B$6)+(W710*'Methodology &amp; Assumptions'!$B$5)+(X710*'Methodology &amp; Assumptions'!$B$7), 2)</f>
        <v/>
      </c>
    </row>
    <row r="711" ht="19" customHeight="1">
      <c r="A711" s="35" t="n">
        <v>707</v>
      </c>
      <c r="B711" s="35" t="n">
        <v>3707</v>
      </c>
      <c r="C711" s="36" t="inlineStr">
        <is>
          <t>0601914026</t>
        </is>
      </c>
      <c r="D711" s="36" t="inlineStr">
        <is>
          <t>Region VI (Western Visayas)</t>
        </is>
      </c>
      <c r="E711" s="36" t="inlineStr">
        <is>
          <t>Capiz</t>
        </is>
      </c>
      <c r="F711" s="36" t="inlineStr">
        <is>
          <t>City of Roxas</t>
        </is>
      </c>
      <c r="G711" s="36" t="inlineStr">
        <is>
          <t>Dumolog</t>
        </is>
      </c>
      <c r="H711" s="37" t="n">
        <v>11.603983</v>
      </c>
      <c r="I711" s="37" t="n">
        <v>122.754876</v>
      </c>
      <c r="J711" s="8" t="inlineStr">
        <is>
          <t>U</t>
        </is>
      </c>
      <c r="K711" s="36" t="inlineStr">
        <is>
          <t>Class 1-3 / Urban</t>
        </is>
      </c>
      <c r="L711" s="18" t="n">
        <v>4014</v>
      </c>
      <c r="M711" s="20" t="n">
        <v>4.2</v>
      </c>
      <c r="N711" s="18">
        <f>ROUND(L711/M711, 0)</f>
        <v/>
      </c>
      <c r="O711" s="18">
        <f>ROUND(N711*'Methodology &amp; Assumptions'!$B$8, 0)</f>
        <v/>
      </c>
      <c r="P711" s="8" t="inlineStr">
        <is>
          <t>Band n50 (1.5 GHz, 60 MHz)</t>
        </is>
      </c>
      <c r="Q711" s="38">
        <f>ROUNDUP(O711/'Methodology &amp; Assumptions'!$B$9, 0)</f>
        <v/>
      </c>
      <c r="R711" s="39" t="n">
        <v>1</v>
      </c>
      <c r="S711" s="21" t="n">
        <v>1.82</v>
      </c>
      <c r="T711" s="21" t="n">
        <v>1.08</v>
      </c>
      <c r="U711" s="36" t="inlineStr">
        <is>
          <t>Tier 1B (Micro Drop, 1-3 km)</t>
        </is>
      </c>
      <c r="V711" s="20" t="n">
        <v>64.5</v>
      </c>
      <c r="W711" s="20" t="n">
        <v>100</v>
      </c>
      <c r="X711" s="20" t="n">
        <v>28</v>
      </c>
      <c r="Y711" s="40">
        <f>ROUND((V711*'Methodology &amp; Assumptions'!$B$6)+(W711*'Methodology &amp; Assumptions'!$B$5)+(X711*'Methodology &amp; Assumptions'!$B$7), 2)</f>
        <v/>
      </c>
    </row>
    <row r="712" ht="19" customHeight="1">
      <c r="A712" s="41" t="n">
        <v>708</v>
      </c>
      <c r="B712" s="41" t="n">
        <v>3708</v>
      </c>
      <c r="C712" s="42" t="inlineStr">
        <is>
          <t>0305412024</t>
        </is>
      </c>
      <c r="D712" s="42" t="inlineStr">
        <is>
          <t>Region III (Central Luzon)</t>
        </is>
      </c>
      <c r="E712" s="42" t="inlineStr">
        <is>
          <t>Pampanga</t>
        </is>
      </c>
      <c r="F712" s="42" t="inlineStr">
        <is>
          <t>Masantol</t>
        </is>
      </c>
      <c r="G712" s="42" t="inlineStr">
        <is>
          <t>Sta. Lucia Paguiba</t>
        </is>
      </c>
      <c r="H712" s="43" t="n">
        <v>14.888697</v>
      </c>
      <c r="I712" s="43" t="n">
        <v>120.699786</v>
      </c>
      <c r="J712" s="44" t="inlineStr">
        <is>
          <t>R</t>
        </is>
      </c>
      <c r="K712" s="42" t="inlineStr">
        <is>
          <t>Class 1-3 / Urban</t>
        </is>
      </c>
      <c r="L712" s="23" t="n">
        <v>2217</v>
      </c>
      <c r="M712" s="24" t="n">
        <v>4.63</v>
      </c>
      <c r="N712" s="23">
        <f>ROUND(L712/M712, 0)</f>
        <v/>
      </c>
      <c r="O712" s="23">
        <f>ROUND(N712*'Methodology &amp; Assumptions'!$B$8, 0)</f>
        <v/>
      </c>
      <c r="P712" s="44" t="inlineStr">
        <is>
          <t>Band n50 (1.5 GHz, 60 MHz)</t>
        </is>
      </c>
      <c r="Q712" s="38">
        <f>ROUNDUP(O712/'Methodology &amp; Assumptions'!$B$9, 0)</f>
        <v/>
      </c>
      <c r="R712" s="39" t="n">
        <v>1</v>
      </c>
      <c r="S712" s="25" t="n">
        <v>0.8100000000000001</v>
      </c>
      <c r="T712" s="25" t="n">
        <v>2.29</v>
      </c>
      <c r="U712" s="42" t="inlineStr">
        <is>
          <t>Tier 1A (Direct Coloc, &lt;1 km)</t>
        </is>
      </c>
      <c r="V712" s="24" t="n">
        <v>76.3</v>
      </c>
      <c r="W712" s="24" t="n">
        <v>62.4</v>
      </c>
      <c r="X712" s="24" t="n">
        <v>58</v>
      </c>
      <c r="Y712" s="45">
        <f>ROUND((V712*'Methodology &amp; Assumptions'!$B$6)+(W712*'Methodology &amp; Assumptions'!$B$5)+(X712*'Methodology &amp; Assumptions'!$B$7), 2)</f>
        <v/>
      </c>
    </row>
    <row r="713" ht="19" customHeight="1">
      <c r="A713" s="35" t="n">
        <v>709</v>
      </c>
      <c r="B713" s="35" t="n">
        <v>3709</v>
      </c>
      <c r="C713" s="36" t="inlineStr">
        <is>
          <t>0500508052</t>
        </is>
      </c>
      <c r="D713" s="36" t="inlineStr">
        <is>
          <t>Region V (Bicol Region)</t>
        </is>
      </c>
      <c r="E713" s="36" t="inlineStr">
        <is>
          <t>Albay</t>
        </is>
      </c>
      <c r="F713" s="36" t="inlineStr">
        <is>
          <t>City of Ligao</t>
        </is>
      </c>
      <c r="G713" s="36" t="inlineStr">
        <is>
          <t>Tomolin</t>
        </is>
      </c>
      <c r="H713" s="37" t="n">
        <v>13.236248</v>
      </c>
      <c r="I713" s="37" t="n">
        <v>123.531138</v>
      </c>
      <c r="J713" s="8" t="inlineStr">
        <is>
          <t>R</t>
        </is>
      </c>
      <c r="K713" s="36" t="inlineStr">
        <is>
          <t>Class 1-3 / Urban</t>
        </is>
      </c>
      <c r="L713" s="18" t="n">
        <v>1288</v>
      </c>
      <c r="M713" s="20" t="n">
        <v>4.67</v>
      </c>
      <c r="N713" s="18">
        <f>ROUND(L713/M713, 0)</f>
        <v/>
      </c>
      <c r="O713" s="18">
        <f>ROUND(N713*'Methodology &amp; Assumptions'!$B$8, 0)</f>
        <v/>
      </c>
      <c r="P713" s="8" t="inlineStr">
        <is>
          <t>Band n50 (1.5 GHz, 60 MHz)</t>
        </is>
      </c>
      <c r="Q713" s="38">
        <f>ROUNDUP(O713/'Methodology &amp; Assumptions'!$B$9, 0)</f>
        <v/>
      </c>
      <c r="R713" s="39" t="n">
        <v>1</v>
      </c>
      <c r="S713" s="21" t="n">
        <v>0.57</v>
      </c>
      <c r="T713" s="21" t="n">
        <v>0.58</v>
      </c>
      <c r="U713" s="36" t="inlineStr">
        <is>
          <t>Tier 1A (Direct Coloc, &lt;1 km)</t>
        </is>
      </c>
      <c r="V713" s="20" t="n">
        <v>92.59999999999999</v>
      </c>
      <c r="W713" s="20" t="n">
        <v>46.1</v>
      </c>
      <c r="X713" s="20" t="n">
        <v>58</v>
      </c>
      <c r="Y713" s="40">
        <f>ROUND((V713*'Methodology &amp; Assumptions'!$B$6)+(W713*'Methodology &amp; Assumptions'!$B$5)+(X713*'Methodology &amp; Assumptions'!$B$7), 2)</f>
        <v/>
      </c>
    </row>
    <row r="714" ht="19" customHeight="1">
      <c r="A714" s="41" t="n">
        <v>710</v>
      </c>
      <c r="B714" s="41" t="n">
        <v>3710</v>
      </c>
      <c r="C714" s="42" t="inlineStr">
        <is>
          <t>0304912002</t>
        </is>
      </c>
      <c r="D714" s="42" t="inlineStr">
        <is>
          <t>Region III (Central Luzon)</t>
        </is>
      </c>
      <c r="E714" s="42" t="inlineStr">
        <is>
          <t>Nueva Ecija</t>
        </is>
      </c>
      <c r="F714" s="42" t="inlineStr">
        <is>
          <t>Jaen</t>
        </is>
      </c>
      <c r="G714" s="42" t="inlineStr">
        <is>
          <t>Dampulan</t>
        </is>
      </c>
      <c r="H714" s="43" t="n">
        <v>15.341307</v>
      </c>
      <c r="I714" s="43" t="n">
        <v>120.904395</v>
      </c>
      <c r="J714" s="44" t="inlineStr">
        <is>
          <t>R</t>
        </is>
      </c>
      <c r="K714" s="42" t="inlineStr">
        <is>
          <t>Class 1-3 / Urban</t>
        </is>
      </c>
      <c r="L714" s="23" t="n">
        <v>4946</v>
      </c>
      <c r="M714" s="24" t="n">
        <v>4.32</v>
      </c>
      <c r="N714" s="23">
        <f>ROUND(L714/M714, 0)</f>
        <v/>
      </c>
      <c r="O714" s="23">
        <f>ROUND(N714*'Methodology &amp; Assumptions'!$B$8, 0)</f>
        <v/>
      </c>
      <c r="P714" s="44" t="inlineStr">
        <is>
          <t>Band n50 (1.5 GHz, 60 MHz)</t>
        </is>
      </c>
      <c r="Q714" s="38">
        <f>ROUNDUP(O714/'Methodology &amp; Assumptions'!$B$9, 0)</f>
        <v/>
      </c>
      <c r="R714" s="39" t="n">
        <v>1</v>
      </c>
      <c r="S714" s="25" t="n">
        <v>2.85</v>
      </c>
      <c r="T714" s="25" t="n">
        <v>3.58</v>
      </c>
      <c r="U714" s="42" t="inlineStr">
        <is>
          <t>Tier 1B (Micro Drop, 1-3 km)</t>
        </is>
      </c>
      <c r="V714" s="24" t="n">
        <v>38.7</v>
      </c>
      <c r="W714" s="24" t="n">
        <v>100</v>
      </c>
      <c r="X714" s="24" t="n">
        <v>58</v>
      </c>
      <c r="Y714" s="45">
        <f>ROUND((V714*'Methodology &amp; Assumptions'!$B$6)+(W714*'Methodology &amp; Assumptions'!$B$5)+(X714*'Methodology &amp; Assumptions'!$B$7), 2)</f>
        <v/>
      </c>
    </row>
    <row r="715" ht="19" customHeight="1">
      <c r="A715" s="35" t="n">
        <v>711</v>
      </c>
      <c r="B715" s="35" t="n">
        <v>3711</v>
      </c>
      <c r="C715" s="36" t="inlineStr">
        <is>
          <t>0301415008</t>
        </is>
      </c>
      <c r="D715" s="36" t="inlineStr">
        <is>
          <t>Region III (Central Luzon)</t>
        </is>
      </c>
      <c r="E715" s="36" t="inlineStr">
        <is>
          <t>Bulacan</t>
        </is>
      </c>
      <c r="F715" s="36" t="inlineStr">
        <is>
          <t>Pandi</t>
        </is>
      </c>
      <c r="G715" s="36" t="inlineStr">
        <is>
          <t>Cupang</t>
        </is>
      </c>
      <c r="H715" s="37" t="n">
        <v>14.895434</v>
      </c>
      <c r="I715" s="37" t="n">
        <v>120.936932</v>
      </c>
      <c r="J715" s="8" t="inlineStr">
        <is>
          <t>R</t>
        </is>
      </c>
      <c r="K715" s="36" t="inlineStr">
        <is>
          <t>Class 1-3 / Urban</t>
        </is>
      </c>
      <c r="L715" s="18" t="n">
        <v>2965</v>
      </c>
      <c r="M715" s="20" t="n">
        <v>4.1</v>
      </c>
      <c r="N715" s="18">
        <f>ROUND(L715/M715, 0)</f>
        <v/>
      </c>
      <c r="O715" s="18">
        <f>ROUND(N715*'Methodology &amp; Assumptions'!$B$8, 0)</f>
        <v/>
      </c>
      <c r="P715" s="8" t="inlineStr">
        <is>
          <t>Band n50 (1.5 GHz, 60 MHz)</t>
        </is>
      </c>
      <c r="Q715" s="38">
        <f>ROUNDUP(O715/'Methodology &amp; Assumptions'!$B$9, 0)</f>
        <v/>
      </c>
      <c r="R715" s="39" t="n">
        <v>1</v>
      </c>
      <c r="S715" s="21" t="n">
        <v>2.27</v>
      </c>
      <c r="T715" s="21" t="n">
        <v>0.58</v>
      </c>
      <c r="U715" s="36" t="inlineStr">
        <is>
          <t>Tier 1B (Micro Drop, 1-3 km)</t>
        </is>
      </c>
      <c r="V715" s="20" t="n">
        <v>56.9</v>
      </c>
      <c r="W715" s="20" t="n">
        <v>81.90000000000001</v>
      </c>
      <c r="X715" s="20" t="n">
        <v>58</v>
      </c>
      <c r="Y715" s="40">
        <f>ROUND((V715*'Methodology &amp; Assumptions'!$B$6)+(W715*'Methodology &amp; Assumptions'!$B$5)+(X715*'Methodology &amp; Assumptions'!$B$7), 2)</f>
        <v/>
      </c>
    </row>
    <row r="716" ht="19" customHeight="1">
      <c r="A716" s="41" t="n">
        <v>712</v>
      </c>
      <c r="B716" s="41" t="n">
        <v>3712</v>
      </c>
      <c r="C716" s="42" t="inlineStr">
        <is>
          <t>0401030011</t>
        </is>
      </c>
      <c r="D716" s="42" t="inlineStr">
        <is>
          <t>Region IV-A (CALABARZON)</t>
        </is>
      </c>
      <c r="E716" s="42" t="inlineStr">
        <is>
          <t>Batangas</t>
        </is>
      </c>
      <c r="F716" s="42" t="inlineStr">
        <is>
          <t>Talisay</t>
        </is>
      </c>
      <c r="G716" s="42" t="inlineStr">
        <is>
          <t>Poblacion Barangay 1</t>
        </is>
      </c>
      <c r="H716" s="43" t="n">
        <v>14.0965</v>
      </c>
      <c r="I716" s="43" t="n">
        <v>121.0236</v>
      </c>
      <c r="J716" s="44" t="inlineStr">
        <is>
          <t>R</t>
        </is>
      </c>
      <c r="K716" s="42" t="inlineStr">
        <is>
          <t>Class 1-3 / Urban</t>
        </is>
      </c>
      <c r="L716" s="23" t="n">
        <v>2028</v>
      </c>
      <c r="M716" s="24" t="n">
        <v>4.62</v>
      </c>
      <c r="N716" s="23">
        <f>ROUND(L716/M716, 0)</f>
        <v/>
      </c>
      <c r="O716" s="23">
        <f>ROUND(N716*'Methodology &amp; Assumptions'!$B$8, 0)</f>
        <v/>
      </c>
      <c r="P716" s="44" t="inlineStr">
        <is>
          <t>Band n50 (1.5 GHz, 60 MHz)</t>
        </is>
      </c>
      <c r="Q716" s="38">
        <f>ROUNDUP(O716/'Methodology &amp; Assumptions'!$B$9, 0)</f>
        <v/>
      </c>
      <c r="R716" s="39" t="n">
        <v>1</v>
      </c>
      <c r="S716" s="25" t="n">
        <v>0.6899999999999999</v>
      </c>
      <c r="T716" s="25" t="n">
        <v>5.73</v>
      </c>
      <c r="U716" s="42" t="inlineStr">
        <is>
          <t>Tier 1A (Direct Coloc, &lt;1 km)</t>
        </is>
      </c>
      <c r="V716" s="24" t="n">
        <v>79.5</v>
      </c>
      <c r="W716" s="24" t="n">
        <v>59.2</v>
      </c>
      <c r="X716" s="24" t="n">
        <v>58</v>
      </c>
      <c r="Y716" s="45">
        <f>ROUND((V716*'Methodology &amp; Assumptions'!$B$6)+(W716*'Methodology &amp; Assumptions'!$B$5)+(X716*'Methodology &amp; Assumptions'!$B$7), 2)</f>
        <v/>
      </c>
    </row>
    <row r="717" ht="19" customHeight="1">
      <c r="A717" s="35" t="n">
        <v>713</v>
      </c>
      <c r="B717" s="35" t="n">
        <v>3713</v>
      </c>
      <c r="C717" s="36" t="inlineStr">
        <is>
          <t>0731100006</t>
        </is>
      </c>
      <c r="D717" s="36" t="inlineStr">
        <is>
          <t>Region VII (Central Visayas)</t>
        </is>
      </c>
      <c r="E717" s="36" t="inlineStr">
        <is>
          <t>Cebu</t>
        </is>
      </c>
      <c r="F717" s="36" t="inlineStr">
        <is>
          <t>City of Lapu-Lapu</t>
        </is>
      </c>
      <c r="G717" s="36" t="inlineStr">
        <is>
          <t>Buaya</t>
        </is>
      </c>
      <c r="H717" s="37" t="n">
        <v>10.316442</v>
      </c>
      <c r="I717" s="37" t="n">
        <v>123.992436</v>
      </c>
      <c r="J717" s="8" t="inlineStr">
        <is>
          <t>U</t>
        </is>
      </c>
      <c r="K717" s="36" t="inlineStr">
        <is>
          <t>Class 1-3 / Urban</t>
        </is>
      </c>
      <c r="L717" s="18" t="n">
        <v>19078</v>
      </c>
      <c r="M717" s="20" t="n">
        <v>4.42</v>
      </c>
      <c r="N717" s="18">
        <f>ROUND(L717/M717, 0)</f>
        <v/>
      </c>
      <c r="O717" s="18">
        <f>ROUND(N717*'Methodology &amp; Assumptions'!$B$8, 0)</f>
        <v/>
      </c>
      <c r="P717" s="8" t="inlineStr">
        <is>
          <t>Band n50 (1.5 GHz, 60 MHz)</t>
        </is>
      </c>
      <c r="Q717" s="38">
        <f>ROUNDUP(O717/'Methodology &amp; Assumptions'!$B$9, 0)</f>
        <v/>
      </c>
      <c r="R717" s="39" t="n">
        <v>1</v>
      </c>
      <c r="S717" s="21" t="n">
        <v>1.32</v>
      </c>
      <c r="T717" s="21" t="n">
        <v>5.1</v>
      </c>
      <c r="U717" s="36" t="inlineStr">
        <is>
          <t>Tier 1B (Micro Drop, 1-3 km)</t>
        </is>
      </c>
      <c r="V717" s="20" t="n">
        <v>64.40000000000001</v>
      </c>
      <c r="W717" s="20" t="n">
        <v>100</v>
      </c>
      <c r="X717" s="20" t="n">
        <v>28</v>
      </c>
      <c r="Y717" s="40">
        <f>ROUND((V717*'Methodology &amp; Assumptions'!$B$6)+(W717*'Methodology &amp; Assumptions'!$B$5)+(X717*'Methodology &amp; Assumptions'!$B$7), 2)</f>
        <v/>
      </c>
    </row>
    <row r="718" ht="19" customHeight="1">
      <c r="A718" s="41" t="n">
        <v>714</v>
      </c>
      <c r="B718" s="41" t="n">
        <v>3714</v>
      </c>
      <c r="C718" s="42" t="inlineStr">
        <is>
          <t>0600415017</t>
        </is>
      </c>
      <c r="D718" s="42" t="inlineStr">
        <is>
          <t>Region VI (Western Visayas)</t>
        </is>
      </c>
      <c r="E718" s="42" t="inlineStr">
        <is>
          <t>Aklan</t>
        </is>
      </c>
      <c r="F718" s="42" t="inlineStr">
        <is>
          <t>New Washington</t>
        </is>
      </c>
      <c r="G718" s="42" t="inlineStr">
        <is>
          <t>Tambak</t>
        </is>
      </c>
      <c r="H718" s="43" t="n">
        <v>11.662406</v>
      </c>
      <c r="I718" s="43" t="n">
        <v>122.422508</v>
      </c>
      <c r="J718" s="44" t="inlineStr">
        <is>
          <t>R</t>
        </is>
      </c>
      <c r="K718" s="42" t="inlineStr">
        <is>
          <t>Class 1-3 / Urban</t>
        </is>
      </c>
      <c r="L718" s="23" t="n">
        <v>3444</v>
      </c>
      <c r="M718" s="24" t="n">
        <v>4.27</v>
      </c>
      <c r="N718" s="23">
        <f>ROUND(L718/M718, 0)</f>
        <v/>
      </c>
      <c r="O718" s="23">
        <f>ROUND(N718*'Methodology &amp; Assumptions'!$B$8, 0)</f>
        <v/>
      </c>
      <c r="P718" s="44" t="inlineStr">
        <is>
          <t>Band n50 (1.5 GHz, 60 MHz)</t>
        </is>
      </c>
      <c r="Q718" s="38">
        <f>ROUNDUP(O718/'Methodology &amp; Assumptions'!$B$9, 0)</f>
        <v/>
      </c>
      <c r="R718" s="39" t="n">
        <v>1</v>
      </c>
      <c r="S718" s="25" t="n">
        <v>2.07</v>
      </c>
      <c r="T718" s="25" t="n">
        <v>6.7</v>
      </c>
      <c r="U718" s="42" t="inlineStr">
        <is>
          <t>Tier 1B (Micro Drop, 1-3 km)</t>
        </is>
      </c>
      <c r="V718" s="24" t="n">
        <v>50.1</v>
      </c>
      <c r="W718" s="24" t="n">
        <v>88.5</v>
      </c>
      <c r="X718" s="24" t="n">
        <v>58</v>
      </c>
      <c r="Y718" s="45">
        <f>ROUND((V718*'Methodology &amp; Assumptions'!$B$6)+(W718*'Methodology &amp; Assumptions'!$B$5)+(X718*'Methodology &amp; Assumptions'!$B$7), 2)</f>
        <v/>
      </c>
    </row>
    <row r="719" ht="19" customHeight="1">
      <c r="A719" s="35" t="n">
        <v>715</v>
      </c>
      <c r="B719" s="35" t="n">
        <v>3715</v>
      </c>
      <c r="C719" s="36" t="inlineStr">
        <is>
          <t>0307111004</t>
        </is>
      </c>
      <c r="D719" s="36" t="inlineStr">
        <is>
          <t>Region III (Central Luzon)</t>
        </is>
      </c>
      <c r="E719" s="36" t="inlineStr">
        <is>
          <t>Zambales</t>
        </is>
      </c>
      <c r="F719" s="36" t="inlineStr">
        <is>
          <t>San Marcelino</t>
        </is>
      </c>
      <c r="G719" s="36" t="inlineStr">
        <is>
          <t>Consuelo Norte</t>
        </is>
      </c>
      <c r="H719" s="37" t="n">
        <v>14.986385</v>
      </c>
      <c r="I719" s="37" t="n">
        <v>120.14265</v>
      </c>
      <c r="J719" s="8" t="inlineStr">
        <is>
          <t>R</t>
        </is>
      </c>
      <c r="K719" s="36" t="inlineStr">
        <is>
          <t>Class 1-3 / Urban</t>
        </is>
      </c>
      <c r="L719" s="18" t="n">
        <v>2025</v>
      </c>
      <c r="M719" s="20" t="n">
        <v>4.05</v>
      </c>
      <c r="N719" s="18">
        <f>ROUND(L719/M719, 0)</f>
        <v/>
      </c>
      <c r="O719" s="18">
        <f>ROUND(N719*'Methodology &amp; Assumptions'!$B$8, 0)</f>
        <v/>
      </c>
      <c r="P719" s="8" t="inlineStr">
        <is>
          <t>Band n50 (1.5 GHz, 60 MHz)</t>
        </is>
      </c>
      <c r="Q719" s="38">
        <f>ROUNDUP(O719/'Methodology &amp; Assumptions'!$B$9, 0)</f>
        <v/>
      </c>
      <c r="R719" s="39" t="n">
        <v>1</v>
      </c>
      <c r="S719" s="21" t="n">
        <v>1.31</v>
      </c>
      <c r="T719" s="21" t="n">
        <v>1.64</v>
      </c>
      <c r="U719" s="36" t="inlineStr">
        <is>
          <t>Tier 1B (Micro Drop, 1-3 km)</t>
        </is>
      </c>
      <c r="V719" s="20" t="n">
        <v>74.7</v>
      </c>
      <c r="W719" s="20" t="n">
        <v>64</v>
      </c>
      <c r="X719" s="20" t="n">
        <v>58</v>
      </c>
      <c r="Y719" s="40">
        <f>ROUND((V719*'Methodology &amp; Assumptions'!$B$6)+(W719*'Methodology &amp; Assumptions'!$B$5)+(X719*'Methodology &amp; Assumptions'!$B$7), 2)</f>
        <v/>
      </c>
    </row>
    <row r="720" ht="19" customHeight="1">
      <c r="A720" s="41" t="n">
        <v>716</v>
      </c>
      <c r="B720" s="41" t="n">
        <v>3716</v>
      </c>
      <c r="C720" s="42" t="inlineStr">
        <is>
          <t>0105546022</t>
        </is>
      </c>
      <c r="D720" s="42" t="inlineStr">
        <is>
          <t>Region I (Ilocos Region)</t>
        </is>
      </c>
      <c r="E720" s="42" t="inlineStr">
        <is>
          <t>Pangasinan</t>
        </is>
      </c>
      <c r="F720" s="42" t="inlineStr">
        <is>
          <t>City of Urdaneta</t>
        </is>
      </c>
      <c r="G720" s="42" t="inlineStr">
        <is>
          <t>Mabanogbog</t>
        </is>
      </c>
      <c r="H720" s="43" t="n">
        <v>15.976206</v>
      </c>
      <c r="I720" s="43" t="n">
        <v>120.556335</v>
      </c>
      <c r="J720" s="44" t="inlineStr">
        <is>
          <t>R</t>
        </is>
      </c>
      <c r="K720" s="42" t="inlineStr">
        <is>
          <t>Class 1-3 / Urban</t>
        </is>
      </c>
      <c r="L720" s="23" t="n">
        <v>3470</v>
      </c>
      <c r="M720" s="24" t="n">
        <v>4.39</v>
      </c>
      <c r="N720" s="23">
        <f>ROUND(L720/M720, 0)</f>
        <v/>
      </c>
      <c r="O720" s="23">
        <f>ROUND(N720*'Methodology &amp; Assumptions'!$B$8, 0)</f>
        <v/>
      </c>
      <c r="P720" s="44" t="inlineStr">
        <is>
          <t>Band n50 (1.5 GHz, 60 MHz)</t>
        </is>
      </c>
      <c r="Q720" s="38">
        <f>ROUNDUP(O720/'Methodology &amp; Assumptions'!$B$9, 0)</f>
        <v/>
      </c>
      <c r="R720" s="39" t="n">
        <v>1</v>
      </c>
      <c r="S720" s="25" t="n">
        <v>2.64</v>
      </c>
      <c r="T720" s="25" t="n">
        <v>0.2</v>
      </c>
      <c r="U720" s="42" t="inlineStr">
        <is>
          <t>Tier 1B (Micro Drop, 1-3 km)</t>
        </is>
      </c>
      <c r="V720" s="24" t="n">
        <v>51.5</v>
      </c>
      <c r="W720" s="24" t="n">
        <v>87.2</v>
      </c>
      <c r="X720" s="24" t="n">
        <v>58</v>
      </c>
      <c r="Y720" s="45">
        <f>ROUND((V720*'Methodology &amp; Assumptions'!$B$6)+(W720*'Methodology &amp; Assumptions'!$B$5)+(X720*'Methodology &amp; Assumptions'!$B$7), 2)</f>
        <v/>
      </c>
    </row>
    <row r="721" ht="19" customHeight="1">
      <c r="A721" s="35" t="n">
        <v>717</v>
      </c>
      <c r="B721" s="35" t="n">
        <v>3717</v>
      </c>
      <c r="C721" s="36" t="inlineStr">
        <is>
          <t>0300810018</t>
        </is>
      </c>
      <c r="D721" s="36" t="inlineStr">
        <is>
          <t>Region III (Central Luzon)</t>
        </is>
      </c>
      <c r="E721" s="36" t="inlineStr">
        <is>
          <t>Bataan</t>
        </is>
      </c>
      <c r="F721" s="36" t="inlineStr">
        <is>
          <t>Orion</t>
        </is>
      </c>
      <c r="G721" s="36" t="inlineStr">
        <is>
          <t>Lusungan</t>
        </is>
      </c>
      <c r="H721" s="37" t="n">
        <v>14.6198</v>
      </c>
      <c r="I721" s="37" t="n">
        <v>120.583858</v>
      </c>
      <c r="J721" s="8" t="inlineStr">
        <is>
          <t>R</t>
        </is>
      </c>
      <c r="K721" s="36" t="inlineStr">
        <is>
          <t>Class 1-3 / Urban</t>
        </is>
      </c>
      <c r="L721" s="18" t="n">
        <v>1456</v>
      </c>
      <c r="M721" s="20" t="n">
        <v>4.57</v>
      </c>
      <c r="N721" s="18">
        <f>ROUND(L721/M721, 0)</f>
        <v/>
      </c>
      <c r="O721" s="18">
        <f>ROUND(N721*'Methodology &amp; Assumptions'!$B$8, 0)</f>
        <v/>
      </c>
      <c r="P721" s="8" t="inlineStr">
        <is>
          <t>Band n50 (1.5 GHz, 60 MHz)</t>
        </is>
      </c>
      <c r="Q721" s="38">
        <f>ROUNDUP(O721/'Methodology &amp; Assumptions'!$B$9, 0)</f>
        <v/>
      </c>
      <c r="R721" s="39" t="n">
        <v>1</v>
      </c>
      <c r="S721" s="21" t="n">
        <v>0.71</v>
      </c>
      <c r="T721" s="21" t="n">
        <v>0.63</v>
      </c>
      <c r="U721" s="36" t="inlineStr">
        <is>
          <t>Tier 1A (Direct Coloc, &lt;1 km)</t>
        </is>
      </c>
      <c r="V721" s="20" t="n">
        <v>89.09999999999999</v>
      </c>
      <c r="W721" s="20" t="n">
        <v>49.6</v>
      </c>
      <c r="X721" s="20" t="n">
        <v>58</v>
      </c>
      <c r="Y721" s="40">
        <f>ROUND((V721*'Methodology &amp; Assumptions'!$B$6)+(W721*'Methodology &amp; Assumptions'!$B$5)+(X721*'Methodology &amp; Assumptions'!$B$7), 2)</f>
        <v/>
      </c>
    </row>
    <row r="722" ht="19" customHeight="1">
      <c r="A722" s="41" t="n">
        <v>718</v>
      </c>
      <c r="B722" s="41" t="n">
        <v>3718</v>
      </c>
      <c r="C722" s="42" t="inlineStr">
        <is>
          <t>1408106014</t>
        </is>
      </c>
      <c r="D722" s="42" t="inlineStr">
        <is>
          <t>Cordillera Administrative Region (CAR)</t>
        </is>
      </c>
      <c r="E722" s="42" t="inlineStr">
        <is>
          <t>Apayao</t>
        </is>
      </c>
      <c r="F722" s="42" t="inlineStr">
        <is>
          <t>Pudtol</t>
        </is>
      </c>
      <c r="G722" s="42" t="inlineStr">
        <is>
          <t>Mataguisi</t>
        </is>
      </c>
      <c r="H722" s="43" t="n">
        <v>18.126658</v>
      </c>
      <c r="I722" s="43" t="n">
        <v>121.346757</v>
      </c>
      <c r="J722" s="44" t="inlineStr">
        <is>
          <t>R</t>
        </is>
      </c>
      <c r="K722" s="42" t="inlineStr">
        <is>
          <t>2nd</t>
        </is>
      </c>
      <c r="L722" s="23" t="n">
        <v>1094</v>
      </c>
      <c r="M722" s="24" t="n">
        <v>4.65</v>
      </c>
      <c r="N722" s="23">
        <f>ROUND(L722/M722, 0)</f>
        <v/>
      </c>
      <c r="O722" s="23">
        <f>ROUND(N722*'Methodology &amp; Assumptions'!$B$8, 0)</f>
        <v/>
      </c>
      <c r="P722" s="44" t="inlineStr">
        <is>
          <t>Band n50 (1.5 GHz, 60 MHz)</t>
        </is>
      </c>
      <c r="Q722" s="38">
        <f>ROUNDUP(O722/'Methodology &amp; Assumptions'!$B$9, 0)</f>
        <v/>
      </c>
      <c r="R722" s="39" t="n">
        <v>1</v>
      </c>
      <c r="S722" s="25" t="n">
        <v>0.06</v>
      </c>
      <c r="T722" s="25" t="n">
        <v>0.05</v>
      </c>
      <c r="U722" s="42" t="inlineStr">
        <is>
          <t>Tier 1A (Direct Coloc, &lt;1 km)</t>
        </is>
      </c>
      <c r="V722" s="24" t="n">
        <v>100</v>
      </c>
      <c r="W722" s="24" t="n">
        <v>38.7</v>
      </c>
      <c r="X722" s="24" t="n">
        <v>58</v>
      </c>
      <c r="Y722" s="45">
        <f>ROUND((V722*'Methodology &amp; Assumptions'!$B$6)+(W722*'Methodology &amp; Assumptions'!$B$5)+(X722*'Methodology &amp; Assumptions'!$B$7), 2)</f>
        <v/>
      </c>
    </row>
    <row r="723" ht="19" customHeight="1">
      <c r="A723" s="35" t="n">
        <v>719</v>
      </c>
      <c r="B723" s="35" t="n">
        <v>3719</v>
      </c>
      <c r="C723" s="36" t="inlineStr">
        <is>
          <t>1705214022</t>
        </is>
      </c>
      <c r="D723" s="36" t="inlineStr">
        <is>
          <t>MIMAROPA Region</t>
        </is>
      </c>
      <c r="E723" s="36" t="inlineStr">
        <is>
          <t>Oriental Mindoro</t>
        </is>
      </c>
      <c r="F723" s="36" t="inlineStr">
        <is>
          <t>Socorro</t>
        </is>
      </c>
      <c r="G723" s="36" t="inlineStr">
        <is>
          <t>Zone III</t>
        </is>
      </c>
      <c r="H723" s="37" t="n">
        <v>13.052261</v>
      </c>
      <c r="I723" s="37" t="n">
        <v>121.406737</v>
      </c>
      <c r="J723" s="8" t="inlineStr">
        <is>
          <t>R</t>
        </is>
      </c>
      <c r="K723" s="36" t="inlineStr">
        <is>
          <t>Class 1-3 / Urban</t>
        </is>
      </c>
      <c r="L723" s="18" t="n">
        <v>1033</v>
      </c>
      <c r="M723" s="20" t="n">
        <v>4.41</v>
      </c>
      <c r="N723" s="18">
        <f>ROUND(L723/M723, 0)</f>
        <v/>
      </c>
      <c r="O723" s="18">
        <f>ROUND(N723*'Methodology &amp; Assumptions'!$B$8, 0)</f>
        <v/>
      </c>
      <c r="P723" s="8" t="inlineStr">
        <is>
          <t>Band n50 (1.5 GHz, 60 MHz)</t>
        </is>
      </c>
      <c r="Q723" s="38">
        <f>ROUNDUP(O723/'Methodology &amp; Assumptions'!$B$9, 0)</f>
        <v/>
      </c>
      <c r="R723" s="39" t="n">
        <v>1</v>
      </c>
      <c r="S723" s="21" t="n">
        <v>0.2</v>
      </c>
      <c r="T723" s="21" t="n">
        <v>0.4</v>
      </c>
      <c r="U723" s="36" t="inlineStr">
        <is>
          <t>Tier 1A (Direct Coloc, &lt;1 km)</t>
        </is>
      </c>
      <c r="V723" s="20" t="n">
        <v>100</v>
      </c>
      <c r="W723" s="20" t="n">
        <v>38.7</v>
      </c>
      <c r="X723" s="20" t="n">
        <v>58</v>
      </c>
      <c r="Y723" s="40">
        <f>ROUND((V723*'Methodology &amp; Assumptions'!$B$6)+(W723*'Methodology &amp; Assumptions'!$B$5)+(X723*'Methodology &amp; Assumptions'!$B$7), 2)</f>
        <v/>
      </c>
    </row>
    <row r="724" ht="19" customHeight="1">
      <c r="A724" s="41" t="n">
        <v>720</v>
      </c>
      <c r="B724" s="41" t="n">
        <v>3720</v>
      </c>
      <c r="C724" s="42" t="inlineStr">
        <is>
          <t>0102905022</t>
        </is>
      </c>
      <c r="D724" s="42" t="inlineStr">
        <is>
          <t>Region I (Ilocos Region)</t>
        </is>
      </c>
      <c r="E724" s="42" t="inlineStr">
        <is>
          <t>Ilocos Sur</t>
        </is>
      </c>
      <c r="F724" s="42" t="inlineStr">
        <is>
          <t>Cabugao</t>
        </is>
      </c>
      <c r="G724" s="42" t="inlineStr">
        <is>
          <t>Pila</t>
        </is>
      </c>
      <c r="H724" s="43" t="n">
        <v>17.786881</v>
      </c>
      <c r="I724" s="43" t="n">
        <v>120.457218</v>
      </c>
      <c r="J724" s="44" t="inlineStr">
        <is>
          <t>R</t>
        </is>
      </c>
      <c r="K724" s="42" t="inlineStr">
        <is>
          <t>Class 1-3 / Urban</t>
        </is>
      </c>
      <c r="L724" s="23" t="n">
        <v>834</v>
      </c>
      <c r="M724" s="24" t="n">
        <v>4.56</v>
      </c>
      <c r="N724" s="23">
        <f>ROUND(L724/M724, 0)</f>
        <v/>
      </c>
      <c r="O724" s="23">
        <f>ROUND(N724*'Methodology &amp; Assumptions'!$B$8, 0)</f>
        <v/>
      </c>
      <c r="P724" s="44" t="inlineStr">
        <is>
          <t>Band n50 (1.5 GHz, 60 MHz)</t>
        </is>
      </c>
      <c r="Q724" s="38">
        <f>ROUNDUP(O724/'Methodology &amp; Assumptions'!$B$9, 0)</f>
        <v/>
      </c>
      <c r="R724" s="39" t="n">
        <v>1</v>
      </c>
      <c r="S724" s="25" t="n">
        <v>0.18</v>
      </c>
      <c r="T724" s="25" t="n">
        <v>0.32</v>
      </c>
      <c r="U724" s="42" t="inlineStr">
        <is>
          <t>Tier 1A (Direct Coloc, &lt;1 km)</t>
        </is>
      </c>
      <c r="V724" s="24" t="n">
        <v>100</v>
      </c>
      <c r="W724" s="24" t="n">
        <v>38.7</v>
      </c>
      <c r="X724" s="24" t="n">
        <v>58</v>
      </c>
      <c r="Y724" s="45">
        <f>ROUND((V724*'Methodology &amp; Assumptions'!$B$6)+(W724*'Methodology &amp; Assumptions'!$B$5)+(X724*'Methodology &amp; Assumptions'!$B$7), 2)</f>
        <v/>
      </c>
    </row>
    <row r="725" ht="19" customHeight="1">
      <c r="A725" s="35" t="n">
        <v>721</v>
      </c>
      <c r="B725" s="35" t="n">
        <v>3721</v>
      </c>
      <c r="C725" s="36" t="inlineStr">
        <is>
          <t>0803740017</t>
        </is>
      </c>
      <c r="D725" s="36" t="inlineStr">
        <is>
          <t>Region VIII (Eastern Visayas)</t>
        </is>
      </c>
      <c r="E725" s="36" t="inlineStr">
        <is>
          <t>Leyte</t>
        </is>
      </c>
      <c r="F725" s="36" t="inlineStr">
        <is>
          <t>Palompon</t>
        </is>
      </c>
      <c r="G725" s="36" t="inlineStr">
        <is>
          <t>Guiwan 2</t>
        </is>
      </c>
      <c r="H725" s="37" t="n">
        <v>11.0524</v>
      </c>
      <c r="I725" s="37" t="n">
        <v>124.3858</v>
      </c>
      <c r="J725" s="8" t="inlineStr">
        <is>
          <t>R</t>
        </is>
      </c>
      <c r="K725" s="36" t="inlineStr">
        <is>
          <t>Class 1-3 / Urban</t>
        </is>
      </c>
      <c r="L725" s="18" t="n">
        <v>773</v>
      </c>
      <c r="M725" s="20" t="n">
        <v>4.24</v>
      </c>
      <c r="N725" s="18">
        <f>ROUND(L725/M725, 0)</f>
        <v/>
      </c>
      <c r="O725" s="18">
        <f>ROUND(N725*'Methodology &amp; Assumptions'!$B$8, 0)</f>
        <v/>
      </c>
      <c r="P725" s="8" t="inlineStr">
        <is>
          <t>Band n50 (1.5 GHz, 60 MHz)</t>
        </is>
      </c>
      <c r="Q725" s="38">
        <f>ROUNDUP(O725/'Methodology &amp; Assumptions'!$B$9, 0)</f>
        <v/>
      </c>
      <c r="R725" s="39" t="n">
        <v>1</v>
      </c>
      <c r="S725" s="21" t="n">
        <v>0.09</v>
      </c>
      <c r="T725" s="21" t="n">
        <v>0.33</v>
      </c>
      <c r="U725" s="36" t="inlineStr">
        <is>
          <t>Tier 1A (Direct Coloc, &lt;1 km)</t>
        </is>
      </c>
      <c r="V725" s="20" t="n">
        <v>100</v>
      </c>
      <c r="W725" s="20" t="n">
        <v>38.7</v>
      </c>
      <c r="X725" s="20" t="n">
        <v>58</v>
      </c>
      <c r="Y725" s="40">
        <f>ROUND((V725*'Methodology &amp; Assumptions'!$B$6)+(W725*'Methodology &amp; Assumptions'!$B$5)+(X725*'Methodology &amp; Assumptions'!$B$7), 2)</f>
        <v/>
      </c>
    </row>
    <row r="726" ht="19" customHeight="1">
      <c r="A726" s="41" t="n">
        <v>722</v>
      </c>
      <c r="B726" s="41" t="n">
        <v>3722</v>
      </c>
      <c r="C726" s="42" t="inlineStr">
        <is>
          <t>0603047017</t>
        </is>
      </c>
      <c r="D726" s="42" t="inlineStr">
        <is>
          <t>Region VI (Western Visayas)</t>
        </is>
      </c>
      <c r="E726" s="42" t="inlineStr">
        <is>
          <t>Iloilo</t>
        </is>
      </c>
      <c r="F726" s="42" t="inlineStr">
        <is>
          <t>Zarraga</t>
        </is>
      </c>
      <c r="G726" s="42" t="inlineStr">
        <is>
          <t>Ilaya Poblacion</t>
        </is>
      </c>
      <c r="H726" s="43" t="n">
        <v>10.827657</v>
      </c>
      <c r="I726" s="43" t="n">
        <v>122.605115</v>
      </c>
      <c r="J726" s="44" t="inlineStr">
        <is>
          <t>U</t>
        </is>
      </c>
      <c r="K726" s="42" t="inlineStr">
        <is>
          <t>3rd</t>
        </is>
      </c>
      <c r="L726" s="23" t="n">
        <v>1769</v>
      </c>
      <c r="M726" s="24" t="n">
        <v>4.35</v>
      </c>
      <c r="N726" s="23">
        <f>ROUND(L726/M726, 0)</f>
        <v/>
      </c>
      <c r="O726" s="23">
        <f>ROUND(N726*'Methodology &amp; Assumptions'!$B$8, 0)</f>
        <v/>
      </c>
      <c r="P726" s="44" t="inlineStr">
        <is>
          <t>Band n50 (1.5 GHz, 60 MHz)</t>
        </is>
      </c>
      <c r="Q726" s="38">
        <f>ROUNDUP(O726/'Methodology &amp; Assumptions'!$B$9, 0)</f>
        <v/>
      </c>
      <c r="R726" s="39" t="n">
        <v>1</v>
      </c>
      <c r="S726" s="25" t="n">
        <v>0.49</v>
      </c>
      <c r="T726" s="25" t="n">
        <v>0.41</v>
      </c>
      <c r="U726" s="42" t="inlineStr">
        <is>
          <t>Tier 1A (Direct Coloc, &lt;1 km)</t>
        </is>
      </c>
      <c r="V726" s="24" t="n">
        <v>95</v>
      </c>
      <c r="W726" s="24" t="n">
        <v>56.5</v>
      </c>
      <c r="X726" s="24" t="n">
        <v>43</v>
      </c>
      <c r="Y726" s="45">
        <f>ROUND((V726*'Methodology &amp; Assumptions'!$B$6)+(W726*'Methodology &amp; Assumptions'!$B$5)+(X726*'Methodology &amp; Assumptions'!$B$7), 2)</f>
        <v/>
      </c>
    </row>
    <row r="727" ht="19" customHeight="1">
      <c r="A727" s="35" t="n">
        <v>723</v>
      </c>
      <c r="B727" s="35" t="n">
        <v>3723</v>
      </c>
      <c r="C727" s="36" t="inlineStr">
        <is>
          <t>0330100008</t>
        </is>
      </c>
      <c r="D727" s="36" t="inlineStr">
        <is>
          <t>Region III (Central Luzon)</t>
        </is>
      </c>
      <c r="E727" s="36" t="inlineStr">
        <is>
          <t>Pampanga</t>
        </is>
      </c>
      <c r="F727" s="36" t="inlineStr">
        <is>
          <t>City of Angeles</t>
        </is>
      </c>
      <c r="G727" s="36" t="inlineStr">
        <is>
          <t>Cutud</t>
        </is>
      </c>
      <c r="H727" s="37" t="n">
        <v>15.17525</v>
      </c>
      <c r="I727" s="37" t="n">
        <v>120.62671</v>
      </c>
      <c r="J727" s="8" t="inlineStr">
        <is>
          <t>U</t>
        </is>
      </c>
      <c r="K727" s="36" t="inlineStr">
        <is>
          <t>Class 1-3 / Urban</t>
        </is>
      </c>
      <c r="L727" s="18" t="n">
        <v>24821</v>
      </c>
      <c r="M727" s="20" t="n">
        <v>4.63</v>
      </c>
      <c r="N727" s="18">
        <f>ROUND(L727/M727, 0)</f>
        <v/>
      </c>
      <c r="O727" s="18">
        <f>ROUND(N727*'Methodology &amp; Assumptions'!$B$8, 0)</f>
        <v/>
      </c>
      <c r="P727" s="8" t="inlineStr">
        <is>
          <t>Band n50 (1.5 GHz, 60 MHz)</t>
        </is>
      </c>
      <c r="Q727" s="38">
        <f>ROUNDUP(O727/'Methodology &amp; Assumptions'!$B$9, 0)</f>
        <v/>
      </c>
      <c r="R727" s="39" t="n">
        <v>1</v>
      </c>
      <c r="S727" s="21" t="n">
        <v>1.83</v>
      </c>
      <c r="T727" s="21" t="n">
        <v>0.32</v>
      </c>
      <c r="U727" s="36" t="inlineStr">
        <is>
          <t>Tier 1B (Micro Drop, 1-3 km)</t>
        </is>
      </c>
      <c r="V727" s="20" t="n">
        <v>64.40000000000001</v>
      </c>
      <c r="W727" s="20" t="n">
        <v>100</v>
      </c>
      <c r="X727" s="20" t="n">
        <v>28</v>
      </c>
      <c r="Y727" s="40">
        <f>ROUND((V727*'Methodology &amp; Assumptions'!$B$6)+(W727*'Methodology &amp; Assumptions'!$B$5)+(X727*'Methodology &amp; Assumptions'!$B$7), 2)</f>
        <v/>
      </c>
    </row>
    <row r="728" ht="19" customHeight="1">
      <c r="A728" s="41" t="n">
        <v>724</v>
      </c>
      <c r="B728" s="41" t="n">
        <v>3724</v>
      </c>
      <c r="C728" s="42" t="inlineStr">
        <is>
          <t>1404409008</t>
        </is>
      </c>
      <c r="D728" s="42" t="inlineStr">
        <is>
          <t>Cordillera Administrative Region (CAR)</t>
        </is>
      </c>
      <c r="E728" s="42" t="inlineStr">
        <is>
          <t>Mountain Province</t>
        </is>
      </c>
      <c r="F728" s="42" t="inlineStr">
        <is>
          <t>Sagada</t>
        </is>
      </c>
      <c r="G728" s="42" t="inlineStr">
        <is>
          <t>Dagdag</t>
        </is>
      </c>
      <c r="H728" s="43" t="n">
        <v>17.080481</v>
      </c>
      <c r="I728" s="43" t="n">
        <v>120.898424</v>
      </c>
      <c r="J728" s="44" t="inlineStr">
        <is>
          <t>R</t>
        </is>
      </c>
      <c r="K728" s="42" t="inlineStr">
        <is>
          <t>4th</t>
        </is>
      </c>
      <c r="L728" s="23" t="n">
        <v>806</v>
      </c>
      <c r="M728" s="24" t="n">
        <v>4.21</v>
      </c>
      <c r="N728" s="23">
        <f>ROUND(L728/M728, 0)</f>
        <v/>
      </c>
      <c r="O728" s="23">
        <f>ROUND(N728*'Methodology &amp; Assumptions'!$B$8, 0)</f>
        <v/>
      </c>
      <c r="P728" s="44" t="inlineStr">
        <is>
          <t>Band n50 (1.5 GHz, 60 MHz)</t>
        </is>
      </c>
      <c r="Q728" s="38">
        <f>ROUNDUP(O728/'Methodology &amp; Assumptions'!$B$9, 0)</f>
        <v/>
      </c>
      <c r="R728" s="39" t="n">
        <v>1</v>
      </c>
      <c r="S728" s="25" t="n">
        <v>0.51</v>
      </c>
      <c r="T728" s="25" t="n">
        <v>0.21</v>
      </c>
      <c r="U728" s="42" t="inlineStr">
        <is>
          <t>Tier 1A (Direct Coloc, &lt;1 km)</t>
        </is>
      </c>
      <c r="V728" s="24" t="n">
        <v>94.40000000000001</v>
      </c>
      <c r="W728" s="24" t="n">
        <v>35.2</v>
      </c>
      <c r="X728" s="24" t="n">
        <v>68.5</v>
      </c>
      <c r="Y728" s="45">
        <f>ROUND((V728*'Methodology &amp; Assumptions'!$B$6)+(W728*'Methodology &amp; Assumptions'!$B$5)+(X728*'Methodology &amp; Assumptions'!$B$7), 2)</f>
        <v/>
      </c>
    </row>
    <row r="729" ht="19" customHeight="1">
      <c r="A729" s="35" t="n">
        <v>725</v>
      </c>
      <c r="B729" s="35" t="n">
        <v>3725</v>
      </c>
      <c r="C729" s="36" t="inlineStr">
        <is>
          <t>1001321025</t>
        </is>
      </c>
      <c r="D729" s="36" t="inlineStr">
        <is>
          <t>Region X (Northern Mindanao)</t>
        </is>
      </c>
      <c r="E729" s="36" t="inlineStr">
        <is>
          <t>Bukidnon</t>
        </is>
      </c>
      <c r="F729" s="36" t="inlineStr">
        <is>
          <t>City of Valencia</t>
        </is>
      </c>
      <c r="G729" s="36" t="inlineStr">
        <is>
          <t>San Carlos</t>
        </is>
      </c>
      <c r="H729" s="37" t="n">
        <v>7.96207</v>
      </c>
      <c r="I729" s="37" t="n">
        <v>125.074603</v>
      </c>
      <c r="J729" s="8" t="inlineStr">
        <is>
          <t>R</t>
        </is>
      </c>
      <c r="K729" s="36" t="inlineStr">
        <is>
          <t>Class 1-3 / Urban</t>
        </is>
      </c>
      <c r="L729" s="18" t="n">
        <v>4878</v>
      </c>
      <c r="M729" s="20" t="n">
        <v>4.63</v>
      </c>
      <c r="N729" s="18">
        <f>ROUND(L729/M729, 0)</f>
        <v/>
      </c>
      <c r="O729" s="18">
        <f>ROUND(N729*'Methodology &amp; Assumptions'!$B$8, 0)</f>
        <v/>
      </c>
      <c r="P729" s="8" t="inlineStr">
        <is>
          <t>Band n50 (1.5 GHz, 60 MHz)</t>
        </is>
      </c>
      <c r="Q729" s="38">
        <f>ROUNDUP(O729/'Methodology &amp; Assumptions'!$B$9, 0)</f>
        <v/>
      </c>
      <c r="R729" s="39" t="n">
        <v>1</v>
      </c>
      <c r="S729" s="21" t="n">
        <v>3.75</v>
      </c>
      <c r="T729" s="21" t="n">
        <v>0.16</v>
      </c>
      <c r="U729" s="36" t="inlineStr">
        <is>
          <t>Tier 2 (Fiber Corridor / Lateral, 3-5 km)</t>
        </is>
      </c>
      <c r="V729" s="20" t="n">
        <v>38.6</v>
      </c>
      <c r="W729" s="20" t="n">
        <v>100</v>
      </c>
      <c r="X729" s="20" t="n">
        <v>58</v>
      </c>
      <c r="Y729" s="40">
        <f>ROUND((V729*'Methodology &amp; Assumptions'!$B$6)+(W729*'Methodology &amp; Assumptions'!$B$5)+(X729*'Methodology &amp; Assumptions'!$B$7), 2)</f>
        <v/>
      </c>
    </row>
    <row r="730" ht="19" customHeight="1">
      <c r="A730" s="41" t="n">
        <v>726</v>
      </c>
      <c r="B730" s="41" t="n">
        <v>3726</v>
      </c>
      <c r="C730" s="42" t="inlineStr">
        <is>
          <t>0402118058</t>
        </is>
      </c>
      <c r="D730" s="42" t="inlineStr">
        <is>
          <t>Region IV-A (CALABARZON)</t>
        </is>
      </c>
      <c r="E730" s="42" t="inlineStr">
        <is>
          <t>Cavite</t>
        </is>
      </c>
      <c r="F730" s="42" t="inlineStr">
        <is>
          <t>Silang</t>
        </is>
      </c>
      <c r="G730" s="42" t="inlineStr">
        <is>
          <t>Ipil II</t>
        </is>
      </c>
      <c r="H730" s="43" t="n">
        <v>14.257968</v>
      </c>
      <c r="I730" s="43" t="n">
        <v>120.994085</v>
      </c>
      <c r="J730" s="44" t="inlineStr">
        <is>
          <t>R</t>
        </is>
      </c>
      <c r="K730" s="42" t="inlineStr">
        <is>
          <t>Class 1-3 / Urban</t>
        </is>
      </c>
      <c r="L730" s="23" t="n">
        <v>4491</v>
      </c>
      <c r="M730" s="24" t="n">
        <v>4.49</v>
      </c>
      <c r="N730" s="23">
        <f>ROUND(L730/M730, 0)</f>
        <v/>
      </c>
      <c r="O730" s="23">
        <f>ROUND(N730*'Methodology &amp; Assumptions'!$B$8, 0)</f>
        <v/>
      </c>
      <c r="P730" s="44" t="inlineStr">
        <is>
          <t>Band n50 (1.5 GHz, 60 MHz)</t>
        </is>
      </c>
      <c r="Q730" s="38">
        <f>ROUNDUP(O730/'Methodology &amp; Assumptions'!$B$9, 0)</f>
        <v/>
      </c>
      <c r="R730" s="39" t="n">
        <v>1</v>
      </c>
      <c r="S730" s="25" t="n">
        <v>2.85</v>
      </c>
      <c r="T730" s="25" t="n">
        <v>2.07</v>
      </c>
      <c r="U730" s="42" t="inlineStr">
        <is>
          <t>Tier 1B (Micro Drop, 1-3 km)</t>
        </is>
      </c>
      <c r="V730" s="24" t="n">
        <v>38.6</v>
      </c>
      <c r="W730" s="24" t="n">
        <v>100</v>
      </c>
      <c r="X730" s="24" t="n">
        <v>58</v>
      </c>
      <c r="Y730" s="45">
        <f>ROUND((V730*'Methodology &amp; Assumptions'!$B$6)+(W730*'Methodology &amp; Assumptions'!$B$5)+(X730*'Methodology &amp; Assumptions'!$B$7), 2)</f>
        <v/>
      </c>
    </row>
    <row r="731" ht="19" customHeight="1">
      <c r="A731" s="35" t="n">
        <v>727</v>
      </c>
      <c r="B731" s="35" t="n">
        <v>3727</v>
      </c>
      <c r="C731" s="36" t="inlineStr">
        <is>
          <t>0601912024</t>
        </is>
      </c>
      <c r="D731" s="36" t="inlineStr">
        <is>
          <t>Region VI (Western Visayas)</t>
        </is>
      </c>
      <c r="E731" s="36" t="inlineStr">
        <is>
          <t>Capiz</t>
        </is>
      </c>
      <c r="F731" s="36" t="inlineStr">
        <is>
          <t>Pontevedra</t>
        </is>
      </c>
      <c r="G731" s="36" t="inlineStr">
        <is>
          <t>Sublangon</t>
        </is>
      </c>
      <c r="H731" s="37" t="n">
        <v>11.47837</v>
      </c>
      <c r="I731" s="37" t="n">
        <v>122.818027</v>
      </c>
      <c r="J731" s="8" t="inlineStr">
        <is>
          <t>R</t>
        </is>
      </c>
      <c r="K731" s="36" t="inlineStr">
        <is>
          <t>Class 1-3 / Urban</t>
        </is>
      </c>
      <c r="L731" s="18" t="n">
        <v>2552</v>
      </c>
      <c r="M731" s="20" t="n">
        <v>4.2</v>
      </c>
      <c r="N731" s="18">
        <f>ROUND(L731/M731, 0)</f>
        <v/>
      </c>
      <c r="O731" s="18">
        <f>ROUND(N731*'Methodology &amp; Assumptions'!$B$8, 0)</f>
        <v/>
      </c>
      <c r="P731" s="8" t="inlineStr">
        <is>
          <t>Band n50 (1.5 GHz, 60 MHz)</t>
        </is>
      </c>
      <c r="Q731" s="38">
        <f>ROUNDUP(O731/'Methodology &amp; Assumptions'!$B$9, 0)</f>
        <v/>
      </c>
      <c r="R731" s="39" t="n">
        <v>1</v>
      </c>
      <c r="S731" s="21" t="n">
        <v>1.73</v>
      </c>
      <c r="T731" s="21" t="n">
        <v>1.63</v>
      </c>
      <c r="U731" s="36" t="inlineStr">
        <is>
          <t>Tier 1B (Micro Drop, 1-3 km)</t>
        </is>
      </c>
      <c r="V731" s="20" t="n">
        <v>66.09999999999999</v>
      </c>
      <c r="W731" s="20" t="n">
        <v>72.5</v>
      </c>
      <c r="X731" s="20" t="n">
        <v>58</v>
      </c>
      <c r="Y731" s="40">
        <f>ROUND((V731*'Methodology &amp; Assumptions'!$B$6)+(W731*'Methodology &amp; Assumptions'!$B$5)+(X731*'Methodology &amp; Assumptions'!$B$7), 2)</f>
        <v/>
      </c>
    </row>
    <row r="732" ht="19" customHeight="1">
      <c r="A732" s="41" t="n">
        <v>728</v>
      </c>
      <c r="B732" s="41" t="n">
        <v>3728</v>
      </c>
      <c r="C732" s="42" t="inlineStr">
        <is>
          <t>1408102003</t>
        </is>
      </c>
      <c r="D732" s="42" t="inlineStr">
        <is>
          <t>Cordillera Administrative Region (CAR)</t>
        </is>
      </c>
      <c r="E732" s="42" t="inlineStr">
        <is>
          <t>Apayao</t>
        </is>
      </c>
      <c r="F732" s="42" t="inlineStr">
        <is>
          <t>Conner</t>
        </is>
      </c>
      <c r="G732" s="42" t="inlineStr">
        <is>
          <t>Caglayan</t>
        </is>
      </c>
      <c r="H732" s="43" t="n">
        <v>17.79643</v>
      </c>
      <c r="I732" s="43" t="n">
        <v>121.31242</v>
      </c>
      <c r="J732" s="44" t="inlineStr">
        <is>
          <t>R</t>
        </is>
      </c>
      <c r="K732" s="42" t="inlineStr">
        <is>
          <t>Class 1-3 / Urban</t>
        </is>
      </c>
      <c r="L732" s="23" t="n">
        <v>2392</v>
      </c>
      <c r="M732" s="24" t="n">
        <v>4.49</v>
      </c>
      <c r="N732" s="23">
        <f>ROUND(L732/M732, 0)</f>
        <v/>
      </c>
      <c r="O732" s="23">
        <f>ROUND(N732*'Methodology &amp; Assumptions'!$B$8, 0)</f>
        <v/>
      </c>
      <c r="P732" s="44" t="inlineStr">
        <is>
          <t>Band n50 (1.5 GHz, 60 MHz)</t>
        </is>
      </c>
      <c r="Q732" s="38">
        <f>ROUNDUP(O732/'Methodology &amp; Assumptions'!$B$9, 0)</f>
        <v/>
      </c>
      <c r="R732" s="39" t="n">
        <v>1</v>
      </c>
      <c r="S732" s="25" t="n">
        <v>1.25</v>
      </c>
      <c r="T732" s="25" t="n">
        <v>0.9399999999999999</v>
      </c>
      <c r="U732" s="42" t="inlineStr">
        <is>
          <t>Tier 1B (Micro Drop, 1-3 km)</t>
        </is>
      </c>
      <c r="V732" s="24" t="n">
        <v>76</v>
      </c>
      <c r="W732" s="24" t="n">
        <v>62.7</v>
      </c>
      <c r="X732" s="24" t="n">
        <v>58</v>
      </c>
      <c r="Y732" s="45">
        <f>ROUND((V732*'Methodology &amp; Assumptions'!$B$6)+(W732*'Methodology &amp; Assumptions'!$B$5)+(X732*'Methodology &amp; Assumptions'!$B$7), 2)</f>
        <v/>
      </c>
    </row>
    <row r="733" ht="19" customHeight="1">
      <c r="A733" s="35" t="n">
        <v>729</v>
      </c>
      <c r="B733" s="35" t="n">
        <v>3729</v>
      </c>
      <c r="C733" s="36" t="inlineStr">
        <is>
          <t>0405805018</t>
        </is>
      </c>
      <c r="D733" s="36" t="inlineStr">
        <is>
          <t>Region IV-A (CALABARZON)</t>
        </is>
      </c>
      <c r="E733" s="36" t="inlineStr">
        <is>
          <t>Rizal</t>
        </is>
      </c>
      <c r="F733" s="36" t="inlineStr">
        <is>
          <t>Cainta</t>
        </is>
      </c>
      <c r="G733" s="36" t="inlineStr">
        <is>
          <t>Santa Rosa</t>
        </is>
      </c>
      <c r="H733" s="37" t="n">
        <v>14.57837</v>
      </c>
      <c r="I733" s="37" t="n">
        <v>121.1175</v>
      </c>
      <c r="J733" s="8" t="inlineStr">
        <is>
          <t>R</t>
        </is>
      </c>
      <c r="K733" s="36" t="inlineStr">
        <is>
          <t>Class 1-3 / Urban</t>
        </is>
      </c>
      <c r="L733" s="18" t="n">
        <v>1619</v>
      </c>
      <c r="M733" s="20" t="n">
        <v>4.39</v>
      </c>
      <c r="N733" s="18">
        <f>ROUND(L733/M733, 0)</f>
        <v/>
      </c>
      <c r="O733" s="18">
        <f>ROUND(N733*'Methodology &amp; Assumptions'!$B$8, 0)</f>
        <v/>
      </c>
      <c r="P733" s="8" t="inlineStr">
        <is>
          <t>Band n50 (1.5 GHz, 60 MHz)</t>
        </is>
      </c>
      <c r="Q733" s="38">
        <f>ROUNDUP(O733/'Methodology &amp; Assumptions'!$B$9, 0)</f>
        <v/>
      </c>
      <c r="R733" s="39" t="n">
        <v>1</v>
      </c>
      <c r="S733" s="21" t="n">
        <v>0.86</v>
      </c>
      <c r="T733" s="21" t="n">
        <v>0.32</v>
      </c>
      <c r="U733" s="36" t="inlineStr">
        <is>
          <t>Tier 1A (Direct Coloc, &lt;1 km)</t>
        </is>
      </c>
      <c r="V733" s="20" t="n">
        <v>85</v>
      </c>
      <c r="W733" s="20" t="n">
        <v>53.6</v>
      </c>
      <c r="X733" s="20" t="n">
        <v>58</v>
      </c>
      <c r="Y733" s="40">
        <f>ROUND((V733*'Methodology &amp; Assumptions'!$B$6)+(W733*'Methodology &amp; Assumptions'!$B$5)+(X733*'Methodology &amp; Assumptions'!$B$7), 2)</f>
        <v/>
      </c>
    </row>
    <row r="734" ht="19" customHeight="1">
      <c r="A734" s="41" t="n">
        <v>730</v>
      </c>
      <c r="B734" s="41" t="n">
        <v>3730</v>
      </c>
      <c r="C734" s="42" t="inlineStr">
        <is>
          <t>0301420045</t>
        </is>
      </c>
      <c r="D734" s="42" t="inlineStr">
        <is>
          <t>Region III (Central Luzon)</t>
        </is>
      </c>
      <c r="E734" s="42" t="inlineStr">
        <is>
          <t>Bulacan</t>
        </is>
      </c>
      <c r="F734" s="42" t="inlineStr">
        <is>
          <t>City of San Jose Del Monte</t>
        </is>
      </c>
      <c r="G734" s="42" t="inlineStr">
        <is>
          <t>San Manuel</t>
        </is>
      </c>
      <c r="H734" s="43" t="n">
        <v>14.781558</v>
      </c>
      <c r="I734" s="43" t="n">
        <v>121.068247</v>
      </c>
      <c r="J734" s="44" t="inlineStr">
        <is>
          <t>U</t>
        </is>
      </c>
      <c r="K734" s="42" t="inlineStr">
        <is>
          <t>Class 1-3 / Urban</t>
        </is>
      </c>
      <c r="L734" s="23" t="n">
        <v>11432</v>
      </c>
      <c r="M734" s="24" t="n">
        <v>4.1</v>
      </c>
      <c r="N734" s="23">
        <f>ROUND(L734/M734, 0)</f>
        <v/>
      </c>
      <c r="O734" s="23">
        <f>ROUND(N734*'Methodology &amp; Assumptions'!$B$8, 0)</f>
        <v/>
      </c>
      <c r="P734" s="44" t="inlineStr">
        <is>
          <t>Band n50 (1.5 GHz, 60 MHz)</t>
        </is>
      </c>
      <c r="Q734" s="38">
        <f>ROUNDUP(O734/'Methodology &amp; Assumptions'!$B$9, 0)</f>
        <v/>
      </c>
      <c r="R734" s="39" t="n">
        <v>1</v>
      </c>
      <c r="S734" s="25" t="n">
        <v>1.83</v>
      </c>
      <c r="T734" s="25" t="n">
        <v>0.64</v>
      </c>
      <c r="U734" s="42" t="inlineStr">
        <is>
          <t>Tier 1B (Micro Drop, 1-3 km)</t>
        </is>
      </c>
      <c r="V734" s="24" t="n">
        <v>64.40000000000001</v>
      </c>
      <c r="W734" s="24" t="n">
        <v>100</v>
      </c>
      <c r="X734" s="24" t="n">
        <v>28</v>
      </c>
      <c r="Y734" s="45">
        <f>ROUND((V734*'Methodology &amp; Assumptions'!$B$6)+(W734*'Methodology &amp; Assumptions'!$B$5)+(X734*'Methodology &amp; Assumptions'!$B$7), 2)</f>
        <v/>
      </c>
    </row>
    <row r="735" ht="19" customHeight="1">
      <c r="A735" s="35" t="n">
        <v>731</v>
      </c>
      <c r="B735" s="35" t="n">
        <v>3731</v>
      </c>
      <c r="C735" s="36" t="inlineStr">
        <is>
          <t>0501603024</t>
        </is>
      </c>
      <c r="D735" s="36" t="inlineStr">
        <is>
          <t>Region V (Bicol Region)</t>
        </is>
      </c>
      <c r="E735" s="36" t="inlineStr">
        <is>
          <t>Camarines Norte</t>
        </is>
      </c>
      <c r="F735" s="36" t="inlineStr">
        <is>
          <t>Daet</t>
        </is>
      </c>
      <c r="G735" s="36" t="inlineStr">
        <is>
          <t>Barangay I</t>
        </is>
      </c>
      <c r="H735" s="37" t="n">
        <v>14.11252</v>
      </c>
      <c r="I735" s="37" t="n">
        <v>122.956704</v>
      </c>
      <c r="J735" s="8" t="inlineStr">
        <is>
          <t>U</t>
        </is>
      </c>
      <c r="K735" s="36" t="inlineStr">
        <is>
          <t>Class 1-3 / Urban</t>
        </is>
      </c>
      <c r="L735" s="18" t="n">
        <v>2348</v>
      </c>
      <c r="M735" s="20" t="n">
        <v>4.4</v>
      </c>
      <c r="N735" s="18">
        <f>ROUND(L735/M735, 0)</f>
        <v/>
      </c>
      <c r="O735" s="18">
        <f>ROUND(N735*'Methodology &amp; Assumptions'!$B$8, 0)</f>
        <v/>
      </c>
      <c r="P735" s="8" t="inlineStr">
        <is>
          <t>Band n50 (1.5 GHz, 60 MHz)</t>
        </is>
      </c>
      <c r="Q735" s="38">
        <f>ROUNDUP(O735/'Methodology &amp; Assumptions'!$B$9, 0)</f>
        <v/>
      </c>
      <c r="R735" s="39" t="n">
        <v>1</v>
      </c>
      <c r="S735" s="21" t="n">
        <v>0.39</v>
      </c>
      <c r="T735" s="21" t="n">
        <v>1.32</v>
      </c>
      <c r="U735" s="36" t="inlineStr">
        <is>
          <t>Tier 1A (Direct Coloc, &lt;1 km)</t>
        </is>
      </c>
      <c r="V735" s="20" t="n">
        <v>97.7</v>
      </c>
      <c r="W735" s="20" t="n">
        <v>66.7</v>
      </c>
      <c r="X735" s="20" t="n">
        <v>28</v>
      </c>
      <c r="Y735" s="40">
        <f>ROUND((V735*'Methodology &amp; Assumptions'!$B$6)+(W735*'Methodology &amp; Assumptions'!$B$5)+(X735*'Methodology &amp; Assumptions'!$B$7), 2)</f>
        <v/>
      </c>
    </row>
    <row r="736" ht="19" customHeight="1">
      <c r="A736" s="41" t="n">
        <v>732</v>
      </c>
      <c r="B736" s="41" t="n">
        <v>3732</v>
      </c>
      <c r="C736" s="42" t="inlineStr">
        <is>
          <t>0405622010</t>
        </is>
      </c>
      <c r="D736" s="42" t="inlineStr">
        <is>
          <t>Region IV-A (CALABARZON)</t>
        </is>
      </c>
      <c r="E736" s="42" t="inlineStr">
        <is>
          <t>Quezon</t>
        </is>
      </c>
      <c r="F736" s="42" t="inlineStr">
        <is>
          <t>Lopez</t>
        </is>
      </c>
      <c r="G736" s="42" t="inlineStr">
        <is>
          <t>Bebito</t>
        </is>
      </c>
      <c r="H736" s="43" t="n">
        <v>13.892601</v>
      </c>
      <c r="I736" s="43" t="n">
        <v>122.269783</v>
      </c>
      <c r="J736" s="44" t="inlineStr">
        <is>
          <t>R</t>
        </is>
      </c>
      <c r="K736" s="42" t="inlineStr">
        <is>
          <t>Class 1-3 / Urban</t>
        </is>
      </c>
      <c r="L736" s="23" t="n">
        <v>1858</v>
      </c>
      <c r="M736" s="24" t="n">
        <v>4.46</v>
      </c>
      <c r="N736" s="23">
        <f>ROUND(L736/M736, 0)</f>
        <v/>
      </c>
      <c r="O736" s="23">
        <f>ROUND(N736*'Methodology &amp; Assumptions'!$B$8, 0)</f>
        <v/>
      </c>
      <c r="P736" s="44" t="inlineStr">
        <is>
          <t>Band n50 (1.5 GHz, 60 MHz)</t>
        </is>
      </c>
      <c r="Q736" s="38">
        <f>ROUNDUP(O736/'Methodology &amp; Assumptions'!$B$9, 0)</f>
        <v/>
      </c>
      <c r="R736" s="39" t="n">
        <v>1</v>
      </c>
      <c r="S736" s="25" t="n">
        <v>1.02</v>
      </c>
      <c r="T736" s="25" t="n">
        <v>0.2</v>
      </c>
      <c r="U736" s="42" t="inlineStr">
        <is>
          <t>Tier 1B (Micro Drop, 1-3 km)</t>
        </is>
      </c>
      <c r="V736" s="24" t="n">
        <v>81.3</v>
      </c>
      <c r="W736" s="24" t="n">
        <v>57.3</v>
      </c>
      <c r="X736" s="24" t="n">
        <v>58</v>
      </c>
      <c r="Y736" s="45">
        <f>ROUND((V736*'Methodology &amp; Assumptions'!$B$6)+(W736*'Methodology &amp; Assumptions'!$B$5)+(X736*'Methodology &amp; Assumptions'!$B$7), 2)</f>
        <v/>
      </c>
    </row>
    <row r="737" ht="19" customHeight="1">
      <c r="A737" s="35" t="n">
        <v>733</v>
      </c>
      <c r="B737" s="35" t="n">
        <v>3733</v>
      </c>
      <c r="C737" s="36" t="inlineStr">
        <is>
          <t>1430300100</t>
        </is>
      </c>
      <c r="D737" s="36" t="inlineStr">
        <is>
          <t>Cordillera Administrative Region (CAR)</t>
        </is>
      </c>
      <c r="E737" s="36" t="inlineStr">
        <is>
          <t>Benguet</t>
        </is>
      </c>
      <c r="F737" s="36" t="inlineStr">
        <is>
          <t>City of Baguio</t>
        </is>
      </c>
      <c r="G737" s="36" t="inlineStr">
        <is>
          <t>Santa Escolastica</t>
        </is>
      </c>
      <c r="H737" s="37" t="n">
        <v>16.40008</v>
      </c>
      <c r="I737" s="37" t="n">
        <v>120.604</v>
      </c>
      <c r="J737" s="8" t="inlineStr">
        <is>
          <t>R</t>
        </is>
      </c>
      <c r="K737" s="36" t="inlineStr">
        <is>
          <t>Class 1-3 / Urban</t>
        </is>
      </c>
      <c r="L737" s="18" t="n">
        <v>1794</v>
      </c>
      <c r="M737" s="20" t="n">
        <v>4.58</v>
      </c>
      <c r="N737" s="18">
        <f>ROUND(L737/M737, 0)</f>
        <v/>
      </c>
      <c r="O737" s="18">
        <f>ROUND(N737*'Methodology &amp; Assumptions'!$B$8, 0)</f>
        <v/>
      </c>
      <c r="P737" s="8" t="inlineStr">
        <is>
          <t>Band n50 (1.5 GHz, 60 MHz)</t>
        </is>
      </c>
      <c r="Q737" s="38">
        <f>ROUNDUP(O737/'Methodology &amp; Assumptions'!$B$9, 0)</f>
        <v/>
      </c>
      <c r="R737" s="39" t="n">
        <v>1</v>
      </c>
      <c r="S737" s="21" t="n">
        <v>0.78</v>
      </c>
      <c r="T737" s="21" t="n">
        <v>0.35</v>
      </c>
      <c r="U737" s="36" t="inlineStr">
        <is>
          <t>Tier 1A (Direct Coloc, &lt;1 km)</t>
        </is>
      </c>
      <c r="V737" s="20" t="n">
        <v>87.09999999999999</v>
      </c>
      <c r="W737" s="20" t="n">
        <v>51.5</v>
      </c>
      <c r="X737" s="20" t="n">
        <v>58</v>
      </c>
      <c r="Y737" s="40">
        <f>ROUND((V737*'Methodology &amp; Assumptions'!$B$6)+(W737*'Methodology &amp; Assumptions'!$B$5)+(X737*'Methodology &amp; Assumptions'!$B$7), 2)</f>
        <v/>
      </c>
    </row>
    <row r="738" ht="19" customHeight="1">
      <c r="A738" s="41" t="n">
        <v>734</v>
      </c>
      <c r="B738" s="41" t="n">
        <v>3734</v>
      </c>
      <c r="C738" s="42" t="inlineStr">
        <is>
          <t>0603045014</t>
        </is>
      </c>
      <c r="D738" s="42" t="inlineStr">
        <is>
          <t>Region VI (Western Visayas)</t>
        </is>
      </c>
      <c r="E738" s="42" t="inlineStr">
        <is>
          <t>Iloilo</t>
        </is>
      </c>
      <c r="F738" s="42" t="inlineStr">
        <is>
          <t>Tigbauan</t>
        </is>
      </c>
      <c r="G738" s="42" t="inlineStr">
        <is>
          <t>Barangay 7</t>
        </is>
      </c>
      <c r="H738" s="43" t="n">
        <v>10.673961</v>
      </c>
      <c r="I738" s="43" t="n">
        <v>122.384071</v>
      </c>
      <c r="J738" s="44" t="inlineStr">
        <is>
          <t>R</t>
        </is>
      </c>
      <c r="K738" s="42" t="inlineStr">
        <is>
          <t>Class 1-3 / Urban</t>
        </is>
      </c>
      <c r="L738" s="23" t="n">
        <v>1344</v>
      </c>
      <c r="M738" s="24" t="n">
        <v>4.39</v>
      </c>
      <c r="N738" s="23">
        <f>ROUND(L738/M738, 0)</f>
        <v/>
      </c>
      <c r="O738" s="23">
        <f>ROUND(N738*'Methodology &amp; Assumptions'!$B$8, 0)</f>
        <v/>
      </c>
      <c r="P738" s="44" t="inlineStr">
        <is>
          <t>Band n50 (1.5 GHz, 60 MHz)</t>
        </is>
      </c>
      <c r="Q738" s="38">
        <f>ROUNDUP(O738/'Methodology &amp; Assumptions'!$B$9, 0)</f>
        <v/>
      </c>
      <c r="R738" s="39" t="n">
        <v>1</v>
      </c>
      <c r="S738" s="25" t="n">
        <v>0.67</v>
      </c>
      <c r="T738" s="25" t="n">
        <v>0.21</v>
      </c>
      <c r="U738" s="42" t="inlineStr">
        <is>
          <t>Tier 1A (Direct Coloc, &lt;1 km)</t>
        </is>
      </c>
      <c r="V738" s="24" t="n">
        <v>90.09999999999999</v>
      </c>
      <c r="W738" s="24" t="n">
        <v>48.5</v>
      </c>
      <c r="X738" s="24" t="n">
        <v>58</v>
      </c>
      <c r="Y738" s="45">
        <f>ROUND((V738*'Methodology &amp; Assumptions'!$B$6)+(W738*'Methodology &amp; Assumptions'!$B$5)+(X738*'Methodology &amp; Assumptions'!$B$7), 2)</f>
        <v/>
      </c>
    </row>
    <row r="739" ht="19" customHeight="1">
      <c r="A739" s="35" t="n">
        <v>735</v>
      </c>
      <c r="B739" s="35" t="n">
        <v>3735</v>
      </c>
      <c r="C739" s="36" t="inlineStr">
        <is>
          <t>0501723044</t>
        </is>
      </c>
      <c r="D739" s="36" t="inlineStr">
        <is>
          <t>Region V (Bicol Region)</t>
        </is>
      </c>
      <c r="E739" s="36" t="inlineStr">
        <is>
          <t>Camarines Sur</t>
        </is>
      </c>
      <c r="F739" s="36" t="inlineStr">
        <is>
          <t>Nabua</t>
        </is>
      </c>
      <c r="G739" s="36" t="inlineStr">
        <is>
          <t>Santo Domingo</t>
        </is>
      </c>
      <c r="H739" s="37" t="n">
        <v>13.515902</v>
      </c>
      <c r="I739" s="37" t="n">
        <v>123.283883</v>
      </c>
      <c r="J739" s="8" t="inlineStr">
        <is>
          <t>U</t>
        </is>
      </c>
      <c r="K739" s="36" t="inlineStr">
        <is>
          <t>Class 1-3 / Urban</t>
        </is>
      </c>
      <c r="L739" s="18" t="n">
        <v>5925</v>
      </c>
      <c r="M739" s="20" t="n">
        <v>4.9</v>
      </c>
      <c r="N739" s="18">
        <f>ROUND(L739/M739, 0)</f>
        <v/>
      </c>
      <c r="O739" s="18">
        <f>ROUND(N739*'Methodology &amp; Assumptions'!$B$8, 0)</f>
        <v/>
      </c>
      <c r="P739" s="8" t="inlineStr">
        <is>
          <t>Band n50 (1.5 GHz, 60 MHz)</t>
        </is>
      </c>
      <c r="Q739" s="38">
        <f>ROUNDUP(O739/'Methodology &amp; Assumptions'!$B$9, 0)</f>
        <v/>
      </c>
      <c r="R739" s="39" t="n">
        <v>1</v>
      </c>
      <c r="S739" s="21" t="n">
        <v>1.83</v>
      </c>
      <c r="T739" s="21" t="n">
        <v>1.44</v>
      </c>
      <c r="U739" s="36" t="inlineStr">
        <is>
          <t>Tier 1B (Micro Drop, 1-3 km)</t>
        </is>
      </c>
      <c r="V739" s="20" t="n">
        <v>64.3</v>
      </c>
      <c r="W739" s="20" t="n">
        <v>100</v>
      </c>
      <c r="X739" s="20" t="n">
        <v>28</v>
      </c>
      <c r="Y739" s="40">
        <f>ROUND((V739*'Methodology &amp; Assumptions'!$B$6)+(W739*'Methodology &amp; Assumptions'!$B$5)+(X739*'Methodology &amp; Assumptions'!$B$7), 2)</f>
        <v/>
      </c>
    </row>
    <row r="740" ht="19" customHeight="1">
      <c r="A740" s="41" t="n">
        <v>736</v>
      </c>
      <c r="B740" s="41" t="n">
        <v>3736</v>
      </c>
      <c r="C740" s="42" t="inlineStr">
        <is>
          <t>0403408005</t>
        </is>
      </c>
      <c r="D740" s="42" t="inlineStr">
        <is>
          <t>Region IV-A (CALABARZON)</t>
        </is>
      </c>
      <c r="E740" s="42" t="inlineStr">
        <is>
          <t>Laguna</t>
        </is>
      </c>
      <c r="F740" s="42" t="inlineStr">
        <is>
          <t>Famy</t>
        </is>
      </c>
      <c r="G740" s="42" t="inlineStr">
        <is>
          <t>Banaba</t>
        </is>
      </c>
      <c r="H740" s="43" t="n">
        <v>14.440604</v>
      </c>
      <c r="I740" s="43" t="n">
        <v>121.449739</v>
      </c>
      <c r="J740" s="44" t="inlineStr">
        <is>
          <t>R</t>
        </is>
      </c>
      <c r="K740" s="42" t="inlineStr">
        <is>
          <t>4th</t>
        </is>
      </c>
      <c r="L740" s="23" t="n">
        <v>646</v>
      </c>
      <c r="M740" s="24" t="n">
        <v>4.03</v>
      </c>
      <c r="N740" s="23">
        <f>ROUND(L740/M740, 0)</f>
        <v/>
      </c>
      <c r="O740" s="23">
        <f>ROUND(N740*'Methodology &amp; Assumptions'!$B$8, 0)</f>
        <v/>
      </c>
      <c r="P740" s="44" t="inlineStr">
        <is>
          <t>Band n50 (1.5 GHz, 60 MHz)</t>
        </is>
      </c>
      <c r="Q740" s="38">
        <f>ROUNDUP(O740/'Methodology &amp; Assumptions'!$B$9, 0)</f>
        <v/>
      </c>
      <c r="R740" s="39" t="n">
        <v>1</v>
      </c>
      <c r="S740" s="25" t="n">
        <v>0.57</v>
      </c>
      <c r="T740" s="25" t="n">
        <v>0.54</v>
      </c>
      <c r="U740" s="42" t="inlineStr">
        <is>
          <t>Tier 1A (Direct Coloc, &lt;1 km)</t>
        </is>
      </c>
      <c r="V740" s="24" t="n">
        <v>92.8</v>
      </c>
      <c r="W740" s="24" t="n">
        <v>36.8</v>
      </c>
      <c r="X740" s="24" t="n">
        <v>68.5</v>
      </c>
      <c r="Y740" s="45">
        <f>ROUND((V740*'Methodology &amp; Assumptions'!$B$6)+(W740*'Methodology &amp; Assumptions'!$B$5)+(X740*'Methodology &amp; Assumptions'!$B$7), 2)</f>
        <v/>
      </c>
    </row>
    <row r="741" ht="19" customHeight="1">
      <c r="A741" s="35" t="n">
        <v>737</v>
      </c>
      <c r="B741" s="35" t="n">
        <v>3737</v>
      </c>
      <c r="C741" s="36" t="inlineStr">
        <is>
          <t>0402115018</t>
        </is>
      </c>
      <c r="D741" s="36" t="inlineStr">
        <is>
          <t>Region IV-A (CALABARZON)</t>
        </is>
      </c>
      <c r="E741" s="36" t="inlineStr">
        <is>
          <t>Cavite</t>
        </is>
      </c>
      <c r="F741" s="36" t="inlineStr">
        <is>
          <t>Naic</t>
        </is>
      </c>
      <c r="G741" s="36" t="inlineStr">
        <is>
          <t>Mabolo</t>
        </is>
      </c>
      <c r="H741" s="37" t="n">
        <v>14.315311</v>
      </c>
      <c r="I741" s="37" t="n">
        <v>120.745931</v>
      </c>
      <c r="J741" s="8" t="inlineStr">
        <is>
          <t>R</t>
        </is>
      </c>
      <c r="K741" s="36" t="inlineStr">
        <is>
          <t>Class 1-3 / Urban</t>
        </is>
      </c>
      <c r="L741" s="18" t="n">
        <v>4447</v>
      </c>
      <c r="M741" s="20" t="n">
        <v>4.49</v>
      </c>
      <c r="N741" s="18">
        <f>ROUND(L741/M741, 0)</f>
        <v/>
      </c>
      <c r="O741" s="18">
        <f>ROUND(N741*'Methodology &amp; Assumptions'!$B$8, 0)</f>
        <v/>
      </c>
      <c r="P741" s="8" t="inlineStr">
        <is>
          <t>Band n50 (1.5 GHz, 60 MHz)</t>
        </is>
      </c>
      <c r="Q741" s="38">
        <f>ROUNDUP(O741/'Methodology &amp; Assumptions'!$B$9, 0)</f>
        <v/>
      </c>
      <c r="R741" s="39" t="n">
        <v>1</v>
      </c>
      <c r="S741" s="21" t="n">
        <v>2.86</v>
      </c>
      <c r="T741" s="21" t="n">
        <v>2.33</v>
      </c>
      <c r="U741" s="36" t="inlineStr">
        <is>
          <t>Tier 1B (Micro Drop, 1-3 km)</t>
        </is>
      </c>
      <c r="V741" s="20" t="n">
        <v>38.6</v>
      </c>
      <c r="W741" s="20" t="n">
        <v>100</v>
      </c>
      <c r="X741" s="20" t="n">
        <v>58</v>
      </c>
      <c r="Y741" s="40">
        <f>ROUND((V741*'Methodology &amp; Assumptions'!$B$6)+(W741*'Methodology &amp; Assumptions'!$B$5)+(X741*'Methodology &amp; Assumptions'!$B$7), 2)</f>
        <v/>
      </c>
    </row>
    <row r="742" ht="19" customHeight="1">
      <c r="A742" s="41" t="n">
        <v>738</v>
      </c>
      <c r="B742" s="41" t="n">
        <v>3738</v>
      </c>
      <c r="C742" s="42" t="inlineStr">
        <is>
          <t>0305408001</t>
        </is>
      </c>
      <c r="D742" s="42" t="inlineStr">
        <is>
          <t>Region III (Central Luzon)</t>
        </is>
      </c>
      <c r="E742" s="42" t="inlineStr">
        <is>
          <t>Pampanga</t>
        </is>
      </c>
      <c r="F742" s="42" t="inlineStr">
        <is>
          <t>Lubao</t>
        </is>
      </c>
      <c r="G742" s="42" t="inlineStr">
        <is>
          <t>Balantacan</t>
        </is>
      </c>
      <c r="H742" s="43" t="n">
        <v>14.89883</v>
      </c>
      <c r="I742" s="43" t="n">
        <v>120.559061</v>
      </c>
      <c r="J742" s="44" t="inlineStr">
        <is>
          <t>R</t>
        </is>
      </c>
      <c r="K742" s="42" t="inlineStr">
        <is>
          <t>Class 1-3 / Urban</t>
        </is>
      </c>
      <c r="L742" s="23" t="n">
        <v>2492</v>
      </c>
      <c r="M742" s="24" t="n">
        <v>4.63</v>
      </c>
      <c r="N742" s="23">
        <f>ROUND(L742/M742, 0)</f>
        <v/>
      </c>
      <c r="O742" s="23">
        <f>ROUND(N742*'Methodology &amp; Assumptions'!$B$8, 0)</f>
        <v/>
      </c>
      <c r="P742" s="44" t="inlineStr">
        <is>
          <t>Band n50 (1.5 GHz, 60 MHz)</t>
        </is>
      </c>
      <c r="Q742" s="38">
        <f>ROUNDUP(O742/'Methodology &amp; Assumptions'!$B$9, 0)</f>
        <v/>
      </c>
      <c r="R742" s="39" t="n">
        <v>1</v>
      </c>
      <c r="S742" s="25" t="n">
        <v>1.45</v>
      </c>
      <c r="T742" s="25" t="n">
        <v>0.89</v>
      </c>
      <c r="U742" s="42" t="inlineStr">
        <is>
          <t>Tier 1B (Micro Drop, 1-3 km)</t>
        </is>
      </c>
      <c r="V742" s="24" t="n">
        <v>71.59999999999999</v>
      </c>
      <c r="W742" s="24" t="n">
        <v>66.90000000000001</v>
      </c>
      <c r="X742" s="24" t="n">
        <v>58</v>
      </c>
      <c r="Y742" s="45">
        <f>ROUND((V742*'Methodology &amp; Assumptions'!$B$6)+(W742*'Methodology &amp; Assumptions'!$B$5)+(X742*'Methodology &amp; Assumptions'!$B$7), 2)</f>
        <v/>
      </c>
    </row>
    <row r="743" ht="19" customHeight="1">
      <c r="A743" s="35" t="n">
        <v>739</v>
      </c>
      <c r="B743" s="35" t="n">
        <v>3739</v>
      </c>
      <c r="C743" s="36" t="inlineStr">
        <is>
          <t>0102820016</t>
        </is>
      </c>
      <c r="D743" s="36" t="inlineStr">
        <is>
          <t>Region I (Ilocos Region)</t>
        </is>
      </c>
      <c r="E743" s="36" t="inlineStr">
        <is>
          <t>Ilocos Norte</t>
        </is>
      </c>
      <c r="F743" s="36" t="inlineStr">
        <is>
          <t>San Nicolas</t>
        </is>
      </c>
      <c r="G743" s="36" t="inlineStr">
        <is>
          <t>San Miguel</t>
        </is>
      </c>
      <c r="H743" s="37" t="n">
        <v>18.168722</v>
      </c>
      <c r="I743" s="37" t="n">
        <v>120.60201</v>
      </c>
      <c r="J743" s="8" t="inlineStr">
        <is>
          <t>R</t>
        </is>
      </c>
      <c r="K743" s="36" t="inlineStr">
        <is>
          <t>Class 1-3 / Urban</t>
        </is>
      </c>
      <c r="L743" s="18" t="n">
        <v>1699</v>
      </c>
      <c r="M743" s="20" t="n">
        <v>4.35</v>
      </c>
      <c r="N743" s="18">
        <f>ROUND(L743/M743, 0)</f>
        <v/>
      </c>
      <c r="O743" s="18">
        <f>ROUND(N743*'Methodology &amp; Assumptions'!$B$8, 0)</f>
        <v/>
      </c>
      <c r="P743" s="8" t="inlineStr">
        <is>
          <t>Band n50 (1.5 GHz, 60 MHz)</t>
        </is>
      </c>
      <c r="Q743" s="38">
        <f>ROUNDUP(O743/'Methodology &amp; Assumptions'!$B$9, 0)</f>
        <v/>
      </c>
      <c r="R743" s="39" t="n">
        <v>1</v>
      </c>
      <c r="S743" s="21" t="n">
        <v>0.93</v>
      </c>
      <c r="T743" s="21" t="n">
        <v>0.96</v>
      </c>
      <c r="U743" s="36" t="inlineStr">
        <is>
          <t>Tier 1A (Direct Coloc, &lt;1 km)</t>
        </is>
      </c>
      <c r="V743" s="20" t="n">
        <v>83.40000000000001</v>
      </c>
      <c r="W743" s="20" t="n">
        <v>55.2</v>
      </c>
      <c r="X743" s="20" t="n">
        <v>58</v>
      </c>
      <c r="Y743" s="40">
        <f>ROUND((V743*'Methodology &amp; Assumptions'!$B$6)+(W743*'Methodology &amp; Assumptions'!$B$5)+(X743*'Methodology &amp; Assumptions'!$B$7), 2)</f>
        <v/>
      </c>
    </row>
    <row r="744" ht="19" customHeight="1">
      <c r="A744" s="41" t="n">
        <v>740</v>
      </c>
      <c r="B744" s="41" t="n">
        <v>3740</v>
      </c>
      <c r="C744" s="42" t="inlineStr">
        <is>
          <t>0403413002</t>
        </is>
      </c>
      <c r="D744" s="42" t="inlineStr">
        <is>
          <t>Region IV-A (CALABARZON)</t>
        </is>
      </c>
      <c r="E744" s="42" t="inlineStr">
        <is>
          <t>Laguna</t>
        </is>
      </c>
      <c r="F744" s="42" t="inlineStr">
        <is>
          <t>Lumban</t>
        </is>
      </c>
      <c r="G744" s="42" t="inlineStr">
        <is>
          <t>Balimbingan</t>
        </is>
      </c>
      <c r="H744" s="43" t="n">
        <v>14.299724</v>
      </c>
      <c r="I744" s="43" t="n">
        <v>121.459089</v>
      </c>
      <c r="J744" s="44" t="inlineStr">
        <is>
          <t>R</t>
        </is>
      </c>
      <c r="K744" s="42" t="inlineStr">
        <is>
          <t>Class 1-3 / Urban</t>
        </is>
      </c>
      <c r="L744" s="23" t="n">
        <v>1052</v>
      </c>
      <c r="M744" s="24" t="n">
        <v>4.2</v>
      </c>
      <c r="N744" s="23">
        <f>ROUND(L744/M744, 0)</f>
        <v/>
      </c>
      <c r="O744" s="23">
        <f>ROUND(N744*'Methodology &amp; Assumptions'!$B$8, 0)</f>
        <v/>
      </c>
      <c r="P744" s="44" t="inlineStr">
        <is>
          <t>Band n50 (1.5 GHz, 60 MHz)</t>
        </is>
      </c>
      <c r="Q744" s="38">
        <f>ROUNDUP(O744/'Methodology &amp; Assumptions'!$B$9, 0)</f>
        <v/>
      </c>
      <c r="R744" s="39" t="n">
        <v>1</v>
      </c>
      <c r="S744" s="25" t="n">
        <v>0.5</v>
      </c>
      <c r="T744" s="25" t="n">
        <v>0.54</v>
      </c>
      <c r="U744" s="42" t="inlineStr">
        <is>
          <t>Tier 1A (Direct Coloc, &lt;1 km)</t>
        </is>
      </c>
      <c r="V744" s="24" t="n">
        <v>94.59999999999999</v>
      </c>
      <c r="W744" s="24" t="n">
        <v>44</v>
      </c>
      <c r="X744" s="24" t="n">
        <v>58</v>
      </c>
      <c r="Y744" s="45">
        <f>ROUND((V744*'Methodology &amp; Assumptions'!$B$6)+(W744*'Methodology &amp; Assumptions'!$B$5)+(X744*'Methodology &amp; Assumptions'!$B$7), 2)</f>
        <v/>
      </c>
    </row>
    <row r="745" ht="19" customHeight="1">
      <c r="A745" s="35" t="n">
        <v>741</v>
      </c>
      <c r="B745" s="35" t="n">
        <v>3741</v>
      </c>
      <c r="C745" s="36" t="inlineStr">
        <is>
          <t>0103313014</t>
        </is>
      </c>
      <c r="D745" s="36" t="inlineStr">
        <is>
          <t>Region I (Ilocos Region)</t>
        </is>
      </c>
      <c r="E745" s="36" t="inlineStr">
        <is>
          <t>La Union</t>
        </is>
      </c>
      <c r="F745" s="36" t="inlineStr">
        <is>
          <t>Rosario</t>
        </is>
      </c>
      <c r="G745" s="36" t="inlineStr">
        <is>
          <t>Concepcion</t>
        </is>
      </c>
      <c r="H745" s="37" t="n">
        <v>16.22248</v>
      </c>
      <c r="I745" s="37" t="n">
        <v>120.47014</v>
      </c>
      <c r="J745" s="8" t="inlineStr">
        <is>
          <t>U</t>
        </is>
      </c>
      <c r="K745" s="36" t="inlineStr">
        <is>
          <t>Class 1-3 / Urban</t>
        </is>
      </c>
      <c r="L745" s="18" t="n">
        <v>3832</v>
      </c>
      <c r="M745" s="20" t="n">
        <v>4.42</v>
      </c>
      <c r="N745" s="18">
        <f>ROUND(L745/M745, 0)</f>
        <v/>
      </c>
      <c r="O745" s="18">
        <f>ROUND(N745*'Methodology &amp; Assumptions'!$B$8, 0)</f>
        <v/>
      </c>
      <c r="P745" s="8" t="inlineStr">
        <is>
          <t>Band n50 (1.5 GHz, 60 MHz)</t>
        </is>
      </c>
      <c r="Q745" s="38">
        <f>ROUNDUP(O745/'Methodology &amp; Assumptions'!$B$9, 0)</f>
        <v/>
      </c>
      <c r="R745" s="39" t="n">
        <v>1</v>
      </c>
      <c r="S745" s="21" t="n">
        <v>1.49</v>
      </c>
      <c r="T745" s="21" t="n">
        <v>0.41</v>
      </c>
      <c r="U745" s="36" t="inlineStr">
        <is>
          <t>Tier 1B (Micro Drop, 1-3 km)</t>
        </is>
      </c>
      <c r="V745" s="20" t="n">
        <v>70.90000000000001</v>
      </c>
      <c r="W745" s="20" t="n">
        <v>93.3</v>
      </c>
      <c r="X745" s="20" t="n">
        <v>28</v>
      </c>
      <c r="Y745" s="40">
        <f>ROUND((V745*'Methodology &amp; Assumptions'!$B$6)+(W745*'Methodology &amp; Assumptions'!$B$5)+(X745*'Methodology &amp; Assumptions'!$B$7), 2)</f>
        <v/>
      </c>
    </row>
    <row r="746" ht="19" customHeight="1">
      <c r="A746" s="41" t="n">
        <v>742</v>
      </c>
      <c r="B746" s="41" t="n">
        <v>3742</v>
      </c>
      <c r="C746" s="42" t="inlineStr">
        <is>
          <t>0831600116</t>
        </is>
      </c>
      <c r="D746" s="42" t="inlineStr">
        <is>
          <t>Region VIII (Eastern Visayas)</t>
        </is>
      </c>
      <c r="E746" s="42" t="inlineStr">
        <is>
          <t>Leyte</t>
        </is>
      </c>
      <c r="F746" s="42" t="inlineStr">
        <is>
          <t>City of Tacloban</t>
        </is>
      </c>
      <c r="G746" s="42" t="inlineStr">
        <is>
          <t>Barangay 83-A</t>
        </is>
      </c>
      <c r="H746" s="43" t="n">
        <v>11.209948</v>
      </c>
      <c r="I746" s="43" t="n">
        <v>125.015395</v>
      </c>
      <c r="J746" s="44" t="inlineStr">
        <is>
          <t>R</t>
        </is>
      </c>
      <c r="K746" s="42" t="inlineStr">
        <is>
          <t>Class 1-3 / Urban</t>
        </is>
      </c>
      <c r="L746" s="23" t="n">
        <v>1359</v>
      </c>
      <c r="M746" s="24" t="n">
        <v>4.24</v>
      </c>
      <c r="N746" s="23">
        <f>ROUND(L746/M746, 0)</f>
        <v/>
      </c>
      <c r="O746" s="23">
        <f>ROUND(N746*'Methodology &amp; Assumptions'!$B$8, 0)</f>
        <v/>
      </c>
      <c r="P746" s="44" t="inlineStr">
        <is>
          <t>Band n50 (1.5 GHz, 60 MHz)</t>
        </is>
      </c>
      <c r="Q746" s="38">
        <f>ROUNDUP(O746/'Methodology &amp; Assumptions'!$B$9, 0)</f>
        <v/>
      </c>
      <c r="R746" s="39" t="n">
        <v>1</v>
      </c>
      <c r="S746" s="25" t="n">
        <v>0.71</v>
      </c>
      <c r="T746" s="25" t="n">
        <v>0.08</v>
      </c>
      <c r="U746" s="42" t="inlineStr">
        <is>
          <t>Tier 1A (Direct Coloc, &lt;1 km)</t>
        </is>
      </c>
      <c r="V746" s="24" t="n">
        <v>88.90000000000001</v>
      </c>
      <c r="W746" s="24" t="n">
        <v>49.6</v>
      </c>
      <c r="X746" s="24" t="n">
        <v>58</v>
      </c>
      <c r="Y746" s="45">
        <f>ROUND((V746*'Methodology &amp; Assumptions'!$B$6)+(W746*'Methodology &amp; Assumptions'!$B$5)+(X746*'Methodology &amp; Assumptions'!$B$7), 2)</f>
        <v/>
      </c>
    </row>
    <row r="747" ht="19" customHeight="1">
      <c r="A747" s="35" t="n">
        <v>743</v>
      </c>
      <c r="B747" s="35" t="n">
        <v>3743</v>
      </c>
      <c r="C747" s="36" t="inlineStr">
        <is>
          <t>0102812057</t>
        </is>
      </c>
      <c r="D747" s="36" t="inlineStr">
        <is>
          <t>Region I (Ilocos Region)</t>
        </is>
      </c>
      <c r="E747" s="36" t="inlineStr">
        <is>
          <t>Ilocos Norte</t>
        </is>
      </c>
      <c r="F747" s="36" t="inlineStr">
        <is>
          <t>City of Laoag</t>
        </is>
      </c>
      <c r="G747" s="36" t="inlineStr">
        <is>
          <t>Bgy. No. 4, San Guillermo</t>
        </is>
      </c>
      <c r="H747" s="37" t="n">
        <v>18.205494</v>
      </c>
      <c r="I747" s="37" t="n">
        <v>120.590862</v>
      </c>
      <c r="J747" s="8" t="inlineStr">
        <is>
          <t>R</t>
        </is>
      </c>
      <c r="K747" s="36" t="inlineStr">
        <is>
          <t>Class 1-3 / Urban</t>
        </is>
      </c>
      <c r="L747" s="18" t="n">
        <v>1190</v>
      </c>
      <c r="M747" s="20" t="n">
        <v>4.35</v>
      </c>
      <c r="N747" s="18">
        <f>ROUND(L747/M747, 0)</f>
        <v/>
      </c>
      <c r="O747" s="18">
        <f>ROUND(N747*'Methodology &amp; Assumptions'!$B$8, 0)</f>
        <v/>
      </c>
      <c r="P747" s="8" t="inlineStr">
        <is>
          <t>Band n50 (1.5 GHz, 60 MHz)</t>
        </is>
      </c>
      <c r="Q747" s="38">
        <f>ROUNDUP(O747/'Methodology &amp; Assumptions'!$B$9, 0)</f>
        <v/>
      </c>
      <c r="R747" s="39" t="n">
        <v>1</v>
      </c>
      <c r="S747" s="21" t="n">
        <v>0.57</v>
      </c>
      <c r="T747" s="21" t="n">
        <v>0.27</v>
      </c>
      <c r="U747" s="36" t="inlineStr">
        <is>
          <t>Tier 1A (Direct Coloc, &lt;1 km)</t>
        </is>
      </c>
      <c r="V747" s="20" t="n">
        <v>92.7</v>
      </c>
      <c r="W747" s="20" t="n">
        <v>45.9</v>
      </c>
      <c r="X747" s="20" t="n">
        <v>58</v>
      </c>
      <c r="Y747" s="40">
        <f>ROUND((V747*'Methodology &amp; Assumptions'!$B$6)+(W747*'Methodology &amp; Assumptions'!$B$5)+(X747*'Methodology &amp; Assumptions'!$B$7), 2)</f>
        <v/>
      </c>
    </row>
    <row r="748" ht="19" customHeight="1">
      <c r="A748" s="41" t="n">
        <v>744</v>
      </c>
      <c r="B748" s="41" t="n">
        <v>3744</v>
      </c>
      <c r="C748" s="42" t="inlineStr">
        <is>
          <t>0730600032</t>
        </is>
      </c>
      <c r="D748" s="42" t="inlineStr">
        <is>
          <t>Region VII (Central Visayas)</t>
        </is>
      </c>
      <c r="E748" s="42" t="inlineStr">
        <is>
          <t>Cebu</t>
        </is>
      </c>
      <c r="F748" s="42" t="inlineStr">
        <is>
          <t>City of Cebu</t>
        </is>
      </c>
      <c r="G748" s="42" t="inlineStr">
        <is>
          <t>Inayawan</t>
        </is>
      </c>
      <c r="H748" s="43" t="n">
        <v>10.269495</v>
      </c>
      <c r="I748" s="43" t="n">
        <v>123.855911</v>
      </c>
      <c r="J748" s="44" t="inlineStr">
        <is>
          <t>U</t>
        </is>
      </c>
      <c r="K748" s="42" t="inlineStr">
        <is>
          <t>Class 1-3 / Urban</t>
        </is>
      </c>
      <c r="L748" s="23" t="n">
        <v>32675</v>
      </c>
      <c r="M748" s="24" t="n">
        <v>4.42</v>
      </c>
      <c r="N748" s="23">
        <f>ROUND(L748/M748, 0)</f>
        <v/>
      </c>
      <c r="O748" s="23">
        <f>ROUND(N748*'Methodology &amp; Assumptions'!$B$8, 0)</f>
        <v/>
      </c>
      <c r="P748" s="44" t="inlineStr">
        <is>
          <t>Band n50 (1.5 GHz, 60 MHz)</t>
        </is>
      </c>
      <c r="Q748" s="38">
        <f>ROUNDUP(O748/'Methodology &amp; Assumptions'!$B$9, 0)</f>
        <v/>
      </c>
      <c r="R748" s="39" t="n">
        <v>1</v>
      </c>
      <c r="S748" s="25" t="n">
        <v>1.79</v>
      </c>
      <c r="T748" s="25" t="n">
        <v>0.11</v>
      </c>
      <c r="U748" s="42" t="inlineStr">
        <is>
          <t>Tier 1B (Micro Drop, 1-3 km)</t>
        </is>
      </c>
      <c r="V748" s="24" t="n">
        <v>65</v>
      </c>
      <c r="W748" s="24" t="n">
        <v>99.2</v>
      </c>
      <c r="X748" s="24" t="n">
        <v>28</v>
      </c>
      <c r="Y748" s="45">
        <f>ROUND((V748*'Methodology &amp; Assumptions'!$B$6)+(W748*'Methodology &amp; Assumptions'!$B$5)+(X748*'Methodology &amp; Assumptions'!$B$7), 2)</f>
        <v/>
      </c>
    </row>
    <row r="749" ht="19" customHeight="1">
      <c r="A749" s="35" t="n">
        <v>745</v>
      </c>
      <c r="B749" s="35" t="n">
        <v>3745</v>
      </c>
      <c r="C749" s="36" t="inlineStr">
        <is>
          <t>0301403001</t>
        </is>
      </c>
      <c r="D749" s="36" t="inlineStr">
        <is>
          <t>Region III (Central Luzon)</t>
        </is>
      </c>
      <c r="E749" s="36" t="inlineStr">
        <is>
          <t>Bulacan</t>
        </is>
      </c>
      <c r="F749" s="36" t="inlineStr">
        <is>
          <t>Baliuag</t>
        </is>
      </c>
      <c r="G749" s="36" t="inlineStr">
        <is>
          <t>Bagong Nayon</t>
        </is>
      </c>
      <c r="H749" s="37" t="n">
        <v>14.961443</v>
      </c>
      <c r="I749" s="37" t="n">
        <v>120.897875</v>
      </c>
      <c r="J749" s="8" t="inlineStr">
        <is>
          <t>U</t>
        </is>
      </c>
      <c r="K749" s="36" t="inlineStr">
        <is>
          <t>Class 1-3 / Urban</t>
        </is>
      </c>
      <c r="L749" s="18" t="n">
        <v>4249</v>
      </c>
      <c r="M749" s="20" t="n">
        <v>4.1</v>
      </c>
      <c r="N749" s="18">
        <f>ROUND(L749/M749, 0)</f>
        <v/>
      </c>
      <c r="O749" s="18">
        <f>ROUND(N749*'Methodology &amp; Assumptions'!$B$8, 0)</f>
        <v/>
      </c>
      <c r="P749" s="8" t="inlineStr">
        <is>
          <t>Band n50 (1.5 GHz, 60 MHz)</t>
        </is>
      </c>
      <c r="Q749" s="38">
        <f>ROUNDUP(O749/'Methodology &amp; Assumptions'!$B$9, 0)</f>
        <v/>
      </c>
      <c r="R749" s="39" t="n">
        <v>1</v>
      </c>
      <c r="S749" s="21" t="n">
        <v>1.83</v>
      </c>
      <c r="T749" s="21" t="n">
        <v>0.22</v>
      </c>
      <c r="U749" s="36" t="inlineStr">
        <is>
          <t>Tier 1B (Micro Drop, 1-3 km)</t>
        </is>
      </c>
      <c r="V749" s="20" t="n">
        <v>64.2</v>
      </c>
      <c r="W749" s="20" t="n">
        <v>100</v>
      </c>
      <c r="X749" s="20" t="n">
        <v>28</v>
      </c>
      <c r="Y749" s="40">
        <f>ROUND((V749*'Methodology &amp; Assumptions'!$B$6)+(W749*'Methodology &amp; Assumptions'!$B$5)+(X749*'Methodology &amp; Assumptions'!$B$7), 2)</f>
        <v/>
      </c>
    </row>
    <row r="750" ht="19" customHeight="1">
      <c r="A750" s="41" t="n">
        <v>746</v>
      </c>
      <c r="B750" s="41" t="n">
        <v>3746</v>
      </c>
      <c r="C750" s="42" t="inlineStr">
        <is>
          <t>1705312003</t>
        </is>
      </c>
      <c r="D750" s="42" t="inlineStr">
        <is>
          <t>MIMAROPA Region</t>
        </is>
      </c>
      <c r="E750" s="42" t="inlineStr">
        <is>
          <t>Palawan</t>
        </is>
      </c>
      <c r="F750" s="42" t="inlineStr">
        <is>
          <t>El Nido</t>
        </is>
      </c>
      <c r="G750" s="42" t="inlineStr">
        <is>
          <t>Barotuan</t>
        </is>
      </c>
      <c r="H750" s="43" t="n">
        <v>11.305887</v>
      </c>
      <c r="I750" s="43" t="n">
        <v>119.450152</v>
      </c>
      <c r="J750" s="44" t="inlineStr">
        <is>
          <t>U</t>
        </is>
      </c>
      <c r="K750" s="42" t="inlineStr">
        <is>
          <t>Class 1-3 / Urban</t>
        </is>
      </c>
      <c r="L750" s="23" t="n">
        <v>2449</v>
      </c>
      <c r="M750" s="24" t="n">
        <v>4.35</v>
      </c>
      <c r="N750" s="23">
        <f>ROUND(L750/M750, 0)</f>
        <v/>
      </c>
      <c r="O750" s="23">
        <f>ROUND(N750*'Methodology &amp; Assumptions'!$B$8, 0)</f>
        <v/>
      </c>
      <c r="P750" s="44" t="inlineStr">
        <is>
          <t>Band n50 (1.5 GHz, 60 MHz)</t>
        </is>
      </c>
      <c r="Q750" s="38">
        <f>ROUNDUP(O750/'Methodology &amp; Assumptions'!$B$9, 0)</f>
        <v/>
      </c>
      <c r="R750" s="39" t="n">
        <v>1</v>
      </c>
      <c r="S750" s="25" t="n">
        <v>0.02</v>
      </c>
      <c r="T750" s="25" t="n">
        <v>54.09</v>
      </c>
      <c r="U750" s="42" t="inlineStr">
        <is>
          <t>Tier 1A (Direct Coloc, &lt;1 km)</t>
        </is>
      </c>
      <c r="V750" s="24" t="n">
        <v>99.2</v>
      </c>
      <c r="W750" s="24" t="n">
        <v>65.09999999999999</v>
      </c>
      <c r="X750" s="24" t="n">
        <v>28</v>
      </c>
      <c r="Y750" s="45">
        <f>ROUND((V750*'Methodology &amp; Assumptions'!$B$6)+(W750*'Methodology &amp; Assumptions'!$B$5)+(X750*'Methodology &amp; Assumptions'!$B$7), 2)</f>
        <v/>
      </c>
    </row>
    <row r="751" ht="19" customHeight="1">
      <c r="A751" s="35" t="n">
        <v>747</v>
      </c>
      <c r="B751" s="35" t="n">
        <v>3747</v>
      </c>
      <c r="C751" s="36" t="inlineStr">
        <is>
          <t>0201504014</t>
        </is>
      </c>
      <c r="D751" s="36" t="inlineStr">
        <is>
          <t>Region II (Cagayan Valley)</t>
        </is>
      </c>
      <c r="E751" s="36" t="inlineStr">
        <is>
          <t>Cagayan</t>
        </is>
      </c>
      <c r="F751" s="36" t="inlineStr">
        <is>
          <t>Amulung</t>
        </is>
      </c>
      <c r="G751" s="36" t="inlineStr">
        <is>
          <t>Calamagui</t>
        </is>
      </c>
      <c r="H751" s="37" t="n">
        <v>17.8455</v>
      </c>
      <c r="I751" s="37" t="n">
        <v>121.7224</v>
      </c>
      <c r="J751" s="8" t="inlineStr">
        <is>
          <t>R</t>
        </is>
      </c>
      <c r="K751" s="36" t="inlineStr">
        <is>
          <t>Class 1-3 / Urban</t>
        </is>
      </c>
      <c r="L751" s="18" t="n">
        <v>1782</v>
      </c>
      <c r="M751" s="20" t="n">
        <v>4.38</v>
      </c>
      <c r="N751" s="18">
        <f>ROUND(L751/M751, 0)</f>
        <v/>
      </c>
      <c r="O751" s="18">
        <f>ROUND(N751*'Methodology &amp; Assumptions'!$B$8, 0)</f>
        <v/>
      </c>
      <c r="P751" s="8" t="inlineStr">
        <is>
          <t>Band n50 (1.5 GHz, 60 MHz)</t>
        </is>
      </c>
      <c r="Q751" s="38">
        <f>ROUNDUP(O751/'Methodology &amp; Assumptions'!$B$9, 0)</f>
        <v/>
      </c>
      <c r="R751" s="39" t="n">
        <v>1</v>
      </c>
      <c r="S751" s="21" t="n">
        <v>0.99</v>
      </c>
      <c r="T751" s="21" t="n">
        <v>0.27</v>
      </c>
      <c r="U751" s="36" t="inlineStr">
        <is>
          <t>Tier 1A (Direct Coloc, &lt;1 km)</t>
        </is>
      </c>
      <c r="V751" s="20" t="n">
        <v>82</v>
      </c>
      <c r="W751" s="20" t="n">
        <v>56.5</v>
      </c>
      <c r="X751" s="20" t="n">
        <v>58</v>
      </c>
      <c r="Y751" s="40">
        <f>ROUND((V751*'Methodology &amp; Assumptions'!$B$6)+(W751*'Methodology &amp; Assumptions'!$B$5)+(X751*'Methodology &amp; Assumptions'!$B$7), 2)</f>
        <v/>
      </c>
    </row>
    <row r="752" ht="19" customHeight="1">
      <c r="A752" s="41" t="n">
        <v>748</v>
      </c>
      <c r="B752" s="41" t="n">
        <v>3748</v>
      </c>
      <c r="C752" s="42" t="inlineStr">
        <is>
          <t>0908305013</t>
        </is>
      </c>
      <c r="D752" s="42" t="inlineStr">
        <is>
          <t>Region IX (Zamboanga Peninsula)</t>
        </is>
      </c>
      <c r="E752" s="42" t="inlineStr">
        <is>
          <t>Zamboanga Sibugay</t>
        </is>
      </c>
      <c r="F752" s="42" t="inlineStr">
        <is>
          <t>Ipil</t>
        </is>
      </c>
      <c r="G752" s="42" t="inlineStr">
        <is>
          <t>Lower Ipil Heights</t>
        </is>
      </c>
      <c r="H752" s="43" t="n">
        <v>7.78569</v>
      </c>
      <c r="I752" s="43" t="n">
        <v>122.585662</v>
      </c>
      <c r="J752" s="44" t="inlineStr">
        <is>
          <t>R</t>
        </is>
      </c>
      <c r="K752" s="42" t="inlineStr">
        <is>
          <t>Class 1-3 / Urban</t>
        </is>
      </c>
      <c r="L752" s="23" t="n">
        <v>1516</v>
      </c>
      <c r="M752" s="24" t="n">
        <v>5.06</v>
      </c>
      <c r="N752" s="23">
        <f>ROUND(L752/M752, 0)</f>
        <v/>
      </c>
      <c r="O752" s="23">
        <f>ROUND(N752*'Methodology &amp; Assumptions'!$B$8, 0)</f>
        <v/>
      </c>
      <c r="P752" s="44" t="inlineStr">
        <is>
          <t>Band n50 (1.5 GHz, 60 MHz)</t>
        </is>
      </c>
      <c r="Q752" s="38">
        <f>ROUNDUP(O752/'Methodology &amp; Assumptions'!$B$9, 0)</f>
        <v/>
      </c>
      <c r="R752" s="39" t="n">
        <v>1</v>
      </c>
      <c r="S752" s="25" t="n">
        <v>0.65</v>
      </c>
      <c r="T752" s="25" t="n">
        <v>0.41</v>
      </c>
      <c r="U752" s="42" t="inlineStr">
        <is>
          <t>Tier 1A (Direct Coloc, &lt;1 km)</t>
        </is>
      </c>
      <c r="V752" s="24" t="n">
        <v>90.5</v>
      </c>
      <c r="W752" s="24" t="n">
        <v>48</v>
      </c>
      <c r="X752" s="24" t="n">
        <v>58</v>
      </c>
      <c r="Y752" s="45">
        <f>ROUND((V752*'Methodology &amp; Assumptions'!$B$6)+(W752*'Methodology &amp; Assumptions'!$B$5)+(X752*'Methodology &amp; Assumptions'!$B$7), 2)</f>
        <v/>
      </c>
    </row>
    <row r="753" ht="19" customHeight="1">
      <c r="A753" s="35" t="n">
        <v>749</v>
      </c>
      <c r="B753" s="35" t="n">
        <v>3749</v>
      </c>
      <c r="C753" s="36" t="inlineStr">
        <is>
          <t>0631000106</t>
        </is>
      </c>
      <c r="D753" s="36" t="inlineStr">
        <is>
          <t>Region VI (Western Visayas)</t>
        </is>
      </c>
      <c r="E753" s="36" t="inlineStr">
        <is>
          <t>Iloilo</t>
        </is>
      </c>
      <c r="F753" s="36" t="inlineStr">
        <is>
          <t>City of Iloilo</t>
        </is>
      </c>
      <c r="G753" s="36" t="inlineStr">
        <is>
          <t>Marcelo H. del Pilar</t>
        </is>
      </c>
      <c r="H753" s="37" t="n">
        <v>10.726915</v>
      </c>
      <c r="I753" s="37" t="n">
        <v>122.565275</v>
      </c>
      <c r="J753" s="8" t="inlineStr">
        <is>
          <t>U</t>
        </is>
      </c>
      <c r="K753" s="36" t="inlineStr">
        <is>
          <t>Class 1-3 / Urban</t>
        </is>
      </c>
      <c r="L753" s="18" t="n">
        <v>3796</v>
      </c>
      <c r="M753" s="20" t="n">
        <v>4.39</v>
      </c>
      <c r="N753" s="18">
        <f>ROUND(L753/M753, 0)</f>
        <v/>
      </c>
      <c r="O753" s="18">
        <f>ROUND(N753*'Methodology &amp; Assumptions'!$B$8, 0)</f>
        <v/>
      </c>
      <c r="P753" s="8" t="inlineStr">
        <is>
          <t>Band n50 (1.5 GHz, 60 MHz)</t>
        </is>
      </c>
      <c r="Q753" s="38">
        <f>ROUNDUP(O753/'Methodology &amp; Assumptions'!$B$9, 0)</f>
        <v/>
      </c>
      <c r="R753" s="39" t="n">
        <v>1</v>
      </c>
      <c r="S753" s="21" t="n">
        <v>1.49</v>
      </c>
      <c r="T753" s="21" t="n">
        <v>0.76</v>
      </c>
      <c r="U753" s="36" t="inlineStr">
        <is>
          <t>Tier 1B (Micro Drop, 1-3 km)</t>
        </is>
      </c>
      <c r="V753" s="20" t="n">
        <v>70.90000000000001</v>
      </c>
      <c r="W753" s="20" t="n">
        <v>93.3</v>
      </c>
      <c r="X753" s="20" t="n">
        <v>28</v>
      </c>
      <c r="Y753" s="40">
        <f>ROUND((V753*'Methodology &amp; Assumptions'!$B$6)+(W753*'Methodology &amp; Assumptions'!$B$5)+(X753*'Methodology &amp; Assumptions'!$B$7), 2)</f>
        <v/>
      </c>
    </row>
    <row r="754" ht="19" customHeight="1">
      <c r="A754" s="41" t="n">
        <v>750</v>
      </c>
      <c r="B754" s="41" t="n">
        <v>3750</v>
      </c>
      <c r="C754" s="42" t="inlineStr">
        <is>
          <t>0301422018</t>
        </is>
      </c>
      <c r="D754" s="42" t="inlineStr">
        <is>
          <t>Region III (Central Luzon)</t>
        </is>
      </c>
      <c r="E754" s="42" t="inlineStr">
        <is>
          <t>Bulacan</t>
        </is>
      </c>
      <c r="F754" s="42" t="inlineStr">
        <is>
          <t>San Rafael</t>
        </is>
      </c>
      <c r="G754" s="42" t="inlineStr">
        <is>
          <t>Pantubig</t>
        </is>
      </c>
      <c r="H754" s="43" t="n">
        <v>14.966136</v>
      </c>
      <c r="I754" s="43" t="n">
        <v>120.95295</v>
      </c>
      <c r="J754" s="44" t="inlineStr">
        <is>
          <t>U</t>
        </is>
      </c>
      <c r="K754" s="42" t="inlineStr">
        <is>
          <t>Class 1-3 / Urban</t>
        </is>
      </c>
      <c r="L754" s="23" t="n">
        <v>3789</v>
      </c>
      <c r="M754" s="24" t="n">
        <v>4.1</v>
      </c>
      <c r="N754" s="23">
        <f>ROUND(L754/M754, 0)</f>
        <v/>
      </c>
      <c r="O754" s="23">
        <f>ROUND(N754*'Methodology &amp; Assumptions'!$B$8, 0)</f>
        <v/>
      </c>
      <c r="P754" s="44" t="inlineStr">
        <is>
          <t>Band n50 (1.5 GHz, 60 MHz)</t>
        </is>
      </c>
      <c r="Q754" s="38">
        <f>ROUNDUP(O754/'Methodology &amp; Assumptions'!$B$9, 0)</f>
        <v/>
      </c>
      <c r="R754" s="39" t="n">
        <v>1</v>
      </c>
      <c r="S754" s="25" t="n">
        <v>1.23</v>
      </c>
      <c r="T754" s="25" t="n">
        <v>3.32</v>
      </c>
      <c r="U754" s="42" t="inlineStr">
        <is>
          <t>Tier 1B (Micro Drop, 1-3 km)</t>
        </is>
      </c>
      <c r="V754" s="24" t="n">
        <v>66.40000000000001</v>
      </c>
      <c r="W754" s="24" t="n">
        <v>97.90000000000001</v>
      </c>
      <c r="X754" s="24" t="n">
        <v>28</v>
      </c>
      <c r="Y754" s="45">
        <f>ROUND((V754*'Methodology &amp; Assumptions'!$B$6)+(W754*'Methodology &amp; Assumptions'!$B$5)+(X754*'Methodology &amp; Assumptions'!$B$7), 2)</f>
        <v/>
      </c>
    </row>
    <row r="755" ht="19" customHeight="1">
      <c r="A755" s="35" t="n">
        <v>751</v>
      </c>
      <c r="B755" s="35" t="n">
        <v>3751</v>
      </c>
      <c r="C755" s="36" t="inlineStr">
        <is>
          <t>0205005016</t>
        </is>
      </c>
      <c r="D755" s="36" t="inlineStr">
        <is>
          <t>Region II (Cagayan Valley)</t>
        </is>
      </c>
      <c r="E755" s="36" t="inlineStr">
        <is>
          <t>Nueva Vizcaya</t>
        </is>
      </c>
      <c r="F755" s="36" t="inlineStr">
        <is>
          <t>Bayombong</t>
        </is>
      </c>
      <c r="G755" s="36" t="inlineStr">
        <is>
          <t>District III Pob.</t>
        </is>
      </c>
      <c r="H755" s="37" t="n">
        <v>16.489503</v>
      </c>
      <c r="I755" s="37" t="n">
        <v>121.150634</v>
      </c>
      <c r="J755" s="8" t="inlineStr">
        <is>
          <t>U</t>
        </is>
      </c>
      <c r="K755" s="36" t="inlineStr">
        <is>
          <t>Class 1-3 / Urban</t>
        </is>
      </c>
      <c r="L755" s="18" t="n">
        <v>2290</v>
      </c>
      <c r="M755" s="20" t="n">
        <v>4.19</v>
      </c>
      <c r="N755" s="18">
        <f>ROUND(L755/M755, 0)</f>
        <v/>
      </c>
      <c r="O755" s="18">
        <f>ROUND(N755*'Methodology &amp; Assumptions'!$B$8, 0)</f>
        <v/>
      </c>
      <c r="P755" s="8" t="inlineStr">
        <is>
          <t>Band n50 (1.5 GHz, 60 MHz)</t>
        </is>
      </c>
      <c r="Q755" s="38">
        <f>ROUNDUP(O755/'Methodology &amp; Assumptions'!$B$9, 0)</f>
        <v/>
      </c>
      <c r="R755" s="39" t="n">
        <v>1</v>
      </c>
      <c r="S755" s="21" t="n">
        <v>0.44</v>
      </c>
      <c r="T755" s="21" t="n">
        <v>0.16</v>
      </c>
      <c r="U755" s="36" t="inlineStr">
        <is>
          <t>Tier 1A (Direct Coloc, &lt;1 km)</t>
        </is>
      </c>
      <c r="V755" s="20" t="n">
        <v>96.5</v>
      </c>
      <c r="W755" s="20" t="n">
        <v>67.7</v>
      </c>
      <c r="X755" s="20" t="n">
        <v>28</v>
      </c>
      <c r="Y755" s="40">
        <f>ROUND((V755*'Methodology &amp; Assumptions'!$B$6)+(W755*'Methodology &amp; Assumptions'!$B$5)+(X755*'Methodology &amp; Assumptions'!$B$7), 2)</f>
        <v/>
      </c>
    </row>
    <row r="756" ht="19" customHeight="1">
      <c r="A756" s="41" t="n">
        <v>752</v>
      </c>
      <c r="B756" s="41" t="n">
        <v>3752</v>
      </c>
      <c r="C756" s="42" t="inlineStr">
        <is>
          <t>0301416009</t>
        </is>
      </c>
      <c r="D756" s="42" t="inlineStr">
        <is>
          <t>Region III (Central Luzon)</t>
        </is>
      </c>
      <c r="E756" s="42" t="inlineStr">
        <is>
          <t>Bulacan</t>
        </is>
      </c>
      <c r="F756" s="42" t="inlineStr">
        <is>
          <t>Paombong</t>
        </is>
      </c>
      <c r="G756" s="42" t="inlineStr">
        <is>
          <t>San Isidro I</t>
        </is>
      </c>
      <c r="H756" s="43" t="n">
        <v>14.836929</v>
      </c>
      <c r="I756" s="43" t="n">
        <v>120.782975</v>
      </c>
      <c r="J756" s="44" t="inlineStr">
        <is>
          <t>R</t>
        </is>
      </c>
      <c r="K756" s="42" t="inlineStr">
        <is>
          <t>Class 1-3 / Urban</t>
        </is>
      </c>
      <c r="L756" s="23" t="n">
        <v>3427</v>
      </c>
      <c r="M756" s="24" t="n">
        <v>4.1</v>
      </c>
      <c r="N756" s="23">
        <f>ROUND(L756/M756, 0)</f>
        <v/>
      </c>
      <c r="O756" s="23">
        <f>ROUND(N756*'Methodology &amp; Assumptions'!$B$8, 0)</f>
        <v/>
      </c>
      <c r="P756" s="44" t="inlineStr">
        <is>
          <t>Band n50 (1.5 GHz, 60 MHz)</t>
        </is>
      </c>
      <c r="Q756" s="38">
        <f>ROUNDUP(O756/'Methodology &amp; Assumptions'!$B$9, 0)</f>
        <v/>
      </c>
      <c r="R756" s="39" t="n">
        <v>1</v>
      </c>
      <c r="S756" s="25" t="n">
        <v>3.17</v>
      </c>
      <c r="T756" s="25" t="n">
        <v>3.76</v>
      </c>
      <c r="U756" s="42" t="inlineStr">
        <is>
          <t>Tier 2 (Fiber Corridor / Lateral, 3-5 km)</t>
        </is>
      </c>
      <c r="V756" s="24" t="n">
        <v>34.7</v>
      </c>
      <c r="W756" s="24" t="n">
        <v>90.90000000000001</v>
      </c>
      <c r="X756" s="24" t="n">
        <v>73</v>
      </c>
      <c r="Y756" s="45">
        <f>ROUND((V756*'Methodology &amp; Assumptions'!$B$6)+(W756*'Methodology &amp; Assumptions'!$B$5)+(X756*'Methodology &amp; Assumptions'!$B$7), 2)</f>
        <v/>
      </c>
    </row>
    <row r="757" ht="19" customHeight="1">
      <c r="A757" s="35" t="n">
        <v>753</v>
      </c>
      <c r="B757" s="35" t="n">
        <v>3753</v>
      </c>
      <c r="C757" s="36" t="inlineStr">
        <is>
          <t>0504102022</t>
        </is>
      </c>
      <c r="D757" s="36" t="inlineStr">
        <is>
          <t>Region V (Bicol Region)</t>
        </is>
      </c>
      <c r="E757" s="36" t="inlineStr">
        <is>
          <t>Masbate</t>
        </is>
      </c>
      <c r="F757" s="36" t="inlineStr">
        <is>
          <t>Baleno</t>
        </is>
      </c>
      <c r="G757" s="36" t="inlineStr">
        <is>
          <t>Potoson</t>
        </is>
      </c>
      <c r="H757" s="37" t="n">
        <v>12.481419</v>
      </c>
      <c r="I757" s="37" t="n">
        <v>123.487991</v>
      </c>
      <c r="J757" s="8" t="inlineStr">
        <is>
          <t>R</t>
        </is>
      </c>
      <c r="K757" s="36" t="inlineStr">
        <is>
          <t>2nd</t>
        </is>
      </c>
      <c r="L757" s="18" t="n">
        <v>1545</v>
      </c>
      <c r="M757" s="20" t="n">
        <v>4.83</v>
      </c>
      <c r="N757" s="18">
        <f>ROUND(L757/M757, 0)</f>
        <v/>
      </c>
      <c r="O757" s="18">
        <f>ROUND(N757*'Methodology &amp; Assumptions'!$B$8, 0)</f>
        <v/>
      </c>
      <c r="P757" s="8" t="inlineStr">
        <is>
          <t>Band n50 (1.5 GHz, 60 MHz)</t>
        </is>
      </c>
      <c r="Q757" s="38">
        <f>ROUNDUP(O757/'Methodology &amp; Assumptions'!$B$9, 0)</f>
        <v/>
      </c>
      <c r="R757" s="39" t="n">
        <v>1</v>
      </c>
      <c r="S757" s="21" t="n">
        <v>1.25</v>
      </c>
      <c r="T757" s="21" t="n">
        <v>0.42</v>
      </c>
      <c r="U757" s="36" t="inlineStr">
        <is>
          <t>Tier 1B (Micro Drop, 1-3 km)</t>
        </is>
      </c>
      <c r="V757" s="20" t="n">
        <v>76</v>
      </c>
      <c r="W757" s="20" t="n">
        <v>49.6</v>
      </c>
      <c r="X757" s="20" t="n">
        <v>73</v>
      </c>
      <c r="Y757" s="40">
        <f>ROUND((V757*'Methodology &amp; Assumptions'!$B$6)+(W757*'Methodology &amp; Assumptions'!$B$5)+(X757*'Methodology &amp; Assumptions'!$B$7), 2)</f>
        <v/>
      </c>
    </row>
    <row r="758" ht="19" customHeight="1">
      <c r="A758" s="41" t="n">
        <v>754</v>
      </c>
      <c r="B758" s="41" t="n">
        <v>3754</v>
      </c>
      <c r="C758" s="42" t="inlineStr">
        <is>
          <t>0105532023</t>
        </is>
      </c>
      <c r="D758" s="42" t="inlineStr">
        <is>
          <t>Region I (Ilocos Region)</t>
        </is>
      </c>
      <c r="E758" s="42" t="inlineStr">
        <is>
          <t>Pangasinan</t>
        </is>
      </c>
      <c r="F758" s="42" t="inlineStr">
        <is>
          <t>City of San Carlos</t>
        </is>
      </c>
      <c r="G758" s="42" t="inlineStr">
        <is>
          <t>Cacaritan</t>
        </is>
      </c>
      <c r="H758" s="43" t="n">
        <v>15.942061</v>
      </c>
      <c r="I758" s="43" t="n">
        <v>120.337789</v>
      </c>
      <c r="J758" s="44" t="inlineStr">
        <is>
          <t>R</t>
        </is>
      </c>
      <c r="K758" s="42" t="inlineStr">
        <is>
          <t>Class 1-3 / Urban</t>
        </is>
      </c>
      <c r="L758" s="23" t="n">
        <v>2869</v>
      </c>
      <c r="M758" s="24" t="n">
        <v>4.39</v>
      </c>
      <c r="N758" s="23">
        <f>ROUND(L758/M758, 0)</f>
        <v/>
      </c>
      <c r="O758" s="23">
        <f>ROUND(N758*'Methodology &amp; Assumptions'!$B$8, 0)</f>
        <v/>
      </c>
      <c r="P758" s="44" t="inlineStr">
        <is>
          <t>Band n50 (1.5 GHz, 60 MHz)</t>
        </is>
      </c>
      <c r="Q758" s="38">
        <f>ROUNDUP(O758/'Methodology &amp; Assumptions'!$B$9, 0)</f>
        <v/>
      </c>
      <c r="R758" s="39" t="n">
        <v>1</v>
      </c>
      <c r="S758" s="25" t="n">
        <v>1.95</v>
      </c>
      <c r="T758" s="25" t="n">
        <v>0.76</v>
      </c>
      <c r="U758" s="42" t="inlineStr">
        <is>
          <t>Tier 1B (Micro Drop, 1-3 km)</t>
        </is>
      </c>
      <c r="V758" s="24" t="n">
        <v>62.2</v>
      </c>
      <c r="W758" s="24" t="n">
        <v>76.3</v>
      </c>
      <c r="X758" s="24" t="n">
        <v>58</v>
      </c>
      <c r="Y758" s="45">
        <f>ROUND((V758*'Methodology &amp; Assumptions'!$B$6)+(W758*'Methodology &amp; Assumptions'!$B$5)+(X758*'Methodology &amp; Assumptions'!$B$7), 2)</f>
        <v/>
      </c>
    </row>
    <row r="759" ht="19" customHeight="1">
      <c r="A759" s="35" t="n">
        <v>755</v>
      </c>
      <c r="B759" s="35" t="n">
        <v>3755</v>
      </c>
      <c r="C759" s="36" t="inlineStr">
        <is>
          <t>0103309015</t>
        </is>
      </c>
      <c r="D759" s="36" t="inlineStr">
        <is>
          <t>Region I (Ilocos Region)</t>
        </is>
      </c>
      <c r="E759" s="36" t="inlineStr">
        <is>
          <t>La Union</t>
        </is>
      </c>
      <c r="F759" s="36" t="inlineStr">
        <is>
          <t>Caba</t>
        </is>
      </c>
      <c r="G759" s="36" t="inlineStr">
        <is>
          <t>Santiago Sur</t>
        </is>
      </c>
      <c r="H759" s="37" t="n">
        <v>16.421857</v>
      </c>
      <c r="I759" s="37" t="n">
        <v>120.33755</v>
      </c>
      <c r="J759" s="8" t="inlineStr">
        <is>
          <t>R</t>
        </is>
      </c>
      <c r="K759" s="36" t="inlineStr">
        <is>
          <t>1st</t>
        </is>
      </c>
      <c r="L759" s="18" t="n">
        <v>2082</v>
      </c>
      <c r="M759" s="20" t="n">
        <v>4.2</v>
      </c>
      <c r="N759" s="18">
        <f>ROUND(L759/M759, 0)</f>
        <v/>
      </c>
      <c r="O759" s="18">
        <f>ROUND(N759*'Methodology &amp; Assumptions'!$B$8, 0)</f>
        <v/>
      </c>
      <c r="P759" s="8" t="inlineStr">
        <is>
          <t>Band n50 (1.5 GHz, 60 MHz)</t>
        </is>
      </c>
      <c r="Q759" s="38">
        <f>ROUNDUP(O759/'Methodology &amp; Assumptions'!$B$9, 0)</f>
        <v/>
      </c>
      <c r="R759" s="39" t="n">
        <v>1</v>
      </c>
      <c r="S759" s="21" t="n">
        <v>1.3</v>
      </c>
      <c r="T759" s="21" t="n">
        <v>1.3</v>
      </c>
      <c r="U759" s="36" t="inlineStr">
        <is>
          <t>Tier 1B (Micro Drop, 1-3 km)</t>
        </is>
      </c>
      <c r="V759" s="20" t="n">
        <v>74.7</v>
      </c>
      <c r="W759" s="20" t="n">
        <v>63.7</v>
      </c>
      <c r="X759" s="20" t="n">
        <v>58</v>
      </c>
      <c r="Y759" s="40">
        <f>ROUND((V759*'Methodology &amp; Assumptions'!$B$6)+(W759*'Methodology &amp; Assumptions'!$B$5)+(X759*'Methodology &amp; Assumptions'!$B$7), 2)</f>
        <v/>
      </c>
    </row>
    <row r="760" ht="19" customHeight="1">
      <c r="A760" s="41" t="n">
        <v>756</v>
      </c>
      <c r="B760" s="41" t="n">
        <v>3756</v>
      </c>
      <c r="C760" s="42" t="inlineStr">
        <is>
          <t>1001321003</t>
        </is>
      </c>
      <c r="D760" s="42" t="inlineStr">
        <is>
          <t>Region X (Northern Mindanao)</t>
        </is>
      </c>
      <c r="E760" s="42" t="inlineStr">
        <is>
          <t>Bukidnon</t>
        </is>
      </c>
      <c r="F760" s="42" t="inlineStr">
        <is>
          <t>City of Valencia</t>
        </is>
      </c>
      <c r="G760" s="42" t="inlineStr">
        <is>
          <t>Barobo</t>
        </is>
      </c>
      <c r="H760" s="43" t="n">
        <v>7.904425</v>
      </c>
      <c r="I760" s="43" t="n">
        <v>125.033499</v>
      </c>
      <c r="J760" s="44" t="inlineStr">
        <is>
          <t>R</t>
        </is>
      </c>
      <c r="K760" s="42" t="inlineStr">
        <is>
          <t>Class 1-3 / Urban</t>
        </is>
      </c>
      <c r="L760" s="23" t="n">
        <v>4117</v>
      </c>
      <c r="M760" s="24" t="n">
        <v>4.63</v>
      </c>
      <c r="N760" s="23">
        <f>ROUND(L760/M760, 0)</f>
        <v/>
      </c>
      <c r="O760" s="23">
        <f>ROUND(N760*'Methodology &amp; Assumptions'!$B$8, 0)</f>
        <v/>
      </c>
      <c r="P760" s="44" t="inlineStr">
        <is>
          <t>Band n50 (1.5 GHz, 60 MHz)</t>
        </is>
      </c>
      <c r="Q760" s="38">
        <f>ROUNDUP(O760/'Methodology &amp; Assumptions'!$B$9, 0)</f>
        <v/>
      </c>
      <c r="R760" s="39" t="n">
        <v>1</v>
      </c>
      <c r="S760" s="25" t="n">
        <v>3.3</v>
      </c>
      <c r="T760" s="25" t="n">
        <v>0.15</v>
      </c>
      <c r="U760" s="42" t="inlineStr">
        <is>
          <t>Tier 2 (Fiber Corridor / Lateral, 3-5 km)</t>
        </is>
      </c>
      <c r="V760" s="24" t="n">
        <v>43.3</v>
      </c>
      <c r="W760" s="24" t="n">
        <v>95.2</v>
      </c>
      <c r="X760" s="24" t="n">
        <v>58</v>
      </c>
      <c r="Y760" s="45">
        <f>ROUND((V760*'Methodology &amp; Assumptions'!$B$6)+(W760*'Methodology &amp; Assumptions'!$B$5)+(X760*'Methodology &amp; Assumptions'!$B$7), 2)</f>
        <v/>
      </c>
    </row>
    <row r="761" ht="19" customHeight="1">
      <c r="A761" s="35" t="n">
        <v>757</v>
      </c>
      <c r="B761" s="35" t="n">
        <v>3757</v>
      </c>
      <c r="C761" s="36" t="inlineStr">
        <is>
          <t>0604520011</t>
        </is>
      </c>
      <c r="D761" s="36" t="inlineStr">
        <is>
          <t>Region VI (Western Visayas)</t>
        </is>
      </c>
      <c r="E761" s="36" t="inlineStr">
        <is>
          <t>Negros Occidental</t>
        </is>
      </c>
      <c r="F761" s="36" t="inlineStr">
        <is>
          <t>Murcia</t>
        </is>
      </c>
      <c r="G761" s="36" t="inlineStr">
        <is>
          <t>Caliban</t>
        </is>
      </c>
      <c r="H761" s="37" t="n">
        <v>10.584876</v>
      </c>
      <c r="I761" s="37" t="n">
        <v>123.071218</v>
      </c>
      <c r="J761" s="8" t="inlineStr">
        <is>
          <t>R</t>
        </is>
      </c>
      <c r="K761" s="36" t="inlineStr">
        <is>
          <t>Class 1-3 / Urban</t>
        </is>
      </c>
      <c r="L761" s="18" t="n">
        <v>3049</v>
      </c>
      <c r="M761" s="20" t="n">
        <v>4.33</v>
      </c>
      <c r="N761" s="18">
        <f>ROUND(L761/M761, 0)</f>
        <v/>
      </c>
      <c r="O761" s="18">
        <f>ROUND(N761*'Methodology &amp; Assumptions'!$B$8, 0)</f>
        <v/>
      </c>
      <c r="P761" s="8" t="inlineStr">
        <is>
          <t>Band n50 (1.5 GHz, 60 MHz)</t>
        </is>
      </c>
      <c r="Q761" s="38">
        <f>ROUNDUP(O761/'Methodology &amp; Assumptions'!$B$9, 0)</f>
        <v/>
      </c>
      <c r="R761" s="39" t="n">
        <v>1</v>
      </c>
      <c r="S761" s="21" t="n">
        <v>2.19</v>
      </c>
      <c r="T761" s="21" t="n">
        <v>0.07000000000000001</v>
      </c>
      <c r="U761" s="36" t="inlineStr">
        <is>
          <t>Tier 1B (Micro Drop, 1-3 km)</t>
        </is>
      </c>
      <c r="V761" s="20" t="n">
        <v>58.2</v>
      </c>
      <c r="W761" s="20" t="n">
        <v>80.3</v>
      </c>
      <c r="X761" s="20" t="n">
        <v>58</v>
      </c>
      <c r="Y761" s="40">
        <f>ROUND((V761*'Methodology &amp; Assumptions'!$B$6)+(W761*'Methodology &amp; Assumptions'!$B$5)+(X761*'Methodology &amp; Assumptions'!$B$7), 2)</f>
        <v/>
      </c>
    </row>
    <row r="762" ht="19" customHeight="1">
      <c r="A762" s="41" t="n">
        <v>758</v>
      </c>
      <c r="B762" s="41" t="n">
        <v>3758</v>
      </c>
      <c r="C762" s="42" t="inlineStr">
        <is>
          <t>0831600138</t>
        </is>
      </c>
      <c r="D762" s="42" t="inlineStr">
        <is>
          <t>Region VIII (Eastern Visayas)</t>
        </is>
      </c>
      <c r="E762" s="42" t="inlineStr">
        <is>
          <t>Leyte</t>
        </is>
      </c>
      <c r="F762" s="42" t="inlineStr">
        <is>
          <t>City of Tacloban</t>
        </is>
      </c>
      <c r="G762" s="42" t="inlineStr">
        <is>
          <t>Barangay 36-A</t>
        </is>
      </c>
      <c r="H762" s="43" t="n">
        <v>11.247561</v>
      </c>
      <c r="I762" s="43" t="n">
        <v>124.995448</v>
      </c>
      <c r="J762" s="44" t="inlineStr">
        <is>
          <t>R</t>
        </is>
      </c>
      <c r="K762" s="42" t="inlineStr">
        <is>
          <t>Class 1-3 / Urban</t>
        </is>
      </c>
      <c r="L762" s="23" t="n">
        <v>2477</v>
      </c>
      <c r="M762" s="24" t="n">
        <v>4.24</v>
      </c>
      <c r="N762" s="23">
        <f>ROUND(L762/M762, 0)</f>
        <v/>
      </c>
      <c r="O762" s="23">
        <f>ROUND(N762*'Methodology &amp; Assumptions'!$B$8, 0)</f>
        <v/>
      </c>
      <c r="P762" s="44" t="inlineStr">
        <is>
          <t>Band n50 (1.5 GHz, 60 MHz)</t>
        </is>
      </c>
      <c r="Q762" s="38">
        <f>ROUNDUP(O762/'Methodology &amp; Assumptions'!$B$9, 0)</f>
        <v/>
      </c>
      <c r="R762" s="39" t="n">
        <v>1</v>
      </c>
      <c r="S762" s="25" t="n">
        <v>1.17</v>
      </c>
      <c r="T762" s="25" t="n">
        <v>4.19</v>
      </c>
      <c r="U762" s="42" t="inlineStr">
        <is>
          <t>Tier 1B (Micro Drop, 1-3 km)</t>
        </is>
      </c>
      <c r="V762" s="24" t="n">
        <v>67.8</v>
      </c>
      <c r="W762" s="24" t="n">
        <v>70.7</v>
      </c>
      <c r="X762" s="24" t="n">
        <v>58</v>
      </c>
      <c r="Y762" s="45">
        <f>ROUND((V762*'Methodology &amp; Assumptions'!$B$6)+(W762*'Methodology &amp; Assumptions'!$B$5)+(X762*'Methodology &amp; Assumptions'!$B$7), 2)</f>
        <v/>
      </c>
    </row>
    <row r="763" ht="19" customHeight="1">
      <c r="A763" s="35" t="n">
        <v>759</v>
      </c>
      <c r="B763" s="35" t="n">
        <v>3759</v>
      </c>
      <c r="C763" s="36" t="inlineStr">
        <is>
          <t>0105531036</t>
        </is>
      </c>
      <c r="D763" s="36" t="inlineStr">
        <is>
          <t>Region I (Ilocos Region)</t>
        </is>
      </c>
      <c r="E763" s="36" t="inlineStr">
        <is>
          <t>Pangasinan</t>
        </is>
      </c>
      <c r="F763" s="36" t="inlineStr">
        <is>
          <t>Rosales</t>
        </is>
      </c>
      <c r="G763" s="36" t="inlineStr">
        <is>
          <t>Don Antonio Village</t>
        </is>
      </c>
      <c r="H763" s="37" t="n">
        <v>15.891916</v>
      </c>
      <c r="I763" s="37" t="n">
        <v>120.629354</v>
      </c>
      <c r="J763" s="8" t="inlineStr">
        <is>
          <t>R</t>
        </is>
      </c>
      <c r="K763" s="36" t="inlineStr">
        <is>
          <t>Class 1-3 / Urban</t>
        </is>
      </c>
      <c r="L763" s="18" t="n">
        <v>852</v>
      </c>
      <c r="M763" s="20" t="n">
        <v>4.39</v>
      </c>
      <c r="N763" s="18">
        <f>ROUND(L763/M763, 0)</f>
        <v/>
      </c>
      <c r="O763" s="18">
        <f>ROUND(N763*'Methodology &amp; Assumptions'!$B$8, 0)</f>
        <v/>
      </c>
      <c r="P763" s="8" t="inlineStr">
        <is>
          <t>Band n50 (1.5 GHz, 60 MHz)</t>
        </is>
      </c>
      <c r="Q763" s="38">
        <f>ROUNDUP(O763/'Methodology &amp; Assumptions'!$B$9, 0)</f>
        <v/>
      </c>
      <c r="R763" s="39" t="n">
        <v>1</v>
      </c>
      <c r="S763" s="21" t="n">
        <v>0.35</v>
      </c>
      <c r="T763" s="21" t="n">
        <v>0.29</v>
      </c>
      <c r="U763" s="36" t="inlineStr">
        <is>
          <t>Tier 1A (Direct Coloc, &lt;1 km)</t>
        </is>
      </c>
      <c r="V763" s="20" t="n">
        <v>99</v>
      </c>
      <c r="W763" s="20" t="n">
        <v>39.5</v>
      </c>
      <c r="X763" s="20" t="n">
        <v>58</v>
      </c>
      <c r="Y763" s="40">
        <f>ROUND((V763*'Methodology &amp; Assumptions'!$B$6)+(W763*'Methodology &amp; Assumptions'!$B$5)+(X763*'Methodology &amp; Assumptions'!$B$7), 2)</f>
        <v/>
      </c>
    </row>
    <row r="764" ht="19" customHeight="1">
      <c r="A764" s="41" t="n">
        <v>760</v>
      </c>
      <c r="B764" s="41" t="n">
        <v>3760</v>
      </c>
      <c r="C764" s="42" t="inlineStr">
        <is>
          <t>0506209018</t>
        </is>
      </c>
      <c r="D764" s="42" t="inlineStr">
        <is>
          <t>Region V (Bicol Region)</t>
        </is>
      </c>
      <c r="E764" s="42" t="inlineStr">
        <is>
          <t>Sorsogon</t>
        </is>
      </c>
      <c r="F764" s="42" t="inlineStr">
        <is>
          <t>Irosin</t>
        </is>
      </c>
      <c r="G764" s="42" t="inlineStr">
        <is>
          <t>Monbon</t>
        </is>
      </c>
      <c r="H764" s="43" t="n">
        <v>12.729735</v>
      </c>
      <c r="I764" s="43" t="n">
        <v>124.016917</v>
      </c>
      <c r="J764" s="44" t="inlineStr">
        <is>
          <t>R</t>
        </is>
      </c>
      <c r="K764" s="42" t="inlineStr">
        <is>
          <t>Class 1-3 / Urban</t>
        </is>
      </c>
      <c r="L764" s="23" t="n">
        <v>4293</v>
      </c>
      <c r="M764" s="24" t="n">
        <v>4.58</v>
      </c>
      <c r="N764" s="23">
        <f>ROUND(L764/M764, 0)</f>
        <v/>
      </c>
      <c r="O764" s="23">
        <f>ROUND(N764*'Methodology &amp; Assumptions'!$B$8, 0)</f>
        <v/>
      </c>
      <c r="P764" s="44" t="inlineStr">
        <is>
          <t>Band n50 (1.5 GHz, 60 MHz)</t>
        </is>
      </c>
      <c r="Q764" s="38">
        <f>ROUNDUP(O764/'Methodology &amp; Assumptions'!$B$9, 0)</f>
        <v/>
      </c>
      <c r="R764" s="39" t="n">
        <v>1</v>
      </c>
      <c r="S764" s="25" t="n">
        <v>3.66</v>
      </c>
      <c r="T764" s="25" t="n">
        <v>0.29</v>
      </c>
      <c r="U764" s="42" t="inlineStr">
        <is>
          <t>Tier 2 (Fiber Corridor / Lateral, 3-5 km)</t>
        </is>
      </c>
      <c r="V764" s="24" t="n">
        <v>39.5</v>
      </c>
      <c r="W764" s="24" t="n">
        <v>98.90000000000001</v>
      </c>
      <c r="X764" s="24" t="n">
        <v>58</v>
      </c>
      <c r="Y764" s="45">
        <f>ROUND((V764*'Methodology &amp; Assumptions'!$B$6)+(W764*'Methodology &amp; Assumptions'!$B$5)+(X764*'Methodology &amp; Assumptions'!$B$7), 2)</f>
        <v/>
      </c>
    </row>
    <row r="765" ht="19" customHeight="1">
      <c r="A765" s="35" t="n">
        <v>761</v>
      </c>
      <c r="B765" s="35" t="n">
        <v>3761</v>
      </c>
      <c r="C765" s="36" t="inlineStr">
        <is>
          <t>0105511041</t>
        </is>
      </c>
      <c r="D765" s="36" t="inlineStr">
        <is>
          <t>Region I (Ilocos Region)</t>
        </is>
      </c>
      <c r="E765" s="36" t="inlineStr">
        <is>
          <t>Pangasinan</t>
        </is>
      </c>
      <c r="F765" s="36" t="inlineStr">
        <is>
          <t>Bayambang</t>
        </is>
      </c>
      <c r="G765" s="36" t="inlineStr">
        <is>
          <t>Malioer</t>
        </is>
      </c>
      <c r="H765" s="37" t="n">
        <v>15.777022</v>
      </c>
      <c r="I765" s="37" t="n">
        <v>120.380694</v>
      </c>
      <c r="J765" s="8" t="inlineStr">
        <is>
          <t>R</t>
        </is>
      </c>
      <c r="K765" s="36" t="inlineStr">
        <is>
          <t>Class 1-3 / Urban</t>
        </is>
      </c>
      <c r="L765" s="18" t="n">
        <v>2572</v>
      </c>
      <c r="M765" s="20" t="n">
        <v>4.39</v>
      </c>
      <c r="N765" s="18">
        <f>ROUND(L765/M765, 0)</f>
        <v/>
      </c>
      <c r="O765" s="18">
        <f>ROUND(N765*'Methodology &amp; Assumptions'!$B$8, 0)</f>
        <v/>
      </c>
      <c r="P765" s="8" t="inlineStr">
        <is>
          <t>Band n50 (1.5 GHz, 60 MHz)</t>
        </is>
      </c>
      <c r="Q765" s="38">
        <f>ROUNDUP(O765/'Methodology &amp; Assumptions'!$B$9, 0)</f>
        <v/>
      </c>
      <c r="R765" s="39" t="n">
        <v>1</v>
      </c>
      <c r="S765" s="21" t="n">
        <v>1.18</v>
      </c>
      <c r="T765" s="21" t="n">
        <v>7.2</v>
      </c>
      <c r="U765" s="36" t="inlineStr">
        <is>
          <t>Tier 1B (Micro Drop, 1-3 km)</t>
        </is>
      </c>
      <c r="V765" s="20" t="n">
        <v>67.5</v>
      </c>
      <c r="W765" s="20" t="n">
        <v>70.90000000000001</v>
      </c>
      <c r="X765" s="20" t="n">
        <v>58</v>
      </c>
      <c r="Y765" s="40">
        <f>ROUND((V765*'Methodology &amp; Assumptions'!$B$6)+(W765*'Methodology &amp; Assumptions'!$B$5)+(X765*'Methodology &amp; Assumptions'!$B$7), 2)</f>
        <v/>
      </c>
    </row>
    <row r="766" ht="19" customHeight="1">
      <c r="A766" s="41" t="n">
        <v>762</v>
      </c>
      <c r="B766" s="41" t="n">
        <v>3762</v>
      </c>
      <c r="C766" s="42" t="inlineStr">
        <is>
          <t>0203108071</t>
        </is>
      </c>
      <c r="D766" s="42" t="inlineStr">
        <is>
          <t>Region II (Cagayan Valley)</t>
        </is>
      </c>
      <c r="E766" s="42" t="inlineStr">
        <is>
          <t>Isabela</t>
        </is>
      </c>
      <c r="F766" s="42" t="inlineStr">
        <is>
          <t>City of Cauayan</t>
        </is>
      </c>
      <c r="G766" s="42" t="inlineStr">
        <is>
          <t>Union</t>
        </is>
      </c>
      <c r="H766" s="43" t="n">
        <v>16.960129</v>
      </c>
      <c r="I766" s="43" t="n">
        <v>121.816445</v>
      </c>
      <c r="J766" s="44" t="inlineStr">
        <is>
          <t>R</t>
        </is>
      </c>
      <c r="K766" s="42" t="inlineStr">
        <is>
          <t>Class 1-3 / Urban</t>
        </is>
      </c>
      <c r="L766" s="23" t="n">
        <v>1549</v>
      </c>
      <c r="M766" s="24" t="n">
        <v>4.3</v>
      </c>
      <c r="N766" s="23">
        <f>ROUND(L766/M766, 0)</f>
        <v/>
      </c>
      <c r="O766" s="23">
        <f>ROUND(N766*'Methodology &amp; Assumptions'!$B$8, 0)</f>
        <v/>
      </c>
      <c r="P766" s="44" t="inlineStr">
        <is>
          <t>Band n50 (1.5 GHz, 60 MHz)</t>
        </is>
      </c>
      <c r="Q766" s="38">
        <f>ROUNDUP(O766/'Methodology &amp; Assumptions'!$B$9, 0)</f>
        <v/>
      </c>
      <c r="R766" s="39" t="n">
        <v>1</v>
      </c>
      <c r="S766" s="25" t="n">
        <v>0.47</v>
      </c>
      <c r="T766" s="25" t="n">
        <v>3.5</v>
      </c>
      <c r="U766" s="42" t="inlineStr">
        <is>
          <t>Tier 1A (Direct Coloc, &lt;1 km)</t>
        </is>
      </c>
      <c r="V766" s="24" t="n">
        <v>85.59999999999999</v>
      </c>
      <c r="W766" s="24" t="n">
        <v>52.8</v>
      </c>
      <c r="X766" s="24" t="n">
        <v>58</v>
      </c>
      <c r="Y766" s="45">
        <f>ROUND((V766*'Methodology &amp; Assumptions'!$B$6)+(W766*'Methodology &amp; Assumptions'!$B$5)+(X766*'Methodology &amp; Assumptions'!$B$7), 2)</f>
        <v/>
      </c>
    </row>
    <row r="767" ht="19" customHeight="1">
      <c r="A767" s="35" t="n">
        <v>763</v>
      </c>
      <c r="B767" s="35" t="n">
        <v>3763</v>
      </c>
      <c r="C767" s="36" t="inlineStr">
        <is>
          <t>0401012032</t>
        </is>
      </c>
      <c r="D767" s="36" t="inlineStr">
        <is>
          <t>Region IV-A (CALABARZON)</t>
        </is>
      </c>
      <c r="E767" s="36" t="inlineStr">
        <is>
          <t>Batangas</t>
        </is>
      </c>
      <c r="F767" s="36" t="inlineStr">
        <is>
          <t>Lemery</t>
        </is>
      </c>
      <c r="G767" s="36" t="inlineStr">
        <is>
          <t>District I</t>
        </is>
      </c>
      <c r="H767" s="37" t="n">
        <v>13.877417</v>
      </c>
      <c r="I767" s="37" t="n">
        <v>120.915196</v>
      </c>
      <c r="J767" s="8" t="inlineStr">
        <is>
          <t>R</t>
        </is>
      </c>
      <c r="K767" s="36" t="inlineStr">
        <is>
          <t>Class 1-3 / Urban</t>
        </is>
      </c>
      <c r="L767" s="18" t="n">
        <v>1325</v>
      </c>
      <c r="M767" s="20" t="n">
        <v>4.62</v>
      </c>
      <c r="N767" s="18">
        <f>ROUND(L767/M767, 0)</f>
        <v/>
      </c>
      <c r="O767" s="18">
        <f>ROUND(N767*'Methodology &amp; Assumptions'!$B$8, 0)</f>
        <v/>
      </c>
      <c r="P767" s="8" t="inlineStr">
        <is>
          <t>Band n50 (1.5 GHz, 60 MHz)</t>
        </is>
      </c>
      <c r="Q767" s="38">
        <f>ROUNDUP(O767/'Methodology &amp; Assumptions'!$B$9, 0)</f>
        <v/>
      </c>
      <c r="R767" s="39" t="n">
        <v>1</v>
      </c>
      <c r="S767" s="21" t="n">
        <v>0.27</v>
      </c>
      <c r="T767" s="21" t="n">
        <v>2.13</v>
      </c>
      <c r="U767" s="36" t="inlineStr">
        <is>
          <t>Tier 1A (Direct Coloc, &lt;1 km)</t>
        </is>
      </c>
      <c r="V767" s="20" t="n">
        <v>91.5</v>
      </c>
      <c r="W767" s="20" t="n">
        <v>46.9</v>
      </c>
      <c r="X767" s="20" t="n">
        <v>58</v>
      </c>
      <c r="Y767" s="40">
        <f>ROUND((V767*'Methodology &amp; Assumptions'!$B$6)+(W767*'Methodology &amp; Assumptions'!$B$5)+(X767*'Methodology &amp; Assumptions'!$B$7), 2)</f>
        <v/>
      </c>
    </row>
    <row r="768" ht="19" customHeight="1">
      <c r="A768" s="41" t="n">
        <v>764</v>
      </c>
      <c r="B768" s="41" t="n">
        <v>3764</v>
      </c>
      <c r="C768" s="42" t="inlineStr">
        <is>
          <t>0304902026</t>
        </is>
      </c>
      <c r="D768" s="42" t="inlineStr">
        <is>
          <t>Region III (Central Luzon)</t>
        </is>
      </c>
      <c r="E768" s="42" t="inlineStr">
        <is>
          <t>Nueva Ecija</t>
        </is>
      </c>
      <c r="F768" s="42" t="inlineStr">
        <is>
          <t>Bongabon</t>
        </is>
      </c>
      <c r="G768" s="42" t="inlineStr">
        <is>
          <t>Social</t>
        </is>
      </c>
      <c r="H768" s="43" t="n">
        <v>15.626893</v>
      </c>
      <c r="I768" s="43" t="n">
        <v>121.145846</v>
      </c>
      <c r="J768" s="44" t="inlineStr">
        <is>
          <t>R</t>
        </is>
      </c>
      <c r="K768" s="42" t="inlineStr">
        <is>
          <t>Class 1-3 / Urban</t>
        </is>
      </c>
      <c r="L768" s="23" t="n">
        <v>795</v>
      </c>
      <c r="M768" s="24" t="n">
        <v>4.32</v>
      </c>
      <c r="N768" s="23">
        <f>ROUND(L768/M768, 0)</f>
        <v/>
      </c>
      <c r="O768" s="23">
        <f>ROUND(N768*'Methodology &amp; Assumptions'!$B$8, 0)</f>
        <v/>
      </c>
      <c r="P768" s="44" t="inlineStr">
        <is>
          <t>Band n50 (1.5 GHz, 60 MHz)</t>
        </is>
      </c>
      <c r="Q768" s="38">
        <f>ROUNDUP(O768/'Methodology &amp; Assumptions'!$B$9, 0)</f>
        <v/>
      </c>
      <c r="R768" s="39" t="n">
        <v>1</v>
      </c>
      <c r="S768" s="25" t="n">
        <v>0.32</v>
      </c>
      <c r="T768" s="25" t="n">
        <v>0.31</v>
      </c>
      <c r="U768" s="42" t="inlineStr">
        <is>
          <t>Tier 1A (Direct Coloc, &lt;1 km)</t>
        </is>
      </c>
      <c r="V768" s="24" t="n">
        <v>99.8</v>
      </c>
      <c r="W768" s="24" t="n">
        <v>38.7</v>
      </c>
      <c r="X768" s="24" t="n">
        <v>58</v>
      </c>
      <c r="Y768" s="45">
        <f>ROUND((V768*'Methodology &amp; Assumptions'!$B$6)+(W768*'Methodology &amp; Assumptions'!$B$5)+(X768*'Methodology &amp; Assumptions'!$B$7), 2)</f>
        <v/>
      </c>
    </row>
    <row r="769" ht="19" customHeight="1">
      <c r="A769" s="35" t="n">
        <v>765</v>
      </c>
      <c r="B769" s="35" t="n">
        <v>3765</v>
      </c>
      <c r="C769" s="36" t="inlineStr">
        <is>
          <t>1102319010</t>
        </is>
      </c>
      <c r="D769" s="36" t="inlineStr">
        <is>
          <t>Region XI (Davao Region)</t>
        </is>
      </c>
      <c r="E769" s="36" t="inlineStr">
        <is>
          <t>Davao del Norte</t>
        </is>
      </c>
      <c r="F769" s="36" t="inlineStr">
        <is>
          <t>City of Tagum</t>
        </is>
      </c>
      <c r="G769" s="36" t="inlineStr">
        <is>
          <t>Magdum</t>
        </is>
      </c>
      <c r="H769" s="37" t="n">
        <v>7.469378</v>
      </c>
      <c r="I769" s="37" t="n">
        <v>125.834382</v>
      </c>
      <c r="J769" s="8" t="inlineStr">
        <is>
          <t>U</t>
        </is>
      </c>
      <c r="K769" s="36" t="inlineStr">
        <is>
          <t>Class 1-3 / Urban</t>
        </is>
      </c>
      <c r="L769" s="18" t="n">
        <v>13559</v>
      </c>
      <c r="M769" s="20" t="n">
        <v>4.25</v>
      </c>
      <c r="N769" s="18">
        <f>ROUND(L769/M769, 0)</f>
        <v/>
      </c>
      <c r="O769" s="18">
        <f>ROUND(N769*'Methodology &amp; Assumptions'!$B$8, 0)</f>
        <v/>
      </c>
      <c r="P769" s="8" t="inlineStr">
        <is>
          <t>Band n50 (1.5 GHz, 60 MHz)</t>
        </is>
      </c>
      <c r="Q769" s="38">
        <f>ROUNDUP(O769/'Methodology &amp; Assumptions'!$B$9, 0)</f>
        <v/>
      </c>
      <c r="R769" s="39" t="n">
        <v>1</v>
      </c>
      <c r="S769" s="21" t="n">
        <v>1.84</v>
      </c>
      <c r="T769" s="21" t="n">
        <v>0.11</v>
      </c>
      <c r="U769" s="36" t="inlineStr">
        <is>
          <t>Tier 1B (Micro Drop, 1-3 km)</t>
        </is>
      </c>
      <c r="V769" s="20" t="n">
        <v>64.09999999999999</v>
      </c>
      <c r="W769" s="20" t="n">
        <v>100</v>
      </c>
      <c r="X769" s="20" t="n">
        <v>28</v>
      </c>
      <c r="Y769" s="40">
        <f>ROUND((V769*'Methodology &amp; Assumptions'!$B$6)+(W769*'Methodology &amp; Assumptions'!$B$5)+(X769*'Methodology &amp; Assumptions'!$B$7), 2)</f>
        <v/>
      </c>
    </row>
    <row r="770" ht="19" customHeight="1">
      <c r="A770" s="41" t="n">
        <v>766</v>
      </c>
      <c r="B770" s="41" t="n">
        <v>3766</v>
      </c>
      <c r="C770" s="42" t="inlineStr">
        <is>
          <t>0307114017</t>
        </is>
      </c>
      <c r="D770" s="42" t="inlineStr">
        <is>
          <t>Region III (Central Luzon)</t>
        </is>
      </c>
      <c r="E770" s="42" t="inlineStr">
        <is>
          <t>Zambales</t>
        </is>
      </c>
      <c r="F770" s="42" t="inlineStr">
        <is>
          <t>Subic</t>
        </is>
      </c>
      <c r="G770" s="42" t="inlineStr">
        <is>
          <t>Naugsol</t>
        </is>
      </c>
      <c r="H770" s="43" t="n">
        <v>14.87988</v>
      </c>
      <c r="I770" s="43" t="n">
        <v>120.2637</v>
      </c>
      <c r="J770" s="44" t="inlineStr">
        <is>
          <t>R</t>
        </is>
      </c>
      <c r="K770" s="42" t="inlineStr">
        <is>
          <t>Class 1-3 / Urban</t>
        </is>
      </c>
      <c r="L770" s="23" t="n">
        <v>3257</v>
      </c>
      <c r="M770" s="24" t="n">
        <v>4.05</v>
      </c>
      <c r="N770" s="23">
        <f>ROUND(L770/M770, 0)</f>
        <v/>
      </c>
      <c r="O770" s="23">
        <f>ROUND(N770*'Methodology &amp; Assumptions'!$B$8, 0)</f>
        <v/>
      </c>
      <c r="P770" s="44" t="inlineStr">
        <is>
          <t>Band n50 (1.5 GHz, 60 MHz)</t>
        </is>
      </c>
      <c r="Q770" s="38">
        <f>ROUNDUP(O770/'Methodology &amp; Assumptions'!$B$9, 0)</f>
        <v/>
      </c>
      <c r="R770" s="39" t="n">
        <v>1</v>
      </c>
      <c r="S770" s="25" t="n">
        <v>2.96</v>
      </c>
      <c r="T770" s="25" t="n">
        <v>3</v>
      </c>
      <c r="U770" s="42" t="inlineStr">
        <is>
          <t>Tier 1B (Micro Drop, 1-3 km)</t>
        </is>
      </c>
      <c r="V770" s="24" t="n">
        <v>37.3</v>
      </c>
      <c r="W770" s="24" t="n">
        <v>88.3</v>
      </c>
      <c r="X770" s="24" t="n">
        <v>73</v>
      </c>
      <c r="Y770" s="45">
        <f>ROUND((V770*'Methodology &amp; Assumptions'!$B$6)+(W770*'Methodology &amp; Assumptions'!$B$5)+(X770*'Methodology &amp; Assumptions'!$B$7), 2)</f>
        <v/>
      </c>
    </row>
    <row r="771" ht="19" customHeight="1">
      <c r="A771" s="35" t="n">
        <v>767</v>
      </c>
      <c r="B771" s="35" t="n">
        <v>3767</v>
      </c>
      <c r="C771" s="36" t="inlineStr">
        <is>
          <t>0304912022</t>
        </is>
      </c>
      <c r="D771" s="36" t="inlineStr">
        <is>
          <t>Region III (Central Luzon)</t>
        </is>
      </c>
      <c r="E771" s="36" t="inlineStr">
        <is>
          <t>Nueva Ecija</t>
        </is>
      </c>
      <c r="F771" s="36" t="inlineStr">
        <is>
          <t>Jaen</t>
        </is>
      </c>
      <c r="G771" s="36" t="inlineStr">
        <is>
          <t>San Jose</t>
        </is>
      </c>
      <c r="H771" s="37" t="n">
        <v>15.334635</v>
      </c>
      <c r="I771" s="37" t="n">
        <v>120.911264</v>
      </c>
      <c r="J771" s="8" t="inlineStr">
        <is>
          <t>R</t>
        </is>
      </c>
      <c r="K771" s="36" t="inlineStr">
        <is>
          <t>Class 1-3 / Urban</t>
        </is>
      </c>
      <c r="L771" s="18" t="n">
        <v>3604</v>
      </c>
      <c r="M771" s="20" t="n">
        <v>4.32</v>
      </c>
      <c r="N771" s="18">
        <f>ROUND(L771/M771, 0)</f>
        <v/>
      </c>
      <c r="O771" s="18">
        <f>ROUND(N771*'Methodology &amp; Assumptions'!$B$8, 0)</f>
        <v/>
      </c>
      <c r="P771" s="8" t="inlineStr">
        <is>
          <t>Band n50 (1.5 GHz, 60 MHz)</t>
        </is>
      </c>
      <c r="Q771" s="38">
        <f>ROUNDUP(O771/'Methodology &amp; Assumptions'!$B$9, 0)</f>
        <v/>
      </c>
      <c r="R771" s="39" t="n">
        <v>1</v>
      </c>
      <c r="S771" s="21" t="n">
        <v>2.22</v>
      </c>
      <c r="T771" s="21" t="n">
        <v>2.82</v>
      </c>
      <c r="U771" s="36" t="inlineStr">
        <is>
          <t>Tier 1B (Micro Drop, 1-3 km)</t>
        </is>
      </c>
      <c r="V771" s="20" t="n">
        <v>47.7</v>
      </c>
      <c r="W771" s="20" t="n">
        <v>90.7</v>
      </c>
      <c r="X771" s="20" t="n">
        <v>58</v>
      </c>
      <c r="Y771" s="40">
        <f>ROUND((V771*'Methodology &amp; Assumptions'!$B$6)+(W771*'Methodology &amp; Assumptions'!$B$5)+(X771*'Methodology &amp; Assumptions'!$B$7), 2)</f>
        <v/>
      </c>
    </row>
    <row r="772" ht="19" customHeight="1">
      <c r="A772" s="41" t="n">
        <v>768</v>
      </c>
      <c r="B772" s="41" t="n">
        <v>3768</v>
      </c>
      <c r="C772" s="42" t="inlineStr">
        <is>
          <t>1001320023</t>
        </is>
      </c>
      <c r="D772" s="42" t="inlineStr">
        <is>
          <t>Region X (Northern Mindanao)</t>
        </is>
      </c>
      <c r="E772" s="42" t="inlineStr">
        <is>
          <t>Bukidnon</t>
        </is>
      </c>
      <c r="F772" s="42" t="inlineStr">
        <is>
          <t>Talakag</t>
        </is>
      </c>
      <c r="G772" s="42" t="inlineStr">
        <is>
          <t>Barangay 5</t>
        </is>
      </c>
      <c r="H772" s="43" t="n">
        <v>8.226754</v>
      </c>
      <c r="I772" s="43" t="n">
        <v>124.599866</v>
      </c>
      <c r="J772" s="44" t="inlineStr">
        <is>
          <t>R</t>
        </is>
      </c>
      <c r="K772" s="42" t="inlineStr">
        <is>
          <t>Class 1-3 / Urban</t>
        </is>
      </c>
      <c r="L772" s="23" t="n">
        <v>2157</v>
      </c>
      <c r="M772" s="24" t="n">
        <v>4.63</v>
      </c>
      <c r="N772" s="23">
        <f>ROUND(L772/M772, 0)</f>
        <v/>
      </c>
      <c r="O772" s="23">
        <f>ROUND(N772*'Methodology &amp; Assumptions'!$B$8, 0)</f>
        <v/>
      </c>
      <c r="P772" s="44" t="inlineStr">
        <is>
          <t>Band n50 (1.5 GHz, 60 MHz)</t>
        </is>
      </c>
      <c r="Q772" s="38">
        <f>ROUNDUP(O772/'Methodology &amp; Assumptions'!$B$9, 0)</f>
        <v/>
      </c>
      <c r="R772" s="39" t="n">
        <v>1</v>
      </c>
      <c r="S772" s="25" t="n">
        <v>1.2</v>
      </c>
      <c r="T772" s="25" t="n">
        <v>0.2</v>
      </c>
      <c r="U772" s="42" t="inlineStr">
        <is>
          <t>Tier 1B (Micro Drop, 1-3 km)</t>
        </is>
      </c>
      <c r="V772" s="24" t="n">
        <v>77.09999999999999</v>
      </c>
      <c r="W772" s="24" t="n">
        <v>61.3</v>
      </c>
      <c r="X772" s="24" t="n">
        <v>58</v>
      </c>
      <c r="Y772" s="45">
        <f>ROUND((V772*'Methodology &amp; Assumptions'!$B$6)+(W772*'Methodology &amp; Assumptions'!$B$5)+(X772*'Methodology &amp; Assumptions'!$B$7), 2)</f>
        <v/>
      </c>
    </row>
    <row r="773" ht="19" customHeight="1">
      <c r="A773" s="35" t="n">
        <v>769</v>
      </c>
      <c r="B773" s="35" t="n">
        <v>3769</v>
      </c>
      <c r="C773" s="36" t="inlineStr">
        <is>
          <t>0501721017</t>
        </is>
      </c>
      <c r="D773" s="36" t="inlineStr">
        <is>
          <t>Region V (Bicol Region)</t>
        </is>
      </c>
      <c r="E773" s="36" t="inlineStr">
        <is>
          <t>Camarines Sur</t>
        </is>
      </c>
      <c r="F773" s="36" t="inlineStr">
        <is>
          <t>Milaor</t>
        </is>
      </c>
      <c r="G773" s="36" t="inlineStr">
        <is>
          <t>San Roque</t>
        </is>
      </c>
      <c r="H773" s="37" t="n">
        <v>13.595755</v>
      </c>
      <c r="I773" s="37" t="n">
        <v>123.174571</v>
      </c>
      <c r="J773" s="8" t="inlineStr">
        <is>
          <t>R</t>
        </is>
      </c>
      <c r="K773" s="36" t="inlineStr">
        <is>
          <t>3rd</t>
        </is>
      </c>
      <c r="L773" s="18" t="n">
        <v>882</v>
      </c>
      <c r="M773" s="20" t="n">
        <v>4.92</v>
      </c>
      <c r="N773" s="18">
        <f>ROUND(L773/M773, 0)</f>
        <v/>
      </c>
      <c r="O773" s="18">
        <f>ROUND(N773*'Methodology &amp; Assumptions'!$B$8, 0)</f>
        <v/>
      </c>
      <c r="P773" s="8" t="inlineStr">
        <is>
          <t>Band n50 (1.5 GHz, 60 MHz)</t>
        </is>
      </c>
      <c r="Q773" s="38">
        <f>ROUNDUP(O773/'Methodology &amp; Assumptions'!$B$9, 0)</f>
        <v/>
      </c>
      <c r="R773" s="39" t="n">
        <v>1</v>
      </c>
      <c r="S773" s="21" t="n">
        <v>0.22</v>
      </c>
      <c r="T773" s="21" t="n">
        <v>0.19</v>
      </c>
      <c r="U773" s="36" t="inlineStr">
        <is>
          <t>Tier 1A (Direct Coloc, &lt;1 km)</t>
        </is>
      </c>
      <c r="V773" s="20" t="n">
        <v>100</v>
      </c>
      <c r="W773" s="20" t="n">
        <v>38.4</v>
      </c>
      <c r="X773" s="20" t="n">
        <v>58</v>
      </c>
      <c r="Y773" s="40">
        <f>ROUND((V773*'Methodology &amp; Assumptions'!$B$6)+(W773*'Methodology &amp; Assumptions'!$B$5)+(X773*'Methodology &amp; Assumptions'!$B$7), 2)</f>
        <v/>
      </c>
    </row>
    <row r="774" ht="19" customHeight="1">
      <c r="A774" s="41" t="n">
        <v>770</v>
      </c>
      <c r="B774" s="41" t="n">
        <v>3770</v>
      </c>
      <c r="C774" s="42" t="inlineStr">
        <is>
          <t>0506216006</t>
        </is>
      </c>
      <c r="D774" s="42" t="inlineStr">
        <is>
          <t>Region V (Bicol Region)</t>
        </is>
      </c>
      <c r="E774" s="42" t="inlineStr">
        <is>
          <t>Sorsogon</t>
        </is>
      </c>
      <c r="F774" s="42" t="inlineStr">
        <is>
          <t>City of Sorsogon</t>
        </is>
      </c>
      <c r="G774" s="42" t="inlineStr">
        <is>
          <t>Bibincahan</t>
        </is>
      </c>
      <c r="H774" s="43" t="n">
        <v>12.98614</v>
      </c>
      <c r="I774" s="43" t="n">
        <v>124.006868</v>
      </c>
      <c r="J774" s="44" t="inlineStr">
        <is>
          <t>U</t>
        </is>
      </c>
      <c r="K774" s="42" t="inlineStr">
        <is>
          <t>Class 1-3 / Urban</t>
        </is>
      </c>
      <c r="L774" s="23" t="n">
        <v>20618</v>
      </c>
      <c r="M774" s="24" t="n">
        <v>4.58</v>
      </c>
      <c r="N774" s="23">
        <f>ROUND(L774/M774, 0)</f>
        <v/>
      </c>
      <c r="O774" s="23">
        <f>ROUND(N774*'Methodology &amp; Assumptions'!$B$8, 0)</f>
        <v/>
      </c>
      <c r="P774" s="44" t="inlineStr">
        <is>
          <t>Band n50 (1.5 GHz, 60 MHz)</t>
        </is>
      </c>
      <c r="Q774" s="38">
        <f>ROUNDUP(O774/'Methodology &amp; Assumptions'!$B$9, 0)</f>
        <v/>
      </c>
      <c r="R774" s="39" t="n">
        <v>1</v>
      </c>
      <c r="S774" s="25" t="n">
        <v>1.84</v>
      </c>
      <c r="T774" s="25" t="n">
        <v>0.92</v>
      </c>
      <c r="U774" s="42" t="inlineStr">
        <is>
          <t>Tier 1B (Micro Drop, 1-3 km)</t>
        </is>
      </c>
      <c r="V774" s="24" t="n">
        <v>64.09999999999999</v>
      </c>
      <c r="W774" s="24" t="n">
        <v>100</v>
      </c>
      <c r="X774" s="24" t="n">
        <v>28</v>
      </c>
      <c r="Y774" s="45">
        <f>ROUND((V774*'Methodology &amp; Assumptions'!$B$6)+(W774*'Methodology &amp; Assumptions'!$B$5)+(X774*'Methodology &amp; Assumptions'!$B$7), 2)</f>
        <v/>
      </c>
    </row>
    <row r="775" ht="19" customHeight="1">
      <c r="A775" s="35" t="n">
        <v>771</v>
      </c>
      <c r="B775" s="35" t="n">
        <v>3771</v>
      </c>
      <c r="C775" s="36" t="inlineStr">
        <is>
          <t>0702234008</t>
        </is>
      </c>
      <c r="D775" s="36" t="inlineStr">
        <is>
          <t>Region VII (Central Visayas)</t>
        </is>
      </c>
      <c r="E775" s="36" t="inlineStr">
        <is>
          <t>Cebu</t>
        </is>
      </c>
      <c r="F775" s="36" t="inlineStr">
        <is>
          <t>City of Naga</t>
        </is>
      </c>
      <c r="G775" s="36" t="inlineStr">
        <is>
          <t>Colon</t>
        </is>
      </c>
      <c r="H775" s="37" t="n">
        <v>10.219463</v>
      </c>
      <c r="I775" s="37" t="n">
        <v>123.762131</v>
      </c>
      <c r="J775" s="8" t="inlineStr">
        <is>
          <t>U</t>
        </is>
      </c>
      <c r="K775" s="36" t="inlineStr">
        <is>
          <t>Class 1-3 / Urban</t>
        </is>
      </c>
      <c r="L775" s="18" t="n">
        <v>5245</v>
      </c>
      <c r="M775" s="20" t="n">
        <v>4.42</v>
      </c>
      <c r="N775" s="18">
        <f>ROUND(L775/M775, 0)</f>
        <v/>
      </c>
      <c r="O775" s="18">
        <f>ROUND(N775*'Methodology &amp; Assumptions'!$B$8, 0)</f>
        <v/>
      </c>
      <c r="P775" s="8" t="inlineStr">
        <is>
          <t>Band n50 (1.5 GHz, 60 MHz)</t>
        </is>
      </c>
      <c r="Q775" s="38">
        <f>ROUNDUP(O775/'Methodology &amp; Assumptions'!$B$9, 0)</f>
        <v/>
      </c>
      <c r="R775" s="39" t="n">
        <v>1</v>
      </c>
      <c r="S775" s="21" t="n">
        <v>1.84</v>
      </c>
      <c r="T775" s="21" t="n">
        <v>0.09</v>
      </c>
      <c r="U775" s="36" t="inlineStr">
        <is>
          <t>Tier 1B (Micro Drop, 1-3 km)</t>
        </is>
      </c>
      <c r="V775" s="20" t="n">
        <v>64.09999999999999</v>
      </c>
      <c r="W775" s="20" t="n">
        <v>100</v>
      </c>
      <c r="X775" s="20" t="n">
        <v>28</v>
      </c>
      <c r="Y775" s="40">
        <f>ROUND((V775*'Methodology &amp; Assumptions'!$B$6)+(W775*'Methodology &amp; Assumptions'!$B$5)+(X775*'Methodology &amp; Assumptions'!$B$7), 2)</f>
        <v/>
      </c>
    </row>
    <row r="776" ht="19" customHeight="1">
      <c r="A776" s="41" t="n">
        <v>772</v>
      </c>
      <c r="B776" s="41" t="n">
        <v>3772</v>
      </c>
      <c r="C776" s="42" t="inlineStr">
        <is>
          <t>0301422027</t>
        </is>
      </c>
      <c r="D776" s="42" t="inlineStr">
        <is>
          <t>Region III (Central Luzon)</t>
        </is>
      </c>
      <c r="E776" s="42" t="inlineStr">
        <is>
          <t>Bulacan</t>
        </is>
      </c>
      <c r="F776" s="42" t="inlineStr">
        <is>
          <t>San Rafael</t>
        </is>
      </c>
      <c r="G776" s="42" t="inlineStr">
        <is>
          <t>Sampaloc</t>
        </is>
      </c>
      <c r="H776" s="43" t="n">
        <v>14.981613</v>
      </c>
      <c r="I776" s="43" t="n">
        <v>120.926629</v>
      </c>
      <c r="J776" s="44" t="inlineStr">
        <is>
          <t>U</t>
        </is>
      </c>
      <c r="K776" s="42" t="inlineStr">
        <is>
          <t>Class 1-3 / Urban</t>
        </is>
      </c>
      <c r="L776" s="23" t="n">
        <v>4480</v>
      </c>
      <c r="M776" s="24" t="n">
        <v>4.1</v>
      </c>
      <c r="N776" s="23">
        <f>ROUND(L776/M776, 0)</f>
        <v/>
      </c>
      <c r="O776" s="23">
        <f>ROUND(N776*'Methodology &amp; Assumptions'!$B$8, 0)</f>
        <v/>
      </c>
      <c r="P776" s="44" t="inlineStr">
        <is>
          <t>Band n50 (1.5 GHz, 60 MHz)</t>
        </is>
      </c>
      <c r="Q776" s="38">
        <f>ROUNDUP(O776/'Methodology &amp; Assumptions'!$B$9, 0)</f>
        <v/>
      </c>
      <c r="R776" s="39" t="n">
        <v>1</v>
      </c>
      <c r="S776" s="25" t="n">
        <v>1.84</v>
      </c>
      <c r="T776" s="25" t="n">
        <v>0.02</v>
      </c>
      <c r="U776" s="42" t="inlineStr">
        <is>
          <t>Tier 1B (Micro Drop, 1-3 km)</t>
        </is>
      </c>
      <c r="V776" s="24" t="n">
        <v>64.09999999999999</v>
      </c>
      <c r="W776" s="24" t="n">
        <v>100</v>
      </c>
      <c r="X776" s="24" t="n">
        <v>28</v>
      </c>
      <c r="Y776" s="45">
        <f>ROUND((V776*'Methodology &amp; Assumptions'!$B$6)+(W776*'Methodology &amp; Assumptions'!$B$5)+(X776*'Methodology &amp; Assumptions'!$B$7), 2)</f>
        <v/>
      </c>
    </row>
    <row r="777" ht="19" customHeight="1">
      <c r="A777" s="35" t="n">
        <v>773</v>
      </c>
      <c r="B777" s="35" t="n">
        <v>3773</v>
      </c>
      <c r="C777" s="36" t="inlineStr">
        <is>
          <t>0300809025</t>
        </is>
      </c>
      <c r="D777" s="36" t="inlineStr">
        <is>
          <t>Region III (Central Luzon)</t>
        </is>
      </c>
      <c r="E777" s="36" t="inlineStr">
        <is>
          <t>Bataan</t>
        </is>
      </c>
      <c r="F777" s="36" t="inlineStr">
        <is>
          <t>Orani</t>
        </is>
      </c>
      <c r="G777" s="36" t="inlineStr">
        <is>
          <t>Apollo</t>
        </is>
      </c>
      <c r="H777" s="37" t="n">
        <v>14.793243</v>
      </c>
      <c r="I777" s="37" t="n">
        <v>120.5353</v>
      </c>
      <c r="J777" s="8" t="inlineStr">
        <is>
          <t>R</t>
        </is>
      </c>
      <c r="K777" s="36" t="inlineStr">
        <is>
          <t>Class 1-3 / Urban</t>
        </is>
      </c>
      <c r="L777" s="18" t="n">
        <v>1865</v>
      </c>
      <c r="M777" s="20" t="n">
        <v>4.57</v>
      </c>
      <c r="N777" s="18">
        <f>ROUND(L777/M777, 0)</f>
        <v/>
      </c>
      <c r="O777" s="18">
        <f>ROUND(N777*'Methodology &amp; Assumptions'!$B$8, 0)</f>
        <v/>
      </c>
      <c r="P777" s="8" t="inlineStr">
        <is>
          <t>Band n50 (1.5 GHz, 60 MHz)</t>
        </is>
      </c>
      <c r="Q777" s="38">
        <f>ROUNDUP(O777/'Methodology &amp; Assumptions'!$B$9, 0)</f>
        <v/>
      </c>
      <c r="R777" s="39" t="n">
        <v>1</v>
      </c>
      <c r="S777" s="21" t="n">
        <v>0.99</v>
      </c>
      <c r="T777" s="21" t="n">
        <v>0.39</v>
      </c>
      <c r="U777" s="36" t="inlineStr">
        <is>
          <t>Tier 1A (Direct Coloc, &lt;1 km)</t>
        </is>
      </c>
      <c r="V777" s="20" t="n">
        <v>81.8</v>
      </c>
      <c r="W777" s="20" t="n">
        <v>56.5</v>
      </c>
      <c r="X777" s="20" t="n">
        <v>58</v>
      </c>
      <c r="Y777" s="40">
        <f>ROUND((V777*'Methodology &amp; Assumptions'!$B$6)+(W777*'Methodology &amp; Assumptions'!$B$5)+(X777*'Methodology &amp; Assumptions'!$B$7), 2)</f>
        <v/>
      </c>
    </row>
    <row r="778" ht="19" customHeight="1">
      <c r="A778" s="41" t="n">
        <v>774</v>
      </c>
      <c r="B778" s="41" t="n">
        <v>3774</v>
      </c>
      <c r="C778" s="42" t="inlineStr">
        <is>
          <t>1600201013</t>
        </is>
      </c>
      <c r="D778" s="42" t="inlineStr">
        <is>
          <t>Region XIII (Caraga)</t>
        </is>
      </c>
      <c r="E778" s="42" t="inlineStr">
        <is>
          <t>Agusan del Norte</t>
        </is>
      </c>
      <c r="F778" s="42" t="inlineStr">
        <is>
          <t>Buenavista</t>
        </is>
      </c>
      <c r="G778" s="42" t="inlineStr">
        <is>
          <t>Poblacion 1</t>
        </is>
      </c>
      <c r="H778" s="43" t="n">
        <v>8.967508</v>
      </c>
      <c r="I778" s="43" t="n">
        <v>125.410372</v>
      </c>
      <c r="J778" s="44" t="inlineStr">
        <is>
          <t>R</t>
        </is>
      </c>
      <c r="K778" s="42" t="inlineStr">
        <is>
          <t>Class 1-3 / Urban</t>
        </is>
      </c>
      <c r="L778" s="23" t="n">
        <v>1480</v>
      </c>
      <c r="M778" s="24" t="n">
        <v>4.63</v>
      </c>
      <c r="N778" s="23">
        <f>ROUND(L778/M778, 0)</f>
        <v/>
      </c>
      <c r="O778" s="23">
        <f>ROUND(N778*'Methodology &amp; Assumptions'!$B$8, 0)</f>
        <v/>
      </c>
      <c r="P778" s="44" t="inlineStr">
        <is>
          <t>Band n50 (1.5 GHz, 60 MHz)</t>
        </is>
      </c>
      <c r="Q778" s="38">
        <f>ROUNDUP(O778/'Methodology &amp; Assumptions'!$B$9, 0)</f>
        <v/>
      </c>
      <c r="R778" s="39" t="n">
        <v>1</v>
      </c>
      <c r="S778" s="25" t="n">
        <v>0.72</v>
      </c>
      <c r="T778" s="25" t="n">
        <v>0.28</v>
      </c>
      <c r="U778" s="42" t="inlineStr">
        <is>
          <t>Tier 1A (Direct Coloc, &lt;1 km)</t>
        </is>
      </c>
      <c r="V778" s="24" t="n">
        <v>88.8</v>
      </c>
      <c r="W778" s="24" t="n">
        <v>49.6</v>
      </c>
      <c r="X778" s="24" t="n">
        <v>58</v>
      </c>
      <c r="Y778" s="45">
        <f>ROUND((V778*'Methodology &amp; Assumptions'!$B$6)+(W778*'Methodology &amp; Assumptions'!$B$5)+(X778*'Methodology &amp; Assumptions'!$B$7), 2)</f>
        <v/>
      </c>
    </row>
    <row r="779" ht="19" customHeight="1">
      <c r="A779" s="35" t="n">
        <v>775</v>
      </c>
      <c r="B779" s="35" t="n">
        <v>3775</v>
      </c>
      <c r="C779" s="36" t="inlineStr">
        <is>
          <t>0301422014</t>
        </is>
      </c>
      <c r="D779" s="36" t="inlineStr">
        <is>
          <t>Region III (Central Luzon)</t>
        </is>
      </c>
      <c r="E779" s="36" t="inlineStr">
        <is>
          <t>Bulacan</t>
        </is>
      </c>
      <c r="F779" s="36" t="inlineStr">
        <is>
          <t>San Rafael</t>
        </is>
      </c>
      <c r="G779" s="36" t="inlineStr">
        <is>
          <t>Maguinao</t>
        </is>
      </c>
      <c r="H779" s="37" t="n">
        <v>15.02408</v>
      </c>
      <c r="I779" s="37" t="n">
        <v>120.934097</v>
      </c>
      <c r="J779" s="8" t="inlineStr">
        <is>
          <t>U</t>
        </is>
      </c>
      <c r="K779" s="36" t="inlineStr">
        <is>
          <t>Class 1-3 / Urban</t>
        </is>
      </c>
      <c r="L779" s="18" t="n">
        <v>4940</v>
      </c>
      <c r="M779" s="20" t="n">
        <v>4.1</v>
      </c>
      <c r="N779" s="18">
        <f>ROUND(L779/M779, 0)</f>
        <v/>
      </c>
      <c r="O779" s="18">
        <f>ROUND(N779*'Methodology &amp; Assumptions'!$B$8, 0)</f>
        <v/>
      </c>
      <c r="P779" s="8" t="inlineStr">
        <is>
          <t>Band n50 (1.5 GHz, 60 MHz)</t>
        </is>
      </c>
      <c r="Q779" s="38">
        <f>ROUNDUP(O779/'Methodology &amp; Assumptions'!$B$9, 0)</f>
        <v/>
      </c>
      <c r="R779" s="39" t="n">
        <v>1</v>
      </c>
      <c r="S779" s="21" t="n">
        <v>1.84</v>
      </c>
      <c r="T779" s="21" t="n">
        <v>0.1</v>
      </c>
      <c r="U779" s="36" t="inlineStr">
        <is>
          <t>Tier 1B (Micro Drop, 1-3 km)</t>
        </is>
      </c>
      <c r="V779" s="20" t="n">
        <v>64.09999999999999</v>
      </c>
      <c r="W779" s="20" t="n">
        <v>100</v>
      </c>
      <c r="X779" s="20" t="n">
        <v>28</v>
      </c>
      <c r="Y779" s="40">
        <f>ROUND((V779*'Methodology &amp; Assumptions'!$B$6)+(W779*'Methodology &amp; Assumptions'!$B$5)+(X779*'Methodology &amp; Assumptions'!$B$7), 2)</f>
        <v/>
      </c>
    </row>
    <row r="780" ht="19" customHeight="1">
      <c r="A780" s="41" t="n">
        <v>776</v>
      </c>
      <c r="B780" s="41" t="n">
        <v>3776</v>
      </c>
      <c r="C780" s="42" t="inlineStr">
        <is>
          <t>1004301008</t>
        </is>
      </c>
      <c r="D780" s="42" t="inlineStr">
        <is>
          <t>Region X (Northern Mindanao)</t>
        </is>
      </c>
      <c r="E780" s="42" t="inlineStr">
        <is>
          <t>Misamis Oriental</t>
        </is>
      </c>
      <c r="F780" s="42" t="inlineStr">
        <is>
          <t>Alubijid</t>
        </is>
      </c>
      <c r="G780" s="42" t="inlineStr">
        <is>
          <t>Lumbo</t>
        </is>
      </c>
      <c r="H780" s="43" t="n">
        <v>8.571966</v>
      </c>
      <c r="I780" s="43" t="n">
        <v>124.457553</v>
      </c>
      <c r="J780" s="44" t="inlineStr">
        <is>
          <t>R</t>
        </is>
      </c>
      <c r="K780" s="42" t="inlineStr">
        <is>
          <t>1st</t>
        </is>
      </c>
      <c r="L780" s="23" t="n">
        <v>2159</v>
      </c>
      <c r="M780" s="24" t="n">
        <v>3.84</v>
      </c>
      <c r="N780" s="23">
        <f>ROUND(L780/M780, 0)</f>
        <v/>
      </c>
      <c r="O780" s="23">
        <f>ROUND(N780*'Methodology &amp; Assumptions'!$B$8, 0)</f>
        <v/>
      </c>
      <c r="P780" s="44" t="inlineStr">
        <is>
          <t>Band n50 (1.5 GHz, 60 MHz)</t>
        </is>
      </c>
      <c r="Q780" s="38">
        <f>ROUNDUP(O780/'Methodology &amp; Assumptions'!$B$9, 0)</f>
        <v/>
      </c>
      <c r="R780" s="39" t="n">
        <v>1</v>
      </c>
      <c r="S780" s="25" t="n">
        <v>1.57</v>
      </c>
      <c r="T780" s="25" t="n">
        <v>0.15</v>
      </c>
      <c r="U780" s="42" t="inlineStr">
        <is>
          <t>Tier 1B (Micro Drop, 1-3 km)</t>
        </is>
      </c>
      <c r="V780" s="24" t="n">
        <v>69.3</v>
      </c>
      <c r="W780" s="24" t="n">
        <v>69.09999999999999</v>
      </c>
      <c r="X780" s="24" t="n">
        <v>58</v>
      </c>
      <c r="Y780" s="45">
        <f>ROUND((V780*'Methodology &amp; Assumptions'!$B$6)+(W780*'Methodology &amp; Assumptions'!$B$5)+(X780*'Methodology &amp; Assumptions'!$B$7), 2)</f>
        <v/>
      </c>
    </row>
    <row r="781" ht="19" customHeight="1">
      <c r="A781" s="35" t="n">
        <v>777</v>
      </c>
      <c r="B781" s="35" t="n">
        <v>3777</v>
      </c>
      <c r="C781" s="36" t="inlineStr">
        <is>
          <t>0500512026</t>
        </is>
      </c>
      <c r="D781" s="36" t="inlineStr">
        <is>
          <t>Region V (Bicol Region)</t>
        </is>
      </c>
      <c r="E781" s="36" t="inlineStr">
        <is>
          <t>Albay</t>
        </is>
      </c>
      <c r="F781" s="36" t="inlineStr">
        <is>
          <t>Oas</t>
        </is>
      </c>
      <c r="G781" s="36" t="inlineStr">
        <is>
          <t>Iraya Norte</t>
        </is>
      </c>
      <c r="H781" s="37" t="n">
        <v>13.25735</v>
      </c>
      <c r="I781" s="37" t="n">
        <v>123.502998</v>
      </c>
      <c r="J781" s="8" t="inlineStr">
        <is>
          <t>R</t>
        </is>
      </c>
      <c r="K781" s="36" t="inlineStr">
        <is>
          <t>Class 1-3 / Urban</t>
        </is>
      </c>
      <c r="L781" s="18" t="n">
        <v>1675</v>
      </c>
      <c r="M781" s="20" t="n">
        <v>4.67</v>
      </c>
      <c r="N781" s="18">
        <f>ROUND(L781/M781, 0)</f>
        <v/>
      </c>
      <c r="O781" s="18">
        <f>ROUND(N781*'Methodology &amp; Assumptions'!$B$8, 0)</f>
        <v/>
      </c>
      <c r="P781" s="8" t="inlineStr">
        <is>
          <t>Band n50 (1.5 GHz, 60 MHz)</t>
        </is>
      </c>
      <c r="Q781" s="38">
        <f>ROUNDUP(O781/'Methodology &amp; Assumptions'!$B$9, 0)</f>
        <v/>
      </c>
      <c r="R781" s="39" t="n">
        <v>1</v>
      </c>
      <c r="S781" s="21" t="n">
        <v>0.84</v>
      </c>
      <c r="T781" s="21" t="n">
        <v>0.23</v>
      </c>
      <c r="U781" s="36" t="inlineStr">
        <is>
          <t>Tier 1A (Direct Coloc, &lt;1 km)</t>
        </is>
      </c>
      <c r="V781" s="20" t="n">
        <v>85.5</v>
      </c>
      <c r="W781" s="20" t="n">
        <v>52.8</v>
      </c>
      <c r="X781" s="20" t="n">
        <v>58</v>
      </c>
      <c r="Y781" s="40">
        <f>ROUND((V781*'Methodology &amp; Assumptions'!$B$6)+(W781*'Methodology &amp; Assumptions'!$B$5)+(X781*'Methodology &amp; Assumptions'!$B$7), 2)</f>
        <v/>
      </c>
    </row>
    <row r="782" ht="19" customHeight="1">
      <c r="A782" s="41" t="n">
        <v>778</v>
      </c>
      <c r="B782" s="41" t="n">
        <v>3778</v>
      </c>
      <c r="C782" s="42" t="inlineStr">
        <is>
          <t>0304906019</t>
        </is>
      </c>
      <c r="D782" s="42" t="inlineStr">
        <is>
          <t>Region III (Central Luzon)</t>
        </is>
      </c>
      <c r="E782" s="42" t="inlineStr">
        <is>
          <t>Nueva Ecija</t>
        </is>
      </c>
      <c r="F782" s="42" t="inlineStr">
        <is>
          <t>Cuyapo</t>
        </is>
      </c>
      <c r="G782" s="42" t="inlineStr">
        <is>
          <t>District II</t>
        </is>
      </c>
      <c r="H782" s="43" t="n">
        <v>15.783232</v>
      </c>
      <c r="I782" s="43" t="n">
        <v>120.664159</v>
      </c>
      <c r="J782" s="44" t="inlineStr">
        <is>
          <t>R</t>
        </is>
      </c>
      <c r="K782" s="42" t="inlineStr">
        <is>
          <t>Class 1-3 / Urban</t>
        </is>
      </c>
      <c r="L782" s="23" t="n">
        <v>1472</v>
      </c>
      <c r="M782" s="24" t="n">
        <v>4.32</v>
      </c>
      <c r="N782" s="23">
        <f>ROUND(L782/M782, 0)</f>
        <v/>
      </c>
      <c r="O782" s="23">
        <f>ROUND(N782*'Methodology &amp; Assumptions'!$B$8, 0)</f>
        <v/>
      </c>
      <c r="P782" s="44" t="inlineStr">
        <is>
          <t>Band n50 (1.5 GHz, 60 MHz)</t>
        </is>
      </c>
      <c r="Q782" s="38">
        <f>ROUNDUP(O782/'Methodology &amp; Assumptions'!$B$9, 0)</f>
        <v/>
      </c>
      <c r="R782" s="39" t="n">
        <v>1</v>
      </c>
      <c r="S782" s="25" t="n">
        <v>0.41</v>
      </c>
      <c r="T782" s="25" t="n">
        <v>6.23</v>
      </c>
      <c r="U782" s="42" t="inlineStr">
        <is>
          <t>Tier 1A (Direct Coloc, &lt;1 km)</t>
        </is>
      </c>
      <c r="V782" s="24" t="n">
        <v>87.09999999999999</v>
      </c>
      <c r="W782" s="24" t="n">
        <v>51.2</v>
      </c>
      <c r="X782" s="24" t="n">
        <v>58</v>
      </c>
      <c r="Y782" s="45">
        <f>ROUND((V782*'Methodology &amp; Assumptions'!$B$6)+(W782*'Methodology &amp; Assumptions'!$B$5)+(X782*'Methodology &amp; Assumptions'!$B$7), 2)</f>
        <v/>
      </c>
    </row>
    <row r="783" ht="19" customHeight="1">
      <c r="A783" s="35" t="n">
        <v>779</v>
      </c>
      <c r="B783" s="35" t="n">
        <v>3779</v>
      </c>
      <c r="C783" s="36" t="inlineStr">
        <is>
          <t>0500517039</t>
        </is>
      </c>
      <c r="D783" s="36" t="inlineStr">
        <is>
          <t>Region V (Bicol Region)</t>
        </is>
      </c>
      <c r="E783" s="36" t="inlineStr">
        <is>
          <t>Albay</t>
        </is>
      </c>
      <c r="F783" s="36" t="inlineStr">
        <is>
          <t>City of Tabaco</t>
        </is>
      </c>
      <c r="G783" s="36" t="inlineStr">
        <is>
          <t>San Lorenzo</t>
        </is>
      </c>
      <c r="H783" s="37" t="n">
        <v>13.336679</v>
      </c>
      <c r="I783" s="37" t="n">
        <v>123.735519</v>
      </c>
      <c r="J783" s="8" t="inlineStr">
        <is>
          <t>U</t>
        </is>
      </c>
      <c r="K783" s="36" t="inlineStr">
        <is>
          <t>Class 1-3 / Urban</t>
        </is>
      </c>
      <c r="L783" s="18" t="n">
        <v>8117</v>
      </c>
      <c r="M783" s="20" t="n">
        <v>4.67</v>
      </c>
      <c r="N783" s="18">
        <f>ROUND(L783/M783, 0)</f>
        <v/>
      </c>
      <c r="O783" s="18">
        <f>ROUND(N783*'Methodology &amp; Assumptions'!$B$8, 0)</f>
        <v/>
      </c>
      <c r="P783" s="8" t="inlineStr">
        <is>
          <t>Band n50 (1.5 GHz, 60 MHz)</t>
        </is>
      </c>
      <c r="Q783" s="38">
        <f>ROUNDUP(O783/'Methodology &amp; Assumptions'!$B$9, 0)</f>
        <v/>
      </c>
      <c r="R783" s="39" t="n">
        <v>1</v>
      </c>
      <c r="S783" s="21" t="n">
        <v>1.84</v>
      </c>
      <c r="T783" s="21" t="n">
        <v>0.24</v>
      </c>
      <c r="U783" s="36" t="inlineStr">
        <is>
          <t>Tier 1B (Micro Drop, 1-3 km)</t>
        </is>
      </c>
      <c r="V783" s="20" t="n">
        <v>64.09999999999999</v>
      </c>
      <c r="W783" s="20" t="n">
        <v>100</v>
      </c>
      <c r="X783" s="20" t="n">
        <v>28</v>
      </c>
      <c r="Y783" s="40">
        <f>ROUND((V783*'Methodology &amp; Assumptions'!$B$6)+(W783*'Methodology &amp; Assumptions'!$B$5)+(X783*'Methodology &amp; Assumptions'!$B$7), 2)</f>
        <v/>
      </c>
    </row>
    <row r="784" ht="19" customHeight="1">
      <c r="A784" s="41" t="n">
        <v>780</v>
      </c>
      <c r="B784" s="41" t="n">
        <v>3780</v>
      </c>
      <c r="C784" s="42" t="inlineStr">
        <is>
          <t>0105518025</t>
        </is>
      </c>
      <c r="D784" s="42" t="inlineStr">
        <is>
          <t>Region I (Ilocos Region)</t>
        </is>
      </c>
      <c r="E784" s="42" t="inlineStr">
        <is>
          <t>Pangasinan</t>
        </is>
      </c>
      <c r="F784" s="42" t="inlineStr">
        <is>
          <t>City of Dagupan</t>
        </is>
      </c>
      <c r="G784" s="42" t="inlineStr">
        <is>
          <t>Pogo Chico</t>
        </is>
      </c>
      <c r="H784" s="43" t="n">
        <v>16.036363</v>
      </c>
      <c r="I784" s="43" t="n">
        <v>120.336557</v>
      </c>
      <c r="J784" s="44" t="inlineStr">
        <is>
          <t>U</t>
        </is>
      </c>
      <c r="K784" s="42" t="inlineStr">
        <is>
          <t>Class 1-3 / Urban</t>
        </is>
      </c>
      <c r="L784" s="23" t="n">
        <v>4389</v>
      </c>
      <c r="M784" s="24" t="n">
        <v>4.39</v>
      </c>
      <c r="N784" s="23">
        <f>ROUND(L784/M784, 0)</f>
        <v/>
      </c>
      <c r="O784" s="23">
        <f>ROUND(N784*'Methodology &amp; Assumptions'!$B$8, 0)</f>
        <v/>
      </c>
      <c r="P784" s="44" t="inlineStr">
        <is>
          <t>Band n50 (1.5 GHz, 60 MHz)</t>
        </is>
      </c>
      <c r="Q784" s="38">
        <f>ROUNDUP(O784/'Methodology &amp; Assumptions'!$B$9, 0)</f>
        <v/>
      </c>
      <c r="R784" s="39" t="n">
        <v>1</v>
      </c>
      <c r="S784" s="25" t="n">
        <v>1.85</v>
      </c>
      <c r="T784" s="25" t="n">
        <v>0.42</v>
      </c>
      <c r="U784" s="42" t="inlineStr">
        <is>
          <t>Tier 1B (Micro Drop, 1-3 km)</t>
        </is>
      </c>
      <c r="V784" s="24" t="n">
        <v>64.09999999999999</v>
      </c>
      <c r="W784" s="24" t="n">
        <v>100</v>
      </c>
      <c r="X784" s="24" t="n">
        <v>28</v>
      </c>
      <c r="Y784" s="45">
        <f>ROUND((V784*'Methodology &amp; Assumptions'!$B$6)+(W784*'Methodology &amp; Assumptions'!$B$5)+(X784*'Methodology &amp; Assumptions'!$B$7), 2)</f>
        <v/>
      </c>
    </row>
    <row r="785" ht="19" customHeight="1">
      <c r="A785" s="35" t="n">
        <v>781</v>
      </c>
      <c r="B785" s="35" t="n">
        <v>3781</v>
      </c>
      <c r="C785" s="36" t="inlineStr">
        <is>
          <t>1402704027</t>
        </is>
      </c>
      <c r="D785" s="36" t="inlineStr">
        <is>
          <t>Cordillera Administrative Region (CAR)</t>
        </is>
      </c>
      <c r="E785" s="36" t="inlineStr">
        <is>
          <t>Ifugao</t>
        </is>
      </c>
      <c r="F785" s="36" t="inlineStr">
        <is>
          <t>Lagawe</t>
        </is>
      </c>
      <c r="G785" s="36" t="inlineStr">
        <is>
          <t>Poblacion North</t>
        </is>
      </c>
      <c r="H785" s="37" t="n">
        <v>16.802961</v>
      </c>
      <c r="I785" s="37" t="n">
        <v>121.118776</v>
      </c>
      <c r="J785" s="8" t="inlineStr">
        <is>
          <t>R</t>
        </is>
      </c>
      <c r="K785" s="36" t="inlineStr">
        <is>
          <t>3rd</t>
        </is>
      </c>
      <c r="L785" s="18" t="n">
        <v>1817</v>
      </c>
      <c r="M785" s="20" t="n">
        <v>4.87</v>
      </c>
      <c r="N785" s="18">
        <f>ROUND(L785/M785, 0)</f>
        <v/>
      </c>
      <c r="O785" s="18">
        <f>ROUND(N785*'Methodology &amp; Assumptions'!$B$8, 0)</f>
        <v/>
      </c>
      <c r="P785" s="8" t="inlineStr">
        <is>
          <t>Band n50 (1.5 GHz, 60 MHz)</t>
        </is>
      </c>
      <c r="Q785" s="38">
        <f>ROUNDUP(O785/'Methodology &amp; Assumptions'!$B$9, 0)</f>
        <v/>
      </c>
      <c r="R785" s="39" t="n">
        <v>1</v>
      </c>
      <c r="S785" s="21" t="n">
        <v>0.73</v>
      </c>
      <c r="T785" s="21" t="n">
        <v>0.2</v>
      </c>
      <c r="U785" s="36" t="inlineStr">
        <is>
          <t>Tier 1A (Direct Coloc, &lt;1 km)</t>
        </is>
      </c>
      <c r="V785" s="20" t="n">
        <v>88.40000000000001</v>
      </c>
      <c r="W785" s="20" t="n">
        <v>49.9</v>
      </c>
      <c r="X785" s="20" t="n">
        <v>58</v>
      </c>
      <c r="Y785" s="40">
        <f>ROUND((V785*'Methodology &amp; Assumptions'!$B$6)+(W785*'Methodology &amp; Assumptions'!$B$5)+(X785*'Methodology &amp; Assumptions'!$B$7), 2)</f>
        <v/>
      </c>
    </row>
    <row r="786" ht="19" customHeight="1">
      <c r="A786" s="41" t="n">
        <v>782</v>
      </c>
      <c r="B786" s="41" t="n">
        <v>3782</v>
      </c>
      <c r="C786" s="42" t="inlineStr">
        <is>
          <t>0806417027</t>
        </is>
      </c>
      <c r="D786" s="42" t="inlineStr">
        <is>
          <t>Region VIII (Eastern Visayas)</t>
        </is>
      </c>
      <c r="E786" s="42" t="inlineStr">
        <is>
          <t>Southern Leyte</t>
        </is>
      </c>
      <c r="F786" s="42" t="inlineStr">
        <is>
          <t>Sogod</t>
        </is>
      </c>
      <c r="G786" s="42" t="inlineStr">
        <is>
          <t>Zone I</t>
        </is>
      </c>
      <c r="H786" s="43" t="n">
        <v>10.386969</v>
      </c>
      <c r="I786" s="43" t="n">
        <v>124.978995</v>
      </c>
      <c r="J786" s="44" t="inlineStr">
        <is>
          <t>U</t>
        </is>
      </c>
      <c r="K786" s="42" t="inlineStr">
        <is>
          <t>Class 1-3 / Urban</t>
        </is>
      </c>
      <c r="L786" s="23" t="n">
        <v>1641</v>
      </c>
      <c r="M786" s="24" t="n">
        <v>4.53</v>
      </c>
      <c r="N786" s="23">
        <f>ROUND(L786/M786, 0)</f>
        <v/>
      </c>
      <c r="O786" s="23">
        <f>ROUND(N786*'Methodology &amp; Assumptions'!$B$8, 0)</f>
        <v/>
      </c>
      <c r="P786" s="44" t="inlineStr">
        <is>
          <t>Band n50 (1.5 GHz, 60 MHz)</t>
        </is>
      </c>
      <c r="Q786" s="38">
        <f>ROUNDUP(O786/'Methodology &amp; Assumptions'!$B$9, 0)</f>
        <v/>
      </c>
      <c r="R786" s="39" t="n">
        <v>1</v>
      </c>
      <c r="S786" s="25" t="n">
        <v>0.38</v>
      </c>
      <c r="T786" s="25" t="n">
        <v>0.39</v>
      </c>
      <c r="U786" s="42" t="inlineStr">
        <is>
          <t>Tier 1A (Direct Coloc, &lt;1 km)</t>
        </is>
      </c>
      <c r="V786" s="24" t="n">
        <v>98.09999999999999</v>
      </c>
      <c r="W786" s="24" t="n">
        <v>53.1</v>
      </c>
      <c r="X786" s="24" t="n">
        <v>43</v>
      </c>
      <c r="Y786" s="45">
        <f>ROUND((V786*'Methodology &amp; Assumptions'!$B$6)+(W786*'Methodology &amp; Assumptions'!$B$5)+(X786*'Methodology &amp; Assumptions'!$B$7), 2)</f>
        <v/>
      </c>
    </row>
    <row r="787" ht="19" customHeight="1">
      <c r="A787" s="35" t="n">
        <v>783</v>
      </c>
      <c r="B787" s="35" t="n">
        <v>3783</v>
      </c>
      <c r="C787" s="36" t="inlineStr">
        <is>
          <t>0731300019</t>
        </is>
      </c>
      <c r="D787" s="36" t="inlineStr">
        <is>
          <t>Region VII (Central Visayas)</t>
        </is>
      </c>
      <c r="E787" s="36" t="inlineStr">
        <is>
          <t>Cebu</t>
        </is>
      </c>
      <c r="F787" s="36" t="inlineStr">
        <is>
          <t>City of Mandaue</t>
        </is>
      </c>
      <c r="G787" s="36" t="inlineStr">
        <is>
          <t>Opao</t>
        </is>
      </c>
      <c r="H787" s="37" t="n">
        <v>10.32881</v>
      </c>
      <c r="I787" s="37" t="n">
        <v>123.955005</v>
      </c>
      <c r="J787" s="8" t="inlineStr">
        <is>
          <t>U</t>
        </is>
      </c>
      <c r="K787" s="36" t="inlineStr">
        <is>
          <t>Class 1-3 / Urban</t>
        </is>
      </c>
      <c r="L787" s="18" t="n">
        <v>12014</v>
      </c>
      <c r="M787" s="20" t="n">
        <v>4.42</v>
      </c>
      <c r="N787" s="18">
        <f>ROUND(L787/M787, 0)</f>
        <v/>
      </c>
      <c r="O787" s="18">
        <f>ROUND(N787*'Methodology &amp; Assumptions'!$B$8, 0)</f>
        <v/>
      </c>
      <c r="P787" s="8" t="inlineStr">
        <is>
          <t>Band n50 (1.5 GHz, 60 MHz)</t>
        </is>
      </c>
      <c r="Q787" s="38">
        <f>ROUNDUP(O787/'Methodology &amp; Assumptions'!$B$9, 0)</f>
        <v/>
      </c>
      <c r="R787" s="39" t="n">
        <v>1</v>
      </c>
      <c r="S787" s="21" t="n">
        <v>1.85</v>
      </c>
      <c r="T787" s="21" t="n">
        <v>1.57</v>
      </c>
      <c r="U787" s="36" t="inlineStr">
        <is>
          <t>Tier 1B (Micro Drop, 1-3 km)</t>
        </is>
      </c>
      <c r="V787" s="20" t="n">
        <v>64</v>
      </c>
      <c r="W787" s="20" t="n">
        <v>100</v>
      </c>
      <c r="X787" s="20" t="n">
        <v>28</v>
      </c>
      <c r="Y787" s="40">
        <f>ROUND((V787*'Methodology &amp; Assumptions'!$B$6)+(W787*'Methodology &amp; Assumptions'!$B$5)+(X787*'Methodology &amp; Assumptions'!$B$7), 2)</f>
        <v/>
      </c>
    </row>
    <row r="788" ht="19" customHeight="1">
      <c r="A788" s="41" t="n">
        <v>784</v>
      </c>
      <c r="B788" s="41" t="n">
        <v>3784</v>
      </c>
      <c r="C788" s="42" t="inlineStr">
        <is>
          <t>0102934001</t>
        </is>
      </c>
      <c r="D788" s="42" t="inlineStr">
        <is>
          <t>Region I (Ilocos Region)</t>
        </is>
      </c>
      <c r="E788" s="42" t="inlineStr">
        <is>
          <t>Ilocos Sur</t>
        </is>
      </c>
      <c r="F788" s="42" t="inlineStr">
        <is>
          <t>City of Vigan</t>
        </is>
      </c>
      <c r="G788" s="42" t="inlineStr">
        <is>
          <t>Ayusan Norte</t>
        </is>
      </c>
      <c r="H788" s="43" t="n">
        <v>17.574492</v>
      </c>
      <c r="I788" s="43" t="n">
        <v>120.376697</v>
      </c>
      <c r="J788" s="44" t="inlineStr">
        <is>
          <t>R</t>
        </is>
      </c>
      <c r="K788" s="42" t="inlineStr">
        <is>
          <t>Class 1-3 / Urban</t>
        </is>
      </c>
      <c r="L788" s="23" t="n">
        <v>3526</v>
      </c>
      <c r="M788" s="24" t="n">
        <v>4.56</v>
      </c>
      <c r="N788" s="23">
        <f>ROUND(L788/M788, 0)</f>
        <v/>
      </c>
      <c r="O788" s="23">
        <f>ROUND(N788*'Methodology &amp; Assumptions'!$B$8, 0)</f>
        <v/>
      </c>
      <c r="P788" s="44" t="inlineStr">
        <is>
          <t>Band n50 (1.5 GHz, 60 MHz)</t>
        </is>
      </c>
      <c r="Q788" s="38">
        <f>ROUNDUP(O788/'Methodology &amp; Assumptions'!$B$9, 0)</f>
        <v/>
      </c>
      <c r="R788" s="39" t="n">
        <v>1</v>
      </c>
      <c r="S788" s="25" t="n">
        <v>2.57</v>
      </c>
      <c r="T788" s="25" t="n">
        <v>1.71</v>
      </c>
      <c r="U788" s="42" t="inlineStr">
        <is>
          <t>Tier 1B (Micro Drop, 1-3 km)</t>
        </is>
      </c>
      <c r="V788" s="24" t="n">
        <v>52.4</v>
      </c>
      <c r="W788" s="24" t="n">
        <v>85.90000000000001</v>
      </c>
      <c r="X788" s="24" t="n">
        <v>58</v>
      </c>
      <c r="Y788" s="45">
        <f>ROUND((V788*'Methodology &amp; Assumptions'!$B$6)+(W788*'Methodology &amp; Assumptions'!$B$5)+(X788*'Methodology &amp; Assumptions'!$B$7), 2)</f>
        <v/>
      </c>
    </row>
    <row r="789" ht="19" customHeight="1">
      <c r="A789" s="35" t="n">
        <v>785</v>
      </c>
      <c r="B789" s="35" t="n">
        <v>3785</v>
      </c>
      <c r="C789" s="36" t="inlineStr">
        <is>
          <t>0704619009</t>
        </is>
      </c>
      <c r="D789" s="36" t="inlineStr">
        <is>
          <t>Region VII (Central Visayas)</t>
        </is>
      </c>
      <c r="E789" s="36" t="inlineStr">
        <is>
          <t>Negros Oriental</t>
        </is>
      </c>
      <c r="F789" s="36" t="inlineStr">
        <is>
          <t>Siaton</t>
        </is>
      </c>
      <c r="G789" s="36" t="inlineStr">
        <is>
          <t>Caticugan</t>
        </is>
      </c>
      <c r="H789" s="37" t="n">
        <v>9.076567000000001</v>
      </c>
      <c r="I789" s="37" t="n">
        <v>123.0235</v>
      </c>
      <c r="J789" s="8" t="inlineStr">
        <is>
          <t>R</t>
        </is>
      </c>
      <c r="K789" s="36" t="inlineStr">
        <is>
          <t>Class 1-3 / Urban</t>
        </is>
      </c>
      <c r="L789" s="18" t="n">
        <v>2767</v>
      </c>
      <c r="M789" s="20" t="n">
        <v>4.33</v>
      </c>
      <c r="N789" s="18">
        <f>ROUND(L789/M789, 0)</f>
        <v/>
      </c>
      <c r="O789" s="18">
        <f>ROUND(N789*'Methodology &amp; Assumptions'!$B$8, 0)</f>
        <v/>
      </c>
      <c r="P789" s="8" t="inlineStr">
        <is>
          <t>Band n50 (1.5 GHz, 60 MHz)</t>
        </is>
      </c>
      <c r="Q789" s="38">
        <f>ROUNDUP(O789/'Methodology &amp; Assumptions'!$B$9, 0)</f>
        <v/>
      </c>
      <c r="R789" s="39" t="n">
        <v>1</v>
      </c>
      <c r="S789" s="21" t="n">
        <v>1.9</v>
      </c>
      <c r="T789" s="21" t="n">
        <v>1.89</v>
      </c>
      <c r="U789" s="36" t="inlineStr">
        <is>
          <t>Tier 1B (Micro Drop, 1-3 km)</t>
        </is>
      </c>
      <c r="V789" s="20" t="n">
        <v>63.1</v>
      </c>
      <c r="W789" s="20" t="n">
        <v>75.2</v>
      </c>
      <c r="X789" s="20" t="n">
        <v>58</v>
      </c>
      <c r="Y789" s="40">
        <f>ROUND((V789*'Methodology &amp; Assumptions'!$B$6)+(W789*'Methodology &amp; Assumptions'!$B$5)+(X789*'Methodology &amp; Assumptions'!$B$7), 2)</f>
        <v/>
      </c>
    </row>
    <row r="790" ht="19" customHeight="1">
      <c r="A790" s="41" t="n">
        <v>786</v>
      </c>
      <c r="B790" s="41" t="n">
        <v>3786</v>
      </c>
      <c r="C790" s="42" t="inlineStr">
        <is>
          <t>0102818015</t>
        </is>
      </c>
      <c r="D790" s="42" t="inlineStr">
        <is>
          <t>Region I (Ilocos Region)</t>
        </is>
      </c>
      <c r="E790" s="42" t="inlineStr">
        <is>
          <t>Ilocos Norte</t>
        </is>
      </c>
      <c r="F790" s="42" t="inlineStr">
        <is>
          <t>Piddig</t>
        </is>
      </c>
      <c r="G790" s="42" t="inlineStr">
        <is>
          <t>Loing</t>
        </is>
      </c>
      <c r="H790" s="43" t="n">
        <v>18.161436</v>
      </c>
      <c r="I790" s="43" t="n">
        <v>120.707691</v>
      </c>
      <c r="J790" s="44" t="inlineStr">
        <is>
          <t>R</t>
        </is>
      </c>
      <c r="K790" s="42" t="inlineStr">
        <is>
          <t>Class 1-3 / Urban</t>
        </is>
      </c>
      <c r="L790" s="23" t="n">
        <v>1575</v>
      </c>
      <c r="M790" s="24" t="n">
        <v>4.35</v>
      </c>
      <c r="N790" s="23">
        <f>ROUND(L790/M790, 0)</f>
        <v/>
      </c>
      <c r="O790" s="23">
        <f>ROUND(N790*'Methodology &amp; Assumptions'!$B$8, 0)</f>
        <v/>
      </c>
      <c r="P790" s="44" t="inlineStr">
        <is>
          <t>Band n50 (1.5 GHz, 60 MHz)</t>
        </is>
      </c>
      <c r="Q790" s="38">
        <f>ROUNDUP(O790/'Methodology &amp; Assumptions'!$B$9, 0)</f>
        <v/>
      </c>
      <c r="R790" s="39" t="n">
        <v>1</v>
      </c>
      <c r="S790" s="25" t="n">
        <v>0.85</v>
      </c>
      <c r="T790" s="25" t="n">
        <v>0.61</v>
      </c>
      <c r="U790" s="42" t="inlineStr">
        <is>
          <t>Tier 1A (Direct Coloc, &lt;1 km)</t>
        </is>
      </c>
      <c r="V790" s="24" t="n">
        <v>85.2</v>
      </c>
      <c r="W790" s="24" t="n">
        <v>53.1</v>
      </c>
      <c r="X790" s="24" t="n">
        <v>58</v>
      </c>
      <c r="Y790" s="45">
        <f>ROUND((V790*'Methodology &amp; Assumptions'!$B$6)+(W790*'Methodology &amp; Assumptions'!$B$5)+(X790*'Methodology &amp; Assumptions'!$B$7), 2)</f>
        <v/>
      </c>
    </row>
    <row r="791" ht="19" customHeight="1">
      <c r="A791" s="35" t="n">
        <v>787</v>
      </c>
      <c r="B791" s="35" t="n">
        <v>3787</v>
      </c>
      <c r="C791" s="36" t="inlineStr">
        <is>
          <t>0431200010</t>
        </is>
      </c>
      <c r="D791" s="36" t="inlineStr">
        <is>
          <t>Region IV-A (CALABARZON)</t>
        </is>
      </c>
      <c r="E791" s="36" t="inlineStr">
        <is>
          <t>Quezon</t>
        </is>
      </c>
      <c r="F791" s="36" t="inlineStr">
        <is>
          <t>City of Lucena</t>
        </is>
      </c>
      <c r="G791" s="36" t="inlineStr">
        <is>
          <t>Barangay 7</t>
        </is>
      </c>
      <c r="H791" s="37" t="n">
        <v>13.933138</v>
      </c>
      <c r="I791" s="37" t="n">
        <v>121.610782</v>
      </c>
      <c r="J791" s="8" t="inlineStr">
        <is>
          <t>U</t>
        </is>
      </c>
      <c r="K791" s="36" t="inlineStr">
        <is>
          <t>Class 1-3 / Urban</t>
        </is>
      </c>
      <c r="L791" s="18" t="n">
        <v>2229</v>
      </c>
      <c r="M791" s="20" t="n">
        <v>4.46</v>
      </c>
      <c r="N791" s="18">
        <f>ROUND(L791/M791, 0)</f>
        <v/>
      </c>
      <c r="O791" s="18">
        <f>ROUND(N791*'Methodology &amp; Assumptions'!$B$8, 0)</f>
        <v/>
      </c>
      <c r="P791" s="8" t="inlineStr">
        <is>
          <t>Band n50 (1.5 GHz, 60 MHz)</t>
        </is>
      </c>
      <c r="Q791" s="38">
        <f>ROUNDUP(O791/'Methodology &amp; Assumptions'!$B$9, 0)</f>
        <v/>
      </c>
      <c r="R791" s="39" t="n">
        <v>1</v>
      </c>
      <c r="S791" s="21" t="n">
        <v>0.08</v>
      </c>
      <c r="T791" s="21" t="n">
        <v>0.06</v>
      </c>
      <c r="U791" s="36" t="inlineStr">
        <is>
          <t>Tier 1A (Direct Coloc, &lt;1 km)</t>
        </is>
      </c>
      <c r="V791" s="20" t="n">
        <v>100</v>
      </c>
      <c r="W791" s="20" t="n">
        <v>64</v>
      </c>
      <c r="X791" s="20" t="n">
        <v>28</v>
      </c>
      <c r="Y791" s="40">
        <f>ROUND((V791*'Methodology &amp; Assumptions'!$B$6)+(W791*'Methodology &amp; Assumptions'!$B$5)+(X791*'Methodology &amp; Assumptions'!$B$7), 2)</f>
        <v/>
      </c>
    </row>
    <row r="792" ht="19" customHeight="1">
      <c r="A792" s="41" t="n">
        <v>788</v>
      </c>
      <c r="B792" s="41" t="n">
        <v>3788</v>
      </c>
      <c r="C792" s="42" t="inlineStr">
        <is>
          <t>0301407015</t>
        </is>
      </c>
      <c r="D792" s="42" t="inlineStr">
        <is>
          <t>Region III (Central Luzon)</t>
        </is>
      </c>
      <c r="E792" s="42" t="inlineStr">
        <is>
          <t>Bulacan</t>
        </is>
      </c>
      <c r="F792" s="42" t="inlineStr">
        <is>
          <t>Calumpit</t>
        </is>
      </c>
      <c r="G792" s="42" t="inlineStr">
        <is>
          <t>Longos</t>
        </is>
      </c>
      <c r="H792" s="43" t="n">
        <v>14.876182</v>
      </c>
      <c r="I792" s="43" t="n">
        <v>120.784218</v>
      </c>
      <c r="J792" s="44" t="inlineStr">
        <is>
          <t>R</t>
        </is>
      </c>
      <c r="K792" s="42" t="inlineStr">
        <is>
          <t>Class 1-3 / Urban</t>
        </is>
      </c>
      <c r="L792" s="23" t="n">
        <v>4265</v>
      </c>
      <c r="M792" s="24" t="n">
        <v>4.1</v>
      </c>
      <c r="N792" s="23">
        <f>ROUND(L792/M792, 0)</f>
        <v/>
      </c>
      <c r="O792" s="23">
        <f>ROUND(N792*'Methodology &amp; Assumptions'!$B$8, 0)</f>
        <v/>
      </c>
      <c r="P792" s="44" t="inlineStr">
        <is>
          <t>Band n50 (1.5 GHz, 60 MHz)</t>
        </is>
      </c>
      <c r="Q792" s="38">
        <f>ROUNDUP(O792/'Methodology &amp; Assumptions'!$B$9, 0)</f>
        <v/>
      </c>
      <c r="R792" s="39" t="n">
        <v>1</v>
      </c>
      <c r="S792" s="25" t="n">
        <v>3.79</v>
      </c>
      <c r="T792" s="25" t="n">
        <v>0.89</v>
      </c>
      <c r="U792" s="42" t="inlineStr">
        <is>
          <t>Tier 2 (Fiber Corridor / Lateral, 3-5 km)</t>
        </is>
      </c>
      <c r="V792" s="24" t="n">
        <v>38.3</v>
      </c>
      <c r="W792" s="24" t="n">
        <v>100</v>
      </c>
      <c r="X792" s="24" t="n">
        <v>58</v>
      </c>
      <c r="Y792" s="45">
        <f>ROUND((V792*'Methodology &amp; Assumptions'!$B$6)+(W792*'Methodology &amp; Assumptions'!$B$5)+(X792*'Methodology &amp; Assumptions'!$B$7), 2)</f>
        <v/>
      </c>
    </row>
    <row r="793" ht="19" customHeight="1">
      <c r="A793" s="35" t="n">
        <v>789</v>
      </c>
      <c r="B793" s="35" t="n">
        <v>3789</v>
      </c>
      <c r="C793" s="36" t="inlineStr">
        <is>
          <t>0301405014</t>
        </is>
      </c>
      <c r="D793" s="36" t="inlineStr">
        <is>
          <t>Region III (Central Luzon)</t>
        </is>
      </c>
      <c r="E793" s="36" t="inlineStr">
        <is>
          <t>Bulacan</t>
        </is>
      </c>
      <c r="F793" s="36" t="inlineStr">
        <is>
          <t>Bulacan</t>
        </is>
      </c>
      <c r="G793" s="36" t="inlineStr">
        <is>
          <t>Santa Ines</t>
        </is>
      </c>
      <c r="H793" s="37" t="n">
        <v>14.786035</v>
      </c>
      <c r="I793" s="37" t="n">
        <v>120.881715</v>
      </c>
      <c r="J793" s="8" t="inlineStr">
        <is>
          <t>R</t>
        </is>
      </c>
      <c r="K793" s="36" t="inlineStr">
        <is>
          <t>Class 1-3 / Urban</t>
        </is>
      </c>
      <c r="L793" s="18" t="n">
        <v>2399</v>
      </c>
      <c r="M793" s="20" t="n">
        <v>4.1</v>
      </c>
      <c r="N793" s="18">
        <f>ROUND(L793/M793, 0)</f>
        <v/>
      </c>
      <c r="O793" s="18">
        <f>ROUND(N793*'Methodology &amp; Assumptions'!$B$8, 0)</f>
        <v/>
      </c>
      <c r="P793" s="8" t="inlineStr">
        <is>
          <t>Band n50 (1.5 GHz, 60 MHz)</t>
        </is>
      </c>
      <c r="Q793" s="38">
        <f>ROUNDUP(O793/'Methodology &amp; Assumptions'!$B$9, 0)</f>
        <v/>
      </c>
      <c r="R793" s="39" t="n">
        <v>1</v>
      </c>
      <c r="S793" s="21" t="n">
        <v>1.19</v>
      </c>
      <c r="T793" s="21" t="n">
        <v>4.42</v>
      </c>
      <c r="U793" s="36" t="inlineStr">
        <is>
          <t>Tier 1B (Micro Drop, 1-3 km)</t>
        </is>
      </c>
      <c r="V793" s="20" t="n">
        <v>67.3</v>
      </c>
      <c r="W793" s="20" t="n">
        <v>70.90000000000001</v>
      </c>
      <c r="X793" s="20" t="n">
        <v>58</v>
      </c>
      <c r="Y793" s="40">
        <f>ROUND((V793*'Methodology &amp; Assumptions'!$B$6)+(W793*'Methodology &amp; Assumptions'!$B$5)+(X793*'Methodology &amp; Assumptions'!$B$7), 2)</f>
        <v/>
      </c>
    </row>
    <row r="794" ht="19" customHeight="1">
      <c r="A794" s="41" t="n">
        <v>790</v>
      </c>
      <c r="B794" s="41" t="n">
        <v>3790</v>
      </c>
      <c r="C794" s="42" t="inlineStr">
        <is>
          <t>0405647058</t>
        </is>
      </c>
      <c r="D794" s="42" t="inlineStr">
        <is>
          <t>Region IV-A (CALABARZON)</t>
        </is>
      </c>
      <c r="E794" s="42" t="inlineStr">
        <is>
          <t>Quezon</t>
        </is>
      </c>
      <c r="F794" s="42" t="inlineStr">
        <is>
          <t>City of Tayabas</t>
        </is>
      </c>
      <c r="G794" s="42" t="inlineStr">
        <is>
          <t>San Roque Zone II</t>
        </is>
      </c>
      <c r="H794" s="43" t="n">
        <v>14.027476</v>
      </c>
      <c r="I794" s="43" t="n">
        <v>121.592903</v>
      </c>
      <c r="J794" s="44" t="inlineStr">
        <is>
          <t>R</t>
        </is>
      </c>
      <c r="K794" s="42" t="inlineStr">
        <is>
          <t>Class 1-3 / Urban</t>
        </is>
      </c>
      <c r="L794" s="23" t="n">
        <v>973</v>
      </c>
      <c r="M794" s="24" t="n">
        <v>4.46</v>
      </c>
      <c r="N794" s="23">
        <f>ROUND(L794/M794, 0)</f>
        <v/>
      </c>
      <c r="O794" s="23">
        <f>ROUND(N794*'Methodology &amp; Assumptions'!$B$8, 0)</f>
        <v/>
      </c>
      <c r="P794" s="44" t="inlineStr">
        <is>
          <t>Band n50 (1.5 GHz, 60 MHz)</t>
        </is>
      </c>
      <c r="Q794" s="38">
        <f>ROUNDUP(O794/'Methodology &amp; Assumptions'!$B$9, 0)</f>
        <v/>
      </c>
      <c r="R794" s="39" t="n">
        <v>1</v>
      </c>
      <c r="S794" s="25" t="n">
        <v>0.42</v>
      </c>
      <c r="T794" s="25" t="n">
        <v>0.1</v>
      </c>
      <c r="U794" s="42" t="inlineStr">
        <is>
          <t>Tier 1A (Direct Coloc, &lt;1 km)</t>
        </is>
      </c>
      <c r="V794" s="24" t="n">
        <v>96.90000000000001</v>
      </c>
      <c r="W794" s="24" t="n">
        <v>41.3</v>
      </c>
      <c r="X794" s="24" t="n">
        <v>58</v>
      </c>
      <c r="Y794" s="45">
        <f>ROUND((V794*'Methodology &amp; Assumptions'!$B$6)+(W794*'Methodology &amp; Assumptions'!$B$5)+(X794*'Methodology &amp; Assumptions'!$B$7), 2)</f>
        <v/>
      </c>
    </row>
    <row r="795" ht="19" customHeight="1">
      <c r="A795" s="35" t="n">
        <v>791</v>
      </c>
      <c r="B795" s="35" t="n">
        <v>3791</v>
      </c>
      <c r="C795" s="36" t="inlineStr">
        <is>
          <t>0201505029</t>
        </is>
      </c>
      <c r="D795" s="36" t="inlineStr">
        <is>
          <t>Region II (Cagayan Valley)</t>
        </is>
      </c>
      <c r="E795" s="36" t="inlineStr">
        <is>
          <t>Cagayan</t>
        </is>
      </c>
      <c r="F795" s="36" t="inlineStr">
        <is>
          <t>Aparri</t>
        </is>
      </c>
      <c r="G795" s="36" t="inlineStr">
        <is>
          <t>Macanaya</t>
        </is>
      </c>
      <c r="H795" s="37" t="n">
        <v>18.345847</v>
      </c>
      <c r="I795" s="37" t="n">
        <v>121.64257</v>
      </c>
      <c r="J795" s="8" t="inlineStr">
        <is>
          <t>U</t>
        </is>
      </c>
      <c r="K795" s="36" t="inlineStr">
        <is>
          <t>Class 1-3 / Urban</t>
        </is>
      </c>
      <c r="L795" s="18" t="n">
        <v>5553</v>
      </c>
      <c r="M795" s="20" t="n">
        <v>4.38</v>
      </c>
      <c r="N795" s="18">
        <f>ROUND(L795/M795, 0)</f>
        <v/>
      </c>
      <c r="O795" s="18">
        <f>ROUND(N795*'Methodology &amp; Assumptions'!$B$8, 0)</f>
        <v/>
      </c>
      <c r="P795" s="8" t="inlineStr">
        <is>
          <t>Band n50 (1.5 GHz, 60 MHz)</t>
        </is>
      </c>
      <c r="Q795" s="38">
        <f>ROUNDUP(O795/'Methodology &amp; Assumptions'!$B$9, 0)</f>
        <v/>
      </c>
      <c r="R795" s="39" t="n">
        <v>1</v>
      </c>
      <c r="S795" s="21" t="n">
        <v>1.34</v>
      </c>
      <c r="T795" s="21" t="n">
        <v>10.15</v>
      </c>
      <c r="U795" s="36" t="inlineStr">
        <is>
          <t>Tier 1B (Micro Drop, 1-3 km)</t>
        </is>
      </c>
      <c r="V795" s="20" t="n">
        <v>64</v>
      </c>
      <c r="W795" s="20" t="n">
        <v>100</v>
      </c>
      <c r="X795" s="20" t="n">
        <v>28</v>
      </c>
      <c r="Y795" s="40">
        <f>ROUND((V795*'Methodology &amp; Assumptions'!$B$6)+(W795*'Methodology &amp; Assumptions'!$B$5)+(X795*'Methodology &amp; Assumptions'!$B$7), 2)</f>
        <v/>
      </c>
    </row>
    <row r="796" ht="19" customHeight="1">
      <c r="A796" s="41" t="n">
        <v>792</v>
      </c>
      <c r="B796" s="41" t="n">
        <v>3792</v>
      </c>
      <c r="C796" s="42" t="inlineStr">
        <is>
          <t>0600416013</t>
        </is>
      </c>
      <c r="D796" s="42" t="inlineStr">
        <is>
          <t>Region VI (Western Visayas)</t>
        </is>
      </c>
      <c r="E796" s="42" t="inlineStr">
        <is>
          <t>Aklan</t>
        </is>
      </c>
      <c r="F796" s="42" t="inlineStr">
        <is>
          <t>Numancia</t>
        </is>
      </c>
      <c r="G796" s="42" t="inlineStr">
        <is>
          <t>Laguinbanua West</t>
        </is>
      </c>
      <c r="H796" s="43" t="n">
        <v>11.706649</v>
      </c>
      <c r="I796" s="43" t="n">
        <v>122.337677</v>
      </c>
      <c r="J796" s="44" t="inlineStr">
        <is>
          <t>R</t>
        </is>
      </c>
      <c r="K796" s="42" t="inlineStr">
        <is>
          <t>3rd</t>
        </is>
      </c>
      <c r="L796" s="23" t="n">
        <v>1917</v>
      </c>
      <c r="M796" s="24" t="n">
        <v>4.29</v>
      </c>
      <c r="N796" s="23">
        <f>ROUND(L796/M796, 0)</f>
        <v/>
      </c>
      <c r="O796" s="23">
        <f>ROUND(N796*'Methodology &amp; Assumptions'!$B$8, 0)</f>
        <v/>
      </c>
      <c r="P796" s="44" t="inlineStr">
        <is>
          <t>Band n50 (1.5 GHz, 60 MHz)</t>
        </is>
      </c>
      <c r="Q796" s="38">
        <f>ROUNDUP(O796/'Methodology &amp; Assumptions'!$B$9, 0)</f>
        <v/>
      </c>
      <c r="R796" s="39" t="n">
        <v>1</v>
      </c>
      <c r="S796" s="25" t="n">
        <v>1.13</v>
      </c>
      <c r="T796" s="25" t="n">
        <v>0.5</v>
      </c>
      <c r="U796" s="42" t="inlineStr">
        <is>
          <t>Tier 1B (Micro Drop, 1-3 km)</t>
        </is>
      </c>
      <c r="V796" s="24" t="n">
        <v>78.5</v>
      </c>
      <c r="W796" s="24" t="n">
        <v>59.7</v>
      </c>
      <c r="X796" s="24" t="n">
        <v>58</v>
      </c>
      <c r="Y796" s="45">
        <f>ROUND((V796*'Methodology &amp; Assumptions'!$B$6)+(W796*'Methodology &amp; Assumptions'!$B$5)+(X796*'Methodology &amp; Assumptions'!$B$7), 2)</f>
        <v/>
      </c>
    </row>
    <row r="797" ht="19" customHeight="1">
      <c r="A797" s="35" t="n">
        <v>793</v>
      </c>
      <c r="B797" s="35" t="n">
        <v>3793</v>
      </c>
      <c r="C797" s="36" t="inlineStr">
        <is>
          <t>0102809013</t>
        </is>
      </c>
      <c r="D797" s="36" t="inlineStr">
        <is>
          <t>Region I (Ilocos Region)</t>
        </is>
      </c>
      <c r="E797" s="36" t="inlineStr">
        <is>
          <t>Ilocos Norte</t>
        </is>
      </c>
      <c r="F797" s="36" t="inlineStr">
        <is>
          <t>Dingras</t>
        </is>
      </c>
      <c r="G797" s="36" t="inlineStr">
        <is>
          <t>Guerrero</t>
        </is>
      </c>
      <c r="H797" s="37" t="n">
        <v>18.096262</v>
      </c>
      <c r="I797" s="37" t="n">
        <v>120.709128</v>
      </c>
      <c r="J797" s="8" t="inlineStr">
        <is>
          <t>R</t>
        </is>
      </c>
      <c r="K797" s="36" t="inlineStr">
        <is>
          <t>Class 1-3 / Urban</t>
        </is>
      </c>
      <c r="L797" s="18" t="n">
        <v>1496</v>
      </c>
      <c r="M797" s="20" t="n">
        <v>4.35</v>
      </c>
      <c r="N797" s="18">
        <f>ROUND(L797/M797, 0)</f>
        <v/>
      </c>
      <c r="O797" s="18">
        <f>ROUND(N797*'Methodology &amp; Assumptions'!$B$8, 0)</f>
        <v/>
      </c>
      <c r="P797" s="8" t="inlineStr">
        <is>
          <t>Band n50 (1.5 GHz, 60 MHz)</t>
        </is>
      </c>
      <c r="Q797" s="38">
        <f>ROUNDUP(O797/'Methodology &amp; Assumptions'!$B$9, 0)</f>
        <v/>
      </c>
      <c r="R797" s="39" t="n">
        <v>1</v>
      </c>
      <c r="S797" s="21" t="n">
        <v>0.79</v>
      </c>
      <c r="T797" s="21" t="n">
        <v>0.27</v>
      </c>
      <c r="U797" s="36" t="inlineStr">
        <is>
          <t>Tier 1A (Direct Coloc, &lt;1 km)</t>
        </is>
      </c>
      <c r="V797" s="20" t="n">
        <v>86.7</v>
      </c>
      <c r="W797" s="20" t="n">
        <v>51.5</v>
      </c>
      <c r="X797" s="20" t="n">
        <v>58</v>
      </c>
      <c r="Y797" s="40">
        <f>ROUND((V797*'Methodology &amp; Assumptions'!$B$6)+(W797*'Methodology &amp; Assumptions'!$B$5)+(X797*'Methodology &amp; Assumptions'!$B$7), 2)</f>
        <v/>
      </c>
    </row>
    <row r="798" ht="19" customHeight="1">
      <c r="A798" s="41" t="n">
        <v>794</v>
      </c>
      <c r="B798" s="41" t="n">
        <v>3794</v>
      </c>
      <c r="C798" s="42" t="inlineStr">
        <is>
          <t>0405645037</t>
        </is>
      </c>
      <c r="D798" s="42" t="inlineStr">
        <is>
          <t>Region IV-A (CALABARZON)</t>
        </is>
      </c>
      <c r="E798" s="42" t="inlineStr">
        <is>
          <t>Quezon</t>
        </is>
      </c>
      <c r="F798" s="42" t="inlineStr">
        <is>
          <t>Sariaya</t>
        </is>
      </c>
      <c r="G798" s="42" t="inlineStr">
        <is>
          <t>Barangay 6</t>
        </is>
      </c>
      <c r="H798" s="43" t="n">
        <v>13.962027</v>
      </c>
      <c r="I798" s="43" t="n">
        <v>121.522634</v>
      </c>
      <c r="J798" s="44" t="inlineStr">
        <is>
          <t>R</t>
        </is>
      </c>
      <c r="K798" s="42" t="inlineStr">
        <is>
          <t>Class 1-3 / Urban</t>
        </is>
      </c>
      <c r="L798" s="23" t="n">
        <v>1207</v>
      </c>
      <c r="M798" s="24" t="n">
        <v>4.46</v>
      </c>
      <c r="N798" s="23">
        <f>ROUND(L798/M798, 0)</f>
        <v/>
      </c>
      <c r="O798" s="23">
        <f>ROUND(N798*'Methodology &amp; Assumptions'!$B$8, 0)</f>
        <v/>
      </c>
      <c r="P798" s="44" t="inlineStr">
        <is>
          <t>Band n50 (1.5 GHz, 60 MHz)</t>
        </is>
      </c>
      <c r="Q798" s="38">
        <f>ROUNDUP(O798/'Methodology &amp; Assumptions'!$B$9, 0)</f>
        <v/>
      </c>
      <c r="R798" s="39" t="n">
        <v>1</v>
      </c>
      <c r="S798" s="25" t="n">
        <v>0.57</v>
      </c>
      <c r="T798" s="25" t="n">
        <v>0.09</v>
      </c>
      <c r="U798" s="42" t="inlineStr">
        <is>
          <t>Tier 1A (Direct Coloc, &lt;1 km)</t>
        </is>
      </c>
      <c r="V798" s="24" t="n">
        <v>92.59999999999999</v>
      </c>
      <c r="W798" s="24" t="n">
        <v>45.6</v>
      </c>
      <c r="X798" s="24" t="n">
        <v>58</v>
      </c>
      <c r="Y798" s="45">
        <f>ROUND((V798*'Methodology &amp; Assumptions'!$B$6)+(W798*'Methodology &amp; Assumptions'!$B$5)+(X798*'Methodology &amp; Assumptions'!$B$7), 2)</f>
        <v/>
      </c>
    </row>
    <row r="799" ht="19" customHeight="1">
      <c r="A799" s="35" t="n">
        <v>795</v>
      </c>
      <c r="B799" s="35" t="n">
        <v>3795</v>
      </c>
      <c r="C799" s="36" t="inlineStr">
        <is>
          <t>0305420001</t>
        </is>
      </c>
      <c r="D799" s="36" t="inlineStr">
        <is>
          <t>Region III (Central Luzon)</t>
        </is>
      </c>
      <c r="E799" s="36" t="inlineStr">
        <is>
          <t>Pampanga</t>
        </is>
      </c>
      <c r="F799" s="36" t="inlineStr">
        <is>
          <t>Santa Rita</t>
        </is>
      </c>
      <c r="G799" s="36" t="inlineStr">
        <is>
          <t>Becuran</t>
        </is>
      </c>
      <c r="H799" s="37" t="n">
        <v>15.008503</v>
      </c>
      <c r="I799" s="37" t="n">
        <v>120.592837</v>
      </c>
      <c r="J799" s="8" t="inlineStr">
        <is>
          <t>R</t>
        </is>
      </c>
      <c r="K799" s="36" t="inlineStr">
        <is>
          <t>2nd</t>
        </is>
      </c>
      <c r="L799" s="18" t="n">
        <v>4285</v>
      </c>
      <c r="M799" s="20" t="n">
        <v>4.52</v>
      </c>
      <c r="N799" s="18">
        <f>ROUND(L799/M799, 0)</f>
        <v/>
      </c>
      <c r="O799" s="18">
        <f>ROUND(N799*'Methodology &amp; Assumptions'!$B$8, 0)</f>
        <v/>
      </c>
      <c r="P799" s="8" t="inlineStr">
        <is>
          <t>Band n50 (1.5 GHz, 60 MHz)</t>
        </is>
      </c>
      <c r="Q799" s="38">
        <f>ROUNDUP(O799/'Methodology &amp; Assumptions'!$B$9, 0)</f>
        <v/>
      </c>
      <c r="R799" s="39" t="n">
        <v>1</v>
      </c>
      <c r="S799" s="21" t="n">
        <v>5.57</v>
      </c>
      <c r="T799" s="21" t="n">
        <v>0.22</v>
      </c>
      <c r="U799" s="36" t="inlineStr">
        <is>
          <t>Tier 2 (Fiber Corridor / Lateral, 3-5 km)</t>
        </is>
      </c>
      <c r="V799" s="20" t="n">
        <v>25.6</v>
      </c>
      <c r="W799" s="20" t="n">
        <v>99.7</v>
      </c>
      <c r="X799" s="20" t="n">
        <v>73</v>
      </c>
      <c r="Y799" s="40">
        <f>ROUND((V799*'Methodology &amp; Assumptions'!$B$6)+(W799*'Methodology &amp; Assumptions'!$B$5)+(X799*'Methodology &amp; Assumptions'!$B$7), 2)</f>
        <v/>
      </c>
    </row>
    <row r="800" ht="19" customHeight="1">
      <c r="A800" s="41" t="n">
        <v>796</v>
      </c>
      <c r="B800" s="41" t="n">
        <v>3796</v>
      </c>
      <c r="C800" s="42" t="inlineStr">
        <is>
          <t>0402120006</t>
        </is>
      </c>
      <c r="D800" s="42" t="inlineStr">
        <is>
          <t>Region IV-A (CALABARZON)</t>
        </is>
      </c>
      <c r="E800" s="42" t="inlineStr">
        <is>
          <t>Cavite</t>
        </is>
      </c>
      <c r="F800" s="42" t="inlineStr">
        <is>
          <t>Tanza</t>
        </is>
      </c>
      <c r="G800" s="42" t="inlineStr">
        <is>
          <t>Bunga</t>
        </is>
      </c>
      <c r="H800" s="43" t="n">
        <v>14.355213</v>
      </c>
      <c r="I800" s="43" t="n">
        <v>120.87154</v>
      </c>
      <c r="J800" s="44" t="inlineStr">
        <is>
          <t>R</t>
        </is>
      </c>
      <c r="K800" s="42" t="inlineStr">
        <is>
          <t>Class 1-3 / Urban</t>
        </is>
      </c>
      <c r="L800" s="23" t="n">
        <v>3858</v>
      </c>
      <c r="M800" s="24" t="n">
        <v>4.49</v>
      </c>
      <c r="N800" s="23">
        <f>ROUND(L800/M800, 0)</f>
        <v/>
      </c>
      <c r="O800" s="23">
        <f>ROUND(N800*'Methodology &amp; Assumptions'!$B$8, 0)</f>
        <v/>
      </c>
      <c r="P800" s="44" t="inlineStr">
        <is>
          <t>Band n50 (1.5 GHz, 60 MHz)</t>
        </is>
      </c>
      <c r="Q800" s="38">
        <f>ROUNDUP(O800/'Methodology &amp; Assumptions'!$B$9, 0)</f>
        <v/>
      </c>
      <c r="R800" s="39" t="n">
        <v>1</v>
      </c>
      <c r="S800" s="25" t="n">
        <v>2.37</v>
      </c>
      <c r="T800" s="25" t="n">
        <v>3.42</v>
      </c>
      <c r="U800" s="42" t="inlineStr">
        <is>
          <t>Tier 1B (Micro Drop, 1-3 km)</t>
        </is>
      </c>
      <c r="V800" s="24" t="n">
        <v>45.4</v>
      </c>
      <c r="W800" s="24" t="n">
        <v>92.8</v>
      </c>
      <c r="X800" s="24" t="n">
        <v>58</v>
      </c>
      <c r="Y800" s="45">
        <f>ROUND((V800*'Methodology &amp; Assumptions'!$B$6)+(W800*'Methodology &amp; Assumptions'!$B$5)+(X800*'Methodology &amp; Assumptions'!$B$7), 2)</f>
        <v/>
      </c>
    </row>
    <row r="801" ht="19" customHeight="1">
      <c r="A801" s="35" t="n">
        <v>797</v>
      </c>
      <c r="B801" s="35" t="n">
        <v>3797</v>
      </c>
      <c r="C801" s="36" t="inlineStr">
        <is>
          <t>0500504032</t>
        </is>
      </c>
      <c r="D801" s="36" t="inlineStr">
        <is>
          <t>Region V (Bicol Region)</t>
        </is>
      </c>
      <c r="E801" s="36" t="inlineStr">
        <is>
          <t>Albay</t>
        </is>
      </c>
      <c r="F801" s="36" t="inlineStr">
        <is>
          <t>Guinobatan</t>
        </is>
      </c>
      <c r="G801" s="36" t="inlineStr">
        <is>
          <t>Morera</t>
        </is>
      </c>
      <c r="H801" s="37" t="n">
        <v>13.193825</v>
      </c>
      <c r="I801" s="37" t="n">
        <v>123.591382</v>
      </c>
      <c r="J801" s="8" t="inlineStr">
        <is>
          <t>R</t>
        </is>
      </c>
      <c r="K801" s="36" t="inlineStr">
        <is>
          <t>Class 1-3 / Urban</t>
        </is>
      </c>
      <c r="L801" s="18" t="n">
        <v>2503</v>
      </c>
      <c r="M801" s="20" t="n">
        <v>4.67</v>
      </c>
      <c r="N801" s="18">
        <f>ROUND(L801/M801, 0)</f>
        <v/>
      </c>
      <c r="O801" s="18">
        <f>ROUND(N801*'Methodology &amp; Assumptions'!$B$8, 0)</f>
        <v/>
      </c>
      <c r="P801" s="8" t="inlineStr">
        <is>
          <t>Band n50 (1.5 GHz, 60 MHz)</t>
        </is>
      </c>
      <c r="Q801" s="38">
        <f>ROUNDUP(O801/'Methodology &amp; Assumptions'!$B$9, 0)</f>
        <v/>
      </c>
      <c r="R801" s="39" t="n">
        <v>1</v>
      </c>
      <c r="S801" s="21" t="n">
        <v>1.47</v>
      </c>
      <c r="T801" s="21" t="n">
        <v>0.41</v>
      </c>
      <c r="U801" s="36" t="inlineStr">
        <is>
          <t>Tier 1B (Micro Drop, 1-3 km)</t>
        </is>
      </c>
      <c r="V801" s="20" t="n">
        <v>71.3</v>
      </c>
      <c r="W801" s="20" t="n">
        <v>66.90000000000001</v>
      </c>
      <c r="X801" s="20" t="n">
        <v>58</v>
      </c>
      <c r="Y801" s="40">
        <f>ROUND((V801*'Methodology &amp; Assumptions'!$B$6)+(W801*'Methodology &amp; Assumptions'!$B$5)+(X801*'Methodology &amp; Assumptions'!$B$7), 2)</f>
        <v/>
      </c>
    </row>
    <row r="802" ht="19" customHeight="1">
      <c r="A802" s="41" t="n">
        <v>798</v>
      </c>
      <c r="B802" s="41" t="n">
        <v>3798</v>
      </c>
      <c r="C802" s="42" t="inlineStr">
        <is>
          <t>0105532081</t>
        </is>
      </c>
      <c r="D802" s="42" t="inlineStr">
        <is>
          <t>Region I (Ilocos Region)</t>
        </is>
      </c>
      <c r="E802" s="42" t="inlineStr">
        <is>
          <t>Pangasinan</t>
        </is>
      </c>
      <c r="F802" s="42" t="inlineStr">
        <is>
          <t>City of San Carlos</t>
        </is>
      </c>
      <c r="G802" s="42" t="inlineStr">
        <is>
          <t>PNR Station Site</t>
        </is>
      </c>
      <c r="H802" s="43" t="n">
        <v>15.9315</v>
      </c>
      <c r="I802" s="43" t="n">
        <v>120.3511</v>
      </c>
      <c r="J802" s="44" t="inlineStr">
        <is>
          <t>R</t>
        </is>
      </c>
      <c r="K802" s="42" t="inlineStr">
        <is>
          <t>Class 1-3 / Urban</t>
        </is>
      </c>
      <c r="L802" s="23" t="n">
        <v>1063</v>
      </c>
      <c r="M802" s="24" t="n">
        <v>4.39</v>
      </c>
      <c r="N802" s="23">
        <f>ROUND(L802/M802, 0)</f>
        <v/>
      </c>
      <c r="O802" s="23">
        <f>ROUND(N802*'Methodology &amp; Assumptions'!$B$8, 0)</f>
        <v/>
      </c>
      <c r="P802" s="44" t="inlineStr">
        <is>
          <t>Band n50 (1.5 GHz, 60 MHz)</t>
        </is>
      </c>
      <c r="Q802" s="38">
        <f>ROUNDUP(O802/'Methodology &amp; Assumptions'!$B$9, 0)</f>
        <v/>
      </c>
      <c r="R802" s="39" t="n">
        <v>1</v>
      </c>
      <c r="S802" s="25" t="n">
        <v>0.5</v>
      </c>
      <c r="T802" s="25" t="n">
        <v>0.41</v>
      </c>
      <c r="U802" s="42" t="inlineStr">
        <is>
          <t>Tier 1A (Direct Coloc, &lt;1 km)</t>
        </is>
      </c>
      <c r="V802" s="24" t="n">
        <v>94.7</v>
      </c>
      <c r="W802" s="24" t="n">
        <v>43.5</v>
      </c>
      <c r="X802" s="24" t="n">
        <v>58</v>
      </c>
      <c r="Y802" s="45">
        <f>ROUND((V802*'Methodology &amp; Assumptions'!$B$6)+(W802*'Methodology &amp; Assumptions'!$B$5)+(X802*'Methodology &amp; Assumptions'!$B$7), 2)</f>
        <v/>
      </c>
    </row>
    <row r="803" ht="19" customHeight="1">
      <c r="A803" s="35" t="n">
        <v>799</v>
      </c>
      <c r="B803" s="35" t="n">
        <v>3799</v>
      </c>
      <c r="C803" s="36" t="inlineStr">
        <is>
          <t>1401106009</t>
        </is>
      </c>
      <c r="D803" s="36" t="inlineStr">
        <is>
          <t>Cordillera Administrative Region (CAR)</t>
        </is>
      </c>
      <c r="E803" s="36" t="inlineStr">
        <is>
          <t>Benguet</t>
        </is>
      </c>
      <c r="F803" s="36" t="inlineStr">
        <is>
          <t>Itogon</t>
        </is>
      </c>
      <c r="G803" s="36" t="inlineStr">
        <is>
          <t>Virac</t>
        </is>
      </c>
      <c r="H803" s="37" t="n">
        <v>16.36421</v>
      </c>
      <c r="I803" s="37" t="n">
        <v>120.65002</v>
      </c>
      <c r="J803" s="8" t="inlineStr">
        <is>
          <t>U</t>
        </is>
      </c>
      <c r="K803" s="36" t="inlineStr">
        <is>
          <t>Class 1-3 / Urban</t>
        </is>
      </c>
      <c r="L803" s="18" t="n">
        <v>10796</v>
      </c>
      <c r="M803" s="20" t="n">
        <v>4.58</v>
      </c>
      <c r="N803" s="18">
        <f>ROUND(L803/M803, 0)</f>
        <v/>
      </c>
      <c r="O803" s="18">
        <f>ROUND(N803*'Methodology &amp; Assumptions'!$B$8, 0)</f>
        <v/>
      </c>
      <c r="P803" s="8" t="inlineStr">
        <is>
          <t>Band n50 (1.5 GHz, 60 MHz)</t>
        </is>
      </c>
      <c r="Q803" s="38">
        <f>ROUNDUP(O803/'Methodology &amp; Assumptions'!$B$9, 0)</f>
        <v/>
      </c>
      <c r="R803" s="39" t="n">
        <v>1</v>
      </c>
      <c r="S803" s="21" t="n">
        <v>1.34</v>
      </c>
      <c r="T803" s="21" t="n">
        <v>6.16</v>
      </c>
      <c r="U803" s="36" t="inlineStr">
        <is>
          <t>Tier 1B (Micro Drop, 1-3 km)</t>
        </is>
      </c>
      <c r="V803" s="20" t="n">
        <v>63.9</v>
      </c>
      <c r="W803" s="20" t="n">
        <v>100</v>
      </c>
      <c r="X803" s="20" t="n">
        <v>28</v>
      </c>
      <c r="Y803" s="40">
        <f>ROUND((V803*'Methodology &amp; Assumptions'!$B$6)+(W803*'Methodology &amp; Assumptions'!$B$5)+(X803*'Methodology &amp; Assumptions'!$B$7), 2)</f>
        <v/>
      </c>
    </row>
    <row r="804" ht="19" customHeight="1">
      <c r="A804" s="41" t="n">
        <v>800</v>
      </c>
      <c r="B804" s="41" t="n">
        <v>3800</v>
      </c>
      <c r="C804" s="42" t="inlineStr">
        <is>
          <t>0301420013</t>
        </is>
      </c>
      <c r="D804" s="42" t="inlineStr">
        <is>
          <t>Region III (Central Luzon)</t>
        </is>
      </c>
      <c r="E804" s="42" t="inlineStr">
        <is>
          <t>Bulacan</t>
        </is>
      </c>
      <c r="F804" s="42" t="inlineStr">
        <is>
          <t>City of San Jose Del Monte</t>
        </is>
      </c>
      <c r="G804" s="42" t="inlineStr">
        <is>
          <t>San Martin I</t>
        </is>
      </c>
      <c r="H804" s="43" t="n">
        <v>14.862712</v>
      </c>
      <c r="I804" s="43" t="n">
        <v>121.058592</v>
      </c>
      <c r="J804" s="44" t="inlineStr">
        <is>
          <t>R</t>
        </is>
      </c>
      <c r="K804" s="42" t="inlineStr">
        <is>
          <t>Class 1-3 / Urban</t>
        </is>
      </c>
      <c r="L804" s="23" t="n">
        <v>4095</v>
      </c>
      <c r="M804" s="24" t="n">
        <v>4.1</v>
      </c>
      <c r="N804" s="23">
        <f>ROUND(L804/M804, 0)</f>
        <v/>
      </c>
      <c r="O804" s="23">
        <f>ROUND(N804*'Methodology &amp; Assumptions'!$B$8, 0)</f>
        <v/>
      </c>
      <c r="P804" s="44" t="inlineStr">
        <is>
          <t>Band n50 (1.5 GHz, 60 MHz)</t>
        </is>
      </c>
      <c r="Q804" s="38">
        <f>ROUNDUP(O804/'Methodology &amp; Assumptions'!$B$9, 0)</f>
        <v/>
      </c>
      <c r="R804" s="39" t="n">
        <v>1</v>
      </c>
      <c r="S804" s="25" t="n">
        <v>2.89</v>
      </c>
      <c r="T804" s="25" t="n">
        <v>3.99</v>
      </c>
      <c r="U804" s="42" t="inlineStr">
        <is>
          <t>Tier 1B (Micro Drop, 1-3 km)</t>
        </is>
      </c>
      <c r="V804" s="24" t="n">
        <v>38.2</v>
      </c>
      <c r="W804" s="24" t="n">
        <v>100</v>
      </c>
      <c r="X804" s="24" t="n">
        <v>58</v>
      </c>
      <c r="Y804" s="45">
        <f>ROUND((V804*'Methodology &amp; Assumptions'!$B$6)+(W804*'Methodology &amp; Assumptions'!$B$5)+(X804*'Methodology &amp; Assumptions'!$B$7), 2)</f>
        <v/>
      </c>
    </row>
    <row r="805" ht="19" customHeight="1">
      <c r="A805" s="35" t="n">
        <v>801</v>
      </c>
      <c r="B805" s="35" t="n">
        <v>3801</v>
      </c>
      <c r="C805" s="36" t="inlineStr">
        <is>
          <t>1001312064</t>
        </is>
      </c>
      <c r="D805" s="36" t="inlineStr">
        <is>
          <t>Region X (Northern Mindanao)</t>
        </is>
      </c>
      <c r="E805" s="36" t="inlineStr">
        <is>
          <t>Bukidnon</t>
        </is>
      </c>
      <c r="F805" s="36" t="inlineStr">
        <is>
          <t>City of Malaybalay</t>
        </is>
      </c>
      <c r="G805" s="36" t="inlineStr">
        <is>
          <t>Sinanglanan</t>
        </is>
      </c>
      <c r="H805" s="37" t="n">
        <v>7.993644</v>
      </c>
      <c r="I805" s="37" t="n">
        <v>125.199192</v>
      </c>
      <c r="J805" s="8" t="inlineStr">
        <is>
          <t>R</t>
        </is>
      </c>
      <c r="K805" s="36" t="inlineStr">
        <is>
          <t>Class 1-3 / Urban</t>
        </is>
      </c>
      <c r="L805" s="18" t="n">
        <v>3644</v>
      </c>
      <c r="M805" s="20" t="n">
        <v>4.63</v>
      </c>
      <c r="N805" s="18">
        <f>ROUND(L805/M805, 0)</f>
        <v/>
      </c>
      <c r="O805" s="18">
        <f>ROUND(N805*'Methodology &amp; Assumptions'!$B$8, 0)</f>
        <v/>
      </c>
      <c r="P805" s="8" t="inlineStr">
        <is>
          <t>Band n50 (1.5 GHz, 60 MHz)</t>
        </is>
      </c>
      <c r="Q805" s="38">
        <f>ROUNDUP(O805/'Methodology &amp; Assumptions'!$B$9, 0)</f>
        <v/>
      </c>
      <c r="R805" s="39" t="n">
        <v>1</v>
      </c>
      <c r="S805" s="21" t="n">
        <v>2.01</v>
      </c>
      <c r="T805" s="21" t="n">
        <v>5.71</v>
      </c>
      <c r="U805" s="36" t="inlineStr">
        <is>
          <t>Tier 1B (Micro Drop, 1-3 km)</t>
        </is>
      </c>
      <c r="V805" s="20" t="n">
        <v>51.2</v>
      </c>
      <c r="W805" s="20" t="n">
        <v>86.90000000000001</v>
      </c>
      <c r="X805" s="20" t="n">
        <v>58</v>
      </c>
      <c r="Y805" s="40">
        <f>ROUND((V805*'Methodology &amp; Assumptions'!$B$6)+(W805*'Methodology &amp; Assumptions'!$B$5)+(X805*'Methodology &amp; Assumptions'!$B$7), 2)</f>
        <v/>
      </c>
    </row>
    <row r="806" ht="19" customHeight="1">
      <c r="A806" s="41" t="n">
        <v>802</v>
      </c>
      <c r="B806" s="41" t="n">
        <v>3802</v>
      </c>
      <c r="C806" s="42" t="inlineStr">
        <is>
          <t>0405622091</t>
        </is>
      </c>
      <c r="D806" s="42" t="inlineStr">
        <is>
          <t>Region IV-A (CALABARZON)</t>
        </is>
      </c>
      <c r="E806" s="42" t="inlineStr">
        <is>
          <t>Quezon</t>
        </is>
      </c>
      <c r="F806" s="42" t="inlineStr">
        <is>
          <t>Lopez</t>
        </is>
      </c>
      <c r="G806" s="42" t="inlineStr">
        <is>
          <t>Villa Hermosa</t>
        </is>
      </c>
      <c r="H806" s="43" t="n">
        <v>13.874166</v>
      </c>
      <c r="I806" s="43" t="n">
        <v>122.265655</v>
      </c>
      <c r="J806" s="44" t="inlineStr">
        <is>
          <t>R</t>
        </is>
      </c>
      <c r="K806" s="42" t="inlineStr">
        <is>
          <t>Class 1-3 / Urban</t>
        </is>
      </c>
      <c r="L806" s="23" t="n">
        <v>2419</v>
      </c>
      <c r="M806" s="24" t="n">
        <v>4.46</v>
      </c>
      <c r="N806" s="23">
        <f>ROUND(L806/M806, 0)</f>
        <v/>
      </c>
      <c r="O806" s="23">
        <f>ROUND(N806*'Methodology &amp; Assumptions'!$B$8, 0)</f>
        <v/>
      </c>
      <c r="P806" s="44" t="inlineStr">
        <is>
          <t>Band n50 (1.5 GHz, 60 MHz)</t>
        </is>
      </c>
      <c r="Q806" s="38">
        <f>ROUNDUP(O806/'Methodology &amp; Assumptions'!$B$9, 0)</f>
        <v/>
      </c>
      <c r="R806" s="39" t="n">
        <v>1</v>
      </c>
      <c r="S806" s="25" t="n">
        <v>1.5</v>
      </c>
      <c r="T806" s="25" t="n">
        <v>1.31</v>
      </c>
      <c r="U806" s="42" t="inlineStr">
        <is>
          <t>Tier 1B (Micro Drop, 1-3 km)</t>
        </is>
      </c>
      <c r="V806" s="24" t="n">
        <v>70.7</v>
      </c>
      <c r="W806" s="24" t="n">
        <v>67.5</v>
      </c>
      <c r="X806" s="24" t="n">
        <v>58</v>
      </c>
      <c r="Y806" s="45">
        <f>ROUND((V806*'Methodology &amp; Assumptions'!$B$6)+(W806*'Methodology &amp; Assumptions'!$B$5)+(X806*'Methodology &amp; Assumptions'!$B$7), 2)</f>
        <v/>
      </c>
    </row>
    <row r="807" ht="19" customHeight="1">
      <c r="A807" s="35" t="n">
        <v>803</v>
      </c>
      <c r="B807" s="35" t="n">
        <v>3803</v>
      </c>
      <c r="C807" s="36" t="inlineStr">
        <is>
          <t>0103306009</t>
        </is>
      </c>
      <c r="D807" s="36" t="inlineStr">
        <is>
          <t>Region I (Ilocos Region)</t>
        </is>
      </c>
      <c r="E807" s="36" t="inlineStr">
        <is>
          <t>La Union</t>
        </is>
      </c>
      <c r="F807" s="36" t="inlineStr">
        <is>
          <t>Bangar</t>
        </is>
      </c>
      <c r="G807" s="36" t="inlineStr">
        <is>
          <t>Consuegra</t>
        </is>
      </c>
      <c r="H807" s="37" t="n">
        <v>16.899252</v>
      </c>
      <c r="I807" s="37" t="n">
        <v>120.424551</v>
      </c>
      <c r="J807" s="8" t="inlineStr">
        <is>
          <t>R</t>
        </is>
      </c>
      <c r="K807" s="36" t="inlineStr">
        <is>
          <t>Class 1-3 / Urban</t>
        </is>
      </c>
      <c r="L807" s="18" t="n">
        <v>1338</v>
      </c>
      <c r="M807" s="20" t="n">
        <v>4.42</v>
      </c>
      <c r="N807" s="18">
        <f>ROUND(L807/M807, 0)</f>
        <v/>
      </c>
      <c r="O807" s="18">
        <f>ROUND(N807*'Methodology &amp; Assumptions'!$B$8, 0)</f>
        <v/>
      </c>
      <c r="P807" s="8" t="inlineStr">
        <is>
          <t>Band n50 (1.5 GHz, 60 MHz)</t>
        </is>
      </c>
      <c r="Q807" s="38">
        <f>ROUNDUP(O807/'Methodology &amp; Assumptions'!$B$9, 0)</f>
        <v/>
      </c>
      <c r="R807" s="39" t="n">
        <v>1</v>
      </c>
      <c r="S807" s="21" t="n">
        <v>0.67</v>
      </c>
      <c r="T807" s="21" t="n">
        <v>0.37</v>
      </c>
      <c r="U807" s="36" t="inlineStr">
        <is>
          <t>Tier 1A (Direct Coloc, &lt;1 km)</t>
        </is>
      </c>
      <c r="V807" s="20" t="n">
        <v>89.90000000000001</v>
      </c>
      <c r="W807" s="20" t="n">
        <v>48.3</v>
      </c>
      <c r="X807" s="20" t="n">
        <v>58</v>
      </c>
      <c r="Y807" s="40">
        <f>ROUND((V807*'Methodology &amp; Assumptions'!$B$6)+(W807*'Methodology &amp; Assumptions'!$B$5)+(X807*'Methodology &amp; Assumptions'!$B$7), 2)</f>
        <v/>
      </c>
    </row>
    <row r="808" ht="19" customHeight="1">
      <c r="A808" s="41" t="n">
        <v>804</v>
      </c>
      <c r="B808" s="41" t="n">
        <v>3804</v>
      </c>
      <c r="C808" s="42" t="inlineStr">
        <is>
          <t>0603034021</t>
        </is>
      </c>
      <c r="D808" s="42" t="inlineStr">
        <is>
          <t>Region VI (Western Visayas)</t>
        </is>
      </c>
      <c r="E808" s="42" t="inlineStr">
        <is>
          <t>Iloilo</t>
        </is>
      </c>
      <c r="F808" s="42" t="inlineStr">
        <is>
          <t>Oton</t>
        </is>
      </c>
      <c r="G808" s="42" t="inlineStr">
        <is>
          <t>Poblacion North</t>
        </is>
      </c>
      <c r="H808" s="43" t="n">
        <v>10.690765</v>
      </c>
      <c r="I808" s="43" t="n">
        <v>122.485833</v>
      </c>
      <c r="J808" s="44" t="inlineStr">
        <is>
          <t>R</t>
        </is>
      </c>
      <c r="K808" s="42" t="inlineStr">
        <is>
          <t>Class 1-3 / Urban</t>
        </is>
      </c>
      <c r="L808" s="23" t="n">
        <v>1322</v>
      </c>
      <c r="M808" s="24" t="n">
        <v>4.39</v>
      </c>
      <c r="N808" s="23">
        <f>ROUND(L808/M808, 0)</f>
        <v/>
      </c>
      <c r="O808" s="23">
        <f>ROUND(N808*'Methodology &amp; Assumptions'!$B$8, 0)</f>
        <v/>
      </c>
      <c r="P808" s="44" t="inlineStr">
        <is>
          <t>Band n50 (1.5 GHz, 60 MHz)</t>
        </is>
      </c>
      <c r="Q808" s="38">
        <f>ROUNDUP(O808/'Methodology &amp; Assumptions'!$B$9, 0)</f>
        <v/>
      </c>
      <c r="R808" s="39" t="n">
        <v>1</v>
      </c>
      <c r="S808" s="25" t="n">
        <v>0.66</v>
      </c>
      <c r="T808" s="25" t="n">
        <v>0.33</v>
      </c>
      <c r="U808" s="42" t="inlineStr">
        <is>
          <t>Tier 1A (Direct Coloc, &lt;1 km)</t>
        </is>
      </c>
      <c r="V808" s="24" t="n">
        <v>90.2</v>
      </c>
      <c r="W808" s="24" t="n">
        <v>48</v>
      </c>
      <c r="X808" s="24" t="n">
        <v>58</v>
      </c>
      <c r="Y808" s="45">
        <f>ROUND((V808*'Methodology &amp; Assumptions'!$B$6)+(W808*'Methodology &amp; Assumptions'!$B$5)+(X808*'Methodology &amp; Assumptions'!$B$7), 2)</f>
        <v/>
      </c>
    </row>
    <row r="809" ht="19" customHeight="1">
      <c r="A809" s="35" t="n">
        <v>805</v>
      </c>
      <c r="B809" s="35" t="n">
        <v>3805</v>
      </c>
      <c r="C809" s="36" t="inlineStr">
        <is>
          <t>0304929026</t>
        </is>
      </c>
      <c r="D809" s="36" t="inlineStr">
        <is>
          <t>Region III (Central Luzon)</t>
        </is>
      </c>
      <c r="E809" s="36" t="inlineStr">
        <is>
          <t>Nueva Ecija</t>
        </is>
      </c>
      <c r="F809" s="36" t="inlineStr">
        <is>
          <t>Santo Domingo</t>
        </is>
      </c>
      <c r="G809" s="36" t="inlineStr">
        <is>
          <t>Pulong Buli</t>
        </is>
      </c>
      <c r="H809" s="37" t="n">
        <v>15.600954</v>
      </c>
      <c r="I809" s="37" t="n">
        <v>120.877918</v>
      </c>
      <c r="J809" s="8" t="inlineStr">
        <is>
          <t>R</t>
        </is>
      </c>
      <c r="K809" s="36" t="inlineStr">
        <is>
          <t>Class 1-3 / Urban</t>
        </is>
      </c>
      <c r="L809" s="18" t="n">
        <v>2215</v>
      </c>
      <c r="M809" s="20" t="n">
        <v>4.32</v>
      </c>
      <c r="N809" s="18">
        <f>ROUND(L809/M809, 0)</f>
        <v/>
      </c>
      <c r="O809" s="18">
        <f>ROUND(N809*'Methodology &amp; Assumptions'!$B$8, 0)</f>
        <v/>
      </c>
      <c r="P809" s="8" t="inlineStr">
        <is>
          <t>Band n50 (1.5 GHz, 60 MHz)</t>
        </is>
      </c>
      <c r="Q809" s="38">
        <f>ROUNDUP(O809/'Methodology &amp; Assumptions'!$B$9, 0)</f>
        <v/>
      </c>
      <c r="R809" s="39" t="n">
        <v>1</v>
      </c>
      <c r="S809" s="21" t="n">
        <v>0.9399999999999999</v>
      </c>
      <c r="T809" s="21" t="n">
        <v>3.91</v>
      </c>
      <c r="U809" s="36" t="inlineStr">
        <is>
          <t>Tier 1A (Direct Coloc, &lt;1 km)</t>
        </is>
      </c>
      <c r="V809" s="20" t="n">
        <v>73.09999999999999</v>
      </c>
      <c r="W809" s="20" t="n">
        <v>65.09999999999999</v>
      </c>
      <c r="X809" s="20" t="n">
        <v>58</v>
      </c>
      <c r="Y809" s="40">
        <f>ROUND((V809*'Methodology &amp; Assumptions'!$B$6)+(W809*'Methodology &amp; Assumptions'!$B$5)+(X809*'Methodology &amp; Assumptions'!$B$7), 2)</f>
        <v/>
      </c>
    </row>
    <row r="810" ht="19" customHeight="1">
      <c r="A810" s="41" t="n">
        <v>806</v>
      </c>
      <c r="B810" s="41" t="n">
        <v>3806</v>
      </c>
      <c r="C810" s="42" t="inlineStr">
        <is>
          <t>0603026003</t>
        </is>
      </c>
      <c r="D810" s="42" t="inlineStr">
        <is>
          <t>Region VI (Western Visayas)</t>
        </is>
      </c>
      <c r="E810" s="42" t="inlineStr">
        <is>
          <t>Iloilo</t>
        </is>
      </c>
      <c r="F810" s="42" t="inlineStr">
        <is>
          <t>Leganes</t>
        </is>
      </c>
      <c r="G810" s="42" t="inlineStr">
        <is>
          <t>Buntatala</t>
        </is>
      </c>
      <c r="H810" s="43" t="n">
        <v>10.776572</v>
      </c>
      <c r="I810" s="43" t="n">
        <v>122.584711</v>
      </c>
      <c r="J810" s="44" t="inlineStr">
        <is>
          <t>R</t>
        </is>
      </c>
      <c r="K810" s="42" t="inlineStr">
        <is>
          <t>2nd</t>
        </is>
      </c>
      <c r="L810" s="23" t="n">
        <v>2061</v>
      </c>
      <c r="M810" s="24" t="n">
        <v>4.6</v>
      </c>
      <c r="N810" s="23">
        <f>ROUND(L810/M810, 0)</f>
        <v/>
      </c>
      <c r="O810" s="23">
        <f>ROUND(N810*'Methodology &amp; Assumptions'!$B$8, 0)</f>
        <v/>
      </c>
      <c r="P810" s="44" t="inlineStr">
        <is>
          <t>Band n50 (1.5 GHz, 60 MHz)</t>
        </is>
      </c>
      <c r="Q810" s="38">
        <f>ROUNDUP(O810/'Methodology &amp; Assumptions'!$B$9, 0)</f>
        <v/>
      </c>
      <c r="R810" s="39" t="n">
        <v>1</v>
      </c>
      <c r="S810" s="25" t="n">
        <v>1.14</v>
      </c>
      <c r="T810" s="25" t="n">
        <v>0.09</v>
      </c>
      <c r="U810" s="42" t="inlineStr">
        <is>
          <t>Tier 1B (Micro Drop, 1-3 km)</t>
        </is>
      </c>
      <c r="V810" s="24" t="n">
        <v>78.40000000000001</v>
      </c>
      <c r="W810" s="24" t="n">
        <v>59.7</v>
      </c>
      <c r="X810" s="24" t="n">
        <v>58</v>
      </c>
      <c r="Y810" s="45">
        <f>ROUND((V810*'Methodology &amp; Assumptions'!$B$6)+(W810*'Methodology &amp; Assumptions'!$B$5)+(X810*'Methodology &amp; Assumptions'!$B$7), 2)</f>
        <v/>
      </c>
    </row>
    <row r="811" ht="19" customHeight="1">
      <c r="A811" s="35" t="n">
        <v>807</v>
      </c>
      <c r="B811" s="35" t="n">
        <v>3807</v>
      </c>
      <c r="C811" s="36" t="inlineStr">
        <is>
          <t>0102811011</t>
        </is>
      </c>
      <c r="D811" s="36" t="inlineStr">
        <is>
          <t>Region I (Ilocos Region)</t>
        </is>
      </c>
      <c r="E811" s="36" t="inlineStr">
        <is>
          <t>Ilocos Norte</t>
        </is>
      </c>
      <c r="F811" s="36" t="inlineStr">
        <is>
          <t>Banna</t>
        </is>
      </c>
      <c r="G811" s="36" t="inlineStr">
        <is>
          <t>Crispina</t>
        </is>
      </c>
      <c r="H811" s="37" t="n">
        <v>17.979851</v>
      </c>
      <c r="I811" s="37" t="n">
        <v>120.65303</v>
      </c>
      <c r="J811" s="8" t="inlineStr">
        <is>
          <t>R</t>
        </is>
      </c>
      <c r="K811" s="36" t="inlineStr">
        <is>
          <t>1st</t>
        </is>
      </c>
      <c r="L811" s="18" t="n">
        <v>955</v>
      </c>
      <c r="M811" s="20" t="n">
        <v>4.28</v>
      </c>
      <c r="N811" s="18">
        <f>ROUND(L811/M811, 0)</f>
        <v/>
      </c>
      <c r="O811" s="18">
        <f>ROUND(N811*'Methodology &amp; Assumptions'!$B$8, 0)</f>
        <v/>
      </c>
      <c r="P811" s="8" t="inlineStr">
        <is>
          <t>Band n50 (1.5 GHz, 60 MHz)</t>
        </is>
      </c>
      <c r="Q811" s="38">
        <f>ROUNDUP(O811/'Methodology &amp; Assumptions'!$B$9, 0)</f>
        <v/>
      </c>
      <c r="R811" s="39" t="n">
        <v>1</v>
      </c>
      <c r="S811" s="21" t="n">
        <v>0.44</v>
      </c>
      <c r="T811" s="21" t="n">
        <v>0.52</v>
      </c>
      <c r="U811" s="36" t="inlineStr">
        <is>
          <t>Tier 1A (Direct Coloc, &lt;1 km)</t>
        </is>
      </c>
      <c r="V811" s="20" t="n">
        <v>96.3</v>
      </c>
      <c r="W811" s="20" t="n">
        <v>41.9</v>
      </c>
      <c r="X811" s="20" t="n">
        <v>58</v>
      </c>
      <c r="Y811" s="40">
        <f>ROUND((V811*'Methodology &amp; Assumptions'!$B$6)+(W811*'Methodology &amp; Assumptions'!$B$5)+(X811*'Methodology &amp; Assumptions'!$B$7), 2)</f>
        <v/>
      </c>
    </row>
    <row r="812" ht="19" customHeight="1">
      <c r="A812" s="41" t="n">
        <v>808</v>
      </c>
      <c r="B812" s="41" t="n">
        <v>3808</v>
      </c>
      <c r="C812" s="42" t="inlineStr">
        <is>
          <t>0102821020</t>
        </is>
      </c>
      <c r="D812" s="42" t="inlineStr">
        <is>
          <t>Region I (Ilocos Region)</t>
        </is>
      </c>
      <c r="E812" s="42" t="inlineStr">
        <is>
          <t>Ilocos Norte</t>
        </is>
      </c>
      <c r="F812" s="42" t="inlineStr">
        <is>
          <t>Sarrat</t>
        </is>
      </c>
      <c r="G812" s="42" t="inlineStr">
        <is>
          <t>San Vicente</t>
        </is>
      </c>
      <c r="H812" s="43" t="n">
        <v>18.155601</v>
      </c>
      <c r="I812" s="43" t="n">
        <v>120.646594</v>
      </c>
      <c r="J812" s="44" t="inlineStr">
        <is>
          <t>R</t>
        </is>
      </c>
      <c r="K812" s="42" t="inlineStr">
        <is>
          <t>2nd</t>
        </is>
      </c>
      <c r="L812" s="23" t="n">
        <v>933</v>
      </c>
      <c r="M812" s="24" t="n">
        <v>4.38</v>
      </c>
      <c r="N812" s="23">
        <f>ROUND(L812/M812, 0)</f>
        <v/>
      </c>
      <c r="O812" s="23">
        <f>ROUND(N812*'Methodology &amp; Assumptions'!$B$8, 0)</f>
        <v/>
      </c>
      <c r="P812" s="44" t="inlineStr">
        <is>
          <t>Band n50 (1.5 GHz, 60 MHz)</t>
        </is>
      </c>
      <c r="Q812" s="38">
        <f>ROUNDUP(O812/'Methodology &amp; Assumptions'!$B$9, 0)</f>
        <v/>
      </c>
      <c r="R812" s="39" t="n">
        <v>1</v>
      </c>
      <c r="S812" s="25" t="n">
        <v>0.09</v>
      </c>
      <c r="T812" s="25" t="n">
        <v>4.96</v>
      </c>
      <c r="U812" s="42" t="inlineStr">
        <is>
          <t>Tier 1A (Direct Coloc, &lt;1 km)</t>
        </is>
      </c>
      <c r="V812" s="24" t="n">
        <v>97.09999999999999</v>
      </c>
      <c r="W812" s="24" t="n">
        <v>41.1</v>
      </c>
      <c r="X812" s="24" t="n">
        <v>58</v>
      </c>
      <c r="Y812" s="45">
        <f>ROUND((V812*'Methodology &amp; Assumptions'!$B$6)+(W812*'Methodology &amp; Assumptions'!$B$5)+(X812*'Methodology &amp; Assumptions'!$B$7), 2)</f>
        <v/>
      </c>
    </row>
    <row r="813" ht="19" customHeight="1">
      <c r="A813" s="35" t="n">
        <v>809</v>
      </c>
      <c r="B813" s="35" t="n">
        <v>3809</v>
      </c>
      <c r="C813" s="36" t="inlineStr">
        <is>
          <t>0102808015</t>
        </is>
      </c>
      <c r="D813" s="36" t="inlineStr">
        <is>
          <t>Region I (Ilocos Region)</t>
        </is>
      </c>
      <c r="E813" s="36" t="inlineStr">
        <is>
          <t>Ilocos Norte</t>
        </is>
      </c>
      <c r="F813" s="36" t="inlineStr">
        <is>
          <t>Currimao</t>
        </is>
      </c>
      <c r="G813" s="36" t="inlineStr">
        <is>
          <t>Pias Norte</t>
        </is>
      </c>
      <c r="H813" s="37" t="n">
        <v>17.991447</v>
      </c>
      <c r="I813" s="37" t="n">
        <v>120.502737</v>
      </c>
      <c r="J813" s="8" t="inlineStr">
        <is>
          <t>R</t>
        </is>
      </c>
      <c r="K813" s="36" t="inlineStr">
        <is>
          <t>3rd</t>
        </is>
      </c>
      <c r="L813" s="18" t="n">
        <v>932</v>
      </c>
      <c r="M813" s="20" t="n">
        <v>4.34</v>
      </c>
      <c r="N813" s="18">
        <f>ROUND(L813/M813, 0)</f>
        <v/>
      </c>
      <c r="O813" s="18">
        <f>ROUND(N813*'Methodology &amp; Assumptions'!$B$8, 0)</f>
        <v/>
      </c>
      <c r="P813" s="8" t="inlineStr">
        <is>
          <t>Band n50 (1.5 GHz, 60 MHz)</t>
        </is>
      </c>
      <c r="Q813" s="38">
        <f>ROUNDUP(O813/'Methodology &amp; Assumptions'!$B$9, 0)</f>
        <v/>
      </c>
      <c r="R813" s="39" t="n">
        <v>1</v>
      </c>
      <c r="S813" s="21" t="n">
        <v>0.42</v>
      </c>
      <c r="T813" s="21" t="n">
        <v>0.48</v>
      </c>
      <c r="U813" s="36" t="inlineStr">
        <is>
          <t>Tier 1A (Direct Coloc, &lt;1 km)</t>
        </is>
      </c>
      <c r="V813" s="20" t="n">
        <v>97.09999999999999</v>
      </c>
      <c r="W813" s="20" t="n">
        <v>41.1</v>
      </c>
      <c r="X813" s="20" t="n">
        <v>58</v>
      </c>
      <c r="Y813" s="40">
        <f>ROUND((V813*'Methodology &amp; Assumptions'!$B$6)+(W813*'Methodology &amp; Assumptions'!$B$5)+(X813*'Methodology &amp; Assumptions'!$B$7), 2)</f>
        <v/>
      </c>
    </row>
    <row r="814" ht="19" customHeight="1">
      <c r="A814" s="41" t="n">
        <v>810</v>
      </c>
      <c r="B814" s="41" t="n">
        <v>3810</v>
      </c>
      <c r="C814" s="42" t="inlineStr">
        <is>
          <t>0403416023</t>
        </is>
      </c>
      <c r="D814" s="42" t="inlineStr">
        <is>
          <t>Region IV-A (CALABARZON)</t>
        </is>
      </c>
      <c r="E814" s="42" t="inlineStr">
        <is>
          <t>Laguna</t>
        </is>
      </c>
      <c r="F814" s="42" t="inlineStr">
        <is>
          <t>Majayjay</t>
        </is>
      </c>
      <c r="G814" s="42" t="inlineStr">
        <is>
          <t>Munting Kawayan</t>
        </is>
      </c>
      <c r="H814" s="43" t="n">
        <v>14.144632</v>
      </c>
      <c r="I814" s="43" t="n">
        <v>121.472463</v>
      </c>
      <c r="J814" s="44" t="inlineStr">
        <is>
          <t>R</t>
        </is>
      </c>
      <c r="K814" s="42" t="inlineStr">
        <is>
          <t>3rd</t>
        </is>
      </c>
      <c r="L814" s="23" t="n">
        <v>744</v>
      </c>
      <c r="M814" s="24" t="n">
        <v>4.18</v>
      </c>
      <c r="N814" s="23">
        <f>ROUND(L814/M814, 0)</f>
        <v/>
      </c>
      <c r="O814" s="23">
        <f>ROUND(N814*'Methodology &amp; Assumptions'!$B$8, 0)</f>
        <v/>
      </c>
      <c r="P814" s="44" t="inlineStr">
        <is>
          <t>Band n50 (1.5 GHz, 60 MHz)</t>
        </is>
      </c>
      <c r="Q814" s="38">
        <f>ROUNDUP(O814/'Methodology &amp; Assumptions'!$B$9, 0)</f>
        <v/>
      </c>
      <c r="R814" s="39" t="n">
        <v>1</v>
      </c>
      <c r="S814" s="25" t="n">
        <v>0.31</v>
      </c>
      <c r="T814" s="25" t="n">
        <v>0.03</v>
      </c>
      <c r="U814" s="42" t="inlineStr">
        <is>
          <t>Tier 1A (Direct Coloc, &lt;1 km)</t>
        </is>
      </c>
      <c r="V814" s="24" t="n">
        <v>100</v>
      </c>
      <c r="W814" s="24" t="n">
        <v>38.1</v>
      </c>
      <c r="X814" s="24" t="n">
        <v>58</v>
      </c>
      <c r="Y814" s="45">
        <f>ROUND((V814*'Methodology &amp; Assumptions'!$B$6)+(W814*'Methodology &amp; Assumptions'!$B$5)+(X814*'Methodology &amp; Assumptions'!$B$7), 2)</f>
        <v/>
      </c>
    </row>
    <row r="815" ht="19" customHeight="1">
      <c r="A815" s="35" t="n">
        <v>811</v>
      </c>
      <c r="B815" s="35" t="n">
        <v>3811</v>
      </c>
      <c r="C815" s="36" t="inlineStr">
        <is>
          <t>0403403026</t>
        </is>
      </c>
      <c r="D815" s="36" t="inlineStr">
        <is>
          <t>Region IV-A (CALABARZON)</t>
        </is>
      </c>
      <c r="E815" s="36" t="inlineStr">
        <is>
          <t>Laguna</t>
        </is>
      </c>
      <c r="F815" s="36" t="inlineStr">
        <is>
          <t>City of Biñan</t>
        </is>
      </c>
      <c r="G815" s="36" t="inlineStr">
        <is>
          <t>Zapote</t>
        </is>
      </c>
      <c r="H815" s="37" t="n">
        <v>14.316473</v>
      </c>
      <c r="I815" s="37" t="n">
        <v>121.08013</v>
      </c>
      <c r="J815" s="8" t="inlineStr">
        <is>
          <t>U</t>
        </is>
      </c>
      <c r="K815" s="36" t="inlineStr">
        <is>
          <t>Class 1-3 / Urban</t>
        </is>
      </c>
      <c r="L815" s="18" t="n">
        <v>14684</v>
      </c>
      <c r="M815" s="20" t="n">
        <v>4.2</v>
      </c>
      <c r="N815" s="18">
        <f>ROUND(L815/M815, 0)</f>
        <v/>
      </c>
      <c r="O815" s="18">
        <f>ROUND(N815*'Methodology &amp; Assumptions'!$B$8, 0)</f>
        <v/>
      </c>
      <c r="P815" s="8" t="inlineStr">
        <is>
          <t>Band n50 (1.5 GHz, 60 MHz)</t>
        </is>
      </c>
      <c r="Q815" s="38">
        <f>ROUNDUP(O815/'Methodology &amp; Assumptions'!$B$9, 0)</f>
        <v/>
      </c>
      <c r="R815" s="39" t="n">
        <v>1</v>
      </c>
      <c r="S815" s="21" t="n">
        <v>1.86</v>
      </c>
      <c r="T815" s="21" t="n">
        <v>1.08</v>
      </c>
      <c r="U815" s="36" t="inlineStr">
        <is>
          <t>Tier 1B (Micro Drop, 1-3 km)</t>
        </is>
      </c>
      <c r="V815" s="20" t="n">
        <v>63.8</v>
      </c>
      <c r="W815" s="20" t="n">
        <v>100</v>
      </c>
      <c r="X815" s="20" t="n">
        <v>28</v>
      </c>
      <c r="Y815" s="40">
        <f>ROUND((V815*'Methodology &amp; Assumptions'!$B$6)+(W815*'Methodology &amp; Assumptions'!$B$5)+(X815*'Methodology &amp; Assumptions'!$B$7), 2)</f>
        <v/>
      </c>
    </row>
    <row r="816" ht="19" customHeight="1">
      <c r="A816" s="41" t="n">
        <v>812</v>
      </c>
      <c r="B816" s="41" t="n">
        <v>3812</v>
      </c>
      <c r="C816" s="42" t="inlineStr">
        <is>
          <t>0405811003</t>
        </is>
      </c>
      <c r="D816" s="42" t="inlineStr">
        <is>
          <t>Region IV-A (CALABARZON)</t>
        </is>
      </c>
      <c r="E816" s="42" t="inlineStr">
        <is>
          <t>Rizal</t>
        </is>
      </c>
      <c r="F816" s="42" t="inlineStr">
        <is>
          <t>San Mateo</t>
        </is>
      </c>
      <c r="G816" s="42" t="inlineStr">
        <is>
          <t>Dulong Bayan 2</t>
        </is>
      </c>
      <c r="H816" s="43" t="n">
        <v>14.70055</v>
      </c>
      <c r="I816" s="43" t="n">
        <v>121.12602</v>
      </c>
      <c r="J816" s="44" t="inlineStr">
        <is>
          <t>U</t>
        </is>
      </c>
      <c r="K816" s="42" t="inlineStr">
        <is>
          <t>Class 1-3 / Urban</t>
        </is>
      </c>
      <c r="L816" s="23" t="n">
        <v>13072</v>
      </c>
      <c r="M816" s="24" t="n">
        <v>4.39</v>
      </c>
      <c r="N816" s="23">
        <f>ROUND(L816/M816, 0)</f>
        <v/>
      </c>
      <c r="O816" s="23">
        <f>ROUND(N816*'Methodology &amp; Assumptions'!$B$8, 0)</f>
        <v/>
      </c>
      <c r="P816" s="44" t="inlineStr">
        <is>
          <t>Band n50 (1.5 GHz, 60 MHz)</t>
        </is>
      </c>
      <c r="Q816" s="38">
        <f>ROUNDUP(O816/'Methodology &amp; Assumptions'!$B$9, 0)</f>
        <v/>
      </c>
      <c r="R816" s="39" t="n">
        <v>1</v>
      </c>
      <c r="S816" s="25" t="n">
        <v>1.86</v>
      </c>
      <c r="T816" s="25" t="n">
        <v>0.17</v>
      </c>
      <c r="U816" s="42" t="inlineStr">
        <is>
          <t>Tier 1B (Micro Drop, 1-3 km)</t>
        </is>
      </c>
      <c r="V816" s="24" t="n">
        <v>63.9</v>
      </c>
      <c r="W816" s="24" t="n">
        <v>100</v>
      </c>
      <c r="X816" s="24" t="n">
        <v>28</v>
      </c>
      <c r="Y816" s="45">
        <f>ROUND((V816*'Methodology &amp; Assumptions'!$B$6)+(W816*'Methodology &amp; Assumptions'!$B$5)+(X816*'Methodology &amp; Assumptions'!$B$7), 2)</f>
        <v/>
      </c>
    </row>
    <row r="817" ht="19" customHeight="1">
      <c r="A817" s="35" t="n">
        <v>813</v>
      </c>
      <c r="B817" s="35" t="n">
        <v>3813</v>
      </c>
      <c r="C817" s="36" t="inlineStr">
        <is>
          <t>0402109061</t>
        </is>
      </c>
      <c r="D817" s="36" t="inlineStr">
        <is>
          <t>Region IV-A (CALABARZON)</t>
        </is>
      </c>
      <c r="E817" s="36" t="inlineStr">
        <is>
          <t>Cavite</t>
        </is>
      </c>
      <c r="F817" s="36" t="inlineStr">
        <is>
          <t>City of Imus</t>
        </is>
      </c>
      <c r="G817" s="36" t="inlineStr">
        <is>
          <t>Malagasang I-F</t>
        </is>
      </c>
      <c r="H817" s="37" t="n">
        <v>14.37853</v>
      </c>
      <c r="I817" s="37" t="n">
        <v>120.928105</v>
      </c>
      <c r="J817" s="8" t="inlineStr">
        <is>
          <t>U</t>
        </is>
      </c>
      <c r="K817" s="36" t="inlineStr">
        <is>
          <t>Class 1-3 / Urban</t>
        </is>
      </c>
      <c r="L817" s="18" t="n">
        <v>10544</v>
      </c>
      <c r="M817" s="20" t="n">
        <v>4.49</v>
      </c>
      <c r="N817" s="18">
        <f>ROUND(L817/M817, 0)</f>
        <v/>
      </c>
      <c r="O817" s="18">
        <f>ROUND(N817*'Methodology &amp; Assumptions'!$B$8, 0)</f>
        <v/>
      </c>
      <c r="P817" s="8" t="inlineStr">
        <is>
          <t>Band n50 (1.5 GHz, 60 MHz)</t>
        </is>
      </c>
      <c r="Q817" s="38">
        <f>ROUNDUP(O817/'Methodology &amp; Assumptions'!$B$9, 0)</f>
        <v/>
      </c>
      <c r="R817" s="39" t="n">
        <v>1</v>
      </c>
      <c r="S817" s="21" t="n">
        <v>1.35</v>
      </c>
      <c r="T817" s="21" t="n">
        <v>6.12</v>
      </c>
      <c r="U817" s="36" t="inlineStr">
        <is>
          <t>Tier 1B (Micro Drop, 1-3 km)</t>
        </is>
      </c>
      <c r="V817" s="20" t="n">
        <v>63.9</v>
      </c>
      <c r="W817" s="20" t="n">
        <v>100</v>
      </c>
      <c r="X817" s="20" t="n">
        <v>28</v>
      </c>
      <c r="Y817" s="40">
        <f>ROUND((V817*'Methodology &amp; Assumptions'!$B$6)+(W817*'Methodology &amp; Assumptions'!$B$5)+(X817*'Methodology &amp; Assumptions'!$B$7), 2)</f>
        <v/>
      </c>
    </row>
    <row r="818" ht="19" customHeight="1">
      <c r="A818" s="41" t="n">
        <v>814</v>
      </c>
      <c r="B818" s="41" t="n">
        <v>3814</v>
      </c>
      <c r="C818" s="42" t="inlineStr">
        <is>
          <t>0102903014</t>
        </is>
      </c>
      <c r="D818" s="42" t="inlineStr">
        <is>
          <t>Region I (Ilocos Region)</t>
        </is>
      </c>
      <c r="E818" s="42" t="inlineStr">
        <is>
          <t>Ilocos Sur</t>
        </is>
      </c>
      <c r="F818" s="42" t="inlineStr">
        <is>
          <t>Bantay</t>
        </is>
      </c>
      <c r="G818" s="42" t="inlineStr">
        <is>
          <t>Mira</t>
        </is>
      </c>
      <c r="H818" s="43" t="n">
        <v>17.587073</v>
      </c>
      <c r="I818" s="43" t="n">
        <v>120.394412</v>
      </c>
      <c r="J818" s="44" t="inlineStr">
        <is>
          <t>R</t>
        </is>
      </c>
      <c r="K818" s="42" t="inlineStr">
        <is>
          <t>Class 1-3 / Urban</t>
        </is>
      </c>
      <c r="L818" s="23" t="n">
        <v>896</v>
      </c>
      <c r="M818" s="24" t="n">
        <v>4.56</v>
      </c>
      <c r="N818" s="23">
        <f>ROUND(L818/M818, 0)</f>
        <v/>
      </c>
      <c r="O818" s="23">
        <f>ROUND(N818*'Methodology &amp; Assumptions'!$B$8, 0)</f>
        <v/>
      </c>
      <c r="P818" s="44" t="inlineStr">
        <is>
          <t>Band n50 (1.5 GHz, 60 MHz)</t>
        </is>
      </c>
      <c r="Q818" s="38">
        <f>ROUNDUP(O818/'Methodology &amp; Assumptions'!$B$9, 0)</f>
        <v/>
      </c>
      <c r="R818" s="39" t="n">
        <v>1</v>
      </c>
      <c r="S818" s="25" t="n">
        <v>0.84</v>
      </c>
      <c r="T818" s="25" t="n">
        <v>0.7</v>
      </c>
      <c r="U818" s="42" t="inlineStr">
        <is>
          <t>Tier 1A (Direct Coloc, &lt;1 km)</t>
        </is>
      </c>
      <c r="V818" s="24" t="n">
        <v>85.5</v>
      </c>
      <c r="W818" s="24" t="n">
        <v>39.7</v>
      </c>
      <c r="X818" s="24" t="n">
        <v>73</v>
      </c>
      <c r="Y818" s="45">
        <f>ROUND((V818*'Methodology &amp; Assumptions'!$B$6)+(W818*'Methodology &amp; Assumptions'!$B$5)+(X818*'Methodology &amp; Assumptions'!$B$7), 2)</f>
        <v/>
      </c>
    </row>
    <row r="819" ht="19" customHeight="1">
      <c r="A819" s="35" t="n">
        <v>815</v>
      </c>
      <c r="B819" s="35" t="n">
        <v>3815</v>
      </c>
      <c r="C819" s="36" t="inlineStr">
        <is>
          <t>0105525037</t>
        </is>
      </c>
      <c r="D819" s="36" t="inlineStr">
        <is>
          <t>Region I (Ilocos Region)</t>
        </is>
      </c>
      <c r="E819" s="36" t="inlineStr">
        <is>
          <t>Pangasinan</t>
        </is>
      </c>
      <c r="F819" s="36" t="inlineStr">
        <is>
          <t>Manaoag</t>
        </is>
      </c>
      <c r="G819" s="36" t="inlineStr">
        <is>
          <t>Pao</t>
        </is>
      </c>
      <c r="H819" s="37" t="n">
        <v>16.05027</v>
      </c>
      <c r="I819" s="37" t="n">
        <v>120.5058</v>
      </c>
      <c r="J819" s="8" t="inlineStr">
        <is>
          <t>R</t>
        </is>
      </c>
      <c r="K819" s="36" t="inlineStr">
        <is>
          <t>Class 1-3 / Urban</t>
        </is>
      </c>
      <c r="L819" s="18" t="n">
        <v>3806</v>
      </c>
      <c r="M819" s="20" t="n">
        <v>4.39</v>
      </c>
      <c r="N819" s="18">
        <f>ROUND(L819/M819, 0)</f>
        <v/>
      </c>
      <c r="O819" s="18">
        <f>ROUND(N819*'Methodology &amp; Assumptions'!$B$8, 0)</f>
        <v/>
      </c>
      <c r="P819" s="8" t="inlineStr">
        <is>
          <t>Band n50 (1.5 GHz, 60 MHz)</t>
        </is>
      </c>
      <c r="Q819" s="38">
        <f>ROUNDUP(O819/'Methodology &amp; Assumptions'!$B$9, 0)</f>
        <v/>
      </c>
      <c r="R819" s="39" t="n">
        <v>1</v>
      </c>
      <c r="S819" s="21" t="n">
        <v>2.41</v>
      </c>
      <c r="T819" s="21" t="n">
        <v>7.8</v>
      </c>
      <c r="U819" s="36" t="inlineStr">
        <is>
          <t>Tier 1B (Micro Drop, 1-3 km)</t>
        </is>
      </c>
      <c r="V819" s="20" t="n">
        <v>44.8</v>
      </c>
      <c r="W819" s="20" t="n">
        <v>93.3</v>
      </c>
      <c r="X819" s="20" t="n">
        <v>58</v>
      </c>
      <c r="Y819" s="40">
        <f>ROUND((V819*'Methodology &amp; Assumptions'!$B$6)+(W819*'Methodology &amp; Assumptions'!$B$5)+(X819*'Methodology &amp; Assumptions'!$B$7), 2)</f>
        <v/>
      </c>
    </row>
    <row r="820" ht="19" customHeight="1">
      <c r="A820" s="41" t="n">
        <v>816</v>
      </c>
      <c r="B820" s="41" t="n">
        <v>3816</v>
      </c>
      <c r="C820" s="42" t="inlineStr">
        <is>
          <t>0102933025</t>
        </is>
      </c>
      <c r="D820" s="42" t="inlineStr">
        <is>
          <t>Region I (Ilocos Region)</t>
        </is>
      </c>
      <c r="E820" s="42" t="inlineStr">
        <is>
          <t>Ilocos Sur</t>
        </is>
      </c>
      <c r="F820" s="42" t="inlineStr">
        <is>
          <t>Tagudin</t>
        </is>
      </c>
      <c r="G820" s="42" t="inlineStr">
        <is>
          <t>Las-ud</t>
        </is>
      </c>
      <c r="H820" s="43" t="n">
        <v>16.939748</v>
      </c>
      <c r="I820" s="43" t="n">
        <v>120.441428</v>
      </c>
      <c r="J820" s="44" t="inlineStr">
        <is>
          <t>R</t>
        </is>
      </c>
      <c r="K820" s="42" t="inlineStr">
        <is>
          <t>Class 1-3 / Urban</t>
        </is>
      </c>
      <c r="L820" s="23" t="n">
        <v>1107</v>
      </c>
      <c r="M820" s="24" t="n">
        <v>4.56</v>
      </c>
      <c r="N820" s="23">
        <f>ROUND(L820/M820, 0)</f>
        <v/>
      </c>
      <c r="O820" s="23">
        <f>ROUND(N820*'Methodology &amp; Assumptions'!$B$8, 0)</f>
        <v/>
      </c>
      <c r="P820" s="44" t="inlineStr">
        <is>
          <t>Band n50 (1.5 GHz, 60 MHz)</t>
        </is>
      </c>
      <c r="Q820" s="38">
        <f>ROUNDUP(O820/'Methodology &amp; Assumptions'!$B$9, 0)</f>
        <v/>
      </c>
      <c r="R820" s="39" t="n">
        <v>1</v>
      </c>
      <c r="S820" s="25" t="n">
        <v>0.5</v>
      </c>
      <c r="T820" s="25" t="n">
        <v>0.22</v>
      </c>
      <c r="U820" s="42" t="inlineStr">
        <is>
          <t>Tier 1A (Direct Coloc, &lt;1 km)</t>
        </is>
      </c>
      <c r="V820" s="24" t="n">
        <v>94.7</v>
      </c>
      <c r="W820" s="24" t="n">
        <v>43.5</v>
      </c>
      <c r="X820" s="24" t="n">
        <v>58</v>
      </c>
      <c r="Y820" s="45">
        <f>ROUND((V820*'Methodology &amp; Assumptions'!$B$6)+(W820*'Methodology &amp; Assumptions'!$B$5)+(X820*'Methodology &amp; Assumptions'!$B$7), 2)</f>
        <v/>
      </c>
    </row>
    <row r="821" ht="19" customHeight="1">
      <c r="A821" s="35" t="n">
        <v>817</v>
      </c>
      <c r="B821" s="35" t="n">
        <v>3817</v>
      </c>
      <c r="C821" s="36" t="inlineStr">
        <is>
          <t>0730600027</t>
        </is>
      </c>
      <c r="D821" s="36" t="inlineStr">
        <is>
          <t>Region VII (Central Visayas)</t>
        </is>
      </c>
      <c r="E821" s="36" t="inlineStr">
        <is>
          <t>Cebu</t>
        </is>
      </c>
      <c r="F821" s="36" t="inlineStr">
        <is>
          <t>City of Cebu</t>
        </is>
      </c>
      <c r="G821" s="36" t="inlineStr">
        <is>
          <t>Duljo</t>
        </is>
      </c>
      <c r="H821" s="37" t="n">
        <v>10.291695</v>
      </c>
      <c r="I821" s="37" t="n">
        <v>123.884785</v>
      </c>
      <c r="J821" s="8" t="inlineStr">
        <is>
          <t>U</t>
        </is>
      </c>
      <c r="K821" s="36" t="inlineStr">
        <is>
          <t>Class 1-3 / Urban</t>
        </is>
      </c>
      <c r="L821" s="18" t="n">
        <v>15851</v>
      </c>
      <c r="M821" s="20" t="n">
        <v>4.42</v>
      </c>
      <c r="N821" s="18">
        <f>ROUND(L821/M821, 0)</f>
        <v/>
      </c>
      <c r="O821" s="18">
        <f>ROUND(N821*'Methodology &amp; Assumptions'!$B$8, 0)</f>
        <v/>
      </c>
      <c r="P821" s="8" t="inlineStr">
        <is>
          <t>Band n50 (1.5 GHz, 60 MHz)</t>
        </is>
      </c>
      <c r="Q821" s="38">
        <f>ROUNDUP(O821/'Methodology &amp; Assumptions'!$B$9, 0)</f>
        <v/>
      </c>
      <c r="R821" s="39" t="n">
        <v>1</v>
      </c>
      <c r="S821" s="21" t="n">
        <v>1.86</v>
      </c>
      <c r="T821" s="21" t="n">
        <v>0.45</v>
      </c>
      <c r="U821" s="36" t="inlineStr">
        <is>
          <t>Tier 1B (Micro Drop, 1-3 km)</t>
        </is>
      </c>
      <c r="V821" s="20" t="n">
        <v>63.8</v>
      </c>
      <c r="W821" s="20" t="n">
        <v>100</v>
      </c>
      <c r="X821" s="20" t="n">
        <v>28</v>
      </c>
      <c r="Y821" s="40">
        <f>ROUND((V821*'Methodology &amp; Assumptions'!$B$6)+(W821*'Methodology &amp; Assumptions'!$B$5)+(X821*'Methodology &amp; Assumptions'!$B$7), 2)</f>
        <v/>
      </c>
    </row>
    <row r="822" ht="19" customHeight="1">
      <c r="A822" s="41" t="n">
        <v>818</v>
      </c>
      <c r="B822" s="41" t="n">
        <v>3818</v>
      </c>
      <c r="C822" s="42" t="inlineStr">
        <is>
          <t>1001321030</t>
        </is>
      </c>
      <c r="D822" s="42" t="inlineStr">
        <is>
          <t>Region X (Northern Mindanao)</t>
        </is>
      </c>
      <c r="E822" s="42" t="inlineStr">
        <is>
          <t>Bukidnon</t>
        </is>
      </c>
      <c r="F822" s="42" t="inlineStr">
        <is>
          <t>City of Valencia</t>
        </is>
      </c>
      <c r="G822" s="42" t="inlineStr">
        <is>
          <t>Sugod</t>
        </is>
      </c>
      <c r="H822" s="43" t="n">
        <v>7.942286</v>
      </c>
      <c r="I822" s="43" t="n">
        <v>125.120749</v>
      </c>
      <c r="J822" s="44" t="inlineStr">
        <is>
          <t>U</t>
        </is>
      </c>
      <c r="K822" s="42" t="inlineStr">
        <is>
          <t>Class 1-3 / Urban</t>
        </is>
      </c>
      <c r="L822" s="23" t="n">
        <v>5782</v>
      </c>
      <c r="M822" s="24" t="n">
        <v>4.63</v>
      </c>
      <c r="N822" s="23">
        <f>ROUND(L822/M822, 0)</f>
        <v/>
      </c>
      <c r="O822" s="23">
        <f>ROUND(N822*'Methodology &amp; Assumptions'!$B$8, 0)</f>
        <v/>
      </c>
      <c r="P822" s="44" t="inlineStr">
        <is>
          <t>Band n50 (1.5 GHz, 60 MHz)</t>
        </is>
      </c>
      <c r="Q822" s="38">
        <f>ROUNDUP(O822/'Methodology &amp; Assumptions'!$B$9, 0)</f>
        <v/>
      </c>
      <c r="R822" s="39" t="n">
        <v>1</v>
      </c>
      <c r="S822" s="25" t="n">
        <v>1.86</v>
      </c>
      <c r="T822" s="25" t="n">
        <v>1.83</v>
      </c>
      <c r="U822" s="42" t="inlineStr">
        <is>
          <t>Tier 1B (Micro Drop, 1-3 km)</t>
        </is>
      </c>
      <c r="V822" s="24" t="n">
        <v>63.8</v>
      </c>
      <c r="W822" s="24" t="n">
        <v>100</v>
      </c>
      <c r="X822" s="24" t="n">
        <v>28</v>
      </c>
      <c r="Y822" s="45">
        <f>ROUND((V822*'Methodology &amp; Assumptions'!$B$6)+(W822*'Methodology &amp; Assumptions'!$B$5)+(X822*'Methodology &amp; Assumptions'!$B$7), 2)</f>
        <v/>
      </c>
    </row>
    <row r="823" ht="19" customHeight="1">
      <c r="A823" s="35" t="n">
        <v>819</v>
      </c>
      <c r="B823" s="35" t="n">
        <v>3819</v>
      </c>
      <c r="C823" s="36" t="inlineStr">
        <is>
          <t>0301409025</t>
        </is>
      </c>
      <c r="D823" s="36" t="inlineStr">
        <is>
          <t>Region III (Central Luzon)</t>
        </is>
      </c>
      <c r="E823" s="36" t="inlineStr">
        <is>
          <t>Bulacan</t>
        </is>
      </c>
      <c r="F823" s="36" t="inlineStr">
        <is>
          <t>Hagonoy</t>
        </is>
      </c>
      <c r="G823" s="36" t="inlineStr">
        <is>
          <t>Tampok</t>
        </is>
      </c>
      <c r="H823" s="37" t="n">
        <v>14.851466</v>
      </c>
      <c r="I823" s="37" t="n">
        <v>120.733386</v>
      </c>
      <c r="J823" s="8" t="inlineStr">
        <is>
          <t>R</t>
        </is>
      </c>
      <c r="K823" s="36" t="inlineStr">
        <is>
          <t>Class 1-3 / Urban</t>
        </is>
      </c>
      <c r="L823" s="18" t="n">
        <v>3011</v>
      </c>
      <c r="M823" s="20" t="n">
        <v>4.1</v>
      </c>
      <c r="N823" s="18">
        <f>ROUND(L823/M823, 0)</f>
        <v/>
      </c>
      <c r="O823" s="18">
        <f>ROUND(N823*'Methodology &amp; Assumptions'!$B$8, 0)</f>
        <v/>
      </c>
      <c r="P823" s="8" t="inlineStr">
        <is>
          <t>Band n50 (1.5 GHz, 60 MHz)</t>
        </is>
      </c>
      <c r="Q823" s="38">
        <f>ROUNDUP(O823/'Methodology &amp; Assumptions'!$B$9, 0)</f>
        <v/>
      </c>
      <c r="R823" s="39" t="n">
        <v>1</v>
      </c>
      <c r="S823" s="21" t="n">
        <v>2.37</v>
      </c>
      <c r="T823" s="21" t="n">
        <v>1.58</v>
      </c>
      <c r="U823" s="36" t="inlineStr">
        <is>
          <t>Tier 1B (Micro Drop, 1-3 km)</t>
        </is>
      </c>
      <c r="V823" s="20" t="n">
        <v>55.4</v>
      </c>
      <c r="W823" s="20" t="n">
        <v>82.7</v>
      </c>
      <c r="X823" s="20" t="n">
        <v>58</v>
      </c>
      <c r="Y823" s="40">
        <f>ROUND((V823*'Methodology &amp; Assumptions'!$B$6)+(W823*'Methodology &amp; Assumptions'!$B$5)+(X823*'Methodology &amp; Assumptions'!$B$7), 2)</f>
        <v/>
      </c>
    </row>
    <row r="824" ht="19" customHeight="1">
      <c r="A824" s="41" t="n">
        <v>820</v>
      </c>
      <c r="B824" s="41" t="n">
        <v>3820</v>
      </c>
      <c r="C824" s="42" t="inlineStr">
        <is>
          <t>0603005003</t>
        </is>
      </c>
      <c r="D824" s="42" t="inlineStr">
        <is>
          <t>Region VI (Western Visayas)</t>
        </is>
      </c>
      <c r="E824" s="42" t="inlineStr">
        <is>
          <t>Iloilo</t>
        </is>
      </c>
      <c r="F824" s="42" t="inlineStr">
        <is>
          <t>Balasan</t>
        </is>
      </c>
      <c r="G824" s="42" t="inlineStr">
        <is>
          <t>Balanti-an</t>
        </is>
      </c>
      <c r="H824" s="43" t="n">
        <v>11.487143</v>
      </c>
      <c r="I824" s="43" t="n">
        <v>123.088468</v>
      </c>
      <c r="J824" s="44" t="inlineStr">
        <is>
          <t>R</t>
        </is>
      </c>
      <c r="K824" s="42" t="inlineStr">
        <is>
          <t>2nd</t>
        </is>
      </c>
      <c r="L824" s="23" t="n">
        <v>2517</v>
      </c>
      <c r="M824" s="24" t="n">
        <v>4.09</v>
      </c>
      <c r="N824" s="23">
        <f>ROUND(L824/M824, 0)</f>
        <v/>
      </c>
      <c r="O824" s="23">
        <f>ROUND(N824*'Methodology &amp; Assumptions'!$B$8, 0)</f>
        <v/>
      </c>
      <c r="P824" s="44" t="inlineStr">
        <is>
          <t>Band n50 (1.5 GHz, 60 MHz)</t>
        </is>
      </c>
      <c r="Q824" s="38">
        <f>ROUNDUP(O824/'Methodology &amp; Assumptions'!$B$9, 0)</f>
        <v/>
      </c>
      <c r="R824" s="39" t="n">
        <v>1</v>
      </c>
      <c r="S824" s="25" t="n">
        <v>1.79</v>
      </c>
      <c r="T824" s="25" t="n">
        <v>0.87</v>
      </c>
      <c r="U824" s="42" t="inlineStr">
        <is>
          <t>Tier 1B (Micro Drop, 1-3 km)</t>
        </is>
      </c>
      <c r="V824" s="24" t="n">
        <v>65</v>
      </c>
      <c r="W824" s="24" t="n">
        <v>73.09999999999999</v>
      </c>
      <c r="X824" s="24" t="n">
        <v>58</v>
      </c>
      <c r="Y824" s="45">
        <f>ROUND((V824*'Methodology &amp; Assumptions'!$B$6)+(W824*'Methodology &amp; Assumptions'!$B$5)+(X824*'Methodology &amp; Assumptions'!$B$7), 2)</f>
        <v/>
      </c>
    </row>
    <row r="825" ht="19" customHeight="1">
      <c r="A825" s="35" t="n">
        <v>821</v>
      </c>
      <c r="B825" s="35" t="n">
        <v>3821</v>
      </c>
      <c r="C825" s="36" t="inlineStr">
        <is>
          <t>0401022016</t>
        </is>
      </c>
      <c r="D825" s="36" t="inlineStr">
        <is>
          <t>Region IV-A (CALABARZON)</t>
        </is>
      </c>
      <c r="E825" s="36" t="inlineStr">
        <is>
          <t>Batangas</t>
        </is>
      </c>
      <c r="F825" s="36" t="inlineStr">
        <is>
          <t>San Jose</t>
        </is>
      </c>
      <c r="G825" s="36" t="inlineStr">
        <is>
          <t>Lapolapo I</t>
        </is>
      </c>
      <c r="H825" s="37" t="n">
        <v>13.881436</v>
      </c>
      <c r="I825" s="37" t="n">
        <v>121.1129</v>
      </c>
      <c r="J825" s="8" t="inlineStr">
        <is>
          <t>R</t>
        </is>
      </c>
      <c r="K825" s="36" t="inlineStr">
        <is>
          <t>Class 1-3 / Urban</t>
        </is>
      </c>
      <c r="L825" s="18" t="n">
        <v>1730</v>
      </c>
      <c r="M825" s="20" t="n">
        <v>4.62</v>
      </c>
      <c r="N825" s="18">
        <f>ROUND(L825/M825, 0)</f>
        <v/>
      </c>
      <c r="O825" s="18">
        <f>ROUND(N825*'Methodology &amp; Assumptions'!$B$8, 0)</f>
        <v/>
      </c>
      <c r="P825" s="8" t="inlineStr">
        <is>
          <t>Band n50 (1.5 GHz, 60 MHz)</t>
        </is>
      </c>
      <c r="Q825" s="38">
        <f>ROUNDUP(O825/'Methodology &amp; Assumptions'!$B$9, 0)</f>
        <v/>
      </c>
      <c r="R825" s="39" t="n">
        <v>1</v>
      </c>
      <c r="S825" s="21" t="n">
        <v>0.89</v>
      </c>
      <c r="T825" s="21" t="n">
        <v>0.73</v>
      </c>
      <c r="U825" s="36" t="inlineStr">
        <is>
          <t>Tier 1A (Direct Coloc, &lt;1 km)</t>
        </is>
      </c>
      <c r="V825" s="20" t="n">
        <v>84.2</v>
      </c>
      <c r="W825" s="20" t="n">
        <v>53.9</v>
      </c>
      <c r="X825" s="20" t="n">
        <v>58</v>
      </c>
      <c r="Y825" s="40">
        <f>ROUND((V825*'Methodology &amp; Assumptions'!$B$6)+(W825*'Methodology &amp; Assumptions'!$B$5)+(X825*'Methodology &amp; Assumptions'!$B$7), 2)</f>
        <v/>
      </c>
    </row>
    <row r="826" ht="19" customHeight="1">
      <c r="A826" s="41" t="n">
        <v>822</v>
      </c>
      <c r="B826" s="41" t="n">
        <v>3822</v>
      </c>
      <c r="C826" s="42" t="inlineStr">
        <is>
          <t>0702234015</t>
        </is>
      </c>
      <c r="D826" s="42" t="inlineStr">
        <is>
          <t>Region VII (Central Visayas)</t>
        </is>
      </c>
      <c r="E826" s="42" t="inlineStr">
        <is>
          <t>Cebu</t>
        </is>
      </c>
      <c r="F826" s="42" t="inlineStr">
        <is>
          <t>City of Naga</t>
        </is>
      </c>
      <c r="G826" s="42" t="inlineStr">
        <is>
          <t>Lutac</t>
        </is>
      </c>
      <c r="H826" s="43" t="n">
        <v>10.249039</v>
      </c>
      <c r="I826" s="43" t="n">
        <v>123.726173</v>
      </c>
      <c r="J826" s="44" t="inlineStr">
        <is>
          <t>U</t>
        </is>
      </c>
      <c r="K826" s="42" t="inlineStr">
        <is>
          <t>Class 1-3 / Urban</t>
        </is>
      </c>
      <c r="L826" s="23" t="n">
        <v>5498</v>
      </c>
      <c r="M826" s="24" t="n">
        <v>4.42</v>
      </c>
      <c r="N826" s="23">
        <f>ROUND(L826/M826, 0)</f>
        <v/>
      </c>
      <c r="O826" s="23">
        <f>ROUND(N826*'Methodology &amp; Assumptions'!$B$8, 0)</f>
        <v/>
      </c>
      <c r="P826" s="44" t="inlineStr">
        <is>
          <t>Band n50 (1.5 GHz, 60 MHz)</t>
        </is>
      </c>
      <c r="Q826" s="38">
        <f>ROUNDUP(O826/'Methodology &amp; Assumptions'!$B$9, 0)</f>
        <v/>
      </c>
      <c r="R826" s="39" t="n">
        <v>1</v>
      </c>
      <c r="S826" s="25" t="n">
        <v>1.86</v>
      </c>
      <c r="T826" s="25" t="n">
        <v>0.12</v>
      </c>
      <c r="U826" s="42" t="inlineStr">
        <is>
          <t>Tier 1B (Micro Drop, 1-3 km)</t>
        </is>
      </c>
      <c r="V826" s="24" t="n">
        <v>63.8</v>
      </c>
      <c r="W826" s="24" t="n">
        <v>100</v>
      </c>
      <c r="X826" s="24" t="n">
        <v>28</v>
      </c>
      <c r="Y826" s="45">
        <f>ROUND((V826*'Methodology &amp; Assumptions'!$B$6)+(W826*'Methodology &amp; Assumptions'!$B$5)+(X826*'Methodology &amp; Assumptions'!$B$7), 2)</f>
        <v/>
      </c>
    </row>
    <row r="827" ht="19" customHeight="1">
      <c r="A827" s="35" t="n">
        <v>823</v>
      </c>
      <c r="B827" s="35" t="n">
        <v>3823</v>
      </c>
      <c r="C827" s="36" t="inlineStr">
        <is>
          <t>0702240011</t>
        </is>
      </c>
      <c r="D827" s="36" t="inlineStr">
        <is>
          <t>Region VII (Central Visayas)</t>
        </is>
      </c>
      <c r="E827" s="36" t="inlineStr">
        <is>
          <t>Cebu</t>
        </is>
      </c>
      <c r="F827" s="36" t="inlineStr">
        <is>
          <t>Samboan</t>
        </is>
      </c>
      <c r="G827" s="36" t="inlineStr">
        <is>
          <t>Poblacion</t>
        </is>
      </c>
      <c r="H827" s="37" t="n">
        <v>9.528890000000001</v>
      </c>
      <c r="I827" s="37" t="n">
        <v>123.3074</v>
      </c>
      <c r="J827" s="8" t="inlineStr">
        <is>
          <t>R</t>
        </is>
      </c>
      <c r="K827" s="36" t="inlineStr">
        <is>
          <t>4th</t>
        </is>
      </c>
      <c r="L827" s="18" t="n">
        <v>3887</v>
      </c>
      <c r="M827" s="20" t="n">
        <v>4.63</v>
      </c>
      <c r="N827" s="18">
        <f>ROUND(L827/M827, 0)</f>
        <v/>
      </c>
      <c r="O827" s="18">
        <f>ROUND(N827*'Methodology &amp; Assumptions'!$B$8, 0)</f>
        <v/>
      </c>
      <c r="P827" s="8" t="inlineStr">
        <is>
          <t>Band n50 (1.5 GHz, 60 MHz)</t>
        </is>
      </c>
      <c r="Q827" s="38">
        <f>ROUNDUP(O827/'Methodology &amp; Assumptions'!$B$9, 0)</f>
        <v/>
      </c>
      <c r="R827" s="39" t="n">
        <v>1</v>
      </c>
      <c r="S827" s="21" t="n">
        <v>12.03</v>
      </c>
      <c r="T827" s="21" t="n">
        <v>0.21</v>
      </c>
      <c r="U827" s="36" t="inlineStr">
        <is>
          <t>Tier 2 (Fiber Corridor / Lateral, 3-5 km)</t>
        </is>
      </c>
      <c r="V827" s="20" t="n">
        <v>25</v>
      </c>
      <c r="W827" s="20" t="n">
        <v>91.2</v>
      </c>
      <c r="X827" s="20" t="n">
        <v>83.5</v>
      </c>
      <c r="Y827" s="40">
        <f>ROUND((V827*'Methodology &amp; Assumptions'!$B$6)+(W827*'Methodology &amp; Assumptions'!$B$5)+(X827*'Methodology &amp; Assumptions'!$B$7), 2)</f>
        <v/>
      </c>
    </row>
    <row r="828" ht="19" customHeight="1">
      <c r="A828" s="41" t="n">
        <v>824</v>
      </c>
      <c r="B828" s="41" t="n">
        <v>3824</v>
      </c>
      <c r="C828" s="42" t="inlineStr">
        <is>
          <t>0603016001</t>
        </is>
      </c>
      <c r="D828" s="42" t="inlineStr">
        <is>
          <t>Region VI (Western Visayas)</t>
        </is>
      </c>
      <c r="E828" s="42" t="inlineStr">
        <is>
          <t>Iloilo</t>
        </is>
      </c>
      <c r="F828" s="42" t="inlineStr">
        <is>
          <t>Dingle</t>
        </is>
      </c>
      <c r="G828" s="42" t="inlineStr">
        <is>
          <t>Abangay</t>
        </is>
      </c>
      <c r="H828" s="43" t="n">
        <v>10.962498</v>
      </c>
      <c r="I828" s="43" t="n">
        <v>122.654188</v>
      </c>
      <c r="J828" s="44" t="inlineStr">
        <is>
          <t>R</t>
        </is>
      </c>
      <c r="K828" s="42" t="inlineStr">
        <is>
          <t>Class 1-3 / Urban</t>
        </is>
      </c>
      <c r="L828" s="23" t="n">
        <v>2455</v>
      </c>
      <c r="M828" s="24" t="n">
        <v>4.39</v>
      </c>
      <c r="N828" s="23">
        <f>ROUND(L828/M828, 0)</f>
        <v/>
      </c>
      <c r="O828" s="23">
        <f>ROUND(N828*'Methodology &amp; Assumptions'!$B$8, 0)</f>
        <v/>
      </c>
      <c r="P828" s="44" t="inlineStr">
        <is>
          <t>Band n50 (1.5 GHz, 60 MHz)</t>
        </is>
      </c>
      <c r="Q828" s="38">
        <f>ROUNDUP(O828/'Methodology &amp; Assumptions'!$B$9, 0)</f>
        <v/>
      </c>
      <c r="R828" s="39" t="n">
        <v>1</v>
      </c>
      <c r="S828" s="25" t="n">
        <v>2.3</v>
      </c>
      <c r="T828" s="25" t="n">
        <v>1.57</v>
      </c>
      <c r="U828" s="42" t="inlineStr">
        <is>
          <t>Tier 1B (Micro Drop, 1-3 km)</t>
        </is>
      </c>
      <c r="V828" s="24" t="n">
        <v>56.4</v>
      </c>
      <c r="W828" s="24" t="n">
        <v>68.8</v>
      </c>
      <c r="X828" s="24" t="n">
        <v>73</v>
      </c>
      <c r="Y828" s="45">
        <f>ROUND((V828*'Methodology &amp; Assumptions'!$B$6)+(W828*'Methodology &amp; Assumptions'!$B$5)+(X828*'Methodology &amp; Assumptions'!$B$7), 2)</f>
        <v/>
      </c>
    </row>
    <row r="829" ht="19" customHeight="1">
      <c r="A829" s="35" t="n">
        <v>825</v>
      </c>
      <c r="B829" s="35" t="n">
        <v>3825</v>
      </c>
      <c r="C829" s="36" t="inlineStr">
        <is>
          <t>0405639009</t>
        </is>
      </c>
      <c r="D829" s="36" t="inlineStr">
        <is>
          <t>Region IV-A (CALABARZON)</t>
        </is>
      </c>
      <c r="E829" s="36" t="inlineStr">
        <is>
          <t>Quezon</t>
        </is>
      </c>
      <c r="F829" s="36" t="inlineStr">
        <is>
          <t>Sampaloc</t>
        </is>
      </c>
      <c r="G829" s="36" t="inlineStr">
        <is>
          <t>Bayongon</t>
        </is>
      </c>
      <c r="H829" s="37" t="n">
        <v>14.156542</v>
      </c>
      <c r="I829" s="37" t="n">
        <v>121.635683</v>
      </c>
      <c r="J829" s="8" t="inlineStr">
        <is>
          <t>R</t>
        </is>
      </c>
      <c r="K829" s="36" t="inlineStr">
        <is>
          <t>4th</t>
        </is>
      </c>
      <c r="L829" s="18" t="n">
        <v>1475</v>
      </c>
      <c r="M829" s="20" t="n">
        <v>4.56</v>
      </c>
      <c r="N829" s="18">
        <f>ROUND(L829/M829, 0)</f>
        <v/>
      </c>
      <c r="O829" s="18">
        <f>ROUND(N829*'Methodology &amp; Assumptions'!$B$8, 0)</f>
        <v/>
      </c>
      <c r="P829" s="8" t="inlineStr">
        <is>
          <t>Band n50 (1.5 GHz, 60 MHz)</t>
        </is>
      </c>
      <c r="Q829" s="38">
        <f>ROUNDUP(O829/'Methodology &amp; Assumptions'!$B$9, 0)</f>
        <v/>
      </c>
      <c r="R829" s="39" t="n">
        <v>1</v>
      </c>
      <c r="S829" s="21" t="n">
        <v>0.7</v>
      </c>
      <c r="T829" s="21" t="n">
        <v>8.92</v>
      </c>
      <c r="U829" s="36" t="inlineStr">
        <is>
          <t>Tier 1A (Direct Coloc, &lt;1 km)</t>
        </is>
      </c>
      <c r="V829" s="20" t="n">
        <v>79.2</v>
      </c>
      <c r="W829" s="20" t="n">
        <v>49.9</v>
      </c>
      <c r="X829" s="20" t="n">
        <v>68.5</v>
      </c>
      <c r="Y829" s="40">
        <f>ROUND((V829*'Methodology &amp; Assumptions'!$B$6)+(W829*'Methodology &amp; Assumptions'!$B$5)+(X829*'Methodology &amp; Assumptions'!$B$7), 2)</f>
        <v/>
      </c>
    </row>
    <row r="830" ht="19" customHeight="1">
      <c r="A830" s="41" t="n">
        <v>826</v>
      </c>
      <c r="B830" s="41" t="n">
        <v>3826</v>
      </c>
      <c r="C830" s="42" t="inlineStr">
        <is>
          <t>0501736018</t>
        </is>
      </c>
      <c r="D830" s="42" t="inlineStr">
        <is>
          <t>Region V (Bicol Region)</t>
        </is>
      </c>
      <c r="E830" s="42" t="inlineStr">
        <is>
          <t>Camarines Sur</t>
        </is>
      </c>
      <c r="F830" s="42" t="inlineStr">
        <is>
          <t>Tigaon</t>
        </is>
      </c>
      <c r="G830" s="42" t="inlineStr">
        <is>
          <t>San Antonio</t>
        </is>
      </c>
      <c r="H830" s="43" t="n">
        <v>13.646141</v>
      </c>
      <c r="I830" s="43" t="n">
        <v>123.499642</v>
      </c>
      <c r="J830" s="44" t="inlineStr">
        <is>
          <t>R</t>
        </is>
      </c>
      <c r="K830" s="42" t="inlineStr">
        <is>
          <t>Class 1-3 / Urban</t>
        </is>
      </c>
      <c r="L830" s="23" t="n">
        <v>2990</v>
      </c>
      <c r="M830" s="24" t="n">
        <v>4.9</v>
      </c>
      <c r="N830" s="23">
        <f>ROUND(L830/M830, 0)</f>
        <v/>
      </c>
      <c r="O830" s="23">
        <f>ROUND(N830*'Methodology &amp; Assumptions'!$B$8, 0)</f>
        <v/>
      </c>
      <c r="P830" s="44" t="inlineStr">
        <is>
          <t>Band n50 (1.5 GHz, 60 MHz)</t>
        </is>
      </c>
      <c r="Q830" s="38">
        <f>ROUNDUP(O830/'Methodology &amp; Assumptions'!$B$9, 0)</f>
        <v/>
      </c>
      <c r="R830" s="39" t="n">
        <v>1</v>
      </c>
      <c r="S830" s="25" t="n">
        <v>1.78</v>
      </c>
      <c r="T830" s="25" t="n">
        <v>0.02</v>
      </c>
      <c r="U830" s="42" t="inlineStr">
        <is>
          <t>Tier 1B (Micro Drop, 1-3 km)</t>
        </is>
      </c>
      <c r="V830" s="24" t="n">
        <v>65.3</v>
      </c>
      <c r="W830" s="24" t="n">
        <v>72.8</v>
      </c>
      <c r="X830" s="24" t="n">
        <v>58</v>
      </c>
      <c r="Y830" s="45">
        <f>ROUND((V830*'Methodology &amp; Assumptions'!$B$6)+(W830*'Methodology &amp; Assumptions'!$B$5)+(X830*'Methodology &amp; Assumptions'!$B$7), 2)</f>
        <v/>
      </c>
    </row>
    <row r="831" ht="19" customHeight="1">
      <c r="A831" s="35" t="n">
        <v>827</v>
      </c>
      <c r="B831" s="35" t="n">
        <v>3827</v>
      </c>
      <c r="C831" s="36" t="inlineStr">
        <is>
          <t>0501708043</t>
        </is>
      </c>
      <c r="D831" s="36" t="inlineStr">
        <is>
          <t>Region V (Bicol Region)</t>
        </is>
      </c>
      <c r="E831" s="36" t="inlineStr">
        <is>
          <t>Camarines Sur</t>
        </is>
      </c>
      <c r="F831" s="36" t="inlineStr">
        <is>
          <t>Calabanga</t>
        </is>
      </c>
      <c r="G831" s="36" t="inlineStr">
        <is>
          <t>Santa Isabel</t>
        </is>
      </c>
      <c r="H831" s="37" t="n">
        <v>13.706903</v>
      </c>
      <c r="I831" s="37" t="n">
        <v>123.206049</v>
      </c>
      <c r="J831" s="8" t="inlineStr">
        <is>
          <t>R</t>
        </is>
      </c>
      <c r="K831" s="36" t="inlineStr">
        <is>
          <t>Class 1-3 / Urban</t>
        </is>
      </c>
      <c r="L831" s="18" t="n">
        <v>917</v>
      </c>
      <c r="M831" s="20" t="n">
        <v>4.9</v>
      </c>
      <c r="N831" s="18">
        <f>ROUND(L831/M831, 0)</f>
        <v/>
      </c>
      <c r="O831" s="18">
        <f>ROUND(N831*'Methodology &amp; Assumptions'!$B$8, 0)</f>
        <v/>
      </c>
      <c r="P831" s="8" t="inlineStr">
        <is>
          <t>Band n50 (1.5 GHz, 60 MHz)</t>
        </is>
      </c>
      <c r="Q831" s="38">
        <f>ROUNDUP(O831/'Methodology &amp; Assumptions'!$B$9, 0)</f>
        <v/>
      </c>
      <c r="R831" s="39" t="n">
        <v>1</v>
      </c>
      <c r="S831" s="21" t="n">
        <v>0.35</v>
      </c>
      <c r="T831" s="21" t="n">
        <v>0.08</v>
      </c>
      <c r="U831" s="36" t="inlineStr">
        <is>
          <t>Tier 1A (Direct Coloc, &lt;1 km)</t>
        </is>
      </c>
      <c r="V831" s="20" t="n">
        <v>99.09999999999999</v>
      </c>
      <c r="W831" s="20" t="n">
        <v>38.9</v>
      </c>
      <c r="X831" s="20" t="n">
        <v>58</v>
      </c>
      <c r="Y831" s="40">
        <f>ROUND((V831*'Methodology &amp; Assumptions'!$B$6)+(W831*'Methodology &amp; Assumptions'!$B$5)+(X831*'Methodology &amp; Assumptions'!$B$7), 2)</f>
        <v/>
      </c>
    </row>
    <row r="832" ht="19" customHeight="1">
      <c r="A832" s="41" t="n">
        <v>828</v>
      </c>
      <c r="B832" s="41" t="n">
        <v>3828</v>
      </c>
      <c r="C832" s="42" t="inlineStr">
        <is>
          <t>0402108002</t>
        </is>
      </c>
      <c r="D832" s="42" t="inlineStr">
        <is>
          <t>Region IV-A (CALABARZON)</t>
        </is>
      </c>
      <c r="E832" s="42" t="inlineStr">
        <is>
          <t>Cavite</t>
        </is>
      </c>
      <c r="F832" s="42" t="inlineStr">
        <is>
          <t>City of General Trias</t>
        </is>
      </c>
      <c r="G832" s="42" t="inlineStr">
        <is>
          <t>Bacao I</t>
        </is>
      </c>
      <c r="H832" s="43" t="n">
        <v>14.397874</v>
      </c>
      <c r="I832" s="43" t="n">
        <v>120.887262</v>
      </c>
      <c r="J832" s="44" t="inlineStr">
        <is>
          <t>U</t>
        </is>
      </c>
      <c r="K832" s="42" t="inlineStr">
        <is>
          <t>Class 1-3 / Urban</t>
        </is>
      </c>
      <c r="L832" s="23" t="n">
        <v>15893</v>
      </c>
      <c r="M832" s="24" t="n">
        <v>4.49</v>
      </c>
      <c r="N832" s="23">
        <f>ROUND(L832/M832, 0)</f>
        <v/>
      </c>
      <c r="O832" s="23">
        <f>ROUND(N832*'Methodology &amp; Assumptions'!$B$8, 0)</f>
        <v/>
      </c>
      <c r="P832" s="44" t="inlineStr">
        <is>
          <t>Band n50 (1.5 GHz, 60 MHz)</t>
        </is>
      </c>
      <c r="Q832" s="38">
        <f>ROUNDUP(O832/'Methodology &amp; Assumptions'!$B$9, 0)</f>
        <v/>
      </c>
      <c r="R832" s="39" t="n">
        <v>1</v>
      </c>
      <c r="S832" s="25" t="n">
        <v>1.86</v>
      </c>
      <c r="T832" s="25" t="n">
        <v>1.23</v>
      </c>
      <c r="U832" s="42" t="inlineStr">
        <is>
          <t>Tier 1B (Micro Drop, 1-3 km)</t>
        </is>
      </c>
      <c r="V832" s="24" t="n">
        <v>63.8</v>
      </c>
      <c r="W832" s="24" t="n">
        <v>100</v>
      </c>
      <c r="X832" s="24" t="n">
        <v>28</v>
      </c>
      <c r="Y832" s="45">
        <f>ROUND((V832*'Methodology &amp; Assumptions'!$B$6)+(W832*'Methodology &amp; Assumptions'!$B$5)+(X832*'Methodology &amp; Assumptions'!$B$7), 2)</f>
        <v/>
      </c>
    </row>
    <row r="833" ht="19" customHeight="1">
      <c r="A833" s="35" t="n">
        <v>829</v>
      </c>
      <c r="B833" s="35" t="n">
        <v>3829</v>
      </c>
      <c r="C833" s="36" t="inlineStr">
        <is>
          <t>0102812068</t>
        </is>
      </c>
      <c r="D833" s="36" t="inlineStr">
        <is>
          <t>Region I (Ilocos Region)</t>
        </is>
      </c>
      <c r="E833" s="36" t="inlineStr">
        <is>
          <t>Ilocos Norte</t>
        </is>
      </c>
      <c r="F833" s="36" t="inlineStr">
        <is>
          <t>City of Laoag</t>
        </is>
      </c>
      <c r="G833" s="36" t="inlineStr">
        <is>
          <t>Bgy. No. 5, San Pedro</t>
        </is>
      </c>
      <c r="H833" s="37" t="n">
        <v>18.203378</v>
      </c>
      <c r="I833" s="37" t="n">
        <v>120.591581</v>
      </c>
      <c r="J833" s="8" t="inlineStr">
        <is>
          <t>R</t>
        </is>
      </c>
      <c r="K833" s="36" t="inlineStr">
        <is>
          <t>Class 1-3 / Urban</t>
        </is>
      </c>
      <c r="L833" s="18" t="n">
        <v>1383</v>
      </c>
      <c r="M833" s="20" t="n">
        <v>4.35</v>
      </c>
      <c r="N833" s="18">
        <f>ROUND(L833/M833, 0)</f>
        <v/>
      </c>
      <c r="O833" s="18">
        <f>ROUND(N833*'Methodology &amp; Assumptions'!$B$8, 0)</f>
        <v/>
      </c>
      <c r="P833" s="8" t="inlineStr">
        <is>
          <t>Band n50 (1.5 GHz, 60 MHz)</t>
        </is>
      </c>
      <c r="Q833" s="38">
        <f>ROUNDUP(O833/'Methodology &amp; Assumptions'!$B$9, 0)</f>
        <v/>
      </c>
      <c r="R833" s="39" t="n">
        <v>1</v>
      </c>
      <c r="S833" s="21" t="n">
        <v>0.72</v>
      </c>
      <c r="T833" s="21" t="n">
        <v>0.07000000000000001</v>
      </c>
      <c r="U833" s="36" t="inlineStr">
        <is>
          <t>Tier 1A (Direct Coloc, &lt;1 km)</t>
        </is>
      </c>
      <c r="V833" s="20" t="n">
        <v>88.7</v>
      </c>
      <c r="W833" s="20" t="n">
        <v>49.3</v>
      </c>
      <c r="X833" s="20" t="n">
        <v>58</v>
      </c>
      <c r="Y833" s="40">
        <f>ROUND((V833*'Methodology &amp; Assumptions'!$B$6)+(W833*'Methodology &amp; Assumptions'!$B$5)+(X833*'Methodology &amp; Assumptions'!$B$7), 2)</f>
        <v/>
      </c>
    </row>
    <row r="834" ht="19" customHeight="1">
      <c r="A834" s="41" t="n">
        <v>830</v>
      </c>
      <c r="B834" s="41" t="n">
        <v>3830</v>
      </c>
      <c r="C834" s="42" t="inlineStr">
        <is>
          <t>1731500005</t>
        </is>
      </c>
      <c r="D834" s="42" t="inlineStr">
        <is>
          <t>MIMAROPA Region</t>
        </is>
      </c>
      <c r="E834" s="42" t="inlineStr">
        <is>
          <t>Palawan</t>
        </is>
      </c>
      <c r="F834" s="42" t="inlineStr">
        <is>
          <t>City of Puerto Princesa</t>
        </is>
      </c>
      <c r="G834" s="42" t="inlineStr">
        <is>
          <t>Bagong Sikat</t>
        </is>
      </c>
      <c r="H834" s="43" t="n">
        <v>9.731769999999999</v>
      </c>
      <c r="I834" s="43" t="n">
        <v>118.742046</v>
      </c>
      <c r="J834" s="44" t="inlineStr">
        <is>
          <t>U</t>
        </is>
      </c>
      <c r="K834" s="42" t="inlineStr">
        <is>
          <t>Class 1-3 / Urban</t>
        </is>
      </c>
      <c r="L834" s="23" t="n">
        <v>7035</v>
      </c>
      <c r="M834" s="24" t="n">
        <v>4.35</v>
      </c>
      <c r="N834" s="23">
        <f>ROUND(L834/M834, 0)</f>
        <v/>
      </c>
      <c r="O834" s="23">
        <f>ROUND(N834*'Methodology &amp; Assumptions'!$B$8, 0)</f>
        <v/>
      </c>
      <c r="P834" s="44" t="inlineStr">
        <is>
          <t>Band n50 (1.5 GHz, 60 MHz)</t>
        </is>
      </c>
      <c r="Q834" s="38">
        <f>ROUNDUP(O834/'Methodology &amp; Assumptions'!$B$9, 0)</f>
        <v/>
      </c>
      <c r="R834" s="39" t="n">
        <v>1</v>
      </c>
      <c r="S834" s="25" t="n">
        <v>1.35</v>
      </c>
      <c r="T834" s="25" t="n">
        <v>2.77</v>
      </c>
      <c r="U834" s="42" t="inlineStr">
        <is>
          <t>Tier 1B (Micro Drop, 1-3 km)</t>
        </is>
      </c>
      <c r="V834" s="24" t="n">
        <v>63.7</v>
      </c>
      <c r="W834" s="24" t="n">
        <v>100</v>
      </c>
      <c r="X834" s="24" t="n">
        <v>28</v>
      </c>
      <c r="Y834" s="45">
        <f>ROUND((V834*'Methodology &amp; Assumptions'!$B$6)+(W834*'Methodology &amp; Assumptions'!$B$5)+(X834*'Methodology &amp; Assumptions'!$B$7), 2)</f>
        <v/>
      </c>
    </row>
    <row r="835" ht="19" customHeight="1">
      <c r="A835" s="35" t="n">
        <v>831</v>
      </c>
      <c r="B835" s="35" t="n">
        <v>3831</v>
      </c>
      <c r="C835" s="36" t="inlineStr">
        <is>
          <t>0300805014</t>
        </is>
      </c>
      <c r="D835" s="36" t="inlineStr">
        <is>
          <t>Region III (Central Luzon)</t>
        </is>
      </c>
      <c r="E835" s="36" t="inlineStr">
        <is>
          <t>Bataan</t>
        </is>
      </c>
      <c r="F835" s="36" t="inlineStr">
        <is>
          <t>Hermosa</t>
        </is>
      </c>
      <c r="G835" s="36" t="inlineStr">
        <is>
          <t>Palihan</t>
        </is>
      </c>
      <c r="H835" s="37" t="n">
        <v>14.847495</v>
      </c>
      <c r="I835" s="37" t="n">
        <v>120.469599</v>
      </c>
      <c r="J835" s="8" t="inlineStr">
        <is>
          <t>U</t>
        </is>
      </c>
      <c r="K835" s="36" t="inlineStr">
        <is>
          <t>Class 1-3 / Urban</t>
        </is>
      </c>
      <c r="L835" s="18" t="n">
        <v>6556</v>
      </c>
      <c r="M835" s="20" t="n">
        <v>4.57</v>
      </c>
      <c r="N835" s="18">
        <f>ROUND(L835/M835, 0)</f>
        <v/>
      </c>
      <c r="O835" s="18">
        <f>ROUND(N835*'Methodology &amp; Assumptions'!$B$8, 0)</f>
        <v/>
      </c>
      <c r="P835" s="8" t="inlineStr">
        <is>
          <t>Band n50 (1.5 GHz, 60 MHz)</t>
        </is>
      </c>
      <c r="Q835" s="38">
        <f>ROUNDUP(O835/'Methodology &amp; Assumptions'!$B$9, 0)</f>
        <v/>
      </c>
      <c r="R835" s="39" t="n">
        <v>1</v>
      </c>
      <c r="S835" s="21" t="n">
        <v>1.86</v>
      </c>
      <c r="T835" s="21" t="n">
        <v>0.16</v>
      </c>
      <c r="U835" s="36" t="inlineStr">
        <is>
          <t>Tier 1B (Micro Drop, 1-3 km)</t>
        </is>
      </c>
      <c r="V835" s="20" t="n">
        <v>63.7</v>
      </c>
      <c r="W835" s="20" t="n">
        <v>100</v>
      </c>
      <c r="X835" s="20" t="n">
        <v>28</v>
      </c>
      <c r="Y835" s="40">
        <f>ROUND((V835*'Methodology &amp; Assumptions'!$B$6)+(W835*'Methodology &amp; Assumptions'!$B$5)+(X835*'Methodology &amp; Assumptions'!$B$7), 2)</f>
        <v/>
      </c>
    </row>
    <row r="836" ht="19" customHeight="1">
      <c r="A836" s="41" t="n">
        <v>832</v>
      </c>
      <c r="B836" s="41" t="n">
        <v>3832</v>
      </c>
      <c r="C836" s="42" t="inlineStr">
        <is>
          <t>0501732005</t>
        </is>
      </c>
      <c r="D836" s="42" t="inlineStr">
        <is>
          <t>Region V (Bicol Region)</t>
        </is>
      </c>
      <c r="E836" s="42" t="inlineStr">
        <is>
          <t>Camarines Sur</t>
        </is>
      </c>
      <c r="F836" s="42" t="inlineStr">
        <is>
          <t>San Fernando</t>
        </is>
      </c>
      <c r="G836" s="42" t="inlineStr">
        <is>
          <t>Bonifacio</t>
        </is>
      </c>
      <c r="H836" s="43" t="n">
        <v>13.562567</v>
      </c>
      <c r="I836" s="43" t="n">
        <v>123.140245</v>
      </c>
      <c r="J836" s="44" t="inlineStr">
        <is>
          <t>U</t>
        </is>
      </c>
      <c r="K836" s="42" t="inlineStr">
        <is>
          <t>2nd</t>
        </is>
      </c>
      <c r="L836" s="23" t="n">
        <v>2407</v>
      </c>
      <c r="M836" s="24" t="n">
        <v>4.84</v>
      </c>
      <c r="N836" s="23">
        <f>ROUND(L836/M836, 0)</f>
        <v/>
      </c>
      <c r="O836" s="23">
        <f>ROUND(N836*'Methodology &amp; Assumptions'!$B$8, 0)</f>
        <v/>
      </c>
      <c r="P836" s="44" t="inlineStr">
        <is>
          <t>Band n50 (1.5 GHz, 60 MHz)</t>
        </is>
      </c>
      <c r="Q836" s="38">
        <f>ROUNDUP(O836/'Methodology &amp; Assumptions'!$B$9, 0)</f>
        <v/>
      </c>
      <c r="R836" s="39" t="n">
        <v>1</v>
      </c>
      <c r="S836" s="25" t="n">
        <v>0.18</v>
      </c>
      <c r="T836" s="25" t="n">
        <v>0.26</v>
      </c>
      <c r="U836" s="42" t="inlineStr">
        <is>
          <t>Tier 1A (Direct Coloc, &lt;1 km)</t>
        </is>
      </c>
      <c r="V836" s="24" t="n">
        <v>100</v>
      </c>
      <c r="W836" s="24" t="n">
        <v>63.7</v>
      </c>
      <c r="X836" s="24" t="n">
        <v>28</v>
      </c>
      <c r="Y836" s="45">
        <f>ROUND((V836*'Methodology &amp; Assumptions'!$B$6)+(W836*'Methodology &amp; Assumptions'!$B$5)+(X836*'Methodology &amp; Assumptions'!$B$7), 2)</f>
        <v/>
      </c>
    </row>
    <row r="837" ht="19" customHeight="1">
      <c r="A837" s="35" t="n">
        <v>833</v>
      </c>
      <c r="B837" s="35" t="n">
        <v>3833</v>
      </c>
      <c r="C837" s="36" t="inlineStr">
        <is>
          <t>0506216033</t>
        </is>
      </c>
      <c r="D837" s="36" t="inlineStr">
        <is>
          <t>Region V (Bicol Region)</t>
        </is>
      </c>
      <c r="E837" s="36" t="inlineStr">
        <is>
          <t>Sorsogon</t>
        </is>
      </c>
      <c r="F837" s="36" t="inlineStr">
        <is>
          <t>City of Sorsogon</t>
        </is>
      </c>
      <c r="G837" s="36" t="inlineStr">
        <is>
          <t>Sirangan</t>
        </is>
      </c>
      <c r="H837" s="37" t="n">
        <v>12.9683</v>
      </c>
      <c r="I837" s="37" t="n">
        <v>124.005467</v>
      </c>
      <c r="J837" s="8" t="inlineStr">
        <is>
          <t>U</t>
        </is>
      </c>
      <c r="K837" s="36" t="inlineStr">
        <is>
          <t>Class 1-3 / Urban</t>
        </is>
      </c>
      <c r="L837" s="18" t="n">
        <v>2271</v>
      </c>
      <c r="M837" s="20" t="n">
        <v>4.58</v>
      </c>
      <c r="N837" s="18">
        <f>ROUND(L837/M837, 0)</f>
        <v/>
      </c>
      <c r="O837" s="18">
        <f>ROUND(N837*'Methodology &amp; Assumptions'!$B$8, 0)</f>
        <v/>
      </c>
      <c r="P837" s="8" t="inlineStr">
        <is>
          <t>Band n50 (1.5 GHz, 60 MHz)</t>
        </is>
      </c>
      <c r="Q837" s="38">
        <f>ROUNDUP(O837/'Methodology &amp; Assumptions'!$B$9, 0)</f>
        <v/>
      </c>
      <c r="R837" s="39" t="n">
        <v>1</v>
      </c>
      <c r="S837" s="21" t="n">
        <v>0.29</v>
      </c>
      <c r="T837" s="21" t="n">
        <v>0.28</v>
      </c>
      <c r="U837" s="36" t="inlineStr">
        <is>
          <t>Tier 1A (Direct Coloc, &lt;1 km)</t>
        </is>
      </c>
      <c r="V837" s="20" t="n">
        <v>100</v>
      </c>
      <c r="W837" s="20" t="n">
        <v>63.7</v>
      </c>
      <c r="X837" s="20" t="n">
        <v>28</v>
      </c>
      <c r="Y837" s="40">
        <f>ROUND((V837*'Methodology &amp; Assumptions'!$B$6)+(W837*'Methodology &amp; Assumptions'!$B$5)+(X837*'Methodology &amp; Assumptions'!$B$7), 2)</f>
        <v/>
      </c>
    </row>
    <row r="838" ht="19" customHeight="1">
      <c r="A838" s="41" t="n">
        <v>834</v>
      </c>
      <c r="B838" s="41" t="n">
        <v>3834</v>
      </c>
      <c r="C838" s="42" t="inlineStr">
        <is>
          <t>0305408042</t>
        </is>
      </c>
      <c r="D838" s="42" t="inlineStr">
        <is>
          <t>Region III (Central Luzon)</t>
        </is>
      </c>
      <c r="E838" s="42" t="inlineStr">
        <is>
          <t>Pampanga</t>
        </is>
      </c>
      <c r="F838" s="42" t="inlineStr">
        <is>
          <t>Lubao</t>
        </is>
      </c>
      <c r="G838" s="42" t="inlineStr">
        <is>
          <t>Santiago</t>
        </is>
      </c>
      <c r="H838" s="43" t="n">
        <v>14.897866</v>
      </c>
      <c r="I838" s="43" t="n">
        <v>120.520951</v>
      </c>
      <c r="J838" s="44" t="inlineStr">
        <is>
          <t>R</t>
        </is>
      </c>
      <c r="K838" s="42" t="inlineStr">
        <is>
          <t>Class 1-3 / Urban</t>
        </is>
      </c>
      <c r="L838" s="23" t="n">
        <v>4575</v>
      </c>
      <c r="M838" s="24" t="n">
        <v>4.63</v>
      </c>
      <c r="N838" s="23">
        <f>ROUND(L838/M838, 0)</f>
        <v/>
      </c>
      <c r="O838" s="23">
        <f>ROUND(N838*'Methodology &amp; Assumptions'!$B$8, 0)</f>
        <v/>
      </c>
      <c r="P838" s="44" t="inlineStr">
        <is>
          <t>Band n50 (1.5 GHz, 60 MHz)</t>
        </is>
      </c>
      <c r="Q838" s="38">
        <f>ROUNDUP(O838/'Methodology &amp; Assumptions'!$B$9, 0)</f>
        <v/>
      </c>
      <c r="R838" s="39" t="n">
        <v>1</v>
      </c>
      <c r="S838" s="25" t="n">
        <v>3.82</v>
      </c>
      <c r="T838" s="25" t="n">
        <v>1.3</v>
      </c>
      <c r="U838" s="42" t="inlineStr">
        <is>
          <t>Tier 2 (Fiber Corridor / Lateral, 3-5 km)</t>
        </is>
      </c>
      <c r="V838" s="24" t="n">
        <v>38</v>
      </c>
      <c r="W838" s="24" t="n">
        <v>100</v>
      </c>
      <c r="X838" s="24" t="n">
        <v>58</v>
      </c>
      <c r="Y838" s="45">
        <f>ROUND((V838*'Methodology &amp; Assumptions'!$B$6)+(W838*'Methodology &amp; Assumptions'!$B$5)+(X838*'Methodology &amp; Assumptions'!$B$7), 2)</f>
        <v/>
      </c>
    </row>
    <row r="839" ht="19" customHeight="1">
      <c r="A839" s="35" t="n">
        <v>835</v>
      </c>
      <c r="B839" s="35" t="n">
        <v>3835</v>
      </c>
      <c r="C839" s="36" t="inlineStr">
        <is>
          <t>0501717031</t>
        </is>
      </c>
      <c r="D839" s="36" t="inlineStr">
        <is>
          <t>Region V (Bicol Region)</t>
        </is>
      </c>
      <c r="E839" s="36" t="inlineStr">
        <is>
          <t>Camarines Sur</t>
        </is>
      </c>
      <c r="F839" s="36" t="inlineStr">
        <is>
          <t>Lagonoy</t>
        </is>
      </c>
      <c r="G839" s="36" t="inlineStr">
        <is>
          <t>San Ramon</t>
        </is>
      </c>
      <c r="H839" s="37" t="n">
        <v>13.723997</v>
      </c>
      <c r="I839" s="37" t="n">
        <v>123.539514</v>
      </c>
      <c r="J839" s="8" t="inlineStr">
        <is>
          <t>R</t>
        </is>
      </c>
      <c r="K839" s="36" t="inlineStr">
        <is>
          <t>Class 1-3 / Urban</t>
        </is>
      </c>
      <c r="L839" s="18" t="n">
        <v>3934</v>
      </c>
      <c r="M839" s="20" t="n">
        <v>4.9</v>
      </c>
      <c r="N839" s="18">
        <f>ROUND(L839/M839, 0)</f>
        <v/>
      </c>
      <c r="O839" s="18">
        <f>ROUND(N839*'Methodology &amp; Assumptions'!$B$8, 0)</f>
        <v/>
      </c>
      <c r="P839" s="8" t="inlineStr">
        <is>
          <t>Band n50 (1.5 GHz, 60 MHz)</t>
        </is>
      </c>
      <c r="Q839" s="38">
        <f>ROUNDUP(O839/'Methodology &amp; Assumptions'!$B$9, 0)</f>
        <v/>
      </c>
      <c r="R839" s="39" t="n">
        <v>1</v>
      </c>
      <c r="S839" s="21" t="n">
        <v>2.1</v>
      </c>
      <c r="T839" s="21" t="n">
        <v>6.34</v>
      </c>
      <c r="U839" s="36" t="inlineStr">
        <is>
          <t>Tier 1B (Micro Drop, 1-3 km)</t>
        </is>
      </c>
      <c r="V839" s="20" t="n">
        <v>49.7</v>
      </c>
      <c r="W839" s="20" t="n">
        <v>88.3</v>
      </c>
      <c r="X839" s="20" t="n">
        <v>58</v>
      </c>
      <c r="Y839" s="40">
        <f>ROUND((V839*'Methodology &amp; Assumptions'!$B$6)+(W839*'Methodology &amp; Assumptions'!$B$5)+(X839*'Methodology &amp; Assumptions'!$B$7), 2)</f>
        <v/>
      </c>
    </row>
    <row r="840" ht="19" customHeight="1">
      <c r="A840" s="41" t="n">
        <v>836</v>
      </c>
      <c r="B840" s="41" t="n">
        <v>3836</v>
      </c>
      <c r="C840" s="42" t="inlineStr">
        <is>
          <t>0305403012</t>
        </is>
      </c>
      <c r="D840" s="42" t="inlineStr">
        <is>
          <t>Region III (Central Luzon)</t>
        </is>
      </c>
      <c r="E840" s="42" t="inlineStr">
        <is>
          <t>Pampanga</t>
        </is>
      </c>
      <c r="F840" s="42" t="inlineStr">
        <is>
          <t>Arayat</t>
        </is>
      </c>
      <c r="G840" s="42" t="inlineStr">
        <is>
          <t>Lacquios</t>
        </is>
      </c>
      <c r="H840" s="43" t="n">
        <v>15.16728</v>
      </c>
      <c r="I840" s="43" t="n">
        <v>120.7737</v>
      </c>
      <c r="J840" s="44" t="inlineStr">
        <is>
          <t>R</t>
        </is>
      </c>
      <c r="K840" s="42" t="inlineStr">
        <is>
          <t>Class 1-3 / Urban</t>
        </is>
      </c>
      <c r="L840" s="23" t="n">
        <v>3736</v>
      </c>
      <c r="M840" s="24" t="n">
        <v>4.63</v>
      </c>
      <c r="N840" s="23">
        <f>ROUND(L840/M840, 0)</f>
        <v/>
      </c>
      <c r="O840" s="23">
        <f>ROUND(N840*'Methodology &amp; Assumptions'!$B$8, 0)</f>
        <v/>
      </c>
      <c r="P840" s="44" t="inlineStr">
        <is>
          <t>Band n50 (1.5 GHz, 60 MHz)</t>
        </is>
      </c>
      <c r="Q840" s="38">
        <f>ROUNDUP(O840/'Methodology &amp; Assumptions'!$B$9, 0)</f>
        <v/>
      </c>
      <c r="R840" s="39" t="n">
        <v>1</v>
      </c>
      <c r="S840" s="25" t="n">
        <v>2.79</v>
      </c>
      <c r="T840" s="25" t="n">
        <v>0.6899999999999999</v>
      </c>
      <c r="U840" s="42" t="inlineStr">
        <is>
          <t>Tier 1B (Micro Drop, 1-3 km)</t>
        </is>
      </c>
      <c r="V840" s="24" t="n">
        <v>49.5</v>
      </c>
      <c r="W840" s="24" t="n">
        <v>88.5</v>
      </c>
      <c r="X840" s="24" t="n">
        <v>58</v>
      </c>
      <c r="Y840" s="45">
        <f>ROUND((V840*'Methodology &amp; Assumptions'!$B$6)+(W840*'Methodology &amp; Assumptions'!$B$5)+(X840*'Methodology &amp; Assumptions'!$B$7), 2)</f>
        <v/>
      </c>
    </row>
    <row r="841" ht="19" customHeight="1">
      <c r="A841" s="35" t="n">
        <v>837</v>
      </c>
      <c r="B841" s="35" t="n">
        <v>3837</v>
      </c>
      <c r="C841" s="36" t="inlineStr">
        <is>
          <t>0403424035</t>
        </is>
      </c>
      <c r="D841" s="36" t="inlineStr">
        <is>
          <t>Region IV-A (CALABARZON)</t>
        </is>
      </c>
      <c r="E841" s="36" t="inlineStr">
        <is>
          <t>Laguna</t>
        </is>
      </c>
      <c r="F841" s="36" t="inlineStr">
        <is>
          <t>City of San Pablo</t>
        </is>
      </c>
      <c r="G841" s="36" t="inlineStr">
        <is>
          <t>Concepcion</t>
        </is>
      </c>
      <c r="H841" s="37" t="n">
        <v>14.073966</v>
      </c>
      <c r="I841" s="37" t="n">
        <v>121.337906</v>
      </c>
      <c r="J841" s="8" t="inlineStr">
        <is>
          <t>U</t>
        </is>
      </c>
      <c r="K841" s="36" t="inlineStr">
        <is>
          <t>Class 1-3 / Urban</t>
        </is>
      </c>
      <c r="L841" s="18" t="n">
        <v>8292</v>
      </c>
      <c r="M841" s="20" t="n">
        <v>4.2</v>
      </c>
      <c r="N841" s="18">
        <f>ROUND(L841/M841, 0)</f>
        <v/>
      </c>
      <c r="O841" s="18">
        <f>ROUND(N841*'Methodology &amp; Assumptions'!$B$8, 0)</f>
        <v/>
      </c>
      <c r="P841" s="8" t="inlineStr">
        <is>
          <t>Band n50 (1.5 GHz, 60 MHz)</t>
        </is>
      </c>
      <c r="Q841" s="38">
        <f>ROUNDUP(O841/'Methodology &amp; Assumptions'!$B$9, 0)</f>
        <v/>
      </c>
      <c r="R841" s="39" t="n">
        <v>1</v>
      </c>
      <c r="S841" s="21" t="n">
        <v>1.87</v>
      </c>
      <c r="T841" s="21" t="n">
        <v>0.31</v>
      </c>
      <c r="U841" s="36" t="inlineStr">
        <is>
          <t>Tier 1B (Micro Drop, 1-3 km)</t>
        </is>
      </c>
      <c r="V841" s="20" t="n">
        <v>63.7</v>
      </c>
      <c r="W841" s="20" t="n">
        <v>100</v>
      </c>
      <c r="X841" s="20" t="n">
        <v>28</v>
      </c>
      <c r="Y841" s="40">
        <f>ROUND((V841*'Methodology &amp; Assumptions'!$B$6)+(W841*'Methodology &amp; Assumptions'!$B$5)+(X841*'Methodology &amp; Assumptions'!$B$7), 2)</f>
        <v/>
      </c>
    </row>
    <row r="842" ht="19" customHeight="1">
      <c r="A842" s="41" t="n">
        <v>838</v>
      </c>
      <c r="B842" s="41" t="n">
        <v>3838</v>
      </c>
      <c r="C842" s="42" t="inlineStr">
        <is>
          <t>0304923032</t>
        </is>
      </c>
      <c r="D842" s="42" t="inlineStr">
        <is>
          <t>Region III (Central Luzon)</t>
        </is>
      </c>
      <c r="E842" s="42" t="inlineStr">
        <is>
          <t>Nueva Ecija</t>
        </is>
      </c>
      <c r="F842" s="42" t="inlineStr">
        <is>
          <t>Rizal</t>
        </is>
      </c>
      <c r="G842" s="42" t="inlineStr">
        <is>
          <t>Santa Monica</t>
        </is>
      </c>
      <c r="H842" s="43" t="n">
        <v>15.585783</v>
      </c>
      <c r="I842" s="43" t="n">
        <v>120.924577</v>
      </c>
      <c r="J842" s="44" t="inlineStr">
        <is>
          <t>U</t>
        </is>
      </c>
      <c r="K842" s="42" t="inlineStr">
        <is>
          <t>Class 1-3 / Urban</t>
        </is>
      </c>
      <c r="L842" s="23" t="n">
        <v>2733</v>
      </c>
      <c r="M842" s="24" t="n">
        <v>4.32</v>
      </c>
      <c r="N842" s="23">
        <f>ROUND(L842/M842, 0)</f>
        <v/>
      </c>
      <c r="O842" s="23">
        <f>ROUND(N842*'Methodology &amp; Assumptions'!$B$8, 0)</f>
        <v/>
      </c>
      <c r="P842" s="44" t="inlineStr">
        <is>
          <t>Band n50 (1.5 GHz, 60 MHz)</t>
        </is>
      </c>
      <c r="Q842" s="38">
        <f>ROUNDUP(O842/'Methodology &amp; Assumptions'!$B$9, 0)</f>
        <v/>
      </c>
      <c r="R842" s="39" t="n">
        <v>1</v>
      </c>
      <c r="S842" s="25" t="n">
        <v>0.71</v>
      </c>
      <c r="T842" s="25" t="n">
        <v>0.52</v>
      </c>
      <c r="U842" s="42" t="inlineStr">
        <is>
          <t>Tier 1A (Direct Coloc, &lt;1 km)</t>
        </is>
      </c>
      <c r="V842" s="24" t="n">
        <v>89</v>
      </c>
      <c r="W842" s="24" t="n">
        <v>74.7</v>
      </c>
      <c r="X842" s="24" t="n">
        <v>28</v>
      </c>
      <c r="Y842" s="45">
        <f>ROUND((V842*'Methodology &amp; Assumptions'!$B$6)+(W842*'Methodology &amp; Assumptions'!$B$5)+(X842*'Methodology &amp; Assumptions'!$B$7), 2)</f>
        <v/>
      </c>
    </row>
    <row r="843" ht="19" customHeight="1">
      <c r="A843" s="35" t="n">
        <v>839</v>
      </c>
      <c r="B843" s="35" t="n">
        <v>3839</v>
      </c>
      <c r="C843" s="36" t="inlineStr">
        <is>
          <t>0205005008</t>
        </is>
      </c>
      <c r="D843" s="36" t="inlineStr">
        <is>
          <t>Region II (Cagayan Valley)</t>
        </is>
      </c>
      <c r="E843" s="36" t="inlineStr">
        <is>
          <t>Nueva Vizcaya</t>
        </is>
      </c>
      <c r="F843" s="36" t="inlineStr">
        <is>
          <t>Bayombong</t>
        </is>
      </c>
      <c r="G843" s="36" t="inlineStr">
        <is>
          <t>La Torre North</t>
        </is>
      </c>
      <c r="H843" s="37" t="n">
        <v>16.497674</v>
      </c>
      <c r="I843" s="37" t="n">
        <v>121.137997</v>
      </c>
      <c r="J843" s="8" t="inlineStr">
        <is>
          <t>R</t>
        </is>
      </c>
      <c r="K843" s="36" t="inlineStr">
        <is>
          <t>Class 1-3 / Urban</t>
        </is>
      </c>
      <c r="L843" s="18" t="n">
        <v>2236</v>
      </c>
      <c r="M843" s="20" t="n">
        <v>4.19</v>
      </c>
      <c r="N843" s="18">
        <f>ROUND(L843/M843, 0)</f>
        <v/>
      </c>
      <c r="O843" s="18">
        <f>ROUND(N843*'Methodology &amp; Assumptions'!$B$8, 0)</f>
        <v/>
      </c>
      <c r="P843" s="8" t="inlineStr">
        <is>
          <t>Band n50 (1.5 GHz, 60 MHz)</t>
        </is>
      </c>
      <c r="Q843" s="38">
        <f>ROUNDUP(O843/'Methodology &amp; Assumptions'!$B$9, 0)</f>
        <v/>
      </c>
      <c r="R843" s="39" t="n">
        <v>1</v>
      </c>
      <c r="S843" s="21" t="n">
        <v>1.47</v>
      </c>
      <c r="T843" s="21" t="n">
        <v>1.41</v>
      </c>
      <c r="U843" s="36" t="inlineStr">
        <is>
          <t>Tier 1B (Micro Drop, 1-3 km)</t>
        </is>
      </c>
      <c r="V843" s="20" t="n">
        <v>71.3</v>
      </c>
      <c r="W843" s="20" t="n">
        <v>66.7</v>
      </c>
      <c r="X843" s="20" t="n">
        <v>58</v>
      </c>
      <c r="Y843" s="40">
        <f>ROUND((V843*'Methodology &amp; Assumptions'!$B$6)+(W843*'Methodology &amp; Assumptions'!$B$5)+(X843*'Methodology &amp; Assumptions'!$B$7), 2)</f>
        <v/>
      </c>
    </row>
    <row r="844" ht="19" customHeight="1">
      <c r="A844" s="41" t="n">
        <v>840</v>
      </c>
      <c r="B844" s="41" t="n">
        <v>3840</v>
      </c>
      <c r="C844" s="42" t="inlineStr">
        <is>
          <t>0305411001</t>
        </is>
      </c>
      <c r="D844" s="42" t="inlineStr">
        <is>
          <t>Region III (Central Luzon)</t>
        </is>
      </c>
      <c r="E844" s="42" t="inlineStr">
        <is>
          <t>Pampanga</t>
        </is>
      </c>
      <c r="F844" s="42" t="inlineStr">
        <is>
          <t>Magalang</t>
        </is>
      </c>
      <c r="G844" s="42" t="inlineStr">
        <is>
          <t>Camias</t>
        </is>
      </c>
      <c r="H844" s="43" t="n">
        <v>15.191718</v>
      </c>
      <c r="I844" s="43" t="n">
        <v>120.65149</v>
      </c>
      <c r="J844" s="44" t="inlineStr">
        <is>
          <t>R</t>
        </is>
      </c>
      <c r="K844" s="42" t="inlineStr">
        <is>
          <t>Class 1-3 / Urban</t>
        </is>
      </c>
      <c r="L844" s="23" t="n">
        <v>2194</v>
      </c>
      <c r="M844" s="24" t="n">
        <v>4.63</v>
      </c>
      <c r="N844" s="23">
        <f>ROUND(L844/M844, 0)</f>
        <v/>
      </c>
      <c r="O844" s="23">
        <f>ROUND(N844*'Methodology &amp; Assumptions'!$B$8, 0)</f>
        <v/>
      </c>
      <c r="P844" s="44" t="inlineStr">
        <is>
          <t>Band n50 (1.5 GHz, 60 MHz)</t>
        </is>
      </c>
      <c r="Q844" s="38">
        <f>ROUNDUP(O844/'Methodology &amp; Assumptions'!$B$9, 0)</f>
        <v/>
      </c>
      <c r="R844" s="39" t="n">
        <v>1</v>
      </c>
      <c r="S844" s="25" t="n">
        <v>1.24</v>
      </c>
      <c r="T844" s="25" t="n">
        <v>1.39</v>
      </c>
      <c r="U844" s="42" t="inlineStr">
        <is>
          <t>Tier 1B (Micro Drop, 1-3 km)</t>
        </is>
      </c>
      <c r="V844" s="24" t="n">
        <v>76.09999999999999</v>
      </c>
      <c r="W844" s="24" t="n">
        <v>61.9</v>
      </c>
      <c r="X844" s="24" t="n">
        <v>58</v>
      </c>
      <c r="Y844" s="45">
        <f>ROUND((V844*'Methodology &amp; Assumptions'!$B$6)+(W844*'Methodology &amp; Assumptions'!$B$5)+(X844*'Methodology &amp; Assumptions'!$B$7), 2)</f>
        <v/>
      </c>
    </row>
    <row r="845" ht="19" customHeight="1">
      <c r="A845" s="35" t="n">
        <v>841</v>
      </c>
      <c r="B845" s="35" t="n">
        <v>3841</v>
      </c>
      <c r="C845" s="36" t="inlineStr">
        <is>
          <t>0402120001</t>
        </is>
      </c>
      <c r="D845" s="36" t="inlineStr">
        <is>
          <t>Region IV-A (CALABARZON)</t>
        </is>
      </c>
      <c r="E845" s="36" t="inlineStr">
        <is>
          <t>Cavite</t>
        </is>
      </c>
      <c r="F845" s="36" t="inlineStr">
        <is>
          <t>Tanza</t>
        </is>
      </c>
      <c r="G845" s="36" t="inlineStr">
        <is>
          <t>Amaya I</t>
        </is>
      </c>
      <c r="H845" s="37" t="n">
        <v>14.382779</v>
      </c>
      <c r="I845" s="37" t="n">
        <v>120.834111</v>
      </c>
      <c r="J845" s="8" t="inlineStr">
        <is>
          <t>U</t>
        </is>
      </c>
      <c r="K845" s="36" t="inlineStr">
        <is>
          <t>Class 1-3 / Urban</t>
        </is>
      </c>
      <c r="L845" s="18" t="n">
        <v>13434</v>
      </c>
      <c r="M845" s="20" t="n">
        <v>4.49</v>
      </c>
      <c r="N845" s="18">
        <f>ROUND(L845/M845, 0)</f>
        <v/>
      </c>
      <c r="O845" s="18">
        <f>ROUND(N845*'Methodology &amp; Assumptions'!$B$8, 0)</f>
        <v/>
      </c>
      <c r="P845" s="8" t="inlineStr">
        <is>
          <t>Band n50 (1.5 GHz, 60 MHz)</t>
        </is>
      </c>
      <c r="Q845" s="38">
        <f>ROUNDUP(O845/'Methodology &amp; Assumptions'!$B$9, 0)</f>
        <v/>
      </c>
      <c r="R845" s="39" t="n">
        <v>1</v>
      </c>
      <c r="S845" s="21" t="n">
        <v>1.87</v>
      </c>
      <c r="T845" s="21" t="n">
        <v>0.41</v>
      </c>
      <c r="U845" s="36" t="inlineStr">
        <is>
          <t>Tier 1B (Micro Drop, 1-3 km)</t>
        </is>
      </c>
      <c r="V845" s="20" t="n">
        <v>63.7</v>
      </c>
      <c r="W845" s="20" t="n">
        <v>100</v>
      </c>
      <c r="X845" s="20" t="n">
        <v>28</v>
      </c>
      <c r="Y845" s="40">
        <f>ROUND((V845*'Methodology &amp; Assumptions'!$B$6)+(W845*'Methodology &amp; Assumptions'!$B$5)+(X845*'Methodology &amp; Assumptions'!$B$7), 2)</f>
        <v/>
      </c>
    </row>
    <row r="846" ht="19" customHeight="1">
      <c r="A846" s="41" t="n">
        <v>842</v>
      </c>
      <c r="B846" s="41" t="n">
        <v>3842</v>
      </c>
      <c r="C846" s="42" t="inlineStr">
        <is>
          <t>0403412006</t>
        </is>
      </c>
      <c r="D846" s="42" t="inlineStr">
        <is>
          <t>Region IV-A (CALABARZON)</t>
        </is>
      </c>
      <c r="E846" s="42" t="inlineStr">
        <is>
          <t>Laguna</t>
        </is>
      </c>
      <c r="F846" s="42" t="inlineStr">
        <is>
          <t>Luisiana</t>
        </is>
      </c>
      <c r="G846" s="42" t="inlineStr">
        <is>
          <t>Barangay Zone V</t>
        </is>
      </c>
      <c r="H846" s="43" t="n">
        <v>14.185747</v>
      </c>
      <c r="I846" s="43" t="n">
        <v>121.513805</v>
      </c>
      <c r="J846" s="44" t="inlineStr">
        <is>
          <t>R</t>
        </is>
      </c>
      <c r="K846" s="42" t="inlineStr">
        <is>
          <t>4th</t>
        </is>
      </c>
      <c r="L846" s="23" t="n">
        <v>827</v>
      </c>
      <c r="M846" s="24" t="n">
        <v>4.07</v>
      </c>
      <c r="N846" s="23">
        <f>ROUND(L846/M846, 0)</f>
        <v/>
      </c>
      <c r="O846" s="23">
        <f>ROUND(N846*'Methodology &amp; Assumptions'!$B$8, 0)</f>
        <v/>
      </c>
      <c r="P846" s="44" t="inlineStr">
        <is>
          <t>Band n50 (1.5 GHz, 60 MHz)</t>
        </is>
      </c>
      <c r="Q846" s="38">
        <f>ROUNDUP(O846/'Methodology &amp; Assumptions'!$B$9, 0)</f>
        <v/>
      </c>
      <c r="R846" s="39" t="n">
        <v>1</v>
      </c>
      <c r="S846" s="25" t="n">
        <v>0.83</v>
      </c>
      <c r="T846" s="25" t="n">
        <v>4.43</v>
      </c>
      <c r="U846" s="42" t="inlineStr">
        <is>
          <t>Tier 1A (Direct Coloc, &lt;1 km)</t>
        </is>
      </c>
      <c r="V846" s="24" t="n">
        <v>75.8</v>
      </c>
      <c r="W846" s="24" t="n">
        <v>40.3</v>
      </c>
      <c r="X846" s="24" t="n">
        <v>83.5</v>
      </c>
      <c r="Y846" s="45">
        <f>ROUND((V846*'Methodology &amp; Assumptions'!$B$6)+(W846*'Methodology &amp; Assumptions'!$B$5)+(X846*'Methodology &amp; Assumptions'!$B$7), 2)</f>
        <v/>
      </c>
    </row>
    <row r="847" ht="19" customHeight="1">
      <c r="A847" s="35" t="n">
        <v>843</v>
      </c>
      <c r="B847" s="35" t="n">
        <v>3843</v>
      </c>
      <c r="C847" s="36" t="inlineStr">
        <is>
          <t>0103316009</t>
        </is>
      </c>
      <c r="D847" s="36" t="inlineStr">
        <is>
          <t>Region I (Ilocos Region)</t>
        </is>
      </c>
      <c r="E847" s="36" t="inlineStr">
        <is>
          <t>La Union</t>
        </is>
      </c>
      <c r="F847" s="36" t="inlineStr">
        <is>
          <t>San Juan</t>
        </is>
      </c>
      <c r="G847" s="36" t="inlineStr">
        <is>
          <t>Cabugnayan</t>
        </is>
      </c>
      <c r="H847" s="37" t="n">
        <v>16.677903</v>
      </c>
      <c r="I847" s="37" t="n">
        <v>120.389755</v>
      </c>
      <c r="J847" s="8" t="inlineStr">
        <is>
          <t>R</t>
        </is>
      </c>
      <c r="K847" s="36" t="inlineStr">
        <is>
          <t>Class 1-3 / Urban</t>
        </is>
      </c>
      <c r="L847" s="18" t="n">
        <v>1005</v>
      </c>
      <c r="M847" s="20" t="n">
        <v>4.42</v>
      </c>
      <c r="N847" s="18">
        <f>ROUND(L847/M847, 0)</f>
        <v/>
      </c>
      <c r="O847" s="18">
        <f>ROUND(N847*'Methodology &amp; Assumptions'!$B$8, 0)</f>
        <v/>
      </c>
      <c r="P847" s="8" t="inlineStr">
        <is>
          <t>Band n50 (1.5 GHz, 60 MHz)</t>
        </is>
      </c>
      <c r="Q847" s="38">
        <f>ROUNDUP(O847/'Methodology &amp; Assumptions'!$B$9, 0)</f>
        <v/>
      </c>
      <c r="R847" s="39" t="n">
        <v>1</v>
      </c>
      <c r="S847" s="21" t="n">
        <v>0.5600000000000001</v>
      </c>
      <c r="T847" s="21" t="n">
        <v>5.25</v>
      </c>
      <c r="U847" s="36" t="inlineStr">
        <is>
          <t>Tier 1A (Direct Coloc, &lt;1 km)</t>
        </is>
      </c>
      <c r="V847" s="20" t="n">
        <v>83</v>
      </c>
      <c r="W847" s="20" t="n">
        <v>42.1</v>
      </c>
      <c r="X847" s="20" t="n">
        <v>73</v>
      </c>
      <c r="Y847" s="40">
        <f>ROUND((V847*'Methodology &amp; Assumptions'!$B$6)+(W847*'Methodology &amp; Assumptions'!$B$5)+(X847*'Methodology &amp; Assumptions'!$B$7), 2)</f>
        <v/>
      </c>
    </row>
    <row r="848" ht="19" customHeight="1">
      <c r="A848" s="41" t="n">
        <v>844</v>
      </c>
      <c r="B848" s="41" t="n">
        <v>3844</v>
      </c>
      <c r="C848" s="42" t="inlineStr">
        <is>
          <t>0304901021</t>
        </is>
      </c>
      <c r="D848" s="42" t="inlineStr">
        <is>
          <t>Region III (Central Luzon)</t>
        </is>
      </c>
      <c r="E848" s="42" t="inlineStr">
        <is>
          <t>Nueva Ecija</t>
        </is>
      </c>
      <c r="F848" s="42" t="inlineStr">
        <is>
          <t>Aliaga</t>
        </is>
      </c>
      <c r="G848" s="42" t="inlineStr">
        <is>
          <t>Poblacion East I</t>
        </is>
      </c>
      <c r="H848" s="43" t="n">
        <v>15.506185</v>
      </c>
      <c r="I848" s="43" t="n">
        <v>120.857072</v>
      </c>
      <c r="J848" s="44" t="inlineStr">
        <is>
          <t>R</t>
        </is>
      </c>
      <c r="K848" s="42" t="inlineStr">
        <is>
          <t>Class 1-3 / Urban</t>
        </is>
      </c>
      <c r="L848" s="23" t="n">
        <v>2383</v>
      </c>
      <c r="M848" s="24" t="n">
        <v>4.32</v>
      </c>
      <c r="N848" s="23">
        <f>ROUND(L848/M848, 0)</f>
        <v/>
      </c>
      <c r="O848" s="23">
        <f>ROUND(N848*'Methodology &amp; Assumptions'!$B$8, 0)</f>
        <v/>
      </c>
      <c r="P848" s="44" t="inlineStr">
        <is>
          <t>Band n50 (1.5 GHz, 60 MHz)</t>
        </is>
      </c>
      <c r="Q848" s="38">
        <f>ROUNDUP(O848/'Methodology &amp; Assumptions'!$B$9, 0)</f>
        <v/>
      </c>
      <c r="R848" s="39" t="n">
        <v>1</v>
      </c>
      <c r="S848" s="25" t="n">
        <v>1.55</v>
      </c>
      <c r="T848" s="25" t="n">
        <v>0.55</v>
      </c>
      <c r="U848" s="42" t="inlineStr">
        <is>
          <t>Tier 1B (Micro Drop, 1-3 km)</t>
        </is>
      </c>
      <c r="V848" s="24" t="n">
        <v>69.7</v>
      </c>
      <c r="W848" s="24" t="n">
        <v>68.3</v>
      </c>
      <c r="X848" s="24" t="n">
        <v>58</v>
      </c>
      <c r="Y848" s="45">
        <f>ROUND((V848*'Methodology &amp; Assumptions'!$B$6)+(W848*'Methodology &amp; Assumptions'!$B$5)+(X848*'Methodology &amp; Assumptions'!$B$7), 2)</f>
        <v/>
      </c>
    </row>
    <row r="849" ht="19" customHeight="1">
      <c r="A849" s="35" t="n">
        <v>845</v>
      </c>
      <c r="B849" s="35" t="n">
        <v>3845</v>
      </c>
      <c r="C849" s="36" t="inlineStr">
        <is>
          <t>0405814008</t>
        </is>
      </c>
      <c r="D849" s="36" t="inlineStr">
        <is>
          <t>Region IV-A (CALABARZON)</t>
        </is>
      </c>
      <c r="E849" s="36" t="inlineStr">
        <is>
          <t>Rizal</t>
        </is>
      </c>
      <c r="F849" s="36" t="inlineStr">
        <is>
          <t>Teresa</t>
        </is>
      </c>
      <c r="G849" s="36" t="inlineStr">
        <is>
          <t>San Gabriel</t>
        </is>
      </c>
      <c r="H849" s="37" t="n">
        <v>14.555625</v>
      </c>
      <c r="I849" s="37" t="n">
        <v>121.210954</v>
      </c>
      <c r="J849" s="8" t="inlineStr">
        <is>
          <t>U</t>
        </is>
      </c>
      <c r="K849" s="36" t="inlineStr">
        <is>
          <t>Class 1-3 / Urban</t>
        </is>
      </c>
      <c r="L849" s="18" t="n">
        <v>2639</v>
      </c>
      <c r="M849" s="20" t="n">
        <v>4.39</v>
      </c>
      <c r="N849" s="18">
        <f>ROUND(L849/M849, 0)</f>
        <v/>
      </c>
      <c r="O849" s="18">
        <f>ROUND(N849*'Methodology &amp; Assumptions'!$B$8, 0)</f>
        <v/>
      </c>
      <c r="P849" s="8" t="inlineStr">
        <is>
          <t>Band n50 (1.5 GHz, 60 MHz)</t>
        </is>
      </c>
      <c r="Q849" s="38">
        <f>ROUNDUP(O849/'Methodology &amp; Assumptions'!$B$9, 0)</f>
        <v/>
      </c>
      <c r="R849" s="39" t="n">
        <v>1</v>
      </c>
      <c r="S849" s="21" t="n">
        <v>0.61</v>
      </c>
      <c r="T849" s="21" t="n">
        <v>0.34</v>
      </c>
      <c r="U849" s="36" t="inlineStr">
        <is>
          <t>Tier 1A (Direct Coloc, &lt;1 km)</t>
        </is>
      </c>
      <c r="V849" s="20" t="n">
        <v>91.7</v>
      </c>
      <c r="W849" s="20" t="n">
        <v>72</v>
      </c>
      <c r="X849" s="20" t="n">
        <v>28</v>
      </c>
      <c r="Y849" s="40">
        <f>ROUND((V849*'Methodology &amp; Assumptions'!$B$6)+(W849*'Methodology &amp; Assumptions'!$B$5)+(X849*'Methodology &amp; Assumptions'!$B$7), 2)</f>
        <v/>
      </c>
    </row>
    <row r="850" ht="19" customHeight="1">
      <c r="A850" s="41" t="n">
        <v>846</v>
      </c>
      <c r="B850" s="41" t="n">
        <v>3846</v>
      </c>
      <c r="C850" s="42" t="inlineStr">
        <is>
          <t>1030500013</t>
        </is>
      </c>
      <c r="D850" s="42" t="inlineStr">
        <is>
          <t>Region X (Northern Mindanao)</t>
        </is>
      </c>
      <c r="E850" s="42" t="inlineStr">
        <is>
          <t>Misamis Oriental</t>
        </is>
      </c>
      <c r="F850" s="42" t="inlineStr">
        <is>
          <t>City of Cagayan De Oro</t>
        </is>
      </c>
      <c r="G850" s="42" t="inlineStr">
        <is>
          <t>Barangay 17</t>
        </is>
      </c>
      <c r="H850" s="43" t="n">
        <v>8.487022</v>
      </c>
      <c r="I850" s="43" t="n">
        <v>124.643089</v>
      </c>
      <c r="J850" s="44" t="inlineStr">
        <is>
          <t>R</t>
        </is>
      </c>
      <c r="K850" s="42" t="inlineStr">
        <is>
          <t>Class 1-3 / Urban</t>
        </is>
      </c>
      <c r="L850" s="23" t="n">
        <v>2058</v>
      </c>
      <c r="M850" s="24" t="n">
        <v>4.54</v>
      </c>
      <c r="N850" s="23">
        <f>ROUND(L850/M850, 0)</f>
        <v/>
      </c>
      <c r="O850" s="23">
        <f>ROUND(N850*'Methodology &amp; Assumptions'!$B$8, 0)</f>
        <v/>
      </c>
      <c r="P850" s="44" t="inlineStr">
        <is>
          <t>Band n50 (1.5 GHz, 60 MHz)</t>
        </is>
      </c>
      <c r="Q850" s="38">
        <f>ROUNDUP(O850/'Methodology &amp; Assumptions'!$B$9, 0)</f>
        <v/>
      </c>
      <c r="R850" s="39" t="n">
        <v>1</v>
      </c>
      <c r="S850" s="25" t="n">
        <v>1.17</v>
      </c>
      <c r="T850" s="25" t="n">
        <v>0.18</v>
      </c>
      <c r="U850" s="42" t="inlineStr">
        <is>
          <t>Tier 1B (Micro Drop, 1-3 km)</t>
        </is>
      </c>
      <c r="V850" s="24" t="n">
        <v>77.7</v>
      </c>
      <c r="W850" s="24" t="n">
        <v>60.3</v>
      </c>
      <c r="X850" s="24" t="n">
        <v>58</v>
      </c>
      <c r="Y850" s="45">
        <f>ROUND((V850*'Methodology &amp; Assumptions'!$B$6)+(W850*'Methodology &amp; Assumptions'!$B$5)+(X850*'Methodology &amp; Assumptions'!$B$7), 2)</f>
        <v/>
      </c>
    </row>
    <row r="851" ht="19" customHeight="1">
      <c r="A851" s="35" t="n">
        <v>847</v>
      </c>
      <c r="B851" s="35" t="n">
        <v>3847</v>
      </c>
      <c r="C851" s="36" t="inlineStr">
        <is>
          <t>0304927014</t>
        </is>
      </c>
      <c r="D851" s="36" t="inlineStr">
        <is>
          <t>Region III (Central Luzon)</t>
        </is>
      </c>
      <c r="E851" s="36" t="inlineStr">
        <is>
          <t>Nueva Ecija</t>
        </is>
      </c>
      <c r="F851" s="36" t="inlineStr">
        <is>
          <t>San Leonardo</t>
        </is>
      </c>
      <c r="G851" s="36" t="inlineStr">
        <is>
          <t>Tabuating</t>
        </is>
      </c>
      <c r="H851" s="37" t="n">
        <v>15.390062</v>
      </c>
      <c r="I851" s="37" t="n">
        <v>120.940784</v>
      </c>
      <c r="J851" s="8" t="inlineStr">
        <is>
          <t>U</t>
        </is>
      </c>
      <c r="K851" s="36" t="inlineStr">
        <is>
          <t>Class 1-3 / Urban</t>
        </is>
      </c>
      <c r="L851" s="18" t="n">
        <v>4638</v>
      </c>
      <c r="M851" s="20" t="n">
        <v>4.32</v>
      </c>
      <c r="N851" s="18">
        <f>ROUND(L851/M851, 0)</f>
        <v/>
      </c>
      <c r="O851" s="18">
        <f>ROUND(N851*'Methodology &amp; Assumptions'!$B$8, 0)</f>
        <v/>
      </c>
      <c r="P851" s="8" t="inlineStr">
        <is>
          <t>Band n50 (1.5 GHz, 60 MHz)</t>
        </is>
      </c>
      <c r="Q851" s="38">
        <f>ROUNDUP(O851/'Methodology &amp; Assumptions'!$B$9, 0)</f>
        <v/>
      </c>
      <c r="R851" s="39" t="n">
        <v>1</v>
      </c>
      <c r="S851" s="21" t="n">
        <v>2.69</v>
      </c>
      <c r="T851" s="21" t="n">
        <v>0.07000000000000001</v>
      </c>
      <c r="U851" s="36" t="inlineStr">
        <is>
          <t>Tier 1B (Micro Drop, 1-3 km)</t>
        </is>
      </c>
      <c r="V851" s="20" t="n">
        <v>50.8</v>
      </c>
      <c r="W851" s="20" t="n">
        <v>100</v>
      </c>
      <c r="X851" s="20" t="n">
        <v>43</v>
      </c>
      <c r="Y851" s="40">
        <f>ROUND((V851*'Methodology &amp; Assumptions'!$B$6)+(W851*'Methodology &amp; Assumptions'!$B$5)+(X851*'Methodology &amp; Assumptions'!$B$7), 2)</f>
        <v/>
      </c>
    </row>
    <row r="852" ht="19" customHeight="1">
      <c r="A852" s="41" t="n">
        <v>848</v>
      </c>
      <c r="B852" s="41" t="n">
        <v>3848</v>
      </c>
      <c r="C852" s="42" t="inlineStr">
        <is>
          <t>0301413022</t>
        </is>
      </c>
      <c r="D852" s="42" t="inlineStr">
        <is>
          <t>Region III (Central Luzon)</t>
        </is>
      </c>
      <c r="E852" s="42" t="inlineStr">
        <is>
          <t>Bulacan</t>
        </is>
      </c>
      <c r="F852" s="42" t="inlineStr">
        <is>
          <t>Norzagaray</t>
        </is>
      </c>
      <c r="G852" s="42" t="inlineStr">
        <is>
          <t>Poblacion</t>
        </is>
      </c>
      <c r="H852" s="43" t="n">
        <v>14.910346</v>
      </c>
      <c r="I852" s="43" t="n">
        <v>121.048707</v>
      </c>
      <c r="J852" s="44" t="inlineStr">
        <is>
          <t>U</t>
        </is>
      </c>
      <c r="K852" s="42" t="inlineStr">
        <is>
          <t>Class 1-3 / Urban</t>
        </is>
      </c>
      <c r="L852" s="23" t="n">
        <v>15265</v>
      </c>
      <c r="M852" s="24" t="n">
        <v>4.1</v>
      </c>
      <c r="N852" s="23">
        <f>ROUND(L852/M852, 0)</f>
        <v/>
      </c>
      <c r="O852" s="23">
        <f>ROUND(N852*'Methodology &amp; Assumptions'!$B$8, 0)</f>
        <v/>
      </c>
      <c r="P852" s="44" t="inlineStr">
        <is>
          <t>Band n50 (1.5 GHz, 60 MHz)</t>
        </is>
      </c>
      <c r="Q852" s="38">
        <f>ROUNDUP(O852/'Methodology &amp; Assumptions'!$B$9, 0)</f>
        <v/>
      </c>
      <c r="R852" s="39" t="n">
        <v>1</v>
      </c>
      <c r="S852" s="25" t="n">
        <v>1.36</v>
      </c>
      <c r="T852" s="25" t="n">
        <v>6.67</v>
      </c>
      <c r="U852" s="42" t="inlineStr">
        <is>
          <t>Tier 1B (Micro Drop, 1-3 km)</t>
        </is>
      </c>
      <c r="V852" s="24" t="n">
        <v>63.6</v>
      </c>
      <c r="W852" s="24" t="n">
        <v>100</v>
      </c>
      <c r="X852" s="24" t="n">
        <v>28</v>
      </c>
      <c r="Y852" s="45">
        <f>ROUND((V852*'Methodology &amp; Assumptions'!$B$6)+(W852*'Methodology &amp; Assumptions'!$B$5)+(X852*'Methodology &amp; Assumptions'!$B$7), 2)</f>
        <v/>
      </c>
    </row>
    <row r="853" ht="19" customHeight="1">
      <c r="A853" s="35" t="n">
        <v>849</v>
      </c>
      <c r="B853" s="35" t="n">
        <v>3849</v>
      </c>
      <c r="C853" s="36" t="inlineStr">
        <is>
          <t>0300804032</t>
        </is>
      </c>
      <c r="D853" s="36" t="inlineStr">
        <is>
          <t>Region III (Central Luzon)</t>
        </is>
      </c>
      <c r="E853" s="36" t="inlineStr">
        <is>
          <t>Bataan</t>
        </is>
      </c>
      <c r="F853" s="36" t="inlineStr">
        <is>
          <t>Dinalupihan</t>
        </is>
      </c>
      <c r="G853" s="36" t="inlineStr">
        <is>
          <t>Saguing</t>
        </is>
      </c>
      <c r="H853" s="37" t="n">
        <v>14.861712</v>
      </c>
      <c r="I853" s="37" t="n">
        <v>120.440038</v>
      </c>
      <c r="J853" s="8" t="inlineStr">
        <is>
          <t>U</t>
        </is>
      </c>
      <c r="K853" s="36" t="inlineStr">
        <is>
          <t>Class 1-3 / Urban</t>
        </is>
      </c>
      <c r="L853" s="18" t="n">
        <v>5192</v>
      </c>
      <c r="M853" s="20" t="n">
        <v>4.57</v>
      </c>
      <c r="N853" s="18">
        <f>ROUND(L853/M853, 0)</f>
        <v/>
      </c>
      <c r="O853" s="18">
        <f>ROUND(N853*'Methodology &amp; Assumptions'!$B$8, 0)</f>
        <v/>
      </c>
      <c r="P853" s="8" t="inlineStr">
        <is>
          <t>Band n50 (1.5 GHz, 60 MHz)</t>
        </is>
      </c>
      <c r="Q853" s="38">
        <f>ROUNDUP(O853/'Methodology &amp; Assumptions'!$B$9, 0)</f>
        <v/>
      </c>
      <c r="R853" s="39" t="n">
        <v>1</v>
      </c>
      <c r="S853" s="21" t="n">
        <v>1.87</v>
      </c>
      <c r="T853" s="21" t="n">
        <v>0.09</v>
      </c>
      <c r="U853" s="36" t="inlineStr">
        <is>
          <t>Tier 1B (Micro Drop, 1-3 km)</t>
        </is>
      </c>
      <c r="V853" s="20" t="n">
        <v>63.6</v>
      </c>
      <c r="W853" s="20" t="n">
        <v>100</v>
      </c>
      <c r="X853" s="20" t="n">
        <v>28</v>
      </c>
      <c r="Y853" s="40">
        <f>ROUND((V853*'Methodology &amp; Assumptions'!$B$6)+(W853*'Methodology &amp; Assumptions'!$B$5)+(X853*'Methodology &amp; Assumptions'!$B$7), 2)</f>
        <v/>
      </c>
    </row>
    <row r="854" ht="19" customHeight="1">
      <c r="A854" s="41" t="n">
        <v>850</v>
      </c>
      <c r="B854" s="41" t="n">
        <v>3850</v>
      </c>
      <c r="C854" s="42" t="inlineStr">
        <is>
          <t>0506207025</t>
        </is>
      </c>
      <c r="D854" s="42" t="inlineStr">
        <is>
          <t>Region V (Bicol Region)</t>
        </is>
      </c>
      <c r="E854" s="42" t="inlineStr">
        <is>
          <t>Sorsogon</t>
        </is>
      </c>
      <c r="F854" s="42" t="inlineStr">
        <is>
          <t>Donsol</t>
        </is>
      </c>
      <c r="G854" s="42" t="inlineStr">
        <is>
          <t>Ogod</t>
        </is>
      </c>
      <c r="H854" s="43" t="n">
        <v>12.899796</v>
      </c>
      <c r="I854" s="43" t="n">
        <v>123.617811</v>
      </c>
      <c r="J854" s="44" t="inlineStr">
        <is>
          <t>R</t>
        </is>
      </c>
      <c r="K854" s="42" t="inlineStr">
        <is>
          <t>Class 1-3 / Urban</t>
        </is>
      </c>
      <c r="L854" s="23" t="n">
        <v>4189</v>
      </c>
      <c r="M854" s="24" t="n">
        <v>4.58</v>
      </c>
      <c r="N854" s="23">
        <f>ROUND(L854/M854, 0)</f>
        <v/>
      </c>
      <c r="O854" s="23">
        <f>ROUND(N854*'Methodology &amp; Assumptions'!$B$8, 0)</f>
        <v/>
      </c>
      <c r="P854" s="44" t="inlineStr">
        <is>
          <t>Band n50 (1.5 GHz, 60 MHz)</t>
        </is>
      </c>
      <c r="Q854" s="38">
        <f>ROUNDUP(O854/'Methodology &amp; Assumptions'!$B$9, 0)</f>
        <v/>
      </c>
      <c r="R854" s="39" t="n">
        <v>1</v>
      </c>
      <c r="S854" s="25" t="n">
        <v>2.69</v>
      </c>
      <c r="T854" s="25" t="n">
        <v>16.74</v>
      </c>
      <c r="U854" s="42" t="inlineStr">
        <is>
          <t>Tier 1B (Micro Drop, 1-3 km)</t>
        </is>
      </c>
      <c r="V854" s="24" t="n">
        <v>40.8</v>
      </c>
      <c r="W854" s="24" t="n">
        <v>97.09999999999999</v>
      </c>
      <c r="X854" s="24" t="n">
        <v>58</v>
      </c>
      <c r="Y854" s="45">
        <f>ROUND((V854*'Methodology &amp; Assumptions'!$B$6)+(W854*'Methodology &amp; Assumptions'!$B$5)+(X854*'Methodology &amp; Assumptions'!$B$7), 2)</f>
        <v/>
      </c>
    </row>
    <row r="855" ht="19" customHeight="1">
      <c r="A855" s="35" t="n">
        <v>851</v>
      </c>
      <c r="B855" s="35" t="n">
        <v>3851</v>
      </c>
      <c r="C855" s="36" t="inlineStr">
        <is>
          <t>1102502003</t>
        </is>
      </c>
      <c r="D855" s="36" t="inlineStr">
        <is>
          <t>Region XI (Davao Region)</t>
        </is>
      </c>
      <c r="E855" s="36" t="inlineStr">
        <is>
          <t>Davao Oriental</t>
        </is>
      </c>
      <c r="F855" s="36" t="inlineStr">
        <is>
          <t>Banaybanay</t>
        </is>
      </c>
      <c r="G855" s="36" t="inlineStr">
        <is>
          <t>Calubihan</t>
        </is>
      </c>
      <c r="H855" s="37" t="n">
        <v>6.9753</v>
      </c>
      <c r="I855" s="37" t="n">
        <v>125.989875</v>
      </c>
      <c r="J855" s="8" t="inlineStr">
        <is>
          <t>R</t>
        </is>
      </c>
      <c r="K855" s="36" t="inlineStr">
        <is>
          <t>Class 1-3 / Urban</t>
        </is>
      </c>
      <c r="L855" s="18" t="n">
        <v>4170</v>
      </c>
      <c r="M855" s="20" t="n">
        <v>4.1</v>
      </c>
      <c r="N855" s="18">
        <f>ROUND(L855/M855, 0)</f>
        <v/>
      </c>
      <c r="O855" s="18">
        <f>ROUND(N855*'Methodology &amp; Assumptions'!$B$8, 0)</f>
        <v/>
      </c>
      <c r="P855" s="8" t="inlineStr">
        <is>
          <t>Band n50 (1.5 GHz, 60 MHz)</t>
        </is>
      </c>
      <c r="Q855" s="38">
        <f>ROUNDUP(O855/'Methodology &amp; Assumptions'!$B$9, 0)</f>
        <v/>
      </c>
      <c r="R855" s="39" t="n">
        <v>1</v>
      </c>
      <c r="S855" s="21" t="n">
        <v>2.91</v>
      </c>
      <c r="T855" s="21" t="n">
        <v>2.44</v>
      </c>
      <c r="U855" s="36" t="inlineStr">
        <is>
          <t>Tier 1B (Micro Drop, 1-3 km)</t>
        </is>
      </c>
      <c r="V855" s="20" t="n">
        <v>37.9</v>
      </c>
      <c r="W855" s="20" t="n">
        <v>100</v>
      </c>
      <c r="X855" s="20" t="n">
        <v>58</v>
      </c>
      <c r="Y855" s="40">
        <f>ROUND((V855*'Methodology &amp; Assumptions'!$B$6)+(W855*'Methodology &amp; Assumptions'!$B$5)+(X855*'Methodology &amp; Assumptions'!$B$7), 2)</f>
        <v/>
      </c>
    </row>
    <row r="856" ht="19" customHeight="1">
      <c r="A856" s="41" t="n">
        <v>852</v>
      </c>
      <c r="B856" s="41" t="n">
        <v>3852</v>
      </c>
      <c r="C856" s="42" t="inlineStr">
        <is>
          <t>0301419015</t>
        </is>
      </c>
      <c r="D856" s="42" t="inlineStr">
        <is>
          <t>Region III (Central Luzon)</t>
        </is>
      </c>
      <c r="E856" s="42" t="inlineStr">
        <is>
          <t>Bulacan</t>
        </is>
      </c>
      <c r="F856" s="42" t="inlineStr">
        <is>
          <t>San Ildefonso</t>
        </is>
      </c>
      <c r="G856" s="42" t="inlineStr">
        <is>
          <t>Gabihan</t>
        </is>
      </c>
      <c r="H856" s="43" t="n">
        <v>15.05146</v>
      </c>
      <c r="I856" s="43" t="n">
        <v>121.007798</v>
      </c>
      <c r="J856" s="44" t="inlineStr">
        <is>
          <t>R</t>
        </is>
      </c>
      <c r="K856" s="42" t="inlineStr">
        <is>
          <t>Class 1-3 / Urban</t>
        </is>
      </c>
      <c r="L856" s="23" t="n">
        <v>3699</v>
      </c>
      <c r="M856" s="24" t="n">
        <v>4.1</v>
      </c>
      <c r="N856" s="23">
        <f>ROUND(L856/M856, 0)</f>
        <v/>
      </c>
      <c r="O856" s="23">
        <f>ROUND(N856*'Methodology &amp; Assumptions'!$B$8, 0)</f>
        <v/>
      </c>
      <c r="P856" s="44" t="inlineStr">
        <is>
          <t>Band n50 (1.5 GHz, 60 MHz)</t>
        </is>
      </c>
      <c r="Q856" s="38">
        <f>ROUNDUP(O856/'Methodology &amp; Assumptions'!$B$9, 0)</f>
        <v/>
      </c>
      <c r="R856" s="39" t="n">
        <v>1</v>
      </c>
      <c r="S856" s="25" t="n">
        <v>2.63</v>
      </c>
      <c r="T856" s="25" t="n">
        <v>6.96</v>
      </c>
      <c r="U856" s="42" t="inlineStr">
        <is>
          <t>Tier 1B (Micro Drop, 1-3 km)</t>
        </is>
      </c>
      <c r="V856" s="24" t="n">
        <v>41.6</v>
      </c>
      <c r="W856" s="24" t="n">
        <v>96.3</v>
      </c>
      <c r="X856" s="24" t="n">
        <v>58</v>
      </c>
      <c r="Y856" s="45">
        <f>ROUND((V856*'Methodology &amp; Assumptions'!$B$6)+(W856*'Methodology &amp; Assumptions'!$B$5)+(X856*'Methodology &amp; Assumptions'!$B$7), 2)</f>
        <v/>
      </c>
    </row>
    <row r="857" ht="19" customHeight="1">
      <c r="A857" s="35" t="n">
        <v>853</v>
      </c>
      <c r="B857" s="35" t="n">
        <v>3853</v>
      </c>
      <c r="C857" s="36" t="inlineStr">
        <is>
          <t>0500502033</t>
        </is>
      </c>
      <c r="D857" s="36" t="inlineStr">
        <is>
          <t>Region V (Bicol Region)</t>
        </is>
      </c>
      <c r="E857" s="36" t="inlineStr">
        <is>
          <t>Albay</t>
        </is>
      </c>
      <c r="F857" s="36" t="inlineStr">
        <is>
          <t>Camalig</t>
        </is>
      </c>
      <c r="G857" s="36" t="inlineStr">
        <is>
          <t>Quirangay</t>
        </is>
      </c>
      <c r="H857" s="37" t="n">
        <v>13.199997</v>
      </c>
      <c r="I857" s="37" t="n">
        <v>123.655256</v>
      </c>
      <c r="J857" s="8" t="inlineStr">
        <is>
          <t>R</t>
        </is>
      </c>
      <c r="K857" s="36" t="inlineStr">
        <is>
          <t>Class 1-3 / Urban</t>
        </is>
      </c>
      <c r="L857" s="18" t="n">
        <v>3553</v>
      </c>
      <c r="M857" s="20" t="n">
        <v>4.67</v>
      </c>
      <c r="N857" s="18">
        <f>ROUND(L857/M857, 0)</f>
        <v/>
      </c>
      <c r="O857" s="18">
        <f>ROUND(N857*'Methodology &amp; Assumptions'!$B$8, 0)</f>
        <v/>
      </c>
      <c r="P857" s="8" t="inlineStr">
        <is>
          <t>Band n50 (1.5 GHz, 60 MHz)</t>
        </is>
      </c>
      <c r="Q857" s="38">
        <f>ROUNDUP(O857/'Methodology &amp; Assumptions'!$B$9, 0)</f>
        <v/>
      </c>
      <c r="R857" s="39" t="n">
        <v>1</v>
      </c>
      <c r="S857" s="21" t="n">
        <v>2.53</v>
      </c>
      <c r="T857" s="21" t="n">
        <v>1.54</v>
      </c>
      <c r="U857" s="36" t="inlineStr">
        <is>
          <t>Tier 1B (Micro Drop, 1-3 km)</t>
        </is>
      </c>
      <c r="V857" s="20" t="n">
        <v>53.1</v>
      </c>
      <c r="W857" s="20" t="n">
        <v>84.8</v>
      </c>
      <c r="X857" s="20" t="n">
        <v>58</v>
      </c>
      <c r="Y857" s="40">
        <f>ROUND((V857*'Methodology &amp; Assumptions'!$B$6)+(W857*'Methodology &amp; Assumptions'!$B$5)+(X857*'Methodology &amp; Assumptions'!$B$7), 2)</f>
        <v/>
      </c>
    </row>
    <row r="858" ht="19" customHeight="1">
      <c r="A858" s="41" t="n">
        <v>854</v>
      </c>
      <c r="B858" s="41" t="n">
        <v>3854</v>
      </c>
      <c r="C858" s="42" t="inlineStr">
        <is>
          <t>0601904016</t>
        </is>
      </c>
      <c r="D858" s="42" t="inlineStr">
        <is>
          <t>Region VI (Western Visayas)</t>
        </is>
      </c>
      <c r="E858" s="42" t="inlineStr">
        <is>
          <t>Capiz</t>
        </is>
      </c>
      <c r="F858" s="42" t="inlineStr">
        <is>
          <t>Dumarao</t>
        </is>
      </c>
      <c r="G858" s="42" t="inlineStr">
        <is>
          <t>Codingle</t>
        </is>
      </c>
      <c r="H858" s="43" t="n">
        <v>11.256295</v>
      </c>
      <c r="I858" s="43" t="n">
        <v>122.686082</v>
      </c>
      <c r="J858" s="44" t="inlineStr">
        <is>
          <t>R</t>
        </is>
      </c>
      <c r="K858" s="42" t="inlineStr">
        <is>
          <t>Class 1-3 / Urban</t>
        </is>
      </c>
      <c r="L858" s="23" t="n">
        <v>1725</v>
      </c>
      <c r="M858" s="24" t="n">
        <v>4.2</v>
      </c>
      <c r="N858" s="23">
        <f>ROUND(L858/M858, 0)</f>
        <v/>
      </c>
      <c r="O858" s="23">
        <f>ROUND(N858*'Methodology &amp; Assumptions'!$B$8, 0)</f>
        <v/>
      </c>
      <c r="P858" s="44" t="inlineStr">
        <is>
          <t>Band n50 (1.5 GHz, 60 MHz)</t>
        </is>
      </c>
      <c r="Q858" s="38">
        <f>ROUNDUP(O858/'Methodology &amp; Assumptions'!$B$9, 0)</f>
        <v/>
      </c>
      <c r="R858" s="39" t="n">
        <v>1</v>
      </c>
      <c r="S858" s="25" t="n">
        <v>1.02</v>
      </c>
      <c r="T858" s="25" t="n">
        <v>1.01</v>
      </c>
      <c r="U858" s="42" t="inlineStr">
        <is>
          <t>Tier 1B (Micro Drop, 1-3 km)</t>
        </is>
      </c>
      <c r="V858" s="24" t="n">
        <v>81.09999999999999</v>
      </c>
      <c r="W858" s="24" t="n">
        <v>56.8</v>
      </c>
      <c r="X858" s="24" t="n">
        <v>58</v>
      </c>
      <c r="Y858" s="45">
        <f>ROUND((V858*'Methodology &amp; Assumptions'!$B$6)+(W858*'Methodology &amp; Assumptions'!$B$5)+(X858*'Methodology &amp; Assumptions'!$B$7), 2)</f>
        <v/>
      </c>
    </row>
    <row r="859" ht="19" customHeight="1">
      <c r="A859" s="35" t="n">
        <v>855</v>
      </c>
      <c r="B859" s="35" t="n">
        <v>3855</v>
      </c>
      <c r="C859" s="36" t="inlineStr">
        <is>
          <t>0203131027</t>
        </is>
      </c>
      <c r="D859" s="36" t="inlineStr">
        <is>
          <t>Region II (Cagayan Valley)</t>
        </is>
      </c>
      <c r="E859" s="36" t="inlineStr">
        <is>
          <t>Isabela</t>
        </is>
      </c>
      <c r="F859" s="36" t="inlineStr">
        <is>
          <t>San Mariano</t>
        </is>
      </c>
      <c r="G859" s="36" t="inlineStr">
        <is>
          <t>Zone I</t>
        </is>
      </c>
      <c r="H859" s="37" t="n">
        <v>16.986664</v>
      </c>
      <c r="I859" s="37" t="n">
        <v>122.008443</v>
      </c>
      <c r="J859" s="8" t="inlineStr">
        <is>
          <t>R</t>
        </is>
      </c>
      <c r="K859" s="36" t="inlineStr">
        <is>
          <t>Class 1-3 / Urban</t>
        </is>
      </c>
      <c r="L859" s="18" t="n">
        <v>1590</v>
      </c>
      <c r="M859" s="20" t="n">
        <v>4.3</v>
      </c>
      <c r="N859" s="18">
        <f>ROUND(L859/M859, 0)</f>
        <v/>
      </c>
      <c r="O859" s="18">
        <f>ROUND(N859*'Methodology &amp; Assumptions'!$B$8, 0)</f>
        <v/>
      </c>
      <c r="P859" s="8" t="inlineStr">
        <is>
          <t>Band n50 (1.5 GHz, 60 MHz)</t>
        </is>
      </c>
      <c r="Q859" s="38">
        <f>ROUNDUP(O859/'Methodology &amp; Assumptions'!$B$9, 0)</f>
        <v/>
      </c>
      <c r="R859" s="39" t="n">
        <v>1</v>
      </c>
      <c r="S859" s="21" t="n">
        <v>0.51</v>
      </c>
      <c r="T859" s="21" t="n">
        <v>16.25</v>
      </c>
      <c r="U859" s="36" t="inlineStr">
        <is>
          <t>Tier 1A (Direct Coloc, &lt;1 km)</t>
        </is>
      </c>
      <c r="V859" s="20" t="n">
        <v>84.3</v>
      </c>
      <c r="W859" s="20" t="n">
        <v>53.6</v>
      </c>
      <c r="X859" s="20" t="n">
        <v>58</v>
      </c>
      <c r="Y859" s="40">
        <f>ROUND((V859*'Methodology &amp; Assumptions'!$B$6)+(W859*'Methodology &amp; Assumptions'!$B$5)+(X859*'Methodology &amp; Assumptions'!$B$7), 2)</f>
        <v/>
      </c>
    </row>
    <row r="860" ht="19" customHeight="1">
      <c r="A860" s="41" t="n">
        <v>856</v>
      </c>
      <c r="B860" s="41" t="n">
        <v>3856</v>
      </c>
      <c r="C860" s="42" t="inlineStr">
        <is>
          <t>0704621021</t>
        </is>
      </c>
      <c r="D860" s="42" t="inlineStr">
        <is>
          <t>Region VII (Central Visayas)</t>
        </is>
      </c>
      <c r="E860" s="42" t="inlineStr">
        <is>
          <t>Negros Oriental</t>
        </is>
      </c>
      <c r="F860" s="42" t="inlineStr">
        <is>
          <t>City of Tanjay</t>
        </is>
      </c>
      <c r="G860" s="42" t="inlineStr">
        <is>
          <t>Santa Cruz Nuevo</t>
        </is>
      </c>
      <c r="H860" s="43" t="n">
        <v>9.533130999999999</v>
      </c>
      <c r="I860" s="43" t="n">
        <v>123.0899</v>
      </c>
      <c r="J860" s="44" t="inlineStr">
        <is>
          <t>R</t>
        </is>
      </c>
      <c r="K860" s="42" t="inlineStr">
        <is>
          <t>Class 1-3 / Urban</t>
        </is>
      </c>
      <c r="L860" s="23" t="n">
        <v>4975</v>
      </c>
      <c r="M860" s="24" t="n">
        <v>4.33</v>
      </c>
      <c r="N860" s="23">
        <f>ROUND(L860/M860, 0)</f>
        <v/>
      </c>
      <c r="O860" s="23">
        <f>ROUND(N860*'Methodology &amp; Assumptions'!$B$8, 0)</f>
        <v/>
      </c>
      <c r="P860" s="44" t="inlineStr">
        <is>
          <t>Band n50 (1.5 GHz, 60 MHz)</t>
        </is>
      </c>
      <c r="Q860" s="38">
        <f>ROUNDUP(O860/'Methodology &amp; Assumptions'!$B$9, 0)</f>
        <v/>
      </c>
      <c r="R860" s="39" t="n">
        <v>1</v>
      </c>
      <c r="S860" s="25" t="n">
        <v>7.33</v>
      </c>
      <c r="T860" s="25" t="n">
        <v>1.33</v>
      </c>
      <c r="U860" s="42" t="inlineStr">
        <is>
          <t>Tier 2 (Fiber Corridor / Lateral, 3-5 km)</t>
        </is>
      </c>
      <c r="V860" s="24" t="n">
        <v>25</v>
      </c>
      <c r="W860" s="24" t="n">
        <v>100</v>
      </c>
      <c r="X860" s="24" t="n">
        <v>73</v>
      </c>
      <c r="Y860" s="45">
        <f>ROUND((V860*'Methodology &amp; Assumptions'!$B$6)+(W860*'Methodology &amp; Assumptions'!$B$5)+(X860*'Methodology &amp; Assumptions'!$B$7), 2)</f>
        <v/>
      </c>
    </row>
    <row r="861" ht="19" customHeight="1">
      <c r="A861" s="35" t="n">
        <v>857</v>
      </c>
      <c r="B861" s="35" t="n">
        <v>3857</v>
      </c>
      <c r="C861" s="36" t="inlineStr">
        <is>
          <t>0604519013</t>
        </is>
      </c>
      <c r="D861" s="36" t="inlineStr">
        <is>
          <t>Region VI (Western Visayas)</t>
        </is>
      </c>
      <c r="E861" s="36" t="inlineStr">
        <is>
          <t>Negros Occidental</t>
        </is>
      </c>
      <c r="F861" s="36" t="inlineStr">
        <is>
          <t>Moises Padilla</t>
        </is>
      </c>
      <c r="G861" s="36" t="inlineStr">
        <is>
          <t>Magallon Cadre</t>
        </is>
      </c>
      <c r="H861" s="37" t="n">
        <v>10.285617</v>
      </c>
      <c r="I861" s="37" t="n">
        <v>123.091832</v>
      </c>
      <c r="J861" s="8" t="inlineStr">
        <is>
          <t>R</t>
        </is>
      </c>
      <c r="K861" s="36" t="inlineStr">
        <is>
          <t>Class 1-3 / Urban</t>
        </is>
      </c>
      <c r="L861" s="18" t="n">
        <v>4966</v>
      </c>
      <c r="M861" s="20" t="n">
        <v>4.33</v>
      </c>
      <c r="N861" s="18">
        <f>ROUND(L861/M861, 0)</f>
        <v/>
      </c>
      <c r="O861" s="18">
        <f>ROUND(N861*'Methodology &amp; Assumptions'!$B$8, 0)</f>
        <v/>
      </c>
      <c r="P861" s="8" t="inlineStr">
        <is>
          <t>Band n50 (1.5 GHz, 60 MHz)</t>
        </is>
      </c>
      <c r="Q861" s="38">
        <f>ROUNDUP(O861/'Methodology &amp; Assumptions'!$B$9, 0)</f>
        <v/>
      </c>
      <c r="R861" s="39" t="n">
        <v>1</v>
      </c>
      <c r="S861" s="21" t="n">
        <v>8.74</v>
      </c>
      <c r="T861" s="21" t="n">
        <v>0.13</v>
      </c>
      <c r="U861" s="36" t="inlineStr">
        <is>
          <t>Tier 2 (Fiber Corridor / Lateral, 3-5 km)</t>
        </is>
      </c>
      <c r="V861" s="20" t="n">
        <v>25</v>
      </c>
      <c r="W861" s="20" t="n">
        <v>100</v>
      </c>
      <c r="X861" s="20" t="n">
        <v>73</v>
      </c>
      <c r="Y861" s="40">
        <f>ROUND((V861*'Methodology &amp; Assumptions'!$B$6)+(W861*'Methodology &amp; Assumptions'!$B$5)+(X861*'Methodology &amp; Assumptions'!$B$7), 2)</f>
        <v/>
      </c>
    </row>
    <row r="862" ht="19" customHeight="1">
      <c r="A862" s="41" t="n">
        <v>858</v>
      </c>
      <c r="B862" s="41" t="n">
        <v>3858</v>
      </c>
      <c r="C862" s="42" t="inlineStr">
        <is>
          <t>0305419008</t>
        </is>
      </c>
      <c r="D862" s="42" t="inlineStr">
        <is>
          <t>Region III (Central Luzon)</t>
        </is>
      </c>
      <c r="E862" s="42" t="inlineStr">
        <is>
          <t>Pampanga</t>
        </is>
      </c>
      <c r="F862" s="42" t="inlineStr">
        <is>
          <t>Santa Ana</t>
        </is>
      </c>
      <c r="G862" s="42" t="inlineStr">
        <is>
          <t>San Pablo</t>
        </is>
      </c>
      <c r="H862" s="43" t="n">
        <v>15.138906</v>
      </c>
      <c r="I862" s="43" t="n">
        <v>120.709614</v>
      </c>
      <c r="J862" s="44" t="inlineStr">
        <is>
          <t>R</t>
        </is>
      </c>
      <c r="K862" s="42" t="inlineStr">
        <is>
          <t>Class 1-3 / Urban</t>
        </is>
      </c>
      <c r="L862" s="23" t="n">
        <v>4949</v>
      </c>
      <c r="M862" s="24" t="n">
        <v>4.63</v>
      </c>
      <c r="N862" s="23">
        <f>ROUND(L862/M862, 0)</f>
        <v/>
      </c>
      <c r="O862" s="23">
        <f>ROUND(N862*'Methodology &amp; Assumptions'!$B$8, 0)</f>
        <v/>
      </c>
      <c r="P862" s="44" t="inlineStr">
        <is>
          <t>Band n50 (1.5 GHz, 60 MHz)</t>
        </is>
      </c>
      <c r="Q862" s="38">
        <f>ROUNDUP(O862/'Methodology &amp; Assumptions'!$B$9, 0)</f>
        <v/>
      </c>
      <c r="R862" s="39" t="n">
        <v>1</v>
      </c>
      <c r="S862" s="25" t="n">
        <v>5.72</v>
      </c>
      <c r="T862" s="25" t="n">
        <v>1.96</v>
      </c>
      <c r="U862" s="42" t="inlineStr">
        <is>
          <t>Tier 2 (Fiber Corridor / Lateral, 3-5 km)</t>
        </is>
      </c>
      <c r="V862" s="24" t="n">
        <v>25</v>
      </c>
      <c r="W862" s="24" t="n">
        <v>100</v>
      </c>
      <c r="X862" s="24" t="n">
        <v>73</v>
      </c>
      <c r="Y862" s="45">
        <f>ROUND((V862*'Methodology &amp; Assumptions'!$B$6)+(W862*'Methodology &amp; Assumptions'!$B$5)+(X862*'Methodology &amp; Assumptions'!$B$7), 2)</f>
        <v/>
      </c>
    </row>
    <row r="863" ht="19" customHeight="1">
      <c r="A863" s="35" t="n">
        <v>859</v>
      </c>
      <c r="B863" s="35" t="n">
        <v>3859</v>
      </c>
      <c r="C863" s="36" t="inlineStr">
        <is>
          <t>0604529003</t>
        </is>
      </c>
      <c r="D863" s="36" t="inlineStr">
        <is>
          <t>Region VI (Western Visayas)</t>
        </is>
      </c>
      <c r="E863" s="36" t="inlineStr">
        <is>
          <t>Negros Occidental</t>
        </is>
      </c>
      <c r="F863" s="36" t="inlineStr">
        <is>
          <t>Toboso</t>
        </is>
      </c>
      <c r="G863" s="36" t="inlineStr">
        <is>
          <t>General Luna</t>
        </is>
      </c>
      <c r="H863" s="37" t="n">
        <v>10.684831</v>
      </c>
      <c r="I863" s="37" t="n">
        <v>123.493717</v>
      </c>
      <c r="J863" s="8" t="inlineStr">
        <is>
          <t>R</t>
        </is>
      </c>
      <c r="K863" s="36" t="inlineStr">
        <is>
          <t>Class 1-3 / Urban</t>
        </is>
      </c>
      <c r="L863" s="18" t="n">
        <v>4904</v>
      </c>
      <c r="M863" s="20" t="n">
        <v>4.33</v>
      </c>
      <c r="N863" s="18">
        <f>ROUND(L863/M863, 0)</f>
        <v/>
      </c>
      <c r="O863" s="18">
        <f>ROUND(N863*'Methodology &amp; Assumptions'!$B$8, 0)</f>
        <v/>
      </c>
      <c r="P863" s="8" t="inlineStr">
        <is>
          <t>Band n50 (1.5 GHz, 60 MHz)</t>
        </is>
      </c>
      <c r="Q863" s="38">
        <f>ROUNDUP(O863/'Methodology &amp; Assumptions'!$B$9, 0)</f>
        <v/>
      </c>
      <c r="R863" s="39" t="n">
        <v>1</v>
      </c>
      <c r="S863" s="21" t="n">
        <v>15.33</v>
      </c>
      <c r="T863" s="21" t="n">
        <v>0.03</v>
      </c>
      <c r="U863" s="36" t="inlineStr">
        <is>
          <t>Tier 2 (Fiber Corridor / Lateral, 3-5 km)</t>
        </is>
      </c>
      <c r="V863" s="20" t="n">
        <v>25</v>
      </c>
      <c r="W863" s="20" t="n">
        <v>100</v>
      </c>
      <c r="X863" s="20" t="n">
        <v>73</v>
      </c>
      <c r="Y863" s="40">
        <f>ROUND((V863*'Methodology &amp; Assumptions'!$B$6)+(W863*'Methodology &amp; Assumptions'!$B$5)+(X863*'Methodology &amp; Assumptions'!$B$7), 2)</f>
        <v/>
      </c>
    </row>
    <row r="864" ht="19" customHeight="1">
      <c r="A864" s="41" t="n">
        <v>860</v>
      </c>
      <c r="B864" s="41" t="n">
        <v>3860</v>
      </c>
      <c r="C864" s="42" t="inlineStr">
        <is>
          <t>1001302015</t>
        </is>
      </c>
      <c r="D864" s="42" t="inlineStr">
        <is>
          <t>Region X (Northern Mindanao)</t>
        </is>
      </c>
      <c r="E864" s="42" t="inlineStr">
        <is>
          <t>Bukidnon</t>
        </is>
      </c>
      <c r="F864" s="42" t="inlineStr">
        <is>
          <t>Damulog</t>
        </is>
      </c>
      <c r="G864" s="42" t="inlineStr">
        <is>
          <t>Poblacion</t>
        </is>
      </c>
      <c r="H864" s="43" t="n">
        <v>7.486822</v>
      </c>
      <c r="I864" s="43" t="n">
        <v>124.940416</v>
      </c>
      <c r="J864" s="44" t="inlineStr">
        <is>
          <t>R</t>
        </is>
      </c>
      <c r="K864" s="42" t="inlineStr">
        <is>
          <t>2nd</t>
        </is>
      </c>
      <c r="L864" s="23" t="n">
        <v>4897</v>
      </c>
      <c r="M864" s="24" t="n">
        <v>4.46</v>
      </c>
      <c r="N864" s="23">
        <f>ROUND(L864/M864, 0)</f>
        <v/>
      </c>
      <c r="O864" s="23">
        <f>ROUND(N864*'Methodology &amp; Assumptions'!$B$8, 0)</f>
        <v/>
      </c>
      <c r="P864" s="44" t="inlineStr">
        <is>
          <t>Band n50 (1.5 GHz, 60 MHz)</t>
        </is>
      </c>
      <c r="Q864" s="38">
        <f>ROUNDUP(O864/'Methodology &amp; Assumptions'!$B$9, 0)</f>
        <v/>
      </c>
      <c r="R864" s="39" t="n">
        <v>1</v>
      </c>
      <c r="S864" s="25" t="n">
        <v>9.83</v>
      </c>
      <c r="T864" s="25" t="n">
        <v>0.47</v>
      </c>
      <c r="U864" s="42" t="inlineStr">
        <is>
          <t>Tier 2 (Fiber Corridor / Lateral, 3-5 km)</t>
        </is>
      </c>
      <c r="V864" s="24" t="n">
        <v>25</v>
      </c>
      <c r="W864" s="24" t="n">
        <v>100</v>
      </c>
      <c r="X864" s="24" t="n">
        <v>73</v>
      </c>
      <c r="Y864" s="45">
        <f>ROUND((V864*'Methodology &amp; Assumptions'!$B$6)+(W864*'Methodology &amp; Assumptions'!$B$5)+(X864*'Methodology &amp; Assumptions'!$B$7), 2)</f>
        <v/>
      </c>
    </row>
    <row r="865" ht="19" customHeight="1">
      <c r="A865" s="35" t="n">
        <v>861</v>
      </c>
      <c r="B865" s="35" t="n">
        <v>3861</v>
      </c>
      <c r="C865" s="36" t="inlineStr">
        <is>
          <t>0604523008</t>
        </is>
      </c>
      <c r="D865" s="36" t="inlineStr">
        <is>
          <t>Region VI (Western Visayas)</t>
        </is>
      </c>
      <c r="E865" s="36" t="inlineStr">
        <is>
          <t>Negros Occidental</t>
        </is>
      </c>
      <c r="F865" s="36" t="inlineStr">
        <is>
          <t>City of Sagay</t>
        </is>
      </c>
      <c r="G865" s="36" t="inlineStr">
        <is>
          <t>Fabrica</t>
        </is>
      </c>
      <c r="H865" s="37" t="n">
        <v>10.889686</v>
      </c>
      <c r="I865" s="37" t="n">
        <v>123.3527</v>
      </c>
      <c r="J865" s="8" t="inlineStr">
        <is>
          <t>R</t>
        </is>
      </c>
      <c r="K865" s="36" t="inlineStr">
        <is>
          <t>Class 1-3 / Urban</t>
        </is>
      </c>
      <c r="L865" s="18" t="n">
        <v>4896</v>
      </c>
      <c r="M865" s="20" t="n">
        <v>4.33</v>
      </c>
      <c r="N865" s="18">
        <f>ROUND(L865/M865, 0)</f>
        <v/>
      </c>
      <c r="O865" s="18">
        <f>ROUND(N865*'Methodology &amp; Assumptions'!$B$8, 0)</f>
        <v/>
      </c>
      <c r="P865" s="8" t="inlineStr">
        <is>
          <t>Band n50 (1.5 GHz, 60 MHz)</t>
        </is>
      </c>
      <c r="Q865" s="38">
        <f>ROUNDUP(O865/'Methodology &amp; Assumptions'!$B$9, 0)</f>
        <v/>
      </c>
      <c r="R865" s="39" t="n">
        <v>1</v>
      </c>
      <c r="S865" s="21" t="n">
        <v>16.87</v>
      </c>
      <c r="T865" s="21" t="n">
        <v>0.14</v>
      </c>
      <c r="U865" s="36" t="inlineStr">
        <is>
          <t>Tier 2 (Fiber Corridor / Lateral, 3-5 km)</t>
        </is>
      </c>
      <c r="V865" s="20" t="n">
        <v>25</v>
      </c>
      <c r="W865" s="20" t="n">
        <v>100</v>
      </c>
      <c r="X865" s="20" t="n">
        <v>73</v>
      </c>
      <c r="Y865" s="40">
        <f>ROUND((V865*'Methodology &amp; Assumptions'!$B$6)+(W865*'Methodology &amp; Assumptions'!$B$5)+(X865*'Methodology &amp; Assumptions'!$B$7), 2)</f>
        <v/>
      </c>
    </row>
    <row r="866" ht="19" customHeight="1">
      <c r="A866" s="41" t="n">
        <v>862</v>
      </c>
      <c r="B866" s="41" t="n">
        <v>3862</v>
      </c>
      <c r="C866" s="42" t="inlineStr">
        <is>
          <t>1208007018</t>
        </is>
      </c>
      <c r="D866" s="42" t="inlineStr">
        <is>
          <t>Region XII (SOCCSKSARGEN)</t>
        </is>
      </c>
      <c r="E866" s="42" t="inlineStr">
        <is>
          <t>Sarangani</t>
        </is>
      </c>
      <c r="F866" s="42" t="inlineStr">
        <is>
          <t>Malungon</t>
        </is>
      </c>
      <c r="G866" s="42" t="inlineStr">
        <is>
          <t>Malalag Cogon</t>
        </is>
      </c>
      <c r="H866" s="43" t="n">
        <v>6.408374</v>
      </c>
      <c r="I866" s="43" t="n">
        <v>125.287673</v>
      </c>
      <c r="J866" s="44" t="inlineStr">
        <is>
          <t>R</t>
        </is>
      </c>
      <c r="K866" s="42" t="inlineStr">
        <is>
          <t>Class 1-3 / Urban</t>
        </is>
      </c>
      <c r="L866" s="23" t="n">
        <v>4875</v>
      </c>
      <c r="M866" s="24" t="n">
        <v>4.1</v>
      </c>
      <c r="N866" s="23">
        <f>ROUND(L866/M866, 0)</f>
        <v/>
      </c>
      <c r="O866" s="23">
        <f>ROUND(N866*'Methodology &amp; Assumptions'!$B$8, 0)</f>
        <v/>
      </c>
      <c r="P866" s="44" t="inlineStr">
        <is>
          <t>Band n50 (1.5 GHz, 60 MHz)</t>
        </is>
      </c>
      <c r="Q866" s="38">
        <f>ROUNDUP(O866/'Methodology &amp; Assumptions'!$B$9, 0)</f>
        <v/>
      </c>
      <c r="R866" s="39" t="n">
        <v>1</v>
      </c>
      <c r="S866" s="25" t="n">
        <v>7.85</v>
      </c>
      <c r="T866" s="25" t="n">
        <v>0.37</v>
      </c>
      <c r="U866" s="42" t="inlineStr">
        <is>
          <t>Tier 2 (Fiber Corridor / Lateral, 3-5 km)</t>
        </is>
      </c>
      <c r="V866" s="24" t="n">
        <v>25</v>
      </c>
      <c r="W866" s="24" t="n">
        <v>100</v>
      </c>
      <c r="X866" s="24" t="n">
        <v>73</v>
      </c>
      <c r="Y866" s="45">
        <f>ROUND((V866*'Methodology &amp; Assumptions'!$B$6)+(W866*'Methodology &amp; Assumptions'!$B$5)+(X866*'Methodology &amp; Assumptions'!$B$7), 2)</f>
        <v/>
      </c>
    </row>
    <row r="867" ht="19" customHeight="1">
      <c r="A867" s="35" t="n">
        <v>863</v>
      </c>
      <c r="B867" s="35" t="n">
        <v>3863</v>
      </c>
      <c r="C867" s="36" t="inlineStr">
        <is>
          <t>0604512001</t>
        </is>
      </c>
      <c r="D867" s="36" t="inlineStr">
        <is>
          <t>Region VI (Western Visayas)</t>
        </is>
      </c>
      <c r="E867" s="36" t="inlineStr">
        <is>
          <t>Negros Occidental</t>
        </is>
      </c>
      <c r="F867" s="36" t="inlineStr">
        <is>
          <t>Hinoba-an</t>
        </is>
      </c>
      <c r="G867" s="36" t="inlineStr">
        <is>
          <t>Alim</t>
        </is>
      </c>
      <c r="H867" s="37" t="n">
        <v>9.5655</v>
      </c>
      <c r="I867" s="37" t="n">
        <v>122.489056</v>
      </c>
      <c r="J867" s="8" t="inlineStr">
        <is>
          <t>R</t>
        </is>
      </c>
      <c r="K867" s="36" t="inlineStr">
        <is>
          <t>Class 1-3 / Urban</t>
        </is>
      </c>
      <c r="L867" s="18" t="n">
        <v>4869</v>
      </c>
      <c r="M867" s="20" t="n">
        <v>4.33</v>
      </c>
      <c r="N867" s="18">
        <f>ROUND(L867/M867, 0)</f>
        <v/>
      </c>
      <c r="O867" s="18">
        <f>ROUND(N867*'Methodology &amp; Assumptions'!$B$8, 0)</f>
        <v/>
      </c>
      <c r="P867" s="8" t="inlineStr">
        <is>
          <t>Band n50 (1.5 GHz, 60 MHz)</t>
        </is>
      </c>
      <c r="Q867" s="38">
        <f>ROUNDUP(O867/'Methodology &amp; Assumptions'!$B$9, 0)</f>
        <v/>
      </c>
      <c r="R867" s="39" t="n">
        <v>1</v>
      </c>
      <c r="S867" s="21" t="n">
        <v>22.43</v>
      </c>
      <c r="T867" s="21" t="n">
        <v>0.06</v>
      </c>
      <c r="U867" s="36" t="inlineStr">
        <is>
          <t>Tier 2 (Fiber Corridor / Lateral, 3-5 km)</t>
        </is>
      </c>
      <c r="V867" s="20" t="n">
        <v>25</v>
      </c>
      <c r="W867" s="20" t="n">
        <v>100</v>
      </c>
      <c r="X867" s="20" t="n">
        <v>73</v>
      </c>
      <c r="Y867" s="40">
        <f>ROUND((V867*'Methodology &amp; Assumptions'!$B$6)+(W867*'Methodology &amp; Assumptions'!$B$5)+(X867*'Methodology &amp; Assumptions'!$B$7), 2)</f>
        <v/>
      </c>
    </row>
    <row r="868" ht="19" customHeight="1">
      <c r="A868" s="41" t="n">
        <v>864</v>
      </c>
      <c r="B868" s="41" t="n">
        <v>3864</v>
      </c>
      <c r="C868" s="42" t="inlineStr">
        <is>
          <t>0702252040</t>
        </is>
      </c>
      <c r="D868" s="42" t="inlineStr">
        <is>
          <t>Region VII (Central Visayas)</t>
        </is>
      </c>
      <c r="E868" s="42" t="inlineStr">
        <is>
          <t>Cebu</t>
        </is>
      </c>
      <c r="F868" s="42" t="inlineStr">
        <is>
          <t>Tuburan</t>
        </is>
      </c>
      <c r="G868" s="42" t="inlineStr">
        <is>
          <t>Putat</t>
        </is>
      </c>
      <c r="H868" s="43" t="n">
        <v>10.786314</v>
      </c>
      <c r="I868" s="43" t="n">
        <v>123.847564</v>
      </c>
      <c r="J868" s="44" t="inlineStr">
        <is>
          <t>R</t>
        </is>
      </c>
      <c r="K868" s="42" t="inlineStr">
        <is>
          <t>Class 1-3 / Urban</t>
        </is>
      </c>
      <c r="L868" s="23" t="n">
        <v>4868</v>
      </c>
      <c r="M868" s="24" t="n">
        <v>4.42</v>
      </c>
      <c r="N868" s="23">
        <f>ROUND(L868/M868, 0)</f>
        <v/>
      </c>
      <c r="O868" s="23">
        <f>ROUND(N868*'Methodology &amp; Assumptions'!$B$8, 0)</f>
        <v/>
      </c>
      <c r="P868" s="44" t="inlineStr">
        <is>
          <t>Band n50 (1.5 GHz, 60 MHz)</t>
        </is>
      </c>
      <c r="Q868" s="38">
        <f>ROUNDUP(O868/'Methodology &amp; Assumptions'!$B$9, 0)</f>
        <v/>
      </c>
      <c r="R868" s="39" t="n">
        <v>1</v>
      </c>
      <c r="S868" s="25" t="n">
        <v>17.53</v>
      </c>
      <c r="T868" s="25" t="n">
        <v>0.33</v>
      </c>
      <c r="U868" s="42" t="inlineStr">
        <is>
          <t>Tier 2 (Fiber Corridor / Lateral, 3-5 km)</t>
        </is>
      </c>
      <c r="V868" s="24" t="n">
        <v>25</v>
      </c>
      <c r="W868" s="24" t="n">
        <v>100</v>
      </c>
      <c r="X868" s="24" t="n">
        <v>73</v>
      </c>
      <c r="Y868" s="45">
        <f>ROUND((V868*'Methodology &amp; Assumptions'!$B$6)+(W868*'Methodology &amp; Assumptions'!$B$5)+(X868*'Methodology &amp; Assumptions'!$B$7), 2)</f>
        <v/>
      </c>
    </row>
    <row r="869" ht="19" customHeight="1">
      <c r="A869" s="35" t="n">
        <v>865</v>
      </c>
      <c r="B869" s="35" t="n">
        <v>3865</v>
      </c>
      <c r="C869" s="36" t="inlineStr">
        <is>
          <t>0702206026</t>
        </is>
      </c>
      <c r="D869" s="36" t="inlineStr">
        <is>
          <t>Region VII (Central Visayas)</t>
        </is>
      </c>
      <c r="E869" s="36" t="inlineStr">
        <is>
          <t>Cebu</t>
        </is>
      </c>
      <c r="F869" s="36" t="inlineStr">
        <is>
          <t>Asturias</t>
        </is>
      </c>
      <c r="G869" s="36" t="inlineStr">
        <is>
          <t>Tubigagmanok</t>
        </is>
      </c>
      <c r="H869" s="37" t="n">
        <v>10.609631</v>
      </c>
      <c r="I869" s="37" t="n">
        <v>123.745351</v>
      </c>
      <c r="J869" s="8" t="inlineStr">
        <is>
          <t>R</t>
        </is>
      </c>
      <c r="K869" s="36" t="inlineStr">
        <is>
          <t>Class 1-3 / Urban</t>
        </is>
      </c>
      <c r="L869" s="18" t="n">
        <v>4857</v>
      </c>
      <c r="M869" s="20" t="n">
        <v>4.42</v>
      </c>
      <c r="N869" s="18">
        <f>ROUND(L869/M869, 0)</f>
        <v/>
      </c>
      <c r="O869" s="18">
        <f>ROUND(N869*'Methodology &amp; Assumptions'!$B$8, 0)</f>
        <v/>
      </c>
      <c r="P869" s="8" t="inlineStr">
        <is>
          <t>Band n50 (1.5 GHz, 60 MHz)</t>
        </is>
      </c>
      <c r="Q869" s="38">
        <f>ROUNDUP(O869/'Methodology &amp; Assumptions'!$B$9, 0)</f>
        <v/>
      </c>
      <c r="R869" s="39" t="n">
        <v>1</v>
      </c>
      <c r="S869" s="21" t="n">
        <v>11.68</v>
      </c>
      <c r="T869" s="21" t="n">
        <v>0.22</v>
      </c>
      <c r="U869" s="36" t="inlineStr">
        <is>
          <t>Tier 2 (Fiber Corridor / Lateral, 3-5 km)</t>
        </is>
      </c>
      <c r="V869" s="20" t="n">
        <v>25</v>
      </c>
      <c r="W869" s="20" t="n">
        <v>100</v>
      </c>
      <c r="X869" s="20" t="n">
        <v>73</v>
      </c>
      <c r="Y869" s="40">
        <f>ROUND((V869*'Methodology &amp; Assumptions'!$B$6)+(W869*'Methodology &amp; Assumptions'!$B$5)+(X869*'Methodology &amp; Assumptions'!$B$7), 2)</f>
        <v/>
      </c>
    </row>
    <row r="870" ht="19" customHeight="1">
      <c r="A870" s="41" t="n">
        <v>866</v>
      </c>
      <c r="B870" s="41" t="n">
        <v>3866</v>
      </c>
      <c r="C870" s="42" t="inlineStr">
        <is>
          <t>1606811010</t>
        </is>
      </c>
      <c r="D870" s="42" t="inlineStr">
        <is>
          <t>Region XIII (Caraga)</t>
        </is>
      </c>
      <c r="E870" s="42" t="inlineStr">
        <is>
          <t>Surigao del Sur</t>
        </is>
      </c>
      <c r="F870" s="42" t="inlineStr">
        <is>
          <t>Lianga</t>
        </is>
      </c>
      <c r="G870" s="42" t="inlineStr">
        <is>
          <t>Poblacion</t>
        </is>
      </c>
      <c r="H870" s="43" t="n">
        <v>8.63306</v>
      </c>
      <c r="I870" s="43" t="n">
        <v>126.094</v>
      </c>
      <c r="J870" s="44" t="inlineStr">
        <is>
          <t>R</t>
        </is>
      </c>
      <c r="K870" s="42" t="inlineStr">
        <is>
          <t>2nd</t>
        </is>
      </c>
      <c r="L870" s="23" t="n">
        <v>4842</v>
      </c>
      <c r="M870" s="24" t="n">
        <v>4.65</v>
      </c>
      <c r="N870" s="23">
        <f>ROUND(L870/M870, 0)</f>
        <v/>
      </c>
      <c r="O870" s="23">
        <f>ROUND(N870*'Methodology &amp; Assumptions'!$B$8, 0)</f>
        <v/>
      </c>
      <c r="P870" s="44" t="inlineStr">
        <is>
          <t>Band n50 (1.5 GHz, 60 MHz)</t>
        </is>
      </c>
      <c r="Q870" s="38">
        <f>ROUNDUP(O870/'Methodology &amp; Assumptions'!$B$9, 0)</f>
        <v/>
      </c>
      <c r="R870" s="39" t="n">
        <v>1</v>
      </c>
      <c r="S870" s="25" t="n">
        <v>11.92</v>
      </c>
      <c r="T870" s="25" t="n">
        <v>0.04</v>
      </c>
      <c r="U870" s="42" t="inlineStr">
        <is>
          <t>Tier 2 (Fiber Corridor / Lateral, 3-5 km)</t>
        </is>
      </c>
      <c r="V870" s="24" t="n">
        <v>25</v>
      </c>
      <c r="W870" s="24" t="n">
        <v>100</v>
      </c>
      <c r="X870" s="24" t="n">
        <v>73</v>
      </c>
      <c r="Y870" s="45">
        <f>ROUND((V870*'Methodology &amp; Assumptions'!$B$6)+(W870*'Methodology &amp; Assumptions'!$B$5)+(X870*'Methodology &amp; Assumptions'!$B$7), 2)</f>
        <v/>
      </c>
    </row>
    <row r="871" ht="19" customHeight="1">
      <c r="A871" s="35" t="n">
        <v>867</v>
      </c>
      <c r="B871" s="35" t="n">
        <v>3867</v>
      </c>
      <c r="C871" s="36" t="inlineStr">
        <is>
          <t>1206315008</t>
        </is>
      </c>
      <c r="D871" s="36" t="inlineStr">
        <is>
          <t>Region XII (SOCCSKSARGEN)</t>
        </is>
      </c>
      <c r="E871" s="36" t="inlineStr">
        <is>
          <t>South Cotabato</t>
        </is>
      </c>
      <c r="F871" s="36" t="inlineStr">
        <is>
          <t>Tantangan</t>
        </is>
      </c>
      <c r="G871" s="36" t="inlineStr">
        <is>
          <t>New Iloilo</t>
        </is>
      </c>
      <c r="H871" s="37" t="n">
        <v>6.545767</v>
      </c>
      <c r="I871" s="37" t="n">
        <v>124.789999</v>
      </c>
      <c r="J871" s="8" t="inlineStr">
        <is>
          <t>R</t>
        </is>
      </c>
      <c r="K871" s="36" t="inlineStr">
        <is>
          <t>Class 1-3 / Urban</t>
        </is>
      </c>
      <c r="L871" s="18" t="n">
        <v>4802</v>
      </c>
      <c r="M871" s="20" t="n">
        <v>4.1</v>
      </c>
      <c r="N871" s="18">
        <f>ROUND(L871/M871, 0)</f>
        <v/>
      </c>
      <c r="O871" s="18">
        <f>ROUND(N871*'Methodology &amp; Assumptions'!$B$8, 0)</f>
        <v/>
      </c>
      <c r="P871" s="8" t="inlineStr">
        <is>
          <t>Band n50 (1.5 GHz, 60 MHz)</t>
        </is>
      </c>
      <c r="Q871" s="38">
        <f>ROUNDUP(O871/'Methodology &amp; Assumptions'!$B$9, 0)</f>
        <v/>
      </c>
      <c r="R871" s="39" t="n">
        <v>1</v>
      </c>
      <c r="S871" s="21" t="n">
        <v>20.53</v>
      </c>
      <c r="T871" s="21" t="n">
        <v>0.5600000000000001</v>
      </c>
      <c r="U871" s="36" t="inlineStr">
        <is>
          <t>Tier 2 (Fiber Corridor / Lateral, 3-5 km)</t>
        </is>
      </c>
      <c r="V871" s="20" t="n">
        <v>25</v>
      </c>
      <c r="W871" s="20" t="n">
        <v>100</v>
      </c>
      <c r="X871" s="20" t="n">
        <v>73</v>
      </c>
      <c r="Y871" s="40">
        <f>ROUND((V871*'Methodology &amp; Assumptions'!$B$6)+(W871*'Methodology &amp; Assumptions'!$B$5)+(X871*'Methodology &amp; Assumptions'!$B$7), 2)</f>
        <v/>
      </c>
    </row>
    <row r="872" ht="19" customHeight="1">
      <c r="A872" s="41" t="n">
        <v>868</v>
      </c>
      <c r="B872" s="41" t="n">
        <v>3868</v>
      </c>
      <c r="C872" s="42" t="inlineStr">
        <is>
          <t>0604511021</t>
        </is>
      </c>
      <c r="D872" s="42" t="inlineStr">
        <is>
          <t>Region VI (Western Visayas)</t>
        </is>
      </c>
      <c r="E872" s="42" t="inlineStr">
        <is>
          <t>Negros Occidental</t>
        </is>
      </c>
      <c r="F872" s="42" t="inlineStr">
        <is>
          <t>Hinigaran</t>
        </is>
      </c>
      <c r="G872" s="42" t="inlineStr">
        <is>
          <t>Pilar</t>
        </is>
      </c>
      <c r="H872" s="43" t="n">
        <v>10.240065</v>
      </c>
      <c r="I872" s="43" t="n">
        <v>122.859336</v>
      </c>
      <c r="J872" s="44" t="inlineStr">
        <is>
          <t>R</t>
        </is>
      </c>
      <c r="K872" s="42" t="inlineStr">
        <is>
          <t>Class 1-3 / Urban</t>
        </is>
      </c>
      <c r="L872" s="23" t="n">
        <v>4785</v>
      </c>
      <c r="M872" s="24" t="n">
        <v>4.33</v>
      </c>
      <c r="N872" s="23">
        <f>ROUND(L872/M872, 0)</f>
        <v/>
      </c>
      <c r="O872" s="23">
        <f>ROUND(N872*'Methodology &amp; Assumptions'!$B$8, 0)</f>
        <v/>
      </c>
      <c r="P872" s="44" t="inlineStr">
        <is>
          <t>Band n50 (1.5 GHz, 60 MHz)</t>
        </is>
      </c>
      <c r="Q872" s="38">
        <f>ROUNDUP(O872/'Methodology &amp; Assumptions'!$B$9, 0)</f>
        <v/>
      </c>
      <c r="R872" s="39" t="n">
        <v>1</v>
      </c>
      <c r="S872" s="25" t="n">
        <v>14.79</v>
      </c>
      <c r="T872" s="25" t="n">
        <v>0.18</v>
      </c>
      <c r="U872" s="42" t="inlineStr">
        <is>
          <t>Tier 2 (Fiber Corridor / Lateral, 3-5 km)</t>
        </is>
      </c>
      <c r="V872" s="24" t="n">
        <v>25</v>
      </c>
      <c r="W872" s="24" t="n">
        <v>100</v>
      </c>
      <c r="X872" s="24" t="n">
        <v>73</v>
      </c>
      <c r="Y872" s="45">
        <f>ROUND((V872*'Methodology &amp; Assumptions'!$B$6)+(W872*'Methodology &amp; Assumptions'!$B$5)+(X872*'Methodology &amp; Assumptions'!$B$7), 2)</f>
        <v/>
      </c>
    </row>
    <row r="873" ht="19" customHeight="1">
      <c r="A873" s="35" t="n">
        <v>869</v>
      </c>
      <c r="B873" s="35" t="n">
        <v>3869</v>
      </c>
      <c r="C873" s="36" t="inlineStr">
        <is>
          <t>0604505004</t>
        </is>
      </c>
      <c r="D873" s="36" t="inlineStr">
        <is>
          <t>Region VI (Western Visayas)</t>
        </is>
      </c>
      <c r="E873" s="36" t="inlineStr">
        <is>
          <t>Negros Occidental</t>
        </is>
      </c>
      <c r="F873" s="36" t="inlineStr">
        <is>
          <t>Calatrava</t>
        </is>
      </c>
      <c r="G873" s="36" t="inlineStr">
        <is>
          <t>Bantayanon</t>
        </is>
      </c>
      <c r="H873" s="37" t="n">
        <v>10.592037</v>
      </c>
      <c r="I873" s="37" t="n">
        <v>123.462683</v>
      </c>
      <c r="J873" s="8" t="inlineStr">
        <is>
          <t>R</t>
        </is>
      </c>
      <c r="K873" s="36" t="inlineStr">
        <is>
          <t>Class 1-3 / Urban</t>
        </is>
      </c>
      <c r="L873" s="18" t="n">
        <v>4749</v>
      </c>
      <c r="M873" s="20" t="n">
        <v>4.33</v>
      </c>
      <c r="N873" s="18">
        <f>ROUND(L873/M873, 0)</f>
        <v/>
      </c>
      <c r="O873" s="18">
        <f>ROUND(N873*'Methodology &amp; Assumptions'!$B$8, 0)</f>
        <v/>
      </c>
      <c r="P873" s="8" t="inlineStr">
        <is>
          <t>Band n50 (1.5 GHz, 60 MHz)</t>
        </is>
      </c>
      <c r="Q873" s="38">
        <f>ROUNDUP(O873/'Methodology &amp; Assumptions'!$B$9, 0)</f>
        <v/>
      </c>
      <c r="R873" s="39" t="n">
        <v>1</v>
      </c>
      <c r="S873" s="21" t="n">
        <v>6.94</v>
      </c>
      <c r="T873" s="21" t="n">
        <v>1.69</v>
      </c>
      <c r="U873" s="36" t="inlineStr">
        <is>
          <t>Tier 2 (Fiber Corridor / Lateral, 3-5 km)</t>
        </is>
      </c>
      <c r="V873" s="20" t="n">
        <v>25</v>
      </c>
      <c r="W873" s="20" t="n">
        <v>100</v>
      </c>
      <c r="X873" s="20" t="n">
        <v>73</v>
      </c>
      <c r="Y873" s="40">
        <f>ROUND((V873*'Methodology &amp; Assumptions'!$B$6)+(W873*'Methodology &amp; Assumptions'!$B$5)+(X873*'Methodology &amp; Assumptions'!$B$7), 2)</f>
        <v/>
      </c>
    </row>
    <row r="874" ht="19" customHeight="1">
      <c r="A874" s="41" t="n">
        <v>870</v>
      </c>
      <c r="B874" s="41" t="n">
        <v>3870</v>
      </c>
      <c r="C874" s="42" t="inlineStr">
        <is>
          <t>1606804001</t>
        </is>
      </c>
      <c r="D874" s="42" t="inlineStr">
        <is>
          <t>Region XIII (Caraga)</t>
        </is>
      </c>
      <c r="E874" s="42" t="inlineStr">
        <is>
          <t>Surigao del Sur</t>
        </is>
      </c>
      <c r="F874" s="42" t="inlineStr">
        <is>
          <t>Cagwait</t>
        </is>
      </c>
      <c r="G874" s="42" t="inlineStr">
        <is>
          <t>Aras-Asan</t>
        </is>
      </c>
      <c r="H874" s="43" t="n">
        <v>8.888769999999999</v>
      </c>
      <c r="I874" s="43" t="n">
        <v>126.31</v>
      </c>
      <c r="J874" s="44" t="inlineStr">
        <is>
          <t>R</t>
        </is>
      </c>
      <c r="K874" s="42" t="inlineStr">
        <is>
          <t>2nd</t>
        </is>
      </c>
      <c r="L874" s="23" t="n">
        <v>4659</v>
      </c>
      <c r="M874" s="24" t="n">
        <v>4.68</v>
      </c>
      <c r="N874" s="23">
        <f>ROUND(L874/M874, 0)</f>
        <v/>
      </c>
      <c r="O874" s="23">
        <f>ROUND(N874*'Methodology &amp; Assumptions'!$B$8, 0)</f>
        <v/>
      </c>
      <c r="P874" s="44" t="inlineStr">
        <is>
          <t>Band n50 (1.5 GHz, 60 MHz)</t>
        </is>
      </c>
      <c r="Q874" s="38">
        <f>ROUNDUP(O874/'Methodology &amp; Assumptions'!$B$9, 0)</f>
        <v/>
      </c>
      <c r="R874" s="39" t="n">
        <v>1</v>
      </c>
      <c r="S874" s="25" t="n">
        <v>24.31</v>
      </c>
      <c r="T874" s="25" t="n">
        <v>0.82</v>
      </c>
      <c r="U874" s="42" t="inlineStr">
        <is>
          <t>Tier 2 (Fiber Corridor / Lateral, 3-5 km)</t>
        </is>
      </c>
      <c r="V874" s="24" t="n">
        <v>25</v>
      </c>
      <c r="W874" s="24" t="n">
        <v>100</v>
      </c>
      <c r="X874" s="24" t="n">
        <v>73</v>
      </c>
      <c r="Y874" s="45">
        <f>ROUND((V874*'Methodology &amp; Assumptions'!$B$6)+(W874*'Methodology &amp; Assumptions'!$B$5)+(X874*'Methodology &amp; Assumptions'!$B$7), 2)</f>
        <v/>
      </c>
    </row>
    <row r="875" ht="19" customHeight="1">
      <c r="A875" s="35" t="n">
        <v>871</v>
      </c>
      <c r="B875" s="35" t="n">
        <v>3871</v>
      </c>
      <c r="C875" s="36" t="inlineStr">
        <is>
          <t>0702206022</t>
        </is>
      </c>
      <c r="D875" s="36" t="inlineStr">
        <is>
          <t>Region VII (Central Visayas)</t>
        </is>
      </c>
      <c r="E875" s="36" t="inlineStr">
        <is>
          <t>Cebu</t>
        </is>
      </c>
      <c r="F875" s="36" t="inlineStr">
        <is>
          <t>Asturias</t>
        </is>
      </c>
      <c r="G875" s="36" t="inlineStr">
        <is>
          <t>Santa Lucia</t>
        </is>
      </c>
      <c r="H875" s="37" t="n">
        <v>10.642839</v>
      </c>
      <c r="I875" s="37" t="n">
        <v>123.754565</v>
      </c>
      <c r="J875" s="8" t="inlineStr">
        <is>
          <t>R</t>
        </is>
      </c>
      <c r="K875" s="36" t="inlineStr">
        <is>
          <t>Class 1-3 / Urban</t>
        </is>
      </c>
      <c r="L875" s="18" t="n">
        <v>4658</v>
      </c>
      <c r="M875" s="20" t="n">
        <v>4.42</v>
      </c>
      <c r="N875" s="18">
        <f>ROUND(L875/M875, 0)</f>
        <v/>
      </c>
      <c r="O875" s="18">
        <f>ROUND(N875*'Methodology &amp; Assumptions'!$B$8, 0)</f>
        <v/>
      </c>
      <c r="P875" s="8" t="inlineStr">
        <is>
          <t>Band n50 (1.5 GHz, 60 MHz)</t>
        </is>
      </c>
      <c r="Q875" s="38">
        <f>ROUNDUP(O875/'Methodology &amp; Assumptions'!$B$9, 0)</f>
        <v/>
      </c>
      <c r="R875" s="39" t="n">
        <v>1</v>
      </c>
      <c r="S875" s="21" t="n">
        <v>15.51</v>
      </c>
      <c r="T875" s="21" t="n">
        <v>1.75</v>
      </c>
      <c r="U875" s="36" t="inlineStr">
        <is>
          <t>Tier 2 (Fiber Corridor / Lateral, 3-5 km)</t>
        </is>
      </c>
      <c r="V875" s="20" t="n">
        <v>25</v>
      </c>
      <c r="W875" s="20" t="n">
        <v>100</v>
      </c>
      <c r="X875" s="20" t="n">
        <v>73</v>
      </c>
      <c r="Y875" s="40">
        <f>ROUND((V875*'Methodology &amp; Assumptions'!$B$6)+(W875*'Methodology &amp; Assumptions'!$B$5)+(X875*'Methodology &amp; Assumptions'!$B$7), 2)</f>
        <v/>
      </c>
    </row>
    <row r="876" ht="19" customHeight="1">
      <c r="A876" s="41" t="n">
        <v>872</v>
      </c>
      <c r="B876" s="41" t="n">
        <v>3872</v>
      </c>
      <c r="C876" s="42" t="inlineStr">
        <is>
          <t>0601911011</t>
        </is>
      </c>
      <c r="D876" s="42" t="inlineStr">
        <is>
          <t>Region VI (Western Visayas)</t>
        </is>
      </c>
      <c r="E876" s="42" t="inlineStr">
        <is>
          <t>Capiz</t>
        </is>
      </c>
      <c r="F876" s="42" t="inlineStr">
        <is>
          <t>Pilar</t>
        </is>
      </c>
      <c r="G876" s="42" t="inlineStr">
        <is>
          <t>Natividad</t>
        </is>
      </c>
      <c r="H876" s="43" t="n">
        <v>11.484951</v>
      </c>
      <c r="I876" s="43" t="n">
        <v>122.998379</v>
      </c>
      <c r="J876" s="44" t="inlineStr">
        <is>
          <t>R</t>
        </is>
      </c>
      <c r="K876" s="42" t="inlineStr">
        <is>
          <t>Class 1-3 / Urban</t>
        </is>
      </c>
      <c r="L876" s="23" t="n">
        <v>4644</v>
      </c>
      <c r="M876" s="24" t="n">
        <v>4.2</v>
      </c>
      <c r="N876" s="23">
        <f>ROUND(L876/M876, 0)</f>
        <v/>
      </c>
      <c r="O876" s="23">
        <f>ROUND(N876*'Methodology &amp; Assumptions'!$B$8, 0)</f>
        <v/>
      </c>
      <c r="P876" s="44" t="inlineStr">
        <is>
          <t>Band n50 (1.5 GHz, 60 MHz)</t>
        </is>
      </c>
      <c r="Q876" s="38">
        <f>ROUNDUP(O876/'Methodology &amp; Assumptions'!$B$9, 0)</f>
        <v/>
      </c>
      <c r="R876" s="39" t="n">
        <v>1</v>
      </c>
      <c r="S876" s="25" t="n">
        <v>10.06</v>
      </c>
      <c r="T876" s="25" t="n">
        <v>0.1</v>
      </c>
      <c r="U876" s="42" t="inlineStr">
        <is>
          <t>Tier 2 (Fiber Corridor / Lateral, 3-5 km)</t>
        </is>
      </c>
      <c r="V876" s="24" t="n">
        <v>25</v>
      </c>
      <c r="W876" s="24" t="n">
        <v>100</v>
      </c>
      <c r="X876" s="24" t="n">
        <v>73</v>
      </c>
      <c r="Y876" s="45">
        <f>ROUND((V876*'Methodology &amp; Assumptions'!$B$6)+(W876*'Methodology &amp; Assumptions'!$B$5)+(X876*'Methodology &amp; Assumptions'!$B$7), 2)</f>
        <v/>
      </c>
    </row>
    <row r="877" ht="19" customHeight="1">
      <c r="A877" s="35" t="n">
        <v>873</v>
      </c>
      <c r="B877" s="35" t="n">
        <v>3873</v>
      </c>
      <c r="C877" s="36" t="inlineStr">
        <is>
          <t>1404404005</t>
        </is>
      </c>
      <c r="D877" s="36" t="inlineStr">
        <is>
          <t>Cordillera Administrative Region (CAR)</t>
        </is>
      </c>
      <c r="E877" s="36" t="inlineStr">
        <is>
          <t>Mountain Province</t>
        </is>
      </c>
      <c r="F877" s="36" t="inlineStr">
        <is>
          <t>Bontoc</t>
        </is>
      </c>
      <c r="G877" s="36" t="inlineStr">
        <is>
          <t>Bontoc Ili</t>
        </is>
      </c>
      <c r="H877" s="37" t="n">
        <v>17.085252</v>
      </c>
      <c r="I877" s="37" t="n">
        <v>120.975271</v>
      </c>
      <c r="J877" s="8" t="inlineStr">
        <is>
          <t>R</t>
        </is>
      </c>
      <c r="K877" s="36" t="inlineStr">
        <is>
          <t>Class 1-3 / Urban</t>
        </is>
      </c>
      <c r="L877" s="18" t="n">
        <v>4642</v>
      </c>
      <c r="M877" s="20" t="n">
        <v>4.42</v>
      </c>
      <c r="N877" s="18">
        <f>ROUND(L877/M877, 0)</f>
        <v/>
      </c>
      <c r="O877" s="18">
        <f>ROUND(N877*'Methodology &amp; Assumptions'!$B$8, 0)</f>
        <v/>
      </c>
      <c r="P877" s="8" t="inlineStr">
        <is>
          <t>Band n50 (1.5 GHz, 60 MHz)</t>
        </is>
      </c>
      <c r="Q877" s="38">
        <f>ROUNDUP(O877/'Methodology &amp; Assumptions'!$B$9, 0)</f>
        <v/>
      </c>
      <c r="R877" s="39" t="n">
        <v>1</v>
      </c>
      <c r="S877" s="21" t="n">
        <v>7.92</v>
      </c>
      <c r="T877" s="21" t="n">
        <v>0.32</v>
      </c>
      <c r="U877" s="36" t="inlineStr">
        <is>
          <t>Tier 2 (Fiber Corridor / Lateral, 3-5 km)</t>
        </is>
      </c>
      <c r="V877" s="20" t="n">
        <v>25</v>
      </c>
      <c r="W877" s="20" t="n">
        <v>100</v>
      </c>
      <c r="X877" s="20" t="n">
        <v>73</v>
      </c>
      <c r="Y877" s="40">
        <f>ROUND((V877*'Methodology &amp; Assumptions'!$B$6)+(W877*'Methodology &amp; Assumptions'!$B$5)+(X877*'Methodology &amp; Assumptions'!$B$7), 2)</f>
        <v/>
      </c>
    </row>
    <row r="878" ht="19" customHeight="1">
      <c r="A878" s="41" t="n">
        <v>874</v>
      </c>
      <c r="B878" s="41" t="n">
        <v>3874</v>
      </c>
      <c r="C878" s="42" t="inlineStr">
        <is>
          <t>1630400087</t>
        </is>
      </c>
      <c r="D878" s="42" t="inlineStr">
        <is>
          <t>Region XIII (Caraga)</t>
        </is>
      </c>
      <c r="E878" s="42" t="inlineStr">
        <is>
          <t>Agusan del Norte</t>
        </is>
      </c>
      <c r="F878" s="42" t="inlineStr">
        <is>
          <t>City of Butuan</t>
        </is>
      </c>
      <c r="G878" s="42" t="inlineStr">
        <is>
          <t>Tungao</t>
        </is>
      </c>
      <c r="H878" s="43" t="n">
        <v>8.777919000000001</v>
      </c>
      <c r="I878" s="43" t="n">
        <v>125.569813</v>
      </c>
      <c r="J878" s="44" t="inlineStr">
        <is>
          <t>R</t>
        </is>
      </c>
      <c r="K878" s="42" t="inlineStr">
        <is>
          <t>Class 1-3 / Urban</t>
        </is>
      </c>
      <c r="L878" s="23" t="n">
        <v>4607</v>
      </c>
      <c r="M878" s="24" t="n">
        <v>4.63</v>
      </c>
      <c r="N878" s="23">
        <f>ROUND(L878/M878, 0)</f>
        <v/>
      </c>
      <c r="O878" s="23">
        <f>ROUND(N878*'Methodology &amp; Assumptions'!$B$8, 0)</f>
        <v/>
      </c>
      <c r="P878" s="44" t="inlineStr">
        <is>
          <t>Band n50 (1.5 GHz, 60 MHz)</t>
        </is>
      </c>
      <c r="Q878" s="38">
        <f>ROUNDUP(O878/'Methodology &amp; Assumptions'!$B$9, 0)</f>
        <v/>
      </c>
      <c r="R878" s="39" t="n">
        <v>1</v>
      </c>
      <c r="S878" s="25" t="n">
        <v>14.45</v>
      </c>
      <c r="T878" s="25" t="n">
        <v>0.25</v>
      </c>
      <c r="U878" s="42" t="inlineStr">
        <is>
          <t>Tier 2 (Fiber Corridor / Lateral, 3-5 km)</t>
        </is>
      </c>
      <c r="V878" s="24" t="n">
        <v>25</v>
      </c>
      <c r="W878" s="24" t="n">
        <v>100</v>
      </c>
      <c r="X878" s="24" t="n">
        <v>73</v>
      </c>
      <c r="Y878" s="45">
        <f>ROUND((V878*'Methodology &amp; Assumptions'!$B$6)+(W878*'Methodology &amp; Assumptions'!$B$5)+(X878*'Methodology &amp; Assumptions'!$B$7), 2)</f>
        <v/>
      </c>
    </row>
    <row r="879" ht="19" customHeight="1">
      <c r="A879" s="35" t="n">
        <v>875</v>
      </c>
      <c r="B879" s="35" t="n">
        <v>3875</v>
      </c>
      <c r="C879" s="36" t="inlineStr">
        <is>
          <t>0604515033</t>
        </is>
      </c>
      <c r="D879" s="36" t="inlineStr">
        <is>
          <t>Region VI (Western Visayas)</t>
        </is>
      </c>
      <c r="E879" s="36" t="inlineStr">
        <is>
          <t>Negros Occidental</t>
        </is>
      </c>
      <c r="F879" s="36" t="inlineStr">
        <is>
          <t>City of Kabankalan</t>
        </is>
      </c>
      <c r="G879" s="36" t="inlineStr">
        <is>
          <t>Tagukon</t>
        </is>
      </c>
      <c r="H879" s="37" t="n">
        <v>9.826063</v>
      </c>
      <c r="I879" s="37" t="n">
        <v>122.90628</v>
      </c>
      <c r="J879" s="8" t="inlineStr">
        <is>
          <t>R</t>
        </is>
      </c>
      <c r="K879" s="36" t="inlineStr">
        <is>
          <t>Class 1-3 / Urban</t>
        </is>
      </c>
      <c r="L879" s="18" t="n">
        <v>4601</v>
      </c>
      <c r="M879" s="20" t="n">
        <v>4.33</v>
      </c>
      <c r="N879" s="18">
        <f>ROUND(L879/M879, 0)</f>
        <v/>
      </c>
      <c r="O879" s="18">
        <f>ROUND(N879*'Methodology &amp; Assumptions'!$B$8, 0)</f>
        <v/>
      </c>
      <c r="P879" s="8" t="inlineStr">
        <is>
          <t>Band n50 (1.5 GHz, 60 MHz)</t>
        </is>
      </c>
      <c r="Q879" s="38">
        <f>ROUNDUP(O879/'Methodology &amp; Assumptions'!$B$9, 0)</f>
        <v/>
      </c>
      <c r="R879" s="39" t="n">
        <v>1</v>
      </c>
      <c r="S879" s="21" t="n">
        <v>11.14</v>
      </c>
      <c r="T879" s="21" t="n">
        <v>0.17</v>
      </c>
      <c r="U879" s="36" t="inlineStr">
        <is>
          <t>Tier 2 (Fiber Corridor / Lateral, 3-5 km)</t>
        </is>
      </c>
      <c r="V879" s="20" t="n">
        <v>25</v>
      </c>
      <c r="W879" s="20" t="n">
        <v>100</v>
      </c>
      <c r="X879" s="20" t="n">
        <v>73</v>
      </c>
      <c r="Y879" s="40">
        <f>ROUND((V879*'Methodology &amp; Assumptions'!$B$6)+(W879*'Methodology &amp; Assumptions'!$B$5)+(X879*'Methodology &amp; Assumptions'!$B$7), 2)</f>
        <v/>
      </c>
    </row>
    <row r="880" ht="19" customHeight="1">
      <c r="A880" s="41" t="n">
        <v>876</v>
      </c>
      <c r="B880" s="41" t="n">
        <v>3876</v>
      </c>
      <c r="C880" s="42" t="inlineStr">
        <is>
          <t>0704618020</t>
        </is>
      </c>
      <c r="D880" s="42" t="inlineStr">
        <is>
          <t>Region VII (Central Visayas)</t>
        </is>
      </c>
      <c r="E880" s="42" t="inlineStr">
        <is>
          <t>Negros Oriental</t>
        </is>
      </c>
      <c r="F880" s="42" t="inlineStr">
        <is>
          <t>Santa Catalina</t>
        </is>
      </c>
      <c r="G880" s="42" t="inlineStr">
        <is>
          <t>San Francisco</t>
        </is>
      </c>
      <c r="H880" s="43" t="n">
        <v>9.180835</v>
      </c>
      <c r="I880" s="43" t="n">
        <v>122.897</v>
      </c>
      <c r="J880" s="44" t="inlineStr">
        <is>
          <t>R</t>
        </is>
      </c>
      <c r="K880" s="42" t="inlineStr">
        <is>
          <t>Class 1-3 / Urban</t>
        </is>
      </c>
      <c r="L880" s="23" t="n">
        <v>4545</v>
      </c>
      <c r="M880" s="24" t="n">
        <v>4.33</v>
      </c>
      <c r="N880" s="23">
        <f>ROUND(L880/M880, 0)</f>
        <v/>
      </c>
      <c r="O880" s="23">
        <f>ROUND(N880*'Methodology &amp; Assumptions'!$B$8, 0)</f>
        <v/>
      </c>
      <c r="P880" s="44" t="inlineStr">
        <is>
          <t>Band n50 (1.5 GHz, 60 MHz)</t>
        </is>
      </c>
      <c r="Q880" s="38">
        <f>ROUNDUP(O880/'Methodology &amp; Assumptions'!$B$9, 0)</f>
        <v/>
      </c>
      <c r="R880" s="39" t="n">
        <v>1</v>
      </c>
      <c r="S880" s="25" t="n">
        <v>19.86</v>
      </c>
      <c r="T880" s="25" t="n">
        <v>0.11</v>
      </c>
      <c r="U880" s="42" t="inlineStr">
        <is>
          <t>Tier 2 (Fiber Corridor / Lateral, 3-5 km)</t>
        </is>
      </c>
      <c r="V880" s="24" t="n">
        <v>25</v>
      </c>
      <c r="W880" s="24" t="n">
        <v>100</v>
      </c>
      <c r="X880" s="24" t="n">
        <v>73</v>
      </c>
      <c r="Y880" s="45">
        <f>ROUND((V880*'Methodology &amp; Assumptions'!$B$6)+(W880*'Methodology &amp; Assumptions'!$B$5)+(X880*'Methodology &amp; Assumptions'!$B$7), 2)</f>
        <v/>
      </c>
    </row>
    <row r="881" ht="19" customHeight="1">
      <c r="A881" s="35" t="n">
        <v>877</v>
      </c>
      <c r="B881" s="35" t="n">
        <v>3877</v>
      </c>
      <c r="C881" s="36" t="inlineStr">
        <is>
          <t>0803718041</t>
        </is>
      </c>
      <c r="D881" s="36" t="inlineStr">
        <is>
          <t>Region VIII (Eastern Visayas)</t>
        </is>
      </c>
      <c r="E881" s="36" t="inlineStr">
        <is>
          <t>Leyte</t>
        </is>
      </c>
      <c r="F881" s="36" t="inlineStr">
        <is>
          <t>Dulag</t>
        </is>
      </c>
      <c r="G881" s="36" t="inlineStr">
        <is>
          <t>San Jose</t>
        </is>
      </c>
      <c r="H881" s="37" t="n">
        <v>10.983626</v>
      </c>
      <c r="I881" s="37" t="n">
        <v>125.038443</v>
      </c>
      <c r="J881" s="8" t="inlineStr">
        <is>
          <t>R</t>
        </is>
      </c>
      <c r="K881" s="36" t="inlineStr">
        <is>
          <t>Class 1-3 / Urban</t>
        </is>
      </c>
      <c r="L881" s="18" t="n">
        <v>4543</v>
      </c>
      <c r="M881" s="20" t="n">
        <v>4.24</v>
      </c>
      <c r="N881" s="18">
        <f>ROUND(L881/M881, 0)</f>
        <v/>
      </c>
      <c r="O881" s="18">
        <f>ROUND(N881*'Methodology &amp; Assumptions'!$B$8, 0)</f>
        <v/>
      </c>
      <c r="P881" s="8" t="inlineStr">
        <is>
          <t>Band n50 (1.5 GHz, 60 MHz)</t>
        </is>
      </c>
      <c r="Q881" s="38">
        <f>ROUNDUP(O881/'Methodology &amp; Assumptions'!$B$9, 0)</f>
        <v/>
      </c>
      <c r="R881" s="39" t="n">
        <v>1</v>
      </c>
      <c r="S881" s="21" t="n">
        <v>13.68</v>
      </c>
      <c r="T881" s="21" t="n">
        <v>0.14</v>
      </c>
      <c r="U881" s="36" t="inlineStr">
        <is>
          <t>Tier 2 (Fiber Corridor / Lateral, 3-5 km)</t>
        </is>
      </c>
      <c r="V881" s="20" t="n">
        <v>25</v>
      </c>
      <c r="W881" s="20" t="n">
        <v>100</v>
      </c>
      <c r="X881" s="20" t="n">
        <v>73</v>
      </c>
      <c r="Y881" s="40">
        <f>ROUND((V881*'Methodology &amp; Assumptions'!$B$6)+(W881*'Methodology &amp; Assumptions'!$B$5)+(X881*'Methodology &amp; Assumptions'!$B$7), 2)</f>
        <v/>
      </c>
    </row>
    <row r="882" ht="19" customHeight="1">
      <c r="A882" s="41" t="n">
        <v>878</v>
      </c>
      <c r="B882" s="41" t="n">
        <v>3878</v>
      </c>
      <c r="C882" s="42" t="inlineStr">
        <is>
          <t>1003512001</t>
        </is>
      </c>
      <c r="D882" s="42" t="inlineStr">
        <is>
          <t>Region X (Northern Mindanao)</t>
        </is>
      </c>
      <c r="E882" s="42" t="inlineStr">
        <is>
          <t>Lanao del Norte</t>
        </is>
      </c>
      <c r="F882" s="42" t="inlineStr">
        <is>
          <t>Maigo</t>
        </is>
      </c>
      <c r="G882" s="42" t="inlineStr">
        <is>
          <t>Balagatasa</t>
        </is>
      </c>
      <c r="H882" s="43" t="n">
        <v>8.15408</v>
      </c>
      <c r="I882" s="43" t="n">
        <v>123.94727</v>
      </c>
      <c r="J882" s="44" t="inlineStr">
        <is>
          <t>R</t>
        </is>
      </c>
      <c r="K882" s="42" t="inlineStr">
        <is>
          <t>3rd</t>
        </is>
      </c>
      <c r="L882" s="23" t="n">
        <v>4542</v>
      </c>
      <c r="M882" s="24" t="n">
        <v>4.31</v>
      </c>
      <c r="N882" s="23">
        <f>ROUND(L882/M882, 0)</f>
        <v/>
      </c>
      <c r="O882" s="23">
        <f>ROUND(N882*'Methodology &amp; Assumptions'!$B$8, 0)</f>
        <v/>
      </c>
      <c r="P882" s="44" t="inlineStr">
        <is>
          <t>Band n50 (1.5 GHz, 60 MHz)</t>
        </is>
      </c>
      <c r="Q882" s="38">
        <f>ROUNDUP(O882/'Methodology &amp; Assumptions'!$B$9, 0)</f>
        <v/>
      </c>
      <c r="R882" s="39" t="n">
        <v>1</v>
      </c>
      <c r="S882" s="25" t="n">
        <v>20.46</v>
      </c>
      <c r="T882" s="25" t="n">
        <v>0.4</v>
      </c>
      <c r="U882" s="42" t="inlineStr">
        <is>
          <t>Tier 2 (Fiber Corridor / Lateral, 3-5 km)</t>
        </is>
      </c>
      <c r="V882" s="24" t="n">
        <v>25</v>
      </c>
      <c r="W882" s="24" t="n">
        <v>100</v>
      </c>
      <c r="X882" s="24" t="n">
        <v>73</v>
      </c>
      <c r="Y882" s="45">
        <f>ROUND((V882*'Methodology &amp; Assumptions'!$B$6)+(W882*'Methodology &amp; Assumptions'!$B$5)+(X882*'Methodology &amp; Assumptions'!$B$7), 2)</f>
        <v/>
      </c>
    </row>
    <row r="883" ht="19" customHeight="1">
      <c r="A883" s="35" t="n">
        <v>879</v>
      </c>
      <c r="B883" s="35" t="n">
        <v>3879</v>
      </c>
      <c r="C883" s="36" t="inlineStr">
        <is>
          <t>0604510015</t>
        </is>
      </c>
      <c r="D883" s="36" t="inlineStr">
        <is>
          <t>Region VI (Western Visayas)</t>
        </is>
      </c>
      <c r="E883" s="36" t="inlineStr">
        <is>
          <t>Negros Occidental</t>
        </is>
      </c>
      <c r="F883" s="36" t="inlineStr">
        <is>
          <t>City of Himamaylan</t>
        </is>
      </c>
      <c r="G883" s="36" t="inlineStr">
        <is>
          <t>To-oy</t>
        </is>
      </c>
      <c r="H883" s="37" t="n">
        <v>10.060963</v>
      </c>
      <c r="I883" s="37" t="n">
        <v>122.84999</v>
      </c>
      <c r="J883" s="8" t="inlineStr">
        <is>
          <t>R</t>
        </is>
      </c>
      <c r="K883" s="36" t="inlineStr">
        <is>
          <t>Class 1-3 / Urban</t>
        </is>
      </c>
      <c r="L883" s="18" t="n">
        <v>4533</v>
      </c>
      <c r="M883" s="20" t="n">
        <v>4.33</v>
      </c>
      <c r="N883" s="18">
        <f>ROUND(L883/M883, 0)</f>
        <v/>
      </c>
      <c r="O883" s="18">
        <f>ROUND(N883*'Methodology &amp; Assumptions'!$B$8, 0)</f>
        <v/>
      </c>
      <c r="P883" s="8" t="inlineStr">
        <is>
          <t>Band n50 (1.5 GHz, 60 MHz)</t>
        </is>
      </c>
      <c r="Q883" s="38">
        <f>ROUNDUP(O883/'Methodology &amp; Assumptions'!$B$9, 0)</f>
        <v/>
      </c>
      <c r="R883" s="39" t="n">
        <v>1</v>
      </c>
      <c r="S883" s="21" t="n">
        <v>8.65</v>
      </c>
      <c r="T883" s="21" t="n">
        <v>0.15</v>
      </c>
      <c r="U883" s="36" t="inlineStr">
        <is>
          <t>Tier 2 (Fiber Corridor / Lateral, 3-5 km)</t>
        </is>
      </c>
      <c r="V883" s="20" t="n">
        <v>25</v>
      </c>
      <c r="W883" s="20" t="n">
        <v>100</v>
      </c>
      <c r="X883" s="20" t="n">
        <v>73</v>
      </c>
      <c r="Y883" s="40">
        <f>ROUND((V883*'Methodology &amp; Assumptions'!$B$6)+(W883*'Methodology &amp; Assumptions'!$B$5)+(X883*'Methodology &amp; Assumptions'!$B$7), 2)</f>
        <v/>
      </c>
    </row>
    <row r="884" ht="19" customHeight="1">
      <c r="A884" s="41" t="n">
        <v>880</v>
      </c>
      <c r="B884" s="41" t="n">
        <v>3880</v>
      </c>
      <c r="C884" s="42" t="inlineStr">
        <is>
          <t>0603008026</t>
        </is>
      </c>
      <c r="D884" s="42" t="inlineStr">
        <is>
          <t>Region VI (Western Visayas)</t>
        </is>
      </c>
      <c r="E884" s="42" t="inlineStr">
        <is>
          <t>Iloilo</t>
        </is>
      </c>
      <c r="F884" s="42" t="inlineStr">
        <is>
          <t>Barotac Viejo</t>
        </is>
      </c>
      <c r="G884" s="42" t="inlineStr">
        <is>
          <t>San Lucas</t>
        </is>
      </c>
      <c r="H884" s="43" t="n">
        <v>11.050297</v>
      </c>
      <c r="I884" s="43" t="n">
        <v>122.846395</v>
      </c>
      <c r="J884" s="44" t="inlineStr">
        <is>
          <t>R</t>
        </is>
      </c>
      <c r="K884" s="42" t="inlineStr">
        <is>
          <t>Class 1-3 / Urban</t>
        </is>
      </c>
      <c r="L884" s="23" t="n">
        <v>4511</v>
      </c>
      <c r="M884" s="24" t="n">
        <v>4.39</v>
      </c>
      <c r="N884" s="23">
        <f>ROUND(L884/M884, 0)</f>
        <v/>
      </c>
      <c r="O884" s="23">
        <f>ROUND(N884*'Methodology &amp; Assumptions'!$B$8, 0)</f>
        <v/>
      </c>
      <c r="P884" s="44" t="inlineStr">
        <is>
          <t>Band n50 (1.5 GHz, 60 MHz)</t>
        </is>
      </c>
      <c r="Q884" s="38">
        <f>ROUNDUP(O884/'Methodology &amp; Assumptions'!$B$9, 0)</f>
        <v/>
      </c>
      <c r="R884" s="39" t="n">
        <v>1</v>
      </c>
      <c r="S884" s="25" t="n">
        <v>6.48</v>
      </c>
      <c r="T884" s="25" t="n">
        <v>0.83</v>
      </c>
      <c r="U884" s="42" t="inlineStr">
        <is>
          <t>Tier 2 (Fiber Corridor / Lateral, 3-5 km)</t>
        </is>
      </c>
      <c r="V884" s="24" t="n">
        <v>25</v>
      </c>
      <c r="W884" s="24" t="n">
        <v>100</v>
      </c>
      <c r="X884" s="24" t="n">
        <v>73</v>
      </c>
      <c r="Y884" s="45">
        <f>ROUND((V884*'Methodology &amp; Assumptions'!$B$6)+(W884*'Methodology &amp; Assumptions'!$B$5)+(X884*'Methodology &amp; Assumptions'!$B$7), 2)</f>
        <v/>
      </c>
    </row>
    <row r="885" ht="19" customHeight="1">
      <c r="A885" s="35" t="n">
        <v>881</v>
      </c>
      <c r="B885" s="35" t="n">
        <v>3881</v>
      </c>
      <c r="C885" s="36" t="inlineStr">
        <is>
          <t>0604516007</t>
        </is>
      </c>
      <c r="D885" s="36" t="inlineStr">
        <is>
          <t>Region VI (Western Visayas)</t>
        </is>
      </c>
      <c r="E885" s="36" t="inlineStr">
        <is>
          <t>Negros Occidental</t>
        </is>
      </c>
      <c r="F885" s="36" t="inlineStr">
        <is>
          <t>City of La Carlota</t>
        </is>
      </c>
      <c r="G885" s="36" t="inlineStr">
        <is>
          <t>Haguimit</t>
        </is>
      </c>
      <c r="H885" s="37" t="n">
        <v>10.39979</v>
      </c>
      <c r="I885" s="37" t="n">
        <v>123.016871</v>
      </c>
      <c r="J885" s="8" t="inlineStr">
        <is>
          <t>R</t>
        </is>
      </c>
      <c r="K885" s="36" t="inlineStr">
        <is>
          <t>Class 1-3 / Urban</t>
        </is>
      </c>
      <c r="L885" s="18" t="n">
        <v>4505</v>
      </c>
      <c r="M885" s="20" t="n">
        <v>4.33</v>
      </c>
      <c r="N885" s="18">
        <f>ROUND(L885/M885, 0)</f>
        <v/>
      </c>
      <c r="O885" s="18">
        <f>ROUND(N885*'Methodology &amp; Assumptions'!$B$8, 0)</f>
        <v/>
      </c>
      <c r="P885" s="8" t="inlineStr">
        <is>
          <t>Band n50 (1.5 GHz, 60 MHz)</t>
        </is>
      </c>
      <c r="Q885" s="38">
        <f>ROUNDUP(O885/'Methodology &amp; Assumptions'!$B$9, 0)</f>
        <v/>
      </c>
      <c r="R885" s="39" t="n">
        <v>1</v>
      </c>
      <c r="S885" s="21" t="n">
        <v>8.83</v>
      </c>
      <c r="T885" s="21" t="n">
        <v>0.25</v>
      </c>
      <c r="U885" s="36" t="inlineStr">
        <is>
          <t>Tier 2 (Fiber Corridor / Lateral, 3-5 km)</t>
        </is>
      </c>
      <c r="V885" s="20" t="n">
        <v>25</v>
      </c>
      <c r="W885" s="20" t="n">
        <v>100</v>
      </c>
      <c r="X885" s="20" t="n">
        <v>73</v>
      </c>
      <c r="Y885" s="40">
        <f>ROUND((V885*'Methodology &amp; Assumptions'!$B$6)+(W885*'Methodology &amp; Assumptions'!$B$5)+(X885*'Methodology &amp; Assumptions'!$B$7), 2)</f>
        <v/>
      </c>
    </row>
    <row r="886" ht="19" customHeight="1">
      <c r="A886" s="41" t="n">
        <v>882</v>
      </c>
      <c r="B886" s="41" t="n">
        <v>3882</v>
      </c>
      <c r="C886" s="42" t="inlineStr">
        <is>
          <t>0604505037</t>
        </is>
      </c>
      <c r="D886" s="42" t="inlineStr">
        <is>
          <t>Region VI (Western Visayas)</t>
        </is>
      </c>
      <c r="E886" s="42" t="inlineStr">
        <is>
          <t>Negros Occidental</t>
        </is>
      </c>
      <c r="F886" s="42" t="inlineStr">
        <is>
          <t>Calatrava</t>
        </is>
      </c>
      <c r="G886" s="42" t="inlineStr">
        <is>
          <t>Suba</t>
        </is>
      </c>
      <c r="H886" s="43" t="n">
        <v>10.596101</v>
      </c>
      <c r="I886" s="43" t="n">
        <v>123.482224</v>
      </c>
      <c r="J886" s="44" t="inlineStr">
        <is>
          <t>R</t>
        </is>
      </c>
      <c r="K886" s="42" t="inlineStr">
        <is>
          <t>Class 1-3 / Urban</t>
        </is>
      </c>
      <c r="L886" s="23" t="n">
        <v>4461</v>
      </c>
      <c r="M886" s="24" t="n">
        <v>4.33</v>
      </c>
      <c r="N886" s="23">
        <f>ROUND(L886/M886, 0)</f>
        <v/>
      </c>
      <c r="O886" s="23">
        <f>ROUND(N886*'Methodology &amp; Assumptions'!$B$8, 0)</f>
        <v/>
      </c>
      <c r="P886" s="44" t="inlineStr">
        <is>
          <t>Band n50 (1.5 GHz, 60 MHz)</t>
        </is>
      </c>
      <c r="Q886" s="38">
        <f>ROUNDUP(O886/'Methodology &amp; Assumptions'!$B$9, 0)</f>
        <v/>
      </c>
      <c r="R886" s="39" t="n">
        <v>1</v>
      </c>
      <c r="S886" s="25" t="n">
        <v>9.119999999999999</v>
      </c>
      <c r="T886" s="25" t="n">
        <v>0.23</v>
      </c>
      <c r="U886" s="42" t="inlineStr">
        <is>
          <t>Tier 2 (Fiber Corridor / Lateral, 3-5 km)</t>
        </is>
      </c>
      <c r="V886" s="24" t="n">
        <v>25</v>
      </c>
      <c r="W886" s="24" t="n">
        <v>100</v>
      </c>
      <c r="X886" s="24" t="n">
        <v>73</v>
      </c>
      <c r="Y886" s="45">
        <f>ROUND((V886*'Methodology &amp; Assumptions'!$B$6)+(W886*'Methodology &amp; Assumptions'!$B$5)+(X886*'Methodology &amp; Assumptions'!$B$7), 2)</f>
        <v/>
      </c>
    </row>
    <row r="887" ht="19" customHeight="1">
      <c r="A887" s="35" t="n">
        <v>883</v>
      </c>
      <c r="B887" s="35" t="n">
        <v>3883</v>
      </c>
      <c r="C887" s="36" t="inlineStr">
        <is>
          <t>0603001009</t>
        </is>
      </c>
      <c r="D887" s="36" t="inlineStr">
        <is>
          <t>Region VI (Western Visayas)</t>
        </is>
      </c>
      <c r="E887" s="36" t="inlineStr">
        <is>
          <t>Iloilo</t>
        </is>
      </c>
      <c r="F887" s="36" t="inlineStr">
        <is>
          <t>Ajuy</t>
        </is>
      </c>
      <c r="G887" s="36" t="inlineStr">
        <is>
          <t>Culasi</t>
        </is>
      </c>
      <c r="H887" s="37" t="n">
        <v>11.074424</v>
      </c>
      <c r="I887" s="37" t="n">
        <v>122.980033</v>
      </c>
      <c r="J887" s="8" t="inlineStr">
        <is>
          <t>R</t>
        </is>
      </c>
      <c r="K887" s="36" t="inlineStr">
        <is>
          <t>Class 1-3 / Urban</t>
        </is>
      </c>
      <c r="L887" s="18" t="n">
        <v>4400</v>
      </c>
      <c r="M887" s="20" t="n">
        <v>4.39</v>
      </c>
      <c r="N887" s="18">
        <f>ROUND(L887/M887, 0)</f>
        <v/>
      </c>
      <c r="O887" s="18">
        <f>ROUND(N887*'Methodology &amp; Assumptions'!$B$8, 0)</f>
        <v/>
      </c>
      <c r="P887" s="8" t="inlineStr">
        <is>
          <t>Band n50 (1.5 GHz, 60 MHz)</t>
        </is>
      </c>
      <c r="Q887" s="38">
        <f>ROUNDUP(O887/'Methodology &amp; Assumptions'!$B$9, 0)</f>
        <v/>
      </c>
      <c r="R887" s="39" t="n">
        <v>1</v>
      </c>
      <c r="S887" s="21" t="n">
        <v>17.73</v>
      </c>
      <c r="T887" s="21" t="n">
        <v>0.08</v>
      </c>
      <c r="U887" s="36" t="inlineStr">
        <is>
          <t>Tier 2 (Fiber Corridor / Lateral, 3-5 km)</t>
        </is>
      </c>
      <c r="V887" s="20" t="n">
        <v>25</v>
      </c>
      <c r="W887" s="20" t="n">
        <v>100</v>
      </c>
      <c r="X887" s="20" t="n">
        <v>73</v>
      </c>
      <c r="Y887" s="40">
        <f>ROUND((V887*'Methodology &amp; Assumptions'!$B$6)+(W887*'Methodology &amp; Assumptions'!$B$5)+(X887*'Methodology &amp; Assumptions'!$B$7), 2)</f>
        <v/>
      </c>
    </row>
    <row r="888" ht="19" customHeight="1">
      <c r="A888" s="41" t="n">
        <v>884</v>
      </c>
      <c r="B888" s="41" t="n">
        <v>3884</v>
      </c>
      <c r="C888" s="42" t="inlineStr">
        <is>
          <t>0205002004</t>
        </is>
      </c>
      <c r="D888" s="42" t="inlineStr">
        <is>
          <t>Region II (Cagayan Valley)</t>
        </is>
      </c>
      <c r="E888" s="42" t="inlineStr">
        <is>
          <t>Nueva Vizcaya</t>
        </is>
      </c>
      <c r="F888" s="42" t="inlineStr">
        <is>
          <t>Aritao</t>
        </is>
      </c>
      <c r="G888" s="42" t="inlineStr">
        <is>
          <t>Bone South</t>
        </is>
      </c>
      <c r="H888" s="43" t="n">
        <v>16.246351</v>
      </c>
      <c r="I888" s="43" t="n">
        <v>120.998628</v>
      </c>
      <c r="J888" s="44" t="inlineStr">
        <is>
          <t>R</t>
        </is>
      </c>
      <c r="K888" s="42" t="inlineStr">
        <is>
          <t>Class 1-3 / Urban</t>
        </is>
      </c>
      <c r="L888" s="23" t="n">
        <v>4390</v>
      </c>
      <c r="M888" s="24" t="n">
        <v>4.19</v>
      </c>
      <c r="N888" s="23">
        <f>ROUND(L888/M888, 0)</f>
        <v/>
      </c>
      <c r="O888" s="23">
        <f>ROUND(N888*'Methodology &amp; Assumptions'!$B$8, 0)</f>
        <v/>
      </c>
      <c r="P888" s="44" t="inlineStr">
        <is>
          <t>Band n50 (1.5 GHz, 60 MHz)</t>
        </is>
      </c>
      <c r="Q888" s="38">
        <f>ROUNDUP(O888/'Methodology &amp; Assumptions'!$B$9, 0)</f>
        <v/>
      </c>
      <c r="R888" s="39" t="n">
        <v>1</v>
      </c>
      <c r="S888" s="25" t="n">
        <v>8.470000000000001</v>
      </c>
      <c r="T888" s="25" t="n">
        <v>0.05</v>
      </c>
      <c r="U888" s="42" t="inlineStr">
        <is>
          <t>Tier 2 (Fiber Corridor / Lateral, 3-5 km)</t>
        </is>
      </c>
      <c r="V888" s="24" t="n">
        <v>25</v>
      </c>
      <c r="W888" s="24" t="n">
        <v>100</v>
      </c>
      <c r="X888" s="24" t="n">
        <v>73</v>
      </c>
      <c r="Y888" s="45">
        <f>ROUND((V888*'Methodology &amp; Assumptions'!$B$6)+(W888*'Methodology &amp; Assumptions'!$B$5)+(X888*'Methodology &amp; Assumptions'!$B$7), 2)</f>
        <v/>
      </c>
    </row>
    <row r="889" ht="19" customHeight="1">
      <c r="A889" s="35" t="n">
        <v>885</v>
      </c>
      <c r="B889" s="35" t="n">
        <v>3885</v>
      </c>
      <c r="C889" s="36" t="inlineStr">
        <is>
          <t>0205002011</t>
        </is>
      </c>
      <c r="D889" s="36" t="inlineStr">
        <is>
          <t>Region II (Cagayan Valley)</t>
        </is>
      </c>
      <c r="E889" s="36" t="inlineStr">
        <is>
          <t>Nueva Vizcaya</t>
        </is>
      </c>
      <c r="F889" s="36" t="inlineStr">
        <is>
          <t>Aritao</t>
        </is>
      </c>
      <c r="G889" s="36" t="inlineStr">
        <is>
          <t>Poblacion</t>
        </is>
      </c>
      <c r="H889" s="37" t="n">
        <v>16.296476</v>
      </c>
      <c r="I889" s="37" t="n">
        <v>121.03624</v>
      </c>
      <c r="J889" s="8" t="inlineStr">
        <is>
          <t>R</t>
        </is>
      </c>
      <c r="K889" s="36" t="inlineStr">
        <is>
          <t>Class 1-3 / Urban</t>
        </is>
      </c>
      <c r="L889" s="18" t="n">
        <v>4354</v>
      </c>
      <c r="M889" s="20" t="n">
        <v>4.19</v>
      </c>
      <c r="N889" s="18">
        <f>ROUND(L889/M889, 0)</f>
        <v/>
      </c>
      <c r="O889" s="18">
        <f>ROUND(N889*'Methodology &amp; Assumptions'!$B$8, 0)</f>
        <v/>
      </c>
      <c r="P889" s="8" t="inlineStr">
        <is>
          <t>Band n50 (1.5 GHz, 60 MHz)</t>
        </is>
      </c>
      <c r="Q889" s="38">
        <f>ROUNDUP(O889/'Methodology &amp; Assumptions'!$B$9, 0)</f>
        <v/>
      </c>
      <c r="R889" s="39" t="n">
        <v>1</v>
      </c>
      <c r="S889" s="21" t="n">
        <v>7.33</v>
      </c>
      <c r="T889" s="21" t="n">
        <v>0.24</v>
      </c>
      <c r="U889" s="36" t="inlineStr">
        <is>
          <t>Tier 2 (Fiber Corridor / Lateral, 3-5 km)</t>
        </is>
      </c>
      <c r="V889" s="20" t="n">
        <v>25</v>
      </c>
      <c r="W889" s="20" t="n">
        <v>100</v>
      </c>
      <c r="X889" s="20" t="n">
        <v>73</v>
      </c>
      <c r="Y889" s="40">
        <f>ROUND((V889*'Methodology &amp; Assumptions'!$B$6)+(W889*'Methodology &amp; Assumptions'!$B$5)+(X889*'Methodology &amp; Assumptions'!$B$7), 2)</f>
        <v/>
      </c>
    </row>
    <row r="890" ht="19" customHeight="1">
      <c r="A890" s="41" t="n">
        <v>886</v>
      </c>
      <c r="B890" s="41" t="n">
        <v>3886</v>
      </c>
      <c r="C890" s="42" t="inlineStr">
        <is>
          <t>0704621018</t>
        </is>
      </c>
      <c r="D890" s="42" t="inlineStr">
        <is>
          <t>Region VII (Central Visayas)</t>
        </is>
      </c>
      <c r="E890" s="42" t="inlineStr">
        <is>
          <t>Negros Oriental</t>
        </is>
      </c>
      <c r="F890" s="42" t="inlineStr">
        <is>
          <t>City of Tanjay</t>
        </is>
      </c>
      <c r="G890" s="42" t="inlineStr">
        <is>
          <t>San Isidro</t>
        </is>
      </c>
      <c r="H890" s="43" t="n">
        <v>9.5289</v>
      </c>
      <c r="I890" s="43" t="n">
        <v>123.1535</v>
      </c>
      <c r="J890" s="44" t="inlineStr">
        <is>
          <t>R</t>
        </is>
      </c>
      <c r="K890" s="42" t="inlineStr">
        <is>
          <t>Class 1-3 / Urban</t>
        </is>
      </c>
      <c r="L890" s="23" t="n">
        <v>4325</v>
      </c>
      <c r="M890" s="24" t="n">
        <v>4.33</v>
      </c>
      <c r="N890" s="23">
        <f>ROUND(L890/M890, 0)</f>
        <v/>
      </c>
      <c r="O890" s="23">
        <f>ROUND(N890*'Methodology &amp; Assumptions'!$B$8, 0)</f>
        <v/>
      </c>
      <c r="P890" s="44" t="inlineStr">
        <is>
          <t>Band n50 (1.5 GHz, 60 MHz)</t>
        </is>
      </c>
      <c r="Q890" s="38">
        <f>ROUNDUP(O890/'Methodology &amp; Assumptions'!$B$9, 0)</f>
        <v/>
      </c>
      <c r="R890" s="39" t="n">
        <v>1</v>
      </c>
      <c r="S890" s="25" t="n">
        <v>7.58</v>
      </c>
      <c r="T890" s="25" t="n">
        <v>1.58</v>
      </c>
      <c r="U890" s="42" t="inlineStr">
        <is>
          <t>Tier 2 (Fiber Corridor / Lateral, 3-5 km)</t>
        </is>
      </c>
      <c r="V890" s="24" t="n">
        <v>25</v>
      </c>
      <c r="W890" s="24" t="n">
        <v>100</v>
      </c>
      <c r="X890" s="24" t="n">
        <v>73</v>
      </c>
      <c r="Y890" s="45">
        <f>ROUND((V890*'Methodology &amp; Assumptions'!$B$6)+(W890*'Methodology &amp; Assumptions'!$B$5)+(X890*'Methodology &amp; Assumptions'!$B$7), 2)</f>
        <v/>
      </c>
    </row>
    <row r="891" ht="19" customHeight="1">
      <c r="A891" s="35" t="n">
        <v>887</v>
      </c>
      <c r="B891" s="35" t="n">
        <v>3887</v>
      </c>
      <c r="C891" s="36" t="inlineStr">
        <is>
          <t>0702252017</t>
        </is>
      </c>
      <c r="D891" s="36" t="inlineStr">
        <is>
          <t>Region VII (Central Visayas)</t>
        </is>
      </c>
      <c r="E891" s="36" t="inlineStr">
        <is>
          <t>Cebu</t>
        </is>
      </c>
      <c r="F891" s="36" t="inlineStr">
        <is>
          <t>Tuburan</t>
        </is>
      </c>
      <c r="G891" s="36" t="inlineStr">
        <is>
          <t>Cogon</t>
        </is>
      </c>
      <c r="H891" s="37" t="n">
        <v>10.71494</v>
      </c>
      <c r="I891" s="37" t="n">
        <v>123.82783</v>
      </c>
      <c r="J891" s="8" t="inlineStr">
        <is>
          <t>R</t>
        </is>
      </c>
      <c r="K891" s="36" t="inlineStr">
        <is>
          <t>Class 1-3 / Urban</t>
        </is>
      </c>
      <c r="L891" s="18" t="n">
        <v>4296</v>
      </c>
      <c r="M891" s="20" t="n">
        <v>4.42</v>
      </c>
      <c r="N891" s="18">
        <f>ROUND(L891/M891, 0)</f>
        <v/>
      </c>
      <c r="O891" s="18">
        <f>ROUND(N891*'Methodology &amp; Assumptions'!$B$8, 0)</f>
        <v/>
      </c>
      <c r="P891" s="8" t="inlineStr">
        <is>
          <t>Band n50 (1.5 GHz, 60 MHz)</t>
        </is>
      </c>
      <c r="Q891" s="38">
        <f>ROUNDUP(O891/'Methodology &amp; Assumptions'!$B$9, 0)</f>
        <v/>
      </c>
      <c r="R891" s="39" t="n">
        <v>1</v>
      </c>
      <c r="S891" s="21" t="n">
        <v>19.7</v>
      </c>
      <c r="T891" s="21" t="n">
        <v>1.1</v>
      </c>
      <c r="U891" s="36" t="inlineStr">
        <is>
          <t>Tier 2 (Fiber Corridor / Lateral, 3-5 km)</t>
        </is>
      </c>
      <c r="V891" s="20" t="n">
        <v>25</v>
      </c>
      <c r="W891" s="20" t="n">
        <v>100</v>
      </c>
      <c r="X891" s="20" t="n">
        <v>73</v>
      </c>
      <c r="Y891" s="40">
        <f>ROUND((V891*'Methodology &amp; Assumptions'!$B$6)+(W891*'Methodology &amp; Assumptions'!$B$5)+(X891*'Methodology &amp; Assumptions'!$B$7), 2)</f>
        <v/>
      </c>
    </row>
    <row r="892" ht="19" customHeight="1">
      <c r="A892" s="41" t="n">
        <v>888</v>
      </c>
      <c r="B892" s="41" t="n">
        <v>3888</v>
      </c>
      <c r="C892" s="42" t="inlineStr">
        <is>
          <t>0702207020</t>
        </is>
      </c>
      <c r="D892" s="42" t="inlineStr">
        <is>
          <t>Region VII (Central Visayas)</t>
        </is>
      </c>
      <c r="E892" s="42" t="inlineStr">
        <is>
          <t>Cebu</t>
        </is>
      </c>
      <c r="F892" s="42" t="inlineStr">
        <is>
          <t>Badian</t>
        </is>
      </c>
      <c r="G892" s="42" t="inlineStr">
        <is>
          <t>Poblacion</t>
        </is>
      </c>
      <c r="H892" s="43" t="n">
        <v>9.870512</v>
      </c>
      <c r="I892" s="43" t="n">
        <v>123.398377</v>
      </c>
      <c r="J892" s="44" t="inlineStr">
        <is>
          <t>R</t>
        </is>
      </c>
      <c r="K892" s="42" t="inlineStr">
        <is>
          <t>Class 1-3 / Urban</t>
        </is>
      </c>
      <c r="L892" s="23" t="n">
        <v>4291</v>
      </c>
      <c r="M892" s="24" t="n">
        <v>4.42</v>
      </c>
      <c r="N892" s="23">
        <f>ROUND(L892/M892, 0)</f>
        <v/>
      </c>
      <c r="O892" s="23">
        <f>ROUND(N892*'Methodology &amp; Assumptions'!$B$8, 0)</f>
        <v/>
      </c>
      <c r="P892" s="44" t="inlineStr">
        <is>
          <t>Band n50 (1.5 GHz, 60 MHz)</t>
        </is>
      </c>
      <c r="Q892" s="38">
        <f>ROUNDUP(O892/'Methodology &amp; Assumptions'!$B$9, 0)</f>
        <v/>
      </c>
      <c r="R892" s="39" t="n">
        <v>1</v>
      </c>
      <c r="S892" s="25" t="n">
        <v>7.59</v>
      </c>
      <c r="T892" s="25" t="n">
        <v>0.33</v>
      </c>
      <c r="U892" s="42" t="inlineStr">
        <is>
          <t>Tier 2 (Fiber Corridor / Lateral, 3-5 km)</t>
        </is>
      </c>
      <c r="V892" s="24" t="n">
        <v>25</v>
      </c>
      <c r="W892" s="24" t="n">
        <v>100</v>
      </c>
      <c r="X892" s="24" t="n">
        <v>73</v>
      </c>
      <c r="Y892" s="45">
        <f>ROUND((V892*'Methodology &amp; Assumptions'!$B$6)+(W892*'Methodology &amp; Assumptions'!$B$5)+(X892*'Methodology &amp; Assumptions'!$B$7), 2)</f>
        <v/>
      </c>
    </row>
    <row r="893" ht="19" customHeight="1">
      <c r="A893" s="35" t="n">
        <v>889</v>
      </c>
      <c r="B893" s="35" t="n">
        <v>3889</v>
      </c>
      <c r="C893" s="36" t="inlineStr">
        <is>
          <t>0604504021</t>
        </is>
      </c>
      <c r="D893" s="36" t="inlineStr">
        <is>
          <t>Region VI (Western Visayas)</t>
        </is>
      </c>
      <c r="E893" s="36" t="inlineStr">
        <is>
          <t>Negros Occidental</t>
        </is>
      </c>
      <c r="F893" s="36" t="inlineStr">
        <is>
          <t>City of Cadiz</t>
        </is>
      </c>
      <c r="G893" s="36" t="inlineStr">
        <is>
          <t>Sicaba</t>
        </is>
      </c>
      <c r="H893" s="37" t="n">
        <v>10.991403</v>
      </c>
      <c r="I893" s="37" t="n">
        <v>123.242504</v>
      </c>
      <c r="J893" s="8" t="inlineStr">
        <is>
          <t>R</t>
        </is>
      </c>
      <c r="K893" s="36" t="inlineStr">
        <is>
          <t>Class 1-3 / Urban</t>
        </is>
      </c>
      <c r="L893" s="18" t="n">
        <v>4262</v>
      </c>
      <c r="M893" s="20" t="n">
        <v>4.33</v>
      </c>
      <c r="N893" s="18">
        <f>ROUND(L893/M893, 0)</f>
        <v/>
      </c>
      <c r="O893" s="18">
        <f>ROUND(N893*'Methodology &amp; Assumptions'!$B$8, 0)</f>
        <v/>
      </c>
      <c r="P893" s="8" t="inlineStr">
        <is>
          <t>Band n50 (1.5 GHz, 60 MHz)</t>
        </is>
      </c>
      <c r="Q893" s="38">
        <f>ROUNDUP(O893/'Methodology &amp; Assumptions'!$B$9, 0)</f>
        <v/>
      </c>
      <c r="R893" s="39" t="n">
        <v>1</v>
      </c>
      <c r="S893" s="21" t="n">
        <v>13.2</v>
      </c>
      <c r="T893" s="21" t="n">
        <v>1.64</v>
      </c>
      <c r="U893" s="36" t="inlineStr">
        <is>
          <t>Tier 2 (Fiber Corridor / Lateral, 3-5 km)</t>
        </is>
      </c>
      <c r="V893" s="20" t="n">
        <v>25</v>
      </c>
      <c r="W893" s="20" t="n">
        <v>100</v>
      </c>
      <c r="X893" s="20" t="n">
        <v>73</v>
      </c>
      <c r="Y893" s="40">
        <f>ROUND((V893*'Methodology &amp; Assumptions'!$B$6)+(W893*'Methodology &amp; Assumptions'!$B$5)+(X893*'Methodology &amp; Assumptions'!$B$7), 2)</f>
        <v/>
      </c>
    </row>
    <row r="894" ht="19" customHeight="1">
      <c r="A894" s="41" t="n">
        <v>890</v>
      </c>
      <c r="B894" s="41" t="n">
        <v>3890</v>
      </c>
      <c r="C894" s="42" t="inlineStr">
        <is>
          <t>0203109022</t>
        </is>
      </c>
      <c r="D894" s="42" t="inlineStr">
        <is>
          <t>Region II (Cagayan Valley)</t>
        </is>
      </c>
      <c r="E894" s="42" t="inlineStr">
        <is>
          <t>Isabela</t>
        </is>
      </c>
      <c r="F894" s="42" t="inlineStr">
        <is>
          <t>Cordon</t>
        </is>
      </c>
      <c r="G894" s="42" t="inlineStr">
        <is>
          <t>Turod Sur</t>
        </is>
      </c>
      <c r="H894" s="43" t="n">
        <v>16.665088</v>
      </c>
      <c r="I894" s="43" t="n">
        <v>121.473469</v>
      </c>
      <c r="J894" s="44" t="inlineStr">
        <is>
          <t>R</t>
        </is>
      </c>
      <c r="K894" s="42" t="inlineStr">
        <is>
          <t>Class 1-3 / Urban</t>
        </is>
      </c>
      <c r="L894" s="23" t="n">
        <v>4243</v>
      </c>
      <c r="M894" s="24" t="n">
        <v>4.3</v>
      </c>
      <c r="N894" s="23">
        <f>ROUND(L894/M894, 0)</f>
        <v/>
      </c>
      <c r="O894" s="23">
        <f>ROUND(N894*'Methodology &amp; Assumptions'!$B$8, 0)</f>
        <v/>
      </c>
      <c r="P894" s="44" t="inlineStr">
        <is>
          <t>Band n50 (1.5 GHz, 60 MHz)</t>
        </is>
      </c>
      <c r="Q894" s="38">
        <f>ROUNDUP(O894/'Methodology &amp; Assumptions'!$B$9, 0)</f>
        <v/>
      </c>
      <c r="R894" s="39" t="n">
        <v>1</v>
      </c>
      <c r="S894" s="25" t="n">
        <v>6.5</v>
      </c>
      <c r="T894" s="25" t="n">
        <v>1.25</v>
      </c>
      <c r="U894" s="42" t="inlineStr">
        <is>
          <t>Tier 2 (Fiber Corridor / Lateral, 3-5 km)</t>
        </is>
      </c>
      <c r="V894" s="24" t="n">
        <v>25</v>
      </c>
      <c r="W894" s="24" t="n">
        <v>100</v>
      </c>
      <c r="X894" s="24" t="n">
        <v>73</v>
      </c>
      <c r="Y894" s="45">
        <f>ROUND((V894*'Methodology &amp; Assumptions'!$B$6)+(W894*'Methodology &amp; Assumptions'!$B$5)+(X894*'Methodology &amp; Assumptions'!$B$7), 2)</f>
        <v/>
      </c>
    </row>
    <row r="895" ht="19" customHeight="1">
      <c r="A895" s="35" t="n">
        <v>891</v>
      </c>
      <c r="B895" s="35" t="n">
        <v>3891</v>
      </c>
      <c r="C895" s="36" t="inlineStr">
        <is>
          <t>0307112009</t>
        </is>
      </c>
      <c r="D895" s="36" t="inlineStr">
        <is>
          <t>Region III (Central Luzon)</t>
        </is>
      </c>
      <c r="E895" s="36" t="inlineStr">
        <is>
          <t>Zambales</t>
        </is>
      </c>
      <c r="F895" s="36" t="inlineStr">
        <is>
          <t>San Narciso</t>
        </is>
      </c>
      <c r="G895" s="36" t="inlineStr">
        <is>
          <t>Natividad</t>
        </is>
      </c>
      <c r="H895" s="37" t="n">
        <v>15.006519</v>
      </c>
      <c r="I895" s="37" t="n">
        <v>120.074169</v>
      </c>
      <c r="J895" s="8" t="inlineStr">
        <is>
          <t>R</t>
        </is>
      </c>
      <c r="K895" s="36" t="inlineStr">
        <is>
          <t>3rd</t>
        </is>
      </c>
      <c r="L895" s="18" t="n">
        <v>4237</v>
      </c>
      <c r="M895" s="20" t="n">
        <v>3.91</v>
      </c>
      <c r="N895" s="18">
        <f>ROUND(L895/M895, 0)</f>
        <v/>
      </c>
      <c r="O895" s="18">
        <f>ROUND(N895*'Methodology &amp; Assumptions'!$B$8, 0)</f>
        <v/>
      </c>
      <c r="P895" s="8" t="inlineStr">
        <is>
          <t>Band n50 (1.5 GHz, 60 MHz)</t>
        </is>
      </c>
      <c r="Q895" s="38">
        <f>ROUNDUP(O895/'Methodology &amp; Assumptions'!$B$9, 0)</f>
        <v/>
      </c>
      <c r="R895" s="39" t="n">
        <v>1</v>
      </c>
      <c r="S895" s="21" t="n">
        <v>5.93</v>
      </c>
      <c r="T895" s="21" t="n">
        <v>0.7</v>
      </c>
      <c r="U895" s="36" t="inlineStr">
        <is>
          <t>Tier 2 (Fiber Corridor / Lateral, 3-5 km)</t>
        </is>
      </c>
      <c r="V895" s="20" t="n">
        <v>25</v>
      </c>
      <c r="W895" s="20" t="n">
        <v>100</v>
      </c>
      <c r="X895" s="20" t="n">
        <v>73</v>
      </c>
      <c r="Y895" s="40">
        <f>ROUND((V895*'Methodology &amp; Assumptions'!$B$6)+(W895*'Methodology &amp; Assumptions'!$B$5)+(X895*'Methodology &amp; Assumptions'!$B$7), 2)</f>
        <v/>
      </c>
    </row>
    <row r="896" ht="19" customHeight="1">
      <c r="A896" s="41" t="n">
        <v>892</v>
      </c>
      <c r="B896" s="41" t="n">
        <v>3892</v>
      </c>
      <c r="C896" s="42" t="inlineStr">
        <is>
          <t>1108209014</t>
        </is>
      </c>
      <c r="D896" s="42" t="inlineStr">
        <is>
          <t>Region XI (Davao Region)</t>
        </is>
      </c>
      <c r="E896" s="42" t="inlineStr">
        <is>
          <t>Davao de Oro</t>
        </is>
      </c>
      <c r="F896" s="42" t="inlineStr">
        <is>
          <t>Nabunturan</t>
        </is>
      </c>
      <c r="G896" s="42" t="inlineStr">
        <is>
          <t>Mipangi</t>
        </is>
      </c>
      <c r="H896" s="43" t="n">
        <v>7.541229</v>
      </c>
      <c r="I896" s="43" t="n">
        <v>125.921791</v>
      </c>
      <c r="J896" s="44" t="inlineStr">
        <is>
          <t>R</t>
        </is>
      </c>
      <c r="K896" s="42" t="inlineStr">
        <is>
          <t>Class 1-3 / Urban</t>
        </is>
      </c>
      <c r="L896" s="23" t="n">
        <v>4201</v>
      </c>
      <c r="M896" s="24" t="n">
        <v>4.1</v>
      </c>
      <c r="N896" s="23">
        <f>ROUND(L896/M896, 0)</f>
        <v/>
      </c>
      <c r="O896" s="23">
        <f>ROUND(N896*'Methodology &amp; Assumptions'!$B$8, 0)</f>
        <v/>
      </c>
      <c r="P896" s="44" t="inlineStr">
        <is>
          <t>Band n50 (1.5 GHz, 60 MHz)</t>
        </is>
      </c>
      <c r="Q896" s="38">
        <f>ROUNDUP(O896/'Methodology &amp; Assumptions'!$B$9, 0)</f>
        <v/>
      </c>
      <c r="R896" s="39" t="n">
        <v>1</v>
      </c>
      <c r="S896" s="25" t="n">
        <v>14.33</v>
      </c>
      <c r="T896" s="25" t="n">
        <v>0.2</v>
      </c>
      <c r="U896" s="42" t="inlineStr">
        <is>
          <t>Tier 2 (Fiber Corridor / Lateral, 3-5 km)</t>
        </is>
      </c>
      <c r="V896" s="24" t="n">
        <v>25</v>
      </c>
      <c r="W896" s="24" t="n">
        <v>100</v>
      </c>
      <c r="X896" s="24" t="n">
        <v>73</v>
      </c>
      <c r="Y896" s="45">
        <f>ROUND((V896*'Methodology &amp; Assumptions'!$B$6)+(W896*'Methodology &amp; Assumptions'!$B$5)+(X896*'Methodology &amp; Assumptions'!$B$7), 2)</f>
        <v/>
      </c>
    </row>
    <row r="897" ht="19" customHeight="1">
      <c r="A897" s="35" t="n">
        <v>893</v>
      </c>
      <c r="B897" s="35" t="n">
        <v>3893</v>
      </c>
      <c r="C897" s="36" t="inlineStr">
        <is>
          <t>0704618001</t>
        </is>
      </c>
      <c r="D897" s="36" t="inlineStr">
        <is>
          <t>Region VII (Central Visayas)</t>
        </is>
      </c>
      <c r="E897" s="36" t="inlineStr">
        <is>
          <t>Negros Oriental</t>
        </is>
      </c>
      <c r="F897" s="36" t="inlineStr">
        <is>
          <t>Santa Catalina</t>
        </is>
      </c>
      <c r="G897" s="36" t="inlineStr">
        <is>
          <t>Alangilan</t>
        </is>
      </c>
      <c r="H897" s="37" t="n">
        <v>9.275119</v>
      </c>
      <c r="I897" s="37" t="n">
        <v>122.8785</v>
      </c>
      <c r="J897" s="8" t="inlineStr">
        <is>
          <t>R</t>
        </is>
      </c>
      <c r="K897" s="36" t="inlineStr">
        <is>
          <t>Class 1-3 / Urban</t>
        </is>
      </c>
      <c r="L897" s="18" t="n">
        <v>4197</v>
      </c>
      <c r="M897" s="20" t="n">
        <v>4.33</v>
      </c>
      <c r="N897" s="18">
        <f>ROUND(L897/M897, 0)</f>
        <v/>
      </c>
      <c r="O897" s="18">
        <f>ROUND(N897*'Methodology &amp; Assumptions'!$B$8, 0)</f>
        <v/>
      </c>
      <c r="P897" s="8" t="inlineStr">
        <is>
          <t>Band n50 (1.5 GHz, 60 MHz)</t>
        </is>
      </c>
      <c r="Q897" s="38">
        <f>ROUNDUP(O897/'Methodology &amp; Assumptions'!$B$9, 0)</f>
        <v/>
      </c>
      <c r="R897" s="39" t="n">
        <v>1</v>
      </c>
      <c r="S897" s="21" t="n">
        <v>12.17</v>
      </c>
      <c r="T897" s="21" t="n">
        <v>0.37</v>
      </c>
      <c r="U897" s="36" t="inlineStr">
        <is>
          <t>Tier 2 (Fiber Corridor / Lateral, 3-5 km)</t>
        </is>
      </c>
      <c r="V897" s="20" t="n">
        <v>25</v>
      </c>
      <c r="W897" s="20" t="n">
        <v>100</v>
      </c>
      <c r="X897" s="20" t="n">
        <v>73</v>
      </c>
      <c r="Y897" s="40">
        <f>ROUND((V897*'Methodology &amp; Assumptions'!$B$6)+(W897*'Methodology &amp; Assumptions'!$B$5)+(X897*'Methodology &amp; Assumptions'!$B$7), 2)</f>
        <v/>
      </c>
    </row>
    <row r="898" ht="19" customHeight="1">
      <c r="A898" s="41" t="n">
        <v>894</v>
      </c>
      <c r="B898" s="41" t="n">
        <v>3894</v>
      </c>
      <c r="C898" s="42" t="inlineStr">
        <is>
          <t>1206315001</t>
        </is>
      </c>
      <c r="D898" s="42" t="inlineStr">
        <is>
          <t>Region XII (SOCCSKSARGEN)</t>
        </is>
      </c>
      <c r="E898" s="42" t="inlineStr">
        <is>
          <t>South Cotabato</t>
        </is>
      </c>
      <c r="F898" s="42" t="inlineStr">
        <is>
          <t>Tantangan</t>
        </is>
      </c>
      <c r="G898" s="42" t="inlineStr">
        <is>
          <t>Bukay Pait</t>
        </is>
      </c>
      <c r="H898" s="43" t="n">
        <v>6.561817</v>
      </c>
      <c r="I898" s="43" t="n">
        <v>124.76682</v>
      </c>
      <c r="J898" s="44" t="inlineStr">
        <is>
          <t>R</t>
        </is>
      </c>
      <c r="K898" s="42" t="inlineStr">
        <is>
          <t>Class 1-3 / Urban</t>
        </is>
      </c>
      <c r="L898" s="23" t="n">
        <v>4186</v>
      </c>
      <c r="M898" s="24" t="n">
        <v>4.1</v>
      </c>
      <c r="N898" s="23">
        <f>ROUND(L898/M898, 0)</f>
        <v/>
      </c>
      <c r="O898" s="23">
        <f>ROUND(N898*'Methodology &amp; Assumptions'!$B$8, 0)</f>
        <v/>
      </c>
      <c r="P898" s="44" t="inlineStr">
        <is>
          <t>Band n50 (1.5 GHz, 60 MHz)</t>
        </is>
      </c>
      <c r="Q898" s="38">
        <f>ROUNDUP(O898/'Methodology &amp; Assumptions'!$B$9, 0)</f>
        <v/>
      </c>
      <c r="R898" s="39" t="n">
        <v>1</v>
      </c>
      <c r="S898" s="25" t="n">
        <v>17.55</v>
      </c>
      <c r="T898" s="25" t="n">
        <v>0.77</v>
      </c>
      <c r="U898" s="42" t="inlineStr">
        <is>
          <t>Tier 2 (Fiber Corridor / Lateral, 3-5 km)</t>
        </is>
      </c>
      <c r="V898" s="24" t="n">
        <v>25</v>
      </c>
      <c r="W898" s="24" t="n">
        <v>100</v>
      </c>
      <c r="X898" s="24" t="n">
        <v>73</v>
      </c>
      <c r="Y898" s="45">
        <f>ROUND((V898*'Methodology &amp; Assumptions'!$B$6)+(W898*'Methodology &amp; Assumptions'!$B$5)+(X898*'Methodology &amp; Assumptions'!$B$7), 2)</f>
        <v/>
      </c>
    </row>
    <row r="899" ht="19" customHeight="1">
      <c r="A899" s="35" t="n">
        <v>895</v>
      </c>
      <c r="B899" s="35" t="n">
        <v>3895</v>
      </c>
      <c r="C899" s="36" t="inlineStr">
        <is>
          <t>1108208011</t>
        </is>
      </c>
      <c r="D899" s="36" t="inlineStr">
        <is>
          <t>Region XI (Davao Region)</t>
        </is>
      </c>
      <c r="E899" s="36" t="inlineStr">
        <is>
          <t>Davao de Oro</t>
        </is>
      </c>
      <c r="F899" s="36" t="inlineStr">
        <is>
          <t>Montevista</t>
        </is>
      </c>
      <c r="G899" s="36" t="inlineStr">
        <is>
          <t>Linoan</t>
        </is>
      </c>
      <c r="H899" s="37" t="n">
        <v>7.70027</v>
      </c>
      <c r="I899" s="37" t="n">
        <v>125.98347</v>
      </c>
      <c r="J899" s="8" t="inlineStr">
        <is>
          <t>R</t>
        </is>
      </c>
      <c r="K899" s="36" t="inlineStr">
        <is>
          <t>Class 1-3 / Urban</t>
        </is>
      </c>
      <c r="L899" s="18" t="n">
        <v>4184</v>
      </c>
      <c r="M899" s="20" t="n">
        <v>4.1</v>
      </c>
      <c r="N899" s="18">
        <f>ROUND(L899/M899, 0)</f>
        <v/>
      </c>
      <c r="O899" s="18">
        <f>ROUND(N899*'Methodology &amp; Assumptions'!$B$8, 0)</f>
        <v/>
      </c>
      <c r="P899" s="8" t="inlineStr">
        <is>
          <t>Band n50 (1.5 GHz, 60 MHz)</t>
        </is>
      </c>
      <c r="Q899" s="38">
        <f>ROUNDUP(O899/'Methodology &amp; Assumptions'!$B$9, 0)</f>
        <v/>
      </c>
      <c r="R899" s="39" t="n">
        <v>1</v>
      </c>
      <c r="S899" s="21" t="n">
        <v>16.24</v>
      </c>
      <c r="T899" s="21" t="n">
        <v>0.6899999999999999</v>
      </c>
      <c r="U899" s="36" t="inlineStr">
        <is>
          <t>Tier 2 (Fiber Corridor / Lateral, 3-5 km)</t>
        </is>
      </c>
      <c r="V899" s="20" t="n">
        <v>25</v>
      </c>
      <c r="W899" s="20" t="n">
        <v>100</v>
      </c>
      <c r="X899" s="20" t="n">
        <v>73</v>
      </c>
      <c r="Y899" s="40">
        <f>ROUND((V899*'Methodology &amp; Assumptions'!$B$6)+(W899*'Methodology &amp; Assumptions'!$B$5)+(X899*'Methodology &amp; Assumptions'!$B$7), 2)</f>
        <v/>
      </c>
    </row>
    <row r="900" ht="19" customHeight="1">
      <c r="A900" s="41" t="n">
        <v>896</v>
      </c>
      <c r="B900" s="41" t="n">
        <v>3896</v>
      </c>
      <c r="C900" s="42" t="inlineStr">
        <is>
          <t>0604519009</t>
        </is>
      </c>
      <c r="D900" s="42" t="inlineStr">
        <is>
          <t>Region VI (Western Visayas)</t>
        </is>
      </c>
      <c r="E900" s="42" t="inlineStr">
        <is>
          <t>Negros Occidental</t>
        </is>
      </c>
      <c r="F900" s="42" t="inlineStr">
        <is>
          <t>Moises Padilla</t>
        </is>
      </c>
      <c r="G900" s="42" t="inlineStr">
        <is>
          <t>Crossing Magallon</t>
        </is>
      </c>
      <c r="H900" s="43" t="n">
        <v>10.262641</v>
      </c>
      <c r="I900" s="43" t="n">
        <v>123.011712</v>
      </c>
      <c r="J900" s="44" t="inlineStr">
        <is>
          <t>R</t>
        </is>
      </c>
      <c r="K900" s="42" t="inlineStr">
        <is>
          <t>Class 1-3 / Urban</t>
        </is>
      </c>
      <c r="L900" s="23" t="n">
        <v>4176</v>
      </c>
      <c r="M900" s="24" t="n">
        <v>4.33</v>
      </c>
      <c r="N900" s="23">
        <f>ROUND(L900/M900, 0)</f>
        <v/>
      </c>
      <c r="O900" s="23">
        <f>ROUND(N900*'Methodology &amp; Assumptions'!$B$8, 0)</f>
        <v/>
      </c>
      <c r="P900" s="44" t="inlineStr">
        <is>
          <t>Band n50 (1.5 GHz, 60 MHz)</t>
        </is>
      </c>
      <c r="Q900" s="38">
        <f>ROUNDUP(O900/'Methodology &amp; Assumptions'!$B$9, 0)</f>
        <v/>
      </c>
      <c r="R900" s="39" t="n">
        <v>1</v>
      </c>
      <c r="S900" s="25" t="n">
        <v>6.5</v>
      </c>
      <c r="T900" s="25" t="n">
        <v>0.04</v>
      </c>
      <c r="U900" s="42" t="inlineStr">
        <is>
          <t>Tier 2 (Fiber Corridor / Lateral, 3-5 km)</t>
        </is>
      </c>
      <c r="V900" s="24" t="n">
        <v>25</v>
      </c>
      <c r="W900" s="24" t="n">
        <v>100</v>
      </c>
      <c r="X900" s="24" t="n">
        <v>73</v>
      </c>
      <c r="Y900" s="45">
        <f>ROUND((V900*'Methodology &amp; Assumptions'!$B$6)+(W900*'Methodology &amp; Assumptions'!$B$5)+(X900*'Methodology &amp; Assumptions'!$B$7), 2)</f>
        <v/>
      </c>
    </row>
    <row r="901" ht="19" customHeight="1">
      <c r="A901" s="35" t="n">
        <v>897</v>
      </c>
      <c r="B901" s="35" t="n">
        <v>3897</v>
      </c>
      <c r="C901" s="36" t="inlineStr">
        <is>
          <t>0604510012</t>
        </is>
      </c>
      <c r="D901" s="36" t="inlineStr">
        <is>
          <t>Region VI (Western Visayas)</t>
        </is>
      </c>
      <c r="E901" s="36" t="inlineStr">
        <is>
          <t>Negros Occidental</t>
        </is>
      </c>
      <c r="F901" s="36" t="inlineStr">
        <is>
          <t>City of Himamaylan</t>
        </is>
      </c>
      <c r="G901" s="36" t="inlineStr">
        <is>
          <t>Sara-et</t>
        </is>
      </c>
      <c r="H901" s="37" t="n">
        <v>10.148321</v>
      </c>
      <c r="I901" s="37" t="n">
        <v>122.862223</v>
      </c>
      <c r="J901" s="8" t="inlineStr">
        <is>
          <t>R</t>
        </is>
      </c>
      <c r="K901" s="36" t="inlineStr">
        <is>
          <t>Class 1-3 / Urban</t>
        </is>
      </c>
      <c r="L901" s="18" t="n">
        <v>4167</v>
      </c>
      <c r="M901" s="20" t="n">
        <v>4.33</v>
      </c>
      <c r="N901" s="18">
        <f>ROUND(L901/M901, 0)</f>
        <v/>
      </c>
      <c r="O901" s="18">
        <f>ROUND(N901*'Methodology &amp; Assumptions'!$B$8, 0)</f>
        <v/>
      </c>
      <c r="P901" s="8" t="inlineStr">
        <is>
          <t>Band n50 (1.5 GHz, 60 MHz)</t>
        </is>
      </c>
      <c r="Q901" s="38">
        <f>ROUNDUP(O901/'Methodology &amp; Assumptions'!$B$9, 0)</f>
        <v/>
      </c>
      <c r="R901" s="39" t="n">
        <v>1</v>
      </c>
      <c r="S901" s="21" t="n">
        <v>18.2</v>
      </c>
      <c r="T901" s="21" t="n">
        <v>0.85</v>
      </c>
      <c r="U901" s="36" t="inlineStr">
        <is>
          <t>Tier 2 (Fiber Corridor / Lateral, 3-5 km)</t>
        </is>
      </c>
      <c r="V901" s="20" t="n">
        <v>25</v>
      </c>
      <c r="W901" s="20" t="n">
        <v>100</v>
      </c>
      <c r="X901" s="20" t="n">
        <v>73</v>
      </c>
      <c r="Y901" s="40">
        <f>ROUND((V901*'Methodology &amp; Assumptions'!$B$6)+(W901*'Methodology &amp; Assumptions'!$B$5)+(X901*'Methodology &amp; Assumptions'!$B$7), 2)</f>
        <v/>
      </c>
    </row>
    <row r="902" ht="19" customHeight="1">
      <c r="A902" s="41" t="n">
        <v>898</v>
      </c>
      <c r="B902" s="41" t="n">
        <v>3898</v>
      </c>
      <c r="C902" s="42" t="inlineStr">
        <is>
          <t>0704621019</t>
        </is>
      </c>
      <c r="D902" s="42" t="inlineStr">
        <is>
          <t>Region VII (Central Visayas)</t>
        </is>
      </c>
      <c r="E902" s="42" t="inlineStr">
        <is>
          <t>Negros Oriental</t>
        </is>
      </c>
      <c r="F902" s="42" t="inlineStr">
        <is>
          <t>City of Tanjay</t>
        </is>
      </c>
      <c r="G902" s="42" t="inlineStr">
        <is>
          <t>San Jose</t>
        </is>
      </c>
      <c r="H902" s="43" t="n">
        <v>9.51566</v>
      </c>
      <c r="I902" s="43" t="n">
        <v>123.13244</v>
      </c>
      <c r="J902" s="44" t="inlineStr">
        <is>
          <t>R</t>
        </is>
      </c>
      <c r="K902" s="42" t="inlineStr">
        <is>
          <t>Class 1-3 / Urban</t>
        </is>
      </c>
      <c r="L902" s="23" t="n">
        <v>4166</v>
      </c>
      <c r="M902" s="24" t="n">
        <v>4.33</v>
      </c>
      <c r="N902" s="23">
        <f>ROUND(L902/M902, 0)</f>
        <v/>
      </c>
      <c r="O902" s="23">
        <f>ROUND(N902*'Methodology &amp; Assumptions'!$B$8, 0)</f>
        <v/>
      </c>
      <c r="P902" s="44" t="inlineStr">
        <is>
          <t>Band n50 (1.5 GHz, 60 MHz)</t>
        </is>
      </c>
      <c r="Q902" s="38">
        <f>ROUNDUP(O902/'Methodology &amp; Assumptions'!$B$9, 0)</f>
        <v/>
      </c>
      <c r="R902" s="39" t="n">
        <v>1</v>
      </c>
      <c r="S902" s="25" t="n">
        <v>8.35</v>
      </c>
      <c r="T902" s="25" t="n">
        <v>0.51</v>
      </c>
      <c r="U902" s="42" t="inlineStr">
        <is>
          <t>Tier 2 (Fiber Corridor / Lateral, 3-5 km)</t>
        </is>
      </c>
      <c r="V902" s="24" t="n">
        <v>25</v>
      </c>
      <c r="W902" s="24" t="n">
        <v>100</v>
      </c>
      <c r="X902" s="24" t="n">
        <v>73</v>
      </c>
      <c r="Y902" s="45">
        <f>ROUND((V902*'Methodology &amp; Assumptions'!$B$6)+(W902*'Methodology &amp; Assumptions'!$B$5)+(X902*'Methodology &amp; Assumptions'!$B$7), 2)</f>
        <v/>
      </c>
    </row>
    <row r="903" ht="19" customHeight="1">
      <c r="A903" s="35" t="n">
        <v>899</v>
      </c>
      <c r="B903" s="35" t="n">
        <v>3899</v>
      </c>
      <c r="C903" s="36" t="inlineStr">
        <is>
          <t>0604512006</t>
        </is>
      </c>
      <c r="D903" s="36" t="inlineStr">
        <is>
          <t>Region VI (Western Visayas)</t>
        </is>
      </c>
      <c r="E903" s="36" t="inlineStr">
        <is>
          <t>Negros Occidental</t>
        </is>
      </c>
      <c r="F903" s="36" t="inlineStr">
        <is>
          <t>Hinoba-an</t>
        </is>
      </c>
      <c r="G903" s="36" t="inlineStr">
        <is>
          <t>Bulwangan</t>
        </is>
      </c>
      <c r="H903" s="37" t="n">
        <v>9.516951000000001</v>
      </c>
      <c r="I903" s="37" t="n">
        <v>122.534551</v>
      </c>
      <c r="J903" s="8" t="inlineStr">
        <is>
          <t>R</t>
        </is>
      </c>
      <c r="K903" s="36" t="inlineStr">
        <is>
          <t>Class 1-3 / Urban</t>
        </is>
      </c>
      <c r="L903" s="18" t="n">
        <v>4152</v>
      </c>
      <c r="M903" s="20" t="n">
        <v>4.33</v>
      </c>
      <c r="N903" s="18">
        <f>ROUND(L903/M903, 0)</f>
        <v/>
      </c>
      <c r="O903" s="18">
        <f>ROUND(N903*'Methodology &amp; Assumptions'!$B$8, 0)</f>
        <v/>
      </c>
      <c r="P903" s="8" t="inlineStr">
        <is>
          <t>Band n50 (1.5 GHz, 60 MHz)</t>
        </is>
      </c>
      <c r="Q903" s="38">
        <f>ROUNDUP(O903/'Methodology &amp; Assumptions'!$B$9, 0)</f>
        <v/>
      </c>
      <c r="R903" s="39" t="n">
        <v>1</v>
      </c>
      <c r="S903" s="21" t="n">
        <v>29.52</v>
      </c>
      <c r="T903" s="21" t="n">
        <v>0.32</v>
      </c>
      <c r="U903" s="36" t="inlineStr">
        <is>
          <t>Tier 2 (Fiber Corridor / Lateral, 3-5 km)</t>
        </is>
      </c>
      <c r="V903" s="20" t="n">
        <v>25</v>
      </c>
      <c r="W903" s="20" t="n">
        <v>100</v>
      </c>
      <c r="X903" s="20" t="n">
        <v>73</v>
      </c>
      <c r="Y903" s="40">
        <f>ROUND((V903*'Methodology &amp; Assumptions'!$B$6)+(W903*'Methodology &amp; Assumptions'!$B$5)+(X903*'Methodology &amp; Assumptions'!$B$7), 2)</f>
        <v/>
      </c>
    </row>
    <row r="904" ht="19" customHeight="1">
      <c r="A904" s="41" t="n">
        <v>900</v>
      </c>
      <c r="B904" s="41" t="n">
        <v>3900</v>
      </c>
      <c r="C904" s="42" t="inlineStr">
        <is>
          <t>0205015005</t>
        </is>
      </c>
      <c r="D904" s="42" t="inlineStr">
        <is>
          <t>Region II (Cagayan Valley)</t>
        </is>
      </c>
      <c r="E904" s="42" t="inlineStr">
        <is>
          <t>Nueva Vizcaya</t>
        </is>
      </c>
      <c r="F904" s="42" t="inlineStr">
        <is>
          <t>Alfonso Castaneda</t>
        </is>
      </c>
      <c r="G904" s="42" t="inlineStr">
        <is>
          <t>Lublub</t>
        </is>
      </c>
      <c r="H904" s="43" t="n">
        <v>15.801212</v>
      </c>
      <c r="I904" s="43" t="n">
        <v>121.304066</v>
      </c>
      <c r="J904" s="44" t="inlineStr">
        <is>
          <t>R</t>
        </is>
      </c>
      <c r="K904" s="42" t="inlineStr">
        <is>
          <t>Class 1-3 / Urban</t>
        </is>
      </c>
      <c r="L904" s="23" t="n">
        <v>3980</v>
      </c>
      <c r="M904" s="24" t="n">
        <v>4.19</v>
      </c>
      <c r="N904" s="23">
        <f>ROUND(L904/M904, 0)</f>
        <v/>
      </c>
      <c r="O904" s="23">
        <f>ROUND(N904*'Methodology &amp; Assumptions'!$B$8, 0)</f>
        <v/>
      </c>
      <c r="P904" s="44" t="inlineStr">
        <is>
          <t>Band n50 (1.5 GHz, 60 MHz)</t>
        </is>
      </c>
      <c r="Q904" s="38">
        <f>ROUNDUP(O904/'Methodology &amp; Assumptions'!$B$9, 0)</f>
        <v/>
      </c>
      <c r="R904" s="39" t="n">
        <v>1</v>
      </c>
      <c r="S904" s="25" t="n">
        <v>17.17</v>
      </c>
      <c r="T904" s="25" t="n">
        <v>0.84</v>
      </c>
      <c r="U904" s="42" t="inlineStr">
        <is>
          <t>Tier 2 (Fiber Corridor / Lateral, 3-5 km)</t>
        </is>
      </c>
      <c r="V904" s="24" t="n">
        <v>25</v>
      </c>
      <c r="W904" s="24" t="n">
        <v>100</v>
      </c>
      <c r="X904" s="24" t="n">
        <v>73</v>
      </c>
      <c r="Y904" s="45">
        <f>ROUND((V904*'Methodology &amp; Assumptions'!$B$6)+(W904*'Methodology &amp; Assumptions'!$B$5)+(X904*'Methodology &amp; Assumptions'!$B$7), 2)</f>
        <v/>
      </c>
    </row>
    <row r="905" ht="19" customHeight="1">
      <c r="A905" s="35" t="n">
        <v>901</v>
      </c>
      <c r="B905" s="35" t="n">
        <v>3901</v>
      </c>
      <c r="C905" s="36" t="inlineStr">
        <is>
          <t>0702249017</t>
        </is>
      </c>
      <c r="D905" s="36" t="inlineStr">
        <is>
          <t>Region VII (Central Visayas)</t>
        </is>
      </c>
      <c r="E905" s="36" t="inlineStr">
        <is>
          <t>Cebu</t>
        </is>
      </c>
      <c r="F905" s="36" t="inlineStr">
        <is>
          <t>Tabuelan</t>
        </is>
      </c>
      <c r="G905" s="36" t="inlineStr">
        <is>
          <t>Tabunok</t>
        </is>
      </c>
      <c r="H905" s="37" t="n">
        <v>10.85005</v>
      </c>
      <c r="I905" s="37" t="n">
        <v>123.8766</v>
      </c>
      <c r="J905" s="8" t="inlineStr">
        <is>
          <t>R</t>
        </is>
      </c>
      <c r="K905" s="36" t="inlineStr">
        <is>
          <t>2nd</t>
        </is>
      </c>
      <c r="L905" s="18" t="n">
        <v>3979</v>
      </c>
      <c r="M905" s="20" t="n">
        <v>3.99</v>
      </c>
      <c r="N905" s="18">
        <f>ROUND(L905/M905, 0)</f>
        <v/>
      </c>
      <c r="O905" s="18">
        <f>ROUND(N905*'Methodology &amp; Assumptions'!$B$8, 0)</f>
        <v/>
      </c>
      <c r="P905" s="8" t="inlineStr">
        <is>
          <t>Band n50 (1.5 GHz, 60 MHz)</t>
        </is>
      </c>
      <c r="Q905" s="38">
        <f>ROUNDUP(O905/'Methodology &amp; Assumptions'!$B$9, 0)</f>
        <v/>
      </c>
      <c r="R905" s="39" t="n">
        <v>1</v>
      </c>
      <c r="S905" s="21" t="n">
        <v>11.97</v>
      </c>
      <c r="T905" s="21" t="n">
        <v>0.08</v>
      </c>
      <c r="U905" s="36" t="inlineStr">
        <is>
          <t>Tier 2 (Fiber Corridor / Lateral, 3-5 km)</t>
        </is>
      </c>
      <c r="V905" s="20" t="n">
        <v>25</v>
      </c>
      <c r="W905" s="20" t="n">
        <v>100</v>
      </c>
      <c r="X905" s="20" t="n">
        <v>73</v>
      </c>
      <c r="Y905" s="40">
        <f>ROUND((V905*'Methodology &amp; Assumptions'!$B$6)+(W905*'Methodology &amp; Assumptions'!$B$5)+(X905*'Methodology &amp; Assumptions'!$B$7), 2)</f>
        <v/>
      </c>
    </row>
    <row r="906" ht="19" customHeight="1">
      <c r="A906" s="41" t="n">
        <v>902</v>
      </c>
      <c r="B906" s="41" t="n">
        <v>3902</v>
      </c>
      <c r="C906" s="42" t="inlineStr">
        <is>
          <t>0300809027</t>
        </is>
      </c>
      <c r="D906" s="42" t="inlineStr">
        <is>
          <t>Region III (Central Luzon)</t>
        </is>
      </c>
      <c r="E906" s="42" t="inlineStr">
        <is>
          <t>Bataan</t>
        </is>
      </c>
      <c r="F906" s="42" t="inlineStr">
        <is>
          <t>Orani</t>
        </is>
      </c>
      <c r="G906" s="42" t="inlineStr">
        <is>
          <t>Maria Fe</t>
        </is>
      </c>
      <c r="H906" s="43" t="n">
        <v>14.790713</v>
      </c>
      <c r="I906" s="43" t="n">
        <v>120.537403</v>
      </c>
      <c r="J906" s="44" t="inlineStr">
        <is>
          <t>R</t>
        </is>
      </c>
      <c r="K906" s="42" t="inlineStr">
        <is>
          <t>Class 1-3 / Urban</t>
        </is>
      </c>
      <c r="L906" s="23" t="n">
        <v>2192</v>
      </c>
      <c r="M906" s="24" t="n">
        <v>4.57</v>
      </c>
      <c r="N906" s="23">
        <f>ROUND(L906/M906, 0)</f>
        <v/>
      </c>
      <c r="O906" s="23">
        <f>ROUND(N906*'Methodology &amp; Assumptions'!$B$8, 0)</f>
        <v/>
      </c>
      <c r="P906" s="44" t="inlineStr">
        <is>
          <t>Band n50 (1.5 GHz, 60 MHz)</t>
        </is>
      </c>
      <c r="Q906" s="38">
        <f>ROUNDUP(O906/'Methodology &amp; Assumptions'!$B$9, 0)</f>
        <v/>
      </c>
      <c r="R906" s="39" t="n">
        <v>1</v>
      </c>
      <c r="S906" s="25" t="n">
        <v>1.27</v>
      </c>
      <c r="T906" s="25" t="n">
        <v>0.17</v>
      </c>
      <c r="U906" s="42" t="inlineStr">
        <is>
          <t>Tier 1B (Micro Drop, 1-3 km)</t>
        </is>
      </c>
      <c r="V906" s="24" t="n">
        <v>75.40000000000001</v>
      </c>
      <c r="W906" s="24" t="n">
        <v>62.4</v>
      </c>
      <c r="X906" s="24" t="n">
        <v>58</v>
      </c>
      <c r="Y906" s="45">
        <f>ROUND((V906*'Methodology &amp; Assumptions'!$B$6)+(W906*'Methodology &amp; Assumptions'!$B$5)+(X906*'Methodology &amp; Assumptions'!$B$7), 2)</f>
        <v/>
      </c>
    </row>
    <row r="907" ht="19" customHeight="1">
      <c r="A907" s="35" t="n">
        <v>903</v>
      </c>
      <c r="B907" s="35" t="n">
        <v>3903</v>
      </c>
      <c r="C907" s="36" t="inlineStr">
        <is>
          <t>0402119021</t>
        </is>
      </c>
      <c r="D907" s="36" t="inlineStr">
        <is>
          <t>Region IV-A (CALABARZON)</t>
        </is>
      </c>
      <c r="E907" s="36" t="inlineStr">
        <is>
          <t>Cavite</t>
        </is>
      </c>
      <c r="F907" s="36" t="inlineStr">
        <is>
          <t>City of Tagaytay</t>
        </is>
      </c>
      <c r="G907" s="36" t="inlineStr">
        <is>
          <t>Tolentino West</t>
        </is>
      </c>
      <c r="H907" s="37" t="n">
        <v>14.131679</v>
      </c>
      <c r="I907" s="37" t="n">
        <v>120.975831</v>
      </c>
      <c r="J907" s="8" t="inlineStr">
        <is>
          <t>R</t>
        </is>
      </c>
      <c r="K907" s="36" t="inlineStr">
        <is>
          <t>Class 1-3 / Urban</t>
        </is>
      </c>
      <c r="L907" s="18" t="n">
        <v>1441</v>
      </c>
      <c r="M907" s="20" t="n">
        <v>4.49</v>
      </c>
      <c r="N907" s="18">
        <f>ROUND(L907/M907, 0)</f>
        <v/>
      </c>
      <c r="O907" s="18">
        <f>ROUND(N907*'Methodology &amp; Assumptions'!$B$8, 0)</f>
        <v/>
      </c>
      <c r="P907" s="8" t="inlineStr">
        <is>
          <t>Band n50 (1.5 GHz, 60 MHz)</t>
        </is>
      </c>
      <c r="Q907" s="38">
        <f>ROUNDUP(O907/'Methodology &amp; Assumptions'!$B$9, 0)</f>
        <v/>
      </c>
      <c r="R907" s="39" t="n">
        <v>1</v>
      </c>
      <c r="S907" s="21" t="n">
        <v>0.74</v>
      </c>
      <c r="T907" s="21" t="n">
        <v>0.24</v>
      </c>
      <c r="U907" s="36" t="inlineStr">
        <is>
          <t>Tier 1A (Direct Coloc, &lt;1 km)</t>
        </is>
      </c>
      <c r="V907" s="20" t="n">
        <v>88.3</v>
      </c>
      <c r="W907" s="20" t="n">
        <v>49.6</v>
      </c>
      <c r="X907" s="20" t="n">
        <v>58</v>
      </c>
      <c r="Y907" s="40">
        <f>ROUND((V907*'Methodology &amp; Assumptions'!$B$6)+(W907*'Methodology &amp; Assumptions'!$B$5)+(X907*'Methodology &amp; Assumptions'!$B$7), 2)</f>
        <v/>
      </c>
    </row>
    <row r="908" ht="19" customHeight="1">
      <c r="A908" s="41" t="n">
        <v>904</v>
      </c>
      <c r="B908" s="41" t="n">
        <v>3904</v>
      </c>
      <c r="C908" s="42" t="inlineStr">
        <is>
          <t>0102811014</t>
        </is>
      </c>
      <c r="D908" s="42" t="inlineStr">
        <is>
          <t>Region I (Ilocos Region)</t>
        </is>
      </c>
      <c r="E908" s="42" t="inlineStr">
        <is>
          <t>Ilocos Norte</t>
        </is>
      </c>
      <c r="F908" s="42" t="inlineStr">
        <is>
          <t>Banna</t>
        </is>
      </c>
      <c r="G908" s="42" t="inlineStr">
        <is>
          <t>Lorenzo</t>
        </is>
      </c>
      <c r="H908" s="43" t="n">
        <v>17.978862</v>
      </c>
      <c r="I908" s="43" t="n">
        <v>120.656256</v>
      </c>
      <c r="J908" s="44" t="inlineStr">
        <is>
          <t>R</t>
        </is>
      </c>
      <c r="K908" s="42" t="inlineStr">
        <is>
          <t>1st</t>
        </is>
      </c>
      <c r="L908" s="23" t="n">
        <v>746</v>
      </c>
      <c r="M908" s="24" t="n">
        <v>4.28</v>
      </c>
      <c r="N908" s="23">
        <f>ROUND(L908/M908, 0)</f>
        <v/>
      </c>
      <c r="O908" s="23">
        <f>ROUND(N908*'Methodology &amp; Assumptions'!$B$8, 0)</f>
        <v/>
      </c>
      <c r="P908" s="44" t="inlineStr">
        <is>
          <t>Band n50 (1.5 GHz, 60 MHz)</t>
        </is>
      </c>
      <c r="Q908" s="38">
        <f>ROUNDUP(O908/'Methodology &amp; Assumptions'!$B$9, 0)</f>
        <v/>
      </c>
      <c r="R908" s="39" t="n">
        <v>1</v>
      </c>
      <c r="S908" s="25" t="n">
        <v>0.29</v>
      </c>
      <c r="T908" s="25" t="n">
        <v>0.31</v>
      </c>
      <c r="U908" s="42" t="inlineStr">
        <is>
          <t>Tier 1A (Direct Coloc, &lt;1 km)</t>
        </is>
      </c>
      <c r="V908" s="24" t="n">
        <v>100</v>
      </c>
      <c r="W908" s="24" t="n">
        <v>37.9</v>
      </c>
      <c r="X908" s="24" t="n">
        <v>58</v>
      </c>
      <c r="Y908" s="45">
        <f>ROUND((V908*'Methodology &amp; Assumptions'!$B$6)+(W908*'Methodology &amp; Assumptions'!$B$5)+(X908*'Methodology &amp; Assumptions'!$B$7), 2)</f>
        <v/>
      </c>
    </row>
    <row r="909" ht="19" customHeight="1">
      <c r="A909" s="35" t="n">
        <v>905</v>
      </c>
      <c r="B909" s="35" t="n">
        <v>3905</v>
      </c>
      <c r="C909" s="36" t="inlineStr">
        <is>
          <t>0403410024</t>
        </is>
      </c>
      <c r="D909" s="36" t="inlineStr">
        <is>
          <t>Region IV-A (CALABARZON)</t>
        </is>
      </c>
      <c r="E909" s="36" t="inlineStr">
        <is>
          <t>Laguna</t>
        </is>
      </c>
      <c r="F909" s="36" t="inlineStr">
        <is>
          <t>Liliw</t>
        </is>
      </c>
      <c r="G909" s="36" t="inlineStr">
        <is>
          <t>Rizal</t>
        </is>
      </c>
      <c r="H909" s="37" t="n">
        <v>14.13579</v>
      </c>
      <c r="I909" s="37" t="n">
        <v>121.437152</v>
      </c>
      <c r="J909" s="8" t="inlineStr">
        <is>
          <t>R</t>
        </is>
      </c>
      <c r="K909" s="36" t="inlineStr">
        <is>
          <t>3rd</t>
        </is>
      </c>
      <c r="L909" s="18" t="n">
        <v>688</v>
      </c>
      <c r="M909" s="20" t="n">
        <v>3.93</v>
      </c>
      <c r="N909" s="18">
        <f>ROUND(L909/M909, 0)</f>
        <v/>
      </c>
      <c r="O909" s="18">
        <f>ROUND(N909*'Methodology &amp; Assumptions'!$B$8, 0)</f>
        <v/>
      </c>
      <c r="P909" s="8" t="inlineStr">
        <is>
          <t>Band n50 (1.5 GHz, 60 MHz)</t>
        </is>
      </c>
      <c r="Q909" s="38">
        <f>ROUNDUP(O909/'Methodology &amp; Assumptions'!$B$9, 0)</f>
        <v/>
      </c>
      <c r="R909" s="39" t="n">
        <v>1</v>
      </c>
      <c r="S909" s="21" t="n">
        <v>0.11</v>
      </c>
      <c r="T909" s="21" t="n">
        <v>0.11</v>
      </c>
      <c r="U909" s="36" t="inlineStr">
        <is>
          <t>Tier 1A (Direct Coloc, &lt;1 km)</t>
        </is>
      </c>
      <c r="V909" s="20" t="n">
        <v>100</v>
      </c>
      <c r="W909" s="20" t="n">
        <v>37.9</v>
      </c>
      <c r="X909" s="20" t="n">
        <v>58</v>
      </c>
      <c r="Y909" s="40">
        <f>ROUND((V909*'Methodology &amp; Assumptions'!$B$6)+(W909*'Methodology &amp; Assumptions'!$B$5)+(X909*'Methodology &amp; Assumptions'!$B$7), 2)</f>
        <v/>
      </c>
    </row>
    <row r="910" ht="19" customHeight="1">
      <c r="A910" s="41" t="n">
        <v>906</v>
      </c>
      <c r="B910" s="41" t="n">
        <v>3906</v>
      </c>
      <c r="C910" s="42" t="inlineStr">
        <is>
          <t>0300803008</t>
        </is>
      </c>
      <c r="D910" s="42" t="inlineStr">
        <is>
          <t>Region III (Central Luzon)</t>
        </is>
      </c>
      <c r="E910" s="42" t="inlineStr">
        <is>
          <t>Bataan</t>
        </is>
      </c>
      <c r="F910" s="42" t="inlineStr">
        <is>
          <t>City of Balanga</t>
        </is>
      </c>
      <c r="G910" s="42" t="inlineStr">
        <is>
          <t>Cupang Proper</t>
        </is>
      </c>
      <c r="H910" s="43" t="n">
        <v>14.6669</v>
      </c>
      <c r="I910" s="43" t="n">
        <v>120.543959</v>
      </c>
      <c r="J910" s="44" t="inlineStr">
        <is>
          <t>U</t>
        </is>
      </c>
      <c r="K910" s="42" t="inlineStr">
        <is>
          <t>Class 1-3 / Urban</t>
        </is>
      </c>
      <c r="L910" s="23" t="n">
        <v>11581</v>
      </c>
      <c r="M910" s="24" t="n">
        <v>4.57</v>
      </c>
      <c r="N910" s="23">
        <f>ROUND(L910/M910, 0)</f>
        <v/>
      </c>
      <c r="O910" s="23">
        <f>ROUND(N910*'Methodology &amp; Assumptions'!$B$8, 0)</f>
        <v/>
      </c>
      <c r="P910" s="44" t="inlineStr">
        <is>
          <t>Band n50 (1.5 GHz, 60 MHz)</t>
        </is>
      </c>
      <c r="Q910" s="38">
        <f>ROUNDUP(O910/'Methodology &amp; Assumptions'!$B$9, 0)</f>
        <v/>
      </c>
      <c r="R910" s="39" t="n">
        <v>1</v>
      </c>
      <c r="S910" s="25" t="n">
        <v>1.87</v>
      </c>
      <c r="T910" s="25" t="n">
        <v>0.8</v>
      </c>
      <c r="U910" s="42" t="inlineStr">
        <is>
          <t>Tier 1B (Micro Drop, 1-3 km)</t>
        </is>
      </c>
      <c r="V910" s="24" t="n">
        <v>63.6</v>
      </c>
      <c r="W910" s="24" t="n">
        <v>100</v>
      </c>
      <c r="X910" s="24" t="n">
        <v>28</v>
      </c>
      <c r="Y910" s="45">
        <f>ROUND((V910*'Methodology &amp; Assumptions'!$B$6)+(W910*'Methodology &amp; Assumptions'!$B$5)+(X910*'Methodology &amp; Assumptions'!$B$7), 2)</f>
        <v/>
      </c>
    </row>
    <row r="911" ht="19" customHeight="1">
      <c r="A911" s="35" t="n">
        <v>907</v>
      </c>
      <c r="B911" s="35" t="n">
        <v>3907</v>
      </c>
      <c r="C911" s="36" t="inlineStr">
        <is>
          <t>0402122008</t>
        </is>
      </c>
      <c r="D911" s="36" t="inlineStr">
        <is>
          <t>Region IV-A (CALABARZON)</t>
        </is>
      </c>
      <c r="E911" s="36" t="inlineStr">
        <is>
          <t>Cavite</t>
        </is>
      </c>
      <c r="F911" s="36" t="inlineStr">
        <is>
          <t>City of Trece Martires</t>
        </is>
      </c>
      <c r="G911" s="36" t="inlineStr">
        <is>
          <t>Osorio</t>
        </is>
      </c>
      <c r="H911" s="37" t="n">
        <v>14.297472</v>
      </c>
      <c r="I911" s="37" t="n">
        <v>120.876684</v>
      </c>
      <c r="J911" s="8" t="inlineStr">
        <is>
          <t>U</t>
        </is>
      </c>
      <c r="K911" s="36" t="inlineStr">
        <is>
          <t>Class 1-3 / Urban</t>
        </is>
      </c>
      <c r="L911" s="18" t="n">
        <v>11032</v>
      </c>
      <c r="M911" s="20" t="n">
        <v>4.49</v>
      </c>
      <c r="N911" s="18">
        <f>ROUND(L911/M911, 0)</f>
        <v/>
      </c>
      <c r="O911" s="18">
        <f>ROUND(N911*'Methodology &amp; Assumptions'!$B$8, 0)</f>
        <v/>
      </c>
      <c r="P911" s="8" t="inlineStr">
        <is>
          <t>Band n50 (1.5 GHz, 60 MHz)</t>
        </is>
      </c>
      <c r="Q911" s="38">
        <f>ROUNDUP(O911/'Methodology &amp; Assumptions'!$B$9, 0)</f>
        <v/>
      </c>
      <c r="R911" s="39" t="n">
        <v>1</v>
      </c>
      <c r="S911" s="21" t="n">
        <v>1.87</v>
      </c>
      <c r="T911" s="21" t="n">
        <v>1.86</v>
      </c>
      <c r="U911" s="36" t="inlineStr">
        <is>
          <t>Tier 1B (Micro Drop, 1-3 km)</t>
        </is>
      </c>
      <c r="V911" s="20" t="n">
        <v>63.6</v>
      </c>
      <c r="W911" s="20" t="n">
        <v>100</v>
      </c>
      <c r="X911" s="20" t="n">
        <v>28</v>
      </c>
      <c r="Y911" s="40">
        <f>ROUND((V911*'Methodology &amp; Assumptions'!$B$6)+(W911*'Methodology &amp; Assumptions'!$B$5)+(X911*'Methodology &amp; Assumptions'!$B$7), 2)</f>
        <v/>
      </c>
    </row>
    <row r="912" ht="19" customHeight="1">
      <c r="A912" s="41" t="n">
        <v>908</v>
      </c>
      <c r="B912" s="41" t="n">
        <v>3908</v>
      </c>
      <c r="C912" s="42" t="inlineStr">
        <is>
          <t>0500517049</t>
        </is>
      </c>
      <c r="D912" s="42" t="inlineStr">
        <is>
          <t>Region V (Bicol Region)</t>
        </is>
      </c>
      <c r="E912" s="42" t="inlineStr">
        <is>
          <t>Albay</t>
        </is>
      </c>
      <c r="F912" s="42" t="inlineStr">
        <is>
          <t>City of Tabaco</t>
        </is>
      </c>
      <c r="G912" s="42" t="inlineStr">
        <is>
          <t>Tayhi</t>
        </is>
      </c>
      <c r="H912" s="43" t="n">
        <v>13.362346</v>
      </c>
      <c r="I912" s="43" t="n">
        <v>123.729899</v>
      </c>
      <c r="J912" s="44" t="inlineStr">
        <is>
          <t>U</t>
        </is>
      </c>
      <c r="K912" s="42" t="inlineStr">
        <is>
          <t>Class 1-3 / Urban</t>
        </is>
      </c>
      <c r="L912" s="23" t="n">
        <v>3482</v>
      </c>
      <c r="M912" s="24" t="n">
        <v>4.67</v>
      </c>
      <c r="N912" s="23">
        <f>ROUND(L912/M912, 0)</f>
        <v/>
      </c>
      <c r="O912" s="23">
        <f>ROUND(N912*'Methodology &amp; Assumptions'!$B$8, 0)</f>
        <v/>
      </c>
      <c r="P912" s="44" t="inlineStr">
        <is>
          <t>Band n50 (1.5 GHz, 60 MHz)</t>
        </is>
      </c>
      <c r="Q912" s="38">
        <f>ROUNDUP(O912/'Methodology &amp; Assumptions'!$B$9, 0)</f>
        <v/>
      </c>
      <c r="R912" s="39" t="n">
        <v>1</v>
      </c>
      <c r="S912" s="25" t="n">
        <v>1.08</v>
      </c>
      <c r="T912" s="25" t="n">
        <v>0.22</v>
      </c>
      <c r="U912" s="42" t="inlineStr">
        <is>
          <t>Tier 1B (Micro Drop, 1-3 km)</t>
        </is>
      </c>
      <c r="V912" s="24" t="n">
        <v>79.8</v>
      </c>
      <c r="W912" s="24" t="n">
        <v>83.7</v>
      </c>
      <c r="X912" s="24" t="n">
        <v>28</v>
      </c>
      <c r="Y912" s="45">
        <f>ROUND((V912*'Methodology &amp; Assumptions'!$B$6)+(W912*'Methodology &amp; Assumptions'!$B$5)+(X912*'Methodology &amp; Assumptions'!$B$7), 2)</f>
        <v/>
      </c>
    </row>
    <row r="913" ht="19" customHeight="1">
      <c r="A913" s="35" t="n">
        <v>909</v>
      </c>
      <c r="B913" s="35" t="n">
        <v>3909</v>
      </c>
      <c r="C913" s="36" t="inlineStr">
        <is>
          <t>0600404014</t>
        </is>
      </c>
      <c r="D913" s="36" t="inlineStr">
        <is>
          <t>Region VI (Western Visayas)</t>
        </is>
      </c>
      <c r="E913" s="36" t="inlineStr">
        <is>
          <t>Aklan</t>
        </is>
      </c>
      <c r="F913" s="36" t="inlineStr">
        <is>
          <t>Batan</t>
        </is>
      </c>
      <c r="G913" s="36" t="inlineStr">
        <is>
          <t>Man-up</t>
        </is>
      </c>
      <c r="H913" s="37" t="n">
        <v>11.532799</v>
      </c>
      <c r="I913" s="37" t="n">
        <v>122.496716</v>
      </c>
      <c r="J913" s="8" t="inlineStr">
        <is>
          <t>R</t>
        </is>
      </c>
      <c r="K913" s="36" t="inlineStr">
        <is>
          <t>3rd</t>
        </is>
      </c>
      <c r="L913" s="18" t="n">
        <v>1101</v>
      </c>
      <c r="M913" s="20" t="n">
        <v>4.02</v>
      </c>
      <c r="N913" s="18">
        <f>ROUND(L913/M913, 0)</f>
        <v/>
      </c>
      <c r="O913" s="18">
        <f>ROUND(N913*'Methodology &amp; Assumptions'!$B$8, 0)</f>
        <v/>
      </c>
      <c r="P913" s="8" t="inlineStr">
        <is>
          <t>Band n50 (1.5 GHz, 60 MHz)</t>
        </is>
      </c>
      <c r="Q913" s="38">
        <f>ROUNDUP(O913/'Methodology &amp; Assumptions'!$B$9, 0)</f>
        <v/>
      </c>
      <c r="R913" s="39" t="n">
        <v>1</v>
      </c>
      <c r="S913" s="21" t="n">
        <v>1.11</v>
      </c>
      <c r="T913" s="21" t="n">
        <v>0.12</v>
      </c>
      <c r="U913" s="36" t="inlineStr">
        <is>
          <t>Tier 1B (Micro Drop, 1-3 km)</t>
        </is>
      </c>
      <c r="V913" s="20" t="n">
        <v>79.09999999999999</v>
      </c>
      <c r="W913" s="20" t="n">
        <v>45.9</v>
      </c>
      <c r="X913" s="20" t="n">
        <v>73</v>
      </c>
      <c r="Y913" s="40">
        <f>ROUND((V913*'Methodology &amp; Assumptions'!$B$6)+(W913*'Methodology &amp; Assumptions'!$B$5)+(X913*'Methodology &amp; Assumptions'!$B$7), 2)</f>
        <v/>
      </c>
    </row>
    <row r="914" ht="19" customHeight="1">
      <c r="A914" s="41" t="n">
        <v>910</v>
      </c>
      <c r="B914" s="41" t="n">
        <v>3910</v>
      </c>
      <c r="C914" s="42" t="inlineStr">
        <is>
          <t>0506214010</t>
        </is>
      </c>
      <c r="D914" s="42" t="inlineStr">
        <is>
          <t>Region V (Bicol Region)</t>
        </is>
      </c>
      <c r="E914" s="42" t="inlineStr">
        <is>
          <t>Sorsogon</t>
        </is>
      </c>
      <c r="F914" s="42" t="inlineStr">
        <is>
          <t>Prieto Diaz</t>
        </is>
      </c>
      <c r="G914" s="42" t="inlineStr">
        <is>
          <t>Maningcay De Oro</t>
        </is>
      </c>
      <c r="H914" s="43" t="n">
        <v>13.039314</v>
      </c>
      <c r="I914" s="43" t="n">
        <v>124.190925</v>
      </c>
      <c r="J914" s="44" t="inlineStr">
        <is>
          <t>R</t>
        </is>
      </c>
      <c r="K914" s="42" t="inlineStr">
        <is>
          <t>4th</t>
        </is>
      </c>
      <c r="L914" s="23" t="n">
        <v>1270</v>
      </c>
      <c r="M914" s="24" t="n">
        <v>4.69</v>
      </c>
      <c r="N914" s="23">
        <f>ROUND(L914/M914, 0)</f>
        <v/>
      </c>
      <c r="O914" s="23">
        <f>ROUND(N914*'Methodology &amp; Assumptions'!$B$8, 0)</f>
        <v/>
      </c>
      <c r="P914" s="44" t="inlineStr">
        <is>
          <t>Band n50 (1.5 GHz, 60 MHz)</t>
        </is>
      </c>
      <c r="Q914" s="38">
        <f>ROUNDUP(O914/'Methodology &amp; Assumptions'!$B$9, 0)</f>
        <v/>
      </c>
      <c r="R914" s="39" t="n">
        <v>1</v>
      </c>
      <c r="S914" s="25" t="n">
        <v>0.55</v>
      </c>
      <c r="T914" s="25" t="n">
        <v>14.38</v>
      </c>
      <c r="U914" s="42" t="inlineStr">
        <is>
          <t>Tier 1A (Direct Coloc, &lt;1 km)</t>
        </is>
      </c>
      <c r="V914" s="24" t="n">
        <v>83.2</v>
      </c>
      <c r="W914" s="24" t="n">
        <v>45.6</v>
      </c>
      <c r="X914" s="24" t="n">
        <v>68.5</v>
      </c>
      <c r="Y914" s="45">
        <f>ROUND((V914*'Methodology &amp; Assumptions'!$B$6)+(W914*'Methodology &amp; Assumptions'!$B$5)+(X914*'Methodology &amp; Assumptions'!$B$7), 2)</f>
        <v/>
      </c>
    </row>
    <row r="915" ht="19" customHeight="1">
      <c r="A915" s="35" t="n">
        <v>911</v>
      </c>
      <c r="B915" s="35" t="n">
        <v>3911</v>
      </c>
      <c r="C915" s="36" t="inlineStr">
        <is>
          <t>0501709014</t>
        </is>
      </c>
      <c r="D915" s="36" t="inlineStr">
        <is>
          <t>Region V (Bicol Region)</t>
        </is>
      </c>
      <c r="E915" s="36" t="inlineStr">
        <is>
          <t>Camarines Sur</t>
        </is>
      </c>
      <c r="F915" s="36" t="inlineStr">
        <is>
          <t>Camaligan</t>
        </is>
      </c>
      <c r="G915" s="36" t="inlineStr">
        <is>
          <t>Santo Domingo</t>
        </is>
      </c>
      <c r="H915" s="37" t="n">
        <v>13.61984</v>
      </c>
      <c r="I915" s="37" t="n">
        <v>123.168026</v>
      </c>
      <c r="J915" s="8" t="inlineStr">
        <is>
          <t>R</t>
        </is>
      </c>
      <c r="K915" s="36" t="inlineStr">
        <is>
          <t>4th</t>
        </is>
      </c>
      <c r="L915" s="18" t="n">
        <v>506</v>
      </c>
      <c r="M915" s="20" t="n">
        <v>4.97</v>
      </c>
      <c r="N915" s="18">
        <f>ROUND(L915/M915, 0)</f>
        <v/>
      </c>
      <c r="O915" s="18">
        <f>ROUND(N915*'Methodology &amp; Assumptions'!$B$8, 0)</f>
        <v/>
      </c>
      <c r="P915" s="8" t="inlineStr">
        <is>
          <t>Band n50 (1.5 GHz, 60 MHz)</t>
        </is>
      </c>
      <c r="Q915" s="38">
        <f>ROUNDUP(O915/'Methodology &amp; Assumptions'!$B$9, 0)</f>
        <v/>
      </c>
      <c r="R915" s="39" t="n">
        <v>1</v>
      </c>
      <c r="S915" s="21" t="n">
        <v>0.43</v>
      </c>
      <c r="T915" s="21" t="n">
        <v>1.86</v>
      </c>
      <c r="U915" s="36" t="inlineStr">
        <is>
          <t>Tier 1A (Direct Coloc, &lt;1 km)</t>
        </is>
      </c>
      <c r="V915" s="20" t="n">
        <v>96.59999999999999</v>
      </c>
      <c r="W915" s="20" t="n">
        <v>32.3</v>
      </c>
      <c r="X915" s="20" t="n">
        <v>68.5</v>
      </c>
      <c r="Y915" s="40">
        <f>ROUND((V915*'Methodology &amp; Assumptions'!$B$6)+(W915*'Methodology &amp; Assumptions'!$B$5)+(X915*'Methodology &amp; Assumptions'!$B$7), 2)</f>
        <v/>
      </c>
    </row>
    <row r="916" ht="19" customHeight="1">
      <c r="A916" s="41" t="n">
        <v>912</v>
      </c>
      <c r="B916" s="41" t="n">
        <v>3912</v>
      </c>
      <c r="C916" s="42" t="inlineStr">
        <is>
          <t>0402110008</t>
        </is>
      </c>
      <c r="D916" s="42" t="inlineStr">
        <is>
          <t>Region IV-A (CALABARZON)</t>
        </is>
      </c>
      <c r="E916" s="42" t="inlineStr">
        <is>
          <t>Cavite</t>
        </is>
      </c>
      <c r="F916" s="42" t="inlineStr">
        <is>
          <t>Indang</t>
        </is>
      </c>
      <c r="G916" s="42" t="inlineStr">
        <is>
          <t>Calumpang Cerca</t>
        </is>
      </c>
      <c r="H916" s="43" t="n">
        <v>14.210518</v>
      </c>
      <c r="I916" s="43" t="n">
        <v>120.869991</v>
      </c>
      <c r="J916" s="44" t="inlineStr">
        <is>
          <t>R</t>
        </is>
      </c>
      <c r="K916" s="42" t="inlineStr">
        <is>
          <t>Class 1-3 / Urban</t>
        </is>
      </c>
      <c r="L916" s="23" t="n">
        <v>3035</v>
      </c>
      <c r="M916" s="24" t="n">
        <v>4.49</v>
      </c>
      <c r="N916" s="23">
        <f>ROUND(L916/M916, 0)</f>
        <v/>
      </c>
      <c r="O916" s="23">
        <f>ROUND(N916*'Methodology &amp; Assumptions'!$B$8, 0)</f>
        <v/>
      </c>
      <c r="P916" s="44" t="inlineStr">
        <is>
          <t>Band n50 (1.5 GHz, 60 MHz)</t>
        </is>
      </c>
      <c r="Q916" s="38">
        <f>ROUNDUP(O916/'Methodology &amp; Assumptions'!$B$9, 0)</f>
        <v/>
      </c>
      <c r="R916" s="39" t="n">
        <v>1</v>
      </c>
      <c r="S916" s="25" t="n">
        <v>1.55</v>
      </c>
      <c r="T916" s="25" t="n">
        <v>7.72</v>
      </c>
      <c r="U916" s="42" t="inlineStr">
        <is>
          <t>Tier 1B (Micro Drop, 1-3 km)</t>
        </is>
      </c>
      <c r="V916" s="24" t="n">
        <v>59.7</v>
      </c>
      <c r="W916" s="24" t="n">
        <v>78.09999999999999</v>
      </c>
      <c r="X916" s="24" t="n">
        <v>58</v>
      </c>
      <c r="Y916" s="45">
        <f>ROUND((V916*'Methodology &amp; Assumptions'!$B$6)+(W916*'Methodology &amp; Assumptions'!$B$5)+(X916*'Methodology &amp; Assumptions'!$B$7), 2)</f>
        <v/>
      </c>
    </row>
    <row r="917" ht="19" customHeight="1">
      <c r="A917" s="35" t="n">
        <v>913</v>
      </c>
      <c r="B917" s="35" t="n">
        <v>3913</v>
      </c>
      <c r="C917" s="36" t="inlineStr">
        <is>
          <t>0402106061</t>
        </is>
      </c>
      <c r="D917" s="36" t="inlineStr">
        <is>
          <t>Region IV-A (CALABARZON)</t>
        </is>
      </c>
      <c r="E917" s="36" t="inlineStr">
        <is>
          <t>Cavite</t>
        </is>
      </c>
      <c r="F917" s="36" t="inlineStr">
        <is>
          <t>City of Dasmariñas</t>
        </is>
      </c>
      <c r="G917" s="36" t="inlineStr">
        <is>
          <t>Sampaloc II</t>
        </is>
      </c>
      <c r="H917" s="37" t="n">
        <v>14.283294</v>
      </c>
      <c r="I917" s="37" t="n">
        <v>120.960326</v>
      </c>
      <c r="J917" s="8" t="inlineStr">
        <is>
          <t>U</t>
        </is>
      </c>
      <c r="K917" s="36" t="inlineStr">
        <is>
          <t>Class 1-3 / Urban</t>
        </is>
      </c>
      <c r="L917" s="18" t="n">
        <v>18225</v>
      </c>
      <c r="M917" s="20" t="n">
        <v>4.49</v>
      </c>
      <c r="N917" s="18">
        <f>ROUND(L917/M917, 0)</f>
        <v/>
      </c>
      <c r="O917" s="18">
        <f>ROUND(N917*'Methodology &amp; Assumptions'!$B$8, 0)</f>
        <v/>
      </c>
      <c r="P917" s="8" t="inlineStr">
        <is>
          <t>Band n50 (1.5 GHz, 60 MHz)</t>
        </is>
      </c>
      <c r="Q917" s="38">
        <f>ROUNDUP(O917/'Methodology &amp; Assumptions'!$B$9, 0)</f>
        <v/>
      </c>
      <c r="R917" s="39" t="n">
        <v>1</v>
      </c>
      <c r="S917" s="21" t="n">
        <v>1.87</v>
      </c>
      <c r="T917" s="21" t="n">
        <v>0.15</v>
      </c>
      <c r="U917" s="36" t="inlineStr">
        <is>
          <t>Tier 1B (Micro Drop, 1-3 km)</t>
        </is>
      </c>
      <c r="V917" s="20" t="n">
        <v>63.5</v>
      </c>
      <c r="W917" s="20" t="n">
        <v>100</v>
      </c>
      <c r="X917" s="20" t="n">
        <v>28</v>
      </c>
      <c r="Y917" s="40">
        <f>ROUND((V917*'Methodology &amp; Assumptions'!$B$6)+(W917*'Methodology &amp; Assumptions'!$B$5)+(X917*'Methodology &amp; Assumptions'!$B$7), 2)</f>
        <v/>
      </c>
    </row>
    <row r="918" ht="19" customHeight="1">
      <c r="A918" s="41" t="n">
        <v>914</v>
      </c>
      <c r="B918" s="41" t="n">
        <v>3914</v>
      </c>
      <c r="C918" s="42" t="inlineStr">
        <is>
          <t>0704610029</t>
        </is>
      </c>
      <c r="D918" s="42" t="inlineStr">
        <is>
          <t>Region VII (Central Visayas)</t>
        </is>
      </c>
      <c r="E918" s="42" t="inlineStr">
        <is>
          <t>Negros Oriental</t>
        </is>
      </c>
      <c r="F918" s="42" t="inlineStr">
        <is>
          <t>City of Dumaguete</t>
        </is>
      </c>
      <c r="G918" s="42" t="inlineStr">
        <is>
          <t>Taclobo</t>
        </is>
      </c>
      <c r="H918" s="43" t="n">
        <v>9.314215000000001</v>
      </c>
      <c r="I918" s="43" t="n">
        <v>123.289454</v>
      </c>
      <c r="J918" s="44" t="inlineStr">
        <is>
          <t>U</t>
        </is>
      </c>
      <c r="K918" s="42" t="inlineStr">
        <is>
          <t>Class 1-3 / Urban</t>
        </is>
      </c>
      <c r="L918" s="23" t="n">
        <v>9458</v>
      </c>
      <c r="M918" s="24" t="n">
        <v>4.33</v>
      </c>
      <c r="N918" s="23">
        <f>ROUND(L918/M918, 0)</f>
        <v/>
      </c>
      <c r="O918" s="23">
        <f>ROUND(N918*'Methodology &amp; Assumptions'!$B$8, 0)</f>
        <v/>
      </c>
      <c r="P918" s="44" t="inlineStr">
        <is>
          <t>Band n50 (1.5 GHz, 60 MHz)</t>
        </is>
      </c>
      <c r="Q918" s="38">
        <f>ROUNDUP(O918/'Methodology &amp; Assumptions'!$B$9, 0)</f>
        <v/>
      </c>
      <c r="R918" s="39" t="n">
        <v>1</v>
      </c>
      <c r="S918" s="25" t="n">
        <v>1.87</v>
      </c>
      <c r="T918" s="25" t="n">
        <v>1.34</v>
      </c>
      <c r="U918" s="42" t="inlineStr">
        <is>
          <t>Tier 1B (Micro Drop, 1-3 km)</t>
        </is>
      </c>
      <c r="V918" s="24" t="n">
        <v>63.5</v>
      </c>
      <c r="W918" s="24" t="n">
        <v>100</v>
      </c>
      <c r="X918" s="24" t="n">
        <v>28</v>
      </c>
      <c r="Y918" s="45">
        <f>ROUND((V918*'Methodology &amp; Assumptions'!$B$6)+(W918*'Methodology &amp; Assumptions'!$B$5)+(X918*'Methodology &amp; Assumptions'!$B$7), 2)</f>
        <v/>
      </c>
    </row>
    <row r="919" ht="19" customHeight="1">
      <c r="A919" s="35" t="n">
        <v>915</v>
      </c>
      <c r="B919" s="35" t="n">
        <v>3915</v>
      </c>
      <c r="C919" s="36" t="inlineStr">
        <is>
          <t>0203113025</t>
        </is>
      </c>
      <c r="D919" s="36" t="inlineStr">
        <is>
          <t>Region II (Cagayan Valley)</t>
        </is>
      </c>
      <c r="E919" s="36" t="inlineStr">
        <is>
          <t>Isabela</t>
        </is>
      </c>
      <c r="F919" s="36" t="inlineStr">
        <is>
          <t>Gamu</t>
        </is>
      </c>
      <c r="G919" s="36" t="inlineStr">
        <is>
          <t>Upi</t>
        </is>
      </c>
      <c r="H919" s="37" t="n">
        <v>17.0814</v>
      </c>
      <c r="I919" s="37" t="n">
        <v>121.8353</v>
      </c>
      <c r="J919" s="8" t="inlineStr">
        <is>
          <t>U</t>
        </is>
      </c>
      <c r="K919" s="36" t="inlineStr">
        <is>
          <t>2nd</t>
        </is>
      </c>
      <c r="L919" s="18" t="n">
        <v>5161</v>
      </c>
      <c r="M919" s="20" t="n">
        <v>4.4</v>
      </c>
      <c r="N919" s="18">
        <f>ROUND(L919/M919, 0)</f>
        <v/>
      </c>
      <c r="O919" s="18">
        <f>ROUND(N919*'Methodology &amp; Assumptions'!$B$8, 0)</f>
        <v/>
      </c>
      <c r="P919" s="8" t="inlineStr">
        <is>
          <t>Band n50 (1.5 GHz, 60 MHz)</t>
        </is>
      </c>
      <c r="Q919" s="38">
        <f>ROUNDUP(O919/'Methodology &amp; Assumptions'!$B$9, 0)</f>
        <v/>
      </c>
      <c r="R919" s="39" t="n">
        <v>1</v>
      </c>
      <c r="S919" s="21" t="n">
        <v>1.87</v>
      </c>
      <c r="T919" s="21" t="n">
        <v>1.71</v>
      </c>
      <c r="U919" s="36" t="inlineStr">
        <is>
          <t>Tier 1B (Micro Drop, 1-3 km)</t>
        </is>
      </c>
      <c r="V919" s="20" t="n">
        <v>63.5</v>
      </c>
      <c r="W919" s="20" t="n">
        <v>100</v>
      </c>
      <c r="X919" s="20" t="n">
        <v>28</v>
      </c>
      <c r="Y919" s="40">
        <f>ROUND((V919*'Methodology &amp; Assumptions'!$B$6)+(W919*'Methodology &amp; Assumptions'!$B$5)+(X919*'Methodology &amp; Assumptions'!$B$7), 2)</f>
        <v/>
      </c>
    </row>
    <row r="920" ht="19" customHeight="1">
      <c r="A920" s="41" t="n">
        <v>916</v>
      </c>
      <c r="B920" s="41" t="n">
        <v>3916</v>
      </c>
      <c r="C920" s="42" t="inlineStr">
        <is>
          <t>0304903057</t>
        </is>
      </c>
      <c r="D920" s="42" t="inlineStr">
        <is>
          <t>Region III (Central Luzon)</t>
        </is>
      </c>
      <c r="E920" s="42" t="inlineStr">
        <is>
          <t>Nueva Ecija</t>
        </is>
      </c>
      <c r="F920" s="42" t="inlineStr">
        <is>
          <t>City of Cabanatuan</t>
        </is>
      </c>
      <c r="G920" s="42" t="inlineStr">
        <is>
          <t>Pagas</t>
        </is>
      </c>
      <c r="H920" s="43" t="n">
        <v>15.502718</v>
      </c>
      <c r="I920" s="43" t="n">
        <v>120.953002</v>
      </c>
      <c r="J920" s="44" t="inlineStr">
        <is>
          <t>R</t>
        </is>
      </c>
      <c r="K920" s="42" t="inlineStr">
        <is>
          <t>Class 1-3 / Urban</t>
        </is>
      </c>
      <c r="L920" s="23" t="n">
        <v>3261</v>
      </c>
      <c r="M920" s="24" t="n">
        <v>4.32</v>
      </c>
      <c r="N920" s="23">
        <f>ROUND(L920/M920, 0)</f>
        <v/>
      </c>
      <c r="O920" s="23">
        <f>ROUND(N920*'Methodology &amp; Assumptions'!$B$8, 0)</f>
        <v/>
      </c>
      <c r="P920" s="44" t="inlineStr">
        <is>
          <t>Band n50 (1.5 GHz, 60 MHz)</t>
        </is>
      </c>
      <c r="Q920" s="38">
        <f>ROUNDUP(O920/'Methodology &amp; Assumptions'!$B$9, 0)</f>
        <v/>
      </c>
      <c r="R920" s="39" t="n">
        <v>1</v>
      </c>
      <c r="S920" s="25" t="n">
        <v>2.49</v>
      </c>
      <c r="T920" s="25" t="n">
        <v>0.98</v>
      </c>
      <c r="U920" s="42" t="inlineStr">
        <is>
          <t>Tier 1B (Micro Drop, 1-3 km)</t>
        </is>
      </c>
      <c r="V920" s="24" t="n">
        <v>53.5</v>
      </c>
      <c r="W920" s="24" t="n">
        <v>84.3</v>
      </c>
      <c r="X920" s="24" t="n">
        <v>58</v>
      </c>
      <c r="Y920" s="45">
        <f>ROUND((V920*'Methodology &amp; Assumptions'!$B$6)+(W920*'Methodology &amp; Assumptions'!$B$5)+(X920*'Methodology &amp; Assumptions'!$B$7), 2)</f>
        <v/>
      </c>
    </row>
    <row r="921" ht="19" customHeight="1">
      <c r="A921" s="35" t="n">
        <v>917</v>
      </c>
      <c r="B921" s="35" t="n">
        <v>3917</v>
      </c>
      <c r="C921" s="36" t="inlineStr">
        <is>
          <t>0105524015</t>
        </is>
      </c>
      <c r="D921" s="36" t="inlineStr">
        <is>
          <t>Region I (Ilocos Region)</t>
        </is>
      </c>
      <c r="E921" s="36" t="inlineStr">
        <is>
          <t>Pangasinan</t>
        </is>
      </c>
      <c r="F921" s="36" t="inlineStr">
        <is>
          <t>Malasiqui</t>
        </is>
      </c>
      <c r="G921" s="36" t="inlineStr">
        <is>
          <t>Barang</t>
        </is>
      </c>
      <c r="H921" s="37" t="n">
        <v>15.935812</v>
      </c>
      <c r="I921" s="37" t="n">
        <v>120.417931</v>
      </c>
      <c r="J921" s="8" t="inlineStr">
        <is>
          <t>R</t>
        </is>
      </c>
      <c r="K921" s="36" t="inlineStr">
        <is>
          <t>Class 1-3 / Urban</t>
        </is>
      </c>
      <c r="L921" s="18" t="n">
        <v>2700</v>
      </c>
      <c r="M921" s="20" t="n">
        <v>4.39</v>
      </c>
      <c r="N921" s="18">
        <f>ROUND(L921/M921, 0)</f>
        <v/>
      </c>
      <c r="O921" s="18">
        <f>ROUND(N921*'Methodology &amp; Assumptions'!$B$8, 0)</f>
        <v/>
      </c>
      <c r="P921" s="8" t="inlineStr">
        <is>
          <t>Band n50 (1.5 GHz, 60 MHz)</t>
        </is>
      </c>
      <c r="Q921" s="38">
        <f>ROUNDUP(O921/'Methodology &amp; Assumptions'!$B$9, 0)</f>
        <v/>
      </c>
      <c r="R921" s="39" t="n">
        <v>1</v>
      </c>
      <c r="S921" s="21" t="n">
        <v>1.81</v>
      </c>
      <c r="T921" s="21" t="n">
        <v>1.76</v>
      </c>
      <c r="U921" s="36" t="inlineStr">
        <is>
          <t>Tier 1B (Micro Drop, 1-3 km)</t>
        </is>
      </c>
      <c r="V921" s="20" t="n">
        <v>64.7</v>
      </c>
      <c r="W921" s="20" t="n">
        <v>73.09999999999999</v>
      </c>
      <c r="X921" s="20" t="n">
        <v>58</v>
      </c>
      <c r="Y921" s="40">
        <f>ROUND((V921*'Methodology &amp; Assumptions'!$B$6)+(W921*'Methodology &amp; Assumptions'!$B$5)+(X921*'Methodology &amp; Assumptions'!$B$7), 2)</f>
        <v/>
      </c>
    </row>
    <row r="922" ht="19" customHeight="1">
      <c r="A922" s="41" t="n">
        <v>918</v>
      </c>
      <c r="B922" s="41" t="n">
        <v>3918</v>
      </c>
      <c r="C922" s="42" t="inlineStr">
        <is>
          <t>0405649028</t>
        </is>
      </c>
      <c r="D922" s="42" t="inlineStr">
        <is>
          <t>Region IV-A (CALABARZON)</t>
        </is>
      </c>
      <c r="E922" s="42" t="inlineStr">
        <is>
          <t>Quezon</t>
        </is>
      </c>
      <c r="F922" s="42" t="inlineStr">
        <is>
          <t>Unisan</t>
        </is>
      </c>
      <c r="G922" s="42" t="inlineStr">
        <is>
          <t>R. Magsaysay</t>
        </is>
      </c>
      <c r="H922" s="43" t="n">
        <v>13.840696</v>
      </c>
      <c r="I922" s="43" t="n">
        <v>121.976856</v>
      </c>
      <c r="J922" s="44" t="inlineStr">
        <is>
          <t>R</t>
        </is>
      </c>
      <c r="K922" s="42" t="inlineStr">
        <is>
          <t>3rd</t>
        </is>
      </c>
      <c r="L922" s="23" t="n">
        <v>753</v>
      </c>
      <c r="M922" s="24" t="n">
        <v>4.27</v>
      </c>
      <c r="N922" s="23">
        <f>ROUND(L922/M922, 0)</f>
        <v/>
      </c>
      <c r="O922" s="23">
        <f>ROUND(N922*'Methodology &amp; Assumptions'!$B$8, 0)</f>
        <v/>
      </c>
      <c r="P922" s="44" t="inlineStr">
        <is>
          <t>Band n50 (1.5 GHz, 60 MHz)</t>
        </is>
      </c>
      <c r="Q922" s="38">
        <f>ROUNDUP(O922/'Methodology &amp; Assumptions'!$B$9, 0)</f>
        <v/>
      </c>
      <c r="R922" s="39" t="n">
        <v>1</v>
      </c>
      <c r="S922" s="25" t="n">
        <v>0.33</v>
      </c>
      <c r="T922" s="25" t="n">
        <v>0.33</v>
      </c>
      <c r="U922" s="42" t="inlineStr">
        <is>
          <t>Tier 1A (Direct Coloc, &lt;1 km)</t>
        </is>
      </c>
      <c r="V922" s="24" t="n">
        <v>99.7</v>
      </c>
      <c r="W922" s="24" t="n">
        <v>38.1</v>
      </c>
      <c r="X922" s="24" t="n">
        <v>58</v>
      </c>
      <c r="Y922" s="45">
        <f>ROUND((V922*'Methodology &amp; Assumptions'!$B$6)+(W922*'Methodology &amp; Assumptions'!$B$5)+(X922*'Methodology &amp; Assumptions'!$B$7), 2)</f>
        <v/>
      </c>
    </row>
    <row r="923" ht="19" customHeight="1">
      <c r="A923" s="35" t="n">
        <v>919</v>
      </c>
      <c r="B923" s="35" t="n">
        <v>3919</v>
      </c>
      <c r="C923" s="36" t="inlineStr">
        <is>
          <t>0301409022</t>
        </is>
      </c>
      <c r="D923" s="36" t="inlineStr">
        <is>
          <t>Region III (Central Luzon)</t>
        </is>
      </c>
      <c r="E923" s="36" t="inlineStr">
        <is>
          <t>Bulacan</t>
        </is>
      </c>
      <c r="F923" s="36" t="inlineStr">
        <is>
          <t>Hagonoy</t>
        </is>
      </c>
      <c r="G923" s="36" t="inlineStr">
        <is>
          <t>Santa Monica</t>
        </is>
      </c>
      <c r="H923" s="37" t="n">
        <v>14.839568</v>
      </c>
      <c r="I923" s="37" t="n">
        <v>120.738785</v>
      </c>
      <c r="J923" s="8" t="inlineStr">
        <is>
          <t>U</t>
        </is>
      </c>
      <c r="K923" s="36" t="inlineStr">
        <is>
          <t>Class 1-3 / Urban</t>
        </is>
      </c>
      <c r="L923" s="18" t="n">
        <v>8168</v>
      </c>
      <c r="M923" s="20" t="n">
        <v>4.1</v>
      </c>
      <c r="N923" s="18">
        <f>ROUND(L923/M923, 0)</f>
        <v/>
      </c>
      <c r="O923" s="18">
        <f>ROUND(N923*'Methodology &amp; Assumptions'!$B$8, 0)</f>
        <v/>
      </c>
      <c r="P923" s="8" t="inlineStr">
        <is>
          <t>Band n50 (1.5 GHz, 60 MHz)</t>
        </is>
      </c>
      <c r="Q923" s="38">
        <f>ROUNDUP(O923/'Methodology &amp; Assumptions'!$B$9, 0)</f>
        <v/>
      </c>
      <c r="R923" s="39" t="n">
        <v>1</v>
      </c>
      <c r="S923" s="21" t="n">
        <v>1.36</v>
      </c>
      <c r="T923" s="21" t="n">
        <v>2.48</v>
      </c>
      <c r="U923" s="36" t="inlineStr">
        <is>
          <t>Tier 1B (Micro Drop, 1-3 km)</t>
        </is>
      </c>
      <c r="V923" s="20" t="n">
        <v>63.5</v>
      </c>
      <c r="W923" s="20" t="n">
        <v>100</v>
      </c>
      <c r="X923" s="20" t="n">
        <v>28</v>
      </c>
      <c r="Y923" s="40">
        <f>ROUND((V923*'Methodology &amp; Assumptions'!$B$6)+(W923*'Methodology &amp; Assumptions'!$B$5)+(X923*'Methodology &amp; Assumptions'!$B$7), 2)</f>
        <v/>
      </c>
    </row>
    <row r="924" ht="19" customHeight="1">
      <c r="A924" s="41" t="n">
        <v>920</v>
      </c>
      <c r="B924" s="41" t="n">
        <v>3920</v>
      </c>
      <c r="C924" s="42" t="inlineStr">
        <is>
          <t>0401014031</t>
        </is>
      </c>
      <c r="D924" s="42" t="inlineStr">
        <is>
          <t>Region IV-A (CALABARZON)</t>
        </is>
      </c>
      <c r="E924" s="42" t="inlineStr">
        <is>
          <t>Batangas</t>
        </is>
      </c>
      <c r="F924" s="42" t="inlineStr">
        <is>
          <t>City of Lipa</t>
        </is>
      </c>
      <c r="G924" s="42" t="inlineStr">
        <is>
          <t>Mataas Na Lupa</t>
        </is>
      </c>
      <c r="H924" s="43" t="n">
        <v>13.94032</v>
      </c>
      <c r="I924" s="43" t="n">
        <v>121.14956</v>
      </c>
      <c r="J924" s="44" t="inlineStr">
        <is>
          <t>U</t>
        </is>
      </c>
      <c r="K924" s="42" t="inlineStr">
        <is>
          <t>Class 1-3 / Urban</t>
        </is>
      </c>
      <c r="L924" s="23" t="n">
        <v>4510</v>
      </c>
      <c r="M924" s="24" t="n">
        <v>4.62</v>
      </c>
      <c r="N924" s="23">
        <f>ROUND(L924/M924, 0)</f>
        <v/>
      </c>
      <c r="O924" s="23">
        <f>ROUND(N924*'Methodology &amp; Assumptions'!$B$8, 0)</f>
        <v/>
      </c>
      <c r="P924" s="44" t="inlineStr">
        <is>
          <t>Band n50 (1.5 GHz, 60 MHz)</t>
        </is>
      </c>
      <c r="Q924" s="38">
        <f>ROUNDUP(O924/'Methodology &amp; Assumptions'!$B$9, 0)</f>
        <v/>
      </c>
      <c r="R924" s="39" t="n">
        <v>1</v>
      </c>
      <c r="S924" s="25" t="n">
        <v>1.88</v>
      </c>
      <c r="T924" s="25" t="n">
        <v>0.22</v>
      </c>
      <c r="U924" s="42" t="inlineStr">
        <is>
          <t>Tier 1B (Micro Drop, 1-3 km)</t>
        </is>
      </c>
      <c r="V924" s="24" t="n">
        <v>63.5</v>
      </c>
      <c r="W924" s="24" t="n">
        <v>100</v>
      </c>
      <c r="X924" s="24" t="n">
        <v>28</v>
      </c>
      <c r="Y924" s="45">
        <f>ROUND((V924*'Methodology &amp; Assumptions'!$B$6)+(W924*'Methodology &amp; Assumptions'!$B$5)+(X924*'Methodology &amp; Assumptions'!$B$7), 2)</f>
        <v/>
      </c>
    </row>
    <row r="925" ht="19" customHeight="1">
      <c r="A925" s="35" t="n">
        <v>921</v>
      </c>
      <c r="B925" s="35" t="n">
        <v>3921</v>
      </c>
      <c r="C925" s="36" t="inlineStr">
        <is>
          <t>0501708029</t>
        </is>
      </c>
      <c r="D925" s="36" t="inlineStr">
        <is>
          <t>Region V (Bicol Region)</t>
        </is>
      </c>
      <c r="E925" s="36" t="inlineStr">
        <is>
          <t>Camarines Sur</t>
        </is>
      </c>
      <c r="F925" s="36" t="inlineStr">
        <is>
          <t>Calabanga</t>
        </is>
      </c>
      <c r="G925" s="36" t="inlineStr">
        <is>
          <t>Salvacion-Baybay</t>
        </is>
      </c>
      <c r="H925" s="37" t="n">
        <v>13.72136</v>
      </c>
      <c r="I925" s="37" t="n">
        <v>123.211041</v>
      </c>
      <c r="J925" s="8" t="inlineStr">
        <is>
          <t>R</t>
        </is>
      </c>
      <c r="K925" s="36" t="inlineStr">
        <is>
          <t>Class 1-3 / Urban</t>
        </is>
      </c>
      <c r="L925" s="18" t="n">
        <v>2802</v>
      </c>
      <c r="M925" s="20" t="n">
        <v>4.9</v>
      </c>
      <c r="N925" s="18">
        <f>ROUND(L925/M925, 0)</f>
        <v/>
      </c>
      <c r="O925" s="18">
        <f>ROUND(N925*'Methodology &amp; Assumptions'!$B$8, 0)</f>
        <v/>
      </c>
      <c r="P925" s="8" t="inlineStr">
        <is>
          <t>Band n50 (1.5 GHz, 60 MHz)</t>
        </is>
      </c>
      <c r="Q925" s="38">
        <f>ROUNDUP(O925/'Methodology &amp; Assumptions'!$B$9, 0)</f>
        <v/>
      </c>
      <c r="R925" s="39" t="n">
        <v>1</v>
      </c>
      <c r="S925" s="21" t="n">
        <v>1.64</v>
      </c>
      <c r="T925" s="21" t="n">
        <v>1.56</v>
      </c>
      <c r="U925" s="36" t="inlineStr">
        <is>
          <t>Tier 1B (Micro Drop, 1-3 km)</t>
        </is>
      </c>
      <c r="V925" s="20" t="n">
        <v>67.90000000000001</v>
      </c>
      <c r="W925" s="20" t="n">
        <v>69.90000000000001</v>
      </c>
      <c r="X925" s="20" t="n">
        <v>58</v>
      </c>
      <c r="Y925" s="40">
        <f>ROUND((V925*'Methodology &amp; Assumptions'!$B$6)+(W925*'Methodology &amp; Assumptions'!$B$5)+(X925*'Methodology &amp; Assumptions'!$B$7), 2)</f>
        <v/>
      </c>
    </row>
    <row r="926" ht="19" customHeight="1">
      <c r="A926" s="41" t="n">
        <v>922</v>
      </c>
      <c r="B926" s="41" t="n">
        <v>3922</v>
      </c>
      <c r="C926" s="42" t="inlineStr">
        <is>
          <t>0702250019</t>
        </is>
      </c>
      <c r="D926" s="42" t="inlineStr">
        <is>
          <t>Region VII (Central Visayas)</t>
        </is>
      </c>
      <c r="E926" s="42" t="inlineStr">
        <is>
          <t>Cebu</t>
        </is>
      </c>
      <c r="F926" s="42" t="inlineStr">
        <is>
          <t>City of Talisay</t>
        </is>
      </c>
      <c r="G926" s="42" t="inlineStr">
        <is>
          <t>Biasong</t>
        </is>
      </c>
      <c r="H926" s="43" t="n">
        <v>10.237442</v>
      </c>
      <c r="I926" s="43" t="n">
        <v>123.828601</v>
      </c>
      <c r="J926" s="44" t="inlineStr">
        <is>
          <t>U</t>
        </is>
      </c>
      <c r="K926" s="42" t="inlineStr">
        <is>
          <t>Class 1-3 / Urban</t>
        </is>
      </c>
      <c r="L926" s="23" t="n">
        <v>10418</v>
      </c>
      <c r="M926" s="24" t="n">
        <v>4.42</v>
      </c>
      <c r="N926" s="23">
        <f>ROUND(L926/M926, 0)</f>
        <v/>
      </c>
      <c r="O926" s="23">
        <f>ROUND(N926*'Methodology &amp; Assumptions'!$B$8, 0)</f>
        <v/>
      </c>
      <c r="P926" s="44" t="inlineStr">
        <is>
          <t>Band n50 (1.5 GHz, 60 MHz)</t>
        </is>
      </c>
      <c r="Q926" s="38">
        <f>ROUNDUP(O926/'Methodology &amp; Assumptions'!$B$9, 0)</f>
        <v/>
      </c>
      <c r="R926" s="39" t="n">
        <v>1</v>
      </c>
      <c r="S926" s="25" t="n">
        <v>1.88</v>
      </c>
      <c r="T926" s="25" t="n">
        <v>0.96</v>
      </c>
      <c r="U926" s="42" t="inlineStr">
        <is>
          <t>Tier 1B (Micro Drop, 1-3 km)</t>
        </is>
      </c>
      <c r="V926" s="24" t="n">
        <v>63.5</v>
      </c>
      <c r="W926" s="24" t="n">
        <v>100</v>
      </c>
      <c r="X926" s="24" t="n">
        <v>28</v>
      </c>
      <c r="Y926" s="45">
        <f>ROUND((V926*'Methodology &amp; Assumptions'!$B$6)+(W926*'Methodology &amp; Assumptions'!$B$5)+(X926*'Methodology &amp; Assumptions'!$B$7), 2)</f>
        <v/>
      </c>
    </row>
    <row r="927" ht="19" customHeight="1">
      <c r="A927" s="35" t="n">
        <v>923</v>
      </c>
      <c r="B927" s="35" t="n">
        <v>3923</v>
      </c>
      <c r="C927" s="36" t="inlineStr">
        <is>
          <t>0401028015</t>
        </is>
      </c>
      <c r="D927" s="36" t="inlineStr">
        <is>
          <t>Region IV-A (CALABARZON)</t>
        </is>
      </c>
      <c r="E927" s="36" t="inlineStr">
        <is>
          <t>Batangas</t>
        </is>
      </c>
      <c r="F927" s="36" t="inlineStr">
        <is>
          <t>City of Sto. Tomas</t>
        </is>
      </c>
      <c r="G927" s="36" t="inlineStr">
        <is>
          <t>San Juan</t>
        </is>
      </c>
      <c r="H927" s="37" t="n">
        <v>13.892878</v>
      </c>
      <c r="I927" s="37" t="n">
        <v>121.014871</v>
      </c>
      <c r="J927" s="8" t="inlineStr">
        <is>
          <t>R</t>
        </is>
      </c>
      <c r="K927" s="36" t="inlineStr">
        <is>
          <t>Class 1-3 / Urban</t>
        </is>
      </c>
      <c r="L927" s="18" t="n">
        <v>4178</v>
      </c>
      <c r="M927" s="20" t="n">
        <v>4.62</v>
      </c>
      <c r="N927" s="18">
        <f>ROUND(L927/M927, 0)</f>
        <v/>
      </c>
      <c r="O927" s="18">
        <f>ROUND(N927*'Methodology &amp; Assumptions'!$B$8, 0)</f>
        <v/>
      </c>
      <c r="P927" s="8" t="inlineStr">
        <is>
          <t>Band n50 (1.5 GHz, 60 MHz)</t>
        </is>
      </c>
      <c r="Q927" s="38">
        <f>ROUNDUP(O927/'Methodology &amp; Assumptions'!$B$9, 0)</f>
        <v/>
      </c>
      <c r="R927" s="39" t="n">
        <v>1</v>
      </c>
      <c r="S927" s="21" t="n">
        <v>3.75</v>
      </c>
      <c r="T927" s="21" t="n">
        <v>2.6</v>
      </c>
      <c r="U927" s="36" t="inlineStr">
        <is>
          <t>Tier 2 (Fiber Corridor / Lateral, 3-5 km)</t>
        </is>
      </c>
      <c r="V927" s="20" t="n">
        <v>28.6</v>
      </c>
      <c r="W927" s="20" t="n">
        <v>96.3</v>
      </c>
      <c r="X927" s="20" t="n">
        <v>73</v>
      </c>
      <c r="Y927" s="40">
        <f>ROUND((V927*'Methodology &amp; Assumptions'!$B$6)+(W927*'Methodology &amp; Assumptions'!$B$5)+(X927*'Methodology &amp; Assumptions'!$B$7), 2)</f>
        <v/>
      </c>
    </row>
    <row r="928" ht="19" customHeight="1">
      <c r="A928" s="41" t="n">
        <v>924</v>
      </c>
      <c r="B928" s="41" t="n">
        <v>3924</v>
      </c>
      <c r="C928" s="42" t="inlineStr">
        <is>
          <t>0306913005</t>
        </is>
      </c>
      <c r="D928" s="42" t="inlineStr">
        <is>
          <t>Region III (Central Luzon)</t>
        </is>
      </c>
      <c r="E928" s="42" t="inlineStr">
        <is>
          <t>Tarlac</t>
        </is>
      </c>
      <c r="F928" s="42" t="inlineStr">
        <is>
          <t>San Clemente</t>
        </is>
      </c>
      <c r="G928" s="42" t="inlineStr">
        <is>
          <t>Catagudingan</t>
        </is>
      </c>
      <c r="H928" s="43" t="n">
        <v>15.709276</v>
      </c>
      <c r="I928" s="43" t="n">
        <v>120.366857</v>
      </c>
      <c r="J928" s="44" t="inlineStr">
        <is>
          <t>R</t>
        </is>
      </c>
      <c r="K928" s="42" t="inlineStr">
        <is>
          <t>4th</t>
        </is>
      </c>
      <c r="L928" s="23" t="n">
        <v>690</v>
      </c>
      <c r="M928" s="24" t="n">
        <v>4.16</v>
      </c>
      <c r="N928" s="23">
        <f>ROUND(L928/M928, 0)</f>
        <v/>
      </c>
      <c r="O928" s="23">
        <f>ROUND(N928*'Methodology &amp; Assumptions'!$B$8, 0)</f>
        <v/>
      </c>
      <c r="P928" s="44" t="inlineStr">
        <is>
          <t>Band n50 (1.5 GHz, 60 MHz)</t>
        </is>
      </c>
      <c r="Q928" s="38">
        <f>ROUNDUP(O928/'Methodology &amp; Assumptions'!$B$9, 0)</f>
        <v/>
      </c>
      <c r="R928" s="39" t="n">
        <v>1</v>
      </c>
      <c r="S928" s="25" t="n">
        <v>0.27</v>
      </c>
      <c r="T928" s="25" t="n">
        <v>5.64</v>
      </c>
      <c r="U928" s="42" t="inlineStr">
        <is>
          <t>Tier 1A (Direct Coloc, &lt;1 km)</t>
        </is>
      </c>
      <c r="V928" s="24" t="n">
        <v>91.40000000000001</v>
      </c>
      <c r="W928" s="24" t="n">
        <v>37.3</v>
      </c>
      <c r="X928" s="24" t="n">
        <v>68.5</v>
      </c>
      <c r="Y928" s="45">
        <f>ROUND((V928*'Methodology &amp; Assumptions'!$B$6)+(W928*'Methodology &amp; Assumptions'!$B$5)+(X928*'Methodology &amp; Assumptions'!$B$7), 2)</f>
        <v/>
      </c>
    </row>
    <row r="929" ht="19" customHeight="1">
      <c r="A929" s="35" t="n">
        <v>925</v>
      </c>
      <c r="B929" s="35" t="n">
        <v>3925</v>
      </c>
      <c r="C929" s="36" t="inlineStr">
        <is>
          <t>1606807010</t>
        </is>
      </c>
      <c r="D929" s="36" t="inlineStr">
        <is>
          <t>Region XIII (Caraga)</t>
        </is>
      </c>
      <c r="E929" s="36" t="inlineStr">
        <is>
          <t>Surigao del Sur</t>
        </is>
      </c>
      <c r="F929" s="36" t="inlineStr">
        <is>
          <t>Carrascal</t>
        </is>
      </c>
      <c r="G929" s="36" t="inlineStr">
        <is>
          <t>Gamuton</t>
        </is>
      </c>
      <c r="H929" s="37" t="n">
        <v>9.35801</v>
      </c>
      <c r="I929" s="37" t="n">
        <v>125.934</v>
      </c>
      <c r="J929" s="8" t="inlineStr">
        <is>
          <t>R</t>
        </is>
      </c>
      <c r="K929" s="36" t="inlineStr">
        <is>
          <t>1st</t>
        </is>
      </c>
      <c r="L929" s="18" t="n">
        <v>2869</v>
      </c>
      <c r="M929" s="20" t="n">
        <v>4.46</v>
      </c>
      <c r="N929" s="18">
        <f>ROUND(L929/M929, 0)</f>
        <v/>
      </c>
      <c r="O929" s="18">
        <f>ROUND(N929*'Methodology &amp; Assumptions'!$B$8, 0)</f>
        <v/>
      </c>
      <c r="P929" s="8" t="inlineStr">
        <is>
          <t>Band n50 (1.5 GHz, 60 MHz)</t>
        </is>
      </c>
      <c r="Q929" s="38">
        <f>ROUNDUP(O929/'Methodology &amp; Assumptions'!$B$9, 0)</f>
        <v/>
      </c>
      <c r="R929" s="39" t="n">
        <v>1</v>
      </c>
      <c r="S929" s="21" t="n">
        <v>1.95</v>
      </c>
      <c r="T929" s="21" t="n">
        <v>0.86</v>
      </c>
      <c r="U929" s="36" t="inlineStr">
        <is>
          <t>Tier 1B (Micro Drop, 1-3 km)</t>
        </is>
      </c>
      <c r="V929" s="20" t="n">
        <v>62.3</v>
      </c>
      <c r="W929" s="20" t="n">
        <v>75.5</v>
      </c>
      <c r="X929" s="20" t="n">
        <v>58</v>
      </c>
      <c r="Y929" s="40">
        <f>ROUND((V929*'Methodology &amp; Assumptions'!$B$6)+(W929*'Methodology &amp; Assumptions'!$B$5)+(X929*'Methodology &amp; Assumptions'!$B$7), 2)</f>
        <v/>
      </c>
    </row>
    <row r="930" ht="19" customHeight="1">
      <c r="A930" s="41" t="n">
        <v>926</v>
      </c>
      <c r="B930" s="41" t="n">
        <v>3926</v>
      </c>
      <c r="C930" s="42" t="inlineStr">
        <is>
          <t>0402114025</t>
        </is>
      </c>
      <c r="D930" s="42" t="inlineStr">
        <is>
          <t>Region IV-A (CALABARZON)</t>
        </is>
      </c>
      <c r="E930" s="42" t="inlineStr">
        <is>
          <t>Cavite</t>
        </is>
      </c>
      <c r="F930" s="42" t="inlineStr">
        <is>
          <t>Mendez</t>
        </is>
      </c>
      <c r="G930" s="42" t="inlineStr">
        <is>
          <t>Panungyan II</t>
        </is>
      </c>
      <c r="H930" s="43" t="n">
        <v>14.137318</v>
      </c>
      <c r="I930" s="43" t="n">
        <v>120.895423</v>
      </c>
      <c r="J930" s="44" t="inlineStr">
        <is>
          <t>R</t>
        </is>
      </c>
      <c r="K930" s="42" t="inlineStr">
        <is>
          <t>2nd</t>
        </is>
      </c>
      <c r="L930" s="23" t="n">
        <v>1697</v>
      </c>
      <c r="M930" s="24" t="n">
        <v>4.37</v>
      </c>
      <c r="N930" s="23">
        <f>ROUND(L930/M930, 0)</f>
        <v/>
      </c>
      <c r="O930" s="23">
        <f>ROUND(N930*'Methodology &amp; Assumptions'!$B$8, 0)</f>
        <v/>
      </c>
      <c r="P930" s="44" t="inlineStr">
        <is>
          <t>Band n50 (1.5 GHz, 60 MHz)</t>
        </is>
      </c>
      <c r="Q930" s="38">
        <f>ROUNDUP(O930/'Methodology &amp; Assumptions'!$B$9, 0)</f>
        <v/>
      </c>
      <c r="R930" s="39" t="n">
        <v>1</v>
      </c>
      <c r="S930" s="25" t="n">
        <v>0.57</v>
      </c>
      <c r="T930" s="25" t="n">
        <v>5.1</v>
      </c>
      <c r="U930" s="42" t="inlineStr">
        <is>
          <t>Tier 1A (Direct Coloc, &lt;1 km)</t>
        </is>
      </c>
      <c r="V930" s="24" t="n">
        <v>82.8</v>
      </c>
      <c r="W930" s="24" t="n">
        <v>54.9</v>
      </c>
      <c r="X930" s="24" t="n">
        <v>58</v>
      </c>
      <c r="Y930" s="45">
        <f>ROUND((V930*'Methodology &amp; Assumptions'!$B$6)+(W930*'Methodology &amp; Assumptions'!$B$5)+(X930*'Methodology &amp; Assumptions'!$B$7), 2)</f>
        <v/>
      </c>
    </row>
    <row r="931" ht="19" customHeight="1">
      <c r="A931" s="35" t="n">
        <v>927</v>
      </c>
      <c r="B931" s="35" t="n">
        <v>3927</v>
      </c>
      <c r="C931" s="36" t="inlineStr">
        <is>
          <t>1430300151</t>
        </is>
      </c>
      <c r="D931" s="36" t="inlineStr">
        <is>
          <t>Cordillera Administrative Region (CAR)</t>
        </is>
      </c>
      <c r="E931" s="36" t="inlineStr">
        <is>
          <t>Benguet</t>
        </is>
      </c>
      <c r="F931" s="36" t="inlineStr">
        <is>
          <t>City of Baguio</t>
        </is>
      </c>
      <c r="G931" s="36" t="inlineStr">
        <is>
          <t>Rock Quarry, Middle</t>
        </is>
      </c>
      <c r="H931" s="37" t="n">
        <v>16.40849</v>
      </c>
      <c r="I931" s="37" t="n">
        <v>120.58614</v>
      </c>
      <c r="J931" s="8" t="inlineStr">
        <is>
          <t>R</t>
        </is>
      </c>
      <c r="K931" s="36" t="inlineStr">
        <is>
          <t>Class 1-3 / Urban</t>
        </is>
      </c>
      <c r="L931" s="18" t="n">
        <v>1680</v>
      </c>
      <c r="M931" s="20" t="n">
        <v>4.58</v>
      </c>
      <c r="N931" s="18">
        <f>ROUND(L931/M931, 0)</f>
        <v/>
      </c>
      <c r="O931" s="18">
        <f>ROUND(N931*'Methodology &amp; Assumptions'!$B$8, 0)</f>
        <v/>
      </c>
      <c r="P931" s="8" t="inlineStr">
        <is>
          <t>Band n50 (1.5 GHz, 60 MHz)</t>
        </is>
      </c>
      <c r="Q931" s="38">
        <f>ROUNDUP(O931/'Methodology &amp; Assumptions'!$B$9, 0)</f>
        <v/>
      </c>
      <c r="R931" s="39" t="n">
        <v>1</v>
      </c>
      <c r="S931" s="21" t="n">
        <v>0.73</v>
      </c>
      <c r="T931" s="21" t="n">
        <v>0.23</v>
      </c>
      <c r="U931" s="36" t="inlineStr">
        <is>
          <t>Tier 1A (Direct Coloc, &lt;1 km)</t>
        </is>
      </c>
      <c r="V931" s="20" t="n">
        <v>88.40000000000001</v>
      </c>
      <c r="W931" s="20" t="n">
        <v>49.3</v>
      </c>
      <c r="X931" s="20" t="n">
        <v>58</v>
      </c>
      <c r="Y931" s="40">
        <f>ROUND((V931*'Methodology &amp; Assumptions'!$B$6)+(W931*'Methodology &amp; Assumptions'!$B$5)+(X931*'Methodology &amp; Assumptions'!$B$7), 2)</f>
        <v/>
      </c>
    </row>
    <row r="932" ht="19" customHeight="1">
      <c r="A932" s="41" t="n">
        <v>928</v>
      </c>
      <c r="B932" s="41" t="n">
        <v>3928</v>
      </c>
      <c r="C932" s="42" t="inlineStr">
        <is>
          <t>0306912001</t>
        </is>
      </c>
      <c r="D932" s="42" t="inlineStr">
        <is>
          <t>Region III (Central Luzon)</t>
        </is>
      </c>
      <c r="E932" s="42" t="inlineStr">
        <is>
          <t>Tarlac</t>
        </is>
      </c>
      <c r="F932" s="42" t="inlineStr">
        <is>
          <t>Ramos</t>
        </is>
      </c>
      <c r="G932" s="42" t="inlineStr">
        <is>
          <t>Coral-Iloco</t>
        </is>
      </c>
      <c r="H932" s="43" t="n">
        <v>15.674001</v>
      </c>
      <c r="I932" s="43" t="n">
        <v>120.638295</v>
      </c>
      <c r="J932" s="44" t="inlineStr">
        <is>
          <t>R</t>
        </is>
      </c>
      <c r="K932" s="42" t="inlineStr">
        <is>
          <t>4th</t>
        </is>
      </c>
      <c r="L932" s="23" t="n">
        <v>4270</v>
      </c>
      <c r="M932" s="24" t="n">
        <v>4.46</v>
      </c>
      <c r="N932" s="23">
        <f>ROUND(L932/M932, 0)</f>
        <v/>
      </c>
      <c r="O932" s="23">
        <f>ROUND(N932*'Methodology &amp; Assumptions'!$B$8, 0)</f>
        <v/>
      </c>
      <c r="P932" s="44" t="inlineStr">
        <is>
          <t>Band n50 (1.5 GHz, 60 MHz)</t>
        </is>
      </c>
      <c r="Q932" s="38">
        <f>ROUNDUP(O932/'Methodology &amp; Assumptions'!$B$9, 0)</f>
        <v/>
      </c>
      <c r="R932" s="39" t="n">
        <v>1</v>
      </c>
      <c r="S932" s="25" t="n">
        <v>5.52</v>
      </c>
      <c r="T932" s="25" t="n">
        <v>5.56</v>
      </c>
      <c r="U932" s="42" t="inlineStr">
        <is>
          <t>Tier 3 (Feeder Lateral, 5-10 km)</t>
        </is>
      </c>
      <c r="V932" s="24" t="n">
        <v>15.9</v>
      </c>
      <c r="W932" s="24" t="n">
        <v>100</v>
      </c>
      <c r="X932" s="24" t="n">
        <v>83.5</v>
      </c>
      <c r="Y932" s="45">
        <f>ROUND((V932*'Methodology &amp; Assumptions'!$B$6)+(W932*'Methodology &amp; Assumptions'!$B$5)+(X932*'Methodology &amp; Assumptions'!$B$7), 2)</f>
        <v/>
      </c>
    </row>
    <row r="933" ht="19" customHeight="1">
      <c r="A933" s="35" t="n">
        <v>929</v>
      </c>
      <c r="B933" s="35" t="n">
        <v>3929</v>
      </c>
      <c r="C933" s="36" t="inlineStr">
        <is>
          <t>0307114002</t>
        </is>
      </c>
      <c r="D933" s="36" t="inlineStr">
        <is>
          <t>Region III (Central Luzon)</t>
        </is>
      </c>
      <c r="E933" s="36" t="inlineStr">
        <is>
          <t>Zambales</t>
        </is>
      </c>
      <c r="F933" s="36" t="inlineStr">
        <is>
          <t>Subic</t>
        </is>
      </c>
      <c r="G933" s="36" t="inlineStr">
        <is>
          <t>Asinan Poblacion</t>
        </is>
      </c>
      <c r="H933" s="37" t="n">
        <v>14.880218</v>
      </c>
      <c r="I933" s="37" t="n">
        <v>120.233397</v>
      </c>
      <c r="J933" s="8" t="inlineStr">
        <is>
          <t>R</t>
        </is>
      </c>
      <c r="K933" s="36" t="inlineStr">
        <is>
          <t>Class 1-3 / Urban</t>
        </is>
      </c>
      <c r="L933" s="18" t="n">
        <v>1072</v>
      </c>
      <c r="M933" s="20" t="n">
        <v>4.05</v>
      </c>
      <c r="N933" s="18">
        <f>ROUND(L933/M933, 0)</f>
        <v/>
      </c>
      <c r="O933" s="18">
        <f>ROUND(N933*'Methodology &amp; Assumptions'!$B$8, 0)</f>
        <v/>
      </c>
      <c r="P933" s="8" t="inlineStr">
        <is>
          <t>Band n50 (1.5 GHz, 60 MHz)</t>
        </is>
      </c>
      <c r="Q933" s="38">
        <f>ROUNDUP(O933/'Methodology &amp; Assumptions'!$B$9, 0)</f>
        <v/>
      </c>
      <c r="R933" s="39" t="n">
        <v>1</v>
      </c>
      <c r="S933" s="21" t="n">
        <v>1.09</v>
      </c>
      <c r="T933" s="21" t="n">
        <v>0.14</v>
      </c>
      <c r="U933" s="36" t="inlineStr">
        <is>
          <t>Tier 1B (Micro Drop, 1-3 km)</t>
        </is>
      </c>
      <c r="V933" s="20" t="n">
        <v>79.5</v>
      </c>
      <c r="W933" s="20" t="n">
        <v>45.3</v>
      </c>
      <c r="X933" s="20" t="n">
        <v>73</v>
      </c>
      <c r="Y933" s="40">
        <f>ROUND((V933*'Methodology &amp; Assumptions'!$B$6)+(W933*'Methodology &amp; Assumptions'!$B$5)+(X933*'Methodology &amp; Assumptions'!$B$7), 2)</f>
        <v/>
      </c>
    </row>
    <row r="934" ht="19" customHeight="1">
      <c r="A934" s="41" t="n">
        <v>930</v>
      </c>
      <c r="B934" s="41" t="n">
        <v>3930</v>
      </c>
      <c r="C934" s="42" t="inlineStr">
        <is>
          <t>0803738083</t>
        </is>
      </c>
      <c r="D934" s="42" t="inlineStr">
        <is>
          <t>Region VIII (Eastern Visayas)</t>
        </is>
      </c>
      <c r="E934" s="42" t="inlineStr">
        <is>
          <t>Leyte</t>
        </is>
      </c>
      <c r="F934" s="42" t="inlineStr">
        <is>
          <t>Ormoc City</t>
        </is>
      </c>
      <c r="G934" s="42" t="inlineStr">
        <is>
          <t>San Jose</t>
        </is>
      </c>
      <c r="H934" s="43" t="n">
        <v>11.17163</v>
      </c>
      <c r="I934" s="43" t="n">
        <v>124.976241</v>
      </c>
      <c r="J934" s="44" t="inlineStr">
        <is>
          <t>R</t>
        </is>
      </c>
      <c r="K934" s="42" t="inlineStr">
        <is>
          <t>Class 1-3 / Urban</t>
        </is>
      </c>
      <c r="L934" s="23" t="n">
        <v>3893</v>
      </c>
      <c r="M934" s="24" t="n">
        <v>4.24</v>
      </c>
      <c r="N934" s="23">
        <f>ROUND(L934/M934, 0)</f>
        <v/>
      </c>
      <c r="O934" s="23">
        <f>ROUND(N934*'Methodology &amp; Assumptions'!$B$8, 0)</f>
        <v/>
      </c>
      <c r="P934" s="44" t="inlineStr">
        <is>
          <t>Band n50 (1.5 GHz, 60 MHz)</t>
        </is>
      </c>
      <c r="Q934" s="38">
        <f>ROUNDUP(O934/'Methodology &amp; Assumptions'!$B$9, 0)</f>
        <v/>
      </c>
      <c r="R934" s="39" t="n">
        <v>1</v>
      </c>
      <c r="S934" s="25" t="n">
        <v>3.57</v>
      </c>
      <c r="T934" s="25" t="n">
        <v>0.52</v>
      </c>
      <c r="U934" s="42" t="inlineStr">
        <is>
          <t>Tier 2 (Fiber Corridor / Lateral, 3-5 km)</t>
        </is>
      </c>
      <c r="V934" s="24" t="n">
        <v>40.4</v>
      </c>
      <c r="W934" s="24" t="n">
        <v>97.3</v>
      </c>
      <c r="X934" s="24" t="n">
        <v>58</v>
      </c>
      <c r="Y934" s="45">
        <f>ROUND((V934*'Methodology &amp; Assumptions'!$B$6)+(W934*'Methodology &amp; Assumptions'!$B$5)+(X934*'Methodology &amp; Assumptions'!$B$7), 2)</f>
        <v/>
      </c>
    </row>
    <row r="935" ht="19" customHeight="1">
      <c r="A935" s="35" t="n">
        <v>931</v>
      </c>
      <c r="B935" s="35" t="n">
        <v>3931</v>
      </c>
      <c r="C935" s="36" t="inlineStr">
        <is>
          <t>0604530006</t>
        </is>
      </c>
      <c r="D935" s="36" t="inlineStr">
        <is>
          <t>Region VI (Western Visayas)</t>
        </is>
      </c>
      <c r="E935" s="36" t="inlineStr">
        <is>
          <t>Negros Occidental</t>
        </is>
      </c>
      <c r="F935" s="36" t="inlineStr">
        <is>
          <t>Valladolid</t>
        </is>
      </c>
      <c r="G935" s="36" t="inlineStr">
        <is>
          <t>Central Tabao</t>
        </is>
      </c>
      <c r="H935" s="37" t="n">
        <v>10.440328</v>
      </c>
      <c r="I935" s="37" t="n">
        <v>122.826085</v>
      </c>
      <c r="J935" s="8" t="inlineStr">
        <is>
          <t>R</t>
        </is>
      </c>
      <c r="K935" s="36" t="inlineStr">
        <is>
          <t>2nd</t>
        </is>
      </c>
      <c r="L935" s="18" t="n">
        <v>3477</v>
      </c>
      <c r="M935" s="20" t="n">
        <v>4.26</v>
      </c>
      <c r="N935" s="18">
        <f>ROUND(L935/M935, 0)</f>
        <v/>
      </c>
      <c r="O935" s="18">
        <f>ROUND(N935*'Methodology &amp; Assumptions'!$B$8, 0)</f>
        <v/>
      </c>
      <c r="P935" s="8" t="inlineStr">
        <is>
          <t>Band n50 (1.5 GHz, 60 MHz)</t>
        </is>
      </c>
      <c r="Q935" s="38">
        <f>ROUNDUP(O935/'Methodology &amp; Assumptions'!$B$9, 0)</f>
        <v/>
      </c>
      <c r="R935" s="39" t="n">
        <v>1</v>
      </c>
      <c r="S935" s="21" t="n">
        <v>2.87</v>
      </c>
      <c r="T935" s="21" t="n">
        <v>0.66</v>
      </c>
      <c r="U935" s="36" t="inlineStr">
        <is>
          <t>Tier 1B (Micro Drop, 1-3 km)</t>
        </is>
      </c>
      <c r="V935" s="20" t="n">
        <v>48.4</v>
      </c>
      <c r="W935" s="20" t="n">
        <v>89.3</v>
      </c>
      <c r="X935" s="20" t="n">
        <v>58</v>
      </c>
      <c r="Y935" s="40">
        <f>ROUND((V935*'Methodology &amp; Assumptions'!$B$6)+(W935*'Methodology &amp; Assumptions'!$B$5)+(X935*'Methodology &amp; Assumptions'!$B$7), 2)</f>
        <v/>
      </c>
    </row>
    <row r="936" ht="19" customHeight="1">
      <c r="A936" s="41" t="n">
        <v>932</v>
      </c>
      <c r="B936" s="41" t="n">
        <v>3932</v>
      </c>
      <c r="C936" s="42" t="inlineStr">
        <is>
          <t>0403420013</t>
        </is>
      </c>
      <c r="D936" s="42" t="inlineStr">
        <is>
          <t>Region IV-A (CALABARZON)</t>
        </is>
      </c>
      <c r="E936" s="42" t="inlineStr">
        <is>
          <t>Laguna</t>
        </is>
      </c>
      <c r="F936" s="42" t="inlineStr">
        <is>
          <t>Pakil</t>
        </is>
      </c>
      <c r="G936" s="42" t="inlineStr">
        <is>
          <t>Tavera</t>
        </is>
      </c>
      <c r="H936" s="43" t="n">
        <v>14.388108</v>
      </c>
      <c r="I936" s="43" t="n">
        <v>121.477364</v>
      </c>
      <c r="J936" s="44" t="inlineStr">
        <is>
          <t>R</t>
        </is>
      </c>
      <c r="K936" s="42" t="inlineStr">
        <is>
          <t>3rd</t>
        </is>
      </c>
      <c r="L936" s="23" t="n">
        <v>1810</v>
      </c>
      <c r="M936" s="24" t="n">
        <v>4.49</v>
      </c>
      <c r="N936" s="23">
        <f>ROUND(L936/M936, 0)</f>
        <v/>
      </c>
      <c r="O936" s="23">
        <f>ROUND(N936*'Methodology &amp; Assumptions'!$B$8, 0)</f>
        <v/>
      </c>
      <c r="P936" s="44" t="inlineStr">
        <is>
          <t>Band n50 (1.5 GHz, 60 MHz)</t>
        </is>
      </c>
      <c r="Q936" s="38">
        <f>ROUNDUP(O936/'Methodology &amp; Assumptions'!$B$9, 0)</f>
        <v/>
      </c>
      <c r="R936" s="39" t="n">
        <v>1</v>
      </c>
      <c r="S936" s="25" t="n">
        <v>1.01</v>
      </c>
      <c r="T936" s="25" t="n">
        <v>0.07000000000000001</v>
      </c>
      <c r="U936" s="42" t="inlineStr">
        <is>
          <t>Tier 1B (Micro Drop, 1-3 km)</t>
        </is>
      </c>
      <c r="V936" s="24" t="n">
        <v>81.40000000000001</v>
      </c>
      <c r="W936" s="24" t="n">
        <v>56.3</v>
      </c>
      <c r="X936" s="24" t="n">
        <v>58</v>
      </c>
      <c r="Y936" s="45">
        <f>ROUND((V936*'Methodology &amp; Assumptions'!$B$6)+(W936*'Methodology &amp; Assumptions'!$B$5)+(X936*'Methodology &amp; Assumptions'!$B$7), 2)</f>
        <v/>
      </c>
    </row>
    <row r="937" ht="19" customHeight="1">
      <c r="A937" s="35" t="n">
        <v>933</v>
      </c>
      <c r="B937" s="35" t="n">
        <v>3933</v>
      </c>
      <c r="C937" s="36" t="inlineStr">
        <is>
          <t>0405644015</t>
        </is>
      </c>
      <c r="D937" s="36" t="inlineStr">
        <is>
          <t>Region IV-A (CALABARZON)</t>
        </is>
      </c>
      <c r="E937" s="36" t="inlineStr">
        <is>
          <t>Quezon</t>
        </is>
      </c>
      <c r="F937" s="36" t="inlineStr">
        <is>
          <t>San Narciso</t>
        </is>
      </c>
      <c r="G937" s="36" t="inlineStr">
        <is>
          <t>Bayanihan</t>
        </is>
      </c>
      <c r="H937" s="37" t="n">
        <v>13.569835</v>
      </c>
      <c r="I937" s="37" t="n">
        <v>122.560936</v>
      </c>
      <c r="J937" s="8" t="inlineStr">
        <is>
          <t>R</t>
        </is>
      </c>
      <c r="K937" s="36" t="inlineStr">
        <is>
          <t>Class 1-3 / Urban</t>
        </is>
      </c>
      <c r="L937" s="18" t="n">
        <v>1566</v>
      </c>
      <c r="M937" s="20" t="n">
        <v>4.46</v>
      </c>
      <c r="N937" s="18">
        <f>ROUND(L937/M937, 0)</f>
        <v/>
      </c>
      <c r="O937" s="18">
        <f>ROUND(N937*'Methodology &amp; Assumptions'!$B$8, 0)</f>
        <v/>
      </c>
      <c r="P937" s="8" t="inlineStr">
        <is>
          <t>Band n50 (1.5 GHz, 60 MHz)</t>
        </is>
      </c>
      <c r="Q937" s="38">
        <f>ROUNDUP(O937/'Methodology &amp; Assumptions'!$B$9, 0)</f>
        <v/>
      </c>
      <c r="R937" s="39" t="n">
        <v>1</v>
      </c>
      <c r="S937" s="21" t="n">
        <v>0.84</v>
      </c>
      <c r="T937" s="21" t="n">
        <v>0.83</v>
      </c>
      <c r="U937" s="36" t="inlineStr">
        <is>
          <t>Tier 1A (Direct Coloc, &lt;1 km)</t>
        </is>
      </c>
      <c r="V937" s="20" t="n">
        <v>85.7</v>
      </c>
      <c r="W937" s="20" t="n">
        <v>52</v>
      </c>
      <c r="X937" s="20" t="n">
        <v>58</v>
      </c>
      <c r="Y937" s="40">
        <f>ROUND((V937*'Methodology &amp; Assumptions'!$B$6)+(W937*'Methodology &amp; Assumptions'!$B$5)+(X937*'Methodology &amp; Assumptions'!$B$7), 2)</f>
        <v/>
      </c>
    </row>
    <row r="938" ht="19" customHeight="1">
      <c r="A938" s="41" t="n">
        <v>934</v>
      </c>
      <c r="B938" s="41" t="n">
        <v>3934</v>
      </c>
      <c r="C938" s="42" t="inlineStr">
        <is>
          <t>0103309004</t>
        </is>
      </c>
      <c r="D938" s="42" t="inlineStr">
        <is>
          <t>Region I (Ilocos Region)</t>
        </is>
      </c>
      <c r="E938" s="42" t="inlineStr">
        <is>
          <t>La Union</t>
        </is>
      </c>
      <c r="F938" s="42" t="inlineStr">
        <is>
          <t>Caba</t>
        </is>
      </c>
      <c r="G938" s="42" t="inlineStr">
        <is>
          <t>Las-ud</t>
        </is>
      </c>
      <c r="H938" s="43" t="n">
        <v>16.429666</v>
      </c>
      <c r="I938" s="43" t="n">
        <v>120.339934</v>
      </c>
      <c r="J938" s="44" t="inlineStr">
        <is>
          <t>R</t>
        </is>
      </c>
      <c r="K938" s="42" t="inlineStr">
        <is>
          <t>1st</t>
        </is>
      </c>
      <c r="L938" s="23" t="n">
        <v>1350</v>
      </c>
      <c r="M938" s="24" t="n">
        <v>4.2</v>
      </c>
      <c r="N938" s="23">
        <f>ROUND(L938/M938, 0)</f>
        <v/>
      </c>
      <c r="O938" s="23">
        <f>ROUND(N938*'Methodology &amp; Assumptions'!$B$8, 0)</f>
        <v/>
      </c>
      <c r="P938" s="44" t="inlineStr">
        <is>
          <t>Band n50 (1.5 GHz, 60 MHz)</t>
        </is>
      </c>
      <c r="Q938" s="38">
        <f>ROUNDUP(O938/'Methodology &amp; Assumptions'!$B$9, 0)</f>
        <v/>
      </c>
      <c r="R938" s="39" t="n">
        <v>1</v>
      </c>
      <c r="S938" s="25" t="n">
        <v>0.74</v>
      </c>
      <c r="T938" s="25" t="n">
        <v>0.68</v>
      </c>
      <c r="U938" s="42" t="inlineStr">
        <is>
          <t>Tier 1A (Direct Coloc, &lt;1 km)</t>
        </is>
      </c>
      <c r="V938" s="24" t="n">
        <v>88.09999999999999</v>
      </c>
      <c r="W938" s="24" t="n">
        <v>49.6</v>
      </c>
      <c r="X938" s="24" t="n">
        <v>58</v>
      </c>
      <c r="Y938" s="45">
        <f>ROUND((V938*'Methodology &amp; Assumptions'!$B$6)+(W938*'Methodology &amp; Assumptions'!$B$5)+(X938*'Methodology &amp; Assumptions'!$B$7), 2)</f>
        <v/>
      </c>
    </row>
    <row r="939" ht="19" customHeight="1">
      <c r="A939" s="35" t="n">
        <v>935</v>
      </c>
      <c r="B939" s="35" t="n">
        <v>3935</v>
      </c>
      <c r="C939" s="36" t="inlineStr">
        <is>
          <t>0102821012</t>
        </is>
      </c>
      <c r="D939" s="36" t="inlineStr">
        <is>
          <t>Region I (Ilocos Region)</t>
        </is>
      </c>
      <c r="E939" s="36" t="inlineStr">
        <is>
          <t>Ilocos Norte</t>
        </is>
      </c>
      <c r="F939" s="36" t="inlineStr">
        <is>
          <t>Sarrat</t>
        </is>
      </c>
      <c r="G939" s="36" t="inlineStr">
        <is>
          <t>San Leandro</t>
        </is>
      </c>
      <c r="H939" s="37" t="n">
        <v>18.152697</v>
      </c>
      <c r="I939" s="37" t="n">
        <v>120.648032</v>
      </c>
      <c r="J939" s="8" t="inlineStr">
        <is>
          <t>R</t>
        </is>
      </c>
      <c r="K939" s="36" t="inlineStr">
        <is>
          <t>2nd</t>
        </is>
      </c>
      <c r="L939" s="18" t="n">
        <v>1268</v>
      </c>
      <c r="M939" s="20" t="n">
        <v>4.38</v>
      </c>
      <c r="N939" s="18">
        <f>ROUND(L939/M939, 0)</f>
        <v/>
      </c>
      <c r="O939" s="18">
        <f>ROUND(N939*'Methodology &amp; Assumptions'!$B$8, 0)</f>
        <v/>
      </c>
      <c r="P939" s="8" t="inlineStr">
        <is>
          <t>Band n50 (1.5 GHz, 60 MHz)</t>
        </is>
      </c>
      <c r="Q939" s="38">
        <f>ROUNDUP(O939/'Methodology &amp; Assumptions'!$B$9, 0)</f>
        <v/>
      </c>
      <c r="R939" s="39" t="n">
        <v>1</v>
      </c>
      <c r="S939" s="21" t="n">
        <v>0.3</v>
      </c>
      <c r="T939" s="21" t="n">
        <v>4.77</v>
      </c>
      <c r="U939" s="36" t="inlineStr">
        <is>
          <t>Tier 1A (Direct Coloc, &lt;1 km)</t>
        </is>
      </c>
      <c r="V939" s="20" t="n">
        <v>90.5</v>
      </c>
      <c r="W939" s="20" t="n">
        <v>47.2</v>
      </c>
      <c r="X939" s="20" t="n">
        <v>58</v>
      </c>
      <c r="Y939" s="40">
        <f>ROUND((V939*'Methodology &amp; Assumptions'!$B$6)+(W939*'Methodology &amp; Assumptions'!$B$5)+(X939*'Methodology &amp; Assumptions'!$B$7), 2)</f>
        <v/>
      </c>
    </row>
    <row r="940" ht="19" customHeight="1">
      <c r="A940" s="41" t="n">
        <v>936</v>
      </c>
      <c r="B940" s="41" t="n">
        <v>3936</v>
      </c>
      <c r="C940" s="42" t="inlineStr">
        <is>
          <t>0305416008</t>
        </is>
      </c>
      <c r="D940" s="42" t="inlineStr">
        <is>
          <t>Region III (Central Luzon)</t>
        </is>
      </c>
      <c r="E940" s="42" t="inlineStr">
        <is>
          <t>Pampanga</t>
        </is>
      </c>
      <c r="F940" s="42" t="inlineStr">
        <is>
          <t>City of San Fernando</t>
        </is>
      </c>
      <c r="G940" s="42" t="inlineStr">
        <is>
          <t>Del Pilar</t>
        </is>
      </c>
      <c r="H940" s="43" t="n">
        <v>15.033193</v>
      </c>
      <c r="I940" s="43" t="n">
        <v>120.69735</v>
      </c>
      <c r="J940" s="44" t="inlineStr">
        <is>
          <t>U</t>
        </is>
      </c>
      <c r="K940" s="42" t="inlineStr">
        <is>
          <t>Class 1-3 / Urban</t>
        </is>
      </c>
      <c r="L940" s="23" t="n">
        <v>10832</v>
      </c>
      <c r="M940" s="24" t="n">
        <v>4.63</v>
      </c>
      <c r="N940" s="23">
        <f>ROUND(L940/M940, 0)</f>
        <v/>
      </c>
      <c r="O940" s="23">
        <f>ROUND(N940*'Methodology &amp; Assumptions'!$B$8, 0)</f>
        <v/>
      </c>
      <c r="P940" s="44" t="inlineStr">
        <is>
          <t>Band n50 (1.5 GHz, 60 MHz)</t>
        </is>
      </c>
      <c r="Q940" s="38">
        <f>ROUNDUP(O940/'Methodology &amp; Assumptions'!$B$9, 0)</f>
        <v/>
      </c>
      <c r="R940" s="39" t="n">
        <v>1</v>
      </c>
      <c r="S940" s="25" t="n">
        <v>1.88</v>
      </c>
      <c r="T940" s="25" t="n">
        <v>0.17</v>
      </c>
      <c r="U940" s="42" t="inlineStr">
        <is>
          <t>Tier 1B (Micro Drop, 1-3 km)</t>
        </is>
      </c>
      <c r="V940" s="24" t="n">
        <v>63.4</v>
      </c>
      <c r="W940" s="24" t="n">
        <v>100</v>
      </c>
      <c r="X940" s="24" t="n">
        <v>28</v>
      </c>
      <c r="Y940" s="45">
        <f>ROUND((V940*'Methodology &amp; Assumptions'!$B$6)+(W940*'Methodology &amp; Assumptions'!$B$5)+(X940*'Methodology &amp; Assumptions'!$B$7), 2)</f>
        <v/>
      </c>
    </row>
    <row r="941" ht="19" customHeight="1">
      <c r="A941" s="35" t="n">
        <v>937</v>
      </c>
      <c r="B941" s="35" t="n">
        <v>3937</v>
      </c>
      <c r="C941" s="36" t="inlineStr">
        <is>
          <t>0401020025</t>
        </is>
      </c>
      <c r="D941" s="36" t="inlineStr">
        <is>
          <t>Region IV-A (CALABARZON)</t>
        </is>
      </c>
      <c r="E941" s="36" t="inlineStr">
        <is>
          <t>Batangas</t>
        </is>
      </c>
      <c r="F941" s="36" t="inlineStr">
        <is>
          <t>Padre Garcia</t>
        </is>
      </c>
      <c r="G941" s="36" t="inlineStr">
        <is>
          <t>Quilo-quilo South</t>
        </is>
      </c>
      <c r="H941" s="37" t="n">
        <v>13.862352</v>
      </c>
      <c r="I941" s="37" t="n">
        <v>121.219709</v>
      </c>
      <c r="J941" s="8" t="inlineStr">
        <is>
          <t>R</t>
        </is>
      </c>
      <c r="K941" s="36" t="inlineStr">
        <is>
          <t>Class 1-3 / Urban</t>
        </is>
      </c>
      <c r="L941" s="18" t="n">
        <v>3650</v>
      </c>
      <c r="M941" s="20" t="n">
        <v>4.62</v>
      </c>
      <c r="N941" s="18">
        <f>ROUND(L941/M941, 0)</f>
        <v/>
      </c>
      <c r="O941" s="18">
        <f>ROUND(N941*'Methodology &amp; Assumptions'!$B$8, 0)</f>
        <v/>
      </c>
      <c r="P941" s="8" t="inlineStr">
        <is>
          <t>Band n50 (1.5 GHz, 60 MHz)</t>
        </is>
      </c>
      <c r="Q941" s="38">
        <f>ROUNDUP(O941/'Methodology &amp; Assumptions'!$B$9, 0)</f>
        <v/>
      </c>
      <c r="R941" s="39" t="n">
        <v>1</v>
      </c>
      <c r="S941" s="21" t="n">
        <v>2.71</v>
      </c>
      <c r="T941" s="21" t="n">
        <v>1.36</v>
      </c>
      <c r="U941" s="36" t="inlineStr">
        <is>
          <t>Tier 1B (Micro Drop, 1-3 km)</t>
        </is>
      </c>
      <c r="V941" s="20" t="n">
        <v>50.5</v>
      </c>
      <c r="W941" s="20" t="n">
        <v>87.2</v>
      </c>
      <c r="X941" s="20" t="n">
        <v>58</v>
      </c>
      <c r="Y941" s="40">
        <f>ROUND((V941*'Methodology &amp; Assumptions'!$B$6)+(W941*'Methodology &amp; Assumptions'!$B$5)+(X941*'Methodology &amp; Assumptions'!$B$7), 2)</f>
        <v/>
      </c>
    </row>
    <row r="942" ht="19" customHeight="1">
      <c r="A942" s="41" t="n">
        <v>938</v>
      </c>
      <c r="B942" s="41" t="n">
        <v>3938</v>
      </c>
      <c r="C942" s="42" t="inlineStr">
        <is>
          <t>0105543009</t>
        </is>
      </c>
      <c r="D942" s="42" t="inlineStr">
        <is>
          <t>Region I (Ilocos Region)</t>
        </is>
      </c>
      <c r="E942" s="42" t="inlineStr">
        <is>
          <t>Pangasinan</t>
        </is>
      </c>
      <c r="F942" s="42" t="inlineStr">
        <is>
          <t>Tayug</t>
        </is>
      </c>
      <c r="G942" s="42" t="inlineStr">
        <is>
          <t>Legaspi</t>
        </is>
      </c>
      <c r="H942" s="43" t="n">
        <v>16.043429</v>
      </c>
      <c r="I942" s="43" t="n">
        <v>120.740712</v>
      </c>
      <c r="J942" s="44" t="inlineStr">
        <is>
          <t>R</t>
        </is>
      </c>
      <c r="K942" s="42" t="inlineStr">
        <is>
          <t>Class 1-3 / Urban</t>
        </is>
      </c>
      <c r="L942" s="23" t="n">
        <v>3493</v>
      </c>
      <c r="M942" s="24" t="n">
        <v>4.39</v>
      </c>
      <c r="N942" s="23">
        <f>ROUND(L942/M942, 0)</f>
        <v/>
      </c>
      <c r="O942" s="23">
        <f>ROUND(N942*'Methodology &amp; Assumptions'!$B$8, 0)</f>
        <v/>
      </c>
      <c r="P942" s="44" t="inlineStr">
        <is>
          <t>Band n50 (1.5 GHz, 60 MHz)</t>
        </is>
      </c>
      <c r="Q942" s="38">
        <f>ROUNDUP(O942/'Methodology &amp; Assumptions'!$B$9, 0)</f>
        <v/>
      </c>
      <c r="R942" s="39" t="n">
        <v>1</v>
      </c>
      <c r="S942" s="25" t="n">
        <v>2.08</v>
      </c>
      <c r="T942" s="25" t="n">
        <v>2.35</v>
      </c>
      <c r="U942" s="42" t="inlineStr">
        <is>
          <t>Tier 1B (Micro Drop, 1-3 km)</t>
        </is>
      </c>
      <c r="V942" s="24" t="n">
        <v>49.9</v>
      </c>
      <c r="W942" s="24" t="n">
        <v>87.7</v>
      </c>
      <c r="X942" s="24" t="n">
        <v>58</v>
      </c>
      <c r="Y942" s="45">
        <f>ROUND((V942*'Methodology &amp; Assumptions'!$B$6)+(W942*'Methodology &amp; Assumptions'!$B$5)+(X942*'Methodology &amp; Assumptions'!$B$7), 2)</f>
        <v/>
      </c>
    </row>
    <row r="943" ht="19" customHeight="1">
      <c r="A943" s="35" t="n">
        <v>939</v>
      </c>
      <c r="B943" s="35" t="n">
        <v>3939</v>
      </c>
      <c r="C943" s="36" t="inlineStr">
        <is>
          <t>0603036009</t>
        </is>
      </c>
      <c r="D943" s="36" t="inlineStr">
        <is>
          <t>Region VI (Western Visayas)</t>
        </is>
      </c>
      <c r="E943" s="36" t="inlineStr">
        <is>
          <t>Iloilo</t>
        </is>
      </c>
      <c r="F943" s="36" t="inlineStr">
        <is>
          <t>Pavia</t>
        </is>
      </c>
      <c r="G943" s="36" t="inlineStr">
        <is>
          <t>Cabugao Norte</t>
        </is>
      </c>
      <c r="H943" s="37" t="n">
        <v>10.786959</v>
      </c>
      <c r="I943" s="37" t="n">
        <v>122.545789</v>
      </c>
      <c r="J943" s="8" t="inlineStr">
        <is>
          <t>R</t>
        </is>
      </c>
      <c r="K943" s="36" t="inlineStr">
        <is>
          <t>Class 1-3 / Urban</t>
        </is>
      </c>
      <c r="L943" s="18" t="n">
        <v>2800</v>
      </c>
      <c r="M943" s="20" t="n">
        <v>4.39</v>
      </c>
      <c r="N943" s="18">
        <f>ROUND(L943/M943, 0)</f>
        <v/>
      </c>
      <c r="O943" s="18">
        <f>ROUND(N943*'Methodology &amp; Assumptions'!$B$8, 0)</f>
        <v/>
      </c>
      <c r="P943" s="8" t="inlineStr">
        <is>
          <t>Band n50 (1.5 GHz, 60 MHz)</t>
        </is>
      </c>
      <c r="Q943" s="38">
        <f>ROUNDUP(O943/'Methodology &amp; Assumptions'!$B$9, 0)</f>
        <v/>
      </c>
      <c r="R943" s="39" t="n">
        <v>1</v>
      </c>
      <c r="S943" s="21" t="n">
        <v>1.4</v>
      </c>
      <c r="T943" s="21" t="n">
        <v>4.35</v>
      </c>
      <c r="U943" s="36" t="inlineStr">
        <is>
          <t>Tier 1B (Micro Drop, 1-3 km)</t>
        </is>
      </c>
      <c r="V943" s="20" t="n">
        <v>62.8</v>
      </c>
      <c r="W943" s="20" t="n">
        <v>74.90000000000001</v>
      </c>
      <c r="X943" s="20" t="n">
        <v>58</v>
      </c>
      <c r="Y943" s="40">
        <f>ROUND((V943*'Methodology &amp; Assumptions'!$B$6)+(W943*'Methodology &amp; Assumptions'!$B$5)+(X943*'Methodology &amp; Assumptions'!$B$7), 2)</f>
        <v/>
      </c>
    </row>
    <row r="944" ht="19" customHeight="1">
      <c r="A944" s="41" t="n">
        <v>940</v>
      </c>
      <c r="B944" s="41" t="n">
        <v>3940</v>
      </c>
      <c r="C944" s="42" t="inlineStr">
        <is>
          <t>0105511010</t>
        </is>
      </c>
      <c r="D944" s="42" t="inlineStr">
        <is>
          <t>Region I (Ilocos Region)</t>
        </is>
      </c>
      <c r="E944" s="42" t="inlineStr">
        <is>
          <t>Pangasinan</t>
        </is>
      </c>
      <c r="F944" s="42" t="inlineStr">
        <is>
          <t>Bayambang</t>
        </is>
      </c>
      <c r="G944" s="42" t="inlineStr">
        <is>
          <t>Bacnono</t>
        </is>
      </c>
      <c r="H944" s="43" t="n">
        <v>15.822596</v>
      </c>
      <c r="I944" s="43" t="n">
        <v>120.466788</v>
      </c>
      <c r="J944" s="44" t="inlineStr">
        <is>
          <t>R</t>
        </is>
      </c>
      <c r="K944" s="42" t="inlineStr">
        <is>
          <t>Class 1-3 / Urban</t>
        </is>
      </c>
      <c r="L944" s="23" t="n">
        <v>2297</v>
      </c>
      <c r="M944" s="24" t="n">
        <v>4.39</v>
      </c>
      <c r="N944" s="23">
        <f>ROUND(L944/M944, 0)</f>
        <v/>
      </c>
      <c r="O944" s="23">
        <f>ROUND(N944*'Methodology &amp; Assumptions'!$B$8, 0)</f>
        <v/>
      </c>
      <c r="P944" s="44" t="inlineStr">
        <is>
          <t>Band n50 (1.5 GHz, 60 MHz)</t>
        </is>
      </c>
      <c r="Q944" s="38">
        <f>ROUNDUP(O944/'Methodology &amp; Assumptions'!$B$9, 0)</f>
        <v/>
      </c>
      <c r="R944" s="39" t="n">
        <v>1</v>
      </c>
      <c r="S944" s="25" t="n">
        <v>1.44</v>
      </c>
      <c r="T944" s="25" t="n">
        <v>1.05</v>
      </c>
      <c r="U944" s="42" t="inlineStr">
        <is>
          <t>Tier 1B (Micro Drop, 1-3 km)</t>
        </is>
      </c>
      <c r="V944" s="24" t="n">
        <v>71.8</v>
      </c>
      <c r="W944" s="24" t="n">
        <v>65.90000000000001</v>
      </c>
      <c r="X944" s="24" t="n">
        <v>58</v>
      </c>
      <c r="Y944" s="45">
        <f>ROUND((V944*'Methodology &amp; Assumptions'!$B$6)+(W944*'Methodology &amp; Assumptions'!$B$5)+(X944*'Methodology &amp; Assumptions'!$B$7), 2)</f>
        <v/>
      </c>
    </row>
    <row r="945" ht="19" customHeight="1">
      <c r="A945" s="35" t="n">
        <v>941</v>
      </c>
      <c r="B945" s="35" t="n">
        <v>3941</v>
      </c>
      <c r="C945" s="36" t="inlineStr">
        <is>
          <t>0501715024</t>
        </is>
      </c>
      <c r="D945" s="36" t="inlineStr">
        <is>
          <t>Region V (Bicol Region)</t>
        </is>
      </c>
      <c r="E945" s="36" t="inlineStr">
        <is>
          <t>Camarines Sur</t>
        </is>
      </c>
      <c r="F945" s="36" t="inlineStr">
        <is>
          <t>Goa</t>
        </is>
      </c>
      <c r="G945" s="36" t="inlineStr">
        <is>
          <t>San Benito</t>
        </is>
      </c>
      <c r="H945" s="37" t="n">
        <v>13.701773</v>
      </c>
      <c r="I945" s="37" t="n">
        <v>123.493134</v>
      </c>
      <c r="J945" s="8" t="inlineStr">
        <is>
          <t>R</t>
        </is>
      </c>
      <c r="K945" s="36" t="inlineStr">
        <is>
          <t>Class 1-3 / Urban</t>
        </is>
      </c>
      <c r="L945" s="18" t="n">
        <v>1794</v>
      </c>
      <c r="M945" s="20" t="n">
        <v>4.9</v>
      </c>
      <c r="N945" s="18">
        <f>ROUND(L945/M945, 0)</f>
        <v/>
      </c>
      <c r="O945" s="18">
        <f>ROUND(N945*'Methodology &amp; Assumptions'!$B$8, 0)</f>
        <v/>
      </c>
      <c r="P945" s="8" t="inlineStr">
        <is>
          <t>Band n50 (1.5 GHz, 60 MHz)</t>
        </is>
      </c>
      <c r="Q945" s="38">
        <f>ROUNDUP(O945/'Methodology &amp; Assumptions'!$B$9, 0)</f>
        <v/>
      </c>
      <c r="R945" s="39" t="n">
        <v>1</v>
      </c>
      <c r="S945" s="21" t="n">
        <v>0.89</v>
      </c>
      <c r="T945" s="21" t="n">
        <v>1.06</v>
      </c>
      <c r="U945" s="36" t="inlineStr">
        <is>
          <t>Tier 1A (Direct Coloc, &lt;1 km)</t>
        </is>
      </c>
      <c r="V945" s="20" t="n">
        <v>84.3</v>
      </c>
      <c r="W945" s="20" t="n">
        <v>53.3</v>
      </c>
      <c r="X945" s="20" t="n">
        <v>58</v>
      </c>
      <c r="Y945" s="40">
        <f>ROUND((V945*'Methodology &amp; Assumptions'!$B$6)+(W945*'Methodology &amp; Assumptions'!$B$5)+(X945*'Methodology &amp; Assumptions'!$B$7), 2)</f>
        <v/>
      </c>
    </row>
    <row r="946" ht="19" customHeight="1">
      <c r="A946" s="41" t="n">
        <v>942</v>
      </c>
      <c r="B946" s="41" t="n">
        <v>3942</v>
      </c>
      <c r="C946" s="42" t="inlineStr">
        <is>
          <t>0504121034</t>
        </is>
      </c>
      <c r="D946" s="42" t="inlineStr">
        <is>
          <t>Region V (Bicol Region)</t>
        </is>
      </c>
      <c r="E946" s="42" t="inlineStr">
        <is>
          <t>Masbate</t>
        </is>
      </c>
      <c r="F946" s="42" t="inlineStr">
        <is>
          <t>Uson</t>
        </is>
      </c>
      <c r="G946" s="42" t="inlineStr">
        <is>
          <t>Sawang</t>
        </is>
      </c>
      <c r="H946" s="43" t="n">
        <v>12.233601</v>
      </c>
      <c r="I946" s="43" t="n">
        <v>123.757251</v>
      </c>
      <c r="J946" s="44" t="inlineStr">
        <is>
          <t>R</t>
        </is>
      </c>
      <c r="K946" s="42" t="inlineStr">
        <is>
          <t>Class 1-3 / Urban</t>
        </is>
      </c>
      <c r="L946" s="23" t="n">
        <v>1553</v>
      </c>
      <c r="M946" s="24" t="n">
        <v>4.6</v>
      </c>
      <c r="N946" s="23">
        <f>ROUND(L946/M946, 0)</f>
        <v/>
      </c>
      <c r="O946" s="23">
        <f>ROUND(N946*'Methodology &amp; Assumptions'!$B$8, 0)</f>
        <v/>
      </c>
      <c r="P946" s="44" t="inlineStr">
        <is>
          <t>Band n50 (1.5 GHz, 60 MHz)</t>
        </is>
      </c>
      <c r="Q946" s="38">
        <f>ROUNDUP(O946/'Methodology &amp; Assumptions'!$B$9, 0)</f>
        <v/>
      </c>
      <c r="R946" s="39" t="n">
        <v>1</v>
      </c>
      <c r="S946" s="25" t="n">
        <v>0.43</v>
      </c>
      <c r="T946" s="25" t="n">
        <v>20.21</v>
      </c>
      <c r="U946" s="42" t="inlineStr">
        <is>
          <t>Tier 1A (Direct Coloc, &lt;1 km)</t>
        </is>
      </c>
      <c r="V946" s="24" t="n">
        <v>86.7</v>
      </c>
      <c r="W946" s="24" t="n">
        <v>50.9</v>
      </c>
      <c r="X946" s="24" t="n">
        <v>58</v>
      </c>
      <c r="Y946" s="45">
        <f>ROUND((V946*'Methodology &amp; Assumptions'!$B$6)+(W946*'Methodology &amp; Assumptions'!$B$5)+(X946*'Methodology &amp; Assumptions'!$B$7), 2)</f>
        <v/>
      </c>
    </row>
    <row r="947" ht="19" customHeight="1">
      <c r="A947" s="35" t="n">
        <v>943</v>
      </c>
      <c r="B947" s="35" t="n">
        <v>3943</v>
      </c>
      <c r="C947" s="36" t="inlineStr">
        <is>
          <t>0803739028</t>
        </is>
      </c>
      <c r="D947" s="36" t="inlineStr">
        <is>
          <t>Region VIII (Eastern Visayas)</t>
        </is>
      </c>
      <c r="E947" s="36" t="inlineStr">
        <is>
          <t>Leyte</t>
        </is>
      </c>
      <c r="F947" s="36" t="inlineStr">
        <is>
          <t>Palo</t>
        </is>
      </c>
      <c r="G947" s="36" t="inlineStr">
        <is>
          <t>San Isidro</t>
        </is>
      </c>
      <c r="H947" s="37" t="n">
        <v>11.058595</v>
      </c>
      <c r="I947" s="37" t="n">
        <v>124.383515</v>
      </c>
      <c r="J947" s="8" t="inlineStr">
        <is>
          <t>R</t>
        </is>
      </c>
      <c r="K947" s="36" t="inlineStr">
        <is>
          <t>Class 1-3 / Urban</t>
        </is>
      </c>
      <c r="L947" s="18" t="n">
        <v>1465</v>
      </c>
      <c r="M947" s="20" t="n">
        <v>4.24</v>
      </c>
      <c r="N947" s="18">
        <f>ROUND(L947/M947, 0)</f>
        <v/>
      </c>
      <c r="O947" s="18">
        <f>ROUND(N947*'Methodology &amp; Assumptions'!$B$8, 0)</f>
        <v/>
      </c>
      <c r="P947" s="8" t="inlineStr">
        <is>
          <t>Band n50 (1.5 GHz, 60 MHz)</t>
        </is>
      </c>
      <c r="Q947" s="38">
        <f>ROUNDUP(O947/'Methodology &amp; Assumptions'!$B$9, 0)</f>
        <v/>
      </c>
      <c r="R947" s="39" t="n">
        <v>1</v>
      </c>
      <c r="S947" s="21" t="n">
        <v>0.82</v>
      </c>
      <c r="T947" s="21" t="n">
        <v>0.99</v>
      </c>
      <c r="U947" s="36" t="inlineStr">
        <is>
          <t>Tier 1A (Direct Coloc, &lt;1 km)</t>
        </is>
      </c>
      <c r="V947" s="20" t="n">
        <v>86</v>
      </c>
      <c r="W947" s="20" t="n">
        <v>51.7</v>
      </c>
      <c r="X947" s="20" t="n">
        <v>58</v>
      </c>
      <c r="Y947" s="40">
        <f>ROUND((V947*'Methodology &amp; Assumptions'!$B$6)+(W947*'Methodology &amp; Assumptions'!$B$5)+(X947*'Methodology &amp; Assumptions'!$B$7), 2)</f>
        <v/>
      </c>
    </row>
    <row r="948" ht="19" customHeight="1">
      <c r="A948" s="41" t="n">
        <v>944</v>
      </c>
      <c r="B948" s="41" t="n">
        <v>3944</v>
      </c>
      <c r="C948" s="42" t="inlineStr">
        <is>
          <t>0401005009</t>
        </is>
      </c>
      <c r="D948" s="42" t="inlineStr">
        <is>
          <t>Region IV-A (CALABARZON)</t>
        </is>
      </c>
      <c r="E948" s="42" t="inlineStr">
        <is>
          <t>Batangas</t>
        </is>
      </c>
      <c r="F948" s="42" t="inlineStr">
        <is>
          <t>Batangas City</t>
        </is>
      </c>
      <c r="G948" s="42" t="inlineStr">
        <is>
          <t>Banaba Ibaba</t>
        </is>
      </c>
      <c r="H948" s="43" t="n">
        <v>13.791</v>
      </c>
      <c r="I948" s="43" t="n">
        <v>121.053</v>
      </c>
      <c r="J948" s="44" t="inlineStr">
        <is>
          <t>R</t>
        </is>
      </c>
      <c r="K948" s="42" t="inlineStr">
        <is>
          <t>Class 1-3 / Urban</t>
        </is>
      </c>
      <c r="L948" s="23" t="n">
        <v>3408</v>
      </c>
      <c r="M948" s="24" t="n">
        <v>4.62</v>
      </c>
      <c r="N948" s="23">
        <f>ROUND(L948/M948, 0)</f>
        <v/>
      </c>
      <c r="O948" s="23">
        <f>ROUND(N948*'Methodology &amp; Assumptions'!$B$8, 0)</f>
        <v/>
      </c>
      <c r="P948" s="44" t="inlineStr">
        <is>
          <t>Band n50 (1.5 GHz, 60 MHz)</t>
        </is>
      </c>
      <c r="Q948" s="38">
        <f>ROUNDUP(O948/'Methodology &amp; Assumptions'!$B$9, 0)</f>
        <v/>
      </c>
      <c r="R948" s="39" t="n">
        <v>1</v>
      </c>
      <c r="S948" s="25" t="n">
        <v>2.41</v>
      </c>
      <c r="T948" s="25" t="n">
        <v>0.8100000000000001</v>
      </c>
      <c r="U948" s="42" t="inlineStr">
        <is>
          <t>Tier 1B (Micro Drop, 1-3 km)</t>
        </is>
      </c>
      <c r="V948" s="24" t="n">
        <v>54.7</v>
      </c>
      <c r="W948" s="24" t="n">
        <v>82.90000000000001</v>
      </c>
      <c r="X948" s="24" t="n">
        <v>58</v>
      </c>
      <c r="Y948" s="45">
        <f>ROUND((V948*'Methodology &amp; Assumptions'!$B$6)+(W948*'Methodology &amp; Assumptions'!$B$5)+(X948*'Methodology &amp; Assumptions'!$B$7), 2)</f>
        <v/>
      </c>
    </row>
    <row r="949" ht="19" customHeight="1">
      <c r="A949" s="35" t="n">
        <v>945</v>
      </c>
      <c r="B949" s="35" t="n">
        <v>3945</v>
      </c>
      <c r="C949" s="36" t="inlineStr">
        <is>
          <t>0501728021</t>
        </is>
      </c>
      <c r="D949" s="36" t="inlineStr">
        <is>
          <t>Region V (Bicol Region)</t>
        </is>
      </c>
      <c r="E949" s="36" t="inlineStr">
        <is>
          <t>Camarines Sur</t>
        </is>
      </c>
      <c r="F949" s="36" t="inlineStr">
        <is>
          <t>Pili</t>
        </is>
      </c>
      <c r="G949" s="36" t="inlineStr">
        <is>
          <t>San Juan</t>
        </is>
      </c>
      <c r="H949" s="37" t="n">
        <v>13.555557</v>
      </c>
      <c r="I949" s="37" t="n">
        <v>123.272955</v>
      </c>
      <c r="J949" s="8" t="inlineStr">
        <is>
          <t>R</t>
        </is>
      </c>
      <c r="K949" s="36" t="inlineStr">
        <is>
          <t>Class 1-3 / Urban</t>
        </is>
      </c>
      <c r="L949" s="18" t="n">
        <v>2096</v>
      </c>
      <c r="M949" s="20" t="n">
        <v>4.9</v>
      </c>
      <c r="N949" s="18">
        <f>ROUND(L949/M949, 0)</f>
        <v/>
      </c>
      <c r="O949" s="18">
        <f>ROUND(N949*'Methodology &amp; Assumptions'!$B$8, 0)</f>
        <v/>
      </c>
      <c r="P949" s="8" t="inlineStr">
        <is>
          <t>Band n50 (1.5 GHz, 60 MHz)</t>
        </is>
      </c>
      <c r="Q949" s="38">
        <f>ROUNDUP(O949/'Methodology &amp; Assumptions'!$B$9, 0)</f>
        <v/>
      </c>
      <c r="R949" s="39" t="n">
        <v>1</v>
      </c>
      <c r="S949" s="21" t="n">
        <v>1.09</v>
      </c>
      <c r="T949" s="21" t="n">
        <v>0.33</v>
      </c>
      <c r="U949" s="36" t="inlineStr">
        <is>
          <t>Tier 1B (Micro Drop, 1-3 km)</t>
        </is>
      </c>
      <c r="V949" s="20" t="n">
        <v>79.5</v>
      </c>
      <c r="W949" s="20" t="n">
        <v>58.1</v>
      </c>
      <c r="X949" s="20" t="n">
        <v>58</v>
      </c>
      <c r="Y949" s="40">
        <f>ROUND((V949*'Methodology &amp; Assumptions'!$B$6)+(W949*'Methodology &amp; Assumptions'!$B$5)+(X949*'Methodology &amp; Assumptions'!$B$7), 2)</f>
        <v/>
      </c>
    </row>
    <row r="950" ht="19" customHeight="1">
      <c r="A950" s="41" t="n">
        <v>946</v>
      </c>
      <c r="B950" s="41" t="n">
        <v>3946</v>
      </c>
      <c r="C950" s="42" t="inlineStr">
        <is>
          <t>0630200056</t>
        </is>
      </c>
      <c r="D950" s="42" t="inlineStr">
        <is>
          <t>Region VI (Western Visayas)</t>
        </is>
      </c>
      <c r="E950" s="42" t="inlineStr">
        <is>
          <t>Negros Occidental</t>
        </is>
      </c>
      <c r="F950" s="42" t="inlineStr">
        <is>
          <t>City of Bacolod</t>
        </is>
      </c>
      <c r="G950" s="42" t="inlineStr">
        <is>
          <t>Sum-ag</t>
        </is>
      </c>
      <c r="H950" s="43" t="n">
        <v>10.601377</v>
      </c>
      <c r="I950" s="43" t="n">
        <v>122.919703</v>
      </c>
      <c r="J950" s="44" t="inlineStr">
        <is>
          <t>U</t>
        </is>
      </c>
      <c r="K950" s="42" t="inlineStr">
        <is>
          <t>Class 1-3 / Urban</t>
        </is>
      </c>
      <c r="L950" s="23" t="n">
        <v>20456</v>
      </c>
      <c r="M950" s="24" t="n">
        <v>4.33</v>
      </c>
      <c r="N950" s="23">
        <f>ROUND(L950/M950, 0)</f>
        <v/>
      </c>
      <c r="O950" s="23">
        <f>ROUND(N950*'Methodology &amp; Assumptions'!$B$8, 0)</f>
        <v/>
      </c>
      <c r="P950" s="44" t="inlineStr">
        <is>
          <t>Band n50 (1.5 GHz, 60 MHz)</t>
        </is>
      </c>
      <c r="Q950" s="38">
        <f>ROUNDUP(O950/'Methodology &amp; Assumptions'!$B$9, 0)</f>
        <v/>
      </c>
      <c r="R950" s="39" t="n">
        <v>1</v>
      </c>
      <c r="S950" s="25" t="n">
        <v>1.88</v>
      </c>
      <c r="T950" s="25" t="n">
        <v>0.02</v>
      </c>
      <c r="U950" s="42" t="inlineStr">
        <is>
          <t>Tier 1B (Micro Drop, 1-3 km)</t>
        </is>
      </c>
      <c r="V950" s="24" t="n">
        <v>63.4</v>
      </c>
      <c r="W950" s="24" t="n">
        <v>100</v>
      </c>
      <c r="X950" s="24" t="n">
        <v>28</v>
      </c>
      <c r="Y950" s="45">
        <f>ROUND((V950*'Methodology &amp; Assumptions'!$B$6)+(W950*'Methodology &amp; Assumptions'!$B$5)+(X950*'Methodology &amp; Assumptions'!$B$7), 2)</f>
        <v/>
      </c>
    </row>
    <row r="951" ht="19" customHeight="1">
      <c r="A951" s="35" t="n">
        <v>947</v>
      </c>
      <c r="B951" s="35" t="n">
        <v>3947</v>
      </c>
      <c r="C951" s="36" t="inlineStr">
        <is>
          <t>0803708025</t>
        </is>
      </c>
      <c r="D951" s="36" t="inlineStr">
        <is>
          <t>Region VIII (Eastern Visayas)</t>
        </is>
      </c>
      <c r="E951" s="36" t="inlineStr">
        <is>
          <t>Leyte</t>
        </is>
      </c>
      <c r="F951" s="36" t="inlineStr">
        <is>
          <t>City of Baybay</t>
        </is>
      </c>
      <c r="G951" s="36" t="inlineStr">
        <is>
          <t>Hipusngo</t>
        </is>
      </c>
      <c r="H951" s="37" t="n">
        <v>10.659514</v>
      </c>
      <c r="I951" s="37" t="n">
        <v>124.808631</v>
      </c>
      <c r="J951" s="8" t="inlineStr">
        <is>
          <t>R</t>
        </is>
      </c>
      <c r="K951" s="36" t="inlineStr">
        <is>
          <t>Class 1-3 / Urban</t>
        </is>
      </c>
      <c r="L951" s="18" t="n">
        <v>3061</v>
      </c>
      <c r="M951" s="20" t="n">
        <v>4.24</v>
      </c>
      <c r="N951" s="18">
        <f>ROUND(L951/M951, 0)</f>
        <v/>
      </c>
      <c r="O951" s="18">
        <f>ROUND(N951*'Methodology &amp; Assumptions'!$B$8, 0)</f>
        <v/>
      </c>
      <c r="P951" s="8" t="inlineStr">
        <is>
          <t>Band n50 (1.5 GHz, 60 MHz)</t>
        </is>
      </c>
      <c r="Q951" s="38">
        <f>ROUNDUP(O951/'Methodology &amp; Assumptions'!$B$9, 0)</f>
        <v/>
      </c>
      <c r="R951" s="39" t="n">
        <v>1</v>
      </c>
      <c r="S951" s="21" t="n">
        <v>2.35</v>
      </c>
      <c r="T951" s="21" t="n">
        <v>0.13</v>
      </c>
      <c r="U951" s="36" t="inlineStr">
        <is>
          <t>Tier 1B (Micro Drop, 1-3 km)</t>
        </is>
      </c>
      <c r="V951" s="20" t="n">
        <v>55.8</v>
      </c>
      <c r="W951" s="20" t="n">
        <v>81.90000000000001</v>
      </c>
      <c r="X951" s="20" t="n">
        <v>58</v>
      </c>
      <c r="Y951" s="40">
        <f>ROUND((V951*'Methodology &amp; Assumptions'!$B$6)+(W951*'Methodology &amp; Assumptions'!$B$5)+(X951*'Methodology &amp; Assumptions'!$B$7), 2)</f>
        <v/>
      </c>
    </row>
    <row r="952" ht="19" customHeight="1">
      <c r="A952" s="41" t="n">
        <v>948</v>
      </c>
      <c r="B952" s="41" t="n">
        <v>3948</v>
      </c>
      <c r="C952" s="42" t="inlineStr">
        <is>
          <t>0402103038</t>
        </is>
      </c>
      <c r="D952" s="42" t="inlineStr">
        <is>
          <t>Region IV-A (CALABARZON)</t>
        </is>
      </c>
      <c r="E952" s="42" t="inlineStr">
        <is>
          <t>Cavite</t>
        </is>
      </c>
      <c r="F952" s="42" t="inlineStr">
        <is>
          <t>City of Bacoor</t>
        </is>
      </c>
      <c r="G952" s="42" t="inlineStr">
        <is>
          <t>Mabolo III</t>
        </is>
      </c>
      <c r="H952" s="43" t="n">
        <v>14.436707</v>
      </c>
      <c r="I952" s="43" t="n">
        <v>120.961346</v>
      </c>
      <c r="J952" s="44" t="inlineStr">
        <is>
          <t>R</t>
        </is>
      </c>
      <c r="K952" s="42" t="inlineStr">
        <is>
          <t>Class 1-3 / Urban</t>
        </is>
      </c>
      <c r="L952" s="23" t="n">
        <v>2335</v>
      </c>
      <c r="M952" s="24" t="n">
        <v>4.49</v>
      </c>
      <c r="N952" s="23">
        <f>ROUND(L952/M952, 0)</f>
        <v/>
      </c>
      <c r="O952" s="23">
        <f>ROUND(N952*'Methodology &amp; Assumptions'!$B$8, 0)</f>
        <v/>
      </c>
      <c r="P952" s="44" t="inlineStr">
        <is>
          <t>Band n50 (1.5 GHz, 60 MHz)</t>
        </is>
      </c>
      <c r="Q952" s="38">
        <f>ROUNDUP(O952/'Methodology &amp; Assumptions'!$B$9, 0)</f>
        <v/>
      </c>
      <c r="R952" s="39" t="n">
        <v>1</v>
      </c>
      <c r="S952" s="25" t="n">
        <v>1.43</v>
      </c>
      <c r="T952" s="25" t="n">
        <v>1.32</v>
      </c>
      <c r="U952" s="42" t="inlineStr">
        <is>
          <t>Tier 1B (Micro Drop, 1-3 km)</t>
        </is>
      </c>
      <c r="V952" s="24" t="n">
        <v>72</v>
      </c>
      <c r="W952" s="24" t="n">
        <v>65.59999999999999</v>
      </c>
      <c r="X952" s="24" t="n">
        <v>58</v>
      </c>
      <c r="Y952" s="45">
        <f>ROUND((V952*'Methodology &amp; Assumptions'!$B$6)+(W952*'Methodology &amp; Assumptions'!$B$5)+(X952*'Methodology &amp; Assumptions'!$B$7), 2)</f>
        <v/>
      </c>
    </row>
    <row r="953" ht="19" customHeight="1">
      <c r="A953" s="35" t="n">
        <v>949</v>
      </c>
      <c r="B953" s="35" t="n">
        <v>3949</v>
      </c>
      <c r="C953" s="36" t="inlineStr">
        <is>
          <t>0203131034</t>
        </is>
      </c>
      <c r="D953" s="36" t="inlineStr">
        <is>
          <t>Region II (Cagayan Valley)</t>
        </is>
      </c>
      <c r="E953" s="36" t="inlineStr">
        <is>
          <t>Isabela</t>
        </is>
      </c>
      <c r="F953" s="36" t="inlineStr">
        <is>
          <t>San Mariano</t>
        </is>
      </c>
      <c r="G953" s="36" t="inlineStr">
        <is>
          <t>Tappa</t>
        </is>
      </c>
      <c r="H953" s="37" t="n">
        <v>16.983516</v>
      </c>
      <c r="I953" s="37" t="n">
        <v>122.012798</v>
      </c>
      <c r="J953" s="8" t="inlineStr">
        <is>
          <t>R</t>
        </is>
      </c>
      <c r="K953" s="36" t="inlineStr">
        <is>
          <t>Class 1-3 / Urban</t>
        </is>
      </c>
      <c r="L953" s="18" t="n">
        <v>1076</v>
      </c>
      <c r="M953" s="20" t="n">
        <v>4.3</v>
      </c>
      <c r="N953" s="18">
        <f>ROUND(L953/M953, 0)</f>
        <v/>
      </c>
      <c r="O953" s="18">
        <f>ROUND(N953*'Methodology &amp; Assumptions'!$B$8, 0)</f>
        <v/>
      </c>
      <c r="P953" s="8" t="inlineStr">
        <is>
          <t>Band n50 (1.5 GHz, 60 MHz)</t>
        </is>
      </c>
      <c r="Q953" s="38">
        <f>ROUNDUP(O953/'Methodology &amp; Assumptions'!$B$9, 0)</f>
        <v/>
      </c>
      <c r="R953" s="39" t="n">
        <v>1</v>
      </c>
      <c r="S953" s="21" t="n">
        <v>0.2</v>
      </c>
      <c r="T953" s="21" t="n">
        <v>16.79</v>
      </c>
      <c r="U953" s="36" t="inlineStr">
        <is>
          <t>Tier 1A (Direct Coloc, &lt;1 km)</t>
        </is>
      </c>
      <c r="V953" s="20" t="n">
        <v>93.59999999999999</v>
      </c>
      <c r="W953" s="20" t="n">
        <v>44</v>
      </c>
      <c r="X953" s="20" t="n">
        <v>58</v>
      </c>
      <c r="Y953" s="40">
        <f>ROUND((V953*'Methodology &amp; Assumptions'!$B$6)+(W953*'Methodology &amp; Assumptions'!$B$5)+(X953*'Methodology &amp; Assumptions'!$B$7), 2)</f>
        <v/>
      </c>
    </row>
    <row r="954" ht="19" customHeight="1">
      <c r="A954" s="41" t="n">
        <v>950</v>
      </c>
      <c r="B954" s="41" t="n">
        <v>3950</v>
      </c>
      <c r="C954" s="42" t="inlineStr">
        <is>
          <t>0600613001</t>
        </is>
      </c>
      <c r="D954" s="42" t="inlineStr">
        <is>
          <t>Region VI (Western Visayas)</t>
        </is>
      </c>
      <c r="E954" s="42" t="inlineStr">
        <is>
          <t>Antique</t>
        </is>
      </c>
      <c r="F954" s="42" t="inlineStr">
        <is>
          <t>San Jose</t>
        </is>
      </c>
      <c r="G954" s="42" t="inlineStr">
        <is>
          <t>Atabay</t>
        </is>
      </c>
      <c r="H954" s="43" t="n">
        <v>10.756198</v>
      </c>
      <c r="I954" s="43" t="n">
        <v>121.941553</v>
      </c>
      <c r="J954" s="44" t="inlineStr">
        <is>
          <t>U</t>
        </is>
      </c>
      <c r="K954" s="42" t="inlineStr">
        <is>
          <t>Class 1-3 / Urban</t>
        </is>
      </c>
      <c r="L954" s="23" t="n">
        <v>2180</v>
      </c>
      <c r="M954" s="24" t="n">
        <v>4.43</v>
      </c>
      <c r="N954" s="23">
        <f>ROUND(L954/M954, 0)</f>
        <v/>
      </c>
      <c r="O954" s="23">
        <f>ROUND(N954*'Methodology &amp; Assumptions'!$B$8, 0)</f>
        <v/>
      </c>
      <c r="P954" s="44" t="inlineStr">
        <is>
          <t>Band n50 (1.5 GHz, 60 MHz)</t>
        </is>
      </c>
      <c r="Q954" s="38">
        <f>ROUNDUP(O954/'Methodology &amp; Assumptions'!$B$9, 0)</f>
        <v/>
      </c>
      <c r="R954" s="39" t="n">
        <v>1</v>
      </c>
      <c r="S954" s="25" t="n">
        <v>0.78</v>
      </c>
      <c r="T954" s="25" t="n">
        <v>0.39</v>
      </c>
      <c r="U954" s="42" t="inlineStr">
        <is>
          <t>Tier 1A (Direct Coloc, &lt;1 km)</t>
        </is>
      </c>
      <c r="V954" s="24" t="n">
        <v>87</v>
      </c>
      <c r="W954" s="24" t="n">
        <v>63.5</v>
      </c>
      <c r="X954" s="24" t="n">
        <v>43</v>
      </c>
      <c r="Y954" s="45">
        <f>ROUND((V954*'Methodology &amp; Assumptions'!$B$6)+(W954*'Methodology &amp; Assumptions'!$B$5)+(X954*'Methodology &amp; Assumptions'!$B$7), 2)</f>
        <v/>
      </c>
    </row>
    <row r="955" ht="19" customHeight="1">
      <c r="A955" s="35" t="n">
        <v>951</v>
      </c>
      <c r="B955" s="35" t="n">
        <v>3951</v>
      </c>
      <c r="C955" s="36" t="inlineStr">
        <is>
          <t>0301418010</t>
        </is>
      </c>
      <c r="D955" s="36" t="inlineStr">
        <is>
          <t>Region III (Central Luzon)</t>
        </is>
      </c>
      <c r="E955" s="36" t="inlineStr">
        <is>
          <t>Bulacan</t>
        </is>
      </c>
      <c r="F955" s="36" t="inlineStr">
        <is>
          <t>Pulilan</t>
        </is>
      </c>
      <c r="G955" s="36" t="inlineStr">
        <is>
          <t>Longos</t>
        </is>
      </c>
      <c r="H955" s="37" t="n">
        <v>14.893601</v>
      </c>
      <c r="I955" s="37" t="n">
        <v>120.865718</v>
      </c>
      <c r="J955" s="8" t="inlineStr">
        <is>
          <t>U</t>
        </is>
      </c>
      <c r="K955" s="36" t="inlineStr">
        <is>
          <t>Class 1-3 / Urban</t>
        </is>
      </c>
      <c r="L955" s="18" t="n">
        <v>5817</v>
      </c>
      <c r="M955" s="20" t="n">
        <v>4.1</v>
      </c>
      <c r="N955" s="18">
        <f>ROUND(L955/M955, 0)</f>
        <v/>
      </c>
      <c r="O955" s="18">
        <f>ROUND(N955*'Methodology &amp; Assumptions'!$B$8, 0)</f>
        <v/>
      </c>
      <c r="P955" s="8" t="inlineStr">
        <is>
          <t>Band n50 (1.5 GHz, 60 MHz)</t>
        </is>
      </c>
      <c r="Q955" s="38">
        <f>ROUNDUP(O955/'Methodology &amp; Assumptions'!$B$9, 0)</f>
        <v/>
      </c>
      <c r="R955" s="39" t="n">
        <v>1</v>
      </c>
      <c r="S955" s="21" t="n">
        <v>1.89</v>
      </c>
      <c r="T955" s="21" t="n">
        <v>0.08</v>
      </c>
      <c r="U955" s="36" t="inlineStr">
        <is>
          <t>Tier 1B (Micro Drop, 1-3 km)</t>
        </is>
      </c>
      <c r="V955" s="20" t="n">
        <v>63.3</v>
      </c>
      <c r="W955" s="20" t="n">
        <v>100</v>
      </c>
      <c r="X955" s="20" t="n">
        <v>28</v>
      </c>
      <c r="Y955" s="40">
        <f>ROUND((V955*'Methodology &amp; Assumptions'!$B$6)+(W955*'Methodology &amp; Assumptions'!$B$5)+(X955*'Methodology &amp; Assumptions'!$B$7), 2)</f>
        <v/>
      </c>
    </row>
    <row r="956" ht="19" customHeight="1">
      <c r="A956" s="41" t="n">
        <v>952</v>
      </c>
      <c r="B956" s="41" t="n">
        <v>3952</v>
      </c>
      <c r="C956" s="42" t="inlineStr">
        <is>
          <t>0401022022</t>
        </is>
      </c>
      <c r="D956" s="42" t="inlineStr">
        <is>
          <t>Region IV-A (CALABARZON)</t>
        </is>
      </c>
      <c r="E956" s="42" t="inlineStr">
        <is>
          <t>Batangas</t>
        </is>
      </c>
      <c r="F956" s="42" t="inlineStr">
        <is>
          <t>San Jose</t>
        </is>
      </c>
      <c r="G956" s="42" t="inlineStr">
        <is>
          <t>Pinagtung-Ulan</t>
        </is>
      </c>
      <c r="H956" s="43" t="n">
        <v>13.92312</v>
      </c>
      <c r="I956" s="43" t="n">
        <v>121.086943</v>
      </c>
      <c r="J956" s="44" t="inlineStr">
        <is>
          <t>R</t>
        </is>
      </c>
      <c r="K956" s="42" t="inlineStr">
        <is>
          <t>Class 1-3 / Urban</t>
        </is>
      </c>
      <c r="L956" s="23" t="n">
        <v>4738</v>
      </c>
      <c r="M956" s="24" t="n">
        <v>4.62</v>
      </c>
      <c r="N956" s="23">
        <f>ROUND(L956/M956, 0)</f>
        <v/>
      </c>
      <c r="O956" s="23">
        <f>ROUND(N956*'Methodology &amp; Assumptions'!$B$8, 0)</f>
        <v/>
      </c>
      <c r="P956" s="44" t="inlineStr">
        <is>
          <t>Band n50 (1.5 GHz, 60 MHz)</t>
        </is>
      </c>
      <c r="Q956" s="38">
        <f>ROUNDUP(O956/'Methodology &amp; Assumptions'!$B$9, 0)</f>
        <v/>
      </c>
      <c r="R956" s="39" t="n">
        <v>1</v>
      </c>
      <c r="S956" s="25" t="n">
        <v>3.86</v>
      </c>
      <c r="T956" s="25" t="n">
        <v>0.15</v>
      </c>
      <c r="U956" s="42" t="inlineStr">
        <is>
          <t>Tier 2 (Fiber Corridor / Lateral, 3-5 km)</t>
        </is>
      </c>
      <c r="V956" s="24" t="n">
        <v>37.6</v>
      </c>
      <c r="W956" s="24" t="n">
        <v>100</v>
      </c>
      <c r="X956" s="24" t="n">
        <v>58</v>
      </c>
      <c r="Y956" s="45">
        <f>ROUND((V956*'Methodology &amp; Assumptions'!$B$6)+(W956*'Methodology &amp; Assumptions'!$B$5)+(X956*'Methodology &amp; Assumptions'!$B$7), 2)</f>
        <v/>
      </c>
    </row>
    <row r="957" ht="19" customHeight="1">
      <c r="A957" s="35" t="n">
        <v>953</v>
      </c>
      <c r="B957" s="35" t="n">
        <v>3953</v>
      </c>
      <c r="C957" s="36" t="inlineStr">
        <is>
          <t>0401012003</t>
        </is>
      </c>
      <c r="D957" s="36" t="inlineStr">
        <is>
          <t>Region IV-A (CALABARZON)</t>
        </is>
      </c>
      <c r="E957" s="36" t="inlineStr">
        <is>
          <t>Batangas</t>
        </is>
      </c>
      <c r="F957" s="36" t="inlineStr">
        <is>
          <t>Lemery</t>
        </is>
      </c>
      <c r="G957" s="36" t="inlineStr">
        <is>
          <t>Ayao-iyao</t>
        </is>
      </c>
      <c r="H957" s="37" t="n">
        <v>13.909851</v>
      </c>
      <c r="I957" s="37" t="n">
        <v>120.908739</v>
      </c>
      <c r="J957" s="8" t="inlineStr">
        <is>
          <t>R</t>
        </is>
      </c>
      <c r="K957" s="36" t="inlineStr">
        <is>
          <t>Class 1-3 / Urban</t>
        </is>
      </c>
      <c r="L957" s="18" t="n">
        <v>3182</v>
      </c>
      <c r="M957" s="20" t="n">
        <v>4.62</v>
      </c>
      <c r="N957" s="18">
        <f>ROUND(L957/M957, 0)</f>
        <v/>
      </c>
      <c r="O957" s="18">
        <f>ROUND(N957*'Methodology &amp; Assumptions'!$B$8, 0)</f>
        <v/>
      </c>
      <c r="P957" s="8" t="inlineStr">
        <is>
          <t>Band n50 (1.5 GHz, 60 MHz)</t>
        </is>
      </c>
      <c r="Q957" s="38">
        <f>ROUNDUP(O957/'Methodology &amp; Assumptions'!$B$9, 0)</f>
        <v/>
      </c>
      <c r="R957" s="39" t="n">
        <v>1</v>
      </c>
      <c r="S957" s="21" t="n">
        <v>2.18</v>
      </c>
      <c r="T957" s="21" t="n">
        <v>1.41</v>
      </c>
      <c r="U957" s="36" t="inlineStr">
        <is>
          <t>Tier 1B (Micro Drop, 1-3 km)</t>
        </is>
      </c>
      <c r="V957" s="20" t="n">
        <v>58.4</v>
      </c>
      <c r="W957" s="20" t="n">
        <v>79.2</v>
      </c>
      <c r="X957" s="20" t="n">
        <v>58</v>
      </c>
      <c r="Y957" s="40">
        <f>ROUND((V957*'Methodology &amp; Assumptions'!$B$6)+(W957*'Methodology &amp; Assumptions'!$B$5)+(X957*'Methodology &amp; Assumptions'!$B$7), 2)</f>
        <v/>
      </c>
    </row>
    <row r="958" ht="19" customHeight="1">
      <c r="A958" s="41" t="n">
        <v>954</v>
      </c>
      <c r="B958" s="41" t="n">
        <v>3954</v>
      </c>
      <c r="C958" s="42" t="inlineStr">
        <is>
          <t>0105539020</t>
        </is>
      </c>
      <c r="D958" s="42" t="inlineStr">
        <is>
          <t>Region I (Ilocos Region)</t>
        </is>
      </c>
      <c r="E958" s="42" t="inlineStr">
        <is>
          <t>Pangasinan</t>
        </is>
      </c>
      <c r="F958" s="42" t="inlineStr">
        <is>
          <t>Santa Maria</t>
        </is>
      </c>
      <c r="G958" s="42" t="inlineStr">
        <is>
          <t>San Mariano</t>
        </is>
      </c>
      <c r="H958" s="43" t="n">
        <v>15.978526</v>
      </c>
      <c r="I958" s="43" t="n">
        <v>120.703446</v>
      </c>
      <c r="J958" s="44" t="inlineStr">
        <is>
          <t>R</t>
        </is>
      </c>
      <c r="K958" s="42" t="inlineStr">
        <is>
          <t>2nd</t>
        </is>
      </c>
      <c r="L958" s="23" t="n">
        <v>1168</v>
      </c>
      <c r="M958" s="24" t="n">
        <v>4.41</v>
      </c>
      <c r="N958" s="23">
        <f>ROUND(L958/M958, 0)</f>
        <v/>
      </c>
      <c r="O958" s="23">
        <f>ROUND(N958*'Methodology &amp; Assumptions'!$B$8, 0)</f>
        <v/>
      </c>
      <c r="P958" s="44" t="inlineStr">
        <is>
          <t>Band n50 (1.5 GHz, 60 MHz)</t>
        </is>
      </c>
      <c r="Q958" s="38">
        <f>ROUNDUP(O958/'Methodology &amp; Assumptions'!$B$9, 0)</f>
        <v/>
      </c>
      <c r="R958" s="39" t="n">
        <v>1</v>
      </c>
      <c r="S958" s="25" t="n">
        <v>0.59</v>
      </c>
      <c r="T958" s="25" t="n">
        <v>0.74</v>
      </c>
      <c r="U958" s="42" t="inlineStr">
        <is>
          <t>Tier 1A (Direct Coloc, &lt;1 km)</t>
        </is>
      </c>
      <c r="V958" s="24" t="n">
        <v>92.3</v>
      </c>
      <c r="W958" s="24" t="n">
        <v>45.3</v>
      </c>
      <c r="X958" s="24" t="n">
        <v>58</v>
      </c>
      <c r="Y958" s="45">
        <f>ROUND((V958*'Methodology &amp; Assumptions'!$B$6)+(W958*'Methodology &amp; Assumptions'!$B$5)+(X958*'Methodology &amp; Assumptions'!$B$7), 2)</f>
        <v/>
      </c>
    </row>
    <row r="959" ht="19" customHeight="1">
      <c r="A959" s="35" t="n">
        <v>955</v>
      </c>
      <c r="B959" s="35" t="n">
        <v>3955</v>
      </c>
      <c r="C959" s="36" t="inlineStr">
        <is>
          <t>1030500068</t>
        </is>
      </c>
      <c r="D959" s="36" t="inlineStr">
        <is>
          <t>Region X (Northern Mindanao)</t>
        </is>
      </c>
      <c r="E959" s="36" t="inlineStr">
        <is>
          <t>Misamis Oriental</t>
        </is>
      </c>
      <c r="F959" s="36" t="inlineStr">
        <is>
          <t>City of Cagayan De Oro</t>
        </is>
      </c>
      <c r="G959" s="36" t="inlineStr">
        <is>
          <t>Taglimao</t>
        </is>
      </c>
      <c r="H959" s="37" t="n">
        <v>8.392172</v>
      </c>
      <c r="I959" s="37" t="n">
        <v>124.521341</v>
      </c>
      <c r="J959" s="8" t="inlineStr">
        <is>
          <t>R</t>
        </is>
      </c>
      <c r="K959" s="36" t="inlineStr">
        <is>
          <t>Class 1-3 / Urban</t>
        </is>
      </c>
      <c r="L959" s="18" t="n">
        <v>1391</v>
      </c>
      <c r="M959" s="20" t="n">
        <v>4.54</v>
      </c>
      <c r="N959" s="18">
        <f>ROUND(L959/M959, 0)</f>
        <v/>
      </c>
      <c r="O959" s="18">
        <f>ROUND(N959*'Methodology &amp; Assumptions'!$B$8, 0)</f>
        <v/>
      </c>
      <c r="P959" s="8" t="inlineStr">
        <is>
          <t>Band n50 (1.5 GHz, 60 MHz)</t>
        </is>
      </c>
      <c r="Q959" s="38">
        <f>ROUNDUP(O959/'Methodology &amp; Assumptions'!$B$9, 0)</f>
        <v/>
      </c>
      <c r="R959" s="39" t="n">
        <v>1</v>
      </c>
      <c r="S959" s="21" t="n">
        <v>0.35</v>
      </c>
      <c r="T959" s="21" t="n">
        <v>9.720000000000001</v>
      </c>
      <c r="U959" s="36" t="inlineStr">
        <is>
          <t>Tier 1A (Direct Coloc, &lt;1 km)</t>
        </is>
      </c>
      <c r="V959" s="20" t="n">
        <v>89</v>
      </c>
      <c r="W959" s="20" t="n">
        <v>48.5</v>
      </c>
      <c r="X959" s="20" t="n">
        <v>58</v>
      </c>
      <c r="Y959" s="40">
        <f>ROUND((V959*'Methodology &amp; Assumptions'!$B$6)+(W959*'Methodology &amp; Assumptions'!$B$5)+(X959*'Methodology &amp; Assumptions'!$B$7), 2)</f>
        <v/>
      </c>
    </row>
    <row r="960" ht="19" customHeight="1">
      <c r="A960" s="41" t="n">
        <v>956</v>
      </c>
      <c r="B960" s="41" t="n">
        <v>3956</v>
      </c>
      <c r="C960" s="42" t="inlineStr">
        <is>
          <t>0304931002</t>
        </is>
      </c>
      <c r="D960" s="42" t="inlineStr">
        <is>
          <t>Region III (Central Luzon)</t>
        </is>
      </c>
      <c r="E960" s="42" t="inlineStr">
        <is>
          <t>Nueva Ecija</t>
        </is>
      </c>
      <c r="F960" s="42" t="inlineStr">
        <is>
          <t>Talugtug</t>
        </is>
      </c>
      <c r="G960" s="42" t="inlineStr">
        <is>
          <t>Alula</t>
        </is>
      </c>
      <c r="H960" s="43" t="n">
        <v>15.585783</v>
      </c>
      <c r="I960" s="43" t="n">
        <v>120.924577</v>
      </c>
      <c r="J960" s="44" t="inlineStr">
        <is>
          <t>R</t>
        </is>
      </c>
      <c r="K960" s="42" t="inlineStr">
        <is>
          <t>3rd</t>
        </is>
      </c>
      <c r="L960" s="23" t="n">
        <v>1247</v>
      </c>
      <c r="M960" s="24" t="n">
        <v>4.09</v>
      </c>
      <c r="N960" s="23">
        <f>ROUND(L960/M960, 0)</f>
        <v/>
      </c>
      <c r="O960" s="23">
        <f>ROUND(N960*'Methodology &amp; Assumptions'!$B$8, 0)</f>
        <v/>
      </c>
      <c r="P960" s="44" t="inlineStr">
        <is>
          <t>Band n50 (1.5 GHz, 60 MHz)</t>
        </is>
      </c>
      <c r="Q960" s="38">
        <f>ROUNDUP(O960/'Methodology &amp; Assumptions'!$B$9, 0)</f>
        <v/>
      </c>
      <c r="R960" s="39" t="n">
        <v>1</v>
      </c>
      <c r="S960" s="25" t="n">
        <v>0.71</v>
      </c>
      <c r="T960" s="25" t="n">
        <v>0.52</v>
      </c>
      <c r="U960" s="42" t="inlineStr">
        <is>
          <t>Tier 1A (Direct Coloc, &lt;1 km)</t>
        </is>
      </c>
      <c r="V960" s="24" t="n">
        <v>89</v>
      </c>
      <c r="W960" s="24" t="n">
        <v>48.5</v>
      </c>
      <c r="X960" s="24" t="n">
        <v>58</v>
      </c>
      <c r="Y960" s="45">
        <f>ROUND((V960*'Methodology &amp; Assumptions'!$B$6)+(W960*'Methodology &amp; Assumptions'!$B$5)+(X960*'Methodology &amp; Assumptions'!$B$7), 2)</f>
        <v/>
      </c>
    </row>
    <row r="961" ht="19" customHeight="1">
      <c r="A961" s="35" t="n">
        <v>957</v>
      </c>
      <c r="B961" s="35" t="n">
        <v>3957</v>
      </c>
      <c r="C961" s="36" t="inlineStr">
        <is>
          <t>0704606003</t>
        </is>
      </c>
      <c r="D961" s="36" t="inlineStr">
        <is>
          <t>Region VII (Central Visayas)</t>
        </is>
      </c>
      <c r="E961" s="36" t="inlineStr">
        <is>
          <t>Negros Oriental</t>
        </is>
      </c>
      <c r="F961" s="36" t="inlineStr">
        <is>
          <t>City of Bayawan</t>
        </is>
      </c>
      <c r="G961" s="36" t="inlineStr">
        <is>
          <t>Banga</t>
        </is>
      </c>
      <c r="H961" s="37" t="n">
        <v>9.369687000000001</v>
      </c>
      <c r="I961" s="37" t="n">
        <v>122.795985</v>
      </c>
      <c r="J961" s="8" t="inlineStr">
        <is>
          <t>U</t>
        </is>
      </c>
      <c r="K961" s="36" t="inlineStr">
        <is>
          <t>Class 1-3 / Urban</t>
        </is>
      </c>
      <c r="L961" s="18" t="n">
        <v>7568</v>
      </c>
      <c r="M961" s="20" t="n">
        <v>4.33</v>
      </c>
      <c r="N961" s="18">
        <f>ROUND(L961/M961, 0)</f>
        <v/>
      </c>
      <c r="O961" s="18">
        <f>ROUND(N961*'Methodology &amp; Assumptions'!$B$8, 0)</f>
        <v/>
      </c>
      <c r="P961" s="8" t="inlineStr">
        <is>
          <t>Band n50 (1.5 GHz, 60 MHz)</t>
        </is>
      </c>
      <c r="Q961" s="38">
        <f>ROUNDUP(O961/'Methodology &amp; Assumptions'!$B$9, 0)</f>
        <v/>
      </c>
      <c r="R961" s="39" t="n">
        <v>1</v>
      </c>
      <c r="S961" s="21" t="n">
        <v>1.89</v>
      </c>
      <c r="T961" s="21" t="n">
        <v>0.2</v>
      </c>
      <c r="U961" s="36" t="inlineStr">
        <is>
          <t>Tier 1B (Micro Drop, 1-3 km)</t>
        </is>
      </c>
      <c r="V961" s="20" t="n">
        <v>63.3</v>
      </c>
      <c r="W961" s="20" t="n">
        <v>100</v>
      </c>
      <c r="X961" s="20" t="n">
        <v>28</v>
      </c>
      <c r="Y961" s="40">
        <f>ROUND((V961*'Methodology &amp; Assumptions'!$B$6)+(W961*'Methodology &amp; Assumptions'!$B$5)+(X961*'Methodology &amp; Assumptions'!$B$7), 2)</f>
        <v/>
      </c>
    </row>
    <row r="962" ht="19" customHeight="1">
      <c r="A962" s="41" t="n">
        <v>958</v>
      </c>
      <c r="B962" s="41" t="n">
        <v>3958</v>
      </c>
      <c r="C962" s="42" t="inlineStr">
        <is>
          <t>0907322011</t>
        </is>
      </c>
      <c r="D962" s="42" t="inlineStr">
        <is>
          <t>Region IX (Zamboanga Peninsula)</t>
        </is>
      </c>
      <c r="E962" s="42" t="inlineStr">
        <is>
          <t>Zamboanga del Sur</t>
        </is>
      </c>
      <c r="F962" s="42" t="inlineStr">
        <is>
          <t>City of Pagadian</t>
        </is>
      </c>
      <c r="G962" s="42" t="inlineStr">
        <is>
          <t>Bulatok</t>
        </is>
      </c>
      <c r="H962" s="43" t="n">
        <v>7.845716</v>
      </c>
      <c r="I962" s="43" t="n">
        <v>123.447506</v>
      </c>
      <c r="J962" s="44" t="inlineStr">
        <is>
          <t>U</t>
        </is>
      </c>
      <c r="K962" s="42" t="inlineStr">
        <is>
          <t>Class 1-3 / Urban</t>
        </is>
      </c>
      <c r="L962" s="23" t="n">
        <v>5516</v>
      </c>
      <c r="M962" s="24" t="n">
        <v>4.61</v>
      </c>
      <c r="N962" s="23">
        <f>ROUND(L962/M962, 0)</f>
        <v/>
      </c>
      <c r="O962" s="23">
        <f>ROUND(N962*'Methodology &amp; Assumptions'!$B$8, 0)</f>
        <v/>
      </c>
      <c r="P962" s="44" t="inlineStr">
        <is>
          <t>Band n50 (1.5 GHz, 60 MHz)</t>
        </is>
      </c>
      <c r="Q962" s="38">
        <f>ROUNDUP(O962/'Methodology &amp; Assumptions'!$B$9, 0)</f>
        <v/>
      </c>
      <c r="R962" s="39" t="n">
        <v>1</v>
      </c>
      <c r="S962" s="25" t="n">
        <v>1.89</v>
      </c>
      <c r="T962" s="25" t="n">
        <v>0.23</v>
      </c>
      <c r="U962" s="42" t="inlineStr">
        <is>
          <t>Tier 1B (Micro Drop, 1-3 km)</t>
        </is>
      </c>
      <c r="V962" s="24" t="n">
        <v>63.3</v>
      </c>
      <c r="W962" s="24" t="n">
        <v>100</v>
      </c>
      <c r="X962" s="24" t="n">
        <v>28</v>
      </c>
      <c r="Y962" s="45">
        <f>ROUND((V962*'Methodology &amp; Assumptions'!$B$6)+(W962*'Methodology &amp; Assumptions'!$B$5)+(X962*'Methodology &amp; Assumptions'!$B$7), 2)</f>
        <v/>
      </c>
    </row>
    <row r="963" ht="19" customHeight="1">
      <c r="A963" s="35" t="n">
        <v>959</v>
      </c>
      <c r="B963" s="35" t="n">
        <v>3959</v>
      </c>
      <c r="C963" s="36" t="inlineStr">
        <is>
          <t>0401014012</t>
        </is>
      </c>
      <c r="D963" s="36" t="inlineStr">
        <is>
          <t>Region IV-A (CALABARZON)</t>
        </is>
      </c>
      <c r="E963" s="36" t="inlineStr">
        <is>
          <t>Batangas</t>
        </is>
      </c>
      <c r="F963" s="36" t="inlineStr">
        <is>
          <t>City of Lipa</t>
        </is>
      </c>
      <c r="G963" s="36" t="inlineStr">
        <is>
          <t>Bugtong na Pulo</t>
        </is>
      </c>
      <c r="H963" s="37" t="n">
        <v>14.007564</v>
      </c>
      <c r="I963" s="37" t="n">
        <v>121.173902</v>
      </c>
      <c r="J963" s="8" t="inlineStr">
        <is>
          <t>U</t>
        </is>
      </c>
      <c r="K963" s="36" t="inlineStr">
        <is>
          <t>Class 1-3 / Urban</t>
        </is>
      </c>
      <c r="L963" s="18" t="n">
        <v>7678</v>
      </c>
      <c r="M963" s="20" t="n">
        <v>4.62</v>
      </c>
      <c r="N963" s="18">
        <f>ROUND(L963/M963, 0)</f>
        <v/>
      </c>
      <c r="O963" s="18">
        <f>ROUND(N963*'Methodology &amp; Assumptions'!$B$8, 0)</f>
        <v/>
      </c>
      <c r="P963" s="8" t="inlineStr">
        <is>
          <t>Band n50 (1.5 GHz, 60 MHz)</t>
        </is>
      </c>
      <c r="Q963" s="38">
        <f>ROUNDUP(O963/'Methodology &amp; Assumptions'!$B$9, 0)</f>
        <v/>
      </c>
      <c r="R963" s="39" t="n">
        <v>1</v>
      </c>
      <c r="S963" s="21" t="n">
        <v>1.89</v>
      </c>
      <c r="T963" s="21" t="n">
        <v>0.91</v>
      </c>
      <c r="U963" s="36" t="inlineStr">
        <is>
          <t>Tier 1B (Micro Drop, 1-3 km)</t>
        </is>
      </c>
      <c r="V963" s="20" t="n">
        <v>63.3</v>
      </c>
      <c r="W963" s="20" t="n">
        <v>100</v>
      </c>
      <c r="X963" s="20" t="n">
        <v>28</v>
      </c>
      <c r="Y963" s="40">
        <f>ROUND((V963*'Methodology &amp; Assumptions'!$B$6)+(W963*'Methodology &amp; Assumptions'!$B$5)+(X963*'Methodology &amp; Assumptions'!$B$7), 2)</f>
        <v/>
      </c>
    </row>
    <row r="964" ht="19" customHeight="1">
      <c r="A964" s="41" t="n">
        <v>960</v>
      </c>
      <c r="B964" s="41" t="n">
        <v>3960</v>
      </c>
      <c r="C964" s="42" t="inlineStr">
        <is>
          <t>0105546018</t>
        </is>
      </c>
      <c r="D964" s="42" t="inlineStr">
        <is>
          <t>Region I (Ilocos Region)</t>
        </is>
      </c>
      <c r="E964" s="42" t="inlineStr">
        <is>
          <t>Pangasinan</t>
        </is>
      </c>
      <c r="F964" s="42" t="inlineStr">
        <is>
          <t>City of Urdaneta</t>
        </is>
      </c>
      <c r="G964" s="42" t="inlineStr">
        <is>
          <t>Dilan Paurido</t>
        </is>
      </c>
      <c r="H964" s="43" t="n">
        <v>15.975253</v>
      </c>
      <c r="I964" s="43" t="n">
        <v>120.581995</v>
      </c>
      <c r="J964" s="44" t="inlineStr">
        <is>
          <t>U</t>
        </is>
      </c>
      <c r="K964" s="42" t="inlineStr">
        <is>
          <t>Class 1-3 / Urban</t>
        </is>
      </c>
      <c r="L964" s="23" t="n">
        <v>7391</v>
      </c>
      <c r="M964" s="24" t="n">
        <v>4.39</v>
      </c>
      <c r="N964" s="23">
        <f>ROUND(L964/M964, 0)</f>
        <v/>
      </c>
      <c r="O964" s="23">
        <f>ROUND(N964*'Methodology &amp; Assumptions'!$B$8, 0)</f>
        <v/>
      </c>
      <c r="P964" s="44" t="inlineStr">
        <is>
          <t>Band n50 (1.5 GHz, 60 MHz)</t>
        </is>
      </c>
      <c r="Q964" s="38">
        <f>ROUNDUP(O964/'Methodology &amp; Assumptions'!$B$9, 0)</f>
        <v/>
      </c>
      <c r="R964" s="39" t="n">
        <v>1</v>
      </c>
      <c r="S964" s="25" t="n">
        <v>1.89</v>
      </c>
      <c r="T964" s="25" t="n">
        <v>1.2</v>
      </c>
      <c r="U964" s="42" t="inlineStr">
        <is>
          <t>Tier 1B (Micro Drop, 1-3 km)</t>
        </is>
      </c>
      <c r="V964" s="24" t="n">
        <v>63.3</v>
      </c>
      <c r="W964" s="24" t="n">
        <v>100</v>
      </c>
      <c r="X964" s="24" t="n">
        <v>28</v>
      </c>
      <c r="Y964" s="45">
        <f>ROUND((V964*'Methodology &amp; Assumptions'!$B$6)+(W964*'Methodology &amp; Assumptions'!$B$5)+(X964*'Methodology &amp; Assumptions'!$B$7), 2)</f>
        <v/>
      </c>
    </row>
    <row r="965" ht="19" customHeight="1">
      <c r="A965" s="35" t="n">
        <v>961</v>
      </c>
      <c r="B965" s="35" t="n">
        <v>3961</v>
      </c>
      <c r="C965" s="36" t="inlineStr">
        <is>
          <t>0604505020</t>
        </is>
      </c>
      <c r="D965" s="36" t="inlineStr">
        <is>
          <t>Region VI (Western Visayas)</t>
        </is>
      </c>
      <c r="E965" s="36" t="inlineStr">
        <is>
          <t>Negros Occidental</t>
        </is>
      </c>
      <c r="F965" s="36" t="inlineStr">
        <is>
          <t>Calatrava</t>
        </is>
      </c>
      <c r="G965" s="36" t="inlineStr">
        <is>
          <t>Ma-aslob</t>
        </is>
      </c>
      <c r="H965" s="37" t="n">
        <v>10.593313</v>
      </c>
      <c r="I965" s="37" t="n">
        <v>123.390516</v>
      </c>
      <c r="J965" s="8" t="inlineStr">
        <is>
          <t>R</t>
        </is>
      </c>
      <c r="K965" s="36" t="inlineStr">
        <is>
          <t>Class 1-3 / Urban</t>
        </is>
      </c>
      <c r="L965" s="18" t="n">
        <v>2280</v>
      </c>
      <c r="M965" s="20" t="n">
        <v>4.33</v>
      </c>
      <c r="N965" s="18">
        <f>ROUND(L965/M965, 0)</f>
        <v/>
      </c>
      <c r="O965" s="18">
        <f>ROUND(N965*'Methodology &amp; Assumptions'!$B$8, 0)</f>
        <v/>
      </c>
      <c r="P965" s="8" t="inlineStr">
        <is>
          <t>Band n50 (1.5 GHz, 60 MHz)</t>
        </is>
      </c>
      <c r="Q965" s="38">
        <f>ROUNDUP(O965/'Methodology &amp; Assumptions'!$B$9, 0)</f>
        <v/>
      </c>
      <c r="R965" s="39" t="n">
        <v>1</v>
      </c>
      <c r="S965" s="21" t="n">
        <v>1.61</v>
      </c>
      <c r="T965" s="21" t="n">
        <v>8.81</v>
      </c>
      <c r="U965" s="36" t="inlineStr">
        <is>
          <t>Tier 1B (Micro Drop, 1-3 km)</t>
        </is>
      </c>
      <c r="V965" s="20" t="n">
        <v>58.5</v>
      </c>
      <c r="W965" s="20" t="n">
        <v>66.09999999999999</v>
      </c>
      <c r="X965" s="20" t="n">
        <v>73</v>
      </c>
      <c r="Y965" s="40">
        <f>ROUND((V965*'Methodology &amp; Assumptions'!$B$6)+(W965*'Methodology &amp; Assumptions'!$B$5)+(X965*'Methodology &amp; Assumptions'!$B$7), 2)</f>
        <v/>
      </c>
    </row>
    <row r="966" ht="19" customHeight="1">
      <c r="A966" s="41" t="n">
        <v>962</v>
      </c>
      <c r="B966" s="41" t="n">
        <v>3962</v>
      </c>
      <c r="C966" s="42" t="inlineStr">
        <is>
          <t>0201525011</t>
        </is>
      </c>
      <c r="D966" s="42" t="inlineStr">
        <is>
          <t>Region II (Cagayan Valley)</t>
        </is>
      </c>
      <c r="E966" s="42" t="inlineStr">
        <is>
          <t>Cagayan</t>
        </is>
      </c>
      <c r="F966" s="42" t="inlineStr">
        <is>
          <t>Santa Teresita</t>
        </is>
      </c>
      <c r="G966" s="42" t="inlineStr">
        <is>
          <t>Simpatuyo</t>
        </is>
      </c>
      <c r="H966" s="43" t="n">
        <v>18.253</v>
      </c>
      <c r="I966" s="43" t="n">
        <v>121.8954</v>
      </c>
      <c r="J966" s="44" t="inlineStr">
        <is>
          <t>R</t>
        </is>
      </c>
      <c r="K966" s="42" t="inlineStr">
        <is>
          <t>3rd</t>
        </is>
      </c>
      <c r="L966" s="23" t="n">
        <v>2671</v>
      </c>
      <c r="M966" s="24" t="n">
        <v>4.45</v>
      </c>
      <c r="N966" s="23">
        <f>ROUND(L966/M966, 0)</f>
        <v/>
      </c>
      <c r="O966" s="23">
        <f>ROUND(N966*'Methodology &amp; Assumptions'!$B$8, 0)</f>
        <v/>
      </c>
      <c r="P966" s="44" t="inlineStr">
        <is>
          <t>Band n50 (1.5 GHz, 60 MHz)</t>
        </is>
      </c>
      <c r="Q966" s="38">
        <f>ROUNDUP(O966/'Methodology &amp; Assumptions'!$B$9, 0)</f>
        <v/>
      </c>
      <c r="R966" s="39" t="n">
        <v>1</v>
      </c>
      <c r="S966" s="25" t="n">
        <v>1.77</v>
      </c>
      <c r="T966" s="25" t="n">
        <v>0.52</v>
      </c>
      <c r="U966" s="42" t="inlineStr">
        <is>
          <t>Tier 1B (Micro Drop, 1-3 km)</t>
        </is>
      </c>
      <c r="V966" s="24" t="n">
        <v>65.5</v>
      </c>
      <c r="W966" s="24" t="n">
        <v>72</v>
      </c>
      <c r="X966" s="24" t="n">
        <v>58</v>
      </c>
      <c r="Y966" s="45">
        <f>ROUND((V966*'Methodology &amp; Assumptions'!$B$6)+(W966*'Methodology &amp; Assumptions'!$B$5)+(X966*'Methodology &amp; Assumptions'!$B$7), 2)</f>
        <v/>
      </c>
    </row>
    <row r="967" ht="19" customHeight="1">
      <c r="A967" s="35" t="n">
        <v>963</v>
      </c>
      <c r="B967" s="35" t="n">
        <v>3963</v>
      </c>
      <c r="C967" s="36" t="inlineStr">
        <is>
          <t>1402703018</t>
        </is>
      </c>
      <c r="D967" s="36" t="inlineStr">
        <is>
          <t>Cordillera Administrative Region (CAR)</t>
        </is>
      </c>
      <c r="E967" s="36" t="inlineStr">
        <is>
          <t>Ifugao</t>
        </is>
      </c>
      <c r="F967" s="36" t="inlineStr">
        <is>
          <t>Kiangan</t>
        </is>
      </c>
      <c r="G967" s="36" t="inlineStr">
        <is>
          <t>Poblacion</t>
        </is>
      </c>
      <c r="H967" s="37" t="n">
        <v>16.777671</v>
      </c>
      <c r="I967" s="37" t="n">
        <v>121.08816</v>
      </c>
      <c r="J967" s="8" t="inlineStr">
        <is>
          <t>R</t>
        </is>
      </c>
      <c r="K967" s="36" t="inlineStr">
        <is>
          <t>3rd</t>
        </is>
      </c>
      <c r="L967" s="18" t="n">
        <v>1567</v>
      </c>
      <c r="M967" s="20" t="n">
        <v>4.89</v>
      </c>
      <c r="N967" s="18">
        <f>ROUND(L967/M967, 0)</f>
        <v/>
      </c>
      <c r="O967" s="18">
        <f>ROUND(N967*'Methodology &amp; Assumptions'!$B$8, 0)</f>
        <v/>
      </c>
      <c r="P967" s="8" t="inlineStr">
        <is>
          <t>Band n50 (1.5 GHz, 60 MHz)</t>
        </is>
      </c>
      <c r="Q967" s="38">
        <f>ROUNDUP(O967/'Methodology &amp; Assumptions'!$B$9, 0)</f>
        <v/>
      </c>
      <c r="R967" s="39" t="n">
        <v>1</v>
      </c>
      <c r="S967" s="21" t="n">
        <v>0.25</v>
      </c>
      <c r="T967" s="21" t="n">
        <v>3.54</v>
      </c>
      <c r="U967" s="36" t="inlineStr">
        <is>
          <t>Tier 1A (Direct Coloc, &lt;1 km)</t>
        </is>
      </c>
      <c r="V967" s="20" t="n">
        <v>91.90000000000001</v>
      </c>
      <c r="W967" s="20" t="n">
        <v>45.6</v>
      </c>
      <c r="X967" s="20" t="n">
        <v>58</v>
      </c>
      <c r="Y967" s="40">
        <f>ROUND((V967*'Methodology &amp; Assumptions'!$B$6)+(W967*'Methodology &amp; Assumptions'!$B$5)+(X967*'Methodology &amp; Assumptions'!$B$7), 2)</f>
        <v/>
      </c>
    </row>
    <row r="968" ht="19" customHeight="1">
      <c r="A968" s="41" t="n">
        <v>964</v>
      </c>
      <c r="B968" s="41" t="n">
        <v>3964</v>
      </c>
      <c r="C968" s="42" t="inlineStr">
        <is>
          <t>0301412002</t>
        </is>
      </c>
      <c r="D968" s="42" t="inlineStr">
        <is>
          <t>Region III (Central Luzon)</t>
        </is>
      </c>
      <c r="E968" s="42" t="inlineStr">
        <is>
          <t>Bulacan</t>
        </is>
      </c>
      <c r="F968" s="42" t="inlineStr">
        <is>
          <t>City of Meycauayan</t>
        </is>
      </c>
      <c r="G968" s="42" t="inlineStr">
        <is>
          <t>Bahay Pare</t>
        </is>
      </c>
      <c r="H968" s="43" t="n">
        <v>14.767797</v>
      </c>
      <c r="I968" s="43" t="n">
        <v>121.012704</v>
      </c>
      <c r="J968" s="44" t="inlineStr">
        <is>
          <t>U</t>
        </is>
      </c>
      <c r="K968" s="42" t="inlineStr">
        <is>
          <t>Class 1-3 / Urban</t>
        </is>
      </c>
      <c r="L968" s="23" t="n">
        <v>13232</v>
      </c>
      <c r="M968" s="24" t="n">
        <v>4.1</v>
      </c>
      <c r="N968" s="23">
        <f>ROUND(L968/M968, 0)</f>
        <v/>
      </c>
      <c r="O968" s="23">
        <f>ROUND(N968*'Methodology &amp; Assumptions'!$B$8, 0)</f>
        <v/>
      </c>
      <c r="P968" s="44" t="inlineStr">
        <is>
          <t>Band n50 (1.5 GHz, 60 MHz)</t>
        </is>
      </c>
      <c r="Q968" s="38">
        <f>ROUNDUP(O968/'Methodology &amp; Assumptions'!$B$9, 0)</f>
        <v/>
      </c>
      <c r="R968" s="39" t="n">
        <v>1</v>
      </c>
      <c r="S968" s="25" t="n">
        <v>1.89</v>
      </c>
      <c r="T968" s="25" t="n">
        <v>1.72</v>
      </c>
      <c r="U968" s="42" t="inlineStr">
        <is>
          <t>Tier 1B (Micro Drop, 1-3 km)</t>
        </is>
      </c>
      <c r="V968" s="24" t="n">
        <v>63.2</v>
      </c>
      <c r="W968" s="24" t="n">
        <v>100</v>
      </c>
      <c r="X968" s="24" t="n">
        <v>28</v>
      </c>
      <c r="Y968" s="45">
        <f>ROUND((V968*'Methodology &amp; Assumptions'!$B$6)+(W968*'Methodology &amp; Assumptions'!$B$5)+(X968*'Methodology &amp; Assumptions'!$B$7), 2)</f>
        <v/>
      </c>
    </row>
    <row r="969" ht="19" customHeight="1">
      <c r="A969" s="35" t="n">
        <v>965</v>
      </c>
      <c r="B969" s="35" t="n">
        <v>3965</v>
      </c>
      <c r="C969" s="36" t="inlineStr">
        <is>
          <t>1030900031</t>
        </is>
      </c>
      <c r="D969" s="36" t="inlineStr">
        <is>
          <t>Region X (Northern Mindanao)</t>
        </is>
      </c>
      <c r="E969" s="36" t="inlineStr">
        <is>
          <t>Lanao del Norte</t>
        </is>
      </c>
      <c r="F969" s="36" t="inlineStr">
        <is>
          <t>City of Iligan</t>
        </is>
      </c>
      <c r="G969" s="36" t="inlineStr">
        <is>
          <t>Bagong Silang</t>
        </is>
      </c>
      <c r="H969" s="37" t="n">
        <v>8.241436999999999</v>
      </c>
      <c r="I969" s="37" t="n">
        <v>124.251465</v>
      </c>
      <c r="J969" s="8" t="inlineStr">
        <is>
          <t>U</t>
        </is>
      </c>
      <c r="K969" s="36" t="inlineStr">
        <is>
          <t>Class 1-3 / Urban</t>
        </is>
      </c>
      <c r="L969" s="18" t="n">
        <v>6104</v>
      </c>
      <c r="M969" s="20" t="n">
        <v>5.12</v>
      </c>
      <c r="N969" s="18">
        <f>ROUND(L969/M969, 0)</f>
        <v/>
      </c>
      <c r="O969" s="18">
        <f>ROUND(N969*'Methodology &amp; Assumptions'!$B$8, 0)</f>
        <v/>
      </c>
      <c r="P969" s="8" t="inlineStr">
        <is>
          <t>Band n50 (1.5 GHz, 60 MHz)</t>
        </is>
      </c>
      <c r="Q969" s="38">
        <f>ROUNDUP(O969/'Methodology &amp; Assumptions'!$B$9, 0)</f>
        <v/>
      </c>
      <c r="R969" s="39" t="n">
        <v>1</v>
      </c>
      <c r="S969" s="21" t="n">
        <v>1.89</v>
      </c>
      <c r="T969" s="21" t="n">
        <v>0.18</v>
      </c>
      <c r="U969" s="36" t="inlineStr">
        <is>
          <t>Tier 1B (Micro Drop, 1-3 km)</t>
        </is>
      </c>
      <c r="V969" s="20" t="n">
        <v>63.2</v>
      </c>
      <c r="W969" s="20" t="n">
        <v>100</v>
      </c>
      <c r="X969" s="20" t="n">
        <v>28</v>
      </c>
      <c r="Y969" s="40">
        <f>ROUND((V969*'Methodology &amp; Assumptions'!$B$6)+(W969*'Methodology &amp; Assumptions'!$B$5)+(X969*'Methodology &amp; Assumptions'!$B$7), 2)</f>
        <v/>
      </c>
    </row>
    <row r="970" ht="19" customHeight="1">
      <c r="A970" s="41" t="n">
        <v>966</v>
      </c>
      <c r="B970" s="41" t="n">
        <v>3966</v>
      </c>
      <c r="C970" s="42" t="inlineStr">
        <is>
          <t>1001317026</t>
        </is>
      </c>
      <c r="D970" s="42" t="inlineStr">
        <is>
          <t>Region X (Northern Mindanao)</t>
        </is>
      </c>
      <c r="E970" s="42" t="inlineStr">
        <is>
          <t>Bukidnon</t>
        </is>
      </c>
      <c r="F970" s="42" t="inlineStr">
        <is>
          <t>Quezon</t>
        </is>
      </c>
      <c r="G970" s="42" t="inlineStr">
        <is>
          <t>Palacapao</t>
        </is>
      </c>
      <c r="H970" s="43" t="n">
        <v>7.607482</v>
      </c>
      <c r="I970" s="43" t="n">
        <v>125.13369</v>
      </c>
      <c r="J970" s="44" t="inlineStr">
        <is>
          <t>R</t>
        </is>
      </c>
      <c r="K970" s="42" t="inlineStr">
        <is>
          <t>Class 1-3 / Urban</t>
        </is>
      </c>
      <c r="L970" s="23" t="n">
        <v>3272</v>
      </c>
      <c r="M970" s="24" t="n">
        <v>4.63</v>
      </c>
      <c r="N970" s="23">
        <f>ROUND(L970/M970, 0)</f>
        <v/>
      </c>
      <c r="O970" s="23">
        <f>ROUND(N970*'Methodology &amp; Assumptions'!$B$8, 0)</f>
        <v/>
      </c>
      <c r="P970" s="44" t="inlineStr">
        <is>
          <t>Band n50 (1.5 GHz, 60 MHz)</t>
        </is>
      </c>
      <c r="Q970" s="38">
        <f>ROUNDUP(O970/'Methodology &amp; Assumptions'!$B$9, 0)</f>
        <v/>
      </c>
      <c r="R970" s="39" t="n">
        <v>1</v>
      </c>
      <c r="S970" s="25" t="n">
        <v>2.27</v>
      </c>
      <c r="T970" s="25" t="n">
        <v>0.06</v>
      </c>
      <c r="U970" s="42" t="inlineStr">
        <is>
          <t>Tier 1B (Micro Drop, 1-3 km)</t>
        </is>
      </c>
      <c r="V970" s="24" t="n">
        <v>56.9</v>
      </c>
      <c r="W970" s="24" t="n">
        <v>80.5</v>
      </c>
      <c r="X970" s="24" t="n">
        <v>58</v>
      </c>
      <c r="Y970" s="45">
        <f>ROUND((V970*'Methodology &amp; Assumptions'!$B$6)+(W970*'Methodology &amp; Assumptions'!$B$5)+(X970*'Methodology &amp; Assumptions'!$B$7), 2)</f>
        <v/>
      </c>
    </row>
    <row r="971" ht="19" customHeight="1">
      <c r="A971" s="35" t="n">
        <v>967</v>
      </c>
      <c r="B971" s="35" t="n">
        <v>3967</v>
      </c>
      <c r="C971" s="36" t="inlineStr">
        <is>
          <t>0501706022</t>
        </is>
      </c>
      <c r="D971" s="36" t="inlineStr">
        <is>
          <t>Region V (Bicol Region)</t>
        </is>
      </c>
      <c r="E971" s="36" t="inlineStr">
        <is>
          <t>Camarines Sur</t>
        </is>
      </c>
      <c r="F971" s="36" t="inlineStr">
        <is>
          <t>Bula</t>
        </is>
      </c>
      <c r="G971" s="36" t="inlineStr">
        <is>
          <t>Salvacion</t>
        </is>
      </c>
      <c r="H971" s="37" t="n">
        <v>13.470581</v>
      </c>
      <c r="I971" s="37" t="n">
        <v>123.279914</v>
      </c>
      <c r="J971" s="8" t="inlineStr">
        <is>
          <t>R</t>
        </is>
      </c>
      <c r="K971" s="36" t="inlineStr">
        <is>
          <t>Class 1-3 / Urban</t>
        </is>
      </c>
      <c r="L971" s="18" t="n">
        <v>1172</v>
      </c>
      <c r="M971" s="20" t="n">
        <v>4.9</v>
      </c>
      <c r="N971" s="18">
        <f>ROUND(L971/M971, 0)</f>
        <v/>
      </c>
      <c r="O971" s="18">
        <f>ROUND(N971*'Methodology &amp; Assumptions'!$B$8, 0)</f>
        <v/>
      </c>
      <c r="P971" s="8" t="inlineStr">
        <is>
          <t>Band n50 (1.5 GHz, 60 MHz)</t>
        </is>
      </c>
      <c r="Q971" s="38">
        <f>ROUNDUP(O971/'Methodology &amp; Assumptions'!$B$9, 0)</f>
        <v/>
      </c>
      <c r="R971" s="39" t="n">
        <v>1</v>
      </c>
      <c r="S971" s="21" t="n">
        <v>0.18</v>
      </c>
      <c r="T971" s="21" t="n">
        <v>5.02</v>
      </c>
      <c r="U971" s="36" t="inlineStr">
        <is>
          <t>Tier 1A (Direct Coloc, &lt;1 km)</t>
        </is>
      </c>
      <c r="V971" s="20" t="n">
        <v>94.3</v>
      </c>
      <c r="W971" s="20" t="n">
        <v>43.2</v>
      </c>
      <c r="X971" s="20" t="n">
        <v>58</v>
      </c>
      <c r="Y971" s="40">
        <f>ROUND((V971*'Methodology &amp; Assumptions'!$B$6)+(W971*'Methodology &amp; Assumptions'!$B$5)+(X971*'Methodology &amp; Assumptions'!$B$7), 2)</f>
        <v/>
      </c>
    </row>
    <row r="972" ht="19" customHeight="1">
      <c r="A972" s="41" t="n">
        <v>968</v>
      </c>
      <c r="B972" s="41" t="n">
        <v>3968</v>
      </c>
      <c r="C972" s="42" t="inlineStr">
        <is>
          <t>0301420002</t>
        </is>
      </c>
      <c r="D972" s="42" t="inlineStr">
        <is>
          <t>Region III (Central Luzon)</t>
        </is>
      </c>
      <c r="E972" s="42" t="inlineStr">
        <is>
          <t>Bulacan</t>
        </is>
      </c>
      <c r="F972" s="42" t="inlineStr">
        <is>
          <t>City of San Jose Del Monte</t>
        </is>
      </c>
      <c r="G972" s="42" t="inlineStr">
        <is>
          <t>Dulong Bayan</t>
        </is>
      </c>
      <c r="H972" s="43" t="n">
        <v>14.826847</v>
      </c>
      <c r="I972" s="43" t="n">
        <v>121.044817</v>
      </c>
      <c r="J972" s="44" t="inlineStr">
        <is>
          <t>U</t>
        </is>
      </c>
      <c r="K972" s="42" t="inlineStr">
        <is>
          <t>Class 1-3 / Urban</t>
        </is>
      </c>
      <c r="L972" s="23" t="n">
        <v>11008</v>
      </c>
      <c r="M972" s="24" t="n">
        <v>4.1</v>
      </c>
      <c r="N972" s="23">
        <f>ROUND(L972/M972, 0)</f>
        <v/>
      </c>
      <c r="O972" s="23">
        <f>ROUND(N972*'Methodology &amp; Assumptions'!$B$8, 0)</f>
        <v/>
      </c>
      <c r="P972" s="44" t="inlineStr">
        <is>
          <t>Band n50 (1.5 GHz, 60 MHz)</t>
        </is>
      </c>
      <c r="Q972" s="38">
        <f>ROUNDUP(O972/'Methodology &amp; Assumptions'!$B$9, 0)</f>
        <v/>
      </c>
      <c r="R972" s="39" t="n">
        <v>1</v>
      </c>
      <c r="S972" s="25" t="n">
        <v>1.89</v>
      </c>
      <c r="T972" s="25" t="n">
        <v>0.14</v>
      </c>
      <c r="U972" s="42" t="inlineStr">
        <is>
          <t>Tier 1B (Micro Drop, 1-3 km)</t>
        </is>
      </c>
      <c r="V972" s="24" t="n">
        <v>63.2</v>
      </c>
      <c r="W972" s="24" t="n">
        <v>100</v>
      </c>
      <c r="X972" s="24" t="n">
        <v>28</v>
      </c>
      <c r="Y972" s="45">
        <f>ROUND((V972*'Methodology &amp; Assumptions'!$B$6)+(W972*'Methodology &amp; Assumptions'!$B$5)+(X972*'Methodology &amp; Assumptions'!$B$7), 2)</f>
        <v/>
      </c>
    </row>
    <row r="973" ht="19" customHeight="1">
      <c r="A973" s="35" t="n">
        <v>969</v>
      </c>
      <c r="B973" s="35" t="n">
        <v>3969</v>
      </c>
      <c r="C973" s="36" t="inlineStr">
        <is>
          <t>0500501051</t>
        </is>
      </c>
      <c r="D973" s="36" t="inlineStr">
        <is>
          <t>Region V (Bicol Region)</t>
        </is>
      </c>
      <c r="E973" s="36" t="inlineStr">
        <is>
          <t>Albay</t>
        </is>
      </c>
      <c r="F973" s="36" t="inlineStr">
        <is>
          <t>Bacacay</t>
        </is>
      </c>
      <c r="G973" s="36" t="inlineStr">
        <is>
          <t>Sogod</t>
        </is>
      </c>
      <c r="H973" s="37" t="n">
        <v>13.309437</v>
      </c>
      <c r="I973" s="37" t="n">
        <v>123.767053</v>
      </c>
      <c r="J973" s="8" t="inlineStr">
        <is>
          <t>U</t>
        </is>
      </c>
      <c r="K973" s="36" t="inlineStr">
        <is>
          <t>Class 1-3 / Urban</t>
        </is>
      </c>
      <c r="L973" s="18" t="n">
        <v>5116</v>
      </c>
      <c r="M973" s="20" t="n">
        <v>4.67</v>
      </c>
      <c r="N973" s="18">
        <f>ROUND(L973/M973, 0)</f>
        <v/>
      </c>
      <c r="O973" s="18">
        <f>ROUND(N973*'Methodology &amp; Assumptions'!$B$8, 0)</f>
        <v/>
      </c>
      <c r="P973" s="8" t="inlineStr">
        <is>
          <t>Band n50 (1.5 GHz, 60 MHz)</t>
        </is>
      </c>
      <c r="Q973" s="38">
        <f>ROUNDUP(O973/'Methodology &amp; Assumptions'!$B$9, 0)</f>
        <v/>
      </c>
      <c r="R973" s="39" t="n">
        <v>1</v>
      </c>
      <c r="S973" s="21" t="n">
        <v>1.89</v>
      </c>
      <c r="T973" s="21" t="n">
        <v>1.65</v>
      </c>
      <c r="U973" s="36" t="inlineStr">
        <is>
          <t>Tier 1B (Micro Drop, 1-3 km)</t>
        </is>
      </c>
      <c r="V973" s="20" t="n">
        <v>63.2</v>
      </c>
      <c r="W973" s="20" t="n">
        <v>100</v>
      </c>
      <c r="X973" s="20" t="n">
        <v>28</v>
      </c>
      <c r="Y973" s="40">
        <f>ROUND((V973*'Methodology &amp; Assumptions'!$B$6)+(W973*'Methodology &amp; Assumptions'!$B$5)+(X973*'Methodology &amp; Assumptions'!$B$7), 2)</f>
        <v/>
      </c>
    </row>
    <row r="974" ht="19" customHeight="1">
      <c r="A974" s="41" t="n">
        <v>970</v>
      </c>
      <c r="B974" s="41" t="n">
        <v>3970</v>
      </c>
      <c r="C974" s="42" t="inlineStr">
        <is>
          <t>0604522019</t>
        </is>
      </c>
      <c r="D974" s="42" t="inlineStr">
        <is>
          <t>Region VI (Western Visayas)</t>
        </is>
      </c>
      <c r="E974" s="42" t="inlineStr">
        <is>
          <t>Negros Occidental</t>
        </is>
      </c>
      <c r="F974" s="42" t="inlineStr">
        <is>
          <t>Pulupandan</t>
        </is>
      </c>
      <c r="G974" s="42" t="inlineStr">
        <is>
          <t>Ubay</t>
        </is>
      </c>
      <c r="H974" s="43" t="n">
        <v>10.520417</v>
      </c>
      <c r="I974" s="43" t="n">
        <v>122.8287</v>
      </c>
      <c r="J974" s="44" t="inlineStr">
        <is>
          <t>R</t>
        </is>
      </c>
      <c r="K974" s="42" t="inlineStr">
        <is>
          <t>Class 1-3 / Urban</t>
        </is>
      </c>
      <c r="L974" s="23" t="n">
        <v>2185</v>
      </c>
      <c r="M974" s="24" t="n">
        <v>4.33</v>
      </c>
      <c r="N974" s="23">
        <f>ROUND(L974/M974, 0)</f>
        <v/>
      </c>
      <c r="O974" s="23">
        <f>ROUND(N974*'Methodology &amp; Assumptions'!$B$8, 0)</f>
        <v/>
      </c>
      <c r="P974" s="44" t="inlineStr">
        <is>
          <t>Band n50 (1.5 GHz, 60 MHz)</t>
        </is>
      </c>
      <c r="Q974" s="38">
        <f>ROUNDUP(O974/'Methodology &amp; Assumptions'!$B$9, 0)</f>
        <v/>
      </c>
      <c r="R974" s="39" t="n">
        <v>1</v>
      </c>
      <c r="S974" s="25" t="n">
        <v>2.08</v>
      </c>
      <c r="T974" s="25" t="n">
        <v>0.86</v>
      </c>
      <c r="U974" s="42" t="inlineStr">
        <is>
          <t>Tier 1B (Micro Drop, 1-3 km)</t>
        </is>
      </c>
      <c r="V974" s="24" t="n">
        <v>60.1</v>
      </c>
      <c r="W974" s="24" t="n">
        <v>64.5</v>
      </c>
      <c r="X974" s="24" t="n">
        <v>73</v>
      </c>
      <c r="Y974" s="45">
        <f>ROUND((V974*'Methodology &amp; Assumptions'!$B$6)+(W974*'Methodology &amp; Assumptions'!$B$5)+(X974*'Methodology &amp; Assumptions'!$B$7), 2)</f>
        <v/>
      </c>
    </row>
    <row r="975" ht="19" customHeight="1">
      <c r="A975" s="35" t="n">
        <v>971</v>
      </c>
      <c r="B975" s="35" t="n">
        <v>3971</v>
      </c>
      <c r="C975" s="36" t="inlineStr">
        <is>
          <t>0603034017</t>
        </is>
      </c>
      <c r="D975" s="36" t="inlineStr">
        <is>
          <t>Region VI (Western Visayas)</t>
        </is>
      </c>
      <c r="E975" s="36" t="inlineStr">
        <is>
          <t>Iloilo</t>
        </is>
      </c>
      <c r="F975" s="36" t="inlineStr">
        <is>
          <t>Oton</t>
        </is>
      </c>
      <c r="G975" s="36" t="inlineStr">
        <is>
          <t>Lambuyao</t>
        </is>
      </c>
      <c r="H975" s="37" t="n">
        <v>10.711196</v>
      </c>
      <c r="I975" s="37" t="n">
        <v>122.492436</v>
      </c>
      <c r="J975" s="8" t="inlineStr">
        <is>
          <t>R</t>
        </is>
      </c>
      <c r="K975" s="36" t="inlineStr">
        <is>
          <t>Class 1-3 / Urban</t>
        </is>
      </c>
      <c r="L975" s="18" t="n">
        <v>3236</v>
      </c>
      <c r="M975" s="20" t="n">
        <v>4.39</v>
      </c>
      <c r="N975" s="18">
        <f>ROUND(L975/M975, 0)</f>
        <v/>
      </c>
      <c r="O975" s="18">
        <f>ROUND(N975*'Methodology &amp; Assumptions'!$B$8, 0)</f>
        <v/>
      </c>
      <c r="P975" s="8" t="inlineStr">
        <is>
          <t>Band n50 (1.5 GHz, 60 MHz)</t>
        </is>
      </c>
      <c r="Q975" s="38">
        <f>ROUNDUP(O975/'Methodology &amp; Assumptions'!$B$9, 0)</f>
        <v/>
      </c>
      <c r="R975" s="39" t="n">
        <v>1</v>
      </c>
      <c r="S975" s="21" t="n">
        <v>2.43</v>
      </c>
      <c r="T975" s="21" t="n">
        <v>1.96</v>
      </c>
      <c r="U975" s="36" t="inlineStr">
        <is>
          <t>Tier 1B (Micro Drop, 1-3 km)</t>
        </is>
      </c>
      <c r="V975" s="20" t="n">
        <v>54.5</v>
      </c>
      <c r="W975" s="20" t="n">
        <v>82.90000000000001</v>
      </c>
      <c r="X975" s="20" t="n">
        <v>58</v>
      </c>
      <c r="Y975" s="40">
        <f>ROUND((V975*'Methodology &amp; Assumptions'!$B$6)+(W975*'Methodology &amp; Assumptions'!$B$5)+(X975*'Methodology &amp; Assumptions'!$B$7), 2)</f>
        <v/>
      </c>
    </row>
    <row r="976" ht="19" customHeight="1">
      <c r="A976" s="41" t="n">
        <v>972</v>
      </c>
      <c r="B976" s="41" t="n">
        <v>3972</v>
      </c>
      <c r="C976" s="42" t="inlineStr">
        <is>
          <t>0102812046</t>
        </is>
      </c>
      <c r="D976" s="42" t="inlineStr">
        <is>
          <t>Region I (Ilocos Region)</t>
        </is>
      </c>
      <c r="E976" s="42" t="inlineStr">
        <is>
          <t>Ilocos Norte</t>
        </is>
      </c>
      <c r="F976" s="42" t="inlineStr">
        <is>
          <t>City of Laoag</t>
        </is>
      </c>
      <c r="G976" s="42" t="inlineStr">
        <is>
          <t>Bgy. No. 3, Nstra. Sra. Del Rosario</t>
        </is>
      </c>
      <c r="H976" s="43" t="n">
        <v>18.203623</v>
      </c>
      <c r="I976" s="43" t="n">
        <v>120.589244</v>
      </c>
      <c r="J976" s="44" t="inlineStr">
        <is>
          <t>R</t>
        </is>
      </c>
      <c r="K976" s="42" t="inlineStr">
        <is>
          <t>Class 1-3 / Urban</t>
        </is>
      </c>
      <c r="L976" s="23" t="n">
        <v>1011</v>
      </c>
      <c r="M976" s="24" t="n">
        <v>4.35</v>
      </c>
      <c r="N976" s="23">
        <f>ROUND(L976/M976, 0)</f>
        <v/>
      </c>
      <c r="O976" s="23">
        <f>ROUND(N976*'Methodology &amp; Assumptions'!$B$8, 0)</f>
        <v/>
      </c>
      <c r="P976" s="44" t="inlineStr">
        <is>
          <t>Band n50 (1.5 GHz, 60 MHz)</t>
        </is>
      </c>
      <c r="Q976" s="38">
        <f>ROUNDUP(O976/'Methodology &amp; Assumptions'!$B$9, 0)</f>
        <v/>
      </c>
      <c r="R976" s="39" t="n">
        <v>1</v>
      </c>
      <c r="S976" s="25" t="n">
        <v>0.49</v>
      </c>
      <c r="T976" s="25" t="n">
        <v>0.29</v>
      </c>
      <c r="U976" s="42" t="inlineStr">
        <is>
          <t>Tier 1A (Direct Coloc, &lt;1 km)</t>
        </is>
      </c>
      <c r="V976" s="24" t="n">
        <v>94.8</v>
      </c>
      <c r="W976" s="24" t="n">
        <v>42.7</v>
      </c>
      <c r="X976" s="24" t="n">
        <v>58</v>
      </c>
      <c r="Y976" s="45">
        <f>ROUND((V976*'Methodology &amp; Assumptions'!$B$6)+(W976*'Methodology &amp; Assumptions'!$B$5)+(X976*'Methodology &amp; Assumptions'!$B$7), 2)</f>
        <v/>
      </c>
    </row>
    <row r="977" ht="19" customHeight="1">
      <c r="A977" s="35" t="n">
        <v>973</v>
      </c>
      <c r="B977" s="35" t="n">
        <v>3973</v>
      </c>
      <c r="C977" s="36" t="inlineStr">
        <is>
          <t>0105522026</t>
        </is>
      </c>
      <c r="D977" s="36" t="inlineStr">
        <is>
          <t>Region I (Ilocos Region)</t>
        </is>
      </c>
      <c r="E977" s="36" t="inlineStr">
        <is>
          <t>Pangasinan</t>
        </is>
      </c>
      <c r="F977" s="36" t="inlineStr">
        <is>
          <t>Lingayen</t>
        </is>
      </c>
      <c r="G977" s="36" t="inlineStr">
        <is>
          <t>Pangapisan North</t>
        </is>
      </c>
      <c r="H977" s="37" t="n">
        <v>16.023914</v>
      </c>
      <c r="I977" s="37" t="n">
        <v>120.214996</v>
      </c>
      <c r="J977" s="8" t="inlineStr">
        <is>
          <t>U</t>
        </is>
      </c>
      <c r="K977" s="36" t="inlineStr">
        <is>
          <t>Class 1-3 / Urban</t>
        </is>
      </c>
      <c r="L977" s="18" t="n">
        <v>8502</v>
      </c>
      <c r="M977" s="20" t="n">
        <v>4.39</v>
      </c>
      <c r="N977" s="18">
        <f>ROUND(L977/M977, 0)</f>
        <v/>
      </c>
      <c r="O977" s="18">
        <f>ROUND(N977*'Methodology &amp; Assumptions'!$B$8, 0)</f>
        <v/>
      </c>
      <c r="P977" s="8" t="inlineStr">
        <is>
          <t>Band n50 (1.5 GHz, 60 MHz)</t>
        </is>
      </c>
      <c r="Q977" s="38">
        <f>ROUNDUP(O977/'Methodology &amp; Assumptions'!$B$9, 0)</f>
        <v/>
      </c>
      <c r="R977" s="39" t="n">
        <v>1</v>
      </c>
      <c r="S977" s="21" t="n">
        <v>1.89</v>
      </c>
      <c r="T977" s="21" t="n">
        <v>1.68</v>
      </c>
      <c r="U977" s="36" t="inlineStr">
        <is>
          <t>Tier 1B (Micro Drop, 1-3 km)</t>
        </is>
      </c>
      <c r="V977" s="20" t="n">
        <v>63.2</v>
      </c>
      <c r="W977" s="20" t="n">
        <v>100</v>
      </c>
      <c r="X977" s="20" t="n">
        <v>28</v>
      </c>
      <c r="Y977" s="40">
        <f>ROUND((V977*'Methodology &amp; Assumptions'!$B$6)+(W977*'Methodology &amp; Assumptions'!$B$5)+(X977*'Methodology &amp; Assumptions'!$B$7), 2)</f>
        <v/>
      </c>
    </row>
    <row r="978" ht="19" customHeight="1">
      <c r="A978" s="41" t="n">
        <v>974</v>
      </c>
      <c r="B978" s="41" t="n">
        <v>3974</v>
      </c>
      <c r="C978" s="42" t="inlineStr">
        <is>
          <t>0702250002</t>
        </is>
      </c>
      <c r="D978" s="42" t="inlineStr">
        <is>
          <t>Region VII (Central Visayas)</t>
        </is>
      </c>
      <c r="E978" s="42" t="inlineStr">
        <is>
          <t>Cebu</t>
        </is>
      </c>
      <c r="F978" s="42" t="inlineStr">
        <is>
          <t>City of Talisay</t>
        </is>
      </c>
      <c r="G978" s="42" t="inlineStr">
        <is>
          <t>Cadulawan</t>
        </is>
      </c>
      <c r="H978" s="43" t="n">
        <v>10.278837</v>
      </c>
      <c r="I978" s="43" t="n">
        <v>123.843448</v>
      </c>
      <c r="J978" s="44" t="inlineStr">
        <is>
          <t>U</t>
        </is>
      </c>
      <c r="K978" s="42" t="inlineStr">
        <is>
          <t>Class 1-3 / Urban</t>
        </is>
      </c>
      <c r="L978" s="23" t="n">
        <v>6291</v>
      </c>
      <c r="M978" s="24" t="n">
        <v>4.42</v>
      </c>
      <c r="N978" s="23">
        <f>ROUND(L978/M978, 0)</f>
        <v/>
      </c>
      <c r="O978" s="23">
        <f>ROUND(N978*'Methodology &amp; Assumptions'!$B$8, 0)</f>
        <v/>
      </c>
      <c r="P978" s="44" t="inlineStr">
        <is>
          <t>Band n50 (1.5 GHz, 60 MHz)</t>
        </is>
      </c>
      <c r="Q978" s="38">
        <f>ROUNDUP(O978/'Methodology &amp; Assumptions'!$B$9, 0)</f>
        <v/>
      </c>
      <c r="R978" s="39" t="n">
        <v>1</v>
      </c>
      <c r="S978" s="25" t="n">
        <v>1.9</v>
      </c>
      <c r="T978" s="25" t="n">
        <v>0.86</v>
      </c>
      <c r="U978" s="42" t="inlineStr">
        <is>
          <t>Tier 1B (Micro Drop, 1-3 km)</t>
        </is>
      </c>
      <c r="V978" s="24" t="n">
        <v>63.2</v>
      </c>
      <c r="W978" s="24" t="n">
        <v>100</v>
      </c>
      <c r="X978" s="24" t="n">
        <v>28</v>
      </c>
      <c r="Y978" s="45">
        <f>ROUND((V978*'Methodology &amp; Assumptions'!$B$6)+(W978*'Methodology &amp; Assumptions'!$B$5)+(X978*'Methodology &amp; Assumptions'!$B$7), 2)</f>
        <v/>
      </c>
    </row>
    <row r="979" ht="19" customHeight="1">
      <c r="A979" s="35" t="n">
        <v>975</v>
      </c>
      <c r="B979" s="35" t="n">
        <v>3975</v>
      </c>
      <c r="C979" s="36" t="inlineStr">
        <is>
          <t>1430300110</t>
        </is>
      </c>
      <c r="D979" s="36" t="inlineStr">
        <is>
          <t>Cordillera Administrative Region (CAR)</t>
        </is>
      </c>
      <c r="E979" s="36" t="inlineStr">
        <is>
          <t>Benguet</t>
        </is>
      </c>
      <c r="F979" s="36" t="inlineStr">
        <is>
          <t>City of Baguio</t>
        </is>
      </c>
      <c r="G979" s="36" t="inlineStr">
        <is>
          <t>Saint Joseph Village</t>
        </is>
      </c>
      <c r="H979" s="37" t="n">
        <v>16.41728</v>
      </c>
      <c r="I979" s="37" t="n">
        <v>120.61203</v>
      </c>
      <c r="J979" s="8" t="inlineStr">
        <is>
          <t>U</t>
        </is>
      </c>
      <c r="K979" s="36" t="inlineStr">
        <is>
          <t>Class 1-3 / Urban</t>
        </is>
      </c>
      <c r="L979" s="18" t="n">
        <v>3951</v>
      </c>
      <c r="M979" s="20" t="n">
        <v>4.58</v>
      </c>
      <c r="N979" s="18">
        <f>ROUND(L979/M979, 0)</f>
        <v/>
      </c>
      <c r="O979" s="18">
        <f>ROUND(N979*'Methodology &amp; Assumptions'!$B$8, 0)</f>
        <v/>
      </c>
      <c r="P979" s="8" t="inlineStr">
        <is>
          <t>Band n50 (1.5 GHz, 60 MHz)</t>
        </is>
      </c>
      <c r="Q979" s="38">
        <f>ROUNDUP(O979/'Methodology &amp; Assumptions'!$B$9, 0)</f>
        <v/>
      </c>
      <c r="R979" s="39" t="n">
        <v>1</v>
      </c>
      <c r="S979" s="21" t="n">
        <v>1.33</v>
      </c>
      <c r="T979" s="21" t="n">
        <v>0.41</v>
      </c>
      <c r="U979" s="36" t="inlineStr">
        <is>
          <t>Tier 1B (Micro Drop, 1-3 km)</t>
        </is>
      </c>
      <c r="V979" s="20" t="n">
        <v>74.09999999999999</v>
      </c>
      <c r="W979" s="20" t="n">
        <v>89.09999999999999</v>
      </c>
      <c r="X979" s="20" t="n">
        <v>28</v>
      </c>
      <c r="Y979" s="40">
        <f>ROUND((V979*'Methodology &amp; Assumptions'!$B$6)+(W979*'Methodology &amp; Assumptions'!$B$5)+(X979*'Methodology &amp; Assumptions'!$B$7), 2)</f>
        <v/>
      </c>
    </row>
    <row r="980" ht="19" customHeight="1">
      <c r="A980" s="41" t="n">
        <v>976</v>
      </c>
      <c r="B980" s="41" t="n">
        <v>3976</v>
      </c>
      <c r="C980" s="42" t="inlineStr">
        <is>
          <t>0102926023</t>
        </is>
      </c>
      <c r="D980" s="42" t="inlineStr">
        <is>
          <t>Region I (Ilocos Region)</t>
        </is>
      </c>
      <c r="E980" s="42" t="inlineStr">
        <is>
          <t>Ilocos Sur</t>
        </is>
      </c>
      <c r="F980" s="42" t="inlineStr">
        <is>
          <t>Santa Maria</t>
        </is>
      </c>
      <c r="G980" s="42" t="inlineStr">
        <is>
          <t>Nagtupacan</t>
        </is>
      </c>
      <c r="H980" s="43" t="n">
        <v>17.380358</v>
      </c>
      <c r="I980" s="43" t="n">
        <v>120.475937</v>
      </c>
      <c r="J980" s="44" t="inlineStr">
        <is>
          <t>R</t>
        </is>
      </c>
      <c r="K980" s="42" t="inlineStr">
        <is>
          <t>Class 1-3 / Urban</t>
        </is>
      </c>
      <c r="L980" s="23" t="n">
        <v>874</v>
      </c>
      <c r="M980" s="24" t="n">
        <v>4.56</v>
      </c>
      <c r="N980" s="23">
        <f>ROUND(L980/M980, 0)</f>
        <v/>
      </c>
      <c r="O980" s="23">
        <f>ROUND(N980*'Methodology &amp; Assumptions'!$B$8, 0)</f>
        <v/>
      </c>
      <c r="P980" s="44" t="inlineStr">
        <is>
          <t>Band n50 (1.5 GHz, 60 MHz)</t>
        </is>
      </c>
      <c r="Q980" s="38">
        <f>ROUNDUP(O980/'Methodology &amp; Assumptions'!$B$9, 0)</f>
        <v/>
      </c>
      <c r="R980" s="39" t="n">
        <v>1</v>
      </c>
      <c r="S980" s="25" t="n">
        <v>0.86</v>
      </c>
      <c r="T980" s="25" t="n">
        <v>0.67</v>
      </c>
      <c r="U980" s="42" t="inlineStr">
        <is>
          <t>Tier 1A (Direct Coloc, &lt;1 km)</t>
        </is>
      </c>
      <c r="V980" s="24" t="n">
        <v>85.09999999999999</v>
      </c>
      <c r="W980" s="24" t="n">
        <v>39.5</v>
      </c>
      <c r="X980" s="24" t="n">
        <v>73</v>
      </c>
      <c r="Y980" s="45">
        <f>ROUND((V980*'Methodology &amp; Assumptions'!$B$6)+(W980*'Methodology &amp; Assumptions'!$B$5)+(X980*'Methodology &amp; Assumptions'!$B$7), 2)</f>
        <v/>
      </c>
    </row>
    <row r="981" ht="19" customHeight="1">
      <c r="A981" s="35" t="n">
        <v>977</v>
      </c>
      <c r="B981" s="35" t="n">
        <v>3977</v>
      </c>
      <c r="C981" s="36" t="inlineStr">
        <is>
          <t>1206312009</t>
        </is>
      </c>
      <c r="D981" s="36" t="inlineStr">
        <is>
          <t>Region XII (SOCCSKSARGEN)</t>
        </is>
      </c>
      <c r="E981" s="36" t="inlineStr">
        <is>
          <t>South Cotabato</t>
        </is>
      </c>
      <c r="F981" s="36" t="inlineStr">
        <is>
          <t>Polomolok</t>
        </is>
      </c>
      <c r="G981" s="36" t="inlineStr">
        <is>
          <t>Lumakil</t>
        </is>
      </c>
      <c r="H981" s="37" t="n">
        <v>6.216809</v>
      </c>
      <c r="I981" s="37" t="n">
        <v>125.040025</v>
      </c>
      <c r="J981" s="8" t="inlineStr">
        <is>
          <t>R</t>
        </is>
      </c>
      <c r="K981" s="36" t="inlineStr">
        <is>
          <t>Class 1-3 / Urban</t>
        </is>
      </c>
      <c r="L981" s="18" t="n">
        <v>3796</v>
      </c>
      <c r="M981" s="20" t="n">
        <v>4.1</v>
      </c>
      <c r="N981" s="18">
        <f>ROUND(L981/M981, 0)</f>
        <v/>
      </c>
      <c r="O981" s="18">
        <f>ROUND(N981*'Methodology &amp; Assumptions'!$B$8, 0)</f>
        <v/>
      </c>
      <c r="P981" s="8" t="inlineStr">
        <is>
          <t>Band n50 (1.5 GHz, 60 MHz)</t>
        </is>
      </c>
      <c r="Q981" s="38">
        <f>ROUNDUP(O981/'Methodology &amp; Assumptions'!$B$9, 0)</f>
        <v/>
      </c>
      <c r="R981" s="39" t="n">
        <v>1</v>
      </c>
      <c r="S981" s="21" t="n">
        <v>2.8</v>
      </c>
      <c r="T981" s="21" t="n">
        <v>3.19</v>
      </c>
      <c r="U981" s="36" t="inlineStr">
        <is>
          <t>Tier 1B (Micro Drop, 1-3 km)</t>
        </is>
      </c>
      <c r="V981" s="20" t="n">
        <v>39.3</v>
      </c>
      <c r="W981" s="20" t="n">
        <v>98.09999999999999</v>
      </c>
      <c r="X981" s="20" t="n">
        <v>58</v>
      </c>
      <c r="Y981" s="40">
        <f>ROUND((V981*'Methodology &amp; Assumptions'!$B$6)+(W981*'Methodology &amp; Assumptions'!$B$5)+(X981*'Methodology &amp; Assumptions'!$B$7), 2)</f>
        <v/>
      </c>
    </row>
    <row r="982" ht="19" customHeight="1">
      <c r="A982" s="41" t="n">
        <v>978</v>
      </c>
      <c r="B982" s="41" t="n">
        <v>3978</v>
      </c>
      <c r="C982" s="42" t="inlineStr">
        <is>
          <t>1130700180</t>
        </is>
      </c>
      <c r="D982" s="42" t="inlineStr">
        <is>
          <t>Region XI (Davao Region)</t>
        </is>
      </c>
      <c r="E982" s="42" t="inlineStr">
        <is>
          <t>Davao del Sur</t>
        </is>
      </c>
      <c r="F982" s="42" t="inlineStr">
        <is>
          <t>City of Davao</t>
        </is>
      </c>
      <c r="G982" s="42" t="inlineStr">
        <is>
          <t>Datu Salumay</t>
        </is>
      </c>
      <c r="H982" s="43" t="n">
        <v>7.482231</v>
      </c>
      <c r="I982" s="43" t="n">
        <v>125.250248</v>
      </c>
      <c r="J982" s="44" t="inlineStr">
        <is>
          <t>R</t>
        </is>
      </c>
      <c r="K982" s="42" t="inlineStr">
        <is>
          <t>Class 1-3 / Urban</t>
        </is>
      </c>
      <c r="L982" s="23" t="n">
        <v>1100</v>
      </c>
      <c r="M982" s="24" t="n">
        <v>4.1</v>
      </c>
      <c r="N982" s="23">
        <f>ROUND(L982/M982, 0)</f>
        <v/>
      </c>
      <c r="O982" s="23">
        <f>ROUND(N982*'Methodology &amp; Assumptions'!$B$8, 0)</f>
        <v/>
      </c>
      <c r="P982" s="44" t="inlineStr">
        <is>
          <t>Band n50 (1.5 GHz, 60 MHz)</t>
        </is>
      </c>
      <c r="Q982" s="38">
        <f>ROUNDUP(O982/'Methodology &amp; Assumptions'!$B$9, 0)</f>
        <v/>
      </c>
      <c r="R982" s="39" t="n">
        <v>1</v>
      </c>
      <c r="S982" s="25" t="n">
        <v>0.59</v>
      </c>
      <c r="T982" s="25" t="n">
        <v>0.22</v>
      </c>
      <c r="U982" s="42" t="inlineStr">
        <is>
          <t>Tier 1A (Direct Coloc, &lt;1 km)</t>
        </is>
      </c>
      <c r="V982" s="24" t="n">
        <v>92.09999999999999</v>
      </c>
      <c r="W982" s="24" t="n">
        <v>45.3</v>
      </c>
      <c r="X982" s="24" t="n">
        <v>58</v>
      </c>
      <c r="Y982" s="45">
        <f>ROUND((V982*'Methodology &amp; Assumptions'!$B$6)+(W982*'Methodology &amp; Assumptions'!$B$5)+(X982*'Methodology &amp; Assumptions'!$B$7), 2)</f>
        <v/>
      </c>
    </row>
    <row r="983" ht="19" customHeight="1">
      <c r="A983" s="35" t="n">
        <v>979</v>
      </c>
      <c r="B983" s="35" t="n">
        <v>3979</v>
      </c>
      <c r="C983" s="36" t="inlineStr">
        <is>
          <t>1004302018</t>
        </is>
      </c>
      <c r="D983" s="36" t="inlineStr">
        <is>
          <t>Region X (Northern Mindanao)</t>
        </is>
      </c>
      <c r="E983" s="36" t="inlineStr">
        <is>
          <t>Misamis Oriental</t>
        </is>
      </c>
      <c r="F983" s="36" t="inlineStr">
        <is>
          <t>Balingasag</t>
        </is>
      </c>
      <c r="G983" s="36" t="inlineStr">
        <is>
          <t>Mandangoa</t>
        </is>
      </c>
      <c r="H983" s="37" t="n">
        <v>8.767162000000001</v>
      </c>
      <c r="I983" s="37" t="n">
        <v>124.779326</v>
      </c>
      <c r="J983" s="8" t="inlineStr">
        <is>
          <t>U</t>
        </is>
      </c>
      <c r="K983" s="36" t="inlineStr">
        <is>
          <t>Class 1-3 / Urban</t>
        </is>
      </c>
      <c r="L983" s="18" t="n">
        <v>4356</v>
      </c>
      <c r="M983" s="20" t="n">
        <v>4.54</v>
      </c>
      <c r="N983" s="18">
        <f>ROUND(L983/M983, 0)</f>
        <v/>
      </c>
      <c r="O983" s="18">
        <f>ROUND(N983*'Methodology &amp; Assumptions'!$B$8, 0)</f>
        <v/>
      </c>
      <c r="P983" s="8" t="inlineStr">
        <is>
          <t>Band n50 (1.5 GHz, 60 MHz)</t>
        </is>
      </c>
      <c r="Q983" s="38">
        <f>ROUNDUP(O983/'Methodology &amp; Assumptions'!$B$9, 0)</f>
        <v/>
      </c>
      <c r="R983" s="39" t="n">
        <v>1</v>
      </c>
      <c r="S983" s="21" t="n">
        <v>1.9</v>
      </c>
      <c r="T983" s="21" t="n">
        <v>0.37</v>
      </c>
      <c r="U983" s="36" t="inlineStr">
        <is>
          <t>Tier 1B (Micro Drop, 1-3 km)</t>
        </is>
      </c>
      <c r="V983" s="20" t="n">
        <v>63.1</v>
      </c>
      <c r="W983" s="20" t="n">
        <v>100</v>
      </c>
      <c r="X983" s="20" t="n">
        <v>28</v>
      </c>
      <c r="Y983" s="40">
        <f>ROUND((V983*'Methodology &amp; Assumptions'!$B$6)+(W983*'Methodology &amp; Assumptions'!$B$5)+(X983*'Methodology &amp; Assumptions'!$B$7), 2)</f>
        <v/>
      </c>
    </row>
    <row r="984" ht="19" customHeight="1">
      <c r="A984" s="41" t="n">
        <v>980</v>
      </c>
      <c r="B984" s="41" t="n">
        <v>3980</v>
      </c>
      <c r="C984" s="42" t="inlineStr">
        <is>
          <t>0402116001</t>
        </is>
      </c>
      <c r="D984" s="42" t="inlineStr">
        <is>
          <t>Region IV-A (CALABARZON)</t>
        </is>
      </c>
      <c r="E984" s="42" t="inlineStr">
        <is>
          <t>Cavite</t>
        </is>
      </c>
      <c r="F984" s="42" t="inlineStr">
        <is>
          <t>Noveleta</t>
        </is>
      </c>
      <c r="G984" s="42" t="inlineStr">
        <is>
          <t>Magdiwang</t>
        </is>
      </c>
      <c r="H984" s="43" t="n">
        <v>14.431706</v>
      </c>
      <c r="I984" s="43" t="n">
        <v>120.885182</v>
      </c>
      <c r="J984" s="44" t="inlineStr">
        <is>
          <t>U</t>
        </is>
      </c>
      <c r="K984" s="42" t="inlineStr">
        <is>
          <t>Class 1-3 / Urban</t>
        </is>
      </c>
      <c r="L984" s="23" t="n">
        <v>2233</v>
      </c>
      <c r="M984" s="24" t="n">
        <v>4.49</v>
      </c>
      <c r="N984" s="23">
        <f>ROUND(L984/M984, 0)</f>
        <v/>
      </c>
      <c r="O984" s="23">
        <f>ROUND(N984*'Methodology &amp; Assumptions'!$B$8, 0)</f>
        <v/>
      </c>
      <c r="P984" s="44" t="inlineStr">
        <is>
          <t>Band n50 (1.5 GHz, 60 MHz)</t>
        </is>
      </c>
      <c r="Q984" s="38">
        <f>ROUNDUP(O984/'Methodology &amp; Assumptions'!$B$9, 0)</f>
        <v/>
      </c>
      <c r="R984" s="39" t="n">
        <v>1</v>
      </c>
      <c r="S984" s="25" t="n">
        <v>0.34</v>
      </c>
      <c r="T984" s="25" t="n">
        <v>0.06</v>
      </c>
      <c r="U984" s="42" t="inlineStr">
        <is>
          <t>Tier 1A (Direct Coloc, &lt;1 km)</t>
        </is>
      </c>
      <c r="V984" s="24" t="n">
        <v>99.40000000000001</v>
      </c>
      <c r="W984" s="24" t="n">
        <v>63.7</v>
      </c>
      <c r="X984" s="24" t="n">
        <v>28</v>
      </c>
      <c r="Y984" s="45">
        <f>ROUND((V984*'Methodology &amp; Assumptions'!$B$6)+(W984*'Methodology &amp; Assumptions'!$B$5)+(X984*'Methodology &amp; Assumptions'!$B$7), 2)</f>
        <v/>
      </c>
    </row>
    <row r="985" ht="19" customHeight="1">
      <c r="A985" s="35" t="n">
        <v>981</v>
      </c>
      <c r="B985" s="35" t="n">
        <v>3981</v>
      </c>
      <c r="C985" s="36" t="inlineStr">
        <is>
          <t>0506204005</t>
        </is>
      </c>
      <c r="D985" s="36" t="inlineStr">
        <is>
          <t>Region V (Bicol Region)</t>
        </is>
      </c>
      <c r="E985" s="36" t="inlineStr">
        <is>
          <t>Sorsogon</t>
        </is>
      </c>
      <c r="F985" s="36" t="inlineStr">
        <is>
          <t>Bulusan</t>
        </is>
      </c>
      <c r="G985" s="36" t="inlineStr">
        <is>
          <t>Dapdap</t>
        </is>
      </c>
      <c r="H985" s="37" t="n">
        <v>12.752432</v>
      </c>
      <c r="I985" s="37" t="n">
        <v>124.138652</v>
      </c>
      <c r="J985" s="8" t="inlineStr">
        <is>
          <t>R</t>
        </is>
      </c>
      <c r="K985" s="36" t="inlineStr">
        <is>
          <t>3rd</t>
        </is>
      </c>
      <c r="L985" s="18" t="n">
        <v>1270</v>
      </c>
      <c r="M985" s="20" t="n">
        <v>4.31</v>
      </c>
      <c r="N985" s="18">
        <f>ROUND(L985/M985, 0)</f>
        <v/>
      </c>
      <c r="O985" s="18">
        <f>ROUND(N985*'Methodology &amp; Assumptions'!$B$8, 0)</f>
        <v/>
      </c>
      <c r="P985" s="8" t="inlineStr">
        <is>
          <t>Band n50 (1.5 GHz, 60 MHz)</t>
        </is>
      </c>
      <c r="Q985" s="38">
        <f>ROUNDUP(O985/'Methodology &amp; Assumptions'!$B$9, 0)</f>
        <v/>
      </c>
      <c r="R985" s="39" t="n">
        <v>1</v>
      </c>
      <c r="S985" s="21" t="n">
        <v>0.67</v>
      </c>
      <c r="T985" s="21" t="n">
        <v>0.23</v>
      </c>
      <c r="U985" s="36" t="inlineStr">
        <is>
          <t>Tier 1A (Direct Coloc, &lt;1 km)</t>
        </is>
      </c>
      <c r="V985" s="20" t="n">
        <v>89.90000000000001</v>
      </c>
      <c r="W985" s="20" t="n">
        <v>47.5</v>
      </c>
      <c r="X985" s="20" t="n">
        <v>58</v>
      </c>
      <c r="Y985" s="40">
        <f>ROUND((V985*'Methodology &amp; Assumptions'!$B$6)+(W985*'Methodology &amp; Assumptions'!$B$5)+(X985*'Methodology &amp; Assumptions'!$B$7), 2)</f>
        <v/>
      </c>
    </row>
    <row r="986" ht="19" customHeight="1">
      <c r="A986" s="41" t="n">
        <v>982</v>
      </c>
      <c r="B986" s="41" t="n">
        <v>3982</v>
      </c>
      <c r="C986" s="42" t="inlineStr">
        <is>
          <t>0631000175</t>
        </is>
      </c>
      <c r="D986" s="42" t="inlineStr">
        <is>
          <t>Region VI (Western Visayas)</t>
        </is>
      </c>
      <c r="E986" s="42" t="inlineStr">
        <is>
          <t>Iloilo</t>
        </is>
      </c>
      <c r="F986" s="42" t="inlineStr">
        <is>
          <t>City of Iloilo</t>
        </is>
      </c>
      <c r="G986" s="42" t="inlineStr">
        <is>
          <t>Tabuc Suba</t>
        </is>
      </c>
      <c r="H986" s="43" t="n">
        <v>10.730084</v>
      </c>
      <c r="I986" s="43" t="n">
        <v>122.5592</v>
      </c>
      <c r="J986" s="44" t="inlineStr">
        <is>
          <t>U</t>
        </is>
      </c>
      <c r="K986" s="42" t="inlineStr">
        <is>
          <t>Class 1-3 / Urban</t>
        </is>
      </c>
      <c r="L986" s="23" t="n">
        <v>10866</v>
      </c>
      <c r="M986" s="24" t="n">
        <v>4.39</v>
      </c>
      <c r="N986" s="23">
        <f>ROUND(L986/M986, 0)</f>
        <v/>
      </c>
      <c r="O986" s="23">
        <f>ROUND(N986*'Methodology &amp; Assumptions'!$B$8, 0)</f>
        <v/>
      </c>
      <c r="P986" s="44" t="inlineStr">
        <is>
          <t>Band n50 (1.5 GHz, 60 MHz)</t>
        </is>
      </c>
      <c r="Q986" s="38">
        <f>ROUNDUP(O986/'Methodology &amp; Assumptions'!$B$9, 0)</f>
        <v/>
      </c>
      <c r="R986" s="39" t="n">
        <v>1</v>
      </c>
      <c r="S986" s="25" t="n">
        <v>1.9</v>
      </c>
      <c r="T986" s="25" t="n">
        <v>0.01</v>
      </c>
      <c r="U986" s="42" t="inlineStr">
        <is>
          <t>Tier 1B (Micro Drop, 1-3 km)</t>
        </is>
      </c>
      <c r="V986" s="24" t="n">
        <v>63.1</v>
      </c>
      <c r="W986" s="24" t="n">
        <v>100</v>
      </c>
      <c r="X986" s="24" t="n">
        <v>28</v>
      </c>
      <c r="Y986" s="45">
        <f>ROUND((V986*'Methodology &amp; Assumptions'!$B$6)+(W986*'Methodology &amp; Assumptions'!$B$5)+(X986*'Methodology &amp; Assumptions'!$B$7), 2)</f>
        <v/>
      </c>
    </row>
    <row r="987" ht="19" customHeight="1">
      <c r="A987" s="35" t="n">
        <v>983</v>
      </c>
      <c r="B987" s="35" t="n">
        <v>3983</v>
      </c>
      <c r="C987" s="36" t="inlineStr">
        <is>
          <t>0702218007</t>
        </is>
      </c>
      <c r="D987" s="36" t="inlineStr">
        <is>
          <t>Region VII (Central Visayas)</t>
        </is>
      </c>
      <c r="E987" s="36" t="inlineStr">
        <is>
          <t>Cebu</t>
        </is>
      </c>
      <c r="F987" s="36" t="inlineStr">
        <is>
          <t>Compostela</t>
        </is>
      </c>
      <c r="G987" s="36" t="inlineStr">
        <is>
          <t>Cogon</t>
        </is>
      </c>
      <c r="H987" s="37" t="n">
        <v>10.45698</v>
      </c>
      <c r="I987" s="37" t="n">
        <v>123.994509</v>
      </c>
      <c r="J987" s="8" t="inlineStr">
        <is>
          <t>U</t>
        </is>
      </c>
      <c r="K987" s="36" t="inlineStr">
        <is>
          <t>Class 1-3 / Urban</t>
        </is>
      </c>
      <c r="L987" s="18" t="n">
        <v>7975</v>
      </c>
      <c r="M987" s="20" t="n">
        <v>4.42</v>
      </c>
      <c r="N987" s="18">
        <f>ROUND(L987/M987, 0)</f>
        <v/>
      </c>
      <c r="O987" s="18">
        <f>ROUND(N987*'Methodology &amp; Assumptions'!$B$8, 0)</f>
        <v/>
      </c>
      <c r="P987" s="8" t="inlineStr">
        <is>
          <t>Band n50 (1.5 GHz, 60 MHz)</t>
        </is>
      </c>
      <c r="Q987" s="38">
        <f>ROUNDUP(O987/'Methodology &amp; Assumptions'!$B$9, 0)</f>
        <v/>
      </c>
      <c r="R987" s="39" t="n">
        <v>1</v>
      </c>
      <c r="S987" s="21" t="n">
        <v>1.9</v>
      </c>
      <c r="T987" s="21" t="n">
        <v>1.99</v>
      </c>
      <c r="U987" s="36" t="inlineStr">
        <is>
          <t>Tier 1B (Micro Drop, 1-3 km)</t>
        </is>
      </c>
      <c r="V987" s="20" t="n">
        <v>63.1</v>
      </c>
      <c r="W987" s="20" t="n">
        <v>100</v>
      </c>
      <c r="X987" s="20" t="n">
        <v>28</v>
      </c>
      <c r="Y987" s="40">
        <f>ROUND((V987*'Methodology &amp; Assumptions'!$B$6)+(W987*'Methodology &amp; Assumptions'!$B$5)+(X987*'Methodology &amp; Assumptions'!$B$7), 2)</f>
        <v/>
      </c>
    </row>
    <row r="988" ht="19" customHeight="1">
      <c r="A988" s="41" t="n">
        <v>984</v>
      </c>
      <c r="B988" s="41" t="n">
        <v>3984</v>
      </c>
      <c r="C988" s="42" t="inlineStr">
        <is>
          <t>0604523001</t>
        </is>
      </c>
      <c r="D988" s="42" t="inlineStr">
        <is>
          <t>Region VI (Western Visayas)</t>
        </is>
      </c>
      <c r="E988" s="42" t="inlineStr">
        <is>
          <t>Negros Occidental</t>
        </is>
      </c>
      <c r="F988" s="42" t="inlineStr">
        <is>
          <t>City of Sagay</t>
        </is>
      </c>
      <c r="G988" s="42" t="inlineStr">
        <is>
          <t>Andres Bonifacio</t>
        </is>
      </c>
      <c r="H988" s="43" t="n">
        <v>10.878956</v>
      </c>
      <c r="I988" s="43" t="n">
        <v>123.490286</v>
      </c>
      <c r="J988" s="44" t="inlineStr">
        <is>
          <t>R</t>
        </is>
      </c>
      <c r="K988" s="42" t="inlineStr">
        <is>
          <t>Class 1-3 / Urban</t>
        </is>
      </c>
      <c r="L988" s="23" t="n">
        <v>4371</v>
      </c>
      <c r="M988" s="24" t="n">
        <v>4.33</v>
      </c>
      <c r="N988" s="23">
        <f>ROUND(L988/M988, 0)</f>
        <v/>
      </c>
      <c r="O988" s="23">
        <f>ROUND(N988*'Methodology &amp; Assumptions'!$B$8, 0)</f>
        <v/>
      </c>
      <c r="P988" s="44" t="inlineStr">
        <is>
          <t>Band n50 (1.5 GHz, 60 MHz)</t>
        </is>
      </c>
      <c r="Q988" s="38">
        <f>ROUNDUP(O988/'Methodology &amp; Assumptions'!$B$9, 0)</f>
        <v/>
      </c>
      <c r="R988" s="39" t="n">
        <v>1</v>
      </c>
      <c r="S988" s="25" t="n">
        <v>4.22</v>
      </c>
      <c r="T988" s="25" t="n">
        <v>2.05</v>
      </c>
      <c r="U988" s="42" t="inlineStr">
        <is>
          <t>Tier 2 (Fiber Corridor / Lateral, 3-5 km)</t>
        </is>
      </c>
      <c r="V988" s="24" t="n">
        <v>24.5</v>
      </c>
      <c r="W988" s="24" t="n">
        <v>100</v>
      </c>
      <c r="X988" s="24" t="n">
        <v>73</v>
      </c>
      <c r="Y988" s="45">
        <f>ROUND((V988*'Methodology &amp; Assumptions'!$B$6)+(W988*'Methodology &amp; Assumptions'!$B$5)+(X988*'Methodology &amp; Assumptions'!$B$7), 2)</f>
        <v/>
      </c>
    </row>
    <row r="989" ht="19" customHeight="1">
      <c r="A989" s="35" t="n">
        <v>985</v>
      </c>
      <c r="B989" s="35" t="n">
        <v>3985</v>
      </c>
      <c r="C989" s="36" t="inlineStr">
        <is>
          <t>0402102024</t>
        </is>
      </c>
      <c r="D989" s="36" t="inlineStr">
        <is>
          <t>Region IV-A (CALABARZON)</t>
        </is>
      </c>
      <c r="E989" s="36" t="inlineStr">
        <is>
          <t>Cavite</t>
        </is>
      </c>
      <c r="F989" s="36" t="inlineStr">
        <is>
          <t>Amadeo</t>
        </is>
      </c>
      <c r="G989" s="36" t="inlineStr">
        <is>
          <t>Talon</t>
        </is>
      </c>
      <c r="H989" s="37" t="n">
        <v>14.136466</v>
      </c>
      <c r="I989" s="37" t="n">
        <v>120.940194</v>
      </c>
      <c r="J989" s="8" t="inlineStr">
        <is>
          <t>R</t>
        </is>
      </c>
      <c r="K989" s="36" t="inlineStr">
        <is>
          <t>2nd</t>
        </is>
      </c>
      <c r="L989" s="18" t="n">
        <v>3796</v>
      </c>
      <c r="M989" s="20" t="n">
        <v>4.23</v>
      </c>
      <c r="N989" s="18">
        <f>ROUND(L989/M989, 0)</f>
        <v/>
      </c>
      <c r="O989" s="18">
        <f>ROUND(N989*'Methodology &amp; Assumptions'!$B$8, 0)</f>
        <v/>
      </c>
      <c r="P989" s="8" t="inlineStr">
        <is>
          <t>Band n50 (1.5 GHz, 60 MHz)</t>
        </is>
      </c>
      <c r="Q989" s="38">
        <f>ROUNDUP(O989/'Methodology &amp; Assumptions'!$B$9, 0)</f>
        <v/>
      </c>
      <c r="R989" s="39" t="n">
        <v>1</v>
      </c>
      <c r="S989" s="21" t="n">
        <v>3.45</v>
      </c>
      <c r="T989" s="21" t="n">
        <v>1.79</v>
      </c>
      <c r="U989" s="36" t="inlineStr">
        <is>
          <t>Tier 2 (Fiber Corridor / Lateral, 3-5 km)</t>
        </is>
      </c>
      <c r="V989" s="20" t="n">
        <v>41.6</v>
      </c>
      <c r="W989" s="20" t="n">
        <v>95.7</v>
      </c>
      <c r="X989" s="20" t="n">
        <v>58</v>
      </c>
      <c r="Y989" s="40">
        <f>ROUND((V989*'Methodology &amp; Assumptions'!$B$6)+(W989*'Methodology &amp; Assumptions'!$B$5)+(X989*'Methodology &amp; Assumptions'!$B$7), 2)</f>
        <v/>
      </c>
    </row>
    <row r="990" ht="19" customHeight="1">
      <c r="A990" s="41" t="n">
        <v>986</v>
      </c>
      <c r="B990" s="41" t="n">
        <v>3986</v>
      </c>
      <c r="C990" s="42" t="inlineStr">
        <is>
          <t>1001321023</t>
        </is>
      </c>
      <c r="D990" s="42" t="inlineStr">
        <is>
          <t>Region X (Northern Mindanao)</t>
        </is>
      </c>
      <c r="E990" s="42" t="inlineStr">
        <is>
          <t>Bukidnon</t>
        </is>
      </c>
      <c r="F990" s="42" t="inlineStr">
        <is>
          <t>City of Valencia</t>
        </is>
      </c>
      <c r="G990" s="42" t="inlineStr">
        <is>
          <t>Pinatilan</t>
        </is>
      </c>
      <c r="H990" s="43" t="n">
        <v>7.886903</v>
      </c>
      <c r="I990" s="43" t="n">
        <v>125.105998</v>
      </c>
      <c r="J990" s="44" t="inlineStr">
        <is>
          <t>R</t>
        </is>
      </c>
      <c r="K990" s="42" t="inlineStr">
        <is>
          <t>Class 1-3 / Urban</t>
        </is>
      </c>
      <c r="L990" s="23" t="n">
        <v>3641</v>
      </c>
      <c r="M990" s="24" t="n">
        <v>4.63</v>
      </c>
      <c r="N990" s="23">
        <f>ROUND(L990/M990, 0)</f>
        <v/>
      </c>
      <c r="O990" s="23">
        <f>ROUND(N990*'Methodology &amp; Assumptions'!$B$8, 0)</f>
        <v/>
      </c>
      <c r="P990" s="44" t="inlineStr">
        <is>
          <t>Band n50 (1.5 GHz, 60 MHz)</t>
        </is>
      </c>
      <c r="Q990" s="38">
        <f>ROUNDUP(O990/'Methodology &amp; Assumptions'!$B$9, 0)</f>
        <v/>
      </c>
      <c r="R990" s="39" t="n">
        <v>1</v>
      </c>
      <c r="S990" s="25" t="n">
        <v>2.72</v>
      </c>
      <c r="T990" s="25" t="n">
        <v>1.88</v>
      </c>
      <c r="U990" s="42" t="inlineStr">
        <is>
          <t>Tier 1B (Micro Drop, 1-3 km)</t>
        </is>
      </c>
      <c r="V990" s="24" t="n">
        <v>50.5</v>
      </c>
      <c r="W990" s="24" t="n">
        <v>86.90000000000001</v>
      </c>
      <c r="X990" s="24" t="n">
        <v>58</v>
      </c>
      <c r="Y990" s="45">
        <f>ROUND((V990*'Methodology &amp; Assumptions'!$B$6)+(W990*'Methodology &amp; Assumptions'!$B$5)+(X990*'Methodology &amp; Assumptions'!$B$7), 2)</f>
        <v/>
      </c>
    </row>
    <row r="991" ht="19" customHeight="1">
      <c r="A991" s="35" t="n">
        <v>987</v>
      </c>
      <c r="B991" s="35" t="n">
        <v>3987</v>
      </c>
      <c r="C991" s="36" t="inlineStr">
        <is>
          <t>0305406003</t>
        </is>
      </c>
      <c r="D991" s="36" t="inlineStr">
        <is>
          <t>Region III (Central Luzon)</t>
        </is>
      </c>
      <c r="E991" s="36" t="inlineStr">
        <is>
          <t>Pampanga</t>
        </is>
      </c>
      <c r="F991" s="36" t="inlineStr">
        <is>
          <t>Floridablanca</t>
        </is>
      </c>
      <c r="G991" s="36" t="inlineStr">
        <is>
          <t>Basa Air Base</t>
        </is>
      </c>
      <c r="H991" s="37" t="n">
        <v>14.978958</v>
      </c>
      <c r="I991" s="37" t="n">
        <v>120.499785</v>
      </c>
      <c r="J991" s="8" t="inlineStr">
        <is>
          <t>R</t>
        </is>
      </c>
      <c r="K991" s="36" t="inlineStr">
        <is>
          <t>Class 1-3 / Urban</t>
        </is>
      </c>
      <c r="L991" s="18" t="n">
        <v>2504</v>
      </c>
      <c r="M991" s="20" t="n">
        <v>4.63</v>
      </c>
      <c r="N991" s="18">
        <f>ROUND(L991/M991, 0)</f>
        <v/>
      </c>
      <c r="O991" s="18">
        <f>ROUND(N991*'Methodology &amp; Assumptions'!$B$8, 0)</f>
        <v/>
      </c>
      <c r="P991" s="8" t="inlineStr">
        <is>
          <t>Band n50 (1.5 GHz, 60 MHz)</t>
        </is>
      </c>
      <c r="Q991" s="38">
        <f>ROUNDUP(O991/'Methodology &amp; Assumptions'!$B$9, 0)</f>
        <v/>
      </c>
      <c r="R991" s="39" t="n">
        <v>1</v>
      </c>
      <c r="S991" s="21" t="n">
        <v>1.52</v>
      </c>
      <c r="T991" s="21" t="n">
        <v>0.43</v>
      </c>
      <c r="U991" s="36" t="inlineStr">
        <is>
          <t>Tier 1B (Micro Drop, 1-3 km)</t>
        </is>
      </c>
      <c r="V991" s="20" t="n">
        <v>70.2</v>
      </c>
      <c r="W991" s="20" t="n">
        <v>67.2</v>
      </c>
      <c r="X991" s="20" t="n">
        <v>58</v>
      </c>
      <c r="Y991" s="40">
        <f>ROUND((V991*'Methodology &amp; Assumptions'!$B$6)+(W991*'Methodology &amp; Assumptions'!$B$5)+(X991*'Methodology &amp; Assumptions'!$B$7), 2)</f>
        <v/>
      </c>
    </row>
    <row r="992" ht="19" customHeight="1">
      <c r="A992" s="41" t="n">
        <v>988</v>
      </c>
      <c r="B992" s="41" t="n">
        <v>3988</v>
      </c>
      <c r="C992" s="42" t="inlineStr">
        <is>
          <t>1430300064</t>
        </is>
      </c>
      <c r="D992" s="42" t="inlineStr">
        <is>
          <t>Cordillera Administrative Region (CAR)</t>
        </is>
      </c>
      <c r="E992" s="42" t="inlineStr">
        <is>
          <t>Benguet</t>
        </is>
      </c>
      <c r="F992" s="42" t="inlineStr">
        <is>
          <t>City of Baguio</t>
        </is>
      </c>
      <c r="G992" s="42" t="inlineStr">
        <is>
          <t>Lucnab</t>
        </is>
      </c>
      <c r="H992" s="43" t="n">
        <v>16.41086</v>
      </c>
      <c r="I992" s="43" t="n">
        <v>120.62999</v>
      </c>
      <c r="J992" s="44" t="inlineStr">
        <is>
          <t>R</t>
        </is>
      </c>
      <c r="K992" s="42" t="inlineStr">
        <is>
          <t>Class 1-3 / Urban</t>
        </is>
      </c>
      <c r="L992" s="23" t="n">
        <v>2206</v>
      </c>
      <c r="M992" s="24" t="n">
        <v>4.58</v>
      </c>
      <c r="N992" s="23">
        <f>ROUND(L992/M992, 0)</f>
        <v/>
      </c>
      <c r="O992" s="23">
        <f>ROUND(N992*'Methodology &amp; Assumptions'!$B$8, 0)</f>
        <v/>
      </c>
      <c r="P992" s="44" t="inlineStr">
        <is>
          <t>Band n50 (1.5 GHz, 60 MHz)</t>
        </is>
      </c>
      <c r="Q992" s="38">
        <f>ROUNDUP(O992/'Methodology &amp; Assumptions'!$B$9, 0)</f>
        <v/>
      </c>
      <c r="R992" s="39" t="n">
        <v>1</v>
      </c>
      <c r="S992" s="25" t="n">
        <v>1.13</v>
      </c>
      <c r="T992" s="25" t="n">
        <v>1.07</v>
      </c>
      <c r="U992" s="42" t="inlineStr">
        <is>
          <t>Tier 1B (Micro Drop, 1-3 km)</t>
        </is>
      </c>
      <c r="V992" s="24" t="n">
        <v>78.7</v>
      </c>
      <c r="W992" s="24" t="n">
        <v>58.7</v>
      </c>
      <c r="X992" s="24" t="n">
        <v>58</v>
      </c>
      <c r="Y992" s="45">
        <f>ROUND((V992*'Methodology &amp; Assumptions'!$B$6)+(W992*'Methodology &amp; Assumptions'!$B$5)+(X992*'Methodology &amp; Assumptions'!$B$7), 2)</f>
        <v/>
      </c>
    </row>
    <row r="993" ht="19" customHeight="1">
      <c r="A993" s="35" t="n">
        <v>989</v>
      </c>
      <c r="B993" s="35" t="n">
        <v>3989</v>
      </c>
      <c r="C993" s="36" t="inlineStr">
        <is>
          <t>0403414003</t>
        </is>
      </c>
      <c r="D993" s="36" t="inlineStr">
        <is>
          <t>Region IV-A (CALABARZON)</t>
        </is>
      </c>
      <c r="E993" s="36" t="inlineStr">
        <is>
          <t>Laguna</t>
        </is>
      </c>
      <c r="F993" s="36" t="inlineStr">
        <is>
          <t>Mabitac</t>
        </is>
      </c>
      <c r="G993" s="36" t="inlineStr">
        <is>
          <t>Lucong</t>
        </is>
      </c>
      <c r="H993" s="37" t="n">
        <v>14.423838</v>
      </c>
      <c r="I993" s="37" t="n">
        <v>121.432789</v>
      </c>
      <c r="J993" s="8" t="inlineStr">
        <is>
          <t>R</t>
        </is>
      </c>
      <c r="K993" s="36" t="inlineStr">
        <is>
          <t>4th</t>
        </is>
      </c>
      <c r="L993" s="18" t="n">
        <v>1181</v>
      </c>
      <c r="M993" s="20" t="n">
        <v>4.48</v>
      </c>
      <c r="N993" s="18">
        <f>ROUND(L993/M993, 0)</f>
        <v/>
      </c>
      <c r="O993" s="18">
        <f>ROUND(N993*'Methodology &amp; Assumptions'!$B$8, 0)</f>
        <v/>
      </c>
      <c r="P993" s="8" t="inlineStr">
        <is>
          <t>Band n50 (1.5 GHz, 60 MHz)</t>
        </is>
      </c>
      <c r="Q993" s="38">
        <f>ROUNDUP(O993/'Methodology &amp; Assumptions'!$B$9, 0)</f>
        <v/>
      </c>
      <c r="R993" s="39" t="n">
        <v>1</v>
      </c>
      <c r="S993" s="21" t="n">
        <v>0.93</v>
      </c>
      <c r="T993" s="21" t="n">
        <v>1.72</v>
      </c>
      <c r="U993" s="36" t="inlineStr">
        <is>
          <t>Tier 1A (Direct Coloc, &lt;1 km)</t>
        </is>
      </c>
      <c r="V993" s="20" t="n">
        <v>83.3</v>
      </c>
      <c r="W993" s="20" t="n">
        <v>45.1</v>
      </c>
      <c r="X993" s="20" t="n">
        <v>68.5</v>
      </c>
      <c r="Y993" s="40">
        <f>ROUND((V993*'Methodology &amp; Assumptions'!$B$6)+(W993*'Methodology &amp; Assumptions'!$B$5)+(X993*'Methodology &amp; Assumptions'!$B$7), 2)</f>
        <v/>
      </c>
    </row>
    <row r="994" ht="19" customHeight="1">
      <c r="A994" s="41" t="n">
        <v>990</v>
      </c>
      <c r="B994" s="41" t="n">
        <v>3990</v>
      </c>
      <c r="C994" s="42" t="inlineStr">
        <is>
          <t>0405629012</t>
        </is>
      </c>
      <c r="D994" s="42" t="inlineStr">
        <is>
          <t>Region IV-A (CALABARZON)</t>
        </is>
      </c>
      <c r="E994" s="42" t="inlineStr">
        <is>
          <t>Quezon</t>
        </is>
      </c>
      <c r="F994" s="42" t="inlineStr">
        <is>
          <t>Padre Burgos</t>
        </is>
      </c>
      <c r="G994" s="42" t="inlineStr">
        <is>
          <t>Campo</t>
        </is>
      </c>
      <c r="H994" s="43" t="n">
        <v>13.919815</v>
      </c>
      <c r="I994" s="43" t="n">
        <v>121.811782</v>
      </c>
      <c r="J994" s="44" t="inlineStr">
        <is>
          <t>R</t>
        </is>
      </c>
      <c r="K994" s="42" t="inlineStr">
        <is>
          <t>4th</t>
        </is>
      </c>
      <c r="L994" s="23" t="n">
        <v>744</v>
      </c>
      <c r="M994" s="24" t="n">
        <v>4.33</v>
      </c>
      <c r="N994" s="23">
        <f>ROUND(L994/M994, 0)</f>
        <v/>
      </c>
      <c r="O994" s="23">
        <f>ROUND(N994*'Methodology &amp; Assumptions'!$B$8, 0)</f>
        <v/>
      </c>
      <c r="P994" s="44" t="inlineStr">
        <is>
          <t>Band n50 (1.5 GHz, 60 MHz)</t>
        </is>
      </c>
      <c r="Q994" s="38">
        <f>ROUNDUP(O994/'Methodology &amp; Assumptions'!$B$9, 0)</f>
        <v/>
      </c>
      <c r="R994" s="39" t="n">
        <v>1</v>
      </c>
      <c r="S994" s="25" t="n">
        <v>0.65</v>
      </c>
      <c r="T994" s="25" t="n">
        <v>0.38</v>
      </c>
      <c r="U994" s="42" t="inlineStr">
        <is>
          <t>Tier 1A (Direct Coloc, &lt;1 km)</t>
        </is>
      </c>
      <c r="V994" s="24" t="n">
        <v>90.5</v>
      </c>
      <c r="W994" s="24" t="n">
        <v>37.9</v>
      </c>
      <c r="X994" s="24" t="n">
        <v>68.5</v>
      </c>
      <c r="Y994" s="45">
        <f>ROUND((V994*'Methodology &amp; Assumptions'!$B$6)+(W994*'Methodology &amp; Assumptions'!$B$5)+(X994*'Methodology &amp; Assumptions'!$B$7), 2)</f>
        <v/>
      </c>
    </row>
    <row r="995" ht="19" customHeight="1">
      <c r="A995" s="35" t="n">
        <v>991</v>
      </c>
      <c r="B995" s="35" t="n">
        <v>3991</v>
      </c>
      <c r="C995" s="36" t="inlineStr">
        <is>
          <t>0401008003</t>
        </is>
      </c>
      <c r="D995" s="36" t="inlineStr">
        <is>
          <t>Region IV-A (CALABARZON)</t>
        </is>
      </c>
      <c r="E995" s="36" t="inlineStr">
        <is>
          <t>Batangas</t>
        </is>
      </c>
      <c r="F995" s="36" t="inlineStr">
        <is>
          <t>Calatagan</t>
        </is>
      </c>
      <c r="G995" s="36" t="inlineStr">
        <is>
          <t>Balibago</t>
        </is>
      </c>
      <c r="H995" s="37" t="n">
        <v>13.924601</v>
      </c>
      <c r="I995" s="37" t="n">
        <v>120.625405</v>
      </c>
      <c r="J995" s="8" t="inlineStr">
        <is>
          <t>R</t>
        </is>
      </c>
      <c r="K995" s="36" t="inlineStr">
        <is>
          <t>Class 1-3 / Urban</t>
        </is>
      </c>
      <c r="L995" s="18" t="n">
        <v>3849</v>
      </c>
      <c r="M995" s="20" t="n">
        <v>4.62</v>
      </c>
      <c r="N995" s="18">
        <f>ROUND(L995/M995, 0)</f>
        <v/>
      </c>
      <c r="O995" s="18">
        <f>ROUND(N995*'Methodology &amp; Assumptions'!$B$8, 0)</f>
        <v/>
      </c>
      <c r="P995" s="8" t="inlineStr">
        <is>
          <t>Band n50 (1.5 GHz, 60 MHz)</t>
        </is>
      </c>
      <c r="Q995" s="38">
        <f>ROUNDUP(O995/'Methodology &amp; Assumptions'!$B$9, 0)</f>
        <v/>
      </c>
      <c r="R995" s="39" t="n">
        <v>1</v>
      </c>
      <c r="S995" s="21" t="n">
        <v>3.01</v>
      </c>
      <c r="T995" s="21" t="n">
        <v>0.06</v>
      </c>
      <c r="U995" s="36" t="inlineStr">
        <is>
          <t>Tier 2 (Fiber Corridor / Lateral, 3-5 km)</t>
        </is>
      </c>
      <c r="V995" s="20" t="n">
        <v>46.7</v>
      </c>
      <c r="W995" s="20" t="n">
        <v>90.7</v>
      </c>
      <c r="X995" s="20" t="n">
        <v>58</v>
      </c>
      <c r="Y995" s="40">
        <f>ROUND((V995*'Methodology &amp; Assumptions'!$B$6)+(W995*'Methodology &amp; Assumptions'!$B$5)+(X995*'Methodology &amp; Assumptions'!$B$7), 2)</f>
        <v/>
      </c>
    </row>
    <row r="996" ht="19" customHeight="1">
      <c r="A996" s="41" t="n">
        <v>992</v>
      </c>
      <c r="B996" s="41" t="n">
        <v>3992</v>
      </c>
      <c r="C996" s="42" t="inlineStr">
        <is>
          <t>0500508040</t>
        </is>
      </c>
      <c r="D996" s="42" t="inlineStr">
        <is>
          <t>Region V (Bicol Region)</t>
        </is>
      </c>
      <c r="E996" s="42" t="inlineStr">
        <is>
          <t>Albay</t>
        </is>
      </c>
      <c r="F996" s="42" t="inlineStr">
        <is>
          <t>City of Ligao</t>
        </is>
      </c>
      <c r="G996" s="42" t="inlineStr">
        <is>
          <t>Pinit</t>
        </is>
      </c>
      <c r="H996" s="43" t="n">
        <v>13.254988</v>
      </c>
      <c r="I996" s="43" t="n">
        <v>123.553491</v>
      </c>
      <c r="J996" s="44" t="inlineStr">
        <is>
          <t>R</t>
        </is>
      </c>
      <c r="K996" s="42" t="inlineStr">
        <is>
          <t>Class 1-3 / Urban</t>
        </is>
      </c>
      <c r="L996" s="23" t="n">
        <v>3592</v>
      </c>
      <c r="M996" s="24" t="n">
        <v>4.67</v>
      </c>
      <c r="N996" s="23">
        <f>ROUND(L996/M996, 0)</f>
        <v/>
      </c>
      <c r="O996" s="23">
        <f>ROUND(N996*'Methodology &amp; Assumptions'!$B$8, 0)</f>
        <v/>
      </c>
      <c r="P996" s="44" t="inlineStr">
        <is>
          <t>Band n50 (1.5 GHz, 60 MHz)</t>
        </is>
      </c>
      <c r="Q996" s="38">
        <f>ROUNDUP(O996/'Methodology &amp; Assumptions'!$B$9, 0)</f>
        <v/>
      </c>
      <c r="R996" s="39" t="n">
        <v>1</v>
      </c>
      <c r="S996" s="25" t="n">
        <v>2.62</v>
      </c>
      <c r="T996" s="25" t="n">
        <v>1.07</v>
      </c>
      <c r="U996" s="42" t="inlineStr">
        <is>
          <t>Tier 1B (Micro Drop, 1-3 km)</t>
        </is>
      </c>
      <c r="V996" s="24" t="n">
        <v>51.7</v>
      </c>
      <c r="W996" s="24" t="n">
        <v>85.59999999999999</v>
      </c>
      <c r="X996" s="24" t="n">
        <v>58</v>
      </c>
      <c r="Y996" s="45">
        <f>ROUND((V996*'Methodology &amp; Assumptions'!$B$6)+(W996*'Methodology &amp; Assumptions'!$B$5)+(X996*'Methodology &amp; Assumptions'!$B$7), 2)</f>
        <v/>
      </c>
    </row>
    <row r="997" ht="19" customHeight="1">
      <c r="A997" s="35" t="n">
        <v>993</v>
      </c>
      <c r="B997" s="35" t="n">
        <v>3993</v>
      </c>
      <c r="C997" s="36" t="inlineStr">
        <is>
          <t>0105506003</t>
        </is>
      </c>
      <c r="D997" s="36" t="inlineStr">
        <is>
          <t>Region I (Ilocos Region)</t>
        </is>
      </c>
      <c r="E997" s="36" t="inlineStr">
        <is>
          <t>Pangasinan</t>
        </is>
      </c>
      <c r="F997" s="36" t="inlineStr">
        <is>
          <t>Asingan</t>
        </is>
      </c>
      <c r="G997" s="36" t="inlineStr">
        <is>
          <t>Ariston Weste</t>
        </is>
      </c>
      <c r="H997" s="37" t="n">
        <v>16.008774</v>
      </c>
      <c r="I997" s="37" t="n">
        <v>120.692973</v>
      </c>
      <c r="J997" s="8" t="inlineStr">
        <is>
          <t>R</t>
        </is>
      </c>
      <c r="K997" s="36" t="inlineStr">
        <is>
          <t>Class 1-3 / Urban</t>
        </is>
      </c>
      <c r="L997" s="18" t="n">
        <v>3289</v>
      </c>
      <c r="M997" s="20" t="n">
        <v>4.39</v>
      </c>
      <c r="N997" s="18">
        <f>ROUND(L997/M997, 0)</f>
        <v/>
      </c>
      <c r="O997" s="18">
        <f>ROUND(N997*'Methodology &amp; Assumptions'!$B$8, 0)</f>
        <v/>
      </c>
      <c r="P997" s="8" t="inlineStr">
        <is>
          <t>Band n50 (1.5 GHz, 60 MHz)</t>
        </is>
      </c>
      <c r="Q997" s="38">
        <f>ROUNDUP(O997/'Methodology &amp; Assumptions'!$B$9, 0)</f>
        <v/>
      </c>
      <c r="R997" s="39" t="n">
        <v>1</v>
      </c>
      <c r="S997" s="21" t="n">
        <v>2.51</v>
      </c>
      <c r="T997" s="21" t="n">
        <v>0.54</v>
      </c>
      <c r="U997" s="36" t="inlineStr">
        <is>
          <t>Tier 1B (Micro Drop, 1-3 km)</t>
        </is>
      </c>
      <c r="V997" s="20" t="n">
        <v>53.3</v>
      </c>
      <c r="W997" s="20" t="n">
        <v>84</v>
      </c>
      <c r="X997" s="20" t="n">
        <v>58</v>
      </c>
      <c r="Y997" s="40">
        <f>ROUND((V997*'Methodology &amp; Assumptions'!$B$6)+(W997*'Methodology &amp; Assumptions'!$B$5)+(X997*'Methodology &amp; Assumptions'!$B$7), 2)</f>
        <v/>
      </c>
    </row>
    <row r="998" ht="19" customHeight="1">
      <c r="A998" s="41" t="n">
        <v>994</v>
      </c>
      <c r="B998" s="41" t="n">
        <v>3994</v>
      </c>
      <c r="C998" s="42" t="inlineStr">
        <is>
          <t>0105511076</t>
        </is>
      </c>
      <c r="D998" s="42" t="inlineStr">
        <is>
          <t>Region I (Ilocos Region)</t>
        </is>
      </c>
      <c r="E998" s="42" t="inlineStr">
        <is>
          <t>Pangasinan</t>
        </is>
      </c>
      <c r="F998" s="42" t="inlineStr">
        <is>
          <t>Bayambang</t>
        </is>
      </c>
      <c r="G998" s="42" t="inlineStr">
        <is>
          <t>Zone IV</t>
        </is>
      </c>
      <c r="H998" s="43" t="n">
        <v>15.81611</v>
      </c>
      <c r="I998" s="43" t="n">
        <v>120.45643</v>
      </c>
      <c r="J998" s="44" t="inlineStr">
        <is>
          <t>R</t>
        </is>
      </c>
      <c r="K998" s="42" t="inlineStr">
        <is>
          <t>Class 1-3 / Urban</t>
        </is>
      </c>
      <c r="L998" s="23" t="n">
        <v>733</v>
      </c>
      <c r="M998" s="24" t="n">
        <v>4.39</v>
      </c>
      <c r="N998" s="23">
        <f>ROUND(L998/M998, 0)</f>
        <v/>
      </c>
      <c r="O998" s="23">
        <f>ROUND(N998*'Methodology &amp; Assumptions'!$B$8, 0)</f>
        <v/>
      </c>
      <c r="P998" s="44" t="inlineStr">
        <is>
          <t>Band n50 (1.5 GHz, 60 MHz)</t>
        </is>
      </c>
      <c r="Q998" s="38">
        <f>ROUNDUP(O998/'Methodology &amp; Assumptions'!$B$9, 0)</f>
        <v/>
      </c>
      <c r="R998" s="39" t="n">
        <v>1</v>
      </c>
      <c r="S998" s="25" t="n">
        <v>0.16</v>
      </c>
      <c r="T998" s="25" t="n">
        <v>0.17</v>
      </c>
      <c r="U998" s="42" t="inlineStr">
        <is>
          <t>Tier 1A (Direct Coloc, &lt;1 km)</t>
        </is>
      </c>
      <c r="V998" s="24" t="n">
        <v>100</v>
      </c>
      <c r="W998" s="24" t="n">
        <v>37.3</v>
      </c>
      <c r="X998" s="24" t="n">
        <v>58</v>
      </c>
      <c r="Y998" s="45">
        <f>ROUND((V998*'Methodology &amp; Assumptions'!$B$6)+(W998*'Methodology &amp; Assumptions'!$B$5)+(X998*'Methodology &amp; Assumptions'!$B$7), 2)</f>
        <v/>
      </c>
    </row>
    <row r="999" ht="19" customHeight="1">
      <c r="A999" s="35" t="n">
        <v>995</v>
      </c>
      <c r="B999" s="35" t="n">
        <v>3995</v>
      </c>
      <c r="C999" s="36" t="inlineStr">
        <is>
          <t>0401006037</t>
        </is>
      </c>
      <c r="D999" s="36" t="inlineStr">
        <is>
          <t>Region IV-A (CALABARZON)</t>
        </is>
      </c>
      <c r="E999" s="36" t="inlineStr">
        <is>
          <t>Batangas</t>
        </is>
      </c>
      <c r="F999" s="36" t="inlineStr">
        <is>
          <t>Bauan</t>
        </is>
      </c>
      <c r="G999" s="36" t="inlineStr">
        <is>
          <t>San Roque</t>
        </is>
      </c>
      <c r="H999" s="37" t="n">
        <v>13.789982</v>
      </c>
      <c r="I999" s="37" t="n">
        <v>120.985947</v>
      </c>
      <c r="J999" s="8" t="inlineStr">
        <is>
          <t>U</t>
        </is>
      </c>
      <c r="K999" s="36" t="inlineStr">
        <is>
          <t>Class 1-3 / Urban</t>
        </is>
      </c>
      <c r="L999" s="18" t="n">
        <v>6365</v>
      </c>
      <c r="M999" s="20" t="n">
        <v>4.62</v>
      </c>
      <c r="N999" s="18">
        <f>ROUND(L999/M999, 0)</f>
        <v/>
      </c>
      <c r="O999" s="18">
        <f>ROUND(N999*'Methodology &amp; Assumptions'!$B$8, 0)</f>
        <v/>
      </c>
      <c r="P999" s="8" t="inlineStr">
        <is>
          <t>Band n50 (1.5 GHz, 60 MHz)</t>
        </is>
      </c>
      <c r="Q999" s="38">
        <f>ROUNDUP(O999/'Methodology &amp; Assumptions'!$B$9, 0)</f>
        <v/>
      </c>
      <c r="R999" s="39" t="n">
        <v>1</v>
      </c>
      <c r="S999" s="21" t="n">
        <v>1.9</v>
      </c>
      <c r="T999" s="21" t="n">
        <v>1.62</v>
      </c>
      <c r="U999" s="36" t="inlineStr">
        <is>
          <t>Tier 1B (Micro Drop, 1-3 km)</t>
        </is>
      </c>
      <c r="V999" s="20" t="n">
        <v>63.1</v>
      </c>
      <c r="W999" s="20" t="n">
        <v>100</v>
      </c>
      <c r="X999" s="20" t="n">
        <v>28</v>
      </c>
      <c r="Y999" s="40">
        <f>ROUND((V999*'Methodology &amp; Assumptions'!$B$6)+(W999*'Methodology &amp; Assumptions'!$B$5)+(X999*'Methodology &amp; Assumptions'!$B$7), 2)</f>
        <v/>
      </c>
    </row>
    <row r="1000" ht="19" customHeight="1">
      <c r="A1000" s="41" t="n">
        <v>996</v>
      </c>
      <c r="B1000" s="41" t="n">
        <v>3996</v>
      </c>
      <c r="C1000" s="42" t="inlineStr">
        <is>
          <t>0305416005</t>
        </is>
      </c>
      <c r="D1000" s="42" t="inlineStr">
        <is>
          <t>Region III (Central Luzon)</t>
        </is>
      </c>
      <c r="E1000" s="42" t="inlineStr">
        <is>
          <t>Pampanga</t>
        </is>
      </c>
      <c r="F1000" s="42" t="inlineStr">
        <is>
          <t>City of San Fernando</t>
        </is>
      </c>
      <c r="G1000" s="42" t="inlineStr">
        <is>
          <t>Dela Paz Norte</t>
        </is>
      </c>
      <c r="H1000" s="43" t="n">
        <v>15.086922</v>
      </c>
      <c r="I1000" s="43" t="n">
        <v>120.62843</v>
      </c>
      <c r="J1000" s="44" t="inlineStr">
        <is>
          <t>U</t>
        </is>
      </c>
      <c r="K1000" s="42" t="inlineStr">
        <is>
          <t>Class 1-3 / Urban</t>
        </is>
      </c>
      <c r="L1000" s="23" t="n">
        <v>5768</v>
      </c>
      <c r="M1000" s="24" t="n">
        <v>4.63</v>
      </c>
      <c r="N1000" s="23">
        <f>ROUND(L1000/M1000, 0)</f>
        <v/>
      </c>
      <c r="O1000" s="23">
        <f>ROUND(N1000*'Methodology &amp; Assumptions'!$B$8, 0)</f>
        <v/>
      </c>
      <c r="P1000" s="44" t="inlineStr">
        <is>
          <t>Band n50 (1.5 GHz, 60 MHz)</t>
        </is>
      </c>
      <c r="Q1000" s="38">
        <f>ROUNDUP(O1000/'Methodology &amp; Assumptions'!$B$9, 0)</f>
        <v/>
      </c>
      <c r="R1000" s="39" t="n">
        <v>1</v>
      </c>
      <c r="S1000" s="25" t="n">
        <v>1.9</v>
      </c>
      <c r="T1000" s="25" t="n">
        <v>0.39</v>
      </c>
      <c r="U1000" s="42" t="inlineStr">
        <is>
          <t>Tier 1B (Micro Drop, 1-3 km)</t>
        </is>
      </c>
      <c r="V1000" s="24" t="n">
        <v>63.1</v>
      </c>
      <c r="W1000" s="24" t="n">
        <v>100</v>
      </c>
      <c r="X1000" s="24" t="n">
        <v>28</v>
      </c>
      <c r="Y1000" s="45">
        <f>ROUND((V1000*'Methodology &amp; Assumptions'!$B$6)+(W1000*'Methodology &amp; Assumptions'!$B$5)+(X1000*'Methodology &amp; Assumptions'!$B$7), 2)</f>
        <v/>
      </c>
    </row>
    <row r="1001" ht="19" customHeight="1">
      <c r="A1001" s="35" t="n">
        <v>997</v>
      </c>
      <c r="B1001" s="35" t="n">
        <v>3997</v>
      </c>
      <c r="C1001" s="36" t="inlineStr">
        <is>
          <t>0704605003</t>
        </is>
      </c>
      <c r="D1001" s="36" t="inlineStr">
        <is>
          <t>Region VII (Central Visayas)</t>
        </is>
      </c>
      <c r="E1001" s="36" t="inlineStr">
        <is>
          <t>Negros Oriental</t>
        </is>
      </c>
      <c r="F1001" s="36" t="inlineStr">
        <is>
          <t>Basay</t>
        </is>
      </c>
      <c r="G1001" s="36" t="inlineStr">
        <is>
          <t>Bongalonan</t>
        </is>
      </c>
      <c r="H1001" s="37" t="n">
        <v>9.43361</v>
      </c>
      <c r="I1001" s="37" t="n">
        <v>122.60331</v>
      </c>
      <c r="J1001" s="8" t="inlineStr">
        <is>
          <t>R</t>
        </is>
      </c>
      <c r="K1001" s="36" t="inlineStr">
        <is>
          <t>3rd</t>
        </is>
      </c>
      <c r="L1001" s="18" t="n">
        <v>4185</v>
      </c>
      <c r="M1001" s="20" t="n">
        <v>4.44</v>
      </c>
      <c r="N1001" s="18">
        <f>ROUND(L1001/M1001, 0)</f>
        <v/>
      </c>
      <c r="O1001" s="18">
        <f>ROUND(N1001*'Methodology &amp; Assumptions'!$B$8, 0)</f>
        <v/>
      </c>
      <c r="P1001" s="8" t="inlineStr">
        <is>
          <t>Band n50 (1.5 GHz, 60 MHz)</t>
        </is>
      </c>
      <c r="Q1001" s="38">
        <f>ROUNDUP(O1001/'Methodology &amp; Assumptions'!$B$9, 0)</f>
        <v/>
      </c>
      <c r="R1001" s="39" t="n">
        <v>1</v>
      </c>
      <c r="S1001" s="21" t="n">
        <v>24.18</v>
      </c>
      <c r="T1001" s="21" t="n">
        <v>0.09</v>
      </c>
      <c r="U1001" s="36" t="inlineStr">
        <is>
          <t>Tier 2 (Fiber Corridor / Lateral, 3-5 km)</t>
        </is>
      </c>
      <c r="V1001" s="20" t="n">
        <v>25</v>
      </c>
      <c r="W1001" s="20" t="n">
        <v>99.5</v>
      </c>
      <c r="X1001" s="20" t="n">
        <v>73</v>
      </c>
      <c r="Y1001" s="40">
        <f>ROUND((V1001*'Methodology &amp; Assumptions'!$B$6)+(W1001*'Methodology &amp; Assumptions'!$B$5)+(X1001*'Methodology &amp; Assumptions'!$B$7), 2)</f>
        <v/>
      </c>
    </row>
    <row r="1002" ht="19" customHeight="1">
      <c r="A1002" s="41" t="n">
        <v>998</v>
      </c>
      <c r="B1002" s="41" t="n">
        <v>3998</v>
      </c>
      <c r="C1002" s="42" t="inlineStr">
        <is>
          <t>0301403006</t>
        </is>
      </c>
      <c r="D1002" s="42" t="inlineStr">
        <is>
          <t>Region III (Central Luzon)</t>
        </is>
      </c>
      <c r="E1002" s="42" t="inlineStr">
        <is>
          <t>Bulacan</t>
        </is>
      </c>
      <c r="F1002" s="42" t="inlineStr">
        <is>
          <t>Baliuag</t>
        </is>
      </c>
      <c r="G1002" s="42" t="inlineStr">
        <is>
          <t>Hinukay</t>
        </is>
      </c>
      <c r="H1002" s="43" t="n">
        <v>15.009467</v>
      </c>
      <c r="I1002" s="43" t="n">
        <v>120.88335</v>
      </c>
      <c r="J1002" s="44" t="inlineStr">
        <is>
          <t>R</t>
        </is>
      </c>
      <c r="K1002" s="42" t="inlineStr">
        <is>
          <t>Class 1-3 / Urban</t>
        </is>
      </c>
      <c r="L1002" s="23" t="n">
        <v>2226</v>
      </c>
      <c r="M1002" s="24" t="n">
        <v>4.1</v>
      </c>
      <c r="N1002" s="23">
        <f>ROUND(L1002/M1002, 0)</f>
        <v/>
      </c>
      <c r="O1002" s="23">
        <f>ROUND(N1002*'Methodology &amp; Assumptions'!$B$8, 0)</f>
        <v/>
      </c>
      <c r="P1002" s="44" t="inlineStr">
        <is>
          <t>Band n50 (1.5 GHz, 60 MHz)</t>
        </is>
      </c>
      <c r="Q1002" s="38">
        <f>ROUNDUP(O1002/'Methodology &amp; Assumptions'!$B$9, 0)</f>
        <v/>
      </c>
      <c r="R1002" s="39" t="n">
        <v>1</v>
      </c>
      <c r="S1002" s="25" t="n">
        <v>1.54</v>
      </c>
      <c r="T1002" s="25" t="n">
        <v>0.78</v>
      </c>
      <c r="U1002" s="42" t="inlineStr">
        <is>
          <t>Tier 1B (Micro Drop, 1-3 km)</t>
        </is>
      </c>
      <c r="V1002" s="24" t="n">
        <v>69.90000000000001</v>
      </c>
      <c r="W1002" s="24" t="n">
        <v>67.5</v>
      </c>
      <c r="X1002" s="24" t="n">
        <v>58</v>
      </c>
      <c r="Y1002" s="45">
        <f>ROUND((V1002*'Methodology &amp; Assumptions'!$B$6)+(W1002*'Methodology &amp; Assumptions'!$B$5)+(X1002*'Methodology &amp; Assumptions'!$B$7), 2)</f>
        <v/>
      </c>
    </row>
    <row r="1003" ht="19" customHeight="1">
      <c r="A1003" s="35" t="n">
        <v>999</v>
      </c>
      <c r="B1003" s="35" t="n">
        <v>3999</v>
      </c>
      <c r="C1003" s="36" t="inlineStr">
        <is>
          <t>0105546005</t>
        </is>
      </c>
      <c r="D1003" s="36" t="inlineStr">
        <is>
          <t>Region I (Ilocos Region)</t>
        </is>
      </c>
      <c r="E1003" s="36" t="inlineStr">
        <is>
          <t>Pangasinan</t>
        </is>
      </c>
      <c r="F1003" s="36" t="inlineStr">
        <is>
          <t>City of Urdaneta</t>
        </is>
      </c>
      <c r="G1003" s="36" t="inlineStr">
        <is>
          <t>Bayaoas</t>
        </is>
      </c>
      <c r="H1003" s="37" t="n">
        <v>15.976113</v>
      </c>
      <c r="I1003" s="37" t="n">
        <v>120.580119</v>
      </c>
      <c r="J1003" s="8" t="inlineStr">
        <is>
          <t>U</t>
        </is>
      </c>
      <c r="K1003" s="36" t="inlineStr">
        <is>
          <t>Class 1-3 / Urban</t>
        </is>
      </c>
      <c r="L1003" s="18" t="n">
        <v>5789</v>
      </c>
      <c r="M1003" s="20" t="n">
        <v>4.39</v>
      </c>
      <c r="N1003" s="18">
        <f>ROUND(L1003/M1003, 0)</f>
        <v/>
      </c>
      <c r="O1003" s="18">
        <f>ROUND(N1003*'Methodology &amp; Assumptions'!$B$8, 0)</f>
        <v/>
      </c>
      <c r="P1003" s="8" t="inlineStr">
        <is>
          <t>Band n50 (1.5 GHz, 60 MHz)</t>
        </is>
      </c>
      <c r="Q1003" s="38">
        <f>ROUNDUP(O1003/'Methodology &amp; Assumptions'!$B$9, 0)</f>
        <v/>
      </c>
      <c r="R1003" s="39" t="n">
        <v>1</v>
      </c>
      <c r="S1003" s="21" t="n">
        <v>1.9</v>
      </c>
      <c r="T1003" s="21" t="n">
        <v>1</v>
      </c>
      <c r="U1003" s="36" t="inlineStr">
        <is>
          <t>Tier 1B (Micro Drop, 1-3 km)</t>
        </is>
      </c>
      <c r="V1003" s="20" t="n">
        <v>63</v>
      </c>
      <c r="W1003" s="20" t="n">
        <v>100</v>
      </c>
      <c r="X1003" s="20" t="n">
        <v>28</v>
      </c>
      <c r="Y1003" s="40">
        <f>ROUND((V1003*'Methodology &amp; Assumptions'!$B$6)+(W1003*'Methodology &amp; Assumptions'!$B$5)+(X1003*'Methodology &amp; Assumptions'!$B$7), 2)</f>
        <v/>
      </c>
    </row>
    <row r="1004" ht="19" customHeight="1">
      <c r="A1004" s="41" t="n">
        <v>1000</v>
      </c>
      <c r="B1004" s="41" t="n">
        <v>4000</v>
      </c>
      <c r="C1004" s="42" t="inlineStr">
        <is>
          <t>1206511011</t>
        </is>
      </c>
      <c r="D1004" s="42" t="inlineStr">
        <is>
          <t>Region XII (SOCCSKSARGEN)</t>
        </is>
      </c>
      <c r="E1004" s="42" t="inlineStr">
        <is>
          <t>Sultan Kudarat</t>
        </is>
      </c>
      <c r="F1004" s="42" t="inlineStr">
        <is>
          <t>City of Tacurong</t>
        </is>
      </c>
      <c r="G1004" s="42" t="inlineStr">
        <is>
          <t>New Lagao</t>
        </is>
      </c>
      <c r="H1004" s="43" t="n">
        <v>6.694722</v>
      </c>
      <c r="I1004" s="43" t="n">
        <v>124.64</v>
      </c>
      <c r="J1004" s="44" t="inlineStr">
        <is>
          <t>R</t>
        </is>
      </c>
      <c r="K1004" s="42" t="inlineStr">
        <is>
          <t>Class 1-3 / Urban</t>
        </is>
      </c>
      <c r="L1004" s="23" t="n">
        <v>3683</v>
      </c>
      <c r="M1004" s="24" t="n">
        <v>4.1</v>
      </c>
      <c r="N1004" s="23">
        <f>ROUND(L1004/M1004, 0)</f>
        <v/>
      </c>
      <c r="O1004" s="23">
        <f>ROUND(N1004*'Methodology &amp; Assumptions'!$B$8, 0)</f>
        <v/>
      </c>
      <c r="P1004" s="44" t="inlineStr">
        <is>
          <t>Band n50 (1.5 GHz, 60 MHz)</t>
        </is>
      </c>
      <c r="Q1004" s="38">
        <f>ROUNDUP(O1004/'Methodology &amp; Assumptions'!$B$9, 0)</f>
        <v/>
      </c>
      <c r="R1004" s="39" t="n">
        <v>1</v>
      </c>
      <c r="S1004" s="25" t="n">
        <v>3.75</v>
      </c>
      <c r="T1004" s="25" t="n">
        <v>3.71</v>
      </c>
      <c r="U1004" s="42" t="inlineStr">
        <is>
          <t>Tier 2 (Fiber Corridor / Lateral, 3-5 km)</t>
        </is>
      </c>
      <c r="V1004" s="24" t="n">
        <v>28.7</v>
      </c>
      <c r="W1004" s="24" t="n">
        <v>95.7</v>
      </c>
      <c r="X1004" s="24" t="n">
        <v>73</v>
      </c>
      <c r="Y1004" s="45">
        <f>ROUND((V1004*'Methodology &amp; Assumptions'!$B$6)+(W1004*'Methodology &amp; Assumptions'!$B$5)+(X1004*'Methodology &amp; Assumptions'!$B$7), 2)</f>
        <v/>
      </c>
    </row>
    <row r="1005" ht="19" customHeight="1">
      <c r="A1005" s="35" t="n">
        <v>1</v>
      </c>
      <c r="B1005" s="35" t="n">
        <v>4001</v>
      </c>
      <c r="C1005" s="36" t="inlineStr">
        <is>
          <t>0403405055</t>
        </is>
      </c>
      <c r="D1005" s="36" t="inlineStr">
        <is>
          <t>Region IV-A (CALABARZON)</t>
        </is>
      </c>
      <c r="E1005" s="36" t="inlineStr">
        <is>
          <t>Laguna</t>
        </is>
      </c>
      <c r="F1005" s="36" t="inlineStr">
        <is>
          <t>City of Calamba</t>
        </is>
      </c>
      <c r="G1005" s="36" t="inlineStr">
        <is>
          <t>San Juan</t>
        </is>
      </c>
      <c r="H1005" s="37" t="n">
        <v>14.217403</v>
      </c>
      <c r="I1005" s="37" t="n">
        <v>121.175709</v>
      </c>
      <c r="J1005" s="8" t="inlineStr">
        <is>
          <t>R</t>
        </is>
      </c>
      <c r="K1005" s="36" t="inlineStr">
        <is>
          <t>Class 1-3 / Urban</t>
        </is>
      </c>
      <c r="L1005" s="18" t="n">
        <v>4826</v>
      </c>
      <c r="M1005" s="20" t="n">
        <v>4.2</v>
      </c>
      <c r="N1005" s="18">
        <f>ROUND(L1005/M1005, 0)</f>
        <v/>
      </c>
      <c r="O1005" s="18">
        <f>ROUND(N1005*'Methodology &amp; Assumptions'!$B$8, 0)</f>
        <v/>
      </c>
      <c r="P1005" s="8" t="inlineStr">
        <is>
          <t>Band n50 (1.5 GHz, 60 MHz)</t>
        </is>
      </c>
      <c r="Q1005" s="38">
        <f>ROUNDUP(O1005/'Methodology &amp; Assumptions'!$B$9, 0)</f>
        <v/>
      </c>
      <c r="R1005" s="39" t="n">
        <v>1</v>
      </c>
      <c r="S1005" s="21" t="n">
        <v>3.9</v>
      </c>
      <c r="T1005" s="21" t="n">
        <v>0.12</v>
      </c>
      <c r="U1005" s="36" t="inlineStr">
        <is>
          <t>Tier 2 (Fiber Corridor / Lateral, 3-5 km)</t>
        </is>
      </c>
      <c r="V1005" s="20" t="n">
        <v>37.3</v>
      </c>
      <c r="W1005" s="20" t="n">
        <v>100</v>
      </c>
      <c r="X1005" s="20" t="n">
        <v>58</v>
      </c>
      <c r="Y1005" s="40">
        <f>ROUND((V1005*'Methodology &amp; Assumptions'!$B$6)+(W1005*'Methodology &amp; Assumptions'!$B$5)+(X1005*'Methodology &amp; Assumptions'!$B$7), 2)</f>
        <v/>
      </c>
    </row>
    <row r="1006" ht="19" customHeight="1">
      <c r="A1006" s="41" t="n">
        <v>2</v>
      </c>
      <c r="B1006" s="41" t="n">
        <v>4002</v>
      </c>
      <c r="C1006" s="42" t="inlineStr">
        <is>
          <t>0304924005</t>
        </is>
      </c>
      <c r="D1006" s="42" t="inlineStr">
        <is>
          <t>Region III (Central Luzon)</t>
        </is>
      </c>
      <c r="E1006" s="42" t="inlineStr">
        <is>
          <t>Nueva Ecija</t>
        </is>
      </c>
      <c r="F1006" s="42" t="inlineStr">
        <is>
          <t>San Antonio</t>
        </is>
      </c>
      <c r="G1006" s="42" t="inlineStr">
        <is>
          <t>Luyos</t>
        </is>
      </c>
      <c r="H1006" s="43" t="n">
        <v>15.286998</v>
      </c>
      <c r="I1006" s="43" t="n">
        <v>120.851265</v>
      </c>
      <c r="J1006" s="44" t="inlineStr">
        <is>
          <t>R</t>
        </is>
      </c>
      <c r="K1006" s="42" t="inlineStr">
        <is>
          <t>Class 1-3 / Urban</t>
        </is>
      </c>
      <c r="L1006" s="23" t="n">
        <v>3744</v>
      </c>
      <c r="M1006" s="24" t="n">
        <v>4.32</v>
      </c>
      <c r="N1006" s="23">
        <f>ROUND(L1006/M1006, 0)</f>
        <v/>
      </c>
      <c r="O1006" s="23">
        <f>ROUND(N1006*'Methodology &amp; Assumptions'!$B$8, 0)</f>
        <v/>
      </c>
      <c r="P1006" s="44" t="inlineStr">
        <is>
          <t>Band n50 (1.5 GHz, 60 MHz)</t>
        </is>
      </c>
      <c r="Q1006" s="38">
        <f>ROUNDUP(O1006/'Methodology &amp; Assumptions'!$B$9, 0)</f>
        <v/>
      </c>
      <c r="R1006" s="39" t="n">
        <v>1</v>
      </c>
      <c r="S1006" s="25" t="n">
        <v>2.47</v>
      </c>
      <c r="T1006" s="25" t="n">
        <v>3.03</v>
      </c>
      <c r="U1006" s="42" t="inlineStr">
        <is>
          <t>Tier 1B (Micro Drop, 1-3 km)</t>
        </is>
      </c>
      <c r="V1006" s="24" t="n">
        <v>43.9</v>
      </c>
      <c r="W1006" s="24" t="n">
        <v>93.3</v>
      </c>
      <c r="X1006" s="24" t="n">
        <v>58</v>
      </c>
      <c r="Y1006" s="45">
        <f>ROUND((V1006*'Methodology &amp; Assumptions'!$B$6)+(W1006*'Methodology &amp; Assumptions'!$B$5)+(X1006*'Methodology &amp; Assumptions'!$B$7), 2)</f>
        <v/>
      </c>
    </row>
    <row r="1007" ht="19" customHeight="1">
      <c r="A1007" s="35" t="n">
        <v>3</v>
      </c>
      <c r="B1007" s="35" t="n">
        <v>4003</v>
      </c>
      <c r="C1007" s="36" t="inlineStr">
        <is>
          <t>0403413014</t>
        </is>
      </c>
      <c r="D1007" s="36" t="inlineStr">
        <is>
          <t>Region IV-A (CALABARZON)</t>
        </is>
      </c>
      <c r="E1007" s="36" t="inlineStr">
        <is>
          <t>Laguna</t>
        </is>
      </c>
      <c r="F1007" s="36" t="inlineStr">
        <is>
          <t>Lumban</t>
        </is>
      </c>
      <c r="G1007" s="36" t="inlineStr">
        <is>
          <t>Segunda Pulo</t>
        </is>
      </c>
      <c r="H1007" s="37" t="n">
        <v>14.304009</v>
      </c>
      <c r="I1007" s="37" t="n">
        <v>121.460522</v>
      </c>
      <c r="J1007" s="8" t="inlineStr">
        <is>
          <t>R</t>
        </is>
      </c>
      <c r="K1007" s="36" t="inlineStr">
        <is>
          <t>Class 1-3 / Urban</t>
        </is>
      </c>
      <c r="L1007" s="18" t="n">
        <v>1589</v>
      </c>
      <c r="M1007" s="20" t="n">
        <v>4.2</v>
      </c>
      <c r="N1007" s="18">
        <f>ROUND(L1007/M1007, 0)</f>
        <v/>
      </c>
      <c r="O1007" s="18">
        <f>ROUND(N1007*'Methodology &amp; Assumptions'!$B$8, 0)</f>
        <v/>
      </c>
      <c r="P1007" s="8" t="inlineStr">
        <is>
          <t>Band n50 (1.5 GHz, 60 MHz)</t>
        </is>
      </c>
      <c r="Q1007" s="38">
        <f>ROUNDUP(O1007/'Methodology &amp; Assumptions'!$B$9, 0)</f>
        <v/>
      </c>
      <c r="R1007" s="39" t="n">
        <v>1</v>
      </c>
      <c r="S1007" s="21" t="n">
        <v>0.9399999999999999</v>
      </c>
      <c r="T1007" s="21" t="n">
        <v>0.5600000000000001</v>
      </c>
      <c r="U1007" s="36" t="inlineStr">
        <is>
          <t>Tier 1A (Direct Coloc, &lt;1 km)</t>
        </is>
      </c>
      <c r="V1007" s="20" t="n">
        <v>83.09999999999999</v>
      </c>
      <c r="W1007" s="20" t="n">
        <v>54.1</v>
      </c>
      <c r="X1007" s="20" t="n">
        <v>58</v>
      </c>
      <c r="Y1007" s="40">
        <f>ROUND((V1007*'Methodology &amp; Assumptions'!$B$6)+(W1007*'Methodology &amp; Assumptions'!$B$5)+(X1007*'Methodology &amp; Assumptions'!$B$7), 2)</f>
        <v/>
      </c>
    </row>
    <row r="1008" ht="19" customHeight="1">
      <c r="A1008" s="41" t="n">
        <v>4</v>
      </c>
      <c r="B1008" s="41" t="n">
        <v>4004</v>
      </c>
      <c r="C1008" s="42" t="inlineStr">
        <is>
          <t>0831600088</t>
        </is>
      </c>
      <c r="D1008" s="42" t="inlineStr">
        <is>
          <t>Region VIII (Eastern Visayas)</t>
        </is>
      </c>
      <c r="E1008" s="42" t="inlineStr">
        <is>
          <t>Leyte</t>
        </is>
      </c>
      <c r="F1008" s="42" t="inlineStr">
        <is>
          <t>City of Tacloban</t>
        </is>
      </c>
      <c r="G1008" s="42" t="inlineStr">
        <is>
          <t>Barangay 59</t>
        </is>
      </c>
      <c r="H1008" s="43" t="n">
        <v>11.227796</v>
      </c>
      <c r="I1008" s="43" t="n">
        <v>125.000571</v>
      </c>
      <c r="J1008" s="44" t="inlineStr">
        <is>
          <t>U</t>
        </is>
      </c>
      <c r="K1008" s="42" t="inlineStr">
        <is>
          <t>Class 1-3 / Urban</t>
        </is>
      </c>
      <c r="L1008" s="23" t="n">
        <v>3437</v>
      </c>
      <c r="M1008" s="24" t="n">
        <v>4.24</v>
      </c>
      <c r="N1008" s="23">
        <f>ROUND(L1008/M1008, 0)</f>
        <v/>
      </c>
      <c r="O1008" s="23">
        <f>ROUND(N1008*'Methodology &amp; Assumptions'!$B$8, 0)</f>
        <v/>
      </c>
      <c r="P1008" s="44" t="inlineStr">
        <is>
          <t>Band n50 (1.5 GHz, 60 MHz)</t>
        </is>
      </c>
      <c r="Q1008" s="38">
        <f>ROUNDUP(O1008/'Methodology &amp; Assumptions'!$B$9, 0)</f>
        <v/>
      </c>
      <c r="R1008" s="39" t="n">
        <v>1</v>
      </c>
      <c r="S1008" s="25" t="n">
        <v>1.33</v>
      </c>
      <c r="T1008" s="25" t="n">
        <v>1.96</v>
      </c>
      <c r="U1008" s="42" t="inlineStr">
        <is>
          <t>Tier 1B (Micro Drop, 1-3 km)</t>
        </is>
      </c>
      <c r="V1008" s="24" t="n">
        <v>74.2</v>
      </c>
      <c r="W1008" s="24" t="n">
        <v>88.8</v>
      </c>
      <c r="X1008" s="24" t="n">
        <v>28</v>
      </c>
      <c r="Y1008" s="45">
        <f>ROUND((V1008*'Methodology &amp; Assumptions'!$B$6)+(W1008*'Methodology &amp; Assumptions'!$B$5)+(X1008*'Methodology &amp; Assumptions'!$B$7), 2)</f>
        <v/>
      </c>
    </row>
    <row r="1009" ht="19" customHeight="1">
      <c r="A1009" s="35" t="n">
        <v>5</v>
      </c>
      <c r="B1009" s="35" t="n">
        <v>4005</v>
      </c>
      <c r="C1009" s="36" t="inlineStr">
        <is>
          <t>0301420050</t>
        </is>
      </c>
      <c r="D1009" s="36" t="inlineStr">
        <is>
          <t>Region III (Central Luzon)</t>
        </is>
      </c>
      <c r="E1009" s="36" t="inlineStr">
        <is>
          <t>Bulacan</t>
        </is>
      </c>
      <c r="F1009" s="36" t="inlineStr">
        <is>
          <t>City of San Jose Del Monte</t>
        </is>
      </c>
      <c r="G1009" s="36" t="inlineStr">
        <is>
          <t>San Rafael III</t>
        </is>
      </c>
      <c r="H1009" s="37" t="n">
        <v>14.853346</v>
      </c>
      <c r="I1009" s="37" t="n">
        <v>121.045087</v>
      </c>
      <c r="J1009" s="8" t="inlineStr">
        <is>
          <t>R</t>
        </is>
      </c>
      <c r="K1009" s="36" t="inlineStr">
        <is>
          <t>Class 1-3 / Urban</t>
        </is>
      </c>
      <c r="L1009" s="18" t="n">
        <v>2718</v>
      </c>
      <c r="M1009" s="20" t="n">
        <v>4.1</v>
      </c>
      <c r="N1009" s="18">
        <f>ROUND(L1009/M1009, 0)</f>
        <v/>
      </c>
      <c r="O1009" s="18">
        <f>ROUND(N1009*'Methodology &amp; Assumptions'!$B$8, 0)</f>
        <v/>
      </c>
      <c r="P1009" s="8" t="inlineStr">
        <is>
          <t>Band n50 (1.5 GHz, 60 MHz)</t>
        </is>
      </c>
      <c r="Q1009" s="38">
        <f>ROUNDUP(O1009/'Methodology &amp; Assumptions'!$B$9, 0)</f>
        <v/>
      </c>
      <c r="R1009" s="39" t="n">
        <v>1</v>
      </c>
      <c r="S1009" s="21" t="n">
        <v>1.52</v>
      </c>
      <c r="T1009" s="21" t="n">
        <v>2.56</v>
      </c>
      <c r="U1009" s="36" t="inlineStr">
        <is>
          <t>Tier 1B (Micro Drop, 1-3 km)</t>
        </is>
      </c>
      <c r="V1009" s="20" t="n">
        <v>60.2</v>
      </c>
      <c r="W1009" s="20" t="n">
        <v>77.09999999999999</v>
      </c>
      <c r="X1009" s="20" t="n">
        <v>58</v>
      </c>
      <c r="Y1009" s="40">
        <f>ROUND((V1009*'Methodology &amp; Assumptions'!$B$6)+(W1009*'Methodology &amp; Assumptions'!$B$5)+(X1009*'Methodology &amp; Assumptions'!$B$7), 2)</f>
        <v/>
      </c>
    </row>
    <row r="1010" ht="19" customHeight="1">
      <c r="A1010" s="41" t="n">
        <v>6</v>
      </c>
      <c r="B1010" s="41" t="n">
        <v>4006</v>
      </c>
      <c r="C1010" s="42" t="inlineStr">
        <is>
          <t>0701219012</t>
        </is>
      </c>
      <c r="D1010" s="42" t="inlineStr">
        <is>
          <t>Region VII (Central Visayas)</t>
        </is>
      </c>
      <c r="E1010" s="42" t="inlineStr">
        <is>
          <t>Bohol</t>
        </is>
      </c>
      <c r="F1010" s="42" t="inlineStr">
        <is>
          <t>Dauis</t>
        </is>
      </c>
      <c r="G1010" s="42" t="inlineStr">
        <is>
          <t>Mariveles</t>
        </is>
      </c>
      <c r="H1010" s="43" t="n">
        <v>9.617519</v>
      </c>
      <c r="I1010" s="43" t="n">
        <v>123.844973</v>
      </c>
      <c r="J1010" s="44" t="inlineStr">
        <is>
          <t>R</t>
        </is>
      </c>
      <c r="K1010" s="42" t="inlineStr">
        <is>
          <t>1st</t>
        </is>
      </c>
      <c r="L1010" s="23" t="n">
        <v>3797</v>
      </c>
      <c r="M1010" s="24" t="n">
        <v>4.6</v>
      </c>
      <c r="N1010" s="23">
        <f>ROUND(L1010/M1010, 0)</f>
        <v/>
      </c>
      <c r="O1010" s="23">
        <f>ROUND(N1010*'Methodology &amp; Assumptions'!$B$8, 0)</f>
        <v/>
      </c>
      <c r="P1010" s="44" t="inlineStr">
        <is>
          <t>Band n50 (1.5 GHz, 60 MHz)</t>
        </is>
      </c>
      <c r="Q1010" s="38">
        <f>ROUNDUP(O1010/'Methodology &amp; Assumptions'!$B$9, 0)</f>
        <v/>
      </c>
      <c r="R1010" s="39" t="n">
        <v>1</v>
      </c>
      <c r="S1010" s="25" t="n">
        <v>3.22</v>
      </c>
      <c r="T1010" s="25" t="n">
        <v>2.75</v>
      </c>
      <c r="U1010" s="42" t="inlineStr">
        <is>
          <t>Tier 2 (Fiber Corridor / Lateral, 3-5 km)</t>
        </is>
      </c>
      <c r="V1010" s="24" t="n">
        <v>34.2</v>
      </c>
      <c r="W1010" s="24" t="n">
        <v>90.09999999999999</v>
      </c>
      <c r="X1010" s="24" t="n">
        <v>73</v>
      </c>
      <c r="Y1010" s="45">
        <f>ROUND((V1010*'Methodology &amp; Assumptions'!$B$6)+(W1010*'Methodology &amp; Assumptions'!$B$5)+(X1010*'Methodology &amp; Assumptions'!$B$7), 2)</f>
        <v/>
      </c>
    </row>
    <row r="1011" ht="19" customHeight="1">
      <c r="A1011" s="35" t="n">
        <v>7</v>
      </c>
      <c r="B1011" s="35" t="n">
        <v>4007</v>
      </c>
      <c r="C1011" s="36" t="inlineStr">
        <is>
          <t>0105507017</t>
        </is>
      </c>
      <c r="D1011" s="36" t="inlineStr">
        <is>
          <t>Region I (Ilocos Region)</t>
        </is>
      </c>
      <c r="E1011" s="36" t="inlineStr">
        <is>
          <t>Pangasinan</t>
        </is>
      </c>
      <c r="F1011" s="36" t="inlineStr">
        <is>
          <t>Balungao</t>
        </is>
      </c>
      <c r="G1011" s="36" t="inlineStr">
        <is>
          <t>San Leon</t>
        </is>
      </c>
      <c r="H1011" s="37" t="n">
        <v>15.90438</v>
      </c>
      <c r="I1011" s="37" t="n">
        <v>120.7261</v>
      </c>
      <c r="J1011" s="8" t="inlineStr">
        <is>
          <t>R</t>
        </is>
      </c>
      <c r="K1011" s="36" t="inlineStr">
        <is>
          <t>1st</t>
        </is>
      </c>
      <c r="L1011" s="18" t="n">
        <v>1732</v>
      </c>
      <c r="M1011" s="20" t="n">
        <v>4.06</v>
      </c>
      <c r="N1011" s="18">
        <f>ROUND(L1011/M1011, 0)</f>
        <v/>
      </c>
      <c r="O1011" s="18">
        <f>ROUND(N1011*'Methodology &amp; Assumptions'!$B$8, 0)</f>
        <v/>
      </c>
      <c r="P1011" s="8" t="inlineStr">
        <is>
          <t>Band n50 (1.5 GHz, 60 MHz)</t>
        </is>
      </c>
      <c r="Q1011" s="38">
        <f>ROUNDUP(O1011/'Methodology &amp; Assumptions'!$B$9, 0)</f>
        <v/>
      </c>
      <c r="R1011" s="39" t="n">
        <v>1</v>
      </c>
      <c r="S1011" s="21" t="n">
        <v>1.24</v>
      </c>
      <c r="T1011" s="21" t="n">
        <v>9.16</v>
      </c>
      <c r="U1011" s="36" t="inlineStr">
        <is>
          <t>Tier 1B (Micro Drop, 1-3 km)</t>
        </is>
      </c>
      <c r="V1011" s="20" t="n">
        <v>66.2</v>
      </c>
      <c r="W1011" s="20" t="n">
        <v>58.1</v>
      </c>
      <c r="X1011" s="20" t="n">
        <v>73</v>
      </c>
      <c r="Y1011" s="40">
        <f>ROUND((V1011*'Methodology &amp; Assumptions'!$B$6)+(W1011*'Methodology &amp; Assumptions'!$B$5)+(X1011*'Methodology &amp; Assumptions'!$B$7), 2)</f>
        <v/>
      </c>
    </row>
    <row r="1012" ht="19" customHeight="1">
      <c r="A1012" s="41" t="n">
        <v>8</v>
      </c>
      <c r="B1012" s="41" t="n">
        <v>4008</v>
      </c>
      <c r="C1012" s="42" t="inlineStr">
        <is>
          <t>0402108028</t>
        </is>
      </c>
      <c r="D1012" s="42" t="inlineStr">
        <is>
          <t>Region IV-A (CALABARZON)</t>
        </is>
      </c>
      <c r="E1012" s="42" t="inlineStr">
        <is>
          <t>Cavite</t>
        </is>
      </c>
      <c r="F1012" s="42" t="inlineStr">
        <is>
          <t>City of General Trias</t>
        </is>
      </c>
      <c r="G1012" s="42" t="inlineStr">
        <is>
          <t>Tapia</t>
        </is>
      </c>
      <c r="H1012" s="43" t="n">
        <v>14.361074</v>
      </c>
      <c r="I1012" s="43" t="n">
        <v>120.880846</v>
      </c>
      <c r="J1012" s="44" t="inlineStr">
        <is>
          <t>R</t>
        </is>
      </c>
      <c r="K1012" s="42" t="inlineStr">
        <is>
          <t>Class 1-3 / Urban</t>
        </is>
      </c>
      <c r="L1012" s="23" t="n">
        <v>4914</v>
      </c>
      <c r="M1012" s="24" t="n">
        <v>4.49</v>
      </c>
      <c r="N1012" s="23">
        <f>ROUND(L1012/M1012, 0)</f>
        <v/>
      </c>
      <c r="O1012" s="23">
        <f>ROUND(N1012*'Methodology &amp; Assumptions'!$B$8, 0)</f>
        <v/>
      </c>
      <c r="P1012" s="44" t="inlineStr">
        <is>
          <t>Band n50 (1.5 GHz, 60 MHz)</t>
        </is>
      </c>
      <c r="Q1012" s="38">
        <f>ROUNDUP(O1012/'Methodology &amp; Assumptions'!$B$9, 0)</f>
        <v/>
      </c>
      <c r="R1012" s="39" t="n">
        <v>1</v>
      </c>
      <c r="S1012" s="25" t="n">
        <v>2.97</v>
      </c>
      <c r="T1012" s="25" t="n">
        <v>3.61</v>
      </c>
      <c r="U1012" s="42" t="inlineStr">
        <is>
          <t>Tier 1B (Micro Drop, 1-3 km)</t>
        </is>
      </c>
      <c r="V1012" s="24" t="n">
        <v>37.2</v>
      </c>
      <c r="W1012" s="24" t="n">
        <v>100</v>
      </c>
      <c r="X1012" s="24" t="n">
        <v>58</v>
      </c>
      <c r="Y1012" s="45">
        <f>ROUND((V1012*'Methodology &amp; Assumptions'!$B$6)+(W1012*'Methodology &amp; Assumptions'!$B$5)+(X1012*'Methodology &amp; Assumptions'!$B$7), 2)</f>
        <v/>
      </c>
    </row>
    <row r="1013" ht="19" customHeight="1">
      <c r="A1013" s="35" t="n">
        <v>9</v>
      </c>
      <c r="B1013" s="35" t="n">
        <v>4009</v>
      </c>
      <c r="C1013" s="36" t="inlineStr">
        <is>
          <t>0203114057</t>
        </is>
      </c>
      <c r="D1013" s="36" t="inlineStr">
        <is>
          <t>Region II (Cagayan Valley)</t>
        </is>
      </c>
      <c r="E1013" s="36" t="inlineStr">
        <is>
          <t>Isabela</t>
        </is>
      </c>
      <c r="F1013" s="36" t="inlineStr">
        <is>
          <t>City of Ilagan</t>
        </is>
      </c>
      <c r="G1013" s="36" t="inlineStr">
        <is>
          <t>Marana I</t>
        </is>
      </c>
      <c r="H1013" s="37" t="n">
        <v>17.158404</v>
      </c>
      <c r="I1013" s="37" t="n">
        <v>121.921075</v>
      </c>
      <c r="J1013" s="8" t="inlineStr">
        <is>
          <t>R</t>
        </is>
      </c>
      <c r="K1013" s="36" t="inlineStr">
        <is>
          <t>Class 1-3 / Urban</t>
        </is>
      </c>
      <c r="L1013" s="18" t="n">
        <v>1746</v>
      </c>
      <c r="M1013" s="20" t="n">
        <v>4.3</v>
      </c>
      <c r="N1013" s="18">
        <f>ROUND(L1013/M1013, 0)</f>
        <v/>
      </c>
      <c r="O1013" s="18">
        <f>ROUND(N1013*'Methodology &amp; Assumptions'!$B$8, 0)</f>
        <v/>
      </c>
      <c r="P1013" s="8" t="inlineStr">
        <is>
          <t>Band n50 (1.5 GHz, 60 MHz)</t>
        </is>
      </c>
      <c r="Q1013" s="38">
        <f>ROUNDUP(O1013/'Methodology &amp; Assumptions'!$B$9, 0)</f>
        <v/>
      </c>
      <c r="R1013" s="39" t="n">
        <v>1</v>
      </c>
      <c r="S1013" s="21" t="n">
        <v>1.04</v>
      </c>
      <c r="T1013" s="21" t="n">
        <v>0.13</v>
      </c>
      <c r="U1013" s="36" t="inlineStr">
        <is>
          <t>Tier 1B (Micro Drop, 1-3 km)</t>
        </is>
      </c>
      <c r="V1013" s="20" t="n">
        <v>80.7</v>
      </c>
      <c r="W1013" s="20" t="n">
        <v>56.5</v>
      </c>
      <c r="X1013" s="20" t="n">
        <v>58</v>
      </c>
      <c r="Y1013" s="40">
        <f>ROUND((V1013*'Methodology &amp; Assumptions'!$B$6)+(W1013*'Methodology &amp; Assumptions'!$B$5)+(X1013*'Methodology &amp; Assumptions'!$B$7), 2)</f>
        <v/>
      </c>
    </row>
    <row r="1014" ht="19" customHeight="1">
      <c r="A1014" s="41" t="n">
        <v>10</v>
      </c>
      <c r="B1014" s="41" t="n">
        <v>4010</v>
      </c>
      <c r="C1014" s="42" t="inlineStr">
        <is>
          <t>0301402007</t>
        </is>
      </c>
      <c r="D1014" s="42" t="inlineStr">
        <is>
          <t>Region III (Central Luzon)</t>
        </is>
      </c>
      <c r="E1014" s="42" t="inlineStr">
        <is>
          <t>Bulacan</t>
        </is>
      </c>
      <c r="F1014" s="42" t="inlineStr">
        <is>
          <t>Balagtas</t>
        </is>
      </c>
      <c r="G1014" s="42" t="inlineStr">
        <is>
          <t>Panginay</t>
        </is>
      </c>
      <c r="H1014" s="43" t="n">
        <v>14.818515</v>
      </c>
      <c r="I1014" s="43" t="n">
        <v>120.895983</v>
      </c>
      <c r="J1014" s="44" t="inlineStr">
        <is>
          <t>U</t>
        </is>
      </c>
      <c r="K1014" s="42" t="inlineStr">
        <is>
          <t>Class 1-3 / Urban</t>
        </is>
      </c>
      <c r="L1014" s="23" t="n">
        <v>13992</v>
      </c>
      <c r="M1014" s="24" t="n">
        <v>4.1</v>
      </c>
      <c r="N1014" s="23">
        <f>ROUND(L1014/M1014, 0)</f>
        <v/>
      </c>
      <c r="O1014" s="23">
        <f>ROUND(N1014*'Methodology &amp; Assumptions'!$B$8, 0)</f>
        <v/>
      </c>
      <c r="P1014" s="44" t="inlineStr">
        <is>
          <t>Band n50 (1.5 GHz, 60 MHz)</t>
        </is>
      </c>
      <c r="Q1014" s="38">
        <f>ROUNDUP(O1014/'Methodology &amp; Assumptions'!$B$9, 0)</f>
        <v/>
      </c>
      <c r="R1014" s="39" t="n">
        <v>1</v>
      </c>
      <c r="S1014" s="25" t="n">
        <v>2.74</v>
      </c>
      <c r="T1014" s="25" t="n">
        <v>0.75</v>
      </c>
      <c r="U1014" s="42" t="inlineStr">
        <is>
          <t>Tier 1B (Micro Drop, 1-3 km)</t>
        </is>
      </c>
      <c r="V1014" s="24" t="n">
        <v>50.1</v>
      </c>
      <c r="W1014" s="24" t="n">
        <v>100</v>
      </c>
      <c r="X1014" s="24" t="n">
        <v>43</v>
      </c>
      <c r="Y1014" s="45">
        <f>ROUND((V1014*'Methodology &amp; Assumptions'!$B$6)+(W1014*'Methodology &amp; Assumptions'!$B$5)+(X1014*'Methodology &amp; Assumptions'!$B$7), 2)</f>
        <v/>
      </c>
    </row>
    <row r="1015" ht="19" customHeight="1">
      <c r="A1015" s="35" t="n">
        <v>11</v>
      </c>
      <c r="B1015" s="35" t="n">
        <v>4011</v>
      </c>
      <c r="C1015" s="36" t="inlineStr">
        <is>
          <t>1001303012</t>
        </is>
      </c>
      <c r="D1015" s="36" t="inlineStr">
        <is>
          <t>Region X (Northern Mindanao)</t>
        </is>
      </c>
      <c r="E1015" s="36" t="inlineStr">
        <is>
          <t>Bukidnon</t>
        </is>
      </c>
      <c r="F1015" s="36" t="inlineStr">
        <is>
          <t>Dangcagan</t>
        </is>
      </c>
      <c r="G1015" s="36" t="inlineStr">
        <is>
          <t>Poblacion</t>
        </is>
      </c>
      <c r="H1015" s="37" t="n">
        <v>7.6133</v>
      </c>
      <c r="I1015" s="37" t="n">
        <v>125.002706</v>
      </c>
      <c r="J1015" s="8" t="inlineStr">
        <is>
          <t>U</t>
        </is>
      </c>
      <c r="K1015" s="36" t="inlineStr">
        <is>
          <t>Class 1-3 / Urban</t>
        </is>
      </c>
      <c r="L1015" s="18" t="n">
        <v>6888</v>
      </c>
      <c r="M1015" s="20" t="n">
        <v>4.63</v>
      </c>
      <c r="N1015" s="18">
        <f>ROUND(L1015/M1015, 0)</f>
        <v/>
      </c>
      <c r="O1015" s="18">
        <f>ROUND(N1015*'Methodology &amp; Assumptions'!$B$8, 0)</f>
        <v/>
      </c>
      <c r="P1015" s="8" t="inlineStr">
        <is>
          <t>Band n50 (1.5 GHz, 60 MHz)</t>
        </is>
      </c>
      <c r="Q1015" s="38">
        <f>ROUNDUP(O1015/'Methodology &amp; Assumptions'!$B$9, 0)</f>
        <v/>
      </c>
      <c r="R1015" s="39" t="n">
        <v>1</v>
      </c>
      <c r="S1015" s="21" t="n">
        <v>2.74</v>
      </c>
      <c r="T1015" s="21" t="n">
        <v>0.31</v>
      </c>
      <c r="U1015" s="36" t="inlineStr">
        <is>
          <t>Tier 1B (Micro Drop, 1-3 km)</t>
        </is>
      </c>
      <c r="V1015" s="20" t="n">
        <v>50.1</v>
      </c>
      <c r="W1015" s="20" t="n">
        <v>100</v>
      </c>
      <c r="X1015" s="20" t="n">
        <v>43</v>
      </c>
      <c r="Y1015" s="40">
        <f>ROUND((V1015*'Methodology &amp; Assumptions'!$B$6)+(W1015*'Methodology &amp; Assumptions'!$B$5)+(X1015*'Methodology &amp; Assumptions'!$B$7), 2)</f>
        <v/>
      </c>
    </row>
    <row r="1016" ht="19" customHeight="1">
      <c r="A1016" s="41" t="n">
        <v>12</v>
      </c>
      <c r="B1016" s="41" t="n">
        <v>4012</v>
      </c>
      <c r="C1016" s="42" t="inlineStr">
        <is>
          <t>0405802007</t>
        </is>
      </c>
      <c r="D1016" s="42" t="inlineStr">
        <is>
          <t>Region IV-A (CALABARZON)</t>
        </is>
      </c>
      <c r="E1016" s="42" t="inlineStr">
        <is>
          <t>Rizal</t>
        </is>
      </c>
      <c r="F1016" s="42" t="inlineStr">
        <is>
          <t>City of Antipolo</t>
        </is>
      </c>
      <c r="G1016" s="42" t="inlineStr">
        <is>
          <t>San Isidro</t>
        </is>
      </c>
      <c r="H1016" s="43" t="n">
        <v>14.595225</v>
      </c>
      <c r="I1016" s="43" t="n">
        <v>121.185465</v>
      </c>
      <c r="J1016" s="44" t="inlineStr">
        <is>
          <t>U</t>
        </is>
      </c>
      <c r="K1016" s="42" t="inlineStr">
        <is>
          <t>Class 1-3 / Urban</t>
        </is>
      </c>
      <c r="L1016" s="23" t="n">
        <v>65530</v>
      </c>
      <c r="M1016" s="24" t="n">
        <v>4.39</v>
      </c>
      <c r="N1016" s="23">
        <f>ROUND(L1016/M1016, 0)</f>
        <v/>
      </c>
      <c r="O1016" s="23">
        <f>ROUND(N1016*'Methodology &amp; Assumptions'!$B$8, 0)</f>
        <v/>
      </c>
      <c r="P1016" s="44" t="inlineStr">
        <is>
          <t>Band n50 (1.5 GHz, 60 MHz)</t>
        </is>
      </c>
      <c r="Q1016" s="38">
        <f>ROUNDUP(O1016/'Methodology &amp; Assumptions'!$B$9, 0)</f>
        <v/>
      </c>
      <c r="R1016" s="39" t="n">
        <v>1</v>
      </c>
      <c r="S1016" s="25" t="n">
        <v>1.64</v>
      </c>
      <c r="T1016" s="25" t="n">
        <v>0.55</v>
      </c>
      <c r="U1016" s="42" t="inlineStr">
        <is>
          <t>Tier 1B (Micro Drop, 1-3 km)</t>
        </is>
      </c>
      <c r="V1016" s="24" t="n">
        <v>67.90000000000001</v>
      </c>
      <c r="W1016" s="24" t="n">
        <v>95</v>
      </c>
      <c r="X1016" s="24" t="n">
        <v>28</v>
      </c>
      <c r="Y1016" s="45">
        <f>ROUND((V1016*'Methodology &amp; Assumptions'!$B$6)+(W1016*'Methodology &amp; Assumptions'!$B$5)+(X1016*'Methodology &amp; Assumptions'!$B$7), 2)</f>
        <v/>
      </c>
    </row>
    <row r="1017" ht="19" customHeight="1">
      <c r="A1017" s="35" t="n">
        <v>13</v>
      </c>
      <c r="B1017" s="35" t="n">
        <v>4013</v>
      </c>
      <c r="C1017" s="36" t="inlineStr">
        <is>
          <t>0306916052</t>
        </is>
      </c>
      <c r="D1017" s="36" t="inlineStr">
        <is>
          <t>Region III (Central Luzon)</t>
        </is>
      </c>
      <c r="E1017" s="36" t="inlineStr">
        <is>
          <t>Tarlac</t>
        </is>
      </c>
      <c r="F1017" s="36" t="inlineStr">
        <is>
          <t>City of Tarlac</t>
        </is>
      </c>
      <c r="G1017" s="36" t="inlineStr">
        <is>
          <t>Matatalaib</t>
        </is>
      </c>
      <c r="H1017" s="37" t="n">
        <v>15.49571</v>
      </c>
      <c r="I1017" s="37" t="n">
        <v>120.602845</v>
      </c>
      <c r="J1017" s="8" t="inlineStr">
        <is>
          <t>U</t>
        </is>
      </c>
      <c r="K1017" s="36" t="inlineStr">
        <is>
          <t>Class 1-3 / Urban</t>
        </is>
      </c>
      <c r="L1017" s="18" t="n">
        <v>24944</v>
      </c>
      <c r="M1017" s="20" t="n">
        <v>4.3</v>
      </c>
      <c r="N1017" s="18">
        <f>ROUND(L1017/M1017, 0)</f>
        <v/>
      </c>
      <c r="O1017" s="18">
        <f>ROUND(N1017*'Methodology &amp; Assumptions'!$B$8, 0)</f>
        <v/>
      </c>
      <c r="P1017" s="8" t="inlineStr">
        <is>
          <t>Band n50 (1.5 GHz, 60 MHz)</t>
        </is>
      </c>
      <c r="Q1017" s="38">
        <f>ROUNDUP(O1017/'Methodology &amp; Assumptions'!$B$9, 0)</f>
        <v/>
      </c>
      <c r="R1017" s="39" t="n">
        <v>1</v>
      </c>
      <c r="S1017" s="21" t="n">
        <v>1.91</v>
      </c>
      <c r="T1017" s="21" t="n">
        <v>0.02</v>
      </c>
      <c r="U1017" s="36" t="inlineStr">
        <is>
          <t>Tier 1B (Micro Drop, 1-3 km)</t>
        </is>
      </c>
      <c r="V1017" s="20" t="n">
        <v>63</v>
      </c>
      <c r="W1017" s="20" t="n">
        <v>100</v>
      </c>
      <c r="X1017" s="20" t="n">
        <v>28</v>
      </c>
      <c r="Y1017" s="40">
        <f>ROUND((V1017*'Methodology &amp; Assumptions'!$B$6)+(W1017*'Methodology &amp; Assumptions'!$B$5)+(X1017*'Methodology &amp; Assumptions'!$B$7), 2)</f>
        <v/>
      </c>
    </row>
    <row r="1018" ht="19" customHeight="1">
      <c r="A1018" s="41" t="n">
        <v>14</v>
      </c>
      <c r="B1018" s="41" t="n">
        <v>4014</v>
      </c>
      <c r="C1018" s="42" t="inlineStr">
        <is>
          <t>0300804035</t>
        </is>
      </c>
      <c r="D1018" s="42" t="inlineStr">
        <is>
          <t>Region III (Central Luzon)</t>
        </is>
      </c>
      <c r="E1018" s="42" t="inlineStr">
        <is>
          <t>Bataan</t>
        </is>
      </c>
      <c r="F1018" s="42" t="inlineStr">
        <is>
          <t>Dinalupihan</t>
        </is>
      </c>
      <c r="G1018" s="42" t="inlineStr">
        <is>
          <t>San Pablo</t>
        </is>
      </c>
      <c r="H1018" s="43" t="n">
        <v>14.853232</v>
      </c>
      <c r="I1018" s="43" t="n">
        <v>120.380484</v>
      </c>
      <c r="J1018" s="44" t="inlineStr">
        <is>
          <t>U</t>
        </is>
      </c>
      <c r="K1018" s="42" t="inlineStr">
        <is>
          <t>Class 1-3 / Urban</t>
        </is>
      </c>
      <c r="L1018" s="23" t="n">
        <v>7735</v>
      </c>
      <c r="M1018" s="24" t="n">
        <v>4.57</v>
      </c>
      <c r="N1018" s="23">
        <f>ROUND(L1018/M1018, 0)</f>
        <v/>
      </c>
      <c r="O1018" s="23">
        <f>ROUND(N1018*'Methodology &amp; Assumptions'!$B$8, 0)</f>
        <v/>
      </c>
      <c r="P1018" s="44" t="inlineStr">
        <is>
          <t>Band n50 (1.5 GHz, 60 MHz)</t>
        </is>
      </c>
      <c r="Q1018" s="38">
        <f>ROUNDUP(O1018/'Methodology &amp; Assumptions'!$B$9, 0)</f>
        <v/>
      </c>
      <c r="R1018" s="39" t="n">
        <v>1</v>
      </c>
      <c r="S1018" s="25" t="n">
        <v>1.91</v>
      </c>
      <c r="T1018" s="25" t="n">
        <v>0.1</v>
      </c>
      <c r="U1018" s="42" t="inlineStr">
        <is>
          <t>Tier 1B (Micro Drop, 1-3 km)</t>
        </is>
      </c>
      <c r="V1018" s="24" t="n">
        <v>62.9</v>
      </c>
      <c r="W1018" s="24" t="n">
        <v>100</v>
      </c>
      <c r="X1018" s="24" t="n">
        <v>28</v>
      </c>
      <c r="Y1018" s="45">
        <f>ROUND((V1018*'Methodology &amp; Assumptions'!$B$6)+(W1018*'Methodology &amp; Assumptions'!$B$5)+(X1018*'Methodology &amp; Assumptions'!$B$7), 2)</f>
        <v/>
      </c>
    </row>
    <row r="1019" ht="19" customHeight="1">
      <c r="A1019" s="35" t="n">
        <v>15</v>
      </c>
      <c r="B1019" s="35" t="n">
        <v>4015</v>
      </c>
      <c r="C1019" s="36" t="inlineStr">
        <is>
          <t>0704619007</t>
        </is>
      </c>
      <c r="D1019" s="36" t="inlineStr">
        <is>
          <t>Region VII (Central Visayas)</t>
        </is>
      </c>
      <c r="E1019" s="36" t="inlineStr">
        <is>
          <t>Negros Oriental</t>
        </is>
      </c>
      <c r="F1019" s="36" t="inlineStr">
        <is>
          <t>Siaton</t>
        </is>
      </c>
      <c r="G1019" s="36" t="inlineStr">
        <is>
          <t>Canaway</t>
        </is>
      </c>
      <c r="H1019" s="37" t="n">
        <v>9.075044</v>
      </c>
      <c r="I1019" s="37" t="n">
        <v>123.0464</v>
      </c>
      <c r="J1019" s="8" t="inlineStr">
        <is>
          <t>R</t>
        </is>
      </c>
      <c r="K1019" s="36" t="inlineStr">
        <is>
          <t>Class 1-3 / Urban</t>
        </is>
      </c>
      <c r="L1019" s="18" t="n">
        <v>3548</v>
      </c>
      <c r="M1019" s="20" t="n">
        <v>4.33</v>
      </c>
      <c r="N1019" s="18">
        <f>ROUND(L1019/M1019, 0)</f>
        <v/>
      </c>
      <c r="O1019" s="18">
        <f>ROUND(N1019*'Methodology &amp; Assumptions'!$B$8, 0)</f>
        <v/>
      </c>
      <c r="P1019" s="8" t="inlineStr">
        <is>
          <t>Band n50 (1.5 GHz, 60 MHz)</t>
        </is>
      </c>
      <c r="Q1019" s="38">
        <f>ROUNDUP(O1019/'Methodology &amp; Assumptions'!$B$9, 0)</f>
        <v/>
      </c>
      <c r="R1019" s="39" t="n">
        <v>1</v>
      </c>
      <c r="S1019" s="21" t="n">
        <v>2.23</v>
      </c>
      <c r="T1019" s="21" t="n">
        <v>2.22</v>
      </c>
      <c r="U1019" s="36" t="inlineStr">
        <is>
          <t>Tier 1B (Micro Drop, 1-3 km)</t>
        </is>
      </c>
      <c r="V1019" s="20" t="n">
        <v>47.6</v>
      </c>
      <c r="W1019" s="20" t="n">
        <v>89.59999999999999</v>
      </c>
      <c r="X1019" s="20" t="n">
        <v>58</v>
      </c>
      <c r="Y1019" s="40">
        <f>ROUND((V1019*'Methodology &amp; Assumptions'!$B$6)+(W1019*'Methodology &amp; Assumptions'!$B$5)+(X1019*'Methodology &amp; Assumptions'!$B$7), 2)</f>
        <v/>
      </c>
    </row>
    <row r="1020" ht="19" customHeight="1">
      <c r="A1020" s="41" t="n">
        <v>16</v>
      </c>
      <c r="B1020" s="41" t="n">
        <v>4016</v>
      </c>
      <c r="C1020" s="42" t="inlineStr">
        <is>
          <t>0603037035</t>
        </is>
      </c>
      <c r="D1020" s="42" t="inlineStr">
        <is>
          <t>Region VI (Western Visayas)</t>
        </is>
      </c>
      <c r="E1020" s="42" t="inlineStr">
        <is>
          <t>Iloilo</t>
        </is>
      </c>
      <c r="F1020" s="42" t="inlineStr">
        <is>
          <t>Pototan</t>
        </is>
      </c>
      <c r="G1020" s="42" t="inlineStr">
        <is>
          <t>Malusgod</t>
        </is>
      </c>
      <c r="H1020" s="43" t="n">
        <v>10.959935</v>
      </c>
      <c r="I1020" s="43" t="n">
        <v>122.634179</v>
      </c>
      <c r="J1020" s="44" t="inlineStr">
        <is>
          <t>R</t>
        </is>
      </c>
      <c r="K1020" s="42" t="inlineStr">
        <is>
          <t>Class 1-3 / Urban</t>
        </is>
      </c>
      <c r="L1020" s="23" t="n">
        <v>2571</v>
      </c>
      <c r="M1020" s="24" t="n">
        <v>4.39</v>
      </c>
      <c r="N1020" s="23">
        <f>ROUND(L1020/M1020, 0)</f>
        <v/>
      </c>
      <c r="O1020" s="23">
        <f>ROUND(N1020*'Methodology &amp; Assumptions'!$B$8, 0)</f>
        <v/>
      </c>
      <c r="P1020" s="44" t="inlineStr">
        <is>
          <t>Band n50 (1.5 GHz, 60 MHz)</t>
        </is>
      </c>
      <c r="Q1020" s="38">
        <f>ROUNDUP(O1020/'Methodology &amp; Assumptions'!$B$9, 0)</f>
        <v/>
      </c>
      <c r="R1020" s="39" t="n">
        <v>1</v>
      </c>
      <c r="S1020" s="25" t="n">
        <v>1.73</v>
      </c>
      <c r="T1020" s="25" t="n">
        <v>0.23</v>
      </c>
      <c r="U1020" s="42" t="inlineStr">
        <is>
          <t>Tier 1B (Micro Drop, 1-3 km)</t>
        </is>
      </c>
      <c r="V1020" s="24" t="n">
        <v>66.3</v>
      </c>
      <c r="W1020" s="24" t="n">
        <v>70.90000000000001</v>
      </c>
      <c r="X1020" s="24" t="n">
        <v>58</v>
      </c>
      <c r="Y1020" s="45">
        <f>ROUND((V1020*'Methodology &amp; Assumptions'!$B$6)+(W1020*'Methodology &amp; Assumptions'!$B$5)+(X1020*'Methodology &amp; Assumptions'!$B$7), 2)</f>
        <v/>
      </c>
    </row>
    <row r="1021" ht="19" customHeight="1">
      <c r="A1021" s="35" t="n">
        <v>17</v>
      </c>
      <c r="B1021" s="35" t="n">
        <v>4017</v>
      </c>
      <c r="C1021" s="36" t="inlineStr">
        <is>
          <t>0501717034</t>
        </is>
      </c>
      <c r="D1021" s="36" t="inlineStr">
        <is>
          <t>Region V (Bicol Region)</t>
        </is>
      </c>
      <c r="E1021" s="36" t="inlineStr">
        <is>
          <t>Camarines Sur</t>
        </is>
      </c>
      <c r="F1021" s="36" t="inlineStr">
        <is>
          <t>Lagonoy</t>
        </is>
      </c>
      <c r="G1021" s="36" t="inlineStr">
        <is>
          <t>San Vicente</t>
        </is>
      </c>
      <c r="H1021" s="37" t="n">
        <v>13.732295</v>
      </c>
      <c r="I1021" s="37" t="n">
        <v>123.523412</v>
      </c>
      <c r="J1021" s="8" t="inlineStr">
        <is>
          <t>R</t>
        </is>
      </c>
      <c r="K1021" s="36" t="inlineStr">
        <is>
          <t>Class 1-3 / Urban</t>
        </is>
      </c>
      <c r="L1021" s="18" t="n">
        <v>1157</v>
      </c>
      <c r="M1021" s="20" t="n">
        <v>4.9</v>
      </c>
      <c r="N1021" s="18">
        <f>ROUND(L1021/M1021, 0)</f>
        <v/>
      </c>
      <c r="O1021" s="18">
        <f>ROUND(N1021*'Methodology &amp; Assumptions'!$B$8, 0)</f>
        <v/>
      </c>
      <c r="P1021" s="8" t="inlineStr">
        <is>
          <t>Band n50 (1.5 GHz, 60 MHz)</t>
        </is>
      </c>
      <c r="Q1021" s="38">
        <f>ROUNDUP(O1021/'Methodology &amp; Assumptions'!$B$9, 0)</f>
        <v/>
      </c>
      <c r="R1021" s="39" t="n">
        <v>1</v>
      </c>
      <c r="S1021" s="21" t="n">
        <v>0.18</v>
      </c>
      <c r="T1021" s="21" t="n">
        <v>5.7</v>
      </c>
      <c r="U1021" s="36" t="inlineStr">
        <is>
          <t>Tier 1A (Direct Coloc, &lt;1 km)</t>
        </is>
      </c>
      <c r="V1021" s="20" t="n">
        <v>94.3</v>
      </c>
      <c r="W1021" s="20" t="n">
        <v>42.9</v>
      </c>
      <c r="X1021" s="20" t="n">
        <v>58</v>
      </c>
      <c r="Y1021" s="40">
        <f>ROUND((V1021*'Methodology &amp; Assumptions'!$B$6)+(W1021*'Methodology &amp; Assumptions'!$B$5)+(X1021*'Methodology &amp; Assumptions'!$B$7), 2)</f>
        <v/>
      </c>
    </row>
    <row r="1022" ht="19" customHeight="1">
      <c r="A1022" s="41" t="n">
        <v>18</v>
      </c>
      <c r="B1022" s="41" t="n">
        <v>4018</v>
      </c>
      <c r="C1022" s="42" t="inlineStr">
        <is>
          <t>0702211029</t>
        </is>
      </c>
      <c r="D1022" s="42" t="inlineStr">
        <is>
          <t>Region VII (Central Visayas)</t>
        </is>
      </c>
      <c r="E1022" s="42" t="inlineStr">
        <is>
          <t>Cebu</t>
        </is>
      </c>
      <c r="F1022" s="42" t="inlineStr">
        <is>
          <t>City of Bogo</t>
        </is>
      </c>
      <c r="G1022" s="42" t="inlineStr">
        <is>
          <t>Sudlonon</t>
        </is>
      </c>
      <c r="H1022" s="43" t="n">
        <v>11.050649</v>
      </c>
      <c r="I1022" s="43" t="n">
        <v>124.009136</v>
      </c>
      <c r="J1022" s="44" t="inlineStr">
        <is>
          <t>R</t>
        </is>
      </c>
      <c r="K1022" s="42" t="inlineStr">
        <is>
          <t>Class 1-3 / Urban</t>
        </is>
      </c>
      <c r="L1022" s="23" t="n">
        <v>923</v>
      </c>
      <c r="M1022" s="24" t="n">
        <v>4.42</v>
      </c>
      <c r="N1022" s="23">
        <f>ROUND(L1022/M1022, 0)</f>
        <v/>
      </c>
      <c r="O1022" s="23">
        <f>ROUND(N1022*'Methodology &amp; Assumptions'!$B$8, 0)</f>
        <v/>
      </c>
      <c r="P1022" s="44" t="inlineStr">
        <is>
          <t>Band n50 (1.5 GHz, 60 MHz)</t>
        </is>
      </c>
      <c r="Q1022" s="38">
        <f>ROUNDUP(O1022/'Methodology &amp; Assumptions'!$B$9, 0)</f>
        <v/>
      </c>
      <c r="R1022" s="39" t="n">
        <v>1</v>
      </c>
      <c r="S1022" s="25" t="n">
        <v>0.44</v>
      </c>
      <c r="T1022" s="25" t="n">
        <v>0.36</v>
      </c>
      <c r="U1022" s="42" t="inlineStr">
        <is>
          <t>Tier 1A (Direct Coloc, &lt;1 km)</t>
        </is>
      </c>
      <c r="V1022" s="24" t="n">
        <v>96.40000000000001</v>
      </c>
      <c r="W1022" s="24" t="n">
        <v>40.8</v>
      </c>
      <c r="X1022" s="24" t="n">
        <v>58</v>
      </c>
      <c r="Y1022" s="45">
        <f>ROUND((V1022*'Methodology &amp; Assumptions'!$B$6)+(W1022*'Methodology &amp; Assumptions'!$B$5)+(X1022*'Methodology &amp; Assumptions'!$B$7), 2)</f>
        <v/>
      </c>
    </row>
    <row r="1023" ht="19" customHeight="1">
      <c r="A1023" s="35" t="n">
        <v>19</v>
      </c>
      <c r="B1023" s="35" t="n">
        <v>4019</v>
      </c>
      <c r="C1023" s="36" t="inlineStr">
        <is>
          <t>0305407002</t>
        </is>
      </c>
      <c r="D1023" s="36" t="inlineStr">
        <is>
          <t>Region III (Central Luzon)</t>
        </is>
      </c>
      <c r="E1023" s="36" t="inlineStr">
        <is>
          <t>Pampanga</t>
        </is>
      </c>
      <c r="F1023" s="36" t="inlineStr">
        <is>
          <t>Guagua</t>
        </is>
      </c>
      <c r="G1023" s="36" t="inlineStr">
        <is>
          <t>Bancal</t>
        </is>
      </c>
      <c r="H1023" s="37" t="n">
        <v>14.955823</v>
      </c>
      <c r="I1023" s="37" t="n">
        <v>120.630485</v>
      </c>
      <c r="J1023" s="8" t="inlineStr">
        <is>
          <t>U</t>
        </is>
      </c>
      <c r="K1023" s="36" t="inlineStr">
        <is>
          <t>Class 1-3 / Urban</t>
        </is>
      </c>
      <c r="L1023" s="18" t="n">
        <v>6777</v>
      </c>
      <c r="M1023" s="20" t="n">
        <v>4.63</v>
      </c>
      <c r="N1023" s="18">
        <f>ROUND(L1023/M1023, 0)</f>
        <v/>
      </c>
      <c r="O1023" s="18">
        <f>ROUND(N1023*'Methodology &amp; Assumptions'!$B$8, 0)</f>
        <v/>
      </c>
      <c r="P1023" s="8" t="inlineStr">
        <is>
          <t>Band n50 (1.5 GHz, 60 MHz)</t>
        </is>
      </c>
      <c r="Q1023" s="38">
        <f>ROUNDUP(O1023/'Methodology &amp; Assumptions'!$B$9, 0)</f>
        <v/>
      </c>
      <c r="R1023" s="39" t="n">
        <v>1</v>
      </c>
      <c r="S1023" s="21" t="n">
        <v>1.91</v>
      </c>
      <c r="T1023" s="21" t="n">
        <v>0.93</v>
      </c>
      <c r="U1023" s="36" t="inlineStr">
        <is>
          <t>Tier 1B (Micro Drop, 1-3 km)</t>
        </is>
      </c>
      <c r="V1023" s="20" t="n">
        <v>62.9</v>
      </c>
      <c r="W1023" s="20" t="n">
        <v>100</v>
      </c>
      <c r="X1023" s="20" t="n">
        <v>28</v>
      </c>
      <c r="Y1023" s="40">
        <f>ROUND((V1023*'Methodology &amp; Assumptions'!$B$6)+(W1023*'Methodology &amp; Assumptions'!$B$5)+(X1023*'Methodology &amp; Assumptions'!$B$7), 2)</f>
        <v/>
      </c>
    </row>
    <row r="1024" ht="19" customHeight="1">
      <c r="A1024" s="41" t="n">
        <v>20</v>
      </c>
      <c r="B1024" s="41" t="n">
        <v>4020</v>
      </c>
      <c r="C1024" s="42" t="inlineStr">
        <is>
          <t>0603035003</t>
        </is>
      </c>
      <c r="D1024" s="42" t="inlineStr">
        <is>
          <t>Region VI (Western Visayas)</t>
        </is>
      </c>
      <c r="E1024" s="42" t="inlineStr">
        <is>
          <t>Iloilo</t>
        </is>
      </c>
      <c r="F1024" s="42" t="inlineStr">
        <is>
          <t>City of Passi</t>
        </is>
      </c>
      <c r="G1024" s="42" t="inlineStr">
        <is>
          <t>Aglalana</t>
        </is>
      </c>
      <c r="H1024" s="43" t="n">
        <v>11.226227</v>
      </c>
      <c r="I1024" s="43" t="n">
        <v>122.670957</v>
      </c>
      <c r="J1024" s="44" t="inlineStr">
        <is>
          <t>R</t>
        </is>
      </c>
      <c r="K1024" s="42" t="inlineStr">
        <is>
          <t>Class 1-3 / Urban</t>
        </is>
      </c>
      <c r="L1024" s="23" t="n">
        <v>3922</v>
      </c>
      <c r="M1024" s="24" t="n">
        <v>4.39</v>
      </c>
      <c r="N1024" s="23">
        <f>ROUND(L1024/M1024, 0)</f>
        <v/>
      </c>
      <c r="O1024" s="23">
        <f>ROUND(N1024*'Methodology &amp; Assumptions'!$B$8, 0)</f>
        <v/>
      </c>
      <c r="P1024" s="44" t="inlineStr">
        <is>
          <t>Band n50 (1.5 GHz, 60 MHz)</t>
        </is>
      </c>
      <c r="Q1024" s="38">
        <f>ROUNDUP(O1024/'Methodology &amp; Assumptions'!$B$9, 0)</f>
        <v/>
      </c>
      <c r="R1024" s="39" t="n">
        <v>1</v>
      </c>
      <c r="S1024" s="25" t="n">
        <v>3.45</v>
      </c>
      <c r="T1024" s="25" t="n">
        <v>0.18</v>
      </c>
      <c r="U1024" s="42" t="inlineStr">
        <is>
          <t>Tier 2 (Fiber Corridor / Lateral, 3-5 km)</t>
        </is>
      </c>
      <c r="V1024" s="24" t="n">
        <v>41.7</v>
      </c>
      <c r="W1024" s="24" t="n">
        <v>95.5</v>
      </c>
      <c r="X1024" s="24" t="n">
        <v>58</v>
      </c>
      <c r="Y1024" s="45">
        <f>ROUND((V1024*'Methodology &amp; Assumptions'!$B$6)+(W1024*'Methodology &amp; Assumptions'!$B$5)+(X1024*'Methodology &amp; Assumptions'!$B$7), 2)</f>
        <v/>
      </c>
    </row>
    <row r="1025" ht="19" customHeight="1">
      <c r="A1025" s="35" t="n">
        <v>21</v>
      </c>
      <c r="B1025" s="35" t="n">
        <v>4021</v>
      </c>
      <c r="C1025" s="36" t="inlineStr">
        <is>
          <t>0105545019</t>
        </is>
      </c>
      <c r="D1025" s="36" t="inlineStr">
        <is>
          <t>Region I (Ilocos Region)</t>
        </is>
      </c>
      <c r="E1025" s="36" t="inlineStr">
        <is>
          <t>Pangasinan</t>
        </is>
      </c>
      <c r="F1025" s="36" t="inlineStr">
        <is>
          <t>Urbiztondo</t>
        </is>
      </c>
      <c r="G1025" s="36" t="inlineStr">
        <is>
          <t>Real</t>
        </is>
      </c>
      <c r="H1025" s="37" t="n">
        <v>15.812204</v>
      </c>
      <c r="I1025" s="37" t="n">
        <v>120.342178</v>
      </c>
      <c r="J1025" s="8" t="inlineStr">
        <is>
          <t>R</t>
        </is>
      </c>
      <c r="K1025" s="36" t="inlineStr">
        <is>
          <t>Class 1-3 / Urban</t>
        </is>
      </c>
      <c r="L1025" s="18" t="n">
        <v>3128</v>
      </c>
      <c r="M1025" s="20" t="n">
        <v>4.39</v>
      </c>
      <c r="N1025" s="18">
        <f>ROUND(L1025/M1025, 0)</f>
        <v/>
      </c>
      <c r="O1025" s="18">
        <f>ROUND(N1025*'Methodology &amp; Assumptions'!$B$8, 0)</f>
        <v/>
      </c>
      <c r="P1025" s="8" t="inlineStr">
        <is>
          <t>Band n50 (1.5 GHz, 60 MHz)</t>
        </is>
      </c>
      <c r="Q1025" s="38">
        <f>ROUNDUP(O1025/'Methodology &amp; Assumptions'!$B$9, 0)</f>
        <v/>
      </c>
      <c r="R1025" s="39" t="n">
        <v>1</v>
      </c>
      <c r="S1025" s="21" t="n">
        <v>1.73</v>
      </c>
      <c r="T1025" s="21" t="n">
        <v>11.83</v>
      </c>
      <c r="U1025" s="36" t="inlineStr">
        <is>
          <t>Tier 1B (Micro Drop, 1-3 km)</t>
        </is>
      </c>
      <c r="V1025" s="20" t="n">
        <v>56.1</v>
      </c>
      <c r="W1025" s="20" t="n">
        <v>81.09999999999999</v>
      </c>
      <c r="X1025" s="20" t="n">
        <v>58</v>
      </c>
      <c r="Y1025" s="40">
        <f>ROUND((V1025*'Methodology &amp; Assumptions'!$B$6)+(W1025*'Methodology &amp; Assumptions'!$B$5)+(X1025*'Methodology &amp; Assumptions'!$B$7), 2)</f>
        <v/>
      </c>
    </row>
    <row r="1026" ht="19" customHeight="1">
      <c r="A1026" s="41" t="n">
        <v>22</v>
      </c>
      <c r="B1026" s="41" t="n">
        <v>4022</v>
      </c>
      <c r="C1026" s="42" t="inlineStr">
        <is>
          <t>0500516003</t>
        </is>
      </c>
      <c r="D1026" s="42" t="inlineStr">
        <is>
          <t>Region V (Bicol Region)</t>
        </is>
      </c>
      <c r="E1026" s="42" t="inlineStr">
        <is>
          <t>Albay</t>
        </is>
      </c>
      <c r="F1026" s="42" t="inlineStr">
        <is>
          <t>Santo Domingo</t>
        </is>
      </c>
      <c r="G1026" s="42" t="inlineStr">
        <is>
          <t>Calayucay</t>
        </is>
      </c>
      <c r="H1026" s="43" t="n">
        <v>13.238039</v>
      </c>
      <c r="I1026" s="43" t="n">
        <v>123.78598</v>
      </c>
      <c r="J1026" s="44" t="inlineStr">
        <is>
          <t>R</t>
        </is>
      </c>
      <c r="K1026" s="42" t="inlineStr">
        <is>
          <t>2nd</t>
        </is>
      </c>
      <c r="L1026" s="23" t="n">
        <v>1782</v>
      </c>
      <c r="M1026" s="24" t="n">
        <v>4.65</v>
      </c>
      <c r="N1026" s="23">
        <f>ROUND(L1026/M1026, 0)</f>
        <v/>
      </c>
      <c r="O1026" s="23">
        <f>ROUND(N1026*'Methodology &amp; Assumptions'!$B$8, 0)</f>
        <v/>
      </c>
      <c r="P1026" s="44" t="inlineStr">
        <is>
          <t>Band n50 (1.5 GHz, 60 MHz)</t>
        </is>
      </c>
      <c r="Q1026" s="38">
        <f>ROUNDUP(O1026/'Methodology &amp; Assumptions'!$B$9, 0)</f>
        <v/>
      </c>
      <c r="R1026" s="39" t="n">
        <v>1</v>
      </c>
      <c r="S1026" s="25" t="n">
        <v>0.96</v>
      </c>
      <c r="T1026" s="25" t="n">
        <v>0.98</v>
      </c>
      <c r="U1026" s="42" t="inlineStr">
        <is>
          <t>Tier 1A (Direct Coloc, &lt;1 km)</t>
        </is>
      </c>
      <c r="V1026" s="24" t="n">
        <v>82.5</v>
      </c>
      <c r="W1026" s="24" t="n">
        <v>54.7</v>
      </c>
      <c r="X1026" s="24" t="n">
        <v>58</v>
      </c>
      <c r="Y1026" s="45">
        <f>ROUND((V1026*'Methodology &amp; Assumptions'!$B$6)+(W1026*'Methodology &amp; Assumptions'!$B$5)+(X1026*'Methodology &amp; Assumptions'!$B$7), 2)</f>
        <v/>
      </c>
    </row>
    <row r="1027" ht="19" customHeight="1">
      <c r="A1027" s="35" t="n">
        <v>23</v>
      </c>
      <c r="B1027" s="35" t="n">
        <v>4023</v>
      </c>
      <c r="C1027" s="36" t="inlineStr">
        <is>
          <t>0102809001</t>
        </is>
      </c>
      <c r="D1027" s="36" t="inlineStr">
        <is>
          <t>Region I (Ilocos Region)</t>
        </is>
      </c>
      <c r="E1027" s="36" t="inlineStr">
        <is>
          <t>Ilocos Norte</t>
        </is>
      </c>
      <c r="F1027" s="36" t="inlineStr">
        <is>
          <t>Dingras</t>
        </is>
      </c>
      <c r="G1027" s="36" t="inlineStr">
        <is>
          <t>Albano</t>
        </is>
      </c>
      <c r="H1027" s="37" t="n">
        <v>18.102076</v>
      </c>
      <c r="I1027" s="37" t="n">
        <v>120.700073</v>
      </c>
      <c r="J1027" s="8" t="inlineStr">
        <is>
          <t>R</t>
        </is>
      </c>
      <c r="K1027" s="36" t="inlineStr">
        <is>
          <t>Class 1-3 / Urban</t>
        </is>
      </c>
      <c r="L1027" s="18" t="n">
        <v>871</v>
      </c>
      <c r="M1027" s="20" t="n">
        <v>4.35</v>
      </c>
      <c r="N1027" s="18">
        <f>ROUND(L1027/M1027, 0)</f>
        <v/>
      </c>
      <c r="O1027" s="18">
        <f>ROUND(N1027*'Methodology &amp; Assumptions'!$B$8, 0)</f>
        <v/>
      </c>
      <c r="P1027" s="8" t="inlineStr">
        <is>
          <t>Band n50 (1.5 GHz, 60 MHz)</t>
        </is>
      </c>
      <c r="Q1027" s="38">
        <f>ROUNDUP(O1027/'Methodology &amp; Assumptions'!$B$9, 0)</f>
        <v/>
      </c>
      <c r="R1027" s="39" t="n">
        <v>1</v>
      </c>
      <c r="S1027" s="21" t="n">
        <v>0.41</v>
      </c>
      <c r="T1027" s="21" t="n">
        <v>0.22</v>
      </c>
      <c r="U1027" s="36" t="inlineStr">
        <is>
          <t>Tier 1A (Direct Coloc, &lt;1 km)</t>
        </is>
      </c>
      <c r="V1027" s="20" t="n">
        <v>97.2</v>
      </c>
      <c r="W1027" s="20" t="n">
        <v>40</v>
      </c>
      <c r="X1027" s="20" t="n">
        <v>58</v>
      </c>
      <c r="Y1027" s="40">
        <f>ROUND((V1027*'Methodology &amp; Assumptions'!$B$6)+(W1027*'Methodology &amp; Assumptions'!$B$5)+(X1027*'Methodology &amp; Assumptions'!$B$7), 2)</f>
        <v/>
      </c>
    </row>
    <row r="1028" ht="19" customHeight="1">
      <c r="A1028" s="41" t="n">
        <v>24</v>
      </c>
      <c r="B1028" s="41" t="n">
        <v>4024</v>
      </c>
      <c r="C1028" s="42" t="inlineStr">
        <is>
          <t>0105545001</t>
        </is>
      </c>
      <c r="D1028" s="42" t="inlineStr">
        <is>
          <t>Region I (Ilocos Region)</t>
        </is>
      </c>
      <c r="E1028" s="42" t="inlineStr">
        <is>
          <t>Pangasinan</t>
        </is>
      </c>
      <c r="F1028" s="42" t="inlineStr">
        <is>
          <t>Urbiztondo</t>
        </is>
      </c>
      <c r="G1028" s="42" t="inlineStr">
        <is>
          <t>Angatel</t>
        </is>
      </c>
      <c r="H1028" s="43" t="n">
        <v>15.811901</v>
      </c>
      <c r="I1028" s="43" t="n">
        <v>120.341754</v>
      </c>
      <c r="J1028" s="44" t="inlineStr">
        <is>
          <t>R</t>
        </is>
      </c>
      <c r="K1028" s="42" t="inlineStr">
        <is>
          <t>Class 1-3 / Urban</t>
        </is>
      </c>
      <c r="L1028" s="23" t="n">
        <v>3151</v>
      </c>
      <c r="M1028" s="24" t="n">
        <v>4.39</v>
      </c>
      <c r="N1028" s="23">
        <f>ROUND(L1028/M1028, 0)</f>
        <v/>
      </c>
      <c r="O1028" s="23">
        <f>ROUND(N1028*'Methodology &amp; Assumptions'!$B$8, 0)</f>
        <v/>
      </c>
      <c r="P1028" s="44" t="inlineStr">
        <is>
          <t>Band n50 (1.5 GHz, 60 MHz)</t>
        </is>
      </c>
      <c r="Q1028" s="38">
        <f>ROUNDUP(O1028/'Methodology &amp; Assumptions'!$B$9, 0)</f>
        <v/>
      </c>
      <c r="R1028" s="39" t="n">
        <v>1</v>
      </c>
      <c r="S1028" s="25" t="n">
        <v>1.75</v>
      </c>
      <c r="T1028" s="25" t="n">
        <v>11.89</v>
      </c>
      <c r="U1028" s="42" t="inlineStr">
        <is>
          <t>Tier 1B (Micro Drop, 1-3 km)</t>
        </is>
      </c>
      <c r="V1028" s="24" t="n">
        <v>55.8</v>
      </c>
      <c r="W1028" s="24" t="n">
        <v>81.3</v>
      </c>
      <c r="X1028" s="24" t="n">
        <v>58</v>
      </c>
      <c r="Y1028" s="45">
        <f>ROUND((V1028*'Methodology &amp; Assumptions'!$B$6)+(W1028*'Methodology &amp; Assumptions'!$B$5)+(X1028*'Methodology &amp; Assumptions'!$B$7), 2)</f>
        <v/>
      </c>
    </row>
    <row r="1029" ht="19" customHeight="1">
      <c r="A1029" s="35" t="n">
        <v>25</v>
      </c>
      <c r="B1029" s="35" t="n">
        <v>4025</v>
      </c>
      <c r="C1029" s="36" t="inlineStr">
        <is>
          <t>0702205044</t>
        </is>
      </c>
      <c r="D1029" s="36" t="inlineStr">
        <is>
          <t>Region VII (Central Visayas)</t>
        </is>
      </c>
      <c r="E1029" s="36" t="inlineStr">
        <is>
          <t>Cebu</t>
        </is>
      </c>
      <c r="F1029" s="36" t="inlineStr">
        <is>
          <t>Argao</t>
        </is>
      </c>
      <c r="G1029" s="36" t="inlineStr">
        <is>
          <t>Tulic</t>
        </is>
      </c>
      <c r="H1029" s="37" t="n">
        <v>9.869078</v>
      </c>
      <c r="I1029" s="37" t="n">
        <v>123.585903</v>
      </c>
      <c r="J1029" s="8" t="inlineStr">
        <is>
          <t>R</t>
        </is>
      </c>
      <c r="K1029" s="36" t="inlineStr">
        <is>
          <t>Class 1-3 / Urban</t>
        </is>
      </c>
      <c r="L1029" s="18" t="n">
        <v>2992</v>
      </c>
      <c r="M1029" s="20" t="n">
        <v>4.42</v>
      </c>
      <c r="N1029" s="18">
        <f>ROUND(L1029/M1029, 0)</f>
        <v/>
      </c>
      <c r="O1029" s="18">
        <f>ROUND(N1029*'Methodology &amp; Assumptions'!$B$8, 0)</f>
        <v/>
      </c>
      <c r="P1029" s="8" t="inlineStr">
        <is>
          <t>Band n50 (1.5 GHz, 60 MHz)</t>
        </is>
      </c>
      <c r="Q1029" s="38">
        <f>ROUNDUP(O1029/'Methodology &amp; Assumptions'!$B$9, 0)</f>
        <v/>
      </c>
      <c r="R1029" s="39" t="n">
        <v>1</v>
      </c>
      <c r="S1029" s="21" t="n">
        <v>2.14</v>
      </c>
      <c r="T1029" s="21" t="n">
        <v>0.14</v>
      </c>
      <c r="U1029" s="36" t="inlineStr">
        <is>
          <t>Tier 1B (Micro Drop, 1-3 km)</t>
        </is>
      </c>
      <c r="V1029" s="20" t="n">
        <v>59</v>
      </c>
      <c r="W1029" s="20" t="n">
        <v>78.09999999999999</v>
      </c>
      <c r="X1029" s="20" t="n">
        <v>58</v>
      </c>
      <c r="Y1029" s="40">
        <f>ROUND((V1029*'Methodology &amp; Assumptions'!$B$6)+(W1029*'Methodology &amp; Assumptions'!$B$5)+(X1029*'Methodology &amp; Assumptions'!$B$7), 2)</f>
        <v/>
      </c>
    </row>
    <row r="1030" ht="19" customHeight="1">
      <c r="A1030" s="41" t="n">
        <v>26</v>
      </c>
      <c r="B1030" s="41" t="n">
        <v>4026</v>
      </c>
      <c r="C1030" s="42" t="inlineStr">
        <is>
          <t>0102819016</t>
        </is>
      </c>
      <c r="D1030" s="42" t="inlineStr">
        <is>
          <t>Region I (Ilocos Region)</t>
        </is>
      </c>
      <c r="E1030" s="42" t="inlineStr">
        <is>
          <t>Ilocos Norte</t>
        </is>
      </c>
      <c r="F1030" s="42" t="inlineStr">
        <is>
          <t>Pinili</t>
        </is>
      </c>
      <c r="G1030" s="42" t="inlineStr">
        <is>
          <t>Pagdilao</t>
        </is>
      </c>
      <c r="H1030" s="43" t="n">
        <v>17.951811</v>
      </c>
      <c r="I1030" s="43" t="n">
        <v>120.52647</v>
      </c>
      <c r="J1030" s="44" t="inlineStr">
        <is>
          <t>R</t>
        </is>
      </c>
      <c r="K1030" s="42" t="inlineStr">
        <is>
          <t>Class 1-3 / Urban</t>
        </is>
      </c>
      <c r="L1030" s="23" t="n">
        <v>1142</v>
      </c>
      <c r="M1030" s="24" t="n">
        <v>4.35</v>
      </c>
      <c r="N1030" s="23">
        <f>ROUND(L1030/M1030, 0)</f>
        <v/>
      </c>
      <c r="O1030" s="23">
        <f>ROUND(N1030*'Methodology &amp; Assumptions'!$B$8, 0)</f>
        <v/>
      </c>
      <c r="P1030" s="44" t="inlineStr">
        <is>
          <t>Band n50 (1.5 GHz, 60 MHz)</t>
        </is>
      </c>
      <c r="Q1030" s="38">
        <f>ROUNDUP(O1030/'Methodology &amp; Assumptions'!$B$9, 0)</f>
        <v/>
      </c>
      <c r="R1030" s="39" t="n">
        <v>1</v>
      </c>
      <c r="S1030" s="25" t="n">
        <v>0.25</v>
      </c>
      <c r="T1030" s="25" t="n">
        <v>3.75</v>
      </c>
      <c r="U1030" s="42" t="inlineStr">
        <is>
          <t>Tier 1A (Direct Coloc, &lt;1 km)</t>
        </is>
      </c>
      <c r="V1030" s="24" t="n">
        <v>92.09999999999999</v>
      </c>
      <c r="W1030" s="24" t="n">
        <v>45.1</v>
      </c>
      <c r="X1030" s="24" t="n">
        <v>58</v>
      </c>
      <c r="Y1030" s="45">
        <f>ROUND((V1030*'Methodology &amp; Assumptions'!$B$6)+(W1030*'Methodology &amp; Assumptions'!$B$5)+(X1030*'Methodology &amp; Assumptions'!$B$7), 2)</f>
        <v/>
      </c>
    </row>
    <row r="1031" ht="19" customHeight="1">
      <c r="A1031" s="35" t="n">
        <v>27</v>
      </c>
      <c r="B1031" s="35" t="n">
        <v>4027</v>
      </c>
      <c r="C1031" s="36" t="inlineStr">
        <is>
          <t>0301410039</t>
        </is>
      </c>
      <c r="D1031" s="36" t="inlineStr">
        <is>
          <t>Region III (Central Luzon)</t>
        </is>
      </c>
      <c r="E1031" s="36" t="inlineStr">
        <is>
          <t>Bulacan</t>
        </is>
      </c>
      <c r="F1031" s="36" t="inlineStr">
        <is>
          <t>City of Malolos</t>
        </is>
      </c>
      <c r="G1031" s="36" t="inlineStr">
        <is>
          <t>Pinagbakahan</t>
        </is>
      </c>
      <c r="H1031" s="37" t="n">
        <v>14.871831</v>
      </c>
      <c r="I1031" s="37" t="n">
        <v>120.821581</v>
      </c>
      <c r="J1031" s="8" t="inlineStr">
        <is>
          <t>U</t>
        </is>
      </c>
      <c r="K1031" s="36" t="inlineStr">
        <is>
          <t>Class 1-3 / Urban</t>
        </is>
      </c>
      <c r="L1031" s="18" t="n">
        <v>7563</v>
      </c>
      <c r="M1031" s="20" t="n">
        <v>4.1</v>
      </c>
      <c r="N1031" s="18">
        <f>ROUND(L1031/M1031, 0)</f>
        <v/>
      </c>
      <c r="O1031" s="18">
        <f>ROUND(N1031*'Methodology &amp; Assumptions'!$B$8, 0)</f>
        <v/>
      </c>
      <c r="P1031" s="8" t="inlineStr">
        <is>
          <t>Band n50 (1.5 GHz, 60 MHz)</t>
        </is>
      </c>
      <c r="Q1031" s="38">
        <f>ROUNDUP(O1031/'Methodology &amp; Assumptions'!$B$9, 0)</f>
        <v/>
      </c>
      <c r="R1031" s="39" t="n">
        <v>1</v>
      </c>
      <c r="S1031" s="21" t="n">
        <v>1.91</v>
      </c>
      <c r="T1031" s="21" t="n">
        <v>0.21</v>
      </c>
      <c r="U1031" s="36" t="inlineStr">
        <is>
          <t>Tier 1B (Micro Drop, 1-3 km)</t>
        </is>
      </c>
      <c r="V1031" s="20" t="n">
        <v>62.9</v>
      </c>
      <c r="W1031" s="20" t="n">
        <v>100</v>
      </c>
      <c r="X1031" s="20" t="n">
        <v>28</v>
      </c>
      <c r="Y1031" s="40">
        <f>ROUND((V1031*'Methodology &amp; Assumptions'!$B$6)+(W1031*'Methodology &amp; Assumptions'!$B$5)+(X1031*'Methodology &amp; Assumptions'!$B$7), 2)</f>
        <v/>
      </c>
    </row>
    <row r="1032" ht="19" customHeight="1">
      <c r="A1032" s="41" t="n">
        <v>28</v>
      </c>
      <c r="B1032" s="41" t="n">
        <v>4028</v>
      </c>
      <c r="C1032" s="42" t="inlineStr">
        <is>
          <t>0403412008</t>
        </is>
      </c>
      <c r="D1032" s="42" t="inlineStr">
        <is>
          <t>Region IV-A (CALABARZON)</t>
        </is>
      </c>
      <c r="E1032" s="42" t="inlineStr">
        <is>
          <t>Laguna</t>
        </is>
      </c>
      <c r="F1032" s="42" t="inlineStr">
        <is>
          <t>Luisiana</t>
        </is>
      </c>
      <c r="G1032" s="42" t="inlineStr">
        <is>
          <t>Barangay Zone VII</t>
        </is>
      </c>
      <c r="H1032" s="43" t="n">
        <v>14.185655</v>
      </c>
      <c r="I1032" s="43" t="n">
        <v>121.511128</v>
      </c>
      <c r="J1032" s="44" t="inlineStr">
        <is>
          <t>R</t>
        </is>
      </c>
      <c r="K1032" s="42" t="inlineStr">
        <is>
          <t>4th</t>
        </is>
      </c>
      <c r="L1032" s="23" t="n">
        <v>423</v>
      </c>
      <c r="M1032" s="24" t="n">
        <v>4.07</v>
      </c>
      <c r="N1032" s="23">
        <f>ROUND(L1032/M1032, 0)</f>
        <v/>
      </c>
      <c r="O1032" s="23">
        <f>ROUND(N1032*'Methodology &amp; Assumptions'!$B$8, 0)</f>
        <v/>
      </c>
      <c r="P1032" s="44" t="inlineStr">
        <is>
          <t>Band n50 (1.5 GHz, 60 MHz)</t>
        </is>
      </c>
      <c r="Q1032" s="38">
        <f>ROUNDUP(O1032/'Methodology &amp; Assumptions'!$B$9, 0)</f>
        <v/>
      </c>
      <c r="R1032" s="39" t="n">
        <v>1</v>
      </c>
      <c r="S1032" s="25" t="n">
        <v>0.5600000000000001</v>
      </c>
      <c r="T1032" s="25" t="n">
        <v>4.27</v>
      </c>
      <c r="U1032" s="42" t="inlineStr">
        <is>
          <t>Tier 1A (Direct Coloc, &lt;1 km)</t>
        </is>
      </c>
      <c r="V1032" s="24" t="n">
        <v>83</v>
      </c>
      <c r="W1032" s="24" t="n">
        <v>32.3</v>
      </c>
      <c r="X1032" s="24" t="n">
        <v>83.5</v>
      </c>
      <c r="Y1032" s="45">
        <f>ROUND((V1032*'Methodology &amp; Assumptions'!$B$6)+(W1032*'Methodology &amp; Assumptions'!$B$5)+(X1032*'Methodology &amp; Assumptions'!$B$7), 2)</f>
        <v/>
      </c>
    </row>
    <row r="1033" ht="19" customHeight="1">
      <c r="A1033" s="35" t="n">
        <v>29</v>
      </c>
      <c r="B1033" s="35" t="n">
        <v>4029</v>
      </c>
      <c r="C1033" s="36" t="inlineStr">
        <is>
          <t>0402101014</t>
        </is>
      </c>
      <c r="D1033" s="36" t="inlineStr">
        <is>
          <t>Region IV-A (CALABARZON)</t>
        </is>
      </c>
      <c r="E1033" s="36" t="inlineStr">
        <is>
          <t>Cavite</t>
        </is>
      </c>
      <c r="F1033" s="36" t="inlineStr">
        <is>
          <t>Alfonso</t>
        </is>
      </c>
      <c r="G1033" s="36" t="inlineStr">
        <is>
          <t>Pajo</t>
        </is>
      </c>
      <c r="H1033" s="37" t="n">
        <v>14.14495</v>
      </c>
      <c r="I1033" s="37" t="n">
        <v>120.856912</v>
      </c>
      <c r="J1033" s="8" t="inlineStr">
        <is>
          <t>R</t>
        </is>
      </c>
      <c r="K1033" s="36" t="inlineStr">
        <is>
          <t>Class 1-3 / Urban</t>
        </is>
      </c>
      <c r="L1033" s="18" t="n">
        <v>2200</v>
      </c>
      <c r="M1033" s="20" t="n">
        <v>4.49</v>
      </c>
      <c r="N1033" s="18">
        <f>ROUND(L1033/M1033, 0)</f>
        <v/>
      </c>
      <c r="O1033" s="18">
        <f>ROUND(N1033*'Methodology &amp; Assumptions'!$B$8, 0)</f>
        <v/>
      </c>
      <c r="P1033" s="8" t="inlineStr">
        <is>
          <t>Band n50 (1.5 GHz, 60 MHz)</t>
        </is>
      </c>
      <c r="Q1033" s="38">
        <f>ROUNDUP(O1033/'Methodology &amp; Assumptions'!$B$9, 0)</f>
        <v/>
      </c>
      <c r="R1033" s="39" t="n">
        <v>1</v>
      </c>
      <c r="S1033" s="21" t="n">
        <v>0.91</v>
      </c>
      <c r="T1033" s="21" t="n">
        <v>6.45</v>
      </c>
      <c r="U1033" s="36" t="inlineStr">
        <is>
          <t>Tier 1A (Direct Coloc, &lt;1 km)</t>
        </is>
      </c>
      <c r="V1033" s="20" t="n">
        <v>73.90000000000001</v>
      </c>
      <c r="W1033" s="20" t="n">
        <v>63.2</v>
      </c>
      <c r="X1033" s="20" t="n">
        <v>58</v>
      </c>
      <c r="Y1033" s="40">
        <f>ROUND((V1033*'Methodology &amp; Assumptions'!$B$6)+(W1033*'Methodology &amp; Assumptions'!$B$5)+(X1033*'Methodology &amp; Assumptions'!$B$7), 2)</f>
        <v/>
      </c>
    </row>
    <row r="1034" ht="19" customHeight="1">
      <c r="A1034" s="41" t="n">
        <v>30</v>
      </c>
      <c r="B1034" s="41" t="n">
        <v>4030</v>
      </c>
      <c r="C1034" s="42" t="inlineStr">
        <is>
          <t>0402102018</t>
        </is>
      </c>
      <c r="D1034" s="42" t="inlineStr">
        <is>
          <t>Region IV-A (CALABARZON)</t>
        </is>
      </c>
      <c r="E1034" s="42" t="inlineStr">
        <is>
          <t>Cavite</t>
        </is>
      </c>
      <c r="F1034" s="42" t="inlineStr">
        <is>
          <t>Amadeo</t>
        </is>
      </c>
      <c r="G1034" s="42" t="inlineStr">
        <is>
          <t>Barangay V</t>
        </is>
      </c>
      <c r="H1034" s="43" t="n">
        <v>14.177085</v>
      </c>
      <c r="I1034" s="43" t="n">
        <v>120.919188</v>
      </c>
      <c r="J1034" s="44" t="inlineStr">
        <is>
          <t>R</t>
        </is>
      </c>
      <c r="K1034" s="42" t="inlineStr">
        <is>
          <t>2nd</t>
        </is>
      </c>
      <c r="L1034" s="23" t="n">
        <v>1977</v>
      </c>
      <c r="M1034" s="24" t="n">
        <v>4.23</v>
      </c>
      <c r="N1034" s="23">
        <f>ROUND(L1034/M1034, 0)</f>
        <v/>
      </c>
      <c r="O1034" s="23">
        <f>ROUND(N1034*'Methodology &amp; Assumptions'!$B$8, 0)</f>
        <v/>
      </c>
      <c r="P1034" s="44" t="inlineStr">
        <is>
          <t>Band n50 (1.5 GHz, 60 MHz)</t>
        </is>
      </c>
      <c r="Q1034" s="38">
        <f>ROUNDUP(O1034/'Methodology &amp; Assumptions'!$B$9, 0)</f>
        <v/>
      </c>
      <c r="R1034" s="39" t="n">
        <v>1</v>
      </c>
      <c r="S1034" s="25" t="n">
        <v>0.83</v>
      </c>
      <c r="T1034" s="25" t="n">
        <v>4.41</v>
      </c>
      <c r="U1034" s="42" t="inlineStr">
        <is>
          <t>Tier 1A (Direct Coloc, &lt;1 km)</t>
        </is>
      </c>
      <c r="V1034" s="24" t="n">
        <v>75.8</v>
      </c>
      <c r="W1034" s="24" t="n">
        <v>61.3</v>
      </c>
      <c r="X1034" s="24" t="n">
        <v>58</v>
      </c>
      <c r="Y1034" s="45">
        <f>ROUND((V1034*'Methodology &amp; Assumptions'!$B$6)+(W1034*'Methodology &amp; Assumptions'!$B$5)+(X1034*'Methodology &amp; Assumptions'!$B$7), 2)</f>
        <v/>
      </c>
    </row>
    <row r="1035" ht="19" customHeight="1">
      <c r="A1035" s="35" t="n">
        <v>31</v>
      </c>
      <c r="B1035" s="35" t="n">
        <v>4031</v>
      </c>
      <c r="C1035" s="36" t="inlineStr">
        <is>
          <t>1402701023</t>
        </is>
      </c>
      <c r="D1035" s="36" t="inlineStr">
        <is>
          <t>Cordillera Administrative Region (CAR)</t>
        </is>
      </c>
      <c r="E1035" s="36" t="inlineStr">
        <is>
          <t>Ifugao</t>
        </is>
      </c>
      <c r="F1035" s="36" t="inlineStr">
        <is>
          <t>Banaue</t>
        </is>
      </c>
      <c r="G1035" s="36" t="inlineStr">
        <is>
          <t>Tam-an</t>
        </is>
      </c>
      <c r="H1035" s="37" t="n">
        <v>16.907955</v>
      </c>
      <c r="I1035" s="37" t="n">
        <v>121.064053</v>
      </c>
      <c r="J1035" s="8" t="inlineStr">
        <is>
          <t>R</t>
        </is>
      </c>
      <c r="K1035" s="36" t="inlineStr">
        <is>
          <t>3rd</t>
        </is>
      </c>
      <c r="L1035" s="18" t="n">
        <v>1473</v>
      </c>
      <c r="M1035" s="20" t="n">
        <v>5.54</v>
      </c>
      <c r="N1035" s="18">
        <f>ROUND(L1035/M1035, 0)</f>
        <v/>
      </c>
      <c r="O1035" s="18">
        <f>ROUND(N1035*'Methodology &amp; Assumptions'!$B$8, 0)</f>
        <v/>
      </c>
      <c r="P1035" s="8" t="inlineStr">
        <is>
          <t>Band n50 (1.5 GHz, 60 MHz)</t>
        </is>
      </c>
      <c r="Q1035" s="38">
        <f>ROUNDUP(O1035/'Methodology &amp; Assumptions'!$B$9, 0)</f>
        <v/>
      </c>
      <c r="R1035" s="39" t="n">
        <v>1</v>
      </c>
      <c r="S1035" s="21" t="n">
        <v>0.46</v>
      </c>
      <c r="T1035" s="21" t="n">
        <v>0.17</v>
      </c>
      <c r="U1035" s="36" t="inlineStr">
        <is>
          <t>Tier 1A (Direct Coloc, &lt;1 km)</t>
        </is>
      </c>
      <c r="V1035" s="20" t="n">
        <v>95.8</v>
      </c>
      <c r="W1035" s="20" t="n">
        <v>41.3</v>
      </c>
      <c r="X1035" s="20" t="n">
        <v>58</v>
      </c>
      <c r="Y1035" s="40">
        <f>ROUND((V1035*'Methodology &amp; Assumptions'!$B$6)+(W1035*'Methodology &amp; Assumptions'!$B$5)+(X1035*'Methodology &amp; Assumptions'!$B$7), 2)</f>
        <v/>
      </c>
    </row>
    <row r="1036" ht="19" customHeight="1">
      <c r="A1036" s="41" t="n">
        <v>32</v>
      </c>
      <c r="B1036" s="41" t="n">
        <v>4032</v>
      </c>
      <c r="C1036" s="42" t="inlineStr">
        <is>
          <t>0401003005</t>
        </is>
      </c>
      <c r="D1036" s="42" t="inlineStr">
        <is>
          <t>Region IV-A (CALABARZON)</t>
        </is>
      </c>
      <c r="E1036" s="42" t="inlineStr">
        <is>
          <t>Batangas</t>
        </is>
      </c>
      <c r="F1036" s="42" t="inlineStr">
        <is>
          <t>Balayan</t>
        </is>
      </c>
      <c r="G1036" s="42" t="inlineStr">
        <is>
          <t>Barangay 11</t>
        </is>
      </c>
      <c r="H1036" s="43" t="n">
        <v>13.937064</v>
      </c>
      <c r="I1036" s="43" t="n">
        <v>120.729607</v>
      </c>
      <c r="J1036" s="44" t="inlineStr">
        <is>
          <t>R</t>
        </is>
      </c>
      <c r="K1036" s="42" t="inlineStr">
        <is>
          <t>Class 1-3 / Urban</t>
        </is>
      </c>
      <c r="L1036" s="23" t="n">
        <v>1436</v>
      </c>
      <c r="M1036" s="24" t="n">
        <v>4.62</v>
      </c>
      <c r="N1036" s="23">
        <f>ROUND(L1036/M1036, 0)</f>
        <v/>
      </c>
      <c r="O1036" s="23">
        <f>ROUND(N1036*'Methodology &amp; Assumptions'!$B$8, 0)</f>
        <v/>
      </c>
      <c r="P1036" s="44" t="inlineStr">
        <is>
          <t>Band n50 (1.5 GHz, 60 MHz)</t>
        </is>
      </c>
      <c r="Q1036" s="38">
        <f>ROUNDUP(O1036/'Methodology &amp; Assumptions'!$B$9, 0)</f>
        <v/>
      </c>
      <c r="R1036" s="39" t="n">
        <v>1</v>
      </c>
      <c r="S1036" s="25" t="n">
        <v>0.73</v>
      </c>
      <c r="T1036" s="25" t="n">
        <v>0.12</v>
      </c>
      <c r="U1036" s="42" t="inlineStr">
        <is>
          <t>Tier 1A (Direct Coloc, &lt;1 km)</t>
        </is>
      </c>
      <c r="V1036" s="24" t="n">
        <v>88.3</v>
      </c>
      <c r="W1036" s="24" t="n">
        <v>48.8</v>
      </c>
      <c r="X1036" s="24" t="n">
        <v>58</v>
      </c>
      <c r="Y1036" s="45">
        <f>ROUND((V1036*'Methodology &amp; Assumptions'!$B$6)+(W1036*'Methodology &amp; Assumptions'!$B$5)+(X1036*'Methodology &amp; Assumptions'!$B$7), 2)</f>
        <v/>
      </c>
    </row>
    <row r="1037" ht="19" customHeight="1">
      <c r="A1037" s="35" t="n">
        <v>33</v>
      </c>
      <c r="B1037" s="35" t="n">
        <v>4033</v>
      </c>
      <c r="C1037" s="36" t="inlineStr">
        <is>
          <t>0306916074</t>
        </is>
      </c>
      <c r="D1037" s="36" t="inlineStr">
        <is>
          <t>Region III (Central Luzon)</t>
        </is>
      </c>
      <c r="E1037" s="36" t="inlineStr">
        <is>
          <t>Tarlac</t>
        </is>
      </c>
      <c r="F1037" s="36" t="inlineStr">
        <is>
          <t>City of Tarlac</t>
        </is>
      </c>
      <c r="G1037" s="36" t="inlineStr">
        <is>
          <t>San Sebastian</t>
        </is>
      </c>
      <c r="H1037" s="37" t="n">
        <v>15.471129</v>
      </c>
      <c r="I1037" s="37" t="n">
        <v>120.597295</v>
      </c>
      <c r="J1037" s="8" t="inlineStr">
        <is>
          <t>U</t>
        </is>
      </c>
      <c r="K1037" s="36" t="inlineStr">
        <is>
          <t>Class 1-3 / Urban</t>
        </is>
      </c>
      <c r="L1037" s="18" t="n">
        <v>4231</v>
      </c>
      <c r="M1037" s="20" t="n">
        <v>4.3</v>
      </c>
      <c r="N1037" s="18">
        <f>ROUND(L1037/M1037, 0)</f>
        <v/>
      </c>
      <c r="O1037" s="18">
        <f>ROUND(N1037*'Methodology &amp; Assumptions'!$B$8, 0)</f>
        <v/>
      </c>
      <c r="P1037" s="8" t="inlineStr">
        <is>
          <t>Band n50 (1.5 GHz, 60 MHz)</t>
        </is>
      </c>
      <c r="Q1037" s="38">
        <f>ROUNDUP(O1037/'Methodology &amp; Assumptions'!$B$9, 0)</f>
        <v/>
      </c>
      <c r="R1037" s="39" t="n">
        <v>1</v>
      </c>
      <c r="S1037" s="21" t="n">
        <v>1.91</v>
      </c>
      <c r="T1037" s="21" t="n">
        <v>0.17</v>
      </c>
      <c r="U1037" s="36" t="inlineStr">
        <is>
          <t>Tier 1B (Micro Drop, 1-3 km)</t>
        </is>
      </c>
      <c r="V1037" s="20" t="n">
        <v>62.8</v>
      </c>
      <c r="W1037" s="20" t="n">
        <v>100</v>
      </c>
      <c r="X1037" s="20" t="n">
        <v>28</v>
      </c>
      <c r="Y1037" s="40">
        <f>ROUND((V1037*'Methodology &amp; Assumptions'!$B$6)+(W1037*'Methodology &amp; Assumptions'!$B$5)+(X1037*'Methodology &amp; Assumptions'!$B$7), 2)</f>
        <v/>
      </c>
    </row>
    <row r="1038" ht="19" customHeight="1">
      <c r="A1038" s="41" t="n">
        <v>34</v>
      </c>
      <c r="B1038" s="41" t="n">
        <v>4034</v>
      </c>
      <c r="C1038" s="42" t="inlineStr">
        <is>
          <t>0500506042</t>
        </is>
      </c>
      <c r="D1038" s="42" t="inlineStr">
        <is>
          <t>Region V (Bicol Region)</t>
        </is>
      </c>
      <c r="E1038" s="42" t="inlineStr">
        <is>
          <t>Albay</t>
        </is>
      </c>
      <c r="F1038" s="42" t="inlineStr">
        <is>
          <t>City of Legazpi</t>
        </is>
      </c>
      <c r="G1038" s="42" t="inlineStr">
        <is>
          <t>Bgy. 8 - Bagumbayan</t>
        </is>
      </c>
      <c r="H1038" s="43" t="n">
        <v>13.141689</v>
      </c>
      <c r="I1038" s="43" t="n">
        <v>123.734602</v>
      </c>
      <c r="J1038" s="44" t="inlineStr">
        <is>
          <t>U</t>
        </is>
      </c>
      <c r="K1038" s="42" t="inlineStr">
        <is>
          <t>Class 1-3 / Urban</t>
        </is>
      </c>
      <c r="L1038" s="23" t="n">
        <v>2772</v>
      </c>
      <c r="M1038" s="24" t="n">
        <v>4.67</v>
      </c>
      <c r="N1038" s="23">
        <f>ROUND(L1038/M1038, 0)</f>
        <v/>
      </c>
      <c r="O1038" s="23">
        <f>ROUND(N1038*'Methodology &amp; Assumptions'!$B$8, 0)</f>
        <v/>
      </c>
      <c r="P1038" s="44" t="inlineStr">
        <is>
          <t>Band n50 (1.5 GHz, 60 MHz)</t>
        </is>
      </c>
      <c r="Q1038" s="38">
        <f>ROUNDUP(O1038/'Methodology &amp; Assumptions'!$B$9, 0)</f>
        <v/>
      </c>
      <c r="R1038" s="39" t="n">
        <v>1</v>
      </c>
      <c r="S1038" s="25" t="n">
        <v>0.62</v>
      </c>
      <c r="T1038" s="25" t="n">
        <v>0.35</v>
      </c>
      <c r="U1038" s="42" t="inlineStr">
        <is>
          <t>Tier 1A (Direct Coloc, &lt;1 km)</t>
        </is>
      </c>
      <c r="V1038" s="24" t="n">
        <v>91.40000000000001</v>
      </c>
      <c r="W1038" s="24" t="n">
        <v>71.5</v>
      </c>
      <c r="X1038" s="24" t="n">
        <v>28</v>
      </c>
      <c r="Y1038" s="45">
        <f>ROUND((V1038*'Methodology &amp; Assumptions'!$B$6)+(W1038*'Methodology &amp; Assumptions'!$B$5)+(X1038*'Methodology &amp; Assumptions'!$B$7), 2)</f>
        <v/>
      </c>
    </row>
    <row r="1039" ht="19" customHeight="1">
      <c r="A1039" s="35" t="n">
        <v>35</v>
      </c>
      <c r="B1039" s="35" t="n">
        <v>4035</v>
      </c>
      <c r="C1039" s="36" t="inlineStr">
        <is>
          <t>0402103071</t>
        </is>
      </c>
      <c r="D1039" s="36" t="inlineStr">
        <is>
          <t>Region IV-A (CALABARZON)</t>
        </is>
      </c>
      <c r="E1039" s="36" t="inlineStr">
        <is>
          <t>Cavite</t>
        </is>
      </c>
      <c r="F1039" s="36" t="inlineStr">
        <is>
          <t>City of Bacoor</t>
        </is>
      </c>
      <c r="G1039" s="36" t="inlineStr">
        <is>
          <t>Talaba VII</t>
        </is>
      </c>
      <c r="H1039" s="37" t="n">
        <v>14.436707</v>
      </c>
      <c r="I1039" s="37" t="n">
        <v>120.961346</v>
      </c>
      <c r="J1039" s="8" t="inlineStr">
        <is>
          <t>R</t>
        </is>
      </c>
      <c r="K1039" s="36" t="inlineStr">
        <is>
          <t>Class 1-3 / Urban</t>
        </is>
      </c>
      <c r="L1039" s="18" t="n">
        <v>2309</v>
      </c>
      <c r="M1039" s="20" t="n">
        <v>4.49</v>
      </c>
      <c r="N1039" s="18">
        <f>ROUND(L1039/M1039, 0)</f>
        <v/>
      </c>
      <c r="O1039" s="18">
        <f>ROUND(N1039*'Methodology &amp; Assumptions'!$B$8, 0)</f>
        <v/>
      </c>
      <c r="P1039" s="8" t="inlineStr">
        <is>
          <t>Band n50 (1.5 GHz, 60 MHz)</t>
        </is>
      </c>
      <c r="Q1039" s="38">
        <f>ROUNDUP(O1039/'Methodology &amp; Assumptions'!$B$9, 0)</f>
        <v/>
      </c>
      <c r="R1039" s="39" t="n">
        <v>1</v>
      </c>
      <c r="S1039" s="21" t="n">
        <v>1.43</v>
      </c>
      <c r="T1039" s="21" t="n">
        <v>1.32</v>
      </c>
      <c r="U1039" s="36" t="inlineStr">
        <is>
          <t>Tier 1B (Micro Drop, 1-3 km)</t>
        </is>
      </c>
      <c r="V1039" s="20" t="n">
        <v>72</v>
      </c>
      <c r="W1039" s="20" t="n">
        <v>65.09999999999999</v>
      </c>
      <c r="X1039" s="20" t="n">
        <v>58</v>
      </c>
      <c r="Y1039" s="40">
        <f>ROUND((V1039*'Methodology &amp; Assumptions'!$B$6)+(W1039*'Methodology &amp; Assumptions'!$B$5)+(X1039*'Methodology &amp; Assumptions'!$B$7), 2)</f>
        <v/>
      </c>
    </row>
    <row r="1040" ht="19" customHeight="1">
      <c r="A1040" s="41" t="n">
        <v>36</v>
      </c>
      <c r="B1040" s="41" t="n">
        <v>4036</v>
      </c>
      <c r="C1040" s="42" t="inlineStr">
        <is>
          <t>0401016024</t>
        </is>
      </c>
      <c r="D1040" s="42" t="inlineStr">
        <is>
          <t>Region IV-A (CALABARZON)</t>
        </is>
      </c>
      <c r="E1040" s="42" t="inlineStr">
        <is>
          <t>Batangas</t>
        </is>
      </c>
      <c r="F1040" s="42" t="inlineStr">
        <is>
          <t>Mabini</t>
        </is>
      </c>
      <c r="G1040" s="42" t="inlineStr">
        <is>
          <t>Sampaguita</t>
        </is>
      </c>
      <c r="H1040" s="43" t="n">
        <v>13.7475</v>
      </c>
      <c r="I1040" s="43" t="n">
        <v>120.9331</v>
      </c>
      <c r="J1040" s="44" t="inlineStr">
        <is>
          <t>R</t>
        </is>
      </c>
      <c r="K1040" s="42" t="inlineStr">
        <is>
          <t>Class 1-3 / Urban</t>
        </is>
      </c>
      <c r="L1040" s="23" t="n">
        <v>2274</v>
      </c>
      <c r="M1040" s="24" t="n">
        <v>4.62</v>
      </c>
      <c r="N1040" s="23">
        <f>ROUND(L1040/M1040, 0)</f>
        <v/>
      </c>
      <c r="O1040" s="23">
        <f>ROUND(N1040*'Methodology &amp; Assumptions'!$B$8, 0)</f>
        <v/>
      </c>
      <c r="P1040" s="44" t="inlineStr">
        <is>
          <t>Band n50 (1.5 GHz, 60 MHz)</t>
        </is>
      </c>
      <c r="Q1040" s="38">
        <f>ROUNDUP(O1040/'Methodology &amp; Assumptions'!$B$9, 0)</f>
        <v/>
      </c>
      <c r="R1040" s="39" t="n">
        <v>1</v>
      </c>
      <c r="S1040" s="25" t="n">
        <v>0.92</v>
      </c>
      <c r="T1040" s="25" t="n">
        <v>8.99</v>
      </c>
      <c r="U1040" s="42" t="inlineStr">
        <is>
          <t>Tier 1A (Direct Coloc, &lt;1 km)</t>
        </is>
      </c>
      <c r="V1040" s="24" t="n">
        <v>73.59999999999999</v>
      </c>
      <c r="W1040" s="24" t="n">
        <v>63.5</v>
      </c>
      <c r="X1040" s="24" t="n">
        <v>58</v>
      </c>
      <c r="Y1040" s="45">
        <f>ROUND((V1040*'Methodology &amp; Assumptions'!$B$6)+(W1040*'Methodology &amp; Assumptions'!$B$5)+(X1040*'Methodology &amp; Assumptions'!$B$7), 2)</f>
        <v/>
      </c>
    </row>
    <row r="1041" ht="19" customHeight="1">
      <c r="A1041" s="35" t="n">
        <v>37</v>
      </c>
      <c r="B1041" s="35" t="n">
        <v>4037</v>
      </c>
      <c r="C1041" s="36" t="inlineStr">
        <is>
          <t>0105531004</t>
        </is>
      </c>
      <c r="D1041" s="36" t="inlineStr">
        <is>
          <t>Region I (Ilocos Region)</t>
        </is>
      </c>
      <c r="E1041" s="36" t="inlineStr">
        <is>
          <t>Pangasinan</t>
        </is>
      </c>
      <c r="F1041" s="36" t="inlineStr">
        <is>
          <t>Rosales</t>
        </is>
      </c>
      <c r="G1041" s="36" t="inlineStr">
        <is>
          <t>Cabalaoangan Norte</t>
        </is>
      </c>
      <c r="H1041" s="37" t="n">
        <v>15.884257</v>
      </c>
      <c r="I1041" s="37" t="n">
        <v>120.630002</v>
      </c>
      <c r="J1041" s="8" t="inlineStr">
        <is>
          <t>R</t>
        </is>
      </c>
      <c r="K1041" s="36" t="inlineStr">
        <is>
          <t>Class 1-3 / Urban</t>
        </is>
      </c>
      <c r="L1041" s="18" t="n">
        <v>1956</v>
      </c>
      <c r="M1041" s="20" t="n">
        <v>4.39</v>
      </c>
      <c r="N1041" s="18">
        <f>ROUND(L1041/M1041, 0)</f>
        <v/>
      </c>
      <c r="O1041" s="18">
        <f>ROUND(N1041*'Methodology &amp; Assumptions'!$B$8, 0)</f>
        <v/>
      </c>
      <c r="P1041" s="8" t="inlineStr">
        <is>
          <t>Band n50 (1.5 GHz, 60 MHz)</t>
        </is>
      </c>
      <c r="Q1041" s="38">
        <f>ROUNDUP(O1041/'Methodology &amp; Assumptions'!$B$9, 0)</f>
        <v/>
      </c>
      <c r="R1041" s="39" t="n">
        <v>1</v>
      </c>
      <c r="S1041" s="21" t="n">
        <v>1.19</v>
      </c>
      <c r="T1041" s="21" t="n">
        <v>1.12</v>
      </c>
      <c r="U1041" s="36" t="inlineStr">
        <is>
          <t>Tier 1B (Micro Drop, 1-3 km)</t>
        </is>
      </c>
      <c r="V1041" s="20" t="n">
        <v>77.40000000000001</v>
      </c>
      <c r="W1041" s="20" t="n">
        <v>59.7</v>
      </c>
      <c r="X1041" s="20" t="n">
        <v>58</v>
      </c>
      <c r="Y1041" s="40">
        <f>ROUND((V1041*'Methodology &amp; Assumptions'!$B$6)+(W1041*'Methodology &amp; Assumptions'!$B$5)+(X1041*'Methodology &amp; Assumptions'!$B$7), 2)</f>
        <v/>
      </c>
    </row>
    <row r="1042" ht="19" customHeight="1">
      <c r="A1042" s="41" t="n">
        <v>38</v>
      </c>
      <c r="B1042" s="41" t="n">
        <v>4038</v>
      </c>
      <c r="C1042" s="42" t="inlineStr">
        <is>
          <t>0306917027</t>
        </is>
      </c>
      <c r="D1042" s="42" t="inlineStr">
        <is>
          <t>Region III (Central Luzon)</t>
        </is>
      </c>
      <c r="E1042" s="42" t="inlineStr">
        <is>
          <t>Tarlac</t>
        </is>
      </c>
      <c r="F1042" s="42" t="inlineStr">
        <is>
          <t>Victoria</t>
        </is>
      </c>
      <c r="G1042" s="42" t="inlineStr">
        <is>
          <t>Santa Lucia</t>
        </is>
      </c>
      <c r="H1042" s="43" t="n">
        <v>15.57959</v>
      </c>
      <c r="I1042" s="43" t="n">
        <v>120.67729</v>
      </c>
      <c r="J1042" s="44" t="inlineStr">
        <is>
          <t>R</t>
        </is>
      </c>
      <c r="K1042" s="42" t="inlineStr">
        <is>
          <t>Class 1-3 / Urban</t>
        </is>
      </c>
      <c r="L1042" s="23" t="n">
        <v>1572</v>
      </c>
      <c r="M1042" s="24" t="n">
        <v>4.3</v>
      </c>
      <c r="N1042" s="23">
        <f>ROUND(L1042/M1042, 0)</f>
        <v/>
      </c>
      <c r="O1042" s="23">
        <f>ROUND(N1042*'Methodology &amp; Assumptions'!$B$8, 0)</f>
        <v/>
      </c>
      <c r="P1042" s="44" t="inlineStr">
        <is>
          <t>Band n50 (1.5 GHz, 60 MHz)</t>
        </is>
      </c>
      <c r="Q1042" s="38">
        <f>ROUNDUP(O1042/'Methodology &amp; Assumptions'!$B$9, 0)</f>
        <v/>
      </c>
      <c r="R1042" s="39" t="n">
        <v>1</v>
      </c>
      <c r="S1042" s="25" t="n">
        <v>0.53</v>
      </c>
      <c r="T1042" s="25" t="n">
        <v>5.61</v>
      </c>
      <c r="U1042" s="42" t="inlineStr">
        <is>
          <t>Tier 1A (Direct Coloc, &lt;1 km)</t>
        </is>
      </c>
      <c r="V1042" s="24" t="n">
        <v>83.8</v>
      </c>
      <c r="W1042" s="24" t="n">
        <v>53.3</v>
      </c>
      <c r="X1042" s="24" t="n">
        <v>58</v>
      </c>
      <c r="Y1042" s="45">
        <f>ROUND((V1042*'Methodology &amp; Assumptions'!$B$6)+(W1042*'Methodology &amp; Assumptions'!$B$5)+(X1042*'Methodology &amp; Assumptions'!$B$7), 2)</f>
        <v/>
      </c>
    </row>
    <row r="1043" ht="19" customHeight="1">
      <c r="A1043" s="35" t="n">
        <v>39</v>
      </c>
      <c r="B1043" s="35" t="n">
        <v>4039</v>
      </c>
      <c r="C1043" s="36" t="inlineStr">
        <is>
          <t>0500514033</t>
        </is>
      </c>
      <c r="D1043" s="36" t="inlineStr">
        <is>
          <t>Region V (Bicol Region)</t>
        </is>
      </c>
      <c r="E1043" s="36" t="inlineStr">
        <is>
          <t>Albay</t>
        </is>
      </c>
      <c r="F1043" s="36" t="inlineStr">
        <is>
          <t>Polangui</t>
        </is>
      </c>
      <c r="G1043" s="36" t="inlineStr">
        <is>
          <t>Maynaga</t>
        </is>
      </c>
      <c r="H1043" s="37" t="n">
        <v>13.339321</v>
      </c>
      <c r="I1043" s="37" t="n">
        <v>123.52047</v>
      </c>
      <c r="J1043" s="8" t="inlineStr">
        <is>
          <t>R</t>
        </is>
      </c>
      <c r="K1043" s="36" t="inlineStr">
        <is>
          <t>Class 1-3 / Urban</t>
        </is>
      </c>
      <c r="L1043" s="18" t="n">
        <v>1384</v>
      </c>
      <c r="M1043" s="20" t="n">
        <v>4.67</v>
      </c>
      <c r="N1043" s="18">
        <f>ROUND(L1043/M1043, 0)</f>
        <v/>
      </c>
      <c r="O1043" s="18">
        <f>ROUND(N1043*'Methodology &amp; Assumptions'!$B$8, 0)</f>
        <v/>
      </c>
      <c r="P1043" s="8" t="inlineStr">
        <is>
          <t>Band n50 (1.5 GHz, 60 MHz)</t>
        </is>
      </c>
      <c r="Q1043" s="38">
        <f>ROUNDUP(O1043/'Methodology &amp; Assumptions'!$B$9, 0)</f>
        <v/>
      </c>
      <c r="R1043" s="39" t="n">
        <v>1</v>
      </c>
      <c r="S1043" s="21" t="n">
        <v>0.6899999999999999</v>
      </c>
      <c r="T1043" s="21" t="n">
        <v>0.11</v>
      </c>
      <c r="U1043" s="36" t="inlineStr">
        <is>
          <t>Tier 1A (Direct Coloc, &lt;1 km)</t>
        </is>
      </c>
      <c r="V1043" s="20" t="n">
        <v>89.40000000000001</v>
      </c>
      <c r="W1043" s="20" t="n">
        <v>47.7</v>
      </c>
      <c r="X1043" s="20" t="n">
        <v>58</v>
      </c>
      <c r="Y1043" s="40">
        <f>ROUND((V1043*'Methodology &amp; Assumptions'!$B$6)+(W1043*'Methodology &amp; Assumptions'!$B$5)+(X1043*'Methodology &amp; Assumptions'!$B$7), 2)</f>
        <v/>
      </c>
    </row>
    <row r="1044" ht="19" customHeight="1">
      <c r="A1044" s="41" t="n">
        <v>40</v>
      </c>
      <c r="B1044" s="41" t="n">
        <v>4040</v>
      </c>
      <c r="C1044" s="42" t="inlineStr">
        <is>
          <t>0601914019</t>
        </is>
      </c>
      <c r="D1044" s="42" t="inlineStr">
        <is>
          <t>Region VI (Western Visayas)</t>
        </is>
      </c>
      <c r="E1044" s="42" t="inlineStr">
        <is>
          <t>Capiz</t>
        </is>
      </c>
      <c r="F1044" s="42" t="inlineStr">
        <is>
          <t>City of Roxas</t>
        </is>
      </c>
      <c r="G1044" s="42" t="inlineStr">
        <is>
          <t>Baybay</t>
        </is>
      </c>
      <c r="H1044" s="43" t="n">
        <v>11.60602</v>
      </c>
      <c r="I1044" s="43" t="n">
        <v>122.74625</v>
      </c>
      <c r="J1044" s="44" t="inlineStr">
        <is>
          <t>U</t>
        </is>
      </c>
      <c r="K1044" s="42" t="inlineStr">
        <is>
          <t>Class 1-3 / Urban</t>
        </is>
      </c>
      <c r="L1044" s="23" t="n">
        <v>9732</v>
      </c>
      <c r="M1044" s="24" t="n">
        <v>4.2</v>
      </c>
      <c r="N1044" s="23">
        <f>ROUND(L1044/M1044, 0)</f>
        <v/>
      </c>
      <c r="O1044" s="23">
        <f>ROUND(N1044*'Methodology &amp; Assumptions'!$B$8, 0)</f>
        <v/>
      </c>
      <c r="P1044" s="44" t="inlineStr">
        <is>
          <t>Band n50 (1.5 GHz, 60 MHz)</t>
        </is>
      </c>
      <c r="Q1044" s="38">
        <f>ROUNDUP(O1044/'Methodology &amp; Assumptions'!$B$9, 0)</f>
        <v/>
      </c>
      <c r="R1044" s="39" t="n">
        <v>1</v>
      </c>
      <c r="S1044" s="25" t="n">
        <v>1.92</v>
      </c>
      <c r="T1044" s="25" t="n">
        <v>0.64</v>
      </c>
      <c r="U1044" s="42" t="inlineStr">
        <is>
          <t>Tier 1B (Micro Drop, 1-3 km)</t>
        </is>
      </c>
      <c r="V1044" s="24" t="n">
        <v>62.8</v>
      </c>
      <c r="W1044" s="24" t="n">
        <v>100</v>
      </c>
      <c r="X1044" s="24" t="n">
        <v>28</v>
      </c>
      <c r="Y1044" s="45">
        <f>ROUND((V1044*'Methodology &amp; Assumptions'!$B$6)+(W1044*'Methodology &amp; Assumptions'!$B$5)+(X1044*'Methodology &amp; Assumptions'!$B$7), 2)</f>
        <v/>
      </c>
    </row>
    <row r="1045" ht="19" customHeight="1">
      <c r="A1045" s="35" t="n">
        <v>41</v>
      </c>
      <c r="B1045" s="35" t="n">
        <v>4041</v>
      </c>
      <c r="C1045" s="36" t="inlineStr">
        <is>
          <t>0205004007</t>
        </is>
      </c>
      <c r="D1045" s="36" t="inlineStr">
        <is>
          <t>Region II (Cagayan Valley)</t>
        </is>
      </c>
      <c r="E1045" s="36" t="inlineStr">
        <is>
          <t>Nueva Vizcaya</t>
        </is>
      </c>
      <c r="F1045" s="36" t="inlineStr">
        <is>
          <t>Bambang</t>
        </is>
      </c>
      <c r="G1045" s="36" t="inlineStr">
        <is>
          <t>Banggot</t>
        </is>
      </c>
      <c r="H1045" s="37" t="n">
        <v>16.390588</v>
      </c>
      <c r="I1045" s="37" t="n">
        <v>121.105159</v>
      </c>
      <c r="J1045" s="8" t="inlineStr">
        <is>
          <t>U</t>
        </is>
      </c>
      <c r="K1045" s="36" t="inlineStr">
        <is>
          <t>Class 1-3 / Urban</t>
        </is>
      </c>
      <c r="L1045" s="18" t="n">
        <v>4310</v>
      </c>
      <c r="M1045" s="20" t="n">
        <v>4.19</v>
      </c>
      <c r="N1045" s="18">
        <f>ROUND(L1045/M1045, 0)</f>
        <v/>
      </c>
      <c r="O1045" s="18">
        <f>ROUND(N1045*'Methodology &amp; Assumptions'!$B$8, 0)</f>
        <v/>
      </c>
      <c r="P1045" s="8" t="inlineStr">
        <is>
          <t>Band n50 (1.5 GHz, 60 MHz)</t>
        </is>
      </c>
      <c r="Q1045" s="38">
        <f>ROUNDUP(O1045/'Methodology &amp; Assumptions'!$B$9, 0)</f>
        <v/>
      </c>
      <c r="R1045" s="39" t="n">
        <v>1</v>
      </c>
      <c r="S1045" s="21" t="n">
        <v>1.92</v>
      </c>
      <c r="T1045" s="21" t="n">
        <v>0.26</v>
      </c>
      <c r="U1045" s="36" t="inlineStr">
        <is>
          <t>Tier 1B (Micro Drop, 1-3 km)</t>
        </is>
      </c>
      <c r="V1045" s="20" t="n">
        <v>62.8</v>
      </c>
      <c r="W1045" s="20" t="n">
        <v>100</v>
      </c>
      <c r="X1045" s="20" t="n">
        <v>28</v>
      </c>
      <c r="Y1045" s="40">
        <f>ROUND((V1045*'Methodology &amp; Assumptions'!$B$6)+(W1045*'Methodology &amp; Assumptions'!$B$5)+(X1045*'Methodology &amp; Assumptions'!$B$7), 2)</f>
        <v/>
      </c>
    </row>
    <row r="1046" ht="19" customHeight="1">
      <c r="A1046" s="41" t="n">
        <v>42</v>
      </c>
      <c r="B1046" s="41" t="n">
        <v>4042</v>
      </c>
      <c r="C1046" s="42" t="inlineStr">
        <is>
          <t>0704605002</t>
        </is>
      </c>
      <c r="D1046" s="42" t="inlineStr">
        <is>
          <t>Region VII (Central Visayas)</t>
        </is>
      </c>
      <c r="E1046" s="42" t="inlineStr">
        <is>
          <t>Negros Oriental</t>
        </is>
      </c>
      <c r="F1046" s="42" t="inlineStr">
        <is>
          <t>Basay</t>
        </is>
      </c>
      <c r="G1046" s="42" t="inlineStr">
        <is>
          <t>Bal-os</t>
        </is>
      </c>
      <c r="H1046" s="43" t="n">
        <v>9.425984</v>
      </c>
      <c r="I1046" s="43" t="n">
        <v>122.626544</v>
      </c>
      <c r="J1046" s="44" t="inlineStr">
        <is>
          <t>R</t>
        </is>
      </c>
      <c r="K1046" s="42" t="inlineStr">
        <is>
          <t>3rd</t>
        </is>
      </c>
      <c r="L1046" s="23" t="n">
        <v>4172</v>
      </c>
      <c r="M1046" s="24" t="n">
        <v>4.44</v>
      </c>
      <c r="N1046" s="23">
        <f>ROUND(L1046/M1046, 0)</f>
        <v/>
      </c>
      <c r="O1046" s="23">
        <f>ROUND(N1046*'Methodology &amp; Assumptions'!$B$8, 0)</f>
        <v/>
      </c>
      <c r="P1046" s="44" t="inlineStr">
        <is>
          <t>Band n50 (1.5 GHz, 60 MHz)</t>
        </is>
      </c>
      <c r="Q1046" s="38">
        <f>ROUNDUP(O1046/'Methodology &amp; Assumptions'!$B$9, 0)</f>
        <v/>
      </c>
      <c r="R1046" s="39" t="n">
        <v>1</v>
      </c>
      <c r="S1046" s="25" t="n">
        <v>21.49</v>
      </c>
      <c r="T1046" s="25" t="n">
        <v>0.15</v>
      </c>
      <c r="U1046" s="42" t="inlineStr">
        <is>
          <t>Tier 2 (Fiber Corridor / Lateral, 3-5 km)</t>
        </is>
      </c>
      <c r="V1046" s="24" t="n">
        <v>25</v>
      </c>
      <c r="W1046" s="24" t="n">
        <v>99.2</v>
      </c>
      <c r="X1046" s="24" t="n">
        <v>73</v>
      </c>
      <c r="Y1046" s="45">
        <f>ROUND((V1046*'Methodology &amp; Assumptions'!$B$6)+(W1046*'Methodology &amp; Assumptions'!$B$5)+(X1046*'Methodology &amp; Assumptions'!$B$7), 2)</f>
        <v/>
      </c>
    </row>
    <row r="1047" ht="19" customHeight="1">
      <c r="A1047" s="35" t="n">
        <v>43</v>
      </c>
      <c r="B1047" s="35" t="n">
        <v>4043</v>
      </c>
      <c r="C1047" s="36" t="inlineStr">
        <is>
          <t>0306913011</t>
        </is>
      </c>
      <c r="D1047" s="36" t="inlineStr">
        <is>
          <t>Region III (Central Luzon)</t>
        </is>
      </c>
      <c r="E1047" s="36" t="inlineStr">
        <is>
          <t>Tarlac</t>
        </is>
      </c>
      <c r="F1047" s="36" t="inlineStr">
        <is>
          <t>San Clemente</t>
        </is>
      </c>
      <c r="G1047" s="36" t="inlineStr">
        <is>
          <t>Nagsabaran</t>
        </is>
      </c>
      <c r="H1047" s="37" t="n">
        <v>15.705722</v>
      </c>
      <c r="I1047" s="37" t="n">
        <v>120.367028</v>
      </c>
      <c r="J1047" s="8" t="inlineStr">
        <is>
          <t>R</t>
        </is>
      </c>
      <c r="K1047" s="36" t="inlineStr">
        <is>
          <t>4th</t>
        </is>
      </c>
      <c r="L1047" s="18" t="n">
        <v>1102</v>
      </c>
      <c r="M1047" s="20" t="n">
        <v>4.16</v>
      </c>
      <c r="N1047" s="18">
        <f>ROUND(L1047/M1047, 0)</f>
        <v/>
      </c>
      <c r="O1047" s="18">
        <f>ROUND(N1047*'Methodology &amp; Assumptions'!$B$8, 0)</f>
        <v/>
      </c>
      <c r="P1047" s="8" t="inlineStr">
        <is>
          <t>Band n50 (1.5 GHz, 60 MHz)</t>
        </is>
      </c>
      <c r="Q1047" s="38">
        <f>ROUNDUP(O1047/'Methodology &amp; Assumptions'!$B$9, 0)</f>
        <v/>
      </c>
      <c r="R1047" s="39" t="n">
        <v>1</v>
      </c>
      <c r="S1047" s="21" t="n">
        <v>0.57</v>
      </c>
      <c r="T1047" s="21" t="n">
        <v>5.48</v>
      </c>
      <c r="U1047" s="36" t="inlineStr">
        <is>
          <t>Tier 1A (Direct Coloc, &lt;1 km)</t>
        </is>
      </c>
      <c r="V1047" s="20" t="n">
        <v>82.7</v>
      </c>
      <c r="W1047" s="20" t="n">
        <v>45.3</v>
      </c>
      <c r="X1047" s="20" t="n">
        <v>68.5</v>
      </c>
      <c r="Y1047" s="40">
        <f>ROUND((V1047*'Methodology &amp; Assumptions'!$B$6)+(W1047*'Methodology &amp; Assumptions'!$B$5)+(X1047*'Methodology &amp; Assumptions'!$B$7), 2)</f>
        <v/>
      </c>
    </row>
    <row r="1048" ht="19" customHeight="1">
      <c r="A1048" s="41" t="n">
        <v>44</v>
      </c>
      <c r="B1048" s="41" t="n">
        <v>4044</v>
      </c>
      <c r="C1048" s="42" t="inlineStr">
        <is>
          <t>0304931017</t>
        </is>
      </c>
      <c r="D1048" s="42" t="inlineStr">
        <is>
          <t>Region III (Central Luzon)</t>
        </is>
      </c>
      <c r="E1048" s="42" t="inlineStr">
        <is>
          <t>Nueva Ecija</t>
        </is>
      </c>
      <c r="F1048" s="42" t="inlineStr">
        <is>
          <t>Talugtug</t>
        </is>
      </c>
      <c r="G1048" s="42" t="inlineStr">
        <is>
          <t>Quezon</t>
        </is>
      </c>
      <c r="H1048" s="43" t="n">
        <v>15.585783</v>
      </c>
      <c r="I1048" s="43" t="n">
        <v>120.924577</v>
      </c>
      <c r="J1048" s="44" t="inlineStr">
        <is>
          <t>R</t>
        </is>
      </c>
      <c r="K1048" s="42" t="inlineStr">
        <is>
          <t>3rd</t>
        </is>
      </c>
      <c r="L1048" s="23" t="n">
        <v>1230</v>
      </c>
      <c r="M1048" s="24" t="n">
        <v>4.09</v>
      </c>
      <c r="N1048" s="23">
        <f>ROUND(L1048/M1048, 0)</f>
        <v/>
      </c>
      <c r="O1048" s="23">
        <f>ROUND(N1048*'Methodology &amp; Assumptions'!$B$8, 0)</f>
        <v/>
      </c>
      <c r="P1048" s="44" t="inlineStr">
        <is>
          <t>Band n50 (1.5 GHz, 60 MHz)</t>
        </is>
      </c>
      <c r="Q1048" s="38">
        <f>ROUNDUP(O1048/'Methodology &amp; Assumptions'!$B$9, 0)</f>
        <v/>
      </c>
      <c r="R1048" s="39" t="n">
        <v>1</v>
      </c>
      <c r="S1048" s="25" t="n">
        <v>0.71</v>
      </c>
      <c r="T1048" s="25" t="n">
        <v>0.52</v>
      </c>
      <c r="U1048" s="42" t="inlineStr">
        <is>
          <t>Tier 1A (Direct Coloc, &lt;1 km)</t>
        </is>
      </c>
      <c r="V1048" s="24" t="n">
        <v>89</v>
      </c>
      <c r="W1048" s="24" t="n">
        <v>48</v>
      </c>
      <c r="X1048" s="24" t="n">
        <v>58</v>
      </c>
      <c r="Y1048" s="45">
        <f>ROUND((V1048*'Methodology &amp; Assumptions'!$B$6)+(W1048*'Methodology &amp; Assumptions'!$B$5)+(X1048*'Methodology &amp; Assumptions'!$B$7), 2)</f>
        <v/>
      </c>
    </row>
    <row r="1049" ht="19" customHeight="1">
      <c r="A1049" s="35" t="n">
        <v>45</v>
      </c>
      <c r="B1049" s="35" t="n">
        <v>4045</v>
      </c>
      <c r="C1049" s="36" t="inlineStr">
        <is>
          <t>0501725015</t>
        </is>
      </c>
      <c r="D1049" s="36" t="inlineStr">
        <is>
          <t>Region V (Bicol Region)</t>
        </is>
      </c>
      <c r="E1049" s="36" t="inlineStr">
        <is>
          <t>Camarines Sur</t>
        </is>
      </c>
      <c r="F1049" s="36" t="inlineStr">
        <is>
          <t>Ocampo</t>
        </is>
      </c>
      <c r="G1049" s="36" t="inlineStr">
        <is>
          <t>Poblacion East</t>
        </is>
      </c>
      <c r="H1049" s="37" t="n">
        <v>13.555708</v>
      </c>
      <c r="I1049" s="37" t="n">
        <v>123.376636</v>
      </c>
      <c r="J1049" s="8" t="inlineStr">
        <is>
          <t>R</t>
        </is>
      </c>
      <c r="K1049" s="36" t="inlineStr">
        <is>
          <t>Class 1-3 / Urban</t>
        </is>
      </c>
      <c r="L1049" s="18" t="n">
        <v>794</v>
      </c>
      <c r="M1049" s="20" t="n">
        <v>4.9</v>
      </c>
      <c r="N1049" s="18">
        <f>ROUND(L1049/M1049, 0)</f>
        <v/>
      </c>
      <c r="O1049" s="18">
        <f>ROUND(N1049*'Methodology &amp; Assumptions'!$B$8, 0)</f>
        <v/>
      </c>
      <c r="P1049" s="8" t="inlineStr">
        <is>
          <t>Band n50 (1.5 GHz, 60 MHz)</t>
        </is>
      </c>
      <c r="Q1049" s="38">
        <f>ROUNDUP(O1049/'Methodology &amp; Assumptions'!$B$9, 0)</f>
        <v/>
      </c>
      <c r="R1049" s="39" t="n">
        <v>1</v>
      </c>
      <c r="S1049" s="21" t="n">
        <v>0.09</v>
      </c>
      <c r="T1049" s="21" t="n">
        <v>0.26</v>
      </c>
      <c r="U1049" s="36" t="inlineStr">
        <is>
          <t>Tier 1A (Direct Coloc, &lt;1 km)</t>
        </is>
      </c>
      <c r="V1049" s="20" t="n">
        <v>100</v>
      </c>
      <c r="W1049" s="20" t="n">
        <v>37.1</v>
      </c>
      <c r="X1049" s="20" t="n">
        <v>58</v>
      </c>
      <c r="Y1049" s="40">
        <f>ROUND((V1049*'Methodology &amp; Assumptions'!$B$6)+(W1049*'Methodology &amp; Assumptions'!$B$5)+(X1049*'Methodology &amp; Assumptions'!$B$7), 2)</f>
        <v/>
      </c>
    </row>
    <row r="1050" ht="19" customHeight="1">
      <c r="A1050" s="41" t="n">
        <v>46</v>
      </c>
      <c r="B1050" s="41" t="n">
        <v>4046</v>
      </c>
      <c r="C1050" s="42" t="inlineStr">
        <is>
          <t>0102811021</t>
        </is>
      </c>
      <c r="D1050" s="42" t="inlineStr">
        <is>
          <t>Region I (Ilocos Region)</t>
        </is>
      </c>
      <c r="E1050" s="42" t="inlineStr">
        <is>
          <t>Ilocos Norte</t>
        </is>
      </c>
      <c r="F1050" s="42" t="inlineStr">
        <is>
          <t>Banna</t>
        </is>
      </c>
      <c r="G1050" s="42" t="inlineStr">
        <is>
          <t>Valenciano</t>
        </is>
      </c>
      <c r="H1050" s="43" t="n">
        <v>17.983062</v>
      </c>
      <c r="I1050" s="43" t="n">
        <v>120.656467</v>
      </c>
      <c r="J1050" s="44" t="inlineStr">
        <is>
          <t>R</t>
        </is>
      </c>
      <c r="K1050" s="42" t="inlineStr">
        <is>
          <t>1st</t>
        </is>
      </c>
      <c r="L1050" s="23" t="n">
        <v>694</v>
      </c>
      <c r="M1050" s="24" t="n">
        <v>4.28</v>
      </c>
      <c r="N1050" s="23">
        <f>ROUND(L1050/M1050, 0)</f>
        <v/>
      </c>
      <c r="O1050" s="23">
        <f>ROUND(N1050*'Methodology &amp; Assumptions'!$B$8, 0)</f>
        <v/>
      </c>
      <c r="P1050" s="44" t="inlineStr">
        <is>
          <t>Band n50 (1.5 GHz, 60 MHz)</t>
        </is>
      </c>
      <c r="Q1050" s="38">
        <f>ROUNDUP(O1050/'Methodology &amp; Assumptions'!$B$9, 0)</f>
        <v/>
      </c>
      <c r="R1050" s="39" t="n">
        <v>1</v>
      </c>
      <c r="S1050" s="25" t="n">
        <v>0.19</v>
      </c>
      <c r="T1050" s="25" t="n">
        <v>0.16</v>
      </c>
      <c r="U1050" s="42" t="inlineStr">
        <is>
          <t>Tier 1A (Direct Coloc, &lt;1 km)</t>
        </is>
      </c>
      <c r="V1050" s="24" t="n">
        <v>100</v>
      </c>
      <c r="W1050" s="24" t="n">
        <v>37.1</v>
      </c>
      <c r="X1050" s="24" t="n">
        <v>58</v>
      </c>
      <c r="Y1050" s="45">
        <f>ROUND((V1050*'Methodology &amp; Assumptions'!$B$6)+(W1050*'Methodology &amp; Assumptions'!$B$5)+(X1050*'Methodology &amp; Assumptions'!$B$7), 2)</f>
        <v/>
      </c>
    </row>
    <row r="1051" ht="19" customHeight="1">
      <c r="A1051" s="35" t="n">
        <v>47</v>
      </c>
      <c r="B1051" s="35" t="n">
        <v>4047</v>
      </c>
      <c r="C1051" s="36" t="inlineStr">
        <is>
          <t>1102319022</t>
        </is>
      </c>
      <c r="D1051" s="36" t="inlineStr">
        <is>
          <t>Region XI (Davao Region)</t>
        </is>
      </c>
      <c r="E1051" s="36" t="inlineStr">
        <is>
          <t>Davao del Norte</t>
        </is>
      </c>
      <c r="F1051" s="36" t="inlineStr">
        <is>
          <t>City of Tagum</t>
        </is>
      </c>
      <c r="G1051" s="36" t="inlineStr">
        <is>
          <t>Visayan Village</t>
        </is>
      </c>
      <c r="H1051" s="37" t="n">
        <v>7.432427</v>
      </c>
      <c r="I1051" s="37" t="n">
        <v>125.804095</v>
      </c>
      <c r="J1051" s="8" t="inlineStr">
        <is>
          <t>U</t>
        </is>
      </c>
      <c r="K1051" s="36" t="inlineStr">
        <is>
          <t>Class 1-3 / Urban</t>
        </is>
      </c>
      <c r="L1051" s="18" t="n">
        <v>42648</v>
      </c>
      <c r="M1051" s="20" t="n">
        <v>4.25</v>
      </c>
      <c r="N1051" s="18">
        <f>ROUND(L1051/M1051, 0)</f>
        <v/>
      </c>
      <c r="O1051" s="18">
        <f>ROUND(N1051*'Methodology &amp; Assumptions'!$B$8, 0)</f>
        <v/>
      </c>
      <c r="P1051" s="8" t="inlineStr">
        <is>
          <t>Band n50 (1.5 GHz, 60 MHz)</t>
        </is>
      </c>
      <c r="Q1051" s="38">
        <f>ROUNDUP(O1051/'Methodology &amp; Assumptions'!$B$9, 0)</f>
        <v/>
      </c>
      <c r="R1051" s="39" t="n">
        <v>1</v>
      </c>
      <c r="S1051" s="21" t="n">
        <v>1.77</v>
      </c>
      <c r="T1051" s="21" t="n">
        <v>0.64</v>
      </c>
      <c r="U1051" s="36" t="inlineStr">
        <is>
          <t>Tier 1B (Micro Drop, 1-3 km)</t>
        </is>
      </c>
      <c r="V1051" s="20" t="n">
        <v>65.40000000000001</v>
      </c>
      <c r="W1051" s="20" t="n">
        <v>97.40000000000001</v>
      </c>
      <c r="X1051" s="20" t="n">
        <v>28</v>
      </c>
      <c r="Y1051" s="40">
        <f>ROUND((V1051*'Methodology &amp; Assumptions'!$B$6)+(W1051*'Methodology &amp; Assumptions'!$B$5)+(X1051*'Methodology &amp; Assumptions'!$B$7), 2)</f>
        <v/>
      </c>
    </row>
    <row r="1052" ht="19" customHeight="1">
      <c r="A1052" s="41" t="n">
        <v>48</v>
      </c>
      <c r="B1052" s="41" t="n">
        <v>4048</v>
      </c>
      <c r="C1052" s="42" t="inlineStr">
        <is>
          <t>0403425019</t>
        </is>
      </c>
      <c r="D1052" s="42" t="inlineStr">
        <is>
          <t>Region IV-A (CALABARZON)</t>
        </is>
      </c>
      <c r="E1052" s="42" t="inlineStr">
        <is>
          <t>Laguna</t>
        </is>
      </c>
      <c r="F1052" s="42" t="inlineStr">
        <is>
          <t>City of San Pedro</t>
        </is>
      </c>
      <c r="G1052" s="42" t="inlineStr">
        <is>
          <t>United Better Living</t>
        </is>
      </c>
      <c r="H1052" s="43" t="n">
        <v>14.337537</v>
      </c>
      <c r="I1052" s="43" t="n">
        <v>121.023942</v>
      </c>
      <c r="J1052" s="44" t="inlineStr">
        <is>
          <t>U</t>
        </is>
      </c>
      <c r="K1052" s="42" t="inlineStr">
        <is>
          <t>Class 1-3 / Urban</t>
        </is>
      </c>
      <c r="L1052" s="23" t="n">
        <v>6204</v>
      </c>
      <c r="M1052" s="24" t="n">
        <v>4.2</v>
      </c>
      <c r="N1052" s="23">
        <f>ROUND(L1052/M1052, 0)</f>
        <v/>
      </c>
      <c r="O1052" s="23">
        <f>ROUND(N1052*'Methodology &amp; Assumptions'!$B$8, 0)</f>
        <v/>
      </c>
      <c r="P1052" s="44" t="inlineStr">
        <is>
          <t>Band n50 (1.5 GHz, 60 MHz)</t>
        </is>
      </c>
      <c r="Q1052" s="38">
        <f>ROUNDUP(O1052/'Methodology &amp; Assumptions'!$B$9, 0)</f>
        <v/>
      </c>
      <c r="R1052" s="39" t="n">
        <v>1</v>
      </c>
      <c r="S1052" s="25" t="n">
        <v>1.92</v>
      </c>
      <c r="T1052" s="25" t="n">
        <v>1.75</v>
      </c>
      <c r="U1052" s="42" t="inlineStr">
        <is>
          <t>Tier 1B (Micro Drop, 1-3 km)</t>
        </is>
      </c>
      <c r="V1052" s="24" t="n">
        <v>62.8</v>
      </c>
      <c r="W1052" s="24" t="n">
        <v>100</v>
      </c>
      <c r="X1052" s="24" t="n">
        <v>28</v>
      </c>
      <c r="Y1052" s="45">
        <f>ROUND((V1052*'Methodology &amp; Assumptions'!$B$6)+(W1052*'Methodology &amp; Assumptions'!$B$5)+(X1052*'Methodology &amp; Assumptions'!$B$7), 2)</f>
        <v/>
      </c>
    </row>
    <row r="1053" ht="19" customHeight="1">
      <c r="A1053" s="35" t="n">
        <v>49</v>
      </c>
      <c r="B1053" s="35" t="n">
        <v>4049</v>
      </c>
      <c r="C1053" s="36" t="inlineStr">
        <is>
          <t>1004303007</t>
        </is>
      </c>
      <c r="D1053" s="36" t="inlineStr">
        <is>
          <t>Region X (Northern Mindanao)</t>
        </is>
      </c>
      <c r="E1053" s="36" t="inlineStr">
        <is>
          <t>Misamis Oriental</t>
        </is>
      </c>
      <c r="F1053" s="36" t="inlineStr">
        <is>
          <t>Balingoan</t>
        </is>
      </c>
      <c r="G1053" s="36" t="inlineStr">
        <is>
          <t>Lapinig</t>
        </is>
      </c>
      <c r="H1053" s="37" t="n">
        <v>9.005623999999999</v>
      </c>
      <c r="I1053" s="37" t="n">
        <v>124.852184</v>
      </c>
      <c r="J1053" s="8" t="inlineStr">
        <is>
          <t>R</t>
        </is>
      </c>
      <c r="K1053" s="36" t="inlineStr">
        <is>
          <t>4th</t>
        </is>
      </c>
      <c r="L1053" s="18" t="n">
        <v>1417</v>
      </c>
      <c r="M1053" s="20" t="n">
        <v>4.76</v>
      </c>
      <c r="N1053" s="18">
        <f>ROUND(L1053/M1053, 0)</f>
        <v/>
      </c>
      <c r="O1053" s="18">
        <f>ROUND(N1053*'Methodology &amp; Assumptions'!$B$8, 0)</f>
        <v/>
      </c>
      <c r="P1053" s="8" t="inlineStr">
        <is>
          <t>Band n50 (1.5 GHz, 60 MHz)</t>
        </is>
      </c>
      <c r="Q1053" s="38">
        <f>ROUNDUP(O1053/'Methodology &amp; Assumptions'!$B$9, 0)</f>
        <v/>
      </c>
      <c r="R1053" s="39" t="n">
        <v>1</v>
      </c>
      <c r="S1053" s="21" t="n">
        <v>1.06</v>
      </c>
      <c r="T1053" s="21" t="n">
        <v>0.18</v>
      </c>
      <c r="U1053" s="36" t="inlineStr">
        <is>
          <t>Tier 1B (Micro Drop, 1-3 km)</t>
        </is>
      </c>
      <c r="V1053" s="20" t="n">
        <v>80.3</v>
      </c>
      <c r="W1053" s="20" t="n">
        <v>47.7</v>
      </c>
      <c r="X1053" s="20" t="n">
        <v>68.5</v>
      </c>
      <c r="Y1053" s="40">
        <f>ROUND((V1053*'Methodology &amp; Assumptions'!$B$6)+(W1053*'Methodology &amp; Assumptions'!$B$5)+(X1053*'Methodology &amp; Assumptions'!$B$7), 2)</f>
        <v/>
      </c>
    </row>
    <row r="1054" ht="19" customHeight="1">
      <c r="A1054" s="41" t="n">
        <v>50</v>
      </c>
      <c r="B1054" s="41" t="n">
        <v>4050</v>
      </c>
      <c r="C1054" s="42" t="inlineStr">
        <is>
          <t>0205702009</t>
        </is>
      </c>
      <c r="D1054" s="42" t="inlineStr">
        <is>
          <t>Region II (Cagayan Valley)</t>
        </is>
      </c>
      <c r="E1054" s="42" t="inlineStr">
        <is>
          <t>Quirino</t>
        </is>
      </c>
      <c r="F1054" s="42" t="inlineStr">
        <is>
          <t>Cabarroguis</t>
        </is>
      </c>
      <c r="G1054" s="42" t="inlineStr">
        <is>
          <t>San Marcos</t>
        </is>
      </c>
      <c r="H1054" s="43" t="n">
        <v>16.531063</v>
      </c>
      <c r="I1054" s="43" t="n">
        <v>121.520465</v>
      </c>
      <c r="J1054" s="44" t="inlineStr">
        <is>
          <t>R</t>
        </is>
      </c>
      <c r="K1054" s="42" t="inlineStr">
        <is>
          <t>Class 1-3 / Urban</t>
        </is>
      </c>
      <c r="L1054" s="23" t="n">
        <v>2869</v>
      </c>
      <c r="M1054" s="24" t="n">
        <v>4.03</v>
      </c>
      <c r="N1054" s="23">
        <f>ROUND(L1054/M1054, 0)</f>
        <v/>
      </c>
      <c r="O1054" s="23">
        <f>ROUND(N1054*'Methodology &amp; Assumptions'!$B$8, 0)</f>
        <v/>
      </c>
      <c r="P1054" s="44" t="inlineStr">
        <is>
          <t>Band n50 (1.5 GHz, 60 MHz)</t>
        </is>
      </c>
      <c r="Q1054" s="38">
        <f>ROUNDUP(O1054/'Methodology &amp; Assumptions'!$B$9, 0)</f>
        <v/>
      </c>
      <c r="R1054" s="39" t="n">
        <v>1</v>
      </c>
      <c r="S1054" s="25" t="n">
        <v>1.74</v>
      </c>
      <c r="T1054" s="25" t="n">
        <v>3.29</v>
      </c>
      <c r="U1054" s="42" t="inlineStr">
        <is>
          <t>Tier 1B (Micro Drop, 1-3 km)</t>
        </is>
      </c>
      <c r="V1054" s="24" t="n">
        <v>56</v>
      </c>
      <c r="W1054" s="24" t="n">
        <v>81.09999999999999</v>
      </c>
      <c r="X1054" s="24" t="n">
        <v>58</v>
      </c>
      <c r="Y1054" s="45">
        <f>ROUND((V1054*'Methodology &amp; Assumptions'!$B$6)+(W1054*'Methodology &amp; Assumptions'!$B$5)+(X1054*'Methodology &amp; Assumptions'!$B$7), 2)</f>
        <v/>
      </c>
    </row>
    <row r="1055" ht="19" customHeight="1">
      <c r="A1055" s="35" t="n">
        <v>51</v>
      </c>
      <c r="B1055" s="35" t="n">
        <v>4051</v>
      </c>
      <c r="C1055" s="36" t="inlineStr">
        <is>
          <t>0105522025</t>
        </is>
      </c>
      <c r="D1055" s="36" t="inlineStr">
        <is>
          <t>Region I (Ilocos Region)</t>
        </is>
      </c>
      <c r="E1055" s="36" t="inlineStr">
        <is>
          <t>Pangasinan</t>
        </is>
      </c>
      <c r="F1055" s="36" t="inlineStr">
        <is>
          <t>Lingayen</t>
        </is>
      </c>
      <c r="G1055" s="36" t="inlineStr">
        <is>
          <t>Namolan</t>
        </is>
      </c>
      <c r="H1055" s="37" t="n">
        <v>16.017149</v>
      </c>
      <c r="I1055" s="37" t="n">
        <v>120.248179</v>
      </c>
      <c r="J1055" s="8" t="inlineStr">
        <is>
          <t>R</t>
        </is>
      </c>
      <c r="K1055" s="36" t="inlineStr">
        <is>
          <t>Class 1-3 / Urban</t>
        </is>
      </c>
      <c r="L1055" s="18" t="n">
        <v>2627</v>
      </c>
      <c r="M1055" s="20" t="n">
        <v>4.39</v>
      </c>
      <c r="N1055" s="18">
        <f>ROUND(L1055/M1055, 0)</f>
        <v/>
      </c>
      <c r="O1055" s="18">
        <f>ROUND(N1055*'Methodology &amp; Assumptions'!$B$8, 0)</f>
        <v/>
      </c>
      <c r="P1055" s="8" t="inlineStr">
        <is>
          <t>Band n50 (1.5 GHz, 60 MHz)</t>
        </is>
      </c>
      <c r="Q1055" s="38">
        <f>ROUNDUP(O1055/'Methodology &amp; Assumptions'!$B$9, 0)</f>
        <v/>
      </c>
      <c r="R1055" s="39" t="n">
        <v>1</v>
      </c>
      <c r="S1055" s="21" t="n">
        <v>1.78</v>
      </c>
      <c r="T1055" s="21" t="n">
        <v>0.9399999999999999</v>
      </c>
      <c r="U1055" s="36" t="inlineStr">
        <is>
          <t>Tier 1B (Micro Drop, 1-3 km)</t>
        </is>
      </c>
      <c r="V1055" s="20" t="n">
        <v>65.3</v>
      </c>
      <c r="W1055" s="20" t="n">
        <v>71.7</v>
      </c>
      <c r="X1055" s="20" t="n">
        <v>58</v>
      </c>
      <c r="Y1055" s="40">
        <f>ROUND((V1055*'Methodology &amp; Assumptions'!$B$6)+(W1055*'Methodology &amp; Assumptions'!$B$5)+(X1055*'Methodology &amp; Assumptions'!$B$7), 2)</f>
        <v/>
      </c>
    </row>
    <row r="1056" ht="19" customHeight="1">
      <c r="A1056" s="41" t="n">
        <v>52</v>
      </c>
      <c r="B1056" s="41" t="n">
        <v>4052</v>
      </c>
      <c r="C1056" s="42" t="inlineStr">
        <is>
          <t>0831600094</t>
        </is>
      </c>
      <c r="D1056" s="42" t="inlineStr">
        <is>
          <t>Region VIII (Eastern Visayas)</t>
        </is>
      </c>
      <c r="E1056" s="42" t="inlineStr">
        <is>
          <t>Leyte</t>
        </is>
      </c>
      <c r="F1056" s="42" t="inlineStr">
        <is>
          <t>City of Tacloban</t>
        </is>
      </c>
      <c r="G1056" s="42" t="inlineStr">
        <is>
          <t>Barangay 64</t>
        </is>
      </c>
      <c r="H1056" s="43" t="n">
        <v>11.223491</v>
      </c>
      <c r="I1056" s="43" t="n">
        <v>125.003279</v>
      </c>
      <c r="J1056" s="44" t="inlineStr">
        <is>
          <t>R</t>
        </is>
      </c>
      <c r="K1056" s="42" t="inlineStr">
        <is>
          <t>Class 1-3 / Urban</t>
        </is>
      </c>
      <c r="L1056" s="23" t="n">
        <v>2135</v>
      </c>
      <c r="M1056" s="24" t="n">
        <v>4.24</v>
      </c>
      <c r="N1056" s="23">
        <f>ROUND(L1056/M1056, 0)</f>
        <v/>
      </c>
      <c r="O1056" s="23">
        <f>ROUND(N1056*'Methodology &amp; Assumptions'!$B$8, 0)</f>
        <v/>
      </c>
      <c r="P1056" s="44" t="inlineStr">
        <is>
          <t>Band n50 (1.5 GHz, 60 MHz)</t>
        </is>
      </c>
      <c r="Q1056" s="38">
        <f>ROUNDUP(O1056/'Methodology &amp; Assumptions'!$B$9, 0)</f>
        <v/>
      </c>
      <c r="R1056" s="39" t="n">
        <v>1</v>
      </c>
      <c r="S1056" s="25" t="n">
        <v>1.4</v>
      </c>
      <c r="T1056" s="25" t="n">
        <v>1.39</v>
      </c>
      <c r="U1056" s="42" t="inlineStr">
        <is>
          <t>Tier 1B (Micro Drop, 1-3 km)</t>
        </is>
      </c>
      <c r="V1056" s="24" t="n">
        <v>72.8</v>
      </c>
      <c r="W1056" s="24" t="n">
        <v>64.3</v>
      </c>
      <c r="X1056" s="24" t="n">
        <v>58</v>
      </c>
      <c r="Y1056" s="45">
        <f>ROUND((V1056*'Methodology &amp; Assumptions'!$B$6)+(W1056*'Methodology &amp; Assumptions'!$B$5)+(X1056*'Methodology &amp; Assumptions'!$B$7), 2)</f>
        <v/>
      </c>
    </row>
    <row r="1057" ht="19" customHeight="1">
      <c r="A1057" s="35" t="n">
        <v>53</v>
      </c>
      <c r="B1057" s="35" t="n">
        <v>4053</v>
      </c>
      <c r="C1057" s="36" t="inlineStr">
        <is>
          <t>0403411014</t>
        </is>
      </c>
      <c r="D1057" s="36" t="inlineStr">
        <is>
          <t>Region IV-A (CALABARZON)</t>
        </is>
      </c>
      <c r="E1057" s="36" t="inlineStr">
        <is>
          <t>Laguna</t>
        </is>
      </c>
      <c r="F1057" s="36" t="inlineStr">
        <is>
          <t>Los Baños</t>
        </is>
      </c>
      <c r="G1057" s="36" t="inlineStr">
        <is>
          <t>Timugan</t>
        </is>
      </c>
      <c r="H1057" s="37" t="n">
        <v>14.179407</v>
      </c>
      <c r="I1057" s="37" t="n">
        <v>121.224542</v>
      </c>
      <c r="J1057" s="8" t="inlineStr">
        <is>
          <t>U</t>
        </is>
      </c>
      <c r="K1057" s="36" t="inlineStr">
        <is>
          <t>Class 1-3 / Urban</t>
        </is>
      </c>
      <c r="L1057" s="18" t="n">
        <v>5848</v>
      </c>
      <c r="M1057" s="20" t="n">
        <v>4.2</v>
      </c>
      <c r="N1057" s="18">
        <f>ROUND(L1057/M1057, 0)</f>
        <v/>
      </c>
      <c r="O1057" s="18">
        <f>ROUND(N1057*'Methodology &amp; Assumptions'!$B$8, 0)</f>
        <v/>
      </c>
      <c r="P1057" s="8" t="inlineStr">
        <is>
          <t>Band n50 (1.5 GHz, 60 MHz)</t>
        </is>
      </c>
      <c r="Q1057" s="38">
        <f>ROUNDUP(O1057/'Methodology &amp; Assumptions'!$B$9, 0)</f>
        <v/>
      </c>
      <c r="R1057" s="39" t="n">
        <v>1</v>
      </c>
      <c r="S1057" s="21" t="n">
        <v>1.92</v>
      </c>
      <c r="T1057" s="21" t="n">
        <v>0.01</v>
      </c>
      <c r="U1057" s="36" t="inlineStr">
        <is>
          <t>Tier 1B (Micro Drop, 1-3 km)</t>
        </is>
      </c>
      <c r="V1057" s="20" t="n">
        <v>62.7</v>
      </c>
      <c r="W1057" s="20" t="n">
        <v>100</v>
      </c>
      <c r="X1057" s="20" t="n">
        <v>28</v>
      </c>
      <c r="Y1057" s="40">
        <f>ROUND((V1057*'Methodology &amp; Assumptions'!$B$6)+(W1057*'Methodology &amp; Assumptions'!$B$5)+(X1057*'Methodology &amp; Assumptions'!$B$7), 2)</f>
        <v/>
      </c>
    </row>
    <row r="1058" ht="19" customHeight="1">
      <c r="A1058" s="41" t="n">
        <v>54</v>
      </c>
      <c r="B1058" s="41" t="n">
        <v>4054</v>
      </c>
      <c r="C1058" s="42" t="inlineStr">
        <is>
          <t>1630400012</t>
        </is>
      </c>
      <c r="D1058" s="42" t="inlineStr">
        <is>
          <t>Region XIII (Caraga)</t>
        </is>
      </c>
      <c r="E1058" s="42" t="inlineStr">
        <is>
          <t>Agusan del Norte</t>
        </is>
      </c>
      <c r="F1058" s="42" t="inlineStr">
        <is>
          <t>City of Butuan</t>
        </is>
      </c>
      <c r="G1058" s="42" t="inlineStr">
        <is>
          <t>Baan KM 3</t>
        </is>
      </c>
      <c r="H1058" s="43" t="n">
        <v>8.949093</v>
      </c>
      <c r="I1058" s="43" t="n">
        <v>125.578111</v>
      </c>
      <c r="J1058" s="44" t="inlineStr">
        <is>
          <t>U</t>
        </is>
      </c>
      <c r="K1058" s="42" t="inlineStr">
        <is>
          <t>Class 1-3 / Urban</t>
        </is>
      </c>
      <c r="L1058" s="23" t="n">
        <v>14539</v>
      </c>
      <c r="M1058" s="24" t="n">
        <v>4.63</v>
      </c>
      <c r="N1058" s="23">
        <f>ROUND(L1058/M1058, 0)</f>
        <v/>
      </c>
      <c r="O1058" s="23">
        <f>ROUND(N1058*'Methodology &amp; Assumptions'!$B$8, 0)</f>
        <v/>
      </c>
      <c r="P1058" s="44" t="inlineStr">
        <is>
          <t>Band n50 (1.5 GHz, 60 MHz)</t>
        </is>
      </c>
      <c r="Q1058" s="38">
        <f>ROUNDUP(O1058/'Methodology &amp; Assumptions'!$B$9, 0)</f>
        <v/>
      </c>
      <c r="R1058" s="39" t="n">
        <v>1</v>
      </c>
      <c r="S1058" s="25" t="n">
        <v>2.76</v>
      </c>
      <c r="T1058" s="25" t="n">
        <v>0.65</v>
      </c>
      <c r="U1058" s="42" t="inlineStr">
        <is>
          <t>Tier 1B (Micro Drop, 1-3 km)</t>
        </is>
      </c>
      <c r="V1058" s="24" t="n">
        <v>49.9</v>
      </c>
      <c r="W1058" s="24" t="n">
        <v>100</v>
      </c>
      <c r="X1058" s="24" t="n">
        <v>43</v>
      </c>
      <c r="Y1058" s="45">
        <f>ROUND((V1058*'Methodology &amp; Assumptions'!$B$6)+(W1058*'Methodology &amp; Assumptions'!$B$5)+(X1058*'Methodology &amp; Assumptions'!$B$7), 2)</f>
        <v/>
      </c>
    </row>
    <row r="1059" ht="19" customHeight="1">
      <c r="A1059" s="35" t="n">
        <v>55</v>
      </c>
      <c r="B1059" s="35" t="n">
        <v>4055</v>
      </c>
      <c r="C1059" s="36" t="inlineStr">
        <is>
          <t>0731300008</t>
        </is>
      </c>
      <c r="D1059" s="36" t="inlineStr">
        <is>
          <t>Region VII (Central Visayas)</t>
        </is>
      </c>
      <c r="E1059" s="36" t="inlineStr">
        <is>
          <t>Cebu</t>
        </is>
      </c>
      <c r="F1059" s="36" t="inlineStr">
        <is>
          <t>City of Mandaue</t>
        </is>
      </c>
      <c r="G1059" s="36" t="inlineStr">
        <is>
          <t>Casili</t>
        </is>
      </c>
      <c r="H1059" s="37" t="n">
        <v>10.379541</v>
      </c>
      <c r="I1059" s="37" t="n">
        <v>123.933898</v>
      </c>
      <c r="J1059" s="8" t="inlineStr">
        <is>
          <t>U</t>
        </is>
      </c>
      <c r="K1059" s="36" t="inlineStr">
        <is>
          <t>Class 1-3 / Urban</t>
        </is>
      </c>
      <c r="L1059" s="18" t="n">
        <v>5403</v>
      </c>
      <c r="M1059" s="20" t="n">
        <v>4.42</v>
      </c>
      <c r="N1059" s="18">
        <f>ROUND(L1059/M1059, 0)</f>
        <v/>
      </c>
      <c r="O1059" s="18">
        <f>ROUND(N1059*'Methodology &amp; Assumptions'!$B$8, 0)</f>
        <v/>
      </c>
      <c r="P1059" s="8" t="inlineStr">
        <is>
          <t>Band n50 (1.5 GHz, 60 MHz)</t>
        </is>
      </c>
      <c r="Q1059" s="38">
        <f>ROUNDUP(O1059/'Methodology &amp; Assumptions'!$B$9, 0)</f>
        <v/>
      </c>
      <c r="R1059" s="39" t="n">
        <v>1</v>
      </c>
      <c r="S1059" s="21" t="n">
        <v>1.92</v>
      </c>
      <c r="T1059" s="21" t="n">
        <v>0.32</v>
      </c>
      <c r="U1059" s="36" t="inlineStr">
        <is>
          <t>Tier 1B (Micro Drop, 1-3 km)</t>
        </is>
      </c>
      <c r="V1059" s="20" t="n">
        <v>62.7</v>
      </c>
      <c r="W1059" s="20" t="n">
        <v>100</v>
      </c>
      <c r="X1059" s="20" t="n">
        <v>28</v>
      </c>
      <c r="Y1059" s="40">
        <f>ROUND((V1059*'Methodology &amp; Assumptions'!$B$6)+(W1059*'Methodology &amp; Assumptions'!$B$5)+(X1059*'Methodology &amp; Assumptions'!$B$7), 2)</f>
        <v/>
      </c>
    </row>
    <row r="1060" ht="19" customHeight="1">
      <c r="A1060" s="41" t="n">
        <v>56</v>
      </c>
      <c r="B1060" s="41" t="n">
        <v>4056</v>
      </c>
      <c r="C1060" s="42" t="inlineStr">
        <is>
          <t>0301407020</t>
        </is>
      </c>
      <c r="D1060" s="42" t="inlineStr">
        <is>
          <t>Region III (Central Luzon)</t>
        </is>
      </c>
      <c r="E1060" s="42" t="inlineStr">
        <is>
          <t>Bulacan</t>
        </is>
      </c>
      <c r="F1060" s="42" t="inlineStr">
        <is>
          <t>Calumpit</t>
        </is>
      </c>
      <c r="G1060" s="42" t="inlineStr">
        <is>
          <t>Pio Cruzcosa</t>
        </is>
      </c>
      <c r="H1060" s="43" t="n">
        <v>14.894033</v>
      </c>
      <c r="I1060" s="43" t="n">
        <v>120.780323</v>
      </c>
      <c r="J1060" s="44" t="inlineStr">
        <is>
          <t>U</t>
        </is>
      </c>
      <c r="K1060" s="42" t="inlineStr">
        <is>
          <t>Class 1-3 / Urban</t>
        </is>
      </c>
      <c r="L1060" s="23" t="n">
        <v>4663</v>
      </c>
      <c r="M1060" s="24" t="n">
        <v>4.1</v>
      </c>
      <c r="N1060" s="23">
        <f>ROUND(L1060/M1060, 0)</f>
        <v/>
      </c>
      <c r="O1060" s="23">
        <f>ROUND(N1060*'Methodology &amp; Assumptions'!$B$8, 0)</f>
        <v/>
      </c>
      <c r="P1060" s="44" t="inlineStr">
        <is>
          <t>Band n50 (1.5 GHz, 60 MHz)</t>
        </is>
      </c>
      <c r="Q1060" s="38">
        <f>ROUNDUP(O1060/'Methodology &amp; Assumptions'!$B$9, 0)</f>
        <v/>
      </c>
      <c r="R1060" s="39" t="n">
        <v>1</v>
      </c>
      <c r="S1060" s="25" t="n">
        <v>1.92</v>
      </c>
      <c r="T1060" s="25" t="n">
        <v>0.14</v>
      </c>
      <c r="U1060" s="42" t="inlineStr">
        <is>
          <t>Tier 1B (Micro Drop, 1-3 km)</t>
        </is>
      </c>
      <c r="V1060" s="24" t="n">
        <v>62.7</v>
      </c>
      <c r="W1060" s="24" t="n">
        <v>100</v>
      </c>
      <c r="X1060" s="24" t="n">
        <v>28</v>
      </c>
      <c r="Y1060" s="45">
        <f>ROUND((V1060*'Methodology &amp; Assumptions'!$B$6)+(W1060*'Methodology &amp; Assumptions'!$B$5)+(X1060*'Methodology &amp; Assumptions'!$B$7), 2)</f>
        <v/>
      </c>
    </row>
    <row r="1061" ht="19" customHeight="1">
      <c r="A1061" s="35" t="n">
        <v>57</v>
      </c>
      <c r="B1061" s="35" t="n">
        <v>4057</v>
      </c>
      <c r="C1061" s="36" t="inlineStr">
        <is>
          <t>1903617083</t>
        </is>
      </c>
      <c r="D1061" s="36" t="inlineStr">
        <is>
          <t>Bangsamoro Autonomous Region In Muslim Mindanao (BARMM)</t>
        </is>
      </c>
      <c r="E1061" s="36" t="inlineStr">
        <is>
          <t>Lanao del Sur</t>
        </is>
      </c>
      <c r="F1061" s="36" t="inlineStr">
        <is>
          <t>City of Marawi</t>
        </is>
      </c>
      <c r="G1061" s="36" t="inlineStr">
        <is>
          <t>Navarro</t>
        </is>
      </c>
      <c r="H1061" s="37" t="n">
        <v>8.006</v>
      </c>
      <c r="I1061" s="37" t="n">
        <v>124.2837</v>
      </c>
      <c r="J1061" s="8" t="inlineStr">
        <is>
          <t>R</t>
        </is>
      </c>
      <c r="K1061" s="36" t="inlineStr">
        <is>
          <t>Class 1-3 / Urban</t>
        </is>
      </c>
      <c r="L1061" s="18" t="n">
        <v>3985</v>
      </c>
      <c r="M1061" s="20" t="n">
        <v>6.62</v>
      </c>
      <c r="N1061" s="18">
        <f>ROUND(L1061/M1061, 0)</f>
        <v/>
      </c>
      <c r="O1061" s="18">
        <f>ROUND(N1061*'Methodology &amp; Assumptions'!$B$8, 0)</f>
        <v/>
      </c>
      <c r="P1061" s="8" t="inlineStr">
        <is>
          <t>Band n50 (1.5 GHz, 60 MHz)</t>
        </is>
      </c>
      <c r="Q1061" s="38">
        <f>ROUNDUP(O1061/'Methodology &amp; Assumptions'!$B$9, 0)</f>
        <v/>
      </c>
      <c r="R1061" s="39" t="n">
        <v>1</v>
      </c>
      <c r="S1061" s="21" t="n">
        <v>1.13</v>
      </c>
      <c r="T1061" s="21" t="n">
        <v>0.9</v>
      </c>
      <c r="U1061" s="36" t="inlineStr">
        <is>
          <t>Tier 1B (Micro Drop, 1-3 km)</t>
        </is>
      </c>
      <c r="V1061" s="20" t="n">
        <v>78.7</v>
      </c>
      <c r="W1061" s="20" t="n">
        <v>58.3</v>
      </c>
      <c r="X1061" s="20" t="n">
        <v>58</v>
      </c>
      <c r="Y1061" s="40">
        <f>ROUND((V1061*'Methodology &amp; Assumptions'!$B$6)+(W1061*'Methodology &amp; Assumptions'!$B$5)+(X1061*'Methodology &amp; Assumptions'!$B$7), 2)</f>
        <v/>
      </c>
    </row>
    <row r="1062" ht="19" customHeight="1">
      <c r="A1062" s="41" t="n">
        <v>58</v>
      </c>
      <c r="B1062" s="41" t="n">
        <v>4058</v>
      </c>
      <c r="C1062" s="42" t="inlineStr">
        <is>
          <t>0806407041</t>
        </is>
      </c>
      <c r="D1062" s="42" t="inlineStr">
        <is>
          <t>Region VIII (Eastern Visayas)</t>
        </is>
      </c>
      <c r="E1062" s="42" t="inlineStr">
        <is>
          <t>Southern Leyte</t>
        </is>
      </c>
      <c r="F1062" s="42" t="inlineStr">
        <is>
          <t>City of Maasin</t>
        </is>
      </c>
      <c r="G1062" s="42" t="inlineStr">
        <is>
          <t>Maria Clara</t>
        </is>
      </c>
      <c r="H1062" s="43" t="n">
        <v>10.121533</v>
      </c>
      <c r="I1062" s="43" t="n">
        <v>124.889876</v>
      </c>
      <c r="J1062" s="44" t="inlineStr">
        <is>
          <t>R</t>
        </is>
      </c>
      <c r="K1062" s="42" t="inlineStr">
        <is>
          <t>Class 1-3 / Urban</t>
        </is>
      </c>
      <c r="L1062" s="23" t="n">
        <v>2406</v>
      </c>
      <c r="M1062" s="24" t="n">
        <v>4.53</v>
      </c>
      <c r="N1062" s="23">
        <f>ROUND(L1062/M1062, 0)</f>
        <v/>
      </c>
      <c r="O1062" s="23">
        <f>ROUND(N1062*'Methodology &amp; Assumptions'!$B$8, 0)</f>
        <v/>
      </c>
      <c r="P1062" s="44" t="inlineStr">
        <is>
          <t>Band n50 (1.5 GHz, 60 MHz)</t>
        </is>
      </c>
      <c r="Q1062" s="38">
        <f>ROUNDUP(O1062/'Methodology &amp; Assumptions'!$B$9, 0)</f>
        <v/>
      </c>
      <c r="R1062" s="39" t="n">
        <v>1</v>
      </c>
      <c r="S1062" s="25" t="n">
        <v>1.5</v>
      </c>
      <c r="T1062" s="25" t="n">
        <v>0.03</v>
      </c>
      <c r="U1062" s="42" t="inlineStr">
        <is>
          <t>Tier 1B (Micro Drop, 1-3 km)</t>
        </is>
      </c>
      <c r="V1062" s="24" t="n">
        <v>70.59999999999999</v>
      </c>
      <c r="W1062" s="24" t="n">
        <v>66.40000000000001</v>
      </c>
      <c r="X1062" s="24" t="n">
        <v>58</v>
      </c>
      <c r="Y1062" s="45">
        <f>ROUND((V1062*'Methodology &amp; Assumptions'!$B$6)+(W1062*'Methodology &amp; Assumptions'!$B$5)+(X1062*'Methodology &amp; Assumptions'!$B$7), 2)</f>
        <v/>
      </c>
    </row>
    <row r="1063" ht="19" customHeight="1">
      <c r="A1063" s="35" t="n">
        <v>59</v>
      </c>
      <c r="B1063" s="35" t="n">
        <v>4059</v>
      </c>
      <c r="C1063" s="36" t="inlineStr">
        <is>
          <t>0102908004</t>
        </is>
      </c>
      <c r="D1063" s="36" t="inlineStr">
        <is>
          <t>Region I (Ilocos Region)</t>
        </is>
      </c>
      <c r="E1063" s="36" t="inlineStr">
        <is>
          <t>Ilocos Sur</t>
        </is>
      </c>
      <c r="F1063" s="36" t="inlineStr">
        <is>
          <t>Cervantes</t>
        </is>
      </c>
      <c r="G1063" s="36" t="inlineStr">
        <is>
          <t>Concepcion</t>
        </is>
      </c>
      <c r="H1063" s="37" t="n">
        <v>16.995781</v>
      </c>
      <c r="I1063" s="37" t="n">
        <v>120.732416</v>
      </c>
      <c r="J1063" s="8" t="inlineStr">
        <is>
          <t>R</t>
        </is>
      </c>
      <c r="K1063" s="36" t="inlineStr">
        <is>
          <t>1st</t>
        </is>
      </c>
      <c r="L1063" s="18" t="n">
        <v>2041</v>
      </c>
      <c r="M1063" s="20" t="n">
        <v>4.65</v>
      </c>
      <c r="N1063" s="18">
        <f>ROUND(L1063/M1063, 0)</f>
        <v/>
      </c>
      <c r="O1063" s="18">
        <f>ROUND(N1063*'Methodology &amp; Assumptions'!$B$8, 0)</f>
        <v/>
      </c>
      <c r="P1063" s="8" t="inlineStr">
        <is>
          <t>Band n50 (1.5 GHz, 60 MHz)</t>
        </is>
      </c>
      <c r="Q1063" s="38">
        <f>ROUNDUP(O1063/'Methodology &amp; Assumptions'!$B$9, 0)</f>
        <v/>
      </c>
      <c r="R1063" s="39" t="n">
        <v>1</v>
      </c>
      <c r="S1063" s="21" t="n">
        <v>1.17</v>
      </c>
      <c r="T1063" s="21" t="n">
        <v>0.2</v>
      </c>
      <c r="U1063" s="36" t="inlineStr">
        <is>
          <t>Tier 1B (Micro Drop, 1-3 km)</t>
        </is>
      </c>
      <c r="V1063" s="20" t="n">
        <v>77.8</v>
      </c>
      <c r="W1063" s="20" t="n">
        <v>59.2</v>
      </c>
      <c r="X1063" s="20" t="n">
        <v>58</v>
      </c>
      <c r="Y1063" s="40">
        <f>ROUND((V1063*'Methodology &amp; Assumptions'!$B$6)+(W1063*'Methodology &amp; Assumptions'!$B$5)+(X1063*'Methodology &amp; Assumptions'!$B$7), 2)</f>
        <v/>
      </c>
    </row>
    <row r="1064" ht="19" customHeight="1">
      <c r="A1064" s="41" t="n">
        <v>60</v>
      </c>
      <c r="B1064" s="41" t="n">
        <v>4060</v>
      </c>
      <c r="C1064" s="42" t="inlineStr">
        <is>
          <t>0105524003</t>
        </is>
      </c>
      <c r="D1064" s="42" t="inlineStr">
        <is>
          <t>Region I (Ilocos Region)</t>
        </is>
      </c>
      <c r="E1064" s="42" t="inlineStr">
        <is>
          <t>Pangasinan</t>
        </is>
      </c>
      <c r="F1064" s="42" t="inlineStr">
        <is>
          <t>Malasiqui</t>
        </is>
      </c>
      <c r="G1064" s="42" t="inlineStr">
        <is>
          <t>Alacan</t>
        </is>
      </c>
      <c r="H1064" s="43" t="n">
        <v>15.910755</v>
      </c>
      <c r="I1064" s="43" t="n">
        <v>120.406749</v>
      </c>
      <c r="J1064" s="44" t="inlineStr">
        <is>
          <t>R</t>
        </is>
      </c>
      <c r="K1064" s="42" t="inlineStr">
        <is>
          <t>Class 1-3 / Urban</t>
        </is>
      </c>
      <c r="L1064" s="23" t="n">
        <v>2013</v>
      </c>
      <c r="M1064" s="24" t="n">
        <v>4.39</v>
      </c>
      <c r="N1064" s="23">
        <f>ROUND(L1064/M1064, 0)</f>
        <v/>
      </c>
      <c r="O1064" s="23">
        <f>ROUND(N1064*'Methodology &amp; Assumptions'!$B$8, 0)</f>
        <v/>
      </c>
      <c r="P1064" s="44" t="inlineStr">
        <is>
          <t>Band n50 (1.5 GHz, 60 MHz)</t>
        </is>
      </c>
      <c r="Q1064" s="38">
        <f>ROUNDUP(O1064/'Methodology &amp; Assumptions'!$B$9, 0)</f>
        <v/>
      </c>
      <c r="R1064" s="39" t="n">
        <v>1</v>
      </c>
      <c r="S1064" s="25" t="n">
        <v>1.24</v>
      </c>
      <c r="T1064" s="25" t="n">
        <v>0.99</v>
      </c>
      <c r="U1064" s="42" t="inlineStr">
        <is>
          <t>Tier 1B (Micro Drop, 1-3 km)</t>
        </is>
      </c>
      <c r="V1064" s="24" t="n">
        <v>76.2</v>
      </c>
      <c r="W1064" s="24" t="n">
        <v>60.8</v>
      </c>
      <c r="X1064" s="24" t="n">
        <v>58</v>
      </c>
      <c r="Y1064" s="45">
        <f>ROUND((V1064*'Methodology &amp; Assumptions'!$B$6)+(W1064*'Methodology &amp; Assumptions'!$B$5)+(X1064*'Methodology &amp; Assumptions'!$B$7), 2)</f>
        <v/>
      </c>
    </row>
    <row r="1065" ht="19" customHeight="1">
      <c r="A1065" s="35" t="n">
        <v>61</v>
      </c>
      <c r="B1065" s="35" t="n">
        <v>4061</v>
      </c>
      <c r="C1065" s="36" t="inlineStr">
        <is>
          <t>0803738086</t>
        </is>
      </c>
      <c r="D1065" s="36" t="inlineStr">
        <is>
          <t>Region VIII (Eastern Visayas)</t>
        </is>
      </c>
      <c r="E1065" s="36" t="inlineStr">
        <is>
          <t>Leyte</t>
        </is>
      </c>
      <c r="F1065" s="36" t="inlineStr">
        <is>
          <t>Ormoc City</t>
        </is>
      </c>
      <c r="G1065" s="36" t="inlineStr">
        <is>
          <t>San Vicente</t>
        </is>
      </c>
      <c r="H1065" s="37" t="n">
        <v>11.051301</v>
      </c>
      <c r="I1065" s="37" t="n">
        <v>124.521198</v>
      </c>
      <c r="J1065" s="8" t="inlineStr">
        <is>
          <t>R</t>
        </is>
      </c>
      <c r="K1065" s="36" t="inlineStr">
        <is>
          <t>Class 1-3 / Urban</t>
        </is>
      </c>
      <c r="L1065" s="18" t="n">
        <v>1977</v>
      </c>
      <c r="M1065" s="20" t="n">
        <v>4.24</v>
      </c>
      <c r="N1065" s="18">
        <f>ROUND(L1065/M1065, 0)</f>
        <v/>
      </c>
      <c r="O1065" s="18">
        <f>ROUND(N1065*'Methodology &amp; Assumptions'!$B$8, 0)</f>
        <v/>
      </c>
      <c r="P1065" s="8" t="inlineStr">
        <is>
          <t>Band n50 (1.5 GHz, 60 MHz)</t>
        </is>
      </c>
      <c r="Q1065" s="38">
        <f>ROUNDUP(O1065/'Methodology &amp; Assumptions'!$B$9, 0)</f>
        <v/>
      </c>
      <c r="R1065" s="39" t="n">
        <v>1</v>
      </c>
      <c r="S1065" s="21" t="n">
        <v>1.26</v>
      </c>
      <c r="T1065" s="21" t="n">
        <v>1.78</v>
      </c>
      <c r="U1065" s="36" t="inlineStr">
        <is>
          <t>Tier 1B (Micro Drop, 1-3 km)</t>
        </is>
      </c>
      <c r="V1065" s="20" t="n">
        <v>75.59999999999999</v>
      </c>
      <c r="W1065" s="20" t="n">
        <v>61.3</v>
      </c>
      <c r="X1065" s="20" t="n">
        <v>58</v>
      </c>
      <c r="Y1065" s="40">
        <f>ROUND((V1065*'Methodology &amp; Assumptions'!$B$6)+(W1065*'Methodology &amp; Assumptions'!$B$5)+(X1065*'Methodology &amp; Assumptions'!$B$7), 2)</f>
        <v/>
      </c>
    </row>
    <row r="1066" ht="19" customHeight="1">
      <c r="A1066" s="41" t="n">
        <v>62</v>
      </c>
      <c r="B1066" s="41" t="n">
        <v>4062</v>
      </c>
      <c r="C1066" s="42" t="inlineStr">
        <is>
          <t>0500517004</t>
        </is>
      </c>
      <c r="D1066" s="42" t="inlineStr">
        <is>
          <t>Region V (Bicol Region)</t>
        </is>
      </c>
      <c r="E1066" s="42" t="inlineStr">
        <is>
          <t>Albay</t>
        </is>
      </c>
      <c r="F1066" s="42" t="inlineStr">
        <is>
          <t>City of Tabaco</t>
        </is>
      </c>
      <c r="G1066" s="42" t="inlineStr">
        <is>
          <t>Bantayan</t>
        </is>
      </c>
      <c r="H1066" s="43" t="n">
        <v>13.335438</v>
      </c>
      <c r="I1066" s="43" t="n">
        <v>123.656406</v>
      </c>
      <c r="J1066" s="44" t="inlineStr">
        <is>
          <t>R</t>
        </is>
      </c>
      <c r="K1066" s="42" t="inlineStr">
        <is>
          <t>Class 1-3 / Urban</t>
        </is>
      </c>
      <c r="L1066" s="23" t="n">
        <v>1632</v>
      </c>
      <c r="M1066" s="24" t="n">
        <v>4.67</v>
      </c>
      <c r="N1066" s="23">
        <f>ROUND(L1066/M1066, 0)</f>
        <v/>
      </c>
      <c r="O1066" s="23">
        <f>ROUND(N1066*'Methodology &amp; Assumptions'!$B$8, 0)</f>
        <v/>
      </c>
      <c r="P1066" s="44" t="inlineStr">
        <is>
          <t>Band n50 (1.5 GHz, 60 MHz)</t>
        </is>
      </c>
      <c r="Q1066" s="38">
        <f>ROUNDUP(O1066/'Methodology &amp; Assumptions'!$B$9, 0)</f>
        <v/>
      </c>
      <c r="R1066" s="39" t="n">
        <v>1</v>
      </c>
      <c r="S1066" s="25" t="n">
        <v>0.86</v>
      </c>
      <c r="T1066" s="25" t="n">
        <v>0.34</v>
      </c>
      <c r="U1066" s="42" t="inlineStr">
        <is>
          <t>Tier 1A (Direct Coloc, &lt;1 km)</t>
        </is>
      </c>
      <c r="V1066" s="24" t="n">
        <v>85</v>
      </c>
      <c r="W1066" s="24" t="n">
        <v>52</v>
      </c>
      <c r="X1066" s="24" t="n">
        <v>58</v>
      </c>
      <c r="Y1066" s="45">
        <f>ROUND((V1066*'Methodology &amp; Assumptions'!$B$6)+(W1066*'Methodology &amp; Assumptions'!$B$5)+(X1066*'Methodology &amp; Assumptions'!$B$7), 2)</f>
        <v/>
      </c>
    </row>
    <row r="1067" ht="19" customHeight="1">
      <c r="A1067" s="35" t="n">
        <v>63</v>
      </c>
      <c r="B1067" s="35" t="n">
        <v>4063</v>
      </c>
      <c r="C1067" s="36" t="inlineStr">
        <is>
          <t>0402114011</t>
        </is>
      </c>
      <c r="D1067" s="36" t="inlineStr">
        <is>
          <t>Region IV-A (CALABARZON)</t>
        </is>
      </c>
      <c r="E1067" s="36" t="inlineStr">
        <is>
          <t>Cavite</t>
        </is>
      </c>
      <c r="F1067" s="36" t="inlineStr">
        <is>
          <t>Mendez</t>
        </is>
      </c>
      <c r="G1067" s="36" t="inlineStr">
        <is>
          <t>Poblacion V</t>
        </is>
      </c>
      <c r="H1067" s="37" t="n">
        <v>14.135962</v>
      </c>
      <c r="I1067" s="37" t="n">
        <v>120.8554</v>
      </c>
      <c r="J1067" s="8" t="inlineStr">
        <is>
          <t>R</t>
        </is>
      </c>
      <c r="K1067" s="36" t="inlineStr">
        <is>
          <t>2nd</t>
        </is>
      </c>
      <c r="L1067" s="18" t="n">
        <v>893</v>
      </c>
      <c r="M1067" s="20" t="n">
        <v>4.37</v>
      </c>
      <c r="N1067" s="18">
        <f>ROUND(L1067/M1067, 0)</f>
        <v/>
      </c>
      <c r="O1067" s="18">
        <f>ROUND(N1067*'Methodology &amp; Assumptions'!$B$8, 0)</f>
        <v/>
      </c>
      <c r="P1067" s="8" t="inlineStr">
        <is>
          <t>Band n50 (1.5 GHz, 60 MHz)</t>
        </is>
      </c>
      <c r="Q1067" s="38">
        <f>ROUNDUP(O1067/'Methodology &amp; Assumptions'!$B$9, 0)</f>
        <v/>
      </c>
      <c r="R1067" s="39" t="n">
        <v>1</v>
      </c>
      <c r="S1067" s="21" t="n">
        <v>0.1</v>
      </c>
      <c r="T1067" s="21" t="n">
        <v>5.57</v>
      </c>
      <c r="U1067" s="36" t="inlineStr">
        <is>
          <t>Tier 1A (Direct Coloc, &lt;1 km)</t>
        </is>
      </c>
      <c r="V1067" s="20" t="n">
        <v>96.7</v>
      </c>
      <c r="W1067" s="20" t="n">
        <v>40.3</v>
      </c>
      <c r="X1067" s="20" t="n">
        <v>58</v>
      </c>
      <c r="Y1067" s="40">
        <f>ROUND((V1067*'Methodology &amp; Assumptions'!$B$6)+(W1067*'Methodology &amp; Assumptions'!$B$5)+(X1067*'Methodology &amp; Assumptions'!$B$7), 2)</f>
        <v/>
      </c>
    </row>
    <row r="1068" ht="19" customHeight="1">
      <c r="A1068" s="41" t="n">
        <v>64</v>
      </c>
      <c r="B1068" s="41" t="n">
        <v>4064</v>
      </c>
      <c r="C1068" s="42" t="inlineStr">
        <is>
          <t>0305409027</t>
        </is>
      </c>
      <c r="D1068" s="42" t="inlineStr">
        <is>
          <t>Region III (Central Luzon)</t>
        </is>
      </c>
      <c r="E1068" s="42" t="inlineStr">
        <is>
          <t>Pampanga</t>
        </is>
      </c>
      <c r="F1068" s="42" t="inlineStr">
        <is>
          <t>Mabalacat City</t>
        </is>
      </c>
      <c r="G1068" s="42" t="inlineStr">
        <is>
          <t>Sapang Biabas</t>
        </is>
      </c>
      <c r="H1068" s="43" t="n">
        <v>15.196375</v>
      </c>
      <c r="I1068" s="43" t="n">
        <v>120.599901</v>
      </c>
      <c r="J1068" s="44" t="inlineStr">
        <is>
          <t>U</t>
        </is>
      </c>
      <c r="K1068" s="42" t="inlineStr">
        <is>
          <t>Class 1-3 / Urban</t>
        </is>
      </c>
      <c r="L1068" s="23" t="n">
        <v>29096</v>
      </c>
      <c r="M1068" s="24" t="n">
        <v>4.63</v>
      </c>
      <c r="N1068" s="23">
        <f>ROUND(L1068/M1068, 0)</f>
        <v/>
      </c>
      <c r="O1068" s="23">
        <f>ROUND(N1068*'Methodology &amp; Assumptions'!$B$8, 0)</f>
        <v/>
      </c>
      <c r="P1068" s="44" t="inlineStr">
        <is>
          <t>Band n50 (1.5 GHz, 60 MHz)</t>
        </is>
      </c>
      <c r="Q1068" s="38">
        <f>ROUNDUP(O1068/'Methodology &amp; Assumptions'!$B$9, 0)</f>
        <v/>
      </c>
      <c r="R1068" s="39" t="n">
        <v>1</v>
      </c>
      <c r="S1068" s="25" t="n">
        <v>1.92</v>
      </c>
      <c r="T1068" s="25" t="n">
        <v>1.22</v>
      </c>
      <c r="U1068" s="42" t="inlineStr">
        <is>
          <t>Tier 1B (Micro Drop, 1-3 km)</t>
        </is>
      </c>
      <c r="V1068" s="24" t="n">
        <v>62.7</v>
      </c>
      <c r="W1068" s="24" t="n">
        <v>100</v>
      </c>
      <c r="X1068" s="24" t="n">
        <v>28</v>
      </c>
      <c r="Y1068" s="45">
        <f>ROUND((V1068*'Methodology &amp; Assumptions'!$B$6)+(W1068*'Methodology &amp; Assumptions'!$B$5)+(X1068*'Methodology &amp; Assumptions'!$B$7), 2)</f>
        <v/>
      </c>
    </row>
    <row r="1069" ht="19" customHeight="1">
      <c r="A1069" s="35" t="n">
        <v>65</v>
      </c>
      <c r="B1069" s="35" t="n">
        <v>4065</v>
      </c>
      <c r="C1069" s="36" t="inlineStr">
        <is>
          <t>1030500061</t>
        </is>
      </c>
      <c r="D1069" s="36" t="inlineStr">
        <is>
          <t>Region X (Northern Mindanao)</t>
        </is>
      </c>
      <c r="E1069" s="36" t="inlineStr">
        <is>
          <t>Misamis Oriental</t>
        </is>
      </c>
      <c r="F1069" s="36" t="inlineStr">
        <is>
          <t>City of Cagayan De Oro</t>
        </is>
      </c>
      <c r="G1069" s="36" t="inlineStr">
        <is>
          <t>Patag</t>
        </is>
      </c>
      <c r="H1069" s="37" t="n">
        <v>8.487962</v>
      </c>
      <c r="I1069" s="37" t="n">
        <v>124.627419</v>
      </c>
      <c r="J1069" s="8" t="inlineStr">
        <is>
          <t>U</t>
        </is>
      </c>
      <c r="K1069" s="36" t="inlineStr">
        <is>
          <t>Class 1-3 / Urban</t>
        </is>
      </c>
      <c r="L1069" s="18" t="n">
        <v>17941</v>
      </c>
      <c r="M1069" s="20" t="n">
        <v>4.54</v>
      </c>
      <c r="N1069" s="18">
        <f>ROUND(L1069/M1069, 0)</f>
        <v/>
      </c>
      <c r="O1069" s="18">
        <f>ROUND(N1069*'Methodology &amp; Assumptions'!$B$8, 0)</f>
        <v/>
      </c>
      <c r="P1069" s="8" t="inlineStr">
        <is>
          <t>Band n50 (1.5 GHz, 60 MHz)</t>
        </is>
      </c>
      <c r="Q1069" s="38">
        <f>ROUNDUP(O1069/'Methodology &amp; Assumptions'!$B$9, 0)</f>
        <v/>
      </c>
      <c r="R1069" s="39" t="n">
        <v>1</v>
      </c>
      <c r="S1069" s="21" t="n">
        <v>1.92</v>
      </c>
      <c r="T1069" s="21" t="n">
        <v>0.77</v>
      </c>
      <c r="U1069" s="36" t="inlineStr">
        <is>
          <t>Tier 1B (Micro Drop, 1-3 km)</t>
        </is>
      </c>
      <c r="V1069" s="20" t="n">
        <v>62.7</v>
      </c>
      <c r="W1069" s="20" t="n">
        <v>100</v>
      </c>
      <c r="X1069" s="20" t="n">
        <v>28</v>
      </c>
      <c r="Y1069" s="40">
        <f>ROUND((V1069*'Methodology &amp; Assumptions'!$B$6)+(W1069*'Methodology &amp; Assumptions'!$B$5)+(X1069*'Methodology &amp; Assumptions'!$B$7), 2)</f>
        <v/>
      </c>
    </row>
    <row r="1070" ht="19" customHeight="1">
      <c r="A1070" s="41" t="n">
        <v>66</v>
      </c>
      <c r="B1070" s="41" t="n">
        <v>4066</v>
      </c>
      <c r="C1070" s="42" t="inlineStr">
        <is>
          <t>0403403014</t>
        </is>
      </c>
      <c r="D1070" s="42" t="inlineStr">
        <is>
          <t>Region IV-A (CALABARZON)</t>
        </is>
      </c>
      <c r="E1070" s="42" t="inlineStr">
        <is>
          <t>Laguna</t>
        </is>
      </c>
      <c r="F1070" s="42" t="inlineStr">
        <is>
          <t>City of Biñan</t>
        </is>
      </c>
      <c r="G1070" s="42" t="inlineStr">
        <is>
          <t>Mampalasan</t>
        </is>
      </c>
      <c r="H1070" s="43" t="n">
        <v>14.293412</v>
      </c>
      <c r="I1070" s="43" t="n">
        <v>121.080158</v>
      </c>
      <c r="J1070" s="44" t="inlineStr">
        <is>
          <t>U</t>
        </is>
      </c>
      <c r="K1070" s="42" t="inlineStr">
        <is>
          <t>Class 1-3 / Urban</t>
        </is>
      </c>
      <c r="L1070" s="23" t="n">
        <v>13586</v>
      </c>
      <c r="M1070" s="24" t="n">
        <v>4.2</v>
      </c>
      <c r="N1070" s="23">
        <f>ROUND(L1070/M1070, 0)</f>
        <v/>
      </c>
      <c r="O1070" s="23">
        <f>ROUND(N1070*'Methodology &amp; Assumptions'!$B$8, 0)</f>
        <v/>
      </c>
      <c r="P1070" s="44" t="inlineStr">
        <is>
          <t>Band n50 (1.5 GHz, 60 MHz)</t>
        </is>
      </c>
      <c r="Q1070" s="38">
        <f>ROUNDUP(O1070/'Methodology &amp; Assumptions'!$B$9, 0)</f>
        <v/>
      </c>
      <c r="R1070" s="39" t="n">
        <v>1</v>
      </c>
      <c r="S1070" s="25" t="n">
        <v>1.92</v>
      </c>
      <c r="T1070" s="25" t="n">
        <v>1.28</v>
      </c>
      <c r="U1070" s="42" t="inlineStr">
        <is>
          <t>Tier 1B (Micro Drop, 1-3 km)</t>
        </is>
      </c>
      <c r="V1070" s="24" t="n">
        <v>62.7</v>
      </c>
      <c r="W1070" s="24" t="n">
        <v>100</v>
      </c>
      <c r="X1070" s="24" t="n">
        <v>28</v>
      </c>
      <c r="Y1070" s="45">
        <f>ROUND((V1070*'Methodology &amp; Assumptions'!$B$6)+(W1070*'Methodology &amp; Assumptions'!$B$5)+(X1070*'Methodology &amp; Assumptions'!$B$7), 2)</f>
        <v/>
      </c>
    </row>
    <row r="1071" ht="19" customHeight="1">
      <c r="A1071" s="35" t="n">
        <v>67</v>
      </c>
      <c r="B1071" s="35" t="n">
        <v>4067</v>
      </c>
      <c r="C1071" s="36" t="inlineStr">
        <is>
          <t>0305416016</t>
        </is>
      </c>
      <c r="D1071" s="36" t="inlineStr">
        <is>
          <t>Region III (Central Luzon)</t>
        </is>
      </c>
      <c r="E1071" s="36" t="inlineStr">
        <is>
          <t>Pampanga</t>
        </is>
      </c>
      <c r="F1071" s="36" t="inlineStr">
        <is>
          <t>City of San Fernando</t>
        </is>
      </c>
      <c r="G1071" s="36" t="inlineStr">
        <is>
          <t>Malino</t>
        </is>
      </c>
      <c r="H1071" s="37" t="n">
        <v>15.1249</v>
      </c>
      <c r="I1071" s="37" t="n">
        <v>120.623174</v>
      </c>
      <c r="J1071" s="8" t="inlineStr">
        <is>
          <t>U</t>
        </is>
      </c>
      <c r="K1071" s="36" t="inlineStr">
        <is>
          <t>Class 1-3 / Urban</t>
        </is>
      </c>
      <c r="L1071" s="18" t="n">
        <v>5082</v>
      </c>
      <c r="M1071" s="20" t="n">
        <v>4.63</v>
      </c>
      <c r="N1071" s="18">
        <f>ROUND(L1071/M1071, 0)</f>
        <v/>
      </c>
      <c r="O1071" s="18">
        <f>ROUND(N1071*'Methodology &amp; Assumptions'!$B$8, 0)</f>
        <v/>
      </c>
      <c r="P1071" s="8" t="inlineStr">
        <is>
          <t>Band n50 (1.5 GHz, 60 MHz)</t>
        </is>
      </c>
      <c r="Q1071" s="38">
        <f>ROUNDUP(O1071/'Methodology &amp; Assumptions'!$B$9, 0)</f>
        <v/>
      </c>
      <c r="R1071" s="39" t="n">
        <v>1</v>
      </c>
      <c r="S1071" s="21" t="n">
        <v>1.92</v>
      </c>
      <c r="T1071" s="21" t="n">
        <v>1.93</v>
      </c>
      <c r="U1071" s="36" t="inlineStr">
        <is>
          <t>Tier 1B (Micro Drop, 1-3 km)</t>
        </is>
      </c>
      <c r="V1071" s="20" t="n">
        <v>62.7</v>
      </c>
      <c r="W1071" s="20" t="n">
        <v>100</v>
      </c>
      <c r="X1071" s="20" t="n">
        <v>28</v>
      </c>
      <c r="Y1071" s="40">
        <f>ROUND((V1071*'Methodology &amp; Assumptions'!$B$6)+(W1071*'Methodology &amp; Assumptions'!$B$5)+(X1071*'Methodology &amp; Assumptions'!$B$7), 2)</f>
        <v/>
      </c>
    </row>
    <row r="1072" ht="19" customHeight="1">
      <c r="A1072" s="41" t="n">
        <v>68</v>
      </c>
      <c r="B1072" s="41" t="n">
        <v>4068</v>
      </c>
      <c r="C1072" s="42" t="inlineStr">
        <is>
          <t>1606805018</t>
        </is>
      </c>
      <c r="D1072" s="42" t="inlineStr">
        <is>
          <t>Region XIII (Caraga)</t>
        </is>
      </c>
      <c r="E1072" s="42" t="inlineStr">
        <is>
          <t>Surigao del Sur</t>
        </is>
      </c>
      <c r="F1072" s="42" t="inlineStr">
        <is>
          <t>Cantilan</t>
        </is>
      </c>
      <c r="G1072" s="42" t="inlineStr">
        <is>
          <t>San Pedro</t>
        </is>
      </c>
      <c r="H1072" s="43" t="n">
        <v>9.349857999999999</v>
      </c>
      <c r="I1072" s="43" t="n">
        <v>125.974425</v>
      </c>
      <c r="J1072" s="44" t="inlineStr">
        <is>
          <t>R</t>
        </is>
      </c>
      <c r="K1072" s="42" t="inlineStr">
        <is>
          <t>Class 1-3 / Urban</t>
        </is>
      </c>
      <c r="L1072" s="23" t="n">
        <v>3345</v>
      </c>
      <c r="M1072" s="24" t="n">
        <v>4.56</v>
      </c>
      <c r="N1072" s="23">
        <f>ROUND(L1072/M1072, 0)</f>
        <v/>
      </c>
      <c r="O1072" s="23">
        <f>ROUND(N1072*'Methodology &amp; Assumptions'!$B$8, 0)</f>
        <v/>
      </c>
      <c r="P1072" s="44" t="inlineStr">
        <is>
          <t>Band n50 (1.5 GHz, 60 MHz)</t>
        </is>
      </c>
      <c r="Q1072" s="38">
        <f>ROUNDUP(O1072/'Methodology &amp; Assumptions'!$B$9, 0)</f>
        <v/>
      </c>
      <c r="R1072" s="39" t="n">
        <v>1</v>
      </c>
      <c r="S1072" s="25" t="n">
        <v>3.47</v>
      </c>
      <c r="T1072" s="25" t="n">
        <v>1.7</v>
      </c>
      <c r="U1072" s="42" t="inlineStr">
        <is>
          <t>Tier 2 (Fiber Corridor / Lateral, 3-5 km)</t>
        </is>
      </c>
      <c r="V1072" s="24" t="n">
        <v>41.4</v>
      </c>
      <c r="W1072" s="24" t="n">
        <v>82.7</v>
      </c>
      <c r="X1072" s="24" t="n">
        <v>73</v>
      </c>
      <c r="Y1072" s="45">
        <f>ROUND((V1072*'Methodology &amp; Assumptions'!$B$6)+(W1072*'Methodology &amp; Assumptions'!$B$5)+(X1072*'Methodology &amp; Assumptions'!$B$7), 2)</f>
        <v/>
      </c>
    </row>
    <row r="1073" ht="19" customHeight="1">
      <c r="A1073" s="35" t="n">
        <v>69</v>
      </c>
      <c r="B1073" s="35" t="n">
        <v>4069</v>
      </c>
      <c r="C1073" s="36" t="inlineStr">
        <is>
          <t>0403405041</t>
        </is>
      </c>
      <c r="D1073" s="36" t="inlineStr">
        <is>
          <t>Region IV-A (CALABARZON)</t>
        </is>
      </c>
      <c r="E1073" s="36" t="inlineStr">
        <is>
          <t>Laguna</t>
        </is>
      </c>
      <c r="F1073" s="36" t="inlineStr">
        <is>
          <t>City of Calamba</t>
        </is>
      </c>
      <c r="G1073" s="36" t="inlineStr">
        <is>
          <t>Barangay 4</t>
        </is>
      </c>
      <c r="H1073" s="37" t="n">
        <v>14.21405</v>
      </c>
      <c r="I1073" s="37" t="n">
        <v>121.164861</v>
      </c>
      <c r="J1073" s="8" t="inlineStr">
        <is>
          <t>R</t>
        </is>
      </c>
      <c r="K1073" s="36" t="inlineStr">
        <is>
          <t>Class 1-3 / Urban</t>
        </is>
      </c>
      <c r="L1073" s="18" t="n">
        <v>3301</v>
      </c>
      <c r="M1073" s="20" t="n">
        <v>4.2</v>
      </c>
      <c r="N1073" s="18">
        <f>ROUND(L1073/M1073, 0)</f>
        <v/>
      </c>
      <c r="O1073" s="18">
        <f>ROUND(N1073*'Methodology &amp; Assumptions'!$B$8, 0)</f>
        <v/>
      </c>
      <c r="P1073" s="8" t="inlineStr">
        <is>
          <t>Band n50 (1.5 GHz, 60 MHz)</t>
        </is>
      </c>
      <c r="Q1073" s="38">
        <f>ROUNDUP(O1073/'Methodology &amp; Assumptions'!$B$9, 0)</f>
        <v/>
      </c>
      <c r="R1073" s="39" t="n">
        <v>1</v>
      </c>
      <c r="S1073" s="21" t="n">
        <v>2.75</v>
      </c>
      <c r="T1073" s="21" t="n">
        <v>0.11</v>
      </c>
      <c r="U1073" s="36" t="inlineStr">
        <is>
          <t>Tier 1B (Micro Drop, 1-3 km)</t>
        </is>
      </c>
      <c r="V1073" s="20" t="n">
        <v>50</v>
      </c>
      <c r="W1073" s="20" t="n">
        <v>86.90000000000001</v>
      </c>
      <c r="X1073" s="20" t="n">
        <v>58</v>
      </c>
      <c r="Y1073" s="40">
        <f>ROUND((V1073*'Methodology &amp; Assumptions'!$B$6)+(W1073*'Methodology &amp; Assumptions'!$B$5)+(X1073*'Methodology &amp; Assumptions'!$B$7), 2)</f>
        <v/>
      </c>
    </row>
    <row r="1074" ht="19" customHeight="1">
      <c r="A1074" s="41" t="n">
        <v>70</v>
      </c>
      <c r="B1074" s="41" t="n">
        <v>4070</v>
      </c>
      <c r="C1074" s="42" t="inlineStr">
        <is>
          <t>0306903053</t>
        </is>
      </c>
      <c r="D1074" s="42" t="inlineStr">
        <is>
          <t>Region III (Central Luzon)</t>
        </is>
      </c>
      <c r="E1074" s="42" t="inlineStr">
        <is>
          <t>Tarlac</t>
        </is>
      </c>
      <c r="F1074" s="42" t="inlineStr">
        <is>
          <t>Camiling</t>
        </is>
      </c>
      <c r="G1074" s="42" t="inlineStr">
        <is>
          <t>Sta. Maria</t>
        </is>
      </c>
      <c r="H1074" s="43" t="n">
        <v>15.641667</v>
      </c>
      <c r="I1074" s="43" t="n">
        <v>120.426111</v>
      </c>
      <c r="J1074" s="44" t="inlineStr">
        <is>
          <t>R</t>
        </is>
      </c>
      <c r="K1074" s="42" t="inlineStr">
        <is>
          <t>Class 1-3 / Urban</t>
        </is>
      </c>
      <c r="L1074" s="23" t="n">
        <v>2466</v>
      </c>
      <c r="M1074" s="24" t="n">
        <v>4.3</v>
      </c>
      <c r="N1074" s="23">
        <f>ROUND(L1074/M1074, 0)</f>
        <v/>
      </c>
      <c r="O1074" s="23">
        <f>ROUND(N1074*'Methodology &amp; Assumptions'!$B$8, 0)</f>
        <v/>
      </c>
      <c r="P1074" s="44" t="inlineStr">
        <is>
          <t>Band n50 (1.5 GHz, 60 MHz)</t>
        </is>
      </c>
      <c r="Q1074" s="38">
        <f>ROUNDUP(O1074/'Methodology &amp; Assumptions'!$B$9, 0)</f>
        <v/>
      </c>
      <c r="R1074" s="39" t="n">
        <v>1</v>
      </c>
      <c r="S1074" s="25" t="n">
        <v>1.68</v>
      </c>
      <c r="T1074" s="25" t="n">
        <v>1.3</v>
      </c>
      <c r="U1074" s="42" t="inlineStr">
        <is>
          <t>Tier 1B (Micro Drop, 1-3 km)</t>
        </is>
      </c>
      <c r="V1074" s="24" t="n">
        <v>67.09999999999999</v>
      </c>
      <c r="W1074" s="24" t="n">
        <v>69.90000000000001</v>
      </c>
      <c r="X1074" s="24" t="n">
        <v>58</v>
      </c>
      <c r="Y1074" s="45">
        <f>ROUND((V1074*'Methodology &amp; Assumptions'!$B$6)+(W1074*'Methodology &amp; Assumptions'!$B$5)+(X1074*'Methodology &amp; Assumptions'!$B$7), 2)</f>
        <v/>
      </c>
    </row>
    <row r="1075" ht="19" customHeight="1">
      <c r="A1075" s="35" t="n">
        <v>71</v>
      </c>
      <c r="B1075" s="35" t="n">
        <v>4071</v>
      </c>
      <c r="C1075" s="36" t="inlineStr">
        <is>
          <t>0304928010</t>
        </is>
      </c>
      <c r="D1075" s="36" t="inlineStr">
        <is>
          <t>Region III (Central Luzon)</t>
        </is>
      </c>
      <c r="E1075" s="36" t="inlineStr">
        <is>
          <t>Nueva Ecija</t>
        </is>
      </c>
      <c r="F1075" s="36" t="inlineStr">
        <is>
          <t>Santa Rosa</t>
        </is>
      </c>
      <c r="G1075" s="36" t="inlineStr">
        <is>
          <t>Rizal</t>
        </is>
      </c>
      <c r="H1075" s="37" t="n">
        <v>15.422797</v>
      </c>
      <c r="I1075" s="37" t="n">
        <v>120.938216</v>
      </c>
      <c r="J1075" s="8" t="inlineStr">
        <is>
          <t>U</t>
        </is>
      </c>
      <c r="K1075" s="36" t="inlineStr">
        <is>
          <t>Class 1-3 / Urban</t>
        </is>
      </c>
      <c r="L1075" s="18" t="n">
        <v>2083</v>
      </c>
      <c r="M1075" s="20" t="n">
        <v>4.32</v>
      </c>
      <c r="N1075" s="18">
        <f>ROUND(L1075/M1075, 0)</f>
        <v/>
      </c>
      <c r="O1075" s="18">
        <f>ROUND(N1075*'Methodology &amp; Assumptions'!$B$8, 0)</f>
        <v/>
      </c>
      <c r="P1075" s="8" t="inlineStr">
        <is>
          <t>Band n50 (1.5 GHz, 60 MHz)</t>
        </is>
      </c>
      <c r="Q1075" s="38">
        <f>ROUNDUP(O1075/'Methodology &amp; Assumptions'!$B$9, 0)</f>
        <v/>
      </c>
      <c r="R1075" s="39" t="n">
        <v>1</v>
      </c>
      <c r="S1075" s="21" t="n">
        <v>0.24</v>
      </c>
      <c r="T1075" s="21" t="n">
        <v>0.02</v>
      </c>
      <c r="U1075" s="36" t="inlineStr">
        <is>
          <t>Tier 1A (Direct Coloc, &lt;1 km)</t>
        </is>
      </c>
      <c r="V1075" s="20" t="n">
        <v>100</v>
      </c>
      <c r="W1075" s="20" t="n">
        <v>62.7</v>
      </c>
      <c r="X1075" s="20" t="n">
        <v>28</v>
      </c>
      <c r="Y1075" s="40">
        <f>ROUND((V1075*'Methodology &amp; Assumptions'!$B$6)+(W1075*'Methodology &amp; Assumptions'!$B$5)+(X1075*'Methodology &amp; Assumptions'!$B$7), 2)</f>
        <v/>
      </c>
    </row>
    <row r="1076" ht="19" customHeight="1">
      <c r="A1076" s="41" t="n">
        <v>72</v>
      </c>
      <c r="B1076" s="41" t="n">
        <v>4072</v>
      </c>
      <c r="C1076" s="42" t="inlineStr">
        <is>
          <t>0702221004</t>
        </is>
      </c>
      <c r="D1076" s="42" t="inlineStr">
        <is>
          <t>Region VII (Central Visayas)</t>
        </is>
      </c>
      <c r="E1076" s="42" t="inlineStr">
        <is>
          <t>Cebu</t>
        </is>
      </c>
      <c r="F1076" s="42" t="inlineStr">
        <is>
          <t>Daanbantayan</t>
        </is>
      </c>
      <c r="G1076" s="42" t="inlineStr">
        <is>
          <t>Bateria</t>
        </is>
      </c>
      <c r="H1076" s="43" t="n">
        <v>11.140856</v>
      </c>
      <c r="I1076" s="43" t="n">
        <v>124.026763</v>
      </c>
      <c r="J1076" s="44" t="inlineStr">
        <is>
          <t>R</t>
        </is>
      </c>
      <c r="K1076" s="42" t="inlineStr">
        <is>
          <t>Class 1-3 / Urban</t>
        </is>
      </c>
      <c r="L1076" s="23" t="n">
        <v>3865</v>
      </c>
      <c r="M1076" s="24" t="n">
        <v>4.42</v>
      </c>
      <c r="N1076" s="23">
        <f>ROUND(L1076/M1076, 0)</f>
        <v/>
      </c>
      <c r="O1076" s="23">
        <f>ROUND(N1076*'Methodology &amp; Assumptions'!$B$8, 0)</f>
        <v/>
      </c>
      <c r="P1076" s="44" t="inlineStr">
        <is>
          <t>Band n50 (1.5 GHz, 60 MHz)</t>
        </is>
      </c>
      <c r="Q1076" s="38">
        <f>ROUNDUP(O1076/'Methodology &amp; Assumptions'!$B$9, 0)</f>
        <v/>
      </c>
      <c r="R1076" s="39" t="n">
        <v>1</v>
      </c>
      <c r="S1076" s="25" t="n">
        <v>2.53</v>
      </c>
      <c r="T1076" s="25" t="n">
        <v>2.57</v>
      </c>
      <c r="U1076" s="42" t="inlineStr">
        <is>
          <t>Tier 1B (Micro Drop, 1-3 km)</t>
        </is>
      </c>
      <c r="V1076" s="24" t="n">
        <v>43.1</v>
      </c>
      <c r="W1076" s="24" t="n">
        <v>93.90000000000001</v>
      </c>
      <c r="X1076" s="24" t="n">
        <v>58</v>
      </c>
      <c r="Y1076" s="45">
        <f>ROUND((V1076*'Methodology &amp; Assumptions'!$B$6)+(W1076*'Methodology &amp; Assumptions'!$B$5)+(X1076*'Methodology &amp; Assumptions'!$B$7), 2)</f>
        <v/>
      </c>
    </row>
    <row r="1077" ht="19" customHeight="1">
      <c r="A1077" s="35" t="n">
        <v>73</v>
      </c>
      <c r="B1077" s="35" t="n">
        <v>4073</v>
      </c>
      <c r="C1077" s="36" t="inlineStr">
        <is>
          <t>0203106006</t>
        </is>
      </c>
      <c r="D1077" s="36" t="inlineStr">
        <is>
          <t>Region II (Cagayan Valley)</t>
        </is>
      </c>
      <c r="E1077" s="36" t="inlineStr">
        <is>
          <t>Isabela</t>
        </is>
      </c>
      <c r="F1077" s="36" t="inlineStr">
        <is>
          <t>Cabagan</t>
        </is>
      </c>
      <c r="G1077" s="36" t="inlineStr">
        <is>
          <t>Casibarag Norte</t>
        </is>
      </c>
      <c r="H1077" s="37" t="n">
        <v>17.435629</v>
      </c>
      <c r="I1077" s="37" t="n">
        <v>121.753254</v>
      </c>
      <c r="J1077" s="8" t="inlineStr">
        <is>
          <t>R</t>
        </is>
      </c>
      <c r="K1077" s="36" t="inlineStr">
        <is>
          <t>Class 1-3 / Urban</t>
        </is>
      </c>
      <c r="L1077" s="18" t="n">
        <v>3519</v>
      </c>
      <c r="M1077" s="20" t="n">
        <v>4.3</v>
      </c>
      <c r="N1077" s="18">
        <f>ROUND(L1077/M1077, 0)</f>
        <v/>
      </c>
      <c r="O1077" s="18">
        <f>ROUND(N1077*'Methodology &amp; Assumptions'!$B$8, 0)</f>
        <v/>
      </c>
      <c r="P1077" s="8" t="inlineStr">
        <is>
          <t>Band n50 (1.5 GHz, 60 MHz)</t>
        </is>
      </c>
      <c r="Q1077" s="38">
        <f>ROUNDUP(O1077/'Methodology &amp; Assumptions'!$B$9, 0)</f>
        <v/>
      </c>
      <c r="R1077" s="39" t="n">
        <v>1</v>
      </c>
      <c r="S1077" s="21" t="n">
        <v>2.23</v>
      </c>
      <c r="T1077" s="21" t="n">
        <v>2.21</v>
      </c>
      <c r="U1077" s="36" t="inlineStr">
        <is>
          <t>Tier 1B (Micro Drop, 1-3 km)</t>
        </is>
      </c>
      <c r="V1077" s="20" t="n">
        <v>47.6</v>
      </c>
      <c r="W1077" s="20" t="n">
        <v>89.3</v>
      </c>
      <c r="X1077" s="20" t="n">
        <v>58</v>
      </c>
      <c r="Y1077" s="40">
        <f>ROUND((V1077*'Methodology &amp; Assumptions'!$B$6)+(W1077*'Methodology &amp; Assumptions'!$B$5)+(X1077*'Methodology &amp; Assumptions'!$B$7), 2)</f>
        <v/>
      </c>
    </row>
    <row r="1078" ht="19" customHeight="1">
      <c r="A1078" s="41" t="n">
        <v>74</v>
      </c>
      <c r="B1078" s="41" t="n">
        <v>4074</v>
      </c>
      <c r="C1078" s="42" t="inlineStr">
        <is>
          <t>0403429013</t>
        </is>
      </c>
      <c r="D1078" s="42" t="inlineStr">
        <is>
          <t>Region IV-A (CALABARZON)</t>
        </is>
      </c>
      <c r="E1078" s="42" t="inlineStr">
        <is>
          <t>Laguna</t>
        </is>
      </c>
      <c r="F1078" s="42" t="inlineStr">
        <is>
          <t>Siniloan</t>
        </is>
      </c>
      <c r="G1078" s="42" t="inlineStr">
        <is>
          <t>Pandeno</t>
        </is>
      </c>
      <c r="H1078" s="43" t="n">
        <v>14.416121</v>
      </c>
      <c r="I1078" s="43" t="n">
        <v>121.443155</v>
      </c>
      <c r="J1078" s="44" t="inlineStr">
        <is>
          <t>R</t>
        </is>
      </c>
      <c r="K1078" s="42" t="inlineStr">
        <is>
          <t>Class 1-3 / Urban</t>
        </is>
      </c>
      <c r="L1078" s="23" t="n">
        <v>3474</v>
      </c>
      <c r="M1078" s="24" t="n">
        <v>4.2</v>
      </c>
      <c r="N1078" s="23">
        <f>ROUND(L1078/M1078, 0)</f>
        <v/>
      </c>
      <c r="O1078" s="23">
        <f>ROUND(N1078*'Methodology &amp; Assumptions'!$B$8, 0)</f>
        <v/>
      </c>
      <c r="P1078" s="44" t="inlineStr">
        <is>
          <t>Band n50 (1.5 GHz, 60 MHz)</t>
        </is>
      </c>
      <c r="Q1078" s="38">
        <f>ROUNDUP(O1078/'Methodology &amp; Assumptions'!$B$9, 0)</f>
        <v/>
      </c>
      <c r="R1078" s="39" t="n">
        <v>1</v>
      </c>
      <c r="S1078" s="25" t="n">
        <v>2.28</v>
      </c>
      <c r="T1078" s="25" t="n">
        <v>2.09</v>
      </c>
      <c r="U1078" s="42" t="inlineStr">
        <is>
          <t>Tier 1B (Micro Drop, 1-3 km)</t>
        </is>
      </c>
      <c r="V1078" s="24" t="n">
        <v>46.8</v>
      </c>
      <c r="W1078" s="24" t="n">
        <v>90.09999999999999</v>
      </c>
      <c r="X1078" s="24" t="n">
        <v>58</v>
      </c>
      <c r="Y1078" s="45">
        <f>ROUND((V1078*'Methodology &amp; Assumptions'!$B$6)+(W1078*'Methodology &amp; Assumptions'!$B$5)+(X1078*'Methodology &amp; Assumptions'!$B$7), 2)</f>
        <v/>
      </c>
    </row>
    <row r="1079" ht="19" customHeight="1">
      <c r="A1079" s="35" t="n">
        <v>75</v>
      </c>
      <c r="B1079" s="35" t="n">
        <v>4075</v>
      </c>
      <c r="C1079" s="36" t="inlineStr">
        <is>
          <t>0201514019</t>
        </is>
      </c>
      <c r="D1079" s="36" t="inlineStr">
        <is>
          <t>Region II (Cagayan Valley)</t>
        </is>
      </c>
      <c r="E1079" s="36" t="inlineStr">
        <is>
          <t>Cagayan</t>
        </is>
      </c>
      <c r="F1079" s="36" t="inlineStr">
        <is>
          <t>Gonzaga</t>
        </is>
      </c>
      <c r="G1079" s="36" t="inlineStr">
        <is>
          <t>Progressive</t>
        </is>
      </c>
      <c r="H1079" s="37" t="n">
        <v>18.1549</v>
      </c>
      <c r="I1079" s="37" t="n">
        <v>121.5928</v>
      </c>
      <c r="J1079" s="8" t="inlineStr">
        <is>
          <t>R</t>
        </is>
      </c>
      <c r="K1079" s="36" t="inlineStr">
        <is>
          <t>Class 1-3 / Urban</t>
        </is>
      </c>
      <c r="L1079" s="18" t="n">
        <v>2406</v>
      </c>
      <c r="M1079" s="20" t="n">
        <v>4.38</v>
      </c>
      <c r="N1079" s="18">
        <f>ROUND(L1079/M1079, 0)</f>
        <v/>
      </c>
      <c r="O1079" s="18">
        <f>ROUND(N1079*'Methodology &amp; Assumptions'!$B$8, 0)</f>
        <v/>
      </c>
      <c r="P1079" s="8" t="inlineStr">
        <is>
          <t>Band n50 (1.5 GHz, 60 MHz)</t>
        </is>
      </c>
      <c r="Q1079" s="38">
        <f>ROUNDUP(O1079/'Methodology &amp; Assumptions'!$B$9, 0)</f>
        <v/>
      </c>
      <c r="R1079" s="39" t="n">
        <v>1</v>
      </c>
      <c r="S1079" s="21" t="n">
        <v>1.59</v>
      </c>
      <c r="T1079" s="21" t="n">
        <v>0.98</v>
      </c>
      <c r="U1079" s="36" t="inlineStr">
        <is>
          <t>Tier 1B (Micro Drop, 1-3 km)</t>
        </is>
      </c>
      <c r="V1079" s="20" t="n">
        <v>68.90000000000001</v>
      </c>
      <c r="W1079" s="20" t="n">
        <v>68</v>
      </c>
      <c r="X1079" s="20" t="n">
        <v>58</v>
      </c>
      <c r="Y1079" s="40">
        <f>ROUND((V1079*'Methodology &amp; Assumptions'!$B$6)+(W1079*'Methodology &amp; Assumptions'!$B$5)+(X1079*'Methodology &amp; Assumptions'!$B$7), 2)</f>
        <v/>
      </c>
    </row>
    <row r="1080" ht="19" customHeight="1">
      <c r="A1080" s="41" t="n">
        <v>76</v>
      </c>
      <c r="B1080" s="41" t="n">
        <v>4076</v>
      </c>
      <c r="C1080" s="42" t="inlineStr">
        <is>
          <t>0401029001</t>
        </is>
      </c>
      <c r="D1080" s="42" t="inlineStr">
        <is>
          <t>Region IV-A (CALABARZON)</t>
        </is>
      </c>
      <c r="E1080" s="42" t="inlineStr">
        <is>
          <t>Batangas</t>
        </is>
      </c>
      <c r="F1080" s="42" t="inlineStr">
        <is>
          <t>Taal</t>
        </is>
      </c>
      <c r="G1080" s="42" t="inlineStr">
        <is>
          <t>Apacay</t>
        </is>
      </c>
      <c r="H1080" s="43" t="n">
        <v>13.909626</v>
      </c>
      <c r="I1080" s="43" t="n">
        <v>120.926536</v>
      </c>
      <c r="J1080" s="44" t="inlineStr">
        <is>
          <t>R</t>
        </is>
      </c>
      <c r="K1080" s="42" t="inlineStr">
        <is>
          <t>Class 1-3 / Urban</t>
        </is>
      </c>
      <c r="L1080" s="23" t="n">
        <v>2300</v>
      </c>
      <c r="M1080" s="24" t="n">
        <v>4.62</v>
      </c>
      <c r="N1080" s="23">
        <f>ROUND(L1080/M1080, 0)</f>
        <v/>
      </c>
      <c r="O1080" s="23">
        <f>ROUND(N1080*'Methodology &amp; Assumptions'!$B$8, 0)</f>
        <v/>
      </c>
      <c r="P1080" s="44" t="inlineStr">
        <is>
          <t>Band n50 (1.5 GHz, 60 MHz)</t>
        </is>
      </c>
      <c r="Q1080" s="38">
        <f>ROUNDUP(O1080/'Methodology &amp; Assumptions'!$B$9, 0)</f>
        <v/>
      </c>
      <c r="R1080" s="39" t="n">
        <v>1</v>
      </c>
      <c r="S1080" s="25" t="n">
        <v>1.38</v>
      </c>
      <c r="T1080" s="25" t="n">
        <v>1.43</v>
      </c>
      <c r="U1080" s="42" t="inlineStr">
        <is>
          <t>Tier 1B (Micro Drop, 1-3 km)</t>
        </is>
      </c>
      <c r="V1080" s="24" t="n">
        <v>73.2</v>
      </c>
      <c r="W1080" s="24" t="n">
        <v>63.7</v>
      </c>
      <c r="X1080" s="24" t="n">
        <v>58</v>
      </c>
      <c r="Y1080" s="45">
        <f>ROUND((V1080*'Methodology &amp; Assumptions'!$B$6)+(W1080*'Methodology &amp; Assumptions'!$B$5)+(X1080*'Methodology &amp; Assumptions'!$B$7), 2)</f>
        <v/>
      </c>
    </row>
    <row r="1081" ht="19" customHeight="1">
      <c r="A1081" s="35" t="n">
        <v>77</v>
      </c>
      <c r="B1081" s="35" t="n">
        <v>4077</v>
      </c>
      <c r="C1081" s="36" t="inlineStr">
        <is>
          <t>0301420008</t>
        </is>
      </c>
      <c r="D1081" s="36" t="inlineStr">
        <is>
          <t>Region III (Central Luzon)</t>
        </is>
      </c>
      <c r="E1081" s="36" t="inlineStr">
        <is>
          <t>Bulacan</t>
        </is>
      </c>
      <c r="F1081" s="36" t="inlineStr">
        <is>
          <t>City of San Jose Del Monte</t>
        </is>
      </c>
      <c r="G1081" s="36" t="inlineStr">
        <is>
          <t>Poblacion</t>
        </is>
      </c>
      <c r="H1081" s="37" t="n">
        <v>14.814879</v>
      </c>
      <c r="I1081" s="37" t="n">
        <v>121.041998</v>
      </c>
      <c r="J1081" s="8" t="inlineStr">
        <is>
          <t>R</t>
        </is>
      </c>
      <c r="K1081" s="36" t="inlineStr">
        <is>
          <t>Class 1-3 / Urban</t>
        </is>
      </c>
      <c r="L1081" s="18" t="n">
        <v>2273</v>
      </c>
      <c r="M1081" s="20" t="n">
        <v>4.1</v>
      </c>
      <c r="N1081" s="18">
        <f>ROUND(L1081/M1081, 0)</f>
        <v/>
      </c>
      <c r="O1081" s="18">
        <f>ROUND(N1081*'Methodology &amp; Assumptions'!$B$8, 0)</f>
        <v/>
      </c>
      <c r="P1081" s="8" t="inlineStr">
        <is>
          <t>Band n50 (1.5 GHz, 60 MHz)</t>
        </is>
      </c>
      <c r="Q1081" s="38">
        <f>ROUNDUP(O1081/'Methodology &amp; Assumptions'!$B$9, 0)</f>
        <v/>
      </c>
      <c r="R1081" s="39" t="n">
        <v>1</v>
      </c>
      <c r="S1081" s="21" t="n">
        <v>1.6</v>
      </c>
      <c r="T1081" s="21" t="n">
        <v>0.32</v>
      </c>
      <c r="U1081" s="36" t="inlineStr">
        <is>
          <t>Tier 1B (Micro Drop, 1-3 km)</t>
        </is>
      </c>
      <c r="V1081" s="20" t="n">
        <v>68.59999999999999</v>
      </c>
      <c r="W1081" s="20" t="n">
        <v>68.3</v>
      </c>
      <c r="X1081" s="20" t="n">
        <v>58</v>
      </c>
      <c r="Y1081" s="40">
        <f>ROUND((V1081*'Methodology &amp; Assumptions'!$B$6)+(W1081*'Methodology &amp; Assumptions'!$B$5)+(X1081*'Methodology &amp; Assumptions'!$B$7), 2)</f>
        <v/>
      </c>
    </row>
    <row r="1082" ht="19" customHeight="1">
      <c r="A1082" s="41" t="n">
        <v>78</v>
      </c>
      <c r="B1082" s="41" t="n">
        <v>4078</v>
      </c>
      <c r="C1082" s="42" t="inlineStr">
        <is>
          <t>0603019001</t>
        </is>
      </c>
      <c r="D1082" s="42" t="inlineStr">
        <is>
          <t>Region VI (Western Visayas)</t>
        </is>
      </c>
      <c r="E1082" s="42" t="inlineStr">
        <is>
          <t>Iloilo</t>
        </is>
      </c>
      <c r="F1082" s="42" t="inlineStr">
        <is>
          <t>Estancia</t>
        </is>
      </c>
      <c r="G1082" s="42" t="inlineStr">
        <is>
          <t>Lumbia</t>
        </is>
      </c>
      <c r="H1082" s="43" t="n">
        <v>11.449535</v>
      </c>
      <c r="I1082" s="43" t="n">
        <v>123.127092</v>
      </c>
      <c r="J1082" s="44" t="inlineStr">
        <is>
          <t>R</t>
        </is>
      </c>
      <c r="K1082" s="42" t="inlineStr">
        <is>
          <t>Class 1-3 / Urban</t>
        </is>
      </c>
      <c r="L1082" s="23" t="n">
        <v>2205</v>
      </c>
      <c r="M1082" s="24" t="n">
        <v>4.39</v>
      </c>
      <c r="N1082" s="23">
        <f>ROUND(L1082/M1082, 0)</f>
        <v/>
      </c>
      <c r="O1082" s="23">
        <f>ROUND(N1082*'Methodology &amp; Assumptions'!$B$8, 0)</f>
        <v/>
      </c>
      <c r="P1082" s="44" t="inlineStr">
        <is>
          <t>Band n50 (1.5 GHz, 60 MHz)</t>
        </is>
      </c>
      <c r="Q1082" s="38">
        <f>ROUNDUP(O1082/'Methodology &amp; Assumptions'!$B$9, 0)</f>
        <v/>
      </c>
      <c r="R1082" s="39" t="n">
        <v>1</v>
      </c>
      <c r="S1082" s="25" t="n">
        <v>0.96</v>
      </c>
      <c r="T1082" s="25" t="n">
        <v>2.05</v>
      </c>
      <c r="U1082" s="42" t="inlineStr">
        <is>
          <t>Tier 1A (Direct Coloc, &lt;1 km)</t>
        </is>
      </c>
      <c r="V1082" s="24" t="n">
        <v>72.59999999999999</v>
      </c>
      <c r="W1082" s="24" t="n">
        <v>64.3</v>
      </c>
      <c r="X1082" s="24" t="n">
        <v>58</v>
      </c>
      <c r="Y1082" s="45">
        <f>ROUND((V1082*'Methodology &amp; Assumptions'!$B$6)+(W1082*'Methodology &amp; Assumptions'!$B$5)+(X1082*'Methodology &amp; Assumptions'!$B$7), 2)</f>
        <v/>
      </c>
    </row>
    <row r="1083" ht="19" customHeight="1">
      <c r="A1083" s="35" t="n">
        <v>79</v>
      </c>
      <c r="B1083" s="35" t="n">
        <v>4079</v>
      </c>
      <c r="C1083" s="36" t="inlineStr">
        <is>
          <t>0103312015</t>
        </is>
      </c>
      <c r="D1083" s="36" t="inlineStr">
        <is>
          <t>Region I (Ilocos Region)</t>
        </is>
      </c>
      <c r="E1083" s="36" t="inlineStr">
        <is>
          <t>La Union</t>
        </is>
      </c>
      <c r="F1083" s="36" t="inlineStr">
        <is>
          <t>Pugo</t>
        </is>
      </c>
      <c r="G1083" s="36" t="inlineStr">
        <is>
          <t>Poblacion West</t>
        </is>
      </c>
      <c r="H1083" s="37" t="n">
        <v>16.325218</v>
      </c>
      <c r="I1083" s="37" t="n">
        <v>120.47603</v>
      </c>
      <c r="J1083" s="8" t="inlineStr">
        <is>
          <t>R</t>
        </is>
      </c>
      <c r="K1083" s="36" t="inlineStr">
        <is>
          <t>3rd</t>
        </is>
      </c>
      <c r="L1083" s="18" t="n">
        <v>1046</v>
      </c>
      <c r="M1083" s="20" t="n">
        <v>4.08</v>
      </c>
      <c r="N1083" s="18">
        <f>ROUND(L1083/M1083, 0)</f>
        <v/>
      </c>
      <c r="O1083" s="18">
        <f>ROUND(N1083*'Methodology &amp; Assumptions'!$B$8, 0)</f>
        <v/>
      </c>
      <c r="P1083" s="8" t="inlineStr">
        <is>
          <t>Band n50 (1.5 GHz, 60 MHz)</t>
        </is>
      </c>
      <c r="Q1083" s="38">
        <f>ROUNDUP(O1083/'Methodology &amp; Assumptions'!$B$9, 0)</f>
        <v/>
      </c>
      <c r="R1083" s="39" t="n">
        <v>1</v>
      </c>
      <c r="S1083" s="21" t="n">
        <v>0.58</v>
      </c>
      <c r="T1083" s="21" t="n">
        <v>0.2</v>
      </c>
      <c r="U1083" s="36" t="inlineStr">
        <is>
          <t>Tier 1A (Direct Coloc, &lt;1 km)</t>
        </is>
      </c>
      <c r="V1083" s="20" t="n">
        <v>92.40000000000001</v>
      </c>
      <c r="W1083" s="20" t="n">
        <v>44.5</v>
      </c>
      <c r="X1083" s="20" t="n">
        <v>58</v>
      </c>
      <c r="Y1083" s="40">
        <f>ROUND((V1083*'Methodology &amp; Assumptions'!$B$6)+(W1083*'Methodology &amp; Assumptions'!$B$5)+(X1083*'Methodology &amp; Assumptions'!$B$7), 2)</f>
        <v/>
      </c>
    </row>
    <row r="1084" ht="19" customHeight="1">
      <c r="A1084" s="41" t="n">
        <v>80</v>
      </c>
      <c r="B1084" s="41" t="n">
        <v>4080</v>
      </c>
      <c r="C1084" s="42" t="inlineStr">
        <is>
          <t>0803708061</t>
        </is>
      </c>
      <c r="D1084" s="42" t="inlineStr">
        <is>
          <t>Region VIII (Eastern Visayas)</t>
        </is>
      </c>
      <c r="E1084" s="42" t="inlineStr">
        <is>
          <t>Leyte</t>
        </is>
      </c>
      <c r="F1084" s="42" t="inlineStr">
        <is>
          <t>City of Baybay</t>
        </is>
      </c>
      <c r="G1084" s="42" t="inlineStr">
        <is>
          <t>Poblacion Zone 5</t>
        </is>
      </c>
      <c r="H1084" s="43" t="n">
        <v>10.681831</v>
      </c>
      <c r="I1084" s="43" t="n">
        <v>124.804063</v>
      </c>
      <c r="J1084" s="44" t="inlineStr">
        <is>
          <t>R</t>
        </is>
      </c>
      <c r="K1084" s="42" t="inlineStr">
        <is>
          <t>Class 1-3 / Urban</t>
        </is>
      </c>
      <c r="L1084" s="23" t="n">
        <v>760</v>
      </c>
      <c r="M1084" s="24" t="n">
        <v>4.24</v>
      </c>
      <c r="N1084" s="23">
        <f>ROUND(L1084/M1084, 0)</f>
        <v/>
      </c>
      <c r="O1084" s="23">
        <f>ROUND(N1084*'Methodology &amp; Assumptions'!$B$8, 0)</f>
        <v/>
      </c>
      <c r="P1084" s="44" t="inlineStr">
        <is>
          <t>Band n50 (1.5 GHz, 60 MHz)</t>
        </is>
      </c>
      <c r="Q1084" s="38">
        <f>ROUNDUP(O1084/'Methodology &amp; Assumptions'!$B$9, 0)</f>
        <v/>
      </c>
      <c r="R1084" s="39" t="n">
        <v>1</v>
      </c>
      <c r="S1084" s="25" t="n">
        <v>0.37</v>
      </c>
      <c r="T1084" s="25" t="n">
        <v>0.09</v>
      </c>
      <c r="U1084" s="42" t="inlineStr">
        <is>
          <t>Tier 1A (Direct Coloc, &lt;1 km)</t>
        </is>
      </c>
      <c r="V1084" s="24" t="n">
        <v>98.5</v>
      </c>
      <c r="W1084" s="24" t="n">
        <v>38.4</v>
      </c>
      <c r="X1084" s="24" t="n">
        <v>58</v>
      </c>
      <c r="Y1084" s="45">
        <f>ROUND((V1084*'Methodology &amp; Assumptions'!$B$6)+(W1084*'Methodology &amp; Assumptions'!$B$5)+(X1084*'Methodology &amp; Assumptions'!$B$7), 2)</f>
        <v/>
      </c>
    </row>
    <row r="1085" ht="19" customHeight="1">
      <c r="A1085" s="35" t="n">
        <v>81</v>
      </c>
      <c r="B1085" s="35" t="n">
        <v>4081</v>
      </c>
      <c r="C1085" s="36" t="inlineStr">
        <is>
          <t>1230800027</t>
        </is>
      </c>
      <c r="D1085" s="36" t="inlineStr">
        <is>
          <t>Region XII (SOCCSKSARGEN)</t>
        </is>
      </c>
      <c r="E1085" s="36" t="inlineStr">
        <is>
          <t>South Cotabato</t>
        </is>
      </c>
      <c r="F1085" s="36" t="inlineStr">
        <is>
          <t>City of General Santos</t>
        </is>
      </c>
      <c r="G1085" s="36" t="inlineStr">
        <is>
          <t>Tambler</t>
        </is>
      </c>
      <c r="H1085" s="37" t="n">
        <v>6.059315</v>
      </c>
      <c r="I1085" s="37" t="n">
        <v>125.142544</v>
      </c>
      <c r="J1085" s="8" t="inlineStr">
        <is>
          <t>U</t>
        </is>
      </c>
      <c r="K1085" s="36" t="inlineStr">
        <is>
          <t>Class 1-3 / Urban</t>
        </is>
      </c>
      <c r="L1085" s="18" t="n">
        <v>31539</v>
      </c>
      <c r="M1085" s="20" t="n">
        <v>4.1</v>
      </c>
      <c r="N1085" s="18">
        <f>ROUND(L1085/M1085, 0)</f>
        <v/>
      </c>
      <c r="O1085" s="18">
        <f>ROUND(N1085*'Methodology &amp; Assumptions'!$B$8, 0)</f>
        <v/>
      </c>
      <c r="P1085" s="8" t="inlineStr">
        <is>
          <t>Band n50 (1.5 GHz, 60 MHz)</t>
        </is>
      </c>
      <c r="Q1085" s="38">
        <f>ROUNDUP(O1085/'Methodology &amp; Assumptions'!$B$9, 0)</f>
        <v/>
      </c>
      <c r="R1085" s="39" t="n">
        <v>1</v>
      </c>
      <c r="S1085" s="21" t="n">
        <v>1.36</v>
      </c>
      <c r="T1085" s="21" t="n">
        <v>6.6</v>
      </c>
      <c r="U1085" s="36" t="inlineStr">
        <is>
          <t>Tier 1B (Micro Drop, 1-3 km)</t>
        </is>
      </c>
      <c r="V1085" s="20" t="n">
        <v>63.6</v>
      </c>
      <c r="W1085" s="20" t="n">
        <v>99</v>
      </c>
      <c r="X1085" s="20" t="n">
        <v>28</v>
      </c>
      <c r="Y1085" s="40">
        <f>ROUND((V1085*'Methodology &amp; Assumptions'!$B$6)+(W1085*'Methodology &amp; Assumptions'!$B$5)+(X1085*'Methodology &amp; Assumptions'!$B$7), 2)</f>
        <v/>
      </c>
    </row>
    <row r="1086" ht="19" customHeight="1">
      <c r="A1086" s="41" t="n">
        <v>82</v>
      </c>
      <c r="B1086" s="41" t="n">
        <v>4082</v>
      </c>
      <c r="C1086" s="42" t="inlineStr">
        <is>
          <t>0401014043</t>
        </is>
      </c>
      <c r="D1086" s="42" t="inlineStr">
        <is>
          <t>Region IV-A (CALABARZON)</t>
        </is>
      </c>
      <c r="E1086" s="42" t="inlineStr">
        <is>
          <t>Batangas</t>
        </is>
      </c>
      <c r="F1086" s="42" t="inlineStr">
        <is>
          <t>City of Lipa</t>
        </is>
      </c>
      <c r="G1086" s="42" t="inlineStr">
        <is>
          <t>Poblacion Barangay 2</t>
        </is>
      </c>
      <c r="H1086" s="43" t="n">
        <v>13.9436</v>
      </c>
      <c r="I1086" s="43" t="n">
        <v>121.1581</v>
      </c>
      <c r="J1086" s="44" t="inlineStr">
        <is>
          <t>U</t>
        </is>
      </c>
      <c r="K1086" s="42" t="inlineStr">
        <is>
          <t>Class 1-3 / Urban</t>
        </is>
      </c>
      <c r="L1086" s="23" t="n">
        <v>3159</v>
      </c>
      <c r="M1086" s="24" t="n">
        <v>4.62</v>
      </c>
      <c r="N1086" s="23">
        <f>ROUND(L1086/M1086, 0)</f>
        <v/>
      </c>
      <c r="O1086" s="23">
        <f>ROUND(N1086*'Methodology &amp; Assumptions'!$B$8, 0)</f>
        <v/>
      </c>
      <c r="P1086" s="44" t="inlineStr">
        <is>
          <t>Band n50 (1.5 GHz, 60 MHz)</t>
        </is>
      </c>
      <c r="Q1086" s="38">
        <f>ROUNDUP(O1086/'Methodology &amp; Assumptions'!$B$9, 0)</f>
        <v/>
      </c>
      <c r="R1086" s="39" t="n">
        <v>1</v>
      </c>
      <c r="S1086" s="25" t="n">
        <v>0.91</v>
      </c>
      <c r="T1086" s="25" t="n">
        <v>0.26</v>
      </c>
      <c r="U1086" s="42" t="inlineStr">
        <is>
          <t>Tier 1A (Direct Coloc, &lt;1 km)</t>
        </is>
      </c>
      <c r="V1086" s="24" t="n">
        <v>84</v>
      </c>
      <c r="W1086" s="24" t="n">
        <v>78.7</v>
      </c>
      <c r="X1086" s="24" t="n">
        <v>28</v>
      </c>
      <c r="Y1086" s="45">
        <f>ROUND((V1086*'Methodology &amp; Assumptions'!$B$6)+(W1086*'Methodology &amp; Assumptions'!$B$5)+(X1086*'Methodology &amp; Assumptions'!$B$7), 2)</f>
        <v/>
      </c>
    </row>
    <row r="1087" ht="19" customHeight="1">
      <c r="A1087" s="35" t="n">
        <v>83</v>
      </c>
      <c r="B1087" s="35" t="n">
        <v>4083</v>
      </c>
      <c r="C1087" s="36" t="inlineStr">
        <is>
          <t>0403424071</t>
        </is>
      </c>
      <c r="D1087" s="36" t="inlineStr">
        <is>
          <t>Region IV-A (CALABARZON)</t>
        </is>
      </c>
      <c r="E1087" s="36" t="inlineStr">
        <is>
          <t>Laguna</t>
        </is>
      </c>
      <c r="F1087" s="36" t="inlineStr">
        <is>
          <t>City of San Pablo</t>
        </is>
      </c>
      <c r="G1087" s="36" t="inlineStr">
        <is>
          <t>Santa Maria Magdalena</t>
        </is>
      </c>
      <c r="H1087" s="37" t="n">
        <v>14.09441</v>
      </c>
      <c r="I1087" s="37" t="n">
        <v>121.303006</v>
      </c>
      <c r="J1087" s="8" t="inlineStr">
        <is>
          <t>R</t>
        </is>
      </c>
      <c r="K1087" s="36" t="inlineStr">
        <is>
          <t>Class 1-3 / Urban</t>
        </is>
      </c>
      <c r="L1087" s="18" t="n">
        <v>2778</v>
      </c>
      <c r="M1087" s="20" t="n">
        <v>4.2</v>
      </c>
      <c r="N1087" s="18">
        <f>ROUND(L1087/M1087, 0)</f>
        <v/>
      </c>
      <c r="O1087" s="18">
        <f>ROUND(N1087*'Methodology &amp; Assumptions'!$B$8, 0)</f>
        <v/>
      </c>
      <c r="P1087" s="8" t="inlineStr">
        <is>
          <t>Band n50 (1.5 GHz, 60 MHz)</t>
        </is>
      </c>
      <c r="Q1087" s="38">
        <f>ROUNDUP(O1087/'Methodology &amp; Assumptions'!$B$9, 0)</f>
        <v/>
      </c>
      <c r="R1087" s="39" t="n">
        <v>1</v>
      </c>
      <c r="S1087" s="21" t="n">
        <v>2.07</v>
      </c>
      <c r="T1087" s="21" t="n">
        <v>0.1</v>
      </c>
      <c r="U1087" s="36" t="inlineStr">
        <is>
          <t>Tier 1B (Micro Drop, 1-3 km)</t>
        </is>
      </c>
      <c r="V1087" s="20" t="n">
        <v>60.1</v>
      </c>
      <c r="W1087" s="20" t="n">
        <v>76.8</v>
      </c>
      <c r="X1087" s="20" t="n">
        <v>58</v>
      </c>
      <c r="Y1087" s="40">
        <f>ROUND((V1087*'Methodology &amp; Assumptions'!$B$6)+(W1087*'Methodology &amp; Assumptions'!$B$5)+(X1087*'Methodology &amp; Assumptions'!$B$7), 2)</f>
        <v/>
      </c>
    </row>
    <row r="1088" ht="19" customHeight="1">
      <c r="A1088" s="41" t="n">
        <v>84</v>
      </c>
      <c r="B1088" s="41" t="n">
        <v>4084</v>
      </c>
      <c r="C1088" s="42" t="inlineStr">
        <is>
          <t>0401012037</t>
        </is>
      </c>
      <c r="D1088" s="42" t="inlineStr">
        <is>
          <t>Region IV-A (CALABARZON)</t>
        </is>
      </c>
      <c r="E1088" s="42" t="inlineStr">
        <is>
          <t>Batangas</t>
        </is>
      </c>
      <c r="F1088" s="42" t="inlineStr">
        <is>
          <t>Lemery</t>
        </is>
      </c>
      <c r="G1088" s="42" t="inlineStr">
        <is>
          <t>Sambal Ibaba</t>
        </is>
      </c>
      <c r="H1088" s="43" t="n">
        <v>13.882582</v>
      </c>
      <c r="I1088" s="43" t="n">
        <v>120.909012</v>
      </c>
      <c r="J1088" s="44" t="inlineStr">
        <is>
          <t>R</t>
        </is>
      </c>
      <c r="K1088" s="42" t="inlineStr">
        <is>
          <t>Class 1-3 / Urban</t>
        </is>
      </c>
      <c r="L1088" s="23" t="n">
        <v>2003</v>
      </c>
      <c r="M1088" s="24" t="n">
        <v>4.62</v>
      </c>
      <c r="N1088" s="23">
        <f>ROUND(L1088/M1088, 0)</f>
        <v/>
      </c>
      <c r="O1088" s="23">
        <f>ROUND(N1088*'Methodology &amp; Assumptions'!$B$8, 0)</f>
        <v/>
      </c>
      <c r="P1088" s="44" t="inlineStr">
        <is>
          <t>Band n50 (1.5 GHz, 60 MHz)</t>
        </is>
      </c>
      <c r="Q1088" s="38">
        <f>ROUNDUP(O1088/'Methodology &amp; Assumptions'!$B$9, 0)</f>
        <v/>
      </c>
      <c r="R1088" s="39" t="n">
        <v>1</v>
      </c>
      <c r="S1088" s="25" t="n">
        <v>1.15</v>
      </c>
      <c r="T1088" s="25" t="n">
        <v>1.53</v>
      </c>
      <c r="U1088" s="42" t="inlineStr">
        <is>
          <t>Tier 1B (Micro Drop, 1-3 km)</t>
        </is>
      </c>
      <c r="V1088" s="24" t="n">
        <v>78.2</v>
      </c>
      <c r="W1088" s="24" t="n">
        <v>58.7</v>
      </c>
      <c r="X1088" s="24" t="n">
        <v>58</v>
      </c>
      <c r="Y1088" s="45">
        <f>ROUND((V1088*'Methodology &amp; Assumptions'!$B$6)+(W1088*'Methodology &amp; Assumptions'!$B$5)+(X1088*'Methodology &amp; Assumptions'!$B$7), 2)</f>
        <v/>
      </c>
    </row>
    <row r="1089" ht="19" customHeight="1">
      <c r="A1089" s="35" t="n">
        <v>85</v>
      </c>
      <c r="B1089" s="35" t="n">
        <v>4085</v>
      </c>
      <c r="C1089" s="36" t="inlineStr">
        <is>
          <t>0402106026</t>
        </is>
      </c>
      <c r="D1089" s="36" t="inlineStr">
        <is>
          <t>Region IV-A (CALABARZON)</t>
        </is>
      </c>
      <c r="E1089" s="36" t="inlineStr">
        <is>
          <t>Cavite</t>
        </is>
      </c>
      <c r="F1089" s="36" t="inlineStr">
        <is>
          <t>City of Dasmariñas</t>
        </is>
      </c>
      <c r="G1089" s="36" t="inlineStr">
        <is>
          <t>San Antonio De Padua I</t>
        </is>
      </c>
      <c r="H1089" s="37" t="n">
        <v>14.318789</v>
      </c>
      <c r="I1089" s="37" t="n">
        <v>120.957082</v>
      </c>
      <c r="J1089" s="8" t="inlineStr">
        <is>
          <t>U</t>
        </is>
      </c>
      <c r="K1089" s="36" t="inlineStr">
        <is>
          <t>Class 1-3 / Urban</t>
        </is>
      </c>
      <c r="L1089" s="18" t="n">
        <v>3407</v>
      </c>
      <c r="M1089" s="20" t="n">
        <v>4.49</v>
      </c>
      <c r="N1089" s="18">
        <f>ROUND(L1089/M1089, 0)</f>
        <v/>
      </c>
      <c r="O1089" s="18">
        <f>ROUND(N1089*'Methodology &amp; Assumptions'!$B$8, 0)</f>
        <v/>
      </c>
      <c r="P1089" s="8" t="inlineStr">
        <is>
          <t>Band n50 (1.5 GHz, 60 MHz)</t>
        </is>
      </c>
      <c r="Q1089" s="38">
        <f>ROUNDUP(O1089/'Methodology &amp; Assumptions'!$B$9, 0)</f>
        <v/>
      </c>
      <c r="R1089" s="39" t="n">
        <v>1</v>
      </c>
      <c r="S1089" s="21" t="n">
        <v>1.17</v>
      </c>
      <c r="T1089" s="21" t="n">
        <v>1.94</v>
      </c>
      <c r="U1089" s="36" t="inlineStr">
        <is>
          <t>Tier 1B (Micro Drop, 1-3 km)</t>
        </is>
      </c>
      <c r="V1089" s="20" t="n">
        <v>77.8</v>
      </c>
      <c r="W1089" s="20" t="n">
        <v>84.8</v>
      </c>
      <c r="X1089" s="20" t="n">
        <v>28</v>
      </c>
      <c r="Y1089" s="40">
        <f>ROUND((V1089*'Methodology &amp; Assumptions'!$B$6)+(W1089*'Methodology &amp; Assumptions'!$B$5)+(X1089*'Methodology &amp; Assumptions'!$B$7), 2)</f>
        <v/>
      </c>
    </row>
    <row r="1090" ht="19" customHeight="1">
      <c r="A1090" s="41" t="n">
        <v>86</v>
      </c>
      <c r="B1090" s="41" t="n">
        <v>4086</v>
      </c>
      <c r="C1090" s="42" t="inlineStr">
        <is>
          <t>0301410052</t>
        </is>
      </c>
      <c r="D1090" s="42" t="inlineStr">
        <is>
          <t>Region III (Central Luzon)</t>
        </is>
      </c>
      <c r="E1090" s="42" t="inlineStr">
        <is>
          <t>Bulacan</t>
        </is>
      </c>
      <c r="F1090" s="42" t="inlineStr">
        <is>
          <t>City of Malolos</t>
        </is>
      </c>
      <c r="G1090" s="42" t="inlineStr">
        <is>
          <t>Sumapang Bata</t>
        </is>
      </c>
      <c r="H1090" s="43" t="n">
        <v>14.857173</v>
      </c>
      <c r="I1090" s="43" t="n">
        <v>120.822909</v>
      </c>
      <c r="J1090" s="44" t="inlineStr">
        <is>
          <t>U</t>
        </is>
      </c>
      <c r="K1090" s="42" t="inlineStr">
        <is>
          <t>Class 1-3 / Urban</t>
        </is>
      </c>
      <c r="L1090" s="23" t="n">
        <v>2442</v>
      </c>
      <c r="M1090" s="24" t="n">
        <v>4.1</v>
      </c>
      <c r="N1090" s="23">
        <f>ROUND(L1090/M1090, 0)</f>
        <v/>
      </c>
      <c r="O1090" s="23">
        <f>ROUND(N1090*'Methodology &amp; Assumptions'!$B$8, 0)</f>
        <v/>
      </c>
      <c r="P1090" s="44" t="inlineStr">
        <is>
          <t>Band n50 (1.5 GHz, 60 MHz)</t>
        </is>
      </c>
      <c r="Q1090" s="38">
        <f>ROUNDUP(O1090/'Methodology &amp; Assumptions'!$B$9, 0)</f>
        <v/>
      </c>
      <c r="R1090" s="39" t="n">
        <v>1</v>
      </c>
      <c r="S1090" s="25" t="n">
        <v>0.64</v>
      </c>
      <c r="T1090" s="25" t="n">
        <v>0.57</v>
      </c>
      <c r="U1090" s="42" t="inlineStr">
        <is>
          <t>Tier 1A (Direct Coloc, &lt;1 km)</t>
        </is>
      </c>
      <c r="V1090" s="24" t="n">
        <v>90.90000000000001</v>
      </c>
      <c r="W1090" s="24" t="n">
        <v>71.7</v>
      </c>
      <c r="X1090" s="24" t="n">
        <v>28</v>
      </c>
      <c r="Y1090" s="45">
        <f>ROUND((V1090*'Methodology &amp; Assumptions'!$B$6)+(W1090*'Methodology &amp; Assumptions'!$B$5)+(X1090*'Methodology &amp; Assumptions'!$B$7), 2)</f>
        <v/>
      </c>
    </row>
    <row r="1091" ht="19" customHeight="1">
      <c r="A1091" s="35" t="n">
        <v>87</v>
      </c>
      <c r="B1091" s="35" t="n">
        <v>4087</v>
      </c>
      <c r="C1091" s="36" t="inlineStr">
        <is>
          <t>0501713002</t>
        </is>
      </c>
      <c r="D1091" s="36" t="inlineStr">
        <is>
          <t>Region V (Bicol Region)</t>
        </is>
      </c>
      <c r="E1091" s="36" t="inlineStr">
        <is>
          <t>Camarines Sur</t>
        </is>
      </c>
      <c r="F1091" s="36" t="inlineStr">
        <is>
          <t>Gainza</t>
        </is>
      </c>
      <c r="G1091" s="36" t="inlineStr">
        <is>
          <t>Dahilig</t>
        </is>
      </c>
      <c r="H1091" s="37" t="n">
        <v>13.614515</v>
      </c>
      <c r="I1091" s="37" t="n">
        <v>123.162239</v>
      </c>
      <c r="J1091" s="8" t="inlineStr">
        <is>
          <t>R</t>
        </is>
      </c>
      <c r="K1091" s="36" t="inlineStr">
        <is>
          <t>5th</t>
        </is>
      </c>
      <c r="L1091" s="18" t="n">
        <v>1289</v>
      </c>
      <c r="M1091" s="20" t="n">
        <v>5</v>
      </c>
      <c r="N1091" s="18">
        <f>ROUND(L1091/M1091, 0)</f>
        <v/>
      </c>
      <c r="O1091" s="18">
        <f>ROUND(N1091*'Methodology &amp; Assumptions'!$B$8, 0)</f>
        <v/>
      </c>
      <c r="P1091" s="8" t="inlineStr">
        <is>
          <t>Band n50 (1.5 GHz, 60 MHz)</t>
        </is>
      </c>
      <c r="Q1091" s="38">
        <f>ROUNDUP(O1091/'Methodology &amp; Assumptions'!$B$9, 0)</f>
        <v/>
      </c>
      <c r="R1091" s="39" t="n">
        <v>1</v>
      </c>
      <c r="S1091" s="21" t="n">
        <v>1.22</v>
      </c>
      <c r="T1091" s="21" t="n">
        <v>2.32</v>
      </c>
      <c r="U1091" s="36" t="inlineStr">
        <is>
          <t>Tier 1B (Micro Drop, 1-3 km)</t>
        </is>
      </c>
      <c r="V1091" s="20" t="n">
        <v>66.59999999999999</v>
      </c>
      <c r="W1091" s="20" t="n">
        <v>44.5</v>
      </c>
      <c r="X1091" s="20" t="n">
        <v>88</v>
      </c>
      <c r="Y1091" s="40">
        <f>ROUND((V1091*'Methodology &amp; Assumptions'!$B$6)+(W1091*'Methodology &amp; Assumptions'!$B$5)+(X1091*'Methodology &amp; Assumptions'!$B$7), 2)</f>
        <v/>
      </c>
    </row>
    <row r="1092" ht="19" customHeight="1">
      <c r="A1092" s="41" t="n">
        <v>88</v>
      </c>
      <c r="B1092" s="41" t="n">
        <v>4088</v>
      </c>
      <c r="C1092" s="42" t="inlineStr">
        <is>
          <t>0307110005</t>
        </is>
      </c>
      <c r="D1092" s="42" t="inlineStr">
        <is>
          <t>Region III (Central Luzon)</t>
        </is>
      </c>
      <c r="E1092" s="42" t="inlineStr">
        <is>
          <t>Zambales</t>
        </is>
      </c>
      <c r="F1092" s="42" t="inlineStr">
        <is>
          <t>San Felipe</t>
        </is>
      </c>
      <c r="G1092" s="42" t="inlineStr">
        <is>
          <t>Feria</t>
        </is>
      </c>
      <c r="H1092" s="43" t="n">
        <v>15.058235</v>
      </c>
      <c r="I1092" s="43" t="n">
        <v>120.075912</v>
      </c>
      <c r="J1092" s="44" t="inlineStr">
        <is>
          <t>R</t>
        </is>
      </c>
      <c r="K1092" s="42" t="inlineStr">
        <is>
          <t>3rd</t>
        </is>
      </c>
      <c r="L1092" s="23" t="n">
        <v>1093</v>
      </c>
      <c r="M1092" s="24" t="n">
        <v>4.04</v>
      </c>
      <c r="N1092" s="23">
        <f>ROUND(L1092/M1092, 0)</f>
        <v/>
      </c>
      <c r="O1092" s="23">
        <f>ROUND(N1092*'Methodology &amp; Assumptions'!$B$8, 0)</f>
        <v/>
      </c>
      <c r="P1092" s="44" t="inlineStr">
        <is>
          <t>Band n50 (1.5 GHz, 60 MHz)</t>
        </is>
      </c>
      <c r="Q1092" s="38">
        <f>ROUNDUP(O1092/'Methodology &amp; Assumptions'!$B$9, 0)</f>
        <v/>
      </c>
      <c r="R1092" s="39" t="n">
        <v>1</v>
      </c>
      <c r="S1092" s="25" t="n">
        <v>0.62</v>
      </c>
      <c r="T1092" s="25" t="n">
        <v>0.62</v>
      </c>
      <c r="U1092" s="42" t="inlineStr">
        <is>
          <t>Tier 1A (Direct Coloc, &lt;1 km)</t>
        </is>
      </c>
      <c r="V1092" s="24" t="n">
        <v>91.2</v>
      </c>
      <c r="W1092" s="24" t="n">
        <v>45.6</v>
      </c>
      <c r="X1092" s="24" t="n">
        <v>58</v>
      </c>
      <c r="Y1092" s="45">
        <f>ROUND((V1092*'Methodology &amp; Assumptions'!$B$6)+(W1092*'Methodology &amp; Assumptions'!$B$5)+(X1092*'Methodology &amp; Assumptions'!$B$7), 2)</f>
        <v/>
      </c>
    </row>
    <row r="1093" ht="19" customHeight="1">
      <c r="A1093" s="35" t="n">
        <v>89</v>
      </c>
      <c r="B1093" s="35" t="n">
        <v>4089</v>
      </c>
      <c r="C1093" s="36" t="inlineStr">
        <is>
          <t>0305402015</t>
        </is>
      </c>
      <c r="D1093" s="36" t="inlineStr">
        <is>
          <t>Region III (Central Luzon)</t>
        </is>
      </c>
      <c r="E1093" s="36" t="inlineStr">
        <is>
          <t>Pampanga</t>
        </is>
      </c>
      <c r="F1093" s="36" t="inlineStr">
        <is>
          <t>Apalit</t>
        </is>
      </c>
      <c r="G1093" s="36" t="inlineStr">
        <is>
          <t>Tabuyuc</t>
        </is>
      </c>
      <c r="H1093" s="37" t="n">
        <v>14.95151</v>
      </c>
      <c r="I1093" s="37" t="n">
        <v>120.77684</v>
      </c>
      <c r="J1093" s="8" t="inlineStr">
        <is>
          <t>U</t>
        </is>
      </c>
      <c r="K1093" s="36" t="inlineStr">
        <is>
          <t>Class 1-3 / Urban</t>
        </is>
      </c>
      <c r="L1093" s="18" t="n">
        <v>9390</v>
      </c>
      <c r="M1093" s="20" t="n">
        <v>4.63</v>
      </c>
      <c r="N1093" s="18">
        <f>ROUND(L1093/M1093, 0)</f>
        <v/>
      </c>
      <c r="O1093" s="18">
        <f>ROUND(N1093*'Methodology &amp; Assumptions'!$B$8, 0)</f>
        <v/>
      </c>
      <c r="P1093" s="8" t="inlineStr">
        <is>
          <t>Band n50 (1.5 GHz, 60 MHz)</t>
        </is>
      </c>
      <c r="Q1093" s="38">
        <f>ROUNDUP(O1093/'Methodology &amp; Assumptions'!$B$9, 0)</f>
        <v/>
      </c>
      <c r="R1093" s="39" t="n">
        <v>1</v>
      </c>
      <c r="S1093" s="21" t="n">
        <v>1.93</v>
      </c>
      <c r="T1093" s="21" t="n">
        <v>1.93</v>
      </c>
      <c r="U1093" s="36" t="inlineStr">
        <is>
          <t>Tier 1B (Micro Drop, 1-3 km)</t>
        </is>
      </c>
      <c r="V1093" s="20" t="n">
        <v>62.6</v>
      </c>
      <c r="W1093" s="20" t="n">
        <v>100</v>
      </c>
      <c r="X1093" s="20" t="n">
        <v>28</v>
      </c>
      <c r="Y1093" s="40">
        <f>ROUND((V1093*'Methodology &amp; Assumptions'!$B$6)+(W1093*'Methodology &amp; Assumptions'!$B$5)+(X1093*'Methodology &amp; Assumptions'!$B$7), 2)</f>
        <v/>
      </c>
    </row>
    <row r="1094" ht="19" customHeight="1">
      <c r="A1094" s="41" t="n">
        <v>90</v>
      </c>
      <c r="B1094" s="41" t="n">
        <v>4090</v>
      </c>
      <c r="C1094" s="42" t="inlineStr">
        <is>
          <t>1705209033</t>
        </is>
      </c>
      <c r="D1094" s="42" t="inlineStr">
        <is>
          <t>MIMAROPA Region</t>
        </is>
      </c>
      <c r="E1094" s="42" t="inlineStr">
        <is>
          <t>Oriental Mindoro</t>
        </is>
      </c>
      <c r="F1094" s="42" t="inlineStr">
        <is>
          <t>Pinamalayan</t>
        </is>
      </c>
      <c r="G1094" s="42" t="inlineStr">
        <is>
          <t>Sta. Rita</t>
        </is>
      </c>
      <c r="H1094" s="43" t="n">
        <v>13.0426</v>
      </c>
      <c r="I1094" s="43" t="n">
        <v>121.4698</v>
      </c>
      <c r="J1094" s="44" t="inlineStr">
        <is>
          <t>U</t>
        </is>
      </c>
      <c r="K1094" s="42" t="inlineStr">
        <is>
          <t>Class 1-3 / Urban</t>
        </is>
      </c>
      <c r="L1094" s="23" t="n">
        <v>3028</v>
      </c>
      <c r="M1094" s="24" t="n">
        <v>4.41</v>
      </c>
      <c r="N1094" s="23">
        <f>ROUND(L1094/M1094, 0)</f>
        <v/>
      </c>
      <c r="O1094" s="23">
        <f>ROUND(N1094*'Methodology &amp; Assumptions'!$B$8, 0)</f>
        <v/>
      </c>
      <c r="P1094" s="44" t="inlineStr">
        <is>
          <t>Band n50 (1.5 GHz, 60 MHz)</t>
        </is>
      </c>
      <c r="Q1094" s="38">
        <f>ROUNDUP(O1094/'Methodology &amp; Assumptions'!$B$9, 0)</f>
        <v/>
      </c>
      <c r="R1094" s="39" t="n">
        <v>1</v>
      </c>
      <c r="S1094" s="25" t="n">
        <v>0.76</v>
      </c>
      <c r="T1094" s="25" t="n">
        <v>0.12</v>
      </c>
      <c r="U1094" s="42" t="inlineStr">
        <is>
          <t>Tier 1A (Direct Coloc, &lt;1 km)</t>
        </is>
      </c>
      <c r="V1094" s="24" t="n">
        <v>87.59999999999999</v>
      </c>
      <c r="W1094" s="24" t="n">
        <v>74.90000000000001</v>
      </c>
      <c r="X1094" s="24" t="n">
        <v>28</v>
      </c>
      <c r="Y1094" s="45">
        <f>ROUND((V1094*'Methodology &amp; Assumptions'!$B$6)+(W1094*'Methodology &amp; Assumptions'!$B$5)+(X1094*'Methodology &amp; Assumptions'!$B$7), 2)</f>
        <v/>
      </c>
    </row>
    <row r="1095" ht="19" customHeight="1">
      <c r="A1095" s="35" t="n">
        <v>91</v>
      </c>
      <c r="B1095" s="35" t="n">
        <v>4091</v>
      </c>
      <c r="C1095" s="36" t="inlineStr">
        <is>
          <t>0403426014</t>
        </is>
      </c>
      <c r="D1095" s="36" t="inlineStr">
        <is>
          <t>Region IV-A (CALABARZON)</t>
        </is>
      </c>
      <c r="E1095" s="36" t="inlineStr">
        <is>
          <t>Laguna</t>
        </is>
      </c>
      <c r="F1095" s="36" t="inlineStr">
        <is>
          <t>Santa Cruz</t>
        </is>
      </c>
      <c r="G1095" s="36" t="inlineStr">
        <is>
          <t>Barangay I</t>
        </is>
      </c>
      <c r="H1095" s="37" t="n">
        <v>14.277522</v>
      </c>
      <c r="I1095" s="37" t="n">
        <v>121.419402</v>
      </c>
      <c r="J1095" s="8" t="inlineStr">
        <is>
          <t>R</t>
        </is>
      </c>
      <c r="K1095" s="36" t="inlineStr">
        <is>
          <t>Class 1-3 / Urban</t>
        </is>
      </c>
      <c r="L1095" s="18" t="n">
        <v>1247</v>
      </c>
      <c r="M1095" s="20" t="n">
        <v>4.2</v>
      </c>
      <c r="N1095" s="18">
        <f>ROUND(L1095/M1095, 0)</f>
        <v/>
      </c>
      <c r="O1095" s="18">
        <f>ROUND(N1095*'Methodology &amp; Assumptions'!$B$8, 0)</f>
        <v/>
      </c>
      <c r="P1095" s="8" t="inlineStr">
        <is>
          <t>Band n50 (1.5 GHz, 60 MHz)</t>
        </is>
      </c>
      <c r="Q1095" s="38">
        <f>ROUNDUP(O1095/'Methodology &amp; Assumptions'!$B$9, 0)</f>
        <v/>
      </c>
      <c r="R1095" s="39" t="n">
        <v>1</v>
      </c>
      <c r="S1095" s="21" t="n">
        <v>0.7</v>
      </c>
      <c r="T1095" s="21" t="n">
        <v>0.35</v>
      </c>
      <c r="U1095" s="36" t="inlineStr">
        <is>
          <t>Tier 1A (Direct Coloc, &lt;1 km)</t>
        </is>
      </c>
      <c r="V1095" s="20" t="n">
        <v>89.09999999999999</v>
      </c>
      <c r="W1095" s="20" t="n">
        <v>47.7</v>
      </c>
      <c r="X1095" s="20" t="n">
        <v>58</v>
      </c>
      <c r="Y1095" s="40">
        <f>ROUND((V1095*'Methodology &amp; Assumptions'!$B$6)+(W1095*'Methodology &amp; Assumptions'!$B$5)+(X1095*'Methodology &amp; Assumptions'!$B$7), 2)</f>
        <v/>
      </c>
    </row>
    <row r="1096" ht="19" customHeight="1">
      <c r="A1096" s="41" t="n">
        <v>92</v>
      </c>
      <c r="B1096" s="41" t="n">
        <v>4092</v>
      </c>
      <c r="C1096" s="42" t="inlineStr">
        <is>
          <t>0201505005</t>
        </is>
      </c>
      <c r="D1096" s="42" t="inlineStr">
        <is>
          <t>Region II (Cagayan Valley)</t>
        </is>
      </c>
      <c r="E1096" s="42" t="inlineStr">
        <is>
          <t>Cagayan</t>
        </is>
      </c>
      <c r="F1096" s="42" t="inlineStr">
        <is>
          <t>Aparri</t>
        </is>
      </c>
      <c r="G1096" s="42" t="inlineStr">
        <is>
          <t>Centro 1</t>
        </is>
      </c>
      <c r="H1096" s="43" t="n">
        <v>18.3567</v>
      </c>
      <c r="I1096" s="43" t="n">
        <v>121.6369</v>
      </c>
      <c r="J1096" s="44" t="inlineStr">
        <is>
          <t>R</t>
        </is>
      </c>
      <c r="K1096" s="42" t="inlineStr">
        <is>
          <t>Class 1-3 / Urban</t>
        </is>
      </c>
      <c r="L1096" s="23" t="n">
        <v>875</v>
      </c>
      <c r="M1096" s="24" t="n">
        <v>4.38</v>
      </c>
      <c r="N1096" s="23">
        <f>ROUND(L1096/M1096, 0)</f>
        <v/>
      </c>
      <c r="O1096" s="23">
        <f>ROUND(N1096*'Methodology &amp; Assumptions'!$B$8, 0)</f>
        <v/>
      </c>
      <c r="P1096" s="44" t="inlineStr">
        <is>
          <t>Band n50 (1.5 GHz, 60 MHz)</t>
        </is>
      </c>
      <c r="Q1096" s="38">
        <f>ROUNDUP(O1096/'Methodology &amp; Assumptions'!$B$9, 0)</f>
        <v/>
      </c>
      <c r="R1096" s="39" t="n">
        <v>1</v>
      </c>
      <c r="S1096" s="25" t="n">
        <v>0.1</v>
      </c>
      <c r="T1096" s="25" t="n">
        <v>10.4</v>
      </c>
      <c r="U1096" s="42" t="inlineStr">
        <is>
          <t>Tier 1A (Direct Coloc, &lt;1 km)</t>
        </is>
      </c>
      <c r="V1096" s="24" t="n">
        <v>96.8</v>
      </c>
      <c r="W1096" s="24" t="n">
        <v>40</v>
      </c>
      <c r="X1096" s="24" t="n">
        <v>58</v>
      </c>
      <c r="Y1096" s="45">
        <f>ROUND((V1096*'Methodology &amp; Assumptions'!$B$6)+(W1096*'Methodology &amp; Assumptions'!$B$5)+(X1096*'Methodology &amp; Assumptions'!$B$7), 2)</f>
        <v/>
      </c>
    </row>
    <row r="1097" ht="19" customHeight="1">
      <c r="A1097" s="35" t="n">
        <v>93</v>
      </c>
      <c r="B1097" s="35" t="n">
        <v>4093</v>
      </c>
      <c r="C1097" s="36" t="inlineStr">
        <is>
          <t>0402109085</t>
        </is>
      </c>
      <c r="D1097" s="36" t="inlineStr">
        <is>
          <t>Region IV-A (CALABARZON)</t>
        </is>
      </c>
      <c r="E1097" s="36" t="inlineStr">
        <is>
          <t>Cavite</t>
        </is>
      </c>
      <c r="F1097" s="36" t="inlineStr">
        <is>
          <t>City of Imus</t>
        </is>
      </c>
      <c r="G1097" s="36" t="inlineStr">
        <is>
          <t>Pasong Buaya II</t>
        </is>
      </c>
      <c r="H1097" s="37" t="n">
        <v>14.381758</v>
      </c>
      <c r="I1097" s="37" t="n">
        <v>120.968127</v>
      </c>
      <c r="J1097" s="8" t="inlineStr">
        <is>
          <t>U</t>
        </is>
      </c>
      <c r="K1097" s="36" t="inlineStr">
        <is>
          <t>Class 1-3 / Urban</t>
        </is>
      </c>
      <c r="L1097" s="18" t="n">
        <v>35599</v>
      </c>
      <c r="M1097" s="20" t="n">
        <v>4.49</v>
      </c>
      <c r="N1097" s="18">
        <f>ROUND(L1097/M1097, 0)</f>
        <v/>
      </c>
      <c r="O1097" s="18">
        <f>ROUND(N1097*'Methodology &amp; Assumptions'!$B$8, 0)</f>
        <v/>
      </c>
      <c r="P1097" s="8" t="inlineStr">
        <is>
          <t>Band n50 (1.5 GHz, 60 MHz)</t>
        </is>
      </c>
      <c r="Q1097" s="38">
        <f>ROUNDUP(O1097/'Methodology &amp; Assumptions'!$B$9, 0)</f>
        <v/>
      </c>
      <c r="R1097" s="39" t="n">
        <v>1</v>
      </c>
      <c r="S1097" s="21" t="n">
        <v>1.35</v>
      </c>
      <c r="T1097" s="21" t="n">
        <v>5.43</v>
      </c>
      <c r="U1097" s="36" t="inlineStr">
        <is>
          <t>Tier 1B (Micro Drop, 1-3 km)</t>
        </is>
      </c>
      <c r="V1097" s="20" t="n">
        <v>63.8</v>
      </c>
      <c r="W1097" s="20" t="n">
        <v>98.8</v>
      </c>
      <c r="X1097" s="20" t="n">
        <v>28</v>
      </c>
      <c r="Y1097" s="40">
        <f>ROUND((V1097*'Methodology &amp; Assumptions'!$B$6)+(W1097*'Methodology &amp; Assumptions'!$B$5)+(X1097*'Methodology &amp; Assumptions'!$B$7), 2)</f>
        <v/>
      </c>
    </row>
    <row r="1098" ht="19" customHeight="1">
      <c r="A1098" s="41" t="n">
        <v>94</v>
      </c>
      <c r="B1098" s="41" t="n">
        <v>4094</v>
      </c>
      <c r="C1098" s="42" t="inlineStr">
        <is>
          <t>0403405037</t>
        </is>
      </c>
      <c r="D1098" s="42" t="inlineStr">
        <is>
          <t>Region IV-A (CALABARZON)</t>
        </is>
      </c>
      <c r="E1098" s="42" t="inlineStr">
        <is>
          <t>Laguna</t>
        </is>
      </c>
      <c r="F1098" s="42" t="inlineStr">
        <is>
          <t>City of Calamba</t>
        </is>
      </c>
      <c r="G1098" s="42" t="inlineStr">
        <is>
          <t>Parian</t>
        </is>
      </c>
      <c r="H1098" s="43" t="n">
        <v>14.214002</v>
      </c>
      <c r="I1098" s="43" t="n">
        <v>121.150836</v>
      </c>
      <c r="J1098" s="44" t="inlineStr">
        <is>
          <t>U</t>
        </is>
      </c>
      <c r="K1098" s="42" t="inlineStr">
        <is>
          <t>Class 1-3 / Urban</t>
        </is>
      </c>
      <c r="L1098" s="23" t="n">
        <v>25558</v>
      </c>
      <c r="M1098" s="24" t="n">
        <v>4.2</v>
      </c>
      <c r="N1098" s="23">
        <f>ROUND(L1098/M1098, 0)</f>
        <v/>
      </c>
      <c r="O1098" s="23">
        <f>ROUND(N1098*'Methodology &amp; Assumptions'!$B$8, 0)</f>
        <v/>
      </c>
      <c r="P1098" s="44" t="inlineStr">
        <is>
          <t>Band n50 (1.5 GHz, 60 MHz)</t>
        </is>
      </c>
      <c r="Q1098" s="38">
        <f>ROUNDUP(O1098/'Methodology &amp; Assumptions'!$B$9, 0)</f>
        <v/>
      </c>
      <c r="R1098" s="39" t="n">
        <v>1</v>
      </c>
      <c r="S1098" s="25" t="n">
        <v>1.93</v>
      </c>
      <c r="T1098" s="25" t="n">
        <v>0.01</v>
      </c>
      <c r="U1098" s="42" t="inlineStr">
        <is>
          <t>Tier 1B (Micro Drop, 1-3 km)</t>
        </is>
      </c>
      <c r="V1098" s="24" t="n">
        <v>62.6</v>
      </c>
      <c r="W1098" s="24" t="n">
        <v>100</v>
      </c>
      <c r="X1098" s="24" t="n">
        <v>28</v>
      </c>
      <c r="Y1098" s="45">
        <f>ROUND((V1098*'Methodology &amp; Assumptions'!$B$6)+(W1098*'Methodology &amp; Assumptions'!$B$5)+(X1098*'Methodology &amp; Assumptions'!$B$7), 2)</f>
        <v/>
      </c>
    </row>
    <row r="1099" ht="19" customHeight="1">
      <c r="A1099" s="35" t="n">
        <v>95</v>
      </c>
      <c r="B1099" s="35" t="n">
        <v>4095</v>
      </c>
      <c r="C1099" s="36" t="inlineStr">
        <is>
          <t>0704608009</t>
        </is>
      </c>
      <c r="D1099" s="36" t="inlineStr">
        <is>
          <t>Region VII (Central Visayas)</t>
        </is>
      </c>
      <c r="E1099" s="36" t="inlineStr">
        <is>
          <t>Negros Oriental</t>
        </is>
      </c>
      <c r="F1099" s="36" t="inlineStr">
        <is>
          <t>City of Canlaon</t>
        </is>
      </c>
      <c r="G1099" s="36" t="inlineStr">
        <is>
          <t>Mabigo</t>
        </is>
      </c>
      <c r="H1099" s="37" t="n">
        <v>10.38012</v>
      </c>
      <c r="I1099" s="37" t="n">
        <v>123.21214</v>
      </c>
      <c r="J1099" s="8" t="inlineStr">
        <is>
          <t>U</t>
        </is>
      </c>
      <c r="K1099" s="36" t="inlineStr">
        <is>
          <t>Class 1-3 / Urban</t>
        </is>
      </c>
      <c r="L1099" s="18" t="n">
        <v>12406</v>
      </c>
      <c r="M1099" s="20" t="n">
        <v>4.33</v>
      </c>
      <c r="N1099" s="18">
        <f>ROUND(L1099/M1099, 0)</f>
        <v/>
      </c>
      <c r="O1099" s="18">
        <f>ROUND(N1099*'Methodology &amp; Assumptions'!$B$8, 0)</f>
        <v/>
      </c>
      <c r="P1099" s="8" t="inlineStr">
        <is>
          <t>Band n50 (1.5 GHz, 60 MHz)</t>
        </is>
      </c>
      <c r="Q1099" s="38">
        <f>ROUNDUP(O1099/'Methodology &amp; Assumptions'!$B$9, 0)</f>
        <v/>
      </c>
      <c r="R1099" s="39" t="n">
        <v>1</v>
      </c>
      <c r="S1099" s="21" t="n">
        <v>1.93</v>
      </c>
      <c r="T1099" s="21" t="n">
        <v>0.34</v>
      </c>
      <c r="U1099" s="36" t="inlineStr">
        <is>
          <t>Tier 1B (Micro Drop, 1-3 km)</t>
        </is>
      </c>
      <c r="V1099" s="20" t="n">
        <v>62.5</v>
      </c>
      <c r="W1099" s="20" t="n">
        <v>100</v>
      </c>
      <c r="X1099" s="20" t="n">
        <v>28</v>
      </c>
      <c r="Y1099" s="40">
        <f>ROUND((V1099*'Methodology &amp; Assumptions'!$B$6)+(W1099*'Methodology &amp; Assumptions'!$B$5)+(X1099*'Methodology &amp; Assumptions'!$B$7), 2)</f>
        <v/>
      </c>
    </row>
    <row r="1100" ht="19" customHeight="1">
      <c r="A1100" s="41" t="n">
        <v>96</v>
      </c>
      <c r="B1100" s="41" t="n">
        <v>4096</v>
      </c>
      <c r="C1100" s="42" t="inlineStr">
        <is>
          <t>0301410051</t>
        </is>
      </c>
      <c r="D1100" s="42" t="inlineStr">
        <is>
          <t>Region III (Central Luzon)</t>
        </is>
      </c>
      <c r="E1100" s="42" t="inlineStr">
        <is>
          <t>Bulacan</t>
        </is>
      </c>
      <c r="F1100" s="42" t="inlineStr">
        <is>
          <t>City of Malolos</t>
        </is>
      </c>
      <c r="G1100" s="42" t="inlineStr">
        <is>
          <t>Santor</t>
        </is>
      </c>
      <c r="H1100" s="43" t="n">
        <v>14.832291</v>
      </c>
      <c r="I1100" s="43" t="n">
        <v>120.855243</v>
      </c>
      <c r="J1100" s="44" t="inlineStr">
        <is>
          <t>U</t>
        </is>
      </c>
      <c r="K1100" s="42" t="inlineStr">
        <is>
          <t>Class 1-3 / Urban</t>
        </is>
      </c>
      <c r="L1100" s="23" t="n">
        <v>8550</v>
      </c>
      <c r="M1100" s="24" t="n">
        <v>4.1</v>
      </c>
      <c r="N1100" s="23">
        <f>ROUND(L1100/M1100, 0)</f>
        <v/>
      </c>
      <c r="O1100" s="23">
        <f>ROUND(N1100*'Methodology &amp; Assumptions'!$B$8, 0)</f>
        <v/>
      </c>
      <c r="P1100" s="44" t="inlineStr">
        <is>
          <t>Band n50 (1.5 GHz, 60 MHz)</t>
        </is>
      </c>
      <c r="Q1100" s="38">
        <f>ROUNDUP(O1100/'Methodology &amp; Assumptions'!$B$9, 0)</f>
        <v/>
      </c>
      <c r="R1100" s="39" t="n">
        <v>1</v>
      </c>
      <c r="S1100" s="25" t="n">
        <v>1.93</v>
      </c>
      <c r="T1100" s="25" t="n">
        <v>0.78</v>
      </c>
      <c r="U1100" s="42" t="inlineStr">
        <is>
          <t>Tier 1B (Micro Drop, 1-3 km)</t>
        </is>
      </c>
      <c r="V1100" s="24" t="n">
        <v>62.5</v>
      </c>
      <c r="W1100" s="24" t="n">
        <v>100</v>
      </c>
      <c r="X1100" s="24" t="n">
        <v>28</v>
      </c>
      <c r="Y1100" s="45">
        <f>ROUND((V1100*'Methodology &amp; Assumptions'!$B$6)+(W1100*'Methodology &amp; Assumptions'!$B$5)+(X1100*'Methodology &amp; Assumptions'!$B$7), 2)</f>
        <v/>
      </c>
    </row>
    <row r="1101" ht="19" customHeight="1">
      <c r="A1101" s="35" t="n">
        <v>97</v>
      </c>
      <c r="B1101" s="35" t="n">
        <v>4097</v>
      </c>
      <c r="C1101" s="36" t="inlineStr">
        <is>
          <t>0701205016</t>
        </is>
      </c>
      <c r="D1101" s="36" t="inlineStr">
        <is>
          <t>Region VII (Central Visayas)</t>
        </is>
      </c>
      <c r="E1101" s="36" t="inlineStr">
        <is>
          <t>Bohol</t>
        </is>
      </c>
      <c r="F1101" s="36" t="inlineStr">
        <is>
          <t>Baclayon</t>
        </is>
      </c>
      <c r="G1101" s="36" t="inlineStr">
        <is>
          <t>Taguihon</t>
        </is>
      </c>
      <c r="H1101" s="37" t="n">
        <v>9.626327</v>
      </c>
      <c r="I1101" s="37" t="n">
        <v>123.898328</v>
      </c>
      <c r="J1101" s="8" t="inlineStr">
        <is>
          <t>R</t>
        </is>
      </c>
      <c r="K1101" s="36" t="inlineStr">
        <is>
          <t>4th</t>
        </is>
      </c>
      <c r="L1101" s="18" t="n">
        <v>2091</v>
      </c>
      <c r="M1101" s="20" t="n">
        <v>4.66</v>
      </c>
      <c r="N1101" s="18">
        <f>ROUND(L1101/M1101, 0)</f>
        <v/>
      </c>
      <c r="O1101" s="18">
        <f>ROUND(N1101*'Methodology &amp; Assumptions'!$B$8, 0)</f>
        <v/>
      </c>
      <c r="P1101" s="8" t="inlineStr">
        <is>
          <t>Band n50 (1.5 GHz, 60 MHz)</t>
        </is>
      </c>
      <c r="Q1101" s="38">
        <f>ROUNDUP(O1101/'Methodology &amp; Assumptions'!$B$9, 0)</f>
        <v/>
      </c>
      <c r="R1101" s="39" t="n">
        <v>1</v>
      </c>
      <c r="S1101" s="21" t="n">
        <v>1.64</v>
      </c>
      <c r="T1101" s="21" t="n">
        <v>0.09</v>
      </c>
      <c r="U1101" s="36" t="inlineStr">
        <is>
          <t>Tier 1B (Micro Drop, 1-3 km)</t>
        </is>
      </c>
      <c r="V1101" s="20" t="n">
        <v>67.8</v>
      </c>
      <c r="W1101" s="20" t="n">
        <v>60</v>
      </c>
      <c r="X1101" s="20" t="n">
        <v>68.5</v>
      </c>
      <c r="Y1101" s="40">
        <f>ROUND((V1101*'Methodology &amp; Assumptions'!$B$6)+(W1101*'Methodology &amp; Assumptions'!$B$5)+(X1101*'Methodology &amp; Assumptions'!$B$7), 2)</f>
        <v/>
      </c>
    </row>
    <row r="1102" ht="19" customHeight="1">
      <c r="A1102" s="41" t="n">
        <v>98</v>
      </c>
      <c r="B1102" s="41" t="n">
        <v>4098</v>
      </c>
      <c r="C1102" s="42" t="inlineStr">
        <is>
          <t>0304919011</t>
        </is>
      </c>
      <c r="D1102" s="42" t="inlineStr">
        <is>
          <t>Region III (Central Luzon)</t>
        </is>
      </c>
      <c r="E1102" s="42" t="inlineStr">
        <is>
          <t>Nueva Ecija</t>
        </is>
      </c>
      <c r="F1102" s="42" t="inlineStr">
        <is>
          <t>City of Palayan</t>
        </is>
      </c>
      <c r="G1102" s="42" t="inlineStr">
        <is>
          <t>Sapang Buho</t>
        </is>
      </c>
      <c r="H1102" s="43" t="n">
        <v>15.590653</v>
      </c>
      <c r="I1102" s="43" t="n">
        <v>121.125372</v>
      </c>
      <c r="J1102" s="44" t="inlineStr">
        <is>
          <t>R</t>
        </is>
      </c>
      <c r="K1102" s="42" t="inlineStr">
        <is>
          <t>Class 1-3 / Urban</t>
        </is>
      </c>
      <c r="L1102" s="23" t="n">
        <v>4496</v>
      </c>
      <c r="M1102" s="24" t="n">
        <v>4.32</v>
      </c>
      <c r="N1102" s="23">
        <f>ROUND(L1102/M1102, 0)</f>
        <v/>
      </c>
      <c r="O1102" s="23">
        <f>ROUND(N1102*'Methodology &amp; Assumptions'!$B$8, 0)</f>
        <v/>
      </c>
      <c r="P1102" s="44" t="inlineStr">
        <is>
          <t>Band n50 (1.5 GHz, 60 MHz)</t>
        </is>
      </c>
      <c r="Q1102" s="38">
        <f>ROUNDUP(O1102/'Methodology &amp; Assumptions'!$B$9, 0)</f>
        <v/>
      </c>
      <c r="R1102" s="39" t="n">
        <v>1</v>
      </c>
      <c r="S1102" s="25" t="n">
        <v>3.95</v>
      </c>
      <c r="T1102" s="25" t="n">
        <v>0.1</v>
      </c>
      <c r="U1102" s="42" t="inlineStr">
        <is>
          <t>Tier 2 (Fiber Corridor / Lateral, 3-5 km)</t>
        </is>
      </c>
      <c r="V1102" s="24" t="n">
        <v>36.8</v>
      </c>
      <c r="W1102" s="24" t="n">
        <v>100</v>
      </c>
      <c r="X1102" s="24" t="n">
        <v>58</v>
      </c>
      <c r="Y1102" s="45">
        <f>ROUND((V1102*'Methodology &amp; Assumptions'!$B$6)+(W1102*'Methodology &amp; Assumptions'!$B$5)+(X1102*'Methodology &amp; Assumptions'!$B$7), 2)</f>
        <v/>
      </c>
    </row>
    <row r="1103" ht="19" customHeight="1">
      <c r="A1103" s="35" t="n">
        <v>99</v>
      </c>
      <c r="B1103" s="35" t="n">
        <v>4099</v>
      </c>
      <c r="C1103" s="36" t="inlineStr">
        <is>
          <t>1430300092</t>
        </is>
      </c>
      <c r="D1103" s="36" t="inlineStr">
        <is>
          <t>Cordillera Administrative Region (CAR)</t>
        </is>
      </c>
      <c r="E1103" s="36" t="inlineStr">
        <is>
          <t>Benguet</t>
        </is>
      </c>
      <c r="F1103" s="36" t="inlineStr">
        <is>
          <t>City of Baguio</t>
        </is>
      </c>
      <c r="G1103" s="36" t="inlineStr">
        <is>
          <t>Rock Quarry, Lower</t>
        </is>
      </c>
      <c r="H1103" s="37" t="n">
        <v>16.40816</v>
      </c>
      <c r="I1103" s="37" t="n">
        <v>120.58918</v>
      </c>
      <c r="J1103" s="8" t="inlineStr">
        <is>
          <t>R</t>
        </is>
      </c>
      <c r="K1103" s="36" t="inlineStr">
        <is>
          <t>Class 1-3 / Urban</t>
        </is>
      </c>
      <c r="L1103" s="18" t="n">
        <v>1646</v>
      </c>
      <c r="M1103" s="20" t="n">
        <v>4.58</v>
      </c>
      <c r="N1103" s="18">
        <f>ROUND(L1103/M1103, 0)</f>
        <v/>
      </c>
      <c r="O1103" s="18">
        <f>ROUND(N1103*'Methodology &amp; Assumptions'!$B$8, 0)</f>
        <v/>
      </c>
      <c r="P1103" s="8" t="inlineStr">
        <is>
          <t>Band n50 (1.5 GHz, 60 MHz)</t>
        </is>
      </c>
      <c r="Q1103" s="38">
        <f>ROUNDUP(O1103/'Methodology &amp; Assumptions'!$B$9, 0)</f>
        <v/>
      </c>
      <c r="R1103" s="39" t="n">
        <v>1</v>
      </c>
      <c r="S1103" s="21" t="n">
        <v>0.75</v>
      </c>
      <c r="T1103" s="21" t="n">
        <v>0.29</v>
      </c>
      <c r="U1103" s="36" t="inlineStr">
        <is>
          <t>Tier 1A (Direct Coloc, &lt;1 km)</t>
        </is>
      </c>
      <c r="V1103" s="20" t="n">
        <v>88</v>
      </c>
      <c r="W1103" s="20" t="n">
        <v>48.8</v>
      </c>
      <c r="X1103" s="20" t="n">
        <v>58</v>
      </c>
      <c r="Y1103" s="40">
        <f>ROUND((V1103*'Methodology &amp; Assumptions'!$B$6)+(W1103*'Methodology &amp; Assumptions'!$B$5)+(X1103*'Methodology &amp; Assumptions'!$B$7), 2)</f>
        <v/>
      </c>
    </row>
    <row r="1104" ht="19" customHeight="1">
      <c r="A1104" s="41" t="n">
        <v>100</v>
      </c>
      <c r="B1104" s="41" t="n">
        <v>4100</v>
      </c>
      <c r="C1104" s="42" t="inlineStr">
        <is>
          <t>0300804018</t>
        </is>
      </c>
      <c r="D1104" s="42" t="inlineStr">
        <is>
          <t>Region III (Central Luzon)</t>
        </is>
      </c>
      <c r="E1104" s="42" t="inlineStr">
        <is>
          <t>Bataan</t>
        </is>
      </c>
      <c r="F1104" s="42" t="inlineStr">
        <is>
          <t>Dinalupihan</t>
        </is>
      </c>
      <c r="G1104" s="42" t="inlineStr">
        <is>
          <t>Mabini Ext.</t>
        </is>
      </c>
      <c r="H1104" s="43" t="n">
        <v>14.86624</v>
      </c>
      <c r="I1104" s="43" t="n">
        <v>120.467467</v>
      </c>
      <c r="J1104" s="44" t="inlineStr">
        <is>
          <t>R</t>
        </is>
      </c>
      <c r="K1104" s="42" t="inlineStr">
        <is>
          <t>Class 1-3 / Urban</t>
        </is>
      </c>
      <c r="L1104" s="23" t="n">
        <v>726</v>
      </c>
      <c r="M1104" s="24" t="n">
        <v>4.57</v>
      </c>
      <c r="N1104" s="23">
        <f>ROUND(L1104/M1104, 0)</f>
        <v/>
      </c>
      <c r="O1104" s="23">
        <f>ROUND(N1104*'Methodology &amp; Assumptions'!$B$8, 0)</f>
        <v/>
      </c>
      <c r="P1104" s="44" t="inlineStr">
        <is>
          <t>Band n50 (1.5 GHz, 60 MHz)</t>
        </is>
      </c>
      <c r="Q1104" s="38">
        <f>ROUNDUP(O1104/'Methodology &amp; Assumptions'!$B$9, 0)</f>
        <v/>
      </c>
      <c r="R1104" s="39" t="n">
        <v>1</v>
      </c>
      <c r="S1104" s="25" t="n">
        <v>0.29</v>
      </c>
      <c r="T1104" s="25" t="n">
        <v>0.11</v>
      </c>
      <c r="U1104" s="42" t="inlineStr">
        <is>
          <t>Tier 1A (Direct Coloc, &lt;1 km)</t>
        </is>
      </c>
      <c r="V1104" s="24" t="n">
        <v>100</v>
      </c>
      <c r="W1104" s="24" t="n">
        <v>36.8</v>
      </c>
      <c r="X1104" s="24" t="n">
        <v>58</v>
      </c>
      <c r="Y1104" s="45">
        <f>ROUND((V1104*'Methodology &amp; Assumptions'!$B$6)+(W1104*'Methodology &amp; Assumptions'!$B$5)+(X1104*'Methodology &amp; Assumptions'!$B$7), 2)</f>
        <v/>
      </c>
    </row>
    <row r="1105" ht="19" customHeight="1">
      <c r="A1105" s="35" t="n">
        <v>101</v>
      </c>
      <c r="B1105" s="35" t="n">
        <v>4101</v>
      </c>
      <c r="C1105" s="36" t="inlineStr">
        <is>
          <t>0300803012</t>
        </is>
      </c>
      <c r="D1105" s="36" t="inlineStr">
        <is>
          <t>Region III (Central Luzon)</t>
        </is>
      </c>
      <c r="E1105" s="36" t="inlineStr">
        <is>
          <t>Bataan</t>
        </is>
      </c>
      <c r="F1105" s="36" t="inlineStr">
        <is>
          <t>City of Balanga</t>
        </is>
      </c>
      <c r="G1105" s="36" t="inlineStr">
        <is>
          <t>Malabia</t>
        </is>
      </c>
      <c r="H1105" s="37" t="n">
        <v>14.683854</v>
      </c>
      <c r="I1105" s="37" t="n">
        <v>120.53875</v>
      </c>
      <c r="J1105" s="8" t="inlineStr">
        <is>
          <t>R</t>
        </is>
      </c>
      <c r="K1105" s="36" t="inlineStr">
        <is>
          <t>Class 1-3 / Urban</t>
        </is>
      </c>
      <c r="L1105" s="18" t="n">
        <v>725</v>
      </c>
      <c r="M1105" s="20" t="n">
        <v>4.57</v>
      </c>
      <c r="N1105" s="18">
        <f>ROUND(L1105/M1105, 0)</f>
        <v/>
      </c>
      <c r="O1105" s="18">
        <f>ROUND(N1105*'Methodology &amp; Assumptions'!$B$8, 0)</f>
        <v/>
      </c>
      <c r="P1105" s="8" t="inlineStr">
        <is>
          <t>Band n50 (1.5 GHz, 60 MHz)</t>
        </is>
      </c>
      <c r="Q1105" s="38">
        <f>ROUNDUP(O1105/'Methodology &amp; Assumptions'!$B$9, 0)</f>
        <v/>
      </c>
      <c r="R1105" s="39" t="n">
        <v>1</v>
      </c>
      <c r="S1105" s="21" t="n">
        <v>0.15</v>
      </c>
      <c r="T1105" s="21" t="n">
        <v>0.15</v>
      </c>
      <c r="U1105" s="36" t="inlineStr">
        <is>
          <t>Tier 1A (Direct Coloc, &lt;1 km)</t>
        </is>
      </c>
      <c r="V1105" s="20" t="n">
        <v>100</v>
      </c>
      <c r="W1105" s="20" t="n">
        <v>36.8</v>
      </c>
      <c r="X1105" s="20" t="n">
        <v>58</v>
      </c>
      <c r="Y1105" s="40">
        <f>ROUND((V1105*'Methodology &amp; Assumptions'!$B$6)+(W1105*'Methodology &amp; Assumptions'!$B$5)+(X1105*'Methodology &amp; Assumptions'!$B$7), 2)</f>
        <v/>
      </c>
    </row>
    <row r="1106" ht="19" customHeight="1">
      <c r="A1106" s="41" t="n">
        <v>102</v>
      </c>
      <c r="B1106" s="41" t="n">
        <v>4102</v>
      </c>
      <c r="C1106" s="42" t="inlineStr">
        <is>
          <t>0304919022</t>
        </is>
      </c>
      <c r="D1106" s="42" t="inlineStr">
        <is>
          <t>Region III (Central Luzon)</t>
        </is>
      </c>
      <c r="E1106" s="42" t="inlineStr">
        <is>
          <t>Nueva Ecija</t>
        </is>
      </c>
      <c r="F1106" s="42" t="inlineStr">
        <is>
          <t>City of Palayan</t>
        </is>
      </c>
      <c r="G1106" s="42" t="inlineStr">
        <is>
          <t>Bagong Buhay</t>
        </is>
      </c>
      <c r="H1106" s="43" t="n">
        <v>15.463161</v>
      </c>
      <c r="I1106" s="43" t="n">
        <v>121.115894</v>
      </c>
      <c r="J1106" s="44" t="inlineStr">
        <is>
          <t>R</t>
        </is>
      </c>
      <c r="K1106" s="42" t="inlineStr">
        <is>
          <t>Class 1-3 / Urban</t>
        </is>
      </c>
      <c r="L1106" s="23" t="n">
        <v>697</v>
      </c>
      <c r="M1106" s="24" t="n">
        <v>4.32</v>
      </c>
      <c r="N1106" s="23">
        <f>ROUND(L1106/M1106, 0)</f>
        <v/>
      </c>
      <c r="O1106" s="23">
        <f>ROUND(N1106*'Methodology &amp; Assumptions'!$B$8, 0)</f>
        <v/>
      </c>
      <c r="P1106" s="44" t="inlineStr">
        <is>
          <t>Band n50 (1.5 GHz, 60 MHz)</t>
        </is>
      </c>
      <c r="Q1106" s="38">
        <f>ROUNDUP(O1106/'Methodology &amp; Assumptions'!$B$9, 0)</f>
        <v/>
      </c>
      <c r="R1106" s="39" t="n">
        <v>1</v>
      </c>
      <c r="S1106" s="25" t="n">
        <v>0.01</v>
      </c>
      <c r="T1106" s="25" t="n">
        <v>0.23</v>
      </c>
      <c r="U1106" s="42" t="inlineStr">
        <is>
          <t>Tier 1A (Direct Coloc, &lt;1 km)</t>
        </is>
      </c>
      <c r="V1106" s="24" t="n">
        <v>100</v>
      </c>
      <c r="W1106" s="24" t="n">
        <v>36.8</v>
      </c>
      <c r="X1106" s="24" t="n">
        <v>58</v>
      </c>
      <c r="Y1106" s="45">
        <f>ROUND((V1106*'Methodology &amp; Assumptions'!$B$6)+(W1106*'Methodology &amp; Assumptions'!$B$5)+(X1106*'Methodology &amp; Assumptions'!$B$7), 2)</f>
        <v/>
      </c>
    </row>
    <row r="1107" ht="19" customHeight="1">
      <c r="A1107" s="35" t="n">
        <v>103</v>
      </c>
      <c r="B1107" s="35" t="n">
        <v>4103</v>
      </c>
      <c r="C1107" s="36" t="inlineStr">
        <is>
          <t>0701219009</t>
        </is>
      </c>
      <c r="D1107" s="36" t="inlineStr">
        <is>
          <t>Region VII (Central Visayas)</t>
        </is>
      </c>
      <c r="E1107" s="36" t="inlineStr">
        <is>
          <t>Bohol</t>
        </is>
      </c>
      <c r="F1107" s="36" t="inlineStr">
        <is>
          <t>Dauis</t>
        </is>
      </c>
      <c r="G1107" s="36" t="inlineStr">
        <is>
          <t>Tabalong</t>
        </is>
      </c>
      <c r="H1107" s="37" t="n">
        <v>9.624141</v>
      </c>
      <c r="I1107" s="37" t="n">
        <v>123.819409</v>
      </c>
      <c r="J1107" s="8" t="inlineStr">
        <is>
          <t>U</t>
        </is>
      </c>
      <c r="K1107" s="36" t="inlineStr">
        <is>
          <t>1st</t>
        </is>
      </c>
      <c r="L1107" s="18" t="n">
        <v>6202</v>
      </c>
      <c r="M1107" s="20" t="n">
        <v>4.6</v>
      </c>
      <c r="N1107" s="18">
        <f>ROUND(L1107/M1107, 0)</f>
        <v/>
      </c>
      <c r="O1107" s="18">
        <f>ROUND(N1107*'Methodology &amp; Assumptions'!$B$8, 0)</f>
        <v/>
      </c>
      <c r="P1107" s="8" t="inlineStr">
        <is>
          <t>Band n50 (1.5 GHz, 60 MHz)</t>
        </is>
      </c>
      <c r="Q1107" s="38">
        <f>ROUNDUP(O1107/'Methodology &amp; Assumptions'!$B$9, 0)</f>
        <v/>
      </c>
      <c r="R1107" s="39" t="n">
        <v>1</v>
      </c>
      <c r="S1107" s="21" t="n">
        <v>2.1</v>
      </c>
      <c r="T1107" s="21" t="n">
        <v>4.39</v>
      </c>
      <c r="U1107" s="36" t="inlineStr">
        <is>
          <t>Tier 1B (Micro Drop, 1-3 km)</t>
        </is>
      </c>
      <c r="V1107" s="20" t="n">
        <v>49.7</v>
      </c>
      <c r="W1107" s="20" t="n">
        <v>100</v>
      </c>
      <c r="X1107" s="20" t="n">
        <v>43</v>
      </c>
      <c r="Y1107" s="40">
        <f>ROUND((V1107*'Methodology &amp; Assumptions'!$B$6)+(W1107*'Methodology &amp; Assumptions'!$B$5)+(X1107*'Methodology &amp; Assumptions'!$B$7), 2)</f>
        <v/>
      </c>
    </row>
    <row r="1108" ht="19" customHeight="1">
      <c r="A1108" s="41" t="n">
        <v>104</v>
      </c>
      <c r="B1108" s="41" t="n">
        <v>4104</v>
      </c>
      <c r="C1108" s="42" t="inlineStr">
        <is>
          <t>1004318011</t>
        </is>
      </c>
      <c r="D1108" s="42" t="inlineStr">
        <is>
          <t>Region X (Northern Mindanao)</t>
        </is>
      </c>
      <c r="E1108" s="42" t="inlineStr">
        <is>
          <t>Misamis Oriental</t>
        </is>
      </c>
      <c r="F1108" s="42" t="inlineStr">
        <is>
          <t>Manticao</t>
        </is>
      </c>
      <c r="G1108" s="42" t="inlineStr">
        <is>
          <t>Punta Silum</t>
        </is>
      </c>
      <c r="H1108" s="43" t="n">
        <v>8.3812</v>
      </c>
      <c r="I1108" s="43" t="n">
        <v>124.2717</v>
      </c>
      <c r="J1108" s="44" t="inlineStr">
        <is>
          <t>U</t>
        </is>
      </c>
      <c r="K1108" s="42" t="inlineStr">
        <is>
          <t>2nd</t>
        </is>
      </c>
      <c r="L1108" s="23" t="n">
        <v>4204</v>
      </c>
      <c r="M1108" s="24" t="n">
        <v>4.4</v>
      </c>
      <c r="N1108" s="23">
        <f>ROUND(L1108/M1108, 0)</f>
        <v/>
      </c>
      <c r="O1108" s="23">
        <f>ROUND(N1108*'Methodology &amp; Assumptions'!$B$8, 0)</f>
        <v/>
      </c>
      <c r="P1108" s="44" t="inlineStr">
        <is>
          <t>Band n50 (1.5 GHz, 60 MHz)</t>
        </is>
      </c>
      <c r="Q1108" s="38">
        <f>ROUNDUP(O1108/'Methodology &amp; Assumptions'!$B$9, 0)</f>
        <v/>
      </c>
      <c r="R1108" s="39" t="n">
        <v>1</v>
      </c>
      <c r="S1108" s="25" t="n">
        <v>2.77</v>
      </c>
      <c r="T1108" s="25" t="n">
        <v>0.15</v>
      </c>
      <c r="U1108" s="42" t="inlineStr">
        <is>
          <t>Tier 1B (Micro Drop, 1-3 km)</t>
        </is>
      </c>
      <c r="V1108" s="24" t="n">
        <v>49.7</v>
      </c>
      <c r="W1108" s="24" t="n">
        <v>100</v>
      </c>
      <c r="X1108" s="24" t="n">
        <v>43</v>
      </c>
      <c r="Y1108" s="45">
        <f>ROUND((V1108*'Methodology &amp; Assumptions'!$B$6)+(W1108*'Methodology &amp; Assumptions'!$B$5)+(X1108*'Methodology &amp; Assumptions'!$B$7), 2)</f>
        <v/>
      </c>
    </row>
    <row r="1109" ht="19" customHeight="1">
      <c r="A1109" s="35" t="n">
        <v>105</v>
      </c>
      <c r="B1109" s="35" t="n">
        <v>4105</v>
      </c>
      <c r="C1109" s="36" t="inlineStr">
        <is>
          <t>1004324009</t>
        </is>
      </c>
      <c r="D1109" s="36" t="inlineStr">
        <is>
          <t>Region X (Northern Mindanao)</t>
        </is>
      </c>
      <c r="E1109" s="36" t="inlineStr">
        <is>
          <t>Misamis Oriental</t>
        </is>
      </c>
      <c r="F1109" s="36" t="inlineStr">
        <is>
          <t>Tagoloan</t>
        </is>
      </c>
      <c r="G1109" s="36" t="inlineStr">
        <is>
          <t>Santa Cruz</t>
        </is>
      </c>
      <c r="H1109" s="37" t="n">
        <v>8.546099999999999</v>
      </c>
      <c r="I1109" s="37" t="n">
        <v>124.7684</v>
      </c>
      <c r="J1109" s="8" t="inlineStr">
        <is>
          <t>U</t>
        </is>
      </c>
      <c r="K1109" s="36" t="inlineStr">
        <is>
          <t>Class 1-3 / Urban</t>
        </is>
      </c>
      <c r="L1109" s="18" t="n">
        <v>16022</v>
      </c>
      <c r="M1109" s="20" t="n">
        <v>4.54</v>
      </c>
      <c r="N1109" s="18">
        <f>ROUND(L1109/M1109, 0)</f>
        <v/>
      </c>
      <c r="O1109" s="18">
        <f>ROUND(N1109*'Methodology &amp; Assumptions'!$B$8, 0)</f>
        <v/>
      </c>
      <c r="P1109" s="8" t="inlineStr">
        <is>
          <t>Band n50 (1.5 GHz, 60 MHz)</t>
        </is>
      </c>
      <c r="Q1109" s="38">
        <f>ROUNDUP(O1109/'Methodology &amp; Assumptions'!$B$9, 0)</f>
        <v/>
      </c>
      <c r="R1109" s="39" t="n">
        <v>1</v>
      </c>
      <c r="S1109" s="21" t="n">
        <v>1.93</v>
      </c>
      <c r="T1109" s="21" t="n">
        <v>0.65</v>
      </c>
      <c r="U1109" s="36" t="inlineStr">
        <is>
          <t>Tier 1B (Micro Drop, 1-3 km)</t>
        </is>
      </c>
      <c r="V1109" s="20" t="n">
        <v>62.5</v>
      </c>
      <c r="W1109" s="20" t="n">
        <v>100</v>
      </c>
      <c r="X1109" s="20" t="n">
        <v>28</v>
      </c>
      <c r="Y1109" s="40">
        <f>ROUND((V1109*'Methodology &amp; Assumptions'!$B$6)+(W1109*'Methodology &amp; Assumptions'!$B$5)+(X1109*'Methodology &amp; Assumptions'!$B$7), 2)</f>
        <v/>
      </c>
    </row>
    <row r="1110" ht="19" customHeight="1">
      <c r="A1110" s="41" t="n">
        <v>106</v>
      </c>
      <c r="B1110" s="41" t="n">
        <v>4106</v>
      </c>
      <c r="C1110" s="42" t="inlineStr">
        <is>
          <t>0907322057</t>
        </is>
      </c>
      <c r="D1110" s="42" t="inlineStr">
        <is>
          <t>Region IX (Zamboanga Peninsula)</t>
        </is>
      </c>
      <c r="E1110" s="42" t="inlineStr">
        <is>
          <t>Zamboanga del Sur</t>
        </is>
      </c>
      <c r="F1110" s="42" t="inlineStr">
        <is>
          <t>City of Pagadian</t>
        </is>
      </c>
      <c r="G1110" s="42" t="inlineStr">
        <is>
          <t>Dumagoc</t>
        </is>
      </c>
      <c r="H1110" s="43" t="n">
        <v>7.817235</v>
      </c>
      <c r="I1110" s="43" t="n">
        <v>123.428358</v>
      </c>
      <c r="J1110" s="44" t="inlineStr">
        <is>
          <t>U</t>
        </is>
      </c>
      <c r="K1110" s="42" t="inlineStr">
        <is>
          <t>Class 1-3 / Urban</t>
        </is>
      </c>
      <c r="L1110" s="23" t="n">
        <v>8522</v>
      </c>
      <c r="M1110" s="24" t="n">
        <v>4.61</v>
      </c>
      <c r="N1110" s="23">
        <f>ROUND(L1110/M1110, 0)</f>
        <v/>
      </c>
      <c r="O1110" s="23">
        <f>ROUND(N1110*'Methodology &amp; Assumptions'!$B$8, 0)</f>
        <v/>
      </c>
      <c r="P1110" s="44" t="inlineStr">
        <is>
          <t>Band n50 (1.5 GHz, 60 MHz)</t>
        </is>
      </c>
      <c r="Q1110" s="38">
        <f>ROUNDUP(O1110/'Methodology &amp; Assumptions'!$B$9, 0)</f>
        <v/>
      </c>
      <c r="R1110" s="39" t="n">
        <v>1</v>
      </c>
      <c r="S1110" s="25" t="n">
        <v>1.93</v>
      </c>
      <c r="T1110" s="25" t="n">
        <v>1.29</v>
      </c>
      <c r="U1110" s="42" t="inlineStr">
        <is>
          <t>Tier 1B (Micro Drop, 1-3 km)</t>
        </is>
      </c>
      <c r="V1110" s="24" t="n">
        <v>62.5</v>
      </c>
      <c r="W1110" s="24" t="n">
        <v>100</v>
      </c>
      <c r="X1110" s="24" t="n">
        <v>28</v>
      </c>
      <c r="Y1110" s="45">
        <f>ROUND((V1110*'Methodology &amp; Assumptions'!$B$6)+(W1110*'Methodology &amp; Assumptions'!$B$5)+(X1110*'Methodology &amp; Assumptions'!$B$7), 2)</f>
        <v/>
      </c>
    </row>
    <row r="1111" ht="19" customHeight="1">
      <c r="A1111" s="35" t="n">
        <v>107</v>
      </c>
      <c r="B1111" s="35" t="n">
        <v>4107</v>
      </c>
      <c r="C1111" s="36" t="inlineStr">
        <is>
          <t>0203135017</t>
        </is>
      </c>
      <c r="D1111" s="36" t="inlineStr">
        <is>
          <t>Region II (Cagayan Valley)</t>
        </is>
      </c>
      <c r="E1111" s="36" t="inlineStr">
        <is>
          <t>Isabela</t>
        </is>
      </c>
      <c r="F1111" s="36" t="inlineStr">
        <is>
          <t>City of Santiago</t>
        </is>
      </c>
      <c r="G1111" s="36" t="inlineStr">
        <is>
          <t>Dubinan West</t>
        </is>
      </c>
      <c r="H1111" s="37" t="n">
        <v>16.690424</v>
      </c>
      <c r="I1111" s="37" t="n">
        <v>121.537588</v>
      </c>
      <c r="J1111" s="8" t="inlineStr">
        <is>
          <t>U</t>
        </is>
      </c>
      <c r="K1111" s="36" t="inlineStr">
        <is>
          <t>Class 1-3 / Urban</t>
        </is>
      </c>
      <c r="L1111" s="18" t="n">
        <v>3188</v>
      </c>
      <c r="M1111" s="20" t="n">
        <v>4.3</v>
      </c>
      <c r="N1111" s="18">
        <f>ROUND(L1111/M1111, 0)</f>
        <v/>
      </c>
      <c r="O1111" s="18">
        <f>ROUND(N1111*'Methodology &amp; Assumptions'!$B$8, 0)</f>
        <v/>
      </c>
      <c r="P1111" s="8" t="inlineStr">
        <is>
          <t>Band n50 (1.5 GHz, 60 MHz)</t>
        </is>
      </c>
      <c r="Q1111" s="38">
        <f>ROUNDUP(O1111/'Methodology &amp; Assumptions'!$B$9, 0)</f>
        <v/>
      </c>
      <c r="R1111" s="39" t="n">
        <v>1</v>
      </c>
      <c r="S1111" s="21" t="n">
        <v>1.1</v>
      </c>
      <c r="T1111" s="21" t="n">
        <v>0.04</v>
      </c>
      <c r="U1111" s="36" t="inlineStr">
        <is>
          <t>Tier 1B (Micro Drop, 1-3 km)</t>
        </is>
      </c>
      <c r="V1111" s="20" t="n">
        <v>79.3</v>
      </c>
      <c r="W1111" s="20" t="n">
        <v>83.2</v>
      </c>
      <c r="X1111" s="20" t="n">
        <v>28</v>
      </c>
      <c r="Y1111" s="40">
        <f>ROUND((V1111*'Methodology &amp; Assumptions'!$B$6)+(W1111*'Methodology &amp; Assumptions'!$B$5)+(X1111*'Methodology &amp; Assumptions'!$B$7), 2)</f>
        <v/>
      </c>
    </row>
    <row r="1112" ht="19" customHeight="1">
      <c r="A1112" s="41" t="n">
        <v>108</v>
      </c>
      <c r="B1112" s="41" t="n">
        <v>4108</v>
      </c>
      <c r="C1112" s="42" t="inlineStr">
        <is>
          <t>0403424028</t>
        </is>
      </c>
      <c r="D1112" s="42" t="inlineStr">
        <is>
          <t>Region IV-A (CALABARZON)</t>
        </is>
      </c>
      <c r="E1112" s="42" t="inlineStr">
        <is>
          <t>Laguna</t>
        </is>
      </c>
      <c r="F1112" s="42" t="inlineStr">
        <is>
          <t>City of San Pablo</t>
        </is>
      </c>
      <c r="G1112" s="42" t="inlineStr">
        <is>
          <t>Barangay VI-E</t>
        </is>
      </c>
      <c r="H1112" s="43" t="n">
        <v>14.074768</v>
      </c>
      <c r="I1112" s="43" t="n">
        <v>121.318081</v>
      </c>
      <c r="J1112" s="44" t="inlineStr">
        <is>
          <t>U</t>
        </is>
      </c>
      <c r="K1112" s="42" t="inlineStr">
        <is>
          <t>Class 1-3 / Urban</t>
        </is>
      </c>
      <c r="L1112" s="23" t="n">
        <v>2617</v>
      </c>
      <c r="M1112" s="24" t="n">
        <v>4.2</v>
      </c>
      <c r="N1112" s="23">
        <f>ROUND(L1112/M1112, 0)</f>
        <v/>
      </c>
      <c r="O1112" s="23">
        <f>ROUND(N1112*'Methodology &amp; Assumptions'!$B$8, 0)</f>
        <v/>
      </c>
      <c r="P1112" s="44" t="inlineStr">
        <is>
          <t>Band n50 (1.5 GHz, 60 MHz)</t>
        </is>
      </c>
      <c r="Q1112" s="38">
        <f>ROUNDUP(O1112/'Methodology &amp; Assumptions'!$B$9, 0)</f>
        <v/>
      </c>
      <c r="R1112" s="39" t="n">
        <v>1</v>
      </c>
      <c r="S1112" s="25" t="n">
        <v>0.72</v>
      </c>
      <c r="T1112" s="25" t="n">
        <v>0.2</v>
      </c>
      <c r="U1112" s="42" t="inlineStr">
        <is>
          <t>Tier 1A (Direct Coloc, &lt;1 km)</t>
        </is>
      </c>
      <c r="V1112" s="24" t="n">
        <v>88.59999999999999</v>
      </c>
      <c r="W1112" s="24" t="n">
        <v>73.90000000000001</v>
      </c>
      <c r="X1112" s="24" t="n">
        <v>28</v>
      </c>
      <c r="Y1112" s="45">
        <f>ROUND((V1112*'Methodology &amp; Assumptions'!$B$6)+(W1112*'Methodology &amp; Assumptions'!$B$5)+(X1112*'Methodology &amp; Assumptions'!$B$7), 2)</f>
        <v/>
      </c>
    </row>
    <row r="1113" ht="19" customHeight="1">
      <c r="A1113" s="35" t="n">
        <v>109</v>
      </c>
      <c r="B1113" s="35" t="n">
        <v>4109</v>
      </c>
      <c r="C1113" s="36" t="inlineStr">
        <is>
          <t>0105526001</t>
        </is>
      </c>
      <c r="D1113" s="36" t="inlineStr">
        <is>
          <t>Region I (Ilocos Region)</t>
        </is>
      </c>
      <c r="E1113" s="36" t="inlineStr">
        <is>
          <t>Pangasinan</t>
        </is>
      </c>
      <c r="F1113" s="36" t="inlineStr">
        <is>
          <t>Mangaldan</t>
        </is>
      </c>
      <c r="G1113" s="36" t="inlineStr">
        <is>
          <t>Alitaya</t>
        </is>
      </c>
      <c r="H1113" s="37" t="n">
        <v>16.02861</v>
      </c>
      <c r="I1113" s="37" t="n">
        <v>120.411591</v>
      </c>
      <c r="J1113" s="8" t="inlineStr">
        <is>
          <t>R</t>
        </is>
      </c>
      <c r="K1113" s="36" t="inlineStr">
        <is>
          <t>Class 1-3 / Urban</t>
        </is>
      </c>
      <c r="L1113" s="18" t="n">
        <v>4687</v>
      </c>
      <c r="M1113" s="20" t="n">
        <v>4.39</v>
      </c>
      <c r="N1113" s="18">
        <f>ROUND(L1113/M1113, 0)</f>
        <v/>
      </c>
      <c r="O1113" s="18">
        <f>ROUND(N1113*'Methodology &amp; Assumptions'!$B$8, 0)</f>
        <v/>
      </c>
      <c r="P1113" s="8" t="inlineStr">
        <is>
          <t>Band n50 (1.5 GHz, 60 MHz)</t>
        </is>
      </c>
      <c r="Q1113" s="38">
        <f>ROUNDUP(O1113/'Methodology &amp; Assumptions'!$B$9, 0)</f>
        <v/>
      </c>
      <c r="R1113" s="39" t="n">
        <v>1</v>
      </c>
      <c r="S1113" s="21" t="n">
        <v>3</v>
      </c>
      <c r="T1113" s="21" t="n">
        <v>2.54</v>
      </c>
      <c r="U1113" s="36" t="inlineStr">
        <is>
          <t>Tier 2 (Fiber Corridor / Lateral, 3-5 km)</t>
        </is>
      </c>
      <c r="V1113" s="20" t="n">
        <v>36.8</v>
      </c>
      <c r="W1113" s="20" t="n">
        <v>100</v>
      </c>
      <c r="X1113" s="20" t="n">
        <v>58</v>
      </c>
      <c r="Y1113" s="40">
        <f>ROUND((V1113*'Methodology &amp; Assumptions'!$B$6)+(W1113*'Methodology &amp; Assumptions'!$B$5)+(X1113*'Methodology &amp; Assumptions'!$B$7), 2)</f>
        <v/>
      </c>
    </row>
    <row r="1114" ht="19" customHeight="1">
      <c r="A1114" s="41" t="n">
        <v>110</v>
      </c>
      <c r="B1114" s="41" t="n">
        <v>4110</v>
      </c>
      <c r="C1114" s="42" t="inlineStr">
        <is>
          <t>0402118037</t>
        </is>
      </c>
      <c r="D1114" s="42" t="inlineStr">
        <is>
          <t>Region IV-A (CALABARZON)</t>
        </is>
      </c>
      <c r="E1114" s="42" t="inlineStr">
        <is>
          <t>Cavite</t>
        </is>
      </c>
      <c r="F1114" s="42" t="inlineStr">
        <is>
          <t>Silang</t>
        </is>
      </c>
      <c r="G1114" s="42" t="inlineStr">
        <is>
          <t>Pooc I</t>
        </is>
      </c>
      <c r="H1114" s="43" t="n">
        <v>14.187334</v>
      </c>
      <c r="I1114" s="43" t="n">
        <v>120.994087</v>
      </c>
      <c r="J1114" s="44" t="inlineStr">
        <is>
          <t>R</t>
        </is>
      </c>
      <c r="K1114" s="42" t="inlineStr">
        <is>
          <t>Class 1-3 / Urban</t>
        </is>
      </c>
      <c r="L1114" s="23" t="n">
        <v>2513</v>
      </c>
      <c r="M1114" s="24" t="n">
        <v>4.49</v>
      </c>
      <c r="N1114" s="23">
        <f>ROUND(L1114/M1114, 0)</f>
        <v/>
      </c>
      <c r="O1114" s="23">
        <f>ROUND(N1114*'Methodology &amp; Assumptions'!$B$8, 0)</f>
        <v/>
      </c>
      <c r="P1114" s="44" t="inlineStr">
        <is>
          <t>Band n50 (1.5 GHz, 60 MHz)</t>
        </is>
      </c>
      <c r="Q1114" s="38">
        <f>ROUNDUP(O1114/'Methodology &amp; Assumptions'!$B$9, 0)</f>
        <v/>
      </c>
      <c r="R1114" s="39" t="n">
        <v>1</v>
      </c>
      <c r="S1114" s="25" t="n">
        <v>1.64</v>
      </c>
      <c r="T1114" s="25" t="n">
        <v>1.59</v>
      </c>
      <c r="U1114" s="42" t="inlineStr">
        <is>
          <t>Tier 1B (Micro Drop, 1-3 km)</t>
        </is>
      </c>
      <c r="V1114" s="24" t="n">
        <v>68</v>
      </c>
      <c r="W1114" s="24" t="n">
        <v>68.8</v>
      </c>
      <c r="X1114" s="24" t="n">
        <v>58</v>
      </c>
      <c r="Y1114" s="45">
        <f>ROUND((V1114*'Methodology &amp; Assumptions'!$B$6)+(W1114*'Methodology &amp; Assumptions'!$B$5)+(X1114*'Methodology &amp; Assumptions'!$B$7), 2)</f>
        <v/>
      </c>
    </row>
    <row r="1115" ht="19" customHeight="1">
      <c r="A1115" s="35" t="n">
        <v>111</v>
      </c>
      <c r="B1115" s="35" t="n">
        <v>4111</v>
      </c>
      <c r="C1115" s="36" t="inlineStr">
        <is>
          <t>0402115014</t>
        </is>
      </c>
      <c r="D1115" s="36" t="inlineStr">
        <is>
          <t>Region IV-A (CALABARZON)</t>
        </is>
      </c>
      <c r="E1115" s="36" t="inlineStr">
        <is>
          <t>Cavite</t>
        </is>
      </c>
      <c r="F1115" s="36" t="inlineStr">
        <is>
          <t>Naic</t>
        </is>
      </c>
      <c r="G1115" s="36" t="inlineStr">
        <is>
          <t>Kanluran</t>
        </is>
      </c>
      <c r="H1115" s="37" t="n">
        <v>14.317172</v>
      </c>
      <c r="I1115" s="37" t="n">
        <v>120.763437</v>
      </c>
      <c r="J1115" s="8" t="inlineStr">
        <is>
          <t>R</t>
        </is>
      </c>
      <c r="K1115" s="36" t="inlineStr">
        <is>
          <t>Class 1-3 / Urban</t>
        </is>
      </c>
      <c r="L1115" s="18" t="n">
        <v>1763</v>
      </c>
      <c r="M1115" s="20" t="n">
        <v>4.49</v>
      </c>
      <c r="N1115" s="18">
        <f>ROUND(L1115/M1115, 0)</f>
        <v/>
      </c>
      <c r="O1115" s="18">
        <f>ROUND(N1115*'Methodology &amp; Assumptions'!$B$8, 0)</f>
        <v/>
      </c>
      <c r="P1115" s="8" t="inlineStr">
        <is>
          <t>Band n50 (1.5 GHz, 60 MHz)</t>
        </is>
      </c>
      <c r="Q1115" s="38">
        <f>ROUNDUP(O1115/'Methodology &amp; Assumptions'!$B$9, 0)</f>
        <v/>
      </c>
      <c r="R1115" s="39" t="n">
        <v>1</v>
      </c>
      <c r="S1115" s="21" t="n">
        <v>1.02</v>
      </c>
      <c r="T1115" s="21" t="n">
        <v>0.9399999999999999</v>
      </c>
      <c r="U1115" s="36" t="inlineStr">
        <is>
          <t>Tier 1B (Micro Drop, 1-3 km)</t>
        </is>
      </c>
      <c r="V1115" s="20" t="n">
        <v>81.3</v>
      </c>
      <c r="W1115" s="20" t="n">
        <v>55.5</v>
      </c>
      <c r="X1115" s="20" t="n">
        <v>58</v>
      </c>
      <c r="Y1115" s="40">
        <f>ROUND((V1115*'Methodology &amp; Assumptions'!$B$6)+(W1115*'Methodology &amp; Assumptions'!$B$5)+(X1115*'Methodology &amp; Assumptions'!$B$7), 2)</f>
        <v/>
      </c>
    </row>
    <row r="1116" ht="19" customHeight="1">
      <c r="A1116" s="41" t="n">
        <v>112</v>
      </c>
      <c r="B1116" s="41" t="n">
        <v>4112</v>
      </c>
      <c r="C1116" s="42" t="inlineStr">
        <is>
          <t>0803702054</t>
        </is>
      </c>
      <c r="D1116" s="42" t="inlineStr">
        <is>
          <t>Region VIII (Eastern Visayas)</t>
        </is>
      </c>
      <c r="E1116" s="42" t="inlineStr">
        <is>
          <t>Leyte</t>
        </is>
      </c>
      <c r="F1116" s="42" t="inlineStr">
        <is>
          <t>Alangalang</t>
        </is>
      </c>
      <c r="G1116" s="42" t="inlineStr">
        <is>
          <t>San Roque</t>
        </is>
      </c>
      <c r="H1116" s="43" t="n">
        <v>11.209297</v>
      </c>
      <c r="I1116" s="43" t="n">
        <v>124.845754</v>
      </c>
      <c r="J1116" s="44" t="inlineStr">
        <is>
          <t>R</t>
        </is>
      </c>
      <c r="K1116" s="42" t="inlineStr">
        <is>
          <t>Class 1-3 / Urban</t>
        </is>
      </c>
      <c r="L1116" s="23" t="n">
        <v>1116</v>
      </c>
      <c r="M1116" s="24" t="n">
        <v>4.24</v>
      </c>
      <c r="N1116" s="23">
        <f>ROUND(L1116/M1116, 0)</f>
        <v/>
      </c>
      <c r="O1116" s="23">
        <f>ROUND(N1116*'Methodology &amp; Assumptions'!$B$8, 0)</f>
        <v/>
      </c>
      <c r="P1116" s="44" t="inlineStr">
        <is>
          <t>Band n50 (1.5 GHz, 60 MHz)</t>
        </is>
      </c>
      <c r="Q1116" s="38">
        <f>ROUNDUP(O1116/'Methodology &amp; Assumptions'!$B$9, 0)</f>
        <v/>
      </c>
      <c r="R1116" s="39" t="n">
        <v>1</v>
      </c>
      <c r="S1116" s="25" t="n">
        <v>0.61</v>
      </c>
      <c r="T1116" s="25" t="n">
        <v>0.24</v>
      </c>
      <c r="U1116" s="42" t="inlineStr">
        <is>
          <t>Tier 1A (Direct Coloc, &lt;1 km)</t>
        </is>
      </c>
      <c r="V1116" s="24" t="n">
        <v>91.7</v>
      </c>
      <c r="W1116" s="24" t="n">
        <v>45.1</v>
      </c>
      <c r="X1116" s="24" t="n">
        <v>58</v>
      </c>
      <c r="Y1116" s="45">
        <f>ROUND((V1116*'Methodology &amp; Assumptions'!$B$6)+(W1116*'Methodology &amp; Assumptions'!$B$5)+(X1116*'Methodology &amp; Assumptions'!$B$7), 2)</f>
        <v/>
      </c>
    </row>
    <row r="1117" ht="19" customHeight="1">
      <c r="A1117" s="35" t="n">
        <v>113</v>
      </c>
      <c r="B1117" s="35" t="n">
        <v>4113</v>
      </c>
      <c r="C1117" s="36" t="inlineStr">
        <is>
          <t>0105544051</t>
        </is>
      </c>
      <c r="D1117" s="36" t="inlineStr">
        <is>
          <t>Region I (Ilocos Region)</t>
        </is>
      </c>
      <c r="E1117" s="36" t="inlineStr">
        <is>
          <t>Pangasinan</t>
        </is>
      </c>
      <c r="F1117" s="36" t="inlineStr">
        <is>
          <t>Umingan</t>
        </is>
      </c>
      <c r="G1117" s="36" t="inlineStr">
        <is>
          <t>San Andres</t>
        </is>
      </c>
      <c r="H1117" s="37" t="n">
        <v>15.90563</v>
      </c>
      <c r="I1117" s="37" t="n">
        <v>120.7366</v>
      </c>
      <c r="J1117" s="8" t="inlineStr">
        <is>
          <t>R</t>
        </is>
      </c>
      <c r="K1117" s="36" t="inlineStr">
        <is>
          <t>Class 1-3 / Urban</t>
        </is>
      </c>
      <c r="L1117" s="18" t="n">
        <v>892</v>
      </c>
      <c r="M1117" s="20" t="n">
        <v>4.39</v>
      </c>
      <c r="N1117" s="18">
        <f>ROUND(L1117/M1117, 0)</f>
        <v/>
      </c>
      <c r="O1117" s="18">
        <f>ROUND(N1117*'Methodology &amp; Assumptions'!$B$8, 0)</f>
        <v/>
      </c>
      <c r="P1117" s="8" t="inlineStr">
        <is>
          <t>Band n50 (1.5 GHz, 60 MHz)</t>
        </is>
      </c>
      <c r="Q1117" s="38">
        <f>ROUNDUP(O1117/'Methodology &amp; Assumptions'!$B$9, 0)</f>
        <v/>
      </c>
      <c r="R1117" s="39" t="n">
        <v>1</v>
      </c>
      <c r="S1117" s="21" t="n">
        <v>0.11</v>
      </c>
      <c r="T1117" s="21" t="n">
        <v>9.470000000000001</v>
      </c>
      <c r="U1117" s="36" t="inlineStr">
        <is>
          <t>Tier 1A (Direct Coloc, &lt;1 km)</t>
        </is>
      </c>
      <c r="V1117" s="20" t="n">
        <v>96.5</v>
      </c>
      <c r="W1117" s="20" t="n">
        <v>40.3</v>
      </c>
      <c r="X1117" s="20" t="n">
        <v>58</v>
      </c>
      <c r="Y1117" s="40">
        <f>ROUND((V1117*'Methodology &amp; Assumptions'!$B$6)+(W1117*'Methodology &amp; Assumptions'!$B$5)+(X1117*'Methodology &amp; Assumptions'!$B$7), 2)</f>
        <v/>
      </c>
    </row>
    <row r="1118" ht="19" customHeight="1">
      <c r="A1118" s="41" t="n">
        <v>114</v>
      </c>
      <c r="B1118" s="41" t="n">
        <v>4114</v>
      </c>
      <c r="C1118" s="42" t="inlineStr">
        <is>
          <t>0730600006</t>
        </is>
      </c>
      <c r="D1118" s="42" t="inlineStr">
        <is>
          <t>Region VII (Central Visayas)</t>
        </is>
      </c>
      <c r="E1118" s="42" t="inlineStr">
        <is>
          <t>Cebu</t>
        </is>
      </c>
      <c r="F1118" s="42" t="inlineStr">
        <is>
          <t>City of Cebu</t>
        </is>
      </c>
      <c r="G1118" s="42" t="inlineStr">
        <is>
          <t>Bacayan</t>
        </is>
      </c>
      <c r="H1118" s="43" t="n">
        <v>10.38716</v>
      </c>
      <c r="I1118" s="43" t="n">
        <v>123.921834</v>
      </c>
      <c r="J1118" s="44" t="inlineStr">
        <is>
          <t>U</t>
        </is>
      </c>
      <c r="K1118" s="42" t="inlineStr">
        <is>
          <t>Class 1-3 / Urban</t>
        </is>
      </c>
      <c r="L1118" s="23" t="n">
        <v>14460</v>
      </c>
      <c r="M1118" s="24" t="n">
        <v>4.42</v>
      </c>
      <c r="N1118" s="23">
        <f>ROUND(L1118/M1118, 0)</f>
        <v/>
      </c>
      <c r="O1118" s="23">
        <f>ROUND(N1118*'Methodology &amp; Assumptions'!$B$8, 0)</f>
        <v/>
      </c>
      <c r="P1118" s="44" t="inlineStr">
        <is>
          <t>Band n50 (1.5 GHz, 60 MHz)</t>
        </is>
      </c>
      <c r="Q1118" s="38">
        <f>ROUNDUP(O1118/'Methodology &amp; Assumptions'!$B$9, 0)</f>
        <v/>
      </c>
      <c r="R1118" s="39" t="n">
        <v>1</v>
      </c>
      <c r="S1118" s="25" t="n">
        <v>1.93</v>
      </c>
      <c r="T1118" s="25" t="n">
        <v>0.19</v>
      </c>
      <c r="U1118" s="42" t="inlineStr">
        <is>
          <t>Tier 1B (Micro Drop, 1-3 km)</t>
        </is>
      </c>
      <c r="V1118" s="24" t="n">
        <v>62.5</v>
      </c>
      <c r="W1118" s="24" t="n">
        <v>100</v>
      </c>
      <c r="X1118" s="24" t="n">
        <v>28</v>
      </c>
      <c r="Y1118" s="45">
        <f>ROUND((V1118*'Methodology &amp; Assumptions'!$B$6)+(W1118*'Methodology &amp; Assumptions'!$B$5)+(X1118*'Methodology &amp; Assumptions'!$B$7), 2)</f>
        <v/>
      </c>
    </row>
    <row r="1119" ht="19" customHeight="1">
      <c r="A1119" s="35" t="n">
        <v>115</v>
      </c>
      <c r="B1119" s="35" t="n">
        <v>4115</v>
      </c>
      <c r="C1119" s="36" t="inlineStr">
        <is>
          <t>0501721014</t>
        </is>
      </c>
      <c r="D1119" s="36" t="inlineStr">
        <is>
          <t>Region V (Bicol Region)</t>
        </is>
      </c>
      <c r="E1119" s="36" t="inlineStr">
        <is>
          <t>Camarines Sur</t>
        </is>
      </c>
      <c r="F1119" s="36" t="inlineStr">
        <is>
          <t>Milaor</t>
        </is>
      </c>
      <c r="G1119" s="36" t="inlineStr">
        <is>
          <t>San Antonio</t>
        </is>
      </c>
      <c r="H1119" s="37" t="n">
        <v>13.596728</v>
      </c>
      <c r="I1119" s="37" t="n">
        <v>123.232221</v>
      </c>
      <c r="J1119" s="8" t="inlineStr">
        <is>
          <t>R</t>
        </is>
      </c>
      <c r="K1119" s="36" t="inlineStr">
        <is>
          <t>3rd</t>
        </is>
      </c>
      <c r="L1119" s="18" t="n">
        <v>3941</v>
      </c>
      <c r="M1119" s="20" t="n">
        <v>4.92</v>
      </c>
      <c r="N1119" s="18">
        <f>ROUND(L1119/M1119, 0)</f>
        <v/>
      </c>
      <c r="O1119" s="18">
        <f>ROUND(N1119*'Methodology &amp; Assumptions'!$B$8, 0)</f>
        <v/>
      </c>
      <c r="P1119" s="8" t="inlineStr">
        <is>
          <t>Band n50 (1.5 GHz, 60 MHz)</t>
        </is>
      </c>
      <c r="Q1119" s="38">
        <f>ROUNDUP(O1119/'Methodology &amp; Assumptions'!$B$9, 0)</f>
        <v/>
      </c>
      <c r="R1119" s="39" t="n">
        <v>1</v>
      </c>
      <c r="S1119" s="21" t="n">
        <v>2.16</v>
      </c>
      <c r="T1119" s="21" t="n">
        <v>2.05</v>
      </c>
      <c r="U1119" s="36" t="inlineStr">
        <is>
          <t>Tier 1B (Micro Drop, 1-3 km)</t>
        </is>
      </c>
      <c r="V1119" s="20" t="n">
        <v>48.7</v>
      </c>
      <c r="W1119" s="20" t="n">
        <v>88</v>
      </c>
      <c r="X1119" s="20" t="n">
        <v>58</v>
      </c>
      <c r="Y1119" s="40">
        <f>ROUND((V1119*'Methodology &amp; Assumptions'!$B$6)+(W1119*'Methodology &amp; Assumptions'!$B$5)+(X1119*'Methodology &amp; Assumptions'!$B$7), 2)</f>
        <v/>
      </c>
    </row>
    <row r="1120" ht="19" customHeight="1">
      <c r="A1120" s="41" t="n">
        <v>116</v>
      </c>
      <c r="B1120" s="41" t="n">
        <v>4116</v>
      </c>
      <c r="C1120" s="42" t="inlineStr">
        <is>
          <t>0203112066</t>
        </is>
      </c>
      <c r="D1120" s="42" t="inlineStr">
        <is>
          <t>Region II (Cagayan Valley)</t>
        </is>
      </c>
      <c r="E1120" s="42" t="inlineStr">
        <is>
          <t>Isabela</t>
        </is>
      </c>
      <c r="F1120" s="42" t="inlineStr">
        <is>
          <t>Echague</t>
        </is>
      </c>
      <c r="G1120" s="42" t="inlineStr">
        <is>
          <t>Cabugao</t>
        </is>
      </c>
      <c r="H1120" s="43" t="n">
        <v>16.705814</v>
      </c>
      <c r="I1120" s="43" t="n">
        <v>121.671035</v>
      </c>
      <c r="J1120" s="44" t="inlineStr">
        <is>
          <t>R</t>
        </is>
      </c>
      <c r="K1120" s="42" t="inlineStr">
        <is>
          <t>Class 1-3 / Urban</t>
        </is>
      </c>
      <c r="L1120" s="23" t="n">
        <v>1847</v>
      </c>
      <c r="M1120" s="24" t="n">
        <v>4.3</v>
      </c>
      <c r="N1120" s="23">
        <f>ROUND(L1120/M1120, 0)</f>
        <v/>
      </c>
      <c r="O1120" s="23">
        <f>ROUND(N1120*'Methodology &amp; Assumptions'!$B$8, 0)</f>
        <v/>
      </c>
      <c r="P1120" s="44" t="inlineStr">
        <is>
          <t>Band n50 (1.5 GHz, 60 MHz)</t>
        </is>
      </c>
      <c r="Q1120" s="38">
        <f>ROUNDUP(O1120/'Methodology &amp; Assumptions'!$B$9, 0)</f>
        <v/>
      </c>
      <c r="R1120" s="39" t="n">
        <v>1</v>
      </c>
      <c r="S1120" s="25" t="n">
        <v>1.14</v>
      </c>
      <c r="T1120" s="25" t="n">
        <v>0.33</v>
      </c>
      <c r="U1120" s="42" t="inlineStr">
        <is>
          <t>Tier 1B (Micro Drop, 1-3 km)</t>
        </is>
      </c>
      <c r="V1120" s="24" t="n">
        <v>78.3</v>
      </c>
      <c r="W1120" s="24" t="n">
        <v>58.4</v>
      </c>
      <c r="X1120" s="24" t="n">
        <v>58</v>
      </c>
      <c r="Y1120" s="45">
        <f>ROUND((V1120*'Methodology &amp; Assumptions'!$B$6)+(W1120*'Methodology &amp; Assumptions'!$B$5)+(X1120*'Methodology &amp; Assumptions'!$B$7), 2)</f>
        <v/>
      </c>
    </row>
    <row r="1121" ht="19" customHeight="1">
      <c r="A1121" s="35" t="n">
        <v>117</v>
      </c>
      <c r="B1121" s="35" t="n">
        <v>4117</v>
      </c>
      <c r="C1121" s="36" t="inlineStr">
        <is>
          <t>0403426002</t>
        </is>
      </c>
      <c r="D1121" s="36" t="inlineStr">
        <is>
          <t>Region IV-A (CALABARZON)</t>
        </is>
      </c>
      <c r="E1121" s="36" t="inlineStr">
        <is>
          <t>Laguna</t>
        </is>
      </c>
      <c r="F1121" s="36" t="inlineStr">
        <is>
          <t>Santa Cruz</t>
        </is>
      </c>
      <c r="G1121" s="36" t="inlineStr">
        <is>
          <t>Bagumbayan</t>
        </is>
      </c>
      <c r="H1121" s="37" t="n">
        <v>14.267972</v>
      </c>
      <c r="I1121" s="37" t="n">
        <v>121.399268</v>
      </c>
      <c r="J1121" s="8" t="inlineStr">
        <is>
          <t>U</t>
        </is>
      </c>
      <c r="K1121" s="36" t="inlineStr">
        <is>
          <t>Class 1-3 / Urban</t>
        </is>
      </c>
      <c r="L1121" s="18" t="n">
        <v>13364</v>
      </c>
      <c r="M1121" s="20" t="n">
        <v>4.2</v>
      </c>
      <c r="N1121" s="18">
        <f>ROUND(L1121/M1121, 0)</f>
        <v/>
      </c>
      <c r="O1121" s="18">
        <f>ROUND(N1121*'Methodology &amp; Assumptions'!$B$8, 0)</f>
        <v/>
      </c>
      <c r="P1121" s="8" t="inlineStr">
        <is>
          <t>Band n50 (1.5 GHz, 60 MHz)</t>
        </is>
      </c>
      <c r="Q1121" s="38">
        <f>ROUNDUP(O1121/'Methodology &amp; Assumptions'!$B$9, 0)</f>
        <v/>
      </c>
      <c r="R1121" s="39" t="n">
        <v>1</v>
      </c>
      <c r="S1121" s="21" t="n">
        <v>1.94</v>
      </c>
      <c r="T1121" s="21" t="n">
        <v>0.73</v>
      </c>
      <c r="U1121" s="36" t="inlineStr">
        <is>
          <t>Tier 1B (Micro Drop, 1-3 km)</t>
        </is>
      </c>
      <c r="V1121" s="20" t="n">
        <v>62.5</v>
      </c>
      <c r="W1121" s="20" t="n">
        <v>100</v>
      </c>
      <c r="X1121" s="20" t="n">
        <v>28</v>
      </c>
      <c r="Y1121" s="40">
        <f>ROUND((V1121*'Methodology &amp; Assumptions'!$B$6)+(W1121*'Methodology &amp; Assumptions'!$B$5)+(X1121*'Methodology &amp; Assumptions'!$B$7), 2)</f>
        <v/>
      </c>
    </row>
    <row r="1122" ht="19" customHeight="1">
      <c r="A1122" s="41" t="n">
        <v>118</v>
      </c>
      <c r="B1122" s="41" t="n">
        <v>4118</v>
      </c>
      <c r="C1122" s="42" t="inlineStr">
        <is>
          <t>0102914017</t>
        </is>
      </c>
      <c r="D1122" s="42" t="inlineStr">
        <is>
          <t>Region I (Ilocos Region)</t>
        </is>
      </c>
      <c r="E1122" s="42" t="inlineStr">
        <is>
          <t>Ilocos Sur</t>
        </is>
      </c>
      <c r="F1122" s="42" t="inlineStr">
        <is>
          <t>Narvacan</t>
        </is>
      </c>
      <c r="G1122" s="42" t="inlineStr">
        <is>
          <t>Margaay</t>
        </is>
      </c>
      <c r="H1122" s="43" t="n">
        <v>17.429215</v>
      </c>
      <c r="I1122" s="43" t="n">
        <v>120.468886</v>
      </c>
      <c r="J1122" s="44" t="inlineStr">
        <is>
          <t>U</t>
        </is>
      </c>
      <c r="K1122" s="42" t="inlineStr">
        <is>
          <t>Class 1-3 / Urban</t>
        </is>
      </c>
      <c r="L1122" s="23" t="n">
        <v>2607</v>
      </c>
      <c r="M1122" s="24" t="n">
        <v>4.56</v>
      </c>
      <c r="N1122" s="23">
        <f>ROUND(L1122/M1122, 0)</f>
        <v/>
      </c>
      <c r="O1122" s="23">
        <f>ROUND(N1122*'Methodology &amp; Assumptions'!$B$8, 0)</f>
        <v/>
      </c>
      <c r="P1122" s="44" t="inlineStr">
        <is>
          <t>Band n50 (1.5 GHz, 60 MHz)</t>
        </is>
      </c>
      <c r="Q1122" s="38">
        <f>ROUNDUP(O1122/'Methodology &amp; Assumptions'!$B$9, 0)</f>
        <v/>
      </c>
      <c r="R1122" s="39" t="n">
        <v>1</v>
      </c>
      <c r="S1122" s="25" t="n">
        <v>0.57</v>
      </c>
      <c r="T1122" s="25" t="n">
        <v>0.38</v>
      </c>
      <c r="U1122" s="42" t="inlineStr">
        <is>
          <t>Tier 1A (Direct Coloc, &lt;1 km)</t>
        </is>
      </c>
      <c r="V1122" s="24" t="n">
        <v>92.59999999999999</v>
      </c>
      <c r="W1122" s="24" t="n">
        <v>69.90000000000001</v>
      </c>
      <c r="X1122" s="24" t="n">
        <v>28</v>
      </c>
      <c r="Y1122" s="45">
        <f>ROUND((V1122*'Methodology &amp; Assumptions'!$B$6)+(W1122*'Methodology &amp; Assumptions'!$B$5)+(X1122*'Methodology &amp; Assumptions'!$B$7), 2)</f>
        <v/>
      </c>
    </row>
    <row r="1123" ht="19" customHeight="1">
      <c r="A1123" s="35" t="n">
        <v>119</v>
      </c>
      <c r="B1123" s="35" t="n">
        <v>4119</v>
      </c>
      <c r="C1123" s="36" t="inlineStr">
        <is>
          <t>0402123011</t>
        </is>
      </c>
      <c r="D1123" s="36" t="inlineStr">
        <is>
          <t>Region IV-A (CALABARZON)</t>
        </is>
      </c>
      <c r="E1123" s="36" t="inlineStr">
        <is>
          <t>Cavite</t>
        </is>
      </c>
      <c r="F1123" s="36" t="inlineStr">
        <is>
          <t>Gen. Mariano Alvarez</t>
        </is>
      </c>
      <c r="G1123" s="36" t="inlineStr">
        <is>
          <t>Francisco Reyes</t>
        </is>
      </c>
      <c r="H1123" s="37" t="n">
        <v>14.328639</v>
      </c>
      <c r="I1123" s="37" t="n">
        <v>121.03268</v>
      </c>
      <c r="J1123" s="8" t="inlineStr">
        <is>
          <t>U</t>
        </is>
      </c>
      <c r="K1123" s="36" t="inlineStr">
        <is>
          <t>Class 1-3 / Urban</t>
        </is>
      </c>
      <c r="L1123" s="18" t="n">
        <v>7930</v>
      </c>
      <c r="M1123" s="20" t="n">
        <v>4.49</v>
      </c>
      <c r="N1123" s="18">
        <f>ROUND(L1123/M1123, 0)</f>
        <v/>
      </c>
      <c r="O1123" s="18">
        <f>ROUND(N1123*'Methodology &amp; Assumptions'!$B$8, 0)</f>
        <v/>
      </c>
      <c r="P1123" s="8" t="inlineStr">
        <is>
          <t>Band n50 (1.5 GHz, 60 MHz)</t>
        </is>
      </c>
      <c r="Q1123" s="38">
        <f>ROUNDUP(O1123/'Methodology &amp; Assumptions'!$B$9, 0)</f>
        <v/>
      </c>
      <c r="R1123" s="39" t="n">
        <v>1</v>
      </c>
      <c r="S1123" s="21" t="n">
        <v>1.94</v>
      </c>
      <c r="T1123" s="21" t="n">
        <v>1.96</v>
      </c>
      <c r="U1123" s="36" t="inlineStr">
        <is>
          <t>Tier 1B (Micro Drop, 1-3 km)</t>
        </is>
      </c>
      <c r="V1123" s="20" t="n">
        <v>62.4</v>
      </c>
      <c r="W1123" s="20" t="n">
        <v>100</v>
      </c>
      <c r="X1123" s="20" t="n">
        <v>28</v>
      </c>
      <c r="Y1123" s="40">
        <f>ROUND((V1123*'Methodology &amp; Assumptions'!$B$6)+(W1123*'Methodology &amp; Assumptions'!$B$5)+(X1123*'Methodology &amp; Assumptions'!$B$7), 2)</f>
        <v/>
      </c>
    </row>
    <row r="1124" ht="19" customHeight="1">
      <c r="A1124" s="41" t="n">
        <v>120</v>
      </c>
      <c r="B1124" s="41" t="n">
        <v>4120</v>
      </c>
      <c r="C1124" s="42" t="inlineStr">
        <is>
          <t>0103313022</t>
        </is>
      </c>
      <c r="D1124" s="42" t="inlineStr">
        <is>
          <t>Region I (Ilocos Region)</t>
        </is>
      </c>
      <c r="E1124" s="42" t="inlineStr">
        <is>
          <t>La Union</t>
        </is>
      </c>
      <c r="F1124" s="42" t="inlineStr">
        <is>
          <t>Rosario</t>
        </is>
      </c>
      <c r="G1124" s="42" t="inlineStr">
        <is>
          <t>Poblacion East</t>
        </is>
      </c>
      <c r="H1124" s="43" t="n">
        <v>16.229667</v>
      </c>
      <c r="I1124" s="43" t="n">
        <v>120.487533</v>
      </c>
      <c r="J1124" s="44" t="inlineStr">
        <is>
          <t>U</t>
        </is>
      </c>
      <c r="K1124" s="42" t="inlineStr">
        <is>
          <t>Class 1-3 / Urban</t>
        </is>
      </c>
      <c r="L1124" s="23" t="n">
        <v>2489</v>
      </c>
      <c r="M1124" s="24" t="n">
        <v>4.42</v>
      </c>
      <c r="N1124" s="23">
        <f>ROUND(L1124/M1124, 0)</f>
        <v/>
      </c>
      <c r="O1124" s="23">
        <f>ROUND(N1124*'Methodology &amp; Assumptions'!$B$8, 0)</f>
        <v/>
      </c>
      <c r="P1124" s="44" t="inlineStr">
        <is>
          <t>Band n50 (1.5 GHz, 60 MHz)</t>
        </is>
      </c>
      <c r="Q1124" s="38">
        <f>ROUNDUP(O1124/'Methodology &amp; Assumptions'!$B$9, 0)</f>
        <v/>
      </c>
      <c r="R1124" s="39" t="n">
        <v>1</v>
      </c>
      <c r="S1124" s="25" t="n">
        <v>0.55</v>
      </c>
      <c r="T1124" s="25" t="n">
        <v>0.08</v>
      </c>
      <c r="U1124" s="42" t="inlineStr">
        <is>
          <t>Tier 1A (Direct Coloc, &lt;1 km)</t>
        </is>
      </c>
      <c r="V1124" s="24" t="n">
        <v>93.40000000000001</v>
      </c>
      <c r="W1124" s="24" t="n">
        <v>69.09999999999999</v>
      </c>
      <c r="X1124" s="24" t="n">
        <v>28</v>
      </c>
      <c r="Y1124" s="45">
        <f>ROUND((V1124*'Methodology &amp; Assumptions'!$B$6)+(W1124*'Methodology &amp; Assumptions'!$B$5)+(X1124*'Methodology &amp; Assumptions'!$B$7), 2)</f>
        <v/>
      </c>
    </row>
    <row r="1125" ht="19" customHeight="1">
      <c r="A1125" s="35" t="n">
        <v>121</v>
      </c>
      <c r="B1125" s="35" t="n">
        <v>4121</v>
      </c>
      <c r="C1125" s="36" t="inlineStr">
        <is>
          <t>0702205006</t>
        </is>
      </c>
      <c r="D1125" s="36" t="inlineStr">
        <is>
          <t>Region VII (Central Visayas)</t>
        </is>
      </c>
      <c r="E1125" s="36" t="inlineStr">
        <is>
          <t>Cebu</t>
        </is>
      </c>
      <c r="F1125" s="36" t="inlineStr">
        <is>
          <t>Argao</t>
        </is>
      </c>
      <c r="G1125" s="36" t="inlineStr">
        <is>
          <t>Binlod</t>
        </is>
      </c>
      <c r="H1125" s="37" t="n">
        <v>9.91527</v>
      </c>
      <c r="I1125" s="37" t="n">
        <v>123.609149</v>
      </c>
      <c r="J1125" s="8" t="inlineStr">
        <is>
          <t>R</t>
        </is>
      </c>
      <c r="K1125" s="36" t="inlineStr">
        <is>
          <t>Class 1-3 / Urban</t>
        </is>
      </c>
      <c r="L1125" s="18" t="n">
        <v>4067</v>
      </c>
      <c r="M1125" s="20" t="n">
        <v>4.42</v>
      </c>
      <c r="N1125" s="18">
        <f>ROUND(L1125/M1125, 0)</f>
        <v/>
      </c>
      <c r="O1125" s="18">
        <f>ROUND(N1125*'Methodology &amp; Assumptions'!$B$8, 0)</f>
        <v/>
      </c>
      <c r="P1125" s="8" t="inlineStr">
        <is>
          <t>Band n50 (1.5 GHz, 60 MHz)</t>
        </is>
      </c>
      <c r="Q1125" s="38">
        <f>ROUNDUP(O1125/'Methodology &amp; Assumptions'!$B$9, 0)</f>
        <v/>
      </c>
      <c r="R1125" s="39" t="n">
        <v>1</v>
      </c>
      <c r="S1125" s="21" t="n">
        <v>3.7</v>
      </c>
      <c r="T1125" s="21" t="n">
        <v>0.21</v>
      </c>
      <c r="U1125" s="36" t="inlineStr">
        <is>
          <t>Tier 2 (Fiber Corridor / Lateral, 3-5 km)</t>
        </is>
      </c>
      <c r="V1125" s="20" t="n">
        <v>39.1</v>
      </c>
      <c r="W1125" s="20" t="n">
        <v>97.59999999999999</v>
      </c>
      <c r="X1125" s="20" t="n">
        <v>58</v>
      </c>
      <c r="Y1125" s="40">
        <f>ROUND((V1125*'Methodology &amp; Assumptions'!$B$6)+(W1125*'Methodology &amp; Assumptions'!$B$5)+(X1125*'Methodology &amp; Assumptions'!$B$7), 2)</f>
        <v/>
      </c>
    </row>
    <row r="1126" ht="19" customHeight="1">
      <c r="A1126" s="41" t="n">
        <v>122</v>
      </c>
      <c r="B1126" s="41" t="n">
        <v>4122</v>
      </c>
      <c r="C1126" s="42" t="inlineStr">
        <is>
          <t>0601912017</t>
        </is>
      </c>
      <c r="D1126" s="42" t="inlineStr">
        <is>
          <t>Region VI (Western Visayas)</t>
        </is>
      </c>
      <c r="E1126" s="42" t="inlineStr">
        <is>
          <t>Capiz</t>
        </is>
      </c>
      <c r="F1126" s="42" t="inlineStr">
        <is>
          <t>Pontevedra</t>
        </is>
      </c>
      <c r="G1126" s="42" t="inlineStr">
        <is>
          <t>Malag-it</t>
        </is>
      </c>
      <c r="H1126" s="43" t="n">
        <v>11.464413</v>
      </c>
      <c r="I1126" s="43" t="n">
        <v>122.836105</v>
      </c>
      <c r="J1126" s="44" t="inlineStr">
        <is>
          <t>R</t>
        </is>
      </c>
      <c r="K1126" s="42" t="inlineStr">
        <is>
          <t>Class 1-3 / Urban</t>
        </is>
      </c>
      <c r="L1126" s="23" t="n">
        <v>2230</v>
      </c>
      <c r="M1126" s="24" t="n">
        <v>4.2</v>
      </c>
      <c r="N1126" s="23">
        <f>ROUND(L1126/M1126, 0)</f>
        <v/>
      </c>
      <c r="O1126" s="23">
        <f>ROUND(N1126*'Methodology &amp; Assumptions'!$B$8, 0)</f>
        <v/>
      </c>
      <c r="P1126" s="44" t="inlineStr">
        <is>
          <t>Band n50 (1.5 GHz, 60 MHz)</t>
        </is>
      </c>
      <c r="Q1126" s="38">
        <f>ROUNDUP(O1126/'Methodology &amp; Assumptions'!$B$9, 0)</f>
        <v/>
      </c>
      <c r="R1126" s="39" t="n">
        <v>1</v>
      </c>
      <c r="S1126" s="25" t="n">
        <v>1.52</v>
      </c>
      <c r="T1126" s="25" t="n">
        <v>0.4</v>
      </c>
      <c r="U1126" s="42" t="inlineStr">
        <is>
          <t>Tier 1B (Micro Drop, 1-3 km)</t>
        </is>
      </c>
      <c r="V1126" s="24" t="n">
        <v>70.3</v>
      </c>
      <c r="W1126" s="24" t="n">
        <v>66.40000000000001</v>
      </c>
      <c r="X1126" s="24" t="n">
        <v>58</v>
      </c>
      <c r="Y1126" s="45">
        <f>ROUND((V1126*'Methodology &amp; Assumptions'!$B$6)+(W1126*'Methodology &amp; Assumptions'!$B$5)+(X1126*'Methodology &amp; Assumptions'!$B$7), 2)</f>
        <v/>
      </c>
    </row>
    <row r="1127" ht="19" customHeight="1">
      <c r="A1127" s="35" t="n">
        <v>123</v>
      </c>
      <c r="B1127" s="35" t="n">
        <v>4123</v>
      </c>
      <c r="C1127" s="36" t="inlineStr">
        <is>
          <t>0500502035</t>
        </is>
      </c>
      <c r="D1127" s="36" t="inlineStr">
        <is>
          <t>Region V (Bicol Region)</t>
        </is>
      </c>
      <c r="E1127" s="36" t="inlineStr">
        <is>
          <t>Albay</t>
        </is>
      </c>
      <c r="F1127" s="36" t="inlineStr">
        <is>
          <t>Camalig</t>
        </is>
      </c>
      <c r="G1127" s="36" t="inlineStr">
        <is>
          <t>Salugan</t>
        </is>
      </c>
      <c r="H1127" s="37" t="n">
        <v>13.186167</v>
      </c>
      <c r="I1127" s="37" t="n">
        <v>123.663612</v>
      </c>
      <c r="J1127" s="8" t="inlineStr">
        <is>
          <t>R</t>
        </is>
      </c>
      <c r="K1127" s="36" t="inlineStr">
        <is>
          <t>Class 1-3 / Urban</t>
        </is>
      </c>
      <c r="L1127" s="18" t="n">
        <v>1622</v>
      </c>
      <c r="M1127" s="20" t="n">
        <v>4.67</v>
      </c>
      <c r="N1127" s="18">
        <f>ROUND(L1127/M1127, 0)</f>
        <v/>
      </c>
      <c r="O1127" s="18">
        <f>ROUND(N1127*'Methodology &amp; Assumptions'!$B$8, 0)</f>
        <v/>
      </c>
      <c r="P1127" s="8" t="inlineStr">
        <is>
          <t>Band n50 (1.5 GHz, 60 MHz)</t>
        </is>
      </c>
      <c r="Q1127" s="38">
        <f>ROUNDUP(O1127/'Methodology &amp; Assumptions'!$B$9, 0)</f>
        <v/>
      </c>
      <c r="R1127" s="39" t="n">
        <v>1</v>
      </c>
      <c r="S1127" s="21" t="n">
        <v>0.86</v>
      </c>
      <c r="T1127" s="21" t="n">
        <v>0.25</v>
      </c>
      <c r="U1127" s="36" t="inlineStr">
        <is>
          <t>Tier 1A (Direct Coloc, &lt;1 km)</t>
        </is>
      </c>
      <c r="V1127" s="20" t="n">
        <v>85</v>
      </c>
      <c r="W1127" s="20" t="n">
        <v>51.7</v>
      </c>
      <c r="X1127" s="20" t="n">
        <v>58</v>
      </c>
      <c r="Y1127" s="40">
        <f>ROUND((V1127*'Methodology &amp; Assumptions'!$B$6)+(W1127*'Methodology &amp; Assumptions'!$B$5)+(X1127*'Methodology &amp; Assumptions'!$B$7), 2)</f>
        <v/>
      </c>
    </row>
    <row r="1128" ht="19" customHeight="1">
      <c r="A1128" s="41" t="n">
        <v>124</v>
      </c>
      <c r="B1128" s="41" t="n">
        <v>4124</v>
      </c>
      <c r="C1128" s="42" t="inlineStr">
        <is>
          <t>0730600029</t>
        </is>
      </c>
      <c r="D1128" s="42" t="inlineStr">
        <is>
          <t>Region VII (Central Visayas)</t>
        </is>
      </c>
      <c r="E1128" s="42" t="inlineStr">
        <is>
          <t>Cebu</t>
        </is>
      </c>
      <c r="F1128" s="42" t="inlineStr">
        <is>
          <t>City of Cebu</t>
        </is>
      </c>
      <c r="G1128" s="42" t="inlineStr">
        <is>
          <t>Guadalupe</t>
        </is>
      </c>
      <c r="H1128" s="43" t="n">
        <v>10.322832</v>
      </c>
      <c r="I1128" s="43" t="n">
        <v>123.884057</v>
      </c>
      <c r="J1128" s="44" t="inlineStr">
        <is>
          <t>U</t>
        </is>
      </c>
      <c r="K1128" s="42" t="inlineStr">
        <is>
          <t>Class 1-3 / Urban</t>
        </is>
      </c>
      <c r="L1128" s="23" t="n">
        <v>70039</v>
      </c>
      <c r="M1128" s="24" t="n">
        <v>4.42</v>
      </c>
      <c r="N1128" s="23">
        <f>ROUND(L1128/M1128, 0)</f>
        <v/>
      </c>
      <c r="O1128" s="23">
        <f>ROUND(N1128*'Methodology &amp; Assumptions'!$B$8, 0)</f>
        <v/>
      </c>
      <c r="P1128" s="44" t="inlineStr">
        <is>
          <t>Band n50 (1.5 GHz, 60 MHz)</t>
        </is>
      </c>
      <c r="Q1128" s="38">
        <f>ROUNDUP(O1128/'Methodology &amp; Assumptions'!$B$9, 0)</f>
        <v/>
      </c>
      <c r="R1128" s="39" t="n">
        <v>1</v>
      </c>
      <c r="S1128" s="25" t="n">
        <v>1.65</v>
      </c>
      <c r="T1128" s="25" t="n">
        <v>1.97</v>
      </c>
      <c r="U1128" s="42" t="inlineStr">
        <is>
          <t>Tier 1B (Micro Drop, 1-3 km)</t>
        </is>
      </c>
      <c r="V1128" s="24" t="n">
        <v>67.7</v>
      </c>
      <c r="W1128" s="24" t="n">
        <v>94.59999999999999</v>
      </c>
      <c r="X1128" s="24" t="n">
        <v>28</v>
      </c>
      <c r="Y1128" s="45">
        <f>ROUND((V1128*'Methodology &amp; Assumptions'!$B$6)+(W1128*'Methodology &amp; Assumptions'!$B$5)+(X1128*'Methodology &amp; Assumptions'!$B$7), 2)</f>
        <v/>
      </c>
    </row>
    <row r="1129" ht="19" customHeight="1">
      <c r="A1129" s="35" t="n">
        <v>125</v>
      </c>
      <c r="B1129" s="35" t="n">
        <v>4125</v>
      </c>
      <c r="C1129" s="36" t="inlineStr">
        <is>
          <t>0402106044</t>
        </is>
      </c>
      <c r="D1129" s="36" t="inlineStr">
        <is>
          <t>Region IV-A (CALABARZON)</t>
        </is>
      </c>
      <c r="E1129" s="36" t="inlineStr">
        <is>
          <t>Cavite</t>
        </is>
      </c>
      <c r="F1129" s="36" t="inlineStr">
        <is>
          <t>City of Dasmariñas</t>
        </is>
      </c>
      <c r="G1129" s="36" t="inlineStr">
        <is>
          <t>Santa Maria</t>
        </is>
      </c>
      <c r="H1129" s="37" t="n">
        <v>14.322147</v>
      </c>
      <c r="I1129" s="37" t="n">
        <v>120.957197</v>
      </c>
      <c r="J1129" s="8" t="inlineStr">
        <is>
          <t>U</t>
        </is>
      </c>
      <c r="K1129" s="36" t="inlineStr">
        <is>
          <t>Class 1-3 / Urban</t>
        </is>
      </c>
      <c r="L1129" s="18" t="n">
        <v>5068</v>
      </c>
      <c r="M1129" s="20" t="n">
        <v>4.49</v>
      </c>
      <c r="N1129" s="18">
        <f>ROUND(L1129/M1129, 0)</f>
        <v/>
      </c>
      <c r="O1129" s="18">
        <f>ROUND(N1129*'Methodology &amp; Assumptions'!$B$8, 0)</f>
        <v/>
      </c>
      <c r="P1129" s="8" t="inlineStr">
        <is>
          <t>Band n50 (1.5 GHz, 60 MHz)</t>
        </is>
      </c>
      <c r="Q1129" s="38">
        <f>ROUNDUP(O1129/'Methodology &amp; Assumptions'!$B$9, 0)</f>
        <v/>
      </c>
      <c r="R1129" s="39" t="n">
        <v>1</v>
      </c>
      <c r="S1129" s="21" t="n">
        <v>1.42</v>
      </c>
      <c r="T1129" s="21" t="n">
        <v>2.31</v>
      </c>
      <c r="U1129" s="36" t="inlineStr">
        <is>
          <t>Tier 1B (Micro Drop, 1-3 km)</t>
        </is>
      </c>
      <c r="V1129" s="20" t="n">
        <v>62.4</v>
      </c>
      <c r="W1129" s="20" t="n">
        <v>100</v>
      </c>
      <c r="X1129" s="20" t="n">
        <v>28</v>
      </c>
      <c r="Y1129" s="40">
        <f>ROUND((V1129*'Methodology &amp; Assumptions'!$B$6)+(W1129*'Methodology &amp; Assumptions'!$B$5)+(X1129*'Methodology &amp; Assumptions'!$B$7), 2)</f>
        <v/>
      </c>
    </row>
    <row r="1130" ht="19" customHeight="1">
      <c r="A1130" s="41" t="n">
        <v>126</v>
      </c>
      <c r="B1130" s="41" t="n">
        <v>4126</v>
      </c>
      <c r="C1130" s="42" t="inlineStr">
        <is>
          <t>1004302025</t>
        </is>
      </c>
      <c r="D1130" s="42" t="inlineStr">
        <is>
          <t>Region X (Northern Mindanao)</t>
        </is>
      </c>
      <c r="E1130" s="42" t="inlineStr">
        <is>
          <t>Misamis Oriental</t>
        </is>
      </c>
      <c r="F1130" s="42" t="inlineStr">
        <is>
          <t>Balingasag</t>
        </is>
      </c>
      <c r="G1130" s="42" t="inlineStr">
        <is>
          <t>Barangay 6</t>
        </is>
      </c>
      <c r="H1130" s="43" t="n">
        <v>8.741749</v>
      </c>
      <c r="I1130" s="43" t="n">
        <v>124.774014</v>
      </c>
      <c r="J1130" s="44" t="inlineStr">
        <is>
          <t>R</t>
        </is>
      </c>
      <c r="K1130" s="42" t="inlineStr">
        <is>
          <t>Class 1-3 / Urban</t>
        </is>
      </c>
      <c r="L1130" s="23" t="n">
        <v>2048</v>
      </c>
      <c r="M1130" s="24" t="n">
        <v>4.54</v>
      </c>
      <c r="N1130" s="23">
        <f>ROUND(L1130/M1130, 0)</f>
        <v/>
      </c>
      <c r="O1130" s="23">
        <f>ROUND(N1130*'Methodology &amp; Assumptions'!$B$8, 0)</f>
        <v/>
      </c>
      <c r="P1130" s="44" t="inlineStr">
        <is>
          <t>Band n50 (1.5 GHz, 60 MHz)</t>
        </is>
      </c>
      <c r="Q1130" s="38">
        <f>ROUNDUP(O1130/'Methodology &amp; Assumptions'!$B$9, 0)</f>
        <v/>
      </c>
      <c r="R1130" s="39" t="n">
        <v>1</v>
      </c>
      <c r="S1130" s="25" t="n">
        <v>1.22</v>
      </c>
      <c r="T1130" s="25" t="n">
        <v>0.91</v>
      </c>
      <c r="U1130" s="42" t="inlineStr">
        <is>
          <t>Tier 1B (Micro Drop, 1-3 km)</t>
        </is>
      </c>
      <c r="V1130" s="24" t="n">
        <v>76.59999999999999</v>
      </c>
      <c r="W1130" s="24" t="n">
        <v>60</v>
      </c>
      <c r="X1130" s="24" t="n">
        <v>58</v>
      </c>
      <c r="Y1130" s="45">
        <f>ROUND((V1130*'Methodology &amp; Assumptions'!$B$6)+(W1130*'Methodology &amp; Assumptions'!$B$5)+(X1130*'Methodology &amp; Assumptions'!$B$7), 2)</f>
        <v/>
      </c>
    </row>
    <row r="1131" ht="19" customHeight="1">
      <c r="A1131" s="35" t="n">
        <v>127</v>
      </c>
      <c r="B1131" s="35" t="n">
        <v>4127</v>
      </c>
      <c r="C1131" s="36" t="inlineStr">
        <is>
          <t>0102815006</t>
        </is>
      </c>
      <c r="D1131" s="36" t="inlineStr">
        <is>
          <t>Region I (Ilocos Region)</t>
        </is>
      </c>
      <c r="E1131" s="36" t="inlineStr">
        <is>
          <t>Ilocos Norte</t>
        </is>
      </c>
      <c r="F1131" s="36" t="inlineStr">
        <is>
          <t>Pagudpud</t>
        </is>
      </c>
      <c r="G1131" s="36" t="inlineStr">
        <is>
          <t>Caunayan</t>
        </is>
      </c>
      <c r="H1131" s="37" t="n">
        <v>18.057703</v>
      </c>
      <c r="I1131" s="37" t="n">
        <v>120.561203</v>
      </c>
      <c r="J1131" s="8" t="inlineStr">
        <is>
          <t>R</t>
        </is>
      </c>
      <c r="K1131" s="36" t="inlineStr">
        <is>
          <t>1st</t>
        </is>
      </c>
      <c r="L1131" s="18" t="n">
        <v>1529</v>
      </c>
      <c r="M1131" s="20" t="n">
        <v>4.07</v>
      </c>
      <c r="N1131" s="18">
        <f>ROUND(L1131/M1131, 0)</f>
        <v/>
      </c>
      <c r="O1131" s="18">
        <f>ROUND(N1131*'Methodology &amp; Assumptions'!$B$8, 0)</f>
        <v/>
      </c>
      <c r="P1131" s="8" t="inlineStr">
        <is>
          <t>Band n50 (1.5 GHz, 60 MHz)</t>
        </is>
      </c>
      <c r="Q1131" s="38">
        <f>ROUNDUP(O1131/'Methodology &amp; Assumptions'!$B$9, 0)</f>
        <v/>
      </c>
      <c r="R1131" s="39" t="n">
        <v>1</v>
      </c>
      <c r="S1131" s="21" t="n">
        <v>0.96</v>
      </c>
      <c r="T1131" s="21" t="n">
        <v>0.42</v>
      </c>
      <c r="U1131" s="36" t="inlineStr">
        <is>
          <t>Tier 1A (Direct Coloc, &lt;1 km)</t>
        </is>
      </c>
      <c r="V1131" s="20" t="n">
        <v>82.5</v>
      </c>
      <c r="W1131" s="20" t="n">
        <v>54.1</v>
      </c>
      <c r="X1131" s="20" t="n">
        <v>58</v>
      </c>
      <c r="Y1131" s="40">
        <f>ROUND((V1131*'Methodology &amp; Assumptions'!$B$6)+(W1131*'Methodology &amp; Assumptions'!$B$5)+(X1131*'Methodology &amp; Assumptions'!$B$7), 2)</f>
        <v/>
      </c>
    </row>
    <row r="1132" ht="19" customHeight="1">
      <c r="A1132" s="41" t="n">
        <v>128</v>
      </c>
      <c r="B1132" s="41" t="n">
        <v>4128</v>
      </c>
      <c r="C1132" s="42" t="inlineStr">
        <is>
          <t>0403405009</t>
        </is>
      </c>
      <c r="D1132" s="42" t="inlineStr">
        <is>
          <t>Region IV-A (CALABARZON)</t>
        </is>
      </c>
      <c r="E1132" s="42" t="inlineStr">
        <is>
          <t>Laguna</t>
        </is>
      </c>
      <c r="F1132" s="42" t="inlineStr">
        <is>
          <t>City of Calamba</t>
        </is>
      </c>
      <c r="G1132" s="42" t="inlineStr">
        <is>
          <t>Burol</t>
        </is>
      </c>
      <c r="H1132" s="43" t="n">
        <v>14.167711</v>
      </c>
      <c r="I1132" s="43" t="n">
        <v>121.096989</v>
      </c>
      <c r="J1132" s="44" t="inlineStr">
        <is>
          <t>U</t>
        </is>
      </c>
      <c r="K1132" s="42" t="inlineStr">
        <is>
          <t>Class 1-3 / Urban</t>
        </is>
      </c>
      <c r="L1132" s="23" t="n">
        <v>3551</v>
      </c>
      <c r="M1132" s="24" t="n">
        <v>4.2</v>
      </c>
      <c r="N1132" s="23">
        <f>ROUND(L1132/M1132, 0)</f>
        <v/>
      </c>
      <c r="O1132" s="23">
        <f>ROUND(N1132*'Methodology &amp; Assumptions'!$B$8, 0)</f>
        <v/>
      </c>
      <c r="P1132" s="44" t="inlineStr">
        <is>
          <t>Band n50 (1.5 GHz, 60 MHz)</t>
        </is>
      </c>
      <c r="Q1132" s="38">
        <f>ROUNDUP(O1132/'Methodology &amp; Assumptions'!$B$9, 0)</f>
        <v/>
      </c>
      <c r="R1132" s="39" t="n">
        <v>1</v>
      </c>
      <c r="S1132" s="25" t="n">
        <v>1.5</v>
      </c>
      <c r="T1132" s="25" t="n">
        <v>1.39</v>
      </c>
      <c r="U1132" s="42" t="inlineStr">
        <is>
          <t>Tier 1B (Micro Drop, 1-3 km)</t>
        </is>
      </c>
      <c r="V1132" s="24" t="n">
        <v>70.59999999999999</v>
      </c>
      <c r="W1132" s="24" t="n">
        <v>91.7</v>
      </c>
      <c r="X1132" s="24" t="n">
        <v>28</v>
      </c>
      <c r="Y1132" s="45">
        <f>ROUND((V1132*'Methodology &amp; Assumptions'!$B$6)+(W1132*'Methodology &amp; Assumptions'!$B$5)+(X1132*'Methodology &amp; Assumptions'!$B$7), 2)</f>
        <v/>
      </c>
    </row>
    <row r="1133" ht="19" customHeight="1">
      <c r="A1133" s="35" t="n">
        <v>129</v>
      </c>
      <c r="B1133" s="35" t="n">
        <v>4129</v>
      </c>
      <c r="C1133" s="36" t="inlineStr">
        <is>
          <t>0405616009</t>
        </is>
      </c>
      <c r="D1133" s="36" t="inlineStr">
        <is>
          <t>Region IV-A (CALABARZON)</t>
        </is>
      </c>
      <c r="E1133" s="36" t="inlineStr">
        <is>
          <t>Quezon</t>
        </is>
      </c>
      <c r="F1133" s="36" t="inlineStr">
        <is>
          <t>General Luna</t>
        </is>
      </c>
      <c r="G1133" s="36" t="inlineStr">
        <is>
          <t>Barangay 7</t>
        </is>
      </c>
      <c r="H1133" s="37" t="n">
        <v>13.689448</v>
      </c>
      <c r="I1133" s="37" t="n">
        <v>122.172119</v>
      </c>
      <c r="J1133" s="8" t="inlineStr">
        <is>
          <t>R</t>
        </is>
      </c>
      <c r="K1133" s="36" t="inlineStr">
        <is>
          <t>3rd</t>
        </is>
      </c>
      <c r="L1133" s="18" t="n">
        <v>846</v>
      </c>
      <c r="M1133" s="20" t="n">
        <v>4.66</v>
      </c>
      <c r="N1133" s="18">
        <f>ROUND(L1133/M1133, 0)</f>
        <v/>
      </c>
      <c r="O1133" s="18">
        <f>ROUND(N1133*'Methodology &amp; Assumptions'!$B$8, 0)</f>
        <v/>
      </c>
      <c r="P1133" s="8" t="inlineStr">
        <is>
          <t>Band n50 (1.5 GHz, 60 MHz)</t>
        </is>
      </c>
      <c r="Q1133" s="38">
        <f>ROUNDUP(O1133/'Methodology &amp; Assumptions'!$B$9, 0)</f>
        <v/>
      </c>
      <c r="R1133" s="39" t="n">
        <v>1</v>
      </c>
      <c r="S1133" s="21" t="n">
        <v>0.38</v>
      </c>
      <c r="T1133" s="21" t="n">
        <v>0.39</v>
      </c>
      <c r="U1133" s="36" t="inlineStr">
        <is>
          <t>Tier 1A (Direct Coloc, &lt;1 km)</t>
        </is>
      </c>
      <c r="V1133" s="20" t="n">
        <v>98</v>
      </c>
      <c r="W1133" s="20" t="n">
        <v>38.7</v>
      </c>
      <c r="X1133" s="20" t="n">
        <v>58</v>
      </c>
      <c r="Y1133" s="40">
        <f>ROUND((V1133*'Methodology &amp; Assumptions'!$B$6)+(W1133*'Methodology &amp; Assumptions'!$B$5)+(X1133*'Methodology &amp; Assumptions'!$B$7), 2)</f>
        <v/>
      </c>
    </row>
    <row r="1134" ht="19" customHeight="1">
      <c r="A1134" s="41" t="n">
        <v>130</v>
      </c>
      <c r="B1134" s="41" t="n">
        <v>4130</v>
      </c>
      <c r="C1134" s="42" t="inlineStr">
        <is>
          <t>0831600124</t>
        </is>
      </c>
      <c r="D1134" s="42" t="inlineStr">
        <is>
          <t>Region VIII (Eastern Visayas)</t>
        </is>
      </c>
      <c r="E1134" s="42" t="inlineStr">
        <is>
          <t>Leyte</t>
        </is>
      </c>
      <c r="F1134" s="42" t="inlineStr">
        <is>
          <t>City of Tacloban</t>
        </is>
      </c>
      <c r="G1134" s="42" t="inlineStr">
        <is>
          <t>Barangay 91</t>
        </is>
      </c>
      <c r="H1134" s="43" t="n">
        <v>11.243194</v>
      </c>
      <c r="I1134" s="43" t="n">
        <v>124.989957</v>
      </c>
      <c r="J1134" s="44" t="inlineStr">
        <is>
          <t>U</t>
        </is>
      </c>
      <c r="K1134" s="42" t="inlineStr">
        <is>
          <t>Class 1-3 / Urban</t>
        </is>
      </c>
      <c r="L1134" s="23" t="n">
        <v>9892</v>
      </c>
      <c r="M1134" s="24" t="n">
        <v>4.24</v>
      </c>
      <c r="N1134" s="23">
        <f>ROUND(L1134/M1134, 0)</f>
        <v/>
      </c>
      <c r="O1134" s="23">
        <f>ROUND(N1134*'Methodology &amp; Assumptions'!$B$8, 0)</f>
        <v/>
      </c>
      <c r="P1134" s="44" t="inlineStr">
        <is>
          <t>Band n50 (1.5 GHz, 60 MHz)</t>
        </is>
      </c>
      <c r="Q1134" s="38">
        <f>ROUNDUP(O1134/'Methodology &amp; Assumptions'!$B$9, 0)</f>
        <v/>
      </c>
      <c r="R1134" s="39" t="n">
        <v>1</v>
      </c>
      <c r="S1134" s="25" t="n">
        <v>1.42</v>
      </c>
      <c r="T1134" s="25" t="n">
        <v>4.02</v>
      </c>
      <c r="U1134" s="42" t="inlineStr">
        <is>
          <t>Tier 1B (Micro Drop, 1-3 km)</t>
        </is>
      </c>
      <c r="V1134" s="24" t="n">
        <v>62.3</v>
      </c>
      <c r="W1134" s="24" t="n">
        <v>100</v>
      </c>
      <c r="X1134" s="24" t="n">
        <v>28</v>
      </c>
      <c r="Y1134" s="45">
        <f>ROUND((V1134*'Methodology &amp; Assumptions'!$B$6)+(W1134*'Methodology &amp; Assumptions'!$B$5)+(X1134*'Methodology &amp; Assumptions'!$B$7), 2)</f>
        <v/>
      </c>
    </row>
    <row r="1135" ht="19" customHeight="1">
      <c r="A1135" s="35" t="n">
        <v>131</v>
      </c>
      <c r="B1135" s="35" t="n">
        <v>4131</v>
      </c>
      <c r="C1135" s="36" t="inlineStr">
        <is>
          <t>0403424079</t>
        </is>
      </c>
      <c r="D1135" s="36" t="inlineStr">
        <is>
          <t>Region IV-A (CALABARZON)</t>
        </is>
      </c>
      <c r="E1135" s="36" t="inlineStr">
        <is>
          <t>Laguna</t>
        </is>
      </c>
      <c r="F1135" s="36" t="inlineStr">
        <is>
          <t>City of San Pablo</t>
        </is>
      </c>
      <c r="G1135" s="36" t="inlineStr">
        <is>
          <t>Soledad</t>
        </is>
      </c>
      <c r="H1135" s="37" t="n">
        <v>14.039524</v>
      </c>
      <c r="I1135" s="37" t="n">
        <v>121.315548</v>
      </c>
      <c r="J1135" s="8" t="inlineStr">
        <is>
          <t>R</t>
        </is>
      </c>
      <c r="K1135" s="36" t="inlineStr">
        <is>
          <t>Class 1-3 / Urban</t>
        </is>
      </c>
      <c r="L1135" s="18" t="n">
        <v>3760</v>
      </c>
      <c r="M1135" s="20" t="n">
        <v>4.2</v>
      </c>
      <c r="N1135" s="18">
        <f>ROUND(L1135/M1135, 0)</f>
        <v/>
      </c>
      <c r="O1135" s="18">
        <f>ROUND(N1135*'Methodology &amp; Assumptions'!$B$8, 0)</f>
        <v/>
      </c>
      <c r="P1135" s="8" t="inlineStr">
        <is>
          <t>Band n50 (1.5 GHz, 60 MHz)</t>
        </is>
      </c>
      <c r="Q1135" s="38">
        <f>ROUNDUP(O1135/'Methodology &amp; Assumptions'!$B$9, 0)</f>
        <v/>
      </c>
      <c r="R1135" s="39" t="n">
        <v>1</v>
      </c>
      <c r="S1135" s="21" t="n">
        <v>2.67</v>
      </c>
      <c r="T1135" s="21" t="n">
        <v>2.65</v>
      </c>
      <c r="U1135" s="36" t="inlineStr">
        <is>
          <t>Tier 1B (Micro Drop, 1-3 km)</t>
        </is>
      </c>
      <c r="V1135" s="20" t="n">
        <v>41.1</v>
      </c>
      <c r="W1135" s="20" t="n">
        <v>95.5</v>
      </c>
      <c r="X1135" s="20" t="n">
        <v>58</v>
      </c>
      <c r="Y1135" s="40">
        <f>ROUND((V1135*'Methodology &amp; Assumptions'!$B$6)+(W1135*'Methodology &amp; Assumptions'!$B$5)+(X1135*'Methodology &amp; Assumptions'!$B$7), 2)</f>
        <v/>
      </c>
    </row>
    <row r="1136" ht="19" customHeight="1">
      <c r="A1136" s="41" t="n">
        <v>132</v>
      </c>
      <c r="B1136" s="41" t="n">
        <v>4132</v>
      </c>
      <c r="C1136" s="42" t="inlineStr">
        <is>
          <t>0500516004</t>
        </is>
      </c>
      <c r="D1136" s="42" t="inlineStr">
        <is>
          <t>Region V (Bicol Region)</t>
        </is>
      </c>
      <c r="E1136" s="42" t="inlineStr">
        <is>
          <t>Albay</t>
        </is>
      </c>
      <c r="F1136" s="42" t="inlineStr">
        <is>
          <t>Santo Domingo</t>
        </is>
      </c>
      <c r="G1136" s="42" t="inlineStr">
        <is>
          <t>Fidel Surtida</t>
        </is>
      </c>
      <c r="H1136" s="43" t="n">
        <v>13.247081</v>
      </c>
      <c r="I1136" s="43" t="n">
        <v>123.765429</v>
      </c>
      <c r="J1136" s="44" t="inlineStr">
        <is>
          <t>R</t>
        </is>
      </c>
      <c r="K1136" s="42" t="inlineStr">
        <is>
          <t>2nd</t>
        </is>
      </c>
      <c r="L1136" s="23" t="n">
        <v>2648</v>
      </c>
      <c r="M1136" s="24" t="n">
        <v>4.65</v>
      </c>
      <c r="N1136" s="23">
        <f>ROUND(L1136/M1136, 0)</f>
        <v/>
      </c>
      <c r="O1136" s="23">
        <f>ROUND(N1136*'Methodology &amp; Assumptions'!$B$8, 0)</f>
        <v/>
      </c>
      <c r="P1136" s="44" t="inlineStr">
        <is>
          <t>Band n50 (1.5 GHz, 60 MHz)</t>
        </is>
      </c>
      <c r="Q1136" s="38">
        <f>ROUNDUP(O1136/'Methodology &amp; Assumptions'!$B$9, 0)</f>
        <v/>
      </c>
      <c r="R1136" s="39" t="n">
        <v>1</v>
      </c>
      <c r="S1136" s="25" t="n">
        <v>1.69</v>
      </c>
      <c r="T1136" s="25" t="n">
        <v>0.41</v>
      </c>
      <c r="U1136" s="42" t="inlineStr">
        <is>
          <t>Tier 1B (Micro Drop, 1-3 km)</t>
        </is>
      </c>
      <c r="V1136" s="24" t="n">
        <v>67</v>
      </c>
      <c r="W1136" s="24" t="n">
        <v>69.59999999999999</v>
      </c>
      <c r="X1136" s="24" t="n">
        <v>58</v>
      </c>
      <c r="Y1136" s="45">
        <f>ROUND((V1136*'Methodology &amp; Assumptions'!$B$6)+(W1136*'Methodology &amp; Assumptions'!$B$5)+(X1136*'Methodology &amp; Assumptions'!$B$7), 2)</f>
        <v/>
      </c>
    </row>
    <row r="1137" ht="19" customHeight="1">
      <c r="A1137" s="35" t="n">
        <v>133</v>
      </c>
      <c r="B1137" s="35" t="n">
        <v>4133</v>
      </c>
      <c r="C1137" s="36" t="inlineStr">
        <is>
          <t>1600201018</t>
        </is>
      </c>
      <c r="D1137" s="36" t="inlineStr">
        <is>
          <t>Region XIII (Caraga)</t>
        </is>
      </c>
      <c r="E1137" s="36" t="inlineStr">
        <is>
          <t>Agusan del Norte</t>
        </is>
      </c>
      <c r="F1137" s="36" t="inlineStr">
        <is>
          <t>Buenavista</t>
        </is>
      </c>
      <c r="G1137" s="36" t="inlineStr">
        <is>
          <t>Poblacion 6</t>
        </is>
      </c>
      <c r="H1137" s="37" t="n">
        <v>8.977456999999999</v>
      </c>
      <c r="I1137" s="37" t="n">
        <v>125.411165</v>
      </c>
      <c r="J1137" s="8" t="inlineStr">
        <is>
          <t>R</t>
        </is>
      </c>
      <c r="K1137" s="36" t="inlineStr">
        <is>
          <t>Class 1-3 / Urban</t>
        </is>
      </c>
      <c r="L1137" s="18" t="n">
        <v>1861</v>
      </c>
      <c r="M1137" s="20" t="n">
        <v>4.63</v>
      </c>
      <c r="N1137" s="18">
        <f>ROUND(L1137/M1137, 0)</f>
        <v/>
      </c>
      <c r="O1137" s="18">
        <f>ROUND(N1137*'Methodology &amp; Assumptions'!$B$8, 0)</f>
        <v/>
      </c>
      <c r="P1137" s="8" t="inlineStr">
        <is>
          <t>Band n50 (1.5 GHz, 60 MHz)</t>
        </is>
      </c>
      <c r="Q1137" s="38">
        <f>ROUNDUP(O1137/'Methodology &amp; Assumptions'!$B$9, 0)</f>
        <v/>
      </c>
      <c r="R1137" s="39" t="n">
        <v>1</v>
      </c>
      <c r="S1137" s="21" t="n">
        <v>1.06</v>
      </c>
      <c r="T1137" s="21" t="n">
        <v>0.38</v>
      </c>
      <c r="U1137" s="36" t="inlineStr">
        <is>
          <t>Tier 1B (Micro Drop, 1-3 km)</t>
        </is>
      </c>
      <c r="V1137" s="20" t="n">
        <v>80.3</v>
      </c>
      <c r="W1137" s="20" t="n">
        <v>56.3</v>
      </c>
      <c r="X1137" s="20" t="n">
        <v>58</v>
      </c>
      <c r="Y1137" s="40">
        <f>ROUND((V1137*'Methodology &amp; Assumptions'!$B$6)+(W1137*'Methodology &amp; Assumptions'!$B$5)+(X1137*'Methodology &amp; Assumptions'!$B$7), 2)</f>
        <v/>
      </c>
    </row>
    <row r="1138" ht="19" customHeight="1">
      <c r="A1138" s="41" t="n">
        <v>134</v>
      </c>
      <c r="B1138" s="41" t="n">
        <v>4134</v>
      </c>
      <c r="C1138" s="42" t="inlineStr">
        <is>
          <t>0103306021</t>
        </is>
      </c>
      <c r="D1138" s="42" t="inlineStr">
        <is>
          <t>Region I (Ilocos Region)</t>
        </is>
      </c>
      <c r="E1138" s="42" t="inlineStr">
        <is>
          <t>La Union</t>
        </is>
      </c>
      <c r="F1138" s="42" t="inlineStr">
        <is>
          <t>Bangar</t>
        </is>
      </c>
      <c r="G1138" s="42" t="inlineStr">
        <is>
          <t>Nagsabaran</t>
        </is>
      </c>
      <c r="H1138" s="43" t="n">
        <v>16.894674</v>
      </c>
      <c r="I1138" s="43" t="n">
        <v>120.417299</v>
      </c>
      <c r="J1138" s="44" t="inlineStr">
        <is>
          <t>R</t>
        </is>
      </c>
      <c r="K1138" s="42" t="inlineStr">
        <is>
          <t>Class 1-3 / Urban</t>
        </is>
      </c>
      <c r="L1138" s="23" t="n">
        <v>1482</v>
      </c>
      <c r="M1138" s="24" t="n">
        <v>4.42</v>
      </c>
      <c r="N1138" s="23">
        <f>ROUND(L1138/M1138, 0)</f>
        <v/>
      </c>
      <c r="O1138" s="23">
        <f>ROUND(N1138*'Methodology &amp; Assumptions'!$B$8, 0)</f>
        <v/>
      </c>
      <c r="P1138" s="44" t="inlineStr">
        <is>
          <t>Band n50 (1.5 GHz, 60 MHz)</t>
        </is>
      </c>
      <c r="Q1138" s="38">
        <f>ROUNDUP(O1138/'Methodology &amp; Assumptions'!$B$9, 0)</f>
        <v/>
      </c>
      <c r="R1138" s="39" t="n">
        <v>1</v>
      </c>
      <c r="S1138" s="25" t="n">
        <v>0.83</v>
      </c>
      <c r="T1138" s="25" t="n">
        <v>0.6899999999999999</v>
      </c>
      <c r="U1138" s="42" t="inlineStr">
        <is>
          <t>Tier 1A (Direct Coloc, &lt;1 km)</t>
        </is>
      </c>
      <c r="V1138" s="24" t="n">
        <v>85.90000000000001</v>
      </c>
      <c r="W1138" s="24" t="n">
        <v>50.7</v>
      </c>
      <c r="X1138" s="24" t="n">
        <v>58</v>
      </c>
      <c r="Y1138" s="45">
        <f>ROUND((V1138*'Methodology &amp; Assumptions'!$B$6)+(W1138*'Methodology &amp; Assumptions'!$B$5)+(X1138*'Methodology &amp; Assumptions'!$B$7), 2)</f>
        <v/>
      </c>
    </row>
    <row r="1139" ht="19" customHeight="1">
      <c r="A1139" s="35" t="n">
        <v>135</v>
      </c>
      <c r="B1139" s="35" t="n">
        <v>4135</v>
      </c>
      <c r="C1139" s="36" t="inlineStr">
        <is>
          <t>0330100031</t>
        </is>
      </c>
      <c r="D1139" s="36" t="inlineStr">
        <is>
          <t>Region III (Central Luzon)</t>
        </is>
      </c>
      <c r="E1139" s="36" t="inlineStr">
        <is>
          <t>Pampanga</t>
        </is>
      </c>
      <c r="F1139" s="36" t="inlineStr">
        <is>
          <t>City of Angeles</t>
        </is>
      </c>
      <c r="G1139" s="36" t="inlineStr">
        <is>
          <t>Sapangbato</t>
        </is>
      </c>
      <c r="H1139" s="37" t="n">
        <v>15.170839</v>
      </c>
      <c r="I1139" s="37" t="n">
        <v>120.51502</v>
      </c>
      <c r="J1139" s="8" t="inlineStr">
        <is>
          <t>U</t>
        </is>
      </c>
      <c r="K1139" s="36" t="inlineStr">
        <is>
          <t>Class 1-3 / Urban</t>
        </is>
      </c>
      <c r="L1139" s="18" t="n">
        <v>13912</v>
      </c>
      <c r="M1139" s="20" t="n">
        <v>4.63</v>
      </c>
      <c r="N1139" s="18">
        <f>ROUND(L1139/M1139, 0)</f>
        <v/>
      </c>
      <c r="O1139" s="18">
        <f>ROUND(N1139*'Methodology &amp; Assumptions'!$B$8, 0)</f>
        <v/>
      </c>
      <c r="P1139" s="8" t="inlineStr">
        <is>
          <t>Band n50 (1.5 GHz, 60 MHz)</t>
        </is>
      </c>
      <c r="Q1139" s="38">
        <f>ROUNDUP(O1139/'Methodology &amp; Assumptions'!$B$9, 0)</f>
        <v/>
      </c>
      <c r="R1139" s="39" t="n">
        <v>1</v>
      </c>
      <c r="S1139" s="21" t="n">
        <v>1.94</v>
      </c>
      <c r="T1139" s="21" t="n">
        <v>0.43</v>
      </c>
      <c r="U1139" s="36" t="inlineStr">
        <is>
          <t>Tier 1B (Micro Drop, 1-3 km)</t>
        </is>
      </c>
      <c r="V1139" s="20" t="n">
        <v>62.3</v>
      </c>
      <c r="W1139" s="20" t="n">
        <v>100</v>
      </c>
      <c r="X1139" s="20" t="n">
        <v>28</v>
      </c>
      <c r="Y1139" s="40">
        <f>ROUND((V1139*'Methodology &amp; Assumptions'!$B$6)+(W1139*'Methodology &amp; Assumptions'!$B$5)+(X1139*'Methodology &amp; Assumptions'!$B$7), 2)</f>
        <v/>
      </c>
    </row>
    <row r="1140" ht="19" customHeight="1">
      <c r="A1140" s="41" t="n">
        <v>136</v>
      </c>
      <c r="B1140" s="41" t="n">
        <v>4136</v>
      </c>
      <c r="C1140" s="42" t="inlineStr">
        <is>
          <t>0305416029</t>
        </is>
      </c>
      <c r="D1140" s="42" t="inlineStr">
        <is>
          <t>Region III (Central Luzon)</t>
        </is>
      </c>
      <c r="E1140" s="42" t="inlineStr">
        <is>
          <t>Pampanga</t>
        </is>
      </c>
      <c r="F1140" s="42" t="inlineStr">
        <is>
          <t>City of San Fernando</t>
        </is>
      </c>
      <c r="G1140" s="42" t="inlineStr">
        <is>
          <t>San Juan</t>
        </is>
      </c>
      <c r="H1140" s="43" t="n">
        <v>15.022296</v>
      </c>
      <c r="I1140" s="43" t="n">
        <v>120.676503</v>
      </c>
      <c r="J1140" s="44" t="inlineStr">
        <is>
          <t>U</t>
        </is>
      </c>
      <c r="K1140" s="42" t="inlineStr">
        <is>
          <t>Class 1-3 / Urban</t>
        </is>
      </c>
      <c r="L1140" s="23" t="n">
        <v>5712</v>
      </c>
      <c r="M1140" s="24" t="n">
        <v>4.63</v>
      </c>
      <c r="N1140" s="23">
        <f>ROUND(L1140/M1140, 0)</f>
        <v/>
      </c>
      <c r="O1140" s="23">
        <f>ROUND(N1140*'Methodology &amp; Assumptions'!$B$8, 0)</f>
        <v/>
      </c>
      <c r="P1140" s="44" t="inlineStr">
        <is>
          <t>Band n50 (1.5 GHz, 60 MHz)</t>
        </is>
      </c>
      <c r="Q1140" s="38">
        <f>ROUNDUP(O1140/'Methodology &amp; Assumptions'!$B$9, 0)</f>
        <v/>
      </c>
      <c r="R1140" s="39" t="n">
        <v>1</v>
      </c>
      <c r="S1140" s="25" t="n">
        <v>1.94</v>
      </c>
      <c r="T1140" s="25" t="n">
        <v>0.2</v>
      </c>
      <c r="U1140" s="42" t="inlineStr">
        <is>
          <t>Tier 1B (Micro Drop, 1-3 km)</t>
        </is>
      </c>
      <c r="V1140" s="24" t="n">
        <v>62.3</v>
      </c>
      <c r="W1140" s="24" t="n">
        <v>100</v>
      </c>
      <c r="X1140" s="24" t="n">
        <v>28</v>
      </c>
      <c r="Y1140" s="45">
        <f>ROUND((V1140*'Methodology &amp; Assumptions'!$B$6)+(W1140*'Methodology &amp; Assumptions'!$B$5)+(X1140*'Methodology &amp; Assumptions'!$B$7), 2)</f>
        <v/>
      </c>
    </row>
    <row r="1141" ht="19" customHeight="1">
      <c r="A1141" s="35" t="n">
        <v>137</v>
      </c>
      <c r="B1141" s="35" t="n">
        <v>4137</v>
      </c>
      <c r="C1141" s="36" t="inlineStr">
        <is>
          <t>0401019016</t>
        </is>
      </c>
      <c r="D1141" s="36" t="inlineStr">
        <is>
          <t>Region IV-A (CALABARZON)</t>
        </is>
      </c>
      <c r="E1141" s="36" t="inlineStr">
        <is>
          <t>Batangas</t>
        </is>
      </c>
      <c r="F1141" s="36" t="inlineStr">
        <is>
          <t>Nasugbu</t>
        </is>
      </c>
      <c r="G1141" s="36" t="inlineStr">
        <is>
          <t>Bucana</t>
        </is>
      </c>
      <c r="H1141" s="37" t="n">
        <v>14.283211</v>
      </c>
      <c r="I1141" s="37" t="n">
        <v>120.705706</v>
      </c>
      <c r="J1141" s="8" t="inlineStr">
        <is>
          <t>U</t>
        </is>
      </c>
      <c r="K1141" s="36" t="inlineStr">
        <is>
          <t>Class 1-3 / Urban</t>
        </is>
      </c>
      <c r="L1141" s="18" t="n">
        <v>4516</v>
      </c>
      <c r="M1141" s="20" t="n">
        <v>4.62</v>
      </c>
      <c r="N1141" s="18">
        <f>ROUND(L1141/M1141, 0)</f>
        <v/>
      </c>
      <c r="O1141" s="18">
        <f>ROUND(N1141*'Methodology &amp; Assumptions'!$B$8, 0)</f>
        <v/>
      </c>
      <c r="P1141" s="8" t="inlineStr">
        <is>
          <t>Band n50 (1.5 GHz, 60 MHz)</t>
        </is>
      </c>
      <c r="Q1141" s="38">
        <f>ROUNDUP(O1141/'Methodology &amp; Assumptions'!$B$9, 0)</f>
        <v/>
      </c>
      <c r="R1141" s="39" t="n">
        <v>1</v>
      </c>
      <c r="S1141" s="21" t="n">
        <v>1.42</v>
      </c>
      <c r="T1141" s="21" t="n">
        <v>3.45</v>
      </c>
      <c r="U1141" s="36" t="inlineStr">
        <is>
          <t>Tier 1B (Micro Drop, 1-3 km)</t>
        </is>
      </c>
      <c r="V1141" s="20" t="n">
        <v>62.3</v>
      </c>
      <c r="W1141" s="20" t="n">
        <v>100</v>
      </c>
      <c r="X1141" s="20" t="n">
        <v>28</v>
      </c>
      <c r="Y1141" s="40">
        <f>ROUND((V1141*'Methodology &amp; Assumptions'!$B$6)+(W1141*'Methodology &amp; Assumptions'!$B$5)+(X1141*'Methodology &amp; Assumptions'!$B$7), 2)</f>
        <v/>
      </c>
    </row>
    <row r="1142" ht="19" customHeight="1">
      <c r="A1142" s="41" t="n">
        <v>138</v>
      </c>
      <c r="B1142" s="41" t="n">
        <v>4138</v>
      </c>
      <c r="C1142" s="42" t="inlineStr">
        <is>
          <t>0603009006</t>
        </is>
      </c>
      <c r="D1142" s="42" t="inlineStr">
        <is>
          <t>Region VI (Western Visayas)</t>
        </is>
      </c>
      <c r="E1142" s="42" t="inlineStr">
        <is>
          <t>Iloilo</t>
        </is>
      </c>
      <c r="F1142" s="42" t="inlineStr">
        <is>
          <t>Batad</t>
        </is>
      </c>
      <c r="G1142" s="42" t="inlineStr">
        <is>
          <t>Bolhog</t>
        </is>
      </c>
      <c r="H1142" s="43" t="n">
        <v>11.41661</v>
      </c>
      <c r="I1142" s="43" t="n">
        <v>123.105423</v>
      </c>
      <c r="J1142" s="44" t="inlineStr">
        <is>
          <t>R</t>
        </is>
      </c>
      <c r="K1142" s="42" t="inlineStr">
        <is>
          <t>4th</t>
        </is>
      </c>
      <c r="L1142" s="23" t="n">
        <v>672</v>
      </c>
      <c r="M1142" s="24" t="n">
        <v>4.13</v>
      </c>
      <c r="N1142" s="23">
        <f>ROUND(L1142/M1142, 0)</f>
        <v/>
      </c>
      <c r="O1142" s="23">
        <f>ROUND(N1142*'Methodology &amp; Assumptions'!$B$8, 0)</f>
        <v/>
      </c>
      <c r="P1142" s="44" t="inlineStr">
        <is>
          <t>Band n50 (1.5 GHz, 60 MHz)</t>
        </is>
      </c>
      <c r="Q1142" s="38">
        <f>ROUNDUP(O1142/'Methodology &amp; Assumptions'!$B$9, 0)</f>
        <v/>
      </c>
      <c r="R1142" s="39" t="n">
        <v>1</v>
      </c>
      <c r="S1142" s="25" t="n">
        <v>0.65</v>
      </c>
      <c r="T1142" s="25" t="n">
        <v>0.5</v>
      </c>
      <c r="U1142" s="42" t="inlineStr">
        <is>
          <t>Tier 1A (Direct Coloc, &lt;1 km)</t>
        </is>
      </c>
      <c r="V1142" s="24" t="n">
        <v>90.5</v>
      </c>
      <c r="W1142" s="24" t="n">
        <v>37.1</v>
      </c>
      <c r="X1142" s="24" t="n">
        <v>68.5</v>
      </c>
      <c r="Y1142" s="45">
        <f>ROUND((V1142*'Methodology &amp; Assumptions'!$B$6)+(W1142*'Methodology &amp; Assumptions'!$B$5)+(X1142*'Methodology &amp; Assumptions'!$B$7), 2)</f>
        <v/>
      </c>
    </row>
    <row r="1143" ht="19" customHeight="1">
      <c r="A1143" s="35" t="n">
        <v>139</v>
      </c>
      <c r="B1143" s="35" t="n">
        <v>4139</v>
      </c>
      <c r="C1143" s="36" t="inlineStr">
        <is>
          <t>0402102007</t>
        </is>
      </c>
      <c r="D1143" s="36" t="inlineStr">
        <is>
          <t>Region IV-A (CALABARZON)</t>
        </is>
      </c>
      <c r="E1143" s="36" t="inlineStr">
        <is>
          <t>Cavite</t>
        </is>
      </c>
      <c r="F1143" s="36" t="inlineStr">
        <is>
          <t>Amadeo</t>
        </is>
      </c>
      <c r="G1143" s="36" t="inlineStr">
        <is>
          <t>Maitim I</t>
        </is>
      </c>
      <c r="H1143" s="37" t="n">
        <v>14.140015</v>
      </c>
      <c r="I1143" s="37" t="n">
        <v>120.949326</v>
      </c>
      <c r="J1143" s="8" t="inlineStr">
        <is>
          <t>R</t>
        </is>
      </c>
      <c r="K1143" s="36" t="inlineStr">
        <is>
          <t>2nd</t>
        </is>
      </c>
      <c r="L1143" s="18" t="n">
        <v>3225</v>
      </c>
      <c r="M1143" s="20" t="n">
        <v>4.23</v>
      </c>
      <c r="N1143" s="18">
        <f>ROUND(L1143/M1143, 0)</f>
        <v/>
      </c>
      <c r="O1143" s="18">
        <f>ROUND(N1143*'Methodology &amp; Assumptions'!$B$8, 0)</f>
        <v/>
      </c>
      <c r="P1143" s="8" t="inlineStr">
        <is>
          <t>Band n50 (1.5 GHz, 60 MHz)</t>
        </is>
      </c>
      <c r="Q1143" s="38">
        <f>ROUNDUP(O1143/'Methodology &amp; Assumptions'!$B$9, 0)</f>
        <v/>
      </c>
      <c r="R1143" s="39" t="n">
        <v>1</v>
      </c>
      <c r="S1143" s="21" t="n">
        <v>2.64</v>
      </c>
      <c r="T1143" s="21" t="n">
        <v>0.73</v>
      </c>
      <c r="U1143" s="36" t="inlineStr">
        <is>
          <t>Tier 1B (Micro Drop, 1-3 km)</t>
        </is>
      </c>
      <c r="V1143" s="20" t="n">
        <v>51.5</v>
      </c>
      <c r="W1143" s="20" t="n">
        <v>85.09999999999999</v>
      </c>
      <c r="X1143" s="20" t="n">
        <v>58</v>
      </c>
      <c r="Y1143" s="40">
        <f>ROUND((V1143*'Methodology &amp; Assumptions'!$B$6)+(W1143*'Methodology &amp; Assumptions'!$B$5)+(X1143*'Methodology &amp; Assumptions'!$B$7), 2)</f>
        <v/>
      </c>
    </row>
    <row r="1144" ht="19" customHeight="1">
      <c r="A1144" s="41" t="n">
        <v>140</v>
      </c>
      <c r="B1144" s="41" t="n">
        <v>4140</v>
      </c>
      <c r="C1144" s="42" t="inlineStr">
        <is>
          <t>0702246022</t>
        </is>
      </c>
      <c r="D1144" s="42" t="inlineStr">
        <is>
          <t>Region VII (Central Visayas)</t>
        </is>
      </c>
      <c r="E1144" s="42" t="inlineStr">
        <is>
          <t>Cebu</t>
        </is>
      </c>
      <c r="F1144" s="42" t="inlineStr">
        <is>
          <t>Sibonga</t>
        </is>
      </c>
      <c r="G1144" s="42" t="inlineStr">
        <is>
          <t>Sabang</t>
        </is>
      </c>
      <c r="H1144" s="43" t="n">
        <v>10.031774</v>
      </c>
      <c r="I1144" s="43" t="n">
        <v>123.618613</v>
      </c>
      <c r="J1144" s="44" t="inlineStr">
        <is>
          <t>R</t>
        </is>
      </c>
      <c r="K1144" s="42" t="inlineStr">
        <is>
          <t>Class 1-3 / Urban</t>
        </is>
      </c>
      <c r="L1144" s="23" t="n">
        <v>2912</v>
      </c>
      <c r="M1144" s="24" t="n">
        <v>4.42</v>
      </c>
      <c r="N1144" s="23">
        <f>ROUND(L1144/M1144, 0)</f>
        <v/>
      </c>
      <c r="O1144" s="23">
        <f>ROUND(N1144*'Methodology &amp; Assumptions'!$B$8, 0)</f>
        <v/>
      </c>
      <c r="P1144" s="44" t="inlineStr">
        <is>
          <t>Band n50 (1.5 GHz, 60 MHz)</t>
        </is>
      </c>
      <c r="Q1144" s="38">
        <f>ROUNDUP(O1144/'Methodology &amp; Assumptions'!$B$9, 0)</f>
        <v/>
      </c>
      <c r="R1144" s="39" t="n">
        <v>1</v>
      </c>
      <c r="S1144" s="25" t="n">
        <v>2.09</v>
      </c>
      <c r="T1144" s="25" t="n">
        <v>0.25</v>
      </c>
      <c r="U1144" s="42" t="inlineStr">
        <is>
          <t>Tier 1B (Micro Drop, 1-3 km)</t>
        </is>
      </c>
      <c r="V1144" s="24" t="n">
        <v>59.8</v>
      </c>
      <c r="W1144" s="24" t="n">
        <v>76.8</v>
      </c>
      <c r="X1144" s="24" t="n">
        <v>58</v>
      </c>
      <c r="Y1144" s="45">
        <f>ROUND((V1144*'Methodology &amp; Assumptions'!$B$6)+(W1144*'Methodology &amp; Assumptions'!$B$5)+(X1144*'Methodology &amp; Assumptions'!$B$7), 2)</f>
        <v/>
      </c>
    </row>
    <row r="1145" ht="19" customHeight="1">
      <c r="A1145" s="35" t="n">
        <v>141</v>
      </c>
      <c r="B1145" s="35" t="n">
        <v>4141</v>
      </c>
      <c r="C1145" s="36" t="inlineStr">
        <is>
          <t>0402109096</t>
        </is>
      </c>
      <c r="D1145" s="36" t="inlineStr">
        <is>
          <t>Region IV-A (CALABARZON)</t>
        </is>
      </c>
      <c r="E1145" s="36" t="inlineStr">
        <is>
          <t>Cavite</t>
        </is>
      </c>
      <c r="F1145" s="36" t="inlineStr">
        <is>
          <t>City of Imus</t>
        </is>
      </c>
      <c r="G1145" s="36" t="inlineStr">
        <is>
          <t>Tanzang Luma IV</t>
        </is>
      </c>
      <c r="H1145" s="37" t="n">
        <v>14.416231</v>
      </c>
      <c r="I1145" s="37" t="n">
        <v>120.942178</v>
      </c>
      <c r="J1145" s="8" t="inlineStr">
        <is>
          <t>R</t>
        </is>
      </c>
      <c r="K1145" s="36" t="inlineStr">
        <is>
          <t>Class 1-3 / Urban</t>
        </is>
      </c>
      <c r="L1145" s="18" t="n">
        <v>2344</v>
      </c>
      <c r="M1145" s="20" t="n">
        <v>4.49</v>
      </c>
      <c r="N1145" s="18">
        <f>ROUND(L1145/M1145, 0)</f>
        <v/>
      </c>
      <c r="O1145" s="18">
        <f>ROUND(N1145*'Methodology &amp; Assumptions'!$B$8, 0)</f>
        <v/>
      </c>
      <c r="P1145" s="8" t="inlineStr">
        <is>
          <t>Band n50 (1.5 GHz, 60 MHz)</t>
        </is>
      </c>
      <c r="Q1145" s="38">
        <f>ROUNDUP(O1145/'Methodology &amp; Assumptions'!$B$9, 0)</f>
        <v/>
      </c>
      <c r="R1145" s="39" t="n">
        <v>1</v>
      </c>
      <c r="S1145" s="21" t="n">
        <v>1.04</v>
      </c>
      <c r="T1145" s="21" t="n">
        <v>3.4</v>
      </c>
      <c r="U1145" s="36" t="inlineStr">
        <is>
          <t>Tier 1B (Micro Drop, 1-3 km)</t>
        </is>
      </c>
      <c r="V1145" s="20" t="n">
        <v>70.7</v>
      </c>
      <c r="W1145" s="20" t="n">
        <v>65.90000000000001</v>
      </c>
      <c r="X1145" s="20" t="n">
        <v>58</v>
      </c>
      <c r="Y1145" s="40">
        <f>ROUND((V1145*'Methodology &amp; Assumptions'!$B$6)+(W1145*'Methodology &amp; Assumptions'!$B$5)+(X1145*'Methodology &amp; Assumptions'!$B$7), 2)</f>
        <v/>
      </c>
    </row>
    <row r="1146" ht="19" customHeight="1">
      <c r="A1146" s="41" t="n">
        <v>142</v>
      </c>
      <c r="B1146" s="41" t="n">
        <v>4142</v>
      </c>
      <c r="C1146" s="42" t="inlineStr">
        <is>
          <t>0501703028</t>
        </is>
      </c>
      <c r="D1146" s="42" t="inlineStr">
        <is>
          <t>Region V (Bicol Region)</t>
        </is>
      </c>
      <c r="E1146" s="42" t="inlineStr">
        <is>
          <t>Camarines Sur</t>
        </is>
      </c>
      <c r="F1146" s="42" t="inlineStr">
        <is>
          <t>Bato</t>
        </is>
      </c>
      <c r="G1146" s="42" t="inlineStr">
        <is>
          <t>San Rafael</t>
        </is>
      </c>
      <c r="H1146" s="43" t="n">
        <v>13.352545</v>
      </c>
      <c r="I1146" s="43" t="n">
        <v>123.369872</v>
      </c>
      <c r="J1146" s="44" t="inlineStr">
        <is>
          <t>R</t>
        </is>
      </c>
      <c r="K1146" s="42" t="inlineStr">
        <is>
          <t>Class 1-3 / Urban</t>
        </is>
      </c>
      <c r="L1146" s="23" t="n">
        <v>1587</v>
      </c>
      <c r="M1146" s="24" t="n">
        <v>4.9</v>
      </c>
      <c r="N1146" s="23">
        <f>ROUND(L1146/M1146, 0)</f>
        <v/>
      </c>
      <c r="O1146" s="23">
        <f>ROUND(N1146*'Methodology &amp; Assumptions'!$B$8, 0)</f>
        <v/>
      </c>
      <c r="P1146" s="44" t="inlineStr">
        <is>
          <t>Band n50 (1.5 GHz, 60 MHz)</t>
        </is>
      </c>
      <c r="Q1146" s="38">
        <f>ROUNDUP(O1146/'Methodology &amp; Assumptions'!$B$9, 0)</f>
        <v/>
      </c>
      <c r="R1146" s="39" t="n">
        <v>1</v>
      </c>
      <c r="S1146" s="25" t="n">
        <v>0.8</v>
      </c>
      <c r="T1146" s="25" t="n">
        <v>0.16</v>
      </c>
      <c r="U1146" s="42" t="inlineStr">
        <is>
          <t>Tier 1A (Direct Coloc, &lt;1 km)</t>
        </is>
      </c>
      <c r="V1146" s="24" t="n">
        <v>86.7</v>
      </c>
      <c r="W1146" s="24" t="n">
        <v>49.9</v>
      </c>
      <c r="X1146" s="24" t="n">
        <v>58</v>
      </c>
      <c r="Y1146" s="45">
        <f>ROUND((V1146*'Methodology &amp; Assumptions'!$B$6)+(W1146*'Methodology &amp; Assumptions'!$B$5)+(X1146*'Methodology &amp; Assumptions'!$B$7), 2)</f>
        <v/>
      </c>
    </row>
    <row r="1147" ht="19" customHeight="1">
      <c r="A1147" s="35" t="n">
        <v>143</v>
      </c>
      <c r="B1147" s="35" t="n">
        <v>4143</v>
      </c>
      <c r="C1147" s="36" t="inlineStr">
        <is>
          <t>1030500057</t>
        </is>
      </c>
      <c r="D1147" s="36" t="inlineStr">
        <is>
          <t>Region X (Northern Mindanao)</t>
        </is>
      </c>
      <c r="E1147" s="36" t="inlineStr">
        <is>
          <t>Misamis Oriental</t>
        </is>
      </c>
      <c r="F1147" s="36" t="inlineStr">
        <is>
          <t>City of Cagayan De Oro</t>
        </is>
      </c>
      <c r="G1147" s="36" t="inlineStr">
        <is>
          <t>Mambuaya</t>
        </is>
      </c>
      <c r="H1147" s="37" t="n">
        <v>8.328309000000001</v>
      </c>
      <c r="I1147" s="37" t="n">
        <v>124.597122</v>
      </c>
      <c r="J1147" s="8" t="inlineStr">
        <is>
          <t>U</t>
        </is>
      </c>
      <c r="K1147" s="36" t="inlineStr">
        <is>
          <t>Class 1-3 / Urban</t>
        </is>
      </c>
      <c r="L1147" s="18" t="n">
        <v>5963</v>
      </c>
      <c r="M1147" s="20" t="n">
        <v>4.54</v>
      </c>
      <c r="N1147" s="18">
        <f>ROUND(L1147/M1147, 0)</f>
        <v/>
      </c>
      <c r="O1147" s="18">
        <f>ROUND(N1147*'Methodology &amp; Assumptions'!$B$8, 0)</f>
        <v/>
      </c>
      <c r="P1147" s="8" t="inlineStr">
        <is>
          <t>Band n50 (1.5 GHz, 60 MHz)</t>
        </is>
      </c>
      <c r="Q1147" s="38">
        <f>ROUNDUP(O1147/'Methodology &amp; Assumptions'!$B$9, 0)</f>
        <v/>
      </c>
      <c r="R1147" s="39" t="n">
        <v>1</v>
      </c>
      <c r="S1147" s="21" t="n">
        <v>1.95</v>
      </c>
      <c r="T1147" s="21" t="n">
        <v>0.2</v>
      </c>
      <c r="U1147" s="36" t="inlineStr">
        <is>
          <t>Tier 1B (Micro Drop, 1-3 km)</t>
        </is>
      </c>
      <c r="V1147" s="20" t="n">
        <v>62.3</v>
      </c>
      <c r="W1147" s="20" t="n">
        <v>100</v>
      </c>
      <c r="X1147" s="20" t="n">
        <v>28</v>
      </c>
      <c r="Y1147" s="40">
        <f>ROUND((V1147*'Methodology &amp; Assumptions'!$B$6)+(W1147*'Methodology &amp; Assumptions'!$B$5)+(X1147*'Methodology &amp; Assumptions'!$B$7), 2)</f>
        <v/>
      </c>
    </row>
    <row r="1148" ht="19" customHeight="1">
      <c r="A1148" s="41" t="n">
        <v>144</v>
      </c>
      <c r="B1148" s="41" t="n">
        <v>4144</v>
      </c>
      <c r="C1148" s="42" t="inlineStr">
        <is>
          <t>0500517002</t>
        </is>
      </c>
      <c r="D1148" s="42" t="inlineStr">
        <is>
          <t>Region V (Bicol Region)</t>
        </is>
      </c>
      <c r="E1148" s="42" t="inlineStr">
        <is>
          <t>Albay</t>
        </is>
      </c>
      <c r="F1148" s="42" t="inlineStr">
        <is>
          <t>City of Tabaco</t>
        </is>
      </c>
      <c r="G1148" s="42" t="inlineStr">
        <is>
          <t>Bacolod</t>
        </is>
      </c>
      <c r="H1148" s="43" t="n">
        <v>13.362469</v>
      </c>
      <c r="I1148" s="43" t="n">
        <v>123.733498</v>
      </c>
      <c r="J1148" s="44" t="inlineStr">
        <is>
          <t>R</t>
        </is>
      </c>
      <c r="K1148" s="42" t="inlineStr">
        <is>
          <t>Class 1-3 / Urban</t>
        </is>
      </c>
      <c r="L1148" s="23" t="n">
        <v>1949</v>
      </c>
      <c r="M1148" s="24" t="n">
        <v>4.67</v>
      </c>
      <c r="N1148" s="23">
        <f>ROUND(L1148/M1148, 0)</f>
        <v/>
      </c>
      <c r="O1148" s="23">
        <f>ROUND(N1148*'Methodology &amp; Assumptions'!$B$8, 0)</f>
        <v/>
      </c>
      <c r="P1148" s="44" t="inlineStr">
        <is>
          <t>Band n50 (1.5 GHz, 60 MHz)</t>
        </is>
      </c>
      <c r="Q1148" s="38">
        <f>ROUNDUP(O1148/'Methodology &amp; Assumptions'!$B$9, 0)</f>
        <v/>
      </c>
      <c r="R1148" s="39" t="n">
        <v>1</v>
      </c>
      <c r="S1148" s="25" t="n">
        <v>1.1</v>
      </c>
      <c r="T1148" s="25" t="n">
        <v>0.36</v>
      </c>
      <c r="U1148" s="42" t="inlineStr">
        <is>
          <t>Tier 1B (Micro Drop, 1-3 km)</t>
        </is>
      </c>
      <c r="V1148" s="24" t="n">
        <v>79.2</v>
      </c>
      <c r="W1148" s="24" t="n">
        <v>57.3</v>
      </c>
      <c r="X1148" s="24" t="n">
        <v>58</v>
      </c>
      <c r="Y1148" s="45">
        <f>ROUND((V1148*'Methodology &amp; Assumptions'!$B$6)+(W1148*'Methodology &amp; Assumptions'!$B$5)+(X1148*'Methodology &amp; Assumptions'!$B$7), 2)</f>
        <v/>
      </c>
    </row>
    <row r="1149" ht="19" customHeight="1">
      <c r="A1149" s="35" t="n">
        <v>145</v>
      </c>
      <c r="B1149" s="35" t="n">
        <v>4145</v>
      </c>
      <c r="C1149" s="36" t="inlineStr">
        <is>
          <t>1606807009</t>
        </is>
      </c>
      <c r="D1149" s="36" t="inlineStr">
        <is>
          <t>Region XIII (Caraga)</t>
        </is>
      </c>
      <c r="E1149" s="36" t="inlineStr">
        <is>
          <t>Surigao del Sur</t>
        </is>
      </c>
      <c r="F1149" s="36" t="inlineStr">
        <is>
          <t>Carrascal</t>
        </is>
      </c>
      <c r="G1149" s="36" t="inlineStr">
        <is>
          <t>Embarcadero</t>
        </is>
      </c>
      <c r="H1149" s="37" t="n">
        <v>9.36857</v>
      </c>
      <c r="I1149" s="37" t="n">
        <v>125.95</v>
      </c>
      <c r="J1149" s="8" t="inlineStr">
        <is>
          <t>R</t>
        </is>
      </c>
      <c r="K1149" s="36" t="inlineStr">
        <is>
          <t>1st</t>
        </is>
      </c>
      <c r="L1149" s="18" t="n">
        <v>705</v>
      </c>
      <c r="M1149" s="20" t="n">
        <v>4.46</v>
      </c>
      <c r="N1149" s="18">
        <f>ROUND(L1149/M1149, 0)</f>
        <v/>
      </c>
      <c r="O1149" s="18">
        <f>ROUND(N1149*'Methodology &amp; Assumptions'!$B$8, 0)</f>
        <v/>
      </c>
      <c r="P1149" s="8" t="inlineStr">
        <is>
          <t>Band n50 (1.5 GHz, 60 MHz)</t>
        </is>
      </c>
      <c r="Q1149" s="38">
        <f>ROUNDUP(O1149/'Methodology &amp; Assumptions'!$B$9, 0)</f>
        <v/>
      </c>
      <c r="R1149" s="39" t="n">
        <v>1</v>
      </c>
      <c r="S1149" s="21" t="n">
        <v>0.17</v>
      </c>
      <c r="T1149" s="21" t="n">
        <v>0.16</v>
      </c>
      <c r="U1149" s="36" t="inlineStr">
        <is>
          <t>Tier 1A (Direct Coloc, &lt;1 km)</t>
        </is>
      </c>
      <c r="V1149" s="20" t="n">
        <v>100</v>
      </c>
      <c r="W1149" s="20" t="n">
        <v>36.5</v>
      </c>
      <c r="X1149" s="20" t="n">
        <v>58</v>
      </c>
      <c r="Y1149" s="40">
        <f>ROUND((V1149*'Methodology &amp; Assumptions'!$B$6)+(W1149*'Methodology &amp; Assumptions'!$B$5)+(X1149*'Methodology &amp; Assumptions'!$B$7), 2)</f>
        <v/>
      </c>
    </row>
    <row r="1150" ht="19" customHeight="1">
      <c r="A1150" s="41" t="n">
        <v>146</v>
      </c>
      <c r="B1150" s="41" t="n">
        <v>4146</v>
      </c>
      <c r="C1150" s="42" t="inlineStr">
        <is>
          <t>0803708058</t>
        </is>
      </c>
      <c r="D1150" s="42" t="inlineStr">
        <is>
          <t>Region VIII (Eastern Visayas)</t>
        </is>
      </c>
      <c r="E1150" s="42" t="inlineStr">
        <is>
          <t>Leyte</t>
        </is>
      </c>
      <c r="F1150" s="42" t="inlineStr">
        <is>
          <t>City of Baybay</t>
        </is>
      </c>
      <c r="G1150" s="42" t="inlineStr">
        <is>
          <t>Poblacion Zone 2</t>
        </is>
      </c>
      <c r="H1150" s="43" t="n">
        <v>10.680129</v>
      </c>
      <c r="I1150" s="43" t="n">
        <v>124.8026</v>
      </c>
      <c r="J1150" s="44" t="inlineStr">
        <is>
          <t>R</t>
        </is>
      </c>
      <c r="K1150" s="42" t="inlineStr">
        <is>
          <t>Class 1-3 / Urban</t>
        </is>
      </c>
      <c r="L1150" s="23" t="n">
        <v>660</v>
      </c>
      <c r="M1150" s="24" t="n">
        <v>4.24</v>
      </c>
      <c r="N1150" s="23">
        <f>ROUND(L1150/M1150, 0)</f>
        <v/>
      </c>
      <c r="O1150" s="23">
        <f>ROUND(N1150*'Methodology &amp; Assumptions'!$B$8, 0)</f>
        <v/>
      </c>
      <c r="P1150" s="44" t="inlineStr">
        <is>
          <t>Band n50 (1.5 GHz, 60 MHz)</t>
        </is>
      </c>
      <c r="Q1150" s="38">
        <f>ROUNDUP(O1150/'Methodology &amp; Assumptions'!$B$9, 0)</f>
        <v/>
      </c>
      <c r="R1150" s="39" t="n">
        <v>1</v>
      </c>
      <c r="S1150" s="25" t="n">
        <v>0.12</v>
      </c>
      <c r="T1150" s="25" t="n">
        <v>0.18</v>
      </c>
      <c r="U1150" s="42" t="inlineStr">
        <is>
          <t>Tier 1A (Direct Coloc, &lt;1 km)</t>
        </is>
      </c>
      <c r="V1150" s="24" t="n">
        <v>100</v>
      </c>
      <c r="W1150" s="24" t="n">
        <v>36.5</v>
      </c>
      <c r="X1150" s="24" t="n">
        <v>58</v>
      </c>
      <c r="Y1150" s="45">
        <f>ROUND((V1150*'Methodology &amp; Assumptions'!$B$6)+(W1150*'Methodology &amp; Assumptions'!$B$5)+(X1150*'Methodology &amp; Assumptions'!$B$7), 2)</f>
        <v/>
      </c>
    </row>
    <row r="1151" ht="19" customHeight="1">
      <c r="A1151" s="35" t="n">
        <v>147</v>
      </c>
      <c r="B1151" s="35" t="n">
        <v>4147</v>
      </c>
      <c r="C1151" s="36" t="inlineStr">
        <is>
          <t>0401034008</t>
        </is>
      </c>
      <c r="D1151" s="36" t="inlineStr">
        <is>
          <t>Region IV-A (CALABARZON)</t>
        </is>
      </c>
      <c r="E1151" s="36" t="inlineStr">
        <is>
          <t>Batangas</t>
        </is>
      </c>
      <c r="F1151" s="36" t="inlineStr">
        <is>
          <t>Tuy</t>
        </is>
      </c>
      <c r="G1151" s="36" t="inlineStr">
        <is>
          <t>Luntal</t>
        </is>
      </c>
      <c r="H1151" s="37" t="n">
        <v>14.0368</v>
      </c>
      <c r="I1151" s="37" t="n">
        <v>120.7082</v>
      </c>
      <c r="J1151" s="8" t="inlineStr">
        <is>
          <t>R</t>
        </is>
      </c>
      <c r="K1151" s="36" t="inlineStr">
        <is>
          <t>Class 1-3 / Urban</t>
        </is>
      </c>
      <c r="L1151" s="18" t="n">
        <v>3624</v>
      </c>
      <c r="M1151" s="20" t="n">
        <v>4.62</v>
      </c>
      <c r="N1151" s="18">
        <f>ROUND(L1151/M1151, 0)</f>
        <v/>
      </c>
      <c r="O1151" s="18">
        <f>ROUND(N1151*'Methodology &amp; Assumptions'!$B$8, 0)</f>
        <v/>
      </c>
      <c r="P1151" s="8" t="inlineStr">
        <is>
          <t>Band n50 (1.5 GHz, 60 MHz)</t>
        </is>
      </c>
      <c r="Q1151" s="38">
        <f>ROUNDUP(O1151/'Methodology &amp; Assumptions'!$B$9, 0)</f>
        <v/>
      </c>
      <c r="R1151" s="39" t="n">
        <v>1</v>
      </c>
      <c r="S1151" s="21" t="n">
        <v>2.76</v>
      </c>
      <c r="T1151" s="21" t="n">
        <v>0.41</v>
      </c>
      <c r="U1151" s="36" t="inlineStr">
        <is>
          <t>Tier 1B (Micro Drop, 1-3 km)</t>
        </is>
      </c>
      <c r="V1151" s="20" t="n">
        <v>49.8</v>
      </c>
      <c r="W1151" s="20" t="n">
        <v>86.7</v>
      </c>
      <c r="X1151" s="20" t="n">
        <v>58</v>
      </c>
      <c r="Y1151" s="40">
        <f>ROUND((V1151*'Methodology &amp; Assumptions'!$B$6)+(W1151*'Methodology &amp; Assumptions'!$B$5)+(X1151*'Methodology &amp; Assumptions'!$B$7), 2)</f>
        <v/>
      </c>
    </row>
    <row r="1152" ht="19" customHeight="1">
      <c r="A1152" s="41" t="n">
        <v>148</v>
      </c>
      <c r="B1152" s="41" t="n">
        <v>4148</v>
      </c>
      <c r="C1152" s="42" t="inlineStr">
        <is>
          <t>0301403025</t>
        </is>
      </c>
      <c r="D1152" s="42" t="inlineStr">
        <is>
          <t>Region III (Central Luzon)</t>
        </is>
      </c>
      <c r="E1152" s="42" t="inlineStr">
        <is>
          <t>Bulacan</t>
        </is>
      </c>
      <c r="F1152" s="42" t="inlineStr">
        <is>
          <t>Baliuag</t>
        </is>
      </c>
      <c r="G1152" s="42" t="inlineStr">
        <is>
          <t>Tarcan</t>
        </is>
      </c>
      <c r="H1152" s="43" t="n">
        <v>14.930564</v>
      </c>
      <c r="I1152" s="43" t="n">
        <v>120.886285</v>
      </c>
      <c r="J1152" s="44" t="inlineStr">
        <is>
          <t>U</t>
        </is>
      </c>
      <c r="K1152" s="42" t="inlineStr">
        <is>
          <t>Class 1-3 / Urban</t>
        </is>
      </c>
      <c r="L1152" s="23" t="n">
        <v>8809</v>
      </c>
      <c r="M1152" s="24" t="n">
        <v>4.1</v>
      </c>
      <c r="N1152" s="23">
        <f>ROUND(L1152/M1152, 0)</f>
        <v/>
      </c>
      <c r="O1152" s="23">
        <f>ROUND(N1152*'Methodology &amp; Assumptions'!$B$8, 0)</f>
        <v/>
      </c>
      <c r="P1152" s="44" t="inlineStr">
        <is>
          <t>Band n50 (1.5 GHz, 60 MHz)</t>
        </is>
      </c>
      <c r="Q1152" s="38">
        <f>ROUNDUP(O1152/'Methodology &amp; Assumptions'!$B$9, 0)</f>
        <v/>
      </c>
      <c r="R1152" s="39" t="n">
        <v>1</v>
      </c>
      <c r="S1152" s="25" t="n">
        <v>1.95</v>
      </c>
      <c r="T1152" s="25" t="n">
        <v>0.13</v>
      </c>
      <c r="U1152" s="42" t="inlineStr">
        <is>
          <t>Tier 1B (Micro Drop, 1-3 km)</t>
        </is>
      </c>
      <c r="V1152" s="24" t="n">
        <v>62.2</v>
      </c>
      <c r="W1152" s="24" t="n">
        <v>100</v>
      </c>
      <c r="X1152" s="24" t="n">
        <v>28</v>
      </c>
      <c r="Y1152" s="45">
        <f>ROUND((V1152*'Methodology &amp; Assumptions'!$B$6)+(W1152*'Methodology &amp; Assumptions'!$B$5)+(X1152*'Methodology &amp; Assumptions'!$B$7), 2)</f>
        <v/>
      </c>
    </row>
    <row r="1153" ht="19" customHeight="1">
      <c r="A1153" s="35" t="n">
        <v>149</v>
      </c>
      <c r="B1153" s="35" t="n">
        <v>4149</v>
      </c>
      <c r="C1153" s="36" t="inlineStr">
        <is>
          <t>0402101016</t>
        </is>
      </c>
      <c r="D1153" s="36" t="inlineStr">
        <is>
          <t>Region IV-A (CALABARZON)</t>
        </is>
      </c>
      <c r="E1153" s="36" t="inlineStr">
        <is>
          <t>Cavite</t>
        </is>
      </c>
      <c r="F1153" s="36" t="inlineStr">
        <is>
          <t>Alfonso</t>
        </is>
      </c>
      <c r="G1153" s="36" t="inlineStr">
        <is>
          <t>Sikat</t>
        </is>
      </c>
      <c r="H1153" s="37" t="n">
        <v>14.095261</v>
      </c>
      <c r="I1153" s="37" t="n">
        <v>120.887607</v>
      </c>
      <c r="J1153" s="8" t="inlineStr">
        <is>
          <t>R</t>
        </is>
      </c>
      <c r="K1153" s="36" t="inlineStr">
        <is>
          <t>Class 1-3 / Urban</t>
        </is>
      </c>
      <c r="L1153" s="18" t="n">
        <v>2284</v>
      </c>
      <c r="M1153" s="20" t="n">
        <v>4.49</v>
      </c>
      <c r="N1153" s="18">
        <f>ROUND(L1153/M1153, 0)</f>
        <v/>
      </c>
      <c r="O1153" s="18">
        <f>ROUND(N1153*'Methodology &amp; Assumptions'!$B$8, 0)</f>
        <v/>
      </c>
      <c r="P1153" s="8" t="inlineStr">
        <is>
          <t>Band n50 (1.5 GHz, 60 MHz)</t>
        </is>
      </c>
      <c r="Q1153" s="38">
        <f>ROUNDUP(O1153/'Methodology &amp; Assumptions'!$B$9, 0)</f>
        <v/>
      </c>
      <c r="R1153" s="39" t="n">
        <v>1</v>
      </c>
      <c r="S1153" s="21" t="n">
        <v>1.45</v>
      </c>
      <c r="T1153" s="21" t="n">
        <v>1.02</v>
      </c>
      <c r="U1153" s="36" t="inlineStr">
        <is>
          <t>Tier 1B (Micro Drop, 1-3 km)</t>
        </is>
      </c>
      <c r="V1153" s="20" t="n">
        <v>71.7</v>
      </c>
      <c r="W1153" s="20" t="n">
        <v>64.8</v>
      </c>
      <c r="X1153" s="20" t="n">
        <v>58</v>
      </c>
      <c r="Y1153" s="40">
        <f>ROUND((V1153*'Methodology &amp; Assumptions'!$B$6)+(W1153*'Methodology &amp; Assumptions'!$B$5)+(X1153*'Methodology &amp; Assumptions'!$B$7), 2)</f>
        <v/>
      </c>
    </row>
    <row r="1154" ht="19" customHeight="1">
      <c r="A1154" s="41" t="n">
        <v>150</v>
      </c>
      <c r="B1154" s="41" t="n">
        <v>4150</v>
      </c>
      <c r="C1154" s="42" t="inlineStr">
        <is>
          <t>0731300006</t>
        </is>
      </c>
      <c r="D1154" s="42" t="inlineStr">
        <is>
          <t>Region VII (Central Visayas)</t>
        </is>
      </c>
      <c r="E1154" s="42" t="inlineStr">
        <is>
          <t>Cebu</t>
        </is>
      </c>
      <c r="F1154" s="42" t="inlineStr">
        <is>
          <t>City of Mandaue</t>
        </is>
      </c>
      <c r="G1154" s="42" t="inlineStr">
        <is>
          <t>Cambaro</t>
        </is>
      </c>
      <c r="H1154" s="43" t="n">
        <v>10.326575</v>
      </c>
      <c r="I1154" s="43" t="n">
        <v>123.948747</v>
      </c>
      <c r="J1154" s="44" t="inlineStr">
        <is>
          <t>U</t>
        </is>
      </c>
      <c r="K1154" s="42" t="inlineStr">
        <is>
          <t>Class 1-3 / Urban</t>
        </is>
      </c>
      <c r="L1154" s="23" t="n">
        <v>8990</v>
      </c>
      <c r="M1154" s="24" t="n">
        <v>4.42</v>
      </c>
      <c r="N1154" s="23">
        <f>ROUND(L1154/M1154, 0)</f>
        <v/>
      </c>
      <c r="O1154" s="23">
        <f>ROUND(N1154*'Methodology &amp; Assumptions'!$B$8, 0)</f>
        <v/>
      </c>
      <c r="P1154" s="44" t="inlineStr">
        <is>
          <t>Band n50 (1.5 GHz, 60 MHz)</t>
        </is>
      </c>
      <c r="Q1154" s="38">
        <f>ROUNDUP(O1154/'Methodology &amp; Assumptions'!$B$9, 0)</f>
        <v/>
      </c>
      <c r="R1154" s="39" t="n">
        <v>1</v>
      </c>
      <c r="S1154" s="25" t="n">
        <v>1.95</v>
      </c>
      <c r="T1154" s="25" t="n">
        <v>1.36</v>
      </c>
      <c r="U1154" s="42" t="inlineStr">
        <is>
          <t>Tier 1B (Micro Drop, 1-3 km)</t>
        </is>
      </c>
      <c r="V1154" s="24" t="n">
        <v>62.2</v>
      </c>
      <c r="W1154" s="24" t="n">
        <v>100</v>
      </c>
      <c r="X1154" s="24" t="n">
        <v>28</v>
      </c>
      <c r="Y1154" s="45">
        <f>ROUND((V1154*'Methodology &amp; Assumptions'!$B$6)+(W1154*'Methodology &amp; Assumptions'!$B$5)+(X1154*'Methodology &amp; Assumptions'!$B$7), 2)</f>
        <v/>
      </c>
    </row>
    <row r="1155" ht="19" customHeight="1">
      <c r="A1155" s="35" t="n">
        <v>151</v>
      </c>
      <c r="B1155" s="35" t="n">
        <v>4151</v>
      </c>
      <c r="C1155" s="36" t="inlineStr">
        <is>
          <t>0501708041</t>
        </is>
      </c>
      <c r="D1155" s="36" t="inlineStr">
        <is>
          <t>Region V (Bicol Region)</t>
        </is>
      </c>
      <c r="E1155" s="36" t="inlineStr">
        <is>
          <t>Camarines Sur</t>
        </is>
      </c>
      <c r="F1155" s="36" t="inlineStr">
        <is>
          <t>Calabanga</t>
        </is>
      </c>
      <c r="G1155" s="36" t="inlineStr">
        <is>
          <t>Santa Cruz Ratay</t>
        </is>
      </c>
      <c r="H1155" s="37" t="n">
        <v>13.712222</v>
      </c>
      <c r="I1155" s="37" t="n">
        <v>123.226382</v>
      </c>
      <c r="J1155" s="8" t="inlineStr">
        <is>
          <t>U</t>
        </is>
      </c>
      <c r="K1155" s="36" t="inlineStr">
        <is>
          <t>Class 1-3 / Urban</t>
        </is>
      </c>
      <c r="L1155" s="18" t="n">
        <v>5456</v>
      </c>
      <c r="M1155" s="20" t="n">
        <v>4.9</v>
      </c>
      <c r="N1155" s="18">
        <f>ROUND(L1155/M1155, 0)</f>
        <v/>
      </c>
      <c r="O1155" s="18">
        <f>ROUND(N1155*'Methodology &amp; Assumptions'!$B$8, 0)</f>
        <v/>
      </c>
      <c r="P1155" s="8" t="inlineStr">
        <is>
          <t>Band n50 (1.5 GHz, 60 MHz)</t>
        </is>
      </c>
      <c r="Q1155" s="38">
        <f>ROUNDUP(O1155/'Methodology &amp; Assumptions'!$B$9, 0)</f>
        <v/>
      </c>
      <c r="R1155" s="39" t="n">
        <v>1</v>
      </c>
      <c r="S1155" s="21" t="n">
        <v>1.95</v>
      </c>
      <c r="T1155" s="21" t="n">
        <v>0.22</v>
      </c>
      <c r="U1155" s="36" t="inlineStr">
        <is>
          <t>Tier 1B (Micro Drop, 1-3 km)</t>
        </is>
      </c>
      <c r="V1155" s="20" t="n">
        <v>62.2</v>
      </c>
      <c r="W1155" s="20" t="n">
        <v>100</v>
      </c>
      <c r="X1155" s="20" t="n">
        <v>28</v>
      </c>
      <c r="Y1155" s="40">
        <f>ROUND((V1155*'Methodology &amp; Assumptions'!$B$6)+(W1155*'Methodology &amp; Assumptions'!$B$5)+(X1155*'Methodology &amp; Assumptions'!$B$7), 2)</f>
        <v/>
      </c>
    </row>
    <row r="1156" ht="19" customHeight="1">
      <c r="A1156" s="41" t="n">
        <v>152</v>
      </c>
      <c r="B1156" s="41" t="n">
        <v>4152</v>
      </c>
      <c r="C1156" s="42" t="inlineStr">
        <is>
          <t>0500503007</t>
        </is>
      </c>
      <c r="D1156" s="42" t="inlineStr">
        <is>
          <t>Region V (Bicol Region)</t>
        </is>
      </c>
      <c r="E1156" s="42" t="inlineStr">
        <is>
          <t>Albay</t>
        </is>
      </c>
      <c r="F1156" s="42" t="inlineStr">
        <is>
          <t>Daraga</t>
        </is>
      </c>
      <c r="G1156" s="42" t="inlineStr">
        <is>
          <t>Bañag</t>
        </is>
      </c>
      <c r="H1156" s="43" t="n">
        <v>13.155225</v>
      </c>
      <c r="I1156" s="43" t="n">
        <v>123.709069</v>
      </c>
      <c r="J1156" s="44" t="inlineStr">
        <is>
          <t>U</t>
        </is>
      </c>
      <c r="K1156" s="42" t="inlineStr">
        <is>
          <t>Class 1-3 / Urban</t>
        </is>
      </c>
      <c r="L1156" s="23" t="n">
        <v>3227</v>
      </c>
      <c r="M1156" s="24" t="n">
        <v>4.67</v>
      </c>
      <c r="N1156" s="23">
        <f>ROUND(L1156/M1156, 0)</f>
        <v/>
      </c>
      <c r="O1156" s="23">
        <f>ROUND(N1156*'Methodology &amp; Assumptions'!$B$8, 0)</f>
        <v/>
      </c>
      <c r="P1156" s="44" t="inlineStr">
        <is>
          <t>Band n50 (1.5 GHz, 60 MHz)</t>
        </is>
      </c>
      <c r="Q1156" s="38">
        <f>ROUNDUP(O1156/'Methodology &amp; Assumptions'!$B$9, 0)</f>
        <v/>
      </c>
      <c r="R1156" s="39" t="n">
        <v>1</v>
      </c>
      <c r="S1156" s="25" t="n">
        <v>0.9399999999999999</v>
      </c>
      <c r="T1156" s="25" t="n">
        <v>0.21</v>
      </c>
      <c r="U1156" s="42" t="inlineStr">
        <is>
          <t>Tier 1A (Direct Coloc, &lt;1 km)</t>
        </is>
      </c>
      <c r="V1156" s="24" t="n">
        <v>83</v>
      </c>
      <c r="W1156" s="24" t="n">
        <v>79.2</v>
      </c>
      <c r="X1156" s="24" t="n">
        <v>28</v>
      </c>
      <c r="Y1156" s="45">
        <f>ROUND((V1156*'Methodology &amp; Assumptions'!$B$6)+(W1156*'Methodology &amp; Assumptions'!$B$5)+(X1156*'Methodology &amp; Assumptions'!$B$7), 2)</f>
        <v/>
      </c>
    </row>
    <row r="1157" ht="19" customHeight="1">
      <c r="A1157" s="35" t="n">
        <v>153</v>
      </c>
      <c r="B1157" s="35" t="n">
        <v>4153</v>
      </c>
      <c r="C1157" s="36" t="inlineStr">
        <is>
          <t>0304910001</t>
        </is>
      </c>
      <c r="D1157" s="36" t="inlineStr">
        <is>
          <t>Region III (Central Luzon)</t>
        </is>
      </c>
      <c r="E1157" s="36" t="inlineStr">
        <is>
          <t>Nueva Ecija</t>
        </is>
      </c>
      <c r="F1157" s="36" t="inlineStr">
        <is>
          <t>General Tinio</t>
        </is>
      </c>
      <c r="G1157" s="36" t="inlineStr">
        <is>
          <t>Bago</t>
        </is>
      </c>
      <c r="H1157" s="37" t="n">
        <v>15.408002</v>
      </c>
      <c r="I1157" s="37" t="n">
        <v>121.090641</v>
      </c>
      <c r="J1157" s="8" t="inlineStr">
        <is>
          <t>R</t>
        </is>
      </c>
      <c r="K1157" s="36" t="inlineStr">
        <is>
          <t>Class 1-3 / Urban</t>
        </is>
      </c>
      <c r="L1157" s="18" t="n">
        <v>4046</v>
      </c>
      <c r="M1157" s="20" t="n">
        <v>4.32</v>
      </c>
      <c r="N1157" s="18">
        <f>ROUND(L1157/M1157, 0)</f>
        <v/>
      </c>
      <c r="O1157" s="18">
        <f>ROUND(N1157*'Methodology &amp; Assumptions'!$B$8, 0)</f>
        <v/>
      </c>
      <c r="P1157" s="8" t="inlineStr">
        <is>
          <t>Band n50 (1.5 GHz, 60 MHz)</t>
        </is>
      </c>
      <c r="Q1157" s="38">
        <f>ROUNDUP(O1157/'Methodology &amp; Assumptions'!$B$9, 0)</f>
        <v/>
      </c>
      <c r="R1157" s="39" t="n">
        <v>1</v>
      </c>
      <c r="S1157" s="21" t="n">
        <v>4.2</v>
      </c>
      <c r="T1157" s="21" t="n">
        <v>4.22</v>
      </c>
      <c r="U1157" s="36" t="inlineStr">
        <is>
          <t>Tier 2 (Fiber Corridor / Lateral, 3-5 km)</t>
        </is>
      </c>
      <c r="V1157" s="20" t="n">
        <v>24.7</v>
      </c>
      <c r="W1157" s="20" t="n">
        <v>98.90000000000001</v>
      </c>
      <c r="X1157" s="20" t="n">
        <v>73</v>
      </c>
      <c r="Y1157" s="40">
        <f>ROUND((V1157*'Methodology &amp; Assumptions'!$B$6)+(W1157*'Methodology &amp; Assumptions'!$B$5)+(X1157*'Methodology &amp; Assumptions'!$B$7), 2)</f>
        <v/>
      </c>
    </row>
    <row r="1158" ht="19" customHeight="1">
      <c r="A1158" s="41" t="n">
        <v>154</v>
      </c>
      <c r="B1158" s="41" t="n">
        <v>4154</v>
      </c>
      <c r="C1158" s="42" t="inlineStr">
        <is>
          <t>0603018028</t>
        </is>
      </c>
      <c r="D1158" s="42" t="inlineStr">
        <is>
          <t>Region VI (Western Visayas)</t>
        </is>
      </c>
      <c r="E1158" s="42" t="inlineStr">
        <is>
          <t>Iloilo</t>
        </is>
      </c>
      <c r="F1158" s="42" t="inlineStr">
        <is>
          <t>Dumangas</t>
        </is>
      </c>
      <c r="G1158" s="42" t="inlineStr">
        <is>
          <t>Pd Monfort North</t>
        </is>
      </c>
      <c r="H1158" s="43" t="n">
        <v>10.861053</v>
      </c>
      <c r="I1158" s="43" t="n">
        <v>122.717106</v>
      </c>
      <c r="J1158" s="44" t="inlineStr">
        <is>
          <t>R</t>
        </is>
      </c>
      <c r="K1158" s="42" t="inlineStr">
        <is>
          <t>Class 1-3 / Urban</t>
        </is>
      </c>
      <c r="L1158" s="23" t="n">
        <v>4565</v>
      </c>
      <c r="M1158" s="24" t="n">
        <v>4.39</v>
      </c>
      <c r="N1158" s="23">
        <f>ROUND(L1158/M1158, 0)</f>
        <v/>
      </c>
      <c r="O1158" s="23">
        <f>ROUND(N1158*'Methodology &amp; Assumptions'!$B$8, 0)</f>
        <v/>
      </c>
      <c r="P1158" s="44" t="inlineStr">
        <is>
          <t>Band n50 (1.5 GHz, 60 MHz)</t>
        </is>
      </c>
      <c r="Q1158" s="38">
        <f>ROUNDUP(O1158/'Methodology &amp; Assumptions'!$B$9, 0)</f>
        <v/>
      </c>
      <c r="R1158" s="39" t="n">
        <v>1</v>
      </c>
      <c r="S1158" s="25" t="n">
        <v>3.99</v>
      </c>
      <c r="T1158" s="25" t="n">
        <v>0.06</v>
      </c>
      <c r="U1158" s="42" t="inlineStr">
        <is>
          <t>Tier 2 (Fiber Corridor / Lateral, 3-5 km)</t>
        </is>
      </c>
      <c r="V1158" s="24" t="n">
        <v>36.5</v>
      </c>
      <c r="W1158" s="24" t="n">
        <v>100</v>
      </c>
      <c r="X1158" s="24" t="n">
        <v>58</v>
      </c>
      <c r="Y1158" s="45">
        <f>ROUND((V1158*'Methodology &amp; Assumptions'!$B$6)+(W1158*'Methodology &amp; Assumptions'!$B$5)+(X1158*'Methodology &amp; Assumptions'!$B$7), 2)</f>
        <v/>
      </c>
    </row>
    <row r="1159" ht="19" customHeight="1">
      <c r="A1159" s="35" t="n">
        <v>155</v>
      </c>
      <c r="B1159" s="35" t="n">
        <v>4155</v>
      </c>
      <c r="C1159" s="36" t="inlineStr">
        <is>
          <t>0704623003</t>
        </is>
      </c>
      <c r="D1159" s="36" t="inlineStr">
        <is>
          <t>Region VII (Central Visayas)</t>
        </is>
      </c>
      <c r="E1159" s="36" t="inlineStr">
        <is>
          <t>Negros Oriental</t>
        </is>
      </c>
      <c r="F1159" s="36" t="inlineStr">
        <is>
          <t>Valencia</t>
        </is>
      </c>
      <c r="G1159" s="36" t="inlineStr">
        <is>
          <t>Balabag West</t>
        </is>
      </c>
      <c r="H1159" s="37" t="n">
        <v>9.288155</v>
      </c>
      <c r="I1159" s="37" t="n">
        <v>123.2415</v>
      </c>
      <c r="J1159" s="8" t="inlineStr">
        <is>
          <t>R</t>
        </is>
      </c>
      <c r="K1159" s="36" t="inlineStr">
        <is>
          <t>Class 1-3 / Urban</t>
        </is>
      </c>
      <c r="L1159" s="18" t="n">
        <v>2085</v>
      </c>
      <c r="M1159" s="20" t="n">
        <v>4.33</v>
      </c>
      <c r="N1159" s="18">
        <f>ROUND(L1159/M1159, 0)</f>
        <v/>
      </c>
      <c r="O1159" s="18">
        <f>ROUND(N1159*'Methodology &amp; Assumptions'!$B$8, 0)</f>
        <v/>
      </c>
      <c r="P1159" s="8" t="inlineStr">
        <is>
          <t>Band n50 (1.5 GHz, 60 MHz)</t>
        </is>
      </c>
      <c r="Q1159" s="38">
        <f>ROUNDUP(O1159/'Methodology &amp; Assumptions'!$B$9, 0)</f>
        <v/>
      </c>
      <c r="R1159" s="39" t="n">
        <v>1</v>
      </c>
      <c r="S1159" s="21" t="n">
        <v>0.91</v>
      </c>
      <c r="T1159" s="21" t="n">
        <v>5.75</v>
      </c>
      <c r="U1159" s="36" t="inlineStr">
        <is>
          <t>Tier 1A (Direct Coloc, &lt;1 km)</t>
        </is>
      </c>
      <c r="V1159" s="20" t="n">
        <v>73.8</v>
      </c>
      <c r="W1159" s="20" t="n">
        <v>62.7</v>
      </c>
      <c r="X1159" s="20" t="n">
        <v>58</v>
      </c>
      <c r="Y1159" s="40">
        <f>ROUND((V1159*'Methodology &amp; Assumptions'!$B$6)+(W1159*'Methodology &amp; Assumptions'!$B$5)+(X1159*'Methodology &amp; Assumptions'!$B$7), 2)</f>
        <v/>
      </c>
    </row>
    <row r="1160" ht="19" customHeight="1">
      <c r="A1160" s="41" t="n">
        <v>156</v>
      </c>
      <c r="B1160" s="41" t="n">
        <v>4156</v>
      </c>
      <c r="C1160" s="42" t="inlineStr">
        <is>
          <t>0506212015</t>
        </is>
      </c>
      <c r="D1160" s="42" t="inlineStr">
        <is>
          <t>Region V (Bicol Region)</t>
        </is>
      </c>
      <c r="E1160" s="42" t="inlineStr">
        <is>
          <t>Sorsogon</t>
        </is>
      </c>
      <c r="F1160" s="42" t="inlineStr">
        <is>
          <t>Matnog</t>
        </is>
      </c>
      <c r="G1160" s="42" t="inlineStr">
        <is>
          <t>Camcaman</t>
        </is>
      </c>
      <c r="H1160" s="43" t="n">
        <v>12.586247</v>
      </c>
      <c r="I1160" s="43" t="n">
        <v>124.086837</v>
      </c>
      <c r="J1160" s="44" t="inlineStr">
        <is>
          <t>R</t>
        </is>
      </c>
      <c r="K1160" s="42" t="inlineStr">
        <is>
          <t>Class 1-3 / Urban</t>
        </is>
      </c>
      <c r="L1160" s="23" t="n">
        <v>1123</v>
      </c>
      <c r="M1160" s="24" t="n">
        <v>4.58</v>
      </c>
      <c r="N1160" s="23">
        <f>ROUND(L1160/M1160, 0)</f>
        <v/>
      </c>
      <c r="O1160" s="23">
        <f>ROUND(N1160*'Methodology &amp; Assumptions'!$B$8, 0)</f>
        <v/>
      </c>
      <c r="P1160" s="44" t="inlineStr">
        <is>
          <t>Band n50 (1.5 GHz, 60 MHz)</t>
        </is>
      </c>
      <c r="Q1160" s="38">
        <f>ROUNDUP(O1160/'Methodology &amp; Assumptions'!$B$9, 0)</f>
        <v/>
      </c>
      <c r="R1160" s="39" t="n">
        <v>1</v>
      </c>
      <c r="S1160" s="25" t="n">
        <v>0.57</v>
      </c>
      <c r="T1160" s="25" t="n">
        <v>0.55</v>
      </c>
      <c r="U1160" s="42" t="inlineStr">
        <is>
          <t>Tier 1A (Direct Coloc, &lt;1 km)</t>
        </is>
      </c>
      <c r="V1160" s="24" t="n">
        <v>92.7</v>
      </c>
      <c r="W1160" s="24" t="n">
        <v>43.7</v>
      </c>
      <c r="X1160" s="24" t="n">
        <v>58</v>
      </c>
      <c r="Y1160" s="45">
        <f>ROUND((V1160*'Methodology &amp; Assumptions'!$B$6)+(W1160*'Methodology &amp; Assumptions'!$B$5)+(X1160*'Methodology &amp; Assumptions'!$B$7), 2)</f>
        <v/>
      </c>
    </row>
    <row r="1161" ht="19" customHeight="1">
      <c r="A1161" s="35" t="n">
        <v>157</v>
      </c>
      <c r="B1161" s="35" t="n">
        <v>4157</v>
      </c>
      <c r="C1161" s="36" t="inlineStr">
        <is>
          <t>0405804041</t>
        </is>
      </c>
      <c r="D1161" s="36" t="inlineStr">
        <is>
          <t>Region IV-A (CALABARZON)</t>
        </is>
      </c>
      <c r="E1161" s="36" t="inlineStr">
        <is>
          <t>Rizal</t>
        </is>
      </c>
      <c r="F1161" s="36" t="inlineStr">
        <is>
          <t>Binangonan</t>
        </is>
      </c>
      <c r="G1161" s="36" t="inlineStr">
        <is>
          <t>San Carlos</t>
        </is>
      </c>
      <c r="H1161" s="37" t="n">
        <v>14.514525</v>
      </c>
      <c r="I1161" s="37" t="n">
        <v>121.166897</v>
      </c>
      <c r="J1161" s="8" t="inlineStr">
        <is>
          <t>U</t>
        </is>
      </c>
      <c r="K1161" s="36" t="inlineStr">
        <is>
          <t>Class 1-3 / Urban</t>
        </is>
      </c>
      <c r="L1161" s="18" t="n">
        <v>14090</v>
      </c>
      <c r="M1161" s="20" t="n">
        <v>4.39</v>
      </c>
      <c r="N1161" s="18">
        <f>ROUND(L1161/M1161, 0)</f>
        <v/>
      </c>
      <c r="O1161" s="18">
        <f>ROUND(N1161*'Methodology &amp; Assumptions'!$B$8, 0)</f>
        <v/>
      </c>
      <c r="P1161" s="8" t="inlineStr">
        <is>
          <t>Band n50 (1.5 GHz, 60 MHz)</t>
        </is>
      </c>
      <c r="Q1161" s="38">
        <f>ROUNDUP(O1161/'Methodology &amp; Assumptions'!$B$9, 0)</f>
        <v/>
      </c>
      <c r="R1161" s="39" t="n">
        <v>1</v>
      </c>
      <c r="S1161" s="21" t="n">
        <v>1.95</v>
      </c>
      <c r="T1161" s="21" t="n">
        <v>0.37</v>
      </c>
      <c r="U1161" s="36" t="inlineStr">
        <is>
          <t>Tier 1B (Micro Drop, 1-3 km)</t>
        </is>
      </c>
      <c r="V1161" s="20" t="n">
        <v>62.2</v>
      </c>
      <c r="W1161" s="20" t="n">
        <v>100</v>
      </c>
      <c r="X1161" s="20" t="n">
        <v>28</v>
      </c>
      <c r="Y1161" s="40">
        <f>ROUND((V1161*'Methodology &amp; Assumptions'!$B$6)+(W1161*'Methodology &amp; Assumptions'!$B$5)+(X1161*'Methodology &amp; Assumptions'!$B$7), 2)</f>
        <v/>
      </c>
    </row>
    <row r="1162" ht="19" customHeight="1">
      <c r="A1162" s="41" t="n">
        <v>158</v>
      </c>
      <c r="B1162" s="41" t="n">
        <v>4158</v>
      </c>
      <c r="C1162" s="42" t="inlineStr">
        <is>
          <t>0403426020</t>
        </is>
      </c>
      <c r="D1162" s="42" t="inlineStr">
        <is>
          <t>Region IV-A (CALABARZON)</t>
        </is>
      </c>
      <c r="E1162" s="42" t="inlineStr">
        <is>
          <t>Laguna</t>
        </is>
      </c>
      <c r="F1162" s="42" t="inlineStr">
        <is>
          <t>Santa Cruz</t>
        </is>
      </c>
      <c r="G1162" s="42" t="inlineStr">
        <is>
          <t>San Juan</t>
        </is>
      </c>
      <c r="H1162" s="43" t="n">
        <v>14.243949</v>
      </c>
      <c r="I1162" s="43" t="n">
        <v>121.407069</v>
      </c>
      <c r="J1162" s="44" t="inlineStr">
        <is>
          <t>R</t>
        </is>
      </c>
      <c r="K1162" s="42" t="inlineStr">
        <is>
          <t>Class 1-3 / Urban</t>
        </is>
      </c>
      <c r="L1162" s="23" t="n">
        <v>3972</v>
      </c>
      <c r="M1162" s="24" t="n">
        <v>4.2</v>
      </c>
      <c r="N1162" s="23">
        <f>ROUND(L1162/M1162, 0)</f>
        <v/>
      </c>
      <c r="O1162" s="23">
        <f>ROUND(N1162*'Methodology &amp; Assumptions'!$B$8, 0)</f>
        <v/>
      </c>
      <c r="P1162" s="44" t="inlineStr">
        <is>
          <t>Band n50 (1.5 GHz, 60 MHz)</t>
        </is>
      </c>
      <c r="Q1162" s="38">
        <f>ROUNDUP(O1162/'Methodology &amp; Assumptions'!$B$9, 0)</f>
        <v/>
      </c>
      <c r="R1162" s="39" t="n">
        <v>1</v>
      </c>
      <c r="S1162" s="25" t="n">
        <v>3.96</v>
      </c>
      <c r="T1162" s="25" t="n">
        <v>1.96</v>
      </c>
      <c r="U1162" s="42" t="inlineStr">
        <is>
          <t>Tier 2 (Fiber Corridor / Lateral, 3-5 km)</t>
        </is>
      </c>
      <c r="V1162" s="24" t="n">
        <v>36.7</v>
      </c>
      <c r="W1162" s="24" t="n">
        <v>99.7</v>
      </c>
      <c r="X1162" s="24" t="n">
        <v>58</v>
      </c>
      <c r="Y1162" s="45">
        <f>ROUND((V1162*'Methodology &amp; Assumptions'!$B$6)+(W1162*'Methodology &amp; Assumptions'!$B$5)+(X1162*'Methodology &amp; Assumptions'!$B$7), 2)</f>
        <v/>
      </c>
    </row>
    <row r="1163" ht="19" customHeight="1">
      <c r="A1163" s="35" t="n">
        <v>159</v>
      </c>
      <c r="B1163" s="35" t="n">
        <v>4159</v>
      </c>
      <c r="C1163" s="36" t="inlineStr">
        <is>
          <t>0405615007</t>
        </is>
      </c>
      <c r="D1163" s="36" t="inlineStr">
        <is>
          <t>Region IV-A (CALABARZON)</t>
        </is>
      </c>
      <c r="E1163" s="36" t="inlineStr">
        <is>
          <t>Quezon</t>
        </is>
      </c>
      <c r="F1163" s="36" t="inlineStr">
        <is>
          <t>Dolores</t>
        </is>
      </c>
      <c r="G1163" s="36" t="inlineStr">
        <is>
          <t>Dagatan</t>
        </is>
      </c>
      <c r="H1163" s="37" t="n">
        <v>14.002581</v>
      </c>
      <c r="I1163" s="37" t="n">
        <v>121.374919</v>
      </c>
      <c r="J1163" s="8" t="inlineStr">
        <is>
          <t>R</t>
        </is>
      </c>
      <c r="K1163" s="36" t="inlineStr">
        <is>
          <t>3rd</t>
        </is>
      </c>
      <c r="L1163" s="18" t="n">
        <v>3459</v>
      </c>
      <c r="M1163" s="20" t="n">
        <v>4.43</v>
      </c>
      <c r="N1163" s="18">
        <f>ROUND(L1163/M1163, 0)</f>
        <v/>
      </c>
      <c r="O1163" s="18">
        <f>ROUND(N1163*'Methodology &amp; Assumptions'!$B$8, 0)</f>
        <v/>
      </c>
      <c r="P1163" s="8" t="inlineStr">
        <is>
          <t>Band n50 (1.5 GHz, 60 MHz)</t>
        </is>
      </c>
      <c r="Q1163" s="38">
        <f>ROUNDUP(O1163/'Methodology &amp; Assumptions'!$B$9, 0)</f>
        <v/>
      </c>
      <c r="R1163" s="39" t="n">
        <v>1</v>
      </c>
      <c r="S1163" s="21" t="n">
        <v>2.08</v>
      </c>
      <c r="T1163" s="21" t="n">
        <v>4.1</v>
      </c>
      <c r="U1163" s="36" t="inlineStr">
        <is>
          <t>Tier 1B (Micro Drop, 1-3 km)</t>
        </is>
      </c>
      <c r="V1163" s="20" t="n">
        <v>50</v>
      </c>
      <c r="W1163" s="20" t="n">
        <v>86.40000000000001</v>
      </c>
      <c r="X1163" s="20" t="n">
        <v>58</v>
      </c>
      <c r="Y1163" s="40">
        <f>ROUND((V1163*'Methodology &amp; Assumptions'!$B$6)+(W1163*'Methodology &amp; Assumptions'!$B$5)+(X1163*'Methodology &amp; Assumptions'!$B$7), 2)</f>
        <v/>
      </c>
    </row>
    <row r="1164" ht="19" customHeight="1">
      <c r="A1164" s="41" t="n">
        <v>160</v>
      </c>
      <c r="B1164" s="41" t="n">
        <v>4160</v>
      </c>
      <c r="C1164" s="42" t="inlineStr">
        <is>
          <t>0402108032</t>
        </is>
      </c>
      <c r="D1164" s="42" t="inlineStr">
        <is>
          <t>Region IV-A (CALABARZON)</t>
        </is>
      </c>
      <c r="E1164" s="42" t="inlineStr">
        <is>
          <t>Cavite</t>
        </is>
      </c>
      <c r="F1164" s="42" t="inlineStr">
        <is>
          <t>City of General Trias</t>
        </is>
      </c>
      <c r="G1164" s="42" t="inlineStr">
        <is>
          <t>Buenavista II</t>
        </is>
      </c>
      <c r="H1164" s="43" t="n">
        <v>14.308446</v>
      </c>
      <c r="I1164" s="43" t="n">
        <v>120.899412</v>
      </c>
      <c r="J1164" s="44" t="inlineStr">
        <is>
          <t>U</t>
        </is>
      </c>
      <c r="K1164" s="42" t="inlineStr">
        <is>
          <t>Class 1-3 / Urban</t>
        </is>
      </c>
      <c r="L1164" s="23" t="n">
        <v>11348</v>
      </c>
      <c r="M1164" s="24" t="n">
        <v>4.49</v>
      </c>
      <c r="N1164" s="23">
        <f>ROUND(L1164/M1164, 0)</f>
        <v/>
      </c>
      <c r="O1164" s="23">
        <f>ROUND(N1164*'Methodology &amp; Assumptions'!$B$8, 0)</f>
        <v/>
      </c>
      <c r="P1164" s="44" t="inlineStr">
        <is>
          <t>Band n50 (1.5 GHz, 60 MHz)</t>
        </is>
      </c>
      <c r="Q1164" s="38">
        <f>ROUNDUP(O1164/'Methodology &amp; Assumptions'!$B$9, 0)</f>
        <v/>
      </c>
      <c r="R1164" s="39" t="n">
        <v>1</v>
      </c>
      <c r="S1164" s="25" t="n">
        <v>1.95</v>
      </c>
      <c r="T1164" s="25" t="n">
        <v>1.93</v>
      </c>
      <c r="U1164" s="42" t="inlineStr">
        <is>
          <t>Tier 1B (Micro Drop, 1-3 km)</t>
        </is>
      </c>
      <c r="V1164" s="24" t="n">
        <v>62.1</v>
      </c>
      <c r="W1164" s="24" t="n">
        <v>100</v>
      </c>
      <c r="X1164" s="24" t="n">
        <v>28</v>
      </c>
      <c r="Y1164" s="45">
        <f>ROUND((V1164*'Methodology &amp; Assumptions'!$B$6)+(W1164*'Methodology &amp; Assumptions'!$B$5)+(X1164*'Methodology &amp; Assumptions'!$B$7), 2)</f>
        <v/>
      </c>
    </row>
    <row r="1165" ht="19" customHeight="1">
      <c r="A1165" s="35" t="n">
        <v>161</v>
      </c>
      <c r="B1165" s="35" t="n">
        <v>4161</v>
      </c>
      <c r="C1165" s="36" t="inlineStr">
        <is>
          <t>0500517048</t>
        </is>
      </c>
      <c r="D1165" s="36" t="inlineStr">
        <is>
          <t>Region V (Bicol Region)</t>
        </is>
      </c>
      <c r="E1165" s="36" t="inlineStr">
        <is>
          <t>Albay</t>
        </is>
      </c>
      <c r="F1165" s="36" t="inlineStr">
        <is>
          <t>City of Tabaco</t>
        </is>
      </c>
      <c r="G1165" s="36" t="inlineStr">
        <is>
          <t>Tagas</t>
        </is>
      </c>
      <c r="H1165" s="37" t="n">
        <v>13.351839</v>
      </c>
      <c r="I1165" s="37" t="n">
        <v>123.731318</v>
      </c>
      <c r="J1165" s="8" t="inlineStr">
        <is>
          <t>U</t>
        </is>
      </c>
      <c r="K1165" s="36" t="inlineStr">
        <is>
          <t>Class 1-3 / Urban</t>
        </is>
      </c>
      <c r="L1165" s="18" t="n">
        <v>2233</v>
      </c>
      <c r="M1165" s="20" t="n">
        <v>4.67</v>
      </c>
      <c r="N1165" s="18">
        <f>ROUND(L1165/M1165, 0)</f>
        <v/>
      </c>
      <c r="O1165" s="18">
        <f>ROUND(N1165*'Methodology &amp; Assumptions'!$B$8, 0)</f>
        <v/>
      </c>
      <c r="P1165" s="8" t="inlineStr">
        <is>
          <t>Band n50 (1.5 GHz, 60 MHz)</t>
        </is>
      </c>
      <c r="Q1165" s="38">
        <f>ROUNDUP(O1165/'Methodology &amp; Assumptions'!$B$9, 0)</f>
        <v/>
      </c>
      <c r="R1165" s="39" t="n">
        <v>1</v>
      </c>
      <c r="S1165" s="21" t="n">
        <v>0.1</v>
      </c>
      <c r="T1165" s="21" t="n">
        <v>0.03</v>
      </c>
      <c r="U1165" s="36" t="inlineStr">
        <is>
          <t>Tier 1A (Direct Coloc, &lt;1 km)</t>
        </is>
      </c>
      <c r="V1165" s="20" t="n">
        <v>100</v>
      </c>
      <c r="W1165" s="20" t="n">
        <v>62.1</v>
      </c>
      <c r="X1165" s="20" t="n">
        <v>28</v>
      </c>
      <c r="Y1165" s="40">
        <f>ROUND((V1165*'Methodology &amp; Assumptions'!$B$6)+(W1165*'Methodology &amp; Assumptions'!$B$5)+(X1165*'Methodology &amp; Assumptions'!$B$7), 2)</f>
        <v/>
      </c>
    </row>
    <row r="1166" ht="19" customHeight="1">
      <c r="A1166" s="41" t="n">
        <v>162</v>
      </c>
      <c r="B1166" s="41" t="n">
        <v>4162</v>
      </c>
      <c r="C1166" s="42" t="inlineStr">
        <is>
          <t>0500507005</t>
        </is>
      </c>
      <c r="D1166" s="42" t="inlineStr">
        <is>
          <t>Region V (Bicol Region)</t>
        </is>
      </c>
      <c r="E1166" s="42" t="inlineStr">
        <is>
          <t>Albay</t>
        </is>
      </c>
      <c r="F1166" s="42" t="inlineStr">
        <is>
          <t>Libon</t>
        </is>
      </c>
      <c r="G1166" s="42" t="inlineStr">
        <is>
          <t>Zone II</t>
        </is>
      </c>
      <c r="H1166" s="43" t="n">
        <v>13.299198</v>
      </c>
      <c r="I1166" s="43" t="n">
        <v>123.437294</v>
      </c>
      <c r="J1166" s="44" t="inlineStr">
        <is>
          <t>R</t>
        </is>
      </c>
      <c r="K1166" s="42" t="inlineStr">
        <is>
          <t>Class 1-3 / Urban</t>
        </is>
      </c>
      <c r="L1166" s="23" t="n">
        <v>1081</v>
      </c>
      <c r="M1166" s="24" t="n">
        <v>4.67</v>
      </c>
      <c r="N1166" s="23">
        <f>ROUND(L1166/M1166, 0)</f>
        <v/>
      </c>
      <c r="O1166" s="23">
        <f>ROUND(N1166*'Methodology &amp; Assumptions'!$B$8, 0)</f>
        <v/>
      </c>
      <c r="P1166" s="44" t="inlineStr">
        <is>
          <t>Band n50 (1.5 GHz, 60 MHz)</t>
        </is>
      </c>
      <c r="Q1166" s="38">
        <f>ROUNDUP(O1166/'Methodology &amp; Assumptions'!$B$9, 0)</f>
        <v/>
      </c>
      <c r="R1166" s="39" t="n">
        <v>1</v>
      </c>
      <c r="S1166" s="25" t="n">
        <v>0.19</v>
      </c>
      <c r="T1166" s="25" t="n">
        <v>2.18</v>
      </c>
      <c r="U1166" s="42" t="inlineStr">
        <is>
          <t>Tier 1A (Direct Coloc, &lt;1 km)</t>
        </is>
      </c>
      <c r="V1166" s="24" t="n">
        <v>94</v>
      </c>
      <c r="W1166" s="24" t="n">
        <v>42.4</v>
      </c>
      <c r="X1166" s="24" t="n">
        <v>58</v>
      </c>
      <c r="Y1166" s="45">
        <f>ROUND((V1166*'Methodology &amp; Assumptions'!$B$6)+(W1166*'Methodology &amp; Assumptions'!$B$5)+(X1166*'Methodology &amp; Assumptions'!$B$7), 2)</f>
        <v/>
      </c>
    </row>
    <row r="1167" ht="19" customHeight="1">
      <c r="A1167" s="35" t="n">
        <v>163</v>
      </c>
      <c r="B1167" s="35" t="n">
        <v>4163</v>
      </c>
      <c r="C1167" s="36" t="inlineStr">
        <is>
          <t>1430300040</t>
        </is>
      </c>
      <c r="D1167" s="36" t="inlineStr">
        <is>
          <t>Cordillera Administrative Region (CAR)</t>
        </is>
      </c>
      <c r="E1167" s="36" t="inlineStr">
        <is>
          <t>Benguet</t>
        </is>
      </c>
      <c r="F1167" s="36" t="inlineStr">
        <is>
          <t>City of Baguio</t>
        </is>
      </c>
      <c r="G1167" s="36" t="inlineStr">
        <is>
          <t>Gibraltar</t>
        </is>
      </c>
      <c r="H1167" s="37" t="n">
        <v>16.4181</v>
      </c>
      <c r="I1167" s="37" t="n">
        <v>120.62324</v>
      </c>
      <c r="J1167" s="8" t="inlineStr">
        <is>
          <t>U</t>
        </is>
      </c>
      <c r="K1167" s="36" t="inlineStr">
        <is>
          <t>Class 1-3 / Urban</t>
        </is>
      </c>
      <c r="L1167" s="18" t="n">
        <v>8043</v>
      </c>
      <c r="M1167" s="20" t="n">
        <v>4.58</v>
      </c>
      <c r="N1167" s="18">
        <f>ROUND(L1167/M1167, 0)</f>
        <v/>
      </c>
      <c r="O1167" s="18">
        <f>ROUND(N1167*'Methodology &amp; Assumptions'!$B$8, 0)</f>
        <v/>
      </c>
      <c r="P1167" s="8" t="inlineStr">
        <is>
          <t>Band n50 (1.5 GHz, 60 MHz)</t>
        </is>
      </c>
      <c r="Q1167" s="38">
        <f>ROUNDUP(O1167/'Methodology &amp; Assumptions'!$B$9, 0)</f>
        <v/>
      </c>
      <c r="R1167" s="39" t="n">
        <v>1</v>
      </c>
      <c r="S1167" s="21" t="n">
        <v>1.96</v>
      </c>
      <c r="T1167" s="21" t="n">
        <v>0.53</v>
      </c>
      <c r="U1167" s="36" t="inlineStr">
        <is>
          <t>Tier 1B (Micro Drop, 1-3 km)</t>
        </is>
      </c>
      <c r="V1167" s="20" t="n">
        <v>62.1</v>
      </c>
      <c r="W1167" s="20" t="n">
        <v>100</v>
      </c>
      <c r="X1167" s="20" t="n">
        <v>28</v>
      </c>
      <c r="Y1167" s="40">
        <f>ROUND((V1167*'Methodology &amp; Assumptions'!$B$6)+(W1167*'Methodology &amp; Assumptions'!$B$5)+(X1167*'Methodology &amp; Assumptions'!$B$7), 2)</f>
        <v/>
      </c>
    </row>
    <row r="1168" ht="19" customHeight="1">
      <c r="A1168" s="41" t="n">
        <v>164</v>
      </c>
      <c r="B1168" s="41" t="n">
        <v>4164</v>
      </c>
      <c r="C1168" s="42" t="inlineStr">
        <is>
          <t>1401110014</t>
        </is>
      </c>
      <c r="D1168" s="42" t="inlineStr">
        <is>
          <t>Cordillera Administrative Region (CAR)</t>
        </is>
      </c>
      <c r="E1168" s="42" t="inlineStr">
        <is>
          <t>Benguet</t>
        </is>
      </c>
      <c r="F1168" s="42" t="inlineStr">
        <is>
          <t>La Trinidad</t>
        </is>
      </c>
      <c r="G1168" s="42" t="inlineStr">
        <is>
          <t>Shilan</t>
        </is>
      </c>
      <c r="H1168" s="43" t="n">
        <v>16.46333</v>
      </c>
      <c r="I1168" s="43" t="n">
        <v>120.62214</v>
      </c>
      <c r="J1168" s="44" t="inlineStr">
        <is>
          <t>U</t>
        </is>
      </c>
      <c r="K1168" s="42" t="inlineStr">
        <is>
          <t>Class 1-3 / Urban</t>
        </is>
      </c>
      <c r="L1168" s="23" t="n">
        <v>5795</v>
      </c>
      <c r="M1168" s="24" t="n">
        <v>4.58</v>
      </c>
      <c r="N1168" s="23">
        <f>ROUND(L1168/M1168, 0)</f>
        <v/>
      </c>
      <c r="O1168" s="23">
        <f>ROUND(N1168*'Methodology &amp; Assumptions'!$B$8, 0)</f>
        <v/>
      </c>
      <c r="P1168" s="44" t="inlineStr">
        <is>
          <t>Band n50 (1.5 GHz, 60 MHz)</t>
        </is>
      </c>
      <c r="Q1168" s="38">
        <f>ROUNDUP(O1168/'Methodology &amp; Assumptions'!$B$9, 0)</f>
        <v/>
      </c>
      <c r="R1168" s="39" t="n">
        <v>1</v>
      </c>
      <c r="S1168" s="25" t="n">
        <v>1.96</v>
      </c>
      <c r="T1168" s="25" t="n">
        <v>0.04</v>
      </c>
      <c r="U1168" s="42" t="inlineStr">
        <is>
          <t>Tier 1B (Micro Drop, 1-3 km)</t>
        </is>
      </c>
      <c r="V1168" s="24" t="n">
        <v>62.1</v>
      </c>
      <c r="W1168" s="24" t="n">
        <v>100</v>
      </c>
      <c r="X1168" s="24" t="n">
        <v>28</v>
      </c>
      <c r="Y1168" s="45">
        <f>ROUND((V1168*'Methodology &amp; Assumptions'!$B$6)+(W1168*'Methodology &amp; Assumptions'!$B$5)+(X1168*'Methodology &amp; Assumptions'!$B$7), 2)</f>
        <v/>
      </c>
    </row>
    <row r="1169" ht="19" customHeight="1">
      <c r="A1169" s="35" t="n">
        <v>165</v>
      </c>
      <c r="B1169" s="35" t="n">
        <v>4165</v>
      </c>
      <c r="C1169" s="36" t="inlineStr">
        <is>
          <t>0500504043</t>
        </is>
      </c>
      <c r="D1169" s="36" t="inlineStr">
        <is>
          <t>Region V (Bicol Region)</t>
        </is>
      </c>
      <c r="E1169" s="36" t="inlineStr">
        <is>
          <t>Albay</t>
        </is>
      </c>
      <c r="F1169" s="36" t="inlineStr">
        <is>
          <t>Guinobatan</t>
        </is>
      </c>
      <c r="G1169" s="36" t="inlineStr">
        <is>
          <t>San Francisco</t>
        </is>
      </c>
      <c r="H1169" s="37" t="n">
        <v>13.19003</v>
      </c>
      <c r="I1169" s="37" t="n">
        <v>123.612236</v>
      </c>
      <c r="J1169" s="8" t="inlineStr">
        <is>
          <t>U</t>
        </is>
      </c>
      <c r="K1169" s="36" t="inlineStr">
        <is>
          <t>Class 1-3 / Urban</t>
        </is>
      </c>
      <c r="L1169" s="18" t="n">
        <v>3188</v>
      </c>
      <c r="M1169" s="20" t="n">
        <v>4.67</v>
      </c>
      <c r="N1169" s="18">
        <f>ROUND(L1169/M1169, 0)</f>
        <v/>
      </c>
      <c r="O1169" s="18">
        <f>ROUND(N1169*'Methodology &amp; Assumptions'!$B$8, 0)</f>
        <v/>
      </c>
      <c r="P1169" s="8" t="inlineStr">
        <is>
          <t>Band n50 (1.5 GHz, 60 MHz)</t>
        </is>
      </c>
      <c r="Q1169" s="38">
        <f>ROUNDUP(O1169/'Methodology &amp; Assumptions'!$B$9, 0)</f>
        <v/>
      </c>
      <c r="R1169" s="39" t="n">
        <v>1</v>
      </c>
      <c r="S1169" s="21" t="n">
        <v>0.93</v>
      </c>
      <c r="T1169" s="21" t="n">
        <v>0.18</v>
      </c>
      <c r="U1169" s="36" t="inlineStr">
        <is>
          <t>Tier 1A (Direct Coloc, &lt;1 km)</t>
        </is>
      </c>
      <c r="V1169" s="20" t="n">
        <v>83.5</v>
      </c>
      <c r="W1169" s="20" t="n">
        <v>78.7</v>
      </c>
      <c r="X1169" s="20" t="n">
        <v>28</v>
      </c>
      <c r="Y1169" s="40">
        <f>ROUND((V1169*'Methodology &amp; Assumptions'!$B$6)+(W1169*'Methodology &amp; Assumptions'!$B$5)+(X1169*'Methodology &amp; Assumptions'!$B$7), 2)</f>
        <v/>
      </c>
    </row>
    <row r="1170" ht="19" customHeight="1">
      <c r="A1170" s="41" t="n">
        <v>166</v>
      </c>
      <c r="B1170" s="41" t="n">
        <v>4166</v>
      </c>
      <c r="C1170" s="42" t="inlineStr">
        <is>
          <t>1404407013</t>
        </is>
      </c>
      <c r="D1170" s="42" t="inlineStr">
        <is>
          <t>Cordillera Administrative Region (CAR)</t>
        </is>
      </c>
      <c r="E1170" s="42" t="inlineStr">
        <is>
          <t>Mountain Province</t>
        </is>
      </c>
      <c r="F1170" s="42" t="inlineStr">
        <is>
          <t>Sabangan</t>
        </is>
      </c>
      <c r="G1170" s="42" t="inlineStr">
        <is>
          <t>Poblacion</t>
        </is>
      </c>
      <c r="H1170" s="43" t="n">
        <v>17.004635</v>
      </c>
      <c r="I1170" s="43" t="n">
        <v>120.92369</v>
      </c>
      <c r="J1170" s="44" t="inlineStr">
        <is>
          <t>R</t>
        </is>
      </c>
      <c r="K1170" s="42" t="inlineStr">
        <is>
          <t>4th</t>
        </is>
      </c>
      <c r="L1170" s="23" t="n">
        <v>1065</v>
      </c>
      <c r="M1170" s="24" t="n">
        <v>4.19</v>
      </c>
      <c r="N1170" s="23">
        <f>ROUND(L1170/M1170, 0)</f>
        <v/>
      </c>
      <c r="O1170" s="23">
        <f>ROUND(N1170*'Methodology &amp; Assumptions'!$B$8, 0)</f>
        <v/>
      </c>
      <c r="P1170" s="44" t="inlineStr">
        <is>
          <t>Band n50 (1.5 GHz, 60 MHz)</t>
        </is>
      </c>
      <c r="Q1170" s="38">
        <f>ROUNDUP(O1170/'Methodology &amp; Assumptions'!$B$9, 0)</f>
        <v/>
      </c>
      <c r="R1170" s="39" t="n">
        <v>1</v>
      </c>
      <c r="S1170" s="25" t="n">
        <v>0.78</v>
      </c>
      <c r="T1170" s="25" t="n">
        <v>0.29</v>
      </c>
      <c r="U1170" s="42" t="inlineStr">
        <is>
          <t>Tier 1A (Direct Coloc, &lt;1 km)</t>
        </is>
      </c>
      <c r="V1170" s="24" t="n">
        <v>87.09999999999999</v>
      </c>
      <c r="W1170" s="24" t="n">
        <v>40.3</v>
      </c>
      <c r="X1170" s="24" t="n">
        <v>68.5</v>
      </c>
      <c r="Y1170" s="45">
        <f>ROUND((V1170*'Methodology &amp; Assumptions'!$B$6)+(W1170*'Methodology &amp; Assumptions'!$B$5)+(X1170*'Methodology &amp; Assumptions'!$B$7), 2)</f>
        <v/>
      </c>
    </row>
    <row r="1171" ht="19" customHeight="1">
      <c r="A1171" s="35" t="n">
        <v>167</v>
      </c>
      <c r="B1171" s="35" t="n">
        <v>4167</v>
      </c>
      <c r="C1171" s="36" t="inlineStr">
        <is>
          <t>0603043038</t>
        </is>
      </c>
      <c r="D1171" s="36" t="inlineStr">
        <is>
          <t>Region VI (Western Visayas)</t>
        </is>
      </c>
      <c r="E1171" s="36" t="inlineStr">
        <is>
          <t>Iloilo</t>
        </is>
      </c>
      <c r="F1171" s="36" t="inlineStr">
        <is>
          <t>Santa Barbara</t>
        </is>
      </c>
      <c r="G1171" s="36" t="inlineStr">
        <is>
          <t>Inangayan</t>
        </is>
      </c>
      <c r="H1171" s="37" t="n">
        <v>10.811048</v>
      </c>
      <c r="I1171" s="37" t="n">
        <v>122.522933</v>
      </c>
      <c r="J1171" s="8" t="inlineStr">
        <is>
          <t>R</t>
        </is>
      </c>
      <c r="K1171" s="36" t="inlineStr">
        <is>
          <t>Class 1-3 / Urban</t>
        </is>
      </c>
      <c r="L1171" s="18" t="n">
        <v>3543</v>
      </c>
      <c r="M1171" s="20" t="n">
        <v>4.39</v>
      </c>
      <c r="N1171" s="18">
        <f>ROUND(L1171/M1171, 0)</f>
        <v/>
      </c>
      <c r="O1171" s="18">
        <f>ROUND(N1171*'Methodology &amp; Assumptions'!$B$8, 0)</f>
        <v/>
      </c>
      <c r="P1171" s="8" t="inlineStr">
        <is>
          <t>Band n50 (1.5 GHz, 60 MHz)</t>
        </is>
      </c>
      <c r="Q1171" s="38">
        <f>ROUNDUP(O1171/'Methodology &amp; Assumptions'!$B$9, 0)</f>
        <v/>
      </c>
      <c r="R1171" s="39" t="n">
        <v>1</v>
      </c>
      <c r="S1171" s="21" t="n">
        <v>2.21</v>
      </c>
      <c r="T1171" s="21" t="n">
        <v>2.22</v>
      </c>
      <c r="U1171" s="36" t="inlineStr">
        <is>
          <t>Tier 1B (Micro Drop, 1-3 km)</t>
        </is>
      </c>
      <c r="V1171" s="20" t="n">
        <v>47.8</v>
      </c>
      <c r="W1171" s="20" t="n">
        <v>88.5</v>
      </c>
      <c r="X1171" s="20" t="n">
        <v>58</v>
      </c>
      <c r="Y1171" s="40">
        <f>ROUND((V1171*'Methodology &amp; Assumptions'!$B$6)+(W1171*'Methodology &amp; Assumptions'!$B$5)+(X1171*'Methodology &amp; Assumptions'!$B$7), 2)</f>
        <v/>
      </c>
    </row>
    <row r="1172" ht="19" customHeight="1">
      <c r="A1172" s="41" t="n">
        <v>168</v>
      </c>
      <c r="B1172" s="41" t="n">
        <v>4168</v>
      </c>
      <c r="C1172" s="42" t="inlineStr">
        <is>
          <t>1600209018</t>
        </is>
      </c>
      <c r="D1172" s="42" t="inlineStr">
        <is>
          <t>Region XIII (Caraga)</t>
        </is>
      </c>
      <c r="E1172" s="42" t="inlineStr">
        <is>
          <t>Agusan del Norte</t>
        </is>
      </c>
      <c r="F1172" s="42" t="inlineStr">
        <is>
          <t>Nasipit</t>
        </is>
      </c>
      <c r="G1172" s="42" t="inlineStr">
        <is>
          <t>Santa Ana</t>
        </is>
      </c>
      <c r="H1172" s="43" t="n">
        <v>8.983431</v>
      </c>
      <c r="I1172" s="43" t="n">
        <v>125.331545</v>
      </c>
      <c r="J1172" s="44" t="inlineStr">
        <is>
          <t>R</t>
        </is>
      </c>
      <c r="K1172" s="42" t="inlineStr">
        <is>
          <t>Class 1-3 / Urban</t>
        </is>
      </c>
      <c r="L1172" s="23" t="n">
        <v>2810</v>
      </c>
      <c r="M1172" s="24" t="n">
        <v>4.63</v>
      </c>
      <c r="N1172" s="23">
        <f>ROUND(L1172/M1172, 0)</f>
        <v/>
      </c>
      <c r="O1172" s="23">
        <f>ROUND(N1172*'Methodology &amp; Assumptions'!$B$8, 0)</f>
        <v/>
      </c>
      <c r="P1172" s="44" t="inlineStr">
        <is>
          <t>Band n50 (1.5 GHz, 60 MHz)</t>
        </is>
      </c>
      <c r="Q1172" s="38">
        <f>ROUNDUP(O1172/'Methodology &amp; Assumptions'!$B$9, 0)</f>
        <v/>
      </c>
      <c r="R1172" s="39" t="n">
        <v>1</v>
      </c>
      <c r="S1172" s="25" t="n">
        <v>1.86</v>
      </c>
      <c r="T1172" s="25" t="n">
        <v>1.01</v>
      </c>
      <c r="U1172" s="42" t="inlineStr">
        <is>
          <t>Tier 1B (Micro Drop, 1-3 km)</t>
        </is>
      </c>
      <c r="V1172" s="24" t="n">
        <v>63.8</v>
      </c>
      <c r="W1172" s="24" t="n">
        <v>72.5</v>
      </c>
      <c r="X1172" s="24" t="n">
        <v>58</v>
      </c>
      <c r="Y1172" s="45">
        <f>ROUND((V1172*'Methodology &amp; Assumptions'!$B$6)+(W1172*'Methodology &amp; Assumptions'!$B$5)+(X1172*'Methodology &amp; Assumptions'!$B$7), 2)</f>
        <v/>
      </c>
    </row>
    <row r="1173" ht="19" customHeight="1">
      <c r="A1173" s="35" t="n">
        <v>169</v>
      </c>
      <c r="B1173" s="35" t="n">
        <v>4169</v>
      </c>
      <c r="C1173" s="36" t="inlineStr">
        <is>
          <t>0401013013</t>
        </is>
      </c>
      <c r="D1173" s="36" t="inlineStr">
        <is>
          <t>Region IV-A (CALABARZON)</t>
        </is>
      </c>
      <c r="E1173" s="36" t="inlineStr">
        <is>
          <t>Batangas</t>
        </is>
      </c>
      <c r="F1173" s="36" t="inlineStr">
        <is>
          <t>Lian</t>
        </is>
      </c>
      <c r="G1173" s="36" t="inlineStr">
        <is>
          <t>Luyahan</t>
        </is>
      </c>
      <c r="H1173" s="37" t="n">
        <v>13.959112</v>
      </c>
      <c r="I1173" s="37" t="n">
        <v>120.621964</v>
      </c>
      <c r="J1173" s="8" t="inlineStr">
        <is>
          <t>R</t>
        </is>
      </c>
      <c r="K1173" s="36" t="inlineStr">
        <is>
          <t>Class 1-3 / Urban</t>
        </is>
      </c>
      <c r="L1173" s="18" t="n">
        <v>2667</v>
      </c>
      <c r="M1173" s="20" t="n">
        <v>4.62</v>
      </c>
      <c r="N1173" s="18">
        <f>ROUND(L1173/M1173, 0)</f>
        <v/>
      </c>
      <c r="O1173" s="18">
        <f>ROUND(N1173*'Methodology &amp; Assumptions'!$B$8, 0)</f>
        <v/>
      </c>
      <c r="P1173" s="8" t="inlineStr">
        <is>
          <t>Band n50 (1.5 GHz, 60 MHz)</t>
        </is>
      </c>
      <c r="Q1173" s="38">
        <f>ROUNDUP(O1173/'Methodology &amp; Assumptions'!$B$9, 0)</f>
        <v/>
      </c>
      <c r="R1173" s="39" t="n">
        <v>1</v>
      </c>
      <c r="S1173" s="21" t="n">
        <v>1.73</v>
      </c>
      <c r="T1173" s="21" t="n">
        <v>1.5</v>
      </c>
      <c r="U1173" s="36" t="inlineStr">
        <is>
          <t>Tier 1B (Micro Drop, 1-3 km)</t>
        </is>
      </c>
      <c r="V1173" s="20" t="n">
        <v>66.2</v>
      </c>
      <c r="W1173" s="20" t="n">
        <v>70.09999999999999</v>
      </c>
      <c r="X1173" s="20" t="n">
        <v>58</v>
      </c>
      <c r="Y1173" s="40">
        <f>ROUND((V1173*'Methodology &amp; Assumptions'!$B$6)+(W1173*'Methodology &amp; Assumptions'!$B$5)+(X1173*'Methodology &amp; Assumptions'!$B$7), 2)</f>
        <v/>
      </c>
    </row>
    <row r="1174" ht="19" customHeight="1">
      <c r="A1174" s="41" t="n">
        <v>170</v>
      </c>
      <c r="B1174" s="41" t="n">
        <v>4170</v>
      </c>
      <c r="C1174" s="42" t="inlineStr">
        <is>
          <t>0103314055</t>
        </is>
      </c>
      <c r="D1174" s="42" t="inlineStr">
        <is>
          <t>Region I (Ilocos Region)</t>
        </is>
      </c>
      <c r="E1174" s="42" t="inlineStr">
        <is>
          <t>La Union</t>
        </is>
      </c>
      <c r="F1174" s="42" t="inlineStr">
        <is>
          <t>City of San Fernando</t>
        </is>
      </c>
      <c r="G1174" s="42" t="inlineStr">
        <is>
          <t>Santiago Sur</t>
        </is>
      </c>
      <c r="H1174" s="43" t="n">
        <v>16.608926</v>
      </c>
      <c r="I1174" s="43" t="n">
        <v>120.329516</v>
      </c>
      <c r="J1174" s="44" t="inlineStr">
        <is>
          <t>R</t>
        </is>
      </c>
      <c r="K1174" s="42" t="inlineStr">
        <is>
          <t>Class 1-3 / Urban</t>
        </is>
      </c>
      <c r="L1174" s="23" t="n">
        <v>2179</v>
      </c>
      <c r="M1174" s="24" t="n">
        <v>4.42</v>
      </c>
      <c r="N1174" s="23">
        <f>ROUND(L1174/M1174, 0)</f>
        <v/>
      </c>
      <c r="O1174" s="23">
        <f>ROUND(N1174*'Methodology &amp; Assumptions'!$B$8, 0)</f>
        <v/>
      </c>
      <c r="P1174" s="44" t="inlineStr">
        <is>
          <t>Band n50 (1.5 GHz, 60 MHz)</t>
        </is>
      </c>
      <c r="Q1174" s="38">
        <f>ROUNDUP(O1174/'Methodology &amp; Assumptions'!$B$9, 0)</f>
        <v/>
      </c>
      <c r="R1174" s="39" t="n">
        <v>1</v>
      </c>
      <c r="S1174" s="25" t="n">
        <v>1.39</v>
      </c>
      <c r="T1174" s="25" t="n">
        <v>1.32</v>
      </c>
      <c r="U1174" s="42" t="inlineStr">
        <is>
          <t>Tier 1B (Micro Drop, 1-3 km)</t>
        </is>
      </c>
      <c r="V1174" s="24" t="n">
        <v>72.90000000000001</v>
      </c>
      <c r="W1174" s="24" t="n">
        <v>63.5</v>
      </c>
      <c r="X1174" s="24" t="n">
        <v>58</v>
      </c>
      <c r="Y1174" s="45">
        <f>ROUND((V1174*'Methodology &amp; Assumptions'!$B$6)+(W1174*'Methodology &amp; Assumptions'!$B$5)+(X1174*'Methodology &amp; Assumptions'!$B$7), 2)</f>
        <v/>
      </c>
    </row>
    <row r="1175" ht="19" customHeight="1">
      <c r="A1175" s="35" t="n">
        <v>171</v>
      </c>
      <c r="B1175" s="35" t="n">
        <v>4171</v>
      </c>
      <c r="C1175" s="36" t="inlineStr">
        <is>
          <t>0403405018</t>
        </is>
      </c>
      <c r="D1175" s="36" t="inlineStr">
        <is>
          <t>Region IV-A (CALABARZON)</t>
        </is>
      </c>
      <c r="E1175" s="36" t="inlineStr">
        <is>
          <t>Laguna</t>
        </is>
      </c>
      <c r="F1175" s="36" t="inlineStr">
        <is>
          <t>City of Calamba</t>
        </is>
      </c>
      <c r="G1175" s="36" t="inlineStr">
        <is>
          <t>La Mesa</t>
        </is>
      </c>
      <c r="H1175" s="37" t="n">
        <v>14.182489</v>
      </c>
      <c r="I1175" s="37" t="n">
        <v>121.156044</v>
      </c>
      <c r="J1175" s="8" t="inlineStr">
        <is>
          <t>U</t>
        </is>
      </c>
      <c r="K1175" s="36" t="inlineStr">
        <is>
          <t>Class 1-3 / Urban</t>
        </is>
      </c>
      <c r="L1175" s="18" t="n">
        <v>17569</v>
      </c>
      <c r="M1175" s="20" t="n">
        <v>4.2</v>
      </c>
      <c r="N1175" s="18">
        <f>ROUND(L1175/M1175, 0)</f>
        <v/>
      </c>
      <c r="O1175" s="18">
        <f>ROUND(N1175*'Methodology &amp; Assumptions'!$B$8, 0)</f>
        <v/>
      </c>
      <c r="P1175" s="8" t="inlineStr">
        <is>
          <t>Band n50 (1.5 GHz, 60 MHz)</t>
        </is>
      </c>
      <c r="Q1175" s="38">
        <f>ROUNDUP(O1175/'Methodology &amp; Assumptions'!$B$9, 0)</f>
        <v/>
      </c>
      <c r="R1175" s="39" t="n">
        <v>1</v>
      </c>
      <c r="S1175" s="21" t="n">
        <v>1.96</v>
      </c>
      <c r="T1175" s="21" t="n">
        <v>1.38</v>
      </c>
      <c r="U1175" s="36" t="inlineStr">
        <is>
          <t>Tier 1B (Micro Drop, 1-3 km)</t>
        </is>
      </c>
      <c r="V1175" s="20" t="n">
        <v>62.1</v>
      </c>
      <c r="W1175" s="20" t="n">
        <v>100</v>
      </c>
      <c r="X1175" s="20" t="n">
        <v>28</v>
      </c>
      <c r="Y1175" s="40">
        <f>ROUND((V1175*'Methodology &amp; Assumptions'!$B$6)+(W1175*'Methodology &amp; Assumptions'!$B$5)+(X1175*'Methodology &amp; Assumptions'!$B$7), 2)</f>
        <v/>
      </c>
    </row>
    <row r="1176" ht="19" customHeight="1">
      <c r="A1176" s="41" t="n">
        <v>172</v>
      </c>
      <c r="B1176" s="41" t="n">
        <v>4172</v>
      </c>
      <c r="C1176" s="42" t="inlineStr">
        <is>
          <t>0803733006</t>
        </is>
      </c>
      <c r="D1176" s="42" t="inlineStr">
        <is>
          <t>Region VIII (Eastern Visayas)</t>
        </is>
      </c>
      <c r="E1176" s="42" t="inlineStr">
        <is>
          <t>Leyte</t>
        </is>
      </c>
      <c r="F1176" s="42" t="inlineStr">
        <is>
          <t>Matag-Ob</t>
        </is>
      </c>
      <c r="G1176" s="42" t="inlineStr">
        <is>
          <t>Mansahaon</t>
        </is>
      </c>
      <c r="H1176" s="43" t="n">
        <v>11.148372</v>
      </c>
      <c r="I1176" s="43" t="n">
        <v>124.469536</v>
      </c>
      <c r="J1176" s="44" t="inlineStr">
        <is>
          <t>R</t>
        </is>
      </c>
      <c r="K1176" s="42" t="inlineStr">
        <is>
          <t>4th</t>
        </is>
      </c>
      <c r="L1176" s="23" t="n">
        <v>878</v>
      </c>
      <c r="M1176" s="24" t="n">
        <v>4.02</v>
      </c>
      <c r="N1176" s="23">
        <f>ROUND(L1176/M1176, 0)</f>
        <v/>
      </c>
      <c r="O1176" s="23">
        <f>ROUND(N1176*'Methodology &amp; Assumptions'!$B$8, 0)</f>
        <v/>
      </c>
      <c r="P1176" s="44" t="inlineStr">
        <is>
          <t>Band n50 (1.5 GHz, 60 MHz)</t>
        </is>
      </c>
      <c r="Q1176" s="38">
        <f>ROUNDUP(O1176/'Methodology &amp; Assumptions'!$B$9, 0)</f>
        <v/>
      </c>
      <c r="R1176" s="39" t="n">
        <v>1</v>
      </c>
      <c r="S1176" s="25" t="n">
        <v>0.45</v>
      </c>
      <c r="T1176" s="25" t="n">
        <v>9.92</v>
      </c>
      <c r="U1176" s="42" t="inlineStr">
        <is>
          <t>Tier 1A (Direct Coloc, &lt;1 km)</t>
        </is>
      </c>
      <c r="V1176" s="24" t="n">
        <v>86</v>
      </c>
      <c r="W1176" s="24" t="n">
        <v>41.3</v>
      </c>
      <c r="X1176" s="24" t="n">
        <v>68.5</v>
      </c>
      <c r="Y1176" s="45">
        <f>ROUND((V1176*'Methodology &amp; Assumptions'!$B$6)+(W1176*'Methodology &amp; Assumptions'!$B$5)+(X1176*'Methodology &amp; Assumptions'!$B$7), 2)</f>
        <v/>
      </c>
    </row>
    <row r="1177" ht="19" customHeight="1">
      <c r="A1177" s="35" t="n">
        <v>173</v>
      </c>
      <c r="B1177" s="35" t="n">
        <v>4173</v>
      </c>
      <c r="C1177" s="36" t="inlineStr">
        <is>
          <t>0405630014</t>
        </is>
      </c>
      <c r="D1177" s="36" t="inlineStr">
        <is>
          <t>Region IV-A (CALABARZON)</t>
        </is>
      </c>
      <c r="E1177" s="36" t="inlineStr">
        <is>
          <t>Quezon</t>
        </is>
      </c>
      <c r="F1177" s="36" t="inlineStr">
        <is>
          <t>Pagbilao</t>
        </is>
      </c>
      <c r="G1177" s="36" t="inlineStr">
        <is>
          <t>Ilayang Polo</t>
        </is>
      </c>
      <c r="H1177" s="37" t="n">
        <v>13.93657</v>
      </c>
      <c r="I1177" s="37" t="n">
        <v>121.786377</v>
      </c>
      <c r="J1177" s="8" t="inlineStr">
        <is>
          <t>R</t>
        </is>
      </c>
      <c r="K1177" s="36" t="inlineStr">
        <is>
          <t>Class 1-3 / Urban</t>
        </is>
      </c>
      <c r="L1177" s="18" t="n">
        <v>2503</v>
      </c>
      <c r="M1177" s="20" t="n">
        <v>4.46</v>
      </c>
      <c r="N1177" s="18">
        <f>ROUND(L1177/M1177, 0)</f>
        <v/>
      </c>
      <c r="O1177" s="18">
        <f>ROUND(N1177*'Methodology &amp; Assumptions'!$B$8, 0)</f>
        <v/>
      </c>
      <c r="P1177" s="8" t="inlineStr">
        <is>
          <t>Band n50 (1.5 GHz, 60 MHz)</t>
        </is>
      </c>
      <c r="Q1177" s="38">
        <f>ROUNDUP(O1177/'Methodology &amp; Assumptions'!$B$9, 0)</f>
        <v/>
      </c>
      <c r="R1177" s="39" t="n">
        <v>1</v>
      </c>
      <c r="S1177" s="21" t="n">
        <v>1.18</v>
      </c>
      <c r="T1177" s="21" t="n">
        <v>3.48</v>
      </c>
      <c r="U1177" s="36" t="inlineStr">
        <is>
          <t>Tier 1B (Micro Drop, 1-3 km)</t>
        </is>
      </c>
      <c r="V1177" s="20" t="n">
        <v>67.5</v>
      </c>
      <c r="W1177" s="20" t="n">
        <v>68.8</v>
      </c>
      <c r="X1177" s="20" t="n">
        <v>58</v>
      </c>
      <c r="Y1177" s="40">
        <f>ROUND((V1177*'Methodology &amp; Assumptions'!$B$6)+(W1177*'Methodology &amp; Assumptions'!$B$5)+(X1177*'Methodology &amp; Assumptions'!$B$7), 2)</f>
        <v/>
      </c>
    </row>
    <row r="1178" ht="19" customHeight="1">
      <c r="A1178" s="41" t="n">
        <v>174</v>
      </c>
      <c r="B1178" s="41" t="n">
        <v>4174</v>
      </c>
      <c r="C1178" s="42" t="inlineStr">
        <is>
          <t>0803738011</t>
        </is>
      </c>
      <c r="D1178" s="42" t="inlineStr">
        <is>
          <t>Region VIII (Eastern Visayas)</t>
        </is>
      </c>
      <c r="E1178" s="42" t="inlineStr">
        <is>
          <t>Leyte</t>
        </is>
      </c>
      <c r="F1178" s="42" t="inlineStr">
        <is>
          <t>Ormoc City</t>
        </is>
      </c>
      <c r="G1178" s="42" t="inlineStr">
        <is>
          <t>Cagbuhangin</t>
        </is>
      </c>
      <c r="H1178" s="43" t="n">
        <v>11.10172</v>
      </c>
      <c r="I1178" s="43" t="n">
        <v>124.584144</v>
      </c>
      <c r="J1178" s="44" t="inlineStr">
        <is>
          <t>R</t>
        </is>
      </c>
      <c r="K1178" s="42" t="inlineStr">
        <is>
          <t>Class 1-3 / Urban</t>
        </is>
      </c>
      <c r="L1178" s="23" t="n">
        <v>1933</v>
      </c>
      <c r="M1178" s="24" t="n">
        <v>4.24</v>
      </c>
      <c r="N1178" s="23">
        <f>ROUND(L1178/M1178, 0)</f>
        <v/>
      </c>
      <c r="O1178" s="23">
        <f>ROUND(N1178*'Methodology &amp; Assumptions'!$B$8, 0)</f>
        <v/>
      </c>
      <c r="P1178" s="44" t="inlineStr">
        <is>
          <t>Band n50 (1.5 GHz, 60 MHz)</t>
        </is>
      </c>
      <c r="Q1178" s="38">
        <f>ROUNDUP(O1178/'Methodology &amp; Assumptions'!$B$9, 0)</f>
        <v/>
      </c>
      <c r="R1178" s="39" t="n">
        <v>1</v>
      </c>
      <c r="S1178" s="25" t="n">
        <v>1.26</v>
      </c>
      <c r="T1178" s="25" t="n">
        <v>0.05</v>
      </c>
      <c r="U1178" s="42" t="inlineStr">
        <is>
          <t>Tier 1B (Micro Drop, 1-3 km)</t>
        </is>
      </c>
      <c r="V1178" s="24" t="n">
        <v>75.8</v>
      </c>
      <c r="W1178" s="24" t="n">
        <v>60.5</v>
      </c>
      <c r="X1178" s="24" t="n">
        <v>58</v>
      </c>
      <c r="Y1178" s="45">
        <f>ROUND((V1178*'Methodology &amp; Assumptions'!$B$6)+(W1178*'Methodology &amp; Assumptions'!$B$5)+(X1178*'Methodology &amp; Assumptions'!$B$7), 2)</f>
        <v/>
      </c>
    </row>
    <row r="1179" ht="19" customHeight="1">
      <c r="A1179" s="35" t="n">
        <v>175</v>
      </c>
      <c r="B1179" s="35" t="n">
        <v>4175</v>
      </c>
      <c r="C1179" s="36" t="inlineStr">
        <is>
          <t>0403404010</t>
        </is>
      </c>
      <c r="D1179" s="36" t="inlineStr">
        <is>
          <t>Region IV-A (CALABARZON)</t>
        </is>
      </c>
      <c r="E1179" s="36" t="inlineStr">
        <is>
          <t>Laguna</t>
        </is>
      </c>
      <c r="F1179" s="36" t="inlineStr">
        <is>
          <t>City of Cabuyao</t>
        </is>
      </c>
      <c r="G1179" s="36" t="inlineStr">
        <is>
          <t>Marinig</t>
        </is>
      </c>
      <c r="H1179" s="37" t="n">
        <v>14.270264</v>
      </c>
      <c r="I1179" s="37" t="n">
        <v>121.157551</v>
      </c>
      <c r="J1179" s="8" t="inlineStr">
        <is>
          <t>U</t>
        </is>
      </c>
      <c r="K1179" s="36" t="inlineStr">
        <is>
          <t>Class 1-3 / Urban</t>
        </is>
      </c>
      <c r="L1179" s="18" t="n">
        <v>45343</v>
      </c>
      <c r="M1179" s="20" t="n">
        <v>4.2</v>
      </c>
      <c r="N1179" s="18">
        <f>ROUND(L1179/M1179, 0)</f>
        <v/>
      </c>
      <c r="O1179" s="18">
        <f>ROUND(N1179*'Methodology &amp; Assumptions'!$B$8, 0)</f>
        <v/>
      </c>
      <c r="P1179" s="8" t="inlineStr">
        <is>
          <t>Band n50 (1.5 GHz, 60 MHz)</t>
        </is>
      </c>
      <c r="Q1179" s="38">
        <f>ROUNDUP(O1179/'Methodology &amp; Assumptions'!$B$9, 0)</f>
        <v/>
      </c>
      <c r="R1179" s="39" t="n">
        <v>1</v>
      </c>
      <c r="S1179" s="21" t="n">
        <v>1.29</v>
      </c>
      <c r="T1179" s="21" t="n">
        <v>3.32</v>
      </c>
      <c r="U1179" s="36" t="inlineStr">
        <is>
          <t>Tier 1B (Micro Drop, 1-3 km)</t>
        </is>
      </c>
      <c r="V1179" s="20" t="n">
        <v>65.09999999999999</v>
      </c>
      <c r="W1179" s="20" t="n">
        <v>96.90000000000001</v>
      </c>
      <c r="X1179" s="20" t="n">
        <v>28</v>
      </c>
      <c r="Y1179" s="40">
        <f>ROUND((V1179*'Methodology &amp; Assumptions'!$B$6)+(W1179*'Methodology &amp; Assumptions'!$B$5)+(X1179*'Methodology &amp; Assumptions'!$B$7), 2)</f>
        <v/>
      </c>
    </row>
    <row r="1180" ht="19" customHeight="1">
      <c r="A1180" s="41" t="n">
        <v>176</v>
      </c>
      <c r="B1180" s="41" t="n">
        <v>4176</v>
      </c>
      <c r="C1180" s="42" t="inlineStr">
        <is>
          <t>0105546011</t>
        </is>
      </c>
      <c r="D1180" s="42" t="inlineStr">
        <is>
          <t>Region I (Ilocos Region)</t>
        </is>
      </c>
      <c r="E1180" s="42" t="inlineStr">
        <is>
          <t>Pangasinan</t>
        </is>
      </c>
      <c r="F1180" s="42" t="inlineStr">
        <is>
          <t>City of Urdaneta</t>
        </is>
      </c>
      <c r="G1180" s="42" t="inlineStr">
        <is>
          <t>Camanang</t>
        </is>
      </c>
      <c r="H1180" s="43" t="n">
        <v>15.961355</v>
      </c>
      <c r="I1180" s="43" t="n">
        <v>120.592599</v>
      </c>
      <c r="J1180" s="44" t="inlineStr">
        <is>
          <t>U</t>
        </is>
      </c>
      <c r="K1180" s="42" t="inlineStr">
        <is>
          <t>Class 1-3 / Urban</t>
        </is>
      </c>
      <c r="L1180" s="23" t="n">
        <v>5109</v>
      </c>
      <c r="M1180" s="24" t="n">
        <v>4.39</v>
      </c>
      <c r="N1180" s="23">
        <f>ROUND(L1180/M1180, 0)</f>
        <v/>
      </c>
      <c r="O1180" s="23">
        <f>ROUND(N1180*'Methodology &amp; Assumptions'!$B$8, 0)</f>
        <v/>
      </c>
      <c r="P1180" s="44" t="inlineStr">
        <is>
          <t>Band n50 (1.5 GHz, 60 MHz)</t>
        </is>
      </c>
      <c r="Q1180" s="38">
        <f>ROUNDUP(O1180/'Methodology &amp; Assumptions'!$B$9, 0)</f>
        <v/>
      </c>
      <c r="R1180" s="39" t="n">
        <v>1</v>
      </c>
      <c r="S1180" s="25" t="n">
        <v>1.96</v>
      </c>
      <c r="T1180" s="25" t="n">
        <v>1.92</v>
      </c>
      <c r="U1180" s="42" t="inlineStr">
        <is>
          <t>Tier 1B (Micro Drop, 1-3 km)</t>
        </is>
      </c>
      <c r="V1180" s="24" t="n">
        <v>62</v>
      </c>
      <c r="W1180" s="24" t="n">
        <v>100</v>
      </c>
      <c r="X1180" s="24" t="n">
        <v>28</v>
      </c>
      <c r="Y1180" s="45">
        <f>ROUND((V1180*'Methodology &amp; Assumptions'!$B$6)+(W1180*'Methodology &amp; Assumptions'!$B$5)+(X1180*'Methodology &amp; Assumptions'!$B$7), 2)</f>
        <v/>
      </c>
    </row>
    <row r="1181" ht="19" customHeight="1">
      <c r="A1181" s="35" t="n">
        <v>177</v>
      </c>
      <c r="B1181" s="35" t="n">
        <v>4177</v>
      </c>
      <c r="C1181" s="36" t="inlineStr">
        <is>
          <t>0305409018</t>
        </is>
      </c>
      <c r="D1181" s="36" t="inlineStr">
        <is>
          <t>Region III (Central Luzon)</t>
        </is>
      </c>
      <c r="E1181" s="36" t="inlineStr">
        <is>
          <t>Pampanga</t>
        </is>
      </c>
      <c r="F1181" s="36" t="inlineStr">
        <is>
          <t>Mabalacat City</t>
        </is>
      </c>
      <c r="G1181" s="36" t="inlineStr">
        <is>
          <t>Mawaque</t>
        </is>
      </c>
      <c r="H1181" s="37" t="n">
        <v>15.209046</v>
      </c>
      <c r="I1181" s="37" t="n">
        <v>120.591676</v>
      </c>
      <c r="J1181" s="8" t="inlineStr">
        <is>
          <t>U</t>
        </is>
      </c>
      <c r="K1181" s="36" t="inlineStr">
        <is>
          <t>Class 1-3 / Urban</t>
        </is>
      </c>
      <c r="L1181" s="18" t="n">
        <v>3692</v>
      </c>
      <c r="M1181" s="20" t="n">
        <v>4.63</v>
      </c>
      <c r="N1181" s="18">
        <f>ROUND(L1181/M1181, 0)</f>
        <v/>
      </c>
      <c r="O1181" s="18">
        <f>ROUND(N1181*'Methodology &amp; Assumptions'!$B$8, 0)</f>
        <v/>
      </c>
      <c r="P1181" s="8" t="inlineStr">
        <is>
          <t>Band n50 (1.5 GHz, 60 MHz)</t>
        </is>
      </c>
      <c r="Q1181" s="38">
        <f>ROUNDUP(O1181/'Methodology &amp; Assumptions'!$B$9, 0)</f>
        <v/>
      </c>
      <c r="R1181" s="39" t="n">
        <v>1</v>
      </c>
      <c r="S1181" s="21" t="n">
        <v>1.32</v>
      </c>
      <c r="T1181" s="21" t="n">
        <v>0.39</v>
      </c>
      <c r="U1181" s="36" t="inlineStr">
        <is>
          <t>Tier 1B (Micro Drop, 1-3 km)</t>
        </is>
      </c>
      <c r="V1181" s="20" t="n">
        <v>74.3</v>
      </c>
      <c r="W1181" s="20" t="n">
        <v>87.7</v>
      </c>
      <c r="X1181" s="20" t="n">
        <v>28</v>
      </c>
      <c r="Y1181" s="40">
        <f>ROUND((V1181*'Methodology &amp; Assumptions'!$B$6)+(W1181*'Methodology &amp; Assumptions'!$B$5)+(X1181*'Methodology &amp; Assumptions'!$B$7), 2)</f>
        <v/>
      </c>
    </row>
    <row r="1182" ht="19" customHeight="1">
      <c r="A1182" s="41" t="n">
        <v>178</v>
      </c>
      <c r="B1182" s="41" t="n">
        <v>4178</v>
      </c>
      <c r="C1182" s="42" t="inlineStr">
        <is>
          <t>0304914009</t>
        </is>
      </c>
      <c r="D1182" s="42" t="inlineStr">
        <is>
          <t>Region III (Central Luzon)</t>
        </is>
      </c>
      <c r="E1182" s="42" t="inlineStr">
        <is>
          <t>Nueva Ecija</t>
        </is>
      </c>
      <c r="F1182" s="42" t="inlineStr">
        <is>
          <t>Licab</t>
        </is>
      </c>
      <c r="G1182" s="42" t="inlineStr">
        <is>
          <t>Santa Maria</t>
        </is>
      </c>
      <c r="H1182" s="43" t="n">
        <v>15.533948</v>
      </c>
      <c r="I1182" s="43" t="n">
        <v>120.77764</v>
      </c>
      <c r="J1182" s="44" t="inlineStr">
        <is>
          <t>R</t>
        </is>
      </c>
      <c r="K1182" s="42" t="inlineStr">
        <is>
          <t>3rd</t>
        </is>
      </c>
      <c r="L1182" s="23" t="n">
        <v>4347</v>
      </c>
      <c r="M1182" s="24" t="n">
        <v>4.42</v>
      </c>
      <c r="N1182" s="23">
        <f>ROUND(L1182/M1182, 0)</f>
        <v/>
      </c>
      <c r="O1182" s="23">
        <f>ROUND(N1182*'Methodology &amp; Assumptions'!$B$8, 0)</f>
        <v/>
      </c>
      <c r="P1182" s="44" t="inlineStr">
        <is>
          <t>Band n50 (1.5 GHz, 60 MHz)</t>
        </is>
      </c>
      <c r="Q1182" s="38">
        <f>ROUNDUP(O1182/'Methodology &amp; Assumptions'!$B$9, 0)</f>
        <v/>
      </c>
      <c r="R1182" s="39" t="n">
        <v>1</v>
      </c>
      <c r="S1182" s="25" t="n">
        <v>4.35</v>
      </c>
      <c r="T1182" s="25" t="n">
        <v>4.4</v>
      </c>
      <c r="U1182" s="42" t="inlineStr">
        <is>
          <t>Tier 2 (Fiber Corridor / Lateral, 3-5 km)</t>
        </is>
      </c>
      <c r="V1182" s="24" t="n">
        <v>23.5</v>
      </c>
      <c r="W1182" s="24" t="n">
        <v>100</v>
      </c>
      <c r="X1182" s="24" t="n">
        <v>73</v>
      </c>
      <c r="Y1182" s="45">
        <f>ROUND((V1182*'Methodology &amp; Assumptions'!$B$6)+(W1182*'Methodology &amp; Assumptions'!$B$5)+(X1182*'Methodology &amp; Assumptions'!$B$7), 2)</f>
        <v/>
      </c>
    </row>
    <row r="1183" ht="19" customHeight="1">
      <c r="A1183" s="35" t="n">
        <v>179</v>
      </c>
      <c r="B1183" s="35" t="n">
        <v>4179</v>
      </c>
      <c r="C1183" s="36" t="inlineStr">
        <is>
          <t>0305420008</t>
        </is>
      </c>
      <c r="D1183" s="36" t="inlineStr">
        <is>
          <t>Region III (Central Luzon)</t>
        </is>
      </c>
      <c r="E1183" s="36" t="inlineStr">
        <is>
          <t>Pampanga</t>
        </is>
      </c>
      <c r="F1183" s="36" t="inlineStr">
        <is>
          <t>Santa Rita</t>
        </is>
      </c>
      <c r="G1183" s="36" t="inlineStr">
        <is>
          <t>San Matias</t>
        </is>
      </c>
      <c r="H1183" s="37" t="n">
        <v>15.002623</v>
      </c>
      <c r="I1183" s="37" t="n">
        <v>120.608137</v>
      </c>
      <c r="J1183" s="8" t="inlineStr">
        <is>
          <t>R</t>
        </is>
      </c>
      <c r="K1183" s="36" t="inlineStr">
        <is>
          <t>2nd</t>
        </is>
      </c>
      <c r="L1183" s="18" t="n">
        <v>3577</v>
      </c>
      <c r="M1183" s="20" t="n">
        <v>4.52</v>
      </c>
      <c r="N1183" s="18">
        <f>ROUND(L1183/M1183, 0)</f>
        <v/>
      </c>
      <c r="O1183" s="18">
        <f>ROUND(N1183*'Methodology &amp; Assumptions'!$B$8, 0)</f>
        <v/>
      </c>
      <c r="P1183" s="8" t="inlineStr">
        <is>
          <t>Band n50 (1.5 GHz, 60 MHz)</t>
        </is>
      </c>
      <c r="Q1183" s="38">
        <f>ROUNDUP(O1183/'Methodology &amp; Assumptions'!$B$9, 0)</f>
        <v/>
      </c>
      <c r="R1183" s="39" t="n">
        <v>1</v>
      </c>
      <c r="S1183" s="21" t="n">
        <v>4.01</v>
      </c>
      <c r="T1183" s="21" t="n">
        <v>0.27</v>
      </c>
      <c r="U1183" s="36" t="inlineStr">
        <is>
          <t>Tier 2 (Fiber Corridor / Lateral, 3-5 km)</t>
        </is>
      </c>
      <c r="V1183" s="20" t="n">
        <v>36.2</v>
      </c>
      <c r="W1183" s="20" t="n">
        <v>87.2</v>
      </c>
      <c r="X1183" s="20" t="n">
        <v>73</v>
      </c>
      <c r="Y1183" s="40">
        <f>ROUND((V1183*'Methodology &amp; Assumptions'!$B$6)+(W1183*'Methodology &amp; Assumptions'!$B$5)+(X1183*'Methodology &amp; Assumptions'!$B$7), 2)</f>
        <v/>
      </c>
    </row>
    <row r="1184" ht="19" customHeight="1">
      <c r="A1184" s="41" t="n">
        <v>180</v>
      </c>
      <c r="B1184" s="41" t="n">
        <v>4180</v>
      </c>
      <c r="C1184" s="42" t="inlineStr">
        <is>
          <t>0806417038</t>
        </is>
      </c>
      <c r="D1184" s="42" t="inlineStr">
        <is>
          <t>Region VIII (Eastern Visayas)</t>
        </is>
      </c>
      <c r="E1184" s="42" t="inlineStr">
        <is>
          <t>Southern Leyte</t>
        </is>
      </c>
      <c r="F1184" s="42" t="inlineStr">
        <is>
          <t>Sogod</t>
        </is>
      </c>
      <c r="G1184" s="42" t="inlineStr">
        <is>
          <t>San Miguel</t>
        </is>
      </c>
      <c r="H1184" s="43" t="n">
        <v>10.401744</v>
      </c>
      <c r="I1184" s="43" t="n">
        <v>124.98668</v>
      </c>
      <c r="J1184" s="44" t="inlineStr">
        <is>
          <t>R</t>
        </is>
      </c>
      <c r="K1184" s="42" t="inlineStr">
        <is>
          <t>Class 1-3 / Urban</t>
        </is>
      </c>
      <c r="L1184" s="23" t="n">
        <v>1969</v>
      </c>
      <c r="M1184" s="24" t="n">
        <v>4.53</v>
      </c>
      <c r="N1184" s="23">
        <f>ROUND(L1184/M1184, 0)</f>
        <v/>
      </c>
      <c r="O1184" s="23">
        <f>ROUND(N1184*'Methodology &amp; Assumptions'!$B$8, 0)</f>
        <v/>
      </c>
      <c r="P1184" s="44" t="inlineStr">
        <is>
          <t>Band n50 (1.5 GHz, 60 MHz)</t>
        </is>
      </c>
      <c r="Q1184" s="38">
        <f>ROUNDUP(O1184/'Methodology &amp; Assumptions'!$B$9, 0)</f>
        <v/>
      </c>
      <c r="R1184" s="39" t="n">
        <v>1</v>
      </c>
      <c r="S1184" s="25" t="n">
        <v>1.81</v>
      </c>
      <c r="T1184" s="25" t="n">
        <v>0.08</v>
      </c>
      <c r="U1184" s="42" t="inlineStr">
        <is>
          <t>Tier 1B (Micro Drop, 1-3 km)</t>
        </is>
      </c>
      <c r="V1184" s="24" t="n">
        <v>64.8</v>
      </c>
      <c r="W1184" s="24" t="n">
        <v>58.7</v>
      </c>
      <c r="X1184" s="24" t="n">
        <v>73</v>
      </c>
      <c r="Y1184" s="45">
        <f>ROUND((V1184*'Methodology &amp; Assumptions'!$B$6)+(W1184*'Methodology &amp; Assumptions'!$B$5)+(X1184*'Methodology &amp; Assumptions'!$B$7), 2)</f>
        <v/>
      </c>
    </row>
    <row r="1185" ht="19" customHeight="1">
      <c r="A1185" s="35" t="n">
        <v>181</v>
      </c>
      <c r="B1185" s="35" t="n">
        <v>4181</v>
      </c>
      <c r="C1185" s="36" t="inlineStr">
        <is>
          <t>0405645032</t>
        </is>
      </c>
      <c r="D1185" s="36" t="inlineStr">
        <is>
          <t>Region IV-A (CALABARZON)</t>
        </is>
      </c>
      <c r="E1185" s="36" t="inlineStr">
        <is>
          <t>Quezon</t>
        </is>
      </c>
      <c r="F1185" s="36" t="inlineStr">
        <is>
          <t>Sariaya</t>
        </is>
      </c>
      <c r="G1185" s="36" t="inlineStr">
        <is>
          <t>Pili</t>
        </is>
      </c>
      <c r="H1185" s="37" t="n">
        <v>13.94457</v>
      </c>
      <c r="I1185" s="37" t="n">
        <v>121.53931</v>
      </c>
      <c r="J1185" s="8" t="inlineStr">
        <is>
          <t>R</t>
        </is>
      </c>
      <c r="K1185" s="36" t="inlineStr">
        <is>
          <t>Class 1-3 / Urban</t>
        </is>
      </c>
      <c r="L1185" s="18" t="n">
        <v>4196</v>
      </c>
      <c r="M1185" s="20" t="n">
        <v>4.46</v>
      </c>
      <c r="N1185" s="18">
        <f>ROUND(L1185/M1185, 0)</f>
        <v/>
      </c>
      <c r="O1185" s="18">
        <f>ROUND(N1185*'Methodology &amp; Assumptions'!$B$8, 0)</f>
        <v/>
      </c>
      <c r="P1185" s="8" t="inlineStr">
        <is>
          <t>Band n50 (1.5 GHz, 60 MHz)</t>
        </is>
      </c>
      <c r="Q1185" s="38">
        <f>ROUNDUP(O1185/'Methodology &amp; Assumptions'!$B$9, 0)</f>
        <v/>
      </c>
      <c r="R1185" s="39" t="n">
        <v>1</v>
      </c>
      <c r="S1185" s="21" t="n">
        <v>2.97</v>
      </c>
      <c r="T1185" s="21" t="n">
        <v>2.36</v>
      </c>
      <c r="U1185" s="36" t="inlineStr">
        <is>
          <t>Tier 1B (Micro Drop, 1-3 km)</t>
        </is>
      </c>
      <c r="V1185" s="20" t="n">
        <v>37.1</v>
      </c>
      <c r="W1185" s="20" t="n">
        <v>99.2</v>
      </c>
      <c r="X1185" s="20" t="n">
        <v>58</v>
      </c>
      <c r="Y1185" s="40">
        <f>ROUND((V1185*'Methodology &amp; Assumptions'!$B$6)+(W1185*'Methodology &amp; Assumptions'!$B$5)+(X1185*'Methodology &amp; Assumptions'!$B$7), 2)</f>
        <v/>
      </c>
    </row>
    <row r="1186" ht="19" customHeight="1">
      <c r="A1186" s="41" t="n">
        <v>182</v>
      </c>
      <c r="B1186" s="41" t="n">
        <v>4182</v>
      </c>
      <c r="C1186" s="42" t="inlineStr">
        <is>
          <t>0306916025</t>
        </is>
      </c>
      <c r="D1186" s="42" t="inlineStr">
        <is>
          <t>Region III (Central Luzon)</t>
        </is>
      </c>
      <c r="E1186" s="42" t="inlineStr">
        <is>
          <t>Tarlac</t>
        </is>
      </c>
      <c r="F1186" s="42" t="inlineStr">
        <is>
          <t>City of Tarlac</t>
        </is>
      </c>
      <c r="G1186" s="42" t="inlineStr">
        <is>
          <t>Capehan</t>
        </is>
      </c>
      <c r="H1186" s="43" t="n">
        <v>15.432885</v>
      </c>
      <c r="I1186" s="43" t="n">
        <v>120.601372</v>
      </c>
      <c r="J1186" s="44" t="inlineStr">
        <is>
          <t>R</t>
        </is>
      </c>
      <c r="K1186" s="42" t="inlineStr">
        <is>
          <t>Class 1-3 / Urban</t>
        </is>
      </c>
      <c r="L1186" s="23" t="n">
        <v>2239</v>
      </c>
      <c r="M1186" s="24" t="n">
        <v>4.3</v>
      </c>
      <c r="N1186" s="23">
        <f>ROUND(L1186/M1186, 0)</f>
        <v/>
      </c>
      <c r="O1186" s="23">
        <f>ROUND(N1186*'Methodology &amp; Assumptions'!$B$8, 0)</f>
        <v/>
      </c>
      <c r="P1186" s="44" t="inlineStr">
        <is>
          <t>Band n50 (1.5 GHz, 60 MHz)</t>
        </is>
      </c>
      <c r="Q1186" s="38">
        <f>ROUNDUP(O1186/'Methodology &amp; Assumptions'!$B$9, 0)</f>
        <v/>
      </c>
      <c r="R1186" s="39" t="n">
        <v>1</v>
      </c>
      <c r="S1186" s="25" t="n">
        <v>1.5</v>
      </c>
      <c r="T1186" s="25" t="n">
        <v>0.33</v>
      </c>
      <c r="U1186" s="42" t="inlineStr">
        <is>
          <t>Tier 1B (Micro Drop, 1-3 km)</t>
        </is>
      </c>
      <c r="V1186" s="24" t="n">
        <v>70.7</v>
      </c>
      <c r="W1186" s="24" t="n">
        <v>65.59999999999999</v>
      </c>
      <c r="X1186" s="24" t="n">
        <v>58</v>
      </c>
      <c r="Y1186" s="45">
        <f>ROUND((V1186*'Methodology &amp; Assumptions'!$B$6)+(W1186*'Methodology &amp; Assumptions'!$B$5)+(X1186*'Methodology &amp; Assumptions'!$B$7), 2)</f>
        <v/>
      </c>
    </row>
    <row r="1187" ht="19" customHeight="1">
      <c r="A1187" s="35" t="n">
        <v>183</v>
      </c>
      <c r="B1187" s="35" t="n">
        <v>4183</v>
      </c>
      <c r="C1187" s="36" t="inlineStr">
        <is>
          <t>0307108018</t>
        </is>
      </c>
      <c r="D1187" s="36" t="inlineStr">
        <is>
          <t>Region III (Central Luzon)</t>
        </is>
      </c>
      <c r="E1187" s="36" t="inlineStr">
        <is>
          <t>Zambales</t>
        </is>
      </c>
      <c r="F1187" s="36" t="inlineStr">
        <is>
          <t>Palauig</t>
        </is>
      </c>
      <c r="G1187" s="36" t="inlineStr">
        <is>
          <t>Sto. Niño</t>
        </is>
      </c>
      <c r="H1187" s="37" t="n">
        <v>15.436431</v>
      </c>
      <c r="I1187" s="37" t="n">
        <v>119.919614</v>
      </c>
      <c r="J1187" s="8" t="inlineStr">
        <is>
          <t>R</t>
        </is>
      </c>
      <c r="K1187" s="36" t="inlineStr">
        <is>
          <t>Class 1-3 / Urban</t>
        </is>
      </c>
      <c r="L1187" s="18" t="n">
        <v>2075</v>
      </c>
      <c r="M1187" s="20" t="n">
        <v>4.05</v>
      </c>
      <c r="N1187" s="18">
        <f>ROUND(L1187/M1187, 0)</f>
        <v/>
      </c>
      <c r="O1187" s="18">
        <f>ROUND(N1187*'Methodology &amp; Assumptions'!$B$8, 0)</f>
        <v/>
      </c>
      <c r="P1187" s="8" t="inlineStr">
        <is>
          <t>Band n50 (1.5 GHz, 60 MHz)</t>
        </is>
      </c>
      <c r="Q1187" s="38">
        <f>ROUNDUP(O1187/'Methodology &amp; Assumptions'!$B$9, 0)</f>
        <v/>
      </c>
      <c r="R1187" s="39" t="n">
        <v>1</v>
      </c>
      <c r="S1187" s="21" t="n">
        <v>1.47</v>
      </c>
      <c r="T1187" s="21" t="n">
        <v>0.4</v>
      </c>
      <c r="U1187" s="36" t="inlineStr">
        <is>
          <t>Tier 1B (Micro Drop, 1-3 km)</t>
        </is>
      </c>
      <c r="V1187" s="20" t="n">
        <v>71.2</v>
      </c>
      <c r="W1187" s="20" t="n">
        <v>65.09999999999999</v>
      </c>
      <c r="X1187" s="20" t="n">
        <v>58</v>
      </c>
      <c r="Y1187" s="40">
        <f>ROUND((V1187*'Methodology &amp; Assumptions'!$B$6)+(W1187*'Methodology &amp; Assumptions'!$B$5)+(X1187*'Methodology &amp; Assumptions'!$B$7), 2)</f>
        <v/>
      </c>
    </row>
    <row r="1188" ht="19" customHeight="1">
      <c r="A1188" s="41" t="n">
        <v>184</v>
      </c>
      <c r="B1188" s="41" t="n">
        <v>4184</v>
      </c>
      <c r="C1188" s="42" t="inlineStr">
        <is>
          <t>0701232010</t>
        </is>
      </c>
      <c r="D1188" s="42" t="inlineStr">
        <is>
          <t>Region VII (Central Visayas)</t>
        </is>
      </c>
      <c r="E1188" s="42" t="inlineStr">
        <is>
          <t>Bohol</t>
        </is>
      </c>
      <c r="F1188" s="42" t="inlineStr">
        <is>
          <t>Maribojoc</t>
        </is>
      </c>
      <c r="G1188" s="42" t="inlineStr">
        <is>
          <t>Dipatlong</t>
        </is>
      </c>
      <c r="H1188" s="43" t="n">
        <v>9.748172</v>
      </c>
      <c r="I1188" s="43" t="n">
        <v>123.838148</v>
      </c>
      <c r="J1188" s="44" t="inlineStr">
        <is>
          <t>R</t>
        </is>
      </c>
      <c r="K1188" s="42" t="inlineStr">
        <is>
          <t>3rd</t>
        </is>
      </c>
      <c r="L1188" s="23" t="n">
        <v>1695</v>
      </c>
      <c r="M1188" s="24" t="n">
        <v>4.35</v>
      </c>
      <c r="N1188" s="23">
        <f>ROUND(L1188/M1188, 0)</f>
        <v/>
      </c>
      <c r="O1188" s="23">
        <f>ROUND(N1188*'Methodology &amp; Assumptions'!$B$8, 0)</f>
        <v/>
      </c>
      <c r="P1188" s="44" t="inlineStr">
        <is>
          <t>Band n50 (1.5 GHz, 60 MHz)</t>
        </is>
      </c>
      <c r="Q1188" s="38">
        <f>ROUNDUP(O1188/'Methodology &amp; Assumptions'!$B$9, 0)</f>
        <v/>
      </c>
      <c r="R1188" s="39" t="n">
        <v>1</v>
      </c>
      <c r="S1188" s="25" t="n">
        <v>1.02</v>
      </c>
      <c r="T1188" s="25" t="n">
        <v>0.5</v>
      </c>
      <c r="U1188" s="42" t="inlineStr">
        <is>
          <t>Tier 1B (Micro Drop, 1-3 km)</t>
        </is>
      </c>
      <c r="V1188" s="24" t="n">
        <v>81.09999999999999</v>
      </c>
      <c r="W1188" s="24" t="n">
        <v>55.2</v>
      </c>
      <c r="X1188" s="24" t="n">
        <v>58</v>
      </c>
      <c r="Y1188" s="45">
        <f>ROUND((V1188*'Methodology &amp; Assumptions'!$B$6)+(W1188*'Methodology &amp; Assumptions'!$B$5)+(X1188*'Methodology &amp; Assumptions'!$B$7), 2)</f>
        <v/>
      </c>
    </row>
    <row r="1189" ht="19" customHeight="1">
      <c r="A1189" s="35" t="n">
        <v>185</v>
      </c>
      <c r="B1189" s="35" t="n">
        <v>4185</v>
      </c>
      <c r="C1189" s="36" t="inlineStr">
        <is>
          <t>0307102020</t>
        </is>
      </c>
      <c r="D1189" s="36" t="inlineStr">
        <is>
          <t>Region III (Central Luzon)</t>
        </is>
      </c>
      <c r="E1189" s="36" t="inlineStr">
        <is>
          <t>Zambales</t>
        </is>
      </c>
      <c r="F1189" s="36" t="inlineStr">
        <is>
          <t>Cabangan</t>
        </is>
      </c>
      <c r="G1189" s="36" t="inlineStr">
        <is>
          <t>San Juan</t>
        </is>
      </c>
      <c r="H1189" s="37" t="n">
        <v>15.155765</v>
      </c>
      <c r="I1189" s="37" t="n">
        <v>120.061336</v>
      </c>
      <c r="J1189" s="8" t="inlineStr">
        <is>
          <t>R</t>
        </is>
      </c>
      <c r="K1189" s="36" t="inlineStr">
        <is>
          <t>2nd</t>
        </is>
      </c>
      <c r="L1189" s="18" t="n">
        <v>1671</v>
      </c>
      <c r="M1189" s="20" t="n">
        <v>4.2</v>
      </c>
      <c r="N1189" s="18">
        <f>ROUND(L1189/M1189, 0)</f>
        <v/>
      </c>
      <c r="O1189" s="18">
        <f>ROUND(N1189*'Methodology &amp; Assumptions'!$B$8, 0)</f>
        <v/>
      </c>
      <c r="P1189" s="8" t="inlineStr">
        <is>
          <t>Band n50 (1.5 GHz, 60 MHz)</t>
        </is>
      </c>
      <c r="Q1189" s="38">
        <f>ROUNDUP(O1189/'Methodology &amp; Assumptions'!$B$9, 0)</f>
        <v/>
      </c>
      <c r="R1189" s="39" t="n">
        <v>1</v>
      </c>
      <c r="S1189" s="21" t="n">
        <v>1.05</v>
      </c>
      <c r="T1189" s="21" t="n">
        <v>0.68</v>
      </c>
      <c r="U1189" s="36" t="inlineStr">
        <is>
          <t>Tier 1B (Micro Drop, 1-3 km)</t>
        </is>
      </c>
      <c r="V1189" s="20" t="n">
        <v>80.59999999999999</v>
      </c>
      <c r="W1189" s="20" t="n">
        <v>55.7</v>
      </c>
      <c r="X1189" s="20" t="n">
        <v>58</v>
      </c>
      <c r="Y1189" s="40">
        <f>ROUND((V1189*'Methodology &amp; Assumptions'!$B$6)+(W1189*'Methodology &amp; Assumptions'!$B$5)+(X1189*'Methodology &amp; Assumptions'!$B$7), 2)</f>
        <v/>
      </c>
    </row>
    <row r="1190" ht="19" customHeight="1">
      <c r="A1190" s="41" t="n">
        <v>186</v>
      </c>
      <c r="B1190" s="41" t="n">
        <v>4186</v>
      </c>
      <c r="C1190" s="42" t="inlineStr">
        <is>
          <t>0702248017</t>
        </is>
      </c>
      <c r="D1190" s="42" t="inlineStr">
        <is>
          <t>Region VII (Central Visayas)</t>
        </is>
      </c>
      <c r="E1190" s="42" t="inlineStr">
        <is>
          <t>Cebu</t>
        </is>
      </c>
      <c r="F1190" s="42" t="inlineStr">
        <is>
          <t>Tabogon</t>
        </is>
      </c>
      <c r="G1190" s="42" t="inlineStr">
        <is>
          <t>Pio</t>
        </is>
      </c>
      <c r="H1190" s="43" t="n">
        <v>10.93775</v>
      </c>
      <c r="I1190" s="43" t="n">
        <v>124.02845</v>
      </c>
      <c r="J1190" s="44" t="inlineStr">
        <is>
          <t>R</t>
        </is>
      </c>
      <c r="K1190" s="42" t="inlineStr">
        <is>
          <t>Class 1-3 / Urban</t>
        </is>
      </c>
      <c r="L1190" s="23" t="n">
        <v>949</v>
      </c>
      <c r="M1190" s="24" t="n">
        <v>4.42</v>
      </c>
      <c r="N1190" s="23">
        <f>ROUND(L1190/M1190, 0)</f>
        <v/>
      </c>
      <c r="O1190" s="23">
        <f>ROUND(N1190*'Methodology &amp; Assumptions'!$B$8, 0)</f>
        <v/>
      </c>
      <c r="P1190" s="44" t="inlineStr">
        <is>
          <t>Band n50 (1.5 GHz, 60 MHz)</t>
        </is>
      </c>
      <c r="Q1190" s="38">
        <f>ROUNDUP(O1190/'Methodology &amp; Assumptions'!$B$9, 0)</f>
        <v/>
      </c>
      <c r="R1190" s="39" t="n">
        <v>1</v>
      </c>
      <c r="S1190" s="25" t="n">
        <v>0.15</v>
      </c>
      <c r="T1190" s="25" t="n">
        <v>6.76</v>
      </c>
      <c r="U1190" s="42" t="inlineStr">
        <is>
          <t>Tier 1A (Direct Coloc, &lt;1 km)</t>
        </is>
      </c>
      <c r="V1190" s="24" t="n">
        <v>95.2</v>
      </c>
      <c r="W1190" s="24" t="n">
        <v>41.1</v>
      </c>
      <c r="X1190" s="24" t="n">
        <v>58</v>
      </c>
      <c r="Y1190" s="45">
        <f>ROUND((V1190*'Methodology &amp; Assumptions'!$B$6)+(W1190*'Methodology &amp; Assumptions'!$B$5)+(X1190*'Methodology &amp; Assumptions'!$B$7), 2)</f>
        <v/>
      </c>
    </row>
    <row r="1191" ht="19" customHeight="1">
      <c r="A1191" s="35" t="n">
        <v>187</v>
      </c>
      <c r="B1191" s="35" t="n">
        <v>4187</v>
      </c>
      <c r="C1191" s="36" t="inlineStr">
        <is>
          <t>0405627031</t>
        </is>
      </c>
      <c r="D1191" s="36" t="inlineStr">
        <is>
          <t>Region IV-A (CALABARZON)</t>
        </is>
      </c>
      <c r="E1191" s="36" t="inlineStr">
        <is>
          <t>Quezon</t>
        </is>
      </c>
      <c r="F1191" s="36" t="inlineStr">
        <is>
          <t>Mauban</t>
        </is>
      </c>
      <c r="G1191" s="36" t="inlineStr">
        <is>
          <t>San Lorenzo</t>
        </is>
      </c>
      <c r="H1191" s="37" t="n">
        <v>14.180773</v>
      </c>
      <c r="I1191" s="37" t="n">
        <v>121.706239</v>
      </c>
      <c r="J1191" s="8" t="inlineStr">
        <is>
          <t>U</t>
        </is>
      </c>
      <c r="K1191" s="36" t="inlineStr">
        <is>
          <t>Class 1-3 / Urban</t>
        </is>
      </c>
      <c r="L1191" s="18" t="n">
        <v>5099</v>
      </c>
      <c r="M1191" s="20" t="n">
        <v>4.46</v>
      </c>
      <c r="N1191" s="18">
        <f>ROUND(L1191/M1191, 0)</f>
        <v/>
      </c>
      <c r="O1191" s="18">
        <f>ROUND(N1191*'Methodology &amp; Assumptions'!$B$8, 0)</f>
        <v/>
      </c>
      <c r="P1191" s="8" t="inlineStr">
        <is>
          <t>Band n50 (1.5 GHz, 60 MHz)</t>
        </is>
      </c>
      <c r="Q1191" s="38">
        <f>ROUNDUP(O1191/'Methodology &amp; Assumptions'!$B$9, 0)</f>
        <v/>
      </c>
      <c r="R1191" s="39" t="n">
        <v>1</v>
      </c>
      <c r="S1191" s="21" t="n">
        <v>1.43</v>
      </c>
      <c r="T1191" s="21" t="n">
        <v>16.61</v>
      </c>
      <c r="U1191" s="36" t="inlineStr">
        <is>
          <t>Tier 1B (Micro Drop, 1-3 km)</t>
        </is>
      </c>
      <c r="V1191" s="20" t="n">
        <v>62</v>
      </c>
      <c r="W1191" s="20" t="n">
        <v>100</v>
      </c>
      <c r="X1191" s="20" t="n">
        <v>28</v>
      </c>
      <c r="Y1191" s="40">
        <f>ROUND((V1191*'Methodology &amp; Assumptions'!$B$6)+(W1191*'Methodology &amp; Assumptions'!$B$5)+(X1191*'Methodology &amp; Assumptions'!$B$7), 2)</f>
        <v/>
      </c>
    </row>
    <row r="1192" ht="19" customHeight="1">
      <c r="A1192" s="41" t="n">
        <v>188</v>
      </c>
      <c r="B1192" s="41" t="n">
        <v>4188</v>
      </c>
      <c r="C1192" s="42" t="inlineStr">
        <is>
          <t>0306902005</t>
        </is>
      </c>
      <c r="D1192" s="42" t="inlineStr">
        <is>
          <t>Region III (Central Luzon)</t>
        </is>
      </c>
      <c r="E1192" s="42" t="inlineStr">
        <is>
          <t>Tarlac</t>
        </is>
      </c>
      <c r="F1192" s="42" t="inlineStr">
        <is>
          <t>Bamban</t>
        </is>
      </c>
      <c r="G1192" s="42" t="inlineStr">
        <is>
          <t>Dela Cruz</t>
        </is>
      </c>
      <c r="H1192" s="43" t="n">
        <v>15.27944</v>
      </c>
      <c r="I1192" s="43" t="n">
        <v>120.570136</v>
      </c>
      <c r="J1192" s="44" t="inlineStr">
        <is>
          <t>U</t>
        </is>
      </c>
      <c r="K1192" s="42" t="inlineStr">
        <is>
          <t>Class 1-3 / Urban</t>
        </is>
      </c>
      <c r="L1192" s="23" t="n">
        <v>2381</v>
      </c>
      <c r="M1192" s="24" t="n">
        <v>4.3</v>
      </c>
      <c r="N1192" s="23">
        <f>ROUND(L1192/M1192, 0)</f>
        <v/>
      </c>
      <c r="O1192" s="23">
        <f>ROUND(N1192*'Methodology &amp; Assumptions'!$B$8, 0)</f>
        <v/>
      </c>
      <c r="P1192" s="44" t="inlineStr">
        <is>
          <t>Band n50 (1.5 GHz, 60 MHz)</t>
        </is>
      </c>
      <c r="Q1192" s="38">
        <f>ROUNDUP(O1192/'Methodology &amp; Assumptions'!$B$9, 0)</f>
        <v/>
      </c>
      <c r="R1192" s="39" t="n">
        <v>1</v>
      </c>
      <c r="S1192" s="25" t="n">
        <v>0.53</v>
      </c>
      <c r="T1192" s="25" t="n">
        <v>0.41</v>
      </c>
      <c r="U1192" s="42" t="inlineStr">
        <is>
          <t>Tier 1A (Direct Coloc, &lt;1 km)</t>
        </is>
      </c>
      <c r="V1192" s="24" t="n">
        <v>93.8</v>
      </c>
      <c r="W1192" s="24" t="n">
        <v>68.3</v>
      </c>
      <c r="X1192" s="24" t="n">
        <v>28</v>
      </c>
      <c r="Y1192" s="45">
        <f>ROUND((V1192*'Methodology &amp; Assumptions'!$B$6)+(W1192*'Methodology &amp; Assumptions'!$B$5)+(X1192*'Methodology &amp; Assumptions'!$B$7), 2)</f>
        <v/>
      </c>
    </row>
    <row r="1193" ht="19" customHeight="1">
      <c r="A1193" s="35" t="n">
        <v>189</v>
      </c>
      <c r="B1193" s="35" t="n">
        <v>4189</v>
      </c>
      <c r="C1193" s="36" t="inlineStr">
        <is>
          <t>0702214013</t>
        </is>
      </c>
      <c r="D1193" s="36" t="inlineStr">
        <is>
          <t>Region VII (Central Visayas)</t>
        </is>
      </c>
      <c r="E1193" s="36" t="inlineStr">
        <is>
          <t>Cebu</t>
        </is>
      </c>
      <c r="F1193" s="36" t="inlineStr">
        <is>
          <t>City of Carcar</t>
        </is>
      </c>
      <c r="G1193" s="36" t="inlineStr">
        <is>
          <t>Poblacion II</t>
        </is>
      </c>
      <c r="H1193" s="37" t="n">
        <v>10.100895</v>
      </c>
      <c r="I1193" s="37" t="n">
        <v>123.6435</v>
      </c>
      <c r="J1193" s="8" t="inlineStr">
        <is>
          <t>U</t>
        </is>
      </c>
      <c r="K1193" s="36" t="inlineStr">
        <is>
          <t>Class 1-3 / Urban</t>
        </is>
      </c>
      <c r="L1193" s="18" t="n">
        <v>2318</v>
      </c>
      <c r="M1193" s="20" t="n">
        <v>4.42</v>
      </c>
      <c r="N1193" s="18">
        <f>ROUND(L1193/M1193, 0)</f>
        <v/>
      </c>
      <c r="O1193" s="18">
        <f>ROUND(N1193*'Methodology &amp; Assumptions'!$B$8, 0)</f>
        <v/>
      </c>
      <c r="P1193" s="8" t="inlineStr">
        <is>
          <t>Band n50 (1.5 GHz, 60 MHz)</t>
        </is>
      </c>
      <c r="Q1193" s="38">
        <f>ROUNDUP(O1193/'Methodology &amp; Assumptions'!$B$9, 0)</f>
        <v/>
      </c>
      <c r="R1193" s="39" t="n">
        <v>1</v>
      </c>
      <c r="S1193" s="21" t="n">
        <v>0.45</v>
      </c>
      <c r="T1193" s="21" t="n">
        <v>0.24</v>
      </c>
      <c r="U1193" s="36" t="inlineStr">
        <is>
          <t>Tier 1A (Direct Coloc, &lt;1 km)</t>
        </is>
      </c>
      <c r="V1193" s="20" t="n">
        <v>96.2</v>
      </c>
      <c r="W1193" s="20" t="n">
        <v>65.90000000000001</v>
      </c>
      <c r="X1193" s="20" t="n">
        <v>28</v>
      </c>
      <c r="Y1193" s="40">
        <f>ROUND((V1193*'Methodology &amp; Assumptions'!$B$6)+(W1193*'Methodology &amp; Assumptions'!$B$5)+(X1193*'Methodology &amp; Assumptions'!$B$7), 2)</f>
        <v/>
      </c>
    </row>
    <row r="1194" ht="19" customHeight="1">
      <c r="A1194" s="41" t="n">
        <v>190</v>
      </c>
      <c r="B1194" s="41" t="n">
        <v>4190</v>
      </c>
      <c r="C1194" s="42" t="inlineStr">
        <is>
          <t>1430300145</t>
        </is>
      </c>
      <c r="D1194" s="42" t="inlineStr">
        <is>
          <t>Cordillera Administrative Region (CAR)</t>
        </is>
      </c>
      <c r="E1194" s="42" t="inlineStr">
        <is>
          <t>Benguet</t>
        </is>
      </c>
      <c r="F1194" s="42" t="inlineStr">
        <is>
          <t>City of Baguio</t>
        </is>
      </c>
      <c r="G1194" s="42" t="inlineStr">
        <is>
          <t>Liwanag-Loakan</t>
        </is>
      </c>
      <c r="H1194" s="43" t="n">
        <v>16.37895</v>
      </c>
      <c r="I1194" s="43" t="n">
        <v>120.61223</v>
      </c>
      <c r="J1194" s="44" t="inlineStr">
        <is>
          <t>R</t>
        </is>
      </c>
      <c r="K1194" s="42" t="inlineStr">
        <is>
          <t>Class 1-3 / Urban</t>
        </is>
      </c>
      <c r="L1194" s="23" t="n">
        <v>4841</v>
      </c>
      <c r="M1194" s="24" t="n">
        <v>4.58</v>
      </c>
      <c r="N1194" s="23">
        <f>ROUND(L1194/M1194, 0)</f>
        <v/>
      </c>
      <c r="O1194" s="23">
        <f>ROUND(N1194*'Methodology &amp; Assumptions'!$B$8, 0)</f>
        <v/>
      </c>
      <c r="P1194" s="44" t="inlineStr">
        <is>
          <t>Band n50 (1.5 GHz, 60 MHz)</t>
        </is>
      </c>
      <c r="Q1194" s="38">
        <f>ROUNDUP(O1194/'Methodology &amp; Assumptions'!$B$9, 0)</f>
        <v/>
      </c>
      <c r="R1194" s="39" t="n">
        <v>1</v>
      </c>
      <c r="S1194" s="25" t="n">
        <v>3.04</v>
      </c>
      <c r="T1194" s="25" t="n">
        <v>2.86</v>
      </c>
      <c r="U1194" s="42" t="inlineStr">
        <is>
          <t>Tier 2 (Fiber Corridor / Lateral, 3-5 km)</t>
        </is>
      </c>
      <c r="V1194" s="24" t="n">
        <v>36.3</v>
      </c>
      <c r="W1194" s="24" t="n">
        <v>100</v>
      </c>
      <c r="X1194" s="24" t="n">
        <v>58</v>
      </c>
      <c r="Y1194" s="45">
        <f>ROUND((V1194*'Methodology &amp; Assumptions'!$B$6)+(W1194*'Methodology &amp; Assumptions'!$B$5)+(X1194*'Methodology &amp; Assumptions'!$B$7), 2)</f>
        <v/>
      </c>
    </row>
    <row r="1195" ht="19" customHeight="1">
      <c r="A1195" s="35" t="n">
        <v>191</v>
      </c>
      <c r="B1195" s="35" t="n">
        <v>4191</v>
      </c>
      <c r="C1195" s="36" t="inlineStr">
        <is>
          <t>0702232010</t>
        </is>
      </c>
      <c r="D1195" s="36" t="inlineStr">
        <is>
          <t>Region VII (Central Visayas)</t>
        </is>
      </c>
      <c r="E1195" s="36" t="inlineStr">
        <is>
          <t>Cebu</t>
        </is>
      </c>
      <c r="F1195" s="36" t="inlineStr">
        <is>
          <t>Minglanilla</t>
        </is>
      </c>
      <c r="G1195" s="36" t="inlineStr">
        <is>
          <t>Poblacion Ward I</t>
        </is>
      </c>
      <c r="H1195" s="37" t="n">
        <v>10.244515</v>
      </c>
      <c r="I1195" s="37" t="n">
        <v>123.798009</v>
      </c>
      <c r="J1195" s="8" t="inlineStr">
        <is>
          <t>U</t>
        </is>
      </c>
      <c r="K1195" s="36" t="inlineStr">
        <is>
          <t>Class 1-3 / Urban</t>
        </is>
      </c>
      <c r="L1195" s="18" t="n">
        <v>2306</v>
      </c>
      <c r="M1195" s="20" t="n">
        <v>4.42</v>
      </c>
      <c r="N1195" s="18">
        <f>ROUND(L1195/M1195, 0)</f>
        <v/>
      </c>
      <c r="O1195" s="18">
        <f>ROUND(N1195*'Methodology &amp; Assumptions'!$B$8, 0)</f>
        <v/>
      </c>
      <c r="P1195" s="8" t="inlineStr">
        <is>
          <t>Band n50 (1.5 GHz, 60 MHz)</t>
        </is>
      </c>
      <c r="Q1195" s="38">
        <f>ROUNDUP(O1195/'Methodology &amp; Assumptions'!$B$9, 0)</f>
        <v/>
      </c>
      <c r="R1195" s="39" t="n">
        <v>1</v>
      </c>
      <c r="S1195" s="21" t="n">
        <v>0.45</v>
      </c>
      <c r="T1195" s="21" t="n">
        <v>0.18</v>
      </c>
      <c r="U1195" s="36" t="inlineStr">
        <is>
          <t>Tier 1A (Direct Coloc, &lt;1 km)</t>
        </is>
      </c>
      <c r="V1195" s="20" t="n">
        <v>96.09999999999999</v>
      </c>
      <c r="W1195" s="20" t="n">
        <v>65.90000000000001</v>
      </c>
      <c r="X1195" s="20" t="n">
        <v>28</v>
      </c>
      <c r="Y1195" s="40">
        <f>ROUND((V1195*'Methodology &amp; Assumptions'!$B$6)+(W1195*'Methodology &amp; Assumptions'!$B$5)+(X1195*'Methodology &amp; Assumptions'!$B$7), 2)</f>
        <v/>
      </c>
    </row>
    <row r="1196" ht="19" customHeight="1">
      <c r="A1196" s="41" t="n">
        <v>192</v>
      </c>
      <c r="B1196" s="41" t="n">
        <v>4192</v>
      </c>
      <c r="C1196" s="42" t="inlineStr">
        <is>
          <t>1606706002</t>
        </is>
      </c>
      <c r="D1196" s="42" t="inlineStr">
        <is>
          <t>Region XIII (Caraga)</t>
        </is>
      </c>
      <c r="E1196" s="42" t="inlineStr">
        <is>
          <t>Surigao del Norte</t>
        </is>
      </c>
      <c r="F1196" s="42" t="inlineStr">
        <is>
          <t>Claver</t>
        </is>
      </c>
      <c r="G1196" s="42" t="inlineStr">
        <is>
          <t>Cagdianao</t>
        </is>
      </c>
      <c r="H1196" s="43" t="n">
        <v>9.529458</v>
      </c>
      <c r="I1196" s="43" t="n">
        <v>125.861461</v>
      </c>
      <c r="J1196" s="44" t="inlineStr">
        <is>
          <t>R</t>
        </is>
      </c>
      <c r="K1196" s="42" t="inlineStr">
        <is>
          <t>Class 1-3 / Urban</t>
        </is>
      </c>
      <c r="L1196" s="23" t="n">
        <v>4190</v>
      </c>
      <c r="M1196" s="24" t="n">
        <v>4.5</v>
      </c>
      <c r="N1196" s="23">
        <f>ROUND(L1196/M1196, 0)</f>
        <v/>
      </c>
      <c r="O1196" s="23">
        <f>ROUND(N1196*'Methodology &amp; Assumptions'!$B$8, 0)</f>
        <v/>
      </c>
      <c r="P1196" s="44" t="inlineStr">
        <is>
          <t>Band n50 (1.5 GHz, 60 MHz)</t>
        </is>
      </c>
      <c r="Q1196" s="38">
        <f>ROUNDUP(O1196/'Methodology &amp; Assumptions'!$B$9, 0)</f>
        <v/>
      </c>
      <c r="R1196" s="39" t="n">
        <v>1</v>
      </c>
      <c r="S1196" s="25" t="n">
        <v>20.35</v>
      </c>
      <c r="T1196" s="25" t="n">
        <v>0.11</v>
      </c>
      <c r="U1196" s="42" t="inlineStr">
        <is>
          <t>Tier 2 (Fiber Corridor / Lateral, 3-5 km)</t>
        </is>
      </c>
      <c r="V1196" s="24" t="n">
        <v>25</v>
      </c>
      <c r="W1196" s="24" t="n">
        <v>98.40000000000001</v>
      </c>
      <c r="X1196" s="24" t="n">
        <v>73</v>
      </c>
      <c r="Y1196" s="45">
        <f>ROUND((V1196*'Methodology &amp; Assumptions'!$B$6)+(W1196*'Methodology &amp; Assumptions'!$B$5)+(X1196*'Methodology &amp; Assumptions'!$B$7), 2)</f>
        <v/>
      </c>
    </row>
    <row r="1197" ht="19" customHeight="1">
      <c r="A1197" s="35" t="n">
        <v>193</v>
      </c>
      <c r="B1197" s="35" t="n">
        <v>4193</v>
      </c>
      <c r="C1197" s="36" t="inlineStr">
        <is>
          <t>0304912028</t>
        </is>
      </c>
      <c r="D1197" s="36" t="inlineStr">
        <is>
          <t>Region III (Central Luzon)</t>
        </is>
      </c>
      <c r="E1197" s="36" t="inlineStr">
        <is>
          <t>Nueva Ecija</t>
        </is>
      </c>
      <c r="F1197" s="36" t="inlineStr">
        <is>
          <t>Jaen</t>
        </is>
      </c>
      <c r="G1197" s="36" t="inlineStr">
        <is>
          <t>Santo Tomas South</t>
        </is>
      </c>
      <c r="H1197" s="37" t="n">
        <v>15.352967</v>
      </c>
      <c r="I1197" s="37" t="n">
        <v>120.91338</v>
      </c>
      <c r="J1197" s="8" t="inlineStr">
        <is>
          <t>R</t>
        </is>
      </c>
      <c r="K1197" s="36" t="inlineStr">
        <is>
          <t>Class 1-3 / Urban</t>
        </is>
      </c>
      <c r="L1197" s="18" t="n">
        <v>4940</v>
      </c>
      <c r="M1197" s="20" t="n">
        <v>4.32</v>
      </c>
      <c r="N1197" s="18">
        <f>ROUND(L1197/M1197, 0)</f>
        <v/>
      </c>
      <c r="O1197" s="18">
        <f>ROUND(N1197*'Methodology &amp; Assumptions'!$B$8, 0)</f>
        <v/>
      </c>
      <c r="P1197" s="8" t="inlineStr">
        <is>
          <t>Band n50 (1.5 GHz, 60 MHz)</t>
        </is>
      </c>
      <c r="Q1197" s="38">
        <f>ROUNDUP(O1197/'Methodology &amp; Assumptions'!$B$9, 0)</f>
        <v/>
      </c>
      <c r="R1197" s="39" t="n">
        <v>1</v>
      </c>
      <c r="S1197" s="21" t="n">
        <v>3.04</v>
      </c>
      <c r="T1197" s="21" t="n">
        <v>2.75</v>
      </c>
      <c r="U1197" s="36" t="inlineStr">
        <is>
          <t>Tier 2 (Fiber Corridor / Lateral, 3-5 km)</t>
        </is>
      </c>
      <c r="V1197" s="20" t="n">
        <v>36.3</v>
      </c>
      <c r="W1197" s="20" t="n">
        <v>100</v>
      </c>
      <c r="X1197" s="20" t="n">
        <v>58</v>
      </c>
      <c r="Y1197" s="40">
        <f>ROUND((V1197*'Methodology &amp; Assumptions'!$B$6)+(W1197*'Methodology &amp; Assumptions'!$B$5)+(X1197*'Methodology &amp; Assumptions'!$B$7), 2)</f>
        <v/>
      </c>
    </row>
    <row r="1198" ht="19" customHeight="1">
      <c r="A1198" s="41" t="n">
        <v>194</v>
      </c>
      <c r="B1198" s="41" t="n">
        <v>4194</v>
      </c>
      <c r="C1198" s="42" t="inlineStr">
        <is>
          <t>1004302019</t>
        </is>
      </c>
      <c r="D1198" s="42" t="inlineStr">
        <is>
          <t>Region X (Northern Mindanao)</t>
        </is>
      </c>
      <c r="E1198" s="42" t="inlineStr">
        <is>
          <t>Misamis Oriental</t>
        </is>
      </c>
      <c r="F1198" s="42" t="inlineStr">
        <is>
          <t>Balingasag</t>
        </is>
      </c>
      <c r="G1198" s="42" t="inlineStr">
        <is>
          <t>Napaliran</t>
        </is>
      </c>
      <c r="H1198" s="43" t="n">
        <v>8.773353</v>
      </c>
      <c r="I1198" s="43" t="n">
        <v>124.794064</v>
      </c>
      <c r="J1198" s="44" t="inlineStr">
        <is>
          <t>R</t>
        </is>
      </c>
      <c r="K1198" s="42" t="inlineStr">
        <is>
          <t>Class 1-3 / Urban</t>
        </is>
      </c>
      <c r="L1198" s="23" t="n">
        <v>3672</v>
      </c>
      <c r="M1198" s="24" t="n">
        <v>4.54</v>
      </c>
      <c r="N1198" s="23">
        <f>ROUND(L1198/M1198, 0)</f>
        <v/>
      </c>
      <c r="O1198" s="23">
        <f>ROUND(N1198*'Methodology &amp; Assumptions'!$B$8, 0)</f>
        <v/>
      </c>
      <c r="P1198" s="44" t="inlineStr">
        <is>
          <t>Band n50 (1.5 GHz, 60 MHz)</t>
        </is>
      </c>
      <c r="Q1198" s="38">
        <f>ROUNDUP(O1198/'Methodology &amp; Assumptions'!$B$9, 0)</f>
        <v/>
      </c>
      <c r="R1198" s="39" t="n">
        <v>1</v>
      </c>
      <c r="S1198" s="25" t="n">
        <v>2.95</v>
      </c>
      <c r="T1198" s="25" t="n">
        <v>1.14</v>
      </c>
      <c r="U1198" s="42" t="inlineStr">
        <is>
          <t>Tier 1B (Micro Drop, 1-3 km)</t>
        </is>
      </c>
      <c r="V1198" s="24" t="n">
        <v>47.5</v>
      </c>
      <c r="W1198" s="24" t="n">
        <v>88.8</v>
      </c>
      <c r="X1198" s="24" t="n">
        <v>58</v>
      </c>
      <c r="Y1198" s="45">
        <f>ROUND((V1198*'Methodology &amp; Assumptions'!$B$6)+(W1198*'Methodology &amp; Assumptions'!$B$5)+(X1198*'Methodology &amp; Assumptions'!$B$7), 2)</f>
        <v/>
      </c>
    </row>
    <row r="1199" ht="19" customHeight="1">
      <c r="A1199" s="35" t="n">
        <v>195</v>
      </c>
      <c r="B1199" s="35" t="n">
        <v>4195</v>
      </c>
      <c r="C1199" s="36" t="inlineStr">
        <is>
          <t>0304906025</t>
        </is>
      </c>
      <c r="D1199" s="36" t="inlineStr">
        <is>
          <t>Region III (Central Luzon)</t>
        </is>
      </c>
      <c r="E1199" s="36" t="inlineStr">
        <is>
          <t>Nueva Ecija</t>
        </is>
      </c>
      <c r="F1199" s="36" t="inlineStr">
        <is>
          <t>Cuyapo</t>
        </is>
      </c>
      <c r="G1199" s="36" t="inlineStr">
        <is>
          <t>District VIII</t>
        </is>
      </c>
      <c r="H1199" s="37" t="n">
        <v>15.781149</v>
      </c>
      <c r="I1199" s="37" t="n">
        <v>120.66147</v>
      </c>
      <c r="J1199" s="8" t="inlineStr">
        <is>
          <t>R</t>
        </is>
      </c>
      <c r="K1199" s="36" t="inlineStr">
        <is>
          <t>Class 1-3 / Urban</t>
        </is>
      </c>
      <c r="L1199" s="18" t="n">
        <v>1269</v>
      </c>
      <c r="M1199" s="20" t="n">
        <v>4.32</v>
      </c>
      <c r="N1199" s="18">
        <f>ROUND(L1199/M1199, 0)</f>
        <v/>
      </c>
      <c r="O1199" s="18">
        <f>ROUND(N1199*'Methodology &amp; Assumptions'!$B$8, 0)</f>
        <v/>
      </c>
      <c r="P1199" s="8" t="inlineStr">
        <is>
          <t>Band n50 (1.5 GHz, 60 MHz)</t>
        </is>
      </c>
      <c r="Q1199" s="38">
        <f>ROUNDUP(O1199/'Methodology &amp; Assumptions'!$B$9, 0)</f>
        <v/>
      </c>
      <c r="R1199" s="39" t="n">
        <v>1</v>
      </c>
      <c r="S1199" s="21" t="n">
        <v>0.36</v>
      </c>
      <c r="T1199" s="21" t="n">
        <v>5.99</v>
      </c>
      <c r="U1199" s="36" t="inlineStr">
        <is>
          <t>Tier 1A (Direct Coloc, &lt;1 km)</t>
        </is>
      </c>
      <c r="V1199" s="20" t="n">
        <v>88.8</v>
      </c>
      <c r="W1199" s="20" t="n">
        <v>47.5</v>
      </c>
      <c r="X1199" s="20" t="n">
        <v>58</v>
      </c>
      <c r="Y1199" s="40">
        <f>ROUND((V1199*'Methodology &amp; Assumptions'!$B$6)+(W1199*'Methodology &amp; Assumptions'!$B$5)+(X1199*'Methodology &amp; Assumptions'!$B$7), 2)</f>
        <v/>
      </c>
    </row>
    <row r="1200" ht="19" customHeight="1">
      <c r="A1200" s="41" t="n">
        <v>196</v>
      </c>
      <c r="B1200" s="41" t="n">
        <v>4196</v>
      </c>
      <c r="C1200" s="42" t="inlineStr">
        <is>
          <t>0304931030</t>
        </is>
      </c>
      <c r="D1200" s="42" t="inlineStr">
        <is>
          <t>Region III (Central Luzon)</t>
        </is>
      </c>
      <c r="E1200" s="42" t="inlineStr">
        <is>
          <t>Nueva Ecija</t>
        </is>
      </c>
      <c r="F1200" s="42" t="inlineStr">
        <is>
          <t>Talugtug</t>
        </is>
      </c>
      <c r="G1200" s="42" t="inlineStr">
        <is>
          <t>Villa Boado</t>
        </is>
      </c>
      <c r="H1200" s="43" t="n">
        <v>15.585783</v>
      </c>
      <c r="I1200" s="43" t="n">
        <v>120.924577</v>
      </c>
      <c r="J1200" s="44" t="inlineStr">
        <is>
          <t>R</t>
        </is>
      </c>
      <c r="K1200" s="42" t="inlineStr">
        <is>
          <t>3rd</t>
        </is>
      </c>
      <c r="L1200" s="23" t="n">
        <v>1192</v>
      </c>
      <c r="M1200" s="24" t="n">
        <v>4.09</v>
      </c>
      <c r="N1200" s="23">
        <f>ROUND(L1200/M1200, 0)</f>
        <v/>
      </c>
      <c r="O1200" s="23">
        <f>ROUND(N1200*'Methodology &amp; Assumptions'!$B$8, 0)</f>
        <v/>
      </c>
      <c r="P1200" s="44" t="inlineStr">
        <is>
          <t>Band n50 (1.5 GHz, 60 MHz)</t>
        </is>
      </c>
      <c r="Q1200" s="38">
        <f>ROUNDUP(O1200/'Methodology &amp; Assumptions'!$B$9, 0)</f>
        <v/>
      </c>
      <c r="R1200" s="39" t="n">
        <v>1</v>
      </c>
      <c r="S1200" s="25" t="n">
        <v>0.71</v>
      </c>
      <c r="T1200" s="25" t="n">
        <v>0.52</v>
      </c>
      <c r="U1200" s="42" t="inlineStr">
        <is>
          <t>Tier 1A (Direct Coloc, &lt;1 km)</t>
        </is>
      </c>
      <c r="V1200" s="24" t="n">
        <v>89</v>
      </c>
      <c r="W1200" s="24" t="n">
        <v>47.2</v>
      </c>
      <c r="X1200" s="24" t="n">
        <v>58</v>
      </c>
      <c r="Y1200" s="45">
        <f>ROUND((V1200*'Methodology &amp; Assumptions'!$B$6)+(W1200*'Methodology &amp; Assumptions'!$B$5)+(X1200*'Methodology &amp; Assumptions'!$B$7), 2)</f>
        <v/>
      </c>
    </row>
    <row r="1201" ht="19" customHeight="1">
      <c r="A1201" s="35" t="n">
        <v>197</v>
      </c>
      <c r="B1201" s="35" t="n">
        <v>4197</v>
      </c>
      <c r="C1201" s="36" t="inlineStr">
        <is>
          <t>0401029003</t>
        </is>
      </c>
      <c r="D1201" s="36" t="inlineStr">
        <is>
          <t>Region IV-A (CALABARZON)</t>
        </is>
      </c>
      <c r="E1201" s="36" t="inlineStr">
        <is>
          <t>Batangas</t>
        </is>
      </c>
      <c r="F1201" s="36" t="inlineStr">
        <is>
          <t>Taal</t>
        </is>
      </c>
      <c r="G1201" s="36" t="inlineStr">
        <is>
          <t>Bihis</t>
        </is>
      </c>
      <c r="H1201" s="37" t="n">
        <v>13.878535</v>
      </c>
      <c r="I1201" s="37" t="n">
        <v>120.965943</v>
      </c>
      <c r="J1201" s="8" t="inlineStr">
        <is>
          <t>R</t>
        </is>
      </c>
      <c r="K1201" s="36" t="inlineStr">
        <is>
          <t>Class 1-3 / Urban</t>
        </is>
      </c>
      <c r="L1201" s="18" t="n">
        <v>710</v>
      </c>
      <c r="M1201" s="20" t="n">
        <v>4.62</v>
      </c>
      <c r="N1201" s="18">
        <f>ROUND(L1201/M1201, 0)</f>
        <v/>
      </c>
      <c r="O1201" s="18">
        <f>ROUND(N1201*'Methodology &amp; Assumptions'!$B$8, 0)</f>
        <v/>
      </c>
      <c r="P1201" s="8" t="inlineStr">
        <is>
          <t>Band n50 (1.5 GHz, 60 MHz)</t>
        </is>
      </c>
      <c r="Q1201" s="38">
        <f>ROUNDUP(O1201/'Methodology &amp; Assumptions'!$B$9, 0)</f>
        <v/>
      </c>
      <c r="R1201" s="39" t="n">
        <v>1</v>
      </c>
      <c r="S1201" s="21" t="n">
        <v>0.06</v>
      </c>
      <c r="T1201" s="21" t="n">
        <v>0.21</v>
      </c>
      <c r="U1201" s="36" t="inlineStr">
        <is>
          <t>Tier 1A (Direct Coloc, &lt;1 km)</t>
        </is>
      </c>
      <c r="V1201" s="20" t="n">
        <v>100</v>
      </c>
      <c r="W1201" s="20" t="n">
        <v>36.3</v>
      </c>
      <c r="X1201" s="20" t="n">
        <v>58</v>
      </c>
      <c r="Y1201" s="40">
        <f>ROUND((V1201*'Methodology &amp; Assumptions'!$B$6)+(W1201*'Methodology &amp; Assumptions'!$B$5)+(X1201*'Methodology &amp; Assumptions'!$B$7), 2)</f>
        <v/>
      </c>
    </row>
    <row r="1202" ht="19" customHeight="1">
      <c r="A1202" s="41" t="n">
        <v>198</v>
      </c>
      <c r="B1202" s="41" t="n">
        <v>4198</v>
      </c>
      <c r="C1202" s="42" t="inlineStr">
        <is>
          <t>0500503008</t>
        </is>
      </c>
      <c r="D1202" s="42" t="inlineStr">
        <is>
          <t>Region V (Bicol Region)</t>
        </is>
      </c>
      <c r="E1202" s="42" t="inlineStr">
        <is>
          <t>Albay</t>
        </is>
      </c>
      <c r="F1202" s="42" t="inlineStr">
        <is>
          <t>Daraga</t>
        </is>
      </c>
      <c r="G1202" s="42" t="inlineStr">
        <is>
          <t>Bascaran</t>
        </is>
      </c>
      <c r="H1202" s="43" t="n">
        <v>13.103559</v>
      </c>
      <c r="I1202" s="43" t="n">
        <v>123.698032</v>
      </c>
      <c r="J1202" s="44" t="inlineStr">
        <is>
          <t>R</t>
        </is>
      </c>
      <c r="K1202" s="42" t="inlineStr">
        <is>
          <t>Class 1-3 / Urban</t>
        </is>
      </c>
      <c r="L1202" s="23" t="n">
        <v>4809</v>
      </c>
      <c r="M1202" s="24" t="n">
        <v>4.67</v>
      </c>
      <c r="N1202" s="23">
        <f>ROUND(L1202/M1202, 0)</f>
        <v/>
      </c>
      <c r="O1202" s="23">
        <f>ROUND(N1202*'Methodology &amp; Assumptions'!$B$8, 0)</f>
        <v/>
      </c>
      <c r="P1202" s="44" t="inlineStr">
        <is>
          <t>Band n50 (1.5 GHz, 60 MHz)</t>
        </is>
      </c>
      <c r="Q1202" s="38">
        <f>ROUNDUP(O1202/'Methodology &amp; Assumptions'!$B$9, 0)</f>
        <v/>
      </c>
      <c r="R1202" s="39" t="n">
        <v>1</v>
      </c>
      <c r="S1202" s="25" t="n">
        <v>4.02</v>
      </c>
      <c r="T1202" s="25" t="n">
        <v>0.33</v>
      </c>
      <c r="U1202" s="42" t="inlineStr">
        <is>
          <t>Tier 2 (Fiber Corridor / Lateral, 3-5 km)</t>
        </is>
      </c>
      <c r="V1202" s="24" t="n">
        <v>36.2</v>
      </c>
      <c r="W1202" s="24" t="n">
        <v>100</v>
      </c>
      <c r="X1202" s="24" t="n">
        <v>58</v>
      </c>
      <c r="Y1202" s="45">
        <f>ROUND((V1202*'Methodology &amp; Assumptions'!$B$6)+(W1202*'Methodology &amp; Assumptions'!$B$5)+(X1202*'Methodology &amp; Assumptions'!$B$7), 2)</f>
        <v/>
      </c>
    </row>
    <row r="1203" ht="19" customHeight="1">
      <c r="A1203" s="35" t="n">
        <v>199</v>
      </c>
      <c r="B1203" s="35" t="n">
        <v>4199</v>
      </c>
      <c r="C1203" s="36" t="inlineStr">
        <is>
          <t>0401014029</t>
        </is>
      </c>
      <c r="D1203" s="36" t="inlineStr">
        <is>
          <t>Region IV-A (CALABARZON)</t>
        </is>
      </c>
      <c r="E1203" s="36" t="inlineStr">
        <is>
          <t>Batangas</t>
        </is>
      </c>
      <c r="F1203" s="36" t="inlineStr">
        <is>
          <t>City of Lipa</t>
        </is>
      </c>
      <c r="G1203" s="36" t="inlineStr">
        <is>
          <t>Malitlit</t>
        </is>
      </c>
      <c r="H1203" s="37" t="n">
        <v>13.91823</v>
      </c>
      <c r="I1203" s="37" t="n">
        <v>121.235023</v>
      </c>
      <c r="J1203" s="8" t="inlineStr">
        <is>
          <t>R</t>
        </is>
      </c>
      <c r="K1203" s="36" t="inlineStr">
        <is>
          <t>Class 1-3 / Urban</t>
        </is>
      </c>
      <c r="L1203" s="18" t="n">
        <v>2526</v>
      </c>
      <c r="M1203" s="20" t="n">
        <v>4.62</v>
      </c>
      <c r="N1203" s="18">
        <f>ROUND(L1203/M1203, 0)</f>
        <v/>
      </c>
      <c r="O1203" s="18">
        <f>ROUND(N1203*'Methodology &amp; Assumptions'!$B$8, 0)</f>
        <v/>
      </c>
      <c r="P1203" s="8" t="inlineStr">
        <is>
          <t>Band n50 (1.5 GHz, 60 MHz)</t>
        </is>
      </c>
      <c r="Q1203" s="38">
        <f>ROUNDUP(O1203/'Methodology &amp; Assumptions'!$B$9, 0)</f>
        <v/>
      </c>
      <c r="R1203" s="39" t="n">
        <v>1</v>
      </c>
      <c r="S1203" s="21" t="n">
        <v>1.14</v>
      </c>
      <c r="T1203" s="21" t="n">
        <v>3.47</v>
      </c>
      <c r="U1203" s="36" t="inlineStr">
        <is>
          <t>Tier 1B (Micro Drop, 1-3 km)</t>
        </is>
      </c>
      <c r="V1203" s="20" t="n">
        <v>68.5</v>
      </c>
      <c r="W1203" s="20" t="n">
        <v>67.7</v>
      </c>
      <c r="X1203" s="20" t="n">
        <v>58</v>
      </c>
      <c r="Y1203" s="40">
        <f>ROUND((V1203*'Methodology &amp; Assumptions'!$B$6)+(W1203*'Methodology &amp; Assumptions'!$B$5)+(X1203*'Methodology &amp; Assumptions'!$B$7), 2)</f>
        <v/>
      </c>
    </row>
    <row r="1204" ht="19" customHeight="1">
      <c r="A1204" s="41" t="n">
        <v>200</v>
      </c>
      <c r="B1204" s="41" t="n">
        <v>4200</v>
      </c>
      <c r="C1204" s="42" t="inlineStr">
        <is>
          <t>0405620030</t>
        </is>
      </c>
      <c r="D1204" s="42" t="inlineStr">
        <is>
          <t>Region IV-A (CALABARZON)</t>
        </is>
      </c>
      <c r="E1204" s="42" t="inlineStr">
        <is>
          <t>Quezon</t>
        </is>
      </c>
      <c r="F1204" s="42" t="inlineStr">
        <is>
          <t>Infanta</t>
        </is>
      </c>
      <c r="G1204" s="42" t="inlineStr">
        <is>
          <t>Miswa</t>
        </is>
      </c>
      <c r="H1204" s="43" t="n">
        <v>14.741227</v>
      </c>
      <c r="I1204" s="43" t="n">
        <v>121.655403</v>
      </c>
      <c r="J1204" s="44" t="inlineStr">
        <is>
          <t>R</t>
        </is>
      </c>
      <c r="K1204" s="42" t="inlineStr">
        <is>
          <t>Class 1-3 / Urban</t>
        </is>
      </c>
      <c r="L1204" s="23" t="n">
        <v>2456</v>
      </c>
      <c r="M1204" s="24" t="n">
        <v>4.46</v>
      </c>
      <c r="N1204" s="23">
        <f>ROUND(L1204/M1204, 0)</f>
        <v/>
      </c>
      <c r="O1204" s="23">
        <f>ROUND(N1204*'Methodology &amp; Assumptions'!$B$8, 0)</f>
        <v/>
      </c>
      <c r="P1204" s="44" t="inlineStr">
        <is>
          <t>Band n50 (1.5 GHz, 60 MHz)</t>
        </is>
      </c>
      <c r="Q1204" s="38">
        <f>ROUNDUP(O1204/'Methodology &amp; Assumptions'!$B$9, 0)</f>
        <v/>
      </c>
      <c r="R1204" s="39" t="n">
        <v>1</v>
      </c>
      <c r="S1204" s="25" t="n">
        <v>1.15</v>
      </c>
      <c r="T1204" s="25" t="n">
        <v>40.42</v>
      </c>
      <c r="U1204" s="42" t="inlineStr">
        <is>
          <t>Tier 1B (Micro Drop, 1-3 km)</t>
        </is>
      </c>
      <c r="V1204" s="24" t="n">
        <v>68.2</v>
      </c>
      <c r="W1204" s="24" t="n">
        <v>68</v>
      </c>
      <c r="X1204" s="24" t="n">
        <v>58</v>
      </c>
      <c r="Y1204" s="45">
        <f>ROUND((V1204*'Methodology &amp; Assumptions'!$B$6)+(W1204*'Methodology &amp; Assumptions'!$B$5)+(X1204*'Methodology &amp; Assumptions'!$B$7), 2)</f>
        <v/>
      </c>
    </row>
    <row r="1205" ht="19" customHeight="1">
      <c r="A1205" s="35" t="n">
        <v>201</v>
      </c>
      <c r="B1205" s="35" t="n">
        <v>4201</v>
      </c>
      <c r="C1205" s="36" t="inlineStr">
        <is>
          <t>0401007036</t>
        </is>
      </c>
      <c r="D1205" s="36" t="inlineStr">
        <is>
          <t>Region IV-A (CALABARZON)</t>
        </is>
      </c>
      <c r="E1205" s="36" t="inlineStr">
        <is>
          <t>Batangas</t>
        </is>
      </c>
      <c r="F1205" s="36" t="inlineStr">
        <is>
          <t>City of Calaca</t>
        </is>
      </c>
      <c r="G1205" s="36" t="inlineStr">
        <is>
          <t>Quisumbing</t>
        </is>
      </c>
      <c r="H1205" s="37" t="n">
        <v>13.930221</v>
      </c>
      <c r="I1205" s="37" t="n">
        <v>120.799639</v>
      </c>
      <c r="J1205" s="8" t="inlineStr">
        <is>
          <t>R</t>
        </is>
      </c>
      <c r="K1205" s="36" t="inlineStr">
        <is>
          <t>Class 1-3 / Urban</t>
        </is>
      </c>
      <c r="L1205" s="18" t="n">
        <v>2297</v>
      </c>
      <c r="M1205" s="20" t="n">
        <v>4.62</v>
      </c>
      <c r="N1205" s="18">
        <f>ROUND(L1205/M1205, 0)</f>
        <v/>
      </c>
      <c r="O1205" s="18">
        <f>ROUND(N1205*'Methodology &amp; Assumptions'!$B$8, 0)</f>
        <v/>
      </c>
      <c r="P1205" s="8" t="inlineStr">
        <is>
          <t>Band n50 (1.5 GHz, 60 MHz)</t>
        </is>
      </c>
      <c r="Q1205" s="38">
        <f>ROUNDUP(O1205/'Methodology &amp; Assumptions'!$B$9, 0)</f>
        <v/>
      </c>
      <c r="R1205" s="39" t="n">
        <v>1</v>
      </c>
      <c r="S1205" s="21" t="n">
        <v>1.41</v>
      </c>
      <c r="T1205" s="21" t="n">
        <v>0.79</v>
      </c>
      <c r="U1205" s="36" t="inlineStr">
        <is>
          <t>Tier 1B (Micro Drop, 1-3 km)</t>
        </is>
      </c>
      <c r="V1205" s="20" t="n">
        <v>72.5</v>
      </c>
      <c r="W1205" s="20" t="n">
        <v>63.7</v>
      </c>
      <c r="X1205" s="20" t="n">
        <v>58</v>
      </c>
      <c r="Y1205" s="40">
        <f>ROUND((V1205*'Methodology &amp; Assumptions'!$B$6)+(W1205*'Methodology &amp; Assumptions'!$B$5)+(X1205*'Methodology &amp; Assumptions'!$B$7), 2)</f>
        <v/>
      </c>
    </row>
    <row r="1206" ht="19" customHeight="1">
      <c r="A1206" s="41" t="n">
        <v>202</v>
      </c>
      <c r="B1206" s="41" t="n">
        <v>4202</v>
      </c>
      <c r="C1206" s="42" t="inlineStr">
        <is>
          <t>0102820018</t>
        </is>
      </c>
      <c r="D1206" s="42" t="inlineStr">
        <is>
          <t>Region I (Ilocos Region)</t>
        </is>
      </c>
      <c r="E1206" s="42" t="inlineStr">
        <is>
          <t>Ilocos Norte</t>
        </is>
      </c>
      <c r="F1206" s="42" t="inlineStr">
        <is>
          <t>San Nicolas</t>
        </is>
      </c>
      <c r="G1206" s="42" t="inlineStr">
        <is>
          <t>San Paulo</t>
        </is>
      </c>
      <c r="H1206" s="43" t="n">
        <v>18.166272</v>
      </c>
      <c r="I1206" s="43" t="n">
        <v>120.595178</v>
      </c>
      <c r="J1206" s="44" t="inlineStr">
        <is>
          <t>R</t>
        </is>
      </c>
      <c r="K1206" s="42" t="inlineStr">
        <is>
          <t>Class 1-3 / Urban</t>
        </is>
      </c>
      <c r="L1206" s="23" t="n">
        <v>945</v>
      </c>
      <c r="M1206" s="24" t="n">
        <v>4.35</v>
      </c>
      <c r="N1206" s="23">
        <f>ROUND(L1206/M1206, 0)</f>
        <v/>
      </c>
      <c r="O1206" s="23">
        <f>ROUND(N1206*'Methodology &amp; Assumptions'!$B$8, 0)</f>
        <v/>
      </c>
      <c r="P1206" s="44" t="inlineStr">
        <is>
          <t>Band n50 (1.5 GHz, 60 MHz)</t>
        </is>
      </c>
      <c r="Q1206" s="38">
        <f>ROUNDUP(O1206/'Methodology &amp; Assumptions'!$B$9, 0)</f>
        <v/>
      </c>
      <c r="R1206" s="39" t="n">
        <v>1</v>
      </c>
      <c r="S1206" s="25" t="n">
        <v>0.49</v>
      </c>
      <c r="T1206" s="25" t="n">
        <v>0.51</v>
      </c>
      <c r="U1206" s="42" t="inlineStr">
        <is>
          <t>Tier 1A (Direct Coloc, &lt;1 km)</t>
        </is>
      </c>
      <c r="V1206" s="24" t="n">
        <v>94.90000000000001</v>
      </c>
      <c r="W1206" s="24" t="n">
        <v>41.3</v>
      </c>
      <c r="X1206" s="24" t="n">
        <v>58</v>
      </c>
      <c r="Y1206" s="45">
        <f>ROUND((V1206*'Methodology &amp; Assumptions'!$B$6)+(W1206*'Methodology &amp; Assumptions'!$B$5)+(X1206*'Methodology &amp; Assumptions'!$B$7), 2)</f>
        <v/>
      </c>
    </row>
    <row r="1207" ht="19" customHeight="1">
      <c r="A1207" s="35" t="n">
        <v>203</v>
      </c>
      <c r="B1207" s="35" t="n">
        <v>4203</v>
      </c>
      <c r="C1207" s="36" t="inlineStr">
        <is>
          <t>0301403005</t>
        </is>
      </c>
      <c r="D1207" s="36" t="inlineStr">
        <is>
          <t>Region III (Central Luzon)</t>
        </is>
      </c>
      <c r="E1207" s="36" t="inlineStr">
        <is>
          <t>Bulacan</t>
        </is>
      </c>
      <c r="F1207" s="36" t="inlineStr">
        <is>
          <t>Baliuag</t>
        </is>
      </c>
      <c r="G1207" s="36" t="inlineStr">
        <is>
          <t>Concepcion</t>
        </is>
      </c>
      <c r="H1207" s="37" t="n">
        <v>14.965331</v>
      </c>
      <c r="I1207" s="37" t="n">
        <v>120.88432</v>
      </c>
      <c r="J1207" s="8" t="inlineStr">
        <is>
          <t>U</t>
        </is>
      </c>
      <c r="K1207" s="36" t="inlineStr">
        <is>
          <t>Class 1-3 / Urban</t>
        </is>
      </c>
      <c r="L1207" s="18" t="n">
        <v>10159</v>
      </c>
      <c r="M1207" s="20" t="n">
        <v>4.1</v>
      </c>
      <c r="N1207" s="18">
        <f>ROUND(L1207/M1207, 0)</f>
        <v/>
      </c>
      <c r="O1207" s="18">
        <f>ROUND(N1207*'Methodology &amp; Assumptions'!$B$8, 0)</f>
        <v/>
      </c>
      <c r="P1207" s="8" t="inlineStr">
        <is>
          <t>Band n50 (1.5 GHz, 60 MHz)</t>
        </is>
      </c>
      <c r="Q1207" s="38">
        <f>ROUNDUP(O1207/'Methodology &amp; Assumptions'!$B$9, 0)</f>
        <v/>
      </c>
      <c r="R1207" s="39" t="n">
        <v>1</v>
      </c>
      <c r="S1207" s="21" t="n">
        <v>1.97</v>
      </c>
      <c r="T1207" s="21" t="n">
        <v>0.9399999999999999</v>
      </c>
      <c r="U1207" s="36" t="inlineStr">
        <is>
          <t>Tier 1B (Micro Drop, 1-3 km)</t>
        </is>
      </c>
      <c r="V1207" s="20" t="n">
        <v>61.9</v>
      </c>
      <c r="W1207" s="20" t="n">
        <v>100</v>
      </c>
      <c r="X1207" s="20" t="n">
        <v>28</v>
      </c>
      <c r="Y1207" s="40">
        <f>ROUND((V1207*'Methodology &amp; Assumptions'!$B$6)+(W1207*'Methodology &amp; Assumptions'!$B$5)+(X1207*'Methodology &amp; Assumptions'!$B$7), 2)</f>
        <v/>
      </c>
    </row>
    <row r="1208" ht="19" customHeight="1">
      <c r="A1208" s="41" t="n">
        <v>204</v>
      </c>
      <c r="B1208" s="41" t="n">
        <v>4204</v>
      </c>
      <c r="C1208" s="42" t="inlineStr">
        <is>
          <t>0631000036</t>
        </is>
      </c>
      <c r="D1208" s="42" t="inlineStr">
        <is>
          <t>Region VI (Western Visayas)</t>
        </is>
      </c>
      <c r="E1208" s="42" t="inlineStr">
        <is>
          <t>Iloilo</t>
        </is>
      </c>
      <c r="F1208" s="42" t="inlineStr">
        <is>
          <t>City of Iloilo</t>
        </is>
      </c>
      <c r="G1208" s="42" t="inlineStr">
        <is>
          <t>Compania</t>
        </is>
      </c>
      <c r="H1208" s="43" t="n">
        <v>10.68922</v>
      </c>
      <c r="I1208" s="43" t="n">
        <v>122.536236</v>
      </c>
      <c r="J1208" s="44" t="inlineStr">
        <is>
          <t>U</t>
        </is>
      </c>
      <c r="K1208" s="42" t="inlineStr">
        <is>
          <t>Class 1-3 / Urban</t>
        </is>
      </c>
      <c r="L1208" s="23" t="n">
        <v>3257</v>
      </c>
      <c r="M1208" s="24" t="n">
        <v>4.39</v>
      </c>
      <c r="N1208" s="23">
        <f>ROUND(L1208/M1208, 0)</f>
        <v/>
      </c>
      <c r="O1208" s="23">
        <f>ROUND(N1208*'Methodology &amp; Assumptions'!$B$8, 0)</f>
        <v/>
      </c>
      <c r="P1208" s="44" t="inlineStr">
        <is>
          <t>Band n50 (1.5 GHz, 60 MHz)</t>
        </is>
      </c>
      <c r="Q1208" s="38">
        <f>ROUNDUP(O1208/'Methodology &amp; Assumptions'!$B$9, 0)</f>
        <v/>
      </c>
      <c r="R1208" s="39" t="n">
        <v>1</v>
      </c>
      <c r="S1208" s="25" t="n">
        <v>0.73</v>
      </c>
      <c r="T1208" s="25" t="n">
        <v>3.8</v>
      </c>
      <c r="U1208" s="42" t="inlineStr">
        <is>
          <t>Tier 1A (Direct Coloc, &lt;1 km)</t>
        </is>
      </c>
      <c r="V1208" s="24" t="n">
        <v>78.5</v>
      </c>
      <c r="W1208" s="24" t="n">
        <v>83.5</v>
      </c>
      <c r="X1208" s="24" t="n">
        <v>28</v>
      </c>
      <c r="Y1208" s="45">
        <f>ROUND((V1208*'Methodology &amp; Assumptions'!$B$6)+(W1208*'Methodology &amp; Assumptions'!$B$5)+(X1208*'Methodology &amp; Assumptions'!$B$7), 2)</f>
        <v/>
      </c>
    </row>
    <row r="1209" ht="19" customHeight="1">
      <c r="A1209" s="35" t="n">
        <v>205</v>
      </c>
      <c r="B1209" s="35" t="n">
        <v>4205</v>
      </c>
      <c r="C1209" s="36" t="inlineStr">
        <is>
          <t>0301417002</t>
        </is>
      </c>
      <c r="D1209" s="36" t="inlineStr">
        <is>
          <t>Region III (Central Luzon)</t>
        </is>
      </c>
      <c r="E1209" s="36" t="inlineStr">
        <is>
          <t>Bulacan</t>
        </is>
      </c>
      <c r="F1209" s="36" t="inlineStr">
        <is>
          <t>Plaridel</t>
        </is>
      </c>
      <c r="G1209" s="36" t="inlineStr">
        <is>
          <t>Bagong Silang</t>
        </is>
      </c>
      <c r="H1209" s="37" t="n">
        <v>14.867659</v>
      </c>
      <c r="I1209" s="37" t="n">
        <v>120.879617</v>
      </c>
      <c r="J1209" s="8" t="inlineStr">
        <is>
          <t>R</t>
        </is>
      </c>
      <c r="K1209" s="36" t="inlineStr">
        <is>
          <t>Class 1-3 / Urban</t>
        </is>
      </c>
      <c r="L1209" s="18" t="n">
        <v>4237</v>
      </c>
      <c r="M1209" s="20" t="n">
        <v>4.1</v>
      </c>
      <c r="N1209" s="18">
        <f>ROUND(L1209/M1209, 0)</f>
        <v/>
      </c>
      <c r="O1209" s="18">
        <f>ROUND(N1209*'Methodology &amp; Assumptions'!$B$8, 0)</f>
        <v/>
      </c>
      <c r="P1209" s="8" t="inlineStr">
        <is>
          <t>Band n50 (1.5 GHz, 60 MHz)</t>
        </is>
      </c>
      <c r="Q1209" s="38">
        <f>ROUNDUP(O1209/'Methodology &amp; Assumptions'!$B$9, 0)</f>
        <v/>
      </c>
      <c r="R1209" s="39" t="n">
        <v>1</v>
      </c>
      <c r="S1209" s="21" t="n">
        <v>4.37</v>
      </c>
      <c r="T1209" s="21" t="n">
        <v>2.02</v>
      </c>
      <c r="U1209" s="36" t="inlineStr">
        <is>
          <t>Tier 2 (Fiber Corridor / Lateral, 3-5 km)</t>
        </is>
      </c>
      <c r="V1209" s="20" t="n">
        <v>23.3</v>
      </c>
      <c r="W1209" s="20" t="n">
        <v>100</v>
      </c>
      <c r="X1209" s="20" t="n">
        <v>73</v>
      </c>
      <c r="Y1209" s="40">
        <f>ROUND((V1209*'Methodology &amp; Assumptions'!$B$6)+(W1209*'Methodology &amp; Assumptions'!$B$5)+(X1209*'Methodology &amp; Assumptions'!$B$7), 2)</f>
        <v/>
      </c>
    </row>
    <row r="1210" ht="19" customHeight="1">
      <c r="A1210" s="41" t="n">
        <v>206</v>
      </c>
      <c r="B1210" s="41" t="n">
        <v>4206</v>
      </c>
      <c r="C1210" s="42" t="inlineStr">
        <is>
          <t>0203107002</t>
        </is>
      </c>
      <c r="D1210" s="42" t="inlineStr">
        <is>
          <t>Region II (Cagayan Valley)</t>
        </is>
      </c>
      <c r="E1210" s="42" t="inlineStr">
        <is>
          <t>Isabela</t>
        </is>
      </c>
      <c r="F1210" s="42" t="inlineStr">
        <is>
          <t>Cabatuan</t>
        </is>
      </c>
      <c r="G1210" s="42" t="inlineStr">
        <is>
          <t>Calaocan</t>
        </is>
      </c>
      <c r="H1210" s="43" t="n">
        <v>17.50352</v>
      </c>
      <c r="I1210" s="43" t="n">
        <v>121.606153</v>
      </c>
      <c r="J1210" s="44" t="inlineStr">
        <is>
          <t>R</t>
        </is>
      </c>
      <c r="K1210" s="42" t="inlineStr">
        <is>
          <t>Class 1-3 / Urban</t>
        </is>
      </c>
      <c r="L1210" s="23" t="n">
        <v>1387</v>
      </c>
      <c r="M1210" s="24" t="n">
        <v>4.3</v>
      </c>
      <c r="N1210" s="23">
        <f>ROUND(L1210/M1210, 0)</f>
        <v/>
      </c>
      <c r="O1210" s="23">
        <f>ROUND(N1210*'Methodology &amp; Assumptions'!$B$8, 0)</f>
        <v/>
      </c>
      <c r="P1210" s="44" t="inlineStr">
        <is>
          <t>Band n50 (1.5 GHz, 60 MHz)</t>
        </is>
      </c>
      <c r="Q1210" s="38">
        <f>ROUNDUP(O1210/'Methodology &amp; Assumptions'!$B$9, 0)</f>
        <v/>
      </c>
      <c r="R1210" s="39" t="n">
        <v>1</v>
      </c>
      <c r="S1210" s="25" t="n">
        <v>1.36</v>
      </c>
      <c r="T1210" s="25" t="n">
        <v>0.35</v>
      </c>
      <c r="U1210" s="42" t="inlineStr">
        <is>
          <t>Tier 1B (Micro Drop, 1-3 km)</t>
        </is>
      </c>
      <c r="V1210" s="24" t="n">
        <v>73.5</v>
      </c>
      <c r="W1210" s="24" t="n">
        <v>49.9</v>
      </c>
      <c r="X1210" s="24" t="n">
        <v>73</v>
      </c>
      <c r="Y1210" s="45">
        <f>ROUND((V1210*'Methodology &amp; Assumptions'!$B$6)+(W1210*'Methodology &amp; Assumptions'!$B$5)+(X1210*'Methodology &amp; Assumptions'!$B$7), 2)</f>
        <v/>
      </c>
    </row>
    <row r="1211" ht="19" customHeight="1">
      <c r="A1211" s="35" t="n">
        <v>207</v>
      </c>
      <c r="B1211" s="35" t="n">
        <v>4207</v>
      </c>
      <c r="C1211" s="36" t="inlineStr">
        <is>
          <t>0105532018</t>
        </is>
      </c>
      <c r="D1211" s="36" t="inlineStr">
        <is>
          <t>Region I (Ilocos Region)</t>
        </is>
      </c>
      <c r="E1211" s="36" t="inlineStr">
        <is>
          <t>Pangasinan</t>
        </is>
      </c>
      <c r="F1211" s="36" t="inlineStr">
        <is>
          <t>City of San Carlos</t>
        </is>
      </c>
      <c r="G1211" s="36" t="inlineStr">
        <is>
          <t>Bolingit</t>
        </is>
      </c>
      <c r="H1211" s="37" t="n">
        <v>15.955956</v>
      </c>
      <c r="I1211" s="37" t="n">
        <v>120.348824</v>
      </c>
      <c r="J1211" s="8" t="inlineStr">
        <is>
          <t>R</t>
        </is>
      </c>
      <c r="K1211" s="36" t="inlineStr">
        <is>
          <t>Class 1-3 / Urban</t>
        </is>
      </c>
      <c r="L1211" s="18" t="n">
        <v>3679</v>
      </c>
      <c r="M1211" s="20" t="n">
        <v>4.39</v>
      </c>
      <c r="N1211" s="18">
        <f>ROUND(L1211/M1211, 0)</f>
        <v/>
      </c>
      <c r="O1211" s="18">
        <f>ROUND(N1211*'Methodology &amp; Assumptions'!$B$8, 0)</f>
        <v/>
      </c>
      <c r="P1211" s="8" t="inlineStr">
        <is>
          <t>Band n50 (1.5 GHz, 60 MHz)</t>
        </is>
      </c>
      <c r="Q1211" s="38">
        <f>ROUNDUP(O1211/'Methodology &amp; Assumptions'!$B$9, 0)</f>
        <v/>
      </c>
      <c r="R1211" s="39" t="n">
        <v>1</v>
      </c>
      <c r="S1211" s="21" t="n">
        <v>3.13</v>
      </c>
      <c r="T1211" s="21" t="n">
        <v>0.19</v>
      </c>
      <c r="U1211" s="36" t="inlineStr">
        <is>
          <t>Tier 2 (Fiber Corridor / Lateral, 3-5 km)</t>
        </is>
      </c>
      <c r="V1211" s="20" t="n">
        <v>45.3</v>
      </c>
      <c r="W1211" s="20" t="n">
        <v>90.90000000000001</v>
      </c>
      <c r="X1211" s="20" t="n">
        <v>58</v>
      </c>
      <c r="Y1211" s="40">
        <f>ROUND((V1211*'Methodology &amp; Assumptions'!$B$6)+(W1211*'Methodology &amp; Assumptions'!$B$5)+(X1211*'Methodology &amp; Assumptions'!$B$7), 2)</f>
        <v/>
      </c>
    </row>
    <row r="1212" ht="19" customHeight="1">
      <c r="A1212" s="41" t="n">
        <v>208</v>
      </c>
      <c r="B1212" s="41" t="n">
        <v>4208</v>
      </c>
      <c r="C1212" s="42" t="inlineStr">
        <is>
          <t>0401003008</t>
        </is>
      </c>
      <c r="D1212" s="42" t="inlineStr">
        <is>
          <t>Region IV-A (CALABARZON)</t>
        </is>
      </c>
      <c r="E1212" s="42" t="inlineStr">
        <is>
          <t>Batangas</t>
        </is>
      </c>
      <c r="F1212" s="42" t="inlineStr">
        <is>
          <t>Balayan</t>
        </is>
      </c>
      <c r="G1212" s="42" t="inlineStr">
        <is>
          <t>Barangay 3</t>
        </is>
      </c>
      <c r="H1212" s="43" t="n">
        <v>13.939044</v>
      </c>
      <c r="I1212" s="43" t="n">
        <v>120.733917</v>
      </c>
      <c r="J1212" s="44" t="inlineStr">
        <is>
          <t>R</t>
        </is>
      </c>
      <c r="K1212" s="42" t="inlineStr">
        <is>
          <t>Class 1-3 / Urban</t>
        </is>
      </c>
      <c r="L1212" s="23" t="n">
        <v>1475</v>
      </c>
      <c r="M1212" s="24" t="n">
        <v>4.62</v>
      </c>
      <c r="N1212" s="23">
        <f>ROUND(L1212/M1212, 0)</f>
        <v/>
      </c>
      <c r="O1212" s="23">
        <f>ROUND(N1212*'Methodology &amp; Assumptions'!$B$8, 0)</f>
        <v/>
      </c>
      <c r="P1212" s="44" t="inlineStr">
        <is>
          <t>Band n50 (1.5 GHz, 60 MHz)</t>
        </is>
      </c>
      <c r="Q1212" s="38">
        <f>ROUNDUP(O1212/'Methodology &amp; Assumptions'!$B$9, 0)</f>
        <v/>
      </c>
      <c r="R1212" s="39" t="n">
        <v>1</v>
      </c>
      <c r="S1212" s="25" t="n">
        <v>0.8</v>
      </c>
      <c r="T1212" s="25" t="n">
        <v>0.11</v>
      </c>
      <c r="U1212" s="42" t="inlineStr">
        <is>
          <t>Tier 1A (Direct Coloc, &lt;1 km)</t>
        </is>
      </c>
      <c r="V1212" s="24" t="n">
        <v>86.59999999999999</v>
      </c>
      <c r="W1212" s="24" t="n">
        <v>49.6</v>
      </c>
      <c r="X1212" s="24" t="n">
        <v>58</v>
      </c>
      <c r="Y1212" s="45">
        <f>ROUND((V1212*'Methodology &amp; Assumptions'!$B$6)+(W1212*'Methodology &amp; Assumptions'!$B$5)+(X1212*'Methodology &amp; Assumptions'!$B$7), 2)</f>
        <v/>
      </c>
    </row>
    <row r="1213" ht="19" customHeight="1">
      <c r="A1213" s="35" t="n">
        <v>209</v>
      </c>
      <c r="B1213" s="35" t="n">
        <v>4209</v>
      </c>
      <c r="C1213" s="36" t="inlineStr">
        <is>
          <t>0402118050</t>
        </is>
      </c>
      <c r="D1213" s="36" t="inlineStr">
        <is>
          <t>Region IV-A (CALABARZON)</t>
        </is>
      </c>
      <c r="E1213" s="36" t="inlineStr">
        <is>
          <t>Cavite</t>
        </is>
      </c>
      <c r="F1213" s="36" t="inlineStr">
        <is>
          <t>Silang</t>
        </is>
      </c>
      <c r="G1213" s="36" t="inlineStr">
        <is>
          <t>Anahaw I</t>
        </is>
      </c>
      <c r="H1213" s="37" t="n">
        <v>14.272018</v>
      </c>
      <c r="I1213" s="37" t="n">
        <v>120.994121</v>
      </c>
      <c r="J1213" s="8" t="inlineStr">
        <is>
          <t>U</t>
        </is>
      </c>
      <c r="K1213" s="36" t="inlineStr">
        <is>
          <t>Class 1-3 / Urban</t>
        </is>
      </c>
      <c r="L1213" s="18" t="n">
        <v>5228</v>
      </c>
      <c r="M1213" s="20" t="n">
        <v>4.49</v>
      </c>
      <c r="N1213" s="18">
        <f>ROUND(L1213/M1213, 0)</f>
        <v/>
      </c>
      <c r="O1213" s="18">
        <f>ROUND(N1213*'Methodology &amp; Assumptions'!$B$8, 0)</f>
        <v/>
      </c>
      <c r="P1213" s="8" t="inlineStr">
        <is>
          <t>Band n50 (1.5 GHz, 60 MHz)</t>
        </is>
      </c>
      <c r="Q1213" s="38">
        <f>ROUNDUP(O1213/'Methodology &amp; Assumptions'!$B$9, 0)</f>
        <v/>
      </c>
      <c r="R1213" s="39" t="n">
        <v>1</v>
      </c>
      <c r="S1213" s="21" t="n">
        <v>1.44</v>
      </c>
      <c r="T1213" s="21" t="n">
        <v>2.84</v>
      </c>
      <c r="U1213" s="36" t="inlineStr">
        <is>
          <t>Tier 1B (Micro Drop, 1-3 km)</t>
        </is>
      </c>
      <c r="V1213" s="20" t="n">
        <v>61.9</v>
      </c>
      <c r="W1213" s="20" t="n">
        <v>100</v>
      </c>
      <c r="X1213" s="20" t="n">
        <v>28</v>
      </c>
      <c r="Y1213" s="40">
        <f>ROUND((V1213*'Methodology &amp; Assumptions'!$B$6)+(W1213*'Methodology &amp; Assumptions'!$B$5)+(X1213*'Methodology &amp; Assumptions'!$B$7), 2)</f>
        <v/>
      </c>
    </row>
    <row r="1214" ht="19" customHeight="1">
      <c r="A1214" s="41" t="n">
        <v>210</v>
      </c>
      <c r="B1214" s="41" t="n">
        <v>4210</v>
      </c>
      <c r="C1214" s="42" t="inlineStr">
        <is>
          <t>0630200041</t>
        </is>
      </c>
      <c r="D1214" s="42" t="inlineStr">
        <is>
          <t>Region VI (Western Visayas)</t>
        </is>
      </c>
      <c r="E1214" s="42" t="inlineStr">
        <is>
          <t>Negros Occidental</t>
        </is>
      </c>
      <c r="F1214" s="42" t="inlineStr">
        <is>
          <t>City of Bacolod</t>
        </is>
      </c>
      <c r="G1214" s="42" t="inlineStr">
        <is>
          <t>Barangay 6</t>
        </is>
      </c>
      <c r="H1214" s="43" t="n">
        <v>10.679385</v>
      </c>
      <c r="I1214" s="43" t="n">
        <v>122.949999</v>
      </c>
      <c r="J1214" s="44" t="inlineStr">
        <is>
          <t>R</t>
        </is>
      </c>
      <c r="K1214" s="42" t="inlineStr">
        <is>
          <t>Class 1-3 / Urban</t>
        </is>
      </c>
      <c r="L1214" s="23" t="n">
        <v>2147</v>
      </c>
      <c r="M1214" s="24" t="n">
        <v>4.33</v>
      </c>
      <c r="N1214" s="23">
        <f>ROUND(L1214/M1214, 0)</f>
        <v/>
      </c>
      <c r="O1214" s="23">
        <f>ROUND(N1214*'Methodology &amp; Assumptions'!$B$8, 0)</f>
        <v/>
      </c>
      <c r="P1214" s="44" t="inlineStr">
        <is>
          <t>Band n50 (1.5 GHz, 60 MHz)</t>
        </is>
      </c>
      <c r="Q1214" s="38">
        <f>ROUNDUP(O1214/'Methodology &amp; Assumptions'!$B$9, 0)</f>
        <v/>
      </c>
      <c r="R1214" s="39" t="n">
        <v>1</v>
      </c>
      <c r="S1214" s="25" t="n">
        <v>1.41</v>
      </c>
      <c r="T1214" s="25" t="n">
        <v>0.5</v>
      </c>
      <c r="U1214" s="42" t="inlineStr">
        <is>
          <t>Tier 1B (Micro Drop, 1-3 km)</t>
        </is>
      </c>
      <c r="V1214" s="24" t="n">
        <v>72.40000000000001</v>
      </c>
      <c r="W1214" s="24" t="n">
        <v>63.7</v>
      </c>
      <c r="X1214" s="24" t="n">
        <v>58</v>
      </c>
      <c r="Y1214" s="45">
        <f>ROUND((V1214*'Methodology &amp; Assumptions'!$B$6)+(W1214*'Methodology &amp; Assumptions'!$B$5)+(X1214*'Methodology &amp; Assumptions'!$B$7), 2)</f>
        <v/>
      </c>
    </row>
    <row r="1215" ht="19" customHeight="1">
      <c r="A1215" s="35" t="n">
        <v>211</v>
      </c>
      <c r="B1215" s="35" t="n">
        <v>4211</v>
      </c>
      <c r="C1215" s="36" t="inlineStr">
        <is>
          <t>0307110002</t>
        </is>
      </c>
      <c r="D1215" s="36" t="inlineStr">
        <is>
          <t>Region III (Central Luzon)</t>
        </is>
      </c>
      <c r="E1215" s="36" t="inlineStr">
        <is>
          <t>Zambales</t>
        </is>
      </c>
      <c r="F1215" s="36" t="inlineStr">
        <is>
          <t>San Felipe</t>
        </is>
      </c>
      <c r="G1215" s="36" t="inlineStr">
        <is>
          <t>Apostol</t>
        </is>
      </c>
      <c r="H1215" s="37" t="n">
        <v>15.05533</v>
      </c>
      <c r="I1215" s="37" t="n">
        <v>120.082411</v>
      </c>
      <c r="J1215" s="8" t="inlineStr">
        <is>
          <t>R</t>
        </is>
      </c>
      <c r="K1215" s="36" t="inlineStr">
        <is>
          <t>3rd</t>
        </is>
      </c>
      <c r="L1215" s="18" t="n">
        <v>1974</v>
      </c>
      <c r="M1215" s="20" t="n">
        <v>4.04</v>
      </c>
      <c r="N1215" s="18">
        <f>ROUND(L1215/M1215, 0)</f>
        <v/>
      </c>
      <c r="O1215" s="18">
        <f>ROUND(N1215*'Methodology &amp; Assumptions'!$B$8, 0)</f>
        <v/>
      </c>
      <c r="P1215" s="8" t="inlineStr">
        <is>
          <t>Band n50 (1.5 GHz, 60 MHz)</t>
        </is>
      </c>
      <c r="Q1215" s="38">
        <f>ROUNDUP(O1215/'Methodology &amp; Assumptions'!$B$9, 0)</f>
        <v/>
      </c>
      <c r="R1215" s="39" t="n">
        <v>1</v>
      </c>
      <c r="S1215" s="21" t="n">
        <v>1.39</v>
      </c>
      <c r="T1215" s="21" t="n">
        <v>1.19</v>
      </c>
      <c r="U1215" s="36" t="inlineStr">
        <is>
          <t>Tier 1B (Micro Drop, 1-3 km)</t>
        </is>
      </c>
      <c r="V1215" s="20" t="n">
        <v>73</v>
      </c>
      <c r="W1215" s="20" t="n">
        <v>63.2</v>
      </c>
      <c r="X1215" s="20" t="n">
        <v>58</v>
      </c>
      <c r="Y1215" s="40">
        <f>ROUND((V1215*'Methodology &amp; Assumptions'!$B$6)+(W1215*'Methodology &amp; Assumptions'!$B$5)+(X1215*'Methodology &amp; Assumptions'!$B$7), 2)</f>
        <v/>
      </c>
    </row>
    <row r="1216" ht="19" customHeight="1">
      <c r="A1216" s="41" t="n">
        <v>212</v>
      </c>
      <c r="B1216" s="41" t="n">
        <v>4212</v>
      </c>
      <c r="C1216" s="42" t="inlineStr">
        <is>
          <t>0500516022</t>
        </is>
      </c>
      <c r="D1216" s="42" t="inlineStr">
        <is>
          <t>Region V (Bicol Region)</t>
        </is>
      </c>
      <c r="E1216" s="42" t="inlineStr">
        <is>
          <t>Albay</t>
        </is>
      </c>
      <c r="F1216" s="42" t="inlineStr">
        <is>
          <t>Santo Domingo</t>
        </is>
      </c>
      <c r="G1216" s="42" t="inlineStr">
        <is>
          <t>San Roque</t>
        </is>
      </c>
      <c r="H1216" s="43" t="n">
        <v>13.244915</v>
      </c>
      <c r="I1216" s="43" t="n">
        <v>123.772298</v>
      </c>
      <c r="J1216" s="44" t="inlineStr">
        <is>
          <t>R</t>
        </is>
      </c>
      <c r="K1216" s="42" t="inlineStr">
        <is>
          <t>2nd</t>
        </is>
      </c>
      <c r="L1216" s="23" t="n">
        <v>1793</v>
      </c>
      <c r="M1216" s="24" t="n">
        <v>4.65</v>
      </c>
      <c r="N1216" s="23">
        <f>ROUND(L1216/M1216, 0)</f>
        <v/>
      </c>
      <c r="O1216" s="23">
        <f>ROUND(N1216*'Methodology &amp; Assumptions'!$B$8, 0)</f>
        <v/>
      </c>
      <c r="P1216" s="44" t="inlineStr">
        <is>
          <t>Band n50 (1.5 GHz, 60 MHz)</t>
        </is>
      </c>
      <c r="Q1216" s="38">
        <f>ROUNDUP(O1216/'Methodology &amp; Assumptions'!$B$9, 0)</f>
        <v/>
      </c>
      <c r="R1216" s="39" t="n">
        <v>1</v>
      </c>
      <c r="S1216" s="25" t="n">
        <v>1.02</v>
      </c>
      <c r="T1216" s="25" t="n">
        <v>0.15</v>
      </c>
      <c r="U1216" s="42" t="inlineStr">
        <is>
          <t>Tier 1B (Micro Drop, 1-3 km)</t>
        </is>
      </c>
      <c r="V1216" s="24" t="n">
        <v>81.2</v>
      </c>
      <c r="W1216" s="24" t="n">
        <v>54.9</v>
      </c>
      <c r="X1216" s="24" t="n">
        <v>58</v>
      </c>
      <c r="Y1216" s="45">
        <f>ROUND((V1216*'Methodology &amp; Assumptions'!$B$6)+(W1216*'Methodology &amp; Assumptions'!$B$5)+(X1216*'Methodology &amp; Assumptions'!$B$7), 2)</f>
        <v/>
      </c>
    </row>
    <row r="1217" ht="19" customHeight="1">
      <c r="A1217" s="35" t="n">
        <v>213</v>
      </c>
      <c r="B1217" s="35" t="n">
        <v>4213</v>
      </c>
      <c r="C1217" s="36" t="inlineStr">
        <is>
          <t>0403412007</t>
        </is>
      </c>
      <c r="D1217" s="36" t="inlineStr">
        <is>
          <t>Region IV-A (CALABARZON)</t>
        </is>
      </c>
      <c r="E1217" s="36" t="inlineStr">
        <is>
          <t>Laguna</t>
        </is>
      </c>
      <c r="F1217" s="36" t="inlineStr">
        <is>
          <t>Luisiana</t>
        </is>
      </c>
      <c r="G1217" s="36" t="inlineStr">
        <is>
          <t>Barangay Zone VI</t>
        </is>
      </c>
      <c r="H1217" s="37" t="n">
        <v>14.185499</v>
      </c>
      <c r="I1217" s="37" t="n">
        <v>121.512199</v>
      </c>
      <c r="J1217" s="8" t="inlineStr">
        <is>
          <t>R</t>
        </is>
      </c>
      <c r="K1217" s="36" t="inlineStr">
        <is>
          <t>4th</t>
        </is>
      </c>
      <c r="L1217" s="18" t="n">
        <v>531</v>
      </c>
      <c r="M1217" s="20" t="n">
        <v>4.07</v>
      </c>
      <c r="N1217" s="18">
        <f>ROUND(L1217/M1217, 0)</f>
        <v/>
      </c>
      <c r="O1217" s="18">
        <f>ROUND(N1217*'Methodology &amp; Assumptions'!$B$8, 0)</f>
        <v/>
      </c>
      <c r="P1217" s="8" t="inlineStr">
        <is>
          <t>Band n50 (1.5 GHz, 60 MHz)</t>
        </is>
      </c>
      <c r="Q1217" s="38">
        <f>ROUNDUP(O1217/'Methodology &amp; Assumptions'!$B$9, 0)</f>
        <v/>
      </c>
      <c r="R1217" s="39" t="n">
        <v>1</v>
      </c>
      <c r="S1217" s="21" t="n">
        <v>0.67</v>
      </c>
      <c r="T1217" s="21" t="n">
        <v>4.31</v>
      </c>
      <c r="U1217" s="36" t="inlineStr">
        <is>
          <t>Tier 1A (Direct Coloc, &lt;1 km)</t>
        </is>
      </c>
      <c r="V1217" s="20" t="n">
        <v>79.90000000000001</v>
      </c>
      <c r="W1217" s="20" t="n">
        <v>34.4</v>
      </c>
      <c r="X1217" s="20" t="n">
        <v>83.5</v>
      </c>
      <c r="Y1217" s="40">
        <f>ROUND((V1217*'Methodology &amp; Assumptions'!$B$6)+(W1217*'Methodology &amp; Assumptions'!$B$5)+(X1217*'Methodology &amp; Assumptions'!$B$7), 2)</f>
        <v/>
      </c>
    </row>
    <row r="1218" ht="19" customHeight="1">
      <c r="A1218" s="41" t="n">
        <v>214</v>
      </c>
      <c r="B1218" s="41" t="n">
        <v>4214</v>
      </c>
      <c r="C1218" s="42" t="inlineStr">
        <is>
          <t>0307114023</t>
        </is>
      </c>
      <c r="D1218" s="42" t="inlineStr">
        <is>
          <t>Region III (Central Luzon)</t>
        </is>
      </c>
      <c r="E1218" s="42" t="inlineStr">
        <is>
          <t>Zambales</t>
        </is>
      </c>
      <c r="F1218" s="42" t="inlineStr">
        <is>
          <t>Subic</t>
        </is>
      </c>
      <c r="G1218" s="42" t="inlineStr">
        <is>
          <t>Wawandue</t>
        </is>
      </c>
      <c r="H1218" s="43" t="n">
        <v>14.878058</v>
      </c>
      <c r="I1218" s="43" t="n">
        <v>120.231354</v>
      </c>
      <c r="J1218" s="44" t="inlineStr">
        <is>
          <t>R</t>
        </is>
      </c>
      <c r="K1218" s="42" t="inlineStr">
        <is>
          <t>Class 1-3 / Urban</t>
        </is>
      </c>
      <c r="L1218" s="23" t="n">
        <v>1344</v>
      </c>
      <c r="M1218" s="24" t="n">
        <v>4.05</v>
      </c>
      <c r="N1218" s="23">
        <f>ROUND(L1218/M1218, 0)</f>
        <v/>
      </c>
      <c r="O1218" s="23">
        <f>ROUND(N1218*'Methodology &amp; Assumptions'!$B$8, 0)</f>
        <v/>
      </c>
      <c r="P1218" s="44" t="inlineStr">
        <is>
          <t>Band n50 (1.5 GHz, 60 MHz)</t>
        </is>
      </c>
      <c r="Q1218" s="38">
        <f>ROUNDUP(O1218/'Methodology &amp; Assumptions'!$B$9, 0)</f>
        <v/>
      </c>
      <c r="R1218" s="39" t="n">
        <v>1</v>
      </c>
      <c r="S1218" s="25" t="n">
        <v>1.4</v>
      </c>
      <c r="T1218" s="25" t="n">
        <v>0.32</v>
      </c>
      <c r="U1218" s="42" t="inlineStr">
        <is>
          <t>Tier 1B (Micro Drop, 1-3 km)</t>
        </is>
      </c>
      <c r="V1218" s="24" t="n">
        <v>72.59999999999999</v>
      </c>
      <c r="W1218" s="24" t="n">
        <v>50.7</v>
      </c>
      <c r="X1218" s="24" t="n">
        <v>73</v>
      </c>
      <c r="Y1218" s="45">
        <f>ROUND((V1218*'Methodology &amp; Assumptions'!$B$6)+(W1218*'Methodology &amp; Assumptions'!$B$5)+(X1218*'Methodology &amp; Assumptions'!$B$7), 2)</f>
        <v/>
      </c>
    </row>
    <row r="1219" ht="19" customHeight="1">
      <c r="A1219" s="35" t="n">
        <v>215</v>
      </c>
      <c r="B1219" s="35" t="n">
        <v>4215</v>
      </c>
      <c r="C1219" s="36" t="inlineStr">
        <is>
          <t>0402119015</t>
        </is>
      </c>
      <c r="D1219" s="36" t="inlineStr">
        <is>
          <t>Region IV-A (CALABARZON)</t>
        </is>
      </c>
      <c r="E1219" s="36" t="inlineStr">
        <is>
          <t>Cavite</t>
        </is>
      </c>
      <c r="F1219" s="36" t="inlineStr">
        <is>
          <t>City of Tagaytay</t>
        </is>
      </c>
      <c r="G1219" s="36" t="inlineStr">
        <is>
          <t>Patutong Malaki South</t>
        </is>
      </c>
      <c r="H1219" s="37" t="n">
        <v>14.107037</v>
      </c>
      <c r="I1219" s="37" t="n">
        <v>120.917348</v>
      </c>
      <c r="J1219" s="8" t="inlineStr">
        <is>
          <t>R</t>
        </is>
      </c>
      <c r="K1219" s="36" t="inlineStr">
        <is>
          <t>Class 1-3 / Urban</t>
        </is>
      </c>
      <c r="L1219" s="18" t="n">
        <v>4229</v>
      </c>
      <c r="M1219" s="20" t="n">
        <v>4.49</v>
      </c>
      <c r="N1219" s="18">
        <f>ROUND(L1219/M1219, 0)</f>
        <v/>
      </c>
      <c r="O1219" s="18">
        <f>ROUND(N1219*'Methodology &amp; Assumptions'!$B$8, 0)</f>
        <v/>
      </c>
      <c r="P1219" s="8" t="inlineStr">
        <is>
          <t>Band n50 (1.5 GHz, 60 MHz)</t>
        </is>
      </c>
      <c r="Q1219" s="38">
        <f>ROUNDUP(O1219/'Methodology &amp; Assumptions'!$B$9, 0)</f>
        <v/>
      </c>
      <c r="R1219" s="39" t="n">
        <v>1</v>
      </c>
      <c r="S1219" s="21" t="n">
        <v>3.97</v>
      </c>
      <c r="T1219" s="21" t="n">
        <v>1.05</v>
      </c>
      <c r="U1219" s="36" t="inlineStr">
        <is>
          <t>Tier 2 (Fiber Corridor / Lateral, 3-5 km)</t>
        </is>
      </c>
      <c r="V1219" s="20" t="n">
        <v>36.7</v>
      </c>
      <c r="W1219" s="20" t="n">
        <v>99.5</v>
      </c>
      <c r="X1219" s="20" t="n">
        <v>58</v>
      </c>
      <c r="Y1219" s="40">
        <f>ROUND((V1219*'Methodology &amp; Assumptions'!$B$6)+(W1219*'Methodology &amp; Assumptions'!$B$5)+(X1219*'Methodology &amp; Assumptions'!$B$7), 2)</f>
        <v/>
      </c>
    </row>
    <row r="1220" ht="19" customHeight="1">
      <c r="A1220" s="41" t="n">
        <v>216</v>
      </c>
      <c r="B1220" s="41" t="n">
        <v>4216</v>
      </c>
      <c r="C1220" s="42" t="inlineStr">
        <is>
          <t>1705205017</t>
        </is>
      </c>
      <c r="D1220" s="42" t="inlineStr">
        <is>
          <t>MIMAROPA Region</t>
        </is>
      </c>
      <c r="E1220" s="42" t="inlineStr">
        <is>
          <t>Oriental Mindoro</t>
        </is>
      </c>
      <c r="F1220" s="42" t="inlineStr">
        <is>
          <t>City of Calapan</t>
        </is>
      </c>
      <c r="G1220" s="42" t="inlineStr">
        <is>
          <t>Canubing I</t>
        </is>
      </c>
      <c r="H1220" s="43" t="n">
        <v>13.357196</v>
      </c>
      <c r="I1220" s="43" t="n">
        <v>121.137652</v>
      </c>
      <c r="J1220" s="44" t="inlineStr">
        <is>
          <t>R</t>
        </is>
      </c>
      <c r="K1220" s="42" t="inlineStr">
        <is>
          <t>Class 1-3 / Urban</t>
        </is>
      </c>
      <c r="L1220" s="23" t="n">
        <v>3949</v>
      </c>
      <c r="M1220" s="24" t="n">
        <v>4.41</v>
      </c>
      <c r="N1220" s="23">
        <f>ROUND(L1220/M1220, 0)</f>
        <v/>
      </c>
      <c r="O1220" s="23">
        <f>ROUND(N1220*'Methodology &amp; Assumptions'!$B$8, 0)</f>
        <v/>
      </c>
      <c r="P1220" s="44" t="inlineStr">
        <is>
          <t>Band n50 (1.5 GHz, 60 MHz)</t>
        </is>
      </c>
      <c r="Q1220" s="38">
        <f>ROUNDUP(O1220/'Methodology &amp; Assumptions'!$B$9, 0)</f>
        <v/>
      </c>
      <c r="R1220" s="39" t="n">
        <v>1</v>
      </c>
      <c r="S1220" s="25" t="n">
        <v>3.18</v>
      </c>
      <c r="T1220" s="25" t="n">
        <v>0.37</v>
      </c>
      <c r="U1220" s="42" t="inlineStr">
        <is>
          <t>Tier 2 (Fiber Corridor / Lateral, 3-5 km)</t>
        </is>
      </c>
      <c r="V1220" s="24" t="n">
        <v>44.7</v>
      </c>
      <c r="W1220" s="24" t="n">
        <v>91.5</v>
      </c>
      <c r="X1220" s="24" t="n">
        <v>58</v>
      </c>
      <c r="Y1220" s="45">
        <f>ROUND((V1220*'Methodology &amp; Assumptions'!$B$6)+(W1220*'Methodology &amp; Assumptions'!$B$5)+(X1220*'Methodology &amp; Assumptions'!$B$7), 2)</f>
        <v/>
      </c>
    </row>
    <row r="1221" ht="19" customHeight="1">
      <c r="A1221" s="35" t="n">
        <v>217</v>
      </c>
      <c r="B1221" s="35" t="n">
        <v>4217</v>
      </c>
      <c r="C1221" s="36" t="inlineStr">
        <is>
          <t>0405603001</t>
        </is>
      </c>
      <c r="D1221" s="36" t="inlineStr">
        <is>
          <t>Region IV-A (CALABARZON)</t>
        </is>
      </c>
      <c r="E1221" s="36" t="inlineStr">
        <is>
          <t>Quezon</t>
        </is>
      </c>
      <c r="F1221" s="36" t="inlineStr">
        <is>
          <t>Atimonan</t>
        </is>
      </c>
      <c r="G1221" s="36" t="inlineStr">
        <is>
          <t>Angeles</t>
        </is>
      </c>
      <c r="H1221" s="37" t="n">
        <v>13.99339</v>
      </c>
      <c r="I1221" s="37" t="n">
        <v>121.938045</v>
      </c>
      <c r="J1221" s="8" t="inlineStr">
        <is>
          <t>R</t>
        </is>
      </c>
      <c r="K1221" s="36" t="inlineStr">
        <is>
          <t>Class 1-3 / Urban</t>
        </is>
      </c>
      <c r="L1221" s="18" t="n">
        <v>2417</v>
      </c>
      <c r="M1221" s="20" t="n">
        <v>4.46</v>
      </c>
      <c r="N1221" s="18">
        <f>ROUND(L1221/M1221, 0)</f>
        <v/>
      </c>
      <c r="O1221" s="18">
        <f>ROUND(N1221*'Methodology &amp; Assumptions'!$B$8, 0)</f>
        <v/>
      </c>
      <c r="P1221" s="8" t="inlineStr">
        <is>
          <t>Band n50 (1.5 GHz, 60 MHz)</t>
        </is>
      </c>
      <c r="Q1221" s="38">
        <f>ROUNDUP(O1221/'Methodology &amp; Assumptions'!$B$9, 0)</f>
        <v/>
      </c>
      <c r="R1221" s="39" t="n">
        <v>1</v>
      </c>
      <c r="S1221" s="21" t="n">
        <v>1.6</v>
      </c>
      <c r="T1221" s="21" t="n">
        <v>0.15</v>
      </c>
      <c r="U1221" s="36" t="inlineStr">
        <is>
          <t>Tier 1B (Micro Drop, 1-3 km)</t>
        </is>
      </c>
      <c r="V1221" s="20" t="n">
        <v>68.7</v>
      </c>
      <c r="W1221" s="20" t="n">
        <v>67.5</v>
      </c>
      <c r="X1221" s="20" t="n">
        <v>58</v>
      </c>
      <c r="Y1221" s="40">
        <f>ROUND((V1221*'Methodology &amp; Assumptions'!$B$6)+(W1221*'Methodology &amp; Assumptions'!$B$5)+(X1221*'Methodology &amp; Assumptions'!$B$7), 2)</f>
        <v/>
      </c>
    </row>
    <row r="1222" ht="19" customHeight="1">
      <c r="A1222" s="41" t="n">
        <v>218</v>
      </c>
      <c r="B1222" s="41" t="n">
        <v>4218</v>
      </c>
      <c r="C1222" s="42" t="inlineStr">
        <is>
          <t>0702202005</t>
        </is>
      </c>
      <c r="D1222" s="42" t="inlineStr">
        <is>
          <t>Region VII (Central Visayas)</t>
        </is>
      </c>
      <c r="E1222" s="42" t="inlineStr">
        <is>
          <t>Cebu</t>
        </is>
      </c>
      <c r="F1222" s="42" t="inlineStr">
        <is>
          <t>Alcoy</t>
        </is>
      </c>
      <c r="G1222" s="42" t="inlineStr">
        <is>
          <t>Pasol</t>
        </is>
      </c>
      <c r="H1222" s="43" t="n">
        <v>9.720673</v>
      </c>
      <c r="I1222" s="43" t="n">
        <v>123.509898</v>
      </c>
      <c r="J1222" s="44" t="inlineStr">
        <is>
          <t>R</t>
        </is>
      </c>
      <c r="K1222" s="42" t="inlineStr">
        <is>
          <t>4th</t>
        </is>
      </c>
      <c r="L1222" s="23" t="n">
        <v>1884</v>
      </c>
      <c r="M1222" s="24" t="n">
        <v>5.01</v>
      </c>
      <c r="N1222" s="23">
        <f>ROUND(L1222/M1222, 0)</f>
        <v/>
      </c>
      <c r="O1222" s="23">
        <f>ROUND(N1222*'Methodology &amp; Assumptions'!$B$8, 0)</f>
        <v/>
      </c>
      <c r="P1222" s="44" t="inlineStr">
        <is>
          <t>Band n50 (1.5 GHz, 60 MHz)</t>
        </is>
      </c>
      <c r="Q1222" s="38">
        <f>ROUNDUP(O1222/'Methodology &amp; Assumptions'!$B$9, 0)</f>
        <v/>
      </c>
      <c r="R1222" s="39" t="n">
        <v>1</v>
      </c>
      <c r="S1222" s="25" t="n">
        <v>1.39</v>
      </c>
      <c r="T1222" s="25" t="n">
        <v>0.38</v>
      </c>
      <c r="U1222" s="42" t="inlineStr">
        <is>
          <t>Tier 1B (Micro Drop, 1-3 km)</t>
        </is>
      </c>
      <c r="V1222" s="24" t="n">
        <v>73</v>
      </c>
      <c r="W1222" s="24" t="n">
        <v>54.1</v>
      </c>
      <c r="X1222" s="24" t="n">
        <v>68.5</v>
      </c>
      <c r="Y1222" s="45">
        <f>ROUND((V1222*'Methodology &amp; Assumptions'!$B$6)+(W1222*'Methodology &amp; Assumptions'!$B$5)+(X1222*'Methodology &amp; Assumptions'!$B$7), 2)</f>
        <v/>
      </c>
    </row>
    <row r="1223" ht="19" customHeight="1">
      <c r="A1223" s="35" t="n">
        <v>219</v>
      </c>
      <c r="B1223" s="35" t="n">
        <v>4219</v>
      </c>
      <c r="C1223" s="36" t="inlineStr">
        <is>
          <t>0402109073</t>
        </is>
      </c>
      <c r="D1223" s="36" t="inlineStr">
        <is>
          <t>Region IV-A (CALABARZON)</t>
        </is>
      </c>
      <c r="E1223" s="36" t="inlineStr">
        <is>
          <t>Cavite</t>
        </is>
      </c>
      <c r="F1223" s="36" t="inlineStr">
        <is>
          <t>City of Imus</t>
        </is>
      </c>
      <c r="G1223" s="36" t="inlineStr">
        <is>
          <t>Medicion I-C</t>
        </is>
      </c>
      <c r="H1223" s="37" t="n">
        <v>14.431014</v>
      </c>
      <c r="I1223" s="37" t="n">
        <v>120.930369</v>
      </c>
      <c r="J1223" s="8" t="inlineStr">
        <is>
          <t>R</t>
        </is>
      </c>
      <c r="K1223" s="36" t="inlineStr">
        <is>
          <t>Class 1-3 / Urban</t>
        </is>
      </c>
      <c r="L1223" s="18" t="n">
        <v>3065</v>
      </c>
      <c r="M1223" s="20" t="n">
        <v>4.49</v>
      </c>
      <c r="N1223" s="18">
        <f>ROUND(L1223/M1223, 0)</f>
        <v/>
      </c>
      <c r="O1223" s="18">
        <f>ROUND(N1223*'Methodology &amp; Assumptions'!$B$8, 0)</f>
        <v/>
      </c>
      <c r="P1223" s="8" t="inlineStr">
        <is>
          <t>Band n50 (1.5 GHz, 60 MHz)</t>
        </is>
      </c>
      <c r="Q1223" s="38">
        <f>ROUNDUP(O1223/'Methodology &amp; Assumptions'!$B$9, 0)</f>
        <v/>
      </c>
      <c r="R1223" s="39" t="n">
        <v>1</v>
      </c>
      <c r="S1223" s="21" t="n">
        <v>1.66</v>
      </c>
      <c r="T1223" s="21" t="n">
        <v>2.07</v>
      </c>
      <c r="U1223" s="36" t="inlineStr">
        <is>
          <t>Tier 1B (Micro Drop, 1-3 km)</t>
        </is>
      </c>
      <c r="V1223" s="20" t="n">
        <v>57.5</v>
      </c>
      <c r="W1223" s="20" t="n">
        <v>78.7</v>
      </c>
      <c r="X1223" s="20" t="n">
        <v>58</v>
      </c>
      <c r="Y1223" s="40">
        <f>ROUND((V1223*'Methodology &amp; Assumptions'!$B$6)+(W1223*'Methodology &amp; Assumptions'!$B$5)+(X1223*'Methodology &amp; Assumptions'!$B$7), 2)</f>
        <v/>
      </c>
    </row>
    <row r="1224" ht="19" customHeight="1">
      <c r="A1224" s="41" t="n">
        <v>220</v>
      </c>
      <c r="B1224" s="41" t="n">
        <v>4220</v>
      </c>
      <c r="C1224" s="42" t="inlineStr">
        <is>
          <t>0931700101</t>
        </is>
      </c>
      <c r="D1224" s="42" t="inlineStr">
        <is>
          <t>Region IX (Zamboanga Peninsula)</t>
        </is>
      </c>
      <c r="E1224" s="42" t="inlineStr">
        <is>
          <t>Zamboanga del Sur</t>
        </is>
      </c>
      <c r="F1224" s="42" t="inlineStr">
        <is>
          <t>City of Zamboanga</t>
        </is>
      </c>
      <c r="G1224" s="42" t="inlineStr">
        <is>
          <t>Kasanyangan</t>
        </is>
      </c>
      <c r="H1224" s="43" t="n">
        <v>6.906291</v>
      </c>
      <c r="I1224" s="43" t="n">
        <v>122.091138</v>
      </c>
      <c r="J1224" s="44" t="inlineStr">
        <is>
          <t>U</t>
        </is>
      </c>
      <c r="K1224" s="42" t="inlineStr">
        <is>
          <t>Class 1-3 / Urban</t>
        </is>
      </c>
      <c r="L1224" s="23" t="n">
        <v>28819</v>
      </c>
      <c r="M1224" s="24" t="n">
        <v>4.61</v>
      </c>
      <c r="N1224" s="23">
        <f>ROUND(L1224/M1224, 0)</f>
        <v/>
      </c>
      <c r="O1224" s="23">
        <f>ROUND(N1224*'Methodology &amp; Assumptions'!$B$8, 0)</f>
        <v/>
      </c>
      <c r="P1224" s="44" t="inlineStr">
        <is>
          <t>Band n50 (1.5 GHz, 60 MHz)</t>
        </is>
      </c>
      <c r="Q1224" s="38">
        <f>ROUNDUP(O1224/'Methodology &amp; Assumptions'!$B$9, 0)</f>
        <v/>
      </c>
      <c r="R1224" s="39" t="n">
        <v>1</v>
      </c>
      <c r="S1224" s="25" t="n">
        <v>1.97</v>
      </c>
      <c r="T1224" s="25" t="n">
        <v>1.57</v>
      </c>
      <c r="U1224" s="42" t="inlineStr">
        <is>
          <t>Tier 1B (Micro Drop, 1-3 km)</t>
        </is>
      </c>
      <c r="V1224" s="24" t="n">
        <v>61.8</v>
      </c>
      <c r="W1224" s="24" t="n">
        <v>100</v>
      </c>
      <c r="X1224" s="24" t="n">
        <v>28</v>
      </c>
      <c r="Y1224" s="45">
        <f>ROUND((V1224*'Methodology &amp; Assumptions'!$B$6)+(W1224*'Methodology &amp; Assumptions'!$B$5)+(X1224*'Methodology &amp; Assumptions'!$B$7), 2)</f>
        <v/>
      </c>
    </row>
    <row r="1225" ht="19" customHeight="1">
      <c r="A1225" s="35" t="n">
        <v>221</v>
      </c>
      <c r="B1225" s="35" t="n">
        <v>4221</v>
      </c>
      <c r="C1225" s="36" t="inlineStr">
        <is>
          <t>0301418005</t>
        </is>
      </c>
      <c r="D1225" s="36" t="inlineStr">
        <is>
          <t>Region III (Central Luzon)</t>
        </is>
      </c>
      <c r="E1225" s="36" t="inlineStr">
        <is>
          <t>Bulacan</t>
        </is>
      </c>
      <c r="F1225" s="36" t="inlineStr">
        <is>
          <t>Pulilan</t>
        </is>
      </c>
      <c r="G1225" s="36" t="inlineStr">
        <is>
          <t>Dampol I</t>
        </is>
      </c>
      <c r="H1225" s="37" t="n">
        <v>14.901501</v>
      </c>
      <c r="I1225" s="37" t="n">
        <v>120.832304</v>
      </c>
      <c r="J1225" s="8" t="inlineStr">
        <is>
          <t>U</t>
        </is>
      </c>
      <c r="K1225" s="36" t="inlineStr">
        <is>
          <t>Class 1-3 / Urban</t>
        </is>
      </c>
      <c r="L1225" s="18" t="n">
        <v>6770</v>
      </c>
      <c r="M1225" s="20" t="n">
        <v>4.1</v>
      </c>
      <c r="N1225" s="18">
        <f>ROUND(L1225/M1225, 0)</f>
        <v/>
      </c>
      <c r="O1225" s="18">
        <f>ROUND(N1225*'Methodology &amp; Assumptions'!$B$8, 0)</f>
        <v/>
      </c>
      <c r="P1225" s="8" t="inlineStr">
        <is>
          <t>Band n50 (1.5 GHz, 60 MHz)</t>
        </is>
      </c>
      <c r="Q1225" s="38">
        <f>ROUNDUP(O1225/'Methodology &amp; Assumptions'!$B$9, 0)</f>
        <v/>
      </c>
      <c r="R1225" s="39" t="n">
        <v>1</v>
      </c>
      <c r="S1225" s="21" t="n">
        <v>1.97</v>
      </c>
      <c r="T1225" s="21" t="n">
        <v>0.52</v>
      </c>
      <c r="U1225" s="36" t="inlineStr">
        <is>
          <t>Tier 1B (Micro Drop, 1-3 km)</t>
        </is>
      </c>
      <c r="V1225" s="20" t="n">
        <v>61.8</v>
      </c>
      <c r="W1225" s="20" t="n">
        <v>100</v>
      </c>
      <c r="X1225" s="20" t="n">
        <v>28</v>
      </c>
      <c r="Y1225" s="40">
        <f>ROUND((V1225*'Methodology &amp; Assumptions'!$B$6)+(W1225*'Methodology &amp; Assumptions'!$B$5)+(X1225*'Methodology &amp; Assumptions'!$B$7), 2)</f>
        <v/>
      </c>
    </row>
    <row r="1226" ht="19" customHeight="1">
      <c r="A1226" s="41" t="n">
        <v>222</v>
      </c>
      <c r="B1226" s="41" t="n">
        <v>4222</v>
      </c>
      <c r="C1226" s="42" t="inlineStr">
        <is>
          <t>0506216013</t>
        </is>
      </c>
      <c r="D1226" s="42" t="inlineStr">
        <is>
          <t>Region V (Bicol Region)</t>
        </is>
      </c>
      <c r="E1226" s="42" t="inlineStr">
        <is>
          <t>Sorsogon</t>
        </is>
      </c>
      <c r="F1226" s="42" t="inlineStr">
        <is>
          <t>City of Sorsogon</t>
        </is>
      </c>
      <c r="G1226" s="42" t="inlineStr">
        <is>
          <t>Burabod</t>
        </is>
      </c>
      <c r="H1226" s="43" t="n">
        <v>12.972578</v>
      </c>
      <c r="I1226" s="43" t="n">
        <v>124.004858</v>
      </c>
      <c r="J1226" s="44" t="inlineStr">
        <is>
          <t>U</t>
        </is>
      </c>
      <c r="K1226" s="42" t="inlineStr">
        <is>
          <t>Class 1-3 / Urban</t>
        </is>
      </c>
      <c r="L1226" s="23" t="n">
        <v>2205</v>
      </c>
      <c r="M1226" s="24" t="n">
        <v>4.58</v>
      </c>
      <c r="N1226" s="23">
        <f>ROUND(L1226/M1226, 0)</f>
        <v/>
      </c>
      <c r="O1226" s="23">
        <f>ROUND(N1226*'Methodology &amp; Assumptions'!$B$8, 0)</f>
        <v/>
      </c>
      <c r="P1226" s="44" t="inlineStr">
        <is>
          <t>Band n50 (1.5 GHz, 60 MHz)</t>
        </is>
      </c>
      <c r="Q1226" s="38">
        <f>ROUNDUP(O1226/'Methodology &amp; Assumptions'!$B$9, 0)</f>
        <v/>
      </c>
      <c r="R1226" s="39" t="n">
        <v>1</v>
      </c>
      <c r="S1226" s="25" t="n">
        <v>0.34</v>
      </c>
      <c r="T1226" s="25" t="n">
        <v>0.08</v>
      </c>
      <c r="U1226" s="42" t="inlineStr">
        <is>
          <t>Tier 1A (Direct Coloc, &lt;1 km)</t>
        </is>
      </c>
      <c r="V1226" s="24" t="n">
        <v>99.40000000000001</v>
      </c>
      <c r="W1226" s="24" t="n">
        <v>62.4</v>
      </c>
      <c r="X1226" s="24" t="n">
        <v>28</v>
      </c>
      <c r="Y1226" s="45">
        <f>ROUND((V1226*'Methodology &amp; Assumptions'!$B$6)+(W1226*'Methodology &amp; Assumptions'!$B$5)+(X1226*'Methodology &amp; Assumptions'!$B$7), 2)</f>
        <v/>
      </c>
    </row>
    <row r="1227" ht="19" customHeight="1">
      <c r="A1227" s="35" t="n">
        <v>223</v>
      </c>
      <c r="B1227" s="35" t="n">
        <v>4223</v>
      </c>
      <c r="C1227" s="36" t="inlineStr">
        <is>
          <t>0203113009</t>
        </is>
      </c>
      <c r="D1227" s="36" t="inlineStr">
        <is>
          <t>Region II (Cagayan Valley)</t>
        </is>
      </c>
      <c r="E1227" s="36" t="inlineStr">
        <is>
          <t>Isabela</t>
        </is>
      </c>
      <c r="F1227" s="36" t="inlineStr">
        <is>
          <t>Gamu</t>
        </is>
      </c>
      <c r="G1227" s="36" t="inlineStr">
        <is>
          <t>Guibang</t>
        </is>
      </c>
      <c r="H1227" s="37" t="n">
        <v>17.053782</v>
      </c>
      <c r="I1227" s="37" t="n">
        <v>121.856777</v>
      </c>
      <c r="J1227" s="8" t="inlineStr">
        <is>
          <t>R</t>
        </is>
      </c>
      <c r="K1227" s="36" t="inlineStr">
        <is>
          <t>2nd</t>
        </is>
      </c>
      <c r="L1227" s="18" t="n">
        <v>3014</v>
      </c>
      <c r="M1227" s="20" t="n">
        <v>4.4</v>
      </c>
      <c r="N1227" s="18">
        <f>ROUND(L1227/M1227, 0)</f>
        <v/>
      </c>
      <c r="O1227" s="18">
        <f>ROUND(N1227*'Methodology &amp; Assumptions'!$B$8, 0)</f>
        <v/>
      </c>
      <c r="P1227" s="8" t="inlineStr">
        <is>
          <t>Band n50 (1.5 GHz, 60 MHz)</t>
        </is>
      </c>
      <c r="Q1227" s="38">
        <f>ROUNDUP(O1227/'Methodology &amp; Assumptions'!$B$9, 0)</f>
        <v/>
      </c>
      <c r="R1227" s="39" t="n">
        <v>1</v>
      </c>
      <c r="S1227" s="21" t="n">
        <v>2.26</v>
      </c>
      <c r="T1227" s="21" t="n">
        <v>0.03</v>
      </c>
      <c r="U1227" s="36" t="inlineStr">
        <is>
          <t>Tier 1B (Micro Drop, 1-3 km)</t>
        </is>
      </c>
      <c r="V1227" s="20" t="n">
        <v>57.1</v>
      </c>
      <c r="W1227" s="20" t="n">
        <v>78.90000000000001</v>
      </c>
      <c r="X1227" s="20" t="n">
        <v>58</v>
      </c>
      <c r="Y1227" s="40">
        <f>ROUND((V1227*'Methodology &amp; Assumptions'!$B$6)+(W1227*'Methodology &amp; Assumptions'!$B$5)+(X1227*'Methodology &amp; Assumptions'!$B$7), 2)</f>
        <v/>
      </c>
    </row>
    <row r="1228" ht="19" customHeight="1">
      <c r="A1228" s="41" t="n">
        <v>224</v>
      </c>
      <c r="B1228" s="41" t="n">
        <v>4224</v>
      </c>
      <c r="C1228" s="42" t="inlineStr">
        <is>
          <t>0305405001</t>
        </is>
      </c>
      <c r="D1228" s="42" t="inlineStr">
        <is>
          <t>Region III (Central Luzon)</t>
        </is>
      </c>
      <c r="E1228" s="42" t="inlineStr">
        <is>
          <t>Pampanga</t>
        </is>
      </c>
      <c r="F1228" s="42" t="inlineStr">
        <is>
          <t>Candaba</t>
        </is>
      </c>
      <c r="G1228" s="42" t="inlineStr">
        <is>
          <t>Bahay Pare</t>
        </is>
      </c>
      <c r="H1228" s="43" t="n">
        <v>15.031732</v>
      </c>
      <c r="I1228" s="43" t="n">
        <v>120.88137</v>
      </c>
      <c r="J1228" s="44" t="inlineStr">
        <is>
          <t>U</t>
        </is>
      </c>
      <c r="K1228" s="42" t="inlineStr">
        <is>
          <t>Class 1-3 / Urban</t>
        </is>
      </c>
      <c r="L1228" s="23" t="n">
        <v>12159</v>
      </c>
      <c r="M1228" s="24" t="n">
        <v>4.63</v>
      </c>
      <c r="N1228" s="23">
        <f>ROUND(L1228/M1228, 0)</f>
        <v/>
      </c>
      <c r="O1228" s="23">
        <f>ROUND(N1228*'Methodology &amp; Assumptions'!$B$8, 0)</f>
        <v/>
      </c>
      <c r="P1228" s="44" t="inlineStr">
        <is>
          <t>Band n50 (1.5 GHz, 60 MHz)</t>
        </is>
      </c>
      <c r="Q1228" s="38">
        <f>ROUNDUP(O1228/'Methodology &amp; Assumptions'!$B$9, 0)</f>
        <v/>
      </c>
      <c r="R1228" s="39" t="n">
        <v>1</v>
      </c>
      <c r="S1228" s="25" t="n">
        <v>1.97</v>
      </c>
      <c r="T1228" s="25" t="n">
        <v>1.48</v>
      </c>
      <c r="U1228" s="42" t="inlineStr">
        <is>
          <t>Tier 1B (Micro Drop, 1-3 km)</t>
        </is>
      </c>
      <c r="V1228" s="24" t="n">
        <v>61.8</v>
      </c>
      <c r="W1228" s="24" t="n">
        <v>100</v>
      </c>
      <c r="X1228" s="24" t="n">
        <v>28</v>
      </c>
      <c r="Y1228" s="45">
        <f>ROUND((V1228*'Methodology &amp; Assumptions'!$B$6)+(W1228*'Methodology &amp; Assumptions'!$B$5)+(X1228*'Methodology &amp; Assumptions'!$B$7), 2)</f>
        <v/>
      </c>
    </row>
    <row r="1229" ht="19" customHeight="1">
      <c r="A1229" s="35" t="n">
        <v>225</v>
      </c>
      <c r="B1229" s="35" t="n">
        <v>4225</v>
      </c>
      <c r="C1229" s="36" t="inlineStr">
        <is>
          <t>0501608006</t>
        </is>
      </c>
      <c r="D1229" s="36" t="inlineStr">
        <is>
          <t>Region V (Bicol Region)</t>
        </is>
      </c>
      <c r="E1229" s="36" t="inlineStr">
        <is>
          <t>Camarines Norte</t>
        </is>
      </c>
      <c r="F1229" s="36" t="inlineStr">
        <is>
          <t>Paracale</t>
        </is>
      </c>
      <c r="G1229" s="36" t="inlineStr">
        <is>
          <t>Capacuan</t>
        </is>
      </c>
      <c r="H1229" s="37" t="n">
        <v>14.247738</v>
      </c>
      <c r="I1229" s="37" t="n">
        <v>122.73552</v>
      </c>
      <c r="J1229" s="8" t="inlineStr">
        <is>
          <t>R</t>
        </is>
      </c>
      <c r="K1229" s="36" t="inlineStr">
        <is>
          <t>Class 1-3 / Urban</t>
        </is>
      </c>
      <c r="L1229" s="18" t="n">
        <v>2654</v>
      </c>
      <c r="M1229" s="20" t="n">
        <v>4.4</v>
      </c>
      <c r="N1229" s="18">
        <f>ROUND(L1229/M1229, 0)</f>
        <v/>
      </c>
      <c r="O1229" s="18">
        <f>ROUND(N1229*'Methodology &amp; Assumptions'!$B$8, 0)</f>
        <v/>
      </c>
      <c r="P1229" s="8" t="inlineStr">
        <is>
          <t>Band n50 (1.5 GHz, 60 MHz)</t>
        </is>
      </c>
      <c r="Q1229" s="38">
        <f>ROUNDUP(O1229/'Methodology &amp; Assumptions'!$B$9, 0)</f>
        <v/>
      </c>
      <c r="R1229" s="39" t="n">
        <v>1</v>
      </c>
      <c r="S1229" s="21" t="n">
        <v>1.35</v>
      </c>
      <c r="T1229" s="21" t="n">
        <v>7.2</v>
      </c>
      <c r="U1229" s="36" t="inlineStr">
        <is>
          <t>Tier 1B (Micro Drop, 1-3 km)</t>
        </is>
      </c>
      <c r="V1229" s="20" t="n">
        <v>63.8</v>
      </c>
      <c r="W1229" s="20" t="n">
        <v>72.3</v>
      </c>
      <c r="X1229" s="20" t="n">
        <v>58</v>
      </c>
      <c r="Y1229" s="40">
        <f>ROUND((V1229*'Methodology &amp; Assumptions'!$B$6)+(W1229*'Methodology &amp; Assumptions'!$B$5)+(X1229*'Methodology &amp; Assumptions'!$B$7), 2)</f>
        <v/>
      </c>
    </row>
    <row r="1230" ht="19" customHeight="1">
      <c r="A1230" s="41" t="n">
        <v>226</v>
      </c>
      <c r="B1230" s="41" t="n">
        <v>4226</v>
      </c>
      <c r="C1230" s="42" t="inlineStr">
        <is>
          <t>0402118057</t>
        </is>
      </c>
      <c r="D1230" s="42" t="inlineStr">
        <is>
          <t>Region IV-A (CALABARZON)</t>
        </is>
      </c>
      <c r="E1230" s="42" t="inlineStr">
        <is>
          <t>Cavite</t>
        </is>
      </c>
      <c r="F1230" s="42" t="inlineStr">
        <is>
          <t>Silang</t>
        </is>
      </c>
      <c r="G1230" s="42" t="inlineStr">
        <is>
          <t>Hoyo</t>
        </is>
      </c>
      <c r="H1230" s="43" t="n">
        <v>14.200302</v>
      </c>
      <c r="I1230" s="43" t="n">
        <v>121.012163</v>
      </c>
      <c r="J1230" s="44" t="inlineStr">
        <is>
          <t>R</t>
        </is>
      </c>
      <c r="K1230" s="42" t="inlineStr">
        <is>
          <t>Class 1-3 / Urban</t>
        </is>
      </c>
      <c r="L1230" s="23" t="n">
        <v>2424</v>
      </c>
      <c r="M1230" s="24" t="n">
        <v>4.49</v>
      </c>
      <c r="N1230" s="23">
        <f>ROUND(L1230/M1230, 0)</f>
        <v/>
      </c>
      <c r="O1230" s="23">
        <f>ROUND(N1230*'Methodology &amp; Assumptions'!$B$8, 0)</f>
        <v/>
      </c>
      <c r="P1230" s="44" t="inlineStr">
        <is>
          <t>Band n50 (1.5 GHz, 60 MHz)</t>
        </is>
      </c>
      <c r="Q1230" s="38">
        <f>ROUNDUP(O1230/'Methodology &amp; Assumptions'!$B$9, 0)</f>
        <v/>
      </c>
      <c r="R1230" s="39" t="n">
        <v>1</v>
      </c>
      <c r="S1230" s="25" t="n">
        <v>1.59</v>
      </c>
      <c r="T1230" s="25" t="n">
        <v>1.01</v>
      </c>
      <c r="U1230" s="42" t="inlineStr">
        <is>
          <t>Tier 1B (Micro Drop, 1-3 km)</t>
        </is>
      </c>
      <c r="V1230" s="24" t="n">
        <v>68.90000000000001</v>
      </c>
      <c r="W1230" s="24" t="n">
        <v>67.2</v>
      </c>
      <c r="X1230" s="24" t="n">
        <v>58</v>
      </c>
      <c r="Y1230" s="45">
        <f>ROUND((V1230*'Methodology &amp; Assumptions'!$B$6)+(W1230*'Methodology &amp; Assumptions'!$B$5)+(X1230*'Methodology &amp; Assumptions'!$B$7), 2)</f>
        <v/>
      </c>
    </row>
    <row r="1231" ht="19" customHeight="1">
      <c r="A1231" s="35" t="n">
        <v>227</v>
      </c>
      <c r="B1231" s="35" t="n">
        <v>4227</v>
      </c>
      <c r="C1231" s="36" t="inlineStr">
        <is>
          <t>0105518015</t>
        </is>
      </c>
      <c r="D1231" s="36" t="inlineStr">
        <is>
          <t>Region I (Ilocos Region)</t>
        </is>
      </c>
      <c r="E1231" s="36" t="inlineStr">
        <is>
          <t>Pangasinan</t>
        </is>
      </c>
      <c r="F1231" s="36" t="inlineStr">
        <is>
          <t>City of Dagupan</t>
        </is>
      </c>
      <c r="G1231" s="36" t="inlineStr">
        <is>
          <t>Lasip Grande</t>
        </is>
      </c>
      <c r="H1231" s="37" t="n">
        <v>16.031018</v>
      </c>
      <c r="I1231" s="37" t="n">
        <v>120.341266</v>
      </c>
      <c r="J1231" s="8" t="inlineStr">
        <is>
          <t>R</t>
        </is>
      </c>
      <c r="K1231" s="36" t="inlineStr">
        <is>
          <t>Class 1-3 / Urban</t>
        </is>
      </c>
      <c r="L1231" s="18" t="n">
        <v>2413</v>
      </c>
      <c r="M1231" s="20" t="n">
        <v>4.39</v>
      </c>
      <c r="N1231" s="18">
        <f>ROUND(L1231/M1231, 0)</f>
        <v/>
      </c>
      <c r="O1231" s="18">
        <f>ROUND(N1231*'Methodology &amp; Assumptions'!$B$8, 0)</f>
        <v/>
      </c>
      <c r="P1231" s="8" t="inlineStr">
        <is>
          <t>Band n50 (1.5 GHz, 60 MHz)</t>
        </is>
      </c>
      <c r="Q1231" s="38">
        <f>ROUNDUP(O1231/'Methodology &amp; Assumptions'!$B$9, 0)</f>
        <v/>
      </c>
      <c r="R1231" s="39" t="n">
        <v>1</v>
      </c>
      <c r="S1231" s="21" t="n">
        <v>1.63</v>
      </c>
      <c r="T1231" s="21" t="n">
        <v>1.13</v>
      </c>
      <c r="U1231" s="36" t="inlineStr">
        <is>
          <t>Tier 1B (Micro Drop, 1-3 km)</t>
        </is>
      </c>
      <c r="V1231" s="20" t="n">
        <v>68.09999999999999</v>
      </c>
      <c r="W1231" s="20" t="n">
        <v>68</v>
      </c>
      <c r="X1231" s="20" t="n">
        <v>58</v>
      </c>
      <c r="Y1231" s="40">
        <f>ROUND((V1231*'Methodology &amp; Assumptions'!$B$6)+(W1231*'Methodology &amp; Assumptions'!$B$5)+(X1231*'Methodology &amp; Assumptions'!$B$7), 2)</f>
        <v/>
      </c>
    </row>
    <row r="1232" ht="19" customHeight="1">
      <c r="A1232" s="41" t="n">
        <v>228</v>
      </c>
      <c r="B1232" s="41" t="n">
        <v>4228</v>
      </c>
      <c r="C1232" s="42" t="inlineStr">
        <is>
          <t>0603027020</t>
        </is>
      </c>
      <c r="D1232" s="42" t="inlineStr">
        <is>
          <t>Region VI (Western Visayas)</t>
        </is>
      </c>
      <c r="E1232" s="42" t="inlineStr">
        <is>
          <t>Iloilo</t>
        </is>
      </c>
      <c r="F1232" s="42" t="inlineStr">
        <is>
          <t>Lemery</t>
        </is>
      </c>
      <c r="G1232" s="42" t="inlineStr">
        <is>
          <t>Poblacion NW Zone</t>
        </is>
      </c>
      <c r="H1232" s="43" t="n">
        <v>11.227882</v>
      </c>
      <c r="I1232" s="43" t="n">
        <v>122.924008</v>
      </c>
      <c r="J1232" s="44" t="inlineStr">
        <is>
          <t>R</t>
        </is>
      </c>
      <c r="K1232" s="42" t="inlineStr">
        <is>
          <t>3rd</t>
        </is>
      </c>
      <c r="L1232" s="23" t="n">
        <v>914</v>
      </c>
      <c r="M1232" s="24" t="n">
        <v>3.93</v>
      </c>
      <c r="N1232" s="23">
        <f>ROUND(L1232/M1232, 0)</f>
        <v/>
      </c>
      <c r="O1232" s="23">
        <f>ROUND(N1232*'Methodology &amp; Assumptions'!$B$8, 0)</f>
        <v/>
      </c>
      <c r="P1232" s="44" t="inlineStr">
        <is>
          <t>Band n50 (1.5 GHz, 60 MHz)</t>
        </is>
      </c>
      <c r="Q1232" s="38">
        <f>ROUNDUP(O1232/'Methodology &amp; Assumptions'!$B$9, 0)</f>
        <v/>
      </c>
      <c r="R1232" s="39" t="n">
        <v>1</v>
      </c>
      <c r="S1232" s="25" t="n">
        <v>0.54</v>
      </c>
      <c r="T1232" s="25" t="n">
        <v>0.42</v>
      </c>
      <c r="U1232" s="42" t="inlineStr">
        <is>
          <t>Tier 1A (Direct Coloc, &lt;1 km)</t>
        </is>
      </c>
      <c r="V1232" s="24" t="n">
        <v>93.40000000000001</v>
      </c>
      <c r="W1232" s="24" t="n">
        <v>42.7</v>
      </c>
      <c r="X1232" s="24" t="n">
        <v>58</v>
      </c>
      <c r="Y1232" s="45">
        <f>ROUND((V1232*'Methodology &amp; Assumptions'!$B$6)+(W1232*'Methodology &amp; Assumptions'!$B$5)+(X1232*'Methodology &amp; Assumptions'!$B$7), 2)</f>
        <v/>
      </c>
    </row>
    <row r="1233" ht="19" customHeight="1">
      <c r="A1233" s="35" t="n">
        <v>229</v>
      </c>
      <c r="B1233" s="35" t="n">
        <v>4229</v>
      </c>
      <c r="C1233" s="36" t="inlineStr">
        <is>
          <t>0105532091</t>
        </is>
      </c>
      <c r="D1233" s="36" t="inlineStr">
        <is>
          <t>Region I (Ilocos Region)</t>
        </is>
      </c>
      <c r="E1233" s="36" t="inlineStr">
        <is>
          <t>Pangasinan</t>
        </is>
      </c>
      <c r="F1233" s="36" t="inlineStr">
        <is>
          <t>City of San Carlos</t>
        </is>
      </c>
      <c r="G1233" s="36" t="inlineStr">
        <is>
          <t>M. Soriano</t>
        </is>
      </c>
      <c r="H1233" s="37" t="n">
        <v>15.924549</v>
      </c>
      <c r="I1233" s="37" t="n">
        <v>120.347992</v>
      </c>
      <c r="J1233" s="8" t="inlineStr">
        <is>
          <t>R</t>
        </is>
      </c>
      <c r="K1233" s="36" t="inlineStr">
        <is>
          <t>Class 1-3 / Urban</t>
        </is>
      </c>
      <c r="L1233" s="18" t="n">
        <v>745</v>
      </c>
      <c r="M1233" s="20" t="n">
        <v>4.39</v>
      </c>
      <c r="N1233" s="18">
        <f>ROUND(L1233/M1233, 0)</f>
        <v/>
      </c>
      <c r="O1233" s="18">
        <f>ROUND(N1233*'Methodology &amp; Assumptions'!$B$8, 0)</f>
        <v/>
      </c>
      <c r="P1233" s="8" t="inlineStr">
        <is>
          <t>Band n50 (1.5 GHz, 60 MHz)</t>
        </is>
      </c>
      <c r="Q1233" s="38">
        <f>ROUNDUP(O1233/'Methodology &amp; Assumptions'!$B$9, 0)</f>
        <v/>
      </c>
      <c r="R1233" s="39" t="n">
        <v>1</v>
      </c>
      <c r="S1233" s="21" t="n">
        <v>0.37</v>
      </c>
      <c r="T1233" s="21" t="n">
        <v>0.14</v>
      </c>
      <c r="U1233" s="36" t="inlineStr">
        <is>
          <t>Tier 1A (Direct Coloc, &lt;1 km)</t>
        </is>
      </c>
      <c r="V1233" s="20" t="n">
        <v>98.40000000000001</v>
      </c>
      <c r="W1233" s="20" t="n">
        <v>37.6</v>
      </c>
      <c r="X1233" s="20" t="n">
        <v>58</v>
      </c>
      <c r="Y1233" s="40">
        <f>ROUND((V1233*'Methodology &amp; Assumptions'!$B$6)+(W1233*'Methodology &amp; Assumptions'!$B$5)+(X1233*'Methodology &amp; Assumptions'!$B$7), 2)</f>
        <v/>
      </c>
    </row>
    <row r="1234" ht="19" customHeight="1">
      <c r="A1234" s="41" t="n">
        <v>230</v>
      </c>
      <c r="B1234" s="41" t="n">
        <v>4230</v>
      </c>
      <c r="C1234" s="42" t="inlineStr">
        <is>
          <t>0730600049</t>
        </is>
      </c>
      <c r="D1234" s="42" t="inlineStr">
        <is>
          <t>Region VII (Central Visayas)</t>
        </is>
      </c>
      <c r="E1234" s="42" t="inlineStr">
        <is>
          <t>Cebu</t>
        </is>
      </c>
      <c r="F1234" s="42" t="inlineStr">
        <is>
          <t>City of Cebu</t>
        </is>
      </c>
      <c r="G1234" s="42" t="inlineStr">
        <is>
          <t>Mambaling</t>
        </is>
      </c>
      <c r="H1234" s="43" t="n">
        <v>10.292304</v>
      </c>
      <c r="I1234" s="43" t="n">
        <v>123.876615</v>
      </c>
      <c r="J1234" s="44" t="inlineStr">
        <is>
          <t>U</t>
        </is>
      </c>
      <c r="K1234" s="42" t="inlineStr">
        <is>
          <t>Class 1-3 / Urban</t>
        </is>
      </c>
      <c r="L1234" s="23" t="n">
        <v>30459</v>
      </c>
      <c r="M1234" s="24" t="n">
        <v>4.42</v>
      </c>
      <c r="N1234" s="23">
        <f>ROUND(L1234/M1234, 0)</f>
        <v/>
      </c>
      <c r="O1234" s="23">
        <f>ROUND(N1234*'Methodology &amp; Assumptions'!$B$8, 0)</f>
        <v/>
      </c>
      <c r="P1234" s="44" t="inlineStr">
        <is>
          <t>Band n50 (1.5 GHz, 60 MHz)</t>
        </is>
      </c>
      <c r="Q1234" s="38">
        <f>ROUNDUP(O1234/'Methodology &amp; Assumptions'!$B$9, 0)</f>
        <v/>
      </c>
      <c r="R1234" s="39" t="n">
        <v>1</v>
      </c>
      <c r="S1234" s="25" t="n">
        <v>1.95</v>
      </c>
      <c r="T1234" s="25" t="n">
        <v>0.18</v>
      </c>
      <c r="U1234" s="42" t="inlineStr">
        <is>
          <t>Tier 1B (Micro Drop, 1-3 km)</t>
        </is>
      </c>
      <c r="V1234" s="24" t="n">
        <v>62.1</v>
      </c>
      <c r="W1234" s="24" t="n">
        <v>99.59999999999999</v>
      </c>
      <c r="X1234" s="24" t="n">
        <v>28</v>
      </c>
      <c r="Y1234" s="45">
        <f>ROUND((V1234*'Methodology &amp; Assumptions'!$B$6)+(W1234*'Methodology &amp; Assumptions'!$B$5)+(X1234*'Methodology &amp; Assumptions'!$B$7), 2)</f>
        <v/>
      </c>
    </row>
    <row r="1235" ht="19" customHeight="1">
      <c r="A1235" s="35" t="n">
        <v>231</v>
      </c>
      <c r="B1235" s="35" t="n">
        <v>4231</v>
      </c>
      <c r="C1235" s="36" t="inlineStr">
        <is>
          <t>0402109039</t>
        </is>
      </c>
      <c r="D1235" s="36" t="inlineStr">
        <is>
          <t>Region IV-A (CALABARZON)</t>
        </is>
      </c>
      <c r="E1235" s="36" t="inlineStr">
        <is>
          <t>Cavite</t>
        </is>
      </c>
      <c r="F1235" s="36" t="inlineStr">
        <is>
          <t>City of Imus</t>
        </is>
      </c>
      <c r="G1235" s="36" t="inlineStr">
        <is>
          <t>Anabu II-F</t>
        </is>
      </c>
      <c r="H1235" s="37" t="n">
        <v>14.361183</v>
      </c>
      <c r="I1235" s="37" t="n">
        <v>120.931942</v>
      </c>
      <c r="J1235" s="8" t="inlineStr">
        <is>
          <t>U</t>
        </is>
      </c>
      <c r="K1235" s="36" t="inlineStr">
        <is>
          <t>Class 1-3 / Urban</t>
        </is>
      </c>
      <c r="L1235" s="18" t="n">
        <v>9562</v>
      </c>
      <c r="M1235" s="20" t="n">
        <v>4.49</v>
      </c>
      <c r="N1235" s="18">
        <f>ROUND(L1235/M1235, 0)</f>
        <v/>
      </c>
      <c r="O1235" s="18">
        <f>ROUND(N1235*'Methodology &amp; Assumptions'!$B$8, 0)</f>
        <v/>
      </c>
      <c r="P1235" s="8" t="inlineStr">
        <is>
          <t>Band n50 (1.5 GHz, 60 MHz)</t>
        </is>
      </c>
      <c r="Q1235" s="38">
        <f>ROUNDUP(O1235/'Methodology &amp; Assumptions'!$B$9, 0)</f>
        <v/>
      </c>
      <c r="R1235" s="39" t="n">
        <v>1</v>
      </c>
      <c r="S1235" s="21" t="n">
        <v>1.44</v>
      </c>
      <c r="T1235" s="21" t="n">
        <v>7.01</v>
      </c>
      <c r="U1235" s="36" t="inlineStr">
        <is>
          <t>Tier 1B (Micro Drop, 1-3 km)</t>
        </is>
      </c>
      <c r="V1235" s="20" t="n">
        <v>61.8</v>
      </c>
      <c r="W1235" s="20" t="n">
        <v>100</v>
      </c>
      <c r="X1235" s="20" t="n">
        <v>28</v>
      </c>
      <c r="Y1235" s="40">
        <f>ROUND((V1235*'Methodology &amp; Assumptions'!$B$6)+(W1235*'Methodology &amp; Assumptions'!$B$5)+(X1235*'Methodology &amp; Assumptions'!$B$7), 2)</f>
        <v/>
      </c>
    </row>
    <row r="1236" ht="19" customHeight="1">
      <c r="A1236" s="41" t="n">
        <v>232</v>
      </c>
      <c r="B1236" s="41" t="n">
        <v>4232</v>
      </c>
      <c r="C1236" s="42" t="inlineStr">
        <is>
          <t>0401031029</t>
        </is>
      </c>
      <c r="D1236" s="42" t="inlineStr">
        <is>
          <t>Region IV-A (CALABARZON)</t>
        </is>
      </c>
      <c r="E1236" s="42" t="inlineStr">
        <is>
          <t>Batangas</t>
        </is>
      </c>
      <c r="F1236" s="42" t="inlineStr">
        <is>
          <t>City of Tanauan</t>
        </is>
      </c>
      <c r="G1236" s="42" t="inlineStr">
        <is>
          <t>Natatas</t>
        </is>
      </c>
      <c r="H1236" s="43" t="n">
        <v>14.08288</v>
      </c>
      <c r="I1236" s="43" t="n">
        <v>121.124708</v>
      </c>
      <c r="J1236" s="44" t="inlineStr">
        <is>
          <t>U</t>
        </is>
      </c>
      <c r="K1236" s="42" t="inlineStr">
        <is>
          <t>Class 1-3 / Urban</t>
        </is>
      </c>
      <c r="L1236" s="23" t="n">
        <v>5790</v>
      </c>
      <c r="M1236" s="24" t="n">
        <v>4.62</v>
      </c>
      <c r="N1236" s="23">
        <f>ROUND(L1236/M1236, 0)</f>
        <v/>
      </c>
      <c r="O1236" s="23">
        <f>ROUND(N1236*'Methodology &amp; Assumptions'!$B$8, 0)</f>
        <v/>
      </c>
      <c r="P1236" s="44" t="inlineStr">
        <is>
          <t>Band n50 (1.5 GHz, 60 MHz)</t>
        </is>
      </c>
      <c r="Q1236" s="38">
        <f>ROUNDUP(O1236/'Methodology &amp; Assumptions'!$B$9, 0)</f>
        <v/>
      </c>
      <c r="R1236" s="39" t="n">
        <v>1</v>
      </c>
      <c r="S1236" s="25" t="n">
        <v>1.45</v>
      </c>
      <c r="T1236" s="25" t="n">
        <v>2.6</v>
      </c>
      <c r="U1236" s="42" t="inlineStr">
        <is>
          <t>Tier 1B (Micro Drop, 1-3 km)</t>
        </is>
      </c>
      <c r="V1236" s="24" t="n">
        <v>61.8</v>
      </c>
      <c r="W1236" s="24" t="n">
        <v>100</v>
      </c>
      <c r="X1236" s="24" t="n">
        <v>28</v>
      </c>
      <c r="Y1236" s="45">
        <f>ROUND((V1236*'Methodology &amp; Assumptions'!$B$6)+(W1236*'Methodology &amp; Assumptions'!$B$5)+(X1236*'Methodology &amp; Assumptions'!$B$7), 2)</f>
        <v/>
      </c>
    </row>
    <row r="1237" ht="19" customHeight="1">
      <c r="A1237" s="35" t="n">
        <v>233</v>
      </c>
      <c r="B1237" s="35" t="n">
        <v>4233</v>
      </c>
      <c r="C1237" s="36" t="inlineStr">
        <is>
          <t>0307114021</t>
        </is>
      </c>
      <c r="D1237" s="36" t="inlineStr">
        <is>
          <t>Region III (Central Luzon)</t>
        </is>
      </c>
      <c r="E1237" s="36" t="inlineStr">
        <is>
          <t>Zambales</t>
        </is>
      </c>
      <c r="F1237" s="36" t="inlineStr">
        <is>
          <t>Subic</t>
        </is>
      </c>
      <c r="G1237" s="36" t="inlineStr">
        <is>
          <t>San Isidro</t>
        </is>
      </c>
      <c r="H1237" s="37" t="n">
        <v>14.868296</v>
      </c>
      <c r="I1237" s="37" t="n">
        <v>120.2556</v>
      </c>
      <c r="J1237" s="8" t="inlineStr">
        <is>
          <t>U</t>
        </is>
      </c>
      <c r="K1237" s="36" t="inlineStr">
        <is>
          <t>Class 1-3 / Urban</t>
        </is>
      </c>
      <c r="L1237" s="18" t="n">
        <v>8709</v>
      </c>
      <c r="M1237" s="20" t="n">
        <v>4.05</v>
      </c>
      <c r="N1237" s="18">
        <f>ROUND(L1237/M1237, 0)</f>
        <v/>
      </c>
      <c r="O1237" s="18">
        <f>ROUND(N1237*'Methodology &amp; Assumptions'!$B$8, 0)</f>
        <v/>
      </c>
      <c r="P1237" s="8" t="inlineStr">
        <is>
          <t>Band n50 (1.5 GHz, 60 MHz)</t>
        </is>
      </c>
      <c r="Q1237" s="38">
        <f>ROUNDUP(O1237/'Methodology &amp; Assumptions'!$B$9, 0)</f>
        <v/>
      </c>
      <c r="R1237" s="39" t="n">
        <v>1</v>
      </c>
      <c r="S1237" s="21" t="n">
        <v>2.83</v>
      </c>
      <c r="T1237" s="21" t="n">
        <v>1.53</v>
      </c>
      <c r="U1237" s="36" t="inlineStr">
        <is>
          <t>Tier 1B (Micro Drop, 1-3 km)</t>
        </is>
      </c>
      <c r="V1237" s="20" t="n">
        <v>48.9</v>
      </c>
      <c r="W1237" s="20" t="n">
        <v>100</v>
      </c>
      <c r="X1237" s="20" t="n">
        <v>43</v>
      </c>
      <c r="Y1237" s="40">
        <f>ROUND((V1237*'Methodology &amp; Assumptions'!$B$6)+(W1237*'Methodology &amp; Assumptions'!$B$5)+(X1237*'Methodology &amp; Assumptions'!$B$7), 2)</f>
        <v/>
      </c>
    </row>
    <row r="1238" ht="19" customHeight="1">
      <c r="A1238" s="41" t="n">
        <v>234</v>
      </c>
      <c r="B1238" s="41" t="n">
        <v>4234</v>
      </c>
      <c r="C1238" s="42" t="inlineStr">
        <is>
          <t>1030900032</t>
        </is>
      </c>
      <c r="D1238" s="42" t="inlineStr">
        <is>
          <t>Region X (Northern Mindanao)</t>
        </is>
      </c>
      <c r="E1238" s="42" t="inlineStr">
        <is>
          <t>Lanao del Norte</t>
        </is>
      </c>
      <c r="F1238" s="42" t="inlineStr">
        <is>
          <t>City of Iligan</t>
        </is>
      </c>
      <c r="G1238" s="42" t="inlineStr">
        <is>
          <t>Del Carmen</t>
        </is>
      </c>
      <c r="H1238" s="43" t="n">
        <v>8.23216</v>
      </c>
      <c r="I1238" s="43" t="n">
        <v>124.258019</v>
      </c>
      <c r="J1238" s="44" t="inlineStr">
        <is>
          <t>U</t>
        </is>
      </c>
      <c r="K1238" s="42" t="inlineStr">
        <is>
          <t>Class 1-3 / Urban</t>
        </is>
      </c>
      <c r="L1238" s="23" t="n">
        <v>9662</v>
      </c>
      <c r="M1238" s="24" t="n">
        <v>5.12</v>
      </c>
      <c r="N1238" s="23">
        <f>ROUND(L1238/M1238, 0)</f>
        <v/>
      </c>
      <c r="O1238" s="23">
        <f>ROUND(N1238*'Methodology &amp; Assumptions'!$B$8, 0)</f>
        <v/>
      </c>
      <c r="P1238" s="44" t="inlineStr">
        <is>
          <t>Band n50 (1.5 GHz, 60 MHz)</t>
        </is>
      </c>
      <c r="Q1238" s="38">
        <f>ROUNDUP(O1238/'Methodology &amp; Assumptions'!$B$9, 0)</f>
        <v/>
      </c>
      <c r="R1238" s="39" t="n">
        <v>1</v>
      </c>
      <c r="S1238" s="25" t="n">
        <v>1.98</v>
      </c>
      <c r="T1238" s="25" t="n">
        <v>1.42</v>
      </c>
      <c r="U1238" s="42" t="inlineStr">
        <is>
          <t>Tier 1B (Micro Drop, 1-3 km)</t>
        </is>
      </c>
      <c r="V1238" s="24" t="n">
        <v>61.7</v>
      </c>
      <c r="W1238" s="24" t="n">
        <v>100</v>
      </c>
      <c r="X1238" s="24" t="n">
        <v>28</v>
      </c>
      <c r="Y1238" s="45">
        <f>ROUND((V1238*'Methodology &amp; Assumptions'!$B$6)+(W1238*'Methodology &amp; Assumptions'!$B$5)+(X1238*'Methodology &amp; Assumptions'!$B$7), 2)</f>
        <v/>
      </c>
    </row>
    <row r="1239" ht="19" customHeight="1">
      <c r="A1239" s="35" t="n">
        <v>235</v>
      </c>
      <c r="B1239" s="35" t="n">
        <v>4235</v>
      </c>
      <c r="C1239" s="36" t="inlineStr">
        <is>
          <t>0501608002</t>
        </is>
      </c>
      <c r="D1239" s="36" t="inlineStr">
        <is>
          <t>Region V (Bicol Region)</t>
        </is>
      </c>
      <c r="E1239" s="36" t="inlineStr">
        <is>
          <t>Camarines Norte</t>
        </is>
      </c>
      <c r="F1239" s="36" t="inlineStr">
        <is>
          <t>Paracale</t>
        </is>
      </c>
      <c r="G1239" s="36" t="inlineStr">
        <is>
          <t>Bagumbayan</t>
        </is>
      </c>
      <c r="H1239" s="37" t="n">
        <v>14.292207</v>
      </c>
      <c r="I1239" s="37" t="n">
        <v>122.784373</v>
      </c>
      <c r="J1239" s="8" t="inlineStr">
        <is>
          <t>U</t>
        </is>
      </c>
      <c r="K1239" s="36" t="inlineStr">
        <is>
          <t>Class 1-3 / Urban</t>
        </is>
      </c>
      <c r="L1239" s="18" t="n">
        <v>5589</v>
      </c>
      <c r="M1239" s="20" t="n">
        <v>4.4</v>
      </c>
      <c r="N1239" s="18">
        <f>ROUND(L1239/M1239, 0)</f>
        <v/>
      </c>
      <c r="O1239" s="18">
        <f>ROUND(N1239*'Methodology &amp; Assumptions'!$B$8, 0)</f>
        <v/>
      </c>
      <c r="P1239" s="8" t="inlineStr">
        <is>
          <t>Band n50 (1.5 GHz, 60 MHz)</t>
        </is>
      </c>
      <c r="Q1239" s="38">
        <f>ROUNDUP(O1239/'Methodology &amp; Assumptions'!$B$9, 0)</f>
        <v/>
      </c>
      <c r="R1239" s="39" t="n">
        <v>1</v>
      </c>
      <c r="S1239" s="21" t="n">
        <v>1.45</v>
      </c>
      <c r="T1239" s="21" t="n">
        <v>10.72</v>
      </c>
      <c r="U1239" s="36" t="inlineStr">
        <is>
          <t>Tier 1B (Micro Drop, 1-3 km)</t>
        </is>
      </c>
      <c r="V1239" s="20" t="n">
        <v>61.8</v>
      </c>
      <c r="W1239" s="20" t="n">
        <v>100</v>
      </c>
      <c r="X1239" s="20" t="n">
        <v>28</v>
      </c>
      <c r="Y1239" s="40">
        <f>ROUND((V1239*'Methodology &amp; Assumptions'!$B$6)+(W1239*'Methodology &amp; Assumptions'!$B$5)+(X1239*'Methodology &amp; Assumptions'!$B$7), 2)</f>
        <v/>
      </c>
    </row>
    <row r="1240" ht="19" customHeight="1">
      <c r="A1240" s="41" t="n">
        <v>236</v>
      </c>
      <c r="B1240" s="41" t="n">
        <v>4236</v>
      </c>
      <c r="C1240" s="42" t="inlineStr">
        <is>
          <t>0403412004</t>
        </is>
      </c>
      <c r="D1240" s="42" t="inlineStr">
        <is>
          <t>Region IV-A (CALABARZON)</t>
        </is>
      </c>
      <c r="E1240" s="42" t="inlineStr">
        <is>
          <t>Laguna</t>
        </is>
      </c>
      <c r="F1240" s="42" t="inlineStr">
        <is>
          <t>Luisiana</t>
        </is>
      </c>
      <c r="G1240" s="42" t="inlineStr">
        <is>
          <t>Barangay Zone III</t>
        </is>
      </c>
      <c r="H1240" s="43" t="n">
        <v>14.18405</v>
      </c>
      <c r="I1240" s="43" t="n">
        <v>121.511128</v>
      </c>
      <c r="J1240" s="44" t="inlineStr">
        <is>
          <t>R</t>
        </is>
      </c>
      <c r="K1240" s="42" t="inlineStr">
        <is>
          <t>4th</t>
        </is>
      </c>
      <c r="L1240" s="23" t="n">
        <v>494</v>
      </c>
      <c r="M1240" s="24" t="n">
        <v>4.07</v>
      </c>
      <c r="N1240" s="23">
        <f>ROUND(L1240/M1240, 0)</f>
        <v/>
      </c>
      <c r="O1240" s="23">
        <f>ROUND(N1240*'Methodology &amp; Assumptions'!$B$8, 0)</f>
        <v/>
      </c>
      <c r="P1240" s="44" t="inlineStr">
        <is>
          <t>Band n50 (1.5 GHz, 60 MHz)</t>
        </is>
      </c>
      <c r="Q1240" s="38">
        <f>ROUNDUP(O1240/'Methodology &amp; Assumptions'!$B$9, 0)</f>
        <v/>
      </c>
      <c r="R1240" s="39" t="n">
        <v>1</v>
      </c>
      <c r="S1240" s="25" t="n">
        <v>0.65</v>
      </c>
      <c r="T1240" s="25" t="n">
        <v>4.11</v>
      </c>
      <c r="U1240" s="42" t="inlineStr">
        <is>
          <t>Tier 1A (Direct Coloc, &lt;1 km)</t>
        </is>
      </c>
      <c r="V1240" s="24" t="n">
        <v>80.5</v>
      </c>
      <c r="W1240" s="24" t="n">
        <v>33.6</v>
      </c>
      <c r="X1240" s="24" t="n">
        <v>83.5</v>
      </c>
      <c r="Y1240" s="45">
        <f>ROUND((V1240*'Methodology &amp; Assumptions'!$B$6)+(W1240*'Methodology &amp; Assumptions'!$B$5)+(X1240*'Methodology &amp; Assumptions'!$B$7), 2)</f>
        <v/>
      </c>
    </row>
    <row r="1241" ht="19" customHeight="1">
      <c r="A1241" s="35" t="n">
        <v>237</v>
      </c>
      <c r="B1241" s="35" t="n">
        <v>4237</v>
      </c>
      <c r="C1241" s="36" t="inlineStr">
        <is>
          <t>0803719002</t>
        </is>
      </c>
      <c r="D1241" s="36" t="inlineStr">
        <is>
          <t>Region VIII (Eastern Visayas)</t>
        </is>
      </c>
      <c r="E1241" s="36" t="inlineStr">
        <is>
          <t>Leyte</t>
        </is>
      </c>
      <c r="F1241" s="36" t="inlineStr">
        <is>
          <t>Hilongos</t>
        </is>
      </c>
      <c r="G1241" s="36" t="inlineStr">
        <is>
          <t>Atabay</t>
        </is>
      </c>
      <c r="H1241" s="37" t="n">
        <v>10.374233</v>
      </c>
      <c r="I1241" s="37" t="n">
        <v>124.741389</v>
      </c>
      <c r="J1241" s="8" t="inlineStr">
        <is>
          <t>R</t>
        </is>
      </c>
      <c r="K1241" s="36" t="inlineStr">
        <is>
          <t>Class 1-3 / Urban</t>
        </is>
      </c>
      <c r="L1241" s="18" t="n">
        <v>3928</v>
      </c>
      <c r="M1241" s="20" t="n">
        <v>4.24</v>
      </c>
      <c r="N1241" s="18">
        <f>ROUND(L1241/M1241, 0)</f>
        <v/>
      </c>
      <c r="O1241" s="18">
        <f>ROUND(N1241*'Methodology &amp; Assumptions'!$B$8, 0)</f>
        <v/>
      </c>
      <c r="P1241" s="8" t="inlineStr">
        <is>
          <t>Band n50 (1.5 GHz, 60 MHz)</t>
        </is>
      </c>
      <c r="Q1241" s="38">
        <f>ROUNDUP(O1241/'Methodology &amp; Assumptions'!$B$9, 0)</f>
        <v/>
      </c>
      <c r="R1241" s="39" t="n">
        <v>1</v>
      </c>
      <c r="S1241" s="21" t="n">
        <v>26.39</v>
      </c>
      <c r="T1241" s="21" t="n">
        <v>0.9</v>
      </c>
      <c r="U1241" s="36" t="inlineStr">
        <is>
          <t>Tier 2 (Fiber Corridor / Lateral, 3-5 km)</t>
        </is>
      </c>
      <c r="V1241" s="20" t="n">
        <v>25</v>
      </c>
      <c r="W1241" s="20" t="n">
        <v>98.09999999999999</v>
      </c>
      <c r="X1241" s="20" t="n">
        <v>73</v>
      </c>
      <c r="Y1241" s="40">
        <f>ROUND((V1241*'Methodology &amp; Assumptions'!$B$6)+(W1241*'Methodology &amp; Assumptions'!$B$5)+(X1241*'Methodology &amp; Assumptions'!$B$7), 2)</f>
        <v/>
      </c>
    </row>
    <row r="1242" ht="19" customHeight="1">
      <c r="A1242" s="41" t="n">
        <v>238</v>
      </c>
      <c r="B1242" s="41" t="n">
        <v>4238</v>
      </c>
      <c r="C1242" s="42" t="inlineStr">
        <is>
          <t>0401015009</t>
        </is>
      </c>
      <c r="D1242" s="42" t="inlineStr">
        <is>
          <t>Region IV-A (CALABARZON)</t>
        </is>
      </c>
      <c r="E1242" s="42" t="inlineStr">
        <is>
          <t>Batangas</t>
        </is>
      </c>
      <c r="F1242" s="42" t="inlineStr">
        <is>
          <t>Lobo</t>
        </is>
      </c>
      <c r="G1242" s="42" t="inlineStr">
        <is>
          <t>Fabrica</t>
        </is>
      </c>
      <c r="H1242" s="43" t="n">
        <v>13.643138</v>
      </c>
      <c r="I1242" s="43" t="n">
        <v>121.203921</v>
      </c>
      <c r="J1242" s="44" t="inlineStr">
        <is>
          <t>R</t>
        </is>
      </c>
      <c r="K1242" s="42" t="inlineStr">
        <is>
          <t>Class 1-3 / Urban</t>
        </is>
      </c>
      <c r="L1242" s="23" t="n">
        <v>2026</v>
      </c>
      <c r="M1242" s="24" t="n">
        <v>4.62</v>
      </c>
      <c r="N1242" s="23">
        <f>ROUND(L1242/M1242, 0)</f>
        <v/>
      </c>
      <c r="O1242" s="23">
        <f>ROUND(N1242*'Methodology &amp; Assumptions'!$B$8, 0)</f>
        <v/>
      </c>
      <c r="P1242" s="44" t="inlineStr">
        <is>
          <t>Band n50 (1.5 GHz, 60 MHz)</t>
        </is>
      </c>
      <c r="Q1242" s="38">
        <f>ROUNDUP(O1242/'Methodology &amp; Assumptions'!$B$9, 0)</f>
        <v/>
      </c>
      <c r="R1242" s="39" t="n">
        <v>1</v>
      </c>
      <c r="S1242" s="25" t="n">
        <v>0.79</v>
      </c>
      <c r="T1242" s="25" t="n">
        <v>19.77</v>
      </c>
      <c r="U1242" s="42" t="inlineStr">
        <is>
          <t>Tier 1A (Direct Coloc, &lt;1 km)</t>
        </is>
      </c>
      <c r="V1242" s="24" t="n">
        <v>76.8</v>
      </c>
      <c r="W1242" s="24" t="n">
        <v>59.2</v>
      </c>
      <c r="X1242" s="24" t="n">
        <v>58</v>
      </c>
      <c r="Y1242" s="45">
        <f>ROUND((V1242*'Methodology &amp; Assumptions'!$B$6)+(W1242*'Methodology &amp; Assumptions'!$B$5)+(X1242*'Methodology &amp; Assumptions'!$B$7), 2)</f>
        <v/>
      </c>
    </row>
    <row r="1243" ht="19" customHeight="1">
      <c r="A1243" s="35" t="n">
        <v>239</v>
      </c>
      <c r="B1243" s="35" t="n">
        <v>4239</v>
      </c>
      <c r="C1243" s="36" t="inlineStr">
        <is>
          <t>0402113019</t>
        </is>
      </c>
      <c r="D1243" s="36" t="inlineStr">
        <is>
          <t>Region IV-A (CALABARZON)</t>
        </is>
      </c>
      <c r="E1243" s="36" t="inlineStr">
        <is>
          <t>Cavite</t>
        </is>
      </c>
      <c r="F1243" s="36" t="inlineStr">
        <is>
          <t>Maragondon</t>
        </is>
      </c>
      <c r="G1243" s="36" t="inlineStr">
        <is>
          <t>Poblacion II A</t>
        </is>
      </c>
      <c r="H1243" s="37" t="n">
        <v>14.274274</v>
      </c>
      <c r="I1243" s="37" t="n">
        <v>120.738001</v>
      </c>
      <c r="J1243" s="8" t="inlineStr">
        <is>
          <t>R</t>
        </is>
      </c>
      <c r="K1243" s="36" t="inlineStr">
        <is>
          <t>Class 1-3 / Urban</t>
        </is>
      </c>
      <c r="L1243" s="18" t="n">
        <v>679</v>
      </c>
      <c r="M1243" s="20" t="n">
        <v>4.49</v>
      </c>
      <c r="N1243" s="18">
        <f>ROUND(L1243/M1243, 0)</f>
        <v/>
      </c>
      <c r="O1243" s="18">
        <f>ROUND(N1243*'Methodology &amp; Assumptions'!$B$8, 0)</f>
        <v/>
      </c>
      <c r="P1243" s="8" t="inlineStr">
        <is>
          <t>Band n50 (1.5 GHz, 60 MHz)</t>
        </is>
      </c>
      <c r="Q1243" s="38">
        <f>ROUNDUP(O1243/'Methodology &amp; Assumptions'!$B$9, 0)</f>
        <v/>
      </c>
      <c r="R1243" s="39" t="n">
        <v>1</v>
      </c>
      <c r="S1243" s="21" t="n">
        <v>0.18</v>
      </c>
      <c r="T1243" s="21" t="n">
        <v>0.17</v>
      </c>
      <c r="U1243" s="36" t="inlineStr">
        <is>
          <t>Tier 1A (Direct Coloc, &lt;1 km)</t>
        </is>
      </c>
      <c r="V1243" s="20" t="n">
        <v>100</v>
      </c>
      <c r="W1243" s="20" t="n">
        <v>36</v>
      </c>
      <c r="X1243" s="20" t="n">
        <v>58</v>
      </c>
      <c r="Y1243" s="40">
        <f>ROUND((V1243*'Methodology &amp; Assumptions'!$B$6)+(W1243*'Methodology &amp; Assumptions'!$B$5)+(X1243*'Methodology &amp; Assumptions'!$B$7), 2)</f>
        <v/>
      </c>
    </row>
    <row r="1244" ht="19" customHeight="1">
      <c r="A1244" s="41" t="n">
        <v>240</v>
      </c>
      <c r="B1244" s="41" t="n">
        <v>4240</v>
      </c>
      <c r="C1244" s="42" t="inlineStr">
        <is>
          <t>0102809011</t>
        </is>
      </c>
      <c r="D1244" s="42" t="inlineStr">
        <is>
          <t>Region I (Ilocos Region)</t>
        </is>
      </c>
      <c r="E1244" s="42" t="inlineStr">
        <is>
          <t>Ilocos Norte</t>
        </is>
      </c>
      <c r="F1244" s="42" t="inlineStr">
        <is>
          <t>Dingras</t>
        </is>
      </c>
      <c r="G1244" s="42" t="inlineStr">
        <is>
          <t>Dancel</t>
        </is>
      </c>
      <c r="H1244" s="43" t="n">
        <v>18.098058</v>
      </c>
      <c r="I1244" s="43" t="n">
        <v>120.70266</v>
      </c>
      <c r="J1244" s="44" t="inlineStr">
        <is>
          <t>R</t>
        </is>
      </c>
      <c r="K1244" s="42" t="inlineStr">
        <is>
          <t>Class 1-3 / Urban</t>
        </is>
      </c>
      <c r="L1244" s="23" t="n">
        <v>654</v>
      </c>
      <c r="M1244" s="24" t="n">
        <v>4.35</v>
      </c>
      <c r="N1244" s="23">
        <f>ROUND(L1244/M1244, 0)</f>
        <v/>
      </c>
      <c r="O1244" s="23">
        <f>ROUND(N1244*'Methodology &amp; Assumptions'!$B$8, 0)</f>
        <v/>
      </c>
      <c r="P1244" s="44" t="inlineStr">
        <is>
          <t>Band n50 (1.5 GHz, 60 MHz)</t>
        </is>
      </c>
      <c r="Q1244" s="38">
        <f>ROUNDUP(O1244/'Methodology &amp; Assumptions'!$B$9, 0)</f>
        <v/>
      </c>
      <c r="R1244" s="39" t="n">
        <v>1</v>
      </c>
      <c r="S1244" s="25" t="n">
        <v>0.11</v>
      </c>
      <c r="T1244" s="25" t="n">
        <v>0.28</v>
      </c>
      <c r="U1244" s="42" t="inlineStr">
        <is>
          <t>Tier 1A (Direct Coloc, &lt;1 km)</t>
        </is>
      </c>
      <c r="V1244" s="24" t="n">
        <v>100</v>
      </c>
      <c r="W1244" s="24" t="n">
        <v>36</v>
      </c>
      <c r="X1244" s="24" t="n">
        <v>58</v>
      </c>
      <c r="Y1244" s="45">
        <f>ROUND((V1244*'Methodology &amp; Assumptions'!$B$6)+(W1244*'Methodology &amp; Assumptions'!$B$5)+(X1244*'Methodology &amp; Assumptions'!$B$7), 2)</f>
        <v/>
      </c>
    </row>
    <row r="1245" ht="19" customHeight="1">
      <c r="A1245" s="35" t="n">
        <v>241</v>
      </c>
      <c r="B1245" s="35" t="n">
        <v>4241</v>
      </c>
      <c r="C1245" s="36" t="inlineStr">
        <is>
          <t>0403405020</t>
        </is>
      </c>
      <c r="D1245" s="36" t="inlineStr">
        <is>
          <t>Region IV-A (CALABARZON)</t>
        </is>
      </c>
      <c r="E1245" s="36" t="inlineStr">
        <is>
          <t>Laguna</t>
        </is>
      </c>
      <c r="F1245" s="36" t="inlineStr">
        <is>
          <t>City of Calamba</t>
        </is>
      </c>
      <c r="G1245" s="36" t="inlineStr">
        <is>
          <t>Lecheria</t>
        </is>
      </c>
      <c r="H1245" s="37" t="n">
        <v>14.20296</v>
      </c>
      <c r="I1245" s="37" t="n">
        <v>121.16354</v>
      </c>
      <c r="J1245" s="8" t="inlineStr">
        <is>
          <t>U</t>
        </is>
      </c>
      <c r="K1245" s="36" t="inlineStr">
        <is>
          <t>Class 1-3 / Urban</t>
        </is>
      </c>
      <c r="L1245" s="18" t="n">
        <v>10907</v>
      </c>
      <c r="M1245" s="20" t="n">
        <v>4.2</v>
      </c>
      <c r="N1245" s="18">
        <f>ROUND(L1245/M1245, 0)</f>
        <v/>
      </c>
      <c r="O1245" s="18">
        <f>ROUND(N1245*'Methodology &amp; Assumptions'!$B$8, 0)</f>
        <v/>
      </c>
      <c r="P1245" s="8" t="inlineStr">
        <is>
          <t>Band n50 (1.5 GHz, 60 MHz)</t>
        </is>
      </c>
      <c r="Q1245" s="38">
        <f>ROUNDUP(O1245/'Methodology &amp; Assumptions'!$B$9, 0)</f>
        <v/>
      </c>
      <c r="R1245" s="39" t="n">
        <v>1</v>
      </c>
      <c r="S1245" s="21" t="n">
        <v>1.98</v>
      </c>
      <c r="T1245" s="21" t="n">
        <v>0.02</v>
      </c>
      <c r="U1245" s="36" t="inlineStr">
        <is>
          <t>Tier 1B (Micro Drop, 1-3 km)</t>
        </is>
      </c>
      <c r="V1245" s="20" t="n">
        <v>61.7</v>
      </c>
      <c r="W1245" s="20" t="n">
        <v>100</v>
      </c>
      <c r="X1245" s="20" t="n">
        <v>28</v>
      </c>
      <c r="Y1245" s="40">
        <f>ROUND((V1245*'Methodology &amp; Assumptions'!$B$6)+(W1245*'Methodology &amp; Assumptions'!$B$5)+(X1245*'Methodology &amp; Assumptions'!$B$7), 2)</f>
        <v/>
      </c>
    </row>
    <row r="1246" ht="19" customHeight="1">
      <c r="A1246" s="41" t="n">
        <v>242</v>
      </c>
      <c r="B1246" s="41" t="n">
        <v>4242</v>
      </c>
      <c r="C1246" s="42" t="inlineStr">
        <is>
          <t>0203114003</t>
        </is>
      </c>
      <c r="D1246" s="42" t="inlineStr">
        <is>
          <t>Region II (Cagayan Valley)</t>
        </is>
      </c>
      <c r="E1246" s="42" t="inlineStr">
        <is>
          <t>Isabela</t>
        </is>
      </c>
      <c r="F1246" s="42" t="inlineStr">
        <is>
          <t>City of Ilagan</t>
        </is>
      </c>
      <c r="G1246" s="42" t="inlineStr">
        <is>
          <t>Alibagu</t>
        </is>
      </c>
      <c r="H1246" s="43" t="n">
        <v>17.1006</v>
      </c>
      <c r="I1246" s="43" t="n">
        <v>121.859642</v>
      </c>
      <c r="J1246" s="44" t="inlineStr">
        <is>
          <t>U</t>
        </is>
      </c>
      <c r="K1246" s="42" t="inlineStr">
        <is>
          <t>Class 1-3 / Urban</t>
        </is>
      </c>
      <c r="L1246" s="23" t="n">
        <v>7916</v>
      </c>
      <c r="M1246" s="24" t="n">
        <v>4.3</v>
      </c>
      <c r="N1246" s="23">
        <f>ROUND(L1246/M1246, 0)</f>
        <v/>
      </c>
      <c r="O1246" s="23">
        <f>ROUND(N1246*'Methodology &amp; Assumptions'!$B$8, 0)</f>
        <v/>
      </c>
      <c r="P1246" s="44" t="inlineStr">
        <is>
          <t>Band n50 (1.5 GHz, 60 MHz)</t>
        </is>
      </c>
      <c r="Q1246" s="38">
        <f>ROUNDUP(O1246/'Methodology &amp; Assumptions'!$B$9, 0)</f>
        <v/>
      </c>
      <c r="R1246" s="39" t="n">
        <v>1</v>
      </c>
      <c r="S1246" s="25" t="n">
        <v>1.98</v>
      </c>
      <c r="T1246" s="25" t="n">
        <v>0.02</v>
      </c>
      <c r="U1246" s="42" t="inlineStr">
        <is>
          <t>Tier 1B (Micro Drop, 1-3 km)</t>
        </is>
      </c>
      <c r="V1246" s="24" t="n">
        <v>61.7</v>
      </c>
      <c r="W1246" s="24" t="n">
        <v>100</v>
      </c>
      <c r="X1246" s="24" t="n">
        <v>28</v>
      </c>
      <c r="Y1246" s="45">
        <f>ROUND((V1246*'Methodology &amp; Assumptions'!$B$6)+(W1246*'Methodology &amp; Assumptions'!$B$5)+(X1246*'Methodology &amp; Assumptions'!$B$7), 2)</f>
        <v/>
      </c>
    </row>
    <row r="1247" ht="19" customHeight="1">
      <c r="A1247" s="35" t="n">
        <v>243</v>
      </c>
      <c r="B1247" s="35" t="n">
        <v>4243</v>
      </c>
      <c r="C1247" s="36" t="inlineStr">
        <is>
          <t>1102411003</t>
        </is>
      </c>
      <c r="D1247" s="36" t="inlineStr">
        <is>
          <t>Region XI (Davao Region)</t>
        </is>
      </c>
      <c r="E1247" s="36" t="inlineStr">
        <is>
          <t>Davao del Sur</t>
        </is>
      </c>
      <c r="F1247" s="36" t="inlineStr">
        <is>
          <t>Padada</t>
        </is>
      </c>
      <c r="G1247" s="36" t="inlineStr">
        <is>
          <t>Harada Butai</t>
        </is>
      </c>
      <c r="H1247" s="37" t="n">
        <v>6.630152</v>
      </c>
      <c r="I1247" s="37" t="n">
        <v>125.32675</v>
      </c>
      <c r="J1247" s="8" t="inlineStr">
        <is>
          <t>R</t>
        </is>
      </c>
      <c r="K1247" s="36" t="inlineStr">
        <is>
          <t>Class 1-3 / Urban</t>
        </is>
      </c>
      <c r="L1247" s="18" t="n">
        <v>2595</v>
      </c>
      <c r="M1247" s="20" t="n">
        <v>4.1</v>
      </c>
      <c r="N1247" s="18">
        <f>ROUND(L1247/M1247, 0)</f>
        <v/>
      </c>
      <c r="O1247" s="18">
        <f>ROUND(N1247*'Methodology &amp; Assumptions'!$B$8, 0)</f>
        <v/>
      </c>
      <c r="P1247" s="8" t="inlineStr">
        <is>
          <t>Band n50 (1.5 GHz, 60 MHz)</t>
        </is>
      </c>
      <c r="Q1247" s="38">
        <f>ROUNDUP(O1247/'Methodology &amp; Assumptions'!$B$9, 0)</f>
        <v/>
      </c>
      <c r="R1247" s="39" t="n">
        <v>1</v>
      </c>
      <c r="S1247" s="21" t="n">
        <v>2</v>
      </c>
      <c r="T1247" s="21" t="n">
        <v>1.47</v>
      </c>
      <c r="U1247" s="36" t="inlineStr">
        <is>
          <t>Tier 1B (Micro Drop, 1-3 km)</t>
        </is>
      </c>
      <c r="V1247" s="20" t="n">
        <v>61.3</v>
      </c>
      <c r="W1247" s="20" t="n">
        <v>74.7</v>
      </c>
      <c r="X1247" s="20" t="n">
        <v>58</v>
      </c>
      <c r="Y1247" s="40">
        <f>ROUND((V1247*'Methodology &amp; Assumptions'!$B$6)+(W1247*'Methodology &amp; Assumptions'!$B$5)+(X1247*'Methodology &amp; Assumptions'!$B$7), 2)</f>
        <v/>
      </c>
    </row>
    <row r="1248" ht="19" customHeight="1">
      <c r="A1248" s="41" t="n">
        <v>244</v>
      </c>
      <c r="B1248" s="41" t="n">
        <v>4244</v>
      </c>
      <c r="C1248" s="42" t="inlineStr">
        <is>
          <t>0306917025</t>
        </is>
      </c>
      <c r="D1248" s="42" t="inlineStr">
        <is>
          <t>Region III (Central Luzon)</t>
        </is>
      </c>
      <c r="E1248" s="42" t="inlineStr">
        <is>
          <t>Tarlac</t>
        </is>
      </c>
      <c r="F1248" s="42" t="inlineStr">
        <is>
          <t>Victoria</t>
        </is>
      </c>
      <c r="G1248" s="42" t="inlineStr">
        <is>
          <t>San Vicente</t>
        </is>
      </c>
      <c r="H1248" s="43" t="n">
        <v>15.58006</v>
      </c>
      <c r="I1248" s="43" t="n">
        <v>120.68627</v>
      </c>
      <c r="J1248" s="44" t="inlineStr">
        <is>
          <t>R</t>
        </is>
      </c>
      <c r="K1248" s="42" t="inlineStr">
        <is>
          <t>Class 1-3 / Urban</t>
        </is>
      </c>
      <c r="L1248" s="23" t="n">
        <v>2192</v>
      </c>
      <c r="M1248" s="24" t="n">
        <v>4.3</v>
      </c>
      <c r="N1248" s="23">
        <f>ROUND(L1248/M1248, 0)</f>
        <v/>
      </c>
      <c r="O1248" s="23">
        <f>ROUND(N1248*'Methodology &amp; Assumptions'!$B$8, 0)</f>
        <v/>
      </c>
      <c r="P1248" s="44" t="inlineStr">
        <is>
          <t>Band n50 (1.5 GHz, 60 MHz)</t>
        </is>
      </c>
      <c r="Q1248" s="38">
        <f>ROUNDUP(O1248/'Methodology &amp; Assumptions'!$B$9, 0)</f>
        <v/>
      </c>
      <c r="R1248" s="39" t="n">
        <v>1</v>
      </c>
      <c r="S1248" s="25" t="n">
        <v>1.02</v>
      </c>
      <c r="T1248" s="25" t="n">
        <v>6.11</v>
      </c>
      <c r="U1248" s="42" t="inlineStr">
        <is>
          <t>Tier 1B (Micro Drop, 1-3 km)</t>
        </is>
      </c>
      <c r="V1248" s="24" t="n">
        <v>71.2</v>
      </c>
      <c r="W1248" s="24" t="n">
        <v>64.8</v>
      </c>
      <c r="X1248" s="24" t="n">
        <v>58</v>
      </c>
      <c r="Y1248" s="45">
        <f>ROUND((V1248*'Methodology &amp; Assumptions'!$B$6)+(W1248*'Methodology &amp; Assumptions'!$B$5)+(X1248*'Methodology &amp; Assumptions'!$B$7), 2)</f>
        <v/>
      </c>
    </row>
    <row r="1249" ht="19" customHeight="1">
      <c r="A1249" s="35" t="n">
        <v>245</v>
      </c>
      <c r="B1249" s="35" t="n">
        <v>4245</v>
      </c>
      <c r="C1249" s="36" t="inlineStr">
        <is>
          <t>0401003007</t>
        </is>
      </c>
      <c r="D1249" s="36" t="inlineStr">
        <is>
          <t>Region IV-A (CALABARZON)</t>
        </is>
      </c>
      <c r="E1249" s="36" t="inlineStr">
        <is>
          <t>Batangas</t>
        </is>
      </c>
      <c r="F1249" s="36" t="inlineStr">
        <is>
          <t>Balayan</t>
        </is>
      </c>
      <c r="G1249" s="36" t="inlineStr">
        <is>
          <t>Barangay 2</t>
        </is>
      </c>
      <c r="H1249" s="37" t="n">
        <v>13.937491</v>
      </c>
      <c r="I1249" s="37" t="n">
        <v>120.724218</v>
      </c>
      <c r="J1249" s="8" t="inlineStr">
        <is>
          <t>R</t>
        </is>
      </c>
      <c r="K1249" s="36" t="inlineStr">
        <is>
          <t>Class 1-3 / Urban</t>
        </is>
      </c>
      <c r="L1249" s="18" t="n">
        <v>1449</v>
      </c>
      <c r="M1249" s="20" t="n">
        <v>4.62</v>
      </c>
      <c r="N1249" s="18">
        <f>ROUND(L1249/M1249, 0)</f>
        <v/>
      </c>
      <c r="O1249" s="18">
        <f>ROUND(N1249*'Methodology &amp; Assumptions'!$B$8, 0)</f>
        <v/>
      </c>
      <c r="P1249" s="8" t="inlineStr">
        <is>
          <t>Band n50 (1.5 GHz, 60 MHz)</t>
        </is>
      </c>
      <c r="Q1249" s="38">
        <f>ROUNDUP(O1249/'Methodology &amp; Assumptions'!$B$9, 0)</f>
        <v/>
      </c>
      <c r="R1249" s="39" t="n">
        <v>1</v>
      </c>
      <c r="S1249" s="21" t="n">
        <v>0.79</v>
      </c>
      <c r="T1249" s="21" t="n">
        <v>0.33</v>
      </c>
      <c r="U1249" s="36" t="inlineStr">
        <is>
          <t>Tier 1A (Direct Coloc, &lt;1 km)</t>
        </is>
      </c>
      <c r="V1249" s="20" t="n">
        <v>86.90000000000001</v>
      </c>
      <c r="W1249" s="20" t="n">
        <v>49.1</v>
      </c>
      <c r="X1249" s="20" t="n">
        <v>58</v>
      </c>
      <c r="Y1249" s="40">
        <f>ROUND((V1249*'Methodology &amp; Assumptions'!$B$6)+(W1249*'Methodology &amp; Assumptions'!$B$5)+(X1249*'Methodology &amp; Assumptions'!$B$7), 2)</f>
        <v/>
      </c>
    </row>
    <row r="1250" ht="19" customHeight="1">
      <c r="A1250" s="41" t="n">
        <v>246</v>
      </c>
      <c r="B1250" s="41" t="n">
        <v>4246</v>
      </c>
      <c r="C1250" s="42" t="inlineStr">
        <is>
          <t>0103301030</t>
        </is>
      </c>
      <c r="D1250" s="42" t="inlineStr">
        <is>
          <t>Region I (Ilocos Region)</t>
        </is>
      </c>
      <c r="E1250" s="42" t="inlineStr">
        <is>
          <t>La Union</t>
        </is>
      </c>
      <c r="F1250" s="42" t="inlineStr">
        <is>
          <t>Agoo</t>
        </is>
      </c>
      <c r="G1250" s="42" t="inlineStr">
        <is>
          <t>San Nicolas Central</t>
        </is>
      </c>
      <c r="H1250" s="43" t="n">
        <v>16.32126</v>
      </c>
      <c r="I1250" s="43" t="n">
        <v>120.36517</v>
      </c>
      <c r="J1250" s="44" t="inlineStr">
        <is>
          <t>R</t>
        </is>
      </c>
      <c r="K1250" s="42" t="inlineStr">
        <is>
          <t>Class 1-3 / Urban</t>
        </is>
      </c>
      <c r="L1250" s="23" t="n">
        <v>851</v>
      </c>
      <c r="M1250" s="24" t="n">
        <v>4.42</v>
      </c>
      <c r="N1250" s="23">
        <f>ROUND(L1250/M1250, 0)</f>
        <v/>
      </c>
      <c r="O1250" s="23">
        <f>ROUND(N1250*'Methodology &amp; Assumptions'!$B$8, 0)</f>
        <v/>
      </c>
      <c r="P1250" s="44" t="inlineStr">
        <is>
          <t>Band n50 (1.5 GHz, 60 MHz)</t>
        </is>
      </c>
      <c r="Q1250" s="38">
        <f>ROUNDUP(O1250/'Methodology &amp; Assumptions'!$B$9, 0)</f>
        <v/>
      </c>
      <c r="R1250" s="39" t="n">
        <v>1</v>
      </c>
      <c r="S1250" s="25" t="n">
        <v>0.44</v>
      </c>
      <c r="T1250" s="25" t="n">
        <v>0.29</v>
      </c>
      <c r="U1250" s="42" t="inlineStr">
        <is>
          <t>Tier 1A (Direct Coloc, &lt;1 km)</t>
        </is>
      </c>
      <c r="V1250" s="24" t="n">
        <v>96.5</v>
      </c>
      <c r="W1250" s="24" t="n">
        <v>39.5</v>
      </c>
      <c r="X1250" s="24" t="n">
        <v>58</v>
      </c>
      <c r="Y1250" s="45">
        <f>ROUND((V1250*'Methodology &amp; Assumptions'!$B$6)+(W1250*'Methodology &amp; Assumptions'!$B$5)+(X1250*'Methodology &amp; Assumptions'!$B$7), 2)</f>
        <v/>
      </c>
    </row>
    <row r="1251" ht="19" customHeight="1">
      <c r="A1251" s="35" t="n">
        <v>247</v>
      </c>
      <c r="B1251" s="35" t="n">
        <v>4247</v>
      </c>
      <c r="C1251" s="36" t="inlineStr">
        <is>
          <t>0305408041</t>
        </is>
      </c>
      <c r="D1251" s="36" t="inlineStr">
        <is>
          <t>Region III (Central Luzon)</t>
        </is>
      </c>
      <c r="E1251" s="36" t="inlineStr">
        <is>
          <t>Pampanga</t>
        </is>
      </c>
      <c r="F1251" s="36" t="inlineStr">
        <is>
          <t>Lubao</t>
        </is>
      </c>
      <c r="G1251" s="36" t="inlineStr">
        <is>
          <t>Santa Teresa 2nd</t>
        </is>
      </c>
      <c r="H1251" s="37" t="n">
        <v>14.886724</v>
      </c>
      <c r="I1251" s="37" t="n">
        <v>120.563423</v>
      </c>
      <c r="J1251" s="8" t="inlineStr">
        <is>
          <t>R</t>
        </is>
      </c>
      <c r="K1251" s="36" t="inlineStr">
        <is>
          <t>Class 1-3 / Urban</t>
        </is>
      </c>
      <c r="L1251" s="18" t="n">
        <v>4255</v>
      </c>
      <c r="M1251" s="20" t="n">
        <v>4.63</v>
      </c>
      <c r="N1251" s="18">
        <f>ROUND(L1251/M1251, 0)</f>
        <v/>
      </c>
      <c r="O1251" s="18">
        <f>ROUND(N1251*'Methodology &amp; Assumptions'!$B$8, 0)</f>
        <v/>
      </c>
      <c r="P1251" s="8" t="inlineStr">
        <is>
          <t>Band n50 (1.5 GHz, 60 MHz)</t>
        </is>
      </c>
      <c r="Q1251" s="38">
        <f>ROUNDUP(O1251/'Methodology &amp; Assumptions'!$B$9, 0)</f>
        <v/>
      </c>
      <c r="R1251" s="39" t="n">
        <v>1</v>
      </c>
      <c r="S1251" s="21" t="n">
        <v>2.88</v>
      </c>
      <c r="T1251" s="21" t="n">
        <v>2.26</v>
      </c>
      <c r="U1251" s="36" t="inlineStr">
        <is>
          <t>Tier 1B (Micro Drop, 1-3 km)</t>
        </is>
      </c>
      <c r="V1251" s="20" t="n">
        <v>38.4</v>
      </c>
      <c r="W1251" s="20" t="n">
        <v>97.59999999999999</v>
      </c>
      <c r="X1251" s="20" t="n">
        <v>58</v>
      </c>
      <c r="Y1251" s="40">
        <f>ROUND((V1251*'Methodology &amp; Assumptions'!$B$6)+(W1251*'Methodology &amp; Assumptions'!$B$5)+(X1251*'Methodology &amp; Assumptions'!$B$7), 2)</f>
        <v/>
      </c>
    </row>
    <row r="1252" ht="19" customHeight="1">
      <c r="A1252" s="41" t="n">
        <v>248</v>
      </c>
      <c r="B1252" s="41" t="n">
        <v>4248</v>
      </c>
      <c r="C1252" s="42" t="inlineStr">
        <is>
          <t>0908302029</t>
        </is>
      </c>
      <c r="D1252" s="42" t="inlineStr">
        <is>
          <t>Region IX (Zamboanga Peninsula)</t>
        </is>
      </c>
      <c r="E1252" s="42" t="inlineStr">
        <is>
          <t>Zamboanga Sibugay</t>
        </is>
      </c>
      <c r="F1252" s="42" t="inlineStr">
        <is>
          <t>Buug</t>
        </is>
      </c>
      <c r="G1252" s="42" t="inlineStr">
        <is>
          <t>Datu Panas</t>
        </is>
      </c>
      <c r="H1252" s="43" t="n">
        <v>7.722849</v>
      </c>
      <c r="I1252" s="43" t="n">
        <v>123.0637</v>
      </c>
      <c r="J1252" s="44" t="inlineStr">
        <is>
          <t>R</t>
        </is>
      </c>
      <c r="K1252" s="42" t="inlineStr">
        <is>
          <t>Class 1-3 / Urban</t>
        </is>
      </c>
      <c r="L1252" s="23" t="n">
        <v>2247</v>
      </c>
      <c r="M1252" s="24" t="n">
        <v>5.06</v>
      </c>
      <c r="N1252" s="23">
        <f>ROUND(L1252/M1252, 0)</f>
        <v/>
      </c>
      <c r="O1252" s="23">
        <f>ROUND(N1252*'Methodology &amp; Assumptions'!$B$8, 0)</f>
        <v/>
      </c>
      <c r="P1252" s="44" t="inlineStr">
        <is>
          <t>Band n50 (1.5 GHz, 60 MHz)</t>
        </is>
      </c>
      <c r="Q1252" s="38">
        <f>ROUNDUP(O1252/'Methodology &amp; Assumptions'!$B$9, 0)</f>
        <v/>
      </c>
      <c r="R1252" s="39" t="n">
        <v>1</v>
      </c>
      <c r="S1252" s="25" t="n">
        <v>1.23</v>
      </c>
      <c r="T1252" s="25" t="n">
        <v>0.73</v>
      </c>
      <c r="U1252" s="42" t="inlineStr">
        <is>
          <t>Tier 1B (Micro Drop, 1-3 km)</t>
        </is>
      </c>
      <c r="V1252" s="24" t="n">
        <v>76.5</v>
      </c>
      <c r="W1252" s="24" t="n">
        <v>59.5</v>
      </c>
      <c r="X1252" s="24" t="n">
        <v>58</v>
      </c>
      <c r="Y1252" s="45">
        <f>ROUND((V1252*'Methodology &amp; Assumptions'!$B$6)+(W1252*'Methodology &amp; Assumptions'!$B$5)+(X1252*'Methodology &amp; Assumptions'!$B$7), 2)</f>
        <v/>
      </c>
    </row>
    <row r="1253" ht="19" customHeight="1">
      <c r="A1253" s="35" t="n">
        <v>249</v>
      </c>
      <c r="B1253" s="35" t="n">
        <v>4249</v>
      </c>
      <c r="C1253" s="36" t="inlineStr">
        <is>
          <t>1705208008</t>
        </is>
      </c>
      <c r="D1253" s="36" t="inlineStr">
        <is>
          <t>MIMAROPA Region</t>
        </is>
      </c>
      <c r="E1253" s="36" t="inlineStr">
        <is>
          <t>Oriental Mindoro</t>
        </is>
      </c>
      <c r="F1253" s="36" t="inlineStr">
        <is>
          <t>Naujan</t>
        </is>
      </c>
      <c r="G1253" s="36" t="inlineStr">
        <is>
          <t>Bancuro</t>
        </is>
      </c>
      <c r="H1253" s="37" t="n">
        <v>13.28141</v>
      </c>
      <c r="I1253" s="37" t="n">
        <v>121.312937</v>
      </c>
      <c r="J1253" s="8" t="inlineStr">
        <is>
          <t>R</t>
        </is>
      </c>
      <c r="K1253" s="36" t="inlineStr">
        <is>
          <t>Class 1-3 / Urban</t>
        </is>
      </c>
      <c r="L1253" s="18" t="n">
        <v>2199</v>
      </c>
      <c r="M1253" s="20" t="n">
        <v>4.41</v>
      </c>
      <c r="N1253" s="18">
        <f>ROUND(L1253/M1253, 0)</f>
        <v/>
      </c>
      <c r="O1253" s="18">
        <f>ROUND(N1253*'Methodology &amp; Assumptions'!$B$8, 0)</f>
        <v/>
      </c>
      <c r="P1253" s="8" t="inlineStr">
        <is>
          <t>Band n50 (1.5 GHz, 60 MHz)</t>
        </is>
      </c>
      <c r="Q1253" s="38">
        <f>ROUNDUP(O1253/'Methodology &amp; Assumptions'!$B$9, 0)</f>
        <v/>
      </c>
      <c r="R1253" s="39" t="n">
        <v>1</v>
      </c>
      <c r="S1253" s="21" t="n">
        <v>0.83</v>
      </c>
      <c r="T1253" s="21" t="n">
        <v>5.57</v>
      </c>
      <c r="U1253" s="36" t="inlineStr">
        <is>
          <t>Tier 1A (Direct Coloc, &lt;1 km)</t>
        </is>
      </c>
      <c r="V1253" s="20" t="n">
        <v>75.90000000000001</v>
      </c>
      <c r="W1253" s="20" t="n">
        <v>60</v>
      </c>
      <c r="X1253" s="20" t="n">
        <v>58</v>
      </c>
      <c r="Y1253" s="40">
        <f>ROUND((V1253*'Methodology &amp; Assumptions'!$B$6)+(W1253*'Methodology &amp; Assumptions'!$B$5)+(X1253*'Methodology &amp; Assumptions'!$B$7), 2)</f>
        <v/>
      </c>
    </row>
    <row r="1254" ht="19" customHeight="1">
      <c r="A1254" s="41" t="n">
        <v>250</v>
      </c>
      <c r="B1254" s="41" t="n">
        <v>4250</v>
      </c>
      <c r="C1254" s="42" t="inlineStr">
        <is>
          <t>1001320020</t>
        </is>
      </c>
      <c r="D1254" s="42" t="inlineStr">
        <is>
          <t>Region X (Northern Mindanao)</t>
        </is>
      </c>
      <c r="E1254" s="42" t="inlineStr">
        <is>
          <t>Bukidnon</t>
        </is>
      </c>
      <c r="F1254" s="42" t="inlineStr">
        <is>
          <t>Talakag</t>
        </is>
      </c>
      <c r="G1254" s="42" t="inlineStr">
        <is>
          <t>Barangay 2</t>
        </is>
      </c>
      <c r="H1254" s="43" t="n">
        <v>8.233496000000001</v>
      </c>
      <c r="I1254" s="43" t="n">
        <v>124.603682</v>
      </c>
      <c r="J1254" s="44" t="inlineStr">
        <is>
          <t>R</t>
        </is>
      </c>
      <c r="K1254" s="42" t="inlineStr">
        <is>
          <t>Class 1-3 / Urban</t>
        </is>
      </c>
      <c r="L1254" s="23" t="n">
        <v>1062</v>
      </c>
      <c r="M1254" s="24" t="n">
        <v>4.63</v>
      </c>
      <c r="N1254" s="23">
        <f>ROUND(L1254/M1254, 0)</f>
        <v/>
      </c>
      <c r="O1254" s="23">
        <f>ROUND(N1254*'Methodology &amp; Assumptions'!$B$8, 0)</f>
        <v/>
      </c>
      <c r="P1254" s="44" t="inlineStr">
        <is>
          <t>Band n50 (1.5 GHz, 60 MHz)</t>
        </is>
      </c>
      <c r="Q1254" s="38">
        <f>ROUNDUP(O1254/'Methodology &amp; Assumptions'!$B$9, 0)</f>
        <v/>
      </c>
      <c r="R1254" s="39" t="n">
        <v>1</v>
      </c>
      <c r="S1254" s="25" t="n">
        <v>0.54</v>
      </c>
      <c r="T1254" s="25" t="n">
        <v>0.21</v>
      </c>
      <c r="U1254" s="42" t="inlineStr">
        <is>
          <t>Tier 1A (Direct Coloc, &lt;1 km)</t>
        </is>
      </c>
      <c r="V1254" s="24" t="n">
        <v>93.59999999999999</v>
      </c>
      <c r="W1254" s="24" t="n">
        <v>42.4</v>
      </c>
      <c r="X1254" s="24" t="n">
        <v>58</v>
      </c>
      <c r="Y1254" s="45">
        <f>ROUND((V1254*'Methodology &amp; Assumptions'!$B$6)+(W1254*'Methodology &amp; Assumptions'!$B$5)+(X1254*'Methodology &amp; Assumptions'!$B$7), 2)</f>
        <v/>
      </c>
    </row>
    <row r="1255" ht="19" customHeight="1">
      <c r="A1255" s="35" t="n">
        <v>251</v>
      </c>
      <c r="B1255" s="35" t="n">
        <v>4251</v>
      </c>
      <c r="C1255" s="36" t="inlineStr">
        <is>
          <t>0301416010</t>
        </is>
      </c>
      <c r="D1255" s="36" t="inlineStr">
        <is>
          <t>Region III (Central Luzon)</t>
        </is>
      </c>
      <c r="E1255" s="36" t="inlineStr">
        <is>
          <t>Bulacan</t>
        </is>
      </c>
      <c r="F1255" s="36" t="inlineStr">
        <is>
          <t>Paombong</t>
        </is>
      </c>
      <c r="G1255" s="36" t="inlineStr">
        <is>
          <t>San Isidro II</t>
        </is>
      </c>
      <c r="H1255" s="37" t="n">
        <v>14.836341</v>
      </c>
      <c r="I1255" s="37" t="n">
        <v>120.771236</v>
      </c>
      <c r="J1255" s="8" t="inlineStr">
        <is>
          <t>U</t>
        </is>
      </c>
      <c r="K1255" s="36" t="inlineStr">
        <is>
          <t>Class 1-3 / Urban</t>
        </is>
      </c>
      <c r="L1255" s="18" t="n">
        <v>12011</v>
      </c>
      <c r="M1255" s="20" t="n">
        <v>4.1</v>
      </c>
      <c r="N1255" s="18">
        <f>ROUND(L1255/M1255, 0)</f>
        <v/>
      </c>
      <c r="O1255" s="18">
        <f>ROUND(N1255*'Methodology &amp; Assumptions'!$B$8, 0)</f>
        <v/>
      </c>
      <c r="P1255" s="8" t="inlineStr">
        <is>
          <t>Band n50 (1.5 GHz, 60 MHz)</t>
        </is>
      </c>
      <c r="Q1255" s="38">
        <f>ROUNDUP(O1255/'Methodology &amp; Assumptions'!$B$9, 0)</f>
        <v/>
      </c>
      <c r="R1255" s="39" t="n">
        <v>1</v>
      </c>
      <c r="S1255" s="21" t="n">
        <v>2.15</v>
      </c>
      <c r="T1255" s="21" t="n">
        <v>4.02</v>
      </c>
      <c r="U1255" s="36" t="inlineStr">
        <is>
          <t>Tier 1B (Micro Drop, 1-3 km)</t>
        </is>
      </c>
      <c r="V1255" s="20" t="n">
        <v>48.8</v>
      </c>
      <c r="W1255" s="20" t="n">
        <v>100</v>
      </c>
      <c r="X1255" s="20" t="n">
        <v>43</v>
      </c>
      <c r="Y1255" s="40">
        <f>ROUND((V1255*'Methodology &amp; Assumptions'!$B$6)+(W1255*'Methodology &amp; Assumptions'!$B$5)+(X1255*'Methodology &amp; Assumptions'!$B$7), 2)</f>
        <v/>
      </c>
    </row>
    <row r="1256" ht="19" customHeight="1">
      <c r="A1256" s="41" t="n">
        <v>252</v>
      </c>
      <c r="B1256" s="41" t="n">
        <v>4252</v>
      </c>
      <c r="C1256" s="42" t="inlineStr">
        <is>
          <t>0403405004</t>
        </is>
      </c>
      <c r="D1256" s="42" t="inlineStr">
        <is>
          <t>Region IV-A (CALABARZON)</t>
        </is>
      </c>
      <c r="E1256" s="42" t="inlineStr">
        <is>
          <t>Laguna</t>
        </is>
      </c>
      <c r="F1256" s="42" t="inlineStr">
        <is>
          <t>City of Calamba</t>
        </is>
      </c>
      <c r="G1256" s="42" t="inlineStr">
        <is>
          <t>Barandal</t>
        </is>
      </c>
      <c r="H1256" s="43" t="n">
        <v>14.188263</v>
      </c>
      <c r="I1256" s="43" t="n">
        <v>121.13028</v>
      </c>
      <c r="J1256" s="44" t="inlineStr">
        <is>
          <t>U</t>
        </is>
      </c>
      <c r="K1256" s="42" t="inlineStr">
        <is>
          <t>Class 1-3 / Urban</t>
        </is>
      </c>
      <c r="L1256" s="23" t="n">
        <v>18076</v>
      </c>
      <c r="M1256" s="24" t="n">
        <v>4.2</v>
      </c>
      <c r="N1256" s="23">
        <f>ROUND(L1256/M1256, 0)</f>
        <v/>
      </c>
      <c r="O1256" s="23">
        <f>ROUND(N1256*'Methodology &amp; Assumptions'!$B$8, 0)</f>
        <v/>
      </c>
      <c r="P1256" s="44" t="inlineStr">
        <is>
          <t>Band n50 (1.5 GHz, 60 MHz)</t>
        </is>
      </c>
      <c r="Q1256" s="38">
        <f>ROUNDUP(O1256/'Methodology &amp; Assumptions'!$B$9, 0)</f>
        <v/>
      </c>
      <c r="R1256" s="39" t="n">
        <v>1</v>
      </c>
      <c r="S1256" s="25" t="n">
        <v>1.98</v>
      </c>
      <c r="T1256" s="25" t="n">
        <v>0.21</v>
      </c>
      <c r="U1256" s="42" t="inlineStr">
        <is>
          <t>Tier 1B (Micro Drop, 1-3 km)</t>
        </is>
      </c>
      <c r="V1256" s="24" t="n">
        <v>61.7</v>
      </c>
      <c r="W1256" s="24" t="n">
        <v>100</v>
      </c>
      <c r="X1256" s="24" t="n">
        <v>28</v>
      </c>
      <c r="Y1256" s="45">
        <f>ROUND((V1256*'Methodology &amp; Assumptions'!$B$6)+(W1256*'Methodology &amp; Assumptions'!$B$5)+(X1256*'Methodology &amp; Assumptions'!$B$7), 2)</f>
        <v/>
      </c>
    </row>
    <row r="1257" ht="19" customHeight="1">
      <c r="A1257" s="35" t="n">
        <v>253</v>
      </c>
      <c r="B1257" s="35" t="n">
        <v>4253</v>
      </c>
      <c r="C1257" s="36" t="inlineStr">
        <is>
          <t>0301405003</t>
        </is>
      </c>
      <c r="D1257" s="36" t="inlineStr">
        <is>
          <t>Region III (Central Luzon)</t>
        </is>
      </c>
      <c r="E1257" s="36" t="inlineStr">
        <is>
          <t>Bulacan</t>
        </is>
      </c>
      <c r="F1257" s="36" t="inlineStr">
        <is>
          <t>Bulacan</t>
        </is>
      </c>
      <c r="G1257" s="36" t="inlineStr">
        <is>
          <t>Bambang</t>
        </is>
      </c>
      <c r="H1257" s="37" t="n">
        <v>14.783107</v>
      </c>
      <c r="I1257" s="37" t="n">
        <v>120.879312</v>
      </c>
      <c r="J1257" s="8" t="inlineStr">
        <is>
          <t>U</t>
        </is>
      </c>
      <c r="K1257" s="36" t="inlineStr">
        <is>
          <t>Class 1-3 / Urban</t>
        </is>
      </c>
      <c r="L1257" s="18" t="n">
        <v>14257</v>
      </c>
      <c r="M1257" s="20" t="n">
        <v>4.1</v>
      </c>
      <c r="N1257" s="18">
        <f>ROUND(L1257/M1257, 0)</f>
        <v/>
      </c>
      <c r="O1257" s="18">
        <f>ROUND(N1257*'Methodology &amp; Assumptions'!$B$8, 0)</f>
        <v/>
      </c>
      <c r="P1257" s="8" t="inlineStr">
        <is>
          <t>Band n50 (1.5 GHz, 60 MHz)</t>
        </is>
      </c>
      <c r="Q1257" s="38">
        <f>ROUNDUP(O1257/'Methodology &amp; Assumptions'!$B$9, 0)</f>
        <v/>
      </c>
      <c r="R1257" s="39" t="n">
        <v>1</v>
      </c>
      <c r="S1257" s="21" t="n">
        <v>1.45</v>
      </c>
      <c r="T1257" s="21" t="n">
        <v>4.84</v>
      </c>
      <c r="U1257" s="36" t="inlineStr">
        <is>
          <t>Tier 1B (Micro Drop, 1-3 km)</t>
        </is>
      </c>
      <c r="V1257" s="20" t="n">
        <v>61.7</v>
      </c>
      <c r="W1257" s="20" t="n">
        <v>100</v>
      </c>
      <c r="X1257" s="20" t="n">
        <v>28</v>
      </c>
      <c r="Y1257" s="40">
        <f>ROUND((V1257*'Methodology &amp; Assumptions'!$B$6)+(W1257*'Methodology &amp; Assumptions'!$B$5)+(X1257*'Methodology &amp; Assumptions'!$B$7), 2)</f>
        <v/>
      </c>
    </row>
    <row r="1258" ht="19" customHeight="1">
      <c r="A1258" s="41" t="n">
        <v>254</v>
      </c>
      <c r="B1258" s="41" t="n">
        <v>4254</v>
      </c>
      <c r="C1258" s="42" t="inlineStr">
        <is>
          <t>0301419020</t>
        </is>
      </c>
      <c r="D1258" s="42" t="inlineStr">
        <is>
          <t>Region III (Central Luzon)</t>
        </is>
      </c>
      <c r="E1258" s="42" t="inlineStr">
        <is>
          <t>Bulacan</t>
        </is>
      </c>
      <c r="F1258" s="42" t="inlineStr">
        <is>
          <t>San Ildefonso</t>
        </is>
      </c>
      <c r="G1258" s="42" t="inlineStr">
        <is>
          <t>Malipampang</t>
        </is>
      </c>
      <c r="H1258" s="43" t="n">
        <v>15.056736</v>
      </c>
      <c r="I1258" s="43" t="n">
        <v>120.938442</v>
      </c>
      <c r="J1258" s="44" t="inlineStr">
        <is>
          <t>U</t>
        </is>
      </c>
      <c r="K1258" s="42" t="inlineStr">
        <is>
          <t>Class 1-3 / Urban</t>
        </is>
      </c>
      <c r="L1258" s="23" t="n">
        <v>6605</v>
      </c>
      <c r="M1258" s="24" t="n">
        <v>4.1</v>
      </c>
      <c r="N1258" s="23">
        <f>ROUND(L1258/M1258, 0)</f>
        <v/>
      </c>
      <c r="O1258" s="23">
        <f>ROUND(N1258*'Methodology &amp; Assumptions'!$B$8, 0)</f>
        <v/>
      </c>
      <c r="P1258" s="44" t="inlineStr">
        <is>
          <t>Band n50 (1.5 GHz, 60 MHz)</t>
        </is>
      </c>
      <c r="Q1258" s="38">
        <f>ROUNDUP(O1258/'Methodology &amp; Assumptions'!$B$9, 0)</f>
        <v/>
      </c>
      <c r="R1258" s="39" t="n">
        <v>1</v>
      </c>
      <c r="S1258" s="25" t="n">
        <v>1.98</v>
      </c>
      <c r="T1258" s="25" t="n">
        <v>0.06</v>
      </c>
      <c r="U1258" s="42" t="inlineStr">
        <is>
          <t>Tier 1B (Micro Drop, 1-3 km)</t>
        </is>
      </c>
      <c r="V1258" s="24" t="n">
        <v>61.7</v>
      </c>
      <c r="W1258" s="24" t="n">
        <v>100</v>
      </c>
      <c r="X1258" s="24" t="n">
        <v>28</v>
      </c>
      <c r="Y1258" s="45">
        <f>ROUND((V1258*'Methodology &amp; Assumptions'!$B$6)+(W1258*'Methodology &amp; Assumptions'!$B$5)+(X1258*'Methodology &amp; Assumptions'!$B$7), 2)</f>
        <v/>
      </c>
    </row>
    <row r="1259" ht="19" customHeight="1">
      <c r="A1259" s="35" t="n">
        <v>255</v>
      </c>
      <c r="B1259" s="35" t="n">
        <v>4255</v>
      </c>
      <c r="C1259" s="36" t="inlineStr">
        <is>
          <t>0501603023</t>
        </is>
      </c>
      <c r="D1259" s="36" t="inlineStr">
        <is>
          <t>Region V (Bicol Region)</t>
        </is>
      </c>
      <c r="E1259" s="36" t="inlineStr">
        <is>
          <t>Camarines Norte</t>
        </is>
      </c>
      <c r="F1259" s="36" t="inlineStr">
        <is>
          <t>Daet</t>
        </is>
      </c>
      <c r="G1259" s="36" t="inlineStr">
        <is>
          <t>Pamorangon</t>
        </is>
      </c>
      <c r="H1259" s="37" t="n">
        <v>14.090066</v>
      </c>
      <c r="I1259" s="37" t="n">
        <v>122.95913</v>
      </c>
      <c r="J1259" s="8" t="inlineStr">
        <is>
          <t>R</t>
        </is>
      </c>
      <c r="K1259" s="36" t="inlineStr">
        <is>
          <t>Class 1-3 / Urban</t>
        </is>
      </c>
      <c r="L1259" s="18" t="n">
        <v>3436</v>
      </c>
      <c r="M1259" s="20" t="n">
        <v>4.4</v>
      </c>
      <c r="N1259" s="18">
        <f>ROUND(L1259/M1259, 0)</f>
        <v/>
      </c>
      <c r="O1259" s="18">
        <f>ROUND(N1259*'Methodology &amp; Assumptions'!$B$8, 0)</f>
        <v/>
      </c>
      <c r="P1259" s="8" t="inlineStr">
        <is>
          <t>Band n50 (1.5 GHz, 60 MHz)</t>
        </is>
      </c>
      <c r="Q1259" s="38">
        <f>ROUNDUP(O1259/'Methodology &amp; Assumptions'!$B$9, 0)</f>
        <v/>
      </c>
      <c r="R1259" s="39" t="n">
        <v>1</v>
      </c>
      <c r="S1259" s="21" t="n">
        <v>2.78</v>
      </c>
      <c r="T1259" s="21" t="n">
        <v>1.3</v>
      </c>
      <c r="U1259" s="36" t="inlineStr">
        <is>
          <t>Tier 1B (Micro Drop, 1-3 km)</t>
        </is>
      </c>
      <c r="V1259" s="20" t="n">
        <v>49.5</v>
      </c>
      <c r="W1259" s="20" t="n">
        <v>86.40000000000001</v>
      </c>
      <c r="X1259" s="20" t="n">
        <v>58</v>
      </c>
      <c r="Y1259" s="40">
        <f>ROUND((V1259*'Methodology &amp; Assumptions'!$B$6)+(W1259*'Methodology &amp; Assumptions'!$B$5)+(X1259*'Methodology &amp; Assumptions'!$B$7), 2)</f>
        <v/>
      </c>
    </row>
    <row r="1260" ht="19" customHeight="1">
      <c r="A1260" s="41" t="n">
        <v>256</v>
      </c>
      <c r="B1260" s="41" t="n">
        <v>4256</v>
      </c>
      <c r="C1260" s="42" t="inlineStr">
        <is>
          <t>0402103058</t>
        </is>
      </c>
      <c r="D1260" s="42" t="inlineStr">
        <is>
          <t>Region IV-A (CALABARZON)</t>
        </is>
      </c>
      <c r="E1260" s="42" t="inlineStr">
        <is>
          <t>Cavite</t>
        </is>
      </c>
      <c r="F1260" s="42" t="inlineStr">
        <is>
          <t>City of Bacoor</t>
        </is>
      </c>
      <c r="G1260" s="42" t="inlineStr">
        <is>
          <t>P.F. Espiritu VII</t>
        </is>
      </c>
      <c r="H1260" s="43" t="n">
        <v>14.436707</v>
      </c>
      <c r="I1260" s="43" t="n">
        <v>120.961346</v>
      </c>
      <c r="J1260" s="44" t="inlineStr">
        <is>
          <t>U</t>
        </is>
      </c>
      <c r="K1260" s="42" t="inlineStr">
        <is>
          <t>Class 1-3 / Urban</t>
        </is>
      </c>
      <c r="L1260" s="23" t="n">
        <v>3682</v>
      </c>
      <c r="M1260" s="24" t="n">
        <v>4.49</v>
      </c>
      <c r="N1260" s="23">
        <f>ROUND(L1260/M1260, 0)</f>
        <v/>
      </c>
      <c r="O1260" s="23">
        <f>ROUND(N1260*'Methodology &amp; Assumptions'!$B$8, 0)</f>
        <v/>
      </c>
      <c r="P1260" s="44" t="inlineStr">
        <is>
          <t>Band n50 (1.5 GHz, 60 MHz)</t>
        </is>
      </c>
      <c r="Q1260" s="38">
        <f>ROUNDUP(O1260/'Methodology &amp; Assumptions'!$B$9, 0)</f>
        <v/>
      </c>
      <c r="R1260" s="39" t="n">
        <v>1</v>
      </c>
      <c r="S1260" s="25" t="n">
        <v>1.43</v>
      </c>
      <c r="T1260" s="25" t="n">
        <v>1.32</v>
      </c>
      <c r="U1260" s="42" t="inlineStr">
        <is>
          <t>Tier 1B (Micro Drop, 1-3 km)</t>
        </is>
      </c>
      <c r="V1260" s="24" t="n">
        <v>72</v>
      </c>
      <c r="W1260" s="24" t="n">
        <v>89.59999999999999</v>
      </c>
      <c r="X1260" s="24" t="n">
        <v>28</v>
      </c>
      <c r="Y1260" s="45">
        <f>ROUND((V1260*'Methodology &amp; Assumptions'!$B$6)+(W1260*'Methodology &amp; Assumptions'!$B$5)+(X1260*'Methodology &amp; Assumptions'!$B$7), 2)</f>
        <v/>
      </c>
    </row>
    <row r="1261" ht="19" customHeight="1">
      <c r="A1261" s="35" t="n">
        <v>257</v>
      </c>
      <c r="B1261" s="35" t="n">
        <v>4257</v>
      </c>
      <c r="C1261" s="36" t="inlineStr">
        <is>
          <t>1404407006</t>
        </is>
      </c>
      <c r="D1261" s="36" t="inlineStr">
        <is>
          <t>Cordillera Administrative Region (CAR)</t>
        </is>
      </c>
      <c r="E1261" s="36" t="inlineStr">
        <is>
          <t>Mountain Province</t>
        </is>
      </c>
      <c r="F1261" s="36" t="inlineStr">
        <is>
          <t>Sabangan</t>
        </is>
      </c>
      <c r="G1261" s="36" t="inlineStr">
        <is>
          <t>Data</t>
        </is>
      </c>
      <c r="H1261" s="37" t="n">
        <v>16.861596</v>
      </c>
      <c r="I1261" s="37" t="n">
        <v>120.87318</v>
      </c>
      <c r="J1261" s="8" t="inlineStr">
        <is>
          <t>R</t>
        </is>
      </c>
      <c r="K1261" s="36" t="inlineStr">
        <is>
          <t>4th</t>
        </is>
      </c>
      <c r="L1261" s="18" t="n">
        <v>837</v>
      </c>
      <c r="M1261" s="20" t="n">
        <v>4.19</v>
      </c>
      <c r="N1261" s="18">
        <f>ROUND(L1261/M1261, 0)</f>
        <v/>
      </c>
      <c r="O1261" s="18">
        <f>ROUND(N1261*'Methodology &amp; Assumptions'!$B$8, 0)</f>
        <v/>
      </c>
      <c r="P1261" s="8" t="inlineStr">
        <is>
          <t>Band n50 (1.5 GHz, 60 MHz)</t>
        </is>
      </c>
      <c r="Q1261" s="38">
        <f>ROUNDUP(O1261/'Methodology &amp; Assumptions'!$B$9, 0)</f>
        <v/>
      </c>
      <c r="R1261" s="39" t="n">
        <v>1</v>
      </c>
      <c r="S1261" s="21" t="n">
        <v>0.64</v>
      </c>
      <c r="T1261" s="21" t="n">
        <v>0.14</v>
      </c>
      <c r="U1261" s="36" t="inlineStr">
        <is>
          <t>Tier 1A (Direct Coloc, &lt;1 km)</t>
        </is>
      </c>
      <c r="V1261" s="20" t="n">
        <v>90.90000000000001</v>
      </c>
      <c r="W1261" s="20" t="n">
        <v>36</v>
      </c>
      <c r="X1261" s="20" t="n">
        <v>68.5</v>
      </c>
      <c r="Y1261" s="40">
        <f>ROUND((V1261*'Methodology &amp; Assumptions'!$B$6)+(W1261*'Methodology &amp; Assumptions'!$B$5)+(X1261*'Methodology &amp; Assumptions'!$B$7), 2)</f>
        <v/>
      </c>
    </row>
    <row r="1262" ht="19" customHeight="1">
      <c r="A1262" s="41" t="n">
        <v>258</v>
      </c>
      <c r="B1262" s="41" t="n">
        <v>4258</v>
      </c>
      <c r="C1262" s="42" t="inlineStr">
        <is>
          <t>1705208016</t>
        </is>
      </c>
      <c r="D1262" s="42" t="inlineStr">
        <is>
          <t>MIMAROPA Region</t>
        </is>
      </c>
      <c r="E1262" s="42" t="inlineStr">
        <is>
          <t>Oriental Mindoro</t>
        </is>
      </c>
      <c r="F1262" s="42" t="inlineStr">
        <is>
          <t>Naujan</t>
        </is>
      </c>
      <c r="G1262" s="42" t="inlineStr">
        <is>
          <t>Estrella</t>
        </is>
      </c>
      <c r="H1262" s="43" t="n">
        <v>13.330376</v>
      </c>
      <c r="I1262" s="43" t="n">
        <v>121.309448</v>
      </c>
      <c r="J1262" s="44" t="inlineStr">
        <is>
          <t>R</t>
        </is>
      </c>
      <c r="K1262" s="42" t="inlineStr">
        <is>
          <t>Class 1-3 / Urban</t>
        </is>
      </c>
      <c r="L1262" s="23" t="n">
        <v>2784</v>
      </c>
      <c r="M1262" s="24" t="n">
        <v>4.41</v>
      </c>
      <c r="N1262" s="23">
        <f>ROUND(L1262/M1262, 0)</f>
        <v/>
      </c>
      <c r="O1262" s="23">
        <f>ROUND(N1262*'Methodology &amp; Assumptions'!$B$8, 0)</f>
        <v/>
      </c>
      <c r="P1262" s="44" t="inlineStr">
        <is>
          <t>Band n50 (1.5 GHz, 60 MHz)</t>
        </is>
      </c>
      <c r="Q1262" s="38">
        <f>ROUNDUP(O1262/'Methodology &amp; Assumptions'!$B$9, 0)</f>
        <v/>
      </c>
      <c r="R1262" s="39" t="n">
        <v>1</v>
      </c>
      <c r="S1262" s="25" t="n">
        <v>1.27</v>
      </c>
      <c r="T1262" s="25" t="n">
        <v>8.199999999999999</v>
      </c>
      <c r="U1262" s="42" t="inlineStr">
        <is>
          <t>Tier 1B (Micro Drop, 1-3 km)</t>
        </is>
      </c>
      <c r="V1262" s="24" t="n">
        <v>65.5</v>
      </c>
      <c r="W1262" s="24" t="n">
        <v>70.40000000000001</v>
      </c>
      <c r="X1262" s="24" t="n">
        <v>58</v>
      </c>
      <c r="Y1262" s="45">
        <f>ROUND((V1262*'Methodology &amp; Assumptions'!$B$6)+(W1262*'Methodology &amp; Assumptions'!$B$5)+(X1262*'Methodology &amp; Assumptions'!$B$7), 2)</f>
        <v/>
      </c>
    </row>
    <row r="1263" ht="19" customHeight="1">
      <c r="A1263" s="35" t="n">
        <v>259</v>
      </c>
      <c r="B1263" s="35" t="n">
        <v>4259</v>
      </c>
      <c r="C1263" s="36" t="inlineStr">
        <is>
          <t>0603037011</t>
        </is>
      </c>
      <c r="D1263" s="36" t="inlineStr">
        <is>
          <t>Region VI (Western Visayas)</t>
        </is>
      </c>
      <c r="E1263" s="36" t="inlineStr">
        <is>
          <t>Iloilo</t>
        </is>
      </c>
      <c r="F1263" s="36" t="inlineStr">
        <is>
          <t>Pototan</t>
        </is>
      </c>
      <c r="G1263" s="36" t="inlineStr">
        <is>
          <t>Cato-ogan</t>
        </is>
      </c>
      <c r="H1263" s="37" t="n">
        <v>10.933821</v>
      </c>
      <c r="I1263" s="37" t="n">
        <v>122.651391</v>
      </c>
      <c r="J1263" s="8" t="inlineStr">
        <is>
          <t>R</t>
        </is>
      </c>
      <c r="K1263" s="36" t="inlineStr">
        <is>
          <t>Class 1-3 / Urban</t>
        </is>
      </c>
      <c r="L1263" s="18" t="n">
        <v>2537</v>
      </c>
      <c r="M1263" s="20" t="n">
        <v>4.39</v>
      </c>
      <c r="N1263" s="18">
        <f>ROUND(L1263/M1263, 0)</f>
        <v/>
      </c>
      <c r="O1263" s="18">
        <f>ROUND(N1263*'Methodology &amp; Assumptions'!$B$8, 0)</f>
        <v/>
      </c>
      <c r="P1263" s="8" t="inlineStr">
        <is>
          <t>Band n50 (1.5 GHz, 60 MHz)</t>
        </is>
      </c>
      <c r="Q1263" s="38">
        <f>ROUNDUP(O1263/'Methodology &amp; Assumptions'!$B$9, 0)</f>
        <v/>
      </c>
      <c r="R1263" s="39" t="n">
        <v>1</v>
      </c>
      <c r="S1263" s="21" t="n">
        <v>1.75</v>
      </c>
      <c r="T1263" s="21" t="n">
        <v>0.19</v>
      </c>
      <c r="U1263" s="36" t="inlineStr">
        <is>
          <t>Tier 1B (Micro Drop, 1-3 km)</t>
        </is>
      </c>
      <c r="V1263" s="20" t="n">
        <v>65.8</v>
      </c>
      <c r="W1263" s="20" t="n">
        <v>70.09999999999999</v>
      </c>
      <c r="X1263" s="20" t="n">
        <v>58</v>
      </c>
      <c r="Y1263" s="40">
        <f>ROUND((V1263*'Methodology &amp; Assumptions'!$B$6)+(W1263*'Methodology &amp; Assumptions'!$B$5)+(X1263*'Methodology &amp; Assumptions'!$B$7), 2)</f>
        <v/>
      </c>
    </row>
    <row r="1264" ht="19" customHeight="1">
      <c r="A1264" s="41" t="n">
        <v>260</v>
      </c>
      <c r="B1264" s="41" t="n">
        <v>4260</v>
      </c>
      <c r="C1264" s="42" t="inlineStr">
        <is>
          <t>0500518009</t>
        </is>
      </c>
      <c r="D1264" s="42" t="inlineStr">
        <is>
          <t>Region V (Bicol Region)</t>
        </is>
      </c>
      <c r="E1264" s="42" t="inlineStr">
        <is>
          <t>Albay</t>
        </is>
      </c>
      <c r="F1264" s="42" t="inlineStr">
        <is>
          <t>Tiwi</t>
        </is>
      </c>
      <c r="G1264" s="42" t="inlineStr">
        <is>
          <t>Coro-coro</t>
        </is>
      </c>
      <c r="H1264" s="43" t="n">
        <v>13.447008</v>
      </c>
      <c r="I1264" s="43" t="n">
        <v>123.677655</v>
      </c>
      <c r="J1264" s="44" t="inlineStr">
        <is>
          <t>R</t>
        </is>
      </c>
      <c r="K1264" s="42" t="inlineStr">
        <is>
          <t>Class 1-3 / Urban</t>
        </is>
      </c>
      <c r="L1264" s="23" t="n">
        <v>1826</v>
      </c>
      <c r="M1264" s="24" t="n">
        <v>4.67</v>
      </c>
      <c r="N1264" s="23">
        <f>ROUND(L1264/M1264, 0)</f>
        <v/>
      </c>
      <c r="O1264" s="23">
        <f>ROUND(N1264*'Methodology &amp; Assumptions'!$B$8, 0)</f>
        <v/>
      </c>
      <c r="P1264" s="44" t="inlineStr">
        <is>
          <t>Band n50 (1.5 GHz, 60 MHz)</t>
        </is>
      </c>
      <c r="Q1264" s="38">
        <f>ROUNDUP(O1264/'Methodology &amp; Assumptions'!$B$9, 0)</f>
        <v/>
      </c>
      <c r="R1264" s="39" t="n">
        <v>1</v>
      </c>
      <c r="S1264" s="25" t="n">
        <v>1.04</v>
      </c>
      <c r="T1264" s="25" t="n">
        <v>0.53</v>
      </c>
      <c r="U1264" s="42" t="inlineStr">
        <is>
          <t>Tier 1B (Micro Drop, 1-3 km)</t>
        </is>
      </c>
      <c r="V1264" s="24" t="n">
        <v>80.7</v>
      </c>
      <c r="W1264" s="24" t="n">
        <v>55.2</v>
      </c>
      <c r="X1264" s="24" t="n">
        <v>58</v>
      </c>
      <c r="Y1264" s="45">
        <f>ROUND((V1264*'Methodology &amp; Assumptions'!$B$6)+(W1264*'Methodology &amp; Assumptions'!$B$5)+(X1264*'Methodology &amp; Assumptions'!$B$7), 2)</f>
        <v/>
      </c>
    </row>
    <row r="1265" ht="19" customHeight="1">
      <c r="A1265" s="35" t="n">
        <v>261</v>
      </c>
      <c r="B1265" s="35" t="n">
        <v>4261</v>
      </c>
      <c r="C1265" s="36" t="inlineStr">
        <is>
          <t>0405813002</t>
        </is>
      </c>
      <c r="D1265" s="36" t="inlineStr">
        <is>
          <t>Region IV-A (CALABARZON)</t>
        </is>
      </c>
      <c r="E1265" s="36" t="inlineStr">
        <is>
          <t>Rizal</t>
        </is>
      </c>
      <c r="F1265" s="36" t="inlineStr">
        <is>
          <t>Taytay</t>
        </is>
      </c>
      <c r="G1265" s="36" t="inlineStr">
        <is>
          <t>Muzon</t>
        </is>
      </c>
      <c r="H1265" s="37" t="n">
        <v>14.54376</v>
      </c>
      <c r="I1265" s="37" t="n">
        <v>121.1446</v>
      </c>
      <c r="J1265" s="8" t="inlineStr">
        <is>
          <t>U</t>
        </is>
      </c>
      <c r="K1265" s="36" t="inlineStr">
        <is>
          <t>Class 1-3 / Urban</t>
        </is>
      </c>
      <c r="L1265" s="18" t="n">
        <v>34078</v>
      </c>
      <c r="M1265" s="20" t="n">
        <v>4.39</v>
      </c>
      <c r="N1265" s="18">
        <f>ROUND(L1265/M1265, 0)</f>
        <v/>
      </c>
      <c r="O1265" s="18">
        <f>ROUND(N1265*'Methodology &amp; Assumptions'!$B$8, 0)</f>
        <v/>
      </c>
      <c r="P1265" s="8" t="inlineStr">
        <is>
          <t>Band n50 (1.5 GHz, 60 MHz)</t>
        </is>
      </c>
      <c r="Q1265" s="38">
        <f>ROUNDUP(O1265/'Methodology &amp; Assumptions'!$B$9, 0)</f>
        <v/>
      </c>
      <c r="R1265" s="39" t="n">
        <v>1</v>
      </c>
      <c r="S1265" s="21" t="n">
        <v>1.92</v>
      </c>
      <c r="T1265" s="21" t="n">
        <v>0.05</v>
      </c>
      <c r="U1265" s="36" t="inlineStr">
        <is>
          <t>Tier 1B (Micro Drop, 1-3 km)</t>
        </is>
      </c>
      <c r="V1265" s="20" t="n">
        <v>62.7</v>
      </c>
      <c r="W1265" s="20" t="n">
        <v>98.90000000000001</v>
      </c>
      <c r="X1265" s="20" t="n">
        <v>28</v>
      </c>
      <c r="Y1265" s="40">
        <f>ROUND((V1265*'Methodology &amp; Assumptions'!$B$6)+(W1265*'Methodology &amp; Assumptions'!$B$5)+(X1265*'Methodology &amp; Assumptions'!$B$7), 2)</f>
        <v/>
      </c>
    </row>
    <row r="1266" ht="19" customHeight="1">
      <c r="A1266" s="41" t="n">
        <v>262</v>
      </c>
      <c r="B1266" s="41" t="n">
        <v>4262</v>
      </c>
      <c r="C1266" s="42" t="inlineStr">
        <is>
          <t>1230800036</t>
        </is>
      </c>
      <c r="D1266" s="42" t="inlineStr">
        <is>
          <t>Region XII (SOCCSKSARGEN)</t>
        </is>
      </c>
      <c r="E1266" s="42" t="inlineStr">
        <is>
          <t>South Cotabato</t>
        </is>
      </c>
      <c r="F1266" s="42" t="inlineStr">
        <is>
          <t>City of General Santos</t>
        </is>
      </c>
      <c r="G1266" s="42" t="inlineStr">
        <is>
          <t>Dadiangas South</t>
        </is>
      </c>
      <c r="H1266" s="43" t="n">
        <v>6.107068</v>
      </c>
      <c r="I1266" s="43" t="n">
        <v>125.176832</v>
      </c>
      <c r="J1266" s="44" t="inlineStr">
        <is>
          <t>U</t>
        </is>
      </c>
      <c r="K1266" s="42" t="inlineStr">
        <is>
          <t>Class 1-3 / Urban</t>
        </is>
      </c>
      <c r="L1266" s="23" t="n">
        <v>4815</v>
      </c>
      <c r="M1266" s="24" t="n">
        <v>4.1</v>
      </c>
      <c r="N1266" s="23">
        <f>ROUND(L1266/M1266, 0)</f>
        <v/>
      </c>
      <c r="O1266" s="23">
        <f>ROUND(N1266*'Methodology &amp; Assumptions'!$B$8, 0)</f>
        <v/>
      </c>
      <c r="P1266" s="44" t="inlineStr">
        <is>
          <t>Band n50 (1.5 GHz, 60 MHz)</t>
        </is>
      </c>
      <c r="Q1266" s="38">
        <f>ROUNDUP(O1266/'Methodology &amp; Assumptions'!$B$9, 0)</f>
        <v/>
      </c>
      <c r="R1266" s="39" t="n">
        <v>1</v>
      </c>
      <c r="S1266" s="25" t="n">
        <v>1.98</v>
      </c>
      <c r="T1266" s="25" t="n">
        <v>1.35</v>
      </c>
      <c r="U1266" s="42" t="inlineStr">
        <is>
          <t>Tier 1B (Micro Drop, 1-3 km)</t>
        </is>
      </c>
      <c r="V1266" s="24" t="n">
        <v>61.6</v>
      </c>
      <c r="W1266" s="24" t="n">
        <v>100</v>
      </c>
      <c r="X1266" s="24" t="n">
        <v>28</v>
      </c>
      <c r="Y1266" s="45">
        <f>ROUND((V1266*'Methodology &amp; Assumptions'!$B$6)+(W1266*'Methodology &amp; Assumptions'!$B$5)+(X1266*'Methodology &amp; Assumptions'!$B$7), 2)</f>
        <v/>
      </c>
    </row>
    <row r="1267" ht="19" customHeight="1">
      <c r="A1267" s="35" t="n">
        <v>263</v>
      </c>
      <c r="B1267" s="35" t="n">
        <v>4263</v>
      </c>
      <c r="C1267" s="36" t="inlineStr">
        <is>
          <t>0631000183</t>
        </is>
      </c>
      <c r="D1267" s="36" t="inlineStr">
        <is>
          <t>Region VI (Western Visayas)</t>
        </is>
      </c>
      <c r="E1267" s="36" t="inlineStr">
        <is>
          <t>Iloilo</t>
        </is>
      </c>
      <c r="F1267" s="36" t="inlineStr">
        <is>
          <t>City of Iloilo</t>
        </is>
      </c>
      <c r="G1267" s="36" t="inlineStr">
        <is>
          <t>Ticud</t>
        </is>
      </c>
      <c r="H1267" s="37" t="n">
        <v>10.717546</v>
      </c>
      <c r="I1267" s="37" t="n">
        <v>122.578477</v>
      </c>
      <c r="J1267" s="8" t="inlineStr">
        <is>
          <t>U</t>
        </is>
      </c>
      <c r="K1267" s="36" t="inlineStr">
        <is>
          <t>Class 1-3 / Urban</t>
        </is>
      </c>
      <c r="L1267" s="18" t="n">
        <v>3354</v>
      </c>
      <c r="M1267" s="20" t="n">
        <v>4.39</v>
      </c>
      <c r="N1267" s="18">
        <f>ROUND(L1267/M1267, 0)</f>
        <v/>
      </c>
      <c r="O1267" s="18">
        <f>ROUND(N1267*'Methodology &amp; Assumptions'!$B$8, 0)</f>
        <v/>
      </c>
      <c r="P1267" s="8" t="inlineStr">
        <is>
          <t>Band n50 (1.5 GHz, 60 MHz)</t>
        </is>
      </c>
      <c r="Q1267" s="38">
        <f>ROUNDUP(O1267/'Methodology &amp; Assumptions'!$B$9, 0)</f>
        <v/>
      </c>
      <c r="R1267" s="39" t="n">
        <v>1</v>
      </c>
      <c r="S1267" s="21" t="n">
        <v>1.22</v>
      </c>
      <c r="T1267" s="21" t="n">
        <v>1.59</v>
      </c>
      <c r="U1267" s="36" t="inlineStr">
        <is>
          <t>Tier 1B (Micro Drop, 1-3 km)</t>
        </is>
      </c>
      <c r="V1267" s="20" t="n">
        <v>76.5</v>
      </c>
      <c r="W1267" s="20" t="n">
        <v>85.09999999999999</v>
      </c>
      <c r="X1267" s="20" t="n">
        <v>28</v>
      </c>
      <c r="Y1267" s="40">
        <f>ROUND((V1267*'Methodology &amp; Assumptions'!$B$6)+(W1267*'Methodology &amp; Assumptions'!$B$5)+(X1267*'Methodology &amp; Assumptions'!$B$7), 2)</f>
        <v/>
      </c>
    </row>
    <row r="1268" ht="19" customHeight="1">
      <c r="A1268" s="41" t="n">
        <v>264</v>
      </c>
      <c r="B1268" s="41" t="n">
        <v>4264</v>
      </c>
      <c r="C1268" s="42" t="inlineStr">
        <is>
          <t>0506216025</t>
        </is>
      </c>
      <c r="D1268" s="42" t="inlineStr">
        <is>
          <t>Region V (Bicol Region)</t>
        </is>
      </c>
      <c r="E1268" s="42" t="inlineStr">
        <is>
          <t>Sorsogon</t>
        </is>
      </c>
      <c r="F1268" s="42" t="inlineStr">
        <is>
          <t>City of Sorsogon</t>
        </is>
      </c>
      <c r="G1268" s="42" t="inlineStr">
        <is>
          <t>Piot</t>
        </is>
      </c>
      <c r="H1268" s="43" t="n">
        <v>12.970981</v>
      </c>
      <c r="I1268" s="43" t="n">
        <v>123.998281</v>
      </c>
      <c r="J1268" s="44" t="inlineStr">
        <is>
          <t>U</t>
        </is>
      </c>
      <c r="K1268" s="42" t="inlineStr">
        <is>
          <t>Class 1-3 / Urban</t>
        </is>
      </c>
      <c r="L1268" s="23" t="n">
        <v>2562</v>
      </c>
      <c r="M1268" s="24" t="n">
        <v>4.58</v>
      </c>
      <c r="N1268" s="23">
        <f>ROUND(L1268/M1268, 0)</f>
        <v/>
      </c>
      <c r="O1268" s="23">
        <f>ROUND(N1268*'Methodology &amp; Assumptions'!$B$8, 0)</f>
        <v/>
      </c>
      <c r="P1268" s="44" t="inlineStr">
        <is>
          <t>Band n50 (1.5 GHz, 60 MHz)</t>
        </is>
      </c>
      <c r="Q1268" s="38">
        <f>ROUNDUP(O1268/'Methodology &amp; Assumptions'!$B$9, 0)</f>
        <v/>
      </c>
      <c r="R1268" s="39" t="n">
        <v>1</v>
      </c>
      <c r="S1268" s="25" t="n">
        <v>0.57</v>
      </c>
      <c r="T1268" s="25" t="n">
        <v>0.18</v>
      </c>
      <c r="U1268" s="42" t="inlineStr">
        <is>
          <t>Tier 1A (Direct Coloc, &lt;1 km)</t>
        </is>
      </c>
      <c r="V1268" s="24" t="n">
        <v>92.8</v>
      </c>
      <c r="W1268" s="24" t="n">
        <v>68.8</v>
      </c>
      <c r="X1268" s="24" t="n">
        <v>28</v>
      </c>
      <c r="Y1268" s="45">
        <f>ROUND((V1268*'Methodology &amp; Assumptions'!$B$6)+(W1268*'Methodology &amp; Assumptions'!$B$5)+(X1268*'Methodology &amp; Assumptions'!$B$7), 2)</f>
        <v/>
      </c>
    </row>
    <row r="1269" ht="19" customHeight="1">
      <c r="A1269" s="35" t="n">
        <v>265</v>
      </c>
      <c r="B1269" s="35" t="n">
        <v>4265</v>
      </c>
      <c r="C1269" s="36" t="inlineStr">
        <is>
          <t>0600613015</t>
        </is>
      </c>
      <c r="D1269" s="36" t="inlineStr">
        <is>
          <t>Region VI (Western Visayas)</t>
        </is>
      </c>
      <c r="E1269" s="36" t="inlineStr">
        <is>
          <t>Antique</t>
        </is>
      </c>
      <c r="F1269" s="36" t="inlineStr">
        <is>
          <t>San Jose</t>
        </is>
      </c>
      <c r="G1269" s="36" t="inlineStr">
        <is>
          <t>Cansadan</t>
        </is>
      </c>
      <c r="H1269" s="37" t="n">
        <v>10.75085</v>
      </c>
      <c r="I1269" s="37" t="n">
        <v>121.95581</v>
      </c>
      <c r="J1269" s="8" t="inlineStr">
        <is>
          <t>R</t>
        </is>
      </c>
      <c r="K1269" s="36" t="inlineStr">
        <is>
          <t>Class 1-3 / Urban</t>
        </is>
      </c>
      <c r="L1269" s="18" t="n">
        <v>2377</v>
      </c>
      <c r="M1269" s="20" t="n">
        <v>4.43</v>
      </c>
      <c r="N1269" s="18">
        <f>ROUND(L1269/M1269, 0)</f>
        <v/>
      </c>
      <c r="O1269" s="18">
        <f>ROUND(N1269*'Methodology &amp; Assumptions'!$B$8, 0)</f>
        <v/>
      </c>
      <c r="P1269" s="8" t="inlineStr">
        <is>
          <t>Band n50 (1.5 GHz, 60 MHz)</t>
        </is>
      </c>
      <c r="Q1269" s="38">
        <f>ROUNDUP(O1269/'Methodology &amp; Assumptions'!$B$9, 0)</f>
        <v/>
      </c>
      <c r="R1269" s="39" t="n">
        <v>1</v>
      </c>
      <c r="S1269" s="21" t="n">
        <v>2.33</v>
      </c>
      <c r="T1269" s="21" t="n">
        <v>1.29</v>
      </c>
      <c r="U1269" s="36" t="inlineStr">
        <is>
          <t>Tier 1B (Micro Drop, 1-3 km)</t>
        </is>
      </c>
      <c r="V1269" s="20" t="n">
        <v>56.1</v>
      </c>
      <c r="W1269" s="20" t="n">
        <v>66.90000000000001</v>
      </c>
      <c r="X1269" s="20" t="n">
        <v>73</v>
      </c>
      <c r="Y1269" s="40">
        <f>ROUND((V1269*'Methodology &amp; Assumptions'!$B$6)+(W1269*'Methodology &amp; Assumptions'!$B$5)+(X1269*'Methodology &amp; Assumptions'!$B$7), 2)</f>
        <v/>
      </c>
    </row>
    <row r="1270" ht="19" customHeight="1">
      <c r="A1270" s="41" t="n">
        <v>266</v>
      </c>
      <c r="B1270" s="41" t="n">
        <v>4266</v>
      </c>
      <c r="C1270" s="42" t="inlineStr">
        <is>
          <t>0307103001</t>
        </is>
      </c>
      <c r="D1270" s="42" t="inlineStr">
        <is>
          <t>Region III (Central Luzon)</t>
        </is>
      </c>
      <c r="E1270" s="42" t="inlineStr">
        <is>
          <t>Zambales</t>
        </is>
      </c>
      <c r="F1270" s="42" t="inlineStr">
        <is>
          <t>Candelaria</t>
        </is>
      </c>
      <c r="G1270" s="42" t="inlineStr">
        <is>
          <t>Babancal</t>
        </is>
      </c>
      <c r="H1270" s="43" t="n">
        <v>15.618183</v>
      </c>
      <c r="I1270" s="43" t="n">
        <v>119.944216</v>
      </c>
      <c r="J1270" s="44" t="inlineStr">
        <is>
          <t>R</t>
        </is>
      </c>
      <c r="K1270" s="42" t="inlineStr">
        <is>
          <t>Class 1-3 / Urban</t>
        </is>
      </c>
      <c r="L1270" s="23" t="n">
        <v>1987</v>
      </c>
      <c r="M1270" s="24" t="n">
        <v>4.05</v>
      </c>
      <c r="N1270" s="23">
        <f>ROUND(L1270/M1270, 0)</f>
        <v/>
      </c>
      <c r="O1270" s="23">
        <f>ROUND(N1270*'Methodology &amp; Assumptions'!$B$8, 0)</f>
        <v/>
      </c>
      <c r="P1270" s="44" t="inlineStr">
        <is>
          <t>Band n50 (1.5 GHz, 60 MHz)</t>
        </is>
      </c>
      <c r="Q1270" s="38">
        <f>ROUNDUP(O1270/'Methodology &amp; Assumptions'!$B$9, 0)</f>
        <v/>
      </c>
      <c r="R1270" s="39" t="n">
        <v>1</v>
      </c>
      <c r="S1270" s="25" t="n">
        <v>1.4</v>
      </c>
      <c r="T1270" s="25" t="n">
        <v>1.02</v>
      </c>
      <c r="U1270" s="42" t="inlineStr">
        <is>
          <t>Tier 1B (Micro Drop, 1-3 km)</t>
        </is>
      </c>
      <c r="V1270" s="24" t="n">
        <v>72.59999999999999</v>
      </c>
      <c r="W1270" s="24" t="n">
        <v>63.2</v>
      </c>
      <c r="X1270" s="24" t="n">
        <v>58</v>
      </c>
      <c r="Y1270" s="45">
        <f>ROUND((V1270*'Methodology &amp; Assumptions'!$B$6)+(W1270*'Methodology &amp; Assumptions'!$B$5)+(X1270*'Methodology &amp; Assumptions'!$B$7), 2)</f>
        <v/>
      </c>
    </row>
    <row r="1271" ht="19" customHeight="1">
      <c r="A1271" s="35" t="n">
        <v>267</v>
      </c>
      <c r="B1271" s="35" t="n">
        <v>4267</v>
      </c>
      <c r="C1271" s="36" t="inlineStr">
        <is>
          <t>0301404012</t>
        </is>
      </c>
      <c r="D1271" s="36" t="inlineStr">
        <is>
          <t>Region III (Central Luzon)</t>
        </is>
      </c>
      <c r="E1271" s="36" t="inlineStr">
        <is>
          <t>Bulacan</t>
        </is>
      </c>
      <c r="F1271" s="36" t="inlineStr">
        <is>
          <t>Bocaue</t>
        </is>
      </c>
      <c r="G1271" s="36" t="inlineStr">
        <is>
          <t>Igulot</t>
        </is>
      </c>
      <c r="H1271" s="37" t="n">
        <v>14.790652</v>
      </c>
      <c r="I1271" s="37" t="n">
        <v>120.938159</v>
      </c>
      <c r="J1271" s="8" t="inlineStr">
        <is>
          <t>R</t>
        </is>
      </c>
      <c r="K1271" s="36" t="inlineStr">
        <is>
          <t>Class 1-3 / Urban</t>
        </is>
      </c>
      <c r="L1271" s="18" t="n">
        <v>1871</v>
      </c>
      <c r="M1271" s="20" t="n">
        <v>4.1</v>
      </c>
      <c r="N1271" s="18">
        <f>ROUND(L1271/M1271, 0)</f>
        <v/>
      </c>
      <c r="O1271" s="18">
        <f>ROUND(N1271*'Methodology &amp; Assumptions'!$B$8, 0)</f>
        <v/>
      </c>
      <c r="P1271" s="8" t="inlineStr">
        <is>
          <t>Band n50 (1.5 GHz, 60 MHz)</t>
        </is>
      </c>
      <c r="Q1271" s="38">
        <f>ROUNDUP(O1271/'Methodology &amp; Assumptions'!$B$9, 0)</f>
        <v/>
      </c>
      <c r="R1271" s="39" t="n">
        <v>1</v>
      </c>
      <c r="S1271" s="21" t="n">
        <v>1.28</v>
      </c>
      <c r="T1271" s="21" t="n">
        <v>0.64</v>
      </c>
      <c r="U1271" s="36" t="inlineStr">
        <is>
          <t>Tier 1B (Micro Drop, 1-3 km)</t>
        </is>
      </c>
      <c r="V1271" s="20" t="n">
        <v>75.3</v>
      </c>
      <c r="W1271" s="20" t="n">
        <v>60.5</v>
      </c>
      <c r="X1271" s="20" t="n">
        <v>58</v>
      </c>
      <c r="Y1271" s="40">
        <f>ROUND((V1271*'Methodology &amp; Assumptions'!$B$6)+(W1271*'Methodology &amp; Assumptions'!$B$5)+(X1271*'Methodology &amp; Assumptions'!$B$7), 2)</f>
        <v/>
      </c>
    </row>
    <row r="1272" ht="19" customHeight="1">
      <c r="A1272" s="41" t="n">
        <v>268</v>
      </c>
      <c r="B1272" s="41" t="n">
        <v>4268</v>
      </c>
      <c r="C1272" s="42" t="inlineStr">
        <is>
          <t>0103305030</t>
        </is>
      </c>
      <c r="D1272" s="42" t="inlineStr">
        <is>
          <t>Region I (Ilocos Region)</t>
        </is>
      </c>
      <c r="E1272" s="42" t="inlineStr">
        <is>
          <t>La Union</t>
        </is>
      </c>
      <c r="F1272" s="42" t="inlineStr">
        <is>
          <t>Balaoan</t>
        </is>
      </c>
      <c r="G1272" s="42" t="inlineStr">
        <is>
          <t>Patpata</t>
        </is>
      </c>
      <c r="H1272" s="43" t="n">
        <v>16.810286</v>
      </c>
      <c r="I1272" s="43" t="n">
        <v>120.41236</v>
      </c>
      <c r="J1272" s="44" t="inlineStr">
        <is>
          <t>R</t>
        </is>
      </c>
      <c r="K1272" s="42" t="inlineStr">
        <is>
          <t>Class 1-3 / Urban</t>
        </is>
      </c>
      <c r="L1272" s="23" t="n">
        <v>1600</v>
      </c>
      <c r="M1272" s="24" t="n">
        <v>4.42</v>
      </c>
      <c r="N1272" s="23">
        <f>ROUND(L1272/M1272, 0)</f>
        <v/>
      </c>
      <c r="O1272" s="23">
        <f>ROUND(N1272*'Methodology &amp; Assumptions'!$B$8, 0)</f>
        <v/>
      </c>
      <c r="P1272" s="44" t="inlineStr">
        <is>
          <t>Band n50 (1.5 GHz, 60 MHz)</t>
        </is>
      </c>
      <c r="Q1272" s="38">
        <f>ROUNDUP(O1272/'Methodology &amp; Assumptions'!$B$9, 0)</f>
        <v/>
      </c>
      <c r="R1272" s="39" t="n">
        <v>1</v>
      </c>
      <c r="S1272" s="25" t="n">
        <v>0.95</v>
      </c>
      <c r="T1272" s="25" t="n">
        <v>0.4</v>
      </c>
      <c r="U1272" s="42" t="inlineStr">
        <is>
          <t>Tier 1A (Direct Coloc, &lt;1 km)</t>
        </is>
      </c>
      <c r="V1272" s="24" t="n">
        <v>82.8</v>
      </c>
      <c r="W1272" s="24" t="n">
        <v>53.1</v>
      </c>
      <c r="X1272" s="24" t="n">
        <v>58</v>
      </c>
      <c r="Y1272" s="45">
        <f>ROUND((V1272*'Methodology &amp; Assumptions'!$B$6)+(W1272*'Methodology &amp; Assumptions'!$B$5)+(X1272*'Methodology &amp; Assumptions'!$B$7), 2)</f>
        <v/>
      </c>
    </row>
    <row r="1273" ht="19" customHeight="1">
      <c r="A1273" s="35" t="n">
        <v>269</v>
      </c>
      <c r="B1273" s="35" t="n">
        <v>4269</v>
      </c>
      <c r="C1273" s="36" t="inlineStr">
        <is>
          <t>1400101030</t>
        </is>
      </c>
      <c r="D1273" s="36" t="inlineStr">
        <is>
          <t>Cordillera Administrative Region (CAR)</t>
        </is>
      </c>
      <c r="E1273" s="36" t="inlineStr">
        <is>
          <t>Abra</t>
        </is>
      </c>
      <c r="F1273" s="36" t="inlineStr">
        <is>
          <t>Bangued</t>
        </is>
      </c>
      <c r="G1273" s="36" t="inlineStr">
        <is>
          <t>Zone 7 Pob.</t>
        </is>
      </c>
      <c r="H1273" s="37" t="n">
        <v>17.5988</v>
      </c>
      <c r="I1273" s="37" t="n">
        <v>120.6212</v>
      </c>
      <c r="J1273" s="8" t="inlineStr">
        <is>
          <t>U</t>
        </is>
      </c>
      <c r="K1273" s="36" t="inlineStr">
        <is>
          <t>Class 1-3 / Urban</t>
        </is>
      </c>
      <c r="L1273" s="18" t="n">
        <v>3097</v>
      </c>
      <c r="M1273" s="20" t="n">
        <v>4.69</v>
      </c>
      <c r="N1273" s="18">
        <f>ROUND(L1273/M1273, 0)</f>
        <v/>
      </c>
      <c r="O1273" s="18">
        <f>ROUND(N1273*'Methodology &amp; Assumptions'!$B$8, 0)</f>
        <v/>
      </c>
      <c r="P1273" s="8" t="inlineStr">
        <is>
          <t>Band n50 (1.5 GHz, 60 MHz)</t>
        </is>
      </c>
      <c r="Q1273" s="38">
        <f>ROUNDUP(O1273/'Methodology &amp; Assumptions'!$B$9, 0)</f>
        <v/>
      </c>
      <c r="R1273" s="39" t="n">
        <v>1</v>
      </c>
      <c r="S1273" s="21" t="n">
        <v>0.72</v>
      </c>
      <c r="T1273" s="21" t="n">
        <v>0.11</v>
      </c>
      <c r="U1273" s="36" t="inlineStr">
        <is>
          <t>Tier 1A (Direct Coloc, &lt;1 km)</t>
        </is>
      </c>
      <c r="V1273" s="20" t="n">
        <v>88.8</v>
      </c>
      <c r="W1273" s="20" t="n">
        <v>72.8</v>
      </c>
      <c r="X1273" s="20" t="n">
        <v>28</v>
      </c>
      <c r="Y1273" s="40">
        <f>ROUND((V1273*'Methodology &amp; Assumptions'!$B$6)+(W1273*'Methodology &amp; Assumptions'!$B$5)+(X1273*'Methodology &amp; Assumptions'!$B$7), 2)</f>
        <v/>
      </c>
    </row>
    <row r="1274" ht="19" customHeight="1">
      <c r="A1274" s="41" t="n">
        <v>270</v>
      </c>
      <c r="B1274" s="41" t="n">
        <v>4270</v>
      </c>
      <c r="C1274" s="42" t="inlineStr">
        <is>
          <t>0402118048</t>
        </is>
      </c>
      <c r="D1274" s="42" t="inlineStr">
        <is>
          <t>Region IV-A (CALABARZON)</t>
        </is>
      </c>
      <c r="E1274" s="42" t="inlineStr">
        <is>
          <t>Cavite</t>
        </is>
      </c>
      <c r="F1274" s="42" t="inlineStr">
        <is>
          <t>Silang</t>
        </is>
      </c>
      <c r="G1274" s="42" t="inlineStr">
        <is>
          <t>Ulat</t>
        </is>
      </c>
      <c r="H1274" s="43" t="n">
        <v>14.174119</v>
      </c>
      <c r="I1274" s="43" t="n">
        <v>120.984382</v>
      </c>
      <c r="J1274" s="44" t="inlineStr">
        <is>
          <t>R</t>
        </is>
      </c>
      <c r="K1274" s="42" t="inlineStr">
        <is>
          <t>Class 1-3 / Urban</t>
        </is>
      </c>
      <c r="L1274" s="23" t="n">
        <v>3214</v>
      </c>
      <c r="M1274" s="24" t="n">
        <v>4.49</v>
      </c>
      <c r="N1274" s="23">
        <f>ROUND(L1274/M1274, 0)</f>
        <v/>
      </c>
      <c r="O1274" s="23">
        <f>ROUND(N1274*'Methodology &amp; Assumptions'!$B$8, 0)</f>
        <v/>
      </c>
      <c r="P1274" s="44" t="inlineStr">
        <is>
          <t>Band n50 (1.5 GHz, 60 MHz)</t>
        </is>
      </c>
      <c r="Q1274" s="38">
        <f>ROUNDUP(O1274/'Methodology &amp; Assumptions'!$B$9, 0)</f>
        <v/>
      </c>
      <c r="R1274" s="39" t="n">
        <v>1</v>
      </c>
      <c r="S1274" s="25" t="n">
        <v>2.43</v>
      </c>
      <c r="T1274" s="25" t="n">
        <v>1.8</v>
      </c>
      <c r="U1274" s="42" t="inlineStr">
        <is>
          <t>Tier 1B (Micro Drop, 1-3 km)</t>
        </is>
      </c>
      <c r="V1274" s="24" t="n">
        <v>54.5</v>
      </c>
      <c r="W1274" s="24" t="n">
        <v>81.3</v>
      </c>
      <c r="X1274" s="24" t="n">
        <v>58</v>
      </c>
      <c r="Y1274" s="45">
        <f>ROUND((V1274*'Methodology &amp; Assumptions'!$B$6)+(W1274*'Methodology &amp; Assumptions'!$B$5)+(X1274*'Methodology &amp; Assumptions'!$B$7), 2)</f>
        <v/>
      </c>
    </row>
    <row r="1275" ht="19" customHeight="1">
      <c r="A1275" s="35" t="n">
        <v>271</v>
      </c>
      <c r="B1275" s="35" t="n">
        <v>4271</v>
      </c>
      <c r="C1275" s="36" t="inlineStr">
        <is>
          <t>0105511079</t>
        </is>
      </c>
      <c r="D1275" s="36" t="inlineStr">
        <is>
          <t>Region I (Ilocos Region)</t>
        </is>
      </c>
      <c r="E1275" s="36" t="inlineStr">
        <is>
          <t>Pangasinan</t>
        </is>
      </c>
      <c r="F1275" s="36" t="inlineStr">
        <is>
          <t>Bayambang</t>
        </is>
      </c>
      <c r="G1275" s="36" t="inlineStr">
        <is>
          <t>Zone VII</t>
        </is>
      </c>
      <c r="H1275" s="37" t="n">
        <v>15.8191</v>
      </c>
      <c r="I1275" s="37" t="n">
        <v>120.4506</v>
      </c>
      <c r="J1275" s="8" t="inlineStr">
        <is>
          <t>R</t>
        </is>
      </c>
      <c r="K1275" s="36" t="inlineStr">
        <is>
          <t>Class 1-3 / Urban</t>
        </is>
      </c>
      <c r="L1275" s="18" t="n">
        <v>1038</v>
      </c>
      <c r="M1275" s="20" t="n">
        <v>4.39</v>
      </c>
      <c r="N1275" s="18">
        <f>ROUND(L1275/M1275, 0)</f>
        <v/>
      </c>
      <c r="O1275" s="18">
        <f>ROUND(N1275*'Methodology &amp; Assumptions'!$B$8, 0)</f>
        <v/>
      </c>
      <c r="P1275" s="8" t="inlineStr">
        <is>
          <t>Band n50 (1.5 GHz, 60 MHz)</t>
        </is>
      </c>
      <c r="Q1275" s="38">
        <f>ROUNDUP(O1275/'Methodology &amp; Assumptions'!$B$9, 0)</f>
        <v/>
      </c>
      <c r="R1275" s="39" t="n">
        <v>1</v>
      </c>
      <c r="S1275" s="21" t="n">
        <v>0.5600000000000001</v>
      </c>
      <c r="T1275" s="21" t="n">
        <v>0.54</v>
      </c>
      <c r="U1275" s="36" t="inlineStr">
        <is>
          <t>Tier 1A (Direct Coloc, &lt;1 km)</t>
        </is>
      </c>
      <c r="V1275" s="20" t="n">
        <v>92.90000000000001</v>
      </c>
      <c r="W1275" s="20" t="n">
        <v>42.9</v>
      </c>
      <c r="X1275" s="20" t="n">
        <v>58</v>
      </c>
      <c r="Y1275" s="40">
        <f>ROUND((V1275*'Methodology &amp; Assumptions'!$B$6)+(W1275*'Methodology &amp; Assumptions'!$B$5)+(X1275*'Methodology &amp; Assumptions'!$B$7), 2)</f>
        <v/>
      </c>
    </row>
    <row r="1276" ht="19" customHeight="1">
      <c r="A1276" s="41" t="n">
        <v>272</v>
      </c>
      <c r="B1276" s="41" t="n">
        <v>4272</v>
      </c>
      <c r="C1276" s="42" t="inlineStr">
        <is>
          <t>0401031007</t>
        </is>
      </c>
      <c r="D1276" s="42" t="inlineStr">
        <is>
          <t>Region IV-A (CALABARZON)</t>
        </is>
      </c>
      <c r="E1276" s="42" t="inlineStr">
        <is>
          <t>Batangas</t>
        </is>
      </c>
      <c r="F1276" s="42" t="inlineStr">
        <is>
          <t>City of Tanauan</t>
        </is>
      </c>
      <c r="G1276" s="42" t="inlineStr">
        <is>
          <t>Bagumbayan</t>
        </is>
      </c>
      <c r="H1276" s="43" t="n">
        <v>14.0729</v>
      </c>
      <c r="I1276" s="43" t="n">
        <v>121.1335</v>
      </c>
      <c r="J1276" s="44" t="inlineStr">
        <is>
          <t>U</t>
        </is>
      </c>
      <c r="K1276" s="42" t="inlineStr">
        <is>
          <t>Class 1-3 / Urban</t>
        </is>
      </c>
      <c r="L1276" s="23" t="n">
        <v>7657</v>
      </c>
      <c r="M1276" s="24" t="n">
        <v>4.62</v>
      </c>
      <c r="N1276" s="23">
        <f>ROUND(L1276/M1276, 0)</f>
        <v/>
      </c>
      <c r="O1276" s="23">
        <f>ROUND(N1276*'Methodology &amp; Assumptions'!$B$8, 0)</f>
        <v/>
      </c>
      <c r="P1276" s="44" t="inlineStr">
        <is>
          <t>Band n50 (1.5 GHz, 60 MHz)</t>
        </is>
      </c>
      <c r="Q1276" s="38">
        <f>ROUNDUP(O1276/'Methodology &amp; Assumptions'!$B$9, 0)</f>
        <v/>
      </c>
      <c r="R1276" s="39" t="n">
        <v>1</v>
      </c>
      <c r="S1276" s="25" t="n">
        <v>1.99</v>
      </c>
      <c r="T1276" s="25" t="n">
        <v>1.97</v>
      </c>
      <c r="U1276" s="42" t="inlineStr">
        <is>
          <t>Tier 1B (Micro Drop, 1-3 km)</t>
        </is>
      </c>
      <c r="V1276" s="24" t="n">
        <v>61.5</v>
      </c>
      <c r="W1276" s="24" t="n">
        <v>100</v>
      </c>
      <c r="X1276" s="24" t="n">
        <v>28</v>
      </c>
      <c r="Y1276" s="45">
        <f>ROUND((V1276*'Methodology &amp; Assumptions'!$B$6)+(W1276*'Methodology &amp; Assumptions'!$B$5)+(X1276*'Methodology &amp; Assumptions'!$B$7), 2)</f>
        <v/>
      </c>
    </row>
    <row r="1277" ht="19" customHeight="1">
      <c r="A1277" s="35" t="n">
        <v>273</v>
      </c>
      <c r="B1277" s="35" t="n">
        <v>4273</v>
      </c>
      <c r="C1277" s="36" t="inlineStr">
        <is>
          <t>0600407014</t>
        </is>
      </c>
      <c r="D1277" s="36" t="inlineStr">
        <is>
          <t>Region VI (Western Visayas)</t>
        </is>
      </c>
      <c r="E1277" s="36" t="inlineStr">
        <is>
          <t>Aklan</t>
        </is>
      </c>
      <c r="F1277" s="36" t="inlineStr">
        <is>
          <t>Kalibo</t>
        </is>
      </c>
      <c r="G1277" s="36" t="inlineStr">
        <is>
          <t>Pook</t>
        </is>
      </c>
      <c r="H1277" s="37" t="n">
        <v>11.693138</v>
      </c>
      <c r="I1277" s="37" t="n">
        <v>122.384749</v>
      </c>
      <c r="J1277" s="8" t="inlineStr">
        <is>
          <t>U</t>
        </is>
      </c>
      <c r="K1277" s="36" t="inlineStr">
        <is>
          <t>Class 1-3 / Urban</t>
        </is>
      </c>
      <c r="L1277" s="18" t="n">
        <v>6315</v>
      </c>
      <c r="M1277" s="20" t="n">
        <v>4.27</v>
      </c>
      <c r="N1277" s="18">
        <f>ROUND(L1277/M1277, 0)</f>
        <v/>
      </c>
      <c r="O1277" s="18">
        <f>ROUND(N1277*'Methodology &amp; Assumptions'!$B$8, 0)</f>
        <v/>
      </c>
      <c r="P1277" s="8" t="inlineStr">
        <is>
          <t>Band n50 (1.5 GHz, 60 MHz)</t>
        </is>
      </c>
      <c r="Q1277" s="38">
        <f>ROUNDUP(O1277/'Methodology &amp; Assumptions'!$B$9, 0)</f>
        <v/>
      </c>
      <c r="R1277" s="39" t="n">
        <v>1</v>
      </c>
      <c r="S1277" s="21" t="n">
        <v>1.99</v>
      </c>
      <c r="T1277" s="21" t="n">
        <v>1.94</v>
      </c>
      <c r="U1277" s="36" t="inlineStr">
        <is>
          <t>Tier 1B (Micro Drop, 1-3 km)</t>
        </is>
      </c>
      <c r="V1277" s="20" t="n">
        <v>61.6</v>
      </c>
      <c r="W1277" s="20" t="n">
        <v>100</v>
      </c>
      <c r="X1277" s="20" t="n">
        <v>28</v>
      </c>
      <c r="Y1277" s="40">
        <f>ROUND((V1277*'Methodology &amp; Assumptions'!$B$6)+(W1277*'Methodology &amp; Assumptions'!$B$5)+(X1277*'Methodology &amp; Assumptions'!$B$7), 2)</f>
        <v/>
      </c>
    </row>
    <row r="1278" ht="19" customHeight="1">
      <c r="A1278" s="41" t="n">
        <v>274</v>
      </c>
      <c r="B1278" s="41" t="n">
        <v>4274</v>
      </c>
      <c r="C1278" s="42" t="inlineStr">
        <is>
          <t>0403418003</t>
        </is>
      </c>
      <c r="D1278" s="42" t="inlineStr">
        <is>
          <t>Region IV-A (CALABARZON)</t>
        </is>
      </c>
      <c r="E1278" s="42" t="inlineStr">
        <is>
          <t>Laguna</t>
        </is>
      </c>
      <c r="F1278" s="42" t="inlineStr">
        <is>
          <t>Paete</t>
        </is>
      </c>
      <c r="G1278" s="42" t="inlineStr">
        <is>
          <t>Ermita</t>
        </is>
      </c>
      <c r="H1278" s="43" t="n">
        <v>14.363501</v>
      </c>
      <c r="I1278" s="43" t="n">
        <v>121.483288</v>
      </c>
      <c r="J1278" s="44" t="inlineStr">
        <is>
          <t>R</t>
        </is>
      </c>
      <c r="K1278" s="42" t="inlineStr">
        <is>
          <t>4th</t>
        </is>
      </c>
      <c r="L1278" s="23" t="n">
        <v>556</v>
      </c>
      <c r="M1278" s="24" t="n">
        <v>4.48</v>
      </c>
      <c r="N1278" s="23">
        <f>ROUND(L1278/M1278, 0)</f>
        <v/>
      </c>
      <c r="O1278" s="23">
        <f>ROUND(N1278*'Methodology &amp; Assumptions'!$B$8, 0)</f>
        <v/>
      </c>
      <c r="P1278" s="44" t="inlineStr">
        <is>
          <t>Band n50 (1.5 GHz, 60 MHz)</t>
        </is>
      </c>
      <c r="Q1278" s="38">
        <f>ROUNDUP(O1278/'Methodology &amp; Assumptions'!$B$9, 0)</f>
        <v/>
      </c>
      <c r="R1278" s="39" t="n">
        <v>1</v>
      </c>
      <c r="S1278" s="25" t="n">
        <v>0.5600000000000001</v>
      </c>
      <c r="T1278" s="25" t="n">
        <v>0.44</v>
      </c>
      <c r="U1278" s="42" t="inlineStr">
        <is>
          <t>Tier 1A (Direct Coloc, &lt;1 km)</t>
        </is>
      </c>
      <c r="V1278" s="24" t="n">
        <v>92.90000000000001</v>
      </c>
      <c r="W1278" s="24" t="n">
        <v>33.9</v>
      </c>
      <c r="X1278" s="24" t="n">
        <v>68.5</v>
      </c>
      <c r="Y1278" s="45">
        <f>ROUND((V1278*'Methodology &amp; Assumptions'!$B$6)+(W1278*'Methodology &amp; Assumptions'!$B$5)+(X1278*'Methodology &amp; Assumptions'!$B$7), 2)</f>
        <v/>
      </c>
    </row>
    <row r="1279" ht="19" customHeight="1">
      <c r="A1279" s="35" t="n">
        <v>275</v>
      </c>
      <c r="B1279" s="35" t="n">
        <v>4275</v>
      </c>
      <c r="C1279" s="36" t="inlineStr">
        <is>
          <t>0402102011</t>
        </is>
      </c>
      <c r="D1279" s="36" t="inlineStr">
        <is>
          <t>Region IV-A (CALABARZON)</t>
        </is>
      </c>
      <c r="E1279" s="36" t="inlineStr">
        <is>
          <t>Cavite</t>
        </is>
      </c>
      <c r="F1279" s="36" t="inlineStr">
        <is>
          <t>Amadeo</t>
        </is>
      </c>
      <c r="G1279" s="36" t="inlineStr">
        <is>
          <t>Barangay I</t>
        </is>
      </c>
      <c r="H1279" s="37" t="n">
        <v>14.164984</v>
      </c>
      <c r="I1279" s="37" t="n">
        <v>120.92454</v>
      </c>
      <c r="J1279" s="8" t="inlineStr">
        <is>
          <t>R</t>
        </is>
      </c>
      <c r="K1279" s="36" t="inlineStr">
        <is>
          <t>2nd</t>
        </is>
      </c>
      <c r="L1279" s="18" t="n">
        <v>1551</v>
      </c>
      <c r="M1279" s="20" t="n">
        <v>4.23</v>
      </c>
      <c r="N1279" s="18">
        <f>ROUND(L1279/M1279, 0)</f>
        <v/>
      </c>
      <c r="O1279" s="18">
        <f>ROUND(N1279*'Methodology &amp; Assumptions'!$B$8, 0)</f>
        <v/>
      </c>
      <c r="P1279" s="8" t="inlineStr">
        <is>
          <t>Band n50 (1.5 GHz, 60 MHz)</t>
        </is>
      </c>
      <c r="Q1279" s="38">
        <f>ROUNDUP(O1279/'Methodology &amp; Assumptions'!$B$9, 0)</f>
        <v/>
      </c>
      <c r="R1279" s="39" t="n">
        <v>1</v>
      </c>
      <c r="S1279" s="21" t="n">
        <v>0.58</v>
      </c>
      <c r="T1279" s="21" t="n">
        <v>3.66</v>
      </c>
      <c r="U1279" s="36" t="inlineStr">
        <is>
          <t>Tier 1A (Direct Coloc, &lt;1 km)</t>
        </is>
      </c>
      <c r="V1279" s="20" t="n">
        <v>82.5</v>
      </c>
      <c r="W1279" s="20" t="n">
        <v>53.3</v>
      </c>
      <c r="X1279" s="20" t="n">
        <v>58</v>
      </c>
      <c r="Y1279" s="40">
        <f>ROUND((V1279*'Methodology &amp; Assumptions'!$B$6)+(W1279*'Methodology &amp; Assumptions'!$B$5)+(X1279*'Methodology &amp; Assumptions'!$B$7), 2)</f>
        <v/>
      </c>
    </row>
    <row r="1280" ht="19" customHeight="1">
      <c r="A1280" s="41" t="n">
        <v>276</v>
      </c>
      <c r="B1280" s="41" t="n">
        <v>4276</v>
      </c>
      <c r="C1280" s="42" t="inlineStr">
        <is>
          <t>0403405056</t>
        </is>
      </c>
      <c r="D1280" s="42" t="inlineStr">
        <is>
          <t>Region IV-A (CALABARZON)</t>
        </is>
      </c>
      <c r="E1280" s="42" t="inlineStr">
        <is>
          <t>Laguna</t>
        </is>
      </c>
      <c r="F1280" s="42" t="inlineStr">
        <is>
          <t>City of Calamba</t>
        </is>
      </c>
      <c r="G1280" s="42" t="inlineStr">
        <is>
          <t>Sirang Lupa</t>
        </is>
      </c>
      <c r="H1280" s="43" t="n">
        <v>14.202846</v>
      </c>
      <c r="I1280" s="43" t="n">
        <v>121.106348</v>
      </c>
      <c r="J1280" s="44" t="inlineStr">
        <is>
          <t>U</t>
        </is>
      </c>
      <c r="K1280" s="42" t="inlineStr">
        <is>
          <t>Class 1-3 / Urban</t>
        </is>
      </c>
      <c r="L1280" s="23" t="n">
        <v>12938</v>
      </c>
      <c r="M1280" s="24" t="n">
        <v>4.2</v>
      </c>
      <c r="N1280" s="23">
        <f>ROUND(L1280/M1280, 0)</f>
        <v/>
      </c>
      <c r="O1280" s="23">
        <f>ROUND(N1280*'Methodology &amp; Assumptions'!$B$8, 0)</f>
        <v/>
      </c>
      <c r="P1280" s="44" t="inlineStr">
        <is>
          <t>Band n50 (1.5 GHz, 60 MHz)</t>
        </is>
      </c>
      <c r="Q1280" s="38">
        <f>ROUNDUP(O1280/'Methodology &amp; Assumptions'!$B$9, 0)</f>
        <v/>
      </c>
      <c r="R1280" s="39" t="n">
        <v>1</v>
      </c>
      <c r="S1280" s="25" t="n">
        <v>1.99</v>
      </c>
      <c r="T1280" s="25" t="n">
        <v>0.68</v>
      </c>
      <c r="U1280" s="42" t="inlineStr">
        <is>
          <t>Tier 1B (Micro Drop, 1-3 km)</t>
        </is>
      </c>
      <c r="V1280" s="24" t="n">
        <v>61.5</v>
      </c>
      <c r="W1280" s="24" t="n">
        <v>100</v>
      </c>
      <c r="X1280" s="24" t="n">
        <v>28</v>
      </c>
      <c r="Y1280" s="45">
        <f>ROUND((V1280*'Methodology &amp; Assumptions'!$B$6)+(W1280*'Methodology &amp; Assumptions'!$B$5)+(X1280*'Methodology &amp; Assumptions'!$B$7), 2)</f>
        <v/>
      </c>
    </row>
    <row r="1281" ht="19" customHeight="1">
      <c r="A1281" s="35" t="n">
        <v>277</v>
      </c>
      <c r="B1281" s="35" t="n">
        <v>4277</v>
      </c>
      <c r="C1281" s="36" t="inlineStr">
        <is>
          <t>0405627020</t>
        </is>
      </c>
      <c r="D1281" s="36" t="inlineStr">
        <is>
          <t>Region IV-A (CALABARZON)</t>
        </is>
      </c>
      <c r="E1281" s="36" t="inlineStr">
        <is>
          <t>Quezon</t>
        </is>
      </c>
      <c r="F1281" s="36" t="inlineStr">
        <is>
          <t>Mauban</t>
        </is>
      </c>
      <c r="G1281" s="36" t="inlineStr">
        <is>
          <t>Bagong Bayan</t>
        </is>
      </c>
      <c r="H1281" s="37" t="n">
        <v>14.186746</v>
      </c>
      <c r="I1281" s="37" t="n">
        <v>121.729603</v>
      </c>
      <c r="J1281" s="8" t="inlineStr">
        <is>
          <t>U</t>
        </is>
      </c>
      <c r="K1281" s="36" t="inlineStr">
        <is>
          <t>Class 1-3 / Urban</t>
        </is>
      </c>
      <c r="L1281" s="18" t="n">
        <v>8775</v>
      </c>
      <c r="M1281" s="20" t="n">
        <v>4.46</v>
      </c>
      <c r="N1281" s="18">
        <f>ROUND(L1281/M1281, 0)</f>
        <v/>
      </c>
      <c r="O1281" s="18">
        <f>ROUND(N1281*'Methodology &amp; Assumptions'!$B$8, 0)</f>
        <v/>
      </c>
      <c r="P1281" s="8" t="inlineStr">
        <is>
          <t>Band n50 (1.5 GHz, 60 MHz)</t>
        </is>
      </c>
      <c r="Q1281" s="38">
        <f>ROUNDUP(O1281/'Methodology &amp; Assumptions'!$B$9, 0)</f>
        <v/>
      </c>
      <c r="R1281" s="39" t="n">
        <v>1</v>
      </c>
      <c r="S1281" s="21" t="n">
        <v>1.46</v>
      </c>
      <c r="T1281" s="21" t="n">
        <v>19.1</v>
      </c>
      <c r="U1281" s="36" t="inlineStr">
        <is>
          <t>Tier 1B (Micro Drop, 1-3 km)</t>
        </is>
      </c>
      <c r="V1281" s="20" t="n">
        <v>61.5</v>
      </c>
      <c r="W1281" s="20" t="n">
        <v>100</v>
      </c>
      <c r="X1281" s="20" t="n">
        <v>28</v>
      </c>
      <c r="Y1281" s="40">
        <f>ROUND((V1281*'Methodology &amp; Assumptions'!$B$6)+(W1281*'Methodology &amp; Assumptions'!$B$5)+(X1281*'Methodology &amp; Assumptions'!$B$7), 2)</f>
        <v/>
      </c>
    </row>
    <row r="1282" ht="19" customHeight="1">
      <c r="A1282" s="41" t="n">
        <v>278</v>
      </c>
      <c r="B1282" s="41" t="n">
        <v>4278</v>
      </c>
      <c r="C1282" s="42" t="inlineStr">
        <is>
          <t>0301415017</t>
        </is>
      </c>
      <c r="D1282" s="42" t="inlineStr">
        <is>
          <t>Region III (Central Luzon)</t>
        </is>
      </c>
      <c r="E1282" s="42" t="inlineStr">
        <is>
          <t>Bulacan</t>
        </is>
      </c>
      <c r="F1282" s="42" t="inlineStr">
        <is>
          <t>Pandi</t>
        </is>
      </c>
      <c r="G1282" s="42" t="inlineStr">
        <is>
          <t>Real de Cacarong</t>
        </is>
      </c>
      <c r="H1282" s="43" t="n">
        <v>14.916485</v>
      </c>
      <c r="I1282" s="43" t="n">
        <v>120.976486</v>
      </c>
      <c r="J1282" s="44" t="inlineStr">
        <is>
          <t>R</t>
        </is>
      </c>
      <c r="K1282" s="42" t="inlineStr">
        <is>
          <t>Class 1-3 / Urban</t>
        </is>
      </c>
      <c r="L1282" s="23" t="n">
        <v>4660</v>
      </c>
      <c r="M1282" s="24" t="n">
        <v>4.1</v>
      </c>
      <c r="N1282" s="23">
        <f>ROUND(L1282/M1282, 0)</f>
        <v/>
      </c>
      <c r="O1282" s="23">
        <f>ROUND(N1282*'Methodology &amp; Assumptions'!$B$8, 0)</f>
        <v/>
      </c>
      <c r="P1282" s="44" t="inlineStr">
        <is>
          <t>Band n50 (1.5 GHz, 60 MHz)</t>
        </is>
      </c>
      <c r="Q1282" s="38">
        <f>ROUNDUP(O1282/'Methodology &amp; Assumptions'!$B$9, 0)</f>
        <v/>
      </c>
      <c r="R1282" s="39" t="n">
        <v>1</v>
      </c>
      <c r="S1282" s="25" t="n">
        <v>3.08</v>
      </c>
      <c r="T1282" s="25" t="n">
        <v>2.74</v>
      </c>
      <c r="U1282" s="42" t="inlineStr">
        <is>
          <t>Tier 2 (Fiber Corridor / Lateral, 3-5 km)</t>
        </is>
      </c>
      <c r="V1282" s="24" t="n">
        <v>35.8</v>
      </c>
      <c r="W1282" s="24" t="n">
        <v>100</v>
      </c>
      <c r="X1282" s="24" t="n">
        <v>58</v>
      </c>
      <c r="Y1282" s="45">
        <f>ROUND((V1282*'Methodology &amp; Assumptions'!$B$6)+(W1282*'Methodology &amp; Assumptions'!$B$5)+(X1282*'Methodology &amp; Assumptions'!$B$7), 2)</f>
        <v/>
      </c>
    </row>
    <row r="1283" ht="19" customHeight="1">
      <c r="A1283" s="35" t="n">
        <v>279</v>
      </c>
      <c r="B1283" s="35" t="n">
        <v>4279</v>
      </c>
      <c r="C1283" s="36" t="inlineStr">
        <is>
          <t>0403424070</t>
        </is>
      </c>
      <c r="D1283" s="36" t="inlineStr">
        <is>
          <t>Region IV-A (CALABARZON)</t>
        </is>
      </c>
      <c r="E1283" s="36" t="inlineStr">
        <is>
          <t>Laguna</t>
        </is>
      </c>
      <c r="F1283" s="36" t="inlineStr">
        <is>
          <t>City of San Pablo</t>
        </is>
      </c>
      <c r="G1283" s="36" t="inlineStr">
        <is>
          <t>Santa Isabel</t>
        </is>
      </c>
      <c r="H1283" s="37" t="n">
        <v>14.08818</v>
      </c>
      <c r="I1283" s="37" t="n">
        <v>121.350367</v>
      </c>
      <c r="J1283" s="8" t="inlineStr">
        <is>
          <t>R</t>
        </is>
      </c>
      <c r="K1283" s="36" t="inlineStr">
        <is>
          <t>Class 1-3 / Urban</t>
        </is>
      </c>
      <c r="L1283" s="18" t="n">
        <v>3830</v>
      </c>
      <c r="M1283" s="20" t="n">
        <v>4.2</v>
      </c>
      <c r="N1283" s="18">
        <f>ROUND(L1283/M1283, 0)</f>
        <v/>
      </c>
      <c r="O1283" s="18">
        <f>ROUND(N1283*'Methodology &amp; Assumptions'!$B$8, 0)</f>
        <v/>
      </c>
      <c r="P1283" s="8" t="inlineStr">
        <is>
          <t>Band n50 (1.5 GHz, 60 MHz)</t>
        </is>
      </c>
      <c r="Q1283" s="38">
        <f>ROUNDUP(O1283/'Methodology &amp; Assumptions'!$B$9, 0)</f>
        <v/>
      </c>
      <c r="R1283" s="39" t="n">
        <v>1</v>
      </c>
      <c r="S1283" s="21" t="n">
        <v>3.75</v>
      </c>
      <c r="T1283" s="21" t="n">
        <v>0.17</v>
      </c>
      <c r="U1283" s="36" t="inlineStr">
        <is>
          <t>Tier 2 (Fiber Corridor / Lateral, 3-5 km)</t>
        </is>
      </c>
      <c r="V1283" s="20" t="n">
        <v>38.7</v>
      </c>
      <c r="W1283" s="20" t="n">
        <v>97.09999999999999</v>
      </c>
      <c r="X1283" s="20" t="n">
        <v>58</v>
      </c>
      <c r="Y1283" s="40">
        <f>ROUND((V1283*'Methodology &amp; Assumptions'!$B$6)+(W1283*'Methodology &amp; Assumptions'!$B$5)+(X1283*'Methodology &amp; Assumptions'!$B$7), 2)</f>
        <v/>
      </c>
    </row>
    <row r="1284" ht="19" customHeight="1">
      <c r="A1284" s="41" t="n">
        <v>280</v>
      </c>
      <c r="B1284" s="41" t="n">
        <v>4280</v>
      </c>
      <c r="C1284" s="42" t="inlineStr">
        <is>
          <t>0403424069</t>
        </is>
      </c>
      <c r="D1284" s="42" t="inlineStr">
        <is>
          <t>Region IV-A (CALABARZON)</t>
        </is>
      </c>
      <c r="E1284" s="42" t="inlineStr">
        <is>
          <t>Laguna</t>
        </is>
      </c>
      <c r="F1284" s="42" t="inlineStr">
        <is>
          <t>City of San Pablo</t>
        </is>
      </c>
      <c r="G1284" s="42" t="inlineStr">
        <is>
          <t>Santa Felomina</t>
        </is>
      </c>
      <c r="H1284" s="43" t="n">
        <v>14.089512</v>
      </c>
      <c r="I1284" s="43" t="n">
        <v>121.287525</v>
      </c>
      <c r="J1284" s="44" t="inlineStr">
        <is>
          <t>R</t>
        </is>
      </c>
      <c r="K1284" s="42" t="inlineStr">
        <is>
          <t>Class 1-3 / Urban</t>
        </is>
      </c>
      <c r="L1284" s="23" t="n">
        <v>3567</v>
      </c>
      <c r="M1284" s="24" t="n">
        <v>4.2</v>
      </c>
      <c r="N1284" s="23">
        <f>ROUND(L1284/M1284, 0)</f>
        <v/>
      </c>
      <c r="O1284" s="23">
        <f>ROUND(N1284*'Methodology &amp; Assumptions'!$B$8, 0)</f>
        <v/>
      </c>
      <c r="P1284" s="44" t="inlineStr">
        <is>
          <t>Band n50 (1.5 GHz, 60 MHz)</t>
        </is>
      </c>
      <c r="Q1284" s="38">
        <f>ROUNDUP(O1284/'Methodology &amp; Assumptions'!$B$9, 0)</f>
        <v/>
      </c>
      <c r="R1284" s="39" t="n">
        <v>1</v>
      </c>
      <c r="S1284" s="25" t="n">
        <v>3.26</v>
      </c>
      <c r="T1284" s="25" t="n">
        <v>1.81</v>
      </c>
      <c r="U1284" s="42" t="inlineStr">
        <is>
          <t>Tier 2 (Fiber Corridor / Lateral, 3-5 km)</t>
        </is>
      </c>
      <c r="V1284" s="24" t="n">
        <v>43.8</v>
      </c>
      <c r="W1284" s="24" t="n">
        <v>92</v>
      </c>
      <c r="X1284" s="24" t="n">
        <v>58</v>
      </c>
      <c r="Y1284" s="45">
        <f>ROUND((V1284*'Methodology &amp; Assumptions'!$B$6)+(W1284*'Methodology &amp; Assumptions'!$B$5)+(X1284*'Methodology &amp; Assumptions'!$B$7), 2)</f>
        <v/>
      </c>
    </row>
    <row r="1285" ht="19" customHeight="1">
      <c r="A1285" s="35" t="n">
        <v>281</v>
      </c>
      <c r="B1285" s="35" t="n">
        <v>4281</v>
      </c>
      <c r="C1285" s="36" t="inlineStr">
        <is>
          <t>0105508016</t>
        </is>
      </c>
      <c r="D1285" s="36" t="inlineStr">
        <is>
          <t>Region I (Ilocos Region)</t>
        </is>
      </c>
      <c r="E1285" s="36" t="inlineStr">
        <is>
          <t>Pangasinan</t>
        </is>
      </c>
      <c r="F1285" s="36" t="inlineStr">
        <is>
          <t>Bani</t>
        </is>
      </c>
      <c r="G1285" s="36" t="inlineStr">
        <is>
          <t>Quinaoayanan</t>
        </is>
      </c>
      <c r="H1285" s="37" t="n">
        <v>16.166984</v>
      </c>
      <c r="I1285" s="37" t="n">
        <v>119.852011</v>
      </c>
      <c r="J1285" s="8" t="inlineStr">
        <is>
          <t>R</t>
        </is>
      </c>
      <c r="K1285" s="36" t="inlineStr">
        <is>
          <t>Class 1-3 / Urban</t>
        </is>
      </c>
      <c r="L1285" s="18" t="n">
        <v>3417</v>
      </c>
      <c r="M1285" s="20" t="n">
        <v>4.39</v>
      </c>
      <c r="N1285" s="18">
        <f>ROUND(L1285/M1285, 0)</f>
        <v/>
      </c>
      <c r="O1285" s="18">
        <f>ROUND(N1285*'Methodology &amp; Assumptions'!$B$8, 0)</f>
        <v/>
      </c>
      <c r="P1285" s="8" t="inlineStr">
        <is>
          <t>Band n50 (1.5 GHz, 60 MHz)</t>
        </is>
      </c>
      <c r="Q1285" s="38">
        <f>ROUNDUP(O1285/'Methodology &amp; Assumptions'!$B$9, 0)</f>
        <v/>
      </c>
      <c r="R1285" s="39" t="n">
        <v>1</v>
      </c>
      <c r="S1285" s="21" t="n">
        <v>2.1</v>
      </c>
      <c r="T1285" s="21" t="n">
        <v>2.24</v>
      </c>
      <c r="U1285" s="36" t="inlineStr">
        <is>
          <t>Tier 1B (Micro Drop, 1-3 km)</t>
        </is>
      </c>
      <c r="V1285" s="20" t="n">
        <v>49.6</v>
      </c>
      <c r="W1285" s="20" t="n">
        <v>86.09999999999999</v>
      </c>
      <c r="X1285" s="20" t="n">
        <v>58</v>
      </c>
      <c r="Y1285" s="40">
        <f>ROUND((V1285*'Methodology &amp; Assumptions'!$B$6)+(W1285*'Methodology &amp; Assumptions'!$B$5)+(X1285*'Methodology &amp; Assumptions'!$B$7), 2)</f>
        <v/>
      </c>
    </row>
    <row r="1286" ht="19" customHeight="1">
      <c r="A1286" s="41" t="n">
        <v>282</v>
      </c>
      <c r="B1286" s="41" t="n">
        <v>4282</v>
      </c>
      <c r="C1286" s="42" t="inlineStr">
        <is>
          <t>1705320027</t>
        </is>
      </c>
      <c r="D1286" s="42" t="inlineStr">
        <is>
          <t>MIMAROPA Region</t>
        </is>
      </c>
      <c r="E1286" s="42" t="inlineStr">
        <is>
          <t>Palawan</t>
        </is>
      </c>
      <c r="F1286" s="42" t="inlineStr">
        <is>
          <t>Taytay</t>
        </is>
      </c>
      <c r="G1286" s="42" t="inlineStr">
        <is>
          <t>Libertad</t>
        </is>
      </c>
      <c r="H1286" s="43" t="n">
        <v>10.817756</v>
      </c>
      <c r="I1286" s="43" t="n">
        <v>119.499531</v>
      </c>
      <c r="J1286" s="44" t="inlineStr">
        <is>
          <t>R</t>
        </is>
      </c>
      <c r="K1286" s="42" t="inlineStr">
        <is>
          <t>Class 1-3 / Urban</t>
        </is>
      </c>
      <c r="L1286" s="23" t="n">
        <v>1977</v>
      </c>
      <c r="M1286" s="24" t="n">
        <v>4.35</v>
      </c>
      <c r="N1286" s="23">
        <f>ROUND(L1286/M1286, 0)</f>
        <v/>
      </c>
      <c r="O1286" s="23">
        <f>ROUND(N1286*'Methodology &amp; Assumptions'!$B$8, 0)</f>
        <v/>
      </c>
      <c r="P1286" s="44" t="inlineStr">
        <is>
          <t>Band n50 (1.5 GHz, 60 MHz)</t>
        </is>
      </c>
      <c r="Q1286" s="38">
        <f>ROUNDUP(O1286/'Methodology &amp; Assumptions'!$B$9, 0)</f>
        <v/>
      </c>
      <c r="R1286" s="39" t="n">
        <v>1</v>
      </c>
      <c r="S1286" s="25" t="n">
        <v>1.09</v>
      </c>
      <c r="T1286" s="25" t="n">
        <v>0.1</v>
      </c>
      <c r="U1286" s="42" t="inlineStr">
        <is>
          <t>Tier 1B (Micro Drop, 1-3 km)</t>
        </is>
      </c>
      <c r="V1286" s="24" t="n">
        <v>79.5</v>
      </c>
      <c r="W1286" s="24" t="n">
        <v>56.3</v>
      </c>
      <c r="X1286" s="24" t="n">
        <v>58</v>
      </c>
      <c r="Y1286" s="45">
        <f>ROUND((V1286*'Methodology &amp; Assumptions'!$B$6)+(W1286*'Methodology &amp; Assumptions'!$B$5)+(X1286*'Methodology &amp; Assumptions'!$B$7), 2)</f>
        <v/>
      </c>
    </row>
    <row r="1287" ht="19" customHeight="1">
      <c r="A1287" s="35" t="n">
        <v>283</v>
      </c>
      <c r="B1287" s="35" t="n">
        <v>4283</v>
      </c>
      <c r="C1287" s="36" t="inlineStr">
        <is>
          <t>0201503012</t>
        </is>
      </c>
      <c r="D1287" s="36" t="inlineStr">
        <is>
          <t>Region II (Cagayan Valley)</t>
        </is>
      </c>
      <c r="E1287" s="36" t="inlineStr">
        <is>
          <t>Cagayan</t>
        </is>
      </c>
      <c r="F1287" s="36" t="inlineStr">
        <is>
          <t>Allacapan</t>
        </is>
      </c>
      <c r="G1287" s="36" t="inlineStr">
        <is>
          <t>Daan-Ili</t>
        </is>
      </c>
      <c r="H1287" s="37" t="n">
        <v>18.216064</v>
      </c>
      <c r="I1287" s="37" t="n">
        <v>121.556582</v>
      </c>
      <c r="J1287" s="8" t="inlineStr">
        <is>
          <t>R</t>
        </is>
      </c>
      <c r="K1287" s="36" t="inlineStr">
        <is>
          <t>Class 1-3 / Urban</t>
        </is>
      </c>
      <c r="L1287" s="18" t="n">
        <v>1870</v>
      </c>
      <c r="M1287" s="20" t="n">
        <v>4.38</v>
      </c>
      <c r="N1287" s="18">
        <f>ROUND(L1287/M1287, 0)</f>
        <v/>
      </c>
      <c r="O1287" s="18">
        <f>ROUND(N1287*'Methodology &amp; Assumptions'!$B$8, 0)</f>
        <v/>
      </c>
      <c r="P1287" s="8" t="inlineStr">
        <is>
          <t>Band n50 (1.5 GHz, 60 MHz)</t>
        </is>
      </c>
      <c r="Q1287" s="38">
        <f>ROUNDUP(O1287/'Methodology &amp; Assumptions'!$B$9, 0)</f>
        <v/>
      </c>
      <c r="R1287" s="39" t="n">
        <v>1</v>
      </c>
      <c r="S1287" s="21" t="n">
        <v>1.17</v>
      </c>
      <c r="T1287" s="21" t="n">
        <v>0.06</v>
      </c>
      <c r="U1287" s="36" t="inlineStr">
        <is>
          <t>Tier 1B (Micro Drop, 1-3 km)</t>
        </is>
      </c>
      <c r="V1287" s="20" t="n">
        <v>77.59999999999999</v>
      </c>
      <c r="W1287" s="20" t="n">
        <v>58.1</v>
      </c>
      <c r="X1287" s="20" t="n">
        <v>58</v>
      </c>
      <c r="Y1287" s="40">
        <f>ROUND((V1287*'Methodology &amp; Assumptions'!$B$6)+(W1287*'Methodology &amp; Assumptions'!$B$5)+(X1287*'Methodology &amp; Assumptions'!$B$7), 2)</f>
        <v/>
      </c>
    </row>
    <row r="1288" ht="19" customHeight="1">
      <c r="A1288" s="41" t="n">
        <v>284</v>
      </c>
      <c r="B1288" s="41" t="n">
        <v>4284</v>
      </c>
      <c r="C1288" s="42" t="inlineStr">
        <is>
          <t>1130700035</t>
        </is>
      </c>
      <c r="D1288" s="42" t="inlineStr">
        <is>
          <t>Region XI (Davao Region)</t>
        </is>
      </c>
      <c r="E1288" s="42" t="inlineStr">
        <is>
          <t>Davao del Sur</t>
        </is>
      </c>
      <c r="F1288" s="42" t="inlineStr">
        <is>
          <t>City of Davao</t>
        </is>
      </c>
      <c r="G1288" s="42" t="inlineStr">
        <is>
          <t>Communal</t>
        </is>
      </c>
      <c r="H1288" s="43" t="n">
        <v>7.13866</v>
      </c>
      <c r="I1288" s="43" t="n">
        <v>125.62655</v>
      </c>
      <c r="J1288" s="44" t="inlineStr">
        <is>
          <t>U</t>
        </is>
      </c>
      <c r="K1288" s="42" t="inlineStr">
        <is>
          <t>Class 1-3 / Urban</t>
        </is>
      </c>
      <c r="L1288" s="23" t="n">
        <v>16395</v>
      </c>
      <c r="M1288" s="24" t="n">
        <v>4.1</v>
      </c>
      <c r="N1288" s="23">
        <f>ROUND(L1288/M1288, 0)</f>
        <v/>
      </c>
      <c r="O1288" s="23">
        <f>ROUND(N1288*'Methodology &amp; Assumptions'!$B$8, 0)</f>
        <v/>
      </c>
      <c r="P1288" s="44" t="inlineStr">
        <is>
          <t>Band n50 (1.5 GHz, 60 MHz)</t>
        </is>
      </c>
      <c r="Q1288" s="38">
        <f>ROUNDUP(O1288/'Methodology &amp; Assumptions'!$B$9, 0)</f>
        <v/>
      </c>
      <c r="R1288" s="39" t="n">
        <v>1</v>
      </c>
      <c r="S1288" s="25" t="n">
        <v>1.99</v>
      </c>
      <c r="T1288" s="25" t="n">
        <v>1.41</v>
      </c>
      <c r="U1288" s="42" t="inlineStr">
        <is>
          <t>Tier 1B (Micro Drop, 1-3 km)</t>
        </is>
      </c>
      <c r="V1288" s="24" t="n">
        <v>61.5</v>
      </c>
      <c r="W1288" s="24" t="n">
        <v>100</v>
      </c>
      <c r="X1288" s="24" t="n">
        <v>28</v>
      </c>
      <c r="Y1288" s="45">
        <f>ROUND((V1288*'Methodology &amp; Assumptions'!$B$6)+(W1288*'Methodology &amp; Assumptions'!$B$5)+(X1288*'Methodology &amp; Assumptions'!$B$7), 2)</f>
        <v/>
      </c>
    </row>
    <row r="1289" ht="19" customHeight="1">
      <c r="A1289" s="35" t="n">
        <v>285</v>
      </c>
      <c r="B1289" s="35" t="n">
        <v>4285</v>
      </c>
      <c r="C1289" s="36" t="inlineStr">
        <is>
          <t>0403403024</t>
        </is>
      </c>
      <c r="D1289" s="36" t="inlineStr">
        <is>
          <t>Region IV-A (CALABARZON)</t>
        </is>
      </c>
      <c r="E1289" s="36" t="inlineStr">
        <is>
          <t>Laguna</t>
        </is>
      </c>
      <c r="F1289" s="36" t="inlineStr">
        <is>
          <t>City of Biñan</t>
        </is>
      </c>
      <c r="G1289" s="36" t="inlineStr">
        <is>
          <t>Timbao</t>
        </is>
      </c>
      <c r="H1289" s="37" t="n">
        <v>14.282748</v>
      </c>
      <c r="I1289" s="37" t="n">
        <v>121.05449</v>
      </c>
      <c r="J1289" s="8" t="inlineStr">
        <is>
          <t>U</t>
        </is>
      </c>
      <c r="K1289" s="36" t="inlineStr">
        <is>
          <t>Class 1-3 / Urban</t>
        </is>
      </c>
      <c r="L1289" s="18" t="n">
        <v>15464</v>
      </c>
      <c r="M1289" s="20" t="n">
        <v>4.2</v>
      </c>
      <c r="N1289" s="18">
        <f>ROUND(L1289/M1289, 0)</f>
        <v/>
      </c>
      <c r="O1289" s="18">
        <f>ROUND(N1289*'Methodology &amp; Assumptions'!$B$8, 0)</f>
        <v/>
      </c>
      <c r="P1289" s="8" t="inlineStr">
        <is>
          <t>Band n50 (1.5 GHz, 60 MHz)</t>
        </is>
      </c>
      <c r="Q1289" s="38">
        <f>ROUNDUP(O1289/'Methodology &amp; Assumptions'!$B$9, 0)</f>
        <v/>
      </c>
      <c r="R1289" s="39" t="n">
        <v>1</v>
      </c>
      <c r="S1289" s="21" t="n">
        <v>1.46</v>
      </c>
      <c r="T1289" s="21" t="n">
        <v>3.01</v>
      </c>
      <c r="U1289" s="36" t="inlineStr">
        <is>
          <t>Tier 1B (Micro Drop, 1-3 km)</t>
        </is>
      </c>
      <c r="V1289" s="20" t="n">
        <v>61.5</v>
      </c>
      <c r="W1289" s="20" t="n">
        <v>100</v>
      </c>
      <c r="X1289" s="20" t="n">
        <v>28</v>
      </c>
      <c r="Y1289" s="40">
        <f>ROUND((V1289*'Methodology &amp; Assumptions'!$B$6)+(W1289*'Methodology &amp; Assumptions'!$B$5)+(X1289*'Methodology &amp; Assumptions'!$B$7), 2)</f>
        <v/>
      </c>
    </row>
    <row r="1290" ht="19" customHeight="1">
      <c r="A1290" s="41" t="n">
        <v>286</v>
      </c>
      <c r="B1290" s="41" t="n">
        <v>4286</v>
      </c>
      <c r="C1290" s="42" t="inlineStr">
        <is>
          <t>1004321006</t>
        </is>
      </c>
      <c r="D1290" s="42" t="inlineStr">
        <is>
          <t>Region X (Northern Mindanao)</t>
        </is>
      </c>
      <c r="E1290" s="42" t="inlineStr">
        <is>
          <t>Misamis Oriental</t>
        </is>
      </c>
      <c r="F1290" s="42" t="inlineStr">
        <is>
          <t>Opol</t>
        </is>
      </c>
      <c r="G1290" s="42" t="inlineStr">
        <is>
          <t>Igpit</t>
        </is>
      </c>
      <c r="H1290" s="43" t="n">
        <v>8.508565000000001</v>
      </c>
      <c r="I1290" s="43" t="n">
        <v>124.588497</v>
      </c>
      <c r="J1290" s="44" t="inlineStr">
        <is>
          <t>U</t>
        </is>
      </c>
      <c r="K1290" s="42" t="inlineStr">
        <is>
          <t>Class 1-3 / Urban</t>
        </is>
      </c>
      <c r="L1290" s="23" t="n">
        <v>12902</v>
      </c>
      <c r="M1290" s="24" t="n">
        <v>4.54</v>
      </c>
      <c r="N1290" s="23">
        <f>ROUND(L1290/M1290, 0)</f>
        <v/>
      </c>
      <c r="O1290" s="23">
        <f>ROUND(N1290*'Methodology &amp; Assumptions'!$B$8, 0)</f>
        <v/>
      </c>
      <c r="P1290" s="44" t="inlineStr">
        <is>
          <t>Band n50 (1.5 GHz, 60 MHz)</t>
        </is>
      </c>
      <c r="Q1290" s="38">
        <f>ROUNDUP(O1290/'Methodology &amp; Assumptions'!$B$9, 0)</f>
        <v/>
      </c>
      <c r="R1290" s="39" t="n">
        <v>1</v>
      </c>
      <c r="S1290" s="25" t="n">
        <v>1.99</v>
      </c>
      <c r="T1290" s="25" t="n">
        <v>0.17</v>
      </c>
      <c r="U1290" s="42" t="inlineStr">
        <is>
          <t>Tier 1B (Micro Drop, 1-3 km)</t>
        </is>
      </c>
      <c r="V1290" s="24" t="n">
        <v>61.5</v>
      </c>
      <c r="W1290" s="24" t="n">
        <v>100</v>
      </c>
      <c r="X1290" s="24" t="n">
        <v>28</v>
      </c>
      <c r="Y1290" s="45">
        <f>ROUND((V1290*'Methodology &amp; Assumptions'!$B$6)+(W1290*'Methodology &amp; Assumptions'!$B$5)+(X1290*'Methodology &amp; Assumptions'!$B$7), 2)</f>
        <v/>
      </c>
    </row>
    <row r="1291" ht="19" customHeight="1">
      <c r="A1291" s="35" t="n">
        <v>287</v>
      </c>
      <c r="B1291" s="35" t="n">
        <v>4287</v>
      </c>
      <c r="C1291" s="36" t="inlineStr">
        <is>
          <t>0304917004</t>
        </is>
      </c>
      <c r="D1291" s="36" t="inlineStr">
        <is>
          <t>Region III (Central Luzon)</t>
        </is>
      </c>
      <c r="E1291" s="36" t="inlineStr">
        <is>
          <t>Nueva Ecija</t>
        </is>
      </c>
      <c r="F1291" s="36" t="inlineStr">
        <is>
          <t>Science City of Muñoz</t>
        </is>
      </c>
      <c r="G1291" s="36" t="inlineStr">
        <is>
          <t>Bical</t>
        </is>
      </c>
      <c r="H1291" s="37" t="n">
        <v>15.74335</v>
      </c>
      <c r="I1291" s="37" t="n">
        <v>120.90232</v>
      </c>
      <c r="J1291" s="8" t="inlineStr">
        <is>
          <t>R</t>
        </is>
      </c>
      <c r="K1291" s="36" t="inlineStr">
        <is>
          <t>Class 1-3 / Urban</t>
        </is>
      </c>
      <c r="L1291" s="18" t="n">
        <v>2868</v>
      </c>
      <c r="M1291" s="20" t="n">
        <v>4.32</v>
      </c>
      <c r="N1291" s="18">
        <f>ROUND(L1291/M1291, 0)</f>
        <v/>
      </c>
      <c r="O1291" s="18">
        <f>ROUND(N1291*'Methodology &amp; Assumptions'!$B$8, 0)</f>
        <v/>
      </c>
      <c r="P1291" s="8" t="inlineStr">
        <is>
          <t>Band n50 (1.5 GHz, 60 MHz)</t>
        </is>
      </c>
      <c r="Q1291" s="38">
        <f>ROUNDUP(O1291/'Methodology &amp; Assumptions'!$B$9, 0)</f>
        <v/>
      </c>
      <c r="R1291" s="39" t="n">
        <v>1</v>
      </c>
      <c r="S1291" s="21" t="n">
        <v>3.08</v>
      </c>
      <c r="T1291" s="21" t="n">
        <v>1.93</v>
      </c>
      <c r="U1291" s="36" t="inlineStr">
        <is>
          <t>Tier 2 (Fiber Corridor / Lateral, 3-5 km)</t>
        </is>
      </c>
      <c r="V1291" s="20" t="n">
        <v>45.8</v>
      </c>
      <c r="W1291" s="20" t="n">
        <v>77.09999999999999</v>
      </c>
      <c r="X1291" s="20" t="n">
        <v>73</v>
      </c>
      <c r="Y1291" s="40">
        <f>ROUND((V1291*'Methodology &amp; Assumptions'!$B$6)+(W1291*'Methodology &amp; Assumptions'!$B$5)+(X1291*'Methodology &amp; Assumptions'!$B$7), 2)</f>
        <v/>
      </c>
    </row>
    <row r="1292" ht="19" customHeight="1">
      <c r="A1292" s="41" t="n">
        <v>288</v>
      </c>
      <c r="B1292" s="41" t="n">
        <v>4288</v>
      </c>
      <c r="C1292" s="42" t="inlineStr">
        <is>
          <t>1001308037</t>
        </is>
      </c>
      <c r="D1292" s="42" t="inlineStr">
        <is>
          <t>Region X (Northern Mindanao)</t>
        </is>
      </c>
      <c r="E1292" s="42" t="inlineStr">
        <is>
          <t>Bukidnon</t>
        </is>
      </c>
      <c r="F1292" s="42" t="inlineStr">
        <is>
          <t>Kibawe</t>
        </is>
      </c>
      <c r="G1292" s="42" t="inlineStr">
        <is>
          <t>Palma</t>
        </is>
      </c>
      <c r="H1292" s="43" t="n">
        <v>7.572923</v>
      </c>
      <c r="I1292" s="43" t="n">
        <v>124.992935</v>
      </c>
      <c r="J1292" s="44" t="inlineStr">
        <is>
          <t>R</t>
        </is>
      </c>
      <c r="K1292" s="42" t="inlineStr">
        <is>
          <t>Class 1-3 / Urban</t>
        </is>
      </c>
      <c r="L1292" s="23" t="n">
        <v>2317</v>
      </c>
      <c r="M1292" s="24" t="n">
        <v>4.63</v>
      </c>
      <c r="N1292" s="23">
        <f>ROUND(L1292/M1292, 0)</f>
        <v/>
      </c>
      <c r="O1292" s="23">
        <f>ROUND(N1292*'Methodology &amp; Assumptions'!$B$8, 0)</f>
        <v/>
      </c>
      <c r="P1292" s="44" t="inlineStr">
        <is>
          <t>Band n50 (1.5 GHz, 60 MHz)</t>
        </is>
      </c>
      <c r="Q1292" s="38">
        <f>ROUNDUP(O1292/'Methodology &amp; Assumptions'!$B$9, 0)</f>
        <v/>
      </c>
      <c r="R1292" s="39" t="n">
        <v>1</v>
      </c>
      <c r="S1292" s="25" t="n">
        <v>1.45</v>
      </c>
      <c r="T1292" s="25" t="n">
        <v>0.2</v>
      </c>
      <c r="U1292" s="42" t="inlineStr">
        <is>
          <t>Tier 1B (Micro Drop, 1-3 km)</t>
        </is>
      </c>
      <c r="V1292" s="24" t="n">
        <v>71.7</v>
      </c>
      <c r="W1292" s="24" t="n">
        <v>64</v>
      </c>
      <c r="X1292" s="24" t="n">
        <v>58</v>
      </c>
      <c r="Y1292" s="45">
        <f>ROUND((V1292*'Methodology &amp; Assumptions'!$B$6)+(W1292*'Methodology &amp; Assumptions'!$B$5)+(X1292*'Methodology &amp; Assumptions'!$B$7), 2)</f>
        <v/>
      </c>
    </row>
    <row r="1293" ht="19" customHeight="1">
      <c r="A1293" s="35" t="n">
        <v>289</v>
      </c>
      <c r="B1293" s="35" t="n">
        <v>4289</v>
      </c>
      <c r="C1293" s="36" t="inlineStr">
        <is>
          <t>0102812076</t>
        </is>
      </c>
      <c r="D1293" s="36" t="inlineStr">
        <is>
          <t>Region I (Ilocos Region)</t>
        </is>
      </c>
      <c r="E1293" s="36" t="inlineStr">
        <is>
          <t>Ilocos Norte</t>
        </is>
      </c>
      <c r="F1293" s="36" t="inlineStr">
        <is>
          <t>City of Laoag</t>
        </is>
      </c>
      <c r="G1293" s="36" t="inlineStr">
        <is>
          <t>Bgy. No. 30-B, Santa Maria</t>
        </is>
      </c>
      <c r="H1293" s="37" t="n">
        <v>18.204306</v>
      </c>
      <c r="I1293" s="37" t="n">
        <v>120.576835</v>
      </c>
      <c r="J1293" s="8" t="inlineStr">
        <is>
          <t>R</t>
        </is>
      </c>
      <c r="K1293" s="36" t="inlineStr">
        <is>
          <t>Class 1-3 / Urban</t>
        </is>
      </c>
      <c r="L1293" s="18" t="n">
        <v>1571</v>
      </c>
      <c r="M1293" s="20" t="n">
        <v>4.35</v>
      </c>
      <c r="N1293" s="18">
        <f>ROUND(L1293/M1293, 0)</f>
        <v/>
      </c>
      <c r="O1293" s="18">
        <f>ROUND(N1293*'Methodology &amp; Assumptions'!$B$8, 0)</f>
        <v/>
      </c>
      <c r="P1293" s="8" t="inlineStr">
        <is>
          <t>Band n50 (1.5 GHz, 60 MHz)</t>
        </is>
      </c>
      <c r="Q1293" s="38">
        <f>ROUNDUP(O1293/'Methodology &amp; Assumptions'!$B$9, 0)</f>
        <v/>
      </c>
      <c r="R1293" s="39" t="n">
        <v>1</v>
      </c>
      <c r="S1293" s="21" t="n">
        <v>0.95</v>
      </c>
      <c r="T1293" s="21" t="n">
        <v>0.91</v>
      </c>
      <c r="U1293" s="36" t="inlineStr">
        <is>
          <t>Tier 1A (Direct Coloc, &lt;1 km)</t>
        </is>
      </c>
      <c r="V1293" s="20" t="n">
        <v>83</v>
      </c>
      <c r="W1293" s="20" t="n">
        <v>52.8</v>
      </c>
      <c r="X1293" s="20" t="n">
        <v>58</v>
      </c>
      <c r="Y1293" s="40">
        <f>ROUND((V1293*'Methodology &amp; Assumptions'!$B$6)+(W1293*'Methodology &amp; Assumptions'!$B$5)+(X1293*'Methodology &amp; Assumptions'!$B$7), 2)</f>
        <v/>
      </c>
    </row>
    <row r="1294" ht="19" customHeight="1">
      <c r="A1294" s="41" t="n">
        <v>290</v>
      </c>
      <c r="B1294" s="41" t="n">
        <v>4290</v>
      </c>
      <c r="C1294" s="42" t="inlineStr">
        <is>
          <t>0403416041</t>
        </is>
      </c>
      <c r="D1294" s="42" t="inlineStr">
        <is>
          <t>Region IV-A (CALABARZON)</t>
        </is>
      </c>
      <c r="E1294" s="42" t="inlineStr">
        <is>
          <t>Laguna</t>
        </is>
      </c>
      <c r="F1294" s="42" t="inlineStr">
        <is>
          <t>Majayjay</t>
        </is>
      </c>
      <c r="G1294" s="42" t="inlineStr">
        <is>
          <t>Talortor</t>
        </is>
      </c>
      <c r="H1294" s="43" t="n">
        <v>14.146418</v>
      </c>
      <c r="I1294" s="43" t="n">
        <v>121.465307</v>
      </c>
      <c r="J1294" s="44" t="inlineStr">
        <is>
          <t>R</t>
        </is>
      </c>
      <c r="K1294" s="42" t="inlineStr">
        <is>
          <t>3rd</t>
        </is>
      </c>
      <c r="L1294" s="23" t="n">
        <v>1105</v>
      </c>
      <c r="M1294" s="24" t="n">
        <v>4.18</v>
      </c>
      <c r="N1294" s="23">
        <f>ROUND(L1294/M1294, 0)</f>
        <v/>
      </c>
      <c r="O1294" s="23">
        <f>ROUND(N1294*'Methodology &amp; Assumptions'!$B$8, 0)</f>
        <v/>
      </c>
      <c r="P1294" s="44" t="inlineStr">
        <is>
          <t>Band n50 (1.5 GHz, 60 MHz)</t>
        </is>
      </c>
      <c r="Q1294" s="38">
        <f>ROUNDUP(O1294/'Methodology &amp; Assumptions'!$B$9, 0)</f>
        <v/>
      </c>
      <c r="R1294" s="39" t="n">
        <v>1</v>
      </c>
      <c r="S1294" s="25" t="n">
        <v>0.64</v>
      </c>
      <c r="T1294" s="25" t="n">
        <v>0.61</v>
      </c>
      <c r="U1294" s="42" t="inlineStr">
        <is>
          <t>Tier 1A (Direct Coloc, &lt;1 km)</t>
        </is>
      </c>
      <c r="V1294" s="24" t="n">
        <v>90.7</v>
      </c>
      <c r="W1294" s="24" t="n">
        <v>45.1</v>
      </c>
      <c r="X1294" s="24" t="n">
        <v>58</v>
      </c>
      <c r="Y1294" s="45">
        <f>ROUND((V1294*'Methodology &amp; Assumptions'!$B$6)+(W1294*'Methodology &amp; Assumptions'!$B$5)+(X1294*'Methodology &amp; Assumptions'!$B$7), 2)</f>
        <v/>
      </c>
    </row>
    <row r="1295" ht="19" customHeight="1">
      <c r="A1295" s="35" t="n">
        <v>291</v>
      </c>
      <c r="B1295" s="35" t="n">
        <v>4291</v>
      </c>
      <c r="C1295" s="36" t="inlineStr">
        <is>
          <t>0500516013</t>
        </is>
      </c>
      <c r="D1295" s="36" t="inlineStr">
        <is>
          <t>Region V (Bicol Region)</t>
        </is>
      </c>
      <c r="E1295" s="36" t="inlineStr">
        <is>
          <t>Albay</t>
        </is>
      </c>
      <c r="F1295" s="36" t="inlineStr">
        <is>
          <t>Santo Domingo</t>
        </is>
      </c>
      <c r="G1295" s="36" t="inlineStr">
        <is>
          <t>Del Rosario Pob.</t>
        </is>
      </c>
      <c r="H1295" s="37" t="n">
        <v>13.235339</v>
      </c>
      <c r="I1295" s="37" t="n">
        <v>123.775576</v>
      </c>
      <c r="J1295" s="8" t="inlineStr">
        <is>
          <t>R</t>
        </is>
      </c>
      <c r="K1295" s="36" t="inlineStr">
        <is>
          <t>2nd</t>
        </is>
      </c>
      <c r="L1295" s="18" t="n">
        <v>675</v>
      </c>
      <c r="M1295" s="20" t="n">
        <v>4.65</v>
      </c>
      <c r="N1295" s="18">
        <f>ROUND(L1295/M1295, 0)</f>
        <v/>
      </c>
      <c r="O1295" s="18">
        <f>ROUND(N1295*'Methodology &amp; Assumptions'!$B$8, 0)</f>
        <v/>
      </c>
      <c r="P1295" s="8" t="inlineStr">
        <is>
          <t>Band n50 (1.5 GHz, 60 MHz)</t>
        </is>
      </c>
      <c r="Q1295" s="38">
        <f>ROUNDUP(O1295/'Methodology &amp; Assumptions'!$B$9, 0)</f>
        <v/>
      </c>
      <c r="R1295" s="39" t="n">
        <v>1</v>
      </c>
      <c r="S1295" s="21" t="n">
        <v>0.25</v>
      </c>
      <c r="T1295" s="21" t="n">
        <v>0.29</v>
      </c>
      <c r="U1295" s="36" t="inlineStr">
        <is>
          <t>Tier 1A (Direct Coloc, &lt;1 km)</t>
        </is>
      </c>
      <c r="V1295" s="20" t="n">
        <v>100</v>
      </c>
      <c r="W1295" s="20" t="n">
        <v>35.7</v>
      </c>
      <c r="X1295" s="20" t="n">
        <v>58</v>
      </c>
      <c r="Y1295" s="40">
        <f>ROUND((V1295*'Methodology &amp; Assumptions'!$B$6)+(W1295*'Methodology &amp; Assumptions'!$B$5)+(X1295*'Methodology &amp; Assumptions'!$B$7), 2)</f>
        <v/>
      </c>
    </row>
    <row r="1296" ht="19" customHeight="1">
      <c r="A1296" s="41" t="n">
        <v>292</v>
      </c>
      <c r="B1296" s="41" t="n">
        <v>4292</v>
      </c>
      <c r="C1296" s="42" t="inlineStr">
        <is>
          <t>0102933035</t>
        </is>
      </c>
      <c r="D1296" s="42" t="inlineStr">
        <is>
          <t>Region I (Ilocos Region)</t>
        </is>
      </c>
      <c r="E1296" s="42" t="inlineStr">
        <is>
          <t>Ilocos Sur</t>
        </is>
      </c>
      <c r="F1296" s="42" t="inlineStr">
        <is>
          <t>Tagudin</t>
        </is>
      </c>
      <c r="G1296" s="42" t="inlineStr">
        <is>
          <t>Quirino</t>
        </is>
      </c>
      <c r="H1296" s="43" t="n">
        <v>16.936105</v>
      </c>
      <c r="I1296" s="43" t="n">
        <v>120.442568</v>
      </c>
      <c r="J1296" s="44" t="inlineStr">
        <is>
          <t>R</t>
        </is>
      </c>
      <c r="K1296" s="42" t="inlineStr">
        <is>
          <t>Class 1-3 / Urban</t>
        </is>
      </c>
      <c r="L1296" s="23" t="n">
        <v>666</v>
      </c>
      <c r="M1296" s="24" t="n">
        <v>4.56</v>
      </c>
      <c r="N1296" s="23">
        <f>ROUND(L1296/M1296, 0)</f>
        <v/>
      </c>
      <c r="O1296" s="23">
        <f>ROUND(N1296*'Methodology &amp; Assumptions'!$B$8, 0)</f>
        <v/>
      </c>
      <c r="P1296" s="44" t="inlineStr">
        <is>
          <t>Band n50 (1.5 GHz, 60 MHz)</t>
        </is>
      </c>
      <c r="Q1296" s="38">
        <f>ROUNDUP(O1296/'Methodology &amp; Assumptions'!$B$9, 0)</f>
        <v/>
      </c>
      <c r="R1296" s="39" t="n">
        <v>1</v>
      </c>
      <c r="S1296" s="25" t="n">
        <v>0.26</v>
      </c>
      <c r="T1296" s="25" t="n">
        <v>0.21</v>
      </c>
      <c r="U1296" s="42" t="inlineStr">
        <is>
          <t>Tier 1A (Direct Coloc, &lt;1 km)</t>
        </is>
      </c>
      <c r="V1296" s="24" t="n">
        <v>100</v>
      </c>
      <c r="W1296" s="24" t="n">
        <v>35.7</v>
      </c>
      <c r="X1296" s="24" t="n">
        <v>58</v>
      </c>
      <c r="Y1296" s="45">
        <f>ROUND((V1296*'Methodology &amp; Assumptions'!$B$6)+(W1296*'Methodology &amp; Assumptions'!$B$5)+(X1296*'Methodology &amp; Assumptions'!$B$7), 2)</f>
        <v/>
      </c>
    </row>
    <row r="1297" ht="19" customHeight="1">
      <c r="A1297" s="35" t="n">
        <v>293</v>
      </c>
      <c r="B1297" s="35" t="n">
        <v>4293</v>
      </c>
      <c r="C1297" s="36" t="inlineStr">
        <is>
          <t>0405622058</t>
        </is>
      </c>
      <c r="D1297" s="36" t="inlineStr">
        <is>
          <t>Region IV-A (CALABARZON)</t>
        </is>
      </c>
      <c r="E1297" s="36" t="inlineStr">
        <is>
          <t>Quezon</t>
        </is>
      </c>
      <c r="F1297" s="36" t="inlineStr">
        <is>
          <t>Lopez</t>
        </is>
      </c>
      <c r="G1297" s="36" t="inlineStr">
        <is>
          <t>Rizal</t>
        </is>
      </c>
      <c r="H1297" s="37" t="n">
        <v>13.8858</v>
      </c>
      <c r="I1297" s="37" t="n">
        <v>122.2601</v>
      </c>
      <c r="J1297" s="8" t="inlineStr">
        <is>
          <t>R</t>
        </is>
      </c>
      <c r="K1297" s="36" t="inlineStr">
        <is>
          <t>Class 1-3 / Urban</t>
        </is>
      </c>
      <c r="L1297" s="18" t="n">
        <v>661</v>
      </c>
      <c r="M1297" s="20" t="n">
        <v>4.46</v>
      </c>
      <c r="N1297" s="18">
        <f>ROUND(L1297/M1297, 0)</f>
        <v/>
      </c>
      <c r="O1297" s="18">
        <f>ROUND(N1297*'Methodology &amp; Assumptions'!$B$8, 0)</f>
        <v/>
      </c>
      <c r="P1297" s="8" t="inlineStr">
        <is>
          <t>Band n50 (1.5 GHz, 60 MHz)</t>
        </is>
      </c>
      <c r="Q1297" s="38">
        <f>ROUNDUP(O1297/'Methodology &amp; Assumptions'!$B$9, 0)</f>
        <v/>
      </c>
      <c r="R1297" s="39" t="n">
        <v>1</v>
      </c>
      <c r="S1297" s="21" t="n">
        <v>0.27</v>
      </c>
      <c r="T1297" s="21" t="n">
        <v>0.18</v>
      </c>
      <c r="U1297" s="36" t="inlineStr">
        <is>
          <t>Tier 1A (Direct Coloc, &lt;1 km)</t>
        </is>
      </c>
      <c r="V1297" s="20" t="n">
        <v>100</v>
      </c>
      <c r="W1297" s="20" t="n">
        <v>35.7</v>
      </c>
      <c r="X1297" s="20" t="n">
        <v>58</v>
      </c>
      <c r="Y1297" s="40">
        <f>ROUND((V1297*'Methodology &amp; Assumptions'!$B$6)+(W1297*'Methodology &amp; Assumptions'!$B$5)+(X1297*'Methodology &amp; Assumptions'!$B$7), 2)</f>
        <v/>
      </c>
    </row>
    <row r="1298" ht="19" customHeight="1">
      <c r="A1298" s="41" t="n">
        <v>294</v>
      </c>
      <c r="B1298" s="41" t="n">
        <v>4294</v>
      </c>
      <c r="C1298" s="42" t="inlineStr">
        <is>
          <t>0402104015</t>
        </is>
      </c>
      <c r="D1298" s="42" t="inlineStr">
        <is>
          <t>Region IV-A (CALABARZON)</t>
        </is>
      </c>
      <c r="E1298" s="42" t="inlineStr">
        <is>
          <t>Cavite</t>
        </is>
      </c>
      <c r="F1298" s="42" t="inlineStr">
        <is>
          <t>Carmona</t>
        </is>
      </c>
      <c r="G1298" s="42" t="inlineStr">
        <is>
          <t>Barangay 4</t>
        </is>
      </c>
      <c r="H1298" s="43" t="n">
        <v>14.310549</v>
      </c>
      <c r="I1298" s="43" t="n">
        <v>121.052585</v>
      </c>
      <c r="J1298" s="44" t="inlineStr">
        <is>
          <t>R</t>
        </is>
      </c>
      <c r="K1298" s="42" t="inlineStr">
        <is>
          <t>Class 1-3 / Urban</t>
        </is>
      </c>
      <c r="L1298" s="23" t="n">
        <v>650</v>
      </c>
      <c r="M1298" s="24" t="n">
        <v>4.49</v>
      </c>
      <c r="N1298" s="23">
        <f>ROUND(L1298/M1298, 0)</f>
        <v/>
      </c>
      <c r="O1298" s="23">
        <f>ROUND(N1298*'Methodology &amp; Assumptions'!$B$8, 0)</f>
        <v/>
      </c>
      <c r="P1298" s="44" t="inlineStr">
        <is>
          <t>Band n50 (1.5 GHz, 60 MHz)</t>
        </is>
      </c>
      <c r="Q1298" s="38">
        <f>ROUNDUP(O1298/'Methodology &amp; Assumptions'!$B$9, 0)</f>
        <v/>
      </c>
      <c r="R1298" s="39" t="n">
        <v>1</v>
      </c>
      <c r="S1298" s="25" t="n">
        <v>0.27</v>
      </c>
      <c r="T1298" s="25" t="n">
        <v>0.28</v>
      </c>
      <c r="U1298" s="42" t="inlineStr">
        <is>
          <t>Tier 1A (Direct Coloc, &lt;1 km)</t>
        </is>
      </c>
      <c r="V1298" s="24" t="n">
        <v>100</v>
      </c>
      <c r="W1298" s="24" t="n">
        <v>35.7</v>
      </c>
      <c r="X1298" s="24" t="n">
        <v>58</v>
      </c>
      <c r="Y1298" s="45">
        <f>ROUND((V1298*'Methodology &amp; Assumptions'!$B$6)+(W1298*'Methodology &amp; Assumptions'!$B$5)+(X1298*'Methodology &amp; Assumptions'!$B$7), 2)</f>
        <v/>
      </c>
    </row>
    <row r="1299" ht="19" customHeight="1">
      <c r="A1299" s="35" t="n">
        <v>295</v>
      </c>
      <c r="B1299" s="35" t="n">
        <v>4295</v>
      </c>
      <c r="C1299" s="36" t="inlineStr">
        <is>
          <t>0306904001</t>
        </is>
      </c>
      <c r="D1299" s="36" t="inlineStr">
        <is>
          <t>Region III (Central Luzon)</t>
        </is>
      </c>
      <c r="E1299" s="36" t="inlineStr">
        <is>
          <t>Tarlac</t>
        </is>
      </c>
      <c r="F1299" s="36" t="inlineStr">
        <is>
          <t>Capas</t>
        </is>
      </c>
      <c r="G1299" s="36" t="inlineStr">
        <is>
          <t>Aranguren</t>
        </is>
      </c>
      <c r="H1299" s="37" t="n">
        <v>15.351234</v>
      </c>
      <c r="I1299" s="37" t="n">
        <v>120.57525</v>
      </c>
      <c r="J1299" s="8" t="inlineStr">
        <is>
          <t>U</t>
        </is>
      </c>
      <c r="K1299" s="36" t="inlineStr">
        <is>
          <t>Class 1-3 / Urban</t>
        </is>
      </c>
      <c r="L1299" s="18" t="n">
        <v>7714</v>
      </c>
      <c r="M1299" s="20" t="n">
        <v>4.3</v>
      </c>
      <c r="N1299" s="18">
        <f>ROUND(L1299/M1299, 0)</f>
        <v/>
      </c>
      <c r="O1299" s="18">
        <f>ROUND(N1299*'Methodology &amp; Assumptions'!$B$8, 0)</f>
        <v/>
      </c>
      <c r="P1299" s="8" t="inlineStr">
        <is>
          <t>Band n50 (1.5 GHz, 60 MHz)</t>
        </is>
      </c>
      <c r="Q1299" s="38">
        <f>ROUNDUP(O1299/'Methodology &amp; Assumptions'!$B$9, 0)</f>
        <v/>
      </c>
      <c r="R1299" s="39" t="n">
        <v>1</v>
      </c>
      <c r="S1299" s="21" t="n">
        <v>1.99</v>
      </c>
      <c r="T1299" s="21" t="n">
        <v>1.89</v>
      </c>
      <c r="U1299" s="36" t="inlineStr">
        <is>
          <t>Tier 1B (Micro Drop, 1-3 km)</t>
        </is>
      </c>
      <c r="V1299" s="20" t="n">
        <v>61.5</v>
      </c>
      <c r="W1299" s="20" t="n">
        <v>100</v>
      </c>
      <c r="X1299" s="20" t="n">
        <v>28</v>
      </c>
      <c r="Y1299" s="40">
        <f>ROUND((V1299*'Methodology &amp; Assumptions'!$B$6)+(W1299*'Methodology &amp; Assumptions'!$B$5)+(X1299*'Methodology &amp; Assumptions'!$B$7), 2)</f>
        <v/>
      </c>
    </row>
    <row r="1300" ht="19" customHeight="1">
      <c r="A1300" s="41" t="n">
        <v>296</v>
      </c>
      <c r="B1300" s="41" t="n">
        <v>4296</v>
      </c>
      <c r="C1300" s="42" t="inlineStr">
        <is>
          <t>0701236013</t>
        </is>
      </c>
      <c r="D1300" s="42" t="inlineStr">
        <is>
          <t>Region VII (Central Visayas)</t>
        </is>
      </c>
      <c r="E1300" s="42" t="inlineStr">
        <is>
          <t>Bohol</t>
        </is>
      </c>
      <c r="F1300" s="42" t="inlineStr">
        <is>
          <t>Sagbayan</t>
        </is>
      </c>
      <c r="G1300" s="42" t="inlineStr">
        <is>
          <t>Poblacion</t>
        </is>
      </c>
      <c r="H1300" s="43" t="n">
        <v>9.914831</v>
      </c>
      <c r="I1300" s="43" t="n">
        <v>124.086505</v>
      </c>
      <c r="J1300" s="44" t="inlineStr">
        <is>
          <t>R</t>
        </is>
      </c>
      <c r="K1300" s="42" t="inlineStr">
        <is>
          <t>3rd</t>
        </is>
      </c>
      <c r="L1300" s="23" t="n">
        <v>4002</v>
      </c>
      <c r="M1300" s="24" t="n">
        <v>4.33</v>
      </c>
      <c r="N1300" s="23">
        <f>ROUND(L1300/M1300, 0)</f>
        <v/>
      </c>
      <c r="O1300" s="23">
        <f>ROUND(N1300*'Methodology &amp; Assumptions'!$B$8, 0)</f>
        <v/>
      </c>
      <c r="P1300" s="44" t="inlineStr">
        <is>
          <t>Band n50 (1.5 GHz, 60 MHz)</t>
        </is>
      </c>
      <c r="Q1300" s="38">
        <f>ROUNDUP(O1300/'Methodology &amp; Assumptions'!$B$9, 0)</f>
        <v/>
      </c>
      <c r="R1300" s="39" t="n">
        <v>1</v>
      </c>
      <c r="S1300" s="25" t="n">
        <v>31.41</v>
      </c>
      <c r="T1300" s="25" t="n">
        <v>0.3</v>
      </c>
      <c r="U1300" s="42" t="inlineStr">
        <is>
          <t>Tier 2 (Fiber Corridor / Lateral, 3-5 km)</t>
        </is>
      </c>
      <c r="V1300" s="24" t="n">
        <v>25</v>
      </c>
      <c r="W1300" s="24" t="n">
        <v>97.90000000000001</v>
      </c>
      <c r="X1300" s="24" t="n">
        <v>73</v>
      </c>
      <c r="Y1300" s="45">
        <f>ROUND((V1300*'Methodology &amp; Assumptions'!$B$6)+(W1300*'Methodology &amp; Assumptions'!$B$5)+(X1300*'Methodology &amp; Assumptions'!$B$7), 2)</f>
        <v/>
      </c>
    </row>
    <row r="1301" ht="19" customHeight="1">
      <c r="A1301" s="35" t="n">
        <v>297</v>
      </c>
      <c r="B1301" s="35" t="n">
        <v>4297</v>
      </c>
      <c r="C1301" s="36" t="inlineStr">
        <is>
          <t>0403424041</t>
        </is>
      </c>
      <c r="D1301" s="36" t="inlineStr">
        <is>
          <t>Region IV-A (CALABARZON)</t>
        </is>
      </c>
      <c r="E1301" s="36" t="inlineStr">
        <is>
          <t>Laguna</t>
        </is>
      </c>
      <c r="F1301" s="36" t="inlineStr">
        <is>
          <t>City of San Pablo</t>
        </is>
      </c>
      <c r="G1301" s="36" t="inlineStr">
        <is>
          <t>San Antonio 2</t>
        </is>
      </c>
      <c r="H1301" s="37" t="n">
        <v>13.997235</v>
      </c>
      <c r="I1301" s="37" t="n">
        <v>121.333706</v>
      </c>
      <c r="J1301" s="8" t="inlineStr">
        <is>
          <t>R</t>
        </is>
      </c>
      <c r="K1301" s="36" t="inlineStr">
        <is>
          <t>Class 1-3 / Urban</t>
        </is>
      </c>
      <c r="L1301" s="18" t="n">
        <v>4693</v>
      </c>
      <c r="M1301" s="20" t="n">
        <v>4.2</v>
      </c>
      <c r="N1301" s="18">
        <f>ROUND(L1301/M1301, 0)</f>
        <v/>
      </c>
      <c r="O1301" s="18">
        <f>ROUND(N1301*'Methodology &amp; Assumptions'!$B$8, 0)</f>
        <v/>
      </c>
      <c r="P1301" s="8" t="inlineStr">
        <is>
          <t>Band n50 (1.5 GHz, 60 MHz)</t>
        </is>
      </c>
      <c r="Q1301" s="38">
        <f>ROUNDUP(O1301/'Methodology &amp; Assumptions'!$B$9, 0)</f>
        <v/>
      </c>
      <c r="R1301" s="39" t="n">
        <v>1</v>
      </c>
      <c r="S1301" s="21" t="n">
        <v>4.07</v>
      </c>
      <c r="T1301" s="21" t="n">
        <v>0.33</v>
      </c>
      <c r="U1301" s="36" t="inlineStr">
        <is>
          <t>Tier 2 (Fiber Corridor / Lateral, 3-5 km)</t>
        </is>
      </c>
      <c r="V1301" s="20" t="n">
        <v>35.7</v>
      </c>
      <c r="W1301" s="20" t="n">
        <v>100</v>
      </c>
      <c r="X1301" s="20" t="n">
        <v>58</v>
      </c>
      <c r="Y1301" s="40">
        <f>ROUND((V1301*'Methodology &amp; Assumptions'!$B$6)+(W1301*'Methodology &amp; Assumptions'!$B$5)+(X1301*'Methodology &amp; Assumptions'!$B$7), 2)</f>
        <v/>
      </c>
    </row>
    <row r="1302" ht="19" customHeight="1">
      <c r="A1302" s="41" t="n">
        <v>298</v>
      </c>
      <c r="B1302" s="41" t="n">
        <v>4298</v>
      </c>
      <c r="C1302" s="42" t="inlineStr">
        <is>
          <t>0500514023</t>
        </is>
      </c>
      <c r="D1302" s="42" t="inlineStr">
        <is>
          <t>Region V (Bicol Region)</t>
        </is>
      </c>
      <c r="E1302" s="42" t="inlineStr">
        <is>
          <t>Albay</t>
        </is>
      </c>
      <c r="F1302" s="42" t="inlineStr">
        <is>
          <t>Polangui</t>
        </is>
      </c>
      <c r="G1302" s="42" t="inlineStr">
        <is>
          <t>Kinale</t>
        </is>
      </c>
      <c r="H1302" s="43" t="n">
        <v>13.294043</v>
      </c>
      <c r="I1302" s="43" t="n">
        <v>123.467072</v>
      </c>
      <c r="J1302" s="44" t="inlineStr">
        <is>
          <t>R</t>
        </is>
      </c>
      <c r="K1302" s="42" t="inlineStr">
        <is>
          <t>Class 1-3 / Urban</t>
        </is>
      </c>
      <c r="L1302" s="23" t="n">
        <v>2700</v>
      </c>
      <c r="M1302" s="24" t="n">
        <v>4.67</v>
      </c>
      <c r="N1302" s="23">
        <f>ROUND(L1302/M1302, 0)</f>
        <v/>
      </c>
      <c r="O1302" s="23">
        <f>ROUND(N1302*'Methodology &amp; Assumptions'!$B$8, 0)</f>
        <v/>
      </c>
      <c r="P1302" s="44" t="inlineStr">
        <is>
          <t>Band n50 (1.5 GHz, 60 MHz)</t>
        </is>
      </c>
      <c r="Q1302" s="38">
        <f>ROUNDUP(O1302/'Methodology &amp; Assumptions'!$B$9, 0)</f>
        <v/>
      </c>
      <c r="R1302" s="39" t="n">
        <v>1</v>
      </c>
      <c r="S1302" s="25" t="n">
        <v>1.76</v>
      </c>
      <c r="T1302" s="25" t="n">
        <v>0.53</v>
      </c>
      <c r="U1302" s="42" t="inlineStr">
        <is>
          <t>Tier 1B (Micro Drop, 1-3 km)</t>
        </is>
      </c>
      <c r="V1302" s="24" t="n">
        <v>65.59999999999999</v>
      </c>
      <c r="W1302" s="24" t="n">
        <v>70.09999999999999</v>
      </c>
      <c r="X1302" s="24" t="n">
        <v>58</v>
      </c>
      <c r="Y1302" s="45">
        <f>ROUND((V1302*'Methodology &amp; Assumptions'!$B$6)+(W1302*'Methodology &amp; Assumptions'!$B$5)+(X1302*'Methodology &amp; Assumptions'!$B$7), 2)</f>
        <v/>
      </c>
    </row>
    <row r="1303" ht="19" customHeight="1">
      <c r="A1303" s="35" t="n">
        <v>299</v>
      </c>
      <c r="B1303" s="35" t="n">
        <v>4299</v>
      </c>
      <c r="C1303" s="36" t="inlineStr">
        <is>
          <t>0401003001</t>
        </is>
      </c>
      <c r="D1303" s="36" t="inlineStr">
        <is>
          <t>Region IV-A (CALABARZON)</t>
        </is>
      </c>
      <c r="E1303" s="36" t="inlineStr">
        <is>
          <t>Batangas</t>
        </is>
      </c>
      <c r="F1303" s="36" t="inlineStr">
        <is>
          <t>Balayan</t>
        </is>
      </c>
      <c r="G1303" s="36" t="inlineStr">
        <is>
          <t>Baclaran</t>
        </is>
      </c>
      <c r="H1303" s="37" t="n">
        <v>13.9316</v>
      </c>
      <c r="I1303" s="37" t="n">
        <v>120.7738</v>
      </c>
      <c r="J1303" s="8" t="inlineStr">
        <is>
          <t>R</t>
        </is>
      </c>
      <c r="K1303" s="36" t="inlineStr">
        <is>
          <t>Class 1-3 / Urban</t>
        </is>
      </c>
      <c r="L1303" s="18" t="n">
        <v>2674</v>
      </c>
      <c r="M1303" s="20" t="n">
        <v>4.62</v>
      </c>
      <c r="N1303" s="18">
        <f>ROUND(L1303/M1303, 0)</f>
        <v/>
      </c>
      <c r="O1303" s="18">
        <f>ROUND(N1303*'Methodology &amp; Assumptions'!$B$8, 0)</f>
        <v/>
      </c>
      <c r="P1303" s="8" t="inlineStr">
        <is>
          <t>Band n50 (1.5 GHz, 60 MHz)</t>
        </is>
      </c>
      <c r="Q1303" s="38">
        <f>ROUNDUP(O1303/'Methodology &amp; Assumptions'!$B$9, 0)</f>
        <v/>
      </c>
      <c r="R1303" s="39" t="n">
        <v>1</v>
      </c>
      <c r="S1303" s="21" t="n">
        <v>1.78</v>
      </c>
      <c r="T1303" s="21" t="n">
        <v>0.91</v>
      </c>
      <c r="U1303" s="36" t="inlineStr">
        <is>
          <t>Tier 1B (Micro Drop, 1-3 km)</t>
        </is>
      </c>
      <c r="V1303" s="20" t="n">
        <v>65.3</v>
      </c>
      <c r="W1303" s="20" t="n">
        <v>70.40000000000001</v>
      </c>
      <c r="X1303" s="20" t="n">
        <v>58</v>
      </c>
      <c r="Y1303" s="40">
        <f>ROUND((V1303*'Methodology &amp; Assumptions'!$B$6)+(W1303*'Methodology &amp; Assumptions'!$B$5)+(X1303*'Methodology &amp; Assumptions'!$B$7), 2)</f>
        <v/>
      </c>
    </row>
    <row r="1304" ht="19" customHeight="1">
      <c r="A1304" s="41" t="n">
        <v>300</v>
      </c>
      <c r="B1304" s="41" t="n">
        <v>4300</v>
      </c>
      <c r="C1304" s="42" t="inlineStr">
        <is>
          <t>0501725016</t>
        </is>
      </c>
      <c r="D1304" s="42" t="inlineStr">
        <is>
          <t>Region V (Bicol Region)</t>
        </is>
      </c>
      <c r="E1304" s="42" t="inlineStr">
        <is>
          <t>Camarines Sur</t>
        </is>
      </c>
      <c r="F1304" s="42" t="inlineStr">
        <is>
          <t>Ocampo</t>
        </is>
      </c>
      <c r="G1304" s="42" t="inlineStr">
        <is>
          <t>Poblacion West</t>
        </is>
      </c>
      <c r="H1304" s="43" t="n">
        <v>13.558578</v>
      </c>
      <c r="I1304" s="43" t="n">
        <v>123.373076</v>
      </c>
      <c r="J1304" s="44" t="inlineStr">
        <is>
          <t>R</t>
        </is>
      </c>
      <c r="K1304" s="42" t="inlineStr">
        <is>
          <t>Class 1-3 / Urban</t>
        </is>
      </c>
      <c r="L1304" s="23" t="n">
        <v>896</v>
      </c>
      <c r="M1304" s="24" t="n">
        <v>4.9</v>
      </c>
      <c r="N1304" s="23">
        <f>ROUND(L1304/M1304, 0)</f>
        <v/>
      </c>
      <c r="O1304" s="23">
        <f>ROUND(N1304*'Methodology &amp; Assumptions'!$B$8, 0)</f>
        <v/>
      </c>
      <c r="P1304" s="44" t="inlineStr">
        <is>
          <t>Band n50 (1.5 GHz, 60 MHz)</t>
        </is>
      </c>
      <c r="Q1304" s="38">
        <f>ROUNDUP(O1304/'Methodology &amp; Assumptions'!$B$9, 0)</f>
        <v/>
      </c>
      <c r="R1304" s="39" t="n">
        <v>1</v>
      </c>
      <c r="S1304" s="25" t="n">
        <v>0.42</v>
      </c>
      <c r="T1304" s="25" t="n">
        <v>0.01</v>
      </c>
      <c r="U1304" s="42" t="inlineStr">
        <is>
          <t>Tier 1A (Direct Coloc, &lt;1 km)</t>
        </is>
      </c>
      <c r="V1304" s="24" t="n">
        <v>97.09999999999999</v>
      </c>
      <c r="W1304" s="24" t="n">
        <v>38.7</v>
      </c>
      <c r="X1304" s="24" t="n">
        <v>58</v>
      </c>
      <c r="Y1304" s="45">
        <f>ROUND((V1304*'Methodology &amp; Assumptions'!$B$6)+(W1304*'Methodology &amp; Assumptions'!$B$5)+(X1304*'Methodology &amp; Assumptions'!$B$7), 2)</f>
        <v/>
      </c>
    </row>
    <row r="1305" ht="19" customHeight="1">
      <c r="A1305" s="35" t="n">
        <v>301</v>
      </c>
      <c r="B1305" s="35" t="n">
        <v>4301</v>
      </c>
      <c r="C1305" s="36" t="inlineStr">
        <is>
          <t>0501708024</t>
        </is>
      </c>
      <c r="D1305" s="36" t="inlineStr">
        <is>
          <t>Region V (Bicol Region)</t>
        </is>
      </c>
      <c r="E1305" s="36" t="inlineStr">
        <is>
          <t>Camarines Sur</t>
        </is>
      </c>
      <c r="F1305" s="36" t="inlineStr">
        <is>
          <t>Calabanga</t>
        </is>
      </c>
      <c r="G1305" s="36" t="inlineStr">
        <is>
          <t>Paolbo</t>
        </is>
      </c>
      <c r="H1305" s="37" t="n">
        <v>13.717794</v>
      </c>
      <c r="I1305" s="37" t="n">
        <v>123.240471</v>
      </c>
      <c r="J1305" s="8" t="inlineStr">
        <is>
          <t>R</t>
        </is>
      </c>
      <c r="K1305" s="36" t="inlineStr">
        <is>
          <t>Class 1-3 / Urban</t>
        </is>
      </c>
      <c r="L1305" s="18" t="n">
        <v>4380</v>
      </c>
      <c r="M1305" s="20" t="n">
        <v>4.9</v>
      </c>
      <c r="N1305" s="18">
        <f>ROUND(L1305/M1305, 0)</f>
        <v/>
      </c>
      <c r="O1305" s="18">
        <f>ROUND(N1305*'Methodology &amp; Assumptions'!$B$8, 0)</f>
        <v/>
      </c>
      <c r="P1305" s="8" t="inlineStr">
        <is>
          <t>Band n50 (1.5 GHz, 60 MHz)</t>
        </is>
      </c>
      <c r="Q1305" s="38">
        <f>ROUNDUP(O1305/'Methodology &amp; Assumptions'!$B$9, 0)</f>
        <v/>
      </c>
      <c r="R1305" s="39" t="n">
        <v>1</v>
      </c>
      <c r="S1305" s="21" t="n">
        <v>3.59</v>
      </c>
      <c r="T1305" s="21" t="n">
        <v>0.26</v>
      </c>
      <c r="U1305" s="36" t="inlineStr">
        <is>
          <t>Tier 2 (Fiber Corridor / Lateral, 3-5 km)</t>
        </is>
      </c>
      <c r="V1305" s="20" t="n">
        <v>40.2</v>
      </c>
      <c r="W1305" s="20" t="n">
        <v>95.5</v>
      </c>
      <c r="X1305" s="20" t="n">
        <v>58</v>
      </c>
      <c r="Y1305" s="40">
        <f>ROUND((V1305*'Methodology &amp; Assumptions'!$B$6)+(W1305*'Methodology &amp; Assumptions'!$B$5)+(X1305*'Methodology &amp; Assumptions'!$B$7), 2)</f>
        <v/>
      </c>
    </row>
    <row r="1306" ht="19" customHeight="1">
      <c r="A1306" s="41" t="n">
        <v>302</v>
      </c>
      <c r="B1306" s="41" t="n">
        <v>4302</v>
      </c>
      <c r="C1306" s="42" t="inlineStr">
        <is>
          <t>0501736021</t>
        </is>
      </c>
      <c r="D1306" s="42" t="inlineStr">
        <is>
          <t>Region V (Bicol Region)</t>
        </is>
      </c>
      <c r="E1306" s="42" t="inlineStr">
        <is>
          <t>Camarines Sur</t>
        </is>
      </c>
      <c r="F1306" s="42" t="inlineStr">
        <is>
          <t>Tigaon</t>
        </is>
      </c>
      <c r="G1306" s="42" t="inlineStr">
        <is>
          <t>San Rafael</t>
        </is>
      </c>
      <c r="H1306" s="43" t="n">
        <v>13.659584</v>
      </c>
      <c r="I1306" s="43" t="n">
        <v>123.501569</v>
      </c>
      <c r="J1306" s="44" t="inlineStr">
        <is>
          <t>R</t>
        </is>
      </c>
      <c r="K1306" s="42" t="inlineStr">
        <is>
          <t>Class 1-3 / Urban</t>
        </is>
      </c>
      <c r="L1306" s="23" t="n">
        <v>4182</v>
      </c>
      <c r="M1306" s="24" t="n">
        <v>4.9</v>
      </c>
      <c r="N1306" s="23">
        <f>ROUND(L1306/M1306, 0)</f>
        <v/>
      </c>
      <c r="O1306" s="23">
        <f>ROUND(N1306*'Methodology &amp; Assumptions'!$B$8, 0)</f>
        <v/>
      </c>
      <c r="P1306" s="44" t="inlineStr">
        <is>
          <t>Band n50 (1.5 GHz, 60 MHz)</t>
        </is>
      </c>
      <c r="Q1306" s="38">
        <f>ROUNDUP(O1306/'Methodology &amp; Assumptions'!$B$9, 0)</f>
        <v/>
      </c>
      <c r="R1306" s="39" t="n">
        <v>1</v>
      </c>
      <c r="S1306" s="25" t="n">
        <v>3.29</v>
      </c>
      <c r="T1306" s="25" t="n">
        <v>0.25</v>
      </c>
      <c r="U1306" s="42" t="inlineStr">
        <is>
          <t>Tier 2 (Fiber Corridor / Lateral, 3-5 km)</t>
        </is>
      </c>
      <c r="V1306" s="24" t="n">
        <v>43.4</v>
      </c>
      <c r="W1306" s="24" t="n">
        <v>92.3</v>
      </c>
      <c r="X1306" s="24" t="n">
        <v>58</v>
      </c>
      <c r="Y1306" s="45">
        <f>ROUND((V1306*'Methodology &amp; Assumptions'!$B$6)+(W1306*'Methodology &amp; Assumptions'!$B$5)+(X1306*'Methodology &amp; Assumptions'!$B$7), 2)</f>
        <v/>
      </c>
    </row>
    <row r="1307" ht="19" customHeight="1">
      <c r="A1307" s="35" t="n">
        <v>303</v>
      </c>
      <c r="B1307" s="35" t="n">
        <v>4303</v>
      </c>
      <c r="C1307" s="36" t="inlineStr">
        <is>
          <t>0405645016</t>
        </is>
      </c>
      <c r="D1307" s="36" t="inlineStr">
        <is>
          <t>Region IV-A (CALABARZON)</t>
        </is>
      </c>
      <c r="E1307" s="36" t="inlineStr">
        <is>
          <t>Quezon</t>
        </is>
      </c>
      <c r="F1307" s="36" t="inlineStr">
        <is>
          <t>Sariaya</t>
        </is>
      </c>
      <c r="G1307" s="36" t="inlineStr">
        <is>
          <t>Guisguis-San Roque</t>
        </is>
      </c>
      <c r="H1307" s="37" t="n">
        <v>13.874058</v>
      </c>
      <c r="I1307" s="37" t="n">
        <v>121.519138</v>
      </c>
      <c r="J1307" s="8" t="inlineStr">
        <is>
          <t>R</t>
        </is>
      </c>
      <c r="K1307" s="36" t="inlineStr">
        <is>
          <t>Class 1-3 / Urban</t>
        </is>
      </c>
      <c r="L1307" s="18" t="n">
        <v>2645</v>
      </c>
      <c r="M1307" s="20" t="n">
        <v>4.46</v>
      </c>
      <c r="N1307" s="18">
        <f>ROUND(L1307/M1307, 0)</f>
        <v/>
      </c>
      <c r="O1307" s="18">
        <f>ROUND(N1307*'Methodology &amp; Assumptions'!$B$8, 0)</f>
        <v/>
      </c>
      <c r="P1307" s="8" t="inlineStr">
        <is>
          <t>Band n50 (1.5 GHz, 60 MHz)</t>
        </is>
      </c>
      <c r="Q1307" s="38">
        <f>ROUNDUP(O1307/'Methodology &amp; Assumptions'!$B$9, 0)</f>
        <v/>
      </c>
      <c r="R1307" s="39" t="n">
        <v>1</v>
      </c>
      <c r="S1307" s="21" t="n">
        <v>1.84</v>
      </c>
      <c r="T1307" s="21" t="n">
        <v>1.01</v>
      </c>
      <c r="U1307" s="36" t="inlineStr">
        <is>
          <t>Tier 1B (Micro Drop, 1-3 km)</t>
        </is>
      </c>
      <c r="V1307" s="20" t="n">
        <v>64.2</v>
      </c>
      <c r="W1307" s="20" t="n">
        <v>71.5</v>
      </c>
      <c r="X1307" s="20" t="n">
        <v>58</v>
      </c>
      <c r="Y1307" s="40">
        <f>ROUND((V1307*'Methodology &amp; Assumptions'!$B$6)+(W1307*'Methodology &amp; Assumptions'!$B$5)+(X1307*'Methodology &amp; Assumptions'!$B$7), 2)</f>
        <v/>
      </c>
    </row>
    <row r="1308" ht="19" customHeight="1">
      <c r="A1308" s="41" t="n">
        <v>304</v>
      </c>
      <c r="B1308" s="41" t="n">
        <v>4304</v>
      </c>
      <c r="C1308" s="42" t="inlineStr">
        <is>
          <t>0300809005</t>
        </is>
      </c>
      <c r="D1308" s="42" t="inlineStr">
        <is>
          <t>Region III (Central Luzon)</t>
        </is>
      </c>
      <c r="E1308" s="42" t="inlineStr">
        <is>
          <t>Bataan</t>
        </is>
      </c>
      <c r="F1308" s="42" t="inlineStr">
        <is>
          <t>Orani</t>
        </is>
      </c>
      <c r="G1308" s="42" t="inlineStr">
        <is>
          <t>Paking-Carbonero</t>
        </is>
      </c>
      <c r="H1308" s="43" t="n">
        <v>14.806182</v>
      </c>
      <c r="I1308" s="43" t="n">
        <v>120.537624</v>
      </c>
      <c r="J1308" s="44" t="inlineStr">
        <is>
          <t>R</t>
        </is>
      </c>
      <c r="K1308" s="42" t="inlineStr">
        <is>
          <t>Class 1-3 / Urban</t>
        </is>
      </c>
      <c r="L1308" s="23" t="n">
        <v>927</v>
      </c>
      <c r="M1308" s="24" t="n">
        <v>4.57</v>
      </c>
      <c r="N1308" s="23">
        <f>ROUND(L1308/M1308, 0)</f>
        <v/>
      </c>
      <c r="O1308" s="23">
        <f>ROUND(N1308*'Methodology &amp; Assumptions'!$B$8, 0)</f>
        <v/>
      </c>
      <c r="P1308" s="44" t="inlineStr">
        <is>
          <t>Band n50 (1.5 GHz, 60 MHz)</t>
        </is>
      </c>
      <c r="Q1308" s="38">
        <f>ROUNDUP(O1308/'Methodology &amp; Assumptions'!$B$9, 0)</f>
        <v/>
      </c>
      <c r="R1308" s="39" t="n">
        <v>1</v>
      </c>
      <c r="S1308" s="25" t="n">
        <v>0.47</v>
      </c>
      <c r="T1308" s="25" t="n">
        <v>0.48</v>
      </c>
      <c r="U1308" s="42" t="inlineStr">
        <is>
          <t>Tier 1A (Direct Coloc, &lt;1 km)</t>
        </is>
      </c>
      <c r="V1308" s="24" t="n">
        <v>95.40000000000001</v>
      </c>
      <c r="W1308" s="24" t="n">
        <v>40.3</v>
      </c>
      <c r="X1308" s="24" t="n">
        <v>58</v>
      </c>
      <c r="Y1308" s="45">
        <f>ROUND((V1308*'Methodology &amp; Assumptions'!$B$6)+(W1308*'Methodology &amp; Assumptions'!$B$5)+(X1308*'Methodology &amp; Assumptions'!$B$7), 2)</f>
        <v/>
      </c>
    </row>
    <row r="1309" ht="19" customHeight="1">
      <c r="A1309" s="35" t="n">
        <v>305</v>
      </c>
      <c r="B1309" s="35" t="n">
        <v>4305</v>
      </c>
      <c r="C1309" s="36" t="inlineStr">
        <is>
          <t>0304928024</t>
        </is>
      </c>
      <c r="D1309" s="36" t="inlineStr">
        <is>
          <t>Region III (Central Luzon)</t>
        </is>
      </c>
      <c r="E1309" s="36" t="inlineStr">
        <is>
          <t>Nueva Ecija</t>
        </is>
      </c>
      <c r="F1309" s="36" t="inlineStr">
        <is>
          <t>Santa Rosa</t>
        </is>
      </c>
      <c r="G1309" s="36" t="inlineStr">
        <is>
          <t>Burgos</t>
        </is>
      </c>
      <c r="H1309" s="37" t="n">
        <v>15.432883</v>
      </c>
      <c r="I1309" s="37" t="n">
        <v>120.939367</v>
      </c>
      <c r="J1309" s="8" t="inlineStr">
        <is>
          <t>R</t>
        </is>
      </c>
      <c r="K1309" s="36" t="inlineStr">
        <is>
          <t>Class 1-3 / Urban</t>
        </is>
      </c>
      <c r="L1309" s="18" t="n">
        <v>1422</v>
      </c>
      <c r="M1309" s="20" t="n">
        <v>4.32</v>
      </c>
      <c r="N1309" s="18">
        <f>ROUND(L1309/M1309, 0)</f>
        <v/>
      </c>
      <c r="O1309" s="18">
        <f>ROUND(N1309*'Methodology &amp; Assumptions'!$B$8, 0)</f>
        <v/>
      </c>
      <c r="P1309" s="8" t="inlineStr">
        <is>
          <t>Band n50 (1.5 GHz, 60 MHz)</t>
        </is>
      </c>
      <c r="Q1309" s="38">
        <f>ROUNDUP(O1309/'Methodology &amp; Assumptions'!$B$9, 0)</f>
        <v/>
      </c>
      <c r="R1309" s="39" t="n">
        <v>1</v>
      </c>
      <c r="S1309" s="21" t="n">
        <v>0.85</v>
      </c>
      <c r="T1309" s="21" t="n">
        <v>0.19</v>
      </c>
      <c r="U1309" s="36" t="inlineStr">
        <is>
          <t>Tier 1A (Direct Coloc, &lt;1 km)</t>
        </is>
      </c>
      <c r="V1309" s="20" t="n">
        <v>85.2</v>
      </c>
      <c r="W1309" s="20" t="n">
        <v>50.4</v>
      </c>
      <c r="X1309" s="20" t="n">
        <v>58</v>
      </c>
      <c r="Y1309" s="40">
        <f>ROUND((V1309*'Methodology &amp; Assumptions'!$B$6)+(W1309*'Methodology &amp; Assumptions'!$B$5)+(X1309*'Methodology &amp; Assumptions'!$B$7), 2)</f>
        <v/>
      </c>
    </row>
    <row r="1310" ht="19" customHeight="1">
      <c r="A1310" s="41" t="n">
        <v>306</v>
      </c>
      <c r="B1310" s="41" t="n">
        <v>4306</v>
      </c>
      <c r="C1310" s="42" t="inlineStr">
        <is>
          <t>0105547001</t>
        </is>
      </c>
      <c r="D1310" s="42" t="inlineStr">
        <is>
          <t>Region I (Ilocos Region)</t>
        </is>
      </c>
      <c r="E1310" s="42" t="inlineStr">
        <is>
          <t>Pangasinan</t>
        </is>
      </c>
      <c r="F1310" s="42" t="inlineStr">
        <is>
          <t>Villasis</t>
        </is>
      </c>
      <c r="G1310" s="42" t="inlineStr">
        <is>
          <t>Amamperez</t>
        </is>
      </c>
      <c r="H1310" s="43" t="n">
        <v>15.872106</v>
      </c>
      <c r="I1310" s="43" t="n">
        <v>120.538527</v>
      </c>
      <c r="J1310" s="44" t="inlineStr">
        <is>
          <t>U</t>
        </is>
      </c>
      <c r="K1310" s="42" t="inlineStr">
        <is>
          <t>Class 1-3 / Urban</t>
        </is>
      </c>
      <c r="L1310" s="23" t="n">
        <v>5358</v>
      </c>
      <c r="M1310" s="24" t="n">
        <v>4.39</v>
      </c>
      <c r="N1310" s="23">
        <f>ROUND(L1310/M1310, 0)</f>
        <v/>
      </c>
      <c r="O1310" s="23">
        <f>ROUND(N1310*'Methodology &amp; Assumptions'!$B$8, 0)</f>
        <v/>
      </c>
      <c r="P1310" s="44" t="inlineStr">
        <is>
          <t>Band n50 (1.5 GHz, 60 MHz)</t>
        </is>
      </c>
      <c r="Q1310" s="38">
        <f>ROUNDUP(O1310/'Methodology &amp; Assumptions'!$B$9, 0)</f>
        <v/>
      </c>
      <c r="R1310" s="39" t="n">
        <v>1</v>
      </c>
      <c r="S1310" s="25" t="n">
        <v>2.17</v>
      </c>
      <c r="T1310" s="25" t="n">
        <v>5.96</v>
      </c>
      <c r="U1310" s="42" t="inlineStr">
        <is>
          <t>Tier 1B (Micro Drop, 1-3 km)</t>
        </is>
      </c>
      <c r="V1310" s="24" t="n">
        <v>48.5</v>
      </c>
      <c r="W1310" s="24" t="n">
        <v>100</v>
      </c>
      <c r="X1310" s="24" t="n">
        <v>43</v>
      </c>
      <c r="Y1310" s="45">
        <f>ROUND((V1310*'Methodology &amp; Assumptions'!$B$6)+(W1310*'Methodology &amp; Assumptions'!$B$5)+(X1310*'Methodology &amp; Assumptions'!$B$7), 2)</f>
        <v/>
      </c>
    </row>
    <row r="1311" ht="19" customHeight="1">
      <c r="A1311" s="35" t="n">
        <v>307</v>
      </c>
      <c r="B1311" s="35" t="n">
        <v>4307</v>
      </c>
      <c r="C1311" s="36" t="inlineStr">
        <is>
          <t>0403412009</t>
        </is>
      </c>
      <c r="D1311" s="36" t="inlineStr">
        <is>
          <t>Region IV-A (CALABARZON)</t>
        </is>
      </c>
      <c r="E1311" s="36" t="inlineStr">
        <is>
          <t>Laguna</t>
        </is>
      </c>
      <c r="F1311" s="36" t="inlineStr">
        <is>
          <t>Luisiana</t>
        </is>
      </c>
      <c r="G1311" s="36" t="inlineStr">
        <is>
          <t>Barangay Zone VIII</t>
        </is>
      </c>
      <c r="H1311" s="37" t="n">
        <v>14.185128</v>
      </c>
      <c r="I1311" s="37" t="n">
        <v>121.510503</v>
      </c>
      <c r="J1311" s="8" t="inlineStr">
        <is>
          <t>R</t>
        </is>
      </c>
      <c r="K1311" s="36" t="inlineStr">
        <is>
          <t>4th</t>
        </is>
      </c>
      <c r="L1311" s="18" t="n">
        <v>299</v>
      </c>
      <c r="M1311" s="20" t="n">
        <v>4.07</v>
      </c>
      <c r="N1311" s="18">
        <f>ROUND(L1311/M1311, 0)</f>
        <v/>
      </c>
      <c r="O1311" s="18">
        <f>ROUND(N1311*'Methodology &amp; Assumptions'!$B$8, 0)</f>
        <v/>
      </c>
      <c r="P1311" s="8" t="inlineStr">
        <is>
          <t>Band n50 (1.5 GHz, 60 MHz)</t>
        </is>
      </c>
      <c r="Q1311" s="38">
        <f>ROUNDUP(O1311/'Methodology &amp; Assumptions'!$B$9, 0)</f>
        <v/>
      </c>
      <c r="R1311" s="39" t="n">
        <v>1</v>
      </c>
      <c r="S1311" s="21" t="n">
        <v>0.53</v>
      </c>
      <c r="T1311" s="21" t="n">
        <v>4.18</v>
      </c>
      <c r="U1311" s="36" t="inlineStr">
        <is>
          <t>Tier 1A (Direct Coloc, &lt;1 km)</t>
        </is>
      </c>
      <c r="V1311" s="20" t="n">
        <v>83.90000000000001</v>
      </c>
      <c r="W1311" s="20" t="n">
        <v>29.9</v>
      </c>
      <c r="X1311" s="20" t="n">
        <v>83.5</v>
      </c>
      <c r="Y1311" s="40">
        <f>ROUND((V1311*'Methodology &amp; Assumptions'!$B$6)+(W1311*'Methodology &amp; Assumptions'!$B$5)+(X1311*'Methodology &amp; Assumptions'!$B$7), 2)</f>
        <v/>
      </c>
    </row>
    <row r="1312" ht="19" customHeight="1">
      <c r="A1312" s="41" t="n">
        <v>308</v>
      </c>
      <c r="B1312" s="41" t="n">
        <v>4308</v>
      </c>
      <c r="C1312" s="42" t="inlineStr">
        <is>
          <t>0307114016</t>
        </is>
      </c>
      <c r="D1312" s="42" t="inlineStr">
        <is>
          <t>Region III (Central Luzon)</t>
        </is>
      </c>
      <c r="E1312" s="42" t="inlineStr">
        <is>
          <t>Zambales</t>
        </is>
      </c>
      <c r="F1312" s="42" t="inlineStr">
        <is>
          <t>Subic</t>
        </is>
      </c>
      <c r="G1312" s="42" t="inlineStr">
        <is>
          <t>Matain</t>
        </is>
      </c>
      <c r="H1312" s="43" t="n">
        <v>14.853568</v>
      </c>
      <c r="I1312" s="43" t="n">
        <v>120.243493</v>
      </c>
      <c r="J1312" s="44" t="inlineStr">
        <is>
          <t>U</t>
        </is>
      </c>
      <c r="K1312" s="42" t="inlineStr">
        <is>
          <t>Class 1-3 / Urban</t>
        </is>
      </c>
      <c r="L1312" s="23" t="n">
        <v>8230</v>
      </c>
      <c r="M1312" s="24" t="n">
        <v>4.05</v>
      </c>
      <c r="N1312" s="23">
        <f>ROUND(L1312/M1312, 0)</f>
        <v/>
      </c>
      <c r="O1312" s="23">
        <f>ROUND(N1312*'Methodology &amp; Assumptions'!$B$8, 0)</f>
        <v/>
      </c>
      <c r="P1312" s="44" t="inlineStr">
        <is>
          <t>Band n50 (1.5 GHz, 60 MHz)</t>
        </is>
      </c>
      <c r="Q1312" s="38">
        <f>ROUNDUP(O1312/'Methodology &amp; Assumptions'!$B$9, 0)</f>
        <v/>
      </c>
      <c r="R1312" s="39" t="n">
        <v>1</v>
      </c>
      <c r="S1312" s="25" t="n">
        <v>2.87</v>
      </c>
      <c r="T1312" s="25" t="n">
        <v>0.22</v>
      </c>
      <c r="U1312" s="42" t="inlineStr">
        <is>
          <t>Tier 1B (Micro Drop, 1-3 km)</t>
        </is>
      </c>
      <c r="V1312" s="24" t="n">
        <v>48.5</v>
      </c>
      <c r="W1312" s="24" t="n">
        <v>100</v>
      </c>
      <c r="X1312" s="24" t="n">
        <v>43</v>
      </c>
      <c r="Y1312" s="45">
        <f>ROUND((V1312*'Methodology &amp; Assumptions'!$B$6)+(W1312*'Methodology &amp; Assumptions'!$B$5)+(X1312*'Methodology &amp; Assumptions'!$B$7), 2)</f>
        <v/>
      </c>
    </row>
    <row r="1313" ht="19" customHeight="1">
      <c r="A1313" s="35" t="n">
        <v>309</v>
      </c>
      <c r="B1313" s="35" t="n">
        <v>4309</v>
      </c>
      <c r="C1313" s="36" t="inlineStr">
        <is>
          <t>0402110002</t>
        </is>
      </c>
      <c r="D1313" s="36" t="inlineStr">
        <is>
          <t>Region IV-A (CALABARZON)</t>
        </is>
      </c>
      <c r="E1313" s="36" t="inlineStr">
        <is>
          <t>Cavite</t>
        </is>
      </c>
      <c r="F1313" s="36" t="inlineStr">
        <is>
          <t>Indang</t>
        </is>
      </c>
      <c r="G1313" s="36" t="inlineStr">
        <is>
          <t>Alulod</t>
        </is>
      </c>
      <c r="H1313" s="37" t="n">
        <v>14.203374</v>
      </c>
      <c r="I1313" s="37" t="n">
        <v>120.890466</v>
      </c>
      <c r="J1313" s="8" t="inlineStr">
        <is>
          <t>U</t>
        </is>
      </c>
      <c r="K1313" s="36" t="inlineStr">
        <is>
          <t>Class 1-3 / Urban</t>
        </is>
      </c>
      <c r="L1313" s="18" t="n">
        <v>5055</v>
      </c>
      <c r="M1313" s="20" t="n">
        <v>4.49</v>
      </c>
      <c r="N1313" s="18">
        <f>ROUND(L1313/M1313, 0)</f>
        <v/>
      </c>
      <c r="O1313" s="18">
        <f>ROUND(N1313*'Methodology &amp; Assumptions'!$B$8, 0)</f>
        <v/>
      </c>
      <c r="P1313" s="8" t="inlineStr">
        <is>
          <t>Band n50 (1.5 GHz, 60 MHz)</t>
        </is>
      </c>
      <c r="Q1313" s="38">
        <f>ROUNDUP(O1313/'Methodology &amp; Assumptions'!$B$9, 0)</f>
        <v/>
      </c>
      <c r="R1313" s="39" t="n">
        <v>1</v>
      </c>
      <c r="S1313" s="21" t="n">
        <v>1.47</v>
      </c>
      <c r="T1313" s="21" t="n">
        <v>7.85</v>
      </c>
      <c r="U1313" s="36" t="inlineStr">
        <is>
          <t>Tier 1B (Micro Drop, 1-3 km)</t>
        </is>
      </c>
      <c r="V1313" s="20" t="n">
        <v>61.3</v>
      </c>
      <c r="W1313" s="20" t="n">
        <v>100</v>
      </c>
      <c r="X1313" s="20" t="n">
        <v>28</v>
      </c>
      <c r="Y1313" s="40">
        <f>ROUND((V1313*'Methodology &amp; Assumptions'!$B$6)+(W1313*'Methodology &amp; Assumptions'!$B$5)+(X1313*'Methodology &amp; Assumptions'!$B$7), 2)</f>
        <v/>
      </c>
    </row>
    <row r="1314" ht="19" customHeight="1">
      <c r="A1314" s="41" t="n">
        <v>310</v>
      </c>
      <c r="B1314" s="41" t="n">
        <v>4310</v>
      </c>
      <c r="C1314" s="42" t="inlineStr">
        <is>
          <t>0730600066</t>
        </is>
      </c>
      <c r="D1314" s="42" t="inlineStr">
        <is>
          <t>Region VII (Central Visayas)</t>
        </is>
      </c>
      <c r="E1314" s="42" t="inlineStr">
        <is>
          <t>Cebu</t>
        </is>
      </c>
      <c r="F1314" s="42" t="inlineStr">
        <is>
          <t>City of Cebu</t>
        </is>
      </c>
      <c r="G1314" s="42" t="inlineStr">
        <is>
          <t>San Antonio</t>
        </is>
      </c>
      <c r="H1314" s="43" t="n">
        <v>10.302868</v>
      </c>
      <c r="I1314" s="43" t="n">
        <v>123.899445</v>
      </c>
      <c r="J1314" s="44" t="inlineStr">
        <is>
          <t>U</t>
        </is>
      </c>
      <c r="K1314" s="42" t="inlineStr">
        <is>
          <t>Class 1-3 / Urban</t>
        </is>
      </c>
      <c r="L1314" s="23" t="n">
        <v>2060</v>
      </c>
      <c r="M1314" s="24" t="n">
        <v>4.42</v>
      </c>
      <c r="N1314" s="23">
        <f>ROUND(L1314/M1314, 0)</f>
        <v/>
      </c>
      <c r="O1314" s="23">
        <f>ROUND(N1314*'Methodology &amp; Assumptions'!$B$8, 0)</f>
        <v/>
      </c>
      <c r="P1314" s="44" t="inlineStr">
        <is>
          <t>Band n50 (1.5 GHz, 60 MHz)</t>
        </is>
      </c>
      <c r="Q1314" s="38">
        <f>ROUNDUP(O1314/'Methodology &amp; Assumptions'!$B$9, 0)</f>
        <v/>
      </c>
      <c r="R1314" s="39" t="n">
        <v>1</v>
      </c>
      <c r="S1314" s="25" t="n">
        <v>0.25</v>
      </c>
      <c r="T1314" s="25" t="n">
        <v>0.39</v>
      </c>
      <c r="U1314" s="42" t="inlineStr">
        <is>
          <t>Tier 1A (Direct Coloc, &lt;1 km)</t>
        </is>
      </c>
      <c r="V1314" s="24" t="n">
        <v>100</v>
      </c>
      <c r="W1314" s="24" t="n">
        <v>61.3</v>
      </c>
      <c r="X1314" s="24" t="n">
        <v>28</v>
      </c>
      <c r="Y1314" s="45">
        <f>ROUND((V1314*'Methodology &amp; Assumptions'!$B$6)+(W1314*'Methodology &amp; Assumptions'!$B$5)+(X1314*'Methodology &amp; Assumptions'!$B$7), 2)</f>
        <v/>
      </c>
    </row>
    <row r="1315" ht="19" customHeight="1">
      <c r="A1315" s="35" t="n">
        <v>311</v>
      </c>
      <c r="B1315" s="35" t="n">
        <v>4311</v>
      </c>
      <c r="C1315" s="36" t="inlineStr">
        <is>
          <t>0103303036</t>
        </is>
      </c>
      <c r="D1315" s="36" t="inlineStr">
        <is>
          <t>Region I (Ilocos Region)</t>
        </is>
      </c>
      <c r="E1315" s="36" t="inlineStr">
        <is>
          <t>La Union</t>
        </is>
      </c>
      <c r="F1315" s="36" t="inlineStr">
        <is>
          <t>Bacnotan</t>
        </is>
      </c>
      <c r="G1315" s="36" t="inlineStr">
        <is>
          <t>Raois</t>
        </is>
      </c>
      <c r="H1315" s="37" t="n">
        <v>16.721279</v>
      </c>
      <c r="I1315" s="37" t="n">
        <v>120.354964</v>
      </c>
      <c r="J1315" s="8" t="inlineStr">
        <is>
          <t>R</t>
        </is>
      </c>
      <c r="K1315" s="36" t="inlineStr">
        <is>
          <t>Class 1-3 / Urban</t>
        </is>
      </c>
      <c r="L1315" s="18" t="n">
        <v>1118</v>
      </c>
      <c r="M1315" s="20" t="n">
        <v>4.42</v>
      </c>
      <c r="N1315" s="18">
        <f>ROUND(L1315/M1315, 0)</f>
        <v/>
      </c>
      <c r="O1315" s="18">
        <f>ROUND(N1315*'Methodology &amp; Assumptions'!$B$8, 0)</f>
        <v/>
      </c>
      <c r="P1315" s="8" t="inlineStr">
        <is>
          <t>Band n50 (1.5 GHz, 60 MHz)</t>
        </is>
      </c>
      <c r="Q1315" s="38">
        <f>ROUNDUP(O1315/'Methodology &amp; Assumptions'!$B$9, 0)</f>
        <v/>
      </c>
      <c r="R1315" s="39" t="n">
        <v>1</v>
      </c>
      <c r="S1315" s="21" t="n">
        <v>0.62</v>
      </c>
      <c r="T1315" s="21" t="n">
        <v>0.53</v>
      </c>
      <c r="U1315" s="36" t="inlineStr">
        <is>
          <t>Tier 1A (Direct Coloc, &lt;1 km)</t>
        </is>
      </c>
      <c r="V1315" s="20" t="n">
        <v>91.3</v>
      </c>
      <c r="W1315" s="20" t="n">
        <v>44.3</v>
      </c>
      <c r="X1315" s="20" t="n">
        <v>58</v>
      </c>
      <c r="Y1315" s="40">
        <f>ROUND((V1315*'Methodology &amp; Assumptions'!$B$6)+(W1315*'Methodology &amp; Assumptions'!$B$5)+(X1315*'Methodology &amp; Assumptions'!$B$7), 2)</f>
        <v/>
      </c>
    </row>
    <row r="1316" ht="19" customHeight="1">
      <c r="A1316" s="41" t="n">
        <v>312</v>
      </c>
      <c r="B1316" s="41" t="n">
        <v>4312</v>
      </c>
      <c r="C1316" s="42" t="inlineStr">
        <is>
          <t>0701242009</t>
        </is>
      </c>
      <c r="D1316" s="42" t="inlineStr">
        <is>
          <t>Region VII (Central Visayas)</t>
        </is>
      </c>
      <c r="E1316" s="42" t="inlineStr">
        <is>
          <t>Bohol</t>
        </is>
      </c>
      <c r="F1316" s="42" t="inlineStr">
        <is>
          <t>City of Tagbilaran</t>
        </is>
      </c>
      <c r="G1316" s="42" t="inlineStr">
        <is>
          <t>Mansasa</t>
        </is>
      </c>
      <c r="H1316" s="43" t="n">
        <v>9.633728</v>
      </c>
      <c r="I1316" s="43" t="n">
        <v>123.869012</v>
      </c>
      <c r="J1316" s="44" t="inlineStr">
        <is>
          <t>U</t>
        </is>
      </c>
      <c r="K1316" s="42" t="inlineStr">
        <is>
          <t>Class 1-3 / Urban</t>
        </is>
      </c>
      <c r="L1316" s="23" t="n">
        <v>6523</v>
      </c>
      <c r="M1316" s="24" t="n">
        <v>4.54</v>
      </c>
      <c r="N1316" s="23">
        <f>ROUND(L1316/M1316, 0)</f>
        <v/>
      </c>
      <c r="O1316" s="23">
        <f>ROUND(N1316*'Methodology &amp; Assumptions'!$B$8, 0)</f>
        <v/>
      </c>
      <c r="P1316" s="44" t="inlineStr">
        <is>
          <t>Band n50 (1.5 GHz, 60 MHz)</t>
        </is>
      </c>
      <c r="Q1316" s="38">
        <f>ROUNDUP(O1316/'Methodology &amp; Assumptions'!$B$9, 0)</f>
        <v/>
      </c>
      <c r="R1316" s="39" t="n">
        <v>1</v>
      </c>
      <c r="S1316" s="25" t="n">
        <v>2</v>
      </c>
      <c r="T1316" s="25" t="n">
        <v>0.22</v>
      </c>
      <c r="U1316" s="42" t="inlineStr">
        <is>
          <t>Tier 1B (Micro Drop, 1-3 km)</t>
        </is>
      </c>
      <c r="V1316" s="24" t="n">
        <v>61.3</v>
      </c>
      <c r="W1316" s="24" t="n">
        <v>100</v>
      </c>
      <c r="X1316" s="24" t="n">
        <v>28</v>
      </c>
      <c r="Y1316" s="45">
        <f>ROUND((V1316*'Methodology &amp; Assumptions'!$B$6)+(W1316*'Methodology &amp; Assumptions'!$B$5)+(X1316*'Methodology &amp; Assumptions'!$B$7), 2)</f>
        <v/>
      </c>
    </row>
    <row r="1317" ht="19" customHeight="1">
      <c r="A1317" s="35" t="n">
        <v>313</v>
      </c>
      <c r="B1317" s="35" t="n">
        <v>4313</v>
      </c>
      <c r="C1317" s="36" t="inlineStr">
        <is>
          <t>1600210002</t>
        </is>
      </c>
      <c r="D1317" s="36" t="inlineStr">
        <is>
          <t>Region XIII (Caraga)</t>
        </is>
      </c>
      <c r="E1317" s="36" t="inlineStr">
        <is>
          <t>Agusan del Norte</t>
        </is>
      </c>
      <c r="F1317" s="36" t="inlineStr">
        <is>
          <t>Santiago</t>
        </is>
      </c>
      <c r="G1317" s="36" t="inlineStr">
        <is>
          <t>Curva</t>
        </is>
      </c>
      <c r="H1317" s="37" t="n">
        <v>9.251832</v>
      </c>
      <c r="I1317" s="37" t="n">
        <v>125.556947</v>
      </c>
      <c r="J1317" s="8" t="inlineStr">
        <is>
          <t>R</t>
        </is>
      </c>
      <c r="K1317" s="36" t="inlineStr">
        <is>
          <t>1st</t>
        </is>
      </c>
      <c r="L1317" s="18" t="n">
        <v>2828</v>
      </c>
      <c r="M1317" s="20" t="n">
        <v>5.11</v>
      </c>
      <c r="N1317" s="18">
        <f>ROUND(L1317/M1317, 0)</f>
        <v/>
      </c>
      <c r="O1317" s="18">
        <f>ROUND(N1317*'Methodology &amp; Assumptions'!$B$8, 0)</f>
        <v/>
      </c>
      <c r="P1317" s="8" t="inlineStr">
        <is>
          <t>Band n50 (1.5 GHz, 60 MHz)</t>
        </is>
      </c>
      <c r="Q1317" s="38">
        <f>ROUNDUP(O1317/'Methodology &amp; Assumptions'!$B$9, 0)</f>
        <v/>
      </c>
      <c r="R1317" s="39" t="n">
        <v>1</v>
      </c>
      <c r="S1317" s="21" t="n">
        <v>1.67</v>
      </c>
      <c r="T1317" s="21" t="n">
        <v>0.03</v>
      </c>
      <c r="U1317" s="36" t="inlineStr">
        <is>
          <t>Tier 1B (Micro Drop, 1-3 km)</t>
        </is>
      </c>
      <c r="V1317" s="20" t="n">
        <v>67.3</v>
      </c>
      <c r="W1317" s="20" t="n">
        <v>68.3</v>
      </c>
      <c r="X1317" s="20" t="n">
        <v>58</v>
      </c>
      <c r="Y1317" s="40">
        <f>ROUND((V1317*'Methodology &amp; Assumptions'!$B$6)+(W1317*'Methodology &amp; Assumptions'!$B$5)+(X1317*'Methodology &amp; Assumptions'!$B$7), 2)</f>
        <v/>
      </c>
    </row>
    <row r="1318" ht="19" customHeight="1">
      <c r="A1318" s="41" t="n">
        <v>314</v>
      </c>
      <c r="B1318" s="41" t="n">
        <v>4314</v>
      </c>
      <c r="C1318" s="42" t="inlineStr">
        <is>
          <t>0105540006</t>
        </is>
      </c>
      <c r="D1318" s="42" t="inlineStr">
        <is>
          <t>Region I (Ilocos Region)</t>
        </is>
      </c>
      <c r="E1318" s="42" t="inlineStr">
        <is>
          <t>Pangasinan</t>
        </is>
      </c>
      <c r="F1318" s="42" t="inlineStr">
        <is>
          <t>Santo Tomas</t>
        </is>
      </c>
      <c r="G1318" s="42" t="inlineStr">
        <is>
          <t>San Antonio</t>
        </is>
      </c>
      <c r="H1318" s="43" t="n">
        <v>15.86175</v>
      </c>
      <c r="I1318" s="43" t="n">
        <v>120.5635</v>
      </c>
      <c r="J1318" s="44" t="inlineStr">
        <is>
          <t>U</t>
        </is>
      </c>
      <c r="K1318" s="42" t="inlineStr">
        <is>
          <t>4th</t>
        </is>
      </c>
      <c r="L1318" s="23" t="n">
        <v>4282</v>
      </c>
      <c r="M1318" s="24" t="n">
        <v>4.45</v>
      </c>
      <c r="N1318" s="23">
        <f>ROUND(L1318/M1318, 0)</f>
        <v/>
      </c>
      <c r="O1318" s="23">
        <f>ROUND(N1318*'Methodology &amp; Assumptions'!$B$8, 0)</f>
        <v/>
      </c>
      <c r="P1318" s="44" t="inlineStr">
        <is>
          <t>Band n50 (1.5 GHz, 60 MHz)</t>
        </is>
      </c>
      <c r="Q1318" s="38">
        <f>ROUNDUP(O1318/'Methodology &amp; Assumptions'!$B$9, 0)</f>
        <v/>
      </c>
      <c r="R1318" s="39" t="n">
        <v>1</v>
      </c>
      <c r="S1318" s="25" t="n">
        <v>2.79</v>
      </c>
      <c r="T1318" s="25" t="n">
        <v>4.28</v>
      </c>
      <c r="U1318" s="42" t="inlineStr">
        <is>
          <t>Tier 1B (Micro Drop, 1-3 km)</t>
        </is>
      </c>
      <c r="V1318" s="24" t="n">
        <v>39.4</v>
      </c>
      <c r="W1318" s="24" t="n">
        <v>100</v>
      </c>
      <c r="X1318" s="24" t="n">
        <v>53.5</v>
      </c>
      <c r="Y1318" s="45">
        <f>ROUND((V1318*'Methodology &amp; Assumptions'!$B$6)+(W1318*'Methodology &amp; Assumptions'!$B$5)+(X1318*'Methodology &amp; Assumptions'!$B$7), 2)</f>
        <v/>
      </c>
    </row>
    <row r="1319" ht="19" customHeight="1">
      <c r="A1319" s="35" t="n">
        <v>315</v>
      </c>
      <c r="B1319" s="35" t="n">
        <v>4315</v>
      </c>
      <c r="C1319" s="36" t="inlineStr">
        <is>
          <t>0301404011</t>
        </is>
      </c>
      <c r="D1319" s="36" t="inlineStr">
        <is>
          <t>Region III (Central Luzon)</t>
        </is>
      </c>
      <c r="E1319" s="36" t="inlineStr">
        <is>
          <t>Bulacan</t>
        </is>
      </c>
      <c r="F1319" s="36" t="inlineStr">
        <is>
          <t>Bocaue</t>
        </is>
      </c>
      <c r="G1319" s="36" t="inlineStr">
        <is>
          <t>Duhat</t>
        </is>
      </c>
      <c r="H1319" s="37" t="n">
        <v>14.785665</v>
      </c>
      <c r="I1319" s="37" t="n">
        <v>120.953049</v>
      </c>
      <c r="J1319" s="8" t="inlineStr">
        <is>
          <t>U</t>
        </is>
      </c>
      <c r="K1319" s="36" t="inlineStr">
        <is>
          <t>Class 1-3 / Urban</t>
        </is>
      </c>
      <c r="L1319" s="18" t="n">
        <v>8905</v>
      </c>
      <c r="M1319" s="20" t="n">
        <v>4.1</v>
      </c>
      <c r="N1319" s="18">
        <f>ROUND(L1319/M1319, 0)</f>
        <v/>
      </c>
      <c r="O1319" s="18">
        <f>ROUND(N1319*'Methodology &amp; Assumptions'!$B$8, 0)</f>
        <v/>
      </c>
      <c r="P1319" s="8" t="inlineStr">
        <is>
          <t>Band n50 (1.5 GHz, 60 MHz)</t>
        </is>
      </c>
      <c r="Q1319" s="38">
        <f>ROUNDUP(O1319/'Methodology &amp; Assumptions'!$B$9, 0)</f>
        <v/>
      </c>
      <c r="R1319" s="39" t="n">
        <v>1</v>
      </c>
      <c r="S1319" s="21" t="n">
        <v>2</v>
      </c>
      <c r="T1319" s="21" t="n">
        <v>1.04</v>
      </c>
      <c r="U1319" s="36" t="inlineStr">
        <is>
          <t>Tier 1B (Micro Drop, 1-3 km)</t>
        </is>
      </c>
      <c r="V1319" s="20" t="n">
        <v>61.3</v>
      </c>
      <c r="W1319" s="20" t="n">
        <v>100</v>
      </c>
      <c r="X1319" s="20" t="n">
        <v>28</v>
      </c>
      <c r="Y1319" s="40">
        <f>ROUND((V1319*'Methodology &amp; Assumptions'!$B$6)+(W1319*'Methodology &amp; Assumptions'!$B$5)+(X1319*'Methodology &amp; Assumptions'!$B$7), 2)</f>
        <v/>
      </c>
    </row>
    <row r="1320" ht="19" customHeight="1">
      <c r="A1320" s="41" t="n">
        <v>316</v>
      </c>
      <c r="B1320" s="41" t="n">
        <v>4316</v>
      </c>
      <c r="C1320" s="42" t="inlineStr">
        <is>
          <t>0305420010</t>
        </is>
      </c>
      <c r="D1320" s="42" t="inlineStr">
        <is>
          <t>Region III (Central Luzon)</t>
        </is>
      </c>
      <c r="E1320" s="42" t="inlineStr">
        <is>
          <t>Pampanga</t>
        </is>
      </c>
      <c r="F1320" s="42" t="inlineStr">
        <is>
          <t>Santa Rita</t>
        </is>
      </c>
      <c r="G1320" s="42" t="inlineStr">
        <is>
          <t>Santa Monica</t>
        </is>
      </c>
      <c r="H1320" s="43" t="n">
        <v>14.998332</v>
      </c>
      <c r="I1320" s="43" t="n">
        <v>120.615613</v>
      </c>
      <c r="J1320" s="44" t="inlineStr">
        <is>
          <t>R</t>
        </is>
      </c>
      <c r="K1320" s="42" t="inlineStr">
        <is>
          <t>2nd</t>
        </is>
      </c>
      <c r="L1320" s="23" t="n">
        <v>3063</v>
      </c>
      <c r="M1320" s="24" t="n">
        <v>4.52</v>
      </c>
      <c r="N1320" s="23">
        <f>ROUND(L1320/M1320, 0)</f>
        <v/>
      </c>
      <c r="O1320" s="23">
        <f>ROUND(N1320*'Methodology &amp; Assumptions'!$B$8, 0)</f>
        <v/>
      </c>
      <c r="P1320" s="44" t="inlineStr">
        <is>
          <t>Band n50 (1.5 GHz, 60 MHz)</t>
        </is>
      </c>
      <c r="Q1320" s="38">
        <f>ROUNDUP(O1320/'Methodology &amp; Assumptions'!$B$9, 0)</f>
        <v/>
      </c>
      <c r="R1320" s="39" t="n">
        <v>1</v>
      </c>
      <c r="S1320" s="25" t="n">
        <v>3.19</v>
      </c>
      <c r="T1320" s="25" t="n">
        <v>0.14</v>
      </c>
      <c r="U1320" s="42" t="inlineStr">
        <is>
          <t>Tier 2 (Fiber Corridor / Lateral, 3-5 km)</t>
        </is>
      </c>
      <c r="V1320" s="24" t="n">
        <v>44.6</v>
      </c>
      <c r="W1320" s="24" t="n">
        <v>78.09999999999999</v>
      </c>
      <c r="X1320" s="24" t="n">
        <v>73</v>
      </c>
      <c r="Y1320" s="45">
        <f>ROUND((V1320*'Methodology &amp; Assumptions'!$B$6)+(W1320*'Methodology &amp; Assumptions'!$B$5)+(X1320*'Methodology &amp; Assumptions'!$B$7), 2)</f>
        <v/>
      </c>
    </row>
    <row r="1321" ht="19" customHeight="1">
      <c r="A1321" s="35" t="n">
        <v>317</v>
      </c>
      <c r="B1321" s="35" t="n">
        <v>4317</v>
      </c>
      <c r="C1321" s="36" t="inlineStr">
        <is>
          <t>0307103016</t>
        </is>
      </c>
      <c r="D1321" s="36" t="inlineStr">
        <is>
          <t>Region III (Central Luzon)</t>
        </is>
      </c>
      <c r="E1321" s="36" t="inlineStr">
        <is>
          <t>Zambales</t>
        </is>
      </c>
      <c r="F1321" s="36" t="inlineStr">
        <is>
          <t>Candelaria</t>
        </is>
      </c>
      <c r="G1321" s="36" t="inlineStr">
        <is>
          <t>Sinabacan</t>
        </is>
      </c>
      <c r="H1321" s="37" t="n">
        <v>15.660313</v>
      </c>
      <c r="I1321" s="37" t="n">
        <v>119.935792</v>
      </c>
      <c r="J1321" s="8" t="inlineStr">
        <is>
          <t>R</t>
        </is>
      </c>
      <c r="K1321" s="36" t="inlineStr">
        <is>
          <t>Class 1-3 / Urban</t>
        </is>
      </c>
      <c r="L1321" s="18" t="n">
        <v>3906</v>
      </c>
      <c r="M1321" s="20" t="n">
        <v>4.05</v>
      </c>
      <c r="N1321" s="18">
        <f>ROUND(L1321/M1321, 0)</f>
        <v/>
      </c>
      <c r="O1321" s="18">
        <f>ROUND(N1321*'Methodology &amp; Assumptions'!$B$8, 0)</f>
        <v/>
      </c>
      <c r="P1321" s="8" t="inlineStr">
        <is>
          <t>Band n50 (1.5 GHz, 60 MHz)</t>
        </is>
      </c>
      <c r="Q1321" s="38">
        <f>ROUNDUP(O1321/'Methodology &amp; Assumptions'!$B$9, 0)</f>
        <v/>
      </c>
      <c r="R1321" s="39" t="n">
        <v>1</v>
      </c>
      <c r="S1321" s="21" t="n">
        <v>4.09</v>
      </c>
      <c r="T1321" s="21" t="n">
        <v>0.03</v>
      </c>
      <c r="U1321" s="36" t="inlineStr">
        <is>
          <t>Tier 2 (Fiber Corridor / Lateral, 3-5 km)</t>
        </is>
      </c>
      <c r="V1321" s="20" t="n">
        <v>35.5</v>
      </c>
      <c r="W1321" s="20" t="n">
        <v>100</v>
      </c>
      <c r="X1321" s="20" t="n">
        <v>58</v>
      </c>
      <c r="Y1321" s="40">
        <f>ROUND((V1321*'Methodology &amp; Assumptions'!$B$6)+(W1321*'Methodology &amp; Assumptions'!$B$5)+(X1321*'Methodology &amp; Assumptions'!$B$7), 2)</f>
        <v/>
      </c>
    </row>
    <row r="1322" ht="19" customHeight="1">
      <c r="A1322" s="41" t="n">
        <v>318</v>
      </c>
      <c r="B1322" s="41" t="n">
        <v>4318</v>
      </c>
      <c r="C1322" s="42" t="inlineStr">
        <is>
          <t>0105546032</t>
        </is>
      </c>
      <c r="D1322" s="42" t="inlineStr">
        <is>
          <t>Region I (Ilocos Region)</t>
        </is>
      </c>
      <c r="E1322" s="42" t="inlineStr">
        <is>
          <t>Pangasinan</t>
        </is>
      </c>
      <c r="F1322" s="42" t="inlineStr">
        <is>
          <t>City of Urdaneta</t>
        </is>
      </c>
      <c r="G1322" s="42" t="inlineStr">
        <is>
          <t>Poblacion</t>
        </is>
      </c>
      <c r="H1322" s="43" t="n">
        <v>15.976842</v>
      </c>
      <c r="I1322" s="43" t="n">
        <v>120.567834</v>
      </c>
      <c r="J1322" s="44" t="inlineStr">
        <is>
          <t>U</t>
        </is>
      </c>
      <c r="K1322" s="42" t="inlineStr">
        <is>
          <t>Class 1-3 / Urban</t>
        </is>
      </c>
      <c r="L1322" s="23" t="n">
        <v>7285</v>
      </c>
      <c r="M1322" s="24" t="n">
        <v>4.39</v>
      </c>
      <c r="N1322" s="23">
        <f>ROUND(L1322/M1322, 0)</f>
        <v/>
      </c>
      <c r="O1322" s="23">
        <f>ROUND(N1322*'Methodology &amp; Assumptions'!$B$8, 0)</f>
        <v/>
      </c>
      <c r="P1322" s="44" t="inlineStr">
        <is>
          <t>Band n50 (1.5 GHz, 60 MHz)</t>
        </is>
      </c>
      <c r="Q1322" s="38">
        <f>ROUNDUP(O1322/'Methodology &amp; Assumptions'!$B$9, 0)</f>
        <v/>
      </c>
      <c r="R1322" s="39" t="n">
        <v>1</v>
      </c>
      <c r="S1322" s="25" t="n">
        <v>2</v>
      </c>
      <c r="T1322" s="25" t="n">
        <v>0.23</v>
      </c>
      <c r="U1322" s="42" t="inlineStr">
        <is>
          <t>Tier 1B (Micro Drop, 1-3 km)</t>
        </is>
      </c>
      <c r="V1322" s="24" t="n">
        <v>61.3</v>
      </c>
      <c r="W1322" s="24" t="n">
        <v>100</v>
      </c>
      <c r="X1322" s="24" t="n">
        <v>28</v>
      </c>
      <c r="Y1322" s="45">
        <f>ROUND((V1322*'Methodology &amp; Assumptions'!$B$6)+(W1322*'Methodology &amp; Assumptions'!$B$5)+(X1322*'Methodology &amp; Assumptions'!$B$7), 2)</f>
        <v/>
      </c>
    </row>
    <row r="1323" ht="19" customHeight="1">
      <c r="A1323" s="35" t="n">
        <v>319</v>
      </c>
      <c r="B1323" s="35" t="n">
        <v>4319</v>
      </c>
      <c r="C1323" s="36" t="inlineStr">
        <is>
          <t>0301423005</t>
        </is>
      </c>
      <c r="D1323" s="36" t="inlineStr">
        <is>
          <t>Region III (Central Luzon)</t>
        </is>
      </c>
      <c r="E1323" s="36" t="inlineStr">
        <is>
          <t>Bulacan</t>
        </is>
      </c>
      <c r="F1323" s="36" t="inlineStr">
        <is>
          <t>Santa Maria</t>
        </is>
      </c>
      <c r="G1323" s="36" t="inlineStr">
        <is>
          <t>Camangyanan</t>
        </is>
      </c>
      <c r="H1323" s="37" t="n">
        <v>14.797179</v>
      </c>
      <c r="I1323" s="37" t="n">
        <v>120.97098</v>
      </c>
      <c r="J1323" s="8" t="inlineStr">
        <is>
          <t>U</t>
        </is>
      </c>
      <c r="K1323" s="36" t="inlineStr">
        <is>
          <t>Class 1-3 / Urban</t>
        </is>
      </c>
      <c r="L1323" s="18" t="n">
        <v>5019</v>
      </c>
      <c r="M1323" s="20" t="n">
        <v>4.1</v>
      </c>
      <c r="N1323" s="18">
        <f>ROUND(L1323/M1323, 0)</f>
        <v/>
      </c>
      <c r="O1323" s="18">
        <f>ROUND(N1323*'Methodology &amp; Assumptions'!$B$8, 0)</f>
        <v/>
      </c>
      <c r="P1323" s="8" t="inlineStr">
        <is>
          <t>Band n50 (1.5 GHz, 60 MHz)</t>
        </is>
      </c>
      <c r="Q1323" s="38">
        <f>ROUNDUP(O1323/'Methodology &amp; Assumptions'!$B$9, 0)</f>
        <v/>
      </c>
      <c r="R1323" s="39" t="n">
        <v>1</v>
      </c>
      <c r="S1323" s="21" t="n">
        <v>2</v>
      </c>
      <c r="T1323" s="21" t="n">
        <v>1.08</v>
      </c>
      <c r="U1323" s="36" t="inlineStr">
        <is>
          <t>Tier 1B (Micro Drop, 1-3 km)</t>
        </is>
      </c>
      <c r="V1323" s="20" t="n">
        <v>61.3</v>
      </c>
      <c r="W1323" s="20" t="n">
        <v>100</v>
      </c>
      <c r="X1323" s="20" t="n">
        <v>28</v>
      </c>
      <c r="Y1323" s="40">
        <f>ROUND((V1323*'Methodology &amp; Assumptions'!$B$6)+(W1323*'Methodology &amp; Assumptions'!$B$5)+(X1323*'Methodology &amp; Assumptions'!$B$7), 2)</f>
        <v/>
      </c>
    </row>
    <row r="1324" ht="19" customHeight="1">
      <c r="A1324" s="41" t="n">
        <v>320</v>
      </c>
      <c r="B1324" s="41" t="n">
        <v>4320</v>
      </c>
      <c r="C1324" s="42" t="inlineStr">
        <is>
          <t>0305407013</t>
        </is>
      </c>
      <c r="D1324" s="42" t="inlineStr">
        <is>
          <t>Region III (Central Luzon)</t>
        </is>
      </c>
      <c r="E1324" s="42" t="inlineStr">
        <is>
          <t>Pampanga</t>
        </is>
      </c>
      <c r="F1324" s="42" t="inlineStr">
        <is>
          <t>Guagua</t>
        </is>
      </c>
      <c r="G1324" s="42" t="inlineStr">
        <is>
          <t>San Antonio</t>
        </is>
      </c>
      <c r="H1324" s="43" t="n">
        <v>14.96555</v>
      </c>
      <c r="I1324" s="43" t="n">
        <v>120.6124</v>
      </c>
      <c r="J1324" s="44" t="inlineStr">
        <is>
          <t>U</t>
        </is>
      </c>
      <c r="K1324" s="42" t="inlineStr">
        <is>
          <t>Class 1-3 / Urban</t>
        </is>
      </c>
      <c r="L1324" s="23" t="n">
        <v>4886</v>
      </c>
      <c r="M1324" s="24" t="n">
        <v>4.63</v>
      </c>
      <c r="N1324" s="23">
        <f>ROUND(L1324/M1324, 0)</f>
        <v/>
      </c>
      <c r="O1324" s="23">
        <f>ROUND(N1324*'Methodology &amp; Assumptions'!$B$8, 0)</f>
        <v/>
      </c>
      <c r="P1324" s="44" t="inlineStr">
        <is>
          <t>Band n50 (1.5 GHz, 60 MHz)</t>
        </is>
      </c>
      <c r="Q1324" s="38">
        <f>ROUNDUP(O1324/'Methodology &amp; Assumptions'!$B$9, 0)</f>
        <v/>
      </c>
      <c r="R1324" s="39" t="n">
        <v>1</v>
      </c>
      <c r="S1324" s="25" t="n">
        <v>2.01</v>
      </c>
      <c r="T1324" s="25" t="n">
        <v>0.34</v>
      </c>
      <c r="U1324" s="42" t="inlineStr">
        <is>
          <t>Tier 1B (Micro Drop, 1-3 km)</t>
        </is>
      </c>
      <c r="V1324" s="24" t="n">
        <v>61.2</v>
      </c>
      <c r="W1324" s="24" t="n">
        <v>100</v>
      </c>
      <c r="X1324" s="24" t="n">
        <v>28</v>
      </c>
      <c r="Y1324" s="45">
        <f>ROUND((V1324*'Methodology &amp; Assumptions'!$B$6)+(W1324*'Methodology &amp; Assumptions'!$B$5)+(X1324*'Methodology &amp; Assumptions'!$B$7), 2)</f>
        <v/>
      </c>
    </row>
    <row r="1325" ht="19" customHeight="1">
      <c r="A1325" s="35" t="n">
        <v>321</v>
      </c>
      <c r="B1325" s="35" t="n">
        <v>4321</v>
      </c>
      <c r="C1325" s="36" t="inlineStr">
        <is>
          <t>0301422026</t>
        </is>
      </c>
      <c r="D1325" s="36" t="inlineStr">
        <is>
          <t>Region III (Central Luzon)</t>
        </is>
      </c>
      <c r="E1325" s="36" t="inlineStr">
        <is>
          <t>Bulacan</t>
        </is>
      </c>
      <c r="F1325" s="36" t="inlineStr">
        <is>
          <t>San Rafael</t>
        </is>
      </c>
      <c r="G1325" s="36" t="inlineStr">
        <is>
          <t>Salapungan</t>
        </is>
      </c>
      <c r="H1325" s="37" t="n">
        <v>15.017759</v>
      </c>
      <c r="I1325" s="37" t="n">
        <v>120.962987</v>
      </c>
      <c r="J1325" s="8" t="inlineStr">
        <is>
          <t>U</t>
        </is>
      </c>
      <c r="K1325" s="36" t="inlineStr">
        <is>
          <t>Class 1-3 / Urban</t>
        </is>
      </c>
      <c r="L1325" s="18" t="n">
        <v>2442</v>
      </c>
      <c r="M1325" s="20" t="n">
        <v>4.1</v>
      </c>
      <c r="N1325" s="18">
        <f>ROUND(L1325/M1325, 0)</f>
        <v/>
      </c>
      <c r="O1325" s="18">
        <f>ROUND(N1325*'Methodology &amp; Assumptions'!$B$8, 0)</f>
        <v/>
      </c>
      <c r="P1325" s="8" t="inlineStr">
        <is>
          <t>Band n50 (1.5 GHz, 60 MHz)</t>
        </is>
      </c>
      <c r="Q1325" s="38">
        <f>ROUNDUP(O1325/'Methodology &amp; Assumptions'!$B$9, 0)</f>
        <v/>
      </c>
      <c r="R1325" s="39" t="n">
        <v>1</v>
      </c>
      <c r="S1325" s="21" t="n">
        <v>0.33</v>
      </c>
      <c r="T1325" s="21" t="n">
        <v>3.02</v>
      </c>
      <c r="U1325" s="36" t="inlineStr">
        <is>
          <t>Tier 1A (Direct Coloc, &lt;1 km)</t>
        </is>
      </c>
      <c r="V1325" s="20" t="n">
        <v>89.5</v>
      </c>
      <c r="W1325" s="20" t="n">
        <v>71.7</v>
      </c>
      <c r="X1325" s="20" t="n">
        <v>28</v>
      </c>
      <c r="Y1325" s="40">
        <f>ROUND((V1325*'Methodology &amp; Assumptions'!$B$6)+(W1325*'Methodology &amp; Assumptions'!$B$5)+(X1325*'Methodology &amp; Assumptions'!$B$7), 2)</f>
        <v/>
      </c>
    </row>
    <row r="1326" ht="19" customHeight="1">
      <c r="A1326" s="41" t="n">
        <v>322</v>
      </c>
      <c r="B1326" s="41" t="n">
        <v>4322</v>
      </c>
      <c r="C1326" s="42" t="inlineStr">
        <is>
          <t>0604513001</t>
        </is>
      </c>
      <c r="D1326" s="42" t="inlineStr">
        <is>
          <t>Region VI (Western Visayas)</t>
        </is>
      </c>
      <c r="E1326" s="42" t="inlineStr">
        <is>
          <t>Negros Occidental</t>
        </is>
      </c>
      <c r="F1326" s="42" t="inlineStr">
        <is>
          <t>Ilog</t>
        </is>
      </c>
      <c r="G1326" s="42" t="inlineStr">
        <is>
          <t>Andulauan</t>
        </is>
      </c>
      <c r="H1326" s="43" t="n">
        <v>10.029412</v>
      </c>
      <c r="I1326" s="43" t="n">
        <v>122.800234</v>
      </c>
      <c r="J1326" s="44" t="inlineStr">
        <is>
          <t>R</t>
        </is>
      </c>
      <c r="K1326" s="42" t="inlineStr">
        <is>
          <t>Class 1-3 / Urban</t>
        </is>
      </c>
      <c r="L1326" s="23" t="n">
        <v>4240</v>
      </c>
      <c r="M1326" s="24" t="n">
        <v>4.33</v>
      </c>
      <c r="N1326" s="23">
        <f>ROUND(L1326/M1326, 0)</f>
        <v/>
      </c>
      <c r="O1326" s="23">
        <f>ROUND(N1326*'Methodology &amp; Assumptions'!$B$8, 0)</f>
        <v/>
      </c>
      <c r="P1326" s="44" t="inlineStr">
        <is>
          <t>Band n50 (1.5 GHz, 60 MHz)</t>
        </is>
      </c>
      <c r="Q1326" s="38">
        <f>ROUNDUP(O1326/'Methodology &amp; Assumptions'!$B$9, 0)</f>
        <v/>
      </c>
      <c r="R1326" s="39" t="n">
        <v>1</v>
      </c>
      <c r="S1326" s="25" t="n">
        <v>4.45</v>
      </c>
      <c r="T1326" s="25" t="n">
        <v>2.75</v>
      </c>
      <c r="U1326" s="42" t="inlineStr">
        <is>
          <t>Tier 2 (Fiber Corridor / Lateral, 3-5 km)</t>
        </is>
      </c>
      <c r="V1326" s="24" t="n">
        <v>22.7</v>
      </c>
      <c r="W1326" s="24" t="n">
        <v>100</v>
      </c>
      <c r="X1326" s="24" t="n">
        <v>73</v>
      </c>
      <c r="Y1326" s="45">
        <f>ROUND((V1326*'Methodology &amp; Assumptions'!$B$6)+(W1326*'Methodology &amp; Assumptions'!$B$5)+(X1326*'Methodology &amp; Assumptions'!$B$7), 2)</f>
        <v/>
      </c>
    </row>
    <row r="1327" ht="19" customHeight="1">
      <c r="A1327" s="35" t="n">
        <v>323</v>
      </c>
      <c r="B1327" s="35" t="n">
        <v>4323</v>
      </c>
      <c r="C1327" s="36" t="inlineStr">
        <is>
          <t>0631000167</t>
        </is>
      </c>
      <c r="D1327" s="36" t="inlineStr">
        <is>
          <t>Region VI (Western Visayas)</t>
        </is>
      </c>
      <c r="E1327" s="36" t="inlineStr">
        <is>
          <t>Iloilo</t>
        </is>
      </c>
      <c r="F1327" s="36" t="inlineStr">
        <is>
          <t>City of Iloilo</t>
        </is>
      </c>
      <c r="G1327" s="36" t="inlineStr">
        <is>
          <t>Santo Niño Norte</t>
        </is>
      </c>
      <c r="H1327" s="37" t="n">
        <v>10.680323</v>
      </c>
      <c r="I1327" s="37" t="n">
        <v>122.519924</v>
      </c>
      <c r="J1327" s="8" t="inlineStr">
        <is>
          <t>R</t>
        </is>
      </c>
      <c r="K1327" s="36" t="inlineStr">
        <is>
          <t>Class 1-3 / Urban</t>
        </is>
      </c>
      <c r="L1327" s="18" t="n">
        <v>3922</v>
      </c>
      <c r="M1327" s="20" t="n">
        <v>4.39</v>
      </c>
      <c r="N1327" s="18">
        <f>ROUND(L1327/M1327, 0)</f>
        <v/>
      </c>
      <c r="O1327" s="18">
        <f>ROUND(N1327*'Methodology &amp; Assumptions'!$B$8, 0)</f>
        <v/>
      </c>
      <c r="P1327" s="8" t="inlineStr">
        <is>
          <t>Band n50 (1.5 GHz, 60 MHz)</t>
        </is>
      </c>
      <c r="Q1327" s="38">
        <f>ROUNDUP(O1327/'Methodology &amp; Assumptions'!$B$9, 0)</f>
        <v/>
      </c>
      <c r="R1327" s="39" t="n">
        <v>1</v>
      </c>
      <c r="S1327" s="21" t="n">
        <v>2.74</v>
      </c>
      <c r="T1327" s="21" t="n">
        <v>2.76</v>
      </c>
      <c r="U1327" s="36" t="inlineStr">
        <is>
          <t>Tier 1B (Micro Drop, 1-3 km)</t>
        </is>
      </c>
      <c r="V1327" s="20" t="n">
        <v>40.1</v>
      </c>
      <c r="W1327" s="20" t="n">
        <v>95.5</v>
      </c>
      <c r="X1327" s="20" t="n">
        <v>58</v>
      </c>
      <c r="Y1327" s="40">
        <f>ROUND((V1327*'Methodology &amp; Assumptions'!$B$6)+(W1327*'Methodology &amp; Assumptions'!$B$5)+(X1327*'Methodology &amp; Assumptions'!$B$7), 2)</f>
        <v/>
      </c>
    </row>
    <row r="1328" ht="19" customHeight="1">
      <c r="A1328" s="41" t="n">
        <v>324</v>
      </c>
      <c r="B1328" s="41" t="n">
        <v>4324</v>
      </c>
      <c r="C1328" s="42" t="inlineStr">
        <is>
          <t>1400101022</t>
        </is>
      </c>
      <c r="D1328" s="42" t="inlineStr">
        <is>
          <t>Cordillera Administrative Region (CAR)</t>
        </is>
      </c>
      <c r="E1328" s="42" t="inlineStr">
        <is>
          <t>Abra</t>
        </is>
      </c>
      <c r="F1328" s="42" t="inlineStr">
        <is>
          <t>Bangued</t>
        </is>
      </c>
      <c r="G1328" s="42" t="inlineStr">
        <is>
          <t>Santa Rosa</t>
        </is>
      </c>
      <c r="H1328" s="43" t="n">
        <v>17.5886</v>
      </c>
      <c r="I1328" s="43" t="n">
        <v>120.6083</v>
      </c>
      <c r="J1328" s="44" t="inlineStr">
        <is>
          <t>R</t>
        </is>
      </c>
      <c r="K1328" s="42" t="inlineStr">
        <is>
          <t>Class 1-3 / Urban</t>
        </is>
      </c>
      <c r="L1328" s="23" t="n">
        <v>2296</v>
      </c>
      <c r="M1328" s="24" t="n">
        <v>4.69</v>
      </c>
      <c r="N1328" s="23">
        <f>ROUND(L1328/M1328, 0)</f>
        <v/>
      </c>
      <c r="O1328" s="23">
        <f>ROUND(N1328*'Methodology &amp; Assumptions'!$B$8, 0)</f>
        <v/>
      </c>
      <c r="P1328" s="44" t="inlineStr">
        <is>
          <t>Band n50 (1.5 GHz, 60 MHz)</t>
        </is>
      </c>
      <c r="Q1328" s="38">
        <f>ROUNDUP(O1328/'Methodology &amp; Assumptions'!$B$9, 0)</f>
        <v/>
      </c>
      <c r="R1328" s="39" t="n">
        <v>1</v>
      </c>
      <c r="S1328" s="25" t="n">
        <v>1.23</v>
      </c>
      <c r="T1328" s="25" t="n">
        <v>0.98</v>
      </c>
      <c r="U1328" s="42" t="inlineStr">
        <is>
          <t>Tier 1B (Micro Drop, 1-3 km)</t>
        </is>
      </c>
      <c r="V1328" s="24" t="n">
        <v>76.3</v>
      </c>
      <c r="W1328" s="24" t="n">
        <v>59.2</v>
      </c>
      <c r="X1328" s="24" t="n">
        <v>58</v>
      </c>
      <c r="Y1328" s="45">
        <f>ROUND((V1328*'Methodology &amp; Assumptions'!$B$6)+(W1328*'Methodology &amp; Assumptions'!$B$5)+(X1328*'Methodology &amp; Assumptions'!$B$7), 2)</f>
        <v/>
      </c>
    </row>
    <row r="1329" ht="19" customHeight="1">
      <c r="A1329" s="35" t="n">
        <v>325</v>
      </c>
      <c r="B1329" s="35" t="n">
        <v>4325</v>
      </c>
      <c r="C1329" s="36" t="inlineStr">
        <is>
          <t>0301414010</t>
        </is>
      </c>
      <c r="D1329" s="36" t="inlineStr">
        <is>
          <t>Region III (Central Luzon)</t>
        </is>
      </c>
      <c r="E1329" s="36" t="inlineStr">
        <is>
          <t>Bulacan</t>
        </is>
      </c>
      <c r="F1329" s="36" t="inlineStr">
        <is>
          <t>Obando</t>
        </is>
      </c>
      <c r="G1329" s="36" t="inlineStr">
        <is>
          <t>San Pascual</t>
        </is>
      </c>
      <c r="H1329" s="37" t="n">
        <v>14.720647</v>
      </c>
      <c r="I1329" s="37" t="n">
        <v>120.929383</v>
      </c>
      <c r="J1329" s="8" t="inlineStr">
        <is>
          <t>U</t>
        </is>
      </c>
      <c r="K1329" s="36" t="inlineStr">
        <is>
          <t>Class 1-3 / Urban</t>
        </is>
      </c>
      <c r="L1329" s="18" t="n">
        <v>7769</v>
      </c>
      <c r="M1329" s="20" t="n">
        <v>4.1</v>
      </c>
      <c r="N1329" s="18">
        <f>ROUND(L1329/M1329, 0)</f>
        <v/>
      </c>
      <c r="O1329" s="18">
        <f>ROUND(N1329*'Methodology &amp; Assumptions'!$B$8, 0)</f>
        <v/>
      </c>
      <c r="P1329" s="8" t="inlineStr">
        <is>
          <t>Band n50 (1.5 GHz, 60 MHz)</t>
        </is>
      </c>
      <c r="Q1329" s="38">
        <f>ROUNDUP(O1329/'Methodology &amp; Assumptions'!$B$9, 0)</f>
        <v/>
      </c>
      <c r="R1329" s="39" t="n">
        <v>1</v>
      </c>
      <c r="S1329" s="21" t="n">
        <v>1.47</v>
      </c>
      <c r="T1329" s="21" t="n">
        <v>3</v>
      </c>
      <c r="U1329" s="36" t="inlineStr">
        <is>
          <t>Tier 1B (Micro Drop, 1-3 km)</t>
        </is>
      </c>
      <c r="V1329" s="20" t="n">
        <v>61.2</v>
      </c>
      <c r="W1329" s="20" t="n">
        <v>100</v>
      </c>
      <c r="X1329" s="20" t="n">
        <v>28</v>
      </c>
      <c r="Y1329" s="40">
        <f>ROUND((V1329*'Methodology &amp; Assumptions'!$B$6)+(W1329*'Methodology &amp; Assumptions'!$B$5)+(X1329*'Methodology &amp; Assumptions'!$B$7), 2)</f>
        <v/>
      </c>
    </row>
    <row r="1330" ht="19" customHeight="1">
      <c r="A1330" s="41" t="n">
        <v>326</v>
      </c>
      <c r="B1330" s="41" t="n">
        <v>4326</v>
      </c>
      <c r="C1330" s="42" t="inlineStr">
        <is>
          <t>0401021021</t>
        </is>
      </c>
      <c r="D1330" s="42" t="inlineStr">
        <is>
          <t>Region IV-A (CALABARZON)</t>
        </is>
      </c>
      <c r="E1330" s="42" t="inlineStr">
        <is>
          <t>Batangas</t>
        </is>
      </c>
      <c r="F1330" s="42" t="inlineStr">
        <is>
          <t>Rosario</t>
        </is>
      </c>
      <c r="G1330" s="42" t="inlineStr">
        <is>
          <t>Masaya</t>
        </is>
      </c>
      <c r="H1330" s="43" t="n">
        <v>13.837393</v>
      </c>
      <c r="I1330" s="43" t="n">
        <v>121.184298</v>
      </c>
      <c r="J1330" s="44" t="inlineStr">
        <is>
          <t>U</t>
        </is>
      </c>
      <c r="K1330" s="42" t="inlineStr">
        <is>
          <t>Class 1-3 / Urban</t>
        </is>
      </c>
      <c r="L1330" s="23" t="n">
        <v>4620</v>
      </c>
      <c r="M1330" s="24" t="n">
        <v>4.62</v>
      </c>
      <c r="N1330" s="23">
        <f>ROUND(L1330/M1330, 0)</f>
        <v/>
      </c>
      <c r="O1330" s="23">
        <f>ROUND(N1330*'Methodology &amp; Assumptions'!$B$8, 0)</f>
        <v/>
      </c>
      <c r="P1330" s="44" t="inlineStr">
        <is>
          <t>Band n50 (1.5 GHz, 60 MHz)</t>
        </is>
      </c>
      <c r="Q1330" s="38">
        <f>ROUNDUP(O1330/'Methodology &amp; Assumptions'!$B$9, 0)</f>
        <v/>
      </c>
      <c r="R1330" s="39" t="n">
        <v>1</v>
      </c>
      <c r="S1330" s="25" t="n">
        <v>2.01</v>
      </c>
      <c r="T1330" s="25" t="n">
        <v>0.15</v>
      </c>
      <c r="U1330" s="42" t="inlineStr">
        <is>
          <t>Tier 1B (Micro Drop, 1-3 km)</t>
        </is>
      </c>
      <c r="V1330" s="24" t="n">
        <v>61.2</v>
      </c>
      <c r="W1330" s="24" t="n">
        <v>100</v>
      </c>
      <c r="X1330" s="24" t="n">
        <v>28</v>
      </c>
      <c r="Y1330" s="45">
        <f>ROUND((V1330*'Methodology &amp; Assumptions'!$B$6)+(W1330*'Methodology &amp; Assumptions'!$B$5)+(X1330*'Methodology &amp; Assumptions'!$B$7), 2)</f>
        <v/>
      </c>
    </row>
    <row r="1331" ht="19" customHeight="1">
      <c r="A1331" s="35" t="n">
        <v>327</v>
      </c>
      <c r="B1331" s="35" t="n">
        <v>4327</v>
      </c>
      <c r="C1331" s="36" t="inlineStr">
        <is>
          <t>0301417004</t>
        </is>
      </c>
      <c r="D1331" s="36" t="inlineStr">
        <is>
          <t>Region III (Central Luzon)</t>
        </is>
      </c>
      <c r="E1331" s="36" t="inlineStr">
        <is>
          <t>Bulacan</t>
        </is>
      </c>
      <c r="F1331" s="36" t="inlineStr">
        <is>
          <t>Plaridel</t>
        </is>
      </c>
      <c r="G1331" s="36" t="inlineStr">
        <is>
          <t>Banga II</t>
        </is>
      </c>
      <c r="H1331" s="37" t="n">
        <v>14.886413</v>
      </c>
      <c r="I1331" s="37" t="n">
        <v>120.871766</v>
      </c>
      <c r="J1331" s="8" t="inlineStr">
        <is>
          <t>U</t>
        </is>
      </c>
      <c r="K1331" s="36" t="inlineStr">
        <is>
          <t>Class 1-3 / Urban</t>
        </is>
      </c>
      <c r="L1331" s="18" t="n">
        <v>8741</v>
      </c>
      <c r="M1331" s="20" t="n">
        <v>4.1</v>
      </c>
      <c r="N1331" s="18">
        <f>ROUND(L1331/M1331, 0)</f>
        <v/>
      </c>
      <c r="O1331" s="18">
        <f>ROUND(N1331*'Methodology &amp; Assumptions'!$B$8, 0)</f>
        <v/>
      </c>
      <c r="P1331" s="8" t="inlineStr">
        <is>
          <t>Band n50 (1.5 GHz, 60 MHz)</t>
        </is>
      </c>
      <c r="Q1331" s="38">
        <f>ROUNDUP(O1331/'Methodology &amp; Assumptions'!$B$9, 0)</f>
        <v/>
      </c>
      <c r="R1331" s="39" t="n">
        <v>1</v>
      </c>
      <c r="S1331" s="21" t="n">
        <v>2.87</v>
      </c>
      <c r="T1331" s="21" t="n">
        <v>0.48</v>
      </c>
      <c r="U1331" s="36" t="inlineStr">
        <is>
          <t>Tier 1B (Micro Drop, 1-3 km)</t>
        </is>
      </c>
      <c r="V1331" s="20" t="n">
        <v>48.4</v>
      </c>
      <c r="W1331" s="20" t="n">
        <v>100</v>
      </c>
      <c r="X1331" s="20" t="n">
        <v>43</v>
      </c>
      <c r="Y1331" s="40">
        <f>ROUND((V1331*'Methodology &amp; Assumptions'!$B$6)+(W1331*'Methodology &amp; Assumptions'!$B$5)+(X1331*'Methodology &amp; Assumptions'!$B$7), 2)</f>
        <v/>
      </c>
    </row>
    <row r="1332" ht="19" customHeight="1">
      <c r="A1332" s="41" t="n">
        <v>328</v>
      </c>
      <c r="B1332" s="41" t="n">
        <v>4328</v>
      </c>
      <c r="C1332" s="42" t="inlineStr">
        <is>
          <t>1430300149</t>
        </is>
      </c>
      <c r="D1332" s="42" t="inlineStr">
        <is>
          <t>Cordillera Administrative Region (CAR)</t>
        </is>
      </c>
      <c r="E1332" s="42" t="inlineStr">
        <is>
          <t>Benguet</t>
        </is>
      </c>
      <c r="F1332" s="42" t="inlineStr">
        <is>
          <t>City of Baguio</t>
        </is>
      </c>
      <c r="G1332" s="42" t="inlineStr">
        <is>
          <t>Padre Burgos</t>
        </is>
      </c>
      <c r="H1332" s="43" t="n">
        <v>16.42009</v>
      </c>
      <c r="I1332" s="43" t="n">
        <v>120.59227</v>
      </c>
      <c r="J1332" s="44" t="inlineStr">
        <is>
          <t>U</t>
        </is>
      </c>
      <c r="K1332" s="42" t="inlineStr">
        <is>
          <t>Class 1-3 / Urban</t>
        </is>
      </c>
      <c r="L1332" s="23" t="n">
        <v>2851</v>
      </c>
      <c r="M1332" s="24" t="n">
        <v>4.58</v>
      </c>
      <c r="N1332" s="23">
        <f>ROUND(L1332/M1332, 0)</f>
        <v/>
      </c>
      <c r="O1332" s="23">
        <f>ROUND(N1332*'Methodology &amp; Assumptions'!$B$8, 0)</f>
        <v/>
      </c>
      <c r="P1332" s="44" t="inlineStr">
        <is>
          <t>Band n50 (1.5 GHz, 60 MHz)</t>
        </is>
      </c>
      <c r="Q1332" s="38">
        <f>ROUNDUP(O1332/'Methodology &amp; Assumptions'!$B$9, 0)</f>
        <v/>
      </c>
      <c r="R1332" s="39" t="n">
        <v>1</v>
      </c>
      <c r="S1332" s="25" t="n">
        <v>0.62</v>
      </c>
      <c r="T1332" s="25" t="n">
        <v>0.6</v>
      </c>
      <c r="U1332" s="42" t="inlineStr">
        <is>
          <t>Tier 1A (Direct Coloc, &lt;1 km)</t>
        </is>
      </c>
      <c r="V1332" s="24" t="n">
        <v>91.3</v>
      </c>
      <c r="W1332" s="24" t="n">
        <v>69.90000000000001</v>
      </c>
      <c r="X1332" s="24" t="n">
        <v>28</v>
      </c>
      <c r="Y1332" s="45">
        <f>ROUND((V1332*'Methodology &amp; Assumptions'!$B$6)+(W1332*'Methodology &amp; Assumptions'!$B$5)+(X1332*'Methodology &amp; Assumptions'!$B$7), 2)</f>
        <v/>
      </c>
    </row>
    <row r="1333" ht="19" customHeight="1">
      <c r="A1333" s="35" t="n">
        <v>329</v>
      </c>
      <c r="B1333" s="35" t="n">
        <v>4329</v>
      </c>
      <c r="C1333" s="36" t="inlineStr">
        <is>
          <t>0501726006</t>
        </is>
      </c>
      <c r="D1333" s="36" t="inlineStr">
        <is>
          <t>Region V (Bicol Region)</t>
        </is>
      </c>
      <c r="E1333" s="36" t="inlineStr">
        <is>
          <t>Camarines Sur</t>
        </is>
      </c>
      <c r="F1333" s="36" t="inlineStr">
        <is>
          <t>Pamplona</t>
        </is>
      </c>
      <c r="G1333" s="36" t="inlineStr">
        <is>
          <t>Del Rosario</t>
        </is>
      </c>
      <c r="H1333" s="37" t="n">
        <v>13.575164</v>
      </c>
      <c r="I1333" s="37" t="n">
        <v>123.085125</v>
      </c>
      <c r="J1333" s="8" t="inlineStr">
        <is>
          <t>R</t>
        </is>
      </c>
      <c r="K1333" s="36" t="inlineStr">
        <is>
          <t>3rd</t>
        </is>
      </c>
      <c r="L1333" s="18" t="n">
        <v>2674</v>
      </c>
      <c r="M1333" s="20" t="n">
        <v>4.8</v>
      </c>
      <c r="N1333" s="18">
        <f>ROUND(L1333/M1333, 0)</f>
        <v/>
      </c>
      <c r="O1333" s="18">
        <f>ROUND(N1333*'Methodology &amp; Assumptions'!$B$8, 0)</f>
        <v/>
      </c>
      <c r="P1333" s="8" t="inlineStr">
        <is>
          <t>Band n50 (1.5 GHz, 60 MHz)</t>
        </is>
      </c>
      <c r="Q1333" s="38">
        <f>ROUNDUP(O1333/'Methodology &amp; Assumptions'!$B$9, 0)</f>
        <v/>
      </c>
      <c r="R1333" s="39" t="n">
        <v>1</v>
      </c>
      <c r="S1333" s="21" t="n">
        <v>1.69</v>
      </c>
      <c r="T1333" s="21" t="n">
        <v>0.1</v>
      </c>
      <c r="U1333" s="36" t="inlineStr">
        <is>
          <t>Tier 1B (Micro Drop, 1-3 km)</t>
        </is>
      </c>
      <c r="V1333" s="20" t="n">
        <v>66.90000000000001</v>
      </c>
      <c r="W1333" s="20" t="n">
        <v>68.5</v>
      </c>
      <c r="X1333" s="20" t="n">
        <v>58</v>
      </c>
      <c r="Y1333" s="40">
        <f>ROUND((V1333*'Methodology &amp; Assumptions'!$B$6)+(W1333*'Methodology &amp; Assumptions'!$B$5)+(X1333*'Methodology &amp; Assumptions'!$B$7), 2)</f>
        <v/>
      </c>
    </row>
    <row r="1334" ht="19" customHeight="1">
      <c r="A1334" s="41" t="n">
        <v>330</v>
      </c>
      <c r="B1334" s="41" t="n">
        <v>4330</v>
      </c>
      <c r="C1334" s="42" t="inlineStr">
        <is>
          <t>0300811021</t>
        </is>
      </c>
      <c r="D1334" s="42" t="inlineStr">
        <is>
          <t>Region III (Central Luzon)</t>
        </is>
      </c>
      <c r="E1334" s="42" t="inlineStr">
        <is>
          <t>Bataan</t>
        </is>
      </c>
      <c r="F1334" s="42" t="inlineStr">
        <is>
          <t>Pilar</t>
        </is>
      </c>
      <c r="G1334" s="42" t="inlineStr">
        <is>
          <t>Poblacion</t>
        </is>
      </c>
      <c r="H1334" s="43" t="n">
        <v>14.677783</v>
      </c>
      <c r="I1334" s="43" t="n">
        <v>120.54246</v>
      </c>
      <c r="J1334" s="44" t="inlineStr">
        <is>
          <t>R</t>
        </is>
      </c>
      <c r="K1334" s="42" t="inlineStr">
        <is>
          <t>Class 1-3 / Urban</t>
        </is>
      </c>
      <c r="L1334" s="23" t="n">
        <v>1311</v>
      </c>
      <c r="M1334" s="24" t="n">
        <v>4.57</v>
      </c>
      <c r="N1334" s="23">
        <f>ROUND(L1334/M1334, 0)</f>
        <v/>
      </c>
      <c r="O1334" s="23">
        <f>ROUND(N1334*'Methodology &amp; Assumptions'!$B$8, 0)</f>
        <v/>
      </c>
      <c r="P1334" s="44" t="inlineStr">
        <is>
          <t>Band n50 (1.5 GHz, 60 MHz)</t>
        </is>
      </c>
      <c r="Q1334" s="38">
        <f>ROUNDUP(O1334/'Methodology &amp; Assumptions'!$B$9, 0)</f>
        <v/>
      </c>
      <c r="R1334" s="39" t="n">
        <v>1</v>
      </c>
      <c r="S1334" s="25" t="n">
        <v>0.73</v>
      </c>
      <c r="T1334" s="25" t="n">
        <v>0.15</v>
      </c>
      <c r="U1334" s="42" t="inlineStr">
        <is>
          <t>Tier 1A (Direct Coloc, &lt;1 km)</t>
        </is>
      </c>
      <c r="V1334" s="24" t="n">
        <v>88.5</v>
      </c>
      <c r="W1334" s="24" t="n">
        <v>46.9</v>
      </c>
      <c r="X1334" s="24" t="n">
        <v>58</v>
      </c>
      <c r="Y1334" s="45">
        <f>ROUND((V1334*'Methodology &amp; Assumptions'!$B$6)+(W1334*'Methodology &amp; Assumptions'!$B$5)+(X1334*'Methodology &amp; Assumptions'!$B$7), 2)</f>
        <v/>
      </c>
    </row>
    <row r="1335" ht="19" customHeight="1">
      <c r="A1335" s="35" t="n">
        <v>331</v>
      </c>
      <c r="B1335" s="35" t="n">
        <v>4331</v>
      </c>
      <c r="C1335" s="36" t="inlineStr">
        <is>
          <t>0501708015</t>
        </is>
      </c>
      <c r="D1335" s="36" t="inlineStr">
        <is>
          <t>Region V (Bicol Region)</t>
        </is>
      </c>
      <c r="E1335" s="36" t="inlineStr">
        <is>
          <t>Camarines Sur</t>
        </is>
      </c>
      <c r="F1335" s="36" t="inlineStr">
        <is>
          <t>Calabanga</t>
        </is>
      </c>
      <c r="G1335" s="36" t="inlineStr">
        <is>
          <t>Del Carmen</t>
        </is>
      </c>
      <c r="H1335" s="37" t="n">
        <v>13.707627</v>
      </c>
      <c r="I1335" s="37" t="n">
        <v>123.211028</v>
      </c>
      <c r="J1335" s="8" t="inlineStr">
        <is>
          <t>R</t>
        </is>
      </c>
      <c r="K1335" s="36" t="inlineStr">
        <is>
          <t>Class 1-3 / Urban</t>
        </is>
      </c>
      <c r="L1335" s="18" t="n">
        <v>699</v>
      </c>
      <c r="M1335" s="20" t="n">
        <v>4.9</v>
      </c>
      <c r="N1335" s="18">
        <f>ROUND(L1335/M1335, 0)</f>
        <v/>
      </c>
      <c r="O1335" s="18">
        <f>ROUND(N1335*'Methodology &amp; Assumptions'!$B$8, 0)</f>
        <v/>
      </c>
      <c r="P1335" s="8" t="inlineStr">
        <is>
          <t>Band n50 (1.5 GHz, 60 MHz)</t>
        </is>
      </c>
      <c r="Q1335" s="38">
        <f>ROUNDUP(O1335/'Methodology &amp; Assumptions'!$B$9, 0)</f>
        <v/>
      </c>
      <c r="R1335" s="39" t="n">
        <v>1</v>
      </c>
      <c r="S1335" s="21" t="n">
        <v>0.22</v>
      </c>
      <c r="T1335" s="21" t="n">
        <v>0.22</v>
      </c>
      <c r="U1335" s="36" t="inlineStr">
        <is>
          <t>Tier 1A (Direct Coloc, &lt;1 km)</t>
        </is>
      </c>
      <c r="V1335" s="20" t="n">
        <v>100</v>
      </c>
      <c r="W1335" s="20" t="n">
        <v>35.5</v>
      </c>
      <c r="X1335" s="20" t="n">
        <v>58</v>
      </c>
      <c r="Y1335" s="40">
        <f>ROUND((V1335*'Methodology &amp; Assumptions'!$B$6)+(W1335*'Methodology &amp; Assumptions'!$B$5)+(X1335*'Methodology &amp; Assumptions'!$B$7), 2)</f>
        <v/>
      </c>
    </row>
    <row r="1336" ht="19" customHeight="1">
      <c r="A1336" s="41" t="n">
        <v>332</v>
      </c>
      <c r="B1336" s="41" t="n">
        <v>4332</v>
      </c>
      <c r="C1336" s="42" t="inlineStr">
        <is>
          <t>0403410026</t>
        </is>
      </c>
      <c r="D1336" s="42" t="inlineStr">
        <is>
          <t>Region IV-A (CALABARZON)</t>
        </is>
      </c>
      <c r="E1336" s="42" t="inlineStr">
        <is>
          <t>Laguna</t>
        </is>
      </c>
      <c r="F1336" s="42" t="inlineStr">
        <is>
          <t>Liliw</t>
        </is>
      </c>
      <c r="G1336" s="42" t="inlineStr">
        <is>
          <t>Malabo-Kalantukan</t>
        </is>
      </c>
      <c r="H1336" s="43" t="n">
        <v>14.134695</v>
      </c>
      <c r="I1336" s="43" t="n">
        <v>121.43484</v>
      </c>
      <c r="J1336" s="44" t="inlineStr">
        <is>
          <t>R</t>
        </is>
      </c>
      <c r="K1336" s="42" t="inlineStr">
        <is>
          <t>3rd</t>
        </is>
      </c>
      <c r="L1336" s="23" t="n">
        <v>567</v>
      </c>
      <c r="M1336" s="24" t="n">
        <v>3.93</v>
      </c>
      <c r="N1336" s="23">
        <f>ROUND(L1336/M1336, 0)</f>
        <v/>
      </c>
      <c r="O1336" s="23">
        <f>ROUND(N1336*'Methodology &amp; Assumptions'!$B$8, 0)</f>
        <v/>
      </c>
      <c r="P1336" s="44" t="inlineStr">
        <is>
          <t>Band n50 (1.5 GHz, 60 MHz)</t>
        </is>
      </c>
      <c r="Q1336" s="38">
        <f>ROUNDUP(O1336/'Methodology &amp; Assumptions'!$B$9, 0)</f>
        <v/>
      </c>
      <c r="R1336" s="39" t="n">
        <v>1</v>
      </c>
      <c r="S1336" s="25" t="n">
        <v>0.23</v>
      </c>
      <c r="T1336" s="25" t="n">
        <v>0.03</v>
      </c>
      <c r="U1336" s="42" t="inlineStr">
        <is>
          <t>Tier 1A (Direct Coloc, &lt;1 km)</t>
        </is>
      </c>
      <c r="V1336" s="24" t="n">
        <v>100</v>
      </c>
      <c r="W1336" s="24" t="n">
        <v>35.5</v>
      </c>
      <c r="X1336" s="24" t="n">
        <v>58</v>
      </c>
      <c r="Y1336" s="45">
        <f>ROUND((V1336*'Methodology &amp; Assumptions'!$B$6)+(W1336*'Methodology &amp; Assumptions'!$B$5)+(X1336*'Methodology &amp; Assumptions'!$B$7), 2)</f>
        <v/>
      </c>
    </row>
    <row r="1337" ht="19" customHeight="1">
      <c r="A1337" s="35" t="n">
        <v>333</v>
      </c>
      <c r="B1337" s="35" t="n">
        <v>4333</v>
      </c>
      <c r="C1337" s="36" t="inlineStr">
        <is>
          <t>0105532053</t>
        </is>
      </c>
      <c r="D1337" s="36" t="inlineStr">
        <is>
          <t>Region I (Ilocos Region)</t>
        </is>
      </c>
      <c r="E1337" s="36" t="inlineStr">
        <is>
          <t>Pangasinan</t>
        </is>
      </c>
      <c r="F1337" s="36" t="inlineStr">
        <is>
          <t>City of San Carlos</t>
        </is>
      </c>
      <c r="G1337" s="36" t="inlineStr">
        <is>
          <t>Matagdem</t>
        </is>
      </c>
      <c r="H1337" s="37" t="n">
        <v>15.9526</v>
      </c>
      <c r="I1337" s="37" t="n">
        <v>120.3533</v>
      </c>
      <c r="J1337" s="8" t="inlineStr">
        <is>
          <t>R</t>
        </is>
      </c>
      <c r="K1337" s="36" t="inlineStr">
        <is>
          <t>Class 1-3 / Urban</t>
        </is>
      </c>
      <c r="L1337" s="18" t="n">
        <v>3406</v>
      </c>
      <c r="M1337" s="20" t="n">
        <v>4.39</v>
      </c>
      <c r="N1337" s="18">
        <f>ROUND(L1337/M1337, 0)</f>
        <v/>
      </c>
      <c r="O1337" s="18">
        <f>ROUND(N1337*'Methodology &amp; Assumptions'!$B$8, 0)</f>
        <v/>
      </c>
      <c r="P1337" s="8" t="inlineStr">
        <is>
          <t>Band n50 (1.5 GHz, 60 MHz)</t>
        </is>
      </c>
      <c r="Q1337" s="38">
        <f>ROUNDUP(O1337/'Methodology &amp; Assumptions'!$B$9, 0)</f>
        <v/>
      </c>
      <c r="R1337" s="39" t="n">
        <v>1</v>
      </c>
      <c r="S1337" s="21" t="n">
        <v>2.8</v>
      </c>
      <c r="T1337" s="21" t="n">
        <v>0.51</v>
      </c>
      <c r="U1337" s="36" t="inlineStr">
        <is>
          <t>Tier 1B (Micro Drop, 1-3 km)</t>
        </is>
      </c>
      <c r="V1337" s="20" t="n">
        <v>49.3</v>
      </c>
      <c r="W1337" s="20" t="n">
        <v>86.09999999999999</v>
      </c>
      <c r="X1337" s="20" t="n">
        <v>58</v>
      </c>
      <c r="Y1337" s="40">
        <f>ROUND((V1337*'Methodology &amp; Assumptions'!$B$6)+(W1337*'Methodology &amp; Assumptions'!$B$5)+(X1337*'Methodology &amp; Assumptions'!$B$7), 2)</f>
        <v/>
      </c>
    </row>
    <row r="1338" ht="19" customHeight="1">
      <c r="A1338" s="41" t="n">
        <v>334</v>
      </c>
      <c r="B1338" s="41" t="n">
        <v>4334</v>
      </c>
      <c r="C1338" s="42" t="inlineStr">
        <is>
          <t>0105518002</t>
        </is>
      </c>
      <c r="D1338" s="42" t="inlineStr">
        <is>
          <t>Region I (Ilocos Region)</t>
        </is>
      </c>
      <c r="E1338" s="42" t="inlineStr">
        <is>
          <t>Pangasinan</t>
        </is>
      </c>
      <c r="F1338" s="42" t="inlineStr">
        <is>
          <t>City of Dagupan</t>
        </is>
      </c>
      <c r="G1338" s="42" t="inlineStr">
        <is>
          <t>Bacayao Sur</t>
        </is>
      </c>
      <c r="H1338" s="43" t="n">
        <v>16.022587</v>
      </c>
      <c r="I1338" s="43" t="n">
        <v>120.346574</v>
      </c>
      <c r="J1338" s="44" t="inlineStr">
        <is>
          <t>R</t>
        </is>
      </c>
      <c r="K1338" s="42" t="inlineStr">
        <is>
          <t>Class 1-3 / Urban</t>
        </is>
      </c>
      <c r="L1338" s="23" t="n">
        <v>2520</v>
      </c>
      <c r="M1338" s="24" t="n">
        <v>4.39</v>
      </c>
      <c r="N1338" s="23">
        <f>ROUND(L1338/M1338, 0)</f>
        <v/>
      </c>
      <c r="O1338" s="23">
        <f>ROUND(N1338*'Methodology &amp; Assumptions'!$B$8, 0)</f>
        <v/>
      </c>
      <c r="P1338" s="44" t="inlineStr">
        <is>
          <t>Band n50 (1.5 GHz, 60 MHz)</t>
        </is>
      </c>
      <c r="Q1338" s="38">
        <f>ROUNDUP(O1338/'Methodology &amp; Assumptions'!$B$9, 0)</f>
        <v/>
      </c>
      <c r="R1338" s="39" t="n">
        <v>1</v>
      </c>
      <c r="S1338" s="25" t="n">
        <v>1.76</v>
      </c>
      <c r="T1338" s="25" t="n">
        <v>0.2</v>
      </c>
      <c r="U1338" s="42" t="inlineStr">
        <is>
          <t>Tier 1B (Micro Drop, 1-3 km)</t>
        </is>
      </c>
      <c r="V1338" s="24" t="n">
        <v>65.59999999999999</v>
      </c>
      <c r="W1338" s="24" t="n">
        <v>69.90000000000001</v>
      </c>
      <c r="X1338" s="24" t="n">
        <v>58</v>
      </c>
      <c r="Y1338" s="45">
        <f>ROUND((V1338*'Methodology &amp; Assumptions'!$B$6)+(W1338*'Methodology &amp; Assumptions'!$B$5)+(X1338*'Methodology &amp; Assumptions'!$B$7), 2)</f>
        <v/>
      </c>
    </row>
    <row r="1339" ht="19" customHeight="1">
      <c r="A1339" s="35" t="n">
        <v>335</v>
      </c>
      <c r="B1339" s="35" t="n">
        <v>4335</v>
      </c>
      <c r="C1339" s="36" t="inlineStr">
        <is>
          <t>0203114013</t>
        </is>
      </c>
      <c r="D1339" s="36" t="inlineStr">
        <is>
          <t>Region II (Cagayan Valley)</t>
        </is>
      </c>
      <c r="E1339" s="36" t="inlineStr">
        <is>
          <t>Isabela</t>
        </is>
      </c>
      <c r="F1339" s="36" t="inlineStr">
        <is>
          <t>City of Ilagan</t>
        </is>
      </c>
      <c r="G1339" s="36" t="inlineStr">
        <is>
          <t>Baligatan</t>
        </is>
      </c>
      <c r="H1339" s="37" t="n">
        <v>17.124354</v>
      </c>
      <c r="I1339" s="37" t="n">
        <v>121.866594</v>
      </c>
      <c r="J1339" s="8" t="inlineStr">
        <is>
          <t>U</t>
        </is>
      </c>
      <c r="K1339" s="36" t="inlineStr">
        <is>
          <t>Class 1-3 / Urban</t>
        </is>
      </c>
      <c r="L1339" s="18" t="n">
        <v>2714</v>
      </c>
      <c r="M1339" s="20" t="n">
        <v>4.3</v>
      </c>
      <c r="N1339" s="18">
        <f>ROUND(L1339/M1339, 0)</f>
        <v/>
      </c>
      <c r="O1339" s="18">
        <f>ROUND(N1339*'Methodology &amp; Assumptions'!$B$8, 0)</f>
        <v/>
      </c>
      <c r="P1339" s="8" t="inlineStr">
        <is>
          <t>Band n50 (1.5 GHz, 60 MHz)</t>
        </is>
      </c>
      <c r="Q1339" s="38">
        <f>ROUNDUP(O1339/'Methodology &amp; Assumptions'!$B$9, 0)</f>
        <v/>
      </c>
      <c r="R1339" s="39" t="n">
        <v>1</v>
      </c>
      <c r="S1339" s="21" t="n">
        <v>0.79</v>
      </c>
      <c r="T1339" s="21" t="n">
        <v>0.08</v>
      </c>
      <c r="U1339" s="36" t="inlineStr">
        <is>
          <t>Tier 1A (Direct Coloc, &lt;1 km)</t>
        </is>
      </c>
      <c r="V1339" s="20" t="n">
        <v>86.7</v>
      </c>
      <c r="W1339" s="20" t="n">
        <v>74.40000000000001</v>
      </c>
      <c r="X1339" s="20" t="n">
        <v>28</v>
      </c>
      <c r="Y1339" s="40">
        <f>ROUND((V1339*'Methodology &amp; Assumptions'!$B$6)+(W1339*'Methodology &amp; Assumptions'!$B$5)+(X1339*'Methodology &amp; Assumptions'!$B$7), 2)</f>
        <v/>
      </c>
    </row>
    <row r="1340" ht="19" customHeight="1">
      <c r="A1340" s="41" t="n">
        <v>336</v>
      </c>
      <c r="B1340" s="41" t="n">
        <v>4336</v>
      </c>
      <c r="C1340" s="42" t="inlineStr">
        <is>
          <t>1606808002</t>
        </is>
      </c>
      <c r="D1340" s="42" t="inlineStr">
        <is>
          <t>Region XIII (Caraga)</t>
        </is>
      </c>
      <c r="E1340" s="42" t="inlineStr">
        <is>
          <t>Surigao del Sur</t>
        </is>
      </c>
      <c r="F1340" s="42" t="inlineStr">
        <is>
          <t>Cortes</t>
        </is>
      </c>
      <c r="G1340" s="42" t="inlineStr">
        <is>
          <t>Burgos</t>
        </is>
      </c>
      <c r="H1340" s="43" t="n">
        <v>9.244260000000001</v>
      </c>
      <c r="I1340" s="43" t="n">
        <v>126.175</v>
      </c>
      <c r="J1340" s="44" t="inlineStr">
        <is>
          <t>R</t>
        </is>
      </c>
      <c r="K1340" s="42" t="inlineStr">
        <is>
          <t>4th</t>
        </is>
      </c>
      <c r="L1340" s="23" t="n">
        <v>3631</v>
      </c>
      <c r="M1340" s="24" t="n">
        <v>4.5</v>
      </c>
      <c r="N1340" s="23">
        <f>ROUND(L1340/M1340, 0)</f>
        <v/>
      </c>
      <c r="O1340" s="23">
        <f>ROUND(N1340*'Methodology &amp; Assumptions'!$B$8, 0)</f>
        <v/>
      </c>
      <c r="P1340" s="44" t="inlineStr">
        <is>
          <t>Band n50 (1.5 GHz, 60 MHz)</t>
        </is>
      </c>
      <c r="Q1340" s="38">
        <f>ROUNDUP(O1340/'Methodology &amp; Assumptions'!$B$9, 0)</f>
        <v/>
      </c>
      <c r="R1340" s="39" t="n">
        <v>1</v>
      </c>
      <c r="S1340" s="25" t="n">
        <v>18.77</v>
      </c>
      <c r="T1340" s="25" t="n">
        <v>0.45</v>
      </c>
      <c r="U1340" s="42" t="inlineStr">
        <is>
          <t>Tier 2 (Fiber Corridor / Lateral, 3-5 km)</t>
        </is>
      </c>
      <c r="V1340" s="24" t="n">
        <v>25</v>
      </c>
      <c r="W1340" s="24" t="n">
        <v>88.5</v>
      </c>
      <c r="X1340" s="24" t="n">
        <v>83.5</v>
      </c>
      <c r="Y1340" s="45">
        <f>ROUND((V1340*'Methodology &amp; Assumptions'!$B$6)+(W1340*'Methodology &amp; Assumptions'!$B$5)+(X1340*'Methodology &amp; Assumptions'!$B$7), 2)</f>
        <v/>
      </c>
    </row>
    <row r="1341" ht="19" customHeight="1">
      <c r="A1341" s="35" t="n">
        <v>337</v>
      </c>
      <c r="B1341" s="35" t="n">
        <v>4337</v>
      </c>
      <c r="C1341" s="36" t="inlineStr">
        <is>
          <t>0701201006</t>
        </is>
      </c>
      <c r="D1341" s="36" t="inlineStr">
        <is>
          <t>Region VII (Central Visayas)</t>
        </is>
      </c>
      <c r="E1341" s="36" t="inlineStr">
        <is>
          <t>Bohol</t>
        </is>
      </c>
      <c r="F1341" s="36" t="inlineStr">
        <is>
          <t>Alburquerque</t>
        </is>
      </c>
      <c r="G1341" s="36" t="inlineStr">
        <is>
          <t>Ponong</t>
        </is>
      </c>
      <c r="H1341" s="37" t="n">
        <v>9.616809</v>
      </c>
      <c r="I1341" s="37" t="n">
        <v>123.952971</v>
      </c>
      <c r="J1341" s="8" t="inlineStr">
        <is>
          <t>R</t>
        </is>
      </c>
      <c r="K1341" s="36" t="inlineStr">
        <is>
          <t>4th</t>
        </is>
      </c>
      <c r="L1341" s="18" t="n">
        <v>1263</v>
      </c>
      <c r="M1341" s="20" t="n">
        <v>4.34</v>
      </c>
      <c r="N1341" s="18">
        <f>ROUND(L1341/M1341, 0)</f>
        <v/>
      </c>
      <c r="O1341" s="18">
        <f>ROUND(N1341*'Methodology &amp; Assumptions'!$B$8, 0)</f>
        <v/>
      </c>
      <c r="P1341" s="8" t="inlineStr">
        <is>
          <t>Band n50 (1.5 GHz, 60 MHz)</t>
        </is>
      </c>
      <c r="Q1341" s="38">
        <f>ROUNDUP(O1341/'Methodology &amp; Assumptions'!$B$9, 0)</f>
        <v/>
      </c>
      <c r="R1341" s="39" t="n">
        <v>1</v>
      </c>
      <c r="S1341" s="21" t="n">
        <v>1.72</v>
      </c>
      <c r="T1341" s="21" t="n">
        <v>0.62</v>
      </c>
      <c r="U1341" s="36" t="inlineStr">
        <is>
          <t>Tier 1B (Micro Drop, 1-3 km)</t>
        </is>
      </c>
      <c r="V1341" s="20" t="n">
        <v>66.40000000000001</v>
      </c>
      <c r="W1341" s="20" t="n">
        <v>47.2</v>
      </c>
      <c r="X1341" s="20" t="n">
        <v>83.5</v>
      </c>
      <c r="Y1341" s="40">
        <f>ROUND((V1341*'Methodology &amp; Assumptions'!$B$6)+(W1341*'Methodology &amp; Assumptions'!$B$5)+(X1341*'Methodology &amp; Assumptions'!$B$7), 2)</f>
        <v/>
      </c>
    </row>
    <row r="1342" ht="19" customHeight="1">
      <c r="A1342" s="41" t="n">
        <v>338</v>
      </c>
      <c r="B1342" s="41" t="n">
        <v>4338</v>
      </c>
      <c r="C1342" s="42" t="inlineStr">
        <is>
          <t>0304914005</t>
        </is>
      </c>
      <c r="D1342" s="42" t="inlineStr">
        <is>
          <t>Region III (Central Luzon)</t>
        </is>
      </c>
      <c r="E1342" s="42" t="inlineStr">
        <is>
          <t>Nueva Ecija</t>
        </is>
      </c>
      <c r="F1342" s="42" t="inlineStr">
        <is>
          <t>Licab</t>
        </is>
      </c>
      <c r="G1342" s="42" t="inlineStr">
        <is>
          <t>San Casimiro</t>
        </is>
      </c>
      <c r="H1342" s="43" t="n">
        <v>15.552673</v>
      </c>
      <c r="I1342" s="43" t="n">
        <v>120.784237</v>
      </c>
      <c r="J1342" s="44" t="inlineStr">
        <is>
          <t>R</t>
        </is>
      </c>
      <c r="K1342" s="42" t="inlineStr">
        <is>
          <t>3rd</t>
        </is>
      </c>
      <c r="L1342" s="23" t="n">
        <v>3211</v>
      </c>
      <c r="M1342" s="24" t="n">
        <v>4.42</v>
      </c>
      <c r="N1342" s="23">
        <f>ROUND(L1342/M1342, 0)</f>
        <v/>
      </c>
      <c r="O1342" s="23">
        <f>ROUND(N1342*'Methodology &amp; Assumptions'!$B$8, 0)</f>
        <v/>
      </c>
      <c r="P1342" s="44" t="inlineStr">
        <is>
          <t>Band n50 (1.5 GHz, 60 MHz)</t>
        </is>
      </c>
      <c r="Q1342" s="38">
        <f>ROUNDUP(O1342/'Methodology &amp; Assumptions'!$B$9, 0)</f>
        <v/>
      </c>
      <c r="R1342" s="39" t="n">
        <v>1</v>
      </c>
      <c r="S1342" s="25" t="n">
        <v>2.72</v>
      </c>
      <c r="T1342" s="25" t="n">
        <v>2.6</v>
      </c>
      <c r="U1342" s="42" t="inlineStr">
        <is>
          <t>Tier 1B (Micro Drop, 1-3 km)</t>
        </is>
      </c>
      <c r="V1342" s="24" t="n">
        <v>40.4</v>
      </c>
      <c r="W1342" s="24" t="n">
        <v>82.09999999999999</v>
      </c>
      <c r="X1342" s="24" t="n">
        <v>73</v>
      </c>
      <c r="Y1342" s="45">
        <f>ROUND((V1342*'Methodology &amp; Assumptions'!$B$6)+(W1342*'Methodology &amp; Assumptions'!$B$5)+(X1342*'Methodology &amp; Assumptions'!$B$7), 2)</f>
        <v/>
      </c>
    </row>
    <row r="1343" ht="19" customHeight="1">
      <c r="A1343" s="35" t="n">
        <v>339</v>
      </c>
      <c r="B1343" s="35" t="n">
        <v>4339</v>
      </c>
      <c r="C1343" s="36" t="inlineStr">
        <is>
          <t>0401022012</t>
        </is>
      </c>
      <c r="D1343" s="36" t="inlineStr">
        <is>
          <t>Region IV-A (CALABARZON)</t>
        </is>
      </c>
      <c r="E1343" s="36" t="inlineStr">
        <is>
          <t>Batangas</t>
        </is>
      </c>
      <c r="F1343" s="36" t="inlineStr">
        <is>
          <t>San Jose</t>
        </is>
      </c>
      <c r="G1343" s="36" t="inlineStr">
        <is>
          <t>Dagatan</t>
        </is>
      </c>
      <c r="H1343" s="37" t="n">
        <v>13.85895</v>
      </c>
      <c r="I1343" s="37" t="n">
        <v>121.105511</v>
      </c>
      <c r="J1343" s="8" t="inlineStr">
        <is>
          <t>R</t>
        </is>
      </c>
      <c r="K1343" s="36" t="inlineStr">
        <is>
          <t>Class 1-3 / Urban</t>
        </is>
      </c>
      <c r="L1343" s="18" t="n">
        <v>3128</v>
      </c>
      <c r="M1343" s="20" t="n">
        <v>4.62</v>
      </c>
      <c r="N1343" s="18">
        <f>ROUND(L1343/M1343, 0)</f>
        <v/>
      </c>
      <c r="O1343" s="18">
        <f>ROUND(N1343*'Methodology &amp; Assumptions'!$B$8, 0)</f>
        <v/>
      </c>
      <c r="P1343" s="8" t="inlineStr">
        <is>
          <t>Band n50 (1.5 GHz, 60 MHz)</t>
        </is>
      </c>
      <c r="Q1343" s="38">
        <f>ROUNDUP(O1343/'Methodology &amp; Assumptions'!$B$9, 0)</f>
        <v/>
      </c>
      <c r="R1343" s="39" t="n">
        <v>1</v>
      </c>
      <c r="S1343" s="21" t="n">
        <v>2.25</v>
      </c>
      <c r="T1343" s="21" t="n">
        <v>1.11</v>
      </c>
      <c r="U1343" s="36" t="inlineStr">
        <is>
          <t>Tier 1B (Micro Drop, 1-3 km)</t>
        </is>
      </c>
      <c r="V1343" s="20" t="n">
        <v>57.3</v>
      </c>
      <c r="W1343" s="20" t="n">
        <v>78.09999999999999</v>
      </c>
      <c r="X1343" s="20" t="n">
        <v>58</v>
      </c>
      <c r="Y1343" s="40">
        <f>ROUND((V1343*'Methodology &amp; Assumptions'!$B$6)+(W1343*'Methodology &amp; Assumptions'!$B$5)+(X1343*'Methodology &amp; Assumptions'!$B$7), 2)</f>
        <v/>
      </c>
    </row>
    <row r="1344" ht="19" customHeight="1">
      <c r="A1344" s="41" t="n">
        <v>340</v>
      </c>
      <c r="B1344" s="41" t="n">
        <v>4340</v>
      </c>
      <c r="C1344" s="42" t="inlineStr">
        <is>
          <t>0501723042</t>
        </is>
      </c>
      <c r="D1344" s="42" t="inlineStr">
        <is>
          <t>Region V (Bicol Region)</t>
        </is>
      </c>
      <c r="E1344" s="42" t="inlineStr">
        <is>
          <t>Camarines Sur</t>
        </is>
      </c>
      <c r="F1344" s="42" t="inlineStr">
        <is>
          <t>Nabua</t>
        </is>
      </c>
      <c r="G1344" s="42" t="inlineStr">
        <is>
          <t>Santiago Old</t>
        </is>
      </c>
      <c r="H1344" s="43" t="n">
        <v>13.400188</v>
      </c>
      <c r="I1344" s="43" t="n">
        <v>123.362373</v>
      </c>
      <c r="J1344" s="44" t="inlineStr">
        <is>
          <t>R</t>
        </is>
      </c>
      <c r="K1344" s="42" t="inlineStr">
        <is>
          <t>Class 1-3 / Urban</t>
        </is>
      </c>
      <c r="L1344" s="23" t="n">
        <v>2286</v>
      </c>
      <c r="M1344" s="24" t="n">
        <v>4.9</v>
      </c>
      <c r="N1344" s="23">
        <f>ROUND(L1344/M1344, 0)</f>
        <v/>
      </c>
      <c r="O1344" s="23">
        <f>ROUND(N1344*'Methodology &amp; Assumptions'!$B$8, 0)</f>
        <v/>
      </c>
      <c r="P1344" s="44" t="inlineStr">
        <is>
          <t>Band n50 (1.5 GHz, 60 MHz)</t>
        </is>
      </c>
      <c r="Q1344" s="38">
        <f>ROUNDUP(O1344/'Methodology &amp; Assumptions'!$B$9, 0)</f>
        <v/>
      </c>
      <c r="R1344" s="39" t="n">
        <v>1</v>
      </c>
      <c r="S1344" s="25" t="n">
        <v>1.34</v>
      </c>
      <c r="T1344" s="25" t="n">
        <v>1.35</v>
      </c>
      <c r="U1344" s="42" t="inlineStr">
        <is>
          <t>Tier 1B (Micro Drop, 1-3 km)</t>
        </is>
      </c>
      <c r="V1344" s="24" t="n">
        <v>74.09999999999999</v>
      </c>
      <c r="W1344" s="24" t="n">
        <v>61.3</v>
      </c>
      <c r="X1344" s="24" t="n">
        <v>58</v>
      </c>
      <c r="Y1344" s="45">
        <f>ROUND((V1344*'Methodology &amp; Assumptions'!$B$6)+(W1344*'Methodology &amp; Assumptions'!$B$5)+(X1344*'Methodology &amp; Assumptions'!$B$7), 2)</f>
        <v/>
      </c>
    </row>
    <row r="1345" ht="19" customHeight="1">
      <c r="A1345" s="35" t="n">
        <v>341</v>
      </c>
      <c r="B1345" s="35" t="n">
        <v>4341</v>
      </c>
      <c r="C1345" s="36" t="inlineStr">
        <is>
          <t>0604515016</t>
        </is>
      </c>
      <c r="D1345" s="36" t="inlineStr">
        <is>
          <t>Region VI (Western Visayas)</t>
        </is>
      </c>
      <c r="E1345" s="36" t="inlineStr">
        <is>
          <t>Negros Occidental</t>
        </is>
      </c>
      <c r="F1345" s="36" t="inlineStr">
        <is>
          <t>City of Kabankalan</t>
        </is>
      </c>
      <c r="G1345" s="36" t="inlineStr">
        <is>
          <t>Barangay 5</t>
        </is>
      </c>
      <c r="H1345" s="37" t="n">
        <v>9.99184</v>
      </c>
      <c r="I1345" s="37" t="n">
        <v>122.811226</v>
      </c>
      <c r="J1345" s="8" t="inlineStr">
        <is>
          <t>U</t>
        </is>
      </c>
      <c r="K1345" s="36" t="inlineStr">
        <is>
          <t>Class 1-3 / Urban</t>
        </is>
      </c>
      <c r="L1345" s="18" t="n">
        <v>1306</v>
      </c>
      <c r="M1345" s="20" t="n">
        <v>4.33</v>
      </c>
      <c r="N1345" s="18">
        <f>ROUND(L1345/M1345, 0)</f>
        <v/>
      </c>
      <c r="O1345" s="18">
        <f>ROUND(N1345*'Methodology &amp; Assumptions'!$B$8, 0)</f>
        <v/>
      </c>
      <c r="P1345" s="8" t="inlineStr">
        <is>
          <t>Band n50 (1.5 GHz, 60 MHz)</t>
        </is>
      </c>
      <c r="Q1345" s="38">
        <f>ROUNDUP(O1345/'Methodology &amp; Assumptions'!$B$9, 0)</f>
        <v/>
      </c>
      <c r="R1345" s="39" t="n">
        <v>1</v>
      </c>
      <c r="S1345" s="21" t="n">
        <v>0.31</v>
      </c>
      <c r="T1345" s="21" t="n">
        <v>0.28</v>
      </c>
      <c r="U1345" s="36" t="inlineStr">
        <is>
          <t>Tier 1A (Direct Coloc, &lt;1 km)</t>
        </is>
      </c>
      <c r="V1345" s="20" t="n">
        <v>100</v>
      </c>
      <c r="W1345" s="20" t="n">
        <v>48.3</v>
      </c>
      <c r="X1345" s="20" t="n">
        <v>43</v>
      </c>
      <c r="Y1345" s="40">
        <f>ROUND((V1345*'Methodology &amp; Assumptions'!$B$6)+(W1345*'Methodology &amp; Assumptions'!$B$5)+(X1345*'Methodology &amp; Assumptions'!$B$7), 2)</f>
        <v/>
      </c>
    </row>
    <row r="1346" ht="19" customHeight="1">
      <c r="A1346" s="41" t="n">
        <v>342</v>
      </c>
      <c r="B1346" s="41" t="n">
        <v>4342</v>
      </c>
      <c r="C1346" s="42" t="inlineStr">
        <is>
          <t>1206312016</t>
        </is>
      </c>
      <c r="D1346" s="42" t="inlineStr">
        <is>
          <t>Region XII (SOCCSKSARGEN)</t>
        </is>
      </c>
      <c r="E1346" s="42" t="inlineStr">
        <is>
          <t>South Cotabato</t>
        </is>
      </c>
      <c r="F1346" s="42" t="inlineStr">
        <is>
          <t>Polomolok</t>
        </is>
      </c>
      <c r="G1346" s="42" t="inlineStr">
        <is>
          <t>Magsaysay</t>
        </is>
      </c>
      <c r="H1346" s="43" t="n">
        <v>6.198645</v>
      </c>
      <c r="I1346" s="43" t="n">
        <v>125.06</v>
      </c>
      <c r="J1346" s="44" t="inlineStr">
        <is>
          <t>U</t>
        </is>
      </c>
      <c r="K1346" s="42" t="inlineStr">
        <is>
          <t>Class 1-3 / Urban</t>
        </is>
      </c>
      <c r="L1346" s="23" t="n">
        <v>13953</v>
      </c>
      <c r="M1346" s="24" t="n">
        <v>4.1</v>
      </c>
      <c r="N1346" s="23">
        <f>ROUND(L1346/M1346, 0)</f>
        <v/>
      </c>
      <c r="O1346" s="23">
        <f>ROUND(N1346*'Methodology &amp; Assumptions'!$B$8, 0)</f>
        <v/>
      </c>
      <c r="P1346" s="44" t="inlineStr">
        <is>
          <t>Band n50 (1.5 GHz, 60 MHz)</t>
        </is>
      </c>
      <c r="Q1346" s="38">
        <f>ROUNDUP(O1346/'Methodology &amp; Assumptions'!$B$9, 0)</f>
        <v/>
      </c>
      <c r="R1346" s="39" t="n">
        <v>1</v>
      </c>
      <c r="S1346" s="25" t="n">
        <v>2.01</v>
      </c>
      <c r="T1346" s="25" t="n">
        <v>1.61</v>
      </c>
      <c r="U1346" s="42" t="inlineStr">
        <is>
          <t>Tier 1B (Micro Drop, 1-3 km)</t>
        </is>
      </c>
      <c r="V1346" s="24" t="n">
        <v>61.1</v>
      </c>
      <c r="W1346" s="24" t="n">
        <v>100</v>
      </c>
      <c r="X1346" s="24" t="n">
        <v>28</v>
      </c>
      <c r="Y1346" s="45">
        <f>ROUND((V1346*'Methodology &amp; Assumptions'!$B$6)+(W1346*'Methodology &amp; Assumptions'!$B$5)+(X1346*'Methodology &amp; Assumptions'!$B$7), 2)</f>
        <v/>
      </c>
    </row>
    <row r="1347" ht="19" customHeight="1">
      <c r="A1347" s="35" t="n">
        <v>343</v>
      </c>
      <c r="B1347" s="35" t="n">
        <v>4343</v>
      </c>
      <c r="C1347" s="36" t="inlineStr">
        <is>
          <t>0305412029</t>
        </is>
      </c>
      <c r="D1347" s="36" t="inlineStr">
        <is>
          <t>Region III (Central Luzon)</t>
        </is>
      </c>
      <c r="E1347" s="36" t="inlineStr">
        <is>
          <t>Pampanga</t>
        </is>
      </c>
      <c r="F1347" s="36" t="inlineStr">
        <is>
          <t>Masantol</t>
        </is>
      </c>
      <c r="G1347" s="36" t="inlineStr">
        <is>
          <t>Sto. Niño</t>
        </is>
      </c>
      <c r="H1347" s="37" t="n">
        <v>14.879796</v>
      </c>
      <c r="I1347" s="37" t="n">
        <v>120.706177</v>
      </c>
      <c r="J1347" s="8" t="inlineStr">
        <is>
          <t>U</t>
        </is>
      </c>
      <c r="K1347" s="36" t="inlineStr">
        <is>
          <t>Class 1-3 / Urban</t>
        </is>
      </c>
      <c r="L1347" s="18" t="n">
        <v>3604</v>
      </c>
      <c r="M1347" s="20" t="n">
        <v>4.63</v>
      </c>
      <c r="N1347" s="18">
        <f>ROUND(L1347/M1347, 0)</f>
        <v/>
      </c>
      <c r="O1347" s="18">
        <f>ROUND(N1347*'Methodology &amp; Assumptions'!$B$8, 0)</f>
        <v/>
      </c>
      <c r="P1347" s="8" t="inlineStr">
        <is>
          <t>Band n50 (1.5 GHz, 60 MHz)</t>
        </is>
      </c>
      <c r="Q1347" s="38">
        <f>ROUNDUP(O1347/'Methodology &amp; Assumptions'!$B$9, 0)</f>
        <v/>
      </c>
      <c r="R1347" s="39" t="n">
        <v>1</v>
      </c>
      <c r="S1347" s="21" t="n">
        <v>1.29</v>
      </c>
      <c r="T1347" s="21" t="n">
        <v>1.79</v>
      </c>
      <c r="U1347" s="36" t="inlineStr">
        <is>
          <t>Tier 1B (Micro Drop, 1-3 km)</t>
        </is>
      </c>
      <c r="V1347" s="20" t="n">
        <v>75</v>
      </c>
      <c r="W1347" s="20" t="n">
        <v>86.09999999999999</v>
      </c>
      <c r="X1347" s="20" t="n">
        <v>28</v>
      </c>
      <c r="Y1347" s="40">
        <f>ROUND((V1347*'Methodology &amp; Assumptions'!$B$6)+(W1347*'Methodology &amp; Assumptions'!$B$5)+(X1347*'Methodology &amp; Assumptions'!$B$7), 2)</f>
        <v/>
      </c>
    </row>
    <row r="1348" ht="19" customHeight="1">
      <c r="A1348" s="41" t="n">
        <v>344</v>
      </c>
      <c r="B1348" s="41" t="n">
        <v>4344</v>
      </c>
      <c r="C1348" s="42" t="inlineStr">
        <is>
          <t>0305407022</t>
        </is>
      </c>
      <c r="D1348" s="42" t="inlineStr">
        <is>
          <t>Region III (Central Luzon)</t>
        </is>
      </c>
      <c r="E1348" s="42" t="inlineStr">
        <is>
          <t>Pampanga</t>
        </is>
      </c>
      <c r="F1348" s="42" t="inlineStr">
        <is>
          <t>Guagua</t>
        </is>
      </c>
      <c r="G1348" s="42" t="inlineStr">
        <is>
          <t>San Pablo</t>
        </is>
      </c>
      <c r="H1348" s="43" t="n">
        <v>14.968673</v>
      </c>
      <c r="I1348" s="43" t="n">
        <v>120.62123</v>
      </c>
      <c r="J1348" s="44" t="inlineStr">
        <is>
          <t>U</t>
        </is>
      </c>
      <c r="K1348" s="42" t="inlineStr">
        <is>
          <t>Class 1-3 / Urban</t>
        </is>
      </c>
      <c r="L1348" s="23" t="n">
        <v>3209</v>
      </c>
      <c r="M1348" s="24" t="n">
        <v>4.63</v>
      </c>
      <c r="N1348" s="23">
        <f>ROUND(L1348/M1348, 0)</f>
        <v/>
      </c>
      <c r="O1348" s="23">
        <f>ROUND(N1348*'Methodology &amp; Assumptions'!$B$8, 0)</f>
        <v/>
      </c>
      <c r="P1348" s="44" t="inlineStr">
        <is>
          <t>Band n50 (1.5 GHz, 60 MHz)</t>
        </is>
      </c>
      <c r="Q1348" s="38">
        <f>ROUNDUP(O1348/'Methodology &amp; Assumptions'!$B$9, 0)</f>
        <v/>
      </c>
      <c r="R1348" s="39" t="n">
        <v>1</v>
      </c>
      <c r="S1348" s="25" t="n">
        <v>1</v>
      </c>
      <c r="T1348" s="25" t="n">
        <v>0.19</v>
      </c>
      <c r="U1348" s="42" t="inlineStr">
        <is>
          <t>Tier 1B (Micro Drop, 1-3 km)</t>
        </is>
      </c>
      <c r="V1348" s="24" t="n">
        <v>81.59999999999999</v>
      </c>
      <c r="W1348" s="24" t="n">
        <v>79.5</v>
      </c>
      <c r="X1348" s="24" t="n">
        <v>28</v>
      </c>
      <c r="Y1348" s="45">
        <f>ROUND((V1348*'Methodology &amp; Assumptions'!$B$6)+(W1348*'Methodology &amp; Assumptions'!$B$5)+(X1348*'Methodology &amp; Assumptions'!$B$7), 2)</f>
        <v/>
      </c>
    </row>
    <row r="1349" ht="19" customHeight="1">
      <c r="A1349" s="35" t="n">
        <v>345</v>
      </c>
      <c r="B1349" s="35" t="n">
        <v>4345</v>
      </c>
      <c r="C1349" s="36" t="inlineStr">
        <is>
          <t>0603032001</t>
        </is>
      </c>
      <c r="D1349" s="36" t="inlineStr">
        <is>
          <t>Region VI (Western Visayas)</t>
        </is>
      </c>
      <c r="E1349" s="36" t="inlineStr">
        <is>
          <t>Iloilo</t>
        </is>
      </c>
      <c r="F1349" s="36" t="inlineStr">
        <is>
          <t>New Lucena</t>
        </is>
      </c>
      <c r="G1349" s="36" t="inlineStr">
        <is>
          <t>Baclayan</t>
        </is>
      </c>
      <c r="H1349" s="37" t="n">
        <v>10.870606</v>
      </c>
      <c r="I1349" s="37" t="n">
        <v>122.58883</v>
      </c>
      <c r="J1349" s="8" t="inlineStr">
        <is>
          <t>R</t>
        </is>
      </c>
      <c r="K1349" s="36" t="inlineStr">
        <is>
          <t>4th</t>
        </is>
      </c>
      <c r="L1349" s="18" t="n">
        <v>2246</v>
      </c>
      <c r="M1349" s="20" t="n">
        <v>4.64</v>
      </c>
      <c r="N1349" s="18">
        <f>ROUND(L1349/M1349, 0)</f>
        <v/>
      </c>
      <c r="O1349" s="18">
        <f>ROUND(N1349*'Methodology &amp; Assumptions'!$B$8, 0)</f>
        <v/>
      </c>
      <c r="P1349" s="8" t="inlineStr">
        <is>
          <t>Band n50 (1.5 GHz, 60 MHz)</t>
        </is>
      </c>
      <c r="Q1349" s="38">
        <f>ROUNDUP(O1349/'Methodology &amp; Assumptions'!$B$9, 0)</f>
        <v/>
      </c>
      <c r="R1349" s="39" t="n">
        <v>1</v>
      </c>
      <c r="S1349" s="21" t="n">
        <v>1.35</v>
      </c>
      <c r="T1349" s="21" t="n">
        <v>2.44</v>
      </c>
      <c r="U1349" s="36" t="inlineStr">
        <is>
          <t>Tier 1B (Micro Drop, 1-3 km)</t>
        </is>
      </c>
      <c r="V1349" s="20" t="n">
        <v>63.7</v>
      </c>
      <c r="W1349" s="20" t="n">
        <v>62.7</v>
      </c>
      <c r="X1349" s="20" t="n">
        <v>68.5</v>
      </c>
      <c r="Y1349" s="40">
        <f>ROUND((V1349*'Methodology &amp; Assumptions'!$B$6)+(W1349*'Methodology &amp; Assumptions'!$B$5)+(X1349*'Methodology &amp; Assumptions'!$B$7), 2)</f>
        <v/>
      </c>
    </row>
    <row r="1350" ht="19" customHeight="1">
      <c r="A1350" s="41" t="n">
        <v>346</v>
      </c>
      <c r="B1350" s="41" t="n">
        <v>4346</v>
      </c>
      <c r="C1350" s="42" t="inlineStr">
        <is>
          <t>0105533018</t>
        </is>
      </c>
      <c r="D1350" s="42" t="inlineStr">
        <is>
          <t>Region I (Ilocos Region)</t>
        </is>
      </c>
      <c r="E1350" s="42" t="inlineStr">
        <is>
          <t>Pangasinan</t>
        </is>
      </c>
      <c r="F1350" s="42" t="inlineStr">
        <is>
          <t>San Fabian</t>
        </is>
      </c>
      <c r="G1350" s="42" t="inlineStr">
        <is>
          <t>Nibaliw Magliba</t>
        </is>
      </c>
      <c r="H1350" s="43" t="n">
        <v>16.1236</v>
      </c>
      <c r="I1350" s="43" t="n">
        <v>120.3926</v>
      </c>
      <c r="J1350" s="44" t="inlineStr">
        <is>
          <t>R</t>
        </is>
      </c>
      <c r="K1350" s="42" t="inlineStr">
        <is>
          <t>Class 1-3 / Urban</t>
        </is>
      </c>
      <c r="L1350" s="23" t="n">
        <v>1765</v>
      </c>
      <c r="M1350" s="24" t="n">
        <v>4.39</v>
      </c>
      <c r="N1350" s="23">
        <f>ROUND(L1350/M1350, 0)</f>
        <v/>
      </c>
      <c r="O1350" s="23">
        <f>ROUND(N1350*'Methodology &amp; Assumptions'!$B$8, 0)</f>
        <v/>
      </c>
      <c r="P1350" s="44" t="inlineStr">
        <is>
          <t>Band n50 (1.5 GHz, 60 MHz)</t>
        </is>
      </c>
      <c r="Q1350" s="38">
        <f>ROUNDUP(O1350/'Methodology &amp; Assumptions'!$B$9, 0)</f>
        <v/>
      </c>
      <c r="R1350" s="39" t="n">
        <v>1</v>
      </c>
      <c r="S1350" s="25" t="n">
        <v>1.11</v>
      </c>
      <c r="T1350" s="25" t="n">
        <v>1.02</v>
      </c>
      <c r="U1350" s="42" t="inlineStr">
        <is>
          <t>Tier 1B (Micro Drop, 1-3 km)</t>
        </is>
      </c>
      <c r="V1350" s="24" t="n">
        <v>79.09999999999999</v>
      </c>
      <c r="W1350" s="24" t="n">
        <v>56.3</v>
      </c>
      <c r="X1350" s="24" t="n">
        <v>58</v>
      </c>
      <c r="Y1350" s="45">
        <f>ROUND((V1350*'Methodology &amp; Assumptions'!$B$6)+(W1350*'Methodology &amp; Assumptions'!$B$5)+(X1350*'Methodology &amp; Assumptions'!$B$7), 2)</f>
        <v/>
      </c>
    </row>
    <row r="1351" ht="19" customHeight="1">
      <c r="A1351" s="35" t="n">
        <v>347</v>
      </c>
      <c r="B1351" s="35" t="n">
        <v>4347</v>
      </c>
      <c r="C1351" s="36" t="inlineStr">
        <is>
          <t>1705210010</t>
        </is>
      </c>
      <c r="D1351" s="36" t="inlineStr">
        <is>
          <t>MIMAROPA Region</t>
        </is>
      </c>
      <c r="E1351" s="36" t="inlineStr">
        <is>
          <t>Oriental Mindoro</t>
        </is>
      </c>
      <c r="F1351" s="36" t="inlineStr">
        <is>
          <t>Pola</t>
        </is>
      </c>
      <c r="G1351" s="36" t="inlineStr">
        <is>
          <t>Casiligan</t>
        </is>
      </c>
      <c r="H1351" s="37" t="n">
        <v>13.114027</v>
      </c>
      <c r="I1351" s="37" t="n">
        <v>121.422822</v>
      </c>
      <c r="J1351" s="8" t="inlineStr">
        <is>
          <t>R</t>
        </is>
      </c>
      <c r="K1351" s="36" t="inlineStr">
        <is>
          <t>Class 1-3 / Urban</t>
        </is>
      </c>
      <c r="L1351" s="18" t="n">
        <v>1743</v>
      </c>
      <c r="M1351" s="20" t="n">
        <v>4.41</v>
      </c>
      <c r="N1351" s="18">
        <f>ROUND(L1351/M1351, 0)</f>
        <v/>
      </c>
      <c r="O1351" s="18">
        <f>ROUND(N1351*'Methodology &amp; Assumptions'!$B$8, 0)</f>
        <v/>
      </c>
      <c r="P1351" s="8" t="inlineStr">
        <is>
          <t>Band n50 (1.5 GHz, 60 MHz)</t>
        </is>
      </c>
      <c r="Q1351" s="38">
        <f>ROUNDUP(O1351/'Methodology &amp; Assumptions'!$B$9, 0)</f>
        <v/>
      </c>
      <c r="R1351" s="39" t="n">
        <v>1</v>
      </c>
      <c r="S1351" s="21" t="n">
        <v>0.53</v>
      </c>
      <c r="T1351" s="21" t="n">
        <v>6.07</v>
      </c>
      <c r="U1351" s="36" t="inlineStr">
        <is>
          <t>Tier 1A (Direct Coloc, &lt;1 km)</t>
        </is>
      </c>
      <c r="V1351" s="20" t="n">
        <v>83.90000000000001</v>
      </c>
      <c r="W1351" s="20" t="n">
        <v>51.5</v>
      </c>
      <c r="X1351" s="20" t="n">
        <v>58</v>
      </c>
      <c r="Y1351" s="40">
        <f>ROUND((V1351*'Methodology &amp; Assumptions'!$B$6)+(W1351*'Methodology &amp; Assumptions'!$B$5)+(X1351*'Methodology &amp; Assumptions'!$B$7), 2)</f>
        <v/>
      </c>
    </row>
    <row r="1352" ht="19" customHeight="1">
      <c r="A1352" s="41" t="n">
        <v>348</v>
      </c>
      <c r="B1352" s="41" t="n">
        <v>4348</v>
      </c>
      <c r="C1352" s="42" t="inlineStr">
        <is>
          <t>0501718012</t>
        </is>
      </c>
      <c r="D1352" s="42" t="inlineStr">
        <is>
          <t>Region V (Bicol Region)</t>
        </is>
      </c>
      <c r="E1352" s="42" t="inlineStr">
        <is>
          <t>Camarines Sur</t>
        </is>
      </c>
      <c r="F1352" s="42" t="inlineStr">
        <is>
          <t>Libmanan</t>
        </is>
      </c>
      <c r="G1352" s="42" t="inlineStr">
        <is>
          <t>Begajo Norte</t>
        </is>
      </c>
      <c r="H1352" s="43" t="n">
        <v>13.698928</v>
      </c>
      <c r="I1352" s="43" t="n">
        <v>123.063945</v>
      </c>
      <c r="J1352" s="44" t="inlineStr">
        <is>
          <t>R</t>
        </is>
      </c>
      <c r="K1352" s="42" t="inlineStr">
        <is>
          <t>Class 1-3 / Urban</t>
        </is>
      </c>
      <c r="L1352" s="23" t="n">
        <v>1671</v>
      </c>
      <c r="M1352" s="24" t="n">
        <v>4.9</v>
      </c>
      <c r="N1352" s="23">
        <f>ROUND(L1352/M1352, 0)</f>
        <v/>
      </c>
      <c r="O1352" s="23">
        <f>ROUND(N1352*'Methodology &amp; Assumptions'!$B$8, 0)</f>
        <v/>
      </c>
      <c r="P1352" s="44" t="inlineStr">
        <is>
          <t>Band n50 (1.5 GHz, 60 MHz)</t>
        </is>
      </c>
      <c r="Q1352" s="38">
        <f>ROUNDUP(O1352/'Methodology &amp; Assumptions'!$B$9, 0)</f>
        <v/>
      </c>
      <c r="R1352" s="39" t="n">
        <v>1</v>
      </c>
      <c r="S1352" s="25" t="n">
        <v>0.52</v>
      </c>
      <c r="T1352" s="25" t="n">
        <v>7.44</v>
      </c>
      <c r="U1352" s="42" t="inlineStr">
        <is>
          <t>Tier 1A (Direct Coloc, &lt;1 km)</t>
        </is>
      </c>
      <c r="V1352" s="24" t="n">
        <v>84.2</v>
      </c>
      <c r="W1352" s="24" t="n">
        <v>51.2</v>
      </c>
      <c r="X1352" s="24" t="n">
        <v>58</v>
      </c>
      <c r="Y1352" s="45">
        <f>ROUND((V1352*'Methodology &amp; Assumptions'!$B$6)+(W1352*'Methodology &amp; Assumptions'!$B$5)+(X1352*'Methodology &amp; Assumptions'!$B$7), 2)</f>
        <v/>
      </c>
    </row>
    <row r="1353" ht="19" customHeight="1">
      <c r="A1353" s="35" t="n">
        <v>349</v>
      </c>
      <c r="B1353" s="35" t="n">
        <v>4349</v>
      </c>
      <c r="C1353" s="36" t="inlineStr">
        <is>
          <t>0401014062</t>
        </is>
      </c>
      <c r="D1353" s="36" t="inlineStr">
        <is>
          <t>Region IV-A (CALABARZON)</t>
        </is>
      </c>
      <c r="E1353" s="36" t="inlineStr">
        <is>
          <t>Batangas</t>
        </is>
      </c>
      <c r="F1353" s="36" t="inlineStr">
        <is>
          <t>City of Lipa</t>
        </is>
      </c>
      <c r="G1353" s="36" t="inlineStr">
        <is>
          <t>San Lucas</t>
        </is>
      </c>
      <c r="H1353" s="37" t="n">
        <v>14.018117</v>
      </c>
      <c r="I1353" s="37" t="n">
        <v>121.181061</v>
      </c>
      <c r="J1353" s="8" t="inlineStr">
        <is>
          <t>U</t>
        </is>
      </c>
      <c r="K1353" s="36" t="inlineStr">
        <is>
          <t>Class 1-3 / Urban</t>
        </is>
      </c>
      <c r="L1353" s="18" t="n">
        <v>4233</v>
      </c>
      <c r="M1353" s="20" t="n">
        <v>4.62</v>
      </c>
      <c r="N1353" s="18">
        <f>ROUND(L1353/M1353, 0)</f>
        <v/>
      </c>
      <c r="O1353" s="18">
        <f>ROUND(N1353*'Methodology &amp; Assumptions'!$B$8, 0)</f>
        <v/>
      </c>
      <c r="P1353" s="8" t="inlineStr">
        <is>
          <t>Band n50 (1.5 GHz, 60 MHz)</t>
        </is>
      </c>
      <c r="Q1353" s="38">
        <f>ROUNDUP(O1353/'Methodology &amp; Assumptions'!$B$9, 0)</f>
        <v/>
      </c>
      <c r="R1353" s="39" t="n">
        <v>1</v>
      </c>
      <c r="S1353" s="21" t="n">
        <v>1.86</v>
      </c>
      <c r="T1353" s="21" t="n">
        <v>0.47</v>
      </c>
      <c r="U1353" s="36" t="inlineStr">
        <is>
          <t>Tier 1B (Micro Drop, 1-3 km)</t>
        </is>
      </c>
      <c r="V1353" s="20" t="n">
        <v>63.7</v>
      </c>
      <c r="W1353" s="20" t="n">
        <v>97.3</v>
      </c>
      <c r="X1353" s="20" t="n">
        <v>28</v>
      </c>
      <c r="Y1353" s="40">
        <f>ROUND((V1353*'Methodology &amp; Assumptions'!$B$6)+(W1353*'Methodology &amp; Assumptions'!$B$5)+(X1353*'Methodology &amp; Assumptions'!$B$7), 2)</f>
        <v/>
      </c>
    </row>
    <row r="1354" ht="19" customHeight="1">
      <c r="A1354" s="41" t="n">
        <v>350</v>
      </c>
      <c r="B1354" s="41" t="n">
        <v>4350</v>
      </c>
      <c r="C1354" s="42" t="inlineStr">
        <is>
          <t>0601912019</t>
        </is>
      </c>
      <c r="D1354" s="42" t="inlineStr">
        <is>
          <t>Region VI (Western Visayas)</t>
        </is>
      </c>
      <c r="E1354" s="42" t="inlineStr">
        <is>
          <t>Capiz</t>
        </is>
      </c>
      <c r="F1354" s="42" t="inlineStr">
        <is>
          <t>Pontevedra</t>
        </is>
      </c>
      <c r="G1354" s="42" t="inlineStr">
        <is>
          <t>Ilawod</t>
        </is>
      </c>
      <c r="H1354" s="43" t="n">
        <v>11.48158</v>
      </c>
      <c r="I1354" s="43" t="n">
        <v>122.836407</v>
      </c>
      <c r="J1354" s="44" t="inlineStr">
        <is>
          <t>U</t>
        </is>
      </c>
      <c r="K1354" s="42" t="inlineStr">
        <is>
          <t>Class 1-3 / Urban</t>
        </is>
      </c>
      <c r="L1354" s="23" t="n">
        <v>2214</v>
      </c>
      <c r="M1354" s="24" t="n">
        <v>4.2</v>
      </c>
      <c r="N1354" s="23">
        <f>ROUND(L1354/M1354, 0)</f>
        <v/>
      </c>
      <c r="O1354" s="23">
        <f>ROUND(N1354*'Methodology &amp; Assumptions'!$B$8, 0)</f>
        <v/>
      </c>
      <c r="P1354" s="44" t="inlineStr">
        <is>
          <t>Band n50 (1.5 GHz, 60 MHz)</t>
        </is>
      </c>
      <c r="Q1354" s="38">
        <f>ROUNDUP(O1354/'Methodology &amp; Assumptions'!$B$9, 0)</f>
        <v/>
      </c>
      <c r="R1354" s="39" t="n">
        <v>1</v>
      </c>
      <c r="S1354" s="25" t="n">
        <v>0.49</v>
      </c>
      <c r="T1354" s="25" t="n">
        <v>0.24</v>
      </c>
      <c r="U1354" s="42" t="inlineStr">
        <is>
          <t>Tier 1A (Direct Coloc, &lt;1 km)</t>
        </is>
      </c>
      <c r="V1354" s="24" t="n">
        <v>94.90000000000001</v>
      </c>
      <c r="W1354" s="24" t="n">
        <v>66.09999999999999</v>
      </c>
      <c r="X1354" s="24" t="n">
        <v>28</v>
      </c>
      <c r="Y1354" s="45">
        <f>ROUND((V1354*'Methodology &amp; Assumptions'!$B$6)+(W1354*'Methodology &amp; Assumptions'!$B$5)+(X1354*'Methodology &amp; Assumptions'!$B$7), 2)</f>
        <v/>
      </c>
    </row>
    <row r="1355" ht="19" customHeight="1">
      <c r="A1355" s="35" t="n">
        <v>351</v>
      </c>
      <c r="B1355" s="35" t="n">
        <v>4351</v>
      </c>
      <c r="C1355" s="36" t="inlineStr">
        <is>
          <t>0401022005</t>
        </is>
      </c>
      <c r="D1355" s="36" t="inlineStr">
        <is>
          <t>Region IV-A (CALABARZON)</t>
        </is>
      </c>
      <c r="E1355" s="36" t="inlineStr">
        <is>
          <t>Batangas</t>
        </is>
      </c>
      <c r="F1355" s="36" t="inlineStr">
        <is>
          <t>San Jose</t>
        </is>
      </c>
      <c r="G1355" s="36" t="inlineStr">
        <is>
          <t>Balagtasin</t>
        </is>
      </c>
      <c r="H1355" s="37" t="n">
        <v>13.899702</v>
      </c>
      <c r="I1355" s="37" t="n">
        <v>121.087905</v>
      </c>
      <c r="J1355" s="8" t="inlineStr">
        <is>
          <t>R</t>
        </is>
      </c>
      <c r="K1355" s="36" t="inlineStr">
        <is>
          <t>Class 1-3 / Urban</t>
        </is>
      </c>
      <c r="L1355" s="18" t="n">
        <v>3687</v>
      </c>
      <c r="M1355" s="20" t="n">
        <v>4.62</v>
      </c>
      <c r="N1355" s="18">
        <f>ROUND(L1355/M1355, 0)</f>
        <v/>
      </c>
      <c r="O1355" s="18">
        <f>ROUND(N1355*'Methodology &amp; Assumptions'!$B$8, 0)</f>
        <v/>
      </c>
      <c r="P1355" s="8" t="inlineStr">
        <is>
          <t>Band n50 (1.5 GHz, 60 MHz)</t>
        </is>
      </c>
      <c r="Q1355" s="38">
        <f>ROUNDUP(O1355/'Methodology &amp; Assumptions'!$B$9, 0)</f>
        <v/>
      </c>
      <c r="R1355" s="39" t="n">
        <v>1</v>
      </c>
      <c r="S1355" s="21" t="n">
        <v>2.93</v>
      </c>
      <c r="T1355" s="21" t="n">
        <v>1.79</v>
      </c>
      <c r="U1355" s="36" t="inlineStr">
        <is>
          <t>Tier 1B (Micro Drop, 1-3 km)</t>
        </is>
      </c>
      <c r="V1355" s="20" t="n">
        <v>47.6</v>
      </c>
      <c r="W1355" s="20" t="n">
        <v>87.7</v>
      </c>
      <c r="X1355" s="20" t="n">
        <v>58</v>
      </c>
      <c r="Y1355" s="40">
        <f>ROUND((V1355*'Methodology &amp; Assumptions'!$B$6)+(W1355*'Methodology &amp; Assumptions'!$B$5)+(X1355*'Methodology &amp; Assumptions'!$B$7), 2)</f>
        <v/>
      </c>
    </row>
    <row r="1356" ht="19" customHeight="1">
      <c r="A1356" s="41" t="n">
        <v>352</v>
      </c>
      <c r="B1356" s="41" t="n">
        <v>4352</v>
      </c>
      <c r="C1356" s="42" t="inlineStr">
        <is>
          <t>0105531031</t>
        </is>
      </c>
      <c r="D1356" s="42" t="inlineStr">
        <is>
          <t>Region I (Ilocos Region)</t>
        </is>
      </c>
      <c r="E1356" s="42" t="inlineStr">
        <is>
          <t>Pangasinan</t>
        </is>
      </c>
      <c r="F1356" s="42" t="inlineStr">
        <is>
          <t>Rosales</t>
        </is>
      </c>
      <c r="G1356" s="42" t="inlineStr">
        <is>
          <t>Tomana East</t>
        </is>
      </c>
      <c r="H1356" s="43" t="n">
        <v>15.8982</v>
      </c>
      <c r="I1356" s="43" t="n">
        <v>120.6249</v>
      </c>
      <c r="J1356" s="44" t="inlineStr">
        <is>
          <t>R</t>
        </is>
      </c>
      <c r="K1356" s="42" t="inlineStr">
        <is>
          <t>Class 1-3 / Urban</t>
        </is>
      </c>
      <c r="L1356" s="23" t="n">
        <v>1204</v>
      </c>
      <c r="M1356" s="24" t="n">
        <v>4.39</v>
      </c>
      <c r="N1356" s="23">
        <f>ROUND(L1356/M1356, 0)</f>
        <v/>
      </c>
      <c r="O1356" s="23">
        <f>ROUND(N1356*'Methodology &amp; Assumptions'!$B$8, 0)</f>
        <v/>
      </c>
      <c r="P1356" s="44" t="inlineStr">
        <is>
          <t>Band n50 (1.5 GHz, 60 MHz)</t>
        </is>
      </c>
      <c r="Q1356" s="38">
        <f>ROUNDUP(O1356/'Methodology &amp; Assumptions'!$B$9, 0)</f>
        <v/>
      </c>
      <c r="R1356" s="39" t="n">
        <v>1</v>
      </c>
      <c r="S1356" s="25" t="n">
        <v>0.6899999999999999</v>
      </c>
      <c r="T1356" s="25" t="n">
        <v>0.27</v>
      </c>
      <c r="U1356" s="42" t="inlineStr">
        <is>
          <t>Tier 1A (Direct Coloc, &lt;1 km)</t>
        </is>
      </c>
      <c r="V1356" s="24" t="n">
        <v>89.5</v>
      </c>
      <c r="W1356" s="24" t="n">
        <v>45.9</v>
      </c>
      <c r="X1356" s="24" t="n">
        <v>58</v>
      </c>
      <c r="Y1356" s="45">
        <f>ROUND((V1356*'Methodology &amp; Assumptions'!$B$6)+(W1356*'Methodology &amp; Assumptions'!$B$5)+(X1356*'Methodology &amp; Assumptions'!$B$7), 2)</f>
        <v/>
      </c>
    </row>
    <row r="1357" ht="19" customHeight="1">
      <c r="A1357" s="35" t="n">
        <v>353</v>
      </c>
      <c r="B1357" s="35" t="n">
        <v>4353</v>
      </c>
      <c r="C1357" s="36" t="inlineStr">
        <is>
          <t>0203135035</t>
        </is>
      </c>
      <c r="D1357" s="36" t="inlineStr">
        <is>
          <t>Region II (Cagayan Valley)</t>
        </is>
      </c>
      <c r="E1357" s="36" t="inlineStr">
        <is>
          <t>Isabela</t>
        </is>
      </c>
      <c r="F1357" s="36" t="inlineStr">
        <is>
          <t>City of Santiago</t>
        </is>
      </c>
      <c r="G1357" s="36" t="inlineStr">
        <is>
          <t>Victory Norte</t>
        </is>
      </c>
      <c r="H1357" s="37" t="n">
        <v>16.685794</v>
      </c>
      <c r="I1357" s="37" t="n">
        <v>121.545114</v>
      </c>
      <c r="J1357" s="8" t="inlineStr">
        <is>
          <t>U</t>
        </is>
      </c>
      <c r="K1357" s="36" t="inlineStr">
        <is>
          <t>Class 1-3 / Urban</t>
        </is>
      </c>
      <c r="L1357" s="18" t="n">
        <v>4250</v>
      </c>
      <c r="M1357" s="20" t="n">
        <v>4.3</v>
      </c>
      <c r="N1357" s="18">
        <f>ROUND(L1357/M1357, 0)</f>
        <v/>
      </c>
      <c r="O1357" s="18">
        <f>ROUND(N1357*'Methodology &amp; Assumptions'!$B$8, 0)</f>
        <v/>
      </c>
      <c r="P1357" s="8" t="inlineStr">
        <is>
          <t>Band n50 (1.5 GHz, 60 MHz)</t>
        </is>
      </c>
      <c r="Q1357" s="38">
        <f>ROUNDUP(O1357/'Methodology &amp; Assumptions'!$B$9, 0)</f>
        <v/>
      </c>
      <c r="R1357" s="39" t="n">
        <v>1</v>
      </c>
      <c r="S1357" s="21" t="n">
        <v>2.02</v>
      </c>
      <c r="T1357" s="21" t="n">
        <v>0.37</v>
      </c>
      <c r="U1357" s="36" t="inlineStr">
        <is>
          <t>Tier 1B (Micro Drop, 1-3 km)</t>
        </is>
      </c>
      <c r="V1357" s="20" t="n">
        <v>61.1</v>
      </c>
      <c r="W1357" s="20" t="n">
        <v>100</v>
      </c>
      <c r="X1357" s="20" t="n">
        <v>28</v>
      </c>
      <c r="Y1357" s="40">
        <f>ROUND((V1357*'Methodology &amp; Assumptions'!$B$6)+(W1357*'Methodology &amp; Assumptions'!$B$5)+(X1357*'Methodology &amp; Assumptions'!$B$7), 2)</f>
        <v/>
      </c>
    </row>
    <row r="1358" ht="19" customHeight="1">
      <c r="A1358" s="41" t="n">
        <v>354</v>
      </c>
      <c r="B1358" s="41" t="n">
        <v>4354</v>
      </c>
      <c r="C1358" s="42" t="inlineStr">
        <is>
          <t>0403419013</t>
        </is>
      </c>
      <c r="D1358" s="42" t="inlineStr">
        <is>
          <t>Region IV-A (CALABARZON)</t>
        </is>
      </c>
      <c r="E1358" s="42" t="inlineStr">
        <is>
          <t>Laguna</t>
        </is>
      </c>
      <c r="F1358" s="42" t="inlineStr">
        <is>
          <t>Pagsanjan</t>
        </is>
      </c>
      <c r="G1358" s="42" t="inlineStr">
        <is>
          <t>Barangay II</t>
        </is>
      </c>
      <c r="H1358" s="43" t="n">
        <v>14.274027</v>
      </c>
      <c r="I1358" s="43" t="n">
        <v>121.45181</v>
      </c>
      <c r="J1358" s="44" t="inlineStr">
        <is>
          <t>U</t>
        </is>
      </c>
      <c r="K1358" s="42" t="inlineStr">
        <is>
          <t>Class 1-3 / Urban</t>
        </is>
      </c>
      <c r="L1358" s="23" t="n">
        <v>1941</v>
      </c>
      <c r="M1358" s="24" t="n">
        <v>4.2</v>
      </c>
      <c r="N1358" s="23">
        <f>ROUND(L1358/M1358, 0)</f>
        <v/>
      </c>
      <c r="O1358" s="23">
        <f>ROUND(N1358*'Methodology &amp; Assumptions'!$B$8, 0)</f>
        <v/>
      </c>
      <c r="P1358" s="44" t="inlineStr">
        <is>
          <t>Band n50 (1.5 GHz, 60 MHz)</t>
        </is>
      </c>
      <c r="Q1358" s="38">
        <f>ROUNDUP(O1358/'Methodology &amp; Assumptions'!$B$9, 0)</f>
        <v/>
      </c>
      <c r="R1358" s="39" t="n">
        <v>1</v>
      </c>
      <c r="S1358" s="25" t="n">
        <v>0.17</v>
      </c>
      <c r="T1358" s="25" t="n">
        <v>0.1</v>
      </c>
      <c r="U1358" s="42" t="inlineStr">
        <is>
          <t>Tier 1A (Direct Coloc, &lt;1 km)</t>
        </is>
      </c>
      <c r="V1358" s="24" t="n">
        <v>100</v>
      </c>
      <c r="W1358" s="24" t="n">
        <v>61.1</v>
      </c>
      <c r="X1358" s="24" t="n">
        <v>28</v>
      </c>
      <c r="Y1358" s="45">
        <f>ROUND((V1358*'Methodology &amp; Assumptions'!$B$6)+(W1358*'Methodology &amp; Assumptions'!$B$5)+(X1358*'Methodology &amp; Assumptions'!$B$7), 2)</f>
        <v/>
      </c>
    </row>
    <row r="1359" ht="19" customHeight="1">
      <c r="A1359" s="35" t="n">
        <v>355</v>
      </c>
      <c r="B1359" s="35" t="n">
        <v>4355</v>
      </c>
      <c r="C1359" s="36" t="inlineStr">
        <is>
          <t>0105513006</t>
        </is>
      </c>
      <c r="D1359" s="36" t="inlineStr">
        <is>
          <t>Region I (Ilocos Region)</t>
        </is>
      </c>
      <c r="E1359" s="36" t="inlineStr">
        <is>
          <t>Pangasinan</t>
        </is>
      </c>
      <c r="F1359" s="36" t="inlineStr">
        <is>
          <t>Binmaley</t>
        </is>
      </c>
      <c r="G1359" s="36" t="inlineStr">
        <is>
          <t>Baybay Polong</t>
        </is>
      </c>
      <c r="H1359" s="37" t="n">
        <v>16.03051</v>
      </c>
      <c r="I1359" s="37" t="n">
        <v>120.262599</v>
      </c>
      <c r="J1359" s="8" t="inlineStr">
        <is>
          <t>R</t>
        </is>
      </c>
      <c r="K1359" s="36" t="inlineStr">
        <is>
          <t>Class 1-3 / Urban</t>
        </is>
      </c>
      <c r="L1359" s="18" t="n">
        <v>3035</v>
      </c>
      <c r="M1359" s="20" t="n">
        <v>4.39</v>
      </c>
      <c r="N1359" s="18">
        <f>ROUND(L1359/M1359, 0)</f>
        <v/>
      </c>
      <c r="O1359" s="18">
        <f>ROUND(N1359*'Methodology &amp; Assumptions'!$B$8, 0)</f>
        <v/>
      </c>
      <c r="P1359" s="8" t="inlineStr">
        <is>
          <t>Band n50 (1.5 GHz, 60 MHz)</t>
        </is>
      </c>
      <c r="Q1359" s="38">
        <f>ROUNDUP(O1359/'Methodology &amp; Assumptions'!$B$9, 0)</f>
        <v/>
      </c>
      <c r="R1359" s="39" t="n">
        <v>1</v>
      </c>
      <c r="S1359" s="21" t="n">
        <v>3.3</v>
      </c>
      <c r="T1359" s="21" t="n">
        <v>0.3</v>
      </c>
      <c r="U1359" s="36" t="inlineStr">
        <is>
          <t>Tier 2 (Fiber Corridor / Lateral, 3-5 km)</t>
        </is>
      </c>
      <c r="V1359" s="20" t="n">
        <v>43.3</v>
      </c>
      <c r="W1359" s="20" t="n">
        <v>79.2</v>
      </c>
      <c r="X1359" s="20" t="n">
        <v>73</v>
      </c>
      <c r="Y1359" s="40">
        <f>ROUND((V1359*'Methodology &amp; Assumptions'!$B$6)+(W1359*'Methodology &amp; Assumptions'!$B$5)+(X1359*'Methodology &amp; Assumptions'!$B$7), 2)</f>
        <v/>
      </c>
    </row>
    <row r="1360" ht="19" customHeight="1">
      <c r="A1360" s="41" t="n">
        <v>356</v>
      </c>
      <c r="B1360" s="41" t="n">
        <v>4356</v>
      </c>
      <c r="C1360" s="42" t="inlineStr">
        <is>
          <t>0201516011</t>
        </is>
      </c>
      <c r="D1360" s="42" t="inlineStr">
        <is>
          <t>Region II (Cagayan Valley)</t>
        </is>
      </c>
      <c r="E1360" s="42" t="inlineStr">
        <is>
          <t>Cagayan</t>
        </is>
      </c>
      <c r="F1360" s="42" t="inlineStr">
        <is>
          <t>Lal-Lo</t>
        </is>
      </c>
      <c r="G1360" s="42" t="inlineStr">
        <is>
          <t>Catayauan</t>
        </is>
      </c>
      <c r="H1360" s="43" t="n">
        <v>18.1602</v>
      </c>
      <c r="I1360" s="43" t="n">
        <v>121.6528</v>
      </c>
      <c r="J1360" s="44" t="inlineStr">
        <is>
          <t>R</t>
        </is>
      </c>
      <c r="K1360" s="42" t="inlineStr">
        <is>
          <t>Class 1-3 / Urban</t>
        </is>
      </c>
      <c r="L1360" s="23" t="n">
        <v>4126</v>
      </c>
      <c r="M1360" s="24" t="n">
        <v>4.38</v>
      </c>
      <c r="N1360" s="23">
        <f>ROUND(L1360/M1360, 0)</f>
        <v/>
      </c>
      <c r="O1360" s="23">
        <f>ROUND(N1360*'Methodology &amp; Assumptions'!$B$8, 0)</f>
        <v/>
      </c>
      <c r="P1360" s="44" t="inlineStr">
        <is>
          <t>Band n50 (1.5 GHz, 60 MHz)</t>
        </is>
      </c>
      <c r="Q1360" s="38">
        <f>ROUNDUP(O1360/'Methodology &amp; Assumptions'!$B$9, 0)</f>
        <v/>
      </c>
      <c r="R1360" s="39" t="n">
        <v>1</v>
      </c>
      <c r="S1360" s="25" t="n">
        <v>4.06</v>
      </c>
      <c r="T1360" s="25" t="n">
        <v>0.17</v>
      </c>
      <c r="U1360" s="42" t="inlineStr">
        <is>
          <t>Tier 2 (Fiber Corridor / Lateral, 3-5 km)</t>
        </is>
      </c>
      <c r="V1360" s="24" t="n">
        <v>35.9</v>
      </c>
      <c r="W1360" s="24" t="n">
        <v>99.5</v>
      </c>
      <c r="X1360" s="24" t="n">
        <v>58</v>
      </c>
      <c r="Y1360" s="45">
        <f>ROUND((V1360*'Methodology &amp; Assumptions'!$B$6)+(W1360*'Methodology &amp; Assumptions'!$B$5)+(X1360*'Methodology &amp; Assumptions'!$B$7), 2)</f>
        <v/>
      </c>
    </row>
    <row r="1361" ht="19" customHeight="1">
      <c r="A1361" s="35" t="n">
        <v>357</v>
      </c>
      <c r="B1361" s="35" t="n">
        <v>4357</v>
      </c>
      <c r="C1361" s="36" t="inlineStr">
        <is>
          <t>0301408015</t>
        </is>
      </c>
      <c r="D1361" s="36" t="inlineStr">
        <is>
          <t>Region III (Central Luzon)</t>
        </is>
      </c>
      <c r="E1361" s="36" t="inlineStr">
        <is>
          <t>Bulacan</t>
        </is>
      </c>
      <c r="F1361" s="36" t="inlineStr">
        <is>
          <t>Guiguinto</t>
        </is>
      </c>
      <c r="G1361" s="36" t="inlineStr">
        <is>
          <t>Tuktukan</t>
        </is>
      </c>
      <c r="H1361" s="37" t="n">
        <v>14.827757</v>
      </c>
      <c r="I1361" s="37" t="n">
        <v>120.8916</v>
      </c>
      <c r="J1361" s="8" t="inlineStr">
        <is>
          <t>U</t>
        </is>
      </c>
      <c r="K1361" s="36" t="inlineStr">
        <is>
          <t>Class 1-3 / Urban</t>
        </is>
      </c>
      <c r="L1361" s="18" t="n">
        <v>11861</v>
      </c>
      <c r="M1361" s="20" t="n">
        <v>4.1</v>
      </c>
      <c r="N1361" s="18">
        <f>ROUND(L1361/M1361, 0)</f>
        <v/>
      </c>
      <c r="O1361" s="18">
        <f>ROUND(N1361*'Methodology &amp; Assumptions'!$B$8, 0)</f>
        <v/>
      </c>
      <c r="P1361" s="8" t="inlineStr">
        <is>
          <t>Band n50 (1.5 GHz, 60 MHz)</t>
        </is>
      </c>
      <c r="Q1361" s="38">
        <f>ROUNDUP(O1361/'Methodology &amp; Assumptions'!$B$9, 0)</f>
        <v/>
      </c>
      <c r="R1361" s="39" t="n">
        <v>1</v>
      </c>
      <c r="S1361" s="21" t="n">
        <v>2.02</v>
      </c>
      <c r="T1361" s="21" t="n">
        <v>0.01</v>
      </c>
      <c r="U1361" s="36" t="inlineStr">
        <is>
          <t>Tier 1B (Micro Drop, 1-3 km)</t>
        </is>
      </c>
      <c r="V1361" s="20" t="n">
        <v>61</v>
      </c>
      <c r="W1361" s="20" t="n">
        <v>100</v>
      </c>
      <c r="X1361" s="20" t="n">
        <v>28</v>
      </c>
      <c r="Y1361" s="40">
        <f>ROUND((V1361*'Methodology &amp; Assumptions'!$B$6)+(W1361*'Methodology &amp; Assumptions'!$B$5)+(X1361*'Methodology &amp; Assumptions'!$B$7), 2)</f>
        <v/>
      </c>
    </row>
    <row r="1362" ht="19" customHeight="1">
      <c r="A1362" s="41" t="n">
        <v>358</v>
      </c>
      <c r="B1362" s="41" t="n">
        <v>4358</v>
      </c>
      <c r="C1362" s="42" t="inlineStr">
        <is>
          <t>0301417011</t>
        </is>
      </c>
      <c r="D1362" s="42" t="inlineStr">
        <is>
          <t>Region III (Central Luzon)</t>
        </is>
      </c>
      <c r="E1362" s="42" t="inlineStr">
        <is>
          <t>Bulacan</t>
        </is>
      </c>
      <c r="F1362" s="42" t="inlineStr">
        <is>
          <t>Plaridel</t>
        </is>
      </c>
      <c r="G1362" s="42" t="inlineStr">
        <is>
          <t>Lalangan</t>
        </is>
      </c>
      <c r="H1362" s="43" t="n">
        <v>14.880375</v>
      </c>
      <c r="I1362" s="43" t="n">
        <v>120.850417</v>
      </c>
      <c r="J1362" s="44" t="inlineStr">
        <is>
          <t>R</t>
        </is>
      </c>
      <c r="K1362" s="42" t="inlineStr">
        <is>
          <t>Class 1-3 / Urban</t>
        </is>
      </c>
      <c r="L1362" s="23" t="n">
        <v>2259</v>
      </c>
      <c r="M1362" s="24" t="n">
        <v>4.1</v>
      </c>
      <c r="N1362" s="23">
        <f>ROUND(L1362/M1362, 0)</f>
        <v/>
      </c>
      <c r="O1362" s="23">
        <f>ROUND(N1362*'Methodology &amp; Assumptions'!$B$8, 0)</f>
        <v/>
      </c>
      <c r="P1362" s="44" t="inlineStr">
        <is>
          <t>Band n50 (1.5 GHz, 60 MHz)</t>
        </is>
      </c>
      <c r="Q1362" s="38">
        <f>ROUNDUP(O1362/'Methodology &amp; Assumptions'!$B$9, 0)</f>
        <v/>
      </c>
      <c r="R1362" s="39" t="n">
        <v>1</v>
      </c>
      <c r="S1362" s="25" t="n">
        <v>2.43</v>
      </c>
      <c r="T1362" s="25" t="n">
        <v>0.51</v>
      </c>
      <c r="U1362" s="42" t="inlineStr">
        <is>
          <t>Tier 1B (Micro Drop, 1-3 km)</t>
        </is>
      </c>
      <c r="V1362" s="24" t="n">
        <v>54.4</v>
      </c>
      <c r="W1362" s="24" t="n">
        <v>68</v>
      </c>
      <c r="X1362" s="24" t="n">
        <v>73</v>
      </c>
      <c r="Y1362" s="45">
        <f>ROUND((V1362*'Methodology &amp; Assumptions'!$B$6)+(W1362*'Methodology &amp; Assumptions'!$B$5)+(X1362*'Methodology &amp; Assumptions'!$B$7), 2)</f>
        <v/>
      </c>
    </row>
    <row r="1363" ht="19" customHeight="1">
      <c r="A1363" s="35" t="n">
        <v>359</v>
      </c>
      <c r="B1363" s="35" t="n">
        <v>4359</v>
      </c>
      <c r="C1363" s="36" t="inlineStr">
        <is>
          <t>0405641010</t>
        </is>
      </c>
      <c r="D1363" s="36" t="inlineStr">
        <is>
          <t>Region IV-A (CALABARZON)</t>
        </is>
      </c>
      <c r="E1363" s="36" t="inlineStr">
        <is>
          <t>Quezon</t>
        </is>
      </c>
      <c r="F1363" s="36" t="inlineStr">
        <is>
          <t>San Antonio</t>
        </is>
      </c>
      <c r="G1363" s="36" t="inlineStr">
        <is>
          <t>Loob</t>
        </is>
      </c>
      <c r="H1363" s="37" t="n">
        <v>13.878235</v>
      </c>
      <c r="I1363" s="37" t="n">
        <v>121.276548</v>
      </c>
      <c r="J1363" s="8" t="inlineStr">
        <is>
          <t>R</t>
        </is>
      </c>
      <c r="K1363" s="36" t="inlineStr">
        <is>
          <t>3rd</t>
        </is>
      </c>
      <c r="L1363" s="18" t="n">
        <v>2077</v>
      </c>
      <c r="M1363" s="20" t="n">
        <v>4.53</v>
      </c>
      <c r="N1363" s="18">
        <f>ROUND(L1363/M1363, 0)</f>
        <v/>
      </c>
      <c r="O1363" s="18">
        <f>ROUND(N1363*'Methodology &amp; Assumptions'!$B$8, 0)</f>
        <v/>
      </c>
      <c r="P1363" s="8" t="inlineStr">
        <is>
          <t>Band n50 (1.5 GHz, 60 MHz)</t>
        </is>
      </c>
      <c r="Q1363" s="38">
        <f>ROUNDUP(O1363/'Methodology &amp; Assumptions'!$B$9, 0)</f>
        <v/>
      </c>
      <c r="R1363" s="39" t="n">
        <v>1</v>
      </c>
      <c r="S1363" s="21" t="n">
        <v>1.3</v>
      </c>
      <c r="T1363" s="21" t="n">
        <v>0.73</v>
      </c>
      <c r="U1363" s="36" t="inlineStr">
        <is>
          <t>Tier 1B (Micro Drop, 1-3 km)</t>
        </is>
      </c>
      <c r="V1363" s="20" t="n">
        <v>74.7</v>
      </c>
      <c r="W1363" s="20" t="n">
        <v>60.5</v>
      </c>
      <c r="X1363" s="20" t="n">
        <v>58</v>
      </c>
      <c r="Y1363" s="40">
        <f>ROUND((V1363*'Methodology &amp; Assumptions'!$B$6)+(W1363*'Methodology &amp; Assumptions'!$B$5)+(X1363*'Methodology &amp; Assumptions'!$B$7), 2)</f>
        <v/>
      </c>
    </row>
    <row r="1364" ht="19" customHeight="1">
      <c r="A1364" s="41" t="n">
        <v>360</v>
      </c>
      <c r="B1364" s="41" t="n">
        <v>4360</v>
      </c>
      <c r="C1364" s="42" t="inlineStr">
        <is>
          <t>0501708037</t>
        </is>
      </c>
      <c r="D1364" s="42" t="inlineStr">
        <is>
          <t>Region V (Bicol Region)</t>
        </is>
      </c>
      <c r="E1364" s="42" t="inlineStr">
        <is>
          <t>Camarines Sur</t>
        </is>
      </c>
      <c r="F1364" s="42" t="inlineStr">
        <is>
          <t>Calabanga</t>
        </is>
      </c>
      <c r="G1364" s="42" t="inlineStr">
        <is>
          <t>San Miguel</t>
        </is>
      </c>
      <c r="H1364" s="43" t="n">
        <v>13.706349</v>
      </c>
      <c r="I1364" s="43" t="n">
        <v>123.202663</v>
      </c>
      <c r="J1364" s="44" t="inlineStr">
        <is>
          <t>R</t>
        </is>
      </c>
      <c r="K1364" s="42" t="inlineStr">
        <is>
          <t>Class 1-3 / Urban</t>
        </is>
      </c>
      <c r="L1364" s="23" t="n">
        <v>1368</v>
      </c>
      <c r="M1364" s="24" t="n">
        <v>4.9</v>
      </c>
      <c r="N1364" s="23">
        <f>ROUND(L1364/M1364, 0)</f>
        <v/>
      </c>
      <c r="O1364" s="23">
        <f>ROUND(N1364*'Methodology &amp; Assumptions'!$B$8, 0)</f>
        <v/>
      </c>
      <c r="P1364" s="44" t="inlineStr">
        <is>
          <t>Band n50 (1.5 GHz, 60 MHz)</t>
        </is>
      </c>
      <c r="Q1364" s="38">
        <f>ROUNDUP(O1364/'Methodology &amp; Assumptions'!$B$9, 0)</f>
        <v/>
      </c>
      <c r="R1364" s="39" t="n">
        <v>1</v>
      </c>
      <c r="S1364" s="25" t="n">
        <v>0.71</v>
      </c>
      <c r="T1364" s="25" t="n">
        <v>0.16</v>
      </c>
      <c r="U1364" s="42" t="inlineStr">
        <is>
          <t>Tier 1A (Direct Coloc, &lt;1 km)</t>
        </is>
      </c>
      <c r="V1364" s="24" t="n">
        <v>88.90000000000001</v>
      </c>
      <c r="W1364" s="24" t="n">
        <v>46.4</v>
      </c>
      <c r="X1364" s="24" t="n">
        <v>58</v>
      </c>
      <c r="Y1364" s="45">
        <f>ROUND((V1364*'Methodology &amp; Assumptions'!$B$6)+(W1364*'Methodology &amp; Assumptions'!$B$5)+(X1364*'Methodology &amp; Assumptions'!$B$7), 2)</f>
        <v/>
      </c>
    </row>
    <row r="1365" ht="19" customHeight="1">
      <c r="A1365" s="35" t="n">
        <v>361</v>
      </c>
      <c r="B1365" s="35" t="n">
        <v>4361</v>
      </c>
      <c r="C1365" s="36" t="inlineStr">
        <is>
          <t>0603018021</t>
        </is>
      </c>
      <c r="D1365" s="36" t="inlineStr">
        <is>
          <t>Region VI (Western Visayas)</t>
        </is>
      </c>
      <c r="E1365" s="36" t="inlineStr">
        <is>
          <t>Iloilo</t>
        </is>
      </c>
      <c r="F1365" s="36" t="inlineStr">
        <is>
          <t>Dumangas</t>
        </is>
      </c>
      <c r="G1365" s="36" t="inlineStr">
        <is>
          <t>Ilaya 1st</t>
        </is>
      </c>
      <c r="H1365" s="37" t="n">
        <v>10.827676</v>
      </c>
      <c r="I1365" s="37" t="n">
        <v>122.712381</v>
      </c>
      <c r="J1365" s="8" t="inlineStr">
        <is>
          <t>R</t>
        </is>
      </c>
      <c r="K1365" s="36" t="inlineStr">
        <is>
          <t>Class 1-3 / Urban</t>
        </is>
      </c>
      <c r="L1365" s="18" t="n">
        <v>672</v>
      </c>
      <c r="M1365" s="20" t="n">
        <v>4.39</v>
      </c>
      <c r="N1365" s="18">
        <f>ROUND(L1365/M1365, 0)</f>
        <v/>
      </c>
      <c r="O1365" s="18">
        <f>ROUND(N1365*'Methodology &amp; Assumptions'!$B$8, 0)</f>
        <v/>
      </c>
      <c r="P1365" s="8" t="inlineStr">
        <is>
          <t>Band n50 (1.5 GHz, 60 MHz)</t>
        </is>
      </c>
      <c r="Q1365" s="38">
        <f>ROUNDUP(O1365/'Methodology &amp; Assumptions'!$B$9, 0)</f>
        <v/>
      </c>
      <c r="R1365" s="39" t="n">
        <v>1</v>
      </c>
      <c r="S1365" s="21" t="n">
        <v>0.35</v>
      </c>
      <c r="T1365" s="21" t="n">
        <v>0.36</v>
      </c>
      <c r="U1365" s="36" t="inlineStr">
        <is>
          <t>Tier 1A (Direct Coloc, &lt;1 km)</t>
        </is>
      </c>
      <c r="V1365" s="20" t="n">
        <v>99</v>
      </c>
      <c r="W1365" s="20" t="n">
        <v>36.3</v>
      </c>
      <c r="X1365" s="20" t="n">
        <v>58</v>
      </c>
      <c r="Y1365" s="40">
        <f>ROUND((V1365*'Methodology &amp; Assumptions'!$B$6)+(W1365*'Methodology &amp; Assumptions'!$B$5)+(X1365*'Methodology &amp; Assumptions'!$B$7), 2)</f>
        <v/>
      </c>
    </row>
    <row r="1366" ht="19" customHeight="1">
      <c r="A1366" s="41" t="n">
        <v>362</v>
      </c>
      <c r="B1366" s="41" t="n">
        <v>4362</v>
      </c>
      <c r="C1366" s="42" t="inlineStr">
        <is>
          <t>0405804034</t>
        </is>
      </c>
      <c r="D1366" s="42" t="inlineStr">
        <is>
          <t>Region IV-A (CALABARZON)</t>
        </is>
      </c>
      <c r="E1366" s="42" t="inlineStr">
        <is>
          <t>Rizal</t>
        </is>
      </c>
      <c r="F1366" s="42" t="inlineStr">
        <is>
          <t>Binangonan</t>
        </is>
      </c>
      <c r="G1366" s="42" t="inlineStr">
        <is>
          <t>Tagpos</t>
        </is>
      </c>
      <c r="H1366" s="43" t="n">
        <v>14.50805</v>
      </c>
      <c r="I1366" s="43" t="n">
        <v>121.167</v>
      </c>
      <c r="J1366" s="44" t="inlineStr">
        <is>
          <t>U</t>
        </is>
      </c>
      <c r="K1366" s="42" t="inlineStr">
        <is>
          <t>Class 1-3 / Urban</t>
        </is>
      </c>
      <c r="L1366" s="23" t="n">
        <v>15999</v>
      </c>
      <c r="M1366" s="24" t="n">
        <v>4.39</v>
      </c>
      <c r="N1366" s="23">
        <f>ROUND(L1366/M1366, 0)</f>
        <v/>
      </c>
      <c r="O1366" s="23">
        <f>ROUND(N1366*'Methodology &amp; Assumptions'!$B$8, 0)</f>
        <v/>
      </c>
      <c r="P1366" s="44" t="inlineStr">
        <is>
          <t>Band n50 (1.5 GHz, 60 MHz)</t>
        </is>
      </c>
      <c r="Q1366" s="38">
        <f>ROUNDUP(O1366/'Methodology &amp; Assumptions'!$B$9, 0)</f>
        <v/>
      </c>
      <c r="R1366" s="39" t="n">
        <v>1</v>
      </c>
      <c r="S1366" s="25" t="n">
        <v>2.02</v>
      </c>
      <c r="T1366" s="25" t="n">
        <v>0.04</v>
      </c>
      <c r="U1366" s="42" t="inlineStr">
        <is>
          <t>Tier 1B (Micro Drop, 1-3 km)</t>
        </is>
      </c>
      <c r="V1366" s="24" t="n">
        <v>61</v>
      </c>
      <c r="W1366" s="24" t="n">
        <v>100</v>
      </c>
      <c r="X1366" s="24" t="n">
        <v>28</v>
      </c>
      <c r="Y1366" s="45">
        <f>ROUND((V1366*'Methodology &amp; Assumptions'!$B$6)+(W1366*'Methodology &amp; Assumptions'!$B$5)+(X1366*'Methodology &amp; Assumptions'!$B$7), 2)</f>
        <v/>
      </c>
    </row>
    <row r="1367" ht="19" customHeight="1">
      <c r="A1367" s="35" t="n">
        <v>363</v>
      </c>
      <c r="B1367" s="35" t="n">
        <v>4363</v>
      </c>
      <c r="C1367" s="36" t="inlineStr">
        <is>
          <t>0702250007</t>
        </is>
      </c>
      <c r="D1367" s="36" t="inlineStr">
        <is>
          <t>Region VII (Central Visayas)</t>
        </is>
      </c>
      <c r="E1367" s="36" t="inlineStr">
        <is>
          <t>Cebu</t>
        </is>
      </c>
      <c r="F1367" s="36" t="inlineStr">
        <is>
          <t>City of Talisay</t>
        </is>
      </c>
      <c r="G1367" s="36" t="inlineStr">
        <is>
          <t>Lawaan I</t>
        </is>
      </c>
      <c r="H1367" s="37" t="n">
        <v>10.258605</v>
      </c>
      <c r="I1367" s="37" t="n">
        <v>123.821612</v>
      </c>
      <c r="J1367" s="8" t="inlineStr">
        <is>
          <t>U</t>
        </is>
      </c>
      <c r="K1367" s="36" t="inlineStr">
        <is>
          <t>Class 1-3 / Urban</t>
        </is>
      </c>
      <c r="L1367" s="18" t="n">
        <v>10693</v>
      </c>
      <c r="M1367" s="20" t="n">
        <v>4.42</v>
      </c>
      <c r="N1367" s="18">
        <f>ROUND(L1367/M1367, 0)</f>
        <v/>
      </c>
      <c r="O1367" s="18">
        <f>ROUND(N1367*'Methodology &amp; Assumptions'!$B$8, 0)</f>
        <v/>
      </c>
      <c r="P1367" s="8" t="inlineStr">
        <is>
          <t>Band n50 (1.5 GHz, 60 MHz)</t>
        </is>
      </c>
      <c r="Q1367" s="38">
        <f>ROUNDUP(O1367/'Methodology &amp; Assumptions'!$B$9, 0)</f>
        <v/>
      </c>
      <c r="R1367" s="39" t="n">
        <v>1</v>
      </c>
      <c r="S1367" s="21" t="n">
        <v>2.02</v>
      </c>
      <c r="T1367" s="21" t="n">
        <v>0.12</v>
      </c>
      <c r="U1367" s="36" t="inlineStr">
        <is>
          <t>Tier 1B (Micro Drop, 1-3 km)</t>
        </is>
      </c>
      <c r="V1367" s="20" t="n">
        <v>61</v>
      </c>
      <c r="W1367" s="20" t="n">
        <v>100</v>
      </c>
      <c r="X1367" s="20" t="n">
        <v>28</v>
      </c>
      <c r="Y1367" s="40">
        <f>ROUND((V1367*'Methodology &amp; Assumptions'!$B$6)+(W1367*'Methodology &amp; Assumptions'!$B$5)+(X1367*'Methodology &amp; Assumptions'!$B$7), 2)</f>
        <v/>
      </c>
    </row>
    <row r="1368" ht="19" customHeight="1">
      <c r="A1368" s="41" t="n">
        <v>364</v>
      </c>
      <c r="B1368" s="41" t="n">
        <v>4364</v>
      </c>
      <c r="C1368" s="42" t="inlineStr">
        <is>
          <t>1102319024</t>
        </is>
      </c>
      <c r="D1368" s="42" t="inlineStr">
        <is>
          <t>Region XI (Davao Region)</t>
        </is>
      </c>
      <c r="E1368" s="42" t="inlineStr">
        <is>
          <t>Davao del Norte</t>
        </is>
      </c>
      <c r="F1368" s="42" t="inlineStr">
        <is>
          <t>City of Tagum</t>
        </is>
      </c>
      <c r="G1368" s="42" t="inlineStr">
        <is>
          <t>Magugpo North</t>
        </is>
      </c>
      <c r="H1368" s="43" t="n">
        <v>7.44978</v>
      </c>
      <c r="I1368" s="43" t="n">
        <v>125.80559</v>
      </c>
      <c r="J1368" s="44" t="inlineStr">
        <is>
          <t>U</t>
        </is>
      </c>
      <c r="K1368" s="42" t="inlineStr">
        <is>
          <t>Class 1-3 / Urban</t>
        </is>
      </c>
      <c r="L1368" s="23" t="n">
        <v>8595</v>
      </c>
      <c r="M1368" s="24" t="n">
        <v>4.25</v>
      </c>
      <c r="N1368" s="23">
        <f>ROUND(L1368/M1368, 0)</f>
        <v/>
      </c>
      <c r="O1368" s="23">
        <f>ROUND(N1368*'Methodology &amp; Assumptions'!$B$8, 0)</f>
        <v/>
      </c>
      <c r="P1368" s="44" t="inlineStr">
        <is>
          <t>Band n50 (1.5 GHz, 60 MHz)</t>
        </is>
      </c>
      <c r="Q1368" s="38">
        <f>ROUNDUP(O1368/'Methodology &amp; Assumptions'!$B$9, 0)</f>
        <v/>
      </c>
      <c r="R1368" s="39" t="n">
        <v>1</v>
      </c>
      <c r="S1368" s="25" t="n">
        <v>2.02</v>
      </c>
      <c r="T1368" s="25" t="n">
        <v>0.51</v>
      </c>
      <c r="U1368" s="42" t="inlineStr">
        <is>
          <t>Tier 1B (Micro Drop, 1-3 km)</t>
        </is>
      </c>
      <c r="V1368" s="24" t="n">
        <v>61</v>
      </c>
      <c r="W1368" s="24" t="n">
        <v>100</v>
      </c>
      <c r="X1368" s="24" t="n">
        <v>28</v>
      </c>
      <c r="Y1368" s="45">
        <f>ROUND((V1368*'Methodology &amp; Assumptions'!$B$6)+(W1368*'Methodology &amp; Assumptions'!$B$5)+(X1368*'Methodology &amp; Assumptions'!$B$7), 2)</f>
        <v/>
      </c>
    </row>
    <row r="1369" ht="19" customHeight="1">
      <c r="A1369" s="35" t="n">
        <v>365</v>
      </c>
      <c r="B1369" s="35" t="n">
        <v>4365</v>
      </c>
      <c r="C1369" s="36" t="inlineStr">
        <is>
          <t>0401014005</t>
        </is>
      </c>
      <c r="D1369" s="36" t="inlineStr">
        <is>
          <t>Region IV-A (CALABARZON)</t>
        </is>
      </c>
      <c r="E1369" s="36" t="inlineStr">
        <is>
          <t>Batangas</t>
        </is>
      </c>
      <c r="F1369" s="36" t="inlineStr">
        <is>
          <t>City of Lipa</t>
        </is>
      </c>
      <c r="G1369" s="36" t="inlineStr">
        <is>
          <t>Antipolo Del Norte</t>
        </is>
      </c>
      <c r="H1369" s="37" t="n">
        <v>13.926126</v>
      </c>
      <c r="I1369" s="37" t="n">
        <v>121.168175</v>
      </c>
      <c r="J1369" s="8" t="inlineStr">
        <is>
          <t>U</t>
        </is>
      </c>
      <c r="K1369" s="36" t="inlineStr">
        <is>
          <t>Class 1-3 / Urban</t>
        </is>
      </c>
      <c r="L1369" s="18" t="n">
        <v>6078</v>
      </c>
      <c r="M1369" s="20" t="n">
        <v>4.62</v>
      </c>
      <c r="N1369" s="18">
        <f>ROUND(L1369/M1369, 0)</f>
        <v/>
      </c>
      <c r="O1369" s="18">
        <f>ROUND(N1369*'Methodology &amp; Assumptions'!$B$8, 0)</f>
        <v/>
      </c>
      <c r="P1369" s="8" t="inlineStr">
        <is>
          <t>Band n50 (1.5 GHz, 60 MHz)</t>
        </is>
      </c>
      <c r="Q1369" s="38">
        <f>ROUNDUP(O1369/'Methodology &amp; Assumptions'!$B$9, 0)</f>
        <v/>
      </c>
      <c r="R1369" s="39" t="n">
        <v>1</v>
      </c>
      <c r="S1369" s="21" t="n">
        <v>2.02</v>
      </c>
      <c r="T1369" s="21" t="n">
        <v>0.42</v>
      </c>
      <c r="U1369" s="36" t="inlineStr">
        <is>
          <t>Tier 1B (Micro Drop, 1-3 km)</t>
        </is>
      </c>
      <c r="V1369" s="20" t="n">
        <v>61</v>
      </c>
      <c r="W1369" s="20" t="n">
        <v>100</v>
      </c>
      <c r="X1369" s="20" t="n">
        <v>28</v>
      </c>
      <c r="Y1369" s="40">
        <f>ROUND((V1369*'Methodology &amp; Assumptions'!$B$6)+(W1369*'Methodology &amp; Assumptions'!$B$5)+(X1369*'Methodology &amp; Assumptions'!$B$7), 2)</f>
        <v/>
      </c>
    </row>
    <row r="1370" ht="19" customHeight="1">
      <c r="A1370" s="41" t="n">
        <v>366</v>
      </c>
      <c r="B1370" s="41" t="n">
        <v>4366</v>
      </c>
      <c r="C1370" s="42" t="inlineStr">
        <is>
          <t>0306916076</t>
        </is>
      </c>
      <c r="D1370" s="42" t="inlineStr">
        <is>
          <t>Region III (Central Luzon)</t>
        </is>
      </c>
      <c r="E1370" s="42" t="inlineStr">
        <is>
          <t>Tarlac</t>
        </is>
      </c>
      <c r="F1370" s="42" t="inlineStr">
        <is>
          <t>City of Tarlac</t>
        </is>
      </c>
      <c r="G1370" s="42" t="inlineStr">
        <is>
          <t>Santa Cruz</t>
        </is>
      </c>
      <c r="H1370" s="43" t="n">
        <v>15.537253</v>
      </c>
      <c r="I1370" s="43" t="n">
        <v>120.596515</v>
      </c>
      <c r="J1370" s="44" t="inlineStr">
        <is>
          <t>R</t>
        </is>
      </c>
      <c r="K1370" s="42" t="inlineStr">
        <is>
          <t>Class 1-3 / Urban</t>
        </is>
      </c>
      <c r="L1370" s="23" t="n">
        <v>4265</v>
      </c>
      <c r="M1370" s="24" t="n">
        <v>4.3</v>
      </c>
      <c r="N1370" s="23">
        <f>ROUND(L1370/M1370, 0)</f>
        <v/>
      </c>
      <c r="O1370" s="23">
        <f>ROUND(N1370*'Methodology &amp; Assumptions'!$B$8, 0)</f>
        <v/>
      </c>
      <c r="P1370" s="44" t="inlineStr">
        <is>
          <t>Band n50 (1.5 GHz, 60 MHz)</t>
        </is>
      </c>
      <c r="Q1370" s="38">
        <f>ROUNDUP(O1370/'Methodology &amp; Assumptions'!$B$9, 0)</f>
        <v/>
      </c>
      <c r="R1370" s="39" t="n">
        <v>1</v>
      </c>
      <c r="S1370" s="25" t="n">
        <v>4.13</v>
      </c>
      <c r="T1370" s="25" t="n">
        <v>0.33</v>
      </c>
      <c r="U1370" s="42" t="inlineStr">
        <is>
          <t>Tier 2 (Fiber Corridor / Lateral, 3-5 km)</t>
        </is>
      </c>
      <c r="V1370" s="24" t="n">
        <v>35.2</v>
      </c>
      <c r="W1370" s="24" t="n">
        <v>100</v>
      </c>
      <c r="X1370" s="24" t="n">
        <v>58</v>
      </c>
      <c r="Y1370" s="45">
        <f>ROUND((V1370*'Methodology &amp; Assumptions'!$B$6)+(W1370*'Methodology &amp; Assumptions'!$B$5)+(X1370*'Methodology &amp; Assumptions'!$B$7), 2)</f>
        <v/>
      </c>
    </row>
    <row r="1371" ht="19" customHeight="1">
      <c r="A1371" s="35" t="n">
        <v>367</v>
      </c>
      <c r="B1371" s="35" t="n">
        <v>4367</v>
      </c>
      <c r="C1371" s="36" t="inlineStr">
        <is>
          <t>0301419006</t>
        </is>
      </c>
      <c r="D1371" s="36" t="inlineStr">
        <is>
          <t>Region III (Central Luzon)</t>
        </is>
      </c>
      <c r="E1371" s="36" t="inlineStr">
        <is>
          <t>Bulacan</t>
        </is>
      </c>
      <c r="F1371" s="36" t="inlineStr">
        <is>
          <t>San Ildefonso</t>
        </is>
      </c>
      <c r="G1371" s="36" t="inlineStr">
        <is>
          <t>Bagong Barrio</t>
        </is>
      </c>
      <c r="H1371" s="37" t="n">
        <v>15.013123</v>
      </c>
      <c r="I1371" s="37" t="n">
        <v>120.988709</v>
      </c>
      <c r="J1371" s="8" t="inlineStr">
        <is>
          <t>R</t>
        </is>
      </c>
      <c r="K1371" s="36" t="inlineStr">
        <is>
          <t>Class 1-3 / Urban</t>
        </is>
      </c>
      <c r="L1371" s="18" t="n">
        <v>2407</v>
      </c>
      <c r="M1371" s="20" t="n">
        <v>4.1</v>
      </c>
      <c r="N1371" s="18">
        <f>ROUND(L1371/M1371, 0)</f>
        <v/>
      </c>
      <c r="O1371" s="18">
        <f>ROUND(N1371*'Methodology &amp; Assumptions'!$B$8, 0)</f>
        <v/>
      </c>
      <c r="P1371" s="8" t="inlineStr">
        <is>
          <t>Band n50 (1.5 GHz, 60 MHz)</t>
        </is>
      </c>
      <c r="Q1371" s="38">
        <f>ROUNDUP(O1371/'Methodology &amp; Assumptions'!$B$9, 0)</f>
        <v/>
      </c>
      <c r="R1371" s="39" t="n">
        <v>1</v>
      </c>
      <c r="S1371" s="21" t="n">
        <v>1.32</v>
      </c>
      <c r="T1371" s="21" t="n">
        <v>5.8</v>
      </c>
      <c r="U1371" s="36" t="inlineStr">
        <is>
          <t>Tier 1B (Micro Drop, 1-3 km)</t>
        </is>
      </c>
      <c r="V1371" s="20" t="n">
        <v>64.3</v>
      </c>
      <c r="W1371" s="20" t="n">
        <v>70.90000000000001</v>
      </c>
      <c r="X1371" s="20" t="n">
        <v>58</v>
      </c>
      <c r="Y1371" s="40">
        <f>ROUND((V1371*'Methodology &amp; Assumptions'!$B$6)+(W1371*'Methodology &amp; Assumptions'!$B$5)+(X1371*'Methodology &amp; Assumptions'!$B$7), 2)</f>
        <v/>
      </c>
    </row>
    <row r="1372" ht="19" customHeight="1">
      <c r="A1372" s="41" t="n">
        <v>368</v>
      </c>
      <c r="B1372" s="41" t="n">
        <v>4368</v>
      </c>
      <c r="C1372" s="42" t="inlineStr">
        <is>
          <t>0306903063</t>
        </is>
      </c>
      <c r="D1372" s="42" t="inlineStr">
        <is>
          <t>Region III (Central Luzon)</t>
        </is>
      </c>
      <c r="E1372" s="42" t="inlineStr">
        <is>
          <t>Tarlac</t>
        </is>
      </c>
      <c r="F1372" s="42" t="inlineStr">
        <is>
          <t>Camiling</t>
        </is>
      </c>
      <c r="G1372" s="42" t="inlineStr">
        <is>
          <t>Surgui 1st</t>
        </is>
      </c>
      <c r="H1372" s="43" t="n">
        <v>15.681389</v>
      </c>
      <c r="I1372" s="43" t="n">
        <v>120.411667</v>
      </c>
      <c r="J1372" s="44" t="inlineStr">
        <is>
          <t>R</t>
        </is>
      </c>
      <c r="K1372" s="42" t="inlineStr">
        <is>
          <t>Class 1-3 / Urban</t>
        </is>
      </c>
      <c r="L1372" s="23" t="n">
        <v>1124</v>
      </c>
      <c r="M1372" s="24" t="n">
        <v>4.3</v>
      </c>
      <c r="N1372" s="23">
        <f>ROUND(L1372/M1372, 0)</f>
        <v/>
      </c>
      <c r="O1372" s="23">
        <f>ROUND(N1372*'Methodology &amp; Assumptions'!$B$8, 0)</f>
        <v/>
      </c>
      <c r="P1372" s="44" t="inlineStr">
        <is>
          <t>Band n50 (1.5 GHz, 60 MHz)</t>
        </is>
      </c>
      <c r="Q1372" s="38">
        <f>ROUNDUP(O1372/'Methodology &amp; Assumptions'!$B$9, 0)</f>
        <v/>
      </c>
      <c r="R1372" s="39" t="n">
        <v>1</v>
      </c>
      <c r="S1372" s="25" t="n">
        <v>0.65</v>
      </c>
      <c r="T1372" s="25" t="n">
        <v>0.65</v>
      </c>
      <c r="U1372" s="42" t="inlineStr">
        <is>
          <t>Tier 1A (Direct Coloc, &lt;1 km)</t>
        </is>
      </c>
      <c r="V1372" s="24" t="n">
        <v>90.40000000000001</v>
      </c>
      <c r="W1372" s="24" t="n">
        <v>44.8</v>
      </c>
      <c r="X1372" s="24" t="n">
        <v>58</v>
      </c>
      <c r="Y1372" s="45">
        <f>ROUND((V1372*'Methodology &amp; Assumptions'!$B$6)+(W1372*'Methodology &amp; Assumptions'!$B$5)+(X1372*'Methodology &amp; Assumptions'!$B$7), 2)</f>
        <v/>
      </c>
    </row>
    <row r="1373" ht="19" customHeight="1">
      <c r="A1373" s="35" t="n">
        <v>369</v>
      </c>
      <c r="B1373" s="35" t="n">
        <v>4369</v>
      </c>
      <c r="C1373" s="36" t="inlineStr">
        <is>
          <t>0203131031</t>
        </is>
      </c>
      <c r="D1373" s="36" t="inlineStr">
        <is>
          <t>Region II (Cagayan Valley)</t>
        </is>
      </c>
      <c r="E1373" s="36" t="inlineStr">
        <is>
          <t>Isabela</t>
        </is>
      </c>
      <c r="F1373" s="36" t="inlineStr">
        <is>
          <t>San Mariano</t>
        </is>
      </c>
      <c r="G1373" s="36" t="inlineStr">
        <is>
          <t>San Pablo</t>
        </is>
      </c>
      <c r="H1373" s="37" t="n">
        <v>16.983516</v>
      </c>
      <c r="I1373" s="37" t="n">
        <v>122.012798</v>
      </c>
      <c r="J1373" s="8" t="inlineStr">
        <is>
          <t>R</t>
        </is>
      </c>
      <c r="K1373" s="36" t="inlineStr">
        <is>
          <t>Class 1-3 / Urban</t>
        </is>
      </c>
      <c r="L1373" s="18" t="n">
        <v>942</v>
      </c>
      <c r="M1373" s="20" t="n">
        <v>4.3</v>
      </c>
      <c r="N1373" s="18">
        <f>ROUND(L1373/M1373, 0)</f>
        <v/>
      </c>
      <c r="O1373" s="18">
        <f>ROUND(N1373*'Methodology &amp; Assumptions'!$B$8, 0)</f>
        <v/>
      </c>
      <c r="P1373" s="8" t="inlineStr">
        <is>
          <t>Band n50 (1.5 GHz, 60 MHz)</t>
        </is>
      </c>
      <c r="Q1373" s="38">
        <f>ROUNDUP(O1373/'Methodology &amp; Assumptions'!$B$9, 0)</f>
        <v/>
      </c>
      <c r="R1373" s="39" t="n">
        <v>1</v>
      </c>
      <c r="S1373" s="21" t="n">
        <v>0.2</v>
      </c>
      <c r="T1373" s="21" t="n">
        <v>16.79</v>
      </c>
      <c r="U1373" s="36" t="inlineStr">
        <is>
          <t>Tier 1A (Direct Coloc, &lt;1 km)</t>
        </is>
      </c>
      <c r="V1373" s="20" t="n">
        <v>93.59999999999999</v>
      </c>
      <c r="W1373" s="20" t="n">
        <v>41.6</v>
      </c>
      <c r="X1373" s="20" t="n">
        <v>58</v>
      </c>
      <c r="Y1373" s="40">
        <f>ROUND((V1373*'Methodology &amp; Assumptions'!$B$6)+(W1373*'Methodology &amp; Assumptions'!$B$5)+(X1373*'Methodology &amp; Assumptions'!$B$7), 2)</f>
        <v/>
      </c>
    </row>
    <row r="1374" ht="19" customHeight="1">
      <c r="A1374" s="41" t="n">
        <v>370</v>
      </c>
      <c r="B1374" s="41" t="n">
        <v>4370</v>
      </c>
      <c r="C1374" s="42" t="inlineStr">
        <is>
          <t>0931700068</t>
        </is>
      </c>
      <c r="D1374" s="42" t="inlineStr">
        <is>
          <t>Region IX (Zamboanga Peninsula)</t>
        </is>
      </c>
      <c r="E1374" s="42" t="inlineStr">
        <is>
          <t>Zamboanga del Sur</t>
        </is>
      </c>
      <c r="F1374" s="42" t="inlineStr">
        <is>
          <t>City of Zamboanga</t>
        </is>
      </c>
      <c r="G1374" s="42" t="inlineStr">
        <is>
          <t>Rio Hondo</t>
        </is>
      </c>
      <c r="H1374" s="43" t="n">
        <v>6.899885</v>
      </c>
      <c r="I1374" s="43" t="n">
        <v>122.088752</v>
      </c>
      <c r="J1374" s="44" t="inlineStr">
        <is>
          <t>U</t>
        </is>
      </c>
      <c r="K1374" s="42" t="inlineStr">
        <is>
          <t>Class 1-3 / Urban</t>
        </is>
      </c>
      <c r="L1374" s="23" t="n">
        <v>8827</v>
      </c>
      <c r="M1374" s="24" t="n">
        <v>4.61</v>
      </c>
      <c r="N1374" s="23">
        <f>ROUND(L1374/M1374, 0)</f>
        <v/>
      </c>
      <c r="O1374" s="23">
        <f>ROUND(N1374*'Methodology &amp; Assumptions'!$B$8, 0)</f>
        <v/>
      </c>
      <c r="P1374" s="44" t="inlineStr">
        <is>
          <t>Band n50 (1.5 GHz, 60 MHz)</t>
        </is>
      </c>
      <c r="Q1374" s="38">
        <f>ROUNDUP(O1374/'Methodology &amp; Assumptions'!$B$9, 0)</f>
        <v/>
      </c>
      <c r="R1374" s="39" t="n">
        <v>1</v>
      </c>
      <c r="S1374" s="25" t="n">
        <v>2.02</v>
      </c>
      <c r="T1374" s="25" t="n">
        <v>1.83</v>
      </c>
      <c r="U1374" s="42" t="inlineStr">
        <is>
          <t>Tier 1B (Micro Drop, 1-3 km)</t>
        </is>
      </c>
      <c r="V1374" s="24" t="n">
        <v>60.9</v>
      </c>
      <c r="W1374" s="24" t="n">
        <v>100</v>
      </c>
      <c r="X1374" s="24" t="n">
        <v>28</v>
      </c>
      <c r="Y1374" s="45">
        <f>ROUND((V1374*'Methodology &amp; Assumptions'!$B$6)+(W1374*'Methodology &amp; Assumptions'!$B$5)+(X1374*'Methodology &amp; Assumptions'!$B$7), 2)</f>
        <v/>
      </c>
    </row>
    <row r="1375" ht="19" customHeight="1">
      <c r="A1375" s="35" t="n">
        <v>371</v>
      </c>
      <c r="B1375" s="35" t="n">
        <v>4371</v>
      </c>
      <c r="C1375" s="36" t="inlineStr">
        <is>
          <t>0702251015</t>
        </is>
      </c>
      <c r="D1375" s="36" t="inlineStr">
        <is>
          <t>Region VII (Central Visayas)</t>
        </is>
      </c>
      <c r="E1375" s="36" t="inlineStr">
        <is>
          <t>Cebu</t>
        </is>
      </c>
      <c r="F1375" s="36" t="inlineStr">
        <is>
          <t>City of Toledo</t>
        </is>
      </c>
      <c r="G1375" s="36" t="inlineStr">
        <is>
          <t>Daanglungsod</t>
        </is>
      </c>
      <c r="H1375" s="37" t="n">
        <v>10.387454</v>
      </c>
      <c r="I1375" s="37" t="n">
        <v>123.648345</v>
      </c>
      <c r="J1375" s="8" t="inlineStr">
        <is>
          <t>U</t>
        </is>
      </c>
      <c r="K1375" s="36" t="inlineStr">
        <is>
          <t>Class 1-3 / Urban</t>
        </is>
      </c>
      <c r="L1375" s="18" t="n">
        <v>3786</v>
      </c>
      <c r="M1375" s="20" t="n">
        <v>4.42</v>
      </c>
      <c r="N1375" s="18">
        <f>ROUND(L1375/M1375, 0)</f>
        <v/>
      </c>
      <c r="O1375" s="18">
        <f>ROUND(N1375*'Methodology &amp; Assumptions'!$B$8, 0)</f>
        <v/>
      </c>
      <c r="P1375" s="8" t="inlineStr">
        <is>
          <t>Band n50 (1.5 GHz, 60 MHz)</t>
        </is>
      </c>
      <c r="Q1375" s="38">
        <f>ROUNDUP(O1375/'Methodology &amp; Assumptions'!$B$9, 0)</f>
        <v/>
      </c>
      <c r="R1375" s="39" t="n">
        <v>1</v>
      </c>
      <c r="S1375" s="21" t="n">
        <v>1.61</v>
      </c>
      <c r="T1375" s="21" t="n">
        <v>0.18</v>
      </c>
      <c r="U1375" s="36" t="inlineStr">
        <is>
          <t>Tier 1B (Micro Drop, 1-3 km)</t>
        </is>
      </c>
      <c r="V1375" s="20" t="n">
        <v>68.40000000000001</v>
      </c>
      <c r="W1375" s="20" t="n">
        <v>92.5</v>
      </c>
      <c r="X1375" s="20" t="n">
        <v>28</v>
      </c>
      <c r="Y1375" s="40">
        <f>ROUND((V1375*'Methodology &amp; Assumptions'!$B$6)+(W1375*'Methodology &amp; Assumptions'!$B$5)+(X1375*'Methodology &amp; Assumptions'!$B$7), 2)</f>
        <v/>
      </c>
    </row>
    <row r="1376" ht="19" customHeight="1">
      <c r="A1376" s="41" t="n">
        <v>372</v>
      </c>
      <c r="B1376" s="41" t="n">
        <v>4372</v>
      </c>
      <c r="C1376" s="42" t="inlineStr">
        <is>
          <t>0431200002</t>
        </is>
      </c>
      <c r="D1376" s="42" t="inlineStr">
        <is>
          <t>Region IV-A (CALABARZON)</t>
        </is>
      </c>
      <c r="E1376" s="42" t="inlineStr">
        <is>
          <t>Quezon</t>
        </is>
      </c>
      <c r="F1376" s="42" t="inlineStr">
        <is>
          <t>City of Lucena</t>
        </is>
      </c>
      <c r="G1376" s="42" t="inlineStr">
        <is>
          <t>Barangay 1</t>
        </is>
      </c>
      <c r="H1376" s="43" t="n">
        <v>13.938815</v>
      </c>
      <c r="I1376" s="43" t="n">
        <v>121.610141</v>
      </c>
      <c r="J1376" s="44" t="inlineStr">
        <is>
          <t>U</t>
        </is>
      </c>
      <c r="K1376" s="42" t="inlineStr">
        <is>
          <t>Class 1-3 / Urban</t>
        </is>
      </c>
      <c r="L1376" s="23" t="n">
        <v>2584</v>
      </c>
      <c r="M1376" s="24" t="n">
        <v>4.46</v>
      </c>
      <c r="N1376" s="23">
        <f>ROUND(L1376/M1376, 0)</f>
        <v/>
      </c>
      <c r="O1376" s="23">
        <f>ROUND(N1376*'Methodology &amp; Assumptions'!$B$8, 0)</f>
        <v/>
      </c>
      <c r="P1376" s="44" t="inlineStr">
        <is>
          <t>Band n50 (1.5 GHz, 60 MHz)</t>
        </is>
      </c>
      <c r="Q1376" s="38">
        <f>ROUNDUP(O1376/'Methodology &amp; Assumptions'!$B$9, 0)</f>
        <v/>
      </c>
      <c r="R1376" s="39" t="n">
        <v>1</v>
      </c>
      <c r="S1376" s="25" t="n">
        <v>0.65</v>
      </c>
      <c r="T1376" s="25" t="n">
        <v>0.08</v>
      </c>
      <c r="U1376" s="42" t="inlineStr">
        <is>
          <t>Tier 1A (Direct Coloc, &lt;1 km)</t>
        </is>
      </c>
      <c r="V1376" s="24" t="n">
        <v>90.5</v>
      </c>
      <c r="W1376" s="24" t="n">
        <v>70.40000000000001</v>
      </c>
      <c r="X1376" s="24" t="n">
        <v>28</v>
      </c>
      <c r="Y1376" s="45">
        <f>ROUND((V1376*'Methodology &amp; Assumptions'!$B$6)+(W1376*'Methodology &amp; Assumptions'!$B$5)+(X1376*'Methodology &amp; Assumptions'!$B$7), 2)</f>
        <v/>
      </c>
    </row>
    <row r="1377" ht="19" customHeight="1">
      <c r="A1377" s="35" t="n">
        <v>373</v>
      </c>
      <c r="B1377" s="35" t="n">
        <v>4373</v>
      </c>
      <c r="C1377" s="36" t="inlineStr">
        <is>
          <t>0908301019</t>
        </is>
      </c>
      <c r="D1377" s="36" t="inlineStr">
        <is>
          <t>Region IX (Zamboanga Peninsula)</t>
        </is>
      </c>
      <c r="E1377" s="36" t="inlineStr">
        <is>
          <t>Zamboanga Sibugay</t>
        </is>
      </c>
      <c r="F1377" s="36" t="inlineStr">
        <is>
          <t>Alicia</t>
        </is>
      </c>
      <c r="G1377" s="36" t="inlineStr">
        <is>
          <t>Poblacion</t>
        </is>
      </c>
      <c r="H1377" s="37" t="n">
        <v>7.798705</v>
      </c>
      <c r="I1377" s="37" t="n">
        <v>122.759813</v>
      </c>
      <c r="J1377" s="8" t="inlineStr">
        <is>
          <t>R</t>
        </is>
      </c>
      <c r="K1377" s="36" t="inlineStr">
        <is>
          <t>Class 1-3 / Urban</t>
        </is>
      </c>
      <c r="L1377" s="18" t="n">
        <v>4640</v>
      </c>
      <c r="M1377" s="20" t="n">
        <v>5.06</v>
      </c>
      <c r="N1377" s="18">
        <f>ROUND(L1377/M1377, 0)</f>
        <v/>
      </c>
      <c r="O1377" s="18">
        <f>ROUND(N1377*'Methodology &amp; Assumptions'!$B$8, 0)</f>
        <v/>
      </c>
      <c r="P1377" s="8" t="inlineStr">
        <is>
          <t>Band n50 (1.5 GHz, 60 MHz)</t>
        </is>
      </c>
      <c r="Q1377" s="38">
        <f>ROUNDUP(O1377/'Methodology &amp; Assumptions'!$B$9, 0)</f>
        <v/>
      </c>
      <c r="R1377" s="39" t="n">
        <v>1</v>
      </c>
      <c r="S1377" s="21" t="n">
        <v>19.54</v>
      </c>
      <c r="T1377" s="21" t="n">
        <v>0.22</v>
      </c>
      <c r="U1377" s="36" t="inlineStr">
        <is>
          <t>Tier 2 (Fiber Corridor / Lateral, 3-5 km)</t>
        </is>
      </c>
      <c r="V1377" s="20" t="n">
        <v>25</v>
      </c>
      <c r="W1377" s="20" t="n">
        <v>97.3</v>
      </c>
      <c r="X1377" s="20" t="n">
        <v>73</v>
      </c>
      <c r="Y1377" s="40">
        <f>ROUND((V1377*'Methodology &amp; Assumptions'!$B$6)+(W1377*'Methodology &amp; Assumptions'!$B$5)+(X1377*'Methodology &amp; Assumptions'!$B$7), 2)</f>
        <v/>
      </c>
    </row>
    <row r="1378" ht="19" customHeight="1">
      <c r="A1378" s="41" t="n">
        <v>374</v>
      </c>
      <c r="B1378" s="41" t="n">
        <v>4374</v>
      </c>
      <c r="C1378" s="42" t="inlineStr">
        <is>
          <t>1606814008</t>
        </is>
      </c>
      <c r="D1378" s="42" t="inlineStr">
        <is>
          <t>Region XIII (Caraga)</t>
        </is>
      </c>
      <c r="E1378" s="42" t="inlineStr">
        <is>
          <t>Surigao del Sur</t>
        </is>
      </c>
      <c r="F1378" s="42" t="inlineStr">
        <is>
          <t>Marihatag</t>
        </is>
      </c>
      <c r="G1378" s="42" t="inlineStr">
        <is>
          <t>Poblacion</t>
        </is>
      </c>
      <c r="H1378" s="43" t="n">
        <v>8.800140000000001</v>
      </c>
      <c r="I1378" s="43" t="n">
        <v>126.299</v>
      </c>
      <c r="J1378" s="44" t="inlineStr">
        <is>
          <t>R</t>
        </is>
      </c>
      <c r="K1378" s="42" t="inlineStr">
        <is>
          <t>Class 1-3 / Urban</t>
        </is>
      </c>
      <c r="L1378" s="23" t="n">
        <v>4180</v>
      </c>
      <c r="M1378" s="24" t="n">
        <v>4.56</v>
      </c>
      <c r="N1378" s="23">
        <f>ROUND(L1378/M1378, 0)</f>
        <v/>
      </c>
      <c r="O1378" s="23">
        <f>ROUND(N1378*'Methodology &amp; Assumptions'!$B$8, 0)</f>
        <v/>
      </c>
      <c r="P1378" s="44" t="inlineStr">
        <is>
          <t>Band n50 (1.5 GHz, 60 MHz)</t>
        </is>
      </c>
      <c r="Q1378" s="38">
        <f>ROUNDUP(O1378/'Methodology &amp; Assumptions'!$B$9, 0)</f>
        <v/>
      </c>
      <c r="R1378" s="39" t="n">
        <v>1</v>
      </c>
      <c r="S1378" s="25" t="n">
        <v>32.74</v>
      </c>
      <c r="T1378" s="25" t="n">
        <v>0.08</v>
      </c>
      <c r="U1378" s="42" t="inlineStr">
        <is>
          <t>Tier 2 (Fiber Corridor / Lateral, 3-5 km)</t>
        </is>
      </c>
      <c r="V1378" s="24" t="n">
        <v>25</v>
      </c>
      <c r="W1378" s="24" t="n">
        <v>97.3</v>
      </c>
      <c r="X1378" s="24" t="n">
        <v>73</v>
      </c>
      <c r="Y1378" s="45">
        <f>ROUND((V1378*'Methodology &amp; Assumptions'!$B$6)+(W1378*'Methodology &amp; Assumptions'!$B$5)+(X1378*'Methodology &amp; Assumptions'!$B$7), 2)</f>
        <v/>
      </c>
    </row>
    <row r="1379" ht="19" customHeight="1">
      <c r="A1379" s="35" t="n">
        <v>375</v>
      </c>
      <c r="B1379" s="35" t="n">
        <v>4375</v>
      </c>
      <c r="C1379" s="36" t="inlineStr">
        <is>
          <t>0301409014</t>
        </is>
      </c>
      <c r="D1379" s="36" t="inlineStr">
        <is>
          <t>Region III (Central Luzon)</t>
        </is>
      </c>
      <c r="E1379" s="36" t="inlineStr">
        <is>
          <t>Bulacan</t>
        </is>
      </c>
      <c r="F1379" s="36" t="inlineStr">
        <is>
          <t>Hagonoy</t>
        </is>
      </c>
      <c r="G1379" s="36" t="inlineStr">
        <is>
          <t>San Nicolas</t>
        </is>
      </c>
      <c r="H1379" s="37" t="n">
        <v>14.823076</v>
      </c>
      <c r="I1379" s="37" t="n">
        <v>120.727617</v>
      </c>
      <c r="J1379" s="8" t="inlineStr">
        <is>
          <t>R</t>
        </is>
      </c>
      <c r="K1379" s="36" t="inlineStr">
        <is>
          <t>Class 1-3 / Urban</t>
        </is>
      </c>
      <c r="L1379" s="18" t="n">
        <v>4642</v>
      </c>
      <c r="M1379" s="20" t="n">
        <v>4.1</v>
      </c>
      <c r="N1379" s="18">
        <f>ROUND(L1379/M1379, 0)</f>
        <v/>
      </c>
      <c r="O1379" s="18">
        <f>ROUND(N1379*'Methodology &amp; Assumptions'!$B$8, 0)</f>
        <v/>
      </c>
      <c r="P1379" s="8" t="inlineStr">
        <is>
          <t>Band n50 (1.5 GHz, 60 MHz)</t>
        </is>
      </c>
      <c r="Q1379" s="38">
        <f>ROUNDUP(O1379/'Methodology &amp; Assumptions'!$B$9, 0)</f>
        <v/>
      </c>
      <c r="R1379" s="39" t="n">
        <v>1</v>
      </c>
      <c r="S1379" s="21" t="n">
        <v>3.13</v>
      </c>
      <c r="T1379" s="21" t="n">
        <v>4.6</v>
      </c>
      <c r="U1379" s="36" t="inlineStr">
        <is>
          <t>Tier 2 (Fiber Corridor / Lateral, 3-5 km)</t>
        </is>
      </c>
      <c r="V1379" s="20" t="n">
        <v>35.2</v>
      </c>
      <c r="W1379" s="20" t="n">
        <v>100</v>
      </c>
      <c r="X1379" s="20" t="n">
        <v>58</v>
      </c>
      <c r="Y1379" s="40">
        <f>ROUND((V1379*'Methodology &amp; Assumptions'!$B$6)+(W1379*'Methodology &amp; Assumptions'!$B$5)+(X1379*'Methodology &amp; Assumptions'!$B$7), 2)</f>
        <v/>
      </c>
    </row>
    <row r="1380" ht="19" customHeight="1">
      <c r="A1380" s="41" t="n">
        <v>376</v>
      </c>
      <c r="B1380" s="41" t="n">
        <v>4376</v>
      </c>
      <c r="C1380" s="42" t="inlineStr">
        <is>
          <t>0630200026</t>
        </is>
      </c>
      <c r="D1380" s="42" t="inlineStr">
        <is>
          <t>Region VI (Western Visayas)</t>
        </is>
      </c>
      <c r="E1380" s="42" t="inlineStr">
        <is>
          <t>Negros Occidental</t>
        </is>
      </c>
      <c r="F1380" s="42" t="inlineStr">
        <is>
          <t>City of Bacolod</t>
        </is>
      </c>
      <c r="G1380" s="42" t="inlineStr">
        <is>
          <t>Barangay 3</t>
        </is>
      </c>
      <c r="H1380" s="43" t="n">
        <v>10.686752</v>
      </c>
      <c r="I1380" s="43" t="n">
        <v>122.952794</v>
      </c>
      <c r="J1380" s="44" t="inlineStr">
        <is>
          <t>R</t>
        </is>
      </c>
      <c r="K1380" s="42" t="inlineStr">
        <is>
          <t>Class 1-3 / Urban</t>
        </is>
      </c>
      <c r="L1380" s="23" t="n">
        <v>2894</v>
      </c>
      <c r="M1380" s="24" t="n">
        <v>4.33</v>
      </c>
      <c r="N1380" s="23">
        <f>ROUND(L1380/M1380, 0)</f>
        <v/>
      </c>
      <c r="O1380" s="23">
        <f>ROUND(N1380*'Methodology &amp; Assumptions'!$B$8, 0)</f>
        <v/>
      </c>
      <c r="P1380" s="44" t="inlineStr">
        <is>
          <t>Band n50 (1.5 GHz, 60 MHz)</t>
        </is>
      </c>
      <c r="Q1380" s="38">
        <f>ROUNDUP(O1380/'Methodology &amp; Assumptions'!$B$9, 0)</f>
        <v/>
      </c>
      <c r="R1380" s="39" t="n">
        <v>1</v>
      </c>
      <c r="S1380" s="25" t="n">
        <v>2.21</v>
      </c>
      <c r="T1380" s="25" t="n">
        <v>0.47</v>
      </c>
      <c r="U1380" s="42" t="inlineStr">
        <is>
          <t>Tier 1B (Micro Drop, 1-3 km)</t>
        </is>
      </c>
      <c r="V1380" s="24" t="n">
        <v>57.9</v>
      </c>
      <c r="W1380" s="24" t="n">
        <v>77.3</v>
      </c>
      <c r="X1380" s="24" t="n">
        <v>58</v>
      </c>
      <c r="Y1380" s="45">
        <f>ROUND((V1380*'Methodology &amp; Assumptions'!$B$6)+(W1380*'Methodology &amp; Assumptions'!$B$5)+(X1380*'Methodology &amp; Assumptions'!$B$7), 2)</f>
        <v/>
      </c>
    </row>
    <row r="1381" ht="19" customHeight="1">
      <c r="A1381" s="35" t="n">
        <v>377</v>
      </c>
      <c r="B1381" s="35" t="n">
        <v>4377</v>
      </c>
      <c r="C1381" s="36" t="inlineStr">
        <is>
          <t>0105533023</t>
        </is>
      </c>
      <c r="D1381" s="36" t="inlineStr">
        <is>
          <t>Region I (Ilocos Region)</t>
        </is>
      </c>
      <c r="E1381" s="36" t="inlineStr">
        <is>
          <t>Pangasinan</t>
        </is>
      </c>
      <c r="F1381" s="36" t="inlineStr">
        <is>
          <t>San Fabian</t>
        </is>
      </c>
      <c r="G1381" s="36" t="inlineStr">
        <is>
          <t>Sobol</t>
        </is>
      </c>
      <c r="H1381" s="37" t="n">
        <v>16.134167</v>
      </c>
      <c r="I1381" s="37" t="n">
        <v>120.405622</v>
      </c>
      <c r="J1381" s="8" t="inlineStr">
        <is>
          <t>R</t>
        </is>
      </c>
      <c r="K1381" s="36" t="inlineStr">
        <is>
          <t>Class 1-3 / Urban</t>
        </is>
      </c>
      <c r="L1381" s="18" t="n">
        <v>2862</v>
      </c>
      <c r="M1381" s="20" t="n">
        <v>4.39</v>
      </c>
      <c r="N1381" s="18">
        <f>ROUND(L1381/M1381, 0)</f>
        <v/>
      </c>
      <c r="O1381" s="18">
        <f>ROUND(N1381*'Methodology &amp; Assumptions'!$B$8, 0)</f>
        <v/>
      </c>
      <c r="P1381" s="8" t="inlineStr">
        <is>
          <t>Band n50 (1.5 GHz, 60 MHz)</t>
        </is>
      </c>
      <c r="Q1381" s="38">
        <f>ROUNDUP(O1381/'Methodology &amp; Assumptions'!$B$9, 0)</f>
        <v/>
      </c>
      <c r="R1381" s="39" t="n">
        <v>1</v>
      </c>
      <c r="S1381" s="21" t="n">
        <v>2.14</v>
      </c>
      <c r="T1381" s="21" t="n">
        <v>0.61</v>
      </c>
      <c r="U1381" s="36" t="inlineStr">
        <is>
          <t>Tier 1B (Micro Drop, 1-3 km)</t>
        </is>
      </c>
      <c r="V1381" s="20" t="n">
        <v>58.9</v>
      </c>
      <c r="W1381" s="20" t="n">
        <v>76.3</v>
      </c>
      <c r="X1381" s="20" t="n">
        <v>58</v>
      </c>
      <c r="Y1381" s="40">
        <f>ROUND((V1381*'Methodology &amp; Assumptions'!$B$6)+(W1381*'Methodology &amp; Assumptions'!$B$5)+(X1381*'Methodology &amp; Assumptions'!$B$7), 2)</f>
        <v/>
      </c>
    </row>
    <row r="1382" ht="19" customHeight="1">
      <c r="A1382" s="41" t="n">
        <v>378</v>
      </c>
      <c r="B1382" s="41" t="n">
        <v>4378</v>
      </c>
      <c r="C1382" s="42" t="inlineStr">
        <is>
          <t>0604528025</t>
        </is>
      </c>
      <c r="D1382" s="42" t="inlineStr">
        <is>
          <t>Region VI (Western Visayas)</t>
        </is>
      </c>
      <c r="E1382" s="42" t="inlineStr">
        <is>
          <t>Negros Occidental</t>
        </is>
      </c>
      <c r="F1382" s="42" t="inlineStr">
        <is>
          <t>City of Talisay</t>
        </is>
      </c>
      <c r="G1382" s="42" t="inlineStr">
        <is>
          <t>Zone 9</t>
        </is>
      </c>
      <c r="H1382" s="43" t="n">
        <v>10.735805</v>
      </c>
      <c r="I1382" s="43" t="n">
        <v>122.967897</v>
      </c>
      <c r="J1382" s="44" t="inlineStr">
        <is>
          <t>R</t>
        </is>
      </c>
      <c r="K1382" s="42" t="inlineStr">
        <is>
          <t>Class 1-3 / Urban</t>
        </is>
      </c>
      <c r="L1382" s="23" t="n">
        <v>951</v>
      </c>
      <c r="M1382" s="24" t="n">
        <v>4.33</v>
      </c>
      <c r="N1382" s="23">
        <f>ROUND(L1382/M1382, 0)</f>
        <v/>
      </c>
      <c r="O1382" s="23">
        <f>ROUND(N1382*'Methodology &amp; Assumptions'!$B$8, 0)</f>
        <v/>
      </c>
      <c r="P1382" s="44" t="inlineStr">
        <is>
          <t>Band n50 (1.5 GHz, 60 MHz)</t>
        </is>
      </c>
      <c r="Q1382" s="38">
        <f>ROUNDUP(O1382/'Methodology &amp; Assumptions'!$B$9, 0)</f>
        <v/>
      </c>
      <c r="R1382" s="39" t="n">
        <v>1</v>
      </c>
      <c r="S1382" s="25" t="n">
        <v>0.54</v>
      </c>
      <c r="T1382" s="25" t="n">
        <v>0.18</v>
      </c>
      <c r="U1382" s="42" t="inlineStr">
        <is>
          <t>Tier 1A (Direct Coloc, &lt;1 km)</t>
        </is>
      </c>
      <c r="V1382" s="24" t="n">
        <v>93.59999999999999</v>
      </c>
      <c r="W1382" s="24" t="n">
        <v>41.6</v>
      </c>
      <c r="X1382" s="24" t="n">
        <v>58</v>
      </c>
      <c r="Y1382" s="45">
        <f>ROUND((V1382*'Methodology &amp; Assumptions'!$B$6)+(W1382*'Methodology &amp; Assumptions'!$B$5)+(X1382*'Methodology &amp; Assumptions'!$B$7), 2)</f>
        <v/>
      </c>
    </row>
    <row r="1383" ht="19" customHeight="1">
      <c r="A1383" s="35" t="n">
        <v>379</v>
      </c>
      <c r="B1383" s="35" t="n">
        <v>4379</v>
      </c>
      <c r="C1383" s="36" t="inlineStr">
        <is>
          <t>1408106016</t>
        </is>
      </c>
      <c r="D1383" s="36" t="inlineStr">
        <is>
          <t>Cordillera Administrative Region (CAR)</t>
        </is>
      </c>
      <c r="E1383" s="36" t="inlineStr">
        <is>
          <t>Apayao</t>
        </is>
      </c>
      <c r="F1383" s="36" t="inlineStr">
        <is>
          <t>Pudtol</t>
        </is>
      </c>
      <c r="G1383" s="36" t="inlineStr">
        <is>
          <t>Poblacion</t>
        </is>
      </c>
      <c r="H1383" s="37" t="n">
        <v>18.23661</v>
      </c>
      <c r="I1383" s="37" t="n">
        <v>121.37096</v>
      </c>
      <c r="J1383" s="8" t="inlineStr">
        <is>
          <t>R</t>
        </is>
      </c>
      <c r="K1383" s="36" t="inlineStr">
        <is>
          <t>2nd</t>
        </is>
      </c>
      <c r="L1383" s="18" t="n">
        <v>883</v>
      </c>
      <c r="M1383" s="20" t="n">
        <v>4.65</v>
      </c>
      <c r="N1383" s="18">
        <f>ROUND(L1383/M1383, 0)</f>
        <v/>
      </c>
      <c r="O1383" s="18">
        <f>ROUND(N1383*'Methodology &amp; Assumptions'!$B$8, 0)</f>
        <v/>
      </c>
      <c r="P1383" s="8" t="inlineStr">
        <is>
          <t>Band n50 (1.5 GHz, 60 MHz)</t>
        </is>
      </c>
      <c r="Q1383" s="38">
        <f>ROUNDUP(O1383/'Methodology &amp; Assumptions'!$B$9, 0)</f>
        <v/>
      </c>
      <c r="R1383" s="39" t="n">
        <v>1</v>
      </c>
      <c r="S1383" s="21" t="n">
        <v>0.27</v>
      </c>
      <c r="T1383" s="21" t="n">
        <v>0.15</v>
      </c>
      <c r="U1383" s="36" t="inlineStr">
        <is>
          <t>Tier 1A (Direct Coloc, &lt;1 km)</t>
        </is>
      </c>
      <c r="V1383" s="20" t="n">
        <v>100</v>
      </c>
      <c r="W1383" s="20" t="n">
        <v>35.2</v>
      </c>
      <c r="X1383" s="20" t="n">
        <v>58</v>
      </c>
      <c r="Y1383" s="40">
        <f>ROUND((V1383*'Methodology &amp; Assumptions'!$B$6)+(W1383*'Methodology &amp; Assumptions'!$B$5)+(X1383*'Methodology &amp; Assumptions'!$B$7), 2)</f>
        <v/>
      </c>
    </row>
    <row r="1384" ht="19" customHeight="1">
      <c r="A1384" s="41" t="n">
        <v>380</v>
      </c>
      <c r="B1384" s="41" t="n">
        <v>4380</v>
      </c>
      <c r="C1384" s="42" t="inlineStr">
        <is>
          <t>1108204032</t>
        </is>
      </c>
      <c r="D1384" s="42" t="inlineStr">
        <is>
          <t>Region XI (Davao Region)</t>
        </is>
      </c>
      <c r="E1384" s="42" t="inlineStr">
        <is>
          <t>Davao de Oro</t>
        </is>
      </c>
      <c r="F1384" s="42" t="inlineStr">
        <is>
          <t>Maco</t>
        </is>
      </c>
      <c r="G1384" s="42" t="inlineStr">
        <is>
          <t>New Barili</t>
        </is>
      </c>
      <c r="H1384" s="43" t="n">
        <v>7.35763</v>
      </c>
      <c r="I1384" s="43" t="n">
        <v>125.85589</v>
      </c>
      <c r="J1384" s="44" t="inlineStr">
        <is>
          <t>R</t>
        </is>
      </c>
      <c r="K1384" s="42" t="inlineStr">
        <is>
          <t>Class 1-3 / Urban</t>
        </is>
      </c>
      <c r="L1384" s="23" t="n">
        <v>570</v>
      </c>
      <c r="M1384" s="24" t="n">
        <v>4.1</v>
      </c>
      <c r="N1384" s="23">
        <f>ROUND(L1384/M1384, 0)</f>
        <v/>
      </c>
      <c r="O1384" s="23">
        <f>ROUND(N1384*'Methodology &amp; Assumptions'!$B$8, 0)</f>
        <v/>
      </c>
      <c r="P1384" s="44" t="inlineStr">
        <is>
          <t>Band n50 (1.5 GHz, 60 MHz)</t>
        </is>
      </c>
      <c r="Q1384" s="38">
        <f>ROUNDUP(O1384/'Methodology &amp; Assumptions'!$B$9, 0)</f>
        <v/>
      </c>
      <c r="R1384" s="39" t="n">
        <v>1</v>
      </c>
      <c r="S1384" s="25" t="n">
        <v>0.12</v>
      </c>
      <c r="T1384" s="25" t="n">
        <v>0.11</v>
      </c>
      <c r="U1384" s="42" t="inlineStr">
        <is>
          <t>Tier 1A (Direct Coloc, &lt;1 km)</t>
        </is>
      </c>
      <c r="V1384" s="24" t="n">
        <v>100</v>
      </c>
      <c r="W1384" s="24" t="n">
        <v>35.2</v>
      </c>
      <c r="X1384" s="24" t="n">
        <v>58</v>
      </c>
      <c r="Y1384" s="45">
        <f>ROUND((V1384*'Methodology &amp; Assumptions'!$B$6)+(W1384*'Methodology &amp; Assumptions'!$B$5)+(X1384*'Methodology &amp; Assumptions'!$B$7), 2)</f>
        <v/>
      </c>
    </row>
    <row r="1385" ht="19" customHeight="1">
      <c r="A1385" s="35" t="n">
        <v>381</v>
      </c>
      <c r="B1385" s="35" t="n">
        <v>4381</v>
      </c>
      <c r="C1385" s="36" t="inlineStr">
        <is>
          <t>0105513015</t>
        </is>
      </c>
      <c r="D1385" s="36" t="inlineStr">
        <is>
          <t>Region I (Ilocos Region)</t>
        </is>
      </c>
      <c r="E1385" s="36" t="inlineStr">
        <is>
          <t>Pangasinan</t>
        </is>
      </c>
      <c r="F1385" s="36" t="inlineStr">
        <is>
          <t>Binmaley</t>
        </is>
      </c>
      <c r="G1385" s="36" t="inlineStr">
        <is>
          <t>Gayaman</t>
        </is>
      </c>
      <c r="H1385" s="37" t="n">
        <v>16.00915</v>
      </c>
      <c r="I1385" s="37" t="n">
        <v>120.306</v>
      </c>
      <c r="J1385" s="8" t="inlineStr">
        <is>
          <t>U</t>
        </is>
      </c>
      <c r="K1385" s="36" t="inlineStr">
        <is>
          <t>Class 1-3 / Urban</t>
        </is>
      </c>
      <c r="L1385" s="18" t="n">
        <v>4286</v>
      </c>
      <c r="M1385" s="20" t="n">
        <v>4.39</v>
      </c>
      <c r="N1385" s="18">
        <f>ROUND(L1385/M1385, 0)</f>
        <v/>
      </c>
      <c r="O1385" s="18">
        <f>ROUND(N1385*'Methodology &amp; Assumptions'!$B$8, 0)</f>
        <v/>
      </c>
      <c r="P1385" s="8" t="inlineStr">
        <is>
          <t>Band n50 (1.5 GHz, 60 MHz)</t>
        </is>
      </c>
      <c r="Q1385" s="38">
        <f>ROUNDUP(O1385/'Methodology &amp; Assumptions'!$B$9, 0)</f>
        <v/>
      </c>
      <c r="R1385" s="39" t="n">
        <v>1</v>
      </c>
      <c r="S1385" s="21" t="n">
        <v>2.9</v>
      </c>
      <c r="T1385" s="21" t="n">
        <v>0.38</v>
      </c>
      <c r="U1385" s="36" t="inlineStr">
        <is>
          <t>Tier 1B (Micro Drop, 1-3 km)</t>
        </is>
      </c>
      <c r="V1385" s="20" t="n">
        <v>48.1</v>
      </c>
      <c r="W1385" s="20" t="n">
        <v>100</v>
      </c>
      <c r="X1385" s="20" t="n">
        <v>43</v>
      </c>
      <c r="Y1385" s="40">
        <f>ROUND((V1385*'Methodology &amp; Assumptions'!$B$6)+(W1385*'Methodology &amp; Assumptions'!$B$5)+(X1385*'Methodology &amp; Assumptions'!$B$7), 2)</f>
        <v/>
      </c>
    </row>
    <row r="1386" ht="19" customHeight="1">
      <c r="A1386" s="41" t="n">
        <v>382</v>
      </c>
      <c r="B1386" s="41" t="n">
        <v>4382</v>
      </c>
      <c r="C1386" s="42" t="inlineStr">
        <is>
          <t>1401106004</t>
        </is>
      </c>
      <c r="D1386" s="42" t="inlineStr">
        <is>
          <t>Cordillera Administrative Region (CAR)</t>
        </is>
      </c>
      <c r="E1386" s="42" t="inlineStr">
        <is>
          <t>Benguet</t>
        </is>
      </c>
      <c r="F1386" s="42" t="inlineStr">
        <is>
          <t>Itogon</t>
        </is>
      </c>
      <c r="G1386" s="42" t="inlineStr">
        <is>
          <t>Loacan</t>
        </is>
      </c>
      <c r="H1386" s="43" t="n">
        <v>16.42952</v>
      </c>
      <c r="I1386" s="43" t="n">
        <v>120.65267</v>
      </c>
      <c r="J1386" s="44" t="inlineStr">
        <is>
          <t>U</t>
        </is>
      </c>
      <c r="K1386" s="42" t="inlineStr">
        <is>
          <t>Class 1-3 / Urban</t>
        </is>
      </c>
      <c r="L1386" s="23" t="n">
        <v>8378</v>
      </c>
      <c r="M1386" s="24" t="n">
        <v>4.58</v>
      </c>
      <c r="N1386" s="23">
        <f>ROUND(L1386/M1386, 0)</f>
        <v/>
      </c>
      <c r="O1386" s="23">
        <f>ROUND(N1386*'Methodology &amp; Assumptions'!$B$8, 0)</f>
        <v/>
      </c>
      <c r="P1386" s="44" t="inlineStr">
        <is>
          <t>Band n50 (1.5 GHz, 60 MHz)</t>
        </is>
      </c>
      <c r="Q1386" s="38">
        <f>ROUNDUP(O1386/'Methodology &amp; Assumptions'!$B$9, 0)</f>
        <v/>
      </c>
      <c r="R1386" s="39" t="n">
        <v>1</v>
      </c>
      <c r="S1386" s="25" t="n">
        <v>2.03</v>
      </c>
      <c r="T1386" s="25" t="n">
        <v>0.17</v>
      </c>
      <c r="U1386" s="42" t="inlineStr">
        <is>
          <t>Tier 1B (Micro Drop, 1-3 km)</t>
        </is>
      </c>
      <c r="V1386" s="24" t="n">
        <v>60.9</v>
      </c>
      <c r="W1386" s="24" t="n">
        <v>100</v>
      </c>
      <c r="X1386" s="24" t="n">
        <v>28</v>
      </c>
      <c r="Y1386" s="45">
        <f>ROUND((V1386*'Methodology &amp; Assumptions'!$B$6)+(W1386*'Methodology &amp; Assumptions'!$B$5)+(X1386*'Methodology &amp; Assumptions'!$B$7), 2)</f>
        <v/>
      </c>
    </row>
    <row r="1387" ht="19" customHeight="1">
      <c r="A1387" s="35" t="n">
        <v>383</v>
      </c>
      <c r="B1387" s="35" t="n">
        <v>4383</v>
      </c>
      <c r="C1387" s="36" t="inlineStr">
        <is>
          <t>0704603022</t>
        </is>
      </c>
      <c r="D1387" s="36" t="inlineStr">
        <is>
          <t>Region VII (Central Visayas)</t>
        </is>
      </c>
      <c r="E1387" s="36" t="inlineStr">
        <is>
          <t>Negros Oriental</t>
        </is>
      </c>
      <c r="F1387" s="36" t="inlineStr">
        <is>
          <t>Bacong</t>
        </is>
      </c>
      <c r="G1387" s="36" t="inlineStr">
        <is>
          <t>West Poblacion</t>
        </is>
      </c>
      <c r="H1387" s="37" t="n">
        <v>9.246810999999999</v>
      </c>
      <c r="I1387" s="37" t="n">
        <v>123.2944</v>
      </c>
      <c r="J1387" s="8" t="inlineStr">
        <is>
          <t>R</t>
        </is>
      </c>
      <c r="K1387" s="36" t="inlineStr">
        <is>
          <t>2nd</t>
        </is>
      </c>
      <c r="L1387" s="18" t="n">
        <v>660</v>
      </c>
      <c r="M1387" s="20" t="n">
        <v>4.41</v>
      </c>
      <c r="N1387" s="18">
        <f>ROUND(L1387/M1387, 0)</f>
        <v/>
      </c>
      <c r="O1387" s="18">
        <f>ROUND(N1387*'Methodology &amp; Assumptions'!$B$8, 0)</f>
        <v/>
      </c>
      <c r="P1387" s="8" t="inlineStr">
        <is>
          <t>Band n50 (1.5 GHz, 60 MHz)</t>
        </is>
      </c>
      <c r="Q1387" s="38">
        <f>ROUNDUP(O1387/'Methodology &amp; Assumptions'!$B$9, 0)</f>
        <v/>
      </c>
      <c r="R1387" s="39" t="n">
        <v>1</v>
      </c>
      <c r="S1387" s="21" t="n">
        <v>0.34</v>
      </c>
      <c r="T1387" s="21" t="n">
        <v>0.13</v>
      </c>
      <c r="U1387" s="36" t="inlineStr">
        <is>
          <t>Tier 1A (Direct Coloc, &lt;1 km)</t>
        </is>
      </c>
      <c r="V1387" s="20" t="n">
        <v>99.2</v>
      </c>
      <c r="W1387" s="20" t="n">
        <v>36</v>
      </c>
      <c r="X1387" s="20" t="n">
        <v>58</v>
      </c>
      <c r="Y1387" s="40">
        <f>ROUND((V1387*'Methodology &amp; Assumptions'!$B$6)+(W1387*'Methodology &amp; Assumptions'!$B$5)+(X1387*'Methodology &amp; Assumptions'!$B$7), 2)</f>
        <v/>
      </c>
    </row>
    <row r="1388" ht="19" customHeight="1">
      <c r="A1388" s="41" t="n">
        <v>384</v>
      </c>
      <c r="B1388" s="41" t="n">
        <v>4384</v>
      </c>
      <c r="C1388" s="42" t="inlineStr">
        <is>
          <t>0402123002</t>
        </is>
      </c>
      <c r="D1388" s="42" t="inlineStr">
        <is>
          <t>Region IV-A (CALABARZON)</t>
        </is>
      </c>
      <c r="E1388" s="42" t="inlineStr">
        <is>
          <t>Cavite</t>
        </is>
      </c>
      <c r="F1388" s="42" t="inlineStr">
        <is>
          <t>Gen. Mariano Alvarez</t>
        </is>
      </c>
      <c r="G1388" s="42" t="inlineStr">
        <is>
          <t>Barangay 1 Poblacion</t>
        </is>
      </c>
      <c r="H1388" s="43" t="n">
        <v>14.29523</v>
      </c>
      <c r="I1388" s="43" t="n">
        <v>121.006115</v>
      </c>
      <c r="J1388" s="44" t="inlineStr">
        <is>
          <t>U</t>
        </is>
      </c>
      <c r="K1388" s="42" t="inlineStr">
        <is>
          <t>Class 1-3 / Urban</t>
        </is>
      </c>
      <c r="L1388" s="23" t="n">
        <v>6567</v>
      </c>
      <c r="M1388" s="24" t="n">
        <v>4.49</v>
      </c>
      <c r="N1388" s="23">
        <f>ROUND(L1388/M1388, 0)</f>
        <v/>
      </c>
      <c r="O1388" s="23">
        <f>ROUND(N1388*'Methodology &amp; Assumptions'!$B$8, 0)</f>
        <v/>
      </c>
      <c r="P1388" s="44" t="inlineStr">
        <is>
          <t>Band n50 (1.5 GHz, 60 MHz)</t>
        </is>
      </c>
      <c r="Q1388" s="38">
        <f>ROUNDUP(O1388/'Methodology &amp; Assumptions'!$B$9, 0)</f>
        <v/>
      </c>
      <c r="R1388" s="39" t="n">
        <v>1</v>
      </c>
      <c r="S1388" s="25" t="n">
        <v>1.49</v>
      </c>
      <c r="T1388" s="25" t="n">
        <v>4.89</v>
      </c>
      <c r="U1388" s="42" t="inlineStr">
        <is>
          <t>Tier 1B (Micro Drop, 1-3 km)</t>
        </is>
      </c>
      <c r="V1388" s="24" t="n">
        <v>60.9</v>
      </c>
      <c r="W1388" s="24" t="n">
        <v>100</v>
      </c>
      <c r="X1388" s="24" t="n">
        <v>28</v>
      </c>
      <c r="Y1388" s="45">
        <f>ROUND((V1388*'Methodology &amp; Assumptions'!$B$6)+(W1388*'Methodology &amp; Assumptions'!$B$5)+(X1388*'Methodology &amp; Assumptions'!$B$7), 2)</f>
        <v/>
      </c>
    </row>
    <row r="1389" ht="19" customHeight="1">
      <c r="A1389" s="35" t="n">
        <v>385</v>
      </c>
      <c r="B1389" s="35" t="n">
        <v>4385</v>
      </c>
      <c r="C1389" s="36" t="inlineStr">
        <is>
          <t>1130700135</t>
        </is>
      </c>
      <c r="D1389" s="36" t="inlineStr">
        <is>
          <t>Region XI (Davao Region)</t>
        </is>
      </c>
      <c r="E1389" s="36" t="inlineStr">
        <is>
          <t>Davao del Sur</t>
        </is>
      </c>
      <c r="F1389" s="36" t="inlineStr">
        <is>
          <t>City of Davao</t>
        </is>
      </c>
      <c r="G1389" s="36" t="inlineStr">
        <is>
          <t>Barangay 2-A</t>
        </is>
      </c>
      <c r="H1389" s="37" t="n">
        <v>7.06625</v>
      </c>
      <c r="I1389" s="37" t="n">
        <v>125.60291</v>
      </c>
      <c r="J1389" s="8" t="inlineStr">
        <is>
          <t>U</t>
        </is>
      </c>
      <c r="K1389" s="36" t="inlineStr">
        <is>
          <t>Class 1-3 / Urban</t>
        </is>
      </c>
      <c r="L1389" s="18" t="n">
        <v>2935</v>
      </c>
      <c r="M1389" s="20" t="n">
        <v>4.1</v>
      </c>
      <c r="N1389" s="18">
        <f>ROUND(L1389/M1389, 0)</f>
        <v/>
      </c>
      <c r="O1389" s="18">
        <f>ROUND(N1389*'Methodology &amp; Assumptions'!$B$8, 0)</f>
        <v/>
      </c>
      <c r="P1389" s="8" t="inlineStr">
        <is>
          <t>Band n50 (1.5 GHz, 60 MHz)</t>
        </is>
      </c>
      <c r="Q1389" s="38">
        <f>ROUNDUP(O1389/'Methodology &amp; Assumptions'!$B$9, 0)</f>
        <v/>
      </c>
      <c r="R1389" s="39" t="n">
        <v>1</v>
      </c>
      <c r="S1389" s="21" t="n">
        <v>1.09</v>
      </c>
      <c r="T1389" s="21" t="n">
        <v>0.18</v>
      </c>
      <c r="U1389" s="36" t="inlineStr">
        <is>
          <t>Tier 1B (Micro Drop, 1-3 km)</t>
        </is>
      </c>
      <c r="V1389" s="20" t="n">
        <v>79.59999999999999</v>
      </c>
      <c r="W1389" s="20" t="n">
        <v>81.3</v>
      </c>
      <c r="X1389" s="20" t="n">
        <v>28</v>
      </c>
      <c r="Y1389" s="40">
        <f>ROUND((V1389*'Methodology &amp; Assumptions'!$B$6)+(W1389*'Methodology &amp; Assumptions'!$B$5)+(X1389*'Methodology &amp; Assumptions'!$B$7), 2)</f>
        <v/>
      </c>
    </row>
    <row r="1390" ht="19" customHeight="1">
      <c r="A1390" s="41" t="n">
        <v>386</v>
      </c>
      <c r="B1390" s="41" t="n">
        <v>4386</v>
      </c>
      <c r="C1390" s="42" t="inlineStr">
        <is>
          <t>0704610012</t>
        </is>
      </c>
      <c r="D1390" s="42" t="inlineStr">
        <is>
          <t>Region VII (Central Visayas)</t>
        </is>
      </c>
      <c r="E1390" s="42" t="inlineStr">
        <is>
          <t>Negros Oriental</t>
        </is>
      </c>
      <c r="F1390" s="42" t="inlineStr">
        <is>
          <t>City of Dumaguete</t>
        </is>
      </c>
      <c r="G1390" s="42" t="inlineStr">
        <is>
          <t>Cantil-e</t>
        </is>
      </c>
      <c r="H1390" s="43" t="n">
        <v>9.280692</v>
      </c>
      <c r="I1390" s="43" t="n">
        <v>123.272674</v>
      </c>
      <c r="J1390" s="44" t="inlineStr">
        <is>
          <t>R</t>
        </is>
      </c>
      <c r="K1390" s="42" t="inlineStr">
        <is>
          <t>Class 1-3 / Urban</t>
        </is>
      </c>
      <c r="L1390" s="23" t="n">
        <v>4697</v>
      </c>
      <c r="M1390" s="24" t="n">
        <v>4.33</v>
      </c>
      <c r="N1390" s="23">
        <f>ROUND(L1390/M1390, 0)</f>
        <v/>
      </c>
      <c r="O1390" s="23">
        <f>ROUND(N1390*'Methodology &amp; Assumptions'!$B$8, 0)</f>
        <v/>
      </c>
      <c r="P1390" s="44" t="inlineStr">
        <is>
          <t>Band n50 (1.5 GHz, 60 MHz)</t>
        </is>
      </c>
      <c r="Q1390" s="38">
        <f>ROUNDUP(O1390/'Methodology &amp; Assumptions'!$B$9, 0)</f>
        <v/>
      </c>
      <c r="R1390" s="39" t="n">
        <v>1</v>
      </c>
      <c r="S1390" s="25" t="n">
        <v>3.14</v>
      </c>
      <c r="T1390" s="25" t="n">
        <v>2.26</v>
      </c>
      <c r="U1390" s="42" t="inlineStr">
        <is>
          <t>Tier 2 (Fiber Corridor / Lateral, 3-5 km)</t>
        </is>
      </c>
      <c r="V1390" s="24" t="n">
        <v>35.1</v>
      </c>
      <c r="W1390" s="24" t="n">
        <v>100</v>
      </c>
      <c r="X1390" s="24" t="n">
        <v>58</v>
      </c>
      <c r="Y1390" s="45">
        <f>ROUND((V1390*'Methodology &amp; Assumptions'!$B$6)+(W1390*'Methodology &amp; Assumptions'!$B$5)+(X1390*'Methodology &amp; Assumptions'!$B$7), 2)</f>
        <v/>
      </c>
    </row>
    <row r="1391" ht="19" customHeight="1">
      <c r="A1391" s="35" t="n">
        <v>387</v>
      </c>
      <c r="B1391" s="35" t="n">
        <v>4387</v>
      </c>
      <c r="C1391" s="36" t="inlineStr">
        <is>
          <t>0305406024</t>
        </is>
      </c>
      <c r="D1391" s="36" t="inlineStr">
        <is>
          <t>Region III (Central Luzon)</t>
        </is>
      </c>
      <c r="E1391" s="36" t="inlineStr">
        <is>
          <t>Pampanga</t>
        </is>
      </c>
      <c r="F1391" s="36" t="inlineStr">
        <is>
          <t>Floridablanca</t>
        </is>
      </c>
      <c r="G1391" s="36" t="inlineStr">
        <is>
          <t>San Antonio</t>
        </is>
      </c>
      <c r="H1391" s="37" t="n">
        <v>14.96649</v>
      </c>
      <c r="I1391" s="37" t="n">
        <v>120.529349</v>
      </c>
      <c r="J1391" s="8" t="inlineStr">
        <is>
          <t>R</t>
        </is>
      </c>
      <c r="K1391" s="36" t="inlineStr">
        <is>
          <t>Class 1-3 / Urban</t>
        </is>
      </c>
      <c r="L1391" s="18" t="n">
        <v>3575</v>
      </c>
      <c r="M1391" s="20" t="n">
        <v>4.63</v>
      </c>
      <c r="N1391" s="18">
        <f>ROUND(L1391/M1391, 0)</f>
        <v/>
      </c>
      <c r="O1391" s="18">
        <f>ROUND(N1391*'Methodology &amp; Assumptions'!$B$8, 0)</f>
        <v/>
      </c>
      <c r="P1391" s="8" t="inlineStr">
        <is>
          <t>Band n50 (1.5 GHz, 60 MHz)</t>
        </is>
      </c>
      <c r="Q1391" s="38">
        <f>ROUNDUP(O1391/'Methodology &amp; Assumptions'!$B$9, 0)</f>
        <v/>
      </c>
      <c r="R1391" s="39" t="n">
        <v>1</v>
      </c>
      <c r="S1391" s="21" t="n">
        <v>2.12</v>
      </c>
      <c r="T1391" s="21" t="n">
        <v>3.08</v>
      </c>
      <c r="U1391" s="36" t="inlineStr">
        <is>
          <t>Tier 1B (Micro Drop, 1-3 km)</t>
        </is>
      </c>
      <c r="V1391" s="20" t="n">
        <v>49.3</v>
      </c>
      <c r="W1391" s="20" t="n">
        <v>85.90000000000001</v>
      </c>
      <c r="X1391" s="20" t="n">
        <v>58</v>
      </c>
      <c r="Y1391" s="40">
        <f>ROUND((V1391*'Methodology &amp; Assumptions'!$B$6)+(W1391*'Methodology &amp; Assumptions'!$B$5)+(X1391*'Methodology &amp; Assumptions'!$B$7), 2)</f>
        <v/>
      </c>
    </row>
    <row r="1392" ht="19" customHeight="1">
      <c r="A1392" s="41" t="n">
        <v>388</v>
      </c>
      <c r="B1392" s="41" t="n">
        <v>4388</v>
      </c>
      <c r="C1392" s="42" t="inlineStr">
        <is>
          <t>0803738087</t>
        </is>
      </c>
      <c r="D1392" s="42" t="inlineStr">
        <is>
          <t>Region VIII (Eastern Visayas)</t>
        </is>
      </c>
      <c r="E1392" s="42" t="inlineStr">
        <is>
          <t>Leyte</t>
        </is>
      </c>
      <c r="F1392" s="42" t="inlineStr">
        <is>
          <t>Ormoc City</t>
        </is>
      </c>
      <c r="G1392" s="42" t="inlineStr">
        <is>
          <t>Santo Niño</t>
        </is>
      </c>
      <c r="H1392" s="43" t="n">
        <v>11.043179</v>
      </c>
      <c r="I1392" s="43" t="n">
        <v>124.590775</v>
      </c>
      <c r="J1392" s="44" t="inlineStr">
        <is>
          <t>R</t>
        </is>
      </c>
      <c r="K1392" s="42" t="inlineStr">
        <is>
          <t>Class 1-3 / Urban</t>
        </is>
      </c>
      <c r="L1392" s="23" t="n">
        <v>2917</v>
      </c>
      <c r="M1392" s="24" t="n">
        <v>4.24</v>
      </c>
      <c r="N1392" s="23">
        <f>ROUND(L1392/M1392, 0)</f>
        <v/>
      </c>
      <c r="O1392" s="23">
        <f>ROUND(N1392*'Methodology &amp; Assumptions'!$B$8, 0)</f>
        <v/>
      </c>
      <c r="P1392" s="44" t="inlineStr">
        <is>
          <t>Band n50 (1.5 GHz, 60 MHz)</t>
        </is>
      </c>
      <c r="Q1392" s="38">
        <f>ROUNDUP(O1392/'Methodology &amp; Assumptions'!$B$9, 0)</f>
        <v/>
      </c>
      <c r="R1392" s="39" t="n">
        <v>1</v>
      </c>
      <c r="S1392" s="25" t="n">
        <v>2.32</v>
      </c>
      <c r="T1392" s="25" t="n">
        <v>1.46</v>
      </c>
      <c r="U1392" s="42" t="inlineStr">
        <is>
          <t>Tier 1B (Micro Drop, 1-3 km)</t>
        </is>
      </c>
      <c r="V1392" s="24" t="n">
        <v>56.2</v>
      </c>
      <c r="W1392" s="24" t="n">
        <v>78.90000000000001</v>
      </c>
      <c r="X1392" s="24" t="n">
        <v>58</v>
      </c>
      <c r="Y1392" s="45">
        <f>ROUND((V1392*'Methodology &amp; Assumptions'!$B$6)+(W1392*'Methodology &amp; Assumptions'!$B$5)+(X1392*'Methodology &amp; Assumptions'!$B$7), 2)</f>
        <v/>
      </c>
    </row>
    <row r="1393" ht="19" customHeight="1">
      <c r="A1393" s="35" t="n">
        <v>389</v>
      </c>
      <c r="B1393" s="35" t="n">
        <v>4389</v>
      </c>
      <c r="C1393" s="36" t="inlineStr">
        <is>
          <t>0304916022</t>
        </is>
      </c>
      <c r="D1393" s="36" t="inlineStr">
        <is>
          <t>Region III (Central Luzon)</t>
        </is>
      </c>
      <c r="E1393" s="36" t="inlineStr">
        <is>
          <t>Nueva Ecija</t>
        </is>
      </c>
      <c r="F1393" s="36" t="inlineStr">
        <is>
          <t>Lupao</t>
        </is>
      </c>
      <c r="G1393" s="36" t="inlineStr">
        <is>
          <t>Poblacion South</t>
        </is>
      </c>
      <c r="H1393" s="37" t="n">
        <v>15.875125</v>
      </c>
      <c r="I1393" s="37" t="n">
        <v>120.899236</v>
      </c>
      <c r="J1393" s="8" t="inlineStr">
        <is>
          <t>R</t>
        </is>
      </c>
      <c r="K1393" s="36" t="inlineStr">
        <is>
          <t>Class 1-3 / Urban</t>
        </is>
      </c>
      <c r="L1393" s="18" t="n">
        <v>1700</v>
      </c>
      <c r="M1393" s="20" t="n">
        <v>4.32</v>
      </c>
      <c r="N1393" s="18">
        <f>ROUND(L1393/M1393, 0)</f>
        <v/>
      </c>
      <c r="O1393" s="18">
        <f>ROUND(N1393*'Methodology &amp; Assumptions'!$B$8, 0)</f>
        <v/>
      </c>
      <c r="P1393" s="8" t="inlineStr">
        <is>
          <t>Band n50 (1.5 GHz, 60 MHz)</t>
        </is>
      </c>
      <c r="Q1393" s="38">
        <f>ROUNDUP(O1393/'Methodology &amp; Assumptions'!$B$9, 0)</f>
        <v/>
      </c>
      <c r="R1393" s="39" t="n">
        <v>1</v>
      </c>
      <c r="S1393" s="21" t="n">
        <v>1.08</v>
      </c>
      <c r="T1393" s="21" t="n">
        <v>0.25</v>
      </c>
      <c r="U1393" s="36" t="inlineStr">
        <is>
          <t>Tier 1B (Micro Drop, 1-3 km)</t>
        </is>
      </c>
      <c r="V1393" s="20" t="n">
        <v>79.7</v>
      </c>
      <c r="W1393" s="20" t="n">
        <v>55.5</v>
      </c>
      <c r="X1393" s="20" t="n">
        <v>58</v>
      </c>
      <c r="Y1393" s="40">
        <f>ROUND((V1393*'Methodology &amp; Assumptions'!$B$6)+(W1393*'Methodology &amp; Assumptions'!$B$5)+(X1393*'Methodology &amp; Assumptions'!$B$7), 2)</f>
        <v/>
      </c>
    </row>
    <row r="1394" ht="19" customHeight="1">
      <c r="A1394" s="41" t="n">
        <v>390</v>
      </c>
      <c r="B1394" s="41" t="n">
        <v>4390</v>
      </c>
      <c r="C1394" s="42" t="inlineStr">
        <is>
          <t>0603045015</t>
        </is>
      </c>
      <c r="D1394" s="42" t="inlineStr">
        <is>
          <t>Region VI (Western Visayas)</t>
        </is>
      </c>
      <c r="E1394" s="42" t="inlineStr">
        <is>
          <t>Iloilo</t>
        </is>
      </c>
      <c r="F1394" s="42" t="inlineStr">
        <is>
          <t>Tigbauan</t>
        </is>
      </c>
      <c r="G1394" s="42" t="inlineStr">
        <is>
          <t>Barangay 8</t>
        </is>
      </c>
      <c r="H1394" s="43" t="n">
        <v>10.671112</v>
      </c>
      <c r="I1394" s="43" t="n">
        <v>122.378436</v>
      </c>
      <c r="J1394" s="44" t="inlineStr">
        <is>
          <t>R</t>
        </is>
      </c>
      <c r="K1394" s="42" t="inlineStr">
        <is>
          <t>Class 1-3 / Urban</t>
        </is>
      </c>
      <c r="L1394" s="23" t="n">
        <v>1548</v>
      </c>
      <c r="M1394" s="24" t="n">
        <v>4.39</v>
      </c>
      <c r="N1394" s="23">
        <f>ROUND(L1394/M1394, 0)</f>
        <v/>
      </c>
      <c r="O1394" s="23">
        <f>ROUND(N1394*'Methodology &amp; Assumptions'!$B$8, 0)</f>
        <v/>
      </c>
      <c r="P1394" s="44" t="inlineStr">
        <is>
          <t>Band n50 (1.5 GHz, 60 MHz)</t>
        </is>
      </c>
      <c r="Q1394" s="38">
        <f>ROUNDUP(O1394/'Methodology &amp; Assumptions'!$B$9, 0)</f>
        <v/>
      </c>
      <c r="R1394" s="39" t="n">
        <v>1</v>
      </c>
      <c r="S1394" s="25" t="n">
        <v>0.95</v>
      </c>
      <c r="T1394" s="25" t="n">
        <v>0.37</v>
      </c>
      <c r="U1394" s="42" t="inlineStr">
        <is>
          <t>Tier 1A (Direct Coloc, &lt;1 km)</t>
        </is>
      </c>
      <c r="V1394" s="24" t="n">
        <v>82.90000000000001</v>
      </c>
      <c r="W1394" s="24" t="n">
        <v>52.3</v>
      </c>
      <c r="X1394" s="24" t="n">
        <v>58</v>
      </c>
      <c r="Y1394" s="45">
        <f>ROUND((V1394*'Methodology &amp; Assumptions'!$B$6)+(W1394*'Methodology &amp; Assumptions'!$B$5)+(X1394*'Methodology &amp; Assumptions'!$B$7), 2)</f>
        <v/>
      </c>
    </row>
    <row r="1395" ht="19" customHeight="1">
      <c r="A1395" s="35" t="n">
        <v>391</v>
      </c>
      <c r="B1395" s="35" t="n">
        <v>4391</v>
      </c>
      <c r="C1395" s="36" t="inlineStr">
        <is>
          <t>0304903094</t>
        </is>
      </c>
      <c r="D1395" s="36" t="inlineStr">
        <is>
          <t>Region III (Central Luzon)</t>
        </is>
      </c>
      <c r="E1395" s="36" t="inlineStr">
        <is>
          <t>Nueva Ecija</t>
        </is>
      </c>
      <c r="F1395" s="36" t="inlineStr">
        <is>
          <t>City of Cabanatuan</t>
        </is>
      </c>
      <c r="G1395" s="36" t="inlineStr">
        <is>
          <t>Sumacab Este</t>
        </is>
      </c>
      <c r="H1395" s="37" t="n">
        <v>15.444471</v>
      </c>
      <c r="I1395" s="37" t="n">
        <v>120.94408</v>
      </c>
      <c r="J1395" s="8" t="inlineStr">
        <is>
          <t>U</t>
        </is>
      </c>
      <c r="K1395" s="36" t="inlineStr">
        <is>
          <t>Class 1-3 / Urban</t>
        </is>
      </c>
      <c r="L1395" s="18" t="n">
        <v>4517</v>
      </c>
      <c r="M1395" s="20" t="n">
        <v>4.32</v>
      </c>
      <c r="N1395" s="18">
        <f>ROUND(L1395/M1395, 0)</f>
        <v/>
      </c>
      <c r="O1395" s="18">
        <f>ROUND(N1395*'Methodology &amp; Assumptions'!$B$8, 0)</f>
        <v/>
      </c>
      <c r="P1395" s="8" t="inlineStr">
        <is>
          <t>Band n50 (1.5 GHz, 60 MHz)</t>
        </is>
      </c>
      <c r="Q1395" s="38">
        <f>ROUNDUP(O1395/'Methodology &amp; Assumptions'!$B$9, 0)</f>
        <v/>
      </c>
      <c r="R1395" s="39" t="n">
        <v>1</v>
      </c>
      <c r="S1395" s="21" t="n">
        <v>2.03</v>
      </c>
      <c r="T1395" s="21" t="n">
        <v>0.29</v>
      </c>
      <c r="U1395" s="36" t="inlineStr">
        <is>
          <t>Tier 1B (Micro Drop, 1-3 km)</t>
        </is>
      </c>
      <c r="V1395" s="20" t="n">
        <v>60.9</v>
      </c>
      <c r="W1395" s="20" t="n">
        <v>100</v>
      </c>
      <c r="X1395" s="20" t="n">
        <v>28</v>
      </c>
      <c r="Y1395" s="40">
        <f>ROUND((V1395*'Methodology &amp; Assumptions'!$B$6)+(W1395*'Methodology &amp; Assumptions'!$B$5)+(X1395*'Methodology &amp; Assumptions'!$B$7), 2)</f>
        <v/>
      </c>
    </row>
    <row r="1396" ht="19" customHeight="1">
      <c r="A1396" s="41" t="n">
        <v>392</v>
      </c>
      <c r="B1396" s="41" t="n">
        <v>4392</v>
      </c>
      <c r="C1396" s="42" t="inlineStr">
        <is>
          <t>0201529050</t>
        </is>
      </c>
      <c r="D1396" s="42" t="inlineStr">
        <is>
          <t>Region II (Cagayan Valley)</t>
        </is>
      </c>
      <c r="E1396" s="42" t="inlineStr">
        <is>
          <t>Cagayan</t>
        </is>
      </c>
      <c r="F1396" s="42" t="inlineStr">
        <is>
          <t>Tuguegarao City</t>
        </is>
      </c>
      <c r="G1396" s="42" t="inlineStr">
        <is>
          <t>Reyes</t>
        </is>
      </c>
      <c r="H1396" s="43" t="n">
        <v>17.676</v>
      </c>
      <c r="I1396" s="43" t="n">
        <v>121.7587</v>
      </c>
      <c r="J1396" s="44" t="inlineStr">
        <is>
          <t>R</t>
        </is>
      </c>
      <c r="K1396" s="42" t="inlineStr">
        <is>
          <t>Class 1-3 / Urban</t>
        </is>
      </c>
      <c r="L1396" s="23" t="n">
        <v>2810</v>
      </c>
      <c r="M1396" s="24" t="n">
        <v>4.38</v>
      </c>
      <c r="N1396" s="23">
        <f>ROUND(L1396/M1396, 0)</f>
        <v/>
      </c>
      <c r="O1396" s="23">
        <f>ROUND(N1396*'Methodology &amp; Assumptions'!$B$8, 0)</f>
        <v/>
      </c>
      <c r="P1396" s="44" t="inlineStr">
        <is>
          <t>Band n50 (1.5 GHz, 60 MHz)</t>
        </is>
      </c>
      <c r="Q1396" s="38">
        <f>ROUNDUP(O1396/'Methodology &amp; Assumptions'!$B$9, 0)</f>
        <v/>
      </c>
      <c r="R1396" s="39" t="n">
        <v>1</v>
      </c>
      <c r="S1396" s="25" t="n">
        <v>3</v>
      </c>
      <c r="T1396" s="25" t="n">
        <v>0.55</v>
      </c>
      <c r="U1396" s="42" t="inlineStr">
        <is>
          <t>Tier 2 (Fiber Corridor / Lateral, 3-5 km)</t>
        </is>
      </c>
      <c r="V1396" s="24" t="n">
        <v>46.8</v>
      </c>
      <c r="W1396" s="24" t="n">
        <v>75.5</v>
      </c>
      <c r="X1396" s="24" t="n">
        <v>73</v>
      </c>
      <c r="Y1396" s="45">
        <f>ROUND((V1396*'Methodology &amp; Assumptions'!$B$6)+(W1396*'Methodology &amp; Assumptions'!$B$5)+(X1396*'Methodology &amp; Assumptions'!$B$7), 2)</f>
        <v/>
      </c>
    </row>
    <row r="1397" ht="19" customHeight="1">
      <c r="A1397" s="35" t="n">
        <v>393</v>
      </c>
      <c r="B1397" s="35" t="n">
        <v>4393</v>
      </c>
      <c r="C1397" s="36" t="inlineStr">
        <is>
          <t>1401113013</t>
        </is>
      </c>
      <c r="D1397" s="36" t="inlineStr">
        <is>
          <t>Cordillera Administrative Region (CAR)</t>
        </is>
      </c>
      <c r="E1397" s="36" t="inlineStr">
        <is>
          <t>Benguet</t>
        </is>
      </c>
      <c r="F1397" s="36" t="inlineStr">
        <is>
          <t>Tuba</t>
        </is>
      </c>
      <c r="G1397" s="36" t="inlineStr">
        <is>
          <t>Taloy Sur</t>
        </is>
      </c>
      <c r="H1397" s="37" t="n">
        <v>16.37678</v>
      </c>
      <c r="I1397" s="37" t="n">
        <v>120.50375</v>
      </c>
      <c r="J1397" s="8" t="inlineStr">
        <is>
          <t>R</t>
        </is>
      </c>
      <c r="K1397" s="36" t="inlineStr">
        <is>
          <t>Class 1-3 / Urban</t>
        </is>
      </c>
      <c r="L1397" s="18" t="n">
        <v>3522</v>
      </c>
      <c r="M1397" s="20" t="n">
        <v>4.58</v>
      </c>
      <c r="N1397" s="18">
        <f>ROUND(L1397/M1397, 0)</f>
        <v/>
      </c>
      <c r="O1397" s="18">
        <f>ROUND(N1397*'Methodology &amp; Assumptions'!$B$8, 0)</f>
        <v/>
      </c>
      <c r="P1397" s="8" t="inlineStr">
        <is>
          <t>Band n50 (1.5 GHz, 60 MHz)</t>
        </is>
      </c>
      <c r="Q1397" s="38">
        <f>ROUNDUP(O1397/'Methodology &amp; Assumptions'!$B$9, 0)</f>
        <v/>
      </c>
      <c r="R1397" s="39" t="n">
        <v>1</v>
      </c>
      <c r="S1397" s="21" t="n">
        <v>2.5</v>
      </c>
      <c r="T1397" s="21" t="n">
        <v>0.19</v>
      </c>
      <c r="U1397" s="36" t="inlineStr">
        <is>
          <t>Tier 1B (Micro Drop, 1-3 km)</t>
        </is>
      </c>
      <c r="V1397" s="20" t="n">
        <v>53.5</v>
      </c>
      <c r="W1397" s="20" t="n">
        <v>81.59999999999999</v>
      </c>
      <c r="X1397" s="20" t="n">
        <v>58</v>
      </c>
      <c r="Y1397" s="40">
        <f>ROUND((V1397*'Methodology &amp; Assumptions'!$B$6)+(W1397*'Methodology &amp; Assumptions'!$B$5)+(X1397*'Methodology &amp; Assumptions'!$B$7), 2)</f>
        <v/>
      </c>
    </row>
    <row r="1398" ht="19" customHeight="1">
      <c r="A1398" s="41" t="n">
        <v>394</v>
      </c>
      <c r="B1398" s="41" t="n">
        <v>4394</v>
      </c>
      <c r="C1398" s="42" t="inlineStr">
        <is>
          <t>0301407017</t>
        </is>
      </c>
      <c r="D1398" s="42" t="inlineStr">
        <is>
          <t>Region III (Central Luzon)</t>
        </is>
      </c>
      <c r="E1398" s="42" t="inlineStr">
        <is>
          <t>Bulacan</t>
        </is>
      </c>
      <c r="F1398" s="42" t="inlineStr">
        <is>
          <t>Calumpit</t>
        </is>
      </c>
      <c r="G1398" s="42" t="inlineStr">
        <is>
          <t>Meyto</t>
        </is>
      </c>
      <c r="H1398" s="43" t="n">
        <v>14.887532</v>
      </c>
      <c r="I1398" s="43" t="n">
        <v>120.729315</v>
      </c>
      <c r="J1398" s="44" t="inlineStr">
        <is>
          <t>R</t>
        </is>
      </c>
      <c r="K1398" s="42" t="inlineStr">
        <is>
          <t>Class 1-3 / Urban</t>
        </is>
      </c>
      <c r="L1398" s="23" t="n">
        <v>2925</v>
      </c>
      <c r="M1398" s="24" t="n">
        <v>4.1</v>
      </c>
      <c r="N1398" s="23">
        <f>ROUND(L1398/M1398, 0)</f>
        <v/>
      </c>
      <c r="O1398" s="23">
        <f>ROUND(N1398*'Methodology &amp; Assumptions'!$B$8, 0)</f>
        <v/>
      </c>
      <c r="P1398" s="44" t="inlineStr">
        <is>
          <t>Band n50 (1.5 GHz, 60 MHz)</t>
        </is>
      </c>
      <c r="Q1398" s="38">
        <f>ROUNDUP(O1398/'Methodology &amp; Assumptions'!$B$9, 0)</f>
        <v/>
      </c>
      <c r="R1398" s="39" t="n">
        <v>1</v>
      </c>
      <c r="S1398" s="25" t="n">
        <v>2.46</v>
      </c>
      <c r="T1398" s="25" t="n">
        <v>0.15</v>
      </c>
      <c r="U1398" s="42" t="inlineStr">
        <is>
          <t>Tier 1B (Micro Drop, 1-3 km)</t>
        </is>
      </c>
      <c r="V1398" s="24" t="n">
        <v>54</v>
      </c>
      <c r="W1398" s="24" t="n">
        <v>81.09999999999999</v>
      </c>
      <c r="X1398" s="24" t="n">
        <v>58</v>
      </c>
      <c r="Y1398" s="45">
        <f>ROUND((V1398*'Methodology &amp; Assumptions'!$B$6)+(W1398*'Methodology &amp; Assumptions'!$B$5)+(X1398*'Methodology &amp; Assumptions'!$B$7), 2)</f>
        <v/>
      </c>
    </row>
    <row r="1399" ht="19" customHeight="1">
      <c r="A1399" s="35" t="n">
        <v>395</v>
      </c>
      <c r="B1399" s="35" t="n">
        <v>4395</v>
      </c>
      <c r="C1399" s="36" t="inlineStr">
        <is>
          <t>0500506025</t>
        </is>
      </c>
      <c r="D1399" s="36" t="inlineStr">
        <is>
          <t>Region V (Bicol Region)</t>
        </is>
      </c>
      <c r="E1399" s="36" t="inlineStr">
        <is>
          <t>Albay</t>
        </is>
      </c>
      <c r="F1399" s="36" t="inlineStr">
        <is>
          <t>City of Legazpi</t>
        </is>
      </c>
      <c r="G1399" s="36" t="inlineStr">
        <is>
          <t>Bgy. 28 - Victory Village North</t>
        </is>
      </c>
      <c r="H1399" s="37" t="n">
        <v>13.142903</v>
      </c>
      <c r="I1399" s="37" t="n">
        <v>123.753154</v>
      </c>
      <c r="J1399" s="8" t="inlineStr">
        <is>
          <t>R</t>
        </is>
      </c>
      <c r="K1399" s="36" t="inlineStr">
        <is>
          <t>Class 1-3 / Urban</t>
        </is>
      </c>
      <c r="L1399" s="18" t="n">
        <v>2459</v>
      </c>
      <c r="M1399" s="20" t="n">
        <v>4.67</v>
      </c>
      <c r="N1399" s="18">
        <f>ROUND(L1399/M1399, 0)</f>
        <v/>
      </c>
      <c r="O1399" s="18">
        <f>ROUND(N1399*'Methodology &amp; Assumptions'!$B$8, 0)</f>
        <v/>
      </c>
      <c r="P1399" s="8" t="inlineStr">
        <is>
          <t>Band n50 (1.5 GHz, 60 MHz)</t>
        </is>
      </c>
      <c r="Q1399" s="38">
        <f>ROUNDUP(O1399/'Methodology &amp; Assumptions'!$B$9, 0)</f>
        <v/>
      </c>
      <c r="R1399" s="39" t="n">
        <v>1</v>
      </c>
      <c r="S1399" s="21" t="n">
        <v>1.58</v>
      </c>
      <c r="T1399" s="21" t="n">
        <v>0.1</v>
      </c>
      <c r="U1399" s="36" t="inlineStr">
        <is>
          <t>Tier 1B (Micro Drop, 1-3 km)</t>
        </is>
      </c>
      <c r="V1399" s="20" t="n">
        <v>69</v>
      </c>
      <c r="W1399" s="20" t="n">
        <v>66.09999999999999</v>
      </c>
      <c r="X1399" s="20" t="n">
        <v>58</v>
      </c>
      <c r="Y1399" s="40">
        <f>ROUND((V1399*'Methodology &amp; Assumptions'!$B$6)+(W1399*'Methodology &amp; Assumptions'!$B$5)+(X1399*'Methodology &amp; Assumptions'!$B$7), 2)</f>
        <v/>
      </c>
    </row>
    <row r="1400" ht="19" customHeight="1">
      <c r="A1400" s="41" t="n">
        <v>396</v>
      </c>
      <c r="B1400" s="41" t="n">
        <v>4396</v>
      </c>
      <c r="C1400" s="42" t="inlineStr">
        <is>
          <t>0803715043</t>
        </is>
      </c>
      <c r="D1400" s="42" t="inlineStr">
        <is>
          <t>Region VIII (Eastern Visayas)</t>
        </is>
      </c>
      <c r="E1400" s="42" t="inlineStr">
        <is>
          <t>Leyte</t>
        </is>
      </c>
      <c r="F1400" s="42" t="inlineStr">
        <is>
          <t>Carigara</t>
        </is>
      </c>
      <c r="G1400" s="42" t="inlineStr">
        <is>
          <t>West Visoria</t>
        </is>
      </c>
      <c r="H1400" s="43" t="n">
        <v>11.30224</v>
      </c>
      <c r="I1400" s="43" t="n">
        <v>124.68135</v>
      </c>
      <c r="J1400" s="44" t="inlineStr">
        <is>
          <t>R</t>
        </is>
      </c>
      <c r="K1400" s="42" t="inlineStr">
        <is>
          <t>Class 1-3 / Urban</t>
        </is>
      </c>
      <c r="L1400" s="23" t="n">
        <v>1452</v>
      </c>
      <c r="M1400" s="24" t="n">
        <v>4.24</v>
      </c>
      <c r="N1400" s="23">
        <f>ROUND(L1400/M1400, 0)</f>
        <v/>
      </c>
      <c r="O1400" s="23">
        <f>ROUND(N1400*'Methodology &amp; Assumptions'!$B$8, 0)</f>
        <v/>
      </c>
      <c r="P1400" s="44" t="inlineStr">
        <is>
          <t>Band n50 (1.5 GHz, 60 MHz)</t>
        </is>
      </c>
      <c r="Q1400" s="38">
        <f>ROUNDUP(O1400/'Methodology &amp; Assumptions'!$B$9, 0)</f>
        <v/>
      </c>
      <c r="R1400" s="39" t="n">
        <v>1</v>
      </c>
      <c r="S1400" s="25" t="n">
        <v>0.92</v>
      </c>
      <c r="T1400" s="25" t="n">
        <v>0.54</v>
      </c>
      <c r="U1400" s="42" t="inlineStr">
        <is>
          <t>Tier 1A (Direct Coloc, &lt;1 km)</t>
        </is>
      </c>
      <c r="V1400" s="24" t="n">
        <v>83.7</v>
      </c>
      <c r="W1400" s="24" t="n">
        <v>51.5</v>
      </c>
      <c r="X1400" s="24" t="n">
        <v>58</v>
      </c>
      <c r="Y1400" s="45">
        <f>ROUND((V1400*'Methodology &amp; Assumptions'!$B$6)+(W1400*'Methodology &amp; Assumptions'!$B$5)+(X1400*'Methodology &amp; Assumptions'!$B$7), 2)</f>
        <v/>
      </c>
    </row>
    <row r="1401" ht="19" customHeight="1">
      <c r="A1401" s="35" t="n">
        <v>397</v>
      </c>
      <c r="B1401" s="35" t="n">
        <v>4397</v>
      </c>
      <c r="C1401" s="36" t="inlineStr">
        <is>
          <t>1430300160</t>
        </is>
      </c>
      <c r="D1401" s="36" t="inlineStr">
        <is>
          <t>Cordillera Administrative Region (CAR)</t>
        </is>
      </c>
      <c r="E1401" s="36" t="inlineStr">
        <is>
          <t>Benguet</t>
        </is>
      </c>
      <c r="F1401" s="36" t="inlineStr">
        <is>
          <t>City of Baguio</t>
        </is>
      </c>
      <c r="G1401" s="36" t="inlineStr">
        <is>
          <t>Market Subdivision, Upper</t>
        </is>
      </c>
      <c r="H1401" s="37" t="n">
        <v>16.4158</v>
      </c>
      <c r="I1401" s="37" t="n">
        <v>120.59385</v>
      </c>
      <c r="J1401" s="8" t="inlineStr">
        <is>
          <t>R</t>
        </is>
      </c>
      <c r="K1401" s="36" t="inlineStr">
        <is>
          <t>Class 1-3 / Urban</t>
        </is>
      </c>
      <c r="L1401" s="18" t="n">
        <v>1164</v>
      </c>
      <c r="M1401" s="20" t="n">
        <v>4.58</v>
      </c>
      <c r="N1401" s="18">
        <f>ROUND(L1401/M1401, 0)</f>
        <v/>
      </c>
      <c r="O1401" s="18">
        <f>ROUND(N1401*'Methodology &amp; Assumptions'!$B$8, 0)</f>
        <v/>
      </c>
      <c r="P1401" s="8" t="inlineStr">
        <is>
          <t>Band n50 (1.5 GHz, 60 MHz)</t>
        </is>
      </c>
      <c r="Q1401" s="38">
        <f>ROUNDUP(O1401/'Methodology &amp; Assumptions'!$B$9, 0)</f>
        <v/>
      </c>
      <c r="R1401" s="39" t="n">
        <v>1</v>
      </c>
      <c r="S1401" s="21" t="n">
        <v>0.49</v>
      </c>
      <c r="T1401" s="21" t="n">
        <v>0.22</v>
      </c>
      <c r="U1401" s="36" t="inlineStr">
        <is>
          <t>Tier 1A (Direct Coloc, &lt;1 km)</t>
        </is>
      </c>
      <c r="V1401" s="20" t="n">
        <v>94.90000000000001</v>
      </c>
      <c r="W1401" s="20" t="n">
        <v>40.3</v>
      </c>
      <c r="X1401" s="20" t="n">
        <v>58</v>
      </c>
      <c r="Y1401" s="40">
        <f>ROUND((V1401*'Methodology &amp; Assumptions'!$B$6)+(W1401*'Methodology &amp; Assumptions'!$B$5)+(X1401*'Methodology &amp; Assumptions'!$B$7), 2)</f>
        <v/>
      </c>
    </row>
    <row r="1402" ht="19" customHeight="1">
      <c r="A1402" s="41" t="n">
        <v>398</v>
      </c>
      <c r="B1402" s="41" t="n">
        <v>4398</v>
      </c>
      <c r="C1402" s="42" t="inlineStr">
        <is>
          <t>0403426011</t>
        </is>
      </c>
      <c r="D1402" s="42" t="inlineStr">
        <is>
          <t>Region IV-A (CALABARZON)</t>
        </is>
      </c>
      <c r="E1402" s="42" t="inlineStr">
        <is>
          <t>Laguna</t>
        </is>
      </c>
      <c r="F1402" s="42" t="inlineStr">
        <is>
          <t>Santa Cruz</t>
        </is>
      </c>
      <c r="G1402" s="42" t="inlineStr">
        <is>
          <t>Pagsawitan</t>
        </is>
      </c>
      <c r="H1402" s="43" t="n">
        <v>14.266067</v>
      </c>
      <c r="I1402" s="43" t="n">
        <v>121.42628</v>
      </c>
      <c r="J1402" s="44" t="inlineStr">
        <is>
          <t>U</t>
        </is>
      </c>
      <c r="K1402" s="42" t="inlineStr">
        <is>
          <t>Class 1-3 / Urban</t>
        </is>
      </c>
      <c r="L1402" s="23" t="n">
        <v>10183</v>
      </c>
      <c r="M1402" s="24" t="n">
        <v>4.2</v>
      </c>
      <c r="N1402" s="23">
        <f>ROUND(L1402/M1402, 0)</f>
        <v/>
      </c>
      <c r="O1402" s="23">
        <f>ROUND(N1402*'Methodology &amp; Assumptions'!$B$8, 0)</f>
        <v/>
      </c>
      <c r="P1402" s="44" t="inlineStr">
        <is>
          <t>Band n50 (1.5 GHz, 60 MHz)</t>
        </is>
      </c>
      <c r="Q1402" s="38">
        <f>ROUNDUP(O1402/'Methodology &amp; Assumptions'!$B$9, 0)</f>
        <v/>
      </c>
      <c r="R1402" s="39" t="n">
        <v>1</v>
      </c>
      <c r="S1402" s="25" t="n">
        <v>2.03</v>
      </c>
      <c r="T1402" s="25" t="n">
        <v>0.03</v>
      </c>
      <c r="U1402" s="42" t="inlineStr">
        <is>
          <t>Tier 1B (Micro Drop, 1-3 km)</t>
        </is>
      </c>
      <c r="V1402" s="24" t="n">
        <v>60.8</v>
      </c>
      <c r="W1402" s="24" t="n">
        <v>100</v>
      </c>
      <c r="X1402" s="24" t="n">
        <v>28</v>
      </c>
      <c r="Y1402" s="45">
        <f>ROUND((V1402*'Methodology &amp; Assumptions'!$B$6)+(W1402*'Methodology &amp; Assumptions'!$B$5)+(X1402*'Methodology &amp; Assumptions'!$B$7), 2)</f>
        <v/>
      </c>
    </row>
    <row r="1403" ht="19" customHeight="1">
      <c r="A1403" s="35" t="n">
        <v>399</v>
      </c>
      <c r="B1403" s="35" t="n">
        <v>4399</v>
      </c>
      <c r="C1403" s="36" t="inlineStr">
        <is>
          <t>0604528041</t>
        </is>
      </c>
      <c r="D1403" s="36" t="inlineStr">
        <is>
          <t>Region VI (Western Visayas)</t>
        </is>
      </c>
      <c r="E1403" s="36" t="inlineStr">
        <is>
          <t>Negros Occidental</t>
        </is>
      </c>
      <c r="F1403" s="36" t="inlineStr">
        <is>
          <t>City of Talisay</t>
        </is>
      </c>
      <c r="G1403" s="36" t="inlineStr">
        <is>
          <t>Zone 2</t>
        </is>
      </c>
      <c r="H1403" s="37" t="n">
        <v>10.744023</v>
      </c>
      <c r="I1403" s="37" t="n">
        <v>122.967993</v>
      </c>
      <c r="J1403" s="8" t="inlineStr">
        <is>
          <t>U</t>
        </is>
      </c>
      <c r="K1403" s="36" t="inlineStr">
        <is>
          <t>Class 1-3 / Urban</t>
        </is>
      </c>
      <c r="L1403" s="18" t="n">
        <v>2085</v>
      </c>
      <c r="M1403" s="20" t="n">
        <v>4.33</v>
      </c>
      <c r="N1403" s="18">
        <f>ROUND(L1403/M1403, 0)</f>
        <v/>
      </c>
      <c r="O1403" s="18">
        <f>ROUND(N1403*'Methodology &amp; Assumptions'!$B$8, 0)</f>
        <v/>
      </c>
      <c r="P1403" s="8" t="inlineStr">
        <is>
          <t>Band n50 (1.5 GHz, 60 MHz)</t>
        </is>
      </c>
      <c r="Q1403" s="38">
        <f>ROUNDUP(O1403/'Methodology &amp; Assumptions'!$B$9, 0)</f>
        <v/>
      </c>
      <c r="R1403" s="39" t="n">
        <v>1</v>
      </c>
      <c r="S1403" s="21" t="n">
        <v>0.38</v>
      </c>
      <c r="T1403" s="21" t="n">
        <v>0.17</v>
      </c>
      <c r="U1403" s="36" t="inlineStr">
        <is>
          <t>Tier 1A (Direct Coloc, &lt;1 km)</t>
        </is>
      </c>
      <c r="V1403" s="20" t="n">
        <v>98.2</v>
      </c>
      <c r="W1403" s="20" t="n">
        <v>62.7</v>
      </c>
      <c r="X1403" s="20" t="n">
        <v>28</v>
      </c>
      <c r="Y1403" s="40">
        <f>ROUND((V1403*'Methodology &amp; Assumptions'!$B$6)+(W1403*'Methodology &amp; Assumptions'!$B$5)+(X1403*'Methodology &amp; Assumptions'!$B$7), 2)</f>
        <v/>
      </c>
    </row>
    <row r="1404" ht="19" customHeight="1">
      <c r="A1404" s="41" t="n">
        <v>400</v>
      </c>
      <c r="B1404" s="41" t="n">
        <v>4400</v>
      </c>
      <c r="C1404" s="42" t="inlineStr">
        <is>
          <t>0506214005</t>
        </is>
      </c>
      <c r="D1404" s="42" t="inlineStr">
        <is>
          <t>Region V (Bicol Region)</t>
        </is>
      </c>
      <c r="E1404" s="42" t="inlineStr">
        <is>
          <t>Sorsogon</t>
        </is>
      </c>
      <c r="F1404" s="42" t="inlineStr">
        <is>
          <t>Prieto Diaz</t>
        </is>
      </c>
      <c r="G1404" s="42" t="inlineStr">
        <is>
          <t>Diamante</t>
        </is>
      </c>
      <c r="H1404" s="43" t="n">
        <v>13.041909</v>
      </c>
      <c r="I1404" s="43" t="n">
        <v>124.184897</v>
      </c>
      <c r="J1404" s="44" t="inlineStr">
        <is>
          <t>R</t>
        </is>
      </c>
      <c r="K1404" s="42" t="inlineStr">
        <is>
          <t>4th</t>
        </is>
      </c>
      <c r="L1404" s="23" t="n">
        <v>1765</v>
      </c>
      <c r="M1404" s="24" t="n">
        <v>4.69</v>
      </c>
      <c r="N1404" s="23">
        <f>ROUND(L1404/M1404, 0)</f>
        <v/>
      </c>
      <c r="O1404" s="23">
        <f>ROUND(N1404*'Methodology &amp; Assumptions'!$B$8, 0)</f>
        <v/>
      </c>
      <c r="P1404" s="44" t="inlineStr">
        <is>
          <t>Band n50 (1.5 GHz, 60 MHz)</t>
        </is>
      </c>
      <c r="Q1404" s="38">
        <f>ROUNDUP(O1404/'Methodology &amp; Assumptions'!$B$9, 0)</f>
        <v/>
      </c>
      <c r="R1404" s="39" t="n">
        <v>1</v>
      </c>
      <c r="S1404" s="25" t="n">
        <v>0.99</v>
      </c>
      <c r="T1404" s="25" t="n">
        <v>14.26</v>
      </c>
      <c r="U1404" s="42" t="inlineStr">
        <is>
          <t>Tier 1A (Direct Coloc, &lt;1 km)</t>
        </is>
      </c>
      <c r="V1404" s="24" t="n">
        <v>72</v>
      </c>
      <c r="W1404" s="24" t="n">
        <v>54.1</v>
      </c>
      <c r="X1404" s="24" t="n">
        <v>68.5</v>
      </c>
      <c r="Y1404" s="45">
        <f>ROUND((V1404*'Methodology &amp; Assumptions'!$B$6)+(W1404*'Methodology &amp; Assumptions'!$B$5)+(X1404*'Methodology &amp; Assumptions'!$B$7), 2)</f>
        <v/>
      </c>
    </row>
    <row r="1405" ht="19" customHeight="1">
      <c r="A1405" s="35" t="n">
        <v>401</v>
      </c>
      <c r="B1405" s="35" t="n">
        <v>4401</v>
      </c>
      <c r="C1405" s="36" t="inlineStr">
        <is>
          <t>0403420002</t>
        </is>
      </c>
      <c r="D1405" s="36" t="inlineStr">
        <is>
          <t>Region IV-A (CALABARZON)</t>
        </is>
      </c>
      <c r="E1405" s="36" t="inlineStr">
        <is>
          <t>Laguna</t>
        </is>
      </c>
      <c r="F1405" s="36" t="inlineStr">
        <is>
          <t>Pakil</t>
        </is>
      </c>
      <c r="G1405" s="36" t="inlineStr">
        <is>
          <t>Banilan</t>
        </is>
      </c>
      <c r="H1405" s="37" t="n">
        <v>14.377262</v>
      </c>
      <c r="I1405" s="37" t="n">
        <v>121.407571</v>
      </c>
      <c r="J1405" s="8" t="inlineStr">
        <is>
          <t>R</t>
        </is>
      </c>
      <c r="K1405" s="36" t="inlineStr">
        <is>
          <t>3rd</t>
        </is>
      </c>
      <c r="L1405" s="18" t="n">
        <v>1843</v>
      </c>
      <c r="M1405" s="20" t="n">
        <v>4.49</v>
      </c>
      <c r="N1405" s="18">
        <f>ROUND(L1405/M1405, 0)</f>
        <v/>
      </c>
      <c r="O1405" s="18">
        <f>ROUND(N1405*'Methodology &amp; Assumptions'!$B$8, 0)</f>
        <v/>
      </c>
      <c r="P1405" s="8" t="inlineStr">
        <is>
          <t>Band n50 (1.5 GHz, 60 MHz)</t>
        </is>
      </c>
      <c r="Q1405" s="38">
        <f>ROUNDUP(O1405/'Methodology &amp; Assumptions'!$B$9, 0)</f>
        <v/>
      </c>
      <c r="R1405" s="39" t="n">
        <v>1</v>
      </c>
      <c r="S1405" s="21" t="n">
        <v>0.73</v>
      </c>
      <c r="T1405" s="21" t="n">
        <v>6.99</v>
      </c>
      <c r="U1405" s="36" t="inlineStr">
        <is>
          <t>Tier 1A (Direct Coloc, &lt;1 km)</t>
        </is>
      </c>
      <c r="V1405" s="20" t="n">
        <v>78.3</v>
      </c>
      <c r="W1405" s="20" t="n">
        <v>56.8</v>
      </c>
      <c r="X1405" s="20" t="n">
        <v>58</v>
      </c>
      <c r="Y1405" s="40">
        <f>ROUND((V1405*'Methodology &amp; Assumptions'!$B$6)+(W1405*'Methodology &amp; Assumptions'!$B$5)+(X1405*'Methodology &amp; Assumptions'!$B$7), 2)</f>
        <v/>
      </c>
    </row>
    <row r="1406" ht="19" customHeight="1">
      <c r="A1406" s="41" t="n">
        <v>402</v>
      </c>
      <c r="B1406" s="41" t="n">
        <v>4402</v>
      </c>
      <c r="C1406" s="42" t="inlineStr">
        <is>
          <t>1430300043</t>
        </is>
      </c>
      <c r="D1406" s="42" t="inlineStr">
        <is>
          <t>Cordillera Administrative Region (CAR)</t>
        </is>
      </c>
      <c r="E1406" s="42" t="inlineStr">
        <is>
          <t>Benguet</t>
        </is>
      </c>
      <c r="F1406" s="42" t="inlineStr">
        <is>
          <t>City of Baguio</t>
        </is>
      </c>
      <c r="G1406" s="42" t="inlineStr">
        <is>
          <t>Guisad Sorong</t>
        </is>
      </c>
      <c r="H1406" s="43" t="n">
        <v>16.42115</v>
      </c>
      <c r="I1406" s="43" t="n">
        <v>120.58396</v>
      </c>
      <c r="J1406" s="44" t="inlineStr">
        <is>
          <t>R</t>
        </is>
      </c>
      <c r="K1406" s="42" t="inlineStr">
        <is>
          <t>Class 1-3 / Urban</t>
        </is>
      </c>
      <c r="L1406" s="23" t="n">
        <v>1677</v>
      </c>
      <c r="M1406" s="24" t="n">
        <v>4.58</v>
      </c>
      <c r="N1406" s="23">
        <f>ROUND(L1406/M1406, 0)</f>
        <v/>
      </c>
      <c r="O1406" s="23">
        <f>ROUND(N1406*'Methodology &amp; Assumptions'!$B$8, 0)</f>
        <v/>
      </c>
      <c r="P1406" s="44" t="inlineStr">
        <is>
          <t>Band n50 (1.5 GHz, 60 MHz)</t>
        </is>
      </c>
      <c r="Q1406" s="38">
        <f>ROUNDUP(O1406/'Methodology &amp; Assumptions'!$B$9, 0)</f>
        <v/>
      </c>
      <c r="R1406" s="39" t="n">
        <v>1</v>
      </c>
      <c r="S1406" s="25" t="n">
        <v>0.83</v>
      </c>
      <c r="T1406" s="25" t="n">
        <v>1.01</v>
      </c>
      <c r="U1406" s="42" t="inlineStr">
        <is>
          <t>Tier 1A (Direct Coloc, &lt;1 km)</t>
        </is>
      </c>
      <c r="V1406" s="24" t="n">
        <v>85.7</v>
      </c>
      <c r="W1406" s="24" t="n">
        <v>49.3</v>
      </c>
      <c r="X1406" s="24" t="n">
        <v>58</v>
      </c>
      <c r="Y1406" s="45">
        <f>ROUND((V1406*'Methodology &amp; Assumptions'!$B$6)+(W1406*'Methodology &amp; Assumptions'!$B$5)+(X1406*'Methodology &amp; Assumptions'!$B$7), 2)</f>
        <v/>
      </c>
    </row>
    <row r="1407" ht="19" customHeight="1">
      <c r="A1407" s="35" t="n">
        <v>403</v>
      </c>
      <c r="B1407" s="35" t="n">
        <v>4403</v>
      </c>
      <c r="C1407" s="36" t="inlineStr">
        <is>
          <t>0301404018</t>
        </is>
      </c>
      <c r="D1407" s="36" t="inlineStr">
        <is>
          <t>Region III (Central Luzon)</t>
        </is>
      </c>
      <c r="E1407" s="36" t="inlineStr">
        <is>
          <t>Bulacan</t>
        </is>
      </c>
      <c r="F1407" s="36" t="inlineStr">
        <is>
          <t>Bocaue</t>
        </is>
      </c>
      <c r="G1407" s="36" t="inlineStr">
        <is>
          <t>Turo</t>
        </is>
      </c>
      <c r="H1407" s="37" t="n">
        <v>14.806961</v>
      </c>
      <c r="I1407" s="37" t="n">
        <v>120.938554</v>
      </c>
      <c r="J1407" s="8" t="inlineStr">
        <is>
          <t>U</t>
        </is>
      </c>
      <c r="K1407" s="36" t="inlineStr">
        <is>
          <t>Class 1-3 / Urban</t>
        </is>
      </c>
      <c r="L1407" s="18" t="n">
        <v>11864</v>
      </c>
      <c r="M1407" s="20" t="n">
        <v>4.1</v>
      </c>
      <c r="N1407" s="18">
        <f>ROUND(L1407/M1407, 0)</f>
        <v/>
      </c>
      <c r="O1407" s="18">
        <f>ROUND(N1407*'Methodology &amp; Assumptions'!$B$8, 0)</f>
        <v/>
      </c>
      <c r="P1407" s="8" t="inlineStr">
        <is>
          <t>Band n50 (1.5 GHz, 60 MHz)</t>
        </is>
      </c>
      <c r="Q1407" s="38">
        <f>ROUNDUP(O1407/'Methodology &amp; Assumptions'!$B$9, 0)</f>
        <v/>
      </c>
      <c r="R1407" s="39" t="n">
        <v>1</v>
      </c>
      <c r="S1407" s="21" t="n">
        <v>2.03</v>
      </c>
      <c r="T1407" s="21" t="n">
        <v>1.11</v>
      </c>
      <c r="U1407" s="36" t="inlineStr">
        <is>
          <t>Tier 1B (Micro Drop, 1-3 km)</t>
        </is>
      </c>
      <c r="V1407" s="20" t="n">
        <v>60.8</v>
      </c>
      <c r="W1407" s="20" t="n">
        <v>100</v>
      </c>
      <c r="X1407" s="20" t="n">
        <v>28</v>
      </c>
      <c r="Y1407" s="40">
        <f>ROUND((V1407*'Methodology &amp; Assumptions'!$B$6)+(W1407*'Methodology &amp; Assumptions'!$B$5)+(X1407*'Methodology &amp; Assumptions'!$B$7), 2)</f>
        <v/>
      </c>
    </row>
    <row r="1408" ht="19" customHeight="1">
      <c r="A1408" s="41" t="n">
        <v>404</v>
      </c>
      <c r="B1408" s="41" t="n">
        <v>4404</v>
      </c>
      <c r="C1408" s="42" t="inlineStr">
        <is>
          <t>0506209023</t>
        </is>
      </c>
      <c r="D1408" s="42" t="inlineStr">
        <is>
          <t>Region V (Bicol Region)</t>
        </is>
      </c>
      <c r="E1408" s="42" t="inlineStr">
        <is>
          <t>Sorsogon</t>
        </is>
      </c>
      <c r="F1408" s="42" t="inlineStr">
        <is>
          <t>Irosin</t>
        </is>
      </c>
      <c r="G1408" s="42" t="inlineStr">
        <is>
          <t>San Juan</t>
        </is>
      </c>
      <c r="H1408" s="43" t="n">
        <v>12.702678</v>
      </c>
      <c r="I1408" s="43" t="n">
        <v>124.037553</v>
      </c>
      <c r="J1408" s="44" t="inlineStr">
        <is>
          <t>U</t>
        </is>
      </c>
      <c r="K1408" s="42" t="inlineStr">
        <is>
          <t>Class 1-3 / Urban</t>
        </is>
      </c>
      <c r="L1408" s="23" t="n">
        <v>2101</v>
      </c>
      <c r="M1408" s="24" t="n">
        <v>4.58</v>
      </c>
      <c r="N1408" s="23">
        <f>ROUND(L1408/M1408, 0)</f>
        <v/>
      </c>
      <c r="O1408" s="23">
        <f>ROUND(N1408*'Methodology &amp; Assumptions'!$B$8, 0)</f>
        <v/>
      </c>
      <c r="P1408" s="44" t="inlineStr">
        <is>
          <t>Band n50 (1.5 GHz, 60 MHz)</t>
        </is>
      </c>
      <c r="Q1408" s="38">
        <f>ROUNDUP(O1408/'Methodology &amp; Assumptions'!$B$9, 0)</f>
        <v/>
      </c>
      <c r="R1408" s="39" t="n">
        <v>1</v>
      </c>
      <c r="S1408" s="25" t="n">
        <v>0.22</v>
      </c>
      <c r="T1408" s="25" t="n">
        <v>0.11</v>
      </c>
      <c r="U1408" s="42" t="inlineStr">
        <is>
          <t>Tier 1A (Direct Coloc, &lt;1 km)</t>
        </is>
      </c>
      <c r="V1408" s="24" t="n">
        <v>100</v>
      </c>
      <c r="W1408" s="24" t="n">
        <v>60.8</v>
      </c>
      <c r="X1408" s="24" t="n">
        <v>28</v>
      </c>
      <c r="Y1408" s="45">
        <f>ROUND((V1408*'Methodology &amp; Assumptions'!$B$6)+(W1408*'Methodology &amp; Assumptions'!$B$5)+(X1408*'Methodology &amp; Assumptions'!$B$7), 2)</f>
        <v/>
      </c>
    </row>
    <row r="1409" ht="19" customHeight="1">
      <c r="A1409" s="35" t="n">
        <v>405</v>
      </c>
      <c r="B1409" s="35" t="n">
        <v>4405</v>
      </c>
      <c r="C1409" s="36" t="inlineStr">
        <is>
          <t>0105528010</t>
        </is>
      </c>
      <c r="D1409" s="36" t="inlineStr">
        <is>
          <t>Region I (Ilocos Region)</t>
        </is>
      </c>
      <c r="E1409" s="36" t="inlineStr">
        <is>
          <t>Pangasinan</t>
        </is>
      </c>
      <c r="F1409" s="36" t="inlineStr">
        <is>
          <t>Mapandan</t>
        </is>
      </c>
      <c r="G1409" s="36" t="inlineStr">
        <is>
          <t>Luyan</t>
        </is>
      </c>
      <c r="H1409" s="37" t="n">
        <v>16.014543</v>
      </c>
      <c r="I1409" s="37" t="n">
        <v>120.47275</v>
      </c>
      <c r="J1409" s="8" t="inlineStr">
        <is>
          <t>R</t>
        </is>
      </c>
      <c r="K1409" s="36" t="inlineStr">
        <is>
          <t>Class 1-3 / Urban</t>
        </is>
      </c>
      <c r="L1409" s="18" t="n">
        <v>3730</v>
      </c>
      <c r="M1409" s="20" t="n">
        <v>4.39</v>
      </c>
      <c r="N1409" s="18">
        <f>ROUND(L1409/M1409, 0)</f>
        <v/>
      </c>
      <c r="O1409" s="18">
        <f>ROUND(N1409*'Methodology &amp; Assumptions'!$B$8, 0)</f>
        <v/>
      </c>
      <c r="P1409" s="8" t="inlineStr">
        <is>
          <t>Band n50 (1.5 GHz, 60 MHz)</t>
        </is>
      </c>
      <c r="Q1409" s="38">
        <f>ROUNDUP(O1409/'Methodology &amp; Assumptions'!$B$9, 0)</f>
        <v/>
      </c>
      <c r="R1409" s="39" t="n">
        <v>1</v>
      </c>
      <c r="S1409" s="21" t="n">
        <v>3.59</v>
      </c>
      <c r="T1409" s="21" t="n">
        <v>3.7</v>
      </c>
      <c r="U1409" s="36" t="inlineStr">
        <is>
          <t>Tier 2 (Fiber Corridor / Lateral, 3-5 km)</t>
        </is>
      </c>
      <c r="V1409" s="20" t="n">
        <v>30.2</v>
      </c>
      <c r="W1409" s="20" t="n">
        <v>92</v>
      </c>
      <c r="X1409" s="20" t="n">
        <v>73</v>
      </c>
      <c r="Y1409" s="40">
        <f>ROUND((V1409*'Methodology &amp; Assumptions'!$B$6)+(W1409*'Methodology &amp; Assumptions'!$B$5)+(X1409*'Methodology &amp; Assumptions'!$B$7), 2)</f>
        <v/>
      </c>
    </row>
    <row r="1410" ht="19" customHeight="1">
      <c r="A1410" s="41" t="n">
        <v>406</v>
      </c>
      <c r="B1410" s="41" t="n">
        <v>4406</v>
      </c>
      <c r="C1410" s="42" t="inlineStr">
        <is>
          <t>0401014059</t>
        </is>
      </c>
      <c r="D1410" s="42" t="inlineStr">
        <is>
          <t>Region IV-A (CALABARZON)</t>
        </is>
      </c>
      <c r="E1410" s="42" t="inlineStr">
        <is>
          <t>Batangas</t>
        </is>
      </c>
      <c r="F1410" s="42" t="inlineStr">
        <is>
          <t>City of Lipa</t>
        </is>
      </c>
      <c r="G1410" s="42" t="inlineStr">
        <is>
          <t>San Francisco</t>
        </is>
      </c>
      <c r="H1410" s="43" t="n">
        <v>13.8986</v>
      </c>
      <c r="I1410" s="43" t="n">
        <v>121.2394</v>
      </c>
      <c r="J1410" s="44" t="inlineStr">
        <is>
          <t>R</t>
        </is>
      </c>
      <c r="K1410" s="42" t="inlineStr">
        <is>
          <t>Class 1-3 / Urban</t>
        </is>
      </c>
      <c r="L1410" s="23" t="n">
        <v>3109</v>
      </c>
      <c r="M1410" s="24" t="n">
        <v>4.62</v>
      </c>
      <c r="N1410" s="23">
        <f>ROUND(L1410/M1410, 0)</f>
        <v/>
      </c>
      <c r="O1410" s="23">
        <f>ROUND(N1410*'Methodology &amp; Assumptions'!$B$8, 0)</f>
        <v/>
      </c>
      <c r="P1410" s="44" t="inlineStr">
        <is>
          <t>Band n50 (1.5 GHz, 60 MHz)</t>
        </is>
      </c>
      <c r="Q1410" s="38">
        <f>ROUNDUP(O1410/'Methodology &amp; Assumptions'!$B$9, 0)</f>
        <v/>
      </c>
      <c r="R1410" s="39" t="n">
        <v>1</v>
      </c>
      <c r="S1410" s="25" t="n">
        <v>2.25</v>
      </c>
      <c r="T1410" s="25" t="n">
        <v>1.35</v>
      </c>
      <c r="U1410" s="42" t="inlineStr">
        <is>
          <t>Tier 1B (Micro Drop, 1-3 km)</t>
        </is>
      </c>
      <c r="V1410" s="24" t="n">
        <v>57.2</v>
      </c>
      <c r="W1410" s="24" t="n">
        <v>77.90000000000001</v>
      </c>
      <c r="X1410" s="24" t="n">
        <v>58</v>
      </c>
      <c r="Y1410" s="45">
        <f>ROUND((V1410*'Methodology &amp; Assumptions'!$B$6)+(W1410*'Methodology &amp; Assumptions'!$B$5)+(X1410*'Methodology &amp; Assumptions'!$B$7), 2)</f>
        <v/>
      </c>
    </row>
    <row r="1411" ht="19" customHeight="1">
      <c r="A1411" s="35" t="n">
        <v>407</v>
      </c>
      <c r="B1411" s="35" t="n">
        <v>4407</v>
      </c>
      <c r="C1411" s="36" t="inlineStr">
        <is>
          <t>0506208003</t>
        </is>
      </c>
      <c r="D1411" s="36" t="inlineStr">
        <is>
          <t>Region V (Bicol Region)</t>
        </is>
      </c>
      <c r="E1411" s="36" t="inlineStr">
        <is>
          <t>Sorsogon</t>
        </is>
      </c>
      <c r="F1411" s="36" t="inlineStr">
        <is>
          <t>Gubat</t>
        </is>
      </c>
      <c r="G1411" s="36" t="inlineStr">
        <is>
          <t>Balud Del Norte</t>
        </is>
      </c>
      <c r="H1411" s="37" t="n">
        <v>12.92572</v>
      </c>
      <c r="I1411" s="37" t="n">
        <v>124.124535</v>
      </c>
      <c r="J1411" s="8" t="inlineStr">
        <is>
          <t>R</t>
        </is>
      </c>
      <c r="K1411" s="36" t="inlineStr">
        <is>
          <t>Class 1-3 / Urban</t>
        </is>
      </c>
      <c r="L1411" s="18" t="n">
        <v>2010</v>
      </c>
      <c r="M1411" s="20" t="n">
        <v>4.58</v>
      </c>
      <c r="N1411" s="18">
        <f>ROUND(L1411/M1411, 0)</f>
        <v/>
      </c>
      <c r="O1411" s="18">
        <f>ROUND(N1411*'Methodology &amp; Assumptions'!$B$8, 0)</f>
        <v/>
      </c>
      <c r="P1411" s="8" t="inlineStr">
        <is>
          <t>Band n50 (1.5 GHz, 60 MHz)</t>
        </is>
      </c>
      <c r="Q1411" s="38">
        <f>ROUNDUP(O1411/'Methodology &amp; Assumptions'!$B$9, 0)</f>
        <v/>
      </c>
      <c r="R1411" s="39" t="n">
        <v>1</v>
      </c>
      <c r="S1411" s="21" t="n">
        <v>1.25</v>
      </c>
      <c r="T1411" s="21" t="n">
        <v>0.34</v>
      </c>
      <c r="U1411" s="36" t="inlineStr">
        <is>
          <t>Tier 1B (Micro Drop, 1-3 km)</t>
        </is>
      </c>
      <c r="V1411" s="20" t="n">
        <v>75.90000000000001</v>
      </c>
      <c r="W1411" s="20" t="n">
        <v>59.2</v>
      </c>
      <c r="X1411" s="20" t="n">
        <v>58</v>
      </c>
      <c r="Y1411" s="40">
        <f>ROUND((V1411*'Methodology &amp; Assumptions'!$B$6)+(W1411*'Methodology &amp; Assumptions'!$B$5)+(X1411*'Methodology &amp; Assumptions'!$B$7), 2)</f>
        <v/>
      </c>
    </row>
    <row r="1412" ht="19" customHeight="1">
      <c r="A1412" s="41" t="n">
        <v>408</v>
      </c>
      <c r="B1412" s="41" t="n">
        <v>4408</v>
      </c>
      <c r="C1412" s="42" t="inlineStr">
        <is>
          <t>0307702015</t>
        </is>
      </c>
      <c r="D1412" s="42" t="inlineStr">
        <is>
          <t>Region III (Central Luzon)</t>
        </is>
      </c>
      <c r="E1412" s="42" t="inlineStr">
        <is>
          <t>Aurora</t>
        </is>
      </c>
      <c r="F1412" s="42" t="inlineStr">
        <is>
          <t>Casiguran</t>
        </is>
      </c>
      <c r="G1412" s="42" t="inlineStr">
        <is>
          <t>Lual</t>
        </is>
      </c>
      <c r="H1412" s="43" t="n">
        <v>16.269297</v>
      </c>
      <c r="I1412" s="43" t="n">
        <v>122.127009</v>
      </c>
      <c r="J1412" s="44" t="inlineStr">
        <is>
          <t>R</t>
        </is>
      </c>
      <c r="K1412" s="42" t="inlineStr">
        <is>
          <t>Class 1-3 / Urban</t>
        </is>
      </c>
      <c r="L1412" s="23" t="n">
        <v>1661</v>
      </c>
      <c r="M1412" s="24" t="n">
        <v>4.24</v>
      </c>
      <c r="N1412" s="23">
        <f>ROUND(L1412/M1412, 0)</f>
        <v/>
      </c>
      <c r="O1412" s="23">
        <f>ROUND(N1412*'Methodology &amp; Assumptions'!$B$8, 0)</f>
        <v/>
      </c>
      <c r="P1412" s="44" t="inlineStr">
        <is>
          <t>Band n50 (1.5 GHz, 60 MHz)</t>
        </is>
      </c>
      <c r="Q1412" s="38">
        <f>ROUNDUP(O1412/'Methodology &amp; Assumptions'!$B$9, 0)</f>
        <v/>
      </c>
      <c r="R1412" s="39" t="n">
        <v>1</v>
      </c>
      <c r="S1412" s="25" t="n">
        <v>1.09</v>
      </c>
      <c r="T1412" s="25" t="n">
        <v>0.99</v>
      </c>
      <c r="U1412" s="42" t="inlineStr">
        <is>
          <t>Tier 1B (Micro Drop, 1-3 km)</t>
        </is>
      </c>
      <c r="V1412" s="24" t="n">
        <v>79.59999999999999</v>
      </c>
      <c r="W1412" s="24" t="n">
        <v>55.5</v>
      </c>
      <c r="X1412" s="24" t="n">
        <v>58</v>
      </c>
      <c r="Y1412" s="45">
        <f>ROUND((V1412*'Methodology &amp; Assumptions'!$B$6)+(W1412*'Methodology &amp; Assumptions'!$B$5)+(X1412*'Methodology &amp; Assumptions'!$B$7), 2)</f>
        <v/>
      </c>
    </row>
    <row r="1413" ht="19" customHeight="1">
      <c r="A1413" s="35" t="n">
        <v>409</v>
      </c>
      <c r="B1413" s="35" t="n">
        <v>4409</v>
      </c>
      <c r="C1413" s="36" t="inlineStr">
        <is>
          <t>1030500055</t>
        </is>
      </c>
      <c r="D1413" s="36" t="inlineStr">
        <is>
          <t>Region X (Northern Mindanao)</t>
        </is>
      </c>
      <c r="E1413" s="36" t="inlineStr">
        <is>
          <t>Misamis Oriental</t>
        </is>
      </c>
      <c r="F1413" s="36" t="inlineStr">
        <is>
          <t>City of Cagayan De Oro</t>
        </is>
      </c>
      <c r="G1413" s="36" t="inlineStr">
        <is>
          <t>Macabalan</t>
        </is>
      </c>
      <c r="H1413" s="37" t="n">
        <v>8.503994</v>
      </c>
      <c r="I1413" s="37" t="n">
        <v>124.658992</v>
      </c>
      <c r="J1413" s="8" t="inlineStr">
        <is>
          <t>U</t>
        </is>
      </c>
      <c r="K1413" s="36" t="inlineStr">
        <is>
          <t>Class 1-3 / Urban</t>
        </is>
      </c>
      <c r="L1413" s="18" t="n">
        <v>19562</v>
      </c>
      <c r="M1413" s="20" t="n">
        <v>4.54</v>
      </c>
      <c r="N1413" s="18">
        <f>ROUND(L1413/M1413, 0)</f>
        <v/>
      </c>
      <c r="O1413" s="18">
        <f>ROUND(N1413*'Methodology &amp; Assumptions'!$B$8, 0)</f>
        <v/>
      </c>
      <c r="P1413" s="8" t="inlineStr">
        <is>
          <t>Band n50 (1.5 GHz, 60 MHz)</t>
        </is>
      </c>
      <c r="Q1413" s="38">
        <f>ROUNDUP(O1413/'Methodology &amp; Assumptions'!$B$9, 0)</f>
        <v/>
      </c>
      <c r="R1413" s="39" t="n">
        <v>1</v>
      </c>
      <c r="S1413" s="21" t="n">
        <v>2.03</v>
      </c>
      <c r="T1413" s="21" t="n">
        <v>1.78</v>
      </c>
      <c r="U1413" s="36" t="inlineStr">
        <is>
          <t>Tier 1B (Micro Drop, 1-3 km)</t>
        </is>
      </c>
      <c r="V1413" s="20" t="n">
        <v>60.8</v>
      </c>
      <c r="W1413" s="20" t="n">
        <v>100</v>
      </c>
      <c r="X1413" s="20" t="n">
        <v>28</v>
      </c>
      <c r="Y1413" s="40">
        <f>ROUND((V1413*'Methodology &amp; Assumptions'!$B$6)+(W1413*'Methodology &amp; Assumptions'!$B$5)+(X1413*'Methodology &amp; Assumptions'!$B$7), 2)</f>
        <v/>
      </c>
    </row>
    <row r="1414" ht="19" customHeight="1">
      <c r="A1414" s="41" t="n">
        <v>410</v>
      </c>
      <c r="B1414" s="41" t="n">
        <v>4410</v>
      </c>
      <c r="C1414" s="42" t="inlineStr">
        <is>
          <t>0304903049</t>
        </is>
      </c>
      <c r="D1414" s="42" t="inlineStr">
        <is>
          <t>Region III (Central Luzon)</t>
        </is>
      </c>
      <c r="E1414" s="42" t="inlineStr">
        <is>
          <t>Nueva Ecija</t>
        </is>
      </c>
      <c r="F1414" s="42" t="inlineStr">
        <is>
          <t>City of Cabanatuan</t>
        </is>
      </c>
      <c r="G1414" s="42" t="inlineStr">
        <is>
          <t>Magsaysay District</t>
        </is>
      </c>
      <c r="H1414" s="43" t="n">
        <v>15.484284</v>
      </c>
      <c r="I1414" s="43" t="n">
        <v>120.979946</v>
      </c>
      <c r="J1414" s="44" t="inlineStr">
        <is>
          <t>U</t>
        </is>
      </c>
      <c r="K1414" s="42" t="inlineStr">
        <is>
          <t>Class 1-3 / Urban</t>
        </is>
      </c>
      <c r="L1414" s="23" t="n">
        <v>4242</v>
      </c>
      <c r="M1414" s="24" t="n">
        <v>4.32</v>
      </c>
      <c r="N1414" s="23">
        <f>ROUND(L1414/M1414, 0)</f>
        <v/>
      </c>
      <c r="O1414" s="23">
        <f>ROUND(N1414*'Methodology &amp; Assumptions'!$B$8, 0)</f>
        <v/>
      </c>
      <c r="P1414" s="44" t="inlineStr">
        <is>
          <t>Band n50 (1.5 GHz, 60 MHz)</t>
        </is>
      </c>
      <c r="Q1414" s="38">
        <f>ROUNDUP(O1414/'Methodology &amp; Assumptions'!$B$9, 0)</f>
        <v/>
      </c>
      <c r="R1414" s="39" t="n">
        <v>1</v>
      </c>
      <c r="S1414" s="25" t="n">
        <v>2.03</v>
      </c>
      <c r="T1414" s="25" t="n">
        <v>0.73</v>
      </c>
      <c r="U1414" s="42" t="inlineStr">
        <is>
          <t>Tier 1B (Micro Drop, 1-3 km)</t>
        </is>
      </c>
      <c r="V1414" s="24" t="n">
        <v>60.8</v>
      </c>
      <c r="W1414" s="24" t="n">
        <v>100</v>
      </c>
      <c r="X1414" s="24" t="n">
        <v>28</v>
      </c>
      <c r="Y1414" s="45">
        <f>ROUND((V1414*'Methodology &amp; Assumptions'!$B$6)+(W1414*'Methodology &amp; Assumptions'!$B$5)+(X1414*'Methodology &amp; Assumptions'!$B$7), 2)</f>
        <v/>
      </c>
    </row>
    <row r="1415" ht="19" customHeight="1">
      <c r="A1415" s="35" t="n">
        <v>411</v>
      </c>
      <c r="B1415" s="35" t="n">
        <v>4411</v>
      </c>
      <c r="C1415" s="36" t="inlineStr">
        <is>
          <t>0305418002</t>
        </is>
      </c>
      <c r="D1415" s="36" t="inlineStr">
        <is>
          <t>Region III (Central Luzon)</t>
        </is>
      </c>
      <c r="E1415" s="36" t="inlineStr">
        <is>
          <t>Pampanga</t>
        </is>
      </c>
      <c r="F1415" s="36" t="inlineStr">
        <is>
          <t>San Simon</t>
        </is>
      </c>
      <c r="G1415" s="36" t="inlineStr">
        <is>
          <t>De La Paz</t>
        </is>
      </c>
      <c r="H1415" s="37" t="n">
        <v>15.024112</v>
      </c>
      <c r="I1415" s="37" t="n">
        <v>120.734025</v>
      </c>
      <c r="J1415" s="8" t="inlineStr">
        <is>
          <t>R</t>
        </is>
      </c>
      <c r="K1415" s="36" t="inlineStr">
        <is>
          <t>Class 1-3 / Urban</t>
        </is>
      </c>
      <c r="L1415" s="18" t="n">
        <v>2950</v>
      </c>
      <c r="M1415" s="20" t="n">
        <v>4.63</v>
      </c>
      <c r="N1415" s="18">
        <f>ROUND(L1415/M1415, 0)</f>
        <v/>
      </c>
      <c r="O1415" s="18">
        <f>ROUND(N1415*'Methodology &amp; Assumptions'!$B$8, 0)</f>
        <v/>
      </c>
      <c r="P1415" s="8" t="inlineStr">
        <is>
          <t>Band n50 (1.5 GHz, 60 MHz)</t>
        </is>
      </c>
      <c r="Q1415" s="38">
        <f>ROUNDUP(O1415/'Methodology &amp; Assumptions'!$B$9, 0)</f>
        <v/>
      </c>
      <c r="R1415" s="39" t="n">
        <v>1</v>
      </c>
      <c r="S1415" s="21" t="n">
        <v>2.96</v>
      </c>
      <c r="T1415" s="21" t="n">
        <v>1.49</v>
      </c>
      <c r="U1415" s="36" t="inlineStr">
        <is>
          <t>Tier 1B (Micro Drop, 1-3 km)</t>
        </is>
      </c>
      <c r="V1415" s="20" t="n">
        <v>47.2</v>
      </c>
      <c r="W1415" s="20" t="n">
        <v>74.90000000000001</v>
      </c>
      <c r="X1415" s="20" t="n">
        <v>73</v>
      </c>
      <c r="Y1415" s="40">
        <f>ROUND((V1415*'Methodology &amp; Assumptions'!$B$6)+(W1415*'Methodology &amp; Assumptions'!$B$5)+(X1415*'Methodology &amp; Assumptions'!$B$7), 2)</f>
        <v/>
      </c>
    </row>
    <row r="1416" ht="19" customHeight="1">
      <c r="A1416" s="41" t="n">
        <v>412</v>
      </c>
      <c r="B1416" s="41" t="n">
        <v>4412</v>
      </c>
      <c r="C1416" s="42" t="inlineStr">
        <is>
          <t>0803708017</t>
        </is>
      </c>
      <c r="D1416" s="42" t="inlineStr">
        <is>
          <t>Region VIII (Eastern Visayas)</t>
        </is>
      </c>
      <c r="E1416" s="42" t="inlineStr">
        <is>
          <t>Leyte</t>
        </is>
      </c>
      <c r="F1416" s="42" t="inlineStr">
        <is>
          <t>City of Baybay</t>
        </is>
      </c>
      <c r="G1416" s="42" t="inlineStr">
        <is>
          <t>Ga-as</t>
        </is>
      </c>
      <c r="H1416" s="43" t="n">
        <v>10.666209</v>
      </c>
      <c r="I1416" s="43" t="n">
        <v>124.816699</v>
      </c>
      <c r="J1416" s="44" t="inlineStr">
        <is>
          <t>R</t>
        </is>
      </c>
      <c r="K1416" s="42" t="inlineStr">
        <is>
          <t>Class 1-3 / Urban</t>
        </is>
      </c>
      <c r="L1416" s="23" t="n">
        <v>2809</v>
      </c>
      <c r="M1416" s="24" t="n">
        <v>4.24</v>
      </c>
      <c r="N1416" s="23">
        <f>ROUND(L1416/M1416, 0)</f>
        <v/>
      </c>
      <c r="O1416" s="23">
        <f>ROUND(N1416*'Methodology &amp; Assumptions'!$B$8, 0)</f>
        <v/>
      </c>
      <c r="P1416" s="44" t="inlineStr">
        <is>
          <t>Band n50 (1.5 GHz, 60 MHz)</t>
        </is>
      </c>
      <c r="Q1416" s="38">
        <f>ROUNDUP(O1416/'Methodology &amp; Assumptions'!$B$9, 0)</f>
        <v/>
      </c>
      <c r="R1416" s="39" t="n">
        <v>1</v>
      </c>
      <c r="S1416" s="25" t="n">
        <v>2.2</v>
      </c>
      <c r="T1416" s="25" t="n">
        <v>0.31</v>
      </c>
      <c r="U1416" s="42" t="inlineStr">
        <is>
          <t>Tier 1B (Micro Drop, 1-3 km)</t>
        </is>
      </c>
      <c r="V1416" s="24" t="n">
        <v>58</v>
      </c>
      <c r="W1416" s="24" t="n">
        <v>77.09999999999999</v>
      </c>
      <c r="X1416" s="24" t="n">
        <v>58</v>
      </c>
      <c r="Y1416" s="45">
        <f>ROUND((V1416*'Methodology &amp; Assumptions'!$B$6)+(W1416*'Methodology &amp; Assumptions'!$B$5)+(X1416*'Methodology &amp; Assumptions'!$B$7), 2)</f>
        <v/>
      </c>
    </row>
    <row r="1417" ht="19" customHeight="1">
      <c r="A1417" s="35" t="n">
        <v>413</v>
      </c>
      <c r="B1417" s="35" t="n">
        <v>4413</v>
      </c>
      <c r="C1417" s="36" t="inlineStr">
        <is>
          <t>0803739032</t>
        </is>
      </c>
      <c r="D1417" s="36" t="inlineStr">
        <is>
          <t>Region VIII (Eastern Visayas)</t>
        </is>
      </c>
      <c r="E1417" s="36" t="inlineStr">
        <is>
          <t>Leyte</t>
        </is>
      </c>
      <c r="F1417" s="36" t="inlineStr">
        <is>
          <t>Palo</t>
        </is>
      </c>
      <c r="G1417" s="36" t="inlineStr">
        <is>
          <t>Tacuranga</t>
        </is>
      </c>
      <c r="H1417" s="37" t="n">
        <v>11.148363</v>
      </c>
      <c r="I1417" s="37" t="n">
        <v>124.98809</v>
      </c>
      <c r="J1417" s="8" t="inlineStr">
        <is>
          <t>R</t>
        </is>
      </c>
      <c r="K1417" s="36" t="inlineStr">
        <is>
          <t>Class 1-3 / Urban</t>
        </is>
      </c>
      <c r="L1417" s="18" t="n">
        <v>1975</v>
      </c>
      <c r="M1417" s="20" t="n">
        <v>4.24</v>
      </c>
      <c r="N1417" s="18">
        <f>ROUND(L1417/M1417, 0)</f>
        <v/>
      </c>
      <c r="O1417" s="18">
        <f>ROUND(N1417*'Methodology &amp; Assumptions'!$B$8, 0)</f>
        <v/>
      </c>
      <c r="P1417" s="8" t="inlineStr">
        <is>
          <t>Band n50 (1.5 GHz, 60 MHz)</t>
        </is>
      </c>
      <c r="Q1417" s="38">
        <f>ROUNDUP(O1417/'Methodology &amp; Assumptions'!$B$9, 0)</f>
        <v/>
      </c>
      <c r="R1417" s="39" t="n">
        <v>1</v>
      </c>
      <c r="S1417" s="21" t="n">
        <v>1.35</v>
      </c>
      <c r="T1417" s="21" t="n">
        <v>1.2</v>
      </c>
      <c r="U1417" s="36" t="inlineStr">
        <is>
          <t>Tier 1B (Micro Drop, 1-3 km)</t>
        </is>
      </c>
      <c r="V1417" s="20" t="n">
        <v>73.7</v>
      </c>
      <c r="W1417" s="20" t="n">
        <v>61.3</v>
      </c>
      <c r="X1417" s="20" t="n">
        <v>58</v>
      </c>
      <c r="Y1417" s="40">
        <f>ROUND((V1417*'Methodology &amp; Assumptions'!$B$6)+(W1417*'Methodology &amp; Assumptions'!$B$5)+(X1417*'Methodology &amp; Assumptions'!$B$7), 2)</f>
        <v/>
      </c>
    </row>
    <row r="1418" ht="19" customHeight="1">
      <c r="A1418" s="41" t="n">
        <v>414</v>
      </c>
      <c r="B1418" s="41" t="n">
        <v>4414</v>
      </c>
      <c r="C1418" s="42" t="inlineStr">
        <is>
          <t>0402121006</t>
        </is>
      </c>
      <c r="D1418" s="42" t="inlineStr">
        <is>
          <t>Region IV-A (CALABARZON)</t>
        </is>
      </c>
      <c r="E1418" s="42" t="inlineStr">
        <is>
          <t>Cavite</t>
        </is>
      </c>
      <c r="F1418" s="42" t="inlineStr">
        <is>
          <t>Ternate</t>
        </is>
      </c>
      <c r="G1418" s="42" t="inlineStr">
        <is>
          <t>San Jose</t>
        </is>
      </c>
      <c r="H1418" s="43" t="n">
        <v>14.291807</v>
      </c>
      <c r="I1418" s="43" t="n">
        <v>120.717196</v>
      </c>
      <c r="J1418" s="44" t="inlineStr">
        <is>
          <t>R</t>
        </is>
      </c>
      <c r="K1418" s="42" t="inlineStr">
        <is>
          <t>3rd</t>
        </is>
      </c>
      <c r="L1418" s="23" t="n">
        <v>1958</v>
      </c>
      <c r="M1418" s="24" t="n">
        <v>4.08</v>
      </c>
      <c r="N1418" s="23">
        <f>ROUND(L1418/M1418, 0)</f>
        <v/>
      </c>
      <c r="O1418" s="23">
        <f>ROUND(N1418*'Methodology &amp; Assumptions'!$B$8, 0)</f>
        <v/>
      </c>
      <c r="P1418" s="44" t="inlineStr">
        <is>
          <t>Band n50 (1.5 GHz, 60 MHz)</t>
        </is>
      </c>
      <c r="Q1418" s="38">
        <f>ROUNDUP(O1418/'Methodology &amp; Assumptions'!$B$9, 0)</f>
        <v/>
      </c>
      <c r="R1418" s="39" t="n">
        <v>1</v>
      </c>
      <c r="S1418" s="25" t="n">
        <v>0.96</v>
      </c>
      <c r="T1418" s="25" t="n">
        <v>2.79</v>
      </c>
      <c r="U1418" s="42" t="inlineStr">
        <is>
          <t>Tier 1A (Direct Coloc, &lt;1 km)</t>
        </is>
      </c>
      <c r="V1418" s="24" t="n">
        <v>72.59999999999999</v>
      </c>
      <c r="W1418" s="24" t="n">
        <v>62.4</v>
      </c>
      <c r="X1418" s="24" t="n">
        <v>58</v>
      </c>
      <c r="Y1418" s="45">
        <f>ROUND((V1418*'Methodology &amp; Assumptions'!$B$6)+(W1418*'Methodology &amp; Assumptions'!$B$5)+(X1418*'Methodology &amp; Assumptions'!$B$7), 2)</f>
        <v/>
      </c>
    </row>
    <row r="1419" ht="19" customHeight="1">
      <c r="A1419" s="35" t="n">
        <v>415</v>
      </c>
      <c r="B1419" s="35" t="n">
        <v>4415</v>
      </c>
      <c r="C1419" s="36" t="inlineStr">
        <is>
          <t>0307111006</t>
        </is>
      </c>
      <c r="D1419" s="36" t="inlineStr">
        <is>
          <t>Region III (Central Luzon)</t>
        </is>
      </c>
      <c r="E1419" s="36" t="inlineStr">
        <is>
          <t>Zambales</t>
        </is>
      </c>
      <c r="F1419" s="36" t="inlineStr">
        <is>
          <t>San Marcelino</t>
        </is>
      </c>
      <c r="G1419" s="36" t="inlineStr">
        <is>
          <t>La Paz</t>
        </is>
      </c>
      <c r="H1419" s="37" t="n">
        <v>14.971808</v>
      </c>
      <c r="I1419" s="37" t="n">
        <v>120.156601</v>
      </c>
      <c r="J1419" s="8" t="inlineStr">
        <is>
          <t>R</t>
        </is>
      </c>
      <c r="K1419" s="36" t="inlineStr">
        <is>
          <t>Class 1-3 / Urban</t>
        </is>
      </c>
      <c r="L1419" s="18" t="n">
        <v>1428</v>
      </c>
      <c r="M1419" s="20" t="n">
        <v>4.05</v>
      </c>
      <c r="N1419" s="18">
        <f>ROUND(L1419/M1419, 0)</f>
        <v/>
      </c>
      <c r="O1419" s="18">
        <f>ROUND(N1419*'Methodology &amp; Assumptions'!$B$8, 0)</f>
        <v/>
      </c>
      <c r="P1419" s="8" t="inlineStr">
        <is>
          <t>Band n50 (1.5 GHz, 60 MHz)</t>
        </is>
      </c>
      <c r="Q1419" s="38">
        <f>ROUNDUP(O1419/'Methodology &amp; Assumptions'!$B$9, 0)</f>
        <v/>
      </c>
      <c r="R1419" s="39" t="n">
        <v>1</v>
      </c>
      <c r="S1419" s="21" t="n">
        <v>0.95</v>
      </c>
      <c r="T1419" s="21" t="n">
        <v>0.29</v>
      </c>
      <c r="U1419" s="36" t="inlineStr">
        <is>
          <t>Tier 1A (Direct Coloc, &lt;1 km)</t>
        </is>
      </c>
      <c r="V1419" s="20" t="n">
        <v>82.8</v>
      </c>
      <c r="W1419" s="20" t="n">
        <v>52.3</v>
      </c>
      <c r="X1419" s="20" t="n">
        <v>58</v>
      </c>
      <c r="Y1419" s="40">
        <f>ROUND((V1419*'Methodology &amp; Assumptions'!$B$6)+(W1419*'Methodology &amp; Assumptions'!$B$5)+(X1419*'Methodology &amp; Assumptions'!$B$7), 2)</f>
        <v/>
      </c>
    </row>
    <row r="1420" ht="19" customHeight="1">
      <c r="A1420" s="41" t="n">
        <v>416</v>
      </c>
      <c r="B1420" s="41" t="n">
        <v>4416</v>
      </c>
      <c r="C1420" s="42" t="inlineStr">
        <is>
          <t>0305416010</t>
        </is>
      </c>
      <c r="D1420" s="42" t="inlineStr">
        <is>
          <t>Region III (Central Luzon)</t>
        </is>
      </c>
      <c r="E1420" s="42" t="inlineStr">
        <is>
          <t>Pampanga</t>
        </is>
      </c>
      <c r="F1420" s="42" t="inlineStr">
        <is>
          <t>City of San Fernando</t>
        </is>
      </c>
      <c r="G1420" s="42" t="inlineStr">
        <is>
          <t>Dolores</t>
        </is>
      </c>
      <c r="H1420" s="43" t="n">
        <v>15.061426</v>
      </c>
      <c r="I1420" s="43" t="n">
        <v>120.631019</v>
      </c>
      <c r="J1420" s="44" t="inlineStr">
        <is>
          <t>U</t>
        </is>
      </c>
      <c r="K1420" s="42" t="inlineStr">
        <is>
          <t>Class 1-3 / Urban</t>
        </is>
      </c>
      <c r="L1420" s="23" t="n">
        <v>20542</v>
      </c>
      <c r="M1420" s="24" t="n">
        <v>4.63</v>
      </c>
      <c r="N1420" s="23">
        <f>ROUND(L1420/M1420, 0)</f>
        <v/>
      </c>
      <c r="O1420" s="23">
        <f>ROUND(N1420*'Methodology &amp; Assumptions'!$B$8, 0)</f>
        <v/>
      </c>
      <c r="P1420" s="44" t="inlineStr">
        <is>
          <t>Band n50 (1.5 GHz, 60 MHz)</t>
        </is>
      </c>
      <c r="Q1420" s="38">
        <f>ROUNDUP(O1420/'Methodology &amp; Assumptions'!$B$9, 0)</f>
        <v/>
      </c>
      <c r="R1420" s="39" t="n">
        <v>1</v>
      </c>
      <c r="S1420" s="25" t="n">
        <v>2.03</v>
      </c>
      <c r="T1420" s="25" t="n">
        <v>1.32</v>
      </c>
      <c r="U1420" s="42" t="inlineStr">
        <is>
          <t>Tier 1B (Micro Drop, 1-3 km)</t>
        </is>
      </c>
      <c r="V1420" s="24" t="n">
        <v>60.8</v>
      </c>
      <c r="W1420" s="24" t="n">
        <v>100</v>
      </c>
      <c r="X1420" s="24" t="n">
        <v>28</v>
      </c>
      <c r="Y1420" s="45">
        <f>ROUND((V1420*'Methodology &amp; Assumptions'!$B$6)+(W1420*'Methodology &amp; Assumptions'!$B$5)+(X1420*'Methodology &amp; Assumptions'!$B$7), 2)</f>
        <v/>
      </c>
    </row>
    <row r="1421" ht="19" customHeight="1">
      <c r="A1421" s="35" t="n">
        <v>417</v>
      </c>
      <c r="B1421" s="35" t="n">
        <v>4417</v>
      </c>
      <c r="C1421" s="36" t="inlineStr">
        <is>
          <t>0500506051</t>
        </is>
      </c>
      <c r="D1421" s="36" t="inlineStr">
        <is>
          <t>Region V (Bicol Region)</t>
        </is>
      </c>
      <c r="E1421" s="36" t="inlineStr">
        <is>
          <t>Albay</t>
        </is>
      </c>
      <c r="F1421" s="36" t="inlineStr">
        <is>
          <t>City of Legazpi</t>
        </is>
      </c>
      <c r="G1421" s="36" t="inlineStr">
        <is>
          <t>Bgy. 40 - Cruzada</t>
        </is>
      </c>
      <c r="H1421" s="37" t="n">
        <v>13.156116</v>
      </c>
      <c r="I1421" s="37" t="n">
        <v>123.734334</v>
      </c>
      <c r="J1421" s="8" t="inlineStr">
        <is>
          <t>U</t>
        </is>
      </c>
      <c r="K1421" s="36" t="inlineStr">
        <is>
          <t>Class 1-3 / Urban</t>
        </is>
      </c>
      <c r="L1421" s="18" t="n">
        <v>6087</v>
      </c>
      <c r="M1421" s="20" t="n">
        <v>4.67</v>
      </c>
      <c r="N1421" s="18">
        <f>ROUND(L1421/M1421, 0)</f>
        <v/>
      </c>
      <c r="O1421" s="18">
        <f>ROUND(N1421*'Methodology &amp; Assumptions'!$B$8, 0)</f>
        <v/>
      </c>
      <c r="P1421" s="8" t="inlineStr">
        <is>
          <t>Band n50 (1.5 GHz, 60 MHz)</t>
        </is>
      </c>
      <c r="Q1421" s="38">
        <f>ROUNDUP(O1421/'Methodology &amp; Assumptions'!$B$9, 0)</f>
        <v/>
      </c>
      <c r="R1421" s="39" t="n">
        <v>1</v>
      </c>
      <c r="S1421" s="21" t="n">
        <v>2.03</v>
      </c>
      <c r="T1421" s="21" t="n">
        <v>0.18</v>
      </c>
      <c r="U1421" s="36" t="inlineStr">
        <is>
          <t>Tier 1B (Micro Drop, 1-3 km)</t>
        </is>
      </c>
      <c r="V1421" s="20" t="n">
        <v>60.8</v>
      </c>
      <c r="W1421" s="20" t="n">
        <v>100</v>
      </c>
      <c r="X1421" s="20" t="n">
        <v>28</v>
      </c>
      <c r="Y1421" s="40">
        <f>ROUND((V1421*'Methodology &amp; Assumptions'!$B$6)+(W1421*'Methodology &amp; Assumptions'!$B$5)+(X1421*'Methodology &amp; Assumptions'!$B$7), 2)</f>
        <v/>
      </c>
    </row>
    <row r="1422" ht="19" customHeight="1">
      <c r="A1422" s="41" t="n">
        <v>418</v>
      </c>
      <c r="B1422" s="41" t="n">
        <v>4418</v>
      </c>
      <c r="C1422" s="42" t="inlineStr">
        <is>
          <t>0403404019</t>
        </is>
      </c>
      <c r="D1422" s="42" t="inlineStr">
        <is>
          <t>Region IV-A (CALABARZON)</t>
        </is>
      </c>
      <c r="E1422" s="42" t="inlineStr">
        <is>
          <t>Laguna</t>
        </is>
      </c>
      <c r="F1422" s="42" t="inlineStr">
        <is>
          <t>City of Cabuyao</t>
        </is>
      </c>
      <c r="G1422" s="42" t="inlineStr">
        <is>
          <t>Barangay Tres</t>
        </is>
      </c>
      <c r="H1422" s="43" t="n">
        <v>14.274256</v>
      </c>
      <c r="I1422" s="43" t="n">
        <v>121.123435</v>
      </c>
      <c r="J1422" s="44" t="inlineStr">
        <is>
          <t>U</t>
        </is>
      </c>
      <c r="K1422" s="42" t="inlineStr">
        <is>
          <t>Class 1-3 / Urban</t>
        </is>
      </c>
      <c r="L1422" s="23" t="n">
        <v>4274</v>
      </c>
      <c r="M1422" s="24" t="n">
        <v>4.2</v>
      </c>
      <c r="N1422" s="23">
        <f>ROUND(L1422/M1422, 0)</f>
        <v/>
      </c>
      <c r="O1422" s="23">
        <f>ROUND(N1422*'Methodology &amp; Assumptions'!$B$8, 0)</f>
        <v/>
      </c>
      <c r="P1422" s="44" t="inlineStr">
        <is>
          <t>Band n50 (1.5 GHz, 60 MHz)</t>
        </is>
      </c>
      <c r="Q1422" s="38">
        <f>ROUNDUP(O1422/'Methodology &amp; Assumptions'!$B$9, 0)</f>
        <v/>
      </c>
      <c r="R1422" s="39" t="n">
        <v>1</v>
      </c>
      <c r="S1422" s="25" t="n">
        <v>2.04</v>
      </c>
      <c r="T1422" s="25" t="n">
        <v>0.52</v>
      </c>
      <c r="U1422" s="42" t="inlineStr">
        <is>
          <t>Tier 1B (Micro Drop, 1-3 km)</t>
        </is>
      </c>
      <c r="V1422" s="24" t="n">
        <v>60.7</v>
      </c>
      <c r="W1422" s="24" t="n">
        <v>100</v>
      </c>
      <c r="X1422" s="24" t="n">
        <v>28</v>
      </c>
      <c r="Y1422" s="45">
        <f>ROUND((V1422*'Methodology &amp; Assumptions'!$B$6)+(W1422*'Methodology &amp; Assumptions'!$B$5)+(X1422*'Methodology &amp; Assumptions'!$B$7), 2)</f>
        <v/>
      </c>
    </row>
    <row r="1423" ht="19" customHeight="1">
      <c r="A1423" s="35" t="n">
        <v>419</v>
      </c>
      <c r="B1423" s="35" t="n">
        <v>4419</v>
      </c>
      <c r="C1423" s="36" t="inlineStr">
        <is>
          <t>1600212004</t>
        </is>
      </c>
      <c r="D1423" s="36" t="inlineStr">
        <is>
          <t>Region XIII (Caraga)</t>
        </is>
      </c>
      <c r="E1423" s="36" t="inlineStr">
        <is>
          <t>Agusan del Norte</t>
        </is>
      </c>
      <c r="F1423" s="36" t="inlineStr">
        <is>
          <t>Remedios T. Romualdez</t>
        </is>
      </c>
      <c r="G1423" s="36" t="inlineStr">
        <is>
          <t>Humilog</t>
        </is>
      </c>
      <c r="H1423" s="37" t="n">
        <v>9.057543000000001</v>
      </c>
      <c r="I1423" s="37" t="n">
        <v>125.568633</v>
      </c>
      <c r="J1423" s="8" t="inlineStr">
        <is>
          <t>R</t>
        </is>
      </c>
      <c r="K1423" s="36" t="inlineStr">
        <is>
          <t>4th</t>
        </is>
      </c>
      <c r="L1423" s="18" t="n">
        <v>1719</v>
      </c>
      <c r="M1423" s="20" t="n">
        <v>4.56</v>
      </c>
      <c r="N1423" s="18">
        <f>ROUND(L1423/M1423, 0)</f>
        <v/>
      </c>
      <c r="O1423" s="18">
        <f>ROUND(N1423*'Methodology &amp; Assumptions'!$B$8, 0)</f>
        <v/>
      </c>
      <c r="P1423" s="8" t="inlineStr">
        <is>
          <t>Band n50 (1.5 GHz, 60 MHz)</t>
        </is>
      </c>
      <c r="Q1423" s="38">
        <f>ROUNDUP(O1423/'Methodology &amp; Assumptions'!$B$9, 0)</f>
        <v/>
      </c>
      <c r="R1423" s="39" t="n">
        <v>1</v>
      </c>
      <c r="S1423" s="21" t="n">
        <v>2.14</v>
      </c>
      <c r="T1423" s="21" t="n">
        <v>1.69</v>
      </c>
      <c r="U1423" s="36" t="inlineStr">
        <is>
          <t>Tier 1B (Micro Drop, 1-3 km)</t>
        </is>
      </c>
      <c r="V1423" s="20" t="n">
        <v>59</v>
      </c>
      <c r="W1423" s="20" t="n">
        <v>54.1</v>
      </c>
      <c r="X1423" s="20" t="n">
        <v>83.5</v>
      </c>
      <c r="Y1423" s="40">
        <f>ROUND((V1423*'Methodology &amp; Assumptions'!$B$6)+(W1423*'Methodology &amp; Assumptions'!$B$5)+(X1423*'Methodology &amp; Assumptions'!$B$7), 2)</f>
        <v/>
      </c>
    </row>
    <row r="1424" ht="19" customHeight="1">
      <c r="A1424" s="41" t="n">
        <v>420</v>
      </c>
      <c r="B1424" s="41" t="n">
        <v>4420</v>
      </c>
      <c r="C1424" s="42" t="inlineStr">
        <is>
          <t>0105510010</t>
        </is>
      </c>
      <c r="D1424" s="42" t="inlineStr">
        <is>
          <t>Region I (Ilocos Region)</t>
        </is>
      </c>
      <c r="E1424" s="42" t="inlineStr">
        <is>
          <t>Pangasinan</t>
        </is>
      </c>
      <c r="F1424" s="42" t="inlineStr">
        <is>
          <t>Bautista</t>
        </is>
      </c>
      <c r="G1424" s="42" t="inlineStr">
        <is>
          <t>Nibaliw Sur</t>
        </is>
      </c>
      <c r="H1424" s="43" t="n">
        <v>15.810088</v>
      </c>
      <c r="I1424" s="43" t="n">
        <v>120.463452</v>
      </c>
      <c r="J1424" s="44" t="inlineStr">
        <is>
          <t>R</t>
        </is>
      </c>
      <c r="K1424" s="42" t="inlineStr">
        <is>
          <t>3rd</t>
        </is>
      </c>
      <c r="L1424" s="23" t="n">
        <v>1164</v>
      </c>
      <c r="M1424" s="24" t="n">
        <v>4.69</v>
      </c>
      <c r="N1424" s="23">
        <f>ROUND(L1424/M1424, 0)</f>
        <v/>
      </c>
      <c r="O1424" s="23">
        <f>ROUND(N1424*'Methodology &amp; Assumptions'!$B$8, 0)</f>
        <v/>
      </c>
      <c r="P1424" s="44" t="inlineStr">
        <is>
          <t>Band n50 (1.5 GHz, 60 MHz)</t>
        </is>
      </c>
      <c r="Q1424" s="38">
        <f>ROUNDUP(O1424/'Methodology &amp; Assumptions'!$B$9, 0)</f>
        <v/>
      </c>
      <c r="R1424" s="39" t="n">
        <v>1</v>
      </c>
      <c r="S1424" s="25" t="n">
        <v>1.14</v>
      </c>
      <c r="T1424" s="25" t="n">
        <v>0.71</v>
      </c>
      <c r="U1424" s="42" t="inlineStr">
        <is>
          <t>Tier 1B (Micro Drop, 1-3 km)</t>
        </is>
      </c>
      <c r="V1424" s="24" t="n">
        <v>78.40000000000001</v>
      </c>
      <c r="W1424" s="24" t="n">
        <v>43.7</v>
      </c>
      <c r="X1424" s="24" t="n">
        <v>73</v>
      </c>
      <c r="Y1424" s="45">
        <f>ROUND((V1424*'Methodology &amp; Assumptions'!$B$6)+(W1424*'Methodology &amp; Assumptions'!$B$5)+(X1424*'Methodology &amp; Assumptions'!$B$7), 2)</f>
        <v/>
      </c>
    </row>
    <row r="1425" ht="19" customHeight="1">
      <c r="A1425" s="35" t="n">
        <v>421</v>
      </c>
      <c r="B1425" s="35" t="n">
        <v>4421</v>
      </c>
      <c r="C1425" s="36" t="inlineStr">
        <is>
          <t>0405619026</t>
        </is>
      </c>
      <c r="D1425" s="36" t="inlineStr">
        <is>
          <t>Region IV-A (CALABARZON)</t>
        </is>
      </c>
      <c r="E1425" s="36" t="inlineStr">
        <is>
          <t>Quezon</t>
        </is>
      </c>
      <c r="F1425" s="36" t="inlineStr">
        <is>
          <t>Gumaca</t>
        </is>
      </c>
      <c r="G1425" s="36" t="inlineStr">
        <is>
          <t>Mabini</t>
        </is>
      </c>
      <c r="H1425" s="37" t="n">
        <v>13.917636</v>
      </c>
      <c r="I1425" s="37" t="n">
        <v>122.095124</v>
      </c>
      <c r="J1425" s="8" t="inlineStr">
        <is>
          <t>R</t>
        </is>
      </c>
      <c r="K1425" s="36" t="inlineStr">
        <is>
          <t>Class 1-3 / Urban</t>
        </is>
      </c>
      <c r="L1425" s="18" t="n">
        <v>2227</v>
      </c>
      <c r="M1425" s="20" t="n">
        <v>4.46</v>
      </c>
      <c r="N1425" s="18">
        <f>ROUND(L1425/M1425, 0)</f>
        <v/>
      </c>
      <c r="O1425" s="18">
        <f>ROUND(N1425*'Methodology &amp; Assumptions'!$B$8, 0)</f>
        <v/>
      </c>
      <c r="P1425" s="8" t="inlineStr">
        <is>
          <t>Band n50 (1.5 GHz, 60 MHz)</t>
        </is>
      </c>
      <c r="Q1425" s="38">
        <f>ROUNDUP(O1425/'Methodology &amp; Assumptions'!$B$9, 0)</f>
        <v/>
      </c>
      <c r="R1425" s="39" t="n">
        <v>1</v>
      </c>
      <c r="S1425" s="21" t="n">
        <v>1.48</v>
      </c>
      <c r="T1425" s="21" t="n">
        <v>0.17</v>
      </c>
      <c r="U1425" s="36" t="inlineStr">
        <is>
          <t>Tier 1B (Micro Drop, 1-3 km)</t>
        </is>
      </c>
      <c r="V1425" s="20" t="n">
        <v>71</v>
      </c>
      <c r="W1425" s="20" t="n">
        <v>64</v>
      </c>
      <c r="X1425" s="20" t="n">
        <v>58</v>
      </c>
      <c r="Y1425" s="40">
        <f>ROUND((V1425*'Methodology &amp; Assumptions'!$B$6)+(W1425*'Methodology &amp; Assumptions'!$B$5)+(X1425*'Methodology &amp; Assumptions'!$B$7), 2)</f>
        <v/>
      </c>
    </row>
    <row r="1426" ht="19" customHeight="1">
      <c r="A1426" s="41" t="n">
        <v>422</v>
      </c>
      <c r="B1426" s="41" t="n">
        <v>4422</v>
      </c>
      <c r="C1426" s="42" t="inlineStr">
        <is>
          <t>1430300101</t>
        </is>
      </c>
      <c r="D1426" s="42" t="inlineStr">
        <is>
          <t>Cordillera Administrative Region (CAR)</t>
        </is>
      </c>
      <c r="E1426" s="42" t="inlineStr">
        <is>
          <t>Benguet</t>
        </is>
      </c>
      <c r="F1426" s="42" t="inlineStr">
        <is>
          <t>City of Baguio</t>
        </is>
      </c>
      <c r="G1426" s="42" t="inlineStr">
        <is>
          <t>Santo Rosario</t>
        </is>
      </c>
      <c r="H1426" s="43" t="n">
        <v>16.40186</v>
      </c>
      <c r="I1426" s="43" t="n">
        <v>120.58763</v>
      </c>
      <c r="J1426" s="44" t="inlineStr">
        <is>
          <t>R</t>
        </is>
      </c>
      <c r="K1426" s="42" t="inlineStr">
        <is>
          <t>Class 1-3 / Urban</t>
        </is>
      </c>
      <c r="L1426" s="23" t="n">
        <v>1909</v>
      </c>
      <c r="M1426" s="24" t="n">
        <v>4.58</v>
      </c>
      <c r="N1426" s="23">
        <f>ROUND(L1426/M1426, 0)</f>
        <v/>
      </c>
      <c r="O1426" s="23">
        <f>ROUND(N1426*'Methodology &amp; Assumptions'!$B$8, 0)</f>
        <v/>
      </c>
      <c r="P1426" s="44" t="inlineStr">
        <is>
          <t>Band n50 (1.5 GHz, 60 MHz)</t>
        </is>
      </c>
      <c r="Q1426" s="38">
        <f>ROUNDUP(O1426/'Methodology &amp; Assumptions'!$B$9, 0)</f>
        <v/>
      </c>
      <c r="R1426" s="39" t="n">
        <v>1</v>
      </c>
      <c r="S1426" s="25" t="n">
        <v>1</v>
      </c>
      <c r="T1426" s="25" t="n">
        <v>0.26</v>
      </c>
      <c r="U1426" s="42" t="inlineStr">
        <is>
          <t>Tier 1A (Direct Coloc, &lt;1 km)</t>
        </is>
      </c>
      <c r="V1426" s="24" t="n">
        <v>81.7</v>
      </c>
      <c r="W1426" s="24" t="n">
        <v>53.3</v>
      </c>
      <c r="X1426" s="24" t="n">
        <v>58</v>
      </c>
      <c r="Y1426" s="45">
        <f>ROUND((V1426*'Methodology &amp; Assumptions'!$B$6)+(W1426*'Methodology &amp; Assumptions'!$B$5)+(X1426*'Methodology &amp; Assumptions'!$B$7), 2)</f>
        <v/>
      </c>
    </row>
    <row r="1427" ht="19" customHeight="1">
      <c r="A1427" s="35" t="n">
        <v>423</v>
      </c>
      <c r="B1427" s="35" t="n">
        <v>4423</v>
      </c>
      <c r="C1427" s="36" t="inlineStr">
        <is>
          <t>0307114001</t>
        </is>
      </c>
      <c r="D1427" s="36" t="inlineStr">
        <is>
          <t>Region III (Central Luzon)</t>
        </is>
      </c>
      <c r="E1427" s="36" t="inlineStr">
        <is>
          <t>Zambales</t>
        </is>
      </c>
      <c r="F1427" s="36" t="inlineStr">
        <is>
          <t>Subic</t>
        </is>
      </c>
      <c r="G1427" s="36" t="inlineStr">
        <is>
          <t>Aningway Sacatihan</t>
        </is>
      </c>
      <c r="H1427" s="37" t="n">
        <v>14.913494</v>
      </c>
      <c r="I1427" s="37" t="n">
        <v>120.228067</v>
      </c>
      <c r="J1427" s="8" t="inlineStr">
        <is>
          <t>U</t>
        </is>
      </c>
      <c r="K1427" s="36" t="inlineStr">
        <is>
          <t>Class 1-3 / Urban</t>
        </is>
      </c>
      <c r="L1427" s="18" t="n">
        <v>5676</v>
      </c>
      <c r="M1427" s="20" t="n">
        <v>4.05</v>
      </c>
      <c r="N1427" s="18">
        <f>ROUND(L1427/M1427, 0)</f>
        <v/>
      </c>
      <c r="O1427" s="18">
        <f>ROUND(N1427*'Methodology &amp; Assumptions'!$B$8, 0)</f>
        <v/>
      </c>
      <c r="P1427" s="8" t="inlineStr">
        <is>
          <t>Band n50 (1.5 GHz, 60 MHz)</t>
        </is>
      </c>
      <c r="Q1427" s="38">
        <f>ROUNDUP(O1427/'Methodology &amp; Assumptions'!$B$9, 0)</f>
        <v/>
      </c>
      <c r="R1427" s="39" t="n">
        <v>1</v>
      </c>
      <c r="S1427" s="21" t="n">
        <v>2.91</v>
      </c>
      <c r="T1427" s="21" t="n">
        <v>0.08</v>
      </c>
      <c r="U1427" s="36" t="inlineStr">
        <is>
          <t>Tier 1B (Micro Drop, 1-3 km)</t>
        </is>
      </c>
      <c r="V1427" s="20" t="n">
        <v>47.8</v>
      </c>
      <c r="W1427" s="20" t="n">
        <v>100</v>
      </c>
      <c r="X1427" s="20" t="n">
        <v>43</v>
      </c>
      <c r="Y1427" s="40">
        <f>ROUND((V1427*'Methodology &amp; Assumptions'!$B$6)+(W1427*'Methodology &amp; Assumptions'!$B$5)+(X1427*'Methodology &amp; Assumptions'!$B$7), 2)</f>
        <v/>
      </c>
    </row>
    <row r="1428" ht="19" customHeight="1">
      <c r="A1428" s="41" t="n">
        <v>424</v>
      </c>
      <c r="B1428" s="41" t="n">
        <v>4424</v>
      </c>
      <c r="C1428" s="42" t="inlineStr">
        <is>
          <t>0601914020</t>
        </is>
      </c>
      <c r="D1428" s="42" t="inlineStr">
        <is>
          <t>Region VI (Western Visayas)</t>
        </is>
      </c>
      <c r="E1428" s="42" t="inlineStr">
        <is>
          <t>Capiz</t>
        </is>
      </c>
      <c r="F1428" s="42" t="inlineStr">
        <is>
          <t>City of Roxas</t>
        </is>
      </c>
      <c r="G1428" s="42" t="inlineStr">
        <is>
          <t>Bolo</t>
        </is>
      </c>
      <c r="H1428" s="43" t="n">
        <v>11.536916</v>
      </c>
      <c r="I1428" s="43" t="n">
        <v>122.757774</v>
      </c>
      <c r="J1428" s="44" t="inlineStr">
        <is>
          <t>U</t>
        </is>
      </c>
      <c r="K1428" s="42" t="inlineStr">
        <is>
          <t>Class 1-3 / Urban</t>
        </is>
      </c>
      <c r="L1428" s="23" t="n">
        <v>8001</v>
      </c>
      <c r="M1428" s="24" t="n">
        <v>4.2</v>
      </c>
      <c r="N1428" s="23">
        <f>ROUND(L1428/M1428, 0)</f>
        <v/>
      </c>
      <c r="O1428" s="23">
        <f>ROUND(N1428*'Methodology &amp; Assumptions'!$B$8, 0)</f>
        <v/>
      </c>
      <c r="P1428" s="44" t="inlineStr">
        <is>
          <t>Band n50 (1.5 GHz, 60 MHz)</t>
        </is>
      </c>
      <c r="Q1428" s="38">
        <f>ROUNDUP(O1428/'Methodology &amp; Assumptions'!$B$9, 0)</f>
        <v/>
      </c>
      <c r="R1428" s="39" t="n">
        <v>1</v>
      </c>
      <c r="S1428" s="25" t="n">
        <v>2.04</v>
      </c>
      <c r="T1428" s="25" t="n">
        <v>0.02</v>
      </c>
      <c r="U1428" s="42" t="inlineStr">
        <is>
          <t>Tier 1B (Micro Drop, 1-3 km)</t>
        </is>
      </c>
      <c r="V1428" s="24" t="n">
        <v>60.7</v>
      </c>
      <c r="W1428" s="24" t="n">
        <v>100</v>
      </c>
      <c r="X1428" s="24" t="n">
        <v>28</v>
      </c>
      <c r="Y1428" s="45">
        <f>ROUND((V1428*'Methodology &amp; Assumptions'!$B$6)+(W1428*'Methodology &amp; Assumptions'!$B$5)+(X1428*'Methodology &amp; Assumptions'!$B$7), 2)</f>
        <v/>
      </c>
    </row>
    <row r="1429" ht="19" customHeight="1">
      <c r="A1429" s="35" t="n">
        <v>425</v>
      </c>
      <c r="B1429" s="35" t="n">
        <v>4425</v>
      </c>
      <c r="C1429" s="36" t="inlineStr">
        <is>
          <t>0500506062</t>
        </is>
      </c>
      <c r="D1429" s="36" t="inlineStr">
        <is>
          <t>Region V (Bicol Region)</t>
        </is>
      </c>
      <c r="E1429" s="36" t="inlineStr">
        <is>
          <t>Albay</t>
        </is>
      </c>
      <c r="F1429" s="36" t="inlineStr">
        <is>
          <t>City of Legazpi</t>
        </is>
      </c>
      <c r="G1429" s="36" t="inlineStr">
        <is>
          <t>Bgy. 44 - Pawa</t>
        </is>
      </c>
      <c r="H1429" s="37" t="n">
        <v>13.132095</v>
      </c>
      <c r="I1429" s="37" t="n">
        <v>123.890859</v>
      </c>
      <c r="J1429" s="8" t="inlineStr">
        <is>
          <t>R</t>
        </is>
      </c>
      <c r="K1429" s="36" t="inlineStr">
        <is>
          <t>Class 1-3 / Urban</t>
        </is>
      </c>
      <c r="L1429" s="18" t="n">
        <v>3983</v>
      </c>
      <c r="M1429" s="20" t="n">
        <v>4.67</v>
      </c>
      <c r="N1429" s="18">
        <f>ROUND(L1429/M1429, 0)</f>
        <v/>
      </c>
      <c r="O1429" s="18">
        <f>ROUND(N1429*'Methodology &amp; Assumptions'!$B$8, 0)</f>
        <v/>
      </c>
      <c r="P1429" s="8" t="inlineStr">
        <is>
          <t>Band n50 (1.5 GHz, 60 MHz)</t>
        </is>
      </c>
      <c r="Q1429" s="38">
        <f>ROUNDUP(O1429/'Methodology &amp; Assumptions'!$B$9, 0)</f>
        <v/>
      </c>
      <c r="R1429" s="39" t="n">
        <v>1</v>
      </c>
      <c r="S1429" s="21" t="n">
        <v>2.55</v>
      </c>
      <c r="T1429" s="21" t="n">
        <v>14.91</v>
      </c>
      <c r="U1429" s="36" t="inlineStr">
        <is>
          <t>Tier 1B (Micro Drop, 1-3 km)</t>
        </is>
      </c>
      <c r="V1429" s="20" t="n">
        <v>42.7</v>
      </c>
      <c r="W1429" s="20" t="n">
        <v>92.3</v>
      </c>
      <c r="X1429" s="20" t="n">
        <v>58</v>
      </c>
      <c r="Y1429" s="40">
        <f>ROUND((V1429*'Methodology &amp; Assumptions'!$B$6)+(W1429*'Methodology &amp; Assumptions'!$B$5)+(X1429*'Methodology &amp; Assumptions'!$B$7), 2)</f>
        <v/>
      </c>
    </row>
    <row r="1430" ht="19" customHeight="1">
      <c r="A1430" s="41" t="n">
        <v>426</v>
      </c>
      <c r="B1430" s="41" t="n">
        <v>4426</v>
      </c>
      <c r="C1430" s="42" t="inlineStr">
        <is>
          <t>0402108011</t>
        </is>
      </c>
      <c r="D1430" s="42" t="inlineStr">
        <is>
          <t>Region IV-A (CALABARZON)</t>
        </is>
      </c>
      <c r="E1430" s="42" t="inlineStr">
        <is>
          <t>Cavite</t>
        </is>
      </c>
      <c r="F1430" s="42" t="inlineStr">
        <is>
          <t>City of General Trias</t>
        </is>
      </c>
      <c r="G1430" s="42" t="inlineStr">
        <is>
          <t>Biclatan</t>
        </is>
      </c>
      <c r="H1430" s="43" t="n">
        <v>14.276916</v>
      </c>
      <c r="I1430" s="43" t="n">
        <v>120.916378</v>
      </c>
      <c r="J1430" s="44" t="inlineStr">
        <is>
          <t>U</t>
        </is>
      </c>
      <c r="K1430" s="42" t="inlineStr">
        <is>
          <t>Class 1-3 / Urban</t>
        </is>
      </c>
      <c r="L1430" s="23" t="n">
        <v>23102</v>
      </c>
      <c r="M1430" s="24" t="n">
        <v>4.49</v>
      </c>
      <c r="N1430" s="23">
        <f>ROUND(L1430/M1430, 0)</f>
        <v/>
      </c>
      <c r="O1430" s="23">
        <f>ROUND(N1430*'Methodology &amp; Assumptions'!$B$8, 0)</f>
        <v/>
      </c>
      <c r="P1430" s="44" t="inlineStr">
        <is>
          <t>Band n50 (1.5 GHz, 60 MHz)</t>
        </is>
      </c>
      <c r="Q1430" s="38">
        <f>ROUNDUP(O1430/'Methodology &amp; Assumptions'!$B$9, 0)</f>
        <v/>
      </c>
      <c r="R1430" s="39" t="n">
        <v>1</v>
      </c>
      <c r="S1430" s="25" t="n">
        <v>2.04</v>
      </c>
      <c r="T1430" s="25" t="n">
        <v>1.7</v>
      </c>
      <c r="U1430" s="42" t="inlineStr">
        <is>
          <t>Tier 1B (Micro Drop, 1-3 km)</t>
        </is>
      </c>
      <c r="V1430" s="24" t="n">
        <v>60.7</v>
      </c>
      <c r="W1430" s="24" t="n">
        <v>100</v>
      </c>
      <c r="X1430" s="24" t="n">
        <v>28</v>
      </c>
      <c r="Y1430" s="45">
        <f>ROUND((V1430*'Methodology &amp; Assumptions'!$B$6)+(W1430*'Methodology &amp; Assumptions'!$B$5)+(X1430*'Methodology &amp; Assumptions'!$B$7), 2)</f>
        <v/>
      </c>
    </row>
    <row r="1431" ht="19" customHeight="1">
      <c r="A1431" s="35" t="n">
        <v>427</v>
      </c>
      <c r="B1431" s="35" t="n">
        <v>4427</v>
      </c>
      <c r="C1431" s="36" t="inlineStr">
        <is>
          <t>1401111009</t>
        </is>
      </c>
      <c r="D1431" s="36" t="inlineStr">
        <is>
          <t>Cordillera Administrative Region (CAR)</t>
        </is>
      </c>
      <c r="E1431" s="36" t="inlineStr">
        <is>
          <t>Benguet</t>
        </is>
      </c>
      <c r="F1431" s="36" t="inlineStr">
        <is>
          <t>Mankayan</t>
        </is>
      </c>
      <c r="G1431" s="36" t="inlineStr">
        <is>
          <t>Palasaan</t>
        </is>
      </c>
      <c r="H1431" s="37" t="n">
        <v>16.8216</v>
      </c>
      <c r="I1431" s="37" t="n">
        <v>120.80375</v>
      </c>
      <c r="J1431" s="8" t="inlineStr">
        <is>
          <t>R</t>
        </is>
      </c>
      <c r="K1431" s="36" t="inlineStr">
        <is>
          <t>Class 1-3 / Urban</t>
        </is>
      </c>
      <c r="L1431" s="18" t="n">
        <v>2971</v>
      </c>
      <c r="M1431" s="20" t="n">
        <v>4.58</v>
      </c>
      <c r="N1431" s="18">
        <f>ROUND(L1431/M1431, 0)</f>
        <v/>
      </c>
      <c r="O1431" s="18">
        <f>ROUND(N1431*'Methodology &amp; Assumptions'!$B$8, 0)</f>
        <v/>
      </c>
      <c r="P1431" s="8" t="inlineStr">
        <is>
          <t>Band n50 (1.5 GHz, 60 MHz)</t>
        </is>
      </c>
      <c r="Q1431" s="38">
        <f>ROUNDUP(O1431/'Methodology &amp; Assumptions'!$B$9, 0)</f>
        <v/>
      </c>
      <c r="R1431" s="39" t="n">
        <v>1</v>
      </c>
      <c r="S1431" s="21" t="n">
        <v>2.74</v>
      </c>
      <c r="T1431" s="21" t="n">
        <v>1.39</v>
      </c>
      <c r="U1431" s="36" t="inlineStr">
        <is>
          <t>Tier 1B (Micro Drop, 1-3 km)</t>
        </is>
      </c>
      <c r="V1431" s="20" t="n">
        <v>50.1</v>
      </c>
      <c r="W1431" s="20" t="n">
        <v>72</v>
      </c>
      <c r="X1431" s="20" t="n">
        <v>73</v>
      </c>
      <c r="Y1431" s="40">
        <f>ROUND((V1431*'Methodology &amp; Assumptions'!$B$6)+(W1431*'Methodology &amp; Assumptions'!$B$5)+(X1431*'Methodology &amp; Assumptions'!$B$7), 2)</f>
        <v/>
      </c>
    </row>
    <row r="1432" ht="19" customHeight="1">
      <c r="A1432" s="41" t="n">
        <v>428</v>
      </c>
      <c r="B1432" s="41" t="n">
        <v>4428</v>
      </c>
      <c r="C1432" s="42" t="inlineStr">
        <is>
          <t>0301418008</t>
        </is>
      </c>
      <c r="D1432" s="42" t="inlineStr">
        <is>
          <t>Region III (Central Luzon)</t>
        </is>
      </c>
      <c r="E1432" s="42" t="inlineStr">
        <is>
          <t>Bulacan</t>
        </is>
      </c>
      <c r="F1432" s="42" t="inlineStr">
        <is>
          <t>Pulilan</t>
        </is>
      </c>
      <c r="G1432" s="42" t="inlineStr">
        <is>
          <t>Dulong Malabon</t>
        </is>
      </c>
      <c r="H1432" s="43" t="n">
        <v>14.920798</v>
      </c>
      <c r="I1432" s="43" t="n">
        <v>120.816925</v>
      </c>
      <c r="J1432" s="44" t="inlineStr">
        <is>
          <t>R</t>
        </is>
      </c>
      <c r="K1432" s="42" t="inlineStr">
        <is>
          <t>Class 1-3 / Urban</t>
        </is>
      </c>
      <c r="L1432" s="23" t="n">
        <v>4114</v>
      </c>
      <c r="M1432" s="24" t="n">
        <v>4.1</v>
      </c>
      <c r="N1432" s="23">
        <f>ROUND(L1432/M1432, 0)</f>
        <v/>
      </c>
      <c r="O1432" s="23">
        <f>ROUND(N1432*'Methodology &amp; Assumptions'!$B$8, 0)</f>
        <v/>
      </c>
      <c r="P1432" s="44" t="inlineStr">
        <is>
          <t>Band n50 (1.5 GHz, 60 MHz)</t>
        </is>
      </c>
      <c r="Q1432" s="38">
        <f>ROUNDUP(O1432/'Methodology &amp; Assumptions'!$B$9, 0)</f>
        <v/>
      </c>
      <c r="R1432" s="39" t="n">
        <v>1</v>
      </c>
      <c r="S1432" s="25" t="n">
        <v>4.17</v>
      </c>
      <c r="T1432" s="25" t="n">
        <v>1.4</v>
      </c>
      <c r="U1432" s="42" t="inlineStr">
        <is>
          <t>Tier 2 (Fiber Corridor / Lateral, 3-5 km)</t>
        </is>
      </c>
      <c r="V1432" s="24" t="n">
        <v>34.9</v>
      </c>
      <c r="W1432" s="24" t="n">
        <v>100</v>
      </c>
      <c r="X1432" s="24" t="n">
        <v>58</v>
      </c>
      <c r="Y1432" s="45">
        <f>ROUND((V1432*'Methodology &amp; Assumptions'!$B$6)+(W1432*'Methodology &amp; Assumptions'!$B$5)+(X1432*'Methodology &amp; Assumptions'!$B$7), 2)</f>
        <v/>
      </c>
    </row>
    <row r="1433" ht="19" customHeight="1">
      <c r="A1433" s="35" t="n">
        <v>429</v>
      </c>
      <c r="B1433" s="35" t="n">
        <v>4429</v>
      </c>
      <c r="C1433" s="36" t="inlineStr">
        <is>
          <t>0307105007</t>
        </is>
      </c>
      <c r="D1433" s="36" t="inlineStr">
        <is>
          <t>Region III (Central Luzon)</t>
        </is>
      </c>
      <c r="E1433" s="36" t="inlineStr">
        <is>
          <t>Zambales</t>
        </is>
      </c>
      <c r="F1433" s="36" t="inlineStr">
        <is>
          <t>Iba</t>
        </is>
      </c>
      <c r="G1433" s="36" t="inlineStr">
        <is>
          <t>Zone 3 Pob.</t>
        </is>
      </c>
      <c r="H1433" s="37" t="n">
        <v>15.326084</v>
      </c>
      <c r="I1433" s="37" t="n">
        <v>119.976983</v>
      </c>
      <c r="J1433" s="8" t="inlineStr">
        <is>
          <t>R</t>
        </is>
      </c>
      <c r="K1433" s="36" t="inlineStr">
        <is>
          <t>Class 1-3 / Urban</t>
        </is>
      </c>
      <c r="L1433" s="18" t="n">
        <v>549</v>
      </c>
      <c r="M1433" s="20" t="n">
        <v>4.05</v>
      </c>
      <c r="N1433" s="18">
        <f>ROUND(L1433/M1433, 0)</f>
        <v/>
      </c>
      <c r="O1433" s="18">
        <f>ROUND(N1433*'Methodology &amp; Assumptions'!$B$8, 0)</f>
        <v/>
      </c>
      <c r="P1433" s="8" t="inlineStr">
        <is>
          <t>Band n50 (1.5 GHz, 60 MHz)</t>
        </is>
      </c>
      <c r="Q1433" s="38">
        <f>ROUNDUP(O1433/'Methodology &amp; Assumptions'!$B$9, 0)</f>
        <v/>
      </c>
      <c r="R1433" s="39" t="n">
        <v>1</v>
      </c>
      <c r="S1433" s="21" t="n">
        <v>0.14</v>
      </c>
      <c r="T1433" s="21" t="n">
        <v>0.14</v>
      </c>
      <c r="U1433" s="36" t="inlineStr">
        <is>
          <t>Tier 1A (Direct Coloc, &lt;1 km)</t>
        </is>
      </c>
      <c r="V1433" s="20" t="n">
        <v>100</v>
      </c>
      <c r="W1433" s="20" t="n">
        <v>34.9</v>
      </c>
      <c r="X1433" s="20" t="n">
        <v>58</v>
      </c>
      <c r="Y1433" s="40">
        <f>ROUND((V1433*'Methodology &amp; Assumptions'!$B$6)+(W1433*'Methodology &amp; Assumptions'!$B$5)+(X1433*'Methodology &amp; Assumptions'!$B$7), 2)</f>
        <v/>
      </c>
    </row>
    <row r="1434" ht="19" customHeight="1">
      <c r="A1434" s="41" t="n">
        <v>430</v>
      </c>
      <c r="B1434" s="41" t="n">
        <v>4430</v>
      </c>
      <c r="C1434" s="42" t="inlineStr">
        <is>
          <t>0304926012</t>
        </is>
      </c>
      <c r="D1434" s="42" t="inlineStr">
        <is>
          <t>Region III (Central Luzon)</t>
        </is>
      </c>
      <c r="E1434" s="42" t="inlineStr">
        <is>
          <t>Nueva Ecija</t>
        </is>
      </c>
      <c r="F1434" s="42" t="inlineStr">
        <is>
          <t>San Jose City</t>
        </is>
      </c>
      <c r="G1434" s="42" t="inlineStr">
        <is>
          <t>Malasin</t>
        </is>
      </c>
      <c r="H1434" s="43" t="n">
        <v>15.80737</v>
      </c>
      <c r="I1434" s="43" t="n">
        <v>121.0015</v>
      </c>
      <c r="J1434" s="44" t="inlineStr">
        <is>
          <t>U</t>
        </is>
      </c>
      <c r="K1434" s="42" t="inlineStr">
        <is>
          <t>Class 1-3 / Urban</t>
        </is>
      </c>
      <c r="L1434" s="23" t="n">
        <v>8614</v>
      </c>
      <c r="M1434" s="24" t="n">
        <v>4.32</v>
      </c>
      <c r="N1434" s="23">
        <f>ROUND(L1434/M1434, 0)</f>
        <v/>
      </c>
      <c r="O1434" s="23">
        <f>ROUND(N1434*'Methodology &amp; Assumptions'!$B$8, 0)</f>
        <v/>
      </c>
      <c r="P1434" s="44" t="inlineStr">
        <is>
          <t>Band n50 (1.5 GHz, 60 MHz)</t>
        </is>
      </c>
      <c r="Q1434" s="38">
        <f>ROUNDUP(O1434/'Methodology &amp; Assumptions'!$B$9, 0)</f>
        <v/>
      </c>
      <c r="R1434" s="39" t="n">
        <v>1</v>
      </c>
      <c r="S1434" s="25" t="n">
        <v>2.04</v>
      </c>
      <c r="T1434" s="25" t="n">
        <v>0.2</v>
      </c>
      <c r="U1434" s="42" t="inlineStr">
        <is>
          <t>Tier 1B (Micro Drop, 1-3 km)</t>
        </is>
      </c>
      <c r="V1434" s="24" t="n">
        <v>60.7</v>
      </c>
      <c r="W1434" s="24" t="n">
        <v>100</v>
      </c>
      <c r="X1434" s="24" t="n">
        <v>28</v>
      </c>
      <c r="Y1434" s="45">
        <f>ROUND((V1434*'Methodology &amp; Assumptions'!$B$6)+(W1434*'Methodology &amp; Assumptions'!$B$5)+(X1434*'Methodology &amp; Assumptions'!$B$7), 2)</f>
        <v/>
      </c>
    </row>
    <row r="1435" ht="19" customHeight="1">
      <c r="A1435" s="35" t="n">
        <v>431</v>
      </c>
      <c r="B1435" s="35" t="n">
        <v>4431</v>
      </c>
      <c r="C1435" s="36" t="inlineStr">
        <is>
          <t>0401006041</t>
        </is>
      </c>
      <c r="D1435" s="36" t="inlineStr">
        <is>
          <t>Region IV-A (CALABARZON)</t>
        </is>
      </c>
      <c r="E1435" s="36" t="inlineStr">
        <is>
          <t>Batangas</t>
        </is>
      </c>
      <c r="F1435" s="36" t="inlineStr">
        <is>
          <t>Bauan</t>
        </is>
      </c>
      <c r="G1435" s="36" t="inlineStr">
        <is>
          <t>Santa Maria</t>
        </is>
      </c>
      <c r="H1435" s="37" t="n">
        <v>14.073564</v>
      </c>
      <c r="I1435" s="37" t="n">
        <v>121.166107</v>
      </c>
      <c r="J1435" s="8" t="inlineStr">
        <is>
          <t>U</t>
        </is>
      </c>
      <c r="K1435" s="36" t="inlineStr">
        <is>
          <t>Class 1-3 / Urban</t>
        </is>
      </c>
      <c r="L1435" s="18" t="n">
        <v>4781</v>
      </c>
      <c r="M1435" s="20" t="n">
        <v>4.62</v>
      </c>
      <c r="N1435" s="18">
        <f>ROUND(L1435/M1435, 0)</f>
        <v/>
      </c>
      <c r="O1435" s="18">
        <f>ROUND(N1435*'Methodology &amp; Assumptions'!$B$8, 0)</f>
        <v/>
      </c>
      <c r="P1435" s="8" t="inlineStr">
        <is>
          <t>Band n50 (1.5 GHz, 60 MHz)</t>
        </is>
      </c>
      <c r="Q1435" s="38">
        <f>ROUNDUP(O1435/'Methodology &amp; Assumptions'!$B$9, 0)</f>
        <v/>
      </c>
      <c r="R1435" s="39" t="n">
        <v>1</v>
      </c>
      <c r="S1435" s="21" t="n">
        <v>2.04</v>
      </c>
      <c r="T1435" s="21" t="n">
        <v>1.17</v>
      </c>
      <c r="U1435" s="36" t="inlineStr">
        <is>
          <t>Tier 1B (Micro Drop, 1-3 km)</t>
        </is>
      </c>
      <c r="V1435" s="20" t="n">
        <v>60.7</v>
      </c>
      <c r="W1435" s="20" t="n">
        <v>100</v>
      </c>
      <c r="X1435" s="20" t="n">
        <v>28</v>
      </c>
      <c r="Y1435" s="40">
        <f>ROUND((V1435*'Methodology &amp; Assumptions'!$B$6)+(W1435*'Methodology &amp; Assumptions'!$B$5)+(X1435*'Methodology &amp; Assumptions'!$B$7), 2)</f>
        <v/>
      </c>
    </row>
    <row r="1436" ht="19" customHeight="1">
      <c r="A1436" s="41" t="n">
        <v>432</v>
      </c>
      <c r="B1436" s="41" t="n">
        <v>4432</v>
      </c>
      <c r="C1436" s="42" t="inlineStr">
        <is>
          <t>0405608020</t>
        </is>
      </c>
      <c r="D1436" s="42" t="inlineStr">
        <is>
          <t>Region IV-A (CALABARZON)</t>
        </is>
      </c>
      <c r="E1436" s="42" t="inlineStr">
        <is>
          <t>Quezon</t>
        </is>
      </c>
      <c r="F1436" s="42" t="inlineStr">
        <is>
          <t>Candelaria</t>
        </is>
      </c>
      <c r="G1436" s="42" t="inlineStr">
        <is>
          <t>Pahinga Sur</t>
        </is>
      </c>
      <c r="H1436" s="43" t="n">
        <v>13.910447</v>
      </c>
      <c r="I1436" s="43" t="n">
        <v>121.405662</v>
      </c>
      <c r="J1436" s="44" t="inlineStr">
        <is>
          <t>R</t>
        </is>
      </c>
      <c r="K1436" s="42" t="inlineStr">
        <is>
          <t>Class 1-3 / Urban</t>
        </is>
      </c>
      <c r="L1436" s="23" t="n">
        <v>3522</v>
      </c>
      <c r="M1436" s="24" t="n">
        <v>4.46</v>
      </c>
      <c r="N1436" s="23">
        <f>ROUND(L1436/M1436, 0)</f>
        <v/>
      </c>
      <c r="O1436" s="23">
        <f>ROUND(N1436*'Methodology &amp; Assumptions'!$B$8, 0)</f>
        <v/>
      </c>
      <c r="P1436" s="44" t="inlineStr">
        <is>
          <t>Band n50 (1.5 GHz, 60 MHz)</t>
        </is>
      </c>
      <c r="Q1436" s="38">
        <f>ROUNDUP(O1436/'Methodology &amp; Assumptions'!$B$9, 0)</f>
        <v/>
      </c>
      <c r="R1436" s="39" t="n">
        <v>1</v>
      </c>
      <c r="S1436" s="25" t="n">
        <v>2.22</v>
      </c>
      <c r="T1436" s="25" t="n">
        <v>2.17</v>
      </c>
      <c r="U1436" s="42" t="inlineStr">
        <is>
          <t>Tier 1B (Micro Drop, 1-3 km)</t>
        </is>
      </c>
      <c r="V1436" s="24" t="n">
        <v>47.7</v>
      </c>
      <c r="W1436" s="24" t="n">
        <v>87.2</v>
      </c>
      <c r="X1436" s="24" t="n">
        <v>58</v>
      </c>
      <c r="Y1436" s="45">
        <f>ROUND((V1436*'Methodology &amp; Assumptions'!$B$6)+(W1436*'Methodology &amp; Assumptions'!$B$5)+(X1436*'Methodology &amp; Assumptions'!$B$7), 2)</f>
        <v/>
      </c>
    </row>
    <row r="1437" ht="19" customHeight="1">
      <c r="A1437" s="35" t="n">
        <v>433</v>
      </c>
      <c r="B1437" s="35" t="n">
        <v>4433</v>
      </c>
      <c r="C1437" s="36" t="inlineStr">
        <is>
          <t>0501733023</t>
        </is>
      </c>
      <c r="D1437" s="36" t="inlineStr">
        <is>
          <t>Region V (Bicol Region)</t>
        </is>
      </c>
      <c r="E1437" s="36" t="inlineStr">
        <is>
          <t>Camarines Sur</t>
        </is>
      </c>
      <c r="F1437" s="36" t="inlineStr">
        <is>
          <t>San Jose</t>
        </is>
      </c>
      <c r="G1437" s="36" t="inlineStr">
        <is>
          <t>San Juan</t>
        </is>
      </c>
      <c r="H1437" s="37" t="n">
        <v>13.697911</v>
      </c>
      <c r="I1437" s="37" t="n">
        <v>123.518888</v>
      </c>
      <c r="J1437" s="8" t="inlineStr">
        <is>
          <t>R</t>
        </is>
      </c>
      <c r="K1437" s="36" t="inlineStr">
        <is>
          <t>3rd</t>
        </is>
      </c>
      <c r="L1437" s="18" t="n">
        <v>883</v>
      </c>
      <c r="M1437" s="20" t="n">
        <v>4.67</v>
      </c>
      <c r="N1437" s="18">
        <f>ROUND(L1437/M1437, 0)</f>
        <v/>
      </c>
      <c r="O1437" s="18">
        <f>ROUND(N1437*'Methodology &amp; Assumptions'!$B$8, 0)</f>
        <v/>
      </c>
      <c r="P1437" s="8" t="inlineStr">
        <is>
          <t>Band n50 (1.5 GHz, 60 MHz)</t>
        </is>
      </c>
      <c r="Q1437" s="38">
        <f>ROUNDUP(O1437/'Methodology &amp; Assumptions'!$B$9, 0)</f>
        <v/>
      </c>
      <c r="R1437" s="39" t="n">
        <v>1</v>
      </c>
      <c r="S1437" s="21" t="n">
        <v>0.13</v>
      </c>
      <c r="T1437" s="21" t="n">
        <v>2.98</v>
      </c>
      <c r="U1437" s="36" t="inlineStr">
        <is>
          <t>Tier 1A (Direct Coloc, &lt;1 km)</t>
        </is>
      </c>
      <c r="V1437" s="20" t="n">
        <v>95.7</v>
      </c>
      <c r="W1437" s="20" t="n">
        <v>39.2</v>
      </c>
      <c r="X1437" s="20" t="n">
        <v>58</v>
      </c>
      <c r="Y1437" s="40">
        <f>ROUND((V1437*'Methodology &amp; Assumptions'!$B$6)+(W1437*'Methodology &amp; Assumptions'!$B$5)+(X1437*'Methodology &amp; Assumptions'!$B$7), 2)</f>
        <v/>
      </c>
    </row>
    <row r="1438" ht="19" customHeight="1">
      <c r="A1438" s="41" t="n">
        <v>434</v>
      </c>
      <c r="B1438" s="41" t="n">
        <v>4434</v>
      </c>
      <c r="C1438" s="42" t="inlineStr">
        <is>
          <t>1001314018</t>
        </is>
      </c>
      <c r="D1438" s="42" t="inlineStr">
        <is>
          <t>Region X (Northern Mindanao)</t>
        </is>
      </c>
      <c r="E1438" s="42" t="inlineStr">
        <is>
          <t>Bukidnon</t>
        </is>
      </c>
      <c r="F1438" s="42" t="inlineStr">
        <is>
          <t>Manolo Fortich</t>
        </is>
      </c>
      <c r="G1438" s="42" t="inlineStr">
        <is>
          <t>San Miguel</t>
        </is>
      </c>
      <c r="H1438" s="43" t="n">
        <v>8.389252000000001</v>
      </c>
      <c r="I1438" s="43" t="n">
        <v>124.83488</v>
      </c>
      <c r="J1438" s="44" t="inlineStr">
        <is>
          <t>U</t>
        </is>
      </c>
      <c r="K1438" s="42" t="inlineStr">
        <is>
          <t>Class 1-3 / Urban</t>
        </is>
      </c>
      <c r="L1438" s="23" t="n">
        <v>5515</v>
      </c>
      <c r="M1438" s="24" t="n">
        <v>4.63</v>
      </c>
      <c r="N1438" s="23">
        <f>ROUND(L1438/M1438, 0)</f>
        <v/>
      </c>
      <c r="O1438" s="23">
        <f>ROUND(N1438*'Methodology &amp; Assumptions'!$B$8, 0)</f>
        <v/>
      </c>
      <c r="P1438" s="44" t="inlineStr">
        <is>
          <t>Band n50 (1.5 GHz, 60 MHz)</t>
        </is>
      </c>
      <c r="Q1438" s="38">
        <f>ROUNDUP(O1438/'Methodology &amp; Assumptions'!$B$9, 0)</f>
        <v/>
      </c>
      <c r="R1438" s="39" t="n">
        <v>1</v>
      </c>
      <c r="S1438" s="25" t="n">
        <v>2.04</v>
      </c>
      <c r="T1438" s="25" t="n">
        <v>0.17</v>
      </c>
      <c r="U1438" s="42" t="inlineStr">
        <is>
          <t>Tier 1B (Micro Drop, 1-3 km)</t>
        </is>
      </c>
      <c r="V1438" s="24" t="n">
        <v>60.6</v>
      </c>
      <c r="W1438" s="24" t="n">
        <v>100</v>
      </c>
      <c r="X1438" s="24" t="n">
        <v>28</v>
      </c>
      <c r="Y1438" s="45">
        <f>ROUND((V1438*'Methodology &amp; Assumptions'!$B$6)+(W1438*'Methodology &amp; Assumptions'!$B$5)+(X1438*'Methodology &amp; Assumptions'!$B$7), 2)</f>
        <v/>
      </c>
    </row>
    <row r="1439" ht="19" customHeight="1">
      <c r="A1439" s="35" t="n">
        <v>435</v>
      </c>
      <c r="B1439" s="35" t="n">
        <v>4435</v>
      </c>
      <c r="C1439" s="36" t="inlineStr">
        <is>
          <t>0500506049</t>
        </is>
      </c>
      <c r="D1439" s="36" t="inlineStr">
        <is>
          <t>Region V (Bicol Region)</t>
        </is>
      </c>
      <c r="E1439" s="36" t="inlineStr">
        <is>
          <t>Albay</t>
        </is>
      </c>
      <c r="F1439" s="36" t="inlineStr">
        <is>
          <t>City of Legazpi</t>
        </is>
      </c>
      <c r="G1439" s="36" t="inlineStr">
        <is>
          <t>Bgy. 51 - Buyuan</t>
        </is>
      </c>
      <c r="H1439" s="37" t="n">
        <v>13.2087</v>
      </c>
      <c r="I1439" s="37" t="n">
        <v>123.7546</v>
      </c>
      <c r="J1439" s="8" t="inlineStr">
        <is>
          <t>R</t>
        </is>
      </c>
      <c r="K1439" s="36" t="inlineStr">
        <is>
          <t>Class 1-3 / Urban</t>
        </is>
      </c>
      <c r="L1439" s="18" t="n">
        <v>4343</v>
      </c>
      <c r="M1439" s="20" t="n">
        <v>4.67</v>
      </c>
      <c r="N1439" s="18">
        <f>ROUND(L1439/M1439, 0)</f>
        <v/>
      </c>
      <c r="O1439" s="18">
        <f>ROUND(N1439*'Methodology &amp; Assumptions'!$B$8, 0)</f>
        <v/>
      </c>
      <c r="P1439" s="8" t="inlineStr">
        <is>
          <t>Band n50 (1.5 GHz, 60 MHz)</t>
        </is>
      </c>
      <c r="Q1439" s="38">
        <f>ROUNDUP(O1439/'Methodology &amp; Assumptions'!$B$9, 0)</f>
        <v/>
      </c>
      <c r="R1439" s="39" t="n">
        <v>1</v>
      </c>
      <c r="S1439" s="21" t="n">
        <v>3.99</v>
      </c>
      <c r="T1439" s="21" t="n">
        <v>0.18</v>
      </c>
      <c r="U1439" s="36" t="inlineStr">
        <is>
          <t>Tier 2 (Fiber Corridor / Lateral, 3-5 km)</t>
        </is>
      </c>
      <c r="V1439" s="20" t="n">
        <v>36.5</v>
      </c>
      <c r="W1439" s="20" t="n">
        <v>98.40000000000001</v>
      </c>
      <c r="X1439" s="20" t="n">
        <v>58</v>
      </c>
      <c r="Y1439" s="40">
        <f>ROUND((V1439*'Methodology &amp; Assumptions'!$B$6)+(W1439*'Methodology &amp; Assumptions'!$B$5)+(X1439*'Methodology &amp; Assumptions'!$B$7), 2)</f>
        <v/>
      </c>
    </row>
    <row r="1440" ht="19" customHeight="1">
      <c r="A1440" s="41" t="n">
        <v>436</v>
      </c>
      <c r="B1440" s="41" t="n">
        <v>4436</v>
      </c>
      <c r="C1440" s="42" t="inlineStr">
        <is>
          <t>0702231002</t>
        </is>
      </c>
      <c r="D1440" s="42" t="inlineStr">
        <is>
          <t>Region VII (Central Visayas)</t>
        </is>
      </c>
      <c r="E1440" s="42" t="inlineStr">
        <is>
          <t>Cebu</t>
        </is>
      </c>
      <c r="F1440" s="42" t="inlineStr">
        <is>
          <t>Medellin</t>
        </is>
      </c>
      <c r="G1440" s="42" t="inlineStr">
        <is>
          <t>Curva</t>
        </is>
      </c>
      <c r="H1440" s="43" t="n">
        <v>11.1373</v>
      </c>
      <c r="I1440" s="43" t="n">
        <v>124.00248</v>
      </c>
      <c r="J1440" s="44" t="inlineStr">
        <is>
          <t>R</t>
        </is>
      </c>
      <c r="K1440" s="42" t="inlineStr">
        <is>
          <t>Class 1-3 / Urban</t>
        </is>
      </c>
      <c r="L1440" s="23" t="n">
        <v>2468</v>
      </c>
      <c r="M1440" s="24" t="n">
        <v>4.42</v>
      </c>
      <c r="N1440" s="23">
        <f>ROUND(L1440/M1440, 0)</f>
        <v/>
      </c>
      <c r="O1440" s="23">
        <f>ROUND(N1440*'Methodology &amp; Assumptions'!$B$8, 0)</f>
        <v/>
      </c>
      <c r="P1440" s="44" t="inlineStr">
        <is>
          <t>Band n50 (1.5 GHz, 60 MHz)</t>
        </is>
      </c>
      <c r="Q1440" s="38">
        <f>ROUNDUP(O1440/'Methodology &amp; Assumptions'!$B$9, 0)</f>
        <v/>
      </c>
      <c r="R1440" s="39" t="n">
        <v>1</v>
      </c>
      <c r="S1440" s="25" t="n">
        <v>1.72</v>
      </c>
      <c r="T1440" s="25" t="n">
        <v>0.25</v>
      </c>
      <c r="U1440" s="42" t="inlineStr">
        <is>
          <t>Tier 1B (Micro Drop, 1-3 km)</t>
        </is>
      </c>
      <c r="V1440" s="24" t="n">
        <v>66.40000000000001</v>
      </c>
      <c r="W1440" s="24" t="n">
        <v>68.5</v>
      </c>
      <c r="X1440" s="24" t="n">
        <v>58</v>
      </c>
      <c r="Y1440" s="45">
        <f>ROUND((V1440*'Methodology &amp; Assumptions'!$B$6)+(W1440*'Methodology &amp; Assumptions'!$B$5)+(X1440*'Methodology &amp; Assumptions'!$B$7), 2)</f>
        <v/>
      </c>
    </row>
    <row r="1441" ht="19" customHeight="1">
      <c r="A1441" s="35" t="n">
        <v>437</v>
      </c>
      <c r="B1441" s="35" t="n">
        <v>4437</v>
      </c>
      <c r="C1441" s="36" t="inlineStr">
        <is>
          <t>1430300012</t>
        </is>
      </c>
      <c r="D1441" s="36" t="inlineStr">
        <is>
          <t>Cordillera Administrative Region (CAR)</t>
        </is>
      </c>
      <c r="E1441" s="36" t="inlineStr">
        <is>
          <t>Benguet</t>
        </is>
      </c>
      <c r="F1441" s="36" t="inlineStr">
        <is>
          <t>City of Baguio</t>
        </is>
      </c>
      <c r="G1441" s="36" t="inlineStr">
        <is>
          <t>Brookside</t>
        </is>
      </c>
      <c r="H1441" s="37" t="n">
        <v>16.42034</v>
      </c>
      <c r="I1441" s="37" t="n">
        <v>120.60281</v>
      </c>
      <c r="J1441" s="8" t="inlineStr">
        <is>
          <t>R</t>
        </is>
      </c>
      <c r="K1441" s="36" t="inlineStr">
        <is>
          <t>Class 1-3 / Urban</t>
        </is>
      </c>
      <c r="L1441" s="18" t="n">
        <v>1804</v>
      </c>
      <c r="M1441" s="20" t="n">
        <v>4.58</v>
      </c>
      <c r="N1441" s="18">
        <f>ROUND(L1441/M1441, 0)</f>
        <v/>
      </c>
      <c r="O1441" s="18">
        <f>ROUND(N1441*'Methodology &amp; Assumptions'!$B$8, 0)</f>
        <v/>
      </c>
      <c r="P1441" s="8" t="inlineStr">
        <is>
          <t>Band n50 (1.5 GHz, 60 MHz)</t>
        </is>
      </c>
      <c r="Q1441" s="38">
        <f>ROUNDUP(O1441/'Methodology &amp; Assumptions'!$B$9, 0)</f>
        <v/>
      </c>
      <c r="R1441" s="39" t="n">
        <v>1</v>
      </c>
      <c r="S1441" s="21" t="n">
        <v>0.93</v>
      </c>
      <c r="T1441" s="21" t="n">
        <v>1.12</v>
      </c>
      <c r="U1441" s="36" t="inlineStr">
        <is>
          <t>Tier 1A (Direct Coloc, &lt;1 km)</t>
        </is>
      </c>
      <c r="V1441" s="20" t="n">
        <v>83.40000000000001</v>
      </c>
      <c r="W1441" s="20" t="n">
        <v>51.5</v>
      </c>
      <c r="X1441" s="20" t="n">
        <v>58</v>
      </c>
      <c r="Y1441" s="40">
        <f>ROUND((V1441*'Methodology &amp; Assumptions'!$B$6)+(W1441*'Methodology &amp; Assumptions'!$B$5)+(X1441*'Methodology &amp; Assumptions'!$B$7), 2)</f>
        <v/>
      </c>
    </row>
    <row r="1442" ht="19" customHeight="1">
      <c r="A1442" s="41" t="n">
        <v>438</v>
      </c>
      <c r="B1442" s="41" t="n">
        <v>4438</v>
      </c>
      <c r="C1442" s="42" t="inlineStr">
        <is>
          <t>0501727016</t>
        </is>
      </c>
      <c r="D1442" s="42" t="inlineStr">
        <is>
          <t>Region V (Bicol Region)</t>
        </is>
      </c>
      <c r="E1442" s="42" t="inlineStr">
        <is>
          <t>Camarines Sur</t>
        </is>
      </c>
      <c r="F1442" s="42" t="inlineStr">
        <is>
          <t>Pasacao</t>
        </is>
      </c>
      <c r="G1442" s="42" t="inlineStr">
        <is>
          <t>Santa Rosa Del Norte</t>
        </is>
      </c>
      <c r="H1442" s="43" t="n">
        <v>13.515841</v>
      </c>
      <c r="I1442" s="43" t="n">
        <v>123.042022</v>
      </c>
      <c r="J1442" s="44" t="inlineStr">
        <is>
          <t>U</t>
        </is>
      </c>
      <c r="K1442" s="42" t="inlineStr">
        <is>
          <t>Class 1-3 / Urban</t>
        </is>
      </c>
      <c r="L1442" s="23" t="n">
        <v>4136</v>
      </c>
      <c r="M1442" s="24" t="n">
        <v>4.9</v>
      </c>
      <c r="N1442" s="23">
        <f>ROUND(L1442/M1442, 0)</f>
        <v/>
      </c>
      <c r="O1442" s="23">
        <f>ROUND(N1442*'Methodology &amp; Assumptions'!$B$8, 0)</f>
        <v/>
      </c>
      <c r="P1442" s="44" t="inlineStr">
        <is>
          <t>Band n50 (1.5 GHz, 60 MHz)</t>
        </is>
      </c>
      <c r="Q1442" s="38">
        <f>ROUNDUP(O1442/'Methodology &amp; Assumptions'!$B$9, 0)</f>
        <v/>
      </c>
      <c r="R1442" s="39" t="n">
        <v>1</v>
      </c>
      <c r="S1442" s="25" t="n">
        <v>1.58</v>
      </c>
      <c r="T1442" s="25" t="n">
        <v>0.21</v>
      </c>
      <c r="U1442" s="42" t="inlineStr">
        <is>
          <t>Tier 1B (Micro Drop, 1-3 km)</t>
        </is>
      </c>
      <c r="V1442" s="24" t="n">
        <v>69.09999999999999</v>
      </c>
      <c r="W1442" s="24" t="n">
        <v>91.5</v>
      </c>
      <c r="X1442" s="24" t="n">
        <v>28</v>
      </c>
      <c r="Y1442" s="45">
        <f>ROUND((V1442*'Methodology &amp; Assumptions'!$B$6)+(W1442*'Methodology &amp; Assumptions'!$B$5)+(X1442*'Methodology &amp; Assumptions'!$B$7), 2)</f>
        <v/>
      </c>
    </row>
    <row r="1443" ht="19" customHeight="1">
      <c r="A1443" s="35" t="n">
        <v>439</v>
      </c>
      <c r="B1443" s="35" t="n">
        <v>4439</v>
      </c>
      <c r="C1443" s="36" t="inlineStr">
        <is>
          <t>0402111021</t>
        </is>
      </c>
      <c r="D1443" s="36" t="inlineStr">
        <is>
          <t>Region IV-A (CALABARZON)</t>
        </is>
      </c>
      <c r="E1443" s="36" t="inlineStr">
        <is>
          <t>Cavite</t>
        </is>
      </c>
      <c r="F1443" s="36" t="inlineStr">
        <is>
          <t>Kawit</t>
        </is>
      </c>
      <c r="G1443" s="36" t="inlineStr">
        <is>
          <t>Tabon III</t>
        </is>
      </c>
      <c r="H1443" s="37" t="n">
        <v>14.437803</v>
      </c>
      <c r="I1443" s="37" t="n">
        <v>120.902282</v>
      </c>
      <c r="J1443" s="8" t="inlineStr">
        <is>
          <t>R</t>
        </is>
      </c>
      <c r="K1443" s="36" t="inlineStr">
        <is>
          <t>Class 1-3 / Urban</t>
        </is>
      </c>
      <c r="L1443" s="18" t="n">
        <v>2303</v>
      </c>
      <c r="M1443" s="20" t="n">
        <v>4.49</v>
      </c>
      <c r="N1443" s="18">
        <f>ROUND(L1443/M1443, 0)</f>
        <v/>
      </c>
      <c r="O1443" s="18">
        <f>ROUND(N1443*'Methodology &amp; Assumptions'!$B$8, 0)</f>
        <v/>
      </c>
      <c r="P1443" s="8" t="inlineStr">
        <is>
          <t>Band n50 (1.5 GHz, 60 MHz)</t>
        </is>
      </c>
      <c r="Q1443" s="38">
        <f>ROUNDUP(O1443/'Methodology &amp; Assumptions'!$B$9, 0)</f>
        <v/>
      </c>
      <c r="R1443" s="39" t="n">
        <v>1</v>
      </c>
      <c r="S1443" s="21" t="n">
        <v>2.27</v>
      </c>
      <c r="T1443" s="21" t="n">
        <v>0.33</v>
      </c>
      <c r="U1443" s="36" t="inlineStr">
        <is>
          <t>Tier 1B (Micro Drop, 1-3 km)</t>
        </is>
      </c>
      <c r="V1443" s="20" t="n">
        <v>56.9</v>
      </c>
      <c r="W1443" s="20" t="n">
        <v>65.09999999999999</v>
      </c>
      <c r="X1443" s="20" t="n">
        <v>73</v>
      </c>
      <c r="Y1443" s="40">
        <f>ROUND((V1443*'Methodology &amp; Assumptions'!$B$6)+(W1443*'Methodology &amp; Assumptions'!$B$5)+(X1443*'Methodology &amp; Assumptions'!$B$7), 2)</f>
        <v/>
      </c>
    </row>
    <row r="1444" ht="19" customHeight="1">
      <c r="A1444" s="41" t="n">
        <v>440</v>
      </c>
      <c r="B1444" s="41" t="n">
        <v>4440</v>
      </c>
      <c r="C1444" s="42" t="inlineStr">
        <is>
          <t>1400101002</t>
        </is>
      </c>
      <c r="D1444" s="42" t="inlineStr">
        <is>
          <t>Cordillera Administrative Region (CAR)</t>
        </is>
      </c>
      <c r="E1444" s="42" t="inlineStr">
        <is>
          <t>Abra</t>
        </is>
      </c>
      <c r="F1444" s="42" t="inlineStr">
        <is>
          <t>Bangued</t>
        </is>
      </c>
      <c r="G1444" s="42" t="inlineStr">
        <is>
          <t>Angad</t>
        </is>
      </c>
      <c r="H1444" s="43" t="n">
        <v>17.5779</v>
      </c>
      <c r="I1444" s="43" t="n">
        <v>120.6217</v>
      </c>
      <c r="J1444" s="44" t="inlineStr">
        <is>
          <t>R</t>
        </is>
      </c>
      <c r="K1444" s="42" t="inlineStr">
        <is>
          <t>Class 1-3 / Urban</t>
        </is>
      </c>
      <c r="L1444" s="23" t="n">
        <v>2788</v>
      </c>
      <c r="M1444" s="24" t="n">
        <v>4.69</v>
      </c>
      <c r="N1444" s="23">
        <f>ROUND(L1444/M1444, 0)</f>
        <v/>
      </c>
      <c r="O1444" s="23">
        <f>ROUND(N1444*'Methodology &amp; Assumptions'!$B$8, 0)</f>
        <v/>
      </c>
      <c r="P1444" s="44" t="inlineStr">
        <is>
          <t>Band n50 (1.5 GHz, 60 MHz)</t>
        </is>
      </c>
      <c r="Q1444" s="38">
        <f>ROUNDUP(O1444/'Methodology &amp; Assumptions'!$B$9, 0)</f>
        <v/>
      </c>
      <c r="R1444" s="39" t="n">
        <v>1</v>
      </c>
      <c r="S1444" s="25" t="n">
        <v>1.67</v>
      </c>
      <c r="T1444" s="25" t="n">
        <v>0.4</v>
      </c>
      <c r="U1444" s="42" t="inlineStr">
        <is>
          <t>Tier 1B (Micro Drop, 1-3 km)</t>
        </is>
      </c>
      <c r="V1444" s="24" t="n">
        <v>67.40000000000001</v>
      </c>
      <c r="W1444" s="24" t="n">
        <v>67.5</v>
      </c>
      <c r="X1444" s="24" t="n">
        <v>58</v>
      </c>
      <c r="Y1444" s="45">
        <f>ROUND((V1444*'Methodology &amp; Assumptions'!$B$6)+(W1444*'Methodology &amp; Assumptions'!$B$5)+(X1444*'Methodology &amp; Assumptions'!$B$7), 2)</f>
        <v/>
      </c>
    </row>
    <row r="1445" ht="19" customHeight="1">
      <c r="A1445" s="35" t="n">
        <v>441</v>
      </c>
      <c r="B1445" s="35" t="n">
        <v>4441</v>
      </c>
      <c r="C1445" s="36" t="inlineStr">
        <is>
          <t>0405607089</t>
        </is>
      </c>
      <c r="D1445" s="36" t="inlineStr">
        <is>
          <t>Region IV-A (CALABARZON)</t>
        </is>
      </c>
      <c r="E1445" s="36" t="inlineStr">
        <is>
          <t>Quezon</t>
        </is>
      </c>
      <c r="F1445" s="36" t="inlineStr">
        <is>
          <t>Calauag</t>
        </is>
      </c>
      <c r="G1445" s="36" t="inlineStr">
        <is>
          <t>Viñas</t>
        </is>
      </c>
      <c r="H1445" s="37" t="n">
        <v>14.037265</v>
      </c>
      <c r="I1445" s="37" t="n">
        <v>122.340495</v>
      </c>
      <c r="J1445" s="8" t="inlineStr">
        <is>
          <t>R</t>
        </is>
      </c>
      <c r="K1445" s="36" t="inlineStr">
        <is>
          <t>Class 1-3 / Urban</t>
        </is>
      </c>
      <c r="L1445" s="18" t="n">
        <v>1028</v>
      </c>
      <c r="M1445" s="20" t="n">
        <v>4.46</v>
      </c>
      <c r="N1445" s="18">
        <f>ROUND(L1445/M1445, 0)</f>
        <v/>
      </c>
      <c r="O1445" s="18">
        <f>ROUND(N1445*'Methodology &amp; Assumptions'!$B$8, 0)</f>
        <v/>
      </c>
      <c r="P1445" s="8" t="inlineStr">
        <is>
          <t>Band n50 (1.5 GHz, 60 MHz)</t>
        </is>
      </c>
      <c r="Q1445" s="38">
        <f>ROUNDUP(O1445/'Methodology &amp; Assumptions'!$B$9, 0)</f>
        <v/>
      </c>
      <c r="R1445" s="39" t="n">
        <v>1</v>
      </c>
      <c r="S1445" s="21" t="n">
        <v>0.58</v>
      </c>
      <c r="T1445" s="21" t="n">
        <v>0.04</v>
      </c>
      <c r="U1445" s="36" t="inlineStr">
        <is>
          <t>Tier 1A (Direct Coloc, &lt;1 km)</t>
        </is>
      </c>
      <c r="V1445" s="20" t="n">
        <v>92.5</v>
      </c>
      <c r="W1445" s="20" t="n">
        <v>42.4</v>
      </c>
      <c r="X1445" s="20" t="n">
        <v>58</v>
      </c>
      <c r="Y1445" s="40">
        <f>ROUND((V1445*'Methodology &amp; Assumptions'!$B$6)+(W1445*'Methodology &amp; Assumptions'!$B$5)+(X1445*'Methodology &amp; Assumptions'!$B$7), 2)</f>
        <v/>
      </c>
    </row>
    <row r="1446" ht="19" customHeight="1">
      <c r="A1446" s="41" t="n">
        <v>442</v>
      </c>
      <c r="B1446" s="41" t="n">
        <v>4442</v>
      </c>
      <c r="C1446" s="42" t="inlineStr">
        <is>
          <t>0403405013</t>
        </is>
      </c>
      <c r="D1446" s="42" t="inlineStr">
        <is>
          <t>Region IV-A (CALABARZON)</t>
        </is>
      </c>
      <c r="E1446" s="42" t="inlineStr">
        <is>
          <t>Laguna</t>
        </is>
      </c>
      <c r="F1446" s="42" t="inlineStr">
        <is>
          <t>City of Calamba</t>
        </is>
      </c>
      <c r="G1446" s="42" t="inlineStr">
        <is>
          <t>Halang</t>
        </is>
      </c>
      <c r="H1446" s="43" t="n">
        <v>14.195856</v>
      </c>
      <c r="I1446" s="43" t="n">
        <v>121.165066</v>
      </c>
      <c r="J1446" s="44" t="inlineStr">
        <is>
          <t>U</t>
        </is>
      </c>
      <c r="K1446" s="42" t="inlineStr">
        <is>
          <t>Class 1-3 / Urban</t>
        </is>
      </c>
      <c r="L1446" s="23" t="n">
        <v>8582</v>
      </c>
      <c r="M1446" s="24" t="n">
        <v>4.2</v>
      </c>
      <c r="N1446" s="23">
        <f>ROUND(L1446/M1446, 0)</f>
        <v/>
      </c>
      <c r="O1446" s="23">
        <f>ROUND(N1446*'Methodology &amp; Assumptions'!$B$8, 0)</f>
        <v/>
      </c>
      <c r="P1446" s="44" t="inlineStr">
        <is>
          <t>Band n50 (1.5 GHz, 60 MHz)</t>
        </is>
      </c>
      <c r="Q1446" s="38">
        <f>ROUNDUP(O1446/'Methodology &amp; Assumptions'!$B$9, 0)</f>
        <v/>
      </c>
      <c r="R1446" s="39" t="n">
        <v>1</v>
      </c>
      <c r="S1446" s="25" t="n">
        <v>2.04</v>
      </c>
      <c r="T1446" s="25" t="n">
        <v>0.28</v>
      </c>
      <c r="U1446" s="42" t="inlineStr">
        <is>
          <t>Tier 1B (Micro Drop, 1-3 km)</t>
        </is>
      </c>
      <c r="V1446" s="24" t="n">
        <v>60.6</v>
      </c>
      <c r="W1446" s="24" t="n">
        <v>100</v>
      </c>
      <c r="X1446" s="24" t="n">
        <v>28</v>
      </c>
      <c r="Y1446" s="45">
        <f>ROUND((V1446*'Methodology &amp; Assumptions'!$B$6)+(W1446*'Methodology &amp; Assumptions'!$B$5)+(X1446*'Methodology &amp; Assumptions'!$B$7), 2)</f>
        <v/>
      </c>
    </row>
    <row r="1447" ht="19" customHeight="1">
      <c r="A1447" s="35" t="n">
        <v>443</v>
      </c>
      <c r="B1447" s="35" t="n">
        <v>4443</v>
      </c>
      <c r="C1447" s="36" t="inlineStr">
        <is>
          <t>0500517027</t>
        </is>
      </c>
      <c r="D1447" s="36" t="inlineStr">
        <is>
          <t>Region V (Bicol Region)</t>
        </is>
      </c>
      <c r="E1447" s="36" t="inlineStr">
        <is>
          <t>Albay</t>
        </is>
      </c>
      <c r="F1447" s="36" t="inlineStr">
        <is>
          <t>City of Tabaco</t>
        </is>
      </c>
      <c r="G1447" s="36" t="inlineStr">
        <is>
          <t>Panal</t>
        </is>
      </c>
      <c r="H1447" s="37" t="n">
        <v>13.354753</v>
      </c>
      <c r="I1447" s="37" t="n">
        <v>123.720236</v>
      </c>
      <c r="J1447" s="8" t="inlineStr">
        <is>
          <t>U</t>
        </is>
      </c>
      <c r="K1447" s="36" t="inlineStr">
        <is>
          <t>Class 1-3 / Urban</t>
        </is>
      </c>
      <c r="L1447" s="18" t="n">
        <v>3505</v>
      </c>
      <c r="M1447" s="20" t="n">
        <v>4.67</v>
      </c>
      <c r="N1447" s="18">
        <f>ROUND(L1447/M1447, 0)</f>
        <v/>
      </c>
      <c r="O1447" s="18">
        <f>ROUND(N1447*'Methodology &amp; Assumptions'!$B$8, 0)</f>
        <v/>
      </c>
      <c r="P1447" s="8" t="inlineStr">
        <is>
          <t>Band n50 (1.5 GHz, 60 MHz)</t>
        </is>
      </c>
      <c r="Q1447" s="38">
        <f>ROUNDUP(O1447/'Methodology &amp; Assumptions'!$B$9, 0)</f>
        <v/>
      </c>
      <c r="R1447" s="39" t="n">
        <v>1</v>
      </c>
      <c r="S1447" s="21" t="n">
        <v>1.22</v>
      </c>
      <c r="T1447" s="21" t="n">
        <v>0.06</v>
      </c>
      <c r="U1447" s="36" t="inlineStr">
        <is>
          <t>Tier 1B (Micro Drop, 1-3 km)</t>
        </is>
      </c>
      <c r="V1447" s="20" t="n">
        <v>76.59999999999999</v>
      </c>
      <c r="W1447" s="20" t="n">
        <v>84</v>
      </c>
      <c r="X1447" s="20" t="n">
        <v>28</v>
      </c>
      <c r="Y1447" s="40">
        <f>ROUND((V1447*'Methodology &amp; Assumptions'!$B$6)+(W1447*'Methodology &amp; Assumptions'!$B$5)+(X1447*'Methodology &amp; Assumptions'!$B$7), 2)</f>
        <v/>
      </c>
    </row>
    <row r="1448" ht="19" customHeight="1">
      <c r="A1448" s="41" t="n">
        <v>444</v>
      </c>
      <c r="B1448" s="41" t="n">
        <v>4444</v>
      </c>
      <c r="C1448" s="42" t="inlineStr">
        <is>
          <t>0401028014</t>
        </is>
      </c>
      <c r="D1448" s="42" t="inlineStr">
        <is>
          <t>Region IV-A (CALABARZON)</t>
        </is>
      </c>
      <c r="E1448" s="42" t="inlineStr">
        <is>
          <t>Batangas</t>
        </is>
      </c>
      <c r="F1448" s="42" t="inlineStr">
        <is>
          <t>City of Sto. Tomas</t>
        </is>
      </c>
      <c r="G1448" s="42" t="inlineStr">
        <is>
          <t>San Jose</t>
        </is>
      </c>
      <c r="H1448" s="43" t="n">
        <v>13.892878</v>
      </c>
      <c r="I1448" s="43" t="n">
        <v>121.014871</v>
      </c>
      <c r="J1448" s="44" t="inlineStr">
        <is>
          <t>R</t>
        </is>
      </c>
      <c r="K1448" s="42" t="inlineStr">
        <is>
          <t>Class 1-3 / Urban</t>
        </is>
      </c>
      <c r="L1448" s="23" t="n">
        <v>4003</v>
      </c>
      <c r="M1448" s="24" t="n">
        <v>4.62</v>
      </c>
      <c r="N1448" s="23">
        <f>ROUND(L1448/M1448, 0)</f>
        <v/>
      </c>
      <c r="O1448" s="23">
        <f>ROUND(N1448*'Methodology &amp; Assumptions'!$B$8, 0)</f>
        <v/>
      </c>
      <c r="P1448" s="44" t="inlineStr">
        <is>
          <t>Band n50 (1.5 GHz, 60 MHz)</t>
        </is>
      </c>
      <c r="Q1448" s="38">
        <f>ROUNDUP(O1448/'Methodology &amp; Assumptions'!$B$9, 0)</f>
        <v/>
      </c>
      <c r="R1448" s="39" t="n">
        <v>1</v>
      </c>
      <c r="S1448" s="25" t="n">
        <v>3.75</v>
      </c>
      <c r="T1448" s="25" t="n">
        <v>2.6</v>
      </c>
      <c r="U1448" s="42" t="inlineStr">
        <is>
          <t>Tier 2 (Fiber Corridor / Lateral, 3-5 km)</t>
        </is>
      </c>
      <c r="V1448" s="24" t="n">
        <v>28.6</v>
      </c>
      <c r="W1448" s="24" t="n">
        <v>93.3</v>
      </c>
      <c r="X1448" s="24" t="n">
        <v>73</v>
      </c>
      <c r="Y1448" s="45">
        <f>ROUND((V1448*'Methodology &amp; Assumptions'!$B$6)+(W1448*'Methodology &amp; Assumptions'!$B$5)+(X1448*'Methodology &amp; Assumptions'!$B$7), 2)</f>
        <v/>
      </c>
    </row>
    <row r="1449" ht="19" customHeight="1">
      <c r="A1449" s="35" t="n">
        <v>445</v>
      </c>
      <c r="B1449" s="35" t="n">
        <v>4445</v>
      </c>
      <c r="C1449" s="36" t="inlineStr">
        <is>
          <t>0501705035</t>
        </is>
      </c>
      <c r="D1449" s="36" t="inlineStr">
        <is>
          <t>Region V (Bicol Region)</t>
        </is>
      </c>
      <c r="E1449" s="36" t="inlineStr">
        <is>
          <t>Camarines Sur</t>
        </is>
      </c>
      <c r="F1449" s="36" t="inlineStr">
        <is>
          <t>Buhi</t>
        </is>
      </c>
      <c r="G1449" s="36" t="inlineStr">
        <is>
          <t>Santa Clara</t>
        </is>
      </c>
      <c r="H1449" s="37" t="n">
        <v>13.431297</v>
      </c>
      <c r="I1449" s="37" t="n">
        <v>123.515742</v>
      </c>
      <c r="J1449" s="8" t="inlineStr">
        <is>
          <t>R</t>
        </is>
      </c>
      <c r="K1449" s="36" t="inlineStr">
        <is>
          <t>Class 1-3 / Urban</t>
        </is>
      </c>
      <c r="L1449" s="18" t="n">
        <v>2693</v>
      </c>
      <c r="M1449" s="20" t="n">
        <v>4.9</v>
      </c>
      <c r="N1449" s="18">
        <f>ROUND(L1449/M1449, 0)</f>
        <v/>
      </c>
      <c r="O1449" s="18">
        <f>ROUND(N1449*'Methodology &amp; Assumptions'!$B$8, 0)</f>
        <v/>
      </c>
      <c r="P1449" s="8" t="inlineStr">
        <is>
          <t>Band n50 (1.5 GHz, 60 MHz)</t>
        </is>
      </c>
      <c r="Q1449" s="38">
        <f>ROUNDUP(O1449/'Methodology &amp; Assumptions'!$B$9, 0)</f>
        <v/>
      </c>
      <c r="R1449" s="39" t="n">
        <v>1</v>
      </c>
      <c r="S1449" s="21" t="n">
        <v>1.7</v>
      </c>
      <c r="T1449" s="21" t="n">
        <v>1.91</v>
      </c>
      <c r="U1449" s="36" t="inlineStr">
        <is>
          <t>Tier 1B (Micro Drop, 1-3 km)</t>
        </is>
      </c>
      <c r="V1449" s="20" t="n">
        <v>66.8</v>
      </c>
      <c r="W1449" s="20" t="n">
        <v>68</v>
      </c>
      <c r="X1449" s="20" t="n">
        <v>58</v>
      </c>
      <c r="Y1449" s="40">
        <f>ROUND((V1449*'Methodology &amp; Assumptions'!$B$6)+(W1449*'Methodology &amp; Assumptions'!$B$5)+(X1449*'Methodology &amp; Assumptions'!$B$7), 2)</f>
        <v/>
      </c>
    </row>
    <row r="1450" ht="19" customHeight="1">
      <c r="A1450" s="41" t="n">
        <v>446</v>
      </c>
      <c r="B1450" s="41" t="n">
        <v>4446</v>
      </c>
      <c r="C1450" s="42" t="inlineStr">
        <is>
          <t>0931700087</t>
        </is>
      </c>
      <c r="D1450" s="42" t="inlineStr">
        <is>
          <t>Region IX (Zamboanga Peninsula)</t>
        </is>
      </c>
      <c r="E1450" s="42" t="inlineStr">
        <is>
          <t>Zamboanga del Sur</t>
        </is>
      </c>
      <c r="F1450" s="42" t="inlineStr">
        <is>
          <t>City of Zamboanga</t>
        </is>
      </c>
      <c r="G1450" s="42" t="inlineStr">
        <is>
          <t>Tetuan</t>
        </is>
      </c>
      <c r="H1450" s="43" t="n">
        <v>6.917442</v>
      </c>
      <c r="I1450" s="43" t="n">
        <v>122.090886</v>
      </c>
      <c r="J1450" s="44" t="inlineStr">
        <is>
          <t>U</t>
        </is>
      </c>
      <c r="K1450" s="42" t="inlineStr">
        <is>
          <t>Class 1-3 / Urban</t>
        </is>
      </c>
      <c r="L1450" s="23" t="n">
        <v>29621</v>
      </c>
      <c r="M1450" s="24" t="n">
        <v>4.61</v>
      </c>
      <c r="N1450" s="23">
        <f>ROUND(L1450/M1450, 0)</f>
        <v/>
      </c>
      <c r="O1450" s="23">
        <f>ROUND(N1450*'Methodology &amp; Assumptions'!$B$8, 0)</f>
        <v/>
      </c>
      <c r="P1450" s="44" t="inlineStr">
        <is>
          <t>Band n50 (1.5 GHz, 60 MHz)</t>
        </is>
      </c>
      <c r="Q1450" s="38">
        <f>ROUNDUP(O1450/'Methodology &amp; Assumptions'!$B$9, 0)</f>
        <v/>
      </c>
      <c r="R1450" s="39" t="n">
        <v>1</v>
      </c>
      <c r="S1450" s="25" t="n">
        <v>2.05</v>
      </c>
      <c r="T1450" s="25" t="n">
        <v>1.13</v>
      </c>
      <c r="U1450" s="42" t="inlineStr">
        <is>
          <t>Tier 1B (Micro Drop, 1-3 km)</t>
        </is>
      </c>
      <c r="V1450" s="24" t="n">
        <v>60.5</v>
      </c>
      <c r="W1450" s="24" t="n">
        <v>100</v>
      </c>
      <c r="X1450" s="24" t="n">
        <v>28</v>
      </c>
      <c r="Y1450" s="45">
        <f>ROUND((V1450*'Methodology &amp; Assumptions'!$B$6)+(W1450*'Methodology &amp; Assumptions'!$B$5)+(X1450*'Methodology &amp; Assumptions'!$B$7), 2)</f>
        <v/>
      </c>
    </row>
    <row r="1451" ht="19" customHeight="1">
      <c r="A1451" s="35" t="n">
        <v>447</v>
      </c>
      <c r="B1451" s="35" t="n">
        <v>4447</v>
      </c>
      <c r="C1451" s="36" t="inlineStr">
        <is>
          <t>0301404017</t>
        </is>
      </c>
      <c r="D1451" s="36" t="inlineStr">
        <is>
          <t>Region III (Central Luzon)</t>
        </is>
      </c>
      <c r="E1451" s="36" t="inlineStr">
        <is>
          <t>Bulacan</t>
        </is>
      </c>
      <c r="F1451" s="36" t="inlineStr">
        <is>
          <t>Bocaue</t>
        </is>
      </c>
      <c r="G1451" s="36" t="inlineStr">
        <is>
          <t>Tambobong</t>
        </is>
      </c>
      <c r="H1451" s="37" t="n">
        <v>14.815916</v>
      </c>
      <c r="I1451" s="37" t="n">
        <v>120.93945</v>
      </c>
      <c r="J1451" s="8" t="inlineStr">
        <is>
          <t>U</t>
        </is>
      </c>
      <c r="K1451" s="36" t="inlineStr">
        <is>
          <t>Class 1-3 / Urban</t>
        </is>
      </c>
      <c r="L1451" s="18" t="n">
        <v>7323</v>
      </c>
      <c r="M1451" s="20" t="n">
        <v>4.1</v>
      </c>
      <c r="N1451" s="18">
        <f>ROUND(L1451/M1451, 0)</f>
        <v/>
      </c>
      <c r="O1451" s="18">
        <f>ROUND(N1451*'Methodology &amp; Assumptions'!$B$8, 0)</f>
        <v/>
      </c>
      <c r="P1451" s="8" t="inlineStr">
        <is>
          <t>Band n50 (1.5 GHz, 60 MHz)</t>
        </is>
      </c>
      <c r="Q1451" s="38">
        <f>ROUNDUP(O1451/'Methodology &amp; Assumptions'!$B$9, 0)</f>
        <v/>
      </c>
      <c r="R1451" s="39" t="n">
        <v>1</v>
      </c>
      <c r="S1451" s="21" t="n">
        <v>2.05</v>
      </c>
      <c r="T1451" s="21" t="n">
        <v>1.01</v>
      </c>
      <c r="U1451" s="36" t="inlineStr">
        <is>
          <t>Tier 1B (Micro Drop, 1-3 km)</t>
        </is>
      </c>
      <c r="V1451" s="20" t="n">
        <v>60.5</v>
      </c>
      <c r="W1451" s="20" t="n">
        <v>100</v>
      </c>
      <c r="X1451" s="20" t="n">
        <v>28</v>
      </c>
      <c r="Y1451" s="40">
        <f>ROUND((V1451*'Methodology &amp; Assumptions'!$B$6)+(W1451*'Methodology &amp; Assumptions'!$B$5)+(X1451*'Methodology &amp; Assumptions'!$B$7), 2)</f>
        <v/>
      </c>
    </row>
    <row r="1452" ht="19" customHeight="1">
      <c r="A1452" s="41" t="n">
        <v>448</v>
      </c>
      <c r="B1452" s="41" t="n">
        <v>4448</v>
      </c>
      <c r="C1452" s="42" t="inlineStr">
        <is>
          <t>0702201003</t>
        </is>
      </c>
      <c r="D1452" s="42" t="inlineStr">
        <is>
          <t>Region VII (Central Visayas)</t>
        </is>
      </c>
      <c r="E1452" s="42" t="inlineStr">
        <is>
          <t>Cebu</t>
        </is>
      </c>
      <c r="F1452" s="42" t="inlineStr">
        <is>
          <t>Alcantara</t>
        </is>
      </c>
      <c r="G1452" s="42" t="inlineStr">
        <is>
          <t>Candabong</t>
        </is>
      </c>
      <c r="H1452" s="43" t="n">
        <v>9.959564</v>
      </c>
      <c r="I1452" s="43" t="n">
        <v>123.418063</v>
      </c>
      <c r="J1452" s="44" t="inlineStr">
        <is>
          <t>R</t>
        </is>
      </c>
      <c r="K1452" s="42" t="inlineStr">
        <is>
          <t>4th</t>
        </is>
      </c>
      <c r="L1452" s="23" t="n">
        <v>2595</v>
      </c>
      <c r="M1452" s="24" t="n">
        <v>4.4</v>
      </c>
      <c r="N1452" s="23">
        <f>ROUND(L1452/M1452, 0)</f>
        <v/>
      </c>
      <c r="O1452" s="23">
        <f>ROUND(N1452*'Methodology &amp; Assumptions'!$B$8, 0)</f>
        <v/>
      </c>
      <c r="P1452" s="44" t="inlineStr">
        <is>
          <t>Band n50 (1.5 GHz, 60 MHz)</t>
        </is>
      </c>
      <c r="Q1452" s="38">
        <f>ROUNDUP(O1452/'Methodology &amp; Assumptions'!$B$9, 0)</f>
        <v/>
      </c>
      <c r="R1452" s="39" t="n">
        <v>1</v>
      </c>
      <c r="S1452" s="25" t="n">
        <v>3.45</v>
      </c>
      <c r="T1452" s="25" t="n">
        <v>1.82</v>
      </c>
      <c r="U1452" s="42" t="inlineStr">
        <is>
          <t>Tier 2 (Fiber Corridor / Lateral, 3-5 km)</t>
        </is>
      </c>
      <c r="V1452" s="24" t="n">
        <v>41.7</v>
      </c>
      <c r="W1452" s="24" t="n">
        <v>71.2</v>
      </c>
      <c r="X1452" s="24" t="n">
        <v>83.5</v>
      </c>
      <c r="Y1452" s="45">
        <f>ROUND((V1452*'Methodology &amp; Assumptions'!$B$6)+(W1452*'Methodology &amp; Assumptions'!$B$5)+(X1452*'Methodology &amp; Assumptions'!$B$7), 2)</f>
        <v/>
      </c>
    </row>
    <row r="1453" ht="19" customHeight="1">
      <c r="A1453" s="35" t="n">
        <v>449</v>
      </c>
      <c r="B1453" s="35" t="n">
        <v>4449</v>
      </c>
      <c r="C1453" s="36" t="inlineStr">
        <is>
          <t>1630400057</t>
        </is>
      </c>
      <c r="D1453" s="36" t="inlineStr">
        <is>
          <t>Region XIII (Caraga)</t>
        </is>
      </c>
      <c r="E1453" s="36" t="inlineStr">
        <is>
          <t>Agusan del Norte</t>
        </is>
      </c>
      <c r="F1453" s="36" t="inlineStr">
        <is>
          <t>City of Butuan</t>
        </is>
      </c>
      <c r="G1453" s="36" t="inlineStr">
        <is>
          <t>Lumbocan</t>
        </is>
      </c>
      <c r="H1453" s="37" t="n">
        <v>9.003181</v>
      </c>
      <c r="I1453" s="37" t="n">
        <v>125.502052</v>
      </c>
      <c r="J1453" s="8" t="inlineStr">
        <is>
          <t>R</t>
        </is>
      </c>
      <c r="K1453" s="36" t="inlineStr">
        <is>
          <t>Class 1-3 / Urban</t>
        </is>
      </c>
      <c r="L1453" s="18" t="n">
        <v>4959</v>
      </c>
      <c r="M1453" s="20" t="n">
        <v>4.63</v>
      </c>
      <c r="N1453" s="18">
        <f>ROUND(L1453/M1453, 0)</f>
        <v/>
      </c>
      <c r="O1453" s="18">
        <f>ROUND(N1453*'Methodology &amp; Assumptions'!$B$8, 0)</f>
        <v/>
      </c>
      <c r="P1453" s="8" t="inlineStr">
        <is>
          <t>Band n50 (1.5 GHz, 60 MHz)</t>
        </is>
      </c>
      <c r="Q1453" s="38">
        <f>ROUNDUP(O1453/'Methodology &amp; Assumptions'!$B$9, 0)</f>
        <v/>
      </c>
      <c r="R1453" s="39" t="n">
        <v>1</v>
      </c>
      <c r="S1453" s="21" t="n">
        <v>4.55</v>
      </c>
      <c r="T1453" s="21" t="n">
        <v>4.84</v>
      </c>
      <c r="U1453" s="36" t="inlineStr">
        <is>
          <t>Tier 2 (Fiber Corridor / Lateral, 3-5 km)</t>
        </is>
      </c>
      <c r="V1453" s="20" t="n">
        <v>21.9</v>
      </c>
      <c r="W1453" s="20" t="n">
        <v>100</v>
      </c>
      <c r="X1453" s="20" t="n">
        <v>73</v>
      </c>
      <c r="Y1453" s="40">
        <f>ROUND((V1453*'Methodology &amp; Assumptions'!$B$6)+(W1453*'Methodology &amp; Assumptions'!$B$5)+(X1453*'Methodology &amp; Assumptions'!$B$7), 2)</f>
        <v/>
      </c>
    </row>
    <row r="1454" ht="19" customHeight="1">
      <c r="A1454" s="41" t="n">
        <v>450</v>
      </c>
      <c r="B1454" s="41" t="n">
        <v>4450</v>
      </c>
      <c r="C1454" s="42" t="inlineStr">
        <is>
          <t>1903617072</t>
        </is>
      </c>
      <c r="D1454" s="42" t="inlineStr">
        <is>
          <t>Bangsamoro Autonomous Region In Muslim Mindanao (BARMM)</t>
        </is>
      </c>
      <c r="E1454" s="42" t="inlineStr">
        <is>
          <t>Lanao del Sur</t>
        </is>
      </c>
      <c r="F1454" s="42" t="inlineStr">
        <is>
          <t>City of Marawi</t>
        </is>
      </c>
      <c r="G1454" s="42" t="inlineStr">
        <is>
          <t>Matampay</t>
        </is>
      </c>
      <c r="H1454" s="43" t="n">
        <v>8.014815</v>
      </c>
      <c r="I1454" s="43" t="n">
        <v>124.283806</v>
      </c>
      <c r="J1454" s="44" t="inlineStr">
        <is>
          <t>R</t>
        </is>
      </c>
      <c r="K1454" s="42" t="inlineStr">
        <is>
          <t>Class 1-3 / Urban</t>
        </is>
      </c>
      <c r="L1454" s="23" t="n">
        <v>3896</v>
      </c>
      <c r="M1454" s="24" t="n">
        <v>6.62</v>
      </c>
      <c r="N1454" s="23">
        <f>ROUND(L1454/M1454, 0)</f>
        <v/>
      </c>
      <c r="O1454" s="23">
        <f>ROUND(N1454*'Methodology &amp; Assumptions'!$B$8, 0)</f>
        <v/>
      </c>
      <c r="P1454" s="44" t="inlineStr">
        <is>
          <t>Band n50 (1.5 GHz, 60 MHz)</t>
        </is>
      </c>
      <c r="Q1454" s="38">
        <f>ROUNDUP(O1454/'Methodology &amp; Assumptions'!$B$9, 0)</f>
        <v/>
      </c>
      <c r="R1454" s="39" t="n">
        <v>1</v>
      </c>
      <c r="S1454" s="25" t="n">
        <v>1.18</v>
      </c>
      <c r="T1454" s="25" t="n">
        <v>1.14</v>
      </c>
      <c r="U1454" s="42" t="inlineStr">
        <is>
          <t>Tier 1B (Micro Drop, 1-3 km)</t>
        </is>
      </c>
      <c r="V1454" s="24" t="n">
        <v>77.59999999999999</v>
      </c>
      <c r="W1454" s="24" t="n">
        <v>57.2</v>
      </c>
      <c r="X1454" s="24" t="n">
        <v>58</v>
      </c>
      <c r="Y1454" s="45">
        <f>ROUND((V1454*'Methodology &amp; Assumptions'!$B$6)+(W1454*'Methodology &amp; Assumptions'!$B$5)+(X1454*'Methodology &amp; Assumptions'!$B$7), 2)</f>
        <v/>
      </c>
    </row>
    <row r="1455" ht="19" customHeight="1">
      <c r="A1455" s="35" t="n">
        <v>451</v>
      </c>
      <c r="B1455" s="35" t="n">
        <v>4451</v>
      </c>
      <c r="C1455" s="36" t="inlineStr">
        <is>
          <t>0205704005</t>
        </is>
      </c>
      <c r="D1455" s="36" t="inlineStr">
        <is>
          <t>Region II (Cagayan Valley)</t>
        </is>
      </c>
      <c r="E1455" s="36" t="inlineStr">
        <is>
          <t>Quirino</t>
        </is>
      </c>
      <c r="F1455" s="36" t="inlineStr">
        <is>
          <t>Maddela</t>
        </is>
      </c>
      <c r="G1455" s="36" t="inlineStr">
        <is>
          <t>Buenavista</t>
        </is>
      </c>
      <c r="H1455" s="37" t="n">
        <v>16.338904</v>
      </c>
      <c r="I1455" s="37" t="n">
        <v>121.671113</v>
      </c>
      <c r="J1455" s="8" t="inlineStr">
        <is>
          <t>R</t>
        </is>
      </c>
      <c r="K1455" s="36" t="inlineStr">
        <is>
          <t>Class 1-3 / Urban</t>
        </is>
      </c>
      <c r="L1455" s="18" t="n">
        <v>1436</v>
      </c>
      <c r="M1455" s="20" t="n">
        <v>4.03</v>
      </c>
      <c r="N1455" s="18">
        <f>ROUND(L1455/M1455, 0)</f>
        <v/>
      </c>
      <c r="O1455" s="18">
        <f>ROUND(N1455*'Methodology &amp; Assumptions'!$B$8, 0)</f>
        <v/>
      </c>
      <c r="P1455" s="8" t="inlineStr">
        <is>
          <t>Band n50 (1.5 GHz, 60 MHz)</t>
        </is>
      </c>
      <c r="Q1455" s="38">
        <f>ROUNDUP(O1455/'Methodology &amp; Assumptions'!$B$9, 0)</f>
        <v/>
      </c>
      <c r="R1455" s="39" t="n">
        <v>1</v>
      </c>
      <c r="S1455" s="21" t="n">
        <v>0.98</v>
      </c>
      <c r="T1455" s="21" t="n">
        <v>0.17</v>
      </c>
      <c r="U1455" s="36" t="inlineStr">
        <is>
          <t>Tier 1A (Direct Coloc, &lt;1 km)</t>
        </is>
      </c>
      <c r="V1455" s="20" t="n">
        <v>82.2</v>
      </c>
      <c r="W1455" s="20" t="n">
        <v>52.5</v>
      </c>
      <c r="X1455" s="20" t="n">
        <v>58</v>
      </c>
      <c r="Y1455" s="40">
        <f>ROUND((V1455*'Methodology &amp; Assumptions'!$B$6)+(W1455*'Methodology &amp; Assumptions'!$B$5)+(X1455*'Methodology &amp; Assumptions'!$B$7), 2)</f>
        <v/>
      </c>
    </row>
    <row r="1456" ht="19" customHeight="1">
      <c r="A1456" s="41" t="n">
        <v>452</v>
      </c>
      <c r="B1456" s="41" t="n">
        <v>4452</v>
      </c>
      <c r="C1456" s="42" t="inlineStr">
        <is>
          <t>0301410021</t>
        </is>
      </c>
      <c r="D1456" s="42" t="inlineStr">
        <is>
          <t>Region III (Central Luzon)</t>
        </is>
      </c>
      <c r="E1456" s="42" t="inlineStr">
        <is>
          <t>Bulacan</t>
        </is>
      </c>
      <c r="F1456" s="42" t="inlineStr">
        <is>
          <t>City of Malolos</t>
        </is>
      </c>
      <c r="G1456" s="42" t="inlineStr">
        <is>
          <t>Catmon</t>
        </is>
      </c>
      <c r="H1456" s="43" t="n">
        <v>14.851517</v>
      </c>
      <c r="I1456" s="43" t="n">
        <v>120.813636</v>
      </c>
      <c r="J1456" s="44" t="inlineStr">
        <is>
          <t>U</t>
        </is>
      </c>
      <c r="K1456" s="42" t="inlineStr">
        <is>
          <t>Class 1-3 / Urban</t>
        </is>
      </c>
      <c r="L1456" s="23" t="n">
        <v>2248</v>
      </c>
      <c r="M1456" s="24" t="n">
        <v>4.1</v>
      </c>
      <c r="N1456" s="23">
        <f>ROUND(L1456/M1456, 0)</f>
        <v/>
      </c>
      <c r="O1456" s="23">
        <f>ROUND(N1456*'Methodology &amp; Assumptions'!$B$8, 0)</f>
        <v/>
      </c>
      <c r="P1456" s="44" t="inlineStr">
        <is>
          <t>Band n50 (1.5 GHz, 60 MHz)</t>
        </is>
      </c>
      <c r="Q1456" s="38">
        <f>ROUNDUP(O1456/'Methodology &amp; Assumptions'!$B$9, 0)</f>
        <v/>
      </c>
      <c r="R1456" s="39" t="n">
        <v>1</v>
      </c>
      <c r="S1456" s="25" t="n">
        <v>0.57</v>
      </c>
      <c r="T1456" s="25" t="n">
        <v>0.23</v>
      </c>
      <c r="U1456" s="42" t="inlineStr">
        <is>
          <t>Tier 1A (Direct Coloc, &lt;1 km)</t>
        </is>
      </c>
      <c r="V1456" s="24" t="n">
        <v>92.8</v>
      </c>
      <c r="W1456" s="24" t="n">
        <v>67.7</v>
      </c>
      <c r="X1456" s="24" t="n">
        <v>28</v>
      </c>
      <c r="Y1456" s="45">
        <f>ROUND((V1456*'Methodology &amp; Assumptions'!$B$6)+(W1456*'Methodology &amp; Assumptions'!$B$5)+(X1456*'Methodology &amp; Assumptions'!$B$7), 2)</f>
        <v/>
      </c>
    </row>
    <row r="1457" ht="19" customHeight="1">
      <c r="A1457" s="35" t="n">
        <v>453</v>
      </c>
      <c r="B1457" s="35" t="n">
        <v>4453</v>
      </c>
      <c r="C1457" s="36" t="inlineStr">
        <is>
          <t>0501708023</t>
        </is>
      </c>
      <c r="D1457" s="36" t="inlineStr">
        <is>
          <t>Region V (Bicol Region)</t>
        </is>
      </c>
      <c r="E1457" s="36" t="inlineStr">
        <is>
          <t>Camarines Sur</t>
        </is>
      </c>
      <c r="F1457" s="36" t="inlineStr">
        <is>
          <t>Calabanga</t>
        </is>
      </c>
      <c r="G1457" s="36" t="inlineStr">
        <is>
          <t>Pagatpat</t>
        </is>
      </c>
      <c r="H1457" s="37" t="n">
        <v>13.702881</v>
      </c>
      <c r="I1457" s="37" t="n">
        <v>123.218059</v>
      </c>
      <c r="J1457" s="8" t="inlineStr">
        <is>
          <t>R</t>
        </is>
      </c>
      <c r="K1457" s="36" t="inlineStr">
        <is>
          <t>Class 1-3 / Urban</t>
        </is>
      </c>
      <c r="L1457" s="18" t="n">
        <v>1852</v>
      </c>
      <c r="M1457" s="20" t="n">
        <v>4.9</v>
      </c>
      <c r="N1457" s="18">
        <f>ROUND(L1457/M1457, 0)</f>
        <v/>
      </c>
      <c r="O1457" s="18">
        <f>ROUND(N1457*'Methodology &amp; Assumptions'!$B$8, 0)</f>
        <v/>
      </c>
      <c r="P1457" s="8" t="inlineStr">
        <is>
          <t>Band n50 (1.5 GHz, 60 MHz)</t>
        </is>
      </c>
      <c r="Q1457" s="38">
        <f>ROUNDUP(O1457/'Methodology &amp; Assumptions'!$B$9, 0)</f>
        <v/>
      </c>
      <c r="R1457" s="39" t="n">
        <v>1</v>
      </c>
      <c r="S1457" s="21" t="n">
        <v>1.04</v>
      </c>
      <c r="T1457" s="21" t="n">
        <v>0.66</v>
      </c>
      <c r="U1457" s="36" t="inlineStr">
        <is>
          <t>Tier 1B (Micro Drop, 1-3 km)</t>
        </is>
      </c>
      <c r="V1457" s="20" t="n">
        <v>80.59999999999999</v>
      </c>
      <c r="W1457" s="20" t="n">
        <v>54.1</v>
      </c>
      <c r="X1457" s="20" t="n">
        <v>58</v>
      </c>
      <c r="Y1457" s="40">
        <f>ROUND((V1457*'Methodology &amp; Assumptions'!$B$6)+(W1457*'Methodology &amp; Assumptions'!$B$5)+(X1457*'Methodology &amp; Assumptions'!$B$7), 2)</f>
        <v/>
      </c>
    </row>
    <row r="1458" ht="19" customHeight="1">
      <c r="A1458" s="41" t="n">
        <v>454</v>
      </c>
      <c r="B1458" s="41" t="n">
        <v>4454</v>
      </c>
      <c r="C1458" s="42" t="inlineStr">
        <is>
          <t>0631000052</t>
        </is>
      </c>
      <c r="D1458" s="42" t="inlineStr">
        <is>
          <t>Region VI (Western Visayas)</t>
        </is>
      </c>
      <c r="E1458" s="42" t="inlineStr">
        <is>
          <t>Iloilo</t>
        </is>
      </c>
      <c r="F1458" s="42" t="inlineStr">
        <is>
          <t>City of Iloilo</t>
        </is>
      </c>
      <c r="G1458" s="42" t="inlineStr">
        <is>
          <t>East Baluarte</t>
        </is>
      </c>
      <c r="H1458" s="43" t="n">
        <v>10.692202</v>
      </c>
      <c r="I1458" s="43" t="n">
        <v>122.54939</v>
      </c>
      <c r="J1458" s="44" t="inlineStr">
        <is>
          <t>R</t>
        </is>
      </c>
      <c r="K1458" s="42" t="inlineStr">
        <is>
          <t>Class 1-3 / Urban</t>
        </is>
      </c>
      <c r="L1458" s="23" t="n">
        <v>1800</v>
      </c>
      <c r="M1458" s="24" t="n">
        <v>4.39</v>
      </c>
      <c r="N1458" s="23">
        <f>ROUND(L1458/M1458, 0)</f>
        <v/>
      </c>
      <c r="O1458" s="23">
        <f>ROUND(N1458*'Methodology &amp; Assumptions'!$B$8, 0)</f>
        <v/>
      </c>
      <c r="P1458" s="44" t="inlineStr">
        <is>
          <t>Band n50 (1.5 GHz, 60 MHz)</t>
        </is>
      </c>
      <c r="Q1458" s="38">
        <f>ROUNDUP(O1458/'Methodology &amp; Assumptions'!$B$9, 0)</f>
        <v/>
      </c>
      <c r="R1458" s="39" t="n">
        <v>1</v>
      </c>
      <c r="S1458" s="25" t="n">
        <v>0.75</v>
      </c>
      <c r="T1458" s="25" t="n">
        <v>2.35</v>
      </c>
      <c r="U1458" s="42" t="inlineStr">
        <is>
          <t>Tier 1A (Direct Coloc, &lt;1 km)</t>
        </is>
      </c>
      <c r="V1458" s="24" t="n">
        <v>77.90000000000001</v>
      </c>
      <c r="W1458" s="24" t="n">
        <v>56.8</v>
      </c>
      <c r="X1458" s="24" t="n">
        <v>58</v>
      </c>
      <c r="Y1458" s="45">
        <f>ROUND((V1458*'Methodology &amp; Assumptions'!$B$6)+(W1458*'Methodology &amp; Assumptions'!$B$5)+(X1458*'Methodology &amp; Assumptions'!$B$7), 2)</f>
        <v/>
      </c>
    </row>
    <row r="1459" ht="19" customHeight="1">
      <c r="A1459" s="35" t="n">
        <v>455</v>
      </c>
      <c r="B1459" s="35" t="n">
        <v>4455</v>
      </c>
      <c r="C1459" s="36" t="inlineStr">
        <is>
          <t>0803715033</t>
        </is>
      </c>
      <c r="D1459" s="36" t="inlineStr">
        <is>
          <t>Region VIII (Eastern Visayas)</t>
        </is>
      </c>
      <c r="E1459" s="36" t="inlineStr">
        <is>
          <t>Leyte</t>
        </is>
      </c>
      <c r="F1459" s="36" t="inlineStr">
        <is>
          <t>Carigara</t>
        </is>
      </c>
      <c r="G1459" s="36" t="inlineStr">
        <is>
          <t>San Mateo</t>
        </is>
      </c>
      <c r="H1459" s="37" t="n">
        <v>11.302193</v>
      </c>
      <c r="I1459" s="37" t="n">
        <v>124.695216</v>
      </c>
      <c r="J1459" s="8" t="inlineStr">
        <is>
          <t>R</t>
        </is>
      </c>
      <c r="K1459" s="36" t="inlineStr">
        <is>
          <t>Class 1-3 / Urban</t>
        </is>
      </c>
      <c r="L1459" s="18" t="n">
        <v>1129</v>
      </c>
      <c r="M1459" s="20" t="n">
        <v>4.24</v>
      </c>
      <c r="N1459" s="18">
        <f>ROUND(L1459/M1459, 0)</f>
        <v/>
      </c>
      <c r="O1459" s="18">
        <f>ROUND(N1459*'Methodology &amp; Assumptions'!$B$8, 0)</f>
        <v/>
      </c>
      <c r="P1459" s="8" t="inlineStr">
        <is>
          <t>Band n50 (1.5 GHz, 60 MHz)</t>
        </is>
      </c>
      <c r="Q1459" s="38">
        <f>ROUNDUP(O1459/'Methodology &amp; Assumptions'!$B$9, 0)</f>
        <v/>
      </c>
      <c r="R1459" s="39" t="n">
        <v>1</v>
      </c>
      <c r="S1459" s="21" t="n">
        <v>0.6899999999999999</v>
      </c>
      <c r="T1459" s="21" t="n">
        <v>0.54</v>
      </c>
      <c r="U1459" s="36" t="inlineStr">
        <is>
          <t>Tier 1A (Direct Coloc, &lt;1 km)</t>
        </is>
      </c>
      <c r="V1459" s="20" t="n">
        <v>89.40000000000001</v>
      </c>
      <c r="W1459" s="20" t="n">
        <v>45.3</v>
      </c>
      <c r="X1459" s="20" t="n">
        <v>58</v>
      </c>
      <c r="Y1459" s="40">
        <f>ROUND((V1459*'Methodology &amp; Assumptions'!$B$6)+(W1459*'Methodology &amp; Assumptions'!$B$5)+(X1459*'Methodology &amp; Assumptions'!$B$7), 2)</f>
        <v/>
      </c>
    </row>
    <row r="1460" ht="19" customHeight="1">
      <c r="A1460" s="41" t="n">
        <v>456</v>
      </c>
      <c r="B1460" s="41" t="n">
        <v>4456</v>
      </c>
      <c r="C1460" s="42" t="inlineStr">
        <is>
          <t>0304930034</t>
        </is>
      </c>
      <c r="D1460" s="42" t="inlineStr">
        <is>
          <t>Region III (Central Luzon)</t>
        </is>
      </c>
      <c r="E1460" s="42" t="inlineStr">
        <is>
          <t>Nueva Ecija</t>
        </is>
      </c>
      <c r="F1460" s="42" t="inlineStr">
        <is>
          <t>Talavera</t>
        </is>
      </c>
      <c r="G1460" s="42" t="inlineStr">
        <is>
          <t>Mabuhay</t>
        </is>
      </c>
      <c r="H1460" s="43" t="n">
        <v>15.586776</v>
      </c>
      <c r="I1460" s="43" t="n">
        <v>120.917642</v>
      </c>
      <c r="J1460" s="44" t="inlineStr">
        <is>
          <t>R</t>
        </is>
      </c>
      <c r="K1460" s="42" t="inlineStr">
        <is>
          <t>Class 1-3 / Urban</t>
        </is>
      </c>
      <c r="L1460" s="23" t="n">
        <v>961</v>
      </c>
      <c r="M1460" s="24" t="n">
        <v>4.32</v>
      </c>
      <c r="N1460" s="23">
        <f>ROUND(L1460/M1460, 0)</f>
        <v/>
      </c>
      <c r="O1460" s="23">
        <f>ROUND(N1460*'Methodology &amp; Assumptions'!$B$8, 0)</f>
        <v/>
      </c>
      <c r="P1460" s="44" t="inlineStr">
        <is>
          <t>Band n50 (1.5 GHz, 60 MHz)</t>
        </is>
      </c>
      <c r="Q1460" s="38">
        <f>ROUNDUP(O1460/'Methodology &amp; Assumptions'!$B$9, 0)</f>
        <v/>
      </c>
      <c r="R1460" s="39" t="n">
        <v>1</v>
      </c>
      <c r="S1460" s="25" t="n">
        <v>0.5600000000000001</v>
      </c>
      <c r="T1460" s="25" t="n">
        <v>0.29</v>
      </c>
      <c r="U1460" s="42" t="inlineStr">
        <is>
          <t>Tier 1A (Direct Coloc, &lt;1 km)</t>
        </is>
      </c>
      <c r="V1460" s="24" t="n">
        <v>92.90000000000001</v>
      </c>
      <c r="W1460" s="24" t="n">
        <v>41.9</v>
      </c>
      <c r="X1460" s="24" t="n">
        <v>58</v>
      </c>
      <c r="Y1460" s="45">
        <f>ROUND((V1460*'Methodology &amp; Assumptions'!$B$6)+(W1460*'Methodology &amp; Assumptions'!$B$5)+(X1460*'Methodology &amp; Assumptions'!$B$7), 2)</f>
        <v/>
      </c>
    </row>
    <row r="1461" ht="19" customHeight="1">
      <c r="A1461" s="35" t="n">
        <v>457</v>
      </c>
      <c r="B1461" s="35" t="n">
        <v>4457</v>
      </c>
      <c r="C1461" s="36" t="inlineStr">
        <is>
          <t>0201527019</t>
        </is>
      </c>
      <c r="D1461" s="36" t="inlineStr">
        <is>
          <t>Region II (Cagayan Valley)</t>
        </is>
      </c>
      <c r="E1461" s="36" t="inlineStr">
        <is>
          <t>Cagayan</t>
        </is>
      </c>
      <c r="F1461" s="36" t="inlineStr">
        <is>
          <t>Solana</t>
        </is>
      </c>
      <c r="G1461" s="36" t="inlineStr">
        <is>
          <t>Nangalisan</t>
        </is>
      </c>
      <c r="H1461" s="37" t="n">
        <v>17.647706</v>
      </c>
      <c r="I1461" s="37" t="n">
        <v>121.679422</v>
      </c>
      <c r="J1461" s="8" t="inlineStr">
        <is>
          <t>U</t>
        </is>
      </c>
      <c r="K1461" s="36" t="inlineStr">
        <is>
          <t>Class 1-3 / Urban</t>
        </is>
      </c>
      <c r="L1461" s="18" t="n">
        <v>2883</v>
      </c>
      <c r="M1461" s="20" t="n">
        <v>4.38</v>
      </c>
      <c r="N1461" s="18">
        <f>ROUND(L1461/M1461, 0)</f>
        <v/>
      </c>
      <c r="O1461" s="18">
        <f>ROUND(N1461*'Methodology &amp; Assumptions'!$B$8, 0)</f>
        <v/>
      </c>
      <c r="P1461" s="8" t="inlineStr">
        <is>
          <t>Band n50 (1.5 GHz, 60 MHz)</t>
        </is>
      </c>
      <c r="Q1461" s="38">
        <f>ROUNDUP(O1461/'Methodology &amp; Assumptions'!$B$9, 0)</f>
        <v/>
      </c>
      <c r="R1461" s="39" t="n">
        <v>1</v>
      </c>
      <c r="S1461" s="21" t="n">
        <v>0.53</v>
      </c>
      <c r="T1461" s="21" t="n">
        <v>3.62</v>
      </c>
      <c r="U1461" s="36" t="inlineStr">
        <is>
          <t>Tier 1A (Direct Coloc, &lt;1 km)</t>
        </is>
      </c>
      <c r="V1461" s="20" t="n">
        <v>83.90000000000001</v>
      </c>
      <c r="W1461" s="20" t="n">
        <v>76.5</v>
      </c>
      <c r="X1461" s="20" t="n">
        <v>28</v>
      </c>
      <c r="Y1461" s="40">
        <f>ROUND((V1461*'Methodology &amp; Assumptions'!$B$6)+(W1461*'Methodology &amp; Assumptions'!$B$5)+(X1461*'Methodology &amp; Assumptions'!$B$7), 2)</f>
        <v/>
      </c>
    </row>
    <row r="1462" ht="19" customHeight="1">
      <c r="A1462" s="41" t="n">
        <v>458</v>
      </c>
      <c r="B1462" s="41" t="n">
        <v>4458</v>
      </c>
      <c r="C1462" s="42" t="inlineStr">
        <is>
          <t>0301420009</t>
        </is>
      </c>
      <c r="D1462" s="42" t="inlineStr">
        <is>
          <t>Region III (Central Luzon)</t>
        </is>
      </c>
      <c r="E1462" s="42" t="inlineStr">
        <is>
          <t>Bulacan</t>
        </is>
      </c>
      <c r="F1462" s="42" t="inlineStr">
        <is>
          <t>City of San Jose Del Monte</t>
        </is>
      </c>
      <c r="G1462" s="42" t="inlineStr">
        <is>
          <t>Santo Cristo</t>
        </is>
      </c>
      <c r="H1462" s="43" t="n">
        <v>14.825797</v>
      </c>
      <c r="I1462" s="43" t="n">
        <v>121.077997</v>
      </c>
      <c r="J1462" s="44" t="inlineStr">
        <is>
          <t>U</t>
        </is>
      </c>
      <c r="K1462" s="42" t="inlineStr">
        <is>
          <t>Class 1-3 / Urban</t>
        </is>
      </c>
      <c r="L1462" s="23" t="n">
        <v>49579</v>
      </c>
      <c r="M1462" s="24" t="n">
        <v>4.1</v>
      </c>
      <c r="N1462" s="23">
        <f>ROUND(L1462/M1462, 0)</f>
        <v/>
      </c>
      <c r="O1462" s="23">
        <f>ROUND(N1462*'Methodology &amp; Assumptions'!$B$8, 0)</f>
        <v/>
      </c>
      <c r="P1462" s="44" t="inlineStr">
        <is>
          <t>Band n50 (1.5 GHz, 60 MHz)</t>
        </is>
      </c>
      <c r="Q1462" s="38">
        <f>ROUNDUP(O1462/'Methodology &amp; Assumptions'!$B$9, 0)</f>
        <v/>
      </c>
      <c r="R1462" s="39" t="n">
        <v>1</v>
      </c>
      <c r="S1462" s="25" t="n">
        <v>1.33</v>
      </c>
      <c r="T1462" s="25" t="n">
        <v>3.56</v>
      </c>
      <c r="U1462" s="42" t="inlineStr">
        <is>
          <t>Tier 1B (Micro Drop, 1-3 km)</t>
        </is>
      </c>
      <c r="V1462" s="24" t="n">
        <v>64.2</v>
      </c>
      <c r="W1462" s="24" t="n">
        <v>96.3</v>
      </c>
      <c r="X1462" s="24" t="n">
        <v>28</v>
      </c>
      <c r="Y1462" s="45">
        <f>ROUND((V1462*'Methodology &amp; Assumptions'!$B$6)+(W1462*'Methodology &amp; Assumptions'!$B$5)+(X1462*'Methodology &amp; Assumptions'!$B$7), 2)</f>
        <v/>
      </c>
    </row>
    <row r="1463" ht="19" customHeight="1">
      <c r="A1463" s="35" t="n">
        <v>459</v>
      </c>
      <c r="B1463" s="35" t="n">
        <v>4459</v>
      </c>
      <c r="C1463" s="36" t="inlineStr">
        <is>
          <t>0305411024</t>
        </is>
      </c>
      <c r="D1463" s="36" t="inlineStr">
        <is>
          <t>Region III (Central Luzon)</t>
        </is>
      </c>
      <c r="E1463" s="36" t="inlineStr">
        <is>
          <t>Pampanga</t>
        </is>
      </c>
      <c r="F1463" s="36" t="inlineStr">
        <is>
          <t>Magalang</t>
        </is>
      </c>
      <c r="G1463" s="36" t="inlineStr">
        <is>
          <t>Santo Rosario</t>
        </is>
      </c>
      <c r="H1463" s="37" t="n">
        <v>15.242578</v>
      </c>
      <c r="I1463" s="37" t="n">
        <v>120.63223</v>
      </c>
      <c r="J1463" s="8" t="inlineStr">
        <is>
          <t>U</t>
        </is>
      </c>
      <c r="K1463" s="36" t="inlineStr">
        <is>
          <t>Class 1-3 / Urban</t>
        </is>
      </c>
      <c r="L1463" s="18" t="n">
        <v>5235</v>
      </c>
      <c r="M1463" s="20" t="n">
        <v>4.63</v>
      </c>
      <c r="N1463" s="18">
        <f>ROUND(L1463/M1463, 0)</f>
        <v/>
      </c>
      <c r="O1463" s="18">
        <f>ROUND(N1463*'Methodology &amp; Assumptions'!$B$8, 0)</f>
        <v/>
      </c>
      <c r="P1463" s="8" t="inlineStr">
        <is>
          <t>Band n50 (1.5 GHz, 60 MHz)</t>
        </is>
      </c>
      <c r="Q1463" s="38">
        <f>ROUNDUP(O1463/'Methodology &amp; Assumptions'!$B$9, 0)</f>
        <v/>
      </c>
      <c r="R1463" s="39" t="n">
        <v>1</v>
      </c>
      <c r="S1463" s="21" t="n">
        <v>2.05</v>
      </c>
      <c r="T1463" s="21" t="n">
        <v>0.04</v>
      </c>
      <c r="U1463" s="36" t="inlineStr">
        <is>
          <t>Tier 1B (Micro Drop, 1-3 km)</t>
        </is>
      </c>
      <c r="V1463" s="20" t="n">
        <v>60.4</v>
      </c>
      <c r="W1463" s="20" t="n">
        <v>100</v>
      </c>
      <c r="X1463" s="20" t="n">
        <v>28</v>
      </c>
      <c r="Y1463" s="40">
        <f>ROUND((V1463*'Methodology &amp; Assumptions'!$B$6)+(W1463*'Methodology &amp; Assumptions'!$B$5)+(X1463*'Methodology &amp; Assumptions'!$B$7), 2)</f>
        <v/>
      </c>
    </row>
    <row r="1464" ht="19" customHeight="1">
      <c r="A1464" s="41" t="n">
        <v>460</v>
      </c>
      <c r="B1464" s="41" t="n">
        <v>4460</v>
      </c>
      <c r="C1464" s="42" t="inlineStr">
        <is>
          <t>0604530014</t>
        </is>
      </c>
      <c r="D1464" s="42" t="inlineStr">
        <is>
          <t>Region VI (Western Visayas)</t>
        </is>
      </c>
      <c r="E1464" s="42" t="inlineStr">
        <is>
          <t>Negros Occidental</t>
        </is>
      </c>
      <c r="F1464" s="42" t="inlineStr">
        <is>
          <t>Valladolid</t>
        </is>
      </c>
      <c r="G1464" s="42" t="inlineStr">
        <is>
          <t>Paloma</t>
        </is>
      </c>
      <c r="H1464" s="43" t="n">
        <v>10.463139</v>
      </c>
      <c r="I1464" s="43" t="n">
        <v>122.832993</v>
      </c>
      <c r="J1464" s="44" t="inlineStr">
        <is>
          <t>R</t>
        </is>
      </c>
      <c r="K1464" s="42" t="inlineStr">
        <is>
          <t>2nd</t>
        </is>
      </c>
      <c r="L1464" s="23" t="n">
        <v>1639</v>
      </c>
      <c r="M1464" s="24" t="n">
        <v>4.26</v>
      </c>
      <c r="N1464" s="23">
        <f>ROUND(L1464/M1464, 0)</f>
        <v/>
      </c>
      <c r="O1464" s="23">
        <f>ROUND(N1464*'Methodology &amp; Assumptions'!$B$8, 0)</f>
        <v/>
      </c>
      <c r="P1464" s="44" t="inlineStr">
        <is>
          <t>Band n50 (1.5 GHz, 60 MHz)</t>
        </is>
      </c>
      <c r="Q1464" s="38">
        <f>ROUNDUP(O1464/'Methodology &amp; Assumptions'!$B$9, 0)</f>
        <v/>
      </c>
      <c r="R1464" s="39" t="n">
        <v>1</v>
      </c>
      <c r="S1464" s="25" t="n">
        <v>1.08</v>
      </c>
      <c r="T1464" s="25" t="n">
        <v>1.03</v>
      </c>
      <c r="U1464" s="42" t="inlineStr">
        <is>
          <t>Tier 1B (Micro Drop, 1-3 km)</t>
        </is>
      </c>
      <c r="V1464" s="24" t="n">
        <v>79.8</v>
      </c>
      <c r="W1464" s="24" t="n">
        <v>54.9</v>
      </c>
      <c r="X1464" s="24" t="n">
        <v>58</v>
      </c>
      <c r="Y1464" s="45">
        <f>ROUND((V1464*'Methodology &amp; Assumptions'!$B$6)+(W1464*'Methodology &amp; Assumptions'!$B$5)+(X1464*'Methodology &amp; Assumptions'!$B$7), 2)</f>
        <v/>
      </c>
    </row>
    <row r="1465" ht="19" customHeight="1">
      <c r="A1465" s="35" t="n">
        <v>461</v>
      </c>
      <c r="B1465" s="35" t="n">
        <v>4461</v>
      </c>
      <c r="C1465" s="36" t="inlineStr">
        <is>
          <t>0306911012</t>
        </is>
      </c>
      <c r="D1465" s="36" t="inlineStr">
        <is>
          <t>Region III (Central Luzon)</t>
        </is>
      </c>
      <c r="E1465" s="36" t="inlineStr">
        <is>
          <t>Tarlac</t>
        </is>
      </c>
      <c r="F1465" s="36" t="inlineStr">
        <is>
          <t>Pura</t>
        </is>
      </c>
      <c r="G1465" s="36" t="inlineStr">
        <is>
          <t>Poblacion 1</t>
        </is>
      </c>
      <c r="H1465" s="37" t="n">
        <v>15.621139</v>
      </c>
      <c r="I1465" s="37" t="n">
        <v>120.644422</v>
      </c>
      <c r="J1465" s="8" t="inlineStr">
        <is>
          <t>R</t>
        </is>
      </c>
      <c r="K1465" s="36" t="inlineStr">
        <is>
          <t>3rd</t>
        </is>
      </c>
      <c r="L1465" s="18" t="n">
        <v>1204</v>
      </c>
      <c r="M1465" s="20" t="n">
        <v>4.22</v>
      </c>
      <c r="N1465" s="18">
        <f>ROUND(L1465/M1465, 0)</f>
        <v/>
      </c>
      <c r="O1465" s="18">
        <f>ROUND(N1465*'Methodology &amp; Assumptions'!$B$8, 0)</f>
        <v/>
      </c>
      <c r="P1465" s="8" t="inlineStr">
        <is>
          <t>Band n50 (1.5 GHz, 60 MHz)</t>
        </is>
      </c>
      <c r="Q1465" s="38">
        <f>ROUNDUP(O1465/'Methodology &amp; Assumptions'!$B$9, 0)</f>
        <v/>
      </c>
      <c r="R1465" s="39" t="n">
        <v>1</v>
      </c>
      <c r="S1465" s="21" t="n">
        <v>0.75</v>
      </c>
      <c r="T1465" s="21" t="n">
        <v>0.53</v>
      </c>
      <c r="U1465" s="36" t="inlineStr">
        <is>
          <t>Tier 1A (Direct Coloc, &lt;1 km)</t>
        </is>
      </c>
      <c r="V1465" s="20" t="n">
        <v>87.8</v>
      </c>
      <c r="W1465" s="20" t="n">
        <v>46.9</v>
      </c>
      <c r="X1465" s="20" t="n">
        <v>58</v>
      </c>
      <c r="Y1465" s="40">
        <f>ROUND((V1465*'Methodology &amp; Assumptions'!$B$6)+(W1465*'Methodology &amp; Assumptions'!$B$5)+(X1465*'Methodology &amp; Assumptions'!$B$7), 2)</f>
        <v/>
      </c>
    </row>
    <row r="1466" ht="19" customHeight="1">
      <c r="A1466" s="41" t="n">
        <v>462</v>
      </c>
      <c r="B1466" s="41" t="n">
        <v>4462</v>
      </c>
      <c r="C1466" s="42" t="inlineStr">
        <is>
          <t>0103302010</t>
        </is>
      </c>
      <c r="D1466" s="42" t="inlineStr">
        <is>
          <t>Region I (Ilocos Region)</t>
        </is>
      </c>
      <c r="E1466" s="42" t="inlineStr">
        <is>
          <t>La Union</t>
        </is>
      </c>
      <c r="F1466" s="42" t="inlineStr">
        <is>
          <t>Aringay</t>
        </is>
      </c>
      <c r="G1466" s="42" t="inlineStr">
        <is>
          <t>Poblacion</t>
        </is>
      </c>
      <c r="H1466" s="43" t="n">
        <v>16.392069</v>
      </c>
      <c r="I1466" s="43" t="n">
        <v>120.354766</v>
      </c>
      <c r="J1466" s="44" t="inlineStr">
        <is>
          <t>R</t>
        </is>
      </c>
      <c r="K1466" s="42" t="inlineStr">
        <is>
          <t>Class 1-3 / Urban</t>
        </is>
      </c>
      <c r="L1466" s="23" t="n">
        <v>3505</v>
      </c>
      <c r="M1466" s="24" t="n">
        <v>4.42</v>
      </c>
      <c r="N1466" s="23">
        <f>ROUND(L1466/M1466, 0)</f>
        <v/>
      </c>
      <c r="O1466" s="23">
        <f>ROUND(N1466*'Methodology &amp; Assumptions'!$B$8, 0)</f>
        <v/>
      </c>
      <c r="P1466" s="44" t="inlineStr">
        <is>
          <t>Band n50 (1.5 GHz, 60 MHz)</t>
        </is>
      </c>
      <c r="Q1466" s="38">
        <f>ROUNDUP(O1466/'Methodology &amp; Assumptions'!$B$9, 0)</f>
        <v/>
      </c>
      <c r="R1466" s="39" t="n">
        <v>1</v>
      </c>
      <c r="S1466" s="25" t="n">
        <v>4.24</v>
      </c>
      <c r="T1466" s="25" t="n">
        <v>0.17</v>
      </c>
      <c r="U1466" s="42" t="inlineStr">
        <is>
          <t>Tier 2 (Fiber Corridor / Lateral, 3-5 km)</t>
        </is>
      </c>
      <c r="V1466" s="24" t="n">
        <v>34.3</v>
      </c>
      <c r="W1466" s="24" t="n">
        <v>87.5</v>
      </c>
      <c r="X1466" s="24" t="n">
        <v>73</v>
      </c>
      <c r="Y1466" s="45">
        <f>ROUND((V1466*'Methodology &amp; Assumptions'!$B$6)+(W1466*'Methodology &amp; Assumptions'!$B$5)+(X1466*'Methodology &amp; Assumptions'!$B$7), 2)</f>
        <v/>
      </c>
    </row>
    <row r="1467" ht="19" customHeight="1">
      <c r="A1467" s="35" t="n">
        <v>463</v>
      </c>
      <c r="B1467" s="35" t="n">
        <v>4463</v>
      </c>
      <c r="C1467" s="36" t="inlineStr">
        <is>
          <t>0304922004</t>
        </is>
      </c>
      <c r="D1467" s="36" t="inlineStr">
        <is>
          <t>Region III (Central Luzon)</t>
        </is>
      </c>
      <c r="E1467" s="36" t="inlineStr">
        <is>
          <t>Nueva Ecija</t>
        </is>
      </c>
      <c r="F1467" s="36" t="inlineStr">
        <is>
          <t>Quezon</t>
        </is>
      </c>
      <c r="G1467" s="36" t="inlineStr">
        <is>
          <t>Doña Lucia</t>
        </is>
      </c>
      <c r="H1467" s="37" t="n">
        <v>15.542913</v>
      </c>
      <c r="I1467" s="37" t="n">
        <v>120.804259</v>
      </c>
      <c r="J1467" s="8" t="inlineStr">
        <is>
          <t>R</t>
        </is>
      </c>
      <c r="K1467" s="36" t="inlineStr">
        <is>
          <t>2nd</t>
        </is>
      </c>
      <c r="L1467" s="18" t="n">
        <v>2506</v>
      </c>
      <c r="M1467" s="20" t="n">
        <v>4.28</v>
      </c>
      <c r="N1467" s="18">
        <f>ROUND(L1467/M1467, 0)</f>
        <v/>
      </c>
      <c r="O1467" s="18">
        <f>ROUND(N1467*'Methodology &amp; Assumptions'!$B$8, 0)</f>
        <v/>
      </c>
      <c r="P1467" s="8" t="inlineStr">
        <is>
          <t>Band n50 (1.5 GHz, 60 MHz)</t>
        </is>
      </c>
      <c r="Q1467" s="38">
        <f>ROUNDUP(O1467/'Methodology &amp; Assumptions'!$B$9, 0)</f>
        <v/>
      </c>
      <c r="R1467" s="39" t="n">
        <v>1</v>
      </c>
      <c r="S1467" s="21" t="n">
        <v>1.86</v>
      </c>
      <c r="T1467" s="21" t="n">
        <v>1.53</v>
      </c>
      <c r="U1467" s="36" t="inlineStr">
        <is>
          <t>Tier 1B (Micro Drop, 1-3 km)</t>
        </is>
      </c>
      <c r="V1467" s="20" t="n">
        <v>63.7</v>
      </c>
      <c r="W1467" s="20" t="n">
        <v>70.90000000000001</v>
      </c>
      <c r="X1467" s="20" t="n">
        <v>58</v>
      </c>
      <c r="Y1467" s="40">
        <f>ROUND((V1467*'Methodology &amp; Assumptions'!$B$6)+(W1467*'Methodology &amp; Assumptions'!$B$5)+(X1467*'Methodology &amp; Assumptions'!$B$7), 2)</f>
        <v/>
      </c>
    </row>
    <row r="1468" ht="19" customHeight="1">
      <c r="A1468" s="41" t="n">
        <v>464</v>
      </c>
      <c r="B1468" s="41" t="n">
        <v>4464</v>
      </c>
      <c r="C1468" s="42" t="inlineStr">
        <is>
          <t>0803708074</t>
        </is>
      </c>
      <c r="D1468" s="42" t="inlineStr">
        <is>
          <t>Region VIII (Eastern Visayas)</t>
        </is>
      </c>
      <c r="E1468" s="42" t="inlineStr">
        <is>
          <t>Leyte</t>
        </is>
      </c>
      <c r="F1468" s="42" t="inlineStr">
        <is>
          <t>City of Baybay</t>
        </is>
      </c>
      <c r="G1468" s="42" t="inlineStr">
        <is>
          <t>Poblacion Zone 18</t>
        </is>
      </c>
      <c r="H1468" s="43" t="n">
        <v>10.670709</v>
      </c>
      <c r="I1468" s="43" t="n">
        <v>124.805201</v>
      </c>
      <c r="J1468" s="44" t="inlineStr">
        <is>
          <t>R</t>
        </is>
      </c>
      <c r="K1468" s="42" t="inlineStr">
        <is>
          <t>Class 1-3 / Urban</t>
        </is>
      </c>
      <c r="L1468" s="23" t="n">
        <v>1595</v>
      </c>
      <c r="M1468" s="24" t="n">
        <v>4.24</v>
      </c>
      <c r="N1468" s="23">
        <f>ROUND(L1468/M1468, 0)</f>
        <v/>
      </c>
      <c r="O1468" s="23">
        <f>ROUND(N1468*'Methodology &amp; Assumptions'!$B$8, 0)</f>
        <v/>
      </c>
      <c r="P1468" s="44" t="inlineStr">
        <is>
          <t>Band n50 (1.5 GHz, 60 MHz)</t>
        </is>
      </c>
      <c r="Q1468" s="38">
        <f>ROUNDUP(O1468/'Methodology &amp; Assumptions'!$B$9, 0)</f>
        <v/>
      </c>
      <c r="R1468" s="39" t="n">
        <v>1</v>
      </c>
      <c r="S1468" s="25" t="n">
        <v>1.05</v>
      </c>
      <c r="T1468" s="25" t="n">
        <v>0.27</v>
      </c>
      <c r="U1468" s="42" t="inlineStr">
        <is>
          <t>Tier 1B (Micro Drop, 1-3 km)</t>
        </is>
      </c>
      <c r="V1468" s="24" t="n">
        <v>80.5</v>
      </c>
      <c r="W1468" s="24" t="n">
        <v>54.1</v>
      </c>
      <c r="X1468" s="24" t="n">
        <v>58</v>
      </c>
      <c r="Y1468" s="45">
        <f>ROUND((V1468*'Methodology &amp; Assumptions'!$B$6)+(W1468*'Methodology &amp; Assumptions'!$B$5)+(X1468*'Methodology &amp; Assumptions'!$B$7), 2)</f>
        <v/>
      </c>
    </row>
    <row r="1469" ht="19" customHeight="1">
      <c r="A1469" s="35" t="n">
        <v>465</v>
      </c>
      <c r="B1469" s="35" t="n">
        <v>4465</v>
      </c>
      <c r="C1469" s="36" t="inlineStr">
        <is>
          <t>0500506043</t>
        </is>
      </c>
      <c r="D1469" s="36" t="inlineStr">
        <is>
          <t>Region V (Bicol Region)</t>
        </is>
      </c>
      <c r="E1469" s="36" t="inlineStr">
        <is>
          <t>Albay</t>
        </is>
      </c>
      <c r="F1469" s="36" t="inlineStr">
        <is>
          <t>City of Legazpi</t>
        </is>
      </c>
      <c r="G1469" s="36" t="inlineStr">
        <is>
          <t>Bgy. 9 - Pinaric</t>
        </is>
      </c>
      <c r="H1469" s="37" t="n">
        <v>13.138193</v>
      </c>
      <c r="I1469" s="37" t="n">
        <v>123.73141</v>
      </c>
      <c r="J1469" s="8" t="inlineStr">
        <is>
          <t>R</t>
        </is>
      </c>
      <c r="K1469" s="36" t="inlineStr">
        <is>
          <t>Class 1-3 / Urban</t>
        </is>
      </c>
      <c r="L1469" s="18" t="n">
        <v>1481</v>
      </c>
      <c r="M1469" s="20" t="n">
        <v>4.67</v>
      </c>
      <c r="N1469" s="18">
        <f>ROUND(L1469/M1469, 0)</f>
        <v/>
      </c>
      <c r="O1469" s="18">
        <f>ROUND(N1469*'Methodology &amp; Assumptions'!$B$8, 0)</f>
        <v/>
      </c>
      <c r="P1469" s="8" t="inlineStr">
        <is>
          <t>Band n50 (1.5 GHz, 60 MHz)</t>
        </is>
      </c>
      <c r="Q1469" s="38">
        <f>ROUNDUP(O1469/'Methodology &amp; Assumptions'!$B$9, 0)</f>
        <v/>
      </c>
      <c r="R1469" s="39" t="n">
        <v>1</v>
      </c>
      <c r="S1469" s="21" t="n">
        <v>0.85</v>
      </c>
      <c r="T1469" s="21" t="n">
        <v>0.14</v>
      </c>
      <c r="U1469" s="36" t="inlineStr">
        <is>
          <t>Tier 1A (Direct Coloc, &lt;1 km)</t>
        </is>
      </c>
      <c r="V1469" s="20" t="n">
        <v>85.3</v>
      </c>
      <c r="W1469" s="20" t="n">
        <v>49.3</v>
      </c>
      <c r="X1469" s="20" t="n">
        <v>58</v>
      </c>
      <c r="Y1469" s="40">
        <f>ROUND((V1469*'Methodology &amp; Assumptions'!$B$6)+(W1469*'Methodology &amp; Assumptions'!$B$5)+(X1469*'Methodology &amp; Assumptions'!$B$7), 2)</f>
        <v/>
      </c>
    </row>
    <row r="1470" ht="19" customHeight="1">
      <c r="A1470" s="41" t="n">
        <v>466</v>
      </c>
      <c r="B1470" s="41" t="n">
        <v>4466</v>
      </c>
      <c r="C1470" s="42" t="inlineStr">
        <is>
          <t>0103306013</t>
        </is>
      </c>
      <c r="D1470" s="42" t="inlineStr">
        <is>
          <t>Region I (Ilocos Region)</t>
        </is>
      </c>
      <c r="E1470" s="42" t="inlineStr">
        <is>
          <t>La Union</t>
        </is>
      </c>
      <c r="F1470" s="42" t="inlineStr">
        <is>
          <t>Bangar</t>
        </is>
      </c>
      <c r="G1470" s="42" t="inlineStr">
        <is>
          <t>General Terrero</t>
        </is>
      </c>
      <c r="H1470" s="43" t="n">
        <v>16.898989</v>
      </c>
      <c r="I1470" s="43" t="n">
        <v>120.422975</v>
      </c>
      <c r="J1470" s="44" t="inlineStr">
        <is>
          <t>R</t>
        </is>
      </c>
      <c r="K1470" s="42" t="inlineStr">
        <is>
          <t>Class 1-3 / Urban</t>
        </is>
      </c>
      <c r="L1470" s="23" t="n">
        <v>1146</v>
      </c>
      <c r="M1470" s="24" t="n">
        <v>4.42</v>
      </c>
      <c r="N1470" s="23">
        <f>ROUND(L1470/M1470, 0)</f>
        <v/>
      </c>
      <c r="O1470" s="23">
        <f>ROUND(N1470*'Methodology &amp; Assumptions'!$B$8, 0)</f>
        <v/>
      </c>
      <c r="P1470" s="44" t="inlineStr">
        <is>
          <t>Band n50 (1.5 GHz, 60 MHz)</t>
        </is>
      </c>
      <c r="Q1470" s="38">
        <f>ROUNDUP(O1470/'Methodology &amp; Assumptions'!$B$9, 0)</f>
        <v/>
      </c>
      <c r="R1470" s="39" t="n">
        <v>1</v>
      </c>
      <c r="S1470" s="25" t="n">
        <v>0.67</v>
      </c>
      <c r="T1470" s="25" t="n">
        <v>0.43</v>
      </c>
      <c r="U1470" s="42" t="inlineStr">
        <is>
          <t>Tier 1A (Direct Coloc, &lt;1 km)</t>
        </is>
      </c>
      <c r="V1470" s="24" t="n">
        <v>89.90000000000001</v>
      </c>
      <c r="W1470" s="24" t="n">
        <v>44.8</v>
      </c>
      <c r="X1470" s="24" t="n">
        <v>58</v>
      </c>
      <c r="Y1470" s="45">
        <f>ROUND((V1470*'Methodology &amp; Assumptions'!$B$6)+(W1470*'Methodology &amp; Assumptions'!$B$5)+(X1470*'Methodology &amp; Assumptions'!$B$7), 2)</f>
        <v/>
      </c>
    </row>
    <row r="1471" ht="19" customHeight="1">
      <c r="A1471" s="35" t="n">
        <v>467</v>
      </c>
      <c r="B1471" s="35" t="n">
        <v>4467</v>
      </c>
      <c r="C1471" s="36" t="inlineStr">
        <is>
          <t>0105532092</t>
        </is>
      </c>
      <c r="D1471" s="36" t="inlineStr">
        <is>
          <t>Region I (Ilocos Region)</t>
        </is>
      </c>
      <c r="E1471" s="36" t="inlineStr">
        <is>
          <t>Pangasinan</t>
        </is>
      </c>
      <c r="F1471" s="36" t="inlineStr">
        <is>
          <t>City of San Carlos</t>
        </is>
      </c>
      <c r="G1471" s="36" t="inlineStr">
        <is>
          <t>Tandang Sora</t>
        </is>
      </c>
      <c r="H1471" s="37" t="n">
        <v>15.9301</v>
      </c>
      <c r="I1471" s="37" t="n">
        <v>120.3496</v>
      </c>
      <c r="J1471" s="8" t="inlineStr">
        <is>
          <t>R</t>
        </is>
      </c>
      <c r="K1471" s="36" t="inlineStr">
        <is>
          <t>Class 1-3 / Urban</t>
        </is>
      </c>
      <c r="L1471" s="18" t="n">
        <v>582</v>
      </c>
      <c r="M1471" s="20" t="n">
        <v>4.39</v>
      </c>
      <c r="N1471" s="18">
        <f>ROUND(L1471/M1471, 0)</f>
        <v/>
      </c>
      <c r="O1471" s="18">
        <f>ROUND(N1471*'Methodology &amp; Assumptions'!$B$8, 0)</f>
        <v/>
      </c>
      <c r="P1471" s="8" t="inlineStr">
        <is>
          <t>Band n50 (1.5 GHz, 60 MHz)</t>
        </is>
      </c>
      <c r="Q1471" s="38">
        <f>ROUNDUP(O1471/'Methodology &amp; Assumptions'!$B$9, 0)</f>
        <v/>
      </c>
      <c r="R1471" s="39" t="n">
        <v>1</v>
      </c>
      <c r="S1471" s="21" t="n">
        <v>0.28</v>
      </c>
      <c r="T1471" s="21" t="n">
        <v>0.19</v>
      </c>
      <c r="U1471" s="36" t="inlineStr">
        <is>
          <t>Tier 1A (Direct Coloc, &lt;1 km)</t>
        </is>
      </c>
      <c r="V1471" s="20" t="n">
        <v>100</v>
      </c>
      <c r="W1471" s="20" t="n">
        <v>34.7</v>
      </c>
      <c r="X1471" s="20" t="n">
        <v>58</v>
      </c>
      <c r="Y1471" s="40">
        <f>ROUND((V1471*'Methodology &amp; Assumptions'!$B$6)+(W1471*'Methodology &amp; Assumptions'!$B$5)+(X1471*'Methodology &amp; Assumptions'!$B$7), 2)</f>
        <v/>
      </c>
    </row>
    <row r="1472" ht="19" customHeight="1">
      <c r="A1472" s="41" t="n">
        <v>468</v>
      </c>
      <c r="B1472" s="41" t="n">
        <v>4468</v>
      </c>
      <c r="C1472" s="42" t="inlineStr">
        <is>
          <t>0604520006</t>
        </is>
      </c>
      <c r="D1472" s="42" t="inlineStr">
        <is>
          <t>Region VI (Western Visayas)</t>
        </is>
      </c>
      <c r="E1472" s="42" t="inlineStr">
        <is>
          <t>Negros Occidental</t>
        </is>
      </c>
      <c r="F1472" s="42" t="inlineStr">
        <is>
          <t>Murcia</t>
        </is>
      </c>
      <c r="G1472" s="42" t="inlineStr">
        <is>
          <t>Zone III</t>
        </is>
      </c>
      <c r="H1472" s="43" t="n">
        <v>10.605409</v>
      </c>
      <c r="I1472" s="43" t="n">
        <v>123.041704</v>
      </c>
      <c r="J1472" s="44" t="inlineStr">
        <is>
          <t>R</t>
        </is>
      </c>
      <c r="K1472" s="42" t="inlineStr">
        <is>
          <t>Class 1-3 / Urban</t>
        </is>
      </c>
      <c r="L1472" s="23" t="n">
        <v>575</v>
      </c>
      <c r="M1472" s="24" t="n">
        <v>4.33</v>
      </c>
      <c r="N1472" s="23">
        <f>ROUND(L1472/M1472, 0)</f>
        <v/>
      </c>
      <c r="O1472" s="23">
        <f>ROUND(N1472*'Methodology &amp; Assumptions'!$B$8, 0)</f>
        <v/>
      </c>
      <c r="P1472" s="44" t="inlineStr">
        <is>
          <t>Band n50 (1.5 GHz, 60 MHz)</t>
        </is>
      </c>
      <c r="Q1472" s="38">
        <f>ROUNDUP(O1472/'Methodology &amp; Assumptions'!$B$9, 0)</f>
        <v/>
      </c>
      <c r="R1472" s="39" t="n">
        <v>1</v>
      </c>
      <c r="S1472" s="25" t="n">
        <v>0.14</v>
      </c>
      <c r="T1472" s="25" t="n">
        <v>0.14</v>
      </c>
      <c r="U1472" s="42" t="inlineStr">
        <is>
          <t>Tier 1A (Direct Coloc, &lt;1 km)</t>
        </is>
      </c>
      <c r="V1472" s="24" t="n">
        <v>100</v>
      </c>
      <c r="W1472" s="24" t="n">
        <v>34.7</v>
      </c>
      <c r="X1472" s="24" t="n">
        <v>58</v>
      </c>
      <c r="Y1472" s="45">
        <f>ROUND((V1472*'Methodology &amp; Assumptions'!$B$6)+(W1472*'Methodology &amp; Assumptions'!$B$5)+(X1472*'Methodology &amp; Assumptions'!$B$7), 2)</f>
        <v/>
      </c>
    </row>
    <row r="1473" ht="19" customHeight="1">
      <c r="A1473" s="35" t="n">
        <v>469</v>
      </c>
      <c r="B1473" s="35" t="n">
        <v>4469</v>
      </c>
      <c r="C1473" s="36" t="inlineStr">
        <is>
          <t>0403405011</t>
        </is>
      </c>
      <c r="D1473" s="36" t="inlineStr">
        <is>
          <t>Region IV-A (CALABARZON)</t>
        </is>
      </c>
      <c r="E1473" s="36" t="inlineStr">
        <is>
          <t>Laguna</t>
        </is>
      </c>
      <c r="F1473" s="36" t="inlineStr">
        <is>
          <t>City of Calamba</t>
        </is>
      </c>
      <c r="G1473" s="36" t="inlineStr">
        <is>
          <t>Canlubang</t>
        </is>
      </c>
      <c r="H1473" s="37" t="n">
        <v>14.205628</v>
      </c>
      <c r="I1473" s="37" t="n">
        <v>121.107139</v>
      </c>
      <c r="J1473" s="8" t="inlineStr">
        <is>
          <t>U</t>
        </is>
      </c>
      <c r="K1473" s="36" t="inlineStr">
        <is>
          <t>Class 1-3 / Urban</t>
        </is>
      </c>
      <c r="L1473" s="18" t="n">
        <v>60292</v>
      </c>
      <c r="M1473" s="20" t="n">
        <v>4.2</v>
      </c>
      <c r="N1473" s="18">
        <f>ROUND(L1473/M1473, 0)</f>
        <v/>
      </c>
      <c r="O1473" s="18">
        <f>ROUND(N1473*'Methodology &amp; Assumptions'!$B$8, 0)</f>
        <v/>
      </c>
      <c r="P1473" s="8" t="inlineStr">
        <is>
          <t>Band n50 (1.5 GHz, 60 MHz)</t>
        </is>
      </c>
      <c r="Q1473" s="38">
        <f>ROUNDUP(O1473/'Methodology &amp; Assumptions'!$B$9, 0)</f>
        <v/>
      </c>
      <c r="R1473" s="39" t="n">
        <v>1</v>
      </c>
      <c r="S1473" s="21" t="n">
        <v>1.79</v>
      </c>
      <c r="T1473" s="21" t="n">
        <v>0.8</v>
      </c>
      <c r="U1473" s="36" t="inlineStr">
        <is>
          <t>Tier 1B (Micro Drop, 1-3 km)</t>
        </is>
      </c>
      <c r="V1473" s="20" t="n">
        <v>65.09999999999999</v>
      </c>
      <c r="W1473" s="20" t="n">
        <v>95.2</v>
      </c>
      <c r="X1473" s="20" t="n">
        <v>28</v>
      </c>
      <c r="Y1473" s="40">
        <f>ROUND((V1473*'Methodology &amp; Assumptions'!$B$6)+(W1473*'Methodology &amp; Assumptions'!$B$5)+(X1473*'Methodology &amp; Assumptions'!$B$7), 2)</f>
        <v/>
      </c>
    </row>
    <row r="1474" ht="19" customHeight="1">
      <c r="A1474" s="41" t="n">
        <v>470</v>
      </c>
      <c r="B1474" s="41" t="n">
        <v>4470</v>
      </c>
      <c r="C1474" s="42" t="inlineStr">
        <is>
          <t>0730600060</t>
        </is>
      </c>
      <c r="D1474" s="42" t="inlineStr">
        <is>
          <t>Region VII (Central Visayas)</t>
        </is>
      </c>
      <c r="E1474" s="42" t="inlineStr">
        <is>
          <t>Cebu</t>
        </is>
      </c>
      <c r="F1474" s="42" t="inlineStr">
        <is>
          <t>City of Cebu</t>
        </is>
      </c>
      <c r="G1474" s="42" t="inlineStr">
        <is>
          <t>Pung-ol-Sibugay</t>
        </is>
      </c>
      <c r="H1474" s="43" t="n">
        <v>10.389436</v>
      </c>
      <c r="I1474" s="43" t="n">
        <v>123.854032</v>
      </c>
      <c r="J1474" s="44" t="inlineStr">
        <is>
          <t>R</t>
        </is>
      </c>
      <c r="K1474" s="42" t="inlineStr">
        <is>
          <t>Class 1-3 / Urban</t>
        </is>
      </c>
      <c r="L1474" s="23" t="n">
        <v>2333</v>
      </c>
      <c r="M1474" s="24" t="n">
        <v>4.42</v>
      </c>
      <c r="N1474" s="23">
        <f>ROUND(L1474/M1474, 0)</f>
        <v/>
      </c>
      <c r="O1474" s="23">
        <f>ROUND(N1474*'Methodology &amp; Assumptions'!$B$8, 0)</f>
        <v/>
      </c>
      <c r="P1474" s="44" t="inlineStr">
        <is>
          <t>Band n50 (1.5 GHz, 60 MHz)</t>
        </is>
      </c>
      <c r="Q1474" s="38">
        <f>ROUNDUP(O1474/'Methodology &amp; Assumptions'!$B$9, 0)</f>
        <v/>
      </c>
      <c r="R1474" s="39" t="n">
        <v>1</v>
      </c>
      <c r="S1474" s="25" t="n">
        <v>1.14</v>
      </c>
      <c r="T1474" s="25" t="n">
        <v>7.32</v>
      </c>
      <c r="U1474" s="42" t="inlineStr">
        <is>
          <t>Tier 1B (Micro Drop, 1-3 km)</t>
        </is>
      </c>
      <c r="V1474" s="24" t="n">
        <v>68.5</v>
      </c>
      <c r="W1474" s="24" t="n">
        <v>66.09999999999999</v>
      </c>
      <c r="X1474" s="24" t="n">
        <v>58</v>
      </c>
      <c r="Y1474" s="45">
        <f>ROUND((V1474*'Methodology &amp; Assumptions'!$B$6)+(W1474*'Methodology &amp; Assumptions'!$B$5)+(X1474*'Methodology &amp; Assumptions'!$B$7), 2)</f>
        <v/>
      </c>
    </row>
    <row r="1475" ht="19" customHeight="1">
      <c r="A1475" s="35" t="n">
        <v>471</v>
      </c>
      <c r="B1475" s="35" t="n">
        <v>4471</v>
      </c>
      <c r="C1475" s="36" t="inlineStr">
        <is>
          <t>0704603014</t>
        </is>
      </c>
      <c r="D1475" s="36" t="inlineStr">
        <is>
          <t>Region VII (Central Visayas)</t>
        </is>
      </c>
      <c r="E1475" s="36" t="inlineStr">
        <is>
          <t>Negros Oriental</t>
        </is>
      </c>
      <c r="F1475" s="36" t="inlineStr">
        <is>
          <t>Bacong</t>
        </is>
      </c>
      <c r="G1475" s="36" t="inlineStr">
        <is>
          <t>North Poblacion</t>
        </is>
      </c>
      <c r="H1475" s="37" t="n">
        <v>9.24981</v>
      </c>
      <c r="I1475" s="37" t="n">
        <v>123.29465</v>
      </c>
      <c r="J1475" s="8" t="inlineStr">
        <is>
          <t>R</t>
        </is>
      </c>
      <c r="K1475" s="36" t="inlineStr">
        <is>
          <t>2nd</t>
        </is>
      </c>
      <c r="L1475" s="18" t="n">
        <v>1011</v>
      </c>
      <c r="M1475" s="20" t="n">
        <v>4.41</v>
      </c>
      <c r="N1475" s="18">
        <f>ROUND(L1475/M1475, 0)</f>
        <v/>
      </c>
      <c r="O1475" s="18">
        <f>ROUND(N1475*'Methodology &amp; Assumptions'!$B$8, 0)</f>
        <v/>
      </c>
      <c r="P1475" s="8" t="inlineStr">
        <is>
          <t>Band n50 (1.5 GHz, 60 MHz)</t>
        </is>
      </c>
      <c r="Q1475" s="38">
        <f>ROUNDUP(O1475/'Methodology &amp; Assumptions'!$B$9, 0)</f>
        <v/>
      </c>
      <c r="R1475" s="39" t="n">
        <v>1</v>
      </c>
      <c r="S1475" s="21" t="n">
        <v>0.59</v>
      </c>
      <c r="T1475" s="21" t="n">
        <v>0.09</v>
      </c>
      <c r="U1475" s="36" t="inlineStr">
        <is>
          <t>Tier 1A (Direct Coloc, &lt;1 km)</t>
        </is>
      </c>
      <c r="V1475" s="20" t="n">
        <v>92.2</v>
      </c>
      <c r="W1475" s="20" t="n">
        <v>42.4</v>
      </c>
      <c r="X1475" s="20" t="n">
        <v>58</v>
      </c>
      <c r="Y1475" s="40">
        <f>ROUND((V1475*'Methodology &amp; Assumptions'!$B$6)+(W1475*'Methodology &amp; Assumptions'!$B$5)+(X1475*'Methodology &amp; Assumptions'!$B$7), 2)</f>
        <v/>
      </c>
    </row>
    <row r="1476" ht="19" customHeight="1">
      <c r="A1476" s="41" t="n">
        <v>472</v>
      </c>
      <c r="B1476" s="41" t="n">
        <v>4472</v>
      </c>
      <c r="C1476" s="42" t="inlineStr">
        <is>
          <t>0305419003</t>
        </is>
      </c>
      <c r="D1476" s="42" t="inlineStr">
        <is>
          <t>Region III (Central Luzon)</t>
        </is>
      </c>
      <c r="E1476" s="42" t="inlineStr">
        <is>
          <t>Pampanga</t>
        </is>
      </c>
      <c r="F1476" s="42" t="inlineStr">
        <is>
          <t>Santa Ana</t>
        </is>
      </c>
      <c r="G1476" s="42" t="inlineStr">
        <is>
          <t>San Isidro</t>
        </is>
      </c>
      <c r="H1476" s="43" t="n">
        <v>15.115806</v>
      </c>
      <c r="I1476" s="43" t="n">
        <v>120.771984</v>
      </c>
      <c r="J1476" s="44" t="inlineStr">
        <is>
          <t>U</t>
        </is>
      </c>
      <c r="K1476" s="42" t="inlineStr">
        <is>
          <t>Class 1-3 / Urban</t>
        </is>
      </c>
      <c r="L1476" s="23" t="n">
        <v>5485</v>
      </c>
      <c r="M1476" s="24" t="n">
        <v>4.63</v>
      </c>
      <c r="N1476" s="23">
        <f>ROUND(L1476/M1476, 0)</f>
        <v/>
      </c>
      <c r="O1476" s="23">
        <f>ROUND(N1476*'Methodology &amp; Assumptions'!$B$8, 0)</f>
        <v/>
      </c>
      <c r="P1476" s="44" t="inlineStr">
        <is>
          <t>Band n50 (1.5 GHz, 60 MHz)</t>
        </is>
      </c>
      <c r="Q1476" s="38">
        <f>ROUNDUP(O1476/'Methodology &amp; Assumptions'!$B$9, 0)</f>
        <v/>
      </c>
      <c r="R1476" s="39" t="n">
        <v>1</v>
      </c>
      <c r="S1476" s="25" t="n">
        <v>2.94</v>
      </c>
      <c r="T1476" s="25" t="n">
        <v>0.17</v>
      </c>
      <c r="U1476" s="42" t="inlineStr">
        <is>
          <t>Tier 1B (Micro Drop, 1-3 km)</t>
        </is>
      </c>
      <c r="V1476" s="24" t="n">
        <v>47.5</v>
      </c>
      <c r="W1476" s="24" t="n">
        <v>100</v>
      </c>
      <c r="X1476" s="24" t="n">
        <v>43</v>
      </c>
      <c r="Y1476" s="45">
        <f>ROUND((V1476*'Methodology &amp; Assumptions'!$B$6)+(W1476*'Methodology &amp; Assumptions'!$B$5)+(X1476*'Methodology &amp; Assumptions'!$B$7), 2)</f>
        <v/>
      </c>
    </row>
    <row r="1477" ht="19" customHeight="1">
      <c r="A1477" s="35" t="n">
        <v>473</v>
      </c>
      <c r="B1477" s="35" t="n">
        <v>4473</v>
      </c>
      <c r="C1477" s="36" t="inlineStr">
        <is>
          <t>1102315005</t>
        </is>
      </c>
      <c r="D1477" s="36" t="inlineStr">
        <is>
          <t>Region XI (Davao Region)</t>
        </is>
      </c>
      <c r="E1477" s="36" t="inlineStr">
        <is>
          <t>Davao del Norte</t>
        </is>
      </c>
      <c r="F1477" s="36" t="inlineStr">
        <is>
          <t>City of Panabo</t>
        </is>
      </c>
      <c r="G1477" s="36" t="inlineStr">
        <is>
          <t>Cagangohan</t>
        </is>
      </c>
      <c r="H1477" s="37" t="n">
        <v>7.282388</v>
      </c>
      <c r="I1477" s="37" t="n">
        <v>125.68349</v>
      </c>
      <c r="J1477" s="8" t="inlineStr">
        <is>
          <t>U</t>
        </is>
      </c>
      <c r="K1477" s="36" t="inlineStr">
        <is>
          <t>Class 1-3 / Urban</t>
        </is>
      </c>
      <c r="L1477" s="18" t="n">
        <v>13224</v>
      </c>
      <c r="M1477" s="20" t="n">
        <v>4.25</v>
      </c>
      <c r="N1477" s="18">
        <f>ROUND(L1477/M1477, 0)</f>
        <v/>
      </c>
      <c r="O1477" s="18">
        <f>ROUND(N1477*'Methodology &amp; Assumptions'!$B$8, 0)</f>
        <v/>
      </c>
      <c r="P1477" s="8" t="inlineStr">
        <is>
          <t>Band n50 (1.5 GHz, 60 MHz)</t>
        </is>
      </c>
      <c r="Q1477" s="38">
        <f>ROUNDUP(O1477/'Methodology &amp; Assumptions'!$B$9, 0)</f>
        <v/>
      </c>
      <c r="R1477" s="39" t="n">
        <v>1</v>
      </c>
      <c r="S1477" s="21" t="n">
        <v>2.06</v>
      </c>
      <c r="T1477" s="21" t="n">
        <v>1.13</v>
      </c>
      <c r="U1477" s="36" t="inlineStr">
        <is>
          <t>Tier 1B (Micro Drop, 1-3 km)</t>
        </is>
      </c>
      <c r="V1477" s="20" t="n">
        <v>60.3</v>
      </c>
      <c r="W1477" s="20" t="n">
        <v>100</v>
      </c>
      <c r="X1477" s="20" t="n">
        <v>28</v>
      </c>
      <c r="Y1477" s="40">
        <f>ROUND((V1477*'Methodology &amp; Assumptions'!$B$6)+(W1477*'Methodology &amp; Assumptions'!$B$5)+(X1477*'Methodology &amp; Assumptions'!$B$7), 2)</f>
        <v/>
      </c>
    </row>
    <row r="1478" ht="19" customHeight="1">
      <c r="A1478" s="41" t="n">
        <v>474</v>
      </c>
      <c r="B1478" s="41" t="n">
        <v>4474</v>
      </c>
      <c r="C1478" s="42" t="inlineStr">
        <is>
          <t>1130700187</t>
        </is>
      </c>
      <c r="D1478" s="42" t="inlineStr">
        <is>
          <t>Region XI (Davao Region)</t>
        </is>
      </c>
      <c r="E1478" s="42" t="inlineStr">
        <is>
          <t>Davao del Sur</t>
        </is>
      </c>
      <c r="F1478" s="42" t="inlineStr">
        <is>
          <t>City of Davao</t>
        </is>
      </c>
      <c r="G1478" s="42" t="inlineStr">
        <is>
          <t>Leon Garcia, Sr.</t>
        </is>
      </c>
      <c r="H1478" s="43" t="n">
        <v>7.081376</v>
      </c>
      <c r="I1478" s="43" t="n">
        <v>125.62561</v>
      </c>
      <c r="J1478" s="44" t="inlineStr">
        <is>
          <t>U</t>
        </is>
      </c>
      <c r="K1478" s="42" t="inlineStr">
        <is>
          <t>Class 1-3 / Urban</t>
        </is>
      </c>
      <c r="L1478" s="23" t="n">
        <v>12952</v>
      </c>
      <c r="M1478" s="24" t="n">
        <v>4.1</v>
      </c>
      <c r="N1478" s="23">
        <f>ROUND(L1478/M1478, 0)</f>
        <v/>
      </c>
      <c r="O1478" s="23">
        <f>ROUND(N1478*'Methodology &amp; Assumptions'!$B$8, 0)</f>
        <v/>
      </c>
      <c r="P1478" s="44" t="inlineStr">
        <is>
          <t>Band n50 (1.5 GHz, 60 MHz)</t>
        </is>
      </c>
      <c r="Q1478" s="38">
        <f>ROUNDUP(O1478/'Methodology &amp; Assumptions'!$B$9, 0)</f>
        <v/>
      </c>
      <c r="R1478" s="39" t="n">
        <v>1</v>
      </c>
      <c r="S1478" s="25" t="n">
        <v>2.06</v>
      </c>
      <c r="T1478" s="25" t="n">
        <v>0.11</v>
      </c>
      <c r="U1478" s="42" t="inlineStr">
        <is>
          <t>Tier 1B (Micro Drop, 1-3 km)</t>
        </is>
      </c>
      <c r="V1478" s="24" t="n">
        <v>60.3</v>
      </c>
      <c r="W1478" s="24" t="n">
        <v>100</v>
      </c>
      <c r="X1478" s="24" t="n">
        <v>28</v>
      </c>
      <c r="Y1478" s="45">
        <f>ROUND((V1478*'Methodology &amp; Assumptions'!$B$6)+(W1478*'Methodology &amp; Assumptions'!$B$5)+(X1478*'Methodology &amp; Assumptions'!$B$7), 2)</f>
        <v/>
      </c>
    </row>
    <row r="1479" ht="19" customHeight="1">
      <c r="A1479" s="35" t="n">
        <v>475</v>
      </c>
      <c r="B1479" s="35" t="n">
        <v>4475</v>
      </c>
      <c r="C1479" s="36" t="inlineStr">
        <is>
          <t>0501710001</t>
        </is>
      </c>
      <c r="D1479" s="36" t="inlineStr">
        <is>
          <t>Region V (Bicol Region)</t>
        </is>
      </c>
      <c r="E1479" s="36" t="inlineStr">
        <is>
          <t>Camarines Sur</t>
        </is>
      </c>
      <c r="F1479" s="36" t="inlineStr">
        <is>
          <t>Canaman</t>
        </is>
      </c>
      <c r="G1479" s="36" t="inlineStr">
        <is>
          <t>Baras</t>
        </is>
      </c>
      <c r="H1479" s="37" t="n">
        <v>13.651661</v>
      </c>
      <c r="I1479" s="37" t="n">
        <v>123.18081</v>
      </c>
      <c r="J1479" s="8" t="inlineStr">
        <is>
          <t>U</t>
        </is>
      </c>
      <c r="K1479" s="36" t="inlineStr">
        <is>
          <t>3rd</t>
        </is>
      </c>
      <c r="L1479" s="18" t="n">
        <v>2458</v>
      </c>
      <c r="M1479" s="20" t="n">
        <v>4.79</v>
      </c>
      <c r="N1479" s="18">
        <f>ROUND(L1479/M1479, 0)</f>
        <v/>
      </c>
      <c r="O1479" s="18">
        <f>ROUND(N1479*'Methodology &amp; Assumptions'!$B$8, 0)</f>
        <v/>
      </c>
      <c r="P1479" s="8" t="inlineStr">
        <is>
          <t>Band n50 (1.5 GHz, 60 MHz)</t>
        </is>
      </c>
      <c r="Q1479" s="38">
        <f>ROUNDUP(O1479/'Methodology &amp; Assumptions'!$B$9, 0)</f>
        <v/>
      </c>
      <c r="R1479" s="39" t="n">
        <v>1</v>
      </c>
      <c r="S1479" s="21" t="n">
        <v>0.48</v>
      </c>
      <c r="T1479" s="21" t="n">
        <v>0.09</v>
      </c>
      <c r="U1479" s="36" t="inlineStr">
        <is>
          <t>Tier 1A (Direct Coloc, &lt;1 km)</t>
        </is>
      </c>
      <c r="V1479" s="20" t="n">
        <v>95.3</v>
      </c>
      <c r="W1479" s="20" t="n">
        <v>65.09999999999999</v>
      </c>
      <c r="X1479" s="20" t="n">
        <v>28</v>
      </c>
      <c r="Y1479" s="40">
        <f>ROUND((V1479*'Methodology &amp; Assumptions'!$B$6)+(W1479*'Methodology &amp; Assumptions'!$B$5)+(X1479*'Methodology &amp; Assumptions'!$B$7), 2)</f>
        <v/>
      </c>
    </row>
    <row r="1480" ht="19" customHeight="1">
      <c r="A1480" s="41" t="n">
        <v>476</v>
      </c>
      <c r="B1480" s="41" t="n">
        <v>4476</v>
      </c>
      <c r="C1480" s="42" t="inlineStr">
        <is>
          <t>1705203012</t>
        </is>
      </c>
      <c r="D1480" s="42" t="inlineStr">
        <is>
          <t>MIMAROPA Region</t>
        </is>
      </c>
      <c r="E1480" s="42" t="inlineStr">
        <is>
          <t>Oriental Mindoro</t>
        </is>
      </c>
      <c r="F1480" s="42" t="inlineStr">
        <is>
          <t>Bongabong</t>
        </is>
      </c>
      <c r="G1480" s="42" t="inlineStr">
        <is>
          <t>Labasan</t>
        </is>
      </c>
      <c r="H1480" s="43" t="n">
        <v>12.777441</v>
      </c>
      <c r="I1480" s="43" t="n">
        <v>121.469274</v>
      </c>
      <c r="J1480" s="44" t="inlineStr">
        <is>
          <t>R</t>
        </is>
      </c>
      <c r="K1480" s="42" t="inlineStr">
        <is>
          <t>Class 1-3 / Urban</t>
        </is>
      </c>
      <c r="L1480" s="23" t="n">
        <v>4673</v>
      </c>
      <c r="M1480" s="24" t="n">
        <v>4.41</v>
      </c>
      <c r="N1480" s="23">
        <f>ROUND(L1480/M1480, 0)</f>
        <v/>
      </c>
      <c r="O1480" s="23">
        <f>ROUND(N1480*'Methodology &amp; Assumptions'!$B$8, 0)</f>
        <v/>
      </c>
      <c r="P1480" s="44" t="inlineStr">
        <is>
          <t>Band n50 (1.5 GHz, 60 MHz)</t>
        </is>
      </c>
      <c r="Q1480" s="38">
        <f>ROUNDUP(O1480/'Methodology &amp; Assumptions'!$B$9, 0)</f>
        <v/>
      </c>
      <c r="R1480" s="39" t="n">
        <v>1</v>
      </c>
      <c r="S1480" s="25" t="n">
        <v>4.21</v>
      </c>
      <c r="T1480" s="25" t="n">
        <v>0.2</v>
      </c>
      <c r="U1480" s="42" t="inlineStr">
        <is>
          <t>Tier 2 (Fiber Corridor / Lateral, 3-5 km)</t>
        </is>
      </c>
      <c r="V1480" s="24" t="n">
        <v>34.6</v>
      </c>
      <c r="W1480" s="24" t="n">
        <v>100</v>
      </c>
      <c r="X1480" s="24" t="n">
        <v>58</v>
      </c>
      <c r="Y1480" s="45">
        <f>ROUND((V1480*'Methodology &amp; Assumptions'!$B$6)+(W1480*'Methodology &amp; Assumptions'!$B$5)+(X1480*'Methodology &amp; Assumptions'!$B$7), 2)</f>
        <v/>
      </c>
    </row>
    <row r="1481" ht="19" customHeight="1">
      <c r="A1481" s="35" t="n">
        <v>477</v>
      </c>
      <c r="B1481" s="35" t="n">
        <v>4477</v>
      </c>
      <c r="C1481" s="36" t="inlineStr">
        <is>
          <t>0203126014</t>
        </is>
      </c>
      <c r="D1481" s="36" t="inlineStr">
        <is>
          <t>Region II (Cagayan Valley)</t>
        </is>
      </c>
      <c r="E1481" s="36" t="inlineStr">
        <is>
          <t>Isabela</t>
        </is>
      </c>
      <c r="F1481" s="36" t="inlineStr">
        <is>
          <t>Roxas</t>
        </is>
      </c>
      <c r="G1481" s="36" t="inlineStr">
        <is>
          <t>Luna</t>
        </is>
      </c>
      <c r="H1481" s="37" t="n">
        <v>17.115789</v>
      </c>
      <c r="I1481" s="37" t="n">
        <v>121.624405</v>
      </c>
      <c r="J1481" s="8" t="inlineStr">
        <is>
          <t>R</t>
        </is>
      </c>
      <c r="K1481" s="36" t="inlineStr">
        <is>
          <t>Class 1-3 / Urban</t>
        </is>
      </c>
      <c r="L1481" s="18" t="n">
        <v>1528</v>
      </c>
      <c r="M1481" s="20" t="n">
        <v>4.3</v>
      </c>
      <c r="N1481" s="18">
        <f>ROUND(L1481/M1481, 0)</f>
        <v/>
      </c>
      <c r="O1481" s="18">
        <f>ROUND(N1481*'Methodology &amp; Assumptions'!$B$8, 0)</f>
        <v/>
      </c>
      <c r="P1481" s="8" t="inlineStr">
        <is>
          <t>Band n50 (1.5 GHz, 60 MHz)</t>
        </is>
      </c>
      <c r="Q1481" s="38">
        <f>ROUNDUP(O1481/'Methodology &amp; Assumptions'!$B$9, 0)</f>
        <v/>
      </c>
      <c r="R1481" s="39" t="n">
        <v>1</v>
      </c>
      <c r="S1481" s="21" t="n">
        <v>0.97</v>
      </c>
      <c r="T1481" s="21" t="n">
        <v>0.04</v>
      </c>
      <c r="U1481" s="36" t="inlineStr">
        <is>
          <t>Tier 1A (Direct Coloc, &lt;1 km)</t>
        </is>
      </c>
      <c r="V1481" s="20" t="n">
        <v>82.3</v>
      </c>
      <c r="W1481" s="20" t="n">
        <v>52.3</v>
      </c>
      <c r="X1481" s="20" t="n">
        <v>58</v>
      </c>
      <c r="Y1481" s="40">
        <f>ROUND((V1481*'Methodology &amp; Assumptions'!$B$6)+(W1481*'Methodology &amp; Assumptions'!$B$5)+(X1481*'Methodology &amp; Assumptions'!$B$7), 2)</f>
        <v/>
      </c>
    </row>
    <row r="1482" ht="19" customHeight="1">
      <c r="A1482" s="41" t="n">
        <v>478</v>
      </c>
      <c r="B1482" s="41" t="n">
        <v>4478</v>
      </c>
      <c r="C1482" s="42" t="inlineStr">
        <is>
          <t>0500516009</t>
        </is>
      </c>
      <c r="D1482" s="42" t="inlineStr">
        <is>
          <t>Region V (Bicol Region)</t>
        </is>
      </c>
      <c r="E1482" s="42" t="inlineStr">
        <is>
          <t>Albay</t>
        </is>
      </c>
      <c r="F1482" s="42" t="inlineStr">
        <is>
          <t>Santo Domingo</t>
        </is>
      </c>
      <c r="G1482" s="42" t="inlineStr">
        <is>
          <t>Santo Domingo Pob.</t>
        </is>
      </c>
      <c r="H1482" s="43" t="n">
        <v>13.235114</v>
      </c>
      <c r="I1482" s="43" t="n">
        <v>123.773926</v>
      </c>
      <c r="J1482" s="44" t="inlineStr">
        <is>
          <t>R</t>
        </is>
      </c>
      <c r="K1482" s="42" t="inlineStr">
        <is>
          <t>2nd</t>
        </is>
      </c>
      <c r="L1482" s="23" t="n">
        <v>780</v>
      </c>
      <c r="M1482" s="24" t="n">
        <v>4.65</v>
      </c>
      <c r="N1482" s="23">
        <f>ROUND(L1482/M1482, 0)</f>
        <v/>
      </c>
      <c r="O1482" s="23">
        <f>ROUND(N1482*'Methodology &amp; Assumptions'!$B$8, 0)</f>
        <v/>
      </c>
      <c r="P1482" s="44" t="inlineStr">
        <is>
          <t>Band n50 (1.5 GHz, 60 MHz)</t>
        </is>
      </c>
      <c r="Q1482" s="38">
        <f>ROUNDUP(O1482/'Methodology &amp; Assumptions'!$B$9, 0)</f>
        <v/>
      </c>
      <c r="R1482" s="39" t="n">
        <v>1</v>
      </c>
      <c r="S1482" s="25" t="n">
        <v>0.41</v>
      </c>
      <c r="T1482" s="25" t="n">
        <v>0.43</v>
      </c>
      <c r="U1482" s="42" t="inlineStr">
        <is>
          <t>Tier 1A (Direct Coloc, &lt;1 km)</t>
        </is>
      </c>
      <c r="V1482" s="24" t="n">
        <v>97.3</v>
      </c>
      <c r="W1482" s="24" t="n">
        <v>37.3</v>
      </c>
      <c r="X1482" s="24" t="n">
        <v>58</v>
      </c>
      <c r="Y1482" s="45">
        <f>ROUND((V1482*'Methodology &amp; Assumptions'!$B$6)+(W1482*'Methodology &amp; Assumptions'!$B$5)+(X1482*'Methodology &amp; Assumptions'!$B$7), 2)</f>
        <v/>
      </c>
    </row>
    <row r="1483" ht="19" customHeight="1">
      <c r="A1483" s="35" t="n">
        <v>479</v>
      </c>
      <c r="B1483" s="35" t="n">
        <v>4479</v>
      </c>
      <c r="C1483" s="36" t="inlineStr">
        <is>
          <t>1130700031</t>
        </is>
      </c>
      <c r="D1483" s="36" t="inlineStr">
        <is>
          <t>Region XI (Davao Region)</t>
        </is>
      </c>
      <c r="E1483" s="36" t="inlineStr">
        <is>
          <t>Davao del Sur</t>
        </is>
      </c>
      <c r="F1483" s="36" t="inlineStr">
        <is>
          <t>City of Davao</t>
        </is>
      </c>
      <c r="G1483" s="36" t="inlineStr">
        <is>
          <t>Catalunan Pequeño</t>
        </is>
      </c>
      <c r="H1483" s="37" t="n">
        <v>7.07575</v>
      </c>
      <c r="I1483" s="37" t="n">
        <v>125.52041</v>
      </c>
      <c r="J1483" s="8" t="inlineStr">
        <is>
          <t>U</t>
        </is>
      </c>
      <c r="K1483" s="36" t="inlineStr">
        <is>
          <t>Class 1-3 / Urban</t>
        </is>
      </c>
      <c r="L1483" s="18" t="n">
        <v>25762</v>
      </c>
      <c r="M1483" s="20" t="n">
        <v>4.1</v>
      </c>
      <c r="N1483" s="18">
        <f>ROUND(L1483/M1483, 0)</f>
        <v/>
      </c>
      <c r="O1483" s="18">
        <f>ROUND(N1483*'Methodology &amp; Assumptions'!$B$8, 0)</f>
        <v/>
      </c>
      <c r="P1483" s="8" t="inlineStr">
        <is>
          <t>Band n50 (1.5 GHz, 60 MHz)</t>
        </is>
      </c>
      <c r="Q1483" s="38">
        <f>ROUNDUP(O1483/'Methodology &amp; Assumptions'!$B$9, 0)</f>
        <v/>
      </c>
      <c r="R1483" s="39" t="n">
        <v>1</v>
      </c>
      <c r="S1483" s="21" t="n">
        <v>2.06</v>
      </c>
      <c r="T1483" s="21" t="n">
        <v>0.29</v>
      </c>
      <c r="U1483" s="36" t="inlineStr">
        <is>
          <t>Tier 1B (Micro Drop, 1-3 km)</t>
        </is>
      </c>
      <c r="V1483" s="20" t="n">
        <v>60.3</v>
      </c>
      <c r="W1483" s="20" t="n">
        <v>100</v>
      </c>
      <c r="X1483" s="20" t="n">
        <v>28</v>
      </c>
      <c r="Y1483" s="40">
        <f>ROUND((V1483*'Methodology &amp; Assumptions'!$B$6)+(W1483*'Methodology &amp; Assumptions'!$B$5)+(X1483*'Methodology &amp; Assumptions'!$B$7), 2)</f>
        <v/>
      </c>
    </row>
    <row r="1484" ht="19" customHeight="1">
      <c r="A1484" s="41" t="n">
        <v>480</v>
      </c>
      <c r="B1484" s="41" t="n">
        <v>4480</v>
      </c>
      <c r="C1484" s="42" t="inlineStr">
        <is>
          <t>0702216020</t>
        </is>
      </c>
      <c r="D1484" s="42" t="inlineStr">
        <is>
          <t>Region VII (Central Visayas)</t>
        </is>
      </c>
      <c r="E1484" s="42" t="inlineStr">
        <is>
          <t>Cebu</t>
        </is>
      </c>
      <c r="F1484" s="42" t="inlineStr">
        <is>
          <t>Catmon</t>
        </is>
      </c>
      <c r="G1484" s="42" t="inlineStr">
        <is>
          <t>Flores</t>
        </is>
      </c>
      <c r="H1484" s="43" t="n">
        <v>10.719367</v>
      </c>
      <c r="I1484" s="43" t="n">
        <v>124.01475</v>
      </c>
      <c r="J1484" s="44" t="inlineStr">
        <is>
          <t>R</t>
        </is>
      </c>
      <c r="K1484" s="42" t="inlineStr">
        <is>
          <t>2nd</t>
        </is>
      </c>
      <c r="L1484" s="23" t="n">
        <v>3382</v>
      </c>
      <c r="M1484" s="24" t="n">
        <v>4.39</v>
      </c>
      <c r="N1484" s="23">
        <f>ROUND(L1484/M1484, 0)</f>
        <v/>
      </c>
      <c r="O1484" s="23">
        <f>ROUND(N1484*'Methodology &amp; Assumptions'!$B$8, 0)</f>
        <v/>
      </c>
      <c r="P1484" s="44" t="inlineStr">
        <is>
          <t>Band n50 (1.5 GHz, 60 MHz)</t>
        </is>
      </c>
      <c r="Q1484" s="38">
        <f>ROUNDUP(O1484/'Methodology &amp; Assumptions'!$B$9, 0)</f>
        <v/>
      </c>
      <c r="R1484" s="39" t="n">
        <v>1</v>
      </c>
      <c r="S1484" s="25" t="n">
        <v>2.83</v>
      </c>
      <c r="T1484" s="25" t="n">
        <v>0.39</v>
      </c>
      <c r="U1484" s="42" t="inlineStr">
        <is>
          <t>Tier 1B (Micro Drop, 1-3 km)</t>
        </is>
      </c>
      <c r="V1484" s="24" t="n">
        <v>49</v>
      </c>
      <c r="W1484" s="24" t="n">
        <v>85.59999999999999</v>
      </c>
      <c r="X1484" s="24" t="n">
        <v>58</v>
      </c>
      <c r="Y1484" s="45">
        <f>ROUND((V1484*'Methodology &amp; Assumptions'!$B$6)+(W1484*'Methodology &amp; Assumptions'!$B$5)+(X1484*'Methodology &amp; Assumptions'!$B$7), 2)</f>
        <v/>
      </c>
    </row>
    <row r="1485" ht="19" customHeight="1">
      <c r="A1485" s="35" t="n">
        <v>481</v>
      </c>
      <c r="B1485" s="35" t="n">
        <v>4481</v>
      </c>
      <c r="C1485" s="36" t="inlineStr">
        <is>
          <t>0405625007</t>
        </is>
      </c>
      <c r="D1485" s="36" t="inlineStr">
        <is>
          <t>Region IV-A (CALABARZON)</t>
        </is>
      </c>
      <c r="E1485" s="36" t="inlineStr">
        <is>
          <t>Quezon</t>
        </is>
      </c>
      <c r="F1485" s="36" t="inlineStr">
        <is>
          <t>Macalelon</t>
        </is>
      </c>
      <c r="G1485" s="36" t="inlineStr">
        <is>
          <t>Luctob</t>
        </is>
      </c>
      <c r="H1485" s="37" t="n">
        <v>13.757922</v>
      </c>
      <c r="I1485" s="37" t="n">
        <v>122.135956</v>
      </c>
      <c r="J1485" s="8" t="inlineStr">
        <is>
          <t>R</t>
        </is>
      </c>
      <c r="K1485" s="36" t="inlineStr">
        <is>
          <t>3rd</t>
        </is>
      </c>
      <c r="L1485" s="18" t="n">
        <v>2129</v>
      </c>
      <c r="M1485" s="20" t="n">
        <v>4.74</v>
      </c>
      <c r="N1485" s="18">
        <f>ROUND(L1485/M1485, 0)</f>
        <v/>
      </c>
      <c r="O1485" s="18">
        <f>ROUND(N1485*'Methodology &amp; Assumptions'!$B$8, 0)</f>
        <v/>
      </c>
      <c r="P1485" s="8" t="inlineStr">
        <is>
          <t>Band n50 (1.5 GHz, 60 MHz)</t>
        </is>
      </c>
      <c r="Q1485" s="38">
        <f>ROUNDUP(O1485/'Methodology &amp; Assumptions'!$B$9, 0)</f>
        <v/>
      </c>
      <c r="R1485" s="39" t="n">
        <v>1</v>
      </c>
      <c r="S1485" s="21" t="n">
        <v>1.31</v>
      </c>
      <c r="T1485" s="21" t="n">
        <v>0.77</v>
      </c>
      <c r="U1485" s="36" t="inlineStr">
        <is>
          <t>Tier 1B (Micro Drop, 1-3 km)</t>
        </is>
      </c>
      <c r="V1485" s="20" t="n">
        <v>74.59999999999999</v>
      </c>
      <c r="W1485" s="20" t="n">
        <v>60</v>
      </c>
      <c r="X1485" s="20" t="n">
        <v>58</v>
      </c>
      <c r="Y1485" s="40">
        <f>ROUND((V1485*'Methodology &amp; Assumptions'!$B$6)+(W1485*'Methodology &amp; Assumptions'!$B$5)+(X1485*'Methodology &amp; Assumptions'!$B$7), 2)</f>
        <v/>
      </c>
    </row>
    <row r="1486" ht="19" customHeight="1">
      <c r="A1486" s="41" t="n">
        <v>482</v>
      </c>
      <c r="B1486" s="41" t="n">
        <v>4482</v>
      </c>
      <c r="C1486" s="42" t="inlineStr">
        <is>
          <t>0501733009</t>
        </is>
      </c>
      <c r="D1486" s="42" t="inlineStr">
        <is>
          <t>Region V (Bicol Region)</t>
        </is>
      </c>
      <c r="E1486" s="42" t="inlineStr">
        <is>
          <t>Camarines Sur</t>
        </is>
      </c>
      <c r="F1486" s="42" t="inlineStr">
        <is>
          <t>San Jose</t>
        </is>
      </c>
      <c r="G1486" s="42" t="inlineStr">
        <is>
          <t>Danlog</t>
        </is>
      </c>
      <c r="H1486" s="43" t="n">
        <v>13.69518</v>
      </c>
      <c r="I1486" s="43" t="n">
        <v>123.527361</v>
      </c>
      <c r="J1486" s="44" t="inlineStr">
        <is>
          <t>R</t>
        </is>
      </c>
      <c r="K1486" s="42" t="inlineStr">
        <is>
          <t>3rd</t>
        </is>
      </c>
      <c r="L1486" s="23" t="n">
        <v>2092</v>
      </c>
      <c r="M1486" s="24" t="n">
        <v>4.67</v>
      </c>
      <c r="N1486" s="23">
        <f>ROUND(L1486/M1486, 0)</f>
        <v/>
      </c>
      <c r="O1486" s="23">
        <f>ROUND(N1486*'Methodology &amp; Assumptions'!$B$8, 0)</f>
        <v/>
      </c>
      <c r="P1486" s="44" t="inlineStr">
        <is>
          <t>Band n50 (1.5 GHz, 60 MHz)</t>
        </is>
      </c>
      <c r="Q1486" s="38">
        <f>ROUNDUP(O1486/'Methodology &amp; Assumptions'!$B$9, 0)</f>
        <v/>
      </c>
      <c r="R1486" s="39" t="n">
        <v>1</v>
      </c>
      <c r="S1486" s="25" t="n">
        <v>0.87</v>
      </c>
      <c r="T1486" s="25" t="n">
        <v>3.73</v>
      </c>
      <c r="U1486" s="42" t="inlineStr">
        <is>
          <t>Tier 1A (Direct Coloc, &lt;1 km)</t>
        </is>
      </c>
      <c r="V1486" s="24" t="n">
        <v>74.8</v>
      </c>
      <c r="W1486" s="24" t="n">
        <v>59.7</v>
      </c>
      <c r="X1486" s="24" t="n">
        <v>58</v>
      </c>
      <c r="Y1486" s="45">
        <f>ROUND((V1486*'Methodology &amp; Assumptions'!$B$6)+(W1486*'Methodology &amp; Assumptions'!$B$5)+(X1486*'Methodology &amp; Assumptions'!$B$7), 2)</f>
        <v/>
      </c>
    </row>
    <row r="1487" ht="19" customHeight="1">
      <c r="A1487" s="35" t="n">
        <v>483</v>
      </c>
      <c r="B1487" s="35" t="n">
        <v>4483</v>
      </c>
      <c r="C1487" s="36" t="inlineStr">
        <is>
          <t>0403408020</t>
        </is>
      </c>
      <c r="D1487" s="36" t="inlineStr">
        <is>
          <t>Region IV-A (CALABARZON)</t>
        </is>
      </c>
      <c r="E1487" s="36" t="inlineStr">
        <is>
          <t>Laguna</t>
        </is>
      </c>
      <c r="F1487" s="36" t="inlineStr">
        <is>
          <t>Famy</t>
        </is>
      </c>
      <c r="G1487" s="36" t="inlineStr">
        <is>
          <t>Tunhac</t>
        </is>
      </c>
      <c r="H1487" s="37" t="n">
        <v>14.438307</v>
      </c>
      <c r="I1487" s="37" t="n">
        <v>121.456185</v>
      </c>
      <c r="J1487" s="8" t="inlineStr">
        <is>
          <t>U</t>
        </is>
      </c>
      <c r="K1487" s="36" t="inlineStr">
        <is>
          <t>4th</t>
        </is>
      </c>
      <c r="L1487" s="18" t="n">
        <v>1957</v>
      </c>
      <c r="M1487" s="20" t="n">
        <v>4.03</v>
      </c>
      <c r="N1487" s="18">
        <f>ROUND(L1487/M1487, 0)</f>
        <v/>
      </c>
      <c r="O1487" s="18">
        <f>ROUND(N1487*'Methodology &amp; Assumptions'!$B$8, 0)</f>
        <v/>
      </c>
      <c r="P1487" s="8" t="inlineStr">
        <is>
          <t>Band n50 (1.5 GHz, 60 MHz)</t>
        </is>
      </c>
      <c r="Q1487" s="38">
        <f>ROUNDUP(O1487/'Methodology &amp; Assumptions'!$B$9, 0)</f>
        <v/>
      </c>
      <c r="R1487" s="39" t="n">
        <v>1</v>
      </c>
      <c r="S1487" s="21" t="n">
        <v>0.73</v>
      </c>
      <c r="T1487" s="21" t="n">
        <v>0.62</v>
      </c>
      <c r="U1487" s="36" t="inlineStr">
        <is>
          <t>Tier 1A (Direct Coloc, &lt;1 km)</t>
        </is>
      </c>
      <c r="V1487" s="20" t="n">
        <v>88.40000000000001</v>
      </c>
      <c r="W1487" s="20" t="n">
        <v>62.9</v>
      </c>
      <c r="X1487" s="20" t="n">
        <v>38.5</v>
      </c>
      <c r="Y1487" s="40">
        <f>ROUND((V1487*'Methodology &amp; Assumptions'!$B$6)+(W1487*'Methodology &amp; Assumptions'!$B$5)+(X1487*'Methodology &amp; Assumptions'!$B$7), 2)</f>
        <v/>
      </c>
    </row>
    <row r="1488" ht="19" customHeight="1">
      <c r="A1488" s="41" t="n">
        <v>484</v>
      </c>
      <c r="B1488" s="41" t="n">
        <v>4484</v>
      </c>
      <c r="C1488" s="42" t="inlineStr">
        <is>
          <t>0402122004</t>
        </is>
      </c>
      <c r="D1488" s="42" t="inlineStr">
        <is>
          <t>Region IV-A (CALABARZON)</t>
        </is>
      </c>
      <c r="E1488" s="42" t="inlineStr">
        <is>
          <t>Cavite</t>
        </is>
      </c>
      <c r="F1488" s="42" t="inlineStr">
        <is>
          <t>City of Trece Martires</t>
        </is>
      </c>
      <c r="G1488" s="42" t="inlineStr">
        <is>
          <t>De Ocampo</t>
        </is>
      </c>
      <c r="H1488" s="43" t="n">
        <v>14.300411</v>
      </c>
      <c r="I1488" s="43" t="n">
        <v>120.864327</v>
      </c>
      <c r="J1488" s="44" t="inlineStr">
        <is>
          <t>U</t>
        </is>
      </c>
      <c r="K1488" s="42" t="inlineStr">
        <is>
          <t>Class 1-3 / Urban</t>
        </is>
      </c>
      <c r="L1488" s="23" t="n">
        <v>12628</v>
      </c>
      <c r="M1488" s="24" t="n">
        <v>4.49</v>
      </c>
      <c r="N1488" s="23">
        <f>ROUND(L1488/M1488, 0)</f>
        <v/>
      </c>
      <c r="O1488" s="23">
        <f>ROUND(N1488*'Methodology &amp; Assumptions'!$B$8, 0)</f>
        <v/>
      </c>
      <c r="P1488" s="44" t="inlineStr">
        <is>
          <t>Band n50 (1.5 GHz, 60 MHz)</t>
        </is>
      </c>
      <c r="Q1488" s="38">
        <f>ROUNDUP(O1488/'Methodology &amp; Assumptions'!$B$9, 0)</f>
        <v/>
      </c>
      <c r="R1488" s="39" t="n">
        <v>1</v>
      </c>
      <c r="S1488" s="25" t="n">
        <v>2.06</v>
      </c>
      <c r="T1488" s="25" t="n">
        <v>1.72</v>
      </c>
      <c r="U1488" s="42" t="inlineStr">
        <is>
          <t>Tier 1B (Micro Drop, 1-3 km)</t>
        </is>
      </c>
      <c r="V1488" s="24" t="n">
        <v>60.3</v>
      </c>
      <c r="W1488" s="24" t="n">
        <v>100</v>
      </c>
      <c r="X1488" s="24" t="n">
        <v>28</v>
      </c>
      <c r="Y1488" s="45">
        <f>ROUND((V1488*'Methodology &amp; Assumptions'!$B$6)+(W1488*'Methodology &amp; Assumptions'!$B$5)+(X1488*'Methodology &amp; Assumptions'!$B$7), 2)</f>
        <v/>
      </c>
    </row>
    <row r="1489" ht="19" customHeight="1">
      <c r="A1489" s="35" t="n">
        <v>485</v>
      </c>
      <c r="B1489" s="35" t="n">
        <v>4485</v>
      </c>
      <c r="C1489" s="36" t="inlineStr">
        <is>
          <t>1102408019</t>
        </is>
      </c>
      <c r="D1489" s="36" t="inlineStr">
        <is>
          <t>Region XI (Davao Region)</t>
        </is>
      </c>
      <c r="E1489" s="36" t="inlineStr">
        <is>
          <t>Davao del Sur</t>
        </is>
      </c>
      <c r="F1489" s="36" t="inlineStr">
        <is>
          <t>Malalag</t>
        </is>
      </c>
      <c r="G1489" s="36" t="inlineStr">
        <is>
          <t>Bagumbayan</t>
        </is>
      </c>
      <c r="H1489" s="37" t="n">
        <v>6.60268</v>
      </c>
      <c r="I1489" s="37" t="n">
        <v>125.398915</v>
      </c>
      <c r="J1489" s="8" t="inlineStr">
        <is>
          <t>R</t>
        </is>
      </c>
      <c r="K1489" s="36" t="inlineStr">
        <is>
          <t>Class 1-3 / Urban</t>
        </is>
      </c>
      <c r="L1489" s="18" t="n">
        <v>2783</v>
      </c>
      <c r="M1489" s="20" t="n">
        <v>4.1</v>
      </c>
      <c r="N1489" s="18">
        <f>ROUND(L1489/M1489, 0)</f>
        <v/>
      </c>
      <c r="O1489" s="18">
        <f>ROUND(N1489*'Methodology &amp; Assumptions'!$B$8, 0)</f>
        <v/>
      </c>
      <c r="P1489" s="8" t="inlineStr">
        <is>
          <t>Band n50 (1.5 GHz, 60 MHz)</t>
        </is>
      </c>
      <c r="Q1489" s="38">
        <f>ROUNDUP(O1489/'Methodology &amp; Assumptions'!$B$9, 0)</f>
        <v/>
      </c>
      <c r="R1489" s="39" t="n">
        <v>1</v>
      </c>
      <c r="S1489" s="21" t="n">
        <v>1.73</v>
      </c>
      <c r="T1489" s="21" t="n">
        <v>5.37</v>
      </c>
      <c r="U1489" s="36" t="inlineStr">
        <is>
          <t>Tier 1B (Micro Drop, 1-3 km)</t>
        </is>
      </c>
      <c r="V1489" s="20" t="n">
        <v>56.1</v>
      </c>
      <c r="W1489" s="20" t="n">
        <v>78.40000000000001</v>
      </c>
      <c r="X1489" s="20" t="n">
        <v>58</v>
      </c>
      <c r="Y1489" s="40">
        <f>ROUND((V1489*'Methodology &amp; Assumptions'!$B$6)+(W1489*'Methodology &amp; Assumptions'!$B$5)+(X1489*'Methodology &amp; Assumptions'!$B$7), 2)</f>
        <v/>
      </c>
    </row>
    <row r="1490" ht="19" customHeight="1">
      <c r="A1490" s="41" t="n">
        <v>486</v>
      </c>
      <c r="B1490" s="41" t="n">
        <v>4486</v>
      </c>
      <c r="C1490" s="42" t="inlineStr">
        <is>
          <t>0501606016</t>
        </is>
      </c>
      <c r="D1490" s="42" t="inlineStr">
        <is>
          <t>Region V (Bicol Region)</t>
        </is>
      </c>
      <c r="E1490" s="42" t="inlineStr">
        <is>
          <t>Camarines Norte</t>
        </is>
      </c>
      <c r="F1490" s="42" t="inlineStr">
        <is>
          <t>Labo</t>
        </is>
      </c>
      <c r="G1490" s="42" t="inlineStr">
        <is>
          <t>Bulhao</t>
        </is>
      </c>
      <c r="H1490" s="43" t="n">
        <v>14.168115</v>
      </c>
      <c r="I1490" s="43" t="n">
        <v>122.832113</v>
      </c>
      <c r="J1490" s="44" t="inlineStr">
        <is>
          <t>R</t>
        </is>
      </c>
      <c r="K1490" s="42" t="inlineStr">
        <is>
          <t>Class 1-3 / Urban</t>
        </is>
      </c>
      <c r="L1490" s="23" t="n">
        <v>2486</v>
      </c>
      <c r="M1490" s="24" t="n">
        <v>4.4</v>
      </c>
      <c r="N1490" s="23">
        <f>ROUND(L1490/M1490, 0)</f>
        <v/>
      </c>
      <c r="O1490" s="23">
        <f>ROUND(N1490*'Methodology &amp; Assumptions'!$B$8, 0)</f>
        <v/>
      </c>
      <c r="P1490" s="44" t="inlineStr">
        <is>
          <t>Band n50 (1.5 GHz, 60 MHz)</t>
        </is>
      </c>
      <c r="Q1490" s="38">
        <f>ROUNDUP(O1490/'Methodology &amp; Assumptions'!$B$9, 0)</f>
        <v/>
      </c>
      <c r="R1490" s="39" t="n">
        <v>1</v>
      </c>
      <c r="S1490" s="25" t="n">
        <v>1.78</v>
      </c>
      <c r="T1490" s="25" t="n">
        <v>1.29</v>
      </c>
      <c r="U1490" s="42" t="inlineStr">
        <is>
          <t>Tier 1B (Micro Drop, 1-3 km)</t>
        </is>
      </c>
      <c r="V1490" s="24" t="n">
        <v>65.2</v>
      </c>
      <c r="W1490" s="24" t="n">
        <v>69.3</v>
      </c>
      <c r="X1490" s="24" t="n">
        <v>58</v>
      </c>
      <c r="Y1490" s="45">
        <f>ROUND((V1490*'Methodology &amp; Assumptions'!$B$6)+(W1490*'Methodology &amp; Assumptions'!$B$5)+(X1490*'Methodology &amp; Assumptions'!$B$7), 2)</f>
        <v/>
      </c>
    </row>
    <row r="1491" ht="19" customHeight="1">
      <c r="A1491" s="35" t="n">
        <v>487</v>
      </c>
      <c r="B1491" s="35" t="n">
        <v>4487</v>
      </c>
      <c r="C1491" s="36" t="inlineStr">
        <is>
          <t>0102820006</t>
        </is>
      </c>
      <c r="D1491" s="36" t="inlineStr">
        <is>
          <t>Region I (Ilocos Region)</t>
        </is>
      </c>
      <c r="E1491" s="36" t="inlineStr">
        <is>
          <t>Ilocos Norte</t>
        </is>
      </c>
      <c r="F1491" s="36" t="inlineStr">
        <is>
          <t>San Nicolas</t>
        </is>
      </c>
      <c r="G1491" s="36" t="inlineStr">
        <is>
          <t>San Cayetano</t>
        </is>
      </c>
      <c r="H1491" s="37" t="n">
        <v>18.166112</v>
      </c>
      <c r="I1491" s="37" t="n">
        <v>120.592301</v>
      </c>
      <c r="J1491" s="8" t="inlineStr">
        <is>
          <t>R</t>
        </is>
      </c>
      <c r="K1491" s="36" t="inlineStr">
        <is>
          <t>Class 1-3 / Urban</t>
        </is>
      </c>
      <c r="L1491" s="18" t="n">
        <v>847</v>
      </c>
      <c r="M1491" s="20" t="n">
        <v>4.35</v>
      </c>
      <c r="N1491" s="18">
        <f>ROUND(L1491/M1491, 0)</f>
        <v/>
      </c>
      <c r="O1491" s="18">
        <f>ROUND(N1491*'Methodology &amp; Assumptions'!$B$8, 0)</f>
        <v/>
      </c>
      <c r="P1491" s="8" t="inlineStr">
        <is>
          <t>Band n50 (1.5 GHz, 60 MHz)</t>
        </is>
      </c>
      <c r="Q1491" s="38">
        <f>ROUNDUP(O1491/'Methodology &amp; Assumptions'!$B$9, 0)</f>
        <v/>
      </c>
      <c r="R1491" s="39" t="n">
        <v>1</v>
      </c>
      <c r="S1491" s="21" t="n">
        <v>0.49</v>
      </c>
      <c r="T1491" s="21" t="n">
        <v>0.26</v>
      </c>
      <c r="U1491" s="36" t="inlineStr">
        <is>
          <t>Tier 1A (Direct Coloc, &lt;1 km)</t>
        </is>
      </c>
      <c r="V1491" s="20" t="n">
        <v>95.09999999999999</v>
      </c>
      <c r="W1491" s="20" t="n">
        <v>39.5</v>
      </c>
      <c r="X1491" s="20" t="n">
        <v>58</v>
      </c>
      <c r="Y1491" s="40">
        <f>ROUND((V1491*'Methodology &amp; Assumptions'!$B$6)+(W1491*'Methodology &amp; Assumptions'!$B$5)+(X1491*'Methodology &amp; Assumptions'!$B$7), 2)</f>
        <v/>
      </c>
    </row>
    <row r="1492" ht="19" customHeight="1">
      <c r="A1492" s="41" t="n">
        <v>488</v>
      </c>
      <c r="B1492" s="41" t="n">
        <v>4488</v>
      </c>
      <c r="C1492" s="42" t="inlineStr">
        <is>
          <t>0403420001</t>
        </is>
      </c>
      <c r="D1492" s="42" t="inlineStr">
        <is>
          <t>Region IV-A (CALABARZON)</t>
        </is>
      </c>
      <c r="E1492" s="42" t="inlineStr">
        <is>
          <t>Laguna</t>
        </is>
      </c>
      <c r="F1492" s="42" t="inlineStr">
        <is>
          <t>Pakil</t>
        </is>
      </c>
      <c r="G1492" s="42" t="inlineStr">
        <is>
          <t>Baño</t>
        </is>
      </c>
      <c r="H1492" s="43" t="n">
        <v>14.380597</v>
      </c>
      <c r="I1492" s="43" t="n">
        <v>121.479601</v>
      </c>
      <c r="J1492" s="44" t="inlineStr">
        <is>
          <t>R</t>
        </is>
      </c>
      <c r="K1492" s="42" t="inlineStr">
        <is>
          <t>3rd</t>
        </is>
      </c>
      <c r="L1492" s="23" t="n">
        <v>593</v>
      </c>
      <c r="M1492" s="24" t="n">
        <v>4.49</v>
      </c>
      <c r="N1492" s="23">
        <f>ROUND(L1492/M1492, 0)</f>
        <v/>
      </c>
      <c r="O1492" s="23">
        <f>ROUND(N1492*'Methodology &amp; Assumptions'!$B$8, 0)</f>
        <v/>
      </c>
      <c r="P1492" s="44" t="inlineStr">
        <is>
          <t>Band n50 (1.5 GHz, 60 MHz)</t>
        </is>
      </c>
      <c r="Q1492" s="38">
        <f>ROUNDUP(O1492/'Methodology &amp; Assumptions'!$B$9, 0)</f>
        <v/>
      </c>
      <c r="R1492" s="39" t="n">
        <v>1</v>
      </c>
      <c r="S1492" s="25" t="n">
        <v>0.32</v>
      </c>
      <c r="T1492" s="25" t="n">
        <v>0.36</v>
      </c>
      <c r="U1492" s="42" t="inlineStr">
        <is>
          <t>Tier 1A (Direct Coloc, &lt;1 km)</t>
        </is>
      </c>
      <c r="V1492" s="24" t="n">
        <v>99.90000000000001</v>
      </c>
      <c r="W1492" s="24" t="n">
        <v>34.7</v>
      </c>
      <c r="X1492" s="24" t="n">
        <v>58</v>
      </c>
      <c r="Y1492" s="45">
        <f>ROUND((V1492*'Methodology &amp; Assumptions'!$B$6)+(W1492*'Methodology &amp; Assumptions'!$B$5)+(X1492*'Methodology &amp; Assumptions'!$B$7), 2)</f>
        <v/>
      </c>
    </row>
    <row r="1493" ht="19" customHeight="1">
      <c r="A1493" s="35" t="n">
        <v>489</v>
      </c>
      <c r="B1493" s="35" t="n">
        <v>4489</v>
      </c>
      <c r="C1493" s="36" t="inlineStr">
        <is>
          <t>0301410014</t>
        </is>
      </c>
      <c r="D1493" s="36" t="inlineStr">
        <is>
          <t>Region III (Central Luzon)</t>
        </is>
      </c>
      <c r="E1493" s="36" t="inlineStr">
        <is>
          <t>Bulacan</t>
        </is>
      </c>
      <c r="F1493" s="36" t="inlineStr">
        <is>
          <t>City of Malolos</t>
        </is>
      </c>
      <c r="G1493" s="36" t="inlineStr">
        <is>
          <t>Dakila</t>
        </is>
      </c>
      <c r="H1493" s="37" t="n">
        <v>14.850171</v>
      </c>
      <c r="I1493" s="37" t="n">
        <v>120.835892</v>
      </c>
      <c r="J1493" s="8" t="inlineStr">
        <is>
          <t>U</t>
        </is>
      </c>
      <c r="K1493" s="36" t="inlineStr">
        <is>
          <t>Class 1-3 / Urban</t>
        </is>
      </c>
      <c r="L1493" s="18" t="n">
        <v>6806</v>
      </c>
      <c r="M1493" s="20" t="n">
        <v>4.1</v>
      </c>
      <c r="N1493" s="18">
        <f>ROUND(L1493/M1493, 0)</f>
        <v/>
      </c>
      <c r="O1493" s="18">
        <f>ROUND(N1493*'Methodology &amp; Assumptions'!$B$8, 0)</f>
        <v/>
      </c>
      <c r="P1493" s="8" t="inlineStr">
        <is>
          <t>Band n50 (1.5 GHz, 60 MHz)</t>
        </is>
      </c>
      <c r="Q1493" s="38">
        <f>ROUNDUP(O1493/'Methodology &amp; Assumptions'!$B$9, 0)</f>
        <v/>
      </c>
      <c r="R1493" s="39" t="n">
        <v>1</v>
      </c>
      <c r="S1493" s="21" t="n">
        <v>2.06</v>
      </c>
      <c r="T1493" s="21" t="n">
        <v>0.5</v>
      </c>
      <c r="U1493" s="36" t="inlineStr">
        <is>
          <t>Tier 1B (Micro Drop, 1-3 km)</t>
        </is>
      </c>
      <c r="V1493" s="20" t="n">
        <v>60.3</v>
      </c>
      <c r="W1493" s="20" t="n">
        <v>100</v>
      </c>
      <c r="X1493" s="20" t="n">
        <v>28</v>
      </c>
      <c r="Y1493" s="40">
        <f>ROUND((V1493*'Methodology &amp; Assumptions'!$B$6)+(W1493*'Methodology &amp; Assumptions'!$B$5)+(X1493*'Methodology &amp; Assumptions'!$B$7), 2)</f>
        <v/>
      </c>
    </row>
    <row r="1494" ht="19" customHeight="1">
      <c r="A1494" s="41" t="n">
        <v>490</v>
      </c>
      <c r="B1494" s="41" t="n">
        <v>4490</v>
      </c>
      <c r="C1494" s="42" t="inlineStr">
        <is>
          <t>0730600035</t>
        </is>
      </c>
      <c r="D1494" s="42" t="inlineStr">
        <is>
          <t>Region VII (Central Visayas)</t>
        </is>
      </c>
      <c r="E1494" s="42" t="inlineStr">
        <is>
          <t>Cebu</t>
        </is>
      </c>
      <c r="F1494" s="42" t="inlineStr">
        <is>
          <t>City of Cebu</t>
        </is>
      </c>
      <c r="G1494" s="42" t="inlineStr">
        <is>
          <t>Kamagayan</t>
        </is>
      </c>
      <c r="H1494" s="43" t="n">
        <v>10.300715</v>
      </c>
      <c r="I1494" s="43" t="n">
        <v>123.901084</v>
      </c>
      <c r="J1494" s="44" t="inlineStr">
        <is>
          <t>U</t>
        </is>
      </c>
      <c r="K1494" s="42" t="inlineStr">
        <is>
          <t>Class 1-3 / Urban</t>
        </is>
      </c>
      <c r="L1494" s="23" t="n">
        <v>2004</v>
      </c>
      <c r="M1494" s="24" t="n">
        <v>4.42</v>
      </c>
      <c r="N1494" s="23">
        <f>ROUND(L1494/M1494, 0)</f>
        <v/>
      </c>
      <c r="O1494" s="23">
        <f>ROUND(N1494*'Methodology &amp; Assumptions'!$B$8, 0)</f>
        <v/>
      </c>
      <c r="P1494" s="44" t="inlineStr">
        <is>
          <t>Band n50 (1.5 GHz, 60 MHz)</t>
        </is>
      </c>
      <c r="Q1494" s="38">
        <f>ROUNDUP(O1494/'Methodology &amp; Assumptions'!$B$9, 0)</f>
        <v/>
      </c>
      <c r="R1494" s="39" t="n">
        <v>1</v>
      </c>
      <c r="S1494" s="25" t="n">
        <v>0.22</v>
      </c>
      <c r="T1494" s="25" t="n">
        <v>0.39</v>
      </c>
      <c r="U1494" s="42" t="inlineStr">
        <is>
          <t>Tier 1A (Direct Coloc, &lt;1 km)</t>
        </is>
      </c>
      <c r="V1494" s="24" t="n">
        <v>100</v>
      </c>
      <c r="W1494" s="24" t="n">
        <v>60.3</v>
      </c>
      <c r="X1494" s="24" t="n">
        <v>28</v>
      </c>
      <c r="Y1494" s="45">
        <f>ROUND((V1494*'Methodology &amp; Assumptions'!$B$6)+(W1494*'Methodology &amp; Assumptions'!$B$5)+(X1494*'Methodology &amp; Assumptions'!$B$7), 2)</f>
        <v/>
      </c>
    </row>
    <row r="1495" ht="19" customHeight="1">
      <c r="A1495" s="35" t="n">
        <v>491</v>
      </c>
      <c r="B1495" s="35" t="n">
        <v>4491</v>
      </c>
      <c r="C1495" s="36" t="inlineStr">
        <is>
          <t>0604531017</t>
        </is>
      </c>
      <c r="D1495" s="36" t="inlineStr">
        <is>
          <t>Region VI (Western Visayas)</t>
        </is>
      </c>
      <c r="E1495" s="36" t="inlineStr">
        <is>
          <t>Negros Occidental</t>
        </is>
      </c>
      <c r="F1495" s="36" t="inlineStr">
        <is>
          <t>City of Victorias</t>
        </is>
      </c>
      <c r="G1495" s="36" t="inlineStr">
        <is>
          <t>Barangay XIV</t>
        </is>
      </c>
      <c r="H1495" s="37" t="n">
        <v>10.882648</v>
      </c>
      <c r="I1495" s="37" t="n">
        <v>123.110496</v>
      </c>
      <c r="J1495" s="8" t="inlineStr">
        <is>
          <t>R</t>
        </is>
      </c>
      <c r="K1495" s="36" t="inlineStr">
        <is>
          <t>Class 1-3 / Urban</t>
        </is>
      </c>
      <c r="L1495" s="18" t="n">
        <v>4573</v>
      </c>
      <c r="M1495" s="20" t="n">
        <v>4.33</v>
      </c>
      <c r="N1495" s="18">
        <f>ROUND(L1495/M1495, 0)</f>
        <v/>
      </c>
      <c r="O1495" s="18">
        <f>ROUND(N1495*'Methodology &amp; Assumptions'!$B$8, 0)</f>
        <v/>
      </c>
      <c r="P1495" s="8" t="inlineStr">
        <is>
          <t>Band n50 (1.5 GHz, 60 MHz)</t>
        </is>
      </c>
      <c r="Q1495" s="38">
        <f>ROUNDUP(O1495/'Methodology &amp; Assumptions'!$B$9, 0)</f>
        <v/>
      </c>
      <c r="R1495" s="39" t="n">
        <v>1</v>
      </c>
      <c r="S1495" s="21" t="n">
        <v>4.59</v>
      </c>
      <c r="T1495" s="21" t="n">
        <v>3.46</v>
      </c>
      <c r="U1495" s="36" t="inlineStr">
        <is>
          <t>Tier 2 (Fiber Corridor / Lateral, 3-5 km)</t>
        </is>
      </c>
      <c r="V1495" s="20" t="n">
        <v>21.7</v>
      </c>
      <c r="W1495" s="20" t="n">
        <v>100</v>
      </c>
      <c r="X1495" s="20" t="n">
        <v>73</v>
      </c>
      <c r="Y1495" s="40">
        <f>ROUND((V1495*'Methodology &amp; Assumptions'!$B$6)+(W1495*'Methodology &amp; Assumptions'!$B$5)+(X1495*'Methodology &amp; Assumptions'!$B$7), 2)</f>
        <v/>
      </c>
    </row>
    <row r="1496" ht="19" customHeight="1">
      <c r="A1496" s="41" t="n">
        <v>492</v>
      </c>
      <c r="B1496" s="41" t="n">
        <v>4492</v>
      </c>
      <c r="C1496" s="42" t="inlineStr">
        <is>
          <t>0701219001</t>
        </is>
      </c>
      <c r="D1496" s="42" t="inlineStr">
        <is>
          <t>Region VII (Central Visayas)</t>
        </is>
      </c>
      <c r="E1496" s="42" t="inlineStr">
        <is>
          <t>Bohol</t>
        </is>
      </c>
      <c r="F1496" s="42" t="inlineStr">
        <is>
          <t>Dauis</t>
        </is>
      </c>
      <c r="G1496" s="42" t="inlineStr">
        <is>
          <t>Biking</t>
        </is>
      </c>
      <c r="H1496" s="43" t="n">
        <v>9.592603</v>
      </c>
      <c r="I1496" s="43" t="n">
        <v>123.841748</v>
      </c>
      <c r="J1496" s="44" t="inlineStr">
        <is>
          <t>R</t>
        </is>
      </c>
      <c r="K1496" s="42" t="inlineStr">
        <is>
          <t>1st</t>
        </is>
      </c>
      <c r="L1496" s="23" t="n">
        <v>3870</v>
      </c>
      <c r="M1496" s="24" t="n">
        <v>4.6</v>
      </c>
      <c r="N1496" s="23">
        <f>ROUND(L1496/M1496, 0)</f>
        <v/>
      </c>
      <c r="O1496" s="23">
        <f>ROUND(N1496*'Methodology &amp; Assumptions'!$B$8, 0)</f>
        <v/>
      </c>
      <c r="P1496" s="44" t="inlineStr">
        <is>
          <t>Band n50 (1.5 GHz, 60 MHz)</t>
        </is>
      </c>
      <c r="Q1496" s="38">
        <f>ROUNDUP(O1496/'Methodology &amp; Assumptions'!$B$9, 0)</f>
        <v/>
      </c>
      <c r="R1496" s="39" t="n">
        <v>1</v>
      </c>
      <c r="S1496" s="25" t="n">
        <v>3.57</v>
      </c>
      <c r="T1496" s="25" t="n">
        <v>5.28</v>
      </c>
      <c r="U1496" s="42" t="inlineStr">
        <is>
          <t>Tier 2 (Fiber Corridor / Lateral, 3-5 km)</t>
        </is>
      </c>
      <c r="V1496" s="24" t="n">
        <v>30.5</v>
      </c>
      <c r="W1496" s="24" t="n">
        <v>91.2</v>
      </c>
      <c r="X1496" s="24" t="n">
        <v>73</v>
      </c>
      <c r="Y1496" s="45">
        <f>ROUND((V1496*'Methodology &amp; Assumptions'!$B$6)+(W1496*'Methodology &amp; Assumptions'!$B$5)+(X1496*'Methodology &amp; Assumptions'!$B$7), 2)</f>
        <v/>
      </c>
    </row>
    <row r="1497" ht="19" customHeight="1">
      <c r="A1497" s="35" t="n">
        <v>493</v>
      </c>
      <c r="B1497" s="35" t="n">
        <v>4493</v>
      </c>
      <c r="C1497" s="36" t="inlineStr">
        <is>
          <t>0203101023</t>
        </is>
      </c>
      <c r="D1497" s="36" t="inlineStr">
        <is>
          <t>Region II (Cagayan Valley)</t>
        </is>
      </c>
      <c r="E1497" s="36" t="inlineStr">
        <is>
          <t>Isabela</t>
        </is>
      </c>
      <c r="F1497" s="36" t="inlineStr">
        <is>
          <t>Alicia</t>
        </is>
      </c>
      <c r="G1497" s="36" t="inlineStr">
        <is>
          <t>San Antonio</t>
        </is>
      </c>
      <c r="H1497" s="37" t="n">
        <v>16.772176</v>
      </c>
      <c r="I1497" s="37" t="n">
        <v>121.697456</v>
      </c>
      <c r="J1497" s="8" t="inlineStr">
        <is>
          <t>R</t>
        </is>
      </c>
      <c r="K1497" s="36" t="inlineStr">
        <is>
          <t>Class 1-3 / Urban</t>
        </is>
      </c>
      <c r="L1497" s="18" t="n">
        <v>2086</v>
      </c>
      <c r="M1497" s="20" t="n">
        <v>4.3</v>
      </c>
      <c r="N1497" s="18">
        <f>ROUND(L1497/M1497, 0)</f>
        <v/>
      </c>
      <c r="O1497" s="18">
        <f>ROUND(N1497*'Methodology &amp; Assumptions'!$B$8, 0)</f>
        <v/>
      </c>
      <c r="P1497" s="8" t="inlineStr">
        <is>
          <t>Band n50 (1.5 GHz, 60 MHz)</t>
        </is>
      </c>
      <c r="Q1497" s="38">
        <f>ROUNDUP(O1497/'Methodology &amp; Assumptions'!$B$9, 0)</f>
        <v/>
      </c>
      <c r="R1497" s="39" t="n">
        <v>1</v>
      </c>
      <c r="S1497" s="21" t="n">
        <v>1.45</v>
      </c>
      <c r="T1497" s="21" t="n">
        <v>0.08</v>
      </c>
      <c r="U1497" s="36" t="inlineStr">
        <is>
          <t>Tier 1B (Micro Drop, 1-3 km)</t>
        </is>
      </c>
      <c r="V1497" s="20" t="n">
        <v>71.59999999999999</v>
      </c>
      <c r="W1497" s="20" t="n">
        <v>62.9</v>
      </c>
      <c r="X1497" s="20" t="n">
        <v>58</v>
      </c>
      <c r="Y1497" s="40">
        <f>ROUND((V1497*'Methodology &amp; Assumptions'!$B$6)+(W1497*'Methodology &amp; Assumptions'!$B$5)+(X1497*'Methodology &amp; Assumptions'!$B$7), 2)</f>
        <v/>
      </c>
    </row>
    <row r="1498" ht="19" customHeight="1">
      <c r="A1498" s="41" t="n">
        <v>494</v>
      </c>
      <c r="B1498" s="41" t="n">
        <v>4494</v>
      </c>
      <c r="C1498" s="42" t="inlineStr">
        <is>
          <t>0307102017</t>
        </is>
      </c>
      <c r="D1498" s="42" t="inlineStr">
        <is>
          <t>Region III (Central Luzon)</t>
        </is>
      </c>
      <c r="E1498" s="42" t="inlineStr">
        <is>
          <t>Zambales</t>
        </is>
      </c>
      <c r="F1498" s="42" t="inlineStr">
        <is>
          <t>Cabangan</t>
        </is>
      </c>
      <c r="G1498" s="42" t="inlineStr">
        <is>
          <t>New San Juan</t>
        </is>
      </c>
      <c r="H1498" s="43" t="n">
        <v>15.155388</v>
      </c>
      <c r="I1498" s="43" t="n">
        <v>120.063944</v>
      </c>
      <c r="J1498" s="44" t="inlineStr">
        <is>
          <t>R</t>
        </is>
      </c>
      <c r="K1498" s="42" t="inlineStr">
        <is>
          <t>2nd</t>
        </is>
      </c>
      <c r="L1498" s="23" t="n">
        <v>1848</v>
      </c>
      <c r="M1498" s="24" t="n">
        <v>4.2</v>
      </c>
      <c r="N1498" s="23">
        <f>ROUND(L1498/M1498, 0)</f>
        <v/>
      </c>
      <c r="O1498" s="23">
        <f>ROUND(N1498*'Methodology &amp; Assumptions'!$B$8, 0)</f>
        <v/>
      </c>
      <c r="P1498" s="44" t="inlineStr">
        <is>
          <t>Band n50 (1.5 GHz, 60 MHz)</t>
        </is>
      </c>
      <c r="Q1498" s="38">
        <f>ROUNDUP(O1498/'Methodology &amp; Assumptions'!$B$9, 0)</f>
        <v/>
      </c>
      <c r="R1498" s="39" t="n">
        <v>1</v>
      </c>
      <c r="S1498" s="25" t="n">
        <v>1.28</v>
      </c>
      <c r="T1498" s="25" t="n">
        <v>0.96</v>
      </c>
      <c r="U1498" s="42" t="inlineStr">
        <is>
          <t>Tier 1B (Micro Drop, 1-3 km)</t>
        </is>
      </c>
      <c r="V1498" s="24" t="n">
        <v>75.3</v>
      </c>
      <c r="W1498" s="24" t="n">
        <v>59.2</v>
      </c>
      <c r="X1498" s="24" t="n">
        <v>58</v>
      </c>
      <c r="Y1498" s="45">
        <f>ROUND((V1498*'Methodology &amp; Assumptions'!$B$6)+(W1498*'Methodology &amp; Assumptions'!$B$5)+(X1498*'Methodology &amp; Assumptions'!$B$7), 2)</f>
        <v/>
      </c>
    </row>
    <row r="1499" ht="19" customHeight="1">
      <c r="A1499" s="35" t="n">
        <v>495</v>
      </c>
      <c r="B1499" s="35" t="n">
        <v>4495</v>
      </c>
      <c r="C1499" s="36" t="inlineStr">
        <is>
          <t>0402118065</t>
        </is>
      </c>
      <c r="D1499" s="36" t="inlineStr">
        <is>
          <t>Region IV-A (CALABARZON)</t>
        </is>
      </c>
      <c r="E1499" s="36" t="inlineStr">
        <is>
          <t>Cavite</t>
        </is>
      </c>
      <c r="F1499" s="36" t="inlineStr">
        <is>
          <t>Silang</t>
        </is>
      </c>
      <c r="G1499" s="36" t="inlineStr">
        <is>
          <t>Toledo</t>
        </is>
      </c>
      <c r="H1499" s="37" t="n">
        <v>14.153885</v>
      </c>
      <c r="I1499" s="37" t="n">
        <v>120.964592</v>
      </c>
      <c r="J1499" s="8" t="inlineStr">
        <is>
          <t>R</t>
        </is>
      </c>
      <c r="K1499" s="36" t="inlineStr">
        <is>
          <t>Class 1-3 / Urban</t>
        </is>
      </c>
      <c r="L1499" s="18" t="n">
        <v>1796</v>
      </c>
      <c r="M1499" s="20" t="n">
        <v>4.49</v>
      </c>
      <c r="N1499" s="18">
        <f>ROUND(L1499/M1499, 0)</f>
        <v/>
      </c>
      <c r="O1499" s="18">
        <f>ROUND(N1499*'Methodology &amp; Assumptions'!$B$8, 0)</f>
        <v/>
      </c>
      <c r="P1499" s="8" t="inlineStr">
        <is>
          <t>Band n50 (1.5 GHz, 60 MHz)</t>
        </is>
      </c>
      <c r="Q1499" s="38">
        <f>ROUNDUP(O1499/'Methodology &amp; Assumptions'!$B$9, 0)</f>
        <v/>
      </c>
      <c r="R1499" s="39" t="n">
        <v>1</v>
      </c>
      <c r="S1499" s="21" t="n">
        <v>1.13</v>
      </c>
      <c r="T1499" s="21" t="n">
        <v>0.9</v>
      </c>
      <c r="U1499" s="36" t="inlineStr">
        <is>
          <t>Tier 1B (Micro Drop, 1-3 km)</t>
        </is>
      </c>
      <c r="V1499" s="20" t="n">
        <v>78.5</v>
      </c>
      <c r="W1499" s="20" t="n">
        <v>56</v>
      </c>
      <c r="X1499" s="20" t="n">
        <v>58</v>
      </c>
      <c r="Y1499" s="40">
        <f>ROUND((V1499*'Methodology &amp; Assumptions'!$B$6)+(W1499*'Methodology &amp; Assumptions'!$B$5)+(X1499*'Methodology &amp; Assumptions'!$B$7), 2)</f>
        <v/>
      </c>
    </row>
    <row r="1500" ht="19" customHeight="1">
      <c r="A1500" s="41" t="n">
        <v>496</v>
      </c>
      <c r="B1500" s="41" t="n">
        <v>4496</v>
      </c>
      <c r="C1500" s="42" t="inlineStr">
        <is>
          <t>0300807004</t>
        </is>
      </c>
      <c r="D1500" s="42" t="inlineStr">
        <is>
          <t>Region III (Central Luzon)</t>
        </is>
      </c>
      <c r="E1500" s="42" t="inlineStr">
        <is>
          <t>Bataan</t>
        </is>
      </c>
      <c r="F1500" s="42" t="inlineStr">
        <is>
          <t>Mariveles</t>
        </is>
      </c>
      <c r="G1500" s="42" t="inlineStr">
        <is>
          <t>Cabcaben</t>
        </is>
      </c>
      <c r="H1500" s="43" t="n">
        <v>14.454349</v>
      </c>
      <c r="I1500" s="43" t="n">
        <v>120.591224</v>
      </c>
      <c r="J1500" s="44" t="inlineStr">
        <is>
          <t>U</t>
        </is>
      </c>
      <c r="K1500" s="42" t="inlineStr">
        <is>
          <t>Class 1-3 / Urban</t>
        </is>
      </c>
      <c r="L1500" s="23" t="n">
        <v>7665</v>
      </c>
      <c r="M1500" s="24" t="n">
        <v>4.57</v>
      </c>
      <c r="N1500" s="23">
        <f>ROUND(L1500/M1500, 0)</f>
        <v/>
      </c>
      <c r="O1500" s="23">
        <f>ROUND(N1500*'Methodology &amp; Assumptions'!$B$8, 0)</f>
        <v/>
      </c>
      <c r="P1500" s="44" t="inlineStr">
        <is>
          <t>Band n50 (1.5 GHz, 60 MHz)</t>
        </is>
      </c>
      <c r="Q1500" s="38">
        <f>ROUNDUP(O1500/'Methodology &amp; Assumptions'!$B$9, 0)</f>
        <v/>
      </c>
      <c r="R1500" s="39" t="n">
        <v>1</v>
      </c>
      <c r="S1500" s="25" t="n">
        <v>2.07</v>
      </c>
      <c r="T1500" s="25" t="n">
        <v>0.41</v>
      </c>
      <c r="U1500" s="42" t="inlineStr">
        <is>
          <t>Tier 1B (Micro Drop, 1-3 km)</t>
        </is>
      </c>
      <c r="V1500" s="24" t="n">
        <v>60.2</v>
      </c>
      <c r="W1500" s="24" t="n">
        <v>100</v>
      </c>
      <c r="X1500" s="24" t="n">
        <v>28</v>
      </c>
      <c r="Y1500" s="45">
        <f>ROUND((V1500*'Methodology &amp; Assumptions'!$B$6)+(W1500*'Methodology &amp; Assumptions'!$B$5)+(X1500*'Methodology &amp; Assumptions'!$B$7), 2)</f>
        <v/>
      </c>
    </row>
    <row r="1501" ht="19" customHeight="1">
      <c r="A1501" s="35" t="n">
        <v>497</v>
      </c>
      <c r="B1501" s="35" t="n">
        <v>4497</v>
      </c>
      <c r="C1501" s="36" t="inlineStr">
        <is>
          <t>0401027001</t>
        </is>
      </c>
      <c r="D1501" s="36" t="inlineStr">
        <is>
          <t>Region IV-A (CALABARZON)</t>
        </is>
      </c>
      <c r="E1501" s="36" t="inlineStr">
        <is>
          <t>Batangas</t>
        </is>
      </c>
      <c r="F1501" s="36" t="inlineStr">
        <is>
          <t>Santa Teresita</t>
        </is>
      </c>
      <c r="G1501" s="36" t="inlineStr">
        <is>
          <t>Antipolo</t>
        </is>
      </c>
      <c r="H1501" s="37" t="n">
        <v>13.874585</v>
      </c>
      <c r="I1501" s="37" t="n">
        <v>120.970955</v>
      </c>
      <c r="J1501" s="8" t="inlineStr">
        <is>
          <t>R</t>
        </is>
      </c>
      <c r="K1501" s="36" t="inlineStr">
        <is>
          <t>4th</t>
        </is>
      </c>
      <c r="L1501" s="18" t="n">
        <v>661</v>
      </c>
      <c r="M1501" s="20" t="n">
        <v>4.9</v>
      </c>
      <c r="N1501" s="18">
        <f>ROUND(L1501/M1501, 0)</f>
        <v/>
      </c>
      <c r="O1501" s="18">
        <f>ROUND(N1501*'Methodology &amp; Assumptions'!$B$8, 0)</f>
        <v/>
      </c>
      <c r="P1501" s="8" t="inlineStr">
        <is>
          <t>Band n50 (1.5 GHz, 60 MHz)</t>
        </is>
      </c>
      <c r="Q1501" s="38">
        <f>ROUNDUP(O1501/'Methodology &amp; Assumptions'!$B$9, 0)</f>
        <v/>
      </c>
      <c r="R1501" s="39" t="n">
        <v>1</v>
      </c>
      <c r="S1501" s="21" t="n">
        <v>0.64</v>
      </c>
      <c r="T1501" s="21" t="n">
        <v>0.04</v>
      </c>
      <c r="U1501" s="36" t="inlineStr">
        <is>
          <t>Tier 1A (Direct Coloc, &lt;1 km)</t>
        </is>
      </c>
      <c r="V1501" s="20" t="n">
        <v>90.8</v>
      </c>
      <c r="W1501" s="20" t="n">
        <v>34.7</v>
      </c>
      <c r="X1501" s="20" t="n">
        <v>68.5</v>
      </c>
      <c r="Y1501" s="40">
        <f>ROUND((V1501*'Methodology &amp; Assumptions'!$B$6)+(W1501*'Methodology &amp; Assumptions'!$B$5)+(X1501*'Methodology &amp; Assumptions'!$B$7), 2)</f>
        <v/>
      </c>
    </row>
    <row r="1502" ht="19" customHeight="1">
      <c r="A1502" s="41" t="n">
        <v>498</v>
      </c>
      <c r="B1502" s="41" t="n">
        <v>4498</v>
      </c>
      <c r="C1502" s="42" t="inlineStr">
        <is>
          <t>0307113015</t>
        </is>
      </c>
      <c r="D1502" s="42" t="inlineStr">
        <is>
          <t>Region III (Central Luzon)</t>
        </is>
      </c>
      <c r="E1502" s="42" t="inlineStr">
        <is>
          <t>Zambales</t>
        </is>
      </c>
      <c r="F1502" s="42" t="inlineStr">
        <is>
          <t>Santa Cruz</t>
        </is>
      </c>
      <c r="G1502" s="42" t="inlineStr">
        <is>
          <t>Malabago</t>
        </is>
      </c>
      <c r="H1502" s="43" t="n">
        <v>15.78873</v>
      </c>
      <c r="I1502" s="43" t="n">
        <v>119.9059</v>
      </c>
      <c r="J1502" s="44" t="inlineStr">
        <is>
          <t>R</t>
        </is>
      </c>
      <c r="K1502" s="42" t="inlineStr">
        <is>
          <t>Class 1-3 / Urban</t>
        </is>
      </c>
      <c r="L1502" s="23" t="n">
        <v>2781</v>
      </c>
      <c r="M1502" s="24" t="n">
        <v>4.05</v>
      </c>
      <c r="N1502" s="23">
        <f>ROUND(L1502/M1502, 0)</f>
        <v/>
      </c>
      <c r="O1502" s="23">
        <f>ROUND(N1502*'Methodology &amp; Assumptions'!$B$8, 0)</f>
        <v/>
      </c>
      <c r="P1502" s="44" t="inlineStr">
        <is>
          <t>Band n50 (1.5 GHz, 60 MHz)</t>
        </is>
      </c>
      <c r="Q1502" s="38">
        <f>ROUNDUP(O1502/'Methodology &amp; Assumptions'!$B$9, 0)</f>
        <v/>
      </c>
      <c r="R1502" s="39" t="n">
        <v>1</v>
      </c>
      <c r="S1502" s="25" t="n">
        <v>2.36</v>
      </c>
      <c r="T1502" s="25" t="n">
        <v>0.67</v>
      </c>
      <c r="U1502" s="42" t="inlineStr">
        <is>
          <t>Tier 1B (Micro Drop, 1-3 km)</t>
        </is>
      </c>
      <c r="V1502" s="24" t="n">
        <v>55.5</v>
      </c>
      <c r="W1502" s="24" t="n">
        <v>78.90000000000001</v>
      </c>
      <c r="X1502" s="24" t="n">
        <v>58</v>
      </c>
      <c r="Y1502" s="45">
        <f>ROUND((V1502*'Methodology &amp; Assumptions'!$B$6)+(W1502*'Methodology &amp; Assumptions'!$B$5)+(X1502*'Methodology &amp; Assumptions'!$B$7), 2)</f>
        <v/>
      </c>
    </row>
    <row r="1503" ht="19" customHeight="1">
      <c r="A1503" s="35" t="n">
        <v>499</v>
      </c>
      <c r="B1503" s="35" t="n">
        <v>4499</v>
      </c>
      <c r="C1503" s="36" t="inlineStr">
        <is>
          <t>0506209026</t>
        </is>
      </c>
      <c r="D1503" s="36" t="inlineStr">
        <is>
          <t>Region V (Bicol Region)</t>
        </is>
      </c>
      <c r="E1503" s="36" t="inlineStr">
        <is>
          <t>Sorsogon</t>
        </is>
      </c>
      <c r="F1503" s="36" t="inlineStr">
        <is>
          <t>Irosin</t>
        </is>
      </c>
      <c r="G1503" s="36" t="inlineStr">
        <is>
          <t>Tabon-Tabon</t>
        </is>
      </c>
      <c r="H1503" s="37" t="n">
        <v>12.710945</v>
      </c>
      <c r="I1503" s="37" t="n">
        <v>124.034031</v>
      </c>
      <c r="J1503" s="8" t="inlineStr">
        <is>
          <t>R</t>
        </is>
      </c>
      <c r="K1503" s="36" t="inlineStr">
        <is>
          <t>Class 1-3 / Urban</t>
        </is>
      </c>
      <c r="L1503" s="18" t="n">
        <v>1623</v>
      </c>
      <c r="M1503" s="20" t="n">
        <v>4.58</v>
      </c>
      <c r="N1503" s="18">
        <f>ROUND(L1503/M1503, 0)</f>
        <v/>
      </c>
      <c r="O1503" s="18">
        <f>ROUND(N1503*'Methodology &amp; Assumptions'!$B$8, 0)</f>
        <v/>
      </c>
      <c r="P1503" s="8" t="inlineStr">
        <is>
          <t>Band n50 (1.5 GHz, 60 MHz)</t>
        </is>
      </c>
      <c r="Q1503" s="38">
        <f>ROUNDUP(O1503/'Methodology &amp; Assumptions'!$B$9, 0)</f>
        <v/>
      </c>
      <c r="R1503" s="39" t="n">
        <v>1</v>
      </c>
      <c r="S1503" s="21" t="n">
        <v>0.98</v>
      </c>
      <c r="T1503" s="21" t="n">
        <v>0.73</v>
      </c>
      <c r="U1503" s="36" t="inlineStr">
        <is>
          <t>Tier 1A (Direct Coloc, &lt;1 km)</t>
        </is>
      </c>
      <c r="V1503" s="20" t="n">
        <v>82.2</v>
      </c>
      <c r="W1503" s="20" t="n">
        <v>52.3</v>
      </c>
      <c r="X1503" s="20" t="n">
        <v>58</v>
      </c>
      <c r="Y1503" s="40">
        <f>ROUND((V1503*'Methodology &amp; Assumptions'!$B$6)+(W1503*'Methodology &amp; Assumptions'!$B$5)+(X1503*'Methodology &amp; Assumptions'!$B$7), 2)</f>
        <v/>
      </c>
    </row>
    <row r="1504" ht="19" customHeight="1">
      <c r="A1504" s="41" t="n">
        <v>500</v>
      </c>
      <c r="B1504" s="41" t="n">
        <v>4500</v>
      </c>
      <c r="C1504" s="42" t="inlineStr">
        <is>
          <t>0401034014</t>
        </is>
      </c>
      <c r="D1504" s="42" t="inlineStr">
        <is>
          <t>Region IV-A (CALABARZON)</t>
        </is>
      </c>
      <c r="E1504" s="42" t="inlineStr">
        <is>
          <t>Batangas</t>
        </is>
      </c>
      <c r="F1504" s="42" t="inlineStr">
        <is>
          <t>Tuy</t>
        </is>
      </c>
      <c r="G1504" s="42" t="inlineStr">
        <is>
          <t>Burgos</t>
        </is>
      </c>
      <c r="H1504" s="43" t="n">
        <v>14.018833</v>
      </c>
      <c r="I1504" s="43" t="n">
        <v>120.729427</v>
      </c>
      <c r="J1504" s="44" t="inlineStr">
        <is>
          <t>R</t>
        </is>
      </c>
      <c r="K1504" s="42" t="inlineStr">
        <is>
          <t>Class 1-3 / Urban</t>
        </is>
      </c>
      <c r="L1504" s="23" t="n">
        <v>625</v>
      </c>
      <c r="M1504" s="24" t="n">
        <v>4.62</v>
      </c>
      <c r="N1504" s="23">
        <f>ROUND(L1504/M1504, 0)</f>
        <v/>
      </c>
      <c r="O1504" s="23">
        <f>ROUND(N1504*'Methodology &amp; Assumptions'!$B$8, 0)</f>
        <v/>
      </c>
      <c r="P1504" s="44" t="inlineStr">
        <is>
          <t>Band n50 (1.5 GHz, 60 MHz)</t>
        </is>
      </c>
      <c r="Q1504" s="38">
        <f>ROUNDUP(O1504/'Methodology &amp; Assumptions'!$B$9, 0)</f>
        <v/>
      </c>
      <c r="R1504" s="39" t="n">
        <v>1</v>
      </c>
      <c r="S1504" s="25" t="n">
        <v>0.32</v>
      </c>
      <c r="T1504" s="25" t="n">
        <v>0.32</v>
      </c>
      <c r="U1504" s="42" t="inlineStr">
        <is>
          <t>Tier 1A (Direct Coloc, &lt;1 km)</t>
        </is>
      </c>
      <c r="V1504" s="24" t="n">
        <v>99.8</v>
      </c>
      <c r="W1504" s="24" t="n">
        <v>34.7</v>
      </c>
      <c r="X1504" s="24" t="n">
        <v>58</v>
      </c>
      <c r="Y1504" s="45">
        <f>ROUND((V1504*'Methodology &amp; Assumptions'!$B$6)+(W1504*'Methodology &amp; Assumptions'!$B$5)+(X1504*'Methodology &amp; Assumptions'!$B$7), 2)</f>
        <v/>
      </c>
    </row>
    <row r="1505" ht="19" customHeight="1">
      <c r="A1505" s="35" t="n">
        <v>501</v>
      </c>
      <c r="B1505" s="35" t="n">
        <v>4501</v>
      </c>
      <c r="C1505" s="36" t="inlineStr">
        <is>
          <t>0306916081</t>
        </is>
      </c>
      <c r="D1505" s="36" t="inlineStr">
        <is>
          <t>Region III (Central Luzon)</t>
        </is>
      </c>
      <c r="E1505" s="36" t="inlineStr">
        <is>
          <t>Tarlac</t>
        </is>
      </c>
      <c r="F1505" s="36" t="inlineStr">
        <is>
          <t>City of Tarlac</t>
        </is>
      </c>
      <c r="G1505" s="36" t="inlineStr">
        <is>
          <t>Sapang Maragul</t>
        </is>
      </c>
      <c r="H1505" s="37" t="n">
        <v>15.504515</v>
      </c>
      <c r="I1505" s="37" t="n">
        <v>120.549954</v>
      </c>
      <c r="J1505" s="8" t="inlineStr">
        <is>
          <t>U</t>
        </is>
      </c>
      <c r="K1505" s="36" t="inlineStr">
        <is>
          <t>Class 1-3 / Urban</t>
        </is>
      </c>
      <c r="L1505" s="18" t="n">
        <v>12307</v>
      </c>
      <c r="M1505" s="20" t="n">
        <v>4.3</v>
      </c>
      <c r="N1505" s="18">
        <f>ROUND(L1505/M1505, 0)</f>
        <v/>
      </c>
      <c r="O1505" s="18">
        <f>ROUND(N1505*'Methodology &amp; Assumptions'!$B$8, 0)</f>
        <v/>
      </c>
      <c r="P1505" s="8" t="inlineStr">
        <is>
          <t>Band n50 (1.5 GHz, 60 MHz)</t>
        </is>
      </c>
      <c r="Q1505" s="38">
        <f>ROUNDUP(O1505/'Methodology &amp; Assumptions'!$B$9, 0)</f>
        <v/>
      </c>
      <c r="R1505" s="39" t="n">
        <v>1</v>
      </c>
      <c r="S1505" s="21" t="n">
        <v>2.07</v>
      </c>
      <c r="T1505" s="21" t="n">
        <v>1.81</v>
      </c>
      <c r="U1505" s="36" t="inlineStr">
        <is>
          <t>Tier 1B (Micro Drop, 1-3 km)</t>
        </is>
      </c>
      <c r="V1505" s="20" t="n">
        <v>60.2</v>
      </c>
      <c r="W1505" s="20" t="n">
        <v>100</v>
      </c>
      <c r="X1505" s="20" t="n">
        <v>28</v>
      </c>
      <c r="Y1505" s="40">
        <f>ROUND((V1505*'Methodology &amp; Assumptions'!$B$6)+(W1505*'Methodology &amp; Assumptions'!$B$5)+(X1505*'Methodology &amp; Assumptions'!$B$7), 2)</f>
        <v/>
      </c>
    </row>
    <row r="1506" ht="19" customHeight="1">
      <c r="A1506" s="41" t="n">
        <v>502</v>
      </c>
      <c r="B1506" s="41" t="n">
        <v>4502</v>
      </c>
      <c r="C1506" s="42" t="inlineStr">
        <is>
          <t>0403405040</t>
        </is>
      </c>
      <c r="D1506" s="42" t="inlineStr">
        <is>
          <t>Region IV-A (CALABARZON)</t>
        </is>
      </c>
      <c r="E1506" s="42" t="inlineStr">
        <is>
          <t>Laguna</t>
        </is>
      </c>
      <c r="F1506" s="42" t="inlineStr">
        <is>
          <t>City of Calamba</t>
        </is>
      </c>
      <c r="G1506" s="42" t="inlineStr">
        <is>
          <t>Barangay 3</t>
        </is>
      </c>
      <c r="H1506" s="43" t="n">
        <v>14.208436</v>
      </c>
      <c r="I1506" s="43" t="n">
        <v>121.161472</v>
      </c>
      <c r="J1506" s="44" t="inlineStr">
        <is>
          <t>U</t>
        </is>
      </c>
      <c r="K1506" s="42" t="inlineStr">
        <is>
          <t>Class 1-3 / Urban</t>
        </is>
      </c>
      <c r="L1506" s="23" t="n">
        <v>4537</v>
      </c>
      <c r="M1506" s="24" t="n">
        <v>4.2</v>
      </c>
      <c r="N1506" s="23">
        <f>ROUND(L1506/M1506, 0)</f>
        <v/>
      </c>
      <c r="O1506" s="23">
        <f>ROUND(N1506*'Methodology &amp; Assumptions'!$B$8, 0)</f>
        <v/>
      </c>
      <c r="P1506" s="44" t="inlineStr">
        <is>
          <t>Band n50 (1.5 GHz, 60 MHz)</t>
        </is>
      </c>
      <c r="Q1506" s="38">
        <f>ROUNDUP(O1506/'Methodology &amp; Assumptions'!$B$9, 0)</f>
        <v/>
      </c>
      <c r="R1506" s="39" t="n">
        <v>1</v>
      </c>
      <c r="S1506" s="25" t="n">
        <v>2.07</v>
      </c>
      <c r="T1506" s="25" t="n">
        <v>0.06</v>
      </c>
      <c r="U1506" s="42" t="inlineStr">
        <is>
          <t>Tier 1B (Micro Drop, 1-3 km)</t>
        </is>
      </c>
      <c r="V1506" s="24" t="n">
        <v>60.2</v>
      </c>
      <c r="W1506" s="24" t="n">
        <v>100</v>
      </c>
      <c r="X1506" s="24" t="n">
        <v>28</v>
      </c>
      <c r="Y1506" s="45">
        <f>ROUND((V1506*'Methodology &amp; Assumptions'!$B$6)+(W1506*'Methodology &amp; Assumptions'!$B$5)+(X1506*'Methodology &amp; Assumptions'!$B$7), 2)</f>
        <v/>
      </c>
    </row>
    <row r="1507" ht="19" customHeight="1">
      <c r="A1507" s="35" t="n">
        <v>503</v>
      </c>
      <c r="B1507" s="35" t="n">
        <v>4503</v>
      </c>
      <c r="C1507" s="36" t="inlineStr">
        <is>
          <t>0105513013</t>
        </is>
      </c>
      <c r="D1507" s="36" t="inlineStr">
        <is>
          <t>Region I (Ilocos Region)</t>
        </is>
      </c>
      <c r="E1507" s="36" t="inlineStr">
        <is>
          <t>Pangasinan</t>
        </is>
      </c>
      <c r="F1507" s="36" t="inlineStr">
        <is>
          <t>Binmaley</t>
        </is>
      </c>
      <c r="G1507" s="36" t="inlineStr">
        <is>
          <t>Canaoalan</t>
        </is>
      </c>
      <c r="H1507" s="37" t="n">
        <v>16.029261</v>
      </c>
      <c r="I1507" s="37" t="n">
        <v>120.297112</v>
      </c>
      <c r="J1507" s="8" t="inlineStr">
        <is>
          <t>R</t>
        </is>
      </c>
      <c r="K1507" s="36" t="inlineStr">
        <is>
          <t>Class 1-3 / Urban</t>
        </is>
      </c>
      <c r="L1507" s="18" t="n">
        <v>3727</v>
      </c>
      <c r="M1507" s="20" t="n">
        <v>4.39</v>
      </c>
      <c r="N1507" s="18">
        <f>ROUND(L1507/M1507, 0)</f>
        <v/>
      </c>
      <c r="O1507" s="18">
        <f>ROUND(N1507*'Methodology &amp; Assumptions'!$B$8, 0)</f>
        <v/>
      </c>
      <c r="P1507" s="8" t="inlineStr">
        <is>
          <t>Band n50 (1.5 GHz, 60 MHz)</t>
        </is>
      </c>
      <c r="Q1507" s="38">
        <f>ROUNDUP(O1507/'Methodology &amp; Assumptions'!$B$9, 0)</f>
        <v/>
      </c>
      <c r="R1507" s="39" t="n">
        <v>1</v>
      </c>
      <c r="S1507" s="21" t="n">
        <v>3.65</v>
      </c>
      <c r="T1507" s="21" t="n">
        <v>2.05</v>
      </c>
      <c r="U1507" s="36" t="inlineStr">
        <is>
          <t>Tier 2 (Fiber Corridor / Lateral, 3-5 km)</t>
        </is>
      </c>
      <c r="V1507" s="20" t="n">
        <v>29.6</v>
      </c>
      <c r="W1507" s="20" t="n">
        <v>92</v>
      </c>
      <c r="X1507" s="20" t="n">
        <v>73</v>
      </c>
      <c r="Y1507" s="40">
        <f>ROUND((V1507*'Methodology &amp; Assumptions'!$B$6)+(W1507*'Methodology &amp; Assumptions'!$B$5)+(X1507*'Methodology &amp; Assumptions'!$B$7), 2)</f>
        <v/>
      </c>
    </row>
    <row r="1508" ht="19" customHeight="1">
      <c r="A1508" s="41" t="n">
        <v>504</v>
      </c>
      <c r="B1508" s="41" t="n">
        <v>4504</v>
      </c>
      <c r="C1508" s="42" t="inlineStr">
        <is>
          <t>0301401007</t>
        </is>
      </c>
      <c r="D1508" s="42" t="inlineStr">
        <is>
          <t>Region III (Central Luzon)</t>
        </is>
      </c>
      <c r="E1508" s="42" t="inlineStr">
        <is>
          <t>Bulacan</t>
        </is>
      </c>
      <c r="F1508" s="42" t="inlineStr">
        <is>
          <t>Angat</t>
        </is>
      </c>
      <c r="G1508" s="42" t="inlineStr">
        <is>
          <t>Laog</t>
        </is>
      </c>
      <c r="H1508" s="43" t="n">
        <v>14.918781</v>
      </c>
      <c r="I1508" s="43" t="n">
        <v>121.038042</v>
      </c>
      <c r="J1508" s="44" t="inlineStr">
        <is>
          <t>R</t>
        </is>
      </c>
      <c r="K1508" s="42" t="inlineStr">
        <is>
          <t>Class 1-3 / Urban</t>
        </is>
      </c>
      <c r="L1508" s="23" t="n">
        <v>1787</v>
      </c>
      <c r="M1508" s="24" t="n">
        <v>4.1</v>
      </c>
      <c r="N1508" s="23">
        <f>ROUND(L1508/M1508, 0)</f>
        <v/>
      </c>
      <c r="O1508" s="23">
        <f>ROUND(N1508*'Methodology &amp; Assumptions'!$B$8, 0)</f>
        <v/>
      </c>
      <c r="P1508" s="44" t="inlineStr">
        <is>
          <t>Band n50 (1.5 GHz, 60 MHz)</t>
        </is>
      </c>
      <c r="Q1508" s="38">
        <f>ROUNDUP(O1508/'Methodology &amp; Assumptions'!$B$9, 0)</f>
        <v/>
      </c>
      <c r="R1508" s="39" t="n">
        <v>1</v>
      </c>
      <c r="S1508" s="25" t="n">
        <v>1.4</v>
      </c>
      <c r="T1508" s="25" t="n">
        <v>6.59</v>
      </c>
      <c r="U1508" s="42" t="inlineStr">
        <is>
          <t>Tier 1B (Micro Drop, 1-3 km)</t>
        </is>
      </c>
      <c r="V1508" s="24" t="n">
        <v>62.7</v>
      </c>
      <c r="W1508" s="24" t="n">
        <v>58.9</v>
      </c>
      <c r="X1508" s="24" t="n">
        <v>73</v>
      </c>
      <c r="Y1508" s="45">
        <f>ROUND((V1508*'Methodology &amp; Assumptions'!$B$6)+(W1508*'Methodology &amp; Assumptions'!$B$5)+(X1508*'Methodology &amp; Assumptions'!$B$7), 2)</f>
        <v/>
      </c>
    </row>
    <row r="1509" ht="19" customHeight="1">
      <c r="A1509" s="35" t="n">
        <v>505</v>
      </c>
      <c r="B1509" s="35" t="n">
        <v>4505</v>
      </c>
      <c r="C1509" s="36" t="inlineStr">
        <is>
          <t>0403414010</t>
        </is>
      </c>
      <c r="D1509" s="36" t="inlineStr">
        <is>
          <t>Region IV-A (CALABARZON)</t>
        </is>
      </c>
      <c r="E1509" s="36" t="inlineStr">
        <is>
          <t>Laguna</t>
        </is>
      </c>
      <c r="F1509" s="36" t="inlineStr">
        <is>
          <t>Mabitac</t>
        </is>
      </c>
      <c r="G1509" s="36" t="inlineStr">
        <is>
          <t>Maligaya</t>
        </is>
      </c>
      <c r="H1509" s="37" t="n">
        <v>14.4264</v>
      </c>
      <c r="I1509" s="37" t="n">
        <v>121.423628</v>
      </c>
      <c r="J1509" s="8" t="inlineStr">
        <is>
          <t>R</t>
        </is>
      </c>
      <c r="K1509" s="36" t="inlineStr">
        <is>
          <t>4th</t>
        </is>
      </c>
      <c r="L1509" s="18" t="n">
        <v>330</v>
      </c>
      <c r="M1509" s="20" t="n">
        <v>4.48</v>
      </c>
      <c r="N1509" s="18">
        <f>ROUND(L1509/M1509, 0)</f>
        <v/>
      </c>
      <c r="O1509" s="18">
        <f>ROUND(N1509*'Methodology &amp; Assumptions'!$B$8, 0)</f>
        <v/>
      </c>
      <c r="P1509" s="8" t="inlineStr">
        <is>
          <t>Band n50 (1.5 GHz, 60 MHz)</t>
        </is>
      </c>
      <c r="Q1509" s="38">
        <f>ROUNDUP(O1509/'Methodology &amp; Assumptions'!$B$9, 0)</f>
        <v/>
      </c>
      <c r="R1509" s="39" t="n">
        <v>1</v>
      </c>
      <c r="S1509" s="21" t="n">
        <v>0.47</v>
      </c>
      <c r="T1509" s="21" t="n">
        <v>1.84</v>
      </c>
      <c r="U1509" s="36" t="inlineStr">
        <is>
          <t>Tier 1A (Direct Coloc, &lt;1 km)</t>
        </is>
      </c>
      <c r="V1509" s="20" t="n">
        <v>95.59999999999999</v>
      </c>
      <c r="W1509" s="20" t="n">
        <v>29.9</v>
      </c>
      <c r="X1509" s="20" t="n">
        <v>68.5</v>
      </c>
      <c r="Y1509" s="40">
        <f>ROUND((V1509*'Methodology &amp; Assumptions'!$B$6)+(W1509*'Methodology &amp; Assumptions'!$B$5)+(X1509*'Methodology &amp; Assumptions'!$B$7), 2)</f>
        <v/>
      </c>
    </row>
    <row r="1510" ht="19" customHeight="1">
      <c r="A1510" s="41" t="n">
        <v>506</v>
      </c>
      <c r="B1510" s="41" t="n">
        <v>4506</v>
      </c>
      <c r="C1510" s="42" t="inlineStr">
        <is>
          <t>0803708060</t>
        </is>
      </c>
      <c r="D1510" s="42" t="inlineStr">
        <is>
          <t>Region VIII (Eastern Visayas)</t>
        </is>
      </c>
      <c r="E1510" s="42" t="inlineStr">
        <is>
          <t>Leyte</t>
        </is>
      </c>
      <c r="F1510" s="42" t="inlineStr">
        <is>
          <t>City of Baybay</t>
        </is>
      </c>
      <c r="G1510" s="42" t="inlineStr">
        <is>
          <t>Poblacion Zone 4</t>
        </is>
      </c>
      <c r="H1510" s="43" t="n">
        <v>10.680388</v>
      </c>
      <c r="I1510" s="43" t="n">
        <v>124.806086</v>
      </c>
      <c r="J1510" s="44" t="inlineStr">
        <is>
          <t>R</t>
        </is>
      </c>
      <c r="K1510" s="42" t="inlineStr">
        <is>
          <t>Class 1-3 / Urban</t>
        </is>
      </c>
      <c r="L1510" s="23" t="n">
        <v>813</v>
      </c>
      <c r="M1510" s="24" t="n">
        <v>4.24</v>
      </c>
      <c r="N1510" s="23">
        <f>ROUND(L1510/M1510, 0)</f>
        <v/>
      </c>
      <c r="O1510" s="23">
        <f>ROUND(N1510*'Methodology &amp; Assumptions'!$B$8, 0)</f>
        <v/>
      </c>
      <c r="P1510" s="44" t="inlineStr">
        <is>
          <t>Band n50 (1.5 GHz, 60 MHz)</t>
        </is>
      </c>
      <c r="Q1510" s="38">
        <f>ROUNDUP(O1510/'Methodology &amp; Assumptions'!$B$9, 0)</f>
        <v/>
      </c>
      <c r="R1510" s="39" t="n">
        <v>1</v>
      </c>
      <c r="S1510" s="25" t="n">
        <v>0.49</v>
      </c>
      <c r="T1510" s="25" t="n">
        <v>0.19</v>
      </c>
      <c r="U1510" s="42" t="inlineStr">
        <is>
          <t>Tier 1A (Direct Coloc, &lt;1 km)</t>
        </is>
      </c>
      <c r="V1510" s="24" t="n">
        <v>95</v>
      </c>
      <c r="W1510" s="24" t="n">
        <v>39.5</v>
      </c>
      <c r="X1510" s="24" t="n">
        <v>58</v>
      </c>
      <c r="Y1510" s="45">
        <f>ROUND((V1510*'Methodology &amp; Assumptions'!$B$6)+(W1510*'Methodology &amp; Assumptions'!$B$5)+(X1510*'Methodology &amp; Assumptions'!$B$7), 2)</f>
        <v/>
      </c>
    </row>
    <row r="1511" ht="19" customHeight="1">
      <c r="A1511" s="35" t="n">
        <v>507</v>
      </c>
      <c r="B1511" s="35" t="n">
        <v>4507</v>
      </c>
      <c r="C1511" s="36" t="inlineStr">
        <is>
          <t>0500510004</t>
        </is>
      </c>
      <c r="D1511" s="36" t="inlineStr">
        <is>
          <t>Region V (Bicol Region)</t>
        </is>
      </c>
      <c r="E1511" s="36" t="inlineStr">
        <is>
          <t>Albay</t>
        </is>
      </c>
      <c r="F1511" s="36" t="inlineStr">
        <is>
          <t>Malinao</t>
        </is>
      </c>
      <c r="G1511" s="36" t="inlineStr">
        <is>
          <t>Balza</t>
        </is>
      </c>
      <c r="H1511" s="37" t="n">
        <v>13.403543</v>
      </c>
      <c r="I1511" s="37" t="n">
        <v>123.698671</v>
      </c>
      <c r="J1511" s="8" t="inlineStr">
        <is>
          <t>R</t>
        </is>
      </c>
      <c r="K1511" s="36" t="inlineStr">
        <is>
          <t>Class 1-3 / Urban</t>
        </is>
      </c>
      <c r="L1511" s="18" t="n">
        <v>2279</v>
      </c>
      <c r="M1511" s="20" t="n">
        <v>4.67</v>
      </c>
      <c r="N1511" s="18">
        <f>ROUND(L1511/M1511, 0)</f>
        <v/>
      </c>
      <c r="O1511" s="18">
        <f>ROUND(N1511*'Methodology &amp; Assumptions'!$B$8, 0)</f>
        <v/>
      </c>
      <c r="P1511" s="8" t="inlineStr">
        <is>
          <t>Band n50 (1.5 GHz, 60 MHz)</t>
        </is>
      </c>
      <c r="Q1511" s="38">
        <f>ROUNDUP(O1511/'Methodology &amp; Assumptions'!$B$9, 0)</f>
        <v/>
      </c>
      <c r="R1511" s="39" t="n">
        <v>1</v>
      </c>
      <c r="S1511" s="21" t="n">
        <v>1.46</v>
      </c>
      <c r="T1511" s="21" t="n">
        <v>0.29</v>
      </c>
      <c r="U1511" s="36" t="inlineStr">
        <is>
          <t>Tier 1B (Micro Drop, 1-3 km)</t>
        </is>
      </c>
      <c r="V1511" s="20" t="n">
        <v>71.5</v>
      </c>
      <c r="W1511" s="20" t="n">
        <v>62.9</v>
      </c>
      <c r="X1511" s="20" t="n">
        <v>58</v>
      </c>
      <c r="Y1511" s="40">
        <f>ROUND((V1511*'Methodology &amp; Assumptions'!$B$6)+(W1511*'Methodology &amp; Assumptions'!$B$5)+(X1511*'Methodology &amp; Assumptions'!$B$7), 2)</f>
        <v/>
      </c>
    </row>
    <row r="1512" ht="19" customHeight="1">
      <c r="A1512" s="41" t="n">
        <v>508</v>
      </c>
      <c r="B1512" s="41" t="n">
        <v>4508</v>
      </c>
      <c r="C1512" s="42" t="inlineStr">
        <is>
          <t>0803736010</t>
        </is>
      </c>
      <c r="D1512" s="42" t="inlineStr">
        <is>
          <t>Region VIII (Eastern Visayas)</t>
        </is>
      </c>
      <c r="E1512" s="42" t="inlineStr">
        <is>
          <t>Leyte</t>
        </is>
      </c>
      <c r="F1512" s="42" t="inlineStr">
        <is>
          <t>Merida</t>
        </is>
      </c>
      <c r="G1512" s="42" t="inlineStr">
        <is>
          <t>Lamanoc</t>
        </is>
      </c>
      <c r="H1512" s="43" t="n">
        <v>10.925865</v>
      </c>
      <c r="I1512" s="43" t="n">
        <v>124.54698</v>
      </c>
      <c r="J1512" s="44" t="inlineStr">
        <is>
          <t>R</t>
        </is>
      </c>
      <c r="K1512" s="42" t="inlineStr">
        <is>
          <t>3rd</t>
        </is>
      </c>
      <c r="L1512" s="23" t="n">
        <v>2162</v>
      </c>
      <c r="M1512" s="24" t="n">
        <v>3.76</v>
      </c>
      <c r="N1512" s="23">
        <f>ROUND(L1512/M1512, 0)</f>
        <v/>
      </c>
      <c r="O1512" s="23">
        <f>ROUND(N1512*'Methodology &amp; Assumptions'!$B$8, 0)</f>
        <v/>
      </c>
      <c r="P1512" s="44" t="inlineStr">
        <is>
          <t>Band n50 (1.5 GHz, 60 MHz)</t>
        </is>
      </c>
      <c r="Q1512" s="38">
        <f>ROUNDUP(O1512/'Methodology &amp; Assumptions'!$B$9, 0)</f>
        <v/>
      </c>
      <c r="R1512" s="39" t="n">
        <v>1</v>
      </c>
      <c r="S1512" s="25" t="n">
        <v>1.82</v>
      </c>
      <c r="T1512" s="25" t="n">
        <v>0.02</v>
      </c>
      <c r="U1512" s="42" t="inlineStr">
        <is>
          <t>Tier 1B (Micro Drop, 1-3 km)</t>
        </is>
      </c>
      <c r="V1512" s="24" t="n">
        <v>64.59999999999999</v>
      </c>
      <c r="W1512" s="24" t="n">
        <v>69.90000000000001</v>
      </c>
      <c r="X1512" s="24" t="n">
        <v>58</v>
      </c>
      <c r="Y1512" s="45">
        <f>ROUND((V1512*'Methodology &amp; Assumptions'!$B$6)+(W1512*'Methodology &amp; Assumptions'!$B$5)+(X1512*'Methodology &amp; Assumptions'!$B$7), 2)</f>
        <v/>
      </c>
    </row>
    <row r="1513" ht="19" customHeight="1">
      <c r="A1513" s="35" t="n">
        <v>509</v>
      </c>
      <c r="B1513" s="35" t="n">
        <v>4509</v>
      </c>
      <c r="C1513" s="36" t="inlineStr">
        <is>
          <t>0103301012</t>
        </is>
      </c>
      <c r="D1513" s="36" t="inlineStr">
        <is>
          <t>Region I (Ilocos Region)</t>
        </is>
      </c>
      <c r="E1513" s="36" t="inlineStr">
        <is>
          <t>La Union</t>
        </is>
      </c>
      <c r="F1513" s="36" t="inlineStr">
        <is>
          <t>Agoo</t>
        </is>
      </c>
      <c r="G1513" s="36" t="inlineStr">
        <is>
          <t>San Agustin Sur</t>
        </is>
      </c>
      <c r="H1513" s="37" t="n">
        <v>16.329781</v>
      </c>
      <c r="I1513" s="37" t="n">
        <v>120.368258</v>
      </c>
      <c r="J1513" s="8" t="inlineStr">
        <is>
          <t>R</t>
        </is>
      </c>
      <c r="K1513" s="36" t="inlineStr">
        <is>
          <t>Class 1-3 / Urban</t>
        </is>
      </c>
      <c r="L1513" s="18" t="n">
        <v>1169</v>
      </c>
      <c r="M1513" s="20" t="n">
        <v>4.42</v>
      </c>
      <c r="N1513" s="18">
        <f>ROUND(L1513/M1513, 0)</f>
        <v/>
      </c>
      <c r="O1513" s="18">
        <f>ROUND(N1513*'Methodology &amp; Assumptions'!$B$8, 0)</f>
        <v/>
      </c>
      <c r="P1513" s="8" t="inlineStr">
        <is>
          <t>Band n50 (1.5 GHz, 60 MHz)</t>
        </is>
      </c>
      <c r="Q1513" s="38">
        <f>ROUNDUP(O1513/'Methodology &amp; Assumptions'!$B$9, 0)</f>
        <v/>
      </c>
      <c r="R1513" s="39" t="n">
        <v>1</v>
      </c>
      <c r="S1513" s="21" t="n">
        <v>0.6899999999999999</v>
      </c>
      <c r="T1513" s="21" t="n">
        <v>0.26</v>
      </c>
      <c r="U1513" s="36" t="inlineStr">
        <is>
          <t>Tier 1A (Direct Coloc, &lt;1 km)</t>
        </is>
      </c>
      <c r="V1513" s="20" t="n">
        <v>89.3</v>
      </c>
      <c r="W1513" s="20" t="n">
        <v>45.1</v>
      </c>
      <c r="X1513" s="20" t="n">
        <v>58</v>
      </c>
      <c r="Y1513" s="40">
        <f>ROUND((V1513*'Methodology &amp; Assumptions'!$B$6)+(W1513*'Methodology &amp; Assumptions'!$B$5)+(X1513*'Methodology &amp; Assumptions'!$B$7), 2)</f>
        <v/>
      </c>
    </row>
    <row r="1514" ht="19" customHeight="1">
      <c r="A1514" s="41" t="n">
        <v>510</v>
      </c>
      <c r="B1514" s="41" t="n">
        <v>4510</v>
      </c>
      <c r="C1514" s="42" t="inlineStr">
        <is>
          <t>0301407001</t>
        </is>
      </c>
      <c r="D1514" s="42" t="inlineStr">
        <is>
          <t>Region III (Central Luzon)</t>
        </is>
      </c>
      <c r="E1514" s="42" t="inlineStr">
        <is>
          <t>Bulacan</t>
        </is>
      </c>
      <c r="F1514" s="42" t="inlineStr">
        <is>
          <t>Calumpit</t>
        </is>
      </c>
      <c r="G1514" s="42" t="inlineStr">
        <is>
          <t>Balite</t>
        </is>
      </c>
      <c r="H1514" s="43" t="n">
        <v>14.898674</v>
      </c>
      <c r="I1514" s="43" t="n">
        <v>120.78536</v>
      </c>
      <c r="J1514" s="44" t="inlineStr">
        <is>
          <t>U</t>
        </is>
      </c>
      <c r="K1514" s="42" t="inlineStr">
        <is>
          <t>Class 1-3 / Urban</t>
        </is>
      </c>
      <c r="L1514" s="23" t="n">
        <v>5016</v>
      </c>
      <c r="M1514" s="24" t="n">
        <v>4.1</v>
      </c>
      <c r="N1514" s="23">
        <f>ROUND(L1514/M1514, 0)</f>
        <v/>
      </c>
      <c r="O1514" s="23">
        <f>ROUND(N1514*'Methodology &amp; Assumptions'!$B$8, 0)</f>
        <v/>
      </c>
      <c r="P1514" s="44" t="inlineStr">
        <is>
          <t>Band n50 (1.5 GHz, 60 MHz)</t>
        </is>
      </c>
      <c r="Q1514" s="38">
        <f>ROUNDUP(O1514/'Methodology &amp; Assumptions'!$B$9, 0)</f>
        <v/>
      </c>
      <c r="R1514" s="39" t="n">
        <v>1</v>
      </c>
      <c r="S1514" s="25" t="n">
        <v>2.07</v>
      </c>
      <c r="T1514" s="25" t="n">
        <v>0.73</v>
      </c>
      <c r="U1514" s="42" t="inlineStr">
        <is>
          <t>Tier 1B (Micro Drop, 1-3 km)</t>
        </is>
      </c>
      <c r="V1514" s="24" t="n">
        <v>60.1</v>
      </c>
      <c r="W1514" s="24" t="n">
        <v>100</v>
      </c>
      <c r="X1514" s="24" t="n">
        <v>28</v>
      </c>
      <c r="Y1514" s="45">
        <f>ROUND((V1514*'Methodology &amp; Assumptions'!$B$6)+(W1514*'Methodology &amp; Assumptions'!$B$5)+(X1514*'Methodology &amp; Assumptions'!$B$7), 2)</f>
        <v/>
      </c>
    </row>
    <row r="1515" ht="19" customHeight="1">
      <c r="A1515" s="35" t="n">
        <v>511</v>
      </c>
      <c r="B1515" s="35" t="n">
        <v>4511</v>
      </c>
      <c r="C1515" s="36" t="inlineStr">
        <is>
          <t>1606804011</t>
        </is>
      </c>
      <c r="D1515" s="36" t="inlineStr">
        <is>
          <t>Region XIII (Caraga)</t>
        </is>
      </c>
      <c r="E1515" s="36" t="inlineStr">
        <is>
          <t>Surigao del Sur</t>
        </is>
      </c>
      <c r="F1515" s="36" t="inlineStr">
        <is>
          <t>Cagwait</t>
        </is>
      </c>
      <c r="G1515" s="36" t="inlineStr">
        <is>
          <t>Unidad</t>
        </is>
      </c>
      <c r="H1515" s="37" t="n">
        <v>8.88134</v>
      </c>
      <c r="I1515" s="37" t="n">
        <v>126.307</v>
      </c>
      <c r="J1515" s="8" t="inlineStr">
        <is>
          <t>R</t>
        </is>
      </c>
      <c r="K1515" s="36" t="inlineStr">
        <is>
          <t>2nd</t>
        </is>
      </c>
      <c r="L1515" s="18" t="n">
        <v>4242</v>
      </c>
      <c r="M1515" s="20" t="n">
        <v>4.68</v>
      </c>
      <c r="N1515" s="18">
        <f>ROUND(L1515/M1515, 0)</f>
        <v/>
      </c>
      <c r="O1515" s="18">
        <f>ROUND(N1515*'Methodology &amp; Assumptions'!$B$8, 0)</f>
        <v/>
      </c>
      <c r="P1515" s="8" t="inlineStr">
        <is>
          <t>Band n50 (1.5 GHz, 60 MHz)</t>
        </is>
      </c>
      <c r="Q1515" s="38">
        <f>ROUNDUP(O1515/'Methodology &amp; Assumptions'!$B$9, 0)</f>
        <v/>
      </c>
      <c r="R1515" s="39" t="n">
        <v>1</v>
      </c>
      <c r="S1515" s="21" t="n">
        <v>24.86</v>
      </c>
      <c r="T1515" s="21" t="n">
        <v>0.29</v>
      </c>
      <c r="U1515" s="36" t="inlineStr">
        <is>
          <t>Tier 2 (Fiber Corridor / Lateral, 3-5 km)</t>
        </is>
      </c>
      <c r="V1515" s="20" t="n">
        <v>25</v>
      </c>
      <c r="W1515" s="20" t="n">
        <v>96.5</v>
      </c>
      <c r="X1515" s="20" t="n">
        <v>73</v>
      </c>
      <c r="Y1515" s="40">
        <f>ROUND((V1515*'Methodology &amp; Assumptions'!$B$6)+(W1515*'Methodology &amp; Assumptions'!$B$5)+(X1515*'Methodology &amp; Assumptions'!$B$7), 2)</f>
        <v/>
      </c>
    </row>
    <row r="1516" ht="19" customHeight="1">
      <c r="A1516" s="41" t="n">
        <v>512</v>
      </c>
      <c r="B1516" s="41" t="n">
        <v>4512</v>
      </c>
      <c r="C1516" s="42" t="inlineStr">
        <is>
          <t>0201527006</t>
        </is>
      </c>
      <c r="D1516" s="42" t="inlineStr">
        <is>
          <t>Region II (Cagayan Valley)</t>
        </is>
      </c>
      <c r="E1516" s="42" t="inlineStr">
        <is>
          <t>Cagayan</t>
        </is>
      </c>
      <c r="F1516" s="42" t="inlineStr">
        <is>
          <t>Solana</t>
        </is>
      </c>
      <c r="G1516" s="42" t="inlineStr">
        <is>
          <t>Bauan East</t>
        </is>
      </c>
      <c r="H1516" s="43" t="n">
        <v>17.71709</v>
      </c>
      <c r="I1516" s="43" t="n">
        <v>121.688192</v>
      </c>
      <c r="J1516" s="44" t="inlineStr">
        <is>
          <t>R</t>
        </is>
      </c>
      <c r="K1516" s="42" t="inlineStr">
        <is>
          <t>Class 1-3 / Urban</t>
        </is>
      </c>
      <c r="L1516" s="23" t="n">
        <v>2540</v>
      </c>
      <c r="M1516" s="24" t="n">
        <v>4.38</v>
      </c>
      <c r="N1516" s="23">
        <f>ROUND(L1516/M1516, 0)</f>
        <v/>
      </c>
      <c r="O1516" s="23">
        <f>ROUND(N1516*'Methodology &amp; Assumptions'!$B$8, 0)</f>
        <v/>
      </c>
      <c r="P1516" s="44" t="inlineStr">
        <is>
          <t>Band n50 (1.5 GHz, 60 MHz)</t>
        </is>
      </c>
      <c r="Q1516" s="38">
        <f>ROUNDUP(O1516/'Methodology &amp; Assumptions'!$B$9, 0)</f>
        <v/>
      </c>
      <c r="R1516" s="39" t="n">
        <v>1</v>
      </c>
      <c r="S1516" s="25" t="n">
        <v>1.34</v>
      </c>
      <c r="T1516" s="25" t="n">
        <v>5.39</v>
      </c>
      <c r="U1516" s="42" t="inlineStr">
        <is>
          <t>Tier 1B (Micro Drop, 1-3 km)</t>
        </is>
      </c>
      <c r="V1516" s="24" t="n">
        <v>64</v>
      </c>
      <c r="W1516" s="24" t="n">
        <v>70.40000000000001</v>
      </c>
      <c r="X1516" s="24" t="n">
        <v>58</v>
      </c>
      <c r="Y1516" s="45">
        <f>ROUND((V1516*'Methodology &amp; Assumptions'!$B$6)+(W1516*'Methodology &amp; Assumptions'!$B$5)+(X1516*'Methodology &amp; Assumptions'!$B$7), 2)</f>
        <v/>
      </c>
    </row>
    <row r="1517" ht="19" customHeight="1">
      <c r="A1517" s="35" t="n">
        <v>513</v>
      </c>
      <c r="B1517" s="35" t="n">
        <v>4513</v>
      </c>
      <c r="C1517" s="36" t="inlineStr">
        <is>
          <t>0300811027</t>
        </is>
      </c>
      <c r="D1517" s="36" t="inlineStr">
        <is>
          <t>Region III (Central Luzon)</t>
        </is>
      </c>
      <c r="E1517" s="36" t="inlineStr">
        <is>
          <t>Bataan</t>
        </is>
      </c>
      <c r="F1517" s="36" t="inlineStr">
        <is>
          <t>Pilar</t>
        </is>
      </c>
      <c r="G1517" s="36" t="inlineStr">
        <is>
          <t>Wawa</t>
        </is>
      </c>
      <c r="H1517" s="37" t="n">
        <v>14.562562</v>
      </c>
      <c r="I1517" s="37" t="n">
        <v>120.598416</v>
      </c>
      <c r="J1517" s="8" t="inlineStr">
        <is>
          <t>R</t>
        </is>
      </c>
      <c r="K1517" s="36" t="inlineStr">
        <is>
          <t>Class 1-3 / Urban</t>
        </is>
      </c>
      <c r="L1517" s="18" t="n">
        <v>2289</v>
      </c>
      <c r="M1517" s="20" t="n">
        <v>4.57</v>
      </c>
      <c r="N1517" s="18">
        <f>ROUND(L1517/M1517, 0)</f>
        <v/>
      </c>
      <c r="O1517" s="18">
        <f>ROUND(N1517*'Methodology &amp; Assumptions'!$B$8, 0)</f>
        <v/>
      </c>
      <c r="P1517" s="8" t="inlineStr">
        <is>
          <t>Band n50 (1.5 GHz, 60 MHz)</t>
        </is>
      </c>
      <c r="Q1517" s="38">
        <f>ROUNDUP(O1517/'Methodology &amp; Assumptions'!$B$9, 0)</f>
        <v/>
      </c>
      <c r="R1517" s="39" t="n">
        <v>1</v>
      </c>
      <c r="S1517" s="21" t="n">
        <v>1.51</v>
      </c>
      <c r="T1517" s="21" t="n">
        <v>0.35</v>
      </c>
      <c r="U1517" s="36" t="inlineStr">
        <is>
          <t>Tier 1B (Micro Drop, 1-3 km)</t>
        </is>
      </c>
      <c r="V1517" s="20" t="n">
        <v>70.40000000000001</v>
      </c>
      <c r="W1517" s="20" t="n">
        <v>64</v>
      </c>
      <c r="X1517" s="20" t="n">
        <v>58</v>
      </c>
      <c r="Y1517" s="40">
        <f>ROUND((V1517*'Methodology &amp; Assumptions'!$B$6)+(W1517*'Methodology &amp; Assumptions'!$B$5)+(X1517*'Methodology &amp; Assumptions'!$B$7), 2)</f>
        <v/>
      </c>
    </row>
    <row r="1518" ht="19" customHeight="1">
      <c r="A1518" s="41" t="n">
        <v>514</v>
      </c>
      <c r="B1518" s="41" t="n">
        <v>4514</v>
      </c>
      <c r="C1518" s="42" t="inlineStr">
        <is>
          <t>0500506055</t>
        </is>
      </c>
      <c r="D1518" s="42" t="inlineStr">
        <is>
          <t>Region V (Bicol Region)</t>
        </is>
      </c>
      <c r="E1518" s="42" t="inlineStr">
        <is>
          <t>Albay</t>
        </is>
      </c>
      <c r="F1518" s="42" t="inlineStr">
        <is>
          <t>City of Legazpi</t>
        </is>
      </c>
      <c r="G1518" s="42" t="inlineStr">
        <is>
          <t>Bgy. 38 - Gogon</t>
        </is>
      </c>
      <c r="H1518" s="43" t="n">
        <v>13.155369</v>
      </c>
      <c r="I1518" s="43" t="n">
        <v>123.747292</v>
      </c>
      <c r="J1518" s="44" t="inlineStr">
        <is>
          <t>U</t>
        </is>
      </c>
      <c r="K1518" s="42" t="inlineStr">
        <is>
          <t>Class 1-3 / Urban</t>
        </is>
      </c>
      <c r="L1518" s="23" t="n">
        <v>6156</v>
      </c>
      <c r="M1518" s="24" t="n">
        <v>4.67</v>
      </c>
      <c r="N1518" s="23">
        <f>ROUND(L1518/M1518, 0)</f>
        <v/>
      </c>
      <c r="O1518" s="23">
        <f>ROUND(N1518*'Methodology &amp; Assumptions'!$B$8, 0)</f>
        <v/>
      </c>
      <c r="P1518" s="44" t="inlineStr">
        <is>
          <t>Band n50 (1.5 GHz, 60 MHz)</t>
        </is>
      </c>
      <c r="Q1518" s="38">
        <f>ROUNDUP(O1518/'Methodology &amp; Assumptions'!$B$9, 0)</f>
        <v/>
      </c>
      <c r="R1518" s="39" t="n">
        <v>1</v>
      </c>
      <c r="S1518" s="25" t="n">
        <v>2.07</v>
      </c>
      <c r="T1518" s="25" t="n">
        <v>0.43</v>
      </c>
      <c r="U1518" s="42" t="inlineStr">
        <is>
          <t>Tier 1B (Micro Drop, 1-3 km)</t>
        </is>
      </c>
      <c r="V1518" s="24" t="n">
        <v>60.1</v>
      </c>
      <c r="W1518" s="24" t="n">
        <v>100</v>
      </c>
      <c r="X1518" s="24" t="n">
        <v>28</v>
      </c>
      <c r="Y1518" s="45">
        <f>ROUND((V1518*'Methodology &amp; Assumptions'!$B$6)+(W1518*'Methodology &amp; Assumptions'!$B$5)+(X1518*'Methodology &amp; Assumptions'!$B$7), 2)</f>
        <v/>
      </c>
    </row>
    <row r="1519" ht="19" customHeight="1">
      <c r="A1519" s="35" t="n">
        <v>515</v>
      </c>
      <c r="B1519" s="35" t="n">
        <v>4515</v>
      </c>
      <c r="C1519" s="36" t="inlineStr">
        <is>
          <t>0402120017</t>
        </is>
      </c>
      <c r="D1519" s="36" t="inlineStr">
        <is>
          <t>Region IV-A (CALABARZON)</t>
        </is>
      </c>
      <c r="E1519" s="36" t="inlineStr">
        <is>
          <t>Cavite</t>
        </is>
      </c>
      <c r="F1519" s="36" t="inlineStr">
        <is>
          <t>Tanza</t>
        </is>
      </c>
      <c r="G1519" s="36" t="inlineStr">
        <is>
          <t>Barangay II</t>
        </is>
      </c>
      <c r="H1519" s="37" t="n">
        <v>14.399647</v>
      </c>
      <c r="I1519" s="37" t="n">
        <v>120.855278</v>
      </c>
      <c r="J1519" s="8" t="inlineStr">
        <is>
          <t>R</t>
        </is>
      </c>
      <c r="K1519" s="36" t="inlineStr">
        <is>
          <t>Class 1-3 / Urban</t>
        </is>
      </c>
      <c r="L1519" s="18" t="n">
        <v>1254</v>
      </c>
      <c r="M1519" s="20" t="n">
        <v>4.49</v>
      </c>
      <c r="N1519" s="18">
        <f>ROUND(L1519/M1519, 0)</f>
        <v/>
      </c>
      <c r="O1519" s="18">
        <f>ROUND(N1519*'Methodology &amp; Assumptions'!$B$8, 0)</f>
        <v/>
      </c>
      <c r="P1519" s="8" t="inlineStr">
        <is>
          <t>Band n50 (1.5 GHz, 60 MHz)</t>
        </is>
      </c>
      <c r="Q1519" s="38">
        <f>ROUNDUP(O1519/'Methodology &amp; Assumptions'!$B$9, 0)</f>
        <v/>
      </c>
      <c r="R1519" s="39" t="n">
        <v>1</v>
      </c>
      <c r="S1519" s="21" t="n">
        <v>0.75</v>
      </c>
      <c r="T1519" s="21" t="n">
        <v>0.72</v>
      </c>
      <c r="U1519" s="36" t="inlineStr">
        <is>
          <t>Tier 1A (Direct Coloc, &lt;1 km)</t>
        </is>
      </c>
      <c r="V1519" s="20" t="n">
        <v>88</v>
      </c>
      <c r="W1519" s="20" t="n">
        <v>46.4</v>
      </c>
      <c r="X1519" s="20" t="n">
        <v>58</v>
      </c>
      <c r="Y1519" s="40">
        <f>ROUND((V1519*'Methodology &amp; Assumptions'!$B$6)+(W1519*'Methodology &amp; Assumptions'!$B$5)+(X1519*'Methodology &amp; Assumptions'!$B$7), 2)</f>
        <v/>
      </c>
    </row>
    <row r="1520" ht="19" customHeight="1">
      <c r="A1520" s="41" t="n">
        <v>516</v>
      </c>
      <c r="B1520" s="41" t="n">
        <v>4516</v>
      </c>
      <c r="C1520" s="42" t="inlineStr">
        <is>
          <t>0304931014</t>
        </is>
      </c>
      <c r="D1520" s="42" t="inlineStr">
        <is>
          <t>Region III (Central Luzon)</t>
        </is>
      </c>
      <c r="E1520" s="42" t="inlineStr">
        <is>
          <t>Nueva Ecija</t>
        </is>
      </c>
      <c r="F1520" s="42" t="inlineStr">
        <is>
          <t>Talugtug</t>
        </is>
      </c>
      <c r="G1520" s="42" t="inlineStr">
        <is>
          <t>Osmeña</t>
        </is>
      </c>
      <c r="H1520" s="43" t="n">
        <v>15.585783</v>
      </c>
      <c r="I1520" s="43" t="n">
        <v>120.924577</v>
      </c>
      <c r="J1520" s="44" t="inlineStr">
        <is>
          <t>R</t>
        </is>
      </c>
      <c r="K1520" s="42" t="inlineStr">
        <is>
          <t>3rd</t>
        </is>
      </c>
      <c r="L1520" s="23" t="n">
        <v>1093</v>
      </c>
      <c r="M1520" s="24" t="n">
        <v>4.09</v>
      </c>
      <c r="N1520" s="23">
        <f>ROUND(L1520/M1520, 0)</f>
        <v/>
      </c>
      <c r="O1520" s="23">
        <f>ROUND(N1520*'Methodology &amp; Assumptions'!$B$8, 0)</f>
        <v/>
      </c>
      <c r="P1520" s="44" t="inlineStr">
        <is>
          <t>Band n50 (1.5 GHz, 60 MHz)</t>
        </is>
      </c>
      <c r="Q1520" s="38">
        <f>ROUNDUP(O1520/'Methodology &amp; Assumptions'!$B$9, 0)</f>
        <v/>
      </c>
      <c r="R1520" s="39" t="n">
        <v>1</v>
      </c>
      <c r="S1520" s="25" t="n">
        <v>0.71</v>
      </c>
      <c r="T1520" s="25" t="n">
        <v>0.52</v>
      </c>
      <c r="U1520" s="42" t="inlineStr">
        <is>
          <t>Tier 1A (Direct Coloc, &lt;1 km)</t>
        </is>
      </c>
      <c r="V1520" s="24" t="n">
        <v>89</v>
      </c>
      <c r="W1520" s="24" t="n">
        <v>45.3</v>
      </c>
      <c r="X1520" s="24" t="n">
        <v>58</v>
      </c>
      <c r="Y1520" s="45">
        <f>ROUND((V1520*'Methodology &amp; Assumptions'!$B$6)+(W1520*'Methodology &amp; Assumptions'!$B$5)+(X1520*'Methodology &amp; Assumptions'!$B$7), 2)</f>
        <v/>
      </c>
    </row>
    <row r="1521" ht="19" customHeight="1">
      <c r="A1521" s="35" t="n">
        <v>517</v>
      </c>
      <c r="B1521" s="35" t="n">
        <v>4517</v>
      </c>
      <c r="C1521" s="36" t="inlineStr">
        <is>
          <t>0307104005</t>
        </is>
      </c>
      <c r="D1521" s="36" t="inlineStr">
        <is>
          <t>Region III (Central Luzon)</t>
        </is>
      </c>
      <c r="E1521" s="36" t="inlineStr">
        <is>
          <t>Zambales</t>
        </is>
      </c>
      <c r="F1521" s="36" t="inlineStr">
        <is>
          <t>Castillejos</t>
        </is>
      </c>
      <c r="G1521" s="36" t="inlineStr">
        <is>
          <t>Magsaysay</t>
        </is>
      </c>
      <c r="H1521" s="37" t="n">
        <v>14.943126</v>
      </c>
      <c r="I1521" s="37" t="n">
        <v>120.189981</v>
      </c>
      <c r="J1521" s="8" t="inlineStr">
        <is>
          <t>U</t>
        </is>
      </c>
      <c r="K1521" s="36" t="inlineStr">
        <is>
          <t>Class 1-3 / Urban</t>
        </is>
      </c>
      <c r="L1521" s="18" t="n">
        <v>3673</v>
      </c>
      <c r="M1521" s="20" t="n">
        <v>4.05</v>
      </c>
      <c r="N1521" s="18">
        <f>ROUND(L1521/M1521, 0)</f>
        <v/>
      </c>
      <c r="O1521" s="18">
        <f>ROUND(N1521*'Methodology &amp; Assumptions'!$B$8, 0)</f>
        <v/>
      </c>
      <c r="P1521" s="8" t="inlineStr">
        <is>
          <t>Band n50 (1.5 GHz, 60 MHz)</t>
        </is>
      </c>
      <c r="Q1521" s="38">
        <f>ROUNDUP(O1521/'Methodology &amp; Assumptions'!$B$9, 0)</f>
        <v/>
      </c>
      <c r="R1521" s="39" t="n">
        <v>1</v>
      </c>
      <c r="S1521" s="21" t="n">
        <v>1.87</v>
      </c>
      <c r="T1521" s="21" t="n">
        <v>0.31</v>
      </c>
      <c r="U1521" s="36" t="inlineStr">
        <is>
          <t>Tier 1B (Micro Drop, 1-3 km)</t>
        </is>
      </c>
      <c r="V1521" s="20" t="n">
        <v>63.5</v>
      </c>
      <c r="W1521" s="20" t="n">
        <v>96.5</v>
      </c>
      <c r="X1521" s="20" t="n">
        <v>28</v>
      </c>
      <c r="Y1521" s="40">
        <f>ROUND((V1521*'Methodology &amp; Assumptions'!$B$6)+(W1521*'Methodology &amp; Assumptions'!$B$5)+(X1521*'Methodology &amp; Assumptions'!$B$7), 2)</f>
        <v/>
      </c>
    </row>
    <row r="1522" ht="19" customHeight="1">
      <c r="A1522" s="41" t="n">
        <v>518</v>
      </c>
      <c r="B1522" s="41" t="n">
        <v>4518</v>
      </c>
      <c r="C1522" s="42" t="inlineStr">
        <is>
          <t>0405620021</t>
        </is>
      </c>
      <c r="D1522" s="42" t="inlineStr">
        <is>
          <t>Region IV-A (CALABARZON)</t>
        </is>
      </c>
      <c r="E1522" s="42" t="inlineStr">
        <is>
          <t>Quezon</t>
        </is>
      </c>
      <c r="F1522" s="42" t="inlineStr">
        <is>
          <t>Infanta</t>
        </is>
      </c>
      <c r="G1522" s="42" t="inlineStr">
        <is>
          <t>Ilog</t>
        </is>
      </c>
      <c r="H1522" s="43" t="n">
        <v>14.753013</v>
      </c>
      <c r="I1522" s="43" t="n">
        <v>121.647433</v>
      </c>
      <c r="J1522" s="44" t="inlineStr">
        <is>
          <t>R</t>
        </is>
      </c>
      <c r="K1522" s="42" t="inlineStr">
        <is>
          <t>Class 1-3 / Urban</t>
        </is>
      </c>
      <c r="L1522" s="23" t="n">
        <v>2727</v>
      </c>
      <c r="M1522" s="24" t="n">
        <v>4.46</v>
      </c>
      <c r="N1522" s="23">
        <f>ROUND(L1522/M1522, 0)</f>
        <v/>
      </c>
      <c r="O1522" s="23">
        <f>ROUND(N1522*'Methodology &amp; Assumptions'!$B$8, 0)</f>
        <v/>
      </c>
      <c r="P1522" s="44" t="inlineStr">
        <is>
          <t>Band n50 (1.5 GHz, 60 MHz)</t>
        </is>
      </c>
      <c r="Q1522" s="38">
        <f>ROUNDUP(O1522/'Methodology &amp; Assumptions'!$B$9, 0)</f>
        <v/>
      </c>
      <c r="R1522" s="39" t="n">
        <v>1</v>
      </c>
      <c r="S1522" s="25" t="n">
        <v>1.46</v>
      </c>
      <c r="T1522" s="25" t="n">
        <v>41.14</v>
      </c>
      <c r="U1522" s="42" t="inlineStr">
        <is>
          <t>Tier 1B (Micro Drop, 1-3 km)</t>
        </is>
      </c>
      <c r="V1522" s="24" t="n">
        <v>61.5</v>
      </c>
      <c r="W1522" s="24" t="n">
        <v>72.8</v>
      </c>
      <c r="X1522" s="24" t="n">
        <v>58</v>
      </c>
      <c r="Y1522" s="45">
        <f>ROUND((V1522*'Methodology &amp; Assumptions'!$B$6)+(W1522*'Methodology &amp; Assumptions'!$B$5)+(X1522*'Methodology &amp; Assumptions'!$B$7), 2)</f>
        <v/>
      </c>
    </row>
    <row r="1523" ht="19" customHeight="1">
      <c r="A1523" s="35" t="n">
        <v>519</v>
      </c>
      <c r="B1523" s="35" t="n">
        <v>4519</v>
      </c>
      <c r="C1523" s="36" t="inlineStr">
        <is>
          <t>0403429009</t>
        </is>
      </c>
      <c r="D1523" s="36" t="inlineStr">
        <is>
          <t>Region IV-A (CALABARZON)</t>
        </is>
      </c>
      <c r="E1523" s="36" t="inlineStr">
        <is>
          <t>Laguna</t>
        </is>
      </c>
      <c r="F1523" s="36" t="inlineStr">
        <is>
          <t>Siniloan</t>
        </is>
      </c>
      <c r="G1523" s="36" t="inlineStr">
        <is>
          <t>Kapatalan</t>
        </is>
      </c>
      <c r="H1523" s="37" t="n">
        <v>14.479451</v>
      </c>
      <c r="I1523" s="37" t="n">
        <v>121.497011</v>
      </c>
      <c r="J1523" s="8" t="inlineStr">
        <is>
          <t>R</t>
        </is>
      </c>
      <c r="K1523" s="36" t="inlineStr">
        <is>
          <t>Class 1-3 / Urban</t>
        </is>
      </c>
      <c r="L1523" s="18" t="n">
        <v>1630</v>
      </c>
      <c r="M1523" s="20" t="n">
        <v>4.2</v>
      </c>
      <c r="N1523" s="18">
        <f>ROUND(L1523/M1523, 0)</f>
        <v/>
      </c>
      <c r="O1523" s="18">
        <f>ROUND(N1523*'Methodology &amp; Assumptions'!$B$8, 0)</f>
        <v/>
      </c>
      <c r="P1523" s="8" t="inlineStr">
        <is>
          <t>Band n50 (1.5 GHz, 60 MHz)</t>
        </is>
      </c>
      <c r="Q1523" s="38">
        <f>ROUNDUP(O1523/'Methodology &amp; Assumptions'!$B$9, 0)</f>
        <v/>
      </c>
      <c r="R1523" s="39" t="n">
        <v>1</v>
      </c>
      <c r="S1523" s="21" t="n">
        <v>0.6899999999999999</v>
      </c>
      <c r="T1523" s="21" t="n">
        <v>6.69</v>
      </c>
      <c r="U1523" s="36" t="inlineStr">
        <is>
          <t>Tier 1A (Direct Coloc, &lt;1 km)</t>
        </is>
      </c>
      <c r="V1523" s="20" t="n">
        <v>79.40000000000001</v>
      </c>
      <c r="W1523" s="20" t="n">
        <v>54.9</v>
      </c>
      <c r="X1523" s="20" t="n">
        <v>58</v>
      </c>
      <c r="Y1523" s="40">
        <f>ROUND((V1523*'Methodology &amp; Assumptions'!$B$6)+(W1523*'Methodology &amp; Assumptions'!$B$5)+(X1523*'Methodology &amp; Assumptions'!$B$7), 2)</f>
        <v/>
      </c>
    </row>
    <row r="1524" ht="19" customHeight="1">
      <c r="A1524" s="41" t="n">
        <v>520</v>
      </c>
      <c r="B1524" s="41" t="n">
        <v>4520</v>
      </c>
      <c r="C1524" s="42" t="inlineStr">
        <is>
          <t>1401105006</t>
        </is>
      </c>
      <c r="D1524" s="42" t="inlineStr">
        <is>
          <t>Cordillera Administrative Region (CAR)</t>
        </is>
      </c>
      <c r="E1524" s="42" t="inlineStr">
        <is>
          <t>Benguet</t>
        </is>
      </c>
      <c r="F1524" s="42" t="inlineStr">
        <is>
          <t>Buguias</t>
        </is>
      </c>
      <c r="G1524" s="42" t="inlineStr">
        <is>
          <t>Bangao</t>
        </is>
      </c>
      <c r="H1524" s="43" t="n">
        <v>16.81839</v>
      </c>
      <c r="I1524" s="43" t="n">
        <v>120.8328</v>
      </c>
      <c r="J1524" s="44" t="inlineStr">
        <is>
          <t>U</t>
        </is>
      </c>
      <c r="K1524" s="42" t="inlineStr">
        <is>
          <t>Class 1-3 / Urban</t>
        </is>
      </c>
      <c r="L1524" s="23" t="n">
        <v>5319</v>
      </c>
      <c r="M1524" s="24" t="n">
        <v>4.58</v>
      </c>
      <c r="N1524" s="23">
        <f>ROUND(L1524/M1524, 0)</f>
        <v/>
      </c>
      <c r="O1524" s="23">
        <f>ROUND(N1524*'Methodology &amp; Assumptions'!$B$8, 0)</f>
        <v/>
      </c>
      <c r="P1524" s="44" t="inlineStr">
        <is>
          <t>Band n50 (1.5 GHz, 60 MHz)</t>
        </is>
      </c>
      <c r="Q1524" s="38">
        <f>ROUNDUP(O1524/'Methodology &amp; Assumptions'!$B$9, 0)</f>
        <v/>
      </c>
      <c r="R1524" s="39" t="n">
        <v>1</v>
      </c>
      <c r="S1524" s="25" t="n">
        <v>2.08</v>
      </c>
      <c r="T1524" s="25" t="n">
        <v>0.18</v>
      </c>
      <c r="U1524" s="42" t="inlineStr">
        <is>
          <t>Tier 1B (Micro Drop, 1-3 km)</t>
        </is>
      </c>
      <c r="V1524" s="24" t="n">
        <v>60.1</v>
      </c>
      <c r="W1524" s="24" t="n">
        <v>100</v>
      </c>
      <c r="X1524" s="24" t="n">
        <v>28</v>
      </c>
      <c r="Y1524" s="45">
        <f>ROUND((V1524*'Methodology &amp; Assumptions'!$B$6)+(W1524*'Methodology &amp; Assumptions'!$B$5)+(X1524*'Methodology &amp; Assumptions'!$B$7), 2)</f>
        <v/>
      </c>
    </row>
    <row r="1525" ht="19" customHeight="1">
      <c r="A1525" s="35" t="n">
        <v>521</v>
      </c>
      <c r="B1525" s="35" t="n">
        <v>4521</v>
      </c>
      <c r="C1525" s="36" t="inlineStr">
        <is>
          <t>0304903092</t>
        </is>
      </c>
      <c r="D1525" s="36" t="inlineStr">
        <is>
          <t>Region III (Central Luzon)</t>
        </is>
      </c>
      <c r="E1525" s="36" t="inlineStr">
        <is>
          <t>Nueva Ecija</t>
        </is>
      </c>
      <c r="F1525" s="36" t="inlineStr">
        <is>
          <t>City of Cabanatuan</t>
        </is>
      </c>
      <c r="G1525" s="36" t="inlineStr">
        <is>
          <t>Hermogenes C. Concepcion, Sr.</t>
        </is>
      </c>
      <c r="H1525" s="37" t="n">
        <v>15.465952</v>
      </c>
      <c r="I1525" s="37" t="n">
        <v>120.950758</v>
      </c>
      <c r="J1525" s="8" t="inlineStr">
        <is>
          <t>U</t>
        </is>
      </c>
      <c r="K1525" s="36" t="inlineStr">
        <is>
          <t>Class 1-3 / Urban</t>
        </is>
      </c>
      <c r="L1525" s="18" t="n">
        <v>4756</v>
      </c>
      <c r="M1525" s="20" t="n">
        <v>4.32</v>
      </c>
      <c r="N1525" s="18">
        <f>ROUND(L1525/M1525, 0)</f>
        <v/>
      </c>
      <c r="O1525" s="18">
        <f>ROUND(N1525*'Methodology &amp; Assumptions'!$B$8, 0)</f>
        <v/>
      </c>
      <c r="P1525" s="8" t="inlineStr">
        <is>
          <t>Band n50 (1.5 GHz, 60 MHz)</t>
        </is>
      </c>
      <c r="Q1525" s="38">
        <f>ROUNDUP(O1525/'Methodology &amp; Assumptions'!$B$9, 0)</f>
        <v/>
      </c>
      <c r="R1525" s="39" t="n">
        <v>1</v>
      </c>
      <c r="S1525" s="21" t="n">
        <v>2.08</v>
      </c>
      <c r="T1525" s="21" t="n">
        <v>0.41</v>
      </c>
      <c r="U1525" s="36" t="inlineStr">
        <is>
          <t>Tier 1B (Micro Drop, 1-3 km)</t>
        </is>
      </c>
      <c r="V1525" s="20" t="n">
        <v>60.1</v>
      </c>
      <c r="W1525" s="20" t="n">
        <v>100</v>
      </c>
      <c r="X1525" s="20" t="n">
        <v>28</v>
      </c>
      <c r="Y1525" s="40">
        <f>ROUND((V1525*'Methodology &amp; Assumptions'!$B$6)+(W1525*'Methodology &amp; Assumptions'!$B$5)+(X1525*'Methodology &amp; Assumptions'!$B$7), 2)</f>
        <v/>
      </c>
    </row>
    <row r="1526" ht="19" customHeight="1">
      <c r="A1526" s="41" t="n">
        <v>522</v>
      </c>
      <c r="B1526" s="41" t="n">
        <v>4522</v>
      </c>
      <c r="C1526" s="42" t="inlineStr">
        <is>
          <t>0403412003</t>
        </is>
      </c>
      <c r="D1526" s="42" t="inlineStr">
        <is>
          <t>Region IV-A (CALABARZON)</t>
        </is>
      </c>
      <c r="E1526" s="42" t="inlineStr">
        <is>
          <t>Laguna</t>
        </is>
      </c>
      <c r="F1526" s="42" t="inlineStr">
        <is>
          <t>Luisiana</t>
        </is>
      </c>
      <c r="G1526" s="42" t="inlineStr">
        <is>
          <t>Barangay Zone II</t>
        </is>
      </c>
      <c r="H1526" s="43" t="n">
        <v>14.184066</v>
      </c>
      <c r="I1526" s="43" t="n">
        <v>121.510229</v>
      </c>
      <c r="J1526" s="44" t="inlineStr">
        <is>
          <t>R</t>
        </is>
      </c>
      <c r="K1526" s="42" t="inlineStr">
        <is>
          <t>4th</t>
        </is>
      </c>
      <c r="L1526" s="23" t="n">
        <v>294</v>
      </c>
      <c r="M1526" s="24" t="n">
        <v>4.07</v>
      </c>
      <c r="N1526" s="23">
        <f>ROUND(L1526/M1526, 0)</f>
        <v/>
      </c>
      <c r="O1526" s="23">
        <f>ROUND(N1526*'Methodology &amp; Assumptions'!$B$8, 0)</f>
        <v/>
      </c>
      <c r="P1526" s="44" t="inlineStr">
        <is>
          <t>Band n50 (1.5 GHz, 60 MHz)</t>
        </is>
      </c>
      <c r="Q1526" s="38">
        <f>ROUNDUP(O1526/'Methodology &amp; Assumptions'!$B$9, 0)</f>
        <v/>
      </c>
      <c r="R1526" s="39" t="n">
        <v>1</v>
      </c>
      <c r="S1526" s="25" t="n">
        <v>0.57</v>
      </c>
      <c r="T1526" s="25" t="n">
        <v>4.06</v>
      </c>
      <c r="U1526" s="42" t="inlineStr">
        <is>
          <t>Tier 1A (Direct Coloc, &lt;1 km)</t>
        </is>
      </c>
      <c r="V1526" s="24" t="n">
        <v>82.59999999999999</v>
      </c>
      <c r="W1526" s="24" t="n">
        <v>29.9</v>
      </c>
      <c r="X1526" s="24" t="n">
        <v>83.5</v>
      </c>
      <c r="Y1526" s="45">
        <f>ROUND((V1526*'Methodology &amp; Assumptions'!$B$6)+(W1526*'Methodology &amp; Assumptions'!$B$5)+(X1526*'Methodology &amp; Assumptions'!$B$7), 2)</f>
        <v/>
      </c>
    </row>
    <row r="1527" ht="19" customHeight="1">
      <c r="A1527" s="35" t="n">
        <v>523</v>
      </c>
      <c r="B1527" s="35" t="n">
        <v>4523</v>
      </c>
      <c r="C1527" s="36" t="inlineStr">
        <is>
          <t>0501732002</t>
        </is>
      </c>
      <c r="D1527" s="36" t="inlineStr">
        <is>
          <t>Region V (Bicol Region)</t>
        </is>
      </c>
      <c r="E1527" s="36" t="inlineStr">
        <is>
          <t>Camarines Sur</t>
        </is>
      </c>
      <c r="F1527" s="36" t="inlineStr">
        <is>
          <t>San Fernando</t>
        </is>
      </c>
      <c r="G1527" s="36" t="inlineStr">
        <is>
          <t>Beberon</t>
        </is>
      </c>
      <c r="H1527" s="37" t="n">
        <v>13.543297</v>
      </c>
      <c r="I1527" s="37" t="n">
        <v>123.141792</v>
      </c>
      <c r="J1527" s="8" t="inlineStr">
        <is>
          <t>R</t>
        </is>
      </c>
      <c r="K1527" s="36" t="inlineStr">
        <is>
          <t>2nd</t>
        </is>
      </c>
      <c r="L1527" s="18" t="n">
        <v>2944</v>
      </c>
      <c r="M1527" s="20" t="n">
        <v>4.84</v>
      </c>
      <c r="N1527" s="18">
        <f>ROUND(L1527/M1527, 0)</f>
        <v/>
      </c>
      <c r="O1527" s="18">
        <f>ROUND(N1527*'Methodology &amp; Assumptions'!$B$8, 0)</f>
        <v/>
      </c>
      <c r="P1527" s="8" t="inlineStr">
        <is>
          <t>Band n50 (1.5 GHz, 60 MHz)</t>
        </is>
      </c>
      <c r="Q1527" s="38">
        <f>ROUNDUP(O1527/'Methodology &amp; Assumptions'!$B$9, 0)</f>
        <v/>
      </c>
      <c r="R1527" s="39" t="n">
        <v>1</v>
      </c>
      <c r="S1527" s="21" t="n">
        <v>1.97</v>
      </c>
      <c r="T1527" s="21" t="n">
        <v>1.99</v>
      </c>
      <c r="U1527" s="36" t="inlineStr">
        <is>
          <t>Tier 1B (Micro Drop, 1-3 km)</t>
        </is>
      </c>
      <c r="V1527" s="20" t="n">
        <v>61.8</v>
      </c>
      <c r="W1527" s="20" t="n">
        <v>72.5</v>
      </c>
      <c r="X1527" s="20" t="n">
        <v>58</v>
      </c>
      <c r="Y1527" s="40">
        <f>ROUND((V1527*'Methodology &amp; Assumptions'!$B$6)+(W1527*'Methodology &amp; Assumptions'!$B$5)+(X1527*'Methodology &amp; Assumptions'!$B$7), 2)</f>
        <v/>
      </c>
    </row>
    <row r="1528" ht="19" customHeight="1">
      <c r="A1528" s="41" t="n">
        <v>524</v>
      </c>
      <c r="B1528" s="41" t="n">
        <v>4524</v>
      </c>
      <c r="C1528" s="42" t="inlineStr">
        <is>
          <t>0300802006</t>
        </is>
      </c>
      <c r="D1528" s="42" t="inlineStr">
        <is>
          <t>Region III (Central Luzon)</t>
        </is>
      </c>
      <c r="E1528" s="42" t="inlineStr">
        <is>
          <t>Bataan</t>
        </is>
      </c>
      <c r="F1528" s="42" t="inlineStr">
        <is>
          <t>Bagac</t>
        </is>
      </c>
      <c r="G1528" s="42" t="inlineStr">
        <is>
          <t>Ibaba</t>
        </is>
      </c>
      <c r="H1528" s="43" t="n">
        <v>14.596513</v>
      </c>
      <c r="I1528" s="43" t="n">
        <v>120.391943</v>
      </c>
      <c r="J1528" s="44" t="inlineStr">
        <is>
          <t>R</t>
        </is>
      </c>
      <c r="K1528" s="42" t="inlineStr">
        <is>
          <t>Class 1-3 / Urban</t>
        </is>
      </c>
      <c r="L1528" s="23" t="n">
        <v>1920</v>
      </c>
      <c r="M1528" s="24" t="n">
        <v>4.57</v>
      </c>
      <c r="N1528" s="23">
        <f>ROUND(L1528/M1528, 0)</f>
        <v/>
      </c>
      <c r="O1528" s="23">
        <f>ROUND(N1528*'Methodology &amp; Assumptions'!$B$8, 0)</f>
        <v/>
      </c>
      <c r="P1528" s="44" t="inlineStr">
        <is>
          <t>Band n50 (1.5 GHz, 60 MHz)</t>
        </is>
      </c>
      <c r="Q1528" s="38">
        <f>ROUNDUP(O1528/'Methodology &amp; Assumptions'!$B$9, 0)</f>
        <v/>
      </c>
      <c r="R1528" s="39" t="n">
        <v>1</v>
      </c>
      <c r="S1528" s="25" t="n">
        <v>1.21</v>
      </c>
      <c r="T1528" s="25" t="n">
        <v>0.44</v>
      </c>
      <c r="U1528" s="42" t="inlineStr">
        <is>
          <t>Tier 1B (Micro Drop, 1-3 km)</t>
        </is>
      </c>
      <c r="V1528" s="24" t="n">
        <v>76.7</v>
      </c>
      <c r="W1528" s="24" t="n">
        <v>57.6</v>
      </c>
      <c r="X1528" s="24" t="n">
        <v>58</v>
      </c>
      <c r="Y1528" s="45">
        <f>ROUND((V1528*'Methodology &amp; Assumptions'!$B$6)+(W1528*'Methodology &amp; Assumptions'!$B$5)+(X1528*'Methodology &amp; Assumptions'!$B$7), 2)</f>
        <v/>
      </c>
    </row>
    <row r="1529" ht="19" customHeight="1">
      <c r="A1529" s="35" t="n">
        <v>525</v>
      </c>
      <c r="B1529" s="35" t="n">
        <v>4525</v>
      </c>
      <c r="C1529" s="36" t="inlineStr">
        <is>
          <t>1408105021</t>
        </is>
      </c>
      <c r="D1529" s="36" t="inlineStr">
        <is>
          <t>Cordillera Administrative Region (CAR)</t>
        </is>
      </c>
      <c r="E1529" s="36" t="inlineStr">
        <is>
          <t>Apayao</t>
        </is>
      </c>
      <c r="F1529" s="36" t="inlineStr">
        <is>
          <t>Luna</t>
        </is>
      </c>
      <c r="G1529" s="36" t="inlineStr">
        <is>
          <t>San Isidro Sur</t>
        </is>
      </c>
      <c r="H1529" s="37" t="n">
        <v>18.333744</v>
      </c>
      <c r="I1529" s="37" t="n">
        <v>121.377696</v>
      </c>
      <c r="J1529" s="8" t="inlineStr">
        <is>
          <t>R</t>
        </is>
      </c>
      <c r="K1529" s="36" t="inlineStr">
        <is>
          <t>Class 1-3 / Urban</t>
        </is>
      </c>
      <c r="L1529" s="18" t="n">
        <v>1708</v>
      </c>
      <c r="M1529" s="20" t="n">
        <v>4.49</v>
      </c>
      <c r="N1529" s="18">
        <f>ROUND(L1529/M1529, 0)</f>
        <v/>
      </c>
      <c r="O1529" s="18">
        <f>ROUND(N1529*'Methodology &amp; Assumptions'!$B$8, 0)</f>
        <v/>
      </c>
      <c r="P1529" s="8" t="inlineStr">
        <is>
          <t>Band n50 (1.5 GHz, 60 MHz)</t>
        </is>
      </c>
      <c r="Q1529" s="38">
        <f>ROUNDUP(O1529/'Methodology &amp; Assumptions'!$B$9, 0)</f>
        <v/>
      </c>
      <c r="R1529" s="39" t="n">
        <v>1</v>
      </c>
      <c r="S1529" s="21" t="n">
        <v>0.91</v>
      </c>
      <c r="T1529" s="21" t="n">
        <v>0.1</v>
      </c>
      <c r="U1529" s="36" t="inlineStr">
        <is>
          <t>Tier 1A (Direct Coloc, &lt;1 km)</t>
        </is>
      </c>
      <c r="V1529" s="20" t="n">
        <v>83.90000000000001</v>
      </c>
      <c r="W1529" s="20" t="n">
        <v>50.4</v>
      </c>
      <c r="X1529" s="20" t="n">
        <v>58</v>
      </c>
      <c r="Y1529" s="40">
        <f>ROUND((V1529*'Methodology &amp; Assumptions'!$B$6)+(W1529*'Methodology &amp; Assumptions'!$B$5)+(X1529*'Methodology &amp; Assumptions'!$B$7), 2)</f>
        <v/>
      </c>
    </row>
    <row r="1530" ht="19" customHeight="1">
      <c r="A1530" s="41" t="n">
        <v>526</v>
      </c>
      <c r="B1530" s="41" t="n">
        <v>4526</v>
      </c>
      <c r="C1530" s="42" t="inlineStr">
        <is>
          <t>0506205007</t>
        </is>
      </c>
      <c r="D1530" s="42" t="inlineStr">
        <is>
          <t>Region V (Bicol Region)</t>
        </is>
      </c>
      <c r="E1530" s="42" t="inlineStr">
        <is>
          <t>Sorsogon</t>
        </is>
      </c>
      <c r="F1530" s="42" t="inlineStr">
        <is>
          <t>Casiguran</t>
        </is>
      </c>
      <c r="G1530" s="42" t="inlineStr">
        <is>
          <t>Colambis</t>
        </is>
      </c>
      <c r="H1530" s="43" t="n">
        <v>12.875481</v>
      </c>
      <c r="I1530" s="43" t="n">
        <v>124.020308</v>
      </c>
      <c r="J1530" s="44" t="inlineStr">
        <is>
          <t>R</t>
        </is>
      </c>
      <c r="K1530" s="42" t="inlineStr">
        <is>
          <t>3rd</t>
        </is>
      </c>
      <c r="L1530" s="23" t="n">
        <v>1324</v>
      </c>
      <c r="M1530" s="24" t="n">
        <v>4.6</v>
      </c>
      <c r="N1530" s="23">
        <f>ROUND(L1530/M1530, 0)</f>
        <v/>
      </c>
      <c r="O1530" s="23">
        <f>ROUND(N1530*'Methodology &amp; Assumptions'!$B$8, 0)</f>
        <v/>
      </c>
      <c r="P1530" s="44" t="inlineStr">
        <is>
          <t>Band n50 (1.5 GHz, 60 MHz)</t>
        </is>
      </c>
      <c r="Q1530" s="38">
        <f>ROUNDUP(O1530/'Methodology &amp; Assumptions'!$B$9, 0)</f>
        <v/>
      </c>
      <c r="R1530" s="39" t="n">
        <v>1</v>
      </c>
      <c r="S1530" s="25" t="n">
        <v>0.77</v>
      </c>
      <c r="T1530" s="25" t="n">
        <v>0.16</v>
      </c>
      <c r="U1530" s="42" t="inlineStr">
        <is>
          <t>Tier 1A (Direct Coloc, &lt;1 km)</t>
        </is>
      </c>
      <c r="V1530" s="24" t="n">
        <v>87.40000000000001</v>
      </c>
      <c r="W1530" s="24" t="n">
        <v>46.9</v>
      </c>
      <c r="X1530" s="24" t="n">
        <v>58</v>
      </c>
      <c r="Y1530" s="45">
        <f>ROUND((V1530*'Methodology &amp; Assumptions'!$B$6)+(W1530*'Methodology &amp; Assumptions'!$B$5)+(X1530*'Methodology &amp; Assumptions'!$B$7), 2)</f>
        <v/>
      </c>
    </row>
    <row r="1531" ht="19" customHeight="1">
      <c r="A1531" s="35" t="n">
        <v>527</v>
      </c>
      <c r="B1531" s="35" t="n">
        <v>4527</v>
      </c>
      <c r="C1531" s="36" t="inlineStr">
        <is>
          <t>1208001010</t>
        </is>
      </c>
      <c r="D1531" s="36" t="inlineStr">
        <is>
          <t>Region XII (SOCCSKSARGEN)</t>
        </is>
      </c>
      <c r="E1531" s="36" t="inlineStr">
        <is>
          <t>Sarangani</t>
        </is>
      </c>
      <c r="F1531" s="36" t="inlineStr">
        <is>
          <t>Alabel</t>
        </is>
      </c>
      <c r="G1531" s="36" t="inlineStr">
        <is>
          <t>Poblacion</t>
        </is>
      </c>
      <c r="H1531" s="37" t="n">
        <v>6.101589</v>
      </c>
      <c r="I1531" s="37" t="n">
        <v>125.29142</v>
      </c>
      <c r="J1531" s="8" t="inlineStr">
        <is>
          <t>U</t>
        </is>
      </c>
      <c r="K1531" s="36" t="inlineStr">
        <is>
          <t>Class 1-3 / Urban</t>
        </is>
      </c>
      <c r="L1531" s="18" t="n">
        <v>19440</v>
      </c>
      <c r="M1531" s="20" t="n">
        <v>4.1</v>
      </c>
      <c r="N1531" s="18">
        <f>ROUND(L1531/M1531, 0)</f>
        <v/>
      </c>
      <c r="O1531" s="18">
        <f>ROUND(N1531*'Methodology &amp; Assumptions'!$B$8, 0)</f>
        <v/>
      </c>
      <c r="P1531" s="8" t="inlineStr">
        <is>
          <t>Band n50 (1.5 GHz, 60 MHz)</t>
        </is>
      </c>
      <c r="Q1531" s="38">
        <f>ROUNDUP(O1531/'Methodology &amp; Assumptions'!$B$9, 0)</f>
        <v/>
      </c>
      <c r="R1531" s="39" t="n">
        <v>1</v>
      </c>
      <c r="S1531" s="21" t="n">
        <v>1.53</v>
      </c>
      <c r="T1531" s="21" t="n">
        <v>10.37</v>
      </c>
      <c r="U1531" s="36" t="inlineStr">
        <is>
          <t>Tier 1B (Micro Drop, 1-3 km)</t>
        </is>
      </c>
      <c r="V1531" s="20" t="n">
        <v>60</v>
      </c>
      <c r="W1531" s="20" t="n">
        <v>100</v>
      </c>
      <c r="X1531" s="20" t="n">
        <v>28</v>
      </c>
      <c r="Y1531" s="40">
        <f>ROUND((V1531*'Methodology &amp; Assumptions'!$B$6)+(W1531*'Methodology &amp; Assumptions'!$B$5)+(X1531*'Methodology &amp; Assumptions'!$B$7), 2)</f>
        <v/>
      </c>
    </row>
    <row r="1532" ht="19" customHeight="1">
      <c r="A1532" s="41" t="n">
        <v>528</v>
      </c>
      <c r="B1532" s="41" t="n">
        <v>4528</v>
      </c>
      <c r="C1532" s="42" t="inlineStr">
        <is>
          <t>0402106049</t>
        </is>
      </c>
      <c r="D1532" s="42" t="inlineStr">
        <is>
          <t>Region IV-A (CALABARZON)</t>
        </is>
      </c>
      <c r="E1532" s="42" t="inlineStr">
        <is>
          <t>Cavite</t>
        </is>
      </c>
      <c r="F1532" s="42" t="inlineStr">
        <is>
          <t>City of Dasmariñas</t>
        </is>
      </c>
      <c r="G1532" s="42" t="inlineStr">
        <is>
          <t>Burol III</t>
        </is>
      </c>
      <c r="H1532" s="43" t="n">
        <v>14.326153</v>
      </c>
      <c r="I1532" s="43" t="n">
        <v>120.967057</v>
      </c>
      <c r="J1532" s="44" t="inlineStr">
        <is>
          <t>U</t>
        </is>
      </c>
      <c r="K1532" s="42" t="inlineStr">
        <is>
          <t>Class 1-3 / Urban</t>
        </is>
      </c>
      <c r="L1532" s="23" t="n">
        <v>10921</v>
      </c>
      <c r="M1532" s="24" t="n">
        <v>4.49</v>
      </c>
      <c r="N1532" s="23">
        <f>ROUND(L1532/M1532, 0)</f>
        <v/>
      </c>
      <c r="O1532" s="23">
        <f>ROUND(N1532*'Methodology &amp; Assumptions'!$B$8, 0)</f>
        <v/>
      </c>
      <c r="P1532" s="44" t="inlineStr">
        <is>
          <t>Band n50 (1.5 GHz, 60 MHz)</t>
        </is>
      </c>
      <c r="Q1532" s="38">
        <f>ROUNDUP(O1532/'Methodology &amp; Assumptions'!$B$9, 0)</f>
        <v/>
      </c>
      <c r="R1532" s="39" t="n">
        <v>1</v>
      </c>
      <c r="S1532" s="25" t="n">
        <v>1.53</v>
      </c>
      <c r="T1532" s="25" t="n">
        <v>3.08</v>
      </c>
      <c r="U1532" s="42" t="inlineStr">
        <is>
          <t>Tier 1B (Micro Drop, 1-3 km)</t>
        </is>
      </c>
      <c r="V1532" s="24" t="n">
        <v>60</v>
      </c>
      <c r="W1532" s="24" t="n">
        <v>100</v>
      </c>
      <c r="X1532" s="24" t="n">
        <v>28</v>
      </c>
      <c r="Y1532" s="45">
        <f>ROUND((V1532*'Methodology &amp; Assumptions'!$B$6)+(W1532*'Methodology &amp; Assumptions'!$B$5)+(X1532*'Methodology &amp; Assumptions'!$B$7), 2)</f>
        <v/>
      </c>
    </row>
    <row r="1533" ht="19" customHeight="1">
      <c r="A1533" s="35" t="n">
        <v>529</v>
      </c>
      <c r="B1533" s="35" t="n">
        <v>4529</v>
      </c>
      <c r="C1533" s="36" t="inlineStr">
        <is>
          <t>0500506054</t>
        </is>
      </c>
      <c r="D1533" s="36" t="inlineStr">
        <is>
          <t>Region V (Bicol Region)</t>
        </is>
      </c>
      <c r="E1533" s="36" t="inlineStr">
        <is>
          <t>Albay</t>
        </is>
      </c>
      <c r="F1533" s="36" t="inlineStr">
        <is>
          <t>City of Legazpi</t>
        </is>
      </c>
      <c r="G1533" s="36" t="inlineStr">
        <is>
          <t>Bgy. 55 - Estanza</t>
        </is>
      </c>
      <c r="H1533" s="37" t="n">
        <v>13.122833</v>
      </c>
      <c r="I1533" s="37" t="n">
        <v>123.728739</v>
      </c>
      <c r="J1533" s="8" t="inlineStr">
        <is>
          <t>U</t>
        </is>
      </c>
      <c r="K1533" s="36" t="inlineStr">
        <is>
          <t>Class 1-3 / Urban</t>
        </is>
      </c>
      <c r="L1533" s="18" t="n">
        <v>5267</v>
      </c>
      <c r="M1533" s="20" t="n">
        <v>4.67</v>
      </c>
      <c r="N1533" s="18">
        <f>ROUND(L1533/M1533, 0)</f>
        <v/>
      </c>
      <c r="O1533" s="18">
        <f>ROUND(N1533*'Methodology &amp; Assumptions'!$B$8, 0)</f>
        <v/>
      </c>
      <c r="P1533" s="8" t="inlineStr">
        <is>
          <t>Band n50 (1.5 GHz, 60 MHz)</t>
        </is>
      </c>
      <c r="Q1533" s="38">
        <f>ROUNDUP(O1533/'Methodology &amp; Assumptions'!$B$9, 0)</f>
        <v/>
      </c>
      <c r="R1533" s="39" t="n">
        <v>1</v>
      </c>
      <c r="S1533" s="21" t="n">
        <v>2.08</v>
      </c>
      <c r="T1533" s="21" t="n">
        <v>1.16</v>
      </c>
      <c r="U1533" s="36" t="inlineStr">
        <is>
          <t>Tier 1B (Micro Drop, 1-3 km)</t>
        </is>
      </c>
      <c r="V1533" s="20" t="n">
        <v>60</v>
      </c>
      <c r="W1533" s="20" t="n">
        <v>100</v>
      </c>
      <c r="X1533" s="20" t="n">
        <v>28</v>
      </c>
      <c r="Y1533" s="40">
        <f>ROUND((V1533*'Methodology &amp; Assumptions'!$B$6)+(W1533*'Methodology &amp; Assumptions'!$B$5)+(X1533*'Methodology &amp; Assumptions'!$B$7), 2)</f>
        <v/>
      </c>
    </row>
    <row r="1534" ht="19" customHeight="1">
      <c r="A1534" s="41" t="n">
        <v>530</v>
      </c>
      <c r="B1534" s="41" t="n">
        <v>4530</v>
      </c>
      <c r="C1534" s="42" t="inlineStr">
        <is>
          <t>0501715011</t>
        </is>
      </c>
      <c r="D1534" s="42" t="inlineStr">
        <is>
          <t>Region V (Bicol Region)</t>
        </is>
      </c>
      <c r="E1534" s="42" t="inlineStr">
        <is>
          <t>Camarines Sur</t>
        </is>
      </c>
      <c r="F1534" s="42" t="inlineStr">
        <is>
          <t>Goa</t>
        </is>
      </c>
      <c r="G1534" s="42" t="inlineStr">
        <is>
          <t>Halawig-Gogon</t>
        </is>
      </c>
      <c r="H1534" s="43" t="n">
        <v>13.705689</v>
      </c>
      <c r="I1534" s="43" t="n">
        <v>123.48533</v>
      </c>
      <c r="J1534" s="44" t="inlineStr">
        <is>
          <t>R</t>
        </is>
      </c>
      <c r="K1534" s="42" t="inlineStr">
        <is>
          <t>Class 1-3 / Urban</t>
        </is>
      </c>
      <c r="L1534" s="23" t="n">
        <v>2022</v>
      </c>
      <c r="M1534" s="24" t="n">
        <v>4.9</v>
      </c>
      <c r="N1534" s="23">
        <f>ROUND(L1534/M1534, 0)</f>
        <v/>
      </c>
      <c r="O1534" s="23">
        <f>ROUND(N1534*'Methodology &amp; Assumptions'!$B$8, 0)</f>
        <v/>
      </c>
      <c r="P1534" s="44" t="inlineStr">
        <is>
          <t>Band n50 (1.5 GHz, 60 MHz)</t>
        </is>
      </c>
      <c r="Q1534" s="38">
        <f>ROUNDUP(O1534/'Methodology &amp; Assumptions'!$B$9, 0)</f>
        <v/>
      </c>
      <c r="R1534" s="39" t="n">
        <v>1</v>
      </c>
      <c r="S1534" s="25" t="n">
        <v>1.19</v>
      </c>
      <c r="T1534" s="25" t="n">
        <v>1.16</v>
      </c>
      <c r="U1534" s="42" t="inlineStr">
        <is>
          <t>Tier 1B (Micro Drop, 1-3 km)</t>
        </is>
      </c>
      <c r="V1534" s="24" t="n">
        <v>77.2</v>
      </c>
      <c r="W1534" s="24" t="n">
        <v>57.1</v>
      </c>
      <c r="X1534" s="24" t="n">
        <v>58</v>
      </c>
      <c r="Y1534" s="45">
        <f>ROUND((V1534*'Methodology &amp; Assumptions'!$B$6)+(W1534*'Methodology &amp; Assumptions'!$B$5)+(X1534*'Methodology &amp; Assumptions'!$B$7), 2)</f>
        <v/>
      </c>
    </row>
    <row r="1535" ht="19" customHeight="1">
      <c r="A1535" s="35" t="n">
        <v>531</v>
      </c>
      <c r="B1535" s="35" t="n">
        <v>4531</v>
      </c>
      <c r="C1535" s="36" t="inlineStr">
        <is>
          <t>0402116006</t>
        </is>
      </c>
      <c r="D1535" s="36" t="inlineStr">
        <is>
          <t>Region IV-A (CALABARZON)</t>
        </is>
      </c>
      <c r="E1535" s="36" t="inlineStr">
        <is>
          <t>Cavite</t>
        </is>
      </c>
      <c r="F1535" s="36" t="inlineStr">
        <is>
          <t>Noveleta</t>
        </is>
      </c>
      <c r="G1535" s="36" t="inlineStr">
        <is>
          <t>San Rafael I</t>
        </is>
      </c>
      <c r="H1535" s="37" t="n">
        <v>14.433024</v>
      </c>
      <c r="I1535" s="37" t="n">
        <v>120.877167</v>
      </c>
      <c r="J1535" s="8" t="inlineStr">
        <is>
          <t>R</t>
        </is>
      </c>
      <c r="K1535" s="36" t="inlineStr">
        <is>
          <t>Class 1-3 / Urban</t>
        </is>
      </c>
      <c r="L1535" s="18" t="n">
        <v>1250</v>
      </c>
      <c r="M1535" s="20" t="n">
        <v>4.49</v>
      </c>
      <c r="N1535" s="18">
        <f>ROUND(L1535/M1535, 0)</f>
        <v/>
      </c>
      <c r="O1535" s="18">
        <f>ROUND(N1535*'Methodology &amp; Assumptions'!$B$8, 0)</f>
        <v/>
      </c>
      <c r="P1535" s="8" t="inlineStr">
        <is>
          <t>Band n50 (1.5 GHz, 60 MHz)</t>
        </is>
      </c>
      <c r="Q1535" s="38">
        <f>ROUNDUP(O1535/'Methodology &amp; Assumptions'!$B$9, 0)</f>
        <v/>
      </c>
      <c r="R1535" s="39" t="n">
        <v>1</v>
      </c>
      <c r="S1535" s="21" t="n">
        <v>0.74</v>
      </c>
      <c r="T1535" s="21" t="n">
        <v>0.71</v>
      </c>
      <c r="U1535" s="36" t="inlineStr">
        <is>
          <t>Tier 1A (Direct Coloc, &lt;1 km)</t>
        </is>
      </c>
      <c r="V1535" s="20" t="n">
        <v>88.2</v>
      </c>
      <c r="W1535" s="20" t="n">
        <v>46.1</v>
      </c>
      <c r="X1535" s="20" t="n">
        <v>58</v>
      </c>
      <c r="Y1535" s="40">
        <f>ROUND((V1535*'Methodology &amp; Assumptions'!$B$6)+(W1535*'Methodology &amp; Assumptions'!$B$5)+(X1535*'Methodology &amp; Assumptions'!$B$7), 2)</f>
        <v/>
      </c>
    </row>
    <row r="1536" ht="19" customHeight="1">
      <c r="A1536" s="41" t="n">
        <v>532</v>
      </c>
      <c r="B1536" s="41" t="n">
        <v>4532</v>
      </c>
      <c r="C1536" s="42" t="inlineStr">
        <is>
          <t>0301410013</t>
        </is>
      </c>
      <c r="D1536" s="42" t="inlineStr">
        <is>
          <t>Region III (Central Luzon)</t>
        </is>
      </c>
      <c r="E1536" s="42" t="inlineStr">
        <is>
          <t>Bulacan</t>
        </is>
      </c>
      <c r="F1536" s="42" t="inlineStr">
        <is>
          <t>City of Malolos</t>
        </is>
      </c>
      <c r="G1536" s="42" t="inlineStr">
        <is>
          <t>Bungahan</t>
        </is>
      </c>
      <c r="H1536" s="43" t="n">
        <v>14.862547</v>
      </c>
      <c r="I1536" s="43" t="n">
        <v>120.840827</v>
      </c>
      <c r="J1536" s="44" t="inlineStr">
        <is>
          <t>R</t>
        </is>
      </c>
      <c r="K1536" s="42" t="inlineStr">
        <is>
          <t>Class 1-3 / Urban</t>
        </is>
      </c>
      <c r="L1536" s="23" t="n">
        <v>3025</v>
      </c>
      <c r="M1536" s="24" t="n">
        <v>4.1</v>
      </c>
      <c r="N1536" s="23">
        <f>ROUND(L1536/M1536, 0)</f>
        <v/>
      </c>
      <c r="O1536" s="23">
        <f>ROUND(N1536*'Methodology &amp; Assumptions'!$B$8, 0)</f>
        <v/>
      </c>
      <c r="P1536" s="44" t="inlineStr">
        <is>
          <t>Band n50 (1.5 GHz, 60 MHz)</t>
        </is>
      </c>
      <c r="Q1536" s="38">
        <f>ROUNDUP(O1536/'Methodology &amp; Assumptions'!$B$9, 0)</f>
        <v/>
      </c>
      <c r="R1536" s="39" t="n">
        <v>1</v>
      </c>
      <c r="S1536" s="25" t="n">
        <v>2.65</v>
      </c>
      <c r="T1536" s="25" t="n">
        <v>1.96</v>
      </c>
      <c r="U1536" s="42" t="inlineStr">
        <is>
          <t>Tier 1B (Micro Drop, 1-3 km)</t>
        </is>
      </c>
      <c r="V1536" s="24" t="n">
        <v>51.3</v>
      </c>
      <c r="W1536" s="24" t="n">
        <v>82.90000000000001</v>
      </c>
      <c r="X1536" s="24" t="n">
        <v>58</v>
      </c>
      <c r="Y1536" s="45">
        <f>ROUND((V1536*'Methodology &amp; Assumptions'!$B$6)+(W1536*'Methodology &amp; Assumptions'!$B$5)+(X1536*'Methodology &amp; Assumptions'!$B$7), 2)</f>
        <v/>
      </c>
    </row>
    <row r="1537" ht="19" customHeight="1">
      <c r="A1537" s="35" t="n">
        <v>533</v>
      </c>
      <c r="B1537" s="35" t="n">
        <v>4533</v>
      </c>
      <c r="C1537" s="36" t="inlineStr">
        <is>
          <t>0305408005</t>
        </is>
      </c>
      <c r="D1537" s="36" t="inlineStr">
        <is>
          <t>Region III (Central Luzon)</t>
        </is>
      </c>
      <c r="E1537" s="36" t="inlineStr">
        <is>
          <t>Pampanga</t>
        </is>
      </c>
      <c r="F1537" s="36" t="inlineStr">
        <is>
          <t>Lubao</t>
        </is>
      </c>
      <c r="G1537" s="36" t="inlineStr">
        <is>
          <t>Calangain</t>
        </is>
      </c>
      <c r="H1537" s="37" t="n">
        <v>14.891514</v>
      </c>
      <c r="I1537" s="37" t="n">
        <v>120.554585</v>
      </c>
      <c r="J1537" s="8" t="inlineStr">
        <is>
          <t>R</t>
        </is>
      </c>
      <c r="K1537" s="36" t="inlineStr">
        <is>
          <t>Class 1-3 / Urban</t>
        </is>
      </c>
      <c r="L1537" s="18" t="n">
        <v>2975</v>
      </c>
      <c r="M1537" s="20" t="n">
        <v>4.63</v>
      </c>
      <c r="N1537" s="18">
        <f>ROUND(L1537/M1537, 0)</f>
        <v/>
      </c>
      <c r="O1537" s="18">
        <f>ROUND(N1537*'Methodology &amp; Assumptions'!$B$8, 0)</f>
        <v/>
      </c>
      <c r="P1537" s="8" t="inlineStr">
        <is>
          <t>Band n50 (1.5 GHz, 60 MHz)</t>
        </is>
      </c>
      <c r="Q1537" s="38">
        <f>ROUNDUP(O1537/'Methodology &amp; Assumptions'!$B$9, 0)</f>
        <v/>
      </c>
      <c r="R1537" s="39" t="n">
        <v>1</v>
      </c>
      <c r="S1537" s="21" t="n">
        <v>2.15</v>
      </c>
      <c r="T1537" s="21" t="n">
        <v>1.28</v>
      </c>
      <c r="U1537" s="36" t="inlineStr">
        <is>
          <t>Tier 1B (Micro Drop, 1-3 km)</t>
        </is>
      </c>
      <c r="V1537" s="20" t="n">
        <v>58.8</v>
      </c>
      <c r="W1537" s="20" t="n">
        <v>75.5</v>
      </c>
      <c r="X1537" s="20" t="n">
        <v>58</v>
      </c>
      <c r="Y1537" s="40">
        <f>ROUND((V1537*'Methodology &amp; Assumptions'!$B$6)+(W1537*'Methodology &amp; Assumptions'!$B$5)+(X1537*'Methodology &amp; Assumptions'!$B$7), 2)</f>
        <v/>
      </c>
    </row>
    <row r="1538" ht="19" customHeight="1">
      <c r="A1538" s="41" t="n">
        <v>534</v>
      </c>
      <c r="B1538" s="41" t="n">
        <v>4534</v>
      </c>
      <c r="C1538" s="42" t="inlineStr">
        <is>
          <t>0402120023</t>
        </is>
      </c>
      <c r="D1538" s="42" t="inlineStr">
        <is>
          <t>Region IV-A (CALABARZON)</t>
        </is>
      </c>
      <c r="E1538" s="42" t="inlineStr">
        <is>
          <t>Cavite</t>
        </is>
      </c>
      <c r="F1538" s="42" t="inlineStr">
        <is>
          <t>Tanza</t>
        </is>
      </c>
      <c r="G1538" s="42" t="inlineStr">
        <is>
          <t>Santol</t>
        </is>
      </c>
      <c r="H1538" s="43" t="n">
        <v>14.375558</v>
      </c>
      <c r="I1538" s="43" t="n">
        <v>120.873505</v>
      </c>
      <c r="J1538" s="44" t="inlineStr">
        <is>
          <t>U</t>
        </is>
      </c>
      <c r="K1538" s="42" t="inlineStr">
        <is>
          <t>Class 1-3 / Urban</t>
        </is>
      </c>
      <c r="L1538" s="23" t="n">
        <v>10368</v>
      </c>
      <c r="M1538" s="24" t="n">
        <v>4.49</v>
      </c>
      <c r="N1538" s="23">
        <f>ROUND(L1538/M1538, 0)</f>
        <v/>
      </c>
      <c r="O1538" s="23">
        <f>ROUND(N1538*'Methodology &amp; Assumptions'!$B$8, 0)</f>
        <v/>
      </c>
      <c r="P1538" s="44" t="inlineStr">
        <is>
          <t>Band n50 (1.5 GHz, 60 MHz)</t>
        </is>
      </c>
      <c r="Q1538" s="38">
        <f>ROUNDUP(O1538/'Methodology &amp; Assumptions'!$B$9, 0)</f>
        <v/>
      </c>
      <c r="R1538" s="39" t="n">
        <v>1</v>
      </c>
      <c r="S1538" s="25" t="n">
        <v>1.53</v>
      </c>
      <c r="T1538" s="25" t="n">
        <v>2.14</v>
      </c>
      <c r="U1538" s="42" t="inlineStr">
        <is>
          <t>Tier 1B (Micro Drop, 1-3 km)</t>
        </is>
      </c>
      <c r="V1538" s="24" t="n">
        <v>60</v>
      </c>
      <c r="W1538" s="24" t="n">
        <v>100</v>
      </c>
      <c r="X1538" s="24" t="n">
        <v>28</v>
      </c>
      <c r="Y1538" s="45">
        <f>ROUND((V1538*'Methodology &amp; Assumptions'!$B$6)+(W1538*'Methodology &amp; Assumptions'!$B$5)+(X1538*'Methodology &amp; Assumptions'!$B$7), 2)</f>
        <v/>
      </c>
    </row>
    <row r="1539" ht="19" customHeight="1">
      <c r="A1539" s="35" t="n">
        <v>535</v>
      </c>
      <c r="B1539" s="35" t="n">
        <v>4535</v>
      </c>
      <c r="C1539" s="36" t="inlineStr">
        <is>
          <t>0205003012</t>
        </is>
      </c>
      <c r="D1539" s="36" t="inlineStr">
        <is>
          <t>Region II (Cagayan Valley)</t>
        </is>
      </c>
      <c r="E1539" s="36" t="inlineStr">
        <is>
          <t>Nueva Vizcaya</t>
        </is>
      </c>
      <c r="F1539" s="36" t="inlineStr">
        <is>
          <t>Bagabag</t>
        </is>
      </c>
      <c r="G1539" s="36" t="inlineStr">
        <is>
          <t>Sta. Lucia</t>
        </is>
      </c>
      <c r="H1539" s="37" t="n">
        <v>16.604751</v>
      </c>
      <c r="I1539" s="37" t="n">
        <v>121.243036</v>
      </c>
      <c r="J1539" s="8" t="inlineStr">
        <is>
          <t>R</t>
        </is>
      </c>
      <c r="K1539" s="36" t="inlineStr">
        <is>
          <t>Class 1-3 / Urban</t>
        </is>
      </c>
      <c r="L1539" s="18" t="n">
        <v>2932</v>
      </c>
      <c r="M1539" s="20" t="n">
        <v>4.19</v>
      </c>
      <c r="N1539" s="18">
        <f>ROUND(L1539/M1539, 0)</f>
        <v/>
      </c>
      <c r="O1539" s="18">
        <f>ROUND(N1539*'Methodology &amp; Assumptions'!$B$8, 0)</f>
        <v/>
      </c>
      <c r="P1539" s="8" t="inlineStr">
        <is>
          <t>Band n50 (1.5 GHz, 60 MHz)</t>
        </is>
      </c>
      <c r="Q1539" s="38">
        <f>ROUNDUP(O1539/'Methodology &amp; Assumptions'!$B$9, 0)</f>
        <v/>
      </c>
      <c r="R1539" s="39" t="n">
        <v>1</v>
      </c>
      <c r="S1539" s="21" t="n">
        <v>3.48</v>
      </c>
      <c r="T1539" s="21" t="n">
        <v>0.17</v>
      </c>
      <c r="U1539" s="36" t="inlineStr">
        <is>
          <t>Tier 2 (Fiber Corridor / Lateral, 3-5 km)</t>
        </is>
      </c>
      <c r="V1539" s="20" t="n">
        <v>41.4</v>
      </c>
      <c r="W1539" s="20" t="n">
        <v>80</v>
      </c>
      <c r="X1539" s="20" t="n">
        <v>73</v>
      </c>
      <c r="Y1539" s="40">
        <f>ROUND((V1539*'Methodology &amp; Assumptions'!$B$6)+(W1539*'Methodology &amp; Assumptions'!$B$5)+(X1539*'Methodology &amp; Assumptions'!$B$7), 2)</f>
        <v/>
      </c>
    </row>
    <row r="1540" ht="19" customHeight="1">
      <c r="A1540" s="41" t="n">
        <v>536</v>
      </c>
      <c r="B1540" s="41" t="n">
        <v>4536</v>
      </c>
      <c r="C1540" s="42" t="inlineStr">
        <is>
          <t>1004323002</t>
        </is>
      </c>
      <c r="D1540" s="42" t="inlineStr">
        <is>
          <t>Region X (Northern Mindanao)</t>
        </is>
      </c>
      <c r="E1540" s="42" t="inlineStr">
        <is>
          <t>Misamis Oriental</t>
        </is>
      </c>
      <c r="F1540" s="42" t="inlineStr">
        <is>
          <t>Sugbongcogon</t>
        </is>
      </c>
      <c r="G1540" s="42" t="inlineStr">
        <is>
          <t>Ampianga</t>
        </is>
      </c>
      <c r="H1540" s="43" t="n">
        <v>8.960699999999999</v>
      </c>
      <c r="I1540" s="43" t="n">
        <v>124.782664</v>
      </c>
      <c r="J1540" s="44" t="inlineStr">
        <is>
          <t>R</t>
        </is>
      </c>
      <c r="K1540" s="42" t="inlineStr">
        <is>
          <t>5th</t>
        </is>
      </c>
      <c r="L1540" s="23" t="n">
        <v>643</v>
      </c>
      <c r="M1540" s="24" t="n">
        <v>4.82</v>
      </c>
      <c r="N1540" s="23">
        <f>ROUND(L1540/M1540, 0)</f>
        <v/>
      </c>
      <c r="O1540" s="23">
        <f>ROUND(N1540*'Methodology &amp; Assumptions'!$B$8, 0)</f>
        <v/>
      </c>
      <c r="P1540" s="44" t="inlineStr">
        <is>
          <t>Band n50 (1.5 GHz, 60 MHz)</t>
        </is>
      </c>
      <c r="Q1540" s="38">
        <f>ROUNDUP(O1540/'Methodology &amp; Assumptions'!$B$9, 0)</f>
        <v/>
      </c>
      <c r="R1540" s="39" t="n">
        <v>1</v>
      </c>
      <c r="S1540" s="25" t="n">
        <v>0.8</v>
      </c>
      <c r="T1540" s="25" t="n">
        <v>0.8</v>
      </c>
      <c r="U1540" s="42" t="inlineStr">
        <is>
          <t>Tier 1A (Direct Coloc, &lt;1 km)</t>
        </is>
      </c>
      <c r="V1540" s="24" t="n">
        <v>86.7</v>
      </c>
      <c r="W1540" s="24" t="n">
        <v>34.7</v>
      </c>
      <c r="X1540" s="24" t="n">
        <v>73</v>
      </c>
      <c r="Y1540" s="45">
        <f>ROUND((V1540*'Methodology &amp; Assumptions'!$B$6)+(W1540*'Methodology &amp; Assumptions'!$B$5)+(X1540*'Methodology &amp; Assumptions'!$B$7), 2)</f>
        <v/>
      </c>
    </row>
    <row r="1541" ht="19" customHeight="1">
      <c r="A1541" s="35" t="n">
        <v>537</v>
      </c>
      <c r="B1541" s="35" t="n">
        <v>4537</v>
      </c>
      <c r="C1541" s="36" t="inlineStr">
        <is>
          <t>1004301004</t>
        </is>
      </c>
      <c r="D1541" s="36" t="inlineStr">
        <is>
          <t>Region X (Northern Mindanao)</t>
        </is>
      </c>
      <c r="E1541" s="36" t="inlineStr">
        <is>
          <t>Misamis Oriental</t>
        </is>
      </c>
      <c r="F1541" s="36" t="inlineStr">
        <is>
          <t>Alubijid</t>
        </is>
      </c>
      <c r="G1541" s="36" t="inlineStr">
        <is>
          <t>Lagtang</t>
        </is>
      </c>
      <c r="H1541" s="37" t="n">
        <v>8.565701000000001</v>
      </c>
      <c r="I1541" s="37" t="n">
        <v>124.484343</v>
      </c>
      <c r="J1541" s="8" t="inlineStr">
        <is>
          <t>R</t>
        </is>
      </c>
      <c r="K1541" s="36" t="inlineStr">
        <is>
          <t>1st</t>
        </is>
      </c>
      <c r="L1541" s="18" t="n">
        <v>1578</v>
      </c>
      <c r="M1541" s="20" t="n">
        <v>3.84</v>
      </c>
      <c r="N1541" s="18">
        <f>ROUND(L1541/M1541, 0)</f>
        <v/>
      </c>
      <c r="O1541" s="18">
        <f>ROUND(N1541*'Methodology &amp; Assumptions'!$B$8, 0)</f>
        <v/>
      </c>
      <c r="P1541" s="8" t="inlineStr">
        <is>
          <t>Band n50 (1.5 GHz, 60 MHz)</t>
        </is>
      </c>
      <c r="Q1541" s="38">
        <f>ROUNDUP(O1541/'Methodology &amp; Assumptions'!$B$9, 0)</f>
        <v/>
      </c>
      <c r="R1541" s="39" t="n">
        <v>1</v>
      </c>
      <c r="S1541" s="21" t="n">
        <v>1.18</v>
      </c>
      <c r="T1541" s="21" t="n">
        <v>0.62</v>
      </c>
      <c r="U1541" s="36" t="inlineStr">
        <is>
          <t>Tier 1B (Micro Drop, 1-3 km)</t>
        </is>
      </c>
      <c r="V1541" s="20" t="n">
        <v>77.40000000000001</v>
      </c>
      <c r="W1541" s="20" t="n">
        <v>56.8</v>
      </c>
      <c r="X1541" s="20" t="n">
        <v>58</v>
      </c>
      <c r="Y1541" s="40">
        <f>ROUND((V1541*'Methodology &amp; Assumptions'!$B$6)+(W1541*'Methodology &amp; Assumptions'!$B$5)+(X1541*'Methodology &amp; Assumptions'!$B$7), 2)</f>
        <v/>
      </c>
    </row>
    <row r="1542" ht="19" customHeight="1">
      <c r="A1542" s="41" t="n">
        <v>538</v>
      </c>
      <c r="B1542" s="41" t="n">
        <v>4538</v>
      </c>
      <c r="C1542" s="42" t="inlineStr">
        <is>
          <t>0205010027</t>
        </is>
      </c>
      <c r="D1542" s="42" t="inlineStr">
        <is>
          <t>Region II (Cagayan Valley)</t>
        </is>
      </c>
      <c r="E1542" s="42" t="inlineStr">
        <is>
          <t>Nueva Vizcaya</t>
        </is>
      </c>
      <c r="F1542" s="42" t="inlineStr">
        <is>
          <t>Kayapa</t>
        </is>
      </c>
      <c r="G1542" s="42" t="inlineStr">
        <is>
          <t>Castillo Village</t>
        </is>
      </c>
      <c r="H1542" s="43" t="n">
        <v>16.354263</v>
      </c>
      <c r="I1542" s="43" t="n">
        <v>120.892663</v>
      </c>
      <c r="J1542" s="44" t="inlineStr">
        <is>
          <t>R</t>
        </is>
      </c>
      <c r="K1542" s="42" t="inlineStr">
        <is>
          <t>Class 1-3 / Urban</t>
        </is>
      </c>
      <c r="L1542" s="23" t="n">
        <v>699</v>
      </c>
      <c r="M1542" s="24" t="n">
        <v>4.19</v>
      </c>
      <c r="N1542" s="23">
        <f>ROUND(L1542/M1542, 0)</f>
        <v/>
      </c>
      <c r="O1542" s="23">
        <f>ROUND(N1542*'Methodology &amp; Assumptions'!$B$8, 0)</f>
        <v/>
      </c>
      <c r="P1542" s="44" t="inlineStr">
        <is>
          <t>Band n50 (1.5 GHz, 60 MHz)</t>
        </is>
      </c>
      <c r="Q1542" s="38">
        <f>ROUNDUP(O1542/'Methodology &amp; Assumptions'!$B$9, 0)</f>
        <v/>
      </c>
      <c r="R1542" s="39" t="n">
        <v>1</v>
      </c>
      <c r="S1542" s="25" t="n">
        <v>0.42</v>
      </c>
      <c r="T1542" s="25" t="n">
        <v>0.36</v>
      </c>
      <c r="U1542" s="42" t="inlineStr">
        <is>
          <t>Tier 1A (Direct Coloc, &lt;1 km)</t>
        </is>
      </c>
      <c r="V1542" s="24" t="n">
        <v>96.90000000000001</v>
      </c>
      <c r="W1542" s="24" t="n">
        <v>37.3</v>
      </c>
      <c r="X1542" s="24" t="n">
        <v>58</v>
      </c>
      <c r="Y1542" s="45">
        <f>ROUND((V1542*'Methodology &amp; Assumptions'!$B$6)+(W1542*'Methodology &amp; Assumptions'!$B$5)+(X1542*'Methodology &amp; Assumptions'!$B$7), 2)</f>
        <v/>
      </c>
    </row>
    <row r="1543" ht="19" customHeight="1">
      <c r="A1543" s="35" t="n">
        <v>539</v>
      </c>
      <c r="B1543" s="35" t="n">
        <v>4539</v>
      </c>
      <c r="C1543" s="36" t="inlineStr">
        <is>
          <t>0501704008</t>
        </is>
      </c>
      <c r="D1543" s="36" t="inlineStr">
        <is>
          <t>Region V (Bicol Region)</t>
        </is>
      </c>
      <c r="E1543" s="36" t="inlineStr">
        <is>
          <t>Camarines Sur</t>
        </is>
      </c>
      <c r="F1543" s="36" t="inlineStr">
        <is>
          <t>Bombon</t>
        </is>
      </c>
      <c r="G1543" s="36" t="inlineStr">
        <is>
          <t>Santo Domingo</t>
        </is>
      </c>
      <c r="H1543" s="37" t="n">
        <v>13.685849</v>
      </c>
      <c r="I1543" s="37" t="n">
        <v>123.192236</v>
      </c>
      <c r="J1543" s="8" t="inlineStr">
        <is>
          <t>R</t>
        </is>
      </c>
      <c r="K1543" s="36" t="inlineStr">
        <is>
          <t>4th</t>
        </is>
      </c>
      <c r="L1543" s="18" t="n">
        <v>2445</v>
      </c>
      <c r="M1543" s="20" t="n">
        <v>4.77</v>
      </c>
      <c r="N1543" s="18">
        <f>ROUND(L1543/M1543, 0)</f>
        <v/>
      </c>
      <c r="O1543" s="18">
        <f>ROUND(N1543*'Methodology &amp; Assumptions'!$B$8, 0)</f>
        <v/>
      </c>
      <c r="P1543" s="8" t="inlineStr">
        <is>
          <t>Band n50 (1.5 GHz, 60 MHz)</t>
        </is>
      </c>
      <c r="Q1543" s="38">
        <f>ROUNDUP(O1543/'Methodology &amp; Assumptions'!$B$9, 0)</f>
        <v/>
      </c>
      <c r="R1543" s="39" t="n">
        <v>1</v>
      </c>
      <c r="S1543" s="21" t="n">
        <v>2.96</v>
      </c>
      <c r="T1543" s="21" t="n">
        <v>0.8</v>
      </c>
      <c r="U1543" s="36" t="inlineStr">
        <is>
          <t>Tier 1B (Micro Drop, 1-3 km)</t>
        </is>
      </c>
      <c r="V1543" s="20" t="n">
        <v>47.3</v>
      </c>
      <c r="W1543" s="20" t="n">
        <v>65.09999999999999</v>
      </c>
      <c r="X1543" s="20" t="n">
        <v>83.5</v>
      </c>
      <c r="Y1543" s="40">
        <f>ROUND((V1543*'Methodology &amp; Assumptions'!$B$6)+(W1543*'Methodology &amp; Assumptions'!$B$5)+(X1543*'Methodology &amp; Assumptions'!$B$7), 2)</f>
        <v/>
      </c>
    </row>
    <row r="1544" ht="19" customHeight="1">
      <c r="A1544" s="41" t="n">
        <v>540</v>
      </c>
      <c r="B1544" s="41" t="n">
        <v>4540</v>
      </c>
      <c r="C1544" s="42" t="inlineStr">
        <is>
          <t>0205013015</t>
        </is>
      </c>
      <c r="D1544" s="42" t="inlineStr">
        <is>
          <t>Region II (Cagayan Valley)</t>
        </is>
      </c>
      <c r="E1544" s="42" t="inlineStr">
        <is>
          <t>Nueva Vizcaya</t>
        </is>
      </c>
      <c r="F1544" s="42" t="inlineStr">
        <is>
          <t>Solano</t>
        </is>
      </c>
      <c r="G1544" s="42" t="inlineStr">
        <is>
          <t>San Luis</t>
        </is>
      </c>
      <c r="H1544" s="43" t="n">
        <v>16.53179</v>
      </c>
      <c r="I1544" s="43" t="n">
        <v>121.1857</v>
      </c>
      <c r="J1544" s="44" t="inlineStr">
        <is>
          <t>R</t>
        </is>
      </c>
      <c r="K1544" s="42" t="inlineStr">
        <is>
          <t>Class 1-3 / Urban</t>
        </is>
      </c>
      <c r="L1544" s="23" t="n">
        <v>2648</v>
      </c>
      <c r="M1544" s="24" t="n">
        <v>4.19</v>
      </c>
      <c r="N1544" s="23">
        <f>ROUND(L1544/M1544, 0)</f>
        <v/>
      </c>
      <c r="O1544" s="23">
        <f>ROUND(N1544*'Methodology &amp; Assumptions'!$B$8, 0)</f>
        <v/>
      </c>
      <c r="P1544" s="44" t="inlineStr">
        <is>
          <t>Band n50 (1.5 GHz, 60 MHz)</t>
        </is>
      </c>
      <c r="Q1544" s="38">
        <f>ROUNDUP(O1544/'Methodology &amp; Assumptions'!$B$9, 0)</f>
        <v/>
      </c>
      <c r="R1544" s="39" t="n">
        <v>1</v>
      </c>
      <c r="S1544" s="25" t="n">
        <v>2.11</v>
      </c>
      <c r="T1544" s="25" t="n">
        <v>1.26</v>
      </c>
      <c r="U1544" s="42" t="inlineStr">
        <is>
          <t>Tier 1B (Micro Drop, 1-3 km)</t>
        </is>
      </c>
      <c r="V1544" s="24" t="n">
        <v>59.5</v>
      </c>
      <c r="W1544" s="24" t="n">
        <v>74.7</v>
      </c>
      <c r="X1544" s="24" t="n">
        <v>58</v>
      </c>
      <c r="Y1544" s="45">
        <f>ROUND((V1544*'Methodology &amp; Assumptions'!$B$6)+(W1544*'Methodology &amp; Assumptions'!$B$5)+(X1544*'Methodology &amp; Assumptions'!$B$7), 2)</f>
        <v/>
      </c>
    </row>
    <row r="1545" ht="19" customHeight="1">
      <c r="A1545" s="35" t="n">
        <v>541</v>
      </c>
      <c r="B1545" s="35" t="n">
        <v>4541</v>
      </c>
      <c r="C1545" s="36" t="inlineStr">
        <is>
          <t>1430300049</t>
        </is>
      </c>
      <c r="D1545" s="36" t="inlineStr">
        <is>
          <t>Cordillera Administrative Region (CAR)</t>
        </is>
      </c>
      <c r="E1545" s="36" t="inlineStr">
        <is>
          <t>Benguet</t>
        </is>
      </c>
      <c r="F1545" s="36" t="inlineStr">
        <is>
          <t>City of Baguio</t>
        </is>
      </c>
      <c r="G1545" s="36" t="inlineStr">
        <is>
          <t>Imelda Village</t>
        </is>
      </c>
      <c r="H1545" s="37" t="n">
        <v>16.41797</v>
      </c>
      <c r="I1545" s="37" t="n">
        <v>120.60817</v>
      </c>
      <c r="J1545" s="8" t="inlineStr">
        <is>
          <t>R</t>
        </is>
      </c>
      <c r="K1545" s="36" t="inlineStr">
        <is>
          <t>Class 1-3 / Urban</t>
        </is>
      </c>
      <c r="L1545" s="18" t="n">
        <v>1885</v>
      </c>
      <c r="M1545" s="20" t="n">
        <v>4.58</v>
      </c>
      <c r="N1545" s="18">
        <f>ROUND(L1545/M1545, 0)</f>
        <v/>
      </c>
      <c r="O1545" s="18">
        <f>ROUND(N1545*'Methodology &amp; Assumptions'!$B$8, 0)</f>
        <v/>
      </c>
      <c r="P1545" s="8" t="inlineStr">
        <is>
          <t>Band n50 (1.5 GHz, 60 MHz)</t>
        </is>
      </c>
      <c r="Q1545" s="38">
        <f>ROUNDUP(O1545/'Methodology &amp; Assumptions'!$B$9, 0)</f>
        <v/>
      </c>
      <c r="R1545" s="39" t="n">
        <v>1</v>
      </c>
      <c r="S1545" s="21" t="n">
        <v>1.02</v>
      </c>
      <c r="T1545" s="21" t="n">
        <v>0.83</v>
      </c>
      <c r="U1545" s="36" t="inlineStr">
        <is>
          <t>Tier 1B (Micro Drop, 1-3 km)</t>
        </is>
      </c>
      <c r="V1545" s="20" t="n">
        <v>81.09999999999999</v>
      </c>
      <c r="W1545" s="20" t="n">
        <v>53.1</v>
      </c>
      <c r="X1545" s="20" t="n">
        <v>58</v>
      </c>
      <c r="Y1545" s="40">
        <f>ROUND((V1545*'Methodology &amp; Assumptions'!$B$6)+(W1545*'Methodology &amp; Assumptions'!$B$5)+(X1545*'Methodology &amp; Assumptions'!$B$7), 2)</f>
        <v/>
      </c>
    </row>
    <row r="1546" ht="19" customHeight="1">
      <c r="A1546" s="41" t="n">
        <v>542</v>
      </c>
      <c r="B1546" s="41" t="n">
        <v>4542</v>
      </c>
      <c r="C1546" s="42" t="inlineStr">
        <is>
          <t>1030500001</t>
        </is>
      </c>
      <c r="D1546" s="42" t="inlineStr">
        <is>
          <t>Region X (Northern Mindanao)</t>
        </is>
      </c>
      <c r="E1546" s="42" t="inlineStr">
        <is>
          <t>Misamis Oriental</t>
        </is>
      </c>
      <c r="F1546" s="42" t="inlineStr">
        <is>
          <t>City of Cagayan De Oro</t>
        </is>
      </c>
      <c r="G1546" s="42" t="inlineStr">
        <is>
          <t>Agusan</t>
        </is>
      </c>
      <c r="H1546" s="43" t="n">
        <v>8.487613</v>
      </c>
      <c r="I1546" s="43" t="n">
        <v>124.733193</v>
      </c>
      <c r="J1546" s="44" t="inlineStr">
        <is>
          <t>U</t>
        </is>
      </c>
      <c r="K1546" s="42" t="inlineStr">
        <is>
          <t>Class 1-3 / Urban</t>
        </is>
      </c>
      <c r="L1546" s="23" t="n">
        <v>19039</v>
      </c>
      <c r="M1546" s="24" t="n">
        <v>4.54</v>
      </c>
      <c r="N1546" s="23">
        <f>ROUND(L1546/M1546, 0)</f>
        <v/>
      </c>
      <c r="O1546" s="23">
        <f>ROUND(N1546*'Methodology &amp; Assumptions'!$B$8, 0)</f>
        <v/>
      </c>
      <c r="P1546" s="44" t="inlineStr">
        <is>
          <t>Band n50 (1.5 GHz, 60 MHz)</t>
        </is>
      </c>
      <c r="Q1546" s="38">
        <f>ROUNDUP(O1546/'Methodology &amp; Assumptions'!$B$9, 0)</f>
        <v/>
      </c>
      <c r="R1546" s="39" t="n">
        <v>1</v>
      </c>
      <c r="S1546" s="25" t="n">
        <v>2.08</v>
      </c>
      <c r="T1546" s="25" t="n">
        <v>0.24</v>
      </c>
      <c r="U1546" s="42" t="inlineStr">
        <is>
          <t>Tier 1B (Micro Drop, 1-3 km)</t>
        </is>
      </c>
      <c r="V1546" s="24" t="n">
        <v>59.9</v>
      </c>
      <c r="W1546" s="24" t="n">
        <v>100</v>
      </c>
      <c r="X1546" s="24" t="n">
        <v>28</v>
      </c>
      <c r="Y1546" s="45">
        <f>ROUND((V1546*'Methodology &amp; Assumptions'!$B$6)+(W1546*'Methodology &amp; Assumptions'!$B$5)+(X1546*'Methodology &amp; Assumptions'!$B$7), 2)</f>
        <v/>
      </c>
    </row>
    <row r="1547" ht="19" customHeight="1">
      <c r="A1547" s="35" t="n">
        <v>543</v>
      </c>
      <c r="B1547" s="35" t="n">
        <v>4543</v>
      </c>
      <c r="C1547" s="36" t="inlineStr">
        <is>
          <t>0402110006</t>
        </is>
      </c>
      <c r="D1547" s="36" t="inlineStr">
        <is>
          <t>Region IV-A (CALABARZON)</t>
        </is>
      </c>
      <c r="E1547" s="36" t="inlineStr">
        <is>
          <t>Cavite</t>
        </is>
      </c>
      <c r="F1547" s="36" t="inlineStr">
        <is>
          <t>Indang</t>
        </is>
      </c>
      <c r="G1547" s="36" t="inlineStr">
        <is>
          <t>Buna Cerca</t>
        </is>
      </c>
      <c r="H1547" s="37" t="n">
        <v>14.185737</v>
      </c>
      <c r="I1547" s="37" t="n">
        <v>120.8871</v>
      </c>
      <c r="J1547" s="8" t="inlineStr">
        <is>
          <t>U</t>
        </is>
      </c>
      <c r="K1547" s="36" t="inlineStr">
        <is>
          <t>Class 1-3 / Urban</t>
        </is>
      </c>
      <c r="L1547" s="18" t="n">
        <v>4065</v>
      </c>
      <c r="M1547" s="20" t="n">
        <v>4.49</v>
      </c>
      <c r="N1547" s="18">
        <f>ROUND(L1547/M1547, 0)</f>
        <v/>
      </c>
      <c r="O1547" s="18">
        <f>ROUND(N1547*'Methodology &amp; Assumptions'!$B$8, 0)</f>
        <v/>
      </c>
      <c r="P1547" s="8" t="inlineStr">
        <is>
          <t>Band n50 (1.5 GHz, 60 MHz)</t>
        </is>
      </c>
      <c r="Q1547" s="38">
        <f>ROUNDUP(O1547/'Methodology &amp; Assumptions'!$B$9, 0)</f>
        <v/>
      </c>
      <c r="R1547" s="39" t="n">
        <v>1</v>
      </c>
      <c r="S1547" s="21" t="n">
        <v>1.37</v>
      </c>
      <c r="T1547" s="21" t="n">
        <v>7.96</v>
      </c>
      <c r="U1547" s="36" t="inlineStr">
        <is>
          <t>Tier 1B (Micro Drop, 1-3 km)</t>
        </is>
      </c>
      <c r="V1547" s="20" t="n">
        <v>63.4</v>
      </c>
      <c r="W1547" s="20" t="n">
        <v>96.5</v>
      </c>
      <c r="X1547" s="20" t="n">
        <v>28</v>
      </c>
      <c r="Y1547" s="40">
        <f>ROUND((V1547*'Methodology &amp; Assumptions'!$B$6)+(W1547*'Methodology &amp; Assumptions'!$B$5)+(X1547*'Methodology &amp; Assumptions'!$B$7), 2)</f>
        <v/>
      </c>
    </row>
    <row r="1548" ht="19" customHeight="1">
      <c r="A1548" s="41" t="n">
        <v>544</v>
      </c>
      <c r="B1548" s="41" t="n">
        <v>4544</v>
      </c>
      <c r="C1548" s="42" t="inlineStr">
        <is>
          <t>0500514010</t>
        </is>
      </c>
      <c r="D1548" s="42" t="inlineStr">
        <is>
          <t>Region V (Bicol Region)</t>
        </is>
      </c>
      <c r="E1548" s="42" t="inlineStr">
        <is>
          <t>Albay</t>
        </is>
      </c>
      <c r="F1548" s="42" t="inlineStr">
        <is>
          <t>Polangui</t>
        </is>
      </c>
      <c r="G1548" s="42" t="inlineStr">
        <is>
          <t>Basud</t>
        </is>
      </c>
      <c r="H1548" s="43" t="n">
        <v>13.287605</v>
      </c>
      <c r="I1548" s="43" t="n">
        <v>123.494531</v>
      </c>
      <c r="J1548" s="44" t="inlineStr">
        <is>
          <t>U</t>
        </is>
      </c>
      <c r="K1548" s="42" t="inlineStr">
        <is>
          <t>Class 1-3 / Urban</t>
        </is>
      </c>
      <c r="L1548" s="23" t="n">
        <v>3646</v>
      </c>
      <c r="M1548" s="24" t="n">
        <v>4.67</v>
      </c>
      <c r="N1548" s="23">
        <f>ROUND(L1548/M1548, 0)</f>
        <v/>
      </c>
      <c r="O1548" s="23">
        <f>ROUND(N1548*'Methodology &amp; Assumptions'!$B$8, 0)</f>
        <v/>
      </c>
      <c r="P1548" s="44" t="inlineStr">
        <is>
          <t>Band n50 (1.5 GHz, 60 MHz)</t>
        </is>
      </c>
      <c r="Q1548" s="38">
        <f>ROUNDUP(O1548/'Methodology &amp; Assumptions'!$B$9, 0)</f>
        <v/>
      </c>
      <c r="R1548" s="39" t="n">
        <v>1</v>
      </c>
      <c r="S1548" s="25" t="n">
        <v>1.36</v>
      </c>
      <c r="T1548" s="25" t="n">
        <v>0.42</v>
      </c>
      <c r="U1548" s="42" t="inlineStr">
        <is>
          <t>Tier 1B (Micro Drop, 1-3 km)</t>
        </is>
      </c>
      <c r="V1548" s="24" t="n">
        <v>73.5</v>
      </c>
      <c r="W1548" s="24" t="n">
        <v>86.40000000000001</v>
      </c>
      <c r="X1548" s="24" t="n">
        <v>28</v>
      </c>
      <c r="Y1548" s="45">
        <f>ROUND((V1548*'Methodology &amp; Assumptions'!$B$6)+(W1548*'Methodology &amp; Assumptions'!$B$5)+(X1548*'Methodology &amp; Assumptions'!$B$7), 2)</f>
        <v/>
      </c>
    </row>
    <row r="1549" ht="19" customHeight="1">
      <c r="A1549" s="35" t="n">
        <v>545</v>
      </c>
      <c r="B1549" s="35" t="n">
        <v>4545</v>
      </c>
      <c r="C1549" s="36" t="inlineStr">
        <is>
          <t>0500508005</t>
        </is>
      </c>
      <c r="D1549" s="36" t="inlineStr">
        <is>
          <t>Region V (Bicol Region)</t>
        </is>
      </c>
      <c r="E1549" s="36" t="inlineStr">
        <is>
          <t>Albay</t>
        </is>
      </c>
      <c r="F1549" s="36" t="inlineStr">
        <is>
          <t>City of Ligao</t>
        </is>
      </c>
      <c r="G1549" s="36" t="inlineStr">
        <is>
          <t>Bagumbayan</t>
        </is>
      </c>
      <c r="H1549" s="37" t="n">
        <v>13.242226</v>
      </c>
      <c r="I1549" s="37" t="n">
        <v>123.53788</v>
      </c>
      <c r="J1549" s="8" t="inlineStr">
        <is>
          <t>U</t>
        </is>
      </c>
      <c r="K1549" s="36" t="inlineStr">
        <is>
          <t>Class 1-3 / Urban</t>
        </is>
      </c>
      <c r="L1549" s="18" t="n">
        <v>2264</v>
      </c>
      <c r="M1549" s="20" t="n">
        <v>4.67</v>
      </c>
      <c r="N1549" s="18">
        <f>ROUND(L1549/M1549, 0)</f>
        <v/>
      </c>
      <c r="O1549" s="18">
        <f>ROUND(N1549*'Methodology &amp; Assumptions'!$B$8, 0)</f>
        <v/>
      </c>
      <c r="P1549" s="8" t="inlineStr">
        <is>
          <t>Band n50 (1.5 GHz, 60 MHz)</t>
        </is>
      </c>
      <c r="Q1549" s="38">
        <f>ROUNDUP(O1549/'Methodology &amp; Assumptions'!$B$9, 0)</f>
        <v/>
      </c>
      <c r="R1549" s="39" t="n">
        <v>1</v>
      </c>
      <c r="S1549" s="21" t="n">
        <v>0.42</v>
      </c>
      <c r="T1549" s="21" t="n">
        <v>0.11</v>
      </c>
      <c r="U1549" s="36" t="inlineStr">
        <is>
          <t>Tier 1A (Direct Coloc, &lt;1 km)</t>
        </is>
      </c>
      <c r="V1549" s="20" t="n">
        <v>97</v>
      </c>
      <c r="W1549" s="20" t="n">
        <v>62.9</v>
      </c>
      <c r="X1549" s="20" t="n">
        <v>28</v>
      </c>
      <c r="Y1549" s="40">
        <f>ROUND((V1549*'Methodology &amp; Assumptions'!$B$6)+(W1549*'Methodology &amp; Assumptions'!$B$5)+(X1549*'Methodology &amp; Assumptions'!$B$7), 2)</f>
        <v/>
      </c>
    </row>
    <row r="1550" ht="19" customHeight="1">
      <c r="A1550" s="41" t="n">
        <v>546</v>
      </c>
      <c r="B1550" s="41" t="n">
        <v>4546</v>
      </c>
      <c r="C1550" s="42" t="inlineStr">
        <is>
          <t>0704621017</t>
        </is>
      </c>
      <c r="D1550" s="42" t="inlineStr">
        <is>
          <t>Region VII (Central Visayas)</t>
        </is>
      </c>
      <c r="E1550" s="42" t="inlineStr">
        <is>
          <t>Negros Oriental</t>
        </is>
      </c>
      <c r="F1550" s="42" t="inlineStr">
        <is>
          <t>City of Tanjay</t>
        </is>
      </c>
      <c r="G1550" s="42" t="inlineStr">
        <is>
          <t>Polo</t>
        </is>
      </c>
      <c r="H1550" s="43" t="n">
        <v>9.482391</v>
      </c>
      <c r="I1550" s="43" t="n">
        <v>123.1799</v>
      </c>
      <c r="J1550" s="44" t="inlineStr">
        <is>
          <t>R</t>
        </is>
      </c>
      <c r="K1550" s="42" t="inlineStr">
        <is>
          <t>Class 1-3 / Urban</t>
        </is>
      </c>
      <c r="L1550" s="23" t="n">
        <v>3746</v>
      </c>
      <c r="M1550" s="24" t="n">
        <v>4.33</v>
      </c>
      <c r="N1550" s="23">
        <f>ROUND(L1550/M1550, 0)</f>
        <v/>
      </c>
      <c r="O1550" s="23">
        <f>ROUND(N1550*'Methodology &amp; Assumptions'!$B$8, 0)</f>
        <v/>
      </c>
      <c r="P1550" s="44" t="inlineStr">
        <is>
          <t>Band n50 (1.5 GHz, 60 MHz)</t>
        </is>
      </c>
      <c r="Q1550" s="38">
        <f>ROUNDUP(O1550/'Methodology &amp; Assumptions'!$B$9, 0)</f>
        <v/>
      </c>
      <c r="R1550" s="39" t="n">
        <v>1</v>
      </c>
      <c r="S1550" s="25" t="n">
        <v>5.15</v>
      </c>
      <c r="T1550" s="25" t="n">
        <v>0.1</v>
      </c>
      <c r="U1550" s="42" t="inlineStr">
        <is>
          <t>Tier 2 (Fiber Corridor / Lateral, 3-5 km)</t>
        </is>
      </c>
      <c r="V1550" s="24" t="n">
        <v>28</v>
      </c>
      <c r="W1550" s="24" t="n">
        <v>93.3</v>
      </c>
      <c r="X1550" s="24" t="n">
        <v>73</v>
      </c>
      <c r="Y1550" s="45">
        <f>ROUND((V1550*'Methodology &amp; Assumptions'!$B$6)+(W1550*'Methodology &amp; Assumptions'!$B$5)+(X1550*'Methodology &amp; Assumptions'!$B$7), 2)</f>
        <v/>
      </c>
    </row>
    <row r="1551" ht="19" customHeight="1">
      <c r="A1551" s="35" t="n">
        <v>547</v>
      </c>
      <c r="B1551" s="35" t="n">
        <v>4547</v>
      </c>
      <c r="C1551" s="36" t="inlineStr">
        <is>
          <t>1004304001</t>
        </is>
      </c>
      <c r="D1551" s="36" t="inlineStr">
        <is>
          <t>Region X (Northern Mindanao)</t>
        </is>
      </c>
      <c r="E1551" s="36" t="inlineStr">
        <is>
          <t>Misamis Oriental</t>
        </is>
      </c>
      <c r="F1551" s="36" t="inlineStr">
        <is>
          <t>Binuangan</t>
        </is>
      </c>
      <c r="G1551" s="36" t="inlineStr">
        <is>
          <t>Dampias</t>
        </is>
      </c>
      <c r="H1551" s="37" t="n">
        <v>8.908314000000001</v>
      </c>
      <c r="I1551" s="37" t="n">
        <v>124.7862</v>
      </c>
      <c r="J1551" s="8" t="inlineStr">
        <is>
          <t>R</t>
        </is>
      </c>
      <c r="K1551" s="36" t="inlineStr">
        <is>
          <t>5th</t>
        </is>
      </c>
      <c r="L1551" s="18" t="n">
        <v>1024</v>
      </c>
      <c r="M1551" s="20" t="n">
        <v>4.83</v>
      </c>
      <c r="N1551" s="18">
        <f>ROUND(L1551/M1551, 0)</f>
        <v/>
      </c>
      <c r="O1551" s="18">
        <f>ROUND(N1551*'Methodology &amp; Assumptions'!$B$8, 0)</f>
        <v/>
      </c>
      <c r="P1551" s="8" t="inlineStr">
        <is>
          <t>Band n50 (1.5 GHz, 60 MHz)</t>
        </is>
      </c>
      <c r="Q1551" s="38">
        <f>ROUNDUP(O1551/'Methodology &amp; Assumptions'!$B$9, 0)</f>
        <v/>
      </c>
      <c r="R1551" s="39" t="n">
        <v>1</v>
      </c>
      <c r="S1551" s="21" t="n">
        <v>1.06</v>
      </c>
      <c r="T1551" s="21" t="n">
        <v>0.25</v>
      </c>
      <c r="U1551" s="36" t="inlineStr">
        <is>
          <t>Tier 1B (Micro Drop, 1-3 km)</t>
        </is>
      </c>
      <c r="V1551" s="20" t="n">
        <v>80.3</v>
      </c>
      <c r="W1551" s="20" t="n">
        <v>41.1</v>
      </c>
      <c r="X1551" s="20" t="n">
        <v>73</v>
      </c>
      <c r="Y1551" s="40">
        <f>ROUND((V1551*'Methodology &amp; Assumptions'!$B$6)+(W1551*'Methodology &amp; Assumptions'!$B$5)+(X1551*'Methodology &amp; Assumptions'!$B$7), 2)</f>
        <v/>
      </c>
    </row>
    <row r="1552" ht="19" customHeight="1">
      <c r="A1552" s="41" t="n">
        <v>548</v>
      </c>
      <c r="B1552" s="41" t="n">
        <v>4548</v>
      </c>
      <c r="C1552" s="42" t="inlineStr">
        <is>
          <t>0402118027</t>
        </is>
      </c>
      <c r="D1552" s="42" t="inlineStr">
        <is>
          <t>Region IV-A (CALABARZON)</t>
        </is>
      </c>
      <c r="E1552" s="42" t="inlineStr">
        <is>
          <t>Cavite</t>
        </is>
      </c>
      <c r="F1552" s="42" t="inlineStr">
        <is>
          <t>Silang</t>
        </is>
      </c>
      <c r="G1552" s="42" t="inlineStr">
        <is>
          <t>Malabag</t>
        </is>
      </c>
      <c r="H1552" s="43" t="n">
        <v>14.138248</v>
      </c>
      <c r="I1552" s="43" t="n">
        <v>120.964958</v>
      </c>
      <c r="J1552" s="44" t="inlineStr">
        <is>
          <t>U</t>
        </is>
      </c>
      <c r="K1552" s="42" t="inlineStr">
        <is>
          <t>Class 1-3 / Urban</t>
        </is>
      </c>
      <c r="L1552" s="23" t="n">
        <v>4986</v>
      </c>
      <c r="M1552" s="24" t="n">
        <v>4.49</v>
      </c>
      <c r="N1552" s="23">
        <f>ROUND(L1552/M1552, 0)</f>
        <v/>
      </c>
      <c r="O1552" s="23">
        <f>ROUND(N1552*'Methodology &amp; Assumptions'!$B$8, 0)</f>
        <v/>
      </c>
      <c r="P1552" s="44" t="inlineStr">
        <is>
          <t>Band n50 (1.5 GHz, 60 MHz)</t>
        </is>
      </c>
      <c r="Q1552" s="38">
        <f>ROUNDUP(O1552/'Methodology &amp; Assumptions'!$B$9, 0)</f>
        <v/>
      </c>
      <c r="R1552" s="39" t="n">
        <v>1</v>
      </c>
      <c r="S1552" s="25" t="n">
        <v>2.09</v>
      </c>
      <c r="T1552" s="25" t="n">
        <v>0.08</v>
      </c>
      <c r="U1552" s="42" t="inlineStr">
        <is>
          <t>Tier 1B (Micro Drop, 1-3 km)</t>
        </is>
      </c>
      <c r="V1552" s="24" t="n">
        <v>59.9</v>
      </c>
      <c r="W1552" s="24" t="n">
        <v>100</v>
      </c>
      <c r="X1552" s="24" t="n">
        <v>28</v>
      </c>
      <c r="Y1552" s="45">
        <f>ROUND((V1552*'Methodology &amp; Assumptions'!$B$6)+(W1552*'Methodology &amp; Assumptions'!$B$5)+(X1552*'Methodology &amp; Assumptions'!$B$7), 2)</f>
        <v/>
      </c>
    </row>
    <row r="1553" ht="19" customHeight="1">
      <c r="A1553" s="35" t="n">
        <v>549</v>
      </c>
      <c r="B1553" s="35" t="n">
        <v>4549</v>
      </c>
      <c r="C1553" s="36" t="inlineStr">
        <is>
          <t>0604526003</t>
        </is>
      </c>
      <c r="D1553" s="36" t="inlineStr">
        <is>
          <t>Region VI (Western Visayas)</t>
        </is>
      </c>
      <c r="E1553" s="36" t="inlineStr">
        <is>
          <t>Negros Occidental</t>
        </is>
      </c>
      <c r="F1553" s="36" t="inlineStr">
        <is>
          <t>City of Silay</t>
        </is>
      </c>
      <c r="G1553" s="36" t="inlineStr">
        <is>
          <t>Barangay II</t>
        </is>
      </c>
      <c r="H1553" s="37" t="n">
        <v>10.797478</v>
      </c>
      <c r="I1553" s="37" t="n">
        <v>122.981008</v>
      </c>
      <c r="J1553" s="8" t="inlineStr">
        <is>
          <t>U</t>
        </is>
      </c>
      <c r="K1553" s="36" t="inlineStr">
        <is>
          <t>Class 1-3 / Urban</t>
        </is>
      </c>
      <c r="L1553" s="18" t="n">
        <v>2625</v>
      </c>
      <c r="M1553" s="20" t="n">
        <v>4.33</v>
      </c>
      <c r="N1553" s="18">
        <f>ROUND(L1553/M1553, 0)</f>
        <v/>
      </c>
      <c r="O1553" s="18">
        <f>ROUND(N1553*'Methodology &amp; Assumptions'!$B$8, 0)</f>
        <v/>
      </c>
      <c r="P1553" s="8" t="inlineStr">
        <is>
          <t>Band n50 (1.5 GHz, 60 MHz)</t>
        </is>
      </c>
      <c r="Q1553" s="38">
        <f>ROUNDUP(O1553/'Methodology &amp; Assumptions'!$B$9, 0)</f>
        <v/>
      </c>
      <c r="R1553" s="39" t="n">
        <v>1</v>
      </c>
      <c r="S1553" s="21" t="n">
        <v>0.77</v>
      </c>
      <c r="T1553" s="21" t="n">
        <v>0.61</v>
      </c>
      <c r="U1553" s="36" t="inlineStr">
        <is>
          <t>Tier 1A (Direct Coloc, &lt;1 km)</t>
        </is>
      </c>
      <c r="V1553" s="20" t="n">
        <v>87.40000000000001</v>
      </c>
      <c r="W1553" s="20" t="n">
        <v>72.5</v>
      </c>
      <c r="X1553" s="20" t="n">
        <v>28</v>
      </c>
      <c r="Y1553" s="40">
        <f>ROUND((V1553*'Methodology &amp; Assumptions'!$B$6)+(W1553*'Methodology &amp; Assumptions'!$B$5)+(X1553*'Methodology &amp; Assumptions'!$B$7), 2)</f>
        <v/>
      </c>
    </row>
    <row r="1554" ht="19" customHeight="1">
      <c r="A1554" s="41" t="n">
        <v>550</v>
      </c>
      <c r="B1554" s="41" t="n">
        <v>4550</v>
      </c>
      <c r="C1554" s="42" t="inlineStr">
        <is>
          <t>0301421048</t>
        </is>
      </c>
      <c r="D1554" s="42" t="inlineStr">
        <is>
          <t>Region III (Central Luzon)</t>
        </is>
      </c>
      <c r="E1554" s="42" t="inlineStr">
        <is>
          <t>Bulacan</t>
        </is>
      </c>
      <c r="F1554" s="42" t="inlineStr">
        <is>
          <t>San Miguel</t>
        </is>
      </c>
      <c r="G1554" s="42" t="inlineStr">
        <is>
          <t>Santa Lucia</t>
        </is>
      </c>
      <c r="H1554" s="43" t="n">
        <v>15.219957</v>
      </c>
      <c r="I1554" s="43" t="n">
        <v>121.004369</v>
      </c>
      <c r="J1554" s="44" t="inlineStr">
        <is>
          <t>R</t>
        </is>
      </c>
      <c r="K1554" s="42" t="inlineStr">
        <is>
          <t>Class 1-3 / Urban</t>
        </is>
      </c>
      <c r="L1554" s="23" t="n">
        <v>4005</v>
      </c>
      <c r="M1554" s="24" t="n">
        <v>4.1</v>
      </c>
      <c r="N1554" s="23">
        <f>ROUND(L1554/M1554, 0)</f>
        <v/>
      </c>
      <c r="O1554" s="23">
        <f>ROUND(N1554*'Methodology &amp; Assumptions'!$B$8, 0)</f>
        <v/>
      </c>
      <c r="P1554" s="44" t="inlineStr">
        <is>
          <t>Band n50 (1.5 GHz, 60 MHz)</t>
        </is>
      </c>
      <c r="Q1554" s="38">
        <f>ROUNDUP(O1554/'Methodology &amp; Assumptions'!$B$9, 0)</f>
        <v/>
      </c>
      <c r="R1554" s="39" t="n">
        <v>1</v>
      </c>
      <c r="S1554" s="25" t="n">
        <v>3.22</v>
      </c>
      <c r="T1554" s="25" t="n">
        <v>5.3</v>
      </c>
      <c r="U1554" s="42" t="inlineStr">
        <is>
          <t>Tier 2 (Fiber Corridor / Lateral, 3-5 km)</t>
        </is>
      </c>
      <c r="V1554" s="24" t="n">
        <v>34.1</v>
      </c>
      <c r="W1554" s="24" t="n">
        <v>100</v>
      </c>
      <c r="X1554" s="24" t="n">
        <v>58</v>
      </c>
      <c r="Y1554" s="45">
        <f>ROUND((V1554*'Methodology &amp; Assumptions'!$B$6)+(W1554*'Methodology &amp; Assumptions'!$B$5)+(X1554*'Methodology &amp; Assumptions'!$B$7), 2)</f>
        <v/>
      </c>
    </row>
    <row r="1555" ht="19" customHeight="1">
      <c r="A1555" s="35" t="n">
        <v>551</v>
      </c>
      <c r="B1555" s="35" t="n">
        <v>4551</v>
      </c>
      <c r="C1555" s="36" t="inlineStr">
        <is>
          <t>1903617066</t>
        </is>
      </c>
      <c r="D1555" s="36" t="inlineStr">
        <is>
          <t>Bangsamoro Autonomous Region In Muslim Mindanao (BARMM)</t>
        </is>
      </c>
      <c r="E1555" s="36" t="inlineStr">
        <is>
          <t>Lanao del Sur</t>
        </is>
      </c>
      <c r="F1555" s="36" t="inlineStr">
        <is>
          <t>City of Marawi</t>
        </is>
      </c>
      <c r="G1555" s="36" t="inlineStr">
        <is>
          <t>Basak Malutlut</t>
        </is>
      </c>
      <c r="H1555" s="37" t="n">
        <v>8.001946999999999</v>
      </c>
      <c r="I1555" s="37" t="n">
        <v>124.270569</v>
      </c>
      <c r="J1555" s="8" t="inlineStr">
        <is>
          <t>R</t>
        </is>
      </c>
      <c r="K1555" s="36" t="inlineStr">
        <is>
          <t>Class 1-3 / Urban</t>
        </is>
      </c>
      <c r="L1555" s="18" t="n">
        <v>3479</v>
      </c>
      <c r="M1555" s="20" t="n">
        <v>6.62</v>
      </c>
      <c r="N1555" s="18">
        <f>ROUND(L1555/M1555, 0)</f>
        <v/>
      </c>
      <c r="O1555" s="18">
        <f>ROUND(N1555*'Methodology &amp; Assumptions'!$B$8, 0)</f>
        <v/>
      </c>
      <c r="P1555" s="8" t="inlineStr">
        <is>
          <t>Band n50 (1.5 GHz, 60 MHz)</t>
        </is>
      </c>
      <c r="Q1555" s="38">
        <f>ROUNDUP(O1555/'Methodology &amp; Assumptions'!$B$9, 0)</f>
        <v/>
      </c>
      <c r="R1555" s="39" t="n">
        <v>1</v>
      </c>
      <c r="S1555" s="21" t="n">
        <v>0.99</v>
      </c>
      <c r="T1555" s="21" t="n">
        <v>0.29</v>
      </c>
      <c r="U1555" s="36" t="inlineStr">
        <is>
          <t>Tier 1A (Direct Coloc, &lt;1 km)</t>
        </is>
      </c>
      <c r="V1555" s="20" t="n">
        <v>82</v>
      </c>
      <c r="W1555" s="20" t="n">
        <v>52.1</v>
      </c>
      <c r="X1555" s="20" t="n">
        <v>58</v>
      </c>
      <c r="Y1555" s="40">
        <f>ROUND((V1555*'Methodology &amp; Assumptions'!$B$6)+(W1555*'Methodology &amp; Assumptions'!$B$5)+(X1555*'Methodology &amp; Assumptions'!$B$7), 2)</f>
        <v/>
      </c>
    </row>
    <row r="1556" ht="19" customHeight="1">
      <c r="A1556" s="41" t="n">
        <v>552</v>
      </c>
      <c r="B1556" s="41" t="n">
        <v>4552</v>
      </c>
      <c r="C1556" s="42" t="inlineStr">
        <is>
          <t>0105517009</t>
        </is>
      </c>
      <c r="D1556" s="42" t="inlineStr">
        <is>
          <t>Region I (Ilocos Region)</t>
        </is>
      </c>
      <c r="E1556" s="42" t="inlineStr">
        <is>
          <t>Pangasinan</t>
        </is>
      </c>
      <c r="F1556" s="42" t="inlineStr">
        <is>
          <t>Calasiao</t>
        </is>
      </c>
      <c r="G1556" s="42" t="inlineStr">
        <is>
          <t>Gabon</t>
        </is>
      </c>
      <c r="H1556" s="43" t="n">
        <v>16.01391</v>
      </c>
      <c r="I1556" s="43" t="n">
        <v>120.3652</v>
      </c>
      <c r="J1556" s="44" t="inlineStr">
        <is>
          <t>R</t>
        </is>
      </c>
      <c r="K1556" s="42" t="inlineStr">
        <is>
          <t>Class 1-3 / Urban</t>
        </is>
      </c>
      <c r="L1556" s="23" t="n">
        <v>3026</v>
      </c>
      <c r="M1556" s="24" t="n">
        <v>4.39</v>
      </c>
      <c r="N1556" s="23">
        <f>ROUND(L1556/M1556, 0)</f>
        <v/>
      </c>
      <c r="O1556" s="23">
        <f>ROUND(N1556*'Methodology &amp; Assumptions'!$B$8, 0)</f>
        <v/>
      </c>
      <c r="P1556" s="44" t="inlineStr">
        <is>
          <t>Band n50 (1.5 GHz, 60 MHz)</t>
        </is>
      </c>
      <c r="Q1556" s="38">
        <f>ROUNDUP(O1556/'Methodology &amp; Assumptions'!$B$9, 0)</f>
        <v/>
      </c>
      <c r="R1556" s="39" t="n">
        <v>1</v>
      </c>
      <c r="S1556" s="25" t="n">
        <v>2.4</v>
      </c>
      <c r="T1556" s="25" t="n">
        <v>0.08</v>
      </c>
      <c r="U1556" s="42" t="inlineStr">
        <is>
          <t>Tier 1B (Micro Drop, 1-3 km)</t>
        </is>
      </c>
      <c r="V1556" s="24" t="n">
        <v>55</v>
      </c>
      <c r="W1556" s="24" t="n">
        <v>79.2</v>
      </c>
      <c r="X1556" s="24" t="n">
        <v>58</v>
      </c>
      <c r="Y1556" s="45">
        <f>ROUND((V1556*'Methodology &amp; Assumptions'!$B$6)+(W1556*'Methodology &amp; Assumptions'!$B$5)+(X1556*'Methodology &amp; Assumptions'!$B$7), 2)</f>
        <v/>
      </c>
    </row>
    <row r="1557" ht="19" customHeight="1">
      <c r="A1557" s="35" t="n">
        <v>553</v>
      </c>
      <c r="B1557" s="35" t="n">
        <v>4553</v>
      </c>
      <c r="C1557" s="36" t="inlineStr">
        <is>
          <t>0506207048</t>
        </is>
      </c>
      <c r="D1557" s="36" t="inlineStr">
        <is>
          <t>Region V (Bicol Region)</t>
        </is>
      </c>
      <c r="E1557" s="36" t="inlineStr">
        <is>
          <t>Sorsogon</t>
        </is>
      </c>
      <c r="F1557" s="36" t="inlineStr">
        <is>
          <t>Donsol</t>
        </is>
      </c>
      <c r="G1557" s="36" t="inlineStr">
        <is>
          <t>Tres Marias</t>
        </is>
      </c>
      <c r="H1557" s="37" t="n">
        <v>12.908168</v>
      </c>
      <c r="I1557" s="37" t="n">
        <v>123.599407</v>
      </c>
      <c r="J1557" s="8" t="inlineStr">
        <is>
          <t>R</t>
        </is>
      </c>
      <c r="K1557" s="36" t="inlineStr">
        <is>
          <t>Class 1-3 / Urban</t>
        </is>
      </c>
      <c r="L1557" s="18" t="n">
        <v>1809</v>
      </c>
      <c r="M1557" s="20" t="n">
        <v>4.58</v>
      </c>
      <c r="N1557" s="18">
        <f>ROUND(L1557/M1557, 0)</f>
        <v/>
      </c>
      <c r="O1557" s="18">
        <f>ROUND(N1557*'Methodology &amp; Assumptions'!$B$8, 0)</f>
        <v/>
      </c>
      <c r="P1557" s="8" t="inlineStr">
        <is>
          <t>Band n50 (1.5 GHz, 60 MHz)</t>
        </is>
      </c>
      <c r="Q1557" s="38">
        <f>ROUNDUP(O1557/'Methodology &amp; Assumptions'!$B$9, 0)</f>
        <v/>
      </c>
      <c r="R1557" s="39" t="n">
        <v>1</v>
      </c>
      <c r="S1557" s="21" t="n">
        <v>0.72</v>
      </c>
      <c r="T1557" s="21" t="n">
        <v>17.41</v>
      </c>
      <c r="U1557" s="36" t="inlineStr">
        <is>
          <t>Tier 1A (Direct Coloc, &lt;1 km)</t>
        </is>
      </c>
      <c r="V1557" s="20" t="n">
        <v>78.7</v>
      </c>
      <c r="W1557" s="20" t="n">
        <v>55.5</v>
      </c>
      <c r="X1557" s="20" t="n">
        <v>58</v>
      </c>
      <c r="Y1557" s="40">
        <f>ROUND((V1557*'Methodology &amp; Assumptions'!$B$6)+(W1557*'Methodology &amp; Assumptions'!$B$5)+(X1557*'Methodology &amp; Assumptions'!$B$7), 2)</f>
        <v/>
      </c>
    </row>
    <row r="1558" ht="19" customHeight="1">
      <c r="A1558" s="41" t="n">
        <v>554</v>
      </c>
      <c r="B1558" s="41" t="n">
        <v>4554</v>
      </c>
      <c r="C1558" s="42" t="inlineStr">
        <is>
          <t>0102930002</t>
        </is>
      </c>
      <c r="D1558" s="42" t="inlineStr">
        <is>
          <t>Region I (Ilocos Region)</t>
        </is>
      </c>
      <c r="E1558" s="42" t="inlineStr">
        <is>
          <t>Ilocos Sur</t>
        </is>
      </c>
      <c r="F1558" s="42" t="inlineStr">
        <is>
          <t>Sinait</t>
        </is>
      </c>
      <c r="G1558" s="42" t="inlineStr">
        <is>
          <t>Ballaigui</t>
        </is>
      </c>
      <c r="H1558" s="43" t="n">
        <v>17.866486</v>
      </c>
      <c r="I1558" s="43" t="n">
        <v>120.45667</v>
      </c>
      <c r="J1558" s="44" t="inlineStr">
        <is>
          <t>R</t>
        </is>
      </c>
      <c r="K1558" s="42" t="inlineStr">
        <is>
          <t>Class 1-3 / Urban</t>
        </is>
      </c>
      <c r="L1558" s="23" t="n">
        <v>573</v>
      </c>
      <c r="M1558" s="24" t="n">
        <v>4.56</v>
      </c>
      <c r="N1558" s="23">
        <f>ROUND(L1558/M1558, 0)</f>
        <v/>
      </c>
      <c r="O1558" s="23">
        <f>ROUND(N1558*'Methodology &amp; Assumptions'!$B$8, 0)</f>
        <v/>
      </c>
      <c r="P1558" s="44" t="inlineStr">
        <is>
          <t>Band n50 (1.5 GHz, 60 MHz)</t>
        </is>
      </c>
      <c r="Q1558" s="38">
        <f>ROUNDUP(O1558/'Methodology &amp; Assumptions'!$B$9, 0)</f>
        <v/>
      </c>
      <c r="R1558" s="39" t="n">
        <v>1</v>
      </c>
      <c r="S1558" s="25" t="n">
        <v>0.28</v>
      </c>
      <c r="T1558" s="25" t="n">
        <v>0.25</v>
      </c>
      <c r="U1558" s="42" t="inlineStr">
        <is>
          <t>Tier 1A (Direct Coloc, &lt;1 km)</t>
        </is>
      </c>
      <c r="V1558" s="24" t="n">
        <v>100</v>
      </c>
      <c r="W1558" s="24" t="n">
        <v>34.1</v>
      </c>
      <c r="X1558" s="24" t="n">
        <v>58</v>
      </c>
      <c r="Y1558" s="45">
        <f>ROUND((V1558*'Methodology &amp; Assumptions'!$B$6)+(W1558*'Methodology &amp; Assumptions'!$B$5)+(X1558*'Methodology &amp; Assumptions'!$B$7), 2)</f>
        <v/>
      </c>
    </row>
    <row r="1559" ht="19" customHeight="1">
      <c r="A1559" s="35" t="n">
        <v>555</v>
      </c>
      <c r="B1559" s="35" t="n">
        <v>4555</v>
      </c>
      <c r="C1559" s="36" t="inlineStr">
        <is>
          <t>0604515023</t>
        </is>
      </c>
      <c r="D1559" s="36" t="inlineStr">
        <is>
          <t>Region VI (Western Visayas)</t>
        </is>
      </c>
      <c r="E1559" s="36" t="inlineStr">
        <is>
          <t>Negros Occidental</t>
        </is>
      </c>
      <c r="F1559" s="36" t="inlineStr">
        <is>
          <t>City of Kabankalan</t>
        </is>
      </c>
      <c r="G1559" s="36" t="inlineStr">
        <is>
          <t>Barangay 2</t>
        </is>
      </c>
      <c r="H1559" s="37" t="n">
        <v>9.995623</v>
      </c>
      <c r="I1559" s="37" t="n">
        <v>122.81101</v>
      </c>
      <c r="J1559" s="8" t="inlineStr">
        <is>
          <t>U</t>
        </is>
      </c>
      <c r="K1559" s="36" t="inlineStr">
        <is>
          <t>Class 1-3 / Urban</t>
        </is>
      </c>
      <c r="L1559" s="18" t="n">
        <v>1599</v>
      </c>
      <c r="M1559" s="20" t="n">
        <v>4.33</v>
      </c>
      <c r="N1559" s="18">
        <f>ROUND(L1559/M1559, 0)</f>
        <v/>
      </c>
      <c r="O1559" s="18">
        <f>ROUND(N1559*'Methodology &amp; Assumptions'!$B$8, 0)</f>
        <v/>
      </c>
      <c r="P1559" s="8" t="inlineStr">
        <is>
          <t>Band n50 (1.5 GHz, 60 MHz)</t>
        </is>
      </c>
      <c r="Q1559" s="38">
        <f>ROUNDUP(O1559/'Methodology &amp; Assumptions'!$B$9, 0)</f>
        <v/>
      </c>
      <c r="R1559" s="39" t="n">
        <v>1</v>
      </c>
      <c r="S1559" s="21" t="n">
        <v>0.54</v>
      </c>
      <c r="T1559" s="21" t="n">
        <v>0.48</v>
      </c>
      <c r="U1559" s="36" t="inlineStr">
        <is>
          <t>Tier 1A (Direct Coloc, &lt;1 km)</t>
        </is>
      </c>
      <c r="V1559" s="20" t="n">
        <v>93.40000000000001</v>
      </c>
      <c r="W1559" s="20" t="n">
        <v>53.6</v>
      </c>
      <c r="X1559" s="20" t="n">
        <v>43</v>
      </c>
      <c r="Y1559" s="40">
        <f>ROUND((V1559*'Methodology &amp; Assumptions'!$B$6)+(W1559*'Methodology &amp; Assumptions'!$B$5)+(X1559*'Methodology &amp; Assumptions'!$B$7), 2)</f>
        <v/>
      </c>
    </row>
    <row r="1560" ht="19" customHeight="1">
      <c r="A1560" s="41" t="n">
        <v>556</v>
      </c>
      <c r="B1560" s="41" t="n">
        <v>4556</v>
      </c>
      <c r="C1560" s="42" t="inlineStr">
        <is>
          <t>0401019003</t>
        </is>
      </c>
      <c r="D1560" s="42" t="inlineStr">
        <is>
          <t>Region IV-A (CALABARZON)</t>
        </is>
      </c>
      <c r="E1560" s="42" t="inlineStr">
        <is>
          <t>Batangas</t>
        </is>
      </c>
      <c r="F1560" s="42" t="inlineStr">
        <is>
          <t>Nasugbu</t>
        </is>
      </c>
      <c r="G1560" s="42" t="inlineStr">
        <is>
          <t>Banilad</t>
        </is>
      </c>
      <c r="H1560" s="43" t="n">
        <v>14.075081</v>
      </c>
      <c r="I1560" s="43" t="n">
        <v>120.732121</v>
      </c>
      <c r="J1560" s="44" t="inlineStr">
        <is>
          <t>U</t>
        </is>
      </c>
      <c r="K1560" s="42" t="inlineStr">
        <is>
          <t>Class 1-3 / Urban</t>
        </is>
      </c>
      <c r="L1560" s="23" t="n">
        <v>5009</v>
      </c>
      <c r="M1560" s="24" t="n">
        <v>4.62</v>
      </c>
      <c r="N1560" s="23">
        <f>ROUND(L1560/M1560, 0)</f>
        <v/>
      </c>
      <c r="O1560" s="23">
        <f>ROUND(N1560*'Methodology &amp; Assumptions'!$B$8, 0)</f>
        <v/>
      </c>
      <c r="P1560" s="44" t="inlineStr">
        <is>
          <t>Band n50 (1.5 GHz, 60 MHz)</t>
        </is>
      </c>
      <c r="Q1560" s="38">
        <f>ROUNDUP(O1560/'Methodology &amp; Assumptions'!$B$9, 0)</f>
        <v/>
      </c>
      <c r="R1560" s="39" t="n">
        <v>1</v>
      </c>
      <c r="S1560" s="25" t="n">
        <v>2.09</v>
      </c>
      <c r="T1560" s="25" t="n">
        <v>0.91</v>
      </c>
      <c r="U1560" s="42" t="inlineStr">
        <is>
          <t>Tier 1B (Micro Drop, 1-3 km)</t>
        </is>
      </c>
      <c r="V1560" s="24" t="n">
        <v>59.9</v>
      </c>
      <c r="W1560" s="24" t="n">
        <v>100</v>
      </c>
      <c r="X1560" s="24" t="n">
        <v>28</v>
      </c>
      <c r="Y1560" s="45">
        <f>ROUND((V1560*'Methodology &amp; Assumptions'!$B$6)+(W1560*'Methodology &amp; Assumptions'!$B$5)+(X1560*'Methodology &amp; Assumptions'!$B$7), 2)</f>
        <v/>
      </c>
    </row>
    <row r="1561" ht="19" customHeight="1">
      <c r="A1561" s="35" t="n">
        <v>557</v>
      </c>
      <c r="B1561" s="35" t="n">
        <v>4557</v>
      </c>
      <c r="C1561" s="36" t="inlineStr">
        <is>
          <t>0304929017</t>
        </is>
      </c>
      <c r="D1561" s="36" t="inlineStr">
        <is>
          <t>Region III (Central Luzon)</t>
        </is>
      </c>
      <c r="E1561" s="36" t="inlineStr">
        <is>
          <t>Nueva Ecija</t>
        </is>
      </c>
      <c r="F1561" s="36" t="inlineStr">
        <is>
          <t>Santo Domingo</t>
        </is>
      </c>
      <c r="G1561" s="36" t="inlineStr">
        <is>
          <t>Malasin</t>
        </is>
      </c>
      <c r="H1561" s="37" t="n">
        <v>15.592518</v>
      </c>
      <c r="I1561" s="37" t="n">
        <v>120.878803</v>
      </c>
      <c r="J1561" s="8" t="inlineStr">
        <is>
          <t>U</t>
        </is>
      </c>
      <c r="K1561" s="36" t="inlineStr">
        <is>
          <t>Class 1-3 / Urban</t>
        </is>
      </c>
      <c r="L1561" s="18" t="n">
        <v>1945</v>
      </c>
      <c r="M1561" s="20" t="n">
        <v>4.32</v>
      </c>
      <c r="N1561" s="18">
        <f>ROUND(L1561/M1561, 0)</f>
        <v/>
      </c>
      <c r="O1561" s="18">
        <f>ROUND(N1561*'Methodology &amp; Assumptions'!$B$8, 0)</f>
        <v/>
      </c>
      <c r="P1561" s="8" t="inlineStr">
        <is>
          <t>Band n50 (1.5 GHz, 60 MHz)</t>
        </is>
      </c>
      <c r="Q1561" s="38">
        <f>ROUNDUP(O1561/'Methodology &amp; Assumptions'!$B$9, 0)</f>
        <v/>
      </c>
      <c r="R1561" s="39" t="n">
        <v>1</v>
      </c>
      <c r="S1561" s="21" t="n">
        <v>0</v>
      </c>
      <c r="T1561" s="21" t="n">
        <v>4.39</v>
      </c>
      <c r="U1561" s="36" t="inlineStr">
        <is>
          <t>Tier 1A (Direct Coloc, &lt;1 km)</t>
        </is>
      </c>
      <c r="V1561" s="20" t="n">
        <v>99.90000000000001</v>
      </c>
      <c r="W1561" s="20" t="n">
        <v>60</v>
      </c>
      <c r="X1561" s="20" t="n">
        <v>28</v>
      </c>
      <c r="Y1561" s="40">
        <f>ROUND((V1561*'Methodology &amp; Assumptions'!$B$6)+(W1561*'Methodology &amp; Assumptions'!$B$5)+(X1561*'Methodology &amp; Assumptions'!$B$7), 2)</f>
        <v/>
      </c>
    </row>
    <row r="1562" ht="19" customHeight="1">
      <c r="A1562" s="41" t="n">
        <v>558</v>
      </c>
      <c r="B1562" s="41" t="n">
        <v>4558</v>
      </c>
      <c r="C1562" s="42" t="inlineStr">
        <is>
          <t>0604511004</t>
        </is>
      </c>
      <c r="D1562" s="42" t="inlineStr">
        <is>
          <t>Region VI (Western Visayas)</t>
        </is>
      </c>
      <c r="E1562" s="42" t="inlineStr">
        <is>
          <t>Negros Occidental</t>
        </is>
      </c>
      <c r="F1562" s="42" t="inlineStr">
        <is>
          <t>Hinigaran</t>
        </is>
      </c>
      <c r="G1562" s="42" t="inlineStr">
        <is>
          <t>Barangay II</t>
        </is>
      </c>
      <c r="H1562" s="43" t="n">
        <v>10.270611</v>
      </c>
      <c r="I1562" s="43" t="n">
        <v>122.851597</v>
      </c>
      <c r="J1562" s="44" t="inlineStr">
        <is>
          <t>R</t>
        </is>
      </c>
      <c r="K1562" s="42" t="inlineStr">
        <is>
          <t>Class 1-3 / Urban</t>
        </is>
      </c>
      <c r="L1562" s="23" t="n">
        <v>3916</v>
      </c>
      <c r="M1562" s="24" t="n">
        <v>4.33</v>
      </c>
      <c r="N1562" s="23">
        <f>ROUND(L1562/M1562, 0)</f>
        <v/>
      </c>
      <c r="O1562" s="23">
        <f>ROUND(N1562*'Methodology &amp; Assumptions'!$B$8, 0)</f>
        <v/>
      </c>
      <c r="P1562" s="44" t="inlineStr">
        <is>
          <t>Band n50 (1.5 GHz, 60 MHz)</t>
        </is>
      </c>
      <c r="Q1562" s="38">
        <f>ROUNDUP(O1562/'Methodology &amp; Assumptions'!$B$9, 0)</f>
        <v/>
      </c>
      <c r="R1562" s="39" t="n">
        <v>1</v>
      </c>
      <c r="S1562" s="25" t="n">
        <v>11.51</v>
      </c>
      <c r="T1562" s="25" t="n">
        <v>0.09</v>
      </c>
      <c r="U1562" s="42" t="inlineStr">
        <is>
          <t>Tier 2 (Fiber Corridor / Lateral, 3-5 km)</t>
        </is>
      </c>
      <c r="V1562" s="24" t="n">
        <v>25</v>
      </c>
      <c r="W1562" s="24" t="n">
        <v>96.3</v>
      </c>
      <c r="X1562" s="24" t="n">
        <v>73</v>
      </c>
      <c r="Y1562" s="45">
        <f>ROUND((V1562*'Methodology &amp; Assumptions'!$B$6)+(W1562*'Methodology &amp; Assumptions'!$B$5)+(X1562*'Methodology &amp; Assumptions'!$B$7), 2)</f>
        <v/>
      </c>
    </row>
    <row r="1563" ht="19" customHeight="1">
      <c r="A1563" s="35" t="n">
        <v>559</v>
      </c>
      <c r="B1563" s="35" t="n">
        <v>4559</v>
      </c>
      <c r="C1563" s="36" t="inlineStr">
        <is>
          <t>0704611006</t>
        </is>
      </c>
      <c r="D1563" s="36" t="inlineStr">
        <is>
          <t>Region VII (Central Visayas)</t>
        </is>
      </c>
      <c r="E1563" s="36" t="inlineStr">
        <is>
          <t>Negros Oriental</t>
        </is>
      </c>
      <c r="F1563" s="36" t="inlineStr">
        <is>
          <t>City of Guihulngan</t>
        </is>
      </c>
      <c r="G1563" s="36" t="inlineStr">
        <is>
          <t>Buenavista</t>
        </is>
      </c>
      <c r="H1563" s="37" t="n">
        <v>10.137416</v>
      </c>
      <c r="I1563" s="37" t="n">
        <v>123.25062</v>
      </c>
      <c r="J1563" s="8" t="inlineStr">
        <is>
          <t>R</t>
        </is>
      </c>
      <c r="K1563" s="36" t="inlineStr">
        <is>
          <t>Class 1-3 / Urban</t>
        </is>
      </c>
      <c r="L1563" s="18" t="n">
        <v>4474</v>
      </c>
      <c r="M1563" s="20" t="n">
        <v>4.33</v>
      </c>
      <c r="N1563" s="18">
        <f>ROUND(L1563/M1563, 0)</f>
        <v/>
      </c>
      <c r="O1563" s="18">
        <f>ROUND(N1563*'Methodology &amp; Assumptions'!$B$8, 0)</f>
        <v/>
      </c>
      <c r="P1563" s="8" t="inlineStr">
        <is>
          <t>Band n50 (1.5 GHz, 60 MHz)</t>
        </is>
      </c>
      <c r="Q1563" s="38">
        <f>ROUNDUP(O1563/'Methodology &amp; Assumptions'!$B$9, 0)</f>
        <v/>
      </c>
      <c r="R1563" s="39" t="n">
        <v>1</v>
      </c>
      <c r="S1563" s="21" t="n">
        <v>3.23</v>
      </c>
      <c r="T1563" s="21" t="n">
        <v>2.91</v>
      </c>
      <c r="U1563" s="36" t="inlineStr">
        <is>
          <t>Tier 2 (Fiber Corridor / Lateral, 3-5 km)</t>
        </is>
      </c>
      <c r="V1563" s="20" t="n">
        <v>34.1</v>
      </c>
      <c r="W1563" s="20" t="n">
        <v>100</v>
      </c>
      <c r="X1563" s="20" t="n">
        <v>58</v>
      </c>
      <c r="Y1563" s="40">
        <f>ROUND((V1563*'Methodology &amp; Assumptions'!$B$6)+(W1563*'Methodology &amp; Assumptions'!$B$5)+(X1563*'Methodology &amp; Assumptions'!$B$7), 2)</f>
        <v/>
      </c>
    </row>
    <row r="1564" ht="19" customHeight="1">
      <c r="A1564" s="41" t="n">
        <v>560</v>
      </c>
      <c r="B1564" s="41" t="n">
        <v>4560</v>
      </c>
      <c r="C1564" s="42" t="inlineStr">
        <is>
          <t>1430300114</t>
        </is>
      </c>
      <c r="D1564" s="42" t="inlineStr">
        <is>
          <t>Cordillera Administrative Region (CAR)</t>
        </is>
      </c>
      <c r="E1564" s="42" t="inlineStr">
        <is>
          <t>Benguet</t>
        </is>
      </c>
      <c r="F1564" s="42" t="inlineStr">
        <is>
          <t>City of Baguio</t>
        </is>
      </c>
      <c r="G1564" s="42" t="inlineStr">
        <is>
          <t>Rock Quarry, Upper</t>
        </is>
      </c>
      <c r="H1564" s="43" t="n">
        <v>16.40782</v>
      </c>
      <c r="I1564" s="43" t="n">
        <v>120.5887</v>
      </c>
      <c r="J1564" s="44" t="inlineStr">
        <is>
          <t>R</t>
        </is>
      </c>
      <c r="K1564" s="42" t="inlineStr">
        <is>
          <t>Class 1-3 / Urban</t>
        </is>
      </c>
      <c r="L1564" s="23" t="n">
        <v>1539</v>
      </c>
      <c r="M1564" s="24" t="n">
        <v>4.58</v>
      </c>
      <c r="N1564" s="23">
        <f>ROUND(L1564/M1564, 0)</f>
        <v/>
      </c>
      <c r="O1564" s="23">
        <f>ROUND(N1564*'Methodology &amp; Assumptions'!$B$8, 0)</f>
        <v/>
      </c>
      <c r="P1564" s="44" t="inlineStr">
        <is>
          <t>Band n50 (1.5 GHz, 60 MHz)</t>
        </is>
      </c>
      <c r="Q1564" s="38">
        <f>ROUNDUP(O1564/'Methodology &amp; Assumptions'!$B$9, 0)</f>
        <v/>
      </c>
      <c r="R1564" s="39" t="n">
        <v>1</v>
      </c>
      <c r="S1564" s="25" t="n">
        <v>0.78</v>
      </c>
      <c r="T1564" s="25" t="n">
        <v>0.23</v>
      </c>
      <c r="U1564" s="42" t="inlineStr">
        <is>
          <t>Tier 1A (Direct Coloc, &lt;1 km)</t>
        </is>
      </c>
      <c r="V1564" s="24" t="n">
        <v>87.2</v>
      </c>
      <c r="W1564" s="24" t="n">
        <v>46.9</v>
      </c>
      <c r="X1564" s="24" t="n">
        <v>58</v>
      </c>
      <c r="Y1564" s="45">
        <f>ROUND((V1564*'Methodology &amp; Assumptions'!$B$6)+(W1564*'Methodology &amp; Assumptions'!$B$5)+(X1564*'Methodology &amp; Assumptions'!$B$7), 2)</f>
        <v/>
      </c>
    </row>
    <row r="1565" ht="19" customHeight="1">
      <c r="A1565" s="35" t="n">
        <v>561</v>
      </c>
      <c r="B1565" s="35" t="n">
        <v>4561</v>
      </c>
      <c r="C1565" s="36" t="inlineStr">
        <is>
          <t>0102820020</t>
        </is>
      </c>
      <c r="D1565" s="36" t="inlineStr">
        <is>
          <t>Region I (Ilocos Region)</t>
        </is>
      </c>
      <c r="E1565" s="36" t="inlineStr">
        <is>
          <t>Ilocos Norte</t>
        </is>
      </c>
      <c r="F1565" s="36" t="inlineStr">
        <is>
          <t>San Nicolas</t>
        </is>
      </c>
      <c r="G1565" s="36" t="inlineStr">
        <is>
          <t>San Rufino</t>
        </is>
      </c>
      <c r="H1565" s="37" t="n">
        <v>18.165499</v>
      </c>
      <c r="I1565" s="37" t="n">
        <v>120.597695</v>
      </c>
      <c r="J1565" s="8" t="inlineStr">
        <is>
          <t>R</t>
        </is>
      </c>
      <c r="K1565" s="36" t="inlineStr">
        <is>
          <t>Class 1-3 / Urban</t>
        </is>
      </c>
      <c r="L1565" s="18" t="n">
        <v>1145</v>
      </c>
      <c r="M1565" s="20" t="n">
        <v>4.35</v>
      </c>
      <c r="N1565" s="18">
        <f>ROUND(L1565/M1565, 0)</f>
        <v/>
      </c>
      <c r="O1565" s="18">
        <f>ROUND(N1565*'Methodology &amp; Assumptions'!$B$8, 0)</f>
        <v/>
      </c>
      <c r="P1565" s="8" t="inlineStr">
        <is>
          <t>Band n50 (1.5 GHz, 60 MHz)</t>
        </is>
      </c>
      <c r="Q1565" s="38">
        <f>ROUNDUP(O1565/'Methodology &amp; Assumptions'!$B$9, 0)</f>
        <v/>
      </c>
      <c r="R1565" s="39" t="n">
        <v>1</v>
      </c>
      <c r="S1565" s="21" t="n">
        <v>0.71</v>
      </c>
      <c r="T1565" s="21" t="n">
        <v>0.75</v>
      </c>
      <c r="U1565" s="36" t="inlineStr">
        <is>
          <t>Tier 1A (Direct Coloc, &lt;1 km)</t>
        </is>
      </c>
      <c r="V1565" s="20" t="n">
        <v>89</v>
      </c>
      <c r="W1565" s="20" t="n">
        <v>45.1</v>
      </c>
      <c r="X1565" s="20" t="n">
        <v>58</v>
      </c>
      <c r="Y1565" s="40">
        <f>ROUND((V1565*'Methodology &amp; Assumptions'!$B$6)+(W1565*'Methodology &amp; Assumptions'!$B$5)+(X1565*'Methodology &amp; Assumptions'!$B$7), 2)</f>
        <v/>
      </c>
    </row>
    <row r="1566" ht="19" customHeight="1">
      <c r="A1566" s="41" t="n">
        <v>562</v>
      </c>
      <c r="B1566" s="41" t="n">
        <v>4562</v>
      </c>
      <c r="C1566" s="42" t="inlineStr">
        <is>
          <t>0304931018</t>
        </is>
      </c>
      <c r="D1566" s="42" t="inlineStr">
        <is>
          <t>Region III (Central Luzon)</t>
        </is>
      </c>
      <c r="E1566" s="42" t="inlineStr">
        <is>
          <t>Nueva Ecija</t>
        </is>
      </c>
      <c r="F1566" s="42" t="inlineStr">
        <is>
          <t>Talugtug</t>
        </is>
      </c>
      <c r="G1566" s="42" t="inlineStr">
        <is>
          <t>Quirino</t>
        </is>
      </c>
      <c r="H1566" s="43" t="n">
        <v>15.585783</v>
      </c>
      <c r="I1566" s="43" t="n">
        <v>120.924577</v>
      </c>
      <c r="J1566" s="44" t="inlineStr">
        <is>
          <t>R</t>
        </is>
      </c>
      <c r="K1566" s="42" t="inlineStr">
        <is>
          <t>3rd</t>
        </is>
      </c>
      <c r="L1566" s="23" t="n">
        <v>1075</v>
      </c>
      <c r="M1566" s="24" t="n">
        <v>4.09</v>
      </c>
      <c r="N1566" s="23">
        <f>ROUND(L1566/M1566, 0)</f>
        <v/>
      </c>
      <c r="O1566" s="23">
        <f>ROUND(N1566*'Methodology &amp; Assumptions'!$B$8, 0)</f>
        <v/>
      </c>
      <c r="P1566" s="44" t="inlineStr">
        <is>
          <t>Band n50 (1.5 GHz, 60 MHz)</t>
        </is>
      </c>
      <c r="Q1566" s="38">
        <f>ROUNDUP(O1566/'Methodology &amp; Assumptions'!$B$9, 0)</f>
        <v/>
      </c>
      <c r="R1566" s="39" t="n">
        <v>1</v>
      </c>
      <c r="S1566" s="25" t="n">
        <v>0.71</v>
      </c>
      <c r="T1566" s="25" t="n">
        <v>0.52</v>
      </c>
      <c r="U1566" s="42" t="inlineStr">
        <is>
          <t>Tier 1A (Direct Coloc, &lt;1 km)</t>
        </is>
      </c>
      <c r="V1566" s="24" t="n">
        <v>89</v>
      </c>
      <c r="W1566" s="24" t="n">
        <v>45.1</v>
      </c>
      <c r="X1566" s="24" t="n">
        <v>58</v>
      </c>
      <c r="Y1566" s="45">
        <f>ROUND((V1566*'Methodology &amp; Assumptions'!$B$6)+(W1566*'Methodology &amp; Assumptions'!$B$5)+(X1566*'Methodology &amp; Assumptions'!$B$7), 2)</f>
        <v/>
      </c>
    </row>
    <row r="1567" ht="19" customHeight="1">
      <c r="A1567" s="35" t="n">
        <v>563</v>
      </c>
      <c r="B1567" s="35" t="n">
        <v>4563</v>
      </c>
      <c r="C1567" s="36" t="inlineStr">
        <is>
          <t>0603034003</t>
        </is>
      </c>
      <c r="D1567" s="36" t="inlineStr">
        <is>
          <t>Region VI (Western Visayas)</t>
        </is>
      </c>
      <c r="E1567" s="36" t="inlineStr">
        <is>
          <t>Iloilo</t>
        </is>
      </c>
      <c r="F1567" s="36" t="inlineStr">
        <is>
          <t>Oton</t>
        </is>
      </c>
      <c r="G1567" s="36" t="inlineStr">
        <is>
          <t>Alegre</t>
        </is>
      </c>
      <c r="H1567" s="37" t="n">
        <v>10.686445</v>
      </c>
      <c r="I1567" s="37" t="n">
        <v>122.493772</v>
      </c>
      <c r="J1567" s="8" t="inlineStr">
        <is>
          <t>R</t>
        </is>
      </c>
      <c r="K1567" s="36" t="inlineStr">
        <is>
          <t>Class 1-3 / Urban</t>
        </is>
      </c>
      <c r="L1567" s="18" t="n">
        <v>2323</v>
      </c>
      <c r="M1567" s="20" t="n">
        <v>4.39</v>
      </c>
      <c r="N1567" s="18">
        <f>ROUND(L1567/M1567, 0)</f>
        <v/>
      </c>
      <c r="O1567" s="18">
        <f>ROUND(N1567*'Methodology &amp; Assumptions'!$B$8, 0)</f>
        <v/>
      </c>
      <c r="P1567" s="8" t="inlineStr">
        <is>
          <t>Band n50 (1.5 GHz, 60 MHz)</t>
        </is>
      </c>
      <c r="Q1567" s="38">
        <f>ROUNDUP(O1567/'Methodology &amp; Assumptions'!$B$9, 0)</f>
        <v/>
      </c>
      <c r="R1567" s="39" t="n">
        <v>1</v>
      </c>
      <c r="S1567" s="21" t="n">
        <v>1.65</v>
      </c>
      <c r="T1567" s="21" t="n">
        <v>0.72</v>
      </c>
      <c r="U1567" s="36" t="inlineStr">
        <is>
          <t>Tier 1B (Micro Drop, 1-3 km)</t>
        </is>
      </c>
      <c r="V1567" s="20" t="n">
        <v>67.7</v>
      </c>
      <c r="W1567" s="20" t="n">
        <v>66.40000000000001</v>
      </c>
      <c r="X1567" s="20" t="n">
        <v>58</v>
      </c>
      <c r="Y1567" s="40">
        <f>ROUND((V1567*'Methodology &amp; Assumptions'!$B$6)+(W1567*'Methodology &amp; Assumptions'!$B$5)+(X1567*'Methodology &amp; Assumptions'!$B$7), 2)</f>
        <v/>
      </c>
    </row>
    <row r="1568" ht="19" customHeight="1">
      <c r="A1568" s="41" t="n">
        <v>564</v>
      </c>
      <c r="B1568" s="41" t="n">
        <v>4564</v>
      </c>
      <c r="C1568" s="42" t="inlineStr">
        <is>
          <t>0501732006</t>
        </is>
      </c>
      <c r="D1568" s="42" t="inlineStr">
        <is>
          <t>Region V (Bicol Region)</t>
        </is>
      </c>
      <c r="E1568" s="42" t="inlineStr">
        <is>
          <t>Camarines Sur</t>
        </is>
      </c>
      <c r="F1568" s="42" t="inlineStr">
        <is>
          <t>San Fernando</t>
        </is>
      </c>
      <c r="G1568" s="42" t="inlineStr">
        <is>
          <t>Buenavista</t>
        </is>
      </c>
      <c r="H1568" s="43" t="n">
        <v>13.565779</v>
      </c>
      <c r="I1568" s="43" t="n">
        <v>123.146515</v>
      </c>
      <c r="J1568" s="44" t="inlineStr">
        <is>
          <t>R</t>
        </is>
      </c>
      <c r="K1568" s="42" t="inlineStr">
        <is>
          <t>2nd</t>
        </is>
      </c>
      <c r="L1568" s="23" t="n">
        <v>1565</v>
      </c>
      <c r="M1568" s="24" t="n">
        <v>4.84</v>
      </c>
      <c r="N1568" s="23">
        <f>ROUND(L1568/M1568, 0)</f>
        <v/>
      </c>
      <c r="O1568" s="23">
        <f>ROUND(N1568*'Methodology &amp; Assumptions'!$B$8, 0)</f>
        <v/>
      </c>
      <c r="P1568" s="44" t="inlineStr">
        <is>
          <t>Band n50 (1.5 GHz, 60 MHz)</t>
        </is>
      </c>
      <c r="Q1568" s="38">
        <f>ROUNDUP(O1568/'Methodology &amp; Assumptions'!$B$9, 0)</f>
        <v/>
      </c>
      <c r="R1568" s="39" t="n">
        <v>1</v>
      </c>
      <c r="S1568" s="25" t="n">
        <v>0.89</v>
      </c>
      <c r="T1568" s="25" t="n">
        <v>0.18</v>
      </c>
      <c r="U1568" s="42" t="inlineStr">
        <is>
          <t>Tier 1A (Direct Coloc, &lt;1 km)</t>
        </is>
      </c>
      <c r="V1568" s="24" t="n">
        <v>84.2</v>
      </c>
      <c r="W1568" s="24" t="n">
        <v>49.9</v>
      </c>
      <c r="X1568" s="24" t="n">
        <v>58</v>
      </c>
      <c r="Y1568" s="45">
        <f>ROUND((V1568*'Methodology &amp; Assumptions'!$B$6)+(W1568*'Methodology &amp; Assumptions'!$B$5)+(X1568*'Methodology &amp; Assumptions'!$B$7), 2)</f>
        <v/>
      </c>
    </row>
    <row r="1569" ht="19" customHeight="1">
      <c r="A1569" s="35" t="n">
        <v>565</v>
      </c>
      <c r="B1569" s="35" t="n">
        <v>4565</v>
      </c>
      <c r="C1569" s="36" t="inlineStr">
        <is>
          <t>0304903002</t>
        </is>
      </c>
      <c r="D1569" s="36" t="inlineStr">
        <is>
          <t>Region III (Central Luzon)</t>
        </is>
      </c>
      <c r="E1569" s="36" t="inlineStr">
        <is>
          <t>Nueva Ecija</t>
        </is>
      </c>
      <c r="F1569" s="36" t="inlineStr">
        <is>
          <t>City of Cabanatuan</t>
        </is>
      </c>
      <c r="G1569" s="36" t="inlineStr">
        <is>
          <t>Aduas Centro</t>
        </is>
      </c>
      <c r="H1569" s="37" t="n">
        <v>15.500513</v>
      </c>
      <c r="I1569" s="37" t="n">
        <v>120.960658</v>
      </c>
      <c r="J1569" s="8" t="inlineStr">
        <is>
          <t>U</t>
        </is>
      </c>
      <c r="K1569" s="36" t="inlineStr">
        <is>
          <t>Class 1-3 / Urban</t>
        </is>
      </c>
      <c r="L1569" s="18" t="n">
        <v>5116</v>
      </c>
      <c r="M1569" s="20" t="n">
        <v>4.32</v>
      </c>
      <c r="N1569" s="18">
        <f>ROUND(L1569/M1569, 0)</f>
        <v/>
      </c>
      <c r="O1569" s="18">
        <f>ROUND(N1569*'Methodology &amp; Assumptions'!$B$8, 0)</f>
        <v/>
      </c>
      <c r="P1569" s="8" t="inlineStr">
        <is>
          <t>Band n50 (1.5 GHz, 60 MHz)</t>
        </is>
      </c>
      <c r="Q1569" s="38">
        <f>ROUNDUP(O1569/'Methodology &amp; Assumptions'!$B$9, 0)</f>
        <v/>
      </c>
      <c r="R1569" s="39" t="n">
        <v>1</v>
      </c>
      <c r="S1569" s="21" t="n">
        <v>2.09</v>
      </c>
      <c r="T1569" s="21" t="n">
        <v>0.88</v>
      </c>
      <c r="U1569" s="36" t="inlineStr">
        <is>
          <t>Tier 1B (Micro Drop, 1-3 km)</t>
        </is>
      </c>
      <c r="V1569" s="20" t="n">
        <v>59.8</v>
      </c>
      <c r="W1569" s="20" t="n">
        <v>100</v>
      </c>
      <c r="X1569" s="20" t="n">
        <v>28</v>
      </c>
      <c r="Y1569" s="40">
        <f>ROUND((V1569*'Methodology &amp; Assumptions'!$B$6)+(W1569*'Methodology &amp; Assumptions'!$B$5)+(X1569*'Methodology &amp; Assumptions'!$B$7), 2)</f>
        <v/>
      </c>
    </row>
    <row r="1570" ht="19" customHeight="1">
      <c r="A1570" s="41" t="n">
        <v>566</v>
      </c>
      <c r="B1570" s="41" t="n">
        <v>4566</v>
      </c>
      <c r="C1570" s="42" t="inlineStr">
        <is>
          <t>0907344001</t>
        </is>
      </c>
      <c r="D1570" s="42" t="inlineStr">
        <is>
          <t>Region IX (Zamboanga Peninsula)</t>
        </is>
      </c>
      <c r="E1570" s="42" t="inlineStr">
        <is>
          <t>Zamboanga del Sur</t>
        </is>
      </c>
      <c r="F1570" s="42" t="inlineStr">
        <is>
          <t>Tigbao</t>
        </is>
      </c>
      <c r="G1570" s="42" t="inlineStr">
        <is>
          <t>Begong</t>
        </is>
      </c>
      <c r="H1570" s="43" t="n">
        <v>7.86535</v>
      </c>
      <c r="I1570" s="43" t="n">
        <v>123.276286</v>
      </c>
      <c r="J1570" s="44" t="inlineStr">
        <is>
          <t>R</t>
        </is>
      </c>
      <c r="K1570" s="42" t="inlineStr">
        <is>
          <t>4th</t>
        </is>
      </c>
      <c r="L1570" s="23" t="n">
        <v>3598</v>
      </c>
      <c r="M1570" s="24" t="n">
        <v>4.55</v>
      </c>
      <c r="N1570" s="23">
        <f>ROUND(L1570/M1570, 0)</f>
        <v/>
      </c>
      <c r="O1570" s="23">
        <f>ROUND(N1570*'Methodology &amp; Assumptions'!$B$8, 0)</f>
        <v/>
      </c>
      <c r="P1570" s="44" t="inlineStr">
        <is>
          <t>Band n50 (1.5 GHz, 60 MHz)</t>
        </is>
      </c>
      <c r="Q1570" s="38">
        <f>ROUNDUP(O1570/'Methodology &amp; Assumptions'!$B$9, 0)</f>
        <v/>
      </c>
      <c r="R1570" s="39" t="n">
        <v>1</v>
      </c>
      <c r="S1570" s="25" t="n">
        <v>18.36</v>
      </c>
      <c r="T1570" s="25" t="n">
        <v>1.92</v>
      </c>
      <c r="U1570" s="42" t="inlineStr">
        <is>
          <t>Tier 2 (Fiber Corridor / Lateral, 3-5 km)</t>
        </is>
      </c>
      <c r="V1570" s="24" t="n">
        <v>25</v>
      </c>
      <c r="W1570" s="24" t="n">
        <v>87.2</v>
      </c>
      <c r="X1570" s="24" t="n">
        <v>83.5</v>
      </c>
      <c r="Y1570" s="45">
        <f>ROUND((V1570*'Methodology &amp; Assumptions'!$B$6)+(W1570*'Methodology &amp; Assumptions'!$B$5)+(X1570*'Methodology &amp; Assumptions'!$B$7), 2)</f>
        <v/>
      </c>
    </row>
    <row r="1571" ht="19" customHeight="1">
      <c r="A1571" s="35" t="n">
        <v>567</v>
      </c>
      <c r="B1571" s="35" t="n">
        <v>4567</v>
      </c>
      <c r="C1571" s="36" t="inlineStr">
        <is>
          <t>0402111002</t>
        </is>
      </c>
      <c r="D1571" s="36" t="inlineStr">
        <is>
          <t>Region IV-A (CALABARZON)</t>
        </is>
      </c>
      <c r="E1571" s="36" t="inlineStr">
        <is>
          <t>Cavite</t>
        </is>
      </c>
      <c r="F1571" s="36" t="inlineStr">
        <is>
          <t>Kawit</t>
        </is>
      </c>
      <c r="G1571" s="36" t="inlineStr">
        <is>
          <t>Gahak</t>
        </is>
      </c>
      <c r="H1571" s="37" t="n">
        <v>14.441893</v>
      </c>
      <c r="I1571" s="37" t="n">
        <v>120.909386</v>
      </c>
      <c r="J1571" s="8" t="inlineStr">
        <is>
          <t>R</t>
        </is>
      </c>
      <c r="K1571" s="36" t="inlineStr">
        <is>
          <t>Class 1-3 / Urban</t>
        </is>
      </c>
      <c r="L1571" s="18" t="n">
        <v>2934</v>
      </c>
      <c r="M1571" s="20" t="n">
        <v>4.49</v>
      </c>
      <c r="N1571" s="18">
        <f>ROUND(L1571/M1571, 0)</f>
        <v/>
      </c>
      <c r="O1571" s="18">
        <f>ROUND(N1571*'Methodology &amp; Assumptions'!$B$8, 0)</f>
        <v/>
      </c>
      <c r="P1571" s="8" t="inlineStr">
        <is>
          <t>Band n50 (1.5 GHz, 60 MHz)</t>
        </is>
      </c>
      <c r="Q1571" s="38">
        <f>ROUNDUP(O1571/'Methodology &amp; Assumptions'!$B$9, 0)</f>
        <v/>
      </c>
      <c r="R1571" s="39" t="n">
        <v>1</v>
      </c>
      <c r="S1571" s="21" t="n">
        <v>3.15</v>
      </c>
      <c r="T1571" s="21" t="n">
        <v>0.29</v>
      </c>
      <c r="U1571" s="36" t="inlineStr">
        <is>
          <t>Tier 2 (Fiber Corridor / Lateral, 3-5 km)</t>
        </is>
      </c>
      <c r="V1571" s="20" t="n">
        <v>44.9</v>
      </c>
      <c r="W1571" s="20" t="n">
        <v>76.3</v>
      </c>
      <c r="X1571" s="20" t="n">
        <v>73</v>
      </c>
      <c r="Y1571" s="40">
        <f>ROUND((V1571*'Methodology &amp; Assumptions'!$B$6)+(W1571*'Methodology &amp; Assumptions'!$B$5)+(X1571*'Methodology &amp; Assumptions'!$B$7), 2)</f>
        <v/>
      </c>
    </row>
    <row r="1572" ht="19" customHeight="1">
      <c r="A1572" s="41" t="n">
        <v>568</v>
      </c>
      <c r="B1572" s="41" t="n">
        <v>4568</v>
      </c>
      <c r="C1572" s="42" t="inlineStr">
        <is>
          <t>0306906003</t>
        </is>
      </c>
      <c r="D1572" s="42" t="inlineStr">
        <is>
          <t>Region III (Central Luzon)</t>
        </is>
      </c>
      <c r="E1572" s="42" t="inlineStr">
        <is>
          <t>Tarlac</t>
        </is>
      </c>
      <c r="F1572" s="42" t="inlineStr">
        <is>
          <t>Gerona</t>
        </is>
      </c>
      <c r="G1572" s="42" t="inlineStr">
        <is>
          <t>Apsayan</t>
        </is>
      </c>
      <c r="H1572" s="43" t="n">
        <v>15.60885</v>
      </c>
      <c r="I1572" s="43" t="n">
        <v>120.591508</v>
      </c>
      <c r="J1572" s="44" t="inlineStr">
        <is>
          <t>R</t>
        </is>
      </c>
      <c r="K1572" s="42" t="inlineStr">
        <is>
          <t>Class 1-3 / Urban</t>
        </is>
      </c>
      <c r="L1572" s="23" t="n">
        <v>2573</v>
      </c>
      <c r="M1572" s="24" t="n">
        <v>4.3</v>
      </c>
      <c r="N1572" s="23">
        <f>ROUND(L1572/M1572, 0)</f>
        <v/>
      </c>
      <c r="O1572" s="23">
        <f>ROUND(N1572*'Methodology &amp; Assumptions'!$B$8, 0)</f>
        <v/>
      </c>
      <c r="P1572" s="44" t="inlineStr">
        <is>
          <t>Band n50 (1.5 GHz, 60 MHz)</t>
        </is>
      </c>
      <c r="Q1572" s="38">
        <f>ROUNDUP(O1572/'Methodology &amp; Assumptions'!$B$9, 0)</f>
        <v/>
      </c>
      <c r="R1572" s="39" t="n">
        <v>1</v>
      </c>
      <c r="S1572" s="25" t="n">
        <v>1.94</v>
      </c>
      <c r="T1572" s="25" t="n">
        <v>0.71</v>
      </c>
      <c r="U1572" s="42" t="inlineStr">
        <is>
          <t>Tier 1B (Micro Drop, 1-3 km)</t>
        </is>
      </c>
      <c r="V1572" s="24" t="n">
        <v>62.3</v>
      </c>
      <c r="W1572" s="24" t="n">
        <v>71.7</v>
      </c>
      <c r="X1572" s="24" t="n">
        <v>58</v>
      </c>
      <c r="Y1572" s="45">
        <f>ROUND((V1572*'Methodology &amp; Assumptions'!$B$6)+(W1572*'Methodology &amp; Assumptions'!$B$5)+(X1572*'Methodology &amp; Assumptions'!$B$7), 2)</f>
        <v/>
      </c>
    </row>
    <row r="1573" ht="19" customHeight="1">
      <c r="A1573" s="35" t="n">
        <v>569</v>
      </c>
      <c r="B1573" s="35" t="n">
        <v>4569</v>
      </c>
      <c r="C1573" s="36" t="inlineStr">
        <is>
          <t>0631000191</t>
        </is>
      </c>
      <c r="D1573" s="36" t="inlineStr">
        <is>
          <t>Region VI (Western Visayas)</t>
        </is>
      </c>
      <c r="E1573" s="36" t="inlineStr">
        <is>
          <t>Iloilo</t>
        </is>
      </c>
      <c r="F1573" s="36" t="inlineStr">
        <is>
          <t>City of Iloilo</t>
        </is>
      </c>
      <c r="G1573" s="36" t="inlineStr">
        <is>
          <t>West Habog-habog</t>
        </is>
      </c>
      <c r="H1573" s="37" t="n">
        <v>10.690806</v>
      </c>
      <c r="I1573" s="37" t="n">
        <v>122.547357</v>
      </c>
      <c r="J1573" s="8" t="inlineStr">
        <is>
          <t>R</t>
        </is>
      </c>
      <c r="K1573" s="36" t="inlineStr">
        <is>
          <t>Class 1-3 / Urban</t>
        </is>
      </c>
      <c r="L1573" s="18" t="n">
        <v>1401</v>
      </c>
      <c r="M1573" s="20" t="n">
        <v>4.39</v>
      </c>
      <c r="N1573" s="18">
        <f>ROUND(L1573/M1573, 0)</f>
        <v/>
      </c>
      <c r="O1573" s="18">
        <f>ROUND(N1573*'Methodology &amp; Assumptions'!$B$8, 0)</f>
        <v/>
      </c>
      <c r="P1573" s="8" t="inlineStr">
        <is>
          <t>Band n50 (1.5 GHz, 60 MHz)</t>
        </is>
      </c>
      <c r="Q1573" s="38">
        <f>ROUNDUP(O1573/'Methodology &amp; Assumptions'!$B$9, 0)</f>
        <v/>
      </c>
      <c r="R1573" s="39" t="n">
        <v>1</v>
      </c>
      <c r="S1573" s="21" t="n">
        <v>0.51</v>
      </c>
      <c r="T1573" s="21" t="n">
        <v>2.62</v>
      </c>
      <c r="U1573" s="36" t="inlineStr">
        <is>
          <t>Tier 1A (Direct Coloc, &lt;1 km)</t>
        </is>
      </c>
      <c r="V1573" s="20" t="n">
        <v>84.40000000000001</v>
      </c>
      <c r="W1573" s="20" t="n">
        <v>49.6</v>
      </c>
      <c r="X1573" s="20" t="n">
        <v>58</v>
      </c>
      <c r="Y1573" s="40">
        <f>ROUND((V1573*'Methodology &amp; Assumptions'!$B$6)+(W1573*'Methodology &amp; Assumptions'!$B$5)+(X1573*'Methodology &amp; Assumptions'!$B$7), 2)</f>
        <v/>
      </c>
    </row>
    <row r="1574" ht="19" customHeight="1">
      <c r="A1574" s="41" t="n">
        <v>570</v>
      </c>
      <c r="B1574" s="41" t="n">
        <v>4570</v>
      </c>
      <c r="C1574" s="42" t="inlineStr">
        <is>
          <t>0702231009</t>
        </is>
      </c>
      <c r="D1574" s="42" t="inlineStr">
        <is>
          <t>Region VII (Central Visayas)</t>
        </is>
      </c>
      <c r="E1574" s="42" t="inlineStr">
        <is>
          <t>Cebu</t>
        </is>
      </c>
      <c r="F1574" s="42" t="inlineStr">
        <is>
          <t>Medellin</t>
        </is>
      </c>
      <c r="G1574" s="42" t="inlineStr">
        <is>
          <t>Caputatan Sur</t>
        </is>
      </c>
      <c r="H1574" s="43" t="n">
        <v>11.12347</v>
      </c>
      <c r="I1574" s="43" t="n">
        <v>123.97488</v>
      </c>
      <c r="J1574" s="44" t="inlineStr">
        <is>
          <t>R</t>
        </is>
      </c>
      <c r="K1574" s="42" t="inlineStr">
        <is>
          <t>Class 1-3 / Urban</t>
        </is>
      </c>
      <c r="L1574" s="23" t="n">
        <v>2772</v>
      </c>
      <c r="M1574" s="24" t="n">
        <v>4.42</v>
      </c>
      <c r="N1574" s="23">
        <f>ROUND(L1574/M1574, 0)</f>
        <v/>
      </c>
      <c r="O1574" s="23">
        <f>ROUND(N1574*'Methodology &amp; Assumptions'!$B$8, 0)</f>
        <v/>
      </c>
      <c r="P1574" s="44" t="inlineStr">
        <is>
          <t>Band n50 (1.5 GHz, 60 MHz)</t>
        </is>
      </c>
      <c r="Q1574" s="38">
        <f>ROUNDUP(O1574/'Methodology &amp; Assumptions'!$B$9, 0)</f>
        <v/>
      </c>
      <c r="R1574" s="39" t="n">
        <v>1</v>
      </c>
      <c r="S1574" s="25" t="n">
        <v>2.09</v>
      </c>
      <c r="T1574" s="25" t="n">
        <v>1.16</v>
      </c>
      <c r="U1574" s="42" t="inlineStr">
        <is>
          <t>Tier 1B (Micro Drop, 1-3 km)</t>
        </is>
      </c>
      <c r="V1574" s="24" t="n">
        <v>59.9</v>
      </c>
      <c r="W1574" s="24" t="n">
        <v>74.09999999999999</v>
      </c>
      <c r="X1574" s="24" t="n">
        <v>58</v>
      </c>
      <c r="Y1574" s="45">
        <f>ROUND((V1574*'Methodology &amp; Assumptions'!$B$6)+(W1574*'Methodology &amp; Assumptions'!$B$5)+(X1574*'Methodology &amp; Assumptions'!$B$7), 2)</f>
        <v/>
      </c>
    </row>
    <row r="1575" ht="19" customHeight="1">
      <c r="A1575" s="35" t="n">
        <v>571</v>
      </c>
      <c r="B1575" s="35" t="n">
        <v>4571</v>
      </c>
      <c r="C1575" s="36" t="inlineStr">
        <is>
          <t>0500510020</t>
        </is>
      </c>
      <c r="D1575" s="36" t="inlineStr">
        <is>
          <t>Region V (Bicol Region)</t>
        </is>
      </c>
      <c r="E1575" s="36" t="inlineStr">
        <is>
          <t>Albay</t>
        </is>
      </c>
      <c r="F1575" s="36" t="inlineStr">
        <is>
          <t>Malinao</t>
        </is>
      </c>
      <c r="G1575" s="36" t="inlineStr">
        <is>
          <t>Payahan</t>
        </is>
      </c>
      <c r="H1575" s="37" t="n">
        <v>13.400281</v>
      </c>
      <c r="I1575" s="37" t="n">
        <v>123.706745</v>
      </c>
      <c r="J1575" s="8" t="inlineStr">
        <is>
          <t>R</t>
        </is>
      </c>
      <c r="K1575" s="36" t="inlineStr">
        <is>
          <t>Class 1-3 / Urban</t>
        </is>
      </c>
      <c r="L1575" s="18" t="n">
        <v>1399</v>
      </c>
      <c r="M1575" s="20" t="n">
        <v>4.67</v>
      </c>
      <c r="N1575" s="18">
        <f>ROUND(L1575/M1575, 0)</f>
        <v/>
      </c>
      <c r="O1575" s="18">
        <f>ROUND(N1575*'Methodology &amp; Assumptions'!$B$8, 0)</f>
        <v/>
      </c>
      <c r="P1575" s="8" t="inlineStr">
        <is>
          <t>Band n50 (1.5 GHz, 60 MHz)</t>
        </is>
      </c>
      <c r="Q1575" s="38">
        <f>ROUNDUP(O1575/'Methodology &amp; Assumptions'!$B$9, 0)</f>
        <v/>
      </c>
      <c r="R1575" s="39" t="n">
        <v>1</v>
      </c>
      <c r="S1575" s="21" t="n">
        <v>0.82</v>
      </c>
      <c r="T1575" s="21" t="n">
        <v>0.27</v>
      </c>
      <c r="U1575" s="36" t="inlineStr">
        <is>
          <t>Tier 1A (Direct Coloc, &lt;1 km)</t>
        </is>
      </c>
      <c r="V1575" s="20" t="n">
        <v>86</v>
      </c>
      <c r="W1575" s="20" t="n">
        <v>48</v>
      </c>
      <c r="X1575" s="20" t="n">
        <v>58</v>
      </c>
      <c r="Y1575" s="40">
        <f>ROUND((V1575*'Methodology &amp; Assumptions'!$B$6)+(W1575*'Methodology &amp; Assumptions'!$B$5)+(X1575*'Methodology &amp; Assumptions'!$B$7), 2)</f>
        <v/>
      </c>
    </row>
    <row r="1576" ht="19" customHeight="1">
      <c r="A1576" s="41" t="n">
        <v>572</v>
      </c>
      <c r="B1576" s="41" t="n">
        <v>4572</v>
      </c>
      <c r="C1576" s="42" t="inlineStr">
        <is>
          <t>1130700166</t>
        </is>
      </c>
      <c r="D1576" s="42" t="inlineStr">
        <is>
          <t>Region XI (Davao Region)</t>
        </is>
      </c>
      <c r="E1576" s="42" t="inlineStr">
        <is>
          <t>Davao del Sur</t>
        </is>
      </c>
      <c r="F1576" s="42" t="inlineStr">
        <is>
          <t>City of Davao</t>
        </is>
      </c>
      <c r="G1576" s="42" t="inlineStr">
        <is>
          <t>Barangay 33-D</t>
        </is>
      </c>
      <c r="H1576" s="43" t="n">
        <v>7.06648</v>
      </c>
      <c r="I1576" s="43" t="n">
        <v>125.6148</v>
      </c>
      <c r="J1576" s="44" t="inlineStr">
        <is>
          <t>U</t>
        </is>
      </c>
      <c r="K1576" s="42" t="inlineStr">
        <is>
          <t>Class 1-3 / Urban</t>
        </is>
      </c>
      <c r="L1576" s="23" t="n">
        <v>1827</v>
      </c>
      <c r="M1576" s="24" t="n">
        <v>4.1</v>
      </c>
      <c r="N1576" s="23">
        <f>ROUND(L1576/M1576, 0)</f>
        <v/>
      </c>
      <c r="O1576" s="23">
        <f>ROUND(N1576*'Methodology &amp; Assumptions'!$B$8, 0)</f>
        <v/>
      </c>
      <c r="P1576" s="44" t="inlineStr">
        <is>
          <t>Band n50 (1.5 GHz, 60 MHz)</t>
        </is>
      </c>
      <c r="Q1576" s="38">
        <f>ROUNDUP(O1576/'Methodology &amp; Assumptions'!$B$9, 0)</f>
        <v/>
      </c>
      <c r="R1576" s="39" t="n">
        <v>1</v>
      </c>
      <c r="S1576" s="25" t="n">
        <v>0.3</v>
      </c>
      <c r="T1576" s="25" t="n">
        <v>0.12</v>
      </c>
      <c r="U1576" s="42" t="inlineStr">
        <is>
          <t>Tier 1A (Direct Coloc, &lt;1 km)</t>
        </is>
      </c>
      <c r="V1576" s="24" t="n">
        <v>100</v>
      </c>
      <c r="W1576" s="24" t="n">
        <v>59.7</v>
      </c>
      <c r="X1576" s="24" t="n">
        <v>28</v>
      </c>
      <c r="Y1576" s="45">
        <f>ROUND((V1576*'Methodology &amp; Assumptions'!$B$6)+(W1576*'Methodology &amp; Assumptions'!$B$5)+(X1576*'Methodology &amp; Assumptions'!$B$7), 2)</f>
        <v/>
      </c>
    </row>
    <row r="1577" ht="19" customHeight="1">
      <c r="A1577" s="35" t="n">
        <v>573</v>
      </c>
      <c r="B1577" s="35" t="n">
        <v>4573</v>
      </c>
      <c r="C1577" s="36" t="inlineStr">
        <is>
          <t>0304919020</t>
        </is>
      </c>
      <c r="D1577" s="36" t="inlineStr">
        <is>
          <t>Region III (Central Luzon)</t>
        </is>
      </c>
      <c r="E1577" s="36" t="inlineStr">
        <is>
          <t>Nueva Ecija</t>
        </is>
      </c>
      <c r="F1577" s="36" t="inlineStr">
        <is>
          <t>City of Palayan</t>
        </is>
      </c>
      <c r="G1577" s="36" t="inlineStr">
        <is>
          <t>Santolan</t>
        </is>
      </c>
      <c r="H1577" s="37" t="n">
        <v>15.538808</v>
      </c>
      <c r="I1577" s="37" t="n">
        <v>121.084092</v>
      </c>
      <c r="J1577" s="8" t="inlineStr">
        <is>
          <t>R</t>
        </is>
      </c>
      <c r="K1577" s="36" t="inlineStr">
        <is>
          <t>Class 1-3 / Urban</t>
        </is>
      </c>
      <c r="L1577" s="18" t="n">
        <v>1996</v>
      </c>
      <c r="M1577" s="20" t="n">
        <v>4.32</v>
      </c>
      <c r="N1577" s="18">
        <f>ROUND(L1577/M1577, 0)</f>
        <v/>
      </c>
      <c r="O1577" s="18">
        <f>ROUND(N1577*'Methodology &amp; Assumptions'!$B$8, 0)</f>
        <v/>
      </c>
      <c r="P1577" s="8" t="inlineStr">
        <is>
          <t>Band n50 (1.5 GHz, 60 MHz)</t>
        </is>
      </c>
      <c r="Q1577" s="38">
        <f>ROUNDUP(O1577/'Methodology &amp; Assumptions'!$B$9, 0)</f>
        <v/>
      </c>
      <c r="R1577" s="39" t="n">
        <v>1</v>
      </c>
      <c r="S1577" s="21" t="n">
        <v>1.39</v>
      </c>
      <c r="T1577" s="21" t="n">
        <v>1.42</v>
      </c>
      <c r="U1577" s="36" t="inlineStr">
        <is>
          <t>Tier 1B (Micro Drop, 1-3 km)</t>
        </is>
      </c>
      <c r="V1577" s="20" t="n">
        <v>72.90000000000001</v>
      </c>
      <c r="W1577" s="20" t="n">
        <v>61.1</v>
      </c>
      <c r="X1577" s="20" t="n">
        <v>58</v>
      </c>
      <c r="Y1577" s="40">
        <f>ROUND((V1577*'Methodology &amp; Assumptions'!$B$6)+(W1577*'Methodology &amp; Assumptions'!$B$5)+(X1577*'Methodology &amp; Assumptions'!$B$7), 2)</f>
        <v/>
      </c>
    </row>
    <row r="1578" ht="19" customHeight="1">
      <c r="A1578" s="41" t="n">
        <v>574</v>
      </c>
      <c r="B1578" s="41" t="n">
        <v>4574</v>
      </c>
      <c r="C1578" s="42" t="inlineStr">
        <is>
          <t>0631000173</t>
        </is>
      </c>
      <c r="D1578" s="42" t="inlineStr">
        <is>
          <t>Region VI (Western Visayas)</t>
        </is>
      </c>
      <c r="E1578" s="42" t="inlineStr">
        <is>
          <t>Iloilo</t>
        </is>
      </c>
      <c r="F1578" s="42" t="inlineStr">
        <is>
          <t>City of Iloilo</t>
        </is>
      </c>
      <c r="G1578" s="42" t="inlineStr">
        <is>
          <t>South San Jose</t>
        </is>
      </c>
      <c r="H1578" s="43" t="n">
        <v>10.696118</v>
      </c>
      <c r="I1578" s="43" t="n">
        <v>122.538684</v>
      </c>
      <c r="J1578" s="44" t="inlineStr">
        <is>
          <t>R</t>
        </is>
      </c>
      <c r="K1578" s="42" t="inlineStr">
        <is>
          <t>Class 1-3 / Urban</t>
        </is>
      </c>
      <c r="L1578" s="23" t="n">
        <v>1758</v>
      </c>
      <c r="M1578" s="24" t="n">
        <v>4.39</v>
      </c>
      <c r="N1578" s="23">
        <f>ROUND(L1578/M1578, 0)</f>
        <v/>
      </c>
      <c r="O1578" s="23">
        <f>ROUND(N1578*'Methodology &amp; Assumptions'!$B$8, 0)</f>
        <v/>
      </c>
      <c r="P1578" s="44" t="inlineStr">
        <is>
          <t>Band n50 (1.5 GHz, 60 MHz)</t>
        </is>
      </c>
      <c r="Q1578" s="38">
        <f>ROUNDUP(O1578/'Methodology &amp; Assumptions'!$B$9, 0)</f>
        <v/>
      </c>
      <c r="R1578" s="39" t="n">
        <v>1</v>
      </c>
      <c r="S1578" s="25" t="n">
        <v>0.75</v>
      </c>
      <c r="T1578" s="25" t="n">
        <v>3.32</v>
      </c>
      <c r="U1578" s="42" t="inlineStr">
        <is>
          <t>Tier 1A (Direct Coloc, &lt;1 km)</t>
        </is>
      </c>
      <c r="V1578" s="24" t="n">
        <v>78</v>
      </c>
      <c r="W1578" s="24" t="n">
        <v>56</v>
      </c>
      <c r="X1578" s="24" t="n">
        <v>58</v>
      </c>
      <c r="Y1578" s="45">
        <f>ROUND((V1578*'Methodology &amp; Assumptions'!$B$6)+(W1578*'Methodology &amp; Assumptions'!$B$5)+(X1578*'Methodology &amp; Assumptions'!$B$7), 2)</f>
        <v/>
      </c>
    </row>
    <row r="1579" ht="19" customHeight="1">
      <c r="A1579" s="35" t="n">
        <v>575</v>
      </c>
      <c r="B1579" s="35" t="n">
        <v>4575</v>
      </c>
      <c r="C1579" s="36" t="inlineStr">
        <is>
          <t>0403405017</t>
        </is>
      </c>
      <c r="D1579" s="36" t="inlineStr">
        <is>
          <t>Region IV-A (CALABARZON)</t>
        </is>
      </c>
      <c r="E1579" s="36" t="inlineStr">
        <is>
          <t>Laguna</t>
        </is>
      </c>
      <c r="F1579" s="36" t="inlineStr">
        <is>
          <t>City of Calamba</t>
        </is>
      </c>
      <c r="G1579" s="36" t="inlineStr">
        <is>
          <t>Laguerta</t>
        </is>
      </c>
      <c r="H1579" s="37" t="n">
        <v>14.173406</v>
      </c>
      <c r="I1579" s="37" t="n">
        <v>121.089678</v>
      </c>
      <c r="J1579" s="8" t="inlineStr">
        <is>
          <t>U</t>
        </is>
      </c>
      <c r="K1579" s="36" t="inlineStr">
        <is>
          <t>Class 1-3 / Urban</t>
        </is>
      </c>
      <c r="L1579" s="18" t="n">
        <v>5461</v>
      </c>
      <c r="M1579" s="20" t="n">
        <v>4.2</v>
      </c>
      <c r="N1579" s="18">
        <f>ROUND(L1579/M1579, 0)</f>
        <v/>
      </c>
      <c r="O1579" s="18">
        <f>ROUND(N1579*'Methodology &amp; Assumptions'!$B$8, 0)</f>
        <v/>
      </c>
      <c r="P1579" s="8" t="inlineStr">
        <is>
          <t>Band n50 (1.5 GHz, 60 MHz)</t>
        </is>
      </c>
      <c r="Q1579" s="38">
        <f>ROUNDUP(O1579/'Methodology &amp; Assumptions'!$B$9, 0)</f>
        <v/>
      </c>
      <c r="R1579" s="39" t="n">
        <v>1</v>
      </c>
      <c r="S1579" s="21" t="n">
        <v>2.1</v>
      </c>
      <c r="T1579" s="21" t="n">
        <v>1.84</v>
      </c>
      <c r="U1579" s="36" t="inlineStr">
        <is>
          <t>Tier 1B (Micro Drop, 1-3 km)</t>
        </is>
      </c>
      <c r="V1579" s="20" t="n">
        <v>59.7</v>
      </c>
      <c r="W1579" s="20" t="n">
        <v>100</v>
      </c>
      <c r="X1579" s="20" t="n">
        <v>28</v>
      </c>
      <c r="Y1579" s="40">
        <f>ROUND((V1579*'Methodology &amp; Assumptions'!$B$6)+(W1579*'Methodology &amp; Assumptions'!$B$5)+(X1579*'Methodology &amp; Assumptions'!$B$7), 2)</f>
        <v/>
      </c>
    </row>
    <row r="1580" ht="19" customHeight="1">
      <c r="A1580" s="41" t="n">
        <v>576</v>
      </c>
      <c r="B1580" s="41" t="n">
        <v>4576</v>
      </c>
      <c r="C1580" s="42" t="inlineStr">
        <is>
          <t>0501724031</t>
        </is>
      </c>
      <c r="D1580" s="42" t="inlineStr">
        <is>
          <t>Region V (Bicol Region)</t>
        </is>
      </c>
      <c r="E1580" s="42" t="inlineStr">
        <is>
          <t>Camarines Sur</t>
        </is>
      </c>
      <c r="F1580" s="42" t="inlineStr">
        <is>
          <t>City of Naga</t>
        </is>
      </c>
      <c r="G1580" s="42" t="inlineStr">
        <is>
          <t>Tinago</t>
        </is>
      </c>
      <c r="H1580" s="43" t="n">
        <v>13.624638</v>
      </c>
      <c r="I1580" s="43" t="n">
        <v>123.193805</v>
      </c>
      <c r="J1580" s="44" t="inlineStr">
        <is>
          <t>U</t>
        </is>
      </c>
      <c r="K1580" s="42" t="inlineStr">
        <is>
          <t>Class 1-3 / Urban</t>
        </is>
      </c>
      <c r="L1580" s="23" t="n">
        <v>2904</v>
      </c>
      <c r="M1580" s="24" t="n">
        <v>4.9</v>
      </c>
      <c r="N1580" s="23">
        <f>ROUND(L1580/M1580, 0)</f>
        <v/>
      </c>
      <c r="O1580" s="23">
        <f>ROUND(N1580*'Methodology &amp; Assumptions'!$B$8, 0)</f>
        <v/>
      </c>
      <c r="P1580" s="44" t="inlineStr">
        <is>
          <t>Band n50 (1.5 GHz, 60 MHz)</t>
        </is>
      </c>
      <c r="Q1580" s="38">
        <f>ROUNDUP(O1580/'Methodology &amp; Assumptions'!$B$9, 0)</f>
        <v/>
      </c>
      <c r="R1580" s="39" t="n">
        <v>1</v>
      </c>
      <c r="S1580" s="25" t="n">
        <v>0.74</v>
      </c>
      <c r="T1580" s="25" t="n">
        <v>0.72</v>
      </c>
      <c r="U1580" s="42" t="inlineStr">
        <is>
          <t>Tier 1A (Direct Coloc, &lt;1 km)</t>
        </is>
      </c>
      <c r="V1580" s="24" t="n">
        <v>88.2</v>
      </c>
      <c r="W1580" s="24" t="n">
        <v>71.5</v>
      </c>
      <c r="X1580" s="24" t="n">
        <v>28</v>
      </c>
      <c r="Y1580" s="45">
        <f>ROUND((V1580*'Methodology &amp; Assumptions'!$B$6)+(W1580*'Methodology &amp; Assumptions'!$B$5)+(X1580*'Methodology &amp; Assumptions'!$B$7), 2)</f>
        <v/>
      </c>
    </row>
    <row r="1581" ht="19" customHeight="1">
      <c r="A1581" s="35" t="n">
        <v>577</v>
      </c>
      <c r="B1581" s="35" t="n">
        <v>4577</v>
      </c>
      <c r="C1581" s="36" t="inlineStr">
        <is>
          <t>0405635010</t>
        </is>
      </c>
      <c r="D1581" s="36" t="inlineStr">
        <is>
          <t>Region IV-A (CALABARZON)</t>
        </is>
      </c>
      <c r="E1581" s="36" t="inlineStr">
        <is>
          <t>Quezon</t>
        </is>
      </c>
      <c r="F1581" s="36" t="inlineStr">
        <is>
          <t>Plaridel</t>
        </is>
      </c>
      <c r="G1581" s="36" t="inlineStr">
        <is>
          <t>Pampaaralan</t>
        </is>
      </c>
      <c r="H1581" s="37" t="n">
        <v>13.958324</v>
      </c>
      <c r="I1581" s="37" t="n">
        <v>122.015068</v>
      </c>
      <c r="J1581" s="8" t="inlineStr">
        <is>
          <t>R</t>
        </is>
      </c>
      <c r="K1581" s="36" t="inlineStr">
        <is>
          <t>5th</t>
        </is>
      </c>
      <c r="L1581" s="18" t="n">
        <v>609</v>
      </c>
      <c r="M1581" s="20" t="n">
        <v>4.59</v>
      </c>
      <c r="N1581" s="18">
        <f>ROUND(L1581/M1581, 0)</f>
        <v/>
      </c>
      <c r="O1581" s="18">
        <f>ROUND(N1581*'Methodology &amp; Assumptions'!$B$8, 0)</f>
        <v/>
      </c>
      <c r="P1581" s="8" t="inlineStr">
        <is>
          <t>Band n50 (1.5 GHz, 60 MHz)</t>
        </is>
      </c>
      <c r="Q1581" s="38">
        <f>ROUNDUP(O1581/'Methodology &amp; Assumptions'!$B$9, 0)</f>
        <v/>
      </c>
      <c r="R1581" s="39" t="n">
        <v>1</v>
      </c>
      <c r="S1581" s="21" t="n">
        <v>0.8100000000000001</v>
      </c>
      <c r="T1581" s="21" t="n">
        <v>0.04</v>
      </c>
      <c r="U1581" s="36" t="inlineStr">
        <is>
          <t>Tier 1A (Direct Coloc, &lt;1 km)</t>
        </is>
      </c>
      <c r="V1581" s="20" t="n">
        <v>86.40000000000001</v>
      </c>
      <c r="W1581" s="20" t="n">
        <v>34.7</v>
      </c>
      <c r="X1581" s="20" t="n">
        <v>73</v>
      </c>
      <c r="Y1581" s="40">
        <f>ROUND((V1581*'Methodology &amp; Assumptions'!$B$6)+(W1581*'Methodology &amp; Assumptions'!$B$5)+(X1581*'Methodology &amp; Assumptions'!$B$7), 2)</f>
        <v/>
      </c>
    </row>
    <row r="1582" ht="19" customHeight="1">
      <c r="A1582" s="41" t="n">
        <v>578</v>
      </c>
      <c r="B1582" s="41" t="n">
        <v>4578</v>
      </c>
      <c r="C1582" s="42" t="inlineStr">
        <is>
          <t>0506215013</t>
        </is>
      </c>
      <c r="D1582" s="42" t="inlineStr">
        <is>
          <t>Region V (Bicol Region)</t>
        </is>
      </c>
      <c r="E1582" s="42" t="inlineStr">
        <is>
          <t>Sorsogon</t>
        </is>
      </c>
      <c r="F1582" s="42" t="inlineStr">
        <is>
          <t>Santa Magdalena</t>
        </is>
      </c>
      <c r="G1582" s="42" t="inlineStr">
        <is>
          <t>San Roque</t>
        </is>
      </c>
      <c r="H1582" s="43" t="n">
        <v>12.651829</v>
      </c>
      <c r="I1582" s="43" t="n">
        <v>124.098602</v>
      </c>
      <c r="J1582" s="44" t="inlineStr">
        <is>
          <t>R</t>
        </is>
      </c>
      <c r="K1582" s="42" t="inlineStr">
        <is>
          <t>4th</t>
        </is>
      </c>
      <c r="L1582" s="23" t="n">
        <v>1185</v>
      </c>
      <c r="M1582" s="24" t="n">
        <v>4.69</v>
      </c>
      <c r="N1582" s="23">
        <f>ROUND(L1582/M1582, 0)</f>
        <v/>
      </c>
      <c r="O1582" s="23">
        <f>ROUND(N1582*'Methodology &amp; Assumptions'!$B$8, 0)</f>
        <v/>
      </c>
      <c r="P1582" s="44" t="inlineStr">
        <is>
          <t>Band n50 (1.5 GHz, 60 MHz)</t>
        </is>
      </c>
      <c r="Q1582" s="38">
        <f>ROUNDUP(O1582/'Methodology &amp; Assumptions'!$B$9, 0)</f>
        <v/>
      </c>
      <c r="R1582" s="39" t="n">
        <v>1</v>
      </c>
      <c r="S1582" s="25" t="n">
        <v>1.04</v>
      </c>
      <c r="T1582" s="25" t="n">
        <v>0.25</v>
      </c>
      <c r="U1582" s="42" t="inlineStr">
        <is>
          <t>Tier 1B (Micro Drop, 1-3 km)</t>
        </is>
      </c>
      <c r="V1582" s="24" t="n">
        <v>80.7</v>
      </c>
      <c r="W1582" s="24" t="n">
        <v>44.3</v>
      </c>
      <c r="X1582" s="24" t="n">
        <v>68.5</v>
      </c>
      <c r="Y1582" s="45">
        <f>ROUND((V1582*'Methodology &amp; Assumptions'!$B$6)+(W1582*'Methodology &amp; Assumptions'!$B$5)+(X1582*'Methodology &amp; Assumptions'!$B$7), 2)</f>
        <v/>
      </c>
    </row>
    <row r="1583" ht="19" customHeight="1">
      <c r="A1583" s="35" t="n">
        <v>579</v>
      </c>
      <c r="B1583" s="35" t="n">
        <v>4579</v>
      </c>
      <c r="C1583" s="36" t="inlineStr">
        <is>
          <t>0500517014</t>
        </is>
      </c>
      <c r="D1583" s="36" t="inlineStr">
        <is>
          <t>Region V (Bicol Region)</t>
        </is>
      </c>
      <c r="E1583" s="36" t="inlineStr">
        <is>
          <t>Albay</t>
        </is>
      </c>
      <c r="F1583" s="36" t="inlineStr">
        <is>
          <t>City of Tabaco</t>
        </is>
      </c>
      <c r="G1583" s="36" t="inlineStr">
        <is>
          <t>Cabagñan</t>
        </is>
      </c>
      <c r="H1583" s="37" t="n">
        <v>13.338986</v>
      </c>
      <c r="I1583" s="37" t="n">
        <v>123.723688</v>
      </c>
      <c r="J1583" s="8" t="inlineStr">
        <is>
          <t>R</t>
        </is>
      </c>
      <c r="K1583" s="36" t="inlineStr">
        <is>
          <t>Class 1-3 / Urban</t>
        </is>
      </c>
      <c r="L1583" s="18" t="n">
        <v>2568</v>
      </c>
      <c r="M1583" s="20" t="n">
        <v>4.67</v>
      </c>
      <c r="N1583" s="18">
        <f>ROUND(L1583/M1583, 0)</f>
        <v/>
      </c>
      <c r="O1583" s="18">
        <f>ROUND(N1583*'Methodology &amp; Assumptions'!$B$8, 0)</f>
        <v/>
      </c>
      <c r="P1583" s="8" t="inlineStr">
        <is>
          <t>Band n50 (1.5 GHz, 60 MHz)</t>
        </is>
      </c>
      <c r="Q1583" s="38">
        <f>ROUNDUP(O1583/'Methodology &amp; Assumptions'!$B$9, 0)</f>
        <v/>
      </c>
      <c r="R1583" s="39" t="n">
        <v>1</v>
      </c>
      <c r="S1583" s="21" t="n">
        <v>1.74</v>
      </c>
      <c r="T1583" s="21" t="n">
        <v>1.22</v>
      </c>
      <c r="U1583" s="36" t="inlineStr">
        <is>
          <t>Tier 1B (Micro Drop, 1-3 km)</t>
        </is>
      </c>
      <c r="V1583" s="20" t="n">
        <v>66</v>
      </c>
      <c r="W1583" s="20" t="n">
        <v>68</v>
      </c>
      <c r="X1583" s="20" t="n">
        <v>58</v>
      </c>
      <c r="Y1583" s="40">
        <f>ROUND((V1583*'Methodology &amp; Assumptions'!$B$6)+(W1583*'Methodology &amp; Assumptions'!$B$5)+(X1583*'Methodology &amp; Assumptions'!$B$7), 2)</f>
        <v/>
      </c>
    </row>
    <row r="1584" ht="19" customHeight="1">
      <c r="A1584" s="41" t="n">
        <v>580</v>
      </c>
      <c r="B1584" s="41" t="n">
        <v>4580</v>
      </c>
      <c r="C1584" s="42" t="inlineStr">
        <is>
          <t>0203101029</t>
        </is>
      </c>
      <c r="D1584" s="42" t="inlineStr">
        <is>
          <t>Region II (Cagayan Valley)</t>
        </is>
      </c>
      <c r="E1584" s="42" t="inlineStr">
        <is>
          <t>Isabela</t>
        </is>
      </c>
      <c r="F1584" s="42" t="inlineStr">
        <is>
          <t>Alicia</t>
        </is>
      </c>
      <c r="G1584" s="42" t="inlineStr">
        <is>
          <t>Santa Cruz</t>
        </is>
      </c>
      <c r="H1584" s="43" t="n">
        <v>16.771984</v>
      </c>
      <c r="I1584" s="43" t="n">
        <v>121.70251</v>
      </c>
      <c r="J1584" s="44" t="inlineStr">
        <is>
          <t>R</t>
        </is>
      </c>
      <c r="K1584" s="42" t="inlineStr">
        <is>
          <t>Class 1-3 / Urban</t>
        </is>
      </c>
      <c r="L1584" s="23" t="n">
        <v>2353</v>
      </c>
      <c r="M1584" s="24" t="n">
        <v>4.3</v>
      </c>
      <c r="N1584" s="23">
        <f>ROUND(L1584/M1584, 0)</f>
        <v/>
      </c>
      <c r="O1584" s="23">
        <f>ROUND(N1584*'Methodology &amp; Assumptions'!$B$8, 0)</f>
        <v/>
      </c>
      <c r="P1584" s="44" t="inlineStr">
        <is>
          <t>Band n50 (1.5 GHz, 60 MHz)</t>
        </is>
      </c>
      <c r="Q1584" s="38">
        <f>ROUNDUP(O1584/'Methodology &amp; Assumptions'!$B$9, 0)</f>
        <v/>
      </c>
      <c r="R1584" s="39" t="n">
        <v>1</v>
      </c>
      <c r="S1584" s="25" t="n">
        <v>1.73</v>
      </c>
      <c r="T1584" s="25" t="n">
        <v>0.43</v>
      </c>
      <c r="U1584" s="42" t="inlineStr">
        <is>
          <t>Tier 1B (Micro Drop, 1-3 km)</t>
        </is>
      </c>
      <c r="V1584" s="24" t="n">
        <v>66.2</v>
      </c>
      <c r="W1584" s="24" t="n">
        <v>67.7</v>
      </c>
      <c r="X1584" s="24" t="n">
        <v>58</v>
      </c>
      <c r="Y1584" s="45">
        <f>ROUND((V1584*'Methodology &amp; Assumptions'!$B$6)+(W1584*'Methodology &amp; Assumptions'!$B$5)+(X1584*'Methodology &amp; Assumptions'!$B$7), 2)</f>
        <v/>
      </c>
    </row>
    <row r="1585" ht="19" customHeight="1">
      <c r="A1585" s="35" t="n">
        <v>581</v>
      </c>
      <c r="B1585" s="35" t="n">
        <v>4581</v>
      </c>
      <c r="C1585" s="36" t="inlineStr">
        <is>
          <t>0702223011</t>
        </is>
      </c>
      <c r="D1585" s="36" t="inlineStr">
        <is>
          <t>Region VII (Central Visayas)</t>
        </is>
      </c>
      <c r="E1585" s="36" t="inlineStr">
        <is>
          <t>Cebu</t>
        </is>
      </c>
      <c r="F1585" s="36" t="inlineStr">
        <is>
          <t>Danao City</t>
        </is>
      </c>
      <c r="G1585" s="36" t="inlineStr">
        <is>
          <t>Cogon-Cruz</t>
        </is>
      </c>
      <c r="H1585" s="37" t="n">
        <v>10.515297</v>
      </c>
      <c r="I1585" s="37" t="n">
        <v>124.008331</v>
      </c>
      <c r="J1585" s="8" t="inlineStr">
        <is>
          <t>U</t>
        </is>
      </c>
      <c r="K1585" s="36" t="inlineStr">
        <is>
          <t>Class 1-3 / Urban</t>
        </is>
      </c>
      <c r="L1585" s="18" t="n">
        <v>5116</v>
      </c>
      <c r="M1585" s="20" t="n">
        <v>4.42</v>
      </c>
      <c r="N1585" s="18">
        <f>ROUND(L1585/M1585, 0)</f>
        <v/>
      </c>
      <c r="O1585" s="18">
        <f>ROUND(N1585*'Methodology &amp; Assumptions'!$B$8, 0)</f>
        <v/>
      </c>
      <c r="P1585" s="8" t="inlineStr">
        <is>
          <t>Band n50 (1.5 GHz, 60 MHz)</t>
        </is>
      </c>
      <c r="Q1585" s="38">
        <f>ROUNDUP(O1585/'Methodology &amp; Assumptions'!$B$9, 0)</f>
        <v/>
      </c>
      <c r="R1585" s="39" t="n">
        <v>1</v>
      </c>
      <c r="S1585" s="21" t="n">
        <v>2.1</v>
      </c>
      <c r="T1585" s="21" t="n">
        <v>1.78</v>
      </c>
      <c r="U1585" s="36" t="inlineStr">
        <is>
          <t>Tier 1B (Micro Drop, 1-3 km)</t>
        </is>
      </c>
      <c r="V1585" s="20" t="n">
        <v>59.7</v>
      </c>
      <c r="W1585" s="20" t="n">
        <v>100</v>
      </c>
      <c r="X1585" s="20" t="n">
        <v>28</v>
      </c>
      <c r="Y1585" s="40">
        <f>ROUND((V1585*'Methodology &amp; Assumptions'!$B$6)+(W1585*'Methodology &amp; Assumptions'!$B$5)+(X1585*'Methodology &amp; Assumptions'!$B$7), 2)</f>
        <v/>
      </c>
    </row>
    <row r="1586" ht="19" customHeight="1">
      <c r="A1586" s="41" t="n">
        <v>582</v>
      </c>
      <c r="B1586" s="41" t="n">
        <v>4582</v>
      </c>
      <c r="C1586" s="42" t="inlineStr">
        <is>
          <t>0704610003</t>
        </is>
      </c>
      <c r="D1586" s="42" t="inlineStr">
        <is>
          <t>Region VII (Central Visayas)</t>
        </is>
      </c>
      <c r="E1586" s="42" t="inlineStr">
        <is>
          <t>Negros Oriental</t>
        </is>
      </c>
      <c r="F1586" s="42" t="inlineStr">
        <is>
          <t>City of Dumaguete</t>
        </is>
      </c>
      <c r="G1586" s="42" t="inlineStr">
        <is>
          <t>Balugo</t>
        </is>
      </c>
      <c r="H1586" s="43" t="n">
        <v>9.302963</v>
      </c>
      <c r="I1586" s="43" t="n">
        <v>123.262735</v>
      </c>
      <c r="J1586" s="44" t="inlineStr">
        <is>
          <t>R</t>
        </is>
      </c>
      <c r="K1586" s="42" t="inlineStr">
        <is>
          <t>Class 1-3 / Urban</t>
        </is>
      </c>
      <c r="L1586" s="23" t="n">
        <v>4110</v>
      </c>
      <c r="M1586" s="24" t="n">
        <v>4.33</v>
      </c>
      <c r="N1586" s="23">
        <f>ROUND(L1586/M1586, 0)</f>
        <v/>
      </c>
      <c r="O1586" s="23">
        <f>ROUND(N1586*'Methodology &amp; Assumptions'!$B$8, 0)</f>
        <v/>
      </c>
      <c r="P1586" s="44" t="inlineStr">
        <is>
          <t>Band n50 (1.5 GHz, 60 MHz)</t>
        </is>
      </c>
      <c r="Q1586" s="38">
        <f>ROUNDUP(O1586/'Methodology &amp; Assumptions'!$B$9, 0)</f>
        <v/>
      </c>
      <c r="R1586" s="39" t="n">
        <v>1</v>
      </c>
      <c r="S1586" s="25" t="n">
        <v>3.24</v>
      </c>
      <c r="T1586" s="25" t="n">
        <v>3.91</v>
      </c>
      <c r="U1586" s="42" t="inlineStr">
        <is>
          <t>Tier 2 (Fiber Corridor / Lateral, 3-5 km)</t>
        </is>
      </c>
      <c r="V1586" s="24" t="n">
        <v>33.9</v>
      </c>
      <c r="W1586" s="24" t="n">
        <v>100</v>
      </c>
      <c r="X1586" s="24" t="n">
        <v>58</v>
      </c>
      <c r="Y1586" s="45">
        <f>ROUND((V1586*'Methodology &amp; Assumptions'!$B$6)+(W1586*'Methodology &amp; Assumptions'!$B$5)+(X1586*'Methodology &amp; Assumptions'!$B$7), 2)</f>
        <v/>
      </c>
    </row>
    <row r="1587" ht="19" customHeight="1">
      <c r="A1587" s="35" t="n">
        <v>583</v>
      </c>
      <c r="B1587" s="35" t="n">
        <v>4583</v>
      </c>
      <c r="C1587" s="36" t="inlineStr">
        <is>
          <t>0631000003</t>
        </is>
      </c>
      <c r="D1587" s="36" t="inlineStr">
        <is>
          <t>Region VI (Western Visayas)</t>
        </is>
      </c>
      <c r="E1587" s="36" t="inlineStr">
        <is>
          <t>Iloilo</t>
        </is>
      </c>
      <c r="F1587" s="36" t="inlineStr">
        <is>
          <t>City of Iloilo</t>
        </is>
      </c>
      <c r="G1587" s="36" t="inlineStr">
        <is>
          <t>Aguinaldo</t>
        </is>
      </c>
      <c r="H1587" s="37" t="n">
        <v>10.706367</v>
      </c>
      <c r="I1587" s="37" t="n">
        <v>122.572343</v>
      </c>
      <c r="J1587" s="8" t="inlineStr">
        <is>
          <t>R</t>
        </is>
      </c>
      <c r="K1587" s="36" t="inlineStr">
        <is>
          <t>Class 1-3 / Urban</t>
        </is>
      </c>
      <c r="L1587" s="18" t="n">
        <v>1492</v>
      </c>
      <c r="M1587" s="20" t="n">
        <v>4.39</v>
      </c>
      <c r="N1587" s="18">
        <f>ROUND(L1587/M1587, 0)</f>
        <v/>
      </c>
      <c r="O1587" s="18">
        <f>ROUND(N1587*'Methodology &amp; Assumptions'!$B$8, 0)</f>
        <v/>
      </c>
      <c r="P1587" s="8" t="inlineStr">
        <is>
          <t>Band n50 (1.5 GHz, 60 MHz)</t>
        </is>
      </c>
      <c r="Q1587" s="38">
        <f>ROUNDUP(O1587/'Methodology &amp; Assumptions'!$B$9, 0)</f>
        <v/>
      </c>
      <c r="R1587" s="39" t="n">
        <v>1</v>
      </c>
      <c r="S1587" s="21" t="n">
        <v>0.95</v>
      </c>
      <c r="T1587" s="21" t="n">
        <v>0.47</v>
      </c>
      <c r="U1587" s="36" t="inlineStr">
        <is>
          <t>Tier 1A (Direct Coloc, &lt;1 km)</t>
        </is>
      </c>
      <c r="V1587" s="20" t="n">
        <v>82.8</v>
      </c>
      <c r="W1587" s="20" t="n">
        <v>51.2</v>
      </c>
      <c r="X1587" s="20" t="n">
        <v>58</v>
      </c>
      <c r="Y1587" s="40">
        <f>ROUND((V1587*'Methodology &amp; Assumptions'!$B$6)+(W1587*'Methodology &amp; Assumptions'!$B$5)+(X1587*'Methodology &amp; Assumptions'!$B$7), 2)</f>
        <v/>
      </c>
    </row>
    <row r="1588" ht="19" customHeight="1">
      <c r="A1588" s="41" t="n">
        <v>584</v>
      </c>
      <c r="B1588" s="41" t="n">
        <v>4584</v>
      </c>
      <c r="C1588" s="42" t="inlineStr">
        <is>
          <t>0501721016</t>
        </is>
      </c>
      <c r="D1588" s="42" t="inlineStr">
        <is>
          <t>Region V (Bicol Region)</t>
        </is>
      </c>
      <c r="E1588" s="42" t="inlineStr">
        <is>
          <t>Camarines Sur</t>
        </is>
      </c>
      <c r="F1588" s="42" t="inlineStr">
        <is>
          <t>Milaor</t>
        </is>
      </c>
      <c r="G1588" s="42" t="inlineStr">
        <is>
          <t>San Miguel</t>
        </is>
      </c>
      <c r="H1588" s="43" t="n">
        <v>13.59477</v>
      </c>
      <c r="I1588" s="43" t="n">
        <v>123.183033</v>
      </c>
      <c r="J1588" s="44" t="inlineStr">
        <is>
          <t>R</t>
        </is>
      </c>
      <c r="K1588" s="42" t="inlineStr">
        <is>
          <t>3rd</t>
        </is>
      </c>
      <c r="L1588" s="23" t="n">
        <v>1305</v>
      </c>
      <c r="M1588" s="24" t="n">
        <v>4.92</v>
      </c>
      <c r="N1588" s="23">
        <f>ROUND(L1588/M1588, 0)</f>
        <v/>
      </c>
      <c r="O1588" s="23">
        <f>ROUND(N1588*'Methodology &amp; Assumptions'!$B$8, 0)</f>
        <v/>
      </c>
      <c r="P1588" s="44" t="inlineStr">
        <is>
          <t>Band n50 (1.5 GHz, 60 MHz)</t>
        </is>
      </c>
      <c r="Q1588" s="38">
        <f>ROUNDUP(O1588/'Methodology &amp; Assumptions'!$B$9, 0)</f>
        <v/>
      </c>
      <c r="R1588" s="39" t="n">
        <v>1</v>
      </c>
      <c r="S1588" s="25" t="n">
        <v>0.72</v>
      </c>
      <c r="T1588" s="25" t="n">
        <v>0.55</v>
      </c>
      <c r="U1588" s="42" t="inlineStr">
        <is>
          <t>Tier 1A (Direct Coloc, &lt;1 km)</t>
        </is>
      </c>
      <c r="V1588" s="24" t="n">
        <v>88.59999999999999</v>
      </c>
      <c r="W1588" s="24" t="n">
        <v>45.3</v>
      </c>
      <c r="X1588" s="24" t="n">
        <v>58</v>
      </c>
      <c r="Y1588" s="45">
        <f>ROUND((V1588*'Methodology &amp; Assumptions'!$B$6)+(W1588*'Methodology &amp; Assumptions'!$B$5)+(X1588*'Methodology &amp; Assumptions'!$B$7), 2)</f>
        <v/>
      </c>
    </row>
    <row r="1589" ht="19" customHeight="1">
      <c r="A1589" s="35" t="n">
        <v>585</v>
      </c>
      <c r="B1589" s="35" t="n">
        <v>4585</v>
      </c>
      <c r="C1589" s="36" t="inlineStr">
        <is>
          <t>0405607080</t>
        </is>
      </c>
      <c r="D1589" s="36" t="inlineStr">
        <is>
          <t>Region IV-A (CALABARZON)</t>
        </is>
      </c>
      <c r="E1589" s="36" t="inlineStr">
        <is>
          <t>Quezon</t>
        </is>
      </c>
      <c r="F1589" s="36" t="inlineStr">
        <is>
          <t>Calauag</t>
        </is>
      </c>
      <c r="G1589" s="36" t="inlineStr">
        <is>
          <t>Sumulong</t>
        </is>
      </c>
      <c r="H1589" s="37" t="n">
        <v>13.958253</v>
      </c>
      <c r="I1589" s="37" t="n">
        <v>122.326205</v>
      </c>
      <c r="J1589" s="8" t="inlineStr">
        <is>
          <t>R</t>
        </is>
      </c>
      <c r="K1589" s="36" t="inlineStr">
        <is>
          <t>Class 1-3 / Urban</t>
        </is>
      </c>
      <c r="L1589" s="18" t="n">
        <v>1221</v>
      </c>
      <c r="M1589" s="20" t="n">
        <v>4.46</v>
      </c>
      <c r="N1589" s="18">
        <f>ROUND(L1589/M1589, 0)</f>
        <v/>
      </c>
      <c r="O1589" s="18">
        <f>ROUND(N1589*'Methodology &amp; Assumptions'!$B$8, 0)</f>
        <v/>
      </c>
      <c r="P1589" s="8" t="inlineStr">
        <is>
          <t>Band n50 (1.5 GHz, 60 MHz)</t>
        </is>
      </c>
      <c r="Q1589" s="38">
        <f>ROUNDUP(O1589/'Methodology &amp; Assumptions'!$B$9, 0)</f>
        <v/>
      </c>
      <c r="R1589" s="39" t="n">
        <v>1</v>
      </c>
      <c r="S1589" s="21" t="n">
        <v>0.74</v>
      </c>
      <c r="T1589" s="21" t="n">
        <v>0.42</v>
      </c>
      <c r="U1589" s="36" t="inlineStr">
        <is>
          <t>Tier 1A (Direct Coloc, &lt;1 km)</t>
        </is>
      </c>
      <c r="V1589" s="20" t="n">
        <v>88.09999999999999</v>
      </c>
      <c r="W1589" s="20" t="n">
        <v>45.9</v>
      </c>
      <c r="X1589" s="20" t="n">
        <v>58</v>
      </c>
      <c r="Y1589" s="40">
        <f>ROUND((V1589*'Methodology &amp; Assumptions'!$B$6)+(W1589*'Methodology &amp; Assumptions'!$B$5)+(X1589*'Methodology &amp; Assumptions'!$B$7), 2)</f>
        <v/>
      </c>
    </row>
    <row r="1590" ht="19" customHeight="1">
      <c r="A1590" s="41" t="n">
        <v>586</v>
      </c>
      <c r="B1590" s="41" t="n">
        <v>4586</v>
      </c>
      <c r="C1590" s="42" t="inlineStr">
        <is>
          <t>0500516010</t>
        </is>
      </c>
      <c r="D1590" s="42" t="inlineStr">
        <is>
          <t>Region V (Bicol Region)</t>
        </is>
      </c>
      <c r="E1590" s="42" t="inlineStr">
        <is>
          <t>Albay</t>
        </is>
      </c>
      <c r="F1590" s="42" t="inlineStr">
        <is>
          <t>Santo Domingo</t>
        </is>
      </c>
      <c r="G1590" s="42" t="inlineStr">
        <is>
          <t>San Pedro Pob.</t>
        </is>
      </c>
      <c r="H1590" s="43" t="n">
        <v>13.23902</v>
      </c>
      <c r="I1590" s="43" t="n">
        <v>123.774818</v>
      </c>
      <c r="J1590" s="44" t="inlineStr">
        <is>
          <t>R</t>
        </is>
      </c>
      <c r="K1590" s="42" t="inlineStr">
        <is>
          <t>2nd</t>
        </is>
      </c>
      <c r="L1590" s="23" t="n">
        <v>599</v>
      </c>
      <c r="M1590" s="24" t="n">
        <v>4.65</v>
      </c>
      <c r="N1590" s="23">
        <f>ROUND(L1590/M1590, 0)</f>
        <v/>
      </c>
      <c r="O1590" s="23">
        <f>ROUND(N1590*'Methodology &amp; Assumptions'!$B$8, 0)</f>
        <v/>
      </c>
      <c r="P1590" s="44" t="inlineStr">
        <is>
          <t>Band n50 (1.5 GHz, 60 MHz)</t>
        </is>
      </c>
      <c r="Q1590" s="38">
        <f>ROUNDUP(O1590/'Methodology &amp; Assumptions'!$B$9, 0)</f>
        <v/>
      </c>
      <c r="R1590" s="39" t="n">
        <v>1</v>
      </c>
      <c r="S1590" s="25" t="n">
        <v>0.33</v>
      </c>
      <c r="T1590" s="25" t="n">
        <v>0.27</v>
      </c>
      <c r="U1590" s="42" t="inlineStr">
        <is>
          <t>Tier 1A (Direct Coloc, &lt;1 km)</t>
        </is>
      </c>
      <c r="V1590" s="24" t="n">
        <v>99.5</v>
      </c>
      <c r="W1590" s="24" t="n">
        <v>34.4</v>
      </c>
      <c r="X1590" s="24" t="n">
        <v>58</v>
      </c>
      <c r="Y1590" s="45">
        <f>ROUND((V1590*'Methodology &amp; Assumptions'!$B$6)+(W1590*'Methodology &amp; Assumptions'!$B$5)+(X1590*'Methodology &amp; Assumptions'!$B$7), 2)</f>
        <v/>
      </c>
    </row>
    <row r="1591" ht="19" customHeight="1">
      <c r="A1591" s="35" t="n">
        <v>587</v>
      </c>
      <c r="B1591" s="35" t="n">
        <v>4587</v>
      </c>
      <c r="C1591" s="36" t="inlineStr">
        <is>
          <t>1206511016</t>
        </is>
      </c>
      <c r="D1591" s="36" t="inlineStr">
        <is>
          <t>Region XII (SOCCSKSARGEN)</t>
        </is>
      </c>
      <c r="E1591" s="36" t="inlineStr">
        <is>
          <t>Sultan Kudarat</t>
        </is>
      </c>
      <c r="F1591" s="36" t="inlineStr">
        <is>
          <t>City of Tacurong</t>
        </is>
      </c>
      <c r="G1591" s="36" t="inlineStr">
        <is>
          <t>San Emmanuel</t>
        </is>
      </c>
      <c r="H1591" s="37" t="n">
        <v>6.697094</v>
      </c>
      <c r="I1591" s="37" t="n">
        <v>124.699603</v>
      </c>
      <c r="J1591" s="8" t="inlineStr">
        <is>
          <t>U</t>
        </is>
      </c>
      <c r="K1591" s="36" t="inlineStr">
        <is>
          <t>Class 1-3 / Urban</t>
        </is>
      </c>
      <c r="L1591" s="18" t="n">
        <v>7847</v>
      </c>
      <c r="M1591" s="20" t="n">
        <v>4.1</v>
      </c>
      <c r="N1591" s="18">
        <f>ROUND(L1591/M1591, 0)</f>
        <v/>
      </c>
      <c r="O1591" s="18">
        <f>ROUND(N1591*'Methodology &amp; Assumptions'!$B$8, 0)</f>
        <v/>
      </c>
      <c r="P1591" s="8" t="inlineStr">
        <is>
          <t>Band n50 (1.5 GHz, 60 MHz)</t>
        </is>
      </c>
      <c r="Q1591" s="38">
        <f>ROUNDUP(O1591/'Methodology &amp; Assumptions'!$B$9, 0)</f>
        <v/>
      </c>
      <c r="R1591" s="39" t="n">
        <v>1</v>
      </c>
      <c r="S1591" s="21" t="n">
        <v>3</v>
      </c>
      <c r="T1591" s="21" t="n">
        <v>1.15</v>
      </c>
      <c r="U1591" s="36" t="inlineStr">
        <is>
          <t>Tier 1B (Micro Drop, 1-3 km)</t>
        </is>
      </c>
      <c r="V1591" s="20" t="n">
        <v>46.8</v>
      </c>
      <c r="W1591" s="20" t="n">
        <v>100</v>
      </c>
      <c r="X1591" s="20" t="n">
        <v>43</v>
      </c>
      <c r="Y1591" s="40">
        <f>ROUND((V1591*'Methodology &amp; Assumptions'!$B$6)+(W1591*'Methodology &amp; Assumptions'!$B$5)+(X1591*'Methodology &amp; Assumptions'!$B$7), 2)</f>
        <v/>
      </c>
    </row>
    <row r="1592" ht="19" customHeight="1">
      <c r="A1592" s="41" t="n">
        <v>588</v>
      </c>
      <c r="B1592" s="41" t="n">
        <v>4588</v>
      </c>
      <c r="C1592" s="42" t="inlineStr">
        <is>
          <t>0401031043</t>
        </is>
      </c>
      <c r="D1592" s="42" t="inlineStr">
        <is>
          <t>Region IV-A (CALABARZON)</t>
        </is>
      </c>
      <c r="E1592" s="42" t="inlineStr">
        <is>
          <t>Batangas</t>
        </is>
      </c>
      <c r="F1592" s="42" t="inlineStr">
        <is>
          <t>City of Tanauan</t>
        </is>
      </c>
      <c r="G1592" s="42" t="inlineStr">
        <is>
          <t>Santor</t>
        </is>
      </c>
      <c r="H1592" s="43" t="n">
        <v>14.09236</v>
      </c>
      <c r="I1592" s="43" t="n">
        <v>121.11617</v>
      </c>
      <c r="J1592" s="44" t="inlineStr">
        <is>
          <t>U</t>
        </is>
      </c>
      <c r="K1592" s="42" t="inlineStr">
        <is>
          <t>Class 1-3 / Urban</t>
        </is>
      </c>
      <c r="L1592" s="23" t="n">
        <v>5088</v>
      </c>
      <c r="M1592" s="24" t="n">
        <v>4.62</v>
      </c>
      <c r="N1592" s="23">
        <f>ROUND(L1592/M1592, 0)</f>
        <v/>
      </c>
      <c r="O1592" s="23">
        <f>ROUND(N1592*'Methodology &amp; Assumptions'!$B$8, 0)</f>
        <v/>
      </c>
      <c r="P1592" s="44" t="inlineStr">
        <is>
          <t>Band n50 (1.5 GHz, 60 MHz)</t>
        </is>
      </c>
      <c r="Q1592" s="38">
        <f>ROUNDUP(O1592/'Methodology &amp; Assumptions'!$B$9, 0)</f>
        <v/>
      </c>
      <c r="R1592" s="39" t="n">
        <v>1</v>
      </c>
      <c r="S1592" s="25" t="n">
        <v>1.55</v>
      </c>
      <c r="T1592" s="25" t="n">
        <v>3.44</v>
      </c>
      <c r="U1592" s="42" t="inlineStr">
        <is>
          <t>Tier 1B (Micro Drop, 1-3 km)</t>
        </is>
      </c>
      <c r="V1592" s="24" t="n">
        <v>59.7</v>
      </c>
      <c r="W1592" s="24" t="n">
        <v>100</v>
      </c>
      <c r="X1592" s="24" t="n">
        <v>28</v>
      </c>
      <c r="Y1592" s="45">
        <f>ROUND((V1592*'Methodology &amp; Assumptions'!$B$6)+(W1592*'Methodology &amp; Assumptions'!$B$5)+(X1592*'Methodology &amp; Assumptions'!$B$7), 2)</f>
        <v/>
      </c>
    </row>
    <row r="1593" ht="19" customHeight="1">
      <c r="A1593" s="35" t="n">
        <v>589</v>
      </c>
      <c r="B1593" s="35" t="n">
        <v>4589</v>
      </c>
      <c r="C1593" s="36" t="inlineStr">
        <is>
          <t>1402704026</t>
        </is>
      </c>
      <c r="D1593" s="36" t="inlineStr">
        <is>
          <t>Cordillera Administrative Region (CAR)</t>
        </is>
      </c>
      <c r="E1593" s="36" t="inlineStr">
        <is>
          <t>Ifugao</t>
        </is>
      </c>
      <c r="F1593" s="36" t="inlineStr">
        <is>
          <t>Lagawe</t>
        </is>
      </c>
      <c r="G1593" s="36" t="inlineStr">
        <is>
          <t>Poblacion East</t>
        </is>
      </c>
      <c r="H1593" s="37" t="n">
        <v>16.800743</v>
      </c>
      <c r="I1593" s="37" t="n">
        <v>121.125932</v>
      </c>
      <c r="J1593" s="8" t="inlineStr">
        <is>
          <t>U</t>
        </is>
      </c>
      <c r="K1593" s="36" t="inlineStr">
        <is>
          <t>3rd</t>
        </is>
      </c>
      <c r="L1593" s="18" t="n">
        <v>2426</v>
      </c>
      <c r="M1593" s="20" t="n">
        <v>4.87</v>
      </c>
      <c r="N1593" s="18">
        <f>ROUND(L1593/M1593, 0)</f>
        <v/>
      </c>
      <c r="O1593" s="18">
        <f>ROUND(N1593*'Methodology &amp; Assumptions'!$B$8, 0)</f>
        <v/>
      </c>
      <c r="P1593" s="8" t="inlineStr">
        <is>
          <t>Band n50 (1.5 GHz, 60 MHz)</t>
        </is>
      </c>
      <c r="Q1593" s="38">
        <f>ROUNDUP(O1593/'Methodology &amp; Assumptions'!$B$9, 0)</f>
        <v/>
      </c>
      <c r="R1593" s="39" t="n">
        <v>1</v>
      </c>
      <c r="S1593" s="21" t="n">
        <v>0.32</v>
      </c>
      <c r="T1593" s="21" t="n">
        <v>0.38</v>
      </c>
      <c r="U1593" s="36" t="inlineStr">
        <is>
          <t>Tier 1A (Direct Coloc, &lt;1 km)</t>
        </is>
      </c>
      <c r="V1593" s="20" t="n">
        <v>99.90000000000001</v>
      </c>
      <c r="W1593" s="20" t="n">
        <v>59.7</v>
      </c>
      <c r="X1593" s="20" t="n">
        <v>28</v>
      </c>
      <c r="Y1593" s="40">
        <f>ROUND((V1593*'Methodology &amp; Assumptions'!$B$6)+(W1593*'Methodology &amp; Assumptions'!$B$5)+(X1593*'Methodology &amp; Assumptions'!$B$7), 2)</f>
        <v/>
      </c>
    </row>
    <row r="1594" ht="19" customHeight="1">
      <c r="A1594" s="41" t="n">
        <v>590</v>
      </c>
      <c r="B1594" s="41" t="n">
        <v>4590</v>
      </c>
      <c r="C1594" s="42" t="inlineStr">
        <is>
          <t>0401002016</t>
        </is>
      </c>
      <c r="D1594" s="42" t="inlineStr">
        <is>
          <t>Region IV-A (CALABARZON)</t>
        </is>
      </c>
      <c r="E1594" s="42" t="inlineStr">
        <is>
          <t>Batangas</t>
        </is>
      </c>
      <c r="F1594" s="42" t="inlineStr">
        <is>
          <t>Alitagtag</t>
        </is>
      </c>
      <c r="G1594" s="42" t="inlineStr">
        <is>
          <t>Poblacion West</t>
        </is>
      </c>
      <c r="H1594" s="43" t="n">
        <v>13.873459</v>
      </c>
      <c r="I1594" s="43" t="n">
        <v>121.003405</v>
      </c>
      <c r="J1594" s="44" t="inlineStr">
        <is>
          <t>R</t>
        </is>
      </c>
      <c r="K1594" s="42" t="inlineStr">
        <is>
          <t>4th</t>
        </is>
      </c>
      <c r="L1594" s="23" t="n">
        <v>2595</v>
      </c>
      <c r="M1594" s="24" t="n">
        <v>4.55</v>
      </c>
      <c r="N1594" s="23">
        <f>ROUND(L1594/M1594, 0)</f>
        <v/>
      </c>
      <c r="O1594" s="23">
        <f>ROUND(N1594*'Methodology &amp; Assumptions'!$B$8, 0)</f>
        <v/>
      </c>
      <c r="P1594" s="44" t="inlineStr">
        <is>
          <t>Band n50 (1.5 GHz, 60 MHz)</t>
        </is>
      </c>
      <c r="Q1594" s="38">
        <f>ROUNDUP(O1594/'Methodology &amp; Assumptions'!$B$9, 0)</f>
        <v/>
      </c>
      <c r="R1594" s="39" t="n">
        <v>1</v>
      </c>
      <c r="S1594" s="25" t="n">
        <v>2.37</v>
      </c>
      <c r="T1594" s="25" t="n">
        <v>1.09</v>
      </c>
      <c r="U1594" s="42" t="inlineStr">
        <is>
          <t>Tier 1B (Micro Drop, 1-3 km)</t>
        </is>
      </c>
      <c r="V1594" s="24" t="n">
        <v>55.3</v>
      </c>
      <c r="W1594" s="24" t="n">
        <v>69.59999999999999</v>
      </c>
      <c r="X1594" s="24" t="n">
        <v>68.5</v>
      </c>
      <c r="Y1594" s="45">
        <f>ROUND((V1594*'Methodology &amp; Assumptions'!$B$6)+(W1594*'Methodology &amp; Assumptions'!$B$5)+(X1594*'Methodology &amp; Assumptions'!$B$7), 2)</f>
        <v/>
      </c>
    </row>
    <row r="1595" ht="19" customHeight="1">
      <c r="A1595" s="35" t="n">
        <v>591</v>
      </c>
      <c r="B1595" s="35" t="n">
        <v>4591</v>
      </c>
      <c r="C1595" s="36" t="inlineStr">
        <is>
          <t>0803738018</t>
        </is>
      </c>
      <c r="D1595" s="36" t="inlineStr">
        <is>
          <t>Region VIII (Eastern Visayas)</t>
        </is>
      </c>
      <c r="E1595" s="36" t="inlineStr">
        <is>
          <t>Leyte</t>
        </is>
      </c>
      <c r="F1595" s="36" t="inlineStr">
        <is>
          <t>Ormoc City</t>
        </is>
      </c>
      <c r="G1595" s="36" t="inlineStr">
        <is>
          <t>Curva</t>
        </is>
      </c>
      <c r="H1595" s="37" t="n">
        <v>11.03626</v>
      </c>
      <c r="I1595" s="37" t="n">
        <v>124.525661</v>
      </c>
      <c r="J1595" s="8" t="inlineStr">
        <is>
          <t>R</t>
        </is>
      </c>
      <c r="K1595" s="36" t="inlineStr">
        <is>
          <t>Class 1-3 / Urban</t>
        </is>
      </c>
      <c r="L1595" s="18" t="n">
        <v>3309</v>
      </c>
      <c r="M1595" s="20" t="n">
        <v>4.24</v>
      </c>
      <c r="N1595" s="18">
        <f>ROUND(L1595/M1595, 0)</f>
        <v/>
      </c>
      <c r="O1595" s="18">
        <f>ROUND(N1595*'Methodology &amp; Assumptions'!$B$8, 0)</f>
        <v/>
      </c>
      <c r="P1595" s="8" t="inlineStr">
        <is>
          <t>Band n50 (1.5 GHz, 60 MHz)</t>
        </is>
      </c>
      <c r="Q1595" s="38">
        <f>ROUNDUP(O1595/'Methodology &amp; Assumptions'!$B$9, 0)</f>
        <v/>
      </c>
      <c r="R1595" s="39" t="n">
        <v>1</v>
      </c>
      <c r="S1595" s="21" t="n">
        <v>2.94</v>
      </c>
      <c r="T1595" s="21" t="n">
        <v>0.1</v>
      </c>
      <c r="U1595" s="36" t="inlineStr">
        <is>
          <t>Tier 1B (Micro Drop, 1-3 km)</t>
        </is>
      </c>
      <c r="V1595" s="20" t="n">
        <v>47.5</v>
      </c>
      <c r="W1595" s="20" t="n">
        <v>86.40000000000001</v>
      </c>
      <c r="X1595" s="20" t="n">
        <v>58</v>
      </c>
      <c r="Y1595" s="40">
        <f>ROUND((V1595*'Methodology &amp; Assumptions'!$B$6)+(W1595*'Methodology &amp; Assumptions'!$B$5)+(X1595*'Methodology &amp; Assumptions'!$B$7), 2)</f>
        <v/>
      </c>
    </row>
    <row r="1596" ht="19" customHeight="1">
      <c r="A1596" s="41" t="n">
        <v>592</v>
      </c>
      <c r="B1596" s="41" t="n">
        <v>4592</v>
      </c>
      <c r="C1596" s="42" t="inlineStr">
        <is>
          <t>0402114024</t>
        </is>
      </c>
      <c r="D1596" s="42" t="inlineStr">
        <is>
          <t>Region IV-A (CALABARZON)</t>
        </is>
      </c>
      <c r="E1596" s="42" t="inlineStr">
        <is>
          <t>Cavite</t>
        </is>
      </c>
      <c r="F1596" s="42" t="inlineStr">
        <is>
          <t>Mendez</t>
        </is>
      </c>
      <c r="G1596" s="42" t="inlineStr">
        <is>
          <t>Palocpoc II</t>
        </is>
      </c>
      <c r="H1596" s="43" t="n">
        <v>14.132687</v>
      </c>
      <c r="I1596" s="43" t="n">
        <v>120.875974</v>
      </c>
      <c r="J1596" s="44" t="inlineStr">
        <is>
          <t>R</t>
        </is>
      </c>
      <c r="K1596" s="42" t="inlineStr">
        <is>
          <t>2nd</t>
        </is>
      </c>
      <c r="L1596" s="23" t="n">
        <v>1225</v>
      </c>
      <c r="M1596" s="24" t="n">
        <v>4.37</v>
      </c>
      <c r="N1596" s="23">
        <f>ROUND(L1596/M1596, 0)</f>
        <v/>
      </c>
      <c r="O1596" s="23">
        <f>ROUND(N1596*'Methodology &amp; Assumptions'!$B$8, 0)</f>
        <v/>
      </c>
      <c r="P1596" s="44" t="inlineStr">
        <is>
          <t>Band n50 (1.5 GHz, 60 MHz)</t>
        </is>
      </c>
      <c r="Q1596" s="38">
        <f>ROUNDUP(O1596/'Methodology &amp; Assumptions'!$B$9, 0)</f>
        <v/>
      </c>
      <c r="R1596" s="39" t="n">
        <v>1</v>
      </c>
      <c r="S1596" s="25" t="n">
        <v>0.4</v>
      </c>
      <c r="T1596" s="25" t="n">
        <v>5.34</v>
      </c>
      <c r="U1596" s="42" t="inlineStr">
        <is>
          <t>Tier 1A (Direct Coloc, &lt;1 km)</t>
        </is>
      </c>
      <c r="V1596" s="24" t="n">
        <v>87.5</v>
      </c>
      <c r="W1596" s="24" t="n">
        <v>46.4</v>
      </c>
      <c r="X1596" s="24" t="n">
        <v>58</v>
      </c>
      <c r="Y1596" s="45">
        <f>ROUND((V1596*'Methodology &amp; Assumptions'!$B$6)+(W1596*'Methodology &amp; Assumptions'!$B$5)+(X1596*'Methodology &amp; Assumptions'!$B$7), 2)</f>
        <v/>
      </c>
    </row>
    <row r="1597" ht="19" customHeight="1">
      <c r="A1597" s="35" t="n">
        <v>593</v>
      </c>
      <c r="B1597" s="35" t="n">
        <v>4593</v>
      </c>
      <c r="C1597" s="36" t="inlineStr">
        <is>
          <t>0405648006</t>
        </is>
      </c>
      <c r="D1597" s="36" t="inlineStr">
        <is>
          <t>Region IV-A (CALABARZON)</t>
        </is>
      </c>
      <c r="E1597" s="36" t="inlineStr">
        <is>
          <t>Quezon</t>
        </is>
      </c>
      <c r="F1597" s="36" t="inlineStr">
        <is>
          <t>Tiaong</t>
        </is>
      </c>
      <c r="G1597" s="36" t="inlineStr">
        <is>
          <t>Barangay IV</t>
        </is>
      </c>
      <c r="H1597" s="37" t="n">
        <v>13.958674</v>
      </c>
      <c r="I1597" s="37" t="n">
        <v>121.323424</v>
      </c>
      <c r="J1597" s="8" t="inlineStr">
        <is>
          <t>R</t>
        </is>
      </c>
      <c r="K1597" s="36" t="inlineStr">
        <is>
          <t>Class 1-3 / Urban</t>
        </is>
      </c>
      <c r="L1597" s="18" t="n">
        <v>986</v>
      </c>
      <c r="M1597" s="20" t="n">
        <v>4.46</v>
      </c>
      <c r="N1597" s="18">
        <f>ROUND(L1597/M1597, 0)</f>
        <v/>
      </c>
      <c r="O1597" s="18">
        <f>ROUND(N1597*'Methodology &amp; Assumptions'!$B$8, 0)</f>
        <v/>
      </c>
      <c r="P1597" s="8" t="inlineStr">
        <is>
          <t>Band n50 (1.5 GHz, 60 MHz)</t>
        </is>
      </c>
      <c r="Q1597" s="38">
        <f>ROUNDUP(O1597/'Methodology &amp; Assumptions'!$B$9, 0)</f>
        <v/>
      </c>
      <c r="R1597" s="39" t="n">
        <v>1</v>
      </c>
      <c r="S1597" s="21" t="n">
        <v>0.58</v>
      </c>
      <c r="T1597" s="21" t="n">
        <v>0.06</v>
      </c>
      <c r="U1597" s="36" t="inlineStr">
        <is>
          <t>Tier 1A (Direct Coloc, &lt;1 km)</t>
        </is>
      </c>
      <c r="V1597" s="20" t="n">
        <v>92.3</v>
      </c>
      <c r="W1597" s="20" t="n">
        <v>41.6</v>
      </c>
      <c r="X1597" s="20" t="n">
        <v>58</v>
      </c>
      <c r="Y1597" s="40">
        <f>ROUND((V1597*'Methodology &amp; Assumptions'!$B$6)+(W1597*'Methodology &amp; Assumptions'!$B$5)+(X1597*'Methodology &amp; Assumptions'!$B$7), 2)</f>
        <v/>
      </c>
    </row>
    <row r="1598" ht="19" customHeight="1">
      <c r="A1598" s="41" t="n">
        <v>594</v>
      </c>
      <c r="B1598" s="41" t="n">
        <v>4594</v>
      </c>
      <c r="C1598" s="42" t="inlineStr">
        <is>
          <t>1102403022</t>
        </is>
      </c>
      <c r="D1598" s="42" t="inlineStr">
        <is>
          <t>Region XI (Davao Region)</t>
        </is>
      </c>
      <c r="E1598" s="42" t="inlineStr">
        <is>
          <t>Davao del Sur</t>
        </is>
      </c>
      <c r="F1598" s="42" t="inlineStr">
        <is>
          <t>City of Digos</t>
        </is>
      </c>
      <c r="G1598" s="42" t="inlineStr">
        <is>
          <t>San Miguel</t>
        </is>
      </c>
      <c r="H1598" s="43" t="n">
        <v>6.73591</v>
      </c>
      <c r="I1598" s="43" t="n">
        <v>125.345425</v>
      </c>
      <c r="J1598" s="44" t="inlineStr">
        <is>
          <t>U</t>
        </is>
      </c>
      <c r="K1598" s="42" t="inlineStr">
        <is>
          <t>Class 1-3 / Urban</t>
        </is>
      </c>
      <c r="L1598" s="23" t="n">
        <v>17312</v>
      </c>
      <c r="M1598" s="24" t="n">
        <v>4.1</v>
      </c>
      <c r="N1598" s="23">
        <f>ROUND(L1598/M1598, 0)</f>
        <v/>
      </c>
      <c r="O1598" s="23">
        <f>ROUND(N1598*'Methodology &amp; Assumptions'!$B$8, 0)</f>
        <v/>
      </c>
      <c r="P1598" s="44" t="inlineStr">
        <is>
          <t>Band n50 (1.5 GHz, 60 MHz)</t>
        </is>
      </c>
      <c r="Q1598" s="38">
        <f>ROUNDUP(O1598/'Methodology &amp; Assumptions'!$B$9, 0)</f>
        <v/>
      </c>
      <c r="R1598" s="39" t="n">
        <v>1</v>
      </c>
      <c r="S1598" s="25" t="n">
        <v>2.1</v>
      </c>
      <c r="T1598" s="25" t="n">
        <v>1.05</v>
      </c>
      <c r="U1598" s="42" t="inlineStr">
        <is>
          <t>Tier 1B (Micro Drop, 1-3 km)</t>
        </is>
      </c>
      <c r="V1598" s="24" t="n">
        <v>59.6</v>
      </c>
      <c r="W1598" s="24" t="n">
        <v>100</v>
      </c>
      <c r="X1598" s="24" t="n">
        <v>28</v>
      </c>
      <c r="Y1598" s="45">
        <f>ROUND((V1598*'Methodology &amp; Assumptions'!$B$6)+(W1598*'Methodology &amp; Assumptions'!$B$5)+(X1598*'Methodology &amp; Assumptions'!$B$7), 2)</f>
        <v/>
      </c>
    </row>
    <row r="1599" ht="19" customHeight="1">
      <c r="A1599" s="35" t="n">
        <v>595</v>
      </c>
      <c r="B1599" s="35" t="n">
        <v>4595</v>
      </c>
      <c r="C1599" s="36" t="inlineStr">
        <is>
          <t>0403405058</t>
        </is>
      </c>
      <c r="D1599" s="36" t="inlineStr">
        <is>
          <t>Region IV-A (CALABARZON)</t>
        </is>
      </c>
      <c r="E1599" s="36" t="inlineStr">
        <is>
          <t>Laguna</t>
        </is>
      </c>
      <c r="F1599" s="36" t="inlineStr">
        <is>
          <t>City of Calamba</t>
        </is>
      </c>
      <c r="G1599" s="36" t="inlineStr">
        <is>
          <t>Turbina</t>
        </is>
      </c>
      <c r="H1599" s="37" t="n">
        <v>14.182411</v>
      </c>
      <c r="I1599" s="37" t="n">
        <v>121.134039</v>
      </c>
      <c r="J1599" s="8" t="inlineStr">
        <is>
          <t>U</t>
        </is>
      </c>
      <c r="K1599" s="36" t="inlineStr">
        <is>
          <t>Class 1-3 / Urban</t>
        </is>
      </c>
      <c r="L1599" s="18" t="n">
        <v>6268</v>
      </c>
      <c r="M1599" s="20" t="n">
        <v>4.2</v>
      </c>
      <c r="N1599" s="18">
        <f>ROUND(L1599/M1599, 0)</f>
        <v/>
      </c>
      <c r="O1599" s="18">
        <f>ROUND(N1599*'Methodology &amp; Assumptions'!$B$8, 0)</f>
        <v/>
      </c>
      <c r="P1599" s="8" t="inlineStr">
        <is>
          <t>Band n50 (1.5 GHz, 60 MHz)</t>
        </is>
      </c>
      <c r="Q1599" s="38">
        <f>ROUNDUP(O1599/'Methodology &amp; Assumptions'!$B$9, 0)</f>
        <v/>
      </c>
      <c r="R1599" s="39" t="n">
        <v>1</v>
      </c>
      <c r="S1599" s="21" t="n">
        <v>2.1</v>
      </c>
      <c r="T1599" s="21" t="n">
        <v>0.11</v>
      </c>
      <c r="U1599" s="36" t="inlineStr">
        <is>
          <t>Tier 1B (Micro Drop, 1-3 km)</t>
        </is>
      </c>
      <c r="V1599" s="20" t="n">
        <v>59.6</v>
      </c>
      <c r="W1599" s="20" t="n">
        <v>100</v>
      </c>
      <c r="X1599" s="20" t="n">
        <v>28</v>
      </c>
      <c r="Y1599" s="40">
        <f>ROUND((V1599*'Methodology &amp; Assumptions'!$B$6)+(W1599*'Methodology &amp; Assumptions'!$B$5)+(X1599*'Methodology &amp; Assumptions'!$B$7), 2)</f>
        <v/>
      </c>
    </row>
    <row r="1600" ht="19" customHeight="1">
      <c r="A1600" s="41" t="n">
        <v>596</v>
      </c>
      <c r="B1600" s="41" t="n">
        <v>4596</v>
      </c>
      <c r="C1600" s="42" t="inlineStr">
        <is>
          <t>1630400076</t>
        </is>
      </c>
      <c r="D1600" s="42" t="inlineStr">
        <is>
          <t>Region XIII (Caraga)</t>
        </is>
      </c>
      <c r="E1600" s="42" t="inlineStr">
        <is>
          <t>Agusan del Norte</t>
        </is>
      </c>
      <c r="F1600" s="42" t="inlineStr">
        <is>
          <t>City of Butuan</t>
        </is>
      </c>
      <c r="G1600" s="42" t="inlineStr">
        <is>
          <t>San Mateo</t>
        </is>
      </c>
      <c r="H1600" s="43" t="n">
        <v>8.785107</v>
      </c>
      <c r="I1600" s="43" t="n">
        <v>125.563815</v>
      </c>
      <c r="J1600" s="44" t="inlineStr">
        <is>
          <t>R</t>
        </is>
      </c>
      <c r="K1600" s="42" t="inlineStr">
        <is>
          <t>Class 1-3 / Urban</t>
        </is>
      </c>
      <c r="L1600" s="23" t="n">
        <v>4166</v>
      </c>
      <c r="M1600" s="24" t="n">
        <v>4.63</v>
      </c>
      <c r="N1600" s="23">
        <f>ROUND(L1600/M1600, 0)</f>
        <v/>
      </c>
      <c r="O1600" s="23">
        <f>ROUND(N1600*'Methodology &amp; Assumptions'!$B$8, 0)</f>
        <v/>
      </c>
      <c r="P1600" s="44" t="inlineStr">
        <is>
          <t>Band n50 (1.5 GHz, 60 MHz)</t>
        </is>
      </c>
      <c r="Q1600" s="38">
        <f>ROUNDUP(O1600/'Methodology &amp; Assumptions'!$B$9, 0)</f>
        <v/>
      </c>
      <c r="R1600" s="39" t="n">
        <v>1</v>
      </c>
      <c r="S1600" s="25" t="n">
        <v>14.27</v>
      </c>
      <c r="T1600" s="25" t="n">
        <v>0.11</v>
      </c>
      <c r="U1600" s="42" t="inlineStr">
        <is>
          <t>Tier 2 (Fiber Corridor / Lateral, 3-5 km)</t>
        </is>
      </c>
      <c r="V1600" s="24" t="n">
        <v>25</v>
      </c>
      <c r="W1600" s="24" t="n">
        <v>96</v>
      </c>
      <c r="X1600" s="24" t="n">
        <v>73</v>
      </c>
      <c r="Y1600" s="45">
        <f>ROUND((V1600*'Methodology &amp; Assumptions'!$B$6)+(W1600*'Methodology &amp; Assumptions'!$B$5)+(X1600*'Methodology &amp; Assumptions'!$B$7), 2)</f>
        <v/>
      </c>
    </row>
    <row r="1601" ht="19" customHeight="1">
      <c r="A1601" s="35" t="n">
        <v>597</v>
      </c>
      <c r="B1601" s="35" t="n">
        <v>4597</v>
      </c>
      <c r="C1601" s="36" t="inlineStr">
        <is>
          <t>0702206011</t>
        </is>
      </c>
      <c r="D1601" s="36" t="inlineStr">
        <is>
          <t>Region VII (Central Visayas)</t>
        </is>
      </c>
      <c r="E1601" s="36" t="inlineStr">
        <is>
          <t>Cebu</t>
        </is>
      </c>
      <c r="F1601" s="36" t="inlineStr">
        <is>
          <t>Asturias</t>
        </is>
      </c>
      <c r="G1601" s="36" t="inlineStr">
        <is>
          <t>Langub</t>
        </is>
      </c>
      <c r="H1601" s="37" t="n">
        <v>10.583614</v>
      </c>
      <c r="I1601" s="37" t="n">
        <v>123.732324</v>
      </c>
      <c r="J1601" s="8" t="inlineStr">
        <is>
          <t>R</t>
        </is>
      </c>
      <c r="K1601" s="36" t="inlineStr">
        <is>
          <t>Class 1-3 / Urban</t>
        </is>
      </c>
      <c r="L1601" s="18" t="n">
        <v>3983</v>
      </c>
      <c r="M1601" s="20" t="n">
        <v>4.42</v>
      </c>
      <c r="N1601" s="18">
        <f>ROUND(L1601/M1601, 0)</f>
        <v/>
      </c>
      <c r="O1601" s="18">
        <f>ROUND(N1601*'Methodology &amp; Assumptions'!$B$8, 0)</f>
        <v/>
      </c>
      <c r="P1601" s="8" t="inlineStr">
        <is>
          <t>Band n50 (1.5 GHz, 60 MHz)</t>
        </is>
      </c>
      <c r="Q1601" s="38">
        <f>ROUNDUP(O1601/'Methodology &amp; Assumptions'!$B$9, 0)</f>
        <v/>
      </c>
      <c r="R1601" s="39" t="n">
        <v>1</v>
      </c>
      <c r="S1601" s="21" t="n">
        <v>8.52</v>
      </c>
      <c r="T1601" s="21" t="n">
        <v>0.1</v>
      </c>
      <c r="U1601" s="36" t="inlineStr">
        <is>
          <t>Tier 2 (Fiber Corridor / Lateral, 3-5 km)</t>
        </is>
      </c>
      <c r="V1601" s="20" t="n">
        <v>25</v>
      </c>
      <c r="W1601" s="20" t="n">
        <v>96</v>
      </c>
      <c r="X1601" s="20" t="n">
        <v>73</v>
      </c>
      <c r="Y1601" s="40">
        <f>ROUND((V1601*'Methodology &amp; Assumptions'!$B$6)+(W1601*'Methodology &amp; Assumptions'!$B$5)+(X1601*'Methodology &amp; Assumptions'!$B$7), 2)</f>
        <v/>
      </c>
    </row>
    <row r="1602" ht="19" customHeight="1">
      <c r="A1602" s="41" t="n">
        <v>598</v>
      </c>
      <c r="B1602" s="41" t="n">
        <v>4598</v>
      </c>
      <c r="C1602" s="42" t="inlineStr">
        <is>
          <t>0203109012</t>
        </is>
      </c>
      <c r="D1602" s="42" t="inlineStr">
        <is>
          <t>Region II (Cagayan Valley)</t>
        </is>
      </c>
      <c r="E1602" s="42" t="inlineStr">
        <is>
          <t>Isabela</t>
        </is>
      </c>
      <c r="F1602" s="42" t="inlineStr">
        <is>
          <t>Cordon</t>
        </is>
      </c>
      <c r="G1602" s="42" t="inlineStr">
        <is>
          <t>Quezon</t>
        </is>
      </c>
      <c r="H1602" s="43" t="n">
        <v>16.516207</v>
      </c>
      <c r="I1602" s="43" t="n">
        <v>121.174069</v>
      </c>
      <c r="J1602" s="44" t="inlineStr">
        <is>
          <t>R</t>
        </is>
      </c>
      <c r="K1602" s="42" t="inlineStr">
        <is>
          <t>Class 1-3 / Urban</t>
        </is>
      </c>
      <c r="L1602" s="23" t="n">
        <v>1041</v>
      </c>
      <c r="M1602" s="24" t="n">
        <v>4.3</v>
      </c>
      <c r="N1602" s="23">
        <f>ROUND(L1602/M1602, 0)</f>
        <v/>
      </c>
      <c r="O1602" s="23">
        <f>ROUND(N1602*'Methodology &amp; Assumptions'!$B$8, 0)</f>
        <v/>
      </c>
      <c r="P1602" s="44" t="inlineStr">
        <is>
          <t>Band n50 (1.5 GHz, 60 MHz)</t>
        </is>
      </c>
      <c r="Q1602" s="38">
        <f>ROUNDUP(O1602/'Methodology &amp; Assumptions'!$B$9, 0)</f>
        <v/>
      </c>
      <c r="R1602" s="39" t="n">
        <v>1</v>
      </c>
      <c r="S1602" s="25" t="n">
        <v>1.18</v>
      </c>
      <c r="T1602" s="25" t="n">
        <v>0.53</v>
      </c>
      <c r="U1602" s="42" t="inlineStr">
        <is>
          <t>Tier 1B (Micro Drop, 1-3 km)</t>
        </is>
      </c>
      <c r="V1602" s="24" t="n">
        <v>77.5</v>
      </c>
      <c r="W1602" s="24" t="n">
        <v>43.5</v>
      </c>
      <c r="X1602" s="24" t="n">
        <v>73</v>
      </c>
      <c r="Y1602" s="45">
        <f>ROUND((V1602*'Methodology &amp; Assumptions'!$B$6)+(W1602*'Methodology &amp; Assumptions'!$B$5)+(X1602*'Methodology &amp; Assumptions'!$B$7), 2)</f>
        <v/>
      </c>
    </row>
    <row r="1603" ht="19" customHeight="1">
      <c r="A1603" s="35" t="n">
        <v>599</v>
      </c>
      <c r="B1603" s="35" t="n">
        <v>4599</v>
      </c>
      <c r="C1603" s="36" t="inlineStr">
        <is>
          <t>0205704029</t>
        </is>
      </c>
      <c r="D1603" s="36" t="inlineStr">
        <is>
          <t>Region II (Cagayan Valley)</t>
        </is>
      </c>
      <c r="E1603" s="36" t="inlineStr">
        <is>
          <t>Quirino</t>
        </is>
      </c>
      <c r="F1603" s="36" t="inlineStr">
        <is>
          <t>Maddela</t>
        </is>
      </c>
      <c r="G1603" s="36" t="inlineStr">
        <is>
          <t>Villa Hermosa Sur</t>
        </is>
      </c>
      <c r="H1603" s="37" t="n">
        <v>16.354304</v>
      </c>
      <c r="I1603" s="37" t="n">
        <v>121.681065</v>
      </c>
      <c r="J1603" s="8" t="inlineStr">
        <is>
          <t>R</t>
        </is>
      </c>
      <c r="K1603" s="36" t="inlineStr">
        <is>
          <t>Class 1-3 / Urban</t>
        </is>
      </c>
      <c r="L1603" s="18" t="n">
        <v>2405</v>
      </c>
      <c r="M1603" s="20" t="n">
        <v>4.03</v>
      </c>
      <c r="N1603" s="18">
        <f>ROUND(L1603/M1603, 0)</f>
        <v/>
      </c>
      <c r="O1603" s="18">
        <f>ROUND(N1603*'Methodology &amp; Assumptions'!$B$8, 0)</f>
        <v/>
      </c>
      <c r="P1603" s="8" t="inlineStr">
        <is>
          <t>Band n50 (1.5 GHz, 60 MHz)</t>
        </is>
      </c>
      <c r="Q1603" s="38">
        <f>ROUNDUP(O1603/'Methodology &amp; Assumptions'!$B$9, 0)</f>
        <v/>
      </c>
      <c r="R1603" s="39" t="n">
        <v>1</v>
      </c>
      <c r="S1603" s="21" t="n">
        <v>1.95</v>
      </c>
      <c r="T1603" s="21" t="n">
        <v>0.15</v>
      </c>
      <c r="U1603" s="36" t="inlineStr">
        <is>
          <t>Tier 1B (Micro Drop, 1-3 km)</t>
        </is>
      </c>
      <c r="V1603" s="20" t="n">
        <v>62.1</v>
      </c>
      <c r="W1603" s="20" t="n">
        <v>71.7</v>
      </c>
      <c r="X1603" s="20" t="n">
        <v>58</v>
      </c>
      <c r="Y1603" s="40">
        <f>ROUND((V1603*'Methodology &amp; Assumptions'!$B$6)+(W1603*'Methodology &amp; Assumptions'!$B$5)+(X1603*'Methodology &amp; Assumptions'!$B$7), 2)</f>
        <v/>
      </c>
    </row>
    <row r="1604" ht="19" customHeight="1">
      <c r="A1604" s="41" t="n">
        <v>600</v>
      </c>
      <c r="B1604" s="41" t="n">
        <v>4600</v>
      </c>
      <c r="C1604" s="42" t="inlineStr">
        <is>
          <t>0401014076</t>
        </is>
      </c>
      <c r="D1604" s="42" t="inlineStr">
        <is>
          <t>Region IV-A (CALABARZON)</t>
        </is>
      </c>
      <c r="E1604" s="42" t="inlineStr">
        <is>
          <t>Batangas</t>
        </is>
      </c>
      <c r="F1604" s="42" t="inlineStr">
        <is>
          <t>City of Lipa</t>
        </is>
      </c>
      <c r="G1604" s="42" t="inlineStr">
        <is>
          <t>Poblacion Barangay 9-A</t>
        </is>
      </c>
      <c r="H1604" s="43" t="n">
        <v>13.9414</v>
      </c>
      <c r="I1604" s="43" t="n">
        <v>121.1657</v>
      </c>
      <c r="J1604" s="44" t="inlineStr">
        <is>
          <t>R</t>
        </is>
      </c>
      <c r="K1604" s="42" t="inlineStr">
        <is>
          <t>Class 1-3 / Urban</t>
        </is>
      </c>
      <c r="L1604" s="23" t="n">
        <v>578</v>
      </c>
      <c r="M1604" s="24" t="n">
        <v>4.62</v>
      </c>
      <c r="N1604" s="23">
        <f>ROUND(L1604/M1604, 0)</f>
        <v/>
      </c>
      <c r="O1604" s="23">
        <f>ROUND(N1604*'Methodology &amp; Assumptions'!$B$8, 0)</f>
        <v/>
      </c>
      <c r="P1604" s="44" t="inlineStr">
        <is>
          <t>Band n50 (1.5 GHz, 60 MHz)</t>
        </is>
      </c>
      <c r="Q1604" s="38">
        <f>ROUNDUP(O1604/'Methodology &amp; Assumptions'!$B$9, 0)</f>
        <v/>
      </c>
      <c r="R1604" s="39" t="n">
        <v>1</v>
      </c>
      <c r="S1604" s="25" t="n">
        <v>0.32</v>
      </c>
      <c r="T1604" s="25" t="n">
        <v>0.15</v>
      </c>
      <c r="U1604" s="42" t="inlineStr">
        <is>
          <t>Tier 1A (Direct Coloc, &lt;1 km)</t>
        </is>
      </c>
      <c r="V1604" s="24" t="n">
        <v>99.7</v>
      </c>
      <c r="W1604" s="24" t="n">
        <v>34.1</v>
      </c>
      <c r="X1604" s="24" t="n">
        <v>58</v>
      </c>
      <c r="Y1604" s="45">
        <f>ROUND((V1604*'Methodology &amp; Assumptions'!$B$6)+(W1604*'Methodology &amp; Assumptions'!$B$5)+(X1604*'Methodology &amp; Assumptions'!$B$7), 2)</f>
        <v/>
      </c>
    </row>
    <row r="1605" ht="19" customHeight="1">
      <c r="A1605" s="35" t="n">
        <v>601</v>
      </c>
      <c r="B1605" s="35" t="n">
        <v>4601</v>
      </c>
      <c r="C1605" s="36" t="inlineStr">
        <is>
          <t>0702224033</t>
        </is>
      </c>
      <c r="D1605" s="36" t="inlineStr">
        <is>
          <t>Region VII (Central Visayas)</t>
        </is>
      </c>
      <c r="E1605" s="36" t="inlineStr">
        <is>
          <t>Cebu</t>
        </is>
      </c>
      <c r="F1605" s="36" t="inlineStr">
        <is>
          <t>Dumanjug</t>
        </is>
      </c>
      <c r="G1605" s="36" t="inlineStr">
        <is>
          <t>Poblacion Sima</t>
        </is>
      </c>
      <c r="H1605" s="37" t="n">
        <v>10.053694</v>
      </c>
      <c r="I1605" s="37" t="n">
        <v>123.4359</v>
      </c>
      <c r="J1605" s="8" t="inlineStr">
        <is>
          <t>R</t>
        </is>
      </c>
      <c r="K1605" s="36" t="inlineStr">
        <is>
          <t>Class 1-3 / Urban</t>
        </is>
      </c>
      <c r="L1605" s="18" t="n">
        <v>538</v>
      </c>
      <c r="M1605" s="20" t="n">
        <v>4.42</v>
      </c>
      <c r="N1605" s="18">
        <f>ROUND(L1605/M1605, 0)</f>
        <v/>
      </c>
      <c r="O1605" s="18">
        <f>ROUND(N1605*'Methodology &amp; Assumptions'!$B$8, 0)</f>
        <v/>
      </c>
      <c r="P1605" s="8" t="inlineStr">
        <is>
          <t>Band n50 (1.5 GHz, 60 MHz)</t>
        </is>
      </c>
      <c r="Q1605" s="38">
        <f>ROUNDUP(O1605/'Methodology &amp; Assumptions'!$B$9, 0)</f>
        <v/>
      </c>
      <c r="R1605" s="39" t="n">
        <v>1</v>
      </c>
      <c r="S1605" s="21" t="n">
        <v>0.3</v>
      </c>
      <c r="T1605" s="21" t="n">
        <v>0.3</v>
      </c>
      <c r="U1605" s="36" t="inlineStr">
        <is>
          <t>Tier 1A (Direct Coloc, &lt;1 km)</t>
        </is>
      </c>
      <c r="V1605" s="20" t="n">
        <v>100</v>
      </c>
      <c r="W1605" s="20" t="n">
        <v>33.9</v>
      </c>
      <c r="X1605" s="20" t="n">
        <v>58</v>
      </c>
      <c r="Y1605" s="40">
        <f>ROUND((V1605*'Methodology &amp; Assumptions'!$B$6)+(W1605*'Methodology &amp; Assumptions'!$B$5)+(X1605*'Methodology &amp; Assumptions'!$B$7), 2)</f>
        <v/>
      </c>
    </row>
    <row r="1606" ht="19" customHeight="1">
      <c r="A1606" s="41" t="n">
        <v>602</v>
      </c>
      <c r="B1606" s="41" t="n">
        <v>4602</v>
      </c>
      <c r="C1606" s="42" t="inlineStr">
        <is>
          <t>0604520007</t>
        </is>
      </c>
      <c r="D1606" s="42" t="inlineStr">
        <is>
          <t>Region VI (Western Visayas)</t>
        </is>
      </c>
      <c r="E1606" s="42" t="inlineStr">
        <is>
          <t>Negros Occidental</t>
        </is>
      </c>
      <c r="F1606" s="42" t="inlineStr">
        <is>
          <t>Murcia</t>
        </is>
      </c>
      <c r="G1606" s="42" t="inlineStr">
        <is>
          <t>Zone IV</t>
        </is>
      </c>
      <c r="H1606" s="43" t="n">
        <v>10.605388</v>
      </c>
      <c r="I1606" s="43" t="n">
        <v>123.040282</v>
      </c>
      <c r="J1606" s="44" t="inlineStr">
        <is>
          <t>R</t>
        </is>
      </c>
      <c r="K1606" s="42" t="inlineStr">
        <is>
          <t>Class 1-3 / Urban</t>
        </is>
      </c>
      <c r="L1606" s="23" t="n">
        <v>535</v>
      </c>
      <c r="M1606" s="24" t="n">
        <v>4.33</v>
      </c>
      <c r="N1606" s="23">
        <f>ROUND(L1606/M1606, 0)</f>
        <v/>
      </c>
      <c r="O1606" s="23">
        <f>ROUND(N1606*'Methodology &amp; Assumptions'!$B$8, 0)</f>
        <v/>
      </c>
      <c r="P1606" s="44" t="inlineStr">
        <is>
          <t>Band n50 (1.5 GHz, 60 MHz)</t>
        </is>
      </c>
      <c r="Q1606" s="38">
        <f>ROUNDUP(O1606/'Methodology &amp; Assumptions'!$B$9, 0)</f>
        <v/>
      </c>
      <c r="R1606" s="39" t="n">
        <v>1</v>
      </c>
      <c r="S1606" s="25" t="n">
        <v>0.24</v>
      </c>
      <c r="T1606" s="25" t="n">
        <v>0.09</v>
      </c>
      <c r="U1606" s="42" t="inlineStr">
        <is>
          <t>Tier 1A (Direct Coloc, &lt;1 km)</t>
        </is>
      </c>
      <c r="V1606" s="24" t="n">
        <v>100</v>
      </c>
      <c r="W1606" s="24" t="n">
        <v>33.9</v>
      </c>
      <c r="X1606" s="24" t="n">
        <v>58</v>
      </c>
      <c r="Y1606" s="45">
        <f>ROUND((V1606*'Methodology &amp; Assumptions'!$B$6)+(W1606*'Methodology &amp; Assumptions'!$B$5)+(X1606*'Methodology &amp; Assumptions'!$B$7), 2)</f>
        <v/>
      </c>
    </row>
    <row r="1607" ht="19" customHeight="1">
      <c r="A1607" s="35" t="n">
        <v>603</v>
      </c>
      <c r="B1607" s="35" t="n">
        <v>4603</v>
      </c>
      <c r="C1607" s="36" t="inlineStr">
        <is>
          <t>0301421016</t>
        </is>
      </c>
      <c r="D1607" s="36" t="inlineStr">
        <is>
          <t>Region III (Central Luzon)</t>
        </is>
      </c>
      <c r="E1607" s="36" t="inlineStr">
        <is>
          <t>Bulacan</t>
        </is>
      </c>
      <c r="F1607" s="36" t="inlineStr">
        <is>
          <t>San Miguel</t>
        </is>
      </c>
      <c r="G1607" s="36" t="inlineStr">
        <is>
          <t>Calumpang</t>
        </is>
      </c>
      <c r="H1607" s="37" t="n">
        <v>15.183737</v>
      </c>
      <c r="I1607" s="37" t="n">
        <v>121.033387</v>
      </c>
      <c r="J1607" s="8" t="inlineStr">
        <is>
          <t>U</t>
        </is>
      </c>
      <c r="K1607" s="36" t="inlineStr">
        <is>
          <t>Class 1-3 / Urban</t>
        </is>
      </c>
      <c r="L1607" s="18" t="n">
        <v>5531</v>
      </c>
      <c r="M1607" s="20" t="n">
        <v>4.1</v>
      </c>
      <c r="N1607" s="18">
        <f>ROUND(L1607/M1607, 0)</f>
        <v/>
      </c>
      <c r="O1607" s="18">
        <f>ROUND(N1607*'Methodology &amp; Assumptions'!$B$8, 0)</f>
        <v/>
      </c>
      <c r="P1607" s="8" t="inlineStr">
        <is>
          <t>Band n50 (1.5 GHz, 60 MHz)</t>
        </is>
      </c>
      <c r="Q1607" s="38">
        <f>ROUNDUP(O1607/'Methodology &amp; Assumptions'!$B$9, 0)</f>
        <v/>
      </c>
      <c r="R1607" s="39" t="n">
        <v>1</v>
      </c>
      <c r="S1607" s="21" t="n">
        <v>2.1</v>
      </c>
      <c r="T1607" s="21" t="n">
        <v>1.52</v>
      </c>
      <c r="U1607" s="36" t="inlineStr">
        <is>
          <t>Tier 1B (Micro Drop, 1-3 km)</t>
        </is>
      </c>
      <c r="V1607" s="20" t="n">
        <v>59.6</v>
      </c>
      <c r="W1607" s="20" t="n">
        <v>100</v>
      </c>
      <c r="X1607" s="20" t="n">
        <v>28</v>
      </c>
      <c r="Y1607" s="40">
        <f>ROUND((V1607*'Methodology &amp; Assumptions'!$B$6)+(W1607*'Methodology &amp; Assumptions'!$B$5)+(X1607*'Methodology &amp; Assumptions'!$B$7), 2)</f>
        <v/>
      </c>
    </row>
    <row r="1608" ht="19" customHeight="1">
      <c r="A1608" s="41" t="n">
        <v>604</v>
      </c>
      <c r="B1608" s="41" t="n">
        <v>4604</v>
      </c>
      <c r="C1608" s="42" t="inlineStr">
        <is>
          <t>0405603004</t>
        </is>
      </c>
      <c r="D1608" s="42" t="inlineStr">
        <is>
          <t>Region IV-A (CALABARZON)</t>
        </is>
      </c>
      <c r="E1608" s="42" t="inlineStr">
        <is>
          <t>Quezon</t>
        </is>
      </c>
      <c r="F1608" s="42" t="inlineStr">
        <is>
          <t>Atimonan</t>
        </is>
      </c>
      <c r="G1608" s="42" t="inlineStr">
        <is>
          <t>Barangay Zone 1</t>
        </is>
      </c>
      <c r="H1608" s="43" t="n">
        <v>13.994931</v>
      </c>
      <c r="I1608" s="43" t="n">
        <v>121.934867</v>
      </c>
      <c r="J1608" s="44" t="inlineStr">
        <is>
          <t>U</t>
        </is>
      </c>
      <c r="K1608" s="42" t="inlineStr">
        <is>
          <t>Class 1-3 / Urban</t>
        </is>
      </c>
      <c r="L1608" s="23" t="n">
        <v>3291</v>
      </c>
      <c r="M1608" s="24" t="n">
        <v>4.46</v>
      </c>
      <c r="N1608" s="23">
        <f>ROUND(L1608/M1608, 0)</f>
        <v/>
      </c>
      <c r="O1608" s="23">
        <f>ROUND(N1608*'Methodology &amp; Assumptions'!$B$8, 0)</f>
        <v/>
      </c>
      <c r="P1608" s="44" t="inlineStr">
        <is>
          <t>Band n50 (1.5 GHz, 60 MHz)</t>
        </is>
      </c>
      <c r="Q1608" s="38">
        <f>ROUNDUP(O1608/'Methodology &amp; Assumptions'!$B$9, 0)</f>
        <v/>
      </c>
      <c r="R1608" s="39" t="n">
        <v>1</v>
      </c>
      <c r="S1608" s="25" t="n">
        <v>1.22</v>
      </c>
      <c r="T1608" s="25" t="n">
        <v>0.01</v>
      </c>
      <c r="U1608" s="42" t="inlineStr">
        <is>
          <t>Tier 1B (Micro Drop, 1-3 km)</t>
        </is>
      </c>
      <c r="V1608" s="24" t="n">
        <v>76.59999999999999</v>
      </c>
      <c r="W1608" s="24" t="n">
        <v>82.90000000000001</v>
      </c>
      <c r="X1608" s="24" t="n">
        <v>28</v>
      </c>
      <c r="Y1608" s="45">
        <f>ROUND((V1608*'Methodology &amp; Assumptions'!$B$6)+(W1608*'Methodology &amp; Assumptions'!$B$5)+(X1608*'Methodology &amp; Assumptions'!$B$7), 2)</f>
        <v/>
      </c>
    </row>
    <row r="1609" ht="19" customHeight="1">
      <c r="A1609" s="35" t="n">
        <v>605</v>
      </c>
      <c r="B1609" s="35" t="n">
        <v>4605</v>
      </c>
      <c r="C1609" s="36" t="inlineStr">
        <is>
          <t>0402109047</t>
        </is>
      </c>
      <c r="D1609" s="36" t="inlineStr">
        <is>
          <t>Region IV-A (CALABARZON)</t>
        </is>
      </c>
      <c r="E1609" s="36" t="inlineStr">
        <is>
          <t>Cavite</t>
        </is>
      </c>
      <c r="F1609" s="36" t="inlineStr">
        <is>
          <t>City of Imus</t>
        </is>
      </c>
      <c r="G1609" s="36" t="inlineStr">
        <is>
          <t>Bayan Luma VIII</t>
        </is>
      </c>
      <c r="H1609" s="37" t="n">
        <v>14.406974</v>
      </c>
      <c r="I1609" s="37" t="n">
        <v>120.936716</v>
      </c>
      <c r="J1609" s="8" t="inlineStr">
        <is>
          <t>U</t>
        </is>
      </c>
      <c r="K1609" s="36" t="inlineStr">
        <is>
          <t>Class 1-3 / Urban</t>
        </is>
      </c>
      <c r="L1609" s="18" t="n">
        <v>2737</v>
      </c>
      <c r="M1609" s="20" t="n">
        <v>4.49</v>
      </c>
      <c r="N1609" s="18">
        <f>ROUND(L1609/M1609, 0)</f>
        <v/>
      </c>
      <c r="O1609" s="18">
        <f>ROUND(N1609*'Methodology &amp; Assumptions'!$B$8, 0)</f>
        <v/>
      </c>
      <c r="P1609" s="8" t="inlineStr">
        <is>
          <t>Band n50 (1.5 GHz, 60 MHz)</t>
        </is>
      </c>
      <c r="Q1609" s="38">
        <f>ROUNDUP(O1609/'Methodology &amp; Assumptions'!$B$9, 0)</f>
        <v/>
      </c>
      <c r="R1609" s="39" t="n">
        <v>1</v>
      </c>
      <c r="S1609" s="21" t="n">
        <v>0.43</v>
      </c>
      <c r="T1609" s="21" t="n">
        <v>4.55</v>
      </c>
      <c r="U1609" s="36" t="inlineStr">
        <is>
          <t>Tier 1A (Direct Coloc, &lt;1 km)</t>
        </is>
      </c>
      <c r="V1609" s="20" t="n">
        <v>86.8</v>
      </c>
      <c r="W1609" s="20" t="n">
        <v>72.8</v>
      </c>
      <c r="X1609" s="20" t="n">
        <v>28</v>
      </c>
      <c r="Y1609" s="40">
        <f>ROUND((V1609*'Methodology &amp; Assumptions'!$B$6)+(W1609*'Methodology &amp; Assumptions'!$B$5)+(X1609*'Methodology &amp; Assumptions'!$B$7), 2)</f>
        <v/>
      </c>
    </row>
    <row r="1610" ht="19" customHeight="1">
      <c r="A1610" s="41" t="n">
        <v>606</v>
      </c>
      <c r="B1610" s="41" t="n">
        <v>4606</v>
      </c>
      <c r="C1610" s="42" t="inlineStr">
        <is>
          <t>0803722012</t>
        </is>
      </c>
      <c r="D1610" s="42" t="inlineStr">
        <is>
          <t>Region VIII (Eastern Visayas)</t>
        </is>
      </c>
      <c r="E1610" s="42" t="inlineStr">
        <is>
          <t>Leyte</t>
        </is>
      </c>
      <c r="F1610" s="42" t="inlineStr">
        <is>
          <t>Isabel</t>
        </is>
      </c>
      <c r="G1610" s="42" t="inlineStr">
        <is>
          <t>Mahayag</t>
        </is>
      </c>
      <c r="H1610" s="43" t="n">
        <v>10.923554</v>
      </c>
      <c r="I1610" s="43" t="n">
        <v>124.444918</v>
      </c>
      <c r="J1610" s="44" t="inlineStr">
        <is>
          <t>U</t>
        </is>
      </c>
      <c r="K1610" s="42" t="inlineStr">
        <is>
          <t>Class 1-3 / Urban</t>
        </is>
      </c>
      <c r="L1610" s="23" t="n">
        <v>2374</v>
      </c>
      <c r="M1610" s="24" t="n">
        <v>4.24</v>
      </c>
      <c r="N1610" s="23">
        <f>ROUND(L1610/M1610, 0)</f>
        <v/>
      </c>
      <c r="O1610" s="23">
        <f>ROUND(N1610*'Methodology &amp; Assumptions'!$B$8, 0)</f>
        <v/>
      </c>
      <c r="P1610" s="44" t="inlineStr">
        <is>
          <t>Band n50 (1.5 GHz, 60 MHz)</t>
        </is>
      </c>
      <c r="Q1610" s="38">
        <f>ROUNDUP(O1610/'Methodology &amp; Assumptions'!$B$9, 0)</f>
        <v/>
      </c>
      <c r="R1610" s="39" t="n">
        <v>1</v>
      </c>
      <c r="S1610" s="25" t="n">
        <v>0.64</v>
      </c>
      <c r="T1610" s="25" t="n">
        <v>0.38</v>
      </c>
      <c r="U1610" s="42" t="inlineStr">
        <is>
          <t>Tier 1A (Direct Coloc, &lt;1 km)</t>
        </is>
      </c>
      <c r="V1610" s="24" t="n">
        <v>90.8</v>
      </c>
      <c r="W1610" s="24" t="n">
        <v>68.8</v>
      </c>
      <c r="X1610" s="24" t="n">
        <v>28</v>
      </c>
      <c r="Y1610" s="45">
        <f>ROUND((V1610*'Methodology &amp; Assumptions'!$B$6)+(W1610*'Methodology &amp; Assumptions'!$B$5)+(X1610*'Methodology &amp; Assumptions'!$B$7), 2)</f>
        <v/>
      </c>
    </row>
    <row r="1611" ht="19" customHeight="1">
      <c r="A1611" s="35" t="n">
        <v>607</v>
      </c>
      <c r="B1611" s="35" t="n">
        <v>4607</v>
      </c>
      <c r="C1611" s="36" t="inlineStr">
        <is>
          <t>0306916064</t>
        </is>
      </c>
      <c r="D1611" s="36" t="inlineStr">
        <is>
          <t>Region III (Central Luzon)</t>
        </is>
      </c>
      <c r="E1611" s="36" t="inlineStr">
        <is>
          <t>Tarlac</t>
        </is>
      </c>
      <c r="F1611" s="36" t="inlineStr">
        <is>
          <t>City of Tarlac</t>
        </is>
      </c>
      <c r="G1611" s="36" t="inlineStr">
        <is>
          <t>San Juan de Mata</t>
        </is>
      </c>
      <c r="H1611" s="37" t="n">
        <v>15.536083</v>
      </c>
      <c r="I1611" s="37" t="n">
        <v>120.528988</v>
      </c>
      <c r="J1611" s="8" t="inlineStr">
        <is>
          <t>R</t>
        </is>
      </c>
      <c r="K1611" s="36" t="inlineStr">
        <is>
          <t>Class 1-3 / Urban</t>
        </is>
      </c>
      <c r="L1611" s="18" t="n">
        <v>4412</v>
      </c>
      <c r="M1611" s="20" t="n">
        <v>4.3</v>
      </c>
      <c r="N1611" s="18">
        <f>ROUND(L1611/M1611, 0)</f>
        <v/>
      </c>
      <c r="O1611" s="18">
        <f>ROUND(N1611*'Methodology &amp; Assumptions'!$B$8, 0)</f>
        <v/>
      </c>
      <c r="P1611" s="8" t="inlineStr">
        <is>
          <t>Band n50 (1.5 GHz, 60 MHz)</t>
        </is>
      </c>
      <c r="Q1611" s="38">
        <f>ROUNDUP(O1611/'Methodology &amp; Assumptions'!$B$9, 0)</f>
        <v/>
      </c>
      <c r="R1611" s="39" t="n">
        <v>1</v>
      </c>
      <c r="S1611" s="21" t="n">
        <v>4.3</v>
      </c>
      <c r="T1611" s="21" t="n">
        <v>0.1</v>
      </c>
      <c r="U1611" s="36" t="inlineStr">
        <is>
          <t>Tier 2 (Fiber Corridor / Lateral, 3-5 km)</t>
        </is>
      </c>
      <c r="V1611" s="20" t="n">
        <v>33.8</v>
      </c>
      <c r="W1611" s="20" t="n">
        <v>100</v>
      </c>
      <c r="X1611" s="20" t="n">
        <v>58</v>
      </c>
      <c r="Y1611" s="40">
        <f>ROUND((V1611*'Methodology &amp; Assumptions'!$B$6)+(W1611*'Methodology &amp; Assumptions'!$B$5)+(X1611*'Methodology &amp; Assumptions'!$B$7), 2)</f>
        <v/>
      </c>
    </row>
    <row r="1612" ht="19" customHeight="1">
      <c r="A1612" s="41" t="n">
        <v>608</v>
      </c>
      <c r="B1612" s="41" t="n">
        <v>4608</v>
      </c>
      <c r="C1612" s="42" t="inlineStr">
        <is>
          <t>0306903025</t>
        </is>
      </c>
      <c r="D1612" s="42" t="inlineStr">
        <is>
          <t>Region III (Central Luzon)</t>
        </is>
      </c>
      <c r="E1612" s="42" t="inlineStr">
        <is>
          <t>Tarlac</t>
        </is>
      </c>
      <c r="F1612" s="42" t="inlineStr">
        <is>
          <t>Camiling</t>
        </is>
      </c>
      <c r="G1612" s="42" t="inlineStr">
        <is>
          <t>Libueg</t>
        </is>
      </c>
      <c r="H1612" s="43" t="n">
        <v>15.706389</v>
      </c>
      <c r="I1612" s="43" t="n">
        <v>120.418333</v>
      </c>
      <c r="J1612" s="44" t="inlineStr">
        <is>
          <t>R</t>
        </is>
      </c>
      <c r="K1612" s="42" t="inlineStr">
        <is>
          <t>Class 1-3 / Urban</t>
        </is>
      </c>
      <c r="L1612" s="23" t="n">
        <v>2561</v>
      </c>
      <c r="M1612" s="24" t="n">
        <v>4.3</v>
      </c>
      <c r="N1612" s="23">
        <f>ROUND(L1612/M1612, 0)</f>
        <v/>
      </c>
      <c r="O1612" s="23">
        <f>ROUND(N1612*'Methodology &amp; Assumptions'!$B$8, 0)</f>
        <v/>
      </c>
      <c r="P1612" s="44" t="inlineStr">
        <is>
          <t>Band n50 (1.5 GHz, 60 MHz)</t>
        </is>
      </c>
      <c r="Q1612" s="38">
        <f>ROUNDUP(O1612/'Methodology &amp; Assumptions'!$B$9, 0)</f>
        <v/>
      </c>
      <c r="R1612" s="39" t="n">
        <v>1</v>
      </c>
      <c r="S1612" s="25" t="n">
        <v>1.96</v>
      </c>
      <c r="T1612" s="25" t="n">
        <v>0.73</v>
      </c>
      <c r="U1612" s="42" t="inlineStr">
        <is>
          <t>Tier 1B (Micro Drop, 1-3 km)</t>
        </is>
      </c>
      <c r="V1612" s="24" t="n">
        <v>62.1</v>
      </c>
      <c r="W1612" s="24" t="n">
        <v>71.7</v>
      </c>
      <c r="X1612" s="24" t="n">
        <v>58</v>
      </c>
      <c r="Y1612" s="45">
        <f>ROUND((V1612*'Methodology &amp; Assumptions'!$B$6)+(W1612*'Methodology &amp; Assumptions'!$B$5)+(X1612*'Methodology &amp; Assumptions'!$B$7), 2)</f>
        <v/>
      </c>
    </row>
    <row r="1613" ht="19" customHeight="1">
      <c r="A1613" s="35" t="n">
        <v>609</v>
      </c>
      <c r="B1613" s="35" t="n">
        <v>4609</v>
      </c>
      <c r="C1613" s="36" t="inlineStr">
        <is>
          <t>0401004004</t>
        </is>
      </c>
      <c r="D1613" s="36" t="inlineStr">
        <is>
          <t>Region IV-A (CALABARZON)</t>
        </is>
      </c>
      <c r="E1613" s="36" t="inlineStr">
        <is>
          <t>Batangas</t>
        </is>
      </c>
      <c r="F1613" s="36" t="inlineStr">
        <is>
          <t>Balete</t>
        </is>
      </c>
      <c r="G1613" s="36" t="inlineStr">
        <is>
          <t>Magapi</t>
        </is>
      </c>
      <c r="H1613" s="37" t="n">
        <v>14.029916</v>
      </c>
      <c r="I1613" s="37" t="n">
        <v>121.097996</v>
      </c>
      <c r="J1613" s="8" t="inlineStr">
        <is>
          <t>R</t>
        </is>
      </c>
      <c r="K1613" s="36" t="inlineStr">
        <is>
          <t>4th</t>
        </is>
      </c>
      <c r="L1613" s="18" t="n">
        <v>2187</v>
      </c>
      <c r="M1613" s="20" t="n">
        <v>4.78</v>
      </c>
      <c r="N1613" s="18">
        <f>ROUND(L1613/M1613, 0)</f>
        <v/>
      </c>
      <c r="O1613" s="18">
        <f>ROUND(N1613*'Methodology &amp; Assumptions'!$B$8, 0)</f>
        <v/>
      </c>
      <c r="P1613" s="8" t="inlineStr">
        <is>
          <t>Band n50 (1.5 GHz, 60 MHz)</t>
        </is>
      </c>
      <c r="Q1613" s="38">
        <f>ROUNDUP(O1613/'Methodology &amp; Assumptions'!$B$9, 0)</f>
        <v/>
      </c>
      <c r="R1613" s="39" t="n">
        <v>1</v>
      </c>
      <c r="S1613" s="21" t="n">
        <v>1.33</v>
      </c>
      <c r="T1613" s="21" t="n">
        <v>6.71</v>
      </c>
      <c r="U1613" s="36" t="inlineStr">
        <is>
          <t>Tier 1B (Micro Drop, 1-3 km)</t>
        </is>
      </c>
      <c r="V1613" s="20" t="n">
        <v>64.3</v>
      </c>
      <c r="W1613" s="20" t="n">
        <v>60.5</v>
      </c>
      <c r="X1613" s="20" t="n">
        <v>68.5</v>
      </c>
      <c r="Y1613" s="40">
        <f>ROUND((V1613*'Methodology &amp; Assumptions'!$B$6)+(W1613*'Methodology &amp; Assumptions'!$B$5)+(X1613*'Methodology &amp; Assumptions'!$B$7), 2)</f>
        <v/>
      </c>
    </row>
    <row r="1614" ht="19" customHeight="1">
      <c r="A1614" s="41" t="n">
        <v>610</v>
      </c>
      <c r="B1614" s="41" t="n">
        <v>4610</v>
      </c>
      <c r="C1614" s="42" t="inlineStr">
        <is>
          <t>0401014073</t>
        </is>
      </c>
      <c r="D1614" s="42" t="inlineStr">
        <is>
          <t>Region IV-A (CALABARZON)</t>
        </is>
      </c>
      <c r="E1614" s="42" t="inlineStr">
        <is>
          <t>Batangas</t>
        </is>
      </c>
      <c r="F1614" s="42" t="inlineStr">
        <is>
          <t>City of Lipa</t>
        </is>
      </c>
      <c r="G1614" s="42" t="inlineStr">
        <is>
          <t>Tanguay</t>
        </is>
      </c>
      <c r="H1614" s="43" t="n">
        <v>13.9733</v>
      </c>
      <c r="I1614" s="43" t="n">
        <v>121.1403</v>
      </c>
      <c r="J1614" s="44" t="inlineStr">
        <is>
          <t>R</t>
        </is>
      </c>
      <c r="K1614" s="42" t="inlineStr">
        <is>
          <t>Class 1-3 / Urban</t>
        </is>
      </c>
      <c r="L1614" s="23" t="n">
        <v>4890</v>
      </c>
      <c r="M1614" s="24" t="n">
        <v>4.62</v>
      </c>
      <c r="N1614" s="23">
        <f>ROUND(L1614/M1614, 0)</f>
        <v/>
      </c>
      <c r="O1614" s="23">
        <f>ROUND(N1614*'Methodology &amp; Assumptions'!$B$8, 0)</f>
        <v/>
      </c>
      <c r="P1614" s="44" t="inlineStr">
        <is>
          <t>Band n50 (1.5 GHz, 60 MHz)</t>
        </is>
      </c>
      <c r="Q1614" s="38">
        <f>ROUNDUP(O1614/'Methodology &amp; Assumptions'!$B$9, 0)</f>
        <v/>
      </c>
      <c r="R1614" s="39" t="n">
        <v>1</v>
      </c>
      <c r="S1614" s="25" t="n">
        <v>3.25</v>
      </c>
      <c r="T1614" s="25" t="n">
        <v>2.84</v>
      </c>
      <c r="U1614" s="42" t="inlineStr">
        <is>
          <t>Tier 2 (Fiber Corridor / Lateral, 3-5 km)</t>
        </is>
      </c>
      <c r="V1614" s="24" t="n">
        <v>33.8</v>
      </c>
      <c r="W1614" s="24" t="n">
        <v>100</v>
      </c>
      <c r="X1614" s="24" t="n">
        <v>58</v>
      </c>
      <c r="Y1614" s="45">
        <f>ROUND((V1614*'Methodology &amp; Assumptions'!$B$6)+(W1614*'Methodology &amp; Assumptions'!$B$5)+(X1614*'Methodology &amp; Assumptions'!$B$7), 2)</f>
        <v/>
      </c>
    </row>
    <row r="1615" ht="19" customHeight="1">
      <c r="A1615" s="35" t="n">
        <v>611</v>
      </c>
      <c r="B1615" s="35" t="n">
        <v>4611</v>
      </c>
      <c r="C1615" s="36" t="inlineStr">
        <is>
          <t>0305407034</t>
        </is>
      </c>
      <c r="D1615" s="36" t="inlineStr">
        <is>
          <t>Region III (Central Luzon)</t>
        </is>
      </c>
      <c r="E1615" s="36" t="inlineStr">
        <is>
          <t>Pampanga</t>
        </is>
      </c>
      <c r="F1615" s="36" t="inlineStr">
        <is>
          <t>Guagua</t>
        </is>
      </c>
      <c r="G1615" s="36" t="inlineStr">
        <is>
          <t>Ascomo</t>
        </is>
      </c>
      <c r="H1615" s="37" t="n">
        <v>15.01282</v>
      </c>
      <c r="I1615" s="37" t="n">
        <v>120.5313</v>
      </c>
      <c r="J1615" s="8" t="inlineStr">
        <is>
          <t>R</t>
        </is>
      </c>
      <c r="K1615" s="36" t="inlineStr">
        <is>
          <t>Class 1-3 / Urban</t>
        </is>
      </c>
      <c r="L1615" s="18" t="n">
        <v>3998</v>
      </c>
      <c r="M1615" s="20" t="n">
        <v>4.63</v>
      </c>
      <c r="N1615" s="18">
        <f>ROUND(L1615/M1615, 0)</f>
        <v/>
      </c>
      <c r="O1615" s="18">
        <f>ROUND(N1615*'Methodology &amp; Assumptions'!$B$8, 0)</f>
        <v/>
      </c>
      <c r="P1615" s="8" t="inlineStr">
        <is>
          <t>Band n50 (1.5 GHz, 60 MHz)</t>
        </is>
      </c>
      <c r="Q1615" s="38">
        <f>ROUNDUP(O1615/'Methodology &amp; Assumptions'!$B$9, 0)</f>
        <v/>
      </c>
      <c r="R1615" s="39" t="n">
        <v>1</v>
      </c>
      <c r="S1615" s="21" t="n">
        <v>3.54</v>
      </c>
      <c r="T1615" s="21" t="n">
        <v>1.69</v>
      </c>
      <c r="U1615" s="36" t="inlineStr">
        <is>
          <t>Tier 2 (Fiber Corridor / Lateral, 3-5 km)</t>
        </is>
      </c>
      <c r="V1615" s="20" t="n">
        <v>40.7</v>
      </c>
      <c r="W1615" s="20" t="n">
        <v>93.09999999999999</v>
      </c>
      <c r="X1615" s="20" t="n">
        <v>58</v>
      </c>
      <c r="Y1615" s="40">
        <f>ROUND((V1615*'Methodology &amp; Assumptions'!$B$6)+(W1615*'Methodology &amp; Assumptions'!$B$5)+(X1615*'Methodology &amp; Assumptions'!$B$7), 2)</f>
        <v/>
      </c>
    </row>
    <row r="1616" ht="19" customHeight="1">
      <c r="A1616" s="41" t="n">
        <v>612</v>
      </c>
      <c r="B1616" s="41" t="n">
        <v>4612</v>
      </c>
      <c r="C1616" s="42" t="inlineStr">
        <is>
          <t>1401105007</t>
        </is>
      </c>
      <c r="D1616" s="42" t="inlineStr">
        <is>
          <t>Cordillera Administrative Region (CAR)</t>
        </is>
      </c>
      <c r="E1616" s="42" t="inlineStr">
        <is>
          <t>Benguet</t>
        </is>
      </c>
      <c r="F1616" s="42" t="inlineStr">
        <is>
          <t>Buguias</t>
        </is>
      </c>
      <c r="G1616" s="42" t="inlineStr">
        <is>
          <t>Buyacaoan</t>
        </is>
      </c>
      <c r="H1616" s="43" t="n">
        <v>16.77703</v>
      </c>
      <c r="I1616" s="43" t="n">
        <v>120.82927</v>
      </c>
      <c r="J1616" s="44" t="inlineStr">
        <is>
          <t>R</t>
        </is>
      </c>
      <c r="K1616" s="42" t="inlineStr">
        <is>
          <t>Class 1-3 / Urban</t>
        </is>
      </c>
      <c r="L1616" s="23" t="n">
        <v>3884</v>
      </c>
      <c r="M1616" s="24" t="n">
        <v>4.58</v>
      </c>
      <c r="N1616" s="23">
        <f>ROUND(L1616/M1616, 0)</f>
        <v/>
      </c>
      <c r="O1616" s="23">
        <f>ROUND(N1616*'Methodology &amp; Assumptions'!$B$8, 0)</f>
        <v/>
      </c>
      <c r="P1616" s="44" t="inlineStr">
        <is>
          <t>Band n50 (1.5 GHz, 60 MHz)</t>
        </is>
      </c>
      <c r="Q1616" s="38">
        <f>ROUNDUP(O1616/'Methodology &amp; Assumptions'!$B$9, 0)</f>
        <v/>
      </c>
      <c r="R1616" s="39" t="n">
        <v>1</v>
      </c>
      <c r="S1616" s="25" t="n">
        <v>3.06</v>
      </c>
      <c r="T1616" s="25" t="n">
        <v>0.38</v>
      </c>
      <c r="U1616" s="42" t="inlineStr">
        <is>
          <t>Tier 2 (Fiber Corridor / Lateral, 3-5 km)</t>
        </is>
      </c>
      <c r="V1616" s="24" t="n">
        <v>46.1</v>
      </c>
      <c r="W1616" s="24" t="n">
        <v>87.7</v>
      </c>
      <c r="X1616" s="24" t="n">
        <v>58</v>
      </c>
      <c r="Y1616" s="45">
        <f>ROUND((V1616*'Methodology &amp; Assumptions'!$B$6)+(W1616*'Methodology &amp; Assumptions'!$B$5)+(X1616*'Methodology &amp; Assumptions'!$B$7), 2)</f>
        <v/>
      </c>
    </row>
    <row r="1617" ht="19" customHeight="1">
      <c r="A1617" s="35" t="n">
        <v>613</v>
      </c>
      <c r="B1617" s="35" t="n">
        <v>4613</v>
      </c>
      <c r="C1617" s="36" t="inlineStr">
        <is>
          <t>0702224009</t>
        </is>
      </c>
      <c r="D1617" s="36" t="inlineStr">
        <is>
          <t>Region VII (Central Visayas)</t>
        </is>
      </c>
      <c r="E1617" s="36" t="inlineStr">
        <is>
          <t>Cebu</t>
        </is>
      </c>
      <c r="F1617" s="36" t="inlineStr">
        <is>
          <t>Dumanjug</t>
        </is>
      </c>
      <c r="G1617" s="36" t="inlineStr">
        <is>
          <t>Calaboon</t>
        </is>
      </c>
      <c r="H1617" s="37" t="n">
        <v>10.056201</v>
      </c>
      <c r="I1617" s="37" t="n">
        <v>123.42103</v>
      </c>
      <c r="J1617" s="8" t="inlineStr">
        <is>
          <t>R</t>
        </is>
      </c>
      <c r="K1617" s="36" t="inlineStr">
        <is>
          <t>Class 1-3 / Urban</t>
        </is>
      </c>
      <c r="L1617" s="18" t="n">
        <v>2334</v>
      </c>
      <c r="M1617" s="20" t="n">
        <v>4.42</v>
      </c>
      <c r="N1617" s="18">
        <f>ROUND(L1617/M1617, 0)</f>
        <v/>
      </c>
      <c r="O1617" s="18">
        <f>ROUND(N1617*'Methodology &amp; Assumptions'!$B$8, 0)</f>
        <v/>
      </c>
      <c r="P1617" s="8" t="inlineStr">
        <is>
          <t>Band n50 (1.5 GHz, 60 MHz)</t>
        </is>
      </c>
      <c r="Q1617" s="38">
        <f>ROUNDUP(O1617/'Methodology &amp; Assumptions'!$B$9, 0)</f>
        <v/>
      </c>
      <c r="R1617" s="39" t="n">
        <v>1</v>
      </c>
      <c r="S1617" s="21" t="n">
        <v>1.65</v>
      </c>
      <c r="T1617" s="21" t="n">
        <v>1.4</v>
      </c>
      <c r="U1617" s="36" t="inlineStr">
        <is>
          <t>Tier 1B (Micro Drop, 1-3 km)</t>
        </is>
      </c>
      <c r="V1617" s="20" t="n">
        <v>67.7</v>
      </c>
      <c r="W1617" s="20" t="n">
        <v>66.09999999999999</v>
      </c>
      <c r="X1617" s="20" t="n">
        <v>58</v>
      </c>
      <c r="Y1617" s="40">
        <f>ROUND((V1617*'Methodology &amp; Assumptions'!$B$6)+(W1617*'Methodology &amp; Assumptions'!$B$5)+(X1617*'Methodology &amp; Assumptions'!$B$7), 2)</f>
        <v/>
      </c>
    </row>
    <row r="1618" ht="19" customHeight="1">
      <c r="A1618" s="41" t="n">
        <v>614</v>
      </c>
      <c r="B1618" s="41" t="n">
        <v>4614</v>
      </c>
      <c r="C1618" s="42" t="inlineStr">
        <is>
          <t>0401012014</t>
        </is>
      </c>
      <c r="D1618" s="42" t="inlineStr">
        <is>
          <t>Region IV-A (CALABARZON)</t>
        </is>
      </c>
      <c r="E1618" s="42" t="inlineStr">
        <is>
          <t>Batangas</t>
        </is>
      </c>
      <c r="F1618" s="42" t="inlineStr">
        <is>
          <t>Lemery</t>
        </is>
      </c>
      <c r="G1618" s="42" t="inlineStr">
        <is>
          <t>Lucky</t>
        </is>
      </c>
      <c r="H1618" s="43" t="n">
        <v>13.8797</v>
      </c>
      <c r="I1618" s="43" t="n">
        <v>120.9142</v>
      </c>
      <c r="J1618" s="44" t="inlineStr">
        <is>
          <t>R</t>
        </is>
      </c>
      <c r="K1618" s="42" t="inlineStr">
        <is>
          <t>Class 1-3 / Urban</t>
        </is>
      </c>
      <c r="L1618" s="23" t="n">
        <v>927</v>
      </c>
      <c r="M1618" s="24" t="n">
        <v>4.62</v>
      </c>
      <c r="N1618" s="23">
        <f>ROUND(L1618/M1618, 0)</f>
        <v/>
      </c>
      <c r="O1618" s="23">
        <f>ROUND(N1618*'Methodology &amp; Assumptions'!$B$8, 0)</f>
        <v/>
      </c>
      <c r="P1618" s="44" t="inlineStr">
        <is>
          <t>Band n50 (1.5 GHz, 60 MHz)</t>
        </is>
      </c>
      <c r="Q1618" s="38">
        <f>ROUNDUP(O1618/'Methodology &amp; Assumptions'!$B$9, 0)</f>
        <v/>
      </c>
      <c r="R1618" s="39" t="n">
        <v>1</v>
      </c>
      <c r="S1618" s="25" t="n">
        <v>0.53</v>
      </c>
      <c r="T1618" s="25" t="n">
        <v>1.87</v>
      </c>
      <c r="U1618" s="42" t="inlineStr">
        <is>
          <t>Tier 1A (Direct Coloc, &lt;1 km)</t>
        </is>
      </c>
      <c r="V1618" s="24" t="n">
        <v>93.8</v>
      </c>
      <c r="W1618" s="24" t="n">
        <v>40</v>
      </c>
      <c r="X1618" s="24" t="n">
        <v>58</v>
      </c>
      <c r="Y1618" s="45">
        <f>ROUND((V1618*'Methodology &amp; Assumptions'!$B$6)+(W1618*'Methodology &amp; Assumptions'!$B$5)+(X1618*'Methodology &amp; Assumptions'!$B$7), 2)</f>
        <v/>
      </c>
    </row>
    <row r="1619" ht="19" customHeight="1">
      <c r="A1619" s="35" t="n">
        <v>615</v>
      </c>
      <c r="B1619" s="35" t="n">
        <v>4615</v>
      </c>
      <c r="C1619" s="36" t="inlineStr">
        <is>
          <t>0402106047</t>
        </is>
      </c>
      <c r="D1619" s="36" t="inlineStr">
        <is>
          <t>Region IV-A (CALABARZON)</t>
        </is>
      </c>
      <c r="E1619" s="36" t="inlineStr">
        <is>
          <t>Cavite</t>
        </is>
      </c>
      <c r="F1619" s="36" t="inlineStr">
        <is>
          <t>City of Dasmariñas</t>
        </is>
      </c>
      <c r="G1619" s="36" t="inlineStr">
        <is>
          <t>Burol I</t>
        </is>
      </c>
      <c r="H1619" s="37" t="n">
        <v>14.326121</v>
      </c>
      <c r="I1619" s="37" t="n">
        <v>120.962616</v>
      </c>
      <c r="J1619" s="8" t="inlineStr">
        <is>
          <t>U</t>
        </is>
      </c>
      <c r="K1619" s="36" t="inlineStr">
        <is>
          <t>Class 1-3 / Urban</t>
        </is>
      </c>
      <c r="L1619" s="18" t="n">
        <v>17287</v>
      </c>
      <c r="M1619" s="20" t="n">
        <v>4.49</v>
      </c>
      <c r="N1619" s="18">
        <f>ROUND(L1619/M1619, 0)</f>
        <v/>
      </c>
      <c r="O1619" s="18">
        <f>ROUND(N1619*'Methodology &amp; Assumptions'!$B$8, 0)</f>
        <v/>
      </c>
      <c r="P1619" s="8" t="inlineStr">
        <is>
          <t>Band n50 (1.5 GHz, 60 MHz)</t>
        </is>
      </c>
      <c r="Q1619" s="38">
        <f>ROUNDUP(O1619/'Methodology &amp; Assumptions'!$B$9, 0)</f>
        <v/>
      </c>
      <c r="R1619" s="39" t="n">
        <v>1</v>
      </c>
      <c r="S1619" s="21" t="n">
        <v>1.56</v>
      </c>
      <c r="T1619" s="21" t="n">
        <v>2.89</v>
      </c>
      <c r="U1619" s="36" t="inlineStr">
        <is>
          <t>Tier 1B (Micro Drop, 1-3 km)</t>
        </is>
      </c>
      <c r="V1619" s="20" t="n">
        <v>59.5</v>
      </c>
      <c r="W1619" s="20" t="n">
        <v>100</v>
      </c>
      <c r="X1619" s="20" t="n">
        <v>28</v>
      </c>
      <c r="Y1619" s="40">
        <f>ROUND((V1619*'Methodology &amp; Assumptions'!$B$6)+(W1619*'Methodology &amp; Assumptions'!$B$5)+(X1619*'Methodology &amp; Assumptions'!$B$7), 2)</f>
        <v/>
      </c>
    </row>
    <row r="1620" ht="19" customHeight="1">
      <c r="A1620" s="41" t="n">
        <v>616</v>
      </c>
      <c r="B1620" s="41" t="n">
        <v>4616</v>
      </c>
      <c r="C1620" s="42" t="inlineStr">
        <is>
          <t>0300801008</t>
        </is>
      </c>
      <c r="D1620" s="42" t="inlineStr">
        <is>
          <t>Region III (Central Luzon)</t>
        </is>
      </c>
      <c r="E1620" s="42" t="inlineStr">
        <is>
          <t>Bataan</t>
        </is>
      </c>
      <c r="F1620" s="42" t="inlineStr">
        <is>
          <t>Abucay</t>
        </is>
      </c>
      <c r="G1620" s="42" t="inlineStr">
        <is>
          <t>Omboy</t>
        </is>
      </c>
      <c r="H1620" s="43" t="n">
        <v>14.71939</v>
      </c>
      <c r="I1620" s="43" t="n">
        <v>120.538403</v>
      </c>
      <c r="J1620" s="44" t="inlineStr">
        <is>
          <t>R</t>
        </is>
      </c>
      <c r="K1620" s="42" t="inlineStr">
        <is>
          <t>Class 1-3 / Urban</t>
        </is>
      </c>
      <c r="L1620" s="23" t="n">
        <v>3387</v>
      </c>
      <c r="M1620" s="24" t="n">
        <v>4.57</v>
      </c>
      <c r="N1620" s="23">
        <f>ROUND(L1620/M1620, 0)</f>
        <v/>
      </c>
      <c r="O1620" s="23">
        <f>ROUND(N1620*'Methodology &amp; Assumptions'!$B$8, 0)</f>
        <v/>
      </c>
      <c r="P1620" s="44" t="inlineStr">
        <is>
          <t>Band n50 (1.5 GHz, 60 MHz)</t>
        </is>
      </c>
      <c r="Q1620" s="38">
        <f>ROUNDUP(O1620/'Methodology &amp; Assumptions'!$B$9, 0)</f>
        <v/>
      </c>
      <c r="R1620" s="39" t="n">
        <v>1</v>
      </c>
      <c r="S1620" s="25" t="n">
        <v>3.85</v>
      </c>
      <c r="T1620" s="25" t="n">
        <v>0.24</v>
      </c>
      <c r="U1620" s="42" t="inlineStr">
        <is>
          <t>Tier 2 (Fiber Corridor / Lateral, 3-5 km)</t>
        </is>
      </c>
      <c r="V1620" s="24" t="n">
        <v>37.7</v>
      </c>
      <c r="W1620" s="24" t="n">
        <v>83.2</v>
      </c>
      <c r="X1620" s="24" t="n">
        <v>73</v>
      </c>
      <c r="Y1620" s="45">
        <f>ROUND((V1620*'Methodology &amp; Assumptions'!$B$6)+(W1620*'Methodology &amp; Assumptions'!$B$5)+(X1620*'Methodology &amp; Assumptions'!$B$7), 2)</f>
        <v/>
      </c>
    </row>
    <row r="1621" ht="19" customHeight="1">
      <c r="A1621" s="35" t="n">
        <v>617</v>
      </c>
      <c r="B1621" s="35" t="n">
        <v>4617</v>
      </c>
      <c r="C1621" s="36" t="inlineStr">
        <is>
          <t>1705214023</t>
        </is>
      </c>
      <c r="D1621" s="36" t="inlineStr">
        <is>
          <t>MIMAROPA Region</t>
        </is>
      </c>
      <c r="E1621" s="36" t="inlineStr">
        <is>
          <t>Oriental Mindoro</t>
        </is>
      </c>
      <c r="F1621" s="36" t="inlineStr">
        <is>
          <t>Socorro</t>
        </is>
      </c>
      <c r="G1621" s="36" t="inlineStr">
        <is>
          <t>Zone IV</t>
        </is>
      </c>
      <c r="H1621" s="37" t="n">
        <v>13.056042</v>
      </c>
      <c r="I1621" s="37" t="n">
        <v>121.403161</v>
      </c>
      <c r="J1621" s="8" t="inlineStr">
        <is>
          <t>U</t>
        </is>
      </c>
      <c r="K1621" s="36" t="inlineStr">
        <is>
          <t>Class 1-3 / Urban</t>
        </is>
      </c>
      <c r="L1621" s="18" t="n">
        <v>2259</v>
      </c>
      <c r="M1621" s="20" t="n">
        <v>4.41</v>
      </c>
      <c r="N1621" s="18">
        <f>ROUND(L1621/M1621, 0)</f>
        <v/>
      </c>
      <c r="O1621" s="18">
        <f>ROUND(N1621*'Methodology &amp; Assumptions'!$B$8, 0)</f>
        <v/>
      </c>
      <c r="P1621" s="8" t="inlineStr">
        <is>
          <t>Band n50 (1.5 GHz, 60 MHz)</t>
        </is>
      </c>
      <c r="Q1621" s="38">
        <f>ROUNDUP(O1621/'Methodology &amp; Assumptions'!$B$9, 0)</f>
        <v/>
      </c>
      <c r="R1621" s="39" t="n">
        <v>1</v>
      </c>
      <c r="S1621" s="21" t="n">
        <v>0.37</v>
      </c>
      <c r="T1621" s="21" t="n">
        <v>0.3</v>
      </c>
      <c r="U1621" s="36" t="inlineStr">
        <is>
          <t>Tier 1A (Direct Coloc, &lt;1 km)</t>
        </is>
      </c>
      <c r="V1621" s="20" t="n">
        <v>98.40000000000001</v>
      </c>
      <c r="W1621" s="20" t="n">
        <v>61.1</v>
      </c>
      <c r="X1621" s="20" t="n">
        <v>28</v>
      </c>
      <c r="Y1621" s="40">
        <f>ROUND((V1621*'Methodology &amp; Assumptions'!$B$6)+(W1621*'Methodology &amp; Assumptions'!$B$5)+(X1621*'Methodology &amp; Assumptions'!$B$7), 2)</f>
        <v/>
      </c>
    </row>
    <row r="1622" ht="19" customHeight="1">
      <c r="A1622" s="41" t="n">
        <v>618</v>
      </c>
      <c r="B1622" s="41" t="n">
        <v>4618</v>
      </c>
      <c r="C1622" s="42" t="inlineStr">
        <is>
          <t>1004315002</t>
        </is>
      </c>
      <c r="D1622" s="42" t="inlineStr">
        <is>
          <t>Region X (Northern Mindanao)</t>
        </is>
      </c>
      <c r="E1622" s="42" t="inlineStr">
        <is>
          <t>Misamis Oriental</t>
        </is>
      </c>
      <c r="F1622" s="42" t="inlineStr">
        <is>
          <t>Libertad</t>
        </is>
      </c>
      <c r="G1622" s="42" t="inlineStr">
        <is>
          <t>Gimaylan</t>
        </is>
      </c>
      <c r="H1622" s="43" t="n">
        <v>8.54951</v>
      </c>
      <c r="I1622" s="43" t="n">
        <v>124.338829</v>
      </c>
      <c r="J1622" s="44" t="inlineStr">
        <is>
          <t>R</t>
        </is>
      </c>
      <c r="K1622" s="42" t="inlineStr">
        <is>
          <t>4th</t>
        </is>
      </c>
      <c r="L1622" s="23" t="n">
        <v>2311</v>
      </c>
      <c r="M1622" s="24" t="n">
        <v>4.54</v>
      </c>
      <c r="N1622" s="23">
        <f>ROUND(L1622/M1622, 0)</f>
        <v/>
      </c>
      <c r="O1622" s="23">
        <f>ROUND(N1622*'Methodology &amp; Assumptions'!$B$8, 0)</f>
        <v/>
      </c>
      <c r="P1622" s="44" t="inlineStr">
        <is>
          <t>Band n50 (1.5 GHz, 60 MHz)</t>
        </is>
      </c>
      <c r="Q1622" s="38">
        <f>ROUNDUP(O1622/'Methodology &amp; Assumptions'!$B$9, 0)</f>
        <v/>
      </c>
      <c r="R1622" s="39" t="n">
        <v>1</v>
      </c>
      <c r="S1622" s="25" t="n">
        <v>2.08</v>
      </c>
      <c r="T1622" s="25" t="n">
        <v>0.02</v>
      </c>
      <c r="U1622" s="42" t="inlineStr">
        <is>
          <t>Tier 1B (Micro Drop, 1-3 km)</t>
        </is>
      </c>
      <c r="V1622" s="24" t="n">
        <v>59.9</v>
      </c>
      <c r="W1622" s="24" t="n">
        <v>64.8</v>
      </c>
      <c r="X1622" s="24" t="n">
        <v>68.5</v>
      </c>
      <c r="Y1622" s="45">
        <f>ROUND((V1622*'Methodology &amp; Assumptions'!$B$6)+(W1622*'Methodology &amp; Assumptions'!$B$5)+(X1622*'Methodology &amp; Assumptions'!$B$7), 2)</f>
        <v/>
      </c>
    </row>
    <row r="1623" ht="19" customHeight="1">
      <c r="A1623" s="35" t="n">
        <v>619</v>
      </c>
      <c r="B1623" s="35" t="n">
        <v>4619</v>
      </c>
      <c r="C1623" s="36" t="inlineStr">
        <is>
          <t>1600208009</t>
        </is>
      </c>
      <c r="D1623" s="36" t="inlineStr">
        <is>
          <t>Region XIII (Caraga)</t>
        </is>
      </c>
      <c r="E1623" s="36" t="inlineStr">
        <is>
          <t>Agusan del Norte</t>
        </is>
      </c>
      <c r="F1623" s="36" t="inlineStr">
        <is>
          <t>Magallanes</t>
        </is>
      </c>
      <c r="G1623" s="36" t="inlineStr">
        <is>
          <t>Marcos</t>
        </is>
      </c>
      <c r="H1623" s="37" t="n">
        <v>9.026949</v>
      </c>
      <c r="I1623" s="37" t="n">
        <v>125.51774</v>
      </c>
      <c r="J1623" s="8" t="inlineStr">
        <is>
          <t>U</t>
        </is>
      </c>
      <c r="K1623" s="36" t="inlineStr">
        <is>
          <t>4th</t>
        </is>
      </c>
      <c r="L1623" s="18" t="n">
        <v>3734</v>
      </c>
      <c r="M1623" s="20" t="n">
        <v>4.69</v>
      </c>
      <c r="N1623" s="18">
        <f>ROUND(L1623/M1623, 0)</f>
        <v/>
      </c>
      <c r="O1623" s="18">
        <f>ROUND(N1623*'Methodology &amp; Assumptions'!$B$8, 0)</f>
        <v/>
      </c>
      <c r="P1623" s="8" t="inlineStr">
        <is>
          <t>Band n50 (1.5 GHz, 60 MHz)</t>
        </is>
      </c>
      <c r="Q1623" s="38">
        <f>ROUNDUP(O1623/'Methodology &amp; Assumptions'!$B$9, 0)</f>
        <v/>
      </c>
      <c r="R1623" s="39" t="n">
        <v>1</v>
      </c>
      <c r="S1623" s="21" t="n">
        <v>1.4</v>
      </c>
      <c r="T1623" s="21" t="n">
        <v>7.42</v>
      </c>
      <c r="U1623" s="36" t="inlineStr">
        <is>
          <t>Tier 1B (Micro Drop, 1-3 km)</t>
        </is>
      </c>
      <c r="V1623" s="20" t="n">
        <v>62.7</v>
      </c>
      <c r="W1623" s="20" t="n">
        <v>87.7</v>
      </c>
      <c r="X1623" s="20" t="n">
        <v>38.5</v>
      </c>
      <c r="Y1623" s="40">
        <f>ROUND((V1623*'Methodology &amp; Assumptions'!$B$6)+(W1623*'Methodology &amp; Assumptions'!$B$5)+(X1623*'Methodology &amp; Assumptions'!$B$7), 2)</f>
        <v/>
      </c>
    </row>
    <row r="1624" ht="19" customHeight="1">
      <c r="A1624" s="41" t="n">
        <v>620</v>
      </c>
      <c r="B1624" s="41" t="n">
        <v>4620</v>
      </c>
      <c r="C1624" s="42" t="inlineStr">
        <is>
          <t>0304924015</t>
        </is>
      </c>
      <c r="D1624" s="42" t="inlineStr">
        <is>
          <t>Region III (Central Luzon)</t>
        </is>
      </c>
      <c r="E1624" s="42" t="inlineStr">
        <is>
          <t>Nueva Ecija</t>
        </is>
      </c>
      <c r="F1624" s="42" t="inlineStr">
        <is>
          <t>San Antonio</t>
        </is>
      </c>
      <c r="G1624" s="42" t="inlineStr">
        <is>
          <t>Santo Cristo</t>
        </is>
      </c>
      <c r="H1624" s="43" t="n">
        <v>15.297686</v>
      </c>
      <c r="I1624" s="43" t="n">
        <v>120.848731</v>
      </c>
      <c r="J1624" s="44" t="inlineStr">
        <is>
          <t>U</t>
        </is>
      </c>
      <c r="K1624" s="42" t="inlineStr">
        <is>
          <t>Class 1-3 / Urban</t>
        </is>
      </c>
      <c r="L1624" s="23" t="n">
        <v>9341</v>
      </c>
      <c r="M1624" s="24" t="n">
        <v>4.32</v>
      </c>
      <c r="N1624" s="23">
        <f>ROUND(L1624/M1624, 0)</f>
        <v/>
      </c>
      <c r="O1624" s="23">
        <f>ROUND(N1624*'Methodology &amp; Assumptions'!$B$8, 0)</f>
        <v/>
      </c>
      <c r="P1624" s="44" t="inlineStr">
        <is>
          <t>Band n50 (1.5 GHz, 60 MHz)</t>
        </is>
      </c>
      <c r="Q1624" s="38">
        <f>ROUNDUP(O1624/'Methodology &amp; Assumptions'!$B$9, 0)</f>
        <v/>
      </c>
      <c r="R1624" s="39" t="n">
        <v>1</v>
      </c>
      <c r="S1624" s="25" t="n">
        <v>1.56</v>
      </c>
      <c r="T1624" s="25" t="n">
        <v>3.64</v>
      </c>
      <c r="U1624" s="42" t="inlineStr">
        <is>
          <t>Tier 1B (Micro Drop, 1-3 km)</t>
        </is>
      </c>
      <c r="V1624" s="24" t="n">
        <v>59.5</v>
      </c>
      <c r="W1624" s="24" t="n">
        <v>100</v>
      </c>
      <c r="X1624" s="24" t="n">
        <v>28</v>
      </c>
      <c r="Y1624" s="45">
        <f>ROUND((V1624*'Methodology &amp; Assumptions'!$B$6)+(W1624*'Methodology &amp; Assumptions'!$B$5)+(X1624*'Methodology &amp; Assumptions'!$B$7), 2)</f>
        <v/>
      </c>
    </row>
    <row r="1625" ht="19" customHeight="1">
      <c r="A1625" s="35" t="n">
        <v>621</v>
      </c>
      <c r="B1625" s="35" t="n">
        <v>4621</v>
      </c>
      <c r="C1625" s="36" t="inlineStr">
        <is>
          <t>0205703001</t>
        </is>
      </c>
      <c r="D1625" s="36" t="inlineStr">
        <is>
          <t>Region II (Cagayan Valley)</t>
        </is>
      </c>
      <c r="E1625" s="36" t="inlineStr">
        <is>
          <t>Quirino</t>
        </is>
      </c>
      <c r="F1625" s="36" t="inlineStr">
        <is>
          <t>Diffun</t>
        </is>
      </c>
      <c r="G1625" s="36" t="inlineStr">
        <is>
          <t>Andres Bonifacio</t>
        </is>
      </c>
      <c r="H1625" s="37" t="n">
        <v>16.601533</v>
      </c>
      <c r="I1625" s="37" t="n">
        <v>121.505596</v>
      </c>
      <c r="J1625" s="8" t="inlineStr">
        <is>
          <t>U</t>
        </is>
      </c>
      <c r="K1625" s="36" t="inlineStr">
        <is>
          <t>Class 1-3 / Urban</t>
        </is>
      </c>
      <c r="L1625" s="18" t="n">
        <v>4037</v>
      </c>
      <c r="M1625" s="20" t="n">
        <v>4.03</v>
      </c>
      <c r="N1625" s="18">
        <f>ROUND(L1625/M1625, 0)</f>
        <v/>
      </c>
      <c r="O1625" s="18">
        <f>ROUND(N1625*'Methodology &amp; Assumptions'!$B$8, 0)</f>
        <v/>
      </c>
      <c r="P1625" s="8" t="inlineStr">
        <is>
          <t>Band n50 (1.5 GHz, 60 MHz)</t>
        </is>
      </c>
      <c r="Q1625" s="38">
        <f>ROUNDUP(O1625/'Methodology &amp; Assumptions'!$B$9, 0)</f>
        <v/>
      </c>
      <c r="R1625" s="39" t="n">
        <v>1</v>
      </c>
      <c r="S1625" s="21" t="n">
        <v>1.56</v>
      </c>
      <c r="T1625" s="21" t="n">
        <v>6.89</v>
      </c>
      <c r="U1625" s="36" t="inlineStr">
        <is>
          <t>Tier 1B (Micro Drop, 1-3 km)</t>
        </is>
      </c>
      <c r="V1625" s="20" t="n">
        <v>59.5</v>
      </c>
      <c r="W1625" s="20" t="n">
        <v>100</v>
      </c>
      <c r="X1625" s="20" t="n">
        <v>28</v>
      </c>
      <c r="Y1625" s="40">
        <f>ROUND((V1625*'Methodology &amp; Assumptions'!$B$6)+(W1625*'Methodology &amp; Assumptions'!$B$5)+(X1625*'Methodology &amp; Assumptions'!$B$7), 2)</f>
        <v/>
      </c>
    </row>
    <row r="1626" ht="19" customHeight="1">
      <c r="A1626" s="41" t="n">
        <v>622</v>
      </c>
      <c r="B1626" s="41" t="n">
        <v>4622</v>
      </c>
      <c r="C1626" s="42" t="inlineStr">
        <is>
          <t>0403424064</t>
        </is>
      </c>
      <c r="D1626" s="42" t="inlineStr">
        <is>
          <t>Region IV-A (CALABARZON)</t>
        </is>
      </c>
      <c r="E1626" s="42" t="inlineStr">
        <is>
          <t>Laguna</t>
        </is>
      </c>
      <c r="F1626" s="42" t="inlineStr">
        <is>
          <t>City of San Pablo</t>
        </is>
      </c>
      <c r="G1626" s="42" t="inlineStr">
        <is>
          <t>San Roque</t>
        </is>
      </c>
      <c r="H1626" s="43" t="n">
        <v>14.069318</v>
      </c>
      <c r="I1626" s="43" t="n">
        <v>121.311178</v>
      </c>
      <c r="J1626" s="44" t="inlineStr">
        <is>
          <t>U</t>
        </is>
      </c>
      <c r="K1626" s="42" t="inlineStr">
        <is>
          <t>Class 1-3 / Urban</t>
        </is>
      </c>
      <c r="L1626" s="23" t="n">
        <v>3313</v>
      </c>
      <c r="M1626" s="24" t="n">
        <v>4.2</v>
      </c>
      <c r="N1626" s="23">
        <f>ROUND(L1626/M1626, 0)</f>
        <v/>
      </c>
      <c r="O1626" s="23">
        <f>ROUND(N1626*'Methodology &amp; Assumptions'!$B$8, 0)</f>
        <v/>
      </c>
      <c r="P1626" s="44" t="inlineStr">
        <is>
          <t>Band n50 (1.5 GHz, 60 MHz)</t>
        </is>
      </c>
      <c r="Q1626" s="38">
        <f>ROUNDUP(O1626/'Methodology &amp; Assumptions'!$B$9, 0)</f>
        <v/>
      </c>
      <c r="R1626" s="39" t="n">
        <v>1</v>
      </c>
      <c r="S1626" s="25" t="n">
        <v>1.42</v>
      </c>
      <c r="T1626" s="25" t="n">
        <v>0.08</v>
      </c>
      <c r="U1626" s="42" t="inlineStr">
        <is>
          <t>Tier 1B (Micro Drop, 1-3 km)</t>
        </is>
      </c>
      <c r="V1626" s="24" t="n">
        <v>72.2</v>
      </c>
      <c r="W1626" s="24" t="n">
        <v>87.2</v>
      </c>
      <c r="X1626" s="24" t="n">
        <v>28</v>
      </c>
      <c r="Y1626" s="45">
        <f>ROUND((V1626*'Methodology &amp; Assumptions'!$B$6)+(W1626*'Methodology &amp; Assumptions'!$B$5)+(X1626*'Methodology &amp; Assumptions'!$B$7), 2)</f>
        <v/>
      </c>
    </row>
    <row r="1627" ht="19" customHeight="1">
      <c r="A1627" s="35" t="n">
        <v>623</v>
      </c>
      <c r="B1627" s="35" t="n">
        <v>4623</v>
      </c>
      <c r="C1627" s="36" t="inlineStr">
        <is>
          <t>0103302023</t>
        </is>
      </c>
      <c r="D1627" s="36" t="inlineStr">
        <is>
          <t>Region I (Ilocos Region)</t>
        </is>
      </c>
      <c r="E1627" s="36" t="inlineStr">
        <is>
          <t>La Union</t>
        </is>
      </c>
      <c r="F1627" s="36" t="inlineStr">
        <is>
          <t>Aringay</t>
        </is>
      </c>
      <c r="G1627" s="36" t="inlineStr">
        <is>
          <t>Santa Lucia</t>
        </is>
      </c>
      <c r="H1627" s="37" t="n">
        <v>16.397323</v>
      </c>
      <c r="I1627" s="37" t="n">
        <v>120.34456</v>
      </c>
      <c r="J1627" s="8" t="inlineStr">
        <is>
          <t>R</t>
        </is>
      </c>
      <c r="K1627" s="36" t="inlineStr">
        <is>
          <t>Class 1-3 / Urban</t>
        </is>
      </c>
      <c r="L1627" s="18" t="n">
        <v>3129</v>
      </c>
      <c r="M1627" s="20" t="n">
        <v>4.42</v>
      </c>
      <c r="N1627" s="18">
        <f>ROUND(L1627/M1627, 0)</f>
        <v/>
      </c>
      <c r="O1627" s="18">
        <f>ROUND(N1627*'Methodology &amp; Assumptions'!$B$8, 0)</f>
        <v/>
      </c>
      <c r="P1627" s="8" t="inlineStr">
        <is>
          <t>Band n50 (1.5 GHz, 60 MHz)</t>
        </is>
      </c>
      <c r="Q1627" s="38">
        <f>ROUNDUP(O1627/'Methodology &amp; Assumptions'!$B$9, 0)</f>
        <v/>
      </c>
      <c r="R1627" s="39" t="n">
        <v>1</v>
      </c>
      <c r="S1627" s="21" t="n">
        <v>3.58</v>
      </c>
      <c r="T1627" s="21" t="n">
        <v>1.16</v>
      </c>
      <c r="U1627" s="36" t="inlineStr">
        <is>
          <t>Tier 2 (Fiber Corridor / Lateral, 3-5 km)</t>
        </is>
      </c>
      <c r="V1627" s="20" t="n">
        <v>40.3</v>
      </c>
      <c r="W1627" s="20" t="n">
        <v>80.5</v>
      </c>
      <c r="X1627" s="20" t="n">
        <v>73</v>
      </c>
      <c r="Y1627" s="40">
        <f>ROUND((V1627*'Methodology &amp; Assumptions'!$B$6)+(W1627*'Methodology &amp; Assumptions'!$B$5)+(X1627*'Methodology &amp; Assumptions'!$B$7), 2)</f>
        <v/>
      </c>
    </row>
    <row r="1628" ht="19" customHeight="1">
      <c r="A1628" s="41" t="n">
        <v>624</v>
      </c>
      <c r="B1628" s="41" t="n">
        <v>4624</v>
      </c>
      <c r="C1628" s="42" t="inlineStr">
        <is>
          <t>1004314002</t>
        </is>
      </c>
      <c r="D1628" s="42" t="inlineStr">
        <is>
          <t>Region X (Northern Mindanao)</t>
        </is>
      </c>
      <c r="E1628" s="42" t="inlineStr">
        <is>
          <t>Misamis Oriental</t>
        </is>
      </c>
      <c r="F1628" s="42" t="inlineStr">
        <is>
          <t>Laguindingan</t>
        </is>
      </c>
      <c r="G1628" s="42" t="inlineStr">
        <is>
          <t>Gasi</t>
        </is>
      </c>
      <c r="H1628" s="43" t="n">
        <v>8.585967999999999</v>
      </c>
      <c r="I1628" s="43" t="n">
        <v>124.442194</v>
      </c>
      <c r="J1628" s="44" t="inlineStr">
        <is>
          <t>R</t>
        </is>
      </c>
      <c r="K1628" s="42" t="inlineStr">
        <is>
          <t>2nd</t>
        </is>
      </c>
      <c r="L1628" s="23" t="n">
        <v>1944</v>
      </c>
      <c r="M1628" s="24" t="n">
        <v>4.35</v>
      </c>
      <c r="N1628" s="23">
        <f>ROUND(L1628/M1628, 0)</f>
        <v/>
      </c>
      <c r="O1628" s="23">
        <f>ROUND(N1628*'Methodology &amp; Assumptions'!$B$8, 0)</f>
        <v/>
      </c>
      <c r="P1628" s="44" t="inlineStr">
        <is>
          <t>Band n50 (1.5 GHz, 60 MHz)</t>
        </is>
      </c>
      <c r="Q1628" s="38">
        <f>ROUNDUP(O1628/'Methodology &amp; Assumptions'!$B$9, 0)</f>
        <v/>
      </c>
      <c r="R1628" s="39" t="n">
        <v>1</v>
      </c>
      <c r="S1628" s="25" t="n">
        <v>1.34</v>
      </c>
      <c r="T1628" s="25" t="n">
        <v>1.41</v>
      </c>
      <c r="U1628" s="42" t="inlineStr">
        <is>
          <t>Tier 1B (Micro Drop, 1-3 km)</t>
        </is>
      </c>
      <c r="V1628" s="24" t="n">
        <v>74</v>
      </c>
      <c r="W1628" s="24" t="n">
        <v>59.7</v>
      </c>
      <c r="X1628" s="24" t="n">
        <v>58</v>
      </c>
      <c r="Y1628" s="45">
        <f>ROUND((V1628*'Methodology &amp; Assumptions'!$B$6)+(W1628*'Methodology &amp; Assumptions'!$B$5)+(X1628*'Methodology &amp; Assumptions'!$B$7), 2)</f>
        <v/>
      </c>
    </row>
    <row r="1629" ht="19" customHeight="1">
      <c r="A1629" s="35" t="n">
        <v>625</v>
      </c>
      <c r="B1629" s="35" t="n">
        <v>4625</v>
      </c>
      <c r="C1629" s="36" t="inlineStr">
        <is>
          <t>1705320029</t>
        </is>
      </c>
      <c r="D1629" s="36" t="inlineStr">
        <is>
          <t>MIMAROPA Region</t>
        </is>
      </c>
      <c r="E1629" s="36" t="inlineStr">
        <is>
          <t>Palawan</t>
        </is>
      </c>
      <c r="F1629" s="36" t="inlineStr">
        <is>
          <t>Taytay</t>
        </is>
      </c>
      <c r="G1629" s="36" t="inlineStr">
        <is>
          <t>Talog</t>
        </is>
      </c>
      <c r="H1629" s="37" t="n">
        <v>10.959625</v>
      </c>
      <c r="I1629" s="37" t="n">
        <v>119.487513</v>
      </c>
      <c r="J1629" s="8" t="inlineStr">
        <is>
          <t>R</t>
        </is>
      </c>
      <c r="K1629" s="36" t="inlineStr">
        <is>
          <t>Class 1-3 / Urban</t>
        </is>
      </c>
      <c r="L1629" s="18" t="n">
        <v>1058</v>
      </c>
      <c r="M1629" s="20" t="n">
        <v>4.35</v>
      </c>
      <c r="N1629" s="18">
        <f>ROUND(L1629/M1629, 0)</f>
        <v/>
      </c>
      <c r="O1629" s="18">
        <f>ROUND(N1629*'Methodology &amp; Assumptions'!$B$8, 0)</f>
        <v/>
      </c>
      <c r="P1629" s="8" t="inlineStr">
        <is>
          <t>Band n50 (1.5 GHz, 60 MHz)</t>
        </is>
      </c>
      <c r="Q1629" s="38">
        <f>ROUNDUP(O1629/'Methodology &amp; Assumptions'!$B$9, 0)</f>
        <v/>
      </c>
      <c r="R1629" s="39" t="n">
        <v>1</v>
      </c>
      <c r="S1629" s="21" t="n">
        <v>0.18</v>
      </c>
      <c r="T1629" s="21" t="n">
        <v>15.38</v>
      </c>
      <c r="U1629" s="36" t="inlineStr">
        <is>
          <t>Tier 1A (Direct Coloc, &lt;1 km)</t>
        </is>
      </c>
      <c r="V1629" s="20" t="n">
        <v>94.3</v>
      </c>
      <c r="W1629" s="20" t="n">
        <v>39.5</v>
      </c>
      <c r="X1629" s="20" t="n">
        <v>58</v>
      </c>
      <c r="Y1629" s="40">
        <f>ROUND((V1629*'Methodology &amp; Assumptions'!$B$6)+(W1629*'Methodology &amp; Assumptions'!$B$5)+(X1629*'Methodology &amp; Assumptions'!$B$7), 2)</f>
        <v/>
      </c>
    </row>
    <row r="1630" ht="19" customHeight="1">
      <c r="A1630" s="41" t="n">
        <v>626</v>
      </c>
      <c r="B1630" s="41" t="n">
        <v>4626</v>
      </c>
      <c r="C1630" s="42" t="inlineStr">
        <is>
          <t>0405603039</t>
        </is>
      </c>
      <c r="D1630" s="42" t="inlineStr">
        <is>
          <t>Region IV-A (CALABARZON)</t>
        </is>
      </c>
      <c r="E1630" s="42" t="inlineStr">
        <is>
          <t>Quezon</t>
        </is>
      </c>
      <c r="F1630" s="42" t="inlineStr">
        <is>
          <t>Atimonan</t>
        </is>
      </c>
      <c r="G1630" s="42" t="inlineStr">
        <is>
          <t>Tagbakin</t>
        </is>
      </c>
      <c r="H1630" s="43" t="n">
        <v>13.993765</v>
      </c>
      <c r="I1630" s="43" t="n">
        <v>121.907121</v>
      </c>
      <c r="J1630" s="44" t="inlineStr">
        <is>
          <t>U</t>
        </is>
      </c>
      <c r="K1630" s="42" t="inlineStr">
        <is>
          <t>Class 1-3 / Urban</t>
        </is>
      </c>
      <c r="L1630" s="23" t="n">
        <v>6317</v>
      </c>
      <c r="M1630" s="24" t="n">
        <v>4.46</v>
      </c>
      <c r="N1630" s="23">
        <f>ROUND(L1630/M1630, 0)</f>
        <v/>
      </c>
      <c r="O1630" s="23">
        <f>ROUND(N1630*'Methodology &amp; Assumptions'!$B$8, 0)</f>
        <v/>
      </c>
      <c r="P1630" s="44" t="inlineStr">
        <is>
          <t>Band n50 (1.5 GHz, 60 MHz)</t>
        </is>
      </c>
      <c r="Q1630" s="38">
        <f>ROUNDUP(O1630/'Methodology &amp; Assumptions'!$B$9, 0)</f>
        <v/>
      </c>
      <c r="R1630" s="39" t="n">
        <v>1</v>
      </c>
      <c r="S1630" s="25" t="n">
        <v>2.11</v>
      </c>
      <c r="T1630" s="25" t="n">
        <v>0.03</v>
      </c>
      <c r="U1630" s="42" t="inlineStr">
        <is>
          <t>Tier 1B (Micro Drop, 1-3 km)</t>
        </is>
      </c>
      <c r="V1630" s="24" t="n">
        <v>59.4</v>
      </c>
      <c r="W1630" s="24" t="n">
        <v>100</v>
      </c>
      <c r="X1630" s="24" t="n">
        <v>28</v>
      </c>
      <c r="Y1630" s="45">
        <f>ROUND((V1630*'Methodology &amp; Assumptions'!$B$6)+(W1630*'Methodology &amp; Assumptions'!$B$5)+(X1630*'Methodology &amp; Assumptions'!$B$7), 2)</f>
        <v/>
      </c>
    </row>
    <row r="1631" ht="19" customHeight="1">
      <c r="A1631" s="35" t="n">
        <v>627</v>
      </c>
      <c r="B1631" s="35" t="n">
        <v>4627</v>
      </c>
      <c r="C1631" s="36" t="inlineStr">
        <is>
          <t>1630400079</t>
        </is>
      </c>
      <c r="D1631" s="36" t="inlineStr">
        <is>
          <t>Region XIII (Caraga)</t>
        </is>
      </c>
      <c r="E1631" s="36" t="inlineStr">
        <is>
          <t>Agusan del Norte</t>
        </is>
      </c>
      <c r="F1631" s="36" t="inlineStr">
        <is>
          <t>City of Butuan</t>
        </is>
      </c>
      <c r="G1631" s="36" t="inlineStr">
        <is>
          <t>Silongan Pob.</t>
        </is>
      </c>
      <c r="H1631" s="37" t="n">
        <v>8.947162000000001</v>
      </c>
      <c r="I1631" s="37" t="n">
        <v>125.545055</v>
      </c>
      <c r="J1631" s="8" t="inlineStr">
        <is>
          <t>R</t>
        </is>
      </c>
      <c r="K1631" s="36" t="inlineStr">
        <is>
          <t>Class 1-3 / Urban</t>
        </is>
      </c>
      <c r="L1631" s="18" t="n">
        <v>632</v>
      </c>
      <c r="M1631" s="20" t="n">
        <v>4.63</v>
      </c>
      <c r="N1631" s="18">
        <f>ROUND(L1631/M1631, 0)</f>
        <v/>
      </c>
      <c r="O1631" s="18">
        <f>ROUND(N1631*'Methodology &amp; Assumptions'!$B$8, 0)</f>
        <v/>
      </c>
      <c r="P1631" s="8" t="inlineStr">
        <is>
          <t>Band n50 (1.5 GHz, 60 MHz)</t>
        </is>
      </c>
      <c r="Q1631" s="38">
        <f>ROUNDUP(O1631/'Methodology &amp; Assumptions'!$B$9, 0)</f>
        <v/>
      </c>
      <c r="R1631" s="39" t="n">
        <v>1</v>
      </c>
      <c r="S1631" s="21" t="n">
        <v>0.83</v>
      </c>
      <c r="T1631" s="21" t="n">
        <v>0.07000000000000001</v>
      </c>
      <c r="U1631" s="36" t="inlineStr">
        <is>
          <t>Tier 1A (Direct Coloc, &lt;1 km)</t>
        </is>
      </c>
      <c r="V1631" s="20" t="n">
        <v>85.90000000000001</v>
      </c>
      <c r="W1631" s="20" t="n">
        <v>34.9</v>
      </c>
      <c r="X1631" s="20" t="n">
        <v>73</v>
      </c>
      <c r="Y1631" s="40">
        <f>ROUND((V1631*'Methodology &amp; Assumptions'!$B$6)+(W1631*'Methodology &amp; Assumptions'!$B$5)+(X1631*'Methodology &amp; Assumptions'!$B$7), 2)</f>
        <v/>
      </c>
    </row>
    <row r="1632" ht="19" customHeight="1">
      <c r="A1632" s="41" t="n">
        <v>628</v>
      </c>
      <c r="B1632" s="41" t="n">
        <v>4628</v>
      </c>
      <c r="C1632" s="42" t="inlineStr">
        <is>
          <t>0103311030</t>
        </is>
      </c>
      <c r="D1632" s="42" t="inlineStr">
        <is>
          <t>Region I (Ilocos Region)</t>
        </is>
      </c>
      <c r="E1632" s="42" t="inlineStr">
        <is>
          <t>La Union</t>
        </is>
      </c>
      <c r="F1632" s="42" t="inlineStr">
        <is>
          <t>Naguilian</t>
        </is>
      </c>
      <c r="G1632" s="42" t="inlineStr">
        <is>
          <t>Ortiz</t>
        </is>
      </c>
      <c r="H1632" s="43" t="n">
        <v>16.533857</v>
      </c>
      <c r="I1632" s="43" t="n">
        <v>120.39331</v>
      </c>
      <c r="J1632" s="44" t="inlineStr">
        <is>
          <t>U</t>
        </is>
      </c>
      <c r="K1632" s="42" t="inlineStr">
        <is>
          <t>Class 1-3 / Urban</t>
        </is>
      </c>
      <c r="L1632" s="23" t="n">
        <v>2784</v>
      </c>
      <c r="M1632" s="24" t="n">
        <v>4.42</v>
      </c>
      <c r="N1632" s="23">
        <f>ROUND(L1632/M1632, 0)</f>
        <v/>
      </c>
      <c r="O1632" s="23">
        <f>ROUND(N1632*'Methodology &amp; Assumptions'!$B$8, 0)</f>
        <v/>
      </c>
      <c r="P1632" s="44" t="inlineStr">
        <is>
          <t>Band n50 (1.5 GHz, 60 MHz)</t>
        </is>
      </c>
      <c r="Q1632" s="38">
        <f>ROUNDUP(O1632/'Methodology &amp; Assumptions'!$B$9, 0)</f>
        <v/>
      </c>
      <c r="R1632" s="39" t="n">
        <v>1</v>
      </c>
      <c r="S1632" s="25" t="n">
        <v>0.86</v>
      </c>
      <c r="T1632" s="25" t="n">
        <v>0.31</v>
      </c>
      <c r="U1632" s="42" t="inlineStr">
        <is>
          <t>Tier 1A (Direct Coloc, &lt;1 km)</t>
        </is>
      </c>
      <c r="V1632" s="24" t="n">
        <v>85</v>
      </c>
      <c r="W1632" s="24" t="n">
        <v>74.40000000000001</v>
      </c>
      <c r="X1632" s="24" t="n">
        <v>28</v>
      </c>
      <c r="Y1632" s="45">
        <f>ROUND((V1632*'Methodology &amp; Assumptions'!$B$6)+(W1632*'Methodology &amp; Assumptions'!$B$5)+(X1632*'Methodology &amp; Assumptions'!$B$7), 2)</f>
        <v/>
      </c>
    </row>
    <row r="1633" ht="19" customHeight="1">
      <c r="A1633" s="35" t="n">
        <v>629</v>
      </c>
      <c r="B1633" s="35" t="n">
        <v>4629</v>
      </c>
      <c r="C1633" s="36" t="inlineStr">
        <is>
          <t>0402111023</t>
        </is>
      </c>
      <c r="D1633" s="36" t="inlineStr">
        <is>
          <t>Region IV-A (CALABARZON)</t>
        </is>
      </c>
      <c r="E1633" s="36" t="inlineStr">
        <is>
          <t>Cavite</t>
        </is>
      </c>
      <c r="F1633" s="36" t="inlineStr">
        <is>
          <t>Kawit</t>
        </is>
      </c>
      <c r="G1633" s="36" t="inlineStr">
        <is>
          <t>Wakas II</t>
        </is>
      </c>
      <c r="H1633" s="37" t="n">
        <v>14.443152</v>
      </c>
      <c r="I1633" s="37" t="n">
        <v>120.897765</v>
      </c>
      <c r="J1633" s="8" t="inlineStr">
        <is>
          <t>R</t>
        </is>
      </c>
      <c r="K1633" s="36" t="inlineStr">
        <is>
          <t>Class 1-3 / Urban</t>
        </is>
      </c>
      <c r="L1633" s="18" t="n">
        <v>2175</v>
      </c>
      <c r="M1633" s="20" t="n">
        <v>4.49</v>
      </c>
      <c r="N1633" s="18">
        <f>ROUND(L1633/M1633, 0)</f>
        <v/>
      </c>
      <c r="O1633" s="18">
        <f>ROUND(N1633*'Methodology &amp; Assumptions'!$B$8, 0)</f>
        <v/>
      </c>
      <c r="P1633" s="8" t="inlineStr">
        <is>
          <t>Band n50 (1.5 GHz, 60 MHz)</t>
        </is>
      </c>
      <c r="Q1633" s="38">
        <f>ROUNDUP(O1633/'Methodology &amp; Assumptions'!$B$9, 0)</f>
        <v/>
      </c>
      <c r="R1633" s="39" t="n">
        <v>1</v>
      </c>
      <c r="S1633" s="21" t="n">
        <v>2.19</v>
      </c>
      <c r="T1633" s="21" t="n">
        <v>1.03</v>
      </c>
      <c r="U1633" s="36" t="inlineStr">
        <is>
          <t>Tier 1B (Micro Drop, 1-3 km)</t>
        </is>
      </c>
      <c r="V1633" s="20" t="n">
        <v>58.1</v>
      </c>
      <c r="W1633" s="20" t="n">
        <v>62.7</v>
      </c>
      <c r="X1633" s="20" t="n">
        <v>73</v>
      </c>
      <c r="Y1633" s="40">
        <f>ROUND((V1633*'Methodology &amp; Assumptions'!$B$6)+(W1633*'Methodology &amp; Assumptions'!$B$5)+(X1633*'Methodology &amp; Assumptions'!$B$7), 2)</f>
        <v/>
      </c>
    </row>
    <row r="1634" ht="19" customHeight="1">
      <c r="A1634" s="41" t="n">
        <v>630</v>
      </c>
      <c r="B1634" s="41" t="n">
        <v>4630</v>
      </c>
      <c r="C1634" s="42" t="inlineStr">
        <is>
          <t>1001317008</t>
        </is>
      </c>
      <c r="D1634" s="42" t="inlineStr">
        <is>
          <t>Region X (Northern Mindanao)</t>
        </is>
      </c>
      <c r="E1634" s="42" t="inlineStr">
        <is>
          <t>Bukidnon</t>
        </is>
      </c>
      <c r="F1634" s="42" t="inlineStr">
        <is>
          <t>Quezon</t>
        </is>
      </c>
      <c r="G1634" s="42" t="inlineStr">
        <is>
          <t>Kiburiao</t>
        </is>
      </c>
      <c r="H1634" s="43" t="n">
        <v>7.642922</v>
      </c>
      <c r="I1634" s="43" t="n">
        <v>125.095729</v>
      </c>
      <c r="J1634" s="44" t="inlineStr">
        <is>
          <t>R</t>
        </is>
      </c>
      <c r="K1634" s="42" t="inlineStr">
        <is>
          <t>Class 1-3 / Urban</t>
        </is>
      </c>
      <c r="L1634" s="23" t="n">
        <v>4496</v>
      </c>
      <c r="M1634" s="24" t="n">
        <v>4.63</v>
      </c>
      <c r="N1634" s="23">
        <f>ROUND(L1634/M1634, 0)</f>
        <v/>
      </c>
      <c r="O1634" s="23">
        <f>ROUND(N1634*'Methodology &amp; Assumptions'!$B$8, 0)</f>
        <v/>
      </c>
      <c r="P1634" s="44" t="inlineStr">
        <is>
          <t>Band n50 (1.5 GHz, 60 MHz)</t>
        </is>
      </c>
      <c r="Q1634" s="38">
        <f>ROUNDUP(O1634/'Methodology &amp; Assumptions'!$B$9, 0)</f>
        <v/>
      </c>
      <c r="R1634" s="39" t="n">
        <v>1</v>
      </c>
      <c r="S1634" s="25" t="n">
        <v>4.33</v>
      </c>
      <c r="T1634" s="25" t="n">
        <v>0.97</v>
      </c>
      <c r="U1634" s="42" t="inlineStr">
        <is>
          <t>Tier 2 (Fiber Corridor / Lateral, 3-5 km)</t>
        </is>
      </c>
      <c r="V1634" s="24" t="n">
        <v>33.6</v>
      </c>
      <c r="W1634" s="24" t="n">
        <v>100</v>
      </c>
      <c r="X1634" s="24" t="n">
        <v>58</v>
      </c>
      <c r="Y1634" s="45">
        <f>ROUND((V1634*'Methodology &amp; Assumptions'!$B$6)+(W1634*'Methodology &amp; Assumptions'!$B$5)+(X1634*'Methodology &amp; Assumptions'!$B$7), 2)</f>
        <v/>
      </c>
    </row>
    <row r="1635" ht="19" customHeight="1">
      <c r="A1635" s="35" t="n">
        <v>631</v>
      </c>
      <c r="B1635" s="35" t="n">
        <v>4631</v>
      </c>
      <c r="C1635" s="36" t="inlineStr">
        <is>
          <t>0306917017</t>
        </is>
      </c>
      <c r="D1635" s="36" t="inlineStr">
        <is>
          <t>Region III (Central Luzon)</t>
        </is>
      </c>
      <c r="E1635" s="36" t="inlineStr">
        <is>
          <t>Tarlac</t>
        </is>
      </c>
      <c r="F1635" s="36" t="inlineStr">
        <is>
          <t>Victoria</t>
        </is>
      </c>
      <c r="G1635" s="36" t="inlineStr">
        <is>
          <t>San Agustin</t>
        </is>
      </c>
      <c r="H1635" s="37" t="n">
        <v>15.59755</v>
      </c>
      <c r="I1635" s="37" t="n">
        <v>120.68111</v>
      </c>
      <c r="J1635" s="8" t="inlineStr">
        <is>
          <t>R</t>
        </is>
      </c>
      <c r="K1635" s="36" t="inlineStr">
        <is>
          <t>Class 1-3 / Urban</t>
        </is>
      </c>
      <c r="L1635" s="18" t="n">
        <v>3587</v>
      </c>
      <c r="M1635" s="20" t="n">
        <v>4.3</v>
      </c>
      <c r="N1635" s="18">
        <f>ROUND(L1635/M1635, 0)</f>
        <v/>
      </c>
      <c r="O1635" s="18">
        <f>ROUND(N1635*'Methodology &amp; Assumptions'!$B$8, 0)</f>
        <v/>
      </c>
      <c r="P1635" s="8" t="inlineStr">
        <is>
          <t>Band n50 (1.5 GHz, 60 MHz)</t>
        </is>
      </c>
      <c r="Q1635" s="38">
        <f>ROUNDUP(O1635/'Methodology &amp; Assumptions'!$B$9, 0)</f>
        <v/>
      </c>
      <c r="R1635" s="39" t="n">
        <v>1</v>
      </c>
      <c r="S1635" s="21" t="n">
        <v>2.53</v>
      </c>
      <c r="T1635" s="21" t="n">
        <v>4.3</v>
      </c>
      <c r="U1635" s="36" t="inlineStr">
        <is>
          <t>Tier 1B (Micro Drop, 1-3 km)</t>
        </is>
      </c>
      <c r="V1635" s="20" t="n">
        <v>43</v>
      </c>
      <c r="W1635" s="20" t="n">
        <v>90.7</v>
      </c>
      <c r="X1635" s="20" t="n">
        <v>58</v>
      </c>
      <c r="Y1635" s="40">
        <f>ROUND((V1635*'Methodology &amp; Assumptions'!$B$6)+(W1635*'Methodology &amp; Assumptions'!$B$5)+(X1635*'Methodology &amp; Assumptions'!$B$7), 2)</f>
        <v/>
      </c>
    </row>
    <row r="1636" ht="19" customHeight="1">
      <c r="A1636" s="41" t="n">
        <v>632</v>
      </c>
      <c r="B1636" s="41" t="n">
        <v>4632</v>
      </c>
      <c r="C1636" s="42" t="inlineStr">
        <is>
          <t>1403209004</t>
        </is>
      </c>
      <c r="D1636" s="42" t="inlineStr">
        <is>
          <t>Cordillera Administrative Region (CAR)</t>
        </is>
      </c>
      <c r="E1636" s="42" t="inlineStr">
        <is>
          <t>Kalinga</t>
        </is>
      </c>
      <c r="F1636" s="42" t="inlineStr">
        <is>
          <t>Pinukpuk</t>
        </is>
      </c>
      <c r="G1636" s="42" t="inlineStr">
        <is>
          <t>Apatan</t>
        </is>
      </c>
      <c r="H1636" s="43" t="n">
        <v>17.55132</v>
      </c>
      <c r="I1636" s="43" t="n">
        <v>121.339044</v>
      </c>
      <c r="J1636" s="44" t="inlineStr">
        <is>
          <t>R</t>
        </is>
      </c>
      <c r="K1636" s="42" t="inlineStr">
        <is>
          <t>Class 1-3 / Urban</t>
        </is>
      </c>
      <c r="L1636" s="23" t="n">
        <v>2249</v>
      </c>
      <c r="M1636" s="24" t="n">
        <v>5.34</v>
      </c>
      <c r="N1636" s="23">
        <f>ROUND(L1636/M1636, 0)</f>
        <v/>
      </c>
      <c r="O1636" s="23">
        <f>ROUND(N1636*'Methodology &amp; Assumptions'!$B$8, 0)</f>
        <v/>
      </c>
      <c r="P1636" s="44" t="inlineStr">
        <is>
          <t>Band n50 (1.5 GHz, 60 MHz)</t>
        </is>
      </c>
      <c r="Q1636" s="38">
        <f>ROUNDUP(O1636/'Methodology &amp; Assumptions'!$B$9, 0)</f>
        <v/>
      </c>
      <c r="R1636" s="39" t="n">
        <v>1</v>
      </c>
      <c r="S1636" s="25" t="n">
        <v>0.67</v>
      </c>
      <c r="T1636" s="25" t="n">
        <v>9.960000000000001</v>
      </c>
      <c r="U1636" s="42" t="inlineStr">
        <is>
          <t>Tier 1A (Direct Coloc, &lt;1 km)</t>
        </is>
      </c>
      <c r="V1636" s="24" t="n">
        <v>80.09999999999999</v>
      </c>
      <c r="W1636" s="24" t="n">
        <v>53.6</v>
      </c>
      <c r="X1636" s="24" t="n">
        <v>58</v>
      </c>
      <c r="Y1636" s="45">
        <f>ROUND((V1636*'Methodology &amp; Assumptions'!$B$6)+(W1636*'Methodology &amp; Assumptions'!$B$5)+(X1636*'Methodology &amp; Assumptions'!$B$7), 2)</f>
        <v/>
      </c>
    </row>
    <row r="1637" ht="19" customHeight="1">
      <c r="A1637" s="35" t="n">
        <v>633</v>
      </c>
      <c r="B1637" s="35" t="n">
        <v>4633</v>
      </c>
      <c r="C1637" s="36" t="inlineStr">
        <is>
          <t>0304928005</t>
        </is>
      </c>
      <c r="D1637" s="36" t="inlineStr">
        <is>
          <t>Region III (Central Luzon)</t>
        </is>
      </c>
      <c r="E1637" s="36" t="inlineStr">
        <is>
          <t>Nueva Ecija</t>
        </is>
      </c>
      <c r="F1637" s="36" t="inlineStr">
        <is>
          <t>Santa Rosa</t>
        </is>
      </c>
      <c r="G1637" s="36" t="inlineStr">
        <is>
          <t>Maliolio</t>
        </is>
      </c>
      <c r="H1637" s="37" t="n">
        <v>15.420369</v>
      </c>
      <c r="I1637" s="37" t="n">
        <v>120.919831</v>
      </c>
      <c r="J1637" s="8" t="inlineStr">
        <is>
          <t>R</t>
        </is>
      </c>
      <c r="K1637" s="36" t="inlineStr">
        <is>
          <t>Class 1-3 / Urban</t>
        </is>
      </c>
      <c r="L1637" s="18" t="n">
        <v>1605</v>
      </c>
      <c r="M1637" s="20" t="n">
        <v>4.32</v>
      </c>
      <c r="N1637" s="18">
        <f>ROUND(L1637/M1637, 0)</f>
        <v/>
      </c>
      <c r="O1637" s="18">
        <f>ROUND(N1637*'Methodology &amp; Assumptions'!$B$8, 0)</f>
        <v/>
      </c>
      <c r="P1637" s="8" t="inlineStr">
        <is>
          <t>Band n50 (1.5 GHz, 60 MHz)</t>
        </is>
      </c>
      <c r="Q1637" s="38">
        <f>ROUNDUP(O1637/'Methodology &amp; Assumptions'!$B$9, 0)</f>
        <v/>
      </c>
      <c r="R1637" s="39" t="n">
        <v>1</v>
      </c>
      <c r="S1637" s="21" t="n">
        <v>1.08</v>
      </c>
      <c r="T1637" s="21" t="n">
        <v>1.09</v>
      </c>
      <c r="U1637" s="36" t="inlineStr">
        <is>
          <t>Tier 1B (Micro Drop, 1-3 km)</t>
        </is>
      </c>
      <c r="V1637" s="20" t="n">
        <v>79.8</v>
      </c>
      <c r="W1637" s="20" t="n">
        <v>53.9</v>
      </c>
      <c r="X1637" s="20" t="n">
        <v>58</v>
      </c>
      <c r="Y1637" s="40">
        <f>ROUND((V1637*'Methodology &amp; Assumptions'!$B$6)+(W1637*'Methodology &amp; Assumptions'!$B$5)+(X1637*'Methodology &amp; Assumptions'!$B$7), 2)</f>
        <v/>
      </c>
    </row>
    <row r="1638" ht="19" customHeight="1">
      <c r="A1638" s="41" t="n">
        <v>634</v>
      </c>
      <c r="B1638" s="41" t="n">
        <v>4634</v>
      </c>
      <c r="C1638" s="42" t="inlineStr">
        <is>
          <t>0630200019</t>
        </is>
      </c>
      <c r="D1638" s="42" t="inlineStr">
        <is>
          <t>Region VI (Western Visayas)</t>
        </is>
      </c>
      <c r="E1638" s="42" t="inlineStr">
        <is>
          <t>Negros Occidental</t>
        </is>
      </c>
      <c r="F1638" s="42" t="inlineStr">
        <is>
          <t>City of Bacolod</t>
        </is>
      </c>
      <c r="G1638" s="42" t="inlineStr">
        <is>
          <t>Barangay 23</t>
        </is>
      </c>
      <c r="H1638" s="43" t="n">
        <v>10.66642</v>
      </c>
      <c r="I1638" s="43" t="n">
        <v>122.955813</v>
      </c>
      <c r="J1638" s="44" t="inlineStr">
        <is>
          <t>R</t>
        </is>
      </c>
      <c r="K1638" s="42" t="inlineStr">
        <is>
          <t>Class 1-3 / Urban</t>
        </is>
      </c>
      <c r="L1638" s="23" t="n">
        <v>632</v>
      </c>
      <c r="M1638" s="24" t="n">
        <v>4.33</v>
      </c>
      <c r="N1638" s="23">
        <f>ROUND(L1638/M1638, 0)</f>
        <v/>
      </c>
      <c r="O1638" s="23">
        <f>ROUND(N1638*'Methodology &amp; Assumptions'!$B$8, 0)</f>
        <v/>
      </c>
      <c r="P1638" s="44" t="inlineStr">
        <is>
          <t>Band n50 (1.5 GHz, 60 MHz)</t>
        </is>
      </c>
      <c r="Q1638" s="38">
        <f>ROUNDUP(O1638/'Methodology &amp; Assumptions'!$B$9, 0)</f>
        <v/>
      </c>
      <c r="R1638" s="39" t="n">
        <v>1</v>
      </c>
      <c r="S1638" s="25" t="n">
        <v>0.39</v>
      </c>
      <c r="T1638" s="25" t="n">
        <v>0.68</v>
      </c>
      <c r="U1638" s="42" t="inlineStr">
        <is>
          <t>Tier 1A (Direct Coloc, &lt;1 km)</t>
        </is>
      </c>
      <c r="V1638" s="24" t="n">
        <v>97.90000000000001</v>
      </c>
      <c r="W1638" s="24" t="n">
        <v>35.7</v>
      </c>
      <c r="X1638" s="24" t="n">
        <v>58</v>
      </c>
      <c r="Y1638" s="45">
        <f>ROUND((V1638*'Methodology &amp; Assumptions'!$B$6)+(W1638*'Methodology &amp; Assumptions'!$B$5)+(X1638*'Methodology &amp; Assumptions'!$B$7), 2)</f>
        <v/>
      </c>
    </row>
    <row r="1639" ht="19" customHeight="1">
      <c r="A1639" s="35" t="n">
        <v>635</v>
      </c>
      <c r="B1639" s="35" t="n">
        <v>4635</v>
      </c>
      <c r="C1639" s="36" t="inlineStr">
        <is>
          <t>0301420003</t>
        </is>
      </c>
      <c r="D1639" s="36" t="inlineStr">
        <is>
          <t>Region III (Central Luzon)</t>
        </is>
      </c>
      <c r="E1639" s="36" t="inlineStr">
        <is>
          <t>Bulacan</t>
        </is>
      </c>
      <c r="F1639" s="36" t="inlineStr">
        <is>
          <t>City of San Jose Del Monte</t>
        </is>
      </c>
      <c r="G1639" s="36" t="inlineStr">
        <is>
          <t>Gaya-gaya</t>
        </is>
      </c>
      <c r="H1639" s="37" t="n">
        <v>14.795017</v>
      </c>
      <c r="I1639" s="37" t="n">
        <v>121.052425</v>
      </c>
      <c r="J1639" s="8" t="inlineStr">
        <is>
          <t>U</t>
        </is>
      </c>
      <c r="K1639" s="36" t="inlineStr">
        <is>
          <t>Class 1-3 / Urban</t>
        </is>
      </c>
      <c r="L1639" s="18" t="n">
        <v>56896</v>
      </c>
      <c r="M1639" s="20" t="n">
        <v>4.1</v>
      </c>
      <c r="N1639" s="18">
        <f>ROUND(L1639/M1639, 0)</f>
        <v/>
      </c>
      <c r="O1639" s="18">
        <f>ROUND(N1639*'Methodology &amp; Assumptions'!$B$8, 0)</f>
        <v/>
      </c>
      <c r="P1639" s="8" t="inlineStr">
        <is>
          <t>Band n50 (1.5 GHz, 60 MHz)</t>
        </is>
      </c>
      <c r="Q1639" s="38">
        <f>ROUNDUP(O1639/'Methodology &amp; Assumptions'!$B$9, 0)</f>
        <v/>
      </c>
      <c r="R1639" s="39" t="n">
        <v>1</v>
      </c>
      <c r="S1639" s="21" t="n">
        <v>1.85</v>
      </c>
      <c r="T1639" s="21" t="n">
        <v>0.09</v>
      </c>
      <c r="U1639" s="36" t="inlineStr">
        <is>
          <t>Tier 1B (Micro Drop, 1-3 km)</t>
        </is>
      </c>
      <c r="V1639" s="20" t="n">
        <v>63.9</v>
      </c>
      <c r="W1639" s="20" t="n">
        <v>95.40000000000001</v>
      </c>
      <c r="X1639" s="20" t="n">
        <v>28</v>
      </c>
      <c r="Y1639" s="40">
        <f>ROUND((V1639*'Methodology &amp; Assumptions'!$B$6)+(W1639*'Methodology &amp; Assumptions'!$B$5)+(X1639*'Methodology &amp; Assumptions'!$B$7), 2)</f>
        <v/>
      </c>
    </row>
    <row r="1640" ht="19" customHeight="1">
      <c r="A1640" s="41" t="n">
        <v>636</v>
      </c>
      <c r="B1640" s="41" t="n">
        <v>4636</v>
      </c>
      <c r="C1640" s="42" t="inlineStr">
        <is>
          <t>0501704006</t>
        </is>
      </c>
      <c r="D1640" s="42" t="inlineStr">
        <is>
          <t>Region V (Bicol Region)</t>
        </is>
      </c>
      <c r="E1640" s="42" t="inlineStr">
        <is>
          <t>Camarines Sur</t>
        </is>
      </c>
      <c r="F1640" s="42" t="inlineStr">
        <is>
          <t>Bombon</t>
        </is>
      </c>
      <c r="G1640" s="42" t="inlineStr">
        <is>
          <t>San Roque</t>
        </is>
      </c>
      <c r="H1640" s="43" t="n">
        <v>13.675994</v>
      </c>
      <c r="I1640" s="43" t="n">
        <v>123.202988</v>
      </c>
      <c r="J1640" s="44" t="inlineStr">
        <is>
          <t>R</t>
        </is>
      </c>
      <c r="K1640" s="42" t="inlineStr">
        <is>
          <t>4th</t>
        </is>
      </c>
      <c r="L1640" s="23" t="n">
        <v>2603</v>
      </c>
      <c r="M1640" s="24" t="n">
        <v>4.77</v>
      </c>
      <c r="N1640" s="23">
        <f>ROUND(L1640/M1640, 0)</f>
        <v/>
      </c>
      <c r="O1640" s="23">
        <f>ROUND(N1640*'Methodology &amp; Assumptions'!$B$8, 0)</f>
        <v/>
      </c>
      <c r="P1640" s="44" t="inlineStr">
        <is>
          <t>Band n50 (1.5 GHz, 60 MHz)</t>
        </is>
      </c>
      <c r="Q1640" s="38">
        <f>ROUNDUP(O1640/'Methodology &amp; Assumptions'!$B$9, 0)</f>
        <v/>
      </c>
      <c r="R1640" s="39" t="n">
        <v>1</v>
      </c>
      <c r="S1640" s="25" t="n">
        <v>3.24</v>
      </c>
      <c r="T1640" s="25" t="n">
        <v>0.1</v>
      </c>
      <c r="U1640" s="42" t="inlineStr">
        <is>
          <t>Tier 2 (Fiber Corridor / Lateral, 3-5 km)</t>
        </is>
      </c>
      <c r="V1640" s="24" t="n">
        <v>44</v>
      </c>
      <c r="W1640" s="24" t="n">
        <v>67.7</v>
      </c>
      <c r="X1640" s="24" t="n">
        <v>83.5</v>
      </c>
      <c r="Y1640" s="45">
        <f>ROUND((V1640*'Methodology &amp; Assumptions'!$B$6)+(W1640*'Methodology &amp; Assumptions'!$B$5)+(X1640*'Methodology &amp; Assumptions'!$B$7), 2)</f>
        <v/>
      </c>
    </row>
    <row r="1641" ht="19" customHeight="1">
      <c r="A1641" s="35" t="n">
        <v>637</v>
      </c>
      <c r="B1641" s="35" t="n">
        <v>4637</v>
      </c>
      <c r="C1641" s="36" t="inlineStr">
        <is>
          <t>1001310003</t>
        </is>
      </c>
      <c r="D1641" s="36" t="inlineStr">
        <is>
          <t>Region X (Northern Mindanao)</t>
        </is>
      </c>
      <c r="E1641" s="36" t="inlineStr">
        <is>
          <t>Bukidnon</t>
        </is>
      </c>
      <c r="F1641" s="36" t="inlineStr">
        <is>
          <t>Lantapan</t>
        </is>
      </c>
      <c r="G1641" s="36" t="inlineStr">
        <is>
          <t>Balila</t>
        </is>
      </c>
      <c r="H1641" s="37" t="n">
        <v>8.002271</v>
      </c>
      <c r="I1641" s="37" t="n">
        <v>125.012662</v>
      </c>
      <c r="J1641" s="8" t="inlineStr">
        <is>
          <t>R</t>
        </is>
      </c>
      <c r="K1641" s="36" t="inlineStr">
        <is>
          <t>Class 1-3 / Urban</t>
        </is>
      </c>
      <c r="L1641" s="18" t="n">
        <v>4151</v>
      </c>
      <c r="M1641" s="20" t="n">
        <v>4.63</v>
      </c>
      <c r="N1641" s="18">
        <f>ROUND(L1641/M1641, 0)</f>
        <v/>
      </c>
      <c r="O1641" s="18">
        <f>ROUND(N1641*'Methodology &amp; Assumptions'!$B$8, 0)</f>
        <v/>
      </c>
      <c r="P1641" s="8" t="inlineStr">
        <is>
          <t>Band n50 (1.5 GHz, 60 MHz)</t>
        </is>
      </c>
      <c r="Q1641" s="38">
        <f>ROUNDUP(O1641/'Methodology &amp; Assumptions'!$B$9, 0)</f>
        <v/>
      </c>
      <c r="R1641" s="39" t="n">
        <v>1</v>
      </c>
      <c r="S1641" s="21" t="n">
        <v>11.79</v>
      </c>
      <c r="T1641" s="21" t="n">
        <v>0.27</v>
      </c>
      <c r="U1641" s="36" t="inlineStr">
        <is>
          <t>Tier 2 (Fiber Corridor / Lateral, 3-5 km)</t>
        </is>
      </c>
      <c r="V1641" s="20" t="n">
        <v>25</v>
      </c>
      <c r="W1641" s="20" t="n">
        <v>95.7</v>
      </c>
      <c r="X1641" s="20" t="n">
        <v>73</v>
      </c>
      <c r="Y1641" s="40">
        <f>ROUND((V1641*'Methodology &amp; Assumptions'!$B$6)+(W1641*'Methodology &amp; Assumptions'!$B$5)+(X1641*'Methodology &amp; Assumptions'!$B$7), 2)</f>
        <v/>
      </c>
    </row>
    <row r="1642" ht="19" customHeight="1">
      <c r="A1642" s="41" t="n">
        <v>638</v>
      </c>
      <c r="B1642" s="41" t="n">
        <v>4638</v>
      </c>
      <c r="C1642" s="42" t="inlineStr">
        <is>
          <t>0401013003</t>
        </is>
      </c>
      <c r="D1642" s="42" t="inlineStr">
        <is>
          <t>Region IV-A (CALABARZON)</t>
        </is>
      </c>
      <c r="E1642" s="42" t="inlineStr">
        <is>
          <t>Batangas</t>
        </is>
      </c>
      <c r="F1642" s="42" t="inlineStr">
        <is>
          <t>Lian</t>
        </is>
      </c>
      <c r="G1642" s="42" t="inlineStr">
        <is>
          <t>Balibago</t>
        </is>
      </c>
      <c r="H1642" s="43" t="n">
        <v>13.924601</v>
      </c>
      <c r="I1642" s="43" t="n">
        <v>120.625405</v>
      </c>
      <c r="J1642" s="44" t="inlineStr">
        <is>
          <t>R</t>
        </is>
      </c>
      <c r="K1642" s="42" t="inlineStr">
        <is>
          <t>Class 1-3 / Urban</t>
        </is>
      </c>
      <c r="L1642" s="23" t="n">
        <v>3641</v>
      </c>
      <c r="M1642" s="24" t="n">
        <v>4.62</v>
      </c>
      <c r="N1642" s="23">
        <f>ROUND(L1642/M1642, 0)</f>
        <v/>
      </c>
      <c r="O1642" s="23">
        <f>ROUND(N1642*'Methodology &amp; Assumptions'!$B$8, 0)</f>
        <v/>
      </c>
      <c r="P1642" s="44" t="inlineStr">
        <is>
          <t>Band n50 (1.5 GHz, 60 MHz)</t>
        </is>
      </c>
      <c r="Q1642" s="38">
        <f>ROUNDUP(O1642/'Methodology &amp; Assumptions'!$B$9, 0)</f>
        <v/>
      </c>
      <c r="R1642" s="39" t="n">
        <v>1</v>
      </c>
      <c r="S1642" s="25" t="n">
        <v>3.01</v>
      </c>
      <c r="T1642" s="25" t="n">
        <v>0.06</v>
      </c>
      <c r="U1642" s="42" t="inlineStr">
        <is>
          <t>Tier 2 (Fiber Corridor / Lateral, 3-5 km)</t>
        </is>
      </c>
      <c r="V1642" s="24" t="n">
        <v>46.7</v>
      </c>
      <c r="W1642" s="24" t="n">
        <v>86.90000000000001</v>
      </c>
      <c r="X1642" s="24" t="n">
        <v>58</v>
      </c>
      <c r="Y1642" s="45">
        <f>ROUND((V1642*'Methodology &amp; Assumptions'!$B$6)+(W1642*'Methodology &amp; Assumptions'!$B$5)+(X1642*'Methodology &amp; Assumptions'!$B$7), 2)</f>
        <v/>
      </c>
    </row>
    <row r="1643" ht="19" customHeight="1">
      <c r="A1643" s="35" t="n">
        <v>639</v>
      </c>
      <c r="B1643" s="35" t="n">
        <v>4639</v>
      </c>
      <c r="C1643" s="36" t="inlineStr">
        <is>
          <t>0803702051</t>
        </is>
      </c>
      <c r="D1643" s="36" t="inlineStr">
        <is>
          <t>Region VIII (Eastern Visayas)</t>
        </is>
      </c>
      <c r="E1643" s="36" t="inlineStr">
        <is>
          <t>Leyte</t>
        </is>
      </c>
      <c r="F1643" s="36" t="inlineStr">
        <is>
          <t>Alangalang</t>
        </is>
      </c>
      <c r="G1643" s="36" t="inlineStr">
        <is>
          <t>Holy Child II</t>
        </is>
      </c>
      <c r="H1643" s="37" t="n">
        <v>11.20756</v>
      </c>
      <c r="I1643" s="37" t="n">
        <v>124.843446</v>
      </c>
      <c r="J1643" s="8" t="inlineStr">
        <is>
          <t>R</t>
        </is>
      </c>
      <c r="K1643" s="36" t="inlineStr">
        <is>
          <t>Class 1-3 / Urban</t>
        </is>
      </c>
      <c r="L1643" s="18" t="n">
        <v>625</v>
      </c>
      <c r="M1643" s="20" t="n">
        <v>4.24</v>
      </c>
      <c r="N1643" s="18">
        <f>ROUND(L1643/M1643, 0)</f>
        <v/>
      </c>
      <c r="O1643" s="18">
        <f>ROUND(N1643*'Methodology &amp; Assumptions'!$B$8, 0)</f>
        <v/>
      </c>
      <c r="P1643" s="8" t="inlineStr">
        <is>
          <t>Band n50 (1.5 GHz, 60 MHz)</t>
        </is>
      </c>
      <c r="Q1643" s="38">
        <f>ROUNDUP(O1643/'Methodology &amp; Assumptions'!$B$9, 0)</f>
        <v/>
      </c>
      <c r="R1643" s="39" t="n">
        <v>1</v>
      </c>
      <c r="S1643" s="21" t="n">
        <v>0.39</v>
      </c>
      <c r="T1643" s="21" t="n">
        <v>0.14</v>
      </c>
      <c r="U1643" s="36" t="inlineStr">
        <is>
          <t>Tier 1A (Direct Coloc, &lt;1 km)</t>
        </is>
      </c>
      <c r="V1643" s="20" t="n">
        <v>97.90000000000001</v>
      </c>
      <c r="W1643" s="20" t="n">
        <v>35.7</v>
      </c>
      <c r="X1643" s="20" t="n">
        <v>58</v>
      </c>
      <c r="Y1643" s="40">
        <f>ROUND((V1643*'Methodology &amp; Assumptions'!$B$6)+(W1643*'Methodology &amp; Assumptions'!$B$5)+(X1643*'Methodology &amp; Assumptions'!$B$7), 2)</f>
        <v/>
      </c>
    </row>
    <row r="1644" ht="19" customHeight="1">
      <c r="A1644" s="41" t="n">
        <v>640</v>
      </c>
      <c r="B1644" s="41" t="n">
        <v>4640</v>
      </c>
      <c r="C1644" s="42" t="inlineStr">
        <is>
          <t>0501606014</t>
        </is>
      </c>
      <c r="D1644" s="42" t="inlineStr">
        <is>
          <t>Region V (Bicol Region)</t>
        </is>
      </c>
      <c r="E1644" s="42" t="inlineStr">
        <is>
          <t>Camarines Norte</t>
        </is>
      </c>
      <c r="F1644" s="42" t="inlineStr">
        <is>
          <t>Labo</t>
        </is>
      </c>
      <c r="G1644" s="42" t="inlineStr">
        <is>
          <t>San Francisco</t>
        </is>
      </c>
      <c r="H1644" s="43" t="n">
        <v>14.153068</v>
      </c>
      <c r="I1644" s="43" t="n">
        <v>122.83107</v>
      </c>
      <c r="J1644" s="44" t="inlineStr">
        <is>
          <t>R</t>
        </is>
      </c>
      <c r="K1644" s="42" t="inlineStr">
        <is>
          <t>Class 1-3 / Urban</t>
        </is>
      </c>
      <c r="L1644" s="23" t="n">
        <v>577</v>
      </c>
      <c r="M1644" s="24" t="n">
        <v>4.4</v>
      </c>
      <c r="N1644" s="23">
        <f>ROUND(L1644/M1644, 0)</f>
        <v/>
      </c>
      <c r="O1644" s="23">
        <f>ROUND(N1644*'Methodology &amp; Assumptions'!$B$8, 0)</f>
        <v/>
      </c>
      <c r="P1644" s="44" t="inlineStr">
        <is>
          <t>Band n50 (1.5 GHz, 60 MHz)</t>
        </is>
      </c>
      <c r="Q1644" s="38">
        <f>ROUNDUP(O1644/'Methodology &amp; Assumptions'!$B$9, 0)</f>
        <v/>
      </c>
      <c r="R1644" s="39" t="n">
        <v>1</v>
      </c>
      <c r="S1644" s="25" t="n">
        <v>0.34</v>
      </c>
      <c r="T1644" s="25" t="n">
        <v>0.37</v>
      </c>
      <c r="U1644" s="42" t="inlineStr">
        <is>
          <t>Tier 1A (Direct Coloc, &lt;1 km)</t>
        </is>
      </c>
      <c r="V1644" s="24" t="n">
        <v>99.2</v>
      </c>
      <c r="W1644" s="24" t="n">
        <v>34.4</v>
      </c>
      <c r="X1644" s="24" t="n">
        <v>58</v>
      </c>
      <c r="Y1644" s="45">
        <f>ROUND((V1644*'Methodology &amp; Assumptions'!$B$6)+(W1644*'Methodology &amp; Assumptions'!$B$5)+(X1644*'Methodology &amp; Assumptions'!$B$7), 2)</f>
        <v/>
      </c>
    </row>
    <row r="1645" ht="19" customHeight="1">
      <c r="A1645" s="35" t="n">
        <v>641</v>
      </c>
      <c r="B1645" s="35" t="n">
        <v>4641</v>
      </c>
      <c r="C1645" s="36" t="inlineStr">
        <is>
          <t>0405646039</t>
        </is>
      </c>
      <c r="D1645" s="36" t="inlineStr">
        <is>
          <t>Region IV-A (CALABARZON)</t>
        </is>
      </c>
      <c r="E1645" s="36" t="inlineStr">
        <is>
          <t>Quezon</t>
        </is>
      </c>
      <c r="F1645" s="36" t="inlineStr">
        <is>
          <t>Tagkawayan</t>
        </is>
      </c>
      <c r="G1645" s="36" t="inlineStr">
        <is>
          <t>Santo Niño I</t>
        </is>
      </c>
      <c r="H1645" s="37" t="n">
        <v>14.014113</v>
      </c>
      <c r="I1645" s="37" t="n">
        <v>122.46798</v>
      </c>
      <c r="J1645" s="8" t="inlineStr">
        <is>
          <t>R</t>
        </is>
      </c>
      <c r="K1645" s="36" t="inlineStr">
        <is>
          <t>Class 1-3 / Urban</t>
        </is>
      </c>
      <c r="L1645" s="18" t="n">
        <v>537</v>
      </c>
      <c r="M1645" s="20" t="n">
        <v>4.46</v>
      </c>
      <c r="N1645" s="18">
        <f>ROUND(L1645/M1645, 0)</f>
        <v/>
      </c>
      <c r="O1645" s="18">
        <f>ROUND(N1645*'Methodology &amp; Assumptions'!$B$8, 0)</f>
        <v/>
      </c>
      <c r="P1645" s="8" t="inlineStr">
        <is>
          <t>Band n50 (1.5 GHz, 60 MHz)</t>
        </is>
      </c>
      <c r="Q1645" s="38">
        <f>ROUNDUP(O1645/'Methodology &amp; Assumptions'!$B$9, 0)</f>
        <v/>
      </c>
      <c r="R1645" s="39" t="n">
        <v>1</v>
      </c>
      <c r="S1645" s="21" t="n">
        <v>0.15</v>
      </c>
      <c r="T1645" s="21" t="n">
        <v>0.09</v>
      </c>
      <c r="U1645" s="36" t="inlineStr">
        <is>
          <t>Tier 1A (Direct Coloc, &lt;1 km)</t>
        </is>
      </c>
      <c r="V1645" s="20" t="n">
        <v>100</v>
      </c>
      <c r="W1645" s="20" t="n">
        <v>33.6</v>
      </c>
      <c r="X1645" s="20" t="n">
        <v>58</v>
      </c>
      <c r="Y1645" s="40">
        <f>ROUND((V1645*'Methodology &amp; Assumptions'!$B$6)+(W1645*'Methodology &amp; Assumptions'!$B$5)+(X1645*'Methodology &amp; Assumptions'!$B$7), 2)</f>
        <v/>
      </c>
    </row>
    <row r="1646" ht="19" customHeight="1">
      <c r="A1646" s="41" t="n">
        <v>642</v>
      </c>
      <c r="B1646" s="41" t="n">
        <v>4642</v>
      </c>
      <c r="C1646" s="42" t="inlineStr">
        <is>
          <t>0601909036</t>
        </is>
      </c>
      <c r="D1646" s="42" t="inlineStr">
        <is>
          <t>Region VI (Western Visayas)</t>
        </is>
      </c>
      <c r="E1646" s="42" t="inlineStr">
        <is>
          <t>Capiz</t>
        </is>
      </c>
      <c r="F1646" s="42" t="inlineStr">
        <is>
          <t>Panay</t>
        </is>
      </c>
      <c r="G1646" s="42" t="inlineStr">
        <is>
          <t>Poblacion Ilawod</t>
        </is>
      </c>
      <c r="H1646" s="43" t="n">
        <v>11.558323</v>
      </c>
      <c r="I1646" s="43" t="n">
        <v>122.795706</v>
      </c>
      <c r="J1646" s="44" t="inlineStr">
        <is>
          <t>R</t>
        </is>
      </c>
      <c r="K1646" s="42" t="inlineStr">
        <is>
          <t>Class 1-3 / Urban</t>
        </is>
      </c>
      <c r="L1646" s="23" t="n">
        <v>501</v>
      </c>
      <c r="M1646" s="24" t="n">
        <v>4.2</v>
      </c>
      <c r="N1646" s="23">
        <f>ROUND(L1646/M1646, 0)</f>
        <v/>
      </c>
      <c r="O1646" s="23">
        <f>ROUND(N1646*'Methodology &amp; Assumptions'!$B$8, 0)</f>
        <v/>
      </c>
      <c r="P1646" s="44" t="inlineStr">
        <is>
          <t>Band n50 (1.5 GHz, 60 MHz)</t>
        </is>
      </c>
      <c r="Q1646" s="38">
        <f>ROUNDUP(O1646/'Methodology &amp; Assumptions'!$B$9, 0)</f>
        <v/>
      </c>
      <c r="R1646" s="39" t="n">
        <v>1</v>
      </c>
      <c r="S1646" s="25" t="n">
        <v>0.29</v>
      </c>
      <c r="T1646" s="25" t="n">
        <v>0.07000000000000001</v>
      </c>
      <c r="U1646" s="42" t="inlineStr">
        <is>
          <t>Tier 1A (Direct Coloc, &lt;1 km)</t>
        </is>
      </c>
      <c r="V1646" s="24" t="n">
        <v>100</v>
      </c>
      <c r="W1646" s="24" t="n">
        <v>33.6</v>
      </c>
      <c r="X1646" s="24" t="n">
        <v>58</v>
      </c>
      <c r="Y1646" s="45">
        <f>ROUND((V1646*'Methodology &amp; Assumptions'!$B$6)+(W1646*'Methodology &amp; Assumptions'!$B$5)+(X1646*'Methodology &amp; Assumptions'!$B$7), 2)</f>
        <v/>
      </c>
    </row>
    <row r="1647" ht="19" customHeight="1">
      <c r="A1647" s="35" t="n">
        <v>643</v>
      </c>
      <c r="B1647" s="35" t="n">
        <v>4643</v>
      </c>
      <c r="C1647" s="36" t="inlineStr">
        <is>
          <t>0702250017</t>
        </is>
      </c>
      <c r="D1647" s="36" t="inlineStr">
        <is>
          <t>Region VII (Central Visayas)</t>
        </is>
      </c>
      <c r="E1647" s="36" t="inlineStr">
        <is>
          <t>Cebu</t>
        </is>
      </c>
      <c r="F1647" s="36" t="inlineStr">
        <is>
          <t>City of Talisay</t>
        </is>
      </c>
      <c r="G1647" s="36" t="inlineStr">
        <is>
          <t>Tangke</t>
        </is>
      </c>
      <c r="H1647" s="37" t="n">
        <v>10.250866</v>
      </c>
      <c r="I1647" s="37" t="n">
        <v>123.861151</v>
      </c>
      <c r="J1647" s="8" t="inlineStr">
        <is>
          <t>U</t>
        </is>
      </c>
      <c r="K1647" s="36" t="inlineStr">
        <is>
          <t>Class 1-3 / Urban</t>
        </is>
      </c>
      <c r="L1647" s="18" t="n">
        <v>14058</v>
      </c>
      <c r="M1647" s="20" t="n">
        <v>4.42</v>
      </c>
      <c r="N1647" s="18">
        <f>ROUND(L1647/M1647, 0)</f>
        <v/>
      </c>
      <c r="O1647" s="18">
        <f>ROUND(N1647*'Methodology &amp; Assumptions'!$B$8, 0)</f>
        <v/>
      </c>
      <c r="P1647" s="8" t="inlineStr">
        <is>
          <t>Band n50 (1.5 GHz, 60 MHz)</t>
        </is>
      </c>
      <c r="Q1647" s="38">
        <f>ROUNDUP(O1647/'Methodology &amp; Assumptions'!$B$9, 0)</f>
        <v/>
      </c>
      <c r="R1647" s="39" t="n">
        <v>1</v>
      </c>
      <c r="S1647" s="21" t="n">
        <v>2.12</v>
      </c>
      <c r="T1647" s="21" t="n">
        <v>0.1</v>
      </c>
      <c r="U1647" s="36" t="inlineStr">
        <is>
          <t>Tier 1B (Micro Drop, 1-3 km)</t>
        </is>
      </c>
      <c r="V1647" s="20" t="n">
        <v>59.3</v>
      </c>
      <c r="W1647" s="20" t="n">
        <v>100</v>
      </c>
      <c r="X1647" s="20" t="n">
        <v>28</v>
      </c>
      <c r="Y1647" s="40">
        <f>ROUND((V1647*'Methodology &amp; Assumptions'!$B$6)+(W1647*'Methodology &amp; Assumptions'!$B$5)+(X1647*'Methodology &amp; Assumptions'!$B$7), 2)</f>
        <v/>
      </c>
    </row>
    <row r="1648" ht="19" customHeight="1">
      <c r="A1648" s="41" t="n">
        <v>644</v>
      </c>
      <c r="B1648" s="41" t="n">
        <v>4644</v>
      </c>
      <c r="C1648" s="42" t="inlineStr">
        <is>
          <t>0403412005</t>
        </is>
      </c>
      <c r="D1648" s="42" t="inlineStr">
        <is>
          <t>Region IV-A (CALABARZON)</t>
        </is>
      </c>
      <c r="E1648" s="42" t="inlineStr">
        <is>
          <t>Laguna</t>
        </is>
      </c>
      <c r="F1648" s="42" t="inlineStr">
        <is>
          <t>Luisiana</t>
        </is>
      </c>
      <c r="G1648" s="42" t="inlineStr">
        <is>
          <t>Barangay Zone IV</t>
        </is>
      </c>
      <c r="H1648" s="43" t="n">
        <v>14.184029</v>
      </c>
      <c r="I1648" s="43" t="n">
        <v>121.512377</v>
      </c>
      <c r="J1648" s="44" t="inlineStr">
        <is>
          <t>R</t>
        </is>
      </c>
      <c r="K1648" s="42" t="inlineStr">
        <is>
          <t>4th</t>
        </is>
      </c>
      <c r="L1648" s="23" t="n">
        <v>512</v>
      </c>
      <c r="M1648" s="24" t="n">
        <v>4.07</v>
      </c>
      <c r="N1648" s="23">
        <f>ROUND(L1648/M1648, 0)</f>
        <v/>
      </c>
      <c r="O1648" s="23">
        <f>ROUND(N1648*'Methodology &amp; Assumptions'!$B$8, 0)</f>
        <v/>
      </c>
      <c r="P1648" s="44" t="inlineStr">
        <is>
          <t>Band n50 (1.5 GHz, 60 MHz)</t>
        </is>
      </c>
      <c r="Q1648" s="38">
        <f>ROUNDUP(O1648/'Methodology &amp; Assumptions'!$B$9, 0)</f>
        <v/>
      </c>
      <c r="R1648" s="39" t="n">
        <v>1</v>
      </c>
      <c r="S1648" s="25" t="n">
        <v>0.76</v>
      </c>
      <c r="T1648" s="25" t="n">
        <v>4.18</v>
      </c>
      <c r="U1648" s="42" t="inlineStr">
        <is>
          <t>Tier 1A (Direct Coloc, &lt;1 km)</t>
        </is>
      </c>
      <c r="V1648" s="24" t="n">
        <v>77.59999999999999</v>
      </c>
      <c r="W1648" s="24" t="n">
        <v>34.1</v>
      </c>
      <c r="X1648" s="24" t="n">
        <v>83.5</v>
      </c>
      <c r="Y1648" s="45">
        <f>ROUND((V1648*'Methodology &amp; Assumptions'!$B$6)+(W1648*'Methodology &amp; Assumptions'!$B$5)+(X1648*'Methodology &amp; Assumptions'!$B$7), 2)</f>
        <v/>
      </c>
    </row>
    <row r="1649" ht="19" customHeight="1">
      <c r="A1649" s="35" t="n">
        <v>645</v>
      </c>
      <c r="B1649" s="35" t="n">
        <v>4645</v>
      </c>
      <c r="C1649" s="36" t="inlineStr">
        <is>
          <t>1404407008</t>
        </is>
      </c>
      <c r="D1649" s="36" t="inlineStr">
        <is>
          <t>Cordillera Administrative Region (CAR)</t>
        </is>
      </c>
      <c r="E1649" s="36" t="inlineStr">
        <is>
          <t>Mountain Province</t>
        </is>
      </c>
      <c r="F1649" s="36" t="inlineStr">
        <is>
          <t>Sabangan</t>
        </is>
      </c>
      <c r="G1649" s="36" t="inlineStr">
        <is>
          <t>Lagan</t>
        </is>
      </c>
      <c r="H1649" s="37" t="n">
        <v>17.007607</v>
      </c>
      <c r="I1649" s="37" t="n">
        <v>120.92725</v>
      </c>
      <c r="J1649" s="8" t="inlineStr">
        <is>
          <t>R</t>
        </is>
      </c>
      <c r="K1649" s="36" t="inlineStr">
        <is>
          <t>4th</t>
        </is>
      </c>
      <c r="L1649" s="18" t="n">
        <v>461</v>
      </c>
      <c r="M1649" s="20" t="n">
        <v>4.19</v>
      </c>
      <c r="N1649" s="18">
        <f>ROUND(L1649/M1649, 0)</f>
        <v/>
      </c>
      <c r="O1649" s="18">
        <f>ROUND(N1649*'Methodology &amp; Assumptions'!$B$8, 0)</f>
        <v/>
      </c>
      <c r="P1649" s="8" t="inlineStr">
        <is>
          <t>Band n50 (1.5 GHz, 60 MHz)</t>
        </is>
      </c>
      <c r="Q1649" s="38">
        <f>ROUNDUP(O1649/'Methodology &amp; Assumptions'!$B$9, 0)</f>
        <v/>
      </c>
      <c r="R1649" s="39" t="n">
        <v>1</v>
      </c>
      <c r="S1649" s="21" t="n">
        <v>0.46</v>
      </c>
      <c r="T1649" s="21" t="n">
        <v>0.25</v>
      </c>
      <c r="U1649" s="36" t="inlineStr">
        <is>
          <t>Tier 1A (Direct Coloc, &lt;1 km)</t>
        </is>
      </c>
      <c r="V1649" s="20" t="n">
        <v>95.8</v>
      </c>
      <c r="W1649" s="20" t="n">
        <v>28.8</v>
      </c>
      <c r="X1649" s="20" t="n">
        <v>68.5</v>
      </c>
      <c r="Y1649" s="40">
        <f>ROUND((V1649*'Methodology &amp; Assumptions'!$B$6)+(W1649*'Methodology &amp; Assumptions'!$B$5)+(X1649*'Methodology &amp; Assumptions'!$B$7), 2)</f>
        <v/>
      </c>
    </row>
    <row r="1650" ht="19" customHeight="1">
      <c r="A1650" s="41" t="n">
        <v>646</v>
      </c>
      <c r="B1650" s="41" t="n">
        <v>4646</v>
      </c>
      <c r="C1650" s="42" t="inlineStr">
        <is>
          <t>0105526020</t>
        </is>
      </c>
      <c r="D1650" s="42" t="inlineStr">
        <is>
          <t>Region I (Ilocos Region)</t>
        </is>
      </c>
      <c r="E1650" s="42" t="inlineStr">
        <is>
          <t>Pangasinan</t>
        </is>
      </c>
      <c r="F1650" s="42" t="inlineStr">
        <is>
          <t>Mangaldan</t>
        </is>
      </c>
      <c r="G1650" s="42" t="inlineStr">
        <is>
          <t>Malabago</t>
        </is>
      </c>
      <c r="H1650" s="43" t="n">
        <v>16.05452</v>
      </c>
      <c r="I1650" s="43" t="n">
        <v>120.388</v>
      </c>
      <c r="J1650" s="44" t="inlineStr">
        <is>
          <t>U</t>
        </is>
      </c>
      <c r="K1650" s="42" t="inlineStr">
        <is>
          <t>Class 1-3 / Urban</t>
        </is>
      </c>
      <c r="L1650" s="23" t="n">
        <v>5131</v>
      </c>
      <c r="M1650" s="24" t="n">
        <v>4.39</v>
      </c>
      <c r="N1650" s="23">
        <f>ROUND(L1650/M1650, 0)</f>
        <v/>
      </c>
      <c r="O1650" s="23">
        <f>ROUND(N1650*'Methodology &amp; Assumptions'!$B$8, 0)</f>
        <v/>
      </c>
      <c r="P1650" s="44" t="inlineStr">
        <is>
          <t>Band n50 (1.5 GHz, 60 MHz)</t>
        </is>
      </c>
      <c r="Q1650" s="38">
        <f>ROUNDUP(O1650/'Methodology &amp; Assumptions'!$B$9, 0)</f>
        <v/>
      </c>
      <c r="R1650" s="39" t="n">
        <v>1</v>
      </c>
      <c r="S1650" s="25" t="n">
        <v>2.12</v>
      </c>
      <c r="T1650" s="25" t="n">
        <v>0.14</v>
      </c>
      <c r="U1650" s="42" t="inlineStr">
        <is>
          <t>Tier 1B (Micro Drop, 1-3 km)</t>
        </is>
      </c>
      <c r="V1650" s="24" t="n">
        <v>59.3</v>
      </c>
      <c r="W1650" s="24" t="n">
        <v>100</v>
      </c>
      <c r="X1650" s="24" t="n">
        <v>28</v>
      </c>
      <c r="Y1650" s="45">
        <f>ROUND((V1650*'Methodology &amp; Assumptions'!$B$6)+(W1650*'Methodology &amp; Assumptions'!$B$5)+(X1650*'Methodology &amp; Assumptions'!$B$7), 2)</f>
        <v/>
      </c>
    </row>
    <row r="1651" ht="19" customHeight="1">
      <c r="A1651" s="35" t="n">
        <v>647</v>
      </c>
      <c r="B1651" s="35" t="n">
        <v>4647</v>
      </c>
      <c r="C1651" s="36" t="inlineStr">
        <is>
          <t>0301420049</t>
        </is>
      </c>
      <c r="D1651" s="36" t="inlineStr">
        <is>
          <t>Region III (Central Luzon)</t>
        </is>
      </c>
      <c r="E1651" s="36" t="inlineStr">
        <is>
          <t>Bulacan</t>
        </is>
      </c>
      <c r="F1651" s="36" t="inlineStr">
        <is>
          <t>City of San Jose Del Monte</t>
        </is>
      </c>
      <c r="G1651" s="36" t="inlineStr">
        <is>
          <t>San Rafael I</t>
        </is>
      </c>
      <c r="H1651" s="37" t="n">
        <v>14.848415</v>
      </c>
      <c r="I1651" s="37" t="n">
        <v>121.04466</v>
      </c>
      <c r="J1651" s="8" t="inlineStr">
        <is>
          <t>U</t>
        </is>
      </c>
      <c r="K1651" s="36" t="inlineStr">
        <is>
          <t>Class 1-3 / Urban</t>
        </is>
      </c>
      <c r="L1651" s="18" t="n">
        <v>3362</v>
      </c>
      <c r="M1651" s="20" t="n">
        <v>4.1</v>
      </c>
      <c r="N1651" s="18">
        <f>ROUND(L1651/M1651, 0)</f>
        <v/>
      </c>
      <c r="O1651" s="18">
        <f>ROUND(N1651*'Methodology &amp; Assumptions'!$B$8, 0)</f>
        <v/>
      </c>
      <c r="P1651" s="8" t="inlineStr">
        <is>
          <t>Band n50 (1.5 GHz, 60 MHz)</t>
        </is>
      </c>
      <c r="Q1651" s="38">
        <f>ROUNDUP(O1651/'Methodology &amp; Assumptions'!$B$9, 0)</f>
        <v/>
      </c>
      <c r="R1651" s="39" t="n">
        <v>1</v>
      </c>
      <c r="S1651" s="21" t="n">
        <v>1.08</v>
      </c>
      <c r="T1651" s="21" t="n">
        <v>2.01</v>
      </c>
      <c r="U1651" s="36" t="inlineStr">
        <is>
          <t>Tier 1B (Micro Drop, 1-3 km)</t>
        </is>
      </c>
      <c r="V1651" s="20" t="n">
        <v>69.7</v>
      </c>
      <c r="W1651" s="20" t="n">
        <v>89.59999999999999</v>
      </c>
      <c r="X1651" s="20" t="n">
        <v>28</v>
      </c>
      <c r="Y1651" s="40">
        <f>ROUND((V1651*'Methodology &amp; Assumptions'!$B$6)+(W1651*'Methodology &amp; Assumptions'!$B$5)+(X1651*'Methodology &amp; Assumptions'!$B$7), 2)</f>
        <v/>
      </c>
    </row>
    <row r="1652" ht="19" customHeight="1">
      <c r="A1652" s="41" t="n">
        <v>648</v>
      </c>
      <c r="B1652" s="41" t="n">
        <v>4648</v>
      </c>
      <c r="C1652" s="42" t="inlineStr">
        <is>
          <t>0501716020</t>
        </is>
      </c>
      <c r="D1652" s="42" t="inlineStr">
        <is>
          <t>Region V (Bicol Region)</t>
        </is>
      </c>
      <c r="E1652" s="42" t="inlineStr">
        <is>
          <t>Camarines Sur</t>
        </is>
      </c>
      <c r="F1652" s="42" t="inlineStr">
        <is>
          <t>City of Iriga</t>
        </is>
      </c>
      <c r="G1652" s="42" t="inlineStr">
        <is>
          <t>San Miguel</t>
        </is>
      </c>
      <c r="H1652" s="43" t="n">
        <v>13.418629</v>
      </c>
      <c r="I1652" s="43" t="n">
        <v>123.40675</v>
      </c>
      <c r="J1652" s="44" t="inlineStr">
        <is>
          <t>U</t>
        </is>
      </c>
      <c r="K1652" s="42" t="inlineStr">
        <is>
          <t>Class 1-3 / Urban</t>
        </is>
      </c>
      <c r="L1652" s="23" t="n">
        <v>3314</v>
      </c>
      <c r="M1652" s="24" t="n">
        <v>4.9</v>
      </c>
      <c r="N1652" s="23">
        <f>ROUND(L1652/M1652, 0)</f>
        <v/>
      </c>
      <c r="O1652" s="23">
        <f>ROUND(N1652*'Methodology &amp; Assumptions'!$B$8, 0)</f>
        <v/>
      </c>
      <c r="P1652" s="44" t="inlineStr">
        <is>
          <t>Band n50 (1.5 GHz, 60 MHz)</t>
        </is>
      </c>
      <c r="Q1652" s="38">
        <f>ROUNDUP(O1652/'Methodology &amp; Assumptions'!$B$9, 0)</f>
        <v/>
      </c>
      <c r="R1652" s="39" t="n">
        <v>1</v>
      </c>
      <c r="S1652" s="25" t="n">
        <v>1.02</v>
      </c>
      <c r="T1652" s="25" t="n">
        <v>0.22</v>
      </c>
      <c r="U1652" s="42" t="inlineStr">
        <is>
          <t>Tier 1B (Micro Drop, 1-3 km)</t>
        </is>
      </c>
      <c r="V1652" s="24" t="n">
        <v>81.2</v>
      </c>
      <c r="W1652" s="24" t="n">
        <v>78.09999999999999</v>
      </c>
      <c r="X1652" s="24" t="n">
        <v>28</v>
      </c>
      <c r="Y1652" s="45">
        <f>ROUND((V1652*'Methodology &amp; Assumptions'!$B$6)+(W1652*'Methodology &amp; Assumptions'!$B$5)+(X1652*'Methodology &amp; Assumptions'!$B$7), 2)</f>
        <v/>
      </c>
    </row>
    <row r="1653" ht="19" customHeight="1">
      <c r="A1653" s="35" t="n">
        <v>649</v>
      </c>
      <c r="B1653" s="35" t="n">
        <v>4649</v>
      </c>
      <c r="C1653" s="36" t="inlineStr">
        <is>
          <t>0105547018</t>
        </is>
      </c>
      <c r="D1653" s="36" t="inlineStr">
        <is>
          <t>Region I (Ilocos Region)</t>
        </is>
      </c>
      <c r="E1653" s="36" t="inlineStr">
        <is>
          <t>Pangasinan</t>
        </is>
      </c>
      <c r="F1653" s="36" t="inlineStr">
        <is>
          <t>Villasis</t>
        </is>
      </c>
      <c r="G1653" s="36" t="inlineStr">
        <is>
          <t>San Blas</t>
        </is>
      </c>
      <c r="H1653" s="37" t="n">
        <v>15.906564</v>
      </c>
      <c r="I1653" s="37" t="n">
        <v>120.601291</v>
      </c>
      <c r="J1653" s="8" t="inlineStr">
        <is>
          <t>R</t>
        </is>
      </c>
      <c r="K1653" s="36" t="inlineStr">
        <is>
          <t>Class 1-3 / Urban</t>
        </is>
      </c>
      <c r="L1653" s="18" t="n">
        <v>2971</v>
      </c>
      <c r="M1653" s="20" t="n">
        <v>4.39</v>
      </c>
      <c r="N1653" s="18">
        <f>ROUND(L1653/M1653, 0)</f>
        <v/>
      </c>
      <c r="O1653" s="18">
        <f>ROUND(N1653*'Methodology &amp; Assumptions'!$B$8, 0)</f>
        <v/>
      </c>
      <c r="P1653" s="8" t="inlineStr">
        <is>
          <t>Band n50 (1.5 GHz, 60 MHz)</t>
        </is>
      </c>
      <c r="Q1653" s="38">
        <f>ROUNDUP(O1653/'Methodology &amp; Assumptions'!$B$9, 0)</f>
        <v/>
      </c>
      <c r="R1653" s="39" t="n">
        <v>1</v>
      </c>
      <c r="S1653" s="21" t="n">
        <v>3.37</v>
      </c>
      <c r="T1653" s="21" t="n">
        <v>1.56</v>
      </c>
      <c r="U1653" s="36" t="inlineStr">
        <is>
          <t>Tier 2 (Fiber Corridor / Lateral, 3-5 km)</t>
        </is>
      </c>
      <c r="V1653" s="20" t="n">
        <v>42.5</v>
      </c>
      <c r="W1653" s="20" t="n">
        <v>78.09999999999999</v>
      </c>
      <c r="X1653" s="20" t="n">
        <v>73</v>
      </c>
      <c r="Y1653" s="40">
        <f>ROUND((V1653*'Methodology &amp; Assumptions'!$B$6)+(W1653*'Methodology &amp; Assumptions'!$B$5)+(X1653*'Methodology &amp; Assumptions'!$B$7), 2)</f>
        <v/>
      </c>
    </row>
    <row r="1654" ht="19" customHeight="1">
      <c r="A1654" s="41" t="n">
        <v>650</v>
      </c>
      <c r="B1654" s="41" t="n">
        <v>4650</v>
      </c>
      <c r="C1654" s="42" t="inlineStr">
        <is>
          <t>0304903059</t>
        </is>
      </c>
      <c r="D1654" s="42" t="inlineStr">
        <is>
          <t>Region III (Central Luzon)</t>
        </is>
      </c>
      <c r="E1654" s="42" t="inlineStr">
        <is>
          <t>Nueva Ecija</t>
        </is>
      </c>
      <c r="F1654" s="42" t="inlineStr">
        <is>
          <t>City of Cabanatuan</t>
        </is>
      </c>
      <c r="G1654" s="42" t="inlineStr">
        <is>
          <t>Pamaldan</t>
        </is>
      </c>
      <c r="H1654" s="43" t="n">
        <v>15.492159</v>
      </c>
      <c r="I1654" s="43" t="n">
        <v>120.932578</v>
      </c>
      <c r="J1654" s="44" t="inlineStr">
        <is>
          <t>R</t>
        </is>
      </c>
      <c r="K1654" s="42" t="inlineStr">
        <is>
          <t>Class 1-3 / Urban</t>
        </is>
      </c>
      <c r="L1654" s="23" t="n">
        <v>4203</v>
      </c>
      <c r="M1654" s="24" t="n">
        <v>4.32</v>
      </c>
      <c r="N1654" s="23">
        <f>ROUND(L1654/M1654, 0)</f>
        <v/>
      </c>
      <c r="O1654" s="23">
        <f>ROUND(N1654*'Methodology &amp; Assumptions'!$B$8, 0)</f>
        <v/>
      </c>
      <c r="P1654" s="44" t="inlineStr">
        <is>
          <t>Band n50 (1.5 GHz, 60 MHz)</t>
        </is>
      </c>
      <c r="Q1654" s="38">
        <f>ROUNDUP(O1654/'Methodology &amp; Assumptions'!$B$9, 0)</f>
        <v/>
      </c>
      <c r="R1654" s="39" t="n">
        <v>1</v>
      </c>
      <c r="S1654" s="25" t="n">
        <v>3.28</v>
      </c>
      <c r="T1654" s="25" t="n">
        <v>2.76</v>
      </c>
      <c r="U1654" s="42" t="inlineStr">
        <is>
          <t>Tier 2 (Fiber Corridor / Lateral, 3-5 km)</t>
        </is>
      </c>
      <c r="V1654" s="24" t="n">
        <v>33.6</v>
      </c>
      <c r="W1654" s="24" t="n">
        <v>100</v>
      </c>
      <c r="X1654" s="24" t="n">
        <v>58</v>
      </c>
      <c r="Y1654" s="45">
        <f>ROUND((V1654*'Methodology &amp; Assumptions'!$B$6)+(W1654*'Methodology &amp; Assumptions'!$B$5)+(X1654*'Methodology &amp; Assumptions'!$B$7), 2)</f>
        <v/>
      </c>
    </row>
    <row r="1655" ht="19" customHeight="1">
      <c r="A1655" s="35" t="n">
        <v>651</v>
      </c>
      <c r="B1655" s="35" t="n">
        <v>4651</v>
      </c>
      <c r="C1655" s="36" t="inlineStr">
        <is>
          <t>0405645027</t>
        </is>
      </c>
      <c r="D1655" s="36" t="inlineStr">
        <is>
          <t>Region IV-A (CALABARZON)</t>
        </is>
      </c>
      <c r="E1655" s="36" t="inlineStr">
        <is>
          <t>Quezon</t>
        </is>
      </c>
      <c r="F1655" s="36" t="inlineStr">
        <is>
          <t>Sariaya</t>
        </is>
      </c>
      <c r="G1655" s="36" t="inlineStr">
        <is>
          <t>Manggalang-Bantilan</t>
        </is>
      </c>
      <c r="H1655" s="37" t="n">
        <v>13.836527</v>
      </c>
      <c r="I1655" s="37" t="n">
        <v>121.431709</v>
      </c>
      <c r="J1655" s="8" t="inlineStr">
        <is>
          <t>R</t>
        </is>
      </c>
      <c r="K1655" s="36" t="inlineStr">
        <is>
          <t>Class 1-3 / Urban</t>
        </is>
      </c>
      <c r="L1655" s="18" t="n">
        <v>4073</v>
      </c>
      <c r="M1655" s="20" t="n">
        <v>4.46</v>
      </c>
      <c r="N1655" s="18">
        <f>ROUND(L1655/M1655, 0)</f>
        <v/>
      </c>
      <c r="O1655" s="18">
        <f>ROUND(N1655*'Methodology &amp; Assumptions'!$B$8, 0)</f>
        <v/>
      </c>
      <c r="P1655" s="8" t="inlineStr">
        <is>
          <t>Band n50 (1.5 GHz, 60 MHz)</t>
        </is>
      </c>
      <c r="Q1655" s="38">
        <f>ROUNDUP(O1655/'Methodology &amp; Assumptions'!$B$9, 0)</f>
        <v/>
      </c>
      <c r="R1655" s="39" t="n">
        <v>1</v>
      </c>
      <c r="S1655" s="21" t="n">
        <v>3.99</v>
      </c>
      <c r="T1655" s="21" t="n">
        <v>0.03</v>
      </c>
      <c r="U1655" s="36" t="inlineStr">
        <is>
          <t>Tier 2 (Fiber Corridor / Lateral, 3-5 km)</t>
        </is>
      </c>
      <c r="V1655" s="20" t="n">
        <v>36.5</v>
      </c>
      <c r="W1655" s="20" t="n">
        <v>97.09999999999999</v>
      </c>
      <c r="X1655" s="20" t="n">
        <v>58</v>
      </c>
      <c r="Y1655" s="40">
        <f>ROUND((V1655*'Methodology &amp; Assumptions'!$B$6)+(W1655*'Methodology &amp; Assumptions'!$B$5)+(X1655*'Methodology &amp; Assumptions'!$B$7), 2)</f>
        <v/>
      </c>
    </row>
    <row r="1656" ht="19" customHeight="1">
      <c r="A1656" s="41" t="n">
        <v>652</v>
      </c>
      <c r="B1656" s="41" t="n">
        <v>4652</v>
      </c>
      <c r="C1656" s="42" t="inlineStr">
        <is>
          <t>0401032007</t>
        </is>
      </c>
      <c r="D1656" s="42" t="inlineStr">
        <is>
          <t>Region IV-A (CALABARZON)</t>
        </is>
      </c>
      <c r="E1656" s="42" t="inlineStr">
        <is>
          <t>Batangas</t>
        </is>
      </c>
      <c r="F1656" s="42" t="inlineStr">
        <is>
          <t>Taysan</t>
        </is>
      </c>
      <c r="G1656" s="42" t="inlineStr">
        <is>
          <t>Mabayabas</t>
        </is>
      </c>
      <c r="H1656" s="43" t="n">
        <v>13.793822</v>
      </c>
      <c r="I1656" s="43" t="n">
        <v>121.200823</v>
      </c>
      <c r="J1656" s="44" t="inlineStr">
        <is>
          <t>R</t>
        </is>
      </c>
      <c r="K1656" s="42" t="inlineStr">
        <is>
          <t>Class 1-3 / Urban</t>
        </is>
      </c>
      <c r="L1656" s="23" t="n">
        <v>2417</v>
      </c>
      <c r="M1656" s="24" t="n">
        <v>4.62</v>
      </c>
      <c r="N1656" s="23">
        <f>ROUND(L1656/M1656, 0)</f>
        <v/>
      </c>
      <c r="O1656" s="23">
        <f>ROUND(N1656*'Methodology &amp; Assumptions'!$B$8, 0)</f>
        <v/>
      </c>
      <c r="P1656" s="44" t="inlineStr">
        <is>
          <t>Band n50 (1.5 GHz, 60 MHz)</t>
        </is>
      </c>
      <c r="Q1656" s="38">
        <f>ROUNDUP(O1656/'Methodology &amp; Assumptions'!$B$9, 0)</f>
        <v/>
      </c>
      <c r="R1656" s="39" t="n">
        <v>1</v>
      </c>
      <c r="S1656" s="25" t="n">
        <v>1.17</v>
      </c>
      <c r="T1656" s="25" t="n">
        <v>5.07</v>
      </c>
      <c r="U1656" s="42" t="inlineStr">
        <is>
          <t>Tier 1B (Micro Drop, 1-3 km)</t>
        </is>
      </c>
      <c r="V1656" s="24" t="n">
        <v>67.7</v>
      </c>
      <c r="W1656" s="24" t="n">
        <v>65.90000000000001</v>
      </c>
      <c r="X1656" s="24" t="n">
        <v>58</v>
      </c>
      <c r="Y1656" s="45">
        <f>ROUND((V1656*'Methodology &amp; Assumptions'!$B$6)+(W1656*'Methodology &amp; Assumptions'!$B$5)+(X1656*'Methodology &amp; Assumptions'!$B$7), 2)</f>
        <v/>
      </c>
    </row>
    <row r="1657" ht="19" customHeight="1">
      <c r="A1657" s="35" t="n">
        <v>653</v>
      </c>
      <c r="B1657" s="35" t="n">
        <v>4653</v>
      </c>
      <c r="C1657" s="36" t="inlineStr">
        <is>
          <t>0401019049</t>
        </is>
      </c>
      <c r="D1657" s="36" t="inlineStr">
        <is>
          <t>Region IV-A (CALABARZON)</t>
        </is>
      </c>
      <c r="E1657" s="36" t="inlineStr">
        <is>
          <t>Batangas</t>
        </is>
      </c>
      <c r="F1657" s="36" t="inlineStr">
        <is>
          <t>Nasugbu</t>
        </is>
      </c>
      <c r="G1657" s="36" t="inlineStr">
        <is>
          <t>Barangay 1</t>
        </is>
      </c>
      <c r="H1657" s="37" t="n">
        <v>14.07756</v>
      </c>
      <c r="I1657" s="37" t="n">
        <v>120.630414</v>
      </c>
      <c r="J1657" s="8" t="inlineStr">
        <is>
          <t>R</t>
        </is>
      </c>
      <c r="K1657" s="36" t="inlineStr">
        <is>
          <t>Class 1-3 / Urban</t>
        </is>
      </c>
      <c r="L1657" s="18" t="n">
        <v>1402</v>
      </c>
      <c r="M1657" s="20" t="n">
        <v>4.62</v>
      </c>
      <c r="N1657" s="18">
        <f>ROUND(L1657/M1657, 0)</f>
        <v/>
      </c>
      <c r="O1657" s="18">
        <f>ROUND(N1657*'Methodology &amp; Assumptions'!$B$8, 0)</f>
        <v/>
      </c>
      <c r="P1657" s="8" t="inlineStr">
        <is>
          <t>Band n50 (1.5 GHz, 60 MHz)</t>
        </is>
      </c>
      <c r="Q1657" s="38">
        <f>ROUNDUP(O1657/'Methodology &amp; Assumptions'!$B$9, 0)</f>
        <v/>
      </c>
      <c r="R1657" s="39" t="n">
        <v>1</v>
      </c>
      <c r="S1657" s="21" t="n">
        <v>0.85</v>
      </c>
      <c r="T1657" s="21" t="n">
        <v>0.08</v>
      </c>
      <c r="U1657" s="36" t="inlineStr">
        <is>
          <t>Tier 1A (Direct Coloc, &lt;1 km)</t>
        </is>
      </c>
      <c r="V1657" s="20" t="n">
        <v>85.3</v>
      </c>
      <c r="W1657" s="20" t="n">
        <v>48.3</v>
      </c>
      <c r="X1657" s="20" t="n">
        <v>58</v>
      </c>
      <c r="Y1657" s="40">
        <f>ROUND((V1657*'Methodology &amp; Assumptions'!$B$6)+(W1657*'Methodology &amp; Assumptions'!$B$5)+(X1657*'Methodology &amp; Assumptions'!$B$7), 2)</f>
        <v/>
      </c>
    </row>
    <row r="1658" ht="19" customHeight="1">
      <c r="A1658" s="41" t="n">
        <v>654</v>
      </c>
      <c r="B1658" s="41" t="n">
        <v>4654</v>
      </c>
      <c r="C1658" s="42" t="inlineStr">
        <is>
          <t>0301423022</t>
        </is>
      </c>
      <c r="D1658" s="42" t="inlineStr">
        <is>
          <t>Region III (Central Luzon)</t>
        </is>
      </c>
      <c r="E1658" s="42" t="inlineStr">
        <is>
          <t>Bulacan</t>
        </is>
      </c>
      <c r="F1658" s="42" t="inlineStr">
        <is>
          <t>Santa Maria</t>
        </is>
      </c>
      <c r="G1658" s="42" t="inlineStr">
        <is>
          <t>Sta. Cruz</t>
        </is>
      </c>
      <c r="H1658" s="43" t="n">
        <v>14.837397</v>
      </c>
      <c r="I1658" s="43" t="n">
        <v>120.956478</v>
      </c>
      <c r="J1658" s="44" t="inlineStr">
        <is>
          <t>U</t>
        </is>
      </c>
      <c r="K1658" s="42" t="inlineStr">
        <is>
          <t>Class 1-3 / Urban</t>
        </is>
      </c>
      <c r="L1658" s="23" t="n">
        <v>11364</v>
      </c>
      <c r="M1658" s="24" t="n">
        <v>4.1</v>
      </c>
      <c r="N1658" s="23">
        <f>ROUND(L1658/M1658, 0)</f>
        <v/>
      </c>
      <c r="O1658" s="23">
        <f>ROUND(N1658*'Methodology &amp; Assumptions'!$B$8, 0)</f>
        <v/>
      </c>
      <c r="P1658" s="44" t="inlineStr">
        <is>
          <t>Band n50 (1.5 GHz, 60 MHz)</t>
        </is>
      </c>
      <c r="Q1658" s="38">
        <f>ROUNDUP(O1658/'Methodology &amp; Assumptions'!$B$9, 0)</f>
        <v/>
      </c>
      <c r="R1658" s="39" t="n">
        <v>1</v>
      </c>
      <c r="S1658" s="25" t="n">
        <v>2.12</v>
      </c>
      <c r="T1658" s="25" t="n">
        <v>0.08</v>
      </c>
      <c r="U1658" s="42" t="inlineStr">
        <is>
          <t>Tier 1B (Micro Drop, 1-3 km)</t>
        </is>
      </c>
      <c r="V1658" s="24" t="n">
        <v>59.3</v>
      </c>
      <c r="W1658" s="24" t="n">
        <v>100</v>
      </c>
      <c r="X1658" s="24" t="n">
        <v>28</v>
      </c>
      <c r="Y1658" s="45">
        <f>ROUND((V1658*'Methodology &amp; Assumptions'!$B$6)+(W1658*'Methodology &amp; Assumptions'!$B$5)+(X1658*'Methodology &amp; Assumptions'!$B$7), 2)</f>
        <v/>
      </c>
    </row>
    <row r="1659" ht="19" customHeight="1">
      <c r="A1659" s="35" t="n">
        <v>655</v>
      </c>
      <c r="B1659" s="35" t="n">
        <v>4655</v>
      </c>
      <c r="C1659" s="36" t="inlineStr">
        <is>
          <t>0305416006</t>
        </is>
      </c>
      <c r="D1659" s="36" t="inlineStr">
        <is>
          <t>Region III (Central Luzon)</t>
        </is>
      </c>
      <c r="E1659" s="36" t="inlineStr">
        <is>
          <t>Pampanga</t>
        </is>
      </c>
      <c r="F1659" s="36" t="inlineStr">
        <is>
          <t>City of San Fernando</t>
        </is>
      </c>
      <c r="G1659" s="36" t="inlineStr">
        <is>
          <t>Dela Paz Sur</t>
        </is>
      </c>
      <c r="H1659" s="37" t="n">
        <v>15.07727</v>
      </c>
      <c r="I1659" s="37" t="n">
        <v>120.633499</v>
      </c>
      <c r="J1659" s="8" t="inlineStr">
        <is>
          <t>U</t>
        </is>
      </c>
      <c r="K1659" s="36" t="inlineStr">
        <is>
          <t>Class 1-3 / Urban</t>
        </is>
      </c>
      <c r="L1659" s="18" t="n">
        <v>3029</v>
      </c>
      <c r="M1659" s="20" t="n">
        <v>4.63</v>
      </c>
      <c r="N1659" s="18">
        <f>ROUND(L1659/M1659, 0)</f>
        <v/>
      </c>
      <c r="O1659" s="18">
        <f>ROUND(N1659*'Methodology &amp; Assumptions'!$B$8, 0)</f>
        <v/>
      </c>
      <c r="P1659" s="8" t="inlineStr">
        <is>
          <t>Band n50 (1.5 GHz, 60 MHz)</t>
        </is>
      </c>
      <c r="Q1659" s="38">
        <f>ROUNDUP(O1659/'Methodology &amp; Assumptions'!$B$9, 0)</f>
        <v/>
      </c>
      <c r="R1659" s="39" t="n">
        <v>1</v>
      </c>
      <c r="S1659" s="21" t="n">
        <v>0.9399999999999999</v>
      </c>
      <c r="T1659" s="21" t="n">
        <v>0.65</v>
      </c>
      <c r="U1659" s="36" t="inlineStr">
        <is>
          <t>Tier 1A (Direct Coloc, &lt;1 km)</t>
        </is>
      </c>
      <c r="V1659" s="20" t="n">
        <v>83</v>
      </c>
      <c r="W1659" s="20" t="n">
        <v>76.3</v>
      </c>
      <c r="X1659" s="20" t="n">
        <v>28</v>
      </c>
      <c r="Y1659" s="40">
        <f>ROUND((V1659*'Methodology &amp; Assumptions'!$B$6)+(W1659*'Methodology &amp; Assumptions'!$B$5)+(X1659*'Methodology &amp; Assumptions'!$B$7), 2)</f>
        <v/>
      </c>
    </row>
    <row r="1660" ht="19" customHeight="1">
      <c r="A1660" s="41" t="n">
        <v>656</v>
      </c>
      <c r="B1660" s="41" t="n">
        <v>4656</v>
      </c>
      <c r="C1660" s="42" t="inlineStr">
        <is>
          <t>0506209024</t>
        </is>
      </c>
      <c r="D1660" s="42" t="inlineStr">
        <is>
          <t>Region V (Bicol Region)</t>
        </is>
      </c>
      <c r="E1660" s="42" t="inlineStr">
        <is>
          <t>Sorsogon</t>
        </is>
      </c>
      <c r="F1660" s="42" t="inlineStr">
        <is>
          <t>Irosin</t>
        </is>
      </c>
      <c r="G1660" s="42" t="inlineStr">
        <is>
          <t>San Julian</t>
        </is>
      </c>
      <c r="H1660" s="43" t="n">
        <v>12.705972</v>
      </c>
      <c r="I1660" s="43" t="n">
        <v>124.033456</v>
      </c>
      <c r="J1660" s="44" t="inlineStr">
        <is>
          <t>U</t>
        </is>
      </c>
      <c r="K1660" s="42" t="inlineStr">
        <is>
          <t>Class 1-3 / Urban</t>
        </is>
      </c>
      <c r="L1660" s="23" t="n">
        <v>2273</v>
      </c>
      <c r="M1660" s="24" t="n">
        <v>4.58</v>
      </c>
      <c r="N1660" s="23">
        <f>ROUND(L1660/M1660, 0)</f>
        <v/>
      </c>
      <c r="O1660" s="23">
        <f>ROUND(N1660*'Methodology &amp; Assumptions'!$B$8, 0)</f>
        <v/>
      </c>
      <c r="P1660" s="44" t="inlineStr">
        <is>
          <t>Band n50 (1.5 GHz, 60 MHz)</t>
        </is>
      </c>
      <c r="Q1660" s="38">
        <f>ROUNDUP(O1660/'Methodology &amp; Assumptions'!$B$9, 0)</f>
        <v/>
      </c>
      <c r="R1660" s="39" t="n">
        <v>1</v>
      </c>
      <c r="S1660" s="25" t="n">
        <v>0.47</v>
      </c>
      <c r="T1660" s="25" t="n">
        <v>0.41</v>
      </c>
      <c r="U1660" s="42" t="inlineStr">
        <is>
          <t>Tier 1A (Direct Coloc, &lt;1 km)</t>
        </is>
      </c>
      <c r="V1660" s="24" t="n">
        <v>95.5</v>
      </c>
      <c r="W1660" s="24" t="n">
        <v>63.7</v>
      </c>
      <c r="X1660" s="24" t="n">
        <v>28</v>
      </c>
      <c r="Y1660" s="45">
        <f>ROUND((V1660*'Methodology &amp; Assumptions'!$B$6)+(W1660*'Methodology &amp; Assumptions'!$B$5)+(X1660*'Methodology &amp; Assumptions'!$B$7), 2)</f>
        <v/>
      </c>
    </row>
    <row r="1661" ht="19" customHeight="1">
      <c r="A1661" s="35" t="n">
        <v>657</v>
      </c>
      <c r="B1661" s="35" t="n">
        <v>4657</v>
      </c>
      <c r="C1661" s="36" t="inlineStr">
        <is>
          <t>0405638013</t>
        </is>
      </c>
      <c r="D1661" s="36" t="inlineStr">
        <is>
          <t>Region IV-A (CALABARZON)</t>
        </is>
      </c>
      <c r="E1661" s="36" t="inlineStr">
        <is>
          <t>Quezon</t>
        </is>
      </c>
      <c r="F1661" s="36" t="inlineStr">
        <is>
          <t>Real</t>
        </is>
      </c>
      <c r="G1661" s="36" t="inlineStr">
        <is>
          <t>Ungos</t>
        </is>
      </c>
      <c r="H1661" s="37" t="n">
        <v>14.668707</v>
      </c>
      <c r="I1661" s="37" t="n">
        <v>121.610052</v>
      </c>
      <c r="J1661" s="8" t="inlineStr">
        <is>
          <t>R</t>
        </is>
      </c>
      <c r="K1661" s="36" t="inlineStr">
        <is>
          <t>Class 1-3 / Urban</t>
        </is>
      </c>
      <c r="L1661" s="18" t="n">
        <v>4234</v>
      </c>
      <c r="M1661" s="20" t="n">
        <v>4.46</v>
      </c>
      <c r="N1661" s="18">
        <f>ROUND(L1661/M1661, 0)</f>
        <v/>
      </c>
      <c r="O1661" s="18">
        <f>ROUND(N1661*'Methodology &amp; Assumptions'!$B$8, 0)</f>
        <v/>
      </c>
      <c r="P1661" s="8" t="inlineStr">
        <is>
          <t>Band n50 (1.5 GHz, 60 MHz)</t>
        </is>
      </c>
      <c r="Q1661" s="38">
        <f>ROUNDUP(O1661/'Methodology &amp; Assumptions'!$B$9, 0)</f>
        <v/>
      </c>
      <c r="R1661" s="39" t="n">
        <v>1</v>
      </c>
      <c r="S1661" s="21" t="n">
        <v>3.28</v>
      </c>
      <c r="T1661" s="21" t="n">
        <v>31</v>
      </c>
      <c r="U1661" s="36" t="inlineStr">
        <is>
          <t>Tier 2 (Fiber Corridor / Lateral, 3-5 km)</t>
        </is>
      </c>
      <c r="V1661" s="20" t="n">
        <v>33.5</v>
      </c>
      <c r="W1661" s="20" t="n">
        <v>100</v>
      </c>
      <c r="X1661" s="20" t="n">
        <v>58</v>
      </c>
      <c r="Y1661" s="40">
        <f>ROUND((V1661*'Methodology &amp; Assumptions'!$B$6)+(W1661*'Methodology &amp; Assumptions'!$B$5)+(X1661*'Methodology &amp; Assumptions'!$B$7), 2)</f>
        <v/>
      </c>
    </row>
    <row r="1662" ht="19" customHeight="1">
      <c r="A1662" s="41" t="n">
        <v>658</v>
      </c>
      <c r="B1662" s="41" t="n">
        <v>4658</v>
      </c>
      <c r="C1662" s="42" t="inlineStr">
        <is>
          <t>0105543001</t>
        </is>
      </c>
      <c r="D1662" s="42" t="inlineStr">
        <is>
          <t>Region I (Ilocos Region)</t>
        </is>
      </c>
      <c r="E1662" s="42" t="inlineStr">
        <is>
          <t>Pangasinan</t>
        </is>
      </c>
      <c r="F1662" s="42" t="inlineStr">
        <is>
          <t>Tayug</t>
        </is>
      </c>
      <c r="G1662" s="42" t="inlineStr">
        <is>
          <t>Agno</t>
        </is>
      </c>
      <c r="H1662" s="43" t="n">
        <v>16.023066</v>
      </c>
      <c r="I1662" s="43" t="n">
        <v>120.730424</v>
      </c>
      <c r="J1662" s="44" t="inlineStr">
        <is>
          <t>R</t>
        </is>
      </c>
      <c r="K1662" s="42" t="inlineStr">
        <is>
          <t>Class 1-3 / Urban</t>
        </is>
      </c>
      <c r="L1662" s="23" t="n">
        <v>2337</v>
      </c>
      <c r="M1662" s="24" t="n">
        <v>4.39</v>
      </c>
      <c r="N1662" s="23">
        <f>ROUND(L1662/M1662, 0)</f>
        <v/>
      </c>
      <c r="O1662" s="23">
        <f>ROUND(N1662*'Methodology &amp; Assumptions'!$B$8, 0)</f>
        <v/>
      </c>
      <c r="P1662" s="44" t="inlineStr">
        <is>
          <t>Band n50 (1.5 GHz, 60 MHz)</t>
        </is>
      </c>
      <c r="Q1662" s="38">
        <f>ROUNDUP(O1662/'Methodology &amp; Assumptions'!$B$9, 0)</f>
        <v/>
      </c>
      <c r="R1662" s="39" t="n">
        <v>1</v>
      </c>
      <c r="S1662" s="25" t="n">
        <v>1.69</v>
      </c>
      <c r="T1662" s="25" t="n">
        <v>1.65</v>
      </c>
      <c r="U1662" s="42" t="inlineStr">
        <is>
          <t>Tier 1B (Micro Drop, 1-3 km)</t>
        </is>
      </c>
      <c r="V1662" s="24" t="n">
        <v>66.90000000000001</v>
      </c>
      <c r="W1662" s="24" t="n">
        <v>66.7</v>
      </c>
      <c r="X1662" s="24" t="n">
        <v>58</v>
      </c>
      <c r="Y1662" s="45">
        <f>ROUND((V1662*'Methodology &amp; Assumptions'!$B$6)+(W1662*'Methodology &amp; Assumptions'!$B$5)+(X1662*'Methodology &amp; Assumptions'!$B$7), 2)</f>
        <v/>
      </c>
    </row>
    <row r="1663" ht="19" customHeight="1">
      <c r="A1663" s="35" t="n">
        <v>659</v>
      </c>
      <c r="B1663" s="35" t="n">
        <v>4659</v>
      </c>
      <c r="C1663" s="36" t="inlineStr">
        <is>
          <t>0306907011</t>
        </is>
      </c>
      <c r="D1663" s="36" t="inlineStr">
        <is>
          <t>Region III (Central Luzon)</t>
        </is>
      </c>
      <c r="E1663" s="36" t="inlineStr">
        <is>
          <t>Tarlac</t>
        </is>
      </c>
      <c r="F1663" s="36" t="inlineStr">
        <is>
          <t>La Paz</t>
        </is>
      </c>
      <c r="G1663" s="36" t="inlineStr">
        <is>
          <t>Laungcupang</t>
        </is>
      </c>
      <c r="H1663" s="37" t="n">
        <v>15.453662</v>
      </c>
      <c r="I1663" s="37" t="n">
        <v>120.703072</v>
      </c>
      <c r="J1663" s="8" t="inlineStr">
        <is>
          <t>R</t>
        </is>
      </c>
      <c r="K1663" s="36" t="inlineStr">
        <is>
          <t>Class 1-3 / Urban</t>
        </is>
      </c>
      <c r="L1663" s="18" t="n">
        <v>2297</v>
      </c>
      <c r="M1663" s="20" t="n">
        <v>4.3</v>
      </c>
      <c r="N1663" s="18">
        <f>ROUND(L1663/M1663, 0)</f>
        <v/>
      </c>
      <c r="O1663" s="18">
        <f>ROUND(N1663*'Methodology &amp; Assumptions'!$B$8, 0)</f>
        <v/>
      </c>
      <c r="P1663" s="8" t="inlineStr">
        <is>
          <t>Band n50 (1.5 GHz, 60 MHz)</t>
        </is>
      </c>
      <c r="Q1663" s="38">
        <f>ROUNDUP(O1663/'Methodology &amp; Assumptions'!$B$9, 0)</f>
        <v/>
      </c>
      <c r="R1663" s="39" t="n">
        <v>1</v>
      </c>
      <c r="S1663" s="21" t="n">
        <v>1.69</v>
      </c>
      <c r="T1663" s="21" t="n">
        <v>0.15</v>
      </c>
      <c r="U1663" s="36" t="inlineStr">
        <is>
          <t>Tier 1B (Micro Drop, 1-3 km)</t>
        </is>
      </c>
      <c r="V1663" s="20" t="n">
        <v>66.8</v>
      </c>
      <c r="W1663" s="20" t="n">
        <v>66.7</v>
      </c>
      <c r="X1663" s="20" t="n">
        <v>58</v>
      </c>
      <c r="Y1663" s="40">
        <f>ROUND((V1663*'Methodology &amp; Assumptions'!$B$6)+(W1663*'Methodology &amp; Assumptions'!$B$5)+(X1663*'Methodology &amp; Assumptions'!$B$7), 2)</f>
        <v/>
      </c>
    </row>
    <row r="1664" ht="19" customHeight="1">
      <c r="A1664" s="41" t="n">
        <v>660</v>
      </c>
      <c r="B1664" s="41" t="n">
        <v>4660</v>
      </c>
      <c r="C1664" s="42" t="inlineStr">
        <is>
          <t>0405803006</t>
        </is>
      </c>
      <c r="D1664" s="42" t="inlineStr">
        <is>
          <t>Region IV-A (CALABARZON)</t>
        </is>
      </c>
      <c r="E1664" s="42" t="inlineStr">
        <is>
          <t>Rizal</t>
        </is>
      </c>
      <c r="F1664" s="42" t="inlineStr">
        <is>
          <t>Baras</t>
        </is>
      </c>
      <c r="G1664" s="42" t="inlineStr">
        <is>
          <t>Concepcion</t>
        </is>
      </c>
      <c r="H1664" s="43" t="n">
        <v>14.581936</v>
      </c>
      <c r="I1664" s="43" t="n">
        <v>121.177024</v>
      </c>
      <c r="J1664" s="44" t="inlineStr">
        <is>
          <t>R</t>
        </is>
      </c>
      <c r="K1664" s="42" t="inlineStr">
        <is>
          <t>1st</t>
        </is>
      </c>
      <c r="L1664" s="23" t="n">
        <v>1144</v>
      </c>
      <c r="M1664" s="24" t="n">
        <v>4.14</v>
      </c>
      <c r="N1664" s="23">
        <f>ROUND(L1664/M1664, 0)</f>
        <v/>
      </c>
      <c r="O1664" s="23">
        <f>ROUND(N1664*'Methodology &amp; Assumptions'!$B$8, 0)</f>
        <v/>
      </c>
      <c r="P1664" s="44" t="inlineStr">
        <is>
          <t>Band n50 (1.5 GHz, 60 MHz)</t>
        </is>
      </c>
      <c r="Q1664" s="38">
        <f>ROUNDUP(O1664/'Methodology &amp; Assumptions'!$B$9, 0)</f>
        <v/>
      </c>
      <c r="R1664" s="39" t="n">
        <v>1</v>
      </c>
      <c r="S1664" s="25" t="n">
        <v>0.77</v>
      </c>
      <c r="T1664" s="25" t="n">
        <v>0.17</v>
      </c>
      <c r="U1664" s="42" t="inlineStr">
        <is>
          <t>Tier 1A (Direct Coloc, &lt;1 km)</t>
        </is>
      </c>
      <c r="V1664" s="24" t="n">
        <v>87.40000000000001</v>
      </c>
      <c r="W1664" s="24" t="n">
        <v>46.1</v>
      </c>
      <c r="X1664" s="24" t="n">
        <v>58</v>
      </c>
      <c r="Y1664" s="45">
        <f>ROUND((V1664*'Methodology &amp; Assumptions'!$B$6)+(W1664*'Methodology &amp; Assumptions'!$B$5)+(X1664*'Methodology &amp; Assumptions'!$B$7), 2)</f>
        <v/>
      </c>
    </row>
    <row r="1665" ht="19" customHeight="1">
      <c r="A1665" s="35" t="n">
        <v>661</v>
      </c>
      <c r="B1665" s="35" t="n">
        <v>4661</v>
      </c>
      <c r="C1665" s="36" t="inlineStr">
        <is>
          <t>0304903097</t>
        </is>
      </c>
      <c r="D1665" s="36" t="inlineStr">
        <is>
          <t>Region III (Central Luzon)</t>
        </is>
      </c>
      <c r="E1665" s="36" t="inlineStr">
        <is>
          <t>Nueva Ecija</t>
        </is>
      </c>
      <c r="F1665" s="36" t="inlineStr">
        <is>
          <t>City of Cabanatuan</t>
        </is>
      </c>
      <c r="G1665" s="36" t="inlineStr">
        <is>
          <t>Magsaysay South</t>
        </is>
      </c>
      <c r="H1665" s="37" t="n">
        <v>15.484474</v>
      </c>
      <c r="I1665" s="37" t="n">
        <v>120.977816</v>
      </c>
      <c r="J1665" s="8" t="inlineStr">
        <is>
          <t>R</t>
        </is>
      </c>
      <c r="K1665" s="36" t="inlineStr">
        <is>
          <t>Class 1-3 / Urban</t>
        </is>
      </c>
      <c r="L1665" s="18" t="n">
        <v>2419</v>
      </c>
      <c r="M1665" s="20" t="n">
        <v>4.32</v>
      </c>
      <c r="N1665" s="18">
        <f>ROUND(L1665/M1665, 0)</f>
        <v/>
      </c>
      <c r="O1665" s="18">
        <f>ROUND(N1665*'Methodology &amp; Assumptions'!$B$8, 0)</f>
        <v/>
      </c>
      <c r="P1665" s="8" t="inlineStr">
        <is>
          <t>Band n50 (1.5 GHz, 60 MHz)</t>
        </is>
      </c>
      <c r="Q1665" s="38">
        <f>ROUNDUP(O1665/'Methodology &amp; Assumptions'!$B$9, 0)</f>
        <v/>
      </c>
      <c r="R1665" s="39" t="n">
        <v>1</v>
      </c>
      <c r="S1665" s="21" t="n">
        <v>1.81</v>
      </c>
      <c r="T1665" s="21" t="n">
        <v>0.5600000000000001</v>
      </c>
      <c r="U1665" s="36" t="inlineStr">
        <is>
          <t>Tier 1B (Micro Drop, 1-3 km)</t>
        </is>
      </c>
      <c r="V1665" s="20" t="n">
        <v>64.7</v>
      </c>
      <c r="W1665" s="20" t="n">
        <v>68.8</v>
      </c>
      <c r="X1665" s="20" t="n">
        <v>58</v>
      </c>
      <c r="Y1665" s="40">
        <f>ROUND((V1665*'Methodology &amp; Assumptions'!$B$6)+(W1665*'Methodology &amp; Assumptions'!$B$5)+(X1665*'Methodology &amp; Assumptions'!$B$7), 2)</f>
        <v/>
      </c>
    </row>
    <row r="1666" ht="19" customHeight="1">
      <c r="A1666" s="41" t="n">
        <v>662</v>
      </c>
      <c r="B1666" s="41" t="n">
        <v>4662</v>
      </c>
      <c r="C1666" s="42" t="inlineStr">
        <is>
          <t>0500507010</t>
        </is>
      </c>
      <c r="D1666" s="42" t="inlineStr">
        <is>
          <t>Region V (Bicol Region)</t>
        </is>
      </c>
      <c r="E1666" s="42" t="inlineStr">
        <is>
          <t>Albay</t>
        </is>
      </c>
      <c r="F1666" s="42" t="inlineStr">
        <is>
          <t>Libon</t>
        </is>
      </c>
      <c r="G1666" s="42" t="inlineStr">
        <is>
          <t>Zone VII</t>
        </is>
      </c>
      <c r="H1666" s="43" t="n">
        <v>13.305939</v>
      </c>
      <c r="I1666" s="43" t="n">
        <v>123.433456</v>
      </c>
      <c r="J1666" s="44" t="inlineStr">
        <is>
          <t>R</t>
        </is>
      </c>
      <c r="K1666" s="42" t="inlineStr">
        <is>
          <t>Class 1-3 / Urban</t>
        </is>
      </c>
      <c r="L1666" s="23" t="n">
        <v>1541</v>
      </c>
      <c r="M1666" s="24" t="n">
        <v>4.67</v>
      </c>
      <c r="N1666" s="23">
        <f>ROUND(L1666/M1666, 0)</f>
        <v/>
      </c>
      <c r="O1666" s="23">
        <f>ROUND(N1666*'Methodology &amp; Assumptions'!$B$8, 0)</f>
        <v/>
      </c>
      <c r="P1666" s="44" t="inlineStr">
        <is>
          <t>Band n50 (1.5 GHz, 60 MHz)</t>
        </is>
      </c>
      <c r="Q1666" s="38">
        <f>ROUNDUP(O1666/'Methodology &amp; Assumptions'!$B$9, 0)</f>
        <v/>
      </c>
      <c r="R1666" s="39" t="n">
        <v>1</v>
      </c>
      <c r="S1666" s="25" t="n">
        <v>0.9399999999999999</v>
      </c>
      <c r="T1666" s="25" t="n">
        <v>1.75</v>
      </c>
      <c r="U1666" s="42" t="inlineStr">
        <is>
          <t>Tier 1A (Direct Coloc, &lt;1 km)</t>
        </is>
      </c>
      <c r="V1666" s="24" t="n">
        <v>83.09999999999999</v>
      </c>
      <c r="W1666" s="24" t="n">
        <v>50.4</v>
      </c>
      <c r="X1666" s="24" t="n">
        <v>58</v>
      </c>
      <c r="Y1666" s="45">
        <f>ROUND((V1666*'Methodology &amp; Assumptions'!$B$6)+(W1666*'Methodology &amp; Assumptions'!$B$5)+(X1666*'Methodology &amp; Assumptions'!$B$7), 2)</f>
        <v/>
      </c>
    </row>
    <row r="1667" ht="19" customHeight="1">
      <c r="A1667" s="35" t="n">
        <v>663</v>
      </c>
      <c r="B1667" s="35" t="n">
        <v>4663</v>
      </c>
      <c r="C1667" s="36" t="inlineStr">
        <is>
          <t>0301401015</t>
        </is>
      </c>
      <c r="D1667" s="36" t="inlineStr">
        <is>
          <t>Region III (Central Luzon)</t>
        </is>
      </c>
      <c r="E1667" s="36" t="inlineStr">
        <is>
          <t>Bulacan</t>
        </is>
      </c>
      <c r="F1667" s="36" t="inlineStr">
        <is>
          <t>Angat</t>
        </is>
      </c>
      <c r="G1667" s="36" t="inlineStr">
        <is>
          <t>Santa Cruz</t>
        </is>
      </c>
      <c r="H1667" s="37" t="n">
        <v>14.92577</v>
      </c>
      <c r="I1667" s="37" t="n">
        <v>121.029578</v>
      </c>
      <c r="J1667" s="8" t="inlineStr">
        <is>
          <t>U</t>
        </is>
      </c>
      <c r="K1667" s="36" t="inlineStr">
        <is>
          <t>Class 1-3 / Urban</t>
        </is>
      </c>
      <c r="L1667" s="18" t="n">
        <v>5875</v>
      </c>
      <c r="M1667" s="20" t="n">
        <v>4.1</v>
      </c>
      <c r="N1667" s="18">
        <f>ROUND(L1667/M1667, 0)</f>
        <v/>
      </c>
      <c r="O1667" s="18">
        <f>ROUND(N1667*'Methodology &amp; Assumptions'!$B$8, 0)</f>
        <v/>
      </c>
      <c r="P1667" s="8" t="inlineStr">
        <is>
          <t>Band n50 (1.5 GHz, 60 MHz)</t>
        </is>
      </c>
      <c r="Q1667" s="38">
        <f>ROUNDUP(O1667/'Methodology &amp; Assumptions'!$B$9, 0)</f>
        <v/>
      </c>
      <c r="R1667" s="39" t="n">
        <v>1</v>
      </c>
      <c r="S1667" s="21" t="n">
        <v>2.31</v>
      </c>
      <c r="T1667" s="21" t="n">
        <v>6.79</v>
      </c>
      <c r="U1667" s="36" t="inlineStr">
        <is>
          <t>Tier 1B (Micro Drop, 1-3 km)</t>
        </is>
      </c>
      <c r="V1667" s="20" t="n">
        <v>46.3</v>
      </c>
      <c r="W1667" s="20" t="n">
        <v>100</v>
      </c>
      <c r="X1667" s="20" t="n">
        <v>43</v>
      </c>
      <c r="Y1667" s="40">
        <f>ROUND((V1667*'Methodology &amp; Assumptions'!$B$6)+(W1667*'Methodology &amp; Assumptions'!$B$5)+(X1667*'Methodology &amp; Assumptions'!$B$7), 2)</f>
        <v/>
      </c>
    </row>
    <row r="1668" ht="19" customHeight="1">
      <c r="A1668" s="41" t="n">
        <v>664</v>
      </c>
      <c r="B1668" s="41" t="n">
        <v>4664</v>
      </c>
      <c r="C1668" s="42" t="inlineStr">
        <is>
          <t>0401013015</t>
        </is>
      </c>
      <c r="D1668" s="42" t="inlineStr">
        <is>
          <t>Region IV-A (CALABARZON)</t>
        </is>
      </c>
      <c r="E1668" s="42" t="inlineStr">
        <is>
          <t>Batangas</t>
        </is>
      </c>
      <c r="F1668" s="42" t="inlineStr">
        <is>
          <t>Lian</t>
        </is>
      </c>
      <c r="G1668" s="42" t="inlineStr">
        <is>
          <t>Matabungkay</t>
        </is>
      </c>
      <c r="H1668" s="43" t="n">
        <v>13.951841</v>
      </c>
      <c r="I1668" s="43" t="n">
        <v>120.619945</v>
      </c>
      <c r="J1668" s="44" t="inlineStr">
        <is>
          <t>U</t>
        </is>
      </c>
      <c r="K1668" s="42" t="inlineStr">
        <is>
          <t>Class 1-3 / Urban</t>
        </is>
      </c>
      <c r="L1668" s="23" t="n">
        <v>5398</v>
      </c>
      <c r="M1668" s="24" t="n">
        <v>4.62</v>
      </c>
      <c r="N1668" s="23">
        <f>ROUND(L1668/M1668, 0)</f>
        <v/>
      </c>
      <c r="O1668" s="23">
        <f>ROUND(N1668*'Methodology &amp; Assumptions'!$B$8, 0)</f>
        <v/>
      </c>
      <c r="P1668" s="44" t="inlineStr">
        <is>
          <t>Band n50 (1.5 GHz, 60 MHz)</t>
        </is>
      </c>
      <c r="Q1668" s="38">
        <f>ROUNDUP(O1668/'Methodology &amp; Assumptions'!$B$9, 0)</f>
        <v/>
      </c>
      <c r="R1668" s="39" t="n">
        <v>1</v>
      </c>
      <c r="S1668" s="25" t="n">
        <v>2.13</v>
      </c>
      <c r="T1668" s="25" t="n">
        <v>1.42</v>
      </c>
      <c r="U1668" s="42" t="inlineStr">
        <is>
          <t>Tier 1B (Micro Drop, 1-3 km)</t>
        </is>
      </c>
      <c r="V1668" s="24" t="n">
        <v>59.2</v>
      </c>
      <c r="W1668" s="24" t="n">
        <v>100</v>
      </c>
      <c r="X1668" s="24" t="n">
        <v>28</v>
      </c>
      <c r="Y1668" s="45">
        <f>ROUND((V1668*'Methodology &amp; Assumptions'!$B$6)+(W1668*'Methodology &amp; Assumptions'!$B$5)+(X1668*'Methodology &amp; Assumptions'!$B$7), 2)</f>
        <v/>
      </c>
    </row>
    <row r="1669" ht="19" customHeight="1">
      <c r="A1669" s="35" t="n">
        <v>665</v>
      </c>
      <c r="B1669" s="35" t="n">
        <v>4665</v>
      </c>
      <c r="C1669" s="36" t="inlineStr">
        <is>
          <t>0203108032</t>
        </is>
      </c>
      <c r="D1669" s="36" t="inlineStr">
        <is>
          <t>Region II (Cagayan Valley)</t>
        </is>
      </c>
      <c r="E1669" s="36" t="inlineStr">
        <is>
          <t>Isabela</t>
        </is>
      </c>
      <c r="F1669" s="36" t="inlineStr">
        <is>
          <t>City of Cauayan</t>
        </is>
      </c>
      <c r="G1669" s="36" t="inlineStr">
        <is>
          <t>District II</t>
        </is>
      </c>
      <c r="H1669" s="37" t="n">
        <v>16.933048</v>
      </c>
      <c r="I1669" s="37" t="n">
        <v>121.760863</v>
      </c>
      <c r="J1669" s="8" t="inlineStr">
        <is>
          <t>U</t>
        </is>
      </c>
      <c r="K1669" s="36" t="inlineStr">
        <is>
          <t>Class 1-3 / Urban</t>
        </is>
      </c>
      <c r="L1669" s="18" t="n">
        <v>2264</v>
      </c>
      <c r="M1669" s="20" t="n">
        <v>4.3</v>
      </c>
      <c r="N1669" s="18">
        <f>ROUND(L1669/M1669, 0)</f>
        <v/>
      </c>
      <c r="O1669" s="18">
        <f>ROUND(N1669*'Methodology &amp; Assumptions'!$B$8, 0)</f>
        <v/>
      </c>
      <c r="P1669" s="8" t="inlineStr">
        <is>
          <t>Band n50 (1.5 GHz, 60 MHz)</t>
        </is>
      </c>
      <c r="Q1669" s="38">
        <f>ROUNDUP(O1669/'Methodology &amp; Assumptions'!$B$9, 0)</f>
        <v/>
      </c>
      <c r="R1669" s="39" t="n">
        <v>1</v>
      </c>
      <c r="S1669" s="21" t="n">
        <v>0.5600000000000001</v>
      </c>
      <c r="T1669" s="21" t="n">
        <v>0.48</v>
      </c>
      <c r="U1669" s="36" t="inlineStr">
        <is>
          <t>Tier 1A (Direct Coloc, &lt;1 km)</t>
        </is>
      </c>
      <c r="V1669" s="20" t="n">
        <v>93.09999999999999</v>
      </c>
      <c r="W1669" s="20" t="n">
        <v>66.09999999999999</v>
      </c>
      <c r="X1669" s="20" t="n">
        <v>28</v>
      </c>
      <c r="Y1669" s="40">
        <f>ROUND((V1669*'Methodology &amp; Assumptions'!$B$6)+(W1669*'Methodology &amp; Assumptions'!$B$5)+(X1669*'Methodology &amp; Assumptions'!$B$7), 2)</f>
        <v/>
      </c>
    </row>
    <row r="1670" ht="19" customHeight="1">
      <c r="A1670" s="41" t="n">
        <v>666</v>
      </c>
      <c r="B1670" s="41" t="n">
        <v>4666</v>
      </c>
      <c r="C1670" s="42" t="inlineStr">
        <is>
          <t>0201528012</t>
        </is>
      </c>
      <c r="D1670" s="42" t="inlineStr">
        <is>
          <t>Region II (Cagayan Valley)</t>
        </is>
      </c>
      <c r="E1670" s="42" t="inlineStr">
        <is>
          <t>Cagayan</t>
        </is>
      </c>
      <c r="F1670" s="42" t="inlineStr">
        <is>
          <t>Tuao</t>
        </is>
      </c>
      <c r="G1670" s="42" t="inlineStr">
        <is>
          <t>Cato</t>
        </is>
      </c>
      <c r="H1670" s="43" t="n">
        <v>17.7334</v>
      </c>
      <c r="I1670" s="43" t="n">
        <v>121.4466</v>
      </c>
      <c r="J1670" s="44" t="inlineStr">
        <is>
          <t>R</t>
        </is>
      </c>
      <c r="K1670" s="42" t="inlineStr">
        <is>
          <t>Class 1-3 / Urban</t>
        </is>
      </c>
      <c r="L1670" s="23" t="n">
        <v>2613</v>
      </c>
      <c r="M1670" s="24" t="n">
        <v>4.38</v>
      </c>
      <c r="N1670" s="23">
        <f>ROUND(L1670/M1670, 0)</f>
        <v/>
      </c>
      <c r="O1670" s="23">
        <f>ROUND(N1670*'Methodology &amp; Assumptions'!$B$8, 0)</f>
        <v/>
      </c>
      <c r="P1670" s="44" t="inlineStr">
        <is>
          <t>Band n50 (1.5 GHz, 60 MHz)</t>
        </is>
      </c>
      <c r="Q1670" s="38">
        <f>ROUNDUP(O1670/'Methodology &amp; Assumptions'!$B$9, 0)</f>
        <v/>
      </c>
      <c r="R1670" s="39" t="n">
        <v>1</v>
      </c>
      <c r="S1670" s="25" t="n">
        <v>1.45</v>
      </c>
      <c r="T1670" s="25" t="n">
        <v>2.11</v>
      </c>
      <c r="U1670" s="42" t="inlineStr">
        <is>
          <t>Tier 1B (Micro Drop, 1-3 km)</t>
        </is>
      </c>
      <c r="V1670" s="24" t="n">
        <v>61.7</v>
      </c>
      <c r="W1670" s="24" t="n">
        <v>71.7</v>
      </c>
      <c r="X1670" s="24" t="n">
        <v>58</v>
      </c>
      <c r="Y1670" s="45">
        <f>ROUND((V1670*'Methodology &amp; Assumptions'!$B$6)+(W1670*'Methodology &amp; Assumptions'!$B$5)+(X1670*'Methodology &amp; Assumptions'!$B$7), 2)</f>
        <v/>
      </c>
    </row>
    <row r="1671" ht="19" customHeight="1">
      <c r="A1671" s="35" t="n">
        <v>667</v>
      </c>
      <c r="B1671" s="35" t="n">
        <v>4667</v>
      </c>
      <c r="C1671" s="36" t="inlineStr">
        <is>
          <t>0401011006</t>
        </is>
      </c>
      <c r="D1671" s="36" t="inlineStr">
        <is>
          <t>Region IV-A (CALABARZON)</t>
        </is>
      </c>
      <c r="E1671" s="36" t="inlineStr">
        <is>
          <t>Batangas</t>
        </is>
      </c>
      <c r="F1671" s="36" t="inlineStr">
        <is>
          <t>Laurel</t>
        </is>
      </c>
      <c r="G1671" s="36" t="inlineStr">
        <is>
          <t>Bugaan East</t>
        </is>
      </c>
      <c r="H1671" s="37" t="n">
        <v>14.045995</v>
      </c>
      <c r="I1671" s="37" t="n">
        <v>120.938868</v>
      </c>
      <c r="J1671" s="8" t="inlineStr">
        <is>
          <t>R</t>
        </is>
      </c>
      <c r="K1671" s="36" t="inlineStr">
        <is>
          <t>Class 1-3 / Urban</t>
        </is>
      </c>
      <c r="L1671" s="18" t="n">
        <v>2153</v>
      </c>
      <c r="M1671" s="20" t="n">
        <v>4.62</v>
      </c>
      <c r="N1671" s="18">
        <f>ROUND(L1671/M1671, 0)</f>
        <v/>
      </c>
      <c r="O1671" s="18">
        <f>ROUND(N1671*'Methodology &amp; Assumptions'!$B$8, 0)</f>
        <v/>
      </c>
      <c r="P1671" s="8" t="inlineStr">
        <is>
          <t>Band n50 (1.5 GHz, 60 MHz)</t>
        </is>
      </c>
      <c r="Q1671" s="38">
        <f>ROUNDUP(O1671/'Methodology &amp; Assumptions'!$B$9, 0)</f>
        <v/>
      </c>
      <c r="R1671" s="39" t="n">
        <v>1</v>
      </c>
      <c r="S1671" s="21" t="n">
        <v>0.98</v>
      </c>
      <c r="T1671" s="21" t="n">
        <v>5.48</v>
      </c>
      <c r="U1671" s="36" t="inlineStr">
        <is>
          <t>Tier 1A (Direct Coloc, &lt;1 km)</t>
        </is>
      </c>
      <c r="V1671" s="20" t="n">
        <v>72.09999999999999</v>
      </c>
      <c r="W1671" s="20" t="n">
        <v>61.3</v>
      </c>
      <c r="X1671" s="20" t="n">
        <v>58</v>
      </c>
      <c r="Y1671" s="40">
        <f>ROUND((V1671*'Methodology &amp; Assumptions'!$B$6)+(W1671*'Methodology &amp; Assumptions'!$B$5)+(X1671*'Methodology &amp; Assumptions'!$B$7), 2)</f>
        <v/>
      </c>
    </row>
    <row r="1672" ht="19" customHeight="1">
      <c r="A1672" s="41" t="n">
        <v>668</v>
      </c>
      <c r="B1672" s="41" t="n">
        <v>4668</v>
      </c>
      <c r="C1672" s="42" t="inlineStr">
        <is>
          <t>0307701001</t>
        </is>
      </c>
      <c r="D1672" s="42" t="inlineStr">
        <is>
          <t>Region III (Central Luzon)</t>
        </is>
      </c>
      <c r="E1672" s="42" t="inlineStr">
        <is>
          <t>Aurora</t>
        </is>
      </c>
      <c r="F1672" s="42" t="inlineStr">
        <is>
          <t>Baler</t>
        </is>
      </c>
      <c r="G1672" s="42" t="inlineStr">
        <is>
          <t>Barangay I</t>
        </is>
      </c>
      <c r="H1672" s="43" t="n">
        <v>15.761296</v>
      </c>
      <c r="I1672" s="43" t="n">
        <v>121.560449</v>
      </c>
      <c r="J1672" s="44" t="inlineStr">
        <is>
          <t>R</t>
        </is>
      </c>
      <c r="K1672" s="42" t="inlineStr">
        <is>
          <t>Class 1-3 / Urban</t>
        </is>
      </c>
      <c r="L1672" s="23" t="n">
        <v>514</v>
      </c>
      <c r="M1672" s="24" t="n">
        <v>4.24</v>
      </c>
      <c r="N1672" s="23">
        <f>ROUND(L1672/M1672, 0)</f>
        <v/>
      </c>
      <c r="O1672" s="23">
        <f>ROUND(N1672*'Methodology &amp; Assumptions'!$B$8, 0)</f>
        <v/>
      </c>
      <c r="P1672" s="44" t="inlineStr">
        <is>
          <t>Band n50 (1.5 GHz, 60 MHz)</t>
        </is>
      </c>
      <c r="Q1672" s="38">
        <f>ROUNDUP(O1672/'Methodology &amp; Assumptions'!$B$9, 0)</f>
        <v/>
      </c>
      <c r="R1672" s="39" t="n">
        <v>1</v>
      </c>
      <c r="S1672" s="25" t="n">
        <v>0.32</v>
      </c>
      <c r="T1672" s="25" t="n">
        <v>0.03</v>
      </c>
      <c r="U1672" s="42" t="inlineStr">
        <is>
          <t>Tier 1A (Direct Coloc, &lt;1 km)</t>
        </is>
      </c>
      <c r="V1672" s="24" t="n">
        <v>99.90000000000001</v>
      </c>
      <c r="W1672" s="24" t="n">
        <v>33.6</v>
      </c>
      <c r="X1672" s="24" t="n">
        <v>58</v>
      </c>
      <c r="Y1672" s="45">
        <f>ROUND((V1672*'Methodology &amp; Assumptions'!$B$6)+(W1672*'Methodology &amp; Assumptions'!$B$5)+(X1672*'Methodology &amp; Assumptions'!$B$7), 2)</f>
        <v/>
      </c>
    </row>
    <row r="1673" ht="19" customHeight="1">
      <c r="A1673" s="35" t="n">
        <v>669</v>
      </c>
      <c r="B1673" s="35" t="n">
        <v>4669</v>
      </c>
      <c r="C1673" s="36" t="inlineStr">
        <is>
          <t>0402111018</t>
        </is>
      </c>
      <c r="D1673" s="36" t="inlineStr">
        <is>
          <t>Region IV-A (CALABARZON)</t>
        </is>
      </c>
      <c r="E1673" s="36" t="inlineStr">
        <is>
          <t>Cavite</t>
        </is>
      </c>
      <c r="F1673" s="36" t="inlineStr">
        <is>
          <t>Kawit</t>
        </is>
      </c>
      <c r="G1673" s="36" t="inlineStr">
        <is>
          <t>Pulvorista</t>
        </is>
      </c>
      <c r="H1673" s="37" t="n">
        <v>14.457615</v>
      </c>
      <c r="I1673" s="37" t="n">
        <v>120.922858</v>
      </c>
      <c r="J1673" s="8" t="inlineStr">
        <is>
          <t>U</t>
        </is>
      </c>
      <c r="K1673" s="36" t="inlineStr">
        <is>
          <t>Class 1-3 / Urban</t>
        </is>
      </c>
      <c r="L1673" s="18" t="n">
        <v>11892</v>
      </c>
      <c r="M1673" s="20" t="n">
        <v>4.49</v>
      </c>
      <c r="N1673" s="18">
        <f>ROUND(L1673/M1673, 0)</f>
        <v/>
      </c>
      <c r="O1673" s="18">
        <f>ROUND(N1673*'Methodology &amp; Assumptions'!$B$8, 0)</f>
        <v/>
      </c>
      <c r="P1673" s="8" t="inlineStr">
        <is>
          <t>Band n50 (1.5 GHz, 60 MHz)</t>
        </is>
      </c>
      <c r="Q1673" s="38">
        <f>ROUNDUP(O1673/'Methodology &amp; Assumptions'!$B$9, 0)</f>
        <v/>
      </c>
      <c r="R1673" s="39" t="n">
        <v>1</v>
      </c>
      <c r="S1673" s="21" t="n">
        <v>3.04</v>
      </c>
      <c r="T1673" s="21" t="n">
        <v>0.88</v>
      </c>
      <c r="U1673" s="36" t="inlineStr">
        <is>
          <t>Tier 2 (Fiber Corridor / Lateral, 3-5 km)</t>
        </is>
      </c>
      <c r="V1673" s="20" t="n">
        <v>46.3</v>
      </c>
      <c r="W1673" s="20" t="n">
        <v>100</v>
      </c>
      <c r="X1673" s="20" t="n">
        <v>43</v>
      </c>
      <c r="Y1673" s="40">
        <f>ROUND((V1673*'Methodology &amp; Assumptions'!$B$6)+(W1673*'Methodology &amp; Assumptions'!$B$5)+(X1673*'Methodology &amp; Assumptions'!$B$7), 2)</f>
        <v/>
      </c>
    </row>
    <row r="1674" ht="19" customHeight="1">
      <c r="A1674" s="41" t="n">
        <v>670</v>
      </c>
      <c r="B1674" s="41" t="n">
        <v>4670</v>
      </c>
      <c r="C1674" s="42" t="inlineStr">
        <is>
          <t>0402117001</t>
        </is>
      </c>
      <c r="D1674" s="42" t="inlineStr">
        <is>
          <t>Region IV-A (CALABARZON)</t>
        </is>
      </c>
      <c r="E1674" s="42" t="inlineStr">
        <is>
          <t>Cavite</t>
        </is>
      </c>
      <c r="F1674" s="42" t="inlineStr">
        <is>
          <t>Rosario</t>
        </is>
      </c>
      <c r="G1674" s="42" t="inlineStr">
        <is>
          <t>Silangan I</t>
        </is>
      </c>
      <c r="H1674" s="43" t="n">
        <v>14.418831</v>
      </c>
      <c r="I1674" s="43" t="n">
        <v>120.8595</v>
      </c>
      <c r="J1674" s="44" t="inlineStr">
        <is>
          <t>U</t>
        </is>
      </c>
      <c r="K1674" s="42" t="inlineStr">
        <is>
          <t>Class 1-3 / Urban</t>
        </is>
      </c>
      <c r="L1674" s="23" t="n">
        <v>9152</v>
      </c>
      <c r="M1674" s="24" t="n">
        <v>4.49</v>
      </c>
      <c r="N1674" s="23">
        <f>ROUND(L1674/M1674, 0)</f>
        <v/>
      </c>
      <c r="O1674" s="23">
        <f>ROUND(N1674*'Methodology &amp; Assumptions'!$B$8, 0)</f>
        <v/>
      </c>
      <c r="P1674" s="44" t="inlineStr">
        <is>
          <t>Band n50 (1.5 GHz, 60 MHz)</t>
        </is>
      </c>
      <c r="Q1674" s="38">
        <f>ROUNDUP(O1674/'Methodology &amp; Assumptions'!$B$9, 0)</f>
        <v/>
      </c>
      <c r="R1674" s="39" t="n">
        <v>1</v>
      </c>
      <c r="S1674" s="25" t="n">
        <v>2.31</v>
      </c>
      <c r="T1674" s="25" t="n">
        <v>2.24</v>
      </c>
      <c r="U1674" s="42" t="inlineStr">
        <is>
          <t>Tier 1B (Micro Drop, 1-3 km)</t>
        </is>
      </c>
      <c r="V1674" s="24" t="n">
        <v>46.3</v>
      </c>
      <c r="W1674" s="24" t="n">
        <v>100</v>
      </c>
      <c r="X1674" s="24" t="n">
        <v>43</v>
      </c>
      <c r="Y1674" s="45">
        <f>ROUND((V1674*'Methodology &amp; Assumptions'!$B$6)+(W1674*'Methodology &amp; Assumptions'!$B$5)+(X1674*'Methodology &amp; Assumptions'!$B$7), 2)</f>
        <v/>
      </c>
    </row>
    <row r="1675" ht="19" customHeight="1">
      <c r="A1675" s="35" t="n">
        <v>671</v>
      </c>
      <c r="B1675" s="35" t="n">
        <v>4671</v>
      </c>
      <c r="C1675" s="36" t="inlineStr">
        <is>
          <t>0402109015</t>
        </is>
      </c>
      <c r="D1675" s="36" t="inlineStr">
        <is>
          <t>Region IV-A (CALABARZON)</t>
        </is>
      </c>
      <c r="E1675" s="36" t="inlineStr">
        <is>
          <t>Cavite</t>
        </is>
      </c>
      <c r="F1675" s="36" t="inlineStr">
        <is>
          <t>City of Imus</t>
        </is>
      </c>
      <c r="G1675" s="36" t="inlineStr">
        <is>
          <t>Malagasang II-A</t>
        </is>
      </c>
      <c r="H1675" s="37" t="n">
        <v>14.374021</v>
      </c>
      <c r="I1675" s="37" t="n">
        <v>120.928681</v>
      </c>
      <c r="J1675" s="8" t="inlineStr">
        <is>
          <t>U</t>
        </is>
      </c>
      <c r="K1675" s="36" t="inlineStr">
        <is>
          <t>Class 1-3 / Urban</t>
        </is>
      </c>
      <c r="L1675" s="18" t="n">
        <v>16146</v>
      </c>
      <c r="M1675" s="20" t="n">
        <v>4.49</v>
      </c>
      <c r="N1675" s="18">
        <f>ROUND(L1675/M1675, 0)</f>
        <v/>
      </c>
      <c r="O1675" s="18">
        <f>ROUND(N1675*'Methodology &amp; Assumptions'!$B$8, 0)</f>
        <v/>
      </c>
      <c r="P1675" s="8" t="inlineStr">
        <is>
          <t>Band n50 (1.5 GHz, 60 MHz)</t>
        </is>
      </c>
      <c r="Q1675" s="38">
        <f>ROUNDUP(O1675/'Methodology &amp; Assumptions'!$B$9, 0)</f>
        <v/>
      </c>
      <c r="R1675" s="39" t="n">
        <v>1</v>
      </c>
      <c r="S1675" s="21" t="n">
        <v>1.57</v>
      </c>
      <c r="T1675" s="21" t="n">
        <v>6.42</v>
      </c>
      <c r="U1675" s="36" t="inlineStr">
        <is>
          <t>Tier 1B (Micro Drop, 1-3 km)</t>
        </is>
      </c>
      <c r="V1675" s="20" t="n">
        <v>59.2</v>
      </c>
      <c r="W1675" s="20" t="n">
        <v>100</v>
      </c>
      <c r="X1675" s="20" t="n">
        <v>28</v>
      </c>
      <c r="Y1675" s="40">
        <f>ROUND((V1675*'Methodology &amp; Assumptions'!$B$6)+(W1675*'Methodology &amp; Assumptions'!$B$5)+(X1675*'Methodology &amp; Assumptions'!$B$7), 2)</f>
        <v/>
      </c>
    </row>
    <row r="1676" ht="19" customHeight="1">
      <c r="A1676" s="41" t="n">
        <v>672</v>
      </c>
      <c r="B1676" s="41" t="n">
        <v>4672</v>
      </c>
      <c r="C1676" s="42" t="inlineStr">
        <is>
          <t>1004308068</t>
        </is>
      </c>
      <c r="D1676" s="42" t="inlineStr">
        <is>
          <t>Region X (Northern Mindanao)</t>
        </is>
      </c>
      <c r="E1676" s="42" t="inlineStr">
        <is>
          <t>Misamis Oriental</t>
        </is>
      </c>
      <c r="F1676" s="42" t="inlineStr">
        <is>
          <t>City of Gingoog</t>
        </is>
      </c>
      <c r="G1676" s="42" t="inlineStr">
        <is>
          <t>Santiago</t>
        </is>
      </c>
      <c r="H1676" s="43" t="n">
        <v>8.831773999999999</v>
      </c>
      <c r="I1676" s="43" t="n">
        <v>125.130379</v>
      </c>
      <c r="J1676" s="44" t="inlineStr">
        <is>
          <t>R</t>
        </is>
      </c>
      <c r="K1676" s="42" t="inlineStr">
        <is>
          <t>Class 1-3 / Urban</t>
        </is>
      </c>
      <c r="L1676" s="23" t="n">
        <v>3469</v>
      </c>
      <c r="M1676" s="24" t="n">
        <v>4.54</v>
      </c>
      <c r="N1676" s="23">
        <f>ROUND(L1676/M1676, 0)</f>
        <v/>
      </c>
      <c r="O1676" s="23">
        <f>ROUND(N1676*'Methodology &amp; Assumptions'!$B$8, 0)</f>
        <v/>
      </c>
      <c r="P1676" s="44" t="inlineStr">
        <is>
          <t>Band n50 (1.5 GHz, 60 MHz)</t>
        </is>
      </c>
      <c r="Q1676" s="38">
        <f>ROUNDUP(O1676/'Methodology &amp; Assumptions'!$B$9, 0)</f>
        <v/>
      </c>
      <c r="R1676" s="39" t="n">
        <v>1</v>
      </c>
      <c r="S1676" s="25" t="n">
        <v>2.88</v>
      </c>
      <c r="T1676" s="25" t="n">
        <v>0.04</v>
      </c>
      <c r="U1676" s="42" t="inlineStr">
        <is>
          <t>Tier 1B (Micro Drop, 1-3 km)</t>
        </is>
      </c>
      <c r="V1676" s="24" t="n">
        <v>48.3</v>
      </c>
      <c r="W1676" s="24" t="n">
        <v>85.09999999999999</v>
      </c>
      <c r="X1676" s="24" t="n">
        <v>58</v>
      </c>
      <c r="Y1676" s="45">
        <f>ROUND((V1676*'Methodology &amp; Assumptions'!$B$6)+(W1676*'Methodology &amp; Assumptions'!$B$5)+(X1676*'Methodology &amp; Assumptions'!$B$7), 2)</f>
        <v/>
      </c>
    </row>
    <row r="1677" ht="19" customHeight="1">
      <c r="A1677" s="35" t="n">
        <v>673</v>
      </c>
      <c r="B1677" s="35" t="n">
        <v>4673</v>
      </c>
      <c r="C1677" s="36" t="inlineStr">
        <is>
          <t>0831600139</t>
        </is>
      </c>
      <c r="D1677" s="36" t="inlineStr">
        <is>
          <t>Region VIII (Eastern Visayas)</t>
        </is>
      </c>
      <c r="E1677" s="36" t="inlineStr">
        <is>
          <t>Leyte</t>
        </is>
      </c>
      <c r="F1677" s="36" t="inlineStr">
        <is>
          <t>City of Tacloban</t>
        </is>
      </c>
      <c r="G1677" s="36" t="inlineStr">
        <is>
          <t>Barangay 42-A</t>
        </is>
      </c>
      <c r="H1677" s="37" t="n">
        <v>11.240585</v>
      </c>
      <c r="I1677" s="37" t="n">
        <v>124.996771</v>
      </c>
      <c r="J1677" s="8" t="inlineStr">
        <is>
          <t>R</t>
        </is>
      </c>
      <c r="K1677" s="36" t="inlineStr">
        <is>
          <t>Class 1-3 / Urban</t>
        </is>
      </c>
      <c r="L1677" s="18" t="n">
        <v>1504</v>
      </c>
      <c r="M1677" s="20" t="n">
        <v>4.24</v>
      </c>
      <c r="N1677" s="18">
        <f>ROUND(L1677/M1677, 0)</f>
        <v/>
      </c>
      <c r="O1677" s="18">
        <f>ROUND(N1677*'Methodology &amp; Assumptions'!$B$8, 0)</f>
        <v/>
      </c>
      <c r="P1677" s="8" t="inlineStr">
        <is>
          <t>Band n50 (1.5 GHz, 60 MHz)</t>
        </is>
      </c>
      <c r="Q1677" s="38">
        <f>ROUNDUP(O1677/'Methodology &amp; Assumptions'!$B$9, 0)</f>
        <v/>
      </c>
      <c r="R1677" s="39" t="n">
        <v>1</v>
      </c>
      <c r="S1677" s="21" t="n">
        <v>0.63</v>
      </c>
      <c r="T1677" s="21" t="n">
        <v>3.41</v>
      </c>
      <c r="U1677" s="36" t="inlineStr">
        <is>
          <t>Tier 1A (Direct Coloc, &lt;1 km)</t>
        </is>
      </c>
      <c r="V1677" s="20" t="n">
        <v>81.2</v>
      </c>
      <c r="W1677" s="20" t="n">
        <v>52.3</v>
      </c>
      <c r="X1677" s="20" t="n">
        <v>58</v>
      </c>
      <c r="Y1677" s="40">
        <f>ROUND((V1677*'Methodology &amp; Assumptions'!$B$6)+(W1677*'Methodology &amp; Assumptions'!$B$5)+(X1677*'Methodology &amp; Assumptions'!$B$7), 2)</f>
        <v/>
      </c>
    </row>
    <row r="1678" ht="19" customHeight="1">
      <c r="A1678" s="41" t="n">
        <v>674</v>
      </c>
      <c r="B1678" s="41" t="n">
        <v>4674</v>
      </c>
      <c r="C1678" s="42" t="inlineStr">
        <is>
          <t>0403416021</t>
        </is>
      </c>
      <c r="D1678" s="42" t="inlineStr">
        <is>
          <t>Region IV-A (CALABARZON)</t>
        </is>
      </c>
      <c r="E1678" s="42" t="inlineStr">
        <is>
          <t>Laguna</t>
        </is>
      </c>
      <c r="F1678" s="42" t="inlineStr">
        <is>
          <t>Majayjay</t>
        </is>
      </c>
      <c r="G1678" s="42" t="inlineStr">
        <is>
          <t>Malinao</t>
        </is>
      </c>
      <c r="H1678" s="43" t="n">
        <v>14.139465</v>
      </c>
      <c r="I1678" s="43" t="n">
        <v>121.472778</v>
      </c>
      <c r="J1678" s="44" t="inlineStr">
        <is>
          <t>R</t>
        </is>
      </c>
      <c r="K1678" s="42" t="inlineStr">
        <is>
          <t>3rd</t>
        </is>
      </c>
      <c r="L1678" s="23" t="n">
        <v>752</v>
      </c>
      <c r="M1678" s="24" t="n">
        <v>4.18</v>
      </c>
      <c r="N1678" s="23">
        <f>ROUND(L1678/M1678, 0)</f>
        <v/>
      </c>
      <c r="O1678" s="23">
        <f>ROUND(N1678*'Methodology &amp; Assumptions'!$B$8, 0)</f>
        <v/>
      </c>
      <c r="P1678" s="44" t="inlineStr">
        <is>
          <t>Band n50 (1.5 GHz, 60 MHz)</t>
        </is>
      </c>
      <c r="Q1678" s="38">
        <f>ROUNDUP(O1678/'Methodology &amp; Assumptions'!$B$9, 0)</f>
        <v/>
      </c>
      <c r="R1678" s="39" t="n">
        <v>1</v>
      </c>
      <c r="S1678" s="25" t="n">
        <v>0.49</v>
      </c>
      <c r="T1678" s="25" t="n">
        <v>0.32</v>
      </c>
      <c r="U1678" s="42" t="inlineStr">
        <is>
          <t>Tier 1A (Direct Coloc, &lt;1 km)</t>
        </is>
      </c>
      <c r="V1678" s="24" t="n">
        <v>95</v>
      </c>
      <c r="W1678" s="24" t="n">
        <v>38.4</v>
      </c>
      <c r="X1678" s="24" t="n">
        <v>58</v>
      </c>
      <c r="Y1678" s="45">
        <f>ROUND((V1678*'Methodology &amp; Assumptions'!$B$6)+(W1678*'Methodology &amp; Assumptions'!$B$5)+(X1678*'Methodology &amp; Assumptions'!$B$7), 2)</f>
        <v/>
      </c>
    </row>
    <row r="1679" ht="19" customHeight="1">
      <c r="A1679" s="35" t="n">
        <v>675</v>
      </c>
      <c r="B1679" s="35" t="n">
        <v>4675</v>
      </c>
      <c r="C1679" s="36" t="inlineStr">
        <is>
          <t>0403404011</t>
        </is>
      </c>
      <c r="D1679" s="36" t="inlineStr">
        <is>
          <t>Region IV-A (CALABARZON)</t>
        </is>
      </c>
      <c r="E1679" s="36" t="inlineStr">
        <is>
          <t>Laguna</t>
        </is>
      </c>
      <c r="F1679" s="36" t="inlineStr">
        <is>
          <t>City of Cabuyao</t>
        </is>
      </c>
      <c r="G1679" s="36" t="inlineStr">
        <is>
          <t>Niugan</t>
        </is>
      </c>
      <c r="H1679" s="37" t="n">
        <v>14.264128</v>
      </c>
      <c r="I1679" s="37" t="n">
        <v>121.127412</v>
      </c>
      <c r="J1679" s="8" t="inlineStr">
        <is>
          <t>U</t>
        </is>
      </c>
      <c r="K1679" s="36" t="inlineStr">
        <is>
          <t>Class 1-3 / Urban</t>
        </is>
      </c>
      <c r="L1679" s="18" t="n">
        <v>38576</v>
      </c>
      <c r="M1679" s="20" t="n">
        <v>4.2</v>
      </c>
      <c r="N1679" s="18">
        <f>ROUND(L1679/M1679, 0)</f>
        <v/>
      </c>
      <c r="O1679" s="18">
        <f>ROUND(N1679*'Methodology &amp; Assumptions'!$B$8, 0)</f>
        <v/>
      </c>
      <c r="P1679" s="8" t="inlineStr">
        <is>
          <t>Band n50 (1.5 GHz, 60 MHz)</t>
        </is>
      </c>
      <c r="Q1679" s="38">
        <f>ROUNDUP(O1679/'Methodology &amp; Assumptions'!$B$9, 0)</f>
        <v/>
      </c>
      <c r="R1679" s="39" t="n">
        <v>1</v>
      </c>
      <c r="S1679" s="21" t="n">
        <v>2.01</v>
      </c>
      <c r="T1679" s="21" t="n">
        <v>0.37</v>
      </c>
      <c r="U1679" s="36" t="inlineStr">
        <is>
          <t>Tier 1B (Micro Drop, 1-3 km)</t>
        </is>
      </c>
      <c r="V1679" s="20" t="n">
        <v>61.2</v>
      </c>
      <c r="W1679" s="20" t="n">
        <v>97.90000000000001</v>
      </c>
      <c r="X1679" s="20" t="n">
        <v>28</v>
      </c>
      <c r="Y1679" s="40">
        <f>ROUND((V1679*'Methodology &amp; Assumptions'!$B$6)+(W1679*'Methodology &amp; Assumptions'!$B$5)+(X1679*'Methodology &amp; Assumptions'!$B$7), 2)</f>
        <v/>
      </c>
    </row>
    <row r="1680" ht="19" customHeight="1">
      <c r="A1680" s="41" t="n">
        <v>676</v>
      </c>
      <c r="B1680" s="41" t="n">
        <v>4676</v>
      </c>
      <c r="C1680" s="42" t="inlineStr">
        <is>
          <t>0203124022</t>
        </is>
      </c>
      <c r="D1680" s="42" t="inlineStr">
        <is>
          <t>Region II (Cagayan Valley)</t>
        </is>
      </c>
      <c r="E1680" s="42" t="inlineStr">
        <is>
          <t>Isabela</t>
        </is>
      </c>
      <c r="F1680" s="42" t="inlineStr">
        <is>
          <t>Ramon</t>
        </is>
      </c>
      <c r="G1680" s="42" t="inlineStr">
        <is>
          <t>Bugallon Proper</t>
        </is>
      </c>
      <c r="H1680" s="43" t="n">
        <v>16.782996</v>
      </c>
      <c r="I1680" s="43" t="n">
        <v>121.545564</v>
      </c>
      <c r="J1680" s="44" t="inlineStr">
        <is>
          <t>U</t>
        </is>
      </c>
      <c r="K1680" s="42" t="inlineStr">
        <is>
          <t>Class 1-3 / Urban</t>
        </is>
      </c>
      <c r="L1680" s="23" t="n">
        <v>7335</v>
      </c>
      <c r="M1680" s="24" t="n">
        <v>4.3</v>
      </c>
      <c r="N1680" s="23">
        <f>ROUND(L1680/M1680, 0)</f>
        <v/>
      </c>
      <c r="O1680" s="23">
        <f>ROUND(N1680*'Methodology &amp; Assumptions'!$B$8, 0)</f>
        <v/>
      </c>
      <c r="P1680" s="44" t="inlineStr">
        <is>
          <t>Band n50 (1.5 GHz, 60 MHz)</t>
        </is>
      </c>
      <c r="Q1680" s="38">
        <f>ROUNDUP(O1680/'Methodology &amp; Assumptions'!$B$9, 0)</f>
        <v/>
      </c>
      <c r="R1680" s="39" t="n">
        <v>1</v>
      </c>
      <c r="S1680" s="25" t="n">
        <v>1.58</v>
      </c>
      <c r="T1680" s="25" t="n">
        <v>9.68</v>
      </c>
      <c r="U1680" s="42" t="inlineStr">
        <is>
          <t>Tier 1B (Micro Drop, 1-3 km)</t>
        </is>
      </c>
      <c r="V1680" s="24" t="n">
        <v>59.2</v>
      </c>
      <c r="W1680" s="24" t="n">
        <v>100</v>
      </c>
      <c r="X1680" s="24" t="n">
        <v>28</v>
      </c>
      <c r="Y1680" s="45">
        <f>ROUND((V1680*'Methodology &amp; Assumptions'!$B$6)+(W1680*'Methodology &amp; Assumptions'!$B$5)+(X1680*'Methodology &amp; Assumptions'!$B$7), 2)</f>
        <v/>
      </c>
    </row>
    <row r="1681" ht="19" customHeight="1">
      <c r="A1681" s="35" t="n">
        <v>677</v>
      </c>
      <c r="B1681" s="35" t="n">
        <v>4677</v>
      </c>
      <c r="C1681" s="36" t="inlineStr">
        <is>
          <t>0201524009</t>
        </is>
      </c>
      <c r="D1681" s="36" t="inlineStr">
        <is>
          <t>Region II (Cagayan Valley)</t>
        </is>
      </c>
      <c r="E1681" s="36" t="inlineStr">
        <is>
          <t>Cagayan</t>
        </is>
      </c>
      <c r="F1681" s="36" t="inlineStr">
        <is>
          <t>Santa Praxedes</t>
        </is>
      </c>
      <c r="G1681" s="36" t="inlineStr">
        <is>
          <t>San Juan</t>
        </is>
      </c>
      <c r="H1681" s="37" t="n">
        <v>18.573373</v>
      </c>
      <c r="I1681" s="37" t="n">
        <v>120.990398</v>
      </c>
      <c r="J1681" s="8" t="inlineStr">
        <is>
          <t>R</t>
        </is>
      </c>
      <c r="K1681" s="36" t="inlineStr">
        <is>
          <t>5th</t>
        </is>
      </c>
      <c r="L1681" s="18" t="n">
        <v>520</v>
      </c>
      <c r="M1681" s="20" t="n">
        <v>4.23</v>
      </c>
      <c r="N1681" s="18">
        <f>ROUND(L1681/M1681, 0)</f>
        <v/>
      </c>
      <c r="O1681" s="18">
        <f>ROUND(N1681*'Methodology &amp; Assumptions'!$B$8, 0)</f>
        <v/>
      </c>
      <c r="P1681" s="8" t="inlineStr">
        <is>
          <t>Band n50 (1.5 GHz, 60 MHz)</t>
        </is>
      </c>
      <c r="Q1681" s="38">
        <f>ROUNDUP(O1681/'Methodology &amp; Assumptions'!$B$9, 0)</f>
        <v/>
      </c>
      <c r="R1681" s="39" t="n">
        <v>1</v>
      </c>
      <c r="S1681" s="21" t="n">
        <v>1.35</v>
      </c>
      <c r="T1681" s="21" t="n">
        <v>0.04</v>
      </c>
      <c r="U1681" s="36" t="inlineStr">
        <is>
          <t>Tier 1B (Micro Drop, 1-3 km)</t>
        </is>
      </c>
      <c r="V1681" s="20" t="n">
        <v>73.8</v>
      </c>
      <c r="W1681" s="20" t="n">
        <v>33.9</v>
      </c>
      <c r="X1681" s="20" t="n">
        <v>88</v>
      </c>
      <c r="Y1681" s="40">
        <f>ROUND((V1681*'Methodology &amp; Assumptions'!$B$6)+(W1681*'Methodology &amp; Assumptions'!$B$5)+(X1681*'Methodology &amp; Assumptions'!$B$7), 2)</f>
        <v/>
      </c>
    </row>
    <row r="1682" ht="19" customHeight="1">
      <c r="A1682" s="41" t="n">
        <v>678</v>
      </c>
      <c r="B1682" s="41" t="n">
        <v>4678</v>
      </c>
      <c r="C1682" s="42" t="inlineStr">
        <is>
          <t>0603012019</t>
        </is>
      </c>
      <c r="D1682" s="42" t="inlineStr">
        <is>
          <t>Region VI (Western Visayas)</t>
        </is>
      </c>
      <c r="E1682" s="42" t="inlineStr">
        <is>
          <t>Iloilo</t>
        </is>
      </c>
      <c r="F1682" s="42" t="inlineStr">
        <is>
          <t>Cabatuan</t>
        </is>
      </c>
      <c r="G1682" s="42" t="inlineStr">
        <is>
          <t>Gines Patag</t>
        </is>
      </c>
      <c r="H1682" s="43" t="n">
        <v>10.936245</v>
      </c>
      <c r="I1682" s="43" t="n">
        <v>122.48998</v>
      </c>
      <c r="J1682" s="44" t="inlineStr">
        <is>
          <t>R</t>
        </is>
      </c>
      <c r="K1682" s="42" t="inlineStr">
        <is>
          <t>Class 1-3 / Urban</t>
        </is>
      </c>
      <c r="L1682" s="23" t="n">
        <v>2503</v>
      </c>
      <c r="M1682" s="24" t="n">
        <v>4.39</v>
      </c>
      <c r="N1682" s="23">
        <f>ROUND(L1682/M1682, 0)</f>
        <v/>
      </c>
      <c r="O1682" s="23">
        <f>ROUND(N1682*'Methodology &amp; Assumptions'!$B$8, 0)</f>
        <v/>
      </c>
      <c r="P1682" s="44" t="inlineStr">
        <is>
          <t>Band n50 (1.5 GHz, 60 MHz)</t>
        </is>
      </c>
      <c r="Q1682" s="38">
        <f>ROUNDUP(O1682/'Methodology &amp; Assumptions'!$B$9, 0)</f>
        <v/>
      </c>
      <c r="R1682" s="39" t="n">
        <v>1</v>
      </c>
      <c r="S1682" s="25" t="n">
        <v>2.68</v>
      </c>
      <c r="T1682" s="25" t="n">
        <v>0.35</v>
      </c>
      <c r="U1682" s="42" t="inlineStr">
        <is>
          <t>Tier 1B (Micro Drop, 1-3 km)</t>
        </is>
      </c>
      <c r="V1682" s="24" t="n">
        <v>51</v>
      </c>
      <c r="W1682" s="24" t="n">
        <v>69.59999999999999</v>
      </c>
      <c r="X1682" s="24" t="n">
        <v>73</v>
      </c>
      <c r="Y1682" s="45">
        <f>ROUND((V1682*'Methodology &amp; Assumptions'!$B$6)+(W1682*'Methodology &amp; Assumptions'!$B$5)+(X1682*'Methodology &amp; Assumptions'!$B$7), 2)</f>
        <v/>
      </c>
    </row>
    <row r="1683" ht="19" customHeight="1">
      <c r="A1683" s="35" t="n">
        <v>679</v>
      </c>
      <c r="B1683" s="35" t="n">
        <v>4679</v>
      </c>
      <c r="C1683" s="36" t="inlineStr">
        <is>
          <t>0300804042</t>
        </is>
      </c>
      <c r="D1683" s="36" t="inlineStr">
        <is>
          <t>Region III (Central Luzon)</t>
        </is>
      </c>
      <c r="E1683" s="36" t="inlineStr">
        <is>
          <t>Bataan</t>
        </is>
      </c>
      <c r="F1683" s="36" t="inlineStr">
        <is>
          <t>Dinalupihan</t>
        </is>
      </c>
      <c r="G1683" s="36" t="inlineStr">
        <is>
          <t>Tucop</t>
        </is>
      </c>
      <c r="H1683" s="37" t="n">
        <v>14.902725</v>
      </c>
      <c r="I1683" s="37" t="n">
        <v>120.47682</v>
      </c>
      <c r="J1683" s="8" t="inlineStr">
        <is>
          <t>R</t>
        </is>
      </c>
      <c r="K1683" s="36" t="inlineStr">
        <is>
          <t>Class 1-3 / Urban</t>
        </is>
      </c>
      <c r="L1683" s="18" t="n">
        <v>4580</v>
      </c>
      <c r="M1683" s="20" t="n">
        <v>4.57</v>
      </c>
      <c r="N1683" s="18">
        <f>ROUND(L1683/M1683, 0)</f>
        <v/>
      </c>
      <c r="O1683" s="18">
        <f>ROUND(N1683*'Methodology &amp; Assumptions'!$B$8, 0)</f>
        <v/>
      </c>
      <c r="P1683" s="8" t="inlineStr">
        <is>
          <t>Band n50 (1.5 GHz, 60 MHz)</t>
        </is>
      </c>
      <c r="Q1683" s="38">
        <f>ROUNDUP(O1683/'Methodology &amp; Assumptions'!$B$9, 0)</f>
        <v/>
      </c>
      <c r="R1683" s="39" t="n">
        <v>1</v>
      </c>
      <c r="S1683" s="21" t="n">
        <v>4.36</v>
      </c>
      <c r="T1683" s="21" t="n">
        <v>0.3</v>
      </c>
      <c r="U1683" s="36" t="inlineStr">
        <is>
          <t>Tier 2 (Fiber Corridor / Lateral, 3-5 km)</t>
        </is>
      </c>
      <c r="V1683" s="20" t="n">
        <v>33.4</v>
      </c>
      <c r="W1683" s="20" t="n">
        <v>100</v>
      </c>
      <c r="X1683" s="20" t="n">
        <v>58</v>
      </c>
      <c r="Y1683" s="40">
        <f>ROUND((V1683*'Methodology &amp; Assumptions'!$B$6)+(W1683*'Methodology &amp; Assumptions'!$B$5)+(X1683*'Methodology &amp; Assumptions'!$B$7), 2)</f>
        <v/>
      </c>
    </row>
    <row r="1684" ht="19" customHeight="1">
      <c r="A1684" s="41" t="n">
        <v>680</v>
      </c>
      <c r="B1684" s="41" t="n">
        <v>4680</v>
      </c>
      <c r="C1684" s="42" t="inlineStr">
        <is>
          <t>0301415020</t>
        </is>
      </c>
      <c r="D1684" s="42" t="inlineStr">
        <is>
          <t>Region III (Central Luzon)</t>
        </is>
      </c>
      <c r="E1684" s="42" t="inlineStr">
        <is>
          <t>Bulacan</t>
        </is>
      </c>
      <c r="F1684" s="42" t="inlineStr">
        <is>
          <t>Pandi</t>
        </is>
      </c>
      <c r="G1684" s="42" t="inlineStr">
        <is>
          <t>Siling Matanda</t>
        </is>
      </c>
      <c r="H1684" s="43" t="n">
        <v>14.904064</v>
      </c>
      <c r="I1684" s="43" t="n">
        <v>120.989509</v>
      </c>
      <c r="J1684" s="44" t="inlineStr">
        <is>
          <t>R</t>
        </is>
      </c>
      <c r="K1684" s="42" t="inlineStr">
        <is>
          <t>Class 1-3 / Urban</t>
        </is>
      </c>
      <c r="L1684" s="23" t="n">
        <v>3560</v>
      </c>
      <c r="M1684" s="24" t="n">
        <v>4.1</v>
      </c>
      <c r="N1684" s="23">
        <f>ROUND(L1684/M1684, 0)</f>
        <v/>
      </c>
      <c r="O1684" s="23">
        <f>ROUND(N1684*'Methodology &amp; Assumptions'!$B$8, 0)</f>
        <v/>
      </c>
      <c r="P1684" s="44" t="inlineStr">
        <is>
          <t>Band n50 (1.5 GHz, 60 MHz)</t>
        </is>
      </c>
      <c r="Q1684" s="38">
        <f>ROUNDUP(O1684/'Methodology &amp; Assumptions'!$B$9, 0)</f>
        <v/>
      </c>
      <c r="R1684" s="39" t="n">
        <v>1</v>
      </c>
      <c r="S1684" s="25" t="n">
        <v>2.74</v>
      </c>
      <c r="T1684" s="25" t="n">
        <v>2.61</v>
      </c>
      <c r="U1684" s="42" t="inlineStr">
        <is>
          <t>Tier 1B (Micro Drop, 1-3 km)</t>
        </is>
      </c>
      <c r="V1684" s="24" t="n">
        <v>40.1</v>
      </c>
      <c r="W1684" s="24" t="n">
        <v>93.3</v>
      </c>
      <c r="X1684" s="24" t="n">
        <v>58</v>
      </c>
      <c r="Y1684" s="45">
        <f>ROUND((V1684*'Methodology &amp; Assumptions'!$B$6)+(W1684*'Methodology &amp; Assumptions'!$B$5)+(X1684*'Methodology &amp; Assumptions'!$B$7), 2)</f>
        <v/>
      </c>
    </row>
    <row r="1685" ht="19" customHeight="1">
      <c r="A1685" s="35" t="n">
        <v>681</v>
      </c>
      <c r="B1685" s="35" t="n">
        <v>4681</v>
      </c>
      <c r="C1685" s="36" t="inlineStr">
        <is>
          <t>0405607042</t>
        </is>
      </c>
      <c r="D1685" s="36" t="inlineStr">
        <is>
          <t>Region IV-A (CALABARZON)</t>
        </is>
      </c>
      <c r="E1685" s="36" t="inlineStr">
        <is>
          <t>Quezon</t>
        </is>
      </c>
      <c r="F1685" s="36" t="inlineStr">
        <is>
          <t>Calauag</t>
        </is>
      </c>
      <c r="G1685" s="36" t="inlineStr">
        <is>
          <t>Lagay</t>
        </is>
      </c>
      <c r="H1685" s="37" t="n">
        <v>14.090626</v>
      </c>
      <c r="I1685" s="37" t="n">
        <v>122.214765</v>
      </c>
      <c r="J1685" s="8" t="inlineStr">
        <is>
          <t>R</t>
        </is>
      </c>
      <c r="K1685" s="36" t="inlineStr">
        <is>
          <t>Class 1-3 / Urban</t>
        </is>
      </c>
      <c r="L1685" s="18" t="n">
        <v>819</v>
      </c>
      <c r="M1685" s="20" t="n">
        <v>4.46</v>
      </c>
      <c r="N1685" s="18">
        <f>ROUND(L1685/M1685, 0)</f>
        <v/>
      </c>
      <c r="O1685" s="18">
        <f>ROUND(N1685*'Methodology &amp; Assumptions'!$B$8, 0)</f>
        <v/>
      </c>
      <c r="P1685" s="8" t="inlineStr">
        <is>
          <t>Band n50 (1.5 GHz, 60 MHz)</t>
        </is>
      </c>
      <c r="Q1685" s="38">
        <f>ROUNDUP(O1685/'Methodology &amp; Assumptions'!$B$9, 0)</f>
        <v/>
      </c>
      <c r="R1685" s="39" t="n">
        <v>1</v>
      </c>
      <c r="S1685" s="21" t="n">
        <v>0.16</v>
      </c>
      <c r="T1685" s="21" t="n">
        <v>14.48</v>
      </c>
      <c r="U1685" s="36" t="inlineStr">
        <is>
          <t>Tier 1A (Direct Coloc, &lt;1 km)</t>
        </is>
      </c>
      <c r="V1685" s="20" t="n">
        <v>94.7</v>
      </c>
      <c r="W1685" s="20" t="n">
        <v>38.7</v>
      </c>
      <c r="X1685" s="20" t="n">
        <v>58</v>
      </c>
      <c r="Y1685" s="40">
        <f>ROUND((V1685*'Methodology &amp; Assumptions'!$B$6)+(W1685*'Methodology &amp; Assumptions'!$B$5)+(X1685*'Methodology &amp; Assumptions'!$B$7), 2)</f>
        <v/>
      </c>
    </row>
    <row r="1686" ht="19" customHeight="1">
      <c r="A1686" s="41" t="n">
        <v>682</v>
      </c>
      <c r="B1686" s="41" t="n">
        <v>4682</v>
      </c>
      <c r="C1686" s="42" t="inlineStr">
        <is>
          <t>1102401015</t>
        </is>
      </c>
      <c r="D1686" s="42" t="inlineStr">
        <is>
          <t>Region XI (Davao Region)</t>
        </is>
      </c>
      <c r="E1686" s="42" t="inlineStr">
        <is>
          <t>Davao del Sur</t>
        </is>
      </c>
      <c r="F1686" s="42" t="inlineStr">
        <is>
          <t>Bansalan</t>
        </is>
      </c>
      <c r="G1686" s="42" t="inlineStr">
        <is>
          <t>Managa</t>
        </is>
      </c>
      <c r="H1686" s="43" t="n">
        <v>6.82068</v>
      </c>
      <c r="I1686" s="43" t="n">
        <v>125.237359</v>
      </c>
      <c r="J1686" s="44" t="inlineStr">
        <is>
          <t>R</t>
        </is>
      </c>
      <c r="K1686" s="42" t="inlineStr">
        <is>
          <t>Class 1-3 / Urban</t>
        </is>
      </c>
      <c r="L1686" s="23" t="n">
        <v>4896</v>
      </c>
      <c r="M1686" s="24" t="n">
        <v>4.1</v>
      </c>
      <c r="N1686" s="23">
        <f>ROUND(L1686/M1686, 0)</f>
        <v/>
      </c>
      <c r="O1686" s="23">
        <f>ROUND(N1686*'Methodology &amp; Assumptions'!$B$8, 0)</f>
        <v/>
      </c>
      <c r="P1686" s="44" t="inlineStr">
        <is>
          <t>Band n50 (1.5 GHz, 60 MHz)</t>
        </is>
      </c>
      <c r="Q1686" s="38">
        <f>ROUNDUP(O1686/'Methodology &amp; Assumptions'!$B$9, 0)</f>
        <v/>
      </c>
      <c r="R1686" s="39" t="n">
        <v>1</v>
      </c>
      <c r="S1686" s="25" t="n">
        <v>4.75</v>
      </c>
      <c r="T1686" s="25" t="n">
        <v>15.36</v>
      </c>
      <c r="U1686" s="42" t="inlineStr">
        <is>
          <t>Tier 2 (Fiber Corridor / Lateral, 3-5 km)</t>
        </is>
      </c>
      <c r="V1686" s="24" t="n">
        <v>20.5</v>
      </c>
      <c r="W1686" s="24" t="n">
        <v>100</v>
      </c>
      <c r="X1686" s="24" t="n">
        <v>73</v>
      </c>
      <c r="Y1686" s="45">
        <f>ROUND((V1686*'Methodology &amp; Assumptions'!$B$6)+(W1686*'Methodology &amp; Assumptions'!$B$5)+(X1686*'Methodology &amp; Assumptions'!$B$7), 2)</f>
        <v/>
      </c>
    </row>
    <row r="1687" ht="19" customHeight="1">
      <c r="A1687" s="35" t="n">
        <v>683</v>
      </c>
      <c r="B1687" s="35" t="n">
        <v>4683</v>
      </c>
      <c r="C1687" s="36" t="inlineStr">
        <is>
          <t>0501706027</t>
        </is>
      </c>
      <c r="D1687" s="36" t="inlineStr">
        <is>
          <t>Region V (Bicol Region)</t>
        </is>
      </c>
      <c r="E1687" s="36" t="inlineStr">
        <is>
          <t>Camarines Sur</t>
        </is>
      </c>
      <c r="F1687" s="36" t="inlineStr">
        <is>
          <t>Bula</t>
        </is>
      </c>
      <c r="G1687" s="36" t="inlineStr">
        <is>
          <t>San Miguel</t>
        </is>
      </c>
      <c r="H1687" s="37" t="n">
        <v>13.481358</v>
      </c>
      <c r="I1687" s="37" t="n">
        <v>123.269578</v>
      </c>
      <c r="J1687" s="8" t="inlineStr">
        <is>
          <t>R</t>
        </is>
      </c>
      <c r="K1687" s="36" t="inlineStr">
        <is>
          <t>Class 1-3 / Urban</t>
        </is>
      </c>
      <c r="L1687" s="18" t="n">
        <v>2941</v>
      </c>
      <c r="M1687" s="20" t="n">
        <v>4.9</v>
      </c>
      <c r="N1687" s="18">
        <f>ROUND(L1687/M1687, 0)</f>
        <v/>
      </c>
      <c r="O1687" s="18">
        <f>ROUND(N1687*'Methodology &amp; Assumptions'!$B$8, 0)</f>
        <v/>
      </c>
      <c r="P1687" s="8" t="inlineStr">
        <is>
          <t>Band n50 (1.5 GHz, 60 MHz)</t>
        </is>
      </c>
      <c r="Q1687" s="38">
        <f>ROUNDUP(O1687/'Methodology &amp; Assumptions'!$B$9, 0)</f>
        <v/>
      </c>
      <c r="R1687" s="39" t="n">
        <v>1</v>
      </c>
      <c r="S1687" s="21" t="n">
        <v>1.46</v>
      </c>
      <c r="T1687" s="21" t="n">
        <v>4.97</v>
      </c>
      <c r="U1687" s="36" t="inlineStr">
        <is>
          <t>Tier 1B (Micro Drop, 1-3 km)</t>
        </is>
      </c>
      <c r="V1687" s="20" t="n">
        <v>61.4</v>
      </c>
      <c r="W1687" s="20" t="n">
        <v>72</v>
      </c>
      <c r="X1687" s="20" t="n">
        <v>58</v>
      </c>
      <c r="Y1687" s="40">
        <f>ROUND((V1687*'Methodology &amp; Assumptions'!$B$6)+(W1687*'Methodology &amp; Assumptions'!$B$5)+(X1687*'Methodology &amp; Assumptions'!$B$7), 2)</f>
        <v/>
      </c>
    </row>
    <row r="1688" ht="19" customHeight="1">
      <c r="A1688" s="41" t="n">
        <v>684</v>
      </c>
      <c r="B1688" s="41" t="n">
        <v>4684</v>
      </c>
      <c r="C1688" s="42" t="inlineStr">
        <is>
          <t>0301420051</t>
        </is>
      </c>
      <c r="D1688" s="42" t="inlineStr">
        <is>
          <t>Region III (Central Luzon)</t>
        </is>
      </c>
      <c r="E1688" s="42" t="inlineStr">
        <is>
          <t>Bulacan</t>
        </is>
      </c>
      <c r="F1688" s="42" t="inlineStr">
        <is>
          <t>City of San Jose Del Monte</t>
        </is>
      </c>
      <c r="G1688" s="42" t="inlineStr">
        <is>
          <t>San Rafael IV</t>
        </is>
      </c>
      <c r="H1688" s="43" t="n">
        <v>14.854353</v>
      </c>
      <c r="I1688" s="43" t="n">
        <v>121.044417</v>
      </c>
      <c r="J1688" s="44" t="inlineStr">
        <is>
          <t>U</t>
        </is>
      </c>
      <c r="K1688" s="42" t="inlineStr">
        <is>
          <t>Class 1-3 / Urban</t>
        </is>
      </c>
      <c r="L1688" s="23" t="n">
        <v>6447</v>
      </c>
      <c r="M1688" s="24" t="n">
        <v>4.1</v>
      </c>
      <c r="N1688" s="23">
        <f>ROUND(L1688/M1688, 0)</f>
        <v/>
      </c>
      <c r="O1688" s="23">
        <f>ROUND(N1688*'Methodology &amp; Assumptions'!$B$8, 0)</f>
        <v/>
      </c>
      <c r="P1688" s="44" t="inlineStr">
        <is>
          <t>Band n50 (1.5 GHz, 60 MHz)</t>
        </is>
      </c>
      <c r="Q1688" s="38">
        <f>ROUNDUP(O1688/'Methodology &amp; Assumptions'!$B$9, 0)</f>
        <v/>
      </c>
      <c r="R1688" s="39" t="n">
        <v>1</v>
      </c>
      <c r="S1688" s="25" t="n">
        <v>1.58</v>
      </c>
      <c r="T1688" s="25" t="n">
        <v>2.67</v>
      </c>
      <c r="U1688" s="42" t="inlineStr">
        <is>
          <t>Tier 1B (Micro Drop, 1-3 km)</t>
        </is>
      </c>
      <c r="V1688" s="24" t="n">
        <v>59.1</v>
      </c>
      <c r="W1688" s="24" t="n">
        <v>100</v>
      </c>
      <c r="X1688" s="24" t="n">
        <v>28</v>
      </c>
      <c r="Y1688" s="45">
        <f>ROUND((V1688*'Methodology &amp; Assumptions'!$B$6)+(W1688*'Methodology &amp; Assumptions'!$B$5)+(X1688*'Methodology &amp; Assumptions'!$B$7), 2)</f>
        <v/>
      </c>
    </row>
    <row r="1689" ht="19" customHeight="1">
      <c r="A1689" s="35" t="n">
        <v>685</v>
      </c>
      <c r="B1689" s="35" t="n">
        <v>4685</v>
      </c>
      <c r="C1689" s="36" t="inlineStr">
        <is>
          <t>0702241002</t>
        </is>
      </c>
      <c r="D1689" s="36" t="inlineStr">
        <is>
          <t>Region VII (Central Visayas)</t>
        </is>
      </c>
      <c r="E1689" s="36" t="inlineStr">
        <is>
          <t>Cebu</t>
        </is>
      </c>
      <c r="F1689" s="36" t="inlineStr">
        <is>
          <t>San Fernando</t>
        </is>
      </c>
      <c r="G1689" s="36" t="inlineStr">
        <is>
          <t>Balud</t>
        </is>
      </c>
      <c r="H1689" s="37" t="n">
        <v>10.148135</v>
      </c>
      <c r="I1689" s="37" t="n">
        <v>123.694854</v>
      </c>
      <c r="J1689" s="8" t="inlineStr">
        <is>
          <t>U</t>
        </is>
      </c>
      <c r="K1689" s="36" t="inlineStr">
        <is>
          <t>Class 1-3 / Urban</t>
        </is>
      </c>
      <c r="L1689" s="18" t="n">
        <v>4950</v>
      </c>
      <c r="M1689" s="20" t="n">
        <v>4.42</v>
      </c>
      <c r="N1689" s="18">
        <f>ROUND(L1689/M1689, 0)</f>
        <v/>
      </c>
      <c r="O1689" s="18">
        <f>ROUND(N1689*'Methodology &amp; Assumptions'!$B$8, 0)</f>
        <v/>
      </c>
      <c r="P1689" s="8" t="inlineStr">
        <is>
          <t>Band n50 (1.5 GHz, 60 MHz)</t>
        </is>
      </c>
      <c r="Q1689" s="38">
        <f>ROUNDUP(O1689/'Methodology &amp; Assumptions'!$B$9, 0)</f>
        <v/>
      </c>
      <c r="R1689" s="39" t="n">
        <v>1</v>
      </c>
      <c r="S1689" s="21" t="n">
        <v>2.13</v>
      </c>
      <c r="T1689" s="21" t="n">
        <v>0.16</v>
      </c>
      <c r="U1689" s="36" t="inlineStr">
        <is>
          <t>Tier 1B (Micro Drop, 1-3 km)</t>
        </is>
      </c>
      <c r="V1689" s="20" t="n">
        <v>59.1</v>
      </c>
      <c r="W1689" s="20" t="n">
        <v>100</v>
      </c>
      <c r="X1689" s="20" t="n">
        <v>28</v>
      </c>
      <c r="Y1689" s="40">
        <f>ROUND((V1689*'Methodology &amp; Assumptions'!$B$6)+(W1689*'Methodology &amp; Assumptions'!$B$5)+(X1689*'Methodology &amp; Assumptions'!$B$7), 2)</f>
        <v/>
      </c>
    </row>
    <row r="1690" ht="19" customHeight="1">
      <c r="A1690" s="41" t="n">
        <v>686</v>
      </c>
      <c r="B1690" s="41" t="n">
        <v>4686</v>
      </c>
      <c r="C1690" s="42" t="inlineStr">
        <is>
          <t>0704603016</t>
        </is>
      </c>
      <c r="D1690" s="42" t="inlineStr">
        <is>
          <t>Region VII (Central Visayas)</t>
        </is>
      </c>
      <c r="E1690" s="42" t="inlineStr">
        <is>
          <t>Negros Oriental</t>
        </is>
      </c>
      <c r="F1690" s="42" t="inlineStr">
        <is>
          <t>Bacong</t>
        </is>
      </c>
      <c r="G1690" s="42" t="inlineStr">
        <is>
          <t>San Miguel</t>
        </is>
      </c>
      <c r="H1690" s="43" t="n">
        <v>9.225391</v>
      </c>
      <c r="I1690" s="43" t="n">
        <v>123.283163</v>
      </c>
      <c r="J1690" s="44" t="inlineStr">
        <is>
          <t>U</t>
        </is>
      </c>
      <c r="K1690" s="42" t="inlineStr">
        <is>
          <t>2nd</t>
        </is>
      </c>
      <c r="L1690" s="23" t="n">
        <v>4762</v>
      </c>
      <c r="M1690" s="24" t="n">
        <v>4.41</v>
      </c>
      <c r="N1690" s="23">
        <f>ROUND(L1690/M1690, 0)</f>
        <v/>
      </c>
      <c r="O1690" s="23">
        <f>ROUND(N1690*'Methodology &amp; Assumptions'!$B$8, 0)</f>
        <v/>
      </c>
      <c r="P1690" s="44" t="inlineStr">
        <is>
          <t>Band n50 (1.5 GHz, 60 MHz)</t>
        </is>
      </c>
      <c r="Q1690" s="38">
        <f>ROUNDUP(O1690/'Methodology &amp; Assumptions'!$B$9, 0)</f>
        <v/>
      </c>
      <c r="R1690" s="39" t="n">
        <v>1</v>
      </c>
      <c r="S1690" s="25" t="n">
        <v>2.14</v>
      </c>
      <c r="T1690" s="25" t="n">
        <v>1.97</v>
      </c>
      <c r="U1690" s="42" t="inlineStr">
        <is>
          <t>Tier 1B (Micro Drop, 1-3 km)</t>
        </is>
      </c>
      <c r="V1690" s="24" t="n">
        <v>59.1</v>
      </c>
      <c r="W1690" s="24" t="n">
        <v>100</v>
      </c>
      <c r="X1690" s="24" t="n">
        <v>28</v>
      </c>
      <c r="Y1690" s="45">
        <f>ROUND((V1690*'Methodology &amp; Assumptions'!$B$6)+(W1690*'Methodology &amp; Assumptions'!$B$5)+(X1690*'Methodology &amp; Assumptions'!$B$7), 2)</f>
        <v/>
      </c>
    </row>
    <row r="1691" ht="19" customHeight="1">
      <c r="A1691" s="35" t="n">
        <v>687</v>
      </c>
      <c r="B1691" s="35" t="n">
        <v>4687</v>
      </c>
      <c r="C1691" s="36" t="inlineStr">
        <is>
          <t>0205004012</t>
        </is>
      </c>
      <c r="D1691" s="36" t="inlineStr">
        <is>
          <t>Region II (Cagayan Valley)</t>
        </is>
      </c>
      <c r="E1691" s="36" t="inlineStr">
        <is>
          <t>Nueva Vizcaya</t>
        </is>
      </c>
      <c r="F1691" s="36" t="inlineStr">
        <is>
          <t>Bambang</t>
        </is>
      </c>
      <c r="G1691" s="36" t="inlineStr">
        <is>
          <t>Homestead</t>
        </is>
      </c>
      <c r="H1691" s="37" t="n">
        <v>16.391828</v>
      </c>
      <c r="I1691" s="37" t="n">
        <v>121.107135</v>
      </c>
      <c r="J1691" s="8" t="inlineStr">
        <is>
          <t>U</t>
        </is>
      </c>
      <c r="K1691" s="36" t="inlineStr">
        <is>
          <t>Class 1-3 / Urban</t>
        </is>
      </c>
      <c r="L1691" s="18" t="n">
        <v>3935</v>
      </c>
      <c r="M1691" s="20" t="n">
        <v>4.19</v>
      </c>
      <c r="N1691" s="18">
        <f>ROUND(L1691/M1691, 0)</f>
        <v/>
      </c>
      <c r="O1691" s="18">
        <f>ROUND(N1691*'Methodology &amp; Assumptions'!$B$8, 0)</f>
        <v/>
      </c>
      <c r="P1691" s="8" t="inlineStr">
        <is>
          <t>Band n50 (1.5 GHz, 60 MHz)</t>
        </is>
      </c>
      <c r="Q1691" s="38">
        <f>ROUNDUP(O1691/'Methodology &amp; Assumptions'!$B$9, 0)</f>
        <v/>
      </c>
      <c r="R1691" s="39" t="n">
        <v>1</v>
      </c>
      <c r="S1691" s="21" t="n">
        <v>2.09</v>
      </c>
      <c r="T1691" s="21" t="n">
        <v>0.13</v>
      </c>
      <c r="U1691" s="36" t="inlineStr">
        <is>
          <t>Tier 1B (Micro Drop, 1-3 km)</t>
        </is>
      </c>
      <c r="V1691" s="20" t="n">
        <v>59.9</v>
      </c>
      <c r="W1691" s="20" t="n">
        <v>99.2</v>
      </c>
      <c r="X1691" s="20" t="n">
        <v>28</v>
      </c>
      <c r="Y1691" s="40">
        <f>ROUND((V1691*'Methodology &amp; Assumptions'!$B$6)+(W1691*'Methodology &amp; Assumptions'!$B$5)+(X1691*'Methodology &amp; Assumptions'!$B$7), 2)</f>
        <v/>
      </c>
    </row>
    <row r="1692" ht="19" customHeight="1">
      <c r="A1692" s="41" t="n">
        <v>688</v>
      </c>
      <c r="B1692" s="41" t="n">
        <v>4688</v>
      </c>
      <c r="C1692" s="42" t="inlineStr">
        <is>
          <t>1705312002</t>
        </is>
      </c>
      <c r="D1692" s="42" t="inlineStr">
        <is>
          <t>MIMAROPA Region</t>
        </is>
      </c>
      <c r="E1692" s="42" t="inlineStr">
        <is>
          <t>Palawan</t>
        </is>
      </c>
      <c r="F1692" s="42" t="inlineStr">
        <is>
          <t>El Nido</t>
        </is>
      </c>
      <c r="G1692" s="42" t="inlineStr">
        <is>
          <t>Buena Suerte Pob.</t>
        </is>
      </c>
      <c r="H1692" s="43" t="n">
        <v>11.180303</v>
      </c>
      <c r="I1692" s="43" t="n">
        <v>119.389641</v>
      </c>
      <c r="J1692" s="44" t="inlineStr">
        <is>
          <t>U</t>
        </is>
      </c>
      <c r="K1692" s="42" t="inlineStr">
        <is>
          <t>Class 1-3 / Urban</t>
        </is>
      </c>
      <c r="L1692" s="23" t="n">
        <v>2455</v>
      </c>
      <c r="M1692" s="24" t="n">
        <v>4.35</v>
      </c>
      <c r="N1692" s="23">
        <f>ROUND(L1692/M1692, 0)</f>
        <v/>
      </c>
      <c r="O1692" s="23">
        <f>ROUND(N1692*'Methodology &amp; Assumptions'!$B$8, 0)</f>
        <v/>
      </c>
      <c r="P1692" s="44" t="inlineStr">
        <is>
          <t>Band n50 (1.5 GHz, 60 MHz)</t>
        </is>
      </c>
      <c r="Q1692" s="38">
        <f>ROUNDUP(O1692/'Methodology &amp; Assumptions'!$B$9, 0)</f>
        <v/>
      </c>
      <c r="R1692" s="39" t="n">
        <v>1</v>
      </c>
      <c r="S1692" s="25" t="n">
        <v>0.19</v>
      </c>
      <c r="T1692" s="25" t="n">
        <v>41.8</v>
      </c>
      <c r="U1692" s="42" t="inlineStr">
        <is>
          <t>Tier 1A (Direct Coloc, &lt;1 km)</t>
        </is>
      </c>
      <c r="V1692" s="24" t="n">
        <v>94</v>
      </c>
      <c r="W1692" s="24" t="n">
        <v>65.09999999999999</v>
      </c>
      <c r="X1692" s="24" t="n">
        <v>28</v>
      </c>
      <c r="Y1692" s="45">
        <f>ROUND((V1692*'Methodology &amp; Assumptions'!$B$6)+(W1692*'Methodology &amp; Assumptions'!$B$5)+(X1692*'Methodology &amp; Assumptions'!$B$7), 2)</f>
        <v/>
      </c>
    </row>
    <row r="1693" ht="19" customHeight="1">
      <c r="A1693" s="35" t="n">
        <v>689</v>
      </c>
      <c r="B1693" s="35" t="n">
        <v>4689</v>
      </c>
      <c r="C1693" s="36" t="inlineStr">
        <is>
          <t>0604520021</t>
        </is>
      </c>
      <c r="D1693" s="36" t="inlineStr">
        <is>
          <t>Region VI (Western Visayas)</t>
        </is>
      </c>
      <c r="E1693" s="36" t="inlineStr">
        <is>
          <t>Negros Occidental</t>
        </is>
      </c>
      <c r="F1693" s="36" t="inlineStr">
        <is>
          <t>Murcia</t>
        </is>
      </c>
      <c r="G1693" s="36" t="inlineStr">
        <is>
          <t>San Miguel</t>
        </is>
      </c>
      <c r="H1693" s="37" t="n">
        <v>10.538418</v>
      </c>
      <c r="I1693" s="37" t="n">
        <v>123.082292</v>
      </c>
      <c r="J1693" s="8" t="inlineStr">
        <is>
          <t>R</t>
        </is>
      </c>
      <c r="K1693" s="36" t="inlineStr">
        <is>
          <t>Class 1-3 / Urban</t>
        </is>
      </c>
      <c r="L1693" s="18" t="n">
        <v>4016</v>
      </c>
      <c r="M1693" s="20" t="n">
        <v>4.33</v>
      </c>
      <c r="N1693" s="18">
        <f>ROUND(L1693/M1693, 0)</f>
        <v/>
      </c>
      <c r="O1693" s="18">
        <f>ROUND(N1693*'Methodology &amp; Assumptions'!$B$8, 0)</f>
        <v/>
      </c>
      <c r="P1693" s="8" t="inlineStr">
        <is>
          <t>Band n50 (1.5 GHz, 60 MHz)</t>
        </is>
      </c>
      <c r="Q1693" s="38">
        <f>ROUNDUP(O1693/'Methodology &amp; Assumptions'!$B$9, 0)</f>
        <v/>
      </c>
      <c r="R1693" s="39" t="n">
        <v>1</v>
      </c>
      <c r="S1693" s="21" t="n">
        <v>3.13</v>
      </c>
      <c r="T1693" s="21" t="n">
        <v>2.77</v>
      </c>
      <c r="U1693" s="36" t="inlineStr">
        <is>
          <t>Tier 2 (Fiber Corridor / Lateral, 3-5 km)</t>
        </is>
      </c>
      <c r="V1693" s="20" t="n">
        <v>35.2</v>
      </c>
      <c r="W1693" s="20" t="n">
        <v>98.09999999999999</v>
      </c>
      <c r="X1693" s="20" t="n">
        <v>58</v>
      </c>
      <c r="Y1693" s="40">
        <f>ROUND((V1693*'Methodology &amp; Assumptions'!$B$6)+(W1693*'Methodology &amp; Assumptions'!$B$5)+(X1693*'Methodology &amp; Assumptions'!$B$7), 2)</f>
        <v/>
      </c>
    </row>
    <row r="1694" ht="19" customHeight="1">
      <c r="A1694" s="41" t="n">
        <v>690</v>
      </c>
      <c r="B1694" s="41" t="n">
        <v>4690</v>
      </c>
      <c r="C1694" s="42" t="inlineStr">
        <is>
          <t>0405623009</t>
        </is>
      </c>
      <c r="D1694" s="42" t="inlineStr">
        <is>
          <t>Region IV-A (CALABARZON)</t>
        </is>
      </c>
      <c r="E1694" s="42" t="inlineStr">
        <is>
          <t>Quezon</t>
        </is>
      </c>
      <c r="F1694" s="42" t="inlineStr">
        <is>
          <t>Lucban</t>
        </is>
      </c>
      <c r="G1694" s="42" t="inlineStr">
        <is>
          <t>Barangay 6</t>
        </is>
      </c>
      <c r="H1694" s="43" t="n">
        <v>14.121738</v>
      </c>
      <c r="I1694" s="43" t="n">
        <v>121.550167</v>
      </c>
      <c r="J1694" s="44" t="inlineStr">
        <is>
          <t>R</t>
        </is>
      </c>
      <c r="K1694" s="42" t="inlineStr">
        <is>
          <t>Class 1-3 / Urban</t>
        </is>
      </c>
      <c r="L1694" s="23" t="n">
        <v>1844</v>
      </c>
      <c r="M1694" s="24" t="n">
        <v>4.46</v>
      </c>
      <c r="N1694" s="23">
        <f>ROUND(L1694/M1694, 0)</f>
        <v/>
      </c>
      <c r="O1694" s="23">
        <f>ROUND(N1694*'Methodology &amp; Assumptions'!$B$8, 0)</f>
        <v/>
      </c>
      <c r="P1694" s="44" t="inlineStr">
        <is>
          <t>Band n50 (1.5 GHz, 60 MHz)</t>
        </is>
      </c>
      <c r="Q1694" s="38">
        <f>ROUNDUP(O1694/'Methodology &amp; Assumptions'!$B$9, 0)</f>
        <v/>
      </c>
      <c r="R1694" s="39" t="n">
        <v>1</v>
      </c>
      <c r="S1694" s="25" t="n">
        <v>1.23</v>
      </c>
      <c r="T1694" s="25" t="n">
        <v>0.57</v>
      </c>
      <c r="U1694" s="42" t="inlineStr">
        <is>
          <t>Tier 1B (Micro Drop, 1-3 km)</t>
        </is>
      </c>
      <c r="V1694" s="24" t="n">
        <v>76.3</v>
      </c>
      <c r="W1694" s="24" t="n">
        <v>57.1</v>
      </c>
      <c r="X1694" s="24" t="n">
        <v>58</v>
      </c>
      <c r="Y1694" s="45">
        <f>ROUND((V1694*'Methodology &amp; Assumptions'!$B$6)+(W1694*'Methodology &amp; Assumptions'!$B$5)+(X1694*'Methodology &amp; Assumptions'!$B$7), 2)</f>
        <v/>
      </c>
    </row>
    <row r="1695" ht="19" customHeight="1">
      <c r="A1695" s="35" t="n">
        <v>691</v>
      </c>
      <c r="B1695" s="35" t="n">
        <v>4691</v>
      </c>
      <c r="C1695" s="36" t="inlineStr">
        <is>
          <t>0402104016</t>
        </is>
      </c>
      <c r="D1695" s="36" t="inlineStr">
        <is>
          <t>Region IV-A (CALABARZON)</t>
        </is>
      </c>
      <c r="E1695" s="36" t="inlineStr">
        <is>
          <t>Cavite</t>
        </is>
      </c>
      <c r="F1695" s="36" t="inlineStr">
        <is>
          <t>Carmona</t>
        </is>
      </c>
      <c r="G1695" s="36" t="inlineStr">
        <is>
          <t>Barangay 5</t>
        </is>
      </c>
      <c r="H1695" s="37" t="n">
        <v>14.308524</v>
      </c>
      <c r="I1695" s="37" t="n">
        <v>121.050334</v>
      </c>
      <c r="J1695" s="8" t="inlineStr">
        <is>
          <t>R</t>
        </is>
      </c>
      <c r="K1695" s="36" t="inlineStr">
        <is>
          <t>Class 1-3 / Urban</t>
        </is>
      </c>
      <c r="L1695" s="18" t="n">
        <v>532</v>
      </c>
      <c r="M1695" s="20" t="n">
        <v>4.49</v>
      </c>
      <c r="N1695" s="18">
        <f>ROUND(L1695/M1695, 0)</f>
        <v/>
      </c>
      <c r="O1695" s="18">
        <f>ROUND(N1695*'Methodology &amp; Assumptions'!$B$8, 0)</f>
        <v/>
      </c>
      <c r="P1695" s="8" t="inlineStr">
        <is>
          <t>Band n50 (1.5 GHz, 60 MHz)</t>
        </is>
      </c>
      <c r="Q1695" s="38">
        <f>ROUNDUP(O1695/'Methodology &amp; Assumptions'!$B$9, 0)</f>
        <v/>
      </c>
      <c r="R1695" s="39" t="n">
        <v>1</v>
      </c>
      <c r="S1695" s="21" t="n">
        <v>0.26</v>
      </c>
      <c r="T1695" s="21" t="n">
        <v>0.27</v>
      </c>
      <c r="U1695" s="36" t="inlineStr">
        <is>
          <t>Tier 1A (Direct Coloc, &lt;1 km)</t>
        </is>
      </c>
      <c r="V1695" s="20" t="n">
        <v>100</v>
      </c>
      <c r="W1695" s="20" t="n">
        <v>33.3</v>
      </c>
      <c r="X1695" s="20" t="n">
        <v>58</v>
      </c>
      <c r="Y1695" s="40">
        <f>ROUND((V1695*'Methodology &amp; Assumptions'!$B$6)+(W1695*'Methodology &amp; Assumptions'!$B$5)+(X1695*'Methodology &amp; Assumptions'!$B$7), 2)</f>
        <v/>
      </c>
    </row>
    <row r="1696" ht="19" customHeight="1">
      <c r="A1696" s="41" t="n">
        <v>692</v>
      </c>
      <c r="B1696" s="41" t="n">
        <v>4692</v>
      </c>
      <c r="C1696" s="42" t="inlineStr">
        <is>
          <t>0300809009</t>
        </is>
      </c>
      <c r="D1696" s="42" t="inlineStr">
        <is>
          <t>Region III (Central Luzon)</t>
        </is>
      </c>
      <c r="E1696" s="42" t="inlineStr">
        <is>
          <t>Bataan</t>
        </is>
      </c>
      <c r="F1696" s="42" t="inlineStr">
        <is>
          <t>Orani</t>
        </is>
      </c>
      <c r="G1696" s="42" t="inlineStr">
        <is>
          <t>Masantol</t>
        </is>
      </c>
      <c r="H1696" s="43" t="n">
        <v>14.802553</v>
      </c>
      <c r="I1696" s="43" t="n">
        <v>120.535503</v>
      </c>
      <c r="J1696" s="44" t="inlineStr">
        <is>
          <t>R</t>
        </is>
      </c>
      <c r="K1696" s="42" t="inlineStr">
        <is>
          <t>Class 1-3 / Urban</t>
        </is>
      </c>
      <c r="L1696" s="23" t="n">
        <v>530</v>
      </c>
      <c r="M1696" s="24" t="n">
        <v>4.57</v>
      </c>
      <c r="N1696" s="23">
        <f>ROUND(L1696/M1696, 0)</f>
        <v/>
      </c>
      <c r="O1696" s="23">
        <f>ROUND(N1696*'Methodology &amp; Assumptions'!$B$8, 0)</f>
        <v/>
      </c>
      <c r="P1696" s="44" t="inlineStr">
        <is>
          <t>Band n50 (1.5 GHz, 60 MHz)</t>
        </is>
      </c>
      <c r="Q1696" s="38">
        <f>ROUNDUP(O1696/'Methodology &amp; Assumptions'!$B$9, 0)</f>
        <v/>
      </c>
      <c r="R1696" s="39" t="n">
        <v>1</v>
      </c>
      <c r="S1696" s="25" t="n">
        <v>0.1</v>
      </c>
      <c r="T1696" s="25" t="n">
        <v>0.1</v>
      </c>
      <c r="U1696" s="42" t="inlineStr">
        <is>
          <t>Tier 1A (Direct Coloc, &lt;1 km)</t>
        </is>
      </c>
      <c r="V1696" s="24" t="n">
        <v>100</v>
      </c>
      <c r="W1696" s="24" t="n">
        <v>33.3</v>
      </c>
      <c r="X1696" s="24" t="n">
        <v>58</v>
      </c>
      <c r="Y1696" s="45">
        <f>ROUND((V1696*'Methodology &amp; Assumptions'!$B$6)+(W1696*'Methodology &amp; Assumptions'!$B$5)+(X1696*'Methodology &amp; Assumptions'!$B$7), 2)</f>
        <v/>
      </c>
    </row>
    <row r="1697" ht="19" customHeight="1">
      <c r="A1697" s="35" t="n">
        <v>693</v>
      </c>
      <c r="B1697" s="35" t="n">
        <v>4693</v>
      </c>
      <c r="C1697" s="36" t="inlineStr">
        <is>
          <t>1102315028</t>
        </is>
      </c>
      <c r="D1697" s="36" t="inlineStr">
        <is>
          <t>Region XI (Davao Region)</t>
        </is>
      </c>
      <c r="E1697" s="36" t="inlineStr">
        <is>
          <t>Davao del Norte</t>
        </is>
      </c>
      <c r="F1697" s="36" t="inlineStr">
        <is>
          <t>City of Panabo</t>
        </is>
      </c>
      <c r="G1697" s="36" t="inlineStr">
        <is>
          <t>Salvacion</t>
        </is>
      </c>
      <c r="H1697" s="37" t="n">
        <v>7.318546</v>
      </c>
      <c r="I1697" s="37" t="n">
        <v>125.687239</v>
      </c>
      <c r="J1697" s="8" t="inlineStr">
        <is>
          <t>U</t>
        </is>
      </c>
      <c r="K1697" s="36" t="inlineStr">
        <is>
          <t>Class 1-3 / Urban</t>
        </is>
      </c>
      <c r="L1697" s="18" t="n">
        <v>10748</v>
      </c>
      <c r="M1697" s="20" t="n">
        <v>4.25</v>
      </c>
      <c r="N1697" s="18">
        <f>ROUND(L1697/M1697, 0)</f>
        <v/>
      </c>
      <c r="O1697" s="18">
        <f>ROUND(N1697*'Methodology &amp; Assumptions'!$B$8, 0)</f>
        <v/>
      </c>
      <c r="P1697" s="8" t="inlineStr">
        <is>
          <t>Band n50 (1.5 GHz, 60 MHz)</t>
        </is>
      </c>
      <c r="Q1697" s="38">
        <f>ROUNDUP(O1697/'Methodology &amp; Assumptions'!$B$9, 0)</f>
        <v/>
      </c>
      <c r="R1697" s="39" t="n">
        <v>1</v>
      </c>
      <c r="S1697" s="21" t="n">
        <v>2.14</v>
      </c>
      <c r="T1697" s="21" t="n">
        <v>0.17</v>
      </c>
      <c r="U1697" s="36" t="inlineStr">
        <is>
          <t>Tier 1B (Micro Drop, 1-3 km)</t>
        </is>
      </c>
      <c r="V1697" s="20" t="n">
        <v>59.1</v>
      </c>
      <c r="W1697" s="20" t="n">
        <v>100</v>
      </c>
      <c r="X1697" s="20" t="n">
        <v>28</v>
      </c>
      <c r="Y1697" s="40">
        <f>ROUND((V1697*'Methodology &amp; Assumptions'!$B$6)+(W1697*'Methodology &amp; Assumptions'!$B$5)+(X1697*'Methodology &amp; Assumptions'!$B$7), 2)</f>
        <v/>
      </c>
    </row>
    <row r="1698" ht="19" customHeight="1">
      <c r="A1698" s="41" t="n">
        <v>694</v>
      </c>
      <c r="B1698" s="41" t="n">
        <v>4694</v>
      </c>
      <c r="C1698" s="42" t="inlineStr">
        <is>
          <t>1705211001</t>
        </is>
      </c>
      <c r="D1698" s="42" t="inlineStr">
        <is>
          <t>MIMAROPA Region</t>
        </is>
      </c>
      <c r="E1698" s="42" t="inlineStr">
        <is>
          <t>Oriental Mindoro</t>
        </is>
      </c>
      <c r="F1698" s="42" t="inlineStr">
        <is>
          <t>Puerto Galera</t>
        </is>
      </c>
      <c r="G1698" s="42" t="inlineStr">
        <is>
          <t>Aninuan</t>
        </is>
      </c>
      <c r="H1698" s="43" t="n">
        <v>13.499146</v>
      </c>
      <c r="I1698" s="43" t="n">
        <v>120.897185</v>
      </c>
      <c r="J1698" s="44" t="inlineStr">
        <is>
          <t>U</t>
        </is>
      </c>
      <c r="K1698" s="42" t="inlineStr">
        <is>
          <t>Class 1-3 / Urban</t>
        </is>
      </c>
      <c r="L1698" s="23" t="n">
        <v>3199</v>
      </c>
      <c r="M1698" s="24" t="n">
        <v>4.41</v>
      </c>
      <c r="N1698" s="23">
        <f>ROUND(L1698/M1698, 0)</f>
        <v/>
      </c>
      <c r="O1698" s="23">
        <f>ROUND(N1698*'Methodology &amp; Assumptions'!$B$8, 0)</f>
        <v/>
      </c>
      <c r="P1698" s="44" t="inlineStr">
        <is>
          <t>Band n50 (1.5 GHz, 60 MHz)</t>
        </is>
      </c>
      <c r="Q1698" s="38">
        <f>ROUNDUP(O1698/'Methodology &amp; Assumptions'!$B$9, 0)</f>
        <v/>
      </c>
      <c r="R1698" s="39" t="n">
        <v>1</v>
      </c>
      <c r="S1698" s="25" t="n">
        <v>1.03</v>
      </c>
      <c r="T1698" s="25" t="n">
        <v>0.06</v>
      </c>
      <c r="U1698" s="42" t="inlineStr">
        <is>
          <t>Tier 1B (Micro Drop, 1-3 km)</t>
        </is>
      </c>
      <c r="V1698" s="24" t="n">
        <v>80.90000000000001</v>
      </c>
      <c r="W1698" s="24" t="n">
        <v>78.09999999999999</v>
      </c>
      <c r="X1698" s="24" t="n">
        <v>28</v>
      </c>
      <c r="Y1698" s="45">
        <f>ROUND((V1698*'Methodology &amp; Assumptions'!$B$6)+(W1698*'Methodology &amp; Assumptions'!$B$5)+(X1698*'Methodology &amp; Assumptions'!$B$7), 2)</f>
        <v/>
      </c>
    </row>
    <row r="1699" ht="19" customHeight="1">
      <c r="A1699" s="35" t="n">
        <v>695</v>
      </c>
      <c r="B1699" s="35" t="n">
        <v>4695</v>
      </c>
      <c r="C1699" s="36" t="inlineStr">
        <is>
          <t>0604529009</t>
        </is>
      </c>
      <c r="D1699" s="36" t="inlineStr">
        <is>
          <t>Region VI (Western Visayas)</t>
        </is>
      </c>
      <c r="E1699" s="36" t="inlineStr">
        <is>
          <t>Negros Occidental</t>
        </is>
      </c>
      <c r="F1699" s="36" t="inlineStr">
        <is>
          <t>Toboso</t>
        </is>
      </c>
      <c r="G1699" s="36" t="inlineStr">
        <is>
          <t>Tabun-ac</t>
        </is>
      </c>
      <c r="H1699" s="37" t="n">
        <v>10.728154</v>
      </c>
      <c r="I1699" s="37" t="n">
        <v>123.486941</v>
      </c>
      <c r="J1699" s="8" t="inlineStr">
        <is>
          <t>R</t>
        </is>
      </c>
      <c r="K1699" s="36" t="inlineStr">
        <is>
          <t>Class 1-3 / Urban</t>
        </is>
      </c>
      <c r="L1699" s="18" t="n">
        <v>3862</v>
      </c>
      <c r="M1699" s="20" t="n">
        <v>4.33</v>
      </c>
      <c r="N1699" s="18">
        <f>ROUND(L1699/M1699, 0)</f>
        <v/>
      </c>
      <c r="O1699" s="18">
        <f>ROUND(N1699*'Methodology &amp; Assumptions'!$B$8, 0)</f>
        <v/>
      </c>
      <c r="P1699" s="8" t="inlineStr">
        <is>
          <t>Band n50 (1.5 GHz, 60 MHz)</t>
        </is>
      </c>
      <c r="Q1699" s="38">
        <f>ROUNDUP(O1699/'Methodology &amp; Assumptions'!$B$9, 0)</f>
        <v/>
      </c>
      <c r="R1699" s="39" t="n">
        <v>1</v>
      </c>
      <c r="S1699" s="21" t="n">
        <v>12.74</v>
      </c>
      <c r="T1699" s="21" t="n">
        <v>0.02</v>
      </c>
      <c r="U1699" s="36" t="inlineStr">
        <is>
          <t>Tier 2 (Fiber Corridor / Lateral, 3-5 km)</t>
        </is>
      </c>
      <c r="V1699" s="20" t="n">
        <v>25</v>
      </c>
      <c r="W1699" s="20" t="n">
        <v>95.5</v>
      </c>
      <c r="X1699" s="20" t="n">
        <v>73</v>
      </c>
      <c r="Y1699" s="40">
        <f>ROUND((V1699*'Methodology &amp; Assumptions'!$B$6)+(W1699*'Methodology &amp; Assumptions'!$B$5)+(X1699*'Methodology &amp; Assumptions'!$B$7), 2)</f>
        <v/>
      </c>
    </row>
    <row r="1700" ht="19" customHeight="1">
      <c r="A1700" s="41" t="n">
        <v>696</v>
      </c>
      <c r="B1700" s="41" t="n">
        <v>4696</v>
      </c>
      <c r="C1700" s="42" t="inlineStr">
        <is>
          <t>0301416006</t>
        </is>
      </c>
      <c r="D1700" s="42" t="inlineStr">
        <is>
          <t>Region III (Central Luzon)</t>
        </is>
      </c>
      <c r="E1700" s="42" t="inlineStr">
        <is>
          <t>Bulacan</t>
        </is>
      </c>
      <c r="F1700" s="42" t="inlineStr">
        <is>
          <t>Paombong</t>
        </is>
      </c>
      <c r="G1700" s="42" t="inlineStr">
        <is>
          <t>Pinalagdan</t>
        </is>
      </c>
      <c r="H1700" s="43" t="n">
        <v>14.852629</v>
      </c>
      <c r="I1700" s="43" t="n">
        <v>120.779153</v>
      </c>
      <c r="J1700" s="44" t="inlineStr">
        <is>
          <t>R</t>
        </is>
      </c>
      <c r="K1700" s="42" t="inlineStr">
        <is>
          <t>Class 1-3 / Urban</t>
        </is>
      </c>
      <c r="L1700" s="23" t="n">
        <v>3253</v>
      </c>
      <c r="M1700" s="24" t="n">
        <v>4.1</v>
      </c>
      <c r="N1700" s="23">
        <f>ROUND(L1700/M1700, 0)</f>
        <v/>
      </c>
      <c r="O1700" s="23">
        <f>ROUND(N1700*'Methodology &amp; Assumptions'!$B$8, 0)</f>
        <v/>
      </c>
      <c r="P1700" s="44" t="inlineStr">
        <is>
          <t>Band n50 (1.5 GHz, 60 MHz)</t>
        </is>
      </c>
      <c r="Q1700" s="38">
        <f>ROUNDUP(O1700/'Methodology &amp; Assumptions'!$B$9, 0)</f>
        <v/>
      </c>
      <c r="R1700" s="39" t="n">
        <v>1</v>
      </c>
      <c r="S1700" s="25" t="n">
        <v>3.33</v>
      </c>
      <c r="T1700" s="25" t="n">
        <v>3.01</v>
      </c>
      <c r="U1700" s="42" t="inlineStr">
        <is>
          <t>Tier 2 (Fiber Corridor / Lateral, 3-5 km)</t>
        </is>
      </c>
      <c r="V1700" s="24" t="n">
        <v>33</v>
      </c>
      <c r="W1700" s="24" t="n">
        <v>87.5</v>
      </c>
      <c r="X1700" s="24" t="n">
        <v>73</v>
      </c>
      <c r="Y1700" s="45">
        <f>ROUND((V1700*'Methodology &amp; Assumptions'!$B$6)+(W1700*'Methodology &amp; Assumptions'!$B$5)+(X1700*'Methodology &amp; Assumptions'!$B$7), 2)</f>
        <v/>
      </c>
    </row>
    <row r="1701" ht="19" customHeight="1">
      <c r="A1701" s="35" t="n">
        <v>697</v>
      </c>
      <c r="B1701" s="35" t="n">
        <v>4697</v>
      </c>
      <c r="C1701" s="36" t="inlineStr">
        <is>
          <t>0201526011</t>
        </is>
      </c>
      <c r="D1701" s="36" t="inlineStr">
        <is>
          <t>Region II (Cagayan Valley)</t>
        </is>
      </c>
      <c r="E1701" s="36" t="inlineStr">
        <is>
          <t>Cagayan</t>
        </is>
      </c>
      <c r="F1701" s="36" t="inlineStr">
        <is>
          <t>Santo Niño</t>
        </is>
      </c>
      <c r="G1701" s="36" t="inlineStr">
        <is>
          <t>Centro Sur</t>
        </is>
      </c>
      <c r="H1701" s="37" t="n">
        <v>17.8719</v>
      </c>
      <c r="I1701" s="37" t="n">
        <v>121.569</v>
      </c>
      <c r="J1701" s="8" t="inlineStr">
        <is>
          <t>R</t>
        </is>
      </c>
      <c r="K1701" s="36" t="inlineStr">
        <is>
          <t>Class 1-3 / Urban</t>
        </is>
      </c>
      <c r="L1701" s="18" t="n">
        <v>2472</v>
      </c>
      <c r="M1701" s="20" t="n">
        <v>4.38</v>
      </c>
      <c r="N1701" s="18">
        <f>ROUND(L1701/M1701, 0)</f>
        <v/>
      </c>
      <c r="O1701" s="18">
        <f>ROUND(N1701*'Methodology &amp; Assumptions'!$B$8, 0)</f>
        <v/>
      </c>
      <c r="P1701" s="8" t="inlineStr">
        <is>
          <t>Band n50 (1.5 GHz, 60 MHz)</t>
        </is>
      </c>
      <c r="Q1701" s="38">
        <f>ROUNDUP(O1701/'Methodology &amp; Assumptions'!$B$9, 0)</f>
        <v/>
      </c>
      <c r="R1701" s="39" t="n">
        <v>1</v>
      </c>
      <c r="S1701" s="21" t="n">
        <v>1.33</v>
      </c>
      <c r="T1701" s="21" t="n">
        <v>8.58</v>
      </c>
      <c r="U1701" s="36" t="inlineStr">
        <is>
          <t>Tier 1B (Micro Drop, 1-3 km)</t>
        </is>
      </c>
      <c r="V1701" s="20" t="n">
        <v>64.3</v>
      </c>
      <c r="W1701" s="20" t="n">
        <v>69.09999999999999</v>
      </c>
      <c r="X1701" s="20" t="n">
        <v>58</v>
      </c>
      <c r="Y1701" s="40">
        <f>ROUND((V1701*'Methodology &amp; Assumptions'!$B$6)+(W1701*'Methodology &amp; Assumptions'!$B$5)+(X1701*'Methodology &amp; Assumptions'!$B$7), 2)</f>
        <v/>
      </c>
    </row>
    <row r="1702" ht="19" customHeight="1">
      <c r="A1702" s="41" t="n">
        <v>698</v>
      </c>
      <c r="B1702" s="41" t="n">
        <v>4698</v>
      </c>
      <c r="C1702" s="42" t="inlineStr">
        <is>
          <t>0704601007</t>
        </is>
      </c>
      <c r="D1702" s="42" t="inlineStr">
        <is>
          <t>Region VII (Central Visayas)</t>
        </is>
      </c>
      <c r="E1702" s="42" t="inlineStr">
        <is>
          <t>Negros Oriental</t>
        </is>
      </c>
      <c r="F1702" s="42" t="inlineStr">
        <is>
          <t>Amlan</t>
        </is>
      </c>
      <c r="G1702" s="42" t="inlineStr">
        <is>
          <t>Tambojangin</t>
        </is>
      </c>
      <c r="H1702" s="43" t="n">
        <v>9.449693999999999</v>
      </c>
      <c r="I1702" s="43" t="n">
        <v>123.2116</v>
      </c>
      <c r="J1702" s="44" t="inlineStr">
        <is>
          <t>R</t>
        </is>
      </c>
      <c r="K1702" s="42" t="inlineStr">
        <is>
          <t>3rd</t>
        </is>
      </c>
      <c r="L1702" s="23" t="n">
        <v>2278</v>
      </c>
      <c r="M1702" s="24" t="n">
        <v>4.28</v>
      </c>
      <c r="N1702" s="23">
        <f>ROUND(L1702/M1702, 0)</f>
        <v/>
      </c>
      <c r="O1702" s="23">
        <f>ROUND(N1702*'Methodology &amp; Assumptions'!$B$8, 0)</f>
        <v/>
      </c>
      <c r="P1702" s="44" t="inlineStr">
        <is>
          <t>Band n50 (1.5 GHz, 60 MHz)</t>
        </is>
      </c>
      <c r="Q1702" s="38">
        <f>ROUNDUP(O1702/'Methodology &amp; Assumptions'!$B$9, 0)</f>
        <v/>
      </c>
      <c r="R1702" s="39" t="n">
        <v>1</v>
      </c>
      <c r="S1702" s="25" t="n">
        <v>1.71</v>
      </c>
      <c r="T1702" s="25" t="n">
        <v>1.28</v>
      </c>
      <c r="U1702" s="42" t="inlineStr">
        <is>
          <t>Tier 1B (Micro Drop, 1-3 km)</t>
        </is>
      </c>
      <c r="V1702" s="24" t="n">
        <v>66.59999999999999</v>
      </c>
      <c r="W1702" s="24" t="n">
        <v>66.7</v>
      </c>
      <c r="X1702" s="24" t="n">
        <v>58</v>
      </c>
      <c r="Y1702" s="45">
        <f>ROUND((V1702*'Methodology &amp; Assumptions'!$B$6)+(W1702*'Methodology &amp; Assumptions'!$B$5)+(X1702*'Methodology &amp; Assumptions'!$B$7), 2)</f>
        <v/>
      </c>
    </row>
    <row r="1703" ht="19" customHeight="1">
      <c r="A1703" s="35" t="n">
        <v>699</v>
      </c>
      <c r="B1703" s="35" t="n">
        <v>4699</v>
      </c>
      <c r="C1703" s="36" t="inlineStr">
        <is>
          <t>0102804001</t>
        </is>
      </c>
      <c r="D1703" s="36" t="inlineStr">
        <is>
          <t>Region I (Ilocos Region)</t>
        </is>
      </c>
      <c r="E1703" s="36" t="inlineStr">
        <is>
          <t>Ilocos Norte</t>
        </is>
      </c>
      <c r="F1703" s="36" t="inlineStr">
        <is>
          <t>Bangui</t>
        </is>
      </c>
      <c r="G1703" s="36" t="inlineStr">
        <is>
          <t>Abaca</t>
        </is>
      </c>
      <c r="H1703" s="37" t="n">
        <v>18.532146</v>
      </c>
      <c r="I1703" s="37" t="n">
        <v>120.75671</v>
      </c>
      <c r="J1703" s="8" t="inlineStr">
        <is>
          <t>R</t>
        </is>
      </c>
      <c r="K1703" s="36" t="inlineStr">
        <is>
          <t>2nd</t>
        </is>
      </c>
      <c r="L1703" s="18" t="n">
        <v>1842</v>
      </c>
      <c r="M1703" s="20" t="n">
        <v>4.11</v>
      </c>
      <c r="N1703" s="18">
        <f>ROUND(L1703/M1703, 0)</f>
        <v/>
      </c>
      <c r="O1703" s="18">
        <f>ROUND(N1703*'Methodology &amp; Assumptions'!$B$8, 0)</f>
        <v/>
      </c>
      <c r="P1703" s="8" t="inlineStr">
        <is>
          <t>Band n50 (1.5 GHz, 60 MHz)</t>
        </is>
      </c>
      <c r="Q1703" s="38">
        <f>ROUNDUP(O1703/'Methodology &amp; Assumptions'!$B$9, 0)</f>
        <v/>
      </c>
      <c r="R1703" s="39" t="n">
        <v>1</v>
      </c>
      <c r="S1703" s="21" t="n">
        <v>1.36</v>
      </c>
      <c r="T1703" s="21" t="n">
        <v>0.19</v>
      </c>
      <c r="U1703" s="36" t="inlineStr">
        <is>
          <t>Tier 1B (Micro Drop, 1-3 km)</t>
        </is>
      </c>
      <c r="V1703" s="20" t="n">
        <v>73.59999999999999</v>
      </c>
      <c r="W1703" s="20" t="n">
        <v>59.7</v>
      </c>
      <c r="X1703" s="20" t="n">
        <v>58</v>
      </c>
      <c r="Y1703" s="40">
        <f>ROUND((V1703*'Methodology &amp; Assumptions'!$B$6)+(W1703*'Methodology &amp; Assumptions'!$B$5)+(X1703*'Methodology &amp; Assumptions'!$B$7), 2)</f>
        <v/>
      </c>
    </row>
    <row r="1704" ht="19" customHeight="1">
      <c r="A1704" s="41" t="n">
        <v>700</v>
      </c>
      <c r="B1704" s="41" t="n">
        <v>4700</v>
      </c>
      <c r="C1704" s="42" t="inlineStr">
        <is>
          <t>0307103012</t>
        </is>
      </c>
      <c r="D1704" s="42" t="inlineStr">
        <is>
          <t>Region III (Central Luzon)</t>
        </is>
      </c>
      <c r="E1704" s="42" t="inlineStr">
        <is>
          <t>Zambales</t>
        </is>
      </c>
      <c r="F1704" s="42" t="inlineStr">
        <is>
          <t>Candelaria</t>
        </is>
      </c>
      <c r="G1704" s="42" t="inlineStr">
        <is>
          <t>Panayonan</t>
        </is>
      </c>
      <c r="H1704" s="43" t="n">
        <v>15.630022</v>
      </c>
      <c r="I1704" s="43" t="n">
        <v>119.928015</v>
      </c>
      <c r="J1704" s="44" t="inlineStr">
        <is>
          <t>R</t>
        </is>
      </c>
      <c r="K1704" s="42" t="inlineStr">
        <is>
          <t>Class 1-3 / Urban</t>
        </is>
      </c>
      <c r="L1704" s="23" t="n">
        <v>1216</v>
      </c>
      <c r="M1704" s="24" t="n">
        <v>4.05</v>
      </c>
      <c r="N1704" s="23">
        <f>ROUND(L1704/M1704, 0)</f>
        <v/>
      </c>
      <c r="O1704" s="23">
        <f>ROUND(N1704*'Methodology &amp; Assumptions'!$B$8, 0)</f>
        <v/>
      </c>
      <c r="P1704" s="44" t="inlineStr">
        <is>
          <t>Band n50 (1.5 GHz, 60 MHz)</t>
        </is>
      </c>
      <c r="Q1704" s="38">
        <f>ROUNDUP(O1704/'Methodology &amp; Assumptions'!$B$9, 0)</f>
        <v/>
      </c>
      <c r="R1704" s="39" t="n">
        <v>1</v>
      </c>
      <c r="S1704" s="25" t="n">
        <v>0.85</v>
      </c>
      <c r="T1704" s="25" t="n">
        <v>0.73</v>
      </c>
      <c r="U1704" s="42" t="inlineStr">
        <is>
          <t>Tier 1A (Direct Coloc, &lt;1 km)</t>
        </is>
      </c>
      <c r="V1704" s="24" t="n">
        <v>85.3</v>
      </c>
      <c r="W1704" s="24" t="n">
        <v>48</v>
      </c>
      <c r="X1704" s="24" t="n">
        <v>58</v>
      </c>
      <c r="Y1704" s="45">
        <f>ROUND((V1704*'Methodology &amp; Assumptions'!$B$6)+(W1704*'Methodology &amp; Assumptions'!$B$5)+(X1704*'Methodology &amp; Assumptions'!$B$7), 2)</f>
        <v/>
      </c>
    </row>
    <row r="1705" ht="19" customHeight="1">
      <c r="A1705" s="35" t="n">
        <v>701</v>
      </c>
      <c r="B1705" s="35" t="n">
        <v>4701</v>
      </c>
      <c r="C1705" s="36" t="inlineStr">
        <is>
          <t>0304929014</t>
        </is>
      </c>
      <c r="D1705" s="36" t="inlineStr">
        <is>
          <t>Region III (Central Luzon)</t>
        </is>
      </c>
      <c r="E1705" s="36" t="inlineStr">
        <is>
          <t>Nueva Ecija</t>
        </is>
      </c>
      <c r="F1705" s="36" t="inlineStr">
        <is>
          <t>Santo Domingo</t>
        </is>
      </c>
      <c r="G1705" s="36" t="inlineStr">
        <is>
          <t>Hulo</t>
        </is>
      </c>
      <c r="H1705" s="37" t="n">
        <v>15.583934</v>
      </c>
      <c r="I1705" s="37" t="n">
        <v>120.881121</v>
      </c>
      <c r="J1705" s="8" t="inlineStr">
        <is>
          <t>R</t>
        </is>
      </c>
      <c r="K1705" s="36" t="inlineStr">
        <is>
          <t>Class 1-3 / Urban</t>
        </is>
      </c>
      <c r="L1705" s="18" t="n">
        <v>2015</v>
      </c>
      <c r="M1705" s="20" t="n">
        <v>4.32</v>
      </c>
      <c r="N1705" s="18">
        <f>ROUND(L1705/M1705, 0)</f>
        <v/>
      </c>
      <c r="O1705" s="18">
        <f>ROUND(N1705*'Methodology &amp; Assumptions'!$B$8, 0)</f>
        <v/>
      </c>
      <c r="P1705" s="8" t="inlineStr">
        <is>
          <t>Band n50 (1.5 GHz, 60 MHz)</t>
        </is>
      </c>
      <c r="Q1705" s="38">
        <f>ROUNDUP(O1705/'Methodology &amp; Assumptions'!$B$9, 0)</f>
        <v/>
      </c>
      <c r="R1705" s="39" t="n">
        <v>1</v>
      </c>
      <c r="S1705" s="21" t="n">
        <v>0.99</v>
      </c>
      <c r="T1705" s="21" t="n">
        <v>4.13</v>
      </c>
      <c r="U1705" s="36" t="inlineStr">
        <is>
          <t>Tier 1A (Direct Coloc, &lt;1 km)</t>
        </is>
      </c>
      <c r="V1705" s="20" t="n">
        <v>71.90000000000001</v>
      </c>
      <c r="W1705" s="20" t="n">
        <v>61.3</v>
      </c>
      <c r="X1705" s="20" t="n">
        <v>58</v>
      </c>
      <c r="Y1705" s="40">
        <f>ROUND((V1705*'Methodology &amp; Assumptions'!$B$6)+(W1705*'Methodology &amp; Assumptions'!$B$5)+(X1705*'Methodology &amp; Assumptions'!$B$7), 2)</f>
        <v/>
      </c>
    </row>
    <row r="1706" ht="19" customHeight="1">
      <c r="A1706" s="41" t="n">
        <v>702</v>
      </c>
      <c r="B1706" s="41" t="n">
        <v>4702</v>
      </c>
      <c r="C1706" s="42" t="inlineStr">
        <is>
          <t>0403427005</t>
        </is>
      </c>
      <c r="D1706" s="42" t="inlineStr">
        <is>
          <t>Region IV-A (CALABARZON)</t>
        </is>
      </c>
      <c r="E1706" s="42" t="inlineStr">
        <is>
          <t>Laguna</t>
        </is>
      </c>
      <c r="F1706" s="42" t="inlineStr">
        <is>
          <t>Santa Maria</t>
        </is>
      </c>
      <c r="G1706" s="42" t="inlineStr">
        <is>
          <t>Cabooan</t>
        </is>
      </c>
      <c r="H1706" s="43" t="n">
        <v>14.467993</v>
      </c>
      <c r="I1706" s="43" t="n">
        <v>121.42928</v>
      </c>
      <c r="J1706" s="44" t="inlineStr">
        <is>
          <t>R</t>
        </is>
      </c>
      <c r="K1706" s="42" t="inlineStr">
        <is>
          <t>2nd</t>
        </is>
      </c>
      <c r="L1706" s="23" t="n">
        <v>1981</v>
      </c>
      <c r="M1706" s="24" t="n">
        <v>4.2</v>
      </c>
      <c r="N1706" s="23">
        <f>ROUND(L1706/M1706, 0)</f>
        <v/>
      </c>
      <c r="O1706" s="23">
        <f>ROUND(N1706*'Methodology &amp; Assumptions'!$B$8, 0)</f>
        <v/>
      </c>
      <c r="P1706" s="44" t="inlineStr">
        <is>
          <t>Band n50 (1.5 GHz, 60 MHz)</t>
        </is>
      </c>
      <c r="Q1706" s="38">
        <f>ROUNDUP(O1706/'Methodology &amp; Assumptions'!$B$9, 0)</f>
        <v/>
      </c>
      <c r="R1706" s="39" t="n">
        <v>1</v>
      </c>
      <c r="S1706" s="25" t="n">
        <v>1.01</v>
      </c>
      <c r="T1706" s="25" t="n">
        <v>2.67</v>
      </c>
      <c r="U1706" s="42" t="inlineStr">
        <is>
          <t>Tier 1B (Micro Drop, 1-3 km)</t>
        </is>
      </c>
      <c r="V1706" s="24" t="n">
        <v>71.40000000000001</v>
      </c>
      <c r="W1706" s="24" t="n">
        <v>61.9</v>
      </c>
      <c r="X1706" s="24" t="n">
        <v>58</v>
      </c>
      <c r="Y1706" s="45">
        <f>ROUND((V1706*'Methodology &amp; Assumptions'!$B$6)+(W1706*'Methodology &amp; Assumptions'!$B$5)+(X1706*'Methodology &amp; Assumptions'!$B$7), 2)</f>
        <v/>
      </c>
    </row>
    <row r="1707" ht="19" customHeight="1">
      <c r="A1707" s="35" t="n">
        <v>703</v>
      </c>
      <c r="B1707" s="35" t="n">
        <v>4703</v>
      </c>
      <c r="C1707" s="36" t="inlineStr">
        <is>
          <t>1600205006</t>
        </is>
      </c>
      <c r="D1707" s="36" t="inlineStr">
        <is>
          <t>Region XIII (Caraga)</t>
        </is>
      </c>
      <c r="E1707" s="36" t="inlineStr">
        <is>
          <t>Agusan del Norte</t>
        </is>
      </c>
      <c r="F1707" s="36" t="inlineStr">
        <is>
          <t>Jabonga</t>
        </is>
      </c>
      <c r="G1707" s="36" t="inlineStr">
        <is>
          <t>Cuyago</t>
        </is>
      </c>
      <c r="H1707" s="37" t="n">
        <v>9.345909000000001</v>
      </c>
      <c r="I1707" s="37" t="n">
        <v>125.552449</v>
      </c>
      <c r="J1707" s="8" t="inlineStr">
        <is>
          <t>R</t>
        </is>
      </c>
      <c r="K1707" s="36" t="inlineStr">
        <is>
          <t>Class 1-3 / Urban</t>
        </is>
      </c>
      <c r="L1707" s="18" t="n">
        <v>1949</v>
      </c>
      <c r="M1707" s="20" t="n">
        <v>4.63</v>
      </c>
      <c r="N1707" s="18">
        <f>ROUND(L1707/M1707, 0)</f>
        <v/>
      </c>
      <c r="O1707" s="18">
        <f>ROUND(N1707*'Methodology &amp; Assumptions'!$B$8, 0)</f>
        <v/>
      </c>
      <c r="P1707" s="8" t="inlineStr">
        <is>
          <t>Band n50 (1.5 GHz, 60 MHz)</t>
        </is>
      </c>
      <c r="Q1707" s="38">
        <f>ROUNDUP(O1707/'Methodology &amp; Assumptions'!$B$9, 0)</f>
        <v/>
      </c>
      <c r="R1707" s="39" t="n">
        <v>1</v>
      </c>
      <c r="S1707" s="21" t="n">
        <v>1.26</v>
      </c>
      <c r="T1707" s="21" t="n">
        <v>0.13</v>
      </c>
      <c r="U1707" s="36" t="inlineStr">
        <is>
          <t>Tier 1B (Micro Drop, 1-3 km)</t>
        </is>
      </c>
      <c r="V1707" s="20" t="n">
        <v>75.7</v>
      </c>
      <c r="W1707" s="20" t="n">
        <v>57.6</v>
      </c>
      <c r="X1707" s="20" t="n">
        <v>58</v>
      </c>
      <c r="Y1707" s="40">
        <f>ROUND((V1707*'Methodology &amp; Assumptions'!$B$6)+(W1707*'Methodology &amp; Assumptions'!$B$5)+(X1707*'Methodology &amp; Assumptions'!$B$7), 2)</f>
        <v/>
      </c>
    </row>
    <row r="1708" ht="19" customHeight="1">
      <c r="A1708" s="41" t="n">
        <v>704</v>
      </c>
      <c r="B1708" s="41" t="n">
        <v>4704</v>
      </c>
      <c r="C1708" s="42" t="inlineStr">
        <is>
          <t>0803708062</t>
        </is>
      </c>
      <c r="D1708" s="42" t="inlineStr">
        <is>
          <t>Region VIII (Eastern Visayas)</t>
        </is>
      </c>
      <c r="E1708" s="42" t="inlineStr">
        <is>
          <t>Leyte</t>
        </is>
      </c>
      <c r="F1708" s="42" t="inlineStr">
        <is>
          <t>City of Baybay</t>
        </is>
      </c>
      <c r="G1708" s="42" t="inlineStr">
        <is>
          <t>Poblacion Zone 6</t>
        </is>
      </c>
      <c r="H1708" s="43" t="n">
        <v>10.68153</v>
      </c>
      <c r="I1708" s="43" t="n">
        <v>124.798608</v>
      </c>
      <c r="J1708" s="44" t="inlineStr">
        <is>
          <t>R</t>
        </is>
      </c>
      <c r="K1708" s="42" t="inlineStr">
        <is>
          <t>Class 1-3 / Urban</t>
        </is>
      </c>
      <c r="L1708" s="23" t="n">
        <v>641</v>
      </c>
      <c r="M1708" s="24" t="n">
        <v>4.24</v>
      </c>
      <c r="N1708" s="23">
        <f>ROUND(L1708/M1708, 0)</f>
        <v/>
      </c>
      <c r="O1708" s="23">
        <f>ROUND(N1708*'Methodology &amp; Assumptions'!$B$8, 0)</f>
        <v/>
      </c>
      <c r="P1708" s="44" t="inlineStr">
        <is>
          <t>Band n50 (1.5 GHz, 60 MHz)</t>
        </is>
      </c>
      <c r="Q1708" s="38">
        <f>ROUNDUP(O1708/'Methodology &amp; Assumptions'!$B$9, 0)</f>
        <v/>
      </c>
      <c r="R1708" s="39" t="n">
        <v>1</v>
      </c>
      <c r="S1708" s="25" t="n">
        <v>0.41</v>
      </c>
      <c r="T1708" s="25" t="n">
        <v>0.35</v>
      </c>
      <c r="U1708" s="42" t="inlineStr">
        <is>
          <t>Tier 1A (Direct Coloc, &lt;1 km)</t>
        </is>
      </c>
      <c r="V1708" s="24" t="n">
        <v>97.3</v>
      </c>
      <c r="W1708" s="24" t="n">
        <v>36</v>
      </c>
      <c r="X1708" s="24" t="n">
        <v>58</v>
      </c>
      <c r="Y1708" s="45">
        <f>ROUND((V1708*'Methodology &amp; Assumptions'!$B$6)+(W1708*'Methodology &amp; Assumptions'!$B$5)+(X1708*'Methodology &amp; Assumptions'!$B$7), 2)</f>
        <v/>
      </c>
    </row>
    <row r="1709" ht="19" customHeight="1">
      <c r="A1709" s="35" t="n">
        <v>705</v>
      </c>
      <c r="B1709" s="35" t="n">
        <v>4705</v>
      </c>
      <c r="C1709" s="36" t="inlineStr">
        <is>
          <t>0301420035</t>
        </is>
      </c>
      <c r="D1709" s="36" t="inlineStr">
        <is>
          <t>Region III (Central Luzon)</t>
        </is>
      </c>
      <c r="E1709" s="36" t="inlineStr">
        <is>
          <t>Bulacan</t>
        </is>
      </c>
      <c r="F1709" s="36" t="inlineStr">
        <is>
          <t>City of San Jose Del Monte</t>
        </is>
      </c>
      <c r="G1709" s="36" t="inlineStr">
        <is>
          <t>Lawang Pari</t>
        </is>
      </c>
      <c r="H1709" s="37" t="n">
        <v>14.858269</v>
      </c>
      <c r="I1709" s="37" t="n">
        <v>121.070539</v>
      </c>
      <c r="J1709" s="8" t="inlineStr">
        <is>
          <t>U</t>
        </is>
      </c>
      <c r="K1709" s="36" t="inlineStr">
        <is>
          <t>Class 1-3 / Urban</t>
        </is>
      </c>
      <c r="L1709" s="18" t="n">
        <v>5075</v>
      </c>
      <c r="M1709" s="20" t="n">
        <v>4.1</v>
      </c>
      <c r="N1709" s="18">
        <f>ROUND(L1709/M1709, 0)</f>
        <v/>
      </c>
      <c r="O1709" s="18">
        <f>ROUND(N1709*'Methodology &amp; Assumptions'!$B$8, 0)</f>
        <v/>
      </c>
      <c r="P1709" s="8" t="inlineStr">
        <is>
          <t>Band n50 (1.5 GHz, 60 MHz)</t>
        </is>
      </c>
      <c r="Q1709" s="38">
        <f>ROUNDUP(O1709/'Methodology &amp; Assumptions'!$B$9, 0)</f>
        <v/>
      </c>
      <c r="R1709" s="39" t="n">
        <v>1</v>
      </c>
      <c r="S1709" s="21" t="n">
        <v>1.58</v>
      </c>
      <c r="T1709" s="21" t="n">
        <v>4.32</v>
      </c>
      <c r="U1709" s="36" t="inlineStr">
        <is>
          <t>Tier 1B (Micro Drop, 1-3 km)</t>
        </is>
      </c>
      <c r="V1709" s="20" t="n">
        <v>59</v>
      </c>
      <c r="W1709" s="20" t="n">
        <v>100</v>
      </c>
      <c r="X1709" s="20" t="n">
        <v>28</v>
      </c>
      <c r="Y1709" s="40">
        <f>ROUND((V1709*'Methodology &amp; Assumptions'!$B$6)+(W1709*'Methodology &amp; Assumptions'!$B$5)+(X1709*'Methodology &amp; Assumptions'!$B$7), 2)</f>
        <v/>
      </c>
    </row>
    <row r="1710" ht="19" customHeight="1">
      <c r="A1710" s="41" t="n">
        <v>706</v>
      </c>
      <c r="B1710" s="41" t="n">
        <v>4706</v>
      </c>
      <c r="C1710" s="42" t="inlineStr">
        <is>
          <t>0203137042</t>
        </is>
      </c>
      <c r="D1710" s="42" t="inlineStr">
        <is>
          <t>Region II (Cagayan Valley)</t>
        </is>
      </c>
      <c r="E1710" s="42" t="inlineStr">
        <is>
          <t>Isabela</t>
        </is>
      </c>
      <c r="F1710" s="42" t="inlineStr">
        <is>
          <t>Tumauini</t>
        </is>
      </c>
      <c r="G1710" s="42" t="inlineStr">
        <is>
          <t>San Pedro</t>
        </is>
      </c>
      <c r="H1710" s="43" t="n">
        <v>17.2814</v>
      </c>
      <c r="I1710" s="43" t="n">
        <v>121.8101</v>
      </c>
      <c r="J1710" s="44" t="inlineStr">
        <is>
          <t>U</t>
        </is>
      </c>
      <c r="K1710" s="42" t="inlineStr">
        <is>
          <t>Class 1-3 / Urban</t>
        </is>
      </c>
      <c r="L1710" s="23" t="n">
        <v>2979</v>
      </c>
      <c r="M1710" s="24" t="n">
        <v>4.3</v>
      </c>
      <c r="N1710" s="23">
        <f>ROUND(L1710/M1710, 0)</f>
        <v/>
      </c>
      <c r="O1710" s="23">
        <f>ROUND(N1710*'Methodology &amp; Assumptions'!$B$8, 0)</f>
        <v/>
      </c>
      <c r="P1710" s="44" t="inlineStr">
        <is>
          <t>Band n50 (1.5 GHz, 60 MHz)</t>
        </is>
      </c>
      <c r="Q1710" s="38">
        <f>ROUNDUP(O1710/'Methodology &amp; Assumptions'!$B$9, 0)</f>
        <v/>
      </c>
      <c r="R1710" s="39" t="n">
        <v>1</v>
      </c>
      <c r="S1710" s="25" t="n">
        <v>1.09</v>
      </c>
      <c r="T1710" s="25" t="n">
        <v>0.31</v>
      </c>
      <c r="U1710" s="42" t="inlineStr">
        <is>
          <t>Tier 1B (Micro Drop, 1-3 km)</t>
        </is>
      </c>
      <c r="V1710" s="24" t="n">
        <v>79.5</v>
      </c>
      <c r="W1710" s="24" t="n">
        <v>79.5</v>
      </c>
      <c r="X1710" s="24" t="n">
        <v>28</v>
      </c>
      <c r="Y1710" s="45">
        <f>ROUND((V1710*'Methodology &amp; Assumptions'!$B$6)+(W1710*'Methodology &amp; Assumptions'!$B$5)+(X1710*'Methodology &amp; Assumptions'!$B$7), 2)</f>
        <v/>
      </c>
    </row>
    <row r="1711" ht="19" customHeight="1">
      <c r="A1711" s="35" t="n">
        <v>707</v>
      </c>
      <c r="B1711" s="35" t="n">
        <v>4707</v>
      </c>
      <c r="C1711" s="36" t="inlineStr">
        <is>
          <t>0501611007</t>
        </is>
      </c>
      <c r="D1711" s="36" t="inlineStr">
        <is>
          <t>Region V (Bicol Region)</t>
        </is>
      </c>
      <c r="E1711" s="36" t="inlineStr">
        <is>
          <t>Camarines Norte</t>
        </is>
      </c>
      <c r="F1711" s="36" t="inlineStr">
        <is>
          <t>Talisay</t>
        </is>
      </c>
      <c r="G1711" s="36" t="inlineStr">
        <is>
          <t>Itomang</t>
        </is>
      </c>
      <c r="H1711" s="37" t="n">
        <v>14.124933</v>
      </c>
      <c r="I1711" s="37" t="n">
        <v>122.937949</v>
      </c>
      <c r="J1711" s="8" t="inlineStr">
        <is>
          <t>R</t>
        </is>
      </c>
      <c r="K1711" s="36" t="inlineStr">
        <is>
          <t>4th</t>
        </is>
      </c>
      <c r="L1711" s="18" t="n">
        <v>1502</v>
      </c>
      <c r="M1711" s="20" t="n">
        <v>4.45</v>
      </c>
      <c r="N1711" s="18">
        <f>ROUND(L1711/M1711, 0)</f>
        <v/>
      </c>
      <c r="O1711" s="18">
        <f>ROUND(N1711*'Methodology &amp; Assumptions'!$B$8, 0)</f>
        <v/>
      </c>
      <c r="P1711" s="8" t="inlineStr">
        <is>
          <t>Band n50 (1.5 GHz, 60 MHz)</t>
        </is>
      </c>
      <c r="Q1711" s="38">
        <f>ROUNDUP(O1711/'Methodology &amp; Assumptions'!$B$9, 0)</f>
        <v/>
      </c>
      <c r="R1711" s="39" t="n">
        <v>1</v>
      </c>
      <c r="S1711" s="21" t="n">
        <v>2.05</v>
      </c>
      <c r="T1711" s="21" t="n">
        <v>0.52</v>
      </c>
      <c r="U1711" s="36" t="inlineStr">
        <is>
          <t>Tier 1B (Micro Drop, 1-3 km)</t>
        </is>
      </c>
      <c r="V1711" s="20" t="n">
        <v>60.4</v>
      </c>
      <c r="W1711" s="20" t="n">
        <v>50.9</v>
      </c>
      <c r="X1711" s="20" t="n">
        <v>83.5</v>
      </c>
      <c r="Y1711" s="40">
        <f>ROUND((V1711*'Methodology &amp; Assumptions'!$B$6)+(W1711*'Methodology &amp; Assumptions'!$B$5)+(X1711*'Methodology &amp; Assumptions'!$B$7), 2)</f>
        <v/>
      </c>
    </row>
    <row r="1712" ht="19" customHeight="1">
      <c r="A1712" s="41" t="n">
        <v>708</v>
      </c>
      <c r="B1712" s="41" t="n">
        <v>4708</v>
      </c>
      <c r="C1712" s="42" t="inlineStr">
        <is>
          <t>0701233009</t>
        </is>
      </c>
      <c r="D1712" s="42" t="inlineStr">
        <is>
          <t>Region VII (Central Visayas)</t>
        </is>
      </c>
      <c r="E1712" s="42" t="inlineStr">
        <is>
          <t>Bohol</t>
        </is>
      </c>
      <c r="F1712" s="42" t="inlineStr">
        <is>
          <t>Panglao</t>
        </is>
      </c>
      <c r="G1712" s="42" t="inlineStr">
        <is>
          <t>Tangnan</t>
        </is>
      </c>
      <c r="H1712" s="43" t="n">
        <v>9.609484999999999</v>
      </c>
      <c r="I1712" s="43" t="n">
        <v>123.779896</v>
      </c>
      <c r="J1712" s="44" t="inlineStr">
        <is>
          <t>R</t>
        </is>
      </c>
      <c r="K1712" s="42" t="inlineStr">
        <is>
          <t>1st</t>
        </is>
      </c>
      <c r="L1712" s="23" t="n">
        <v>4040</v>
      </c>
      <c r="M1712" s="24" t="n">
        <v>4.74</v>
      </c>
      <c r="N1712" s="23">
        <f>ROUND(L1712/M1712, 0)</f>
        <v/>
      </c>
      <c r="O1712" s="23">
        <f>ROUND(N1712*'Methodology &amp; Assumptions'!$B$8, 0)</f>
        <v/>
      </c>
      <c r="P1712" s="44" t="inlineStr">
        <is>
          <t>Band n50 (1.5 GHz, 60 MHz)</t>
        </is>
      </c>
      <c r="Q1712" s="38">
        <f>ROUNDUP(O1712/'Methodology &amp; Assumptions'!$B$9, 0)</f>
        <v/>
      </c>
      <c r="R1712" s="39" t="n">
        <v>1</v>
      </c>
      <c r="S1712" s="25" t="n">
        <v>2.68</v>
      </c>
      <c r="T1712" s="25" t="n">
        <v>8.58</v>
      </c>
      <c r="U1712" s="42" t="inlineStr">
        <is>
          <t>Tier 1B (Micro Drop, 1-3 km)</t>
        </is>
      </c>
      <c r="V1712" s="24" t="n">
        <v>41</v>
      </c>
      <c r="W1712" s="24" t="n">
        <v>92.3</v>
      </c>
      <c r="X1712" s="24" t="n">
        <v>58</v>
      </c>
      <c r="Y1712" s="45">
        <f>ROUND((V1712*'Methodology &amp; Assumptions'!$B$6)+(W1712*'Methodology &amp; Assumptions'!$B$5)+(X1712*'Methodology &amp; Assumptions'!$B$7), 2)</f>
        <v/>
      </c>
    </row>
    <row r="1713" ht="19" customHeight="1">
      <c r="A1713" s="35" t="n">
        <v>709</v>
      </c>
      <c r="B1713" s="35" t="n">
        <v>4709</v>
      </c>
      <c r="C1713" s="36" t="inlineStr">
        <is>
          <t>0631000194</t>
        </is>
      </c>
      <c r="D1713" s="36" t="inlineStr">
        <is>
          <t>Region VI (Western Visayas)</t>
        </is>
      </c>
      <c r="E1713" s="36" t="inlineStr">
        <is>
          <t>Iloilo</t>
        </is>
      </c>
      <c r="F1713" s="36" t="inlineStr">
        <is>
          <t>City of Iloilo</t>
        </is>
      </c>
      <c r="G1713" s="36" t="inlineStr">
        <is>
          <t>Yulo Drive</t>
        </is>
      </c>
      <c r="H1713" s="37" t="n">
        <v>10.685634</v>
      </c>
      <c r="I1713" s="37" t="n">
        <v>122.516871</v>
      </c>
      <c r="J1713" s="8" t="inlineStr">
        <is>
          <t>R</t>
        </is>
      </c>
      <c r="K1713" s="36" t="inlineStr">
        <is>
          <t>Class 1-3 / Urban</t>
        </is>
      </c>
      <c r="L1713" s="18" t="n">
        <v>3898</v>
      </c>
      <c r="M1713" s="20" t="n">
        <v>4.39</v>
      </c>
      <c r="N1713" s="18">
        <f>ROUND(L1713/M1713, 0)</f>
        <v/>
      </c>
      <c r="O1713" s="18">
        <f>ROUND(N1713*'Methodology &amp; Assumptions'!$B$8, 0)</f>
        <v/>
      </c>
      <c r="P1713" s="8" t="inlineStr">
        <is>
          <t>Band n50 (1.5 GHz, 60 MHz)</t>
        </is>
      </c>
      <c r="Q1713" s="38">
        <f>ROUNDUP(O1713/'Methodology &amp; Assumptions'!$B$9, 0)</f>
        <v/>
      </c>
      <c r="R1713" s="39" t="n">
        <v>1</v>
      </c>
      <c r="S1713" s="21" t="n">
        <v>2.88</v>
      </c>
      <c r="T1713" s="21" t="n">
        <v>2.19</v>
      </c>
      <c r="U1713" s="36" t="inlineStr">
        <is>
          <t>Tier 1B (Micro Drop, 1-3 km)</t>
        </is>
      </c>
      <c r="V1713" s="20" t="n">
        <v>38.3</v>
      </c>
      <c r="W1713" s="20" t="n">
        <v>94.90000000000001</v>
      </c>
      <c r="X1713" s="20" t="n">
        <v>58</v>
      </c>
      <c r="Y1713" s="40">
        <f>ROUND((V1713*'Methodology &amp; Assumptions'!$B$6)+(W1713*'Methodology &amp; Assumptions'!$B$5)+(X1713*'Methodology &amp; Assumptions'!$B$7), 2)</f>
        <v/>
      </c>
    </row>
    <row r="1714" ht="19" customHeight="1">
      <c r="A1714" s="41" t="n">
        <v>710</v>
      </c>
      <c r="B1714" s="41" t="n">
        <v>4710</v>
      </c>
      <c r="C1714" s="42" t="inlineStr">
        <is>
          <t>0501605001</t>
        </is>
      </c>
      <c r="D1714" s="42" t="inlineStr">
        <is>
          <t>Region V (Bicol Region)</t>
        </is>
      </c>
      <c r="E1714" s="42" t="inlineStr">
        <is>
          <t>Camarines Norte</t>
        </is>
      </c>
      <c r="F1714" s="42" t="inlineStr">
        <is>
          <t>Jose Panganiban</t>
        </is>
      </c>
      <c r="G1714" s="42" t="inlineStr">
        <is>
          <t>Bagong Bayan</t>
        </is>
      </c>
      <c r="H1714" s="43" t="n">
        <v>14.297277</v>
      </c>
      <c r="I1714" s="43" t="n">
        <v>122.687104</v>
      </c>
      <c r="J1714" s="44" t="inlineStr">
        <is>
          <t>R</t>
        </is>
      </c>
      <c r="K1714" s="42" t="inlineStr">
        <is>
          <t>Class 1-3 / Urban</t>
        </is>
      </c>
      <c r="L1714" s="23" t="n">
        <v>3219</v>
      </c>
      <c r="M1714" s="24" t="n">
        <v>4.4</v>
      </c>
      <c r="N1714" s="23">
        <f>ROUND(L1714/M1714, 0)</f>
        <v/>
      </c>
      <c r="O1714" s="23">
        <f>ROUND(N1714*'Methodology &amp; Assumptions'!$B$8, 0)</f>
        <v/>
      </c>
      <c r="P1714" s="44" t="inlineStr">
        <is>
          <t>Band n50 (1.5 GHz, 60 MHz)</t>
        </is>
      </c>
      <c r="Q1714" s="38">
        <f>ROUNDUP(O1714/'Methodology &amp; Assumptions'!$B$9, 0)</f>
        <v/>
      </c>
      <c r="R1714" s="39" t="n">
        <v>1</v>
      </c>
      <c r="S1714" s="25" t="n">
        <v>2.05</v>
      </c>
      <c r="T1714" s="25" t="n">
        <v>11.64</v>
      </c>
      <c r="U1714" s="42" t="inlineStr">
        <is>
          <t>Tier 1B (Micro Drop, 1-3 km)</t>
        </is>
      </c>
      <c r="V1714" s="24" t="n">
        <v>50.6</v>
      </c>
      <c r="W1714" s="24" t="n">
        <v>82.7</v>
      </c>
      <c r="X1714" s="24" t="n">
        <v>58</v>
      </c>
      <c r="Y1714" s="45">
        <f>ROUND((V1714*'Methodology &amp; Assumptions'!$B$6)+(W1714*'Methodology &amp; Assumptions'!$B$5)+(X1714*'Methodology &amp; Assumptions'!$B$7), 2)</f>
        <v/>
      </c>
    </row>
    <row r="1715" ht="19" customHeight="1">
      <c r="A1715" s="35" t="n">
        <v>711</v>
      </c>
      <c r="B1715" s="35" t="n">
        <v>4711</v>
      </c>
      <c r="C1715" s="36" t="inlineStr">
        <is>
          <t>0304920005</t>
        </is>
      </c>
      <c r="D1715" s="36" t="inlineStr">
        <is>
          <t>Region III (Central Luzon)</t>
        </is>
      </c>
      <c r="E1715" s="36" t="inlineStr">
        <is>
          <t>Nueva Ecija</t>
        </is>
      </c>
      <c r="F1715" s="36" t="inlineStr">
        <is>
          <t>Pantabangan</t>
        </is>
      </c>
      <c r="G1715" s="36" t="inlineStr">
        <is>
          <t>Ganduz</t>
        </is>
      </c>
      <c r="H1715" s="37" t="n">
        <v>15.727999</v>
      </c>
      <c r="I1715" s="37" t="n">
        <v>121.105821</v>
      </c>
      <c r="J1715" s="8" t="inlineStr">
        <is>
          <t>R</t>
        </is>
      </c>
      <c r="K1715" s="36" t="inlineStr">
        <is>
          <t>Class 1-3 / Urban</t>
        </is>
      </c>
      <c r="L1715" s="18" t="n">
        <v>2492</v>
      </c>
      <c r="M1715" s="20" t="n">
        <v>4.32</v>
      </c>
      <c r="N1715" s="18">
        <f>ROUND(L1715/M1715, 0)</f>
        <v/>
      </c>
      <c r="O1715" s="18">
        <f>ROUND(N1715*'Methodology &amp; Assumptions'!$B$8, 0)</f>
        <v/>
      </c>
      <c r="P1715" s="8" t="inlineStr">
        <is>
          <t>Band n50 (1.5 GHz, 60 MHz)</t>
        </is>
      </c>
      <c r="Q1715" s="38">
        <f>ROUNDUP(O1715/'Methodology &amp; Assumptions'!$B$9, 0)</f>
        <v/>
      </c>
      <c r="R1715" s="39" t="n">
        <v>1</v>
      </c>
      <c r="S1715" s="21" t="n">
        <v>1.9</v>
      </c>
      <c r="T1715" s="21" t="n">
        <v>1.67</v>
      </c>
      <c r="U1715" s="36" t="inlineStr">
        <is>
          <t>Tier 1B (Micro Drop, 1-3 km)</t>
        </is>
      </c>
      <c r="V1715" s="20" t="n">
        <v>63.1</v>
      </c>
      <c r="W1715" s="20" t="n">
        <v>70.09999999999999</v>
      </c>
      <c r="X1715" s="20" t="n">
        <v>58</v>
      </c>
      <c r="Y1715" s="40">
        <f>ROUND((V1715*'Methodology &amp; Assumptions'!$B$6)+(W1715*'Methodology &amp; Assumptions'!$B$5)+(X1715*'Methodology &amp; Assumptions'!$B$7), 2)</f>
        <v/>
      </c>
    </row>
    <row r="1716" ht="19" customHeight="1">
      <c r="A1716" s="41" t="n">
        <v>712</v>
      </c>
      <c r="B1716" s="41" t="n">
        <v>4712</v>
      </c>
      <c r="C1716" s="42" t="inlineStr">
        <is>
          <t>0731300011</t>
        </is>
      </c>
      <c r="D1716" s="42" t="inlineStr">
        <is>
          <t>Region VII (Central Visayas)</t>
        </is>
      </c>
      <c r="E1716" s="42" t="inlineStr">
        <is>
          <t>Cebu</t>
        </is>
      </c>
      <c r="F1716" s="42" t="inlineStr">
        <is>
          <t>City of Mandaue</t>
        </is>
      </c>
      <c r="G1716" s="42" t="inlineStr">
        <is>
          <t>Cubacub</t>
        </is>
      </c>
      <c r="H1716" s="43" t="n">
        <v>10.370056</v>
      </c>
      <c r="I1716" s="43" t="n">
        <v>123.94029</v>
      </c>
      <c r="J1716" s="44" t="inlineStr">
        <is>
          <t>U</t>
        </is>
      </c>
      <c r="K1716" s="42" t="inlineStr">
        <is>
          <t>Class 1-3 / Urban</t>
        </is>
      </c>
      <c r="L1716" s="23" t="n">
        <v>13832</v>
      </c>
      <c r="M1716" s="24" t="n">
        <v>4.42</v>
      </c>
      <c r="N1716" s="23">
        <f>ROUND(L1716/M1716, 0)</f>
        <v/>
      </c>
      <c r="O1716" s="23">
        <f>ROUND(N1716*'Methodology &amp; Assumptions'!$B$8, 0)</f>
        <v/>
      </c>
      <c r="P1716" s="44" t="inlineStr">
        <is>
          <t>Band n50 (1.5 GHz, 60 MHz)</t>
        </is>
      </c>
      <c r="Q1716" s="38">
        <f>ROUNDUP(O1716/'Methodology &amp; Assumptions'!$B$9, 0)</f>
        <v/>
      </c>
      <c r="R1716" s="39" t="n">
        <v>1</v>
      </c>
      <c r="S1716" s="25" t="n">
        <v>2.14</v>
      </c>
      <c r="T1716" s="25" t="n">
        <v>0.77</v>
      </c>
      <c r="U1716" s="42" t="inlineStr">
        <is>
          <t>Tier 1B (Micro Drop, 1-3 km)</t>
        </is>
      </c>
      <c r="V1716" s="24" t="n">
        <v>59</v>
      </c>
      <c r="W1716" s="24" t="n">
        <v>100</v>
      </c>
      <c r="X1716" s="24" t="n">
        <v>28</v>
      </c>
      <c r="Y1716" s="45">
        <f>ROUND((V1716*'Methodology &amp; Assumptions'!$B$6)+(W1716*'Methodology &amp; Assumptions'!$B$5)+(X1716*'Methodology &amp; Assumptions'!$B$7), 2)</f>
        <v/>
      </c>
    </row>
    <row r="1717" ht="19" customHeight="1">
      <c r="A1717" s="35" t="n">
        <v>713</v>
      </c>
      <c r="B1717" s="35" t="n">
        <v>4713</v>
      </c>
      <c r="C1717" s="36" t="inlineStr">
        <is>
          <t>0105508010</t>
        </is>
      </c>
      <c r="D1717" s="36" t="inlineStr">
        <is>
          <t>Region I (Ilocos Region)</t>
        </is>
      </c>
      <c r="E1717" s="36" t="inlineStr">
        <is>
          <t>Pangasinan</t>
        </is>
      </c>
      <c r="F1717" s="36" t="inlineStr">
        <is>
          <t>Bani</t>
        </is>
      </c>
      <c r="G1717" s="36" t="inlineStr">
        <is>
          <t>Dacap Sur</t>
        </is>
      </c>
      <c r="H1717" s="37" t="n">
        <v>16.23087</v>
      </c>
      <c r="I1717" s="37" t="n">
        <v>119.80036</v>
      </c>
      <c r="J1717" s="8" t="inlineStr">
        <is>
          <t>R</t>
        </is>
      </c>
      <c r="K1717" s="36" t="inlineStr">
        <is>
          <t>Class 1-3 / Urban</t>
        </is>
      </c>
      <c r="L1717" s="18" t="n">
        <v>3024</v>
      </c>
      <c r="M1717" s="20" t="n">
        <v>4.39</v>
      </c>
      <c r="N1717" s="18">
        <f>ROUND(L1717/M1717, 0)</f>
        <v/>
      </c>
      <c r="O1717" s="18">
        <f>ROUND(N1717*'Methodology &amp; Assumptions'!$B$8, 0)</f>
        <v/>
      </c>
      <c r="P1717" s="8" t="inlineStr">
        <is>
          <t>Band n50 (1.5 GHz, 60 MHz)</t>
        </is>
      </c>
      <c r="Q1717" s="38">
        <f>ROUNDUP(O1717/'Methodology &amp; Assumptions'!$B$9, 0)</f>
        <v/>
      </c>
      <c r="R1717" s="39" t="n">
        <v>1</v>
      </c>
      <c r="S1717" s="21" t="n">
        <v>1.85</v>
      </c>
      <c r="T1717" s="21" t="n">
        <v>6.34</v>
      </c>
      <c r="U1717" s="36" t="inlineStr">
        <is>
          <t>Tier 1B (Micro Drop, 1-3 km)</t>
        </is>
      </c>
      <c r="V1717" s="20" t="n">
        <v>54</v>
      </c>
      <c r="W1717" s="20" t="n">
        <v>79.2</v>
      </c>
      <c r="X1717" s="20" t="n">
        <v>58</v>
      </c>
      <c r="Y1717" s="40">
        <f>ROUND((V1717*'Methodology &amp; Assumptions'!$B$6)+(W1717*'Methodology &amp; Assumptions'!$B$5)+(X1717*'Methodology &amp; Assumptions'!$B$7), 2)</f>
        <v/>
      </c>
    </row>
    <row r="1718" ht="19" customHeight="1">
      <c r="A1718" s="41" t="n">
        <v>714</v>
      </c>
      <c r="B1718" s="41" t="n">
        <v>4714</v>
      </c>
      <c r="C1718" s="42" t="inlineStr">
        <is>
          <t>0201527010</t>
        </is>
      </c>
      <c r="D1718" s="42" t="inlineStr">
        <is>
          <t>Region II (Cagayan Valley)</t>
        </is>
      </c>
      <c r="E1718" s="42" t="inlineStr">
        <is>
          <t>Cagayan</t>
        </is>
      </c>
      <c r="F1718" s="42" t="inlineStr">
        <is>
          <t>Solana</t>
        </is>
      </c>
      <c r="G1718" s="42" t="inlineStr">
        <is>
          <t>Cattaran</t>
        </is>
      </c>
      <c r="H1718" s="43" t="n">
        <v>17.7084</v>
      </c>
      <c r="I1718" s="43" t="n">
        <v>121.7129</v>
      </c>
      <c r="J1718" s="44" t="inlineStr">
        <is>
          <t>R</t>
        </is>
      </c>
      <c r="K1718" s="42" t="inlineStr">
        <is>
          <t>Class 1-3 / Urban</t>
        </is>
      </c>
      <c r="L1718" s="23" t="n">
        <v>2780</v>
      </c>
      <c r="M1718" s="24" t="n">
        <v>4.38</v>
      </c>
      <c r="N1718" s="23">
        <f>ROUND(L1718/M1718, 0)</f>
        <v/>
      </c>
      <c r="O1718" s="23">
        <f>ROUND(N1718*'Methodology &amp; Assumptions'!$B$8, 0)</f>
        <v/>
      </c>
      <c r="P1718" s="44" t="inlineStr">
        <is>
          <t>Band n50 (1.5 GHz, 60 MHz)</t>
        </is>
      </c>
      <c r="Q1718" s="38">
        <f>ROUNDUP(O1718/'Methodology &amp; Assumptions'!$B$9, 0)</f>
        <v/>
      </c>
      <c r="R1718" s="39" t="n">
        <v>1</v>
      </c>
      <c r="S1718" s="25" t="n">
        <v>1.61</v>
      </c>
      <c r="T1718" s="25" t="n">
        <v>3.08</v>
      </c>
      <c r="U1718" s="42" t="inlineStr">
        <is>
          <t>Tier 1B (Micro Drop, 1-3 km)</t>
        </is>
      </c>
      <c r="V1718" s="24" t="n">
        <v>58.5</v>
      </c>
      <c r="W1718" s="24" t="n">
        <v>74.7</v>
      </c>
      <c r="X1718" s="24" t="n">
        <v>58</v>
      </c>
      <c r="Y1718" s="45">
        <f>ROUND((V1718*'Methodology &amp; Assumptions'!$B$6)+(W1718*'Methodology &amp; Assumptions'!$B$5)+(X1718*'Methodology &amp; Assumptions'!$B$7), 2)</f>
        <v/>
      </c>
    </row>
    <row r="1719" ht="19" customHeight="1">
      <c r="A1719" s="35" t="n">
        <v>715</v>
      </c>
      <c r="B1719" s="35" t="n">
        <v>4715</v>
      </c>
      <c r="C1719" s="36" t="inlineStr">
        <is>
          <t>0304930004</t>
        </is>
      </c>
      <c r="D1719" s="36" t="inlineStr">
        <is>
          <t>Region III (Central Luzon)</t>
        </is>
      </c>
      <c r="E1719" s="36" t="inlineStr">
        <is>
          <t>Nueva Ecija</t>
        </is>
      </c>
      <c r="F1719" s="36" t="inlineStr">
        <is>
          <t>Talavera</t>
        </is>
      </c>
      <c r="G1719" s="36" t="inlineStr">
        <is>
          <t>Bakal I</t>
        </is>
      </c>
      <c r="H1719" s="37" t="n">
        <v>15.69721</v>
      </c>
      <c r="I1719" s="37" t="n">
        <v>120.89939</v>
      </c>
      <c r="J1719" s="8" t="inlineStr">
        <is>
          <t>R</t>
        </is>
      </c>
      <c r="K1719" s="36" t="inlineStr">
        <is>
          <t>Class 1-3 / Urban</t>
        </is>
      </c>
      <c r="L1719" s="18" t="n">
        <v>2671</v>
      </c>
      <c r="M1719" s="20" t="n">
        <v>4.32</v>
      </c>
      <c r="N1719" s="18">
        <f>ROUND(L1719/M1719, 0)</f>
        <v/>
      </c>
      <c r="O1719" s="18">
        <f>ROUND(N1719*'Methodology &amp; Assumptions'!$B$8, 0)</f>
        <v/>
      </c>
      <c r="P1719" s="8" t="inlineStr">
        <is>
          <t>Band n50 (1.5 GHz, 60 MHz)</t>
        </is>
      </c>
      <c r="Q1719" s="38">
        <f>ROUNDUP(O1719/'Methodology &amp; Assumptions'!$B$9, 0)</f>
        <v/>
      </c>
      <c r="R1719" s="39" t="n">
        <v>1</v>
      </c>
      <c r="S1719" s="21" t="n">
        <v>2.09</v>
      </c>
      <c r="T1719" s="21" t="n">
        <v>0.21</v>
      </c>
      <c r="U1719" s="36" t="inlineStr">
        <is>
          <t>Tier 1B (Micro Drop, 1-3 km)</t>
        </is>
      </c>
      <c r="V1719" s="20" t="n">
        <v>59.9</v>
      </c>
      <c r="W1719" s="20" t="n">
        <v>73.3</v>
      </c>
      <c r="X1719" s="20" t="n">
        <v>58</v>
      </c>
      <c r="Y1719" s="40">
        <f>ROUND((V1719*'Methodology &amp; Assumptions'!$B$6)+(W1719*'Methodology &amp; Assumptions'!$B$5)+(X1719*'Methodology &amp; Assumptions'!$B$7), 2)</f>
        <v/>
      </c>
    </row>
    <row r="1720" ht="19" customHeight="1">
      <c r="A1720" s="41" t="n">
        <v>716</v>
      </c>
      <c r="B1720" s="41" t="n">
        <v>4716</v>
      </c>
      <c r="C1720" s="42" t="inlineStr">
        <is>
          <t>1600203030</t>
        </is>
      </c>
      <c r="D1720" s="42" t="inlineStr">
        <is>
          <t>Region XIII (Caraga)</t>
        </is>
      </c>
      <c r="E1720" s="42" t="inlineStr">
        <is>
          <t>Agusan del Norte</t>
        </is>
      </c>
      <c r="F1720" s="42" t="inlineStr">
        <is>
          <t>City of Cabadbaran</t>
        </is>
      </c>
      <c r="G1720" s="42" t="inlineStr">
        <is>
          <t>Poblacion 7</t>
        </is>
      </c>
      <c r="H1720" s="43" t="n">
        <v>9.125928999999999</v>
      </c>
      <c r="I1720" s="43" t="n">
        <v>125.535742</v>
      </c>
      <c r="J1720" s="44" t="inlineStr">
        <is>
          <t>R</t>
        </is>
      </c>
      <c r="K1720" s="42" t="inlineStr">
        <is>
          <t>Class 1-3 / Urban</t>
        </is>
      </c>
      <c r="L1720" s="23" t="n">
        <v>2275</v>
      </c>
      <c r="M1720" s="24" t="n">
        <v>4.63</v>
      </c>
      <c r="N1720" s="23">
        <f>ROUND(L1720/M1720, 0)</f>
        <v/>
      </c>
      <c r="O1720" s="23">
        <f>ROUND(N1720*'Methodology &amp; Assumptions'!$B$8, 0)</f>
        <v/>
      </c>
      <c r="P1720" s="44" t="inlineStr">
        <is>
          <t>Band n50 (1.5 GHz, 60 MHz)</t>
        </is>
      </c>
      <c r="Q1720" s="38">
        <f>ROUNDUP(O1720/'Methodology &amp; Assumptions'!$B$9, 0)</f>
        <v/>
      </c>
      <c r="R1720" s="39" t="n">
        <v>1</v>
      </c>
      <c r="S1720" s="25" t="n">
        <v>1.53</v>
      </c>
      <c r="T1720" s="25" t="n">
        <v>0.66</v>
      </c>
      <c r="U1720" s="42" t="inlineStr">
        <is>
          <t>Tier 1B (Micro Drop, 1-3 km)</t>
        </is>
      </c>
      <c r="V1720" s="24" t="n">
        <v>70</v>
      </c>
      <c r="W1720" s="24" t="n">
        <v>63.2</v>
      </c>
      <c r="X1720" s="24" t="n">
        <v>58</v>
      </c>
      <c r="Y1720" s="45">
        <f>ROUND((V1720*'Methodology &amp; Assumptions'!$B$6)+(W1720*'Methodology &amp; Assumptions'!$B$5)+(X1720*'Methodology &amp; Assumptions'!$B$7), 2)</f>
        <v/>
      </c>
    </row>
    <row r="1721" ht="19" customHeight="1">
      <c r="A1721" s="35" t="n">
        <v>717</v>
      </c>
      <c r="B1721" s="35" t="n">
        <v>4717</v>
      </c>
      <c r="C1721" s="36" t="inlineStr">
        <is>
          <t>0403413013</t>
        </is>
      </c>
      <c r="D1721" s="36" t="inlineStr">
        <is>
          <t>Region IV-A (CALABARZON)</t>
        </is>
      </c>
      <c r="E1721" s="36" t="inlineStr">
        <is>
          <t>Laguna</t>
        </is>
      </c>
      <c r="F1721" s="36" t="inlineStr">
        <is>
          <t>Lumban</t>
        </is>
      </c>
      <c r="G1721" s="36" t="inlineStr">
        <is>
          <t>Segunda Parang</t>
        </is>
      </c>
      <c r="H1721" s="37" t="n">
        <v>14.302759</v>
      </c>
      <c r="I1721" s="37" t="n">
        <v>121.459507</v>
      </c>
      <c r="J1721" s="8" t="inlineStr">
        <is>
          <t>R</t>
        </is>
      </c>
      <c r="K1721" s="36" t="inlineStr">
        <is>
          <t>Class 1-3 / Urban</t>
        </is>
      </c>
      <c r="L1721" s="18" t="n">
        <v>1199</v>
      </c>
      <c r="M1721" s="20" t="n">
        <v>4.2</v>
      </c>
      <c r="N1721" s="18">
        <f>ROUND(L1721/M1721, 0)</f>
        <v/>
      </c>
      <c r="O1721" s="18">
        <f>ROUND(N1721*'Methodology &amp; Assumptions'!$B$8, 0)</f>
        <v/>
      </c>
      <c r="P1721" s="8" t="inlineStr">
        <is>
          <t>Band n50 (1.5 GHz, 60 MHz)</t>
        </is>
      </c>
      <c r="Q1721" s="38">
        <f>ROUNDUP(O1721/'Methodology &amp; Assumptions'!$B$9, 0)</f>
        <v/>
      </c>
      <c r="R1721" s="39" t="n">
        <v>1</v>
      </c>
      <c r="S1721" s="21" t="n">
        <v>0.8100000000000001</v>
      </c>
      <c r="T1721" s="21" t="n">
        <v>0.6</v>
      </c>
      <c r="U1721" s="36" t="inlineStr">
        <is>
          <t>Tier 1A (Direct Coloc, &lt;1 km)</t>
        </is>
      </c>
      <c r="V1721" s="20" t="n">
        <v>86.3</v>
      </c>
      <c r="W1721" s="20" t="n">
        <v>46.9</v>
      </c>
      <c r="X1721" s="20" t="n">
        <v>58</v>
      </c>
      <c r="Y1721" s="40">
        <f>ROUND((V1721*'Methodology &amp; Assumptions'!$B$6)+(W1721*'Methodology &amp; Assumptions'!$B$5)+(X1721*'Methodology &amp; Assumptions'!$B$7), 2)</f>
        <v/>
      </c>
    </row>
    <row r="1722" ht="19" customHeight="1">
      <c r="A1722" s="41" t="n">
        <v>718</v>
      </c>
      <c r="B1722" s="41" t="n">
        <v>4718</v>
      </c>
      <c r="C1722" s="42" t="inlineStr">
        <is>
          <t>0803715016</t>
        </is>
      </c>
      <c r="D1722" s="42" t="inlineStr">
        <is>
          <t>Region VIII (Eastern Visayas)</t>
        </is>
      </c>
      <c r="E1722" s="42" t="inlineStr">
        <is>
          <t>Leyte</t>
        </is>
      </c>
      <c r="F1722" s="42" t="inlineStr">
        <is>
          <t>Carigara</t>
        </is>
      </c>
      <c r="G1722" s="42" t="inlineStr">
        <is>
          <t>East Visoria</t>
        </is>
      </c>
      <c r="H1722" s="43" t="n">
        <v>11.302285</v>
      </c>
      <c r="I1722" s="43" t="n">
        <v>124.682991</v>
      </c>
      <c r="J1722" s="44" t="inlineStr">
        <is>
          <t>R</t>
        </is>
      </c>
      <c r="K1722" s="42" t="inlineStr">
        <is>
          <t>Class 1-3 / Urban</t>
        </is>
      </c>
      <c r="L1722" s="23" t="n">
        <v>1130</v>
      </c>
      <c r="M1722" s="24" t="n">
        <v>4.24</v>
      </c>
      <c r="N1722" s="23">
        <f>ROUND(L1722/M1722, 0)</f>
        <v/>
      </c>
      <c r="O1722" s="23">
        <f>ROUND(N1722*'Methodology &amp; Assumptions'!$B$8, 0)</f>
        <v/>
      </c>
      <c r="P1722" s="44" t="inlineStr">
        <is>
          <t>Band n50 (1.5 GHz, 60 MHz)</t>
        </is>
      </c>
      <c r="Q1722" s="38">
        <f>ROUNDUP(O1722/'Methodology &amp; Assumptions'!$B$9, 0)</f>
        <v/>
      </c>
      <c r="R1722" s="39" t="n">
        <v>1</v>
      </c>
      <c r="S1722" s="25" t="n">
        <v>0.75</v>
      </c>
      <c r="T1722" s="25" t="n">
        <v>0.52</v>
      </c>
      <c r="U1722" s="42" t="inlineStr">
        <is>
          <t>Tier 1A (Direct Coloc, &lt;1 km)</t>
        </is>
      </c>
      <c r="V1722" s="24" t="n">
        <v>87.90000000000001</v>
      </c>
      <c r="W1722" s="24" t="n">
        <v>45.3</v>
      </c>
      <c r="X1722" s="24" t="n">
        <v>58</v>
      </c>
      <c r="Y1722" s="45">
        <f>ROUND((V1722*'Methodology &amp; Assumptions'!$B$6)+(W1722*'Methodology &amp; Assumptions'!$B$5)+(X1722*'Methodology &amp; Assumptions'!$B$7), 2)</f>
        <v/>
      </c>
    </row>
    <row r="1723" ht="19" customHeight="1">
      <c r="A1723" s="35" t="n">
        <v>719</v>
      </c>
      <c r="B1723" s="35" t="n">
        <v>4719</v>
      </c>
      <c r="C1723" s="36" t="inlineStr">
        <is>
          <t>0908305024</t>
        </is>
      </c>
      <c r="D1723" s="36" t="inlineStr">
        <is>
          <t>Region IX (Zamboanga Peninsula)</t>
        </is>
      </c>
      <c r="E1723" s="36" t="inlineStr">
        <is>
          <t>Zamboanga Sibugay</t>
        </is>
      </c>
      <c r="F1723" s="36" t="inlineStr">
        <is>
          <t>Ipil</t>
        </is>
      </c>
      <c r="G1723" s="36" t="inlineStr">
        <is>
          <t>Sanito</t>
        </is>
      </c>
      <c r="H1723" s="37" t="n">
        <v>7.791812</v>
      </c>
      <c r="I1723" s="37" t="n">
        <v>122.599049</v>
      </c>
      <c r="J1723" s="8" t="inlineStr">
        <is>
          <t>U</t>
        </is>
      </c>
      <c r="K1723" s="36" t="inlineStr">
        <is>
          <t>Class 1-3 / Urban</t>
        </is>
      </c>
      <c r="L1723" s="18" t="n">
        <v>9739</v>
      </c>
      <c r="M1723" s="20" t="n">
        <v>5.06</v>
      </c>
      <c r="N1723" s="18">
        <f>ROUND(L1723/M1723, 0)</f>
        <v/>
      </c>
      <c r="O1723" s="18">
        <f>ROUND(N1723*'Methodology &amp; Assumptions'!$B$8, 0)</f>
        <v/>
      </c>
      <c r="P1723" s="8" t="inlineStr">
        <is>
          <t>Band n50 (1.5 GHz, 60 MHz)</t>
        </is>
      </c>
      <c r="Q1723" s="38">
        <f>ROUNDUP(O1723/'Methodology &amp; Assumptions'!$B$9, 0)</f>
        <v/>
      </c>
      <c r="R1723" s="39" t="n">
        <v>1</v>
      </c>
      <c r="S1723" s="21" t="n">
        <v>2.15</v>
      </c>
      <c r="T1723" s="21" t="n">
        <v>0.3</v>
      </c>
      <c r="U1723" s="36" t="inlineStr">
        <is>
          <t>Tier 1B (Micro Drop, 1-3 km)</t>
        </is>
      </c>
      <c r="V1723" s="20" t="n">
        <v>58.9</v>
      </c>
      <c r="W1723" s="20" t="n">
        <v>100</v>
      </c>
      <c r="X1723" s="20" t="n">
        <v>28</v>
      </c>
      <c r="Y1723" s="40">
        <f>ROUND((V1723*'Methodology &amp; Assumptions'!$B$6)+(W1723*'Methodology &amp; Assumptions'!$B$5)+(X1723*'Methodology &amp; Assumptions'!$B$7), 2)</f>
        <v/>
      </c>
    </row>
    <row r="1724" ht="19" customHeight="1">
      <c r="A1724" s="41" t="n">
        <v>720</v>
      </c>
      <c r="B1724" s="41" t="n">
        <v>4720</v>
      </c>
      <c r="C1724" s="42" t="inlineStr">
        <is>
          <t>0105505011</t>
        </is>
      </c>
      <c r="D1724" s="42" t="inlineStr">
        <is>
          <t>Region I (Ilocos Region)</t>
        </is>
      </c>
      <c r="E1724" s="42" t="inlineStr">
        <is>
          <t>Pangasinan</t>
        </is>
      </c>
      <c r="F1724" s="42" t="inlineStr">
        <is>
          <t>Anda</t>
        </is>
      </c>
      <c r="G1724" s="42" t="inlineStr">
        <is>
          <t>Mal-ong</t>
        </is>
      </c>
      <c r="H1724" s="43" t="n">
        <v>16.301651</v>
      </c>
      <c r="I1724" s="43" t="n">
        <v>119.934454</v>
      </c>
      <c r="J1724" s="44" t="inlineStr">
        <is>
          <t>R</t>
        </is>
      </c>
      <c r="K1724" s="42" t="inlineStr">
        <is>
          <t>Class 1-3 / Urban</t>
        </is>
      </c>
      <c r="L1724" s="23" t="n">
        <v>3222</v>
      </c>
      <c r="M1724" s="24" t="n">
        <v>4.39</v>
      </c>
      <c r="N1724" s="23">
        <f>ROUND(L1724/M1724, 0)</f>
        <v/>
      </c>
      <c r="O1724" s="23">
        <f>ROUND(N1724*'Methodology &amp; Assumptions'!$B$8, 0)</f>
        <v/>
      </c>
      <c r="P1724" s="44" t="inlineStr">
        <is>
          <t>Band n50 (1.5 GHz, 60 MHz)</t>
        </is>
      </c>
      <c r="Q1724" s="38">
        <f>ROUNDUP(O1724/'Methodology &amp; Assumptions'!$B$9, 0)</f>
        <v/>
      </c>
      <c r="R1724" s="39" t="n">
        <v>1</v>
      </c>
      <c r="S1724" s="25" t="n">
        <v>2.05</v>
      </c>
      <c r="T1724" s="25" t="n">
        <v>4.01</v>
      </c>
      <c r="U1724" s="42" t="inlineStr">
        <is>
          <t>Tier 1B (Micro Drop, 1-3 km)</t>
        </is>
      </c>
      <c r="V1724" s="24" t="n">
        <v>50.5</v>
      </c>
      <c r="W1724" s="24" t="n">
        <v>82.7</v>
      </c>
      <c r="X1724" s="24" t="n">
        <v>58</v>
      </c>
      <c r="Y1724" s="45">
        <f>ROUND((V1724*'Methodology &amp; Assumptions'!$B$6)+(W1724*'Methodology &amp; Assumptions'!$B$5)+(X1724*'Methodology &amp; Assumptions'!$B$7), 2)</f>
        <v/>
      </c>
    </row>
    <row r="1725" ht="19" customHeight="1">
      <c r="A1725" s="35" t="n">
        <v>721</v>
      </c>
      <c r="B1725" s="35" t="n">
        <v>4721</v>
      </c>
      <c r="C1725" s="36" t="inlineStr">
        <is>
          <t>0105525043</t>
        </is>
      </c>
      <c r="D1725" s="36" t="inlineStr">
        <is>
          <t>Region I (Ilocos Region)</t>
        </is>
      </c>
      <c r="E1725" s="36" t="inlineStr">
        <is>
          <t>Pangasinan</t>
        </is>
      </c>
      <c r="F1725" s="36" t="inlineStr">
        <is>
          <t>Manaoag</t>
        </is>
      </c>
      <c r="G1725" s="36" t="inlineStr">
        <is>
          <t>Sapang</t>
        </is>
      </c>
      <c r="H1725" s="37" t="n">
        <v>16.04681</v>
      </c>
      <c r="I1725" s="37" t="n">
        <v>120.5017</v>
      </c>
      <c r="J1725" s="8" t="inlineStr">
        <is>
          <t>R</t>
        </is>
      </c>
      <c r="K1725" s="36" t="inlineStr">
        <is>
          <t>Class 1-3 / Urban</t>
        </is>
      </c>
      <c r="L1725" s="18" t="n">
        <v>3083</v>
      </c>
      <c r="M1725" s="20" t="n">
        <v>4.39</v>
      </c>
      <c r="N1725" s="18">
        <f>ROUND(L1725/M1725, 0)</f>
        <v/>
      </c>
      <c r="O1725" s="18">
        <f>ROUND(N1725*'Methodology &amp; Assumptions'!$B$8, 0)</f>
        <v/>
      </c>
      <c r="P1725" s="8" t="inlineStr">
        <is>
          <t>Band n50 (1.5 GHz, 60 MHz)</t>
        </is>
      </c>
      <c r="Q1725" s="38">
        <f>ROUNDUP(O1725/'Methodology &amp; Assumptions'!$B$9, 0)</f>
        <v/>
      </c>
      <c r="R1725" s="39" t="n">
        <v>1</v>
      </c>
      <c r="S1725" s="21" t="n">
        <v>1.91</v>
      </c>
      <c r="T1725" s="21" t="n">
        <v>7.52</v>
      </c>
      <c r="U1725" s="36" t="inlineStr">
        <is>
          <t>Tier 1B (Micro Drop, 1-3 km)</t>
        </is>
      </c>
      <c r="V1725" s="20" t="n">
        <v>52.9</v>
      </c>
      <c r="W1725" s="20" t="n">
        <v>80.3</v>
      </c>
      <c r="X1725" s="20" t="n">
        <v>58</v>
      </c>
      <c r="Y1725" s="40">
        <f>ROUND((V1725*'Methodology &amp; Assumptions'!$B$6)+(W1725*'Methodology &amp; Assumptions'!$B$5)+(X1725*'Methodology &amp; Assumptions'!$B$7), 2)</f>
        <v/>
      </c>
    </row>
    <row r="1726" ht="19" customHeight="1">
      <c r="A1726" s="41" t="n">
        <v>722</v>
      </c>
      <c r="B1726" s="41" t="n">
        <v>4722</v>
      </c>
      <c r="C1726" s="42" t="inlineStr">
        <is>
          <t>0600403014</t>
        </is>
      </c>
      <c r="D1726" s="42" t="inlineStr">
        <is>
          <t>Region VI (Western Visayas)</t>
        </is>
      </c>
      <c r="E1726" s="42" t="inlineStr">
        <is>
          <t>Aklan</t>
        </is>
      </c>
      <c r="F1726" s="42" t="inlineStr">
        <is>
          <t>Banga</t>
        </is>
      </c>
      <c r="G1726" s="42" t="inlineStr">
        <is>
          <t>Mambog</t>
        </is>
      </c>
      <c r="H1726" s="43" t="n">
        <v>11.643753</v>
      </c>
      <c r="I1726" s="43" t="n">
        <v>122.343344</v>
      </c>
      <c r="J1726" s="44" t="inlineStr">
        <is>
          <t>R</t>
        </is>
      </c>
      <c r="K1726" s="42" t="inlineStr">
        <is>
          <t>Class 1-3 / Urban</t>
        </is>
      </c>
      <c r="L1726" s="23" t="n">
        <v>2003</v>
      </c>
      <c r="M1726" s="24" t="n">
        <v>4.27</v>
      </c>
      <c r="N1726" s="23">
        <f>ROUND(L1726/M1726, 0)</f>
        <v/>
      </c>
      <c r="O1726" s="23">
        <f>ROUND(N1726*'Methodology &amp; Assumptions'!$B$8, 0)</f>
        <v/>
      </c>
      <c r="P1726" s="44" t="inlineStr">
        <is>
          <t>Band n50 (1.5 GHz, 60 MHz)</t>
        </is>
      </c>
      <c r="Q1726" s="38">
        <f>ROUNDUP(O1726/'Methodology &amp; Assumptions'!$B$9, 0)</f>
        <v/>
      </c>
      <c r="R1726" s="39" t="n">
        <v>1</v>
      </c>
      <c r="S1726" s="25" t="n">
        <v>1.45</v>
      </c>
      <c r="T1726" s="25" t="n">
        <v>0.43</v>
      </c>
      <c r="U1726" s="42" t="inlineStr">
        <is>
          <t>Tier 1B (Micro Drop, 1-3 km)</t>
        </is>
      </c>
      <c r="V1726" s="24" t="n">
        <v>71.59999999999999</v>
      </c>
      <c r="W1726" s="24" t="n">
        <v>61.6</v>
      </c>
      <c r="X1726" s="24" t="n">
        <v>58</v>
      </c>
      <c r="Y1726" s="45">
        <f>ROUND((V1726*'Methodology &amp; Assumptions'!$B$6)+(W1726*'Methodology &amp; Assumptions'!$B$5)+(X1726*'Methodology &amp; Assumptions'!$B$7), 2)</f>
        <v/>
      </c>
    </row>
    <row r="1727" ht="19" customHeight="1">
      <c r="A1727" s="35" t="n">
        <v>723</v>
      </c>
      <c r="B1727" s="35" t="n">
        <v>4723</v>
      </c>
      <c r="C1727" s="36" t="inlineStr">
        <is>
          <t>0300810003</t>
        </is>
      </c>
      <c r="D1727" s="36" t="inlineStr">
        <is>
          <t>Region III (Central Luzon)</t>
        </is>
      </c>
      <c r="E1727" s="36" t="inlineStr">
        <is>
          <t>Bataan</t>
        </is>
      </c>
      <c r="F1727" s="36" t="inlineStr">
        <is>
          <t>Orion</t>
        </is>
      </c>
      <c r="G1727" s="36" t="inlineStr">
        <is>
          <t>Balagtas</t>
        </is>
      </c>
      <c r="H1727" s="37" t="n">
        <v>14.626682</v>
      </c>
      <c r="I1727" s="37" t="n">
        <v>120.574949</v>
      </c>
      <c r="J1727" s="8" t="inlineStr">
        <is>
          <t>R</t>
        </is>
      </c>
      <c r="K1727" s="36" t="inlineStr">
        <is>
          <t>Class 1-3 / Urban</t>
        </is>
      </c>
      <c r="L1727" s="18" t="n">
        <v>1995</v>
      </c>
      <c r="M1727" s="20" t="n">
        <v>4.57</v>
      </c>
      <c r="N1727" s="18">
        <f>ROUND(L1727/M1727, 0)</f>
        <v/>
      </c>
      <c r="O1727" s="18">
        <f>ROUND(N1727*'Methodology &amp; Assumptions'!$B$8, 0)</f>
        <v/>
      </c>
      <c r="P1727" s="8" t="inlineStr">
        <is>
          <t>Band n50 (1.5 GHz, 60 MHz)</t>
        </is>
      </c>
      <c r="Q1727" s="38">
        <f>ROUNDUP(O1727/'Methodology &amp; Assumptions'!$B$9, 0)</f>
        <v/>
      </c>
      <c r="R1727" s="39" t="n">
        <v>1</v>
      </c>
      <c r="S1727" s="21" t="n">
        <v>1.33</v>
      </c>
      <c r="T1727" s="21" t="n">
        <v>0.09</v>
      </c>
      <c r="U1727" s="36" t="inlineStr">
        <is>
          <t>Tier 1B (Micro Drop, 1-3 km)</t>
        </is>
      </c>
      <c r="V1727" s="20" t="n">
        <v>74.2</v>
      </c>
      <c r="W1727" s="20" t="n">
        <v>58.9</v>
      </c>
      <c r="X1727" s="20" t="n">
        <v>58</v>
      </c>
      <c r="Y1727" s="40">
        <f>ROUND((V1727*'Methodology &amp; Assumptions'!$B$6)+(W1727*'Methodology &amp; Assumptions'!$B$5)+(X1727*'Methodology &amp; Assumptions'!$B$7), 2)</f>
        <v/>
      </c>
    </row>
    <row r="1728" ht="19" customHeight="1">
      <c r="A1728" s="41" t="n">
        <v>724</v>
      </c>
      <c r="B1728" s="41" t="n">
        <v>4724</v>
      </c>
      <c r="C1728" s="42" t="inlineStr">
        <is>
          <t>0405645002</t>
        </is>
      </c>
      <c r="D1728" s="42" t="inlineStr">
        <is>
          <t>Region IV-A (CALABARZON)</t>
        </is>
      </c>
      <c r="E1728" s="42" t="inlineStr">
        <is>
          <t>Quezon</t>
        </is>
      </c>
      <c r="F1728" s="42" t="inlineStr">
        <is>
          <t>Sariaya</t>
        </is>
      </c>
      <c r="G1728" s="42" t="inlineStr">
        <is>
          <t>Balubal</t>
        </is>
      </c>
      <c r="H1728" s="43" t="n">
        <v>13.96723</v>
      </c>
      <c r="I1728" s="43" t="n">
        <v>121.536253</v>
      </c>
      <c r="J1728" s="44" t="inlineStr">
        <is>
          <t>U</t>
        </is>
      </c>
      <c r="K1728" s="42" t="inlineStr">
        <is>
          <t>Class 1-3 / Urban</t>
        </is>
      </c>
      <c r="L1728" s="23" t="n">
        <v>5304</v>
      </c>
      <c r="M1728" s="24" t="n">
        <v>4.46</v>
      </c>
      <c r="N1728" s="23">
        <f>ROUND(L1728/M1728, 0)</f>
        <v/>
      </c>
      <c r="O1728" s="23">
        <f>ROUND(N1728*'Methodology &amp; Assumptions'!$B$8, 0)</f>
        <v/>
      </c>
      <c r="P1728" s="44" t="inlineStr">
        <is>
          <t>Band n50 (1.5 GHz, 60 MHz)</t>
        </is>
      </c>
      <c r="Q1728" s="38">
        <f>ROUNDUP(O1728/'Methodology &amp; Assumptions'!$B$9, 0)</f>
        <v/>
      </c>
      <c r="R1728" s="39" t="n">
        <v>1</v>
      </c>
      <c r="S1728" s="25" t="n">
        <v>2.15</v>
      </c>
      <c r="T1728" s="25" t="n">
        <v>0.11</v>
      </c>
      <c r="U1728" s="42" t="inlineStr">
        <is>
          <t>Tier 1B (Micro Drop, 1-3 km)</t>
        </is>
      </c>
      <c r="V1728" s="24" t="n">
        <v>58.9</v>
      </c>
      <c r="W1728" s="24" t="n">
        <v>100</v>
      </c>
      <c r="X1728" s="24" t="n">
        <v>28</v>
      </c>
      <c r="Y1728" s="45">
        <f>ROUND((V1728*'Methodology &amp; Assumptions'!$B$6)+(W1728*'Methodology &amp; Assumptions'!$B$5)+(X1728*'Methodology &amp; Assumptions'!$B$7), 2)</f>
        <v/>
      </c>
    </row>
    <row r="1729" ht="19" customHeight="1">
      <c r="A1729" s="35" t="n">
        <v>725</v>
      </c>
      <c r="B1729" s="35" t="n">
        <v>4725</v>
      </c>
      <c r="C1729" s="36" t="inlineStr">
        <is>
          <t>0103315008</t>
        </is>
      </c>
      <c r="D1729" s="36" t="inlineStr">
        <is>
          <t>Region I (Ilocos Region)</t>
        </is>
      </c>
      <c r="E1729" s="36" t="inlineStr">
        <is>
          <t>La Union</t>
        </is>
      </c>
      <c r="F1729" s="36" t="inlineStr">
        <is>
          <t>San Gabriel</t>
        </is>
      </c>
      <c r="G1729" s="36" t="inlineStr">
        <is>
          <t>Bumbuneg</t>
        </is>
      </c>
      <c r="H1729" s="37" t="n">
        <v>16.674131</v>
      </c>
      <c r="I1729" s="37" t="n">
        <v>120.407684</v>
      </c>
      <c r="J1729" s="8" t="inlineStr">
        <is>
          <t>R</t>
        </is>
      </c>
      <c r="K1729" s="36" t="inlineStr">
        <is>
          <t>3rd</t>
        </is>
      </c>
      <c r="L1729" s="18" t="n">
        <v>2694</v>
      </c>
      <c r="M1729" s="20" t="n">
        <v>4.65</v>
      </c>
      <c r="N1729" s="18">
        <f>ROUND(L1729/M1729, 0)</f>
        <v/>
      </c>
      <c r="O1729" s="18">
        <f>ROUND(N1729*'Methodology &amp; Assumptions'!$B$8, 0)</f>
        <v/>
      </c>
      <c r="P1729" s="8" t="inlineStr">
        <is>
          <t>Band n50 (1.5 GHz, 60 MHz)</t>
        </is>
      </c>
      <c r="Q1729" s="38">
        <f>ROUNDUP(O1729/'Methodology &amp; Assumptions'!$B$9, 0)</f>
        <v/>
      </c>
      <c r="R1729" s="39" t="n">
        <v>1</v>
      </c>
      <c r="S1729" s="21" t="n">
        <v>1.4</v>
      </c>
      <c r="T1729" s="21" t="n">
        <v>7.19</v>
      </c>
      <c r="U1729" s="36" t="inlineStr">
        <is>
          <t>Tier 1B (Micro Drop, 1-3 km)</t>
        </is>
      </c>
      <c r="V1729" s="20" t="n">
        <v>62.7</v>
      </c>
      <c r="W1729" s="20" t="n">
        <v>70.40000000000001</v>
      </c>
      <c r="X1729" s="20" t="n">
        <v>58</v>
      </c>
      <c r="Y1729" s="40">
        <f>ROUND((V1729*'Methodology &amp; Assumptions'!$B$6)+(W1729*'Methodology &amp; Assumptions'!$B$5)+(X1729*'Methodology &amp; Assumptions'!$B$7), 2)</f>
        <v/>
      </c>
    </row>
    <row r="1730" ht="19" customHeight="1">
      <c r="A1730" s="41" t="n">
        <v>726</v>
      </c>
      <c r="B1730" s="41" t="n">
        <v>4726</v>
      </c>
      <c r="C1730" s="42" t="inlineStr">
        <is>
          <t>0403419002</t>
        </is>
      </c>
      <c r="D1730" s="42" t="inlineStr">
        <is>
          <t>Region IV-A (CALABARZON)</t>
        </is>
      </c>
      <c r="E1730" s="42" t="inlineStr">
        <is>
          <t>Laguna</t>
        </is>
      </c>
      <c r="F1730" s="42" t="inlineStr">
        <is>
          <t>Pagsanjan</t>
        </is>
      </c>
      <c r="G1730" s="42" t="inlineStr">
        <is>
          <t>Biñan</t>
        </is>
      </c>
      <c r="H1730" s="43" t="n">
        <v>14.264452</v>
      </c>
      <c r="I1730" s="43" t="n">
        <v>121.43269</v>
      </c>
      <c r="J1730" s="44" t="inlineStr">
        <is>
          <t>U</t>
        </is>
      </c>
      <c r="K1730" s="42" t="inlineStr">
        <is>
          <t>Class 1-3 / Urban</t>
        </is>
      </c>
      <c r="L1730" s="23" t="n">
        <v>6434</v>
      </c>
      <c r="M1730" s="24" t="n">
        <v>4.2</v>
      </c>
      <c r="N1730" s="23">
        <f>ROUND(L1730/M1730, 0)</f>
        <v/>
      </c>
      <c r="O1730" s="23">
        <f>ROUND(N1730*'Methodology &amp; Assumptions'!$B$8, 0)</f>
        <v/>
      </c>
      <c r="P1730" s="44" t="inlineStr">
        <is>
          <t>Band n50 (1.5 GHz, 60 MHz)</t>
        </is>
      </c>
      <c r="Q1730" s="38">
        <f>ROUNDUP(O1730/'Methodology &amp; Assumptions'!$B$9, 0)</f>
        <v/>
      </c>
      <c r="R1730" s="39" t="n">
        <v>1</v>
      </c>
      <c r="S1730" s="25" t="n">
        <v>2.15</v>
      </c>
      <c r="T1730" s="25" t="n">
        <v>0.05</v>
      </c>
      <c r="U1730" s="42" t="inlineStr">
        <is>
          <t>Tier 1B (Micro Drop, 1-3 km)</t>
        </is>
      </c>
      <c r="V1730" s="24" t="n">
        <v>58.9</v>
      </c>
      <c r="W1730" s="24" t="n">
        <v>100</v>
      </c>
      <c r="X1730" s="24" t="n">
        <v>28</v>
      </c>
      <c r="Y1730" s="45">
        <f>ROUND((V1730*'Methodology &amp; Assumptions'!$B$6)+(W1730*'Methodology &amp; Assumptions'!$B$5)+(X1730*'Methodology &amp; Assumptions'!$B$7), 2)</f>
        <v/>
      </c>
    </row>
    <row r="1731" ht="19" customHeight="1">
      <c r="A1731" s="35" t="n">
        <v>727</v>
      </c>
      <c r="B1731" s="35" t="n">
        <v>4727</v>
      </c>
      <c r="C1731" s="36" t="inlineStr">
        <is>
          <t>0501606041</t>
        </is>
      </c>
      <c r="D1731" s="36" t="inlineStr">
        <is>
          <t>Region V (Bicol Region)</t>
        </is>
      </c>
      <c r="E1731" s="36" t="inlineStr">
        <is>
          <t>Camarines Norte</t>
        </is>
      </c>
      <c r="F1731" s="36" t="inlineStr">
        <is>
          <t>Labo</t>
        </is>
      </c>
      <c r="G1731" s="36" t="inlineStr">
        <is>
          <t>Masalong</t>
        </is>
      </c>
      <c r="H1731" s="37" t="n">
        <v>14.169207</v>
      </c>
      <c r="I1731" s="37" t="n">
        <v>122.80786</v>
      </c>
      <c r="J1731" s="8" t="inlineStr">
        <is>
          <t>R</t>
        </is>
      </c>
      <c r="K1731" s="36" t="inlineStr">
        <is>
          <t>Class 1-3 / Urban</t>
        </is>
      </c>
      <c r="L1731" s="18" t="n">
        <v>3615</v>
      </c>
      <c r="M1731" s="20" t="n">
        <v>4.4</v>
      </c>
      <c r="N1731" s="18">
        <f>ROUND(L1731/M1731, 0)</f>
        <v/>
      </c>
      <c r="O1731" s="18">
        <f>ROUND(N1731*'Methodology &amp; Assumptions'!$B$8, 0)</f>
        <v/>
      </c>
      <c r="P1731" s="8" t="inlineStr">
        <is>
          <t>Band n50 (1.5 GHz, 60 MHz)</t>
        </is>
      </c>
      <c r="Q1731" s="38">
        <f>ROUNDUP(O1731/'Methodology &amp; Assumptions'!$B$9, 0)</f>
        <v/>
      </c>
      <c r="R1731" s="39" t="n">
        <v>1</v>
      </c>
      <c r="S1731" s="21" t="n">
        <v>3.3</v>
      </c>
      <c r="T1731" s="21" t="n">
        <v>0.28</v>
      </c>
      <c r="U1731" s="36" t="inlineStr">
        <is>
          <t>Tier 2 (Fiber Corridor / Lateral, 3-5 km)</t>
        </is>
      </c>
      <c r="V1731" s="20" t="n">
        <v>43.2</v>
      </c>
      <c r="W1731" s="20" t="n">
        <v>89.90000000000001</v>
      </c>
      <c r="X1731" s="20" t="n">
        <v>58</v>
      </c>
      <c r="Y1731" s="40">
        <f>ROUND((V1731*'Methodology &amp; Assumptions'!$B$6)+(W1731*'Methodology &amp; Assumptions'!$B$5)+(X1731*'Methodology &amp; Assumptions'!$B$7), 2)</f>
        <v/>
      </c>
    </row>
    <row r="1732" ht="19" customHeight="1">
      <c r="A1732" s="41" t="n">
        <v>728</v>
      </c>
      <c r="B1732" s="41" t="n">
        <v>4728</v>
      </c>
      <c r="C1732" s="42" t="inlineStr">
        <is>
          <t>0203137027</t>
        </is>
      </c>
      <c r="D1732" s="42" t="inlineStr">
        <is>
          <t>Region II (Cagayan Valley)</t>
        </is>
      </c>
      <c r="E1732" s="42" t="inlineStr">
        <is>
          <t>Isabela</t>
        </is>
      </c>
      <c r="F1732" s="42" t="inlineStr">
        <is>
          <t>Tumauini</t>
        </is>
      </c>
      <c r="G1732" s="42" t="inlineStr">
        <is>
          <t>Santa Visitacion</t>
        </is>
      </c>
      <c r="H1732" s="43" t="n">
        <v>17.267437</v>
      </c>
      <c r="I1732" s="43" t="n">
        <v>121.808719</v>
      </c>
      <c r="J1732" s="44" t="inlineStr">
        <is>
          <t>R</t>
        </is>
      </c>
      <c r="K1732" s="42" t="inlineStr">
        <is>
          <t>Class 1-3 / Urban</t>
        </is>
      </c>
      <c r="L1732" s="23" t="n">
        <v>1379</v>
      </c>
      <c r="M1732" s="24" t="n">
        <v>4.3</v>
      </c>
      <c r="N1732" s="23">
        <f>ROUND(L1732/M1732, 0)</f>
        <v/>
      </c>
      <c r="O1732" s="23">
        <f>ROUND(N1732*'Methodology &amp; Assumptions'!$B$8, 0)</f>
        <v/>
      </c>
      <c r="P1732" s="44" t="inlineStr">
        <is>
          <t>Band n50 (1.5 GHz, 60 MHz)</t>
        </is>
      </c>
      <c r="Q1732" s="38">
        <f>ROUNDUP(O1732/'Methodology &amp; Assumptions'!$B$9, 0)</f>
        <v/>
      </c>
      <c r="R1732" s="39" t="n">
        <v>1</v>
      </c>
      <c r="S1732" s="25" t="n">
        <v>0.92</v>
      </c>
      <c r="T1732" s="25" t="n">
        <v>0.65</v>
      </c>
      <c r="U1732" s="42" t="inlineStr">
        <is>
          <t>Tier 1A (Direct Coloc, &lt;1 km)</t>
        </is>
      </c>
      <c r="V1732" s="24" t="n">
        <v>83.5</v>
      </c>
      <c r="W1732" s="24" t="n">
        <v>49.6</v>
      </c>
      <c r="X1732" s="24" t="n">
        <v>58</v>
      </c>
      <c r="Y1732" s="45">
        <f>ROUND((V1732*'Methodology &amp; Assumptions'!$B$6)+(W1732*'Methodology &amp; Assumptions'!$B$5)+(X1732*'Methodology &amp; Assumptions'!$B$7), 2)</f>
        <v/>
      </c>
    </row>
    <row r="1733" ht="19" customHeight="1">
      <c r="A1733" s="35" t="n">
        <v>729</v>
      </c>
      <c r="B1733" s="35" t="n">
        <v>4729</v>
      </c>
      <c r="C1733" s="36" t="inlineStr">
        <is>
          <t>0103301013</t>
        </is>
      </c>
      <c r="D1733" s="36" t="inlineStr">
        <is>
          <t>Region I (Ilocos Region)</t>
        </is>
      </c>
      <c r="E1733" s="36" t="inlineStr">
        <is>
          <t>La Union</t>
        </is>
      </c>
      <c r="F1733" s="36" t="inlineStr">
        <is>
          <t>Agoo</t>
        </is>
      </c>
      <c r="G1733" s="36" t="inlineStr">
        <is>
          <t>San Antonino</t>
        </is>
      </c>
      <c r="H1733" s="37" t="n">
        <v>16.318294</v>
      </c>
      <c r="I1733" s="37" t="n">
        <v>120.364646</v>
      </c>
      <c r="J1733" s="8" t="inlineStr">
        <is>
          <t>R</t>
        </is>
      </c>
      <c r="K1733" s="36" t="inlineStr">
        <is>
          <t>Class 1-3 / Urban</t>
        </is>
      </c>
      <c r="L1733" s="18" t="n">
        <v>1125</v>
      </c>
      <c r="M1733" s="20" t="n">
        <v>4.42</v>
      </c>
      <c r="N1733" s="18">
        <f>ROUND(L1733/M1733, 0)</f>
        <v/>
      </c>
      <c r="O1733" s="18">
        <f>ROUND(N1733*'Methodology &amp; Assumptions'!$B$8, 0)</f>
        <v/>
      </c>
      <c r="P1733" s="8" t="inlineStr">
        <is>
          <t>Band n50 (1.5 GHz, 60 MHz)</t>
        </is>
      </c>
      <c r="Q1733" s="38">
        <f>ROUNDUP(O1733/'Methodology &amp; Assumptions'!$B$9, 0)</f>
        <v/>
      </c>
      <c r="R1733" s="39" t="n">
        <v>1</v>
      </c>
      <c r="S1733" s="21" t="n">
        <v>0.71</v>
      </c>
      <c r="T1733" s="21" t="n">
        <v>0.38</v>
      </c>
      <c r="U1733" s="36" t="inlineStr">
        <is>
          <t>Tier 1A (Direct Coloc, &lt;1 km)</t>
        </is>
      </c>
      <c r="V1733" s="20" t="n">
        <v>88.8</v>
      </c>
      <c r="W1733" s="20" t="n">
        <v>44.3</v>
      </c>
      <c r="X1733" s="20" t="n">
        <v>58</v>
      </c>
      <c r="Y1733" s="40">
        <f>ROUND((V1733*'Methodology &amp; Assumptions'!$B$6)+(W1733*'Methodology &amp; Assumptions'!$B$5)+(X1733*'Methodology &amp; Assumptions'!$B$7), 2)</f>
        <v/>
      </c>
    </row>
    <row r="1734" ht="19" customHeight="1">
      <c r="A1734" s="41" t="n">
        <v>730</v>
      </c>
      <c r="B1734" s="41" t="n">
        <v>4730</v>
      </c>
      <c r="C1734" s="42" t="inlineStr">
        <is>
          <t>0603023059</t>
        </is>
      </c>
      <c r="D1734" s="42" t="inlineStr">
        <is>
          <t>Region VI (Western Visayas)</t>
        </is>
      </c>
      <c r="E1734" s="42" t="inlineStr">
        <is>
          <t>Iloilo</t>
        </is>
      </c>
      <c r="F1734" s="42" t="inlineStr">
        <is>
          <t>Janiuay</t>
        </is>
      </c>
      <c r="G1734" s="42" t="inlineStr">
        <is>
          <t>Santa Rita</t>
        </is>
      </c>
      <c r="H1734" s="43" t="n">
        <v>10.949974</v>
      </c>
      <c r="I1734" s="43" t="n">
        <v>122.510734</v>
      </c>
      <c r="J1734" s="44" t="inlineStr">
        <is>
          <t>R</t>
        </is>
      </c>
      <c r="K1734" s="42" t="inlineStr">
        <is>
          <t>Class 1-3 / Urban</t>
        </is>
      </c>
      <c r="L1734" s="23" t="n">
        <v>962</v>
      </c>
      <c r="M1734" s="24" t="n">
        <v>4.39</v>
      </c>
      <c r="N1734" s="23">
        <f>ROUND(L1734/M1734, 0)</f>
        <v/>
      </c>
      <c r="O1734" s="23">
        <f>ROUND(N1734*'Methodology &amp; Assumptions'!$B$8, 0)</f>
        <v/>
      </c>
      <c r="P1734" s="44" t="inlineStr">
        <is>
          <t>Band n50 (1.5 GHz, 60 MHz)</t>
        </is>
      </c>
      <c r="Q1734" s="38">
        <f>ROUNDUP(O1734/'Methodology &amp; Assumptions'!$B$9, 0)</f>
        <v/>
      </c>
      <c r="R1734" s="39" t="n">
        <v>1</v>
      </c>
      <c r="S1734" s="25" t="n">
        <v>0.61</v>
      </c>
      <c r="T1734" s="25" t="n">
        <v>0.41</v>
      </c>
      <c r="U1734" s="42" t="inlineStr">
        <is>
          <t>Tier 1A (Direct Coloc, &lt;1 km)</t>
        </is>
      </c>
      <c r="V1734" s="24" t="n">
        <v>91.5</v>
      </c>
      <c r="W1734" s="24" t="n">
        <v>41.6</v>
      </c>
      <c r="X1734" s="24" t="n">
        <v>58</v>
      </c>
      <c r="Y1734" s="45">
        <f>ROUND((V1734*'Methodology &amp; Assumptions'!$B$6)+(W1734*'Methodology &amp; Assumptions'!$B$5)+(X1734*'Methodology &amp; Assumptions'!$B$7), 2)</f>
        <v/>
      </c>
    </row>
    <row r="1735" ht="19" customHeight="1">
      <c r="A1735" s="35" t="n">
        <v>731</v>
      </c>
      <c r="B1735" s="35" t="n">
        <v>4731</v>
      </c>
      <c r="C1735" s="36" t="inlineStr">
        <is>
          <t>0305410025</t>
        </is>
      </c>
      <c r="D1735" s="36" t="inlineStr">
        <is>
          <t>Region III (Central Luzon)</t>
        </is>
      </c>
      <c r="E1735" s="36" t="inlineStr">
        <is>
          <t>Pampanga</t>
        </is>
      </c>
      <c r="F1735" s="36" t="inlineStr">
        <is>
          <t>Macabebe</t>
        </is>
      </c>
      <c r="G1735" s="36" t="inlineStr">
        <is>
          <t>Telacsan</t>
        </is>
      </c>
      <c r="H1735" s="37" t="n">
        <v>14.938063</v>
      </c>
      <c r="I1735" s="37" t="n">
        <v>120.723222</v>
      </c>
      <c r="J1735" s="8" t="inlineStr">
        <is>
          <t>R</t>
        </is>
      </c>
      <c r="K1735" s="36" t="inlineStr">
        <is>
          <t>Class 1-3 / Urban</t>
        </is>
      </c>
      <c r="L1735" s="18" t="n">
        <v>4057</v>
      </c>
      <c r="M1735" s="20" t="n">
        <v>4.63</v>
      </c>
      <c r="N1735" s="18">
        <f>ROUND(L1735/M1735, 0)</f>
        <v/>
      </c>
      <c r="O1735" s="18">
        <f>ROUND(N1735*'Methodology &amp; Assumptions'!$B$8, 0)</f>
        <v/>
      </c>
      <c r="P1735" s="8" t="inlineStr">
        <is>
          <t>Band n50 (1.5 GHz, 60 MHz)</t>
        </is>
      </c>
      <c r="Q1735" s="38">
        <f>ROUNDUP(O1735/'Methodology &amp; Assumptions'!$B$9, 0)</f>
        <v/>
      </c>
      <c r="R1735" s="39" t="n">
        <v>1</v>
      </c>
      <c r="S1735" s="21" t="n">
        <v>4.03</v>
      </c>
      <c r="T1735" s="21" t="n">
        <v>3.54</v>
      </c>
      <c r="U1735" s="36" t="inlineStr">
        <is>
          <t>Tier 2 (Fiber Corridor / Lateral, 3-5 km)</t>
        </is>
      </c>
      <c r="V1735" s="20" t="n">
        <v>26.1</v>
      </c>
      <c r="W1735" s="20" t="n">
        <v>94.09999999999999</v>
      </c>
      <c r="X1735" s="20" t="n">
        <v>73</v>
      </c>
      <c r="Y1735" s="40">
        <f>ROUND((V1735*'Methodology &amp; Assumptions'!$B$6)+(W1735*'Methodology &amp; Assumptions'!$B$5)+(X1735*'Methodology &amp; Assumptions'!$B$7), 2)</f>
        <v/>
      </c>
    </row>
    <row r="1736" ht="19" customHeight="1">
      <c r="A1736" s="41" t="n">
        <v>732</v>
      </c>
      <c r="B1736" s="41" t="n">
        <v>4732</v>
      </c>
      <c r="C1736" s="42" t="inlineStr">
        <is>
          <t>0506214001</t>
        </is>
      </c>
      <c r="D1736" s="42" t="inlineStr">
        <is>
          <t>Region V (Bicol Region)</t>
        </is>
      </c>
      <c r="E1736" s="42" t="inlineStr">
        <is>
          <t>Sorsogon</t>
        </is>
      </c>
      <c r="F1736" s="42" t="inlineStr">
        <is>
          <t>Prieto Diaz</t>
        </is>
      </c>
      <c r="G1736" s="42" t="inlineStr">
        <is>
          <t>Brillante</t>
        </is>
      </c>
      <c r="H1736" s="43" t="n">
        <v>13.040817</v>
      </c>
      <c r="I1736" s="43" t="n">
        <v>124.191912</v>
      </c>
      <c r="J1736" s="44" t="inlineStr">
        <is>
          <t>R</t>
        </is>
      </c>
      <c r="K1736" s="42" t="inlineStr">
        <is>
          <t>4th</t>
        </is>
      </c>
      <c r="L1736" s="23" t="n">
        <v>653</v>
      </c>
      <c r="M1736" s="24" t="n">
        <v>4.69</v>
      </c>
      <c r="N1736" s="23">
        <f>ROUND(L1736/M1736, 0)</f>
        <v/>
      </c>
      <c r="O1736" s="23">
        <f>ROUND(N1736*'Methodology &amp; Assumptions'!$B$8, 0)</f>
        <v/>
      </c>
      <c r="P1736" s="44" t="inlineStr">
        <is>
          <t>Band n50 (1.5 GHz, 60 MHz)</t>
        </is>
      </c>
      <c r="Q1736" s="38">
        <f>ROUNDUP(O1736/'Methodology &amp; Assumptions'!$B$9, 0)</f>
        <v/>
      </c>
      <c r="R1736" s="39" t="n">
        <v>1</v>
      </c>
      <c r="S1736" s="25" t="n">
        <v>0.35</v>
      </c>
      <c r="T1736" s="25" t="n">
        <v>14.58</v>
      </c>
      <c r="U1736" s="42" t="inlineStr">
        <is>
          <t>Tier 1A (Direct Coloc, &lt;1 km)</t>
        </is>
      </c>
      <c r="V1736" s="24" t="n">
        <v>88.90000000000001</v>
      </c>
      <c r="W1736" s="24" t="n">
        <v>35.2</v>
      </c>
      <c r="X1736" s="24" t="n">
        <v>68.5</v>
      </c>
      <c r="Y1736" s="45">
        <f>ROUND((V1736*'Methodology &amp; Assumptions'!$B$6)+(W1736*'Methodology &amp; Assumptions'!$B$5)+(X1736*'Methodology &amp; Assumptions'!$B$7), 2)</f>
        <v/>
      </c>
    </row>
    <row r="1737" ht="19" customHeight="1">
      <c r="A1737" s="35" t="n">
        <v>733</v>
      </c>
      <c r="B1737" s="35" t="n">
        <v>4733</v>
      </c>
      <c r="C1737" s="36" t="inlineStr">
        <is>
          <t>0402103006</t>
        </is>
      </c>
      <c r="D1737" s="36" t="inlineStr">
        <is>
          <t>Region IV-A (CALABARZON)</t>
        </is>
      </c>
      <c r="E1737" s="36" t="inlineStr">
        <is>
          <t>Cavite</t>
        </is>
      </c>
      <c r="F1737" s="36" t="inlineStr">
        <is>
          <t>City of Bacoor</t>
        </is>
      </c>
      <c r="G1737" s="36" t="inlineStr">
        <is>
          <t>Digman</t>
        </is>
      </c>
      <c r="H1737" s="37" t="n">
        <v>14.436707</v>
      </c>
      <c r="I1737" s="37" t="n">
        <v>120.961346</v>
      </c>
      <c r="J1737" s="8" t="inlineStr">
        <is>
          <t>R</t>
        </is>
      </c>
      <c r="K1737" s="36" t="inlineStr">
        <is>
          <t>Class 1-3 / Urban</t>
        </is>
      </c>
      <c r="L1737" s="18" t="n">
        <v>2078</v>
      </c>
      <c r="M1737" s="20" t="n">
        <v>4.49</v>
      </c>
      <c r="N1737" s="18">
        <f>ROUND(L1737/M1737, 0)</f>
        <v/>
      </c>
      <c r="O1737" s="18">
        <f>ROUND(N1737*'Methodology &amp; Assumptions'!$B$8, 0)</f>
        <v/>
      </c>
      <c r="P1737" s="8" t="inlineStr">
        <is>
          <t>Band n50 (1.5 GHz, 60 MHz)</t>
        </is>
      </c>
      <c r="Q1737" s="38">
        <f>ROUNDUP(O1737/'Methodology &amp; Assumptions'!$B$9, 0)</f>
        <v/>
      </c>
      <c r="R1737" s="39" t="n">
        <v>1</v>
      </c>
      <c r="S1737" s="21" t="n">
        <v>1.43</v>
      </c>
      <c r="T1737" s="21" t="n">
        <v>1.32</v>
      </c>
      <c r="U1737" s="36" t="inlineStr">
        <is>
          <t>Tier 1B (Micro Drop, 1-3 km)</t>
        </is>
      </c>
      <c r="V1737" s="20" t="n">
        <v>72</v>
      </c>
      <c r="W1737" s="20" t="n">
        <v>61.1</v>
      </c>
      <c r="X1737" s="20" t="n">
        <v>58</v>
      </c>
      <c r="Y1737" s="40">
        <f>ROUND((V1737*'Methodology &amp; Assumptions'!$B$6)+(W1737*'Methodology &amp; Assumptions'!$B$5)+(X1737*'Methodology &amp; Assumptions'!$B$7), 2)</f>
        <v/>
      </c>
    </row>
    <row r="1738" ht="19" customHeight="1">
      <c r="A1738" s="41" t="n">
        <v>734</v>
      </c>
      <c r="B1738" s="41" t="n">
        <v>4734</v>
      </c>
      <c r="C1738" s="42" t="inlineStr">
        <is>
          <t>0103311012</t>
        </is>
      </c>
      <c r="D1738" s="42" t="inlineStr">
        <is>
          <t>Region I (Ilocos Region)</t>
        </is>
      </c>
      <c r="E1738" s="42" t="inlineStr">
        <is>
          <t>La Union</t>
        </is>
      </c>
      <c r="F1738" s="42" t="inlineStr">
        <is>
          <t>Naguilian</t>
        </is>
      </c>
      <c r="G1738" s="42" t="inlineStr">
        <is>
          <t>Bato</t>
        </is>
      </c>
      <c r="H1738" s="43" t="n">
        <v>16.51919</v>
      </c>
      <c r="I1738" s="43" t="n">
        <v>120.403117</v>
      </c>
      <c r="J1738" s="44" t="inlineStr">
        <is>
          <t>R</t>
        </is>
      </c>
      <c r="K1738" s="42" t="inlineStr">
        <is>
          <t>Class 1-3 / Urban</t>
        </is>
      </c>
      <c r="L1738" s="23" t="n">
        <v>1675</v>
      </c>
      <c r="M1738" s="24" t="n">
        <v>4.42</v>
      </c>
      <c r="N1738" s="23">
        <f>ROUND(L1738/M1738, 0)</f>
        <v/>
      </c>
      <c r="O1738" s="23">
        <f>ROUND(N1738*'Methodology &amp; Assumptions'!$B$8, 0)</f>
        <v/>
      </c>
      <c r="P1738" s="44" t="inlineStr">
        <is>
          <t>Band n50 (1.5 GHz, 60 MHz)</t>
        </is>
      </c>
      <c r="Q1738" s="38">
        <f>ROUNDUP(O1738/'Methodology &amp; Assumptions'!$B$9, 0)</f>
        <v/>
      </c>
      <c r="R1738" s="39" t="n">
        <v>1</v>
      </c>
      <c r="S1738" s="25" t="n">
        <v>1.13</v>
      </c>
      <c r="T1738" s="25" t="n">
        <v>0.02</v>
      </c>
      <c r="U1738" s="42" t="inlineStr">
        <is>
          <t>Tier 1B (Micro Drop, 1-3 km)</t>
        </is>
      </c>
      <c r="V1738" s="24" t="n">
        <v>78.7</v>
      </c>
      <c r="W1738" s="24" t="n">
        <v>54.4</v>
      </c>
      <c r="X1738" s="24" t="n">
        <v>58</v>
      </c>
      <c r="Y1738" s="45">
        <f>ROUND((V1738*'Methodology &amp; Assumptions'!$B$6)+(W1738*'Methodology &amp; Assumptions'!$B$5)+(X1738*'Methodology &amp; Assumptions'!$B$7), 2)</f>
        <v/>
      </c>
    </row>
    <row r="1739" ht="19" customHeight="1">
      <c r="A1739" s="35" t="n">
        <v>735</v>
      </c>
      <c r="B1739" s="35" t="n">
        <v>4735</v>
      </c>
      <c r="C1739" s="36" t="inlineStr">
        <is>
          <t>0205003008</t>
        </is>
      </c>
      <c r="D1739" s="36" t="inlineStr">
        <is>
          <t>Region II (Cagayan Valley)</t>
        </is>
      </c>
      <c r="E1739" s="36" t="inlineStr">
        <is>
          <t>Nueva Vizcaya</t>
        </is>
      </c>
      <c r="F1739" s="36" t="inlineStr">
        <is>
          <t>Bagabag</t>
        </is>
      </c>
      <c r="G1739" s="36" t="inlineStr">
        <is>
          <t>Pogonsino</t>
        </is>
      </c>
      <c r="H1739" s="37" t="n">
        <v>16.555223</v>
      </c>
      <c r="I1739" s="37" t="n">
        <v>121.247418</v>
      </c>
      <c r="J1739" s="8" t="inlineStr">
        <is>
          <t>R</t>
        </is>
      </c>
      <c r="K1739" s="36" t="inlineStr">
        <is>
          <t>Class 1-3 / Urban</t>
        </is>
      </c>
      <c r="L1739" s="18" t="n">
        <v>1913</v>
      </c>
      <c r="M1739" s="20" t="n">
        <v>4.19</v>
      </c>
      <c r="N1739" s="18">
        <f>ROUND(L1739/M1739, 0)</f>
        <v/>
      </c>
      <c r="O1739" s="18">
        <f>ROUND(N1739*'Methodology &amp; Assumptions'!$B$8, 0)</f>
        <v/>
      </c>
      <c r="P1739" s="8" t="inlineStr">
        <is>
          <t>Band n50 (1.5 GHz, 60 MHz)</t>
        </is>
      </c>
      <c r="Q1739" s="38">
        <f>ROUNDUP(O1739/'Methodology &amp; Assumptions'!$B$9, 0)</f>
        <v/>
      </c>
      <c r="R1739" s="39" t="n">
        <v>1</v>
      </c>
      <c r="S1739" s="21" t="n">
        <v>2.1</v>
      </c>
      <c r="T1739" s="21" t="n">
        <v>0.31</v>
      </c>
      <c r="U1739" s="36" t="inlineStr">
        <is>
          <t>Tier 1B (Micro Drop, 1-3 km)</t>
        </is>
      </c>
      <c r="V1739" s="20" t="n">
        <v>59.7</v>
      </c>
      <c r="W1739" s="20" t="n">
        <v>60.5</v>
      </c>
      <c r="X1739" s="20" t="n">
        <v>73</v>
      </c>
      <c r="Y1739" s="40">
        <f>ROUND((V1739*'Methodology &amp; Assumptions'!$B$6)+(W1739*'Methodology &amp; Assumptions'!$B$5)+(X1739*'Methodology &amp; Assumptions'!$B$7), 2)</f>
        <v/>
      </c>
    </row>
    <row r="1740" ht="19" customHeight="1">
      <c r="A1740" s="41" t="n">
        <v>736</v>
      </c>
      <c r="B1740" s="41" t="n">
        <v>4736</v>
      </c>
      <c r="C1740" s="42" t="inlineStr">
        <is>
          <t>0304919010</t>
        </is>
      </c>
      <c r="D1740" s="42" t="inlineStr">
        <is>
          <t>Region III (Central Luzon)</t>
        </is>
      </c>
      <c r="E1740" s="42" t="inlineStr">
        <is>
          <t>Nueva Ecija</t>
        </is>
      </c>
      <c r="F1740" s="42" t="inlineStr">
        <is>
          <t>City of Palayan</t>
        </is>
      </c>
      <c r="G1740" s="42" t="inlineStr">
        <is>
          <t>Malate</t>
        </is>
      </c>
      <c r="H1740" s="43" t="n">
        <v>15.543014</v>
      </c>
      <c r="I1740" s="43" t="n">
        <v>121.081361</v>
      </c>
      <c r="J1740" s="44" t="inlineStr">
        <is>
          <t>R</t>
        </is>
      </c>
      <c r="K1740" s="42" t="inlineStr">
        <is>
          <t>Class 1-3 / Urban</t>
        </is>
      </c>
      <c r="L1740" s="23" t="n">
        <v>2131</v>
      </c>
      <c r="M1740" s="24" t="n">
        <v>4.32</v>
      </c>
      <c r="N1740" s="23">
        <f>ROUND(L1740/M1740, 0)</f>
        <v/>
      </c>
      <c r="O1740" s="23">
        <f>ROUND(N1740*'Methodology &amp; Assumptions'!$B$8, 0)</f>
        <v/>
      </c>
      <c r="P1740" s="44" t="inlineStr">
        <is>
          <t>Band n50 (1.5 GHz, 60 MHz)</t>
        </is>
      </c>
      <c r="Q1740" s="38">
        <f>ROUNDUP(O1740/'Methodology &amp; Assumptions'!$B$9, 0)</f>
        <v/>
      </c>
      <c r="R1740" s="39" t="n">
        <v>1</v>
      </c>
      <c r="S1740" s="25" t="n">
        <v>1.55</v>
      </c>
      <c r="T1740" s="25" t="n">
        <v>1.8</v>
      </c>
      <c r="U1740" s="42" t="inlineStr">
        <is>
          <t>Tier 1B (Micro Drop, 1-3 km)</t>
        </is>
      </c>
      <c r="V1740" s="24" t="n">
        <v>69.59999999999999</v>
      </c>
      <c r="W1740" s="24" t="n">
        <v>63.5</v>
      </c>
      <c r="X1740" s="24" t="n">
        <v>58</v>
      </c>
      <c r="Y1740" s="45">
        <f>ROUND((V1740*'Methodology &amp; Assumptions'!$B$6)+(W1740*'Methodology &amp; Assumptions'!$B$5)+(X1740*'Methodology &amp; Assumptions'!$B$7), 2)</f>
        <v/>
      </c>
    </row>
    <row r="1741" ht="19" customHeight="1">
      <c r="A1741" s="35" t="n">
        <v>737</v>
      </c>
      <c r="B1741" s="35" t="n">
        <v>4737</v>
      </c>
      <c r="C1741" s="36" t="inlineStr">
        <is>
          <t>0604520005</t>
        </is>
      </c>
      <c r="D1741" s="36" t="inlineStr">
        <is>
          <t>Region VI (Western Visayas)</t>
        </is>
      </c>
      <c r="E1741" s="36" t="inlineStr">
        <is>
          <t>Negros Occidental</t>
        </is>
      </c>
      <c r="F1741" s="36" t="inlineStr">
        <is>
          <t>Murcia</t>
        </is>
      </c>
      <c r="G1741" s="36" t="inlineStr">
        <is>
          <t>Zone II</t>
        </is>
      </c>
      <c r="H1741" s="37" t="n">
        <v>10.606517</v>
      </c>
      <c r="I1741" s="37" t="n">
        <v>123.042145</v>
      </c>
      <c r="J1741" s="8" t="inlineStr">
        <is>
          <t>R</t>
        </is>
      </c>
      <c r="K1741" s="36" t="inlineStr">
        <is>
          <t>Class 1-3 / Urban</t>
        </is>
      </c>
      <c r="L1741" s="18" t="n">
        <v>493</v>
      </c>
      <c r="M1741" s="20" t="n">
        <v>4.33</v>
      </c>
      <c r="N1741" s="18">
        <f>ROUND(L1741/M1741, 0)</f>
        <v/>
      </c>
      <c r="O1741" s="18">
        <f>ROUND(N1741*'Methodology &amp; Assumptions'!$B$8, 0)</f>
        <v/>
      </c>
      <c r="P1741" s="8" t="inlineStr">
        <is>
          <t>Band n50 (1.5 GHz, 60 MHz)</t>
        </is>
      </c>
      <c r="Q1741" s="38">
        <f>ROUNDUP(O1741/'Methodology &amp; Assumptions'!$B$9, 0)</f>
        <v/>
      </c>
      <c r="R1741" s="39" t="n">
        <v>1</v>
      </c>
      <c r="S1741" s="21" t="n">
        <v>0.01</v>
      </c>
      <c r="T1741" s="21" t="n">
        <v>0.01</v>
      </c>
      <c r="U1741" s="36" t="inlineStr">
        <is>
          <t>Tier 1A (Direct Coloc, &lt;1 km)</t>
        </is>
      </c>
      <c r="V1741" s="20" t="n">
        <v>100</v>
      </c>
      <c r="W1741" s="20" t="n">
        <v>33.1</v>
      </c>
      <c r="X1741" s="20" t="n">
        <v>58</v>
      </c>
      <c r="Y1741" s="40">
        <f>ROUND((V1741*'Methodology &amp; Assumptions'!$B$6)+(W1741*'Methodology &amp; Assumptions'!$B$5)+(X1741*'Methodology &amp; Assumptions'!$B$7), 2)</f>
        <v/>
      </c>
    </row>
    <row r="1742" ht="19" customHeight="1">
      <c r="A1742" s="41" t="n">
        <v>738</v>
      </c>
      <c r="B1742" s="41" t="n">
        <v>4738</v>
      </c>
      <c r="C1742" s="42" t="inlineStr">
        <is>
          <t>0307109014</t>
        </is>
      </c>
      <c r="D1742" s="42" t="inlineStr">
        <is>
          <t>Region III (Central Luzon)</t>
        </is>
      </c>
      <c r="E1742" s="42" t="inlineStr">
        <is>
          <t>Zambales</t>
        </is>
      </c>
      <c r="F1742" s="42" t="inlineStr">
        <is>
          <t>San Antonio</t>
        </is>
      </c>
      <c r="G1742" s="42" t="inlineStr">
        <is>
          <t>Rizal</t>
        </is>
      </c>
      <c r="H1742" s="43" t="n">
        <v>14.949011</v>
      </c>
      <c r="I1742" s="43" t="n">
        <v>120.091383</v>
      </c>
      <c r="J1742" s="44" t="inlineStr">
        <is>
          <t>R</t>
        </is>
      </c>
      <c r="K1742" s="42" t="inlineStr">
        <is>
          <t>Class 1-3 / Urban</t>
        </is>
      </c>
      <c r="L1742" s="23" t="n">
        <v>456</v>
      </c>
      <c r="M1742" s="24" t="n">
        <v>4.05</v>
      </c>
      <c r="N1742" s="23">
        <f>ROUND(L1742/M1742, 0)</f>
        <v/>
      </c>
      <c r="O1742" s="23">
        <f>ROUND(N1742*'Methodology &amp; Assumptions'!$B$8, 0)</f>
        <v/>
      </c>
      <c r="P1742" s="44" t="inlineStr">
        <is>
          <t>Band n50 (1.5 GHz, 60 MHz)</t>
        </is>
      </c>
      <c r="Q1742" s="38">
        <f>ROUNDUP(O1742/'Methodology &amp; Assumptions'!$B$9, 0)</f>
        <v/>
      </c>
      <c r="R1742" s="39" t="n">
        <v>1</v>
      </c>
      <c r="S1742" s="25" t="n">
        <v>0.16</v>
      </c>
      <c r="T1742" s="25" t="n">
        <v>0.29</v>
      </c>
      <c r="U1742" s="42" t="inlineStr">
        <is>
          <t>Tier 1A (Direct Coloc, &lt;1 km)</t>
        </is>
      </c>
      <c r="V1742" s="24" t="n">
        <v>100</v>
      </c>
      <c r="W1742" s="24" t="n">
        <v>33.1</v>
      </c>
      <c r="X1742" s="24" t="n">
        <v>58</v>
      </c>
      <c r="Y1742" s="45">
        <f>ROUND((V1742*'Methodology &amp; Assumptions'!$B$6)+(W1742*'Methodology &amp; Assumptions'!$B$5)+(X1742*'Methodology &amp; Assumptions'!$B$7), 2)</f>
        <v/>
      </c>
    </row>
    <row r="1743" ht="19" customHeight="1">
      <c r="A1743" s="35" t="n">
        <v>739</v>
      </c>
      <c r="B1743" s="35" t="n">
        <v>4739</v>
      </c>
      <c r="C1743" s="36" t="inlineStr">
        <is>
          <t>1102401019</t>
        </is>
      </c>
      <c r="D1743" s="36" t="inlineStr">
        <is>
          <t>Region XI (Davao Region)</t>
        </is>
      </c>
      <c r="E1743" s="36" t="inlineStr">
        <is>
          <t>Davao del Sur</t>
        </is>
      </c>
      <c r="F1743" s="36" t="inlineStr">
        <is>
          <t>Bansalan</t>
        </is>
      </c>
      <c r="G1743" s="36" t="inlineStr">
        <is>
          <t>Rizal</t>
        </is>
      </c>
      <c r="H1743" s="37" t="n">
        <v>6.798096</v>
      </c>
      <c r="I1743" s="37" t="n">
        <v>125.24586</v>
      </c>
      <c r="J1743" s="8" t="inlineStr">
        <is>
          <t>R</t>
        </is>
      </c>
      <c r="K1743" s="36" t="inlineStr">
        <is>
          <t>Class 1-3 / Urban</t>
        </is>
      </c>
      <c r="L1743" s="18" t="n">
        <v>3649</v>
      </c>
      <c r="M1743" s="20" t="n">
        <v>4.1</v>
      </c>
      <c r="N1743" s="18">
        <f>ROUND(L1743/M1743, 0)</f>
        <v/>
      </c>
      <c r="O1743" s="18">
        <f>ROUND(N1743*'Methodology &amp; Assumptions'!$B$8, 0)</f>
        <v/>
      </c>
      <c r="P1743" s="8" t="inlineStr">
        <is>
          <t>Band n50 (1.5 GHz, 60 MHz)</t>
        </is>
      </c>
      <c r="Q1743" s="38">
        <f>ROUNDUP(O1743/'Methodology &amp; Assumptions'!$B$9, 0)</f>
        <v/>
      </c>
      <c r="R1743" s="39" t="n">
        <v>1</v>
      </c>
      <c r="S1743" s="21" t="n">
        <v>4.16</v>
      </c>
      <c r="T1743" s="21" t="n">
        <v>13.74</v>
      </c>
      <c r="U1743" s="36" t="inlineStr">
        <is>
          <t>Tier 2 (Fiber Corridor / Lateral, 3-5 km)</t>
        </is>
      </c>
      <c r="V1743" s="20" t="n">
        <v>25</v>
      </c>
      <c r="W1743" s="20" t="n">
        <v>95.2</v>
      </c>
      <c r="X1743" s="20" t="n">
        <v>73</v>
      </c>
      <c r="Y1743" s="40">
        <f>ROUND((V1743*'Methodology &amp; Assumptions'!$B$6)+(W1743*'Methodology &amp; Assumptions'!$B$5)+(X1743*'Methodology &amp; Assumptions'!$B$7), 2)</f>
        <v/>
      </c>
    </row>
    <row r="1744" ht="19" customHeight="1">
      <c r="A1744" s="41" t="n">
        <v>740</v>
      </c>
      <c r="B1744" s="41" t="n">
        <v>4740</v>
      </c>
      <c r="C1744" s="42" t="inlineStr">
        <is>
          <t>0701216001</t>
        </is>
      </c>
      <c r="D1744" s="42" t="inlineStr">
        <is>
          <t>Region VII (Central Visayas)</t>
        </is>
      </c>
      <c r="E1744" s="42" t="inlineStr">
        <is>
          <t>Bohol</t>
        </is>
      </c>
      <c r="F1744" s="42" t="inlineStr">
        <is>
          <t>Cortes</t>
        </is>
      </c>
      <c r="G1744" s="42" t="inlineStr">
        <is>
          <t>De la Paz</t>
        </is>
      </c>
      <c r="H1744" s="43" t="n">
        <v>9.698212</v>
      </c>
      <c r="I1744" s="43" t="n">
        <v>123.868054</v>
      </c>
      <c r="J1744" s="44" t="inlineStr">
        <is>
          <t>R</t>
        </is>
      </c>
      <c r="K1744" s="42" t="inlineStr">
        <is>
          <t>4th</t>
        </is>
      </c>
      <c r="L1744" s="23" t="n">
        <v>2948</v>
      </c>
      <c r="M1744" s="24" t="n">
        <v>4.66</v>
      </c>
      <c r="N1744" s="23">
        <f>ROUND(L1744/M1744, 0)</f>
        <v/>
      </c>
      <c r="O1744" s="23">
        <f>ROUND(N1744*'Methodology &amp; Assumptions'!$B$8, 0)</f>
        <v/>
      </c>
      <c r="P1744" s="44" t="inlineStr">
        <is>
          <t>Band n50 (1.5 GHz, 60 MHz)</t>
        </is>
      </c>
      <c r="Q1744" s="38">
        <f>ROUNDUP(O1744/'Methodology &amp; Assumptions'!$B$9, 0)</f>
        <v/>
      </c>
      <c r="R1744" s="39" t="n">
        <v>1</v>
      </c>
      <c r="S1744" s="25" t="n">
        <v>2.8</v>
      </c>
      <c r="T1744" s="25" t="n">
        <v>0.26</v>
      </c>
      <c r="U1744" s="42" t="inlineStr">
        <is>
          <t>Tier 1B (Micro Drop, 1-3 km)</t>
        </is>
      </c>
      <c r="V1744" s="24" t="n">
        <v>49.4</v>
      </c>
      <c r="W1744" s="24" t="n">
        <v>74.7</v>
      </c>
      <c r="X1744" s="24" t="n">
        <v>68.5</v>
      </c>
      <c r="Y1744" s="45">
        <f>ROUND((V1744*'Methodology &amp; Assumptions'!$B$6)+(W1744*'Methodology &amp; Assumptions'!$B$5)+(X1744*'Methodology &amp; Assumptions'!$B$7), 2)</f>
        <v/>
      </c>
    </row>
    <row r="1745" ht="19" customHeight="1">
      <c r="A1745" s="35" t="n">
        <v>741</v>
      </c>
      <c r="B1745" s="35" t="n">
        <v>4741</v>
      </c>
      <c r="C1745" s="36" t="inlineStr">
        <is>
          <t>0405801014</t>
        </is>
      </c>
      <c r="D1745" s="36" t="inlineStr">
        <is>
          <t>Region IV-A (CALABARZON)</t>
        </is>
      </c>
      <c r="E1745" s="36" t="inlineStr">
        <is>
          <t>Rizal</t>
        </is>
      </c>
      <c r="F1745" s="36" t="inlineStr">
        <is>
          <t>Angono</t>
        </is>
      </c>
      <c r="G1745" s="36" t="inlineStr">
        <is>
          <t>Mahabang Parang</t>
        </is>
      </c>
      <c r="H1745" s="37" t="n">
        <v>14.54774</v>
      </c>
      <c r="I1745" s="37" t="n">
        <v>121.1901</v>
      </c>
      <c r="J1745" s="8" t="inlineStr">
        <is>
          <t>U</t>
        </is>
      </c>
      <c r="K1745" s="36" t="inlineStr">
        <is>
          <t>Class 1-3 / Urban</t>
        </is>
      </c>
      <c r="L1745" s="18" t="n">
        <v>37882</v>
      </c>
      <c r="M1745" s="20" t="n">
        <v>4.39</v>
      </c>
      <c r="N1745" s="18">
        <f>ROUND(L1745/M1745, 0)</f>
        <v/>
      </c>
      <c r="O1745" s="18">
        <f>ROUND(N1745*'Methodology &amp; Assumptions'!$B$8, 0)</f>
        <v/>
      </c>
      <c r="P1745" s="8" t="inlineStr">
        <is>
          <t>Band n50 (1.5 GHz, 60 MHz)</t>
        </is>
      </c>
      <c r="Q1745" s="38">
        <f>ROUNDUP(O1745/'Methodology &amp; Assumptions'!$B$9, 0)</f>
        <v/>
      </c>
      <c r="R1745" s="39" t="n">
        <v>1</v>
      </c>
      <c r="S1745" s="21" t="n">
        <v>2.05</v>
      </c>
      <c r="T1745" s="21" t="n">
        <v>1.59</v>
      </c>
      <c r="U1745" s="36" t="inlineStr">
        <is>
          <t>Tier 1B (Micro Drop, 1-3 km)</t>
        </is>
      </c>
      <c r="V1745" s="20" t="n">
        <v>60.5</v>
      </c>
      <c r="W1745" s="20" t="n">
        <v>98.3</v>
      </c>
      <c r="X1745" s="20" t="n">
        <v>28</v>
      </c>
      <c r="Y1745" s="40">
        <f>ROUND((V1745*'Methodology &amp; Assumptions'!$B$6)+(W1745*'Methodology &amp; Assumptions'!$B$5)+(X1745*'Methodology &amp; Assumptions'!$B$7), 2)</f>
        <v/>
      </c>
    </row>
    <row r="1746" ht="19" customHeight="1">
      <c r="A1746" s="41" t="n">
        <v>742</v>
      </c>
      <c r="B1746" s="41" t="n">
        <v>4742</v>
      </c>
      <c r="C1746" s="42" t="inlineStr">
        <is>
          <t>0301411008</t>
        </is>
      </c>
      <c r="D1746" s="42" t="inlineStr">
        <is>
          <t>Region III (Central Luzon)</t>
        </is>
      </c>
      <c r="E1746" s="42" t="inlineStr">
        <is>
          <t>Bulacan</t>
        </is>
      </c>
      <c r="F1746" s="42" t="inlineStr">
        <is>
          <t>Marilao</t>
        </is>
      </c>
      <c r="G1746" s="42" t="inlineStr">
        <is>
          <t>Patubig</t>
        </is>
      </c>
      <c r="H1746" s="43" t="n">
        <v>14.777488</v>
      </c>
      <c r="I1746" s="43" t="n">
        <v>120.959519</v>
      </c>
      <c r="J1746" s="44" t="inlineStr">
        <is>
          <t>U</t>
        </is>
      </c>
      <c r="K1746" s="42" t="inlineStr">
        <is>
          <t>Class 1-3 / Urban</t>
        </is>
      </c>
      <c r="L1746" s="23" t="n">
        <v>8419</v>
      </c>
      <c r="M1746" s="24" t="n">
        <v>4.1</v>
      </c>
      <c r="N1746" s="23">
        <f>ROUND(L1746/M1746, 0)</f>
        <v/>
      </c>
      <c r="O1746" s="23">
        <f>ROUND(N1746*'Methodology &amp; Assumptions'!$B$8, 0)</f>
        <v/>
      </c>
      <c r="P1746" s="44" t="inlineStr">
        <is>
          <t>Band n50 (1.5 GHz, 60 MHz)</t>
        </is>
      </c>
      <c r="Q1746" s="38">
        <f>ROUNDUP(O1746/'Methodology &amp; Assumptions'!$B$9, 0)</f>
        <v/>
      </c>
      <c r="R1746" s="39" t="n">
        <v>1</v>
      </c>
      <c r="S1746" s="25" t="n">
        <v>2.16</v>
      </c>
      <c r="T1746" s="25" t="n">
        <v>0.12</v>
      </c>
      <c r="U1746" s="42" t="inlineStr">
        <is>
          <t>Tier 1B (Micro Drop, 1-3 km)</t>
        </is>
      </c>
      <c r="V1746" s="24" t="n">
        <v>58.7</v>
      </c>
      <c r="W1746" s="24" t="n">
        <v>100</v>
      </c>
      <c r="X1746" s="24" t="n">
        <v>28</v>
      </c>
      <c r="Y1746" s="45">
        <f>ROUND((V1746*'Methodology &amp; Assumptions'!$B$6)+(W1746*'Methodology &amp; Assumptions'!$B$5)+(X1746*'Methodology &amp; Assumptions'!$B$7), 2)</f>
        <v/>
      </c>
    </row>
    <row r="1747" ht="19" customHeight="1">
      <c r="A1747" s="35" t="n">
        <v>743</v>
      </c>
      <c r="B1747" s="35" t="n">
        <v>4743</v>
      </c>
      <c r="C1747" s="36" t="inlineStr">
        <is>
          <t>0702241015</t>
        </is>
      </c>
      <c r="D1747" s="36" t="inlineStr">
        <is>
          <t>Region VII (Central Visayas)</t>
        </is>
      </c>
      <c r="E1747" s="36" t="inlineStr">
        <is>
          <t>Cebu</t>
        </is>
      </c>
      <c r="F1747" s="36" t="inlineStr">
        <is>
          <t>San Fernando</t>
        </is>
      </c>
      <c r="G1747" s="36" t="inlineStr">
        <is>
          <t>Pitalo</t>
        </is>
      </c>
      <c r="H1747" s="37" t="n">
        <v>10.176402</v>
      </c>
      <c r="I1747" s="37" t="n">
        <v>123.721533</v>
      </c>
      <c r="J1747" s="8" t="inlineStr">
        <is>
          <t>U</t>
        </is>
      </c>
      <c r="K1747" s="36" t="inlineStr">
        <is>
          <t>Class 1-3 / Urban</t>
        </is>
      </c>
      <c r="L1747" s="18" t="n">
        <v>7886</v>
      </c>
      <c r="M1747" s="20" t="n">
        <v>4.42</v>
      </c>
      <c r="N1747" s="18">
        <f>ROUND(L1747/M1747, 0)</f>
        <v/>
      </c>
      <c r="O1747" s="18">
        <f>ROUND(N1747*'Methodology &amp; Assumptions'!$B$8, 0)</f>
        <v/>
      </c>
      <c r="P1747" s="8" t="inlineStr">
        <is>
          <t>Band n50 (1.5 GHz, 60 MHz)</t>
        </is>
      </c>
      <c r="Q1747" s="38">
        <f>ROUNDUP(O1747/'Methodology &amp; Assumptions'!$B$9, 0)</f>
        <v/>
      </c>
      <c r="R1747" s="39" t="n">
        <v>1</v>
      </c>
      <c r="S1747" s="21" t="n">
        <v>2.16</v>
      </c>
      <c r="T1747" s="21" t="n">
        <v>0.33</v>
      </c>
      <c r="U1747" s="36" t="inlineStr">
        <is>
          <t>Tier 1B (Micro Drop, 1-3 km)</t>
        </is>
      </c>
      <c r="V1747" s="20" t="n">
        <v>58.7</v>
      </c>
      <c r="W1747" s="20" t="n">
        <v>100</v>
      </c>
      <c r="X1747" s="20" t="n">
        <v>28</v>
      </c>
      <c r="Y1747" s="40">
        <f>ROUND((V1747*'Methodology &amp; Assumptions'!$B$6)+(W1747*'Methodology &amp; Assumptions'!$B$5)+(X1747*'Methodology &amp; Assumptions'!$B$7), 2)</f>
        <v/>
      </c>
    </row>
    <row r="1748" ht="19" customHeight="1">
      <c r="A1748" s="41" t="n">
        <v>744</v>
      </c>
      <c r="B1748" s="41" t="n">
        <v>4744</v>
      </c>
      <c r="C1748" s="42" t="inlineStr">
        <is>
          <t>0305411019</t>
        </is>
      </c>
      <c r="D1748" s="42" t="inlineStr">
        <is>
          <t>Region III (Central Luzon)</t>
        </is>
      </c>
      <c r="E1748" s="42" t="inlineStr">
        <is>
          <t>Pampanga</t>
        </is>
      </c>
      <c r="F1748" s="42" t="inlineStr">
        <is>
          <t>Magalang</t>
        </is>
      </c>
      <c r="G1748" s="42" t="inlineStr">
        <is>
          <t>San Vicente</t>
        </is>
      </c>
      <c r="H1748" s="43" t="n">
        <v>15.20107</v>
      </c>
      <c r="I1748" s="43" t="n">
        <v>120.68315</v>
      </c>
      <c r="J1748" s="44" t="inlineStr">
        <is>
          <t>R</t>
        </is>
      </c>
      <c r="K1748" s="42" t="inlineStr">
        <is>
          <t>Class 1-3 / Urban</t>
        </is>
      </c>
      <c r="L1748" s="23" t="n">
        <v>4305</v>
      </c>
      <c r="M1748" s="24" t="n">
        <v>4.63</v>
      </c>
      <c r="N1748" s="23">
        <f>ROUND(L1748/M1748, 0)</f>
        <v/>
      </c>
      <c r="O1748" s="23">
        <f>ROUND(N1748*'Methodology &amp; Assumptions'!$B$8, 0)</f>
        <v/>
      </c>
      <c r="P1748" s="44" t="inlineStr">
        <is>
          <t>Band n50 (1.5 GHz, 60 MHz)</t>
        </is>
      </c>
      <c r="Q1748" s="38">
        <f>ROUNDUP(O1748/'Methodology &amp; Assumptions'!$B$9, 0)</f>
        <v/>
      </c>
      <c r="R1748" s="39" t="n">
        <v>1</v>
      </c>
      <c r="S1748" s="25" t="n">
        <v>4.21</v>
      </c>
      <c r="T1748" s="25" t="n">
        <v>1.32</v>
      </c>
      <c r="U1748" s="42" t="inlineStr">
        <is>
          <t>Tier 2 (Fiber Corridor / Lateral, 3-5 km)</t>
        </is>
      </c>
      <c r="V1748" s="24" t="n">
        <v>34.6</v>
      </c>
      <c r="W1748" s="24" t="n">
        <v>98.40000000000001</v>
      </c>
      <c r="X1748" s="24" t="n">
        <v>58</v>
      </c>
      <c r="Y1748" s="45">
        <f>ROUND((V1748*'Methodology &amp; Assumptions'!$B$6)+(W1748*'Methodology &amp; Assumptions'!$B$5)+(X1748*'Methodology &amp; Assumptions'!$B$7), 2)</f>
        <v/>
      </c>
    </row>
    <row r="1749" ht="19" customHeight="1">
      <c r="A1749" s="35" t="n">
        <v>745</v>
      </c>
      <c r="B1749" s="35" t="n">
        <v>4745</v>
      </c>
      <c r="C1749" s="36" t="inlineStr">
        <is>
          <t>0305406009</t>
        </is>
      </c>
      <c r="D1749" s="36" t="inlineStr">
        <is>
          <t>Region III (Central Luzon)</t>
        </is>
      </c>
      <c r="E1749" s="36" t="inlineStr">
        <is>
          <t>Pampanga</t>
        </is>
      </c>
      <c r="F1749" s="36" t="inlineStr">
        <is>
          <t>Floridablanca</t>
        </is>
      </c>
      <c r="G1749" s="36" t="inlineStr">
        <is>
          <t>Consuelo</t>
        </is>
      </c>
      <c r="H1749" s="37" t="n">
        <v>14.965363</v>
      </c>
      <c r="I1749" s="37" t="n">
        <v>120.49328</v>
      </c>
      <c r="J1749" s="8" t="inlineStr">
        <is>
          <t>R</t>
        </is>
      </c>
      <c r="K1749" s="36" t="inlineStr">
        <is>
          <t>Class 1-3 / Urban</t>
        </is>
      </c>
      <c r="L1749" s="18" t="n">
        <v>3609</v>
      </c>
      <c r="M1749" s="20" t="n">
        <v>4.63</v>
      </c>
      <c r="N1749" s="18">
        <f>ROUND(L1749/M1749, 0)</f>
        <v/>
      </c>
      <c r="O1749" s="18">
        <f>ROUND(N1749*'Methodology &amp; Assumptions'!$B$8, 0)</f>
        <v/>
      </c>
      <c r="P1749" s="8" t="inlineStr">
        <is>
          <t>Band n50 (1.5 GHz, 60 MHz)</t>
        </is>
      </c>
      <c r="Q1749" s="38">
        <f>ROUNDUP(O1749/'Methodology &amp; Assumptions'!$B$9, 0)</f>
        <v/>
      </c>
      <c r="R1749" s="39" t="n">
        <v>1</v>
      </c>
      <c r="S1749" s="21" t="n">
        <v>3.01</v>
      </c>
      <c r="T1749" s="21" t="n">
        <v>0.26</v>
      </c>
      <c r="U1749" s="36" t="inlineStr">
        <is>
          <t>Tier 2 (Fiber Corridor / Lateral, 3-5 km)</t>
        </is>
      </c>
      <c r="V1749" s="20" t="n">
        <v>46.6</v>
      </c>
      <c r="W1749" s="20" t="n">
        <v>86.40000000000001</v>
      </c>
      <c r="X1749" s="20" t="n">
        <v>58</v>
      </c>
      <c r="Y1749" s="40">
        <f>ROUND((V1749*'Methodology &amp; Assumptions'!$B$6)+(W1749*'Methodology &amp; Assumptions'!$B$5)+(X1749*'Methodology &amp; Assumptions'!$B$7), 2)</f>
        <v/>
      </c>
    </row>
    <row r="1750" ht="19" customHeight="1">
      <c r="A1750" s="41" t="n">
        <v>746</v>
      </c>
      <c r="B1750" s="41" t="n">
        <v>4746</v>
      </c>
      <c r="C1750" s="42" t="inlineStr">
        <is>
          <t>0203137015</t>
        </is>
      </c>
      <c r="D1750" s="42" t="inlineStr">
        <is>
          <t>Region II (Cagayan Valley)</t>
        </is>
      </c>
      <c r="E1750" s="42" t="inlineStr">
        <is>
          <t>Isabela</t>
        </is>
      </c>
      <c r="F1750" s="42" t="inlineStr">
        <is>
          <t>Tumauini</t>
        </is>
      </c>
      <c r="G1750" s="42" t="inlineStr">
        <is>
          <t>Compania</t>
        </is>
      </c>
      <c r="H1750" s="43" t="n">
        <v>17.2674</v>
      </c>
      <c r="I1750" s="43" t="n">
        <v>121.8087</v>
      </c>
      <c r="J1750" s="44" t="inlineStr">
        <is>
          <t>R</t>
        </is>
      </c>
      <c r="K1750" s="42" t="inlineStr">
        <is>
          <t>Class 1-3 / Urban</t>
        </is>
      </c>
      <c r="L1750" s="23" t="n">
        <v>1375</v>
      </c>
      <c r="M1750" s="24" t="n">
        <v>4.3</v>
      </c>
      <c r="N1750" s="23">
        <f>ROUND(L1750/M1750, 0)</f>
        <v/>
      </c>
      <c r="O1750" s="23">
        <f>ROUND(N1750*'Methodology &amp; Assumptions'!$B$8, 0)</f>
        <v/>
      </c>
      <c r="P1750" s="44" t="inlineStr">
        <is>
          <t>Band n50 (1.5 GHz, 60 MHz)</t>
        </is>
      </c>
      <c r="Q1750" s="38">
        <f>ROUNDUP(O1750/'Methodology &amp; Assumptions'!$B$9, 0)</f>
        <v/>
      </c>
      <c r="R1750" s="39" t="n">
        <v>1</v>
      </c>
      <c r="S1750" s="25" t="n">
        <v>0.93</v>
      </c>
      <c r="T1750" s="25" t="n">
        <v>0.65</v>
      </c>
      <c r="U1750" s="42" t="inlineStr">
        <is>
          <t>Tier 1A (Direct Coloc, &lt;1 km)</t>
        </is>
      </c>
      <c r="V1750" s="24" t="n">
        <v>83.40000000000001</v>
      </c>
      <c r="W1750" s="24" t="n">
        <v>49.6</v>
      </c>
      <c r="X1750" s="24" t="n">
        <v>58</v>
      </c>
      <c r="Y1750" s="45">
        <f>ROUND((V1750*'Methodology &amp; Assumptions'!$B$6)+(W1750*'Methodology &amp; Assumptions'!$B$5)+(X1750*'Methodology &amp; Assumptions'!$B$7), 2)</f>
        <v/>
      </c>
    </row>
    <row r="1751" ht="19" customHeight="1">
      <c r="A1751" s="35" t="n">
        <v>747</v>
      </c>
      <c r="B1751" s="35" t="n">
        <v>4747</v>
      </c>
      <c r="C1751" s="36" t="inlineStr">
        <is>
          <t>0105525040</t>
        </is>
      </c>
      <c r="D1751" s="36" t="inlineStr">
        <is>
          <t>Region I (Ilocos Region)</t>
        </is>
      </c>
      <c r="E1751" s="36" t="inlineStr">
        <is>
          <t>Pangasinan</t>
        </is>
      </c>
      <c r="F1751" s="36" t="inlineStr">
        <is>
          <t>Manaoag</t>
        </is>
      </c>
      <c r="G1751" s="36" t="inlineStr">
        <is>
          <t>Pugaro</t>
        </is>
      </c>
      <c r="H1751" s="37" t="n">
        <v>16.058741</v>
      </c>
      <c r="I1751" s="37" t="n">
        <v>120.488302</v>
      </c>
      <c r="J1751" s="8" t="inlineStr">
        <is>
          <t>U</t>
        </is>
      </c>
      <c r="K1751" s="36" t="inlineStr">
        <is>
          <t>Class 1-3 / Urban</t>
        </is>
      </c>
      <c r="L1751" s="18" t="n">
        <v>6340</v>
      </c>
      <c r="M1751" s="20" t="n">
        <v>4.39</v>
      </c>
      <c r="N1751" s="18">
        <f>ROUND(L1751/M1751, 0)</f>
        <v/>
      </c>
      <c r="O1751" s="18">
        <f>ROUND(N1751*'Methodology &amp; Assumptions'!$B$8, 0)</f>
        <v/>
      </c>
      <c r="P1751" s="8" t="inlineStr">
        <is>
          <t>Band n50 (1.5 GHz, 60 MHz)</t>
        </is>
      </c>
      <c r="Q1751" s="38">
        <f>ROUNDUP(O1751/'Methodology &amp; Assumptions'!$B$9, 0)</f>
        <v/>
      </c>
      <c r="R1751" s="39" t="n">
        <v>1</v>
      </c>
      <c r="S1751" s="21" t="n">
        <v>1.6</v>
      </c>
      <c r="T1751" s="21" t="n">
        <v>8.68</v>
      </c>
      <c r="U1751" s="36" t="inlineStr">
        <is>
          <t>Tier 1B (Micro Drop, 1-3 km)</t>
        </is>
      </c>
      <c r="V1751" s="20" t="n">
        <v>58.7</v>
      </c>
      <c r="W1751" s="20" t="n">
        <v>100</v>
      </c>
      <c r="X1751" s="20" t="n">
        <v>28</v>
      </c>
      <c r="Y1751" s="40">
        <f>ROUND((V1751*'Methodology &amp; Assumptions'!$B$6)+(W1751*'Methodology &amp; Assumptions'!$B$5)+(X1751*'Methodology &amp; Assumptions'!$B$7), 2)</f>
        <v/>
      </c>
    </row>
    <row r="1752" ht="19" customHeight="1">
      <c r="A1752" s="41" t="n">
        <v>748</v>
      </c>
      <c r="B1752" s="41" t="n">
        <v>4748</v>
      </c>
      <c r="C1752" s="42" t="inlineStr">
        <is>
          <t>0403422005</t>
        </is>
      </c>
      <c r="D1752" s="42" t="inlineStr">
        <is>
          <t>Region IV-A (CALABARZON)</t>
        </is>
      </c>
      <c r="E1752" s="42" t="inlineStr">
        <is>
          <t>Laguna</t>
        </is>
      </c>
      <c r="F1752" s="42" t="inlineStr">
        <is>
          <t>Pila</t>
        </is>
      </c>
      <c r="G1752" s="42" t="inlineStr">
        <is>
          <t>Bulilan Sur</t>
        </is>
      </c>
      <c r="H1752" s="43" t="n">
        <v>14.226713</v>
      </c>
      <c r="I1752" s="43" t="n">
        <v>121.376373</v>
      </c>
      <c r="J1752" s="44" t="inlineStr">
        <is>
          <t>U</t>
        </is>
      </c>
      <c r="K1752" s="42" t="inlineStr">
        <is>
          <t>Class 1-3 / Urban</t>
        </is>
      </c>
      <c r="L1752" s="23" t="n">
        <v>3481</v>
      </c>
      <c r="M1752" s="24" t="n">
        <v>4.2</v>
      </c>
      <c r="N1752" s="23">
        <f>ROUND(L1752/M1752, 0)</f>
        <v/>
      </c>
      <c r="O1752" s="23">
        <f>ROUND(N1752*'Methodology &amp; Assumptions'!$B$8, 0)</f>
        <v/>
      </c>
      <c r="P1752" s="44" t="inlineStr">
        <is>
          <t>Band n50 (1.5 GHz, 60 MHz)</t>
        </is>
      </c>
      <c r="Q1752" s="38">
        <f>ROUNDUP(O1752/'Methodology &amp; Assumptions'!$B$9, 0)</f>
        <v/>
      </c>
      <c r="R1752" s="39" t="n">
        <v>1</v>
      </c>
      <c r="S1752" s="25" t="n">
        <v>1.62</v>
      </c>
      <c r="T1752" s="25" t="n">
        <v>1.07</v>
      </c>
      <c r="U1752" s="42" t="inlineStr">
        <is>
          <t>Tier 1B (Micro Drop, 1-3 km)</t>
        </is>
      </c>
      <c r="V1752" s="24" t="n">
        <v>68.3</v>
      </c>
      <c r="W1752" s="24" t="n">
        <v>90.40000000000001</v>
      </c>
      <c r="X1752" s="24" t="n">
        <v>28</v>
      </c>
      <c r="Y1752" s="45">
        <f>ROUND((V1752*'Methodology &amp; Assumptions'!$B$6)+(W1752*'Methodology &amp; Assumptions'!$B$5)+(X1752*'Methodology &amp; Assumptions'!$B$7), 2)</f>
        <v/>
      </c>
    </row>
    <row r="1753" ht="19" customHeight="1">
      <c r="A1753" s="35" t="n">
        <v>749</v>
      </c>
      <c r="B1753" s="35" t="n">
        <v>4749</v>
      </c>
      <c r="C1753" s="36" t="inlineStr">
        <is>
          <t>0401007001</t>
        </is>
      </c>
      <c r="D1753" s="36" t="inlineStr">
        <is>
          <t>Region IV-A (CALABARZON)</t>
        </is>
      </c>
      <c r="E1753" s="36" t="inlineStr">
        <is>
          <t>Batangas</t>
        </is>
      </c>
      <c r="F1753" s="36" t="inlineStr">
        <is>
          <t>City of Calaca</t>
        </is>
      </c>
      <c r="G1753" s="36" t="inlineStr">
        <is>
          <t>Bagong Tubig</t>
        </is>
      </c>
      <c r="H1753" s="37" t="n">
        <v>13.9429</v>
      </c>
      <c r="I1753" s="37" t="n">
        <v>120.8049</v>
      </c>
      <c r="J1753" s="8" t="inlineStr">
        <is>
          <t>R</t>
        </is>
      </c>
      <c r="K1753" s="36" t="inlineStr">
        <is>
          <t>Class 1-3 / Urban</t>
        </is>
      </c>
      <c r="L1753" s="18" t="n">
        <v>2644</v>
      </c>
      <c r="M1753" s="20" t="n">
        <v>4.62</v>
      </c>
      <c r="N1753" s="18">
        <f>ROUND(L1753/M1753, 0)</f>
        <v/>
      </c>
      <c r="O1753" s="18">
        <f>ROUND(N1753*'Methodology &amp; Assumptions'!$B$8, 0)</f>
        <v/>
      </c>
      <c r="P1753" s="8" t="inlineStr">
        <is>
          <t>Band n50 (1.5 GHz, 60 MHz)</t>
        </is>
      </c>
      <c r="Q1753" s="38">
        <f>ROUNDUP(O1753/'Methodology &amp; Assumptions'!$B$9, 0)</f>
        <v/>
      </c>
      <c r="R1753" s="39" t="n">
        <v>1</v>
      </c>
      <c r="S1753" s="21" t="n">
        <v>1.9</v>
      </c>
      <c r="T1753" s="21" t="n">
        <v>0.88</v>
      </c>
      <c r="U1753" s="36" t="inlineStr">
        <is>
          <t>Tier 1B (Micro Drop, 1-3 km)</t>
        </is>
      </c>
      <c r="V1753" s="20" t="n">
        <v>63.1</v>
      </c>
      <c r="W1753" s="20" t="n">
        <v>69.90000000000001</v>
      </c>
      <c r="X1753" s="20" t="n">
        <v>58</v>
      </c>
      <c r="Y1753" s="40">
        <f>ROUND((V1753*'Methodology &amp; Assumptions'!$B$6)+(W1753*'Methodology &amp; Assumptions'!$B$5)+(X1753*'Methodology &amp; Assumptions'!$B$7), 2)</f>
        <v/>
      </c>
    </row>
    <row r="1754" ht="19" customHeight="1">
      <c r="A1754" s="41" t="n">
        <v>750</v>
      </c>
      <c r="B1754" s="41" t="n">
        <v>4750</v>
      </c>
      <c r="C1754" s="42" t="inlineStr">
        <is>
          <t>1206511008</t>
        </is>
      </c>
      <c r="D1754" s="42" t="inlineStr">
        <is>
          <t>Region XII (SOCCSKSARGEN)</t>
        </is>
      </c>
      <c r="E1754" s="42" t="inlineStr">
        <is>
          <t>Sultan Kudarat</t>
        </is>
      </c>
      <c r="F1754" s="42" t="inlineStr">
        <is>
          <t>City of Tacurong</t>
        </is>
      </c>
      <c r="G1754" s="42" t="inlineStr">
        <is>
          <t>Enrique J.C. Montilla</t>
        </is>
      </c>
      <c r="H1754" s="43" t="n">
        <v>6.678889</v>
      </c>
      <c r="I1754" s="43" t="n">
        <v>124.655278</v>
      </c>
      <c r="J1754" s="44" t="inlineStr">
        <is>
          <t>U</t>
        </is>
      </c>
      <c r="K1754" s="42" t="inlineStr">
        <is>
          <t>Class 1-3 / Urban</t>
        </is>
      </c>
      <c r="L1754" s="23" t="n">
        <v>7055</v>
      </c>
      <c r="M1754" s="24" t="n">
        <v>4.1</v>
      </c>
      <c r="N1754" s="23">
        <f>ROUND(L1754/M1754, 0)</f>
        <v/>
      </c>
      <c r="O1754" s="23">
        <f>ROUND(N1754*'Methodology &amp; Assumptions'!$B$8, 0)</f>
        <v/>
      </c>
      <c r="P1754" s="44" t="inlineStr">
        <is>
          <t>Band n50 (1.5 GHz, 60 MHz)</t>
        </is>
      </c>
      <c r="Q1754" s="38">
        <f>ROUNDUP(O1754/'Methodology &amp; Assumptions'!$B$9, 0)</f>
        <v/>
      </c>
      <c r="R1754" s="39" t="n">
        <v>1</v>
      </c>
      <c r="S1754" s="25" t="n">
        <v>2.34</v>
      </c>
      <c r="T1754" s="25" t="n">
        <v>2.32</v>
      </c>
      <c r="U1754" s="42" t="inlineStr">
        <is>
          <t>Tier 1B (Micro Drop, 1-3 km)</t>
        </is>
      </c>
      <c r="V1754" s="24" t="n">
        <v>45.8</v>
      </c>
      <c r="W1754" s="24" t="n">
        <v>100</v>
      </c>
      <c r="X1754" s="24" t="n">
        <v>43</v>
      </c>
      <c r="Y1754" s="45">
        <f>ROUND((V1754*'Methodology &amp; Assumptions'!$B$6)+(W1754*'Methodology &amp; Assumptions'!$B$5)+(X1754*'Methodology &amp; Assumptions'!$B$7), 2)</f>
        <v/>
      </c>
    </row>
    <row r="1755" ht="19" customHeight="1">
      <c r="A1755" s="35" t="n">
        <v>751</v>
      </c>
      <c r="B1755" s="35" t="n">
        <v>4751</v>
      </c>
      <c r="C1755" s="36" t="inlineStr">
        <is>
          <t>0307702002</t>
        </is>
      </c>
      <c r="D1755" s="36" t="inlineStr">
        <is>
          <t>Region III (Central Luzon)</t>
        </is>
      </c>
      <c r="E1755" s="36" t="inlineStr">
        <is>
          <t>Aurora</t>
        </is>
      </c>
      <c r="F1755" s="36" t="inlineStr">
        <is>
          <t>Casiguran</t>
        </is>
      </c>
      <c r="G1755" s="36" t="inlineStr">
        <is>
          <t>Barangay 2</t>
        </is>
      </c>
      <c r="H1755" s="37" t="n">
        <v>16.282115</v>
      </c>
      <c r="I1755" s="37" t="n">
        <v>122.127021</v>
      </c>
      <c r="J1755" s="8" t="inlineStr">
        <is>
          <t>R</t>
        </is>
      </c>
      <c r="K1755" s="36" t="inlineStr">
        <is>
          <t>Class 1-3 / Urban</t>
        </is>
      </c>
      <c r="L1755" s="18" t="n">
        <v>655</v>
      </c>
      <c r="M1755" s="20" t="n">
        <v>4.24</v>
      </c>
      <c r="N1755" s="18">
        <f>ROUND(L1755/M1755, 0)</f>
        <v/>
      </c>
      <c r="O1755" s="18">
        <f>ROUND(N1755*'Methodology &amp; Assumptions'!$B$8, 0)</f>
        <v/>
      </c>
      <c r="P1755" s="8" t="inlineStr">
        <is>
          <t>Band n50 (1.5 GHz, 60 MHz)</t>
        </is>
      </c>
      <c r="Q1755" s="38">
        <f>ROUNDUP(O1755/'Methodology &amp; Assumptions'!$B$9, 0)</f>
        <v/>
      </c>
      <c r="R1755" s="39" t="n">
        <v>1</v>
      </c>
      <c r="S1755" s="21" t="n">
        <v>0.43</v>
      </c>
      <c r="T1755" s="21" t="n">
        <v>0.1</v>
      </c>
      <c r="U1755" s="36" t="inlineStr">
        <is>
          <t>Tier 1A (Direct Coloc, &lt;1 km)</t>
        </is>
      </c>
      <c r="V1755" s="20" t="n">
        <v>96.7</v>
      </c>
      <c r="W1755" s="20" t="n">
        <v>36.3</v>
      </c>
      <c r="X1755" s="20" t="n">
        <v>58</v>
      </c>
      <c r="Y1755" s="40">
        <f>ROUND((V1755*'Methodology &amp; Assumptions'!$B$6)+(W1755*'Methodology &amp; Assumptions'!$B$5)+(X1755*'Methodology &amp; Assumptions'!$B$7), 2)</f>
        <v/>
      </c>
    </row>
    <row r="1756" ht="19" customHeight="1">
      <c r="A1756" s="41" t="n">
        <v>752</v>
      </c>
      <c r="B1756" s="41" t="n">
        <v>4752</v>
      </c>
      <c r="C1756" s="42" t="inlineStr">
        <is>
          <t>0203135026</t>
        </is>
      </c>
      <c r="D1756" s="42" t="inlineStr">
        <is>
          <t>Region II (Cagayan Valley)</t>
        </is>
      </c>
      <c r="E1756" s="42" t="inlineStr">
        <is>
          <t>Isabela</t>
        </is>
      </c>
      <c r="F1756" s="42" t="inlineStr">
        <is>
          <t>City of Santiago</t>
        </is>
      </c>
      <c r="G1756" s="42" t="inlineStr">
        <is>
          <t>Rosario</t>
        </is>
      </c>
      <c r="H1756" s="43" t="n">
        <v>16.682313</v>
      </c>
      <c r="I1756" s="43" t="n">
        <v>121.544843</v>
      </c>
      <c r="J1756" s="44" t="inlineStr">
        <is>
          <t>U</t>
        </is>
      </c>
      <c r="K1756" s="42" t="inlineStr">
        <is>
          <t>Class 1-3 / Urban</t>
        </is>
      </c>
      <c r="L1756" s="23" t="n">
        <v>12399</v>
      </c>
      <c r="M1756" s="24" t="n">
        <v>4.3</v>
      </c>
      <c r="N1756" s="23">
        <f>ROUND(L1756/M1756, 0)</f>
        <v/>
      </c>
      <c r="O1756" s="23">
        <f>ROUND(N1756*'Methodology &amp; Assumptions'!$B$8, 0)</f>
        <v/>
      </c>
      <c r="P1756" s="44" t="inlineStr">
        <is>
          <t>Band n50 (1.5 GHz, 60 MHz)</t>
        </is>
      </c>
      <c r="Q1756" s="38">
        <f>ROUNDUP(O1756/'Methodology &amp; Assumptions'!$B$9, 0)</f>
        <v/>
      </c>
      <c r="R1756" s="39" t="n">
        <v>1</v>
      </c>
      <c r="S1756" s="25" t="n">
        <v>2.16</v>
      </c>
      <c r="T1756" s="25" t="n">
        <v>0.68</v>
      </c>
      <c r="U1756" s="42" t="inlineStr">
        <is>
          <t>Tier 1B (Micro Drop, 1-3 km)</t>
        </is>
      </c>
      <c r="V1756" s="24" t="n">
        <v>58.6</v>
      </c>
      <c r="W1756" s="24" t="n">
        <v>100</v>
      </c>
      <c r="X1756" s="24" t="n">
        <v>28</v>
      </c>
      <c r="Y1756" s="45">
        <f>ROUND((V1756*'Methodology &amp; Assumptions'!$B$6)+(W1756*'Methodology &amp; Assumptions'!$B$5)+(X1756*'Methodology &amp; Assumptions'!$B$7), 2)</f>
        <v/>
      </c>
    </row>
    <row r="1757" ht="19" customHeight="1">
      <c r="A1757" s="35" t="n">
        <v>753</v>
      </c>
      <c r="B1757" s="35" t="n">
        <v>4753</v>
      </c>
      <c r="C1757" s="36" t="inlineStr">
        <is>
          <t>0402109057</t>
        </is>
      </c>
      <c r="D1757" s="36" t="inlineStr">
        <is>
          <t>Region IV-A (CALABARZON)</t>
        </is>
      </c>
      <c r="E1757" s="36" t="inlineStr">
        <is>
          <t>Cavite</t>
        </is>
      </c>
      <c r="F1757" s="36" t="inlineStr">
        <is>
          <t>City of Imus</t>
        </is>
      </c>
      <c r="G1757" s="36" t="inlineStr">
        <is>
          <t>Malagasang I-B</t>
        </is>
      </c>
      <c r="H1757" s="37" t="n">
        <v>14.392207</v>
      </c>
      <c r="I1757" s="37" t="n">
        <v>120.927513</v>
      </c>
      <c r="J1757" s="8" t="inlineStr">
        <is>
          <t>U</t>
        </is>
      </c>
      <c r="K1757" s="36" t="inlineStr">
        <is>
          <t>Class 1-3 / Urban</t>
        </is>
      </c>
      <c r="L1757" s="18" t="n">
        <v>6113</v>
      </c>
      <c r="M1757" s="20" t="n">
        <v>4.49</v>
      </c>
      <c r="N1757" s="18">
        <f>ROUND(L1757/M1757, 0)</f>
        <v/>
      </c>
      <c r="O1757" s="18">
        <f>ROUND(N1757*'Methodology &amp; Assumptions'!$B$8, 0)</f>
        <v/>
      </c>
      <c r="P1757" s="8" t="inlineStr">
        <is>
          <t>Band n50 (1.5 GHz, 60 MHz)</t>
        </is>
      </c>
      <c r="Q1757" s="38">
        <f>ROUNDUP(O1757/'Methodology &amp; Assumptions'!$B$9, 0)</f>
        <v/>
      </c>
      <c r="R1757" s="39" t="n">
        <v>1</v>
      </c>
      <c r="S1757" s="21" t="n">
        <v>1.6</v>
      </c>
      <c r="T1757" s="21" t="n">
        <v>5.41</v>
      </c>
      <c r="U1757" s="36" t="inlineStr">
        <is>
          <t>Tier 1B (Micro Drop, 1-3 km)</t>
        </is>
      </c>
      <c r="V1757" s="20" t="n">
        <v>58.6</v>
      </c>
      <c r="W1757" s="20" t="n">
        <v>100</v>
      </c>
      <c r="X1757" s="20" t="n">
        <v>28</v>
      </c>
      <c r="Y1757" s="40">
        <f>ROUND((V1757*'Methodology &amp; Assumptions'!$B$6)+(W1757*'Methodology &amp; Assumptions'!$B$5)+(X1757*'Methodology &amp; Assumptions'!$B$7), 2)</f>
        <v/>
      </c>
    </row>
    <row r="1758" ht="19" customHeight="1">
      <c r="A1758" s="41" t="n">
        <v>754</v>
      </c>
      <c r="B1758" s="41" t="n">
        <v>4754</v>
      </c>
      <c r="C1758" s="42" t="inlineStr">
        <is>
          <t>0304901032</t>
        </is>
      </c>
      <c r="D1758" s="42" t="inlineStr">
        <is>
          <t>Region III (Central Luzon)</t>
        </is>
      </c>
      <c r="E1758" s="42" t="inlineStr">
        <is>
          <t>Nueva Ecija</t>
        </is>
      </c>
      <c r="F1758" s="42" t="inlineStr">
        <is>
          <t>Aliaga</t>
        </is>
      </c>
      <c r="G1758" s="42" t="inlineStr">
        <is>
          <t>San Juan</t>
        </is>
      </c>
      <c r="H1758" s="43" t="n">
        <v>15.506844</v>
      </c>
      <c r="I1758" s="43" t="n">
        <v>120.890827</v>
      </c>
      <c r="J1758" s="44" t="inlineStr">
        <is>
          <t>U</t>
        </is>
      </c>
      <c r="K1758" s="42" t="inlineStr">
        <is>
          <t>Class 1-3 / Urban</t>
        </is>
      </c>
      <c r="L1758" s="23" t="n">
        <v>5255</v>
      </c>
      <c r="M1758" s="24" t="n">
        <v>4.32</v>
      </c>
      <c r="N1758" s="23">
        <f>ROUND(L1758/M1758, 0)</f>
        <v/>
      </c>
      <c r="O1758" s="23">
        <f>ROUND(N1758*'Methodology &amp; Assumptions'!$B$8, 0)</f>
        <v/>
      </c>
      <c r="P1758" s="44" t="inlineStr">
        <is>
          <t>Band n50 (1.5 GHz, 60 MHz)</t>
        </is>
      </c>
      <c r="Q1758" s="38">
        <f>ROUNDUP(O1758/'Methodology &amp; Assumptions'!$B$9, 0)</f>
        <v/>
      </c>
      <c r="R1758" s="39" t="n">
        <v>1</v>
      </c>
      <c r="S1758" s="25" t="n">
        <v>2.16</v>
      </c>
      <c r="T1758" s="25" t="n">
        <v>0.12</v>
      </c>
      <c r="U1758" s="42" t="inlineStr">
        <is>
          <t>Tier 1B (Micro Drop, 1-3 km)</t>
        </is>
      </c>
      <c r="V1758" s="24" t="n">
        <v>58.7</v>
      </c>
      <c r="W1758" s="24" t="n">
        <v>100</v>
      </c>
      <c r="X1758" s="24" t="n">
        <v>28</v>
      </c>
      <c r="Y1758" s="45">
        <f>ROUND((V1758*'Methodology &amp; Assumptions'!$B$6)+(W1758*'Methodology &amp; Assumptions'!$B$5)+(X1758*'Methodology &amp; Assumptions'!$B$7), 2)</f>
        <v/>
      </c>
    </row>
    <row r="1759" ht="19" customHeight="1">
      <c r="A1759" s="35" t="n">
        <v>755</v>
      </c>
      <c r="B1759" s="35" t="n">
        <v>4755</v>
      </c>
      <c r="C1759" s="36" t="inlineStr">
        <is>
          <t>0105531035</t>
        </is>
      </c>
      <c r="D1759" s="36" t="inlineStr">
        <is>
          <t>Region I (Ilocos Region)</t>
        </is>
      </c>
      <c r="E1759" s="36" t="inlineStr">
        <is>
          <t>Pangasinan</t>
        </is>
      </c>
      <c r="F1759" s="36" t="inlineStr">
        <is>
          <t>Rosales</t>
        </is>
      </c>
      <c r="G1759" s="36" t="inlineStr">
        <is>
          <t>Carmay East</t>
        </is>
      </c>
      <c r="H1759" s="37" t="n">
        <v>15.90339</v>
      </c>
      <c r="I1759" s="37" t="n">
        <v>120.636739</v>
      </c>
      <c r="J1759" s="8" t="inlineStr">
        <is>
          <t>U</t>
        </is>
      </c>
      <c r="K1759" s="36" t="inlineStr">
        <is>
          <t>Class 1-3 / Urban</t>
        </is>
      </c>
      <c r="L1759" s="18" t="n">
        <v>3122</v>
      </c>
      <c r="M1759" s="20" t="n">
        <v>4.39</v>
      </c>
      <c r="N1759" s="18">
        <f>ROUND(L1759/M1759, 0)</f>
        <v/>
      </c>
      <c r="O1759" s="18">
        <f>ROUND(N1759*'Methodology &amp; Assumptions'!$B$8, 0)</f>
        <v/>
      </c>
      <c r="P1759" s="8" t="inlineStr">
        <is>
          <t>Band n50 (1.5 GHz, 60 MHz)</t>
        </is>
      </c>
      <c r="Q1759" s="38">
        <f>ROUNDUP(O1759/'Methodology &amp; Assumptions'!$B$9, 0)</f>
        <v/>
      </c>
      <c r="R1759" s="39" t="n">
        <v>1</v>
      </c>
      <c r="S1759" s="21" t="n">
        <v>1.16</v>
      </c>
      <c r="T1759" s="21" t="n">
        <v>1.23</v>
      </c>
      <c r="U1759" s="36" t="inlineStr">
        <is>
          <t>Tier 1B (Micro Drop, 1-3 km)</t>
        </is>
      </c>
      <c r="V1759" s="20" t="n">
        <v>77.8</v>
      </c>
      <c r="W1759" s="20" t="n">
        <v>80.8</v>
      </c>
      <c r="X1759" s="20" t="n">
        <v>28</v>
      </c>
      <c r="Y1759" s="40">
        <f>ROUND((V1759*'Methodology &amp; Assumptions'!$B$6)+(W1759*'Methodology &amp; Assumptions'!$B$5)+(X1759*'Methodology &amp; Assumptions'!$B$7), 2)</f>
        <v/>
      </c>
    </row>
    <row r="1760" ht="19" customHeight="1">
      <c r="A1760" s="41" t="n">
        <v>756</v>
      </c>
      <c r="B1760" s="41" t="n">
        <v>4756</v>
      </c>
      <c r="C1760" s="42" t="inlineStr">
        <is>
          <t>0201510014</t>
        </is>
      </c>
      <c r="D1760" s="42" t="inlineStr">
        <is>
          <t>Region II (Cagayan Valley)</t>
        </is>
      </c>
      <c r="E1760" s="42" t="inlineStr">
        <is>
          <t>Cagayan</t>
        </is>
      </c>
      <c r="F1760" s="42" t="inlineStr">
        <is>
          <t>Camalaniugan</t>
        </is>
      </c>
      <c r="G1760" s="42" t="inlineStr">
        <is>
          <t>Dacal-Lafugu</t>
        </is>
      </c>
      <c r="H1760" s="43" t="n">
        <v>18.2662</v>
      </c>
      <c r="I1760" s="43" t="n">
        <v>121.6844</v>
      </c>
      <c r="J1760" s="44" t="inlineStr">
        <is>
          <t>R</t>
        </is>
      </c>
      <c r="K1760" s="42" t="inlineStr">
        <is>
          <t>3rd</t>
        </is>
      </c>
      <c r="L1760" s="23" t="n">
        <v>1171</v>
      </c>
      <c r="M1760" s="24" t="n">
        <v>4.54</v>
      </c>
      <c r="N1760" s="23">
        <f>ROUND(L1760/M1760, 0)</f>
        <v/>
      </c>
      <c r="O1760" s="23">
        <f>ROUND(N1760*'Methodology &amp; Assumptions'!$B$8, 0)</f>
        <v/>
      </c>
      <c r="P1760" s="44" t="inlineStr">
        <is>
          <t>Band n50 (1.5 GHz, 60 MHz)</t>
        </is>
      </c>
      <c r="Q1760" s="38">
        <f>ROUNDUP(O1760/'Methodology &amp; Assumptions'!$B$9, 0)</f>
        <v/>
      </c>
      <c r="R1760" s="39" t="n">
        <v>1</v>
      </c>
      <c r="S1760" s="25" t="n">
        <v>0.73</v>
      </c>
      <c r="T1760" s="25" t="n">
        <v>1.07</v>
      </c>
      <c r="U1760" s="42" t="inlineStr">
        <is>
          <t>Tier 1A (Direct Coloc, &lt;1 km)</t>
        </is>
      </c>
      <c r="V1760" s="24" t="n">
        <v>88.40000000000001</v>
      </c>
      <c r="W1760" s="24" t="n">
        <v>44.5</v>
      </c>
      <c r="X1760" s="24" t="n">
        <v>58</v>
      </c>
      <c r="Y1760" s="45">
        <f>ROUND((V1760*'Methodology &amp; Assumptions'!$B$6)+(W1760*'Methodology &amp; Assumptions'!$B$5)+(X1760*'Methodology &amp; Assumptions'!$B$7), 2)</f>
        <v/>
      </c>
    </row>
    <row r="1761" ht="19" customHeight="1">
      <c r="A1761" s="35" t="n">
        <v>757</v>
      </c>
      <c r="B1761" s="35" t="n">
        <v>4757</v>
      </c>
      <c r="C1761" s="36" t="inlineStr">
        <is>
          <t>0301420006</t>
        </is>
      </c>
      <c r="D1761" s="36" t="inlineStr">
        <is>
          <t>Region III (Central Luzon)</t>
        </is>
      </c>
      <c r="E1761" s="36" t="inlineStr">
        <is>
          <t>Bulacan</t>
        </is>
      </c>
      <c r="F1761" s="36" t="inlineStr">
        <is>
          <t>City of San Jose Del Monte</t>
        </is>
      </c>
      <c r="G1761" s="36" t="inlineStr">
        <is>
          <t>Minuyan I</t>
        </is>
      </c>
      <c r="H1761" s="37" t="n">
        <v>14.870197</v>
      </c>
      <c r="I1761" s="37" t="n">
        <v>121.079344</v>
      </c>
      <c r="J1761" s="8" t="inlineStr">
        <is>
          <t>R</t>
        </is>
      </c>
      <c r="K1761" s="36" t="inlineStr">
        <is>
          <t>Class 1-3 / Urban</t>
        </is>
      </c>
      <c r="L1761" s="18" t="n">
        <v>3333</v>
      </c>
      <c r="M1761" s="20" t="n">
        <v>4.1</v>
      </c>
      <c r="N1761" s="18">
        <f>ROUND(L1761/M1761, 0)</f>
        <v/>
      </c>
      <c r="O1761" s="18">
        <f>ROUND(N1761*'Methodology &amp; Assumptions'!$B$8, 0)</f>
        <v/>
      </c>
      <c r="P1761" s="8" t="inlineStr">
        <is>
          <t>Band n50 (1.5 GHz, 60 MHz)</t>
        </is>
      </c>
      <c r="Q1761" s="38">
        <f>ROUNDUP(O1761/'Methodology &amp; Assumptions'!$B$9, 0)</f>
        <v/>
      </c>
      <c r="R1761" s="39" t="n">
        <v>1</v>
      </c>
      <c r="S1761" s="21" t="n">
        <v>2.48</v>
      </c>
      <c r="T1761" s="21" t="n">
        <v>5.94</v>
      </c>
      <c r="U1761" s="36" t="inlineStr">
        <is>
          <t>Tier 1B (Micro Drop, 1-3 km)</t>
        </is>
      </c>
      <c r="V1761" s="20" t="n">
        <v>43.8</v>
      </c>
      <c r="W1761" s="20" t="n">
        <v>89.09999999999999</v>
      </c>
      <c r="X1761" s="20" t="n">
        <v>58</v>
      </c>
      <c r="Y1761" s="40">
        <f>ROUND((V1761*'Methodology &amp; Assumptions'!$B$6)+(W1761*'Methodology &amp; Assumptions'!$B$5)+(X1761*'Methodology &amp; Assumptions'!$B$7), 2)</f>
        <v/>
      </c>
    </row>
    <row r="1762" ht="19" customHeight="1">
      <c r="A1762" s="41" t="n">
        <v>758</v>
      </c>
      <c r="B1762" s="41" t="n">
        <v>4758</v>
      </c>
      <c r="C1762" s="42" t="inlineStr">
        <is>
          <t>0730600046</t>
        </is>
      </c>
      <c r="D1762" s="42" t="inlineStr">
        <is>
          <t>Region VII (Central Visayas)</t>
        </is>
      </c>
      <c r="E1762" s="42" t="inlineStr">
        <is>
          <t>Cebu</t>
        </is>
      </c>
      <c r="F1762" s="42" t="inlineStr">
        <is>
          <t>City of Cebu</t>
        </is>
      </c>
      <c r="G1762" s="42" t="inlineStr">
        <is>
          <t>Mabolo</t>
        </is>
      </c>
      <c r="H1762" s="43" t="n">
        <v>10.313669</v>
      </c>
      <c r="I1762" s="43" t="n">
        <v>123.913843</v>
      </c>
      <c r="J1762" s="44" t="inlineStr">
        <is>
          <t>U</t>
        </is>
      </c>
      <c r="K1762" s="42" t="inlineStr">
        <is>
          <t>Class 1-3 / Urban</t>
        </is>
      </c>
      <c r="L1762" s="23" t="n">
        <v>21616</v>
      </c>
      <c r="M1762" s="24" t="n">
        <v>4.42</v>
      </c>
      <c r="N1762" s="23">
        <f>ROUND(L1762/M1762, 0)</f>
        <v/>
      </c>
      <c r="O1762" s="23">
        <f>ROUND(N1762*'Methodology &amp; Assumptions'!$B$8, 0)</f>
        <v/>
      </c>
      <c r="P1762" s="44" t="inlineStr">
        <is>
          <t>Band n50 (1.5 GHz, 60 MHz)</t>
        </is>
      </c>
      <c r="Q1762" s="38">
        <f>ROUNDUP(O1762/'Methodology &amp; Assumptions'!$B$9, 0)</f>
        <v/>
      </c>
      <c r="R1762" s="39" t="n">
        <v>1</v>
      </c>
      <c r="S1762" s="25" t="n">
        <v>2.16</v>
      </c>
      <c r="T1762" s="25" t="n">
        <v>0.44</v>
      </c>
      <c r="U1762" s="42" t="inlineStr">
        <is>
          <t>Tier 1B (Micro Drop, 1-3 km)</t>
        </is>
      </c>
      <c r="V1762" s="24" t="n">
        <v>58.6</v>
      </c>
      <c r="W1762" s="24" t="n">
        <v>100</v>
      </c>
      <c r="X1762" s="24" t="n">
        <v>28</v>
      </c>
      <c r="Y1762" s="45">
        <f>ROUND((V1762*'Methodology &amp; Assumptions'!$B$6)+(W1762*'Methodology &amp; Assumptions'!$B$5)+(X1762*'Methodology &amp; Assumptions'!$B$7), 2)</f>
        <v/>
      </c>
    </row>
    <row r="1763" ht="19" customHeight="1">
      <c r="A1763" s="35" t="n">
        <v>759</v>
      </c>
      <c r="B1763" s="35" t="n">
        <v>4759</v>
      </c>
      <c r="C1763" s="36" t="inlineStr">
        <is>
          <t>0501604006</t>
        </is>
      </c>
      <c r="D1763" s="36" t="inlineStr">
        <is>
          <t>Region V (Bicol Region)</t>
        </is>
      </c>
      <c r="E1763" s="36" t="inlineStr">
        <is>
          <t>Camarines Norte</t>
        </is>
      </c>
      <c r="F1763" s="36" t="inlineStr">
        <is>
          <t>San Lorenzo Ruiz</t>
        </is>
      </c>
      <c r="G1763" s="36" t="inlineStr">
        <is>
          <t>Mampurog</t>
        </is>
      </c>
      <c r="H1763" s="37" t="n">
        <v>14.049461</v>
      </c>
      <c r="I1763" s="37" t="n">
        <v>122.883619</v>
      </c>
      <c r="J1763" s="8" t="inlineStr">
        <is>
          <t>R</t>
        </is>
      </c>
      <c r="K1763" s="36" t="inlineStr">
        <is>
          <t>5th</t>
        </is>
      </c>
      <c r="L1763" s="18" t="n">
        <v>2967</v>
      </c>
      <c r="M1763" s="20" t="n">
        <v>4.42</v>
      </c>
      <c r="N1763" s="18">
        <f>ROUND(L1763/M1763, 0)</f>
        <v/>
      </c>
      <c r="O1763" s="18">
        <f>ROUND(N1763*'Methodology &amp; Assumptions'!$B$8, 0)</f>
        <v/>
      </c>
      <c r="P1763" s="8" t="inlineStr">
        <is>
          <t>Band n50 (1.5 GHz, 60 MHz)</t>
        </is>
      </c>
      <c r="Q1763" s="38">
        <f>ROUNDUP(O1763/'Methodology &amp; Assumptions'!$B$9, 0)</f>
        <v/>
      </c>
      <c r="R1763" s="39" t="n">
        <v>1</v>
      </c>
      <c r="S1763" s="21" t="n">
        <v>2.57</v>
      </c>
      <c r="T1763" s="21" t="n">
        <v>5.72</v>
      </c>
      <c r="U1763" s="36" t="inlineStr">
        <is>
          <t>Tier 1B (Micro Drop, 1-3 km)</t>
        </is>
      </c>
      <c r="V1763" s="20" t="n">
        <v>42.4</v>
      </c>
      <c r="W1763" s="20" t="n">
        <v>77.59999999999999</v>
      </c>
      <c r="X1763" s="20" t="n">
        <v>73</v>
      </c>
      <c r="Y1763" s="40">
        <f>ROUND((V1763*'Methodology &amp; Assumptions'!$B$6)+(W1763*'Methodology &amp; Assumptions'!$B$5)+(X1763*'Methodology &amp; Assumptions'!$B$7), 2)</f>
        <v/>
      </c>
    </row>
    <row r="1764" ht="19" customHeight="1">
      <c r="A1764" s="41" t="n">
        <v>760</v>
      </c>
      <c r="B1764" s="41" t="n">
        <v>4760</v>
      </c>
      <c r="C1764" s="42" t="inlineStr">
        <is>
          <t>0301401005</t>
        </is>
      </c>
      <c r="D1764" s="42" t="inlineStr">
        <is>
          <t>Region III (Central Luzon)</t>
        </is>
      </c>
      <c r="E1764" s="42" t="inlineStr">
        <is>
          <t>Bulacan</t>
        </is>
      </c>
      <c r="F1764" s="42" t="inlineStr">
        <is>
          <t>Angat</t>
        </is>
      </c>
      <c r="G1764" s="42" t="inlineStr">
        <is>
          <t>Donacion</t>
        </is>
      </c>
      <c r="H1764" s="43" t="n">
        <v>14.943113</v>
      </c>
      <c r="I1764" s="43" t="n">
        <v>120.981735</v>
      </c>
      <c r="J1764" s="44" t="inlineStr">
        <is>
          <t>R</t>
        </is>
      </c>
      <c r="K1764" s="42" t="inlineStr">
        <is>
          <t>Class 1-3 / Urban</t>
        </is>
      </c>
      <c r="L1764" s="23" t="n">
        <v>2902</v>
      </c>
      <c r="M1764" s="24" t="n">
        <v>4.1</v>
      </c>
      <c r="N1764" s="23">
        <f>ROUND(L1764/M1764, 0)</f>
        <v/>
      </c>
      <c r="O1764" s="23">
        <f>ROUND(N1764*'Methodology &amp; Assumptions'!$B$8, 0)</f>
        <v/>
      </c>
      <c r="P1764" s="44" t="inlineStr">
        <is>
          <t>Band n50 (1.5 GHz, 60 MHz)</t>
        </is>
      </c>
      <c r="Q1764" s="38">
        <f>ROUNDUP(O1764/'Methodology &amp; Assumptions'!$B$9, 0)</f>
        <v/>
      </c>
      <c r="R1764" s="39" t="n">
        <v>1</v>
      </c>
      <c r="S1764" s="25" t="n">
        <v>2.79</v>
      </c>
      <c r="T1764" s="25" t="n">
        <v>5.74</v>
      </c>
      <c r="U1764" s="42" t="inlineStr">
        <is>
          <t>Tier 1B (Micro Drop, 1-3 km)</t>
        </is>
      </c>
      <c r="V1764" s="24" t="n">
        <v>39.5</v>
      </c>
      <c r="W1764" s="24" t="n">
        <v>80.5</v>
      </c>
      <c r="X1764" s="24" t="n">
        <v>73</v>
      </c>
      <c r="Y1764" s="45">
        <f>ROUND((V1764*'Methodology &amp; Assumptions'!$B$6)+(W1764*'Methodology &amp; Assumptions'!$B$5)+(X1764*'Methodology &amp; Assumptions'!$B$7), 2)</f>
        <v/>
      </c>
    </row>
    <row r="1765" ht="19" customHeight="1">
      <c r="A1765" s="35" t="n">
        <v>761</v>
      </c>
      <c r="B1765" s="35" t="n">
        <v>4761</v>
      </c>
      <c r="C1765" s="36" t="inlineStr">
        <is>
          <t>0105501005</t>
        </is>
      </c>
      <c r="D1765" s="36" t="inlineStr">
        <is>
          <t>Region I (Ilocos Region)</t>
        </is>
      </c>
      <c r="E1765" s="36" t="inlineStr">
        <is>
          <t>Pangasinan</t>
        </is>
      </c>
      <c r="F1765" s="36" t="inlineStr">
        <is>
          <t>Agno</t>
        </is>
      </c>
      <c r="G1765" s="36" t="inlineStr">
        <is>
          <t>Boboy</t>
        </is>
      </c>
      <c r="H1765" s="37" t="n">
        <v>16.131432</v>
      </c>
      <c r="I1765" s="37" t="n">
        <v>119.792374</v>
      </c>
      <c r="J1765" s="8" t="inlineStr">
        <is>
          <t>R</t>
        </is>
      </c>
      <c r="K1765" s="36" t="inlineStr">
        <is>
          <t>Class 1-3 / Urban</t>
        </is>
      </c>
      <c r="L1765" s="18" t="n">
        <v>3679</v>
      </c>
      <c r="M1765" s="20" t="n">
        <v>4.39</v>
      </c>
      <c r="N1765" s="18">
        <f>ROUND(L1765/M1765, 0)</f>
        <v/>
      </c>
      <c r="O1765" s="18">
        <f>ROUND(N1765*'Methodology &amp; Assumptions'!$B$8, 0)</f>
        <v/>
      </c>
      <c r="P1765" s="8" t="inlineStr">
        <is>
          <t>Band n50 (1.5 GHz, 60 MHz)</t>
        </is>
      </c>
      <c r="Q1765" s="38">
        <f>ROUNDUP(O1765/'Methodology &amp; Assumptions'!$B$9, 0)</f>
        <v/>
      </c>
      <c r="R1765" s="39" t="n">
        <v>1</v>
      </c>
      <c r="S1765" s="21" t="n">
        <v>2.61</v>
      </c>
      <c r="T1765" s="21" t="n">
        <v>9.57</v>
      </c>
      <c r="U1765" s="36" t="inlineStr">
        <is>
          <t>Tier 1B (Micro Drop, 1-3 km)</t>
        </is>
      </c>
      <c r="V1765" s="20" t="n">
        <v>41.9</v>
      </c>
      <c r="W1765" s="20" t="n">
        <v>90.90000000000001</v>
      </c>
      <c r="X1765" s="20" t="n">
        <v>58</v>
      </c>
      <c r="Y1765" s="40">
        <f>ROUND((V1765*'Methodology &amp; Assumptions'!$B$6)+(W1765*'Methodology &amp; Assumptions'!$B$5)+(X1765*'Methodology &amp; Assumptions'!$B$7), 2)</f>
        <v/>
      </c>
    </row>
    <row r="1766" ht="19" customHeight="1">
      <c r="A1766" s="41" t="n">
        <v>762</v>
      </c>
      <c r="B1766" s="41" t="n">
        <v>4762</v>
      </c>
      <c r="C1766" s="42" t="inlineStr">
        <is>
          <t>0103306002</t>
        </is>
      </c>
      <c r="D1766" s="42" t="inlineStr">
        <is>
          <t>Region I (Ilocos Region)</t>
        </is>
      </c>
      <c r="E1766" s="42" t="inlineStr">
        <is>
          <t>La Union</t>
        </is>
      </c>
      <c r="F1766" s="42" t="inlineStr">
        <is>
          <t>Bangar</t>
        </is>
      </c>
      <c r="G1766" s="42" t="inlineStr">
        <is>
          <t>Alzate</t>
        </is>
      </c>
      <c r="H1766" s="43" t="n">
        <v>16.900591</v>
      </c>
      <c r="I1766" s="43" t="n">
        <v>120.419919</v>
      </c>
      <c r="J1766" s="44" t="inlineStr">
        <is>
          <t>R</t>
        </is>
      </c>
      <c r="K1766" s="42" t="inlineStr">
        <is>
          <t>Class 1-3 / Urban</t>
        </is>
      </c>
      <c r="L1766" s="23" t="n">
        <v>1481</v>
      </c>
      <c r="M1766" s="24" t="n">
        <v>4.42</v>
      </c>
      <c r="N1766" s="23">
        <f>ROUND(L1766/M1766, 0)</f>
        <v/>
      </c>
      <c r="O1766" s="23">
        <f>ROUND(N1766*'Methodology &amp; Assumptions'!$B$8, 0)</f>
        <v/>
      </c>
      <c r="P1766" s="44" t="inlineStr">
        <is>
          <t>Band n50 (1.5 GHz, 60 MHz)</t>
        </is>
      </c>
      <c r="Q1766" s="38">
        <f>ROUNDUP(O1766/'Methodology &amp; Assumptions'!$B$9, 0)</f>
        <v/>
      </c>
      <c r="R1766" s="39" t="n">
        <v>1</v>
      </c>
      <c r="S1766" s="25" t="n">
        <v>0.98</v>
      </c>
      <c r="T1766" s="25" t="n">
        <v>0.79</v>
      </c>
      <c r="U1766" s="42" t="inlineStr">
        <is>
          <t>Tier 1A (Direct Coloc, &lt;1 km)</t>
        </is>
      </c>
      <c r="V1766" s="24" t="n">
        <v>82.2</v>
      </c>
      <c r="W1766" s="24" t="n">
        <v>50.7</v>
      </c>
      <c r="X1766" s="24" t="n">
        <v>58</v>
      </c>
      <c r="Y1766" s="45">
        <f>ROUND((V1766*'Methodology &amp; Assumptions'!$B$6)+(W1766*'Methodology &amp; Assumptions'!$B$5)+(X1766*'Methodology &amp; Assumptions'!$B$7), 2)</f>
        <v/>
      </c>
    </row>
    <row r="1767" ht="19" customHeight="1">
      <c r="A1767" s="35" t="n">
        <v>763</v>
      </c>
      <c r="B1767" s="35" t="n">
        <v>4763</v>
      </c>
      <c r="C1767" s="36" t="inlineStr">
        <is>
          <t>0103306019</t>
        </is>
      </c>
      <c r="D1767" s="36" t="inlineStr">
        <is>
          <t>Region I (Ilocos Region)</t>
        </is>
      </c>
      <c r="E1767" s="36" t="inlineStr">
        <is>
          <t>La Union</t>
        </is>
      </c>
      <c r="F1767" s="36" t="inlineStr">
        <is>
          <t>Bangar</t>
        </is>
      </c>
      <c r="G1767" s="36" t="inlineStr">
        <is>
          <t>Maria Cristina West</t>
        </is>
      </c>
      <c r="H1767" s="37" t="n">
        <v>16.897088</v>
      </c>
      <c r="I1767" s="37" t="n">
        <v>120.430008</v>
      </c>
      <c r="J1767" s="8" t="inlineStr">
        <is>
          <t>R</t>
        </is>
      </c>
      <c r="K1767" s="36" t="inlineStr">
        <is>
          <t>Class 1-3 / Urban</t>
        </is>
      </c>
      <c r="L1767" s="18" t="n">
        <v>1071</v>
      </c>
      <c r="M1767" s="20" t="n">
        <v>4.42</v>
      </c>
      <c r="N1767" s="18">
        <f>ROUND(L1767/M1767, 0)</f>
        <v/>
      </c>
      <c r="O1767" s="18">
        <f>ROUND(N1767*'Methodology &amp; Assumptions'!$B$8, 0)</f>
        <v/>
      </c>
      <c r="P1767" s="8" t="inlineStr">
        <is>
          <t>Band n50 (1.5 GHz, 60 MHz)</t>
        </is>
      </c>
      <c r="Q1767" s="38">
        <f>ROUNDUP(O1767/'Methodology &amp; Assumptions'!$B$9, 0)</f>
        <v/>
      </c>
      <c r="R1767" s="39" t="n">
        <v>1</v>
      </c>
      <c r="S1767" s="21" t="n">
        <v>0.6899999999999999</v>
      </c>
      <c r="T1767" s="21" t="n">
        <v>0.17</v>
      </c>
      <c r="U1767" s="36" t="inlineStr">
        <is>
          <t>Tier 1A (Direct Coloc, &lt;1 km)</t>
        </is>
      </c>
      <c r="V1767" s="20" t="n">
        <v>89.40000000000001</v>
      </c>
      <c r="W1767" s="20" t="n">
        <v>43.5</v>
      </c>
      <c r="X1767" s="20" t="n">
        <v>58</v>
      </c>
      <c r="Y1767" s="40">
        <f>ROUND((V1767*'Methodology &amp; Assumptions'!$B$6)+(W1767*'Methodology &amp; Assumptions'!$B$5)+(X1767*'Methodology &amp; Assumptions'!$B$7), 2)</f>
        <v/>
      </c>
    </row>
    <row r="1768" ht="19" customHeight="1">
      <c r="A1768" s="41" t="n">
        <v>764</v>
      </c>
      <c r="B1768" s="41" t="n">
        <v>4764</v>
      </c>
      <c r="C1768" s="42" t="inlineStr">
        <is>
          <t>0405805015</t>
        </is>
      </c>
      <c r="D1768" s="42" t="inlineStr">
        <is>
          <t>Region IV-A (CALABARZON)</t>
        </is>
      </c>
      <c r="E1768" s="42" t="inlineStr">
        <is>
          <t>Rizal</t>
        </is>
      </c>
      <c r="F1768" s="42" t="inlineStr">
        <is>
          <t>Cainta</t>
        </is>
      </c>
      <c r="G1768" s="42" t="inlineStr">
        <is>
          <t>San Isidro</t>
        </is>
      </c>
      <c r="H1768" s="43" t="n">
        <v>14.610629</v>
      </c>
      <c r="I1768" s="43" t="n">
        <v>121.103748</v>
      </c>
      <c r="J1768" s="44" t="inlineStr">
        <is>
          <t>U</t>
        </is>
      </c>
      <c r="K1768" s="42" t="inlineStr">
        <is>
          <t>Class 1-3 / Urban</t>
        </is>
      </c>
      <c r="L1768" s="23" t="n">
        <v>86723</v>
      </c>
      <c r="M1768" s="24" t="n">
        <v>4.39</v>
      </c>
      <c r="N1768" s="23">
        <f>ROUND(L1768/M1768, 0)</f>
        <v/>
      </c>
      <c r="O1768" s="23">
        <f>ROUND(N1768*'Methodology &amp; Assumptions'!$B$8, 0)</f>
        <v/>
      </c>
      <c r="P1768" s="44" t="inlineStr">
        <is>
          <t>Band n50 (1.5 GHz, 60 MHz)</t>
        </is>
      </c>
      <c r="Q1768" s="38">
        <f>ROUNDUP(O1768/'Methodology &amp; Assumptions'!$B$9, 0)</f>
        <v/>
      </c>
      <c r="R1768" s="39" t="n">
        <v>1</v>
      </c>
      <c r="S1768" s="25" t="n">
        <v>1.78</v>
      </c>
      <c r="T1768" s="25" t="n">
        <v>0.43</v>
      </c>
      <c r="U1768" s="42" t="inlineStr">
        <is>
          <t>Tier 1B (Micro Drop, 1-3 km)</t>
        </is>
      </c>
      <c r="V1768" s="24" t="n">
        <v>65.3</v>
      </c>
      <c r="W1768" s="24" t="n">
        <v>93.3</v>
      </c>
      <c r="X1768" s="24" t="n">
        <v>28</v>
      </c>
      <c r="Y1768" s="45">
        <f>ROUND((V1768*'Methodology &amp; Assumptions'!$B$6)+(W1768*'Methodology &amp; Assumptions'!$B$5)+(X1768*'Methodology &amp; Assumptions'!$B$7), 2)</f>
        <v/>
      </c>
    </row>
    <row r="1769" ht="19" customHeight="1">
      <c r="A1769" s="35" t="n">
        <v>765</v>
      </c>
      <c r="B1769" s="35" t="n">
        <v>4765</v>
      </c>
      <c r="C1769" s="36" t="inlineStr">
        <is>
          <t>0702250013</t>
        </is>
      </c>
      <c r="D1769" s="36" t="inlineStr">
        <is>
          <t>Region VII (Central Visayas)</t>
        </is>
      </c>
      <c r="E1769" s="36" t="inlineStr">
        <is>
          <t>Cebu</t>
        </is>
      </c>
      <c r="F1769" s="36" t="inlineStr">
        <is>
          <t>City of Talisay</t>
        </is>
      </c>
      <c r="G1769" s="36" t="inlineStr">
        <is>
          <t>Pooc</t>
        </is>
      </c>
      <c r="H1769" s="37" t="n">
        <v>10.23848</v>
      </c>
      <c r="I1769" s="37" t="n">
        <v>123.824706</v>
      </c>
      <c r="J1769" s="8" t="inlineStr">
        <is>
          <t>U</t>
        </is>
      </c>
      <c r="K1769" s="36" t="inlineStr">
        <is>
          <t>Class 1-3 / Urban</t>
        </is>
      </c>
      <c r="L1769" s="18" t="n">
        <v>12925</v>
      </c>
      <c r="M1769" s="20" t="n">
        <v>4.42</v>
      </c>
      <c r="N1769" s="18">
        <f>ROUND(L1769/M1769, 0)</f>
        <v/>
      </c>
      <c r="O1769" s="18">
        <f>ROUND(N1769*'Methodology &amp; Assumptions'!$B$8, 0)</f>
        <v/>
      </c>
      <c r="P1769" s="8" t="inlineStr">
        <is>
          <t>Band n50 (1.5 GHz, 60 MHz)</t>
        </is>
      </c>
      <c r="Q1769" s="38">
        <f>ROUNDUP(O1769/'Methodology &amp; Assumptions'!$B$9, 0)</f>
        <v/>
      </c>
      <c r="R1769" s="39" t="n">
        <v>1</v>
      </c>
      <c r="S1769" s="21" t="n">
        <v>2.17</v>
      </c>
      <c r="T1769" s="21" t="n">
        <v>0.9</v>
      </c>
      <c r="U1769" s="36" t="inlineStr">
        <is>
          <t>Tier 1B (Micro Drop, 1-3 km)</t>
        </is>
      </c>
      <c r="V1769" s="20" t="n">
        <v>58.6</v>
      </c>
      <c r="W1769" s="20" t="n">
        <v>100</v>
      </c>
      <c r="X1769" s="20" t="n">
        <v>28</v>
      </c>
      <c r="Y1769" s="40">
        <f>ROUND((V1769*'Methodology &amp; Assumptions'!$B$6)+(W1769*'Methodology &amp; Assumptions'!$B$5)+(X1769*'Methodology &amp; Assumptions'!$B$7), 2)</f>
        <v/>
      </c>
    </row>
    <row r="1770" ht="19" customHeight="1">
      <c r="A1770" s="41" t="n">
        <v>766</v>
      </c>
      <c r="B1770" s="41" t="n">
        <v>4766</v>
      </c>
      <c r="C1770" s="42" t="inlineStr">
        <is>
          <t>0301409023</t>
        </is>
      </c>
      <c r="D1770" s="42" t="inlineStr">
        <is>
          <t>Region III (Central Luzon)</t>
        </is>
      </c>
      <c r="E1770" s="42" t="inlineStr">
        <is>
          <t>Bulacan</t>
        </is>
      </c>
      <c r="F1770" s="42" t="inlineStr">
        <is>
          <t>Hagonoy</t>
        </is>
      </c>
      <c r="G1770" s="42" t="inlineStr">
        <is>
          <t>Santo Niño</t>
        </is>
      </c>
      <c r="H1770" s="43" t="n">
        <v>14.837468</v>
      </c>
      <c r="I1770" s="43" t="n">
        <v>120.736634</v>
      </c>
      <c r="J1770" s="44" t="inlineStr">
        <is>
          <t>U</t>
        </is>
      </c>
      <c r="K1770" s="42" t="inlineStr">
        <is>
          <t>Class 1-3 / Urban</t>
        </is>
      </c>
      <c r="L1770" s="23" t="n">
        <v>4554</v>
      </c>
      <c r="M1770" s="24" t="n">
        <v>4.1</v>
      </c>
      <c r="N1770" s="23">
        <f>ROUND(L1770/M1770, 0)</f>
        <v/>
      </c>
      <c r="O1770" s="23">
        <f>ROUND(N1770*'Methodology &amp; Assumptions'!$B$8, 0)</f>
        <v/>
      </c>
      <c r="P1770" s="44" t="inlineStr">
        <is>
          <t>Band n50 (1.5 GHz, 60 MHz)</t>
        </is>
      </c>
      <c r="Q1770" s="38">
        <f>ROUNDUP(O1770/'Methodology &amp; Assumptions'!$B$9, 0)</f>
        <v/>
      </c>
      <c r="R1770" s="39" t="n">
        <v>1</v>
      </c>
      <c r="S1770" s="25" t="n">
        <v>1.61</v>
      </c>
      <c r="T1770" s="25" t="n">
        <v>2.76</v>
      </c>
      <c r="U1770" s="42" t="inlineStr">
        <is>
          <t>Tier 1B (Micro Drop, 1-3 km)</t>
        </is>
      </c>
      <c r="V1770" s="24" t="n">
        <v>58.6</v>
      </c>
      <c r="W1770" s="24" t="n">
        <v>100</v>
      </c>
      <c r="X1770" s="24" t="n">
        <v>28</v>
      </c>
      <c r="Y1770" s="45">
        <f>ROUND((V1770*'Methodology &amp; Assumptions'!$B$6)+(W1770*'Methodology &amp; Assumptions'!$B$5)+(X1770*'Methodology &amp; Assumptions'!$B$7), 2)</f>
        <v/>
      </c>
    </row>
    <row r="1771" ht="19" customHeight="1">
      <c r="A1771" s="35" t="n">
        <v>767</v>
      </c>
      <c r="B1771" s="35" t="n">
        <v>4767</v>
      </c>
      <c r="C1771" s="36" t="inlineStr">
        <is>
          <t>0631000201</t>
        </is>
      </c>
      <c r="D1771" s="36" t="inlineStr">
        <is>
          <t>Region VI (Western Visayas)</t>
        </is>
      </c>
      <c r="E1771" s="36" t="inlineStr">
        <is>
          <t>Iloilo</t>
        </is>
      </c>
      <c r="F1771" s="36" t="inlineStr">
        <is>
          <t>City of Iloilo</t>
        </is>
      </c>
      <c r="G1771" s="36" t="inlineStr">
        <is>
          <t>Tabuc Suba</t>
        </is>
      </c>
      <c r="H1771" s="37" t="n">
        <v>10.730084</v>
      </c>
      <c r="I1771" s="37" t="n">
        <v>122.5592</v>
      </c>
      <c r="J1771" s="8" t="inlineStr">
        <is>
          <t>U</t>
        </is>
      </c>
      <c r="K1771" s="36" t="inlineStr">
        <is>
          <t>Class 1-3 / Urban</t>
        </is>
      </c>
      <c r="L1771" s="18" t="n">
        <v>3925</v>
      </c>
      <c r="M1771" s="20" t="n">
        <v>4.39</v>
      </c>
      <c r="N1771" s="18">
        <f>ROUND(L1771/M1771, 0)</f>
        <v/>
      </c>
      <c r="O1771" s="18">
        <f>ROUND(N1771*'Methodology &amp; Assumptions'!$B$8, 0)</f>
        <v/>
      </c>
      <c r="P1771" s="8" t="inlineStr">
        <is>
          <t>Band n50 (1.5 GHz, 60 MHz)</t>
        </is>
      </c>
      <c r="Q1771" s="38">
        <f>ROUNDUP(O1771/'Methodology &amp; Assumptions'!$B$9, 0)</f>
        <v/>
      </c>
      <c r="R1771" s="39" t="n">
        <v>1</v>
      </c>
      <c r="S1771" s="21" t="n">
        <v>1.9</v>
      </c>
      <c r="T1771" s="21" t="n">
        <v>0.01</v>
      </c>
      <c r="U1771" s="36" t="inlineStr">
        <is>
          <t>Tier 1B (Micro Drop, 1-3 km)</t>
        </is>
      </c>
      <c r="V1771" s="20" t="n">
        <v>63.1</v>
      </c>
      <c r="W1771" s="20" t="n">
        <v>95.5</v>
      </c>
      <c r="X1771" s="20" t="n">
        <v>28</v>
      </c>
      <c r="Y1771" s="40">
        <f>ROUND((V1771*'Methodology &amp; Assumptions'!$B$6)+(W1771*'Methodology &amp; Assumptions'!$B$5)+(X1771*'Methodology &amp; Assumptions'!$B$7), 2)</f>
        <v/>
      </c>
    </row>
    <row r="1772" ht="19" customHeight="1">
      <c r="A1772" s="41" t="n">
        <v>768</v>
      </c>
      <c r="B1772" s="41" t="n">
        <v>4768</v>
      </c>
      <c r="C1772" s="42" t="inlineStr">
        <is>
          <t>0603043004</t>
        </is>
      </c>
      <c r="D1772" s="42" t="inlineStr">
        <is>
          <t>Region VI (Western Visayas)</t>
        </is>
      </c>
      <c r="E1772" s="42" t="inlineStr">
        <is>
          <t>Iloilo</t>
        </is>
      </c>
      <c r="F1772" s="42" t="inlineStr">
        <is>
          <t>Santa Barbara</t>
        </is>
      </c>
      <c r="G1772" s="42" t="inlineStr">
        <is>
          <t>Balabag</t>
        </is>
      </c>
      <c r="H1772" s="43" t="n">
        <v>10.772468</v>
      </c>
      <c r="I1772" s="43" t="n">
        <v>122.510956</v>
      </c>
      <c r="J1772" s="44" t="inlineStr">
        <is>
          <t>R</t>
        </is>
      </c>
      <c r="K1772" s="42" t="inlineStr">
        <is>
          <t>Class 1-3 / Urban</t>
        </is>
      </c>
      <c r="L1772" s="23" t="n">
        <v>3728</v>
      </c>
      <c r="M1772" s="24" t="n">
        <v>4.39</v>
      </c>
      <c r="N1772" s="23">
        <f>ROUND(L1772/M1772, 0)</f>
        <v/>
      </c>
      <c r="O1772" s="23">
        <f>ROUND(N1772*'Methodology &amp; Assumptions'!$B$8, 0)</f>
        <v/>
      </c>
      <c r="P1772" s="44" t="inlineStr">
        <is>
          <t>Band n50 (1.5 GHz, 60 MHz)</t>
        </is>
      </c>
      <c r="Q1772" s="38">
        <f>ROUNDUP(O1772/'Methodology &amp; Assumptions'!$B$9, 0)</f>
        <v/>
      </c>
      <c r="R1772" s="39" t="n">
        <v>1</v>
      </c>
      <c r="S1772" s="25" t="n">
        <v>3.53</v>
      </c>
      <c r="T1772" s="25" t="n">
        <v>1.93</v>
      </c>
      <c r="U1772" s="42" t="inlineStr">
        <is>
          <t>Tier 2 (Fiber Corridor / Lateral, 3-5 km)</t>
        </is>
      </c>
      <c r="V1772" s="24" t="n">
        <v>40.8</v>
      </c>
      <c r="W1772" s="24" t="n">
        <v>92</v>
      </c>
      <c r="X1772" s="24" t="n">
        <v>58</v>
      </c>
      <c r="Y1772" s="45">
        <f>ROUND((V1772*'Methodology &amp; Assumptions'!$B$6)+(W1772*'Methodology &amp; Assumptions'!$B$5)+(X1772*'Methodology &amp; Assumptions'!$B$7), 2)</f>
        <v/>
      </c>
    </row>
    <row r="1773" ht="19" customHeight="1">
      <c r="A1773" s="35" t="n">
        <v>769</v>
      </c>
      <c r="B1773" s="35" t="n">
        <v>4769</v>
      </c>
      <c r="C1773" s="36" t="inlineStr">
        <is>
          <t>0831600092</t>
        </is>
      </c>
      <c r="D1773" s="36" t="inlineStr">
        <is>
          <t>Region VIII (Eastern Visayas)</t>
        </is>
      </c>
      <c r="E1773" s="36" t="inlineStr">
        <is>
          <t>Leyte</t>
        </is>
      </c>
      <c r="F1773" s="36" t="inlineStr">
        <is>
          <t>City of Tacloban</t>
        </is>
      </c>
      <c r="G1773" s="36" t="inlineStr">
        <is>
          <t>Barangay 62</t>
        </is>
      </c>
      <c r="H1773" s="37" t="n">
        <v>11.221317</v>
      </c>
      <c r="I1773" s="37" t="n">
        <v>125.002605</v>
      </c>
      <c r="J1773" s="8" t="inlineStr">
        <is>
          <t>R</t>
        </is>
      </c>
      <c r="K1773" s="36" t="inlineStr">
        <is>
          <t>Class 1-3 / Urban</t>
        </is>
      </c>
      <c r="L1773" s="18" t="n">
        <v>1725</v>
      </c>
      <c r="M1773" s="20" t="n">
        <v>4.24</v>
      </c>
      <c r="N1773" s="18">
        <f>ROUND(L1773/M1773, 0)</f>
        <v/>
      </c>
      <c r="O1773" s="18">
        <f>ROUND(N1773*'Methodology &amp; Assumptions'!$B$8, 0)</f>
        <v/>
      </c>
      <c r="P1773" s="8" t="inlineStr">
        <is>
          <t>Band n50 (1.5 GHz, 60 MHz)</t>
        </is>
      </c>
      <c r="Q1773" s="38">
        <f>ROUNDUP(O1773/'Methodology &amp; Assumptions'!$B$9, 0)</f>
        <v/>
      </c>
      <c r="R1773" s="39" t="n">
        <v>1</v>
      </c>
      <c r="S1773" s="21" t="n">
        <v>1.23</v>
      </c>
      <c r="T1773" s="21" t="n">
        <v>1.23</v>
      </c>
      <c r="U1773" s="36" t="inlineStr">
        <is>
          <t>Tier 1B (Micro Drop, 1-3 km)</t>
        </is>
      </c>
      <c r="V1773" s="20" t="n">
        <v>76.3</v>
      </c>
      <c r="W1773" s="20" t="n">
        <v>56.5</v>
      </c>
      <c r="X1773" s="20" t="n">
        <v>58</v>
      </c>
      <c r="Y1773" s="40">
        <f>ROUND((V1773*'Methodology &amp; Assumptions'!$B$6)+(W1773*'Methodology &amp; Assumptions'!$B$5)+(X1773*'Methodology &amp; Assumptions'!$B$7), 2)</f>
        <v/>
      </c>
    </row>
    <row r="1774" ht="19" customHeight="1">
      <c r="A1774" s="41" t="n">
        <v>770</v>
      </c>
      <c r="B1774" s="41" t="n">
        <v>4770</v>
      </c>
      <c r="C1774" s="42" t="inlineStr">
        <is>
          <t>1001320027</t>
        </is>
      </c>
      <c r="D1774" s="42" t="inlineStr">
        <is>
          <t>Region X (Northern Mindanao)</t>
        </is>
      </c>
      <c r="E1774" s="42" t="inlineStr">
        <is>
          <t>Bukidnon</t>
        </is>
      </c>
      <c r="F1774" s="42" t="inlineStr">
        <is>
          <t>Talakag</t>
        </is>
      </c>
      <c r="G1774" s="42" t="inlineStr">
        <is>
          <t>San Isidro</t>
        </is>
      </c>
      <c r="H1774" s="43" t="n">
        <v>8.255269</v>
      </c>
      <c r="I1774" s="43" t="n">
        <v>124.592822</v>
      </c>
      <c r="J1774" s="44" t="inlineStr">
        <is>
          <t>U</t>
        </is>
      </c>
      <c r="K1774" s="42" t="inlineStr">
        <is>
          <t>Class 1-3 / Urban</t>
        </is>
      </c>
      <c r="L1774" s="23" t="n">
        <v>7452</v>
      </c>
      <c r="M1774" s="24" t="n">
        <v>4.63</v>
      </c>
      <c r="N1774" s="23">
        <f>ROUND(L1774/M1774, 0)</f>
        <v/>
      </c>
      <c r="O1774" s="23">
        <f>ROUND(N1774*'Methodology &amp; Assumptions'!$B$8, 0)</f>
        <v/>
      </c>
      <c r="P1774" s="44" t="inlineStr">
        <is>
          <t>Band n50 (1.5 GHz, 60 MHz)</t>
        </is>
      </c>
      <c r="Q1774" s="38">
        <f>ROUNDUP(O1774/'Methodology &amp; Assumptions'!$B$9, 0)</f>
        <v/>
      </c>
      <c r="R1774" s="39" t="n">
        <v>1</v>
      </c>
      <c r="S1774" s="25" t="n">
        <v>2.17</v>
      </c>
      <c r="T1774" s="25" t="n">
        <v>0.31</v>
      </c>
      <c r="U1774" s="42" t="inlineStr">
        <is>
          <t>Tier 1B (Micro Drop, 1-3 km)</t>
        </is>
      </c>
      <c r="V1774" s="24" t="n">
        <v>58.5</v>
      </c>
      <c r="W1774" s="24" t="n">
        <v>100</v>
      </c>
      <c r="X1774" s="24" t="n">
        <v>28</v>
      </c>
      <c r="Y1774" s="45">
        <f>ROUND((V1774*'Methodology &amp; Assumptions'!$B$6)+(W1774*'Methodology &amp; Assumptions'!$B$5)+(X1774*'Methodology &amp; Assumptions'!$B$7), 2)</f>
        <v/>
      </c>
    </row>
    <row r="1775" ht="19" customHeight="1">
      <c r="A1775" s="35" t="n">
        <v>771</v>
      </c>
      <c r="B1775" s="35" t="n">
        <v>4771</v>
      </c>
      <c r="C1775" s="36" t="inlineStr">
        <is>
          <t>0304903090</t>
        </is>
      </c>
      <c r="D1775" s="36" t="inlineStr">
        <is>
          <t>Region III (Central Luzon)</t>
        </is>
      </c>
      <c r="E1775" s="36" t="inlineStr">
        <is>
          <t>Nueva Ecija</t>
        </is>
      </c>
      <c r="F1775" s="36" t="inlineStr">
        <is>
          <t>City of Cabanatuan</t>
        </is>
      </c>
      <c r="G1775" s="36" t="inlineStr">
        <is>
          <t>Aduas Norte</t>
        </is>
      </c>
      <c r="H1775" s="37" t="n">
        <v>15.49997</v>
      </c>
      <c r="I1775" s="37" t="n">
        <v>120.968225</v>
      </c>
      <c r="J1775" s="8" t="inlineStr">
        <is>
          <t>U</t>
        </is>
      </c>
      <c r="K1775" s="36" t="inlineStr">
        <is>
          <t>Class 1-3 / Urban</t>
        </is>
      </c>
      <c r="L1775" s="18" t="n">
        <v>5755</v>
      </c>
      <c r="M1775" s="20" t="n">
        <v>4.32</v>
      </c>
      <c r="N1775" s="18">
        <f>ROUND(L1775/M1775, 0)</f>
        <v/>
      </c>
      <c r="O1775" s="18">
        <f>ROUND(N1775*'Methodology &amp; Assumptions'!$B$8, 0)</f>
        <v/>
      </c>
      <c r="P1775" s="8" t="inlineStr">
        <is>
          <t>Band n50 (1.5 GHz, 60 MHz)</t>
        </is>
      </c>
      <c r="Q1775" s="38">
        <f>ROUNDUP(O1775/'Methodology &amp; Assumptions'!$B$9, 0)</f>
        <v/>
      </c>
      <c r="R1775" s="39" t="n">
        <v>1</v>
      </c>
      <c r="S1775" s="21" t="n">
        <v>2.17</v>
      </c>
      <c r="T1775" s="21" t="n">
        <v>0.77</v>
      </c>
      <c r="U1775" s="36" t="inlineStr">
        <is>
          <t>Tier 1B (Micro Drop, 1-3 km)</t>
        </is>
      </c>
      <c r="V1775" s="20" t="n">
        <v>58.5</v>
      </c>
      <c r="W1775" s="20" t="n">
        <v>100</v>
      </c>
      <c r="X1775" s="20" t="n">
        <v>28</v>
      </c>
      <c r="Y1775" s="40">
        <f>ROUND((V1775*'Methodology &amp; Assumptions'!$B$6)+(W1775*'Methodology &amp; Assumptions'!$B$5)+(X1775*'Methodology &amp; Assumptions'!$B$7), 2)</f>
        <v/>
      </c>
    </row>
    <row r="1776" ht="19" customHeight="1">
      <c r="A1776" s="41" t="n">
        <v>772</v>
      </c>
      <c r="B1776" s="41" t="n">
        <v>4772</v>
      </c>
      <c r="C1776" s="42" t="inlineStr">
        <is>
          <t>1400108010</t>
        </is>
      </c>
      <c r="D1776" s="42" t="inlineStr">
        <is>
          <t>Cordillera Administrative Region (CAR)</t>
        </is>
      </c>
      <c r="E1776" s="42" t="inlineStr">
        <is>
          <t>Abra</t>
        </is>
      </c>
      <c r="F1776" s="42" t="inlineStr">
        <is>
          <t>La Paz</t>
        </is>
      </c>
      <c r="G1776" s="42" t="inlineStr">
        <is>
          <t>Poblacion</t>
        </is>
      </c>
      <c r="H1776" s="43" t="n">
        <v>17.677932</v>
      </c>
      <c r="I1776" s="43" t="n">
        <v>120.688087</v>
      </c>
      <c r="J1776" s="44" t="inlineStr">
        <is>
          <t>R</t>
        </is>
      </c>
      <c r="K1776" s="42" t="inlineStr">
        <is>
          <t>4th</t>
        </is>
      </c>
      <c r="L1776" s="23" t="n">
        <v>3686</v>
      </c>
      <c r="M1776" s="24" t="n">
        <v>4.48</v>
      </c>
      <c r="N1776" s="23">
        <f>ROUND(L1776/M1776, 0)</f>
        <v/>
      </c>
      <c r="O1776" s="23">
        <f>ROUND(N1776*'Methodology &amp; Assumptions'!$B$8, 0)</f>
        <v/>
      </c>
      <c r="P1776" s="44" t="inlineStr">
        <is>
          <t>Band n50 (1.5 GHz, 60 MHz)</t>
        </is>
      </c>
      <c r="Q1776" s="38">
        <f>ROUNDUP(O1776/'Methodology &amp; Assumptions'!$B$9, 0)</f>
        <v/>
      </c>
      <c r="R1776" s="39" t="n">
        <v>1</v>
      </c>
      <c r="S1776" s="25" t="n">
        <v>2.91</v>
      </c>
      <c r="T1776" s="25" t="n">
        <v>2.55</v>
      </c>
      <c r="U1776" s="42" t="inlineStr">
        <is>
          <t>Tier 1B (Micro Drop, 1-3 km)</t>
        </is>
      </c>
      <c r="V1776" s="24" t="n">
        <v>37.9</v>
      </c>
      <c r="W1776" s="24" t="n">
        <v>85.90000000000001</v>
      </c>
      <c r="X1776" s="24" t="n">
        <v>68.5</v>
      </c>
      <c r="Y1776" s="45">
        <f>ROUND((V1776*'Methodology &amp; Assumptions'!$B$6)+(W1776*'Methodology &amp; Assumptions'!$B$5)+(X1776*'Methodology &amp; Assumptions'!$B$7), 2)</f>
        <v/>
      </c>
    </row>
    <row r="1777" ht="19" customHeight="1">
      <c r="A1777" s="35" t="n">
        <v>773</v>
      </c>
      <c r="B1777" s="35" t="n">
        <v>4773</v>
      </c>
      <c r="C1777" s="36" t="inlineStr">
        <is>
          <t>0403407012</t>
        </is>
      </c>
      <c r="D1777" s="36" t="inlineStr">
        <is>
          <t>Region IV-A (CALABARZON)</t>
        </is>
      </c>
      <c r="E1777" s="36" t="inlineStr">
        <is>
          <t>Laguna</t>
        </is>
      </c>
      <c r="F1777" s="36" t="inlineStr">
        <is>
          <t>Cavinti</t>
        </is>
      </c>
      <c r="G1777" s="36" t="inlineStr">
        <is>
          <t>Mahipon</t>
        </is>
      </c>
      <c r="H1777" s="37" t="n">
        <v>14.268187</v>
      </c>
      <c r="I1777" s="37" t="n">
        <v>121.545426</v>
      </c>
      <c r="J1777" s="8" t="inlineStr">
        <is>
          <t>R</t>
        </is>
      </c>
      <c r="K1777" s="36" t="inlineStr">
        <is>
          <t>Class 1-3 / Urban</t>
        </is>
      </c>
      <c r="L1777" s="18" t="n">
        <v>2475</v>
      </c>
      <c r="M1777" s="20" t="n">
        <v>4.2</v>
      </c>
      <c r="N1777" s="18">
        <f>ROUND(L1777/M1777, 0)</f>
        <v/>
      </c>
      <c r="O1777" s="18">
        <f>ROUND(N1777*'Methodology &amp; Assumptions'!$B$8, 0)</f>
        <v/>
      </c>
      <c r="P1777" s="8" t="inlineStr">
        <is>
          <t>Band n50 (1.5 GHz, 60 MHz)</t>
        </is>
      </c>
      <c r="Q1777" s="38">
        <f>ROUNDUP(O1777/'Methodology &amp; Assumptions'!$B$9, 0)</f>
        <v/>
      </c>
      <c r="R1777" s="39" t="n">
        <v>1</v>
      </c>
      <c r="S1777" s="21" t="n">
        <v>1.45</v>
      </c>
      <c r="T1777" s="21" t="n">
        <v>9.35</v>
      </c>
      <c r="U1777" s="36" t="inlineStr">
        <is>
          <t>Tier 1B (Micro Drop, 1-3 km)</t>
        </is>
      </c>
      <c r="V1777" s="20" t="n">
        <v>61.6</v>
      </c>
      <c r="W1777" s="20" t="n">
        <v>71.2</v>
      </c>
      <c r="X1777" s="20" t="n">
        <v>58</v>
      </c>
      <c r="Y1777" s="40">
        <f>ROUND((V1777*'Methodology &amp; Assumptions'!$B$6)+(W1777*'Methodology &amp; Assumptions'!$B$5)+(X1777*'Methodology &amp; Assumptions'!$B$7), 2)</f>
        <v/>
      </c>
    </row>
    <row r="1778" ht="19" customHeight="1">
      <c r="A1778" s="41" t="n">
        <v>774</v>
      </c>
      <c r="B1778" s="41" t="n">
        <v>4774</v>
      </c>
      <c r="C1778" s="42" t="inlineStr">
        <is>
          <t>0402104018</t>
        </is>
      </c>
      <c r="D1778" s="42" t="inlineStr">
        <is>
          <t>Region IV-A (CALABARZON)</t>
        </is>
      </c>
      <c r="E1778" s="42" t="inlineStr">
        <is>
          <t>Cavite</t>
        </is>
      </c>
      <c r="F1778" s="42" t="inlineStr">
        <is>
          <t>Carmona</t>
        </is>
      </c>
      <c r="G1778" s="42" t="inlineStr">
        <is>
          <t>Barangay 7</t>
        </is>
      </c>
      <c r="H1778" s="43" t="n">
        <v>14.312745</v>
      </c>
      <c r="I1778" s="43" t="n">
        <v>121.053717</v>
      </c>
      <c r="J1778" s="44" t="inlineStr">
        <is>
          <t>R</t>
        </is>
      </c>
      <c r="K1778" s="42" t="inlineStr">
        <is>
          <t>Class 1-3 / Urban</t>
        </is>
      </c>
      <c r="L1778" s="23" t="n">
        <v>709</v>
      </c>
      <c r="M1778" s="24" t="n">
        <v>4.49</v>
      </c>
      <c r="N1778" s="23">
        <f>ROUND(L1778/M1778, 0)</f>
        <v/>
      </c>
      <c r="O1778" s="23">
        <f>ROUND(N1778*'Methodology &amp; Assumptions'!$B$8, 0)</f>
        <v/>
      </c>
      <c r="P1778" s="44" t="inlineStr">
        <is>
          <t>Band n50 (1.5 GHz, 60 MHz)</t>
        </is>
      </c>
      <c r="Q1778" s="38">
        <f>ROUNDUP(O1778/'Methodology &amp; Assumptions'!$B$9, 0)</f>
        <v/>
      </c>
      <c r="R1778" s="39" t="n">
        <v>1</v>
      </c>
      <c r="S1778" s="25" t="n">
        <v>0.44</v>
      </c>
      <c r="T1778" s="25" t="n">
        <v>0.45</v>
      </c>
      <c r="U1778" s="42" t="inlineStr">
        <is>
          <t>Tier 1A (Direct Coloc, &lt;1 km)</t>
        </is>
      </c>
      <c r="V1778" s="24" t="n">
        <v>96.3</v>
      </c>
      <c r="W1778" s="24" t="n">
        <v>36.5</v>
      </c>
      <c r="X1778" s="24" t="n">
        <v>58</v>
      </c>
      <c r="Y1778" s="45">
        <f>ROUND((V1778*'Methodology &amp; Assumptions'!$B$6)+(W1778*'Methodology &amp; Assumptions'!$B$5)+(X1778*'Methodology &amp; Assumptions'!$B$7), 2)</f>
        <v/>
      </c>
    </row>
    <row r="1779" ht="19" customHeight="1">
      <c r="A1779" s="35" t="n">
        <v>775</v>
      </c>
      <c r="B1779" s="35" t="n">
        <v>4775</v>
      </c>
      <c r="C1779" s="36" t="inlineStr">
        <is>
          <t>0405607015</t>
        </is>
      </c>
      <c r="D1779" s="36" t="inlineStr">
        <is>
          <t>Region IV-A (CALABARZON)</t>
        </is>
      </c>
      <c r="E1779" s="36" t="inlineStr">
        <is>
          <t>Quezon</t>
        </is>
      </c>
      <c r="F1779" s="36" t="inlineStr">
        <is>
          <t>Calauag</t>
        </is>
      </c>
      <c r="G1779" s="36" t="inlineStr">
        <is>
          <t>Barangay III</t>
        </is>
      </c>
      <c r="H1779" s="37" t="n">
        <v>13.95844</v>
      </c>
      <c r="I1779" s="37" t="n">
        <v>122.287009</v>
      </c>
      <c r="J1779" s="8" t="inlineStr">
        <is>
          <t>R</t>
        </is>
      </c>
      <c r="K1779" s="36" t="inlineStr">
        <is>
          <t>Class 1-3 / Urban</t>
        </is>
      </c>
      <c r="L1779" s="18" t="n">
        <v>491</v>
      </c>
      <c r="M1779" s="20" t="n">
        <v>4.46</v>
      </c>
      <c r="N1779" s="18">
        <f>ROUND(L1779/M1779, 0)</f>
        <v/>
      </c>
      <c r="O1779" s="18">
        <f>ROUND(N1779*'Methodology &amp; Assumptions'!$B$8, 0)</f>
        <v/>
      </c>
      <c r="P1779" s="8" t="inlineStr">
        <is>
          <t>Band n50 (1.5 GHz, 60 MHz)</t>
        </is>
      </c>
      <c r="Q1779" s="38">
        <f>ROUNDUP(O1779/'Methodology &amp; Assumptions'!$B$9, 0)</f>
        <v/>
      </c>
      <c r="R1779" s="39" t="n">
        <v>1</v>
      </c>
      <c r="S1779" s="21" t="n">
        <v>0.11</v>
      </c>
      <c r="T1779" s="21" t="n">
        <v>0.1</v>
      </c>
      <c r="U1779" s="36" t="inlineStr">
        <is>
          <t>Tier 1A (Direct Coloc, &lt;1 km)</t>
        </is>
      </c>
      <c r="V1779" s="20" t="n">
        <v>100</v>
      </c>
      <c r="W1779" s="20" t="n">
        <v>32.8</v>
      </c>
      <c r="X1779" s="20" t="n">
        <v>58</v>
      </c>
      <c r="Y1779" s="40">
        <f>ROUND((V1779*'Methodology &amp; Assumptions'!$B$6)+(W1779*'Methodology &amp; Assumptions'!$B$5)+(X1779*'Methodology &amp; Assumptions'!$B$7), 2)</f>
        <v/>
      </c>
    </row>
    <row r="1780" ht="19" customHeight="1">
      <c r="A1780" s="41" t="n">
        <v>776</v>
      </c>
      <c r="B1780" s="41" t="n">
        <v>4776</v>
      </c>
      <c r="C1780" s="42" t="inlineStr">
        <is>
          <t>0307114008</t>
        </is>
      </c>
      <c r="D1780" s="42" t="inlineStr">
        <is>
          <t>Region III (Central Luzon)</t>
        </is>
      </c>
      <c r="E1780" s="42" t="inlineStr">
        <is>
          <t>Zambales</t>
        </is>
      </c>
      <c r="F1780" s="42" t="inlineStr">
        <is>
          <t>Subic</t>
        </is>
      </c>
      <c r="G1780" s="42" t="inlineStr">
        <is>
          <t>Calapacuan</t>
        </is>
      </c>
      <c r="H1780" s="43" t="n">
        <v>14.86168</v>
      </c>
      <c r="I1780" s="43" t="n">
        <v>120.2431</v>
      </c>
      <c r="J1780" s="44" t="inlineStr">
        <is>
          <t>U</t>
        </is>
      </c>
      <c r="K1780" s="42" t="inlineStr">
        <is>
          <t>Class 1-3 / Urban</t>
        </is>
      </c>
      <c r="L1780" s="23" t="n">
        <v>15626</v>
      </c>
      <c r="M1780" s="24" t="n">
        <v>4.05</v>
      </c>
      <c r="N1780" s="23">
        <f>ROUND(L1780/M1780, 0)</f>
        <v/>
      </c>
      <c r="O1780" s="23">
        <f>ROUND(N1780*'Methodology &amp; Assumptions'!$B$8, 0)</f>
        <v/>
      </c>
      <c r="P1780" s="44" t="inlineStr">
        <is>
          <t>Band n50 (1.5 GHz, 60 MHz)</t>
        </is>
      </c>
      <c r="Q1780" s="38">
        <f>ROUNDUP(O1780/'Methodology &amp; Assumptions'!$B$9, 0)</f>
        <v/>
      </c>
      <c r="R1780" s="39" t="n">
        <v>1</v>
      </c>
      <c r="S1780" s="25" t="n">
        <v>3.09</v>
      </c>
      <c r="T1780" s="25" t="n">
        <v>0.11</v>
      </c>
      <c r="U1780" s="42" t="inlineStr">
        <is>
          <t>Tier 2 (Fiber Corridor / Lateral, 3-5 km)</t>
        </is>
      </c>
      <c r="V1780" s="24" t="n">
        <v>45.7</v>
      </c>
      <c r="W1780" s="24" t="n">
        <v>100</v>
      </c>
      <c r="X1780" s="24" t="n">
        <v>43</v>
      </c>
      <c r="Y1780" s="45">
        <f>ROUND((V1780*'Methodology &amp; Assumptions'!$B$6)+(W1780*'Methodology &amp; Assumptions'!$B$5)+(X1780*'Methodology &amp; Assumptions'!$B$7), 2)</f>
        <v/>
      </c>
    </row>
    <row r="1781" ht="19" customHeight="1">
      <c r="A1781" s="35" t="n">
        <v>777</v>
      </c>
      <c r="B1781" s="35" t="n">
        <v>4777</v>
      </c>
      <c r="C1781" s="36" t="inlineStr">
        <is>
          <t>0402117020</t>
        </is>
      </c>
      <c r="D1781" s="36" t="inlineStr">
        <is>
          <t>Region IV-A (CALABARZON)</t>
        </is>
      </c>
      <c r="E1781" s="36" t="inlineStr">
        <is>
          <t>Cavite</t>
        </is>
      </c>
      <c r="F1781" s="36" t="inlineStr">
        <is>
          <t>Rosario</t>
        </is>
      </c>
      <c r="G1781" s="36" t="inlineStr">
        <is>
          <t>Wawa II</t>
        </is>
      </c>
      <c r="H1781" s="37" t="n">
        <v>14.414191</v>
      </c>
      <c r="I1781" s="37" t="n">
        <v>120.847722</v>
      </c>
      <c r="J1781" s="8" t="inlineStr">
        <is>
          <t>U</t>
        </is>
      </c>
      <c r="K1781" s="36" t="inlineStr">
        <is>
          <t>Class 1-3 / Urban</t>
        </is>
      </c>
      <c r="L1781" s="18" t="n">
        <v>5875</v>
      </c>
      <c r="M1781" s="20" t="n">
        <v>4.49</v>
      </c>
      <c r="N1781" s="18">
        <f>ROUND(L1781/M1781, 0)</f>
        <v/>
      </c>
      <c r="O1781" s="18">
        <f>ROUND(N1781*'Methodology &amp; Assumptions'!$B$8, 0)</f>
        <v/>
      </c>
      <c r="P1781" s="8" t="inlineStr">
        <is>
          <t>Band n50 (1.5 GHz, 60 MHz)</t>
        </is>
      </c>
      <c r="Q1781" s="38">
        <f>ROUNDUP(O1781/'Methodology &amp; Assumptions'!$B$9, 0)</f>
        <v/>
      </c>
      <c r="R1781" s="39" t="n">
        <v>1</v>
      </c>
      <c r="S1781" s="21" t="n">
        <v>2.35</v>
      </c>
      <c r="T1781" s="21" t="n">
        <v>2.45</v>
      </c>
      <c r="U1781" s="36" t="inlineStr">
        <is>
          <t>Tier 1B (Micro Drop, 1-3 km)</t>
        </is>
      </c>
      <c r="V1781" s="20" t="n">
        <v>45.6</v>
      </c>
      <c r="W1781" s="20" t="n">
        <v>100</v>
      </c>
      <c r="X1781" s="20" t="n">
        <v>43</v>
      </c>
      <c r="Y1781" s="40">
        <f>ROUND((V1781*'Methodology &amp; Assumptions'!$B$6)+(W1781*'Methodology &amp; Assumptions'!$B$5)+(X1781*'Methodology &amp; Assumptions'!$B$7), 2)</f>
        <v/>
      </c>
    </row>
    <row r="1782" ht="19" customHeight="1">
      <c r="A1782" s="41" t="n">
        <v>778</v>
      </c>
      <c r="B1782" s="41" t="n">
        <v>4778</v>
      </c>
      <c r="C1782" s="42" t="inlineStr">
        <is>
          <t>0305415010</t>
        </is>
      </c>
      <c r="D1782" s="42" t="inlineStr">
        <is>
          <t>Region III (Central Luzon)</t>
        </is>
      </c>
      <c r="E1782" s="42" t="inlineStr">
        <is>
          <t>Pampanga</t>
        </is>
      </c>
      <c r="F1782" s="42" t="inlineStr">
        <is>
          <t>Porac</t>
        </is>
      </c>
      <c r="G1782" s="42" t="inlineStr">
        <is>
          <t>Cangatba</t>
        </is>
      </c>
      <c r="H1782" s="43" t="n">
        <v>15.07225</v>
      </c>
      <c r="I1782" s="43" t="n">
        <v>120.5434</v>
      </c>
      <c r="J1782" s="44" t="inlineStr">
        <is>
          <t>U</t>
        </is>
      </c>
      <c r="K1782" s="42" t="inlineStr">
        <is>
          <t>Class 1-3 / Urban</t>
        </is>
      </c>
      <c r="L1782" s="23" t="n">
        <v>2937</v>
      </c>
      <c r="M1782" s="24" t="n">
        <v>4.63</v>
      </c>
      <c r="N1782" s="23">
        <f>ROUND(L1782/M1782, 0)</f>
        <v/>
      </c>
      <c r="O1782" s="23">
        <f>ROUND(N1782*'Methodology &amp; Assumptions'!$B$8, 0)</f>
        <v/>
      </c>
      <c r="P1782" s="44" t="inlineStr">
        <is>
          <t>Band n50 (1.5 GHz, 60 MHz)</t>
        </is>
      </c>
      <c r="Q1782" s="38">
        <f>ROUNDUP(O1782/'Methodology &amp; Assumptions'!$B$9, 0)</f>
        <v/>
      </c>
      <c r="R1782" s="39" t="n">
        <v>1</v>
      </c>
      <c r="S1782" s="25" t="n">
        <v>0.91</v>
      </c>
      <c r="T1782" s="25" t="n">
        <v>0.11</v>
      </c>
      <c r="U1782" s="42" t="inlineStr">
        <is>
          <t>Tier 1A (Direct Coloc, &lt;1 km)</t>
        </is>
      </c>
      <c r="V1782" s="24" t="n">
        <v>83.8</v>
      </c>
      <c r="W1782" s="24" t="n">
        <v>74.7</v>
      </c>
      <c r="X1782" s="24" t="n">
        <v>28</v>
      </c>
      <c r="Y1782" s="45">
        <f>ROUND((V1782*'Methodology &amp; Assumptions'!$B$6)+(W1782*'Methodology &amp; Assumptions'!$B$5)+(X1782*'Methodology &amp; Assumptions'!$B$7), 2)</f>
        <v/>
      </c>
    </row>
    <row r="1783" ht="19" customHeight="1">
      <c r="A1783" s="35" t="n">
        <v>779</v>
      </c>
      <c r="B1783" s="35" t="n">
        <v>4779</v>
      </c>
      <c r="C1783" s="36" t="inlineStr">
        <is>
          <t>0405601011</t>
        </is>
      </c>
      <c r="D1783" s="36" t="inlineStr">
        <is>
          <t>Region IV-A (CALABARZON)</t>
        </is>
      </c>
      <c r="E1783" s="36" t="inlineStr">
        <is>
          <t>Quezon</t>
        </is>
      </c>
      <c r="F1783" s="36" t="inlineStr">
        <is>
          <t>Agdangan</t>
        </is>
      </c>
      <c r="G1783" s="36" t="inlineStr">
        <is>
          <t>Sildora</t>
        </is>
      </c>
      <c r="H1783" s="37" t="n">
        <v>13.865883</v>
      </c>
      <c r="I1783" s="37" t="n">
        <v>121.925405</v>
      </c>
      <c r="J1783" s="8" t="inlineStr">
        <is>
          <t>R</t>
        </is>
      </c>
      <c r="K1783" s="36" t="inlineStr">
        <is>
          <t>5th</t>
        </is>
      </c>
      <c r="L1783" s="18" t="n">
        <v>1182</v>
      </c>
      <c r="M1783" s="20" t="n">
        <v>4.05</v>
      </c>
      <c r="N1783" s="18">
        <f>ROUND(L1783/M1783, 0)</f>
        <v/>
      </c>
      <c r="O1783" s="18">
        <f>ROUND(N1783*'Methodology &amp; Assumptions'!$B$8, 0)</f>
        <v/>
      </c>
      <c r="P1783" s="8" t="inlineStr">
        <is>
          <t>Band n50 (1.5 GHz, 60 MHz)</t>
        </is>
      </c>
      <c r="Q1783" s="38">
        <f>ROUNDUP(O1783/'Methodology &amp; Assumptions'!$B$9, 0)</f>
        <v/>
      </c>
      <c r="R1783" s="39" t="n">
        <v>1</v>
      </c>
      <c r="S1783" s="21" t="n">
        <v>1.41</v>
      </c>
      <c r="T1783" s="21" t="n">
        <v>0.35</v>
      </c>
      <c r="U1783" s="36" t="inlineStr">
        <is>
          <t>Tier 1B (Micro Drop, 1-3 km)</t>
        </is>
      </c>
      <c r="V1783" s="20" t="n">
        <v>72.40000000000001</v>
      </c>
      <c r="W1783" s="20" t="n">
        <v>47.5</v>
      </c>
      <c r="X1783" s="20" t="n">
        <v>73</v>
      </c>
      <c r="Y1783" s="40">
        <f>ROUND((V1783*'Methodology &amp; Assumptions'!$B$6)+(W1783*'Methodology &amp; Assumptions'!$B$5)+(X1783*'Methodology &amp; Assumptions'!$B$7), 2)</f>
        <v/>
      </c>
    </row>
    <row r="1784" ht="19" customHeight="1">
      <c r="A1784" s="41" t="n">
        <v>780</v>
      </c>
      <c r="B1784" s="41" t="n">
        <v>4780</v>
      </c>
      <c r="C1784" s="42" t="inlineStr">
        <is>
          <t>1108207015</t>
        </is>
      </c>
      <c r="D1784" s="42" t="inlineStr">
        <is>
          <t>Region XI (Davao Region)</t>
        </is>
      </c>
      <c r="E1784" s="42" t="inlineStr">
        <is>
          <t>Davao de Oro</t>
        </is>
      </c>
      <c r="F1784" s="42" t="inlineStr">
        <is>
          <t>Monkayo</t>
        </is>
      </c>
      <c r="G1784" s="42" t="inlineStr">
        <is>
          <t>Salvacion</t>
        </is>
      </c>
      <c r="H1784" s="43" t="n">
        <v>7.823763</v>
      </c>
      <c r="I1784" s="43" t="n">
        <v>126.083602</v>
      </c>
      <c r="J1784" s="44" t="inlineStr">
        <is>
          <t>R</t>
        </is>
      </c>
      <c r="K1784" s="42" t="inlineStr">
        <is>
          <t>Class 1-3 / Urban</t>
        </is>
      </c>
      <c r="L1784" s="23" t="n">
        <v>3718</v>
      </c>
      <c r="M1784" s="24" t="n">
        <v>4.1</v>
      </c>
      <c r="N1784" s="23">
        <f>ROUND(L1784/M1784, 0)</f>
        <v/>
      </c>
      <c r="O1784" s="23">
        <f>ROUND(N1784*'Methodology &amp; Assumptions'!$B$8, 0)</f>
        <v/>
      </c>
      <c r="P1784" s="44" t="inlineStr">
        <is>
          <t>Band n50 (1.5 GHz, 60 MHz)</t>
        </is>
      </c>
      <c r="Q1784" s="38">
        <f>ROUNDUP(O1784/'Methodology &amp; Assumptions'!$B$9, 0)</f>
        <v/>
      </c>
      <c r="R1784" s="39" t="n">
        <v>1</v>
      </c>
      <c r="S1784" s="25" t="n">
        <v>3.05</v>
      </c>
      <c r="T1784" s="25" t="n">
        <v>2.74</v>
      </c>
      <c r="U1784" s="42" t="inlineStr">
        <is>
          <t>Tier 2 (Fiber Corridor / Lateral, 3-5 km)</t>
        </is>
      </c>
      <c r="V1784" s="24" t="n">
        <v>36.2</v>
      </c>
      <c r="W1784" s="24" t="n">
        <v>96.5</v>
      </c>
      <c r="X1784" s="24" t="n">
        <v>58</v>
      </c>
      <c r="Y1784" s="45">
        <f>ROUND((V1784*'Methodology &amp; Assumptions'!$B$6)+(W1784*'Methodology &amp; Assumptions'!$B$5)+(X1784*'Methodology &amp; Assumptions'!$B$7), 2)</f>
        <v/>
      </c>
    </row>
    <row r="1785" ht="19" customHeight="1">
      <c r="A1785" s="35" t="n">
        <v>781</v>
      </c>
      <c r="B1785" s="35" t="n">
        <v>4781</v>
      </c>
      <c r="C1785" s="36" t="inlineStr">
        <is>
          <t>0102822010</t>
        </is>
      </c>
      <c r="D1785" s="36" t="inlineStr">
        <is>
          <t>Region I (Ilocos Region)</t>
        </is>
      </c>
      <c r="E1785" s="36" t="inlineStr">
        <is>
          <t>Ilocos Norte</t>
        </is>
      </c>
      <c r="F1785" s="36" t="inlineStr">
        <is>
          <t>Solsona</t>
        </is>
      </c>
      <c r="G1785" s="36" t="inlineStr">
        <is>
          <t>Laureta</t>
        </is>
      </c>
      <c r="H1785" s="37" t="n">
        <v>18.090947</v>
      </c>
      <c r="I1785" s="37" t="n">
        <v>120.769949</v>
      </c>
      <c r="J1785" s="8" t="inlineStr">
        <is>
          <t>R</t>
        </is>
      </c>
      <c r="K1785" s="36" t="inlineStr">
        <is>
          <t>Class 1-3 / Urban</t>
        </is>
      </c>
      <c r="L1785" s="18" t="n">
        <v>1449</v>
      </c>
      <c r="M1785" s="20" t="n">
        <v>4.35</v>
      </c>
      <c r="N1785" s="18">
        <f>ROUND(L1785/M1785, 0)</f>
        <v/>
      </c>
      <c r="O1785" s="18">
        <f>ROUND(N1785*'Methodology &amp; Assumptions'!$B$8, 0)</f>
        <v/>
      </c>
      <c r="P1785" s="8" t="inlineStr">
        <is>
          <t>Band n50 (1.5 GHz, 60 MHz)</t>
        </is>
      </c>
      <c r="Q1785" s="38">
        <f>ROUNDUP(O1785/'Methodology &amp; Assumptions'!$B$9, 0)</f>
        <v/>
      </c>
      <c r="R1785" s="39" t="n">
        <v>1</v>
      </c>
      <c r="S1785" s="21" t="n">
        <v>0.98</v>
      </c>
      <c r="T1785" s="21" t="n">
        <v>0.4</v>
      </c>
      <c r="U1785" s="36" t="inlineStr">
        <is>
          <t>Tier 1A (Direct Coloc, &lt;1 km)</t>
        </is>
      </c>
      <c r="V1785" s="20" t="n">
        <v>82.09999999999999</v>
      </c>
      <c r="W1785" s="20" t="n">
        <v>50.7</v>
      </c>
      <c r="X1785" s="20" t="n">
        <v>58</v>
      </c>
      <c r="Y1785" s="40">
        <f>ROUND((V1785*'Methodology &amp; Assumptions'!$B$6)+(W1785*'Methodology &amp; Assumptions'!$B$5)+(X1785*'Methodology &amp; Assumptions'!$B$7), 2)</f>
        <v/>
      </c>
    </row>
    <row r="1786" ht="19" customHeight="1">
      <c r="A1786" s="41" t="n">
        <v>782</v>
      </c>
      <c r="B1786" s="41" t="n">
        <v>4782</v>
      </c>
      <c r="C1786" s="42" t="inlineStr">
        <is>
          <t>0306902006</t>
        </is>
      </c>
      <c r="D1786" s="42" t="inlineStr">
        <is>
          <t>Region III (Central Luzon)</t>
        </is>
      </c>
      <c r="E1786" s="42" t="inlineStr">
        <is>
          <t>Tarlac</t>
        </is>
      </c>
      <c r="F1786" s="42" t="inlineStr">
        <is>
          <t>Bamban</t>
        </is>
      </c>
      <c r="G1786" s="42" t="inlineStr">
        <is>
          <t>La Paz</t>
        </is>
      </c>
      <c r="H1786" s="43" t="n">
        <v>15.275766</v>
      </c>
      <c r="I1786" s="43" t="n">
        <v>120.569757</v>
      </c>
      <c r="J1786" s="44" t="inlineStr">
        <is>
          <t>R</t>
        </is>
      </c>
      <c r="K1786" s="42" t="inlineStr">
        <is>
          <t>Class 1-3 / Urban</t>
        </is>
      </c>
      <c r="L1786" s="23" t="n">
        <v>1349</v>
      </c>
      <c r="M1786" s="24" t="n">
        <v>4.3</v>
      </c>
      <c r="N1786" s="23">
        <f>ROUND(L1786/M1786, 0)</f>
        <v/>
      </c>
      <c r="O1786" s="23">
        <f>ROUND(N1786*'Methodology &amp; Assumptions'!$B$8, 0)</f>
        <v/>
      </c>
      <c r="P1786" s="44" t="inlineStr">
        <is>
          <t>Band n50 (1.5 GHz, 60 MHz)</t>
        </is>
      </c>
      <c r="Q1786" s="38">
        <f>ROUNDUP(O1786/'Methodology &amp; Assumptions'!$B$9, 0)</f>
        <v/>
      </c>
      <c r="R1786" s="39" t="n">
        <v>1</v>
      </c>
      <c r="S1786" s="25" t="n">
        <v>0.92</v>
      </c>
      <c r="T1786" s="25" t="n">
        <v>0.53</v>
      </c>
      <c r="U1786" s="42" t="inlineStr">
        <is>
          <t>Tier 1A (Direct Coloc, &lt;1 km)</t>
        </is>
      </c>
      <c r="V1786" s="24" t="n">
        <v>83.7</v>
      </c>
      <c r="W1786" s="24" t="n">
        <v>49.1</v>
      </c>
      <c r="X1786" s="24" t="n">
        <v>58</v>
      </c>
      <c r="Y1786" s="45">
        <f>ROUND((V1786*'Methodology &amp; Assumptions'!$B$6)+(W1786*'Methodology &amp; Assumptions'!$B$5)+(X1786*'Methodology &amp; Assumptions'!$B$7), 2)</f>
        <v/>
      </c>
    </row>
    <row r="1787" ht="19" customHeight="1">
      <c r="A1787" s="35" t="n">
        <v>783</v>
      </c>
      <c r="B1787" s="35" t="n">
        <v>4783</v>
      </c>
      <c r="C1787" s="36" t="inlineStr">
        <is>
          <t>0506205001</t>
        </is>
      </c>
      <c r="D1787" s="36" t="inlineStr">
        <is>
          <t>Region V (Bicol Region)</t>
        </is>
      </c>
      <c r="E1787" s="36" t="inlineStr">
        <is>
          <t>Sorsogon</t>
        </is>
      </c>
      <c r="F1787" s="36" t="inlineStr">
        <is>
          <t>Casiguran</t>
        </is>
      </c>
      <c r="G1787" s="36" t="inlineStr">
        <is>
          <t>Adovis</t>
        </is>
      </c>
      <c r="H1787" s="37" t="n">
        <v>12.871181</v>
      </c>
      <c r="I1787" s="37" t="n">
        <v>124.009547</v>
      </c>
      <c r="J1787" s="8" t="inlineStr">
        <is>
          <t>R</t>
        </is>
      </c>
      <c r="K1787" s="36" t="inlineStr">
        <is>
          <t>3rd</t>
        </is>
      </c>
      <c r="L1787" s="18" t="n">
        <v>792</v>
      </c>
      <c r="M1787" s="20" t="n">
        <v>4.6</v>
      </c>
      <c r="N1787" s="18">
        <f>ROUND(L1787/M1787, 0)</f>
        <v/>
      </c>
      <c r="O1787" s="18">
        <f>ROUND(N1787*'Methodology &amp; Assumptions'!$B$8, 0)</f>
        <v/>
      </c>
      <c r="P1787" s="8" t="inlineStr">
        <is>
          <t>Band n50 (1.5 GHz, 60 MHz)</t>
        </is>
      </c>
      <c r="Q1787" s="38">
        <f>ROUNDUP(O1787/'Methodology &amp; Assumptions'!$B$9, 0)</f>
        <v/>
      </c>
      <c r="R1787" s="39" t="n">
        <v>1</v>
      </c>
      <c r="S1787" s="21" t="n">
        <v>0.49</v>
      </c>
      <c r="T1787" s="21" t="n">
        <v>0.14</v>
      </c>
      <c r="U1787" s="36" t="inlineStr">
        <is>
          <t>Tier 1A (Direct Coloc, &lt;1 km)</t>
        </is>
      </c>
      <c r="V1787" s="20" t="n">
        <v>94.90000000000001</v>
      </c>
      <c r="W1787" s="20" t="n">
        <v>37.9</v>
      </c>
      <c r="X1787" s="20" t="n">
        <v>58</v>
      </c>
      <c r="Y1787" s="40">
        <f>ROUND((V1787*'Methodology &amp; Assumptions'!$B$6)+(W1787*'Methodology &amp; Assumptions'!$B$5)+(X1787*'Methodology &amp; Assumptions'!$B$7), 2)</f>
        <v/>
      </c>
    </row>
    <row r="1788" ht="19" customHeight="1">
      <c r="A1788" s="41" t="n">
        <v>784</v>
      </c>
      <c r="B1788" s="41" t="n">
        <v>4784</v>
      </c>
      <c r="C1788" s="42" t="inlineStr">
        <is>
          <t>0300809018</t>
        </is>
      </c>
      <c r="D1788" s="42" t="inlineStr">
        <is>
          <t>Region III (Central Luzon)</t>
        </is>
      </c>
      <c r="E1788" s="42" t="inlineStr">
        <is>
          <t>Bataan</t>
        </is>
      </c>
      <c r="F1788" s="42" t="inlineStr">
        <is>
          <t>Orani</t>
        </is>
      </c>
      <c r="G1788" s="42" t="inlineStr">
        <is>
          <t>Silahis</t>
        </is>
      </c>
      <c r="H1788" s="43" t="n">
        <v>14.801083</v>
      </c>
      <c r="I1788" s="43" t="n">
        <v>120.539559</v>
      </c>
      <c r="J1788" s="44" t="inlineStr">
        <is>
          <t>R</t>
        </is>
      </c>
      <c r="K1788" s="42" t="inlineStr">
        <is>
          <t>Class 1-3 / Urban</t>
        </is>
      </c>
      <c r="L1788" s="23" t="n">
        <v>583</v>
      </c>
      <c r="M1788" s="24" t="n">
        <v>4.57</v>
      </c>
      <c r="N1788" s="23">
        <f>ROUND(L1788/M1788, 0)</f>
        <v/>
      </c>
      <c r="O1788" s="23">
        <f>ROUND(N1788*'Methodology &amp; Assumptions'!$B$8, 0)</f>
        <v/>
      </c>
      <c r="P1788" s="44" t="inlineStr">
        <is>
          <t>Band n50 (1.5 GHz, 60 MHz)</t>
        </is>
      </c>
      <c r="Q1788" s="38">
        <f>ROUNDUP(O1788/'Methodology &amp; Assumptions'!$B$9, 0)</f>
        <v/>
      </c>
      <c r="R1788" s="39" t="n">
        <v>1</v>
      </c>
      <c r="S1788" s="25" t="n">
        <v>0.36</v>
      </c>
      <c r="T1788" s="25" t="n">
        <v>0.33</v>
      </c>
      <c r="U1788" s="42" t="inlineStr">
        <is>
          <t>Tier 1A (Direct Coloc, &lt;1 km)</t>
        </is>
      </c>
      <c r="V1788" s="24" t="n">
        <v>98.59999999999999</v>
      </c>
      <c r="W1788" s="24" t="n">
        <v>34.1</v>
      </c>
      <c r="X1788" s="24" t="n">
        <v>58</v>
      </c>
      <c r="Y1788" s="45">
        <f>ROUND((V1788*'Methodology &amp; Assumptions'!$B$6)+(W1788*'Methodology &amp; Assumptions'!$B$5)+(X1788*'Methodology &amp; Assumptions'!$B$7), 2)</f>
        <v/>
      </c>
    </row>
    <row r="1789" ht="19" customHeight="1">
      <c r="A1789" s="35" t="n">
        <v>785</v>
      </c>
      <c r="B1789" s="35" t="n">
        <v>4785</v>
      </c>
      <c r="C1789" s="36" t="inlineStr">
        <is>
          <t>0306907006</t>
        </is>
      </c>
      <c r="D1789" s="36" t="inlineStr">
        <is>
          <t>Region III (Central Luzon)</t>
        </is>
      </c>
      <c r="E1789" s="36" t="inlineStr">
        <is>
          <t>Tarlac</t>
        </is>
      </c>
      <c r="F1789" s="36" t="inlineStr">
        <is>
          <t>La Paz</t>
        </is>
      </c>
      <c r="G1789" s="36" t="inlineStr">
        <is>
          <t>Dumarais</t>
        </is>
      </c>
      <c r="H1789" s="37" t="n">
        <v>15.435324</v>
      </c>
      <c r="I1789" s="37" t="n">
        <v>120.68828</v>
      </c>
      <c r="J1789" s="8" t="inlineStr">
        <is>
          <t>R</t>
        </is>
      </c>
      <c r="K1789" s="36" t="inlineStr">
        <is>
          <t>Class 1-3 / Urban</t>
        </is>
      </c>
      <c r="L1789" s="18" t="n">
        <v>4690</v>
      </c>
      <c r="M1789" s="20" t="n">
        <v>4.3</v>
      </c>
      <c r="N1789" s="18">
        <f>ROUND(L1789/M1789, 0)</f>
        <v/>
      </c>
      <c r="O1789" s="18">
        <f>ROUND(N1789*'Methodology &amp; Assumptions'!$B$8, 0)</f>
        <v/>
      </c>
      <c r="P1789" s="8" t="inlineStr">
        <is>
          <t>Band n50 (1.5 GHz, 60 MHz)</t>
        </is>
      </c>
      <c r="Q1789" s="38">
        <f>ROUNDUP(O1789/'Methodology &amp; Assumptions'!$B$9, 0)</f>
        <v/>
      </c>
      <c r="R1789" s="39" t="n">
        <v>1</v>
      </c>
      <c r="S1789" s="21" t="n">
        <v>3.35</v>
      </c>
      <c r="T1789" s="21" t="n">
        <v>2.36</v>
      </c>
      <c r="U1789" s="36" t="inlineStr">
        <is>
          <t>Tier 2 (Fiber Corridor / Lateral, 3-5 km)</t>
        </is>
      </c>
      <c r="V1789" s="20" t="n">
        <v>32.7</v>
      </c>
      <c r="W1789" s="20" t="n">
        <v>100</v>
      </c>
      <c r="X1789" s="20" t="n">
        <v>58</v>
      </c>
      <c r="Y1789" s="40">
        <f>ROUND((V1789*'Methodology &amp; Assumptions'!$B$6)+(W1789*'Methodology &amp; Assumptions'!$B$5)+(X1789*'Methodology &amp; Assumptions'!$B$7), 2)</f>
        <v/>
      </c>
    </row>
    <row r="1790" ht="19" customHeight="1">
      <c r="A1790" s="41" t="n">
        <v>786</v>
      </c>
      <c r="B1790" s="41" t="n">
        <v>4786</v>
      </c>
      <c r="C1790" s="42" t="inlineStr">
        <is>
          <t>0702205007</t>
        </is>
      </c>
      <c r="D1790" s="42" t="inlineStr">
        <is>
          <t>Region VII (Central Visayas)</t>
        </is>
      </c>
      <c r="E1790" s="42" t="inlineStr">
        <is>
          <t>Cebu</t>
        </is>
      </c>
      <c r="F1790" s="42" t="inlineStr">
        <is>
          <t>Argao</t>
        </is>
      </c>
      <c r="G1790" s="42" t="inlineStr">
        <is>
          <t>Bogo</t>
        </is>
      </c>
      <c r="H1790" s="43" t="n">
        <v>9.859745</v>
      </c>
      <c r="I1790" s="43" t="n">
        <v>123.57224</v>
      </c>
      <c r="J1790" s="44" t="inlineStr">
        <is>
          <t>R</t>
        </is>
      </c>
      <c r="K1790" s="42" t="inlineStr">
        <is>
          <t>Class 1-3 / Urban</t>
        </is>
      </c>
      <c r="L1790" s="23" t="n">
        <v>3967</v>
      </c>
      <c r="M1790" s="24" t="n">
        <v>4.42</v>
      </c>
      <c r="N1790" s="23">
        <f>ROUND(L1790/M1790, 0)</f>
        <v/>
      </c>
      <c r="O1790" s="23">
        <f>ROUND(N1790*'Methodology &amp; Assumptions'!$B$8, 0)</f>
        <v/>
      </c>
      <c r="P1790" s="44" t="inlineStr">
        <is>
          <t>Band n50 (1.5 GHz, 60 MHz)</t>
        </is>
      </c>
      <c r="Q1790" s="38">
        <f>ROUNDUP(O1790/'Methodology &amp; Assumptions'!$B$9, 0)</f>
        <v/>
      </c>
      <c r="R1790" s="39" t="n">
        <v>1</v>
      </c>
      <c r="S1790" s="25" t="n">
        <v>3.93</v>
      </c>
      <c r="T1790" s="25" t="n">
        <v>0.05</v>
      </c>
      <c r="U1790" s="42" t="inlineStr">
        <is>
          <t>Tier 2 (Fiber Corridor / Lateral, 3-5 km)</t>
        </is>
      </c>
      <c r="V1790" s="24" t="n">
        <v>37</v>
      </c>
      <c r="W1790" s="24" t="n">
        <v>95.7</v>
      </c>
      <c r="X1790" s="24" t="n">
        <v>58</v>
      </c>
      <c r="Y1790" s="45">
        <f>ROUND((V1790*'Methodology &amp; Assumptions'!$B$6)+(W1790*'Methodology &amp; Assumptions'!$B$5)+(X1790*'Methodology &amp; Assumptions'!$B$7), 2)</f>
        <v/>
      </c>
    </row>
    <row r="1791" ht="19" customHeight="1">
      <c r="A1791" s="35" t="n">
        <v>787</v>
      </c>
      <c r="B1791" s="35" t="n">
        <v>4787</v>
      </c>
      <c r="C1791" s="36" t="inlineStr">
        <is>
          <t>0304904024</t>
        </is>
      </c>
      <c r="D1791" s="36" t="inlineStr">
        <is>
          <t>Region III (Central Luzon)</t>
        </is>
      </c>
      <c r="E1791" s="36" t="inlineStr">
        <is>
          <t>Nueva Ecija</t>
        </is>
      </c>
      <c r="F1791" s="36" t="inlineStr">
        <is>
          <t>Cabiao</t>
        </is>
      </c>
      <c r="G1791" s="36" t="inlineStr">
        <is>
          <t>San Carlos</t>
        </is>
      </c>
      <c r="H1791" s="37" t="n">
        <v>15.241986</v>
      </c>
      <c r="I1791" s="37" t="n">
        <v>120.838483</v>
      </c>
      <c r="J1791" s="8" t="inlineStr">
        <is>
          <t>R</t>
        </is>
      </c>
      <c r="K1791" s="36" t="inlineStr">
        <is>
          <t>Class 1-3 / Urban</t>
        </is>
      </c>
      <c r="L1791" s="18" t="n">
        <v>3820</v>
      </c>
      <c r="M1791" s="20" t="n">
        <v>4.32</v>
      </c>
      <c r="N1791" s="18">
        <f>ROUND(L1791/M1791, 0)</f>
        <v/>
      </c>
      <c r="O1791" s="18">
        <f>ROUND(N1791*'Methodology &amp; Assumptions'!$B$8, 0)</f>
        <v/>
      </c>
      <c r="P1791" s="8" t="inlineStr">
        <is>
          <t>Band n50 (1.5 GHz, 60 MHz)</t>
        </is>
      </c>
      <c r="Q1791" s="38">
        <f>ROUNDUP(O1791/'Methodology &amp; Assumptions'!$B$9, 0)</f>
        <v/>
      </c>
      <c r="R1791" s="39" t="n">
        <v>1</v>
      </c>
      <c r="S1791" s="21" t="n">
        <v>3.81</v>
      </c>
      <c r="T1791" s="21" t="n">
        <v>1.01</v>
      </c>
      <c r="U1791" s="36" t="inlineStr">
        <is>
          <t>Tier 2 (Fiber Corridor / Lateral, 3-5 km)</t>
        </is>
      </c>
      <c r="V1791" s="20" t="n">
        <v>38</v>
      </c>
      <c r="W1791" s="20" t="n">
        <v>94.7</v>
      </c>
      <c r="X1791" s="20" t="n">
        <v>58</v>
      </c>
      <c r="Y1791" s="40">
        <f>ROUND((V1791*'Methodology &amp; Assumptions'!$B$6)+(W1791*'Methodology &amp; Assumptions'!$B$5)+(X1791*'Methodology &amp; Assumptions'!$B$7), 2)</f>
        <v/>
      </c>
    </row>
    <row r="1792" ht="19" customHeight="1">
      <c r="A1792" s="41" t="n">
        <v>788</v>
      </c>
      <c r="B1792" s="41" t="n">
        <v>4788</v>
      </c>
      <c r="C1792" s="42" t="inlineStr">
        <is>
          <t>0401022021</t>
        </is>
      </c>
      <c r="D1792" s="42" t="inlineStr">
        <is>
          <t>Region IV-A (CALABARZON)</t>
        </is>
      </c>
      <c r="E1792" s="42" t="inlineStr">
        <is>
          <t>Batangas</t>
        </is>
      </c>
      <c r="F1792" s="42" t="inlineStr">
        <is>
          <t>San Jose</t>
        </is>
      </c>
      <c r="G1792" s="42" t="inlineStr">
        <is>
          <t>Palanca</t>
        </is>
      </c>
      <c r="H1792" s="43" t="n">
        <v>13.879209</v>
      </c>
      <c r="I1792" s="43" t="n">
        <v>121.094355</v>
      </c>
      <c r="J1792" s="44" t="inlineStr">
        <is>
          <t>R</t>
        </is>
      </c>
      <c r="K1792" s="42" t="inlineStr">
        <is>
          <t>Class 1-3 / Urban</t>
        </is>
      </c>
      <c r="L1792" s="23" t="n">
        <v>1758</v>
      </c>
      <c r="M1792" s="24" t="n">
        <v>4.62</v>
      </c>
      <c r="N1792" s="23">
        <f>ROUND(L1792/M1792, 0)</f>
        <v/>
      </c>
      <c r="O1792" s="23">
        <f>ROUND(N1792*'Methodology &amp; Assumptions'!$B$8, 0)</f>
        <v/>
      </c>
      <c r="P1792" s="44" t="inlineStr">
        <is>
          <t>Band n50 (1.5 GHz, 60 MHz)</t>
        </is>
      </c>
      <c r="Q1792" s="38">
        <f>ROUNDUP(O1792/'Methodology &amp; Assumptions'!$B$9, 0)</f>
        <v/>
      </c>
      <c r="R1792" s="39" t="n">
        <v>1</v>
      </c>
      <c r="S1792" s="25" t="n">
        <v>1.14</v>
      </c>
      <c r="T1792" s="25" t="n">
        <v>0.57</v>
      </c>
      <c r="U1792" s="42" t="inlineStr">
        <is>
          <t>Tier 1B (Micro Drop, 1-3 km)</t>
        </is>
      </c>
      <c r="V1792" s="24" t="n">
        <v>78.3</v>
      </c>
      <c r="W1792" s="24" t="n">
        <v>54.4</v>
      </c>
      <c r="X1792" s="24" t="n">
        <v>58</v>
      </c>
      <c r="Y1792" s="45">
        <f>ROUND((V1792*'Methodology &amp; Assumptions'!$B$6)+(W1792*'Methodology &amp; Assumptions'!$B$5)+(X1792*'Methodology &amp; Assumptions'!$B$7), 2)</f>
        <v/>
      </c>
    </row>
    <row r="1793" ht="19" customHeight="1">
      <c r="A1793" s="35" t="n">
        <v>789</v>
      </c>
      <c r="B1793" s="35" t="n">
        <v>4789</v>
      </c>
      <c r="C1793" s="36" t="inlineStr">
        <is>
          <t>1004307011</t>
        </is>
      </c>
      <c r="D1793" s="36" t="inlineStr">
        <is>
          <t>Region X (Northern Mindanao)</t>
        </is>
      </c>
      <c r="E1793" s="36" t="inlineStr">
        <is>
          <t>Misamis Oriental</t>
        </is>
      </c>
      <c r="F1793" s="36" t="inlineStr">
        <is>
          <t>City of El Salvador</t>
        </is>
      </c>
      <c r="G1793" s="36" t="inlineStr">
        <is>
          <t>Molugan</t>
        </is>
      </c>
      <c r="H1793" s="37" t="n">
        <v>8.536604000000001</v>
      </c>
      <c r="I1793" s="37" t="n">
        <v>124.56386</v>
      </c>
      <c r="J1793" s="8" t="inlineStr">
        <is>
          <t>U</t>
        </is>
      </c>
      <c r="K1793" s="36" t="inlineStr">
        <is>
          <t>Class 1-3 / Urban</t>
        </is>
      </c>
      <c r="L1793" s="18" t="n">
        <v>12843</v>
      </c>
      <c r="M1793" s="20" t="n">
        <v>4.54</v>
      </c>
      <c r="N1793" s="18">
        <f>ROUND(L1793/M1793, 0)</f>
        <v/>
      </c>
      <c r="O1793" s="18">
        <f>ROUND(N1793*'Methodology &amp; Assumptions'!$B$8, 0)</f>
        <v/>
      </c>
      <c r="P1793" s="8" t="inlineStr">
        <is>
          <t>Band n50 (1.5 GHz, 60 MHz)</t>
        </is>
      </c>
      <c r="Q1793" s="38">
        <f>ROUNDUP(O1793/'Methodology &amp; Assumptions'!$B$9, 0)</f>
        <v/>
      </c>
      <c r="R1793" s="39" t="n">
        <v>1</v>
      </c>
      <c r="S1793" s="21" t="n">
        <v>2.18</v>
      </c>
      <c r="T1793" s="21" t="n">
        <v>0.2</v>
      </c>
      <c r="U1793" s="36" t="inlineStr">
        <is>
          <t>Tier 1B (Micro Drop, 1-3 km)</t>
        </is>
      </c>
      <c r="V1793" s="20" t="n">
        <v>58.4</v>
      </c>
      <c r="W1793" s="20" t="n">
        <v>100</v>
      </c>
      <c r="X1793" s="20" t="n">
        <v>28</v>
      </c>
      <c r="Y1793" s="40">
        <f>ROUND((V1793*'Methodology &amp; Assumptions'!$B$6)+(W1793*'Methodology &amp; Assumptions'!$B$5)+(X1793*'Methodology &amp; Assumptions'!$B$7), 2)</f>
        <v/>
      </c>
    </row>
    <row r="1794" ht="19" customHeight="1">
      <c r="A1794" s="41" t="n">
        <v>790</v>
      </c>
      <c r="B1794" s="41" t="n">
        <v>4790</v>
      </c>
      <c r="C1794" s="42" t="inlineStr">
        <is>
          <t>0301410056</t>
        </is>
      </c>
      <c r="D1794" s="42" t="inlineStr">
        <is>
          <t>Region III (Central Luzon)</t>
        </is>
      </c>
      <c r="E1794" s="42" t="inlineStr">
        <is>
          <t>Bulacan</t>
        </is>
      </c>
      <c r="F1794" s="42" t="inlineStr">
        <is>
          <t>City of Malolos</t>
        </is>
      </c>
      <c r="G1794" s="42" t="inlineStr">
        <is>
          <t>Cofradia</t>
        </is>
      </c>
      <c r="H1794" s="43" t="n">
        <v>14.842673</v>
      </c>
      <c r="I1794" s="43" t="n">
        <v>120.832995</v>
      </c>
      <c r="J1794" s="44" t="inlineStr">
        <is>
          <t>U</t>
        </is>
      </c>
      <c r="K1794" s="42" t="inlineStr">
        <is>
          <t>Class 1-3 / Urban</t>
        </is>
      </c>
      <c r="L1794" s="23" t="n">
        <v>4608</v>
      </c>
      <c r="M1794" s="24" t="n">
        <v>4.1</v>
      </c>
      <c r="N1794" s="23">
        <f>ROUND(L1794/M1794, 0)</f>
        <v/>
      </c>
      <c r="O1794" s="23">
        <f>ROUND(N1794*'Methodology &amp; Assumptions'!$B$8, 0)</f>
        <v/>
      </c>
      <c r="P1794" s="44" t="inlineStr">
        <is>
          <t>Band n50 (1.5 GHz, 60 MHz)</t>
        </is>
      </c>
      <c r="Q1794" s="38">
        <f>ROUNDUP(O1794/'Methodology &amp; Assumptions'!$B$9, 0)</f>
        <v/>
      </c>
      <c r="R1794" s="39" t="n">
        <v>1</v>
      </c>
      <c r="S1794" s="25" t="n">
        <v>2.17</v>
      </c>
      <c r="T1794" s="25" t="n">
        <v>0.37</v>
      </c>
      <c r="U1794" s="42" t="inlineStr">
        <is>
          <t>Tier 1B (Micro Drop, 1-3 km)</t>
        </is>
      </c>
      <c r="V1794" s="24" t="n">
        <v>58.4</v>
      </c>
      <c r="W1794" s="24" t="n">
        <v>100</v>
      </c>
      <c r="X1794" s="24" t="n">
        <v>28</v>
      </c>
      <c r="Y1794" s="45">
        <f>ROUND((V1794*'Methodology &amp; Assumptions'!$B$6)+(W1794*'Methodology &amp; Assumptions'!$B$5)+(X1794*'Methodology &amp; Assumptions'!$B$7), 2)</f>
        <v/>
      </c>
    </row>
    <row r="1795" ht="19" customHeight="1">
      <c r="A1795" s="35" t="n">
        <v>791</v>
      </c>
      <c r="B1795" s="35" t="n">
        <v>4791</v>
      </c>
      <c r="C1795" s="36" t="inlineStr">
        <is>
          <t>0306913015</t>
        </is>
      </c>
      <c r="D1795" s="36" t="inlineStr">
        <is>
          <t>Region III (Central Luzon)</t>
        </is>
      </c>
      <c r="E1795" s="36" t="inlineStr">
        <is>
          <t>Tarlac</t>
        </is>
      </c>
      <c r="F1795" s="36" t="inlineStr">
        <is>
          <t>San Clemente</t>
        </is>
      </c>
      <c r="G1795" s="36" t="inlineStr">
        <is>
          <t>Poblacion Sur</t>
        </is>
      </c>
      <c r="H1795" s="37" t="n">
        <v>15.707065</v>
      </c>
      <c r="I1795" s="37" t="n">
        <v>120.354459</v>
      </c>
      <c r="J1795" s="8" t="inlineStr">
        <is>
          <t>R</t>
        </is>
      </c>
      <c r="K1795" s="36" t="inlineStr">
        <is>
          <t>4th</t>
        </is>
      </c>
      <c r="L1795" s="18" t="n">
        <v>1621</v>
      </c>
      <c r="M1795" s="20" t="n">
        <v>4.16</v>
      </c>
      <c r="N1795" s="18">
        <f>ROUND(L1795/M1795, 0)</f>
        <v/>
      </c>
      <c r="O1795" s="18">
        <f>ROUND(N1795*'Methodology &amp; Assumptions'!$B$8, 0)</f>
        <v/>
      </c>
      <c r="P1795" s="8" t="inlineStr">
        <is>
          <t>Band n50 (1.5 GHz, 60 MHz)</t>
        </is>
      </c>
      <c r="Q1795" s="38">
        <f>ROUNDUP(O1795/'Methodology &amp; Assumptions'!$B$9, 0)</f>
        <v/>
      </c>
      <c r="R1795" s="39" t="n">
        <v>1</v>
      </c>
      <c r="S1795" s="21" t="n">
        <v>1.14</v>
      </c>
      <c r="T1795" s="21" t="n">
        <v>6.8</v>
      </c>
      <c r="U1795" s="36" t="inlineStr">
        <is>
          <t>Tier 1B (Micro Drop, 1-3 km)</t>
        </is>
      </c>
      <c r="V1795" s="20" t="n">
        <v>68.5</v>
      </c>
      <c r="W1795" s="20" t="n">
        <v>55.2</v>
      </c>
      <c r="X1795" s="20" t="n">
        <v>68.5</v>
      </c>
      <c r="Y1795" s="40">
        <f>ROUND((V1795*'Methodology &amp; Assumptions'!$B$6)+(W1795*'Methodology &amp; Assumptions'!$B$5)+(X1795*'Methodology &amp; Assumptions'!$B$7), 2)</f>
        <v/>
      </c>
    </row>
    <row r="1796" ht="19" customHeight="1">
      <c r="A1796" s="41" t="n">
        <v>792</v>
      </c>
      <c r="B1796" s="41" t="n">
        <v>4792</v>
      </c>
      <c r="C1796" s="42" t="inlineStr">
        <is>
          <t>0402123004</t>
        </is>
      </c>
      <c r="D1796" s="42" t="inlineStr">
        <is>
          <t>Region IV-A (CALABARZON)</t>
        </is>
      </c>
      <c r="E1796" s="42" t="inlineStr">
        <is>
          <t>Cavite</t>
        </is>
      </c>
      <c r="F1796" s="42" t="inlineStr">
        <is>
          <t>Gen. Mariano Alvarez</t>
        </is>
      </c>
      <c r="G1796" s="42" t="inlineStr">
        <is>
          <t>Barangay 3 Poblacion</t>
        </is>
      </c>
      <c r="H1796" s="43" t="n">
        <v>14.291561</v>
      </c>
      <c r="I1796" s="43" t="n">
        <v>121.009498</v>
      </c>
      <c r="J1796" s="44" t="inlineStr">
        <is>
          <t>R</t>
        </is>
      </c>
      <c r="K1796" s="42" t="inlineStr">
        <is>
          <t>Class 1-3 / Urban</t>
        </is>
      </c>
      <c r="L1796" s="23" t="n">
        <v>2459</v>
      </c>
      <c r="M1796" s="24" t="n">
        <v>4.49</v>
      </c>
      <c r="N1796" s="23">
        <f>ROUND(L1796/M1796, 0)</f>
        <v/>
      </c>
      <c r="O1796" s="23">
        <f>ROUND(N1796*'Methodology &amp; Assumptions'!$B$8, 0)</f>
        <v/>
      </c>
      <c r="P1796" s="44" t="inlineStr">
        <is>
          <t>Band n50 (1.5 GHz, 60 MHz)</t>
        </is>
      </c>
      <c r="Q1796" s="38">
        <f>ROUNDUP(O1796/'Methodology &amp; Assumptions'!$B$9, 0)</f>
        <v/>
      </c>
      <c r="R1796" s="39" t="n">
        <v>1</v>
      </c>
      <c r="S1796" s="25" t="n">
        <v>1.29</v>
      </c>
      <c r="T1796" s="25" t="n">
        <v>4.87</v>
      </c>
      <c r="U1796" s="42" t="inlineStr">
        <is>
          <t>Tier 1B (Micro Drop, 1-3 km)</t>
        </is>
      </c>
      <c r="V1796" s="24" t="n">
        <v>64.90000000000001</v>
      </c>
      <c r="W1796" s="24" t="n">
        <v>67.7</v>
      </c>
      <c r="X1796" s="24" t="n">
        <v>58</v>
      </c>
      <c r="Y1796" s="45">
        <f>ROUND((V1796*'Methodology &amp; Assumptions'!$B$6)+(W1796*'Methodology &amp; Assumptions'!$B$5)+(X1796*'Methodology &amp; Assumptions'!$B$7), 2)</f>
        <v/>
      </c>
    </row>
    <row r="1797" ht="19" customHeight="1">
      <c r="A1797" s="35" t="n">
        <v>793</v>
      </c>
      <c r="B1797" s="35" t="n">
        <v>4793</v>
      </c>
      <c r="C1797" s="36" t="inlineStr">
        <is>
          <t>0506205005</t>
        </is>
      </c>
      <c r="D1797" s="36" t="inlineStr">
        <is>
          <t>Region V (Bicol Region)</t>
        </is>
      </c>
      <c r="E1797" s="36" t="inlineStr">
        <is>
          <t>Sorsogon</t>
        </is>
      </c>
      <c r="F1797" s="36" t="inlineStr">
        <is>
          <t>Casiguran</t>
        </is>
      </c>
      <c r="G1797" s="36" t="inlineStr">
        <is>
          <t>Cawit</t>
        </is>
      </c>
      <c r="H1797" s="37" t="n">
        <v>12.874783</v>
      </c>
      <c r="I1797" s="37" t="n">
        <v>124.005289</v>
      </c>
      <c r="J1797" s="8" t="inlineStr">
        <is>
          <t>R</t>
        </is>
      </c>
      <c r="K1797" s="36" t="inlineStr">
        <is>
          <t>3rd</t>
        </is>
      </c>
      <c r="L1797" s="18" t="n">
        <v>1487</v>
      </c>
      <c r="M1797" s="20" t="n">
        <v>4.6</v>
      </c>
      <c r="N1797" s="18">
        <f>ROUND(L1797/M1797, 0)</f>
        <v/>
      </c>
      <c r="O1797" s="18">
        <f>ROUND(N1797*'Methodology &amp; Assumptions'!$B$8, 0)</f>
        <v/>
      </c>
      <c r="P1797" s="8" t="inlineStr">
        <is>
          <t>Band n50 (1.5 GHz, 60 MHz)</t>
        </is>
      </c>
      <c r="Q1797" s="38">
        <f>ROUNDUP(O1797/'Methodology &amp; Assumptions'!$B$9, 0)</f>
        <v/>
      </c>
      <c r="R1797" s="39" t="n">
        <v>1</v>
      </c>
      <c r="S1797" s="21" t="n">
        <v>0.95</v>
      </c>
      <c r="T1797" s="21" t="n">
        <v>0.52</v>
      </c>
      <c r="U1797" s="36" t="inlineStr">
        <is>
          <t>Tier 1A (Direct Coloc, &lt;1 km)</t>
        </is>
      </c>
      <c r="V1797" s="20" t="n">
        <v>82.8</v>
      </c>
      <c r="W1797" s="20" t="n">
        <v>49.9</v>
      </c>
      <c r="X1797" s="20" t="n">
        <v>58</v>
      </c>
      <c r="Y1797" s="40">
        <f>ROUND((V1797*'Methodology &amp; Assumptions'!$B$6)+(W1797*'Methodology &amp; Assumptions'!$B$5)+(X1797*'Methodology &amp; Assumptions'!$B$7), 2)</f>
        <v/>
      </c>
    </row>
    <row r="1798" ht="19" customHeight="1">
      <c r="A1798" s="41" t="n">
        <v>794</v>
      </c>
      <c r="B1798" s="41" t="n">
        <v>4794</v>
      </c>
      <c r="C1798" s="42" t="inlineStr">
        <is>
          <t>1430300098</t>
        </is>
      </c>
      <c r="D1798" s="42" t="inlineStr">
        <is>
          <t>Cordillera Administrative Region (CAR)</t>
        </is>
      </c>
      <c r="E1798" s="42" t="inlineStr">
        <is>
          <t>Benguet</t>
        </is>
      </c>
      <c r="F1798" s="42" t="inlineStr">
        <is>
          <t>City of Baguio</t>
        </is>
      </c>
      <c r="G1798" s="42" t="inlineStr">
        <is>
          <t>San Roque Village</t>
        </is>
      </c>
      <c r="H1798" s="43" t="n">
        <v>16.41253</v>
      </c>
      <c r="I1798" s="43" t="n">
        <v>120.58227</v>
      </c>
      <c r="J1798" s="44" t="inlineStr">
        <is>
          <t>R</t>
        </is>
      </c>
      <c r="K1798" s="42" t="inlineStr">
        <is>
          <t>Class 1-3 / Urban</t>
        </is>
      </c>
      <c r="L1798" s="23" t="n">
        <v>991</v>
      </c>
      <c r="M1798" s="24" t="n">
        <v>4.58</v>
      </c>
      <c r="N1798" s="23">
        <f>ROUND(L1798/M1798, 0)</f>
        <v/>
      </c>
      <c r="O1798" s="23">
        <f>ROUND(N1798*'Methodology &amp; Assumptions'!$B$8, 0)</f>
        <v/>
      </c>
      <c r="P1798" s="44" t="inlineStr">
        <is>
          <t>Band n50 (1.5 GHz, 60 MHz)</t>
        </is>
      </c>
      <c r="Q1798" s="38">
        <f>ROUNDUP(O1798/'Methodology &amp; Assumptions'!$B$9, 0)</f>
        <v/>
      </c>
      <c r="R1798" s="39" t="n">
        <v>1</v>
      </c>
      <c r="S1798" s="25" t="n">
        <v>0.47</v>
      </c>
      <c r="T1798" s="25" t="n">
        <v>0.34</v>
      </c>
      <c r="U1798" s="42" t="inlineStr">
        <is>
          <t>Tier 1A (Direct Coloc, &lt;1 km)</t>
        </is>
      </c>
      <c r="V1798" s="24" t="n">
        <v>95.40000000000001</v>
      </c>
      <c r="W1798" s="24" t="n">
        <v>37.3</v>
      </c>
      <c r="X1798" s="24" t="n">
        <v>58</v>
      </c>
      <c r="Y1798" s="45">
        <f>ROUND((V1798*'Methodology &amp; Assumptions'!$B$6)+(W1798*'Methodology &amp; Assumptions'!$B$5)+(X1798*'Methodology &amp; Assumptions'!$B$7), 2)</f>
        <v/>
      </c>
    </row>
    <row r="1799" ht="19" customHeight="1">
      <c r="A1799" s="35" t="n">
        <v>795</v>
      </c>
      <c r="B1799" s="35" t="n">
        <v>4795</v>
      </c>
      <c r="C1799" s="36" t="inlineStr">
        <is>
          <t>0630200057</t>
        </is>
      </c>
      <c r="D1799" s="36" t="inlineStr">
        <is>
          <t>Region VI (Western Visayas)</t>
        </is>
      </c>
      <c r="E1799" s="36" t="inlineStr">
        <is>
          <t>Negros Occidental</t>
        </is>
      </c>
      <c r="F1799" s="36" t="inlineStr">
        <is>
          <t>City of Bacolod</t>
        </is>
      </c>
      <c r="G1799" s="36" t="inlineStr">
        <is>
          <t>Taculing</t>
        </is>
      </c>
      <c r="H1799" s="37" t="n">
        <v>10.649313</v>
      </c>
      <c r="I1799" s="37" t="n">
        <v>122.947244</v>
      </c>
      <c r="J1799" s="8" t="inlineStr">
        <is>
          <t>U</t>
        </is>
      </c>
      <c r="K1799" s="36" t="inlineStr">
        <is>
          <t>Class 1-3 / Urban</t>
        </is>
      </c>
      <c r="L1799" s="18" t="n">
        <v>42052</v>
      </c>
      <c r="M1799" s="20" t="n">
        <v>4.33</v>
      </c>
      <c r="N1799" s="18">
        <f>ROUND(L1799/M1799, 0)</f>
        <v/>
      </c>
      <c r="O1799" s="18">
        <f>ROUND(N1799*'Methodology &amp; Assumptions'!$B$8, 0)</f>
        <v/>
      </c>
      <c r="P1799" s="8" t="inlineStr">
        <is>
          <t>Band n50 (1.5 GHz, 60 MHz)</t>
        </is>
      </c>
      <c r="Q1799" s="38">
        <f>ROUNDUP(O1799/'Methodology &amp; Assumptions'!$B$9, 0)</f>
        <v/>
      </c>
      <c r="R1799" s="39" t="n">
        <v>1</v>
      </c>
      <c r="S1799" s="21" t="n">
        <v>2.03</v>
      </c>
      <c r="T1799" s="21" t="n">
        <v>0.83</v>
      </c>
      <c r="U1799" s="36" t="inlineStr">
        <is>
          <t>Tier 1B (Micro Drop, 1-3 km)</t>
        </is>
      </c>
      <c r="V1799" s="20" t="n">
        <v>60.8</v>
      </c>
      <c r="W1799" s="20" t="n">
        <v>97.59999999999999</v>
      </c>
      <c r="X1799" s="20" t="n">
        <v>28</v>
      </c>
      <c r="Y1799" s="40">
        <f>ROUND((V1799*'Methodology &amp; Assumptions'!$B$6)+(W1799*'Methodology &amp; Assumptions'!$B$5)+(X1799*'Methodology &amp; Assumptions'!$B$7), 2)</f>
        <v/>
      </c>
    </row>
    <row r="1800" ht="19" customHeight="1">
      <c r="A1800" s="41" t="n">
        <v>796</v>
      </c>
      <c r="B1800" s="41" t="n">
        <v>4796</v>
      </c>
      <c r="C1800" s="42" t="inlineStr">
        <is>
          <t>0500514014</t>
        </is>
      </c>
      <c r="D1800" s="42" t="inlineStr">
        <is>
          <t>Region V (Bicol Region)</t>
        </is>
      </c>
      <c r="E1800" s="42" t="inlineStr">
        <is>
          <t>Albay</t>
        </is>
      </c>
      <c r="F1800" s="42" t="inlineStr">
        <is>
          <t>Polangui</t>
        </is>
      </c>
      <c r="G1800" s="42" t="inlineStr">
        <is>
          <t>Centro Oriental</t>
        </is>
      </c>
      <c r="H1800" s="43" t="n">
        <v>13.29326</v>
      </c>
      <c r="I1800" s="43" t="n">
        <v>123.48521</v>
      </c>
      <c r="J1800" s="44" t="inlineStr">
        <is>
          <t>U</t>
        </is>
      </c>
      <c r="K1800" s="42" t="inlineStr">
        <is>
          <t>Class 1-3 / Urban</t>
        </is>
      </c>
      <c r="L1800" s="23" t="n">
        <v>2012</v>
      </c>
      <c r="M1800" s="24" t="n">
        <v>4.67</v>
      </c>
      <c r="N1800" s="23">
        <f>ROUND(L1800/M1800, 0)</f>
        <v/>
      </c>
      <c r="O1800" s="23">
        <f>ROUND(N1800*'Methodology &amp; Assumptions'!$B$8, 0)</f>
        <v/>
      </c>
      <c r="P1800" s="44" t="inlineStr">
        <is>
          <t>Band n50 (1.5 GHz, 60 MHz)</t>
        </is>
      </c>
      <c r="Q1800" s="38">
        <f>ROUNDUP(O1800/'Methodology &amp; Assumptions'!$B$9, 0)</f>
        <v/>
      </c>
      <c r="R1800" s="39" t="n">
        <v>1</v>
      </c>
      <c r="S1800" s="25" t="n">
        <v>0.2</v>
      </c>
      <c r="T1800" s="25" t="n">
        <v>0.14</v>
      </c>
      <c r="U1800" s="42" t="inlineStr">
        <is>
          <t>Tier 1A (Direct Coloc, &lt;1 km)</t>
        </is>
      </c>
      <c r="V1800" s="24" t="n">
        <v>100</v>
      </c>
      <c r="W1800" s="24" t="n">
        <v>58.4</v>
      </c>
      <c r="X1800" s="24" t="n">
        <v>28</v>
      </c>
      <c r="Y1800" s="45">
        <f>ROUND((V1800*'Methodology &amp; Assumptions'!$B$6)+(W1800*'Methodology &amp; Assumptions'!$B$5)+(X1800*'Methodology &amp; Assumptions'!$B$7), 2)</f>
        <v/>
      </c>
    </row>
    <row r="1801" ht="19" customHeight="1">
      <c r="A1801" s="35" t="n">
        <v>797</v>
      </c>
      <c r="B1801" s="35" t="n">
        <v>4797</v>
      </c>
      <c r="C1801" s="36" t="inlineStr">
        <is>
          <t>0402105015</t>
        </is>
      </c>
      <c r="D1801" s="36" t="inlineStr">
        <is>
          <t>Region IV-A (CALABARZON)</t>
        </is>
      </c>
      <c r="E1801" s="36" t="inlineStr">
        <is>
          <t>Cavite</t>
        </is>
      </c>
      <c r="F1801" s="36" t="inlineStr">
        <is>
          <t>City of Cavite</t>
        </is>
      </c>
      <c r="G1801" s="36" t="inlineStr">
        <is>
          <t>Barangay 22</t>
        </is>
      </c>
      <c r="H1801" s="37" t="n">
        <v>14.481256</v>
      </c>
      <c r="I1801" s="37" t="n">
        <v>120.89197</v>
      </c>
      <c r="J1801" s="8" t="inlineStr">
        <is>
          <t>R</t>
        </is>
      </c>
      <c r="K1801" s="36" t="inlineStr">
        <is>
          <t>Class 1-3 / Urban</t>
        </is>
      </c>
      <c r="L1801" s="18" t="n">
        <v>1891</v>
      </c>
      <c r="M1801" s="20" t="n">
        <v>4.49</v>
      </c>
      <c r="N1801" s="18">
        <f>ROUND(L1801/M1801, 0)</f>
        <v/>
      </c>
      <c r="O1801" s="18">
        <f>ROUND(N1801*'Methodology &amp; Assumptions'!$B$8, 0)</f>
        <v/>
      </c>
      <c r="P1801" s="8" t="inlineStr">
        <is>
          <t>Band n50 (1.5 GHz, 60 MHz)</t>
        </is>
      </c>
      <c r="Q1801" s="38">
        <f>ROUNDUP(O1801/'Methodology &amp; Assumptions'!$B$9, 0)</f>
        <v/>
      </c>
      <c r="R1801" s="39" t="n">
        <v>1</v>
      </c>
      <c r="S1801" s="21" t="n">
        <v>0.86</v>
      </c>
      <c r="T1801" s="21" t="n">
        <v>4.56</v>
      </c>
      <c r="U1801" s="36" t="inlineStr">
        <is>
          <t>Tier 1A (Direct Coloc, &lt;1 km)</t>
        </is>
      </c>
      <c r="V1801" s="20" t="n">
        <v>75.09999999999999</v>
      </c>
      <c r="W1801" s="20" t="n">
        <v>57.6</v>
      </c>
      <c r="X1801" s="20" t="n">
        <v>58</v>
      </c>
      <c r="Y1801" s="40">
        <f>ROUND((V1801*'Methodology &amp; Assumptions'!$B$6)+(W1801*'Methodology &amp; Assumptions'!$B$5)+(X1801*'Methodology &amp; Assumptions'!$B$7), 2)</f>
        <v/>
      </c>
    </row>
    <row r="1802" ht="19" customHeight="1">
      <c r="A1802" s="41" t="n">
        <v>798</v>
      </c>
      <c r="B1802" s="41" t="n">
        <v>4798</v>
      </c>
      <c r="C1802" s="42" t="inlineStr">
        <is>
          <t>0103306029</t>
        </is>
      </c>
      <c r="D1802" s="42" t="inlineStr">
        <is>
          <t>Region I (Ilocos Region)</t>
        </is>
      </c>
      <c r="E1802" s="42" t="inlineStr">
        <is>
          <t>La Union</t>
        </is>
      </c>
      <c r="F1802" s="42" t="inlineStr">
        <is>
          <t>Bangar</t>
        </is>
      </c>
      <c r="G1802" s="42" t="inlineStr">
        <is>
          <t>Central West No. 3</t>
        </is>
      </c>
      <c r="H1802" s="43" t="n">
        <v>16.896407</v>
      </c>
      <c r="I1802" s="43" t="n">
        <v>120.424584</v>
      </c>
      <c r="J1802" s="44" t="inlineStr">
        <is>
          <t>R</t>
        </is>
      </c>
      <c r="K1802" s="42" t="inlineStr">
        <is>
          <t>Class 1-3 / Urban</t>
        </is>
      </c>
      <c r="L1802" s="23" t="n">
        <v>538</v>
      </c>
      <c r="M1802" s="24" t="n">
        <v>4.42</v>
      </c>
      <c r="N1802" s="23">
        <f>ROUND(L1802/M1802, 0)</f>
        <v/>
      </c>
      <c r="O1802" s="23">
        <f>ROUND(N1802*'Methodology &amp; Assumptions'!$B$8, 0)</f>
        <v/>
      </c>
      <c r="P1802" s="44" t="inlineStr">
        <is>
          <t>Band n50 (1.5 GHz, 60 MHz)</t>
        </is>
      </c>
      <c r="Q1802" s="38">
        <f>ROUNDUP(O1802/'Methodology &amp; Assumptions'!$B$9, 0)</f>
        <v/>
      </c>
      <c r="R1802" s="39" t="n">
        <v>1</v>
      </c>
      <c r="S1802" s="25" t="n">
        <v>0.36</v>
      </c>
      <c r="T1802" s="25" t="n">
        <v>0.13</v>
      </c>
      <c r="U1802" s="42" t="inlineStr">
        <is>
          <t>Tier 1A (Direct Coloc, &lt;1 km)</t>
        </is>
      </c>
      <c r="V1802" s="24" t="n">
        <v>98.8</v>
      </c>
      <c r="W1802" s="24" t="n">
        <v>33.9</v>
      </c>
      <c r="X1802" s="24" t="n">
        <v>58</v>
      </c>
      <c r="Y1802" s="45">
        <f>ROUND((V1802*'Methodology &amp; Assumptions'!$B$6)+(W1802*'Methodology &amp; Assumptions'!$B$5)+(X1802*'Methodology &amp; Assumptions'!$B$7), 2)</f>
        <v/>
      </c>
    </row>
    <row r="1803" ht="19" customHeight="1">
      <c r="A1803" s="35" t="n">
        <v>799</v>
      </c>
      <c r="B1803" s="35" t="n">
        <v>4799</v>
      </c>
      <c r="C1803" s="36" t="inlineStr">
        <is>
          <t>1004324002</t>
        </is>
      </c>
      <c r="D1803" s="36" t="inlineStr">
        <is>
          <t>Region X (Northern Mindanao)</t>
        </is>
      </c>
      <c r="E1803" s="36" t="inlineStr">
        <is>
          <t>Misamis Oriental</t>
        </is>
      </c>
      <c r="F1803" s="36" t="inlineStr">
        <is>
          <t>Tagoloan</t>
        </is>
      </c>
      <c r="G1803" s="36" t="inlineStr">
        <is>
          <t>Casinglot</t>
        </is>
      </c>
      <c r="H1803" s="37" t="n">
        <v>8.517633</v>
      </c>
      <c r="I1803" s="37" t="n">
        <v>124.754859</v>
      </c>
      <c r="J1803" s="8" t="inlineStr">
        <is>
          <t>U</t>
        </is>
      </c>
      <c r="K1803" s="36" t="inlineStr">
        <is>
          <t>Class 1-3 / Urban</t>
        </is>
      </c>
      <c r="L1803" s="18" t="n">
        <v>10207</v>
      </c>
      <c r="M1803" s="20" t="n">
        <v>4.54</v>
      </c>
      <c r="N1803" s="18">
        <f>ROUND(L1803/M1803, 0)</f>
        <v/>
      </c>
      <c r="O1803" s="18">
        <f>ROUND(N1803*'Methodology &amp; Assumptions'!$B$8, 0)</f>
        <v/>
      </c>
      <c r="P1803" s="8" t="inlineStr">
        <is>
          <t>Band n50 (1.5 GHz, 60 MHz)</t>
        </is>
      </c>
      <c r="Q1803" s="38">
        <f>ROUNDUP(O1803/'Methodology &amp; Assumptions'!$B$9, 0)</f>
        <v/>
      </c>
      <c r="R1803" s="39" t="n">
        <v>1</v>
      </c>
      <c r="S1803" s="21" t="n">
        <v>2.18</v>
      </c>
      <c r="T1803" s="21" t="n">
        <v>0.41</v>
      </c>
      <c r="U1803" s="36" t="inlineStr">
        <is>
          <t>Tier 1B (Micro Drop, 1-3 km)</t>
        </is>
      </c>
      <c r="V1803" s="20" t="n">
        <v>58.4</v>
      </c>
      <c r="W1803" s="20" t="n">
        <v>100</v>
      </c>
      <c r="X1803" s="20" t="n">
        <v>28</v>
      </c>
      <c r="Y1803" s="40">
        <f>ROUND((V1803*'Methodology &amp; Assumptions'!$B$6)+(W1803*'Methodology &amp; Assumptions'!$B$5)+(X1803*'Methodology &amp; Assumptions'!$B$7), 2)</f>
        <v/>
      </c>
    </row>
    <row r="1804" ht="19" customHeight="1">
      <c r="A1804" s="41" t="n">
        <v>800</v>
      </c>
      <c r="B1804" s="41" t="n">
        <v>4800</v>
      </c>
      <c r="C1804" s="42" t="inlineStr">
        <is>
          <t>1600308028</t>
        </is>
      </c>
      <c r="D1804" s="42" t="inlineStr">
        <is>
          <t>Region XIII (Caraga)</t>
        </is>
      </c>
      <c r="E1804" s="42" t="inlineStr">
        <is>
          <t>Agusan del Sur</t>
        </is>
      </c>
      <c r="F1804" s="42" t="inlineStr">
        <is>
          <t>San Francisco</t>
        </is>
      </c>
      <c r="G1804" s="42" t="inlineStr">
        <is>
          <t>Karaus</t>
        </is>
      </c>
      <c r="H1804" s="43" t="n">
        <v>8.491021</v>
      </c>
      <c r="I1804" s="43" t="n">
        <v>125.9746</v>
      </c>
      <c r="J1804" s="44" t="inlineStr">
        <is>
          <t>U</t>
        </is>
      </c>
      <c r="K1804" s="42" t="inlineStr">
        <is>
          <t>Class 1-3 / Urban</t>
        </is>
      </c>
      <c r="L1804" s="23" t="n">
        <v>3717</v>
      </c>
      <c r="M1804" s="24" t="n">
        <v>4.1</v>
      </c>
      <c r="N1804" s="23">
        <f>ROUND(L1804/M1804, 0)</f>
        <v/>
      </c>
      <c r="O1804" s="23">
        <f>ROUND(N1804*'Methodology &amp; Assumptions'!$B$8, 0)</f>
        <v/>
      </c>
      <c r="P1804" s="44" t="inlineStr">
        <is>
          <t>Band n50 (1.5 GHz, 60 MHz)</t>
        </is>
      </c>
      <c r="Q1804" s="38">
        <f>ROUNDUP(O1804/'Methodology &amp; Assumptions'!$B$9, 0)</f>
        <v/>
      </c>
      <c r="R1804" s="39" t="n">
        <v>1</v>
      </c>
      <c r="S1804" s="25" t="n">
        <v>1.97</v>
      </c>
      <c r="T1804" s="25" t="n">
        <v>0.16</v>
      </c>
      <c r="U1804" s="42" t="inlineStr">
        <is>
          <t>Tier 1B (Micro Drop, 1-3 km)</t>
        </is>
      </c>
      <c r="V1804" s="24" t="n">
        <v>61.8</v>
      </c>
      <c r="W1804" s="24" t="n">
        <v>96.5</v>
      </c>
      <c r="X1804" s="24" t="n">
        <v>28</v>
      </c>
      <c r="Y1804" s="45">
        <f>ROUND((V1804*'Methodology &amp; Assumptions'!$B$6)+(W1804*'Methodology &amp; Assumptions'!$B$5)+(X1804*'Methodology &amp; Assumptions'!$B$7), 2)</f>
        <v/>
      </c>
    </row>
    <row r="1805" ht="19" customHeight="1">
      <c r="A1805" s="35" t="n">
        <v>801</v>
      </c>
      <c r="B1805" s="35" t="n">
        <v>4801</v>
      </c>
      <c r="C1805" s="36" t="inlineStr">
        <is>
          <t>0701233006</t>
        </is>
      </c>
      <c r="D1805" s="36" t="inlineStr">
        <is>
          <t>Region VII (Central Visayas)</t>
        </is>
      </c>
      <c r="E1805" s="36" t="inlineStr">
        <is>
          <t>Bohol</t>
        </is>
      </c>
      <c r="F1805" s="36" t="inlineStr">
        <is>
          <t>Panglao</t>
        </is>
      </c>
      <c r="G1805" s="36" t="inlineStr">
        <is>
          <t>Looc</t>
        </is>
      </c>
      <c r="H1805" s="37" t="n">
        <v>9.592382000000001</v>
      </c>
      <c r="I1805" s="37" t="n">
        <v>123.754394</v>
      </c>
      <c r="J1805" s="8" t="inlineStr">
        <is>
          <t>R</t>
        </is>
      </c>
      <c r="K1805" s="36" t="inlineStr">
        <is>
          <t>1st</t>
        </is>
      </c>
      <c r="L1805" s="18" t="n">
        <v>3112</v>
      </c>
      <c r="M1805" s="20" t="n">
        <v>4.74</v>
      </c>
      <c r="N1805" s="18">
        <f>ROUND(L1805/M1805, 0)</f>
        <v/>
      </c>
      <c r="O1805" s="18">
        <f>ROUND(N1805*'Methodology &amp; Assumptions'!$B$8, 0)</f>
        <v/>
      </c>
      <c r="P1805" s="8" t="inlineStr">
        <is>
          <t>Band n50 (1.5 GHz, 60 MHz)</t>
        </is>
      </c>
      <c r="Q1805" s="38">
        <f>ROUNDUP(O1805/'Methodology &amp; Assumptions'!$B$9, 0)</f>
        <v/>
      </c>
      <c r="R1805" s="39" t="n">
        <v>1</v>
      </c>
      <c r="S1805" s="21" t="n">
        <v>1.73</v>
      </c>
      <c r="T1805" s="21" t="n">
        <v>11.51</v>
      </c>
      <c r="U1805" s="36" t="inlineStr">
        <is>
          <t>Tier 1B (Micro Drop, 1-3 km)</t>
        </is>
      </c>
      <c r="V1805" s="20" t="n">
        <v>56.1</v>
      </c>
      <c r="W1805" s="20" t="n">
        <v>76.5</v>
      </c>
      <c r="X1805" s="20" t="n">
        <v>58</v>
      </c>
      <c r="Y1805" s="40">
        <f>ROUND((V1805*'Methodology &amp; Assumptions'!$B$6)+(W1805*'Methodology &amp; Assumptions'!$B$5)+(X1805*'Methodology &amp; Assumptions'!$B$7), 2)</f>
        <v/>
      </c>
    </row>
    <row r="1806" ht="19" customHeight="1">
      <c r="A1806" s="41" t="n">
        <v>802</v>
      </c>
      <c r="B1806" s="41" t="n">
        <v>4802</v>
      </c>
      <c r="C1806" s="42" t="inlineStr">
        <is>
          <t>0402117011</t>
        </is>
      </c>
      <c r="D1806" s="42" t="inlineStr">
        <is>
          <t>Region IV-A (CALABARZON)</t>
        </is>
      </c>
      <c r="E1806" s="42" t="inlineStr">
        <is>
          <t>Cavite</t>
        </is>
      </c>
      <c r="F1806" s="42" t="inlineStr">
        <is>
          <t>Rosario</t>
        </is>
      </c>
      <c r="G1806" s="42" t="inlineStr">
        <is>
          <t>Wawa I</t>
        </is>
      </c>
      <c r="H1806" s="43" t="n">
        <v>14.413236</v>
      </c>
      <c r="I1806" s="43" t="n">
        <v>120.846538</v>
      </c>
      <c r="J1806" s="44" t="inlineStr">
        <is>
          <t>U</t>
        </is>
      </c>
      <c r="K1806" s="42" t="inlineStr">
        <is>
          <t>Class 1-3 / Urban</t>
        </is>
      </c>
      <c r="L1806" s="23" t="n">
        <v>5511</v>
      </c>
      <c r="M1806" s="24" t="n">
        <v>4.49</v>
      </c>
      <c r="N1806" s="23">
        <f>ROUND(L1806/M1806, 0)</f>
        <v/>
      </c>
      <c r="O1806" s="23">
        <f>ROUND(N1806*'Methodology &amp; Assumptions'!$B$8, 0)</f>
        <v/>
      </c>
      <c r="P1806" s="44" t="inlineStr">
        <is>
          <t>Band n50 (1.5 GHz, 60 MHz)</t>
        </is>
      </c>
      <c r="Q1806" s="38">
        <f>ROUNDUP(O1806/'Methodology &amp; Assumptions'!$B$9, 0)</f>
        <v/>
      </c>
      <c r="R1806" s="39" t="n">
        <v>1</v>
      </c>
      <c r="S1806" s="25" t="n">
        <v>2.36</v>
      </c>
      <c r="T1806" s="25" t="n">
        <v>2.39</v>
      </c>
      <c r="U1806" s="42" t="inlineStr">
        <is>
          <t>Tier 1B (Micro Drop, 1-3 km)</t>
        </is>
      </c>
      <c r="V1806" s="24" t="n">
        <v>45.5</v>
      </c>
      <c r="W1806" s="24" t="n">
        <v>100</v>
      </c>
      <c r="X1806" s="24" t="n">
        <v>43</v>
      </c>
      <c r="Y1806" s="45">
        <f>ROUND((V1806*'Methodology &amp; Assumptions'!$B$6)+(W1806*'Methodology &amp; Assumptions'!$B$5)+(X1806*'Methodology &amp; Assumptions'!$B$7), 2)</f>
        <v/>
      </c>
    </row>
    <row r="1807" ht="19" customHeight="1">
      <c r="A1807" s="35" t="n">
        <v>803</v>
      </c>
      <c r="B1807" s="35" t="n">
        <v>4803</v>
      </c>
      <c r="C1807" s="36" t="inlineStr">
        <is>
          <t>0730600014</t>
        </is>
      </c>
      <c r="D1807" s="36" t="inlineStr">
        <is>
          <t>Region VII (Central Visayas)</t>
        </is>
      </c>
      <c r="E1807" s="36" t="inlineStr">
        <is>
          <t>Cebu</t>
        </is>
      </c>
      <c r="F1807" s="36" t="inlineStr">
        <is>
          <t>City of Cebu</t>
        </is>
      </c>
      <c r="G1807" s="36" t="inlineStr">
        <is>
          <t>Buhisan</t>
        </is>
      </c>
      <c r="H1807" s="37" t="n">
        <v>10.304541</v>
      </c>
      <c r="I1807" s="37" t="n">
        <v>123.85873</v>
      </c>
      <c r="J1807" s="8" t="inlineStr">
        <is>
          <t>U</t>
        </is>
      </c>
      <c r="K1807" s="36" t="inlineStr">
        <is>
          <t>Class 1-3 / Urban</t>
        </is>
      </c>
      <c r="L1807" s="18" t="n">
        <v>19088</v>
      </c>
      <c r="M1807" s="20" t="n">
        <v>4.42</v>
      </c>
      <c r="N1807" s="18">
        <f>ROUND(L1807/M1807, 0)</f>
        <v/>
      </c>
      <c r="O1807" s="18">
        <f>ROUND(N1807*'Methodology &amp; Assumptions'!$B$8, 0)</f>
        <v/>
      </c>
      <c r="P1807" s="8" t="inlineStr">
        <is>
          <t>Band n50 (1.5 GHz, 60 MHz)</t>
        </is>
      </c>
      <c r="Q1807" s="38">
        <f>ROUNDUP(O1807/'Methodology &amp; Assumptions'!$B$9, 0)</f>
        <v/>
      </c>
      <c r="R1807" s="39" t="n">
        <v>1</v>
      </c>
      <c r="S1807" s="21" t="n">
        <v>2.18</v>
      </c>
      <c r="T1807" s="21" t="n">
        <v>1.93</v>
      </c>
      <c r="U1807" s="36" t="inlineStr">
        <is>
          <t>Tier 1B (Micro Drop, 1-3 km)</t>
        </is>
      </c>
      <c r="V1807" s="20" t="n">
        <v>58.3</v>
      </c>
      <c r="W1807" s="20" t="n">
        <v>100</v>
      </c>
      <c r="X1807" s="20" t="n">
        <v>28</v>
      </c>
      <c r="Y1807" s="40">
        <f>ROUND((V1807*'Methodology &amp; Assumptions'!$B$6)+(W1807*'Methodology &amp; Assumptions'!$B$5)+(X1807*'Methodology &amp; Assumptions'!$B$7), 2)</f>
        <v/>
      </c>
    </row>
    <row r="1808" ht="19" customHeight="1">
      <c r="A1808" s="41" t="n">
        <v>804</v>
      </c>
      <c r="B1808" s="41" t="n">
        <v>4804</v>
      </c>
      <c r="C1808" s="42" t="inlineStr">
        <is>
          <t>0506216032</t>
        </is>
      </c>
      <c r="D1808" s="42" t="inlineStr">
        <is>
          <t>Region V (Bicol Region)</t>
        </is>
      </c>
      <c r="E1808" s="42" t="inlineStr">
        <is>
          <t>Sorsogon</t>
        </is>
      </c>
      <c r="F1808" s="42" t="inlineStr">
        <is>
          <t>City of Sorsogon</t>
        </is>
      </c>
      <c r="G1808" s="42" t="inlineStr">
        <is>
          <t>San Juan</t>
        </is>
      </c>
      <c r="H1808" s="43" t="n">
        <v>12.98895</v>
      </c>
      <c r="I1808" s="43" t="n">
        <v>123.998503</v>
      </c>
      <c r="J1808" s="44" t="inlineStr">
        <is>
          <t>U</t>
        </is>
      </c>
      <c r="K1808" s="42" t="inlineStr">
        <is>
          <t>Class 1-3 / Urban</t>
        </is>
      </c>
      <c r="L1808" s="23" t="n">
        <v>5389</v>
      </c>
      <c r="M1808" s="24" t="n">
        <v>4.58</v>
      </c>
      <c r="N1808" s="23">
        <f>ROUND(L1808/M1808, 0)</f>
        <v/>
      </c>
      <c r="O1808" s="23">
        <f>ROUND(N1808*'Methodology &amp; Assumptions'!$B$8, 0)</f>
        <v/>
      </c>
      <c r="P1808" s="44" t="inlineStr">
        <is>
          <t>Band n50 (1.5 GHz, 60 MHz)</t>
        </is>
      </c>
      <c r="Q1808" s="38">
        <f>ROUNDUP(O1808/'Methodology &amp; Assumptions'!$B$9, 0)</f>
        <v/>
      </c>
      <c r="R1808" s="39" t="n">
        <v>1</v>
      </c>
      <c r="S1808" s="25" t="n">
        <v>2.18</v>
      </c>
      <c r="T1808" s="25" t="n">
        <v>0.42</v>
      </c>
      <c r="U1808" s="42" t="inlineStr">
        <is>
          <t>Tier 1B (Micro Drop, 1-3 km)</t>
        </is>
      </c>
      <c r="V1808" s="24" t="n">
        <v>58.3</v>
      </c>
      <c r="W1808" s="24" t="n">
        <v>100</v>
      </c>
      <c r="X1808" s="24" t="n">
        <v>28</v>
      </c>
      <c r="Y1808" s="45">
        <f>ROUND((V1808*'Methodology &amp; Assumptions'!$B$6)+(W1808*'Methodology &amp; Assumptions'!$B$5)+(X1808*'Methodology &amp; Assumptions'!$B$7), 2)</f>
        <v/>
      </c>
    </row>
    <row r="1809" ht="19" customHeight="1">
      <c r="A1809" s="35" t="n">
        <v>805</v>
      </c>
      <c r="B1809" s="35" t="n">
        <v>4805</v>
      </c>
      <c r="C1809" s="36" t="inlineStr">
        <is>
          <t>0203114009</t>
        </is>
      </c>
      <c r="D1809" s="36" t="inlineStr">
        <is>
          <t>Region II (Cagayan Valley)</t>
        </is>
      </c>
      <c r="E1809" s="36" t="inlineStr">
        <is>
          <t>Isabela</t>
        </is>
      </c>
      <c r="F1809" s="36" t="inlineStr">
        <is>
          <t>City of Ilagan</t>
        </is>
      </c>
      <c r="G1809" s="36" t="inlineStr">
        <is>
          <t>Baculod</t>
        </is>
      </c>
      <c r="H1809" s="37" t="n">
        <v>17.147868</v>
      </c>
      <c r="I1809" s="37" t="n">
        <v>121.892674</v>
      </c>
      <c r="J1809" s="8" t="inlineStr">
        <is>
          <t>R</t>
        </is>
      </c>
      <c r="K1809" s="36" t="inlineStr">
        <is>
          <t>Class 1-3 / Urban</t>
        </is>
      </c>
      <c r="L1809" s="18" t="n">
        <v>4266</v>
      </c>
      <c r="M1809" s="20" t="n">
        <v>4.3</v>
      </c>
      <c r="N1809" s="18">
        <f>ROUND(L1809/M1809, 0)</f>
        <v/>
      </c>
      <c r="O1809" s="18">
        <f>ROUND(N1809*'Methodology &amp; Assumptions'!$B$8, 0)</f>
        <v/>
      </c>
      <c r="P1809" s="8" t="inlineStr">
        <is>
          <t>Band n50 (1.5 GHz, 60 MHz)</t>
        </is>
      </c>
      <c r="Q1809" s="38">
        <f>ROUNDUP(O1809/'Methodology &amp; Assumptions'!$B$9, 0)</f>
        <v/>
      </c>
      <c r="R1809" s="39" t="n">
        <v>1</v>
      </c>
      <c r="S1809" s="21" t="n">
        <v>3.36</v>
      </c>
      <c r="T1809" s="21" t="n">
        <v>2.31</v>
      </c>
      <c r="U1809" s="36" t="inlineStr">
        <is>
          <t>Tier 2 (Fiber Corridor / Lateral, 3-5 km)</t>
        </is>
      </c>
      <c r="V1809" s="20" t="n">
        <v>32.6</v>
      </c>
      <c r="W1809" s="20" t="n">
        <v>100</v>
      </c>
      <c r="X1809" s="20" t="n">
        <v>58</v>
      </c>
      <c r="Y1809" s="40">
        <f>ROUND((V1809*'Methodology &amp; Assumptions'!$B$6)+(W1809*'Methodology &amp; Assumptions'!$B$5)+(X1809*'Methodology &amp; Assumptions'!$B$7), 2)</f>
        <v/>
      </c>
    </row>
    <row r="1810" ht="19" customHeight="1">
      <c r="A1810" s="41" t="n">
        <v>806</v>
      </c>
      <c r="B1810" s="41" t="n">
        <v>4806</v>
      </c>
      <c r="C1810" s="42" t="inlineStr">
        <is>
          <t>0501705030</t>
        </is>
      </c>
      <c r="D1810" s="42" t="inlineStr">
        <is>
          <t>Region V (Bicol Region)</t>
        </is>
      </c>
      <c r="E1810" s="42" t="inlineStr">
        <is>
          <t>Camarines Sur</t>
        </is>
      </c>
      <c r="F1810" s="42" t="inlineStr">
        <is>
          <t>Buhi</t>
        </is>
      </c>
      <c r="G1810" s="42" t="inlineStr">
        <is>
          <t>San Pedro</t>
        </is>
      </c>
      <c r="H1810" s="43" t="n">
        <v>13.428915</v>
      </c>
      <c r="I1810" s="43" t="n">
        <v>123.518401</v>
      </c>
      <c r="J1810" s="44" t="inlineStr">
        <is>
          <t>R</t>
        </is>
      </c>
      <c r="K1810" s="42" t="inlineStr">
        <is>
          <t>Class 1-3 / Urban</t>
        </is>
      </c>
      <c r="L1810" s="23" t="n">
        <v>2317</v>
      </c>
      <c r="M1810" s="24" t="n">
        <v>4.9</v>
      </c>
      <c r="N1810" s="23">
        <f>ROUND(L1810/M1810, 0)</f>
        <v/>
      </c>
      <c r="O1810" s="23">
        <f>ROUND(N1810*'Methodology &amp; Assumptions'!$B$8, 0)</f>
        <v/>
      </c>
      <c r="P1810" s="44" t="inlineStr">
        <is>
          <t>Band n50 (1.5 GHz, 60 MHz)</t>
        </is>
      </c>
      <c r="Q1810" s="38">
        <f>ROUNDUP(O1810/'Methodology &amp; Assumptions'!$B$9, 0)</f>
        <v/>
      </c>
      <c r="R1810" s="39" t="n">
        <v>1</v>
      </c>
      <c r="S1810" s="25" t="n">
        <v>1.5</v>
      </c>
      <c r="T1810" s="25" t="n">
        <v>1.74</v>
      </c>
      <c r="U1810" s="42" t="inlineStr">
        <is>
          <t>Tier 1B (Micro Drop, 1-3 km)</t>
        </is>
      </c>
      <c r="V1810" s="24" t="n">
        <v>70.7</v>
      </c>
      <c r="W1810" s="24" t="n">
        <v>61.9</v>
      </c>
      <c r="X1810" s="24" t="n">
        <v>58</v>
      </c>
      <c r="Y1810" s="45">
        <f>ROUND((V1810*'Methodology &amp; Assumptions'!$B$6)+(W1810*'Methodology &amp; Assumptions'!$B$5)+(X1810*'Methodology &amp; Assumptions'!$B$7), 2)</f>
        <v/>
      </c>
    </row>
    <row r="1811" ht="19" customHeight="1">
      <c r="A1811" s="35" t="n">
        <v>807</v>
      </c>
      <c r="B1811" s="35" t="n">
        <v>4807</v>
      </c>
      <c r="C1811" s="36" t="inlineStr">
        <is>
          <t>1030500011</t>
        </is>
      </c>
      <c r="D1811" s="36" t="inlineStr">
        <is>
          <t>Region X (Northern Mindanao)</t>
        </is>
      </c>
      <c r="E1811" s="36" t="inlineStr">
        <is>
          <t>Misamis Oriental</t>
        </is>
      </c>
      <c r="F1811" s="36" t="inlineStr">
        <is>
          <t>City of Cagayan De Oro</t>
        </is>
      </c>
      <c r="G1811" s="36" t="inlineStr">
        <is>
          <t>Barangay 15</t>
        </is>
      </c>
      <c r="H1811" s="37" t="n">
        <v>8.484717</v>
      </c>
      <c r="I1811" s="37" t="n">
        <v>124.642314</v>
      </c>
      <c r="J1811" s="8" t="inlineStr">
        <is>
          <t>R</t>
        </is>
      </c>
      <c r="K1811" s="36" t="inlineStr">
        <is>
          <t>Class 1-3 / Urban</t>
        </is>
      </c>
      <c r="L1811" s="18" t="n">
        <v>1847</v>
      </c>
      <c r="M1811" s="20" t="n">
        <v>4.54</v>
      </c>
      <c r="N1811" s="18">
        <f>ROUND(L1811/M1811, 0)</f>
        <v/>
      </c>
      <c r="O1811" s="18">
        <f>ROUND(N1811*'Methodology &amp; Assumptions'!$B$8, 0)</f>
        <v/>
      </c>
      <c r="P1811" s="8" t="inlineStr">
        <is>
          <t>Band n50 (1.5 GHz, 60 MHz)</t>
        </is>
      </c>
      <c r="Q1811" s="38">
        <f>ROUNDUP(O1811/'Methodology &amp; Assumptions'!$B$9, 0)</f>
        <v/>
      </c>
      <c r="R1811" s="39" t="n">
        <v>1</v>
      </c>
      <c r="S1811" s="21" t="n">
        <v>1.24</v>
      </c>
      <c r="T1811" s="21" t="n">
        <v>0.4</v>
      </c>
      <c r="U1811" s="36" t="inlineStr">
        <is>
          <t>Tier 1B (Micro Drop, 1-3 km)</t>
        </is>
      </c>
      <c r="V1811" s="20" t="n">
        <v>76.09999999999999</v>
      </c>
      <c r="W1811" s="20" t="n">
        <v>56.5</v>
      </c>
      <c r="X1811" s="20" t="n">
        <v>58</v>
      </c>
      <c r="Y1811" s="40">
        <f>ROUND((V1811*'Methodology &amp; Assumptions'!$B$6)+(W1811*'Methodology &amp; Assumptions'!$B$5)+(X1811*'Methodology &amp; Assumptions'!$B$7), 2)</f>
        <v/>
      </c>
    </row>
    <row r="1812" ht="19" customHeight="1">
      <c r="A1812" s="41" t="n">
        <v>808</v>
      </c>
      <c r="B1812" s="41" t="n">
        <v>4808</v>
      </c>
      <c r="C1812" s="42" t="inlineStr">
        <is>
          <t>0405628012</t>
        </is>
      </c>
      <c r="D1812" s="42" t="inlineStr">
        <is>
          <t>Region IV-A (CALABARZON)</t>
        </is>
      </c>
      <c r="E1812" s="42" t="inlineStr">
        <is>
          <t>Quezon</t>
        </is>
      </c>
      <c r="F1812" s="42" t="inlineStr">
        <is>
          <t>Mulanay</t>
        </is>
      </c>
      <c r="G1812" s="42" t="inlineStr">
        <is>
          <t>Bolo</t>
        </is>
      </c>
      <c r="H1812" s="43" t="n">
        <v>13.62565</v>
      </c>
      <c r="I1812" s="43" t="n">
        <v>122.25825</v>
      </c>
      <c r="J1812" s="44" t="inlineStr">
        <is>
          <t>R</t>
        </is>
      </c>
      <c r="K1812" s="42" t="inlineStr">
        <is>
          <t>Class 1-3 / Urban</t>
        </is>
      </c>
      <c r="L1812" s="23" t="n">
        <v>1100</v>
      </c>
      <c r="M1812" s="24" t="n">
        <v>4.46</v>
      </c>
      <c r="N1812" s="23">
        <f>ROUND(L1812/M1812, 0)</f>
        <v/>
      </c>
      <c r="O1812" s="23">
        <f>ROUND(N1812*'Methodology &amp; Assumptions'!$B$8, 0)</f>
        <v/>
      </c>
      <c r="P1812" s="44" t="inlineStr">
        <is>
          <t>Band n50 (1.5 GHz, 60 MHz)</t>
        </is>
      </c>
      <c r="Q1812" s="38">
        <f>ROUNDUP(O1812/'Methodology &amp; Assumptions'!$B$9, 0)</f>
        <v/>
      </c>
      <c r="R1812" s="39" t="n">
        <v>1</v>
      </c>
      <c r="S1812" s="25" t="n">
        <v>0.71</v>
      </c>
      <c r="T1812" s="25" t="n">
        <v>0.28</v>
      </c>
      <c r="U1812" s="42" t="inlineStr">
        <is>
          <t>Tier 1A (Direct Coloc, &lt;1 km)</t>
        </is>
      </c>
      <c r="V1812" s="24" t="n">
        <v>88.90000000000001</v>
      </c>
      <c r="W1812" s="24" t="n">
        <v>43.7</v>
      </c>
      <c r="X1812" s="24" t="n">
        <v>58</v>
      </c>
      <c r="Y1812" s="45">
        <f>ROUND((V1812*'Methodology &amp; Assumptions'!$B$6)+(W1812*'Methodology &amp; Assumptions'!$B$5)+(X1812*'Methodology &amp; Assumptions'!$B$7), 2)</f>
        <v/>
      </c>
    </row>
    <row r="1813" ht="19" customHeight="1">
      <c r="A1813" s="35" t="n">
        <v>809</v>
      </c>
      <c r="B1813" s="35" t="n">
        <v>4809</v>
      </c>
      <c r="C1813" s="36" t="inlineStr">
        <is>
          <t>0501612006</t>
        </is>
      </c>
      <c r="D1813" s="36" t="inlineStr">
        <is>
          <t>Region V (Bicol Region)</t>
        </is>
      </c>
      <c r="E1813" s="36" t="inlineStr">
        <is>
          <t>Camarines Norte</t>
        </is>
      </c>
      <c r="F1813" s="36" t="inlineStr">
        <is>
          <t>Vinzons</t>
        </is>
      </c>
      <c r="G1813" s="36" t="inlineStr">
        <is>
          <t>Calangcawan Sur</t>
        </is>
      </c>
      <c r="H1813" s="37" t="n">
        <v>14.169812</v>
      </c>
      <c r="I1813" s="37" t="n">
        <v>122.921783</v>
      </c>
      <c r="J1813" s="8" t="inlineStr">
        <is>
          <t>U</t>
        </is>
      </c>
      <c r="K1813" s="36" t="inlineStr">
        <is>
          <t>Class 1-3 / Urban</t>
        </is>
      </c>
      <c r="L1813" s="18" t="n">
        <v>5436</v>
      </c>
      <c r="M1813" s="20" t="n">
        <v>4.4</v>
      </c>
      <c r="N1813" s="18">
        <f>ROUND(L1813/M1813, 0)</f>
        <v/>
      </c>
      <c r="O1813" s="18">
        <f>ROUND(N1813*'Methodology &amp; Assumptions'!$B$8, 0)</f>
        <v/>
      </c>
      <c r="P1813" s="8" t="inlineStr">
        <is>
          <t>Band n50 (1.5 GHz, 60 MHz)</t>
        </is>
      </c>
      <c r="Q1813" s="38">
        <f>ROUNDUP(O1813/'Methodology &amp; Assumptions'!$B$9, 0)</f>
        <v/>
      </c>
      <c r="R1813" s="39" t="n">
        <v>1</v>
      </c>
      <c r="S1813" s="21" t="n">
        <v>1.62</v>
      </c>
      <c r="T1813" s="21" t="n">
        <v>2.65</v>
      </c>
      <c r="U1813" s="36" t="inlineStr">
        <is>
          <t>Tier 1B (Micro Drop, 1-3 km)</t>
        </is>
      </c>
      <c r="V1813" s="20" t="n">
        <v>58.3</v>
      </c>
      <c r="W1813" s="20" t="n">
        <v>100</v>
      </c>
      <c r="X1813" s="20" t="n">
        <v>28</v>
      </c>
      <c r="Y1813" s="40">
        <f>ROUND((V1813*'Methodology &amp; Assumptions'!$B$6)+(W1813*'Methodology &amp; Assumptions'!$B$5)+(X1813*'Methodology &amp; Assumptions'!$B$7), 2)</f>
        <v/>
      </c>
    </row>
    <row r="1814" ht="19" customHeight="1">
      <c r="A1814" s="41" t="n">
        <v>810</v>
      </c>
      <c r="B1814" s="41" t="n">
        <v>4810</v>
      </c>
      <c r="C1814" s="42" t="inlineStr">
        <is>
          <t>0401026012</t>
        </is>
      </c>
      <c r="D1814" s="42" t="inlineStr">
        <is>
          <t>Region IV-A (CALABARZON)</t>
        </is>
      </c>
      <c r="E1814" s="42" t="inlineStr">
        <is>
          <t>Batangas</t>
        </is>
      </c>
      <c r="F1814" s="42" t="inlineStr">
        <is>
          <t>San Pascual</t>
        </is>
      </c>
      <c r="G1814" s="42" t="inlineStr">
        <is>
          <t>Laurel</t>
        </is>
      </c>
      <c r="H1814" s="43" t="n">
        <v>13.797321</v>
      </c>
      <c r="I1814" s="43" t="n">
        <v>121.035451</v>
      </c>
      <c r="J1814" s="44" t="inlineStr">
        <is>
          <t>R</t>
        </is>
      </c>
      <c r="K1814" s="42" t="inlineStr">
        <is>
          <t>Class 1-3 / Urban</t>
        </is>
      </c>
      <c r="L1814" s="23" t="n">
        <v>2480</v>
      </c>
      <c r="M1814" s="24" t="n">
        <v>4.62</v>
      </c>
      <c r="N1814" s="23">
        <f>ROUND(L1814/M1814, 0)</f>
        <v/>
      </c>
      <c r="O1814" s="23">
        <f>ROUND(N1814*'Methodology &amp; Assumptions'!$B$8, 0)</f>
        <v/>
      </c>
      <c r="P1814" s="44" t="inlineStr">
        <is>
          <t>Band n50 (1.5 GHz, 60 MHz)</t>
        </is>
      </c>
      <c r="Q1814" s="38">
        <f>ROUNDUP(O1814/'Methodology &amp; Assumptions'!$B$9, 0)</f>
        <v/>
      </c>
      <c r="R1814" s="39" t="n">
        <v>1</v>
      </c>
      <c r="S1814" s="25" t="n">
        <v>1.76</v>
      </c>
      <c r="T1814" s="25" t="n">
        <v>1.7</v>
      </c>
      <c r="U1814" s="42" t="inlineStr">
        <is>
          <t>Tier 1B (Micro Drop, 1-3 km)</t>
        </is>
      </c>
      <c r="V1814" s="24" t="n">
        <v>65.59999999999999</v>
      </c>
      <c r="W1814" s="24" t="n">
        <v>66.90000000000001</v>
      </c>
      <c r="X1814" s="24" t="n">
        <v>58</v>
      </c>
      <c r="Y1814" s="45">
        <f>ROUND((V1814*'Methodology &amp; Assumptions'!$B$6)+(W1814*'Methodology &amp; Assumptions'!$B$5)+(X1814*'Methodology &amp; Assumptions'!$B$7), 2)</f>
        <v/>
      </c>
    </row>
    <row r="1815" ht="19" customHeight="1">
      <c r="A1815" s="35" t="n">
        <v>811</v>
      </c>
      <c r="B1815" s="35" t="n">
        <v>4811</v>
      </c>
      <c r="C1815" s="36" t="inlineStr">
        <is>
          <t>0704624014</t>
        </is>
      </c>
      <c r="D1815" s="36" t="inlineStr">
        <is>
          <t>Region VII (Central Visayas)</t>
        </is>
      </c>
      <c r="E1815" s="36" t="inlineStr">
        <is>
          <t>Negros Oriental</t>
        </is>
      </c>
      <c r="F1815" s="36" t="inlineStr">
        <is>
          <t>Vallehermoso</t>
        </is>
      </c>
      <c r="G1815" s="36" t="inlineStr">
        <is>
          <t>Tagbino</t>
        </is>
      </c>
      <c r="H1815" s="37" t="n">
        <v>10.37447</v>
      </c>
      <c r="I1815" s="37" t="n">
        <v>123.2686</v>
      </c>
      <c r="J1815" s="8" t="inlineStr">
        <is>
          <t>R</t>
        </is>
      </c>
      <c r="K1815" s="36" t="inlineStr">
        <is>
          <t>Class 1-3 / Urban</t>
        </is>
      </c>
      <c r="L1815" s="18" t="n">
        <v>4081</v>
      </c>
      <c r="M1815" s="20" t="n">
        <v>4.33</v>
      </c>
      <c r="N1815" s="18">
        <f>ROUND(L1815/M1815, 0)</f>
        <v/>
      </c>
      <c r="O1815" s="18">
        <f>ROUND(N1815*'Methodology &amp; Assumptions'!$B$8, 0)</f>
        <v/>
      </c>
      <c r="P1815" s="8" t="inlineStr">
        <is>
          <t>Band n50 (1.5 GHz, 60 MHz)</t>
        </is>
      </c>
      <c r="Q1815" s="38">
        <f>ROUNDUP(O1815/'Methodology &amp; Assumptions'!$B$9, 0)</f>
        <v/>
      </c>
      <c r="R1815" s="39" t="n">
        <v>1</v>
      </c>
      <c r="S1815" s="21" t="n">
        <v>4.4</v>
      </c>
      <c r="T1815" s="21" t="n">
        <v>0.33</v>
      </c>
      <c r="U1815" s="36" t="inlineStr">
        <is>
          <t>Tier 2 (Fiber Corridor / Lateral, 3-5 km)</t>
        </is>
      </c>
      <c r="V1815" s="20" t="n">
        <v>33.1</v>
      </c>
      <c r="W1815" s="20" t="n">
        <v>99.5</v>
      </c>
      <c r="X1815" s="20" t="n">
        <v>58</v>
      </c>
      <c r="Y1815" s="40">
        <f>ROUND((V1815*'Methodology &amp; Assumptions'!$B$6)+(W1815*'Methodology &amp; Assumptions'!$B$5)+(X1815*'Methodology &amp; Assumptions'!$B$7), 2)</f>
        <v/>
      </c>
    </row>
    <row r="1816" ht="19" customHeight="1">
      <c r="A1816" s="41" t="n">
        <v>812</v>
      </c>
      <c r="B1816" s="41" t="n">
        <v>4812</v>
      </c>
      <c r="C1816" s="42" t="inlineStr">
        <is>
          <t>0402103074</t>
        </is>
      </c>
      <c r="D1816" s="42" t="inlineStr">
        <is>
          <t>Region IV-A (CALABARZON)</t>
        </is>
      </c>
      <c r="E1816" s="42" t="inlineStr">
        <is>
          <t>Cavite</t>
        </is>
      </c>
      <c r="F1816" s="42" t="inlineStr">
        <is>
          <t>City of Bacoor</t>
        </is>
      </c>
      <c r="G1816" s="42" t="inlineStr">
        <is>
          <t>Zapote IV</t>
        </is>
      </c>
      <c r="H1816" s="43" t="n">
        <v>14.436707</v>
      </c>
      <c r="I1816" s="43" t="n">
        <v>120.961346</v>
      </c>
      <c r="J1816" s="44" t="inlineStr">
        <is>
          <t>R</t>
        </is>
      </c>
      <c r="K1816" s="42" t="inlineStr">
        <is>
          <t>Class 1-3 / Urban</t>
        </is>
      </c>
      <c r="L1816" s="23" t="n">
        <v>2054</v>
      </c>
      <c r="M1816" s="24" t="n">
        <v>4.49</v>
      </c>
      <c r="N1816" s="23">
        <f>ROUND(L1816/M1816, 0)</f>
        <v/>
      </c>
      <c r="O1816" s="23">
        <f>ROUND(N1816*'Methodology &amp; Assumptions'!$B$8, 0)</f>
        <v/>
      </c>
      <c r="P1816" s="44" t="inlineStr">
        <is>
          <t>Band n50 (1.5 GHz, 60 MHz)</t>
        </is>
      </c>
      <c r="Q1816" s="38">
        <f>ROUNDUP(O1816/'Methodology &amp; Assumptions'!$B$9, 0)</f>
        <v/>
      </c>
      <c r="R1816" s="39" t="n">
        <v>1</v>
      </c>
      <c r="S1816" s="25" t="n">
        <v>1.43</v>
      </c>
      <c r="T1816" s="25" t="n">
        <v>1.32</v>
      </c>
      <c r="U1816" s="42" t="inlineStr">
        <is>
          <t>Tier 1B (Micro Drop, 1-3 km)</t>
        </is>
      </c>
      <c r="V1816" s="24" t="n">
        <v>72</v>
      </c>
      <c r="W1816" s="24" t="n">
        <v>60.5</v>
      </c>
      <c r="X1816" s="24" t="n">
        <v>58</v>
      </c>
      <c r="Y1816" s="45">
        <f>ROUND((V1816*'Methodology &amp; Assumptions'!$B$6)+(W1816*'Methodology &amp; Assumptions'!$B$5)+(X1816*'Methodology &amp; Assumptions'!$B$7), 2)</f>
        <v/>
      </c>
    </row>
    <row r="1817" ht="19" customHeight="1">
      <c r="A1817" s="35" t="n">
        <v>813</v>
      </c>
      <c r="B1817" s="35" t="n">
        <v>4813</v>
      </c>
      <c r="C1817" s="36" t="inlineStr">
        <is>
          <t>0300809016</t>
        </is>
      </c>
      <c r="D1817" s="36" t="inlineStr">
        <is>
          <t>Region III (Central Luzon)</t>
        </is>
      </c>
      <c r="E1817" s="36" t="inlineStr">
        <is>
          <t>Bataan</t>
        </is>
      </c>
      <c r="F1817" s="36" t="inlineStr">
        <is>
          <t>Orani</t>
        </is>
      </c>
      <c r="G1817" s="36" t="inlineStr">
        <is>
          <t>Centro I</t>
        </is>
      </c>
      <c r="H1817" s="37" t="n">
        <v>14.802465</v>
      </c>
      <c r="I1817" s="37" t="n">
        <v>120.536734</v>
      </c>
      <c r="J1817" s="8" t="inlineStr">
        <is>
          <t>R</t>
        </is>
      </c>
      <c r="K1817" s="36" t="inlineStr">
        <is>
          <t>Class 1-3 / Urban</t>
        </is>
      </c>
      <c r="L1817" s="18" t="n">
        <v>491</v>
      </c>
      <c r="M1817" s="20" t="n">
        <v>4.57</v>
      </c>
      <c r="N1817" s="18">
        <f>ROUND(L1817/M1817, 0)</f>
        <v/>
      </c>
      <c r="O1817" s="18">
        <f>ROUND(N1817*'Methodology &amp; Assumptions'!$B$8, 0)</f>
        <v/>
      </c>
      <c r="P1817" s="8" t="inlineStr">
        <is>
          <t>Band n50 (1.5 GHz, 60 MHz)</t>
        </is>
      </c>
      <c r="Q1817" s="38">
        <f>ROUNDUP(O1817/'Methodology &amp; Assumptions'!$B$9, 0)</f>
        <v/>
      </c>
      <c r="R1817" s="39" t="n">
        <v>1</v>
      </c>
      <c r="S1817" s="21" t="n">
        <v>0.06</v>
      </c>
      <c r="T1817" s="21" t="n">
        <v>0.07000000000000001</v>
      </c>
      <c r="U1817" s="36" t="inlineStr">
        <is>
          <t>Tier 1A (Direct Coloc, &lt;1 km)</t>
        </is>
      </c>
      <c r="V1817" s="20" t="n">
        <v>100</v>
      </c>
      <c r="W1817" s="20" t="n">
        <v>32.5</v>
      </c>
      <c r="X1817" s="20" t="n">
        <v>58</v>
      </c>
      <c r="Y1817" s="40">
        <f>ROUND((V1817*'Methodology &amp; Assumptions'!$B$6)+(W1817*'Methodology &amp; Assumptions'!$B$5)+(X1817*'Methodology &amp; Assumptions'!$B$7), 2)</f>
        <v/>
      </c>
    </row>
    <row r="1818" ht="19" customHeight="1">
      <c r="A1818" s="41" t="n">
        <v>814</v>
      </c>
      <c r="B1818" s="41" t="n">
        <v>4814</v>
      </c>
      <c r="C1818" s="42" t="inlineStr">
        <is>
          <t>0604526013</t>
        </is>
      </c>
      <c r="D1818" s="42" t="inlineStr">
        <is>
          <t>Region VI (Western Visayas)</t>
        </is>
      </c>
      <c r="E1818" s="42" t="inlineStr">
        <is>
          <t>Negros Occidental</t>
        </is>
      </c>
      <c r="F1818" s="42" t="inlineStr">
        <is>
          <t>City of Silay</t>
        </is>
      </c>
      <c r="G1818" s="42" t="inlineStr">
        <is>
          <t>Lantad</t>
        </is>
      </c>
      <c r="H1818" s="43" t="n">
        <v>10.815598</v>
      </c>
      <c r="I1818" s="43" t="n">
        <v>122.96136</v>
      </c>
      <c r="J1818" s="44" t="inlineStr">
        <is>
          <t>U</t>
        </is>
      </c>
      <c r="K1818" s="42" t="inlineStr">
        <is>
          <t>Class 1-3 / Urban</t>
        </is>
      </c>
      <c r="L1818" s="23" t="n">
        <v>9830</v>
      </c>
      <c r="M1818" s="24" t="n">
        <v>4.33</v>
      </c>
      <c r="N1818" s="23">
        <f>ROUND(L1818/M1818, 0)</f>
        <v/>
      </c>
      <c r="O1818" s="23">
        <f>ROUND(N1818*'Methodology &amp; Assumptions'!$B$8, 0)</f>
        <v/>
      </c>
      <c r="P1818" s="44" t="inlineStr">
        <is>
          <t>Band n50 (1.5 GHz, 60 MHz)</t>
        </is>
      </c>
      <c r="Q1818" s="38">
        <f>ROUNDUP(O1818/'Methodology &amp; Assumptions'!$B$9, 0)</f>
        <v/>
      </c>
      <c r="R1818" s="39" t="n">
        <v>1</v>
      </c>
      <c r="S1818" s="25" t="n">
        <v>2.19</v>
      </c>
      <c r="T1818" s="25" t="n">
        <v>1.93</v>
      </c>
      <c r="U1818" s="42" t="inlineStr">
        <is>
          <t>Tier 1B (Micro Drop, 1-3 km)</t>
        </is>
      </c>
      <c r="V1818" s="24" t="n">
        <v>58.3</v>
      </c>
      <c r="W1818" s="24" t="n">
        <v>100</v>
      </c>
      <c r="X1818" s="24" t="n">
        <v>28</v>
      </c>
      <c r="Y1818" s="45">
        <f>ROUND((V1818*'Methodology &amp; Assumptions'!$B$6)+(W1818*'Methodology &amp; Assumptions'!$B$5)+(X1818*'Methodology &amp; Assumptions'!$B$7), 2)</f>
        <v/>
      </c>
    </row>
    <row r="1819" ht="19" customHeight="1">
      <c r="A1819" s="35" t="n">
        <v>815</v>
      </c>
      <c r="B1819" s="35" t="n">
        <v>4815</v>
      </c>
      <c r="C1819" s="36" t="inlineStr">
        <is>
          <t>0701201007</t>
        </is>
      </c>
      <c r="D1819" s="36" t="inlineStr">
        <is>
          <t>Region VII (Central Visayas)</t>
        </is>
      </c>
      <c r="E1819" s="36" t="inlineStr">
        <is>
          <t>Bohol</t>
        </is>
      </c>
      <c r="F1819" s="36" t="inlineStr">
        <is>
          <t>Alburquerque</t>
        </is>
      </c>
      <c r="G1819" s="36" t="inlineStr">
        <is>
          <t>San Agustin</t>
        </is>
      </c>
      <c r="H1819" s="37" t="n">
        <v>9.613246</v>
      </c>
      <c r="I1819" s="37" t="n">
        <v>123.948966</v>
      </c>
      <c r="J1819" s="8" t="inlineStr">
        <is>
          <t>R</t>
        </is>
      </c>
      <c r="K1819" s="36" t="inlineStr">
        <is>
          <t>4th</t>
        </is>
      </c>
      <c r="L1819" s="18" t="n">
        <v>609</v>
      </c>
      <c r="M1819" s="20" t="n">
        <v>4.34</v>
      </c>
      <c r="N1819" s="18">
        <f>ROUND(L1819/M1819, 0)</f>
        <v/>
      </c>
      <c r="O1819" s="18">
        <f>ROUND(N1819*'Methodology &amp; Assumptions'!$B$8, 0)</f>
        <v/>
      </c>
      <c r="P1819" s="8" t="inlineStr">
        <is>
          <t>Band n50 (1.5 GHz, 60 MHz)</t>
        </is>
      </c>
      <c r="Q1819" s="38">
        <f>ROUNDUP(O1819/'Methodology &amp; Assumptions'!$B$9, 0)</f>
        <v/>
      </c>
      <c r="R1819" s="39" t="n">
        <v>1</v>
      </c>
      <c r="S1819" s="21" t="n">
        <v>1.27</v>
      </c>
      <c r="T1819" s="21" t="n">
        <v>0.31</v>
      </c>
      <c r="U1819" s="36" t="inlineStr">
        <is>
          <t>Tier 1B (Micro Drop, 1-3 km)</t>
        </is>
      </c>
      <c r="V1819" s="20" t="n">
        <v>75.40000000000001</v>
      </c>
      <c r="W1819" s="20" t="n">
        <v>35.2</v>
      </c>
      <c r="X1819" s="20" t="n">
        <v>83.5</v>
      </c>
      <c r="Y1819" s="40">
        <f>ROUND((V1819*'Methodology &amp; Assumptions'!$B$6)+(W1819*'Methodology &amp; Assumptions'!$B$5)+(X1819*'Methodology &amp; Assumptions'!$B$7), 2)</f>
        <v/>
      </c>
    </row>
    <row r="1820" ht="19" customHeight="1">
      <c r="A1820" s="41" t="n">
        <v>816</v>
      </c>
      <c r="B1820" s="41" t="n">
        <v>4816</v>
      </c>
      <c r="C1820" s="42" t="inlineStr">
        <is>
          <t>1606711010</t>
        </is>
      </c>
      <c r="D1820" s="42" t="inlineStr">
        <is>
          <t>Region XIII (Caraga)</t>
        </is>
      </c>
      <c r="E1820" s="42" t="inlineStr">
        <is>
          <t>Surigao del Norte</t>
        </is>
      </c>
      <c r="F1820" s="42" t="inlineStr">
        <is>
          <t>Gigaquit</t>
        </is>
      </c>
      <c r="G1820" s="42" t="inlineStr">
        <is>
          <t>San Isidro</t>
        </is>
      </c>
      <c r="H1820" s="43" t="n">
        <v>9.562366000000001</v>
      </c>
      <c r="I1820" s="43" t="n">
        <v>125.682813</v>
      </c>
      <c r="J1820" s="44" t="inlineStr">
        <is>
          <t>R</t>
        </is>
      </c>
      <c r="K1820" s="42" t="inlineStr">
        <is>
          <t>3rd</t>
        </is>
      </c>
      <c r="L1820" s="23" t="n">
        <v>4028</v>
      </c>
      <c r="M1820" s="24" t="n">
        <v>4.56</v>
      </c>
      <c r="N1820" s="23">
        <f>ROUND(L1820/M1820, 0)</f>
        <v/>
      </c>
      <c r="O1820" s="23">
        <f>ROUND(N1820*'Methodology &amp; Assumptions'!$B$8, 0)</f>
        <v/>
      </c>
      <c r="P1820" s="44" t="inlineStr">
        <is>
          <t>Band n50 (1.5 GHz, 60 MHz)</t>
        </is>
      </c>
      <c r="Q1820" s="38">
        <f>ROUNDUP(O1820/'Methodology &amp; Assumptions'!$B$9, 0)</f>
        <v/>
      </c>
      <c r="R1820" s="39" t="n">
        <v>1</v>
      </c>
      <c r="S1820" s="25" t="n">
        <v>16.75</v>
      </c>
      <c r="T1820" s="25" t="n">
        <v>0.09</v>
      </c>
      <c r="U1820" s="42" t="inlineStr">
        <is>
          <t>Tier 2 (Fiber Corridor / Lateral, 3-5 km)</t>
        </is>
      </c>
      <c r="V1820" s="24" t="n">
        <v>25</v>
      </c>
      <c r="W1820" s="24" t="n">
        <v>94.7</v>
      </c>
      <c r="X1820" s="24" t="n">
        <v>73</v>
      </c>
      <c r="Y1820" s="45">
        <f>ROUND((V1820*'Methodology &amp; Assumptions'!$B$6)+(W1820*'Methodology &amp; Assumptions'!$B$5)+(X1820*'Methodology &amp; Assumptions'!$B$7), 2)</f>
        <v/>
      </c>
    </row>
    <row r="1821" ht="19" customHeight="1">
      <c r="A1821" s="35" t="n">
        <v>817</v>
      </c>
      <c r="B1821" s="35" t="n">
        <v>4817</v>
      </c>
      <c r="C1821" s="36" t="inlineStr">
        <is>
          <t>0307101017</t>
        </is>
      </c>
      <c r="D1821" s="36" t="inlineStr">
        <is>
          <t>Region III (Central Luzon)</t>
        </is>
      </c>
      <c r="E1821" s="36" t="inlineStr">
        <is>
          <t>Zambales</t>
        </is>
      </c>
      <c r="F1821" s="36" t="inlineStr">
        <is>
          <t>Botolan</t>
        </is>
      </c>
      <c r="G1821" s="36" t="inlineStr">
        <is>
          <t>Porac</t>
        </is>
      </c>
      <c r="H1821" s="37" t="n">
        <v>15.250877</v>
      </c>
      <c r="I1821" s="37" t="n">
        <v>120.017463</v>
      </c>
      <c r="J1821" s="8" t="inlineStr">
        <is>
          <t>R</t>
        </is>
      </c>
      <c r="K1821" s="36" t="inlineStr">
        <is>
          <t>Class 1-3 / Urban</t>
        </is>
      </c>
      <c r="L1821" s="18" t="n">
        <v>3579</v>
      </c>
      <c r="M1821" s="20" t="n">
        <v>4.05</v>
      </c>
      <c r="N1821" s="18">
        <f>ROUND(L1821/M1821, 0)</f>
        <v/>
      </c>
      <c r="O1821" s="18">
        <f>ROUND(N1821*'Methodology &amp; Assumptions'!$B$8, 0)</f>
        <v/>
      </c>
      <c r="P1821" s="8" t="inlineStr">
        <is>
          <t>Band n50 (1.5 GHz, 60 MHz)</t>
        </is>
      </c>
      <c r="Q1821" s="38">
        <f>ROUNDUP(O1821/'Methodology &amp; Assumptions'!$B$9, 0)</f>
        <v/>
      </c>
      <c r="R1821" s="39" t="n">
        <v>1</v>
      </c>
      <c r="S1821" s="21" t="n">
        <v>9.48</v>
      </c>
      <c r="T1821" s="21" t="n">
        <v>0.36</v>
      </c>
      <c r="U1821" s="36" t="inlineStr">
        <is>
          <t>Tier 2 (Fiber Corridor / Lateral, 3-5 km)</t>
        </is>
      </c>
      <c r="V1821" s="20" t="n">
        <v>25</v>
      </c>
      <c r="W1821" s="20" t="n">
        <v>94.7</v>
      </c>
      <c r="X1821" s="20" t="n">
        <v>73</v>
      </c>
      <c r="Y1821" s="40">
        <f>ROUND((V1821*'Methodology &amp; Assumptions'!$B$6)+(W1821*'Methodology &amp; Assumptions'!$B$5)+(X1821*'Methodology &amp; Assumptions'!$B$7), 2)</f>
        <v/>
      </c>
    </row>
    <row r="1822" ht="19" customHeight="1">
      <c r="A1822" s="41" t="n">
        <v>818</v>
      </c>
      <c r="B1822" s="41" t="n">
        <v>4818</v>
      </c>
      <c r="C1822" s="42" t="inlineStr">
        <is>
          <t>0501708036</t>
        </is>
      </c>
      <c r="D1822" s="42" t="inlineStr">
        <is>
          <t>Region V (Bicol Region)</t>
        </is>
      </c>
      <c r="E1822" s="42" t="inlineStr">
        <is>
          <t>Camarines Sur</t>
        </is>
      </c>
      <c r="F1822" s="42" t="inlineStr">
        <is>
          <t>Calabanga</t>
        </is>
      </c>
      <c r="G1822" s="42" t="inlineStr">
        <is>
          <t>San Lucas</t>
        </is>
      </c>
      <c r="H1822" s="43" t="n">
        <v>13.70527</v>
      </c>
      <c r="I1822" s="43" t="n">
        <v>123.19286</v>
      </c>
      <c r="J1822" s="44" t="inlineStr">
        <is>
          <t>R</t>
        </is>
      </c>
      <c r="K1822" s="42" t="inlineStr">
        <is>
          <t>Class 1-3 / Urban</t>
        </is>
      </c>
      <c r="L1822" s="23" t="n">
        <v>2651</v>
      </c>
      <c r="M1822" s="24" t="n">
        <v>4.9</v>
      </c>
      <c r="N1822" s="23">
        <f>ROUND(L1822/M1822, 0)</f>
        <v/>
      </c>
      <c r="O1822" s="23">
        <f>ROUND(N1822*'Methodology &amp; Assumptions'!$B$8, 0)</f>
        <v/>
      </c>
      <c r="P1822" s="44" t="inlineStr">
        <is>
          <t>Band n50 (1.5 GHz, 60 MHz)</t>
        </is>
      </c>
      <c r="Q1822" s="38">
        <f>ROUNDUP(O1822/'Methodology &amp; Assumptions'!$B$9, 0)</f>
        <v/>
      </c>
      <c r="R1822" s="39" t="n">
        <v>1</v>
      </c>
      <c r="S1822" s="25" t="n">
        <v>1.78</v>
      </c>
      <c r="T1822" s="25" t="n">
        <v>1.12</v>
      </c>
      <c r="U1822" s="42" t="inlineStr">
        <is>
          <t>Tier 1B (Micro Drop, 1-3 km)</t>
        </is>
      </c>
      <c r="V1822" s="24" t="n">
        <v>65.3</v>
      </c>
      <c r="W1822" s="24" t="n">
        <v>67.2</v>
      </c>
      <c r="X1822" s="24" t="n">
        <v>58</v>
      </c>
      <c r="Y1822" s="45">
        <f>ROUND((V1822*'Methodology &amp; Assumptions'!$B$6)+(W1822*'Methodology &amp; Assumptions'!$B$5)+(X1822*'Methodology &amp; Assumptions'!$B$7), 2)</f>
        <v/>
      </c>
    </row>
    <row r="1823" ht="19" customHeight="1">
      <c r="A1823" s="35" t="n">
        <v>819</v>
      </c>
      <c r="B1823" s="35" t="n">
        <v>4819</v>
      </c>
      <c r="C1823" s="36" t="inlineStr">
        <is>
          <t>0501726001</t>
        </is>
      </c>
      <c r="D1823" s="36" t="inlineStr">
        <is>
          <t>Region V (Bicol Region)</t>
        </is>
      </c>
      <c r="E1823" s="36" t="inlineStr">
        <is>
          <t>Camarines Sur</t>
        </is>
      </c>
      <c r="F1823" s="36" t="inlineStr">
        <is>
          <t>Pamplona</t>
        </is>
      </c>
      <c r="G1823" s="36" t="inlineStr">
        <is>
          <t>Batang</t>
        </is>
      </c>
      <c r="H1823" s="37" t="n">
        <v>13.565003</v>
      </c>
      <c r="I1823" s="37" t="n">
        <v>123.057437</v>
      </c>
      <c r="J1823" s="8" t="inlineStr">
        <is>
          <t>R</t>
        </is>
      </c>
      <c r="K1823" s="36" t="inlineStr">
        <is>
          <t>3rd</t>
        </is>
      </c>
      <c r="L1823" s="18" t="n">
        <v>2330</v>
      </c>
      <c r="M1823" s="20" t="n">
        <v>4.8</v>
      </c>
      <c r="N1823" s="18">
        <f>ROUND(L1823/M1823, 0)</f>
        <v/>
      </c>
      <c r="O1823" s="18">
        <f>ROUND(N1823*'Methodology &amp; Assumptions'!$B$8, 0)</f>
        <v/>
      </c>
      <c r="P1823" s="8" t="inlineStr">
        <is>
          <t>Band n50 (1.5 GHz, 60 MHz)</t>
        </is>
      </c>
      <c r="Q1823" s="38">
        <f>ROUNDUP(O1823/'Methodology &amp; Assumptions'!$B$9, 0)</f>
        <v/>
      </c>
      <c r="R1823" s="39" t="n">
        <v>1</v>
      </c>
      <c r="S1823" s="21" t="n">
        <v>1.55</v>
      </c>
      <c r="T1823" s="21" t="n">
        <v>0.02</v>
      </c>
      <c r="U1823" s="36" t="inlineStr">
        <is>
          <t>Tier 1B (Micro Drop, 1-3 km)</t>
        </is>
      </c>
      <c r="V1823" s="20" t="n">
        <v>69.59999999999999</v>
      </c>
      <c r="W1823" s="20" t="n">
        <v>62.9</v>
      </c>
      <c r="X1823" s="20" t="n">
        <v>58</v>
      </c>
      <c r="Y1823" s="40">
        <f>ROUND((V1823*'Methodology &amp; Assumptions'!$B$6)+(W1823*'Methodology &amp; Assumptions'!$B$5)+(X1823*'Methodology &amp; Assumptions'!$B$7), 2)</f>
        <v/>
      </c>
    </row>
    <row r="1824" ht="19" customHeight="1">
      <c r="A1824" s="41" t="n">
        <v>820</v>
      </c>
      <c r="B1824" s="41" t="n">
        <v>4820</v>
      </c>
      <c r="C1824" s="42" t="inlineStr">
        <is>
          <t>0601904031</t>
        </is>
      </c>
      <c r="D1824" s="42" t="inlineStr">
        <is>
          <t>Region VI (Western Visayas)</t>
        </is>
      </c>
      <c r="E1824" s="42" t="inlineStr">
        <is>
          <t>Capiz</t>
        </is>
      </c>
      <c r="F1824" s="42" t="inlineStr">
        <is>
          <t>Dumarao</t>
        </is>
      </c>
      <c r="G1824" s="42" t="inlineStr">
        <is>
          <t>Salcedo</t>
        </is>
      </c>
      <c r="H1824" s="43" t="n">
        <v>11.252106</v>
      </c>
      <c r="I1824" s="43" t="n">
        <v>122.666625</v>
      </c>
      <c r="J1824" s="44" t="inlineStr">
        <is>
          <t>R</t>
        </is>
      </c>
      <c r="K1824" s="42" t="inlineStr">
        <is>
          <t>Class 1-3 / Urban</t>
        </is>
      </c>
      <c r="L1824" s="23" t="n">
        <v>1671</v>
      </c>
      <c r="M1824" s="24" t="n">
        <v>4.2</v>
      </c>
      <c r="N1824" s="23">
        <f>ROUND(L1824/M1824, 0)</f>
        <v/>
      </c>
      <c r="O1824" s="23">
        <f>ROUND(N1824*'Methodology &amp; Assumptions'!$B$8, 0)</f>
        <v/>
      </c>
      <c r="P1824" s="44" t="inlineStr">
        <is>
          <t>Band n50 (1.5 GHz, 60 MHz)</t>
        </is>
      </c>
      <c r="Q1824" s="38">
        <f>ROUNDUP(O1824/'Methodology &amp; Assumptions'!$B$9, 0)</f>
        <v/>
      </c>
      <c r="R1824" s="39" t="n">
        <v>1</v>
      </c>
      <c r="S1824" s="25" t="n">
        <v>1.21</v>
      </c>
      <c r="T1824" s="25" t="n">
        <v>1</v>
      </c>
      <c r="U1824" s="42" t="inlineStr">
        <is>
          <t>Tier 1B (Micro Drop, 1-3 km)</t>
        </is>
      </c>
      <c r="V1824" s="24" t="n">
        <v>76.8</v>
      </c>
      <c r="W1824" s="24" t="n">
        <v>55.7</v>
      </c>
      <c r="X1824" s="24" t="n">
        <v>58</v>
      </c>
      <c r="Y1824" s="45">
        <f>ROUND((V1824*'Methodology &amp; Assumptions'!$B$6)+(W1824*'Methodology &amp; Assumptions'!$B$5)+(X1824*'Methodology &amp; Assumptions'!$B$7), 2)</f>
        <v/>
      </c>
    </row>
    <row r="1825" ht="19" customHeight="1">
      <c r="A1825" s="35" t="n">
        <v>821</v>
      </c>
      <c r="B1825" s="35" t="n">
        <v>4821</v>
      </c>
      <c r="C1825" s="36" t="inlineStr">
        <is>
          <t>0501721010</t>
        </is>
      </c>
      <c r="D1825" s="36" t="inlineStr">
        <is>
          <t>Region V (Bicol Region)</t>
        </is>
      </c>
      <c r="E1825" s="36" t="inlineStr">
        <is>
          <t>Camarines Sur</t>
        </is>
      </c>
      <c r="F1825" s="36" t="inlineStr">
        <is>
          <t>Milaor</t>
        </is>
      </c>
      <c r="G1825" s="36" t="inlineStr">
        <is>
          <t>Lipot</t>
        </is>
      </c>
      <c r="H1825" s="37" t="n">
        <v>13.602828</v>
      </c>
      <c r="I1825" s="37" t="n">
        <v>123.170287</v>
      </c>
      <c r="J1825" s="8" t="inlineStr">
        <is>
          <t>R</t>
        </is>
      </c>
      <c r="K1825" s="36" t="inlineStr">
        <is>
          <t>3rd</t>
        </is>
      </c>
      <c r="L1825" s="18" t="n">
        <v>1637</v>
      </c>
      <c r="M1825" s="20" t="n">
        <v>4.92</v>
      </c>
      <c r="N1825" s="18">
        <f>ROUND(L1825/M1825, 0)</f>
        <v/>
      </c>
      <c r="O1825" s="18">
        <f>ROUND(N1825*'Methodology &amp; Assumptions'!$B$8, 0)</f>
        <v/>
      </c>
      <c r="P1825" s="8" t="inlineStr">
        <is>
          <t>Band n50 (1.5 GHz, 60 MHz)</t>
        </is>
      </c>
      <c r="Q1825" s="38">
        <f>ROUNDUP(O1825/'Methodology &amp; Assumptions'!$B$9, 0)</f>
        <v/>
      </c>
      <c r="R1825" s="39" t="n">
        <v>1</v>
      </c>
      <c r="S1825" s="21" t="n">
        <v>0.99</v>
      </c>
      <c r="T1825" s="21" t="n">
        <v>0.93</v>
      </c>
      <c r="U1825" s="36" t="inlineStr">
        <is>
          <t>Tier 1A (Direct Coloc, &lt;1 km)</t>
        </is>
      </c>
      <c r="V1825" s="20" t="n">
        <v>81.8</v>
      </c>
      <c r="W1825" s="20" t="n">
        <v>50.7</v>
      </c>
      <c r="X1825" s="20" t="n">
        <v>58</v>
      </c>
      <c r="Y1825" s="40">
        <f>ROUND((V1825*'Methodology &amp; Assumptions'!$B$6)+(W1825*'Methodology &amp; Assumptions'!$B$5)+(X1825*'Methodology &amp; Assumptions'!$B$7), 2)</f>
        <v/>
      </c>
    </row>
    <row r="1826" ht="19" customHeight="1">
      <c r="A1826" s="41" t="n">
        <v>822</v>
      </c>
      <c r="B1826" s="41" t="n">
        <v>4822</v>
      </c>
      <c r="C1826" s="42" t="inlineStr">
        <is>
          <t>0301403010</t>
        </is>
      </c>
      <c r="D1826" s="42" t="inlineStr">
        <is>
          <t>Region III (Central Luzon)</t>
        </is>
      </c>
      <c r="E1826" s="42" t="inlineStr">
        <is>
          <t>Bulacan</t>
        </is>
      </c>
      <c r="F1826" s="42" t="inlineStr">
        <is>
          <t>Baliuag</t>
        </is>
      </c>
      <c r="G1826" s="42" t="inlineStr">
        <is>
          <t>Pagala</t>
        </is>
      </c>
      <c r="H1826" s="43" t="n">
        <v>14.968354</v>
      </c>
      <c r="I1826" s="43" t="n">
        <v>120.892318</v>
      </c>
      <c r="J1826" s="44" t="inlineStr">
        <is>
          <t>U</t>
        </is>
      </c>
      <c r="K1826" s="42" t="inlineStr">
        <is>
          <t>Class 1-3 / Urban</t>
        </is>
      </c>
      <c r="L1826" s="23" t="n">
        <v>7235</v>
      </c>
      <c r="M1826" s="24" t="n">
        <v>4.1</v>
      </c>
      <c r="N1826" s="23">
        <f>ROUND(L1826/M1826, 0)</f>
        <v/>
      </c>
      <c r="O1826" s="23">
        <f>ROUND(N1826*'Methodology &amp; Assumptions'!$B$8, 0)</f>
        <v/>
      </c>
      <c r="P1826" s="44" t="inlineStr">
        <is>
          <t>Band n50 (1.5 GHz, 60 MHz)</t>
        </is>
      </c>
      <c r="Q1826" s="38">
        <f>ROUNDUP(O1826/'Methodology &amp; Assumptions'!$B$9, 0)</f>
        <v/>
      </c>
      <c r="R1826" s="39" t="n">
        <v>1</v>
      </c>
      <c r="S1826" s="25" t="n">
        <v>2.19</v>
      </c>
      <c r="T1826" s="25" t="n">
        <v>0.41</v>
      </c>
      <c r="U1826" s="42" t="inlineStr">
        <is>
          <t>Tier 1B (Micro Drop, 1-3 km)</t>
        </is>
      </c>
      <c r="V1826" s="24" t="n">
        <v>58.2</v>
      </c>
      <c r="W1826" s="24" t="n">
        <v>100</v>
      </c>
      <c r="X1826" s="24" t="n">
        <v>28</v>
      </c>
      <c r="Y1826" s="45">
        <f>ROUND((V1826*'Methodology &amp; Assumptions'!$B$6)+(W1826*'Methodology &amp; Assumptions'!$B$5)+(X1826*'Methodology &amp; Assumptions'!$B$7), 2)</f>
        <v/>
      </c>
    </row>
    <row r="1827" ht="19" customHeight="1">
      <c r="A1827" s="35" t="n">
        <v>823</v>
      </c>
      <c r="B1827" s="35" t="n">
        <v>4823</v>
      </c>
      <c r="C1827" s="36" t="inlineStr">
        <is>
          <t>0831600136</t>
        </is>
      </c>
      <c r="D1827" s="36" t="inlineStr">
        <is>
          <t>Region VIII (Eastern Visayas)</t>
        </is>
      </c>
      <c r="E1827" s="36" t="inlineStr">
        <is>
          <t>Leyte</t>
        </is>
      </c>
      <c r="F1827" s="36" t="inlineStr">
        <is>
          <t>City of Tacloban</t>
        </is>
      </c>
      <c r="G1827" s="36" t="inlineStr">
        <is>
          <t>Barangay 110</t>
        </is>
      </c>
      <c r="H1827" s="37" t="n">
        <v>11.228187</v>
      </c>
      <c r="I1827" s="37" t="n">
        <v>124.993173</v>
      </c>
      <c r="J1827" s="8" t="inlineStr">
        <is>
          <t>U</t>
        </is>
      </c>
      <c r="K1827" s="36" t="inlineStr">
        <is>
          <t>Class 1-3 / Urban</t>
        </is>
      </c>
      <c r="L1827" s="18" t="n">
        <v>7062</v>
      </c>
      <c r="M1827" s="20" t="n">
        <v>4.24</v>
      </c>
      <c r="N1827" s="18">
        <f>ROUND(L1827/M1827, 0)</f>
        <v/>
      </c>
      <c r="O1827" s="18">
        <f>ROUND(N1827*'Methodology &amp; Assumptions'!$B$8, 0)</f>
        <v/>
      </c>
      <c r="P1827" s="8" t="inlineStr">
        <is>
          <t>Band n50 (1.5 GHz, 60 MHz)</t>
        </is>
      </c>
      <c r="Q1827" s="38">
        <f>ROUNDUP(O1827/'Methodology &amp; Assumptions'!$B$9, 0)</f>
        <v/>
      </c>
      <c r="R1827" s="39" t="n">
        <v>1</v>
      </c>
      <c r="S1827" s="21" t="n">
        <v>1.62</v>
      </c>
      <c r="T1827" s="21" t="n">
        <v>2.48</v>
      </c>
      <c r="U1827" s="36" t="inlineStr">
        <is>
          <t>Tier 1B (Micro Drop, 1-3 km)</t>
        </is>
      </c>
      <c r="V1827" s="20" t="n">
        <v>58.2</v>
      </c>
      <c r="W1827" s="20" t="n">
        <v>100</v>
      </c>
      <c r="X1827" s="20" t="n">
        <v>28</v>
      </c>
      <c r="Y1827" s="40">
        <f>ROUND((V1827*'Methodology &amp; Assumptions'!$B$6)+(W1827*'Methodology &amp; Assumptions'!$B$5)+(X1827*'Methodology &amp; Assumptions'!$B$7), 2)</f>
        <v/>
      </c>
    </row>
    <row r="1828" ht="19" customHeight="1">
      <c r="A1828" s="41" t="n">
        <v>824</v>
      </c>
      <c r="B1828" s="41" t="n">
        <v>4824</v>
      </c>
      <c r="C1828" s="42" t="inlineStr">
        <is>
          <t>1430300112</t>
        </is>
      </c>
      <c r="D1828" s="42" t="inlineStr">
        <is>
          <t>Cordillera Administrative Region (CAR)</t>
        </is>
      </c>
      <c r="E1828" s="42" t="inlineStr">
        <is>
          <t>Benguet</t>
        </is>
      </c>
      <c r="F1828" s="42" t="inlineStr">
        <is>
          <t>City of Baguio</t>
        </is>
      </c>
      <c r="G1828" s="42" t="inlineStr">
        <is>
          <t>Trancoville</t>
        </is>
      </c>
      <c r="H1828" s="43" t="n">
        <v>16.42334</v>
      </c>
      <c r="I1828" s="43" t="n">
        <v>120.59917</v>
      </c>
      <c r="J1828" s="44" t="inlineStr">
        <is>
          <t>U</t>
        </is>
      </c>
      <c r="K1828" s="42" t="inlineStr">
        <is>
          <t>Class 1-3 / Urban</t>
        </is>
      </c>
      <c r="L1828" s="23" t="n">
        <v>2705</v>
      </c>
      <c r="M1828" s="24" t="n">
        <v>4.58</v>
      </c>
      <c r="N1828" s="23">
        <f>ROUND(L1828/M1828, 0)</f>
        <v/>
      </c>
      <c r="O1828" s="23">
        <f>ROUND(N1828*'Methodology &amp; Assumptions'!$B$8, 0)</f>
        <v/>
      </c>
      <c r="P1828" s="44" t="inlineStr">
        <is>
          <t>Band n50 (1.5 GHz, 60 MHz)</t>
        </is>
      </c>
      <c r="Q1828" s="38">
        <f>ROUNDUP(O1828/'Methodology &amp; Assumptions'!$B$9, 0)</f>
        <v/>
      </c>
      <c r="R1828" s="39" t="n">
        <v>1</v>
      </c>
      <c r="S1828" s="25" t="n">
        <v>0.63</v>
      </c>
      <c r="T1828" s="25" t="n">
        <v>1.16</v>
      </c>
      <c r="U1828" s="42" t="inlineStr">
        <is>
          <t>Tier 1A (Direct Coloc, &lt;1 km)</t>
        </is>
      </c>
      <c r="V1828" s="24" t="n">
        <v>91</v>
      </c>
      <c r="W1828" s="24" t="n">
        <v>67.2</v>
      </c>
      <c r="X1828" s="24" t="n">
        <v>28</v>
      </c>
      <c r="Y1828" s="45">
        <f>ROUND((V1828*'Methodology &amp; Assumptions'!$B$6)+(W1828*'Methodology &amp; Assumptions'!$B$5)+(X1828*'Methodology &amp; Assumptions'!$B$7), 2)</f>
        <v/>
      </c>
    </row>
    <row r="1829" ht="19" customHeight="1">
      <c r="A1829" s="35" t="n">
        <v>825</v>
      </c>
      <c r="B1829" s="35" t="n">
        <v>4825</v>
      </c>
      <c r="C1829" s="36" t="inlineStr">
        <is>
          <t>0205009003</t>
        </is>
      </c>
      <c r="D1829" s="36" t="inlineStr">
        <is>
          <t>Region II (Cagayan Valley)</t>
        </is>
      </c>
      <c r="E1829" s="36" t="inlineStr">
        <is>
          <t>Nueva Vizcaya</t>
        </is>
      </c>
      <c r="F1829" s="36" t="inlineStr">
        <is>
          <t>Kasibu</t>
        </is>
      </c>
      <c r="G1829" s="36" t="inlineStr">
        <is>
          <t>Poblacion</t>
        </is>
      </c>
      <c r="H1829" s="37" t="n">
        <v>16.327182</v>
      </c>
      <c r="I1829" s="37" t="n">
        <v>121.299967</v>
      </c>
      <c r="J1829" s="8" t="inlineStr">
        <is>
          <t>R</t>
        </is>
      </c>
      <c r="K1829" s="36" t="inlineStr">
        <is>
          <t>Class 1-3 / Urban</t>
        </is>
      </c>
      <c r="L1829" s="18" t="n">
        <v>2318</v>
      </c>
      <c r="M1829" s="20" t="n">
        <v>4.19</v>
      </c>
      <c r="N1829" s="18">
        <f>ROUND(L1829/M1829, 0)</f>
        <v/>
      </c>
      <c r="O1829" s="18">
        <f>ROUND(N1829*'Methodology &amp; Assumptions'!$B$8, 0)</f>
        <v/>
      </c>
      <c r="P1829" s="8" t="inlineStr">
        <is>
          <t>Band n50 (1.5 GHz, 60 MHz)</t>
        </is>
      </c>
      <c r="Q1829" s="38">
        <f>ROUNDUP(O1829/'Methodology &amp; Assumptions'!$B$9, 0)</f>
        <v/>
      </c>
      <c r="R1829" s="39" t="n">
        <v>1</v>
      </c>
      <c r="S1829" s="21" t="n">
        <v>1.33</v>
      </c>
      <c r="T1829" s="21" t="n">
        <v>21.29</v>
      </c>
      <c r="U1829" s="36" t="inlineStr">
        <is>
          <t>Tier 1B (Micro Drop, 1-3 km)</t>
        </is>
      </c>
      <c r="V1829" s="20" t="n">
        <v>64.2</v>
      </c>
      <c r="W1829" s="20" t="n">
        <v>68.3</v>
      </c>
      <c r="X1829" s="20" t="n">
        <v>58</v>
      </c>
      <c r="Y1829" s="40">
        <f>ROUND((V1829*'Methodology &amp; Assumptions'!$B$6)+(W1829*'Methodology &amp; Assumptions'!$B$5)+(X1829*'Methodology &amp; Assumptions'!$B$7), 2)</f>
        <v/>
      </c>
    </row>
    <row r="1830" ht="19" customHeight="1">
      <c r="A1830" s="41" t="n">
        <v>826</v>
      </c>
      <c r="B1830" s="41" t="n">
        <v>4826</v>
      </c>
      <c r="C1830" s="42" t="inlineStr">
        <is>
          <t>0907302013</t>
        </is>
      </c>
      <c r="D1830" s="42" t="inlineStr">
        <is>
          <t>Region IX (Zamboanga Peninsula)</t>
        </is>
      </c>
      <c r="E1830" s="42" t="inlineStr">
        <is>
          <t>Zamboanga del Sur</t>
        </is>
      </c>
      <c r="F1830" s="42" t="inlineStr">
        <is>
          <t>Aurora</t>
        </is>
      </c>
      <c r="G1830" s="42" t="inlineStr">
        <is>
          <t>Balintawak</t>
        </is>
      </c>
      <c r="H1830" s="43" t="n">
        <v>7.95458</v>
      </c>
      <c r="I1830" s="43" t="n">
        <v>123.595193</v>
      </c>
      <c r="J1830" s="44" t="inlineStr">
        <is>
          <t>R</t>
        </is>
      </c>
      <c r="K1830" s="42" t="inlineStr">
        <is>
          <t>Class 1-3 / Urban</t>
        </is>
      </c>
      <c r="L1830" s="23" t="n">
        <v>1533</v>
      </c>
      <c r="M1830" s="24" t="n">
        <v>4.61</v>
      </c>
      <c r="N1830" s="23">
        <f>ROUND(L1830/M1830, 0)</f>
        <v/>
      </c>
      <c r="O1830" s="23">
        <f>ROUND(N1830*'Methodology &amp; Assumptions'!$B$8, 0)</f>
        <v/>
      </c>
      <c r="P1830" s="44" t="inlineStr">
        <is>
          <t>Band n50 (1.5 GHz, 60 MHz)</t>
        </is>
      </c>
      <c r="Q1830" s="38">
        <f>ROUNDUP(O1830/'Methodology &amp; Assumptions'!$B$9, 0)</f>
        <v/>
      </c>
      <c r="R1830" s="39" t="n">
        <v>1</v>
      </c>
      <c r="S1830" s="25" t="n">
        <v>0.99</v>
      </c>
      <c r="T1830" s="25" t="n">
        <v>0.5</v>
      </c>
      <c r="U1830" s="42" t="inlineStr">
        <is>
          <t>Tier 1A (Direct Coloc, &lt;1 km)</t>
        </is>
      </c>
      <c r="V1830" s="24" t="n">
        <v>81.8</v>
      </c>
      <c r="W1830" s="24" t="n">
        <v>50.7</v>
      </c>
      <c r="X1830" s="24" t="n">
        <v>58</v>
      </c>
      <c r="Y1830" s="45">
        <f>ROUND((V1830*'Methodology &amp; Assumptions'!$B$6)+(W1830*'Methodology &amp; Assumptions'!$B$5)+(X1830*'Methodology &amp; Assumptions'!$B$7), 2)</f>
        <v/>
      </c>
    </row>
    <row r="1831" ht="19" customHeight="1">
      <c r="A1831" s="35" t="n">
        <v>827</v>
      </c>
      <c r="B1831" s="35" t="n">
        <v>4827</v>
      </c>
      <c r="C1831" s="36" t="inlineStr">
        <is>
          <t>0401014036</t>
        </is>
      </c>
      <c r="D1831" s="36" t="inlineStr">
        <is>
          <t>Region IV-A (CALABARZON)</t>
        </is>
      </c>
      <c r="E1831" s="36" t="inlineStr">
        <is>
          <t>Batangas</t>
        </is>
      </c>
      <c r="F1831" s="36" t="inlineStr">
        <is>
          <t>City of Lipa</t>
        </is>
      </c>
      <c r="G1831" s="36" t="inlineStr">
        <is>
          <t>Pangao</t>
        </is>
      </c>
      <c r="H1831" s="37" t="n">
        <v>13.917007</v>
      </c>
      <c r="I1831" s="37" t="n">
        <v>121.122522</v>
      </c>
      <c r="J1831" s="8" t="inlineStr">
        <is>
          <t>U</t>
        </is>
      </c>
      <c r="K1831" s="36" t="inlineStr">
        <is>
          <t>Class 1-3 / Urban</t>
        </is>
      </c>
      <c r="L1831" s="18" t="n">
        <v>6568</v>
      </c>
      <c r="M1831" s="20" t="n">
        <v>4.62</v>
      </c>
      <c r="N1831" s="18">
        <f>ROUND(L1831/M1831, 0)</f>
        <v/>
      </c>
      <c r="O1831" s="18">
        <f>ROUND(N1831*'Methodology &amp; Assumptions'!$B$8, 0)</f>
        <v/>
      </c>
      <c r="P1831" s="8" t="inlineStr">
        <is>
          <t>Band n50 (1.5 GHz, 60 MHz)</t>
        </is>
      </c>
      <c r="Q1831" s="38">
        <f>ROUNDUP(O1831/'Methodology &amp; Assumptions'!$B$9, 0)</f>
        <v/>
      </c>
      <c r="R1831" s="39" t="n">
        <v>1</v>
      </c>
      <c r="S1831" s="21" t="n">
        <v>2.19</v>
      </c>
      <c r="T1831" s="21" t="n">
        <v>1.79</v>
      </c>
      <c r="U1831" s="36" t="inlineStr">
        <is>
          <t>Tier 1B (Micro Drop, 1-3 km)</t>
        </is>
      </c>
      <c r="V1831" s="20" t="n">
        <v>58.2</v>
      </c>
      <c r="W1831" s="20" t="n">
        <v>100</v>
      </c>
      <c r="X1831" s="20" t="n">
        <v>28</v>
      </c>
      <c r="Y1831" s="40">
        <f>ROUND((V1831*'Methodology &amp; Assumptions'!$B$6)+(W1831*'Methodology &amp; Assumptions'!$B$5)+(X1831*'Methodology &amp; Assumptions'!$B$7), 2)</f>
        <v/>
      </c>
    </row>
    <row r="1832" ht="19" customHeight="1">
      <c r="A1832" s="41" t="n">
        <v>828</v>
      </c>
      <c r="B1832" s="41" t="n">
        <v>4828</v>
      </c>
      <c r="C1832" s="42" t="inlineStr">
        <is>
          <t>0105504021</t>
        </is>
      </c>
      <c r="D1832" s="42" t="inlineStr">
        <is>
          <t>Region I (Ilocos Region)</t>
        </is>
      </c>
      <c r="E1832" s="42" t="inlineStr">
        <is>
          <t>Pangasinan</t>
        </is>
      </c>
      <c r="F1832" s="42" t="inlineStr">
        <is>
          <t>Alcala</t>
        </is>
      </c>
      <c r="G1832" s="42" t="inlineStr">
        <is>
          <t>San Vicente</t>
        </is>
      </c>
      <c r="H1832" s="43" t="n">
        <v>15.843851</v>
      </c>
      <c r="I1832" s="43" t="n">
        <v>120.508962</v>
      </c>
      <c r="J1832" s="44" t="inlineStr">
        <is>
          <t>R</t>
        </is>
      </c>
      <c r="K1832" s="42" t="inlineStr">
        <is>
          <t>Class 1-3 / Urban</t>
        </is>
      </c>
      <c r="L1832" s="23" t="n">
        <v>4383</v>
      </c>
      <c r="M1832" s="24" t="n">
        <v>4.39</v>
      </c>
      <c r="N1832" s="23">
        <f>ROUND(L1832/M1832, 0)</f>
        <v/>
      </c>
      <c r="O1832" s="23">
        <f>ROUND(N1832*'Methodology &amp; Assumptions'!$B$8, 0)</f>
        <v/>
      </c>
      <c r="P1832" s="44" t="inlineStr">
        <is>
          <t>Band n50 (1.5 GHz, 60 MHz)</t>
        </is>
      </c>
      <c r="Q1832" s="38">
        <f>ROUNDUP(O1832/'Methodology &amp; Assumptions'!$B$9, 0)</f>
        <v/>
      </c>
      <c r="R1832" s="39" t="n">
        <v>1</v>
      </c>
      <c r="S1832" s="25" t="n">
        <v>3.38</v>
      </c>
      <c r="T1832" s="25" t="n">
        <v>5.83</v>
      </c>
      <c r="U1832" s="42" t="inlineStr">
        <is>
          <t>Tier 2 (Fiber Corridor / Lateral, 3-5 km)</t>
        </is>
      </c>
      <c r="V1832" s="24" t="n">
        <v>32.4</v>
      </c>
      <c r="W1832" s="24" t="n">
        <v>100</v>
      </c>
      <c r="X1832" s="24" t="n">
        <v>58</v>
      </c>
      <c r="Y1832" s="45">
        <f>ROUND((V1832*'Methodology &amp; Assumptions'!$B$6)+(W1832*'Methodology &amp; Assumptions'!$B$5)+(X1832*'Methodology &amp; Assumptions'!$B$7), 2)</f>
        <v/>
      </c>
    </row>
    <row r="1833" ht="19" customHeight="1">
      <c r="A1833" s="35" t="n">
        <v>829</v>
      </c>
      <c r="B1833" s="35" t="n">
        <v>4829</v>
      </c>
      <c r="C1833" s="36" t="inlineStr">
        <is>
          <t>0506209019</t>
        </is>
      </c>
      <c r="D1833" s="36" t="inlineStr">
        <is>
          <t>Region V (Bicol Region)</t>
        </is>
      </c>
      <c r="E1833" s="36" t="inlineStr">
        <is>
          <t>Sorsogon</t>
        </is>
      </c>
      <c r="F1833" s="36" t="inlineStr">
        <is>
          <t>Irosin</t>
        </is>
      </c>
      <c r="G1833" s="36" t="inlineStr">
        <is>
          <t>Patag</t>
        </is>
      </c>
      <c r="H1833" s="37" t="n">
        <v>12.716022</v>
      </c>
      <c r="I1833" s="37" t="n">
        <v>124.057303</v>
      </c>
      <c r="J1833" s="8" t="inlineStr">
        <is>
          <t>R</t>
        </is>
      </c>
      <c r="K1833" s="36" t="inlineStr">
        <is>
          <t>Class 1-3 / Urban</t>
        </is>
      </c>
      <c r="L1833" s="18" t="n">
        <v>3392</v>
      </c>
      <c r="M1833" s="20" t="n">
        <v>4.58</v>
      </c>
      <c r="N1833" s="18">
        <f>ROUND(L1833/M1833, 0)</f>
        <v/>
      </c>
      <c r="O1833" s="18">
        <f>ROUND(N1833*'Methodology &amp; Assumptions'!$B$8, 0)</f>
        <v/>
      </c>
      <c r="P1833" s="8" t="inlineStr">
        <is>
          <t>Band n50 (1.5 GHz, 60 MHz)</t>
        </is>
      </c>
      <c r="Q1833" s="38">
        <f>ROUNDUP(O1833/'Methodology &amp; Assumptions'!$B$9, 0)</f>
        <v/>
      </c>
      <c r="R1833" s="39" t="n">
        <v>1</v>
      </c>
      <c r="S1833" s="21" t="n">
        <v>2.81</v>
      </c>
      <c r="T1833" s="21" t="n">
        <v>0.05</v>
      </c>
      <c r="U1833" s="36" t="inlineStr">
        <is>
          <t>Tier 1B (Micro Drop, 1-3 km)</t>
        </is>
      </c>
      <c r="V1833" s="20" t="n">
        <v>49.2</v>
      </c>
      <c r="W1833" s="20" t="n">
        <v>83.2</v>
      </c>
      <c r="X1833" s="20" t="n">
        <v>58</v>
      </c>
      <c r="Y1833" s="40">
        <f>ROUND((V1833*'Methodology &amp; Assumptions'!$B$6)+(W1833*'Methodology &amp; Assumptions'!$B$5)+(X1833*'Methodology &amp; Assumptions'!$B$7), 2)</f>
        <v/>
      </c>
    </row>
    <row r="1834" ht="19" customHeight="1">
      <c r="A1834" s="41" t="n">
        <v>830</v>
      </c>
      <c r="B1834" s="41" t="n">
        <v>4830</v>
      </c>
      <c r="C1834" s="42" t="inlineStr">
        <is>
          <t>0301407012</t>
        </is>
      </c>
      <c r="D1834" s="42" t="inlineStr">
        <is>
          <t>Region III (Central Luzon)</t>
        </is>
      </c>
      <c r="E1834" s="42" t="inlineStr">
        <is>
          <t>Bulacan</t>
        </is>
      </c>
      <c r="F1834" s="42" t="inlineStr">
        <is>
          <t>Calumpit</t>
        </is>
      </c>
      <c r="G1834" s="42" t="inlineStr">
        <is>
          <t>Gugo</t>
        </is>
      </c>
      <c r="H1834" s="43" t="n">
        <v>14.901365</v>
      </c>
      <c r="I1834" s="43" t="n">
        <v>120.754662</v>
      </c>
      <c r="J1834" s="44" t="inlineStr">
        <is>
          <t>R</t>
        </is>
      </c>
      <c r="K1834" s="42" t="inlineStr">
        <is>
          <t>Class 1-3 / Urban</t>
        </is>
      </c>
      <c r="L1834" s="23" t="n">
        <v>1960</v>
      </c>
      <c r="M1834" s="24" t="n">
        <v>4.1</v>
      </c>
      <c r="N1834" s="23">
        <f>ROUND(L1834/M1834, 0)</f>
        <v/>
      </c>
      <c r="O1834" s="23">
        <f>ROUND(N1834*'Methodology &amp; Assumptions'!$B$8, 0)</f>
        <v/>
      </c>
      <c r="P1834" s="44" t="inlineStr">
        <is>
          <t>Band n50 (1.5 GHz, 60 MHz)</t>
        </is>
      </c>
      <c r="Q1834" s="38">
        <f>ROUNDUP(O1834/'Methodology &amp; Assumptions'!$B$9, 0)</f>
        <v/>
      </c>
      <c r="R1834" s="39" t="n">
        <v>1</v>
      </c>
      <c r="S1834" s="25" t="n">
        <v>1.52</v>
      </c>
      <c r="T1834" s="25" t="n">
        <v>1.19</v>
      </c>
      <c r="U1834" s="42" t="inlineStr">
        <is>
          <t>Tier 1B (Micro Drop, 1-3 km)</t>
        </is>
      </c>
      <c r="V1834" s="24" t="n">
        <v>70.3</v>
      </c>
      <c r="W1834" s="24" t="n">
        <v>62.1</v>
      </c>
      <c r="X1834" s="24" t="n">
        <v>58</v>
      </c>
      <c r="Y1834" s="45">
        <f>ROUND((V1834*'Methodology &amp; Assumptions'!$B$6)+(W1834*'Methodology &amp; Assumptions'!$B$5)+(X1834*'Methodology &amp; Assumptions'!$B$7), 2)</f>
        <v/>
      </c>
    </row>
    <row r="1835" ht="19" customHeight="1">
      <c r="A1835" s="35" t="n">
        <v>831</v>
      </c>
      <c r="B1835" s="35" t="n">
        <v>4831</v>
      </c>
      <c r="C1835" s="36" t="inlineStr">
        <is>
          <t>0105511077</t>
        </is>
      </c>
      <c r="D1835" s="36" t="inlineStr">
        <is>
          <t>Region I (Ilocos Region)</t>
        </is>
      </c>
      <c r="E1835" s="36" t="inlineStr">
        <is>
          <t>Pangasinan</t>
        </is>
      </c>
      <c r="F1835" s="36" t="inlineStr">
        <is>
          <t>Bayambang</t>
        </is>
      </c>
      <c r="G1835" s="36" t="inlineStr">
        <is>
          <t>Zone V</t>
        </is>
      </c>
      <c r="H1835" s="37" t="n">
        <v>15.824586</v>
      </c>
      <c r="I1835" s="37" t="n">
        <v>120.458215</v>
      </c>
      <c r="J1835" s="8" t="inlineStr">
        <is>
          <t>R</t>
        </is>
      </c>
      <c r="K1835" s="36" t="inlineStr">
        <is>
          <t>Class 1-3 / Urban</t>
        </is>
      </c>
      <c r="L1835" s="18" t="n">
        <v>1453</v>
      </c>
      <c r="M1835" s="20" t="n">
        <v>4.39</v>
      </c>
      <c r="N1835" s="18">
        <f>ROUND(L1835/M1835, 0)</f>
        <v/>
      </c>
      <c r="O1835" s="18">
        <f>ROUND(N1835*'Methodology &amp; Assumptions'!$B$8, 0)</f>
        <v/>
      </c>
      <c r="P1835" s="8" t="inlineStr">
        <is>
          <t>Band n50 (1.5 GHz, 60 MHz)</t>
        </is>
      </c>
      <c r="Q1835" s="38">
        <f>ROUNDUP(O1835/'Methodology &amp; Assumptions'!$B$9, 0)</f>
        <v/>
      </c>
      <c r="R1835" s="39" t="n">
        <v>1</v>
      </c>
      <c r="S1835" s="21" t="n">
        <v>0.98</v>
      </c>
      <c r="T1835" s="21" t="n">
        <v>0.25</v>
      </c>
      <c r="U1835" s="36" t="inlineStr">
        <is>
          <t>Tier 1A (Direct Coloc, &lt;1 km)</t>
        </is>
      </c>
      <c r="V1835" s="20" t="n">
        <v>82.09999999999999</v>
      </c>
      <c r="W1835" s="20" t="n">
        <v>50.4</v>
      </c>
      <c r="X1835" s="20" t="n">
        <v>58</v>
      </c>
      <c r="Y1835" s="40">
        <f>ROUND((V1835*'Methodology &amp; Assumptions'!$B$6)+(W1835*'Methodology &amp; Assumptions'!$B$5)+(X1835*'Methodology &amp; Assumptions'!$B$7), 2)</f>
        <v/>
      </c>
    </row>
    <row r="1836" ht="19" customHeight="1">
      <c r="A1836" s="41" t="n">
        <v>832</v>
      </c>
      <c r="B1836" s="41" t="n">
        <v>4832</v>
      </c>
      <c r="C1836" s="42" t="inlineStr">
        <is>
          <t>0803708064</t>
        </is>
      </c>
      <c r="D1836" s="42" t="inlineStr">
        <is>
          <t>Region VIII (Eastern Visayas)</t>
        </is>
      </c>
      <c r="E1836" s="42" t="inlineStr">
        <is>
          <t>Leyte</t>
        </is>
      </c>
      <c r="F1836" s="42" t="inlineStr">
        <is>
          <t>City of Baybay</t>
        </is>
      </c>
      <c r="G1836" s="42" t="inlineStr">
        <is>
          <t>Poblacion Zone 8</t>
        </is>
      </c>
      <c r="H1836" s="43" t="n">
        <v>10.680026</v>
      </c>
      <c r="I1836" s="43" t="n">
        <v>124.797676</v>
      </c>
      <c r="J1836" s="44" t="inlineStr">
        <is>
          <t>R</t>
        </is>
      </c>
      <c r="K1836" s="42" t="inlineStr">
        <is>
          <t>Class 1-3 / Urban</t>
        </is>
      </c>
      <c r="L1836" s="23" t="n">
        <v>649</v>
      </c>
      <c r="M1836" s="24" t="n">
        <v>4.24</v>
      </c>
      <c r="N1836" s="23">
        <f>ROUND(L1836/M1836, 0)</f>
        <v/>
      </c>
      <c r="O1836" s="23">
        <f>ROUND(N1836*'Methodology &amp; Assumptions'!$B$8, 0)</f>
        <v/>
      </c>
      <c r="P1836" s="44" t="inlineStr">
        <is>
          <t>Band n50 (1.5 GHz, 60 MHz)</t>
        </is>
      </c>
      <c r="Q1836" s="38">
        <f>ROUNDUP(O1836/'Methodology &amp; Assumptions'!$B$9, 0)</f>
        <v/>
      </c>
      <c r="R1836" s="39" t="n">
        <v>1</v>
      </c>
      <c r="S1836" s="25" t="n">
        <v>0.45</v>
      </c>
      <c r="T1836" s="25" t="n">
        <v>0.22</v>
      </c>
      <c r="U1836" s="42" t="inlineStr">
        <is>
          <t>Tier 1A (Direct Coloc, &lt;1 km)</t>
        </is>
      </c>
      <c r="V1836" s="24" t="n">
        <v>96.2</v>
      </c>
      <c r="W1836" s="24" t="n">
        <v>36.3</v>
      </c>
      <c r="X1836" s="24" t="n">
        <v>58</v>
      </c>
      <c r="Y1836" s="45">
        <f>ROUND((V1836*'Methodology &amp; Assumptions'!$B$6)+(W1836*'Methodology &amp; Assumptions'!$B$5)+(X1836*'Methodology &amp; Assumptions'!$B$7), 2)</f>
        <v/>
      </c>
    </row>
    <row r="1837" ht="19" customHeight="1">
      <c r="A1837" s="35" t="n">
        <v>833</v>
      </c>
      <c r="B1837" s="35" t="n">
        <v>4833</v>
      </c>
      <c r="C1837" s="36" t="inlineStr">
        <is>
          <t>0504121019</t>
        </is>
      </c>
      <c r="D1837" s="36" t="inlineStr">
        <is>
          <t>Region V (Bicol Region)</t>
        </is>
      </c>
      <c r="E1837" s="36" t="inlineStr">
        <is>
          <t>Masbate</t>
        </is>
      </c>
      <c r="F1837" s="36" t="inlineStr">
        <is>
          <t>Uson</t>
        </is>
      </c>
      <c r="G1837" s="36" t="inlineStr">
        <is>
          <t>Marcella</t>
        </is>
      </c>
      <c r="H1837" s="37" t="n">
        <v>12.244233</v>
      </c>
      <c r="I1837" s="37" t="n">
        <v>123.750969</v>
      </c>
      <c r="J1837" s="8" t="inlineStr">
        <is>
          <t>R</t>
        </is>
      </c>
      <c r="K1837" s="36" t="inlineStr">
        <is>
          <t>Class 1-3 / Urban</t>
        </is>
      </c>
      <c r="L1837" s="18" t="n">
        <v>2118</v>
      </c>
      <c r="M1837" s="20" t="n">
        <v>4.6</v>
      </c>
      <c r="N1837" s="18">
        <f>ROUND(L1837/M1837, 0)</f>
        <v/>
      </c>
      <c r="O1837" s="18">
        <f>ROUND(N1837*'Methodology &amp; Assumptions'!$B$8, 0)</f>
        <v/>
      </c>
      <c r="P1837" s="8" t="inlineStr">
        <is>
          <t>Band n50 (1.5 GHz, 60 MHz)</t>
        </is>
      </c>
      <c r="Q1837" s="38">
        <f>ROUNDUP(O1837/'Methodology &amp; Assumptions'!$B$9, 0)</f>
        <v/>
      </c>
      <c r="R1837" s="39" t="n">
        <v>1</v>
      </c>
      <c r="S1837" s="21" t="n">
        <v>1</v>
      </c>
      <c r="T1837" s="21" t="n">
        <v>18.89</v>
      </c>
      <c r="U1837" s="36" t="inlineStr">
        <is>
          <t>Tier 1B (Micro Drop, 1-3 km)</t>
        </is>
      </c>
      <c r="V1837" s="20" t="n">
        <v>71.59999999999999</v>
      </c>
      <c r="W1837" s="20" t="n">
        <v>60.8</v>
      </c>
      <c r="X1837" s="20" t="n">
        <v>58</v>
      </c>
      <c r="Y1837" s="40">
        <f>ROUND((V1837*'Methodology &amp; Assumptions'!$B$6)+(W1837*'Methodology &amp; Assumptions'!$B$5)+(X1837*'Methodology &amp; Assumptions'!$B$7), 2)</f>
        <v/>
      </c>
    </row>
    <row r="1838" ht="19" customHeight="1">
      <c r="A1838" s="41" t="n">
        <v>834</v>
      </c>
      <c r="B1838" s="41" t="n">
        <v>4834</v>
      </c>
      <c r="C1838" s="42" t="inlineStr">
        <is>
          <t>0402102020</t>
        </is>
      </c>
      <c r="D1838" s="42" t="inlineStr">
        <is>
          <t>Region IV-A (CALABARZON)</t>
        </is>
      </c>
      <c r="E1838" s="42" t="inlineStr">
        <is>
          <t>Cavite</t>
        </is>
      </c>
      <c r="F1838" s="42" t="inlineStr">
        <is>
          <t>Amadeo</t>
        </is>
      </c>
      <c r="G1838" s="42" t="inlineStr">
        <is>
          <t>Barangay VII</t>
        </is>
      </c>
      <c r="H1838" s="43" t="n">
        <v>14.170708</v>
      </c>
      <c r="I1838" s="43" t="n">
        <v>120.923554</v>
      </c>
      <c r="J1838" s="44" t="inlineStr">
        <is>
          <t>R</t>
        </is>
      </c>
      <c r="K1838" s="42" t="inlineStr">
        <is>
          <t>2nd</t>
        </is>
      </c>
      <c r="L1838" s="23" t="n">
        <v>482</v>
      </c>
      <c r="M1838" s="24" t="n">
        <v>4.23</v>
      </c>
      <c r="N1838" s="23">
        <f>ROUND(L1838/M1838, 0)</f>
        <v/>
      </c>
      <c r="O1838" s="23">
        <f>ROUND(N1838*'Methodology &amp; Assumptions'!$B$8, 0)</f>
        <v/>
      </c>
      <c r="P1838" s="44" t="inlineStr">
        <is>
          <t>Band n50 (1.5 GHz, 60 MHz)</t>
        </is>
      </c>
      <c r="Q1838" s="38">
        <f>ROUNDUP(O1838/'Methodology &amp; Assumptions'!$B$9, 0)</f>
        <v/>
      </c>
      <c r="R1838" s="39" t="n">
        <v>1</v>
      </c>
      <c r="S1838" s="25" t="n">
        <v>0.02</v>
      </c>
      <c r="T1838" s="25" t="n">
        <v>3.84</v>
      </c>
      <c r="U1838" s="42" t="inlineStr">
        <is>
          <t>Tier 1A (Direct Coloc, &lt;1 km)</t>
        </is>
      </c>
      <c r="V1838" s="24" t="n">
        <v>99.40000000000001</v>
      </c>
      <c r="W1838" s="24" t="n">
        <v>33.1</v>
      </c>
      <c r="X1838" s="24" t="n">
        <v>58</v>
      </c>
      <c r="Y1838" s="45">
        <f>ROUND((V1838*'Methodology &amp; Assumptions'!$B$6)+(W1838*'Methodology &amp; Assumptions'!$B$5)+(X1838*'Methodology &amp; Assumptions'!$B$7), 2)</f>
        <v/>
      </c>
    </row>
    <row r="1839" ht="19" customHeight="1">
      <c r="A1839" s="35" t="n">
        <v>835</v>
      </c>
      <c r="B1839" s="35" t="n">
        <v>4835</v>
      </c>
      <c r="C1839" s="36" t="inlineStr">
        <is>
          <t>0402123026</t>
        </is>
      </c>
      <c r="D1839" s="36" t="inlineStr">
        <is>
          <t>Region IV-A (CALABARZON)</t>
        </is>
      </c>
      <c r="E1839" s="36" t="inlineStr">
        <is>
          <t>Cavite</t>
        </is>
      </c>
      <c r="F1839" s="36" t="inlineStr">
        <is>
          <t>Gen. Mariano Alvarez</t>
        </is>
      </c>
      <c r="G1839" s="36" t="inlineStr">
        <is>
          <t>Severino De Las Alas</t>
        </is>
      </c>
      <c r="H1839" s="37" t="n">
        <v>14.297041</v>
      </c>
      <c r="I1839" s="37" t="n">
        <v>121.002985</v>
      </c>
      <c r="J1839" s="8" t="inlineStr">
        <is>
          <t>U</t>
        </is>
      </c>
      <c r="K1839" s="36" t="inlineStr">
        <is>
          <t>Class 1-3 / Urban</t>
        </is>
      </c>
      <c r="L1839" s="18" t="n">
        <v>7599</v>
      </c>
      <c r="M1839" s="20" t="n">
        <v>4.49</v>
      </c>
      <c r="N1839" s="18">
        <f>ROUND(L1839/M1839, 0)</f>
        <v/>
      </c>
      <c r="O1839" s="18">
        <f>ROUND(N1839*'Methodology &amp; Assumptions'!$B$8, 0)</f>
        <v/>
      </c>
      <c r="P1839" s="8" t="inlineStr">
        <is>
          <t>Band n50 (1.5 GHz, 60 MHz)</t>
        </is>
      </c>
      <c r="Q1839" s="38">
        <f>ROUNDUP(O1839/'Methodology &amp; Assumptions'!$B$9, 0)</f>
        <v/>
      </c>
      <c r="R1839" s="39" t="n">
        <v>1</v>
      </c>
      <c r="S1839" s="21" t="n">
        <v>1.63</v>
      </c>
      <c r="T1839" s="21" t="n">
        <v>4.67</v>
      </c>
      <c r="U1839" s="36" t="inlineStr">
        <is>
          <t>Tier 1B (Micro Drop, 1-3 km)</t>
        </is>
      </c>
      <c r="V1839" s="20" t="n">
        <v>58.2</v>
      </c>
      <c r="W1839" s="20" t="n">
        <v>100</v>
      </c>
      <c r="X1839" s="20" t="n">
        <v>28</v>
      </c>
      <c r="Y1839" s="40">
        <f>ROUND((V1839*'Methodology &amp; Assumptions'!$B$6)+(W1839*'Methodology &amp; Assumptions'!$B$5)+(X1839*'Methodology &amp; Assumptions'!$B$7), 2)</f>
        <v/>
      </c>
    </row>
    <row r="1840" ht="19" customHeight="1">
      <c r="A1840" s="41" t="n">
        <v>836</v>
      </c>
      <c r="B1840" s="41" t="n">
        <v>4836</v>
      </c>
      <c r="C1840" s="42" t="inlineStr">
        <is>
          <t>0803738108</t>
        </is>
      </c>
      <c r="D1840" s="42" t="inlineStr">
        <is>
          <t>Region VIII (Eastern Visayas)</t>
        </is>
      </c>
      <c r="E1840" s="42" t="inlineStr">
        <is>
          <t>Leyte</t>
        </is>
      </c>
      <c r="F1840" s="42" t="inlineStr">
        <is>
          <t>Ormoc City</t>
        </is>
      </c>
      <c r="G1840" s="42" t="inlineStr">
        <is>
          <t>Alta Vista</t>
        </is>
      </c>
      <c r="H1840" s="43" t="n">
        <v>11.012768</v>
      </c>
      <c r="I1840" s="43" t="n">
        <v>124.620977</v>
      </c>
      <c r="J1840" s="44" t="inlineStr">
        <is>
          <t>U</t>
        </is>
      </c>
      <c r="K1840" s="42" t="inlineStr">
        <is>
          <t>Class 1-3 / Urban</t>
        </is>
      </c>
      <c r="L1840" s="23" t="n">
        <v>5209</v>
      </c>
      <c r="M1840" s="24" t="n">
        <v>4.24</v>
      </c>
      <c r="N1840" s="23">
        <f>ROUND(L1840/M1840, 0)</f>
        <v/>
      </c>
      <c r="O1840" s="23">
        <f>ROUND(N1840*'Methodology &amp; Assumptions'!$B$8, 0)</f>
        <v/>
      </c>
      <c r="P1840" s="44" t="inlineStr">
        <is>
          <t>Band n50 (1.5 GHz, 60 MHz)</t>
        </is>
      </c>
      <c r="Q1840" s="38">
        <f>ROUNDUP(O1840/'Methodology &amp; Assumptions'!$B$9, 0)</f>
        <v/>
      </c>
      <c r="R1840" s="39" t="n">
        <v>1</v>
      </c>
      <c r="S1840" s="25" t="n">
        <v>2.19</v>
      </c>
      <c r="T1840" s="25" t="n">
        <v>1.32</v>
      </c>
      <c r="U1840" s="42" t="inlineStr">
        <is>
          <t>Tier 1B (Micro Drop, 1-3 km)</t>
        </is>
      </c>
      <c r="V1840" s="24" t="n">
        <v>58.1</v>
      </c>
      <c r="W1840" s="24" t="n">
        <v>100</v>
      </c>
      <c r="X1840" s="24" t="n">
        <v>28</v>
      </c>
      <c r="Y1840" s="45">
        <f>ROUND((V1840*'Methodology &amp; Assumptions'!$B$6)+(W1840*'Methodology &amp; Assumptions'!$B$5)+(X1840*'Methodology &amp; Assumptions'!$B$7), 2)</f>
        <v/>
      </c>
    </row>
    <row r="1841" ht="19" customHeight="1">
      <c r="A1841" s="35" t="n">
        <v>837</v>
      </c>
      <c r="B1841" s="35" t="n">
        <v>4837</v>
      </c>
      <c r="C1841" s="36" t="inlineStr">
        <is>
          <t>0402120011</t>
        </is>
      </c>
      <c r="D1841" s="36" t="inlineStr">
        <is>
          <t>Region IV-A (CALABARZON)</t>
        </is>
      </c>
      <c r="E1841" s="36" t="inlineStr">
        <is>
          <t>Cavite</t>
        </is>
      </c>
      <c r="F1841" s="36" t="inlineStr">
        <is>
          <t>Tanza</t>
        </is>
      </c>
      <c r="G1841" s="36" t="inlineStr">
        <is>
          <t>Julugan I</t>
        </is>
      </c>
      <c r="H1841" s="37" t="n">
        <v>14.404186</v>
      </c>
      <c r="I1841" s="37" t="n">
        <v>120.842644</v>
      </c>
      <c r="J1841" s="8" t="inlineStr">
        <is>
          <t>U</t>
        </is>
      </c>
      <c r="K1841" s="36" t="inlineStr">
        <is>
          <t>Class 1-3 / Urban</t>
        </is>
      </c>
      <c r="L1841" s="18" t="n">
        <v>5058</v>
      </c>
      <c r="M1841" s="20" t="n">
        <v>4.49</v>
      </c>
      <c r="N1841" s="18">
        <f>ROUND(L1841/M1841, 0)</f>
        <v/>
      </c>
      <c r="O1841" s="18">
        <f>ROUND(N1841*'Methodology &amp; Assumptions'!$B$8, 0)</f>
        <v/>
      </c>
      <c r="P1841" s="8" t="inlineStr">
        <is>
          <t>Band n50 (1.5 GHz, 60 MHz)</t>
        </is>
      </c>
      <c r="Q1841" s="38">
        <f>ROUNDUP(O1841/'Methodology &amp; Assumptions'!$B$9, 0)</f>
        <v/>
      </c>
      <c r="R1841" s="39" t="n">
        <v>1</v>
      </c>
      <c r="S1841" s="21" t="n">
        <v>2.19</v>
      </c>
      <c r="T1841" s="21" t="n">
        <v>1.69</v>
      </c>
      <c r="U1841" s="36" t="inlineStr">
        <is>
          <t>Tier 1B (Micro Drop, 1-3 km)</t>
        </is>
      </c>
      <c r="V1841" s="20" t="n">
        <v>58.1</v>
      </c>
      <c r="W1841" s="20" t="n">
        <v>100</v>
      </c>
      <c r="X1841" s="20" t="n">
        <v>28</v>
      </c>
      <c r="Y1841" s="40">
        <f>ROUND((V1841*'Methodology &amp; Assumptions'!$B$6)+(W1841*'Methodology &amp; Assumptions'!$B$5)+(X1841*'Methodology &amp; Assumptions'!$B$7), 2)</f>
        <v/>
      </c>
    </row>
    <row r="1842" ht="19" customHeight="1">
      <c r="A1842" s="41" t="n">
        <v>838</v>
      </c>
      <c r="B1842" s="41" t="n">
        <v>4838</v>
      </c>
      <c r="C1842" s="42" t="inlineStr">
        <is>
          <t>0401017018</t>
        </is>
      </c>
      <c r="D1842" s="42" t="inlineStr">
        <is>
          <t>Region IV-A (CALABARZON)</t>
        </is>
      </c>
      <c r="E1842" s="42" t="inlineStr">
        <is>
          <t>Batangas</t>
        </is>
      </c>
      <c r="F1842" s="42" t="inlineStr">
        <is>
          <t>Malvar</t>
        </is>
      </c>
      <c r="G1842" s="42" t="inlineStr">
        <is>
          <t>San Pedro I</t>
        </is>
      </c>
      <c r="H1842" s="43" t="n">
        <v>14.053262</v>
      </c>
      <c r="I1842" s="43" t="n">
        <v>121.144809</v>
      </c>
      <c r="J1842" s="44" t="inlineStr">
        <is>
          <t>R</t>
        </is>
      </c>
      <c r="K1842" s="42" t="inlineStr">
        <is>
          <t>Class 1-3 / Urban</t>
        </is>
      </c>
      <c r="L1842" s="23" t="n">
        <v>3771</v>
      </c>
      <c r="M1842" s="24" t="n">
        <v>4.62</v>
      </c>
      <c r="N1842" s="23">
        <f>ROUND(L1842/M1842, 0)</f>
        <v/>
      </c>
      <c r="O1842" s="23">
        <f>ROUND(N1842*'Methodology &amp; Assumptions'!$B$8, 0)</f>
        <v/>
      </c>
      <c r="P1842" s="44" t="inlineStr">
        <is>
          <t>Band n50 (1.5 GHz, 60 MHz)</t>
        </is>
      </c>
      <c r="Q1842" s="38">
        <f>ROUNDUP(O1842/'Methodology &amp; Assumptions'!$B$9, 0)</f>
        <v/>
      </c>
      <c r="R1842" s="39" t="n">
        <v>1</v>
      </c>
      <c r="S1842" s="25" t="n">
        <v>3.32</v>
      </c>
      <c r="T1842" s="25" t="n">
        <v>1.12</v>
      </c>
      <c r="U1842" s="42" t="inlineStr">
        <is>
          <t>Tier 2 (Fiber Corridor / Lateral, 3-5 km)</t>
        </is>
      </c>
      <c r="V1842" s="24" t="n">
        <v>43.1</v>
      </c>
      <c r="W1842" s="24" t="n">
        <v>89.3</v>
      </c>
      <c r="X1842" s="24" t="n">
        <v>58</v>
      </c>
      <c r="Y1842" s="45">
        <f>ROUND((V1842*'Methodology &amp; Assumptions'!$B$6)+(W1842*'Methodology &amp; Assumptions'!$B$5)+(X1842*'Methodology &amp; Assumptions'!$B$7), 2)</f>
        <v/>
      </c>
    </row>
    <row r="1843" ht="19" customHeight="1">
      <c r="A1843" s="35" t="n">
        <v>839</v>
      </c>
      <c r="B1843" s="35" t="n">
        <v>4839</v>
      </c>
      <c r="C1843" s="36" t="inlineStr">
        <is>
          <t>0203106009</t>
        </is>
      </c>
      <c r="D1843" s="36" t="inlineStr">
        <is>
          <t>Region II (Cagayan Valley)</t>
        </is>
      </c>
      <c r="E1843" s="36" t="inlineStr">
        <is>
          <t>Isabela</t>
        </is>
      </c>
      <c r="F1843" s="36" t="inlineStr">
        <is>
          <t>Cabagan</t>
        </is>
      </c>
      <c r="G1843" s="36" t="inlineStr">
        <is>
          <t>Cubag</t>
        </is>
      </c>
      <c r="H1843" s="37" t="n">
        <v>17.416944</v>
      </c>
      <c r="I1843" s="37" t="n">
        <v>121.787959</v>
      </c>
      <c r="J1843" s="8" t="inlineStr">
        <is>
          <t>R</t>
        </is>
      </c>
      <c r="K1843" s="36" t="inlineStr">
        <is>
          <t>Class 1-3 / Urban</t>
        </is>
      </c>
      <c r="L1843" s="18" t="n">
        <v>2620</v>
      </c>
      <c r="M1843" s="20" t="n">
        <v>4.3</v>
      </c>
      <c r="N1843" s="18">
        <f>ROUND(L1843/M1843, 0)</f>
        <v/>
      </c>
      <c r="O1843" s="18">
        <f>ROUND(N1843*'Methodology &amp; Assumptions'!$B$8, 0)</f>
        <v/>
      </c>
      <c r="P1843" s="8" t="inlineStr">
        <is>
          <t>Band n50 (1.5 GHz, 60 MHz)</t>
        </is>
      </c>
      <c r="Q1843" s="38">
        <f>ROUNDUP(O1843/'Methodology &amp; Assumptions'!$B$9, 0)</f>
        <v/>
      </c>
      <c r="R1843" s="39" t="n">
        <v>1</v>
      </c>
      <c r="S1843" s="21" t="n">
        <v>2.1</v>
      </c>
      <c r="T1843" s="21" t="n">
        <v>0.4</v>
      </c>
      <c r="U1843" s="36" t="inlineStr">
        <is>
          <t>Tier 1B (Micro Drop, 1-3 km)</t>
        </is>
      </c>
      <c r="V1843" s="20" t="n">
        <v>59.6</v>
      </c>
      <c r="W1843" s="20" t="n">
        <v>72.8</v>
      </c>
      <c r="X1843" s="20" t="n">
        <v>58</v>
      </c>
      <c r="Y1843" s="40">
        <f>ROUND((V1843*'Methodology &amp; Assumptions'!$B$6)+(W1843*'Methodology &amp; Assumptions'!$B$5)+(X1843*'Methodology &amp; Assumptions'!$B$7), 2)</f>
        <v/>
      </c>
    </row>
    <row r="1844" ht="19" customHeight="1">
      <c r="A1844" s="41" t="n">
        <v>840</v>
      </c>
      <c r="B1844" s="41" t="n">
        <v>4840</v>
      </c>
      <c r="C1844" s="42" t="inlineStr">
        <is>
          <t>0403429005</t>
        </is>
      </c>
      <c r="D1844" s="42" t="inlineStr">
        <is>
          <t>Region IV-A (CALABARZON)</t>
        </is>
      </c>
      <c r="E1844" s="42" t="inlineStr">
        <is>
          <t>Laguna</t>
        </is>
      </c>
      <c r="F1844" s="42" t="inlineStr">
        <is>
          <t>Siniloan</t>
        </is>
      </c>
      <c r="G1844" s="42" t="inlineStr">
        <is>
          <t>Buhay</t>
        </is>
      </c>
      <c r="H1844" s="43" t="n">
        <v>14.428767</v>
      </c>
      <c r="I1844" s="43" t="n">
        <v>121.448367</v>
      </c>
      <c r="J1844" s="44" t="inlineStr">
        <is>
          <t>R</t>
        </is>
      </c>
      <c r="K1844" s="42" t="inlineStr">
        <is>
          <t>Class 1-3 / Urban</t>
        </is>
      </c>
      <c r="L1844" s="23" t="n">
        <v>1110</v>
      </c>
      <c r="M1844" s="24" t="n">
        <v>4.2</v>
      </c>
      <c r="N1844" s="23">
        <f>ROUND(L1844/M1844, 0)</f>
        <v/>
      </c>
      <c r="O1844" s="23">
        <f>ROUND(N1844*'Methodology &amp; Assumptions'!$B$8, 0)</f>
        <v/>
      </c>
      <c r="P1844" s="44" t="inlineStr">
        <is>
          <t>Band n50 (1.5 GHz, 60 MHz)</t>
        </is>
      </c>
      <c r="Q1844" s="38">
        <f>ROUNDUP(O1844/'Methodology &amp; Assumptions'!$B$9, 0)</f>
        <v/>
      </c>
      <c r="R1844" s="39" t="n">
        <v>1</v>
      </c>
      <c r="S1844" s="25" t="n">
        <v>0.77</v>
      </c>
      <c r="T1844" s="25" t="n">
        <v>0.73</v>
      </c>
      <c r="U1844" s="42" t="inlineStr">
        <is>
          <t>Tier 1A (Direct Coloc, &lt;1 km)</t>
        </is>
      </c>
      <c r="V1844" s="24" t="n">
        <v>87.3</v>
      </c>
      <c r="W1844" s="24" t="n">
        <v>45.1</v>
      </c>
      <c r="X1844" s="24" t="n">
        <v>58</v>
      </c>
      <c r="Y1844" s="45">
        <f>ROUND((V1844*'Methodology &amp; Assumptions'!$B$6)+(W1844*'Methodology &amp; Assumptions'!$B$5)+(X1844*'Methodology &amp; Assumptions'!$B$7), 2)</f>
        <v/>
      </c>
    </row>
    <row r="1845" ht="19" customHeight="1">
      <c r="A1845" s="35" t="n">
        <v>841</v>
      </c>
      <c r="B1845" s="35" t="n">
        <v>4841</v>
      </c>
      <c r="C1845" s="36" t="inlineStr">
        <is>
          <t>1731500066</t>
        </is>
      </c>
      <c r="D1845" s="36" t="inlineStr">
        <is>
          <t>MIMAROPA Region</t>
        </is>
      </c>
      <c r="E1845" s="36" t="inlineStr">
        <is>
          <t>Palawan</t>
        </is>
      </c>
      <c r="F1845" s="36" t="inlineStr">
        <is>
          <t>City of Puerto Princesa</t>
        </is>
      </c>
      <c r="G1845" s="36" t="inlineStr">
        <is>
          <t>San Manuel</t>
        </is>
      </c>
      <c r="H1845" s="37" t="n">
        <v>9.779206</v>
      </c>
      <c r="I1845" s="37" t="n">
        <v>118.757593</v>
      </c>
      <c r="J1845" s="8" t="inlineStr">
        <is>
          <t>U</t>
        </is>
      </c>
      <c r="K1845" s="36" t="inlineStr">
        <is>
          <t>Class 1-3 / Urban</t>
        </is>
      </c>
      <c r="L1845" s="18" t="n">
        <v>18509</v>
      </c>
      <c r="M1845" s="20" t="n">
        <v>4.35</v>
      </c>
      <c r="N1845" s="18">
        <f>ROUND(L1845/M1845, 0)</f>
        <v/>
      </c>
      <c r="O1845" s="18">
        <f>ROUND(N1845*'Methodology &amp; Assumptions'!$B$8, 0)</f>
        <v/>
      </c>
      <c r="P1845" s="8" t="inlineStr">
        <is>
          <t>Band n50 (1.5 GHz, 60 MHz)</t>
        </is>
      </c>
      <c r="Q1845" s="38">
        <f>ROUNDUP(O1845/'Methodology &amp; Assumptions'!$B$9, 0)</f>
        <v/>
      </c>
      <c r="R1845" s="39" t="n">
        <v>1</v>
      </c>
      <c r="S1845" s="21" t="n">
        <v>2.11</v>
      </c>
      <c r="T1845" s="21" t="n">
        <v>1.05</v>
      </c>
      <c r="U1845" s="36" t="inlineStr">
        <is>
          <t>Tier 1B (Micro Drop, 1-3 km)</t>
        </is>
      </c>
      <c r="V1845" s="20" t="n">
        <v>59.6</v>
      </c>
      <c r="W1845" s="20" t="n">
        <v>98.5</v>
      </c>
      <c r="X1845" s="20" t="n">
        <v>28</v>
      </c>
      <c r="Y1845" s="40">
        <f>ROUND((V1845*'Methodology &amp; Assumptions'!$B$6)+(W1845*'Methodology &amp; Assumptions'!$B$5)+(X1845*'Methodology &amp; Assumptions'!$B$7), 2)</f>
        <v/>
      </c>
    </row>
    <row r="1846" ht="19" customHeight="1">
      <c r="A1846" s="41" t="n">
        <v>842</v>
      </c>
      <c r="B1846" s="41" t="n">
        <v>4842</v>
      </c>
      <c r="C1846" s="42" t="inlineStr">
        <is>
          <t>0300802007</t>
        </is>
      </c>
      <c r="D1846" s="42" t="inlineStr">
        <is>
          <t>Region III (Central Luzon)</t>
        </is>
      </c>
      <c r="E1846" s="42" t="inlineStr">
        <is>
          <t>Bataan</t>
        </is>
      </c>
      <c r="F1846" s="42" t="inlineStr">
        <is>
          <t>Bagac</t>
        </is>
      </c>
      <c r="G1846" s="42" t="inlineStr">
        <is>
          <t>Ibis</t>
        </is>
      </c>
      <c r="H1846" s="43" t="n">
        <v>14.594281</v>
      </c>
      <c r="I1846" s="43" t="n">
        <v>120.396882</v>
      </c>
      <c r="J1846" s="44" t="inlineStr">
        <is>
          <t>R</t>
        </is>
      </c>
      <c r="K1846" s="42" t="inlineStr">
        <is>
          <t>Class 1-3 / Urban</t>
        </is>
      </c>
      <c r="L1846" s="23" t="n">
        <v>1884</v>
      </c>
      <c r="M1846" s="24" t="n">
        <v>4.57</v>
      </c>
      <c r="N1846" s="23">
        <f>ROUND(L1846/M1846, 0)</f>
        <v/>
      </c>
      <c r="O1846" s="23">
        <f>ROUND(N1846*'Methodology &amp; Assumptions'!$B$8, 0)</f>
        <v/>
      </c>
      <c r="P1846" s="44" t="inlineStr">
        <is>
          <t>Band n50 (1.5 GHz, 60 MHz)</t>
        </is>
      </c>
      <c r="Q1846" s="38">
        <f>ROUNDUP(O1846/'Methodology &amp; Assumptions'!$B$9, 0)</f>
        <v/>
      </c>
      <c r="R1846" s="39" t="n">
        <v>1</v>
      </c>
      <c r="S1846" s="25" t="n">
        <v>1.28</v>
      </c>
      <c r="T1846" s="25" t="n">
        <v>0.23</v>
      </c>
      <c r="U1846" s="42" t="inlineStr">
        <is>
          <t>Tier 1B (Micro Drop, 1-3 km)</t>
        </is>
      </c>
      <c r="V1846" s="24" t="n">
        <v>75.3</v>
      </c>
      <c r="W1846" s="24" t="n">
        <v>57.1</v>
      </c>
      <c r="X1846" s="24" t="n">
        <v>58</v>
      </c>
      <c r="Y1846" s="45">
        <f>ROUND((V1846*'Methodology &amp; Assumptions'!$B$6)+(W1846*'Methodology &amp; Assumptions'!$B$5)+(X1846*'Methodology &amp; Assumptions'!$B$7), 2)</f>
        <v/>
      </c>
    </row>
    <row r="1847" ht="19" customHeight="1">
      <c r="A1847" s="35" t="n">
        <v>843</v>
      </c>
      <c r="B1847" s="35" t="n">
        <v>4843</v>
      </c>
      <c r="C1847" s="36" t="inlineStr">
        <is>
          <t>0600403028</t>
        </is>
      </c>
      <c r="D1847" s="36" t="inlineStr">
        <is>
          <t>Region VI (Western Visayas)</t>
        </is>
      </c>
      <c r="E1847" s="36" t="inlineStr">
        <is>
          <t>Aklan</t>
        </is>
      </c>
      <c r="F1847" s="36" t="inlineStr">
        <is>
          <t>Banga</t>
        </is>
      </c>
      <c r="G1847" s="36" t="inlineStr">
        <is>
          <t>Torralba</t>
        </is>
      </c>
      <c r="H1847" s="37" t="n">
        <v>11.633713</v>
      </c>
      <c r="I1847" s="37" t="n">
        <v>122.351881</v>
      </c>
      <c r="J1847" s="8" t="inlineStr">
        <is>
          <t>R</t>
        </is>
      </c>
      <c r="K1847" s="36" t="inlineStr">
        <is>
          <t>Class 1-3 / Urban</t>
        </is>
      </c>
      <c r="L1847" s="18" t="n">
        <v>1740</v>
      </c>
      <c r="M1847" s="20" t="n">
        <v>4.27</v>
      </c>
      <c r="N1847" s="18">
        <f>ROUND(L1847/M1847, 0)</f>
        <v/>
      </c>
      <c r="O1847" s="18">
        <f>ROUND(N1847*'Methodology &amp; Assumptions'!$B$8, 0)</f>
        <v/>
      </c>
      <c r="P1847" s="8" t="inlineStr">
        <is>
          <t>Band n50 (1.5 GHz, 60 MHz)</t>
        </is>
      </c>
      <c r="Q1847" s="38">
        <f>ROUNDUP(O1847/'Methodology &amp; Assumptions'!$B$9, 0)</f>
        <v/>
      </c>
      <c r="R1847" s="39" t="n">
        <v>1</v>
      </c>
      <c r="S1847" s="21" t="n">
        <v>1.25</v>
      </c>
      <c r="T1847" s="21" t="n">
        <v>1.06</v>
      </c>
      <c r="U1847" s="36" t="inlineStr">
        <is>
          <t>Tier 1B (Micro Drop, 1-3 km)</t>
        </is>
      </c>
      <c r="V1847" s="20" t="n">
        <v>75.8</v>
      </c>
      <c r="W1847" s="20" t="n">
        <v>56.5</v>
      </c>
      <c r="X1847" s="20" t="n">
        <v>58</v>
      </c>
      <c r="Y1847" s="40">
        <f>ROUND((V1847*'Methodology &amp; Assumptions'!$B$6)+(W1847*'Methodology &amp; Assumptions'!$B$5)+(X1847*'Methodology &amp; Assumptions'!$B$7), 2)</f>
        <v/>
      </c>
    </row>
    <row r="1848" ht="19" customHeight="1">
      <c r="A1848" s="41" t="n">
        <v>844</v>
      </c>
      <c r="B1848" s="41" t="n">
        <v>4844</v>
      </c>
      <c r="C1848" s="42" t="inlineStr">
        <is>
          <t>0500505008</t>
        </is>
      </c>
      <c r="D1848" s="42" t="inlineStr">
        <is>
          <t>Region V (Bicol Region)</t>
        </is>
      </c>
      <c r="E1848" s="42" t="inlineStr">
        <is>
          <t>Albay</t>
        </is>
      </c>
      <c r="F1848" s="42" t="inlineStr">
        <is>
          <t>Jovellar</t>
        </is>
      </c>
      <c r="G1848" s="42" t="inlineStr">
        <is>
          <t>Calzada Pob.</t>
        </is>
      </c>
      <c r="H1848" s="43" t="n">
        <v>13.189021</v>
      </c>
      <c r="I1848" s="43" t="n">
        <v>123.592804</v>
      </c>
      <c r="J1848" s="44" t="inlineStr">
        <is>
          <t>R</t>
        </is>
      </c>
      <c r="K1848" s="42" t="inlineStr">
        <is>
          <t>4th</t>
        </is>
      </c>
      <c r="L1848" s="23" t="n">
        <v>532</v>
      </c>
      <c r="M1848" s="24" t="n">
        <v>4.54</v>
      </c>
      <c r="N1848" s="23">
        <f>ROUND(L1848/M1848, 0)</f>
        <v/>
      </c>
      <c r="O1848" s="23">
        <f>ROUND(N1848*'Methodology &amp; Assumptions'!$B$8, 0)</f>
        <v/>
      </c>
      <c r="P1848" s="44" t="inlineStr">
        <is>
          <t>Band n50 (1.5 GHz, 60 MHz)</t>
        </is>
      </c>
      <c r="Q1848" s="38">
        <f>ROUNDUP(O1848/'Methodology &amp; Assumptions'!$B$9, 0)</f>
        <v/>
      </c>
      <c r="R1848" s="39" t="n">
        <v>1</v>
      </c>
      <c r="S1848" s="25" t="n">
        <v>1.19</v>
      </c>
      <c r="T1848" s="25" t="n">
        <v>0.72</v>
      </c>
      <c r="U1848" s="42" t="inlineStr">
        <is>
          <t>Tier 1B (Micro Drop, 1-3 km)</t>
        </is>
      </c>
      <c r="V1848" s="24" t="n">
        <v>77.2</v>
      </c>
      <c r="W1848" s="24" t="n">
        <v>33.3</v>
      </c>
      <c r="X1848" s="24" t="n">
        <v>83.5</v>
      </c>
      <c r="Y1848" s="45">
        <f>ROUND((V1848*'Methodology &amp; Assumptions'!$B$6)+(W1848*'Methodology &amp; Assumptions'!$B$5)+(X1848*'Methodology &amp; Assumptions'!$B$7), 2)</f>
        <v/>
      </c>
    </row>
    <row r="1849" ht="19" customHeight="1">
      <c r="A1849" s="35" t="n">
        <v>845</v>
      </c>
      <c r="B1849" s="35" t="n">
        <v>4845</v>
      </c>
      <c r="C1849" s="36" t="inlineStr">
        <is>
          <t>1102401017</t>
        </is>
      </c>
      <c r="D1849" s="36" t="inlineStr">
        <is>
          <t>Region XI (Davao Region)</t>
        </is>
      </c>
      <c r="E1849" s="36" t="inlineStr">
        <is>
          <t>Davao del Sur</t>
        </is>
      </c>
      <c r="F1849" s="36" t="inlineStr">
        <is>
          <t>Bansalan</t>
        </is>
      </c>
      <c r="G1849" s="36" t="inlineStr">
        <is>
          <t>New Clarin</t>
        </is>
      </c>
      <c r="H1849" s="37" t="n">
        <v>6.744016</v>
      </c>
      <c r="I1849" s="37" t="n">
        <v>125.206604</v>
      </c>
      <c r="J1849" s="8" t="inlineStr">
        <is>
          <t>R</t>
        </is>
      </c>
      <c r="K1849" s="36" t="inlineStr">
        <is>
          <t>Class 1-3 / Urban</t>
        </is>
      </c>
      <c r="L1849" s="18" t="n">
        <v>4515</v>
      </c>
      <c r="M1849" s="20" t="n">
        <v>4.1</v>
      </c>
      <c r="N1849" s="18">
        <f>ROUND(L1849/M1849, 0)</f>
        <v/>
      </c>
      <c r="O1849" s="18">
        <f>ROUND(N1849*'Methodology &amp; Assumptions'!$B$8, 0)</f>
        <v/>
      </c>
      <c r="P1849" s="8" t="inlineStr">
        <is>
          <t>Band n50 (1.5 GHz, 60 MHz)</t>
        </is>
      </c>
      <c r="Q1849" s="38">
        <f>ROUNDUP(O1849/'Methodology &amp; Assumptions'!$B$9, 0)</f>
        <v/>
      </c>
      <c r="R1849" s="39" t="n">
        <v>1</v>
      </c>
      <c r="S1849" s="21" t="n">
        <v>4.91</v>
      </c>
      <c r="T1849" s="21" t="n">
        <v>14.11</v>
      </c>
      <c r="U1849" s="36" t="inlineStr">
        <is>
          <t>Tier 2 (Fiber Corridor / Lateral, 3-5 km)</t>
        </is>
      </c>
      <c r="V1849" s="20" t="n">
        <v>19.5</v>
      </c>
      <c r="W1849" s="20" t="n">
        <v>100</v>
      </c>
      <c r="X1849" s="20" t="n">
        <v>73</v>
      </c>
      <c r="Y1849" s="40">
        <f>ROUND((V1849*'Methodology &amp; Assumptions'!$B$6)+(W1849*'Methodology &amp; Assumptions'!$B$5)+(X1849*'Methodology &amp; Assumptions'!$B$7), 2)</f>
        <v/>
      </c>
    </row>
    <row r="1850" ht="19" customHeight="1">
      <c r="A1850" s="41" t="n">
        <v>846</v>
      </c>
      <c r="B1850" s="41" t="n">
        <v>4846</v>
      </c>
      <c r="C1850" s="42" t="inlineStr">
        <is>
          <t>0402120031</t>
        </is>
      </c>
      <c r="D1850" s="42" t="inlineStr">
        <is>
          <t>Region IV-A (CALABARZON)</t>
        </is>
      </c>
      <c r="E1850" s="42" t="inlineStr">
        <is>
          <t>Cavite</t>
        </is>
      </c>
      <c r="F1850" s="42" t="inlineStr">
        <is>
          <t>Tanza</t>
        </is>
      </c>
      <c r="G1850" s="42" t="inlineStr">
        <is>
          <t>Amaya V</t>
        </is>
      </c>
      <c r="H1850" s="43" t="n">
        <v>14.390027</v>
      </c>
      <c r="I1850" s="43" t="n">
        <v>120.829042</v>
      </c>
      <c r="J1850" s="44" t="inlineStr">
        <is>
          <t>R</t>
        </is>
      </c>
      <c r="K1850" s="42" t="inlineStr">
        <is>
          <t>Class 1-3 / Urban</t>
        </is>
      </c>
      <c r="L1850" s="23" t="n">
        <v>2934</v>
      </c>
      <c r="M1850" s="24" t="n">
        <v>4.49</v>
      </c>
      <c r="N1850" s="23">
        <f>ROUND(L1850/M1850, 0)</f>
        <v/>
      </c>
      <c r="O1850" s="23">
        <f>ROUND(N1850*'Methodology &amp; Assumptions'!$B$8, 0)</f>
        <v/>
      </c>
      <c r="P1850" s="44" t="inlineStr">
        <is>
          <t>Band n50 (1.5 GHz, 60 MHz)</t>
        </is>
      </c>
      <c r="Q1850" s="38">
        <f>ROUNDUP(O1850/'Methodology &amp; Assumptions'!$B$9, 0)</f>
        <v/>
      </c>
      <c r="R1850" s="39" t="n">
        <v>1</v>
      </c>
      <c r="S1850" s="25" t="n">
        <v>2.32</v>
      </c>
      <c r="T1850" s="25" t="n">
        <v>1.35</v>
      </c>
      <c r="U1850" s="42" t="inlineStr">
        <is>
          <t>Tier 1B (Micro Drop, 1-3 km)</t>
        </is>
      </c>
      <c r="V1850" s="24" t="n">
        <v>56.1</v>
      </c>
      <c r="W1850" s="24" t="n">
        <v>76.3</v>
      </c>
      <c r="X1850" s="24" t="n">
        <v>58</v>
      </c>
      <c r="Y1850" s="45">
        <f>ROUND((V1850*'Methodology &amp; Assumptions'!$B$6)+(W1850*'Methodology &amp; Assumptions'!$B$5)+(X1850*'Methodology &amp; Assumptions'!$B$7), 2)</f>
        <v/>
      </c>
    </row>
    <row r="1851" ht="19" customHeight="1">
      <c r="A1851" s="35" t="n">
        <v>847</v>
      </c>
      <c r="B1851" s="35" t="n">
        <v>4847</v>
      </c>
      <c r="C1851" s="36" t="inlineStr">
        <is>
          <t>0501715010</t>
        </is>
      </c>
      <c r="D1851" s="36" t="inlineStr">
        <is>
          <t>Region V (Bicol Region)</t>
        </is>
      </c>
      <c r="E1851" s="36" t="inlineStr">
        <is>
          <t>Camarines Sur</t>
        </is>
      </c>
      <c r="F1851" s="36" t="inlineStr">
        <is>
          <t>Goa</t>
        </is>
      </c>
      <c r="G1851" s="36" t="inlineStr">
        <is>
          <t>Gimaga</t>
        </is>
      </c>
      <c r="H1851" s="37" t="n">
        <v>13.703402</v>
      </c>
      <c r="I1851" s="37" t="n">
        <v>123.476683</v>
      </c>
      <c r="J1851" s="8" t="inlineStr">
        <is>
          <t>R</t>
        </is>
      </c>
      <c r="K1851" s="36" t="inlineStr">
        <is>
          <t>Class 1-3 / Urban</t>
        </is>
      </c>
      <c r="L1851" s="18" t="n">
        <v>2348</v>
      </c>
      <c r="M1851" s="20" t="n">
        <v>4.9</v>
      </c>
      <c r="N1851" s="18">
        <f>ROUND(L1851/M1851, 0)</f>
        <v/>
      </c>
      <c r="O1851" s="18">
        <f>ROUND(N1851*'Methodology &amp; Assumptions'!$B$8, 0)</f>
        <v/>
      </c>
      <c r="P1851" s="8" t="inlineStr">
        <is>
          <t>Band n50 (1.5 GHz, 60 MHz)</t>
        </is>
      </c>
      <c r="Q1851" s="38">
        <f>ROUNDUP(O1851/'Methodology &amp; Assumptions'!$B$9, 0)</f>
        <v/>
      </c>
      <c r="R1851" s="39" t="n">
        <v>1</v>
      </c>
      <c r="S1851" s="21" t="n">
        <v>1.54</v>
      </c>
      <c r="T1851" s="21" t="n">
        <v>0.86</v>
      </c>
      <c r="U1851" s="36" t="inlineStr">
        <is>
          <t>Tier 1B (Micro Drop, 1-3 km)</t>
        </is>
      </c>
      <c r="V1851" s="20" t="n">
        <v>69.90000000000001</v>
      </c>
      <c r="W1851" s="20" t="n">
        <v>62.4</v>
      </c>
      <c r="X1851" s="20" t="n">
        <v>58</v>
      </c>
      <c r="Y1851" s="40">
        <f>ROUND((V1851*'Methodology &amp; Assumptions'!$B$6)+(W1851*'Methodology &amp; Assumptions'!$B$5)+(X1851*'Methodology &amp; Assumptions'!$B$7), 2)</f>
        <v/>
      </c>
    </row>
    <row r="1852" ht="19" customHeight="1">
      <c r="A1852" s="41" t="n">
        <v>848</v>
      </c>
      <c r="B1852" s="41" t="n">
        <v>4848</v>
      </c>
      <c r="C1852" s="42" t="inlineStr">
        <is>
          <t>0305410019</t>
        </is>
      </c>
      <c r="D1852" s="42" t="inlineStr">
        <is>
          <t>Region III (Central Luzon)</t>
        </is>
      </c>
      <c r="E1852" s="42" t="inlineStr">
        <is>
          <t>Pampanga</t>
        </is>
      </c>
      <c r="F1852" s="42" t="inlineStr">
        <is>
          <t>Macabebe</t>
        </is>
      </c>
      <c r="G1852" s="42" t="inlineStr">
        <is>
          <t>Sta. Maria</t>
        </is>
      </c>
      <c r="H1852" s="43" t="n">
        <v>14.907353</v>
      </c>
      <c r="I1852" s="43" t="n">
        <v>120.691948</v>
      </c>
      <c r="J1852" s="44" t="inlineStr">
        <is>
          <t>U</t>
        </is>
      </c>
      <c r="K1852" s="42" t="inlineStr">
        <is>
          <t>Class 1-3 / Urban</t>
        </is>
      </c>
      <c r="L1852" s="23" t="n">
        <v>5128</v>
      </c>
      <c r="M1852" s="24" t="n">
        <v>4.63</v>
      </c>
      <c r="N1852" s="23">
        <f>ROUND(L1852/M1852, 0)</f>
        <v/>
      </c>
      <c r="O1852" s="23">
        <f>ROUND(N1852*'Methodology &amp; Assumptions'!$B$8, 0)</f>
        <v/>
      </c>
      <c r="P1852" s="44" t="inlineStr">
        <is>
          <t>Band n50 (1.5 GHz, 60 MHz)</t>
        </is>
      </c>
      <c r="Q1852" s="38">
        <f>ROUNDUP(O1852/'Methodology &amp; Assumptions'!$B$9, 0)</f>
        <v/>
      </c>
      <c r="R1852" s="39" t="n">
        <v>1</v>
      </c>
      <c r="S1852" s="25" t="n">
        <v>2.38</v>
      </c>
      <c r="T1852" s="25" t="n">
        <v>3.85</v>
      </c>
      <c r="U1852" s="42" t="inlineStr">
        <is>
          <t>Tier 1B (Micro Drop, 1-3 km)</t>
        </is>
      </c>
      <c r="V1852" s="24" t="n">
        <v>45.2</v>
      </c>
      <c r="W1852" s="24" t="n">
        <v>100</v>
      </c>
      <c r="X1852" s="24" t="n">
        <v>43</v>
      </c>
      <c r="Y1852" s="45">
        <f>ROUND((V1852*'Methodology &amp; Assumptions'!$B$6)+(W1852*'Methodology &amp; Assumptions'!$B$5)+(X1852*'Methodology &amp; Assumptions'!$B$7), 2)</f>
        <v/>
      </c>
    </row>
    <row r="1853" ht="19" customHeight="1">
      <c r="A1853" s="35" t="n">
        <v>849</v>
      </c>
      <c r="B1853" s="35" t="n">
        <v>4849</v>
      </c>
      <c r="C1853" s="36" t="inlineStr">
        <is>
          <t>0305409003</t>
        </is>
      </c>
      <c r="D1853" s="36" t="inlineStr">
        <is>
          <t>Region III (Central Luzon)</t>
        </is>
      </c>
      <c r="E1853" s="36" t="inlineStr">
        <is>
          <t>Pampanga</t>
        </is>
      </c>
      <c r="F1853" s="36" t="inlineStr">
        <is>
          <t>Mabalacat City</t>
        </is>
      </c>
      <c r="G1853" s="36" t="inlineStr">
        <is>
          <t>Bundagul</t>
        </is>
      </c>
      <c r="H1853" s="37" t="n">
        <v>15.228376</v>
      </c>
      <c r="I1853" s="37" t="n">
        <v>120.606919</v>
      </c>
      <c r="J1853" s="8" t="inlineStr">
        <is>
          <t>U</t>
        </is>
      </c>
      <c r="K1853" s="36" t="inlineStr">
        <is>
          <t>Class 1-3 / Urban</t>
        </is>
      </c>
      <c r="L1853" s="18" t="n">
        <v>3885</v>
      </c>
      <c r="M1853" s="20" t="n">
        <v>4.63</v>
      </c>
      <c r="N1853" s="18">
        <f>ROUND(L1853/M1853, 0)</f>
        <v/>
      </c>
      <c r="O1853" s="18">
        <f>ROUND(N1853*'Methodology &amp; Assumptions'!$B$8, 0)</f>
        <v/>
      </c>
      <c r="P1853" s="8" t="inlineStr">
        <is>
          <t>Band n50 (1.5 GHz, 60 MHz)</t>
        </is>
      </c>
      <c r="Q1853" s="38">
        <f>ROUNDUP(O1853/'Methodology &amp; Assumptions'!$B$9, 0)</f>
        <v/>
      </c>
      <c r="R1853" s="39" t="n">
        <v>1</v>
      </c>
      <c r="S1853" s="21" t="n">
        <v>1.69</v>
      </c>
      <c r="T1853" s="21" t="n">
        <v>0.19</v>
      </c>
      <c r="U1853" s="36" t="inlineStr">
        <is>
          <t>Tier 1B (Micro Drop, 1-3 km)</t>
        </is>
      </c>
      <c r="V1853" s="20" t="n">
        <v>66.90000000000001</v>
      </c>
      <c r="W1853" s="20" t="n">
        <v>91.2</v>
      </c>
      <c r="X1853" s="20" t="n">
        <v>28</v>
      </c>
      <c r="Y1853" s="40">
        <f>ROUND((V1853*'Methodology &amp; Assumptions'!$B$6)+(W1853*'Methodology &amp; Assumptions'!$B$5)+(X1853*'Methodology &amp; Assumptions'!$B$7), 2)</f>
        <v/>
      </c>
    </row>
    <row r="1854" ht="19" customHeight="1">
      <c r="A1854" s="41" t="n">
        <v>850</v>
      </c>
      <c r="B1854" s="41" t="n">
        <v>4850</v>
      </c>
      <c r="C1854" s="42" t="inlineStr">
        <is>
          <t>0304917002</t>
        </is>
      </c>
      <c r="D1854" s="42" t="inlineStr">
        <is>
          <t>Region III (Central Luzon)</t>
        </is>
      </c>
      <c r="E1854" s="42" t="inlineStr">
        <is>
          <t>Nueva Ecija</t>
        </is>
      </c>
      <c r="F1854" s="42" t="inlineStr">
        <is>
          <t>Science City of Muñoz</t>
        </is>
      </c>
      <c r="G1854" s="42" t="inlineStr">
        <is>
          <t>Balante</t>
        </is>
      </c>
      <c r="H1854" s="43" t="n">
        <v>15.73053</v>
      </c>
      <c r="I1854" s="43" t="n">
        <v>120.9141</v>
      </c>
      <c r="J1854" s="44" t="inlineStr">
        <is>
          <t>R</t>
        </is>
      </c>
      <c r="K1854" s="42" t="inlineStr">
        <is>
          <t>Class 1-3 / Urban</t>
        </is>
      </c>
      <c r="L1854" s="23" t="n">
        <v>1865</v>
      </c>
      <c r="M1854" s="24" t="n">
        <v>4.32</v>
      </c>
      <c r="N1854" s="23">
        <f>ROUND(L1854/M1854, 0)</f>
        <v/>
      </c>
      <c r="O1854" s="23">
        <f>ROUND(N1854*'Methodology &amp; Assumptions'!$B$8, 0)</f>
        <v/>
      </c>
      <c r="P1854" s="44" t="inlineStr">
        <is>
          <t>Band n50 (1.5 GHz, 60 MHz)</t>
        </is>
      </c>
      <c r="Q1854" s="38">
        <f>ROUNDUP(O1854/'Methodology &amp; Assumptions'!$B$9, 0)</f>
        <v/>
      </c>
      <c r="R1854" s="39" t="n">
        <v>1</v>
      </c>
      <c r="S1854" s="25" t="n">
        <v>2.03</v>
      </c>
      <c r="T1854" s="25" t="n">
        <v>1.26</v>
      </c>
      <c r="U1854" s="42" t="inlineStr">
        <is>
          <t>Tier 1B (Micro Drop, 1-3 km)</t>
        </is>
      </c>
      <c r="V1854" s="24" t="n">
        <v>60.8</v>
      </c>
      <c r="W1854" s="24" t="n">
        <v>58.7</v>
      </c>
      <c r="X1854" s="24" t="n">
        <v>73</v>
      </c>
      <c r="Y1854" s="45">
        <f>ROUND((V1854*'Methodology &amp; Assumptions'!$B$6)+(W1854*'Methodology &amp; Assumptions'!$B$5)+(X1854*'Methodology &amp; Assumptions'!$B$7), 2)</f>
        <v/>
      </c>
    </row>
    <row r="1855" ht="19" customHeight="1">
      <c r="A1855" s="35" t="n">
        <v>851</v>
      </c>
      <c r="B1855" s="35" t="n">
        <v>4851</v>
      </c>
      <c r="C1855" s="36" t="inlineStr">
        <is>
          <t>0405610003</t>
        </is>
      </c>
      <c r="D1855" s="36" t="inlineStr">
        <is>
          <t>Region IV-A (CALABARZON)</t>
        </is>
      </c>
      <c r="E1855" s="36" t="inlineStr">
        <is>
          <t>Quezon</t>
        </is>
      </c>
      <c r="F1855" s="36" t="inlineStr">
        <is>
          <t>Catanauan</t>
        </is>
      </c>
      <c r="G1855" s="36" t="inlineStr">
        <is>
          <t>Barangay 1</t>
        </is>
      </c>
      <c r="H1855" s="37" t="n">
        <v>13.593686</v>
      </c>
      <c r="I1855" s="37" t="n">
        <v>122.318808</v>
      </c>
      <c r="J1855" s="8" t="inlineStr">
        <is>
          <t>R</t>
        </is>
      </c>
      <c r="K1855" s="36" t="inlineStr">
        <is>
          <t>Class 1-3 / Urban</t>
        </is>
      </c>
      <c r="L1855" s="18" t="n">
        <v>1914</v>
      </c>
      <c r="M1855" s="20" t="n">
        <v>4.46</v>
      </c>
      <c r="N1855" s="18">
        <f>ROUND(L1855/M1855, 0)</f>
        <v/>
      </c>
      <c r="O1855" s="18">
        <f>ROUND(N1855*'Methodology &amp; Assumptions'!$B$8, 0)</f>
        <v/>
      </c>
      <c r="P1855" s="8" t="inlineStr">
        <is>
          <t>Band n50 (1.5 GHz, 60 MHz)</t>
        </is>
      </c>
      <c r="Q1855" s="38">
        <f>ROUNDUP(O1855/'Methodology &amp; Assumptions'!$B$9, 0)</f>
        <v/>
      </c>
      <c r="R1855" s="39" t="n">
        <v>1</v>
      </c>
      <c r="S1855" s="21" t="n">
        <v>1.34</v>
      </c>
      <c r="T1855" s="21" t="n">
        <v>0.77</v>
      </c>
      <c r="U1855" s="36" t="inlineStr">
        <is>
          <t>Tier 1B (Micro Drop, 1-3 km)</t>
        </is>
      </c>
      <c r="V1855" s="20" t="n">
        <v>73.90000000000001</v>
      </c>
      <c r="W1855" s="20" t="n">
        <v>58.4</v>
      </c>
      <c r="X1855" s="20" t="n">
        <v>58</v>
      </c>
      <c r="Y1855" s="40">
        <f>ROUND((V1855*'Methodology &amp; Assumptions'!$B$6)+(W1855*'Methodology &amp; Assumptions'!$B$5)+(X1855*'Methodology &amp; Assumptions'!$B$7), 2)</f>
        <v/>
      </c>
    </row>
    <row r="1856" ht="19" customHeight="1">
      <c r="A1856" s="41" t="n">
        <v>852</v>
      </c>
      <c r="B1856" s="41" t="n">
        <v>4852</v>
      </c>
      <c r="C1856" s="42" t="inlineStr">
        <is>
          <t>0403416018</t>
        </is>
      </c>
      <c r="D1856" s="42" t="inlineStr">
        <is>
          <t>Region IV-A (CALABARZON)</t>
        </is>
      </c>
      <c r="E1856" s="42" t="inlineStr">
        <is>
          <t>Laguna</t>
        </is>
      </c>
      <c r="F1856" s="42" t="inlineStr">
        <is>
          <t>Majayjay</t>
        </is>
      </c>
      <c r="G1856" s="42" t="inlineStr">
        <is>
          <t>Ilayang Banga</t>
        </is>
      </c>
      <c r="H1856" s="43" t="n">
        <v>14.145226</v>
      </c>
      <c r="I1856" s="43" t="n">
        <v>121.477591</v>
      </c>
      <c r="J1856" s="44" t="inlineStr">
        <is>
          <t>R</t>
        </is>
      </c>
      <c r="K1856" s="42" t="inlineStr">
        <is>
          <t>3rd</t>
        </is>
      </c>
      <c r="L1856" s="23" t="n">
        <v>1187</v>
      </c>
      <c r="M1856" s="24" t="n">
        <v>4.18</v>
      </c>
      <c r="N1856" s="23">
        <f>ROUND(L1856/M1856, 0)</f>
        <v/>
      </c>
      <c r="O1856" s="23">
        <f>ROUND(N1856*'Methodology &amp; Assumptions'!$B$8, 0)</f>
        <v/>
      </c>
      <c r="P1856" s="44" t="inlineStr">
        <is>
          <t>Band n50 (1.5 GHz, 60 MHz)</t>
        </is>
      </c>
      <c r="Q1856" s="38">
        <f>ROUNDUP(O1856/'Methodology &amp; Assumptions'!$B$9, 0)</f>
        <v/>
      </c>
      <c r="R1856" s="39" t="n">
        <v>1</v>
      </c>
      <c r="S1856" s="25" t="n">
        <v>0.84</v>
      </c>
      <c r="T1856" s="25" t="n">
        <v>0.18</v>
      </c>
      <c r="U1856" s="42" t="inlineStr">
        <is>
          <t>Tier 1A (Direct Coloc, &lt;1 km)</t>
        </is>
      </c>
      <c r="V1856" s="24" t="n">
        <v>85.59999999999999</v>
      </c>
      <c r="W1856" s="24" t="n">
        <v>46.7</v>
      </c>
      <c r="X1856" s="24" t="n">
        <v>58</v>
      </c>
      <c r="Y1856" s="45">
        <f>ROUND((V1856*'Methodology &amp; Assumptions'!$B$6)+(W1856*'Methodology &amp; Assumptions'!$B$5)+(X1856*'Methodology &amp; Assumptions'!$B$7), 2)</f>
        <v/>
      </c>
    </row>
    <row r="1857" ht="19" customHeight="1">
      <c r="A1857" s="35" t="n">
        <v>853</v>
      </c>
      <c r="B1857" s="35" t="n">
        <v>4853</v>
      </c>
      <c r="C1857" s="36" t="inlineStr">
        <is>
          <t>1001321016</t>
        </is>
      </c>
      <c r="D1857" s="36" t="inlineStr">
        <is>
          <t>Region X (Northern Mindanao)</t>
        </is>
      </c>
      <c r="E1857" s="36" t="inlineStr">
        <is>
          <t>Bukidnon</t>
        </is>
      </c>
      <c r="F1857" s="36" t="inlineStr">
        <is>
          <t>City of Valencia</t>
        </is>
      </c>
      <c r="G1857" s="36" t="inlineStr">
        <is>
          <t>Lumbo</t>
        </is>
      </c>
      <c r="H1857" s="37" t="n">
        <v>7.894054</v>
      </c>
      <c r="I1857" s="37" t="n">
        <v>125.075823</v>
      </c>
      <c r="J1857" s="8" t="inlineStr">
        <is>
          <t>U</t>
        </is>
      </c>
      <c r="K1857" s="36" t="inlineStr">
        <is>
          <t>Class 1-3 / Urban</t>
        </is>
      </c>
      <c r="L1857" s="18" t="n">
        <v>18229</v>
      </c>
      <c r="M1857" s="20" t="n">
        <v>4.63</v>
      </c>
      <c r="N1857" s="18">
        <f>ROUND(L1857/M1857, 0)</f>
        <v/>
      </c>
      <c r="O1857" s="18">
        <f>ROUND(N1857*'Methodology &amp; Assumptions'!$B$8, 0)</f>
        <v/>
      </c>
      <c r="P1857" s="8" t="inlineStr">
        <is>
          <t>Band n50 (1.5 GHz, 60 MHz)</t>
        </is>
      </c>
      <c r="Q1857" s="38">
        <f>ROUNDUP(O1857/'Methodology &amp; Assumptions'!$B$9, 0)</f>
        <v/>
      </c>
      <c r="R1857" s="39" t="n">
        <v>1</v>
      </c>
      <c r="S1857" s="21" t="n">
        <v>2.2</v>
      </c>
      <c r="T1857" s="21" t="n">
        <v>0.13</v>
      </c>
      <c r="U1857" s="36" t="inlineStr">
        <is>
          <t>Tier 1B (Micro Drop, 1-3 km)</t>
        </is>
      </c>
      <c r="V1857" s="20" t="n">
        <v>58</v>
      </c>
      <c r="W1857" s="20" t="n">
        <v>100</v>
      </c>
      <c r="X1857" s="20" t="n">
        <v>28</v>
      </c>
      <c r="Y1857" s="40">
        <f>ROUND((V1857*'Methodology &amp; Assumptions'!$B$6)+(W1857*'Methodology &amp; Assumptions'!$B$5)+(X1857*'Methodology &amp; Assumptions'!$B$7), 2)</f>
        <v/>
      </c>
    </row>
    <row r="1858" ht="19" customHeight="1">
      <c r="A1858" s="41" t="n">
        <v>854</v>
      </c>
      <c r="B1858" s="41" t="n">
        <v>4854</v>
      </c>
      <c r="C1858" s="42" t="inlineStr">
        <is>
          <t>0403424050</t>
        </is>
      </c>
      <c r="D1858" s="42" t="inlineStr">
        <is>
          <t>Region IV-A (CALABARZON)</t>
        </is>
      </c>
      <c r="E1858" s="42" t="inlineStr">
        <is>
          <t>Laguna</t>
        </is>
      </c>
      <c r="F1858" s="42" t="inlineStr">
        <is>
          <t>City of San Pablo</t>
        </is>
      </c>
      <c r="G1858" s="42" t="inlineStr">
        <is>
          <t>San Ignacio</t>
        </is>
      </c>
      <c r="H1858" s="43" t="n">
        <v>14.04329</v>
      </c>
      <c r="I1858" s="43" t="n">
        <v>121.341559</v>
      </c>
      <c r="J1858" s="44" t="inlineStr">
        <is>
          <t>U</t>
        </is>
      </c>
      <c r="K1858" s="42" t="inlineStr">
        <is>
          <t>Class 1-3 / Urban</t>
        </is>
      </c>
      <c r="L1858" s="23" t="n">
        <v>6025</v>
      </c>
      <c r="M1858" s="24" t="n">
        <v>4.2</v>
      </c>
      <c r="N1858" s="23">
        <f>ROUND(L1858/M1858, 0)</f>
        <v/>
      </c>
      <c r="O1858" s="23">
        <f>ROUND(N1858*'Methodology &amp; Assumptions'!$B$8, 0)</f>
        <v/>
      </c>
      <c r="P1858" s="44" t="inlineStr">
        <is>
          <t>Band n50 (1.5 GHz, 60 MHz)</t>
        </is>
      </c>
      <c r="Q1858" s="38">
        <f>ROUNDUP(O1858/'Methodology &amp; Assumptions'!$B$9, 0)</f>
        <v/>
      </c>
      <c r="R1858" s="39" t="n">
        <v>1</v>
      </c>
      <c r="S1858" s="25" t="n">
        <v>2.2</v>
      </c>
      <c r="T1858" s="25" t="n">
        <v>0.23</v>
      </c>
      <c r="U1858" s="42" t="inlineStr">
        <is>
          <t>Tier 1B (Micro Drop, 1-3 km)</t>
        </is>
      </c>
      <c r="V1858" s="24" t="n">
        <v>58</v>
      </c>
      <c r="W1858" s="24" t="n">
        <v>100</v>
      </c>
      <c r="X1858" s="24" t="n">
        <v>28</v>
      </c>
      <c r="Y1858" s="45">
        <f>ROUND((V1858*'Methodology &amp; Assumptions'!$B$6)+(W1858*'Methodology &amp; Assumptions'!$B$5)+(X1858*'Methodology &amp; Assumptions'!$B$7), 2)</f>
        <v/>
      </c>
    </row>
    <row r="1859" ht="19" customHeight="1">
      <c r="A1859" s="35" t="n">
        <v>855</v>
      </c>
      <c r="B1859" s="35" t="n">
        <v>4855</v>
      </c>
      <c r="C1859" s="36" t="inlineStr">
        <is>
          <t>1402705013</t>
        </is>
      </c>
      <c r="D1859" s="36" t="inlineStr">
        <is>
          <t>Cordillera Administrative Region (CAR)</t>
        </is>
      </c>
      <c r="E1859" s="36" t="inlineStr">
        <is>
          <t>Ifugao</t>
        </is>
      </c>
      <c r="F1859" s="36" t="inlineStr">
        <is>
          <t>Lamut</t>
        </is>
      </c>
      <c r="G1859" s="36" t="inlineStr">
        <is>
          <t>Poblacion East</t>
        </is>
      </c>
      <c r="H1859" s="37" t="n">
        <v>16.651437</v>
      </c>
      <c r="I1859" s="37" t="n">
        <v>121.223343</v>
      </c>
      <c r="J1859" s="8" t="inlineStr">
        <is>
          <t>R</t>
        </is>
      </c>
      <c r="K1859" s="36" t="inlineStr">
        <is>
          <t>2nd</t>
        </is>
      </c>
      <c r="L1859" s="18" t="n">
        <v>2026</v>
      </c>
      <c r="M1859" s="20" t="n">
        <v>4.51</v>
      </c>
      <c r="N1859" s="18">
        <f>ROUND(L1859/M1859, 0)</f>
        <v/>
      </c>
      <c r="O1859" s="18">
        <f>ROUND(N1859*'Methodology &amp; Assumptions'!$B$8, 0)</f>
        <v/>
      </c>
      <c r="P1859" s="8" t="inlineStr">
        <is>
          <t>Band n50 (1.5 GHz, 60 MHz)</t>
        </is>
      </c>
      <c r="Q1859" s="38">
        <f>ROUNDUP(O1859/'Methodology &amp; Assumptions'!$B$9, 0)</f>
        <v/>
      </c>
      <c r="R1859" s="39" t="n">
        <v>1</v>
      </c>
      <c r="S1859" s="21" t="n">
        <v>1.23</v>
      </c>
      <c r="T1859" s="21" t="n">
        <v>0.27</v>
      </c>
      <c r="U1859" s="36" t="inlineStr">
        <is>
          <t>Tier 1B (Micro Drop, 1-3 km)</t>
        </is>
      </c>
      <c r="V1859" s="20" t="n">
        <v>76.3</v>
      </c>
      <c r="W1859" s="20" t="n">
        <v>56</v>
      </c>
      <c r="X1859" s="20" t="n">
        <v>58</v>
      </c>
      <c r="Y1859" s="40">
        <f>ROUND((V1859*'Methodology &amp; Assumptions'!$B$6)+(W1859*'Methodology &amp; Assumptions'!$B$5)+(X1859*'Methodology &amp; Assumptions'!$B$7), 2)</f>
        <v/>
      </c>
    </row>
    <row r="1860" ht="19" customHeight="1">
      <c r="A1860" s="41" t="n">
        <v>856</v>
      </c>
      <c r="B1860" s="41" t="n">
        <v>4856</v>
      </c>
      <c r="C1860" s="42" t="inlineStr">
        <is>
          <t>0402102014</t>
        </is>
      </c>
      <c r="D1860" s="42" t="inlineStr">
        <is>
          <t>Region IV-A (CALABARZON)</t>
        </is>
      </c>
      <c r="E1860" s="42" t="inlineStr">
        <is>
          <t>Cavite</t>
        </is>
      </c>
      <c r="F1860" s="42" t="inlineStr">
        <is>
          <t>Amadeo</t>
        </is>
      </c>
      <c r="G1860" s="42" t="inlineStr">
        <is>
          <t>Barangay XII</t>
        </is>
      </c>
      <c r="H1860" s="43" t="n">
        <v>14.172922</v>
      </c>
      <c r="I1860" s="43" t="n">
        <v>120.916824</v>
      </c>
      <c r="J1860" s="44" t="inlineStr">
        <is>
          <t>R</t>
        </is>
      </c>
      <c r="K1860" s="42" t="inlineStr">
        <is>
          <t>2nd</t>
        </is>
      </c>
      <c r="L1860" s="23" t="n">
        <v>1607</v>
      </c>
      <c r="M1860" s="24" t="n">
        <v>4.23</v>
      </c>
      <c r="N1860" s="23">
        <f>ROUND(L1860/M1860, 0)</f>
        <v/>
      </c>
      <c r="O1860" s="23">
        <f>ROUND(N1860*'Methodology &amp; Assumptions'!$B$8, 0)</f>
        <v/>
      </c>
      <c r="P1860" s="44" t="inlineStr">
        <is>
          <t>Band n50 (1.5 GHz, 60 MHz)</t>
        </is>
      </c>
      <c r="Q1860" s="38">
        <f>ROUNDUP(O1860/'Methodology &amp; Assumptions'!$B$9, 0)</f>
        <v/>
      </c>
      <c r="R1860" s="39" t="n">
        <v>1</v>
      </c>
      <c r="S1860" s="25" t="n">
        <v>0.75</v>
      </c>
      <c r="T1860" s="25" t="n">
        <v>4.6</v>
      </c>
      <c r="U1860" s="42" t="inlineStr">
        <is>
          <t>Tier 1A (Direct Coloc, &lt;1 km)</t>
        </is>
      </c>
      <c r="V1860" s="24" t="n">
        <v>77.90000000000001</v>
      </c>
      <c r="W1860" s="24" t="n">
        <v>54.4</v>
      </c>
      <c r="X1860" s="24" t="n">
        <v>58</v>
      </c>
      <c r="Y1860" s="45">
        <f>ROUND((V1860*'Methodology &amp; Assumptions'!$B$6)+(W1860*'Methodology &amp; Assumptions'!$B$5)+(X1860*'Methodology &amp; Assumptions'!$B$7), 2)</f>
        <v/>
      </c>
    </row>
    <row r="1861" ht="19" customHeight="1">
      <c r="A1861" s="35" t="n">
        <v>857</v>
      </c>
      <c r="B1861" s="35" t="n">
        <v>4857</v>
      </c>
      <c r="C1861" s="36" t="inlineStr">
        <is>
          <t>0301423013</t>
        </is>
      </c>
      <c r="D1861" s="36" t="inlineStr">
        <is>
          <t>Region III (Central Luzon)</t>
        </is>
      </c>
      <c r="E1861" s="36" t="inlineStr">
        <is>
          <t>Bulacan</t>
        </is>
      </c>
      <c r="F1861" s="36" t="inlineStr">
        <is>
          <t>Santa Maria</t>
        </is>
      </c>
      <c r="G1861" s="36" t="inlineStr">
        <is>
          <t>Mahabang Parang</t>
        </is>
      </c>
      <c r="H1861" s="37" t="n">
        <v>14.790241</v>
      </c>
      <c r="I1861" s="37" t="n">
        <v>120.96239</v>
      </c>
      <c r="J1861" s="8" t="inlineStr">
        <is>
          <t>U</t>
        </is>
      </c>
      <c r="K1861" s="36" t="inlineStr">
        <is>
          <t>Class 1-3 / Urban</t>
        </is>
      </c>
      <c r="L1861" s="18" t="n">
        <v>5140</v>
      </c>
      <c r="M1861" s="20" t="n">
        <v>4.1</v>
      </c>
      <c r="N1861" s="18">
        <f>ROUND(L1861/M1861, 0)</f>
        <v/>
      </c>
      <c r="O1861" s="18">
        <f>ROUND(N1861*'Methodology &amp; Assumptions'!$B$8, 0)</f>
        <v/>
      </c>
      <c r="P1861" s="8" t="inlineStr">
        <is>
          <t>Band n50 (1.5 GHz, 60 MHz)</t>
        </is>
      </c>
      <c r="Q1861" s="38">
        <f>ROUNDUP(O1861/'Methodology &amp; Assumptions'!$B$9, 0)</f>
        <v/>
      </c>
      <c r="R1861" s="39" t="n">
        <v>1</v>
      </c>
      <c r="S1861" s="21" t="n">
        <v>2.2</v>
      </c>
      <c r="T1861" s="21" t="n">
        <v>0.25</v>
      </c>
      <c r="U1861" s="36" t="inlineStr">
        <is>
          <t>Tier 1B (Micro Drop, 1-3 km)</t>
        </is>
      </c>
      <c r="V1861" s="20" t="n">
        <v>58</v>
      </c>
      <c r="W1861" s="20" t="n">
        <v>100</v>
      </c>
      <c r="X1861" s="20" t="n">
        <v>28</v>
      </c>
      <c r="Y1861" s="40">
        <f>ROUND((V1861*'Methodology &amp; Assumptions'!$B$6)+(W1861*'Methodology &amp; Assumptions'!$B$5)+(X1861*'Methodology &amp; Assumptions'!$B$7), 2)</f>
        <v/>
      </c>
    </row>
    <row r="1862" ht="19" customHeight="1">
      <c r="A1862" s="41" t="n">
        <v>858</v>
      </c>
      <c r="B1862" s="41" t="n">
        <v>4858</v>
      </c>
      <c r="C1862" s="42" t="inlineStr">
        <is>
          <t>0600407005</t>
        </is>
      </c>
      <c r="D1862" s="42" t="inlineStr">
        <is>
          <t>Region VI (Western Visayas)</t>
        </is>
      </c>
      <c r="E1862" s="42" t="inlineStr">
        <is>
          <t>Aklan</t>
        </is>
      </c>
      <c r="F1862" s="42" t="inlineStr">
        <is>
          <t>Kalibo</t>
        </is>
      </c>
      <c r="G1862" s="42" t="inlineStr">
        <is>
          <t>Buswang New</t>
        </is>
      </c>
      <c r="H1862" s="43" t="n">
        <v>11.71205</v>
      </c>
      <c r="I1862" s="43" t="n">
        <v>122.380764</v>
      </c>
      <c r="J1862" s="44" t="inlineStr">
        <is>
          <t>U</t>
        </is>
      </c>
      <c r="K1862" s="42" t="inlineStr">
        <is>
          <t>Class 1-3 / Urban</t>
        </is>
      </c>
      <c r="L1862" s="23" t="n">
        <v>11382</v>
      </c>
      <c r="M1862" s="24" t="n">
        <v>4.27</v>
      </c>
      <c r="N1862" s="23">
        <f>ROUND(L1862/M1862, 0)</f>
        <v/>
      </c>
      <c r="O1862" s="23">
        <f>ROUND(N1862*'Methodology &amp; Assumptions'!$B$8, 0)</f>
        <v/>
      </c>
      <c r="P1862" s="44" t="inlineStr">
        <is>
          <t>Band n50 (1.5 GHz, 60 MHz)</t>
        </is>
      </c>
      <c r="Q1862" s="38">
        <f>ROUNDUP(O1862/'Methodology &amp; Assumptions'!$B$9, 0)</f>
        <v/>
      </c>
      <c r="R1862" s="39" t="n">
        <v>1</v>
      </c>
      <c r="S1862" s="25" t="n">
        <v>2.2</v>
      </c>
      <c r="T1862" s="25" t="n">
        <v>1.5</v>
      </c>
      <c r="U1862" s="42" t="inlineStr">
        <is>
          <t>Tier 1B (Micro Drop, 1-3 km)</t>
        </is>
      </c>
      <c r="V1862" s="24" t="n">
        <v>58</v>
      </c>
      <c r="W1862" s="24" t="n">
        <v>100</v>
      </c>
      <c r="X1862" s="24" t="n">
        <v>28</v>
      </c>
      <c r="Y1862" s="45">
        <f>ROUND((V1862*'Methodology &amp; Assumptions'!$B$6)+(W1862*'Methodology &amp; Assumptions'!$B$5)+(X1862*'Methodology &amp; Assumptions'!$B$7), 2)</f>
        <v/>
      </c>
    </row>
    <row r="1863" ht="19" customHeight="1">
      <c r="A1863" s="35" t="n">
        <v>859</v>
      </c>
      <c r="B1863" s="35" t="n">
        <v>4859</v>
      </c>
      <c r="C1863" s="36" t="inlineStr">
        <is>
          <t>0306916069</t>
        </is>
      </c>
      <c r="D1863" s="36" t="inlineStr">
        <is>
          <t>Region III (Central Luzon)</t>
        </is>
      </c>
      <c r="E1863" s="36" t="inlineStr">
        <is>
          <t>Tarlac</t>
        </is>
      </c>
      <c r="F1863" s="36" t="inlineStr">
        <is>
          <t>City of Tarlac</t>
        </is>
      </c>
      <c r="G1863" s="36" t="inlineStr">
        <is>
          <t>San Nicolas</t>
        </is>
      </c>
      <c r="H1863" s="37" t="n">
        <v>15.492519</v>
      </c>
      <c r="I1863" s="37" t="n">
        <v>120.595239</v>
      </c>
      <c r="J1863" s="8" t="inlineStr">
        <is>
          <t>U</t>
        </is>
      </c>
      <c r="K1863" s="36" t="inlineStr">
        <is>
          <t>Class 1-3 / Urban</t>
        </is>
      </c>
      <c r="L1863" s="18" t="n">
        <v>6807</v>
      </c>
      <c r="M1863" s="20" t="n">
        <v>4.3</v>
      </c>
      <c r="N1863" s="18">
        <f>ROUND(L1863/M1863, 0)</f>
        <v/>
      </c>
      <c r="O1863" s="18">
        <f>ROUND(N1863*'Methodology &amp; Assumptions'!$B$8, 0)</f>
        <v/>
      </c>
      <c r="P1863" s="8" t="inlineStr">
        <is>
          <t>Band n50 (1.5 GHz, 60 MHz)</t>
        </is>
      </c>
      <c r="Q1863" s="38">
        <f>ROUNDUP(O1863/'Methodology &amp; Assumptions'!$B$9, 0)</f>
        <v/>
      </c>
      <c r="R1863" s="39" t="n">
        <v>1</v>
      </c>
      <c r="S1863" s="21" t="n">
        <v>2.2</v>
      </c>
      <c r="T1863" s="21" t="n">
        <v>0.21</v>
      </c>
      <c r="U1863" s="36" t="inlineStr">
        <is>
          <t>Tier 1B (Micro Drop, 1-3 km)</t>
        </is>
      </c>
      <c r="V1863" s="20" t="n">
        <v>58</v>
      </c>
      <c r="W1863" s="20" t="n">
        <v>100</v>
      </c>
      <c r="X1863" s="20" t="n">
        <v>28</v>
      </c>
      <c r="Y1863" s="40">
        <f>ROUND((V1863*'Methodology &amp; Assumptions'!$B$6)+(W1863*'Methodology &amp; Assumptions'!$B$5)+(X1863*'Methodology &amp; Assumptions'!$B$7), 2)</f>
        <v/>
      </c>
    </row>
    <row r="1864" ht="19" customHeight="1">
      <c r="A1864" s="41" t="n">
        <v>860</v>
      </c>
      <c r="B1864" s="41" t="n">
        <v>4860</v>
      </c>
      <c r="C1864" s="42" t="inlineStr">
        <is>
          <t>0304916028</t>
        </is>
      </c>
      <c r="D1864" s="42" t="inlineStr">
        <is>
          <t>Region III (Central Luzon)</t>
        </is>
      </c>
      <c r="E1864" s="42" t="inlineStr">
        <is>
          <t>Nueva Ecija</t>
        </is>
      </c>
      <c r="F1864" s="42" t="inlineStr">
        <is>
          <t>Lupao</t>
        </is>
      </c>
      <c r="G1864" s="42" t="inlineStr">
        <is>
          <t>San Antonio Este</t>
        </is>
      </c>
      <c r="H1864" s="43" t="n">
        <v>15.870031</v>
      </c>
      <c r="I1864" s="43" t="n">
        <v>120.896297</v>
      </c>
      <c r="J1864" s="44" t="inlineStr">
        <is>
          <t>R</t>
        </is>
      </c>
      <c r="K1864" s="42" t="inlineStr">
        <is>
          <t>Class 1-3 / Urban</t>
        </is>
      </c>
      <c r="L1864" s="23" t="n">
        <v>2189</v>
      </c>
      <c r="M1864" s="24" t="n">
        <v>4.32</v>
      </c>
      <c r="N1864" s="23">
        <f>ROUND(L1864/M1864, 0)</f>
        <v/>
      </c>
      <c r="O1864" s="23">
        <f>ROUND(N1864*'Methodology &amp; Assumptions'!$B$8, 0)</f>
        <v/>
      </c>
      <c r="P1864" s="44" t="inlineStr">
        <is>
          <t>Band n50 (1.5 GHz, 60 MHz)</t>
        </is>
      </c>
      <c r="Q1864" s="38">
        <f>ROUNDUP(O1864/'Methodology &amp; Assumptions'!$B$9, 0)</f>
        <v/>
      </c>
      <c r="R1864" s="39" t="n">
        <v>1</v>
      </c>
      <c r="S1864" s="25" t="n">
        <v>1.65</v>
      </c>
      <c r="T1864" s="25" t="n">
        <v>0.59</v>
      </c>
      <c r="U1864" s="42" t="inlineStr">
        <is>
          <t>Tier 1B (Micro Drop, 1-3 km)</t>
        </is>
      </c>
      <c r="V1864" s="24" t="n">
        <v>67.7</v>
      </c>
      <c r="W1864" s="24" t="n">
        <v>64.5</v>
      </c>
      <c r="X1864" s="24" t="n">
        <v>58</v>
      </c>
      <c r="Y1864" s="45">
        <f>ROUND((V1864*'Methodology &amp; Assumptions'!$B$6)+(W1864*'Methodology &amp; Assumptions'!$B$5)+(X1864*'Methodology &amp; Assumptions'!$B$7), 2)</f>
        <v/>
      </c>
    </row>
    <row r="1865" ht="19" customHeight="1">
      <c r="A1865" s="35" t="n">
        <v>861</v>
      </c>
      <c r="B1865" s="35" t="n">
        <v>4861</v>
      </c>
      <c r="C1865" s="36" t="inlineStr">
        <is>
          <t>0402118060</t>
        </is>
      </c>
      <c r="D1865" s="36" t="inlineStr">
        <is>
          <t>Region IV-A (CALABARZON)</t>
        </is>
      </c>
      <c r="E1865" s="36" t="inlineStr">
        <is>
          <t>Cavite</t>
        </is>
      </c>
      <c r="F1865" s="36" t="inlineStr">
        <is>
          <t>Silang</t>
        </is>
      </c>
      <c r="G1865" s="36" t="inlineStr">
        <is>
          <t>Narra II</t>
        </is>
      </c>
      <c r="H1865" s="37" t="n">
        <v>14.276067</v>
      </c>
      <c r="I1865" s="37" t="n">
        <v>120.994211</v>
      </c>
      <c r="J1865" s="8" t="inlineStr">
        <is>
          <t>R</t>
        </is>
      </c>
      <c r="K1865" s="36" t="inlineStr">
        <is>
          <t>Class 1-3 / Urban</t>
        </is>
      </c>
      <c r="L1865" s="18" t="n">
        <v>2176</v>
      </c>
      <c r="M1865" s="20" t="n">
        <v>4.49</v>
      </c>
      <c r="N1865" s="18">
        <f>ROUND(L1865/M1865, 0)</f>
        <v/>
      </c>
      <c r="O1865" s="18">
        <f>ROUND(N1865*'Methodology &amp; Assumptions'!$B$8, 0)</f>
        <v/>
      </c>
      <c r="P1865" s="8" t="inlineStr">
        <is>
          <t>Band n50 (1.5 GHz, 60 MHz)</t>
        </is>
      </c>
      <c r="Q1865" s="38">
        <f>ROUNDUP(O1865/'Methodology &amp; Assumptions'!$B$9, 0)</f>
        <v/>
      </c>
      <c r="R1865" s="39" t="n">
        <v>1</v>
      </c>
      <c r="S1865" s="21" t="n">
        <v>1.1</v>
      </c>
      <c r="T1865" s="21" t="n">
        <v>2.96</v>
      </c>
      <c r="U1865" s="36" t="inlineStr">
        <is>
          <t>Tier 1B (Micro Drop, 1-3 km)</t>
        </is>
      </c>
      <c r="V1865" s="20" t="n">
        <v>69.3</v>
      </c>
      <c r="W1865" s="20" t="n">
        <v>62.9</v>
      </c>
      <c r="X1865" s="20" t="n">
        <v>58</v>
      </c>
      <c r="Y1865" s="40">
        <f>ROUND((V1865*'Methodology &amp; Assumptions'!$B$6)+(W1865*'Methodology &amp; Assumptions'!$B$5)+(X1865*'Methodology &amp; Assumptions'!$B$7), 2)</f>
        <v/>
      </c>
    </row>
    <row r="1866" ht="19" customHeight="1">
      <c r="A1866" s="41" t="n">
        <v>862</v>
      </c>
      <c r="B1866" s="41" t="n">
        <v>4862</v>
      </c>
      <c r="C1866" s="42" t="inlineStr">
        <is>
          <t>0405644005</t>
        </is>
      </c>
      <c r="D1866" s="42" t="inlineStr">
        <is>
          <t>Region IV-A (CALABARZON)</t>
        </is>
      </c>
      <c r="E1866" s="42" t="inlineStr">
        <is>
          <t>Quezon</t>
        </is>
      </c>
      <c r="F1866" s="42" t="inlineStr">
        <is>
          <t>San Narciso</t>
        </is>
      </c>
      <c r="G1866" s="42" t="inlineStr">
        <is>
          <t>Buenavista</t>
        </is>
      </c>
      <c r="H1866" s="43" t="n">
        <v>13.573937</v>
      </c>
      <c r="I1866" s="43" t="n">
        <v>122.546326</v>
      </c>
      <c r="J1866" s="44" t="inlineStr">
        <is>
          <t>R</t>
        </is>
      </c>
      <c r="K1866" s="42" t="inlineStr">
        <is>
          <t>Class 1-3 / Urban</t>
        </is>
      </c>
      <c r="L1866" s="23" t="n">
        <v>1819</v>
      </c>
      <c r="M1866" s="24" t="n">
        <v>4.46</v>
      </c>
      <c r="N1866" s="23">
        <f>ROUND(L1866/M1866, 0)</f>
        <v/>
      </c>
      <c r="O1866" s="23">
        <f>ROUND(N1866*'Methodology &amp; Assumptions'!$B$8, 0)</f>
        <v/>
      </c>
      <c r="P1866" s="44" t="inlineStr">
        <is>
          <t>Band n50 (1.5 GHz, 60 MHz)</t>
        </is>
      </c>
      <c r="Q1866" s="38">
        <f>ROUNDUP(O1866/'Methodology &amp; Assumptions'!$B$9, 0)</f>
        <v/>
      </c>
      <c r="R1866" s="39" t="n">
        <v>1</v>
      </c>
      <c r="S1866" s="25" t="n">
        <v>1.26</v>
      </c>
      <c r="T1866" s="25" t="n">
        <v>0.38</v>
      </c>
      <c r="U1866" s="42" t="inlineStr">
        <is>
          <t>Tier 1B (Micro Drop, 1-3 km)</t>
        </is>
      </c>
      <c r="V1866" s="24" t="n">
        <v>75.7</v>
      </c>
      <c r="W1866" s="24" t="n">
        <v>56.5</v>
      </c>
      <c r="X1866" s="24" t="n">
        <v>58</v>
      </c>
      <c r="Y1866" s="45">
        <f>ROUND((V1866*'Methodology &amp; Assumptions'!$B$6)+(W1866*'Methodology &amp; Assumptions'!$B$5)+(X1866*'Methodology &amp; Assumptions'!$B$7), 2)</f>
        <v/>
      </c>
    </row>
    <row r="1867" ht="19" customHeight="1">
      <c r="A1867" s="35" t="n">
        <v>863</v>
      </c>
      <c r="B1867" s="35" t="n">
        <v>4863</v>
      </c>
      <c r="C1867" s="36" t="inlineStr">
        <is>
          <t>0201516030</t>
        </is>
      </c>
      <c r="D1867" s="36" t="inlineStr">
        <is>
          <t>Region II (Cagayan Valley)</t>
        </is>
      </c>
      <c r="E1867" s="36" t="inlineStr">
        <is>
          <t>Cagayan</t>
        </is>
      </c>
      <c r="F1867" s="36" t="inlineStr">
        <is>
          <t>Lal-Lo</t>
        </is>
      </c>
      <c r="G1867" s="36" t="inlineStr">
        <is>
          <t>San Jose</t>
        </is>
      </c>
      <c r="H1867" s="37" t="n">
        <v>18.20491</v>
      </c>
      <c r="I1867" s="37" t="n">
        <v>121.66021</v>
      </c>
      <c r="J1867" s="8" t="inlineStr">
        <is>
          <t>R</t>
        </is>
      </c>
      <c r="K1867" s="36" t="inlineStr">
        <is>
          <t>Class 1-3 / Urban</t>
        </is>
      </c>
      <c r="L1867" s="18" t="n">
        <v>1569</v>
      </c>
      <c r="M1867" s="20" t="n">
        <v>4.38</v>
      </c>
      <c r="N1867" s="18">
        <f>ROUND(L1867/M1867, 0)</f>
        <v/>
      </c>
      <c r="O1867" s="18">
        <f>ROUND(N1867*'Methodology &amp; Assumptions'!$B$8, 0)</f>
        <v/>
      </c>
      <c r="P1867" s="8" t="inlineStr">
        <is>
          <t>Band n50 (1.5 GHz, 60 MHz)</t>
        </is>
      </c>
      <c r="Q1867" s="38">
        <f>ROUNDUP(O1867/'Methodology &amp; Assumptions'!$B$9, 0)</f>
        <v/>
      </c>
      <c r="R1867" s="39" t="n">
        <v>1</v>
      </c>
      <c r="S1867" s="21" t="n">
        <v>1.08</v>
      </c>
      <c r="T1867" s="21" t="n">
        <v>0.06</v>
      </c>
      <c r="U1867" s="36" t="inlineStr">
        <is>
          <t>Tier 1B (Micro Drop, 1-3 km)</t>
        </is>
      </c>
      <c r="V1867" s="20" t="n">
        <v>79.7</v>
      </c>
      <c r="W1867" s="20" t="n">
        <v>52.5</v>
      </c>
      <c r="X1867" s="20" t="n">
        <v>58</v>
      </c>
      <c r="Y1867" s="40">
        <f>ROUND((V1867*'Methodology &amp; Assumptions'!$B$6)+(W1867*'Methodology &amp; Assumptions'!$B$5)+(X1867*'Methodology &amp; Assumptions'!$B$7), 2)</f>
        <v/>
      </c>
    </row>
    <row r="1868" ht="19" customHeight="1">
      <c r="A1868" s="41" t="n">
        <v>864</v>
      </c>
      <c r="B1868" s="41" t="n">
        <v>4864</v>
      </c>
      <c r="C1868" s="42" t="inlineStr">
        <is>
          <t>0402109070</t>
        </is>
      </c>
      <c r="D1868" s="42" t="inlineStr">
        <is>
          <t>Region IV-A (CALABARZON)</t>
        </is>
      </c>
      <c r="E1868" s="42" t="inlineStr">
        <is>
          <t>Cavite</t>
        </is>
      </c>
      <c r="F1868" s="42" t="inlineStr">
        <is>
          <t>City of Imus</t>
        </is>
      </c>
      <c r="G1868" s="42" t="inlineStr">
        <is>
          <t>Mariano Espeleta II</t>
        </is>
      </c>
      <c r="H1868" s="43" t="n">
        <v>14.395205</v>
      </c>
      <c r="I1868" s="43" t="n">
        <v>120.968826</v>
      </c>
      <c r="J1868" s="44" t="inlineStr">
        <is>
          <t>R</t>
        </is>
      </c>
      <c r="K1868" s="42" t="inlineStr">
        <is>
          <t>Class 1-3 / Urban</t>
        </is>
      </c>
      <c r="L1868" s="23" t="n">
        <v>1300</v>
      </c>
      <c r="M1868" s="24" t="n">
        <v>4.49</v>
      </c>
      <c r="N1868" s="23">
        <f>ROUND(L1868/M1868, 0)</f>
        <v/>
      </c>
      <c r="O1868" s="23">
        <f>ROUND(N1868*'Methodology &amp; Assumptions'!$B$8, 0)</f>
        <v/>
      </c>
      <c r="P1868" s="44" t="inlineStr">
        <is>
          <t>Band n50 (1.5 GHz, 60 MHz)</t>
        </is>
      </c>
      <c r="Q1868" s="38">
        <f>ROUNDUP(O1868/'Methodology &amp; Assumptions'!$B$9, 0)</f>
        <v/>
      </c>
      <c r="R1868" s="39" t="n">
        <v>1</v>
      </c>
      <c r="S1868" s="25" t="n">
        <v>0.49</v>
      </c>
      <c r="T1868" s="25" t="n">
        <v>5.83</v>
      </c>
      <c r="U1868" s="42" t="inlineStr">
        <is>
          <t>Tier 1A (Direct Coloc, &lt;1 km)</t>
        </is>
      </c>
      <c r="V1868" s="24" t="n">
        <v>85</v>
      </c>
      <c r="W1868" s="24" t="n">
        <v>47.2</v>
      </c>
      <c r="X1868" s="24" t="n">
        <v>58</v>
      </c>
      <c r="Y1868" s="45">
        <f>ROUND((V1868*'Methodology &amp; Assumptions'!$B$6)+(W1868*'Methodology &amp; Assumptions'!$B$5)+(X1868*'Methodology &amp; Assumptions'!$B$7), 2)</f>
        <v/>
      </c>
    </row>
    <row r="1869" ht="19" customHeight="1">
      <c r="A1869" s="35" t="n">
        <v>865</v>
      </c>
      <c r="B1869" s="35" t="n">
        <v>4865</v>
      </c>
      <c r="C1869" s="36" t="inlineStr">
        <is>
          <t>0403427023</t>
        </is>
      </c>
      <c r="D1869" s="36" t="inlineStr">
        <is>
          <t>Region IV-A (CALABARZON)</t>
        </is>
      </c>
      <c r="E1869" s="36" t="inlineStr">
        <is>
          <t>Laguna</t>
        </is>
      </c>
      <c r="F1869" s="36" t="inlineStr">
        <is>
          <t>Santa Maria</t>
        </is>
      </c>
      <c r="G1869" s="36" t="inlineStr">
        <is>
          <t>Jose Rizal</t>
        </is>
      </c>
      <c r="H1869" s="37" t="n">
        <v>14.467809</v>
      </c>
      <c r="I1869" s="37" t="n">
        <v>121.423296</v>
      </c>
      <c r="J1869" s="8" t="inlineStr">
        <is>
          <t>R</t>
        </is>
      </c>
      <c r="K1869" s="36" t="inlineStr">
        <is>
          <t>2nd</t>
        </is>
      </c>
      <c r="L1869" s="18" t="n">
        <v>1148</v>
      </c>
      <c r="M1869" s="20" t="n">
        <v>4.2</v>
      </c>
      <c r="N1869" s="18">
        <f>ROUND(L1869/M1869, 0)</f>
        <v/>
      </c>
      <c r="O1869" s="18">
        <f>ROUND(N1869*'Methodology &amp; Assumptions'!$B$8, 0)</f>
        <v/>
      </c>
      <c r="P1869" s="8" t="inlineStr">
        <is>
          <t>Band n50 (1.5 GHz, 60 MHz)</t>
        </is>
      </c>
      <c r="Q1869" s="38">
        <f>ROUNDUP(O1869/'Methodology &amp; Assumptions'!$B$9, 0)</f>
        <v/>
      </c>
      <c r="R1869" s="39" t="n">
        <v>1</v>
      </c>
      <c r="S1869" s="21" t="n">
        <v>0.44</v>
      </c>
      <c r="T1869" s="21" t="n">
        <v>2.57</v>
      </c>
      <c r="U1869" s="36" t="inlineStr">
        <is>
          <t>Tier 1A (Direct Coloc, &lt;1 km)</t>
        </is>
      </c>
      <c r="V1869" s="20" t="n">
        <v>86.40000000000001</v>
      </c>
      <c r="W1869" s="20" t="n">
        <v>45.9</v>
      </c>
      <c r="X1869" s="20" t="n">
        <v>58</v>
      </c>
      <c r="Y1869" s="40">
        <f>ROUND((V1869*'Methodology &amp; Assumptions'!$B$6)+(W1869*'Methodology &amp; Assumptions'!$B$5)+(X1869*'Methodology &amp; Assumptions'!$B$7), 2)</f>
        <v/>
      </c>
    </row>
    <row r="1870" ht="19" customHeight="1">
      <c r="A1870" s="41" t="n">
        <v>866</v>
      </c>
      <c r="B1870" s="41" t="n">
        <v>4866</v>
      </c>
      <c r="C1870" s="42" t="inlineStr">
        <is>
          <t>0306902002</t>
        </is>
      </c>
      <c r="D1870" s="42" t="inlineStr">
        <is>
          <t>Region III (Central Luzon)</t>
        </is>
      </c>
      <c r="E1870" s="42" t="inlineStr">
        <is>
          <t>Tarlac</t>
        </is>
      </c>
      <c r="F1870" s="42" t="inlineStr">
        <is>
          <t>Bamban</t>
        </is>
      </c>
      <c r="G1870" s="42" t="inlineStr">
        <is>
          <t>Banaba</t>
        </is>
      </c>
      <c r="H1870" s="43" t="n">
        <v>15.283637</v>
      </c>
      <c r="I1870" s="43" t="n">
        <v>120.523105</v>
      </c>
      <c r="J1870" s="44" t="inlineStr">
        <is>
          <t>R</t>
        </is>
      </c>
      <c r="K1870" s="42" t="inlineStr">
        <is>
          <t>Class 1-3 / Urban</t>
        </is>
      </c>
      <c r="L1870" s="23" t="n">
        <v>1115</v>
      </c>
      <c r="M1870" s="24" t="n">
        <v>4.3</v>
      </c>
      <c r="N1870" s="23">
        <f>ROUND(L1870/M1870, 0)</f>
        <v/>
      </c>
      <c r="O1870" s="23">
        <f>ROUND(N1870*'Methodology &amp; Assumptions'!$B$8, 0)</f>
        <v/>
      </c>
      <c r="P1870" s="44" t="inlineStr">
        <is>
          <t>Band n50 (1.5 GHz, 60 MHz)</t>
        </is>
      </c>
      <c r="Q1870" s="38">
        <f>ROUNDUP(O1870/'Methodology &amp; Assumptions'!$B$9, 0)</f>
        <v/>
      </c>
      <c r="R1870" s="39" t="n">
        <v>1</v>
      </c>
      <c r="S1870" s="25" t="n">
        <v>0.77</v>
      </c>
      <c r="T1870" s="25" t="n">
        <v>1.89</v>
      </c>
      <c r="U1870" s="42" t="inlineStr">
        <is>
          <t>Tier 1A (Direct Coloc, &lt;1 km)</t>
        </is>
      </c>
      <c r="V1870" s="24" t="n">
        <v>87.40000000000001</v>
      </c>
      <c r="W1870" s="24" t="n">
        <v>44.8</v>
      </c>
      <c r="X1870" s="24" t="n">
        <v>58</v>
      </c>
      <c r="Y1870" s="45">
        <f>ROUND((V1870*'Methodology &amp; Assumptions'!$B$6)+(W1870*'Methodology &amp; Assumptions'!$B$5)+(X1870*'Methodology &amp; Assumptions'!$B$7), 2)</f>
        <v/>
      </c>
    </row>
    <row r="1871" ht="19" customHeight="1">
      <c r="A1871" s="35" t="n">
        <v>867</v>
      </c>
      <c r="B1871" s="35" t="n">
        <v>4867</v>
      </c>
      <c r="C1871" s="36" t="inlineStr">
        <is>
          <t>0405647031</t>
        </is>
      </c>
      <c r="D1871" s="36" t="inlineStr">
        <is>
          <t>Region IV-A (CALABARZON)</t>
        </is>
      </c>
      <c r="E1871" s="36" t="inlineStr">
        <is>
          <t>Quezon</t>
        </is>
      </c>
      <c r="F1871" s="36" t="inlineStr">
        <is>
          <t>City of Tayabas</t>
        </is>
      </c>
      <c r="G1871" s="36" t="inlineStr">
        <is>
          <t>Isabang</t>
        </is>
      </c>
      <c r="H1871" s="37" t="n">
        <v>13.963006</v>
      </c>
      <c r="I1871" s="37" t="n">
        <v>121.56533</v>
      </c>
      <c r="J1871" s="8" t="inlineStr">
        <is>
          <t>U</t>
        </is>
      </c>
      <c r="K1871" s="36" t="inlineStr">
        <is>
          <t>Class 1-3 / Urban</t>
        </is>
      </c>
      <c r="L1871" s="18" t="n">
        <v>14210</v>
      </c>
      <c r="M1871" s="20" t="n">
        <v>4.46</v>
      </c>
      <c r="N1871" s="18">
        <f>ROUND(L1871/M1871, 0)</f>
        <v/>
      </c>
      <c r="O1871" s="18">
        <f>ROUND(N1871*'Methodology &amp; Assumptions'!$B$8, 0)</f>
        <v/>
      </c>
      <c r="P1871" s="8" t="inlineStr">
        <is>
          <t>Band n50 (1.5 GHz, 60 MHz)</t>
        </is>
      </c>
      <c r="Q1871" s="38">
        <f>ROUNDUP(O1871/'Methodology &amp; Assumptions'!$B$9, 0)</f>
        <v/>
      </c>
      <c r="R1871" s="39" t="n">
        <v>1</v>
      </c>
      <c r="S1871" s="21" t="n">
        <v>2.21</v>
      </c>
      <c r="T1871" s="21" t="n">
        <v>0.12</v>
      </c>
      <c r="U1871" s="36" t="inlineStr">
        <is>
          <t>Tier 1B (Micro Drop, 1-3 km)</t>
        </is>
      </c>
      <c r="V1871" s="20" t="n">
        <v>57.9</v>
      </c>
      <c r="W1871" s="20" t="n">
        <v>100</v>
      </c>
      <c r="X1871" s="20" t="n">
        <v>28</v>
      </c>
      <c r="Y1871" s="40">
        <f>ROUND((V1871*'Methodology &amp; Assumptions'!$B$6)+(W1871*'Methodology &amp; Assumptions'!$B$5)+(X1871*'Methodology &amp; Assumptions'!$B$7), 2)</f>
        <v/>
      </c>
    </row>
    <row r="1872" ht="19" customHeight="1">
      <c r="A1872" s="41" t="n">
        <v>868</v>
      </c>
      <c r="B1872" s="41" t="n">
        <v>4868</v>
      </c>
      <c r="C1872" s="42" t="inlineStr">
        <is>
          <t>0105502013</t>
        </is>
      </c>
      <c r="D1872" s="42" t="inlineStr">
        <is>
          <t>Region I (Ilocos Region)</t>
        </is>
      </c>
      <c r="E1872" s="42" t="inlineStr">
        <is>
          <t>Pangasinan</t>
        </is>
      </c>
      <c r="F1872" s="42" t="inlineStr">
        <is>
          <t>Aguilar</t>
        </is>
      </c>
      <c r="G1872" s="42" t="inlineStr">
        <is>
          <t>Pogonsili</t>
        </is>
      </c>
      <c r="H1872" s="43" t="n">
        <v>15.821127</v>
      </c>
      <c r="I1872" s="43" t="n">
        <v>120.260314</v>
      </c>
      <c r="J1872" s="44" t="inlineStr">
        <is>
          <t>R</t>
        </is>
      </c>
      <c r="K1872" s="42" t="inlineStr">
        <is>
          <t>Class 1-3 / Urban</t>
        </is>
      </c>
      <c r="L1872" s="23" t="n">
        <v>2665</v>
      </c>
      <c r="M1872" s="24" t="n">
        <v>4.39</v>
      </c>
      <c r="N1872" s="23">
        <f>ROUND(L1872/M1872, 0)</f>
        <v/>
      </c>
      <c r="O1872" s="23">
        <f>ROUND(N1872*'Methodology &amp; Assumptions'!$B$8, 0)</f>
        <v/>
      </c>
      <c r="P1872" s="44" t="inlineStr">
        <is>
          <t>Band n50 (1.5 GHz, 60 MHz)</t>
        </is>
      </c>
      <c r="Q1872" s="38">
        <f>ROUNDUP(O1872/'Methodology &amp; Assumptions'!$B$9, 0)</f>
        <v/>
      </c>
      <c r="R1872" s="39" t="n">
        <v>1</v>
      </c>
      <c r="S1872" s="25" t="n">
        <v>2.28</v>
      </c>
      <c r="T1872" s="25" t="n">
        <v>14.83</v>
      </c>
      <c r="U1872" s="42" t="inlineStr">
        <is>
          <t>Tier 1B (Micro Drop, 1-3 km)</t>
        </is>
      </c>
      <c r="V1872" s="24" t="n">
        <v>46.8</v>
      </c>
      <c r="W1872" s="24" t="n">
        <v>72.5</v>
      </c>
      <c r="X1872" s="24" t="n">
        <v>73</v>
      </c>
      <c r="Y1872" s="45">
        <f>ROUND((V1872*'Methodology &amp; Assumptions'!$B$6)+(W1872*'Methodology &amp; Assumptions'!$B$5)+(X1872*'Methodology &amp; Assumptions'!$B$7), 2)</f>
        <v/>
      </c>
    </row>
    <row r="1873" ht="19" customHeight="1">
      <c r="A1873" s="35" t="n">
        <v>869</v>
      </c>
      <c r="B1873" s="35" t="n">
        <v>4869</v>
      </c>
      <c r="C1873" s="36" t="inlineStr">
        <is>
          <t>0401009009</t>
        </is>
      </c>
      <c r="D1873" s="36" t="inlineStr">
        <is>
          <t>Region IV-A (CALABARZON)</t>
        </is>
      </c>
      <c r="E1873" s="36" t="inlineStr">
        <is>
          <t>Batangas</t>
        </is>
      </c>
      <c r="F1873" s="36" t="inlineStr">
        <is>
          <t>Cuenca</t>
        </is>
      </c>
      <c r="G1873" s="36" t="inlineStr">
        <is>
          <t>Emmanuel</t>
        </is>
      </c>
      <c r="H1873" s="37" t="n">
        <v>13.883465</v>
      </c>
      <c r="I1873" s="37" t="n">
        <v>121.051714</v>
      </c>
      <c r="J1873" s="8" t="inlineStr">
        <is>
          <t>R</t>
        </is>
      </c>
      <c r="K1873" s="36" t="inlineStr">
        <is>
          <t>2nd</t>
        </is>
      </c>
      <c r="L1873" s="18" t="n">
        <v>2320</v>
      </c>
      <c r="M1873" s="20" t="n">
        <v>4.54</v>
      </c>
      <c r="N1873" s="18">
        <f>ROUND(L1873/M1873, 0)</f>
        <v/>
      </c>
      <c r="O1873" s="18">
        <f>ROUND(N1873*'Methodology &amp; Assumptions'!$B$8, 0)</f>
        <v/>
      </c>
      <c r="P1873" s="8" t="inlineStr">
        <is>
          <t>Band n50 (1.5 GHz, 60 MHz)</t>
        </is>
      </c>
      <c r="Q1873" s="38">
        <f>ROUNDUP(O1873/'Methodology &amp; Assumptions'!$B$9, 0)</f>
        <v/>
      </c>
      <c r="R1873" s="39" t="n">
        <v>1</v>
      </c>
      <c r="S1873" s="21" t="n">
        <v>1.67</v>
      </c>
      <c r="T1873" s="21" t="n">
        <v>1.45</v>
      </c>
      <c r="U1873" s="36" t="inlineStr">
        <is>
          <t>Tier 1B (Micro Drop, 1-3 km)</t>
        </is>
      </c>
      <c r="V1873" s="20" t="n">
        <v>67.40000000000001</v>
      </c>
      <c r="W1873" s="20" t="n">
        <v>64.8</v>
      </c>
      <c r="X1873" s="20" t="n">
        <v>58</v>
      </c>
      <c r="Y1873" s="40">
        <f>ROUND((V1873*'Methodology &amp; Assumptions'!$B$6)+(W1873*'Methodology &amp; Assumptions'!$B$5)+(X1873*'Methodology &amp; Assumptions'!$B$7), 2)</f>
        <v/>
      </c>
    </row>
    <row r="1874" ht="19" customHeight="1">
      <c r="A1874" s="41" t="n">
        <v>870</v>
      </c>
      <c r="B1874" s="41" t="n">
        <v>4870</v>
      </c>
      <c r="C1874" s="42" t="inlineStr">
        <is>
          <t>0603017018</t>
        </is>
      </c>
      <c r="D1874" s="42" t="inlineStr">
        <is>
          <t>Region VI (Western Visayas)</t>
        </is>
      </c>
      <c r="E1874" s="42" t="inlineStr">
        <is>
          <t>Iloilo</t>
        </is>
      </c>
      <c r="F1874" s="42" t="inlineStr">
        <is>
          <t>Dueñas</t>
        </is>
      </c>
      <c r="G1874" s="42" t="inlineStr">
        <is>
          <t>Capuling</t>
        </is>
      </c>
      <c r="H1874" s="43" t="n">
        <v>11.054952</v>
      </c>
      <c r="I1874" s="43" t="n">
        <v>122.619207</v>
      </c>
      <c r="J1874" s="44" t="inlineStr">
        <is>
          <t>R</t>
        </is>
      </c>
      <c r="K1874" s="42" t="inlineStr">
        <is>
          <t>3rd</t>
        </is>
      </c>
      <c r="L1874" s="23" t="n">
        <v>1557</v>
      </c>
      <c r="M1874" s="24" t="n">
        <v>4.38</v>
      </c>
      <c r="N1874" s="23">
        <f>ROUND(L1874/M1874, 0)</f>
        <v/>
      </c>
      <c r="O1874" s="23">
        <f>ROUND(N1874*'Methodology &amp; Assumptions'!$B$8, 0)</f>
        <v/>
      </c>
      <c r="P1874" s="44" t="inlineStr">
        <is>
          <t>Band n50 (1.5 GHz, 60 MHz)</t>
        </is>
      </c>
      <c r="Q1874" s="38">
        <f>ROUNDUP(O1874/'Methodology &amp; Assumptions'!$B$9, 0)</f>
        <v/>
      </c>
      <c r="R1874" s="39" t="n">
        <v>1</v>
      </c>
      <c r="S1874" s="25" t="n">
        <v>1.07</v>
      </c>
      <c r="T1874" s="25" t="n">
        <v>0.41</v>
      </c>
      <c r="U1874" s="42" t="inlineStr">
        <is>
          <t>Tier 1B (Micro Drop, 1-3 km)</t>
        </is>
      </c>
      <c r="V1874" s="24" t="n">
        <v>79.90000000000001</v>
      </c>
      <c r="W1874" s="24" t="n">
        <v>52.3</v>
      </c>
      <c r="X1874" s="24" t="n">
        <v>58</v>
      </c>
      <c r="Y1874" s="45">
        <f>ROUND((V1874*'Methodology &amp; Assumptions'!$B$6)+(W1874*'Methodology &amp; Assumptions'!$B$5)+(X1874*'Methodology &amp; Assumptions'!$B$7), 2)</f>
        <v/>
      </c>
    </row>
    <row r="1875" ht="19" customHeight="1">
      <c r="A1875" s="35" t="n">
        <v>871</v>
      </c>
      <c r="B1875" s="35" t="n">
        <v>4871</v>
      </c>
      <c r="C1875" s="36" t="inlineStr">
        <is>
          <t>0402110005</t>
        </is>
      </c>
      <c r="D1875" s="36" t="inlineStr">
        <is>
          <t>Region IV-A (CALABARZON)</t>
        </is>
      </c>
      <c r="E1875" s="36" t="inlineStr">
        <is>
          <t>Cavite</t>
        </is>
      </c>
      <c r="F1875" s="36" t="inlineStr">
        <is>
          <t>Indang</t>
        </is>
      </c>
      <c r="G1875" s="36" t="inlineStr">
        <is>
          <t>Bancod</t>
        </is>
      </c>
      <c r="H1875" s="37" t="n">
        <v>14.209877</v>
      </c>
      <c r="I1875" s="37" t="n">
        <v>120.877334</v>
      </c>
      <c r="J1875" s="8" t="inlineStr">
        <is>
          <t>R</t>
        </is>
      </c>
      <c r="K1875" s="36" t="inlineStr">
        <is>
          <t>Class 1-3 / Urban</t>
        </is>
      </c>
      <c r="L1875" s="18" t="n">
        <v>2630</v>
      </c>
      <c r="M1875" s="20" t="n">
        <v>4.49</v>
      </c>
      <c r="N1875" s="18">
        <f>ROUND(L1875/M1875, 0)</f>
        <v/>
      </c>
      <c r="O1875" s="18">
        <f>ROUND(N1875*'Methodology &amp; Assumptions'!$B$8, 0)</f>
        <v/>
      </c>
      <c r="P1875" s="8" t="inlineStr">
        <is>
          <t>Band n50 (1.5 GHz, 60 MHz)</t>
        </is>
      </c>
      <c r="Q1875" s="38">
        <f>ROUNDUP(O1875/'Methodology &amp; Assumptions'!$B$9, 0)</f>
        <v/>
      </c>
      <c r="R1875" s="39" t="n">
        <v>1</v>
      </c>
      <c r="S1875" s="21" t="n">
        <v>1.47</v>
      </c>
      <c r="T1875" s="21" t="n">
        <v>7.77</v>
      </c>
      <c r="U1875" s="36" t="inlineStr">
        <is>
          <t>Tier 1B (Micro Drop, 1-3 km)</t>
        </is>
      </c>
      <c r="V1875" s="20" t="n">
        <v>61.2</v>
      </c>
      <c r="W1875" s="20" t="n">
        <v>70.90000000000001</v>
      </c>
      <c r="X1875" s="20" t="n">
        <v>58</v>
      </c>
      <c r="Y1875" s="40">
        <f>ROUND((V1875*'Methodology &amp; Assumptions'!$B$6)+(W1875*'Methodology &amp; Assumptions'!$B$5)+(X1875*'Methodology &amp; Assumptions'!$B$7), 2)</f>
        <v/>
      </c>
    </row>
    <row r="1876" ht="19" customHeight="1">
      <c r="A1876" s="41" t="n">
        <v>872</v>
      </c>
      <c r="B1876" s="41" t="n">
        <v>4872</v>
      </c>
      <c r="C1876" s="42" t="inlineStr">
        <is>
          <t>0301422021</t>
        </is>
      </c>
      <c r="D1876" s="42" t="inlineStr">
        <is>
          <t>Region III (Central Luzon)</t>
        </is>
      </c>
      <c r="E1876" s="42" t="inlineStr">
        <is>
          <t>Bulacan</t>
        </is>
      </c>
      <c r="F1876" s="42" t="inlineStr">
        <is>
          <t>San Rafael</t>
        </is>
      </c>
      <c r="G1876" s="42" t="inlineStr">
        <is>
          <t>Pasong Intsik</t>
        </is>
      </c>
      <c r="H1876" s="43" t="n">
        <v>15.01079</v>
      </c>
      <c r="I1876" s="43" t="n">
        <v>120.969279</v>
      </c>
      <c r="J1876" s="44" t="inlineStr">
        <is>
          <t>R</t>
        </is>
      </c>
      <c r="K1876" s="42" t="inlineStr">
        <is>
          <t>Class 1-3 / Urban</t>
        </is>
      </c>
      <c r="L1876" s="23" t="n">
        <v>1492</v>
      </c>
      <c r="M1876" s="24" t="n">
        <v>4.1</v>
      </c>
      <c r="N1876" s="23">
        <f>ROUND(L1876/M1876, 0)</f>
        <v/>
      </c>
      <c r="O1876" s="23">
        <f>ROUND(N1876*'Methodology &amp; Assumptions'!$B$8, 0)</f>
        <v/>
      </c>
      <c r="P1876" s="44" t="inlineStr">
        <is>
          <t>Band n50 (1.5 GHz, 60 MHz)</t>
        </is>
      </c>
      <c r="Q1876" s="38">
        <f>ROUNDUP(O1876/'Methodology &amp; Assumptions'!$B$9, 0)</f>
        <v/>
      </c>
      <c r="R1876" s="39" t="n">
        <v>1</v>
      </c>
      <c r="S1876" s="25" t="n">
        <v>0.7</v>
      </c>
      <c r="T1876" s="25" t="n">
        <v>3.78</v>
      </c>
      <c r="U1876" s="42" t="inlineStr">
        <is>
          <t>Tier 1A (Direct Coloc, &lt;1 km)</t>
        </is>
      </c>
      <c r="V1876" s="24" t="n">
        <v>79.09999999999999</v>
      </c>
      <c r="W1876" s="24" t="n">
        <v>53.1</v>
      </c>
      <c r="X1876" s="24" t="n">
        <v>58</v>
      </c>
      <c r="Y1876" s="45">
        <f>ROUND((V1876*'Methodology &amp; Assumptions'!$B$6)+(W1876*'Methodology &amp; Assumptions'!$B$5)+(X1876*'Methodology &amp; Assumptions'!$B$7), 2)</f>
        <v/>
      </c>
    </row>
    <row r="1877" ht="19" customHeight="1">
      <c r="A1877" s="35" t="n">
        <v>873</v>
      </c>
      <c r="B1877" s="35" t="n">
        <v>4873</v>
      </c>
      <c r="C1877" s="36" t="inlineStr">
        <is>
          <t>0702211009</t>
        </is>
      </c>
      <c r="D1877" s="36" t="inlineStr">
        <is>
          <t>Region VII (Central Visayas)</t>
        </is>
      </c>
      <c r="E1877" s="36" t="inlineStr">
        <is>
          <t>Cebu</t>
        </is>
      </c>
      <c r="F1877" s="36" t="inlineStr">
        <is>
          <t>City of Bogo</t>
        </is>
      </c>
      <c r="G1877" s="36" t="inlineStr">
        <is>
          <t>Dakit</t>
        </is>
      </c>
      <c r="H1877" s="37" t="n">
        <v>11.027551</v>
      </c>
      <c r="I1877" s="37" t="n">
        <v>124.003508</v>
      </c>
      <c r="J1877" s="8" t="inlineStr">
        <is>
          <t>U</t>
        </is>
      </c>
      <c r="K1877" s="36" t="inlineStr">
        <is>
          <t>Class 1-3 / Urban</t>
        </is>
      </c>
      <c r="L1877" s="18" t="n">
        <v>6403</v>
      </c>
      <c r="M1877" s="20" t="n">
        <v>4.42</v>
      </c>
      <c r="N1877" s="18">
        <f>ROUND(L1877/M1877, 0)</f>
        <v/>
      </c>
      <c r="O1877" s="18">
        <f>ROUND(N1877*'Methodology &amp; Assumptions'!$B$8, 0)</f>
        <v/>
      </c>
      <c r="P1877" s="8" t="inlineStr">
        <is>
          <t>Band n50 (1.5 GHz, 60 MHz)</t>
        </is>
      </c>
      <c r="Q1877" s="38">
        <f>ROUNDUP(O1877/'Methodology &amp; Assumptions'!$B$9, 0)</f>
        <v/>
      </c>
      <c r="R1877" s="39" t="n">
        <v>1</v>
      </c>
      <c r="S1877" s="21" t="n">
        <v>2.21</v>
      </c>
      <c r="T1877" s="21" t="n">
        <v>0.48</v>
      </c>
      <c r="U1877" s="36" t="inlineStr">
        <is>
          <t>Tier 1B (Micro Drop, 1-3 km)</t>
        </is>
      </c>
      <c r="V1877" s="20" t="n">
        <v>57.9</v>
      </c>
      <c r="W1877" s="20" t="n">
        <v>100</v>
      </c>
      <c r="X1877" s="20" t="n">
        <v>28</v>
      </c>
      <c r="Y1877" s="40">
        <f>ROUND((V1877*'Methodology &amp; Assumptions'!$B$6)+(W1877*'Methodology &amp; Assumptions'!$B$5)+(X1877*'Methodology &amp; Assumptions'!$B$7), 2)</f>
        <v/>
      </c>
    </row>
    <row r="1878" ht="19" customHeight="1">
      <c r="A1878" s="41" t="n">
        <v>874</v>
      </c>
      <c r="B1878" s="41" t="n">
        <v>4874</v>
      </c>
      <c r="C1878" s="42" t="inlineStr">
        <is>
          <t>0401028027</t>
        </is>
      </c>
      <c r="D1878" s="42" t="inlineStr">
        <is>
          <t>Region IV-A (CALABARZON)</t>
        </is>
      </c>
      <c r="E1878" s="42" t="inlineStr">
        <is>
          <t>Batangas</t>
        </is>
      </c>
      <c r="F1878" s="42" t="inlineStr">
        <is>
          <t>City of Sto. Tomas</t>
        </is>
      </c>
      <c r="G1878" s="42" t="inlineStr">
        <is>
          <t>Santa Elena</t>
        </is>
      </c>
      <c r="H1878" s="43" t="n">
        <v>13.892878</v>
      </c>
      <c r="I1878" s="43" t="n">
        <v>121.014871</v>
      </c>
      <c r="J1878" s="44" t="inlineStr">
        <is>
          <t>R</t>
        </is>
      </c>
      <c r="K1878" s="42" t="inlineStr">
        <is>
          <t>Class 1-3 / Urban</t>
        </is>
      </c>
      <c r="L1878" s="23" t="n">
        <v>3851</v>
      </c>
      <c r="M1878" s="24" t="n">
        <v>4.62</v>
      </c>
      <c r="N1878" s="23">
        <f>ROUND(L1878/M1878, 0)</f>
        <v/>
      </c>
      <c r="O1878" s="23">
        <f>ROUND(N1878*'Methodology &amp; Assumptions'!$B$8, 0)</f>
        <v/>
      </c>
      <c r="P1878" s="44" t="inlineStr">
        <is>
          <t>Band n50 (1.5 GHz, 60 MHz)</t>
        </is>
      </c>
      <c r="Q1878" s="38">
        <f>ROUNDUP(O1878/'Methodology &amp; Assumptions'!$B$9, 0)</f>
        <v/>
      </c>
      <c r="R1878" s="39" t="n">
        <v>1</v>
      </c>
      <c r="S1878" s="25" t="n">
        <v>3.75</v>
      </c>
      <c r="T1878" s="25" t="n">
        <v>2.6</v>
      </c>
      <c r="U1878" s="42" t="inlineStr">
        <is>
          <t>Tier 2 (Fiber Corridor / Lateral, 3-5 km)</t>
        </is>
      </c>
      <c r="V1878" s="24" t="n">
        <v>28.6</v>
      </c>
      <c r="W1878" s="24" t="n">
        <v>90.7</v>
      </c>
      <c r="X1878" s="24" t="n">
        <v>73</v>
      </c>
      <c r="Y1878" s="45">
        <f>ROUND((V1878*'Methodology &amp; Assumptions'!$B$6)+(W1878*'Methodology &amp; Assumptions'!$B$5)+(X1878*'Methodology &amp; Assumptions'!$B$7), 2)</f>
        <v/>
      </c>
    </row>
    <row r="1879" ht="19" customHeight="1">
      <c r="A1879" s="35" t="n">
        <v>875</v>
      </c>
      <c r="B1879" s="35" t="n">
        <v>4875</v>
      </c>
      <c r="C1879" s="36" t="inlineStr">
        <is>
          <t>0403401012</t>
        </is>
      </c>
      <c r="D1879" s="36" t="inlineStr">
        <is>
          <t>Region IV-A (CALABARZON)</t>
        </is>
      </c>
      <c r="E1879" s="36" t="inlineStr">
        <is>
          <t>Laguna</t>
        </is>
      </c>
      <c r="F1879" s="36" t="inlineStr">
        <is>
          <t>Alaminos</t>
        </is>
      </c>
      <c r="G1879" s="36" t="inlineStr">
        <is>
          <t>San Juan</t>
        </is>
      </c>
      <c r="H1879" s="37" t="n">
        <v>14.057679</v>
      </c>
      <c r="I1879" s="37" t="n">
        <v>121.230331</v>
      </c>
      <c r="J1879" s="8" t="inlineStr">
        <is>
          <t>R</t>
        </is>
      </c>
      <c r="K1879" s="36" t="inlineStr">
        <is>
          <t>Class 1-3 / Urban</t>
        </is>
      </c>
      <c r="L1879" s="18" t="n">
        <v>3543</v>
      </c>
      <c r="M1879" s="20" t="n">
        <v>4.2</v>
      </c>
      <c r="N1879" s="18">
        <f>ROUND(L1879/M1879, 0)</f>
        <v/>
      </c>
      <c r="O1879" s="18">
        <f>ROUND(N1879*'Methodology &amp; Assumptions'!$B$8, 0)</f>
        <v/>
      </c>
      <c r="P1879" s="8" t="inlineStr">
        <is>
          <t>Band n50 (1.5 GHz, 60 MHz)</t>
        </is>
      </c>
      <c r="Q1879" s="38">
        <f>ROUNDUP(O1879/'Methodology &amp; Assumptions'!$B$9, 0)</f>
        <v/>
      </c>
      <c r="R1879" s="39" t="n">
        <v>1</v>
      </c>
      <c r="S1879" s="21" t="n">
        <v>5.17</v>
      </c>
      <c r="T1879" s="21" t="n">
        <v>0.33</v>
      </c>
      <c r="U1879" s="36" t="inlineStr">
        <is>
          <t>Tier 2 (Fiber Corridor / Lateral, 3-5 km)</t>
        </is>
      </c>
      <c r="V1879" s="20" t="n">
        <v>27.8</v>
      </c>
      <c r="W1879" s="20" t="n">
        <v>91.5</v>
      </c>
      <c r="X1879" s="20" t="n">
        <v>73</v>
      </c>
      <c r="Y1879" s="40">
        <f>ROUND((V1879*'Methodology &amp; Assumptions'!$B$6)+(W1879*'Methodology &amp; Assumptions'!$B$5)+(X1879*'Methodology &amp; Assumptions'!$B$7), 2)</f>
        <v/>
      </c>
    </row>
    <row r="1880" ht="19" customHeight="1">
      <c r="A1880" s="41" t="n">
        <v>876</v>
      </c>
      <c r="B1880" s="41" t="n">
        <v>4876</v>
      </c>
      <c r="C1880" s="42" t="inlineStr">
        <is>
          <t>0304913022</t>
        </is>
      </c>
      <c r="D1880" s="42" t="inlineStr">
        <is>
          <t>Region III (Central Luzon)</t>
        </is>
      </c>
      <c r="E1880" s="42" t="inlineStr">
        <is>
          <t>Nueva Ecija</t>
        </is>
      </c>
      <c r="F1880" s="42" t="inlineStr">
        <is>
          <t>Laur</t>
        </is>
      </c>
      <c r="G1880" s="42" t="inlineStr">
        <is>
          <t>Siclong</t>
        </is>
      </c>
      <c r="H1880" s="43" t="n">
        <v>15.580529</v>
      </c>
      <c r="I1880" s="43" t="n">
        <v>121.222566</v>
      </c>
      <c r="J1880" s="44" t="inlineStr">
        <is>
          <t>R</t>
        </is>
      </c>
      <c r="K1880" s="42" t="inlineStr">
        <is>
          <t>Class 1-3 / Urban</t>
        </is>
      </c>
      <c r="L1880" s="23" t="n">
        <v>3399</v>
      </c>
      <c r="M1880" s="24" t="n">
        <v>4.32</v>
      </c>
      <c r="N1880" s="23">
        <f>ROUND(L1880/M1880, 0)</f>
        <v/>
      </c>
      <c r="O1880" s="23">
        <f>ROUND(N1880*'Methodology &amp; Assumptions'!$B$8, 0)</f>
        <v/>
      </c>
      <c r="P1880" s="44" t="inlineStr">
        <is>
          <t>Band n50 (1.5 GHz, 60 MHz)</t>
        </is>
      </c>
      <c r="Q1880" s="38">
        <f>ROUNDUP(O1880/'Methodology &amp; Assumptions'!$B$9, 0)</f>
        <v/>
      </c>
      <c r="R1880" s="39" t="n">
        <v>1</v>
      </c>
      <c r="S1880" s="25" t="n">
        <v>2.38</v>
      </c>
      <c r="T1880" s="25" t="n">
        <v>8.880000000000001</v>
      </c>
      <c r="U1880" s="42" t="inlineStr">
        <is>
          <t>Tier 1B (Micro Drop, 1-3 km)</t>
        </is>
      </c>
      <c r="V1880" s="24" t="n">
        <v>45.2</v>
      </c>
      <c r="W1880" s="24" t="n">
        <v>86.90000000000001</v>
      </c>
      <c r="X1880" s="24" t="n">
        <v>58</v>
      </c>
      <c r="Y1880" s="45">
        <f>ROUND((V1880*'Methodology &amp; Assumptions'!$B$6)+(W1880*'Methodology &amp; Assumptions'!$B$5)+(X1880*'Methodology &amp; Assumptions'!$B$7), 2)</f>
        <v/>
      </c>
    </row>
    <row r="1881" ht="19" customHeight="1">
      <c r="A1881" s="35" t="n">
        <v>877</v>
      </c>
      <c r="B1881" s="35" t="n">
        <v>4877</v>
      </c>
      <c r="C1881" s="36" t="inlineStr">
        <is>
          <t>0500518012</t>
        </is>
      </c>
      <c r="D1881" s="36" t="inlineStr">
        <is>
          <t>Region V (Bicol Region)</t>
        </is>
      </c>
      <c r="E1881" s="36" t="inlineStr">
        <is>
          <t>Albay</t>
        </is>
      </c>
      <c r="F1881" s="36" t="inlineStr">
        <is>
          <t>Tiwi</t>
        </is>
      </c>
      <c r="G1881" s="36" t="inlineStr">
        <is>
          <t>Joroan</t>
        </is>
      </c>
      <c r="H1881" s="37" t="n">
        <v>13.489945</v>
      </c>
      <c r="I1881" s="37" t="n">
        <v>123.619675</v>
      </c>
      <c r="J1881" s="8" t="inlineStr">
        <is>
          <t>R</t>
        </is>
      </c>
      <c r="K1881" s="36" t="inlineStr">
        <is>
          <t>Class 1-3 / Urban</t>
        </is>
      </c>
      <c r="L1881" s="18" t="n">
        <v>3005</v>
      </c>
      <c r="M1881" s="20" t="n">
        <v>4.67</v>
      </c>
      <c r="N1881" s="18">
        <f>ROUND(L1881/M1881, 0)</f>
        <v/>
      </c>
      <c r="O1881" s="18">
        <f>ROUND(N1881*'Methodology &amp; Assumptions'!$B$8, 0)</f>
        <v/>
      </c>
      <c r="P1881" s="8" t="inlineStr">
        <is>
          <t>Band n50 (1.5 GHz, 60 MHz)</t>
        </is>
      </c>
      <c r="Q1881" s="38">
        <f>ROUNDUP(O1881/'Methodology &amp; Assumptions'!$B$9, 0)</f>
        <v/>
      </c>
      <c r="R1881" s="39" t="n">
        <v>1</v>
      </c>
      <c r="S1881" s="21" t="n">
        <v>2.29</v>
      </c>
      <c r="T1881" s="21" t="n">
        <v>0.09</v>
      </c>
      <c r="U1881" s="36" t="inlineStr">
        <is>
          <t>Tier 1B (Micro Drop, 1-3 km)</t>
        </is>
      </c>
      <c r="V1881" s="20" t="n">
        <v>56.7</v>
      </c>
      <c r="W1881" s="20" t="n">
        <v>75.5</v>
      </c>
      <c r="X1881" s="20" t="n">
        <v>58</v>
      </c>
      <c r="Y1881" s="40">
        <f>ROUND((V1881*'Methodology &amp; Assumptions'!$B$6)+(W1881*'Methodology &amp; Assumptions'!$B$5)+(X1881*'Methodology &amp; Assumptions'!$B$7), 2)</f>
        <v/>
      </c>
    </row>
    <row r="1882" ht="19" customHeight="1">
      <c r="A1882" s="41" t="n">
        <v>878</v>
      </c>
      <c r="B1882" s="41" t="n">
        <v>4878</v>
      </c>
      <c r="C1882" s="42" t="inlineStr">
        <is>
          <t>0701232004</t>
        </is>
      </c>
      <c r="D1882" s="42" t="inlineStr">
        <is>
          <t>Region VII (Central Visayas)</t>
        </is>
      </c>
      <c r="E1882" s="42" t="inlineStr">
        <is>
          <t>Bohol</t>
        </is>
      </c>
      <c r="F1882" s="42" t="inlineStr">
        <is>
          <t>Maribojoc</t>
        </is>
      </c>
      <c r="G1882" s="42" t="inlineStr">
        <is>
          <t>Anislag</t>
        </is>
      </c>
      <c r="H1882" s="43" t="n">
        <v>9.738579</v>
      </c>
      <c r="I1882" s="43" t="n">
        <v>123.850513</v>
      </c>
      <c r="J1882" s="44" t="inlineStr">
        <is>
          <t>R</t>
        </is>
      </c>
      <c r="K1882" s="42" t="inlineStr">
        <is>
          <t>3rd</t>
        </is>
      </c>
      <c r="L1882" s="23" t="n">
        <v>1040</v>
      </c>
      <c r="M1882" s="24" t="n">
        <v>4.35</v>
      </c>
      <c r="N1882" s="23">
        <f>ROUND(L1882/M1882, 0)</f>
        <v/>
      </c>
      <c r="O1882" s="23">
        <f>ROUND(N1882*'Methodology &amp; Assumptions'!$B$8, 0)</f>
        <v/>
      </c>
      <c r="P1882" s="44" t="inlineStr">
        <is>
          <t>Band n50 (1.5 GHz, 60 MHz)</t>
        </is>
      </c>
      <c r="Q1882" s="38">
        <f>ROUNDUP(O1882/'Methodology &amp; Assumptions'!$B$9, 0)</f>
        <v/>
      </c>
      <c r="R1882" s="39" t="n">
        <v>1</v>
      </c>
      <c r="S1882" s="25" t="n">
        <v>0.71</v>
      </c>
      <c r="T1882" s="25" t="n">
        <v>0.31</v>
      </c>
      <c r="U1882" s="42" t="inlineStr">
        <is>
          <t>Tier 1A (Direct Coloc, &lt;1 km)</t>
        </is>
      </c>
      <c r="V1882" s="24" t="n">
        <v>89</v>
      </c>
      <c r="W1882" s="24" t="n">
        <v>43.2</v>
      </c>
      <c r="X1882" s="24" t="n">
        <v>58</v>
      </c>
      <c r="Y1882" s="45">
        <f>ROUND((V1882*'Methodology &amp; Assumptions'!$B$6)+(W1882*'Methodology &amp; Assumptions'!$B$5)+(X1882*'Methodology &amp; Assumptions'!$B$7), 2)</f>
        <v/>
      </c>
    </row>
    <row r="1883" ht="19" customHeight="1">
      <c r="A1883" s="35" t="n">
        <v>879</v>
      </c>
      <c r="B1883" s="35" t="n">
        <v>4879</v>
      </c>
      <c r="C1883" s="36" t="inlineStr">
        <is>
          <t>0604531026</t>
        </is>
      </c>
      <c r="D1883" s="36" t="inlineStr">
        <is>
          <t>Region VI (Western Visayas)</t>
        </is>
      </c>
      <c r="E1883" s="36" t="inlineStr">
        <is>
          <t>Negros Occidental</t>
        </is>
      </c>
      <c r="F1883" s="36" t="inlineStr">
        <is>
          <t>City of Victorias</t>
        </is>
      </c>
      <c r="G1883" s="36" t="inlineStr">
        <is>
          <t>Barangay XIX-A</t>
        </is>
      </c>
      <c r="H1883" s="37" t="n">
        <v>10.876099</v>
      </c>
      <c r="I1883" s="37" t="n">
        <v>123.06054</v>
      </c>
      <c r="J1883" s="8" t="inlineStr">
        <is>
          <t>U</t>
        </is>
      </c>
      <c r="K1883" s="36" t="inlineStr">
        <is>
          <t>Class 1-3 / Urban</t>
        </is>
      </c>
      <c r="L1883" s="18" t="n">
        <v>7023</v>
      </c>
      <c r="M1883" s="20" t="n">
        <v>4.33</v>
      </c>
      <c r="N1883" s="18">
        <f>ROUND(L1883/M1883, 0)</f>
        <v/>
      </c>
      <c r="O1883" s="18">
        <f>ROUND(N1883*'Methodology &amp; Assumptions'!$B$8, 0)</f>
        <v/>
      </c>
      <c r="P1883" s="8" t="inlineStr">
        <is>
          <t>Band n50 (1.5 GHz, 60 MHz)</t>
        </is>
      </c>
      <c r="Q1883" s="38">
        <f>ROUNDUP(O1883/'Methodology &amp; Assumptions'!$B$9, 0)</f>
        <v/>
      </c>
      <c r="R1883" s="39" t="n">
        <v>1</v>
      </c>
      <c r="S1883" s="21" t="n">
        <v>3.15</v>
      </c>
      <c r="T1883" s="21" t="n">
        <v>1.87</v>
      </c>
      <c r="U1883" s="36" t="inlineStr">
        <is>
          <t>Tier 2 (Fiber Corridor / Lateral, 3-5 km)</t>
        </is>
      </c>
      <c r="V1883" s="20" t="n">
        <v>45</v>
      </c>
      <c r="W1883" s="20" t="n">
        <v>100</v>
      </c>
      <c r="X1883" s="20" t="n">
        <v>43</v>
      </c>
      <c r="Y1883" s="40">
        <f>ROUND((V1883*'Methodology &amp; Assumptions'!$B$6)+(W1883*'Methodology &amp; Assumptions'!$B$5)+(X1883*'Methodology &amp; Assumptions'!$B$7), 2)</f>
        <v/>
      </c>
    </row>
    <row r="1884" ht="19" customHeight="1">
      <c r="A1884" s="41" t="n">
        <v>880</v>
      </c>
      <c r="B1884" s="41" t="n">
        <v>4880</v>
      </c>
      <c r="C1884" s="42" t="inlineStr">
        <is>
          <t>0601905008</t>
        </is>
      </c>
      <c r="D1884" s="42" t="inlineStr">
        <is>
          <t>Region VI (Western Visayas)</t>
        </is>
      </c>
      <c r="E1884" s="42" t="inlineStr">
        <is>
          <t>Capiz</t>
        </is>
      </c>
      <c r="F1884" s="42" t="inlineStr">
        <is>
          <t>Ivisan</t>
        </is>
      </c>
      <c r="G1884" s="42" t="inlineStr">
        <is>
          <t>Malocloc Norte</t>
        </is>
      </c>
      <c r="H1884" s="43" t="n">
        <v>11.50355</v>
      </c>
      <c r="I1884" s="43" t="n">
        <v>122.676045</v>
      </c>
      <c r="J1884" s="44" t="inlineStr">
        <is>
          <t>R</t>
        </is>
      </c>
      <c r="K1884" s="42" t="inlineStr">
        <is>
          <t>3rd</t>
        </is>
      </c>
      <c r="L1884" s="23" t="n">
        <v>2435</v>
      </c>
      <c r="M1884" s="24" t="n">
        <v>4.31</v>
      </c>
      <c r="N1884" s="23">
        <f>ROUND(L1884/M1884, 0)</f>
        <v/>
      </c>
      <c r="O1884" s="23">
        <f>ROUND(N1884*'Methodology &amp; Assumptions'!$B$8, 0)</f>
        <v/>
      </c>
      <c r="P1884" s="44" t="inlineStr">
        <is>
          <t>Band n50 (1.5 GHz, 60 MHz)</t>
        </is>
      </c>
      <c r="Q1884" s="38">
        <f>ROUNDUP(O1884/'Methodology &amp; Assumptions'!$B$9, 0)</f>
        <v/>
      </c>
      <c r="R1884" s="39" t="n">
        <v>1</v>
      </c>
      <c r="S1884" s="25" t="n">
        <v>2.76</v>
      </c>
      <c r="T1884" s="25" t="n">
        <v>0.07000000000000001</v>
      </c>
      <c r="U1884" s="42" t="inlineStr">
        <is>
          <t>Tier 1B (Micro Drop, 1-3 km)</t>
        </is>
      </c>
      <c r="V1884" s="24" t="n">
        <v>49.9</v>
      </c>
      <c r="W1884" s="24" t="n">
        <v>69.3</v>
      </c>
      <c r="X1884" s="24" t="n">
        <v>73</v>
      </c>
      <c r="Y1884" s="45">
        <f>ROUND((V1884*'Methodology &amp; Assumptions'!$B$6)+(W1884*'Methodology &amp; Assumptions'!$B$5)+(X1884*'Methodology &amp; Assumptions'!$B$7), 2)</f>
        <v/>
      </c>
    </row>
    <row r="1885" ht="19" customHeight="1">
      <c r="A1885" s="35" t="n">
        <v>881</v>
      </c>
      <c r="B1885" s="35" t="n">
        <v>4881</v>
      </c>
      <c r="C1885" s="36" t="inlineStr">
        <is>
          <t>0401013014</t>
        </is>
      </c>
      <c r="D1885" s="36" t="inlineStr">
        <is>
          <t>Region IV-A (CALABARZON)</t>
        </is>
      </c>
      <c r="E1885" s="36" t="inlineStr">
        <is>
          <t>Batangas</t>
        </is>
      </c>
      <c r="F1885" s="36" t="inlineStr">
        <is>
          <t>Lian</t>
        </is>
      </c>
      <c r="G1885" s="36" t="inlineStr">
        <is>
          <t>Malaruhatan</t>
        </is>
      </c>
      <c r="H1885" s="37" t="n">
        <v>14.040088</v>
      </c>
      <c r="I1885" s="37" t="n">
        <v>120.661646</v>
      </c>
      <c r="J1885" s="8" t="inlineStr">
        <is>
          <t>R</t>
        </is>
      </c>
      <c r="K1885" s="36" t="inlineStr">
        <is>
          <t>Class 1-3 / Urban</t>
        </is>
      </c>
      <c r="L1885" s="18" t="n">
        <v>4817</v>
      </c>
      <c r="M1885" s="20" t="n">
        <v>4.62</v>
      </c>
      <c r="N1885" s="18">
        <f>ROUND(L1885/M1885, 0)</f>
        <v/>
      </c>
      <c r="O1885" s="18">
        <f>ROUND(N1885*'Methodology &amp; Assumptions'!$B$8, 0)</f>
        <v/>
      </c>
      <c r="P1885" s="8" t="inlineStr">
        <is>
          <t>Band n50 (1.5 GHz, 60 MHz)</t>
        </is>
      </c>
      <c r="Q1885" s="38">
        <f>ROUNDUP(O1885/'Methodology &amp; Assumptions'!$B$9, 0)</f>
        <v/>
      </c>
      <c r="R1885" s="39" t="n">
        <v>1</v>
      </c>
      <c r="S1885" s="21" t="n">
        <v>4.53</v>
      </c>
      <c r="T1885" s="21" t="n">
        <v>0.98</v>
      </c>
      <c r="U1885" s="36" t="inlineStr">
        <is>
          <t>Tier 2 (Fiber Corridor / Lateral, 3-5 km)</t>
        </is>
      </c>
      <c r="V1885" s="20" t="n">
        <v>32.1</v>
      </c>
      <c r="W1885" s="20" t="n">
        <v>100</v>
      </c>
      <c r="X1885" s="20" t="n">
        <v>58</v>
      </c>
      <c r="Y1885" s="40">
        <f>ROUND((V1885*'Methodology &amp; Assumptions'!$B$6)+(W1885*'Methodology &amp; Assumptions'!$B$5)+(X1885*'Methodology &amp; Assumptions'!$B$7), 2)</f>
        <v/>
      </c>
    </row>
    <row r="1886" ht="19" customHeight="1">
      <c r="A1886" s="41" t="n">
        <v>882</v>
      </c>
      <c r="B1886" s="41" t="n">
        <v>4882</v>
      </c>
      <c r="C1886" s="42" t="inlineStr">
        <is>
          <t>0601912021</t>
        </is>
      </c>
      <c r="D1886" s="42" t="inlineStr">
        <is>
          <t>Region VI (Western Visayas)</t>
        </is>
      </c>
      <c r="E1886" s="42" t="inlineStr">
        <is>
          <t>Capiz</t>
        </is>
      </c>
      <c r="F1886" s="42" t="inlineStr">
        <is>
          <t>Pontevedra</t>
        </is>
      </c>
      <c r="G1886" s="42" t="inlineStr">
        <is>
          <t>Rizal</t>
        </is>
      </c>
      <c r="H1886" s="43" t="n">
        <v>11.437374</v>
      </c>
      <c r="I1886" s="43" t="n">
        <v>122.838029</v>
      </c>
      <c r="J1886" s="44" t="inlineStr">
        <is>
          <t>R</t>
        </is>
      </c>
      <c r="K1886" s="42" t="inlineStr">
        <is>
          <t>Class 1-3 / Urban</t>
        </is>
      </c>
      <c r="L1886" s="23" t="n">
        <v>4285</v>
      </c>
      <c r="M1886" s="24" t="n">
        <v>4.2</v>
      </c>
      <c r="N1886" s="23">
        <f>ROUND(L1886/M1886, 0)</f>
        <v/>
      </c>
      <c r="O1886" s="23">
        <f>ROUND(N1886*'Methodology &amp; Assumptions'!$B$8, 0)</f>
        <v/>
      </c>
      <c r="P1886" s="44" t="inlineStr">
        <is>
          <t>Band n50 (1.5 GHz, 60 MHz)</t>
        </is>
      </c>
      <c r="Q1886" s="38">
        <f>ROUNDUP(O1886/'Methodology &amp; Assumptions'!$B$9, 0)</f>
        <v/>
      </c>
      <c r="R1886" s="39" t="n">
        <v>1</v>
      </c>
      <c r="S1886" s="25" t="n">
        <v>4.53</v>
      </c>
      <c r="T1886" s="25" t="n">
        <v>0.24</v>
      </c>
      <c r="U1886" s="42" t="inlineStr">
        <is>
          <t>Tier 2 (Fiber Corridor / Lateral, 3-5 km)</t>
        </is>
      </c>
      <c r="V1886" s="24" t="n">
        <v>32.1</v>
      </c>
      <c r="W1886" s="24" t="n">
        <v>100</v>
      </c>
      <c r="X1886" s="24" t="n">
        <v>58</v>
      </c>
      <c r="Y1886" s="45">
        <f>ROUND((V1886*'Methodology &amp; Assumptions'!$B$6)+(W1886*'Methodology &amp; Assumptions'!$B$5)+(X1886*'Methodology &amp; Assumptions'!$B$7), 2)</f>
        <v/>
      </c>
    </row>
    <row r="1887" ht="19" customHeight="1">
      <c r="A1887" s="35" t="n">
        <v>883</v>
      </c>
      <c r="B1887" s="35" t="n">
        <v>4883</v>
      </c>
      <c r="C1887" s="36" t="inlineStr">
        <is>
          <t>0304927012</t>
        </is>
      </c>
      <c r="D1887" s="36" t="inlineStr">
        <is>
          <t>Region III (Central Luzon)</t>
        </is>
      </c>
      <c r="E1887" s="36" t="inlineStr">
        <is>
          <t>Nueva Ecija</t>
        </is>
      </c>
      <c r="F1887" s="36" t="inlineStr">
        <is>
          <t>San Leonardo</t>
        </is>
      </c>
      <c r="G1887" s="36" t="inlineStr">
        <is>
          <t>San Anton</t>
        </is>
      </c>
      <c r="H1887" s="37" t="n">
        <v>15.343805</v>
      </c>
      <c r="I1887" s="37" t="n">
        <v>120.920009</v>
      </c>
      <c r="J1887" s="8" t="inlineStr">
        <is>
          <t>U</t>
        </is>
      </c>
      <c r="K1887" s="36" t="inlineStr">
        <is>
          <t>Class 1-3 / Urban</t>
        </is>
      </c>
      <c r="L1887" s="18" t="n">
        <v>6993</v>
      </c>
      <c r="M1887" s="20" t="n">
        <v>4.32</v>
      </c>
      <c r="N1887" s="18">
        <f>ROUND(L1887/M1887, 0)</f>
        <v/>
      </c>
      <c r="O1887" s="18">
        <f>ROUND(N1887*'Methodology &amp; Assumptions'!$B$8, 0)</f>
        <v/>
      </c>
      <c r="P1887" s="8" t="inlineStr">
        <is>
          <t>Band n50 (1.5 GHz, 60 MHz)</t>
        </is>
      </c>
      <c r="Q1887" s="38">
        <f>ROUNDUP(O1887/'Methodology &amp; Assumptions'!$B$9, 0)</f>
        <v/>
      </c>
      <c r="R1887" s="39" t="n">
        <v>1</v>
      </c>
      <c r="S1887" s="21" t="n">
        <v>3.15</v>
      </c>
      <c r="T1887" s="21" t="n">
        <v>1.98</v>
      </c>
      <c r="U1887" s="36" t="inlineStr">
        <is>
          <t>Tier 2 (Fiber Corridor / Lateral, 3-5 km)</t>
        </is>
      </c>
      <c r="V1887" s="20" t="n">
        <v>45</v>
      </c>
      <c r="W1887" s="20" t="n">
        <v>100</v>
      </c>
      <c r="X1887" s="20" t="n">
        <v>43</v>
      </c>
      <c r="Y1887" s="40">
        <f>ROUND((V1887*'Methodology &amp; Assumptions'!$B$6)+(W1887*'Methodology &amp; Assumptions'!$B$5)+(X1887*'Methodology &amp; Assumptions'!$B$7), 2)</f>
        <v/>
      </c>
    </row>
    <row r="1888" ht="19" customHeight="1">
      <c r="A1888" s="41" t="n">
        <v>884</v>
      </c>
      <c r="B1888" s="41" t="n">
        <v>4884</v>
      </c>
      <c r="C1888" s="42" t="inlineStr">
        <is>
          <t>0304927009</t>
        </is>
      </c>
      <c r="D1888" s="42" t="inlineStr">
        <is>
          <t>Region III (Central Luzon)</t>
        </is>
      </c>
      <c r="E1888" s="42" t="inlineStr">
        <is>
          <t>Nueva Ecija</t>
        </is>
      </c>
      <c r="F1888" s="42" t="inlineStr">
        <is>
          <t>San Leonardo</t>
        </is>
      </c>
      <c r="G1888" s="42" t="inlineStr">
        <is>
          <t>Nieves</t>
        </is>
      </c>
      <c r="H1888" s="43" t="n">
        <v>15.343805</v>
      </c>
      <c r="I1888" s="43" t="n">
        <v>120.920009</v>
      </c>
      <c r="J1888" s="44" t="inlineStr">
        <is>
          <t>U</t>
        </is>
      </c>
      <c r="K1888" s="42" t="inlineStr">
        <is>
          <t>Class 1-3 / Urban</t>
        </is>
      </c>
      <c r="L1888" s="23" t="n">
        <v>5763</v>
      </c>
      <c r="M1888" s="24" t="n">
        <v>4.32</v>
      </c>
      <c r="N1888" s="23">
        <f>ROUND(L1888/M1888, 0)</f>
        <v/>
      </c>
      <c r="O1888" s="23">
        <f>ROUND(N1888*'Methodology &amp; Assumptions'!$B$8, 0)</f>
        <v/>
      </c>
      <c r="P1888" s="44" t="inlineStr">
        <is>
          <t>Band n50 (1.5 GHz, 60 MHz)</t>
        </is>
      </c>
      <c r="Q1888" s="38">
        <f>ROUNDUP(O1888/'Methodology &amp; Assumptions'!$B$9, 0)</f>
        <v/>
      </c>
      <c r="R1888" s="39" t="n">
        <v>1</v>
      </c>
      <c r="S1888" s="25" t="n">
        <v>3.15</v>
      </c>
      <c r="T1888" s="25" t="n">
        <v>1.98</v>
      </c>
      <c r="U1888" s="42" t="inlineStr">
        <is>
          <t>Tier 2 (Fiber Corridor / Lateral, 3-5 km)</t>
        </is>
      </c>
      <c r="V1888" s="24" t="n">
        <v>45</v>
      </c>
      <c r="W1888" s="24" t="n">
        <v>100</v>
      </c>
      <c r="X1888" s="24" t="n">
        <v>43</v>
      </c>
      <c r="Y1888" s="45">
        <f>ROUND((V1888*'Methodology &amp; Assumptions'!$B$6)+(W1888*'Methodology &amp; Assumptions'!$B$5)+(X1888*'Methodology &amp; Assumptions'!$B$7), 2)</f>
        <v/>
      </c>
    </row>
    <row r="1889" ht="19" customHeight="1">
      <c r="A1889" s="35" t="n">
        <v>885</v>
      </c>
      <c r="B1889" s="35" t="n">
        <v>4885</v>
      </c>
      <c r="C1889" s="36" t="inlineStr">
        <is>
          <t>0305402005</t>
        </is>
      </c>
      <c r="D1889" s="36" t="inlineStr">
        <is>
          <t>Region III (Central Luzon)</t>
        </is>
      </c>
      <c r="E1889" s="36" t="inlineStr">
        <is>
          <t>Pampanga</t>
        </is>
      </c>
      <c r="F1889" s="36" t="inlineStr">
        <is>
          <t>Apalit</t>
        </is>
      </c>
      <c r="G1889" s="36" t="inlineStr">
        <is>
          <t>Capalangan</t>
        </is>
      </c>
      <c r="H1889" s="37" t="n">
        <v>14.930498</v>
      </c>
      <c r="I1889" s="37" t="n">
        <v>120.76837</v>
      </c>
      <c r="J1889" s="8" t="inlineStr">
        <is>
          <t>U</t>
        </is>
      </c>
      <c r="K1889" s="36" t="inlineStr">
        <is>
          <t>Class 1-3 / Urban</t>
        </is>
      </c>
      <c r="L1889" s="18" t="n">
        <v>7394</v>
      </c>
      <c r="M1889" s="20" t="n">
        <v>4.63</v>
      </c>
      <c r="N1889" s="18">
        <f>ROUND(L1889/M1889, 0)</f>
        <v/>
      </c>
      <c r="O1889" s="18">
        <f>ROUND(N1889*'Methodology &amp; Assumptions'!$B$8, 0)</f>
        <v/>
      </c>
      <c r="P1889" s="8" t="inlineStr">
        <is>
          <t>Band n50 (1.5 GHz, 60 MHz)</t>
        </is>
      </c>
      <c r="Q1889" s="38">
        <f>ROUNDUP(O1889/'Methodology &amp; Assumptions'!$B$9, 0)</f>
        <v/>
      </c>
      <c r="R1889" s="39" t="n">
        <v>1</v>
      </c>
      <c r="S1889" s="21" t="n">
        <v>2.21</v>
      </c>
      <c r="T1889" s="21" t="n">
        <v>0.54</v>
      </c>
      <c r="U1889" s="36" t="inlineStr">
        <is>
          <t>Tier 1B (Micro Drop, 1-3 km)</t>
        </is>
      </c>
      <c r="V1889" s="20" t="n">
        <v>57.8</v>
      </c>
      <c r="W1889" s="20" t="n">
        <v>100</v>
      </c>
      <c r="X1889" s="20" t="n">
        <v>28</v>
      </c>
      <c r="Y1889" s="40">
        <f>ROUND((V1889*'Methodology &amp; Assumptions'!$B$6)+(W1889*'Methodology &amp; Assumptions'!$B$5)+(X1889*'Methodology &amp; Assumptions'!$B$7), 2)</f>
        <v/>
      </c>
    </row>
    <row r="1890" ht="19" customHeight="1">
      <c r="A1890" s="41" t="n">
        <v>886</v>
      </c>
      <c r="B1890" s="41" t="n">
        <v>4886</v>
      </c>
      <c r="C1890" s="42" t="inlineStr">
        <is>
          <t>0306910014</t>
        </is>
      </c>
      <c r="D1890" s="42" t="inlineStr">
        <is>
          <t>Region III (Central Luzon)</t>
        </is>
      </c>
      <c r="E1890" s="42" t="inlineStr">
        <is>
          <t>Tarlac</t>
        </is>
      </c>
      <c r="F1890" s="42" t="inlineStr">
        <is>
          <t>Paniqui</t>
        </is>
      </c>
      <c r="G1890" s="42" t="inlineStr">
        <is>
          <t>Coral</t>
        </is>
      </c>
      <c r="H1890" s="43" t="n">
        <v>15.659722</v>
      </c>
      <c r="I1890" s="43" t="n">
        <v>120.5725</v>
      </c>
      <c r="J1890" s="44" t="inlineStr">
        <is>
          <t>R</t>
        </is>
      </c>
      <c r="K1890" s="42" t="inlineStr">
        <is>
          <t>Class 1-3 / Urban</t>
        </is>
      </c>
      <c r="L1890" s="23" t="n">
        <v>2329</v>
      </c>
      <c r="M1890" s="24" t="n">
        <v>4.3</v>
      </c>
      <c r="N1890" s="23">
        <f>ROUND(L1890/M1890, 0)</f>
        <v/>
      </c>
      <c r="O1890" s="23">
        <f>ROUND(N1890*'Methodology &amp; Assumptions'!$B$8, 0)</f>
        <v/>
      </c>
      <c r="P1890" s="44" t="inlineStr">
        <is>
          <t>Band n50 (1.5 GHz, 60 MHz)</t>
        </is>
      </c>
      <c r="Q1890" s="38">
        <f>ROUNDUP(O1890/'Methodology &amp; Assumptions'!$B$9, 0)</f>
        <v/>
      </c>
      <c r="R1890" s="39" t="n">
        <v>1</v>
      </c>
      <c r="S1890" s="25" t="n">
        <v>1.81</v>
      </c>
      <c r="T1890" s="25" t="n">
        <v>0.8</v>
      </c>
      <c r="U1890" s="42" t="inlineStr">
        <is>
          <t>Tier 1B (Micro Drop, 1-3 km)</t>
        </is>
      </c>
      <c r="V1890" s="24" t="n">
        <v>64.59999999999999</v>
      </c>
      <c r="W1890" s="24" t="n">
        <v>67.5</v>
      </c>
      <c r="X1890" s="24" t="n">
        <v>58</v>
      </c>
      <c r="Y1890" s="45">
        <f>ROUND((V1890*'Methodology &amp; Assumptions'!$B$6)+(W1890*'Methodology &amp; Assumptions'!$B$5)+(X1890*'Methodology &amp; Assumptions'!$B$7), 2)</f>
        <v/>
      </c>
    </row>
    <row r="1891" ht="19" customHeight="1">
      <c r="A1891" s="35" t="n">
        <v>887</v>
      </c>
      <c r="B1891" s="35" t="n">
        <v>4887</v>
      </c>
      <c r="C1891" s="36" t="inlineStr">
        <is>
          <t>0500506057</t>
        </is>
      </c>
      <c r="D1891" s="36" t="inlineStr">
        <is>
          <t>Region V (Bicol Region)</t>
        </is>
      </c>
      <c r="E1891" s="36" t="inlineStr">
        <is>
          <t>Albay</t>
        </is>
      </c>
      <c r="F1891" s="36" t="inlineStr">
        <is>
          <t>City of Legazpi</t>
        </is>
      </c>
      <c r="G1891" s="36" t="inlineStr">
        <is>
          <t>Bgy. 65 - Imalnod</t>
        </is>
      </c>
      <c r="H1891" s="37" t="n">
        <v>13.065041</v>
      </c>
      <c r="I1891" s="37" t="n">
        <v>123.732214</v>
      </c>
      <c r="J1891" s="8" t="inlineStr">
        <is>
          <t>R</t>
        </is>
      </c>
      <c r="K1891" s="36" t="inlineStr">
        <is>
          <t>Class 1-3 / Urban</t>
        </is>
      </c>
      <c r="L1891" s="18" t="n">
        <v>2282</v>
      </c>
      <c r="M1891" s="20" t="n">
        <v>4.67</v>
      </c>
      <c r="N1891" s="18">
        <f>ROUND(L1891/M1891, 0)</f>
        <v/>
      </c>
      <c r="O1891" s="18">
        <f>ROUND(N1891*'Methodology &amp; Assumptions'!$B$8, 0)</f>
        <v/>
      </c>
      <c r="P1891" s="8" t="inlineStr">
        <is>
          <t>Band n50 (1.5 GHz, 60 MHz)</t>
        </is>
      </c>
      <c r="Q1891" s="38">
        <f>ROUNDUP(O1891/'Methodology &amp; Assumptions'!$B$9, 0)</f>
        <v/>
      </c>
      <c r="R1891" s="39" t="n">
        <v>1</v>
      </c>
      <c r="S1891" s="21" t="n">
        <v>1.59</v>
      </c>
      <c r="T1891" s="21" t="n">
        <v>0.29</v>
      </c>
      <c r="U1891" s="36" t="inlineStr">
        <is>
          <t>Tier 1B (Micro Drop, 1-3 km)</t>
        </is>
      </c>
      <c r="V1891" s="20" t="n">
        <v>68.90000000000001</v>
      </c>
      <c r="W1891" s="20" t="n">
        <v>63.2</v>
      </c>
      <c r="X1891" s="20" t="n">
        <v>58</v>
      </c>
      <c r="Y1891" s="40">
        <f>ROUND((V1891*'Methodology &amp; Assumptions'!$B$6)+(W1891*'Methodology &amp; Assumptions'!$B$5)+(X1891*'Methodology &amp; Assumptions'!$B$7), 2)</f>
        <v/>
      </c>
    </row>
    <row r="1892" ht="19" customHeight="1">
      <c r="A1892" s="41" t="n">
        <v>888</v>
      </c>
      <c r="B1892" s="41" t="n">
        <v>4888</v>
      </c>
      <c r="C1892" s="42" t="inlineStr">
        <is>
          <t>1004309001</t>
        </is>
      </c>
      <c r="D1892" s="42" t="inlineStr">
        <is>
          <t>Region X (Northern Mindanao)</t>
        </is>
      </c>
      <c r="E1892" s="42" t="inlineStr">
        <is>
          <t>Misamis Oriental</t>
        </is>
      </c>
      <c r="F1892" s="42" t="inlineStr">
        <is>
          <t>Gitagum</t>
        </is>
      </c>
      <c r="G1892" s="42" t="inlineStr">
        <is>
          <t>Burnay</t>
        </is>
      </c>
      <c r="H1892" s="43" t="n">
        <v>8.591483</v>
      </c>
      <c r="I1892" s="43" t="n">
        <v>124.393939</v>
      </c>
      <c r="J1892" s="44" t="inlineStr">
        <is>
          <t>R</t>
        </is>
      </c>
      <c r="K1892" s="42" t="inlineStr">
        <is>
          <t>2nd</t>
        </is>
      </c>
      <c r="L1892" s="23" t="n">
        <v>1597</v>
      </c>
      <c r="M1892" s="24" t="n">
        <v>4.2</v>
      </c>
      <c r="N1892" s="23">
        <f>ROUND(L1892/M1892, 0)</f>
        <v/>
      </c>
      <c r="O1892" s="23">
        <f>ROUND(N1892*'Methodology &amp; Assumptions'!$B$8, 0)</f>
        <v/>
      </c>
      <c r="P1892" s="44" t="inlineStr">
        <is>
          <t>Band n50 (1.5 GHz, 60 MHz)</t>
        </is>
      </c>
      <c r="Q1892" s="38">
        <f>ROUNDUP(O1892/'Methodology &amp; Assumptions'!$B$9, 0)</f>
        <v/>
      </c>
      <c r="R1892" s="39" t="n">
        <v>1</v>
      </c>
      <c r="S1892" s="25" t="n">
        <v>1.17</v>
      </c>
      <c r="T1892" s="25" t="n">
        <v>0.02</v>
      </c>
      <c r="U1892" s="42" t="inlineStr">
        <is>
          <t>Tier 1B (Micro Drop, 1-3 km)</t>
        </is>
      </c>
      <c r="V1892" s="24" t="n">
        <v>77.7</v>
      </c>
      <c r="W1892" s="24" t="n">
        <v>54.4</v>
      </c>
      <c r="X1892" s="24" t="n">
        <v>58</v>
      </c>
      <c r="Y1892" s="45">
        <f>ROUND((V1892*'Methodology &amp; Assumptions'!$B$6)+(W1892*'Methodology &amp; Assumptions'!$B$5)+(X1892*'Methodology &amp; Assumptions'!$B$7), 2)</f>
        <v/>
      </c>
    </row>
    <row r="1893" ht="19" customHeight="1">
      <c r="A1893" s="35" t="n">
        <v>889</v>
      </c>
      <c r="B1893" s="35" t="n">
        <v>4889</v>
      </c>
      <c r="C1893" s="36" t="inlineStr">
        <is>
          <t>0500507016</t>
        </is>
      </c>
      <c r="D1893" s="36" t="inlineStr">
        <is>
          <t>Region V (Bicol Region)</t>
        </is>
      </c>
      <c r="E1893" s="36" t="inlineStr">
        <is>
          <t>Albay</t>
        </is>
      </c>
      <c r="F1893" s="36" t="inlineStr">
        <is>
          <t>Libon</t>
        </is>
      </c>
      <c r="G1893" s="36" t="inlineStr">
        <is>
          <t>Caguscos</t>
        </is>
      </c>
      <c r="H1893" s="37" t="n">
        <v>13.231563</v>
      </c>
      <c r="I1893" s="37" t="n">
        <v>123.330681</v>
      </c>
      <c r="J1893" s="8" t="inlineStr">
        <is>
          <t>R</t>
        </is>
      </c>
      <c r="K1893" s="36" t="inlineStr">
        <is>
          <t>Class 1-3 / Urban</t>
        </is>
      </c>
      <c r="L1893" s="18" t="n">
        <v>1031</v>
      </c>
      <c r="M1893" s="20" t="n">
        <v>4.67</v>
      </c>
      <c r="N1893" s="18">
        <f>ROUND(L1893/M1893, 0)</f>
        <v/>
      </c>
      <c r="O1893" s="18">
        <f>ROUND(N1893*'Methodology &amp; Assumptions'!$B$8, 0)</f>
        <v/>
      </c>
      <c r="P1893" s="8" t="inlineStr">
        <is>
          <t>Band n50 (1.5 GHz, 60 MHz)</t>
        </is>
      </c>
      <c r="Q1893" s="38">
        <f>ROUNDUP(O1893/'Methodology &amp; Assumptions'!$B$9, 0)</f>
        <v/>
      </c>
      <c r="R1893" s="39" t="n">
        <v>1</v>
      </c>
      <c r="S1893" s="21" t="n">
        <v>0.3</v>
      </c>
      <c r="T1893" s="21" t="n">
        <v>13.96</v>
      </c>
      <c r="U1893" s="36" t="inlineStr">
        <is>
          <t>Tier 1A (Direct Coloc, &lt;1 km)</t>
        </is>
      </c>
      <c r="V1893" s="20" t="n">
        <v>90.5</v>
      </c>
      <c r="W1893" s="20" t="n">
        <v>41.6</v>
      </c>
      <c r="X1893" s="20" t="n">
        <v>58</v>
      </c>
      <c r="Y1893" s="40">
        <f>ROUND((V1893*'Methodology &amp; Assumptions'!$B$6)+(W1893*'Methodology &amp; Assumptions'!$B$5)+(X1893*'Methodology &amp; Assumptions'!$B$7), 2)</f>
        <v/>
      </c>
    </row>
    <row r="1894" ht="19" customHeight="1">
      <c r="A1894" s="41" t="n">
        <v>890</v>
      </c>
      <c r="B1894" s="41" t="n">
        <v>4890</v>
      </c>
      <c r="C1894" s="42" t="inlineStr">
        <is>
          <t>0201506013</t>
        </is>
      </c>
      <c r="D1894" s="42" t="inlineStr">
        <is>
          <t>Region II (Cagayan Valley)</t>
        </is>
      </c>
      <c r="E1894" s="42" t="inlineStr">
        <is>
          <t>Cagayan</t>
        </is>
      </c>
      <c r="F1894" s="42" t="inlineStr">
        <is>
          <t>Baggao</t>
        </is>
      </c>
      <c r="G1894" s="42" t="inlineStr">
        <is>
          <t>Bitag Grande</t>
        </is>
      </c>
      <c r="H1894" s="43" t="n">
        <v>17.9001</v>
      </c>
      <c r="I1894" s="43" t="n">
        <v>121.8509</v>
      </c>
      <c r="J1894" s="44" t="inlineStr">
        <is>
          <t>R</t>
        </is>
      </c>
      <c r="K1894" s="42" t="inlineStr">
        <is>
          <t>Class 1-3 / Urban</t>
        </is>
      </c>
      <c r="L1894" s="23" t="n">
        <v>3365</v>
      </c>
      <c r="M1894" s="24" t="n">
        <v>4.38</v>
      </c>
      <c r="N1894" s="23">
        <f>ROUND(L1894/M1894, 0)</f>
        <v/>
      </c>
      <c r="O1894" s="23">
        <f>ROUND(N1894*'Methodology &amp; Assumptions'!$B$8, 0)</f>
        <v/>
      </c>
      <c r="P1894" s="44" t="inlineStr">
        <is>
          <t>Band n50 (1.5 GHz, 60 MHz)</t>
        </is>
      </c>
      <c r="Q1894" s="38">
        <f>ROUNDUP(O1894/'Methodology &amp; Assumptions'!$B$9, 0)</f>
        <v/>
      </c>
      <c r="R1894" s="39" t="n">
        <v>1</v>
      </c>
      <c r="S1894" s="25" t="n">
        <v>2.28</v>
      </c>
      <c r="T1894" s="25" t="n">
        <v>14.73</v>
      </c>
      <c r="U1894" s="42" t="inlineStr">
        <is>
          <t>Tier 1B (Micro Drop, 1-3 km)</t>
        </is>
      </c>
      <c r="V1894" s="24" t="n">
        <v>46.7</v>
      </c>
      <c r="W1894" s="24" t="n">
        <v>85.3</v>
      </c>
      <c r="X1894" s="24" t="n">
        <v>58</v>
      </c>
      <c r="Y1894" s="45">
        <f>ROUND((V1894*'Methodology &amp; Assumptions'!$B$6)+(W1894*'Methodology &amp; Assumptions'!$B$5)+(X1894*'Methodology &amp; Assumptions'!$B$7), 2)</f>
        <v/>
      </c>
    </row>
    <row r="1895" ht="19" customHeight="1">
      <c r="A1895" s="35" t="n">
        <v>891</v>
      </c>
      <c r="B1895" s="35" t="n">
        <v>4891</v>
      </c>
      <c r="C1895" s="36" t="inlineStr">
        <is>
          <t>0304903061</t>
        </is>
      </c>
      <c r="D1895" s="36" t="inlineStr">
        <is>
          <t>Region III (Central Luzon)</t>
        </is>
      </c>
      <c r="E1895" s="36" t="inlineStr">
        <is>
          <t>Nueva Ecija</t>
        </is>
      </c>
      <c r="F1895" s="36" t="inlineStr">
        <is>
          <t>City of Cabanatuan</t>
        </is>
      </c>
      <c r="G1895" s="36" t="inlineStr">
        <is>
          <t>Patalac</t>
        </is>
      </c>
      <c r="H1895" s="37" t="n">
        <v>15.47936</v>
      </c>
      <c r="I1895" s="37" t="n">
        <v>121.086882</v>
      </c>
      <c r="J1895" s="8" t="inlineStr">
        <is>
          <t>R</t>
        </is>
      </c>
      <c r="K1895" s="36" t="inlineStr">
        <is>
          <t>Class 1-3 / Urban</t>
        </is>
      </c>
      <c r="L1895" s="18" t="n">
        <v>2417</v>
      </c>
      <c r="M1895" s="20" t="n">
        <v>4.32</v>
      </c>
      <c r="N1895" s="18">
        <f>ROUND(L1895/M1895, 0)</f>
        <v/>
      </c>
      <c r="O1895" s="18">
        <f>ROUND(N1895*'Methodology &amp; Assumptions'!$B$8, 0)</f>
        <v/>
      </c>
      <c r="P1895" s="8" t="inlineStr">
        <is>
          <t>Band n50 (1.5 GHz, 60 MHz)</t>
        </is>
      </c>
      <c r="Q1895" s="38">
        <f>ROUNDUP(O1895/'Methodology &amp; Assumptions'!$B$9, 0)</f>
        <v/>
      </c>
      <c r="R1895" s="39" t="n">
        <v>1</v>
      </c>
      <c r="S1895" s="21" t="n">
        <v>1.89</v>
      </c>
      <c r="T1895" s="21" t="n">
        <v>1.9</v>
      </c>
      <c r="U1895" s="36" t="inlineStr">
        <is>
          <t>Tier 1B (Micro Drop, 1-3 km)</t>
        </is>
      </c>
      <c r="V1895" s="20" t="n">
        <v>63.3</v>
      </c>
      <c r="W1895" s="20" t="n">
        <v>68.8</v>
      </c>
      <c r="X1895" s="20" t="n">
        <v>58</v>
      </c>
      <c r="Y1895" s="40">
        <f>ROUND((V1895*'Methodology &amp; Assumptions'!$B$6)+(W1895*'Methodology &amp; Assumptions'!$B$5)+(X1895*'Methodology &amp; Assumptions'!$B$7), 2)</f>
        <v/>
      </c>
    </row>
    <row r="1896" ht="19" customHeight="1">
      <c r="A1896" s="41" t="n">
        <v>892</v>
      </c>
      <c r="B1896" s="41" t="n">
        <v>4892</v>
      </c>
      <c r="C1896" s="42" t="inlineStr">
        <is>
          <t>0803702053</t>
        </is>
      </c>
      <c r="D1896" s="42" t="inlineStr">
        <is>
          <t>Region VIII (Eastern Visayas)</t>
        </is>
      </c>
      <c r="E1896" s="42" t="inlineStr">
        <is>
          <t>Leyte</t>
        </is>
      </c>
      <c r="F1896" s="42" t="inlineStr">
        <is>
          <t>Alangalang</t>
        </is>
      </c>
      <c r="G1896" s="42" t="inlineStr">
        <is>
          <t>San Antonio Pob.</t>
        </is>
      </c>
      <c r="H1896" s="43" t="n">
        <v>11.204782</v>
      </c>
      <c r="I1896" s="43" t="n">
        <v>124.849108</v>
      </c>
      <c r="J1896" s="44" t="inlineStr">
        <is>
          <t>R</t>
        </is>
      </c>
      <c r="K1896" s="42" t="inlineStr">
        <is>
          <t>Class 1-3 / Urban</t>
        </is>
      </c>
      <c r="L1896" s="23" t="n">
        <v>1506</v>
      </c>
      <c r="M1896" s="24" t="n">
        <v>4.24</v>
      </c>
      <c r="N1896" s="23">
        <f>ROUND(L1896/M1896, 0)</f>
        <v/>
      </c>
      <c r="O1896" s="23">
        <f>ROUND(N1896*'Methodology &amp; Assumptions'!$B$8, 0)</f>
        <v/>
      </c>
      <c r="P1896" s="44" t="inlineStr">
        <is>
          <t>Band n50 (1.5 GHz, 60 MHz)</t>
        </is>
      </c>
      <c r="Q1896" s="38">
        <f>ROUNDUP(O1896/'Methodology &amp; Assumptions'!$B$9, 0)</f>
        <v/>
      </c>
      <c r="R1896" s="39" t="n">
        <v>1</v>
      </c>
      <c r="S1896" s="25" t="n">
        <v>1.08</v>
      </c>
      <c r="T1896" s="25" t="n">
        <v>0.31</v>
      </c>
      <c r="U1896" s="42" t="inlineStr">
        <is>
          <t>Tier 1B (Micro Drop, 1-3 km)</t>
        </is>
      </c>
      <c r="V1896" s="24" t="n">
        <v>79.8</v>
      </c>
      <c r="W1896" s="24" t="n">
        <v>52.3</v>
      </c>
      <c r="X1896" s="24" t="n">
        <v>58</v>
      </c>
      <c r="Y1896" s="45">
        <f>ROUND((V1896*'Methodology &amp; Assumptions'!$B$6)+(W1896*'Methodology &amp; Assumptions'!$B$5)+(X1896*'Methodology &amp; Assumptions'!$B$7), 2)</f>
        <v/>
      </c>
    </row>
    <row r="1897" ht="19" customHeight="1">
      <c r="A1897" s="35" t="n">
        <v>893</v>
      </c>
      <c r="B1897" s="35" t="n">
        <v>4893</v>
      </c>
      <c r="C1897" s="36" t="inlineStr">
        <is>
          <t>0702250015</t>
        </is>
      </c>
      <c r="D1897" s="36" t="inlineStr">
        <is>
          <t>Region VII (Central Visayas)</t>
        </is>
      </c>
      <c r="E1897" s="36" t="inlineStr">
        <is>
          <t>Cebu</t>
        </is>
      </c>
      <c r="F1897" s="36" t="inlineStr">
        <is>
          <t>City of Talisay</t>
        </is>
      </c>
      <c r="G1897" s="36" t="inlineStr">
        <is>
          <t>San Roque</t>
        </is>
      </c>
      <c r="H1897" s="37" t="n">
        <v>10.255753</v>
      </c>
      <c r="I1897" s="37" t="n">
        <v>123.860644</v>
      </c>
      <c r="J1897" s="8" t="inlineStr">
        <is>
          <t>U</t>
        </is>
      </c>
      <c r="K1897" s="36" t="inlineStr">
        <is>
          <t>Class 1-3 / Urban</t>
        </is>
      </c>
      <c r="L1897" s="18" t="n">
        <v>22015</v>
      </c>
      <c r="M1897" s="20" t="n">
        <v>4.42</v>
      </c>
      <c r="N1897" s="18">
        <f>ROUND(L1897/M1897, 0)</f>
        <v/>
      </c>
      <c r="O1897" s="18">
        <f>ROUND(N1897*'Methodology &amp; Assumptions'!$B$8, 0)</f>
        <v/>
      </c>
      <c r="P1897" s="8" t="inlineStr">
        <is>
          <t>Band n50 (1.5 GHz, 60 MHz)</t>
        </is>
      </c>
      <c r="Q1897" s="38">
        <f>ROUNDUP(O1897/'Methodology &amp; Assumptions'!$B$9, 0)</f>
        <v/>
      </c>
      <c r="R1897" s="39" t="n">
        <v>1</v>
      </c>
      <c r="S1897" s="21" t="n">
        <v>2.22</v>
      </c>
      <c r="T1897" s="21" t="n">
        <v>0.01</v>
      </c>
      <c r="U1897" s="36" t="inlineStr">
        <is>
          <t>Tier 1B (Micro Drop, 1-3 km)</t>
        </is>
      </c>
      <c r="V1897" s="20" t="n">
        <v>57.8</v>
      </c>
      <c r="W1897" s="20" t="n">
        <v>100</v>
      </c>
      <c r="X1897" s="20" t="n">
        <v>28</v>
      </c>
      <c r="Y1897" s="40">
        <f>ROUND((V1897*'Methodology &amp; Assumptions'!$B$6)+(W1897*'Methodology &amp; Assumptions'!$B$5)+(X1897*'Methodology &amp; Assumptions'!$B$7), 2)</f>
        <v/>
      </c>
    </row>
    <row r="1898" ht="19" customHeight="1">
      <c r="A1898" s="41" t="n">
        <v>894</v>
      </c>
      <c r="B1898" s="41" t="n">
        <v>4894</v>
      </c>
      <c r="C1898" s="42" t="inlineStr">
        <is>
          <t>1401113007</t>
        </is>
      </c>
      <c r="D1898" s="42" t="inlineStr">
        <is>
          <t>Cordillera Administrative Region (CAR)</t>
        </is>
      </c>
      <c r="E1898" s="42" t="inlineStr">
        <is>
          <t>Benguet</t>
        </is>
      </c>
      <c r="F1898" s="42" t="inlineStr">
        <is>
          <t>Tuba</t>
        </is>
      </c>
      <c r="G1898" s="42" t="inlineStr">
        <is>
          <t>Poblacion</t>
        </is>
      </c>
      <c r="H1898" s="43" t="n">
        <v>16.3599</v>
      </c>
      <c r="I1898" s="43" t="n">
        <v>120.67765</v>
      </c>
      <c r="J1898" s="44" t="inlineStr">
        <is>
          <t>U</t>
        </is>
      </c>
      <c r="K1898" s="42" t="inlineStr">
        <is>
          <t>Class 1-3 / Urban</t>
        </is>
      </c>
      <c r="L1898" s="23" t="n">
        <v>8558</v>
      </c>
      <c r="M1898" s="24" t="n">
        <v>4.58</v>
      </c>
      <c r="N1898" s="23">
        <f>ROUND(L1898/M1898, 0)</f>
        <v/>
      </c>
      <c r="O1898" s="23">
        <f>ROUND(N1898*'Methodology &amp; Assumptions'!$B$8, 0)</f>
        <v/>
      </c>
      <c r="P1898" s="44" t="inlineStr">
        <is>
          <t>Band n50 (1.5 GHz, 60 MHz)</t>
        </is>
      </c>
      <c r="Q1898" s="38">
        <f>ROUNDUP(O1898/'Methodology &amp; Assumptions'!$B$9, 0)</f>
        <v/>
      </c>
      <c r="R1898" s="39" t="n">
        <v>1</v>
      </c>
      <c r="S1898" s="25" t="n">
        <v>1.65</v>
      </c>
      <c r="T1898" s="25" t="n">
        <v>5.99</v>
      </c>
      <c r="U1898" s="42" t="inlineStr">
        <is>
          <t>Tier 1B (Micro Drop, 1-3 km)</t>
        </is>
      </c>
      <c r="V1898" s="24" t="n">
        <v>57.8</v>
      </c>
      <c r="W1898" s="24" t="n">
        <v>100</v>
      </c>
      <c r="X1898" s="24" t="n">
        <v>28</v>
      </c>
      <c r="Y1898" s="45">
        <f>ROUND((V1898*'Methodology &amp; Assumptions'!$B$6)+(W1898*'Methodology &amp; Assumptions'!$B$5)+(X1898*'Methodology &amp; Assumptions'!$B$7), 2)</f>
        <v/>
      </c>
    </row>
    <row r="1899" ht="19" customHeight="1">
      <c r="A1899" s="35" t="n">
        <v>895</v>
      </c>
      <c r="B1899" s="35" t="n">
        <v>4895</v>
      </c>
      <c r="C1899" s="36" t="inlineStr">
        <is>
          <t>0304902014</t>
        </is>
      </c>
      <c r="D1899" s="36" t="inlineStr">
        <is>
          <t>Region III (Central Luzon)</t>
        </is>
      </c>
      <c r="E1899" s="36" t="inlineStr">
        <is>
          <t>Nueva Ecija</t>
        </is>
      </c>
      <c r="F1899" s="36" t="inlineStr">
        <is>
          <t>Bongabon</t>
        </is>
      </c>
      <c r="G1899" s="36" t="inlineStr">
        <is>
          <t>Magtanggol</t>
        </is>
      </c>
      <c r="H1899" s="37" t="n">
        <v>15.63081</v>
      </c>
      <c r="I1899" s="37" t="n">
        <v>121.140203</v>
      </c>
      <c r="J1899" s="8" t="inlineStr">
        <is>
          <t>R</t>
        </is>
      </c>
      <c r="K1899" s="36" t="inlineStr">
        <is>
          <t>Class 1-3 / Urban</t>
        </is>
      </c>
      <c r="L1899" s="18" t="n">
        <v>1437</v>
      </c>
      <c r="M1899" s="20" t="n">
        <v>4.32</v>
      </c>
      <c r="N1899" s="18">
        <f>ROUND(L1899/M1899, 0)</f>
        <v/>
      </c>
      <c r="O1899" s="18">
        <f>ROUND(N1899*'Methodology &amp; Assumptions'!$B$8, 0)</f>
        <v/>
      </c>
      <c r="P1899" s="8" t="inlineStr">
        <is>
          <t>Band n50 (1.5 GHz, 60 MHz)</t>
        </is>
      </c>
      <c r="Q1899" s="38">
        <f>ROUNDUP(O1899/'Methodology &amp; Assumptions'!$B$9, 0)</f>
        <v/>
      </c>
      <c r="R1899" s="39" t="n">
        <v>1</v>
      </c>
      <c r="S1899" s="21" t="n">
        <v>1.01</v>
      </c>
      <c r="T1899" s="21" t="n">
        <v>0.5600000000000001</v>
      </c>
      <c r="U1899" s="36" t="inlineStr">
        <is>
          <t>Tier 1B (Micro Drop, 1-3 km)</t>
        </is>
      </c>
      <c r="V1899" s="20" t="n">
        <v>81.40000000000001</v>
      </c>
      <c r="W1899" s="20" t="n">
        <v>50.7</v>
      </c>
      <c r="X1899" s="20" t="n">
        <v>58</v>
      </c>
      <c r="Y1899" s="40">
        <f>ROUND((V1899*'Methodology &amp; Assumptions'!$B$6)+(W1899*'Methodology &amp; Assumptions'!$B$5)+(X1899*'Methodology &amp; Assumptions'!$B$7), 2)</f>
        <v/>
      </c>
    </row>
    <row r="1900" ht="19" customHeight="1">
      <c r="A1900" s="41" t="n">
        <v>896</v>
      </c>
      <c r="B1900" s="41" t="n">
        <v>4896</v>
      </c>
      <c r="C1900" s="42" t="inlineStr">
        <is>
          <t>0301420017</t>
        </is>
      </c>
      <c r="D1900" s="42" t="inlineStr">
        <is>
          <t>Region III (Central Luzon)</t>
        </is>
      </c>
      <c r="E1900" s="42" t="inlineStr">
        <is>
          <t>Bulacan</t>
        </is>
      </c>
      <c r="F1900" s="42" t="inlineStr">
        <is>
          <t>City of San Jose Del Monte</t>
        </is>
      </c>
      <c r="G1900" s="42" t="inlineStr">
        <is>
          <t>San Rafael II</t>
        </is>
      </c>
      <c r="H1900" s="43" t="n">
        <v>14.854039</v>
      </c>
      <c r="I1900" s="43" t="n">
        <v>121.046065</v>
      </c>
      <c r="J1900" s="44" t="inlineStr">
        <is>
          <t>U</t>
        </is>
      </c>
      <c r="K1900" s="42" t="inlineStr">
        <is>
          <t>Class 1-3 / Urban</t>
        </is>
      </c>
      <c r="L1900" s="23" t="n">
        <v>8139</v>
      </c>
      <c r="M1900" s="24" t="n">
        <v>4.1</v>
      </c>
      <c r="N1900" s="23">
        <f>ROUND(L1900/M1900, 0)</f>
        <v/>
      </c>
      <c r="O1900" s="23">
        <f>ROUND(N1900*'Methodology &amp; Assumptions'!$B$8, 0)</f>
        <v/>
      </c>
      <c r="P1900" s="44" t="inlineStr">
        <is>
          <t>Band n50 (1.5 GHz, 60 MHz)</t>
        </is>
      </c>
      <c r="Q1900" s="38">
        <f>ROUNDUP(O1900/'Methodology &amp; Assumptions'!$B$9, 0)</f>
        <v/>
      </c>
      <c r="R1900" s="39" t="n">
        <v>1</v>
      </c>
      <c r="S1900" s="25" t="n">
        <v>1.65</v>
      </c>
      <c r="T1900" s="25" t="n">
        <v>2.65</v>
      </c>
      <c r="U1900" s="42" t="inlineStr">
        <is>
          <t>Tier 1B (Micro Drop, 1-3 km)</t>
        </is>
      </c>
      <c r="V1900" s="24" t="n">
        <v>57.7</v>
      </c>
      <c r="W1900" s="24" t="n">
        <v>100</v>
      </c>
      <c r="X1900" s="24" t="n">
        <v>28</v>
      </c>
      <c r="Y1900" s="45">
        <f>ROUND((V1900*'Methodology &amp; Assumptions'!$B$6)+(W1900*'Methodology &amp; Assumptions'!$B$5)+(X1900*'Methodology &amp; Assumptions'!$B$7), 2)</f>
        <v/>
      </c>
    </row>
    <row r="1901" ht="19" customHeight="1">
      <c r="A1901" s="35" t="n">
        <v>897</v>
      </c>
      <c r="B1901" s="35" t="n">
        <v>4897</v>
      </c>
      <c r="C1901" s="36" t="inlineStr">
        <is>
          <t>0405618010</t>
        </is>
      </c>
      <c r="D1901" s="36" t="inlineStr">
        <is>
          <t>Region IV-A (CALABARZON)</t>
        </is>
      </c>
      <c r="E1901" s="36" t="inlineStr">
        <is>
          <t>Quezon</t>
        </is>
      </c>
      <c r="F1901" s="36" t="inlineStr">
        <is>
          <t>Guinayangan</t>
        </is>
      </c>
      <c r="G1901" s="36" t="inlineStr">
        <is>
          <t>Calimpak</t>
        </is>
      </c>
      <c r="H1901" s="37" t="n">
        <v>13.912933</v>
      </c>
      <c r="I1901" s="37" t="n">
        <v>122.438616</v>
      </c>
      <c r="J1901" s="8" t="inlineStr">
        <is>
          <t>U</t>
        </is>
      </c>
      <c r="K1901" s="36" t="inlineStr">
        <is>
          <t>Class 1-3 / Urban</t>
        </is>
      </c>
      <c r="L1901" s="18" t="n">
        <v>5693</v>
      </c>
      <c r="M1901" s="20" t="n">
        <v>4.46</v>
      </c>
      <c r="N1901" s="18">
        <f>ROUND(L1901/M1901, 0)</f>
        <v/>
      </c>
      <c r="O1901" s="18">
        <f>ROUND(N1901*'Methodology &amp; Assumptions'!$B$8, 0)</f>
        <v/>
      </c>
      <c r="P1901" s="8" t="inlineStr">
        <is>
          <t>Band n50 (1.5 GHz, 60 MHz)</t>
        </is>
      </c>
      <c r="Q1901" s="38">
        <f>ROUNDUP(O1901/'Methodology &amp; Assumptions'!$B$9, 0)</f>
        <v/>
      </c>
      <c r="R1901" s="39" t="n">
        <v>1</v>
      </c>
      <c r="S1901" s="21" t="n">
        <v>1.65</v>
      </c>
      <c r="T1901" s="21" t="n">
        <v>11.58</v>
      </c>
      <c r="U1901" s="36" t="inlineStr">
        <is>
          <t>Tier 1B (Micro Drop, 1-3 km)</t>
        </is>
      </c>
      <c r="V1901" s="20" t="n">
        <v>57.7</v>
      </c>
      <c r="W1901" s="20" t="n">
        <v>100</v>
      </c>
      <c r="X1901" s="20" t="n">
        <v>28</v>
      </c>
      <c r="Y1901" s="40">
        <f>ROUND((V1901*'Methodology &amp; Assumptions'!$B$6)+(W1901*'Methodology &amp; Assumptions'!$B$5)+(X1901*'Methodology &amp; Assumptions'!$B$7), 2)</f>
        <v/>
      </c>
    </row>
    <row r="1902" ht="19" customHeight="1">
      <c r="A1902" s="41" t="n">
        <v>898</v>
      </c>
      <c r="B1902" s="41" t="n">
        <v>4898</v>
      </c>
      <c r="C1902" s="42" t="inlineStr">
        <is>
          <t>1003505028</t>
        </is>
      </c>
      <c r="D1902" s="42" t="inlineStr">
        <is>
          <t>Region X (Northern Mindanao)</t>
        </is>
      </c>
      <c r="E1902" s="42" t="inlineStr">
        <is>
          <t>Lanao del Norte</t>
        </is>
      </c>
      <c r="F1902" s="42" t="inlineStr">
        <is>
          <t>Kapatagan</t>
        </is>
      </c>
      <c r="G1902" s="42" t="inlineStr">
        <is>
          <t>Lapinig</t>
        </is>
      </c>
      <c r="H1902" s="43" t="n">
        <v>7.9206</v>
      </c>
      <c r="I1902" s="43" t="n">
        <v>123.6897</v>
      </c>
      <c r="J1902" s="44" t="inlineStr">
        <is>
          <t>R</t>
        </is>
      </c>
      <c r="K1902" s="42" t="inlineStr">
        <is>
          <t>Class 1-3 / Urban</t>
        </is>
      </c>
      <c r="L1902" s="23" t="n">
        <v>4494</v>
      </c>
      <c r="M1902" s="24" t="n">
        <v>5.12</v>
      </c>
      <c r="N1902" s="23">
        <f>ROUND(L1902/M1902, 0)</f>
        <v/>
      </c>
      <c r="O1902" s="23">
        <f>ROUND(N1902*'Methodology &amp; Assumptions'!$B$8, 0)</f>
        <v/>
      </c>
      <c r="P1902" s="44" t="inlineStr">
        <is>
          <t>Band n50 (1.5 GHz, 60 MHz)</t>
        </is>
      </c>
      <c r="Q1902" s="38">
        <f>ROUNDUP(O1902/'Methodology &amp; Assumptions'!$B$9, 0)</f>
        <v/>
      </c>
      <c r="R1902" s="39" t="n">
        <v>1</v>
      </c>
      <c r="S1902" s="25" t="n">
        <v>11.92</v>
      </c>
      <c r="T1902" s="25" t="n">
        <v>0.75</v>
      </c>
      <c r="U1902" s="42" t="inlineStr">
        <is>
          <t>Tier 2 (Fiber Corridor / Lateral, 3-5 km)</t>
        </is>
      </c>
      <c r="V1902" s="24" t="n">
        <v>25</v>
      </c>
      <c r="W1902" s="24" t="n">
        <v>94.09999999999999</v>
      </c>
      <c r="X1902" s="24" t="n">
        <v>73</v>
      </c>
      <c r="Y1902" s="45">
        <f>ROUND((V1902*'Methodology &amp; Assumptions'!$B$6)+(W1902*'Methodology &amp; Assumptions'!$B$5)+(X1902*'Methodology &amp; Assumptions'!$B$7), 2)</f>
        <v/>
      </c>
    </row>
    <row r="1903" ht="19" customHeight="1">
      <c r="A1903" s="35" t="n">
        <v>899</v>
      </c>
      <c r="B1903" s="35" t="n">
        <v>4899</v>
      </c>
      <c r="C1903" s="36" t="inlineStr">
        <is>
          <t>0105502017</t>
        </is>
      </c>
      <c r="D1903" s="36" t="inlineStr">
        <is>
          <t>Region I (Ilocos Region)</t>
        </is>
      </c>
      <c r="E1903" s="36" t="inlineStr">
        <is>
          <t>Pangasinan</t>
        </is>
      </c>
      <c r="F1903" s="36" t="inlineStr">
        <is>
          <t>Aguilar</t>
        </is>
      </c>
      <c r="G1903" s="36" t="inlineStr">
        <is>
          <t>Laoag</t>
        </is>
      </c>
      <c r="H1903" s="37" t="n">
        <v>15.87921</v>
      </c>
      <c r="I1903" s="37" t="n">
        <v>120.234</v>
      </c>
      <c r="J1903" s="8" t="inlineStr">
        <is>
          <t>R</t>
        </is>
      </c>
      <c r="K1903" s="36" t="inlineStr">
        <is>
          <t>Class 1-3 / Urban</t>
        </is>
      </c>
      <c r="L1903" s="18" t="n">
        <v>3958</v>
      </c>
      <c r="M1903" s="20" t="n">
        <v>4.39</v>
      </c>
      <c r="N1903" s="18">
        <f>ROUND(L1903/M1903, 0)</f>
        <v/>
      </c>
      <c r="O1903" s="18">
        <f>ROUND(N1903*'Methodology &amp; Assumptions'!$B$8, 0)</f>
        <v/>
      </c>
      <c r="P1903" s="8" t="inlineStr">
        <is>
          <t>Band n50 (1.5 GHz, 60 MHz)</t>
        </is>
      </c>
      <c r="Q1903" s="38">
        <f>ROUNDUP(O1903/'Methodology &amp; Assumptions'!$B$9, 0)</f>
        <v/>
      </c>
      <c r="R1903" s="39" t="n">
        <v>1</v>
      </c>
      <c r="S1903" s="21" t="n">
        <v>4.43</v>
      </c>
      <c r="T1903" s="21" t="n">
        <v>13.27</v>
      </c>
      <c r="U1903" s="36" t="inlineStr">
        <is>
          <t>Tier 2 (Fiber Corridor / Lateral, 3-5 km)</t>
        </is>
      </c>
      <c r="V1903" s="20" t="n">
        <v>22.9</v>
      </c>
      <c r="W1903" s="20" t="n">
        <v>96.3</v>
      </c>
      <c r="X1903" s="20" t="n">
        <v>73</v>
      </c>
      <c r="Y1903" s="40">
        <f>ROUND((V1903*'Methodology &amp; Assumptions'!$B$6)+(W1903*'Methodology &amp; Assumptions'!$B$5)+(X1903*'Methodology &amp; Assumptions'!$B$7), 2)</f>
        <v/>
      </c>
    </row>
    <row r="1904" ht="19" customHeight="1">
      <c r="A1904" s="41" t="n">
        <v>900</v>
      </c>
      <c r="B1904" s="41" t="n">
        <v>4900</v>
      </c>
      <c r="C1904" s="42" t="inlineStr">
        <is>
          <t>0702234019</t>
        </is>
      </c>
      <c r="D1904" s="42" t="inlineStr">
        <is>
          <t>Region VII (Central Visayas)</t>
        </is>
      </c>
      <c r="E1904" s="42" t="inlineStr">
        <is>
          <t>Cebu</t>
        </is>
      </c>
      <c r="F1904" s="42" t="inlineStr">
        <is>
          <t>City of Naga</t>
        </is>
      </c>
      <c r="G1904" s="42" t="inlineStr">
        <is>
          <t>North Poblacion</t>
        </is>
      </c>
      <c r="H1904" s="43" t="n">
        <v>10.211755</v>
      </c>
      <c r="I1904" s="43" t="n">
        <v>123.760042</v>
      </c>
      <c r="J1904" s="44" t="inlineStr">
        <is>
          <t>R</t>
        </is>
      </c>
      <c r="K1904" s="42" t="inlineStr">
        <is>
          <t>Class 1-3 / Urban</t>
        </is>
      </c>
      <c r="L1904" s="23" t="n">
        <v>3081</v>
      </c>
      <c r="M1904" s="24" t="n">
        <v>4.42</v>
      </c>
      <c r="N1904" s="23">
        <f>ROUND(L1904/M1904, 0)</f>
        <v/>
      </c>
      <c r="O1904" s="23">
        <f>ROUND(N1904*'Methodology &amp; Assumptions'!$B$8, 0)</f>
        <v/>
      </c>
      <c r="P1904" s="44" t="inlineStr">
        <is>
          <t>Band n50 (1.5 GHz, 60 MHz)</t>
        </is>
      </c>
      <c r="Q1904" s="38">
        <f>ROUNDUP(O1904/'Methodology &amp; Assumptions'!$B$9, 0)</f>
        <v/>
      </c>
      <c r="R1904" s="39" t="n">
        <v>1</v>
      </c>
      <c r="S1904" s="25" t="n">
        <v>2.58</v>
      </c>
      <c r="T1904" s="25" t="n">
        <v>0.24</v>
      </c>
      <c r="U1904" s="42" t="inlineStr">
        <is>
          <t>Tier 1B (Micro Drop, 1-3 km)</t>
        </is>
      </c>
      <c r="V1904" s="24" t="n">
        <v>52.3</v>
      </c>
      <c r="W1904" s="24" t="n">
        <v>79.7</v>
      </c>
      <c r="X1904" s="24" t="n">
        <v>58</v>
      </c>
      <c r="Y1904" s="45">
        <f>ROUND((V1904*'Methodology &amp; Assumptions'!$B$6)+(W1904*'Methodology &amp; Assumptions'!$B$5)+(X1904*'Methodology &amp; Assumptions'!$B$7), 2)</f>
        <v/>
      </c>
    </row>
    <row r="1905" ht="19" customHeight="1">
      <c r="A1905" s="35" t="n">
        <v>901</v>
      </c>
      <c r="B1905" s="35" t="n">
        <v>4901</v>
      </c>
      <c r="C1905" s="36" t="inlineStr">
        <is>
          <t>0403422018</t>
        </is>
      </c>
      <c r="D1905" s="36" t="inlineStr">
        <is>
          <t>Region IV-A (CALABARZON)</t>
        </is>
      </c>
      <c r="E1905" s="36" t="inlineStr">
        <is>
          <t>Laguna</t>
        </is>
      </c>
      <c r="F1905" s="36" t="inlineStr">
        <is>
          <t>Pila</t>
        </is>
      </c>
      <c r="G1905" s="36" t="inlineStr">
        <is>
          <t>Tubuan</t>
        </is>
      </c>
      <c r="H1905" s="37" t="n">
        <v>14.232298</v>
      </c>
      <c r="I1905" s="37" t="n">
        <v>121.34941</v>
      </c>
      <c r="J1905" s="8" t="inlineStr">
        <is>
          <t>R</t>
        </is>
      </c>
      <c r="K1905" s="36" t="inlineStr">
        <is>
          <t>Class 1-3 / Urban</t>
        </is>
      </c>
      <c r="L1905" s="18" t="n">
        <v>2308</v>
      </c>
      <c r="M1905" s="20" t="n">
        <v>4.2</v>
      </c>
      <c r="N1905" s="18">
        <f>ROUND(L1905/M1905, 0)</f>
        <v/>
      </c>
      <c r="O1905" s="18">
        <f>ROUND(N1905*'Methodology &amp; Assumptions'!$B$8, 0)</f>
        <v/>
      </c>
      <c r="P1905" s="8" t="inlineStr">
        <is>
          <t>Band n50 (1.5 GHz, 60 MHz)</t>
        </is>
      </c>
      <c r="Q1905" s="38">
        <f>ROUNDUP(O1905/'Methodology &amp; Assumptions'!$B$9, 0)</f>
        <v/>
      </c>
      <c r="R1905" s="39" t="n">
        <v>1</v>
      </c>
      <c r="S1905" s="21" t="n">
        <v>1.85</v>
      </c>
      <c r="T1905" s="21" t="n">
        <v>1.54</v>
      </c>
      <c r="U1905" s="36" t="inlineStr">
        <is>
          <t>Tier 1B (Micro Drop, 1-3 km)</t>
        </is>
      </c>
      <c r="V1905" s="20" t="n">
        <v>64</v>
      </c>
      <c r="W1905" s="20" t="n">
        <v>68</v>
      </c>
      <c r="X1905" s="20" t="n">
        <v>58</v>
      </c>
      <c r="Y1905" s="40">
        <f>ROUND((V1905*'Methodology &amp; Assumptions'!$B$6)+(W1905*'Methodology &amp; Assumptions'!$B$5)+(X1905*'Methodology &amp; Assumptions'!$B$7), 2)</f>
        <v/>
      </c>
    </row>
    <row r="1906" ht="19" customHeight="1">
      <c r="A1906" s="41" t="n">
        <v>902</v>
      </c>
      <c r="B1906" s="41" t="n">
        <v>4902</v>
      </c>
      <c r="C1906" s="42" t="inlineStr">
        <is>
          <t>0831600076</t>
        </is>
      </c>
      <c r="D1906" s="42" t="inlineStr">
        <is>
          <t>Region VIII (Eastern Visayas)</t>
        </is>
      </c>
      <c r="E1906" s="42" t="inlineStr">
        <is>
          <t>Leyte</t>
        </is>
      </c>
      <c r="F1906" s="42" t="inlineStr">
        <is>
          <t>City of Tacloban</t>
        </is>
      </c>
      <c r="G1906" s="42" t="inlineStr">
        <is>
          <t>Barangay 49</t>
        </is>
      </c>
      <c r="H1906" s="43" t="n">
        <v>11.236791</v>
      </c>
      <c r="I1906" s="43" t="n">
        <v>125.000883</v>
      </c>
      <c r="J1906" s="44" t="inlineStr">
        <is>
          <t>R</t>
        </is>
      </c>
      <c r="K1906" s="42" t="inlineStr">
        <is>
          <t>Class 1-3 / Urban</t>
        </is>
      </c>
      <c r="L1906" s="23" t="n">
        <v>1019</v>
      </c>
      <c r="M1906" s="24" t="n">
        <v>4.24</v>
      </c>
      <c r="N1906" s="23">
        <f>ROUND(L1906/M1906, 0)</f>
        <v/>
      </c>
      <c r="O1906" s="23">
        <f>ROUND(N1906*'Methodology &amp; Assumptions'!$B$8, 0)</f>
        <v/>
      </c>
      <c r="P1906" s="44" t="inlineStr">
        <is>
          <t>Band n50 (1.5 GHz, 60 MHz)</t>
        </is>
      </c>
      <c r="Q1906" s="38">
        <f>ROUNDUP(O1906/'Methodology &amp; Assumptions'!$B$9, 0)</f>
        <v/>
      </c>
      <c r="R1906" s="39" t="n">
        <v>1</v>
      </c>
      <c r="S1906" s="25" t="n">
        <v>0.36</v>
      </c>
      <c r="T1906" s="25" t="n">
        <v>2.86</v>
      </c>
      <c r="U1906" s="42" t="inlineStr">
        <is>
          <t>Tier 1A (Direct Coloc, &lt;1 km)</t>
        </is>
      </c>
      <c r="V1906" s="24" t="n">
        <v>88.8</v>
      </c>
      <c r="W1906" s="24" t="n">
        <v>43.2</v>
      </c>
      <c r="X1906" s="24" t="n">
        <v>58</v>
      </c>
      <c r="Y1906" s="45">
        <f>ROUND((V1906*'Methodology &amp; Assumptions'!$B$6)+(W1906*'Methodology &amp; Assumptions'!$B$5)+(X1906*'Methodology &amp; Assumptions'!$B$7), 2)</f>
        <v/>
      </c>
    </row>
    <row r="1907" ht="19" customHeight="1">
      <c r="A1907" s="35" t="n">
        <v>903</v>
      </c>
      <c r="B1907" s="35" t="n">
        <v>4903</v>
      </c>
      <c r="C1907" s="36" t="inlineStr">
        <is>
          <t>0501712018</t>
        </is>
      </c>
      <c r="D1907" s="36" t="inlineStr">
        <is>
          <t>Region V (Bicol Region)</t>
        </is>
      </c>
      <c r="E1907" s="36" t="inlineStr">
        <is>
          <t>Camarines Sur</t>
        </is>
      </c>
      <c r="F1907" s="36" t="inlineStr">
        <is>
          <t>Del Gallego</t>
        </is>
      </c>
      <c r="G1907" s="36" t="inlineStr">
        <is>
          <t>Zone I Fatima</t>
        </is>
      </c>
      <c r="H1907" s="37" t="n">
        <v>13.920685</v>
      </c>
      <c r="I1907" s="37" t="n">
        <v>122.595059</v>
      </c>
      <c r="J1907" s="8" t="inlineStr">
        <is>
          <t>R</t>
        </is>
      </c>
      <c r="K1907" s="36" t="inlineStr">
        <is>
          <t>3rd</t>
        </is>
      </c>
      <c r="L1907" s="18" t="n">
        <v>954</v>
      </c>
      <c r="M1907" s="20" t="n">
        <v>4.83</v>
      </c>
      <c r="N1907" s="18">
        <f>ROUND(L1907/M1907, 0)</f>
        <v/>
      </c>
      <c r="O1907" s="18">
        <f>ROUND(N1907*'Methodology &amp; Assumptions'!$B$8, 0)</f>
        <v/>
      </c>
      <c r="P1907" s="8" t="inlineStr">
        <is>
          <t>Band n50 (1.5 GHz, 60 MHz)</t>
        </is>
      </c>
      <c r="Q1907" s="38">
        <f>ROUNDUP(O1907/'Methodology &amp; Assumptions'!$B$9, 0)</f>
        <v/>
      </c>
      <c r="R1907" s="39" t="n">
        <v>1</v>
      </c>
      <c r="S1907" s="21" t="n">
        <v>0.59</v>
      </c>
      <c r="T1907" s="21" t="n">
        <v>0.45</v>
      </c>
      <c r="U1907" s="36" t="inlineStr">
        <is>
          <t>Tier 1A (Direct Coloc, &lt;1 km)</t>
        </is>
      </c>
      <c r="V1907" s="20" t="n">
        <v>92.3</v>
      </c>
      <c r="W1907" s="20" t="n">
        <v>39.7</v>
      </c>
      <c r="X1907" s="20" t="n">
        <v>58</v>
      </c>
      <c r="Y1907" s="40">
        <f>ROUND((V1907*'Methodology &amp; Assumptions'!$B$6)+(W1907*'Methodology &amp; Assumptions'!$B$5)+(X1907*'Methodology &amp; Assumptions'!$B$7), 2)</f>
        <v/>
      </c>
    </row>
    <row r="1908" ht="19" customHeight="1">
      <c r="A1908" s="41" t="n">
        <v>904</v>
      </c>
      <c r="B1908" s="41" t="n">
        <v>4904</v>
      </c>
      <c r="C1908" s="42" t="inlineStr">
        <is>
          <t>0803702049</t>
        </is>
      </c>
      <c r="D1908" s="42" t="inlineStr">
        <is>
          <t>Region VIII (Eastern Visayas)</t>
        </is>
      </c>
      <c r="E1908" s="42" t="inlineStr">
        <is>
          <t>Leyte</t>
        </is>
      </c>
      <c r="F1908" s="42" t="inlineStr">
        <is>
          <t>Alangalang</t>
        </is>
      </c>
      <c r="G1908" s="42" t="inlineStr">
        <is>
          <t>Blumentritt</t>
        </is>
      </c>
      <c r="H1908" s="43" t="n">
        <v>11.210601</v>
      </c>
      <c r="I1908" s="43" t="n">
        <v>124.841031</v>
      </c>
      <c r="J1908" s="44" t="inlineStr">
        <is>
          <t>R</t>
        </is>
      </c>
      <c r="K1908" s="42" t="inlineStr">
        <is>
          <t>Class 1-3 / Urban</t>
        </is>
      </c>
      <c r="L1908" s="23" t="n">
        <v>425</v>
      </c>
      <c r="M1908" s="24" t="n">
        <v>4.24</v>
      </c>
      <c r="N1908" s="23">
        <f>ROUND(L1908/M1908, 0)</f>
        <v/>
      </c>
      <c r="O1908" s="23">
        <f>ROUND(N1908*'Methodology &amp; Assumptions'!$B$8, 0)</f>
        <v/>
      </c>
      <c r="P1908" s="44" t="inlineStr">
        <is>
          <t>Band n50 (1.5 GHz, 60 MHz)</t>
        </is>
      </c>
      <c r="Q1908" s="38">
        <f>ROUNDUP(O1908/'Methodology &amp; Assumptions'!$B$9, 0)</f>
        <v/>
      </c>
      <c r="R1908" s="39" t="n">
        <v>1</v>
      </c>
      <c r="S1908" s="25" t="n">
        <v>0.2</v>
      </c>
      <c r="T1908" s="25" t="n">
        <v>0.26</v>
      </c>
      <c r="U1908" s="42" t="inlineStr">
        <is>
          <t>Tier 1A (Direct Coloc, &lt;1 km)</t>
        </is>
      </c>
      <c r="V1908" s="24" t="n">
        <v>100</v>
      </c>
      <c r="W1908" s="24" t="n">
        <v>32</v>
      </c>
      <c r="X1908" s="24" t="n">
        <v>58</v>
      </c>
      <c r="Y1908" s="45">
        <f>ROUND((V1908*'Methodology &amp; Assumptions'!$B$6)+(W1908*'Methodology &amp; Assumptions'!$B$5)+(X1908*'Methodology &amp; Assumptions'!$B$7), 2)</f>
        <v/>
      </c>
    </row>
    <row r="1909" ht="19" customHeight="1">
      <c r="A1909" s="35" t="n">
        <v>905</v>
      </c>
      <c r="B1909" s="35" t="n">
        <v>4905</v>
      </c>
      <c r="C1909" s="36" t="inlineStr">
        <is>
          <t>1731500058</t>
        </is>
      </c>
      <c r="D1909" s="36" t="inlineStr">
        <is>
          <t>MIMAROPA Region</t>
        </is>
      </c>
      <c r="E1909" s="36" t="inlineStr">
        <is>
          <t>Palawan</t>
        </is>
      </c>
      <c r="F1909" s="36" t="inlineStr">
        <is>
          <t>City of Puerto Princesa</t>
        </is>
      </c>
      <c r="G1909" s="36" t="inlineStr">
        <is>
          <t>Tagburos</t>
        </is>
      </c>
      <c r="H1909" s="37" t="n">
        <v>9.821008000000001</v>
      </c>
      <c r="I1909" s="37" t="n">
        <v>118.743196</v>
      </c>
      <c r="J1909" s="8" t="inlineStr">
        <is>
          <t>U</t>
        </is>
      </c>
      <c r="K1909" s="36" t="inlineStr">
        <is>
          <t>Class 1-3 / Urban</t>
        </is>
      </c>
      <c r="L1909" s="18" t="n">
        <v>9824</v>
      </c>
      <c r="M1909" s="20" t="n">
        <v>4.35</v>
      </c>
      <c r="N1909" s="18">
        <f>ROUND(L1909/M1909, 0)</f>
        <v/>
      </c>
      <c r="O1909" s="18">
        <f>ROUND(N1909*'Methodology &amp; Assumptions'!$B$8, 0)</f>
        <v/>
      </c>
      <c r="P1909" s="8" t="inlineStr">
        <is>
          <t>Band n50 (1.5 GHz, 60 MHz)</t>
        </is>
      </c>
      <c r="Q1909" s="38">
        <f>ROUNDUP(O1909/'Methodology &amp; Assumptions'!$B$9, 0)</f>
        <v/>
      </c>
      <c r="R1909" s="39" t="n">
        <v>1</v>
      </c>
      <c r="S1909" s="21" t="n">
        <v>2.22</v>
      </c>
      <c r="T1909" s="21" t="n">
        <v>0.15</v>
      </c>
      <c r="U1909" s="36" t="inlineStr">
        <is>
          <t>Tier 1B (Micro Drop, 1-3 km)</t>
        </is>
      </c>
      <c r="V1909" s="20" t="n">
        <v>57.7</v>
      </c>
      <c r="W1909" s="20" t="n">
        <v>100</v>
      </c>
      <c r="X1909" s="20" t="n">
        <v>28</v>
      </c>
      <c r="Y1909" s="40">
        <f>ROUND((V1909*'Methodology &amp; Assumptions'!$B$6)+(W1909*'Methodology &amp; Assumptions'!$B$5)+(X1909*'Methodology &amp; Assumptions'!$B$7), 2)</f>
        <v/>
      </c>
    </row>
    <row r="1910" ht="19" customHeight="1">
      <c r="A1910" s="41" t="n">
        <v>906</v>
      </c>
      <c r="B1910" s="41" t="n">
        <v>4906</v>
      </c>
      <c r="C1910" s="42" t="inlineStr">
        <is>
          <t>0105515021</t>
        </is>
      </c>
      <c r="D1910" s="42" t="inlineStr">
        <is>
          <t>Region I (Ilocos Region)</t>
        </is>
      </c>
      <c r="E1910" s="42" t="inlineStr">
        <is>
          <t>Pangasinan</t>
        </is>
      </c>
      <c r="F1910" s="42" t="inlineStr">
        <is>
          <t>Bugallon</t>
        </is>
      </c>
      <c r="G1910" s="42" t="inlineStr">
        <is>
          <t>Salomague Sur</t>
        </is>
      </c>
      <c r="H1910" s="43" t="n">
        <v>15.910127</v>
      </c>
      <c r="I1910" s="43" t="n">
        <v>120.228295</v>
      </c>
      <c r="J1910" s="44" t="inlineStr">
        <is>
          <t>U</t>
        </is>
      </c>
      <c r="K1910" s="42" t="inlineStr">
        <is>
          <t>Class 1-3 / Urban</t>
        </is>
      </c>
      <c r="L1910" s="23" t="n">
        <v>3325</v>
      </c>
      <c r="M1910" s="24" t="n">
        <v>4.39</v>
      </c>
      <c r="N1910" s="23">
        <f>ROUND(L1910/M1910, 0)</f>
        <v/>
      </c>
      <c r="O1910" s="23">
        <f>ROUND(N1910*'Methodology &amp; Assumptions'!$B$8, 0)</f>
        <v/>
      </c>
      <c r="P1910" s="44" t="inlineStr">
        <is>
          <t>Band n50 (1.5 GHz, 60 MHz)</t>
        </is>
      </c>
      <c r="Q1910" s="38">
        <f>ROUNDUP(O1910/'Methodology &amp; Assumptions'!$B$9, 0)</f>
        <v/>
      </c>
      <c r="R1910" s="39" t="n">
        <v>1</v>
      </c>
      <c r="S1910" s="25" t="n">
        <v>0.9399999999999999</v>
      </c>
      <c r="T1910" s="25" t="n">
        <v>11.05</v>
      </c>
      <c r="U1910" s="42" t="inlineStr">
        <is>
          <t>Tier 1A (Direct Coloc, &lt;1 km)</t>
        </is>
      </c>
      <c r="V1910" s="24" t="n">
        <v>73.2</v>
      </c>
      <c r="W1910" s="24" t="n">
        <v>84.5</v>
      </c>
      <c r="X1910" s="24" t="n">
        <v>28</v>
      </c>
      <c r="Y1910" s="45">
        <f>ROUND((V1910*'Methodology &amp; Assumptions'!$B$6)+(W1910*'Methodology &amp; Assumptions'!$B$5)+(X1910*'Methodology &amp; Assumptions'!$B$7), 2)</f>
        <v/>
      </c>
    </row>
    <row r="1911" ht="19" customHeight="1">
      <c r="A1911" s="35" t="n">
        <v>907</v>
      </c>
      <c r="B1911" s="35" t="n">
        <v>4907</v>
      </c>
      <c r="C1911" s="36" t="inlineStr">
        <is>
          <t>0803726008</t>
        </is>
      </c>
      <c r="D1911" s="36" t="inlineStr">
        <is>
          <t>Region VIII (Eastern Visayas)</t>
        </is>
      </c>
      <c r="E1911" s="36" t="inlineStr">
        <is>
          <t>Leyte</t>
        </is>
      </c>
      <c r="F1911" s="36" t="inlineStr">
        <is>
          <t>Kananga</t>
        </is>
      </c>
      <c r="G1911" s="36" t="inlineStr">
        <is>
          <t>Lonoy</t>
        </is>
      </c>
      <c r="H1911" s="37" t="n">
        <v>11.207759</v>
      </c>
      <c r="I1911" s="37" t="n">
        <v>124.567842</v>
      </c>
      <c r="J1911" s="8" t="inlineStr">
        <is>
          <t>R</t>
        </is>
      </c>
      <c r="K1911" s="36" t="inlineStr">
        <is>
          <t>Class 1-3 / Urban</t>
        </is>
      </c>
      <c r="L1911" s="18" t="n">
        <v>2979</v>
      </c>
      <c r="M1911" s="20" t="n">
        <v>4.24</v>
      </c>
      <c r="N1911" s="18">
        <f>ROUND(L1911/M1911, 0)</f>
        <v/>
      </c>
      <c r="O1911" s="18">
        <f>ROUND(N1911*'Methodology &amp; Assumptions'!$B$8, 0)</f>
        <v/>
      </c>
      <c r="P1911" s="8" t="inlineStr">
        <is>
          <t>Band n50 (1.5 GHz, 60 MHz)</t>
        </is>
      </c>
      <c r="Q1911" s="38">
        <f>ROUNDUP(O1911/'Methodology &amp; Assumptions'!$B$9, 0)</f>
        <v/>
      </c>
      <c r="R1911" s="39" t="n">
        <v>1</v>
      </c>
      <c r="S1911" s="21" t="n">
        <v>2.62</v>
      </c>
      <c r="T1911" s="21" t="n">
        <v>0.11</v>
      </c>
      <c r="U1911" s="36" t="inlineStr">
        <is>
          <t>Tier 1B (Micro Drop, 1-3 km)</t>
        </is>
      </c>
      <c r="V1911" s="20" t="n">
        <v>51.7</v>
      </c>
      <c r="W1911" s="20" t="n">
        <v>80.3</v>
      </c>
      <c r="X1911" s="20" t="n">
        <v>58</v>
      </c>
      <c r="Y1911" s="40">
        <f>ROUND((V1911*'Methodology &amp; Assumptions'!$B$6)+(W1911*'Methodology &amp; Assumptions'!$B$5)+(X1911*'Methodology &amp; Assumptions'!$B$7), 2)</f>
        <v/>
      </c>
    </row>
    <row r="1912" ht="19" customHeight="1">
      <c r="A1912" s="41" t="n">
        <v>908</v>
      </c>
      <c r="B1912" s="41" t="n">
        <v>4908</v>
      </c>
      <c r="C1912" s="42" t="inlineStr">
        <is>
          <t>0603037032</t>
        </is>
      </c>
      <c r="D1912" s="42" t="inlineStr">
        <is>
          <t>Region VI (Western Visayas)</t>
        </is>
      </c>
      <c r="E1912" s="42" t="inlineStr">
        <is>
          <t>Iloilo</t>
        </is>
      </c>
      <c r="F1912" s="42" t="inlineStr">
        <is>
          <t>Pototan</t>
        </is>
      </c>
      <c r="G1912" s="42" t="inlineStr">
        <is>
          <t>Lopez Jaena Ward</t>
        </is>
      </c>
      <c r="H1912" s="43" t="n">
        <v>10.945323</v>
      </c>
      <c r="I1912" s="43" t="n">
        <v>122.631837</v>
      </c>
      <c r="J1912" s="44" t="inlineStr">
        <is>
          <t>R</t>
        </is>
      </c>
      <c r="K1912" s="42" t="inlineStr">
        <is>
          <t>Class 1-3 / Urban</t>
        </is>
      </c>
      <c r="L1912" s="23" t="n">
        <v>1489</v>
      </c>
      <c r="M1912" s="24" t="n">
        <v>4.39</v>
      </c>
      <c r="N1912" s="23">
        <f>ROUND(L1912/M1912, 0)</f>
        <v/>
      </c>
      <c r="O1912" s="23">
        <f>ROUND(N1912*'Methodology &amp; Assumptions'!$B$8, 0)</f>
        <v/>
      </c>
      <c r="P1912" s="44" t="inlineStr">
        <is>
          <t>Band n50 (1.5 GHz, 60 MHz)</t>
        </is>
      </c>
      <c r="Q1912" s="38">
        <f>ROUNDUP(O1912/'Methodology &amp; Assumptions'!$B$9, 0)</f>
        <v/>
      </c>
      <c r="R1912" s="39" t="n">
        <v>1</v>
      </c>
      <c r="S1912" s="25" t="n">
        <v>1.04</v>
      </c>
      <c r="T1912" s="25" t="n">
        <v>0.59</v>
      </c>
      <c r="U1912" s="42" t="inlineStr">
        <is>
          <t>Tier 1B (Micro Drop, 1-3 km)</t>
        </is>
      </c>
      <c r="V1912" s="24" t="n">
        <v>80.8</v>
      </c>
      <c r="W1912" s="24" t="n">
        <v>51.2</v>
      </c>
      <c r="X1912" s="24" t="n">
        <v>58</v>
      </c>
      <c r="Y1912" s="45">
        <f>ROUND((V1912*'Methodology &amp; Assumptions'!$B$6)+(W1912*'Methodology &amp; Assumptions'!$B$5)+(X1912*'Methodology &amp; Assumptions'!$B$7), 2)</f>
        <v/>
      </c>
    </row>
    <row r="1913" ht="19" customHeight="1">
      <c r="A1913" s="35" t="n">
        <v>909</v>
      </c>
      <c r="B1913" s="35" t="n">
        <v>4909</v>
      </c>
      <c r="C1913" s="36" t="inlineStr">
        <is>
          <t>0203137014</t>
        </is>
      </c>
      <c r="D1913" s="36" t="inlineStr">
        <is>
          <t>Region II (Cagayan Valley)</t>
        </is>
      </c>
      <c r="E1913" s="36" t="inlineStr">
        <is>
          <t>Isabela</t>
        </is>
      </c>
      <c r="F1913" s="36" t="inlineStr">
        <is>
          <t>Tumauini</t>
        </is>
      </c>
      <c r="G1913" s="36" t="inlineStr">
        <is>
          <t>Carpentero</t>
        </is>
      </c>
      <c r="H1913" s="37" t="n">
        <v>17.266389</v>
      </c>
      <c r="I1913" s="37" t="n">
        <v>121.816889</v>
      </c>
      <c r="J1913" s="8" t="inlineStr">
        <is>
          <t>R</t>
        </is>
      </c>
      <c r="K1913" s="36" t="inlineStr">
        <is>
          <t>Class 1-3 / Urban</t>
        </is>
      </c>
      <c r="L1913" s="18" t="n">
        <v>1069</v>
      </c>
      <c r="M1913" s="20" t="n">
        <v>4.3</v>
      </c>
      <c r="N1913" s="18">
        <f>ROUND(L1913/M1913, 0)</f>
        <v/>
      </c>
      <c r="O1913" s="18">
        <f>ROUND(N1913*'Methodology &amp; Assumptions'!$B$8, 0)</f>
        <v/>
      </c>
      <c r="P1913" s="8" t="inlineStr">
        <is>
          <t>Band n50 (1.5 GHz, 60 MHz)</t>
        </is>
      </c>
      <c r="Q1913" s="38">
        <f>ROUNDUP(O1913/'Methodology &amp; Assumptions'!$B$9, 0)</f>
        <v/>
      </c>
      <c r="R1913" s="39" t="n">
        <v>1</v>
      </c>
      <c r="S1913" s="21" t="n">
        <v>0.75</v>
      </c>
      <c r="T1913" s="21" t="n">
        <v>0.72</v>
      </c>
      <c r="U1913" s="36" t="inlineStr">
        <is>
          <t>Tier 1A (Direct Coloc, &lt;1 km)</t>
        </is>
      </c>
      <c r="V1913" s="20" t="n">
        <v>88</v>
      </c>
      <c r="W1913" s="20" t="n">
        <v>44</v>
      </c>
      <c r="X1913" s="20" t="n">
        <v>58</v>
      </c>
      <c r="Y1913" s="40">
        <f>ROUND((V1913*'Methodology &amp; Assumptions'!$B$6)+(W1913*'Methodology &amp; Assumptions'!$B$5)+(X1913*'Methodology &amp; Assumptions'!$B$7), 2)</f>
        <v/>
      </c>
    </row>
    <row r="1914" ht="19" customHeight="1">
      <c r="A1914" s="41" t="n">
        <v>910</v>
      </c>
      <c r="B1914" s="41" t="n">
        <v>4910</v>
      </c>
      <c r="C1914" s="42" t="inlineStr">
        <is>
          <t>0304931020</t>
        </is>
      </c>
      <c r="D1914" s="42" t="inlineStr">
        <is>
          <t>Region III (Central Luzon)</t>
        </is>
      </c>
      <c r="E1914" s="42" t="inlineStr">
        <is>
          <t>Nueva Ecija</t>
        </is>
      </c>
      <c r="F1914" s="42" t="inlineStr">
        <is>
          <t>Talugtug</t>
        </is>
      </c>
      <c r="G1914" s="42" t="inlineStr">
        <is>
          <t>Roxas</t>
        </is>
      </c>
      <c r="H1914" s="43" t="n">
        <v>15.585783</v>
      </c>
      <c r="I1914" s="43" t="n">
        <v>120.924577</v>
      </c>
      <c r="J1914" s="44" t="inlineStr">
        <is>
          <t>R</t>
        </is>
      </c>
      <c r="K1914" s="42" t="inlineStr">
        <is>
          <t>3rd</t>
        </is>
      </c>
      <c r="L1914" s="23" t="n">
        <v>974</v>
      </c>
      <c r="M1914" s="24" t="n">
        <v>4.09</v>
      </c>
      <c r="N1914" s="23">
        <f>ROUND(L1914/M1914, 0)</f>
        <v/>
      </c>
      <c r="O1914" s="23">
        <f>ROUND(N1914*'Methodology &amp; Assumptions'!$B$8, 0)</f>
        <v/>
      </c>
      <c r="P1914" s="44" t="inlineStr">
        <is>
          <t>Band n50 (1.5 GHz, 60 MHz)</t>
        </is>
      </c>
      <c r="Q1914" s="38">
        <f>ROUNDUP(O1914/'Methodology &amp; Assumptions'!$B$9, 0)</f>
        <v/>
      </c>
      <c r="R1914" s="39" t="n">
        <v>1</v>
      </c>
      <c r="S1914" s="25" t="n">
        <v>0.71</v>
      </c>
      <c r="T1914" s="25" t="n">
        <v>0.52</v>
      </c>
      <c r="U1914" s="42" t="inlineStr">
        <is>
          <t>Tier 1A (Direct Coloc, &lt;1 km)</t>
        </is>
      </c>
      <c r="V1914" s="24" t="n">
        <v>89</v>
      </c>
      <c r="W1914" s="24" t="n">
        <v>42.9</v>
      </c>
      <c r="X1914" s="24" t="n">
        <v>58</v>
      </c>
      <c r="Y1914" s="45">
        <f>ROUND((V1914*'Methodology &amp; Assumptions'!$B$6)+(W1914*'Methodology &amp; Assumptions'!$B$5)+(X1914*'Methodology &amp; Assumptions'!$B$7), 2)</f>
        <v/>
      </c>
    </row>
    <row r="1915" ht="19" customHeight="1">
      <c r="A1915" s="35" t="n">
        <v>911</v>
      </c>
      <c r="B1915" s="35" t="n">
        <v>4911</v>
      </c>
      <c r="C1915" s="36" t="inlineStr">
        <is>
          <t>0304925010</t>
        </is>
      </c>
      <c r="D1915" s="36" t="inlineStr">
        <is>
          <t>Region III (Central Luzon)</t>
        </is>
      </c>
      <c r="E1915" s="36" t="inlineStr">
        <is>
          <t>Nueva Ecija</t>
        </is>
      </c>
      <c r="F1915" s="36" t="inlineStr">
        <is>
          <t>San Isidro</t>
        </is>
      </c>
      <c r="G1915" s="36" t="inlineStr">
        <is>
          <t>San Roque</t>
        </is>
      </c>
      <c r="H1915" s="37" t="n">
        <v>15.292972</v>
      </c>
      <c r="I1915" s="37" t="n">
        <v>120.884336</v>
      </c>
      <c r="J1915" s="8" t="inlineStr">
        <is>
          <t>U</t>
        </is>
      </c>
      <c r="K1915" s="36" t="inlineStr">
        <is>
          <t>Class 1-3 / Urban</t>
        </is>
      </c>
      <c r="L1915" s="18" t="n">
        <v>7019</v>
      </c>
      <c r="M1915" s="20" t="n">
        <v>4.32</v>
      </c>
      <c r="N1915" s="18">
        <f>ROUND(L1915/M1915, 0)</f>
        <v/>
      </c>
      <c r="O1915" s="18">
        <f>ROUND(N1915*'Methodology &amp; Assumptions'!$B$8, 0)</f>
        <v/>
      </c>
      <c r="P1915" s="8" t="inlineStr">
        <is>
          <t>Band n50 (1.5 GHz, 60 MHz)</t>
        </is>
      </c>
      <c r="Q1915" s="38">
        <f>ROUNDUP(O1915/'Methodology &amp; Assumptions'!$B$9, 0)</f>
        <v/>
      </c>
      <c r="R1915" s="39" t="n">
        <v>1</v>
      </c>
      <c r="S1915" s="21" t="n">
        <v>3.16</v>
      </c>
      <c r="T1915" s="21" t="n">
        <v>0.05</v>
      </c>
      <c r="U1915" s="36" t="inlineStr">
        <is>
          <t>Tier 2 (Fiber Corridor / Lateral, 3-5 km)</t>
        </is>
      </c>
      <c r="V1915" s="20" t="n">
        <v>44.8</v>
      </c>
      <c r="W1915" s="20" t="n">
        <v>100</v>
      </c>
      <c r="X1915" s="20" t="n">
        <v>43</v>
      </c>
      <c r="Y1915" s="40">
        <f>ROUND((V1915*'Methodology &amp; Assumptions'!$B$6)+(W1915*'Methodology &amp; Assumptions'!$B$5)+(X1915*'Methodology &amp; Assumptions'!$B$7), 2)</f>
        <v/>
      </c>
    </row>
    <row r="1916" ht="19" customHeight="1">
      <c r="A1916" s="41" t="n">
        <v>912</v>
      </c>
      <c r="B1916" s="41" t="n">
        <v>4912</v>
      </c>
      <c r="C1916" s="42" t="inlineStr">
        <is>
          <t>0203109009</t>
        </is>
      </c>
      <c r="D1916" s="42" t="inlineStr">
        <is>
          <t>Region II (Cagayan Valley)</t>
        </is>
      </c>
      <c r="E1916" s="42" t="inlineStr">
        <is>
          <t>Isabela</t>
        </is>
      </c>
      <c r="F1916" s="42" t="inlineStr">
        <is>
          <t>Cordon</t>
        </is>
      </c>
      <c r="G1916" s="42" t="inlineStr">
        <is>
          <t>Malapat</t>
        </is>
      </c>
      <c r="H1916" s="43" t="n">
        <v>16.68517</v>
      </c>
      <c r="I1916" s="43" t="n">
        <v>121.505596</v>
      </c>
      <c r="J1916" s="44" t="inlineStr">
        <is>
          <t>R</t>
        </is>
      </c>
      <c r="K1916" s="42" t="inlineStr">
        <is>
          <t>Class 1-3 / Urban</t>
        </is>
      </c>
      <c r="L1916" s="23" t="n">
        <v>2210</v>
      </c>
      <c r="M1916" s="24" t="n">
        <v>4.3</v>
      </c>
      <c r="N1916" s="23">
        <f>ROUND(L1916/M1916, 0)</f>
        <v/>
      </c>
      <c r="O1916" s="23">
        <f>ROUND(N1916*'Methodology &amp; Assumptions'!$B$8, 0)</f>
        <v/>
      </c>
      <c r="P1916" s="44" t="inlineStr">
        <is>
          <t>Band n50 (1.5 GHz, 60 MHz)</t>
        </is>
      </c>
      <c r="Q1916" s="38">
        <f>ROUNDUP(O1916/'Methodology &amp; Assumptions'!$B$9, 0)</f>
        <v/>
      </c>
      <c r="R1916" s="39" t="n">
        <v>1</v>
      </c>
      <c r="S1916" s="25" t="n">
        <v>2.46</v>
      </c>
      <c r="T1916" s="25" t="n">
        <v>0.49</v>
      </c>
      <c r="U1916" s="42" t="inlineStr">
        <is>
          <t>Tier 1B (Micro Drop, 1-3 km)</t>
        </is>
      </c>
      <c r="V1916" s="24" t="n">
        <v>54</v>
      </c>
      <c r="W1916" s="24" t="n">
        <v>65.09999999999999</v>
      </c>
      <c r="X1916" s="24" t="n">
        <v>73</v>
      </c>
      <c r="Y1916" s="45">
        <f>ROUND((V1916*'Methodology &amp; Assumptions'!$B$6)+(W1916*'Methodology &amp; Assumptions'!$B$5)+(X1916*'Methodology &amp; Assumptions'!$B$7), 2)</f>
        <v/>
      </c>
    </row>
    <row r="1917" ht="19" customHeight="1">
      <c r="A1917" s="35" t="n">
        <v>913</v>
      </c>
      <c r="B1917" s="35" t="n">
        <v>4913</v>
      </c>
      <c r="C1917" s="36" t="inlineStr">
        <is>
          <t>0203106007</t>
        </is>
      </c>
      <c r="D1917" s="36" t="inlineStr">
        <is>
          <t>Region II (Cagayan Valley)</t>
        </is>
      </c>
      <c r="E1917" s="36" t="inlineStr">
        <is>
          <t>Isabela</t>
        </is>
      </c>
      <c r="F1917" s="36" t="inlineStr">
        <is>
          <t>Cabagan</t>
        </is>
      </c>
      <c r="G1917" s="36" t="inlineStr">
        <is>
          <t>Casibarag Sur</t>
        </is>
      </c>
      <c r="H1917" s="37" t="n">
        <v>17.433078</v>
      </c>
      <c r="I1917" s="37" t="n">
        <v>121.754086</v>
      </c>
      <c r="J1917" s="8" t="inlineStr">
        <is>
          <t>R</t>
        </is>
      </c>
      <c r="K1917" s="36" t="inlineStr">
        <is>
          <t>Class 1-3 / Urban</t>
        </is>
      </c>
      <c r="L1917" s="18" t="n">
        <v>3115</v>
      </c>
      <c r="M1917" s="20" t="n">
        <v>4.3</v>
      </c>
      <c r="N1917" s="18">
        <f>ROUND(L1917/M1917, 0)</f>
        <v/>
      </c>
      <c r="O1917" s="18">
        <f>ROUND(N1917*'Methodology &amp; Assumptions'!$B$8, 0)</f>
        <v/>
      </c>
      <c r="P1917" s="8" t="inlineStr">
        <is>
          <t>Band n50 (1.5 GHz, 60 MHz)</t>
        </is>
      </c>
      <c r="Q1917" s="38">
        <f>ROUNDUP(O1917/'Methodology &amp; Assumptions'!$B$9, 0)</f>
        <v/>
      </c>
      <c r="R1917" s="39" t="n">
        <v>1</v>
      </c>
      <c r="S1917" s="21" t="n">
        <v>2.07</v>
      </c>
      <c r="T1917" s="21" t="n">
        <v>2.06</v>
      </c>
      <c r="U1917" s="36" t="inlineStr">
        <is>
          <t>Tier 1B (Micro Drop, 1-3 km)</t>
        </is>
      </c>
      <c r="V1917" s="20" t="n">
        <v>50.1</v>
      </c>
      <c r="W1917" s="20" t="n">
        <v>81.90000000000001</v>
      </c>
      <c r="X1917" s="20" t="n">
        <v>58</v>
      </c>
      <c r="Y1917" s="40">
        <f>ROUND((V1917*'Methodology &amp; Assumptions'!$B$6)+(W1917*'Methodology &amp; Assumptions'!$B$5)+(X1917*'Methodology &amp; Assumptions'!$B$7), 2)</f>
        <v/>
      </c>
    </row>
    <row r="1918" ht="19" customHeight="1">
      <c r="A1918" s="41" t="n">
        <v>914</v>
      </c>
      <c r="B1918" s="41" t="n">
        <v>4914</v>
      </c>
      <c r="C1918" s="42" t="inlineStr">
        <is>
          <t>1600201016</t>
        </is>
      </c>
      <c r="D1918" s="42" t="inlineStr">
        <is>
          <t>Region XIII (Caraga)</t>
        </is>
      </c>
      <c r="E1918" s="42" t="inlineStr">
        <is>
          <t>Agusan del Norte</t>
        </is>
      </c>
      <c r="F1918" s="42" t="inlineStr">
        <is>
          <t>Buenavista</t>
        </is>
      </c>
      <c r="G1918" s="42" t="inlineStr">
        <is>
          <t>Poblacion 4</t>
        </is>
      </c>
      <c r="H1918" s="43" t="n">
        <v>8.972522</v>
      </c>
      <c r="I1918" s="43" t="n">
        <v>125.405904</v>
      </c>
      <c r="J1918" s="44" t="inlineStr">
        <is>
          <t>R</t>
        </is>
      </c>
      <c r="K1918" s="42" t="inlineStr">
        <is>
          <t>Class 1-3 / Urban</t>
        </is>
      </c>
      <c r="L1918" s="23" t="n">
        <v>1808</v>
      </c>
      <c r="M1918" s="24" t="n">
        <v>4.63</v>
      </c>
      <c r="N1918" s="23">
        <f>ROUND(L1918/M1918, 0)</f>
        <v/>
      </c>
      <c r="O1918" s="23">
        <f>ROUND(N1918*'Methodology &amp; Assumptions'!$B$8, 0)</f>
        <v/>
      </c>
      <c r="P1918" s="44" t="inlineStr">
        <is>
          <t>Band n50 (1.5 GHz, 60 MHz)</t>
        </is>
      </c>
      <c r="Q1918" s="38">
        <f>ROUNDUP(O1918/'Methodology &amp; Assumptions'!$B$9, 0)</f>
        <v/>
      </c>
      <c r="R1918" s="39" t="n">
        <v>1</v>
      </c>
      <c r="S1918" s="25" t="n">
        <v>1.21</v>
      </c>
      <c r="T1918" s="25" t="n">
        <v>0.22</v>
      </c>
      <c r="U1918" s="42" t="inlineStr">
        <is>
          <t>Tier 1B (Micro Drop, 1-3 km)</t>
        </is>
      </c>
      <c r="V1918" s="24" t="n">
        <v>76.7</v>
      </c>
      <c r="W1918" s="24" t="n">
        <v>55.2</v>
      </c>
      <c r="X1918" s="24" t="n">
        <v>58</v>
      </c>
      <c r="Y1918" s="45">
        <f>ROUND((V1918*'Methodology &amp; Assumptions'!$B$6)+(W1918*'Methodology &amp; Assumptions'!$B$5)+(X1918*'Methodology &amp; Assumptions'!$B$7), 2)</f>
        <v/>
      </c>
    </row>
    <row r="1919" ht="19" customHeight="1">
      <c r="A1919" s="35" t="n">
        <v>915</v>
      </c>
      <c r="B1919" s="35" t="n">
        <v>4915</v>
      </c>
      <c r="C1919" s="36" t="inlineStr">
        <is>
          <t>0604528034</t>
        </is>
      </c>
      <c r="D1919" s="36" t="inlineStr">
        <is>
          <t>Region VI (Western Visayas)</t>
        </is>
      </c>
      <c r="E1919" s="36" t="inlineStr">
        <is>
          <t>Negros Occidental</t>
        </is>
      </c>
      <c r="F1919" s="36" t="inlineStr">
        <is>
          <t>City of Talisay</t>
        </is>
      </c>
      <c r="G1919" s="36" t="inlineStr">
        <is>
          <t>Zone 11</t>
        </is>
      </c>
      <c r="H1919" s="37" t="n">
        <v>10.732405</v>
      </c>
      <c r="I1919" s="37" t="n">
        <v>122.966317</v>
      </c>
      <c r="J1919" s="8" t="inlineStr">
        <is>
          <t>R</t>
        </is>
      </c>
      <c r="K1919" s="36" t="inlineStr">
        <is>
          <t>Class 1-3 / Urban</t>
        </is>
      </c>
      <c r="L1919" s="18" t="n">
        <v>1333</v>
      </c>
      <c r="M1919" s="20" t="n">
        <v>4.33</v>
      </c>
      <c r="N1919" s="18">
        <f>ROUND(L1919/M1919, 0)</f>
        <v/>
      </c>
      <c r="O1919" s="18">
        <f>ROUND(N1919*'Methodology &amp; Assumptions'!$B$8, 0)</f>
        <v/>
      </c>
      <c r="P1919" s="8" t="inlineStr">
        <is>
          <t>Band n50 (1.5 GHz, 60 MHz)</t>
        </is>
      </c>
      <c r="Q1919" s="38">
        <f>ROUNDUP(O1919/'Methodology &amp; Assumptions'!$B$9, 0)</f>
        <v/>
      </c>
      <c r="R1919" s="39" t="n">
        <v>1</v>
      </c>
      <c r="S1919" s="21" t="n">
        <v>0.93</v>
      </c>
      <c r="T1919" s="21" t="n">
        <v>0.16</v>
      </c>
      <c r="U1919" s="36" t="inlineStr">
        <is>
          <t>Tier 1A (Direct Coloc, &lt;1 km)</t>
        </is>
      </c>
      <c r="V1919" s="20" t="n">
        <v>83.40000000000001</v>
      </c>
      <c r="W1919" s="20" t="n">
        <v>48.5</v>
      </c>
      <c r="X1919" s="20" t="n">
        <v>58</v>
      </c>
      <c r="Y1919" s="40">
        <f>ROUND((V1919*'Methodology &amp; Assumptions'!$B$6)+(W1919*'Methodology &amp; Assumptions'!$B$5)+(X1919*'Methodology &amp; Assumptions'!$B$7), 2)</f>
        <v/>
      </c>
    </row>
    <row r="1920" ht="19" customHeight="1">
      <c r="A1920" s="41" t="n">
        <v>916</v>
      </c>
      <c r="B1920" s="41" t="n">
        <v>4916</v>
      </c>
      <c r="C1920" s="42" t="inlineStr">
        <is>
          <t>0103306001</t>
        </is>
      </c>
      <c r="D1920" s="42" t="inlineStr">
        <is>
          <t>Region I (Ilocos Region)</t>
        </is>
      </c>
      <c r="E1920" s="42" t="inlineStr">
        <is>
          <t>La Union</t>
        </is>
      </c>
      <c r="F1920" s="42" t="inlineStr">
        <is>
          <t>Bangar</t>
        </is>
      </c>
      <c r="G1920" s="42" t="inlineStr">
        <is>
          <t>Agdeppa</t>
        </is>
      </c>
      <c r="H1920" s="43" t="n">
        <v>16.893183</v>
      </c>
      <c r="I1920" s="43" t="n">
        <v>120.416399</v>
      </c>
      <c r="J1920" s="44" t="inlineStr">
        <is>
          <t>R</t>
        </is>
      </c>
      <c r="K1920" s="42" t="inlineStr">
        <is>
          <t>Class 1-3 / Urban</t>
        </is>
      </c>
      <c r="L1920" s="23" t="n">
        <v>1324</v>
      </c>
      <c r="M1920" s="24" t="n">
        <v>4.42</v>
      </c>
      <c r="N1920" s="23">
        <f>ROUND(L1920/M1920, 0)</f>
        <v/>
      </c>
      <c r="O1920" s="23">
        <f>ROUND(N1920*'Methodology &amp; Assumptions'!$B$8, 0)</f>
        <v/>
      </c>
      <c r="P1920" s="44" t="inlineStr">
        <is>
          <t>Band n50 (1.5 GHz, 60 MHz)</t>
        </is>
      </c>
      <c r="Q1920" s="38">
        <f>ROUNDUP(O1920/'Methodology &amp; Assumptions'!$B$9, 0)</f>
        <v/>
      </c>
      <c r="R1920" s="39" t="n">
        <v>1</v>
      </c>
      <c r="S1920" s="25" t="n">
        <v>0.91</v>
      </c>
      <c r="T1920" s="25" t="n">
        <v>0.74</v>
      </c>
      <c r="U1920" s="42" t="inlineStr">
        <is>
          <t>Tier 1A (Direct Coloc, &lt;1 km)</t>
        </is>
      </c>
      <c r="V1920" s="24" t="n">
        <v>83.90000000000001</v>
      </c>
      <c r="W1920" s="24" t="n">
        <v>48</v>
      </c>
      <c r="X1920" s="24" t="n">
        <v>58</v>
      </c>
      <c r="Y1920" s="45">
        <f>ROUND((V1920*'Methodology &amp; Assumptions'!$B$6)+(W1920*'Methodology &amp; Assumptions'!$B$5)+(X1920*'Methodology &amp; Assumptions'!$B$7), 2)</f>
        <v/>
      </c>
    </row>
    <row r="1921" ht="19" customHeight="1">
      <c r="A1921" s="35" t="n">
        <v>917</v>
      </c>
      <c r="B1921" s="35" t="n">
        <v>4917</v>
      </c>
      <c r="C1921" s="36" t="inlineStr">
        <is>
          <t>0331400018</t>
        </is>
      </c>
      <c r="D1921" s="36" t="inlineStr">
        <is>
          <t>Region III (Central Luzon)</t>
        </is>
      </c>
      <c r="E1921" s="36" t="inlineStr">
        <is>
          <t>Zambales</t>
        </is>
      </c>
      <c r="F1921" s="36" t="inlineStr">
        <is>
          <t>City of Olongapo</t>
        </is>
      </c>
      <c r="G1921" s="36" t="inlineStr">
        <is>
          <t>Santa Rita</t>
        </is>
      </c>
      <c r="H1921" s="37" t="n">
        <v>14.848909</v>
      </c>
      <c r="I1921" s="37" t="n">
        <v>120.291001</v>
      </c>
      <c r="J1921" s="8" t="inlineStr">
        <is>
          <t>U</t>
        </is>
      </c>
      <c r="K1921" s="36" t="inlineStr">
        <is>
          <t>Class 1-3 / Urban</t>
        </is>
      </c>
      <c r="L1921" s="18" t="n">
        <v>47034</v>
      </c>
      <c r="M1921" s="20" t="n">
        <v>4.05</v>
      </c>
      <c r="N1921" s="18">
        <f>ROUND(L1921/M1921, 0)</f>
        <v/>
      </c>
      <c r="O1921" s="18">
        <f>ROUND(N1921*'Methodology &amp; Assumptions'!$B$8, 0)</f>
        <v/>
      </c>
      <c r="P1921" s="8" t="inlineStr">
        <is>
          <t>Band n50 (1.5 GHz, 60 MHz)</t>
        </is>
      </c>
      <c r="Q1921" s="38">
        <f>ROUNDUP(O1921/'Methodology &amp; Assumptions'!$B$9, 0)</f>
        <v/>
      </c>
      <c r="R1921" s="39" t="n">
        <v>1</v>
      </c>
      <c r="S1921" s="21" t="n">
        <v>2.01</v>
      </c>
      <c r="T1921" s="21" t="n">
        <v>0.32</v>
      </c>
      <c r="U1921" s="36" t="inlineStr">
        <is>
          <t>Tier 1B (Micro Drop, 1-3 km)</t>
        </is>
      </c>
      <c r="V1921" s="20" t="n">
        <v>61.2</v>
      </c>
      <c r="W1921" s="20" t="n">
        <v>96.5</v>
      </c>
      <c r="X1921" s="20" t="n">
        <v>28</v>
      </c>
      <c r="Y1921" s="40">
        <f>ROUND((V1921*'Methodology &amp; Assumptions'!$B$6)+(W1921*'Methodology &amp; Assumptions'!$B$5)+(X1921*'Methodology &amp; Assumptions'!$B$7), 2)</f>
        <v/>
      </c>
    </row>
    <row r="1922" ht="19" customHeight="1">
      <c r="A1922" s="41" t="n">
        <v>918</v>
      </c>
      <c r="B1922" s="41" t="n">
        <v>4918</v>
      </c>
      <c r="C1922" s="42" t="inlineStr">
        <is>
          <t>0731300022</t>
        </is>
      </c>
      <c r="D1922" s="42" t="inlineStr">
        <is>
          <t>Region VII (Central Visayas)</t>
        </is>
      </c>
      <c r="E1922" s="42" t="inlineStr">
        <is>
          <t>Cebu</t>
        </is>
      </c>
      <c r="F1922" s="42" t="inlineStr">
        <is>
          <t>City of Mandaue</t>
        </is>
      </c>
      <c r="G1922" s="42" t="inlineStr">
        <is>
          <t>Subangdaku</t>
        </is>
      </c>
      <c r="H1922" s="43" t="n">
        <v>10.320047</v>
      </c>
      <c r="I1922" s="43" t="n">
        <v>123.925486</v>
      </c>
      <c r="J1922" s="44" t="inlineStr">
        <is>
          <t>U</t>
        </is>
      </c>
      <c r="K1922" s="42" t="inlineStr">
        <is>
          <t>Class 1-3 / Urban</t>
        </is>
      </c>
      <c r="L1922" s="23" t="n">
        <v>17097</v>
      </c>
      <c r="M1922" s="24" t="n">
        <v>4.42</v>
      </c>
      <c r="N1922" s="23">
        <f>ROUND(L1922/M1922, 0)</f>
        <v/>
      </c>
      <c r="O1922" s="23">
        <f>ROUND(N1922*'Methodology &amp; Assumptions'!$B$8, 0)</f>
        <v/>
      </c>
      <c r="P1922" s="44" t="inlineStr">
        <is>
          <t>Band n50 (1.5 GHz, 60 MHz)</t>
        </is>
      </c>
      <c r="Q1922" s="38">
        <f>ROUNDUP(O1922/'Methodology &amp; Assumptions'!$B$9, 0)</f>
        <v/>
      </c>
      <c r="R1922" s="39" t="n">
        <v>1</v>
      </c>
      <c r="S1922" s="25" t="n">
        <v>2.22</v>
      </c>
      <c r="T1922" s="25" t="n">
        <v>0.33</v>
      </c>
      <c r="U1922" s="42" t="inlineStr">
        <is>
          <t>Tier 1B (Micro Drop, 1-3 km)</t>
        </is>
      </c>
      <c r="V1922" s="24" t="n">
        <v>57.6</v>
      </c>
      <c r="W1922" s="24" t="n">
        <v>100</v>
      </c>
      <c r="X1922" s="24" t="n">
        <v>28</v>
      </c>
      <c r="Y1922" s="45">
        <f>ROUND((V1922*'Methodology &amp; Assumptions'!$B$6)+(W1922*'Methodology &amp; Assumptions'!$B$5)+(X1922*'Methodology &amp; Assumptions'!$B$7), 2)</f>
        <v/>
      </c>
    </row>
    <row r="1923" ht="19" customHeight="1">
      <c r="A1923" s="35" t="n">
        <v>919</v>
      </c>
      <c r="B1923" s="35" t="n">
        <v>4919</v>
      </c>
      <c r="C1923" s="36" t="inlineStr">
        <is>
          <t>1102502012</t>
        </is>
      </c>
      <c r="D1923" s="36" t="inlineStr">
        <is>
          <t>Region XI (Davao Region)</t>
        </is>
      </c>
      <c r="E1923" s="36" t="inlineStr">
        <is>
          <t>Davao Oriental</t>
        </is>
      </c>
      <c r="F1923" s="36" t="inlineStr">
        <is>
          <t>Banaybanay</t>
        </is>
      </c>
      <c r="G1923" s="36" t="inlineStr">
        <is>
          <t>Poblacion</t>
        </is>
      </c>
      <c r="H1923" s="37" t="n">
        <v>6.982584</v>
      </c>
      <c r="I1923" s="37" t="n">
        <v>126.018646</v>
      </c>
      <c r="J1923" s="8" t="inlineStr">
        <is>
          <t>U</t>
        </is>
      </c>
      <c r="K1923" s="36" t="inlineStr">
        <is>
          <t>Class 1-3 / Urban</t>
        </is>
      </c>
      <c r="L1923" s="18" t="n">
        <v>9193</v>
      </c>
      <c r="M1923" s="20" t="n">
        <v>4.1</v>
      </c>
      <c r="N1923" s="18">
        <f>ROUND(L1923/M1923, 0)</f>
        <v/>
      </c>
      <c r="O1923" s="18">
        <f>ROUND(N1923*'Methodology &amp; Assumptions'!$B$8, 0)</f>
        <v/>
      </c>
      <c r="P1923" s="8" t="inlineStr">
        <is>
          <t>Band n50 (1.5 GHz, 60 MHz)</t>
        </is>
      </c>
      <c r="Q1923" s="38">
        <f>ROUNDUP(O1923/'Methodology &amp; Assumptions'!$B$9, 0)</f>
        <v/>
      </c>
      <c r="R1923" s="39" t="n">
        <v>1</v>
      </c>
      <c r="S1923" s="21" t="n">
        <v>2.22</v>
      </c>
      <c r="T1923" s="21" t="n">
        <v>0.74</v>
      </c>
      <c r="U1923" s="36" t="inlineStr">
        <is>
          <t>Tier 1B (Micro Drop, 1-3 km)</t>
        </is>
      </c>
      <c r="V1923" s="20" t="n">
        <v>57.7</v>
      </c>
      <c r="W1923" s="20" t="n">
        <v>100</v>
      </c>
      <c r="X1923" s="20" t="n">
        <v>28</v>
      </c>
      <c r="Y1923" s="40">
        <f>ROUND((V1923*'Methodology &amp; Assumptions'!$B$6)+(W1923*'Methodology &amp; Assumptions'!$B$5)+(X1923*'Methodology &amp; Assumptions'!$B$7), 2)</f>
        <v/>
      </c>
    </row>
    <row r="1924" ht="19" customHeight="1">
      <c r="A1924" s="41" t="n">
        <v>920</v>
      </c>
      <c r="B1924" s="41" t="n">
        <v>4920</v>
      </c>
      <c r="C1924" s="42" t="inlineStr">
        <is>
          <t>0105504009</t>
        </is>
      </c>
      <c r="D1924" s="42" t="inlineStr">
        <is>
          <t>Region I (Ilocos Region)</t>
        </is>
      </c>
      <c r="E1924" s="42" t="inlineStr">
        <is>
          <t>Pangasinan</t>
        </is>
      </c>
      <c r="F1924" s="42" t="inlineStr">
        <is>
          <t>Alcala</t>
        </is>
      </c>
      <c r="G1924" s="42" t="inlineStr">
        <is>
          <t>Kisikis</t>
        </is>
      </c>
      <c r="H1924" s="43" t="n">
        <v>15.848899</v>
      </c>
      <c r="I1924" s="43" t="n">
        <v>120.528631</v>
      </c>
      <c r="J1924" s="44" t="inlineStr">
        <is>
          <t>U</t>
        </is>
      </c>
      <c r="K1924" s="42" t="inlineStr">
        <is>
          <t>Class 1-3 / Urban</t>
        </is>
      </c>
      <c r="L1924" s="23" t="n">
        <v>3661</v>
      </c>
      <c r="M1924" s="24" t="n">
        <v>4.39</v>
      </c>
      <c r="N1924" s="23">
        <f>ROUND(L1924/M1924, 0)</f>
        <v/>
      </c>
      <c r="O1924" s="23">
        <f>ROUND(N1924*'Methodology &amp; Assumptions'!$B$8, 0)</f>
        <v/>
      </c>
      <c r="P1924" s="44" t="inlineStr">
        <is>
          <t>Band n50 (1.5 GHz, 60 MHz)</t>
        </is>
      </c>
      <c r="Q1924" s="38">
        <f>ROUNDUP(O1924/'Methodology &amp; Assumptions'!$B$9, 0)</f>
        <v/>
      </c>
      <c r="R1924" s="39" t="n">
        <v>1</v>
      </c>
      <c r="S1924" s="25" t="n">
        <v>1.2</v>
      </c>
      <c r="T1924" s="25" t="n">
        <v>8.01</v>
      </c>
      <c r="U1924" s="42" t="inlineStr">
        <is>
          <t>Tier 1B (Micro Drop, 1-3 km)</t>
        </is>
      </c>
      <c r="V1924" s="24" t="n">
        <v>67</v>
      </c>
      <c r="W1924" s="24" t="n">
        <v>90.7</v>
      </c>
      <c r="X1924" s="24" t="n">
        <v>28</v>
      </c>
      <c r="Y1924" s="45">
        <f>ROUND((V1924*'Methodology &amp; Assumptions'!$B$6)+(W1924*'Methodology &amp; Assumptions'!$B$5)+(X1924*'Methodology &amp; Assumptions'!$B$7), 2)</f>
        <v/>
      </c>
    </row>
    <row r="1925" ht="19" customHeight="1">
      <c r="A1925" s="35" t="n">
        <v>921</v>
      </c>
      <c r="B1925" s="35" t="n">
        <v>4921</v>
      </c>
      <c r="C1925" s="36" t="inlineStr">
        <is>
          <t>0402120043</t>
        </is>
      </c>
      <c r="D1925" s="36" t="inlineStr">
        <is>
          <t>Region IV-A (CALABARZON)</t>
        </is>
      </c>
      <c r="E1925" s="36" t="inlineStr">
        <is>
          <t>Cavite</t>
        </is>
      </c>
      <c r="F1925" s="36" t="inlineStr">
        <is>
          <t>Tanza</t>
        </is>
      </c>
      <c r="G1925" s="36" t="inlineStr">
        <is>
          <t>Paradahan II</t>
        </is>
      </c>
      <c r="H1925" s="37" t="n">
        <v>14.327801</v>
      </c>
      <c r="I1925" s="37" t="n">
        <v>120.858356</v>
      </c>
      <c r="J1925" s="8" t="inlineStr">
        <is>
          <t>R</t>
        </is>
      </c>
      <c r="K1925" s="36" t="inlineStr">
        <is>
          <t>Class 1-3 / Urban</t>
        </is>
      </c>
      <c r="L1925" s="18" t="n">
        <v>4876</v>
      </c>
      <c r="M1925" s="20" t="n">
        <v>4.49</v>
      </c>
      <c r="N1925" s="18">
        <f>ROUND(L1925/M1925, 0)</f>
        <v/>
      </c>
      <c r="O1925" s="18">
        <f>ROUND(N1925*'Methodology &amp; Assumptions'!$B$8, 0)</f>
        <v/>
      </c>
      <c r="P1925" s="8" t="inlineStr">
        <is>
          <t>Band n50 (1.5 GHz, 60 MHz)</t>
        </is>
      </c>
      <c r="Q1925" s="38">
        <f>ROUNDUP(O1925/'Methodology &amp; Assumptions'!$B$9, 0)</f>
        <v/>
      </c>
      <c r="R1925" s="39" t="n">
        <v>1</v>
      </c>
      <c r="S1925" s="21" t="n">
        <v>4.56</v>
      </c>
      <c r="T1925" s="21" t="n">
        <v>0.87</v>
      </c>
      <c r="U1925" s="36" t="inlineStr">
        <is>
          <t>Tier 2 (Fiber Corridor / Lateral, 3-5 km)</t>
        </is>
      </c>
      <c r="V1925" s="20" t="n">
        <v>31.9</v>
      </c>
      <c r="W1925" s="20" t="n">
        <v>100</v>
      </c>
      <c r="X1925" s="20" t="n">
        <v>58</v>
      </c>
      <c r="Y1925" s="40">
        <f>ROUND((V1925*'Methodology &amp; Assumptions'!$B$6)+(W1925*'Methodology &amp; Assumptions'!$B$5)+(X1925*'Methodology &amp; Assumptions'!$B$7), 2)</f>
        <v/>
      </c>
    </row>
    <row r="1926" ht="19" customHeight="1">
      <c r="A1926" s="41" t="n">
        <v>922</v>
      </c>
      <c r="B1926" s="41" t="n">
        <v>4922</v>
      </c>
      <c r="C1926" s="42" t="inlineStr">
        <is>
          <t>0803748015</t>
        </is>
      </c>
      <c r="D1926" s="42" t="inlineStr">
        <is>
          <t>Region VIII (Eastern Visayas)</t>
        </is>
      </c>
      <c r="E1926" s="42" t="inlineStr">
        <is>
          <t>Leyte</t>
        </is>
      </c>
      <c r="F1926" s="42" t="inlineStr">
        <is>
          <t>Tanauan</t>
        </is>
      </c>
      <c r="G1926" s="42" t="inlineStr">
        <is>
          <t>Cabuynan</t>
        </is>
      </c>
      <c r="H1926" s="43" t="n">
        <v>11.081287</v>
      </c>
      <c r="I1926" s="43" t="n">
        <v>125.025641</v>
      </c>
      <c r="J1926" s="44" t="inlineStr">
        <is>
          <t>R</t>
        </is>
      </c>
      <c r="K1926" s="42" t="inlineStr">
        <is>
          <t>Class 1-3 / Urban</t>
        </is>
      </c>
      <c r="L1926" s="23" t="n">
        <v>3070</v>
      </c>
      <c r="M1926" s="24" t="n">
        <v>4.24</v>
      </c>
      <c r="N1926" s="23">
        <f>ROUND(L1926/M1926, 0)</f>
        <v/>
      </c>
      <c r="O1926" s="23">
        <f>ROUND(N1926*'Methodology &amp; Assumptions'!$B$8, 0)</f>
        <v/>
      </c>
      <c r="P1926" s="44" t="inlineStr">
        <is>
          <t>Band n50 (1.5 GHz, 60 MHz)</t>
        </is>
      </c>
      <c r="Q1926" s="38">
        <f>ROUNDUP(O1926/'Methodology &amp; Assumptions'!$B$9, 0)</f>
        <v/>
      </c>
      <c r="R1926" s="39" t="n">
        <v>1</v>
      </c>
      <c r="S1926" s="25" t="n">
        <v>2.74</v>
      </c>
      <c r="T1926" s="25" t="n">
        <v>0.24</v>
      </c>
      <c r="U1926" s="42" t="inlineStr">
        <is>
          <t>Tier 1B (Micro Drop, 1-3 km)</t>
        </is>
      </c>
      <c r="V1926" s="24" t="n">
        <v>50.1</v>
      </c>
      <c r="W1926" s="24" t="n">
        <v>81.90000000000001</v>
      </c>
      <c r="X1926" s="24" t="n">
        <v>58</v>
      </c>
      <c r="Y1926" s="45">
        <f>ROUND((V1926*'Methodology &amp; Assumptions'!$B$6)+(W1926*'Methodology &amp; Assumptions'!$B$5)+(X1926*'Methodology &amp; Assumptions'!$B$7), 2)</f>
        <v/>
      </c>
    </row>
    <row r="1927" ht="19" customHeight="1">
      <c r="A1927" s="35" t="n">
        <v>923</v>
      </c>
      <c r="B1927" s="35" t="n">
        <v>4923</v>
      </c>
      <c r="C1927" s="36" t="inlineStr">
        <is>
          <t>0306909008</t>
        </is>
      </c>
      <c r="D1927" s="36" t="inlineStr">
        <is>
          <t>Region III (Central Luzon)</t>
        </is>
      </c>
      <c r="E1927" s="36" t="inlineStr">
        <is>
          <t>Tarlac</t>
        </is>
      </c>
      <c r="F1927" s="36" t="inlineStr">
        <is>
          <t>Moncada</t>
        </is>
      </c>
      <c r="G1927" s="36" t="inlineStr">
        <is>
          <t>Burgos</t>
        </is>
      </c>
      <c r="H1927" s="37" t="n">
        <v>15.737741</v>
      </c>
      <c r="I1927" s="37" t="n">
        <v>120.577379</v>
      </c>
      <c r="J1927" s="8" t="inlineStr">
        <is>
          <t>R</t>
        </is>
      </c>
      <c r="K1927" s="36" t="inlineStr">
        <is>
          <t>Class 1-3 / Urban</t>
        </is>
      </c>
      <c r="L1927" s="18" t="n">
        <v>2257</v>
      </c>
      <c r="M1927" s="20" t="n">
        <v>4.3</v>
      </c>
      <c r="N1927" s="18">
        <f>ROUND(L1927/M1927, 0)</f>
        <v/>
      </c>
      <c r="O1927" s="18">
        <f>ROUND(N1927*'Methodology &amp; Assumptions'!$B$8, 0)</f>
        <v/>
      </c>
      <c r="P1927" s="8" t="inlineStr">
        <is>
          <t>Band n50 (1.5 GHz, 60 MHz)</t>
        </is>
      </c>
      <c r="Q1927" s="38">
        <f>ROUNDUP(O1927/'Methodology &amp; Assumptions'!$B$9, 0)</f>
        <v/>
      </c>
      <c r="R1927" s="39" t="n">
        <v>1</v>
      </c>
      <c r="S1927" s="21" t="n">
        <v>1.75</v>
      </c>
      <c r="T1927" s="21" t="n">
        <v>0.33</v>
      </c>
      <c r="U1927" s="36" t="inlineStr">
        <is>
          <t>Tier 1B (Micro Drop, 1-3 km)</t>
        </is>
      </c>
      <c r="V1927" s="20" t="n">
        <v>65.8</v>
      </c>
      <c r="W1927" s="20" t="n">
        <v>66.09999999999999</v>
      </c>
      <c r="X1927" s="20" t="n">
        <v>58</v>
      </c>
      <c r="Y1927" s="40">
        <f>ROUND((V1927*'Methodology &amp; Assumptions'!$B$6)+(W1927*'Methodology &amp; Assumptions'!$B$5)+(X1927*'Methodology &amp; Assumptions'!$B$7), 2)</f>
        <v/>
      </c>
    </row>
    <row r="1928" ht="19" customHeight="1">
      <c r="A1928" s="41" t="n">
        <v>924</v>
      </c>
      <c r="B1928" s="41" t="n">
        <v>4924</v>
      </c>
      <c r="C1928" s="42" t="inlineStr">
        <is>
          <t>0731300027</t>
        </is>
      </c>
      <c r="D1928" s="42" t="inlineStr">
        <is>
          <t>Region VII (Central Visayas)</t>
        </is>
      </c>
      <c r="E1928" s="42" t="inlineStr">
        <is>
          <t>Cebu</t>
        </is>
      </c>
      <c r="F1928" s="42" t="inlineStr">
        <is>
          <t>City of Mandaue</t>
        </is>
      </c>
      <c r="G1928" s="42" t="inlineStr">
        <is>
          <t>Umapad</t>
        </is>
      </c>
      <c r="H1928" s="43" t="n">
        <v>10.33242</v>
      </c>
      <c r="I1928" s="43" t="n">
        <v>123.955342</v>
      </c>
      <c r="J1928" s="44" t="inlineStr">
        <is>
          <t>U</t>
        </is>
      </c>
      <c r="K1928" s="42" t="inlineStr">
        <is>
          <t>Class 1-3 / Urban</t>
        </is>
      </c>
      <c r="L1928" s="23" t="n">
        <v>18779</v>
      </c>
      <c r="M1928" s="24" t="n">
        <v>4.42</v>
      </c>
      <c r="N1928" s="23">
        <f>ROUND(L1928/M1928, 0)</f>
        <v/>
      </c>
      <c r="O1928" s="23">
        <f>ROUND(N1928*'Methodology &amp; Assumptions'!$B$8, 0)</f>
        <v/>
      </c>
      <c r="P1928" s="44" t="inlineStr">
        <is>
          <t>Band n50 (1.5 GHz, 60 MHz)</t>
        </is>
      </c>
      <c r="Q1928" s="38">
        <f>ROUNDUP(O1928/'Methodology &amp; Assumptions'!$B$9, 0)</f>
        <v/>
      </c>
      <c r="R1928" s="39" t="n">
        <v>1</v>
      </c>
      <c r="S1928" s="25" t="n">
        <v>2.22</v>
      </c>
      <c r="T1928" s="25" t="n">
        <v>1.31</v>
      </c>
      <c r="U1928" s="42" t="inlineStr">
        <is>
          <t>Tier 1B (Micro Drop, 1-3 km)</t>
        </is>
      </c>
      <c r="V1928" s="24" t="n">
        <v>57.6</v>
      </c>
      <c r="W1928" s="24" t="n">
        <v>100</v>
      </c>
      <c r="X1928" s="24" t="n">
        <v>28</v>
      </c>
      <c r="Y1928" s="45">
        <f>ROUND((V1928*'Methodology &amp; Assumptions'!$B$6)+(W1928*'Methodology &amp; Assumptions'!$B$5)+(X1928*'Methodology &amp; Assumptions'!$B$7), 2)</f>
        <v/>
      </c>
    </row>
    <row r="1929" ht="19" customHeight="1">
      <c r="A1929" s="35" t="n">
        <v>925</v>
      </c>
      <c r="B1929" s="35" t="n">
        <v>4925</v>
      </c>
      <c r="C1929" s="36" t="inlineStr">
        <is>
          <t>0203135023</t>
        </is>
      </c>
      <c r="D1929" s="36" t="inlineStr">
        <is>
          <t>Region II (Cagayan Valley)</t>
        </is>
      </c>
      <c r="E1929" s="36" t="inlineStr">
        <is>
          <t>Isabela</t>
        </is>
      </c>
      <c r="F1929" s="36" t="inlineStr">
        <is>
          <t>City of Santiago</t>
        </is>
      </c>
      <c r="G1929" s="36" t="inlineStr">
        <is>
          <t>Patul</t>
        </is>
      </c>
      <c r="H1929" s="37" t="n">
        <v>16.672825</v>
      </c>
      <c r="I1929" s="37" t="n">
        <v>121.532111</v>
      </c>
      <c r="J1929" s="8" t="inlineStr">
        <is>
          <t>U</t>
        </is>
      </c>
      <c r="K1929" s="36" t="inlineStr">
        <is>
          <t>Class 1-3 / Urban</t>
        </is>
      </c>
      <c r="L1929" s="18" t="n">
        <v>5852</v>
      </c>
      <c r="M1929" s="20" t="n">
        <v>4.3</v>
      </c>
      <c r="N1929" s="18">
        <f>ROUND(L1929/M1929, 0)</f>
        <v/>
      </c>
      <c r="O1929" s="18">
        <f>ROUND(N1929*'Methodology &amp; Assumptions'!$B$8, 0)</f>
        <v/>
      </c>
      <c r="P1929" s="8" t="inlineStr">
        <is>
          <t>Band n50 (1.5 GHz, 60 MHz)</t>
        </is>
      </c>
      <c r="Q1929" s="38">
        <f>ROUNDUP(O1929/'Methodology &amp; Assumptions'!$B$9, 0)</f>
        <v/>
      </c>
      <c r="R1929" s="39" t="n">
        <v>1</v>
      </c>
      <c r="S1929" s="21" t="n">
        <v>2.23</v>
      </c>
      <c r="T1929" s="21" t="n">
        <v>1.94</v>
      </c>
      <c r="U1929" s="36" t="inlineStr">
        <is>
          <t>Tier 1B (Micro Drop, 1-3 km)</t>
        </is>
      </c>
      <c r="V1929" s="20" t="n">
        <v>57.6</v>
      </c>
      <c r="W1929" s="20" t="n">
        <v>100</v>
      </c>
      <c r="X1929" s="20" t="n">
        <v>28</v>
      </c>
      <c r="Y1929" s="40">
        <f>ROUND((V1929*'Methodology &amp; Assumptions'!$B$6)+(W1929*'Methodology &amp; Assumptions'!$B$5)+(X1929*'Methodology &amp; Assumptions'!$B$7), 2)</f>
        <v/>
      </c>
    </row>
    <row r="1930" ht="19" customHeight="1">
      <c r="A1930" s="41" t="n">
        <v>926</v>
      </c>
      <c r="B1930" s="41" t="n">
        <v>4926</v>
      </c>
      <c r="C1930" s="42" t="inlineStr">
        <is>
          <t>0501731017</t>
        </is>
      </c>
      <c r="D1930" s="42" t="inlineStr">
        <is>
          <t>Region V (Bicol Region)</t>
        </is>
      </c>
      <c r="E1930" s="42" t="inlineStr">
        <is>
          <t>Camarines Sur</t>
        </is>
      </c>
      <c r="F1930" s="42" t="inlineStr">
        <is>
          <t>Sagñay</t>
        </is>
      </c>
      <c r="G1930" s="42" t="inlineStr">
        <is>
          <t>San Isidro</t>
        </is>
      </c>
      <c r="H1930" s="43" t="n">
        <v>13.605066</v>
      </c>
      <c r="I1930" s="43" t="n">
        <v>123.528185</v>
      </c>
      <c r="J1930" s="44" t="inlineStr">
        <is>
          <t>R</t>
        </is>
      </c>
      <c r="K1930" s="42" t="inlineStr">
        <is>
          <t>2nd</t>
        </is>
      </c>
      <c r="L1930" s="23" t="n">
        <v>1381</v>
      </c>
      <c r="M1930" s="24" t="n">
        <v>4.94</v>
      </c>
      <c r="N1930" s="23">
        <f>ROUND(L1930/M1930, 0)</f>
        <v/>
      </c>
      <c r="O1930" s="23">
        <f>ROUND(N1930*'Methodology &amp; Assumptions'!$B$8, 0)</f>
        <v/>
      </c>
      <c r="P1930" s="44" t="inlineStr">
        <is>
          <t>Band n50 (1.5 GHz, 60 MHz)</t>
        </is>
      </c>
      <c r="Q1930" s="38">
        <f>ROUNDUP(O1930/'Methodology &amp; Assumptions'!$B$9, 0)</f>
        <v/>
      </c>
      <c r="R1930" s="39" t="n">
        <v>1</v>
      </c>
      <c r="S1930" s="25" t="n">
        <v>0.84</v>
      </c>
      <c r="T1930" s="25" t="n">
        <v>0.16</v>
      </c>
      <c r="U1930" s="42" t="inlineStr">
        <is>
          <t>Tier 1A (Direct Coloc, &lt;1 km)</t>
        </is>
      </c>
      <c r="V1930" s="24" t="n">
        <v>85.5</v>
      </c>
      <c r="W1930" s="24" t="n">
        <v>46.4</v>
      </c>
      <c r="X1930" s="24" t="n">
        <v>58</v>
      </c>
      <c r="Y1930" s="45">
        <f>ROUND((V1930*'Methodology &amp; Assumptions'!$B$6)+(W1930*'Methodology &amp; Assumptions'!$B$5)+(X1930*'Methodology &amp; Assumptions'!$B$7), 2)</f>
        <v/>
      </c>
    </row>
    <row r="1931" ht="19" customHeight="1">
      <c r="A1931" s="35" t="n">
        <v>927</v>
      </c>
      <c r="B1931" s="35" t="n">
        <v>4927</v>
      </c>
      <c r="C1931" s="36" t="inlineStr">
        <is>
          <t>0730600040</t>
        </is>
      </c>
      <c r="D1931" s="36" t="inlineStr">
        <is>
          <t>Region VII (Central Visayas)</t>
        </is>
      </c>
      <c r="E1931" s="36" t="inlineStr">
        <is>
          <t>Cebu</t>
        </is>
      </c>
      <c r="F1931" s="36" t="inlineStr">
        <is>
          <t>City of Cebu</t>
        </is>
      </c>
      <c r="G1931" s="36" t="inlineStr">
        <is>
          <t>Labangon</t>
        </is>
      </c>
      <c r="H1931" s="37" t="n">
        <v>10.299791</v>
      </c>
      <c r="I1931" s="37" t="n">
        <v>123.879236</v>
      </c>
      <c r="J1931" s="8" t="inlineStr">
        <is>
          <t>U</t>
        </is>
      </c>
      <c r="K1931" s="36" t="inlineStr">
        <is>
          <t>Class 1-3 / Urban</t>
        </is>
      </c>
      <c r="L1931" s="18" t="n">
        <v>32825</v>
      </c>
      <c r="M1931" s="20" t="n">
        <v>4.42</v>
      </c>
      <c r="N1931" s="18">
        <f>ROUND(L1931/M1931, 0)</f>
        <v/>
      </c>
      <c r="O1931" s="18">
        <f>ROUND(N1931*'Methodology &amp; Assumptions'!$B$8, 0)</f>
        <v/>
      </c>
      <c r="P1931" s="8" t="inlineStr">
        <is>
          <t>Band n50 (1.5 GHz, 60 MHz)</t>
        </is>
      </c>
      <c r="Q1931" s="38">
        <f>ROUNDUP(O1931/'Methodology &amp; Assumptions'!$B$9, 0)</f>
        <v/>
      </c>
      <c r="R1931" s="39" t="n">
        <v>1</v>
      </c>
      <c r="S1931" s="21" t="n">
        <v>2.18</v>
      </c>
      <c r="T1931" s="21" t="n">
        <v>0.64</v>
      </c>
      <c r="U1931" s="36" t="inlineStr">
        <is>
          <t>Tier 1B (Micro Drop, 1-3 km)</t>
        </is>
      </c>
      <c r="V1931" s="20" t="n">
        <v>58.4</v>
      </c>
      <c r="W1931" s="20" t="n">
        <v>99.2</v>
      </c>
      <c r="X1931" s="20" t="n">
        <v>28</v>
      </c>
      <c r="Y1931" s="40">
        <f>ROUND((V1931*'Methodology &amp; Assumptions'!$B$6)+(W1931*'Methodology &amp; Assumptions'!$B$5)+(X1931*'Methodology &amp; Assumptions'!$B$7), 2)</f>
        <v/>
      </c>
    </row>
    <row r="1932" ht="19" customHeight="1">
      <c r="A1932" s="41" t="n">
        <v>928</v>
      </c>
      <c r="B1932" s="41" t="n">
        <v>4928</v>
      </c>
      <c r="C1932" s="42" t="inlineStr">
        <is>
          <t>0304903095</t>
        </is>
      </c>
      <c r="D1932" s="42" t="inlineStr">
        <is>
          <t>Region III (Central Luzon)</t>
        </is>
      </c>
      <c r="E1932" s="42" t="inlineStr">
        <is>
          <t>Nueva Ecija</t>
        </is>
      </c>
      <c r="F1932" s="42" t="inlineStr">
        <is>
          <t>City of Cabanatuan</t>
        </is>
      </c>
      <c r="G1932" s="42" t="inlineStr">
        <is>
          <t>Sumacab South</t>
        </is>
      </c>
      <c r="H1932" s="43" t="n">
        <v>15.447233</v>
      </c>
      <c r="I1932" s="43" t="n">
        <v>120.935315</v>
      </c>
      <c r="J1932" s="44" t="inlineStr">
        <is>
          <t>U</t>
        </is>
      </c>
      <c r="K1932" s="42" t="inlineStr">
        <is>
          <t>Class 1-3 / Urban</t>
        </is>
      </c>
      <c r="L1932" s="23" t="n">
        <v>5776</v>
      </c>
      <c r="M1932" s="24" t="n">
        <v>4.32</v>
      </c>
      <c r="N1932" s="23">
        <f>ROUND(L1932/M1932, 0)</f>
        <v/>
      </c>
      <c r="O1932" s="23">
        <f>ROUND(N1932*'Methodology &amp; Assumptions'!$B$8, 0)</f>
        <v/>
      </c>
      <c r="P1932" s="44" t="inlineStr">
        <is>
          <t>Band n50 (1.5 GHz, 60 MHz)</t>
        </is>
      </c>
      <c r="Q1932" s="38">
        <f>ROUNDUP(O1932/'Methodology &amp; Assumptions'!$B$9, 0)</f>
        <v/>
      </c>
      <c r="R1932" s="39" t="n">
        <v>1</v>
      </c>
      <c r="S1932" s="25" t="n">
        <v>2.23</v>
      </c>
      <c r="T1932" s="25" t="n">
        <v>0.96</v>
      </c>
      <c r="U1932" s="42" t="inlineStr">
        <is>
          <t>Tier 1B (Micro Drop, 1-3 km)</t>
        </is>
      </c>
      <c r="V1932" s="24" t="n">
        <v>57.6</v>
      </c>
      <c r="W1932" s="24" t="n">
        <v>100</v>
      </c>
      <c r="X1932" s="24" t="n">
        <v>28</v>
      </c>
      <c r="Y1932" s="45">
        <f>ROUND((V1932*'Methodology &amp; Assumptions'!$B$6)+(W1932*'Methodology &amp; Assumptions'!$B$5)+(X1932*'Methodology &amp; Assumptions'!$B$7), 2)</f>
        <v/>
      </c>
    </row>
    <row r="1933" ht="19" customHeight="1">
      <c r="A1933" s="35" t="n">
        <v>929</v>
      </c>
      <c r="B1933" s="35" t="n">
        <v>4929</v>
      </c>
      <c r="C1933" s="36" t="inlineStr">
        <is>
          <t>0203122011</t>
        </is>
      </c>
      <c r="D1933" s="36" t="inlineStr">
        <is>
          <t>Region II (Cagayan Valley)</t>
        </is>
      </c>
      <c r="E1933" s="36" t="inlineStr">
        <is>
          <t>Isabela</t>
        </is>
      </c>
      <c r="F1933" s="36" t="inlineStr">
        <is>
          <t>Quezon</t>
        </is>
      </c>
      <c r="G1933" s="36" t="inlineStr">
        <is>
          <t>Samonte</t>
        </is>
      </c>
      <c r="H1933" s="37" t="n">
        <v>17.308645</v>
      </c>
      <c r="I1933" s="37" t="n">
        <v>121.604401</v>
      </c>
      <c r="J1933" s="8" t="inlineStr">
        <is>
          <t>U</t>
        </is>
      </c>
      <c r="K1933" s="36" t="inlineStr">
        <is>
          <t>1st</t>
        </is>
      </c>
      <c r="L1933" s="18" t="n">
        <v>1850</v>
      </c>
      <c r="M1933" s="20" t="n">
        <v>4.4</v>
      </c>
      <c r="N1933" s="18">
        <f>ROUND(L1933/M1933, 0)</f>
        <v/>
      </c>
      <c r="O1933" s="18">
        <f>ROUND(N1933*'Methodology &amp; Assumptions'!$B$8, 0)</f>
        <v/>
      </c>
      <c r="P1933" s="8" t="inlineStr">
        <is>
          <t>Band n50 (1.5 GHz, 60 MHz)</t>
        </is>
      </c>
      <c r="Q1933" s="38">
        <f>ROUNDUP(O1933/'Methodology &amp; Assumptions'!$B$9, 0)</f>
        <v/>
      </c>
      <c r="R1933" s="39" t="n">
        <v>1</v>
      </c>
      <c r="S1933" s="21" t="n">
        <v>0.32</v>
      </c>
      <c r="T1933" s="21" t="n">
        <v>0.39</v>
      </c>
      <c r="U1933" s="36" t="inlineStr">
        <is>
          <t>Tier 1A (Direct Coloc, &lt;1 km)</t>
        </is>
      </c>
      <c r="V1933" s="20" t="n">
        <v>100</v>
      </c>
      <c r="W1933" s="20" t="n">
        <v>57.6</v>
      </c>
      <c r="X1933" s="20" t="n">
        <v>28</v>
      </c>
      <c r="Y1933" s="40">
        <f>ROUND((V1933*'Methodology &amp; Assumptions'!$B$6)+(W1933*'Methodology &amp; Assumptions'!$B$5)+(X1933*'Methodology &amp; Assumptions'!$B$7), 2)</f>
        <v/>
      </c>
    </row>
    <row r="1934" ht="19" customHeight="1">
      <c r="A1934" s="41" t="n">
        <v>930</v>
      </c>
      <c r="B1934" s="41" t="n">
        <v>4930</v>
      </c>
      <c r="C1934" s="42" t="inlineStr">
        <is>
          <t>0103302025</t>
        </is>
      </c>
      <c r="D1934" s="42" t="inlineStr">
        <is>
          <t>Region I (Ilocos Region)</t>
        </is>
      </c>
      <c r="E1934" s="42" t="inlineStr">
        <is>
          <t>La Union</t>
        </is>
      </c>
      <c r="F1934" s="42" t="inlineStr">
        <is>
          <t>Aringay</t>
        </is>
      </c>
      <c r="G1934" s="42" t="inlineStr">
        <is>
          <t>Santa Rita West</t>
        </is>
      </c>
      <c r="H1934" s="43" t="n">
        <v>16.384865</v>
      </c>
      <c r="I1934" s="43" t="n">
        <v>120.348622</v>
      </c>
      <c r="J1934" s="44" t="inlineStr">
        <is>
          <t>R</t>
        </is>
      </c>
      <c r="K1934" s="42" t="inlineStr">
        <is>
          <t>Class 1-3 / Urban</t>
        </is>
      </c>
      <c r="L1934" s="23" t="n">
        <v>3640</v>
      </c>
      <c r="M1934" s="24" t="n">
        <v>4.42</v>
      </c>
      <c r="N1934" s="23">
        <f>ROUND(L1934/M1934, 0)</f>
        <v/>
      </c>
      <c r="O1934" s="23">
        <f>ROUND(N1934*'Methodology &amp; Assumptions'!$B$8, 0)</f>
        <v/>
      </c>
      <c r="P1934" s="44" t="inlineStr">
        <is>
          <t>Band n50 (1.5 GHz, 60 MHz)</t>
        </is>
      </c>
      <c r="Q1934" s="38">
        <f>ROUNDUP(O1934/'Methodology &amp; Assumptions'!$B$9, 0)</f>
        <v/>
      </c>
      <c r="R1934" s="39" t="n">
        <v>1</v>
      </c>
      <c r="S1934" s="25" t="n">
        <v>4.96</v>
      </c>
      <c r="T1934" s="25" t="n">
        <v>0.75</v>
      </c>
      <c r="U1934" s="42" t="inlineStr">
        <is>
          <t>Tier 2 (Fiber Corridor / Lateral, 3-5 km)</t>
        </is>
      </c>
      <c r="V1934" s="24" t="n">
        <v>29.1</v>
      </c>
      <c r="W1934" s="24" t="n">
        <v>89.90000000000001</v>
      </c>
      <c r="X1934" s="24" t="n">
        <v>73</v>
      </c>
      <c r="Y1934" s="45">
        <f>ROUND((V1934*'Methodology &amp; Assumptions'!$B$6)+(W1934*'Methodology &amp; Assumptions'!$B$5)+(X1934*'Methodology &amp; Assumptions'!$B$7), 2)</f>
        <v/>
      </c>
    </row>
    <row r="1935" ht="19" customHeight="1">
      <c r="A1935" s="35" t="n">
        <v>931</v>
      </c>
      <c r="B1935" s="35" t="n">
        <v>4931</v>
      </c>
      <c r="C1935" s="36" t="inlineStr">
        <is>
          <t>0401027010</t>
        </is>
      </c>
      <c r="D1935" s="36" t="inlineStr">
        <is>
          <t>Region IV-A (CALABARZON)</t>
        </is>
      </c>
      <c r="E1935" s="36" t="inlineStr">
        <is>
          <t>Batangas</t>
        </is>
      </c>
      <c r="F1935" s="36" t="inlineStr">
        <is>
          <t>Santa Teresita</t>
        </is>
      </c>
      <c r="G1935" s="36" t="inlineStr">
        <is>
          <t>Poblacion I</t>
        </is>
      </c>
      <c r="H1935" s="37" t="n">
        <v>13.868808</v>
      </c>
      <c r="I1935" s="37" t="n">
        <v>120.976877</v>
      </c>
      <c r="J1935" s="8" t="inlineStr">
        <is>
          <t>R</t>
        </is>
      </c>
      <c r="K1935" s="36" t="inlineStr">
        <is>
          <t>4th</t>
        </is>
      </c>
      <c r="L1935" s="18" t="n">
        <v>1729</v>
      </c>
      <c r="M1935" s="20" t="n">
        <v>4.9</v>
      </c>
      <c r="N1935" s="18">
        <f>ROUND(L1935/M1935, 0)</f>
        <v/>
      </c>
      <c r="O1935" s="18">
        <f>ROUND(N1935*'Methodology &amp; Assumptions'!$B$8, 0)</f>
        <v/>
      </c>
      <c r="P1935" s="8" t="inlineStr">
        <is>
          <t>Band n50 (1.5 GHz, 60 MHz)</t>
        </is>
      </c>
      <c r="Q1935" s="38">
        <f>ROUNDUP(O1935/'Methodology &amp; Assumptions'!$B$9, 0)</f>
        <v/>
      </c>
      <c r="R1935" s="39" t="n">
        <v>1</v>
      </c>
      <c r="S1935" s="21" t="n">
        <v>1.5</v>
      </c>
      <c r="T1935" s="21" t="n">
        <v>0.18</v>
      </c>
      <c r="U1935" s="36" t="inlineStr">
        <is>
          <t>Tier 1B (Micro Drop, 1-3 km)</t>
        </is>
      </c>
      <c r="V1935" s="20" t="n">
        <v>70.59999999999999</v>
      </c>
      <c r="W1935" s="20" t="n">
        <v>52.3</v>
      </c>
      <c r="X1935" s="20" t="n">
        <v>68.5</v>
      </c>
      <c r="Y1935" s="40">
        <f>ROUND((V1935*'Methodology &amp; Assumptions'!$B$6)+(W1935*'Methodology &amp; Assumptions'!$B$5)+(X1935*'Methodology &amp; Assumptions'!$B$7), 2)</f>
        <v/>
      </c>
    </row>
    <row r="1936" ht="19" customHeight="1">
      <c r="A1936" s="41" t="n">
        <v>932</v>
      </c>
      <c r="B1936" s="41" t="n">
        <v>4932</v>
      </c>
      <c r="C1936" s="42" t="inlineStr">
        <is>
          <t>0402105063</t>
        </is>
      </c>
      <c r="D1936" s="42" t="inlineStr">
        <is>
          <t>Region IV-A (CALABARZON)</t>
        </is>
      </c>
      <c r="E1936" s="42" t="inlineStr">
        <is>
          <t>Cavite</t>
        </is>
      </c>
      <c r="F1936" s="42" t="inlineStr">
        <is>
          <t>City of Cavite</t>
        </is>
      </c>
      <c r="G1936" s="42" t="inlineStr">
        <is>
          <t>Barangay 10-A</t>
        </is>
      </c>
      <c r="H1936" s="43" t="n">
        <v>14.467851</v>
      </c>
      <c r="I1936" s="43" t="n">
        <v>120.889008</v>
      </c>
      <c r="J1936" s="44" t="inlineStr">
        <is>
          <t>R</t>
        </is>
      </c>
      <c r="K1936" s="42" t="inlineStr">
        <is>
          <t>Class 1-3 / Urban</t>
        </is>
      </c>
      <c r="L1936" s="23" t="n">
        <v>1727</v>
      </c>
      <c r="M1936" s="24" t="n">
        <v>4.49</v>
      </c>
      <c r="N1936" s="23">
        <f>ROUND(L1936/M1936, 0)</f>
        <v/>
      </c>
      <c r="O1936" s="23">
        <f>ROUND(N1936*'Methodology &amp; Assumptions'!$B$8, 0)</f>
        <v/>
      </c>
      <c r="P1936" s="44" t="inlineStr">
        <is>
          <t>Band n50 (1.5 GHz, 60 MHz)</t>
        </is>
      </c>
      <c r="Q1936" s="38">
        <f>ROUNDUP(O1936/'Methodology &amp; Assumptions'!$B$9, 0)</f>
        <v/>
      </c>
      <c r="R1936" s="39" t="n">
        <v>1</v>
      </c>
      <c r="S1936" s="25" t="n">
        <v>0.79</v>
      </c>
      <c r="T1936" s="25" t="n">
        <v>3.67</v>
      </c>
      <c r="U1936" s="42" t="inlineStr">
        <is>
          <t>Tier 1A (Direct Coloc, &lt;1 km)</t>
        </is>
      </c>
      <c r="V1936" s="24" t="n">
        <v>76.90000000000001</v>
      </c>
      <c r="W1936" s="24" t="n">
        <v>54.9</v>
      </c>
      <c r="X1936" s="24" t="n">
        <v>58</v>
      </c>
      <c r="Y1936" s="45">
        <f>ROUND((V1936*'Methodology &amp; Assumptions'!$B$6)+(W1936*'Methodology &amp; Assumptions'!$B$5)+(X1936*'Methodology &amp; Assumptions'!$B$7), 2)</f>
        <v/>
      </c>
    </row>
    <row r="1937" ht="19" customHeight="1">
      <c r="A1937" s="35" t="n">
        <v>933</v>
      </c>
      <c r="B1937" s="35" t="n">
        <v>4933</v>
      </c>
      <c r="C1937" s="36" t="inlineStr">
        <is>
          <t>1600307007</t>
        </is>
      </c>
      <c r="D1937" s="36" t="inlineStr">
        <is>
          <t>Region XIII (Caraga)</t>
        </is>
      </c>
      <c r="E1937" s="36" t="inlineStr">
        <is>
          <t>Agusan del Sur</t>
        </is>
      </c>
      <c r="F1937" s="36" t="inlineStr">
        <is>
          <t>Rosario</t>
        </is>
      </c>
      <c r="G1937" s="36" t="inlineStr">
        <is>
          <t>Santa Cruz</t>
        </is>
      </c>
      <c r="H1937" s="37" t="n">
        <v>8.360915</v>
      </c>
      <c r="I1937" s="37" t="n">
        <v>126.0169</v>
      </c>
      <c r="J1937" s="8" t="inlineStr">
        <is>
          <t>U</t>
        </is>
      </c>
      <c r="K1937" s="36" t="inlineStr">
        <is>
          <t>Class 1-3 / Urban</t>
        </is>
      </c>
      <c r="L1937" s="18" t="n">
        <v>9479</v>
      </c>
      <c r="M1937" s="20" t="n">
        <v>4.1</v>
      </c>
      <c r="N1937" s="18">
        <f>ROUND(L1937/M1937, 0)</f>
        <v/>
      </c>
      <c r="O1937" s="18">
        <f>ROUND(N1937*'Methodology &amp; Assumptions'!$B$8, 0)</f>
        <v/>
      </c>
      <c r="P1937" s="8" t="inlineStr">
        <is>
          <t>Band n50 (1.5 GHz, 60 MHz)</t>
        </is>
      </c>
      <c r="Q1937" s="38">
        <f>ROUNDUP(O1937/'Methodology &amp; Assumptions'!$B$9, 0)</f>
        <v/>
      </c>
      <c r="R1937" s="39" t="n">
        <v>1</v>
      </c>
      <c r="S1937" s="21" t="n">
        <v>2.23</v>
      </c>
      <c r="T1937" s="21" t="n">
        <v>0.1</v>
      </c>
      <c r="U1937" s="36" t="inlineStr">
        <is>
          <t>Tier 1B (Micro Drop, 1-3 km)</t>
        </is>
      </c>
      <c r="V1937" s="20" t="n">
        <v>57.6</v>
      </c>
      <c r="W1937" s="20" t="n">
        <v>100</v>
      </c>
      <c r="X1937" s="20" t="n">
        <v>28</v>
      </c>
      <c r="Y1937" s="40">
        <f>ROUND((V1937*'Methodology &amp; Assumptions'!$B$6)+(W1937*'Methodology &amp; Assumptions'!$B$5)+(X1937*'Methodology &amp; Assumptions'!$B$7), 2)</f>
        <v/>
      </c>
    </row>
    <row r="1938" ht="19" customHeight="1">
      <c r="A1938" s="41" t="n">
        <v>934</v>
      </c>
      <c r="B1938" s="41" t="n">
        <v>4934</v>
      </c>
      <c r="C1938" s="42" t="inlineStr">
        <is>
          <t>1004302003</t>
        </is>
      </c>
      <c r="D1938" s="42" t="inlineStr">
        <is>
          <t>Region X (Northern Mindanao)</t>
        </is>
      </c>
      <c r="E1938" s="42" t="inlineStr">
        <is>
          <t>Misamis Oriental</t>
        </is>
      </c>
      <c r="F1938" s="42" t="inlineStr">
        <is>
          <t>Balingasag</t>
        </is>
      </c>
      <c r="G1938" s="42" t="inlineStr">
        <is>
          <t>Baliwagan</t>
        </is>
      </c>
      <c r="H1938" s="43" t="n">
        <v>8.719151</v>
      </c>
      <c r="I1938" s="43" t="n">
        <v>124.7845</v>
      </c>
      <c r="J1938" s="44" t="inlineStr">
        <is>
          <t>R</t>
        </is>
      </c>
      <c r="K1938" s="42" t="inlineStr">
        <is>
          <t>Class 1-3 / Urban</t>
        </is>
      </c>
      <c r="L1938" s="23" t="n">
        <v>3768</v>
      </c>
      <c r="M1938" s="24" t="n">
        <v>4.54</v>
      </c>
      <c r="N1938" s="23">
        <f>ROUND(L1938/M1938, 0)</f>
        <v/>
      </c>
      <c r="O1938" s="23">
        <f>ROUND(N1938*'Methodology &amp; Assumptions'!$B$8, 0)</f>
        <v/>
      </c>
      <c r="P1938" s="44" t="inlineStr">
        <is>
          <t>Band n50 (1.5 GHz, 60 MHz)</t>
        </is>
      </c>
      <c r="Q1938" s="38">
        <f>ROUNDUP(O1938/'Methodology &amp; Assumptions'!$B$9, 0)</f>
        <v/>
      </c>
      <c r="R1938" s="39" t="n">
        <v>1</v>
      </c>
      <c r="S1938" s="25" t="n">
        <v>3.47</v>
      </c>
      <c r="T1938" s="25" t="n">
        <v>0.03</v>
      </c>
      <c r="U1938" s="42" t="inlineStr">
        <is>
          <t>Tier 2 (Fiber Corridor / Lateral, 3-5 km)</t>
        </is>
      </c>
      <c r="V1938" s="24" t="n">
        <v>41.4</v>
      </c>
      <c r="W1938" s="24" t="n">
        <v>90.40000000000001</v>
      </c>
      <c r="X1938" s="24" t="n">
        <v>58</v>
      </c>
      <c r="Y1938" s="45">
        <f>ROUND((V1938*'Methodology &amp; Assumptions'!$B$6)+(W1938*'Methodology &amp; Assumptions'!$B$5)+(X1938*'Methodology &amp; Assumptions'!$B$7), 2)</f>
        <v/>
      </c>
    </row>
    <row r="1939" ht="19" customHeight="1">
      <c r="A1939" s="35" t="n">
        <v>935</v>
      </c>
      <c r="B1939" s="35" t="n">
        <v>4935</v>
      </c>
      <c r="C1939" s="36" t="inlineStr">
        <is>
          <t>0601916002</t>
        </is>
      </c>
      <c r="D1939" s="36" t="inlineStr">
        <is>
          <t>Region VI (Western Visayas)</t>
        </is>
      </c>
      <c r="E1939" s="36" t="inlineStr">
        <is>
          <t>Capiz</t>
        </is>
      </c>
      <c r="F1939" s="36" t="inlineStr">
        <is>
          <t>Sigma</t>
        </is>
      </c>
      <c r="G1939" s="36" t="inlineStr">
        <is>
          <t>Amaga</t>
        </is>
      </c>
      <c r="H1939" s="37" t="n">
        <v>11.435454</v>
      </c>
      <c r="I1939" s="37" t="n">
        <v>122.682</v>
      </c>
      <c r="J1939" s="8" t="inlineStr">
        <is>
          <t>R</t>
        </is>
      </c>
      <c r="K1939" s="36" t="inlineStr">
        <is>
          <t>3rd</t>
        </is>
      </c>
      <c r="L1939" s="18" t="n">
        <v>2483</v>
      </c>
      <c r="M1939" s="20" t="n">
        <v>4.06</v>
      </c>
      <c r="N1939" s="18">
        <f>ROUND(L1939/M1939, 0)</f>
        <v/>
      </c>
      <c r="O1939" s="18">
        <f>ROUND(N1939*'Methodology &amp; Assumptions'!$B$8, 0)</f>
        <v/>
      </c>
      <c r="P1939" s="8" t="inlineStr">
        <is>
          <t>Band n50 (1.5 GHz, 60 MHz)</t>
        </is>
      </c>
      <c r="Q1939" s="38">
        <f>ROUNDUP(O1939/'Methodology &amp; Assumptions'!$B$9, 0)</f>
        <v/>
      </c>
      <c r="R1939" s="39" t="n">
        <v>1</v>
      </c>
      <c r="S1939" s="21" t="n">
        <v>2.15</v>
      </c>
      <c r="T1939" s="21" t="n">
        <v>0.34</v>
      </c>
      <c r="U1939" s="36" t="inlineStr">
        <is>
          <t>Tier 1B (Micro Drop, 1-3 km)</t>
        </is>
      </c>
      <c r="V1939" s="20" t="n">
        <v>58.8</v>
      </c>
      <c r="W1939" s="20" t="n">
        <v>73.09999999999999</v>
      </c>
      <c r="X1939" s="20" t="n">
        <v>58</v>
      </c>
      <c r="Y1939" s="40">
        <f>ROUND((V1939*'Methodology &amp; Assumptions'!$B$6)+(W1939*'Methodology &amp; Assumptions'!$B$5)+(X1939*'Methodology &amp; Assumptions'!$B$7), 2)</f>
        <v/>
      </c>
    </row>
    <row r="1940" ht="19" customHeight="1">
      <c r="A1940" s="41" t="n">
        <v>936</v>
      </c>
      <c r="B1940" s="41" t="n">
        <v>4936</v>
      </c>
      <c r="C1940" s="42" t="inlineStr">
        <is>
          <t>0405605010</t>
        </is>
      </c>
      <c r="D1940" s="42" t="inlineStr">
        <is>
          <t>Region IV-A (CALABARZON)</t>
        </is>
      </c>
      <c r="E1940" s="42" t="inlineStr">
        <is>
          <t>Quezon</t>
        </is>
      </c>
      <c r="F1940" s="42" t="inlineStr">
        <is>
          <t>Buenavista</t>
        </is>
      </c>
      <c r="G1940" s="42" t="inlineStr">
        <is>
          <t>Cadlit</t>
        </is>
      </c>
      <c r="H1940" s="43" t="n">
        <v>13.742389</v>
      </c>
      <c r="I1940" s="43" t="n">
        <v>122.47169</v>
      </c>
      <c r="J1940" s="44" t="inlineStr">
        <is>
          <t>R</t>
        </is>
      </c>
      <c r="K1940" s="42" t="inlineStr">
        <is>
          <t>2nd</t>
        </is>
      </c>
      <c r="L1940" s="23" t="n">
        <v>1994</v>
      </c>
      <c r="M1940" s="24" t="n">
        <v>4.43</v>
      </c>
      <c r="N1940" s="23">
        <f>ROUND(L1940/M1940, 0)</f>
        <v/>
      </c>
      <c r="O1940" s="23">
        <f>ROUND(N1940*'Methodology &amp; Assumptions'!$B$8, 0)</f>
        <v/>
      </c>
      <c r="P1940" s="44" t="inlineStr">
        <is>
          <t>Band n50 (1.5 GHz, 60 MHz)</t>
        </is>
      </c>
      <c r="Q1940" s="38">
        <f>ROUNDUP(O1940/'Methodology &amp; Assumptions'!$B$9, 0)</f>
        <v/>
      </c>
      <c r="R1940" s="39" t="n">
        <v>1</v>
      </c>
      <c r="S1940" s="25" t="n">
        <v>1.44</v>
      </c>
      <c r="T1940" s="25" t="n">
        <v>0.93</v>
      </c>
      <c r="U1940" s="42" t="inlineStr">
        <is>
          <t>Tier 1B (Micro Drop, 1-3 km)</t>
        </is>
      </c>
      <c r="V1940" s="24" t="n">
        <v>71.8</v>
      </c>
      <c r="W1940" s="24" t="n">
        <v>60</v>
      </c>
      <c r="X1940" s="24" t="n">
        <v>58</v>
      </c>
      <c r="Y1940" s="45">
        <f>ROUND((V1940*'Methodology &amp; Assumptions'!$B$6)+(W1940*'Methodology &amp; Assumptions'!$B$5)+(X1940*'Methodology &amp; Assumptions'!$B$7), 2)</f>
        <v/>
      </c>
    </row>
    <row r="1941" ht="19" customHeight="1">
      <c r="A1941" s="35" t="n">
        <v>937</v>
      </c>
      <c r="B1941" s="35" t="n">
        <v>4937</v>
      </c>
      <c r="C1941" s="36" t="inlineStr">
        <is>
          <t>0203114024</t>
        </is>
      </c>
      <c r="D1941" s="36" t="inlineStr">
        <is>
          <t>Region II (Cagayan Valley)</t>
        </is>
      </c>
      <c r="E1941" s="36" t="inlineStr">
        <is>
          <t>Isabela</t>
        </is>
      </c>
      <c r="F1941" s="36" t="inlineStr">
        <is>
          <t>City of Ilagan</t>
        </is>
      </c>
      <c r="G1941" s="36" t="inlineStr">
        <is>
          <t>Cabannungan 2nd</t>
        </is>
      </c>
      <c r="H1941" s="37" t="n">
        <v>17.123331</v>
      </c>
      <c r="I1941" s="37" t="n">
        <v>121.851361</v>
      </c>
      <c r="J1941" s="8" t="inlineStr">
        <is>
          <t>R</t>
        </is>
      </c>
      <c r="K1941" s="36" t="inlineStr">
        <is>
          <t>Class 1-3 / Urban</t>
        </is>
      </c>
      <c r="L1941" s="18" t="n">
        <v>1852</v>
      </c>
      <c r="M1941" s="20" t="n">
        <v>4.3</v>
      </c>
      <c r="N1941" s="18">
        <f>ROUND(L1941/M1941, 0)</f>
        <v/>
      </c>
      <c r="O1941" s="18">
        <f>ROUND(N1941*'Methodology &amp; Assumptions'!$B$8, 0)</f>
        <v/>
      </c>
      <c r="P1941" s="8" t="inlineStr">
        <is>
          <t>Band n50 (1.5 GHz, 60 MHz)</t>
        </is>
      </c>
      <c r="Q1941" s="38">
        <f>ROUNDUP(O1941/'Methodology &amp; Assumptions'!$B$9, 0)</f>
        <v/>
      </c>
      <c r="R1941" s="39" t="n">
        <v>1</v>
      </c>
      <c r="S1941" s="21" t="n">
        <v>1.37</v>
      </c>
      <c r="T1941" s="21" t="n">
        <v>1.36</v>
      </c>
      <c r="U1941" s="36" t="inlineStr">
        <is>
          <t>Tier 1B (Micro Drop, 1-3 km)</t>
        </is>
      </c>
      <c r="V1941" s="20" t="n">
        <v>73.40000000000001</v>
      </c>
      <c r="W1941" s="20" t="n">
        <v>58.4</v>
      </c>
      <c r="X1941" s="20" t="n">
        <v>58</v>
      </c>
      <c r="Y1941" s="40">
        <f>ROUND((V1941*'Methodology &amp; Assumptions'!$B$6)+(W1941*'Methodology &amp; Assumptions'!$B$5)+(X1941*'Methodology &amp; Assumptions'!$B$7), 2)</f>
        <v/>
      </c>
    </row>
    <row r="1942" ht="19" customHeight="1">
      <c r="A1942" s="41" t="n">
        <v>938</v>
      </c>
      <c r="B1942" s="41" t="n">
        <v>4938</v>
      </c>
      <c r="C1942" s="42" t="inlineStr">
        <is>
          <t>0731100003</t>
        </is>
      </c>
      <c r="D1942" s="42" t="inlineStr">
        <is>
          <t>Region VII (Central Visayas)</t>
        </is>
      </c>
      <c r="E1942" s="42" t="inlineStr">
        <is>
          <t>Cebu</t>
        </is>
      </c>
      <c r="F1942" s="42" t="inlineStr">
        <is>
          <t>City of Lapu-Lapu</t>
        </is>
      </c>
      <c r="G1942" s="42" t="inlineStr">
        <is>
          <t>Bankal</t>
        </is>
      </c>
      <c r="H1942" s="43" t="n">
        <v>10.307826</v>
      </c>
      <c r="I1942" s="43" t="n">
        <v>123.989916</v>
      </c>
      <c r="J1942" s="44" t="inlineStr">
        <is>
          <t>U</t>
        </is>
      </c>
      <c r="K1942" s="42" t="inlineStr">
        <is>
          <t>Class 1-3 / Urban</t>
        </is>
      </c>
      <c r="L1942" s="23" t="n">
        <v>22863</v>
      </c>
      <c r="M1942" s="24" t="n">
        <v>4.42</v>
      </c>
      <c r="N1942" s="23">
        <f>ROUND(L1942/M1942, 0)</f>
        <v/>
      </c>
      <c r="O1942" s="23">
        <f>ROUND(N1942*'Methodology &amp; Assumptions'!$B$8, 0)</f>
        <v/>
      </c>
      <c r="P1942" s="44" t="inlineStr">
        <is>
          <t>Band n50 (1.5 GHz, 60 MHz)</t>
        </is>
      </c>
      <c r="Q1942" s="38">
        <f>ROUNDUP(O1942/'Methodology &amp; Assumptions'!$B$9, 0)</f>
        <v/>
      </c>
      <c r="R1942" s="39" t="n">
        <v>1</v>
      </c>
      <c r="S1942" s="25" t="n">
        <v>1.66</v>
      </c>
      <c r="T1942" s="25" t="n">
        <v>5.96</v>
      </c>
      <c r="U1942" s="42" t="inlineStr">
        <is>
          <t>Tier 1B (Micro Drop, 1-3 km)</t>
        </is>
      </c>
      <c r="V1942" s="24" t="n">
        <v>57.5</v>
      </c>
      <c r="W1942" s="24" t="n">
        <v>100</v>
      </c>
      <c r="X1942" s="24" t="n">
        <v>28</v>
      </c>
      <c r="Y1942" s="45">
        <f>ROUND((V1942*'Methodology &amp; Assumptions'!$B$6)+(W1942*'Methodology &amp; Assumptions'!$B$5)+(X1942*'Methodology &amp; Assumptions'!$B$7), 2)</f>
        <v/>
      </c>
    </row>
    <row r="1943" ht="19" customHeight="1">
      <c r="A1943" s="35" t="n">
        <v>939</v>
      </c>
      <c r="B1943" s="35" t="n">
        <v>4939</v>
      </c>
      <c r="C1943" s="36" t="inlineStr">
        <is>
          <t>0402106010</t>
        </is>
      </c>
      <c r="D1943" s="36" t="inlineStr">
        <is>
          <t>Region IV-A (CALABARZON)</t>
        </is>
      </c>
      <c r="E1943" s="36" t="inlineStr">
        <is>
          <t>Cavite</t>
        </is>
      </c>
      <c r="F1943" s="36" t="inlineStr">
        <is>
          <t>City of Dasmariñas</t>
        </is>
      </c>
      <c r="G1943" s="36" t="inlineStr">
        <is>
          <t>Sabang</t>
        </is>
      </c>
      <c r="H1943" s="37" t="n">
        <v>14.347673</v>
      </c>
      <c r="I1943" s="37" t="n">
        <v>120.924509</v>
      </c>
      <c r="J1943" s="8" t="inlineStr">
        <is>
          <t>U</t>
        </is>
      </c>
      <c r="K1943" s="36" t="inlineStr">
        <is>
          <t>Class 1-3 / Urban</t>
        </is>
      </c>
      <c r="L1943" s="18" t="n">
        <v>17329</v>
      </c>
      <c r="M1943" s="20" t="n">
        <v>4.49</v>
      </c>
      <c r="N1943" s="18">
        <f>ROUND(L1943/M1943, 0)</f>
        <v/>
      </c>
      <c r="O1943" s="18">
        <f>ROUND(N1943*'Methodology &amp; Assumptions'!$B$8, 0)</f>
        <v/>
      </c>
      <c r="P1943" s="8" t="inlineStr">
        <is>
          <t>Band n50 (1.5 GHz, 60 MHz)</t>
        </is>
      </c>
      <c r="Q1943" s="38">
        <f>ROUNDUP(O1943/'Methodology &amp; Assumptions'!$B$9, 0)</f>
        <v/>
      </c>
      <c r="R1943" s="39" t="n">
        <v>1</v>
      </c>
      <c r="S1943" s="21" t="n">
        <v>1.66</v>
      </c>
      <c r="T1943" s="21" t="n">
        <v>5.99</v>
      </c>
      <c r="U1943" s="36" t="inlineStr">
        <is>
          <t>Tier 1B (Micro Drop, 1-3 km)</t>
        </is>
      </c>
      <c r="V1943" s="20" t="n">
        <v>57.5</v>
      </c>
      <c r="W1943" s="20" t="n">
        <v>100</v>
      </c>
      <c r="X1943" s="20" t="n">
        <v>28</v>
      </c>
      <c r="Y1943" s="40">
        <f>ROUND((V1943*'Methodology &amp; Assumptions'!$B$6)+(W1943*'Methodology &amp; Assumptions'!$B$5)+(X1943*'Methodology &amp; Assumptions'!$B$7), 2)</f>
        <v/>
      </c>
    </row>
    <row r="1944" ht="19" customHeight="1">
      <c r="A1944" s="41" t="n">
        <v>940</v>
      </c>
      <c r="B1944" s="41" t="n">
        <v>4940</v>
      </c>
      <c r="C1944" s="42" t="inlineStr">
        <is>
          <t>0305413029</t>
        </is>
      </c>
      <c r="D1944" s="42" t="inlineStr">
        <is>
          <t>Region III (Central Luzon)</t>
        </is>
      </c>
      <c r="E1944" s="42" t="inlineStr">
        <is>
          <t>Pampanga</t>
        </is>
      </c>
      <c r="F1944" s="42" t="inlineStr">
        <is>
          <t>Mexico</t>
        </is>
      </c>
      <c r="G1944" s="42" t="inlineStr">
        <is>
          <t>San Jose Malino</t>
        </is>
      </c>
      <c r="H1944" s="43" t="n">
        <v>15.124185</v>
      </c>
      <c r="I1944" s="43" t="n">
        <v>120.673993</v>
      </c>
      <c r="J1944" s="44" t="inlineStr">
        <is>
          <t>U</t>
        </is>
      </c>
      <c r="K1944" s="42" t="inlineStr">
        <is>
          <t>Class 1-3 / Urban</t>
        </is>
      </c>
      <c r="L1944" s="23" t="n">
        <v>6853</v>
      </c>
      <c r="M1944" s="24" t="n">
        <v>4.63</v>
      </c>
      <c r="N1944" s="23">
        <f>ROUND(L1944/M1944, 0)</f>
        <v/>
      </c>
      <c r="O1944" s="23">
        <f>ROUND(N1944*'Methodology &amp; Assumptions'!$B$8, 0)</f>
        <v/>
      </c>
      <c r="P1944" s="44" t="inlineStr">
        <is>
          <t>Band n50 (1.5 GHz, 60 MHz)</t>
        </is>
      </c>
      <c r="Q1944" s="38">
        <f>ROUNDUP(O1944/'Methodology &amp; Assumptions'!$B$9, 0)</f>
        <v/>
      </c>
      <c r="R1944" s="39" t="n">
        <v>1</v>
      </c>
      <c r="S1944" s="25" t="n">
        <v>1.66</v>
      </c>
      <c r="T1944" s="25" t="n">
        <v>4.2</v>
      </c>
      <c r="U1944" s="42" t="inlineStr">
        <is>
          <t>Tier 1B (Micro Drop, 1-3 km)</t>
        </is>
      </c>
      <c r="V1944" s="24" t="n">
        <v>57.6</v>
      </c>
      <c r="W1944" s="24" t="n">
        <v>100</v>
      </c>
      <c r="X1944" s="24" t="n">
        <v>28</v>
      </c>
      <c r="Y1944" s="45">
        <f>ROUND((V1944*'Methodology &amp; Assumptions'!$B$6)+(W1944*'Methodology &amp; Assumptions'!$B$5)+(X1944*'Methodology &amp; Assumptions'!$B$7), 2)</f>
        <v/>
      </c>
    </row>
    <row r="1945" ht="19" customHeight="1">
      <c r="A1945" s="35" t="n">
        <v>941</v>
      </c>
      <c r="B1945" s="35" t="n">
        <v>4941</v>
      </c>
      <c r="C1945" s="36" t="inlineStr">
        <is>
          <t>0704619018</t>
        </is>
      </c>
      <c r="D1945" s="36" t="inlineStr">
        <is>
          <t>Region VII (Central Visayas)</t>
        </is>
      </c>
      <c r="E1945" s="36" t="inlineStr">
        <is>
          <t>Negros Oriental</t>
        </is>
      </c>
      <c r="F1945" s="36" t="inlineStr">
        <is>
          <t>Siaton</t>
        </is>
      </c>
      <c r="G1945" s="36" t="inlineStr">
        <is>
          <t>Poblacion I</t>
        </is>
      </c>
      <c r="H1945" s="37" t="n">
        <v>9.061912</v>
      </c>
      <c r="I1945" s="37" t="n">
        <v>123.0348</v>
      </c>
      <c r="J1945" s="8" t="inlineStr">
        <is>
          <t>U</t>
        </is>
      </c>
      <c r="K1945" s="36" t="inlineStr">
        <is>
          <t>Class 1-3 / Urban</t>
        </is>
      </c>
      <c r="L1945" s="18" t="n">
        <v>1886</v>
      </c>
      <c r="M1945" s="20" t="n">
        <v>4.33</v>
      </c>
      <c r="N1945" s="18">
        <f>ROUND(L1945/M1945, 0)</f>
        <v/>
      </c>
      <c r="O1945" s="18">
        <f>ROUND(N1945*'Methodology &amp; Assumptions'!$B$8, 0)</f>
        <v/>
      </c>
      <c r="P1945" s="8" t="inlineStr">
        <is>
          <t>Band n50 (1.5 GHz, 60 MHz)</t>
        </is>
      </c>
      <c r="Q1945" s="38">
        <f>ROUNDUP(O1945/'Methodology &amp; Assumptions'!$B$9, 0)</f>
        <v/>
      </c>
      <c r="R1945" s="39" t="n">
        <v>1</v>
      </c>
      <c r="S1945" s="21" t="n">
        <v>0.36</v>
      </c>
      <c r="T1945" s="21" t="n">
        <v>0.35</v>
      </c>
      <c r="U1945" s="36" t="inlineStr">
        <is>
          <t>Tier 1A (Direct Coloc, &lt;1 km)</t>
        </is>
      </c>
      <c r="V1945" s="20" t="n">
        <v>98.59999999999999</v>
      </c>
      <c r="W1945" s="20" t="n">
        <v>58.9</v>
      </c>
      <c r="X1945" s="20" t="n">
        <v>28</v>
      </c>
      <c r="Y1945" s="40">
        <f>ROUND((V1945*'Methodology &amp; Assumptions'!$B$6)+(W1945*'Methodology &amp; Assumptions'!$B$5)+(X1945*'Methodology &amp; Assumptions'!$B$7), 2)</f>
        <v/>
      </c>
    </row>
    <row r="1946" ht="19" customHeight="1">
      <c r="A1946" s="41" t="n">
        <v>942</v>
      </c>
      <c r="B1946" s="41" t="n">
        <v>4942</v>
      </c>
      <c r="C1946" s="42" t="inlineStr">
        <is>
          <t>0702231008</t>
        </is>
      </c>
      <c r="D1946" s="42" t="inlineStr">
        <is>
          <t>Region VII (Central Visayas)</t>
        </is>
      </c>
      <c r="E1946" s="42" t="inlineStr">
        <is>
          <t>Cebu</t>
        </is>
      </c>
      <c r="F1946" s="42" t="inlineStr">
        <is>
          <t>Medellin</t>
        </is>
      </c>
      <c r="G1946" s="42" t="inlineStr">
        <is>
          <t>Caputatan Norte</t>
        </is>
      </c>
      <c r="H1946" s="43" t="n">
        <v>11.15834</v>
      </c>
      <c r="I1946" s="43" t="n">
        <v>123.97234</v>
      </c>
      <c r="J1946" s="44" t="inlineStr">
        <is>
          <t>R</t>
        </is>
      </c>
      <c r="K1946" s="42" t="inlineStr">
        <is>
          <t>Class 1-3 / Urban</t>
        </is>
      </c>
      <c r="L1946" s="23" t="n">
        <v>2932</v>
      </c>
      <c r="M1946" s="24" t="n">
        <v>4.42</v>
      </c>
      <c r="N1946" s="23">
        <f>ROUND(L1946/M1946, 0)</f>
        <v/>
      </c>
      <c r="O1946" s="23">
        <f>ROUND(N1946*'Methodology &amp; Assumptions'!$B$8, 0)</f>
        <v/>
      </c>
      <c r="P1946" s="44" t="inlineStr">
        <is>
          <t>Band n50 (1.5 GHz, 60 MHz)</t>
        </is>
      </c>
      <c r="Q1946" s="38">
        <f>ROUNDUP(O1946/'Methodology &amp; Assumptions'!$B$9, 0)</f>
        <v/>
      </c>
      <c r="R1946" s="39" t="n">
        <v>1</v>
      </c>
      <c r="S1946" s="25" t="n">
        <v>2.41</v>
      </c>
      <c r="T1946" s="25" t="n">
        <v>1.21</v>
      </c>
      <c r="U1946" s="42" t="inlineStr">
        <is>
          <t>Tier 1B (Micro Drop, 1-3 km)</t>
        </is>
      </c>
      <c r="V1946" s="24" t="n">
        <v>54.7</v>
      </c>
      <c r="W1946" s="24" t="n">
        <v>77.09999999999999</v>
      </c>
      <c r="X1946" s="24" t="n">
        <v>58</v>
      </c>
      <c r="Y1946" s="45">
        <f>ROUND((V1946*'Methodology &amp; Assumptions'!$B$6)+(W1946*'Methodology &amp; Assumptions'!$B$5)+(X1946*'Methodology &amp; Assumptions'!$B$7), 2)</f>
        <v/>
      </c>
    </row>
    <row r="1947" ht="19" customHeight="1">
      <c r="A1947" s="35" t="n">
        <v>943</v>
      </c>
      <c r="B1947" s="35" t="n">
        <v>4943</v>
      </c>
      <c r="C1947" s="36" t="inlineStr">
        <is>
          <t>0631000086</t>
        </is>
      </c>
      <c r="D1947" s="36" t="inlineStr">
        <is>
          <t>Region VI (Western Visayas)</t>
        </is>
      </c>
      <c r="E1947" s="36" t="inlineStr">
        <is>
          <t>Iloilo</t>
        </is>
      </c>
      <c r="F1947" s="36" t="inlineStr">
        <is>
          <t>City of Iloilo</t>
        </is>
      </c>
      <c r="G1947" s="36" t="inlineStr">
        <is>
          <t>Lanit</t>
        </is>
      </c>
      <c r="H1947" s="37" t="n">
        <v>10.765405</v>
      </c>
      <c r="I1947" s="37" t="n">
        <v>122.564521</v>
      </c>
      <c r="J1947" s="8" t="inlineStr">
        <is>
          <t>U</t>
        </is>
      </c>
      <c r="K1947" s="36" t="inlineStr">
        <is>
          <t>Class 1-3 / Urban</t>
        </is>
      </c>
      <c r="L1947" s="18" t="n">
        <v>8601</v>
      </c>
      <c r="M1947" s="20" t="n">
        <v>4.39</v>
      </c>
      <c r="N1947" s="18">
        <f>ROUND(L1947/M1947, 0)</f>
        <v/>
      </c>
      <c r="O1947" s="18">
        <f>ROUND(N1947*'Methodology &amp; Assumptions'!$B$8, 0)</f>
        <v/>
      </c>
      <c r="P1947" s="8" t="inlineStr">
        <is>
          <t>Band n50 (1.5 GHz, 60 MHz)</t>
        </is>
      </c>
      <c r="Q1947" s="38">
        <f>ROUNDUP(O1947/'Methodology &amp; Assumptions'!$B$9, 0)</f>
        <v/>
      </c>
      <c r="R1947" s="39" t="n">
        <v>1</v>
      </c>
      <c r="S1947" s="21" t="n">
        <v>2.23</v>
      </c>
      <c r="T1947" s="21" t="n">
        <v>1.45</v>
      </c>
      <c r="U1947" s="36" t="inlineStr">
        <is>
          <t>Tier 1B (Micro Drop, 1-3 km)</t>
        </is>
      </c>
      <c r="V1947" s="20" t="n">
        <v>57.5</v>
      </c>
      <c r="W1947" s="20" t="n">
        <v>100</v>
      </c>
      <c r="X1947" s="20" t="n">
        <v>28</v>
      </c>
      <c r="Y1947" s="40">
        <f>ROUND((V1947*'Methodology &amp; Assumptions'!$B$6)+(W1947*'Methodology &amp; Assumptions'!$B$5)+(X1947*'Methodology &amp; Assumptions'!$B$7), 2)</f>
        <v/>
      </c>
    </row>
    <row r="1948" ht="19" customHeight="1">
      <c r="A1948" s="41" t="n">
        <v>944</v>
      </c>
      <c r="B1948" s="41" t="n">
        <v>4944</v>
      </c>
      <c r="C1948" s="42" t="inlineStr">
        <is>
          <t>1430300047</t>
        </is>
      </c>
      <c r="D1948" s="42" t="inlineStr">
        <is>
          <t>Cordillera Administrative Region (CAR)</t>
        </is>
      </c>
      <c r="E1948" s="42" t="inlineStr">
        <is>
          <t>Benguet</t>
        </is>
      </c>
      <c r="F1948" s="42" t="inlineStr">
        <is>
          <t>City of Baguio</t>
        </is>
      </c>
      <c r="G1948" s="42" t="inlineStr">
        <is>
          <t>Holy Ghost Proper</t>
        </is>
      </c>
      <c r="H1948" s="43" t="n">
        <v>16.41582</v>
      </c>
      <c r="I1948" s="43" t="n">
        <v>120.60126</v>
      </c>
      <c r="J1948" s="44" t="inlineStr">
        <is>
          <t>U</t>
        </is>
      </c>
      <c r="K1948" s="42" t="inlineStr">
        <is>
          <t>Class 1-3 / Urban</t>
        </is>
      </c>
      <c r="L1948" s="23" t="n">
        <v>2296</v>
      </c>
      <c r="M1948" s="24" t="n">
        <v>4.58</v>
      </c>
      <c r="N1948" s="23">
        <f>ROUND(L1948/M1948, 0)</f>
        <v/>
      </c>
      <c r="O1948" s="23">
        <f>ROUND(N1948*'Methodology &amp; Assumptions'!$B$8, 0)</f>
        <v/>
      </c>
      <c r="P1948" s="44" t="inlineStr">
        <is>
          <t>Band n50 (1.5 GHz, 60 MHz)</t>
        </is>
      </c>
      <c r="Q1948" s="38">
        <f>ROUNDUP(O1948/'Methodology &amp; Assumptions'!$B$9, 0)</f>
        <v/>
      </c>
      <c r="R1948" s="39" t="n">
        <v>1</v>
      </c>
      <c r="S1948" s="25" t="n">
        <v>0.4</v>
      </c>
      <c r="T1948" s="25" t="n">
        <v>0.59</v>
      </c>
      <c r="U1948" s="42" t="inlineStr">
        <is>
          <t>Tier 1A (Direct Coloc, &lt;1 km)</t>
        </is>
      </c>
      <c r="V1948" s="24" t="n">
        <v>97.5</v>
      </c>
      <c r="W1948" s="24" t="n">
        <v>60</v>
      </c>
      <c r="X1948" s="24" t="n">
        <v>28</v>
      </c>
      <c r="Y1948" s="45">
        <f>ROUND((V1948*'Methodology &amp; Assumptions'!$B$6)+(W1948*'Methodology &amp; Assumptions'!$B$5)+(X1948*'Methodology &amp; Assumptions'!$B$7), 2)</f>
        <v/>
      </c>
    </row>
    <row r="1949" ht="19" customHeight="1">
      <c r="A1949" s="35" t="n">
        <v>945</v>
      </c>
      <c r="B1949" s="35" t="n">
        <v>4945</v>
      </c>
      <c r="C1949" s="36" t="inlineStr">
        <is>
          <t>1130700157</t>
        </is>
      </c>
      <c r="D1949" s="36" t="inlineStr">
        <is>
          <t>Region XI (Davao Region)</t>
        </is>
      </c>
      <c r="E1949" s="36" t="inlineStr">
        <is>
          <t>Davao del Sur</t>
        </is>
      </c>
      <c r="F1949" s="36" t="inlineStr">
        <is>
          <t>City of Davao</t>
        </is>
      </c>
      <c r="G1949" s="36" t="inlineStr">
        <is>
          <t>Barangay 24-C</t>
        </is>
      </c>
      <c r="H1949" s="37" t="n">
        <v>7.06864</v>
      </c>
      <c r="I1949" s="37" t="n">
        <v>125.61738</v>
      </c>
      <c r="J1949" s="8" t="inlineStr">
        <is>
          <t>U</t>
        </is>
      </c>
      <c r="K1949" s="36" t="inlineStr">
        <is>
          <t>Class 1-3 / Urban</t>
        </is>
      </c>
      <c r="L1949" s="18" t="n">
        <v>2034</v>
      </c>
      <c r="M1949" s="20" t="n">
        <v>4.1</v>
      </c>
      <c r="N1949" s="18">
        <f>ROUND(L1949/M1949, 0)</f>
        <v/>
      </c>
      <c r="O1949" s="18">
        <f>ROUND(N1949*'Methodology &amp; Assumptions'!$B$8, 0)</f>
        <v/>
      </c>
      <c r="P1949" s="8" t="inlineStr">
        <is>
          <t>Band n50 (1.5 GHz, 60 MHz)</t>
        </is>
      </c>
      <c r="Q1949" s="38">
        <f>ROUNDUP(O1949/'Methodology &amp; Assumptions'!$B$9, 0)</f>
        <v/>
      </c>
      <c r="R1949" s="39" t="n">
        <v>1</v>
      </c>
      <c r="S1949" s="21" t="n">
        <v>0.53</v>
      </c>
      <c r="T1949" s="21" t="n">
        <v>0.4</v>
      </c>
      <c r="U1949" s="36" t="inlineStr">
        <is>
          <t>Tier 1A (Direct Coloc, &lt;1 km)</t>
        </is>
      </c>
      <c r="V1949" s="20" t="n">
        <v>93.8</v>
      </c>
      <c r="W1949" s="20" t="n">
        <v>63.7</v>
      </c>
      <c r="X1949" s="20" t="n">
        <v>28</v>
      </c>
      <c r="Y1949" s="40">
        <f>ROUND((V1949*'Methodology &amp; Assumptions'!$B$6)+(W1949*'Methodology &amp; Assumptions'!$B$5)+(X1949*'Methodology &amp; Assumptions'!$B$7), 2)</f>
        <v/>
      </c>
    </row>
    <row r="1950" ht="19" customHeight="1">
      <c r="A1950" s="41" t="n">
        <v>946</v>
      </c>
      <c r="B1950" s="41" t="n">
        <v>4946</v>
      </c>
      <c r="C1950" s="42" t="inlineStr">
        <is>
          <t>0702232006</t>
        </is>
      </c>
      <c r="D1950" s="42" t="inlineStr">
        <is>
          <t>Region VII (Central Visayas)</t>
        </is>
      </c>
      <c r="E1950" s="42" t="inlineStr">
        <is>
          <t>Cebu</t>
        </is>
      </c>
      <c r="F1950" s="42" t="inlineStr">
        <is>
          <t>Minglanilla</t>
        </is>
      </c>
      <c r="G1950" s="42" t="inlineStr">
        <is>
          <t>Guindaruhan</t>
        </is>
      </c>
      <c r="H1950" s="43" t="n">
        <v>10.261207</v>
      </c>
      <c r="I1950" s="43" t="n">
        <v>123.763555</v>
      </c>
      <c r="J1950" s="44" t="inlineStr">
        <is>
          <t>R</t>
        </is>
      </c>
      <c r="K1950" s="42" t="inlineStr">
        <is>
          <t>Class 1-3 / Urban</t>
        </is>
      </c>
      <c r="L1950" s="23" t="n">
        <v>3881</v>
      </c>
      <c r="M1950" s="24" t="n">
        <v>4.42</v>
      </c>
      <c r="N1950" s="23">
        <f>ROUND(L1950/M1950, 0)</f>
        <v/>
      </c>
      <c r="O1950" s="23">
        <f>ROUND(N1950*'Methodology &amp; Assumptions'!$B$8, 0)</f>
        <v/>
      </c>
      <c r="P1950" s="44" t="inlineStr">
        <is>
          <t>Band n50 (1.5 GHz, 60 MHz)</t>
        </is>
      </c>
      <c r="Q1950" s="38">
        <f>ROUNDUP(O1950/'Methodology &amp; Assumptions'!$B$9, 0)</f>
        <v/>
      </c>
      <c r="R1950" s="39" t="n">
        <v>1</v>
      </c>
      <c r="S1950" s="25" t="n">
        <v>2.93</v>
      </c>
      <c r="T1950" s="25" t="n">
        <v>2.97</v>
      </c>
      <c r="U1950" s="42" t="inlineStr">
        <is>
          <t>Tier 1B (Micro Drop, 1-3 km)</t>
        </is>
      </c>
      <c r="V1950" s="24" t="n">
        <v>37.6</v>
      </c>
      <c r="W1950" s="24" t="n">
        <v>94.09999999999999</v>
      </c>
      <c r="X1950" s="24" t="n">
        <v>58</v>
      </c>
      <c r="Y1950" s="45">
        <f>ROUND((V1950*'Methodology &amp; Assumptions'!$B$6)+(W1950*'Methodology &amp; Assumptions'!$B$5)+(X1950*'Methodology &amp; Assumptions'!$B$7), 2)</f>
        <v/>
      </c>
    </row>
    <row r="1951" ht="19" customHeight="1">
      <c r="A1951" s="35" t="n">
        <v>947</v>
      </c>
      <c r="B1951" s="35" t="n">
        <v>4947</v>
      </c>
      <c r="C1951" s="36" t="inlineStr">
        <is>
          <t>0402109050</t>
        </is>
      </c>
      <c r="D1951" s="36" t="inlineStr">
        <is>
          <t>Region IV-A (CALABARZON)</t>
        </is>
      </c>
      <c r="E1951" s="36" t="inlineStr">
        <is>
          <t>Cavite</t>
        </is>
      </c>
      <c r="F1951" s="36" t="inlineStr">
        <is>
          <t>City of Imus</t>
        </is>
      </c>
      <c r="G1951" s="36" t="inlineStr">
        <is>
          <t>Bucandala III</t>
        </is>
      </c>
      <c r="H1951" s="37" t="n">
        <v>14.40598</v>
      </c>
      <c r="I1951" s="37" t="n">
        <v>120.925275</v>
      </c>
      <c r="J1951" s="8" t="inlineStr">
        <is>
          <t>U</t>
        </is>
      </c>
      <c r="K1951" s="36" t="inlineStr">
        <is>
          <t>Class 1-3 / Urban</t>
        </is>
      </c>
      <c r="L1951" s="18" t="n">
        <v>8394</v>
      </c>
      <c r="M1951" s="20" t="n">
        <v>4.49</v>
      </c>
      <c r="N1951" s="18">
        <f>ROUND(L1951/M1951, 0)</f>
        <v/>
      </c>
      <c r="O1951" s="18">
        <f>ROUND(N1951*'Methodology &amp; Assumptions'!$B$8, 0)</f>
        <v/>
      </c>
      <c r="P1951" s="8" t="inlineStr">
        <is>
          <t>Band n50 (1.5 GHz, 60 MHz)</t>
        </is>
      </c>
      <c r="Q1951" s="38">
        <f>ROUNDUP(O1951/'Methodology &amp; Assumptions'!$B$9, 0)</f>
        <v/>
      </c>
      <c r="R1951" s="39" t="n">
        <v>1</v>
      </c>
      <c r="S1951" s="21" t="n">
        <v>1.66</v>
      </c>
      <c r="T1951" s="21" t="n">
        <v>4.03</v>
      </c>
      <c r="U1951" s="36" t="inlineStr">
        <is>
          <t>Tier 1B (Micro Drop, 1-3 km)</t>
        </is>
      </c>
      <c r="V1951" s="20" t="n">
        <v>57.5</v>
      </c>
      <c r="W1951" s="20" t="n">
        <v>100</v>
      </c>
      <c r="X1951" s="20" t="n">
        <v>28</v>
      </c>
      <c r="Y1951" s="40">
        <f>ROUND((V1951*'Methodology &amp; Assumptions'!$B$6)+(W1951*'Methodology &amp; Assumptions'!$B$5)+(X1951*'Methodology &amp; Assumptions'!$B$7), 2)</f>
        <v/>
      </c>
    </row>
    <row r="1952" ht="19" customHeight="1">
      <c r="A1952" s="41" t="n">
        <v>948</v>
      </c>
      <c r="B1952" s="41" t="n">
        <v>4948</v>
      </c>
      <c r="C1952" s="42" t="inlineStr">
        <is>
          <t>0402106046</t>
        </is>
      </c>
      <c r="D1952" s="42" t="inlineStr">
        <is>
          <t>Region IV-A (CALABARZON)</t>
        </is>
      </c>
      <c r="E1952" s="42" t="inlineStr">
        <is>
          <t>Cavite</t>
        </is>
      </c>
      <c r="F1952" s="42" t="inlineStr">
        <is>
          <t>City of Dasmariñas</t>
        </is>
      </c>
      <c r="G1952" s="42" t="inlineStr">
        <is>
          <t>Santo Niño I</t>
        </is>
      </c>
      <c r="H1952" s="43" t="n">
        <v>14.343792</v>
      </c>
      <c r="I1952" s="43" t="n">
        <v>120.953747</v>
      </c>
      <c r="J1952" s="44" t="inlineStr">
        <is>
          <t>R</t>
        </is>
      </c>
      <c r="K1952" s="42" t="inlineStr">
        <is>
          <t>Class 1-3 / Urban</t>
        </is>
      </c>
      <c r="L1952" s="23" t="n">
        <v>2859</v>
      </c>
      <c r="M1952" s="24" t="n">
        <v>4.49</v>
      </c>
      <c r="N1952" s="23">
        <f>ROUND(L1952/M1952, 0)</f>
        <v/>
      </c>
      <c r="O1952" s="23">
        <f>ROUND(N1952*'Methodology &amp; Assumptions'!$B$8, 0)</f>
        <v/>
      </c>
      <c r="P1952" s="44" t="inlineStr">
        <is>
          <t>Band n50 (1.5 GHz, 60 MHz)</t>
        </is>
      </c>
      <c r="Q1952" s="38">
        <f>ROUNDUP(O1952/'Methodology &amp; Assumptions'!$B$9, 0)</f>
        <v/>
      </c>
      <c r="R1952" s="39" t="n">
        <v>1</v>
      </c>
      <c r="S1952" s="25" t="n">
        <v>1.7</v>
      </c>
      <c r="T1952" s="25" t="n">
        <v>4.68</v>
      </c>
      <c r="U1952" s="42" t="inlineStr">
        <is>
          <t>Tier 1B (Micro Drop, 1-3 km)</t>
        </is>
      </c>
      <c r="V1952" s="24" t="n">
        <v>56.8</v>
      </c>
      <c r="W1952" s="24" t="n">
        <v>74.90000000000001</v>
      </c>
      <c r="X1952" s="24" t="n">
        <v>58</v>
      </c>
      <c r="Y1952" s="45">
        <f>ROUND((V1952*'Methodology &amp; Assumptions'!$B$6)+(W1952*'Methodology &amp; Assumptions'!$B$5)+(X1952*'Methodology &amp; Assumptions'!$B$7), 2)</f>
        <v/>
      </c>
    </row>
    <row r="1953" ht="19" customHeight="1">
      <c r="A1953" s="35" t="n">
        <v>949</v>
      </c>
      <c r="B1953" s="35" t="n">
        <v>4949</v>
      </c>
      <c r="C1953" s="36" t="inlineStr">
        <is>
          <t>1404402020</t>
        </is>
      </c>
      <c r="D1953" s="36" t="inlineStr">
        <is>
          <t>Cordillera Administrative Region (CAR)</t>
        </is>
      </c>
      <c r="E1953" s="36" t="inlineStr">
        <is>
          <t>Mountain Province</t>
        </is>
      </c>
      <c r="F1953" s="36" t="inlineStr">
        <is>
          <t>Bauko</t>
        </is>
      </c>
      <c r="G1953" s="36" t="inlineStr">
        <is>
          <t>Poblacion</t>
        </is>
      </c>
      <c r="H1953" s="37" t="n">
        <v>16.989894</v>
      </c>
      <c r="I1953" s="37" t="n">
        <v>120.866761</v>
      </c>
      <c r="J1953" s="8" t="inlineStr">
        <is>
          <t>R</t>
        </is>
      </c>
      <c r="K1953" s="36" t="inlineStr">
        <is>
          <t>2nd</t>
        </is>
      </c>
      <c r="L1953" s="18" t="n">
        <v>1691</v>
      </c>
      <c r="M1953" s="20" t="n">
        <v>4.55</v>
      </c>
      <c r="N1953" s="18">
        <f>ROUND(L1953/M1953, 0)</f>
        <v/>
      </c>
      <c r="O1953" s="18">
        <f>ROUND(N1953*'Methodology &amp; Assumptions'!$B$8, 0)</f>
        <v/>
      </c>
      <c r="P1953" s="8" t="inlineStr">
        <is>
          <t>Band n50 (1.5 GHz, 60 MHz)</t>
        </is>
      </c>
      <c r="Q1953" s="38">
        <f>ROUNDUP(O1953/'Methodology &amp; Assumptions'!$B$9, 0)</f>
        <v/>
      </c>
      <c r="R1953" s="39" t="n">
        <v>1</v>
      </c>
      <c r="S1953" s="21" t="n">
        <v>0.6</v>
      </c>
      <c r="T1953" s="21" t="n">
        <v>4.55</v>
      </c>
      <c r="U1953" s="36" t="inlineStr">
        <is>
          <t>Tier 1A (Direct Coloc, &lt;1 km)</t>
        </is>
      </c>
      <c r="V1953" s="20" t="n">
        <v>81.90000000000001</v>
      </c>
      <c r="W1953" s="20" t="n">
        <v>49.9</v>
      </c>
      <c r="X1953" s="20" t="n">
        <v>58</v>
      </c>
      <c r="Y1953" s="40">
        <f>ROUND((V1953*'Methodology &amp; Assumptions'!$B$6)+(W1953*'Methodology &amp; Assumptions'!$B$5)+(X1953*'Methodology &amp; Assumptions'!$B$7), 2)</f>
        <v/>
      </c>
    </row>
    <row r="1954" ht="19" customHeight="1">
      <c r="A1954" s="41" t="n">
        <v>950</v>
      </c>
      <c r="B1954" s="41" t="n">
        <v>4950</v>
      </c>
      <c r="C1954" s="42" t="inlineStr">
        <is>
          <t>1402708006</t>
        </is>
      </c>
      <c r="D1954" s="42" t="inlineStr">
        <is>
          <t>Cordillera Administrative Region (CAR)</t>
        </is>
      </c>
      <c r="E1954" s="42" t="inlineStr">
        <is>
          <t>Ifugao</t>
        </is>
      </c>
      <c r="F1954" s="42" t="inlineStr">
        <is>
          <t>Aguinaldo</t>
        </is>
      </c>
      <c r="G1954" s="42" t="inlineStr">
        <is>
          <t>Galonogon</t>
        </is>
      </c>
      <c r="H1954" s="43" t="n">
        <v>16.976692</v>
      </c>
      <c r="I1954" s="43" t="n">
        <v>121.330455</v>
      </c>
      <c r="J1954" s="44" t="inlineStr">
        <is>
          <t>R</t>
        </is>
      </c>
      <c r="K1954" s="42" t="inlineStr">
        <is>
          <t>Class 1-3 / Urban</t>
        </is>
      </c>
      <c r="L1954" s="23" t="n">
        <v>1239</v>
      </c>
      <c r="M1954" s="24" t="n">
        <v>4.82</v>
      </c>
      <c r="N1954" s="23">
        <f>ROUND(L1954/M1954, 0)</f>
        <v/>
      </c>
      <c r="O1954" s="23">
        <f>ROUND(N1954*'Methodology &amp; Assumptions'!$B$8, 0)</f>
        <v/>
      </c>
      <c r="P1954" s="44" t="inlineStr">
        <is>
          <t>Band n50 (1.5 GHz, 60 MHz)</t>
        </is>
      </c>
      <c r="Q1954" s="38">
        <f>ROUNDUP(O1954/'Methodology &amp; Assumptions'!$B$9, 0)</f>
        <v/>
      </c>
      <c r="R1954" s="39" t="n">
        <v>1</v>
      </c>
      <c r="S1954" s="25" t="n">
        <v>0.28</v>
      </c>
      <c r="T1954" s="25" t="n">
        <v>29.42</v>
      </c>
      <c r="U1954" s="42" t="inlineStr">
        <is>
          <t>Tier 1A (Direct Coloc, &lt;1 km)</t>
        </is>
      </c>
      <c r="V1954" s="24" t="n">
        <v>91.2</v>
      </c>
      <c r="W1954" s="24" t="n">
        <v>40.5</v>
      </c>
      <c r="X1954" s="24" t="n">
        <v>58</v>
      </c>
      <c r="Y1954" s="45">
        <f>ROUND((V1954*'Methodology &amp; Assumptions'!$B$6)+(W1954*'Methodology &amp; Assumptions'!$B$5)+(X1954*'Methodology &amp; Assumptions'!$B$7), 2)</f>
        <v/>
      </c>
    </row>
    <row r="1955" ht="19" customHeight="1">
      <c r="A1955" s="35" t="n">
        <v>951</v>
      </c>
      <c r="B1955" s="35" t="n">
        <v>4951</v>
      </c>
      <c r="C1955" s="36" t="inlineStr">
        <is>
          <t>0401031048</t>
        </is>
      </c>
      <c r="D1955" s="36" t="inlineStr">
        <is>
          <t>Region IV-A (CALABARZON)</t>
        </is>
      </c>
      <c r="E1955" s="36" t="inlineStr">
        <is>
          <t>Batangas</t>
        </is>
      </c>
      <c r="F1955" s="36" t="inlineStr">
        <is>
          <t>City of Tanauan</t>
        </is>
      </c>
      <c r="G1955" s="36" t="inlineStr">
        <is>
          <t>Trapiche</t>
        </is>
      </c>
      <c r="H1955" s="37" t="n">
        <v>14.0938</v>
      </c>
      <c r="I1955" s="37" t="n">
        <v>121.1314</v>
      </c>
      <c r="J1955" s="8" t="inlineStr">
        <is>
          <t>U</t>
        </is>
      </c>
      <c r="K1955" s="36" t="inlineStr">
        <is>
          <t>Class 1-3 / Urban</t>
        </is>
      </c>
      <c r="L1955" s="18" t="n">
        <v>7842</v>
      </c>
      <c r="M1955" s="20" t="n">
        <v>4.62</v>
      </c>
      <c r="N1955" s="18">
        <f>ROUND(L1955/M1955, 0)</f>
        <v/>
      </c>
      <c r="O1955" s="18">
        <f>ROUND(N1955*'Methodology &amp; Assumptions'!$B$8, 0)</f>
        <v/>
      </c>
      <c r="P1955" s="8" t="inlineStr">
        <is>
          <t>Band n50 (1.5 GHz, 60 MHz)</t>
        </is>
      </c>
      <c r="Q1955" s="38">
        <f>ROUNDUP(O1955/'Methodology &amp; Assumptions'!$B$9, 0)</f>
        <v/>
      </c>
      <c r="R1955" s="39" t="n">
        <v>1</v>
      </c>
      <c r="S1955" s="21" t="n">
        <v>2.24</v>
      </c>
      <c r="T1955" s="21" t="n">
        <v>1.83</v>
      </c>
      <c r="U1955" s="36" t="inlineStr">
        <is>
          <t>Tier 1B (Micro Drop, 1-3 km)</t>
        </is>
      </c>
      <c r="V1955" s="20" t="n">
        <v>57.4</v>
      </c>
      <c r="W1955" s="20" t="n">
        <v>100</v>
      </c>
      <c r="X1955" s="20" t="n">
        <v>28</v>
      </c>
      <c r="Y1955" s="40">
        <f>ROUND((V1955*'Methodology &amp; Assumptions'!$B$6)+(W1955*'Methodology &amp; Assumptions'!$B$5)+(X1955*'Methodology &amp; Assumptions'!$B$7), 2)</f>
        <v/>
      </c>
    </row>
    <row r="1956" ht="19" customHeight="1">
      <c r="A1956" s="41" t="n">
        <v>952</v>
      </c>
      <c r="B1956" s="41" t="n">
        <v>4952</v>
      </c>
      <c r="C1956" s="42" t="inlineStr">
        <is>
          <t>0401021003</t>
        </is>
      </c>
      <c r="D1956" s="42" t="inlineStr">
        <is>
          <t>Region IV-A (CALABARZON)</t>
        </is>
      </c>
      <c r="E1956" s="42" t="inlineStr">
        <is>
          <t>Batangas</t>
        </is>
      </c>
      <c r="F1956" s="42" t="inlineStr">
        <is>
          <t>Rosario</t>
        </is>
      </c>
      <c r="G1956" s="42" t="inlineStr">
        <is>
          <t>Bagong Pook</t>
        </is>
      </c>
      <c r="H1956" s="43" t="n">
        <v>13.8402</v>
      </c>
      <c r="I1956" s="43" t="n">
        <v>121.2216</v>
      </c>
      <c r="J1956" s="44" t="inlineStr">
        <is>
          <t>U</t>
        </is>
      </c>
      <c r="K1956" s="42" t="inlineStr">
        <is>
          <t>Class 1-3 / Urban</t>
        </is>
      </c>
      <c r="L1956" s="23" t="n">
        <v>6268</v>
      </c>
      <c r="M1956" s="24" t="n">
        <v>4.62</v>
      </c>
      <c r="N1956" s="23">
        <f>ROUND(L1956/M1956, 0)</f>
        <v/>
      </c>
      <c r="O1956" s="23">
        <f>ROUND(N1956*'Methodology &amp; Assumptions'!$B$8, 0)</f>
        <v/>
      </c>
      <c r="P1956" s="44" t="inlineStr">
        <is>
          <t>Band n50 (1.5 GHz, 60 MHz)</t>
        </is>
      </c>
      <c r="Q1956" s="38">
        <f>ROUNDUP(O1956/'Methodology &amp; Assumptions'!$B$9, 0)</f>
        <v/>
      </c>
      <c r="R1956" s="39" t="n">
        <v>1</v>
      </c>
      <c r="S1956" s="25" t="n">
        <v>2.24</v>
      </c>
      <c r="T1956" s="25" t="n">
        <v>0.53</v>
      </c>
      <c r="U1956" s="42" t="inlineStr">
        <is>
          <t>Tier 1B (Micro Drop, 1-3 km)</t>
        </is>
      </c>
      <c r="V1956" s="24" t="n">
        <v>57.5</v>
      </c>
      <c r="W1956" s="24" t="n">
        <v>100</v>
      </c>
      <c r="X1956" s="24" t="n">
        <v>28</v>
      </c>
      <c r="Y1956" s="45">
        <f>ROUND((V1956*'Methodology &amp; Assumptions'!$B$6)+(W1956*'Methodology &amp; Assumptions'!$B$5)+(X1956*'Methodology &amp; Assumptions'!$B$7), 2)</f>
        <v/>
      </c>
    </row>
    <row r="1957" ht="19" customHeight="1">
      <c r="A1957" s="35" t="n">
        <v>953</v>
      </c>
      <c r="B1957" s="35" t="n">
        <v>4953</v>
      </c>
      <c r="C1957" s="36" t="inlineStr">
        <is>
          <t>0402120042</t>
        </is>
      </c>
      <c r="D1957" s="36" t="inlineStr">
        <is>
          <t>Region IV-A (CALABARZON)</t>
        </is>
      </c>
      <c r="E1957" s="36" t="inlineStr">
        <is>
          <t>Cavite</t>
        </is>
      </c>
      <c r="F1957" s="36" t="inlineStr">
        <is>
          <t>Tanza</t>
        </is>
      </c>
      <c r="G1957" s="36" t="inlineStr">
        <is>
          <t>Julugan VIII</t>
        </is>
      </c>
      <c r="H1957" s="37" t="n">
        <v>14.39915</v>
      </c>
      <c r="I1957" s="37" t="n">
        <v>120.84131</v>
      </c>
      <c r="J1957" s="8" t="inlineStr">
        <is>
          <t>U</t>
        </is>
      </c>
      <c r="K1957" s="36" t="inlineStr">
        <is>
          <t>Class 1-3 / Urban</t>
        </is>
      </c>
      <c r="L1957" s="18" t="n">
        <v>5011</v>
      </c>
      <c r="M1957" s="20" t="n">
        <v>4.49</v>
      </c>
      <c r="N1957" s="18">
        <f>ROUND(L1957/M1957, 0)</f>
        <v/>
      </c>
      <c r="O1957" s="18">
        <f>ROUND(N1957*'Methodology &amp; Assumptions'!$B$8, 0)</f>
        <v/>
      </c>
      <c r="P1957" s="8" t="inlineStr">
        <is>
          <t>Band n50 (1.5 GHz, 60 MHz)</t>
        </is>
      </c>
      <c r="Q1957" s="38">
        <f>ROUNDUP(O1957/'Methodology &amp; Assumptions'!$B$9, 0)</f>
        <v/>
      </c>
      <c r="R1957" s="39" t="n">
        <v>1</v>
      </c>
      <c r="S1957" s="21" t="n">
        <v>2.24</v>
      </c>
      <c r="T1957" s="21" t="n">
        <v>1.34</v>
      </c>
      <c r="U1957" s="36" t="inlineStr">
        <is>
          <t>Tier 1B (Micro Drop, 1-3 km)</t>
        </is>
      </c>
      <c r="V1957" s="20" t="n">
        <v>57.5</v>
      </c>
      <c r="W1957" s="20" t="n">
        <v>100</v>
      </c>
      <c r="X1957" s="20" t="n">
        <v>28</v>
      </c>
      <c r="Y1957" s="40">
        <f>ROUND((V1957*'Methodology &amp; Assumptions'!$B$6)+(W1957*'Methodology &amp; Assumptions'!$B$5)+(X1957*'Methodology &amp; Assumptions'!$B$7), 2)</f>
        <v/>
      </c>
    </row>
    <row r="1958" ht="19" customHeight="1">
      <c r="A1958" s="41" t="n">
        <v>954</v>
      </c>
      <c r="B1958" s="41" t="n">
        <v>4954</v>
      </c>
      <c r="C1958" s="42" t="inlineStr">
        <is>
          <t>1003507010</t>
        </is>
      </c>
      <c r="D1958" s="42" t="inlineStr">
        <is>
          <t>Region X (Northern Mindanao)</t>
        </is>
      </c>
      <c r="E1958" s="42" t="inlineStr">
        <is>
          <t>Lanao del Norte</t>
        </is>
      </c>
      <c r="F1958" s="42" t="inlineStr">
        <is>
          <t>Kauswagan</t>
        </is>
      </c>
      <c r="G1958" s="42" t="inlineStr">
        <is>
          <t>Poblacion</t>
        </is>
      </c>
      <c r="H1958" s="43" t="n">
        <v>8.19</v>
      </c>
      <c r="I1958" s="43" t="n">
        <v>124.0862</v>
      </c>
      <c r="J1958" s="44" t="inlineStr">
        <is>
          <t>R</t>
        </is>
      </c>
      <c r="K1958" s="42" t="inlineStr">
        <is>
          <t>1st</t>
        </is>
      </c>
      <c r="L1958" s="23" t="n">
        <v>3866</v>
      </c>
      <c r="M1958" s="24" t="n">
        <v>4.42</v>
      </c>
      <c r="N1958" s="23">
        <f>ROUND(L1958/M1958, 0)</f>
        <v/>
      </c>
      <c r="O1958" s="23">
        <f>ROUND(N1958*'Methodology &amp; Assumptions'!$B$8, 0)</f>
        <v/>
      </c>
      <c r="P1958" s="44" t="inlineStr">
        <is>
          <t>Band n50 (1.5 GHz, 60 MHz)</t>
        </is>
      </c>
      <c r="Q1958" s="38">
        <f>ROUNDUP(O1958/'Methodology &amp; Assumptions'!$B$9, 0)</f>
        <v/>
      </c>
      <c r="R1958" s="39" t="n">
        <v>1</v>
      </c>
      <c r="S1958" s="25" t="n">
        <v>17.51</v>
      </c>
      <c r="T1958" s="25" t="n">
        <v>0.28</v>
      </c>
      <c r="U1958" s="42" t="inlineStr">
        <is>
          <t>Tier 2 (Fiber Corridor / Lateral, 3-5 km)</t>
        </is>
      </c>
      <c r="V1958" s="24" t="n">
        <v>25</v>
      </c>
      <c r="W1958" s="24" t="n">
        <v>93.90000000000001</v>
      </c>
      <c r="X1958" s="24" t="n">
        <v>73</v>
      </c>
      <c r="Y1958" s="45">
        <f>ROUND((V1958*'Methodology &amp; Assumptions'!$B$6)+(W1958*'Methodology &amp; Assumptions'!$B$5)+(X1958*'Methodology &amp; Assumptions'!$B$7), 2)</f>
        <v/>
      </c>
    </row>
    <row r="1959" ht="19" customHeight="1">
      <c r="A1959" s="35" t="n">
        <v>955</v>
      </c>
      <c r="B1959" s="35" t="n">
        <v>4955</v>
      </c>
      <c r="C1959" s="36" t="inlineStr">
        <is>
          <t>0990101018</t>
        </is>
      </c>
      <c r="D1959" s="36" t="inlineStr">
        <is>
          <t>Region IX (Zamboanga Peninsula)</t>
        </is>
      </c>
      <c r="E1959" s="36" t="inlineStr">
        <is>
          <t>City of Isabela (Not a Province)</t>
        </is>
      </c>
      <c r="F1959" s="36" t="inlineStr">
        <is>
          <t>City of Isabela</t>
        </is>
      </c>
      <c r="G1959" s="36" t="inlineStr">
        <is>
          <t>Kaumpurnah Zone I</t>
        </is>
      </c>
      <c r="H1959" s="37" t="n">
        <v>16.975934</v>
      </c>
      <c r="I1959" s="37" t="n">
        <v>121.775462</v>
      </c>
      <c r="J1959" s="8" t="inlineStr">
        <is>
          <t>R</t>
        </is>
      </c>
      <c r="K1959" s="36" t="inlineStr">
        <is>
          <t>Class 1-3 / Urban</t>
        </is>
      </c>
      <c r="L1959" s="18" t="n">
        <v>3411</v>
      </c>
      <c r="M1959" s="20" t="n">
        <v>4.3</v>
      </c>
      <c r="N1959" s="18">
        <f>ROUND(L1959/M1959, 0)</f>
        <v/>
      </c>
      <c r="O1959" s="18">
        <f>ROUND(N1959*'Methodology &amp; Assumptions'!$B$8, 0)</f>
        <v/>
      </c>
      <c r="P1959" s="8" t="inlineStr">
        <is>
          <t>Band n50 (1.5 GHz, 60 MHz)</t>
        </is>
      </c>
      <c r="Q1959" s="38">
        <f>ROUNDUP(O1959/'Methodology &amp; Assumptions'!$B$9, 0)</f>
        <v/>
      </c>
      <c r="R1959" s="39" t="n">
        <v>1</v>
      </c>
      <c r="S1959" s="21" t="n">
        <v>4.63</v>
      </c>
      <c r="T1959" s="21" t="n">
        <v>0.31</v>
      </c>
      <c r="U1959" s="36" t="inlineStr">
        <is>
          <t>Tier 2 (Fiber Corridor / Lateral, 3-5 km)</t>
        </is>
      </c>
      <c r="V1959" s="20" t="n">
        <v>31.4</v>
      </c>
      <c r="W1959" s="20" t="n">
        <v>87.5</v>
      </c>
      <c r="X1959" s="20" t="n">
        <v>73</v>
      </c>
      <c r="Y1959" s="40">
        <f>ROUND((V1959*'Methodology &amp; Assumptions'!$B$6)+(W1959*'Methodology &amp; Assumptions'!$B$5)+(X1959*'Methodology &amp; Assumptions'!$B$7), 2)</f>
        <v/>
      </c>
    </row>
    <row r="1960" ht="19" customHeight="1">
      <c r="A1960" s="41" t="n">
        <v>956</v>
      </c>
      <c r="B1960" s="41" t="n">
        <v>4956</v>
      </c>
      <c r="C1960" s="42" t="inlineStr">
        <is>
          <t>0501709009</t>
        </is>
      </c>
      <c r="D1960" s="42" t="inlineStr">
        <is>
          <t>Region V (Bicol Region)</t>
        </is>
      </c>
      <c r="E1960" s="42" t="inlineStr">
        <is>
          <t>Camarines Sur</t>
        </is>
      </c>
      <c r="F1960" s="42" t="inlineStr">
        <is>
          <t>Camaligan</t>
        </is>
      </c>
      <c r="G1960" s="42" t="inlineStr">
        <is>
          <t>San Mateo</t>
        </is>
      </c>
      <c r="H1960" s="43" t="n">
        <v>13.620488</v>
      </c>
      <c r="I1960" s="43" t="n">
        <v>123.163353</v>
      </c>
      <c r="J1960" s="44" t="inlineStr">
        <is>
          <t>R</t>
        </is>
      </c>
      <c r="K1960" s="42" t="inlineStr">
        <is>
          <t>4th</t>
        </is>
      </c>
      <c r="L1960" s="23" t="n">
        <v>1596</v>
      </c>
      <c r="M1960" s="24" t="n">
        <v>4.97</v>
      </c>
      <c r="N1960" s="23">
        <f>ROUND(L1960/M1960, 0)</f>
        <v/>
      </c>
      <c r="O1960" s="23">
        <f>ROUND(N1960*'Methodology &amp; Assumptions'!$B$8, 0)</f>
        <v/>
      </c>
      <c r="P1960" s="44" t="inlineStr">
        <is>
          <t>Band n50 (1.5 GHz, 60 MHz)</t>
        </is>
      </c>
      <c r="Q1960" s="38">
        <f>ROUNDUP(O1960/'Methodology &amp; Assumptions'!$B$9, 0)</f>
        <v/>
      </c>
      <c r="R1960" s="39" t="n">
        <v>1</v>
      </c>
      <c r="S1960" s="25" t="n">
        <v>0.9399999999999999</v>
      </c>
      <c r="T1960" s="25" t="n">
        <v>2.37</v>
      </c>
      <c r="U1960" s="42" t="inlineStr">
        <is>
          <t>Tier 1A (Direct Coloc, &lt;1 km)</t>
        </is>
      </c>
      <c r="V1960" s="24" t="n">
        <v>73.09999999999999</v>
      </c>
      <c r="W1960" s="24" t="n">
        <v>49.6</v>
      </c>
      <c r="X1960" s="24" t="n">
        <v>68.5</v>
      </c>
      <c r="Y1960" s="45">
        <f>ROUND((V1960*'Methodology &amp; Assumptions'!$B$6)+(W1960*'Methodology &amp; Assumptions'!$B$5)+(X1960*'Methodology &amp; Assumptions'!$B$7), 2)</f>
        <v/>
      </c>
    </row>
    <row r="1961" ht="19" customHeight="1">
      <c r="A1961" s="35" t="n">
        <v>957</v>
      </c>
      <c r="B1961" s="35" t="n">
        <v>4957</v>
      </c>
      <c r="C1961" s="36" t="inlineStr">
        <is>
          <t>0601914002</t>
        </is>
      </c>
      <c r="D1961" s="36" t="inlineStr">
        <is>
          <t>Region VI (Western Visayas)</t>
        </is>
      </c>
      <c r="E1961" s="36" t="inlineStr">
        <is>
          <t>Capiz</t>
        </is>
      </c>
      <c r="F1961" s="36" t="inlineStr">
        <is>
          <t>City of Roxas</t>
        </is>
      </c>
      <c r="G1961" s="36" t="inlineStr">
        <is>
          <t>Bago</t>
        </is>
      </c>
      <c r="H1961" s="37" t="n">
        <v>11.518953</v>
      </c>
      <c r="I1961" s="37" t="n">
        <v>122.772649</v>
      </c>
      <c r="J1961" s="8" t="inlineStr">
        <is>
          <t>R</t>
        </is>
      </c>
      <c r="K1961" s="36" t="inlineStr">
        <is>
          <t>Class 1-3 / Urban</t>
        </is>
      </c>
      <c r="L1961" s="18" t="n">
        <v>2047</v>
      </c>
      <c r="M1961" s="20" t="n">
        <v>4.2</v>
      </c>
      <c r="N1961" s="18">
        <f>ROUND(L1961/M1961, 0)</f>
        <v/>
      </c>
      <c r="O1961" s="18">
        <f>ROUND(N1961*'Methodology &amp; Assumptions'!$B$8, 0)</f>
        <v/>
      </c>
      <c r="P1961" s="8" t="inlineStr">
        <is>
          <t>Band n50 (1.5 GHz, 60 MHz)</t>
        </is>
      </c>
      <c r="Q1961" s="38">
        <f>ROUNDUP(O1961/'Methodology &amp; Assumptions'!$B$9, 0)</f>
        <v/>
      </c>
      <c r="R1961" s="39" t="n">
        <v>1</v>
      </c>
      <c r="S1961" s="21" t="n">
        <v>1.59</v>
      </c>
      <c r="T1961" s="21" t="n">
        <v>1.01</v>
      </c>
      <c r="U1961" s="36" t="inlineStr">
        <is>
          <t>Tier 1B (Micro Drop, 1-3 km)</t>
        </is>
      </c>
      <c r="V1961" s="20" t="n">
        <v>68.8</v>
      </c>
      <c r="W1961" s="20" t="n">
        <v>62.9</v>
      </c>
      <c r="X1961" s="20" t="n">
        <v>58</v>
      </c>
      <c r="Y1961" s="40">
        <f>ROUND((V1961*'Methodology &amp; Assumptions'!$B$6)+(W1961*'Methodology &amp; Assumptions'!$B$5)+(X1961*'Methodology &amp; Assumptions'!$B$7), 2)</f>
        <v/>
      </c>
    </row>
    <row r="1962" ht="19" customHeight="1">
      <c r="A1962" s="41" t="n">
        <v>958</v>
      </c>
      <c r="B1962" s="41" t="n">
        <v>4958</v>
      </c>
      <c r="C1962" s="42" t="inlineStr">
        <is>
          <t>0402110036</t>
        </is>
      </c>
      <c r="D1962" s="42" t="inlineStr">
        <is>
          <t>Region IV-A (CALABARZON)</t>
        </is>
      </c>
      <c r="E1962" s="42" t="inlineStr">
        <is>
          <t>Cavite</t>
        </is>
      </c>
      <c r="F1962" s="42" t="inlineStr">
        <is>
          <t>Indang</t>
        </is>
      </c>
      <c r="G1962" s="42" t="inlineStr">
        <is>
          <t>Kaytapos</t>
        </is>
      </c>
      <c r="H1962" s="43" t="n">
        <v>14.195793</v>
      </c>
      <c r="I1962" s="43" t="n">
        <v>120.885665</v>
      </c>
      <c r="J1962" s="44" t="inlineStr">
        <is>
          <t>R</t>
        </is>
      </c>
      <c r="K1962" s="42" t="inlineStr">
        <is>
          <t>Class 1-3 / Urban</t>
        </is>
      </c>
      <c r="L1962" s="23" t="n">
        <v>1558</v>
      </c>
      <c r="M1962" s="24" t="n">
        <v>4.49</v>
      </c>
      <c r="N1962" s="23">
        <f>ROUND(L1962/M1962, 0)</f>
        <v/>
      </c>
      <c r="O1962" s="23">
        <f>ROUND(N1962*'Methodology &amp; Assumptions'!$B$8, 0)</f>
        <v/>
      </c>
      <c r="P1962" s="44" t="inlineStr">
        <is>
          <t>Band n50 (1.5 GHz, 60 MHz)</t>
        </is>
      </c>
      <c r="Q1962" s="38">
        <f>ROUNDUP(O1962/'Methodology &amp; Assumptions'!$B$9, 0)</f>
        <v/>
      </c>
      <c r="R1962" s="39" t="n">
        <v>1</v>
      </c>
      <c r="S1962" s="25" t="n">
        <v>0.67</v>
      </c>
      <c r="T1962" s="25" t="n">
        <v>8.26</v>
      </c>
      <c r="U1962" s="42" t="inlineStr">
        <is>
          <t>Tier 1A (Direct Coloc, &lt;1 km)</t>
        </is>
      </c>
      <c r="V1962" s="24" t="n">
        <v>80</v>
      </c>
      <c r="W1962" s="24" t="n">
        <v>51.7</v>
      </c>
      <c r="X1962" s="24" t="n">
        <v>58</v>
      </c>
      <c r="Y1962" s="45">
        <f>ROUND((V1962*'Methodology &amp; Assumptions'!$B$6)+(W1962*'Methodology &amp; Assumptions'!$B$5)+(X1962*'Methodology &amp; Assumptions'!$B$7), 2)</f>
        <v/>
      </c>
    </row>
    <row r="1963" ht="19" customHeight="1">
      <c r="A1963" s="35" t="n">
        <v>959</v>
      </c>
      <c r="B1963" s="35" t="n">
        <v>4959</v>
      </c>
      <c r="C1963" s="36" t="inlineStr">
        <is>
          <t>0304923033</t>
        </is>
      </c>
      <c r="D1963" s="36" t="inlineStr">
        <is>
          <t>Region III (Central Luzon)</t>
        </is>
      </c>
      <c r="E1963" s="36" t="inlineStr">
        <is>
          <t>Nueva Ecija</t>
        </is>
      </c>
      <c r="F1963" s="36" t="inlineStr">
        <is>
          <t>Rizal</t>
        </is>
      </c>
      <c r="G1963" s="36" t="inlineStr">
        <is>
          <t>Villa Labrador</t>
        </is>
      </c>
      <c r="H1963" s="37" t="n">
        <v>15.585783</v>
      </c>
      <c r="I1963" s="37" t="n">
        <v>120.924577</v>
      </c>
      <c r="J1963" s="8" t="inlineStr">
        <is>
          <t>R</t>
        </is>
      </c>
      <c r="K1963" s="36" t="inlineStr">
        <is>
          <t>Class 1-3 / Urban</t>
        </is>
      </c>
      <c r="L1963" s="18" t="n">
        <v>1014</v>
      </c>
      <c r="M1963" s="20" t="n">
        <v>4.32</v>
      </c>
      <c r="N1963" s="18">
        <f>ROUND(L1963/M1963, 0)</f>
        <v/>
      </c>
      <c r="O1963" s="18">
        <f>ROUND(N1963*'Methodology &amp; Assumptions'!$B$8, 0)</f>
        <v/>
      </c>
      <c r="P1963" s="8" t="inlineStr">
        <is>
          <t>Band n50 (1.5 GHz, 60 MHz)</t>
        </is>
      </c>
      <c r="Q1963" s="38">
        <f>ROUNDUP(O1963/'Methodology &amp; Assumptions'!$B$9, 0)</f>
        <v/>
      </c>
      <c r="R1963" s="39" t="n">
        <v>1</v>
      </c>
      <c r="S1963" s="21" t="n">
        <v>0.71</v>
      </c>
      <c r="T1963" s="21" t="n">
        <v>0.52</v>
      </c>
      <c r="U1963" s="36" t="inlineStr">
        <is>
          <t>Tier 1A (Direct Coloc, &lt;1 km)</t>
        </is>
      </c>
      <c r="V1963" s="20" t="n">
        <v>89</v>
      </c>
      <c r="W1963" s="20" t="n">
        <v>42.7</v>
      </c>
      <c r="X1963" s="20" t="n">
        <v>58</v>
      </c>
      <c r="Y1963" s="40">
        <f>ROUND((V1963*'Methodology &amp; Assumptions'!$B$6)+(W1963*'Methodology &amp; Assumptions'!$B$5)+(X1963*'Methodology &amp; Assumptions'!$B$7), 2)</f>
        <v/>
      </c>
    </row>
    <row r="1964" ht="19" customHeight="1">
      <c r="A1964" s="41" t="n">
        <v>960</v>
      </c>
      <c r="B1964" s="41" t="n">
        <v>4960</v>
      </c>
      <c r="C1964" s="42" t="inlineStr">
        <is>
          <t>0304923009</t>
        </is>
      </c>
      <c r="D1964" s="42" t="inlineStr">
        <is>
          <t>Region III (Central Luzon)</t>
        </is>
      </c>
      <c r="E1964" s="42" t="inlineStr">
        <is>
          <t>Nueva Ecija</t>
        </is>
      </c>
      <c r="F1964" s="42" t="inlineStr">
        <is>
          <t>Rizal</t>
        </is>
      </c>
      <c r="G1964" s="42" t="inlineStr">
        <is>
          <t>Canaan West</t>
        </is>
      </c>
      <c r="H1964" s="43" t="n">
        <v>15.585783</v>
      </c>
      <c r="I1964" s="43" t="n">
        <v>120.924577</v>
      </c>
      <c r="J1964" s="44" t="inlineStr">
        <is>
          <t>R</t>
        </is>
      </c>
      <c r="K1964" s="42" t="inlineStr">
        <is>
          <t>Class 1-3 / Urban</t>
        </is>
      </c>
      <c r="L1964" s="23" t="n">
        <v>1012</v>
      </c>
      <c r="M1964" s="24" t="n">
        <v>4.32</v>
      </c>
      <c r="N1964" s="23">
        <f>ROUND(L1964/M1964, 0)</f>
        <v/>
      </c>
      <c r="O1964" s="23">
        <f>ROUND(N1964*'Methodology &amp; Assumptions'!$B$8, 0)</f>
        <v/>
      </c>
      <c r="P1964" s="44" t="inlineStr">
        <is>
          <t>Band n50 (1.5 GHz, 60 MHz)</t>
        </is>
      </c>
      <c r="Q1964" s="38">
        <f>ROUNDUP(O1964/'Methodology &amp; Assumptions'!$B$9, 0)</f>
        <v/>
      </c>
      <c r="R1964" s="39" t="n">
        <v>1</v>
      </c>
      <c r="S1964" s="25" t="n">
        <v>0.71</v>
      </c>
      <c r="T1964" s="25" t="n">
        <v>0.52</v>
      </c>
      <c r="U1964" s="42" t="inlineStr">
        <is>
          <t>Tier 1A (Direct Coloc, &lt;1 km)</t>
        </is>
      </c>
      <c r="V1964" s="24" t="n">
        <v>89</v>
      </c>
      <c r="W1964" s="24" t="n">
        <v>42.7</v>
      </c>
      <c r="X1964" s="24" t="n">
        <v>58</v>
      </c>
      <c r="Y1964" s="45">
        <f>ROUND((V1964*'Methodology &amp; Assumptions'!$B$6)+(W1964*'Methodology &amp; Assumptions'!$B$5)+(X1964*'Methodology &amp; Assumptions'!$B$7), 2)</f>
        <v/>
      </c>
    </row>
    <row r="1965" ht="19" customHeight="1">
      <c r="A1965" s="35" t="n">
        <v>961</v>
      </c>
      <c r="B1965" s="35" t="n">
        <v>4961</v>
      </c>
      <c r="C1965" s="36" t="inlineStr">
        <is>
          <t>0304931008</t>
        </is>
      </c>
      <c r="D1965" s="36" t="inlineStr">
        <is>
          <t>Region III (Central Luzon)</t>
        </is>
      </c>
      <c r="E1965" s="36" t="inlineStr">
        <is>
          <t>Nueva Ecija</t>
        </is>
      </c>
      <c r="F1965" s="36" t="inlineStr">
        <is>
          <t>Talugtug</t>
        </is>
      </c>
      <c r="G1965" s="36" t="inlineStr">
        <is>
          <t>Culiat</t>
        </is>
      </c>
      <c r="H1965" s="37" t="n">
        <v>15.585783</v>
      </c>
      <c r="I1965" s="37" t="n">
        <v>120.924577</v>
      </c>
      <c r="J1965" s="8" t="inlineStr">
        <is>
          <t>R</t>
        </is>
      </c>
      <c r="K1965" s="36" t="inlineStr">
        <is>
          <t>3rd</t>
        </is>
      </c>
      <c r="L1965" s="18" t="n">
        <v>957</v>
      </c>
      <c r="M1965" s="20" t="n">
        <v>4.09</v>
      </c>
      <c r="N1965" s="18">
        <f>ROUND(L1965/M1965, 0)</f>
        <v/>
      </c>
      <c r="O1965" s="18">
        <f>ROUND(N1965*'Methodology &amp; Assumptions'!$B$8, 0)</f>
        <v/>
      </c>
      <c r="P1965" s="8" t="inlineStr">
        <is>
          <t>Band n50 (1.5 GHz, 60 MHz)</t>
        </is>
      </c>
      <c r="Q1965" s="38">
        <f>ROUNDUP(O1965/'Methodology &amp; Assumptions'!$B$9, 0)</f>
        <v/>
      </c>
      <c r="R1965" s="39" t="n">
        <v>1</v>
      </c>
      <c r="S1965" s="21" t="n">
        <v>0.71</v>
      </c>
      <c r="T1965" s="21" t="n">
        <v>0.52</v>
      </c>
      <c r="U1965" s="36" t="inlineStr">
        <is>
          <t>Tier 1A (Direct Coloc, &lt;1 km)</t>
        </is>
      </c>
      <c r="V1965" s="20" t="n">
        <v>89</v>
      </c>
      <c r="W1965" s="20" t="n">
        <v>42.7</v>
      </c>
      <c r="X1965" s="20" t="n">
        <v>58</v>
      </c>
      <c r="Y1965" s="40">
        <f>ROUND((V1965*'Methodology &amp; Assumptions'!$B$6)+(W1965*'Methodology &amp; Assumptions'!$B$5)+(X1965*'Methodology &amp; Assumptions'!$B$7), 2)</f>
        <v/>
      </c>
    </row>
    <row r="1966" ht="19" customHeight="1">
      <c r="A1966" s="41" t="n">
        <v>962</v>
      </c>
      <c r="B1966" s="41" t="n">
        <v>4962</v>
      </c>
      <c r="C1966" s="42" t="inlineStr">
        <is>
          <t>0304922006</t>
        </is>
      </c>
      <c r="D1966" s="42" t="inlineStr">
        <is>
          <t>Region III (Central Luzon)</t>
        </is>
      </c>
      <c r="E1966" s="42" t="inlineStr">
        <is>
          <t>Nueva Ecija</t>
        </is>
      </c>
      <c r="F1966" s="42" t="inlineStr">
        <is>
          <t>Quezon</t>
        </is>
      </c>
      <c r="G1966" s="42" t="inlineStr">
        <is>
          <t>Ilog Baliwag</t>
        </is>
      </c>
      <c r="H1966" s="43" t="n">
        <v>15.574532</v>
      </c>
      <c r="I1966" s="43" t="n">
        <v>120.831251</v>
      </c>
      <c r="J1966" s="44" t="inlineStr">
        <is>
          <t>R</t>
        </is>
      </c>
      <c r="K1966" s="42" t="inlineStr">
        <is>
          <t>2nd</t>
        </is>
      </c>
      <c r="L1966" s="23" t="n">
        <v>3771</v>
      </c>
      <c r="M1966" s="24" t="n">
        <v>4.28</v>
      </c>
      <c r="N1966" s="23">
        <f>ROUND(L1966/M1966, 0)</f>
        <v/>
      </c>
      <c r="O1966" s="23">
        <f>ROUND(N1966*'Methodology &amp; Assumptions'!$B$8, 0)</f>
        <v/>
      </c>
      <c r="P1966" s="44" t="inlineStr">
        <is>
          <t>Band n50 (1.5 GHz, 60 MHz)</t>
        </is>
      </c>
      <c r="Q1966" s="38">
        <f>ROUNDUP(O1966/'Methodology &amp; Assumptions'!$B$9, 0)</f>
        <v/>
      </c>
      <c r="R1966" s="39" t="n">
        <v>1</v>
      </c>
      <c r="S1966" s="25" t="n">
        <v>2.96</v>
      </c>
      <c r="T1966" s="25" t="n">
        <v>2.91</v>
      </c>
      <c r="U1966" s="42" t="inlineStr">
        <is>
          <t>Tier 1B (Micro Drop, 1-3 km)</t>
        </is>
      </c>
      <c r="V1966" s="24" t="n">
        <v>37.3</v>
      </c>
      <c r="W1966" s="24" t="n">
        <v>94.40000000000001</v>
      </c>
      <c r="X1966" s="24" t="n">
        <v>58</v>
      </c>
      <c r="Y1966" s="45">
        <f>ROUND((V1966*'Methodology &amp; Assumptions'!$B$6)+(W1966*'Methodology &amp; Assumptions'!$B$5)+(X1966*'Methodology &amp; Assumptions'!$B$7), 2)</f>
        <v/>
      </c>
    </row>
    <row r="1967" ht="19" customHeight="1">
      <c r="A1967" s="35" t="n">
        <v>963</v>
      </c>
      <c r="B1967" s="35" t="n">
        <v>4963</v>
      </c>
      <c r="C1967" s="36" t="inlineStr">
        <is>
          <t>0105539014</t>
        </is>
      </c>
      <c r="D1967" s="36" t="inlineStr">
        <is>
          <t>Region I (Ilocos Region)</t>
        </is>
      </c>
      <c r="E1967" s="36" t="inlineStr">
        <is>
          <t>Pangasinan</t>
        </is>
      </c>
      <c r="F1967" s="36" t="inlineStr">
        <is>
          <t>Santa Maria</t>
        </is>
      </c>
      <c r="G1967" s="36" t="inlineStr">
        <is>
          <t>Poblacion East</t>
        </is>
      </c>
      <c r="H1967" s="37" t="n">
        <v>15.978187</v>
      </c>
      <c r="I1967" s="37" t="n">
        <v>120.700403</v>
      </c>
      <c r="J1967" s="8" t="inlineStr">
        <is>
          <t>R</t>
        </is>
      </c>
      <c r="K1967" s="36" t="inlineStr">
        <is>
          <t>2nd</t>
        </is>
      </c>
      <c r="L1967" s="18" t="n">
        <v>1019</v>
      </c>
      <c r="M1967" s="20" t="n">
        <v>4.41</v>
      </c>
      <c r="N1967" s="18">
        <f>ROUND(L1967/M1967, 0)</f>
        <v/>
      </c>
      <c r="O1967" s="18">
        <f>ROUND(N1967*'Methodology &amp; Assumptions'!$B$8, 0)</f>
        <v/>
      </c>
      <c r="P1967" s="8" t="inlineStr">
        <is>
          <t>Band n50 (1.5 GHz, 60 MHz)</t>
        </is>
      </c>
      <c r="Q1967" s="38">
        <f>ROUNDUP(O1967/'Methodology &amp; Assumptions'!$B$9, 0)</f>
        <v/>
      </c>
      <c r="R1967" s="39" t="n">
        <v>1</v>
      </c>
      <c r="S1967" s="21" t="n">
        <v>0.7</v>
      </c>
      <c r="T1967" s="21" t="n">
        <v>0.53</v>
      </c>
      <c r="U1967" s="36" t="inlineStr">
        <is>
          <t>Tier 1A (Direct Coloc, &lt;1 km)</t>
        </is>
      </c>
      <c r="V1967" s="20" t="n">
        <v>89.3</v>
      </c>
      <c r="W1967" s="20" t="n">
        <v>42.4</v>
      </c>
      <c r="X1967" s="20" t="n">
        <v>58</v>
      </c>
      <c r="Y1967" s="40">
        <f>ROUND((V1967*'Methodology &amp; Assumptions'!$B$6)+(W1967*'Methodology &amp; Assumptions'!$B$5)+(X1967*'Methodology &amp; Assumptions'!$B$7), 2)</f>
        <v/>
      </c>
    </row>
    <row r="1968" ht="19" customHeight="1">
      <c r="A1968" s="41" t="n">
        <v>964</v>
      </c>
      <c r="B1968" s="41" t="n">
        <v>4964</v>
      </c>
      <c r="C1968" s="42" t="inlineStr">
        <is>
          <t>0305409021</t>
        </is>
      </c>
      <c r="D1968" s="42" t="inlineStr">
        <is>
          <t>Region III (Central Luzon)</t>
        </is>
      </c>
      <c r="E1968" s="42" t="inlineStr">
        <is>
          <t>Pampanga</t>
        </is>
      </c>
      <c r="F1968" s="42" t="inlineStr">
        <is>
          <t>Mabalacat City</t>
        </is>
      </c>
      <c r="G1968" s="42" t="inlineStr">
        <is>
          <t>San Francisco</t>
        </is>
      </c>
      <c r="H1968" s="43" t="n">
        <v>15.220456</v>
      </c>
      <c r="I1968" s="43" t="n">
        <v>120.577344</v>
      </c>
      <c r="J1968" s="44" t="inlineStr">
        <is>
          <t>U</t>
        </is>
      </c>
      <c r="K1968" s="42" t="inlineStr">
        <is>
          <t>Class 1-3 / Urban</t>
        </is>
      </c>
      <c r="L1968" s="23" t="n">
        <v>14661</v>
      </c>
      <c r="M1968" s="24" t="n">
        <v>4.63</v>
      </c>
      <c r="N1968" s="23">
        <f>ROUND(L1968/M1968, 0)</f>
        <v/>
      </c>
      <c r="O1968" s="23">
        <f>ROUND(N1968*'Methodology &amp; Assumptions'!$B$8, 0)</f>
        <v/>
      </c>
      <c r="P1968" s="44" t="inlineStr">
        <is>
          <t>Band n50 (1.5 GHz, 60 MHz)</t>
        </is>
      </c>
      <c r="Q1968" s="38">
        <f>ROUNDUP(O1968/'Methodology &amp; Assumptions'!$B$9, 0)</f>
        <v/>
      </c>
      <c r="R1968" s="39" t="n">
        <v>1</v>
      </c>
      <c r="S1968" s="25" t="n">
        <v>2.24</v>
      </c>
      <c r="T1968" s="25" t="n">
        <v>0.28</v>
      </c>
      <c r="U1968" s="42" t="inlineStr">
        <is>
          <t>Tier 1B (Micro Drop, 1-3 km)</t>
        </is>
      </c>
      <c r="V1968" s="24" t="n">
        <v>57.4</v>
      </c>
      <c r="W1968" s="24" t="n">
        <v>100</v>
      </c>
      <c r="X1968" s="24" t="n">
        <v>28</v>
      </c>
      <c r="Y1968" s="45">
        <f>ROUND((V1968*'Methodology &amp; Assumptions'!$B$6)+(W1968*'Methodology &amp; Assumptions'!$B$5)+(X1968*'Methodology &amp; Assumptions'!$B$7), 2)</f>
        <v/>
      </c>
    </row>
    <row r="1969" ht="19" customHeight="1">
      <c r="A1969" s="35" t="n">
        <v>965</v>
      </c>
      <c r="B1969" s="35" t="n">
        <v>4965</v>
      </c>
      <c r="C1969" s="36" t="inlineStr">
        <is>
          <t>0102903006</t>
        </is>
      </c>
      <c r="D1969" s="36" t="inlineStr">
        <is>
          <t>Region I (Ilocos Region)</t>
        </is>
      </c>
      <c r="E1969" s="36" t="inlineStr">
        <is>
          <t>Ilocos Sur</t>
        </is>
      </c>
      <c r="F1969" s="36" t="inlineStr">
        <is>
          <t>Bantay</t>
        </is>
      </c>
      <c r="G1969" s="36" t="inlineStr">
        <is>
          <t>Buquig</t>
        </is>
      </c>
      <c r="H1969" s="37" t="n">
        <v>17.58399</v>
      </c>
      <c r="I1969" s="37" t="n">
        <v>120.39394</v>
      </c>
      <c r="J1969" s="8" t="inlineStr">
        <is>
          <t>R</t>
        </is>
      </c>
      <c r="K1969" s="36" t="inlineStr">
        <is>
          <t>Class 1-3 / Urban</t>
        </is>
      </c>
      <c r="L1969" s="18" t="n">
        <v>923</v>
      </c>
      <c r="M1969" s="20" t="n">
        <v>4.56</v>
      </c>
      <c r="N1969" s="18">
        <f>ROUND(L1969/M1969, 0)</f>
        <v/>
      </c>
      <c r="O1969" s="18">
        <f>ROUND(N1969*'Methodology &amp; Assumptions'!$B$8, 0)</f>
        <v/>
      </c>
      <c r="P1969" s="8" t="inlineStr">
        <is>
          <t>Band n50 (1.5 GHz, 60 MHz)</t>
        </is>
      </c>
      <c r="Q1969" s="38">
        <f>ROUNDUP(O1969/'Methodology &amp; Assumptions'!$B$9, 0)</f>
        <v/>
      </c>
      <c r="R1969" s="39" t="n">
        <v>1</v>
      </c>
      <c r="S1969" s="21" t="n">
        <v>1.13</v>
      </c>
      <c r="T1969" s="21" t="n">
        <v>0.48</v>
      </c>
      <c r="U1969" s="36" t="inlineStr">
        <is>
          <t>Tier 1B (Micro Drop, 1-3 km)</t>
        </is>
      </c>
      <c r="V1969" s="20" t="n">
        <v>78.5</v>
      </c>
      <c r="W1969" s="20" t="n">
        <v>40.3</v>
      </c>
      <c r="X1969" s="20" t="n">
        <v>73</v>
      </c>
      <c r="Y1969" s="40">
        <f>ROUND((V1969*'Methodology &amp; Assumptions'!$B$6)+(W1969*'Methodology &amp; Assumptions'!$B$5)+(X1969*'Methodology &amp; Assumptions'!$B$7), 2)</f>
        <v/>
      </c>
    </row>
    <row r="1970" ht="19" customHeight="1">
      <c r="A1970" s="41" t="n">
        <v>966</v>
      </c>
      <c r="B1970" s="41" t="n">
        <v>4966</v>
      </c>
      <c r="C1970" s="42" t="inlineStr">
        <is>
          <t>0306916028</t>
        </is>
      </c>
      <c r="D1970" s="42" t="inlineStr">
        <is>
          <t>Region III (Central Luzon)</t>
        </is>
      </c>
      <c r="E1970" s="42" t="inlineStr">
        <is>
          <t>Tarlac</t>
        </is>
      </c>
      <c r="F1970" s="42" t="inlineStr">
        <is>
          <t>City of Tarlac</t>
        </is>
      </c>
      <c r="G1970" s="42" t="inlineStr">
        <is>
          <t>Culipat</t>
        </is>
      </c>
      <c r="H1970" s="43" t="n">
        <v>15.500084</v>
      </c>
      <c r="I1970" s="43" t="n">
        <v>120.620564</v>
      </c>
      <c r="J1970" s="44" t="inlineStr">
        <is>
          <t>R</t>
        </is>
      </c>
      <c r="K1970" s="42" t="inlineStr">
        <is>
          <t>Class 1-3 / Urban</t>
        </is>
      </c>
      <c r="L1970" s="23" t="n">
        <v>2764</v>
      </c>
      <c r="M1970" s="24" t="n">
        <v>4.3</v>
      </c>
      <c r="N1970" s="23">
        <f>ROUND(L1970/M1970, 0)</f>
        <v/>
      </c>
      <c r="O1970" s="23">
        <f>ROUND(N1970*'Methodology &amp; Assumptions'!$B$8, 0)</f>
        <v/>
      </c>
      <c r="P1970" s="44" t="inlineStr">
        <is>
          <t>Band n50 (1.5 GHz, 60 MHz)</t>
        </is>
      </c>
      <c r="Q1970" s="38">
        <f>ROUNDUP(O1970/'Methodology &amp; Assumptions'!$B$9, 0)</f>
        <v/>
      </c>
      <c r="R1970" s="39" t="n">
        <v>1</v>
      </c>
      <c r="S1970" s="25" t="n">
        <v>2.32</v>
      </c>
      <c r="T1970" s="25" t="n">
        <v>1.81</v>
      </c>
      <c r="U1970" s="42" t="inlineStr">
        <is>
          <t>Tier 1B (Micro Drop, 1-3 km)</t>
        </is>
      </c>
      <c r="V1970" s="24" t="n">
        <v>56.2</v>
      </c>
      <c r="W1970" s="24" t="n">
        <v>75.5</v>
      </c>
      <c r="X1970" s="24" t="n">
        <v>58</v>
      </c>
      <c r="Y1970" s="45">
        <f>ROUND((V1970*'Methodology &amp; Assumptions'!$B$6)+(W1970*'Methodology &amp; Assumptions'!$B$5)+(X1970*'Methodology &amp; Assumptions'!$B$7), 2)</f>
        <v/>
      </c>
    </row>
    <row r="1971" ht="19" customHeight="1">
      <c r="A1971" s="35" t="n">
        <v>967</v>
      </c>
      <c r="B1971" s="35" t="n">
        <v>4967</v>
      </c>
      <c r="C1971" s="36" t="inlineStr">
        <is>
          <t>0702208022</t>
        </is>
      </c>
      <c r="D1971" s="36" t="inlineStr">
        <is>
          <t>Region VII (Central Visayas)</t>
        </is>
      </c>
      <c r="E1971" s="36" t="inlineStr">
        <is>
          <t>Cebu</t>
        </is>
      </c>
      <c r="F1971" s="36" t="inlineStr">
        <is>
          <t>Balamban</t>
        </is>
      </c>
      <c r="G1971" s="36" t="inlineStr">
        <is>
          <t>Pondol</t>
        </is>
      </c>
      <c r="H1971" s="37" t="n">
        <v>10.489096</v>
      </c>
      <c r="I1971" s="37" t="n">
        <v>123.711695</v>
      </c>
      <c r="J1971" s="8" t="inlineStr">
        <is>
          <t>U</t>
        </is>
      </c>
      <c r="K1971" s="36" t="inlineStr">
        <is>
          <t>Class 1-3 / Urban</t>
        </is>
      </c>
      <c r="L1971" s="18" t="n">
        <v>10250</v>
      </c>
      <c r="M1971" s="20" t="n">
        <v>4.42</v>
      </c>
      <c r="N1971" s="18">
        <f>ROUND(L1971/M1971, 0)</f>
        <v/>
      </c>
      <c r="O1971" s="18">
        <f>ROUND(N1971*'Methodology &amp; Assumptions'!$B$8, 0)</f>
        <v/>
      </c>
      <c r="P1971" s="8" t="inlineStr">
        <is>
          <t>Band n50 (1.5 GHz, 60 MHz)</t>
        </is>
      </c>
      <c r="Q1971" s="38">
        <f>ROUNDUP(O1971/'Methodology &amp; Assumptions'!$B$9, 0)</f>
        <v/>
      </c>
      <c r="R1971" s="39" t="n">
        <v>1</v>
      </c>
      <c r="S1971" s="21" t="n">
        <v>2.24</v>
      </c>
      <c r="T1971" s="21" t="n">
        <v>0.28</v>
      </c>
      <c r="U1971" s="36" t="inlineStr">
        <is>
          <t>Tier 1B (Micro Drop, 1-3 km)</t>
        </is>
      </c>
      <c r="V1971" s="20" t="n">
        <v>57.4</v>
      </c>
      <c r="W1971" s="20" t="n">
        <v>100</v>
      </c>
      <c r="X1971" s="20" t="n">
        <v>28</v>
      </c>
      <c r="Y1971" s="40">
        <f>ROUND((V1971*'Methodology &amp; Assumptions'!$B$6)+(W1971*'Methodology &amp; Assumptions'!$B$5)+(X1971*'Methodology &amp; Assumptions'!$B$7), 2)</f>
        <v/>
      </c>
    </row>
    <row r="1972" ht="19" customHeight="1">
      <c r="A1972" s="41" t="n">
        <v>968</v>
      </c>
      <c r="B1972" s="41" t="n">
        <v>4968</v>
      </c>
      <c r="C1972" s="42" t="inlineStr">
        <is>
          <t>0405645022</t>
        </is>
      </c>
      <c r="D1972" s="42" t="inlineStr">
        <is>
          <t>Region IV-A (CALABARZON)</t>
        </is>
      </c>
      <c r="E1972" s="42" t="inlineStr">
        <is>
          <t>Quezon</t>
        </is>
      </c>
      <c r="F1972" s="42" t="inlineStr">
        <is>
          <t>Sariaya</t>
        </is>
      </c>
      <c r="G1972" s="42" t="inlineStr">
        <is>
          <t>Lutucan Malabag</t>
        </is>
      </c>
      <c r="H1972" s="43" t="n">
        <v>13.917029</v>
      </c>
      <c r="I1972" s="43" t="n">
        <v>121.482677</v>
      </c>
      <c r="J1972" s="44" t="inlineStr">
        <is>
          <t>R</t>
        </is>
      </c>
      <c r="K1972" s="42" t="inlineStr">
        <is>
          <t>Class 1-3 / Urban</t>
        </is>
      </c>
      <c r="L1972" s="23" t="n">
        <v>4847</v>
      </c>
      <c r="M1972" s="24" t="n">
        <v>4.46</v>
      </c>
      <c r="N1972" s="23">
        <f>ROUND(L1972/M1972, 0)</f>
        <v/>
      </c>
      <c r="O1972" s="23">
        <f>ROUND(N1972*'Methodology &amp; Assumptions'!$B$8, 0)</f>
        <v/>
      </c>
      <c r="P1972" s="44" t="inlineStr">
        <is>
          <t>Band n50 (1.5 GHz, 60 MHz)</t>
        </is>
      </c>
      <c r="Q1972" s="38">
        <f>ROUNDUP(O1972/'Methodology &amp; Assumptions'!$B$9, 0)</f>
        <v/>
      </c>
      <c r="R1972" s="39" t="n">
        <v>1</v>
      </c>
      <c r="S1972" s="25" t="n">
        <v>4.59</v>
      </c>
      <c r="T1972" s="25" t="n">
        <v>1.56</v>
      </c>
      <c r="U1972" s="42" t="inlineStr">
        <is>
          <t>Tier 2 (Fiber Corridor / Lateral, 3-5 km)</t>
        </is>
      </c>
      <c r="V1972" s="24" t="n">
        <v>31.6</v>
      </c>
      <c r="W1972" s="24" t="n">
        <v>100</v>
      </c>
      <c r="X1972" s="24" t="n">
        <v>58</v>
      </c>
      <c r="Y1972" s="45">
        <f>ROUND((V1972*'Methodology &amp; Assumptions'!$B$6)+(W1972*'Methodology &amp; Assumptions'!$B$5)+(X1972*'Methodology &amp; Assumptions'!$B$7), 2)</f>
        <v/>
      </c>
    </row>
    <row r="1973" ht="19" customHeight="1">
      <c r="A1973" s="35" t="n">
        <v>969</v>
      </c>
      <c r="B1973" s="35" t="n">
        <v>4969</v>
      </c>
      <c r="C1973" s="36" t="inlineStr">
        <is>
          <t>0704608002</t>
        </is>
      </c>
      <c r="D1973" s="36" t="inlineStr">
        <is>
          <t>Region VII (Central Visayas)</t>
        </is>
      </c>
      <c r="E1973" s="36" t="inlineStr">
        <is>
          <t>Negros Oriental</t>
        </is>
      </c>
      <c r="F1973" s="36" t="inlineStr">
        <is>
          <t>City of Canlaon</t>
        </is>
      </c>
      <c r="G1973" s="36" t="inlineStr">
        <is>
          <t>Binalbagan</t>
        </is>
      </c>
      <c r="H1973" s="37" t="n">
        <v>10.378232</v>
      </c>
      <c r="I1973" s="37" t="n">
        <v>123.247564</v>
      </c>
      <c r="J1973" s="8" t="inlineStr">
        <is>
          <t>R</t>
        </is>
      </c>
      <c r="K1973" s="36" t="inlineStr">
        <is>
          <t>Class 1-3 / Urban</t>
        </is>
      </c>
      <c r="L1973" s="18" t="n">
        <v>2569</v>
      </c>
      <c r="M1973" s="20" t="n">
        <v>4.33</v>
      </c>
      <c r="N1973" s="18">
        <f>ROUND(L1973/M1973, 0)</f>
        <v/>
      </c>
      <c r="O1973" s="18">
        <f>ROUND(N1973*'Methodology &amp; Assumptions'!$B$8, 0)</f>
        <v/>
      </c>
      <c r="P1973" s="8" t="inlineStr">
        <is>
          <t>Band n50 (1.5 GHz, 60 MHz)</t>
        </is>
      </c>
      <c r="Q1973" s="38">
        <f>ROUNDUP(O1973/'Methodology &amp; Assumptions'!$B$9, 0)</f>
        <v/>
      </c>
      <c r="R1973" s="39" t="n">
        <v>1</v>
      </c>
      <c r="S1973" s="21" t="n">
        <v>2.07</v>
      </c>
      <c r="T1973" s="21" t="n">
        <v>0.21</v>
      </c>
      <c r="U1973" s="36" t="inlineStr">
        <is>
          <t>Tier 1B (Micro Drop, 1-3 km)</t>
        </is>
      </c>
      <c r="V1973" s="20" t="n">
        <v>60.2</v>
      </c>
      <c r="W1973" s="20" t="n">
        <v>71.5</v>
      </c>
      <c r="X1973" s="20" t="n">
        <v>58</v>
      </c>
      <c r="Y1973" s="40">
        <f>ROUND((V1973*'Methodology &amp; Assumptions'!$B$6)+(W1973*'Methodology &amp; Assumptions'!$B$5)+(X1973*'Methodology &amp; Assumptions'!$B$7), 2)</f>
        <v/>
      </c>
    </row>
    <row r="1974" ht="19" customHeight="1">
      <c r="A1974" s="41" t="n">
        <v>970</v>
      </c>
      <c r="B1974" s="41" t="n">
        <v>4970</v>
      </c>
      <c r="C1974" s="42" t="inlineStr">
        <is>
          <t>0603005001</t>
        </is>
      </c>
      <c r="D1974" s="42" t="inlineStr">
        <is>
          <t>Region VI (Western Visayas)</t>
        </is>
      </c>
      <c r="E1974" s="42" t="inlineStr">
        <is>
          <t>Iloilo</t>
        </is>
      </c>
      <c r="F1974" s="42" t="inlineStr">
        <is>
          <t>Balasan</t>
        </is>
      </c>
      <c r="G1974" s="42" t="inlineStr">
        <is>
          <t>Aranjuez</t>
        </is>
      </c>
      <c r="H1974" s="43" t="n">
        <v>11.469153</v>
      </c>
      <c r="I1974" s="43" t="n">
        <v>123.074281</v>
      </c>
      <c r="J1974" s="44" t="inlineStr">
        <is>
          <t>R</t>
        </is>
      </c>
      <c r="K1974" s="42" t="inlineStr">
        <is>
          <t>2nd</t>
        </is>
      </c>
      <c r="L1974" s="23" t="n">
        <v>2067</v>
      </c>
      <c r="M1974" s="24" t="n">
        <v>4.09</v>
      </c>
      <c r="N1974" s="23">
        <f>ROUND(L1974/M1974, 0)</f>
        <v/>
      </c>
      <c r="O1974" s="23">
        <f>ROUND(N1974*'Methodology &amp; Assumptions'!$B$8, 0)</f>
        <v/>
      </c>
      <c r="P1974" s="44" t="inlineStr">
        <is>
          <t>Band n50 (1.5 GHz, 60 MHz)</t>
        </is>
      </c>
      <c r="Q1974" s="38">
        <f>ROUNDUP(O1974/'Methodology &amp; Assumptions'!$B$9, 0)</f>
        <v/>
      </c>
      <c r="R1974" s="39" t="n">
        <v>1</v>
      </c>
      <c r="S1974" s="25" t="n">
        <v>1.68</v>
      </c>
      <c r="T1974" s="25" t="n">
        <v>1.58</v>
      </c>
      <c r="U1974" s="42" t="inlineStr">
        <is>
          <t>Tier 1B (Micro Drop, 1-3 km)</t>
        </is>
      </c>
      <c r="V1974" s="24" t="n">
        <v>67.09999999999999</v>
      </c>
      <c r="W1974" s="24" t="n">
        <v>64.5</v>
      </c>
      <c r="X1974" s="24" t="n">
        <v>58</v>
      </c>
      <c r="Y1974" s="45">
        <f>ROUND((V1974*'Methodology &amp; Assumptions'!$B$6)+(W1974*'Methodology &amp; Assumptions'!$B$5)+(X1974*'Methodology &amp; Assumptions'!$B$7), 2)</f>
        <v/>
      </c>
    </row>
    <row r="1975" ht="19" customHeight="1">
      <c r="A1975" s="35" t="n">
        <v>971</v>
      </c>
      <c r="B1975" s="35" t="n">
        <v>4971</v>
      </c>
      <c r="C1975" s="36" t="inlineStr">
        <is>
          <t>1400101028</t>
        </is>
      </c>
      <c r="D1975" s="36" t="inlineStr">
        <is>
          <t>Cordillera Administrative Region (CAR)</t>
        </is>
      </c>
      <c r="E1975" s="36" t="inlineStr">
        <is>
          <t>Abra</t>
        </is>
      </c>
      <c r="F1975" s="36" t="inlineStr">
        <is>
          <t>Bangued</t>
        </is>
      </c>
      <c r="G1975" s="36" t="inlineStr">
        <is>
          <t>Zone 5 Pob.</t>
        </is>
      </c>
      <c r="H1975" s="37" t="n">
        <v>17.5939</v>
      </c>
      <c r="I1975" s="37" t="n">
        <v>120.6181</v>
      </c>
      <c r="J1975" s="8" t="inlineStr">
        <is>
          <t>U</t>
        </is>
      </c>
      <c r="K1975" s="36" t="inlineStr">
        <is>
          <t>Class 1-3 / Urban</t>
        </is>
      </c>
      <c r="L1975" s="18" t="n">
        <v>2193</v>
      </c>
      <c r="M1975" s="20" t="n">
        <v>4.69</v>
      </c>
      <c r="N1975" s="18">
        <f>ROUND(L1975/M1975, 0)</f>
        <v/>
      </c>
      <c r="O1975" s="18">
        <f>ROUND(N1975*'Methodology &amp; Assumptions'!$B$8, 0)</f>
        <v/>
      </c>
      <c r="P1975" s="8" t="inlineStr">
        <is>
          <t>Band n50 (1.5 GHz, 60 MHz)</t>
        </is>
      </c>
      <c r="Q1975" s="38">
        <f>ROUNDUP(O1975/'Methodology &amp; Assumptions'!$B$9, 0)</f>
        <v/>
      </c>
      <c r="R1975" s="39" t="n">
        <v>1</v>
      </c>
      <c r="S1975" s="21" t="n">
        <v>0.17</v>
      </c>
      <c r="T1975" s="21" t="n">
        <v>0.19</v>
      </c>
      <c r="U1975" s="36" t="inlineStr">
        <is>
          <t>Tier 1A (Direct Coloc, &lt;1 km)</t>
        </is>
      </c>
      <c r="V1975" s="20" t="n">
        <v>100</v>
      </c>
      <c r="W1975" s="20" t="n">
        <v>57.3</v>
      </c>
      <c r="X1975" s="20" t="n">
        <v>28</v>
      </c>
      <c r="Y1975" s="40">
        <f>ROUND((V1975*'Methodology &amp; Assumptions'!$B$6)+(W1975*'Methodology &amp; Assumptions'!$B$5)+(X1975*'Methodology &amp; Assumptions'!$B$7), 2)</f>
        <v/>
      </c>
    </row>
    <row r="1976" ht="19" customHeight="1">
      <c r="A1976" s="41" t="n">
        <v>972</v>
      </c>
      <c r="B1976" s="41" t="n">
        <v>4972</v>
      </c>
      <c r="C1976" s="42" t="inlineStr">
        <is>
          <t>0301406009</t>
        </is>
      </c>
      <c r="D1976" s="42" t="inlineStr">
        <is>
          <t>Region III (Central Luzon)</t>
        </is>
      </c>
      <c r="E1976" s="42" t="inlineStr">
        <is>
          <t>Bulacan</t>
        </is>
      </c>
      <c r="F1976" s="42" t="inlineStr">
        <is>
          <t>Bustos</t>
        </is>
      </c>
      <c r="G1976" s="42" t="inlineStr">
        <is>
          <t>Malawak</t>
        </is>
      </c>
      <c r="H1976" s="43" t="n">
        <v>14.911571</v>
      </c>
      <c r="I1976" s="43" t="n">
        <v>120.953585</v>
      </c>
      <c r="J1976" s="44" t="inlineStr">
        <is>
          <t>R</t>
        </is>
      </c>
      <c r="K1976" s="42" t="inlineStr">
        <is>
          <t>Class 1-3 / Urban</t>
        </is>
      </c>
      <c r="L1976" s="23" t="n">
        <v>2950</v>
      </c>
      <c r="M1976" s="24" t="n">
        <v>4.1</v>
      </c>
      <c r="N1976" s="23">
        <f>ROUND(L1976/M1976, 0)</f>
        <v/>
      </c>
      <c r="O1976" s="23">
        <f>ROUND(N1976*'Methodology &amp; Assumptions'!$B$8, 0)</f>
        <v/>
      </c>
      <c r="P1976" s="44" t="inlineStr">
        <is>
          <t>Band n50 (1.5 GHz, 60 MHz)</t>
        </is>
      </c>
      <c r="Q1976" s="38">
        <f>ROUNDUP(O1976/'Methodology &amp; Assumptions'!$B$9, 0)</f>
        <v/>
      </c>
      <c r="R1976" s="39" t="n">
        <v>1</v>
      </c>
      <c r="S1976" s="25" t="n">
        <v>2.75</v>
      </c>
      <c r="T1976" s="25" t="n">
        <v>1.68</v>
      </c>
      <c r="U1976" s="42" t="inlineStr">
        <is>
          <t>Tier 1B (Micro Drop, 1-3 km)</t>
        </is>
      </c>
      <c r="V1976" s="24" t="n">
        <v>50</v>
      </c>
      <c r="W1976" s="24" t="n">
        <v>81.59999999999999</v>
      </c>
      <c r="X1976" s="24" t="n">
        <v>58</v>
      </c>
      <c r="Y1976" s="45">
        <f>ROUND((V1976*'Methodology &amp; Assumptions'!$B$6)+(W1976*'Methodology &amp; Assumptions'!$B$5)+(X1976*'Methodology &amp; Assumptions'!$B$7), 2)</f>
        <v/>
      </c>
    </row>
    <row r="1977" ht="19" customHeight="1">
      <c r="A1977" s="35" t="n">
        <v>973</v>
      </c>
      <c r="B1977" s="35" t="n">
        <v>4973</v>
      </c>
      <c r="C1977" s="36" t="inlineStr">
        <is>
          <t>0103301018</t>
        </is>
      </c>
      <c r="D1977" s="36" t="inlineStr">
        <is>
          <t>Region I (Ilocos Region)</t>
        </is>
      </c>
      <c r="E1977" s="36" t="inlineStr">
        <is>
          <t>La Union</t>
        </is>
      </c>
      <c r="F1977" s="36" t="inlineStr">
        <is>
          <t>Agoo</t>
        </is>
      </c>
      <c r="G1977" s="36" t="inlineStr">
        <is>
          <t>San Joaquin Sur</t>
        </is>
      </c>
      <c r="H1977" s="37" t="n">
        <v>16.314102</v>
      </c>
      <c r="I1977" s="37" t="n">
        <v>120.367708</v>
      </c>
      <c r="J1977" s="8" t="inlineStr">
        <is>
          <t>R</t>
        </is>
      </c>
      <c r="K1977" s="36" t="inlineStr">
        <is>
          <t>Class 1-3 / Urban</t>
        </is>
      </c>
      <c r="L1977" s="18" t="n">
        <v>1506</v>
      </c>
      <c r="M1977" s="20" t="n">
        <v>4.42</v>
      </c>
      <c r="N1977" s="18">
        <f>ROUND(L1977/M1977, 0)</f>
        <v/>
      </c>
      <c r="O1977" s="18">
        <f>ROUND(N1977*'Methodology &amp; Assumptions'!$B$8, 0)</f>
        <v/>
      </c>
      <c r="P1977" s="8" t="inlineStr">
        <is>
          <t>Band n50 (1.5 GHz, 60 MHz)</t>
        </is>
      </c>
      <c r="Q1977" s="38">
        <f>ROUNDUP(O1977/'Methodology &amp; Assumptions'!$B$9, 0)</f>
        <v/>
      </c>
      <c r="R1977" s="39" t="n">
        <v>1</v>
      </c>
      <c r="S1977" s="21" t="n">
        <v>1.05</v>
      </c>
      <c r="T1977" s="21" t="n">
        <v>0.23</v>
      </c>
      <c r="U1977" s="36" t="inlineStr">
        <is>
          <t>Tier 1B (Micro Drop, 1-3 km)</t>
        </is>
      </c>
      <c r="V1977" s="20" t="n">
        <v>80.40000000000001</v>
      </c>
      <c r="W1977" s="20" t="n">
        <v>51.2</v>
      </c>
      <c r="X1977" s="20" t="n">
        <v>58</v>
      </c>
      <c r="Y1977" s="40">
        <f>ROUND((V1977*'Methodology &amp; Assumptions'!$B$6)+(W1977*'Methodology &amp; Assumptions'!$B$5)+(X1977*'Methodology &amp; Assumptions'!$B$7), 2)</f>
        <v/>
      </c>
    </row>
    <row r="1978" ht="19" customHeight="1">
      <c r="A1978" s="41" t="n">
        <v>974</v>
      </c>
      <c r="B1978" s="41" t="n">
        <v>4974</v>
      </c>
      <c r="C1978" s="42" t="inlineStr">
        <is>
          <t>0405645006</t>
        </is>
      </c>
      <c r="D1978" s="42" t="inlineStr">
        <is>
          <t>Region IV-A (CALABARZON)</t>
        </is>
      </c>
      <c r="E1978" s="42" t="inlineStr">
        <is>
          <t>Quezon</t>
        </is>
      </c>
      <c r="F1978" s="42" t="inlineStr">
        <is>
          <t>Sariaya</t>
        </is>
      </c>
      <c r="G1978" s="42" t="inlineStr">
        <is>
          <t>Bignay 1</t>
        </is>
      </c>
      <c r="H1978" s="43" t="n">
        <v>13.863104</v>
      </c>
      <c r="I1978" s="43" t="n">
        <v>121.487556</v>
      </c>
      <c r="J1978" s="44" t="inlineStr">
        <is>
          <t>U</t>
        </is>
      </c>
      <c r="K1978" s="42" t="inlineStr">
        <is>
          <t>Class 1-3 / Urban</t>
        </is>
      </c>
      <c r="L1978" s="23" t="n">
        <v>6105</v>
      </c>
      <c r="M1978" s="24" t="n">
        <v>4.46</v>
      </c>
      <c r="N1978" s="23">
        <f>ROUND(L1978/M1978, 0)</f>
        <v/>
      </c>
      <c r="O1978" s="23">
        <f>ROUND(N1978*'Methodology &amp; Assumptions'!$B$8, 0)</f>
        <v/>
      </c>
      <c r="P1978" s="44" t="inlineStr">
        <is>
          <t>Band n50 (1.5 GHz, 60 MHz)</t>
        </is>
      </c>
      <c r="Q1978" s="38">
        <f>ROUNDUP(O1978/'Methodology &amp; Assumptions'!$B$9, 0)</f>
        <v/>
      </c>
      <c r="R1978" s="39" t="n">
        <v>1</v>
      </c>
      <c r="S1978" s="25" t="n">
        <v>2.25</v>
      </c>
      <c r="T1978" s="25" t="n">
        <v>1.1</v>
      </c>
      <c r="U1978" s="42" t="inlineStr">
        <is>
          <t>Tier 1B (Micro Drop, 1-3 km)</t>
        </is>
      </c>
      <c r="V1978" s="24" t="n">
        <v>57.3</v>
      </c>
      <c r="W1978" s="24" t="n">
        <v>100</v>
      </c>
      <c r="X1978" s="24" t="n">
        <v>28</v>
      </c>
      <c r="Y1978" s="45">
        <f>ROUND((V1978*'Methodology &amp; Assumptions'!$B$6)+(W1978*'Methodology &amp; Assumptions'!$B$5)+(X1978*'Methodology &amp; Assumptions'!$B$7), 2)</f>
        <v/>
      </c>
    </row>
    <row r="1979" ht="19" customHeight="1">
      <c r="A1979" s="35" t="n">
        <v>975</v>
      </c>
      <c r="B1979" s="35" t="n">
        <v>4975</v>
      </c>
      <c r="C1979" s="36" t="inlineStr">
        <is>
          <t>0631000048</t>
        </is>
      </c>
      <c r="D1979" s="36" t="inlineStr">
        <is>
          <t>Region VI (Western Visayas)</t>
        </is>
      </c>
      <c r="E1979" s="36" t="inlineStr">
        <is>
          <t>Iloilo</t>
        </is>
      </c>
      <c r="F1979" s="36" t="inlineStr">
        <is>
          <t>City of Iloilo</t>
        </is>
      </c>
      <c r="G1979" s="36" t="inlineStr">
        <is>
          <t>Dulonan</t>
        </is>
      </c>
      <c r="H1979" s="37" t="n">
        <v>10.690774</v>
      </c>
      <c r="I1979" s="37" t="n">
        <v>122.527433</v>
      </c>
      <c r="J1979" s="8" t="inlineStr">
        <is>
          <t>U</t>
        </is>
      </c>
      <c r="K1979" s="36" t="inlineStr">
        <is>
          <t>Class 1-3 / Urban</t>
        </is>
      </c>
      <c r="L1979" s="18" t="n">
        <v>4616</v>
      </c>
      <c r="M1979" s="20" t="n">
        <v>4.39</v>
      </c>
      <c r="N1979" s="18">
        <f>ROUND(L1979/M1979, 0)</f>
        <v/>
      </c>
      <c r="O1979" s="18">
        <f>ROUND(N1979*'Methodology &amp; Assumptions'!$B$8, 0)</f>
        <v/>
      </c>
      <c r="P1979" s="8" t="inlineStr">
        <is>
          <t>Band n50 (1.5 GHz, 60 MHz)</t>
        </is>
      </c>
      <c r="Q1979" s="38">
        <f>ROUNDUP(O1979/'Methodology &amp; Assumptions'!$B$9, 0)</f>
        <v/>
      </c>
      <c r="R1979" s="39" t="n">
        <v>1</v>
      </c>
      <c r="S1979" s="21" t="n">
        <v>1.67</v>
      </c>
      <c r="T1979" s="21" t="n">
        <v>3.17</v>
      </c>
      <c r="U1979" s="36" t="inlineStr">
        <is>
          <t>Tier 1B (Micro Drop, 1-3 km)</t>
        </is>
      </c>
      <c r="V1979" s="20" t="n">
        <v>57.3</v>
      </c>
      <c r="W1979" s="20" t="n">
        <v>100</v>
      </c>
      <c r="X1979" s="20" t="n">
        <v>28</v>
      </c>
      <c r="Y1979" s="40">
        <f>ROUND((V1979*'Methodology &amp; Assumptions'!$B$6)+(W1979*'Methodology &amp; Assumptions'!$B$5)+(X1979*'Methodology &amp; Assumptions'!$B$7), 2)</f>
        <v/>
      </c>
    </row>
    <row r="1980" ht="19" customHeight="1">
      <c r="A1980" s="41" t="n">
        <v>976</v>
      </c>
      <c r="B1980" s="41" t="n">
        <v>4976</v>
      </c>
      <c r="C1980" s="42" t="inlineStr">
        <is>
          <t>1402709006</t>
        </is>
      </c>
      <c r="D1980" s="42" t="inlineStr">
        <is>
          <t>Cordillera Administrative Region (CAR)</t>
        </is>
      </c>
      <c r="E1980" s="42" t="inlineStr">
        <is>
          <t>Ifugao</t>
        </is>
      </c>
      <c r="F1980" s="42" t="inlineStr">
        <is>
          <t>Hingyon</t>
        </is>
      </c>
      <c r="G1980" s="42" t="inlineStr">
        <is>
          <t>Namulditan</t>
        </is>
      </c>
      <c r="H1980" s="43" t="n">
        <v>16.847633</v>
      </c>
      <c r="I1980" s="43" t="n">
        <v>121.081664</v>
      </c>
      <c r="J1980" s="44" t="inlineStr">
        <is>
          <t>R</t>
        </is>
      </c>
      <c r="K1980" s="42" t="inlineStr">
        <is>
          <t>5th</t>
        </is>
      </c>
      <c r="L1980" s="23" t="n">
        <v>1006</v>
      </c>
      <c r="M1980" s="24" t="n">
        <v>4.51</v>
      </c>
      <c r="N1980" s="23">
        <f>ROUND(L1980/M1980, 0)</f>
        <v/>
      </c>
      <c r="O1980" s="23">
        <f>ROUND(N1980*'Methodology &amp; Assumptions'!$B$8, 0)</f>
        <v/>
      </c>
      <c r="P1980" s="44" t="inlineStr">
        <is>
          <t>Band n50 (1.5 GHz, 60 MHz)</t>
        </is>
      </c>
      <c r="Q1980" s="38">
        <f>ROUNDUP(O1980/'Methodology &amp; Assumptions'!$B$9, 0)</f>
        <v/>
      </c>
      <c r="R1980" s="39" t="n">
        <v>1</v>
      </c>
      <c r="S1980" s="25" t="n">
        <v>1.03</v>
      </c>
      <c r="T1980" s="25" t="n">
        <v>0.24</v>
      </c>
      <c r="U1980" s="42" t="inlineStr">
        <is>
          <t>Tier 1B (Micro Drop, 1-3 km)</t>
        </is>
      </c>
      <c r="V1980" s="24" t="n">
        <v>80.8</v>
      </c>
      <c r="W1980" s="24" t="n">
        <v>37.9</v>
      </c>
      <c r="X1980" s="24" t="n">
        <v>73</v>
      </c>
      <c r="Y1980" s="45">
        <f>ROUND((V1980*'Methodology &amp; Assumptions'!$B$6)+(W1980*'Methodology &amp; Assumptions'!$B$5)+(X1980*'Methodology &amp; Assumptions'!$B$7), 2)</f>
        <v/>
      </c>
    </row>
    <row r="1981" ht="19" customHeight="1">
      <c r="A1981" s="35" t="n">
        <v>977</v>
      </c>
      <c r="B1981" s="35" t="n">
        <v>4977</v>
      </c>
      <c r="C1981" s="36" t="inlineStr">
        <is>
          <t>0305407011</t>
        </is>
      </c>
      <c r="D1981" s="36" t="inlineStr">
        <is>
          <t>Region III (Central Luzon)</t>
        </is>
      </c>
      <c r="E1981" s="36" t="inlineStr">
        <is>
          <t>Pampanga</t>
        </is>
      </c>
      <c r="F1981" s="36" t="inlineStr">
        <is>
          <t>Guagua</t>
        </is>
      </c>
      <c r="G1981" s="36" t="inlineStr">
        <is>
          <t>Rizal</t>
        </is>
      </c>
      <c r="H1981" s="37" t="n">
        <v>14.976325</v>
      </c>
      <c r="I1981" s="37" t="n">
        <v>120.59</v>
      </c>
      <c r="J1981" s="8" t="inlineStr">
        <is>
          <t>R</t>
        </is>
      </c>
      <c r="K1981" s="36" t="inlineStr">
        <is>
          <t>Class 1-3 / Urban</t>
        </is>
      </c>
      <c r="L1981" s="18" t="n">
        <v>4241</v>
      </c>
      <c r="M1981" s="20" t="n">
        <v>4.63</v>
      </c>
      <c r="N1981" s="18">
        <f>ROUND(L1981/M1981, 0)</f>
        <v/>
      </c>
      <c r="O1981" s="18">
        <f>ROUND(N1981*'Methodology &amp; Assumptions'!$B$8, 0)</f>
        <v/>
      </c>
      <c r="P1981" s="8" t="inlineStr">
        <is>
          <t>Band n50 (1.5 GHz, 60 MHz)</t>
        </is>
      </c>
      <c r="Q1981" s="38">
        <f>ROUNDUP(O1981/'Methodology &amp; Assumptions'!$B$9, 0)</f>
        <v/>
      </c>
      <c r="R1981" s="39" t="n">
        <v>1</v>
      </c>
      <c r="S1981" s="21" t="n">
        <v>4.25</v>
      </c>
      <c r="T1981" s="21" t="n">
        <v>1.71</v>
      </c>
      <c r="U1981" s="36" t="inlineStr">
        <is>
          <t>Tier 2 (Fiber Corridor / Lateral, 3-5 km)</t>
        </is>
      </c>
      <c r="V1981" s="20" t="n">
        <v>34.2</v>
      </c>
      <c r="W1981" s="20" t="n">
        <v>97.3</v>
      </c>
      <c r="X1981" s="20" t="n">
        <v>58</v>
      </c>
      <c r="Y1981" s="40">
        <f>ROUND((V1981*'Methodology &amp; Assumptions'!$B$6)+(W1981*'Methodology &amp; Assumptions'!$B$5)+(X1981*'Methodology &amp; Assumptions'!$B$7), 2)</f>
        <v/>
      </c>
    </row>
    <row r="1982" ht="19" customHeight="1">
      <c r="A1982" s="41" t="n">
        <v>978</v>
      </c>
      <c r="B1982" s="41" t="n">
        <v>4978</v>
      </c>
      <c r="C1982" s="42" t="inlineStr">
        <is>
          <t>0203125019</t>
        </is>
      </c>
      <c r="D1982" s="42" t="inlineStr">
        <is>
          <t>Region II (Cagayan Valley)</t>
        </is>
      </c>
      <c r="E1982" s="42" t="inlineStr">
        <is>
          <t>Isabela</t>
        </is>
      </c>
      <c r="F1982" s="42" t="inlineStr">
        <is>
          <t>Reina Mercedes</t>
        </is>
      </c>
      <c r="G1982" s="42" t="inlineStr">
        <is>
          <t>Turod</t>
        </is>
      </c>
      <c r="H1982" s="43" t="n">
        <v>17.002344</v>
      </c>
      <c r="I1982" s="43" t="n">
        <v>121.790773</v>
      </c>
      <c r="J1982" s="44" t="inlineStr">
        <is>
          <t>R</t>
        </is>
      </c>
      <c r="K1982" s="42" t="inlineStr">
        <is>
          <t>1st</t>
        </is>
      </c>
      <c r="L1982" s="23" t="n">
        <v>3176</v>
      </c>
      <c r="M1982" s="24" t="n">
        <v>4.3</v>
      </c>
      <c r="N1982" s="23">
        <f>ROUND(L1982/M1982, 0)</f>
        <v/>
      </c>
      <c r="O1982" s="23">
        <f>ROUND(N1982*'Methodology &amp; Assumptions'!$B$8, 0)</f>
        <v/>
      </c>
      <c r="P1982" s="44" t="inlineStr">
        <is>
          <t>Band n50 (1.5 GHz, 60 MHz)</t>
        </is>
      </c>
      <c r="Q1982" s="38">
        <f>ROUNDUP(O1982/'Methodology &amp; Assumptions'!$B$9, 0)</f>
        <v/>
      </c>
      <c r="R1982" s="39" t="n">
        <v>1</v>
      </c>
      <c r="S1982" s="25" t="n">
        <v>2.87</v>
      </c>
      <c r="T1982" s="25" t="n">
        <v>1.56</v>
      </c>
      <c r="U1982" s="42" t="inlineStr">
        <is>
          <t>Tier 1B (Micro Drop, 1-3 km)</t>
        </is>
      </c>
      <c r="V1982" s="24" t="n">
        <v>48.4</v>
      </c>
      <c r="W1982" s="24" t="n">
        <v>83.2</v>
      </c>
      <c r="X1982" s="24" t="n">
        <v>58</v>
      </c>
      <c r="Y1982" s="45">
        <f>ROUND((V1982*'Methodology &amp; Assumptions'!$B$6)+(W1982*'Methodology &amp; Assumptions'!$B$5)+(X1982*'Methodology &amp; Assumptions'!$B$7), 2)</f>
        <v/>
      </c>
    </row>
    <row r="1983" ht="19" customHeight="1">
      <c r="A1983" s="35" t="n">
        <v>979</v>
      </c>
      <c r="B1983" s="35" t="n">
        <v>4979</v>
      </c>
      <c r="C1983" s="36" t="inlineStr">
        <is>
          <t>0401003043</t>
        </is>
      </c>
      <c r="D1983" s="36" t="inlineStr">
        <is>
          <t>Region IV-A (CALABARZON)</t>
        </is>
      </c>
      <c r="E1983" s="36" t="inlineStr">
        <is>
          <t>Batangas</t>
        </is>
      </c>
      <c r="F1983" s="36" t="inlineStr">
        <is>
          <t>Balayan</t>
        </is>
      </c>
      <c r="G1983" s="36" t="inlineStr">
        <is>
          <t>Sambat</t>
        </is>
      </c>
      <c r="H1983" s="37" t="n">
        <v>13.949998</v>
      </c>
      <c r="I1983" s="37" t="n">
        <v>120.706435</v>
      </c>
      <c r="J1983" s="8" t="inlineStr">
        <is>
          <t>R</t>
        </is>
      </c>
      <c r="K1983" s="36" t="inlineStr">
        <is>
          <t>Class 1-3 / Urban</t>
        </is>
      </c>
      <c r="L1983" s="18" t="n">
        <v>3078</v>
      </c>
      <c r="M1983" s="20" t="n">
        <v>4.62</v>
      </c>
      <c r="N1983" s="18">
        <f>ROUND(L1983/M1983, 0)</f>
        <v/>
      </c>
      <c r="O1983" s="18">
        <f>ROUND(N1983*'Methodology &amp; Assumptions'!$B$8, 0)</f>
        <v/>
      </c>
      <c r="P1983" s="8" t="inlineStr">
        <is>
          <t>Band n50 (1.5 GHz, 60 MHz)</t>
        </is>
      </c>
      <c r="Q1983" s="38">
        <f>ROUNDUP(O1983/'Methodology &amp; Assumptions'!$B$9, 0)</f>
        <v/>
      </c>
      <c r="R1983" s="39" t="n">
        <v>1</v>
      </c>
      <c r="S1983" s="21" t="n">
        <v>2.45</v>
      </c>
      <c r="T1983" s="21" t="n">
        <v>0.1</v>
      </c>
      <c r="U1983" s="36" t="inlineStr">
        <is>
          <t>Tier 1B (Micro Drop, 1-3 km)</t>
        </is>
      </c>
      <c r="V1983" s="20" t="n">
        <v>54.2</v>
      </c>
      <c r="W1983" s="20" t="n">
        <v>77.3</v>
      </c>
      <c r="X1983" s="20" t="n">
        <v>58</v>
      </c>
      <c r="Y1983" s="40">
        <f>ROUND((V1983*'Methodology &amp; Assumptions'!$B$6)+(W1983*'Methodology &amp; Assumptions'!$B$5)+(X1983*'Methodology &amp; Assumptions'!$B$7), 2)</f>
        <v/>
      </c>
    </row>
    <row r="1984" ht="19" customHeight="1">
      <c r="A1984" s="41" t="n">
        <v>980</v>
      </c>
      <c r="B1984" s="41" t="n">
        <v>4980</v>
      </c>
      <c r="C1984" s="42" t="inlineStr">
        <is>
          <t>1403213015</t>
        </is>
      </c>
      <c r="D1984" s="42" t="inlineStr">
        <is>
          <t>Cordillera Administrative Region (CAR)</t>
        </is>
      </c>
      <c r="E1984" s="42" t="inlineStr">
        <is>
          <t>Kalinga</t>
        </is>
      </c>
      <c r="F1984" s="42" t="inlineStr">
        <is>
          <t>City of Tabuk</t>
        </is>
      </c>
      <c r="G1984" s="42" t="inlineStr">
        <is>
          <t>Gobgob</t>
        </is>
      </c>
      <c r="H1984" s="43" t="n">
        <v>17.472531</v>
      </c>
      <c r="I1984" s="43" t="n">
        <v>121.430916</v>
      </c>
      <c r="J1984" s="44" t="inlineStr">
        <is>
          <t>R</t>
        </is>
      </c>
      <c r="K1984" s="42" t="inlineStr">
        <is>
          <t>Class 1-3 / Urban</t>
        </is>
      </c>
      <c r="L1984" s="23" t="n">
        <v>2251</v>
      </c>
      <c r="M1984" s="24" t="n">
        <v>5.34</v>
      </c>
      <c r="N1984" s="23">
        <f>ROUND(L1984/M1984, 0)</f>
        <v/>
      </c>
      <c r="O1984" s="23">
        <f>ROUND(N1984*'Methodology &amp; Assumptions'!$B$8, 0)</f>
        <v/>
      </c>
      <c r="P1984" s="44" t="inlineStr">
        <is>
          <t>Band n50 (1.5 GHz, 60 MHz)</t>
        </is>
      </c>
      <c r="Q1984" s="38">
        <f>ROUNDUP(O1984/'Methodology &amp; Assumptions'!$B$9, 0)</f>
        <v/>
      </c>
      <c r="R1984" s="39" t="n">
        <v>1</v>
      </c>
      <c r="S1984" s="25" t="n">
        <v>1.17</v>
      </c>
      <c r="T1984" s="25" t="n">
        <v>0.38</v>
      </c>
      <c r="U1984" s="42" t="inlineStr">
        <is>
          <t>Tier 1B (Micro Drop, 1-3 km)</t>
        </is>
      </c>
      <c r="V1984" s="24" t="n">
        <v>77.7</v>
      </c>
      <c r="W1984" s="24" t="n">
        <v>53.9</v>
      </c>
      <c r="X1984" s="24" t="n">
        <v>58</v>
      </c>
      <c r="Y1984" s="45">
        <f>ROUND((V1984*'Methodology &amp; Assumptions'!$B$6)+(W1984*'Methodology &amp; Assumptions'!$B$5)+(X1984*'Methodology &amp; Assumptions'!$B$7), 2)</f>
        <v/>
      </c>
    </row>
    <row r="1985" ht="19" customHeight="1">
      <c r="A1985" s="35" t="n">
        <v>981</v>
      </c>
      <c r="B1985" s="35" t="n">
        <v>4981</v>
      </c>
      <c r="C1985" s="36" t="inlineStr">
        <is>
          <t>0704623021</t>
        </is>
      </c>
      <c r="D1985" s="36" t="inlineStr">
        <is>
          <t>Region VII (Central Visayas)</t>
        </is>
      </c>
      <c r="E1985" s="36" t="inlineStr">
        <is>
          <t>Negros Oriental</t>
        </is>
      </c>
      <c r="F1985" s="36" t="inlineStr">
        <is>
          <t>Valencia</t>
        </is>
      </c>
      <c r="G1985" s="36" t="inlineStr">
        <is>
          <t>South Poblacion</t>
        </is>
      </c>
      <c r="H1985" s="37" t="n">
        <v>9.280369</v>
      </c>
      <c r="I1985" s="37" t="n">
        <v>123.2433</v>
      </c>
      <c r="J1985" s="8" t="inlineStr">
        <is>
          <t>R</t>
        </is>
      </c>
      <c r="K1985" s="36" t="inlineStr">
        <is>
          <t>Class 1-3 / Urban</t>
        </is>
      </c>
      <c r="L1985" s="18" t="n">
        <v>557</v>
      </c>
      <c r="M1985" s="20" t="n">
        <v>4.33</v>
      </c>
      <c r="N1985" s="18">
        <f>ROUND(L1985/M1985, 0)</f>
        <v/>
      </c>
      <c r="O1985" s="18">
        <f>ROUND(N1985*'Methodology &amp; Assumptions'!$B$8, 0)</f>
        <v/>
      </c>
      <c r="P1985" s="8" t="inlineStr">
        <is>
          <t>Band n50 (1.5 GHz, 60 MHz)</t>
        </is>
      </c>
      <c r="Q1985" s="38">
        <f>ROUNDUP(O1985/'Methodology &amp; Assumptions'!$B$9, 0)</f>
        <v/>
      </c>
      <c r="R1985" s="39" t="n">
        <v>1</v>
      </c>
      <c r="S1985" s="21" t="n">
        <v>0.09</v>
      </c>
      <c r="T1985" s="21" t="n">
        <v>5.46</v>
      </c>
      <c r="U1985" s="36" t="inlineStr">
        <is>
          <t>Tier 1A (Direct Coloc, &lt;1 km)</t>
        </is>
      </c>
      <c r="V1985" s="20" t="n">
        <v>97.2</v>
      </c>
      <c r="W1985" s="20" t="n">
        <v>34.4</v>
      </c>
      <c r="X1985" s="20" t="n">
        <v>58</v>
      </c>
      <c r="Y1985" s="40">
        <f>ROUND((V1985*'Methodology &amp; Assumptions'!$B$6)+(W1985*'Methodology &amp; Assumptions'!$B$5)+(X1985*'Methodology &amp; Assumptions'!$B$7), 2)</f>
        <v/>
      </c>
    </row>
    <row r="1986" ht="19" customHeight="1">
      <c r="A1986" s="41" t="n">
        <v>982</v>
      </c>
      <c r="B1986" s="41" t="n">
        <v>4982</v>
      </c>
      <c r="C1986" s="42" t="inlineStr">
        <is>
          <t>0730600085</t>
        </is>
      </c>
      <c r="D1986" s="42" t="inlineStr">
        <is>
          <t>Region VII (Central Visayas)</t>
        </is>
      </c>
      <c r="E1986" s="42" t="inlineStr">
        <is>
          <t>Cebu</t>
        </is>
      </c>
      <c r="F1986" s="42" t="inlineStr">
        <is>
          <t>City of Cebu</t>
        </is>
      </c>
      <c r="G1986" s="42" t="inlineStr">
        <is>
          <t>Tisa</t>
        </is>
      </c>
      <c r="H1986" s="43" t="n">
        <v>10.301201</v>
      </c>
      <c r="I1986" s="43" t="n">
        <v>123.869554</v>
      </c>
      <c r="J1986" s="44" t="inlineStr">
        <is>
          <t>U</t>
        </is>
      </c>
      <c r="K1986" s="42" t="inlineStr">
        <is>
          <t>Class 1-3 / Urban</t>
        </is>
      </c>
      <c r="L1986" s="23" t="n">
        <v>47364</v>
      </c>
      <c r="M1986" s="24" t="n">
        <v>4.42</v>
      </c>
      <c r="N1986" s="23">
        <f>ROUND(L1986/M1986, 0)</f>
        <v/>
      </c>
      <c r="O1986" s="23">
        <f>ROUND(N1986*'Methodology &amp; Assumptions'!$B$8, 0)</f>
        <v/>
      </c>
      <c r="P1986" s="44" t="inlineStr">
        <is>
          <t>Band n50 (1.5 GHz, 60 MHz)</t>
        </is>
      </c>
      <c r="Q1986" s="38">
        <f>ROUNDUP(O1986/'Methodology &amp; Assumptions'!$B$9, 0)</f>
        <v/>
      </c>
      <c r="R1986" s="39" t="n">
        <v>1</v>
      </c>
      <c r="S1986" s="25" t="n">
        <v>2.06</v>
      </c>
      <c r="T1986" s="25" t="n">
        <v>1.27</v>
      </c>
      <c r="U1986" s="42" t="inlineStr">
        <is>
          <t>Tier 1B (Micro Drop, 1-3 km)</t>
        </is>
      </c>
      <c r="V1986" s="24" t="n">
        <v>60.3</v>
      </c>
      <c r="W1986" s="24" t="n">
        <v>97</v>
      </c>
      <c r="X1986" s="24" t="n">
        <v>28</v>
      </c>
      <c r="Y1986" s="45">
        <f>ROUND((V1986*'Methodology &amp; Assumptions'!$B$6)+(W1986*'Methodology &amp; Assumptions'!$B$5)+(X1986*'Methodology &amp; Assumptions'!$B$7), 2)</f>
        <v/>
      </c>
    </row>
    <row r="1987" ht="19" customHeight="1">
      <c r="A1987" s="35" t="n">
        <v>983</v>
      </c>
      <c r="B1987" s="35" t="n">
        <v>4983</v>
      </c>
      <c r="C1987" s="36" t="inlineStr">
        <is>
          <t>0401014071</t>
        </is>
      </c>
      <c r="D1987" s="36" t="inlineStr">
        <is>
          <t>Region IV-A (CALABARZON)</t>
        </is>
      </c>
      <c r="E1987" s="36" t="inlineStr">
        <is>
          <t>Batangas</t>
        </is>
      </c>
      <c r="F1987" s="36" t="inlineStr">
        <is>
          <t>City of Lipa</t>
        </is>
      </c>
      <c r="G1987" s="36" t="inlineStr">
        <is>
          <t>Tambo</t>
        </is>
      </c>
      <c r="H1987" s="37" t="n">
        <v>13.945207</v>
      </c>
      <c r="I1987" s="37" t="n">
        <v>121.138761</v>
      </c>
      <c r="J1987" s="8" t="inlineStr">
        <is>
          <t>U</t>
        </is>
      </c>
      <c r="K1987" s="36" t="inlineStr">
        <is>
          <t>Class 1-3 / Urban</t>
        </is>
      </c>
      <c r="L1987" s="18" t="n">
        <v>12572</v>
      </c>
      <c r="M1987" s="20" t="n">
        <v>4.62</v>
      </c>
      <c r="N1987" s="18">
        <f>ROUND(L1987/M1987, 0)</f>
        <v/>
      </c>
      <c r="O1987" s="18">
        <f>ROUND(N1987*'Methodology &amp; Assumptions'!$B$8, 0)</f>
        <v/>
      </c>
      <c r="P1987" s="8" t="inlineStr">
        <is>
          <t>Band n50 (1.5 GHz, 60 MHz)</t>
        </is>
      </c>
      <c r="Q1987" s="38">
        <f>ROUNDUP(O1987/'Methodology &amp; Assumptions'!$B$9, 0)</f>
        <v/>
      </c>
      <c r="R1987" s="39" t="n">
        <v>1</v>
      </c>
      <c r="S1987" s="21" t="n">
        <v>2.25</v>
      </c>
      <c r="T1987" s="21" t="n">
        <v>0.4</v>
      </c>
      <c r="U1987" s="36" t="inlineStr">
        <is>
          <t>Tier 1B (Micro Drop, 1-3 km)</t>
        </is>
      </c>
      <c r="V1987" s="20" t="n">
        <v>57.3</v>
      </c>
      <c r="W1987" s="20" t="n">
        <v>100</v>
      </c>
      <c r="X1987" s="20" t="n">
        <v>28</v>
      </c>
      <c r="Y1987" s="40">
        <f>ROUND((V1987*'Methodology &amp; Assumptions'!$B$6)+(W1987*'Methodology &amp; Assumptions'!$B$5)+(X1987*'Methodology &amp; Assumptions'!$B$7), 2)</f>
        <v/>
      </c>
    </row>
    <row r="1988" ht="19" customHeight="1">
      <c r="A1988" s="41" t="n">
        <v>984</v>
      </c>
      <c r="B1988" s="41" t="n">
        <v>4984</v>
      </c>
      <c r="C1988" s="42" t="inlineStr">
        <is>
          <t>0401014022</t>
        </is>
      </c>
      <c r="D1988" s="42" t="inlineStr">
        <is>
          <t>Region IV-A (CALABARZON)</t>
        </is>
      </c>
      <c r="E1988" s="42" t="inlineStr">
        <is>
          <t>Batangas</t>
        </is>
      </c>
      <c r="F1988" s="42" t="inlineStr">
        <is>
          <t>City of Lipa</t>
        </is>
      </c>
      <c r="G1988" s="42" t="inlineStr">
        <is>
          <t>Kayumanggi</t>
        </is>
      </c>
      <c r="H1988" s="43" t="n">
        <v>13.925755</v>
      </c>
      <c r="I1988" s="43" t="n">
        <v>121.15801</v>
      </c>
      <c r="J1988" s="44" t="inlineStr">
        <is>
          <t>U</t>
        </is>
      </c>
      <c r="K1988" s="42" t="inlineStr">
        <is>
          <t>Class 1-3 / Urban</t>
        </is>
      </c>
      <c r="L1988" s="23" t="n">
        <v>7750</v>
      </c>
      <c r="M1988" s="24" t="n">
        <v>4.62</v>
      </c>
      <c r="N1988" s="23">
        <f>ROUND(L1988/M1988, 0)</f>
        <v/>
      </c>
      <c r="O1988" s="23">
        <f>ROUND(N1988*'Methodology &amp; Assumptions'!$B$8, 0)</f>
        <v/>
      </c>
      <c r="P1988" s="44" t="inlineStr">
        <is>
          <t>Band n50 (1.5 GHz, 60 MHz)</t>
        </is>
      </c>
      <c r="Q1988" s="38">
        <f>ROUNDUP(O1988/'Methodology &amp; Assumptions'!$B$9, 0)</f>
        <v/>
      </c>
      <c r="R1988" s="39" t="n">
        <v>1</v>
      </c>
      <c r="S1988" s="25" t="n">
        <v>2.25</v>
      </c>
      <c r="T1988" s="25" t="n">
        <v>0.85</v>
      </c>
      <c r="U1988" s="42" t="inlineStr">
        <is>
          <t>Tier 1B (Micro Drop, 1-3 km)</t>
        </is>
      </c>
      <c r="V1988" s="24" t="n">
        <v>57.3</v>
      </c>
      <c r="W1988" s="24" t="n">
        <v>100</v>
      </c>
      <c r="X1988" s="24" t="n">
        <v>28</v>
      </c>
      <c r="Y1988" s="45">
        <f>ROUND((V1988*'Methodology &amp; Assumptions'!$B$6)+(W1988*'Methodology &amp; Assumptions'!$B$5)+(X1988*'Methodology &amp; Assumptions'!$B$7), 2)</f>
        <v/>
      </c>
    </row>
    <row r="1989" ht="19" customHeight="1">
      <c r="A1989" s="35" t="n">
        <v>985</v>
      </c>
      <c r="B1989" s="35" t="n">
        <v>4985</v>
      </c>
      <c r="C1989" s="36" t="inlineStr">
        <is>
          <t>0301406001</t>
        </is>
      </c>
      <c r="D1989" s="36" t="inlineStr">
        <is>
          <t>Region III (Central Luzon)</t>
        </is>
      </c>
      <c r="E1989" s="36" t="inlineStr">
        <is>
          <t>Bulacan</t>
        </is>
      </c>
      <c r="F1989" s="36" t="inlineStr">
        <is>
          <t>Bustos</t>
        </is>
      </c>
      <c r="G1989" s="36" t="inlineStr">
        <is>
          <t>Bonga Mayor</t>
        </is>
      </c>
      <c r="H1989" s="37" t="n">
        <v>14.954214</v>
      </c>
      <c r="I1989" s="37" t="n">
        <v>120.938981</v>
      </c>
      <c r="J1989" s="8" t="inlineStr">
        <is>
          <t>U</t>
        </is>
      </c>
      <c r="K1989" s="36" t="inlineStr">
        <is>
          <t>Class 1-3 / Urban</t>
        </is>
      </c>
      <c r="L1989" s="18" t="n">
        <v>6494</v>
      </c>
      <c r="M1989" s="20" t="n">
        <v>4.1</v>
      </c>
      <c r="N1989" s="18">
        <f>ROUND(L1989/M1989, 0)</f>
        <v/>
      </c>
      <c r="O1989" s="18">
        <f>ROUND(N1989*'Methodology &amp; Assumptions'!$B$8, 0)</f>
        <v/>
      </c>
      <c r="P1989" s="8" t="inlineStr">
        <is>
          <t>Band n50 (1.5 GHz, 60 MHz)</t>
        </is>
      </c>
      <c r="Q1989" s="38">
        <f>ROUNDUP(O1989/'Methodology &amp; Assumptions'!$B$9, 0)</f>
        <v/>
      </c>
      <c r="R1989" s="39" t="n">
        <v>1</v>
      </c>
      <c r="S1989" s="21" t="n">
        <v>2.25</v>
      </c>
      <c r="T1989" s="21" t="n">
        <v>1.49</v>
      </c>
      <c r="U1989" s="36" t="inlineStr">
        <is>
          <t>Tier 1B (Micro Drop, 1-3 km)</t>
        </is>
      </c>
      <c r="V1989" s="20" t="n">
        <v>57.3</v>
      </c>
      <c r="W1989" s="20" t="n">
        <v>100</v>
      </c>
      <c r="X1989" s="20" t="n">
        <v>28</v>
      </c>
      <c r="Y1989" s="40">
        <f>ROUND((V1989*'Methodology &amp; Assumptions'!$B$6)+(W1989*'Methodology &amp; Assumptions'!$B$5)+(X1989*'Methodology &amp; Assumptions'!$B$7), 2)</f>
        <v/>
      </c>
    </row>
    <row r="1990" ht="19" customHeight="1">
      <c r="A1990" s="41" t="n">
        <v>986</v>
      </c>
      <c r="B1990" s="41" t="n">
        <v>4986</v>
      </c>
      <c r="C1990" s="42" t="inlineStr">
        <is>
          <t>0600402001</t>
        </is>
      </c>
      <c r="D1990" s="42" t="inlineStr">
        <is>
          <t>Region VI (Western Visayas)</t>
        </is>
      </c>
      <c r="E1990" s="42" t="inlineStr">
        <is>
          <t>Aklan</t>
        </is>
      </c>
      <c r="F1990" s="42" t="inlineStr">
        <is>
          <t>Balete</t>
        </is>
      </c>
      <c r="G1990" s="42" t="inlineStr">
        <is>
          <t>Aranas</t>
        </is>
      </c>
      <c r="H1990" s="43" t="n">
        <v>11.565166</v>
      </c>
      <c r="I1990" s="43" t="n">
        <v>122.394444</v>
      </c>
      <c r="J1990" s="44" t="inlineStr">
        <is>
          <t>U</t>
        </is>
      </c>
      <c r="K1990" s="42" t="inlineStr">
        <is>
          <t>3rd</t>
        </is>
      </c>
      <c r="L1990" s="23" t="n">
        <v>5609</v>
      </c>
      <c r="M1990" s="24" t="n">
        <v>4.13</v>
      </c>
      <c r="N1990" s="23">
        <f>ROUND(L1990/M1990, 0)</f>
        <v/>
      </c>
      <c r="O1990" s="23">
        <f>ROUND(N1990*'Methodology &amp; Assumptions'!$B$8, 0)</f>
        <v/>
      </c>
      <c r="P1990" s="44" t="inlineStr">
        <is>
          <t>Band n50 (1.5 GHz, 60 MHz)</t>
        </is>
      </c>
      <c r="Q1990" s="38">
        <f>ROUNDUP(O1990/'Methodology &amp; Assumptions'!$B$9, 0)</f>
        <v/>
      </c>
      <c r="R1990" s="39" t="n">
        <v>1</v>
      </c>
      <c r="S1990" s="25" t="n">
        <v>2.25</v>
      </c>
      <c r="T1990" s="25" t="n">
        <v>0.05</v>
      </c>
      <c r="U1990" s="42" t="inlineStr">
        <is>
          <t>Tier 1B (Micro Drop, 1-3 km)</t>
        </is>
      </c>
      <c r="V1990" s="24" t="n">
        <v>57.3</v>
      </c>
      <c r="W1990" s="24" t="n">
        <v>100</v>
      </c>
      <c r="X1990" s="24" t="n">
        <v>28</v>
      </c>
      <c r="Y1990" s="45">
        <f>ROUND((V1990*'Methodology &amp; Assumptions'!$B$6)+(W1990*'Methodology &amp; Assumptions'!$B$5)+(X1990*'Methodology &amp; Assumptions'!$B$7), 2)</f>
        <v/>
      </c>
    </row>
    <row r="1991" ht="19" customHeight="1">
      <c r="A1991" s="35" t="n">
        <v>987</v>
      </c>
      <c r="B1991" s="35" t="n">
        <v>4987</v>
      </c>
      <c r="C1991" s="36" t="inlineStr">
        <is>
          <t>0105524022</t>
        </is>
      </c>
      <c r="D1991" s="36" t="inlineStr">
        <is>
          <t>Region I (Ilocos Region)</t>
        </is>
      </c>
      <c r="E1991" s="36" t="inlineStr">
        <is>
          <t>Pangasinan</t>
        </is>
      </c>
      <c r="F1991" s="36" t="inlineStr">
        <is>
          <t>Malasiqui</t>
        </is>
      </c>
      <c r="G1991" s="36" t="inlineStr">
        <is>
          <t>Cabatling</t>
        </is>
      </c>
      <c r="H1991" s="37" t="n">
        <v>15.92094</v>
      </c>
      <c r="I1991" s="37" t="n">
        <v>120.432882</v>
      </c>
      <c r="J1991" s="8" t="inlineStr">
        <is>
          <t>R</t>
        </is>
      </c>
      <c r="K1991" s="36" t="inlineStr">
        <is>
          <t>Class 1-3 / Urban</t>
        </is>
      </c>
      <c r="L1991" s="18" t="n">
        <v>2690</v>
      </c>
      <c r="M1991" s="20" t="n">
        <v>4.39</v>
      </c>
      <c r="N1991" s="18">
        <f>ROUND(L1991/M1991, 0)</f>
        <v/>
      </c>
      <c r="O1991" s="18">
        <f>ROUND(N1991*'Methodology &amp; Assumptions'!$B$8, 0)</f>
        <v/>
      </c>
      <c r="P1991" s="8" t="inlineStr">
        <is>
          <t>Band n50 (1.5 GHz, 60 MHz)</t>
        </is>
      </c>
      <c r="Q1991" s="38">
        <f>ROUNDUP(O1991/'Methodology &amp; Assumptions'!$B$9, 0)</f>
        <v/>
      </c>
      <c r="R1991" s="39" t="n">
        <v>1</v>
      </c>
      <c r="S1991" s="21" t="n">
        <v>2.17</v>
      </c>
      <c r="T1991" s="21" t="n">
        <v>1.96</v>
      </c>
      <c r="U1991" s="36" t="inlineStr">
        <is>
          <t>Tier 1B (Micro Drop, 1-3 km)</t>
        </is>
      </c>
      <c r="V1991" s="20" t="n">
        <v>58.5</v>
      </c>
      <c r="W1991" s="20" t="n">
        <v>73.09999999999999</v>
      </c>
      <c r="X1991" s="20" t="n">
        <v>58</v>
      </c>
      <c r="Y1991" s="40">
        <f>ROUND((V1991*'Methodology &amp; Assumptions'!$B$6)+(W1991*'Methodology &amp; Assumptions'!$B$5)+(X1991*'Methodology &amp; Assumptions'!$B$7), 2)</f>
        <v/>
      </c>
    </row>
    <row r="1992" ht="19" customHeight="1">
      <c r="A1992" s="41" t="n">
        <v>988</v>
      </c>
      <c r="B1992" s="41" t="n">
        <v>4988</v>
      </c>
      <c r="C1992" s="42" t="inlineStr">
        <is>
          <t>1705208048</t>
        </is>
      </c>
      <c r="D1992" s="42" t="inlineStr">
        <is>
          <t>MIMAROPA Region</t>
        </is>
      </c>
      <c r="E1992" s="42" t="inlineStr">
        <is>
          <t>Oriental Mindoro</t>
        </is>
      </c>
      <c r="F1992" s="42" t="inlineStr">
        <is>
          <t>Naujan</t>
        </is>
      </c>
      <c r="G1992" s="42" t="inlineStr">
        <is>
          <t>Poblacion III</t>
        </is>
      </c>
      <c r="H1992" s="43" t="n">
        <v>13.320771</v>
      </c>
      <c r="I1992" s="43" t="n">
        <v>121.303934</v>
      </c>
      <c r="J1992" s="44" t="inlineStr">
        <is>
          <t>R</t>
        </is>
      </c>
      <c r="K1992" s="42" t="inlineStr">
        <is>
          <t>Class 1-3 / Urban</t>
        </is>
      </c>
      <c r="L1992" s="23" t="n">
        <v>1045</v>
      </c>
      <c r="M1992" s="24" t="n">
        <v>4.41</v>
      </c>
      <c r="N1992" s="23">
        <f>ROUND(L1992/M1992, 0)</f>
        <v/>
      </c>
      <c r="O1992" s="23">
        <f>ROUND(N1992*'Methodology &amp; Assumptions'!$B$8, 0)</f>
        <v/>
      </c>
      <c r="P1992" s="44" t="inlineStr">
        <is>
          <t>Band n50 (1.5 GHz, 60 MHz)</t>
        </is>
      </c>
      <c r="Q1992" s="38">
        <f>ROUNDUP(O1992/'Methodology &amp; Assumptions'!$B$9, 0)</f>
        <v/>
      </c>
      <c r="R1992" s="39" t="n">
        <v>1</v>
      </c>
      <c r="S1992" s="25" t="n">
        <v>0.23</v>
      </c>
      <c r="T1992" s="25" t="n">
        <v>7.01</v>
      </c>
      <c r="U1992" s="42" t="inlineStr">
        <is>
          <t>Tier 1A (Direct Coloc, &lt;1 km)</t>
        </is>
      </c>
      <c r="V1992" s="24" t="n">
        <v>92.59999999999999</v>
      </c>
      <c r="W1992" s="24" t="n">
        <v>38.9</v>
      </c>
      <c r="X1992" s="24" t="n">
        <v>58</v>
      </c>
      <c r="Y1992" s="45">
        <f>ROUND((V1992*'Methodology &amp; Assumptions'!$B$6)+(W1992*'Methodology &amp; Assumptions'!$B$5)+(X1992*'Methodology &amp; Assumptions'!$B$7), 2)</f>
        <v/>
      </c>
    </row>
    <row r="1993" ht="19" customHeight="1">
      <c r="A1993" s="35" t="n">
        <v>989</v>
      </c>
      <c r="B1993" s="35" t="n">
        <v>4989</v>
      </c>
      <c r="C1993" s="36" t="inlineStr">
        <is>
          <t>1404409014</t>
        </is>
      </c>
      <c r="D1993" s="36" t="inlineStr">
        <is>
          <t>Cordillera Administrative Region (CAR)</t>
        </is>
      </c>
      <c r="E1993" s="36" t="inlineStr">
        <is>
          <t>Mountain Province</t>
        </is>
      </c>
      <c r="F1993" s="36" t="inlineStr">
        <is>
          <t>Sagada</t>
        </is>
      </c>
      <c r="G1993" s="36" t="inlineStr">
        <is>
          <t>Poblacion</t>
        </is>
      </c>
      <c r="H1993" s="37" t="n">
        <v>17.084608</v>
      </c>
      <c r="I1993" s="37" t="n">
        <v>120.899635</v>
      </c>
      <c r="J1993" s="8" t="inlineStr">
        <is>
          <t>U</t>
        </is>
      </c>
      <c r="K1993" s="36" t="inlineStr">
        <is>
          <t>4th</t>
        </is>
      </c>
      <c r="L1993" s="18" t="n">
        <v>1490</v>
      </c>
      <c r="M1993" s="20" t="n">
        <v>4.21</v>
      </c>
      <c r="N1993" s="18">
        <f>ROUND(L1993/M1993, 0)</f>
        <v/>
      </c>
      <c r="O1993" s="18">
        <f>ROUND(N1993*'Methodology &amp; Assumptions'!$B$8, 0)</f>
        <v/>
      </c>
      <c r="P1993" s="8" t="inlineStr">
        <is>
          <t>Band n50 (1.5 GHz, 60 MHz)</t>
        </is>
      </c>
      <c r="Q1993" s="38">
        <f>ROUNDUP(O1993/'Methodology &amp; Assumptions'!$B$9, 0)</f>
        <v/>
      </c>
      <c r="R1993" s="39" t="n">
        <v>1</v>
      </c>
      <c r="S1993" s="21" t="n">
        <v>0.12</v>
      </c>
      <c r="T1993" s="21" t="n">
        <v>0.11</v>
      </c>
      <c r="U1993" s="36" t="inlineStr">
        <is>
          <t>Tier 1A (Direct Coloc, &lt;1 km)</t>
        </is>
      </c>
      <c r="V1993" s="20" t="n">
        <v>100</v>
      </c>
      <c r="W1993" s="20" t="n">
        <v>48.3</v>
      </c>
      <c r="X1993" s="20" t="n">
        <v>38.5</v>
      </c>
      <c r="Y1993" s="40">
        <f>ROUND((V1993*'Methodology &amp; Assumptions'!$B$6)+(W1993*'Methodology &amp; Assumptions'!$B$5)+(X1993*'Methodology &amp; Assumptions'!$B$7), 2)</f>
        <v/>
      </c>
    </row>
    <row r="1994" ht="19" customHeight="1">
      <c r="A1994" s="41" t="n">
        <v>990</v>
      </c>
      <c r="B1994" s="41" t="n">
        <v>4990</v>
      </c>
      <c r="C1994" s="42" t="inlineStr">
        <is>
          <t>0604520009</t>
        </is>
      </c>
      <c r="D1994" s="42" t="inlineStr">
        <is>
          <t>Region VI (Western Visayas)</t>
        </is>
      </c>
      <c r="E1994" s="42" t="inlineStr">
        <is>
          <t>Negros Occidental</t>
        </is>
      </c>
      <c r="F1994" s="42" t="inlineStr">
        <is>
          <t>Murcia</t>
        </is>
      </c>
      <c r="G1994" s="42" t="inlineStr">
        <is>
          <t>Blumentritt</t>
        </is>
      </c>
      <c r="H1994" s="43" t="n">
        <v>10.61704</v>
      </c>
      <c r="I1994" s="43" t="n">
        <v>123.024505</v>
      </c>
      <c r="J1994" s="44" t="inlineStr">
        <is>
          <t>U</t>
        </is>
      </c>
      <c r="K1994" s="42" t="inlineStr">
        <is>
          <t>Class 1-3 / Urban</t>
        </is>
      </c>
      <c r="L1994" s="23" t="n">
        <v>12304</v>
      </c>
      <c r="M1994" s="24" t="n">
        <v>4.33</v>
      </c>
      <c r="N1994" s="23">
        <f>ROUND(L1994/M1994, 0)</f>
        <v/>
      </c>
      <c r="O1994" s="23">
        <f>ROUND(N1994*'Methodology &amp; Assumptions'!$B$8, 0)</f>
        <v/>
      </c>
      <c r="P1994" s="44" t="inlineStr">
        <is>
          <t>Band n50 (1.5 GHz, 60 MHz)</t>
        </is>
      </c>
      <c r="Q1994" s="38">
        <f>ROUNDUP(O1994/'Methodology &amp; Assumptions'!$B$9, 0)</f>
        <v/>
      </c>
      <c r="R1994" s="39" t="n">
        <v>1</v>
      </c>
      <c r="S1994" s="25" t="n">
        <v>2.25</v>
      </c>
      <c r="T1994" s="25" t="n">
        <v>0.07000000000000001</v>
      </c>
      <c r="U1994" s="42" t="inlineStr">
        <is>
          <t>Tier 1B (Micro Drop, 1-3 km)</t>
        </is>
      </c>
      <c r="V1994" s="24" t="n">
        <v>57.3</v>
      </c>
      <c r="W1994" s="24" t="n">
        <v>100</v>
      </c>
      <c r="X1994" s="24" t="n">
        <v>28</v>
      </c>
      <c r="Y1994" s="45">
        <f>ROUND((V1994*'Methodology &amp; Assumptions'!$B$6)+(W1994*'Methodology &amp; Assumptions'!$B$5)+(X1994*'Methodology &amp; Assumptions'!$B$7), 2)</f>
        <v/>
      </c>
    </row>
    <row r="1995" ht="19" customHeight="1">
      <c r="A1995" s="35" t="n">
        <v>991</v>
      </c>
      <c r="B1995" s="35" t="n">
        <v>4991</v>
      </c>
      <c r="C1995" s="36" t="inlineStr">
        <is>
          <t>0305420007</t>
        </is>
      </c>
      <c r="D1995" s="36" t="inlineStr">
        <is>
          <t>Region III (Central Luzon)</t>
        </is>
      </c>
      <c r="E1995" s="36" t="inlineStr">
        <is>
          <t>Pampanga</t>
        </is>
      </c>
      <c r="F1995" s="36" t="inlineStr">
        <is>
          <t>Santa Rita</t>
        </is>
      </c>
      <c r="G1995" s="36" t="inlineStr">
        <is>
          <t>San Juan</t>
        </is>
      </c>
      <c r="H1995" s="37" t="n">
        <v>15.002864</v>
      </c>
      <c r="I1995" s="37" t="n">
        <v>120.620589</v>
      </c>
      <c r="J1995" s="8" t="inlineStr">
        <is>
          <t>R</t>
        </is>
      </c>
      <c r="K1995" s="36" t="inlineStr">
        <is>
          <t>2nd</t>
        </is>
      </c>
      <c r="L1995" s="18" t="n">
        <v>2994</v>
      </c>
      <c r="M1995" s="20" t="n">
        <v>4.52</v>
      </c>
      <c r="N1995" s="18">
        <f>ROUND(L1995/M1995, 0)</f>
        <v/>
      </c>
      <c r="O1995" s="18">
        <f>ROUND(N1995*'Methodology &amp; Assumptions'!$B$8, 0)</f>
        <v/>
      </c>
      <c r="P1995" s="8" t="inlineStr">
        <is>
          <t>Band n50 (1.5 GHz, 60 MHz)</t>
        </is>
      </c>
      <c r="Q1995" s="38">
        <f>ROUNDUP(O1995/'Methodology &amp; Assumptions'!$B$9, 0)</f>
        <v/>
      </c>
      <c r="R1995" s="39" t="n">
        <v>1</v>
      </c>
      <c r="S1995" s="21" t="n">
        <v>3.46</v>
      </c>
      <c r="T1995" s="21" t="n">
        <v>0.87</v>
      </c>
      <c r="U1995" s="36" t="inlineStr">
        <is>
          <t>Tier 2 (Fiber Corridor / Lateral, 3-5 km)</t>
        </is>
      </c>
      <c r="V1995" s="20" t="n">
        <v>41.6</v>
      </c>
      <c r="W1995" s="20" t="n">
        <v>77.09999999999999</v>
      </c>
      <c r="X1995" s="20" t="n">
        <v>73</v>
      </c>
      <c r="Y1995" s="40">
        <f>ROUND((V1995*'Methodology &amp; Assumptions'!$B$6)+(W1995*'Methodology &amp; Assumptions'!$B$5)+(X1995*'Methodology &amp; Assumptions'!$B$7), 2)</f>
        <v/>
      </c>
    </row>
    <row r="1996" ht="19" customHeight="1">
      <c r="A1996" s="41" t="n">
        <v>992</v>
      </c>
      <c r="B1996" s="41" t="n">
        <v>4992</v>
      </c>
      <c r="C1996" s="42" t="inlineStr">
        <is>
          <t>0504113025</t>
        </is>
      </c>
      <c r="D1996" s="42" t="inlineStr">
        <is>
          <t>Region V (Bicol Region)</t>
        </is>
      </c>
      <c r="E1996" s="42" t="inlineStr">
        <is>
          <t>Masbate</t>
        </is>
      </c>
      <c r="F1996" s="42" t="inlineStr">
        <is>
          <t>Mobo</t>
        </is>
      </c>
      <c r="G1996" s="42" t="inlineStr">
        <is>
          <t>Tabuc</t>
        </is>
      </c>
      <c r="H1996" s="43" t="n">
        <v>12.325984</v>
      </c>
      <c r="I1996" s="43" t="n">
        <v>123.663609</v>
      </c>
      <c r="J1996" s="44" t="inlineStr">
        <is>
          <t>R</t>
        </is>
      </c>
      <c r="K1996" s="42" t="inlineStr">
        <is>
          <t>2nd</t>
        </is>
      </c>
      <c r="L1996" s="23" t="n">
        <v>2686</v>
      </c>
      <c r="M1996" s="24" t="n">
        <v>5</v>
      </c>
      <c r="N1996" s="23">
        <f>ROUND(L1996/M1996, 0)</f>
        <v/>
      </c>
      <c r="O1996" s="23">
        <f>ROUND(N1996*'Methodology &amp; Assumptions'!$B$8, 0)</f>
        <v/>
      </c>
      <c r="P1996" s="44" t="inlineStr">
        <is>
          <t>Band n50 (1.5 GHz, 60 MHz)</t>
        </is>
      </c>
      <c r="Q1996" s="38">
        <f>ROUNDUP(O1996/'Methodology &amp; Assumptions'!$B$9, 0)</f>
        <v/>
      </c>
      <c r="R1996" s="39" t="n">
        <v>1</v>
      </c>
      <c r="S1996" s="25" t="n">
        <v>1.31</v>
      </c>
      <c r="T1996" s="25" t="n">
        <v>5.75</v>
      </c>
      <c r="U1996" s="42" t="inlineStr">
        <is>
          <t>Tier 1B (Micro Drop, 1-3 km)</t>
        </is>
      </c>
      <c r="V1996" s="24" t="n">
        <v>64.59999999999999</v>
      </c>
      <c r="W1996" s="24" t="n">
        <v>66.90000000000001</v>
      </c>
      <c r="X1996" s="24" t="n">
        <v>58</v>
      </c>
      <c r="Y1996" s="45">
        <f>ROUND((V1996*'Methodology &amp; Assumptions'!$B$6)+(W1996*'Methodology &amp; Assumptions'!$B$5)+(X1996*'Methodology &amp; Assumptions'!$B$7), 2)</f>
        <v/>
      </c>
    </row>
    <row r="1997" ht="19" customHeight="1">
      <c r="A1997" s="35" t="n">
        <v>993</v>
      </c>
      <c r="B1997" s="35" t="n">
        <v>4993</v>
      </c>
      <c r="C1997" s="36" t="inlineStr">
        <is>
          <t>0501718066</t>
        </is>
      </c>
      <c r="D1997" s="36" t="inlineStr">
        <is>
          <t>Region V (Bicol Region)</t>
        </is>
      </c>
      <c r="E1997" s="36" t="inlineStr">
        <is>
          <t>Camarines Sur</t>
        </is>
      </c>
      <c r="F1997" s="36" t="inlineStr">
        <is>
          <t>Libmanan</t>
        </is>
      </c>
      <c r="G1997" s="36" t="inlineStr">
        <is>
          <t>Station-Church Site</t>
        </is>
      </c>
      <c r="H1997" s="37" t="n">
        <v>13.693048</v>
      </c>
      <c r="I1997" s="37" t="n">
        <v>123.058216</v>
      </c>
      <c r="J1997" s="8" t="inlineStr">
        <is>
          <t>R</t>
        </is>
      </c>
      <c r="K1997" s="36" t="inlineStr">
        <is>
          <t>Class 1-3 / Urban</t>
        </is>
      </c>
      <c r="L1997" s="18" t="n">
        <v>1654</v>
      </c>
      <c r="M1997" s="20" t="n">
        <v>4.9</v>
      </c>
      <c r="N1997" s="18">
        <f>ROUND(L1997/M1997, 0)</f>
        <v/>
      </c>
      <c r="O1997" s="18">
        <f>ROUND(N1997*'Methodology &amp; Assumptions'!$B$8, 0)</f>
        <v/>
      </c>
      <c r="P1997" s="8" t="inlineStr">
        <is>
          <t>Band n50 (1.5 GHz, 60 MHz)</t>
        </is>
      </c>
      <c r="Q1997" s="38">
        <f>ROUNDUP(O1997/'Methodology &amp; Assumptions'!$B$9, 0)</f>
        <v/>
      </c>
      <c r="R1997" s="39" t="n">
        <v>1</v>
      </c>
      <c r="S1997" s="21" t="n">
        <v>0.65</v>
      </c>
      <c r="T1997" s="21" t="n">
        <v>6.83</v>
      </c>
      <c r="U1997" s="36" t="inlineStr">
        <is>
          <t>Tier 1A (Direct Coloc, &lt;1 km)</t>
        </is>
      </c>
      <c r="V1997" s="20" t="n">
        <v>80.59999999999999</v>
      </c>
      <c r="W1997" s="20" t="n">
        <v>50.9</v>
      </c>
      <c r="X1997" s="20" t="n">
        <v>58</v>
      </c>
      <c r="Y1997" s="40">
        <f>ROUND((V1997*'Methodology &amp; Assumptions'!$B$6)+(W1997*'Methodology &amp; Assumptions'!$B$5)+(X1997*'Methodology &amp; Assumptions'!$B$7), 2)</f>
        <v/>
      </c>
    </row>
    <row r="1998" ht="19" customHeight="1">
      <c r="A1998" s="41" t="n">
        <v>994</v>
      </c>
      <c r="B1998" s="41" t="n">
        <v>4994</v>
      </c>
      <c r="C1998" s="42" t="inlineStr">
        <is>
          <t>0405644013</t>
        </is>
      </c>
      <c r="D1998" s="42" t="inlineStr">
        <is>
          <t>Region IV-A (CALABARZON)</t>
        </is>
      </c>
      <c r="E1998" s="42" t="inlineStr">
        <is>
          <t>Quezon</t>
        </is>
      </c>
      <c r="F1998" s="42" t="inlineStr">
        <is>
          <t>San Narciso</t>
        </is>
      </c>
      <c r="G1998" s="42" t="inlineStr">
        <is>
          <t>Pagkakaisa</t>
        </is>
      </c>
      <c r="H1998" s="43" t="n">
        <v>13.566048</v>
      </c>
      <c r="I1998" s="43" t="n">
        <v>122.565054</v>
      </c>
      <c r="J1998" s="44" t="inlineStr">
        <is>
          <t>R</t>
        </is>
      </c>
      <c r="K1998" s="42" t="inlineStr">
        <is>
          <t>Class 1-3 / Urban</t>
        </is>
      </c>
      <c r="L1998" s="23" t="n">
        <v>1631</v>
      </c>
      <c r="M1998" s="24" t="n">
        <v>4.46</v>
      </c>
      <c r="N1998" s="23">
        <f>ROUND(L1998/M1998, 0)</f>
        <v/>
      </c>
      <c r="O1998" s="23">
        <f>ROUND(N1998*'Methodology &amp; Assumptions'!$B$8, 0)</f>
        <v/>
      </c>
      <c r="P1998" s="44" t="inlineStr">
        <is>
          <t>Band n50 (1.5 GHz, 60 MHz)</t>
        </is>
      </c>
      <c r="Q1998" s="38">
        <f>ROUNDUP(O1998/'Methodology &amp; Assumptions'!$B$9, 0)</f>
        <v/>
      </c>
      <c r="R1998" s="39" t="n">
        <v>1</v>
      </c>
      <c r="S1998" s="25" t="n">
        <v>1.15</v>
      </c>
      <c r="T1998" s="25" t="n">
        <v>1.14</v>
      </c>
      <c r="U1998" s="42" t="inlineStr">
        <is>
          <t>Tier 1B (Micro Drop, 1-3 km)</t>
        </is>
      </c>
      <c r="V1998" s="24" t="n">
        <v>78.2</v>
      </c>
      <c r="W1998" s="24" t="n">
        <v>53.3</v>
      </c>
      <c r="X1998" s="24" t="n">
        <v>58</v>
      </c>
      <c r="Y1998" s="45">
        <f>ROUND((V1998*'Methodology &amp; Assumptions'!$B$6)+(W1998*'Methodology &amp; Assumptions'!$B$5)+(X1998*'Methodology &amp; Assumptions'!$B$7), 2)</f>
        <v/>
      </c>
    </row>
    <row r="1999" ht="19" customHeight="1">
      <c r="A1999" s="35" t="n">
        <v>995</v>
      </c>
      <c r="B1999" s="35" t="n">
        <v>4995</v>
      </c>
      <c r="C1999" s="36" t="inlineStr">
        <is>
          <t>0203113024</t>
        </is>
      </c>
      <c r="D1999" s="36" t="inlineStr">
        <is>
          <t>Region II (Cagayan Valley)</t>
        </is>
      </c>
      <c r="E1999" s="36" t="inlineStr">
        <is>
          <t>Isabela</t>
        </is>
      </c>
      <c r="F1999" s="36" t="inlineStr">
        <is>
          <t>Gamu</t>
        </is>
      </c>
      <c r="G1999" s="36" t="inlineStr">
        <is>
          <t>Union</t>
        </is>
      </c>
      <c r="H1999" s="37" t="n">
        <v>16.960129</v>
      </c>
      <c r="I1999" s="37" t="n">
        <v>121.816445</v>
      </c>
      <c r="J1999" s="8" t="inlineStr">
        <is>
          <t>R</t>
        </is>
      </c>
      <c r="K1999" s="36" t="inlineStr">
        <is>
          <t>2nd</t>
        </is>
      </c>
      <c r="L1999" s="18" t="n">
        <v>1204</v>
      </c>
      <c r="M1999" s="20" t="n">
        <v>4.4</v>
      </c>
      <c r="N1999" s="18">
        <f>ROUND(L1999/M1999, 0)</f>
        <v/>
      </c>
      <c r="O1999" s="18">
        <f>ROUND(N1999*'Methodology &amp; Assumptions'!$B$8, 0)</f>
        <v/>
      </c>
      <c r="P1999" s="8" t="inlineStr">
        <is>
          <t>Band n50 (1.5 GHz, 60 MHz)</t>
        </is>
      </c>
      <c r="Q1999" s="38">
        <f>ROUNDUP(O1999/'Methodology &amp; Assumptions'!$B$9, 0)</f>
        <v/>
      </c>
      <c r="R1999" s="39" t="n">
        <v>1</v>
      </c>
      <c r="S1999" s="21" t="n">
        <v>0.47</v>
      </c>
      <c r="T1999" s="21" t="n">
        <v>3.5</v>
      </c>
      <c r="U1999" s="36" t="inlineStr">
        <is>
          <t>Tier 1A (Direct Coloc, &lt;1 km)</t>
        </is>
      </c>
      <c r="V1999" s="20" t="n">
        <v>85.59999999999999</v>
      </c>
      <c r="W1999" s="20" t="n">
        <v>45.9</v>
      </c>
      <c r="X1999" s="20" t="n">
        <v>58</v>
      </c>
      <c r="Y1999" s="40">
        <f>ROUND((V1999*'Methodology &amp; Assumptions'!$B$6)+(W1999*'Methodology &amp; Assumptions'!$B$5)+(X1999*'Methodology &amp; Assumptions'!$B$7), 2)</f>
        <v/>
      </c>
    </row>
    <row r="2000" ht="19" customHeight="1">
      <c r="A2000" s="41" t="n">
        <v>996</v>
      </c>
      <c r="B2000" s="41" t="n">
        <v>4996</v>
      </c>
      <c r="C2000" s="42" t="inlineStr">
        <is>
          <t>0603018045</t>
        </is>
      </c>
      <c r="D2000" s="42" t="inlineStr">
        <is>
          <t>Region VI (Western Visayas)</t>
        </is>
      </c>
      <c r="E2000" s="42" t="inlineStr">
        <is>
          <t>Iloilo</t>
        </is>
      </c>
      <c r="F2000" s="42" t="inlineStr">
        <is>
          <t>Dumangas</t>
        </is>
      </c>
      <c r="G2000" s="42" t="inlineStr">
        <is>
          <t>Burgos-Regidor</t>
        </is>
      </c>
      <c r="H2000" s="43" t="n">
        <v>10.821674</v>
      </c>
      <c r="I2000" s="43" t="n">
        <v>122.712012</v>
      </c>
      <c r="J2000" s="44" t="inlineStr">
        <is>
          <t>R</t>
        </is>
      </c>
      <c r="K2000" s="42" t="inlineStr">
        <is>
          <t>Class 1-3 / Urban</t>
        </is>
      </c>
      <c r="L2000" s="23" t="n">
        <v>764</v>
      </c>
      <c r="M2000" s="24" t="n">
        <v>4.39</v>
      </c>
      <c r="N2000" s="23">
        <f>ROUND(L2000/M2000, 0)</f>
        <v/>
      </c>
      <c r="O2000" s="23">
        <f>ROUND(N2000*'Methodology &amp; Assumptions'!$B$8, 0)</f>
        <v/>
      </c>
      <c r="P2000" s="44" t="inlineStr">
        <is>
          <t>Band n50 (1.5 GHz, 60 MHz)</t>
        </is>
      </c>
      <c r="Q2000" s="38">
        <f>ROUNDUP(O2000/'Methodology &amp; Assumptions'!$B$9, 0)</f>
        <v/>
      </c>
      <c r="R2000" s="39" t="n">
        <v>1</v>
      </c>
      <c r="S2000" s="25" t="n">
        <v>0.54</v>
      </c>
      <c r="T2000" s="25" t="n">
        <v>0.38</v>
      </c>
      <c r="U2000" s="42" t="inlineStr">
        <is>
          <t>Tier 1A (Direct Coloc, &lt;1 km)</t>
        </is>
      </c>
      <c r="V2000" s="24" t="n">
        <v>93.7</v>
      </c>
      <c r="W2000" s="24" t="n">
        <v>37.9</v>
      </c>
      <c r="X2000" s="24" t="n">
        <v>58</v>
      </c>
      <c r="Y2000" s="45">
        <f>ROUND((V2000*'Methodology &amp; Assumptions'!$B$6)+(W2000*'Methodology &amp; Assumptions'!$B$5)+(X2000*'Methodology &amp; Assumptions'!$B$7), 2)</f>
        <v/>
      </c>
    </row>
    <row r="2001" ht="19" customHeight="1">
      <c r="A2001" s="35" t="n">
        <v>997</v>
      </c>
      <c r="B2001" s="35" t="n">
        <v>4997</v>
      </c>
      <c r="C2001" s="36" t="inlineStr">
        <is>
          <t>0504101004</t>
        </is>
      </c>
      <c r="D2001" s="36" t="inlineStr">
        <is>
          <t>Region V (Bicol Region)</t>
        </is>
      </c>
      <c r="E2001" s="36" t="inlineStr">
        <is>
          <t>Masbate</t>
        </is>
      </c>
      <c r="F2001" s="36" t="inlineStr">
        <is>
          <t>Aroroy</t>
        </is>
      </c>
      <c r="G2001" s="36" t="inlineStr">
        <is>
          <t>Bagauma</t>
        </is>
      </c>
      <c r="H2001" s="37" t="n">
        <v>12.520215</v>
      </c>
      <c r="I2001" s="37" t="n">
        <v>123.409979</v>
      </c>
      <c r="J2001" s="8" t="inlineStr">
        <is>
          <t>R</t>
        </is>
      </c>
      <c r="K2001" s="36" t="inlineStr">
        <is>
          <t>Class 1-3 / Urban</t>
        </is>
      </c>
      <c r="L2001" s="18" t="n">
        <v>2841</v>
      </c>
      <c r="M2001" s="20" t="n">
        <v>4.6</v>
      </c>
      <c r="N2001" s="18">
        <f>ROUND(L2001/M2001, 0)</f>
        <v/>
      </c>
      <c r="O2001" s="18">
        <f>ROUND(N2001*'Methodology &amp; Assumptions'!$B$8, 0)</f>
        <v/>
      </c>
      <c r="P2001" s="8" t="inlineStr">
        <is>
          <t>Band n50 (1.5 GHz, 60 MHz)</t>
        </is>
      </c>
      <c r="Q2001" s="38">
        <f>ROUNDUP(O2001/'Methodology &amp; Assumptions'!$B$9, 0)</f>
        <v/>
      </c>
      <c r="R2001" s="39" t="n">
        <v>1</v>
      </c>
      <c r="S2001" s="21" t="n">
        <v>1.63</v>
      </c>
      <c r="T2001" s="21" t="n">
        <v>2.79</v>
      </c>
      <c r="U2001" s="36" t="inlineStr">
        <is>
          <t>Tier 1B (Micro Drop, 1-3 km)</t>
        </is>
      </c>
      <c r="V2001" s="20" t="n">
        <v>58.2</v>
      </c>
      <c r="W2001" s="20" t="n">
        <v>73.3</v>
      </c>
      <c r="X2001" s="20" t="n">
        <v>58</v>
      </c>
      <c r="Y2001" s="40">
        <f>ROUND((V2001*'Methodology &amp; Assumptions'!$B$6)+(W2001*'Methodology &amp; Assumptions'!$B$5)+(X2001*'Methodology &amp; Assumptions'!$B$7), 2)</f>
        <v/>
      </c>
    </row>
    <row r="2002" ht="19" customHeight="1">
      <c r="A2002" s="41" t="n">
        <v>998</v>
      </c>
      <c r="B2002" s="41" t="n">
        <v>4998</v>
      </c>
      <c r="C2002" s="42" t="inlineStr">
        <is>
          <t>0401008017</t>
        </is>
      </c>
      <c r="D2002" s="42" t="inlineStr">
        <is>
          <t>Region IV-A (CALABARZON)</t>
        </is>
      </c>
      <c r="E2002" s="42" t="inlineStr">
        <is>
          <t>Batangas</t>
        </is>
      </c>
      <c r="F2002" s="42" t="inlineStr">
        <is>
          <t>Calatagan</t>
        </is>
      </c>
      <c r="G2002" s="42" t="inlineStr">
        <is>
          <t>Barangay 2</t>
        </is>
      </c>
      <c r="H2002" s="43" t="n">
        <v>13.838081</v>
      </c>
      <c r="I2002" s="43" t="n">
        <v>120.627181</v>
      </c>
      <c r="J2002" s="44" t="inlineStr">
        <is>
          <t>R</t>
        </is>
      </c>
      <c r="K2002" s="42" t="inlineStr">
        <is>
          <t>Class 1-3 / Urban</t>
        </is>
      </c>
      <c r="L2002" s="23" t="n">
        <v>1404</v>
      </c>
      <c r="M2002" s="24" t="n">
        <v>4.62</v>
      </c>
      <c r="N2002" s="23">
        <f>ROUND(L2002/M2002, 0)</f>
        <v/>
      </c>
      <c r="O2002" s="23">
        <f>ROUND(N2002*'Methodology &amp; Assumptions'!$B$8, 0)</f>
        <v/>
      </c>
      <c r="P2002" s="44" t="inlineStr">
        <is>
          <t>Band n50 (1.5 GHz, 60 MHz)</t>
        </is>
      </c>
      <c r="Q2002" s="38">
        <f>ROUNDUP(O2002/'Methodology &amp; Assumptions'!$B$9, 0)</f>
        <v/>
      </c>
      <c r="R2002" s="39" t="n">
        <v>1</v>
      </c>
      <c r="S2002" s="25" t="n">
        <v>0.93</v>
      </c>
      <c r="T2002" s="25" t="n">
        <v>0.53</v>
      </c>
      <c r="U2002" s="42" t="inlineStr">
        <is>
          <t>Tier 1A (Direct Coloc, &lt;1 km)</t>
        </is>
      </c>
      <c r="V2002" s="24" t="n">
        <v>83.2</v>
      </c>
      <c r="W2002" s="24" t="n">
        <v>48.3</v>
      </c>
      <c r="X2002" s="24" t="n">
        <v>58</v>
      </c>
      <c r="Y2002" s="45">
        <f>ROUND((V2002*'Methodology &amp; Assumptions'!$B$6)+(W2002*'Methodology &amp; Assumptions'!$B$5)+(X2002*'Methodology &amp; Assumptions'!$B$7), 2)</f>
        <v/>
      </c>
    </row>
    <row r="2003" ht="19" customHeight="1">
      <c r="A2003" s="35" t="n">
        <v>999</v>
      </c>
      <c r="B2003" s="35" t="n">
        <v>4999</v>
      </c>
      <c r="C2003" s="36" t="inlineStr">
        <is>
          <t>0201508029</t>
        </is>
      </c>
      <c r="D2003" s="36" t="inlineStr">
        <is>
          <t>Region II (Cagayan Valley)</t>
        </is>
      </c>
      <c r="E2003" s="36" t="inlineStr">
        <is>
          <t>Cagayan</t>
        </is>
      </c>
      <c r="F2003" s="36" t="inlineStr">
        <is>
          <t>Buguey</t>
        </is>
      </c>
      <c r="G2003" s="36" t="inlineStr">
        <is>
          <t>San Vicente</t>
        </is>
      </c>
      <c r="H2003" s="37" t="n">
        <v>18.248462</v>
      </c>
      <c r="I2003" s="37" t="n">
        <v>121.807411</v>
      </c>
      <c r="J2003" s="8" t="inlineStr">
        <is>
          <t>R</t>
        </is>
      </c>
      <c r="K2003" s="36" t="inlineStr">
        <is>
          <t>Class 1-3 / Urban</t>
        </is>
      </c>
      <c r="L2003" s="18" t="n">
        <v>1288</v>
      </c>
      <c r="M2003" s="20" t="n">
        <v>4.38</v>
      </c>
      <c r="N2003" s="18">
        <f>ROUND(L2003/M2003, 0)</f>
        <v/>
      </c>
      <c r="O2003" s="18">
        <f>ROUND(N2003*'Methodology &amp; Assumptions'!$B$8, 0)</f>
        <v/>
      </c>
      <c r="P2003" s="8" t="inlineStr">
        <is>
          <t>Band n50 (1.5 GHz, 60 MHz)</t>
        </is>
      </c>
      <c r="Q2003" s="38">
        <f>ROUNDUP(O2003/'Methodology &amp; Assumptions'!$B$9, 0)</f>
        <v/>
      </c>
      <c r="R2003" s="39" t="n">
        <v>1</v>
      </c>
      <c r="S2003" s="21" t="n">
        <v>0.9</v>
      </c>
      <c r="T2003" s="21" t="n">
        <v>0.38</v>
      </c>
      <c r="U2003" s="36" t="inlineStr">
        <is>
          <t>Tier 1A (Direct Coloc, &lt;1 km)</t>
        </is>
      </c>
      <c r="V2003" s="20" t="n">
        <v>84</v>
      </c>
      <c r="W2003" s="20" t="n">
        <v>47.5</v>
      </c>
      <c r="X2003" s="20" t="n">
        <v>58</v>
      </c>
      <c r="Y2003" s="40">
        <f>ROUND((V2003*'Methodology &amp; Assumptions'!$B$6)+(W2003*'Methodology &amp; Assumptions'!$B$5)+(X2003*'Methodology &amp; Assumptions'!$B$7), 2)</f>
        <v/>
      </c>
    </row>
    <row r="2004" ht="19" customHeight="1">
      <c r="A2004" s="41" t="n">
        <v>1000</v>
      </c>
      <c r="B2004" s="41" t="n">
        <v>5000</v>
      </c>
      <c r="C2004" s="42" t="inlineStr">
        <is>
          <t>0102914001</t>
        </is>
      </c>
      <c r="D2004" s="42" t="inlineStr">
        <is>
          <t>Region I (Ilocos Region)</t>
        </is>
      </c>
      <c r="E2004" s="42" t="inlineStr">
        <is>
          <t>Ilocos Sur</t>
        </is>
      </c>
      <c r="F2004" s="42" t="inlineStr">
        <is>
          <t>Narvacan</t>
        </is>
      </c>
      <c r="G2004" s="42" t="inlineStr">
        <is>
          <t>Abuor</t>
        </is>
      </c>
      <c r="H2004" s="43" t="n">
        <v>17.430598</v>
      </c>
      <c r="I2004" s="43" t="n">
        <v>120.476815</v>
      </c>
      <c r="J2004" s="44" t="inlineStr">
        <is>
          <t>R</t>
        </is>
      </c>
      <c r="K2004" s="42" t="inlineStr">
        <is>
          <t>Class 1-3 / Urban</t>
        </is>
      </c>
      <c r="L2004" s="23" t="n">
        <v>1150</v>
      </c>
      <c r="M2004" s="24" t="n">
        <v>4.56</v>
      </c>
      <c r="N2004" s="23">
        <f>ROUND(L2004/M2004, 0)</f>
        <v/>
      </c>
      <c r="O2004" s="23">
        <f>ROUND(N2004*'Methodology &amp; Assumptions'!$B$8, 0)</f>
        <v/>
      </c>
      <c r="P2004" s="44" t="inlineStr">
        <is>
          <t>Band n50 (1.5 GHz, 60 MHz)</t>
        </is>
      </c>
      <c r="Q2004" s="38">
        <f>ROUNDUP(O2004/'Methodology &amp; Assumptions'!$B$9, 0)</f>
        <v/>
      </c>
      <c r="R2004" s="39" t="n">
        <v>1</v>
      </c>
      <c r="S2004" s="25" t="n">
        <v>0.78</v>
      </c>
      <c r="T2004" s="25" t="n">
        <v>0.48</v>
      </c>
      <c r="U2004" s="42" t="inlineStr">
        <is>
          <t>Tier 1A (Direct Coloc, &lt;1 km)</t>
        </is>
      </c>
      <c r="V2004" s="24" t="n">
        <v>87.2</v>
      </c>
      <c r="W2004" s="24" t="n">
        <v>44.3</v>
      </c>
      <c r="X2004" s="24" t="n">
        <v>58</v>
      </c>
      <c r="Y2004" s="45">
        <f>ROUND((V2004*'Methodology &amp; Assumptions'!$B$6)+(W2004*'Methodology &amp; Assumptions'!$B$5)+(X2004*'Methodology &amp; Assumptions'!$B$7), 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4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Provincial Distribution across Rollout Batches &amp; n50 BTS Capacity</t>
        </is>
      </c>
    </row>
    <row r="2">
      <c r="A2" s="2" t="inlineStr">
        <is>
          <t>Breakdown of barangay counts and total n50 BTS capacity (@ 1,000 subs/BTS) by Province across Batches 1 to 5.</t>
        </is>
      </c>
    </row>
    <row r="4" ht="25" customHeight="1">
      <c r="A4" s="49" t="inlineStr">
        <is>
          <t>Region</t>
        </is>
      </c>
      <c r="B4" s="49" t="inlineStr">
        <is>
          <t>Province</t>
        </is>
      </c>
      <c r="C4" s="49" t="inlineStr">
        <is>
          <t>Batch 1 (1-1k)</t>
        </is>
      </c>
      <c r="D4" s="49" t="inlineStr">
        <is>
          <t>Batch 2 (1-2k)</t>
        </is>
      </c>
      <c r="E4" s="49" t="inlineStr">
        <is>
          <t>Batch 3 (2-3k)</t>
        </is>
      </c>
      <c r="F4" s="49" t="inlineStr">
        <is>
          <t>Batch 4 (3-4k)</t>
        </is>
      </c>
      <c r="G4" s="49" t="inlineStr">
        <is>
          <t>Batch 5 (4-5k)</t>
        </is>
      </c>
      <c r="H4" s="49" t="inlineStr">
        <is>
          <t>Total Barangays (5k)</t>
        </is>
      </c>
      <c r="I4" s="49" t="inlineStr">
        <is>
          <t>Total n50 BTS Capacity</t>
        </is>
      </c>
      <c r="J4" s="49" t="inlineStr">
        <is>
          <t>Total Pop (5k)</t>
        </is>
      </c>
      <c r="K4" s="49" t="inlineStr">
        <is>
          <t>Total Subs @ 30%</t>
        </is>
      </c>
    </row>
    <row r="5" ht="19" customHeight="1">
      <c r="A5" s="36" t="inlineStr">
        <is>
          <t>Region IV-A (CALABARZON)</t>
        </is>
      </c>
      <c r="B5" s="36" t="inlineStr">
        <is>
          <t>Cavite</t>
        </is>
      </c>
      <c r="C5" s="18" t="n">
        <v>56</v>
      </c>
      <c r="D5" s="18" t="n">
        <v>71</v>
      </c>
      <c r="E5" s="18" t="n">
        <v>94</v>
      </c>
      <c r="F5" s="18" t="n">
        <v>50</v>
      </c>
      <c r="G5" s="18" t="n">
        <v>70</v>
      </c>
      <c r="H5" s="50" t="n">
        <v>341</v>
      </c>
      <c r="I5" s="19" t="n">
        <v>377</v>
      </c>
      <c r="J5" s="18" t="n">
        <v>2183065</v>
      </c>
      <c r="K5" s="18" t="n">
        <v>146028</v>
      </c>
    </row>
    <row r="6" ht="19" customHeight="1">
      <c r="A6" s="42" t="inlineStr">
        <is>
          <t>Region IV-A (CALABARZON)</t>
        </is>
      </c>
      <c r="B6" s="42" t="inlineStr">
        <is>
          <t>Laguna</t>
        </is>
      </c>
      <c r="C6" s="23" t="n">
        <v>69</v>
      </c>
      <c r="D6" s="23" t="n">
        <v>62</v>
      </c>
      <c r="E6" s="23" t="n">
        <v>63</v>
      </c>
      <c r="F6" s="23" t="n">
        <v>55</v>
      </c>
      <c r="G6" s="23" t="n">
        <v>60</v>
      </c>
      <c r="H6" s="51" t="n">
        <v>309</v>
      </c>
      <c r="I6" s="19" t="n">
        <v>376</v>
      </c>
      <c r="J6" s="23" t="n">
        <v>2246290</v>
      </c>
      <c r="K6" s="23" t="n">
        <v>160466</v>
      </c>
    </row>
    <row r="7" ht="19" customHeight="1">
      <c r="A7" s="36" t="inlineStr">
        <is>
          <t>Region III (Central Luzon)</t>
        </is>
      </c>
      <c r="B7" s="36" t="inlineStr">
        <is>
          <t>Bulacan</t>
        </is>
      </c>
      <c r="C7" s="18" t="n">
        <v>50</v>
      </c>
      <c r="D7" s="18" t="n">
        <v>57</v>
      </c>
      <c r="E7" s="18" t="n">
        <v>60</v>
      </c>
      <c r="F7" s="18" t="n">
        <v>68</v>
      </c>
      <c r="G7" s="18" t="n">
        <v>57</v>
      </c>
      <c r="H7" s="50" t="n">
        <v>292</v>
      </c>
      <c r="I7" s="19" t="n">
        <v>338</v>
      </c>
      <c r="J7" s="18" t="n">
        <v>2236858</v>
      </c>
      <c r="K7" s="18" t="n">
        <v>163671</v>
      </c>
    </row>
    <row r="8" ht="19" customHeight="1">
      <c r="A8" s="42" t="inlineStr">
        <is>
          <t>Region VII (Central Visayas)</t>
        </is>
      </c>
      <c r="B8" s="42" t="inlineStr">
        <is>
          <t>Cebu</t>
        </is>
      </c>
      <c r="C8" s="23" t="n">
        <v>62</v>
      </c>
      <c r="D8" s="23" t="n">
        <v>60</v>
      </c>
      <c r="E8" s="23" t="n">
        <v>54</v>
      </c>
      <c r="F8" s="23" t="n">
        <v>61</v>
      </c>
      <c r="G8" s="23" t="n">
        <v>46</v>
      </c>
      <c r="H8" s="51" t="n">
        <v>283</v>
      </c>
      <c r="I8" s="19" t="n">
        <v>348</v>
      </c>
      <c r="J8" s="23" t="n">
        <v>2552007</v>
      </c>
      <c r="K8" s="23" t="n">
        <v>173344</v>
      </c>
    </row>
    <row r="9" ht="19" customHeight="1">
      <c r="A9" s="36" t="inlineStr">
        <is>
          <t>Region III (Central Luzon)</t>
        </is>
      </c>
      <c r="B9" s="36" t="inlineStr">
        <is>
          <t>Nueva Ecija</t>
        </is>
      </c>
      <c r="C9" s="18" t="n">
        <v>66</v>
      </c>
      <c r="D9" s="18" t="n">
        <v>36</v>
      </c>
      <c r="E9" s="18" t="n">
        <v>41</v>
      </c>
      <c r="F9" s="18" t="n">
        <v>45</v>
      </c>
      <c r="G9" s="18" t="n">
        <v>50</v>
      </c>
      <c r="H9" s="50" t="n">
        <v>238</v>
      </c>
      <c r="I9" s="19" t="n">
        <v>239</v>
      </c>
      <c r="J9" s="18" t="n">
        <v>924097</v>
      </c>
      <c r="K9" s="18" t="n">
        <v>64290</v>
      </c>
    </row>
    <row r="10" ht="19" customHeight="1">
      <c r="A10" s="42" t="inlineStr">
        <is>
          <t>Region IV-A (CALABARZON)</t>
        </is>
      </c>
      <c r="B10" s="42" t="inlineStr">
        <is>
          <t>Batangas</t>
        </is>
      </c>
      <c r="C10" s="23" t="n">
        <v>32</v>
      </c>
      <c r="D10" s="23" t="n">
        <v>53</v>
      </c>
      <c r="E10" s="23" t="n">
        <v>39</v>
      </c>
      <c r="F10" s="23" t="n">
        <v>57</v>
      </c>
      <c r="G10" s="23" t="n">
        <v>54</v>
      </c>
      <c r="H10" s="51" t="n">
        <v>235</v>
      </c>
      <c r="I10" s="19" t="n">
        <v>240</v>
      </c>
      <c r="J10" s="23" t="n">
        <v>1009326</v>
      </c>
      <c r="K10" s="23" t="n">
        <v>65552</v>
      </c>
    </row>
    <row r="11" ht="19" customHeight="1">
      <c r="A11" s="36" t="inlineStr">
        <is>
          <t>Region I (Ilocos Region)</t>
        </is>
      </c>
      <c r="B11" s="36" t="inlineStr">
        <is>
          <t>Pangasinan</t>
        </is>
      </c>
      <c r="C11" s="18" t="n">
        <v>35</v>
      </c>
      <c r="D11" s="18" t="n">
        <v>39</v>
      </c>
      <c r="E11" s="18" t="n">
        <v>42</v>
      </c>
      <c r="F11" s="18" t="n">
        <v>50</v>
      </c>
      <c r="G11" s="18" t="n">
        <v>46</v>
      </c>
      <c r="H11" s="50" t="n">
        <v>212</v>
      </c>
      <c r="I11" s="19" t="n">
        <v>213</v>
      </c>
      <c r="J11" s="18" t="n">
        <v>800108</v>
      </c>
      <c r="K11" s="18" t="n">
        <v>54638</v>
      </c>
    </row>
    <row r="12" ht="19" customHeight="1">
      <c r="A12" s="42" t="inlineStr">
        <is>
          <t>Region IV-A (CALABARZON)</t>
        </is>
      </c>
      <c r="B12" s="42" t="inlineStr">
        <is>
          <t>Quezon</t>
        </is>
      </c>
      <c r="C12" s="23" t="n">
        <v>40</v>
      </c>
      <c r="D12" s="23" t="n">
        <v>35</v>
      </c>
      <c r="E12" s="23" t="n">
        <v>48</v>
      </c>
      <c r="F12" s="23" t="n">
        <v>44</v>
      </c>
      <c r="G12" s="23" t="n">
        <v>39</v>
      </c>
      <c r="H12" s="51" t="n">
        <v>206</v>
      </c>
      <c r="I12" s="19" t="n">
        <v>211</v>
      </c>
      <c r="J12" s="23" t="n">
        <v>827198</v>
      </c>
      <c r="K12" s="23" t="n">
        <v>55731</v>
      </c>
    </row>
    <row r="13" ht="19" customHeight="1">
      <c r="A13" s="36" t="inlineStr">
        <is>
          <t>Region V (Bicol Region)</t>
        </is>
      </c>
      <c r="B13" s="36" t="inlineStr">
        <is>
          <t>Camarines Sur</t>
        </is>
      </c>
      <c r="C13" s="18" t="n">
        <v>31</v>
      </c>
      <c r="D13" s="18" t="n">
        <v>40</v>
      </c>
      <c r="E13" s="18" t="n">
        <v>40</v>
      </c>
      <c r="F13" s="18" t="n">
        <v>40</v>
      </c>
      <c r="G13" s="18" t="n">
        <v>38</v>
      </c>
      <c r="H13" s="50" t="n">
        <v>189</v>
      </c>
      <c r="I13" s="19" t="n">
        <v>191</v>
      </c>
      <c r="J13" s="18" t="n">
        <v>674239</v>
      </c>
      <c r="K13" s="18" t="n">
        <v>41314</v>
      </c>
    </row>
    <row r="14" ht="19" customHeight="1">
      <c r="A14" s="42" t="inlineStr">
        <is>
          <t>Region III (Central Luzon)</t>
        </is>
      </c>
      <c r="B14" s="42" t="inlineStr">
        <is>
          <t>Pampanga</t>
        </is>
      </c>
      <c r="C14" s="23" t="n">
        <v>37</v>
      </c>
      <c r="D14" s="23" t="n">
        <v>30</v>
      </c>
      <c r="E14" s="23" t="n">
        <v>46</v>
      </c>
      <c r="F14" s="23" t="n">
        <v>38</v>
      </c>
      <c r="G14" s="23" t="n">
        <v>33</v>
      </c>
      <c r="H14" s="51" t="n">
        <v>184</v>
      </c>
      <c r="I14" s="19" t="n">
        <v>212</v>
      </c>
      <c r="J14" s="23" t="n">
        <v>1534038</v>
      </c>
      <c r="K14" s="23" t="n">
        <v>99394</v>
      </c>
    </row>
    <row r="15" ht="19" customHeight="1">
      <c r="A15" s="36" t="inlineStr">
        <is>
          <t>Region VI (Western Visayas)</t>
        </is>
      </c>
      <c r="B15" s="36" t="inlineStr">
        <is>
          <t>Iloilo</t>
        </is>
      </c>
      <c r="C15" s="18" t="n">
        <v>18</v>
      </c>
      <c r="D15" s="18" t="n">
        <v>23</v>
      </c>
      <c r="E15" s="18" t="n">
        <v>40</v>
      </c>
      <c r="F15" s="18" t="n">
        <v>37</v>
      </c>
      <c r="G15" s="18" t="n">
        <v>30</v>
      </c>
      <c r="H15" s="50" t="n">
        <v>148</v>
      </c>
      <c r="I15" s="19" t="n">
        <v>149</v>
      </c>
      <c r="J15" s="18" t="n">
        <v>469208</v>
      </c>
      <c r="K15" s="18" t="n">
        <v>32172</v>
      </c>
    </row>
    <row r="16" ht="19" customHeight="1">
      <c r="A16" s="42" t="inlineStr">
        <is>
          <t>Region V (Bicol Region)</t>
        </is>
      </c>
      <c r="B16" s="42" t="inlineStr">
        <is>
          <t>Albay</t>
        </is>
      </c>
      <c r="C16" s="23" t="n">
        <v>20</v>
      </c>
      <c r="D16" s="23" t="n">
        <v>31</v>
      </c>
      <c r="E16" s="23" t="n">
        <v>21</v>
      </c>
      <c r="F16" s="23" t="n">
        <v>30</v>
      </c>
      <c r="G16" s="23" t="n">
        <v>37</v>
      </c>
      <c r="H16" s="51" t="n">
        <v>139</v>
      </c>
      <c r="I16" s="19" t="n">
        <v>139</v>
      </c>
      <c r="J16" s="23" t="n">
        <v>458754</v>
      </c>
      <c r="K16" s="23" t="n">
        <v>29462</v>
      </c>
    </row>
    <row r="17" ht="19" customHeight="1">
      <c r="A17" s="36" t="inlineStr">
        <is>
          <t>Region X (Northern Mindanao)</t>
        </is>
      </c>
      <c r="B17" s="36" t="inlineStr">
        <is>
          <t>Misamis Oriental</t>
        </is>
      </c>
      <c r="C17" s="18" t="n">
        <v>38</v>
      </c>
      <c r="D17" s="18" t="n">
        <v>27</v>
      </c>
      <c r="E17" s="18" t="n">
        <v>28</v>
      </c>
      <c r="F17" s="18" t="n">
        <v>15</v>
      </c>
      <c r="G17" s="18" t="n">
        <v>21</v>
      </c>
      <c r="H17" s="50" t="n">
        <v>129</v>
      </c>
      <c r="I17" s="19" t="n">
        <v>153</v>
      </c>
      <c r="J17" s="18" t="n">
        <v>964830</v>
      </c>
      <c r="K17" s="18" t="n">
        <v>63903</v>
      </c>
    </row>
    <row r="18" ht="19" customHeight="1">
      <c r="A18" s="42" t="inlineStr">
        <is>
          <t>Region VI (Western Visayas)</t>
        </is>
      </c>
      <c r="B18" s="42" t="inlineStr">
        <is>
          <t>Negros Occidental</t>
        </is>
      </c>
      <c r="C18" s="23" t="n">
        <v>32</v>
      </c>
      <c r="D18" s="23" t="n">
        <v>23</v>
      </c>
      <c r="E18" s="23" t="n">
        <v>14</v>
      </c>
      <c r="F18" s="23" t="n">
        <v>36</v>
      </c>
      <c r="G18" s="23" t="n">
        <v>22</v>
      </c>
      <c r="H18" s="51" t="n">
        <v>127</v>
      </c>
      <c r="I18" s="19" t="n">
        <v>142</v>
      </c>
      <c r="J18" s="23" t="n">
        <v>799022</v>
      </c>
      <c r="K18" s="23" t="n">
        <v>55384</v>
      </c>
    </row>
    <row r="19" ht="19" customHeight="1">
      <c r="A19" s="36" t="inlineStr">
        <is>
          <t>Region VIII (Eastern Visayas)</t>
        </is>
      </c>
      <c r="B19" s="36" t="inlineStr">
        <is>
          <t>Leyte</t>
        </is>
      </c>
      <c r="C19" s="18" t="n">
        <v>23</v>
      </c>
      <c r="D19" s="18" t="n">
        <v>30</v>
      </c>
      <c r="E19" s="18" t="n">
        <v>17</v>
      </c>
      <c r="F19" s="18" t="n">
        <v>20</v>
      </c>
      <c r="G19" s="18" t="n">
        <v>33</v>
      </c>
      <c r="H19" s="50" t="n">
        <v>123</v>
      </c>
      <c r="I19" s="19" t="n">
        <v>123</v>
      </c>
      <c r="J19" s="18" t="n">
        <v>375731</v>
      </c>
      <c r="K19" s="18" t="n">
        <v>26546</v>
      </c>
    </row>
    <row r="20" ht="19" customHeight="1">
      <c r="A20" s="42" t="inlineStr">
        <is>
          <t>Region IV-A (CALABARZON)</t>
        </is>
      </c>
      <c r="B20" s="42" t="inlineStr">
        <is>
          <t>Rizal</t>
        </is>
      </c>
      <c r="C20" s="23" t="n">
        <v>45</v>
      </c>
      <c r="D20" s="23" t="n">
        <v>26</v>
      </c>
      <c r="E20" s="23" t="n">
        <v>23</v>
      </c>
      <c r="F20" s="23" t="n">
        <v>12</v>
      </c>
      <c r="G20" s="23" t="n">
        <v>7</v>
      </c>
      <c r="H20" s="51" t="n">
        <v>113</v>
      </c>
      <c r="I20" s="19" t="n">
        <v>251</v>
      </c>
      <c r="J20" s="23" t="n">
        <v>2699308</v>
      </c>
      <c r="K20" s="23" t="n">
        <v>184517</v>
      </c>
    </row>
    <row r="21" ht="19" customHeight="1">
      <c r="A21" s="36" t="inlineStr">
        <is>
          <t>Region III (Central Luzon)</t>
        </is>
      </c>
      <c r="B21" s="36" t="inlineStr">
        <is>
          <t>Bataan</t>
        </is>
      </c>
      <c r="C21" s="18" t="n">
        <v>19</v>
      </c>
      <c r="D21" s="18" t="n">
        <v>33</v>
      </c>
      <c r="E21" s="18" t="n">
        <v>18</v>
      </c>
      <c r="F21" s="18" t="n">
        <v>22</v>
      </c>
      <c r="G21" s="18" t="n">
        <v>15</v>
      </c>
      <c r="H21" s="50" t="n">
        <v>107</v>
      </c>
      <c r="I21" s="19" t="n">
        <v>109</v>
      </c>
      <c r="J21" s="18" t="n">
        <v>497572</v>
      </c>
      <c r="K21" s="18" t="n">
        <v>32661</v>
      </c>
    </row>
    <row r="22" ht="19" customHeight="1">
      <c r="A22" s="42" t="inlineStr">
        <is>
          <t>Region III (Central Luzon)</t>
        </is>
      </c>
      <c r="B22" s="42" t="inlineStr">
        <is>
          <t>Zambales</t>
        </is>
      </c>
      <c r="C22" s="23" t="n">
        <v>23</v>
      </c>
      <c r="D22" s="23" t="n">
        <v>27</v>
      </c>
      <c r="E22" s="23" t="n">
        <v>20</v>
      </c>
      <c r="F22" s="23" t="n">
        <v>14</v>
      </c>
      <c r="G22" s="23" t="n">
        <v>20</v>
      </c>
      <c r="H22" s="51" t="n">
        <v>104</v>
      </c>
      <c r="I22" s="19" t="n">
        <v>116</v>
      </c>
      <c r="J22" s="23" t="n">
        <v>553974</v>
      </c>
      <c r="K22" s="23" t="n">
        <v>41048</v>
      </c>
    </row>
    <row r="23" ht="19" customHeight="1">
      <c r="A23" s="36" t="inlineStr">
        <is>
          <t>Region III (Central Luzon)</t>
        </is>
      </c>
      <c r="B23" s="36" t="inlineStr">
        <is>
          <t>Tarlac</t>
        </is>
      </c>
      <c r="C23" s="18" t="n">
        <v>22</v>
      </c>
      <c r="D23" s="18" t="n">
        <v>19</v>
      </c>
      <c r="E23" s="18" t="n">
        <v>23</v>
      </c>
      <c r="F23" s="18" t="n">
        <v>14</v>
      </c>
      <c r="G23" s="18" t="n">
        <v>26</v>
      </c>
      <c r="H23" s="50" t="n">
        <v>104</v>
      </c>
      <c r="I23" s="19" t="n">
        <v>110</v>
      </c>
      <c r="J23" s="18" t="n">
        <v>510350</v>
      </c>
      <c r="K23" s="18" t="n">
        <v>35582</v>
      </c>
    </row>
    <row r="24" ht="19" customHeight="1">
      <c r="A24" s="42" t="inlineStr">
        <is>
          <t>Region II (Cagayan Valley)</t>
        </is>
      </c>
      <c r="B24" s="42" t="inlineStr">
        <is>
          <t>Isabela</t>
        </is>
      </c>
      <c r="C24" s="23" t="n">
        <v>18</v>
      </c>
      <c r="D24" s="23" t="n">
        <v>19</v>
      </c>
      <c r="E24" s="23" t="n">
        <v>15</v>
      </c>
      <c r="F24" s="23" t="n">
        <v>21</v>
      </c>
      <c r="G24" s="23" t="n">
        <v>30</v>
      </c>
      <c r="H24" s="51" t="n">
        <v>103</v>
      </c>
      <c r="I24" s="19" t="n">
        <v>103</v>
      </c>
      <c r="J24" s="23" t="n">
        <v>338902</v>
      </c>
      <c r="K24" s="23" t="n">
        <v>23645</v>
      </c>
    </row>
    <row r="25" ht="19" customHeight="1">
      <c r="A25" s="36" t="inlineStr">
        <is>
          <t>Cordillera Administrative Region (CAR)</t>
        </is>
      </c>
      <c r="B25" s="36" t="inlineStr">
        <is>
          <t>Benguet</t>
        </is>
      </c>
      <c r="C25" s="18" t="n">
        <v>27</v>
      </c>
      <c r="D25" s="18" t="n">
        <v>19</v>
      </c>
      <c r="E25" s="18" t="n">
        <v>20</v>
      </c>
      <c r="F25" s="18" t="n">
        <v>13</v>
      </c>
      <c r="G25" s="18" t="n">
        <v>20</v>
      </c>
      <c r="H25" s="50" t="n">
        <v>99</v>
      </c>
      <c r="I25" s="19" t="n">
        <v>103</v>
      </c>
      <c r="J25" s="18" t="n">
        <v>495391</v>
      </c>
      <c r="K25" s="18" t="n">
        <v>32471</v>
      </c>
    </row>
    <row r="26" ht="19" customHeight="1">
      <c r="A26" s="42" t="inlineStr">
        <is>
          <t>Region II (Cagayan Valley)</t>
        </is>
      </c>
      <c r="B26" s="42" t="inlineStr">
        <is>
          <t>Cagayan</t>
        </is>
      </c>
      <c r="C26" s="23" t="n">
        <v>15</v>
      </c>
      <c r="D26" s="23" t="n">
        <v>20</v>
      </c>
      <c r="E26" s="23" t="n">
        <v>16</v>
      </c>
      <c r="F26" s="23" t="n">
        <v>23</v>
      </c>
      <c r="G26" s="23" t="n">
        <v>15</v>
      </c>
      <c r="H26" s="51" t="n">
        <v>89</v>
      </c>
      <c r="I26" s="19" t="n">
        <v>89</v>
      </c>
      <c r="J26" s="23" t="n">
        <v>245338</v>
      </c>
      <c r="K26" s="23" t="n">
        <v>16838</v>
      </c>
    </row>
    <row r="27" ht="19" customHeight="1">
      <c r="A27" s="36" t="inlineStr">
        <is>
          <t>Region XI (Davao Region)</t>
        </is>
      </c>
      <c r="B27" s="36" t="inlineStr">
        <is>
          <t>Davao del Sur</t>
        </is>
      </c>
      <c r="C27" s="18" t="n">
        <v>20</v>
      </c>
      <c r="D27" s="18" t="n">
        <v>19</v>
      </c>
      <c r="E27" s="18" t="n">
        <v>22</v>
      </c>
      <c r="F27" s="18" t="n">
        <v>11</v>
      </c>
      <c r="G27" s="18" t="n">
        <v>12</v>
      </c>
      <c r="H27" s="50" t="n">
        <v>84</v>
      </c>
      <c r="I27" s="19" t="n">
        <v>124</v>
      </c>
      <c r="J27" s="18" t="n">
        <v>1050125</v>
      </c>
      <c r="K27" s="18" t="n">
        <v>76841</v>
      </c>
    </row>
    <row r="28" ht="19" customHeight="1">
      <c r="A28" s="42" t="inlineStr">
        <is>
          <t>Region XIII (Caraga)</t>
        </is>
      </c>
      <c r="B28" s="42" t="inlineStr">
        <is>
          <t>Agusan del Norte</t>
        </is>
      </c>
      <c r="C28" s="23" t="n">
        <v>23</v>
      </c>
      <c r="D28" s="23" t="n">
        <v>18</v>
      </c>
      <c r="E28" s="23" t="n">
        <v>16</v>
      </c>
      <c r="F28" s="23" t="n">
        <v>9</v>
      </c>
      <c r="G28" s="23" t="n">
        <v>12</v>
      </c>
      <c r="H28" s="51" t="n">
        <v>78</v>
      </c>
      <c r="I28" s="19" t="n">
        <v>79</v>
      </c>
      <c r="J28" s="23" t="n">
        <v>380632</v>
      </c>
      <c r="K28" s="23" t="n">
        <v>24675</v>
      </c>
    </row>
    <row r="29" ht="19" customHeight="1">
      <c r="A29" s="36" t="inlineStr">
        <is>
          <t>Region V (Bicol Region)</t>
        </is>
      </c>
      <c r="B29" s="36" t="inlineStr">
        <is>
          <t>Sorsogon</t>
        </is>
      </c>
      <c r="C29" s="18" t="n">
        <v>13</v>
      </c>
      <c r="D29" s="18" t="n">
        <v>10</v>
      </c>
      <c r="E29" s="18" t="n">
        <v>17</v>
      </c>
      <c r="F29" s="18" t="n">
        <v>15</v>
      </c>
      <c r="G29" s="18" t="n">
        <v>16</v>
      </c>
      <c r="H29" s="50" t="n">
        <v>71</v>
      </c>
      <c r="I29" s="19" t="n">
        <v>72</v>
      </c>
      <c r="J29" s="18" t="n">
        <v>208595</v>
      </c>
      <c r="K29" s="18" t="n">
        <v>13668</v>
      </c>
    </row>
    <row r="30" ht="19" customHeight="1">
      <c r="A30" s="42" t="inlineStr">
        <is>
          <t>Region I (Ilocos Region)</t>
        </is>
      </c>
      <c r="B30" s="42" t="inlineStr">
        <is>
          <t>La Union</t>
        </is>
      </c>
      <c r="C30" s="23" t="n">
        <v>4</v>
      </c>
      <c r="D30" s="23" t="n">
        <v>15</v>
      </c>
      <c r="E30" s="23" t="n">
        <v>13</v>
      </c>
      <c r="F30" s="23" t="n">
        <v>16</v>
      </c>
      <c r="G30" s="23" t="n">
        <v>21</v>
      </c>
      <c r="H30" s="51" t="n">
        <v>69</v>
      </c>
      <c r="I30" s="19" t="n">
        <v>69</v>
      </c>
      <c r="J30" s="23" t="n">
        <v>177549</v>
      </c>
      <c r="K30" s="23" t="n">
        <v>12099</v>
      </c>
    </row>
    <row r="31" ht="19" customHeight="1">
      <c r="A31" s="36" t="inlineStr">
        <is>
          <t>Region VII (Central Visayas)</t>
        </is>
      </c>
      <c r="B31" s="36" t="inlineStr">
        <is>
          <t>Negros Oriental</t>
        </is>
      </c>
      <c r="C31" s="18" t="n">
        <v>11</v>
      </c>
      <c r="D31" s="18" t="n">
        <v>9</v>
      </c>
      <c r="E31" s="18" t="n">
        <v>12</v>
      </c>
      <c r="F31" s="18" t="n">
        <v>17</v>
      </c>
      <c r="G31" s="18" t="n">
        <v>16</v>
      </c>
      <c r="H31" s="50" t="n">
        <v>65</v>
      </c>
      <c r="I31" s="19" t="n">
        <v>66</v>
      </c>
      <c r="J31" s="18" t="n">
        <v>290740</v>
      </c>
      <c r="K31" s="18" t="n">
        <v>20127</v>
      </c>
    </row>
    <row r="32" ht="19" customHeight="1">
      <c r="A32" s="42" t="inlineStr">
        <is>
          <t>Region V (Bicol Region)</t>
        </is>
      </c>
      <c r="B32" s="42" t="inlineStr">
        <is>
          <t>Camarines Norte</t>
        </is>
      </c>
      <c r="C32" s="23" t="n">
        <v>13</v>
      </c>
      <c r="D32" s="23" t="n">
        <v>15</v>
      </c>
      <c r="E32" s="23" t="n">
        <v>7</v>
      </c>
      <c r="F32" s="23" t="n">
        <v>9</v>
      </c>
      <c r="G32" s="23" t="n">
        <v>10</v>
      </c>
      <c r="H32" s="51" t="n">
        <v>54</v>
      </c>
      <c r="I32" s="19" t="n">
        <v>54</v>
      </c>
      <c r="J32" s="23" t="n">
        <v>206622</v>
      </c>
      <c r="K32" s="23" t="n">
        <v>14079</v>
      </c>
    </row>
    <row r="33" ht="19" customHeight="1">
      <c r="A33" s="36" t="inlineStr">
        <is>
          <t>Region X (Northern Mindanao)</t>
        </is>
      </c>
      <c r="B33" s="36" t="inlineStr">
        <is>
          <t>Bukidnon</t>
        </is>
      </c>
      <c r="C33" s="18" t="n">
        <v>14</v>
      </c>
      <c r="D33" s="18" t="n">
        <v>10</v>
      </c>
      <c r="E33" s="18" t="n">
        <v>9</v>
      </c>
      <c r="F33" s="18" t="n">
        <v>10</v>
      </c>
      <c r="G33" s="18" t="n">
        <v>8</v>
      </c>
      <c r="H33" s="50" t="n">
        <v>51</v>
      </c>
      <c r="I33" s="19" t="n">
        <v>55</v>
      </c>
      <c r="J33" s="18" t="n">
        <v>359765</v>
      </c>
      <c r="K33" s="18" t="n">
        <v>23313</v>
      </c>
    </row>
    <row r="34" ht="19" customHeight="1">
      <c r="A34" s="42" t="inlineStr">
        <is>
          <t>Region VI (Western Visayas)</t>
        </is>
      </c>
      <c r="B34" s="42" t="inlineStr">
        <is>
          <t>Capiz</t>
        </is>
      </c>
      <c r="C34" s="23" t="n">
        <v>9</v>
      </c>
      <c r="D34" s="23" t="n">
        <v>10</v>
      </c>
      <c r="E34" s="23" t="n">
        <v>7</v>
      </c>
      <c r="F34" s="23" t="n">
        <v>13</v>
      </c>
      <c r="G34" s="23" t="n">
        <v>10</v>
      </c>
      <c r="H34" s="51" t="n">
        <v>49</v>
      </c>
      <c r="I34" s="19" t="n">
        <v>49</v>
      </c>
      <c r="J34" s="23" t="n">
        <v>173095</v>
      </c>
      <c r="K34" s="23" t="n">
        <v>12349</v>
      </c>
    </row>
    <row r="35" ht="19" customHeight="1">
      <c r="A35" s="36" t="inlineStr">
        <is>
          <t>MIMAROPA Region</t>
        </is>
      </c>
      <c r="B35" s="36" t="inlineStr">
        <is>
          <t>Oriental Mindoro</t>
        </is>
      </c>
      <c r="C35" s="18" t="n">
        <v>10</v>
      </c>
      <c r="D35" s="18" t="n">
        <v>11</v>
      </c>
      <c r="E35" s="18" t="n">
        <v>9</v>
      </c>
      <c r="F35" s="18" t="n">
        <v>10</v>
      </c>
      <c r="G35" s="18" t="n">
        <v>9</v>
      </c>
      <c r="H35" s="50" t="n">
        <v>49</v>
      </c>
      <c r="I35" s="19" t="n">
        <v>49</v>
      </c>
      <c r="J35" s="18" t="n">
        <v>161877</v>
      </c>
      <c r="K35" s="18" t="n">
        <v>11010</v>
      </c>
    </row>
    <row r="36" ht="19" customHeight="1">
      <c r="A36" s="42" t="inlineStr">
        <is>
          <t>Region I (Ilocos Region)</t>
        </is>
      </c>
      <c r="B36" s="42" t="inlineStr">
        <is>
          <t>Ilocos Norte</t>
        </is>
      </c>
      <c r="C36" s="23" t="n">
        <v>5</v>
      </c>
      <c r="D36" s="23" t="n">
        <v>5</v>
      </c>
      <c r="E36" s="23" t="n">
        <v>8</v>
      </c>
      <c r="F36" s="23" t="n">
        <v>16</v>
      </c>
      <c r="G36" s="23" t="n">
        <v>11</v>
      </c>
      <c r="H36" s="51" t="n">
        <v>45</v>
      </c>
      <c r="I36" s="19" t="n">
        <v>45</v>
      </c>
      <c r="J36" s="23" t="n">
        <v>74904</v>
      </c>
      <c r="K36" s="23" t="n">
        <v>5192</v>
      </c>
    </row>
    <row r="37" ht="19" customHeight="1">
      <c r="A37" s="36" t="inlineStr">
        <is>
          <t>Region II (Cagayan Valley)</t>
        </is>
      </c>
      <c r="B37" s="36" t="inlineStr">
        <is>
          <t>Nueva Vizcaya</t>
        </is>
      </c>
      <c r="C37" s="18" t="n">
        <v>10</v>
      </c>
      <c r="D37" s="18" t="n">
        <v>7</v>
      </c>
      <c r="E37" s="18" t="n">
        <v>6</v>
      </c>
      <c r="F37" s="18" t="n">
        <v>13</v>
      </c>
      <c r="G37" s="18" t="n">
        <v>7</v>
      </c>
      <c r="H37" s="50" t="n">
        <v>43</v>
      </c>
      <c r="I37" s="19" t="n">
        <v>43</v>
      </c>
      <c r="J37" s="18" t="n">
        <v>147633</v>
      </c>
      <c r="K37" s="18" t="n">
        <v>10587</v>
      </c>
    </row>
    <row r="38" ht="19" customHeight="1">
      <c r="A38" s="42" t="inlineStr">
        <is>
          <t>Region VII (Central Visayas)</t>
        </is>
      </c>
      <c r="B38" s="42" t="inlineStr">
        <is>
          <t>Bohol</t>
        </is>
      </c>
      <c r="C38" s="23" t="n">
        <v>5</v>
      </c>
      <c r="D38" s="23" t="n">
        <v>8</v>
      </c>
      <c r="E38" s="23" t="n">
        <v>5</v>
      </c>
      <c r="F38" s="23" t="n">
        <v>5</v>
      </c>
      <c r="G38" s="23" t="n">
        <v>13</v>
      </c>
      <c r="H38" s="51" t="n">
        <v>36</v>
      </c>
      <c r="I38" s="19" t="n">
        <v>37</v>
      </c>
      <c r="J38" s="23" t="n">
        <v>138079</v>
      </c>
      <c r="K38" s="23" t="n">
        <v>9078</v>
      </c>
    </row>
    <row r="39" ht="19" customHeight="1">
      <c r="A39" s="36" t="inlineStr">
        <is>
          <t>Region VI (Western Visayas)</t>
        </is>
      </c>
      <c r="B39" s="36" t="inlineStr">
        <is>
          <t>Aklan</t>
        </is>
      </c>
      <c r="C39" s="18" t="n">
        <v>3</v>
      </c>
      <c r="D39" s="18" t="n">
        <v>5</v>
      </c>
      <c r="E39" s="18" t="n">
        <v>12</v>
      </c>
      <c r="F39" s="18" t="n">
        <v>10</v>
      </c>
      <c r="G39" s="18" t="n">
        <v>5</v>
      </c>
      <c r="H39" s="50" t="n">
        <v>35</v>
      </c>
      <c r="I39" s="19" t="n">
        <v>37</v>
      </c>
      <c r="J39" s="18" t="n">
        <v>164371</v>
      </c>
      <c r="K39" s="18" t="n">
        <v>11597</v>
      </c>
    </row>
    <row r="40" ht="19" customHeight="1">
      <c r="A40" s="42" t="inlineStr">
        <is>
          <t>Region IX (Zamboanga Peninsula)</t>
        </is>
      </c>
      <c r="B40" s="42" t="inlineStr">
        <is>
          <t>Zamboanga del Sur</t>
        </is>
      </c>
      <c r="C40" s="23" t="n">
        <v>5</v>
      </c>
      <c r="D40" s="23" t="n">
        <v>8</v>
      </c>
      <c r="E40" s="23" t="n">
        <v>6</v>
      </c>
      <c r="F40" s="23" t="n">
        <v>4</v>
      </c>
      <c r="G40" s="23" t="n">
        <v>6</v>
      </c>
      <c r="H40" s="51" t="n">
        <v>29</v>
      </c>
      <c r="I40" s="19" t="n">
        <v>33</v>
      </c>
      <c r="J40" s="23" t="n">
        <v>261659</v>
      </c>
      <c r="K40" s="23" t="n">
        <v>17030</v>
      </c>
    </row>
    <row r="41" ht="19" customHeight="1">
      <c r="A41" s="36" t="inlineStr">
        <is>
          <t>MIMAROPA Region</t>
        </is>
      </c>
      <c r="B41" s="36" t="inlineStr">
        <is>
          <t>Palawan</t>
        </is>
      </c>
      <c r="C41" s="18" t="n">
        <v>8</v>
      </c>
      <c r="D41" s="18" t="n">
        <v>4</v>
      </c>
      <c r="E41" s="18" t="n">
        <v>5</v>
      </c>
      <c r="F41" s="18" t="n">
        <v>5</v>
      </c>
      <c r="G41" s="18" t="n">
        <v>5</v>
      </c>
      <c r="H41" s="50" t="n">
        <v>27</v>
      </c>
      <c r="I41" s="19" t="n">
        <v>30</v>
      </c>
      <c r="J41" s="18" t="n">
        <v>194366</v>
      </c>
      <c r="K41" s="18" t="n">
        <v>13424</v>
      </c>
    </row>
    <row r="42" ht="19" customHeight="1">
      <c r="A42" s="42" t="inlineStr">
        <is>
          <t>Region V (Bicol Region)</t>
        </is>
      </c>
      <c r="B42" s="42" t="inlineStr">
        <is>
          <t>Masbate</t>
        </is>
      </c>
      <c r="C42" s="23" t="n">
        <v>6</v>
      </c>
      <c r="D42" s="23" t="n">
        <v>3</v>
      </c>
      <c r="E42" s="23" t="n">
        <v>5</v>
      </c>
      <c r="F42" s="23" t="n">
        <v>9</v>
      </c>
      <c r="G42" s="23" t="n">
        <v>3</v>
      </c>
      <c r="H42" s="51" t="n">
        <v>26</v>
      </c>
      <c r="I42" s="19" t="n">
        <v>26</v>
      </c>
      <c r="J42" s="23" t="n">
        <v>106036</v>
      </c>
      <c r="K42" s="23" t="n">
        <v>6862</v>
      </c>
    </row>
    <row r="43" ht="19" customHeight="1">
      <c r="A43" s="36" t="inlineStr">
        <is>
          <t>Region XIII (Caraga)</t>
        </is>
      </c>
      <c r="B43" s="36" t="inlineStr">
        <is>
          <t>Agusan del Sur</t>
        </is>
      </c>
      <c r="C43" s="18" t="n">
        <v>12</v>
      </c>
      <c r="D43" s="18" t="n">
        <v>5</v>
      </c>
      <c r="E43" s="18" t="n">
        <v>5</v>
      </c>
      <c r="F43" s="18" t="n">
        <v>2</v>
      </c>
      <c r="G43" s="18" t="n">
        <v>2</v>
      </c>
      <c r="H43" s="50" t="n">
        <v>26</v>
      </c>
      <c r="I43" s="19" t="n">
        <v>29</v>
      </c>
      <c r="J43" s="18" t="n">
        <v>173832</v>
      </c>
      <c r="K43" s="18" t="n">
        <v>12716</v>
      </c>
    </row>
    <row r="44" ht="19" customHeight="1">
      <c r="A44" s="42" t="inlineStr">
        <is>
          <t>Region I (Ilocos Region)</t>
        </is>
      </c>
      <c r="B44" s="42" t="inlineStr">
        <is>
          <t>Ilocos Sur</t>
        </is>
      </c>
      <c r="C44" s="23" t="n">
        <v>2</v>
      </c>
      <c r="D44" s="23" t="n">
        <v>2</v>
      </c>
      <c r="E44" s="23" t="n">
        <v>5</v>
      </c>
      <c r="F44" s="23" t="n">
        <v>10</v>
      </c>
      <c r="G44" s="23" t="n">
        <v>6</v>
      </c>
      <c r="H44" s="51" t="n">
        <v>25</v>
      </c>
      <c r="I44" s="19" t="n">
        <v>25</v>
      </c>
      <c r="J44" s="23" t="n">
        <v>39111</v>
      </c>
      <c r="K44" s="23" t="n">
        <v>2572</v>
      </c>
    </row>
    <row r="45" ht="19" customHeight="1">
      <c r="A45" s="36" t="inlineStr">
        <is>
          <t>Region X (Northern Mindanao)</t>
        </is>
      </c>
      <c r="B45" s="36" t="inlineStr">
        <is>
          <t>Lanao del Norte</t>
        </is>
      </c>
      <c r="C45" s="18" t="n">
        <v>3</v>
      </c>
      <c r="D45" s="18" t="n">
        <v>5</v>
      </c>
      <c r="E45" s="18" t="n">
        <v>3</v>
      </c>
      <c r="F45" s="18" t="n">
        <v>5</v>
      </c>
      <c r="G45" s="18" t="n">
        <v>3</v>
      </c>
      <c r="H45" s="50" t="n">
        <v>19</v>
      </c>
      <c r="I45" s="19" t="n">
        <v>21</v>
      </c>
      <c r="J45" s="18" t="n">
        <v>162492</v>
      </c>
      <c r="K45" s="18" t="n">
        <v>9716</v>
      </c>
    </row>
    <row r="46" ht="19" customHeight="1">
      <c r="A46" s="42" t="inlineStr">
        <is>
          <t>Region II (Cagayan Valley)</t>
        </is>
      </c>
      <c r="B46" s="42" t="inlineStr">
        <is>
          <t>Quirino</t>
        </is>
      </c>
      <c r="C46" s="23" t="n">
        <v>5</v>
      </c>
      <c r="D46" s="23" t="n">
        <v>7</v>
      </c>
      <c r="E46" s="23" t="n">
        <v>2</v>
      </c>
      <c r="F46" s="23" t="n">
        <v>0</v>
      </c>
      <c r="G46" s="23" t="n">
        <v>4</v>
      </c>
      <c r="H46" s="51" t="n">
        <v>18</v>
      </c>
      <c r="I46" s="19" t="n">
        <v>18</v>
      </c>
      <c r="J46" s="23" t="n">
        <v>53909</v>
      </c>
      <c r="K46" s="23" t="n">
        <v>4016</v>
      </c>
    </row>
    <row r="47" ht="19" customHeight="1">
      <c r="A47" s="36" t="inlineStr">
        <is>
          <t>Region VIII (Eastern Visayas)</t>
        </is>
      </c>
      <c r="B47" s="36" t="inlineStr">
        <is>
          <t>Southern Leyte</t>
        </is>
      </c>
      <c r="C47" s="18" t="n">
        <v>5</v>
      </c>
      <c r="D47" s="18" t="n">
        <v>6</v>
      </c>
      <c r="E47" s="18" t="n">
        <v>3</v>
      </c>
      <c r="F47" s="18" t="n">
        <v>2</v>
      </c>
      <c r="G47" s="18" t="n">
        <v>2</v>
      </c>
      <c r="H47" s="50" t="n">
        <v>18</v>
      </c>
      <c r="I47" s="19" t="n">
        <v>18</v>
      </c>
      <c r="J47" s="18" t="n">
        <v>50586</v>
      </c>
      <c r="K47" s="18" t="n">
        <v>3362</v>
      </c>
    </row>
    <row r="48" ht="19" customHeight="1">
      <c r="A48" s="42" t="inlineStr">
        <is>
          <t>Region XI (Davao Region)</t>
        </is>
      </c>
      <c r="B48" s="42" t="inlineStr">
        <is>
          <t>Davao del Norte</t>
        </is>
      </c>
      <c r="C48" s="23" t="n">
        <v>4</v>
      </c>
      <c r="D48" s="23" t="n">
        <v>3</v>
      </c>
      <c r="E48" s="23" t="n">
        <v>4</v>
      </c>
      <c r="F48" s="23" t="n">
        <v>3</v>
      </c>
      <c r="G48" s="23" t="n">
        <v>4</v>
      </c>
      <c r="H48" s="51" t="n">
        <v>18</v>
      </c>
      <c r="I48" s="19" t="n">
        <v>25</v>
      </c>
      <c r="J48" s="23" t="n">
        <v>212510</v>
      </c>
      <c r="K48" s="23" t="n">
        <v>15001</v>
      </c>
    </row>
    <row r="49" ht="19" customHeight="1">
      <c r="A49" s="36" t="inlineStr">
        <is>
          <t>Region XIII (Caraga)</t>
        </is>
      </c>
      <c r="B49" s="36" t="inlineStr">
        <is>
          <t>Surigao del Sur</t>
        </is>
      </c>
      <c r="C49" s="18" t="n">
        <v>3</v>
      </c>
      <c r="D49" s="18" t="n">
        <v>6</v>
      </c>
      <c r="E49" s="18" t="n">
        <v>0</v>
      </c>
      <c r="F49" s="18" t="n">
        <v>4</v>
      </c>
      <c r="G49" s="18" t="n">
        <v>5</v>
      </c>
      <c r="H49" s="50" t="n">
        <v>18</v>
      </c>
      <c r="I49" s="19" t="n">
        <v>18</v>
      </c>
      <c r="J49" s="18" t="n">
        <v>85155</v>
      </c>
      <c r="K49" s="18" t="n">
        <v>5595</v>
      </c>
    </row>
    <row r="50" ht="19" customHeight="1">
      <c r="A50" s="42" t="inlineStr">
        <is>
          <t>Region III (Central Luzon)</t>
        </is>
      </c>
      <c r="B50" s="42" t="inlineStr">
        <is>
          <t>Aurora</t>
        </is>
      </c>
      <c r="C50" s="23" t="n">
        <v>3</v>
      </c>
      <c r="D50" s="23" t="n">
        <v>3</v>
      </c>
      <c r="E50" s="23" t="n">
        <v>5</v>
      </c>
      <c r="F50" s="23" t="n">
        <v>3</v>
      </c>
      <c r="G50" s="23" t="n">
        <v>3</v>
      </c>
      <c r="H50" s="51" t="n">
        <v>17</v>
      </c>
      <c r="I50" s="19" t="n">
        <v>17</v>
      </c>
      <c r="J50" s="23" t="n">
        <v>48441</v>
      </c>
      <c r="K50" s="23" t="n">
        <v>3427</v>
      </c>
    </row>
    <row r="51" ht="19" customHeight="1">
      <c r="A51" s="36" t="inlineStr">
        <is>
          <t>Region XII (SOCCSKSARGEN)</t>
        </is>
      </c>
      <c r="B51" s="36" t="inlineStr">
        <is>
          <t>South Cotabato</t>
        </is>
      </c>
      <c r="C51" s="18" t="n">
        <v>3</v>
      </c>
      <c r="D51" s="18" t="n">
        <v>1</v>
      </c>
      <c r="E51" s="18" t="n">
        <v>6</v>
      </c>
      <c r="F51" s="18" t="n">
        <v>4</v>
      </c>
      <c r="G51" s="18" t="n">
        <v>3</v>
      </c>
      <c r="H51" s="50" t="n">
        <v>17</v>
      </c>
      <c r="I51" s="19" t="n">
        <v>36</v>
      </c>
      <c r="J51" s="18" t="n">
        <v>350242</v>
      </c>
      <c r="K51" s="18" t="n">
        <v>25628</v>
      </c>
    </row>
    <row r="52" ht="19" customHeight="1">
      <c r="A52" s="42" t="inlineStr">
        <is>
          <t>Region XI (Davao Region)</t>
        </is>
      </c>
      <c r="B52" s="42" t="inlineStr">
        <is>
          <t>Davao de Oro</t>
        </is>
      </c>
      <c r="C52" s="23" t="n">
        <v>3</v>
      </c>
      <c r="D52" s="23" t="n">
        <v>2</v>
      </c>
      <c r="E52" s="23" t="n">
        <v>4</v>
      </c>
      <c r="F52" s="23" t="n">
        <v>4</v>
      </c>
      <c r="G52" s="23" t="n">
        <v>2</v>
      </c>
      <c r="H52" s="51" t="n">
        <v>15</v>
      </c>
      <c r="I52" s="19" t="n">
        <v>16</v>
      </c>
      <c r="J52" s="23" t="n">
        <v>74991</v>
      </c>
      <c r="K52" s="23" t="n">
        <v>5487</v>
      </c>
    </row>
    <row r="53" ht="19" customHeight="1">
      <c r="A53" s="36" t="inlineStr">
        <is>
          <t>Cordillera Administrative Region (CAR)</t>
        </is>
      </c>
      <c r="B53" s="36" t="inlineStr">
        <is>
          <t>Mountain Province</t>
        </is>
      </c>
      <c r="C53" s="18" t="n">
        <v>1</v>
      </c>
      <c r="D53" s="18" t="n">
        <v>1</v>
      </c>
      <c r="E53" s="18" t="n">
        <v>4</v>
      </c>
      <c r="F53" s="18" t="n">
        <v>3</v>
      </c>
      <c r="G53" s="18" t="n">
        <v>5</v>
      </c>
      <c r="H53" s="50" t="n">
        <v>14</v>
      </c>
      <c r="I53" s="19" t="n">
        <v>14</v>
      </c>
      <c r="J53" s="18" t="n">
        <v>30109</v>
      </c>
      <c r="K53" s="18" t="n">
        <v>2031</v>
      </c>
    </row>
    <row r="54" ht="19" customHeight="1">
      <c r="A54" s="42" t="inlineStr">
        <is>
          <t>Region IX (Zamboanga Peninsula)</t>
        </is>
      </c>
      <c r="B54" s="42" t="inlineStr">
        <is>
          <t>Zamboanga Sibugay</t>
        </is>
      </c>
      <c r="C54" s="23" t="n">
        <v>6</v>
      </c>
      <c r="D54" s="23" t="n">
        <v>2</v>
      </c>
      <c r="E54" s="23" t="n">
        <v>1</v>
      </c>
      <c r="F54" s="23" t="n">
        <v>2</v>
      </c>
      <c r="G54" s="23" t="n">
        <v>3</v>
      </c>
      <c r="H54" s="51" t="n">
        <v>14</v>
      </c>
      <c r="I54" s="19" t="n">
        <v>14</v>
      </c>
      <c r="J54" s="23" t="n">
        <v>72295</v>
      </c>
      <c r="K54" s="23" t="n">
        <v>4285</v>
      </c>
    </row>
    <row r="55" ht="19" customHeight="1">
      <c r="A55" s="36" t="inlineStr">
        <is>
          <t>Cordillera Administrative Region (CAR)</t>
        </is>
      </c>
      <c r="B55" s="36" t="inlineStr">
        <is>
          <t>Ifugao</t>
        </is>
      </c>
      <c r="C55" s="18" t="n">
        <v>0</v>
      </c>
      <c r="D55" s="18" t="n">
        <v>2</v>
      </c>
      <c r="E55" s="18" t="n">
        <v>2</v>
      </c>
      <c r="F55" s="18" t="n">
        <v>3</v>
      </c>
      <c r="G55" s="18" t="n">
        <v>5</v>
      </c>
      <c r="H55" s="50" t="n">
        <v>12</v>
      </c>
      <c r="I55" s="19" t="n">
        <v>12</v>
      </c>
      <c r="J55" s="18" t="n">
        <v>21479</v>
      </c>
      <c r="K55" s="18" t="n">
        <v>1301</v>
      </c>
    </row>
    <row r="56" ht="19" customHeight="1">
      <c r="A56" s="42" t="inlineStr">
        <is>
          <t>Region VI (Western Visayas)</t>
        </is>
      </c>
      <c r="B56" s="42" t="inlineStr">
        <is>
          <t>Antique</t>
        </is>
      </c>
      <c r="C56" s="23" t="n">
        <v>3</v>
      </c>
      <c r="D56" s="23" t="n">
        <v>2</v>
      </c>
      <c r="E56" s="23" t="n">
        <v>2</v>
      </c>
      <c r="F56" s="23" t="n">
        <v>3</v>
      </c>
      <c r="G56" s="23" t="n">
        <v>1</v>
      </c>
      <c r="H56" s="51" t="n">
        <v>11</v>
      </c>
      <c r="I56" s="19" t="n">
        <v>11</v>
      </c>
      <c r="J56" s="23" t="n">
        <v>41758</v>
      </c>
      <c r="K56" s="23" t="n">
        <v>2832</v>
      </c>
    </row>
    <row r="57" ht="19" customHeight="1">
      <c r="A57" s="36" t="inlineStr">
        <is>
          <t>Region XII (SOCCSKSARGEN)</t>
        </is>
      </c>
      <c r="B57" s="36" t="inlineStr">
        <is>
          <t>Sultan Kudarat</t>
        </is>
      </c>
      <c r="C57" s="18" t="n">
        <v>2</v>
      </c>
      <c r="D57" s="18" t="n">
        <v>3</v>
      </c>
      <c r="E57" s="18" t="n">
        <v>1</v>
      </c>
      <c r="F57" s="18" t="n">
        <v>3</v>
      </c>
      <c r="G57" s="18" t="n">
        <v>2</v>
      </c>
      <c r="H57" s="50" t="n">
        <v>11</v>
      </c>
      <c r="I57" s="19" t="n">
        <v>13</v>
      </c>
      <c r="J57" s="18" t="n">
        <v>82982</v>
      </c>
      <c r="K57" s="18" t="n">
        <v>6070</v>
      </c>
    </row>
    <row r="58" ht="19" customHeight="1">
      <c r="A58" s="42" t="inlineStr">
        <is>
          <t>Cordillera Administrative Region (CAR)</t>
        </is>
      </c>
      <c r="B58" s="42" t="inlineStr">
        <is>
          <t>Kalinga</t>
        </is>
      </c>
      <c r="C58" s="23" t="n">
        <v>1</v>
      </c>
      <c r="D58" s="23" t="n">
        <v>5</v>
      </c>
      <c r="E58" s="23" t="n">
        <v>1</v>
      </c>
      <c r="F58" s="23" t="n">
        <v>1</v>
      </c>
      <c r="G58" s="23" t="n">
        <v>2</v>
      </c>
      <c r="H58" s="51" t="n">
        <v>10</v>
      </c>
      <c r="I58" s="19" t="n">
        <v>10</v>
      </c>
      <c r="J58" s="23" t="n">
        <v>31548</v>
      </c>
      <c r="K58" s="23" t="n">
        <v>1804</v>
      </c>
    </row>
    <row r="59" ht="19" customHeight="1">
      <c r="A59" s="36" t="inlineStr">
        <is>
          <t>Region XIII (Caraga)</t>
        </is>
      </c>
      <c r="B59" s="36" t="inlineStr">
        <is>
          <t>Surigao del Norte</t>
        </is>
      </c>
      <c r="C59" s="18" t="n">
        <v>1</v>
      </c>
      <c r="D59" s="18" t="n">
        <v>3</v>
      </c>
      <c r="E59" s="18" t="n">
        <v>3</v>
      </c>
      <c r="F59" s="18" t="n">
        <v>1</v>
      </c>
      <c r="G59" s="18" t="n">
        <v>2</v>
      </c>
      <c r="H59" s="50" t="n">
        <v>10</v>
      </c>
      <c r="I59" s="19" t="n">
        <v>13</v>
      </c>
      <c r="J59" s="18" t="n">
        <v>82857</v>
      </c>
      <c r="K59" s="18" t="n">
        <v>5498</v>
      </c>
    </row>
    <row r="60" ht="19" customHeight="1">
      <c r="A60" s="42" t="inlineStr">
        <is>
          <t>Region XI (Davao Region)</t>
        </is>
      </c>
      <c r="B60" s="42" t="inlineStr">
        <is>
          <t>Davao Oriental</t>
        </is>
      </c>
      <c r="C60" s="23" t="n">
        <v>2</v>
      </c>
      <c r="D60" s="23" t="n">
        <v>0</v>
      </c>
      <c r="E60" s="23" t="n">
        <v>2</v>
      </c>
      <c r="F60" s="23" t="n">
        <v>3</v>
      </c>
      <c r="G60" s="23" t="n">
        <v>1</v>
      </c>
      <c r="H60" s="51" t="n">
        <v>8</v>
      </c>
      <c r="I60" s="19" t="n">
        <v>12</v>
      </c>
      <c r="J60" s="23" t="n">
        <v>97955</v>
      </c>
      <c r="K60" s="23" t="n">
        <v>7166</v>
      </c>
    </row>
    <row r="61" ht="19" customHeight="1">
      <c r="A61" s="36" t="inlineStr">
        <is>
          <t>Cordillera Administrative Region (CAR)</t>
        </is>
      </c>
      <c r="B61" s="36" t="inlineStr">
        <is>
          <t>Apayao</t>
        </is>
      </c>
      <c r="C61" s="18" t="n">
        <v>0</v>
      </c>
      <c r="D61" s="18" t="n">
        <v>2</v>
      </c>
      <c r="E61" s="18" t="n">
        <v>1</v>
      </c>
      <c r="F61" s="18" t="n">
        <v>3</v>
      </c>
      <c r="G61" s="18" t="n">
        <v>2</v>
      </c>
      <c r="H61" s="50" t="n">
        <v>8</v>
      </c>
      <c r="I61" s="19" t="n">
        <v>8</v>
      </c>
      <c r="J61" s="18" t="n">
        <v>14839</v>
      </c>
      <c r="K61" s="18" t="n">
        <v>991</v>
      </c>
    </row>
    <row r="62" ht="19" customHeight="1">
      <c r="A62" s="42" t="inlineStr">
        <is>
          <t>Region XII (SOCCSKSARGEN)</t>
        </is>
      </c>
      <c r="B62" s="42" t="inlineStr">
        <is>
          <t>Sarangani</t>
        </is>
      </c>
      <c r="C62" s="23" t="n">
        <v>2</v>
      </c>
      <c r="D62" s="23" t="n">
        <v>1</v>
      </c>
      <c r="E62" s="23" t="n">
        <v>0</v>
      </c>
      <c r="F62" s="23" t="n">
        <v>3</v>
      </c>
      <c r="G62" s="23" t="n">
        <v>1</v>
      </c>
      <c r="H62" s="51" t="n">
        <v>7</v>
      </c>
      <c r="I62" s="19" t="n">
        <v>9</v>
      </c>
      <c r="J62" s="23" t="n">
        <v>53746</v>
      </c>
      <c r="K62" s="23" t="n">
        <v>3933</v>
      </c>
    </row>
    <row r="63" ht="19" customHeight="1">
      <c r="A63" s="36" t="inlineStr">
        <is>
          <t>Cordillera Administrative Region (CAR)</t>
        </is>
      </c>
      <c r="B63" s="36" t="inlineStr">
        <is>
          <t>Abra</t>
        </is>
      </c>
      <c r="C63" s="18" t="n">
        <v>0</v>
      </c>
      <c r="D63" s="18" t="n">
        <v>1</v>
      </c>
      <c r="E63" s="18" t="n">
        <v>0</v>
      </c>
      <c r="F63" s="18" t="n">
        <v>0</v>
      </c>
      <c r="G63" s="18" t="n">
        <v>5</v>
      </c>
      <c r="H63" s="50" t="n">
        <v>6</v>
      </c>
      <c r="I63" s="19" t="n">
        <v>6</v>
      </c>
      <c r="J63" s="18" t="n">
        <v>15592</v>
      </c>
      <c r="K63" s="18" t="n">
        <v>1013</v>
      </c>
    </row>
    <row r="64" ht="19" customHeight="1">
      <c r="A64" s="42" t="inlineStr">
        <is>
          <t>Region IX (Zamboanga Peninsula)</t>
        </is>
      </c>
      <c r="B64" s="42" t="inlineStr">
        <is>
          <t>City of Isabela (Not a Province)</t>
        </is>
      </c>
      <c r="C64" s="23" t="n">
        <v>0</v>
      </c>
      <c r="D64" s="23" t="n">
        <v>0</v>
      </c>
      <c r="E64" s="23" t="n">
        <v>4</v>
      </c>
      <c r="F64" s="23" t="n">
        <v>1</v>
      </c>
      <c r="G64" s="23" t="n">
        <v>1</v>
      </c>
      <c r="H64" s="51" t="n">
        <v>6</v>
      </c>
      <c r="I64" s="19" t="n">
        <v>6</v>
      </c>
      <c r="J64" s="23" t="n">
        <v>24487</v>
      </c>
      <c r="K64" s="23" t="n">
        <v>1708</v>
      </c>
    </row>
    <row r="65" ht="19" customHeight="1">
      <c r="A65" s="36" t="inlineStr">
        <is>
          <t>Bangsamoro Autonomous Region In Muslim Mindanao (BARMM)</t>
        </is>
      </c>
      <c r="B65" s="36" t="inlineStr">
        <is>
          <t>Lanao del Sur</t>
        </is>
      </c>
      <c r="C65" s="18" t="n">
        <v>0</v>
      </c>
      <c r="D65" s="18" t="n">
        <v>0</v>
      </c>
      <c r="E65" s="18" t="n">
        <v>1</v>
      </c>
      <c r="F65" s="18" t="n">
        <v>0</v>
      </c>
      <c r="G65" s="18" t="n">
        <v>3</v>
      </c>
      <c r="H65" s="50" t="n">
        <v>4</v>
      </c>
      <c r="I65" s="19" t="n">
        <v>4</v>
      </c>
      <c r="J65" s="18" t="n">
        <v>15810</v>
      </c>
      <c r="K65" s="18" t="n">
        <v>718</v>
      </c>
    </row>
    <row r="66" ht="19" customHeight="1">
      <c r="A66" s="42" t="inlineStr">
        <is>
          <t>MIMAROPA Region</t>
        </is>
      </c>
      <c r="B66" s="42" t="inlineStr">
        <is>
          <t>Occidental Mindoro</t>
        </is>
      </c>
      <c r="C66" s="23" t="n">
        <v>2</v>
      </c>
      <c r="D66" s="23" t="n">
        <v>1</v>
      </c>
      <c r="E66" s="23" t="n">
        <v>0</v>
      </c>
      <c r="F66" s="23" t="n">
        <v>0</v>
      </c>
      <c r="G66" s="23" t="n">
        <v>0</v>
      </c>
      <c r="H66" s="51" t="n">
        <v>3</v>
      </c>
      <c r="I66" s="19" t="n">
        <v>4</v>
      </c>
      <c r="J66" s="23" t="n">
        <v>37403</v>
      </c>
      <c r="K66" s="23" t="n">
        <v>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2026-09-23T04:37:43Z</dcterms:created>
  <dcterms:modified xsi:type="dcterms:W3CDTF">2026-09-23T04:37:52Z</dcterms:modified>
</cp:coreProperties>
</file>